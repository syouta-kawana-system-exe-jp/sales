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268" documentId="13_ncr:1_{55CE526F-CCAD-4FBB-8008-5B7ED57D36CB}" xr6:coauthVersionLast="47" xr6:coauthVersionMax="47" xr10:uidLastSave="{CAB2D2FF-DE0A-4740-9DD6-DF633002066A}"/>
  <bookViews>
    <workbookView xWindow="-57720" yWindow="-120" windowWidth="29040" windowHeight="15840" tabRatio="787" activeTab="1" xr2:uid="{00000000-000D-0000-FFFF-FFFF00000000}"/>
  </bookViews>
  <sheets>
    <sheet name="御見積詳細書 (顧客用) (2)" sheetId="4" r:id="rId1"/>
    <sheet name="御見積詳細書 (顧客用)" sheetId="3" r:id="rId2"/>
    <sheet name="御見積詳細書（社内用）" sheetId="1" r:id="rId3"/>
  </sheets>
  <definedNames>
    <definedName name="_xlnm.Print_Area" localSheetId="1">'御見積詳細書 (顧客用)'!$A$1:$AJ$200</definedName>
    <definedName name="_xlnm.Print_Area" localSheetId="0">'御見積詳細書 (顧客用) (2)'!$A$1:$AJ$183</definedName>
    <definedName name="_xlnm.Print_Area" localSheetId="2">'御見積詳細書（社内用）'!$A$1:$AJ$46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1">#REF!</definedName>
    <definedName name="部門名" localSheetId="0">'御見積詳細書 (顧客用) (2)'!#REF!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4" i="4" l="1"/>
  <c r="F9" i="4" s="1"/>
  <c r="Y43" i="1"/>
  <c r="Y44" i="1"/>
  <c r="AE44" i="3" l="1"/>
  <c r="B15" i="1"/>
  <c r="AE42" i="1" l="1"/>
  <c r="AE41" i="1"/>
  <c r="AE40" i="1"/>
  <c r="AE39" i="1"/>
  <c r="B31" i="1" l="1"/>
  <c r="AE37" i="1" l="1"/>
  <c r="AE38" i="1"/>
  <c r="AE43" i="1" l="1"/>
  <c r="AE44" i="1" s="1"/>
  <c r="F9" i="3" l="1"/>
  <c r="F9" i="1" l="1"/>
</calcChain>
</file>

<file path=xl/sharedStrings.xml><?xml version="1.0" encoding="utf-8"?>
<sst xmlns="http://schemas.openxmlformats.org/spreadsheetml/2006/main" count="368" uniqueCount="146">
  <si>
    <t>御 見 積 書</t>
    <rPh sb="0" eb="1">
      <t>ゴ</t>
    </rPh>
    <rPh sb="2" eb="3">
      <t>ミ</t>
    </rPh>
    <rPh sb="4" eb="5">
      <t>セキ</t>
    </rPh>
    <rPh sb="6" eb="7">
      <t>ショ</t>
    </rPh>
    <phoneticPr fontId="6"/>
  </si>
  <si>
    <t>見積番号　</t>
    <rPh sb="0" eb="2">
      <t>ミツ</t>
    </rPh>
    <rPh sb="2" eb="4">
      <t>バンゴウ</t>
    </rPh>
    <phoneticPr fontId="6"/>
  </si>
  <si>
    <t>-</t>
    <phoneticPr fontId="5"/>
  </si>
  <si>
    <t>見積年月日</t>
    <rPh sb="0" eb="2">
      <t>ミツモリ</t>
    </rPh>
    <rPh sb="2" eb="5">
      <t>ネンガッピ</t>
    </rPh>
    <phoneticPr fontId="6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</si>
  <si>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6"/>
  </si>
  <si>
    <t>見積金額</t>
    <rPh sb="0" eb="2">
      <t>ミツモリ</t>
    </rPh>
    <rPh sb="2" eb="4">
      <t>キンガク</t>
    </rPh>
    <phoneticPr fontId="5"/>
  </si>
  <si>
    <t>件名</t>
    <rPh sb="0" eb="2">
      <t>ケンメイ</t>
    </rPh>
    <phoneticPr fontId="6"/>
  </si>
  <si>
    <t>MESシステム　千葉工場製造一課開発対応</t>
    <rPh sb="8" eb="10">
      <t>チバ</t>
    </rPh>
    <rPh sb="10" eb="12">
      <t>コウジョウ</t>
    </rPh>
    <rPh sb="12" eb="14">
      <t>セイゾウ</t>
    </rPh>
    <rPh sb="14" eb="16">
      <t>イッカ</t>
    </rPh>
    <rPh sb="16" eb="18">
      <t>カイハツ</t>
    </rPh>
    <rPh sb="18" eb="20">
      <t>タイオウ</t>
    </rPh>
    <phoneticPr fontId="5"/>
  </si>
  <si>
    <t>作業形態</t>
    <rPh sb="0" eb="2">
      <t>サギョウ</t>
    </rPh>
    <rPh sb="2" eb="4">
      <t>ケイタイ</t>
    </rPh>
    <phoneticPr fontId="5"/>
  </si>
  <si>
    <t>請負契約</t>
    <rPh sb="0" eb="2">
      <t>ウケオイ</t>
    </rPh>
    <rPh sb="2" eb="4">
      <t>ケイヤク</t>
    </rPh>
    <phoneticPr fontId="5"/>
  </si>
  <si>
    <t>作業場所</t>
    <rPh sb="0" eb="2">
      <t>サギョウ</t>
    </rPh>
    <rPh sb="2" eb="4">
      <t>バショ</t>
    </rPh>
    <phoneticPr fontId="5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</si>
  <si>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5"/>
  </si>
  <si>
    <t>作業期間</t>
    <rPh sb="0" eb="2">
      <t>サギョウ</t>
    </rPh>
    <rPh sb="2" eb="4">
      <t>キカン</t>
    </rPh>
    <phoneticPr fontId="5"/>
  </si>
  <si>
    <t>見積金額内訳</t>
    <rPh sb="0" eb="2">
      <t>ミツモリ</t>
    </rPh>
    <rPh sb="2" eb="4">
      <t>キンガク</t>
    </rPh>
    <rPh sb="4" eb="6">
      <t>ウチワケ</t>
    </rPh>
    <phoneticPr fontId="6"/>
  </si>
  <si>
    <t>No</t>
    <phoneticPr fontId="6"/>
  </si>
  <si>
    <t>項目</t>
    <rPh sb="0" eb="2">
      <t>コウモク</t>
    </rPh>
    <phoneticPr fontId="6"/>
  </si>
  <si>
    <t>金額</t>
    <rPh sb="0" eb="2">
      <t>キンガク</t>
    </rPh>
    <phoneticPr fontId="5"/>
  </si>
  <si>
    <t xml:space="preserve"> 要件定義</t>
    <rPh sb="1" eb="5">
      <t>ヨウケンテイギ</t>
    </rPh>
    <phoneticPr fontId="6"/>
  </si>
  <si>
    <t xml:space="preserve"> 設計</t>
  </si>
  <si>
    <t xml:space="preserve"> 開発</t>
  </si>
  <si>
    <t xml:space="preserve"> 結合テスト</t>
    <rPh sb="1" eb="3">
      <t>ケツゴウ</t>
    </rPh>
    <phoneticPr fontId="6"/>
  </si>
  <si>
    <t xml:space="preserve"> ユーザテスト</t>
    <phoneticPr fontId="6"/>
  </si>
  <si>
    <t xml:space="preserve"> 本稼働</t>
  </si>
  <si>
    <t xml:space="preserve"> プロジェクト管理</t>
    <rPh sb="7" eb="9">
      <t>カンリ</t>
    </rPh>
    <phoneticPr fontId="6"/>
  </si>
  <si>
    <t>合計</t>
    <rPh sb="0" eb="2">
      <t>ゴウケイ</t>
    </rPh>
    <phoneticPr fontId="6"/>
  </si>
  <si>
    <t>納品物</t>
    <rPh sb="0" eb="2">
      <t>ノウヒン</t>
    </rPh>
    <rPh sb="2" eb="3">
      <t>ブツ</t>
    </rPh>
    <phoneticPr fontId="6"/>
  </si>
  <si>
    <t>・</t>
    <phoneticPr fontId="5"/>
  </si>
  <si>
    <t>設計書</t>
    <rPh sb="0" eb="3">
      <t>セッケイショ</t>
    </rPh>
    <phoneticPr fontId="5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</si>
  <si>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5"/>
  </si>
  <si>
    <t>プログラム</t>
    <phoneticPr fontId="5"/>
  </si>
  <si>
    <t>本番リリース作業手順書</t>
  </si>
  <si>
    <t>作業内容</t>
    <rPh sb="0" eb="2">
      <t>サギョウ</t>
    </rPh>
    <rPh sb="2" eb="4">
      <t>ナイヨウ</t>
    </rPh>
    <phoneticPr fontId="5"/>
  </si>
  <si>
    <t>①帳票フォーマット改修</t>
    <rPh sb="1" eb="3">
      <t>チョウヒョウ</t>
    </rPh>
    <rPh sb="9" eb="11">
      <t>カイシュウ</t>
    </rPh>
    <phoneticPr fontId="5"/>
  </si>
  <si>
    <t>・確認押印欄を1個追加する。</t>
    <rPh sb="1" eb="3">
      <t>カクニン</t>
    </rPh>
    <rPh sb="3" eb="6">
      <t>オウインラン</t>
    </rPh>
    <rPh sb="8" eb="9">
      <t>コ</t>
    </rPh>
    <rPh sb="9" eb="11">
      <t>ツイカ</t>
    </rPh>
    <phoneticPr fontId="5"/>
  </si>
  <si>
    <t>②プログラム改修</t>
    <rPh sb="6" eb="8">
      <t>カイシュウ</t>
    </rPh>
    <phoneticPr fontId="5"/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</si>
  <si>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5"/>
  </si>
  <si>
    <t>工程</t>
    <rPh sb="0" eb="2">
      <t>コウテイ</t>
    </rPh>
    <phoneticPr fontId="6"/>
  </si>
  <si>
    <t>要件定義</t>
    <rPh sb="0" eb="4">
      <t>ヨウケンテイギ</t>
    </rPh>
    <phoneticPr fontId="6"/>
  </si>
  <si>
    <t>修正方針の確定、不明瞭箇所の特定、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phoneticPr fontId="5"/>
  </si>
  <si>
    <t>資料作成方針の決定等細かい仕様について、ユーザ様と決定します。</t>
    <rPh sb="0" eb="2">
      <t>シリョウ</t>
    </rPh>
    <rPh sb="2" eb="4">
      <t>サクセイ</t>
    </rPh>
    <rPh sb="4" eb="6">
      <t>ホウシン</t>
    </rPh>
    <phoneticPr fontId="5"/>
  </si>
  <si>
    <t>設計</t>
    <rPh sb="0" eb="2">
      <t>セッケイ</t>
    </rPh>
    <phoneticPr fontId="6"/>
  </si>
  <si>
    <t>既存の設計書を修正します。</t>
    <rPh sb="0" eb="2">
      <t>キゾン</t>
    </rPh>
    <rPh sb="3" eb="6">
      <t>セッケイショ</t>
    </rPh>
    <rPh sb="7" eb="9">
      <t>シュウセイ</t>
    </rPh>
    <phoneticPr fontId="5"/>
  </si>
  <si>
    <t>開発</t>
  </si>
  <si>
    <t>コーディングを実施します。</t>
  </si>
  <si>
    <t>結合テスト</t>
    <rPh sb="0" eb="2">
      <t>ケツゴウ</t>
    </rPh>
    <phoneticPr fontId="6"/>
  </si>
  <si>
    <t>貴社環境にて結合テスト実施、実施結果の分析、不具合の対応を実施し、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</si>
  <si>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5"/>
  </si>
  <si>
    <t>ユーザテスト</t>
    <phoneticPr fontId="6"/>
  </si>
  <si>
    <t>各所ごとにユーザ様にて実施頂き、その支援を行います。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5"/>
  </si>
  <si>
    <t>本稼働</t>
  </si>
  <si>
    <t>本番環境にてアプリケーションの導入を実施します。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5"/>
  </si>
  <si>
    <t>導入後の初期流動対応を実施します。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5"/>
  </si>
  <si>
    <t>プロジェクト</t>
    <phoneticPr fontId="5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</si>
  <si>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5"/>
  </si>
  <si>
    <t>管理</t>
    <phoneticPr fontId="5"/>
  </si>
  <si>
    <t>スケジュール</t>
    <phoneticPr fontId="6"/>
  </si>
  <si>
    <t>工程</t>
    <rPh sb="0" eb="1">
      <t>コウテイ</t>
    </rPh>
    <phoneticPr fontId="6"/>
  </si>
  <si>
    <t>9/1-</t>
    <phoneticPr fontId="6"/>
  </si>
  <si>
    <t>12/22-</t>
    <phoneticPr fontId="6"/>
  </si>
  <si>
    <t>凡例</t>
    <rPh sb="0" eb="2">
      <t>ハンレイ</t>
    </rPh>
    <phoneticPr fontId="5"/>
  </si>
  <si>
    <t>貴社作業</t>
    <rPh sb="0" eb="2">
      <t>キシャ</t>
    </rPh>
    <rPh sb="2" eb="4">
      <t>サギョウ</t>
    </rPh>
    <phoneticPr fontId="5"/>
  </si>
  <si>
    <t>弊社作業</t>
    <rPh sb="0" eb="2">
      <t>ヘイシャ</t>
    </rPh>
    <rPh sb="2" eb="4">
      <t>サギョウ</t>
    </rPh>
    <phoneticPr fontId="5"/>
  </si>
  <si>
    <t>体制</t>
    <rPh sb="0" eb="2">
      <t>タイセイ</t>
    </rPh>
    <phoneticPr fontId="5"/>
  </si>
  <si>
    <t xml:space="preserve"> 責任者
 福井将敏</t>
    <rPh sb="1" eb="4">
      <t>セキニンシャ</t>
    </rPh>
    <phoneticPr fontId="6"/>
  </si>
  <si>
    <t xml:space="preserve"> PM
 関谷亮</t>
    <phoneticPr fontId="5"/>
  </si>
  <si>
    <t xml:space="preserve"> PM支援
 福田一希</t>
    <phoneticPr fontId="5"/>
  </si>
  <si>
    <t>その他の前提条件</t>
    <rPh sb="2" eb="3">
      <t>タ</t>
    </rPh>
    <rPh sb="4" eb="6">
      <t>ゼンテイ</t>
    </rPh>
    <rPh sb="6" eb="8">
      <t>ジョウケン</t>
    </rPh>
    <phoneticPr fontId="6"/>
  </si>
  <si>
    <t>１．お見積金額について</t>
    <rPh sb="3" eb="5">
      <t>ミツモリ</t>
    </rPh>
    <rPh sb="5" eb="7">
      <t>キンガク</t>
    </rPh>
    <phoneticPr fontId="6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</si>
  <si>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5"/>
  </si>
  <si>
    <t>　　</t>
    <phoneticPr fontId="6"/>
  </si>
  <si>
    <t>２．お見積範囲について</t>
    <rPh sb="3" eb="5">
      <t>ミツモリ</t>
    </rPh>
    <rPh sb="5" eb="7">
      <t>ハンイ</t>
    </rPh>
    <phoneticPr fontId="6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</si>
  <si>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3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</si>
  <si>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4"/>
  </si>
  <si>
    <t>・ネットワーク費用およびネットワークの設置やセットアップ等に係る作業費用</t>
  </si>
  <si>
    <t>３．作業場所について</t>
    <rPh sb="2" eb="4">
      <t>サギョウ</t>
    </rPh>
    <rPh sb="4" eb="6">
      <t>バショ</t>
    </rPh>
    <phoneticPr fontId="6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</si>
  <si>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6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</si>
  <si>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6"/>
  </si>
  <si>
    <t>４．瑕疵担保期間について</t>
    <rPh sb="2" eb="4">
      <t>カシ</t>
    </rPh>
    <rPh sb="4" eb="6">
      <t>タンポ</t>
    </rPh>
    <rPh sb="6" eb="8">
      <t>キカン</t>
    </rPh>
    <phoneticPr fontId="5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</si>
  <si>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5"/>
  </si>
  <si>
    <t>（検収日より1年間に限り契約不適合責任を追及できることとします。）</t>
    <phoneticPr fontId="5"/>
  </si>
  <si>
    <t>５．ユーザテストについて</t>
    <phoneticPr fontId="5"/>
  </si>
  <si>
    <t>ユーザテストにつきましては、貴社にて実施をお願いいたします。</t>
    <rPh sb="14" eb="16">
      <t>キシャ</t>
    </rPh>
    <rPh sb="18" eb="20">
      <t>ジッシ</t>
    </rPh>
    <rPh sb="22" eb="23">
      <t>ネガイ</t>
    </rPh>
    <phoneticPr fontId="5"/>
  </si>
  <si>
    <t>６．ユーザ様との窓口</t>
    <rPh sb="5" eb="6">
      <t>サマ</t>
    </rPh>
    <phoneticPr fontId="5"/>
  </si>
  <si>
    <t>ユーザ様との窓口については、業務変革三課ご担当者様にて実施をお願いいたします。</t>
    <rPh sb="3" eb="4">
      <t>サマ</t>
    </rPh>
    <rPh sb="6" eb="8">
      <t>マドグチ</t>
    </rPh>
    <rPh sb="18" eb="19">
      <t>サン</t>
    </rPh>
    <rPh sb="19" eb="20">
      <t>カ</t>
    </rPh>
    <phoneticPr fontId="5"/>
  </si>
  <si>
    <t>７．リリース作業について</t>
    <rPh sb="6" eb="8">
      <t>サギョウ</t>
    </rPh>
    <phoneticPr fontId="5"/>
  </si>
  <si>
    <t>リリース作業は2人対応とさせていただきます。</t>
    <rPh sb="4" eb="6">
      <t>サギョウ</t>
    </rPh>
    <rPh sb="8" eb="11">
      <t>ニンタイオウ</t>
    </rPh>
    <phoneticPr fontId="5"/>
  </si>
  <si>
    <t>御 見 積 書</t>
    <phoneticPr fontId="6"/>
  </si>
  <si>
    <t>単価</t>
    <rPh sb="0" eb="2">
      <t>タンカ</t>
    </rPh>
    <phoneticPr fontId="6"/>
  </si>
  <si>
    <t>数量</t>
    <rPh sb="0" eb="2">
      <t>スウリョウ</t>
    </rPh>
    <phoneticPr fontId="6"/>
  </si>
  <si>
    <t>人日</t>
    <rPh sb="0" eb="2">
      <t>ニンニチ</t>
    </rPh>
    <phoneticPr fontId="5"/>
  </si>
  <si>
    <t>・工程Noの上にFAの工程Noを自動表示する。</t>
    <phoneticPr fontId="5"/>
  </si>
  <si>
    <t xml:space="preserve"> メンバー
  五石真人</t>
    <phoneticPr fontId="5"/>
  </si>
  <si>
    <t xml:space="preserve"> メンバー
  森田泰博</t>
    <phoneticPr fontId="5"/>
  </si>
  <si>
    <t>①原料項目の表示を6項目追加して17品目にする。</t>
    <rPh sb="1" eb="3">
      <t>ゲンリョウ</t>
    </rPh>
    <rPh sb="3" eb="5">
      <t>コウモク</t>
    </rPh>
    <rPh sb="6" eb="8">
      <t>ヒョウジ</t>
    </rPh>
    <rPh sb="10" eb="12">
      <t>コウモク</t>
    </rPh>
    <rPh sb="12" eb="14">
      <t>ツイカ</t>
    </rPh>
    <rPh sb="18" eb="20">
      <t>ヒンモク</t>
    </rPh>
    <phoneticPr fontId="5"/>
  </si>
  <si>
    <t>①備考項目を9項目追加して10項目にする。</t>
    <rPh sb="1" eb="3">
      <t>ビコウ</t>
    </rPh>
    <rPh sb="3" eb="5">
      <t>コウモク</t>
    </rPh>
    <phoneticPr fontId="5"/>
  </si>
  <si>
    <t>②テーブルの項目を9項目追加する。</t>
    <rPh sb="6" eb="8">
      <t>コウモク</t>
    </rPh>
    <phoneticPr fontId="5"/>
  </si>
  <si>
    <t>・原料項目の表示を6項目追加して17品目にする。</t>
    <phoneticPr fontId="5"/>
  </si>
  <si>
    <t>・フォーマット中段の課長押印欄削除する。</t>
    <phoneticPr fontId="5"/>
  </si>
  <si>
    <t>・改訂理由項目の幅を狭める。</t>
    <phoneticPr fontId="5"/>
  </si>
  <si>
    <t>・注意事項項目の幅を広げる。</t>
    <phoneticPr fontId="5"/>
  </si>
  <si>
    <t>・FA工程Noを出力する。</t>
    <phoneticPr fontId="5"/>
  </si>
  <si>
    <t>・注意事項項目を5項目追加して6項目にする。</t>
    <phoneticPr fontId="5"/>
  </si>
  <si>
    <t>・備考項目を9項目追加して10項目にする。</t>
    <phoneticPr fontId="5"/>
  </si>
  <si>
    <t>・厚み、巻き硬度、最大硬度差の表示位置を変更する。</t>
    <rPh sb="1" eb="2">
      <t>アツ</t>
    </rPh>
    <rPh sb="4" eb="5">
      <t>マ</t>
    </rPh>
    <rPh sb="6" eb="8">
      <t>コウド</t>
    </rPh>
    <rPh sb="9" eb="11">
      <t>サイダイ</t>
    </rPh>
    <rPh sb="11" eb="13">
      <t>コウド</t>
    </rPh>
    <rPh sb="13" eb="14">
      <t>サ</t>
    </rPh>
    <rPh sb="15" eb="17">
      <t>ヒョウジ</t>
    </rPh>
    <rPh sb="17" eb="19">
      <t>イチ</t>
    </rPh>
    <rPh sb="20" eb="22">
      <t>ヘンコウ</t>
    </rPh>
    <phoneticPr fontId="5"/>
  </si>
  <si>
    <t>・帳票右下の明細部分を削除する。</t>
    <rPh sb="1" eb="3">
      <t>チョウヒョウ</t>
    </rPh>
    <rPh sb="3" eb="5">
      <t>ミギシタ</t>
    </rPh>
    <rPh sb="6" eb="8">
      <t>メイサイ</t>
    </rPh>
    <rPh sb="8" eb="10">
      <t>ブブン</t>
    </rPh>
    <rPh sb="11" eb="13">
      <t>サクジョ</t>
    </rPh>
    <phoneticPr fontId="5"/>
  </si>
  <si>
    <t>・処理コードを6項目に固定する。</t>
    <rPh sb="1" eb="3">
      <t>ショリ</t>
    </rPh>
    <rPh sb="8" eb="10">
      <t>コウモク</t>
    </rPh>
    <rPh sb="11" eb="13">
      <t>コテイ</t>
    </rPh>
    <phoneticPr fontId="5"/>
  </si>
  <si>
    <t>・原反部の表示を6明細に固定する。</t>
    <rPh sb="1" eb="2">
      <t>ハラ</t>
    </rPh>
    <rPh sb="2" eb="3">
      <t>ハン</t>
    </rPh>
    <rPh sb="3" eb="4">
      <t>ブ</t>
    </rPh>
    <rPh sb="5" eb="7">
      <t>ヒョウジ</t>
    </rPh>
    <rPh sb="9" eb="11">
      <t>メイサイ</t>
    </rPh>
    <rPh sb="12" eb="14">
      <t>コテイ</t>
    </rPh>
    <phoneticPr fontId="5"/>
  </si>
  <si>
    <t>・備考項目を9項目追加して10項目にする。</t>
    <rPh sb="1" eb="3">
      <t>ビコウ</t>
    </rPh>
    <rPh sb="3" eb="5">
      <t>コウモク</t>
    </rPh>
    <rPh sb="7" eb="9">
      <t>コウモク</t>
    </rPh>
    <rPh sb="9" eb="11">
      <t>ツイカ</t>
    </rPh>
    <rPh sb="15" eb="17">
      <t>コウモク</t>
    </rPh>
    <phoneticPr fontId="5"/>
  </si>
  <si>
    <t>10/1-</t>
    <phoneticPr fontId="6"/>
  </si>
  <si>
    <t>11/14-</t>
    <phoneticPr fontId="6"/>
  </si>
  <si>
    <t>1/5-</t>
    <phoneticPr fontId="6"/>
  </si>
  <si>
    <t>2025年9月1日 ～ 2026年1月9日</t>
    <phoneticPr fontId="5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</si>
  <si>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</si>
  <si>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1"/>
  </si>
  <si>
    <t>対象機能</t>
  </si>
  <si>
    <t>1.画面機能</t>
  </si>
  <si>
    <t>1)</t>
  </si>
  <si>
    <t>2)</t>
  </si>
  <si>
    <t>3)</t>
  </si>
  <si>
    <t>製造一課カルテメンテナンス</t>
  </si>
  <si>
    <t>実績入力（原料使用量）</t>
  </si>
  <si>
    <t>一次スリット指示書備考マスタ修正</t>
  </si>
  <si>
    <t>2.帳票機能</t>
  </si>
  <si>
    <t>製造指示書</t>
  </si>
  <si>
    <t>一次スリット指示書</t>
  </si>
  <si>
    <t>①画面フォームの改修</t>
  </si>
  <si>
    <t>・原料項目の表示を6項目追加して17品目にする。</t>
  </si>
  <si>
    <t>・注意事項項目を5項目追加して6項目にする。</t>
  </si>
  <si>
    <t>③DBテーブル定義の変更</t>
  </si>
  <si>
    <t>・XXXXXXテーブルの項目を5項目追加する。</t>
  </si>
  <si>
    <t>・XXXXXXXXXXX</t>
  </si>
  <si>
    <t>・備考項目を帳票フォーマットに沿った形式で出力する。</t>
    <phoneticPr fontId="5"/>
  </si>
  <si>
    <t>・FA工程Noを帳票フォーマットに沿った形式で出力する。</t>
    <phoneticPr fontId="5"/>
  </si>
  <si>
    <t>・原料項目を帳票フォーマットに沿った形式で出力する。</t>
    <rPh sb="1" eb="3">
      <t>ゲンリョウ</t>
    </rPh>
    <phoneticPr fontId="5"/>
  </si>
  <si>
    <t>・注意事項項目を帳票フォーマットに沿った形式で出力する。</t>
    <rPh sb="1" eb="3">
      <t>チュウイ</t>
    </rPh>
    <rPh sb="3" eb="5">
      <t>ジコウ</t>
    </rPh>
    <rPh sb="5" eb="7">
      <t>コウモク</t>
    </rPh>
    <phoneticPr fontId="5"/>
  </si>
  <si>
    <t>・原料項目を画面フォームに沿った形式で表示する。</t>
    <rPh sb="6" eb="8">
      <t>ガメン</t>
    </rPh>
    <rPh sb="19" eb="21">
      <t>ヒョウジ</t>
    </rPh>
    <phoneticPr fontId="5"/>
  </si>
  <si>
    <t>・注意事項項目を画面フォームに沿った形式で表示する。</t>
    <rPh sb="1" eb="5">
      <t>チュウイジコウ</t>
    </rPh>
    <rPh sb="8" eb="10">
      <t>ガメン</t>
    </rPh>
    <rPh sb="21" eb="23">
      <t>ヒョウジ</t>
    </rPh>
    <phoneticPr fontId="5"/>
  </si>
  <si>
    <t>・備考項目を画面フォームに沿った形式で表示する。</t>
    <rPh sb="1" eb="3">
      <t>ビコウ</t>
    </rPh>
    <rPh sb="6" eb="8">
      <t>ガメン</t>
    </rPh>
    <rPh sb="19" eb="21">
      <t>ヒョウジ</t>
    </rPh>
    <phoneticPr fontId="5"/>
  </si>
  <si>
    <t>製造一課カルテメンテナンス</t>
    <phoneticPr fontId="5"/>
  </si>
  <si>
    <t>1)</t>
    <phoneticPr fontId="5"/>
  </si>
  <si>
    <t>・カルテ製膜基本部テーブルの項目を5項目追加する。</t>
    <rPh sb="4" eb="6">
      <t>セイマク</t>
    </rPh>
    <rPh sb="6" eb="9">
      <t>キホンブ</t>
    </rPh>
    <phoneticPr fontId="5"/>
  </si>
  <si>
    <t>一次スリット指示書備考マスタ修正</t>
    <phoneticPr fontId="5"/>
  </si>
  <si>
    <t>・製造備考マスタテーブルの項目を9項目追加する。</t>
    <rPh sb="1" eb="3">
      <t>セイゾウ</t>
    </rPh>
    <rPh sb="3" eb="5">
      <t>ビコウ</t>
    </rPh>
    <phoneticPr fontId="5"/>
  </si>
  <si>
    <t>一時スリット指示書作成備考マスタ一覧</t>
    <phoneticPr fontId="5"/>
  </si>
  <si>
    <t>3)</t>
    <phoneticPr fontId="5"/>
  </si>
  <si>
    <t>4)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</si>
</sst>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6" formatCode="&quot;¥&quot;#,##0;[Red]&quot;¥&quot;\-#,##0"/>
    <numFmt numFmtId="176" formatCode="&quot;¥&quot;#,##0_);\(&quot;¥&quot;#,##0\)"/>
    <numFmt numFmtId="177" formatCode="&quot;¥&quot;#,##0.\-"/>
    <numFmt numFmtId="178" formatCode="0.00_);[Red]\(0.00\)"/>
  </numFmts>
  <fonts count="2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</borders>
  <cellStyleXfs count="8">
    <xf numFmtId="0" fontId="0" fillId="0" borderId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/>
    <xf numFmtId="0" fontId="3" fillId="0" borderId="0">
      <alignment vertical="center"/>
    </xf>
    <xf numFmtId="0" fontId="2" fillId="0" borderId="0">
      <alignment vertical="center"/>
    </xf>
    <xf numFmtId="6" fontId="2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10" xfId="0" applyFont="1" applyFill="1" applyBorder="1" applyAlignment="1">
      <alignment horizontal="centerContinuous" vertical="center"/>
    </xf>
    <xf numFmtId="0" fontId="15" fillId="2" borderId="11" xfId="0" applyFont="1" applyFill="1" applyBorder="1" applyAlignment="1">
      <alignment horizontal="centerContinuous" vertical="center"/>
    </xf>
    <xf numFmtId="0" fontId="15" fillId="2" borderId="2" xfId="0" applyFont="1" applyFill="1" applyBorder="1" applyAlignment="1">
      <alignment horizontal="centerContinuous" vertical="center"/>
    </xf>
    <xf numFmtId="0" fontId="16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right"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0" xfId="0" applyFont="1" applyAlignment="1">
      <alignment vertical="top"/>
    </xf>
    <xf numFmtId="0" fontId="15" fillId="2" borderId="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17" fontId="19" fillId="2" borderId="11" xfId="0" quotePrefix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17" fontId="19" fillId="2" borderId="2" xfId="0" quotePrefix="1" applyNumberFormat="1" applyFont="1" applyFill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5" fillId="0" borderId="0" xfId="1" applyFont="1">
      <alignment vertical="center"/>
    </xf>
    <xf numFmtId="0" fontId="15" fillId="2" borderId="2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7" fontId="19" fillId="2" borderId="2" xfId="0" applyNumberFormat="1" applyFont="1" applyFill="1" applyBorder="1" applyAlignment="1">
      <alignment vertical="center"/>
    </xf>
    <xf numFmtId="17" fontId="19" fillId="2" borderId="11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17" fontId="15" fillId="2" borderId="10" xfId="0" quotePrefix="1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2" xfId="0" applyNumberFormat="1" applyFont="1" applyBorder="1" applyAlignment="1">
      <alignment horizontal="right" vertical="center"/>
    </xf>
    <xf numFmtId="176" fontId="15" fillId="0" borderId="11" xfId="0" applyNumberFormat="1" applyFont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176" fontId="14" fillId="0" borderId="22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14" fontId="15" fillId="0" borderId="13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77" fontId="12" fillId="0" borderId="0" xfId="0" applyNumberFormat="1" applyFont="1" applyAlignment="1">
      <alignment horizontal="right" vertical="center"/>
    </xf>
    <xf numFmtId="177" fontId="12" fillId="0" borderId="1" xfId="0" applyNumberFormat="1" applyFont="1" applyBorder="1" applyAlignment="1">
      <alignment horizontal="right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5" fontId="15" fillId="0" borderId="2" xfId="0" applyNumberFormat="1" applyFont="1" applyBorder="1" applyAlignment="1">
      <alignment horizontal="center" vertical="center"/>
    </xf>
    <xf numFmtId="5" fontId="15" fillId="0" borderId="11" xfId="0" applyNumberFormat="1" applyFont="1" applyBorder="1" applyAlignment="1">
      <alignment horizontal="center" vertical="center"/>
    </xf>
    <xf numFmtId="5" fontId="15" fillId="0" borderId="10" xfId="0" applyNumberFormat="1" applyFont="1" applyBorder="1" applyAlignment="1">
      <alignment horizontal="right" vertical="center" indent="1"/>
    </xf>
    <xf numFmtId="5" fontId="15" fillId="0" borderId="2" xfId="0" applyNumberFormat="1" applyFont="1" applyBorder="1" applyAlignment="1">
      <alignment horizontal="right" vertical="center" indent="1"/>
    </xf>
    <xf numFmtId="5" fontId="15" fillId="0" borderId="11" xfId="0" applyNumberFormat="1" applyFont="1" applyBorder="1" applyAlignment="1">
      <alignment horizontal="right" vertical="center" indent="1"/>
    </xf>
    <xf numFmtId="0" fontId="15" fillId="2" borderId="10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/>
    </xf>
    <xf numFmtId="178" fontId="15" fillId="0" borderId="10" xfId="0" applyNumberFormat="1" applyFont="1" applyBorder="1" applyAlignment="1">
      <alignment vertical="center"/>
    </xf>
    <xf numFmtId="178" fontId="15" fillId="0" borderId="2" xfId="0" applyNumberFormat="1" applyFont="1" applyBorder="1" applyAlignment="1">
      <alignment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</cellXfs>
  <cellStyles count="8">
    <cellStyle name="通貨 2" xfId="7" xr:uid="{245C45A2-1ECF-4033-8CC4-7306DB1AD876}"/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4" xfId="6" xr:uid="{758FB977-965A-42CC-8BA4-C6D9EF011610}"/>
    <cellStyle name="標準 6" xfId="3" xr:uid="{00000000-0005-0000-0000-000004000000}"/>
    <cellStyle name="標準 8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145</xdr:row>
      <xdr:rowOff>28575</xdr:rowOff>
    </xdr:from>
    <xdr:to>
      <xdr:col>29</xdr:col>
      <xdr:colOff>169500</xdr:colOff>
      <xdr:row>145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EAF96C3D-5527-4D6F-B2ED-D8865FA3FE22}"/>
            </a:ext>
          </a:extLst>
        </xdr:cNvPr>
        <xdr:cNvSpPr/>
      </xdr:nvSpPr>
      <xdr:spPr bwMode="auto">
        <a:xfrm>
          <a:off x="4533170" y="24793575"/>
          <a:ext cx="32263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145</xdr:row>
      <xdr:rowOff>30480</xdr:rowOff>
    </xdr:from>
    <xdr:to>
      <xdr:col>23</xdr:col>
      <xdr:colOff>169500</xdr:colOff>
      <xdr:row>145</xdr:row>
      <xdr:rowOff>174480</xdr:rowOff>
    </xdr:to>
    <xdr:sp macro="" textlink="">
      <xdr:nvSpPr>
        <xdr:cNvPr id="3" name="ホームベース 13">
          <a:extLst>
            <a:ext uri="{FF2B5EF4-FFF2-40B4-BE49-F238E27FC236}">
              <a16:creationId xmlns:a16="http://schemas.microsoft.com/office/drawing/2014/main" id="{E17FF601-53C9-466E-9FD2-9449541F1060}"/>
            </a:ext>
            <a:ext uri="{147F2762-F138-4A5C-976F-8EAC2B608ADB}">
              <a16:predDERef xmlns:a16="http://schemas.microsoft.com/office/drawing/2014/main" pred="{EAF96C3D-5527-4D6F-B2ED-D8865FA3FE22}"/>
            </a:ext>
          </a:extLst>
        </xdr:cNvPr>
        <xdr:cNvSpPr/>
      </xdr:nvSpPr>
      <xdr:spPr bwMode="auto">
        <a:xfrm>
          <a:off x="3562350" y="24795480"/>
          <a:ext cx="32190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129</xdr:row>
      <xdr:rowOff>38100</xdr:rowOff>
    </xdr:from>
    <xdr:to>
      <xdr:col>11</xdr:col>
      <xdr:colOff>60960</xdr:colOff>
      <xdr:row>130</xdr:row>
      <xdr:rowOff>141605</xdr:rowOff>
    </xdr:to>
    <xdr:sp macro="" textlink="">
      <xdr:nvSpPr>
        <xdr:cNvPr id="4" name="ホームベース 120">
          <a:extLst>
            <a:ext uri="{FF2B5EF4-FFF2-40B4-BE49-F238E27FC236}">
              <a16:creationId xmlns:a16="http://schemas.microsoft.com/office/drawing/2014/main" id="{7F6BCECB-8B26-46D4-BE15-703011097B4B}"/>
            </a:ext>
            <a:ext uri="{147F2762-F138-4A5C-976F-8EAC2B608ADB}">
              <a16:predDERef xmlns:a16="http://schemas.microsoft.com/office/drawing/2014/main" pred="{E17FF601-53C9-466E-9FD2-9449541F1060}"/>
            </a:ext>
          </a:extLst>
        </xdr:cNvPr>
        <xdr:cNvSpPr/>
      </xdr:nvSpPr>
      <xdr:spPr bwMode="auto">
        <a:xfrm>
          <a:off x="1495425" y="21755100"/>
          <a:ext cx="346710" cy="29400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133</xdr:row>
      <xdr:rowOff>48895</xdr:rowOff>
    </xdr:from>
    <xdr:to>
      <xdr:col>15</xdr:col>
      <xdr:colOff>60960</xdr:colOff>
      <xdr:row>134</xdr:row>
      <xdr:rowOff>152400</xdr:rowOff>
    </xdr:to>
    <xdr:sp macro="" textlink="">
      <xdr:nvSpPr>
        <xdr:cNvPr id="5" name="ホームベース 120">
          <a:extLst>
            <a:ext uri="{FF2B5EF4-FFF2-40B4-BE49-F238E27FC236}">
              <a16:creationId xmlns:a16="http://schemas.microsoft.com/office/drawing/2014/main" id="{F27E8065-4BD9-4F7F-A253-575B22FC1CEC}"/>
            </a:ext>
            <a:ext uri="{147F2762-F138-4A5C-976F-8EAC2B608ADB}">
              <a16:predDERef xmlns:a16="http://schemas.microsoft.com/office/drawing/2014/main" pred="{7F6BCECB-8B26-46D4-BE15-703011097B4B}"/>
            </a:ext>
          </a:extLst>
        </xdr:cNvPr>
        <xdr:cNvSpPr/>
      </xdr:nvSpPr>
      <xdr:spPr bwMode="auto">
        <a:xfrm>
          <a:off x="1834516" y="22527895"/>
          <a:ext cx="65531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135</xdr:row>
      <xdr:rowOff>38100</xdr:rowOff>
    </xdr:from>
    <xdr:to>
      <xdr:col>21</xdr:col>
      <xdr:colOff>15240</xdr:colOff>
      <xdr:row>136</xdr:row>
      <xdr:rowOff>144780</xdr:rowOff>
    </xdr:to>
    <xdr:sp macro="" textlink="">
      <xdr:nvSpPr>
        <xdr:cNvPr id="6" name="ホームベース 120">
          <a:extLst>
            <a:ext uri="{FF2B5EF4-FFF2-40B4-BE49-F238E27FC236}">
              <a16:creationId xmlns:a16="http://schemas.microsoft.com/office/drawing/2014/main" id="{76355DEF-9441-401F-8FE8-55915B5534FC}"/>
            </a:ext>
            <a:ext uri="{147F2762-F138-4A5C-976F-8EAC2B608ADB}">
              <a16:predDERef xmlns:a16="http://schemas.microsoft.com/office/drawing/2014/main" pred="{F27E8065-4BD9-4F7F-A253-575B22FC1CEC}"/>
            </a:ext>
          </a:extLst>
        </xdr:cNvPr>
        <xdr:cNvSpPr/>
      </xdr:nvSpPr>
      <xdr:spPr bwMode="auto">
        <a:xfrm>
          <a:off x="2489835" y="22898100"/>
          <a:ext cx="92583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137</xdr:row>
      <xdr:rowOff>48895</xdr:rowOff>
    </xdr:from>
    <xdr:to>
      <xdr:col>26</xdr:col>
      <xdr:colOff>137160</xdr:colOff>
      <xdr:row>138</xdr:row>
      <xdr:rowOff>152400</xdr:rowOff>
    </xdr:to>
    <xdr:sp macro="" textlink="">
      <xdr:nvSpPr>
        <xdr:cNvPr id="7" name="ホームベース 120">
          <a:extLst>
            <a:ext uri="{FF2B5EF4-FFF2-40B4-BE49-F238E27FC236}">
              <a16:creationId xmlns:a16="http://schemas.microsoft.com/office/drawing/2014/main" id="{1AAF469D-B502-42C8-BBB8-B42B8B5458F7}"/>
            </a:ext>
            <a:ext uri="{147F2762-F138-4A5C-976F-8EAC2B608ADB}">
              <a16:predDERef xmlns:a16="http://schemas.microsoft.com/office/drawing/2014/main" pred="{76355DEF-9441-401F-8FE8-55915B5534FC}"/>
            </a:ext>
          </a:extLst>
        </xdr:cNvPr>
        <xdr:cNvSpPr/>
      </xdr:nvSpPr>
      <xdr:spPr bwMode="auto">
        <a:xfrm>
          <a:off x="3438525" y="23289895"/>
          <a:ext cx="90868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139</xdr:row>
      <xdr:rowOff>48895</xdr:rowOff>
    </xdr:from>
    <xdr:to>
      <xdr:col>32</xdr:col>
      <xdr:colOff>45720</xdr:colOff>
      <xdr:row>140</xdr:row>
      <xdr:rowOff>140335</xdr:rowOff>
    </xdr:to>
    <xdr:sp macro="" textlink="">
      <xdr:nvSpPr>
        <xdr:cNvPr id="8" name="ホームベース 13">
          <a:extLst>
            <a:ext uri="{FF2B5EF4-FFF2-40B4-BE49-F238E27FC236}">
              <a16:creationId xmlns:a16="http://schemas.microsoft.com/office/drawing/2014/main" id="{11CE5603-FA01-416D-BEDD-88B4355AC61C}"/>
            </a:ext>
            <a:ext uri="{147F2762-F138-4A5C-976F-8EAC2B608ADB}">
              <a16:predDERef xmlns:a16="http://schemas.microsoft.com/office/drawing/2014/main" pred="{1AAF469D-B502-42C8-BBB8-B42B8B5458F7}"/>
            </a:ext>
          </a:extLst>
        </xdr:cNvPr>
        <xdr:cNvSpPr/>
      </xdr:nvSpPr>
      <xdr:spPr bwMode="auto">
        <a:xfrm>
          <a:off x="4556760" y="23670895"/>
          <a:ext cx="67056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143</xdr:row>
      <xdr:rowOff>38100</xdr:rowOff>
    </xdr:from>
    <xdr:to>
      <xdr:col>34</xdr:col>
      <xdr:colOff>152400</xdr:colOff>
      <xdr:row>144</xdr:row>
      <xdr:rowOff>141605</xdr:rowOff>
    </xdr:to>
    <xdr:sp macro="" textlink="">
      <xdr:nvSpPr>
        <xdr:cNvPr id="9" name="ホームベース 120">
          <a:extLst>
            <a:ext uri="{FF2B5EF4-FFF2-40B4-BE49-F238E27FC236}">
              <a16:creationId xmlns:a16="http://schemas.microsoft.com/office/drawing/2014/main" id="{7EB28DCE-32C0-4332-BA47-BE3C2FB9B6AB}"/>
            </a:ext>
            <a:ext uri="{147F2762-F138-4A5C-976F-8EAC2B608ADB}">
              <a16:predDERef xmlns:a16="http://schemas.microsoft.com/office/drawing/2014/main" pred="{11CE5603-FA01-416D-BEDD-88B4355AC61C}"/>
            </a:ext>
          </a:extLst>
        </xdr:cNvPr>
        <xdr:cNvSpPr/>
      </xdr:nvSpPr>
      <xdr:spPr bwMode="auto">
        <a:xfrm>
          <a:off x="5381625" y="24422100"/>
          <a:ext cx="27622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141</xdr:row>
      <xdr:rowOff>48895</xdr:rowOff>
    </xdr:from>
    <xdr:to>
      <xdr:col>32</xdr:col>
      <xdr:colOff>45720</xdr:colOff>
      <xdr:row>142</xdr:row>
      <xdr:rowOff>140335</xdr:rowOff>
    </xdr:to>
    <xdr:sp macro="" textlink="">
      <xdr:nvSpPr>
        <xdr:cNvPr id="10" name="ホームベース 13">
          <a:extLst>
            <a:ext uri="{FF2B5EF4-FFF2-40B4-BE49-F238E27FC236}">
              <a16:creationId xmlns:a16="http://schemas.microsoft.com/office/drawing/2014/main" id="{337B700A-6354-46B5-972F-EDF772D4E98A}"/>
            </a:ext>
            <a:ext uri="{147F2762-F138-4A5C-976F-8EAC2B608ADB}">
              <a16:predDERef xmlns:a16="http://schemas.microsoft.com/office/drawing/2014/main" pred="{7EB28DCE-32C0-4332-BA47-BE3C2FB9B6AB}"/>
            </a:ext>
          </a:extLst>
        </xdr:cNvPr>
        <xdr:cNvSpPr/>
      </xdr:nvSpPr>
      <xdr:spPr bwMode="auto">
        <a:xfrm>
          <a:off x="4556760" y="24051895"/>
          <a:ext cx="67056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131</xdr:row>
      <xdr:rowOff>38100</xdr:rowOff>
    </xdr:from>
    <xdr:to>
      <xdr:col>11</xdr:col>
      <xdr:colOff>60960</xdr:colOff>
      <xdr:row>132</xdr:row>
      <xdr:rowOff>141605</xdr:rowOff>
    </xdr:to>
    <xdr:sp macro="" textlink="">
      <xdr:nvSpPr>
        <xdr:cNvPr id="11" name="ホームベース 120">
          <a:extLst>
            <a:ext uri="{FF2B5EF4-FFF2-40B4-BE49-F238E27FC236}">
              <a16:creationId xmlns:a16="http://schemas.microsoft.com/office/drawing/2014/main" id="{3B02D68B-4A7C-429B-825A-4FF4A3048788}"/>
            </a:ext>
            <a:ext uri="{147F2762-F138-4A5C-976F-8EAC2B608ADB}">
              <a16:predDERef xmlns:a16="http://schemas.microsoft.com/office/drawing/2014/main" pred="{337B700A-6354-46B5-972F-EDF772D4E98A}"/>
            </a:ext>
          </a:extLst>
        </xdr:cNvPr>
        <xdr:cNvSpPr/>
      </xdr:nvSpPr>
      <xdr:spPr bwMode="auto">
        <a:xfrm>
          <a:off x="1495425" y="22136100"/>
          <a:ext cx="34671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162</xdr:row>
      <xdr:rowOff>28575</xdr:rowOff>
    </xdr:from>
    <xdr:to>
      <xdr:col>29</xdr:col>
      <xdr:colOff>169500</xdr:colOff>
      <xdr:row>162</xdr:row>
      <xdr:rowOff>172575</xdr:rowOff>
    </xdr:to>
    <xdr:sp macro="" textlink="">
      <xdr:nvSpPr>
        <xdr:cNvPr id="16" name="ホームベース 1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4693190" y="17066895"/>
          <a:ext cx="33787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162</xdr:row>
      <xdr:rowOff>30480</xdr:rowOff>
    </xdr:from>
    <xdr:to>
      <xdr:col>23</xdr:col>
      <xdr:colOff>169500</xdr:colOff>
      <xdr:row>162</xdr:row>
      <xdr:rowOff>174480</xdr:rowOff>
    </xdr:to>
    <xdr:sp macro="" textlink="">
      <xdr:nvSpPr>
        <xdr:cNvPr id="17" name="ホームベース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688080" y="17068800"/>
          <a:ext cx="33714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146</xdr:row>
      <xdr:rowOff>38100</xdr:rowOff>
    </xdr:from>
    <xdr:to>
      <xdr:col>11</xdr:col>
      <xdr:colOff>60960</xdr:colOff>
      <xdr:row>147</xdr:row>
      <xdr:rowOff>141605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546860" y="15278100"/>
          <a:ext cx="358140" cy="29400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150</xdr:row>
      <xdr:rowOff>48895</xdr:rowOff>
    </xdr:from>
    <xdr:to>
      <xdr:col>15</xdr:col>
      <xdr:colOff>60960</xdr:colOff>
      <xdr:row>151</xdr:row>
      <xdr:rowOff>152400</xdr:rowOff>
    </xdr:to>
    <xdr:sp macro="" textlink="">
      <xdr:nvSpPr>
        <xdr:cNvPr id="23" name="ホームベース 12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897381" y="15669895"/>
          <a:ext cx="67817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152</xdr:row>
      <xdr:rowOff>38100</xdr:rowOff>
    </xdr:from>
    <xdr:to>
      <xdr:col>21</xdr:col>
      <xdr:colOff>15240</xdr:colOff>
      <xdr:row>153</xdr:row>
      <xdr:rowOff>144780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2575560" y="16040100"/>
          <a:ext cx="96012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154</xdr:row>
      <xdr:rowOff>48895</xdr:rowOff>
    </xdr:from>
    <xdr:to>
      <xdr:col>26</xdr:col>
      <xdr:colOff>137160</xdr:colOff>
      <xdr:row>155</xdr:row>
      <xdr:rowOff>152400</xdr:rowOff>
    </xdr:to>
    <xdr:sp macro="" textlink="">
      <xdr:nvSpPr>
        <xdr:cNvPr id="25" name="ホームベース 1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3558540" y="16431895"/>
          <a:ext cx="93726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156</xdr:row>
      <xdr:rowOff>48895</xdr:rowOff>
    </xdr:from>
    <xdr:to>
      <xdr:col>32</xdr:col>
      <xdr:colOff>45720</xdr:colOff>
      <xdr:row>157</xdr:row>
      <xdr:rowOff>140335</xdr:rowOff>
    </xdr:to>
    <xdr:sp macro="" textlink="">
      <xdr:nvSpPr>
        <xdr:cNvPr id="26" name="ホームベース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716780" y="16812895"/>
          <a:ext cx="69342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160</xdr:row>
      <xdr:rowOff>38100</xdr:rowOff>
    </xdr:from>
    <xdr:to>
      <xdr:col>34</xdr:col>
      <xdr:colOff>152400</xdr:colOff>
      <xdr:row>161</xdr:row>
      <xdr:rowOff>141605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570220" y="17564100"/>
          <a:ext cx="2819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158</xdr:row>
      <xdr:rowOff>48895</xdr:rowOff>
    </xdr:from>
    <xdr:to>
      <xdr:col>32</xdr:col>
      <xdr:colOff>45720</xdr:colOff>
      <xdr:row>159</xdr:row>
      <xdr:rowOff>140335</xdr:rowOff>
    </xdr:to>
    <xdr:sp macro="" textlink="">
      <xdr:nvSpPr>
        <xdr:cNvPr id="2" name="ホームベース 13">
          <a:extLst>
            <a:ext uri="{FF2B5EF4-FFF2-40B4-BE49-F238E27FC236}">
              <a16:creationId xmlns:a16="http://schemas.microsoft.com/office/drawing/2014/main" id="{C7E78DE1-C5C6-4D8F-875D-EFCC9E77BA16}"/>
            </a:ext>
          </a:extLst>
        </xdr:cNvPr>
        <xdr:cNvSpPr/>
      </xdr:nvSpPr>
      <xdr:spPr bwMode="auto">
        <a:xfrm>
          <a:off x="4716780" y="17193895"/>
          <a:ext cx="69342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148</xdr:row>
      <xdr:rowOff>38100</xdr:rowOff>
    </xdr:from>
    <xdr:to>
      <xdr:col>11</xdr:col>
      <xdr:colOff>60960</xdr:colOff>
      <xdr:row>149</xdr:row>
      <xdr:rowOff>141605</xdr:rowOff>
    </xdr:to>
    <xdr:sp macro="" textlink="">
      <xdr:nvSpPr>
        <xdr:cNvPr id="3" name="ホームベース 120">
          <a:extLst>
            <a:ext uri="{FF2B5EF4-FFF2-40B4-BE49-F238E27FC236}">
              <a16:creationId xmlns:a16="http://schemas.microsoft.com/office/drawing/2014/main" id="{A1AD004D-3B77-4746-8D88-3DF519038A8A}"/>
            </a:ext>
          </a:extLst>
        </xdr:cNvPr>
        <xdr:cNvSpPr/>
      </xdr:nvSpPr>
      <xdr:spPr bwMode="auto">
        <a:xfrm>
          <a:off x="1546860" y="21755100"/>
          <a:ext cx="3581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BA5E-82C9-4B87-9C66-3D5BECACC5C8}">
  <dimension ref="A1:AK190"/>
  <sheetViews>
    <sheetView showGridLines="0" view="pageBreakPreview" topLeftCell="A40" zoomScaleNormal="100" zoomScaleSheetLayoutView="100" workbookViewId="0">
      <selection activeCell="AD58" sqref="AD58"/>
    </sheetView>
  </sheetViews>
  <sheetFormatPr defaultColWidth="2.5" defaultRowHeight="15" customHeight="1" x14ac:dyDescent="0.15"/>
  <cols>
    <col min="1" max="1" width="2.5" style="3"/>
    <col min="2" max="27" width="2.5" style="4"/>
    <col min="28" max="28" width="2.5" style="4" customWidth="1"/>
    <col min="29" max="38" width="2.875" style="4" customWidth="1"/>
    <col min="39" max="39" width="3.5" style="4" bestFit="1" customWidth="1"/>
    <col min="40" max="16384" width="2.5" style="4"/>
  </cols>
  <sheetData>
    <row r="1" spans="1:37" s="1" customFormat="1" ht="15" customHeight="1" x14ac:dyDescent="0.1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Y2" s="11" t="s">
        <v>3</v>
      </c>
      <c r="Z2" s="11"/>
      <c r="AA2" s="11"/>
      <c r="AB2" s="11"/>
      <c r="AC2" s="11"/>
      <c r="AD2" s="11"/>
      <c r="AE2" s="11"/>
      <c r="AF2" s="81">
        <v>45873</v>
      </c>
      <c r="AG2" s="82"/>
      <c r="AH2" s="82"/>
      <c r="AI2" s="82"/>
      <c r="AJ2" s="82"/>
      <c r="AK2" s="4"/>
    </row>
    <row r="3" spans="1:37" s="1" customFormat="1" ht="15" customHeight="1" x14ac:dyDescent="0.15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15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15">
      <c r="A5" s="83" t="s">
        <v>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15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15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15">
      <c r="A9" s="85" t="s">
        <v>5</v>
      </c>
      <c r="B9" s="85"/>
      <c r="C9" s="85"/>
      <c r="D9" s="85"/>
      <c r="E9" s="85"/>
      <c r="F9" s="87">
        <f>AE44</f>
        <v>5010000</v>
      </c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15">
      <c r="A10" s="86"/>
      <c r="B10" s="86"/>
      <c r="C10" s="86"/>
      <c r="D10" s="86"/>
      <c r="E10" s="86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15">
      <c r="A11" s="2"/>
    </row>
    <row r="12" spans="1:37" s="1" customFormat="1" ht="15" customHeight="1" x14ac:dyDescent="0.15">
      <c r="A12" s="2"/>
    </row>
    <row r="13" spans="1:37" ht="15" customHeight="1" x14ac:dyDescent="0.15">
      <c r="A13" s="3" t="s">
        <v>6</v>
      </c>
    </row>
    <row r="15" spans="1:37" ht="15" customHeight="1" x14ac:dyDescent="0.15">
      <c r="B15" s="4" t="s">
        <v>7</v>
      </c>
    </row>
    <row r="18" spans="1:16" ht="15" customHeight="1" x14ac:dyDescent="0.15">
      <c r="A18" s="4"/>
    </row>
    <row r="19" spans="1:16" ht="15" customHeight="1" x14ac:dyDescent="0.15">
      <c r="A19" s="3" t="s">
        <v>8</v>
      </c>
      <c r="P19" s="3"/>
    </row>
    <row r="20" spans="1:16" ht="15" customHeight="1" x14ac:dyDescent="0.15">
      <c r="A20" s="4"/>
    </row>
    <row r="21" spans="1:16" ht="15" customHeight="1" x14ac:dyDescent="0.15">
      <c r="A21" s="4"/>
      <c r="B21" s="4" t="s">
        <v>9</v>
      </c>
    </row>
    <row r="22" spans="1:16" ht="15" customHeight="1" x14ac:dyDescent="0.15">
      <c r="A22" s="4"/>
    </row>
    <row r="23" spans="1:16" ht="15" customHeight="1" x14ac:dyDescent="0.15">
      <c r="A23" s="4"/>
    </row>
    <row r="24" spans="1:16" ht="15" customHeight="1" x14ac:dyDescent="0.15">
      <c r="A24" s="3" t="s">
        <v>10</v>
      </c>
    </row>
    <row r="25" spans="1:16" ht="15" customHeight="1" x14ac:dyDescent="0.15">
      <c r="A25" s="4"/>
    </row>
    <row r="26" spans="1:16" ht="15" customHeight="1" x14ac:dyDescent="0.15">
      <c r="A26" s="4"/>
      <c r="B26" s="4" t="s">
        <v>11</v>
      </c>
    </row>
    <row r="27" spans="1:16" ht="15" customHeight="1" x14ac:dyDescent="0.15">
      <c r="A27" s="4"/>
    </row>
    <row r="28" spans="1:16" ht="15" customHeight="1" x14ac:dyDescent="0.15">
      <c r="A28" s="4"/>
    </row>
    <row r="29" spans="1:16" ht="15" customHeight="1" x14ac:dyDescent="0.15">
      <c r="A29" s="3" t="s">
        <v>12</v>
      </c>
    </row>
    <row r="31" spans="1:16" ht="15" customHeight="1" x14ac:dyDescent="0.15">
      <c r="A31" s="4"/>
      <c r="B31" s="4" t="s">
        <v>111</v>
      </c>
    </row>
    <row r="32" spans="1:16" ht="15" customHeight="1" x14ac:dyDescent="0.15">
      <c r="A32" s="4"/>
    </row>
    <row r="33" spans="1:36" ht="15" customHeight="1" x14ac:dyDescent="0.15">
      <c r="A33" s="4"/>
    </row>
    <row r="34" spans="1:36" ht="15" customHeight="1" x14ac:dyDescent="0.15">
      <c r="A34" s="3" t="s">
        <v>13</v>
      </c>
    </row>
    <row r="35" spans="1:36" ht="15" customHeight="1" x14ac:dyDescent="0.15">
      <c r="A35" s="4"/>
    </row>
    <row r="36" spans="1:36" ht="15" customHeight="1" x14ac:dyDescent="0.15">
      <c r="A36" s="4"/>
      <c r="B36" s="5" t="s">
        <v>14</v>
      </c>
      <c r="C36" s="6"/>
      <c r="D36" s="89" t="s">
        <v>15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90" t="s">
        <v>16</v>
      </c>
      <c r="AF36" s="70"/>
      <c r="AG36" s="70"/>
      <c r="AH36" s="70"/>
      <c r="AI36" s="70"/>
      <c r="AJ36" s="91"/>
    </row>
    <row r="37" spans="1:36" ht="15" customHeight="1" x14ac:dyDescent="0.15">
      <c r="A37" s="4"/>
      <c r="B37" s="71">
        <v>1</v>
      </c>
      <c r="C37" s="72"/>
      <c r="D37" s="42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73">
        <v>250000</v>
      </c>
      <c r="AF37" s="74"/>
      <c r="AG37" s="74"/>
      <c r="AH37" s="74"/>
      <c r="AI37" s="74"/>
      <c r="AJ37" s="75"/>
    </row>
    <row r="38" spans="1:36" ht="15" customHeight="1" x14ac:dyDescent="0.15">
      <c r="A38" s="4"/>
      <c r="B38" s="71">
        <v>2</v>
      </c>
      <c r="C38" s="72"/>
      <c r="D38" s="42" t="s">
        <v>18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73">
        <v>750000</v>
      </c>
      <c r="AF38" s="74"/>
      <c r="AG38" s="74"/>
      <c r="AH38" s="74"/>
      <c r="AI38" s="74"/>
      <c r="AJ38" s="75"/>
    </row>
    <row r="39" spans="1:36" ht="15" customHeight="1" x14ac:dyDescent="0.15">
      <c r="A39" s="4"/>
      <c r="B39" s="71">
        <v>3</v>
      </c>
      <c r="C39" s="72"/>
      <c r="D39" s="42" t="s">
        <v>19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73">
        <v>1500000</v>
      </c>
      <c r="AF39" s="74"/>
      <c r="AG39" s="74"/>
      <c r="AH39" s="74"/>
      <c r="AI39" s="74"/>
      <c r="AJ39" s="75"/>
    </row>
    <row r="40" spans="1:36" ht="15" customHeight="1" x14ac:dyDescent="0.15">
      <c r="A40" s="4"/>
      <c r="B40" s="71">
        <v>4</v>
      </c>
      <c r="C40" s="72"/>
      <c r="D40" s="42" t="s">
        <v>20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  <c r="AE40" s="73">
        <v>1200000</v>
      </c>
      <c r="AF40" s="74"/>
      <c r="AG40" s="74"/>
      <c r="AH40" s="74"/>
      <c r="AI40" s="74"/>
      <c r="AJ40" s="75"/>
    </row>
    <row r="41" spans="1:36" ht="15" customHeight="1" x14ac:dyDescent="0.15">
      <c r="A41" s="4"/>
      <c r="B41" s="71">
        <v>5</v>
      </c>
      <c r="C41" s="72"/>
      <c r="D41" s="42" t="s">
        <v>21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73">
        <v>300000</v>
      </c>
      <c r="AF41" s="74"/>
      <c r="AG41" s="74"/>
      <c r="AH41" s="74"/>
      <c r="AI41" s="74"/>
      <c r="AJ41" s="75"/>
    </row>
    <row r="42" spans="1:36" ht="15" customHeight="1" x14ac:dyDescent="0.15">
      <c r="A42" s="4"/>
      <c r="B42" s="71">
        <v>6</v>
      </c>
      <c r="C42" s="72"/>
      <c r="D42" s="42" t="s">
        <v>22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73">
        <v>100000</v>
      </c>
      <c r="AF42" s="74"/>
      <c r="AG42" s="74"/>
      <c r="AH42" s="74"/>
      <c r="AI42" s="74"/>
      <c r="AJ42" s="75"/>
    </row>
    <row r="43" spans="1:36" ht="15" customHeight="1" x14ac:dyDescent="0.15">
      <c r="A43" s="4"/>
      <c r="B43" s="71">
        <v>7</v>
      </c>
      <c r="C43" s="72"/>
      <c r="D43" s="42" t="s">
        <v>23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  <c r="AE43" s="73">
        <v>910000</v>
      </c>
      <c r="AF43" s="74"/>
      <c r="AG43" s="74"/>
      <c r="AH43" s="74"/>
      <c r="AI43" s="74"/>
      <c r="AJ43" s="75"/>
    </row>
    <row r="44" spans="1:36" ht="15" customHeight="1" x14ac:dyDescent="0.15">
      <c r="A44" s="4"/>
      <c r="B44" s="76" t="s">
        <v>24</v>
      </c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8"/>
      <c r="AE44" s="79">
        <f>SUM(AE37:AJ43)</f>
        <v>5010000</v>
      </c>
      <c r="AF44" s="79"/>
      <c r="AG44" s="79"/>
      <c r="AH44" s="79"/>
      <c r="AI44" s="79"/>
      <c r="AJ44" s="79"/>
    </row>
    <row r="45" spans="1:36" ht="15" customHeight="1" x14ac:dyDescent="0.15">
      <c r="A45" s="4"/>
      <c r="AB45" s="13"/>
    </row>
    <row r="46" spans="1:36" ht="15" customHeight="1" x14ac:dyDescent="0.15">
      <c r="A46" s="4"/>
      <c r="AB46" s="13"/>
    </row>
    <row r="47" spans="1:36" ht="15" customHeight="1" x14ac:dyDescent="0.15">
      <c r="A47" s="3" t="s">
        <v>25</v>
      </c>
    </row>
    <row r="49" spans="1:24" ht="15" customHeight="1" x14ac:dyDescent="0.15">
      <c r="A49" s="4"/>
      <c r="B49" s="43" t="s">
        <v>26</v>
      </c>
      <c r="C49" s="4" t="s">
        <v>27</v>
      </c>
      <c r="K49" s="43" t="s">
        <v>26</v>
      </c>
      <c r="L49" s="4" t="s">
        <v>28</v>
      </c>
    </row>
    <row r="50" spans="1:24" ht="15" customHeight="1" x14ac:dyDescent="0.15">
      <c r="A50" s="4"/>
      <c r="B50" s="43" t="s">
        <v>26</v>
      </c>
      <c r="C50" s="4" t="s">
        <v>29</v>
      </c>
      <c r="K50" s="4" t="s">
        <v>26</v>
      </c>
      <c r="L50" s="4" t="s">
        <v>30</v>
      </c>
    </row>
    <row r="51" spans="1:24" ht="15" customHeight="1" x14ac:dyDescent="0.15">
      <c r="A51" s="4"/>
    </row>
    <row r="53" spans="1:24" ht="15" customHeight="1" x14ac:dyDescent="0.15">
      <c r="A53" s="56" t="s">
        <v>114</v>
      </c>
      <c r="B53" s="5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1:24" ht="15" customHeight="1" x14ac:dyDescent="0.15">
      <c r="A54" s="55"/>
      <c r="B54" s="57" t="s">
        <v>115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ht="15" customHeight="1" x14ac:dyDescent="0.15">
      <c r="A55" s="55"/>
      <c r="B55" s="57"/>
      <c r="C55" s="58" t="s">
        <v>116</v>
      </c>
      <c r="D55" s="55" t="s">
        <v>119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spans="1:24" ht="15" customHeight="1" x14ac:dyDescent="0.15">
      <c r="A56" s="55"/>
      <c r="B56" s="57"/>
      <c r="C56" s="58" t="s">
        <v>117</v>
      </c>
      <c r="D56" s="55" t="s">
        <v>120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1:24" ht="15" customHeight="1" x14ac:dyDescent="0.15">
      <c r="A57" s="55"/>
      <c r="B57" s="57"/>
      <c r="C57" s="58" t="s">
        <v>118</v>
      </c>
      <c r="D57" s="55" t="s">
        <v>121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spans="1:24" ht="15" customHeight="1" x14ac:dyDescent="0.15">
      <c r="A58" s="55"/>
      <c r="B58" s="57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spans="1:24" ht="15" customHeight="1" x14ac:dyDescent="0.15">
      <c r="A59" s="55"/>
      <c r="B59" s="57" t="s">
        <v>122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1:24" ht="15" customHeight="1" x14ac:dyDescent="0.15">
      <c r="A60" s="55"/>
      <c r="B60" s="57"/>
      <c r="C60" s="58" t="s">
        <v>116</v>
      </c>
      <c r="D60" s="55" t="s">
        <v>123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spans="1:24" ht="15" customHeight="1" x14ac:dyDescent="0.15">
      <c r="A61" s="55"/>
      <c r="B61" s="57"/>
      <c r="C61" s="58" t="s">
        <v>117</v>
      </c>
      <c r="D61" s="55" t="s">
        <v>124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spans="1:24" ht="15" customHeight="1" x14ac:dyDescent="0.15">
      <c r="A62" s="4"/>
      <c r="B62" s="8"/>
    </row>
    <row r="63" spans="1:24" ht="15" customHeight="1" x14ac:dyDescent="0.15">
      <c r="A63" s="4"/>
      <c r="B63" s="8"/>
    </row>
    <row r="64" spans="1:24" ht="15" customHeight="1" x14ac:dyDescent="0.15">
      <c r="A64" s="3" t="s">
        <v>31</v>
      </c>
    </row>
    <row r="65" spans="2:21" ht="15" customHeight="1" x14ac:dyDescent="0.15">
      <c r="B65" s="8" t="s">
        <v>115</v>
      </c>
    </row>
    <row r="66" spans="2:21" ht="15" customHeight="1" x14ac:dyDescent="0.15">
      <c r="C66" s="17" t="s">
        <v>116</v>
      </c>
      <c r="D66" s="4" t="s">
        <v>119</v>
      </c>
    </row>
    <row r="67" spans="2:21" ht="15" customHeight="1" x14ac:dyDescent="0.15">
      <c r="C67" s="17"/>
      <c r="D67" s="55" t="s">
        <v>125</v>
      </c>
      <c r="E67" s="55"/>
      <c r="F67" s="55"/>
      <c r="G67" s="55"/>
      <c r="H67" s="55"/>
      <c r="I67" s="55"/>
      <c r="J67" s="55"/>
      <c r="K67" s="55"/>
      <c r="L67" s="55"/>
      <c r="M67" s="55"/>
    </row>
    <row r="68" spans="2:21" ht="15" customHeight="1" x14ac:dyDescent="0.15">
      <c r="E68" s="4" t="s">
        <v>126</v>
      </c>
    </row>
    <row r="69" spans="2:21" ht="15" customHeight="1" x14ac:dyDescent="0.15">
      <c r="E69" s="4" t="s">
        <v>127</v>
      </c>
    </row>
    <row r="70" spans="2:21" ht="15" customHeight="1" x14ac:dyDescent="0.15">
      <c r="D70" s="55" t="s">
        <v>34</v>
      </c>
      <c r="E70" s="55"/>
      <c r="F70" s="55"/>
      <c r="G70" s="55"/>
      <c r="H70" s="55"/>
      <c r="I70" s="55"/>
      <c r="J70" s="55"/>
      <c r="K70" s="55"/>
      <c r="L70" s="55"/>
      <c r="M70" s="55"/>
    </row>
    <row r="71" spans="2:21" ht="15" customHeight="1" x14ac:dyDescent="0.15">
      <c r="D71" s="55"/>
      <c r="E71" s="55" t="s">
        <v>130</v>
      </c>
      <c r="F71" s="55"/>
      <c r="G71" s="55"/>
      <c r="H71" s="55"/>
      <c r="I71" s="55"/>
      <c r="J71" s="55"/>
      <c r="K71" s="55"/>
      <c r="L71" s="55"/>
      <c r="M71" s="55"/>
    </row>
    <row r="72" spans="2:21" ht="15" customHeight="1" x14ac:dyDescent="0.15">
      <c r="D72" s="55" t="s">
        <v>128</v>
      </c>
      <c r="E72" s="55"/>
      <c r="F72" s="55"/>
      <c r="G72" s="55"/>
      <c r="H72" s="55"/>
      <c r="I72" s="55"/>
      <c r="J72" s="55"/>
      <c r="K72" s="55"/>
      <c r="L72" s="55"/>
      <c r="M72" s="55"/>
    </row>
    <row r="73" spans="2:21" ht="15" customHeight="1" x14ac:dyDescent="0.15">
      <c r="E73" s="55" t="s">
        <v>129</v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spans="2:21" ht="15" customHeight="1" x14ac:dyDescent="0.15">
      <c r="C74" s="17" t="s">
        <v>117</v>
      </c>
      <c r="D74" s="4" t="s">
        <v>120</v>
      </c>
    </row>
    <row r="75" spans="2:21" ht="15" customHeight="1" x14ac:dyDescent="0.15">
      <c r="D75" s="4" t="s">
        <v>93</v>
      </c>
    </row>
    <row r="77" spans="2:21" ht="15" customHeight="1" x14ac:dyDescent="0.15">
      <c r="C77" s="17" t="s">
        <v>118</v>
      </c>
      <c r="D77" s="4" t="s">
        <v>121</v>
      </c>
    </row>
    <row r="78" spans="2:21" ht="15" customHeight="1" x14ac:dyDescent="0.15">
      <c r="D78" s="4" t="s">
        <v>94</v>
      </c>
    </row>
    <row r="79" spans="2:21" ht="15" customHeight="1" x14ac:dyDescent="0.15">
      <c r="D79" s="4" t="s">
        <v>95</v>
      </c>
    </row>
    <row r="81" spans="2:13" ht="15" customHeight="1" x14ac:dyDescent="0.15">
      <c r="B81" s="8" t="s">
        <v>122</v>
      </c>
    </row>
    <row r="82" spans="2:13" ht="15" customHeight="1" x14ac:dyDescent="0.15">
      <c r="B82" s="8"/>
      <c r="C82" s="17" t="s">
        <v>116</v>
      </c>
      <c r="D82" s="4" t="s">
        <v>123</v>
      </c>
    </row>
    <row r="83" spans="2:13" ht="15" customHeight="1" x14ac:dyDescent="0.15">
      <c r="D83" s="55" t="s">
        <v>32</v>
      </c>
      <c r="E83" s="55"/>
      <c r="F83" s="55"/>
      <c r="G83" s="55"/>
      <c r="H83" s="55"/>
      <c r="I83" s="55"/>
      <c r="J83" s="55"/>
      <c r="K83" s="55"/>
      <c r="L83" s="55"/>
      <c r="M83" s="55"/>
    </row>
    <row r="84" spans="2:13" ht="15" customHeight="1" x14ac:dyDescent="0.15">
      <c r="E84" s="4" t="s">
        <v>90</v>
      </c>
    </row>
    <row r="85" spans="2:13" ht="15" customHeight="1" x14ac:dyDescent="0.15">
      <c r="E85" s="4" t="s">
        <v>33</v>
      </c>
    </row>
    <row r="86" spans="2:13" ht="15" customHeight="1" x14ac:dyDescent="0.15">
      <c r="E86" s="4" t="s">
        <v>96</v>
      </c>
    </row>
    <row r="87" spans="2:13" ht="15" customHeight="1" x14ac:dyDescent="0.15">
      <c r="E87" s="4" t="s">
        <v>97</v>
      </c>
    </row>
    <row r="88" spans="2:13" ht="15" customHeight="1" x14ac:dyDescent="0.15">
      <c r="E88" s="4" t="s">
        <v>98</v>
      </c>
    </row>
    <row r="89" spans="2:13" ht="15" customHeight="1" x14ac:dyDescent="0.15">
      <c r="E89" s="4" t="s">
        <v>99</v>
      </c>
    </row>
    <row r="90" spans="2:13" ht="15" customHeight="1" x14ac:dyDescent="0.15">
      <c r="E90" s="4" t="s">
        <v>101</v>
      </c>
    </row>
    <row r="91" spans="2:13" ht="15" customHeight="1" x14ac:dyDescent="0.15">
      <c r="D91" s="55" t="s">
        <v>34</v>
      </c>
      <c r="E91" s="55"/>
      <c r="F91" s="55"/>
      <c r="G91" s="55"/>
      <c r="H91" s="55"/>
      <c r="I91" s="55"/>
      <c r="J91" s="55"/>
      <c r="K91" s="55"/>
      <c r="L91" s="55"/>
    </row>
    <row r="92" spans="2:13" ht="15" customHeight="1" x14ac:dyDescent="0.15">
      <c r="E92" s="4" t="s">
        <v>100</v>
      </c>
    </row>
    <row r="93" spans="2:13" ht="15" customHeight="1" x14ac:dyDescent="0.15">
      <c r="E93" s="14" t="s">
        <v>96</v>
      </c>
      <c r="F93" s="14"/>
      <c r="G93" s="14"/>
      <c r="H93" s="14"/>
      <c r="I93" s="14"/>
    </row>
    <row r="94" spans="2:13" ht="15" customHeight="1" x14ac:dyDescent="0.15">
      <c r="E94" s="14" t="s">
        <v>101</v>
      </c>
      <c r="F94" s="14"/>
      <c r="G94" s="14"/>
      <c r="H94" s="14"/>
      <c r="I94" s="14"/>
    </row>
    <row r="96" spans="2:13" ht="15" customHeight="1" x14ac:dyDescent="0.15">
      <c r="C96" s="17" t="s">
        <v>117</v>
      </c>
      <c r="D96" s="4" t="s">
        <v>124</v>
      </c>
    </row>
    <row r="97" spans="1:36" ht="15" customHeight="1" x14ac:dyDescent="0.15">
      <c r="D97" s="4" t="s">
        <v>32</v>
      </c>
    </row>
    <row r="98" spans="1:36" ht="15" customHeight="1" x14ac:dyDescent="0.15">
      <c r="E98" s="4" t="s">
        <v>90</v>
      </c>
    </row>
    <row r="99" spans="1:36" ht="15" customHeight="1" x14ac:dyDescent="0.15">
      <c r="E99" s="4" t="s">
        <v>102</v>
      </c>
    </row>
    <row r="100" spans="1:36" ht="15" customHeight="1" x14ac:dyDescent="0.15">
      <c r="E100" s="4" t="s">
        <v>33</v>
      </c>
    </row>
    <row r="101" spans="1:36" ht="15" customHeight="1" x14ac:dyDescent="0.15">
      <c r="E101" s="4" t="s">
        <v>103</v>
      </c>
    </row>
    <row r="102" spans="1:36" ht="15" customHeight="1" x14ac:dyDescent="0.15">
      <c r="E102" s="4" t="s">
        <v>105</v>
      </c>
    </row>
    <row r="103" spans="1:36" ht="15" customHeight="1" x14ac:dyDescent="0.15">
      <c r="E103" s="4" t="s">
        <v>104</v>
      </c>
    </row>
    <row r="104" spans="1:36" ht="15" customHeight="1" x14ac:dyDescent="0.15">
      <c r="E104" s="4" t="s">
        <v>106</v>
      </c>
    </row>
    <row r="105" spans="1:36" ht="15" customHeight="1" x14ac:dyDescent="0.15">
      <c r="D105" s="55" t="s">
        <v>34</v>
      </c>
      <c r="E105" s="55"/>
      <c r="F105" s="55"/>
      <c r="G105" s="55"/>
      <c r="H105" s="55"/>
      <c r="I105" s="55"/>
      <c r="J105" s="55"/>
    </row>
    <row r="106" spans="1:36" ht="15" customHeight="1" x14ac:dyDescent="0.15">
      <c r="E106" s="4" t="s">
        <v>100</v>
      </c>
    </row>
    <row r="107" spans="1:36" ht="15" customHeight="1" x14ac:dyDescent="0.15">
      <c r="E107" s="4" t="s">
        <v>107</v>
      </c>
    </row>
    <row r="109" spans="1:36" ht="15" customHeight="1" x14ac:dyDescent="0.15">
      <c r="A109" s="4"/>
      <c r="B109" s="4" t="s">
        <v>35</v>
      </c>
    </row>
    <row r="110" spans="1:36" ht="15" customHeight="1" x14ac:dyDescent="0.15">
      <c r="A110" s="4"/>
      <c r="B110" s="5" t="s">
        <v>14</v>
      </c>
      <c r="C110" s="6"/>
      <c r="D110" s="5" t="s">
        <v>36</v>
      </c>
      <c r="E110" s="7"/>
      <c r="F110" s="7"/>
      <c r="G110" s="7"/>
      <c r="H110" s="6"/>
      <c r="I110" s="5" t="s">
        <v>31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35"/>
      <c r="AD110" s="35"/>
      <c r="AE110" s="35"/>
      <c r="AF110" s="35"/>
      <c r="AG110" s="35"/>
      <c r="AH110" s="35"/>
      <c r="AI110" s="35"/>
      <c r="AJ110" s="36"/>
    </row>
    <row r="111" spans="1:36" ht="15" customHeight="1" x14ac:dyDescent="0.15">
      <c r="A111" s="4"/>
      <c r="B111" s="65">
        <v>1</v>
      </c>
      <c r="C111" s="66"/>
      <c r="D111" s="15" t="s">
        <v>37</v>
      </c>
      <c r="E111" s="17"/>
      <c r="F111" s="17"/>
      <c r="G111" s="17"/>
      <c r="H111" s="17"/>
      <c r="I111" s="31" t="s">
        <v>38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3"/>
    </row>
    <row r="112" spans="1:36" ht="15" customHeight="1" x14ac:dyDescent="0.15">
      <c r="A112" s="4"/>
      <c r="B112" s="67"/>
      <c r="C112" s="68"/>
      <c r="D112" s="16"/>
      <c r="E112" s="20"/>
      <c r="F112" s="20"/>
      <c r="G112" s="20"/>
      <c r="H112" s="20"/>
      <c r="I112" s="21" t="s">
        <v>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3"/>
    </row>
    <row r="113" spans="1:36" ht="15" customHeight="1" x14ac:dyDescent="0.15">
      <c r="A113" s="4"/>
      <c r="B113" s="65">
        <v>2</v>
      </c>
      <c r="C113" s="66"/>
      <c r="D113" s="15" t="s">
        <v>40</v>
      </c>
      <c r="E113" s="17"/>
      <c r="F113" s="17"/>
      <c r="G113" s="17"/>
      <c r="H113" s="17"/>
      <c r="I113" s="31" t="s">
        <v>41</v>
      </c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3"/>
    </row>
    <row r="114" spans="1:36" ht="15" customHeight="1" x14ac:dyDescent="0.15">
      <c r="A114" s="4"/>
      <c r="B114" s="67"/>
      <c r="C114" s="68"/>
      <c r="D114" s="16"/>
      <c r="E114" s="20"/>
      <c r="F114" s="20"/>
      <c r="G114" s="20"/>
      <c r="H114" s="20"/>
      <c r="I114" s="21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3"/>
    </row>
    <row r="115" spans="1:36" ht="15" customHeight="1" x14ac:dyDescent="0.15">
      <c r="A115" s="4"/>
      <c r="B115" s="65">
        <v>3</v>
      </c>
      <c r="C115" s="66"/>
      <c r="D115" s="44" t="s">
        <v>42</v>
      </c>
      <c r="E115" s="18"/>
      <c r="F115" s="18"/>
      <c r="G115" s="18"/>
      <c r="H115" s="18"/>
      <c r="I115" s="26" t="s">
        <v>43</v>
      </c>
      <c r="AJ115" s="19"/>
    </row>
    <row r="116" spans="1:36" ht="15" customHeight="1" x14ac:dyDescent="0.15">
      <c r="A116" s="4"/>
      <c r="B116" s="67"/>
      <c r="C116" s="68"/>
      <c r="D116" s="16"/>
      <c r="E116" s="20"/>
      <c r="F116" s="20"/>
      <c r="G116" s="20"/>
      <c r="H116" s="20"/>
      <c r="I116" s="26"/>
      <c r="AJ116" s="19"/>
    </row>
    <row r="117" spans="1:36" ht="15" customHeight="1" x14ac:dyDescent="0.15">
      <c r="A117" s="4"/>
      <c r="B117" s="65">
        <v>4</v>
      </c>
      <c r="C117" s="66"/>
      <c r="D117" s="15" t="s">
        <v>44</v>
      </c>
      <c r="E117" s="17"/>
      <c r="F117" s="17"/>
      <c r="G117" s="17"/>
      <c r="H117" s="17"/>
      <c r="I117" s="31" t="s">
        <v>45</v>
      </c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3"/>
    </row>
    <row r="118" spans="1:36" ht="15" customHeight="1" x14ac:dyDescent="0.15">
      <c r="A118" s="4"/>
      <c r="B118" s="67"/>
      <c r="C118" s="68"/>
      <c r="D118" s="16"/>
      <c r="E118" s="20"/>
      <c r="F118" s="20"/>
      <c r="G118" s="20"/>
      <c r="H118" s="20"/>
      <c r="I118" s="21" t="s">
        <v>46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3"/>
    </row>
    <row r="119" spans="1:36" ht="15" customHeight="1" x14ac:dyDescent="0.15">
      <c r="A119" s="4"/>
      <c r="B119" s="65">
        <v>5</v>
      </c>
      <c r="C119" s="66"/>
      <c r="D119" s="15" t="s">
        <v>47</v>
      </c>
      <c r="E119" s="17"/>
      <c r="F119" s="17"/>
      <c r="G119" s="17"/>
      <c r="H119" s="17"/>
      <c r="I119" s="31" t="s">
        <v>48</v>
      </c>
      <c r="AJ119" s="19"/>
    </row>
    <row r="120" spans="1:36" ht="15" customHeight="1" x14ac:dyDescent="0.15">
      <c r="A120" s="4"/>
      <c r="B120" s="67"/>
      <c r="C120" s="68"/>
      <c r="D120" s="16"/>
      <c r="E120" s="20"/>
      <c r="F120" s="20"/>
      <c r="G120" s="20"/>
      <c r="H120" s="20"/>
      <c r="I120" s="26"/>
      <c r="AJ120" s="19"/>
    </row>
    <row r="121" spans="1:36" ht="15" customHeight="1" x14ac:dyDescent="0.15">
      <c r="A121" s="4"/>
      <c r="B121" s="65">
        <v>6</v>
      </c>
      <c r="C121" s="66"/>
      <c r="D121" s="44" t="s">
        <v>49</v>
      </c>
      <c r="E121" s="17"/>
      <c r="F121" s="17"/>
      <c r="G121" s="17"/>
      <c r="H121" s="17"/>
      <c r="I121" s="31" t="s">
        <v>50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3"/>
    </row>
    <row r="122" spans="1:36" ht="15" customHeight="1" x14ac:dyDescent="0.15">
      <c r="A122" s="4"/>
      <c r="B122" s="67"/>
      <c r="C122" s="68"/>
      <c r="D122" s="16"/>
      <c r="E122" s="20"/>
      <c r="F122" s="20"/>
      <c r="G122" s="20"/>
      <c r="H122" s="20"/>
      <c r="I122" s="21" t="s">
        <v>51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3"/>
    </row>
    <row r="123" spans="1:36" ht="15" customHeight="1" x14ac:dyDescent="0.15">
      <c r="A123" s="4"/>
      <c r="B123" s="65">
        <v>7</v>
      </c>
      <c r="C123" s="66"/>
      <c r="D123" s="44" t="s">
        <v>52</v>
      </c>
      <c r="E123" s="18"/>
      <c r="F123" s="18"/>
      <c r="G123" s="18"/>
      <c r="H123" s="18"/>
      <c r="I123" s="26" t="s">
        <v>53</v>
      </c>
      <c r="AJ123" s="19"/>
    </row>
    <row r="124" spans="1:36" ht="15" customHeight="1" x14ac:dyDescent="0.15">
      <c r="A124" s="4"/>
      <c r="B124" s="67"/>
      <c r="C124" s="68"/>
      <c r="D124" s="16" t="s">
        <v>54</v>
      </c>
      <c r="E124" s="20"/>
      <c r="F124" s="20"/>
      <c r="G124" s="20"/>
      <c r="H124" s="20"/>
      <c r="I124" s="21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3"/>
    </row>
    <row r="125" spans="1:36" ht="15" customHeight="1" x14ac:dyDescent="0.15">
      <c r="A125" s="4"/>
      <c r="C125" s="12"/>
      <c r="J125" s="17"/>
      <c r="K125" s="17"/>
      <c r="AA125" s="34"/>
      <c r="AB125" s="34"/>
      <c r="AC125" s="34"/>
      <c r="AD125" s="34"/>
      <c r="AE125" s="34"/>
      <c r="AF125" s="34"/>
      <c r="AG125" s="34"/>
    </row>
    <row r="127" spans="1:36" ht="15" customHeight="1" x14ac:dyDescent="0.15">
      <c r="A127" s="3" t="s">
        <v>55</v>
      </c>
    </row>
    <row r="129" spans="2:36" ht="15" customHeight="1" x14ac:dyDescent="0.15">
      <c r="B129" s="69" t="s">
        <v>56</v>
      </c>
      <c r="C129" s="70"/>
      <c r="D129" s="70"/>
      <c r="E129" s="70"/>
      <c r="F129" s="35"/>
      <c r="G129" s="35"/>
      <c r="H129" s="35"/>
      <c r="I129" s="36"/>
      <c r="J129" s="45" t="s">
        <v>57</v>
      </c>
      <c r="K129" s="53"/>
      <c r="L129" s="48"/>
      <c r="M129" s="53"/>
      <c r="N129" s="53"/>
      <c r="O129" s="48"/>
      <c r="P129" s="45" t="s">
        <v>108</v>
      </c>
      <c r="Q129" s="53"/>
      <c r="R129" s="48"/>
      <c r="S129" s="53"/>
      <c r="T129" s="53"/>
      <c r="U129" s="48"/>
      <c r="V129" s="45" t="s">
        <v>109</v>
      </c>
      <c r="W129" s="53"/>
      <c r="X129" s="53"/>
      <c r="Y129" s="53"/>
      <c r="Z129" s="53"/>
      <c r="AA129" s="53"/>
      <c r="AB129" s="45" t="s">
        <v>58</v>
      </c>
      <c r="AC129" s="53"/>
      <c r="AD129" s="53"/>
      <c r="AE129" s="53"/>
      <c r="AF129" s="53"/>
      <c r="AG129" s="53"/>
      <c r="AH129" s="45" t="s">
        <v>110</v>
      </c>
      <c r="AI129" s="53"/>
      <c r="AJ129" s="54"/>
    </row>
    <row r="130" spans="2:36" ht="15" customHeight="1" x14ac:dyDescent="0.15">
      <c r="B130" s="44" t="s">
        <v>37</v>
      </c>
      <c r="C130" s="32"/>
      <c r="D130" s="32"/>
      <c r="E130" s="32"/>
      <c r="F130" s="32"/>
      <c r="G130" s="32"/>
      <c r="H130" s="32"/>
      <c r="I130" s="33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3"/>
    </row>
    <row r="131" spans="2:36" ht="15" customHeight="1" x14ac:dyDescent="0.15">
      <c r="B131" s="15"/>
      <c r="I131" s="19"/>
      <c r="J131" s="26"/>
      <c r="AJ131" s="19"/>
    </row>
    <row r="132" spans="2:36" ht="15" customHeight="1" x14ac:dyDescent="0.15">
      <c r="B132" s="15"/>
      <c r="I132" s="19"/>
      <c r="J132" s="26"/>
      <c r="AJ132" s="19"/>
    </row>
    <row r="133" spans="2:36" ht="15" customHeight="1" x14ac:dyDescent="0.15">
      <c r="B133" s="16"/>
      <c r="C133" s="22"/>
      <c r="D133" s="22"/>
      <c r="E133" s="22"/>
      <c r="F133" s="22"/>
      <c r="G133" s="22"/>
      <c r="H133" s="22"/>
      <c r="I133" s="23"/>
      <c r="J133" s="21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3"/>
    </row>
    <row r="134" spans="2:36" ht="15" customHeight="1" x14ac:dyDescent="0.15">
      <c r="B134" s="15" t="s">
        <v>40</v>
      </c>
      <c r="C134" s="32"/>
      <c r="D134" s="32"/>
      <c r="E134" s="32"/>
      <c r="F134" s="32"/>
      <c r="G134" s="32"/>
      <c r="H134" s="32"/>
      <c r="I134" s="33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3"/>
    </row>
    <row r="135" spans="2:36" ht="15" customHeight="1" x14ac:dyDescent="0.15">
      <c r="B135" s="16"/>
      <c r="C135" s="22"/>
      <c r="D135" s="22"/>
      <c r="E135" s="22"/>
      <c r="F135" s="22"/>
      <c r="G135" s="22"/>
      <c r="H135" s="22"/>
      <c r="I135" s="23"/>
      <c r="J135" s="21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3"/>
    </row>
    <row r="136" spans="2:36" ht="15" customHeight="1" x14ac:dyDescent="0.15">
      <c r="B136" s="44" t="s">
        <v>42</v>
      </c>
      <c r="I136" s="19"/>
      <c r="J136" s="26"/>
      <c r="AJ136" s="19"/>
    </row>
    <row r="137" spans="2:36" ht="15" customHeight="1" x14ac:dyDescent="0.15">
      <c r="B137" s="16"/>
      <c r="I137" s="19"/>
      <c r="J137" s="26"/>
      <c r="AJ137" s="19"/>
    </row>
    <row r="138" spans="2:36" ht="15" customHeight="1" x14ac:dyDescent="0.15">
      <c r="B138" s="15" t="s">
        <v>44</v>
      </c>
      <c r="C138" s="32"/>
      <c r="D138" s="32"/>
      <c r="E138" s="32"/>
      <c r="F138" s="32"/>
      <c r="G138" s="32"/>
      <c r="H138" s="32"/>
      <c r="I138" s="33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3"/>
    </row>
    <row r="139" spans="2:36" ht="15" customHeight="1" x14ac:dyDescent="0.15">
      <c r="B139" s="16"/>
      <c r="C139" s="22"/>
      <c r="D139" s="22"/>
      <c r="E139" s="22"/>
      <c r="F139" s="22"/>
      <c r="G139" s="22"/>
      <c r="H139" s="22"/>
      <c r="I139" s="23"/>
      <c r="J139" s="21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3"/>
    </row>
    <row r="140" spans="2:36" ht="15" customHeight="1" x14ac:dyDescent="0.15">
      <c r="B140" s="15" t="s">
        <v>47</v>
      </c>
      <c r="I140" s="19"/>
      <c r="J140" s="26"/>
      <c r="AJ140" s="19"/>
    </row>
    <row r="141" spans="2:36" ht="15" customHeight="1" x14ac:dyDescent="0.15">
      <c r="B141" s="15"/>
      <c r="I141" s="19"/>
      <c r="J141" s="26"/>
      <c r="AJ141" s="19"/>
    </row>
    <row r="142" spans="2:36" ht="15" customHeight="1" x14ac:dyDescent="0.15">
      <c r="B142" s="15"/>
      <c r="I142" s="19"/>
      <c r="J142" s="26"/>
      <c r="AJ142" s="19"/>
    </row>
    <row r="143" spans="2:36" ht="15" customHeight="1" x14ac:dyDescent="0.15">
      <c r="B143" s="16"/>
      <c r="I143" s="19"/>
      <c r="J143" s="26"/>
      <c r="AJ143" s="19"/>
    </row>
    <row r="144" spans="2:36" ht="15" customHeight="1" x14ac:dyDescent="0.15">
      <c r="B144" s="44" t="s">
        <v>49</v>
      </c>
      <c r="C144" s="32"/>
      <c r="D144" s="32"/>
      <c r="E144" s="32"/>
      <c r="F144" s="32"/>
      <c r="G144" s="32"/>
      <c r="H144" s="32"/>
      <c r="I144" s="33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3"/>
    </row>
    <row r="145" spans="1:36" ht="15" customHeight="1" x14ac:dyDescent="0.15">
      <c r="B145" s="16"/>
      <c r="C145" s="22"/>
      <c r="D145" s="22"/>
      <c r="E145" s="22"/>
      <c r="F145" s="22"/>
      <c r="G145" s="22"/>
      <c r="H145" s="22"/>
      <c r="I145" s="23"/>
      <c r="J145" s="21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3"/>
    </row>
    <row r="146" spans="1:36" ht="15" customHeight="1" x14ac:dyDescent="0.15">
      <c r="A146" s="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T146" s="24"/>
      <c r="U146" s="4" t="s">
        <v>59</v>
      </c>
      <c r="V146" s="24"/>
      <c r="X146" s="24"/>
      <c r="Y146" s="4" t="s">
        <v>60</v>
      </c>
      <c r="AA146" s="24"/>
      <c r="AB146" s="24"/>
      <c r="AE146" s="4" t="s">
        <v>61</v>
      </c>
    </row>
    <row r="148" spans="1:36" ht="15" customHeight="1" x14ac:dyDescent="0.15">
      <c r="A148" s="4"/>
      <c r="V148" s="14"/>
    </row>
    <row r="149" spans="1:36" ht="15" customHeight="1" x14ac:dyDescent="0.15">
      <c r="A149" s="3" t="s">
        <v>62</v>
      </c>
    </row>
    <row r="150" spans="1:36" ht="15" customHeight="1" thickBot="1" x14ac:dyDescent="0.2">
      <c r="A150" s="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6" ht="15" customHeight="1" thickTop="1" x14ac:dyDescent="0.15">
      <c r="C151" s="59" t="s">
        <v>63</v>
      </c>
      <c r="D151" s="60"/>
      <c r="E151" s="60"/>
      <c r="F151" s="60"/>
      <c r="G151" s="60"/>
      <c r="H151" s="61"/>
      <c r="I151" s="27"/>
      <c r="J151" s="27"/>
      <c r="K151" s="27"/>
      <c r="L151" s="27"/>
      <c r="M151" s="59" t="s">
        <v>64</v>
      </c>
      <c r="N151" s="60"/>
      <c r="O151" s="60"/>
      <c r="P151" s="60"/>
      <c r="Q151" s="60"/>
      <c r="R151" s="61"/>
      <c r="S151" s="28"/>
      <c r="T151" s="27"/>
      <c r="U151" s="27"/>
      <c r="V151" s="29"/>
      <c r="W151" s="59" t="s">
        <v>91</v>
      </c>
      <c r="X151" s="60"/>
      <c r="Y151" s="60"/>
      <c r="Z151" s="60"/>
      <c r="AA151" s="60"/>
      <c r="AB151" s="61"/>
      <c r="AC151" s="24"/>
      <c r="AD151" s="24"/>
      <c r="AE151" s="24"/>
      <c r="AF151" s="24"/>
      <c r="AG151" s="24"/>
    </row>
    <row r="152" spans="1:36" ht="15" customHeight="1" thickBot="1" x14ac:dyDescent="0.2">
      <c r="A152" s="4"/>
      <c r="C152" s="62"/>
      <c r="D152" s="63"/>
      <c r="E152" s="63"/>
      <c r="F152" s="63"/>
      <c r="G152" s="63"/>
      <c r="H152" s="64"/>
      <c r="I152" s="1"/>
      <c r="J152" s="1"/>
      <c r="K152" s="1"/>
      <c r="L152" s="1"/>
      <c r="M152" s="62"/>
      <c r="N152" s="63"/>
      <c r="O152" s="63"/>
      <c r="P152" s="63"/>
      <c r="Q152" s="63"/>
      <c r="R152" s="64"/>
      <c r="S152" s="1"/>
      <c r="T152" s="49"/>
      <c r="U152" s="30"/>
      <c r="V152" s="1"/>
      <c r="W152" s="62"/>
      <c r="X152" s="63"/>
      <c r="Y152" s="63"/>
      <c r="Z152" s="63"/>
      <c r="AA152" s="63"/>
      <c r="AB152" s="64"/>
      <c r="AC152" s="24"/>
      <c r="AD152" s="24"/>
      <c r="AE152" s="24"/>
      <c r="AF152" s="24"/>
      <c r="AG152" s="24"/>
    </row>
    <row r="153" spans="1:36" ht="15" customHeight="1" thickTop="1" thickBot="1" x14ac:dyDescent="0.2">
      <c r="A153" s="4"/>
      <c r="I153" s="24"/>
      <c r="J153" s="24"/>
      <c r="K153" s="24"/>
      <c r="L153" s="24"/>
      <c r="M153" s="24"/>
      <c r="N153" s="24"/>
      <c r="O153" s="24"/>
      <c r="P153" s="46"/>
      <c r="Q153" s="24"/>
      <c r="R153" s="24"/>
      <c r="S153" s="24"/>
      <c r="T153" s="50"/>
      <c r="U153" s="1"/>
      <c r="V153" s="1"/>
      <c r="W153" s="1"/>
      <c r="X153" s="1"/>
      <c r="Y153" s="1"/>
      <c r="Z153" s="1"/>
      <c r="AA153" s="1"/>
      <c r="AB153" s="1"/>
      <c r="AC153" s="24"/>
      <c r="AD153" s="24"/>
      <c r="AE153" s="24"/>
      <c r="AF153" s="24"/>
      <c r="AG153" s="24"/>
    </row>
    <row r="154" spans="1:36" ht="15" customHeight="1" thickTop="1" x14ac:dyDescent="0.15">
      <c r="A154" s="4"/>
      <c r="I154" s="24"/>
      <c r="J154" s="24"/>
      <c r="K154" s="24"/>
      <c r="L154" s="24"/>
      <c r="M154" s="59" t="s">
        <v>65</v>
      </c>
      <c r="N154" s="60"/>
      <c r="O154" s="60"/>
      <c r="P154" s="60"/>
      <c r="Q154" s="60"/>
      <c r="R154" s="61"/>
      <c r="S154" s="24"/>
      <c r="T154" s="50"/>
      <c r="U154" s="51"/>
      <c r="V154" s="52"/>
      <c r="W154" s="59" t="s">
        <v>92</v>
      </c>
      <c r="X154" s="60"/>
      <c r="Y154" s="60"/>
      <c r="Z154" s="60"/>
      <c r="AA154" s="60"/>
      <c r="AB154" s="61"/>
      <c r="AC154" s="24"/>
      <c r="AD154" s="24"/>
      <c r="AE154" s="24"/>
      <c r="AF154" s="24"/>
      <c r="AG154" s="24"/>
    </row>
    <row r="155" spans="1:36" ht="15" customHeight="1" thickBot="1" x14ac:dyDescent="0.2">
      <c r="M155" s="62"/>
      <c r="N155" s="63"/>
      <c r="O155" s="63"/>
      <c r="P155" s="63"/>
      <c r="Q155" s="63"/>
      <c r="R155" s="64"/>
      <c r="U155" s="1"/>
      <c r="W155" s="62"/>
      <c r="X155" s="63"/>
      <c r="Y155" s="63"/>
      <c r="Z155" s="63"/>
      <c r="AA155" s="63"/>
      <c r="AB155" s="64"/>
    </row>
    <row r="156" spans="1:36" ht="15" customHeight="1" thickTop="1" x14ac:dyDescent="0.15"/>
    <row r="157" spans="1:36" ht="15" customHeight="1" x14ac:dyDescent="0.15">
      <c r="A157" s="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6" ht="15" customHeight="1" x14ac:dyDescent="0.15">
      <c r="A158" s="3" t="s">
        <v>66</v>
      </c>
    </row>
    <row r="160" spans="1:36" ht="15" customHeight="1" x14ac:dyDescent="0.15">
      <c r="B160" s="4" t="s">
        <v>67</v>
      </c>
    </row>
    <row r="161" spans="1:3" ht="15" customHeight="1" x14ac:dyDescent="0.15">
      <c r="C161" s="4" t="s">
        <v>68</v>
      </c>
    </row>
    <row r="162" spans="1:3" ht="15" customHeight="1" x14ac:dyDescent="0.15">
      <c r="B162" s="25" t="s">
        <v>69</v>
      </c>
      <c r="C162" s="47"/>
    </row>
    <row r="163" spans="1:3" ht="15" customHeight="1" x14ac:dyDescent="0.15">
      <c r="B163" s="4" t="s">
        <v>70</v>
      </c>
    </row>
    <row r="164" spans="1:3" ht="15" customHeight="1" x14ac:dyDescent="0.15">
      <c r="C164" s="4" t="s">
        <v>112</v>
      </c>
    </row>
    <row r="165" spans="1:3" ht="15" customHeight="1" x14ac:dyDescent="0.15">
      <c r="C165" s="4" t="s">
        <v>113</v>
      </c>
    </row>
    <row r="166" spans="1:3" ht="15" customHeight="1" x14ac:dyDescent="0.15">
      <c r="C166" s="4" t="s">
        <v>73</v>
      </c>
    </row>
    <row r="167" spans="1:3" ht="15" customHeight="1" x14ac:dyDescent="0.15">
      <c r="B167" s="25" t="s">
        <v>69</v>
      </c>
      <c r="C167" s="47"/>
    </row>
    <row r="168" spans="1:3" ht="15" customHeight="1" x14ac:dyDescent="0.15">
      <c r="B168" s="4" t="s">
        <v>74</v>
      </c>
      <c r="C168" s="25"/>
    </row>
    <row r="169" spans="1:3" ht="15" customHeight="1" x14ac:dyDescent="0.15">
      <c r="C169" s="25" t="s">
        <v>75</v>
      </c>
    </row>
    <row r="170" spans="1:3" ht="15" customHeight="1" x14ac:dyDescent="0.15">
      <c r="C170" s="4" t="s">
        <v>76</v>
      </c>
    </row>
    <row r="172" spans="1:3" ht="15" customHeight="1" x14ac:dyDescent="0.15">
      <c r="A172" s="4"/>
      <c r="B172" s="4" t="s">
        <v>77</v>
      </c>
    </row>
    <row r="173" spans="1:3" ht="15" customHeight="1" x14ac:dyDescent="0.15">
      <c r="A173" s="4"/>
      <c r="C173" s="4" t="s">
        <v>78</v>
      </c>
    </row>
    <row r="174" spans="1:3" ht="15" customHeight="1" x14ac:dyDescent="0.15">
      <c r="A174" s="4"/>
      <c r="C174" s="4" t="s">
        <v>79</v>
      </c>
    </row>
    <row r="175" spans="1:3" ht="15" customHeight="1" x14ac:dyDescent="0.15">
      <c r="A175" s="4"/>
    </row>
    <row r="176" spans="1:3" ht="15" customHeight="1" x14ac:dyDescent="0.15">
      <c r="A176" s="4"/>
      <c r="B176" s="4" t="s">
        <v>80</v>
      </c>
    </row>
    <row r="177" spans="1:3" ht="15" customHeight="1" x14ac:dyDescent="0.15">
      <c r="A177" s="4"/>
      <c r="C177" s="4" t="s">
        <v>81</v>
      </c>
    </row>
    <row r="179" spans="1:3" ht="15" customHeight="1" x14ac:dyDescent="0.15">
      <c r="B179" s="4" t="s">
        <v>82</v>
      </c>
    </row>
    <row r="180" spans="1:3" ht="15" customHeight="1" x14ac:dyDescent="0.15">
      <c r="C180" s="4" t="s">
        <v>83</v>
      </c>
    </row>
    <row r="182" spans="1:3" ht="15" customHeight="1" x14ac:dyDescent="0.15">
      <c r="B182" s="4" t="s">
        <v>84</v>
      </c>
    </row>
    <row r="183" spans="1:3" ht="15" customHeight="1" x14ac:dyDescent="0.15">
      <c r="C183" s="4" t="s">
        <v>85</v>
      </c>
    </row>
    <row r="188" spans="1:3" ht="15" customHeight="1" x14ac:dyDescent="0.15">
      <c r="C188" s="25"/>
    </row>
    <row r="189" spans="1:3" ht="15" customHeight="1" x14ac:dyDescent="0.15">
      <c r="C189" s="25"/>
    </row>
    <row r="190" spans="1:3" ht="15" customHeight="1" x14ac:dyDescent="0.15">
      <c r="C190" s="25"/>
    </row>
  </sheetData>
  <mergeCells count="36">
    <mergeCell ref="D36:AD36"/>
    <mergeCell ref="AE36:AJ36"/>
    <mergeCell ref="A1:S2"/>
    <mergeCell ref="AF2:AJ2"/>
    <mergeCell ref="A5:Q6"/>
    <mergeCell ref="A9:E10"/>
    <mergeCell ref="F9:Q10"/>
    <mergeCell ref="B37:C37"/>
    <mergeCell ref="AE37:AJ37"/>
    <mergeCell ref="B38:C38"/>
    <mergeCell ref="AE38:AJ38"/>
    <mergeCell ref="B39:C39"/>
    <mergeCell ref="AE39:AJ39"/>
    <mergeCell ref="B40:C40"/>
    <mergeCell ref="AE40:AJ40"/>
    <mergeCell ref="B41:C41"/>
    <mergeCell ref="AE41:AJ41"/>
    <mergeCell ref="B42:C42"/>
    <mergeCell ref="AE42:AJ42"/>
    <mergeCell ref="B129:E129"/>
    <mergeCell ref="B43:C43"/>
    <mergeCell ref="AE43:AJ43"/>
    <mergeCell ref="B44:AD44"/>
    <mergeCell ref="AE44:AJ44"/>
    <mergeCell ref="B111:C112"/>
    <mergeCell ref="B113:C114"/>
    <mergeCell ref="B115:C116"/>
    <mergeCell ref="B117:C118"/>
    <mergeCell ref="B119:C120"/>
    <mergeCell ref="B121:C122"/>
    <mergeCell ref="B123:C124"/>
    <mergeCell ref="C151:H152"/>
    <mergeCell ref="M151:R152"/>
    <mergeCell ref="W151:AB152"/>
    <mergeCell ref="M154:R155"/>
    <mergeCell ref="W154:AB155"/>
  </mergeCells>
  <phoneticPr fontId="5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3" manualBreakCount="3">
    <brk id="63" max="35" man="1"/>
    <brk id="157" max="35" man="1"/>
    <brk id="185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7"/>
  <sheetViews>
    <sheetView showGridLines="0" tabSelected="1" view="pageBreakPreview" zoomScaleNormal="100" zoomScaleSheetLayoutView="100" workbookViewId="0">
      <selection activeCell="AR19" sqref="AR19"/>
    </sheetView>
  </sheetViews>
  <sheetFormatPr defaultColWidth="2.5" defaultRowHeight="15" customHeight="1" x14ac:dyDescent="0.15"/>
  <cols>
    <col min="1" max="1" width="2.5" style="3"/>
    <col min="2" max="27" width="2.5" style="4"/>
    <col min="28" max="28" width="2.5" style="4" customWidth="1"/>
    <col min="29" max="38" width="2.5" style="4"/>
    <col min="39" max="39" width="3.5" style="4" bestFit="1" customWidth="1"/>
    <col min="40" max="16384" width="2.5" style="4"/>
  </cols>
  <sheetData>
    <row r="1" spans="1:37" s="1" customFormat="1" ht="15" customHeight="1" x14ac:dyDescent="0.1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Y2" s="11" t="s">
        <v>3</v>
      </c>
      <c r="Z2" s="11"/>
      <c r="AA2" s="11"/>
      <c r="AB2" s="11"/>
      <c r="AC2" s="11"/>
      <c r="AD2" s="11"/>
      <c r="AE2" s="11"/>
      <c r="AF2" s="81">
        <v>45873</v>
      </c>
      <c r="AG2" s="82"/>
      <c r="AH2" s="82"/>
      <c r="AI2" s="82"/>
      <c r="AJ2" s="82"/>
      <c r="AK2" s="4"/>
    </row>
    <row r="3" spans="1:37" s="1" customFormat="1" ht="15" customHeight="1" x14ac:dyDescent="0.15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15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15">
      <c r="A5" s="83" t="s">
        <v>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15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15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15">
      <c r="A9" s="85" t="s">
        <v>5</v>
      </c>
      <c r="B9" s="85"/>
      <c r="C9" s="85"/>
      <c r="D9" s="85"/>
      <c r="E9" s="85"/>
      <c r="F9" s="87">
        <f>AE44</f>
        <v>5010000</v>
      </c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15">
      <c r="A10" s="86"/>
      <c r="B10" s="86"/>
      <c r="C10" s="86"/>
      <c r="D10" s="86"/>
      <c r="E10" s="86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15">
      <c r="A11" s="2"/>
    </row>
    <row r="12" spans="1:37" s="1" customFormat="1" ht="15" customHeight="1" x14ac:dyDescent="0.15">
      <c r="A12" s="2"/>
    </row>
    <row r="13" spans="1:37" ht="15" customHeight="1" x14ac:dyDescent="0.15">
      <c r="A13" s="3" t="s">
        <v>6</v>
      </c>
    </row>
    <row r="15" spans="1:37" ht="15" customHeight="1" x14ac:dyDescent="0.15">
      <c r="B15" s="4" t="s">
        <v>7</v>
      </c>
    </row>
    <row r="18" spans="1:16" ht="15" customHeight="1" x14ac:dyDescent="0.15">
      <c r="A18" s="4"/>
    </row>
    <row r="19" spans="1:16" ht="15" customHeight="1" x14ac:dyDescent="0.15">
      <c r="A19" s="3" t="s">
        <v>8</v>
      </c>
      <c r="P19" s="3"/>
    </row>
    <row r="20" spans="1:16" ht="15" customHeight="1" x14ac:dyDescent="0.15">
      <c r="A20" s="4"/>
    </row>
    <row r="21" spans="1:16" ht="15" customHeight="1" x14ac:dyDescent="0.15">
      <c r="A21" s="4"/>
      <c r="B21" s="4" t="s">
        <v>9</v>
      </c>
    </row>
    <row r="22" spans="1:16" ht="15" customHeight="1" x14ac:dyDescent="0.15">
      <c r="A22" s="4"/>
    </row>
    <row r="23" spans="1:16" ht="15" customHeight="1" x14ac:dyDescent="0.15">
      <c r="A23" s="4"/>
    </row>
    <row r="24" spans="1:16" ht="15" customHeight="1" x14ac:dyDescent="0.15">
      <c r="A24" s="3" t="s">
        <v>10</v>
      </c>
    </row>
    <row r="25" spans="1:16" ht="15" customHeight="1" x14ac:dyDescent="0.15">
      <c r="A25" s="4"/>
    </row>
    <row r="26" spans="1:16" ht="15" customHeight="1" x14ac:dyDescent="0.15">
      <c r="A26" s="4"/>
      <c r="B26" s="4" t="s">
        <v>11</v>
      </c>
    </row>
    <row r="27" spans="1:16" ht="15" customHeight="1" x14ac:dyDescent="0.15">
      <c r="A27" s="4"/>
    </row>
    <row r="28" spans="1:16" ht="15" customHeight="1" x14ac:dyDescent="0.15">
      <c r="A28" s="4"/>
    </row>
    <row r="29" spans="1:16" ht="15" customHeight="1" x14ac:dyDescent="0.15">
      <c r="A29" s="3" t="s">
        <v>12</v>
      </c>
    </row>
    <row r="31" spans="1:16" ht="15" customHeight="1" x14ac:dyDescent="0.15">
      <c r="A31" s="4"/>
      <c r="B31" s="4" t="s">
        <v>111</v>
      </c>
    </row>
    <row r="32" spans="1:16" ht="15" customHeight="1" x14ac:dyDescent="0.15">
      <c r="A32" s="4"/>
    </row>
    <row r="33" spans="1:36" ht="15" customHeight="1" x14ac:dyDescent="0.15">
      <c r="A33" s="4"/>
    </row>
    <row r="34" spans="1:36" ht="15" customHeight="1" x14ac:dyDescent="0.15">
      <c r="A34" s="3" t="s">
        <v>13</v>
      </c>
    </row>
    <row r="35" spans="1:36" ht="15" customHeight="1" x14ac:dyDescent="0.15">
      <c r="A35" s="4"/>
    </row>
    <row r="36" spans="1:36" ht="15" customHeight="1" x14ac:dyDescent="0.15">
      <c r="A36" s="4"/>
      <c r="B36" s="5" t="s">
        <v>14</v>
      </c>
      <c r="C36" s="6"/>
      <c r="D36" s="89" t="s">
        <v>15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5" t="s">
        <v>16</v>
      </c>
      <c r="AF36" s="7"/>
      <c r="AG36" s="7"/>
      <c r="AH36" s="7"/>
      <c r="AI36" s="7"/>
      <c r="AJ36" s="6"/>
    </row>
    <row r="37" spans="1:36" ht="15" customHeight="1" x14ac:dyDescent="0.15">
      <c r="A37" s="4"/>
      <c r="B37" s="71">
        <v>1</v>
      </c>
      <c r="C37" s="72"/>
      <c r="D37" s="42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73">
        <v>250000</v>
      </c>
      <c r="AF37" s="74"/>
      <c r="AG37" s="74"/>
      <c r="AH37" s="74"/>
      <c r="AI37" s="74"/>
      <c r="AJ37" s="75"/>
    </row>
    <row r="38" spans="1:36" ht="15" customHeight="1" x14ac:dyDescent="0.15">
      <c r="A38" s="4"/>
      <c r="B38" s="71">
        <v>2</v>
      </c>
      <c r="C38" s="72"/>
      <c r="D38" s="42" t="s">
        <v>18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73">
        <v>750000</v>
      </c>
      <c r="AF38" s="74"/>
      <c r="AG38" s="74"/>
      <c r="AH38" s="74"/>
      <c r="AI38" s="74"/>
      <c r="AJ38" s="75"/>
    </row>
    <row r="39" spans="1:36" ht="15" customHeight="1" x14ac:dyDescent="0.15">
      <c r="A39" s="4"/>
      <c r="B39" s="71">
        <v>3</v>
      </c>
      <c r="C39" s="72"/>
      <c r="D39" s="42" t="s">
        <v>19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73">
        <v>1500000</v>
      </c>
      <c r="AF39" s="74"/>
      <c r="AG39" s="74"/>
      <c r="AH39" s="74"/>
      <c r="AI39" s="74"/>
      <c r="AJ39" s="75"/>
    </row>
    <row r="40" spans="1:36" ht="15" customHeight="1" x14ac:dyDescent="0.15">
      <c r="A40" s="4"/>
      <c r="B40" s="71">
        <v>4</v>
      </c>
      <c r="C40" s="72"/>
      <c r="D40" s="42" t="s">
        <v>20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  <c r="AE40" s="73">
        <v>1200000</v>
      </c>
      <c r="AF40" s="74"/>
      <c r="AG40" s="74"/>
      <c r="AH40" s="74"/>
      <c r="AI40" s="74"/>
      <c r="AJ40" s="75"/>
    </row>
    <row r="41" spans="1:36" ht="15" customHeight="1" x14ac:dyDescent="0.15">
      <c r="A41" s="4"/>
      <c r="B41" s="71">
        <v>5</v>
      </c>
      <c r="C41" s="72"/>
      <c r="D41" s="42" t="s">
        <v>21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73">
        <v>300000</v>
      </c>
      <c r="AF41" s="74"/>
      <c r="AG41" s="74"/>
      <c r="AH41" s="74"/>
      <c r="AI41" s="74"/>
      <c r="AJ41" s="75"/>
    </row>
    <row r="42" spans="1:36" ht="15" customHeight="1" x14ac:dyDescent="0.15">
      <c r="A42" s="4"/>
      <c r="B42" s="71">
        <v>6</v>
      </c>
      <c r="C42" s="72"/>
      <c r="D42" s="42" t="s">
        <v>22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73">
        <v>100000</v>
      </c>
      <c r="AF42" s="74"/>
      <c r="AG42" s="74"/>
      <c r="AH42" s="74"/>
      <c r="AI42" s="74"/>
      <c r="AJ42" s="75"/>
    </row>
    <row r="43" spans="1:36" ht="15" customHeight="1" x14ac:dyDescent="0.15">
      <c r="A43" s="4"/>
      <c r="B43" s="71">
        <v>7</v>
      </c>
      <c r="C43" s="72"/>
      <c r="D43" s="42" t="s">
        <v>23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  <c r="AE43" s="73">
        <v>910000</v>
      </c>
      <c r="AF43" s="74"/>
      <c r="AG43" s="74"/>
      <c r="AH43" s="74"/>
      <c r="AI43" s="74"/>
      <c r="AJ43" s="75"/>
    </row>
    <row r="44" spans="1:36" ht="15" customHeight="1" x14ac:dyDescent="0.15">
      <c r="A44" s="4"/>
      <c r="B44" s="76" t="s">
        <v>24</v>
      </c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8"/>
      <c r="AE44" s="79">
        <f>SUM(AE37:AJ43)</f>
        <v>5010000</v>
      </c>
      <c r="AF44" s="79"/>
      <c r="AG44" s="79"/>
      <c r="AH44" s="79"/>
      <c r="AI44" s="79"/>
      <c r="AJ44" s="79"/>
    </row>
    <row r="45" spans="1:36" ht="15" customHeight="1" x14ac:dyDescent="0.15">
      <c r="A45" s="4"/>
      <c r="AB45" s="13"/>
    </row>
    <row r="46" spans="1:36" ht="15" customHeight="1" x14ac:dyDescent="0.15">
      <c r="A46" s="4"/>
      <c r="AB46" s="13"/>
    </row>
    <row r="47" spans="1:36" ht="15" customHeight="1" x14ac:dyDescent="0.15">
      <c r="A47" s="3" t="s">
        <v>25</v>
      </c>
    </row>
    <row r="49" spans="1:12" ht="15" customHeight="1" x14ac:dyDescent="0.15">
      <c r="A49" s="4"/>
      <c r="B49" s="43" t="s">
        <v>26</v>
      </c>
      <c r="C49" s="4" t="s">
        <v>27</v>
      </c>
      <c r="K49" s="43" t="s">
        <v>26</v>
      </c>
      <c r="L49" s="4" t="s">
        <v>28</v>
      </c>
    </row>
    <row r="50" spans="1:12" ht="15" customHeight="1" x14ac:dyDescent="0.15">
      <c r="A50" s="4"/>
      <c r="B50" s="43" t="s">
        <v>26</v>
      </c>
      <c r="C50" s="4" t="s">
        <v>29</v>
      </c>
      <c r="K50" s="4" t="s">
        <v>26</v>
      </c>
      <c r="L50" s="4" t="s">
        <v>30</v>
      </c>
    </row>
    <row r="53" spans="1:12" ht="15" customHeight="1" x14ac:dyDescent="0.15">
      <c r="A53" s="3" t="s">
        <v>114</v>
      </c>
      <c r="B53" s="8"/>
    </row>
    <row r="54" spans="1:12" ht="15" customHeight="1" x14ac:dyDescent="0.15">
      <c r="A54" s="4"/>
      <c r="B54" s="8" t="s">
        <v>115</v>
      </c>
    </row>
    <row r="55" spans="1:12" ht="15" customHeight="1" x14ac:dyDescent="0.15">
      <c r="A55" s="4"/>
      <c r="B55" s="8"/>
      <c r="C55" s="17" t="s">
        <v>116</v>
      </c>
      <c r="D55" s="4" t="s">
        <v>119</v>
      </c>
    </row>
    <row r="56" spans="1:12" ht="15" customHeight="1" x14ac:dyDescent="0.15">
      <c r="A56" s="4"/>
      <c r="B56" s="8"/>
      <c r="C56" s="17" t="s">
        <v>117</v>
      </c>
      <c r="D56" s="4" t="s">
        <v>120</v>
      </c>
    </row>
    <row r="57" spans="1:12" ht="15" customHeight="1" x14ac:dyDescent="0.15">
      <c r="A57" s="4"/>
      <c r="B57" s="8"/>
      <c r="C57" s="17" t="s">
        <v>144</v>
      </c>
      <c r="D57" s="4" t="s">
        <v>121</v>
      </c>
    </row>
    <row r="58" spans="1:12" ht="15" customHeight="1" x14ac:dyDescent="0.15">
      <c r="A58" s="4"/>
      <c r="B58" s="8"/>
      <c r="C58" s="17" t="s">
        <v>145</v>
      </c>
      <c r="D58" s="4" t="s">
        <v>143</v>
      </c>
    </row>
    <row r="59" spans="1:12" ht="15" customHeight="1" x14ac:dyDescent="0.15">
      <c r="A59" s="4"/>
      <c r="B59" s="8"/>
    </row>
    <row r="60" spans="1:12" ht="15" customHeight="1" x14ac:dyDescent="0.15">
      <c r="A60" s="4"/>
      <c r="B60" s="8" t="s">
        <v>122</v>
      </c>
    </row>
    <row r="61" spans="1:12" ht="15" customHeight="1" x14ac:dyDescent="0.15">
      <c r="A61" s="4"/>
      <c r="B61" s="8"/>
      <c r="C61" s="17" t="s">
        <v>116</v>
      </c>
      <c r="D61" s="4" t="s">
        <v>123</v>
      </c>
    </row>
    <row r="62" spans="1:12" ht="15" customHeight="1" x14ac:dyDescent="0.15">
      <c r="A62" s="4"/>
      <c r="B62" s="8"/>
      <c r="C62" s="17" t="s">
        <v>117</v>
      </c>
      <c r="D62" s="4" t="s">
        <v>124</v>
      </c>
    </row>
    <row r="63" spans="1:12" ht="15" customHeight="1" x14ac:dyDescent="0.15">
      <c r="A63" s="4"/>
      <c r="B63" s="8"/>
    </row>
    <row r="64" spans="1:12" ht="15" customHeight="1" x14ac:dyDescent="0.15">
      <c r="A64" s="3" t="s">
        <v>31</v>
      </c>
    </row>
    <row r="65" spans="2:5" ht="15" customHeight="1" x14ac:dyDescent="0.15">
      <c r="B65" s="8" t="s">
        <v>115</v>
      </c>
    </row>
    <row r="66" spans="2:5" ht="15" customHeight="1" x14ac:dyDescent="0.15">
      <c r="C66" s="17" t="s">
        <v>139</v>
      </c>
      <c r="D66" s="4" t="s">
        <v>138</v>
      </c>
    </row>
    <row r="67" spans="2:5" ht="15" customHeight="1" x14ac:dyDescent="0.15">
      <c r="C67" s="17"/>
      <c r="D67" s="4" t="s">
        <v>125</v>
      </c>
    </row>
    <row r="68" spans="2:5" ht="15" customHeight="1" x14ac:dyDescent="0.15">
      <c r="E68" s="4" t="s">
        <v>96</v>
      </c>
    </row>
    <row r="69" spans="2:5" ht="15" customHeight="1" x14ac:dyDescent="0.15">
      <c r="E69" s="4" t="s">
        <v>127</v>
      </c>
    </row>
    <row r="70" spans="2:5" ht="15" customHeight="1" x14ac:dyDescent="0.15">
      <c r="D70" s="4" t="s">
        <v>34</v>
      </c>
    </row>
    <row r="71" spans="2:5" ht="15" customHeight="1" x14ac:dyDescent="0.15">
      <c r="E71" s="4" t="s">
        <v>135</v>
      </c>
    </row>
    <row r="72" spans="2:5" ht="15" customHeight="1" x14ac:dyDescent="0.15">
      <c r="E72" s="4" t="s">
        <v>136</v>
      </c>
    </row>
    <row r="73" spans="2:5" ht="15" customHeight="1" x14ac:dyDescent="0.15">
      <c r="D73" s="4" t="s">
        <v>128</v>
      </c>
    </row>
    <row r="74" spans="2:5" ht="15" customHeight="1" x14ac:dyDescent="0.15">
      <c r="E74" s="4" t="s">
        <v>140</v>
      </c>
    </row>
    <row r="76" spans="2:5" ht="15" customHeight="1" x14ac:dyDescent="0.15">
      <c r="C76" s="17" t="s">
        <v>117</v>
      </c>
      <c r="D76" s="4" t="s">
        <v>120</v>
      </c>
    </row>
    <row r="77" spans="2:5" ht="15" customHeight="1" x14ac:dyDescent="0.15">
      <c r="C77" s="17"/>
      <c r="D77" s="4" t="s">
        <v>125</v>
      </c>
    </row>
    <row r="78" spans="2:5" ht="15" customHeight="1" x14ac:dyDescent="0.15">
      <c r="E78" s="4" t="s">
        <v>126</v>
      </c>
    </row>
    <row r="79" spans="2:5" ht="15" customHeight="1" x14ac:dyDescent="0.15">
      <c r="D79" s="4" t="s">
        <v>34</v>
      </c>
    </row>
    <row r="80" spans="2:5" ht="15" customHeight="1" x14ac:dyDescent="0.15">
      <c r="E80" s="4" t="s">
        <v>135</v>
      </c>
    </row>
    <row r="82" spans="3:5" ht="15" customHeight="1" x14ac:dyDescent="0.15">
      <c r="C82" s="17" t="s">
        <v>118</v>
      </c>
      <c r="D82" s="4" t="s">
        <v>141</v>
      </c>
    </row>
    <row r="83" spans="3:5" ht="15" customHeight="1" x14ac:dyDescent="0.15">
      <c r="C83" s="17"/>
      <c r="D83" s="4" t="s">
        <v>125</v>
      </c>
    </row>
    <row r="84" spans="3:5" ht="15" customHeight="1" x14ac:dyDescent="0.15">
      <c r="E84" s="4" t="s">
        <v>102</v>
      </c>
    </row>
    <row r="85" spans="3:5" ht="15" customHeight="1" x14ac:dyDescent="0.15">
      <c r="D85" s="4" t="s">
        <v>34</v>
      </c>
    </row>
    <row r="86" spans="3:5" ht="15" customHeight="1" x14ac:dyDescent="0.15">
      <c r="E86" s="4" t="s">
        <v>137</v>
      </c>
    </row>
    <row r="88" spans="3:5" ht="15" customHeight="1" x14ac:dyDescent="0.15">
      <c r="C88" s="17" t="s">
        <v>145</v>
      </c>
      <c r="D88" s="4" t="s">
        <v>143</v>
      </c>
    </row>
    <row r="89" spans="3:5" ht="15" customHeight="1" x14ac:dyDescent="0.15">
      <c r="C89" s="17"/>
      <c r="D89" s="4" t="s">
        <v>125</v>
      </c>
    </row>
    <row r="90" spans="3:5" ht="15" customHeight="1" x14ac:dyDescent="0.15">
      <c r="E90" s="4" t="s">
        <v>102</v>
      </c>
    </row>
    <row r="91" spans="3:5" ht="15" customHeight="1" x14ac:dyDescent="0.15">
      <c r="D91" s="4" t="s">
        <v>34</v>
      </c>
    </row>
    <row r="92" spans="3:5" ht="15" customHeight="1" x14ac:dyDescent="0.15">
      <c r="E92" s="4" t="s">
        <v>137</v>
      </c>
    </row>
    <row r="93" spans="3:5" ht="15" customHeight="1" x14ac:dyDescent="0.15">
      <c r="D93" s="4" t="s">
        <v>128</v>
      </c>
    </row>
    <row r="94" spans="3:5" ht="15" customHeight="1" x14ac:dyDescent="0.15">
      <c r="E94" s="4" t="s">
        <v>142</v>
      </c>
    </row>
    <row r="97" spans="2:9" ht="15" customHeight="1" x14ac:dyDescent="0.15">
      <c r="B97" s="8" t="s">
        <v>122</v>
      </c>
    </row>
    <row r="98" spans="2:9" ht="15" customHeight="1" x14ac:dyDescent="0.15">
      <c r="B98" s="8"/>
      <c r="C98" s="17" t="s">
        <v>116</v>
      </c>
      <c r="D98" s="4" t="s">
        <v>123</v>
      </c>
    </row>
    <row r="99" spans="2:9" ht="15" customHeight="1" x14ac:dyDescent="0.15">
      <c r="D99" s="4" t="s">
        <v>32</v>
      </c>
    </row>
    <row r="100" spans="2:9" ht="15" customHeight="1" x14ac:dyDescent="0.15">
      <c r="E100" s="4" t="s">
        <v>90</v>
      </c>
    </row>
    <row r="101" spans="2:9" ht="15" customHeight="1" x14ac:dyDescent="0.15">
      <c r="E101" s="4" t="s">
        <v>33</v>
      </c>
    </row>
    <row r="102" spans="2:9" ht="15" customHeight="1" x14ac:dyDescent="0.15">
      <c r="E102" s="4" t="s">
        <v>96</v>
      </c>
    </row>
    <row r="103" spans="2:9" ht="15" customHeight="1" x14ac:dyDescent="0.15">
      <c r="E103" s="4" t="s">
        <v>97</v>
      </c>
    </row>
    <row r="104" spans="2:9" ht="15" customHeight="1" x14ac:dyDescent="0.15">
      <c r="E104" s="4" t="s">
        <v>98</v>
      </c>
    </row>
    <row r="105" spans="2:9" ht="15" customHeight="1" x14ac:dyDescent="0.15">
      <c r="E105" s="4" t="s">
        <v>99</v>
      </c>
    </row>
    <row r="106" spans="2:9" ht="15" customHeight="1" x14ac:dyDescent="0.15">
      <c r="E106" s="4" t="s">
        <v>101</v>
      </c>
    </row>
    <row r="107" spans="2:9" ht="15" customHeight="1" x14ac:dyDescent="0.15">
      <c r="D107" s="4" t="s">
        <v>34</v>
      </c>
    </row>
    <row r="108" spans="2:9" ht="15" customHeight="1" x14ac:dyDescent="0.15">
      <c r="E108" s="4" t="s">
        <v>132</v>
      </c>
    </row>
    <row r="109" spans="2:9" ht="15" customHeight="1" x14ac:dyDescent="0.15">
      <c r="E109" s="4" t="s">
        <v>133</v>
      </c>
      <c r="F109" s="14"/>
      <c r="G109" s="14"/>
      <c r="H109" s="14"/>
      <c r="I109" s="14"/>
    </row>
    <row r="110" spans="2:9" ht="15" customHeight="1" x14ac:dyDescent="0.15">
      <c r="E110" s="4" t="s">
        <v>134</v>
      </c>
      <c r="F110" s="14"/>
      <c r="G110" s="14"/>
      <c r="H110" s="14"/>
      <c r="I110" s="14"/>
    </row>
    <row r="112" spans="2:9" ht="15" customHeight="1" x14ac:dyDescent="0.15">
      <c r="C112" s="17" t="s">
        <v>117</v>
      </c>
      <c r="D112" s="4" t="s">
        <v>124</v>
      </c>
    </row>
    <row r="113" spans="1:36" ht="15" customHeight="1" x14ac:dyDescent="0.15">
      <c r="D113" s="4" t="s">
        <v>32</v>
      </c>
    </row>
    <row r="114" spans="1:36" ht="15" customHeight="1" x14ac:dyDescent="0.15">
      <c r="E114" s="4" t="s">
        <v>90</v>
      </c>
    </row>
    <row r="115" spans="1:36" ht="15" customHeight="1" x14ac:dyDescent="0.15">
      <c r="E115" s="4" t="s">
        <v>102</v>
      </c>
    </row>
    <row r="116" spans="1:36" ht="15" customHeight="1" x14ac:dyDescent="0.15">
      <c r="E116" s="4" t="s">
        <v>33</v>
      </c>
    </row>
    <row r="117" spans="1:36" ht="15" customHeight="1" x14ac:dyDescent="0.15">
      <c r="E117" s="4" t="s">
        <v>103</v>
      </c>
    </row>
    <row r="118" spans="1:36" ht="15" customHeight="1" x14ac:dyDescent="0.15">
      <c r="E118" s="4" t="s">
        <v>105</v>
      </c>
    </row>
    <row r="119" spans="1:36" ht="15" customHeight="1" x14ac:dyDescent="0.15">
      <c r="E119" s="4" t="s">
        <v>104</v>
      </c>
    </row>
    <row r="120" spans="1:36" ht="15" customHeight="1" x14ac:dyDescent="0.15">
      <c r="E120" s="4" t="s">
        <v>106</v>
      </c>
    </row>
    <row r="121" spans="1:36" ht="15" customHeight="1" x14ac:dyDescent="0.15">
      <c r="D121" s="4" t="s">
        <v>34</v>
      </c>
    </row>
    <row r="122" spans="1:36" ht="15" customHeight="1" x14ac:dyDescent="0.15">
      <c r="E122" s="4" t="s">
        <v>132</v>
      </c>
    </row>
    <row r="123" spans="1:36" ht="15" customHeight="1" x14ac:dyDescent="0.15">
      <c r="E123" s="4" t="s">
        <v>131</v>
      </c>
    </row>
    <row r="126" spans="1:36" ht="15" customHeight="1" x14ac:dyDescent="0.15">
      <c r="A126" s="4"/>
      <c r="B126" s="4" t="s">
        <v>35</v>
      </c>
    </row>
    <row r="127" spans="1:36" ht="15" customHeight="1" x14ac:dyDescent="0.15">
      <c r="A127" s="4"/>
      <c r="B127" s="5" t="s">
        <v>14</v>
      </c>
      <c r="C127" s="6"/>
      <c r="D127" s="5" t="s">
        <v>36</v>
      </c>
      <c r="E127" s="7"/>
      <c r="F127" s="7"/>
      <c r="G127" s="7"/>
      <c r="H127" s="6"/>
      <c r="I127" s="5" t="s">
        <v>31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</row>
    <row r="128" spans="1:36" ht="15" customHeight="1" x14ac:dyDescent="0.15">
      <c r="A128" s="4"/>
      <c r="B128" s="65">
        <v>1</v>
      </c>
      <c r="C128" s="66"/>
      <c r="D128" s="15" t="s">
        <v>37</v>
      </c>
      <c r="E128" s="17"/>
      <c r="F128" s="17"/>
      <c r="G128" s="17"/>
      <c r="H128" s="17"/>
      <c r="I128" s="31" t="s">
        <v>38</v>
      </c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3"/>
    </row>
    <row r="129" spans="1:36" ht="15" customHeight="1" x14ac:dyDescent="0.15">
      <c r="A129" s="4"/>
      <c r="B129" s="67"/>
      <c r="C129" s="68"/>
      <c r="D129" s="16"/>
      <c r="E129" s="20"/>
      <c r="F129" s="20"/>
      <c r="G129" s="20"/>
      <c r="H129" s="20"/>
      <c r="I129" s="21" t="s">
        <v>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3"/>
    </row>
    <row r="130" spans="1:36" ht="15" customHeight="1" x14ac:dyDescent="0.15">
      <c r="A130" s="4"/>
      <c r="B130" s="65">
        <v>2</v>
      </c>
      <c r="C130" s="66"/>
      <c r="D130" s="15" t="s">
        <v>40</v>
      </c>
      <c r="E130" s="17"/>
      <c r="F130" s="17"/>
      <c r="G130" s="17"/>
      <c r="H130" s="17"/>
      <c r="I130" s="31" t="s">
        <v>41</v>
      </c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3"/>
    </row>
    <row r="131" spans="1:36" ht="15" customHeight="1" x14ac:dyDescent="0.15">
      <c r="A131" s="4"/>
      <c r="B131" s="67"/>
      <c r="C131" s="68"/>
      <c r="D131" s="16"/>
      <c r="E131" s="20"/>
      <c r="F131" s="20"/>
      <c r="G131" s="20"/>
      <c r="H131" s="20"/>
      <c r="I131" s="21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3"/>
    </row>
    <row r="132" spans="1:36" ht="15" customHeight="1" x14ac:dyDescent="0.15">
      <c r="A132" s="4"/>
      <c r="B132" s="65">
        <v>3</v>
      </c>
      <c r="C132" s="66"/>
      <c r="D132" s="44" t="s">
        <v>42</v>
      </c>
      <c r="E132" s="18"/>
      <c r="F132" s="18"/>
      <c r="G132" s="18"/>
      <c r="H132" s="18"/>
      <c r="I132" s="26" t="s">
        <v>43</v>
      </c>
      <c r="AJ132" s="19"/>
    </row>
    <row r="133" spans="1:36" ht="15" customHeight="1" x14ac:dyDescent="0.15">
      <c r="A133" s="4"/>
      <c r="B133" s="67"/>
      <c r="C133" s="68"/>
      <c r="D133" s="16"/>
      <c r="E133" s="20"/>
      <c r="F133" s="20"/>
      <c r="G133" s="20"/>
      <c r="H133" s="20"/>
      <c r="I133" s="26"/>
      <c r="AJ133" s="19"/>
    </row>
    <row r="134" spans="1:36" ht="15" customHeight="1" x14ac:dyDescent="0.15">
      <c r="A134" s="4"/>
      <c r="B134" s="65">
        <v>4</v>
      </c>
      <c r="C134" s="66"/>
      <c r="D134" s="15" t="s">
        <v>44</v>
      </c>
      <c r="E134" s="17"/>
      <c r="F134" s="17"/>
      <c r="G134" s="17"/>
      <c r="H134" s="17"/>
      <c r="I134" s="31" t="s">
        <v>45</v>
      </c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3"/>
    </row>
    <row r="135" spans="1:36" ht="15" customHeight="1" x14ac:dyDescent="0.15">
      <c r="A135" s="4"/>
      <c r="B135" s="67"/>
      <c r="C135" s="68"/>
      <c r="D135" s="16"/>
      <c r="E135" s="20"/>
      <c r="F135" s="20"/>
      <c r="G135" s="20"/>
      <c r="H135" s="20"/>
      <c r="I135" s="21" t="s">
        <v>46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3"/>
    </row>
    <row r="136" spans="1:36" ht="15" customHeight="1" x14ac:dyDescent="0.15">
      <c r="A136" s="4"/>
      <c r="B136" s="65">
        <v>5</v>
      </c>
      <c r="C136" s="66"/>
      <c r="D136" s="15" t="s">
        <v>47</v>
      </c>
      <c r="E136" s="17"/>
      <c r="F136" s="17"/>
      <c r="G136" s="17"/>
      <c r="H136" s="17"/>
      <c r="I136" s="31" t="s">
        <v>48</v>
      </c>
      <c r="AJ136" s="19"/>
    </row>
    <row r="137" spans="1:36" ht="15" customHeight="1" x14ac:dyDescent="0.15">
      <c r="A137" s="4"/>
      <c r="B137" s="67"/>
      <c r="C137" s="68"/>
      <c r="D137" s="16"/>
      <c r="E137" s="20"/>
      <c r="F137" s="20"/>
      <c r="G137" s="20"/>
      <c r="H137" s="20"/>
      <c r="I137" s="26"/>
      <c r="AJ137" s="19"/>
    </row>
    <row r="138" spans="1:36" ht="15" customHeight="1" x14ac:dyDescent="0.15">
      <c r="A138" s="4"/>
      <c r="B138" s="65">
        <v>6</v>
      </c>
      <c r="C138" s="66"/>
      <c r="D138" s="44" t="s">
        <v>49</v>
      </c>
      <c r="E138" s="17"/>
      <c r="F138" s="17"/>
      <c r="G138" s="17"/>
      <c r="H138" s="17"/>
      <c r="I138" s="31" t="s">
        <v>50</v>
      </c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3"/>
    </row>
    <row r="139" spans="1:36" ht="15" customHeight="1" x14ac:dyDescent="0.15">
      <c r="A139" s="4"/>
      <c r="B139" s="67"/>
      <c r="C139" s="68"/>
      <c r="D139" s="16"/>
      <c r="E139" s="20"/>
      <c r="F139" s="20"/>
      <c r="G139" s="20"/>
      <c r="H139" s="20"/>
      <c r="I139" s="21" t="s">
        <v>51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3"/>
    </row>
    <row r="140" spans="1:36" ht="15" customHeight="1" x14ac:dyDescent="0.15">
      <c r="A140" s="4"/>
      <c r="B140" s="65">
        <v>7</v>
      </c>
      <c r="C140" s="66"/>
      <c r="D140" s="44" t="s">
        <v>52</v>
      </c>
      <c r="E140" s="18"/>
      <c r="F140" s="18"/>
      <c r="G140" s="18"/>
      <c r="H140" s="18"/>
      <c r="I140" s="26" t="s">
        <v>53</v>
      </c>
      <c r="AJ140" s="19"/>
    </row>
    <row r="141" spans="1:36" ht="15" customHeight="1" x14ac:dyDescent="0.15">
      <c r="A141" s="4"/>
      <c r="B141" s="67"/>
      <c r="C141" s="68"/>
      <c r="D141" s="16" t="s">
        <v>54</v>
      </c>
      <c r="E141" s="20"/>
      <c r="F141" s="20"/>
      <c r="G141" s="20"/>
      <c r="H141" s="20"/>
      <c r="I141" s="21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3"/>
    </row>
    <row r="142" spans="1:36" ht="15" customHeight="1" x14ac:dyDescent="0.15">
      <c r="A142" s="4"/>
      <c r="C142" s="12"/>
      <c r="J142" s="17"/>
      <c r="K142" s="17"/>
      <c r="AA142" s="34"/>
      <c r="AB142" s="34"/>
      <c r="AC142" s="34"/>
      <c r="AD142" s="34"/>
      <c r="AE142" s="34"/>
      <c r="AF142" s="34"/>
      <c r="AG142" s="34"/>
    </row>
    <row r="144" spans="1:36" ht="15" customHeight="1" x14ac:dyDescent="0.15">
      <c r="A144" s="3" t="s">
        <v>55</v>
      </c>
    </row>
    <row r="146" spans="2:36" ht="15" customHeight="1" x14ac:dyDescent="0.15">
      <c r="B146" s="69" t="s">
        <v>56</v>
      </c>
      <c r="C146" s="70"/>
      <c r="D146" s="70"/>
      <c r="E146" s="70"/>
      <c r="F146" s="35"/>
      <c r="G146" s="35"/>
      <c r="H146" s="35"/>
      <c r="I146" s="36"/>
      <c r="J146" s="45" t="s">
        <v>57</v>
      </c>
      <c r="K146" s="45"/>
      <c r="L146" s="48"/>
      <c r="M146" s="45"/>
      <c r="N146" s="45"/>
      <c r="O146" s="48"/>
      <c r="P146" s="45" t="s">
        <v>108</v>
      </c>
      <c r="Q146" s="45"/>
      <c r="R146" s="48"/>
      <c r="S146" s="45"/>
      <c r="T146" s="45"/>
      <c r="U146" s="48"/>
      <c r="V146" s="45" t="s">
        <v>109</v>
      </c>
      <c r="W146" s="45"/>
      <c r="X146" s="45"/>
      <c r="Y146" s="45"/>
      <c r="Z146" s="45"/>
      <c r="AA146" s="45"/>
      <c r="AB146" s="45" t="s">
        <v>58</v>
      </c>
      <c r="AC146" s="45"/>
      <c r="AD146" s="45"/>
      <c r="AE146" s="45"/>
      <c r="AF146" s="45"/>
      <c r="AG146" s="45"/>
      <c r="AH146" s="45" t="s">
        <v>110</v>
      </c>
      <c r="AI146" s="45"/>
      <c r="AJ146" s="37"/>
    </row>
    <row r="147" spans="2:36" ht="15" customHeight="1" x14ac:dyDescent="0.15">
      <c r="B147" s="44" t="s">
        <v>37</v>
      </c>
      <c r="C147" s="32"/>
      <c r="D147" s="32"/>
      <c r="E147" s="32"/>
      <c r="F147" s="32"/>
      <c r="G147" s="32"/>
      <c r="H147" s="32"/>
      <c r="I147" s="33"/>
      <c r="J147" s="31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3"/>
    </row>
    <row r="148" spans="2:36" ht="15" customHeight="1" x14ac:dyDescent="0.15">
      <c r="B148" s="15"/>
      <c r="I148" s="19"/>
      <c r="J148" s="26"/>
      <c r="AJ148" s="19"/>
    </row>
    <row r="149" spans="2:36" ht="15" customHeight="1" x14ac:dyDescent="0.15">
      <c r="B149" s="15"/>
      <c r="I149" s="19"/>
      <c r="J149" s="26"/>
      <c r="AJ149" s="19"/>
    </row>
    <row r="150" spans="2:36" ht="15" customHeight="1" x14ac:dyDescent="0.15">
      <c r="B150" s="16"/>
      <c r="C150" s="22"/>
      <c r="D150" s="22"/>
      <c r="E150" s="22"/>
      <c r="F150" s="22"/>
      <c r="G150" s="22"/>
      <c r="H150" s="22"/>
      <c r="I150" s="23"/>
      <c r="J150" s="21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3"/>
    </row>
    <row r="151" spans="2:36" ht="15" customHeight="1" x14ac:dyDescent="0.15">
      <c r="B151" s="15" t="s">
        <v>40</v>
      </c>
      <c r="C151" s="32"/>
      <c r="D151" s="32"/>
      <c r="E151" s="32"/>
      <c r="F151" s="32"/>
      <c r="G151" s="32"/>
      <c r="H151" s="32"/>
      <c r="I151" s="33"/>
      <c r="J151" s="31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3"/>
    </row>
    <row r="152" spans="2:36" ht="15" customHeight="1" x14ac:dyDescent="0.15">
      <c r="B152" s="16"/>
      <c r="C152" s="22"/>
      <c r="D152" s="22"/>
      <c r="E152" s="22"/>
      <c r="F152" s="22"/>
      <c r="G152" s="22"/>
      <c r="H152" s="22"/>
      <c r="I152" s="23"/>
      <c r="J152" s="21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3"/>
    </row>
    <row r="153" spans="2:36" ht="15" customHeight="1" x14ac:dyDescent="0.15">
      <c r="B153" s="44" t="s">
        <v>42</v>
      </c>
      <c r="I153" s="19"/>
      <c r="J153" s="26"/>
      <c r="AJ153" s="19"/>
    </row>
    <row r="154" spans="2:36" ht="15" customHeight="1" x14ac:dyDescent="0.15">
      <c r="B154" s="16"/>
      <c r="I154" s="19"/>
      <c r="J154" s="26"/>
      <c r="AJ154" s="19"/>
    </row>
    <row r="155" spans="2:36" ht="15" customHeight="1" x14ac:dyDescent="0.15">
      <c r="B155" s="15" t="s">
        <v>44</v>
      </c>
      <c r="C155" s="32"/>
      <c r="D155" s="32"/>
      <c r="E155" s="32"/>
      <c r="F155" s="32"/>
      <c r="G155" s="32"/>
      <c r="H155" s="32"/>
      <c r="I155" s="33"/>
      <c r="J155" s="31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3"/>
    </row>
    <row r="156" spans="2:36" ht="15" customHeight="1" x14ac:dyDescent="0.15">
      <c r="B156" s="16"/>
      <c r="C156" s="22"/>
      <c r="D156" s="22"/>
      <c r="E156" s="22"/>
      <c r="F156" s="22"/>
      <c r="G156" s="22"/>
      <c r="H156" s="22"/>
      <c r="I156" s="23"/>
      <c r="J156" s="21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3"/>
    </row>
    <row r="157" spans="2:36" ht="15" customHeight="1" x14ac:dyDescent="0.15">
      <c r="B157" s="15" t="s">
        <v>47</v>
      </c>
      <c r="I157" s="19"/>
      <c r="J157" s="26"/>
      <c r="AJ157" s="19"/>
    </row>
    <row r="158" spans="2:36" ht="15" customHeight="1" x14ac:dyDescent="0.15">
      <c r="B158" s="15"/>
      <c r="I158" s="19"/>
      <c r="J158" s="26"/>
      <c r="AJ158" s="19"/>
    </row>
    <row r="159" spans="2:36" ht="15" customHeight="1" x14ac:dyDescent="0.15">
      <c r="B159" s="15"/>
      <c r="I159" s="19"/>
      <c r="J159" s="26"/>
      <c r="AJ159" s="19"/>
    </row>
    <row r="160" spans="2:36" ht="15" customHeight="1" x14ac:dyDescent="0.15">
      <c r="B160" s="16"/>
      <c r="I160" s="19"/>
      <c r="J160" s="26"/>
      <c r="AJ160" s="19"/>
    </row>
    <row r="161" spans="1:36" ht="15" customHeight="1" x14ac:dyDescent="0.15">
      <c r="B161" s="44" t="s">
        <v>49</v>
      </c>
      <c r="C161" s="32"/>
      <c r="D161" s="32"/>
      <c r="E161" s="32"/>
      <c r="F161" s="32"/>
      <c r="G161" s="32"/>
      <c r="H161" s="32"/>
      <c r="I161" s="33"/>
      <c r="J161" s="31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3"/>
    </row>
    <row r="162" spans="1:36" ht="15" customHeight="1" x14ac:dyDescent="0.15">
      <c r="B162" s="16"/>
      <c r="C162" s="22"/>
      <c r="D162" s="22"/>
      <c r="E162" s="22"/>
      <c r="F162" s="22"/>
      <c r="G162" s="22"/>
      <c r="H162" s="22"/>
      <c r="I162" s="23"/>
      <c r="J162" s="21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3"/>
    </row>
    <row r="163" spans="1:36" ht="15" customHeight="1" x14ac:dyDescent="0.15">
      <c r="A163" s="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T163" s="24"/>
      <c r="U163" s="4" t="s">
        <v>59</v>
      </c>
      <c r="V163" s="24"/>
      <c r="X163" s="24"/>
      <c r="Y163" s="4" t="s">
        <v>60</v>
      </c>
      <c r="AA163" s="24"/>
      <c r="AB163" s="24"/>
      <c r="AE163" s="4" t="s">
        <v>61</v>
      </c>
    </row>
    <row r="165" spans="1:36" ht="15" customHeight="1" x14ac:dyDescent="0.15">
      <c r="A165" s="4"/>
      <c r="V165" s="14"/>
    </row>
    <row r="166" spans="1:36" ht="15" customHeight="1" x14ac:dyDescent="0.15">
      <c r="A166" s="3" t="s">
        <v>62</v>
      </c>
    </row>
    <row r="167" spans="1:36" ht="15" customHeight="1" thickBot="1" x14ac:dyDescent="0.2">
      <c r="A167" s="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6" ht="15" customHeight="1" thickTop="1" x14ac:dyDescent="0.15">
      <c r="C168" s="59" t="s">
        <v>63</v>
      </c>
      <c r="D168" s="60"/>
      <c r="E168" s="60"/>
      <c r="F168" s="60"/>
      <c r="G168" s="60"/>
      <c r="H168" s="61"/>
      <c r="I168" s="27"/>
      <c r="J168" s="27"/>
      <c r="K168" s="27"/>
      <c r="L168" s="27"/>
      <c r="M168" s="59" t="s">
        <v>64</v>
      </c>
      <c r="N168" s="60"/>
      <c r="O168" s="60"/>
      <c r="P168" s="60"/>
      <c r="Q168" s="60"/>
      <c r="R168" s="61"/>
      <c r="S168" s="28"/>
      <c r="T168" s="27"/>
      <c r="U168" s="27"/>
      <c r="V168" s="29"/>
      <c r="W168" s="59" t="s">
        <v>91</v>
      </c>
      <c r="X168" s="60"/>
      <c r="Y168" s="60"/>
      <c r="Z168" s="60"/>
      <c r="AA168" s="60"/>
      <c r="AB168" s="61"/>
      <c r="AC168" s="24"/>
      <c r="AD168" s="24"/>
      <c r="AE168" s="24"/>
      <c r="AF168" s="24"/>
      <c r="AG168" s="24"/>
    </row>
    <row r="169" spans="1:36" ht="15" customHeight="1" thickBot="1" x14ac:dyDescent="0.2">
      <c r="A169" s="4"/>
      <c r="C169" s="62"/>
      <c r="D169" s="63"/>
      <c r="E169" s="63"/>
      <c r="F169" s="63"/>
      <c r="G169" s="63"/>
      <c r="H169" s="64"/>
      <c r="I169" s="1"/>
      <c r="J169" s="1"/>
      <c r="K169" s="1"/>
      <c r="L169" s="1"/>
      <c r="M169" s="62"/>
      <c r="N169" s="63"/>
      <c r="O169" s="63"/>
      <c r="P169" s="63"/>
      <c r="Q169" s="63"/>
      <c r="R169" s="64"/>
      <c r="S169" s="1"/>
      <c r="T169" s="49"/>
      <c r="U169" s="30"/>
      <c r="V169" s="1"/>
      <c r="W169" s="62"/>
      <c r="X169" s="63"/>
      <c r="Y169" s="63"/>
      <c r="Z169" s="63"/>
      <c r="AA169" s="63"/>
      <c r="AB169" s="64"/>
      <c r="AC169" s="24"/>
      <c r="AD169" s="24"/>
      <c r="AE169" s="24"/>
      <c r="AF169" s="24"/>
      <c r="AG169" s="24"/>
    </row>
    <row r="170" spans="1:36" ht="15" customHeight="1" thickTop="1" thickBot="1" x14ac:dyDescent="0.2">
      <c r="A170" s="4"/>
      <c r="I170" s="24"/>
      <c r="J170" s="24"/>
      <c r="K170" s="24"/>
      <c r="L170" s="24"/>
      <c r="M170" s="24"/>
      <c r="N170" s="24"/>
      <c r="O170" s="24"/>
      <c r="P170" s="46"/>
      <c r="Q170" s="24"/>
      <c r="R170" s="24"/>
      <c r="S170" s="24"/>
      <c r="T170" s="50"/>
      <c r="U170" s="1"/>
      <c r="V170" s="1"/>
      <c r="W170" s="1"/>
      <c r="X170" s="1"/>
      <c r="Y170" s="1"/>
      <c r="Z170" s="1"/>
      <c r="AA170" s="1"/>
      <c r="AB170" s="1"/>
      <c r="AC170" s="24"/>
      <c r="AD170" s="24"/>
      <c r="AE170" s="24"/>
      <c r="AF170" s="24"/>
      <c r="AG170" s="24"/>
    </row>
    <row r="171" spans="1:36" ht="15" customHeight="1" thickTop="1" x14ac:dyDescent="0.15">
      <c r="A171" s="4"/>
      <c r="I171" s="24"/>
      <c r="J171" s="24"/>
      <c r="K171" s="24"/>
      <c r="L171" s="24"/>
      <c r="M171" s="59" t="s">
        <v>65</v>
      </c>
      <c r="N171" s="60"/>
      <c r="O171" s="60"/>
      <c r="P171" s="60"/>
      <c r="Q171" s="60"/>
      <c r="R171" s="61"/>
      <c r="S171" s="24"/>
      <c r="T171" s="50"/>
      <c r="U171" s="51"/>
      <c r="V171" s="52"/>
      <c r="W171" s="59" t="s">
        <v>92</v>
      </c>
      <c r="X171" s="60"/>
      <c r="Y171" s="60"/>
      <c r="Z171" s="60"/>
      <c r="AA171" s="60"/>
      <c r="AB171" s="61"/>
      <c r="AC171" s="24"/>
      <c r="AD171" s="24"/>
      <c r="AE171" s="24"/>
      <c r="AF171" s="24"/>
      <c r="AG171" s="24"/>
    </row>
    <row r="172" spans="1:36" ht="15" customHeight="1" thickBot="1" x14ac:dyDescent="0.2">
      <c r="M172" s="62"/>
      <c r="N172" s="63"/>
      <c r="O172" s="63"/>
      <c r="P172" s="63"/>
      <c r="Q172" s="63"/>
      <c r="R172" s="64"/>
      <c r="U172" s="1"/>
      <c r="W172" s="62"/>
      <c r="X172" s="63"/>
      <c r="Y172" s="63"/>
      <c r="Z172" s="63"/>
      <c r="AA172" s="63"/>
      <c r="AB172" s="64"/>
    </row>
    <row r="173" spans="1:36" ht="15" customHeight="1" thickTop="1" x14ac:dyDescent="0.15"/>
    <row r="174" spans="1:36" ht="15" customHeight="1" x14ac:dyDescent="0.15">
      <c r="A174" s="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6" ht="15" customHeight="1" x14ac:dyDescent="0.15">
      <c r="A175" s="3" t="s">
        <v>66</v>
      </c>
    </row>
    <row r="177" spans="1:3" ht="15" customHeight="1" x14ac:dyDescent="0.15">
      <c r="B177" s="4" t="s">
        <v>67</v>
      </c>
    </row>
    <row r="178" spans="1:3" ht="15" customHeight="1" x14ac:dyDescent="0.15">
      <c r="C178" s="4" t="s">
        <v>68</v>
      </c>
    </row>
    <row r="179" spans="1:3" ht="15" customHeight="1" x14ac:dyDescent="0.15">
      <c r="B179" s="25" t="s">
        <v>69</v>
      </c>
      <c r="C179" s="47"/>
    </row>
    <row r="180" spans="1:3" ht="15" customHeight="1" x14ac:dyDescent="0.15">
      <c r="B180" s="4" t="s">
        <v>70</v>
      </c>
    </row>
    <row r="181" spans="1:3" ht="15" customHeight="1" x14ac:dyDescent="0.15">
      <c r="C181" s="4" t="s">
        <v>71</v>
      </c>
    </row>
    <row r="182" spans="1:3" ht="15" customHeight="1" x14ac:dyDescent="0.15">
      <c r="C182" s="4" t="s">
        <v>72</v>
      </c>
    </row>
    <row r="183" spans="1:3" ht="15" customHeight="1" x14ac:dyDescent="0.15">
      <c r="C183" s="4" t="s">
        <v>73</v>
      </c>
    </row>
    <row r="184" spans="1:3" ht="15" customHeight="1" x14ac:dyDescent="0.15">
      <c r="B184" s="25" t="s">
        <v>69</v>
      </c>
      <c r="C184" s="47"/>
    </row>
    <row r="185" spans="1:3" ht="15" customHeight="1" x14ac:dyDescent="0.15">
      <c r="B185" s="4" t="s">
        <v>74</v>
      </c>
      <c r="C185" s="25"/>
    </row>
    <row r="186" spans="1:3" ht="15" customHeight="1" x14ac:dyDescent="0.15">
      <c r="C186" s="25" t="s">
        <v>75</v>
      </c>
    </row>
    <row r="187" spans="1:3" ht="15" customHeight="1" x14ac:dyDescent="0.15">
      <c r="C187" s="4" t="s">
        <v>76</v>
      </c>
    </row>
    <row r="189" spans="1:3" ht="15" customHeight="1" x14ac:dyDescent="0.15">
      <c r="A189" s="4"/>
      <c r="B189" s="4" t="s">
        <v>77</v>
      </c>
    </row>
    <row r="190" spans="1:3" ht="15" customHeight="1" x14ac:dyDescent="0.15">
      <c r="A190" s="4"/>
      <c r="C190" s="4" t="s">
        <v>78</v>
      </c>
    </row>
    <row r="191" spans="1:3" ht="15" customHeight="1" x14ac:dyDescent="0.15">
      <c r="A191" s="4"/>
      <c r="C191" s="4" t="s">
        <v>79</v>
      </c>
    </row>
    <row r="192" spans="1:3" ht="15" customHeight="1" x14ac:dyDescent="0.15">
      <c r="A192" s="4"/>
    </row>
    <row r="193" spans="1:3" ht="15" customHeight="1" x14ac:dyDescent="0.15">
      <c r="A193" s="4"/>
      <c r="B193" s="4" t="s">
        <v>80</v>
      </c>
    </row>
    <row r="194" spans="1:3" ht="15" customHeight="1" x14ac:dyDescent="0.15">
      <c r="A194" s="4"/>
      <c r="C194" s="4" t="s">
        <v>81</v>
      </c>
    </row>
    <row r="196" spans="1:3" ht="15" customHeight="1" x14ac:dyDescent="0.15">
      <c r="B196" s="4" t="s">
        <v>82</v>
      </c>
    </row>
    <row r="197" spans="1:3" ht="15" customHeight="1" x14ac:dyDescent="0.15">
      <c r="C197" s="4" t="s">
        <v>83</v>
      </c>
    </row>
    <row r="199" spans="1:3" ht="15" customHeight="1" x14ac:dyDescent="0.15">
      <c r="B199" s="4" t="s">
        <v>84</v>
      </c>
    </row>
    <row r="200" spans="1:3" ht="15" customHeight="1" x14ac:dyDescent="0.15">
      <c r="C200" s="4" t="s">
        <v>85</v>
      </c>
    </row>
    <row r="205" spans="1:3" ht="15" customHeight="1" x14ac:dyDescent="0.15">
      <c r="C205" s="25"/>
    </row>
    <row r="206" spans="1:3" ht="15" customHeight="1" x14ac:dyDescent="0.15">
      <c r="C206" s="25"/>
    </row>
    <row r="207" spans="1:3" ht="15" customHeight="1" x14ac:dyDescent="0.15">
      <c r="C207" s="25"/>
    </row>
  </sheetData>
  <mergeCells count="35">
    <mergeCell ref="B138:C139"/>
    <mergeCell ref="B140:C141"/>
    <mergeCell ref="B136:C137"/>
    <mergeCell ref="B128:C129"/>
    <mergeCell ref="B130:C131"/>
    <mergeCell ref="B132:C133"/>
    <mergeCell ref="B134:C135"/>
    <mergeCell ref="C168:H169"/>
    <mergeCell ref="M168:R169"/>
    <mergeCell ref="W168:AB169"/>
    <mergeCell ref="M171:R172"/>
    <mergeCell ref="B146:E146"/>
    <mergeCell ref="W171:AB172"/>
    <mergeCell ref="B44:AD44"/>
    <mergeCell ref="AE44:AJ44"/>
    <mergeCell ref="B40:C40"/>
    <mergeCell ref="AE40:AJ40"/>
    <mergeCell ref="B41:C41"/>
    <mergeCell ref="B42:C42"/>
    <mergeCell ref="B43:C43"/>
    <mergeCell ref="AE41:AJ41"/>
    <mergeCell ref="AE42:AJ42"/>
    <mergeCell ref="AE43:AJ43"/>
    <mergeCell ref="B38:C38"/>
    <mergeCell ref="AE38:AJ38"/>
    <mergeCell ref="B39:C39"/>
    <mergeCell ref="AE39:AJ39"/>
    <mergeCell ref="B37:C37"/>
    <mergeCell ref="AE37:AJ37"/>
    <mergeCell ref="D36:AD36"/>
    <mergeCell ref="AF2:AJ2"/>
    <mergeCell ref="A5:Q6"/>
    <mergeCell ref="A9:E10"/>
    <mergeCell ref="F9:Q10"/>
    <mergeCell ref="A1:S2"/>
  </mergeCells>
  <phoneticPr fontId="5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5" manualBreakCount="5">
    <brk id="52" max="35" man="1"/>
    <brk id="96" max="35" man="1"/>
    <brk id="125" max="35" man="1"/>
    <brk id="174" max="35" man="1"/>
    <brk id="202" max="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6"/>
  <sheetViews>
    <sheetView showGridLines="0" view="pageBreakPreview" zoomScaleNormal="100" zoomScaleSheetLayoutView="100" workbookViewId="0">
      <selection activeCell="B15" sqref="B15"/>
    </sheetView>
  </sheetViews>
  <sheetFormatPr defaultColWidth="2.5" defaultRowHeight="15" customHeight="1" x14ac:dyDescent="0.15"/>
  <cols>
    <col min="1" max="1" width="2.5" style="3"/>
    <col min="2" max="27" width="2.5" style="4"/>
    <col min="28" max="28" width="2.5" style="4" customWidth="1"/>
    <col min="29" max="45" width="2.5" style="4"/>
    <col min="46" max="46" width="5.5" style="4" customWidth="1"/>
    <col min="47" max="16384" width="2.5" style="4"/>
  </cols>
  <sheetData>
    <row r="1" spans="1:37" s="1" customFormat="1" ht="15" customHeight="1" x14ac:dyDescent="0.15">
      <c r="A1" s="80" t="s">
        <v>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Y2" s="11" t="s">
        <v>3</v>
      </c>
      <c r="Z2" s="11"/>
      <c r="AA2" s="11"/>
      <c r="AB2" s="11"/>
      <c r="AC2" s="11"/>
      <c r="AD2" s="11"/>
      <c r="AE2" s="11"/>
      <c r="AF2" s="81"/>
      <c r="AG2" s="82"/>
      <c r="AH2" s="82"/>
      <c r="AI2" s="82"/>
      <c r="AJ2" s="82"/>
      <c r="AK2" s="4"/>
    </row>
    <row r="3" spans="1:37" s="1" customFormat="1" ht="15" customHeight="1" x14ac:dyDescent="0.15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15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15">
      <c r="A5" s="83" t="s">
        <v>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15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15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15">
      <c r="A9" s="85" t="s">
        <v>5</v>
      </c>
      <c r="B9" s="85"/>
      <c r="C9" s="85"/>
      <c r="D9" s="85"/>
      <c r="E9" s="85"/>
      <c r="F9" s="87">
        <f>AE44</f>
        <v>5010000</v>
      </c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15">
      <c r="A10" s="86"/>
      <c r="B10" s="86"/>
      <c r="C10" s="86"/>
      <c r="D10" s="86"/>
      <c r="E10" s="86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15">
      <c r="A11" s="2"/>
    </row>
    <row r="12" spans="1:37" s="1" customFormat="1" ht="15" customHeight="1" x14ac:dyDescent="0.15">
      <c r="A12" s="2"/>
    </row>
    <row r="13" spans="1:37" ht="15" customHeight="1" x14ac:dyDescent="0.15">
      <c r="A13" s="3" t="s">
        <v>6</v>
      </c>
    </row>
    <row r="15" spans="1:37" ht="15" customHeight="1" x14ac:dyDescent="0.15">
      <c r="B15" s="4" t="str">
        <f>'御見積詳細書 (顧客用)'!B15</f>
        <v>MESシステム　千葉工場製造一課開発対応</v>
      </c>
    </row>
    <row r="18" spans="1:16" ht="15" customHeight="1" x14ac:dyDescent="0.15">
      <c r="A18" s="4"/>
    </row>
    <row r="19" spans="1:16" ht="15" customHeight="1" x14ac:dyDescent="0.15">
      <c r="A19" s="3" t="s">
        <v>8</v>
      </c>
      <c r="P19" s="3"/>
    </row>
    <row r="20" spans="1:16" ht="15" customHeight="1" x14ac:dyDescent="0.15">
      <c r="A20" s="4"/>
    </row>
    <row r="21" spans="1:16" ht="15" customHeight="1" x14ac:dyDescent="0.15">
      <c r="A21" s="4"/>
      <c r="B21" s="4" t="s">
        <v>9</v>
      </c>
    </row>
    <row r="22" spans="1:16" ht="15" customHeight="1" x14ac:dyDescent="0.15">
      <c r="A22" s="4"/>
    </row>
    <row r="23" spans="1:16" ht="15" customHeight="1" x14ac:dyDescent="0.15">
      <c r="A23" s="4"/>
    </row>
    <row r="24" spans="1:16" ht="15" customHeight="1" x14ac:dyDescent="0.15">
      <c r="A24" s="3" t="s">
        <v>10</v>
      </c>
    </row>
    <row r="25" spans="1:16" ht="15" customHeight="1" x14ac:dyDescent="0.15">
      <c r="A25" s="4"/>
    </row>
    <row r="26" spans="1:16" ht="15" customHeight="1" x14ac:dyDescent="0.15">
      <c r="A26" s="4"/>
      <c r="B26" s="4" t="s">
        <v>11</v>
      </c>
    </row>
    <row r="27" spans="1:16" ht="15" customHeight="1" x14ac:dyDescent="0.15">
      <c r="A27" s="4"/>
    </row>
    <row r="28" spans="1:16" ht="15" customHeight="1" x14ac:dyDescent="0.15">
      <c r="A28" s="4"/>
    </row>
    <row r="29" spans="1:16" ht="15" customHeight="1" x14ac:dyDescent="0.15">
      <c r="A29" s="3" t="s">
        <v>12</v>
      </c>
    </row>
    <row r="31" spans="1:16" ht="15" customHeight="1" x14ac:dyDescent="0.15">
      <c r="A31" s="4"/>
      <c r="B31" s="4" t="str">
        <f>'御見積詳細書 (顧客用)'!B31</f>
        <v>2025年9月1日 ～ 2026年1月9日</v>
      </c>
    </row>
    <row r="32" spans="1:16" ht="15" customHeight="1" x14ac:dyDescent="0.15">
      <c r="A32" s="4"/>
    </row>
    <row r="33" spans="1:49" ht="15" customHeight="1" x14ac:dyDescent="0.15">
      <c r="A33" s="4"/>
    </row>
    <row r="34" spans="1:49" ht="15" customHeight="1" x14ac:dyDescent="0.15">
      <c r="A34" s="3" t="s">
        <v>13</v>
      </c>
    </row>
    <row r="35" spans="1:49" ht="15" customHeight="1" x14ac:dyDescent="0.15">
      <c r="A35" s="4"/>
    </row>
    <row r="36" spans="1:49" ht="15" customHeight="1" x14ac:dyDescent="0.15">
      <c r="A36" s="4"/>
      <c r="B36" s="5" t="s">
        <v>14</v>
      </c>
      <c r="C36" s="6"/>
      <c r="D36" s="97" t="s">
        <v>15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  <c r="S36" s="90" t="s">
        <v>87</v>
      </c>
      <c r="T36" s="70"/>
      <c r="U36" s="70"/>
      <c r="V36" s="70"/>
      <c r="W36" s="70"/>
      <c r="X36" s="91"/>
      <c r="Y36" s="5" t="s">
        <v>88</v>
      </c>
      <c r="Z36" s="7"/>
      <c r="AA36" s="7"/>
      <c r="AB36" s="7"/>
      <c r="AC36" s="7"/>
      <c r="AD36" s="7"/>
      <c r="AE36" s="5" t="s">
        <v>16</v>
      </c>
      <c r="AF36" s="7"/>
      <c r="AG36" s="7"/>
      <c r="AH36" s="7"/>
      <c r="AI36" s="7"/>
      <c r="AJ36" s="6"/>
    </row>
    <row r="37" spans="1:49" ht="15" customHeight="1" x14ac:dyDescent="0.15">
      <c r="A37" s="4"/>
      <c r="B37" s="71">
        <v>1</v>
      </c>
      <c r="C37" s="72"/>
      <c r="D37" s="42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94">
        <v>1000000</v>
      </c>
      <c r="T37" s="95"/>
      <c r="U37" s="95"/>
      <c r="V37" s="95"/>
      <c r="W37" s="95"/>
      <c r="X37" s="96"/>
      <c r="Y37" s="100">
        <v>5</v>
      </c>
      <c r="Z37" s="101"/>
      <c r="AA37" s="101"/>
      <c r="AB37" s="101"/>
      <c r="AC37" s="92" t="s">
        <v>89</v>
      </c>
      <c r="AD37" s="93"/>
      <c r="AE37" s="73">
        <f t="shared" ref="AE37:AE38" si="0">S37/20*Y37</f>
        <v>250000</v>
      </c>
      <c r="AF37" s="74"/>
      <c r="AG37" s="74"/>
      <c r="AH37" s="74"/>
      <c r="AI37" s="74"/>
      <c r="AJ37" s="75"/>
    </row>
    <row r="38" spans="1:49" ht="15" customHeight="1" x14ac:dyDescent="0.15">
      <c r="A38" s="4"/>
      <c r="B38" s="71">
        <v>2</v>
      </c>
      <c r="C38" s="72"/>
      <c r="D38" s="42" t="s">
        <v>18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94">
        <v>1000000</v>
      </c>
      <c r="T38" s="95"/>
      <c r="U38" s="95"/>
      <c r="V38" s="95"/>
      <c r="W38" s="95"/>
      <c r="X38" s="96"/>
      <c r="Y38" s="100">
        <v>15</v>
      </c>
      <c r="Z38" s="101"/>
      <c r="AA38" s="101"/>
      <c r="AB38" s="101"/>
      <c r="AC38" s="92" t="s">
        <v>89</v>
      </c>
      <c r="AD38" s="93"/>
      <c r="AE38" s="73">
        <f t="shared" si="0"/>
        <v>750000</v>
      </c>
      <c r="AF38" s="74"/>
      <c r="AG38" s="74"/>
      <c r="AH38" s="74"/>
      <c r="AI38" s="74"/>
      <c r="AJ38" s="75"/>
    </row>
    <row r="39" spans="1:49" ht="15" customHeight="1" x14ac:dyDescent="0.15">
      <c r="A39" s="4"/>
      <c r="B39" s="71">
        <v>3</v>
      </c>
      <c r="C39" s="72"/>
      <c r="D39" s="42" t="s">
        <v>19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94">
        <v>1000000</v>
      </c>
      <c r="T39" s="95"/>
      <c r="U39" s="95"/>
      <c r="V39" s="95"/>
      <c r="W39" s="95"/>
      <c r="X39" s="96"/>
      <c r="Y39" s="100">
        <v>30</v>
      </c>
      <c r="Z39" s="101"/>
      <c r="AA39" s="101"/>
      <c r="AB39" s="101"/>
      <c r="AC39" s="92" t="s">
        <v>89</v>
      </c>
      <c r="AD39" s="93"/>
      <c r="AE39" s="73">
        <f>S39/20*Y39</f>
        <v>1500000</v>
      </c>
      <c r="AF39" s="74"/>
      <c r="AG39" s="74"/>
      <c r="AH39" s="74"/>
      <c r="AI39" s="74"/>
      <c r="AJ39" s="75"/>
    </row>
    <row r="40" spans="1:49" ht="15" customHeight="1" x14ac:dyDescent="0.15">
      <c r="A40" s="4"/>
      <c r="B40" s="71">
        <v>4</v>
      </c>
      <c r="C40" s="72"/>
      <c r="D40" s="42" t="s">
        <v>20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94">
        <v>1000000</v>
      </c>
      <c r="T40" s="95"/>
      <c r="U40" s="95"/>
      <c r="V40" s="95"/>
      <c r="W40" s="95"/>
      <c r="X40" s="96"/>
      <c r="Y40" s="100">
        <v>24</v>
      </c>
      <c r="Z40" s="101"/>
      <c r="AA40" s="101"/>
      <c r="AB40" s="101"/>
      <c r="AC40" s="92" t="s">
        <v>89</v>
      </c>
      <c r="AD40" s="93"/>
      <c r="AE40" s="73">
        <f>S40/20*Y40</f>
        <v>1200000</v>
      </c>
      <c r="AF40" s="74"/>
      <c r="AG40" s="74"/>
      <c r="AH40" s="74"/>
      <c r="AI40" s="74"/>
      <c r="AJ40" s="75"/>
    </row>
    <row r="41" spans="1:49" ht="15" customHeight="1" x14ac:dyDescent="0.15">
      <c r="A41" s="4"/>
      <c r="B41" s="71">
        <v>5</v>
      </c>
      <c r="C41" s="72"/>
      <c r="D41" s="42" t="s">
        <v>21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94">
        <v>1000000</v>
      </c>
      <c r="T41" s="95"/>
      <c r="U41" s="95"/>
      <c r="V41" s="95"/>
      <c r="W41" s="95"/>
      <c r="X41" s="96"/>
      <c r="Y41" s="100">
        <v>6</v>
      </c>
      <c r="Z41" s="101"/>
      <c r="AA41" s="101"/>
      <c r="AB41" s="101"/>
      <c r="AC41" s="92" t="s">
        <v>89</v>
      </c>
      <c r="AD41" s="93"/>
      <c r="AE41" s="73">
        <f>S41/20*Y41</f>
        <v>300000</v>
      </c>
      <c r="AF41" s="74"/>
      <c r="AG41" s="74"/>
      <c r="AH41" s="74"/>
      <c r="AI41" s="74"/>
      <c r="AJ41" s="75"/>
    </row>
    <row r="42" spans="1:49" ht="15" customHeight="1" x14ac:dyDescent="0.15">
      <c r="A42" s="4"/>
      <c r="B42" s="71">
        <v>6</v>
      </c>
      <c r="C42" s="72"/>
      <c r="D42" s="42" t="s">
        <v>22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94">
        <v>1000000</v>
      </c>
      <c r="T42" s="95"/>
      <c r="U42" s="95"/>
      <c r="V42" s="95"/>
      <c r="W42" s="95"/>
      <c r="X42" s="96"/>
      <c r="Y42" s="100">
        <v>2</v>
      </c>
      <c r="Z42" s="101"/>
      <c r="AA42" s="101"/>
      <c r="AB42" s="101"/>
      <c r="AC42" s="92" t="s">
        <v>89</v>
      </c>
      <c r="AD42" s="93"/>
      <c r="AE42" s="73">
        <f>S42/20*Y42</f>
        <v>100000</v>
      </c>
      <c r="AF42" s="74"/>
      <c r="AG42" s="74"/>
      <c r="AH42" s="74"/>
      <c r="AI42" s="74"/>
      <c r="AJ42" s="75"/>
    </row>
    <row r="43" spans="1:49" ht="15" customHeight="1" x14ac:dyDescent="0.15">
      <c r="A43" s="4"/>
      <c r="B43" s="71">
        <v>7</v>
      </c>
      <c r="C43" s="72"/>
      <c r="D43" s="42" t="s">
        <v>23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94">
        <v>1400000</v>
      </c>
      <c r="T43" s="95"/>
      <c r="U43" s="95"/>
      <c r="V43" s="95"/>
      <c r="W43" s="95"/>
      <c r="X43" s="96"/>
      <c r="Y43" s="100">
        <f>ROUNDUP(SUM(Y37:AB42)*0.15,0)</f>
        <v>13</v>
      </c>
      <c r="Z43" s="101"/>
      <c r="AA43" s="101"/>
      <c r="AB43" s="101"/>
      <c r="AC43" s="92" t="s">
        <v>89</v>
      </c>
      <c r="AD43" s="93"/>
      <c r="AE43" s="73">
        <f>S43/20*Y43</f>
        <v>910000</v>
      </c>
      <c r="AF43" s="74"/>
      <c r="AG43" s="74"/>
      <c r="AH43" s="74"/>
      <c r="AI43" s="74"/>
      <c r="AJ43" s="75"/>
      <c r="AT43" s="13"/>
      <c r="AU43" s="13"/>
      <c r="AV43" s="13"/>
      <c r="AW43" s="13"/>
    </row>
    <row r="44" spans="1:49" ht="15" customHeight="1" x14ac:dyDescent="0.15">
      <c r="A44" s="4"/>
      <c r="B44" s="102" t="s">
        <v>24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0">
        <f>SUM(Y37:AB43)</f>
        <v>95</v>
      </c>
      <c r="Z44" s="101"/>
      <c r="AA44" s="101"/>
      <c r="AB44" s="101"/>
      <c r="AC44" s="92" t="s">
        <v>89</v>
      </c>
      <c r="AD44" s="93"/>
      <c r="AE44" s="79">
        <f>SUM(AE37:AJ43)</f>
        <v>5010000</v>
      </c>
      <c r="AF44" s="79"/>
      <c r="AG44" s="79"/>
      <c r="AH44" s="79"/>
      <c r="AI44" s="79"/>
      <c r="AJ44" s="79"/>
    </row>
    <row r="45" spans="1:49" ht="15" customHeight="1" x14ac:dyDescent="0.15">
      <c r="A45" s="4"/>
      <c r="AB45" s="13"/>
    </row>
    <row r="46" spans="1:49" ht="15" customHeight="1" x14ac:dyDescent="0.15">
      <c r="A46" s="4"/>
      <c r="AB46" s="13"/>
    </row>
  </sheetData>
  <mergeCells count="46">
    <mergeCell ref="AE37:AJ37"/>
    <mergeCell ref="B44:X44"/>
    <mergeCell ref="Y44:AB44"/>
    <mergeCell ref="AC44:AD44"/>
    <mergeCell ref="AE42:AJ42"/>
    <mergeCell ref="S43:X43"/>
    <mergeCell ref="Y43:AB43"/>
    <mergeCell ref="AC43:AD43"/>
    <mergeCell ref="AE43:AJ43"/>
    <mergeCell ref="B42:C42"/>
    <mergeCell ref="B43:C43"/>
    <mergeCell ref="S42:X42"/>
    <mergeCell ref="Y42:AB42"/>
    <mergeCell ref="AC42:AD42"/>
    <mergeCell ref="AE44:AJ44"/>
    <mergeCell ref="B41:C41"/>
    <mergeCell ref="B40:C40"/>
    <mergeCell ref="AE40:AJ40"/>
    <mergeCell ref="B39:C39"/>
    <mergeCell ref="AC40:AD40"/>
    <mergeCell ref="Y39:AB39"/>
    <mergeCell ref="AC39:AD39"/>
    <mergeCell ref="S39:X39"/>
    <mergeCell ref="S40:X40"/>
    <mergeCell ref="Y40:AB40"/>
    <mergeCell ref="Y41:AB41"/>
    <mergeCell ref="AC41:AD41"/>
    <mergeCell ref="AE39:AJ39"/>
    <mergeCell ref="AE41:AJ41"/>
    <mergeCell ref="S41:X41"/>
    <mergeCell ref="A1:S2"/>
    <mergeCell ref="A5:Q6"/>
    <mergeCell ref="B37:C37"/>
    <mergeCell ref="B38:C38"/>
    <mergeCell ref="AE38:AJ38"/>
    <mergeCell ref="AC38:AD38"/>
    <mergeCell ref="S38:X38"/>
    <mergeCell ref="AC37:AD37"/>
    <mergeCell ref="D36:R36"/>
    <mergeCell ref="Y38:AB38"/>
    <mergeCell ref="A9:E10"/>
    <mergeCell ref="F9:Q10"/>
    <mergeCell ref="S36:X36"/>
    <mergeCell ref="S37:X37"/>
    <mergeCell ref="Y37:AB37"/>
    <mergeCell ref="AF2:AJ2"/>
  </mergeCells>
  <phoneticPr fontId="6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6189C-3AA3-4818-8AF7-A56787DC2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6999F-13C4-4EF3-A154-5D2F28446717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2fd442da-66a9-4fa6-ba31-eb0d54ad1381"/>
  </ds:schemaRefs>
</ds:datastoreItem>
</file>

<file path=customXml/itemProps3.xml><?xml version="1.0" encoding="utf-8"?>
<ds:datastoreItem xmlns:ds="http://schemas.openxmlformats.org/officeDocument/2006/customXml" ds:itemID="{C0841E61-4E9C-4B46-A2F6-3731895F11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御見積詳細書 (顧客用) (2)</vt:lpstr>
      <vt:lpstr>御見積詳細書 (顧客用)</vt:lpstr>
      <vt:lpstr>御見積詳細書（社内用）</vt:lpstr>
      <vt:lpstr>'御見積詳細書 (顧客用)'!Print_Area</vt:lpstr>
      <vt:lpstr>'御見積詳細書 (顧客用) (2)'!Print_Area</vt:lpstr>
      <vt:lpstr>'御見積詳細書（社内用）'!Print_Area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2025-08-19T08:08:02Z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