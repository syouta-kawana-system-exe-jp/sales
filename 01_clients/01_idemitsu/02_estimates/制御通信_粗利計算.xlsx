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3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XE_SVN\千葉運転管理システム\71_二次開発\制御システム通信サーバ更新対応（2027）\"/>
    </mc:Choice>
  </mc:AlternateContent>
  <bookViews>
    <workbookView xWindow="0" yWindow="0" windowWidth="28800" windowHeight="13260" activeTab="1"/>
  </bookViews>
  <sheets>
    <sheet name="運転管理(パターン１)" sheetId="3" r:id="rId1"/>
    <sheet name="運転管理(パターン2)" sheetId="5" r:id="rId2"/>
  </sheets>
  <externalReferences>
    <externalReference r:id="rId3"/>
    <externalReference r:id="rId4"/>
    <externalReference r:id="rId5"/>
  </externalReferences>
  <definedNames>
    <definedName name="PJ番号" localSheetId="0">#REF!</definedName>
    <definedName name="PJ番号" localSheetId="1">#REF!</definedName>
    <definedName name="PJ番号">#REF!</definedName>
    <definedName name="ＰＪ表紙名" localSheetId="0">#REF!</definedName>
    <definedName name="ＰＪ表紙名" localSheetId="1">#REF!</definedName>
    <definedName name="ＰＪ表紙名">#REF!</definedName>
    <definedName name="ＰＭ名">[1]プロジェクト実施計画書!$G$7</definedName>
    <definedName name="プロジェクトコード" localSheetId="0">[2]!プロジェクト情報[見積番号]</definedName>
    <definedName name="プロジェクトコード" localSheetId="1">[2]!プロジェクト情報[見積番号]</definedName>
    <definedName name="プロジェクトコード">'[3]プロジェクト報告書（3.3版）'!$L$9</definedName>
    <definedName name="プロジェクト名" localSheetId="0">[2]!プロジェクト情報[プロジェクト名]</definedName>
    <definedName name="プロジェクト名" localSheetId="1">[2]!プロジェクト情報[プロジェクト名]</definedName>
    <definedName name="プロジェクト名">'[3]プロジェクト報告書（3.3版）'!$L$10</definedName>
    <definedName name="プロジェクト名称" localSheetId="0">#REF!</definedName>
    <definedName name="プロジェクト名称" localSheetId="1">#REF!</definedName>
    <definedName name="プロジェクト名称">#REF!</definedName>
    <definedName name="月" localSheetId="0">#REF!</definedName>
    <definedName name="月" localSheetId="1">#REF!</definedName>
    <definedName name="月">#REF!</definedName>
    <definedName name="検収完了日">'[3]プロジェクト報告書（3.3版）'!$AI$21</definedName>
    <definedName name="顧客コード" localSheetId="0">#REF!</definedName>
    <definedName name="顧客コード" localSheetId="1">#REF!</definedName>
    <definedName name="顧客コード">#REF!</definedName>
    <definedName name="顧客満足度調査の依頼先担当者メールアドレス">'[3]プロジェクト報告書（3.3版）'!$AI$48</definedName>
    <definedName name="顧客満足度調査の依頼先担当者名">'[3]プロジェクト報告書（3.3版）'!$L$48</definedName>
    <definedName name="顧客名">'[3]プロジェクト報告書（3.3版）'!$L$13</definedName>
    <definedName name="顧客名称" localSheetId="0">#REF!</definedName>
    <definedName name="顧客名称" localSheetId="1">#REF!</definedName>
    <definedName name="顧客名称">#REF!</definedName>
    <definedName name="作成者" localSheetId="0">#REF!</definedName>
    <definedName name="作成者" localSheetId="1">#REF!</definedName>
    <definedName name="作成者">#REF!</definedName>
    <definedName name="主管部門" localSheetId="0">#REF!</definedName>
    <definedName name="主管部門" localSheetId="1">#REF!</definedName>
    <definedName name="主管部門">#REF!</definedName>
    <definedName name="受注額">[2]!プロジェクト情報[受注額]</definedName>
    <definedName name="所属">[2]!担当者情報[所属]</definedName>
    <definedName name="担当者名">[2]!担当者情報[担当者]</definedName>
    <definedName name="日" localSheetId="0">#REF!</definedName>
    <definedName name="日" localSheetId="1">#REF!</definedName>
    <definedName name="日">#REF!</definedName>
    <definedName name="年" localSheetId="0">#REF!</definedName>
    <definedName name="年" localSheetId="1">#REF!</definedName>
    <definedName name="年">#REF!</definedName>
    <definedName name="部門名" localSheetId="0">#REF!</definedName>
    <definedName name="部門名" localSheetId="1">#REF!</definedName>
    <definedName name="部門名">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P41" i="5" l="1"/>
  <c r="EL41" i="5"/>
  <c r="EH41" i="5"/>
  <c r="ED41" i="5"/>
  <c r="DZ41" i="5"/>
  <c r="DV41" i="5"/>
  <c r="DR41" i="5"/>
  <c r="DN41" i="5"/>
  <c r="DJ41" i="5"/>
  <c r="DF41" i="5"/>
  <c r="DB41" i="5"/>
  <c r="CX41" i="5"/>
  <c r="CT41" i="5"/>
  <c r="CP41" i="5"/>
  <c r="CL41" i="5"/>
  <c r="CH41" i="5"/>
  <c r="CD41" i="5"/>
  <c r="BZ41" i="5"/>
  <c r="BV41" i="5"/>
  <c r="BR41" i="5"/>
  <c r="BN41" i="5"/>
  <c r="BJ41" i="5"/>
  <c r="BF41" i="5"/>
  <c r="BB41" i="5"/>
  <c r="AX41" i="5"/>
  <c r="AT41" i="5"/>
  <c r="AP41" i="5"/>
  <c r="AL41" i="5"/>
  <c r="AH41" i="5"/>
  <c r="AD41" i="5"/>
  <c r="Z41" i="5"/>
  <c r="V41" i="5"/>
  <c r="R41" i="5"/>
  <c r="N41" i="5"/>
  <c r="J41" i="5"/>
  <c r="F41" i="5"/>
  <c r="EP40" i="5"/>
  <c r="EL40" i="5"/>
  <c r="EH40" i="5"/>
  <c r="ED40" i="5"/>
  <c r="DZ40" i="5"/>
  <c r="DV40" i="5"/>
  <c r="DR40" i="5"/>
  <c r="DN40" i="5"/>
  <c r="DJ40" i="5"/>
  <c r="DF40" i="5"/>
  <c r="DB40" i="5"/>
  <c r="CX40" i="5"/>
  <c r="CT40" i="5"/>
  <c r="CP40" i="5"/>
  <c r="CL40" i="5"/>
  <c r="CH40" i="5"/>
  <c r="CD40" i="5"/>
  <c r="BZ40" i="5"/>
  <c r="BV40" i="5"/>
  <c r="BR40" i="5"/>
  <c r="BN40" i="5"/>
  <c r="BJ40" i="5"/>
  <c r="BF40" i="5"/>
  <c r="BB40" i="5"/>
  <c r="AX40" i="5"/>
  <c r="AT40" i="5"/>
  <c r="AP40" i="5"/>
  <c r="AL40" i="5"/>
  <c r="AH40" i="5"/>
  <c r="AD40" i="5"/>
  <c r="Z40" i="5"/>
  <c r="V40" i="5"/>
  <c r="R40" i="5"/>
  <c r="N40" i="5"/>
  <c r="J40" i="5"/>
  <c r="F40" i="5"/>
  <c r="E39" i="5"/>
  <c r="EP44" i="5"/>
  <c r="EL44" i="5"/>
  <c r="EH44" i="5"/>
  <c r="ED44" i="5"/>
  <c r="DZ44" i="5"/>
  <c r="DV44" i="5"/>
  <c r="DR44" i="5"/>
  <c r="DN44" i="5"/>
  <c r="DJ44" i="5"/>
  <c r="DF44" i="5"/>
  <c r="DB44" i="5"/>
  <c r="CX44" i="5"/>
  <c r="CT44" i="5"/>
  <c r="CP44" i="5"/>
  <c r="CL44" i="5"/>
  <c r="CH44" i="5"/>
  <c r="CD44" i="5"/>
  <c r="BZ44" i="5"/>
  <c r="BV44" i="5"/>
  <c r="BR44" i="5"/>
  <c r="BN44" i="5"/>
  <c r="BJ44" i="5"/>
  <c r="BF44" i="5"/>
  <c r="BB44" i="5"/>
  <c r="AX44" i="5"/>
  <c r="AT44" i="5"/>
  <c r="AP44" i="5"/>
  <c r="AL44" i="5"/>
  <c r="AH44" i="5"/>
  <c r="AD44" i="5"/>
  <c r="Z44" i="5"/>
  <c r="V44" i="5"/>
  <c r="R44" i="5"/>
  <c r="N44" i="5"/>
  <c r="J44" i="5"/>
  <c r="F44" i="5"/>
  <c r="EP43" i="5"/>
  <c r="EL43" i="5"/>
  <c r="EH43" i="5"/>
  <c r="ED43" i="5"/>
  <c r="DZ43" i="5"/>
  <c r="DV43" i="5"/>
  <c r="DR43" i="5"/>
  <c r="DN43" i="5"/>
  <c r="DJ43" i="5"/>
  <c r="DF43" i="5"/>
  <c r="DB43" i="5"/>
  <c r="CX43" i="5"/>
  <c r="CT43" i="5"/>
  <c r="CP43" i="5"/>
  <c r="CL43" i="5"/>
  <c r="CH43" i="5"/>
  <c r="CD43" i="5"/>
  <c r="BZ43" i="5"/>
  <c r="BV43" i="5"/>
  <c r="BR43" i="5"/>
  <c r="BN43" i="5"/>
  <c r="BJ43" i="5"/>
  <c r="BF43" i="5"/>
  <c r="BB43" i="5"/>
  <c r="AX43" i="5"/>
  <c r="AT43" i="5"/>
  <c r="AP43" i="5"/>
  <c r="AL43" i="5"/>
  <c r="AH43" i="5"/>
  <c r="AD43" i="5"/>
  <c r="Z43" i="5"/>
  <c r="V43" i="5"/>
  <c r="R43" i="5"/>
  <c r="N43" i="5"/>
  <c r="J43" i="5"/>
  <c r="F43" i="5"/>
  <c r="E42" i="5"/>
  <c r="E44" i="5" l="1"/>
  <c r="E40" i="5"/>
  <c r="E41" i="5"/>
  <c r="E43" i="5"/>
  <c r="BN29" i="5"/>
  <c r="BR29" i="5"/>
  <c r="BV29" i="5"/>
  <c r="BZ29" i="5"/>
  <c r="CD29" i="5"/>
  <c r="CH29" i="5"/>
  <c r="CL29" i="5"/>
  <c r="CP29" i="5"/>
  <c r="CT29" i="5"/>
  <c r="CX29" i="5"/>
  <c r="DB29" i="5"/>
  <c r="DF29" i="5"/>
  <c r="DJ29" i="5"/>
  <c r="DN29" i="5"/>
  <c r="BN26" i="5"/>
  <c r="BR26" i="5"/>
  <c r="BV26" i="5"/>
  <c r="BZ26" i="5"/>
  <c r="CD26" i="5"/>
  <c r="CH26" i="5"/>
  <c r="CL26" i="5"/>
  <c r="CP26" i="5"/>
  <c r="CT26" i="5"/>
  <c r="CX26" i="5"/>
  <c r="DB26" i="5"/>
  <c r="DF26" i="5"/>
  <c r="DJ26" i="5"/>
  <c r="DN26" i="5"/>
  <c r="DR26" i="5"/>
  <c r="DV26" i="5"/>
  <c r="BN23" i="5"/>
  <c r="BR23" i="5"/>
  <c r="BV23" i="5"/>
  <c r="BZ23" i="5"/>
  <c r="CD23" i="5"/>
  <c r="CH23" i="5"/>
  <c r="CL23" i="5"/>
  <c r="CP23" i="5"/>
  <c r="CT23" i="5"/>
  <c r="CX23" i="5"/>
  <c r="DB23" i="5"/>
  <c r="DF23" i="5"/>
  <c r="DJ23" i="5"/>
  <c r="DN23" i="5"/>
  <c r="DR23" i="5"/>
  <c r="AD121" i="5"/>
  <c r="AD120" i="5"/>
  <c r="AD118" i="5"/>
  <c r="AD117" i="5"/>
  <c r="AD115" i="5"/>
  <c r="AD114" i="5"/>
  <c r="AD112" i="5"/>
  <c r="AD111" i="5"/>
  <c r="AD109" i="5"/>
  <c r="AD108" i="5"/>
  <c r="AD106" i="5"/>
  <c r="AD105" i="5"/>
  <c r="AD103" i="5"/>
  <c r="AD102" i="5"/>
  <c r="AD100" i="5"/>
  <c r="AD99" i="5"/>
  <c r="AD97" i="5"/>
  <c r="AD96" i="5"/>
  <c r="AD94" i="5"/>
  <c r="AD93" i="5"/>
  <c r="AD91" i="5"/>
  <c r="AD90" i="5"/>
  <c r="AD88" i="5"/>
  <c r="AD87" i="5"/>
  <c r="AD85" i="5"/>
  <c r="AD84" i="5"/>
  <c r="AD82" i="5"/>
  <c r="AD81" i="5"/>
  <c r="AD79" i="5"/>
  <c r="AD78" i="5"/>
  <c r="AH29" i="3"/>
  <c r="AL29" i="3"/>
  <c r="AP29" i="3"/>
  <c r="AT29" i="3"/>
  <c r="AX29" i="3"/>
  <c r="BB29" i="3"/>
  <c r="BF29" i="3"/>
  <c r="BJ29" i="3"/>
  <c r="BN29" i="3"/>
  <c r="BR29" i="3"/>
  <c r="BV29" i="3"/>
  <c r="BZ29" i="3"/>
  <c r="CD29" i="3"/>
  <c r="CH29" i="3"/>
  <c r="CL29" i="3"/>
  <c r="CP29" i="3"/>
  <c r="CT29" i="3"/>
  <c r="CX29" i="3"/>
  <c r="DB29" i="3"/>
  <c r="DF29" i="3"/>
  <c r="DJ29" i="3"/>
  <c r="DN29" i="3"/>
  <c r="DR29" i="3"/>
  <c r="DV29" i="3"/>
  <c r="DZ29" i="3"/>
  <c r="ED29" i="3"/>
  <c r="EH29" i="3"/>
  <c r="EL29" i="3"/>
  <c r="EP29" i="3"/>
  <c r="AH23" i="3"/>
  <c r="AL23" i="3"/>
  <c r="AP23" i="3"/>
  <c r="AT23" i="3"/>
  <c r="AX23" i="3"/>
  <c r="BB23" i="3"/>
  <c r="BF23" i="3"/>
  <c r="BJ23" i="3"/>
  <c r="BN23" i="3"/>
  <c r="BR23" i="3"/>
  <c r="BV23" i="3"/>
  <c r="BZ23" i="3"/>
  <c r="CD23" i="3"/>
  <c r="CH23" i="3"/>
  <c r="CL23" i="3"/>
  <c r="CP23" i="3"/>
  <c r="CT23" i="3"/>
  <c r="CX23" i="3"/>
  <c r="DB23" i="3"/>
  <c r="DF23" i="3"/>
  <c r="DJ23" i="3"/>
  <c r="DN23" i="3"/>
  <c r="DR23" i="3"/>
  <c r="DV23" i="3"/>
  <c r="DZ23" i="3"/>
  <c r="ED23" i="3"/>
  <c r="EH23" i="3"/>
  <c r="EL23" i="3"/>
  <c r="EP23" i="3"/>
  <c r="AH26" i="3"/>
  <c r="AL26" i="3"/>
  <c r="AP26" i="3"/>
  <c r="AT26" i="3"/>
  <c r="AX26" i="3"/>
  <c r="BB26" i="3"/>
  <c r="BF26" i="3"/>
  <c r="BJ26" i="3"/>
  <c r="BN26" i="3"/>
  <c r="BR26" i="3"/>
  <c r="BV26" i="3"/>
  <c r="BZ26" i="3"/>
  <c r="CD26" i="3"/>
  <c r="CH26" i="3"/>
  <c r="CL26" i="3"/>
  <c r="CP26" i="3"/>
  <c r="CT26" i="3"/>
  <c r="CX26" i="3"/>
  <c r="DB26" i="3"/>
  <c r="DF26" i="3"/>
  <c r="DJ26" i="3"/>
  <c r="DN26" i="3"/>
  <c r="DR26" i="3"/>
  <c r="DV26" i="3"/>
  <c r="DZ26" i="3"/>
  <c r="ED26" i="3"/>
  <c r="EH26" i="3"/>
  <c r="EL26" i="3"/>
  <c r="EP26" i="3"/>
  <c r="AD29" i="3"/>
  <c r="Z29" i="3"/>
  <c r="V29" i="3"/>
  <c r="R29" i="3"/>
  <c r="N29" i="3"/>
  <c r="J29" i="3"/>
  <c r="F29" i="3"/>
  <c r="EP28" i="3"/>
  <c r="EL28" i="3"/>
  <c r="EH28" i="3"/>
  <c r="ED28" i="3"/>
  <c r="DZ28" i="3"/>
  <c r="DV28" i="3"/>
  <c r="DR28" i="3"/>
  <c r="DN28" i="3"/>
  <c r="DJ28" i="3"/>
  <c r="DF28" i="3"/>
  <c r="DB28" i="3"/>
  <c r="CX28" i="3"/>
  <c r="CT28" i="3"/>
  <c r="CP28" i="3"/>
  <c r="CL28" i="3"/>
  <c r="CH28" i="3"/>
  <c r="CD28" i="3"/>
  <c r="BZ28" i="3"/>
  <c r="BV28" i="3"/>
  <c r="BR28" i="3"/>
  <c r="BN28" i="3"/>
  <c r="BJ28" i="3"/>
  <c r="BF28" i="3"/>
  <c r="BB28" i="3"/>
  <c r="AX28" i="3"/>
  <c r="AT28" i="3"/>
  <c r="AP28" i="3"/>
  <c r="AL28" i="3"/>
  <c r="AH28" i="3"/>
  <c r="AD28" i="3"/>
  <c r="Z28" i="3"/>
  <c r="V28" i="3"/>
  <c r="E28" i="3" s="1"/>
  <c r="R28" i="3"/>
  <c r="N28" i="3"/>
  <c r="J28" i="3"/>
  <c r="F28" i="3"/>
  <c r="E27" i="3"/>
  <c r="EP50" i="5"/>
  <c r="EL50" i="5"/>
  <c r="EH50" i="5"/>
  <c r="ED50" i="5"/>
  <c r="DZ50" i="5"/>
  <c r="DV50" i="5"/>
  <c r="DR50" i="5"/>
  <c r="DN50" i="5"/>
  <c r="DJ50" i="5"/>
  <c r="DF50" i="5"/>
  <c r="DB50" i="5"/>
  <c r="CX50" i="5"/>
  <c r="CT50" i="5"/>
  <c r="CP50" i="5"/>
  <c r="CL50" i="5"/>
  <c r="CH50" i="5"/>
  <c r="CD50" i="5"/>
  <c r="BZ50" i="5"/>
  <c r="BV50" i="5"/>
  <c r="BR50" i="5"/>
  <c r="BN50" i="5"/>
  <c r="BJ50" i="5"/>
  <c r="BF50" i="5"/>
  <c r="BB50" i="5"/>
  <c r="AX50" i="5"/>
  <c r="AT50" i="5"/>
  <c r="AP50" i="5"/>
  <c r="AL50" i="5"/>
  <c r="AH50" i="5"/>
  <c r="AD50" i="5"/>
  <c r="EP47" i="5"/>
  <c r="EL47" i="5"/>
  <c r="EH47" i="5"/>
  <c r="ED47" i="5"/>
  <c r="DZ47" i="5"/>
  <c r="DV47" i="5"/>
  <c r="DR47" i="5"/>
  <c r="DN47" i="5"/>
  <c r="DJ47" i="5"/>
  <c r="DF47" i="5"/>
  <c r="DB47" i="5"/>
  <c r="CX47" i="5"/>
  <c r="CT47" i="5"/>
  <c r="CP47" i="5"/>
  <c r="CL47" i="5"/>
  <c r="CH47" i="5"/>
  <c r="CD47" i="5"/>
  <c r="BZ47" i="5"/>
  <c r="BV47" i="5"/>
  <c r="BR47" i="5"/>
  <c r="BN47" i="5"/>
  <c r="BJ47" i="5"/>
  <c r="BF47" i="5"/>
  <c r="BB47" i="5"/>
  <c r="AX47" i="5"/>
  <c r="AT47" i="5"/>
  <c r="AP47" i="5"/>
  <c r="AL47" i="5"/>
  <c r="AH47" i="5"/>
  <c r="AD47" i="5"/>
  <c r="EP38" i="5"/>
  <c r="EL38" i="5"/>
  <c r="EH38" i="5"/>
  <c r="ED38" i="5"/>
  <c r="DZ38" i="5"/>
  <c r="DV38" i="5"/>
  <c r="DR38" i="5"/>
  <c r="DN38" i="5"/>
  <c r="DJ38" i="5"/>
  <c r="DF38" i="5"/>
  <c r="DB38" i="5"/>
  <c r="CX38" i="5"/>
  <c r="CT38" i="5"/>
  <c r="CP38" i="5"/>
  <c r="CL38" i="5"/>
  <c r="CH38" i="5"/>
  <c r="CD38" i="5"/>
  <c r="BZ38" i="5"/>
  <c r="BV38" i="5"/>
  <c r="BR38" i="5"/>
  <c r="BN38" i="5"/>
  <c r="BJ38" i="5"/>
  <c r="BF38" i="5"/>
  <c r="BB38" i="5"/>
  <c r="AX38" i="5"/>
  <c r="AT38" i="5"/>
  <c r="AP38" i="5"/>
  <c r="AL38" i="5"/>
  <c r="AH38" i="5"/>
  <c r="AD38" i="5"/>
  <c r="EP35" i="5"/>
  <c r="EL35" i="5"/>
  <c r="EH35" i="5"/>
  <c r="ED35" i="5"/>
  <c r="DZ35" i="5"/>
  <c r="DV35" i="5"/>
  <c r="DR35" i="5"/>
  <c r="DN35" i="5"/>
  <c r="DJ35" i="5"/>
  <c r="DF35" i="5"/>
  <c r="DB35" i="5"/>
  <c r="CX35" i="5"/>
  <c r="CT35" i="5"/>
  <c r="CP35" i="5"/>
  <c r="CL35" i="5"/>
  <c r="CH35" i="5"/>
  <c r="CD35" i="5"/>
  <c r="BZ35" i="5"/>
  <c r="BV35" i="5"/>
  <c r="BR35" i="5"/>
  <c r="BN35" i="5"/>
  <c r="BJ35" i="5"/>
  <c r="BF35" i="5"/>
  <c r="BB35" i="5"/>
  <c r="AX35" i="5"/>
  <c r="AT35" i="5"/>
  <c r="AP35" i="5"/>
  <c r="AL35" i="5"/>
  <c r="AH35" i="5"/>
  <c r="AD35" i="5"/>
  <c r="AD32" i="5"/>
  <c r="AH32" i="5"/>
  <c r="AL32" i="5"/>
  <c r="AP32" i="5"/>
  <c r="AT32" i="5"/>
  <c r="AX32" i="5"/>
  <c r="BB32" i="5"/>
  <c r="BF32" i="5"/>
  <c r="BJ32" i="5"/>
  <c r="BN32" i="5"/>
  <c r="BR32" i="5"/>
  <c r="BV32" i="5"/>
  <c r="BZ32" i="5"/>
  <c r="CD32" i="5"/>
  <c r="CH32" i="5"/>
  <c r="CL32" i="5"/>
  <c r="CP32" i="5"/>
  <c r="CT32" i="5"/>
  <c r="CX32" i="5"/>
  <c r="DB32" i="5"/>
  <c r="DF32" i="5"/>
  <c r="DJ32" i="5"/>
  <c r="DN32" i="5"/>
  <c r="DR32" i="5"/>
  <c r="DV32" i="5"/>
  <c r="DZ32" i="5"/>
  <c r="ED32" i="5"/>
  <c r="EH32" i="5"/>
  <c r="EL32" i="5"/>
  <c r="EP32" i="5"/>
  <c r="EP37" i="5"/>
  <c r="EL37" i="5"/>
  <c r="EH37" i="5"/>
  <c r="ED37" i="5"/>
  <c r="DZ37" i="5"/>
  <c r="DV37" i="5"/>
  <c r="DR37" i="5"/>
  <c r="DN37" i="5"/>
  <c r="DJ37" i="5"/>
  <c r="DF37" i="5"/>
  <c r="DB37" i="5"/>
  <c r="CX37" i="5"/>
  <c r="CT37" i="5"/>
  <c r="CP37" i="5"/>
  <c r="CL37" i="5"/>
  <c r="CH37" i="5"/>
  <c r="CD37" i="5"/>
  <c r="BZ37" i="5"/>
  <c r="BV37" i="5"/>
  <c r="BR37" i="5"/>
  <c r="BN37" i="5"/>
  <c r="BJ37" i="5"/>
  <c r="BF37" i="5"/>
  <c r="BB37" i="5"/>
  <c r="AX37" i="5"/>
  <c r="AT37" i="5"/>
  <c r="AP37" i="5"/>
  <c r="AL37" i="5"/>
  <c r="AH37" i="5"/>
  <c r="AD37" i="5"/>
  <c r="EP34" i="5"/>
  <c r="EL34" i="5"/>
  <c r="EH34" i="5"/>
  <c r="ED34" i="5"/>
  <c r="DZ34" i="5"/>
  <c r="DV34" i="5"/>
  <c r="DR34" i="5"/>
  <c r="DN34" i="5"/>
  <c r="DJ34" i="5"/>
  <c r="DF34" i="5"/>
  <c r="DB34" i="5"/>
  <c r="CX34" i="5"/>
  <c r="CT34" i="5"/>
  <c r="CP34" i="5"/>
  <c r="CL34" i="5"/>
  <c r="CH34" i="5"/>
  <c r="CD34" i="5"/>
  <c r="BZ34" i="5"/>
  <c r="BV34" i="5"/>
  <c r="BR34" i="5"/>
  <c r="BN34" i="5"/>
  <c r="BJ34" i="5"/>
  <c r="BF34" i="5"/>
  <c r="BB34" i="5"/>
  <c r="AX34" i="5"/>
  <c r="AT34" i="5"/>
  <c r="AP34" i="5"/>
  <c r="AL34" i="5"/>
  <c r="AH34" i="5"/>
  <c r="AD34" i="5"/>
  <c r="EP31" i="5"/>
  <c r="EL31" i="5"/>
  <c r="EH31" i="5"/>
  <c r="ED31" i="5"/>
  <c r="DZ31" i="5"/>
  <c r="DV31" i="5"/>
  <c r="DR31" i="5"/>
  <c r="DN31" i="5"/>
  <c r="DJ31" i="5"/>
  <c r="DF31" i="5"/>
  <c r="DB31" i="5"/>
  <c r="CX31" i="5"/>
  <c r="CT31" i="5"/>
  <c r="CP31" i="5"/>
  <c r="CL31" i="5"/>
  <c r="CH31" i="5"/>
  <c r="CD31" i="5"/>
  <c r="BZ31" i="5"/>
  <c r="BV31" i="5"/>
  <c r="BR31" i="5"/>
  <c r="BN31" i="5"/>
  <c r="BJ31" i="5"/>
  <c r="BF31" i="5"/>
  <c r="BB31" i="5"/>
  <c r="AX31" i="5"/>
  <c r="AT31" i="5"/>
  <c r="AP31" i="5"/>
  <c r="AL31" i="5"/>
  <c r="AH31" i="5"/>
  <c r="AD31" i="5"/>
  <c r="DN100" i="5"/>
  <c r="DJ100" i="5"/>
  <c r="DF100" i="5"/>
  <c r="DB100" i="5"/>
  <c r="CX100" i="5"/>
  <c r="CT100" i="5"/>
  <c r="CP100" i="5"/>
  <c r="CL100" i="5"/>
  <c r="CH100" i="5"/>
  <c r="CD100" i="5"/>
  <c r="BZ100" i="5"/>
  <c r="BV100" i="5"/>
  <c r="BR100" i="5"/>
  <c r="BN100" i="5"/>
  <c r="BJ100" i="5"/>
  <c r="BF100" i="5"/>
  <c r="BB100" i="5"/>
  <c r="AX100" i="5"/>
  <c r="AT100" i="5"/>
  <c r="AP100" i="5"/>
  <c r="AL100" i="5"/>
  <c r="AH100" i="5"/>
  <c r="Z100" i="5"/>
  <c r="V100" i="5"/>
  <c r="R100" i="5"/>
  <c r="DN99" i="5"/>
  <c r="DJ99" i="5"/>
  <c r="DF99" i="5"/>
  <c r="DB99" i="5"/>
  <c r="CX99" i="5"/>
  <c r="CT99" i="5"/>
  <c r="CP99" i="5"/>
  <c r="CL99" i="5"/>
  <c r="CH99" i="5"/>
  <c r="CD99" i="5"/>
  <c r="BZ99" i="5"/>
  <c r="BV99" i="5"/>
  <c r="BR99" i="5"/>
  <c r="BN99" i="5"/>
  <c r="BJ99" i="5"/>
  <c r="BF99" i="5"/>
  <c r="BB99" i="5"/>
  <c r="AX99" i="5"/>
  <c r="AT99" i="5"/>
  <c r="AP99" i="5"/>
  <c r="AL99" i="5"/>
  <c r="AH99" i="5"/>
  <c r="Z99" i="5"/>
  <c r="V99" i="5"/>
  <c r="R99" i="5"/>
  <c r="EP98" i="5"/>
  <c r="EP100" i="5" s="1"/>
  <c r="EL98" i="5"/>
  <c r="EL100" i="5" s="1"/>
  <c r="EH98" i="5"/>
  <c r="EH99" i="5" s="1"/>
  <c r="ED98" i="5"/>
  <c r="ED99" i="5" s="1"/>
  <c r="DZ98" i="5"/>
  <c r="DZ99" i="5" s="1"/>
  <c r="DV98" i="5"/>
  <c r="DV100" i="5" s="1"/>
  <c r="DR98" i="5"/>
  <c r="DR99" i="5" s="1"/>
  <c r="N98" i="5"/>
  <c r="N100" i="5" s="1"/>
  <c r="J98" i="5"/>
  <c r="J100" i="5" s="1"/>
  <c r="F98" i="5"/>
  <c r="F99" i="5" s="1"/>
  <c r="DN97" i="5"/>
  <c r="DJ97" i="5"/>
  <c r="DF97" i="5"/>
  <c r="DB97" i="5"/>
  <c r="CX97" i="5"/>
  <c r="CT97" i="5"/>
  <c r="CP97" i="5"/>
  <c r="CL97" i="5"/>
  <c r="CH97" i="5"/>
  <c r="CD97" i="5"/>
  <c r="BZ97" i="5"/>
  <c r="BV97" i="5"/>
  <c r="BR97" i="5"/>
  <c r="BN97" i="5"/>
  <c r="BJ97" i="5"/>
  <c r="BF97" i="5"/>
  <c r="BB97" i="5"/>
  <c r="AX97" i="5"/>
  <c r="AT97" i="5"/>
  <c r="AP97" i="5"/>
  <c r="AL97" i="5"/>
  <c r="AH97" i="5"/>
  <c r="Z97" i="5"/>
  <c r="V97" i="5"/>
  <c r="R97" i="5"/>
  <c r="DN96" i="5"/>
  <c r="DJ96" i="5"/>
  <c r="DF96" i="5"/>
  <c r="DB96" i="5"/>
  <c r="CX96" i="5"/>
  <c r="CT96" i="5"/>
  <c r="CP96" i="5"/>
  <c r="CL96" i="5"/>
  <c r="CH96" i="5"/>
  <c r="CD96" i="5"/>
  <c r="BZ96" i="5"/>
  <c r="BV96" i="5"/>
  <c r="BR96" i="5"/>
  <c r="BN96" i="5"/>
  <c r="BJ96" i="5"/>
  <c r="BF96" i="5"/>
  <c r="BB96" i="5"/>
  <c r="AX96" i="5"/>
  <c r="AT96" i="5"/>
  <c r="AP96" i="5"/>
  <c r="AL96" i="5"/>
  <c r="AH96" i="5"/>
  <c r="Z96" i="5"/>
  <c r="V96" i="5"/>
  <c r="R96" i="5"/>
  <c r="EP95" i="5"/>
  <c r="EP97" i="5" s="1"/>
  <c r="EL95" i="5"/>
  <c r="EL97" i="5" s="1"/>
  <c r="EH95" i="5"/>
  <c r="EH96" i="5" s="1"/>
  <c r="ED95" i="5"/>
  <c r="ED97" i="5" s="1"/>
  <c r="DZ95" i="5"/>
  <c r="DZ97" i="5" s="1"/>
  <c r="DV95" i="5"/>
  <c r="DV96" i="5" s="1"/>
  <c r="DR95" i="5"/>
  <c r="DR96" i="5" s="1"/>
  <c r="N95" i="5"/>
  <c r="N97" i="5" s="1"/>
  <c r="J95" i="5"/>
  <c r="J96" i="5" s="1"/>
  <c r="F95" i="5"/>
  <c r="F97" i="5" s="1"/>
  <c r="DN94" i="5"/>
  <c r="DJ94" i="5"/>
  <c r="DF94" i="5"/>
  <c r="DB94" i="5"/>
  <c r="CX94" i="5"/>
  <c r="CT94" i="5"/>
  <c r="CP94" i="5"/>
  <c r="CL94" i="5"/>
  <c r="CH94" i="5"/>
  <c r="CD94" i="5"/>
  <c r="BZ94" i="5"/>
  <c r="BV94" i="5"/>
  <c r="BR94" i="5"/>
  <c r="BN94" i="5"/>
  <c r="BJ94" i="5"/>
  <c r="BF94" i="5"/>
  <c r="BB94" i="5"/>
  <c r="AX94" i="5"/>
  <c r="AT94" i="5"/>
  <c r="AP94" i="5"/>
  <c r="AL94" i="5"/>
  <c r="AH94" i="5"/>
  <c r="Z94" i="5"/>
  <c r="V94" i="5"/>
  <c r="R94" i="5"/>
  <c r="DN93" i="5"/>
  <c r="DJ93" i="5"/>
  <c r="DF93" i="5"/>
  <c r="DB93" i="5"/>
  <c r="CX93" i="5"/>
  <c r="CT93" i="5"/>
  <c r="CP93" i="5"/>
  <c r="CL93" i="5"/>
  <c r="CH93" i="5"/>
  <c r="CD93" i="5"/>
  <c r="BZ93" i="5"/>
  <c r="BV93" i="5"/>
  <c r="BR93" i="5"/>
  <c r="BN93" i="5"/>
  <c r="BJ93" i="5"/>
  <c r="BF93" i="5"/>
  <c r="BB93" i="5"/>
  <c r="AX93" i="5"/>
  <c r="AT93" i="5"/>
  <c r="AP93" i="5"/>
  <c r="AL93" i="5"/>
  <c r="AH93" i="5"/>
  <c r="Z93" i="5"/>
  <c r="V93" i="5"/>
  <c r="R93" i="5"/>
  <c r="EP92" i="5"/>
  <c r="EP93" i="5" s="1"/>
  <c r="EL92" i="5"/>
  <c r="EL93" i="5" s="1"/>
  <c r="EH92" i="5"/>
  <c r="EH93" i="5" s="1"/>
  <c r="ED92" i="5"/>
  <c r="ED94" i="5" s="1"/>
  <c r="DZ92" i="5"/>
  <c r="DZ93" i="5" s="1"/>
  <c r="DV92" i="5"/>
  <c r="DV93" i="5" s="1"/>
  <c r="DR92" i="5"/>
  <c r="DR94" i="5" s="1"/>
  <c r="N92" i="5"/>
  <c r="N93" i="5" s="1"/>
  <c r="J92" i="5"/>
  <c r="J93" i="5" s="1"/>
  <c r="F92" i="5"/>
  <c r="F94" i="5" s="1"/>
  <c r="DN91" i="5"/>
  <c r="DJ91" i="5"/>
  <c r="DF91" i="5"/>
  <c r="DB91" i="5"/>
  <c r="CX91" i="5"/>
  <c r="CT91" i="5"/>
  <c r="CP91" i="5"/>
  <c r="CL91" i="5"/>
  <c r="CH91" i="5"/>
  <c r="CD91" i="5"/>
  <c r="BZ91" i="5"/>
  <c r="BV91" i="5"/>
  <c r="BR91" i="5"/>
  <c r="BN91" i="5"/>
  <c r="BJ91" i="5"/>
  <c r="BF91" i="5"/>
  <c r="BB91" i="5"/>
  <c r="AX91" i="5"/>
  <c r="AT91" i="5"/>
  <c r="AP91" i="5"/>
  <c r="AL91" i="5"/>
  <c r="AH91" i="5"/>
  <c r="Z91" i="5"/>
  <c r="V91" i="5"/>
  <c r="R91" i="5"/>
  <c r="DN90" i="5"/>
  <c r="DJ90" i="5"/>
  <c r="DF90" i="5"/>
  <c r="DB90" i="5"/>
  <c r="CX90" i="5"/>
  <c r="CT90" i="5"/>
  <c r="CP90" i="5"/>
  <c r="CL90" i="5"/>
  <c r="CH90" i="5"/>
  <c r="CD90" i="5"/>
  <c r="BZ90" i="5"/>
  <c r="BV90" i="5"/>
  <c r="BR90" i="5"/>
  <c r="BN90" i="5"/>
  <c r="BJ90" i="5"/>
  <c r="BF90" i="5"/>
  <c r="BB90" i="5"/>
  <c r="AX90" i="5"/>
  <c r="AT90" i="5"/>
  <c r="AP90" i="5"/>
  <c r="AL90" i="5"/>
  <c r="AH90" i="5"/>
  <c r="Z90" i="5"/>
  <c r="V90" i="5"/>
  <c r="R90" i="5"/>
  <c r="EP89" i="5"/>
  <c r="EP90" i="5" s="1"/>
  <c r="EL89" i="5"/>
  <c r="EL91" i="5" s="1"/>
  <c r="EH89" i="5"/>
  <c r="EH91" i="5" s="1"/>
  <c r="ED89" i="5"/>
  <c r="ED90" i="5" s="1"/>
  <c r="DZ89" i="5"/>
  <c r="DZ90" i="5" s="1"/>
  <c r="DV89" i="5"/>
  <c r="DV90" i="5" s="1"/>
  <c r="DR89" i="5"/>
  <c r="DR91" i="5" s="1"/>
  <c r="N89" i="5"/>
  <c r="N91" i="5" s="1"/>
  <c r="J89" i="5"/>
  <c r="J91" i="5" s="1"/>
  <c r="F89" i="5"/>
  <c r="F91" i="5" s="1"/>
  <c r="DN88" i="5"/>
  <c r="DJ88" i="5"/>
  <c r="DF88" i="5"/>
  <c r="DB88" i="5"/>
  <c r="CX88" i="5"/>
  <c r="CT88" i="5"/>
  <c r="CP88" i="5"/>
  <c r="CL88" i="5"/>
  <c r="CH88" i="5"/>
  <c r="CD88" i="5"/>
  <c r="BZ88" i="5"/>
  <c r="BV88" i="5"/>
  <c r="BR88" i="5"/>
  <c r="BN88" i="5"/>
  <c r="BJ88" i="5"/>
  <c r="BF88" i="5"/>
  <c r="BB88" i="5"/>
  <c r="AX88" i="5"/>
  <c r="AT88" i="5"/>
  <c r="AP88" i="5"/>
  <c r="AL88" i="5"/>
  <c r="AH88" i="5"/>
  <c r="Z88" i="5"/>
  <c r="V88" i="5"/>
  <c r="R88" i="5"/>
  <c r="DN87" i="5"/>
  <c r="DJ87" i="5"/>
  <c r="DF87" i="5"/>
  <c r="DB87" i="5"/>
  <c r="CX87" i="5"/>
  <c r="CT87" i="5"/>
  <c r="CP87" i="5"/>
  <c r="CL87" i="5"/>
  <c r="CH87" i="5"/>
  <c r="CD87" i="5"/>
  <c r="BZ87" i="5"/>
  <c r="BV87" i="5"/>
  <c r="BR87" i="5"/>
  <c r="BN87" i="5"/>
  <c r="BJ87" i="5"/>
  <c r="BF87" i="5"/>
  <c r="BB87" i="5"/>
  <c r="AX87" i="5"/>
  <c r="AT87" i="5"/>
  <c r="AP87" i="5"/>
  <c r="AL87" i="5"/>
  <c r="AH87" i="5"/>
  <c r="Z87" i="5"/>
  <c r="V87" i="5"/>
  <c r="R87" i="5"/>
  <c r="EP86" i="5"/>
  <c r="EP87" i="5" s="1"/>
  <c r="EL86" i="5"/>
  <c r="EL88" i="5" s="1"/>
  <c r="EH86" i="5"/>
  <c r="EH87" i="5" s="1"/>
  <c r="ED86" i="5"/>
  <c r="ED87" i="5" s="1"/>
  <c r="DZ86" i="5"/>
  <c r="DZ88" i="5" s="1"/>
  <c r="DV86" i="5"/>
  <c r="DV88" i="5" s="1"/>
  <c r="DR86" i="5"/>
  <c r="DR87" i="5" s="1"/>
  <c r="N86" i="5"/>
  <c r="N88" i="5" s="1"/>
  <c r="J86" i="5"/>
  <c r="J87" i="5" s="1"/>
  <c r="F86" i="5"/>
  <c r="DN85" i="5"/>
  <c r="DJ85" i="5"/>
  <c r="DF85" i="5"/>
  <c r="DB85" i="5"/>
  <c r="CX85" i="5"/>
  <c r="CT85" i="5"/>
  <c r="CP85" i="5"/>
  <c r="CL85" i="5"/>
  <c r="CH85" i="5"/>
  <c r="CD85" i="5"/>
  <c r="BZ85" i="5"/>
  <c r="BV85" i="5"/>
  <c r="BR85" i="5"/>
  <c r="BN85" i="5"/>
  <c r="BJ85" i="5"/>
  <c r="BF85" i="5"/>
  <c r="BB85" i="5"/>
  <c r="AX85" i="5"/>
  <c r="AT85" i="5"/>
  <c r="AP85" i="5"/>
  <c r="AL85" i="5"/>
  <c r="AH85" i="5"/>
  <c r="Z85" i="5"/>
  <c r="V85" i="5"/>
  <c r="R85" i="5"/>
  <c r="DN84" i="5"/>
  <c r="DJ84" i="5"/>
  <c r="DF84" i="5"/>
  <c r="DB84" i="5"/>
  <c r="CX84" i="5"/>
  <c r="CT84" i="5"/>
  <c r="CP84" i="5"/>
  <c r="CL84" i="5"/>
  <c r="CH84" i="5"/>
  <c r="CD84" i="5"/>
  <c r="BZ84" i="5"/>
  <c r="BV84" i="5"/>
  <c r="BR84" i="5"/>
  <c r="BN84" i="5"/>
  <c r="BJ84" i="5"/>
  <c r="BF84" i="5"/>
  <c r="BB84" i="5"/>
  <c r="AX84" i="5"/>
  <c r="AT84" i="5"/>
  <c r="AP84" i="5"/>
  <c r="AL84" i="5"/>
  <c r="AH84" i="5"/>
  <c r="Z84" i="5"/>
  <c r="V84" i="5"/>
  <c r="R84" i="5"/>
  <c r="EP83" i="5"/>
  <c r="EP85" i="5" s="1"/>
  <c r="EL83" i="5"/>
  <c r="EL85" i="5" s="1"/>
  <c r="EH83" i="5"/>
  <c r="EH84" i="5" s="1"/>
  <c r="ED83" i="5"/>
  <c r="ED84" i="5" s="1"/>
  <c r="DZ83" i="5"/>
  <c r="DZ85" i="5" s="1"/>
  <c r="DV83" i="5"/>
  <c r="DV84" i="5" s="1"/>
  <c r="DR83" i="5"/>
  <c r="DR84" i="5" s="1"/>
  <c r="N83" i="5"/>
  <c r="N85" i="5" s="1"/>
  <c r="J83" i="5"/>
  <c r="J84" i="5" s="1"/>
  <c r="F83" i="5"/>
  <c r="F84" i="5" s="1"/>
  <c r="DN109" i="5"/>
  <c r="DJ109" i="5"/>
  <c r="DF109" i="5"/>
  <c r="DB109" i="5"/>
  <c r="CX109" i="5"/>
  <c r="CT109" i="5"/>
  <c r="CP109" i="5"/>
  <c r="CL109" i="5"/>
  <c r="CH109" i="5"/>
  <c r="CD109" i="5"/>
  <c r="BZ109" i="5"/>
  <c r="BV109" i="5"/>
  <c r="BR109" i="5"/>
  <c r="BN109" i="5"/>
  <c r="BJ109" i="5"/>
  <c r="BF109" i="5"/>
  <c r="BB109" i="5"/>
  <c r="AX109" i="5"/>
  <c r="AT109" i="5"/>
  <c r="AP109" i="5"/>
  <c r="AL109" i="5"/>
  <c r="AH109" i="5"/>
  <c r="Z109" i="5"/>
  <c r="V109" i="5"/>
  <c r="R109" i="5"/>
  <c r="DN108" i="5"/>
  <c r="DJ108" i="5"/>
  <c r="DF108" i="5"/>
  <c r="DB108" i="5"/>
  <c r="CX108" i="5"/>
  <c r="CT108" i="5"/>
  <c r="CP108" i="5"/>
  <c r="CL108" i="5"/>
  <c r="CH108" i="5"/>
  <c r="CD108" i="5"/>
  <c r="BZ108" i="5"/>
  <c r="BV108" i="5"/>
  <c r="BR108" i="5"/>
  <c r="BN108" i="5"/>
  <c r="BJ108" i="5"/>
  <c r="BF108" i="5"/>
  <c r="BB108" i="5"/>
  <c r="AX108" i="5"/>
  <c r="AT108" i="5"/>
  <c r="AP108" i="5"/>
  <c r="AL108" i="5"/>
  <c r="AH108" i="5"/>
  <c r="Z108" i="5"/>
  <c r="V108" i="5"/>
  <c r="R108" i="5"/>
  <c r="EP107" i="5"/>
  <c r="EP109" i="5" s="1"/>
  <c r="EL107" i="5"/>
  <c r="EL108" i="5" s="1"/>
  <c r="EH107" i="5"/>
  <c r="EH109" i="5" s="1"/>
  <c r="ED107" i="5"/>
  <c r="ED109" i="5" s="1"/>
  <c r="DZ107" i="5"/>
  <c r="DZ108" i="5" s="1"/>
  <c r="DV107" i="5"/>
  <c r="DV108" i="5" s="1"/>
  <c r="DR107" i="5"/>
  <c r="DR108" i="5" s="1"/>
  <c r="N107" i="5"/>
  <c r="N108" i="5" s="1"/>
  <c r="J107" i="5"/>
  <c r="J109" i="5" s="1"/>
  <c r="F107" i="5"/>
  <c r="F109" i="5" s="1"/>
  <c r="DN106" i="5"/>
  <c r="DJ106" i="5"/>
  <c r="DF106" i="5"/>
  <c r="DB106" i="5"/>
  <c r="CX106" i="5"/>
  <c r="CT106" i="5"/>
  <c r="CP106" i="5"/>
  <c r="CL106" i="5"/>
  <c r="CH106" i="5"/>
  <c r="CD106" i="5"/>
  <c r="BZ106" i="5"/>
  <c r="BV106" i="5"/>
  <c r="BR106" i="5"/>
  <c r="BN106" i="5"/>
  <c r="BJ106" i="5"/>
  <c r="BF106" i="5"/>
  <c r="BB106" i="5"/>
  <c r="AX106" i="5"/>
  <c r="AT106" i="5"/>
  <c r="AP106" i="5"/>
  <c r="AL106" i="5"/>
  <c r="AH106" i="5"/>
  <c r="Z106" i="5"/>
  <c r="V106" i="5"/>
  <c r="R106" i="5"/>
  <c r="DN105" i="5"/>
  <c r="DJ105" i="5"/>
  <c r="DF105" i="5"/>
  <c r="DB105" i="5"/>
  <c r="CX105" i="5"/>
  <c r="CT105" i="5"/>
  <c r="CP105" i="5"/>
  <c r="CL105" i="5"/>
  <c r="CH105" i="5"/>
  <c r="CD105" i="5"/>
  <c r="BZ105" i="5"/>
  <c r="BV105" i="5"/>
  <c r="BR105" i="5"/>
  <c r="BN105" i="5"/>
  <c r="BJ105" i="5"/>
  <c r="BF105" i="5"/>
  <c r="BB105" i="5"/>
  <c r="AX105" i="5"/>
  <c r="AT105" i="5"/>
  <c r="AP105" i="5"/>
  <c r="AL105" i="5"/>
  <c r="AH105" i="5"/>
  <c r="Z105" i="5"/>
  <c r="V105" i="5"/>
  <c r="R105" i="5"/>
  <c r="EP104" i="5"/>
  <c r="EP105" i="5" s="1"/>
  <c r="EL104" i="5"/>
  <c r="EL105" i="5" s="1"/>
  <c r="EH104" i="5"/>
  <c r="EH106" i="5" s="1"/>
  <c r="ED104" i="5"/>
  <c r="ED105" i="5" s="1"/>
  <c r="DZ104" i="5"/>
  <c r="DZ105" i="5" s="1"/>
  <c r="DV104" i="5"/>
  <c r="DV106" i="5" s="1"/>
  <c r="DR104" i="5"/>
  <c r="DR106" i="5" s="1"/>
  <c r="N104" i="5"/>
  <c r="N105" i="5" s="1"/>
  <c r="J104" i="5"/>
  <c r="J106" i="5" s="1"/>
  <c r="F104" i="5"/>
  <c r="F105" i="5" s="1"/>
  <c r="DN103" i="5"/>
  <c r="DJ103" i="5"/>
  <c r="DF103" i="5"/>
  <c r="DB103" i="5"/>
  <c r="CX103" i="5"/>
  <c r="CT103" i="5"/>
  <c r="CP103" i="5"/>
  <c r="CL103" i="5"/>
  <c r="CH103" i="5"/>
  <c r="CD103" i="5"/>
  <c r="BZ103" i="5"/>
  <c r="BV103" i="5"/>
  <c r="BR103" i="5"/>
  <c r="BN103" i="5"/>
  <c r="BJ103" i="5"/>
  <c r="BF103" i="5"/>
  <c r="BB103" i="5"/>
  <c r="AX103" i="5"/>
  <c r="AT103" i="5"/>
  <c r="AP103" i="5"/>
  <c r="AL103" i="5"/>
  <c r="AH103" i="5"/>
  <c r="Z103" i="5"/>
  <c r="V103" i="5"/>
  <c r="R103" i="5"/>
  <c r="DN102" i="5"/>
  <c r="DJ102" i="5"/>
  <c r="DF102" i="5"/>
  <c r="DB102" i="5"/>
  <c r="CX102" i="5"/>
  <c r="CT102" i="5"/>
  <c r="CP102" i="5"/>
  <c r="CL102" i="5"/>
  <c r="CH102" i="5"/>
  <c r="CD102" i="5"/>
  <c r="BZ102" i="5"/>
  <c r="BV102" i="5"/>
  <c r="BR102" i="5"/>
  <c r="BN102" i="5"/>
  <c r="BJ102" i="5"/>
  <c r="BF102" i="5"/>
  <c r="BB102" i="5"/>
  <c r="AX102" i="5"/>
  <c r="AT102" i="5"/>
  <c r="AP102" i="5"/>
  <c r="AL102" i="5"/>
  <c r="AH102" i="5"/>
  <c r="Z102" i="5"/>
  <c r="V102" i="5"/>
  <c r="R102" i="5"/>
  <c r="EP101" i="5"/>
  <c r="EP103" i="5" s="1"/>
  <c r="EL101" i="5"/>
  <c r="EL103" i="5" s="1"/>
  <c r="EH101" i="5"/>
  <c r="EH102" i="5" s="1"/>
  <c r="ED101" i="5"/>
  <c r="ED102" i="5" s="1"/>
  <c r="DZ101" i="5"/>
  <c r="DZ102" i="5" s="1"/>
  <c r="DV101" i="5"/>
  <c r="DV103" i="5" s="1"/>
  <c r="DR101" i="5"/>
  <c r="DR102" i="5" s="1"/>
  <c r="N101" i="5"/>
  <c r="N103" i="5" s="1"/>
  <c r="J101" i="5"/>
  <c r="J103" i="5" s="1"/>
  <c r="F101" i="5"/>
  <c r="F102" i="5" s="1"/>
  <c r="DN112" i="5"/>
  <c r="DJ112" i="5"/>
  <c r="DF112" i="5"/>
  <c r="DB112" i="5"/>
  <c r="CX112" i="5"/>
  <c r="CT112" i="5"/>
  <c r="CP112" i="5"/>
  <c r="CL112" i="5"/>
  <c r="CH112" i="5"/>
  <c r="CD112" i="5"/>
  <c r="BZ112" i="5"/>
  <c r="BV112" i="5"/>
  <c r="BR112" i="5"/>
  <c r="BN112" i="5"/>
  <c r="BJ112" i="5"/>
  <c r="BF112" i="5"/>
  <c r="BB112" i="5"/>
  <c r="AX112" i="5"/>
  <c r="AT112" i="5"/>
  <c r="AP112" i="5"/>
  <c r="AL112" i="5"/>
  <c r="AH112" i="5"/>
  <c r="Z112" i="5"/>
  <c r="V112" i="5"/>
  <c r="R112" i="5"/>
  <c r="DN111" i="5"/>
  <c r="DJ111" i="5"/>
  <c r="DF111" i="5"/>
  <c r="DB111" i="5"/>
  <c r="CX111" i="5"/>
  <c r="CT111" i="5"/>
  <c r="CP111" i="5"/>
  <c r="CL111" i="5"/>
  <c r="CH111" i="5"/>
  <c r="CD111" i="5"/>
  <c r="BZ111" i="5"/>
  <c r="BV111" i="5"/>
  <c r="BR111" i="5"/>
  <c r="BN111" i="5"/>
  <c r="BJ111" i="5"/>
  <c r="BF111" i="5"/>
  <c r="BB111" i="5"/>
  <c r="AX111" i="5"/>
  <c r="AT111" i="5"/>
  <c r="AP111" i="5"/>
  <c r="AL111" i="5"/>
  <c r="AH111" i="5"/>
  <c r="Z111" i="5"/>
  <c r="V111" i="5"/>
  <c r="R111" i="5"/>
  <c r="EP110" i="5"/>
  <c r="EP112" i="5" s="1"/>
  <c r="EL110" i="5"/>
  <c r="EL112" i="5" s="1"/>
  <c r="EH110" i="5"/>
  <c r="EH111" i="5" s="1"/>
  <c r="ED110" i="5"/>
  <c r="ED112" i="5" s="1"/>
  <c r="DZ110" i="5"/>
  <c r="DZ112" i="5" s="1"/>
  <c r="DV110" i="5"/>
  <c r="DV111" i="5" s="1"/>
  <c r="DR110" i="5"/>
  <c r="DR111" i="5" s="1"/>
  <c r="N110" i="5"/>
  <c r="N112" i="5" s="1"/>
  <c r="J110" i="5"/>
  <c r="J111" i="5" s="1"/>
  <c r="F110" i="5"/>
  <c r="F112" i="5" s="1"/>
  <c r="DN115" i="5"/>
  <c r="DJ115" i="5"/>
  <c r="DF115" i="5"/>
  <c r="DB115" i="5"/>
  <c r="CX115" i="5"/>
  <c r="CT115" i="5"/>
  <c r="CP115" i="5"/>
  <c r="CL115" i="5"/>
  <c r="CH115" i="5"/>
  <c r="CD115" i="5"/>
  <c r="BZ115" i="5"/>
  <c r="BV115" i="5"/>
  <c r="BR115" i="5"/>
  <c r="BN115" i="5"/>
  <c r="BJ115" i="5"/>
  <c r="BF115" i="5"/>
  <c r="BB115" i="5"/>
  <c r="AX115" i="5"/>
  <c r="AT115" i="5"/>
  <c r="AP115" i="5"/>
  <c r="AL115" i="5"/>
  <c r="AH115" i="5"/>
  <c r="Z115" i="5"/>
  <c r="V115" i="5"/>
  <c r="R115" i="5"/>
  <c r="DN114" i="5"/>
  <c r="DJ114" i="5"/>
  <c r="DF114" i="5"/>
  <c r="DB114" i="5"/>
  <c r="CX114" i="5"/>
  <c r="CT114" i="5"/>
  <c r="CP114" i="5"/>
  <c r="CL114" i="5"/>
  <c r="CH114" i="5"/>
  <c r="CD114" i="5"/>
  <c r="BZ114" i="5"/>
  <c r="BV114" i="5"/>
  <c r="BR114" i="5"/>
  <c r="BN114" i="5"/>
  <c r="BJ114" i="5"/>
  <c r="BF114" i="5"/>
  <c r="BB114" i="5"/>
  <c r="AX114" i="5"/>
  <c r="AT114" i="5"/>
  <c r="AP114" i="5"/>
  <c r="AL114" i="5"/>
  <c r="AH114" i="5"/>
  <c r="Z114" i="5"/>
  <c r="V114" i="5"/>
  <c r="R114" i="5"/>
  <c r="EP113" i="5"/>
  <c r="EP114" i="5" s="1"/>
  <c r="EL113" i="5"/>
  <c r="EL114" i="5" s="1"/>
  <c r="EH113" i="5"/>
  <c r="EH114" i="5" s="1"/>
  <c r="ED113" i="5"/>
  <c r="ED115" i="5" s="1"/>
  <c r="DZ113" i="5"/>
  <c r="DZ114" i="5" s="1"/>
  <c r="DV113" i="5"/>
  <c r="DV114" i="5" s="1"/>
  <c r="DR113" i="5"/>
  <c r="DR115" i="5" s="1"/>
  <c r="N113" i="5"/>
  <c r="N114" i="5" s="1"/>
  <c r="J113" i="5"/>
  <c r="J114" i="5" s="1"/>
  <c r="F113" i="5"/>
  <c r="F115" i="5" s="1"/>
  <c r="DN76" i="5"/>
  <c r="DJ76" i="5"/>
  <c r="DF76" i="5"/>
  <c r="DB76" i="5"/>
  <c r="CX76" i="5"/>
  <c r="CT76" i="5"/>
  <c r="CP76" i="5"/>
  <c r="CL76" i="5"/>
  <c r="CH76" i="5"/>
  <c r="CD76" i="5"/>
  <c r="BZ76" i="5"/>
  <c r="BV76" i="5"/>
  <c r="BR76" i="5"/>
  <c r="BN76" i="5"/>
  <c r="BJ76" i="5"/>
  <c r="BF76" i="5"/>
  <c r="BB76" i="5"/>
  <c r="AX76" i="5"/>
  <c r="AT76" i="5"/>
  <c r="AP76" i="5"/>
  <c r="AL76" i="5"/>
  <c r="AH76" i="5"/>
  <c r="AD76" i="5"/>
  <c r="Z76" i="5"/>
  <c r="V76" i="5"/>
  <c r="R76" i="5"/>
  <c r="N76" i="5"/>
  <c r="J76" i="5"/>
  <c r="F76" i="5"/>
  <c r="DN75" i="5"/>
  <c r="DJ75" i="5"/>
  <c r="DF75" i="5"/>
  <c r="DB75" i="5"/>
  <c r="CX75" i="5"/>
  <c r="CT75" i="5"/>
  <c r="CP75" i="5"/>
  <c r="CL75" i="5"/>
  <c r="CH75" i="5"/>
  <c r="CD75" i="5"/>
  <c r="BZ75" i="5"/>
  <c r="BV75" i="5"/>
  <c r="BR75" i="5"/>
  <c r="BN75" i="5"/>
  <c r="BJ75" i="5"/>
  <c r="BF75" i="5"/>
  <c r="BB75" i="5"/>
  <c r="AX75" i="5"/>
  <c r="AT75" i="5"/>
  <c r="AP75" i="5"/>
  <c r="AL75" i="5"/>
  <c r="AH75" i="5"/>
  <c r="AD75" i="5"/>
  <c r="Z75" i="5"/>
  <c r="V75" i="5"/>
  <c r="R75" i="5"/>
  <c r="N75" i="5"/>
  <c r="J75" i="5"/>
  <c r="F75" i="5"/>
  <c r="EP74" i="5"/>
  <c r="EP75" i="5" s="1"/>
  <c r="EL74" i="5"/>
  <c r="EL76" i="5" s="1"/>
  <c r="EH74" i="5"/>
  <c r="EH76" i="5" s="1"/>
  <c r="ED74" i="5"/>
  <c r="ED75" i="5" s="1"/>
  <c r="DZ74" i="5"/>
  <c r="DZ75" i="5" s="1"/>
  <c r="DV74" i="5"/>
  <c r="DV75" i="5" s="1"/>
  <c r="DR74" i="5"/>
  <c r="DN73" i="5"/>
  <c r="DJ73" i="5"/>
  <c r="DF73" i="5"/>
  <c r="DB73" i="5"/>
  <c r="CX73" i="5"/>
  <c r="CT73" i="5"/>
  <c r="CP73" i="5"/>
  <c r="CL73" i="5"/>
  <c r="CH73" i="5"/>
  <c r="CD73" i="5"/>
  <c r="BZ73" i="5"/>
  <c r="BV73" i="5"/>
  <c r="BR73" i="5"/>
  <c r="BN73" i="5"/>
  <c r="BJ73" i="5"/>
  <c r="BF73" i="5"/>
  <c r="BB73" i="5"/>
  <c r="AX73" i="5"/>
  <c r="AT73" i="5"/>
  <c r="AP73" i="5"/>
  <c r="AL73" i="5"/>
  <c r="AH73" i="5"/>
  <c r="AD73" i="5"/>
  <c r="Z73" i="5"/>
  <c r="V73" i="5"/>
  <c r="R73" i="5"/>
  <c r="N73" i="5"/>
  <c r="J73" i="5"/>
  <c r="F73" i="5"/>
  <c r="DN72" i="5"/>
  <c r="DJ72" i="5"/>
  <c r="DF72" i="5"/>
  <c r="DB72" i="5"/>
  <c r="CX72" i="5"/>
  <c r="CT72" i="5"/>
  <c r="CP72" i="5"/>
  <c r="CL72" i="5"/>
  <c r="CH72" i="5"/>
  <c r="CD72" i="5"/>
  <c r="BZ72" i="5"/>
  <c r="BV72" i="5"/>
  <c r="BR72" i="5"/>
  <c r="BN72" i="5"/>
  <c r="BJ72" i="5"/>
  <c r="BF72" i="5"/>
  <c r="BB72" i="5"/>
  <c r="AX72" i="5"/>
  <c r="AT72" i="5"/>
  <c r="AP72" i="5"/>
  <c r="AL72" i="5"/>
  <c r="AH72" i="5"/>
  <c r="AD72" i="5"/>
  <c r="Z72" i="5"/>
  <c r="V72" i="5"/>
  <c r="R72" i="5"/>
  <c r="N72" i="5"/>
  <c r="J72" i="5"/>
  <c r="F72" i="5"/>
  <c r="EP71" i="5"/>
  <c r="EP73" i="5" s="1"/>
  <c r="EL71" i="5"/>
  <c r="EL72" i="5" s="1"/>
  <c r="EH71" i="5"/>
  <c r="EH72" i="5" s="1"/>
  <c r="ED71" i="5"/>
  <c r="ED72" i="5" s="1"/>
  <c r="DZ71" i="5"/>
  <c r="DZ73" i="5" s="1"/>
  <c r="DV71" i="5"/>
  <c r="DV73" i="5" s="1"/>
  <c r="DR71" i="5"/>
  <c r="DR73" i="5" s="1"/>
  <c r="C154" i="5"/>
  <c r="C153" i="5"/>
  <c r="EP152" i="5"/>
  <c r="EL152" i="5"/>
  <c r="EH152" i="5"/>
  <c r="ED152" i="5"/>
  <c r="DZ152" i="5"/>
  <c r="DV152" i="5"/>
  <c r="DR152" i="5"/>
  <c r="DN152" i="5"/>
  <c r="DN153" i="5" s="1"/>
  <c r="DJ152" i="5"/>
  <c r="DF152" i="5"/>
  <c r="DB152" i="5"/>
  <c r="CX152" i="5"/>
  <c r="CT152" i="5"/>
  <c r="CP152" i="5"/>
  <c r="CL152" i="5"/>
  <c r="CH152" i="5"/>
  <c r="CH153" i="5" s="1"/>
  <c r="CD152" i="5"/>
  <c r="BZ152" i="5"/>
  <c r="BV152" i="5"/>
  <c r="BR152" i="5"/>
  <c r="BN152" i="5"/>
  <c r="BJ152" i="5"/>
  <c r="BF152" i="5"/>
  <c r="BB152" i="5"/>
  <c r="BB153" i="5" s="1"/>
  <c r="AX152" i="5"/>
  <c r="AT152" i="5"/>
  <c r="AP152" i="5"/>
  <c r="AL152" i="5"/>
  <c r="AH152" i="5"/>
  <c r="AD152" i="5"/>
  <c r="Z152" i="5"/>
  <c r="V152" i="5"/>
  <c r="V153" i="5" s="1"/>
  <c r="R152" i="5"/>
  <c r="N152" i="5"/>
  <c r="J152" i="5"/>
  <c r="F152" i="5"/>
  <c r="C151" i="5"/>
  <c r="C150" i="5"/>
  <c r="EP149" i="5"/>
  <c r="EL149" i="5"/>
  <c r="EH149" i="5"/>
  <c r="ED149" i="5"/>
  <c r="DZ149" i="5"/>
  <c r="DZ151" i="5" s="1"/>
  <c r="DV149" i="5"/>
  <c r="DR149" i="5"/>
  <c r="DR150" i="5" s="1"/>
  <c r="DN149" i="5"/>
  <c r="DJ149" i="5"/>
  <c r="DF149" i="5"/>
  <c r="DB149" i="5"/>
  <c r="CX149" i="5"/>
  <c r="CT149" i="5"/>
  <c r="CT151" i="5" s="1"/>
  <c r="CP149" i="5"/>
  <c r="CL149" i="5"/>
  <c r="CL150" i="5" s="1"/>
  <c r="CH149" i="5"/>
  <c r="CD149" i="5"/>
  <c r="BZ149" i="5"/>
  <c r="BV149" i="5"/>
  <c r="BR149" i="5"/>
  <c r="BN149" i="5"/>
  <c r="BN151" i="5" s="1"/>
  <c r="BJ149" i="5"/>
  <c r="BF149" i="5"/>
  <c r="BF150" i="5" s="1"/>
  <c r="BB149" i="5"/>
  <c r="AX149" i="5"/>
  <c r="AT149" i="5"/>
  <c r="AP149" i="5"/>
  <c r="AL149" i="5"/>
  <c r="AH149" i="5"/>
  <c r="AH151" i="5" s="1"/>
  <c r="AD149" i="5"/>
  <c r="Z149" i="5"/>
  <c r="Z150" i="5" s="1"/>
  <c r="V149" i="5"/>
  <c r="R149" i="5"/>
  <c r="N149" i="5"/>
  <c r="J149" i="5"/>
  <c r="F149" i="5"/>
  <c r="C148" i="5"/>
  <c r="C147" i="5"/>
  <c r="EP146" i="5"/>
  <c r="EL146" i="5"/>
  <c r="EH146" i="5"/>
  <c r="ED146" i="5"/>
  <c r="DZ146" i="5"/>
  <c r="DV146" i="5"/>
  <c r="DR146" i="5"/>
  <c r="DN146" i="5"/>
  <c r="DN155" i="5" s="1"/>
  <c r="DJ146" i="5"/>
  <c r="DF146" i="5"/>
  <c r="DB146" i="5"/>
  <c r="CX146" i="5"/>
  <c r="CX155" i="5" s="1"/>
  <c r="CT146" i="5"/>
  <c r="CP146" i="5"/>
  <c r="CL146" i="5"/>
  <c r="CH146" i="5"/>
  <c r="CH155" i="5" s="1"/>
  <c r="CD146" i="5"/>
  <c r="BZ146" i="5"/>
  <c r="BV146" i="5"/>
  <c r="BR146" i="5"/>
  <c r="BR155" i="5" s="1"/>
  <c r="BN146" i="5"/>
  <c r="BJ146" i="5"/>
  <c r="BF146" i="5"/>
  <c r="BB146" i="5"/>
  <c r="BB155" i="5" s="1"/>
  <c r="AX146" i="5"/>
  <c r="AT146" i="5"/>
  <c r="AP146" i="5"/>
  <c r="AL146" i="5"/>
  <c r="AL155" i="5" s="1"/>
  <c r="AH146" i="5"/>
  <c r="AD146" i="5"/>
  <c r="Z146" i="5"/>
  <c r="V146" i="5"/>
  <c r="R146" i="5"/>
  <c r="N146" i="5"/>
  <c r="J146" i="5"/>
  <c r="F146" i="5"/>
  <c r="DV145" i="5"/>
  <c r="DR145" i="5"/>
  <c r="DN145" i="5"/>
  <c r="DJ145" i="5"/>
  <c r="DF145" i="5"/>
  <c r="DB145" i="5"/>
  <c r="CX145" i="5"/>
  <c r="CT145" i="5"/>
  <c r="CP145" i="5"/>
  <c r="CL145" i="5"/>
  <c r="CH145" i="5"/>
  <c r="CD145" i="5"/>
  <c r="BZ145" i="5"/>
  <c r="BV145" i="5"/>
  <c r="BR145" i="5"/>
  <c r="BN145" i="5"/>
  <c r="BJ145" i="5"/>
  <c r="BF145" i="5"/>
  <c r="BB145" i="5"/>
  <c r="AX145" i="5"/>
  <c r="AT145" i="5"/>
  <c r="AP145" i="5"/>
  <c r="AL145" i="5"/>
  <c r="AH145" i="5"/>
  <c r="DV144" i="5"/>
  <c r="DR144" i="5"/>
  <c r="DN144" i="5"/>
  <c r="DJ144" i="5"/>
  <c r="DF144" i="5"/>
  <c r="DB144" i="5"/>
  <c r="CX144" i="5"/>
  <c r="CT144" i="5"/>
  <c r="CP144" i="5"/>
  <c r="CL144" i="5"/>
  <c r="CH144" i="5"/>
  <c r="CD144" i="5"/>
  <c r="BZ144" i="5"/>
  <c r="BV144" i="5"/>
  <c r="BR144" i="5"/>
  <c r="BN144" i="5"/>
  <c r="BJ144" i="5"/>
  <c r="BF144" i="5"/>
  <c r="BB144" i="5"/>
  <c r="AX144" i="5"/>
  <c r="AT144" i="5"/>
  <c r="AP144" i="5"/>
  <c r="AL144" i="5"/>
  <c r="AH144" i="5"/>
  <c r="EP143" i="5"/>
  <c r="EL143" i="5"/>
  <c r="EH143" i="5"/>
  <c r="EH144" i="5" s="1"/>
  <c r="ED143" i="5"/>
  <c r="ED144" i="5" s="1"/>
  <c r="DZ143" i="5"/>
  <c r="DZ144" i="5" s="1"/>
  <c r="AD143" i="5"/>
  <c r="AD145" i="5" s="1"/>
  <c r="Z143" i="5"/>
  <c r="Z145" i="5" s="1"/>
  <c r="V143" i="5"/>
  <c r="V145" i="5" s="1"/>
  <c r="R143" i="5"/>
  <c r="N143" i="5"/>
  <c r="J143" i="5"/>
  <c r="J144" i="5" s="1"/>
  <c r="F143" i="5"/>
  <c r="F144" i="5" s="1"/>
  <c r="DN142" i="5"/>
  <c r="DJ142" i="5"/>
  <c r="DF142" i="5"/>
  <c r="DB142" i="5"/>
  <c r="CX142" i="5"/>
  <c r="CT142" i="5"/>
  <c r="CP142" i="5"/>
  <c r="CL142" i="5"/>
  <c r="CH142" i="5"/>
  <c r="CD142" i="5"/>
  <c r="BZ142" i="5"/>
  <c r="BV142" i="5"/>
  <c r="BR142" i="5"/>
  <c r="BN142" i="5"/>
  <c r="BJ142" i="5"/>
  <c r="BF142" i="5"/>
  <c r="BB142" i="5"/>
  <c r="AX142" i="5"/>
  <c r="AT142" i="5"/>
  <c r="AP142" i="5"/>
  <c r="AL142" i="5"/>
  <c r="AH142" i="5"/>
  <c r="DN141" i="5"/>
  <c r="DJ141" i="5"/>
  <c r="DF141" i="5"/>
  <c r="DB141" i="5"/>
  <c r="CX141" i="5"/>
  <c r="CT141" i="5"/>
  <c r="CP141" i="5"/>
  <c r="CL141" i="5"/>
  <c r="CH141" i="5"/>
  <c r="CD141" i="5"/>
  <c r="BZ141" i="5"/>
  <c r="BV141" i="5"/>
  <c r="BR141" i="5"/>
  <c r="BN141" i="5"/>
  <c r="BJ141" i="5"/>
  <c r="BF141" i="5"/>
  <c r="BB141" i="5"/>
  <c r="AX141" i="5"/>
  <c r="AT141" i="5"/>
  <c r="AP141" i="5"/>
  <c r="AL141" i="5"/>
  <c r="AH141" i="5"/>
  <c r="EP140" i="5"/>
  <c r="EP142" i="5" s="1"/>
  <c r="EL140" i="5"/>
  <c r="EL142" i="5" s="1"/>
  <c r="EH140" i="5"/>
  <c r="EH142" i="5" s="1"/>
  <c r="ED140" i="5"/>
  <c r="ED141" i="5" s="1"/>
  <c r="DZ140" i="5"/>
  <c r="DZ141" i="5" s="1"/>
  <c r="DV140" i="5"/>
  <c r="DV141" i="5" s="1"/>
  <c r="DR140" i="5"/>
  <c r="DR141" i="5" s="1"/>
  <c r="AD140" i="5"/>
  <c r="AD141" i="5" s="1"/>
  <c r="Z140" i="5"/>
  <c r="Z141" i="5" s="1"/>
  <c r="V140" i="5"/>
  <c r="V141" i="5" s="1"/>
  <c r="R140" i="5"/>
  <c r="R142" i="5" s="1"/>
  <c r="N140" i="5"/>
  <c r="N142" i="5" s="1"/>
  <c r="J140" i="5"/>
  <c r="J142" i="5" s="1"/>
  <c r="F140" i="5"/>
  <c r="DN139" i="5"/>
  <c r="DJ139" i="5"/>
  <c r="DF139" i="5"/>
  <c r="DB139" i="5"/>
  <c r="CX139" i="5"/>
  <c r="CT139" i="5"/>
  <c r="CP139" i="5"/>
  <c r="CL139" i="5"/>
  <c r="CH139" i="5"/>
  <c r="CD139" i="5"/>
  <c r="BZ139" i="5"/>
  <c r="BV139" i="5"/>
  <c r="BR139" i="5"/>
  <c r="BN139" i="5"/>
  <c r="BJ139" i="5"/>
  <c r="BF139" i="5"/>
  <c r="BB139" i="5"/>
  <c r="AX139" i="5"/>
  <c r="AT139" i="5"/>
  <c r="AP139" i="5"/>
  <c r="AL139" i="5"/>
  <c r="AH139" i="5"/>
  <c r="DN138" i="5"/>
  <c r="DJ138" i="5"/>
  <c r="DF138" i="5"/>
  <c r="DB138" i="5"/>
  <c r="CX138" i="5"/>
  <c r="CT138" i="5"/>
  <c r="CP138" i="5"/>
  <c r="CL138" i="5"/>
  <c r="CH138" i="5"/>
  <c r="CD138" i="5"/>
  <c r="BZ138" i="5"/>
  <c r="BV138" i="5"/>
  <c r="BR138" i="5"/>
  <c r="BN138" i="5"/>
  <c r="BJ138" i="5"/>
  <c r="BF138" i="5"/>
  <c r="BB138" i="5"/>
  <c r="AX138" i="5"/>
  <c r="AT138" i="5"/>
  <c r="AP138" i="5"/>
  <c r="AL138" i="5"/>
  <c r="AH138" i="5"/>
  <c r="EP137" i="5"/>
  <c r="EP138" i="5" s="1"/>
  <c r="EL137" i="5"/>
  <c r="EL138" i="5" s="1"/>
  <c r="EH137" i="5"/>
  <c r="EH139" i="5" s="1"/>
  <c r="ED137" i="5"/>
  <c r="ED139" i="5" s="1"/>
  <c r="DZ137" i="5"/>
  <c r="DZ139" i="5" s="1"/>
  <c r="DV137" i="5"/>
  <c r="DV138" i="5" s="1"/>
  <c r="DR137" i="5"/>
  <c r="DR138" i="5" s="1"/>
  <c r="AD137" i="5"/>
  <c r="Z137" i="5"/>
  <c r="Z138" i="5" s="1"/>
  <c r="V137" i="5"/>
  <c r="V138" i="5" s="1"/>
  <c r="R137" i="5"/>
  <c r="R138" i="5" s="1"/>
  <c r="N137" i="5"/>
  <c r="N138" i="5" s="1"/>
  <c r="J137" i="5"/>
  <c r="J139" i="5" s="1"/>
  <c r="F137" i="5"/>
  <c r="F139" i="5" s="1"/>
  <c r="EP134" i="5"/>
  <c r="EP136" i="5" s="1"/>
  <c r="EL134" i="5"/>
  <c r="EL135" i="5" s="1"/>
  <c r="EH134" i="5"/>
  <c r="EH136" i="5" s="1"/>
  <c r="ED134" i="5"/>
  <c r="ED136" i="5" s="1"/>
  <c r="DZ134" i="5"/>
  <c r="DZ135" i="5" s="1"/>
  <c r="DV134" i="5"/>
  <c r="DV135" i="5" s="1"/>
  <c r="DR134" i="5"/>
  <c r="DR135" i="5" s="1"/>
  <c r="Z134" i="5"/>
  <c r="Z135" i="5" s="1"/>
  <c r="V134" i="5"/>
  <c r="V136" i="5" s="1"/>
  <c r="R134" i="5"/>
  <c r="R135" i="5" s="1"/>
  <c r="N134" i="5"/>
  <c r="J134" i="5"/>
  <c r="J135" i="5" s="1"/>
  <c r="F134" i="5"/>
  <c r="F135" i="5" s="1"/>
  <c r="EP131" i="5"/>
  <c r="EP133" i="5" s="1"/>
  <c r="EL131" i="5"/>
  <c r="EL132" i="5" s="1"/>
  <c r="EH131" i="5"/>
  <c r="EH132" i="5" s="1"/>
  <c r="ED131" i="5"/>
  <c r="ED132" i="5" s="1"/>
  <c r="DZ131" i="5"/>
  <c r="DZ132" i="5" s="1"/>
  <c r="DV131" i="5"/>
  <c r="DV132" i="5" s="1"/>
  <c r="DR131" i="5"/>
  <c r="DR133" i="5" s="1"/>
  <c r="Z131" i="5"/>
  <c r="Z132" i="5" s="1"/>
  <c r="V131" i="5"/>
  <c r="V133" i="5" s="1"/>
  <c r="R131" i="5"/>
  <c r="R132" i="5" s="1"/>
  <c r="N131" i="5"/>
  <c r="N132" i="5" s="1"/>
  <c r="J131" i="5"/>
  <c r="J132" i="5" s="1"/>
  <c r="F131" i="5"/>
  <c r="Z130" i="5"/>
  <c r="V130" i="5"/>
  <c r="R130" i="5"/>
  <c r="N130" i="5"/>
  <c r="E130" i="5" s="1"/>
  <c r="J130" i="5"/>
  <c r="F130" i="5"/>
  <c r="Z129" i="5"/>
  <c r="V129" i="5"/>
  <c r="R129" i="5"/>
  <c r="N129" i="5"/>
  <c r="J129" i="5"/>
  <c r="F129" i="5"/>
  <c r="E129" i="5" s="1"/>
  <c r="EP128" i="5"/>
  <c r="EP129" i="5" s="1"/>
  <c r="EL128" i="5"/>
  <c r="EL129" i="5" s="1"/>
  <c r="EH128" i="5"/>
  <c r="EH129" i="5" s="1"/>
  <c r="ED128" i="5"/>
  <c r="ED130" i="5" s="1"/>
  <c r="DZ128" i="5"/>
  <c r="DZ130" i="5" s="1"/>
  <c r="DV128" i="5"/>
  <c r="DV130" i="5" s="1"/>
  <c r="DR128" i="5"/>
  <c r="DR130" i="5" s="1"/>
  <c r="Z127" i="5"/>
  <c r="V127" i="5"/>
  <c r="R127" i="5"/>
  <c r="E127" i="5" s="1"/>
  <c r="N127" i="5"/>
  <c r="J127" i="5"/>
  <c r="F127" i="5"/>
  <c r="Z126" i="5"/>
  <c r="V126" i="5"/>
  <c r="R126" i="5"/>
  <c r="N126" i="5"/>
  <c r="J126" i="5"/>
  <c r="F126" i="5"/>
  <c r="E126" i="5" s="1"/>
  <c r="EP125" i="5"/>
  <c r="EP126" i="5" s="1"/>
  <c r="EL125" i="5"/>
  <c r="EL126" i="5" s="1"/>
  <c r="EH125" i="5"/>
  <c r="EH127" i="5" s="1"/>
  <c r="ED125" i="5"/>
  <c r="ED127" i="5" s="1"/>
  <c r="DZ125" i="5"/>
  <c r="DZ126" i="5" s="1"/>
  <c r="DV125" i="5"/>
  <c r="DV126" i="5" s="1"/>
  <c r="DR125" i="5"/>
  <c r="DR127" i="5" s="1"/>
  <c r="EP122" i="5"/>
  <c r="EP123" i="5" s="1"/>
  <c r="EL122" i="5"/>
  <c r="EL123" i="5" s="1"/>
  <c r="EH122" i="5"/>
  <c r="EH123" i="5" s="1"/>
  <c r="ED122" i="5"/>
  <c r="ED123" i="5" s="1"/>
  <c r="DZ122" i="5"/>
  <c r="DZ123" i="5" s="1"/>
  <c r="DV122" i="5"/>
  <c r="DV123" i="5" s="1"/>
  <c r="DR122" i="5"/>
  <c r="DR124" i="5" s="1"/>
  <c r="Z122" i="5"/>
  <c r="V122" i="5"/>
  <c r="R122" i="5"/>
  <c r="N122" i="5"/>
  <c r="N123" i="5" s="1"/>
  <c r="J122" i="5"/>
  <c r="J124" i="5" s="1"/>
  <c r="F122" i="5"/>
  <c r="F123" i="5" s="1"/>
  <c r="DN121" i="5"/>
  <c r="DJ121" i="5"/>
  <c r="DF121" i="5"/>
  <c r="DB121" i="5"/>
  <c r="CX121" i="5"/>
  <c r="CT121" i="5"/>
  <c r="CP121" i="5"/>
  <c r="CL121" i="5"/>
  <c r="CH121" i="5"/>
  <c r="CD121" i="5"/>
  <c r="BZ121" i="5"/>
  <c r="BV121" i="5"/>
  <c r="BR121" i="5"/>
  <c r="BN121" i="5"/>
  <c r="BJ121" i="5"/>
  <c r="BF121" i="5"/>
  <c r="BB121" i="5"/>
  <c r="AX121" i="5"/>
  <c r="AT121" i="5"/>
  <c r="AP121" i="5"/>
  <c r="AL121" i="5"/>
  <c r="AH121" i="5"/>
  <c r="Z121" i="5"/>
  <c r="V121" i="5"/>
  <c r="R121" i="5"/>
  <c r="DN120" i="5"/>
  <c r="DJ120" i="5"/>
  <c r="DF120" i="5"/>
  <c r="DB120" i="5"/>
  <c r="CX120" i="5"/>
  <c r="CT120" i="5"/>
  <c r="CP120" i="5"/>
  <c r="CL120" i="5"/>
  <c r="CH120" i="5"/>
  <c r="CD120" i="5"/>
  <c r="BZ120" i="5"/>
  <c r="BV120" i="5"/>
  <c r="BR120" i="5"/>
  <c r="BN120" i="5"/>
  <c r="BJ120" i="5"/>
  <c r="BF120" i="5"/>
  <c r="BB120" i="5"/>
  <c r="AX120" i="5"/>
  <c r="AT120" i="5"/>
  <c r="AP120" i="5"/>
  <c r="AL120" i="5"/>
  <c r="AH120" i="5"/>
  <c r="Z120" i="5"/>
  <c r="V120" i="5"/>
  <c r="R120" i="5"/>
  <c r="EP119" i="5"/>
  <c r="EP120" i="5" s="1"/>
  <c r="EL119" i="5"/>
  <c r="EL120" i="5" s="1"/>
  <c r="EH119" i="5"/>
  <c r="EH120" i="5" s="1"/>
  <c r="ED119" i="5"/>
  <c r="ED120" i="5" s="1"/>
  <c r="DZ119" i="5"/>
  <c r="DZ121" i="5" s="1"/>
  <c r="DV119" i="5"/>
  <c r="DV121" i="5" s="1"/>
  <c r="DR119" i="5"/>
  <c r="DR120" i="5" s="1"/>
  <c r="N119" i="5"/>
  <c r="N120" i="5" s="1"/>
  <c r="J119" i="5"/>
  <c r="J120" i="5" s="1"/>
  <c r="F119" i="5"/>
  <c r="F121" i="5" s="1"/>
  <c r="DN118" i="5"/>
  <c r="DJ118" i="5"/>
  <c r="DF118" i="5"/>
  <c r="DB118" i="5"/>
  <c r="CX118" i="5"/>
  <c r="CT118" i="5"/>
  <c r="CP118" i="5"/>
  <c r="CL118" i="5"/>
  <c r="CH118" i="5"/>
  <c r="CD118" i="5"/>
  <c r="BZ118" i="5"/>
  <c r="BV118" i="5"/>
  <c r="BR118" i="5"/>
  <c r="BN118" i="5"/>
  <c r="BJ118" i="5"/>
  <c r="BF118" i="5"/>
  <c r="BB118" i="5"/>
  <c r="AX118" i="5"/>
  <c r="AT118" i="5"/>
  <c r="AP118" i="5"/>
  <c r="AL118" i="5"/>
  <c r="AH118" i="5"/>
  <c r="Z118" i="5"/>
  <c r="V118" i="5"/>
  <c r="R118" i="5"/>
  <c r="DN117" i="5"/>
  <c r="DJ117" i="5"/>
  <c r="DF117" i="5"/>
  <c r="DB117" i="5"/>
  <c r="CX117" i="5"/>
  <c r="CT117" i="5"/>
  <c r="CP117" i="5"/>
  <c r="CL117" i="5"/>
  <c r="CH117" i="5"/>
  <c r="CD117" i="5"/>
  <c r="BZ117" i="5"/>
  <c r="BV117" i="5"/>
  <c r="BR117" i="5"/>
  <c r="BN117" i="5"/>
  <c r="BJ117" i="5"/>
  <c r="BF117" i="5"/>
  <c r="BB117" i="5"/>
  <c r="AX117" i="5"/>
  <c r="AT117" i="5"/>
  <c r="AP117" i="5"/>
  <c r="AL117" i="5"/>
  <c r="AH117" i="5"/>
  <c r="Z117" i="5"/>
  <c r="V117" i="5"/>
  <c r="R117" i="5"/>
  <c r="EP116" i="5"/>
  <c r="EP118" i="5" s="1"/>
  <c r="EL116" i="5"/>
  <c r="EL118" i="5" s="1"/>
  <c r="EH116" i="5"/>
  <c r="EH117" i="5" s="1"/>
  <c r="ED116" i="5"/>
  <c r="ED117" i="5" s="1"/>
  <c r="DZ116" i="5"/>
  <c r="DZ117" i="5" s="1"/>
  <c r="DV116" i="5"/>
  <c r="DV117" i="5" s="1"/>
  <c r="DR116" i="5"/>
  <c r="DR118" i="5" s="1"/>
  <c r="N116" i="5"/>
  <c r="N118" i="5" s="1"/>
  <c r="J116" i="5"/>
  <c r="J117" i="5" s="1"/>
  <c r="F116" i="5"/>
  <c r="F117" i="5" s="1"/>
  <c r="DN82" i="5"/>
  <c r="DJ82" i="5"/>
  <c r="DF82" i="5"/>
  <c r="DB82" i="5"/>
  <c r="CX82" i="5"/>
  <c r="CT82" i="5"/>
  <c r="CP82" i="5"/>
  <c r="CL82" i="5"/>
  <c r="CH82" i="5"/>
  <c r="CD82" i="5"/>
  <c r="BZ82" i="5"/>
  <c r="BV82" i="5"/>
  <c r="BR82" i="5"/>
  <c r="BN82" i="5"/>
  <c r="BJ82" i="5"/>
  <c r="BF82" i="5"/>
  <c r="BB82" i="5"/>
  <c r="AX82" i="5"/>
  <c r="AT82" i="5"/>
  <c r="AP82" i="5"/>
  <c r="AL82" i="5"/>
  <c r="AH82" i="5"/>
  <c r="Z82" i="5"/>
  <c r="V82" i="5"/>
  <c r="R82" i="5"/>
  <c r="DN81" i="5"/>
  <c r="DJ81" i="5"/>
  <c r="DF81" i="5"/>
  <c r="DB81" i="5"/>
  <c r="CX81" i="5"/>
  <c r="CT81" i="5"/>
  <c r="CP81" i="5"/>
  <c r="CL81" i="5"/>
  <c r="CH81" i="5"/>
  <c r="CD81" i="5"/>
  <c r="BZ81" i="5"/>
  <c r="BV81" i="5"/>
  <c r="BR81" i="5"/>
  <c r="BN81" i="5"/>
  <c r="BJ81" i="5"/>
  <c r="BF81" i="5"/>
  <c r="BB81" i="5"/>
  <c r="AX81" i="5"/>
  <c r="AT81" i="5"/>
  <c r="AP81" i="5"/>
  <c r="AL81" i="5"/>
  <c r="AH81" i="5"/>
  <c r="Z81" i="5"/>
  <c r="V81" i="5"/>
  <c r="R81" i="5"/>
  <c r="EP80" i="5"/>
  <c r="EP81" i="5" s="1"/>
  <c r="EL80" i="5"/>
  <c r="EL81" i="5" s="1"/>
  <c r="EH80" i="5"/>
  <c r="EH82" i="5" s="1"/>
  <c r="ED80" i="5"/>
  <c r="ED82" i="5" s="1"/>
  <c r="DZ80" i="5"/>
  <c r="DZ82" i="5" s="1"/>
  <c r="DV80" i="5"/>
  <c r="DV81" i="5" s="1"/>
  <c r="DR80" i="5"/>
  <c r="DR81" i="5" s="1"/>
  <c r="N80" i="5"/>
  <c r="N81" i="5" s="1"/>
  <c r="J80" i="5"/>
  <c r="J82" i="5" s="1"/>
  <c r="F80" i="5"/>
  <c r="F82" i="5" s="1"/>
  <c r="DN79" i="5"/>
  <c r="DJ79" i="5"/>
  <c r="DF79" i="5"/>
  <c r="DB79" i="5"/>
  <c r="CX79" i="5"/>
  <c r="CT79" i="5"/>
  <c r="CP79" i="5"/>
  <c r="CL79" i="5"/>
  <c r="CH79" i="5"/>
  <c r="CD79" i="5"/>
  <c r="BZ79" i="5"/>
  <c r="BV79" i="5"/>
  <c r="BR79" i="5"/>
  <c r="BN79" i="5"/>
  <c r="BJ79" i="5"/>
  <c r="BF79" i="5"/>
  <c r="BB79" i="5"/>
  <c r="AX79" i="5"/>
  <c r="AT79" i="5"/>
  <c r="AP79" i="5"/>
  <c r="AL79" i="5"/>
  <c r="AH79" i="5"/>
  <c r="Z79" i="5"/>
  <c r="V79" i="5"/>
  <c r="R79" i="5"/>
  <c r="DN78" i="5"/>
  <c r="DJ78" i="5"/>
  <c r="DF78" i="5"/>
  <c r="DB78" i="5"/>
  <c r="CX78" i="5"/>
  <c r="CT78" i="5"/>
  <c r="CP78" i="5"/>
  <c r="CL78" i="5"/>
  <c r="CH78" i="5"/>
  <c r="CD78" i="5"/>
  <c r="BZ78" i="5"/>
  <c r="BV78" i="5"/>
  <c r="BR78" i="5"/>
  <c r="BN78" i="5"/>
  <c r="BJ78" i="5"/>
  <c r="BF78" i="5"/>
  <c r="BB78" i="5"/>
  <c r="AX78" i="5"/>
  <c r="AT78" i="5"/>
  <c r="AP78" i="5"/>
  <c r="AL78" i="5"/>
  <c r="AH78" i="5"/>
  <c r="Z78" i="5"/>
  <c r="V78" i="5"/>
  <c r="R78" i="5"/>
  <c r="EP77" i="5"/>
  <c r="EP78" i="5" s="1"/>
  <c r="EL77" i="5"/>
  <c r="EL78" i="5" s="1"/>
  <c r="EH77" i="5"/>
  <c r="ED77" i="5"/>
  <c r="ED78" i="5" s="1"/>
  <c r="DZ77" i="5"/>
  <c r="DZ78" i="5" s="1"/>
  <c r="DV77" i="5"/>
  <c r="DV79" i="5" s="1"/>
  <c r="DR77" i="5"/>
  <c r="DR79" i="5" s="1"/>
  <c r="N77" i="5"/>
  <c r="J77" i="5"/>
  <c r="F77" i="5"/>
  <c r="DN70" i="5"/>
  <c r="DJ70" i="5"/>
  <c r="DF70" i="5"/>
  <c r="DB70" i="5"/>
  <c r="CX70" i="5"/>
  <c r="CT70" i="5"/>
  <c r="CP70" i="5"/>
  <c r="CL70" i="5"/>
  <c r="CH70" i="5"/>
  <c r="CD70" i="5"/>
  <c r="BZ70" i="5"/>
  <c r="BV70" i="5"/>
  <c r="BR70" i="5"/>
  <c r="BN70" i="5"/>
  <c r="BJ70" i="5"/>
  <c r="BF70" i="5"/>
  <c r="BB70" i="5"/>
  <c r="AX70" i="5"/>
  <c r="AT70" i="5"/>
  <c r="AP70" i="5"/>
  <c r="AL70" i="5"/>
  <c r="AH70" i="5"/>
  <c r="AD70" i="5"/>
  <c r="Z70" i="5"/>
  <c r="V70" i="5"/>
  <c r="R70" i="5"/>
  <c r="N70" i="5"/>
  <c r="J70" i="5"/>
  <c r="F70" i="5"/>
  <c r="DN69" i="5"/>
  <c r="DJ69" i="5"/>
  <c r="DF69" i="5"/>
  <c r="DB69" i="5"/>
  <c r="CX69" i="5"/>
  <c r="CT69" i="5"/>
  <c r="CP69" i="5"/>
  <c r="CL69" i="5"/>
  <c r="CH69" i="5"/>
  <c r="CD69" i="5"/>
  <c r="BZ69" i="5"/>
  <c r="BV69" i="5"/>
  <c r="BR69" i="5"/>
  <c r="BN69" i="5"/>
  <c r="BJ69" i="5"/>
  <c r="BF69" i="5"/>
  <c r="BB69" i="5"/>
  <c r="AX69" i="5"/>
  <c r="AT69" i="5"/>
  <c r="AP69" i="5"/>
  <c r="AL69" i="5"/>
  <c r="AH69" i="5"/>
  <c r="AD69" i="5"/>
  <c r="Z69" i="5"/>
  <c r="V69" i="5"/>
  <c r="R69" i="5"/>
  <c r="N69" i="5"/>
  <c r="J69" i="5"/>
  <c r="F69" i="5"/>
  <c r="EP68" i="5"/>
  <c r="EP70" i="5" s="1"/>
  <c r="EL68" i="5"/>
  <c r="EL70" i="5" s="1"/>
  <c r="EH68" i="5"/>
  <c r="EH70" i="5" s="1"/>
  <c r="ED68" i="5"/>
  <c r="ED69" i="5" s="1"/>
  <c r="DZ68" i="5"/>
  <c r="DZ69" i="5" s="1"/>
  <c r="DV68" i="5"/>
  <c r="DR68" i="5"/>
  <c r="DR70" i="5" s="1"/>
  <c r="DN67" i="5"/>
  <c r="DJ67" i="5"/>
  <c r="DF67" i="5"/>
  <c r="DB67" i="5"/>
  <c r="CX67" i="5"/>
  <c r="CT67" i="5"/>
  <c r="CP67" i="5"/>
  <c r="CL67" i="5"/>
  <c r="CH67" i="5"/>
  <c r="CD67" i="5"/>
  <c r="BZ67" i="5"/>
  <c r="BV67" i="5"/>
  <c r="BR67" i="5"/>
  <c r="BN67" i="5"/>
  <c r="BJ67" i="5"/>
  <c r="BF67" i="5"/>
  <c r="BB67" i="5"/>
  <c r="AX67" i="5"/>
  <c r="AT67" i="5"/>
  <c r="AP67" i="5"/>
  <c r="AL67" i="5"/>
  <c r="AH67" i="5"/>
  <c r="AD67" i="5"/>
  <c r="Z67" i="5"/>
  <c r="V67" i="5"/>
  <c r="R67" i="5"/>
  <c r="N67" i="5"/>
  <c r="J67" i="5"/>
  <c r="F67" i="5"/>
  <c r="DN66" i="5"/>
  <c r="DJ66" i="5"/>
  <c r="DF66" i="5"/>
  <c r="DB66" i="5"/>
  <c r="CX66" i="5"/>
  <c r="CT66" i="5"/>
  <c r="CP66" i="5"/>
  <c r="CL66" i="5"/>
  <c r="CH66" i="5"/>
  <c r="CD66" i="5"/>
  <c r="BZ66" i="5"/>
  <c r="BV66" i="5"/>
  <c r="BR66" i="5"/>
  <c r="BN66" i="5"/>
  <c r="BJ66" i="5"/>
  <c r="BF66" i="5"/>
  <c r="BB66" i="5"/>
  <c r="AX66" i="5"/>
  <c r="AT66" i="5"/>
  <c r="AP66" i="5"/>
  <c r="AL66" i="5"/>
  <c r="AH66" i="5"/>
  <c r="AD66" i="5"/>
  <c r="Z66" i="5"/>
  <c r="V66" i="5"/>
  <c r="R66" i="5"/>
  <c r="N66" i="5"/>
  <c r="J66" i="5"/>
  <c r="F66" i="5"/>
  <c r="EP65" i="5"/>
  <c r="EP66" i="5" s="1"/>
  <c r="EL65" i="5"/>
  <c r="EH65" i="5"/>
  <c r="ED65" i="5"/>
  <c r="DZ65" i="5"/>
  <c r="DV65" i="5"/>
  <c r="DV67" i="5" s="1"/>
  <c r="DR65" i="5"/>
  <c r="DR66" i="5" s="1"/>
  <c r="EP57" i="5"/>
  <c r="EL57" i="5"/>
  <c r="EH57" i="5"/>
  <c r="ED57" i="5"/>
  <c r="DZ57" i="5"/>
  <c r="DV57" i="5"/>
  <c r="DR57" i="5"/>
  <c r="DN57" i="5"/>
  <c r="DN12" i="5" s="1"/>
  <c r="DJ57" i="5"/>
  <c r="DF57" i="5"/>
  <c r="DB57" i="5"/>
  <c r="CX57" i="5"/>
  <c r="CX12" i="5" s="1"/>
  <c r="CT57" i="5"/>
  <c r="CP57" i="5"/>
  <c r="CL57" i="5"/>
  <c r="CH57" i="5"/>
  <c r="CH12" i="5" s="1"/>
  <c r="CD57" i="5"/>
  <c r="BZ57" i="5"/>
  <c r="BV57" i="5"/>
  <c r="BR57" i="5"/>
  <c r="BR12" i="5" s="1"/>
  <c r="BN57" i="5"/>
  <c r="BJ57" i="5"/>
  <c r="BF57" i="5"/>
  <c r="BB57" i="5"/>
  <c r="BB12" i="5" s="1"/>
  <c r="AX57" i="5"/>
  <c r="AT57" i="5"/>
  <c r="AP57" i="5"/>
  <c r="AL57" i="5"/>
  <c r="AL12" i="5" s="1"/>
  <c r="AH57" i="5"/>
  <c r="AD57" i="5"/>
  <c r="Z57" i="5"/>
  <c r="V57" i="5"/>
  <c r="R57" i="5"/>
  <c r="N57" i="5"/>
  <c r="J57" i="5"/>
  <c r="F57" i="5"/>
  <c r="EP56" i="5"/>
  <c r="EL56" i="5"/>
  <c r="EH56" i="5"/>
  <c r="ED56" i="5"/>
  <c r="DZ56" i="5"/>
  <c r="DV56" i="5"/>
  <c r="DR56" i="5"/>
  <c r="DN56" i="5"/>
  <c r="DJ56" i="5"/>
  <c r="DF56" i="5"/>
  <c r="DB56" i="5"/>
  <c r="CX56" i="5"/>
  <c r="CT56" i="5"/>
  <c r="CP56" i="5"/>
  <c r="CL56" i="5"/>
  <c r="CH56" i="5"/>
  <c r="CD56" i="5"/>
  <c r="BZ56" i="5"/>
  <c r="BV56" i="5"/>
  <c r="BR56" i="5"/>
  <c r="BN56" i="5"/>
  <c r="BJ56" i="5"/>
  <c r="BF56" i="5"/>
  <c r="BB56" i="5"/>
  <c r="AX56" i="5"/>
  <c r="AT56" i="5"/>
  <c r="AP56" i="5"/>
  <c r="AL56" i="5"/>
  <c r="AH56" i="5"/>
  <c r="AD56" i="5"/>
  <c r="Z56" i="5"/>
  <c r="V56" i="5"/>
  <c r="R56" i="5"/>
  <c r="N56" i="5"/>
  <c r="E56" i="5" s="1"/>
  <c r="J56" i="5"/>
  <c r="F56" i="5"/>
  <c r="EP55" i="5"/>
  <c r="EL55" i="5"/>
  <c r="EH55" i="5"/>
  <c r="ED55" i="5"/>
  <c r="DZ55" i="5"/>
  <c r="DV55" i="5"/>
  <c r="DR55" i="5"/>
  <c r="DN55" i="5"/>
  <c r="DJ55" i="5"/>
  <c r="DF55" i="5"/>
  <c r="DB55" i="5"/>
  <c r="CX55" i="5"/>
  <c r="CT55" i="5"/>
  <c r="CP55" i="5"/>
  <c r="CL55" i="5"/>
  <c r="CH55" i="5"/>
  <c r="CD55" i="5"/>
  <c r="BZ55" i="5"/>
  <c r="BV55" i="5"/>
  <c r="BR55" i="5"/>
  <c r="BN55" i="5"/>
  <c r="BJ55" i="5"/>
  <c r="BF55" i="5"/>
  <c r="BB55" i="5"/>
  <c r="AX55" i="5"/>
  <c r="AT55" i="5"/>
  <c r="AP55" i="5"/>
  <c r="AL55" i="5"/>
  <c r="AH55" i="5"/>
  <c r="AD55" i="5"/>
  <c r="Z55" i="5"/>
  <c r="V55" i="5"/>
  <c r="R55" i="5"/>
  <c r="N55" i="5"/>
  <c r="J55" i="5"/>
  <c r="F55" i="5"/>
  <c r="E55" i="5"/>
  <c r="E54" i="5"/>
  <c r="EP53" i="5"/>
  <c r="EL53" i="5"/>
  <c r="EH53" i="5"/>
  <c r="ED53" i="5"/>
  <c r="DZ53" i="5"/>
  <c r="DV53" i="5"/>
  <c r="DR53" i="5"/>
  <c r="DN53" i="5"/>
  <c r="DJ53" i="5"/>
  <c r="DJ59" i="5" s="1"/>
  <c r="DF53" i="5"/>
  <c r="DB53" i="5"/>
  <c r="CX53" i="5"/>
  <c r="CT53" i="5"/>
  <c r="CP53" i="5"/>
  <c r="CL53" i="5"/>
  <c r="CH53" i="5"/>
  <c r="CD53" i="5"/>
  <c r="BZ53" i="5"/>
  <c r="BV53" i="5"/>
  <c r="BR53" i="5"/>
  <c r="BN53" i="5"/>
  <c r="BJ53" i="5"/>
  <c r="BF53" i="5"/>
  <c r="BB53" i="5"/>
  <c r="AX53" i="5"/>
  <c r="AT53" i="5"/>
  <c r="AP53" i="5"/>
  <c r="AL53" i="5"/>
  <c r="AH53" i="5"/>
  <c r="AD53" i="5"/>
  <c r="Z53" i="5"/>
  <c r="E53" i="5" s="1"/>
  <c r="V53" i="5"/>
  <c r="R53" i="5"/>
  <c r="N53" i="5"/>
  <c r="J53" i="5"/>
  <c r="F53" i="5"/>
  <c r="EP52" i="5"/>
  <c r="EL52" i="5"/>
  <c r="EH52" i="5"/>
  <c r="ED52" i="5"/>
  <c r="DZ52" i="5"/>
  <c r="DV52" i="5"/>
  <c r="DR52" i="5"/>
  <c r="DN52" i="5"/>
  <c r="DJ52" i="5"/>
  <c r="DF52" i="5"/>
  <c r="DB52" i="5"/>
  <c r="CX52" i="5"/>
  <c r="CT52" i="5"/>
  <c r="CP52" i="5"/>
  <c r="CL52" i="5"/>
  <c r="CH52" i="5"/>
  <c r="CD52" i="5"/>
  <c r="BZ52" i="5"/>
  <c r="BV52" i="5"/>
  <c r="BR52" i="5"/>
  <c r="BN52" i="5"/>
  <c r="BJ52" i="5"/>
  <c r="BF52" i="5"/>
  <c r="BB52" i="5"/>
  <c r="AX52" i="5"/>
  <c r="AT52" i="5"/>
  <c r="AP52" i="5"/>
  <c r="AL52" i="5"/>
  <c r="AH52" i="5"/>
  <c r="AD52" i="5"/>
  <c r="Z52" i="5"/>
  <c r="V52" i="5"/>
  <c r="R52" i="5"/>
  <c r="N52" i="5"/>
  <c r="J52" i="5"/>
  <c r="F52" i="5"/>
  <c r="E51" i="5"/>
  <c r="DB59" i="5"/>
  <c r="Z50" i="5"/>
  <c r="V50" i="5"/>
  <c r="R50" i="5"/>
  <c r="N50" i="5"/>
  <c r="J50" i="5"/>
  <c r="F50" i="5"/>
  <c r="EP49" i="5"/>
  <c r="EL49" i="5"/>
  <c r="EH49" i="5"/>
  <c r="ED49" i="5"/>
  <c r="DZ49" i="5"/>
  <c r="DV49" i="5"/>
  <c r="DR49" i="5"/>
  <c r="DN49" i="5"/>
  <c r="DJ49" i="5"/>
  <c r="DF49" i="5"/>
  <c r="DB49" i="5"/>
  <c r="CX49" i="5"/>
  <c r="CT49" i="5"/>
  <c r="CP49" i="5"/>
  <c r="CL49" i="5"/>
  <c r="CH49" i="5"/>
  <c r="CD49" i="5"/>
  <c r="BZ49" i="5"/>
  <c r="BV49" i="5"/>
  <c r="BR49" i="5"/>
  <c r="BN49" i="5"/>
  <c r="BJ49" i="5"/>
  <c r="BF49" i="5"/>
  <c r="BB49" i="5"/>
  <c r="AX49" i="5"/>
  <c r="AT49" i="5"/>
  <c r="AP49" i="5"/>
  <c r="AL49" i="5"/>
  <c r="AH49" i="5"/>
  <c r="AD49" i="5"/>
  <c r="Z49" i="5"/>
  <c r="E49" i="5" s="1"/>
  <c r="V49" i="5"/>
  <c r="R49" i="5"/>
  <c r="N49" i="5"/>
  <c r="J49" i="5"/>
  <c r="F49" i="5"/>
  <c r="E48" i="5"/>
  <c r="BV59" i="5"/>
  <c r="Z47" i="5"/>
  <c r="V47" i="5"/>
  <c r="R47" i="5"/>
  <c r="N47" i="5"/>
  <c r="J47" i="5"/>
  <c r="F47" i="5"/>
  <c r="EP46" i="5"/>
  <c r="EL46" i="5"/>
  <c r="EH46" i="5"/>
  <c r="ED46" i="5"/>
  <c r="DZ46" i="5"/>
  <c r="DV46" i="5"/>
  <c r="DR46" i="5"/>
  <c r="DN46" i="5"/>
  <c r="DJ46" i="5"/>
  <c r="DF46" i="5"/>
  <c r="DB46" i="5"/>
  <c r="CX46" i="5"/>
  <c r="CT46" i="5"/>
  <c r="CP46" i="5"/>
  <c r="CL46" i="5"/>
  <c r="CH46" i="5"/>
  <c r="CD46" i="5"/>
  <c r="BZ46" i="5"/>
  <c r="BV46" i="5"/>
  <c r="BR46" i="5"/>
  <c r="BN46" i="5"/>
  <c r="BJ46" i="5"/>
  <c r="BF46" i="5"/>
  <c r="BB46" i="5"/>
  <c r="AX46" i="5"/>
  <c r="AT46" i="5"/>
  <c r="AP46" i="5"/>
  <c r="AL46" i="5"/>
  <c r="AH46" i="5"/>
  <c r="AD46" i="5"/>
  <c r="Z46" i="5"/>
  <c r="V46" i="5"/>
  <c r="R46" i="5"/>
  <c r="N46" i="5"/>
  <c r="J46" i="5"/>
  <c r="F46" i="5"/>
  <c r="E45" i="5"/>
  <c r="Z38" i="5"/>
  <c r="V38" i="5"/>
  <c r="R38" i="5"/>
  <c r="N38" i="5"/>
  <c r="J38" i="5"/>
  <c r="F38" i="5"/>
  <c r="Z37" i="5"/>
  <c r="V37" i="5"/>
  <c r="R37" i="5"/>
  <c r="N37" i="5"/>
  <c r="J37" i="5"/>
  <c r="F37" i="5"/>
  <c r="E36" i="5"/>
  <c r="Z35" i="5"/>
  <c r="V35" i="5"/>
  <c r="R35" i="5"/>
  <c r="N35" i="5"/>
  <c r="E35" i="5" s="1"/>
  <c r="J35" i="5"/>
  <c r="F35" i="5"/>
  <c r="Z34" i="5"/>
  <c r="V34" i="5"/>
  <c r="R34" i="5"/>
  <c r="N34" i="5"/>
  <c r="J34" i="5"/>
  <c r="F34" i="5"/>
  <c r="E33" i="5"/>
  <c r="DZ59" i="5"/>
  <c r="Z32" i="5"/>
  <c r="V32" i="5"/>
  <c r="R32" i="5"/>
  <c r="N32" i="5"/>
  <c r="J32" i="5"/>
  <c r="E32" i="5" s="1"/>
  <c r="F32" i="5"/>
  <c r="Z31" i="5"/>
  <c r="V31" i="5"/>
  <c r="R31" i="5"/>
  <c r="N31" i="5"/>
  <c r="J31" i="5"/>
  <c r="F31" i="5"/>
  <c r="E30" i="5"/>
  <c r="EP29" i="5"/>
  <c r="EL29" i="5"/>
  <c r="EH29" i="5"/>
  <c r="ED29" i="5"/>
  <c r="DZ29" i="5"/>
  <c r="DV29" i="5"/>
  <c r="DR29" i="5"/>
  <c r="CT59" i="5"/>
  <c r="CP59" i="5"/>
  <c r="BN59" i="5"/>
  <c r="BJ29" i="5"/>
  <c r="BF29" i="5"/>
  <c r="BB29" i="5"/>
  <c r="AX29" i="5"/>
  <c r="AT29" i="5"/>
  <c r="AP29" i="5"/>
  <c r="AL29" i="5"/>
  <c r="AH29" i="5"/>
  <c r="AD29" i="5"/>
  <c r="Z29" i="5"/>
  <c r="V29" i="5"/>
  <c r="R29" i="5"/>
  <c r="N29" i="5"/>
  <c r="J29" i="5"/>
  <c r="F29" i="5"/>
  <c r="EP28" i="5"/>
  <c r="EL28" i="5"/>
  <c r="EH28" i="5"/>
  <c r="ED28" i="5"/>
  <c r="DZ28" i="5"/>
  <c r="DV28" i="5"/>
  <c r="DR28" i="5"/>
  <c r="DN28" i="5"/>
  <c r="DJ28" i="5"/>
  <c r="DF28" i="5"/>
  <c r="DB28" i="5"/>
  <c r="CX28" i="5"/>
  <c r="CT28" i="5"/>
  <c r="CP28" i="5"/>
  <c r="CL28" i="5"/>
  <c r="CH28" i="5"/>
  <c r="CD28" i="5"/>
  <c r="BZ28" i="5"/>
  <c r="BV28" i="5"/>
  <c r="BR28" i="5"/>
  <c r="BN28" i="5"/>
  <c r="BJ28" i="5"/>
  <c r="BF28" i="5"/>
  <c r="BB28" i="5"/>
  <c r="AX28" i="5"/>
  <c r="AT28" i="5"/>
  <c r="AP28" i="5"/>
  <c r="AL28" i="5"/>
  <c r="AH28" i="5"/>
  <c r="AD28" i="5"/>
  <c r="Z28" i="5"/>
  <c r="V28" i="5"/>
  <c r="R28" i="5"/>
  <c r="N28" i="5"/>
  <c r="J28" i="5"/>
  <c r="F28" i="5"/>
  <c r="E27" i="5"/>
  <c r="EP26" i="5"/>
  <c r="EL26" i="5"/>
  <c r="EH26" i="5"/>
  <c r="EH59" i="5" s="1"/>
  <c r="ED26" i="5"/>
  <c r="DZ26" i="5"/>
  <c r="BJ26" i="5"/>
  <c r="BF26" i="5"/>
  <c r="BB26" i="5"/>
  <c r="AX26" i="5"/>
  <c r="AT26" i="5"/>
  <c r="AP26" i="5"/>
  <c r="AL26" i="5"/>
  <c r="AH26" i="5"/>
  <c r="AD26" i="5"/>
  <c r="Z26" i="5"/>
  <c r="V26" i="5"/>
  <c r="R26" i="5"/>
  <c r="N26" i="5"/>
  <c r="J26" i="5"/>
  <c r="F26" i="5"/>
  <c r="EP25" i="5"/>
  <c r="EL25" i="5"/>
  <c r="EH25" i="5"/>
  <c r="ED25" i="5"/>
  <c r="DZ25" i="5"/>
  <c r="DV25" i="5"/>
  <c r="DR25" i="5"/>
  <c r="DN25" i="5"/>
  <c r="DN58" i="5" s="1"/>
  <c r="DJ25" i="5"/>
  <c r="DF25" i="5"/>
  <c r="DB25" i="5"/>
  <c r="CX25" i="5"/>
  <c r="CT25" i="5"/>
  <c r="CP25" i="5"/>
  <c r="CL25" i="5"/>
  <c r="CH25" i="5"/>
  <c r="CD25" i="5"/>
  <c r="BZ25" i="5"/>
  <c r="BV25" i="5"/>
  <c r="BR25" i="5"/>
  <c r="BN25" i="5"/>
  <c r="BJ25" i="5"/>
  <c r="BF25" i="5"/>
  <c r="BB25" i="5"/>
  <c r="AX25" i="5"/>
  <c r="AT25" i="5"/>
  <c r="AP25" i="5"/>
  <c r="AL25" i="5"/>
  <c r="AH25" i="5"/>
  <c r="AD25" i="5"/>
  <c r="Z25" i="5"/>
  <c r="V25" i="5"/>
  <c r="R25" i="5"/>
  <c r="N25" i="5"/>
  <c r="J25" i="5"/>
  <c r="F25" i="5"/>
  <c r="E24" i="5"/>
  <c r="EP23" i="5"/>
  <c r="EL23" i="5"/>
  <c r="EH23" i="5"/>
  <c r="ED23" i="5"/>
  <c r="DZ23" i="5"/>
  <c r="DV23" i="5"/>
  <c r="BJ23" i="5"/>
  <c r="BF23" i="5"/>
  <c r="BB23" i="5"/>
  <c r="BB59" i="5" s="1"/>
  <c r="AX23" i="5"/>
  <c r="AX59" i="5" s="1"/>
  <c r="AT23" i="5"/>
  <c r="AT59" i="5" s="1"/>
  <c r="AP23" i="5"/>
  <c r="AL23" i="5"/>
  <c r="AL59" i="5" s="1"/>
  <c r="AH23" i="5"/>
  <c r="AH59" i="5" s="1"/>
  <c r="AD23" i="5"/>
  <c r="Z23" i="5"/>
  <c r="V23" i="5"/>
  <c r="R23" i="5"/>
  <c r="N23" i="5"/>
  <c r="J23" i="5"/>
  <c r="F23" i="5"/>
  <c r="EP22" i="5"/>
  <c r="EL22" i="5"/>
  <c r="EH22" i="5"/>
  <c r="ED22" i="5"/>
  <c r="DZ22" i="5"/>
  <c r="DV22" i="5"/>
  <c r="DV58" i="5" s="1"/>
  <c r="DR22" i="5"/>
  <c r="DN22" i="5"/>
  <c r="DJ22" i="5"/>
  <c r="DF22" i="5"/>
  <c r="DB22" i="5"/>
  <c r="CX22" i="5"/>
  <c r="CT22" i="5"/>
  <c r="CT58" i="5" s="1"/>
  <c r="CP22" i="5"/>
  <c r="CP58" i="5" s="1"/>
  <c r="CL22" i="5"/>
  <c r="CH22" i="5"/>
  <c r="CD22" i="5"/>
  <c r="BZ22" i="5"/>
  <c r="BV22" i="5"/>
  <c r="BR22" i="5"/>
  <c r="BN22" i="5"/>
  <c r="BN58" i="5" s="1"/>
  <c r="BJ22" i="5"/>
  <c r="BJ58" i="5" s="1"/>
  <c r="BF22" i="5"/>
  <c r="BB22" i="5"/>
  <c r="AX22" i="5"/>
  <c r="AT22" i="5"/>
  <c r="AP22" i="5"/>
  <c r="AL22" i="5"/>
  <c r="AH22" i="5"/>
  <c r="AH58" i="5" s="1"/>
  <c r="AD22" i="5"/>
  <c r="Z22" i="5"/>
  <c r="V22" i="5"/>
  <c r="R22" i="5"/>
  <c r="N22" i="5"/>
  <c r="J22" i="5"/>
  <c r="F22" i="5"/>
  <c r="E21" i="5"/>
  <c r="BB82" i="3"/>
  <c r="BF82" i="3"/>
  <c r="BJ82" i="3"/>
  <c r="BN82" i="3"/>
  <c r="BR82" i="3"/>
  <c r="BV82" i="3"/>
  <c r="BZ82" i="3"/>
  <c r="CD82" i="3"/>
  <c r="CH82" i="3"/>
  <c r="CL82" i="3"/>
  <c r="CP82" i="3"/>
  <c r="CT82" i="3"/>
  <c r="CX82" i="3"/>
  <c r="DB82" i="3"/>
  <c r="DF82" i="3"/>
  <c r="DJ82" i="3"/>
  <c r="DN82" i="3"/>
  <c r="DN79" i="3"/>
  <c r="DJ79" i="3"/>
  <c r="DF79" i="3"/>
  <c r="DB79" i="3"/>
  <c r="CX79" i="3"/>
  <c r="CT79" i="3"/>
  <c r="CP79" i="3"/>
  <c r="CL79" i="3"/>
  <c r="CH79" i="3"/>
  <c r="CD79" i="3"/>
  <c r="BZ79" i="3"/>
  <c r="BV79" i="3"/>
  <c r="BR79" i="3"/>
  <c r="BN79" i="3"/>
  <c r="BJ79" i="3"/>
  <c r="BF79" i="3"/>
  <c r="BB79" i="3"/>
  <c r="DN76" i="3"/>
  <c r="DJ76" i="3"/>
  <c r="DF76" i="3"/>
  <c r="DB76" i="3"/>
  <c r="CX76" i="3"/>
  <c r="CT76" i="3"/>
  <c r="CP76" i="3"/>
  <c r="CL76" i="3"/>
  <c r="CH76" i="3"/>
  <c r="CD76" i="3"/>
  <c r="BZ76" i="3"/>
  <c r="BV76" i="3"/>
  <c r="BR76" i="3"/>
  <c r="BN76" i="3"/>
  <c r="BJ76" i="3"/>
  <c r="BF76" i="3"/>
  <c r="BB76" i="3"/>
  <c r="DN73" i="3"/>
  <c r="DJ73" i="3"/>
  <c r="DF73" i="3"/>
  <c r="DB73" i="3"/>
  <c r="CX73" i="3"/>
  <c r="CT73" i="3"/>
  <c r="CP73" i="3"/>
  <c r="CL73" i="3"/>
  <c r="CH73" i="3"/>
  <c r="CD73" i="3"/>
  <c r="BZ73" i="3"/>
  <c r="BV73" i="3"/>
  <c r="BR73" i="3"/>
  <c r="BN73" i="3"/>
  <c r="BJ73" i="3"/>
  <c r="BF73" i="3"/>
  <c r="BB73" i="3"/>
  <c r="DN70" i="3"/>
  <c r="DJ70" i="3"/>
  <c r="DF70" i="3"/>
  <c r="DB70" i="3"/>
  <c r="CX70" i="3"/>
  <c r="CT70" i="3"/>
  <c r="CP70" i="3"/>
  <c r="CL70" i="3"/>
  <c r="CH70" i="3"/>
  <c r="CD70" i="3"/>
  <c r="BZ70" i="3"/>
  <c r="BV70" i="3"/>
  <c r="BR70" i="3"/>
  <c r="BN70" i="3"/>
  <c r="BJ70" i="3"/>
  <c r="BF70" i="3"/>
  <c r="BB70" i="3"/>
  <c r="BB67" i="3"/>
  <c r="BF67" i="3"/>
  <c r="BJ67" i="3"/>
  <c r="BN67" i="3"/>
  <c r="BR67" i="3"/>
  <c r="BV67" i="3"/>
  <c r="BZ67" i="3"/>
  <c r="CD67" i="3"/>
  <c r="CH67" i="3"/>
  <c r="CL67" i="3"/>
  <c r="CP67" i="3"/>
  <c r="CT67" i="3"/>
  <c r="CX67" i="3"/>
  <c r="DB67" i="3"/>
  <c r="DF67" i="3"/>
  <c r="DJ67" i="3"/>
  <c r="DN67" i="3"/>
  <c r="DN81" i="3"/>
  <c r="DJ81" i="3"/>
  <c r="DF81" i="3"/>
  <c r="DB81" i="3"/>
  <c r="CX81" i="3"/>
  <c r="CT81" i="3"/>
  <c r="CP81" i="3"/>
  <c r="CL81" i="3"/>
  <c r="CH81" i="3"/>
  <c r="CD81" i="3"/>
  <c r="BZ81" i="3"/>
  <c r="BV81" i="3"/>
  <c r="BR81" i="3"/>
  <c r="BN81" i="3"/>
  <c r="BJ81" i="3"/>
  <c r="BF81" i="3"/>
  <c r="BB81" i="3"/>
  <c r="DN78" i="3"/>
  <c r="DJ78" i="3"/>
  <c r="DF78" i="3"/>
  <c r="DB78" i="3"/>
  <c r="CX78" i="3"/>
  <c r="CT78" i="3"/>
  <c r="CP78" i="3"/>
  <c r="CL78" i="3"/>
  <c r="CH78" i="3"/>
  <c r="CD78" i="3"/>
  <c r="BZ78" i="3"/>
  <c r="BV78" i="3"/>
  <c r="BR78" i="3"/>
  <c r="BN78" i="3"/>
  <c r="BJ78" i="3"/>
  <c r="BF78" i="3"/>
  <c r="BB78" i="3"/>
  <c r="DN75" i="3"/>
  <c r="DJ75" i="3"/>
  <c r="DF75" i="3"/>
  <c r="DB75" i="3"/>
  <c r="CX75" i="3"/>
  <c r="CT75" i="3"/>
  <c r="CP75" i="3"/>
  <c r="CL75" i="3"/>
  <c r="CH75" i="3"/>
  <c r="CD75" i="3"/>
  <c r="BZ75" i="3"/>
  <c r="BV75" i="3"/>
  <c r="BR75" i="3"/>
  <c r="BN75" i="3"/>
  <c r="BJ75" i="3"/>
  <c r="BF75" i="3"/>
  <c r="BB75" i="3"/>
  <c r="DN72" i="3"/>
  <c r="DJ72" i="3"/>
  <c r="DF72" i="3"/>
  <c r="DB72" i="3"/>
  <c r="CX72" i="3"/>
  <c r="CT72" i="3"/>
  <c r="CP72" i="3"/>
  <c r="CL72" i="3"/>
  <c r="CH72" i="3"/>
  <c r="CD72" i="3"/>
  <c r="BZ72" i="3"/>
  <c r="BV72" i="3"/>
  <c r="BR72" i="3"/>
  <c r="BN72" i="3"/>
  <c r="BJ72" i="3"/>
  <c r="BF72" i="3"/>
  <c r="BB72" i="3"/>
  <c r="DN69" i="3"/>
  <c r="DJ69" i="3"/>
  <c r="DF69" i="3"/>
  <c r="DB69" i="3"/>
  <c r="CX69" i="3"/>
  <c r="CT69" i="3"/>
  <c r="CP69" i="3"/>
  <c r="CL69" i="3"/>
  <c r="CH69" i="3"/>
  <c r="CD69" i="3"/>
  <c r="BZ69" i="3"/>
  <c r="BV69" i="3"/>
  <c r="BR69" i="3"/>
  <c r="BN69" i="3"/>
  <c r="BJ69" i="3"/>
  <c r="BF69" i="3"/>
  <c r="BB69" i="3"/>
  <c r="BB66" i="3"/>
  <c r="BF66" i="3"/>
  <c r="BJ66" i="3"/>
  <c r="BN66" i="3"/>
  <c r="BR66" i="3"/>
  <c r="BV66" i="3"/>
  <c r="BZ66" i="3"/>
  <c r="CD66" i="3"/>
  <c r="CH66" i="3"/>
  <c r="CL66" i="3"/>
  <c r="CP66" i="3"/>
  <c r="CT66" i="3"/>
  <c r="CX66" i="3"/>
  <c r="DB66" i="3"/>
  <c r="DF66" i="3"/>
  <c r="DJ66" i="3"/>
  <c r="DN66" i="3"/>
  <c r="BJ32" i="3"/>
  <c r="BN32" i="3"/>
  <c r="BR32" i="3"/>
  <c r="BV32" i="3"/>
  <c r="BZ32" i="3"/>
  <c r="CD32" i="3"/>
  <c r="CH32" i="3"/>
  <c r="CL32" i="3"/>
  <c r="CP32" i="3"/>
  <c r="CT32" i="3"/>
  <c r="CX32" i="3"/>
  <c r="DB32" i="3"/>
  <c r="DF32" i="3"/>
  <c r="DJ32" i="3"/>
  <c r="DN32" i="3"/>
  <c r="DR32" i="3"/>
  <c r="DV32" i="3"/>
  <c r="DZ32" i="3"/>
  <c r="ED32" i="3"/>
  <c r="EH32" i="3"/>
  <c r="EL32" i="3"/>
  <c r="EP32" i="3"/>
  <c r="EP31" i="3"/>
  <c r="EL31" i="3"/>
  <c r="EH31" i="3"/>
  <c r="ED31" i="3"/>
  <c r="DZ31" i="3"/>
  <c r="DV31" i="3"/>
  <c r="DR31" i="3"/>
  <c r="DN31" i="3"/>
  <c r="DJ31" i="3"/>
  <c r="DF31" i="3"/>
  <c r="DB31" i="3"/>
  <c r="CX31" i="3"/>
  <c r="CT31" i="3"/>
  <c r="CP31" i="3"/>
  <c r="CL31" i="3"/>
  <c r="CH31" i="3"/>
  <c r="CD31" i="3"/>
  <c r="BZ31" i="3"/>
  <c r="BV31" i="3"/>
  <c r="BR31" i="3"/>
  <c r="BN31" i="3"/>
  <c r="BJ31" i="3"/>
  <c r="EP25" i="3"/>
  <c r="EL25" i="3"/>
  <c r="EH25" i="3"/>
  <c r="ED25" i="3"/>
  <c r="DZ25" i="3"/>
  <c r="DV25" i="3"/>
  <c r="DR25" i="3"/>
  <c r="DN25" i="3"/>
  <c r="DJ25" i="3"/>
  <c r="DF25" i="3"/>
  <c r="DB25" i="3"/>
  <c r="CX25" i="3"/>
  <c r="CT25" i="3"/>
  <c r="CP25" i="3"/>
  <c r="CL25" i="3"/>
  <c r="CH25" i="3"/>
  <c r="CD25" i="3"/>
  <c r="BZ25" i="3"/>
  <c r="BV25" i="3"/>
  <c r="BR25" i="3"/>
  <c r="BN25" i="3"/>
  <c r="BJ25" i="3"/>
  <c r="BJ22" i="3"/>
  <c r="BN22" i="3"/>
  <c r="BR22" i="3"/>
  <c r="BV22" i="3"/>
  <c r="BZ22" i="3"/>
  <c r="CD22" i="3"/>
  <c r="CH22" i="3"/>
  <c r="CL22" i="3"/>
  <c r="CP22" i="3"/>
  <c r="CT22" i="3"/>
  <c r="CX22" i="3"/>
  <c r="DB22" i="3"/>
  <c r="DF22" i="3"/>
  <c r="DJ22" i="3"/>
  <c r="DN22" i="3"/>
  <c r="DR22" i="3"/>
  <c r="DV22" i="3"/>
  <c r="DZ22" i="3"/>
  <c r="ED22" i="3"/>
  <c r="EH22" i="3"/>
  <c r="EL22" i="3"/>
  <c r="EP22" i="3"/>
  <c r="E29" i="3" l="1"/>
  <c r="AL58" i="5"/>
  <c r="BR58" i="5"/>
  <c r="CX58" i="5"/>
  <c r="CH58" i="5"/>
  <c r="Z58" i="5"/>
  <c r="BF58" i="5"/>
  <c r="CL58" i="5"/>
  <c r="DR58" i="5"/>
  <c r="BV58" i="5"/>
  <c r="DB58" i="5"/>
  <c r="BB58" i="5"/>
  <c r="E52" i="5"/>
  <c r="AT58" i="5"/>
  <c r="BZ58" i="5"/>
  <c r="DF58" i="5"/>
  <c r="AP58" i="5"/>
  <c r="E47" i="5"/>
  <c r="AP59" i="5"/>
  <c r="ED59" i="5"/>
  <c r="E46" i="5"/>
  <c r="J151" i="5"/>
  <c r="AP151" i="5"/>
  <c r="BV151" i="5"/>
  <c r="DB151" i="5"/>
  <c r="EH151" i="5"/>
  <c r="Z155" i="5"/>
  <c r="Z12" i="5" s="1"/>
  <c r="ED148" i="5"/>
  <c r="AD155" i="5"/>
  <c r="AD12" i="5" s="1"/>
  <c r="BJ155" i="5"/>
  <c r="BJ12" i="5" s="1"/>
  <c r="CP155" i="5"/>
  <c r="CP12" i="5" s="1"/>
  <c r="AT155" i="5"/>
  <c r="AT12" i="5" s="1"/>
  <c r="BZ155" i="5"/>
  <c r="BZ12" i="5" s="1"/>
  <c r="DF155" i="5"/>
  <c r="DF12" i="5" s="1"/>
  <c r="AX155" i="5"/>
  <c r="AX12" i="5" s="1"/>
  <c r="CD155" i="5"/>
  <c r="CD12" i="5" s="1"/>
  <c r="DJ155" i="5"/>
  <c r="DJ12" i="5" s="1"/>
  <c r="V155" i="5"/>
  <c r="V12" i="5" s="1"/>
  <c r="AH155" i="5"/>
  <c r="AH12" i="5" s="1"/>
  <c r="BN155" i="5"/>
  <c r="BN12" i="5" s="1"/>
  <c r="CT155" i="5"/>
  <c r="CT12" i="5" s="1"/>
  <c r="R59" i="5"/>
  <c r="V59" i="5"/>
  <c r="BF155" i="5"/>
  <c r="BF12" i="5" s="1"/>
  <c r="CL155" i="5"/>
  <c r="CL12" i="5" s="1"/>
  <c r="E76" i="5"/>
  <c r="E72" i="5"/>
  <c r="E37" i="5"/>
  <c r="ED58" i="5"/>
  <c r="E34" i="5"/>
  <c r="V58" i="5"/>
  <c r="J58" i="5"/>
  <c r="EH58" i="5"/>
  <c r="E31" i="5"/>
  <c r="AD58" i="5"/>
  <c r="N58" i="5"/>
  <c r="EL58" i="5"/>
  <c r="EP135" i="5"/>
  <c r="CD59" i="5"/>
  <c r="DV59" i="5"/>
  <c r="Z59" i="5"/>
  <c r="CH59" i="5"/>
  <c r="EP59" i="5"/>
  <c r="DZ155" i="5"/>
  <c r="DZ12" i="5" s="1"/>
  <c r="DZ58" i="5"/>
  <c r="DZ79" i="5"/>
  <c r="ED124" i="5"/>
  <c r="DV129" i="5"/>
  <c r="DZ138" i="5"/>
  <c r="J138" i="5"/>
  <c r="DR132" i="5"/>
  <c r="R136" i="5"/>
  <c r="DV133" i="5"/>
  <c r="DR72" i="5"/>
  <c r="DR67" i="5"/>
  <c r="E75" i="5"/>
  <c r="DV115" i="5"/>
  <c r="ED93" i="5"/>
  <c r="J123" i="5"/>
  <c r="DZ129" i="5"/>
  <c r="E70" i="5"/>
  <c r="J155" i="5"/>
  <c r="J12" i="5" s="1"/>
  <c r="ED121" i="5"/>
  <c r="DZ124" i="5"/>
  <c r="ED126" i="5"/>
  <c r="EL127" i="5"/>
  <c r="ED129" i="5"/>
  <c r="DZ133" i="5"/>
  <c r="DR136" i="5"/>
  <c r="AP155" i="5"/>
  <c r="AP12" i="5" s="1"/>
  <c r="BV155" i="5"/>
  <c r="BV12" i="5" s="1"/>
  <c r="DB155" i="5"/>
  <c r="DB12" i="5" s="1"/>
  <c r="E73" i="5"/>
  <c r="EH141" i="5"/>
  <c r="EL111" i="5"/>
  <c r="DR155" i="5"/>
  <c r="E67" i="5"/>
  <c r="EH124" i="5"/>
  <c r="EL141" i="5"/>
  <c r="DR142" i="5"/>
  <c r="DZ84" i="5"/>
  <c r="V142" i="5"/>
  <c r="EH121" i="5"/>
  <c r="Z123" i="5"/>
  <c r="EP127" i="5"/>
  <c r="Z144" i="5"/>
  <c r="EP106" i="5"/>
  <c r="E91" i="5"/>
  <c r="EP91" i="5"/>
  <c r="EL155" i="5"/>
  <c r="EL12" i="5" s="1"/>
  <c r="DV66" i="5"/>
  <c r="E69" i="5"/>
  <c r="DR78" i="5"/>
  <c r="F81" i="5"/>
  <c r="EL82" i="5"/>
  <c r="EL117" i="5"/>
  <c r="E122" i="5"/>
  <c r="E125" i="5"/>
  <c r="E134" i="5"/>
  <c r="EL136" i="5"/>
  <c r="AD138" i="5"/>
  <c r="ED138" i="5"/>
  <c r="AD142" i="5"/>
  <c r="DV142" i="5"/>
  <c r="AD144" i="5"/>
  <c r="DR147" i="5"/>
  <c r="DN150" i="5"/>
  <c r="EP153" i="5"/>
  <c r="DV72" i="5"/>
  <c r="EL73" i="5"/>
  <c r="F114" i="5"/>
  <c r="E114" i="5" s="1"/>
  <c r="J105" i="5"/>
  <c r="E105" i="5" s="1"/>
  <c r="E107" i="5"/>
  <c r="N87" i="5"/>
  <c r="DR117" i="5"/>
  <c r="DR12" i="5"/>
  <c r="EP82" i="5"/>
  <c r="EP117" i="5"/>
  <c r="EH130" i="5"/>
  <c r="EH138" i="5"/>
  <c r="DZ142" i="5"/>
  <c r="DZ148" i="5"/>
  <c r="DV151" i="5"/>
  <c r="DR154" i="5"/>
  <c r="DZ72" i="5"/>
  <c r="E74" i="5"/>
  <c r="EL115" i="5"/>
  <c r="EP111" i="5"/>
  <c r="DV109" i="5"/>
  <c r="EL84" i="5"/>
  <c r="DV94" i="5"/>
  <c r="EL96" i="5"/>
  <c r="DV120" i="5"/>
  <c r="E131" i="5"/>
  <c r="F133" i="5"/>
  <c r="DZ145" i="5"/>
  <c r="CX148" i="5"/>
  <c r="EP115" i="5"/>
  <c r="DV102" i="5"/>
  <c r="DZ109" i="5"/>
  <c r="F93" i="5"/>
  <c r="E93" i="5" s="1"/>
  <c r="EL94" i="5"/>
  <c r="EP96" i="5"/>
  <c r="E66" i="5"/>
  <c r="DZ81" i="5"/>
  <c r="R155" i="5"/>
  <c r="R12" i="5" s="1"/>
  <c r="N124" i="5"/>
  <c r="Z133" i="5"/>
  <c r="V135" i="5"/>
  <c r="R139" i="5"/>
  <c r="J141" i="5"/>
  <c r="ED145" i="5"/>
  <c r="ED114" i="5"/>
  <c r="EH105" i="5"/>
  <c r="EL109" i="5"/>
  <c r="EL87" i="5"/>
  <c r="DR90" i="5"/>
  <c r="EP94" i="5"/>
  <c r="DV99" i="5"/>
  <c r="ED81" i="5"/>
  <c r="N117" i="5"/>
  <c r="E117" i="5" s="1"/>
  <c r="DV124" i="5"/>
  <c r="ED135" i="5"/>
  <c r="V139" i="5"/>
  <c r="EL139" i="5"/>
  <c r="N141" i="5"/>
  <c r="E149" i="5"/>
  <c r="ED76" i="5"/>
  <c r="DR112" i="5"/>
  <c r="DR85" i="5"/>
  <c r="EL69" i="5"/>
  <c r="ED79" i="5"/>
  <c r="DV118" i="5"/>
  <c r="DR75" i="5"/>
  <c r="EP76" i="5"/>
  <c r="N111" i="5"/>
  <c r="DV112" i="5"/>
  <c r="EH103" i="5"/>
  <c r="DR97" i="5"/>
  <c r="V144" i="5"/>
  <c r="E152" i="5"/>
  <c r="EP108" i="5"/>
  <c r="E86" i="5"/>
  <c r="DR88" i="5"/>
  <c r="ED91" i="5"/>
  <c r="N96" i="5"/>
  <c r="DV97" i="5"/>
  <c r="EH100" i="5"/>
  <c r="E22" i="5"/>
  <c r="E28" i="5"/>
  <c r="E25" i="5"/>
  <c r="E29" i="5"/>
  <c r="BR59" i="5"/>
  <c r="CX59" i="5"/>
  <c r="E38" i="5"/>
  <c r="F58" i="5"/>
  <c r="F59" i="5"/>
  <c r="N59" i="5"/>
  <c r="BZ59" i="5"/>
  <c r="DF59" i="5"/>
  <c r="J59" i="5"/>
  <c r="E23" i="5"/>
  <c r="E50" i="5"/>
  <c r="E57" i="5"/>
  <c r="DN59" i="5"/>
  <c r="EL59" i="5"/>
  <c r="EL67" i="5"/>
  <c r="R58" i="5"/>
  <c r="AX58" i="5"/>
  <c r="EP58" i="5"/>
  <c r="BJ59" i="5"/>
  <c r="E65" i="5"/>
  <c r="N155" i="5"/>
  <c r="N12" i="5" s="1"/>
  <c r="N78" i="5"/>
  <c r="F155" i="5"/>
  <c r="F78" i="5"/>
  <c r="E26" i="5"/>
  <c r="CD58" i="5"/>
  <c r="DJ58" i="5"/>
  <c r="AD59" i="5"/>
  <c r="DZ66" i="5"/>
  <c r="DV69" i="5"/>
  <c r="DV70" i="5"/>
  <c r="EL66" i="5"/>
  <c r="DR59" i="5"/>
  <c r="CL59" i="5"/>
  <c r="EH69" i="5"/>
  <c r="DZ67" i="5"/>
  <c r="BF59" i="5"/>
  <c r="ED155" i="5"/>
  <c r="ED12" i="5" s="1"/>
  <c r="ED66" i="5"/>
  <c r="ED67" i="5"/>
  <c r="DZ70" i="5"/>
  <c r="EL79" i="5"/>
  <c r="EH155" i="5"/>
  <c r="EH12" i="5" s="1"/>
  <c r="EH66" i="5"/>
  <c r="EH67" i="5"/>
  <c r="E77" i="5"/>
  <c r="EH78" i="5"/>
  <c r="EH79" i="5"/>
  <c r="F79" i="5"/>
  <c r="N82" i="5"/>
  <c r="E82" i="5" s="1"/>
  <c r="EP155" i="5"/>
  <c r="EP12" i="5" s="1"/>
  <c r="EP67" i="5"/>
  <c r="E68" i="5"/>
  <c r="N79" i="5"/>
  <c r="J121" i="5"/>
  <c r="DR123" i="5"/>
  <c r="F124" i="5"/>
  <c r="EH126" i="5"/>
  <c r="DR129" i="5"/>
  <c r="V132" i="5"/>
  <c r="EP132" i="5"/>
  <c r="N135" i="5"/>
  <c r="EH135" i="5"/>
  <c r="N139" i="5"/>
  <c r="Z142" i="5"/>
  <c r="J145" i="5"/>
  <c r="EP69" i="5"/>
  <c r="DV78" i="5"/>
  <c r="J79" i="5"/>
  <c r="J81" i="5"/>
  <c r="EH81" i="5"/>
  <c r="E116" i="5"/>
  <c r="DZ118" i="5"/>
  <c r="DZ120" i="5"/>
  <c r="N121" i="5"/>
  <c r="EL121" i="5"/>
  <c r="E128" i="5"/>
  <c r="Z136" i="5"/>
  <c r="E137" i="5"/>
  <c r="F138" i="5"/>
  <c r="EP139" i="5"/>
  <c r="N144" i="5"/>
  <c r="N145" i="5"/>
  <c r="EL144" i="5"/>
  <c r="EL145" i="5"/>
  <c r="DR82" i="5"/>
  <c r="F118" i="5"/>
  <c r="ED118" i="5"/>
  <c r="F120" i="5"/>
  <c r="E120" i="5" s="1"/>
  <c r="EP121" i="5"/>
  <c r="F141" i="5"/>
  <c r="E140" i="5"/>
  <c r="EP141" i="5"/>
  <c r="R144" i="5"/>
  <c r="R145" i="5"/>
  <c r="EP144" i="5"/>
  <c r="EP145" i="5"/>
  <c r="DR69" i="5"/>
  <c r="ED70" i="5"/>
  <c r="EP79" i="5"/>
  <c r="DV82" i="5"/>
  <c r="J118" i="5"/>
  <c r="EH118" i="5"/>
  <c r="R124" i="5"/>
  <c r="EL124" i="5"/>
  <c r="DV127" i="5"/>
  <c r="EL130" i="5"/>
  <c r="J133" i="5"/>
  <c r="ED133" i="5"/>
  <c r="DV136" i="5"/>
  <c r="Z139" i="5"/>
  <c r="DR139" i="5"/>
  <c r="R141" i="5"/>
  <c r="ED142" i="5"/>
  <c r="J78" i="5"/>
  <c r="E80" i="5"/>
  <c r="DR121" i="5"/>
  <c r="V124" i="5"/>
  <c r="EP124" i="5"/>
  <c r="DR126" i="5"/>
  <c r="DZ127" i="5"/>
  <c r="EP130" i="5"/>
  <c r="F132" i="5"/>
  <c r="N133" i="5"/>
  <c r="EH133" i="5"/>
  <c r="F136" i="5"/>
  <c r="DZ136" i="5"/>
  <c r="AD139" i="5"/>
  <c r="DV139" i="5"/>
  <c r="F142" i="5"/>
  <c r="EH145" i="5"/>
  <c r="DV155" i="5"/>
  <c r="DV12" i="5" s="1"/>
  <c r="R123" i="5"/>
  <c r="Z124" i="5"/>
  <c r="R133" i="5"/>
  <c r="EL133" i="5"/>
  <c r="J136" i="5"/>
  <c r="E146" i="5"/>
  <c r="E119" i="5"/>
  <c r="V123" i="5"/>
  <c r="N136" i="5"/>
  <c r="E143" i="5"/>
  <c r="F145" i="5"/>
  <c r="AD147" i="5"/>
  <c r="BJ147" i="5"/>
  <c r="CP147" i="5"/>
  <c r="DV147" i="5"/>
  <c r="F148" i="5"/>
  <c r="AL148" i="5"/>
  <c r="BR148" i="5"/>
  <c r="AD154" i="5"/>
  <c r="BJ154" i="5"/>
  <c r="CP154" i="5"/>
  <c r="DV154" i="5"/>
  <c r="J112" i="5"/>
  <c r="E112" i="5" s="1"/>
  <c r="EH112" i="5"/>
  <c r="J102" i="5"/>
  <c r="E104" i="5"/>
  <c r="DZ106" i="5"/>
  <c r="N109" i="5"/>
  <c r="E109" i="5" s="1"/>
  <c r="N84" i="5"/>
  <c r="E84" i="5" s="1"/>
  <c r="F88" i="5"/>
  <c r="ED88" i="5"/>
  <c r="F90" i="5"/>
  <c r="J97" i="5"/>
  <c r="E97" i="5" s="1"/>
  <c r="EH97" i="5"/>
  <c r="J99" i="5"/>
  <c r="AH147" i="5"/>
  <c r="BN147" i="5"/>
  <c r="CT147" i="5"/>
  <c r="DZ147" i="5"/>
  <c r="J148" i="5"/>
  <c r="AP148" i="5"/>
  <c r="BV148" i="5"/>
  <c r="DB148" i="5"/>
  <c r="EH148" i="5"/>
  <c r="AD150" i="5"/>
  <c r="BJ150" i="5"/>
  <c r="CP150" i="5"/>
  <c r="DV150" i="5"/>
  <c r="F151" i="5"/>
  <c r="AL151" i="5"/>
  <c r="BR151" i="5"/>
  <c r="CX151" i="5"/>
  <c r="ED151" i="5"/>
  <c r="Z153" i="5"/>
  <c r="BF153" i="5"/>
  <c r="CL153" i="5"/>
  <c r="DR153" i="5"/>
  <c r="AH154" i="5"/>
  <c r="BN154" i="5"/>
  <c r="CT154" i="5"/>
  <c r="DZ154" i="5"/>
  <c r="EP72" i="5"/>
  <c r="EH75" i="5"/>
  <c r="E113" i="5"/>
  <c r="DZ115" i="5"/>
  <c r="DZ111" i="5"/>
  <c r="N102" i="5"/>
  <c r="EL102" i="5"/>
  <c r="DR103" i="5"/>
  <c r="DR105" i="5"/>
  <c r="F106" i="5"/>
  <c r="ED106" i="5"/>
  <c r="F108" i="5"/>
  <c r="ED108" i="5"/>
  <c r="EP84" i="5"/>
  <c r="DV85" i="5"/>
  <c r="DV87" i="5"/>
  <c r="J88" i="5"/>
  <c r="EH88" i="5"/>
  <c r="J90" i="5"/>
  <c r="EH90" i="5"/>
  <c r="E92" i="5"/>
  <c r="DZ94" i="5"/>
  <c r="DZ96" i="5"/>
  <c r="N99" i="5"/>
  <c r="EL99" i="5"/>
  <c r="DR100" i="5"/>
  <c r="F147" i="5"/>
  <c r="AL147" i="5"/>
  <c r="BR147" i="5"/>
  <c r="CX147" i="5"/>
  <c r="ED147" i="5"/>
  <c r="N148" i="5"/>
  <c r="AT148" i="5"/>
  <c r="BZ148" i="5"/>
  <c r="DF148" i="5"/>
  <c r="EL148" i="5"/>
  <c r="AH150" i="5"/>
  <c r="BN150" i="5"/>
  <c r="CT150" i="5"/>
  <c r="DZ150" i="5"/>
  <c r="AD153" i="5"/>
  <c r="BJ153" i="5"/>
  <c r="CP153" i="5"/>
  <c r="DV153" i="5"/>
  <c r="F154" i="5"/>
  <c r="AL154" i="5"/>
  <c r="BR154" i="5"/>
  <c r="CX154" i="5"/>
  <c r="ED154" i="5"/>
  <c r="EL75" i="5"/>
  <c r="DR76" i="5"/>
  <c r="DR114" i="5"/>
  <c r="F111" i="5"/>
  <c r="ED111" i="5"/>
  <c r="EP102" i="5"/>
  <c r="DV105" i="5"/>
  <c r="J108" i="5"/>
  <c r="EH108" i="5"/>
  <c r="E83" i="5"/>
  <c r="DZ87" i="5"/>
  <c r="N90" i="5"/>
  <c r="EL90" i="5"/>
  <c r="DR93" i="5"/>
  <c r="F96" i="5"/>
  <c r="ED96" i="5"/>
  <c r="EP99" i="5"/>
  <c r="J147" i="5"/>
  <c r="AP147" i="5"/>
  <c r="BV147" i="5"/>
  <c r="DB147" i="5"/>
  <c r="EH147" i="5"/>
  <c r="R148" i="5"/>
  <c r="AX148" i="5"/>
  <c r="CD148" i="5"/>
  <c r="DJ148" i="5"/>
  <c r="EP148" i="5"/>
  <c r="F150" i="5"/>
  <c r="AL150" i="5"/>
  <c r="BR150" i="5"/>
  <c r="CX150" i="5"/>
  <c r="ED150" i="5"/>
  <c r="N151" i="5"/>
  <c r="AT151" i="5"/>
  <c r="BZ151" i="5"/>
  <c r="DF151" i="5"/>
  <c r="EL151" i="5"/>
  <c r="AH153" i="5"/>
  <c r="BN153" i="5"/>
  <c r="CT153" i="5"/>
  <c r="DZ153" i="5"/>
  <c r="J154" i="5"/>
  <c r="AP154" i="5"/>
  <c r="BV154" i="5"/>
  <c r="DB154" i="5"/>
  <c r="EH154" i="5"/>
  <c r="ED73" i="5"/>
  <c r="DV76" i="5"/>
  <c r="J115" i="5"/>
  <c r="EH115" i="5"/>
  <c r="E101" i="5"/>
  <c r="DZ103" i="5"/>
  <c r="N106" i="5"/>
  <c r="EL106" i="5"/>
  <c r="DR109" i="5"/>
  <c r="F85" i="5"/>
  <c r="ED85" i="5"/>
  <c r="F87" i="5"/>
  <c r="EP88" i="5"/>
  <c r="DV91" i="5"/>
  <c r="J94" i="5"/>
  <c r="EH94" i="5"/>
  <c r="E98" i="5"/>
  <c r="DZ100" i="5"/>
  <c r="N147" i="5"/>
  <c r="AT147" i="5"/>
  <c r="BZ147" i="5"/>
  <c r="DF147" i="5"/>
  <c r="EL147" i="5"/>
  <c r="V148" i="5"/>
  <c r="BB148" i="5"/>
  <c r="CH148" i="5"/>
  <c r="DN148" i="5"/>
  <c r="J150" i="5"/>
  <c r="AP150" i="5"/>
  <c r="BV150" i="5"/>
  <c r="DB150" i="5"/>
  <c r="EH150" i="5"/>
  <c r="R151" i="5"/>
  <c r="AX151" i="5"/>
  <c r="CD151" i="5"/>
  <c r="DJ151" i="5"/>
  <c r="EP151" i="5"/>
  <c r="F153" i="5"/>
  <c r="AL153" i="5"/>
  <c r="BR153" i="5"/>
  <c r="CX153" i="5"/>
  <c r="ED153" i="5"/>
  <c r="N154" i="5"/>
  <c r="AT154" i="5"/>
  <c r="BZ154" i="5"/>
  <c r="DF154" i="5"/>
  <c r="EL154" i="5"/>
  <c r="EH73" i="5"/>
  <c r="DZ76" i="5"/>
  <c r="N115" i="5"/>
  <c r="F103" i="5"/>
  <c r="E103" i="5" s="1"/>
  <c r="ED103" i="5"/>
  <c r="J85" i="5"/>
  <c r="EH85" i="5"/>
  <c r="E89" i="5"/>
  <c r="DZ91" i="5"/>
  <c r="N94" i="5"/>
  <c r="F100" i="5"/>
  <c r="E100" i="5" s="1"/>
  <c r="ED100" i="5"/>
  <c r="R147" i="5"/>
  <c r="AX147" i="5"/>
  <c r="CD147" i="5"/>
  <c r="DJ147" i="5"/>
  <c r="EP147" i="5"/>
  <c r="Z148" i="5"/>
  <c r="BF148" i="5"/>
  <c r="CL148" i="5"/>
  <c r="DR148" i="5"/>
  <c r="N150" i="5"/>
  <c r="AT150" i="5"/>
  <c r="BZ150" i="5"/>
  <c r="DF150" i="5"/>
  <c r="EL150" i="5"/>
  <c r="V151" i="5"/>
  <c r="BB151" i="5"/>
  <c r="CH151" i="5"/>
  <c r="DN151" i="5"/>
  <c r="J153" i="5"/>
  <c r="AP153" i="5"/>
  <c r="BV153" i="5"/>
  <c r="DB153" i="5"/>
  <c r="EH153" i="5"/>
  <c r="R154" i="5"/>
  <c r="AX154" i="5"/>
  <c r="CD154" i="5"/>
  <c r="DJ154" i="5"/>
  <c r="EP154" i="5"/>
  <c r="E71" i="5"/>
  <c r="V147" i="5"/>
  <c r="BB147" i="5"/>
  <c r="CH147" i="5"/>
  <c r="DN147" i="5"/>
  <c r="AD148" i="5"/>
  <c r="BJ148" i="5"/>
  <c r="CP148" i="5"/>
  <c r="DV148" i="5"/>
  <c r="R150" i="5"/>
  <c r="AX150" i="5"/>
  <c r="CD150" i="5"/>
  <c r="DJ150" i="5"/>
  <c r="EP150" i="5"/>
  <c r="Z151" i="5"/>
  <c r="BF151" i="5"/>
  <c r="CL151" i="5"/>
  <c r="DR151" i="5"/>
  <c r="N153" i="5"/>
  <c r="AT153" i="5"/>
  <c r="BZ153" i="5"/>
  <c r="DF153" i="5"/>
  <c r="EL153" i="5"/>
  <c r="V154" i="5"/>
  <c r="BB154" i="5"/>
  <c r="CH154" i="5"/>
  <c r="DN154" i="5"/>
  <c r="E110" i="5"/>
  <c r="E95" i="5"/>
  <c r="Z147" i="5"/>
  <c r="BF147" i="5"/>
  <c r="CL147" i="5"/>
  <c r="AH148" i="5"/>
  <c r="BN148" i="5"/>
  <c r="CT148" i="5"/>
  <c r="V150" i="5"/>
  <c r="BB150" i="5"/>
  <c r="CH150" i="5"/>
  <c r="AD151" i="5"/>
  <c r="BJ151" i="5"/>
  <c r="CP151" i="5"/>
  <c r="R153" i="5"/>
  <c r="AX153" i="5"/>
  <c r="CD153" i="5"/>
  <c r="DJ153" i="5"/>
  <c r="Z154" i="5"/>
  <c r="BF154" i="5"/>
  <c r="CL154" i="5"/>
  <c r="AX82" i="3"/>
  <c r="AT82" i="3"/>
  <c r="AP82" i="3"/>
  <c r="AL82" i="3"/>
  <c r="AH82" i="3"/>
  <c r="AX81" i="3"/>
  <c r="AT81" i="3"/>
  <c r="AP81" i="3"/>
  <c r="AL81" i="3"/>
  <c r="AH81" i="3"/>
  <c r="EP80" i="3"/>
  <c r="EL80" i="3"/>
  <c r="EH80" i="3"/>
  <c r="ED80" i="3"/>
  <c r="DZ80" i="3"/>
  <c r="DV80" i="3"/>
  <c r="DR80" i="3"/>
  <c r="AD82" i="3"/>
  <c r="Z80" i="3"/>
  <c r="Z82" i="3" s="1"/>
  <c r="V80" i="3"/>
  <c r="V82" i="3" s="1"/>
  <c r="R80" i="3"/>
  <c r="R82" i="3" s="1"/>
  <c r="N80" i="3"/>
  <c r="N82" i="3" s="1"/>
  <c r="J80" i="3"/>
  <c r="J82" i="3" s="1"/>
  <c r="F80" i="3"/>
  <c r="F82" i="3" s="1"/>
  <c r="C115" i="3"/>
  <c r="C114" i="3"/>
  <c r="EP113" i="3"/>
  <c r="EL113" i="3"/>
  <c r="EH113" i="3"/>
  <c r="ED113" i="3"/>
  <c r="DZ113" i="3"/>
  <c r="DV113" i="3"/>
  <c r="DR113" i="3"/>
  <c r="DN113" i="3"/>
  <c r="DJ113" i="3"/>
  <c r="DF113" i="3"/>
  <c r="DB113" i="3"/>
  <c r="CX113" i="3"/>
  <c r="CT113" i="3"/>
  <c r="CP113" i="3"/>
  <c r="CL113" i="3"/>
  <c r="CH113" i="3"/>
  <c r="CD113" i="3"/>
  <c r="BZ113" i="3"/>
  <c r="BV113" i="3"/>
  <c r="BR113" i="3"/>
  <c r="BN113" i="3"/>
  <c r="BJ113" i="3"/>
  <c r="BF113" i="3"/>
  <c r="BB113" i="3"/>
  <c r="AX113" i="3"/>
  <c r="AT113" i="3"/>
  <c r="AP113" i="3"/>
  <c r="AL113" i="3"/>
  <c r="AH113" i="3"/>
  <c r="AD113" i="3"/>
  <c r="Z113" i="3"/>
  <c r="V113" i="3"/>
  <c r="R113" i="3"/>
  <c r="N113" i="3"/>
  <c r="J113" i="3"/>
  <c r="F113" i="3"/>
  <c r="C112" i="3"/>
  <c r="C111" i="3"/>
  <c r="EP110" i="3"/>
  <c r="EL110" i="3"/>
  <c r="EH110" i="3"/>
  <c r="ED110" i="3"/>
  <c r="DZ110" i="3"/>
  <c r="DV110" i="3"/>
  <c r="DR110" i="3"/>
  <c r="DN110" i="3"/>
  <c r="DJ110" i="3"/>
  <c r="DF110" i="3"/>
  <c r="DB110" i="3"/>
  <c r="CX110" i="3"/>
  <c r="CT110" i="3"/>
  <c r="CP110" i="3"/>
  <c r="CL110" i="3"/>
  <c r="CH110" i="3"/>
  <c r="CD110" i="3"/>
  <c r="BZ110" i="3"/>
  <c r="BV110" i="3"/>
  <c r="BR110" i="3"/>
  <c r="BN110" i="3"/>
  <c r="BJ110" i="3"/>
  <c r="BF110" i="3"/>
  <c r="BB110" i="3"/>
  <c r="AX110" i="3"/>
  <c r="AT110" i="3"/>
  <c r="AP110" i="3"/>
  <c r="AL110" i="3"/>
  <c r="AH110" i="3"/>
  <c r="AD110" i="3"/>
  <c r="Z110" i="3"/>
  <c r="V110" i="3"/>
  <c r="R110" i="3"/>
  <c r="N110" i="3"/>
  <c r="J110" i="3"/>
  <c r="F110" i="3"/>
  <c r="C109" i="3"/>
  <c r="C108" i="3"/>
  <c r="EP107" i="3"/>
  <c r="EL107" i="3"/>
  <c r="EH107" i="3"/>
  <c r="ED107" i="3"/>
  <c r="DZ107" i="3"/>
  <c r="DV107" i="3"/>
  <c r="DR107" i="3"/>
  <c r="DN107" i="3"/>
  <c r="DN116" i="3" s="1"/>
  <c r="DJ107" i="3"/>
  <c r="DJ116" i="3" s="1"/>
  <c r="DF107" i="3"/>
  <c r="DF116" i="3" s="1"/>
  <c r="DB107" i="3"/>
  <c r="DB116" i="3" s="1"/>
  <c r="CX107" i="3"/>
  <c r="CT107" i="3"/>
  <c r="CT116" i="3" s="1"/>
  <c r="CP107" i="3"/>
  <c r="CP116" i="3" s="1"/>
  <c r="CL107" i="3"/>
  <c r="CL116" i="3" s="1"/>
  <c r="CH107" i="3"/>
  <c r="CH116" i="3" s="1"/>
  <c r="CD107" i="3"/>
  <c r="CD116" i="3" s="1"/>
  <c r="BZ107" i="3"/>
  <c r="BZ116" i="3" s="1"/>
  <c r="BV107" i="3"/>
  <c r="BV116" i="3" s="1"/>
  <c r="BR107" i="3"/>
  <c r="BN107" i="3"/>
  <c r="BN116" i="3" s="1"/>
  <c r="BJ107" i="3"/>
  <c r="BJ116" i="3" s="1"/>
  <c r="BF107" i="3"/>
  <c r="BF116" i="3" s="1"/>
  <c r="BB107" i="3"/>
  <c r="BB116" i="3" s="1"/>
  <c r="AX107" i="3"/>
  <c r="AX116" i="3" s="1"/>
  <c r="AT107" i="3"/>
  <c r="AT116" i="3" s="1"/>
  <c r="AP107" i="3"/>
  <c r="AP116" i="3" s="1"/>
  <c r="AL107" i="3"/>
  <c r="AH107" i="3"/>
  <c r="AH116" i="3" s="1"/>
  <c r="AD107" i="3"/>
  <c r="Z107" i="3"/>
  <c r="V107" i="3"/>
  <c r="R107" i="3"/>
  <c r="N107" i="3"/>
  <c r="J107" i="3"/>
  <c r="F107" i="3"/>
  <c r="DV106" i="3"/>
  <c r="DR106" i="3"/>
  <c r="DN106" i="3"/>
  <c r="DJ106" i="3"/>
  <c r="DF106" i="3"/>
  <c r="DB106" i="3"/>
  <c r="CX106" i="3"/>
  <c r="CT106" i="3"/>
  <c r="CP106" i="3"/>
  <c r="CL106" i="3"/>
  <c r="CH106" i="3"/>
  <c r="CD106" i="3"/>
  <c r="BZ106" i="3"/>
  <c r="BV106" i="3"/>
  <c r="BR106" i="3"/>
  <c r="BN106" i="3"/>
  <c r="BJ106" i="3"/>
  <c r="BF106" i="3"/>
  <c r="BB106" i="3"/>
  <c r="AX106" i="3"/>
  <c r="AT106" i="3"/>
  <c r="AP106" i="3"/>
  <c r="AL106" i="3"/>
  <c r="AH106" i="3"/>
  <c r="DV105" i="3"/>
  <c r="DR105" i="3"/>
  <c r="DN105" i="3"/>
  <c r="DJ105" i="3"/>
  <c r="DF105" i="3"/>
  <c r="DB105" i="3"/>
  <c r="CX105" i="3"/>
  <c r="CT105" i="3"/>
  <c r="CP105" i="3"/>
  <c r="CL105" i="3"/>
  <c r="CH105" i="3"/>
  <c r="CD105" i="3"/>
  <c r="BZ105" i="3"/>
  <c r="BV105" i="3"/>
  <c r="BR105" i="3"/>
  <c r="BN105" i="3"/>
  <c r="BJ105" i="3"/>
  <c r="BF105" i="3"/>
  <c r="BB105" i="3"/>
  <c r="AX105" i="3"/>
  <c r="AT105" i="3"/>
  <c r="AP105" i="3"/>
  <c r="AL105" i="3"/>
  <c r="AH105" i="3"/>
  <c r="EP104" i="3"/>
  <c r="EP106" i="3" s="1"/>
  <c r="EL104" i="3"/>
  <c r="EL105" i="3" s="1"/>
  <c r="EH104" i="3"/>
  <c r="EH105" i="3" s="1"/>
  <c r="ED104" i="3"/>
  <c r="ED105" i="3" s="1"/>
  <c r="DZ104" i="3"/>
  <c r="DZ106" i="3" s="1"/>
  <c r="AD104" i="3"/>
  <c r="AD106" i="3" s="1"/>
  <c r="Z104" i="3"/>
  <c r="Z106" i="3" s="1"/>
  <c r="V104" i="3"/>
  <c r="V106" i="3" s="1"/>
  <c r="R104" i="3"/>
  <c r="R106" i="3" s="1"/>
  <c r="N104" i="3"/>
  <c r="N105" i="3" s="1"/>
  <c r="J104" i="3"/>
  <c r="J105" i="3" s="1"/>
  <c r="F104" i="3"/>
  <c r="DN103" i="3"/>
  <c r="DJ103" i="3"/>
  <c r="DF103" i="3"/>
  <c r="DB103" i="3"/>
  <c r="CX103" i="3"/>
  <c r="CT103" i="3"/>
  <c r="CP103" i="3"/>
  <c r="CL103" i="3"/>
  <c r="CH103" i="3"/>
  <c r="CD103" i="3"/>
  <c r="BZ103" i="3"/>
  <c r="BV103" i="3"/>
  <c r="BR103" i="3"/>
  <c r="BN103" i="3"/>
  <c r="BJ103" i="3"/>
  <c r="BF103" i="3"/>
  <c r="BB103" i="3"/>
  <c r="AX103" i="3"/>
  <c r="AT103" i="3"/>
  <c r="AP103" i="3"/>
  <c r="AL103" i="3"/>
  <c r="AH103" i="3"/>
  <c r="DN102" i="3"/>
  <c r="DJ102" i="3"/>
  <c r="DF102" i="3"/>
  <c r="DB102" i="3"/>
  <c r="CX102" i="3"/>
  <c r="CT102" i="3"/>
  <c r="CP102" i="3"/>
  <c r="CL102" i="3"/>
  <c r="CH102" i="3"/>
  <c r="CD102" i="3"/>
  <c r="BZ102" i="3"/>
  <c r="BV102" i="3"/>
  <c r="BR102" i="3"/>
  <c r="BN102" i="3"/>
  <c r="BJ102" i="3"/>
  <c r="BF102" i="3"/>
  <c r="BB102" i="3"/>
  <c r="AX102" i="3"/>
  <c r="AT102" i="3"/>
  <c r="AP102" i="3"/>
  <c r="AL102" i="3"/>
  <c r="AH102" i="3"/>
  <c r="EP101" i="3"/>
  <c r="EP103" i="3" s="1"/>
  <c r="EL101" i="3"/>
  <c r="EL103" i="3" s="1"/>
  <c r="EH101" i="3"/>
  <c r="EH102" i="3" s="1"/>
  <c r="ED101" i="3"/>
  <c r="ED102" i="3" s="1"/>
  <c r="DZ101" i="3"/>
  <c r="DZ102" i="3" s="1"/>
  <c r="DV101" i="3"/>
  <c r="DV103" i="3" s="1"/>
  <c r="DR101" i="3"/>
  <c r="DR103" i="3" s="1"/>
  <c r="AD101" i="3"/>
  <c r="AD102" i="3" s="1"/>
  <c r="Z101" i="3"/>
  <c r="Z103" i="3" s="1"/>
  <c r="V101" i="3"/>
  <c r="V103" i="3" s="1"/>
  <c r="R101" i="3"/>
  <c r="R103" i="3" s="1"/>
  <c r="N101" i="3"/>
  <c r="N103" i="3" s="1"/>
  <c r="J101" i="3"/>
  <c r="J102" i="3" s="1"/>
  <c r="F101" i="3"/>
  <c r="F102" i="3" s="1"/>
  <c r="DN100" i="3"/>
  <c r="DJ100" i="3"/>
  <c r="DF100" i="3"/>
  <c r="DB100" i="3"/>
  <c r="CX100" i="3"/>
  <c r="CT100" i="3"/>
  <c r="CP100" i="3"/>
  <c r="CL100" i="3"/>
  <c r="CH100" i="3"/>
  <c r="CD100" i="3"/>
  <c r="BZ100" i="3"/>
  <c r="BV100" i="3"/>
  <c r="BR100" i="3"/>
  <c r="BN100" i="3"/>
  <c r="BJ100" i="3"/>
  <c r="BF100" i="3"/>
  <c r="BB100" i="3"/>
  <c r="AX100" i="3"/>
  <c r="AT100" i="3"/>
  <c r="AP100" i="3"/>
  <c r="AL100" i="3"/>
  <c r="AH100" i="3"/>
  <c r="DN99" i="3"/>
  <c r="DJ99" i="3"/>
  <c r="DF99" i="3"/>
  <c r="DB99" i="3"/>
  <c r="CX99" i="3"/>
  <c r="CT99" i="3"/>
  <c r="CP99" i="3"/>
  <c r="CL99" i="3"/>
  <c r="CH99" i="3"/>
  <c r="CD99" i="3"/>
  <c r="BZ99" i="3"/>
  <c r="BV99" i="3"/>
  <c r="BR99" i="3"/>
  <c r="BN99" i="3"/>
  <c r="BJ99" i="3"/>
  <c r="BF99" i="3"/>
  <c r="BB99" i="3"/>
  <c r="AX99" i="3"/>
  <c r="AT99" i="3"/>
  <c r="AP99" i="3"/>
  <c r="AL99" i="3"/>
  <c r="AH99" i="3"/>
  <c r="EP98" i="3"/>
  <c r="EP100" i="3" s="1"/>
  <c r="EL98" i="3"/>
  <c r="EL99" i="3" s="1"/>
  <c r="EH98" i="3"/>
  <c r="EH99" i="3" s="1"/>
  <c r="ED98" i="3"/>
  <c r="ED99" i="3" s="1"/>
  <c r="DZ98" i="3"/>
  <c r="DZ100" i="3" s="1"/>
  <c r="DV98" i="3"/>
  <c r="DV100" i="3" s="1"/>
  <c r="DR98" i="3"/>
  <c r="DR100" i="3" s="1"/>
  <c r="AD98" i="3"/>
  <c r="AD100" i="3" s="1"/>
  <c r="Z98" i="3"/>
  <c r="Z100" i="3" s="1"/>
  <c r="V98" i="3"/>
  <c r="V100" i="3" s="1"/>
  <c r="R98" i="3"/>
  <c r="R100" i="3" s="1"/>
  <c r="N98" i="3"/>
  <c r="N99" i="3" s="1"/>
  <c r="J98" i="3"/>
  <c r="J99" i="3" s="1"/>
  <c r="F98" i="3"/>
  <c r="F99" i="3" s="1"/>
  <c r="EP95" i="3"/>
  <c r="EP96" i="3" s="1"/>
  <c r="EL95" i="3"/>
  <c r="EL96" i="3" s="1"/>
  <c r="EH95" i="3"/>
  <c r="EH97" i="3" s="1"/>
  <c r="ED95" i="3"/>
  <c r="ED96" i="3" s="1"/>
  <c r="DZ95" i="3"/>
  <c r="DZ96" i="3" s="1"/>
  <c r="DV95" i="3"/>
  <c r="DV97" i="3" s="1"/>
  <c r="DR95" i="3"/>
  <c r="DR97" i="3" s="1"/>
  <c r="Z95" i="3"/>
  <c r="Z96" i="3" s="1"/>
  <c r="V95" i="3"/>
  <c r="V96" i="3" s="1"/>
  <c r="R95" i="3"/>
  <c r="R96" i="3" s="1"/>
  <c r="N95" i="3"/>
  <c r="N97" i="3" s="1"/>
  <c r="J95" i="3"/>
  <c r="J96" i="3" s="1"/>
  <c r="F95" i="3"/>
  <c r="F96" i="3" s="1"/>
  <c r="EP92" i="3"/>
  <c r="EP93" i="3" s="1"/>
  <c r="EL92" i="3"/>
  <c r="EL94" i="3" s="1"/>
  <c r="EH92" i="3"/>
  <c r="EH93" i="3" s="1"/>
  <c r="ED92" i="3"/>
  <c r="ED94" i="3" s="1"/>
  <c r="DZ92" i="3"/>
  <c r="DZ94" i="3" s="1"/>
  <c r="DV92" i="3"/>
  <c r="DV93" i="3" s="1"/>
  <c r="DR92" i="3"/>
  <c r="DR93" i="3" s="1"/>
  <c r="Z92" i="3"/>
  <c r="Z93" i="3" s="1"/>
  <c r="V92" i="3"/>
  <c r="V94" i="3" s="1"/>
  <c r="R92" i="3"/>
  <c r="R93" i="3" s="1"/>
  <c r="N92" i="3"/>
  <c r="N93" i="3" s="1"/>
  <c r="J92" i="3"/>
  <c r="J94" i="3" s="1"/>
  <c r="F92" i="3"/>
  <c r="F94" i="3" s="1"/>
  <c r="Z91" i="3"/>
  <c r="E91" i="3" s="1"/>
  <c r="V91" i="3"/>
  <c r="R91" i="3"/>
  <c r="N91" i="3"/>
  <c r="J91" i="3"/>
  <c r="F91" i="3"/>
  <c r="Z90" i="3"/>
  <c r="V90" i="3"/>
  <c r="R90" i="3"/>
  <c r="N90" i="3"/>
  <c r="J90" i="3"/>
  <c r="E90" i="3" s="1"/>
  <c r="F90" i="3"/>
  <c r="EP89" i="3"/>
  <c r="EP90" i="3" s="1"/>
  <c r="EL89" i="3"/>
  <c r="EL91" i="3" s="1"/>
  <c r="EH89" i="3"/>
  <c r="EH91" i="3" s="1"/>
  <c r="ED89" i="3"/>
  <c r="ED90" i="3" s="1"/>
  <c r="DZ89" i="3"/>
  <c r="DZ90" i="3" s="1"/>
  <c r="DV89" i="3"/>
  <c r="DV90" i="3" s="1"/>
  <c r="DR89" i="3"/>
  <c r="Z88" i="3"/>
  <c r="V88" i="3"/>
  <c r="R88" i="3"/>
  <c r="N88" i="3"/>
  <c r="J88" i="3"/>
  <c r="F88" i="3"/>
  <c r="E88" i="3" s="1"/>
  <c r="Z87" i="3"/>
  <c r="V87" i="3"/>
  <c r="R87" i="3"/>
  <c r="N87" i="3"/>
  <c r="J87" i="3"/>
  <c r="F87" i="3"/>
  <c r="E87" i="3"/>
  <c r="EP86" i="3"/>
  <c r="EP87" i="3" s="1"/>
  <c r="EL86" i="3"/>
  <c r="EL87" i="3" s="1"/>
  <c r="EH86" i="3"/>
  <c r="EH88" i="3" s="1"/>
  <c r="ED86" i="3"/>
  <c r="ED88" i="3" s="1"/>
  <c r="DZ86" i="3"/>
  <c r="DZ88" i="3" s="1"/>
  <c r="DV86" i="3"/>
  <c r="DV88" i="3" s="1"/>
  <c r="DR86" i="3"/>
  <c r="DR88" i="3" s="1"/>
  <c r="EP83" i="3"/>
  <c r="EP85" i="3" s="1"/>
  <c r="EL83" i="3"/>
  <c r="EL85" i="3" s="1"/>
  <c r="EH83" i="3"/>
  <c r="EH85" i="3" s="1"/>
  <c r="ED83" i="3"/>
  <c r="ED84" i="3" s="1"/>
  <c r="DZ83" i="3"/>
  <c r="DZ84" i="3" s="1"/>
  <c r="DV83" i="3"/>
  <c r="DV84" i="3" s="1"/>
  <c r="DR83" i="3"/>
  <c r="DR85" i="3" s="1"/>
  <c r="Z83" i="3"/>
  <c r="Z85" i="3" s="1"/>
  <c r="V83" i="3"/>
  <c r="V85" i="3" s="1"/>
  <c r="R83" i="3"/>
  <c r="N83" i="3"/>
  <c r="J83" i="3"/>
  <c r="F83" i="3"/>
  <c r="AX79" i="3"/>
  <c r="AT79" i="3"/>
  <c r="AP79" i="3"/>
  <c r="AL79" i="3"/>
  <c r="AH79" i="3"/>
  <c r="AX78" i="3"/>
  <c r="AT78" i="3"/>
  <c r="AP78" i="3"/>
  <c r="AL78" i="3"/>
  <c r="AH78" i="3"/>
  <c r="EP77" i="3"/>
  <c r="EL77" i="3"/>
  <c r="EH77" i="3"/>
  <c r="ED77" i="3"/>
  <c r="DZ77" i="3"/>
  <c r="DV77" i="3"/>
  <c r="DR77" i="3"/>
  <c r="AD78" i="3"/>
  <c r="Z77" i="3"/>
  <c r="Z78" i="3" s="1"/>
  <c r="V77" i="3"/>
  <c r="V79" i="3" s="1"/>
  <c r="R77" i="3"/>
  <c r="R79" i="3" s="1"/>
  <c r="N77" i="3"/>
  <c r="N79" i="3" s="1"/>
  <c r="J77" i="3"/>
  <c r="F77" i="3"/>
  <c r="AX76" i="3"/>
  <c r="AT76" i="3"/>
  <c r="AP76" i="3"/>
  <c r="AL76" i="3"/>
  <c r="AH76" i="3"/>
  <c r="AX75" i="3"/>
  <c r="AT75" i="3"/>
  <c r="AP75" i="3"/>
  <c r="AL75" i="3"/>
  <c r="AH75" i="3"/>
  <c r="EP74" i="3"/>
  <c r="EL74" i="3"/>
  <c r="EH74" i="3"/>
  <c r="ED74" i="3"/>
  <c r="DZ74" i="3"/>
  <c r="DV74" i="3"/>
  <c r="DR74" i="3"/>
  <c r="AD76" i="3"/>
  <c r="Z74" i="3"/>
  <c r="Z76" i="3" s="1"/>
  <c r="V74" i="3"/>
  <c r="V75" i="3" s="1"/>
  <c r="R74" i="3"/>
  <c r="R75" i="3" s="1"/>
  <c r="N74" i="3"/>
  <c r="N75" i="3" s="1"/>
  <c r="J74" i="3"/>
  <c r="J75" i="3" s="1"/>
  <c r="F74" i="3"/>
  <c r="AX73" i="3"/>
  <c r="AT73" i="3"/>
  <c r="AP73" i="3"/>
  <c r="AL73" i="3"/>
  <c r="AH73" i="3"/>
  <c r="AX72" i="3"/>
  <c r="AT72" i="3"/>
  <c r="AP72" i="3"/>
  <c r="AL72" i="3"/>
  <c r="AH72" i="3"/>
  <c r="EP71" i="3"/>
  <c r="EL71" i="3"/>
  <c r="EH71" i="3"/>
  <c r="ED71" i="3"/>
  <c r="DZ71" i="3"/>
  <c r="DV71" i="3"/>
  <c r="DR71" i="3"/>
  <c r="V72" i="3"/>
  <c r="R71" i="3"/>
  <c r="N71" i="3"/>
  <c r="J71" i="3"/>
  <c r="J72" i="3" s="1"/>
  <c r="F71" i="3"/>
  <c r="F73" i="3" s="1"/>
  <c r="AX70" i="3"/>
  <c r="AT70" i="3"/>
  <c r="AP70" i="3"/>
  <c r="AL70" i="3"/>
  <c r="AH70" i="3"/>
  <c r="AD70" i="3"/>
  <c r="Z70" i="3"/>
  <c r="V70" i="3"/>
  <c r="R70" i="3"/>
  <c r="N70" i="3"/>
  <c r="J70" i="3"/>
  <c r="F70" i="3"/>
  <c r="AX69" i="3"/>
  <c r="AT69" i="3"/>
  <c r="AP69" i="3"/>
  <c r="AL69" i="3"/>
  <c r="AH69" i="3"/>
  <c r="AD69" i="3"/>
  <c r="Z69" i="3"/>
  <c r="V69" i="3"/>
  <c r="R69" i="3"/>
  <c r="N69" i="3"/>
  <c r="J69" i="3"/>
  <c r="F69" i="3"/>
  <c r="EP68" i="3"/>
  <c r="EL68" i="3"/>
  <c r="EH68" i="3"/>
  <c r="ED68" i="3"/>
  <c r="DZ68" i="3"/>
  <c r="DV68" i="3"/>
  <c r="DR68" i="3"/>
  <c r="AX67" i="3"/>
  <c r="AT67" i="3"/>
  <c r="AP67" i="3"/>
  <c r="AL67" i="3"/>
  <c r="AH67" i="3"/>
  <c r="AD67" i="3"/>
  <c r="Z67" i="3"/>
  <c r="V67" i="3"/>
  <c r="R67" i="3"/>
  <c r="N67" i="3"/>
  <c r="J67" i="3"/>
  <c r="F67" i="3"/>
  <c r="AX66" i="3"/>
  <c r="AT66" i="3"/>
  <c r="AP66" i="3"/>
  <c r="AL66" i="3"/>
  <c r="AH66" i="3"/>
  <c r="AD66" i="3"/>
  <c r="Z66" i="3"/>
  <c r="V66" i="3"/>
  <c r="R66" i="3"/>
  <c r="N66" i="3"/>
  <c r="J66" i="3"/>
  <c r="F66" i="3"/>
  <c r="EP65" i="3"/>
  <c r="EL65" i="3"/>
  <c r="EH65" i="3"/>
  <c r="ED65" i="3"/>
  <c r="DZ65" i="3"/>
  <c r="DV65" i="3"/>
  <c r="DR65" i="3"/>
  <c r="EP57" i="3"/>
  <c r="EL57" i="3"/>
  <c r="EH57" i="3"/>
  <c r="ED57" i="3"/>
  <c r="DZ57" i="3"/>
  <c r="DV57" i="3"/>
  <c r="DR57" i="3"/>
  <c r="DN57" i="3"/>
  <c r="DN12" i="3" s="1"/>
  <c r="DJ57" i="3"/>
  <c r="DJ12" i="3" s="1"/>
  <c r="DF57" i="3"/>
  <c r="DF12" i="3" s="1"/>
  <c r="DB57" i="3"/>
  <c r="DB12" i="3" s="1"/>
  <c r="CX57" i="3"/>
  <c r="CT57" i="3"/>
  <c r="CP57" i="3"/>
  <c r="CP12" i="3" s="1"/>
  <c r="CL57" i="3"/>
  <c r="CL12" i="3" s="1"/>
  <c r="CH57" i="3"/>
  <c r="CH12" i="3" s="1"/>
  <c r="CD57" i="3"/>
  <c r="CD12" i="3" s="1"/>
  <c r="BZ57" i="3"/>
  <c r="BZ12" i="3" s="1"/>
  <c r="BV57" i="3"/>
  <c r="BV12" i="3" s="1"/>
  <c r="BR57" i="3"/>
  <c r="BN57" i="3"/>
  <c r="BN12" i="3" s="1"/>
  <c r="BJ57" i="3"/>
  <c r="BJ12" i="3" s="1"/>
  <c r="BF57" i="3"/>
  <c r="BF12" i="3" s="1"/>
  <c r="BB57" i="3"/>
  <c r="BB12" i="3" s="1"/>
  <c r="AX57" i="3"/>
  <c r="AX12" i="3" s="1"/>
  <c r="AT57" i="3"/>
  <c r="AT12" i="3" s="1"/>
  <c r="AP57" i="3"/>
  <c r="AP12" i="3" s="1"/>
  <c r="AL57" i="3"/>
  <c r="AH57" i="3"/>
  <c r="AD57" i="3"/>
  <c r="Z57" i="3"/>
  <c r="V57" i="3"/>
  <c r="R57" i="3"/>
  <c r="N57" i="3"/>
  <c r="J57" i="3"/>
  <c r="F57" i="3"/>
  <c r="EP56" i="3"/>
  <c r="EL56" i="3"/>
  <c r="EH56" i="3"/>
  <c r="ED56" i="3"/>
  <c r="DZ56" i="3"/>
  <c r="DV56" i="3"/>
  <c r="DR56" i="3"/>
  <c r="DN56" i="3"/>
  <c r="DJ56" i="3"/>
  <c r="DF56" i="3"/>
  <c r="DB56" i="3"/>
  <c r="CX56" i="3"/>
  <c r="CT56" i="3"/>
  <c r="CP56" i="3"/>
  <c r="CL56" i="3"/>
  <c r="CH56" i="3"/>
  <c r="CD56" i="3"/>
  <c r="BZ56" i="3"/>
  <c r="BV56" i="3"/>
  <c r="BR56" i="3"/>
  <c r="BN56" i="3"/>
  <c r="BJ56" i="3"/>
  <c r="BF56" i="3"/>
  <c r="BB56" i="3"/>
  <c r="AX56" i="3"/>
  <c r="AT56" i="3"/>
  <c r="AP56" i="3"/>
  <c r="AL56" i="3"/>
  <c r="AH56" i="3"/>
  <c r="AD56" i="3"/>
  <c r="Z56" i="3"/>
  <c r="V56" i="3"/>
  <c r="R56" i="3"/>
  <c r="N56" i="3"/>
  <c r="J56" i="3"/>
  <c r="F56" i="3"/>
  <c r="EP55" i="3"/>
  <c r="EL55" i="3"/>
  <c r="EH55" i="3"/>
  <c r="ED55" i="3"/>
  <c r="DZ55" i="3"/>
  <c r="DV55" i="3"/>
  <c r="DR55" i="3"/>
  <c r="DN55" i="3"/>
  <c r="DJ55" i="3"/>
  <c r="DF55" i="3"/>
  <c r="DB55" i="3"/>
  <c r="CX55" i="3"/>
  <c r="CT55" i="3"/>
  <c r="CP55" i="3"/>
  <c r="CL55" i="3"/>
  <c r="CH55" i="3"/>
  <c r="CD55" i="3"/>
  <c r="BZ55" i="3"/>
  <c r="BV55" i="3"/>
  <c r="BR55" i="3"/>
  <c r="BN55" i="3"/>
  <c r="BJ55" i="3"/>
  <c r="BF55" i="3"/>
  <c r="BB55" i="3"/>
  <c r="AX55" i="3"/>
  <c r="AT55" i="3"/>
  <c r="AP55" i="3"/>
  <c r="AL55" i="3"/>
  <c r="AH55" i="3"/>
  <c r="AD55" i="3"/>
  <c r="Z55" i="3"/>
  <c r="V55" i="3"/>
  <c r="R55" i="3"/>
  <c r="N55" i="3"/>
  <c r="J55" i="3"/>
  <c r="F55" i="3"/>
  <c r="E54" i="3"/>
  <c r="EP53" i="3"/>
  <c r="EL53" i="3"/>
  <c r="EH53" i="3"/>
  <c r="ED53" i="3"/>
  <c r="DZ53" i="3"/>
  <c r="DV53" i="3"/>
  <c r="DR53" i="3"/>
  <c r="DN53" i="3"/>
  <c r="DJ53" i="3"/>
  <c r="DF53" i="3"/>
  <c r="DB53" i="3"/>
  <c r="CX53" i="3"/>
  <c r="CT53" i="3"/>
  <c r="CP53" i="3"/>
  <c r="CL53" i="3"/>
  <c r="CH53" i="3"/>
  <c r="CD53" i="3"/>
  <c r="BZ53" i="3"/>
  <c r="BV53" i="3"/>
  <c r="BR53" i="3"/>
  <c r="BN53" i="3"/>
  <c r="BJ53" i="3"/>
  <c r="BF53" i="3"/>
  <c r="BB53" i="3"/>
  <c r="AX53" i="3"/>
  <c r="AT53" i="3"/>
  <c r="AP53" i="3"/>
  <c r="AL53" i="3"/>
  <c r="AH53" i="3"/>
  <c r="AD53" i="3"/>
  <c r="Z53" i="3"/>
  <c r="V53" i="3"/>
  <c r="R53" i="3"/>
  <c r="N53" i="3"/>
  <c r="J53" i="3"/>
  <c r="F53" i="3"/>
  <c r="EP52" i="3"/>
  <c r="EL52" i="3"/>
  <c r="EH52" i="3"/>
  <c r="ED52" i="3"/>
  <c r="DZ52" i="3"/>
  <c r="DV52" i="3"/>
  <c r="DR52" i="3"/>
  <c r="DN52" i="3"/>
  <c r="DJ52" i="3"/>
  <c r="DF52" i="3"/>
  <c r="DB52" i="3"/>
  <c r="CX52" i="3"/>
  <c r="CT52" i="3"/>
  <c r="CP52" i="3"/>
  <c r="CL52" i="3"/>
  <c r="CH52" i="3"/>
  <c r="CD52" i="3"/>
  <c r="BZ52" i="3"/>
  <c r="BV52" i="3"/>
  <c r="BR52" i="3"/>
  <c r="BN52" i="3"/>
  <c r="BJ52" i="3"/>
  <c r="BF52" i="3"/>
  <c r="BB52" i="3"/>
  <c r="AX52" i="3"/>
  <c r="AT52" i="3"/>
  <c r="AP52" i="3"/>
  <c r="AL52" i="3"/>
  <c r="AH52" i="3"/>
  <c r="AD52" i="3"/>
  <c r="Z52" i="3"/>
  <c r="V52" i="3"/>
  <c r="R52" i="3"/>
  <c r="N52" i="3"/>
  <c r="J52" i="3"/>
  <c r="F52" i="3"/>
  <c r="E51" i="3"/>
  <c r="EP50" i="3"/>
  <c r="EL50" i="3"/>
  <c r="EH50" i="3"/>
  <c r="ED50" i="3"/>
  <c r="DZ50" i="3"/>
  <c r="DV50" i="3"/>
  <c r="DR50" i="3"/>
  <c r="DN50" i="3"/>
  <c r="DJ50" i="3"/>
  <c r="DF50" i="3"/>
  <c r="DB50" i="3"/>
  <c r="CX50" i="3"/>
  <c r="CT50" i="3"/>
  <c r="CP50" i="3"/>
  <c r="CL50" i="3"/>
  <c r="CH50" i="3"/>
  <c r="CD50" i="3"/>
  <c r="BZ50" i="3"/>
  <c r="BV50" i="3"/>
  <c r="BR50" i="3"/>
  <c r="BN50" i="3"/>
  <c r="BJ50" i="3"/>
  <c r="BF50" i="3"/>
  <c r="BB50" i="3"/>
  <c r="AX50" i="3"/>
  <c r="AT50" i="3"/>
  <c r="AP50" i="3"/>
  <c r="AL50" i="3"/>
  <c r="AH50" i="3"/>
  <c r="AD50" i="3"/>
  <c r="Z50" i="3"/>
  <c r="V50" i="3"/>
  <c r="R50" i="3"/>
  <c r="N50" i="3"/>
  <c r="J50" i="3"/>
  <c r="F50" i="3"/>
  <c r="EP49" i="3"/>
  <c r="EL49" i="3"/>
  <c r="EH49" i="3"/>
  <c r="ED49" i="3"/>
  <c r="DZ49" i="3"/>
  <c r="DV49" i="3"/>
  <c r="DR49" i="3"/>
  <c r="DN49" i="3"/>
  <c r="DJ49" i="3"/>
  <c r="DF49" i="3"/>
  <c r="DB49" i="3"/>
  <c r="CX49" i="3"/>
  <c r="CT49" i="3"/>
  <c r="CP49" i="3"/>
  <c r="CL49" i="3"/>
  <c r="CH49" i="3"/>
  <c r="CH58" i="3" s="1"/>
  <c r="CD49" i="3"/>
  <c r="BZ49" i="3"/>
  <c r="BV49" i="3"/>
  <c r="BR49" i="3"/>
  <c r="BN49" i="3"/>
  <c r="BJ49" i="3"/>
  <c r="BF49" i="3"/>
  <c r="BB49" i="3"/>
  <c r="AX49" i="3"/>
  <c r="AT49" i="3"/>
  <c r="AP49" i="3"/>
  <c r="AL49" i="3"/>
  <c r="AH49" i="3"/>
  <c r="AD49" i="3"/>
  <c r="Z49" i="3"/>
  <c r="V49" i="3"/>
  <c r="R49" i="3"/>
  <c r="N49" i="3"/>
  <c r="J49" i="3"/>
  <c r="F49" i="3"/>
  <c r="E48" i="3"/>
  <c r="EP47" i="3"/>
  <c r="EL47" i="3"/>
  <c r="EH47" i="3"/>
  <c r="ED47" i="3"/>
  <c r="DZ47" i="3"/>
  <c r="DV47" i="3"/>
  <c r="DR47" i="3"/>
  <c r="DN47" i="3"/>
  <c r="DJ47" i="3"/>
  <c r="DF47" i="3"/>
  <c r="DB47" i="3"/>
  <c r="DB59" i="3" s="1"/>
  <c r="CX47" i="3"/>
  <c r="CX59" i="3" s="1"/>
  <c r="CT47" i="3"/>
  <c r="CP47" i="3"/>
  <c r="CL47" i="3"/>
  <c r="CH47" i="3"/>
  <c r="CD47" i="3"/>
  <c r="BZ47" i="3"/>
  <c r="BV47" i="3"/>
  <c r="BV59" i="3" s="1"/>
  <c r="BR47" i="3"/>
  <c r="BN47" i="3"/>
  <c r="BJ47" i="3"/>
  <c r="BF47" i="3"/>
  <c r="BB47" i="3"/>
  <c r="AX47" i="3"/>
  <c r="AT47" i="3"/>
  <c r="AP47" i="3"/>
  <c r="AL47" i="3"/>
  <c r="AH47" i="3"/>
  <c r="AD47" i="3"/>
  <c r="Z47" i="3"/>
  <c r="V47" i="3"/>
  <c r="R47" i="3"/>
  <c r="N47" i="3"/>
  <c r="J47" i="3"/>
  <c r="F47" i="3"/>
  <c r="EP46" i="3"/>
  <c r="EL46" i="3"/>
  <c r="EH46" i="3"/>
  <c r="ED46" i="3"/>
  <c r="DZ46" i="3"/>
  <c r="DV46" i="3"/>
  <c r="DR46" i="3"/>
  <c r="DN46" i="3"/>
  <c r="DN58" i="3" s="1"/>
  <c r="DJ46" i="3"/>
  <c r="DF46" i="3"/>
  <c r="DB46" i="3"/>
  <c r="CX46" i="3"/>
  <c r="CT46" i="3"/>
  <c r="CP46" i="3"/>
  <c r="CL46" i="3"/>
  <c r="CL58" i="3" s="1"/>
  <c r="CH46" i="3"/>
  <c r="CD46" i="3"/>
  <c r="BZ46" i="3"/>
  <c r="BV46" i="3"/>
  <c r="BR46" i="3"/>
  <c r="BN46" i="3"/>
  <c r="BJ46" i="3"/>
  <c r="BF46" i="3"/>
  <c r="BB46" i="3"/>
  <c r="AX46" i="3"/>
  <c r="AT46" i="3"/>
  <c r="AP46" i="3"/>
  <c r="AL46" i="3"/>
  <c r="AH46" i="3"/>
  <c r="AD46" i="3"/>
  <c r="Z46" i="3"/>
  <c r="E46" i="3" s="1"/>
  <c r="V46" i="3"/>
  <c r="R46" i="3"/>
  <c r="N46" i="3"/>
  <c r="J46" i="3"/>
  <c r="F46" i="3"/>
  <c r="E45" i="3"/>
  <c r="EP44" i="3"/>
  <c r="EL44" i="3"/>
  <c r="EH44" i="3"/>
  <c r="ED44" i="3"/>
  <c r="DZ44" i="3"/>
  <c r="DV44" i="3"/>
  <c r="DR44" i="3"/>
  <c r="DN44" i="3"/>
  <c r="DJ44" i="3"/>
  <c r="DJ59" i="3" s="1"/>
  <c r="DF44" i="3"/>
  <c r="DF59" i="3" s="1"/>
  <c r="DB44" i="3"/>
  <c r="CX44" i="3"/>
  <c r="CT44" i="3"/>
  <c r="CP44" i="3"/>
  <c r="CL44" i="3"/>
  <c r="CH44" i="3"/>
  <c r="CD44" i="3"/>
  <c r="CD59" i="3" s="1"/>
  <c r="BZ44" i="3"/>
  <c r="BV44" i="3"/>
  <c r="BR44" i="3"/>
  <c r="BN44" i="3"/>
  <c r="BJ44" i="3"/>
  <c r="BF44" i="3"/>
  <c r="BB44" i="3"/>
  <c r="AX44" i="3"/>
  <c r="AT44" i="3"/>
  <c r="AP44" i="3"/>
  <c r="AL44" i="3"/>
  <c r="AH44" i="3"/>
  <c r="AD44" i="3"/>
  <c r="Z44" i="3"/>
  <c r="V44" i="3"/>
  <c r="R44" i="3"/>
  <c r="N44" i="3"/>
  <c r="J44" i="3"/>
  <c r="F44" i="3"/>
  <c r="EP43" i="3"/>
  <c r="EL43" i="3"/>
  <c r="EH43" i="3"/>
  <c r="ED43" i="3"/>
  <c r="DZ43" i="3"/>
  <c r="DV43" i="3"/>
  <c r="DR43" i="3"/>
  <c r="DN43" i="3"/>
  <c r="DJ43" i="3"/>
  <c r="DF43" i="3"/>
  <c r="DB43" i="3"/>
  <c r="CX43" i="3"/>
  <c r="CX58" i="3" s="1"/>
  <c r="CT43" i="3"/>
  <c r="CT58" i="3" s="1"/>
  <c r="CP43" i="3"/>
  <c r="CP58" i="3" s="1"/>
  <c r="CL43" i="3"/>
  <c r="CH43" i="3"/>
  <c r="CD43" i="3"/>
  <c r="BZ43" i="3"/>
  <c r="BV43" i="3"/>
  <c r="BR43" i="3"/>
  <c r="BR58" i="3" s="1"/>
  <c r="BN43" i="3"/>
  <c r="BJ43" i="3"/>
  <c r="BF43" i="3"/>
  <c r="BB43" i="3"/>
  <c r="AX43" i="3"/>
  <c r="AT43" i="3"/>
  <c r="AP43" i="3"/>
  <c r="AL43" i="3"/>
  <c r="AH43" i="3"/>
  <c r="AD43" i="3"/>
  <c r="E43" i="3" s="1"/>
  <c r="Z43" i="3"/>
  <c r="V43" i="3"/>
  <c r="R43" i="3"/>
  <c r="N43" i="3"/>
  <c r="J43" i="3"/>
  <c r="F43" i="3"/>
  <c r="E42" i="3"/>
  <c r="EP41" i="3"/>
  <c r="EL41" i="3"/>
  <c r="EH41" i="3"/>
  <c r="ED41" i="3"/>
  <c r="DZ41" i="3"/>
  <c r="DV41" i="3"/>
  <c r="DR41" i="3"/>
  <c r="AD41" i="3"/>
  <c r="E41" i="3" s="1"/>
  <c r="Z41" i="3"/>
  <c r="V41" i="3"/>
  <c r="R41" i="3"/>
  <c r="N41" i="3"/>
  <c r="J41" i="3"/>
  <c r="F41" i="3"/>
  <c r="EP40" i="3"/>
  <c r="EL40" i="3"/>
  <c r="EH40" i="3"/>
  <c r="ED40" i="3"/>
  <c r="DZ40" i="3"/>
  <c r="DV40" i="3"/>
  <c r="DR40" i="3"/>
  <c r="AD40" i="3"/>
  <c r="Z40" i="3"/>
  <c r="V40" i="3"/>
  <c r="R40" i="3"/>
  <c r="N40" i="3"/>
  <c r="J40" i="3"/>
  <c r="F40" i="3"/>
  <c r="E39" i="3"/>
  <c r="EP38" i="3"/>
  <c r="EL38" i="3"/>
  <c r="EH38" i="3"/>
  <c r="ED38" i="3"/>
  <c r="DZ38" i="3"/>
  <c r="DV38" i="3"/>
  <c r="DR38" i="3"/>
  <c r="AD38" i="3"/>
  <c r="Z38" i="3"/>
  <c r="V38" i="3"/>
  <c r="R38" i="3"/>
  <c r="N38" i="3"/>
  <c r="J38" i="3"/>
  <c r="F38" i="3"/>
  <c r="EP37" i="3"/>
  <c r="EL37" i="3"/>
  <c r="EH37" i="3"/>
  <c r="ED37" i="3"/>
  <c r="DZ37" i="3"/>
  <c r="DV37" i="3"/>
  <c r="DR37" i="3"/>
  <c r="AD37" i="3"/>
  <c r="Z37" i="3"/>
  <c r="V37" i="3"/>
  <c r="R37" i="3"/>
  <c r="N37" i="3"/>
  <c r="J37" i="3"/>
  <c r="F37" i="3"/>
  <c r="E36" i="3"/>
  <c r="EP35" i="3"/>
  <c r="EL35" i="3"/>
  <c r="EH35" i="3"/>
  <c r="ED35" i="3"/>
  <c r="DZ35" i="3"/>
  <c r="DV35" i="3"/>
  <c r="DR35" i="3"/>
  <c r="AD35" i="3"/>
  <c r="Z35" i="3"/>
  <c r="V35" i="3"/>
  <c r="R35" i="3"/>
  <c r="N35" i="3"/>
  <c r="J35" i="3"/>
  <c r="F35" i="3"/>
  <c r="EP34" i="3"/>
  <c r="EL34" i="3"/>
  <c r="EH34" i="3"/>
  <c r="ED34" i="3"/>
  <c r="DZ34" i="3"/>
  <c r="DV34" i="3"/>
  <c r="DR34" i="3"/>
  <c r="AD34" i="3"/>
  <c r="Z34" i="3"/>
  <c r="V34" i="3"/>
  <c r="R34" i="3"/>
  <c r="N34" i="3"/>
  <c r="J34" i="3"/>
  <c r="F34" i="3"/>
  <c r="E33" i="3"/>
  <c r="BF32" i="3"/>
  <c r="BB32" i="3"/>
  <c r="AX32" i="3"/>
  <c r="AT32" i="3"/>
  <c r="AP32" i="3"/>
  <c r="AL32" i="3"/>
  <c r="AH32" i="3"/>
  <c r="AD32" i="3"/>
  <c r="Z32" i="3"/>
  <c r="V32" i="3"/>
  <c r="R32" i="3"/>
  <c r="N32" i="3"/>
  <c r="J32" i="3"/>
  <c r="F32" i="3"/>
  <c r="BF31" i="3"/>
  <c r="BB31" i="3"/>
  <c r="AX31" i="3"/>
  <c r="AT31" i="3"/>
  <c r="AP31" i="3"/>
  <c r="AL31" i="3"/>
  <c r="AH31" i="3"/>
  <c r="AD31" i="3"/>
  <c r="Z31" i="3"/>
  <c r="V31" i="3"/>
  <c r="R31" i="3"/>
  <c r="N31" i="3"/>
  <c r="J31" i="3"/>
  <c r="F31" i="3"/>
  <c r="E30" i="3"/>
  <c r="EP59" i="3"/>
  <c r="AD26" i="3"/>
  <c r="Z26" i="3"/>
  <c r="V26" i="3"/>
  <c r="R26" i="3"/>
  <c r="N26" i="3"/>
  <c r="J26" i="3"/>
  <c r="F26" i="3"/>
  <c r="BF25" i="3"/>
  <c r="BB25" i="3"/>
  <c r="AX25" i="3"/>
  <c r="AT25" i="3"/>
  <c r="AP25" i="3"/>
  <c r="AL25" i="3"/>
  <c r="AH25" i="3"/>
  <c r="AD25" i="3"/>
  <c r="Z25" i="3"/>
  <c r="V25" i="3"/>
  <c r="R25" i="3"/>
  <c r="N25" i="3"/>
  <c r="J25" i="3"/>
  <c r="F25" i="3"/>
  <c r="E24" i="3"/>
  <c r="AD23" i="3"/>
  <c r="Z23" i="3"/>
  <c r="V23" i="3"/>
  <c r="R23" i="3"/>
  <c r="N23" i="3"/>
  <c r="J23" i="3"/>
  <c r="F23" i="3"/>
  <c r="EH58" i="3"/>
  <c r="BF22" i="3"/>
  <c r="BB22" i="3"/>
  <c r="AX22" i="3"/>
  <c r="AT22" i="3"/>
  <c r="AP22" i="3"/>
  <c r="AL22" i="3"/>
  <c r="AH22" i="3"/>
  <c r="AD22" i="3"/>
  <c r="Z22" i="3"/>
  <c r="V22" i="3"/>
  <c r="R22" i="3"/>
  <c r="N22" i="3"/>
  <c r="J22" i="3"/>
  <c r="F22" i="3"/>
  <c r="E21" i="3"/>
  <c r="CT12" i="3"/>
  <c r="DN156" i="5" l="1"/>
  <c r="DN13" i="5" s="1"/>
  <c r="AH157" i="5"/>
  <c r="AH14" i="5" s="1"/>
  <c r="E138" i="5"/>
  <c r="DF157" i="5"/>
  <c r="CH156" i="5"/>
  <c r="CH13" i="5" s="1"/>
  <c r="E121" i="5"/>
  <c r="CT157" i="5"/>
  <c r="CT14" i="5" s="1"/>
  <c r="BZ157" i="5"/>
  <c r="BZ14" i="5" s="1"/>
  <c r="BN157" i="5"/>
  <c r="BN14" i="5" s="1"/>
  <c r="E96" i="5"/>
  <c r="Z156" i="5"/>
  <c r="Z13" i="5" s="1"/>
  <c r="E115" i="5"/>
  <c r="BB156" i="5"/>
  <c r="BB13" i="5" s="1"/>
  <c r="DV157" i="5"/>
  <c r="DV14" i="5" s="1"/>
  <c r="CL156" i="5"/>
  <c r="CL13" i="5" s="1"/>
  <c r="CP157" i="5"/>
  <c r="CP14" i="5" s="1"/>
  <c r="CL157" i="5"/>
  <c r="CL14" i="5" s="1"/>
  <c r="BF157" i="5"/>
  <c r="BF14" i="5" s="1"/>
  <c r="AX157" i="5"/>
  <c r="AX14" i="5" s="1"/>
  <c r="E81" i="5"/>
  <c r="E135" i="5"/>
  <c r="CX157" i="5"/>
  <c r="CX14" i="5" s="1"/>
  <c r="BJ157" i="5"/>
  <c r="BJ14" i="5" s="1"/>
  <c r="BV156" i="5"/>
  <c r="BV13" i="5" s="1"/>
  <c r="BR156" i="5"/>
  <c r="BR13" i="5" s="1"/>
  <c r="E144" i="5"/>
  <c r="AL156" i="5"/>
  <c r="AL13" i="5" s="1"/>
  <c r="E102" i="5"/>
  <c r="AL157" i="5"/>
  <c r="AL14" i="5" s="1"/>
  <c r="R156" i="5"/>
  <c r="R13" i="5" s="1"/>
  <c r="CD157" i="5"/>
  <c r="CD14" i="5" s="1"/>
  <c r="EP156" i="5"/>
  <c r="EP13" i="5" s="1"/>
  <c r="AT157" i="5"/>
  <c r="AT14" i="5" s="1"/>
  <c r="CT156" i="5"/>
  <c r="CT13" i="5" s="1"/>
  <c r="CP156" i="5"/>
  <c r="CP13" i="5" s="1"/>
  <c r="V157" i="5"/>
  <c r="V14" i="5" s="1"/>
  <c r="V156" i="5"/>
  <c r="V13" i="5" s="1"/>
  <c r="BB157" i="5"/>
  <c r="BB14" i="5" s="1"/>
  <c r="BN156" i="5"/>
  <c r="BN13" i="5" s="1"/>
  <c r="BJ156" i="5"/>
  <c r="BJ13" i="5" s="1"/>
  <c r="AH156" i="5"/>
  <c r="AH13" i="5" s="1"/>
  <c r="AH15" i="5" s="1"/>
  <c r="AD156" i="5"/>
  <c r="AD13" i="5" s="1"/>
  <c r="E139" i="5"/>
  <c r="F157" i="5"/>
  <c r="F14" i="5" s="1"/>
  <c r="DJ156" i="5"/>
  <c r="DJ13" i="5" s="1"/>
  <c r="E94" i="5"/>
  <c r="DB156" i="5"/>
  <c r="DB13" i="5" s="1"/>
  <c r="CX156" i="5"/>
  <c r="CX13" i="5" s="1"/>
  <c r="DB157" i="5"/>
  <c r="DB14" i="5" s="1"/>
  <c r="E99" i="5"/>
  <c r="E132" i="5"/>
  <c r="BF156" i="5"/>
  <c r="BF13" i="5" s="1"/>
  <c r="CD156" i="5"/>
  <c r="CD13" i="5" s="1"/>
  <c r="DF156" i="5"/>
  <c r="DF13" i="5" s="1"/>
  <c r="E111" i="5"/>
  <c r="BV157" i="5"/>
  <c r="BV14" i="5" s="1"/>
  <c r="BR157" i="5"/>
  <c r="BR14" i="5" s="1"/>
  <c r="E133" i="5"/>
  <c r="DN157" i="5"/>
  <c r="DN14" i="5" s="1"/>
  <c r="DN15" i="5" s="1"/>
  <c r="AX156" i="5"/>
  <c r="AX13" i="5" s="1"/>
  <c r="AX15" i="5" s="1"/>
  <c r="J157" i="5"/>
  <c r="J14" i="5" s="1"/>
  <c r="BZ156" i="5"/>
  <c r="BZ13" i="5" s="1"/>
  <c r="AP156" i="5"/>
  <c r="AP13" i="5" s="1"/>
  <c r="E108" i="5"/>
  <c r="AP157" i="5"/>
  <c r="AP14" i="5" s="1"/>
  <c r="E145" i="5"/>
  <c r="R157" i="5"/>
  <c r="R14" i="5" s="1"/>
  <c r="N157" i="5"/>
  <c r="N14" i="5" s="1"/>
  <c r="CH157" i="5"/>
  <c r="CH14" i="5" s="1"/>
  <c r="CH15" i="5" s="1"/>
  <c r="AT156" i="5"/>
  <c r="AT13" i="5" s="1"/>
  <c r="E87" i="5"/>
  <c r="DJ157" i="5"/>
  <c r="DJ14" i="5" s="1"/>
  <c r="DR157" i="5"/>
  <c r="DR14" i="5" s="1"/>
  <c r="J156" i="5"/>
  <c r="J13" i="5" s="1"/>
  <c r="Z157" i="5"/>
  <c r="Z14" i="5" s="1"/>
  <c r="Z15" i="5" s="1"/>
  <c r="AD157" i="5"/>
  <c r="AD14" i="5" s="1"/>
  <c r="AD15" i="5" s="1"/>
  <c r="DR156" i="5"/>
  <c r="DR13" i="5" s="1"/>
  <c r="EH157" i="5"/>
  <c r="EH14" i="5" s="1"/>
  <c r="DV156" i="5"/>
  <c r="DV13" i="5" s="1"/>
  <c r="N156" i="5"/>
  <c r="N13" i="5" s="1"/>
  <c r="E58" i="5"/>
  <c r="E123" i="5"/>
  <c r="EH156" i="5"/>
  <c r="EH13" i="5" s="1"/>
  <c r="DZ157" i="5"/>
  <c r="DZ14" i="5" s="1"/>
  <c r="DZ156" i="5"/>
  <c r="DZ13" i="5" s="1"/>
  <c r="E78" i="5"/>
  <c r="E136" i="5"/>
  <c r="E155" i="5"/>
  <c r="F12" i="5"/>
  <c r="E12" i="5" s="1"/>
  <c r="EL157" i="5"/>
  <c r="EL14" i="5" s="1"/>
  <c r="E153" i="5"/>
  <c r="E150" i="5"/>
  <c r="E154" i="5"/>
  <c r="E118" i="5"/>
  <c r="E79" i="5"/>
  <c r="E151" i="5"/>
  <c r="E124" i="5"/>
  <c r="DF14" i="5"/>
  <c r="E147" i="5"/>
  <c r="E90" i="5"/>
  <c r="E148" i="5"/>
  <c r="F156" i="5"/>
  <c r="ED157" i="5"/>
  <c r="ED14" i="5" s="1"/>
  <c r="E106" i="5"/>
  <c r="E142" i="5"/>
  <c r="ED156" i="5"/>
  <c r="ED13" i="5" s="1"/>
  <c r="EL156" i="5"/>
  <c r="EL13" i="5" s="1"/>
  <c r="E85" i="5"/>
  <c r="E88" i="5"/>
  <c r="E141" i="5"/>
  <c r="EP157" i="5"/>
  <c r="EP14" i="5" s="1"/>
  <c r="E59" i="5"/>
  <c r="N59" i="3"/>
  <c r="R59" i="3"/>
  <c r="DV76" i="3"/>
  <c r="DV75" i="3"/>
  <c r="DV79" i="3"/>
  <c r="DV78" i="3"/>
  <c r="DV82" i="3"/>
  <c r="DV81" i="3"/>
  <c r="EL70" i="3"/>
  <c r="EL69" i="3"/>
  <c r="DZ73" i="3"/>
  <c r="DZ72" i="3"/>
  <c r="DZ79" i="3"/>
  <c r="DZ78" i="3"/>
  <c r="DZ82" i="3"/>
  <c r="DZ81" i="3"/>
  <c r="EP70" i="3"/>
  <c r="EP69" i="3"/>
  <c r="DZ76" i="3"/>
  <c r="DZ75" i="3"/>
  <c r="EP67" i="3"/>
  <c r="EP66" i="3"/>
  <c r="ED73" i="3"/>
  <c r="ED72" i="3"/>
  <c r="ED76" i="3"/>
  <c r="ED75" i="3"/>
  <c r="ED79" i="3"/>
  <c r="ED78" i="3"/>
  <c r="ED82" i="3"/>
  <c r="ED81" i="3"/>
  <c r="DV73" i="3"/>
  <c r="DV72" i="3"/>
  <c r="EL67" i="3"/>
  <c r="EL66" i="3"/>
  <c r="DR70" i="3"/>
  <c r="DR69" i="3"/>
  <c r="EH73" i="3"/>
  <c r="EH72" i="3"/>
  <c r="EH76" i="3"/>
  <c r="EH75" i="3"/>
  <c r="EH79" i="3"/>
  <c r="EH78" i="3"/>
  <c r="EH81" i="3"/>
  <c r="EH82" i="3"/>
  <c r="EL76" i="3"/>
  <c r="EL75" i="3"/>
  <c r="EL81" i="3"/>
  <c r="EL82" i="3"/>
  <c r="DV70" i="3"/>
  <c r="DV69" i="3"/>
  <c r="EL79" i="3"/>
  <c r="EL78" i="3"/>
  <c r="EP81" i="3"/>
  <c r="EP82" i="3"/>
  <c r="DR67" i="3"/>
  <c r="DR66" i="3"/>
  <c r="EL73" i="3"/>
  <c r="EL72" i="3"/>
  <c r="DV66" i="3"/>
  <c r="DV67" i="3"/>
  <c r="DZ70" i="3"/>
  <c r="DZ69" i="3"/>
  <c r="EP73" i="3"/>
  <c r="EP72" i="3"/>
  <c r="EP76" i="3"/>
  <c r="EP75" i="3"/>
  <c r="EP79" i="3"/>
  <c r="EP78" i="3"/>
  <c r="DZ67" i="3"/>
  <c r="DZ66" i="3"/>
  <c r="ED70" i="3"/>
  <c r="ED69" i="3"/>
  <c r="AL116" i="3"/>
  <c r="AL12" i="3" s="1"/>
  <c r="BR116" i="3"/>
  <c r="BR12" i="3" s="1"/>
  <c r="CX116" i="3"/>
  <c r="CX12" i="3" s="1"/>
  <c r="EH67" i="3"/>
  <c r="EH66" i="3"/>
  <c r="ED67" i="3"/>
  <c r="ED66" i="3"/>
  <c r="EH70" i="3"/>
  <c r="EH69" i="3"/>
  <c r="DR73" i="3"/>
  <c r="DR72" i="3"/>
  <c r="DR76" i="3"/>
  <c r="DR75" i="3"/>
  <c r="DR79" i="3"/>
  <c r="DR78" i="3"/>
  <c r="DR82" i="3"/>
  <c r="DR81" i="3"/>
  <c r="AL58" i="3"/>
  <c r="E22" i="3"/>
  <c r="E26" i="3"/>
  <c r="E32" i="3"/>
  <c r="Z116" i="3"/>
  <c r="Z12" i="3" s="1"/>
  <c r="AT59" i="3"/>
  <c r="EH59" i="3"/>
  <c r="BB58" i="3"/>
  <c r="AH58" i="3"/>
  <c r="BN58" i="3"/>
  <c r="F59" i="3"/>
  <c r="AL59" i="3"/>
  <c r="E37" i="3"/>
  <c r="E56" i="3"/>
  <c r="ED58" i="3"/>
  <c r="V59" i="3"/>
  <c r="BB59" i="3"/>
  <c r="Z58" i="3"/>
  <c r="BF58" i="3"/>
  <c r="E47" i="3"/>
  <c r="BR59" i="3"/>
  <c r="ED59" i="3"/>
  <c r="CT59" i="3"/>
  <c r="DZ59" i="3"/>
  <c r="AD58" i="3"/>
  <c r="BJ58" i="3"/>
  <c r="E40" i="3"/>
  <c r="BZ59" i="3"/>
  <c r="E55" i="3"/>
  <c r="AH12" i="3"/>
  <c r="AH59" i="3"/>
  <c r="BN59" i="3"/>
  <c r="E38" i="3"/>
  <c r="E53" i="3"/>
  <c r="DR58" i="3"/>
  <c r="J59" i="3"/>
  <c r="AP59" i="3"/>
  <c r="E35" i="3"/>
  <c r="DV58" i="3"/>
  <c r="E34" i="3"/>
  <c r="E52" i="3"/>
  <c r="DZ58" i="3"/>
  <c r="AX59" i="3"/>
  <c r="EL59" i="3"/>
  <c r="E44" i="3"/>
  <c r="E50" i="3"/>
  <c r="E82" i="3"/>
  <c r="E80" i="3"/>
  <c r="F81" i="3"/>
  <c r="J81" i="3"/>
  <c r="N81" i="3"/>
  <c r="R81" i="3"/>
  <c r="V81" i="3"/>
  <c r="Z81" i="3"/>
  <c r="AD81" i="3"/>
  <c r="ED106" i="3"/>
  <c r="E70" i="3"/>
  <c r="DV116" i="3"/>
  <c r="DV12" i="3" s="1"/>
  <c r="J73" i="3"/>
  <c r="E69" i="3"/>
  <c r="V93" i="3"/>
  <c r="DR102" i="3"/>
  <c r="EP84" i="3"/>
  <c r="EP91" i="3"/>
  <c r="ED93" i="3"/>
  <c r="EH96" i="3"/>
  <c r="DV102" i="3"/>
  <c r="EL108" i="3"/>
  <c r="E113" i="3"/>
  <c r="V78" i="3"/>
  <c r="E92" i="3"/>
  <c r="Z94" i="3"/>
  <c r="N116" i="3"/>
  <c r="N12" i="3" s="1"/>
  <c r="EH94" i="3"/>
  <c r="E107" i="3"/>
  <c r="DZ116" i="3"/>
  <c r="DZ12" i="3" s="1"/>
  <c r="E89" i="3"/>
  <c r="F72" i="3"/>
  <c r="DV85" i="3"/>
  <c r="DZ87" i="3"/>
  <c r="EL93" i="3"/>
  <c r="EP94" i="3"/>
  <c r="N96" i="3"/>
  <c r="E96" i="3" s="1"/>
  <c r="R97" i="3"/>
  <c r="F103" i="3"/>
  <c r="Z105" i="3"/>
  <c r="EH111" i="3"/>
  <c r="EH116" i="3"/>
  <c r="EH12" i="3" s="1"/>
  <c r="ED87" i="3"/>
  <c r="DV96" i="3"/>
  <c r="DZ97" i="3"/>
  <c r="AD103" i="3"/>
  <c r="AD105" i="3"/>
  <c r="EP112" i="3"/>
  <c r="Z75" i="3"/>
  <c r="V84" i="3"/>
  <c r="EH87" i="3"/>
  <c r="DR90" i="3"/>
  <c r="DR91" i="3"/>
  <c r="N94" i="3"/>
  <c r="ED97" i="3"/>
  <c r="DR99" i="3"/>
  <c r="DZ103" i="3"/>
  <c r="DZ105" i="3"/>
  <c r="EL116" i="3"/>
  <c r="EL12" i="3" s="1"/>
  <c r="DR116" i="3"/>
  <c r="DR12" i="3" s="1"/>
  <c r="AD79" i="3"/>
  <c r="Z84" i="3"/>
  <c r="DV91" i="3"/>
  <c r="R94" i="3"/>
  <c r="AD99" i="3"/>
  <c r="DV99" i="3"/>
  <c r="E104" i="3"/>
  <c r="DN109" i="3"/>
  <c r="E74" i="3"/>
  <c r="DR84" i="3"/>
  <c r="EL88" i="3"/>
  <c r="EL97" i="3"/>
  <c r="DZ99" i="3"/>
  <c r="E110" i="3"/>
  <c r="F97" i="3"/>
  <c r="F100" i="3"/>
  <c r="ED116" i="3"/>
  <c r="ED12" i="3" s="1"/>
  <c r="J97" i="3"/>
  <c r="J100" i="3"/>
  <c r="Z102" i="3"/>
  <c r="ED114" i="3"/>
  <c r="EP102" i="3"/>
  <c r="V105" i="3"/>
  <c r="EL115" i="3"/>
  <c r="E23" i="3"/>
  <c r="E25" i="3"/>
  <c r="CH59" i="3"/>
  <c r="V58" i="3"/>
  <c r="F58" i="3"/>
  <c r="DR59" i="3"/>
  <c r="DN59" i="3"/>
  <c r="J58" i="3"/>
  <c r="AP58" i="3"/>
  <c r="DV59" i="3"/>
  <c r="E31" i="3"/>
  <c r="BV58" i="3"/>
  <c r="DB58" i="3"/>
  <c r="CL59" i="3"/>
  <c r="E67" i="3"/>
  <c r="N58" i="3"/>
  <c r="AT58" i="3"/>
  <c r="BZ58" i="3"/>
  <c r="DF58" i="3"/>
  <c r="CP59" i="3"/>
  <c r="R58" i="3"/>
  <c r="AX58" i="3"/>
  <c r="CD58" i="3"/>
  <c r="DJ58" i="3"/>
  <c r="E57" i="3"/>
  <c r="EP116" i="3"/>
  <c r="EP12" i="3" s="1"/>
  <c r="V116" i="3"/>
  <c r="V12" i="3" s="1"/>
  <c r="V73" i="3"/>
  <c r="R116" i="3"/>
  <c r="R12" i="3" s="1"/>
  <c r="R72" i="3"/>
  <c r="R73" i="3"/>
  <c r="E71" i="3"/>
  <c r="EL58" i="3"/>
  <c r="Z59" i="3"/>
  <c r="BF59" i="3"/>
  <c r="E49" i="3"/>
  <c r="EP58" i="3"/>
  <c r="AD59" i="3"/>
  <c r="BJ59" i="3"/>
  <c r="E66" i="3"/>
  <c r="F76" i="3"/>
  <c r="R85" i="3"/>
  <c r="R84" i="3"/>
  <c r="AD73" i="3"/>
  <c r="AD72" i="3"/>
  <c r="AD116" i="3"/>
  <c r="AD12" i="3" s="1"/>
  <c r="E65" i="3"/>
  <c r="E68" i="3"/>
  <c r="N73" i="3"/>
  <c r="J76" i="3"/>
  <c r="Z79" i="3"/>
  <c r="F116" i="3"/>
  <c r="N76" i="3"/>
  <c r="J116" i="3"/>
  <c r="J12" i="3" s="1"/>
  <c r="N72" i="3"/>
  <c r="F75" i="3"/>
  <c r="R76" i="3"/>
  <c r="N78" i="3"/>
  <c r="Z73" i="3"/>
  <c r="V76" i="3"/>
  <c r="R78" i="3"/>
  <c r="F79" i="3"/>
  <c r="F78" i="3"/>
  <c r="E77" i="3"/>
  <c r="E83" i="3"/>
  <c r="F84" i="3"/>
  <c r="F85" i="3"/>
  <c r="Z72" i="3"/>
  <c r="J79" i="3"/>
  <c r="J78" i="3"/>
  <c r="J84" i="3"/>
  <c r="J85" i="3"/>
  <c r="N85" i="3"/>
  <c r="N84" i="3"/>
  <c r="EH84" i="3"/>
  <c r="DR87" i="3"/>
  <c r="EH90" i="3"/>
  <c r="F93" i="3"/>
  <c r="DZ93" i="3"/>
  <c r="DR96" i="3"/>
  <c r="R99" i="3"/>
  <c r="EP99" i="3"/>
  <c r="N102" i="3"/>
  <c r="EL102" i="3"/>
  <c r="R105" i="3"/>
  <c r="EP105" i="3"/>
  <c r="R108" i="3"/>
  <c r="AX108" i="3"/>
  <c r="CD108" i="3"/>
  <c r="DJ108" i="3"/>
  <c r="EP108" i="3"/>
  <c r="Z109" i="3"/>
  <c r="BF109" i="3"/>
  <c r="CL109" i="3"/>
  <c r="DR109" i="3"/>
  <c r="N111" i="3"/>
  <c r="AT111" i="3"/>
  <c r="BZ111" i="3"/>
  <c r="DF111" i="3"/>
  <c r="EL111" i="3"/>
  <c r="V112" i="3"/>
  <c r="BB112" i="3"/>
  <c r="CH112" i="3"/>
  <c r="DN112" i="3"/>
  <c r="J114" i="3"/>
  <c r="AP114" i="3"/>
  <c r="BV114" i="3"/>
  <c r="DB114" i="3"/>
  <c r="EH114" i="3"/>
  <c r="R115" i="3"/>
  <c r="AX115" i="3"/>
  <c r="CD115" i="3"/>
  <c r="DJ115" i="3"/>
  <c r="EP115" i="3"/>
  <c r="EL84" i="3"/>
  <c r="E86" i="3"/>
  <c r="DV87" i="3"/>
  <c r="EL90" i="3"/>
  <c r="J93" i="3"/>
  <c r="V99" i="3"/>
  <c r="R102" i="3"/>
  <c r="V108" i="3"/>
  <c r="BB108" i="3"/>
  <c r="CH108" i="3"/>
  <c r="DN108" i="3"/>
  <c r="AD109" i="3"/>
  <c r="BJ109" i="3"/>
  <c r="CP109" i="3"/>
  <c r="DV109" i="3"/>
  <c r="R111" i="3"/>
  <c r="AX111" i="3"/>
  <c r="CD111" i="3"/>
  <c r="DJ111" i="3"/>
  <c r="EP111" i="3"/>
  <c r="Z112" i="3"/>
  <c r="BF112" i="3"/>
  <c r="CL112" i="3"/>
  <c r="DR112" i="3"/>
  <c r="N114" i="3"/>
  <c r="AT114" i="3"/>
  <c r="BZ114" i="3"/>
  <c r="DF114" i="3"/>
  <c r="EL114" i="3"/>
  <c r="V115" i="3"/>
  <c r="BB115" i="3"/>
  <c r="CH115" i="3"/>
  <c r="DN115" i="3"/>
  <c r="Z99" i="3"/>
  <c r="ED100" i="3"/>
  <c r="V102" i="3"/>
  <c r="F106" i="3"/>
  <c r="Z108" i="3"/>
  <c r="BF108" i="3"/>
  <c r="CL108" i="3"/>
  <c r="DR108" i="3"/>
  <c r="AH109" i="3"/>
  <c r="BN109" i="3"/>
  <c r="CT109" i="3"/>
  <c r="DZ109" i="3"/>
  <c r="V111" i="3"/>
  <c r="BB111" i="3"/>
  <c r="CH111" i="3"/>
  <c r="DN111" i="3"/>
  <c r="AD112" i="3"/>
  <c r="BJ112" i="3"/>
  <c r="CP112" i="3"/>
  <c r="DV112" i="3"/>
  <c r="R114" i="3"/>
  <c r="AX114" i="3"/>
  <c r="CD114" i="3"/>
  <c r="DJ114" i="3"/>
  <c r="EP114" i="3"/>
  <c r="Z115" i="3"/>
  <c r="BF115" i="3"/>
  <c r="CL115" i="3"/>
  <c r="DR115" i="3"/>
  <c r="E95" i="3"/>
  <c r="EH100" i="3"/>
  <c r="ED103" i="3"/>
  <c r="J106" i="3"/>
  <c r="EH106" i="3"/>
  <c r="AD108" i="3"/>
  <c r="BJ108" i="3"/>
  <c r="CP108" i="3"/>
  <c r="DV108" i="3"/>
  <c r="F109" i="3"/>
  <c r="AL109" i="3"/>
  <c r="BR109" i="3"/>
  <c r="CX109" i="3"/>
  <c r="ED109" i="3"/>
  <c r="Z111" i="3"/>
  <c r="BF111" i="3"/>
  <c r="CL111" i="3"/>
  <c r="DR111" i="3"/>
  <c r="AH112" i="3"/>
  <c r="BN112" i="3"/>
  <c r="CT112" i="3"/>
  <c r="DZ112" i="3"/>
  <c r="V114" i="3"/>
  <c r="BB114" i="3"/>
  <c r="CH114" i="3"/>
  <c r="DN114" i="3"/>
  <c r="AD115" i="3"/>
  <c r="BJ115" i="3"/>
  <c r="CP115" i="3"/>
  <c r="DV115" i="3"/>
  <c r="DZ85" i="3"/>
  <c r="EP88" i="3"/>
  <c r="DZ91" i="3"/>
  <c r="DR94" i="3"/>
  <c r="V97" i="3"/>
  <c r="EP97" i="3"/>
  <c r="N100" i="3"/>
  <c r="EL100" i="3"/>
  <c r="J103" i="3"/>
  <c r="EH103" i="3"/>
  <c r="N106" i="3"/>
  <c r="EL106" i="3"/>
  <c r="AH108" i="3"/>
  <c r="BN108" i="3"/>
  <c r="CT108" i="3"/>
  <c r="DZ108" i="3"/>
  <c r="J109" i="3"/>
  <c r="AP109" i="3"/>
  <c r="BV109" i="3"/>
  <c r="DB109" i="3"/>
  <c r="EH109" i="3"/>
  <c r="AD111" i="3"/>
  <c r="BJ111" i="3"/>
  <c r="CP111" i="3"/>
  <c r="DV111" i="3"/>
  <c r="F112" i="3"/>
  <c r="AL112" i="3"/>
  <c r="BR112" i="3"/>
  <c r="CX112" i="3"/>
  <c r="ED112" i="3"/>
  <c r="Z114" i="3"/>
  <c r="BF114" i="3"/>
  <c r="CL114" i="3"/>
  <c r="DR114" i="3"/>
  <c r="AH115" i="3"/>
  <c r="BN115" i="3"/>
  <c r="CT115" i="3"/>
  <c r="DZ115" i="3"/>
  <c r="AD75" i="3"/>
  <c r="ED85" i="3"/>
  <c r="ED91" i="3"/>
  <c r="DV94" i="3"/>
  <c r="Z97" i="3"/>
  <c r="E98" i="3"/>
  <c r="F105" i="3"/>
  <c r="F108" i="3"/>
  <c r="AL108" i="3"/>
  <c r="BR108" i="3"/>
  <c r="CX108" i="3"/>
  <c r="ED108" i="3"/>
  <c r="N109" i="3"/>
  <c r="AT109" i="3"/>
  <c r="BZ109" i="3"/>
  <c r="DF109" i="3"/>
  <c r="EL109" i="3"/>
  <c r="AH111" i="3"/>
  <c r="BN111" i="3"/>
  <c r="CT111" i="3"/>
  <c r="DZ111" i="3"/>
  <c r="J112" i="3"/>
  <c r="AP112" i="3"/>
  <c r="BV112" i="3"/>
  <c r="DB112" i="3"/>
  <c r="EH112" i="3"/>
  <c r="AD114" i="3"/>
  <c r="BJ114" i="3"/>
  <c r="CP114" i="3"/>
  <c r="DV114" i="3"/>
  <c r="F115" i="3"/>
  <c r="AL115" i="3"/>
  <c r="BR115" i="3"/>
  <c r="CX115" i="3"/>
  <c r="ED115" i="3"/>
  <c r="E101" i="3"/>
  <c r="J108" i="3"/>
  <c r="AP108" i="3"/>
  <c r="BV108" i="3"/>
  <c r="DB108" i="3"/>
  <c r="EH108" i="3"/>
  <c r="R109" i="3"/>
  <c r="AX109" i="3"/>
  <c r="CD109" i="3"/>
  <c r="DJ109" i="3"/>
  <c r="EP109" i="3"/>
  <c r="F111" i="3"/>
  <c r="AL111" i="3"/>
  <c r="BR111" i="3"/>
  <c r="CX111" i="3"/>
  <c r="ED111" i="3"/>
  <c r="N112" i="3"/>
  <c r="AT112" i="3"/>
  <c r="BZ112" i="3"/>
  <c r="DF112" i="3"/>
  <c r="EL112" i="3"/>
  <c r="AH114" i="3"/>
  <c r="BN114" i="3"/>
  <c r="CT114" i="3"/>
  <c r="DZ114" i="3"/>
  <c r="J115" i="3"/>
  <c r="AP115" i="3"/>
  <c r="BV115" i="3"/>
  <c r="DB115" i="3"/>
  <c r="EH115" i="3"/>
  <c r="N108" i="3"/>
  <c r="AT108" i="3"/>
  <c r="BZ108" i="3"/>
  <c r="DF108" i="3"/>
  <c r="V109" i="3"/>
  <c r="BB109" i="3"/>
  <c r="CH109" i="3"/>
  <c r="J111" i="3"/>
  <c r="AP111" i="3"/>
  <c r="BV111" i="3"/>
  <c r="DB111" i="3"/>
  <c r="R112" i="3"/>
  <c r="AX112" i="3"/>
  <c r="CD112" i="3"/>
  <c r="DJ112" i="3"/>
  <c r="F114" i="3"/>
  <c r="AL114" i="3"/>
  <c r="BR114" i="3"/>
  <c r="CX114" i="3"/>
  <c r="N115" i="3"/>
  <c r="AT115" i="3"/>
  <c r="BZ115" i="3"/>
  <c r="DF115" i="3"/>
  <c r="BR15" i="5" l="1"/>
  <c r="DV15" i="5"/>
  <c r="J15" i="5"/>
  <c r="DF15" i="5"/>
  <c r="CL15" i="5"/>
  <c r="CT15" i="5"/>
  <c r="BN15" i="5"/>
  <c r="AT15" i="5"/>
  <c r="DR15" i="5"/>
  <c r="BB15" i="5"/>
  <c r="AL15" i="5"/>
  <c r="CP15" i="5"/>
  <c r="AP15" i="5"/>
  <c r="EP15" i="5"/>
  <c r="BV15" i="5"/>
  <c r="BJ15" i="5"/>
  <c r="BF15" i="5"/>
  <c r="V15" i="5"/>
  <c r="BZ15" i="5"/>
  <c r="CD15" i="5"/>
  <c r="DJ15" i="5"/>
  <c r="CX15" i="5"/>
  <c r="E157" i="5"/>
  <c r="N15" i="5"/>
  <c r="E156" i="5"/>
  <c r="ED15" i="5"/>
  <c r="EH15" i="5"/>
  <c r="R15" i="5"/>
  <c r="DB15" i="5"/>
  <c r="E14" i="5"/>
  <c r="C5" i="5" s="1"/>
  <c r="C6" i="5" s="1"/>
  <c r="C7" i="5" s="1"/>
  <c r="DZ15" i="5"/>
  <c r="EL15" i="5"/>
  <c r="F13" i="5"/>
  <c r="E59" i="3"/>
  <c r="DJ118" i="3"/>
  <c r="DJ14" i="3" s="1"/>
  <c r="E81" i="3"/>
  <c r="AX117" i="3"/>
  <c r="AX13" i="3" s="1"/>
  <c r="E100" i="3"/>
  <c r="AT117" i="3"/>
  <c r="AT13" i="3" s="1"/>
  <c r="CD118" i="3"/>
  <c r="CD14" i="3" s="1"/>
  <c r="CT117" i="3"/>
  <c r="CT13" i="3" s="1"/>
  <c r="E103" i="3"/>
  <c r="CL117" i="3"/>
  <c r="CL13" i="3" s="1"/>
  <c r="CH118" i="3"/>
  <c r="CH14" i="3" s="1"/>
  <c r="CX118" i="3"/>
  <c r="CX14" i="3" s="1"/>
  <c r="E99" i="3"/>
  <c r="BJ118" i="3"/>
  <c r="BJ14" i="3" s="1"/>
  <c r="BB118" i="3"/>
  <c r="BB14" i="3" s="1"/>
  <c r="E94" i="3"/>
  <c r="AH117" i="3"/>
  <c r="AH13" i="3" s="1"/>
  <c r="N117" i="3"/>
  <c r="N13" i="3" s="1"/>
  <c r="BR117" i="3"/>
  <c r="BR13" i="3" s="1"/>
  <c r="AL117" i="3"/>
  <c r="AL13" i="3" s="1"/>
  <c r="CT118" i="3"/>
  <c r="CT14" i="3" s="1"/>
  <c r="V117" i="3"/>
  <c r="V13" i="3" s="1"/>
  <c r="CL118" i="3"/>
  <c r="CL14" i="3" s="1"/>
  <c r="E111" i="3"/>
  <c r="BV117" i="3"/>
  <c r="BV13" i="3" s="1"/>
  <c r="BN118" i="3"/>
  <c r="BN14" i="3" s="1"/>
  <c r="BR118" i="3"/>
  <c r="BR14" i="3" s="1"/>
  <c r="E78" i="3"/>
  <c r="DF117" i="3"/>
  <c r="DF13" i="3" s="1"/>
  <c r="AP117" i="3"/>
  <c r="AP13" i="3" s="1"/>
  <c r="BZ118" i="3"/>
  <c r="BZ14" i="3" s="1"/>
  <c r="BN117" i="3"/>
  <c r="BN13" i="3" s="1"/>
  <c r="AD118" i="3"/>
  <c r="AD14" i="3" s="1"/>
  <c r="AH118" i="3"/>
  <c r="AH14" i="3" s="1"/>
  <c r="CH117" i="3"/>
  <c r="CH13" i="3" s="1"/>
  <c r="DB117" i="3"/>
  <c r="DB13" i="3" s="1"/>
  <c r="J117" i="3"/>
  <c r="J13" i="3" s="1"/>
  <c r="J118" i="3"/>
  <c r="J14" i="3" s="1"/>
  <c r="E97" i="3"/>
  <c r="AT118" i="3"/>
  <c r="AT14" i="3" s="1"/>
  <c r="AL118" i="3"/>
  <c r="AL14" i="3" s="1"/>
  <c r="BB117" i="3"/>
  <c r="BB13" i="3" s="1"/>
  <c r="E102" i="3"/>
  <c r="E73" i="3"/>
  <c r="DB118" i="3"/>
  <c r="DB14" i="3" s="1"/>
  <c r="DJ117" i="3"/>
  <c r="DJ13" i="3" s="1"/>
  <c r="Z117" i="3"/>
  <c r="Z13" i="3" s="1"/>
  <c r="F118" i="3"/>
  <c r="F14" i="3" s="1"/>
  <c r="AX118" i="3"/>
  <c r="AX14" i="3" s="1"/>
  <c r="BV118" i="3"/>
  <c r="BV14" i="3" s="1"/>
  <c r="BF117" i="3"/>
  <c r="BF13" i="3" s="1"/>
  <c r="CD117" i="3"/>
  <c r="CD13" i="3" s="1"/>
  <c r="R118" i="3"/>
  <c r="R14" i="3" s="1"/>
  <c r="E72" i="3"/>
  <c r="CX117" i="3"/>
  <c r="CX13" i="3" s="1"/>
  <c r="AP118" i="3"/>
  <c r="AP14" i="3" s="1"/>
  <c r="CP117" i="3"/>
  <c r="CP13" i="3" s="1"/>
  <c r="CP118" i="3"/>
  <c r="CP14" i="3" s="1"/>
  <c r="E85" i="3"/>
  <c r="Z118" i="3"/>
  <c r="Z14" i="3" s="1"/>
  <c r="BJ117" i="3"/>
  <c r="BJ13" i="3" s="1"/>
  <c r="AD117" i="3"/>
  <c r="AD13" i="3" s="1"/>
  <c r="V118" i="3"/>
  <c r="V14" i="3" s="1"/>
  <c r="DN118" i="3"/>
  <c r="DN14" i="3" s="1"/>
  <c r="DF118" i="3"/>
  <c r="DF14" i="3" s="1"/>
  <c r="BZ117" i="3"/>
  <c r="BZ13" i="3" s="1"/>
  <c r="DN117" i="3"/>
  <c r="DN13" i="3" s="1"/>
  <c r="BF118" i="3"/>
  <c r="BF14" i="3" s="1"/>
  <c r="R117" i="3"/>
  <c r="R13" i="3" s="1"/>
  <c r="R15" i="3" s="1"/>
  <c r="E108" i="3"/>
  <c r="E115" i="3"/>
  <c r="E105" i="3"/>
  <c r="E84" i="3"/>
  <c r="DR118" i="3"/>
  <c r="DR14" i="3" s="1"/>
  <c r="EH118" i="3"/>
  <c r="EH14" i="3" s="1"/>
  <c r="DV118" i="3"/>
  <c r="DV14" i="3" s="1"/>
  <c r="EH117" i="3"/>
  <c r="EH13" i="3" s="1"/>
  <c r="E109" i="3"/>
  <c r="ED117" i="3"/>
  <c r="ED13" i="3" s="1"/>
  <c r="EL118" i="3"/>
  <c r="EL14" i="3" s="1"/>
  <c r="DR117" i="3"/>
  <c r="DR13" i="3" s="1"/>
  <c r="E76" i="3"/>
  <c r="N118" i="3"/>
  <c r="N14" i="3" s="1"/>
  <c r="E114" i="3"/>
  <c r="E112" i="3"/>
  <c r="DV117" i="3"/>
  <c r="DV13" i="3" s="1"/>
  <c r="ED118" i="3"/>
  <c r="ED14" i="3" s="1"/>
  <c r="E106" i="3"/>
  <c r="E79" i="3"/>
  <c r="E75" i="3"/>
  <c r="F117" i="3"/>
  <c r="F13" i="3" s="1"/>
  <c r="EP117" i="3"/>
  <c r="EP13" i="3" s="1"/>
  <c r="DZ118" i="3"/>
  <c r="DZ14" i="3" s="1"/>
  <c r="DZ117" i="3"/>
  <c r="DZ13" i="3" s="1"/>
  <c r="E93" i="3"/>
  <c r="EL117" i="3"/>
  <c r="EL13" i="3" s="1"/>
  <c r="EP118" i="3"/>
  <c r="EP14" i="3" s="1"/>
  <c r="E116" i="3"/>
  <c r="F12" i="3"/>
  <c r="E12" i="3" s="1"/>
  <c r="E58" i="3"/>
  <c r="CT15" i="3" l="1"/>
  <c r="F15" i="5"/>
  <c r="E15" i="5" s="1"/>
  <c r="E13" i="5"/>
  <c r="C4" i="5" s="1"/>
  <c r="Z15" i="3"/>
  <c r="BZ15" i="3"/>
  <c r="BB15" i="3"/>
  <c r="DJ15" i="3"/>
  <c r="CD15" i="3"/>
  <c r="AH15" i="3"/>
  <c r="CH15" i="3"/>
  <c r="BF15" i="3"/>
  <c r="CX15" i="3"/>
  <c r="AX15" i="3"/>
  <c r="DN15" i="3"/>
  <c r="CL15" i="3"/>
  <c r="AT15" i="3"/>
  <c r="AL15" i="3"/>
  <c r="AP15" i="3"/>
  <c r="EL15" i="3"/>
  <c r="V15" i="3"/>
  <c r="J15" i="3"/>
  <c r="BV15" i="3"/>
  <c r="CP15" i="3"/>
  <c r="BJ15" i="3"/>
  <c r="BN15" i="3"/>
  <c r="DB15" i="3"/>
  <c r="DF15" i="3"/>
  <c r="EP15" i="3"/>
  <c r="EH15" i="3"/>
  <c r="AD15" i="3"/>
  <c r="E117" i="3"/>
  <c r="BR15" i="3"/>
  <c r="DZ15" i="3"/>
  <c r="E14" i="3"/>
  <c r="C5" i="3" s="1"/>
  <c r="E118" i="3"/>
  <c r="ED15" i="3"/>
  <c r="N15" i="3"/>
  <c r="DV15" i="3"/>
  <c r="DR15" i="3"/>
  <c r="F15" i="3"/>
  <c r="E13" i="3"/>
  <c r="C4" i="3" s="1"/>
  <c r="C6" i="3" l="1"/>
  <c r="C7" i="3" s="1"/>
  <c r="E15" i="3"/>
</calcChain>
</file>

<file path=xl/sharedStrings.xml><?xml version="1.0" encoding="utf-8"?>
<sst xmlns="http://schemas.openxmlformats.org/spreadsheetml/2006/main" count="399" uniqueCount="64">
  <si>
    <t>TOPへ</t>
    <phoneticPr fontId="3"/>
  </si>
  <si>
    <t>受注金額</t>
    <rPh sb="0" eb="2">
      <t>ジュチュウ</t>
    </rPh>
    <rPh sb="2" eb="4">
      <t>キンガク</t>
    </rPh>
    <phoneticPr fontId="3"/>
  </si>
  <si>
    <t>売上計上額</t>
    <rPh sb="0" eb="2">
      <t>ウリアゲ</t>
    </rPh>
    <rPh sb="2" eb="4">
      <t>ケイジョウ</t>
    </rPh>
    <rPh sb="4" eb="5">
      <t>ガク</t>
    </rPh>
    <phoneticPr fontId="3"/>
  </si>
  <si>
    <t>原価金額</t>
    <rPh sb="0" eb="2">
      <t>ゲンカ</t>
    </rPh>
    <rPh sb="2" eb="4">
      <t>キンガク</t>
    </rPh>
    <phoneticPr fontId="3"/>
  </si>
  <si>
    <t>粗利額</t>
    <rPh sb="0" eb="2">
      <t>アラリ</t>
    </rPh>
    <rPh sb="2" eb="3">
      <t>ガク</t>
    </rPh>
    <phoneticPr fontId="3"/>
  </si>
  <si>
    <t>粗利率</t>
    <rPh sb="0" eb="2">
      <t>アラリ</t>
    </rPh>
    <rPh sb="2" eb="3">
      <t>リツ</t>
    </rPh>
    <phoneticPr fontId="3"/>
  </si>
  <si>
    <t>2026年</t>
    <phoneticPr fontId="3"/>
  </si>
  <si>
    <t>1Q</t>
  </si>
  <si>
    <t>2Q</t>
  </si>
  <si>
    <t>3Q</t>
  </si>
  <si>
    <t>4Q</t>
    <phoneticPr fontId="3"/>
  </si>
  <si>
    <t>4Q</t>
  </si>
  <si>
    <t>総合計</t>
    <rPh sb="0" eb="1">
      <t>ソウ</t>
    </rPh>
    <rPh sb="1" eb="3">
      <t>ゴウケイ</t>
    </rPh>
    <phoneticPr fontId="3"/>
  </si>
  <si>
    <t>工数</t>
    <rPh sb="0" eb="2">
      <t>コウスウ</t>
    </rPh>
    <phoneticPr fontId="3"/>
  </si>
  <si>
    <t>売上金額</t>
    <phoneticPr fontId="3"/>
  </si>
  <si>
    <t>原価金額</t>
    <phoneticPr fontId="3"/>
  </si>
  <si>
    <t>【社員・契約社員】</t>
    <rPh sb="1" eb="3">
      <t>シャイン</t>
    </rPh>
    <rPh sb="4" eb="6">
      <t>ケイヤク</t>
    </rPh>
    <rPh sb="6" eb="8">
      <t>シャイン</t>
    </rPh>
    <phoneticPr fontId="3"/>
  </si>
  <si>
    <t>※必要に応じて修正すること。</t>
    <rPh sb="1" eb="3">
      <t>ヒツヨウ</t>
    </rPh>
    <rPh sb="4" eb="5">
      <t>オウ</t>
    </rPh>
    <rPh sb="7" eb="9">
      <t>シュウセイ</t>
    </rPh>
    <phoneticPr fontId="3"/>
  </si>
  <si>
    <t>要員名</t>
    <rPh sb="0" eb="2">
      <t>ヨウイン</t>
    </rPh>
    <rPh sb="2" eb="3">
      <t>メイ</t>
    </rPh>
    <phoneticPr fontId="3"/>
  </si>
  <si>
    <t>月額単価</t>
    <rPh sb="0" eb="2">
      <t>ゲツガク</t>
    </rPh>
    <rPh sb="2" eb="4">
      <t>タンカ</t>
    </rPh>
    <phoneticPr fontId="3"/>
  </si>
  <si>
    <t>内訳</t>
    <rPh sb="0" eb="2">
      <t>ウチワケ</t>
    </rPh>
    <phoneticPr fontId="3"/>
  </si>
  <si>
    <t>合計</t>
    <rPh sb="0" eb="2">
      <t>ゴウケイ</t>
    </rPh>
    <phoneticPr fontId="3"/>
  </si>
  <si>
    <t>(上段:売上、下段:原価)</t>
    <phoneticPr fontId="3"/>
  </si>
  <si>
    <t>売上金額</t>
    <rPh sb="0" eb="2">
      <t>ウリアゲ</t>
    </rPh>
    <rPh sb="2" eb="4">
      <t>キンガク</t>
    </rPh>
    <phoneticPr fontId="3"/>
  </si>
  <si>
    <t>B</t>
    <phoneticPr fontId="4"/>
  </si>
  <si>
    <t>C</t>
    <phoneticPr fontId="4"/>
  </si>
  <si>
    <t>D</t>
    <phoneticPr fontId="4"/>
  </si>
  <si>
    <t>合　　　計</t>
    <rPh sb="0" eb="1">
      <t>ゴウ</t>
    </rPh>
    <rPh sb="4" eb="5">
      <t>ケイ</t>
    </rPh>
    <phoneticPr fontId="3"/>
  </si>
  <si>
    <t>【BP】</t>
    <phoneticPr fontId="3"/>
  </si>
  <si>
    <t>4：PG（オフショア）</t>
    <phoneticPr fontId="3"/>
  </si>
  <si>
    <t>2027年</t>
    <phoneticPr fontId="3"/>
  </si>
  <si>
    <t>2028年</t>
    <phoneticPr fontId="3"/>
  </si>
  <si>
    <t>福田</t>
    <rPh sb="0" eb="2">
      <t>フクダ</t>
    </rPh>
    <phoneticPr fontId="4"/>
  </si>
  <si>
    <t>1：PL（オフショア）</t>
    <phoneticPr fontId="3"/>
  </si>
  <si>
    <t>2：コミュニケータ（オフショア）</t>
    <phoneticPr fontId="3"/>
  </si>
  <si>
    <t>3：PG（オフショア）</t>
    <phoneticPr fontId="3"/>
  </si>
  <si>
    <t>ブリッジ</t>
    <phoneticPr fontId="3"/>
  </si>
  <si>
    <t>五石</t>
    <rPh sb="0" eb="2">
      <t>ゴイシ</t>
    </rPh>
    <phoneticPr fontId="3"/>
  </si>
  <si>
    <t>砂金</t>
    <rPh sb="0" eb="2">
      <t>イサゴ</t>
    </rPh>
    <phoneticPr fontId="3"/>
  </si>
  <si>
    <t>A</t>
    <phoneticPr fontId="3"/>
  </si>
  <si>
    <t>PL</t>
    <phoneticPr fontId="3"/>
  </si>
  <si>
    <t>SE1</t>
    <phoneticPr fontId="4"/>
  </si>
  <si>
    <t>SE2</t>
    <phoneticPr fontId="4"/>
  </si>
  <si>
    <t>PMO</t>
    <phoneticPr fontId="4"/>
  </si>
  <si>
    <t>国内BP１</t>
    <rPh sb="0" eb="2">
      <t>コクナイ</t>
    </rPh>
    <phoneticPr fontId="3"/>
  </si>
  <si>
    <t>国内BP2</t>
    <rPh sb="0" eb="2">
      <t>コクナイ</t>
    </rPh>
    <phoneticPr fontId="3"/>
  </si>
  <si>
    <t>5：PG（オフショア）</t>
    <phoneticPr fontId="3"/>
  </si>
  <si>
    <t>6：PG（オフショア）</t>
    <phoneticPr fontId="3"/>
  </si>
  <si>
    <t>7：PG（オフショア）</t>
    <phoneticPr fontId="3"/>
  </si>
  <si>
    <t>8：PG（オフショア）</t>
    <phoneticPr fontId="3"/>
  </si>
  <si>
    <t>9：PG（オフショア）</t>
    <phoneticPr fontId="3"/>
  </si>
  <si>
    <t>10：PG（オフショア）</t>
    <phoneticPr fontId="3"/>
  </si>
  <si>
    <t>11：PG（オフショア）</t>
    <phoneticPr fontId="3"/>
  </si>
  <si>
    <t>12：PG（オフショア）</t>
    <phoneticPr fontId="3"/>
  </si>
  <si>
    <t>13：PG（オフショア）</t>
    <phoneticPr fontId="3"/>
  </si>
  <si>
    <t>14：PG（オフショア）</t>
    <phoneticPr fontId="3"/>
  </si>
  <si>
    <t>15：PG（オフショア）</t>
    <phoneticPr fontId="3"/>
  </si>
  <si>
    <t>3：PL（オフショア）</t>
    <phoneticPr fontId="3"/>
  </si>
  <si>
    <t>4：PL（オフショア）</t>
    <phoneticPr fontId="3"/>
  </si>
  <si>
    <t>B</t>
    <phoneticPr fontId="3"/>
  </si>
  <si>
    <t>要員配置計画（運転管理制御システム通信サーバ更新：パターン１）</t>
    <rPh sb="7" eb="9">
      <t>ウンテン</t>
    </rPh>
    <rPh sb="9" eb="11">
      <t>カンリ</t>
    </rPh>
    <rPh sb="11" eb="19">
      <t>セイギョシステムツウシン</t>
    </rPh>
    <rPh sb="22" eb="24">
      <t>コウシン</t>
    </rPh>
    <phoneticPr fontId="4"/>
  </si>
  <si>
    <t>要員配置計画（運転管理制御システム通信サーバ更新：パターン２）</t>
    <rPh sb="7" eb="9">
      <t>ウンテン</t>
    </rPh>
    <rPh sb="9" eb="11">
      <t>カンリ</t>
    </rPh>
    <rPh sb="11" eb="19">
      <t>セイギョシステムツウシン</t>
    </rPh>
    <rPh sb="22" eb="24">
      <t>コウシン</t>
    </rPh>
    <phoneticPr fontId="4"/>
  </si>
  <si>
    <t>SE3</t>
    <phoneticPr fontId="4"/>
  </si>
  <si>
    <t>SE4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</si>
</sst>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&quot;¥&quot;#,##0_);\(&quot;¥&quot;#,##0\)"/>
    <numFmt numFmtId="177" formatCode="m&quot;月&quot;;@"/>
    <numFmt numFmtId="178" formatCode="#,##0.00_ ;;"/>
    <numFmt numFmtId="179" formatCode="&quot;¥&quot;#,##0\ ;&quot;¥&quot;\-#,##0\ ;;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9"/>
      <color theme="10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7" fillId="0" borderId="0" xfId="2" applyFont="1">
      <alignment vertical="center"/>
    </xf>
    <xf numFmtId="0" fontId="8" fillId="2" borderId="1" xfId="1" applyFont="1" applyFill="1" applyBorder="1" applyAlignment="1">
      <alignment horizontal="right" vertical="center"/>
    </xf>
    <xf numFmtId="176" fontId="5" fillId="3" borderId="2" xfId="1" applyNumberFormat="1" applyFont="1" applyFill="1" applyBorder="1">
      <alignment vertical="center"/>
    </xf>
    <xf numFmtId="0" fontId="8" fillId="2" borderId="3" xfId="1" applyFont="1" applyFill="1" applyBorder="1" applyAlignment="1">
      <alignment horizontal="right" vertical="center"/>
    </xf>
    <xf numFmtId="176" fontId="5" fillId="4" borderId="4" xfId="1" applyNumberFormat="1" applyFont="1" applyFill="1" applyBorder="1">
      <alignment vertical="center"/>
    </xf>
    <xf numFmtId="176" fontId="5" fillId="0" borderId="0" xfId="1" applyNumberFormat="1" applyFont="1">
      <alignment vertical="center"/>
    </xf>
    <xf numFmtId="0" fontId="8" fillId="2" borderId="5" xfId="1" applyFont="1" applyFill="1" applyBorder="1" applyAlignment="1">
      <alignment horizontal="right" vertical="center"/>
    </xf>
    <xf numFmtId="10" fontId="5" fillId="4" borderId="6" xfId="1" applyNumberFormat="1" applyFont="1" applyFill="1" applyBorder="1">
      <alignment vertical="center"/>
    </xf>
    <xf numFmtId="0" fontId="5" fillId="4" borderId="20" xfId="1" applyFont="1" applyFill="1" applyBorder="1">
      <alignment vertical="center"/>
    </xf>
    <xf numFmtId="178" fontId="5" fillId="4" borderId="20" xfId="1" applyNumberFormat="1" applyFont="1" applyFill="1" applyBorder="1">
      <alignment vertical="center"/>
    </xf>
    <xf numFmtId="0" fontId="5" fillId="4" borderId="27" xfId="1" applyFont="1" applyFill="1" applyBorder="1">
      <alignment vertical="center"/>
    </xf>
    <xf numFmtId="179" fontId="5" fillId="4" borderId="27" xfId="1" applyNumberFormat="1" applyFont="1" applyFill="1" applyBorder="1">
      <alignment vertical="center"/>
    </xf>
    <xf numFmtId="0" fontId="5" fillId="4" borderId="35" xfId="1" applyFont="1" applyFill="1" applyBorder="1">
      <alignment vertical="center"/>
    </xf>
    <xf numFmtId="179" fontId="5" fillId="4" borderId="35" xfId="1" applyNumberFormat="1" applyFont="1" applyFill="1" applyBorder="1">
      <alignment vertical="center"/>
    </xf>
    <xf numFmtId="0" fontId="9" fillId="0" borderId="0" xfId="1" applyFont="1">
      <alignment vertical="center"/>
    </xf>
    <xf numFmtId="0" fontId="8" fillId="2" borderId="11" xfId="1" applyFont="1" applyFill="1" applyBorder="1" applyAlignment="1">
      <alignment horizontal="center" vertical="center" shrinkToFit="1"/>
    </xf>
    <xf numFmtId="0" fontId="5" fillId="0" borderId="20" xfId="1" applyFont="1" applyBorder="1" applyAlignment="1">
      <alignment vertical="center" shrinkToFit="1"/>
    </xf>
    <xf numFmtId="176" fontId="5" fillId="0" borderId="8" xfId="1" applyNumberFormat="1" applyFont="1" applyBorder="1">
      <alignment vertical="center"/>
    </xf>
    <xf numFmtId="178" fontId="5" fillId="0" borderId="45" xfId="1" applyNumberFormat="1" applyFont="1" applyBorder="1">
      <alignment vertical="center"/>
    </xf>
    <xf numFmtId="179" fontId="5" fillId="5" borderId="27" xfId="1" applyNumberFormat="1" applyFont="1" applyFill="1" applyBorder="1">
      <alignment vertical="center"/>
    </xf>
    <xf numFmtId="176" fontId="5" fillId="5" borderId="12" xfId="1" applyNumberFormat="1" applyFont="1" applyFill="1" applyBorder="1">
      <alignment vertical="center"/>
    </xf>
    <xf numFmtId="179" fontId="5" fillId="5" borderId="48" xfId="1" applyNumberFormat="1" applyFont="1" applyFill="1" applyBorder="1">
      <alignment vertical="center"/>
    </xf>
    <xf numFmtId="179" fontId="5" fillId="6" borderId="35" xfId="1" applyNumberFormat="1" applyFont="1" applyFill="1" applyBorder="1">
      <alignment vertical="center"/>
    </xf>
    <xf numFmtId="176" fontId="5" fillId="6" borderId="50" xfId="1" applyNumberFormat="1" applyFont="1" applyFill="1" applyBorder="1">
      <alignment vertical="center"/>
    </xf>
    <xf numFmtId="179" fontId="5" fillId="6" borderId="51" xfId="1" applyNumberFormat="1" applyFont="1" applyFill="1" applyBorder="1">
      <alignment vertical="center"/>
    </xf>
    <xf numFmtId="178" fontId="5" fillId="4" borderId="55" xfId="1" applyNumberFormat="1" applyFont="1" applyFill="1" applyBorder="1">
      <alignment vertical="center"/>
    </xf>
    <xf numFmtId="179" fontId="5" fillId="4" borderId="48" xfId="1" applyNumberFormat="1" applyFont="1" applyFill="1" applyBorder="1">
      <alignment vertical="center"/>
    </xf>
    <xf numFmtId="179" fontId="5" fillId="4" borderId="64" xfId="1" applyNumberFormat="1" applyFont="1" applyFill="1" applyBorder="1">
      <alignment vertical="center"/>
    </xf>
    <xf numFmtId="0" fontId="5" fillId="0" borderId="39" xfId="1" applyFont="1" applyBorder="1" applyAlignment="1">
      <alignment horizontal="left" vertical="center" wrapText="1"/>
    </xf>
    <xf numFmtId="0" fontId="5" fillId="0" borderId="42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39" xfId="1" applyFont="1" applyBorder="1" applyAlignment="1">
      <alignment horizontal="left" vertical="center" wrapText="1"/>
    </xf>
    <xf numFmtId="0" fontId="5" fillId="0" borderId="42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179" fontId="5" fillId="4" borderId="66" xfId="1" applyNumberFormat="1" applyFont="1" applyFill="1" applyBorder="1" applyAlignment="1">
      <alignment vertical="center"/>
    </xf>
    <xf numFmtId="179" fontId="5" fillId="4" borderId="67" xfId="1" applyNumberFormat="1" applyFont="1" applyFill="1" applyBorder="1" applyAlignment="1">
      <alignment vertical="center"/>
    </xf>
    <xf numFmtId="179" fontId="5" fillId="4" borderId="68" xfId="1" applyNumberFormat="1" applyFont="1" applyFill="1" applyBorder="1" applyAlignment="1">
      <alignment vertical="center"/>
    </xf>
    <xf numFmtId="179" fontId="5" fillId="4" borderId="69" xfId="1" applyNumberFormat="1" applyFont="1" applyFill="1" applyBorder="1" applyAlignment="1">
      <alignment vertical="center"/>
    </xf>
    <xf numFmtId="179" fontId="5" fillId="4" borderId="27" xfId="1" applyNumberFormat="1" applyFont="1" applyFill="1" applyBorder="1" applyAlignment="1">
      <alignment vertical="center"/>
    </xf>
    <xf numFmtId="179" fontId="5" fillId="4" borderId="28" xfId="1" applyNumberFormat="1" applyFont="1" applyFill="1" applyBorder="1" applyAlignment="1">
      <alignment vertical="center"/>
    </xf>
    <xf numFmtId="179" fontId="5" fillId="4" borderId="29" xfId="1" applyNumberFormat="1" applyFont="1" applyFill="1" applyBorder="1" applyAlignment="1">
      <alignment vertical="center"/>
    </xf>
    <xf numFmtId="179" fontId="5" fillId="4" borderId="30" xfId="1" applyNumberFormat="1" applyFont="1" applyFill="1" applyBorder="1" applyAlignment="1">
      <alignment vertical="center"/>
    </xf>
    <xf numFmtId="179" fontId="5" fillId="4" borderId="65" xfId="1" applyNumberFormat="1" applyFont="1" applyFill="1" applyBorder="1" applyAlignment="1">
      <alignment vertical="center"/>
    </xf>
    <xf numFmtId="178" fontId="5" fillId="4" borderId="57" xfId="1" applyNumberFormat="1" applyFont="1" applyFill="1" applyBorder="1" applyAlignment="1">
      <alignment vertical="center"/>
    </xf>
    <xf numFmtId="178" fontId="5" fillId="4" borderId="58" xfId="1" applyNumberFormat="1" applyFont="1" applyFill="1" applyBorder="1" applyAlignment="1">
      <alignment vertical="center"/>
    </xf>
    <xf numFmtId="179" fontId="5" fillId="4" borderId="49" xfId="1" applyNumberFormat="1" applyFont="1" applyFill="1" applyBorder="1" applyAlignment="1">
      <alignment vertical="center"/>
    </xf>
    <xf numFmtId="178" fontId="5" fillId="4" borderId="59" xfId="1" applyNumberFormat="1" applyFont="1" applyFill="1" applyBorder="1" applyAlignment="1">
      <alignment vertical="center"/>
    </xf>
    <xf numFmtId="178" fontId="5" fillId="4" borderId="60" xfId="1" applyNumberFormat="1" applyFont="1" applyFill="1" applyBorder="1" applyAlignment="1">
      <alignment vertical="center"/>
    </xf>
    <xf numFmtId="0" fontId="5" fillId="4" borderId="53" xfId="1" applyFont="1" applyFill="1" applyBorder="1" applyAlignment="1">
      <alignment horizontal="center" vertical="center"/>
    </xf>
    <xf numFmtId="0" fontId="5" fillId="4" borderId="54" xfId="1" applyFont="1" applyFill="1" applyBorder="1" applyAlignment="1">
      <alignment horizontal="center" vertical="center"/>
    </xf>
    <xf numFmtId="0" fontId="5" fillId="4" borderId="61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62" xfId="1" applyFont="1" applyFill="1" applyBorder="1" applyAlignment="1">
      <alignment horizontal="center" vertical="center"/>
    </xf>
    <xf numFmtId="0" fontId="5" fillId="4" borderId="63" xfId="1" applyFont="1" applyFill="1" applyBorder="1" applyAlignment="1">
      <alignment horizontal="center" vertical="center"/>
    </xf>
    <xf numFmtId="178" fontId="5" fillId="4" borderId="56" xfId="1" applyNumberFormat="1" applyFont="1" applyFill="1" applyBorder="1" applyAlignment="1">
      <alignment vertical="center"/>
    </xf>
    <xf numFmtId="179" fontId="5" fillId="6" borderId="35" xfId="1" applyNumberFormat="1" applyFont="1" applyFill="1" applyBorder="1" applyAlignment="1">
      <alignment vertical="center"/>
    </xf>
    <xf numFmtId="179" fontId="5" fillId="6" borderId="15" xfId="1" applyNumberFormat="1" applyFont="1" applyFill="1" applyBorder="1" applyAlignment="1">
      <alignment vertical="center"/>
    </xf>
    <xf numFmtId="179" fontId="5" fillId="6" borderId="16" xfId="1" applyNumberFormat="1" applyFont="1" applyFill="1" applyBorder="1" applyAlignment="1">
      <alignment vertical="center"/>
    </xf>
    <xf numFmtId="179" fontId="5" fillId="6" borderId="17" xfId="1" applyNumberFormat="1" applyFont="1" applyFill="1" applyBorder="1" applyAlignment="1">
      <alignment vertical="center"/>
    </xf>
    <xf numFmtId="179" fontId="5" fillId="5" borderId="29" xfId="1" applyNumberFormat="1" applyFont="1" applyFill="1" applyBorder="1" applyAlignment="1">
      <alignment vertical="center"/>
    </xf>
    <xf numFmtId="179" fontId="5" fillId="5" borderId="30" xfId="1" applyNumberFormat="1" applyFont="1" applyFill="1" applyBorder="1" applyAlignment="1">
      <alignment vertical="center"/>
    </xf>
    <xf numFmtId="179" fontId="5" fillId="5" borderId="27" xfId="1" applyNumberFormat="1" applyFont="1" applyFill="1" applyBorder="1" applyAlignment="1">
      <alignment vertical="center"/>
    </xf>
    <xf numFmtId="179" fontId="5" fillId="5" borderId="28" xfId="1" applyNumberFormat="1" applyFont="1" applyFill="1" applyBorder="1" applyAlignment="1">
      <alignment vertical="center"/>
    </xf>
    <xf numFmtId="179" fontId="5" fillId="6" borderId="52" xfId="1" applyNumberFormat="1" applyFont="1" applyFill="1" applyBorder="1" applyAlignment="1">
      <alignment vertical="center"/>
    </xf>
    <xf numFmtId="178" fontId="5" fillId="0" borderId="22" xfId="1" applyNumberFormat="1" applyFont="1" applyBorder="1" applyAlignment="1">
      <alignment vertical="center"/>
    </xf>
    <xf numFmtId="178" fontId="5" fillId="0" borderId="23" xfId="1" applyNumberFormat="1" applyFont="1" applyBorder="1" applyAlignment="1">
      <alignment vertical="center"/>
    </xf>
    <xf numFmtId="179" fontId="5" fillId="5" borderId="49" xfId="1" applyNumberFormat="1" applyFont="1" applyFill="1" applyBorder="1" applyAlignment="1">
      <alignment vertical="center"/>
    </xf>
    <xf numFmtId="178" fontId="5" fillId="0" borderId="20" xfId="1" applyNumberFormat="1" applyFont="1" applyBorder="1" applyAlignment="1">
      <alignment vertical="center"/>
    </xf>
    <xf numFmtId="178" fontId="5" fillId="0" borderId="21" xfId="1" applyNumberFormat="1" applyFont="1" applyBorder="1" applyAlignment="1">
      <alignment vertical="center"/>
    </xf>
    <xf numFmtId="0" fontId="5" fillId="0" borderId="39" xfId="1" applyFont="1" applyBorder="1" applyAlignment="1">
      <alignment horizontal="left" vertical="center"/>
    </xf>
    <xf numFmtId="0" fontId="5" fillId="0" borderId="42" xfId="1" applyFont="1" applyBorder="1" applyAlignment="1">
      <alignment horizontal="left" vertical="center"/>
    </xf>
    <xf numFmtId="178" fontId="5" fillId="0" borderId="46" xfId="1" applyNumberFormat="1" applyFont="1" applyBorder="1" applyAlignment="1">
      <alignment vertical="center"/>
    </xf>
    <xf numFmtId="0" fontId="5" fillId="0" borderId="39" xfId="1" applyFont="1" applyBorder="1" applyAlignment="1">
      <alignment horizontal="left" vertical="center" wrapText="1"/>
    </xf>
    <xf numFmtId="0" fontId="5" fillId="0" borderId="42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/>
    </xf>
    <xf numFmtId="177" fontId="8" fillId="2" borderId="16" xfId="1" applyNumberFormat="1" applyFont="1" applyFill="1" applyBorder="1" applyAlignment="1">
      <alignment horizontal="center" vertical="center"/>
    </xf>
    <xf numFmtId="177" fontId="8" fillId="2" borderId="17" xfId="1" applyNumberFormat="1" applyFont="1" applyFill="1" applyBorder="1" applyAlignment="1">
      <alignment horizontal="center" vertical="center"/>
    </xf>
    <xf numFmtId="177" fontId="8" fillId="2" borderId="15" xfId="1" applyNumberFormat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/>
    </xf>
    <xf numFmtId="0" fontId="8" fillId="2" borderId="42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8" fillId="2" borderId="43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/>
    </xf>
    <xf numFmtId="178" fontId="5" fillId="0" borderId="47" xfId="1" applyNumberFormat="1" applyFont="1" applyBorder="1" applyAlignment="1">
      <alignment vertical="center"/>
    </xf>
    <xf numFmtId="179" fontId="5" fillId="4" borderId="16" xfId="1" applyNumberFormat="1" applyFont="1" applyFill="1" applyBorder="1" applyAlignment="1">
      <alignment vertical="center"/>
    </xf>
    <xf numFmtId="179" fontId="5" fillId="4" borderId="17" xfId="1" applyNumberFormat="1" applyFont="1" applyFill="1" applyBorder="1" applyAlignment="1">
      <alignment vertical="center"/>
    </xf>
    <xf numFmtId="179" fontId="5" fillId="4" borderId="15" xfId="1" applyNumberFormat="1" applyFont="1" applyFill="1" applyBorder="1" applyAlignment="1">
      <alignment vertical="center"/>
    </xf>
    <xf numFmtId="179" fontId="5" fillId="4" borderId="36" xfId="1" applyNumberFormat="1" applyFont="1" applyFill="1" applyBorder="1" applyAlignment="1">
      <alignment vertical="center"/>
    </xf>
    <xf numFmtId="179" fontId="5" fillId="4" borderId="37" xfId="1" applyNumberFormat="1" applyFont="1" applyFill="1" applyBorder="1" applyAlignment="1">
      <alignment vertical="center"/>
    </xf>
    <xf numFmtId="179" fontId="5" fillId="4" borderId="38" xfId="1" applyNumberFormat="1" applyFont="1" applyFill="1" applyBorder="1" applyAlignment="1">
      <alignment vertical="center"/>
    </xf>
    <xf numFmtId="179" fontId="5" fillId="4" borderId="31" xfId="1" applyNumberFormat="1" applyFont="1" applyFill="1" applyBorder="1" applyAlignment="1">
      <alignment vertical="center"/>
    </xf>
    <xf numFmtId="179" fontId="5" fillId="4" borderId="13" xfId="1" applyNumberFormat="1" applyFont="1" applyFill="1" applyBorder="1" applyAlignment="1">
      <alignment vertical="center"/>
    </xf>
    <xf numFmtId="179" fontId="5" fillId="4" borderId="32" xfId="1" applyNumberFormat="1" applyFont="1" applyFill="1" applyBorder="1" applyAlignment="1">
      <alignment vertical="center"/>
    </xf>
    <xf numFmtId="178" fontId="5" fillId="4" borderId="22" xfId="1" applyNumberFormat="1" applyFont="1" applyFill="1" applyBorder="1" applyAlignment="1">
      <alignment vertical="center"/>
    </xf>
    <xf numFmtId="178" fontId="5" fillId="4" borderId="23" xfId="1" applyNumberFormat="1" applyFont="1" applyFill="1" applyBorder="1" applyAlignment="1">
      <alignment vertical="center"/>
    </xf>
    <xf numFmtId="178" fontId="5" fillId="4" borderId="21" xfId="1" applyNumberFormat="1" applyFont="1" applyFill="1" applyBorder="1" applyAlignment="1">
      <alignment vertical="center"/>
    </xf>
    <xf numFmtId="0" fontId="5" fillId="4" borderId="18" xfId="1" applyFont="1" applyFill="1" applyBorder="1" applyAlignment="1">
      <alignment vertical="center"/>
    </xf>
    <xf numFmtId="0" fontId="5" fillId="4" borderId="19" xfId="1" applyFont="1" applyFill="1" applyBorder="1" applyAlignment="1">
      <alignment vertical="center"/>
    </xf>
    <xf numFmtId="0" fontId="5" fillId="4" borderId="25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33" xfId="1" applyFont="1" applyFill="1" applyBorder="1" applyAlignment="1">
      <alignment vertical="center"/>
    </xf>
    <xf numFmtId="0" fontId="5" fillId="4" borderId="34" xfId="1" applyFont="1" applyFill="1" applyBorder="1" applyAlignment="1">
      <alignment vertical="center"/>
    </xf>
    <xf numFmtId="178" fontId="5" fillId="4" borderId="8" xfId="1" applyNumberFormat="1" applyFont="1" applyFill="1" applyBorder="1" applyAlignment="1">
      <alignment vertical="center"/>
    </xf>
    <xf numFmtId="178" fontId="5" fillId="4" borderId="9" xfId="1" applyNumberFormat="1" applyFont="1" applyFill="1" applyBorder="1" applyAlignment="1">
      <alignment vertical="center"/>
    </xf>
    <xf numFmtId="178" fontId="5" fillId="4" borderId="10" xfId="1" applyNumberFormat="1" applyFont="1" applyFill="1" applyBorder="1" applyAlignment="1">
      <alignment vertical="center"/>
    </xf>
    <xf numFmtId="178" fontId="5" fillId="4" borderId="24" xfId="1" applyNumberFormat="1" applyFont="1" applyFill="1" applyBorder="1" applyAlignment="1">
      <alignment vertical="center"/>
    </xf>
    <xf numFmtId="0" fontId="8" fillId="2" borderId="7" xfId="1" applyFont="1" applyFill="1" applyBorder="1" applyAlignment="1">
      <alignment horizontal="center" vertical="center"/>
    </xf>
  </cellXfs>
  <cellStyles count="3">
    <cellStyle name="ハイパーリンク 2" xfId="2"/>
    <cellStyle name="標準" xfId="0" builtinId="0"/>
    <cellStyle name="標準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32658</xdr:colOff>
      <xdr:row>15</xdr:row>
      <xdr:rowOff>108857</xdr:rowOff>
    </xdr:from>
    <xdr:to>
      <xdr:col>12</xdr:col>
      <xdr:colOff>65315</xdr:colOff>
      <xdr:row>15</xdr:row>
      <xdr:rowOff>1110342</xdr:rowOff>
    </xdr:to>
    <xdr:sp macro="" textlink="">
      <xdr:nvSpPr>
        <xdr:cNvPr id="2" name="ホームベース 1"/>
        <xdr:cNvSpPr/>
      </xdr:nvSpPr>
      <xdr:spPr>
        <a:xfrm>
          <a:off x="4169229" y="3396343"/>
          <a:ext cx="1556657" cy="100148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要件定義</a:t>
          </a:r>
        </a:p>
      </xdr:txBody>
    </xdr:sp>
    <xdr:clientData/>
  </xdr:twoCellAnchor>
  <xdr:twoCellAnchor>
    <xdr:from>
      <xdr:col>12</xdr:col>
      <xdr:colOff>87085</xdr:colOff>
      <xdr:row>15</xdr:row>
      <xdr:rowOff>119743</xdr:rowOff>
    </xdr:from>
    <xdr:to>
      <xdr:col>24</xdr:col>
      <xdr:colOff>-1</xdr:colOff>
      <xdr:row>15</xdr:row>
      <xdr:rowOff>1121228</xdr:rowOff>
    </xdr:to>
    <xdr:sp macro="" textlink="">
      <xdr:nvSpPr>
        <xdr:cNvPr id="3" name="ホームベース 2"/>
        <xdr:cNvSpPr/>
      </xdr:nvSpPr>
      <xdr:spPr>
        <a:xfrm>
          <a:off x="5684321" y="3444834"/>
          <a:ext cx="2406733" cy="100148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基本設計</a:t>
          </a:r>
        </a:p>
      </xdr:txBody>
    </xdr:sp>
    <xdr:clientData/>
  </xdr:twoCellAnchor>
  <xdr:twoCellAnchor>
    <xdr:from>
      <xdr:col>22</xdr:col>
      <xdr:colOff>83127</xdr:colOff>
      <xdr:row>15</xdr:row>
      <xdr:rowOff>772885</xdr:rowOff>
    </xdr:from>
    <xdr:to>
      <xdr:col>36</xdr:col>
      <xdr:colOff>87086</xdr:colOff>
      <xdr:row>16</xdr:row>
      <xdr:rowOff>10885</xdr:rowOff>
    </xdr:to>
    <xdr:sp macro="" textlink="">
      <xdr:nvSpPr>
        <xdr:cNvPr id="4" name="ホームベース 3"/>
        <xdr:cNvSpPr/>
      </xdr:nvSpPr>
      <xdr:spPr>
        <a:xfrm>
          <a:off x="7758545" y="4097976"/>
          <a:ext cx="2913414" cy="1011382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詳細設計</a:t>
          </a:r>
        </a:p>
      </xdr:txBody>
    </xdr:sp>
    <xdr:clientData/>
  </xdr:twoCellAnchor>
  <xdr:twoCellAnchor>
    <xdr:from>
      <xdr:col>32</xdr:col>
      <xdr:colOff>152402</xdr:colOff>
      <xdr:row>15</xdr:row>
      <xdr:rowOff>130628</xdr:rowOff>
    </xdr:from>
    <xdr:to>
      <xdr:col>57</xdr:col>
      <xdr:colOff>1</xdr:colOff>
      <xdr:row>15</xdr:row>
      <xdr:rowOff>1132113</xdr:rowOff>
    </xdr:to>
    <xdr:sp macro="" textlink="">
      <xdr:nvSpPr>
        <xdr:cNvPr id="5" name="ホームベース 4"/>
        <xdr:cNvSpPr/>
      </xdr:nvSpPr>
      <xdr:spPr>
        <a:xfrm>
          <a:off x="10167259" y="3418114"/>
          <a:ext cx="5290456" cy="100148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PG/PT</a:t>
          </a:r>
          <a:endParaRPr kumimoji="1" lang="ja-JP" altLang="en-US" sz="1800"/>
        </a:p>
      </xdr:txBody>
    </xdr:sp>
    <xdr:clientData/>
  </xdr:twoCellAnchor>
  <xdr:twoCellAnchor>
    <xdr:from>
      <xdr:col>52</xdr:col>
      <xdr:colOff>185058</xdr:colOff>
      <xdr:row>15</xdr:row>
      <xdr:rowOff>756557</xdr:rowOff>
    </xdr:from>
    <xdr:to>
      <xdr:col>68</xdr:col>
      <xdr:colOff>195944</xdr:colOff>
      <xdr:row>15</xdr:row>
      <xdr:rowOff>1758042</xdr:rowOff>
    </xdr:to>
    <xdr:sp macro="" textlink="">
      <xdr:nvSpPr>
        <xdr:cNvPr id="6" name="ホームベース 5"/>
        <xdr:cNvSpPr/>
      </xdr:nvSpPr>
      <xdr:spPr>
        <a:xfrm>
          <a:off x="14554201" y="4044043"/>
          <a:ext cx="3494314" cy="100148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結合テスト</a:t>
          </a:r>
        </a:p>
      </xdr:txBody>
    </xdr:sp>
    <xdr:clientData/>
  </xdr:twoCellAnchor>
  <xdr:twoCellAnchor>
    <xdr:from>
      <xdr:col>67</xdr:col>
      <xdr:colOff>138546</xdr:colOff>
      <xdr:row>15</xdr:row>
      <xdr:rowOff>185057</xdr:rowOff>
    </xdr:from>
    <xdr:to>
      <xdr:col>79</xdr:col>
      <xdr:colOff>38100</xdr:colOff>
      <xdr:row>15</xdr:row>
      <xdr:rowOff>1186542</xdr:rowOff>
    </xdr:to>
    <xdr:sp macro="" textlink="">
      <xdr:nvSpPr>
        <xdr:cNvPr id="7" name="ホームベース 6"/>
        <xdr:cNvSpPr/>
      </xdr:nvSpPr>
      <xdr:spPr>
        <a:xfrm>
          <a:off x="17165782" y="3510148"/>
          <a:ext cx="2393373" cy="100148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システムテスト</a:t>
          </a:r>
        </a:p>
      </xdr:txBody>
    </xdr:sp>
    <xdr:clientData/>
  </xdr:twoCellAnchor>
  <xdr:twoCellAnchor>
    <xdr:from>
      <xdr:col>76</xdr:col>
      <xdr:colOff>207817</xdr:colOff>
      <xdr:row>15</xdr:row>
      <xdr:rowOff>822366</xdr:rowOff>
    </xdr:from>
    <xdr:to>
      <xdr:col>88</xdr:col>
      <xdr:colOff>180108</xdr:colOff>
      <xdr:row>16</xdr:row>
      <xdr:rowOff>50469</xdr:rowOff>
    </xdr:to>
    <xdr:sp macro="" textlink="">
      <xdr:nvSpPr>
        <xdr:cNvPr id="8" name="ホームベース 7"/>
        <xdr:cNvSpPr/>
      </xdr:nvSpPr>
      <xdr:spPr>
        <a:xfrm>
          <a:off x="19105417" y="4147457"/>
          <a:ext cx="2466109" cy="1001485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導入・初期流動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7.121.23\siono-m\Documents%20and%20Settings\m-shiono\My%20Documents\pj-plan-200403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03.&#37096;&#20869;&#38306;&#36899;/&#12481;&#12540;&#12512;&#31119;&#30000;/&#35201;&#21729;&#35336;&#30011;_202304-20240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QMSISMS/Shared%20Documents/&#20844;&#38283;&#25991;&#26360;/99.&#27096;&#24335;/02-04-02_&#12503;&#12525;&#12472;&#12455;&#12463;&#12488;&#23436;&#20102;&#22577;&#21578;&#26360;%20Ver.3.3&#65288;&#25913;&#23450;&#20013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プロジェクト実施計画書　表紙"/>
      <sheetName val="プロジェクト実施計画書"/>
      <sheetName val="プロジェクト計画書【小規模】"/>
      <sheetName val="プロジェクト計画書【中規模】"/>
      <sheetName val="体制図"/>
      <sheetName val="リクワイアメント"/>
      <sheetName val="要員計画表(社内）"/>
      <sheetName val="要員計画表(外注）"/>
      <sheetName val="ＥＷＳ"/>
      <sheetName val="費用計画表"/>
      <sheetName val="外注計画"/>
      <sheetName val="予定実績対比"/>
      <sheetName val="Ｐ．Ｍ．Ｓ"/>
      <sheetName val="マスタースケジュール"/>
      <sheetName val="プロセスフロー【小規模】"/>
      <sheetName val="プロセスフロー【中規模】"/>
      <sheetName val="改訂理由書"/>
      <sheetName val="失注理由書"/>
      <sheetName val="経費振替依頼書"/>
      <sheetName val="プロジェクト完成報告書"/>
      <sheetName val="予実差異理由書"/>
      <sheetName val="書式一覧表"/>
      <sheetName val="発番依頼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要員計画"/>
      <sheetName val="要員計画(担当者別)"/>
      <sheetName val="ES1006"/>
      <sheetName val="ES2023040103"/>
      <sheetName val="原紙"/>
      <sheetName val="マスタ"/>
      <sheetName val="単価マスタ"/>
      <sheetName val="要員計画_202304-202403"/>
    </sheetNames>
    <sheetDataSet>
      <sheetData sheetId="0">
        <row r="1">
          <cell r="AJ1"/>
        </row>
        <row r="3">
          <cell r="L3" t="str">
            <v>検索キー</v>
          </cell>
          <cell r="M3" t="str">
            <v>2023年度（27期）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 t="str">
            <v>2024年度（28期）</v>
          </cell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</row>
        <row r="4">
          <cell r="L4"/>
          <cell r="M4" t="str">
            <v>1Q</v>
          </cell>
          <cell r="N4"/>
          <cell r="O4"/>
          <cell r="P4" t="str">
            <v>2Q</v>
          </cell>
          <cell r="Q4"/>
          <cell r="R4"/>
          <cell r="S4" t="str">
            <v>３Q</v>
          </cell>
          <cell r="T4"/>
          <cell r="U4"/>
          <cell r="V4" t="str">
            <v>４Q</v>
          </cell>
          <cell r="W4"/>
          <cell r="X4"/>
          <cell r="Y4" t="str">
            <v>1Q</v>
          </cell>
          <cell r="Z4"/>
          <cell r="AA4"/>
          <cell r="AB4" t="str">
            <v>2Q</v>
          </cell>
          <cell r="AC4"/>
          <cell r="AD4"/>
          <cell r="AE4" t="str">
            <v>３Q</v>
          </cell>
          <cell r="AF4"/>
          <cell r="AG4"/>
          <cell r="AH4" t="str">
            <v>４Q</v>
          </cell>
          <cell r="AI4"/>
          <cell r="AJ4"/>
        </row>
        <row r="5">
          <cell r="L5"/>
          <cell r="M5" t="str">
            <v>4月</v>
          </cell>
          <cell r="N5" t="str">
            <v>5月</v>
          </cell>
          <cell r="O5" t="str">
            <v>6月</v>
          </cell>
          <cell r="P5" t="str">
            <v>7月</v>
          </cell>
          <cell r="Q5" t="str">
            <v>8月</v>
          </cell>
          <cell r="R5" t="str">
            <v>9月</v>
          </cell>
          <cell r="S5" t="str">
            <v>10月</v>
          </cell>
          <cell r="T5" t="str">
            <v>11月</v>
          </cell>
          <cell r="U5" t="str">
            <v>12月</v>
          </cell>
          <cell r="V5" t="str">
            <v>1月</v>
          </cell>
          <cell r="W5" t="str">
            <v>2月</v>
          </cell>
          <cell r="X5" t="str">
            <v>3月</v>
          </cell>
          <cell r="Y5" t="str">
            <v>4月</v>
          </cell>
          <cell r="Z5" t="str">
            <v>5月</v>
          </cell>
          <cell r="AA5" t="str">
            <v>6月</v>
          </cell>
          <cell r="AB5" t="str">
            <v>7月</v>
          </cell>
          <cell r="AC5" t="str">
            <v>8月</v>
          </cell>
          <cell r="AD5" t="str">
            <v>9月</v>
          </cell>
          <cell r="AE5" t="str">
            <v>10月</v>
          </cell>
          <cell r="AF5" t="str">
            <v>11月</v>
          </cell>
          <cell r="AG5" t="str">
            <v>12月</v>
          </cell>
          <cell r="AH5" t="str">
            <v>1月</v>
          </cell>
          <cell r="AI5" t="str">
            <v>2月</v>
          </cell>
          <cell r="AJ5" t="str">
            <v>3月</v>
          </cell>
        </row>
        <row r="6">
          <cell r="L6" t="e">
            <v>#VALUE!</v>
          </cell>
          <cell r="M6">
            <v>0.5</v>
          </cell>
          <cell r="N6">
            <v>0.7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</row>
        <row r="7">
          <cell r="L7" t="e">
            <v>#VALUE!</v>
          </cell>
          <cell r="M7">
            <v>0.25</v>
          </cell>
          <cell r="N7">
            <v>0.25</v>
          </cell>
          <cell r="O7">
            <v>0.25</v>
          </cell>
          <cell r="P7">
            <v>0.25</v>
          </cell>
          <cell r="Q7">
            <v>0.25</v>
          </cell>
          <cell r="R7">
            <v>0.25</v>
          </cell>
          <cell r="S7">
            <v>0.5</v>
          </cell>
          <cell r="T7">
            <v>0.5</v>
          </cell>
          <cell r="U7">
            <v>0.5</v>
          </cell>
          <cell r="V7">
            <v>0.5</v>
          </cell>
          <cell r="W7">
            <v>0.5</v>
          </cell>
          <cell r="X7">
            <v>0.5</v>
          </cell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</row>
        <row r="8">
          <cell r="L8" t="e">
            <v>#VALUE!</v>
          </cell>
          <cell r="M8">
            <v>0.25</v>
          </cell>
          <cell r="N8">
            <v>0.25</v>
          </cell>
          <cell r="O8">
            <v>0.25</v>
          </cell>
          <cell r="P8">
            <v>0.25</v>
          </cell>
          <cell r="Q8">
            <v>0.25</v>
          </cell>
          <cell r="R8">
            <v>0.25</v>
          </cell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</row>
        <row r="9"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</row>
        <row r="10">
          <cell r="L10"/>
          <cell r="M10">
            <v>0.2</v>
          </cell>
          <cell r="N10">
            <v>0.2</v>
          </cell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</row>
        <row r="11">
          <cell r="L11" t="e">
            <v>#VALUE!</v>
          </cell>
          <cell r="M11">
            <v>0.15</v>
          </cell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</row>
        <row r="12">
          <cell r="L12" t="e">
            <v>#VALUE!</v>
          </cell>
          <cell r="M12">
            <v>0.1</v>
          </cell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</row>
        <row r="13">
          <cell r="L13" t="str">
            <v/>
          </cell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</row>
        <row r="14">
          <cell r="L14" t="str">
            <v/>
          </cell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</row>
        <row r="15">
          <cell r="L15" t="str">
            <v/>
          </cell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</row>
        <row r="16">
          <cell r="L16" t="str">
            <v/>
          </cell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</row>
        <row r="17">
          <cell r="L17" t="str">
            <v/>
          </cell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</row>
        <row r="19">
          <cell r="L19" t="e">
            <v>#VALUE!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</row>
        <row r="20">
          <cell r="L20" t="str">
            <v/>
          </cell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</row>
        <row r="21">
          <cell r="L21" t="str">
            <v/>
          </cell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</row>
        <row r="22">
          <cell r="L22" t="str">
            <v/>
          </cell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</row>
        <row r="23">
          <cell r="L23" t="str">
            <v/>
          </cell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</row>
        <row r="24">
          <cell r="L24" t="str">
            <v/>
          </cell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</row>
        <row r="25">
          <cell r="L25" t="str">
            <v/>
          </cell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</row>
        <row r="26">
          <cell r="L26" t="str">
            <v/>
          </cell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</row>
        <row r="27">
          <cell r="L27" t="str">
            <v/>
          </cell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</row>
        <row r="28">
          <cell r="L28" t="str">
            <v/>
          </cell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</row>
        <row r="29">
          <cell r="L29" t="e">
            <v>#VALUE!</v>
          </cell>
          <cell r="M29">
            <v>0.1</v>
          </cell>
          <cell r="N29">
            <v>0.1</v>
          </cell>
          <cell r="O29">
            <v>0.1</v>
          </cell>
          <cell r="P29">
            <v>0.1</v>
          </cell>
          <cell r="Q29">
            <v>0.1</v>
          </cell>
          <cell r="R29">
            <v>0.1</v>
          </cell>
          <cell r="S29">
            <v>0.1</v>
          </cell>
          <cell r="T29">
            <v>0.1</v>
          </cell>
          <cell r="U29">
            <v>0.1</v>
          </cell>
          <cell r="V29">
            <v>0.1</v>
          </cell>
          <cell r="W29">
            <v>0.1</v>
          </cell>
          <cell r="X29">
            <v>0.1</v>
          </cell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</row>
        <row r="30">
          <cell r="L30" t="e">
            <v>#VALUE!</v>
          </cell>
          <cell r="M30">
            <v>0.3</v>
          </cell>
          <cell r="N30">
            <v>0.3</v>
          </cell>
          <cell r="O30">
            <v>0.3</v>
          </cell>
          <cell r="P30">
            <v>0.3</v>
          </cell>
          <cell r="Q30">
            <v>0.3</v>
          </cell>
          <cell r="R30">
            <v>0.3</v>
          </cell>
          <cell r="S30">
            <v>0.3</v>
          </cell>
          <cell r="T30">
            <v>0.3</v>
          </cell>
          <cell r="U30">
            <v>0.3</v>
          </cell>
          <cell r="V30">
            <v>0.3</v>
          </cell>
          <cell r="W30">
            <v>0.3</v>
          </cell>
          <cell r="X30">
            <v>0.3</v>
          </cell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</row>
        <row r="31">
          <cell r="L31" t="str">
            <v/>
          </cell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</row>
        <row r="32">
          <cell r="L32" t="str">
            <v/>
          </cell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</row>
        <row r="33">
          <cell r="L33" t="str">
            <v/>
          </cell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</row>
        <row r="34">
          <cell r="L34" t="str">
            <v/>
          </cell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</row>
        <row r="35">
          <cell r="L35" t="str">
            <v/>
          </cell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</row>
        <row r="36">
          <cell r="L36" t="str">
            <v/>
          </cell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</row>
        <row r="37">
          <cell r="L37" t="str">
            <v/>
          </cell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</row>
        <row r="38">
          <cell r="L38" t="str">
            <v/>
          </cell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</row>
        <row r="39">
          <cell r="L39" t="e">
            <v>#VALUE!</v>
          </cell>
          <cell r="M39"/>
          <cell r="N39"/>
          <cell r="O39"/>
          <cell r="P39">
            <v>0.05</v>
          </cell>
          <cell r="Q39">
            <v>0.05</v>
          </cell>
          <cell r="R39">
            <v>0.05</v>
          </cell>
          <cell r="S39">
            <v>0.05</v>
          </cell>
          <cell r="T39">
            <v>0.05</v>
          </cell>
          <cell r="U39">
            <v>0.05</v>
          </cell>
          <cell r="V39">
            <v>0.05</v>
          </cell>
          <cell r="W39">
            <v>0.05</v>
          </cell>
          <cell r="X39">
            <v>0.05</v>
          </cell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</row>
        <row r="40">
          <cell r="L40" t="e">
            <v>#VALUE!</v>
          </cell>
          <cell r="M40"/>
          <cell r="N40"/>
          <cell r="O40"/>
          <cell r="P40">
            <v>0.3</v>
          </cell>
          <cell r="Q40">
            <v>0.3</v>
          </cell>
          <cell r="R40">
            <v>0.3</v>
          </cell>
          <cell r="S40">
            <v>0.3</v>
          </cell>
          <cell r="T40">
            <v>0.3</v>
          </cell>
          <cell r="U40">
            <v>0.3</v>
          </cell>
          <cell r="V40">
            <v>0.3</v>
          </cell>
          <cell r="W40">
            <v>0.3</v>
          </cell>
          <cell r="X40">
            <v>0.3</v>
          </cell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</row>
        <row r="41">
          <cell r="L41" t="e">
            <v>#VALUE!</v>
          </cell>
          <cell r="M41">
            <v>0.35</v>
          </cell>
          <cell r="N41">
            <v>0.35</v>
          </cell>
          <cell r="O41">
            <v>0.35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</row>
        <row r="42">
          <cell r="L42" t="str">
            <v/>
          </cell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</row>
        <row r="43">
          <cell r="L43" t="str">
            <v/>
          </cell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</row>
        <row r="44">
          <cell r="L44" t="str">
            <v/>
          </cell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</row>
        <row r="45">
          <cell r="L45" t="str">
            <v/>
          </cell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</row>
        <row r="46">
          <cell r="L46" t="str">
            <v/>
          </cell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</row>
        <row r="47">
          <cell r="L47" t="str">
            <v/>
          </cell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</row>
        <row r="48">
          <cell r="L48" t="str">
            <v/>
          </cell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</row>
        <row r="49">
          <cell r="L49" t="e">
            <v>#VALUE!</v>
          </cell>
          <cell r="M49">
            <v>0.05</v>
          </cell>
          <cell r="N49">
            <v>0.05</v>
          </cell>
          <cell r="O49">
            <v>0.05</v>
          </cell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</row>
        <row r="50">
          <cell r="L50" t="e">
            <v>#VALUE!</v>
          </cell>
          <cell r="M50">
            <v>0.2</v>
          </cell>
          <cell r="N50">
            <v>0.2</v>
          </cell>
          <cell r="O50">
            <v>0.2</v>
          </cell>
          <cell r="P50">
            <v>0.25</v>
          </cell>
          <cell r="Q50">
            <v>0.25</v>
          </cell>
          <cell r="R50">
            <v>0.25</v>
          </cell>
          <cell r="S50">
            <v>0.25</v>
          </cell>
          <cell r="T50">
            <v>0.25</v>
          </cell>
          <cell r="U50">
            <v>0.25</v>
          </cell>
          <cell r="V50">
            <v>0.25</v>
          </cell>
          <cell r="W50">
            <v>0.25</v>
          </cell>
          <cell r="X50">
            <v>0.25</v>
          </cell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</row>
        <row r="51">
          <cell r="L51" t="e">
            <v>#VALUE!</v>
          </cell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</row>
        <row r="52">
          <cell r="L52" t="str">
            <v/>
          </cell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</row>
        <row r="53">
          <cell r="L53" t="str">
            <v/>
          </cell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</row>
        <row r="54">
          <cell r="L54" t="e">
            <v>#VALUE!</v>
          </cell>
          <cell r="M54">
            <v>0.05</v>
          </cell>
          <cell r="N54">
            <v>0.05</v>
          </cell>
          <cell r="O54">
            <v>0.05</v>
          </cell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</row>
        <row r="55">
          <cell r="L55" t="e">
            <v>#VALUE!</v>
          </cell>
          <cell r="M55">
            <v>0.2</v>
          </cell>
          <cell r="N55">
            <v>0.2</v>
          </cell>
          <cell r="O55">
            <v>0.2</v>
          </cell>
          <cell r="P55">
            <v>0.25</v>
          </cell>
          <cell r="Q55">
            <v>0.25</v>
          </cell>
          <cell r="R55">
            <v>0.25</v>
          </cell>
          <cell r="S55">
            <v>0.25</v>
          </cell>
          <cell r="T55">
            <v>0.25</v>
          </cell>
          <cell r="U55">
            <v>0.25</v>
          </cell>
          <cell r="V55">
            <v>0.25</v>
          </cell>
          <cell r="W55">
            <v>0.25</v>
          </cell>
          <cell r="X55">
            <v>0.25</v>
          </cell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</row>
        <row r="56">
          <cell r="L56" t="e">
            <v>#VALUE!</v>
          </cell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</row>
        <row r="57">
          <cell r="L57" t="str">
            <v/>
          </cell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</row>
        <row r="58">
          <cell r="L58" t="str">
            <v/>
          </cell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</row>
        <row r="59">
          <cell r="L59" t="e">
            <v>#VALUE!</v>
          </cell>
          <cell r="M59">
            <v>0.1</v>
          </cell>
          <cell r="N59">
            <v>0.1</v>
          </cell>
          <cell r="O59">
            <v>0.1</v>
          </cell>
          <cell r="P59">
            <v>0.1</v>
          </cell>
          <cell r="Q59">
            <v>0.1</v>
          </cell>
          <cell r="R59">
            <v>0.1</v>
          </cell>
          <cell r="S59">
            <v>0.1</v>
          </cell>
          <cell r="T59">
            <v>0.1</v>
          </cell>
          <cell r="U59">
            <v>0.1</v>
          </cell>
          <cell r="V59">
            <v>0.1</v>
          </cell>
          <cell r="W59">
            <v>0.1</v>
          </cell>
          <cell r="X59">
            <v>0.1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</row>
        <row r="60">
          <cell r="L60" t="e">
            <v>#VALUE!</v>
          </cell>
          <cell r="M60">
            <v>0.15</v>
          </cell>
          <cell r="N60">
            <v>0.15</v>
          </cell>
          <cell r="O60">
            <v>0.15</v>
          </cell>
          <cell r="P60">
            <v>0.15</v>
          </cell>
          <cell r="Q60">
            <v>0.15</v>
          </cell>
          <cell r="R60">
            <v>0.15</v>
          </cell>
          <cell r="S60">
            <v>0.15</v>
          </cell>
          <cell r="T60">
            <v>0.15</v>
          </cell>
          <cell r="U60">
            <v>0.15</v>
          </cell>
          <cell r="V60">
            <v>0.15</v>
          </cell>
          <cell r="W60">
            <v>0.15</v>
          </cell>
          <cell r="X60">
            <v>0.15</v>
          </cell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</row>
        <row r="61">
          <cell r="L61" t="e">
            <v>#VALUE!</v>
          </cell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</row>
        <row r="62">
          <cell r="L62" t="str">
            <v/>
          </cell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</row>
        <row r="63">
          <cell r="L63" t="str">
            <v/>
          </cell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</row>
        <row r="64">
          <cell r="L64" t="str">
            <v>ES2022050273福田一希</v>
          </cell>
          <cell r="M64">
            <v>0.01</v>
          </cell>
          <cell r="N64">
            <v>0.01</v>
          </cell>
          <cell r="O64">
            <v>0.01</v>
          </cell>
          <cell r="P64">
            <v>0.01</v>
          </cell>
          <cell r="Q64">
            <v>0.01</v>
          </cell>
          <cell r="R64">
            <v>0.01</v>
          </cell>
          <cell r="S64">
            <v>0.01</v>
          </cell>
          <cell r="T64">
            <v>0.01</v>
          </cell>
          <cell r="U64">
            <v>0.01</v>
          </cell>
          <cell r="V64">
            <v>0.01</v>
          </cell>
          <cell r="W64">
            <v>0.01</v>
          </cell>
          <cell r="X64">
            <v>0.01</v>
          </cell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</row>
        <row r="65">
          <cell r="L65" t="str">
            <v>ES2022050273伊達翔互</v>
          </cell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</row>
        <row r="66">
          <cell r="L66" t="str">
            <v>ES2022050273髙橋裕輔</v>
          </cell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</row>
        <row r="67">
          <cell r="L67" t="str">
            <v>ES2022050273齋藤ひとみ</v>
          </cell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</row>
        <row r="68">
          <cell r="L68" t="str">
            <v/>
          </cell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</row>
        <row r="69">
          <cell r="L69" t="str">
            <v/>
          </cell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</row>
        <row r="70">
          <cell r="L70" t="str">
            <v/>
          </cell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</row>
        <row r="71">
          <cell r="L71" t="str">
            <v/>
          </cell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</row>
        <row r="72">
          <cell r="L72" t="str">
            <v/>
          </cell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</row>
        <row r="73">
          <cell r="L73" t="str">
            <v/>
          </cell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</row>
        <row r="74">
          <cell r="L74" t="e">
            <v>#VALUE!</v>
          </cell>
          <cell r="M74">
            <v>0.2</v>
          </cell>
          <cell r="N74">
            <v>0.2</v>
          </cell>
          <cell r="O74">
            <v>0.2</v>
          </cell>
          <cell r="P74">
            <v>0.2</v>
          </cell>
          <cell r="Q74">
            <v>0.2</v>
          </cell>
          <cell r="R74">
            <v>0.2</v>
          </cell>
          <cell r="S74">
            <v>0.2</v>
          </cell>
          <cell r="T74">
            <v>0.2</v>
          </cell>
          <cell r="U74">
            <v>0.2</v>
          </cell>
          <cell r="V74">
            <v>0.2</v>
          </cell>
          <cell r="W74">
            <v>0.2</v>
          </cell>
          <cell r="X74">
            <v>0.2</v>
          </cell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</row>
        <row r="75">
          <cell r="L75" t="e">
            <v>#VALUE!</v>
          </cell>
          <cell r="M75">
            <v>0.9</v>
          </cell>
          <cell r="N75">
            <v>0.9</v>
          </cell>
          <cell r="O75">
            <v>0.9</v>
          </cell>
          <cell r="P75">
            <v>0.9</v>
          </cell>
          <cell r="Q75">
            <v>0.9</v>
          </cell>
          <cell r="R75">
            <v>0.9</v>
          </cell>
          <cell r="S75">
            <v>0.9</v>
          </cell>
          <cell r="T75">
            <v>0.9</v>
          </cell>
          <cell r="U75">
            <v>0.9</v>
          </cell>
          <cell r="V75">
            <v>0.9</v>
          </cell>
          <cell r="W75">
            <v>0.9</v>
          </cell>
          <cell r="X75">
            <v>0.9</v>
          </cell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</row>
        <row r="76">
          <cell r="L76" t="e">
            <v>#VALUE!</v>
          </cell>
          <cell r="M76">
            <v>0.9</v>
          </cell>
          <cell r="N76">
            <v>0.2</v>
          </cell>
          <cell r="O76">
            <v>0.2</v>
          </cell>
          <cell r="P76">
            <v>0.2</v>
          </cell>
          <cell r="Q76">
            <v>0.2</v>
          </cell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</row>
        <row r="77">
          <cell r="L77" t="str">
            <v/>
          </cell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</row>
        <row r="78">
          <cell r="L78" t="str">
            <v/>
          </cell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</row>
        <row r="79">
          <cell r="L79" t="str">
            <v/>
          </cell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</row>
        <row r="80">
          <cell r="L80" t="str">
            <v/>
          </cell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</row>
        <row r="81">
          <cell r="L81" t="str">
            <v/>
          </cell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</row>
        <row r="82">
          <cell r="L82" t="str">
            <v/>
          </cell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</row>
        <row r="83">
          <cell r="L83" t="e">
            <v>#VALUE!</v>
          </cell>
          <cell r="M83"/>
          <cell r="N83">
            <v>0.9</v>
          </cell>
          <cell r="O83">
            <v>0.9</v>
          </cell>
          <cell r="P83">
            <v>0.9</v>
          </cell>
          <cell r="Q83">
            <v>0.9</v>
          </cell>
          <cell r="R83">
            <v>0.9</v>
          </cell>
          <cell r="S83">
            <v>0.9</v>
          </cell>
          <cell r="T83">
            <v>0.9</v>
          </cell>
          <cell r="U83">
            <v>0.9</v>
          </cell>
          <cell r="V83">
            <v>0.9</v>
          </cell>
          <cell r="W83">
            <v>0.9</v>
          </cell>
          <cell r="X83">
            <v>0.9</v>
          </cell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</row>
        <row r="84">
          <cell r="L84" t="e">
            <v>#VALUE!</v>
          </cell>
          <cell r="M84">
            <v>0.25</v>
          </cell>
          <cell r="N84">
            <v>0.25</v>
          </cell>
          <cell r="O84">
            <v>0.25</v>
          </cell>
          <cell r="P84">
            <v>0.25</v>
          </cell>
          <cell r="Q84">
            <v>0.25</v>
          </cell>
          <cell r="R84">
            <v>0.25</v>
          </cell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</row>
        <row r="85">
          <cell r="L85" t="e">
            <v>#VALUE!</v>
          </cell>
          <cell r="M85">
            <v>0.75</v>
          </cell>
          <cell r="N85">
            <v>0.75</v>
          </cell>
          <cell r="O85">
            <v>0.75</v>
          </cell>
          <cell r="P85">
            <v>0.75</v>
          </cell>
          <cell r="Q85">
            <v>0.75</v>
          </cell>
          <cell r="R85">
            <v>0.75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</row>
        <row r="86">
          <cell r="L86" t="e">
            <v>#VALUE!</v>
          </cell>
          <cell r="M86">
            <v>0.25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</row>
        <row r="87">
          <cell r="L87" t="str">
            <v/>
          </cell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</row>
        <row r="88">
          <cell r="L88" t="str">
            <v/>
          </cell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</row>
        <row r="89">
          <cell r="L89" t="str">
            <v/>
          </cell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</row>
        <row r="90">
          <cell r="L90" t="str">
            <v/>
          </cell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</row>
        <row r="91">
          <cell r="L91" t="str">
            <v/>
          </cell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</row>
        <row r="92">
          <cell r="L92" t="str">
            <v/>
          </cell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</row>
        <row r="93">
          <cell r="L93" t="str">
            <v/>
          </cell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</row>
        <row r="94">
          <cell r="L94" t="e">
            <v>#VALUE!</v>
          </cell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</row>
        <row r="95">
          <cell r="L95" t="e">
            <v>#VALUE!</v>
          </cell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</row>
        <row r="96">
          <cell r="L96" t="e">
            <v>#VALUE!</v>
          </cell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</row>
        <row r="97">
          <cell r="L97" t="str">
            <v/>
          </cell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</row>
        <row r="98">
          <cell r="L98" t="str">
            <v/>
          </cell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</row>
        <row r="99">
          <cell r="L99" t="str">
            <v/>
          </cell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</row>
        <row r="100">
          <cell r="L100" t="str">
            <v/>
          </cell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</row>
        <row r="101">
          <cell r="L101" t="str">
            <v/>
          </cell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</row>
        <row r="102">
          <cell r="L102" t="str">
            <v/>
          </cell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</row>
        <row r="103">
          <cell r="L103" t="str">
            <v/>
          </cell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</row>
        <row r="104">
          <cell r="L104" t="e">
            <v>#VALUE!</v>
          </cell>
          <cell r="M104">
            <v>2.5000000000000001E-2</v>
          </cell>
          <cell r="N104">
            <v>2.5000000000000001E-2</v>
          </cell>
          <cell r="O104">
            <v>2.5000000000000001E-2</v>
          </cell>
          <cell r="P104">
            <v>2.5000000000000001E-2</v>
          </cell>
          <cell r="Q104">
            <v>2.5000000000000001E-2</v>
          </cell>
          <cell r="R104">
            <v>2.5000000000000001E-2</v>
          </cell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</row>
        <row r="105">
          <cell r="L105"/>
          <cell r="M105"/>
          <cell r="N105"/>
          <cell r="O105"/>
          <cell r="P105"/>
          <cell r="Q105"/>
          <cell r="R105"/>
          <cell r="S105">
            <v>2.5000000000000001E-2</v>
          </cell>
          <cell r="T105">
            <v>2.5000000000000001E-2</v>
          </cell>
          <cell r="U105">
            <v>2.5000000000000001E-2</v>
          </cell>
          <cell r="V105">
            <v>2.5000000000000001E-2</v>
          </cell>
          <cell r="W105">
            <v>2.5000000000000001E-2</v>
          </cell>
          <cell r="X105">
            <v>2.5000000000000001E-2</v>
          </cell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</row>
        <row r="106">
          <cell r="L106" t="str">
            <v/>
          </cell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</row>
        <row r="107">
          <cell r="L107" t="str">
            <v/>
          </cell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</row>
        <row r="108">
          <cell r="L108" t="str">
            <v/>
          </cell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</row>
        <row r="109">
          <cell r="L109" t="str">
            <v/>
          </cell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</row>
        <row r="110">
          <cell r="L110" t="str">
            <v/>
          </cell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</row>
        <row r="111">
          <cell r="L111" t="str">
            <v/>
          </cell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</row>
        <row r="112">
          <cell r="L112" t="str">
            <v/>
          </cell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</row>
        <row r="113">
          <cell r="L113" t="str">
            <v/>
          </cell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</row>
        <row r="114">
          <cell r="L114" t="e">
            <v>#VALUE!</v>
          </cell>
          <cell r="M114">
            <v>0.1</v>
          </cell>
          <cell r="N114">
            <v>0.1</v>
          </cell>
          <cell r="O114">
            <v>0.1</v>
          </cell>
          <cell r="P114">
            <v>0.1</v>
          </cell>
          <cell r="Q114">
            <v>0.1</v>
          </cell>
          <cell r="R114">
            <v>0.1</v>
          </cell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</row>
        <row r="116">
          <cell r="L116" t="str">
            <v/>
          </cell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</row>
        <row r="117">
          <cell r="L117" t="str">
            <v/>
          </cell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</row>
        <row r="118">
          <cell r="L118" t="str">
            <v/>
          </cell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</row>
        <row r="119">
          <cell r="L119" t="e">
            <v>#VALUE!</v>
          </cell>
          <cell r="M119">
            <v>0.1</v>
          </cell>
          <cell r="N119">
            <v>0.1</v>
          </cell>
          <cell r="O119">
            <v>0.1</v>
          </cell>
          <cell r="P119">
            <v>0.1</v>
          </cell>
          <cell r="Q119">
            <v>0.1</v>
          </cell>
          <cell r="R119">
            <v>0.1</v>
          </cell>
          <cell r="S119">
            <v>0.1</v>
          </cell>
          <cell r="T119">
            <v>0.1</v>
          </cell>
          <cell r="U119">
            <v>0.1</v>
          </cell>
          <cell r="V119">
            <v>0.1</v>
          </cell>
          <cell r="W119">
            <v>0.1</v>
          </cell>
          <cell r="X119">
            <v>0.1</v>
          </cell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</row>
        <row r="120">
          <cell r="L120" t="str">
            <v/>
          </cell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</row>
        <row r="121">
          <cell r="L121" t="str">
            <v/>
          </cell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</row>
        <row r="122">
          <cell r="L122" t="str">
            <v/>
          </cell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</row>
        <row r="123">
          <cell r="L123" t="str">
            <v/>
          </cell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</row>
        <row r="124">
          <cell r="L124" t="str">
            <v/>
          </cell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</row>
        <row r="125">
          <cell r="L125" t="str">
            <v/>
          </cell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</row>
        <row r="126">
          <cell r="L126" t="str">
            <v/>
          </cell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</row>
        <row r="127">
          <cell r="L127" t="str">
            <v/>
          </cell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</row>
        <row r="128">
          <cell r="L128" t="str">
            <v/>
          </cell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</row>
        <row r="129">
          <cell r="L129" t="e">
            <v>#VALUE!</v>
          </cell>
          <cell r="M129">
            <v>7.0000000000000007E-2</v>
          </cell>
          <cell r="N129">
            <v>7.0000000000000007E-2</v>
          </cell>
          <cell r="O129">
            <v>7.0000000000000007E-2</v>
          </cell>
          <cell r="P129">
            <v>7.0000000000000007E-2</v>
          </cell>
          <cell r="Q129">
            <v>7.0000000000000007E-2</v>
          </cell>
          <cell r="R129">
            <v>7.0000000000000007E-2</v>
          </cell>
          <cell r="S129">
            <v>7.0000000000000007E-2</v>
          </cell>
          <cell r="T129">
            <v>7.0000000000000007E-2</v>
          </cell>
          <cell r="U129">
            <v>7.0000000000000007E-2</v>
          </cell>
          <cell r="V129">
            <v>7.0000000000000007E-2</v>
          </cell>
          <cell r="W129">
            <v>7.0000000000000007E-2</v>
          </cell>
          <cell r="X129">
            <v>7.0000000000000007E-2</v>
          </cell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</row>
        <row r="130">
          <cell r="L130" t="str">
            <v/>
          </cell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</row>
        <row r="131">
          <cell r="L131" t="str">
            <v/>
          </cell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</row>
        <row r="132">
          <cell r="L132" t="str">
            <v/>
          </cell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</row>
        <row r="133">
          <cell r="L133" t="str">
            <v/>
          </cell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</row>
        <row r="134">
          <cell r="L134" t="str">
            <v/>
          </cell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</row>
        <row r="135">
          <cell r="L135" t="str">
            <v/>
          </cell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</row>
        <row r="136">
          <cell r="L136" t="str">
            <v/>
          </cell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</row>
        <row r="137">
          <cell r="L137" t="str">
            <v/>
          </cell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</row>
        <row r="138">
          <cell r="L138" t="str">
            <v/>
          </cell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</row>
        <row r="139">
          <cell r="L139" t="e">
            <v>#VALUE!</v>
          </cell>
          <cell r="M139">
            <v>0.06</v>
          </cell>
          <cell r="N139">
            <v>0.06</v>
          </cell>
          <cell r="O139">
            <v>0.06</v>
          </cell>
          <cell r="P139">
            <v>0.06</v>
          </cell>
          <cell r="Q139">
            <v>0.06</v>
          </cell>
          <cell r="R139">
            <v>0.06</v>
          </cell>
          <cell r="S139">
            <v>0.06</v>
          </cell>
          <cell r="T139">
            <v>0.06</v>
          </cell>
          <cell r="U139">
            <v>0.06</v>
          </cell>
          <cell r="V139">
            <v>0.06</v>
          </cell>
          <cell r="W139">
            <v>0.06</v>
          </cell>
          <cell r="X139">
            <v>0.06</v>
          </cell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</row>
        <row r="140">
          <cell r="L140" t="str">
            <v/>
          </cell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</row>
        <row r="141">
          <cell r="L141" t="str">
            <v/>
          </cell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</row>
        <row r="142">
          <cell r="L142" t="str">
            <v/>
          </cell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</row>
        <row r="143">
          <cell r="L143" t="e">
            <v>#VALUE!</v>
          </cell>
          <cell r="M143">
            <v>4.8000000000000001E-2</v>
          </cell>
          <cell r="N143">
            <v>4.8000000000000001E-2</v>
          </cell>
          <cell r="O143">
            <v>4.8000000000000001E-2</v>
          </cell>
          <cell r="P143">
            <v>4.8000000000000001E-2</v>
          </cell>
          <cell r="Q143">
            <v>4.8000000000000001E-2</v>
          </cell>
          <cell r="R143">
            <v>4.8000000000000001E-2</v>
          </cell>
          <cell r="S143">
            <v>4.8000000000000001E-2</v>
          </cell>
          <cell r="T143">
            <v>4.8000000000000001E-2</v>
          </cell>
          <cell r="U143">
            <v>4.8000000000000001E-2</v>
          </cell>
          <cell r="V143">
            <v>4.8000000000000001E-2</v>
          </cell>
          <cell r="W143">
            <v>4.8000000000000001E-2</v>
          </cell>
          <cell r="X143">
            <v>4.8000000000000001E-2</v>
          </cell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</row>
        <row r="144">
          <cell r="L144" t="e">
            <v>#VALUE!</v>
          </cell>
          <cell r="M144">
            <v>0.27600000000000002</v>
          </cell>
          <cell r="N144">
            <v>0.27600000000000002</v>
          </cell>
          <cell r="O144">
            <v>0.27600000000000002</v>
          </cell>
          <cell r="P144">
            <v>0.27600000000000002</v>
          </cell>
          <cell r="Q144">
            <v>0.27600000000000002</v>
          </cell>
          <cell r="R144">
            <v>0.27600000000000002</v>
          </cell>
          <cell r="S144">
            <v>0.27600000000000002</v>
          </cell>
          <cell r="T144">
            <v>0.27600000000000002</v>
          </cell>
          <cell r="U144">
            <v>0.27600000000000002</v>
          </cell>
          <cell r="V144">
            <v>0.27600000000000002</v>
          </cell>
          <cell r="W144">
            <v>0.27600000000000002</v>
          </cell>
          <cell r="X144">
            <v>0.27600000000000002</v>
          </cell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</row>
        <row r="145">
          <cell r="L145" t="str">
            <v/>
          </cell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</row>
        <row r="146">
          <cell r="L146" t="str">
            <v/>
          </cell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</row>
        <row r="147">
          <cell r="L147" t="str">
            <v/>
          </cell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</row>
        <row r="148">
          <cell r="L148" t="str">
            <v/>
          </cell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</row>
        <row r="149">
          <cell r="L149" t="str">
            <v/>
          </cell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</row>
        <row r="150">
          <cell r="L150" t="str">
            <v/>
          </cell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</row>
        <row r="151">
          <cell r="L151" t="str">
            <v/>
          </cell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</row>
        <row r="152">
          <cell r="L152" t="str">
            <v/>
          </cell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</row>
        <row r="153">
          <cell r="L153" t="e">
            <v>#VALUE!</v>
          </cell>
          <cell r="M153">
            <v>0.2</v>
          </cell>
          <cell r="N153">
            <v>0.25</v>
          </cell>
          <cell r="O153">
            <v>0.15</v>
          </cell>
          <cell r="P153">
            <v>0.4</v>
          </cell>
          <cell r="Q153">
            <v>0.15</v>
          </cell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</row>
        <row r="154">
          <cell r="L154" t="e">
            <v>#VALUE!</v>
          </cell>
          <cell r="M154">
            <v>0.05</v>
          </cell>
          <cell r="N154">
            <v>0.05</v>
          </cell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</row>
        <row r="155">
          <cell r="L155" t="e">
            <v>#VALUE!</v>
          </cell>
          <cell r="M155">
            <v>0.5</v>
          </cell>
          <cell r="N155">
            <v>0.65</v>
          </cell>
          <cell r="O155">
            <v>0.65</v>
          </cell>
          <cell r="P155">
            <v>0.65</v>
          </cell>
          <cell r="Q155">
            <v>0.4</v>
          </cell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</row>
        <row r="156">
          <cell r="L156" t="e">
            <v>#VALUE!</v>
          </cell>
          <cell r="M156">
            <v>0.25</v>
          </cell>
          <cell r="N156">
            <v>0.25</v>
          </cell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</row>
        <row r="157">
          <cell r="L157" t="str">
            <v/>
          </cell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</row>
        <row r="158">
          <cell r="L158" t="str">
            <v/>
          </cell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</row>
        <row r="159">
          <cell r="L159" t="e">
            <v>#VALUE!</v>
          </cell>
          <cell r="M159"/>
          <cell r="N159"/>
          <cell r="O159"/>
          <cell r="P159"/>
          <cell r="Q159"/>
          <cell r="R159">
            <v>0.55000000000000004</v>
          </cell>
          <cell r="S159">
            <v>0.8</v>
          </cell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</row>
        <row r="160">
          <cell r="L160" t="e">
            <v>#VALUE!</v>
          </cell>
          <cell r="M160"/>
          <cell r="N160"/>
          <cell r="O160"/>
          <cell r="P160"/>
          <cell r="Q160"/>
          <cell r="R160">
            <v>0.8</v>
          </cell>
          <cell r="S160">
            <v>0.8</v>
          </cell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</row>
        <row r="161">
          <cell r="L161" t="e">
            <v>#VALUE!</v>
          </cell>
          <cell r="M161"/>
          <cell r="N161"/>
          <cell r="O161"/>
          <cell r="P161"/>
          <cell r="Q161"/>
          <cell r="R161">
            <v>0.1</v>
          </cell>
          <cell r="S161">
            <v>0.1</v>
          </cell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</row>
        <row r="162">
          <cell r="L162"/>
          <cell r="M162"/>
          <cell r="N162"/>
          <cell r="O162"/>
          <cell r="P162"/>
          <cell r="Q162"/>
          <cell r="R162">
            <v>0.65</v>
          </cell>
          <cell r="S162">
            <v>0.5</v>
          </cell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</row>
        <row r="163">
          <cell r="L163" t="str">
            <v/>
          </cell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</row>
        <row r="164">
          <cell r="L164" t="str">
            <v>ES2023030240金児知亜紀</v>
          </cell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</row>
        <row r="165">
          <cell r="L165" t="str">
            <v>ES2023030240渡邉麻未</v>
          </cell>
          <cell r="M165">
            <v>1</v>
          </cell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</row>
        <row r="166">
          <cell r="L166" t="str">
            <v>ES2023030240吉目木いづみ</v>
          </cell>
          <cell r="M166">
            <v>1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</row>
        <row r="167">
          <cell r="L167" t="str">
            <v>ES2023030240脇田誠</v>
          </cell>
          <cell r="M167">
            <v>1</v>
          </cell>
          <cell r="N167">
            <v>0.5</v>
          </cell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</row>
        <row r="168">
          <cell r="L168" t="str">
            <v/>
          </cell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</row>
        <row r="169">
          <cell r="L169" t="str">
            <v/>
          </cell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</row>
        <row r="170">
          <cell r="L170" t="str">
            <v/>
          </cell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</row>
        <row r="171">
          <cell r="L171" t="e">
            <v>#VALUE!</v>
          </cell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</row>
        <row r="172">
          <cell r="L172" t="e">
            <v>#VALUE!</v>
          </cell>
          <cell r="M172">
            <v>0.1</v>
          </cell>
          <cell r="N172">
            <v>0.25</v>
          </cell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</row>
        <row r="173">
          <cell r="L173" t="str">
            <v/>
          </cell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</row>
        <row r="174">
          <cell r="L174" t="str">
            <v/>
          </cell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</row>
        <row r="175">
          <cell r="L175" t="str">
            <v/>
          </cell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</row>
        <row r="176">
          <cell r="L176" t="e">
            <v>#VALUE!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</row>
        <row r="177">
          <cell r="L177" t="str">
            <v/>
          </cell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</row>
        <row r="178">
          <cell r="L178" t="str">
            <v/>
          </cell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</row>
        <row r="179">
          <cell r="L179" t="e">
            <v>#VALUE!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</row>
        <row r="180">
          <cell r="L180" t="str">
            <v/>
          </cell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</row>
        <row r="181">
          <cell r="L181" t="str">
            <v/>
          </cell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</row>
        <row r="182">
          <cell r="L182" t="e">
            <v>#VALUE!</v>
          </cell>
          <cell r="M182">
            <v>0.5</v>
          </cell>
          <cell r="N182">
            <v>0.5</v>
          </cell>
          <cell r="O182">
            <v>0.5</v>
          </cell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</row>
        <row r="183">
          <cell r="L183" t="e">
            <v>#VALUE!</v>
          </cell>
          <cell r="M183">
            <v>1</v>
          </cell>
          <cell r="N183">
            <v>1</v>
          </cell>
          <cell r="O183">
            <v>1</v>
          </cell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</row>
        <row r="184">
          <cell r="L184" t="e">
            <v>#VALUE!</v>
          </cell>
          <cell r="M184">
            <v>1</v>
          </cell>
          <cell r="N184">
            <v>1</v>
          </cell>
          <cell r="O184">
            <v>1</v>
          </cell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</row>
        <row r="185">
          <cell r="L185" t="e">
            <v>#VALUE!</v>
          </cell>
          <cell r="M185">
            <v>1</v>
          </cell>
          <cell r="N185">
            <v>1</v>
          </cell>
          <cell r="O185">
            <v>1</v>
          </cell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</row>
        <row r="186">
          <cell r="L186" t="str">
            <v/>
          </cell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</row>
        <row r="187">
          <cell r="L187" t="e">
            <v>#VALUE!</v>
          </cell>
          <cell r="M187">
            <v>1</v>
          </cell>
          <cell r="N187">
            <v>1</v>
          </cell>
          <cell r="O187">
            <v>1</v>
          </cell>
          <cell r="P187">
            <v>1</v>
          </cell>
          <cell r="Q187">
            <v>1</v>
          </cell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</row>
        <row r="188">
          <cell r="L188" t="e">
            <v>#VALUE!</v>
          </cell>
          <cell r="M188">
            <v>0.5</v>
          </cell>
          <cell r="N188">
            <v>0.5</v>
          </cell>
          <cell r="O188">
            <v>0.5</v>
          </cell>
          <cell r="P188">
            <v>0.5</v>
          </cell>
          <cell r="Q188">
            <v>0.5</v>
          </cell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</row>
        <row r="189">
          <cell r="L189" t="e">
            <v>#VALUE!</v>
          </cell>
          <cell r="M189">
            <v>1</v>
          </cell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</row>
        <row r="190">
          <cell r="L190" t="e">
            <v>#VALUE!</v>
          </cell>
          <cell r="M190">
            <v>1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</row>
        <row r="191">
          <cell r="L191" t="str">
            <v/>
          </cell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</row>
        <row r="192">
          <cell r="L192" t="str">
            <v/>
          </cell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</row>
        <row r="193">
          <cell r="L193" t="e">
            <v>#VALUE!</v>
          </cell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</row>
        <row r="194">
          <cell r="L194" t="e">
            <v>#VALUE!</v>
          </cell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</row>
        <row r="195">
          <cell r="L195" t="e">
            <v>#VALUE!</v>
          </cell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</row>
        <row r="196">
          <cell r="L196" t="str">
            <v/>
          </cell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</row>
        <row r="197">
          <cell r="L197" t="str">
            <v/>
          </cell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</row>
        <row r="198">
          <cell r="L198" t="str">
            <v/>
          </cell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</row>
        <row r="199">
          <cell r="L199" t="str">
            <v/>
          </cell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</row>
        <row r="200">
          <cell r="L200" t="str">
            <v/>
          </cell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</row>
        <row r="201">
          <cell r="L201" t="str">
            <v/>
          </cell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</row>
        <row r="202">
          <cell r="L202" t="str">
            <v/>
          </cell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</row>
        <row r="203">
          <cell r="L203" t="e">
            <v>#VALUE!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Q203">
            <v>1</v>
          </cell>
          <cell r="R203">
            <v>1</v>
          </cell>
          <cell r="S203">
            <v>1</v>
          </cell>
          <cell r="T203">
            <v>1</v>
          </cell>
          <cell r="U203">
            <v>1</v>
          </cell>
          <cell r="V203">
            <v>1</v>
          </cell>
          <cell r="W203">
            <v>1</v>
          </cell>
          <cell r="X203">
            <v>1</v>
          </cell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</row>
        <row r="204">
          <cell r="L204" t="e">
            <v>#VALUE!</v>
          </cell>
          <cell r="M204">
            <v>1</v>
          </cell>
          <cell r="N204">
            <v>1</v>
          </cell>
          <cell r="O204">
            <v>1</v>
          </cell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</row>
        <row r="205">
          <cell r="L205" t="e">
            <v>#VALUE!</v>
          </cell>
          <cell r="M205">
            <v>1</v>
          </cell>
          <cell r="N205">
            <v>1</v>
          </cell>
          <cell r="O205">
            <v>1</v>
          </cell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</row>
        <row r="206">
          <cell r="L206" t="str">
            <v/>
          </cell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</row>
        <row r="207">
          <cell r="L207" t="str">
            <v/>
          </cell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</row>
        <row r="208">
          <cell r="L208" t="e">
            <v>#VALUE!</v>
          </cell>
          <cell r="M208"/>
          <cell r="N208"/>
          <cell r="O208"/>
          <cell r="P208"/>
          <cell r="Q208"/>
          <cell r="R208"/>
          <cell r="S208"/>
          <cell r="T208">
            <v>0.8</v>
          </cell>
          <cell r="U208">
            <v>0.8</v>
          </cell>
          <cell r="V208">
            <v>0.8</v>
          </cell>
          <cell r="W208">
            <v>0.8</v>
          </cell>
          <cell r="X208">
            <v>0.8</v>
          </cell>
          <cell r="Y208">
            <v>0.8</v>
          </cell>
          <cell r="Z208">
            <v>0.8</v>
          </cell>
          <cell r="AA208">
            <v>0.8</v>
          </cell>
          <cell r="AB208">
            <v>0.8</v>
          </cell>
          <cell r="AC208">
            <v>0.8</v>
          </cell>
          <cell r="AD208">
            <v>0.8</v>
          </cell>
          <cell r="AE208">
            <v>0.8</v>
          </cell>
          <cell r="AF208">
            <v>0.8</v>
          </cell>
          <cell r="AG208">
            <v>0.8</v>
          </cell>
          <cell r="AH208">
            <v>0.8</v>
          </cell>
          <cell r="AI208">
            <v>0.8</v>
          </cell>
          <cell r="AJ208"/>
        </row>
        <row r="209">
          <cell r="L209" t="e">
            <v>#VALUE!</v>
          </cell>
          <cell r="M209"/>
          <cell r="N209"/>
          <cell r="O209"/>
          <cell r="P209"/>
          <cell r="Q209"/>
          <cell r="R209"/>
          <cell r="S209"/>
          <cell r="T209">
            <v>1</v>
          </cell>
          <cell r="U209">
            <v>1</v>
          </cell>
          <cell r="V209">
            <v>1</v>
          </cell>
          <cell r="W209">
            <v>1</v>
          </cell>
          <cell r="X209">
            <v>1</v>
          </cell>
          <cell r="Y209">
            <v>1</v>
          </cell>
          <cell r="Z209">
            <v>1</v>
          </cell>
          <cell r="AA209">
            <v>1</v>
          </cell>
          <cell r="AB209">
            <v>1</v>
          </cell>
          <cell r="AC209">
            <v>1</v>
          </cell>
          <cell r="AD209">
            <v>1</v>
          </cell>
          <cell r="AE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1</v>
          </cell>
          <cell r="AJ209"/>
        </row>
        <row r="210">
          <cell r="L210" t="e">
            <v>#VALUE!</v>
          </cell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</row>
        <row r="211">
          <cell r="L211" t="e">
            <v>#VALUE!</v>
          </cell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</row>
        <row r="212">
          <cell r="L212" t="str">
            <v/>
          </cell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</row>
        <row r="213">
          <cell r="L213" t="e">
            <v>#VALUE!</v>
          </cell>
          <cell r="M213"/>
          <cell r="N213"/>
          <cell r="O213"/>
          <cell r="P213"/>
          <cell r="Q213"/>
          <cell r="R213"/>
          <cell r="S213"/>
          <cell r="T213">
            <v>1</v>
          </cell>
          <cell r="U213">
            <v>1</v>
          </cell>
          <cell r="V213">
            <v>1</v>
          </cell>
          <cell r="W213">
            <v>1</v>
          </cell>
          <cell r="X213">
            <v>1</v>
          </cell>
          <cell r="Y213">
            <v>1</v>
          </cell>
          <cell r="Z213">
            <v>1</v>
          </cell>
          <cell r="AA213">
            <v>1</v>
          </cell>
          <cell r="AB213">
            <v>1</v>
          </cell>
          <cell r="AC213">
            <v>1</v>
          </cell>
          <cell r="AD213">
            <v>1</v>
          </cell>
          <cell r="AE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1</v>
          </cell>
          <cell r="AJ213"/>
        </row>
        <row r="214">
          <cell r="L214" t="e">
            <v>#VALUE!</v>
          </cell>
          <cell r="M214"/>
          <cell r="N214"/>
          <cell r="O214"/>
          <cell r="P214"/>
          <cell r="Q214"/>
          <cell r="R214"/>
          <cell r="S214"/>
          <cell r="T214">
            <v>1</v>
          </cell>
          <cell r="U214">
            <v>1</v>
          </cell>
          <cell r="V214">
            <v>1</v>
          </cell>
          <cell r="W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/>
          <cell r="AC214"/>
          <cell r="AD214"/>
          <cell r="AE214"/>
          <cell r="AF214"/>
          <cell r="AG214"/>
          <cell r="AH214"/>
          <cell r="AI214"/>
          <cell r="AJ214"/>
        </row>
        <row r="215">
          <cell r="L215" t="e">
            <v>#VALUE!</v>
          </cell>
          <cell r="M215"/>
          <cell r="N215"/>
          <cell r="O215"/>
          <cell r="P215"/>
          <cell r="Q215"/>
          <cell r="R215"/>
          <cell r="S215"/>
          <cell r="T215">
            <v>0.5</v>
          </cell>
          <cell r="U215">
            <v>0.5</v>
          </cell>
          <cell r="V215">
            <v>0.5</v>
          </cell>
          <cell r="W215">
            <v>0.5</v>
          </cell>
          <cell r="X215">
            <v>0.5</v>
          </cell>
          <cell r="Y215">
            <v>0.5</v>
          </cell>
          <cell r="Z215">
            <v>0.5</v>
          </cell>
          <cell r="AA215">
            <v>0.5</v>
          </cell>
          <cell r="AB215">
            <v>0.5</v>
          </cell>
          <cell r="AC215">
            <v>0.5</v>
          </cell>
          <cell r="AD215">
            <v>0.5</v>
          </cell>
          <cell r="AE215">
            <v>0.5</v>
          </cell>
          <cell r="AF215">
            <v>0.5</v>
          </cell>
          <cell r="AG215">
            <v>0.5</v>
          </cell>
          <cell r="AH215">
            <v>0.5</v>
          </cell>
          <cell r="AI215">
            <v>0.5</v>
          </cell>
          <cell r="AJ215"/>
        </row>
        <row r="216">
          <cell r="L216" t="str">
            <v/>
          </cell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</row>
        <row r="217">
          <cell r="L217" t="str">
            <v/>
          </cell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</row>
        <row r="218">
          <cell r="L218" t="e">
            <v>#VALUE!</v>
          </cell>
          <cell r="M218">
            <v>0.65</v>
          </cell>
          <cell r="N218">
            <v>0.7</v>
          </cell>
          <cell r="O218">
            <v>0.6</v>
          </cell>
          <cell r="P218">
            <v>0.85000000000000009</v>
          </cell>
          <cell r="Q218">
            <v>0.6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1</v>
          </cell>
          <cell r="X218">
            <v>1</v>
          </cell>
          <cell r="Y218">
            <v>0.8</v>
          </cell>
          <cell r="Z218">
            <v>0.8</v>
          </cell>
          <cell r="AA218">
            <v>0.8</v>
          </cell>
          <cell r="AB218">
            <v>0.8</v>
          </cell>
          <cell r="AC218">
            <v>0.8</v>
          </cell>
          <cell r="AD218">
            <v>0.8</v>
          </cell>
          <cell r="AE218">
            <v>0.8</v>
          </cell>
          <cell r="AF218">
            <v>0.8</v>
          </cell>
          <cell r="AG218">
            <v>0.8</v>
          </cell>
          <cell r="AH218">
            <v>0.8</v>
          </cell>
          <cell r="AI218">
            <v>0.8</v>
          </cell>
          <cell r="AJ218">
            <v>0</v>
          </cell>
        </row>
        <row r="219">
          <cell r="L219" t="e">
            <v>#VALUE!</v>
          </cell>
          <cell r="M219">
            <v>0.6100000000000001</v>
          </cell>
          <cell r="N219">
            <v>0.81</v>
          </cell>
          <cell r="O219">
            <v>1.06</v>
          </cell>
          <cell r="P219">
            <v>1.06</v>
          </cell>
          <cell r="Q219">
            <v>1.06</v>
          </cell>
          <cell r="R219">
            <v>1.06</v>
          </cell>
          <cell r="S219">
            <v>1.06</v>
          </cell>
          <cell r="T219">
            <v>1.06</v>
          </cell>
          <cell r="U219">
            <v>1.06</v>
          </cell>
          <cell r="V219">
            <v>1.06</v>
          </cell>
          <cell r="W219">
            <v>1.06</v>
          </cell>
          <cell r="X219">
            <v>1.06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</row>
        <row r="220">
          <cell r="L220" t="e">
            <v>#VALUE!</v>
          </cell>
          <cell r="M220">
            <v>1.1100000000000001</v>
          </cell>
          <cell r="N220">
            <v>1.01</v>
          </cell>
          <cell r="O220">
            <v>1.01</v>
          </cell>
          <cell r="P220">
            <v>1.01</v>
          </cell>
          <cell r="Q220">
            <v>1.01</v>
          </cell>
          <cell r="R220">
            <v>1.01</v>
          </cell>
          <cell r="S220">
            <v>1.01</v>
          </cell>
          <cell r="T220">
            <v>1.01</v>
          </cell>
          <cell r="U220">
            <v>1.01</v>
          </cell>
          <cell r="V220">
            <v>1.01</v>
          </cell>
          <cell r="W220">
            <v>1.01</v>
          </cell>
          <cell r="X220">
            <v>1.01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</row>
        <row r="221">
          <cell r="L221" t="e">
            <v>#VALUE!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Q221">
            <v>0.75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0.5</v>
          </cell>
          <cell r="Z221">
            <v>0.5</v>
          </cell>
          <cell r="AA221">
            <v>0.5</v>
          </cell>
          <cell r="AB221">
            <v>0.5</v>
          </cell>
          <cell r="AC221">
            <v>0.5</v>
          </cell>
          <cell r="AD221">
            <v>0.5</v>
          </cell>
          <cell r="AE221">
            <v>0.5</v>
          </cell>
          <cell r="AF221">
            <v>0.5</v>
          </cell>
          <cell r="AG221">
            <v>0.5</v>
          </cell>
          <cell r="AH221">
            <v>0.5</v>
          </cell>
          <cell r="AI221">
            <v>0.5</v>
          </cell>
          <cell r="AJ221">
            <v>0</v>
          </cell>
        </row>
        <row r="222">
          <cell r="L222" t="e">
            <v>#VALUE!</v>
          </cell>
          <cell r="M222">
            <v>1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</row>
        <row r="223">
          <cell r="L223" t="e">
            <v>#VALUE!</v>
          </cell>
          <cell r="M223">
            <v>0.9</v>
          </cell>
          <cell r="N223">
            <v>0.9</v>
          </cell>
          <cell r="O223">
            <v>0.9</v>
          </cell>
          <cell r="P223">
            <v>0.9</v>
          </cell>
          <cell r="Q223">
            <v>0.9</v>
          </cell>
          <cell r="R223">
            <v>1</v>
          </cell>
          <cell r="S223">
            <v>1</v>
          </cell>
          <cell r="T223">
            <v>0.9</v>
          </cell>
          <cell r="U223">
            <v>0.9</v>
          </cell>
          <cell r="V223">
            <v>0.9</v>
          </cell>
          <cell r="W223">
            <v>0.9</v>
          </cell>
          <cell r="X223">
            <v>0.9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</row>
        <row r="224">
          <cell r="L224" t="e">
            <v>#VALUE!</v>
          </cell>
          <cell r="M224">
            <v>0.9</v>
          </cell>
          <cell r="N224">
            <v>0.2</v>
          </cell>
          <cell r="O224">
            <v>0.2</v>
          </cell>
          <cell r="P224">
            <v>0.2</v>
          </cell>
          <cell r="Q224">
            <v>0.2</v>
          </cell>
          <cell r="R224">
            <v>0.8</v>
          </cell>
          <cell r="S224">
            <v>0.8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0</v>
          </cell>
        </row>
        <row r="225">
          <cell r="L225" t="e">
            <v>#VALUE!</v>
          </cell>
          <cell r="M225">
            <v>0</v>
          </cell>
          <cell r="N225">
            <v>0.9</v>
          </cell>
          <cell r="O225">
            <v>0.9</v>
          </cell>
          <cell r="P225">
            <v>0.9</v>
          </cell>
          <cell r="Q225">
            <v>0.9</v>
          </cell>
          <cell r="R225">
            <v>0.9</v>
          </cell>
          <cell r="S225">
            <v>0.9</v>
          </cell>
          <cell r="T225">
            <v>0.9</v>
          </cell>
          <cell r="U225">
            <v>0.9</v>
          </cell>
          <cell r="V225">
            <v>0.9</v>
          </cell>
          <cell r="W225">
            <v>0.9</v>
          </cell>
          <cell r="X225">
            <v>0.9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</row>
        <row r="226">
          <cell r="L226" t="e">
            <v>#VALUE!</v>
          </cell>
          <cell r="M226">
            <v>0.25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</row>
        <row r="227">
          <cell r="L227"/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</v>
          </cell>
          <cell r="U227">
            <v>1</v>
          </cell>
          <cell r="V227">
            <v>1</v>
          </cell>
          <cell r="W227">
            <v>1</v>
          </cell>
          <cell r="X227">
            <v>1</v>
          </cell>
          <cell r="Y227">
            <v>1</v>
          </cell>
          <cell r="Z227">
            <v>1</v>
          </cell>
          <cell r="AA227">
            <v>1</v>
          </cell>
          <cell r="AB227">
            <v>1</v>
          </cell>
          <cell r="AC227">
            <v>1</v>
          </cell>
          <cell r="AD227">
            <v>1</v>
          </cell>
          <cell r="AE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1</v>
          </cell>
          <cell r="AJ227">
            <v>0</v>
          </cell>
        </row>
        <row r="228">
          <cell r="L228" t="e">
            <v>#VALUE!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</v>
          </cell>
          <cell r="U228">
            <v>1</v>
          </cell>
          <cell r="V228">
            <v>1</v>
          </cell>
          <cell r="W228">
            <v>1</v>
          </cell>
          <cell r="X228">
            <v>1</v>
          </cell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</row>
        <row r="229">
          <cell r="L229"/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W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</row>
        <row r="230">
          <cell r="L230"/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</row>
        <row r="231">
          <cell r="L231"/>
          <cell r="M231">
            <v>1</v>
          </cell>
          <cell r="N231">
            <v>1</v>
          </cell>
          <cell r="O231">
            <v>1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</row>
        <row r="232">
          <cell r="L232" t="e">
            <v>#VALUE!</v>
          </cell>
          <cell r="M232">
            <v>1</v>
          </cell>
          <cell r="N232">
            <v>1</v>
          </cell>
          <cell r="O232">
            <v>1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</row>
        <row r="233">
          <cell r="L233" t="str">
            <v/>
          </cell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</row>
        <row r="234">
          <cell r="L234" t="str">
            <v/>
          </cell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</row>
        <row r="235">
          <cell r="L235" t="str">
            <v/>
          </cell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</row>
        <row r="236">
          <cell r="L236" t="str">
            <v/>
          </cell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</row>
        <row r="237">
          <cell r="L237" t="str">
            <v/>
          </cell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</row>
        <row r="238">
          <cell r="L238" t="str">
            <v/>
          </cell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</row>
        <row r="239">
          <cell r="L239" t="str">
            <v/>
          </cell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</row>
        <row r="240">
          <cell r="L240" t="str">
            <v/>
          </cell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</row>
        <row r="241">
          <cell r="L241" t="str">
            <v/>
          </cell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</row>
        <row r="242">
          <cell r="L242" t="str">
            <v/>
          </cell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</row>
        <row r="243">
          <cell r="L243" t="str">
            <v/>
          </cell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</row>
        <row r="244">
          <cell r="L244" t="str">
            <v/>
          </cell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</row>
        <row r="245">
          <cell r="L245" t="str">
            <v/>
          </cell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</row>
        <row r="246">
          <cell r="L246" t="str">
            <v/>
          </cell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</row>
        <row r="247">
          <cell r="L247" t="str">
            <v/>
          </cell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</row>
        <row r="248">
          <cell r="L248" t="str">
            <v/>
          </cell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</row>
        <row r="249">
          <cell r="L249" t="str">
            <v/>
          </cell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</row>
        <row r="250">
          <cell r="L250" t="str">
            <v/>
          </cell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</row>
        <row r="251">
          <cell r="L251" t="str">
            <v/>
          </cell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</row>
        <row r="252">
          <cell r="L252" t="str">
            <v/>
          </cell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</row>
        <row r="253">
          <cell r="L253" t="str">
            <v/>
          </cell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</row>
        <row r="254">
          <cell r="L254" t="str">
            <v/>
          </cell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</row>
        <row r="255">
          <cell r="L255" t="str">
            <v/>
          </cell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</row>
        <row r="256">
          <cell r="L256" t="str">
            <v/>
          </cell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</row>
        <row r="257">
          <cell r="L257" t="str">
            <v/>
          </cell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</row>
        <row r="258">
          <cell r="L258" t="str">
            <v/>
          </cell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</row>
        <row r="259">
          <cell r="L259" t="str">
            <v/>
          </cell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</row>
        <row r="260">
          <cell r="L260" t="str">
            <v/>
          </cell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</row>
        <row r="261">
          <cell r="L261" t="str">
            <v/>
          </cell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</row>
        <row r="262">
          <cell r="L262" t="str">
            <v/>
          </cell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</row>
        <row r="263">
          <cell r="L263" t="str">
            <v/>
          </cell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</row>
        <row r="264">
          <cell r="L264" t="str">
            <v/>
          </cell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</row>
        <row r="265">
          <cell r="L265" t="str">
            <v/>
          </cell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</row>
        <row r="266">
          <cell r="L266" t="str">
            <v/>
          </cell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</row>
        <row r="267">
          <cell r="L267" t="str">
            <v/>
          </cell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</row>
        <row r="268">
          <cell r="L268" t="str">
            <v/>
          </cell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</row>
        <row r="269">
          <cell r="L269" t="str">
            <v/>
          </cell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</row>
        <row r="270">
          <cell r="L270" t="str">
            <v/>
          </cell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</row>
        <row r="271">
          <cell r="L271" t="str">
            <v/>
          </cell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</row>
        <row r="272">
          <cell r="L272" t="str">
            <v/>
          </cell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</row>
        <row r="273">
          <cell r="L273" t="str">
            <v/>
          </cell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</row>
        <row r="274">
          <cell r="L274" t="str">
            <v/>
          </cell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</row>
        <row r="275">
          <cell r="L275" t="str">
            <v/>
          </cell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</row>
        <row r="276">
          <cell r="L276" t="str">
            <v/>
          </cell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</row>
        <row r="277">
          <cell r="L277" t="str">
            <v/>
          </cell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</row>
        <row r="278">
          <cell r="L278" t="str">
            <v/>
          </cell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</row>
        <row r="279">
          <cell r="L279" t="str">
            <v/>
          </cell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</row>
        <row r="280">
          <cell r="L280" t="str">
            <v/>
          </cell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</row>
        <row r="281">
          <cell r="L281" t="str">
            <v/>
          </cell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</row>
        <row r="282">
          <cell r="L282" t="str">
            <v/>
          </cell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</row>
        <row r="283">
          <cell r="L283" t="str">
            <v/>
          </cell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</row>
        <row r="284">
          <cell r="L284" t="str">
            <v/>
          </cell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</row>
        <row r="285">
          <cell r="L285" t="str">
            <v/>
          </cell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</row>
        <row r="286">
          <cell r="L286" t="str">
            <v/>
          </cell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</row>
        <row r="287">
          <cell r="L287" t="str">
            <v/>
          </cell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</row>
        <row r="288">
          <cell r="L288" t="str">
            <v/>
          </cell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</row>
        <row r="289">
          <cell r="L289" t="str">
            <v/>
          </cell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</row>
        <row r="290">
          <cell r="L290" t="str">
            <v/>
          </cell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</row>
        <row r="291">
          <cell r="L291" t="str">
            <v/>
          </cell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</row>
        <row r="292">
          <cell r="L292" t="str">
            <v/>
          </cell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</row>
        <row r="293">
          <cell r="L293" t="str">
            <v/>
          </cell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</row>
        <row r="294">
          <cell r="L294" t="str">
            <v/>
          </cell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</row>
        <row r="295">
          <cell r="L295" t="str">
            <v/>
          </cell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</row>
        <row r="296">
          <cell r="L296" t="str">
            <v/>
          </cell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</row>
        <row r="297">
          <cell r="L297" t="str">
            <v/>
          </cell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</row>
        <row r="298">
          <cell r="L298" t="str">
            <v/>
          </cell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</row>
        <row r="299">
          <cell r="L299" t="str">
            <v/>
          </cell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</row>
        <row r="300">
          <cell r="L300" t="str">
            <v/>
          </cell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</row>
        <row r="301">
          <cell r="L301" t="str">
            <v/>
          </cell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</row>
        <row r="302">
          <cell r="L302" t="str">
            <v/>
          </cell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</row>
        <row r="303">
          <cell r="L303" t="str">
            <v/>
          </cell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</row>
        <row r="304">
          <cell r="L304" t="str">
            <v/>
          </cell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</row>
        <row r="305">
          <cell r="L305" t="str">
            <v/>
          </cell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</row>
        <row r="306">
          <cell r="L306" t="str">
            <v/>
          </cell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</row>
        <row r="307">
          <cell r="L307" t="str">
            <v/>
          </cell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</row>
        <row r="308">
          <cell r="L308" t="str">
            <v/>
          </cell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</row>
        <row r="309">
          <cell r="L309" t="str">
            <v/>
          </cell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</row>
        <row r="310">
          <cell r="L310" t="str">
            <v/>
          </cell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</row>
        <row r="311">
          <cell r="L311" t="str">
            <v/>
          </cell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</row>
        <row r="312">
          <cell r="L312" t="str">
            <v/>
          </cell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</row>
        <row r="313">
          <cell r="L313" t="str">
            <v/>
          </cell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</row>
        <row r="314">
          <cell r="L314" t="str">
            <v/>
          </cell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</row>
        <row r="315">
          <cell r="L315" t="str">
            <v/>
          </cell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</row>
        <row r="316">
          <cell r="L316" t="str">
            <v/>
          </cell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</row>
        <row r="317">
          <cell r="L317" t="str">
            <v/>
          </cell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</row>
        <row r="318">
          <cell r="L318" t="str">
            <v/>
          </cell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</row>
        <row r="319">
          <cell r="L319" t="str">
            <v/>
          </cell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</row>
        <row r="320">
          <cell r="L320" t="str">
            <v/>
          </cell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</row>
        <row r="321">
          <cell r="L321" t="str">
            <v/>
          </cell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</row>
        <row r="322">
          <cell r="L322" t="str">
            <v/>
          </cell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</row>
        <row r="323">
          <cell r="L323" t="str">
            <v/>
          </cell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</row>
        <row r="324">
          <cell r="L324" t="str">
            <v/>
          </cell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</row>
        <row r="325">
          <cell r="L325" t="str">
            <v/>
          </cell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</row>
        <row r="326">
          <cell r="L326" t="str">
            <v/>
          </cell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</row>
        <row r="327">
          <cell r="L327" t="str">
            <v/>
          </cell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</row>
        <row r="328">
          <cell r="L328" t="str">
            <v/>
          </cell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</row>
        <row r="329">
          <cell r="L329" t="str">
            <v/>
          </cell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</row>
        <row r="330">
          <cell r="L330" t="str">
            <v/>
          </cell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</row>
        <row r="331">
          <cell r="L331" t="str">
            <v/>
          </cell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</row>
        <row r="332">
          <cell r="L332" t="str">
            <v/>
          </cell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</row>
        <row r="333">
          <cell r="L333" t="str">
            <v/>
          </cell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</row>
        <row r="334">
          <cell r="L334" t="str">
            <v/>
          </cell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</row>
        <row r="335">
          <cell r="L335" t="str">
            <v/>
          </cell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</row>
        <row r="336">
          <cell r="L336" t="str">
            <v/>
          </cell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</row>
        <row r="337">
          <cell r="L337" t="str">
            <v/>
          </cell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</row>
        <row r="338">
          <cell r="L338" t="str">
            <v/>
          </cell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</row>
        <row r="339">
          <cell r="L339" t="str">
            <v/>
          </cell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</row>
        <row r="340">
          <cell r="L340" t="str">
            <v/>
          </cell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</row>
        <row r="341">
          <cell r="L341" t="str">
            <v/>
          </cell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</row>
        <row r="342">
          <cell r="L342" t="str">
            <v/>
          </cell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</row>
        <row r="343">
          <cell r="L343" t="str">
            <v/>
          </cell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</row>
        <row r="344">
          <cell r="L344" t="str">
            <v/>
          </cell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</row>
        <row r="345">
          <cell r="L345" t="str">
            <v/>
          </cell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</row>
        <row r="346">
          <cell r="L346" t="str">
            <v/>
          </cell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</row>
        <row r="347">
          <cell r="L347" t="str">
            <v/>
          </cell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</row>
        <row r="348">
          <cell r="L348" t="str">
            <v/>
          </cell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</row>
        <row r="349">
          <cell r="L349" t="str">
            <v/>
          </cell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</row>
        <row r="350">
          <cell r="L350" t="str">
            <v/>
          </cell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</row>
        <row r="351">
          <cell r="L351" t="str">
            <v/>
          </cell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</row>
        <row r="352">
          <cell r="L352" t="str">
            <v/>
          </cell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</row>
        <row r="353">
          <cell r="L353" t="str">
            <v/>
          </cell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</row>
        <row r="354">
          <cell r="L354" t="str">
            <v/>
          </cell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</row>
        <row r="355">
          <cell r="L355" t="str">
            <v/>
          </cell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</row>
        <row r="356">
          <cell r="L356" t="str">
            <v/>
          </cell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</row>
        <row r="357">
          <cell r="L357" t="str">
            <v/>
          </cell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</row>
        <row r="358">
          <cell r="L358" t="str">
            <v/>
          </cell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</row>
        <row r="359">
          <cell r="L359" t="str">
            <v/>
          </cell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</row>
        <row r="360">
          <cell r="L360" t="str">
            <v/>
          </cell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</row>
        <row r="361">
          <cell r="L361" t="str">
            <v/>
          </cell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</row>
        <row r="362">
          <cell r="L362" t="str">
            <v/>
          </cell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</row>
        <row r="363">
          <cell r="L363" t="str">
            <v/>
          </cell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</row>
        <row r="364">
          <cell r="L364" t="str">
            <v/>
          </cell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</row>
        <row r="365">
          <cell r="L365" t="str">
            <v/>
          </cell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</row>
        <row r="366">
          <cell r="L366" t="str">
            <v/>
          </cell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</row>
        <row r="367">
          <cell r="L367" t="str">
            <v/>
          </cell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</row>
        <row r="368">
          <cell r="L368" t="str">
            <v/>
          </cell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</row>
        <row r="369">
          <cell r="L369" t="str">
            <v/>
          </cell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</row>
        <row r="370">
          <cell r="L370" t="str">
            <v/>
          </cell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</row>
        <row r="371">
          <cell r="L371" t="str">
            <v/>
          </cell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</row>
        <row r="372">
          <cell r="L372" t="str">
            <v/>
          </cell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</row>
        <row r="373">
          <cell r="L373" t="str">
            <v/>
          </cell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</row>
        <row r="374">
          <cell r="L374" t="str">
            <v/>
          </cell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</row>
        <row r="375">
          <cell r="L375" t="str">
            <v/>
          </cell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</row>
        <row r="376">
          <cell r="L376" t="str">
            <v/>
          </cell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</row>
        <row r="377">
          <cell r="L377" t="str">
            <v/>
          </cell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</row>
        <row r="378">
          <cell r="L378" t="str">
            <v/>
          </cell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</row>
        <row r="379">
          <cell r="L379" t="str">
            <v/>
          </cell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</row>
        <row r="380">
          <cell r="L380" t="str">
            <v/>
          </cell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</row>
        <row r="381">
          <cell r="L381" t="str">
            <v/>
          </cell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</row>
        <row r="382">
          <cell r="L382" t="str">
            <v/>
          </cell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</row>
        <row r="383">
          <cell r="L383" t="str">
            <v/>
          </cell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</row>
        <row r="384">
          <cell r="L384" t="str">
            <v/>
          </cell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</row>
        <row r="385">
          <cell r="L385" t="str">
            <v/>
          </cell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</row>
        <row r="386">
          <cell r="L386" t="str">
            <v/>
          </cell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</row>
        <row r="387">
          <cell r="L387" t="str">
            <v/>
          </cell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</row>
        <row r="388">
          <cell r="L388" t="str">
            <v/>
          </cell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</row>
        <row r="389">
          <cell r="L389" t="str">
            <v/>
          </cell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</row>
        <row r="390">
          <cell r="L390" t="str">
            <v/>
          </cell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</row>
        <row r="391">
          <cell r="L391" t="str">
            <v/>
          </cell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</row>
        <row r="392">
          <cell r="L392" t="str">
            <v/>
          </cell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</row>
        <row r="393">
          <cell r="L393" t="str">
            <v/>
          </cell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</row>
        <row r="394">
          <cell r="L394" t="str">
            <v/>
          </cell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</row>
        <row r="395">
          <cell r="L395" t="str">
            <v/>
          </cell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</row>
        <row r="396">
          <cell r="L396" t="str">
            <v/>
          </cell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</row>
        <row r="397">
          <cell r="L397" t="str">
            <v/>
          </cell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</row>
        <row r="398">
          <cell r="L398" t="str">
            <v/>
          </cell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</row>
        <row r="399">
          <cell r="L399" t="str">
            <v/>
          </cell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</row>
        <row r="400">
          <cell r="L400" t="str">
            <v/>
          </cell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</row>
        <row r="401">
          <cell r="L401" t="str">
            <v/>
          </cell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</row>
        <row r="402">
          <cell r="L402" t="str">
            <v/>
          </cell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</row>
        <row r="403">
          <cell r="L403" t="str">
            <v/>
          </cell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</row>
        <row r="404">
          <cell r="L404" t="str">
            <v/>
          </cell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</row>
        <row r="405">
          <cell r="L405" t="str">
            <v/>
          </cell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</row>
        <row r="406">
          <cell r="L406" t="str">
            <v/>
          </cell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</row>
        <row r="407">
          <cell r="L407" t="str">
            <v/>
          </cell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</row>
        <row r="408">
          <cell r="L408" t="str">
            <v/>
          </cell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</row>
        <row r="409">
          <cell r="L409" t="str">
            <v/>
          </cell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</row>
        <row r="410">
          <cell r="L410" t="str">
            <v/>
          </cell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</row>
        <row r="411">
          <cell r="L411" t="str">
            <v/>
          </cell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</row>
        <row r="412">
          <cell r="L412" t="str">
            <v/>
          </cell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</row>
        <row r="413">
          <cell r="L413" t="str">
            <v/>
          </cell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</row>
        <row r="414">
          <cell r="L414" t="str">
            <v/>
          </cell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</row>
        <row r="415">
          <cell r="L415" t="str">
            <v/>
          </cell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</row>
        <row r="416">
          <cell r="L416" t="str">
            <v/>
          </cell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</row>
        <row r="417">
          <cell r="L417" t="str">
            <v/>
          </cell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</row>
        <row r="418">
          <cell r="L418" t="str">
            <v/>
          </cell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</row>
        <row r="419">
          <cell r="L419" t="str">
            <v/>
          </cell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</row>
        <row r="420">
          <cell r="L420" t="str">
            <v/>
          </cell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</row>
        <row r="421">
          <cell r="L421" t="str">
            <v/>
          </cell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</row>
        <row r="422">
          <cell r="L422" t="str">
            <v/>
          </cell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</row>
        <row r="423">
          <cell r="L423" t="str">
            <v/>
          </cell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</row>
        <row r="424">
          <cell r="L424" t="str">
            <v/>
          </cell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</row>
        <row r="425">
          <cell r="L425" t="str">
            <v/>
          </cell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</row>
        <row r="426">
          <cell r="L426" t="str">
            <v/>
          </cell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</row>
        <row r="427">
          <cell r="L427" t="str">
            <v/>
          </cell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</row>
        <row r="428">
          <cell r="L428" t="str">
            <v/>
          </cell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</row>
        <row r="429">
          <cell r="L429" t="str">
            <v/>
          </cell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</row>
        <row r="430">
          <cell r="L430" t="str">
            <v/>
          </cell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</row>
        <row r="431">
          <cell r="L431" t="str">
            <v/>
          </cell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</row>
        <row r="432">
          <cell r="L432" t="str">
            <v/>
          </cell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</row>
        <row r="433">
          <cell r="L433" t="str">
            <v/>
          </cell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</row>
        <row r="434">
          <cell r="L434" t="str">
            <v/>
          </cell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</row>
        <row r="435">
          <cell r="L435" t="str">
            <v/>
          </cell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</row>
        <row r="436">
          <cell r="L436" t="str">
            <v/>
          </cell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</row>
        <row r="437">
          <cell r="L437" t="str">
            <v/>
          </cell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</row>
        <row r="438">
          <cell r="L438" t="str">
            <v/>
          </cell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</row>
        <row r="439">
          <cell r="L439" t="str">
            <v/>
          </cell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</row>
        <row r="440">
          <cell r="L440" t="str">
            <v/>
          </cell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</row>
        <row r="441">
          <cell r="L441" t="str">
            <v/>
          </cell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</row>
        <row r="442">
          <cell r="L442" t="str">
            <v/>
          </cell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</row>
        <row r="443">
          <cell r="L443" t="str">
            <v/>
          </cell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</row>
        <row r="444">
          <cell r="L444" t="str">
            <v/>
          </cell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</row>
        <row r="445">
          <cell r="L445" t="str">
            <v/>
          </cell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</row>
        <row r="446">
          <cell r="L446" t="str">
            <v/>
          </cell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</row>
        <row r="447">
          <cell r="L447" t="str">
            <v/>
          </cell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</row>
        <row r="448">
          <cell r="L448" t="str">
            <v/>
          </cell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</row>
        <row r="449">
          <cell r="L449" t="str">
            <v/>
          </cell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</row>
        <row r="450">
          <cell r="L450" t="str">
            <v/>
          </cell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</row>
        <row r="451">
          <cell r="L451" t="str">
            <v/>
          </cell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</row>
        <row r="452">
          <cell r="L452" t="str">
            <v/>
          </cell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</row>
        <row r="453">
          <cell r="L453" t="str">
            <v/>
          </cell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</row>
        <row r="454">
          <cell r="L454" t="str">
            <v/>
          </cell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</row>
        <row r="455">
          <cell r="L455" t="str">
            <v/>
          </cell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</row>
        <row r="456">
          <cell r="L456" t="str">
            <v/>
          </cell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</row>
        <row r="457">
          <cell r="L457" t="str">
            <v/>
          </cell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</row>
        <row r="458">
          <cell r="L458" t="str">
            <v/>
          </cell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</row>
        <row r="459">
          <cell r="L459" t="str">
            <v/>
          </cell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</row>
        <row r="460">
          <cell r="L460" t="str">
            <v/>
          </cell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</row>
        <row r="461">
          <cell r="L461" t="str">
            <v/>
          </cell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</row>
        <row r="462">
          <cell r="L462" t="str">
            <v/>
          </cell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</row>
        <row r="463">
          <cell r="L463" t="str">
            <v/>
          </cell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</row>
        <row r="464">
          <cell r="L464" t="str">
            <v/>
          </cell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</row>
        <row r="465">
          <cell r="L465" t="str">
            <v/>
          </cell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</row>
        <row r="466">
          <cell r="L466" t="str">
            <v/>
          </cell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</row>
        <row r="467">
          <cell r="L467" t="str">
            <v/>
          </cell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</row>
        <row r="468">
          <cell r="L468" t="str">
            <v/>
          </cell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</row>
        <row r="469">
          <cell r="L469" t="str">
            <v/>
          </cell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</row>
        <row r="470">
          <cell r="L470" t="str">
            <v/>
          </cell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</row>
        <row r="471">
          <cell r="L471" t="str">
            <v/>
          </cell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</row>
        <row r="472">
          <cell r="L472" t="str">
            <v/>
          </cell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</row>
        <row r="473">
          <cell r="L473" t="str">
            <v/>
          </cell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</row>
        <row r="474">
          <cell r="L474" t="str">
            <v/>
          </cell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</row>
        <row r="475">
          <cell r="L475" t="str">
            <v/>
          </cell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</row>
        <row r="476">
          <cell r="L476" t="str">
            <v/>
          </cell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</row>
        <row r="477">
          <cell r="L477" t="str">
            <v/>
          </cell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</row>
        <row r="478">
          <cell r="L478" t="str">
            <v/>
          </cell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</row>
        <row r="479">
          <cell r="L479" t="str">
            <v/>
          </cell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</row>
        <row r="480">
          <cell r="L480" t="str">
            <v/>
          </cell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</row>
        <row r="481">
          <cell r="L481" t="str">
            <v/>
          </cell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</row>
        <row r="482">
          <cell r="L482" t="str">
            <v/>
          </cell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</row>
        <row r="483">
          <cell r="L483" t="str">
            <v/>
          </cell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</row>
        <row r="484">
          <cell r="L484" t="str">
            <v/>
          </cell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</row>
        <row r="485">
          <cell r="L485" t="str">
            <v/>
          </cell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</row>
        <row r="486">
          <cell r="L486" t="str">
            <v/>
          </cell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</row>
        <row r="487">
          <cell r="L487" t="str">
            <v/>
          </cell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</row>
        <row r="488">
          <cell r="L488" t="str">
            <v/>
          </cell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</row>
        <row r="489">
          <cell r="L489" t="str">
            <v/>
          </cell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</row>
        <row r="490">
          <cell r="L490" t="str">
            <v/>
          </cell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</row>
        <row r="491">
          <cell r="L491" t="str">
            <v/>
          </cell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</row>
        <row r="492">
          <cell r="L492" t="str">
            <v/>
          </cell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</row>
        <row r="493">
          <cell r="L493" t="str">
            <v/>
          </cell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</row>
        <row r="494">
          <cell r="L494" t="str">
            <v/>
          </cell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</row>
        <row r="495">
          <cell r="L495" t="str">
            <v/>
          </cell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</row>
        <row r="496">
          <cell r="L496" t="str">
            <v/>
          </cell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</row>
        <row r="497">
          <cell r="L497" t="str">
            <v/>
          </cell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</row>
        <row r="498">
          <cell r="L498" t="str">
            <v/>
          </cell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</row>
        <row r="499">
          <cell r="L499" t="str">
            <v/>
          </cell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</row>
        <row r="500">
          <cell r="L500" t="str">
            <v/>
          </cell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</row>
        <row r="501">
          <cell r="L501" t="str">
            <v/>
          </cell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</row>
        <row r="502">
          <cell r="L502" t="str">
            <v/>
          </cell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</row>
        <row r="503">
          <cell r="L503" t="str">
            <v/>
          </cell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</row>
        <row r="504">
          <cell r="L504" t="str">
            <v/>
          </cell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</row>
        <row r="505">
          <cell r="L505" t="str">
            <v/>
          </cell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</row>
        <row r="506">
          <cell r="L506" t="str">
            <v/>
          </cell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</row>
        <row r="507">
          <cell r="L507" t="str">
            <v/>
          </cell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</row>
        <row r="508">
          <cell r="L508" t="str">
            <v/>
          </cell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</row>
        <row r="509">
          <cell r="L509" t="str">
            <v/>
          </cell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</row>
        <row r="510">
          <cell r="L510" t="str">
            <v/>
          </cell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</row>
        <row r="511">
          <cell r="L511" t="str">
            <v/>
          </cell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</row>
        <row r="512">
          <cell r="L512" t="str">
            <v/>
          </cell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</row>
        <row r="513">
          <cell r="L513" t="str">
            <v/>
          </cell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</row>
        <row r="514">
          <cell r="L514" t="str">
            <v/>
          </cell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</row>
        <row r="515">
          <cell r="L515" t="str">
            <v/>
          </cell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</row>
        <row r="516">
          <cell r="L516" t="str">
            <v/>
          </cell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</row>
        <row r="517">
          <cell r="L517" t="str">
            <v/>
          </cell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</row>
        <row r="518">
          <cell r="L518" t="str">
            <v/>
          </cell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</row>
        <row r="519">
          <cell r="L519" t="str">
            <v/>
          </cell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</row>
        <row r="520">
          <cell r="L520" t="str">
            <v/>
          </cell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</row>
        <row r="521">
          <cell r="L521" t="str">
            <v/>
          </cell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</row>
        <row r="524">
          <cell r="L524" t="str">
            <v/>
          </cell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</row>
        <row r="525">
          <cell r="L525" t="str">
            <v/>
          </cell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</row>
        <row r="526">
          <cell r="L526" t="str">
            <v/>
          </cell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</row>
        <row r="527">
          <cell r="L527" t="str">
            <v/>
          </cell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</row>
        <row r="528">
          <cell r="L528" t="str">
            <v/>
          </cell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</row>
        <row r="529">
          <cell r="L529" t="str">
            <v/>
          </cell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</row>
        <row r="530">
          <cell r="L530" t="str">
            <v/>
          </cell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</row>
        <row r="531">
          <cell r="L531" t="str">
            <v/>
          </cell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</row>
        <row r="532">
          <cell r="L532" t="str">
            <v/>
          </cell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</row>
        <row r="533">
          <cell r="L533" t="str">
            <v/>
          </cell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</row>
        <row r="534">
          <cell r="L534" t="str">
            <v/>
          </cell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</row>
        <row r="535">
          <cell r="L535" t="str">
            <v/>
          </cell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</row>
        <row r="536">
          <cell r="L536" t="str">
            <v/>
          </cell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</row>
        <row r="537">
          <cell r="L537" t="str">
            <v/>
          </cell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</row>
        <row r="538">
          <cell r="L538" t="str">
            <v/>
          </cell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</row>
        <row r="539">
          <cell r="L539" t="str">
            <v/>
          </cell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</row>
        <row r="540">
          <cell r="L540" t="str">
            <v/>
          </cell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</row>
        <row r="541">
          <cell r="L541" t="str">
            <v/>
          </cell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</row>
        <row r="542">
          <cell r="L542" t="str">
            <v/>
          </cell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</row>
        <row r="543">
          <cell r="L543" t="str">
            <v/>
          </cell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</row>
        <row r="544">
          <cell r="L544" t="str">
            <v/>
          </cell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</row>
        <row r="545">
          <cell r="L545" t="str">
            <v/>
          </cell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</row>
        <row r="546">
          <cell r="L546" t="str">
            <v/>
          </cell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</row>
        <row r="547">
          <cell r="L547" t="str">
            <v/>
          </cell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</row>
        <row r="548">
          <cell r="L548" t="str">
            <v/>
          </cell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</row>
        <row r="549">
          <cell r="L549" t="str">
            <v/>
          </cell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</row>
        <row r="550">
          <cell r="L550" t="str">
            <v/>
          </cell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</row>
        <row r="551">
          <cell r="L551" t="str">
            <v/>
          </cell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</row>
        <row r="552">
          <cell r="L552" t="str">
            <v/>
          </cell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</row>
        <row r="553">
          <cell r="L553" t="str">
            <v/>
          </cell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</row>
        <row r="554">
          <cell r="L554" t="str">
            <v/>
          </cell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</row>
        <row r="555">
          <cell r="L555" t="str">
            <v/>
          </cell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</row>
        <row r="556">
          <cell r="L556" t="str">
            <v/>
          </cell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</row>
        <row r="557">
          <cell r="L557" t="str">
            <v/>
          </cell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</row>
        <row r="558">
          <cell r="L558" t="str">
            <v/>
          </cell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</row>
        <row r="559">
          <cell r="L559" t="str">
            <v/>
          </cell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</row>
        <row r="560">
          <cell r="L560" t="str">
            <v/>
          </cell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</row>
        <row r="561">
          <cell r="L561" t="str">
            <v/>
          </cell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</row>
        <row r="562">
          <cell r="L562" t="str">
            <v/>
          </cell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</row>
        <row r="563">
          <cell r="L563" t="str">
            <v/>
          </cell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</row>
        <row r="564">
          <cell r="L564" t="str">
            <v/>
          </cell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</row>
        <row r="565">
          <cell r="L565" t="str">
            <v/>
          </cell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</row>
        <row r="566">
          <cell r="L566" t="str">
            <v/>
          </cell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</row>
        <row r="567">
          <cell r="L567" t="str">
            <v/>
          </cell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</row>
        <row r="568">
          <cell r="L568" t="str">
            <v/>
          </cell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</row>
        <row r="569">
          <cell r="L569" t="str">
            <v/>
          </cell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</row>
        <row r="570">
          <cell r="L570" t="str">
            <v/>
          </cell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</row>
        <row r="571">
          <cell r="L571" t="str">
            <v/>
          </cell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</row>
        <row r="572">
          <cell r="L572" t="str">
            <v/>
          </cell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</row>
        <row r="573">
          <cell r="L573" t="str">
            <v/>
          </cell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</row>
        <row r="574">
          <cell r="L574" t="str">
            <v/>
          </cell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</row>
        <row r="575">
          <cell r="L575" t="str">
            <v/>
          </cell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</row>
        <row r="576">
          <cell r="L576" t="str">
            <v/>
          </cell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</row>
        <row r="577">
          <cell r="L577" t="str">
            <v/>
          </cell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</row>
        <row r="578">
          <cell r="L578" t="str">
            <v/>
          </cell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</row>
        <row r="579">
          <cell r="L579" t="str">
            <v/>
          </cell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</row>
        <row r="580">
          <cell r="L580" t="str">
            <v/>
          </cell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</row>
        <row r="581">
          <cell r="L581" t="str">
            <v/>
          </cell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</row>
        <row r="582">
          <cell r="L582" t="str">
            <v/>
          </cell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</row>
        <row r="583">
          <cell r="L583" t="str">
            <v/>
          </cell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</row>
        <row r="584">
          <cell r="L584" t="str">
            <v/>
          </cell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</row>
        <row r="585">
          <cell r="L585" t="str">
            <v/>
          </cell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</row>
        <row r="586">
          <cell r="L586" t="str">
            <v/>
          </cell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</row>
        <row r="587">
          <cell r="L587" t="str">
            <v/>
          </cell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</row>
        <row r="588">
          <cell r="L588" t="str">
            <v/>
          </cell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</row>
        <row r="589">
          <cell r="L589" t="str">
            <v/>
          </cell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</row>
        <row r="590">
          <cell r="L590" t="str">
            <v/>
          </cell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</row>
        <row r="591">
          <cell r="L591" t="str">
            <v/>
          </cell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</row>
        <row r="592">
          <cell r="L592" t="str">
            <v/>
          </cell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</row>
        <row r="593">
          <cell r="L593" t="str">
            <v/>
          </cell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</row>
        <row r="594">
          <cell r="L594" t="str">
            <v/>
          </cell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</row>
        <row r="595">
          <cell r="L595" t="str">
            <v/>
          </cell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</row>
        <row r="596">
          <cell r="L596" t="str">
            <v/>
          </cell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</row>
        <row r="597">
          <cell r="L597" t="str">
            <v/>
          </cell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</row>
        <row r="598">
          <cell r="L598" t="str">
            <v/>
          </cell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</row>
        <row r="599">
          <cell r="L599" t="str">
            <v/>
          </cell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</row>
        <row r="600">
          <cell r="L600" t="str">
            <v/>
          </cell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</row>
        <row r="601">
          <cell r="L601" t="str">
            <v/>
          </cell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</row>
        <row r="602">
          <cell r="L602" t="str">
            <v/>
          </cell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</row>
        <row r="603">
          <cell r="L603" t="str">
            <v/>
          </cell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</row>
        <row r="604">
          <cell r="L604" t="str">
            <v/>
          </cell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</row>
        <row r="605">
          <cell r="L605" t="str">
            <v/>
          </cell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</row>
        <row r="606">
          <cell r="L606" t="str">
            <v/>
          </cell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</row>
        <row r="607">
          <cell r="L607" t="str">
            <v/>
          </cell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</row>
        <row r="608">
          <cell r="L608" t="str">
            <v/>
          </cell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</row>
        <row r="609">
          <cell r="L609" t="str">
            <v/>
          </cell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</row>
        <row r="610">
          <cell r="L610" t="str">
            <v/>
          </cell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</row>
        <row r="611">
          <cell r="L611" t="str">
            <v/>
          </cell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</row>
        <row r="612">
          <cell r="L612" t="str">
            <v/>
          </cell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</row>
        <row r="613">
          <cell r="L613" t="str">
            <v/>
          </cell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</row>
        <row r="614">
          <cell r="L614" t="str">
            <v/>
          </cell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</row>
        <row r="615">
          <cell r="L615" t="str">
            <v/>
          </cell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</row>
        <row r="616">
          <cell r="L616" t="str">
            <v/>
          </cell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</row>
        <row r="617">
          <cell r="L617" t="str">
            <v/>
          </cell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</row>
        <row r="618">
          <cell r="L618" t="str">
            <v/>
          </cell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</row>
        <row r="619">
          <cell r="L619" t="str">
            <v/>
          </cell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</row>
        <row r="620">
          <cell r="L620" t="str">
            <v/>
          </cell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</row>
        <row r="621">
          <cell r="L621" t="str">
            <v/>
          </cell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</row>
        <row r="622">
          <cell r="L622" t="str">
            <v/>
          </cell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</row>
        <row r="623">
          <cell r="L623" t="str">
            <v/>
          </cell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</row>
        <row r="624">
          <cell r="L624" t="str">
            <v/>
          </cell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</row>
        <row r="625">
          <cell r="L625" t="str">
            <v/>
          </cell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</row>
        <row r="626">
          <cell r="L626" t="str">
            <v/>
          </cell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</row>
        <row r="627">
          <cell r="L627" t="str">
            <v/>
          </cell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</row>
        <row r="628">
          <cell r="L628" t="str">
            <v/>
          </cell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</row>
        <row r="629">
          <cell r="L629" t="str">
            <v/>
          </cell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</row>
        <row r="630">
          <cell r="L630" t="str">
            <v/>
          </cell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</row>
        <row r="631">
          <cell r="L631" t="str">
            <v/>
          </cell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</row>
        <row r="632">
          <cell r="L632" t="str">
            <v/>
          </cell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</row>
        <row r="633">
          <cell r="L633" t="str">
            <v/>
          </cell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</row>
        <row r="634">
          <cell r="L634" t="str">
            <v/>
          </cell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</row>
        <row r="635">
          <cell r="L635" t="str">
            <v/>
          </cell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</row>
        <row r="636">
          <cell r="L636" t="str">
            <v/>
          </cell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</row>
        <row r="637">
          <cell r="L637" t="str">
            <v/>
          </cell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</row>
        <row r="638">
          <cell r="L638" t="str">
            <v/>
          </cell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</row>
        <row r="639">
          <cell r="L639" t="str">
            <v/>
          </cell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</row>
        <row r="640">
          <cell r="L640" t="str">
            <v/>
          </cell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</row>
        <row r="641">
          <cell r="L641" t="str">
            <v/>
          </cell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</row>
        <row r="642">
          <cell r="L642" t="str">
            <v/>
          </cell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</row>
        <row r="643">
          <cell r="L643" t="str">
            <v/>
          </cell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</row>
        <row r="644">
          <cell r="L644" t="str">
            <v/>
          </cell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</row>
        <row r="645">
          <cell r="L645" t="str">
            <v/>
          </cell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</row>
        <row r="646">
          <cell r="L646" t="str">
            <v/>
          </cell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</row>
        <row r="647">
          <cell r="L647" t="str">
            <v/>
          </cell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</row>
        <row r="648">
          <cell r="L648" t="str">
            <v/>
          </cell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</row>
        <row r="649">
          <cell r="L649" t="str">
            <v/>
          </cell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</row>
        <row r="650">
          <cell r="L650" t="str">
            <v/>
          </cell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</row>
        <row r="651">
          <cell r="L651" t="str">
            <v/>
          </cell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</row>
        <row r="652">
          <cell r="L652" t="str">
            <v/>
          </cell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</row>
        <row r="653">
          <cell r="L653" t="str">
            <v/>
          </cell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</row>
        <row r="654">
          <cell r="L654" t="str">
            <v/>
          </cell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</row>
        <row r="655">
          <cell r="L655" t="str">
            <v/>
          </cell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</row>
        <row r="656">
          <cell r="L656" t="str">
            <v/>
          </cell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</row>
        <row r="657">
          <cell r="L657" t="str">
            <v/>
          </cell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</row>
        <row r="658">
          <cell r="L658" t="str">
            <v/>
          </cell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</row>
        <row r="659">
          <cell r="L659" t="str">
            <v/>
          </cell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</row>
        <row r="660">
          <cell r="L660" t="str">
            <v/>
          </cell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</row>
        <row r="661">
          <cell r="L661" t="str">
            <v/>
          </cell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</row>
        <row r="662">
          <cell r="L662" t="str">
            <v/>
          </cell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</row>
        <row r="663">
          <cell r="L663" t="str">
            <v/>
          </cell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</row>
        <row r="664">
          <cell r="L664" t="str">
            <v/>
          </cell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</row>
        <row r="665">
          <cell r="L665" t="str">
            <v/>
          </cell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</row>
        <row r="666">
          <cell r="L666" t="str">
            <v/>
          </cell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</row>
        <row r="667">
          <cell r="L667" t="str">
            <v/>
          </cell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</row>
        <row r="668">
          <cell r="L668" t="str">
            <v/>
          </cell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</row>
        <row r="669">
          <cell r="L669" t="str">
            <v/>
          </cell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</row>
        <row r="670">
          <cell r="L670" t="str">
            <v/>
          </cell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</row>
        <row r="671">
          <cell r="L671" t="str">
            <v/>
          </cell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</row>
        <row r="672">
          <cell r="L672" t="str">
            <v/>
          </cell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</row>
        <row r="673">
          <cell r="L673" t="str">
            <v/>
          </cell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</row>
        <row r="674">
          <cell r="L674" t="str">
            <v/>
          </cell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</row>
        <row r="675">
          <cell r="L675" t="str">
            <v/>
          </cell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</row>
        <row r="676">
          <cell r="L676" t="str">
            <v/>
          </cell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</row>
        <row r="677">
          <cell r="L677" t="str">
            <v/>
          </cell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</row>
        <row r="678">
          <cell r="L678" t="str">
            <v/>
          </cell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</row>
        <row r="679">
          <cell r="L679" t="str">
            <v/>
          </cell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</row>
        <row r="680">
          <cell r="L680" t="str">
            <v/>
          </cell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</row>
        <row r="681">
          <cell r="L681" t="str">
            <v/>
          </cell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</row>
        <row r="682">
          <cell r="L682" t="str">
            <v/>
          </cell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</row>
        <row r="683">
          <cell r="L683" t="str">
            <v/>
          </cell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</row>
        <row r="684">
          <cell r="L684" t="str">
            <v/>
          </cell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</row>
        <row r="685">
          <cell r="L685" t="str">
            <v/>
          </cell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</row>
        <row r="686">
          <cell r="L686" t="str">
            <v/>
          </cell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</row>
        <row r="687">
          <cell r="L687" t="str">
            <v/>
          </cell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</row>
        <row r="688">
          <cell r="L688" t="str">
            <v/>
          </cell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</row>
        <row r="689">
          <cell r="L689" t="str">
            <v/>
          </cell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</row>
        <row r="690">
          <cell r="L690" t="str">
            <v/>
          </cell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</row>
        <row r="691">
          <cell r="L691" t="str">
            <v/>
          </cell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</row>
        <row r="692">
          <cell r="L692" t="str">
            <v/>
          </cell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</row>
        <row r="693">
          <cell r="L693" t="str">
            <v/>
          </cell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</row>
        <row r="694">
          <cell r="L694" t="str">
            <v/>
          </cell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</row>
        <row r="695">
          <cell r="L695" t="str">
            <v/>
          </cell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</row>
        <row r="696">
          <cell r="L696" t="str">
            <v/>
          </cell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</row>
        <row r="697">
          <cell r="L697" t="str">
            <v/>
          </cell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</row>
        <row r="698">
          <cell r="L698" t="str">
            <v/>
          </cell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</row>
        <row r="699">
          <cell r="L699" t="str">
            <v/>
          </cell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</row>
        <row r="700">
          <cell r="L700" t="str">
            <v/>
          </cell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</row>
        <row r="701">
          <cell r="L701" t="str">
            <v/>
          </cell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</row>
        <row r="702">
          <cell r="L702" t="str">
            <v/>
          </cell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</row>
        <row r="703">
          <cell r="L703" t="str">
            <v/>
          </cell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</row>
        <row r="704">
          <cell r="L704" t="str">
            <v/>
          </cell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</row>
        <row r="705">
          <cell r="L705" t="str">
            <v/>
          </cell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</row>
        <row r="706">
          <cell r="L706" t="str">
            <v/>
          </cell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</row>
        <row r="707">
          <cell r="L707" t="str">
            <v/>
          </cell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</row>
        <row r="708">
          <cell r="L708" t="str">
            <v/>
          </cell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</row>
        <row r="709">
          <cell r="L709" t="str">
            <v/>
          </cell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</row>
        <row r="710">
          <cell r="L710" t="str">
            <v/>
          </cell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</row>
        <row r="711">
          <cell r="L711" t="str">
            <v/>
          </cell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</row>
        <row r="712">
          <cell r="L712" t="str">
            <v/>
          </cell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</row>
        <row r="713">
          <cell r="L713" t="str">
            <v/>
          </cell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</row>
        <row r="714">
          <cell r="L714" t="str">
            <v/>
          </cell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</row>
        <row r="715">
          <cell r="L715" t="str">
            <v/>
          </cell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</row>
        <row r="716">
          <cell r="L716" t="str">
            <v/>
          </cell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</row>
        <row r="717">
          <cell r="L717" t="str">
            <v/>
          </cell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</row>
        <row r="718">
          <cell r="L718" t="str">
            <v/>
          </cell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</row>
        <row r="719">
          <cell r="L719" t="str">
            <v/>
          </cell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</row>
        <row r="720">
          <cell r="L720" t="str">
            <v/>
          </cell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</row>
        <row r="721">
          <cell r="L721" t="str">
            <v/>
          </cell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</row>
        <row r="722">
          <cell r="L722" t="str">
            <v/>
          </cell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</row>
        <row r="723">
          <cell r="L723" t="str">
            <v/>
          </cell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</row>
        <row r="724">
          <cell r="L724" t="str">
            <v/>
          </cell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</row>
        <row r="725">
          <cell r="L725" t="str">
            <v/>
          </cell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</row>
        <row r="726">
          <cell r="L726" t="str">
            <v/>
          </cell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</row>
        <row r="727">
          <cell r="L727" t="str">
            <v/>
          </cell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</row>
        <row r="728">
          <cell r="L728" t="str">
            <v/>
          </cell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</row>
        <row r="729">
          <cell r="L729" t="str">
            <v/>
          </cell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</row>
        <row r="730">
          <cell r="L730" t="str">
            <v/>
          </cell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</row>
        <row r="731">
          <cell r="L731" t="str">
            <v/>
          </cell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</row>
        <row r="732">
          <cell r="L732" t="str">
            <v/>
          </cell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</row>
        <row r="733">
          <cell r="L733" t="str">
            <v/>
          </cell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</row>
        <row r="734">
          <cell r="L734" t="str">
            <v/>
          </cell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</row>
        <row r="735">
          <cell r="L735" t="str">
            <v/>
          </cell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</row>
        <row r="736">
          <cell r="L736" t="str">
            <v/>
          </cell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</row>
        <row r="737">
          <cell r="L737" t="str">
            <v/>
          </cell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</row>
        <row r="738">
          <cell r="L738" t="str">
            <v/>
          </cell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</row>
        <row r="739">
          <cell r="L739" t="str">
            <v/>
          </cell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</row>
        <row r="740">
          <cell r="L740" t="str">
            <v/>
          </cell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</row>
        <row r="741">
          <cell r="L741" t="str">
            <v/>
          </cell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</row>
        <row r="742">
          <cell r="L742" t="str">
            <v/>
          </cell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</row>
        <row r="743">
          <cell r="L743" t="str">
            <v/>
          </cell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</row>
        <row r="744">
          <cell r="L744" t="str">
            <v/>
          </cell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</row>
        <row r="745">
          <cell r="L745" t="str">
            <v/>
          </cell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</row>
        <row r="746">
          <cell r="L746" t="str">
            <v/>
          </cell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</row>
        <row r="747">
          <cell r="L747" t="str">
            <v/>
          </cell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</row>
        <row r="748">
          <cell r="L748" t="str">
            <v/>
          </cell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</row>
        <row r="749">
          <cell r="L749" t="str">
            <v/>
          </cell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</row>
        <row r="750">
          <cell r="L750" t="str">
            <v/>
          </cell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</row>
        <row r="751">
          <cell r="L751" t="str">
            <v/>
          </cell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</row>
        <row r="752">
          <cell r="L752" t="str">
            <v/>
          </cell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</row>
        <row r="753">
          <cell r="L753" t="str">
            <v/>
          </cell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</row>
        <row r="754">
          <cell r="L754" t="str">
            <v/>
          </cell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</row>
        <row r="755">
          <cell r="L755" t="str">
            <v/>
          </cell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</row>
        <row r="756">
          <cell r="L756" t="str">
            <v/>
          </cell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</row>
        <row r="757">
          <cell r="L757" t="str">
            <v/>
          </cell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</row>
        <row r="758">
          <cell r="L758" t="str">
            <v/>
          </cell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</row>
        <row r="759">
          <cell r="L759" t="str">
            <v/>
          </cell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</row>
        <row r="760">
          <cell r="L760" t="str">
            <v/>
          </cell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</row>
        <row r="761">
          <cell r="L761" t="str">
            <v/>
          </cell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</row>
        <row r="762">
          <cell r="L762" t="str">
            <v/>
          </cell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</row>
        <row r="763">
          <cell r="L763" t="str">
            <v/>
          </cell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</row>
        <row r="764">
          <cell r="L764" t="str">
            <v/>
          </cell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</row>
        <row r="765">
          <cell r="L765" t="str">
            <v/>
          </cell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</row>
        <row r="766">
          <cell r="L766" t="str">
            <v/>
          </cell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</row>
        <row r="767">
          <cell r="L767" t="str">
            <v/>
          </cell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</row>
        <row r="768">
          <cell r="L768" t="str">
            <v/>
          </cell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</row>
        <row r="769">
          <cell r="L769" t="str">
            <v/>
          </cell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</row>
        <row r="770">
          <cell r="L770" t="str">
            <v/>
          </cell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</row>
        <row r="771">
          <cell r="L771" t="str">
            <v/>
          </cell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</row>
        <row r="772">
          <cell r="L772" t="str">
            <v/>
          </cell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</row>
        <row r="773">
          <cell r="L773" t="str">
            <v/>
          </cell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</row>
        <row r="774">
          <cell r="L774" t="str">
            <v/>
          </cell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</row>
        <row r="775">
          <cell r="L775" t="str">
            <v/>
          </cell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</row>
        <row r="776">
          <cell r="L776" t="str">
            <v/>
          </cell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</row>
        <row r="777">
          <cell r="L777" t="str">
            <v/>
          </cell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</row>
        <row r="778">
          <cell r="L778" t="str">
            <v/>
          </cell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</row>
        <row r="779">
          <cell r="L779" t="str">
            <v/>
          </cell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</row>
        <row r="780">
          <cell r="L780" t="str">
            <v/>
          </cell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</row>
        <row r="781">
          <cell r="L781" t="str">
            <v/>
          </cell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</row>
        <row r="782">
          <cell r="L782" t="str">
            <v/>
          </cell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</row>
        <row r="783">
          <cell r="L783" t="str">
            <v/>
          </cell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</row>
        <row r="784">
          <cell r="L784" t="str">
            <v/>
          </cell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</row>
        <row r="785">
          <cell r="L785" t="str">
            <v/>
          </cell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</row>
        <row r="786">
          <cell r="L786" t="str">
            <v/>
          </cell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</row>
        <row r="787">
          <cell r="L787" t="str">
            <v/>
          </cell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</row>
        <row r="788">
          <cell r="L788" t="str">
            <v/>
          </cell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</row>
        <row r="789">
          <cell r="L789" t="str">
            <v/>
          </cell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</row>
        <row r="790">
          <cell r="L790" t="str">
            <v/>
          </cell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</row>
        <row r="791">
          <cell r="L791" t="str">
            <v/>
          </cell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</row>
        <row r="792">
          <cell r="L792" t="str">
            <v/>
          </cell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</row>
        <row r="793">
          <cell r="L793" t="str">
            <v/>
          </cell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</row>
        <row r="794">
          <cell r="L794" t="str">
            <v/>
          </cell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</row>
        <row r="795">
          <cell r="L795" t="str">
            <v/>
          </cell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</row>
        <row r="796">
          <cell r="L796" t="str">
            <v/>
          </cell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</row>
        <row r="797">
          <cell r="L797" t="str">
            <v/>
          </cell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</row>
        <row r="798">
          <cell r="L798" t="str">
            <v/>
          </cell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</row>
        <row r="799">
          <cell r="L799" t="str">
            <v/>
          </cell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</row>
        <row r="800">
          <cell r="L800" t="str">
            <v/>
          </cell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</row>
        <row r="801">
          <cell r="L801" t="str">
            <v/>
          </cell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</row>
        <row r="802">
          <cell r="L802" t="str">
            <v/>
          </cell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</row>
        <row r="803">
          <cell r="L803" t="str">
            <v/>
          </cell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</row>
        <row r="804">
          <cell r="L804" t="str">
            <v/>
          </cell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</row>
        <row r="805">
          <cell r="L805" t="str">
            <v/>
          </cell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</row>
        <row r="806">
          <cell r="L806" t="str">
            <v/>
          </cell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</row>
        <row r="807">
          <cell r="L807" t="str">
            <v/>
          </cell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</row>
        <row r="808">
          <cell r="L808" t="str">
            <v/>
          </cell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</row>
        <row r="809">
          <cell r="L809" t="str">
            <v/>
          </cell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</row>
        <row r="810">
          <cell r="L810" t="str">
            <v/>
          </cell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</row>
        <row r="811">
          <cell r="L811" t="str">
            <v/>
          </cell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</row>
        <row r="812">
          <cell r="L812" t="str">
            <v/>
          </cell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</row>
        <row r="813">
          <cell r="L813" t="str">
            <v/>
          </cell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</row>
        <row r="814">
          <cell r="L814" t="str">
            <v/>
          </cell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</row>
        <row r="815">
          <cell r="L815" t="str">
            <v/>
          </cell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</row>
        <row r="816">
          <cell r="L816" t="str">
            <v/>
          </cell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</row>
        <row r="817">
          <cell r="L817" t="str">
            <v/>
          </cell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</row>
        <row r="818">
          <cell r="L818" t="str">
            <v/>
          </cell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</row>
        <row r="819">
          <cell r="L819" t="str">
            <v/>
          </cell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</row>
        <row r="820">
          <cell r="L820" t="str">
            <v/>
          </cell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</row>
        <row r="821">
          <cell r="L821" t="str">
            <v/>
          </cell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</row>
        <row r="822">
          <cell r="L822" t="str">
            <v/>
          </cell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</row>
        <row r="823">
          <cell r="L823" t="str">
            <v/>
          </cell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</row>
        <row r="824">
          <cell r="L824" t="str">
            <v/>
          </cell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</row>
        <row r="825">
          <cell r="L825" t="str">
            <v/>
          </cell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</row>
        <row r="826">
          <cell r="L826" t="str">
            <v/>
          </cell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</row>
        <row r="827">
          <cell r="L827" t="str">
            <v/>
          </cell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</row>
        <row r="828">
          <cell r="L828" t="str">
            <v/>
          </cell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</row>
        <row r="829">
          <cell r="L829" t="str">
            <v/>
          </cell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</row>
        <row r="830">
          <cell r="L830" t="str">
            <v/>
          </cell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</row>
        <row r="831">
          <cell r="L831" t="str">
            <v/>
          </cell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</row>
        <row r="832">
          <cell r="L832" t="str">
            <v/>
          </cell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</row>
        <row r="833">
          <cell r="L833" t="str">
            <v/>
          </cell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</row>
        <row r="834">
          <cell r="L834" t="str">
            <v/>
          </cell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</row>
        <row r="835">
          <cell r="L835" t="str">
            <v/>
          </cell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</row>
        <row r="836">
          <cell r="L836" t="str">
            <v/>
          </cell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</row>
        <row r="837">
          <cell r="L837" t="str">
            <v/>
          </cell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</row>
        <row r="838">
          <cell r="L838" t="str">
            <v/>
          </cell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</row>
        <row r="839">
          <cell r="L839" t="str">
            <v/>
          </cell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</row>
        <row r="840">
          <cell r="L840" t="str">
            <v/>
          </cell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</row>
        <row r="841">
          <cell r="L841" t="str">
            <v/>
          </cell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</row>
        <row r="842">
          <cell r="L842" t="str">
            <v/>
          </cell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</row>
        <row r="843">
          <cell r="L843" t="str">
            <v/>
          </cell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</row>
        <row r="844">
          <cell r="L844" t="str">
            <v/>
          </cell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</row>
        <row r="845">
          <cell r="L845" t="str">
            <v/>
          </cell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</row>
        <row r="846">
          <cell r="L846" t="str">
            <v/>
          </cell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</row>
        <row r="847">
          <cell r="L847" t="str">
            <v/>
          </cell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</row>
        <row r="848">
          <cell r="L848" t="str">
            <v/>
          </cell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</row>
        <row r="849">
          <cell r="L849" t="str">
            <v/>
          </cell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</row>
        <row r="850">
          <cell r="L850" t="str">
            <v/>
          </cell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</row>
        <row r="851">
          <cell r="L851" t="str">
            <v/>
          </cell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</row>
        <row r="852">
          <cell r="L852" t="str">
            <v/>
          </cell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</row>
        <row r="853">
          <cell r="L853" t="str">
            <v/>
          </cell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</row>
        <row r="854">
          <cell r="L854" t="str">
            <v/>
          </cell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</row>
        <row r="855">
          <cell r="L855" t="str">
            <v/>
          </cell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</row>
        <row r="856">
          <cell r="L856" t="str">
            <v/>
          </cell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</row>
        <row r="857">
          <cell r="L857" t="str">
            <v/>
          </cell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</row>
        <row r="858">
          <cell r="L858" t="str">
            <v/>
          </cell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</row>
        <row r="859">
          <cell r="L859" t="str">
            <v/>
          </cell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</row>
        <row r="860">
          <cell r="L860" t="str">
            <v/>
          </cell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</row>
        <row r="861">
          <cell r="L861" t="str">
            <v/>
          </cell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</row>
        <row r="862">
          <cell r="L862" t="str">
            <v/>
          </cell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</row>
        <row r="863">
          <cell r="L863" t="str">
            <v/>
          </cell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</row>
        <row r="864">
          <cell r="L864" t="str">
            <v/>
          </cell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</row>
        <row r="865">
          <cell r="L865" t="str">
            <v/>
          </cell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</row>
        <row r="866">
          <cell r="L866" t="str">
            <v/>
          </cell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</row>
        <row r="867">
          <cell r="L867" t="str">
            <v/>
          </cell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</row>
        <row r="868">
          <cell r="L868" t="str">
            <v/>
          </cell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</row>
        <row r="869">
          <cell r="L869" t="str">
            <v/>
          </cell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</row>
        <row r="870">
          <cell r="L870" t="str">
            <v/>
          </cell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</row>
        <row r="871">
          <cell r="L871" t="str">
            <v/>
          </cell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</row>
        <row r="872">
          <cell r="L872" t="str">
            <v/>
          </cell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</row>
        <row r="873">
          <cell r="L873" t="str">
            <v/>
          </cell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</row>
        <row r="874">
          <cell r="L874" t="str">
            <v/>
          </cell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</row>
        <row r="875">
          <cell r="L875" t="str">
            <v/>
          </cell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</row>
        <row r="876">
          <cell r="L876" t="str">
            <v/>
          </cell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</row>
        <row r="877">
          <cell r="L877" t="str">
            <v/>
          </cell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</row>
        <row r="878">
          <cell r="L878" t="str">
            <v/>
          </cell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</row>
        <row r="879">
          <cell r="L879" t="str">
            <v/>
          </cell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</row>
        <row r="880">
          <cell r="L880" t="str">
            <v/>
          </cell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</row>
        <row r="881">
          <cell r="L881" t="str">
            <v/>
          </cell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</row>
        <row r="882">
          <cell r="L882" t="str">
            <v/>
          </cell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</row>
        <row r="883">
          <cell r="L883" t="str">
            <v/>
          </cell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</row>
        <row r="884">
          <cell r="L884" t="str">
            <v/>
          </cell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</row>
        <row r="885">
          <cell r="L885" t="str">
            <v/>
          </cell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</row>
        <row r="886">
          <cell r="L886" t="str">
            <v/>
          </cell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</row>
        <row r="887">
          <cell r="L887" t="str">
            <v/>
          </cell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</row>
        <row r="888">
          <cell r="L888" t="str">
            <v/>
          </cell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</row>
        <row r="889">
          <cell r="L889" t="str">
            <v/>
          </cell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</row>
        <row r="890">
          <cell r="L890" t="str">
            <v/>
          </cell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</row>
        <row r="891">
          <cell r="L891" t="str">
            <v/>
          </cell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</row>
        <row r="892">
          <cell r="L892" t="str">
            <v/>
          </cell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</row>
        <row r="893">
          <cell r="L893" t="str">
            <v/>
          </cell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</row>
        <row r="894">
          <cell r="L894" t="str">
            <v/>
          </cell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</row>
        <row r="895">
          <cell r="L895" t="str">
            <v/>
          </cell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</row>
        <row r="896">
          <cell r="L896" t="str">
            <v/>
          </cell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</row>
        <row r="897">
          <cell r="L897" t="str">
            <v/>
          </cell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</row>
        <row r="898">
          <cell r="L898" t="str">
            <v/>
          </cell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</row>
        <row r="899">
          <cell r="L899" t="str">
            <v/>
          </cell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</row>
        <row r="900">
          <cell r="L900" t="str">
            <v/>
          </cell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</row>
        <row r="901">
          <cell r="L901" t="str">
            <v/>
          </cell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</row>
        <row r="902">
          <cell r="L902" t="str">
            <v/>
          </cell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</row>
        <row r="903">
          <cell r="L903" t="str">
            <v/>
          </cell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</row>
        <row r="904">
          <cell r="L904" t="str">
            <v/>
          </cell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</row>
        <row r="905">
          <cell r="L905" t="str">
            <v/>
          </cell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</row>
        <row r="906">
          <cell r="L906" t="str">
            <v/>
          </cell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</row>
        <row r="907">
          <cell r="L907" t="str">
            <v/>
          </cell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</row>
        <row r="908">
          <cell r="L908" t="str">
            <v/>
          </cell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</row>
        <row r="909">
          <cell r="L909" t="str">
            <v/>
          </cell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</row>
        <row r="910">
          <cell r="L910" t="str">
            <v/>
          </cell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</row>
        <row r="911">
          <cell r="L911" t="str">
            <v/>
          </cell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</row>
        <row r="912">
          <cell r="L912" t="str">
            <v/>
          </cell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</row>
        <row r="913">
          <cell r="L913" t="str">
            <v/>
          </cell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</row>
        <row r="914">
          <cell r="L914" t="str">
            <v/>
          </cell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</row>
        <row r="915">
          <cell r="L915" t="str">
            <v/>
          </cell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</row>
        <row r="916">
          <cell r="L916" t="str">
            <v/>
          </cell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</row>
        <row r="917">
          <cell r="L917" t="str">
            <v/>
          </cell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</row>
        <row r="918">
          <cell r="L918" t="str">
            <v/>
          </cell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</row>
        <row r="919">
          <cell r="L919" t="str">
            <v/>
          </cell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</row>
        <row r="920">
          <cell r="L920" t="str">
            <v/>
          </cell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</row>
        <row r="921">
          <cell r="L921" t="str">
            <v/>
          </cell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</row>
        <row r="922">
          <cell r="L922" t="str">
            <v/>
          </cell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</row>
        <row r="923">
          <cell r="L923" t="str">
            <v/>
          </cell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</row>
        <row r="924">
          <cell r="L924" t="str">
            <v/>
          </cell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</row>
        <row r="925">
          <cell r="L925" t="str">
            <v/>
          </cell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</row>
        <row r="926">
          <cell r="L926" t="str">
            <v/>
          </cell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</row>
        <row r="927">
          <cell r="L927" t="str">
            <v/>
          </cell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</row>
        <row r="928">
          <cell r="L928" t="str">
            <v/>
          </cell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</row>
        <row r="929">
          <cell r="L929" t="str">
            <v/>
          </cell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</row>
        <row r="930">
          <cell r="L930" t="str">
            <v/>
          </cell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</row>
        <row r="931">
          <cell r="L931" t="str">
            <v/>
          </cell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</row>
        <row r="932">
          <cell r="L932" t="str">
            <v/>
          </cell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担当者</v>
          </cell>
          <cell r="B1" t="str">
            <v>売上額</v>
          </cell>
          <cell r="C1" t="str">
            <v>原価額</v>
          </cell>
          <cell r="D1" t="str">
            <v>利益率</v>
          </cell>
          <cell r="E1" t="str">
            <v>適用日</v>
          </cell>
        </row>
        <row r="2">
          <cell r="A2" t="str">
            <v>【社員】</v>
          </cell>
          <cell r="D2" t="str">
            <v/>
          </cell>
        </row>
        <row r="3">
          <cell r="A3" t="str">
            <v>遠矢成洋</v>
          </cell>
          <cell r="B3">
            <v>900000</v>
          </cell>
          <cell r="C3">
            <v>530000</v>
          </cell>
          <cell r="D3">
            <v>0.41111111111111109</v>
          </cell>
          <cell r="E3">
            <v>45017</v>
          </cell>
        </row>
        <row r="4">
          <cell r="A4" t="str">
            <v>小林紀昭</v>
          </cell>
          <cell r="B4">
            <v>900000</v>
          </cell>
          <cell r="C4">
            <v>471000</v>
          </cell>
          <cell r="D4">
            <v>0.47666666666666668</v>
          </cell>
          <cell r="E4">
            <v>45017</v>
          </cell>
        </row>
        <row r="5">
          <cell r="A5" t="str">
            <v>野村康二</v>
          </cell>
          <cell r="B5">
            <v>900000</v>
          </cell>
          <cell r="C5">
            <v>471000</v>
          </cell>
          <cell r="D5">
            <v>0.47666666666666668</v>
          </cell>
          <cell r="E5">
            <v>45017</v>
          </cell>
        </row>
        <row r="6">
          <cell r="D6" t="str">
            <v/>
          </cell>
        </row>
        <row r="7">
          <cell r="A7" t="str">
            <v>青井圭介</v>
          </cell>
          <cell r="B7">
            <v>900000</v>
          </cell>
          <cell r="C7">
            <v>471000</v>
          </cell>
          <cell r="D7">
            <v>0.47666666666666668</v>
          </cell>
          <cell r="E7">
            <v>45017</v>
          </cell>
        </row>
        <row r="8">
          <cell r="A8" t="str">
            <v>植木秀幸</v>
          </cell>
          <cell r="B8">
            <v>900000</v>
          </cell>
          <cell r="C8">
            <v>425000</v>
          </cell>
          <cell r="D8">
            <v>0.52777777777777779</v>
          </cell>
          <cell r="E8">
            <v>45017</v>
          </cell>
        </row>
        <row r="9">
          <cell r="A9" t="str">
            <v>大窪陵介</v>
          </cell>
          <cell r="B9">
            <v>900000</v>
          </cell>
          <cell r="C9">
            <v>425000</v>
          </cell>
          <cell r="D9">
            <v>0.52777777777777779</v>
          </cell>
          <cell r="E9">
            <v>45017</v>
          </cell>
        </row>
        <row r="10">
          <cell r="A10" t="str">
            <v>桝井雄太</v>
          </cell>
          <cell r="B10">
            <v>900000</v>
          </cell>
          <cell r="C10">
            <v>347000</v>
          </cell>
          <cell r="D10">
            <v>0.61444444444444446</v>
          </cell>
          <cell r="E10">
            <v>45017</v>
          </cell>
        </row>
        <row r="11">
          <cell r="A11" t="str">
            <v>粂田貴彦</v>
          </cell>
          <cell r="B11">
            <v>900000</v>
          </cell>
          <cell r="C11">
            <v>425000</v>
          </cell>
          <cell r="D11">
            <v>0.52777777777777779</v>
          </cell>
          <cell r="E11">
            <v>45017</v>
          </cell>
        </row>
        <row r="12">
          <cell r="D12" t="str">
            <v/>
          </cell>
        </row>
        <row r="13">
          <cell r="A13" t="str">
            <v>福田一希</v>
          </cell>
          <cell r="B13">
            <v>900000</v>
          </cell>
          <cell r="C13">
            <v>383000</v>
          </cell>
          <cell r="D13">
            <v>0.57444444444444442</v>
          </cell>
          <cell r="E13">
            <v>45017</v>
          </cell>
        </row>
        <row r="14">
          <cell r="A14" t="str">
            <v>吉田諒</v>
          </cell>
          <cell r="B14">
            <v>900000</v>
          </cell>
          <cell r="C14">
            <v>347000</v>
          </cell>
          <cell r="D14">
            <v>0.61444444444444446</v>
          </cell>
          <cell r="E14">
            <v>45017</v>
          </cell>
        </row>
        <row r="15">
          <cell r="A15" t="str">
            <v>伊達翔互</v>
          </cell>
          <cell r="B15">
            <v>900000</v>
          </cell>
          <cell r="C15">
            <v>319000</v>
          </cell>
          <cell r="D15">
            <v>0.64555555555555555</v>
          </cell>
          <cell r="E15">
            <v>45017</v>
          </cell>
        </row>
        <row r="16">
          <cell r="A16" t="str">
            <v>鶴岡智幸</v>
          </cell>
          <cell r="B16">
            <v>900000</v>
          </cell>
          <cell r="C16">
            <v>347000</v>
          </cell>
          <cell r="D16">
            <v>0.61444444444444446</v>
          </cell>
          <cell r="E16">
            <v>45017</v>
          </cell>
        </row>
        <row r="17">
          <cell r="A17" t="str">
            <v>松浦達也</v>
          </cell>
          <cell r="B17">
            <v>900000</v>
          </cell>
          <cell r="C17">
            <v>347000</v>
          </cell>
          <cell r="D17">
            <v>0.61444444444444446</v>
          </cell>
          <cell r="E17">
            <v>45017</v>
          </cell>
        </row>
        <row r="18">
          <cell r="D18" t="str">
            <v/>
          </cell>
        </row>
        <row r="19">
          <cell r="A19" t="str">
            <v>金児知亜紀</v>
          </cell>
          <cell r="B19">
            <v>900000</v>
          </cell>
          <cell r="C19">
            <v>425000</v>
          </cell>
          <cell r="D19">
            <v>0.52777777777777779</v>
          </cell>
          <cell r="E19">
            <v>45017</v>
          </cell>
        </row>
        <row r="20">
          <cell r="A20" t="str">
            <v>河名美則</v>
          </cell>
          <cell r="B20">
            <v>900000</v>
          </cell>
          <cell r="C20">
            <v>425000</v>
          </cell>
          <cell r="D20">
            <v>0.52777777777777779</v>
          </cell>
          <cell r="E20">
            <v>45017</v>
          </cell>
        </row>
        <row r="21">
          <cell r="A21" t="str">
            <v>髙橋裕輔</v>
          </cell>
          <cell r="B21">
            <v>900000</v>
          </cell>
          <cell r="C21">
            <v>347000</v>
          </cell>
          <cell r="D21">
            <v>0.61444444444444446</v>
          </cell>
          <cell r="E21">
            <v>45017</v>
          </cell>
        </row>
        <row r="22">
          <cell r="A22" t="str">
            <v>ﾂｰﾅﾝﾀﾞﾄﾞｩﾝ</v>
          </cell>
          <cell r="B22">
            <v>900000</v>
          </cell>
          <cell r="C22">
            <v>319000</v>
          </cell>
          <cell r="D22">
            <v>0.64555555555555555</v>
          </cell>
          <cell r="E22">
            <v>45017</v>
          </cell>
        </row>
        <row r="23">
          <cell r="A23" t="str">
            <v>李興</v>
          </cell>
          <cell r="B23">
            <v>900000</v>
          </cell>
          <cell r="C23">
            <v>347000</v>
          </cell>
          <cell r="D23">
            <v>0.61444444444444446</v>
          </cell>
          <cell r="E23">
            <v>45017</v>
          </cell>
        </row>
        <row r="24">
          <cell r="A24" t="str">
            <v>朴澤健吾</v>
          </cell>
          <cell r="B24">
            <v>900000</v>
          </cell>
          <cell r="C24">
            <v>296000</v>
          </cell>
          <cell r="D24">
            <v>0.6711111111111111</v>
          </cell>
          <cell r="E24">
            <v>45017</v>
          </cell>
        </row>
        <row r="25">
          <cell r="D25" t="str">
            <v/>
          </cell>
        </row>
        <row r="26">
          <cell r="A26" t="str">
            <v>前田理紗子</v>
          </cell>
          <cell r="B26">
            <v>900000</v>
          </cell>
          <cell r="C26">
            <v>383000</v>
          </cell>
          <cell r="D26">
            <v>0.57444444444444442</v>
          </cell>
          <cell r="E26">
            <v>45017</v>
          </cell>
        </row>
        <row r="27">
          <cell r="A27" t="str">
            <v>髙木義尚</v>
          </cell>
          <cell r="B27">
            <v>900000</v>
          </cell>
          <cell r="C27">
            <v>495000</v>
          </cell>
          <cell r="D27">
            <v>0.45</v>
          </cell>
          <cell r="E27">
            <v>45017</v>
          </cell>
        </row>
        <row r="28">
          <cell r="A28" t="str">
            <v>矢野幸代</v>
          </cell>
          <cell r="B28">
            <v>900000</v>
          </cell>
          <cell r="C28">
            <v>383000</v>
          </cell>
          <cell r="D28">
            <v>0.57444444444444442</v>
          </cell>
          <cell r="E28">
            <v>45017</v>
          </cell>
        </row>
        <row r="29">
          <cell r="A29" t="str">
            <v>小林数弥</v>
          </cell>
          <cell r="B29">
            <v>900000</v>
          </cell>
          <cell r="C29">
            <v>319000</v>
          </cell>
          <cell r="D29">
            <v>0.64555555555555555</v>
          </cell>
          <cell r="E29">
            <v>45017</v>
          </cell>
        </row>
        <row r="30">
          <cell r="A30" t="str">
            <v>川内良隆</v>
          </cell>
          <cell r="B30">
            <v>900000</v>
          </cell>
          <cell r="C30">
            <v>425000</v>
          </cell>
          <cell r="D30">
            <v>0.52777777777777779</v>
          </cell>
          <cell r="E30">
            <v>45017</v>
          </cell>
        </row>
        <row r="31">
          <cell r="A31" t="str">
            <v>齋藤ひとみ</v>
          </cell>
          <cell r="B31">
            <v>900000</v>
          </cell>
          <cell r="C31">
            <v>296000</v>
          </cell>
          <cell r="D31">
            <v>0.6711111111111111</v>
          </cell>
          <cell r="E31">
            <v>45017</v>
          </cell>
        </row>
        <row r="32">
          <cell r="A32" t="str">
            <v>澤田晶子</v>
          </cell>
          <cell r="B32">
            <v>900000</v>
          </cell>
          <cell r="C32">
            <v>347000</v>
          </cell>
          <cell r="D32">
            <v>0.61444444444444446</v>
          </cell>
          <cell r="E32">
            <v>45017</v>
          </cell>
        </row>
        <row r="33">
          <cell r="D33" t="str">
            <v/>
          </cell>
        </row>
        <row r="34">
          <cell r="A34" t="str">
            <v>渡部光</v>
          </cell>
          <cell r="B34">
            <v>900000</v>
          </cell>
          <cell r="C34">
            <v>471000</v>
          </cell>
          <cell r="D34">
            <v>0.47666666666666668</v>
          </cell>
          <cell r="E34">
            <v>45017</v>
          </cell>
        </row>
        <row r="35">
          <cell r="A35" t="str">
            <v>井上竜輔</v>
          </cell>
          <cell r="B35">
            <v>900000</v>
          </cell>
          <cell r="C35">
            <v>319000</v>
          </cell>
          <cell r="D35">
            <v>0.64555555555555555</v>
          </cell>
          <cell r="E35">
            <v>45017</v>
          </cell>
        </row>
        <row r="36">
          <cell r="D36" t="str">
            <v/>
          </cell>
        </row>
        <row r="37">
          <cell r="A37" t="str">
            <v>【契約社員】</v>
          </cell>
          <cell r="D37" t="str">
            <v/>
          </cell>
        </row>
        <row r="38">
          <cell r="A38" t="str">
            <v>朴邦彦</v>
          </cell>
          <cell r="B38">
            <v>1000000</v>
          </cell>
          <cell r="C38">
            <v>950000</v>
          </cell>
          <cell r="D38">
            <v>0.05</v>
          </cell>
          <cell r="E38">
            <v>45017</v>
          </cell>
        </row>
        <row r="39">
          <cell r="A39" t="str">
            <v>弓野聡子</v>
          </cell>
          <cell r="B39">
            <v>450000</v>
          </cell>
          <cell r="C39">
            <v>350000</v>
          </cell>
          <cell r="D39">
            <v>0.22222222222222221</v>
          </cell>
          <cell r="E39">
            <v>45017</v>
          </cell>
        </row>
        <row r="40">
          <cell r="A40" t="str">
            <v>池上彩子</v>
          </cell>
          <cell r="B40">
            <v>450000</v>
          </cell>
          <cell r="C40">
            <v>350000</v>
          </cell>
          <cell r="D40">
            <v>0.22222222222222221</v>
          </cell>
          <cell r="E40">
            <v>45017</v>
          </cell>
        </row>
        <row r="41">
          <cell r="A41" t="str">
            <v>宮本史織</v>
          </cell>
          <cell r="B41">
            <v>260000</v>
          </cell>
          <cell r="C41">
            <v>200000</v>
          </cell>
          <cell r="D41">
            <v>0.23076923076923078</v>
          </cell>
          <cell r="E41">
            <v>45017</v>
          </cell>
        </row>
        <row r="42">
          <cell r="D42" t="str">
            <v/>
          </cell>
        </row>
        <row r="43">
          <cell r="A43" t="str">
            <v>【BP】</v>
          </cell>
          <cell r="D43" t="str">
            <v/>
          </cell>
        </row>
        <row r="44">
          <cell r="A44" t="str">
            <v>孫明貴</v>
          </cell>
          <cell r="B44">
            <v>900000</v>
          </cell>
          <cell r="C44">
            <v>850000</v>
          </cell>
          <cell r="D44">
            <v>5.5555555555555552E-2</v>
          </cell>
          <cell r="E44">
            <v>45017</v>
          </cell>
        </row>
        <row r="45">
          <cell r="A45" t="str">
            <v>清水広</v>
          </cell>
          <cell r="B45">
            <v>900000</v>
          </cell>
          <cell r="C45">
            <v>850000</v>
          </cell>
          <cell r="D45">
            <v>5.5555555555555552E-2</v>
          </cell>
          <cell r="E45">
            <v>45017</v>
          </cell>
        </row>
        <row r="46">
          <cell r="A46" t="str">
            <v>山口真志</v>
          </cell>
          <cell r="B46">
            <v>900000</v>
          </cell>
          <cell r="C46">
            <v>850000</v>
          </cell>
          <cell r="D46">
            <v>5.5555555555555552E-2</v>
          </cell>
          <cell r="E46">
            <v>45017</v>
          </cell>
        </row>
        <row r="47">
          <cell r="A47" t="str">
            <v>趙昕</v>
          </cell>
          <cell r="B47">
            <v>900000</v>
          </cell>
          <cell r="C47">
            <v>850000</v>
          </cell>
          <cell r="D47">
            <v>5.5555555555555552E-2</v>
          </cell>
          <cell r="E47">
            <v>45017</v>
          </cell>
        </row>
        <row r="48">
          <cell r="A48" t="str">
            <v>李愛順</v>
          </cell>
          <cell r="B48">
            <v>900000</v>
          </cell>
          <cell r="C48">
            <v>850000</v>
          </cell>
          <cell r="D48">
            <v>5.5555555555555552E-2</v>
          </cell>
          <cell r="E48">
            <v>45017</v>
          </cell>
        </row>
        <row r="49">
          <cell r="A49" t="str">
            <v>謝正行</v>
          </cell>
          <cell r="B49">
            <v>900000</v>
          </cell>
          <cell r="C49">
            <v>850000</v>
          </cell>
          <cell r="D49">
            <v>5.5555555555555552E-2</v>
          </cell>
          <cell r="E49">
            <v>45017</v>
          </cell>
        </row>
        <row r="50">
          <cell r="A50" t="str">
            <v>趙美彦</v>
          </cell>
          <cell r="B50">
            <v>900000</v>
          </cell>
          <cell r="C50">
            <v>850000</v>
          </cell>
          <cell r="D50">
            <v>5.5555555555555552E-2</v>
          </cell>
          <cell r="E50">
            <v>45017</v>
          </cell>
        </row>
        <row r="51">
          <cell r="A51" t="str">
            <v>木村清一</v>
          </cell>
          <cell r="B51">
            <v>900000</v>
          </cell>
          <cell r="C51">
            <v>760000</v>
          </cell>
          <cell r="D51">
            <v>0.15555555555555556</v>
          </cell>
          <cell r="E51">
            <v>45017</v>
          </cell>
        </row>
        <row r="52">
          <cell r="A52" t="str">
            <v>葉澤群</v>
          </cell>
          <cell r="B52">
            <v>900000</v>
          </cell>
          <cell r="C52">
            <v>650000</v>
          </cell>
          <cell r="D52">
            <v>0.27777777777777779</v>
          </cell>
          <cell r="E52">
            <v>45017</v>
          </cell>
        </row>
        <row r="53">
          <cell r="A53" t="str">
            <v>新井一博</v>
          </cell>
          <cell r="B53">
            <v>900000</v>
          </cell>
          <cell r="C53">
            <v>770000</v>
          </cell>
          <cell r="D53">
            <v>0.14444444444444443</v>
          </cell>
          <cell r="E53">
            <v>45017</v>
          </cell>
        </row>
        <row r="54">
          <cell r="A54" t="str">
            <v>井上ゆき</v>
          </cell>
          <cell r="B54">
            <v>900000</v>
          </cell>
          <cell r="C54">
            <v>880000</v>
          </cell>
          <cell r="D54">
            <v>2.2222222222222223E-2</v>
          </cell>
          <cell r="E54">
            <v>45017</v>
          </cell>
        </row>
        <row r="55">
          <cell r="A55" t="str">
            <v>梅本英之</v>
          </cell>
          <cell r="B55">
            <v>900000</v>
          </cell>
          <cell r="C55">
            <v>820000</v>
          </cell>
          <cell r="D55">
            <v>8.8888888888888892E-2</v>
          </cell>
          <cell r="E55">
            <v>45017</v>
          </cell>
        </row>
        <row r="56">
          <cell r="A56" t="str">
            <v>渡邉麻未</v>
          </cell>
          <cell r="B56">
            <v>900000</v>
          </cell>
          <cell r="C56">
            <v>730000</v>
          </cell>
          <cell r="D56">
            <v>0.18888888888888888</v>
          </cell>
          <cell r="E56">
            <v>45017</v>
          </cell>
        </row>
        <row r="57">
          <cell r="A57" t="str">
            <v>吉目木いづみ</v>
          </cell>
          <cell r="B57">
            <v>900000</v>
          </cell>
          <cell r="C57">
            <v>480000</v>
          </cell>
          <cell r="D57">
            <v>0.46666666666666667</v>
          </cell>
          <cell r="E57">
            <v>45017</v>
          </cell>
        </row>
        <row r="58">
          <cell r="A58" t="str">
            <v>五石真人</v>
          </cell>
          <cell r="B58">
            <v>900000</v>
          </cell>
          <cell r="C58">
            <v>710000</v>
          </cell>
          <cell r="D58">
            <v>0.21111111111111111</v>
          </cell>
          <cell r="E58">
            <v>45017</v>
          </cell>
        </row>
        <row r="59">
          <cell r="A59" t="str">
            <v>森田泰博</v>
          </cell>
          <cell r="B59">
            <v>900000</v>
          </cell>
          <cell r="C59">
            <v>700000</v>
          </cell>
          <cell r="D59">
            <v>0.22222222222222221</v>
          </cell>
          <cell r="E59">
            <v>45017</v>
          </cell>
        </row>
        <row r="60">
          <cell r="A60" t="str">
            <v>坂本昌彦</v>
          </cell>
          <cell r="B60">
            <v>900000</v>
          </cell>
          <cell r="C60">
            <v>650000</v>
          </cell>
          <cell r="D60">
            <v>0.27777777777777779</v>
          </cell>
          <cell r="E60">
            <v>45017</v>
          </cell>
        </row>
        <row r="61">
          <cell r="A61" t="str">
            <v>脇田誠</v>
          </cell>
          <cell r="B61">
            <v>900000</v>
          </cell>
          <cell r="C61">
            <v>700000</v>
          </cell>
          <cell r="D61">
            <v>0.22222222222222221</v>
          </cell>
          <cell r="E61">
            <v>45017</v>
          </cell>
        </row>
        <row r="62">
          <cell r="A62" t="str">
            <v>八木葵</v>
          </cell>
          <cell r="B62">
            <v>900000</v>
          </cell>
          <cell r="C62">
            <v>630000</v>
          </cell>
          <cell r="D62">
            <v>0.3</v>
          </cell>
          <cell r="E62">
            <v>45017</v>
          </cell>
        </row>
        <row r="63">
          <cell r="A63" t="str">
            <v>星野愛</v>
          </cell>
          <cell r="B63">
            <v>900000</v>
          </cell>
          <cell r="C63">
            <v>780000</v>
          </cell>
          <cell r="D63">
            <v>0.13333333333333333</v>
          </cell>
          <cell r="E63">
            <v>45017</v>
          </cell>
        </row>
        <row r="64">
          <cell r="A64" t="str">
            <v>五十君圭祐</v>
          </cell>
          <cell r="B64">
            <v>900000</v>
          </cell>
          <cell r="C64">
            <v>780000</v>
          </cell>
          <cell r="D64">
            <v>0.13333333333333333</v>
          </cell>
          <cell r="E64">
            <v>45017</v>
          </cell>
        </row>
        <row r="65">
          <cell r="A65" t="str">
            <v>内山瞳</v>
          </cell>
          <cell r="B65">
            <v>900000</v>
          </cell>
          <cell r="C65">
            <v>750000</v>
          </cell>
          <cell r="D65">
            <v>0.16666666666666666</v>
          </cell>
          <cell r="E65">
            <v>45017</v>
          </cell>
        </row>
        <row r="66">
          <cell r="A66" t="str">
            <v>大塚由夏</v>
          </cell>
          <cell r="B66">
            <v>900000</v>
          </cell>
          <cell r="C66">
            <v>450000</v>
          </cell>
          <cell r="D66">
            <v>0.5</v>
          </cell>
          <cell r="E66">
            <v>45017</v>
          </cell>
        </row>
        <row r="67">
          <cell r="A67" t="str">
            <v>鈴木聖也</v>
          </cell>
          <cell r="B67">
            <v>1050000</v>
          </cell>
          <cell r="C67">
            <v>860000</v>
          </cell>
          <cell r="D67">
            <v>0.18095238095238095</v>
          </cell>
          <cell r="E67">
            <v>45017</v>
          </cell>
        </row>
        <row r="68">
          <cell r="A68" t="str">
            <v>梶原ひとみ</v>
          </cell>
          <cell r="B68">
            <v>1050000</v>
          </cell>
          <cell r="C68">
            <v>950000</v>
          </cell>
          <cell r="D68">
            <v>9.5238095238095233E-2</v>
          </cell>
          <cell r="E68">
            <v>45017</v>
          </cell>
        </row>
        <row r="69">
          <cell r="A69" t="str">
            <v>松本浩一</v>
          </cell>
          <cell r="B69">
            <v>1000000</v>
          </cell>
          <cell r="C69">
            <v>950000</v>
          </cell>
          <cell r="D69">
            <v>0.05</v>
          </cell>
          <cell r="E69">
            <v>45017</v>
          </cell>
        </row>
        <row r="70">
          <cell r="A70" t="str">
            <v>計画要員③</v>
          </cell>
          <cell r="B70">
            <v>900000</v>
          </cell>
          <cell r="C70">
            <v>750000</v>
          </cell>
          <cell r="D70">
            <v>0.16666666666666666</v>
          </cell>
          <cell r="E70">
            <v>45017</v>
          </cell>
        </row>
        <row r="71">
          <cell r="A71" t="str">
            <v>計画要員④</v>
          </cell>
          <cell r="B71">
            <v>900000</v>
          </cell>
          <cell r="C71">
            <v>750000</v>
          </cell>
          <cell r="D71">
            <v>0.16666666666666666</v>
          </cell>
          <cell r="E71">
            <v>45017</v>
          </cell>
        </row>
        <row r="72">
          <cell r="A72" t="str">
            <v>計画要員⑤</v>
          </cell>
          <cell r="B72">
            <v>900000</v>
          </cell>
          <cell r="C72">
            <v>750000</v>
          </cell>
          <cell r="D72">
            <v>0.16666666666666666</v>
          </cell>
          <cell r="E72">
            <v>45017</v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プロジェクト報告書（3.3版）"/>
      <sheetName val="顧客満足度調査依頼 メール文面"/>
      <sheetName val="開発及びサポートプロセスにおけるセキュリティ"/>
      <sheetName val="更新履歴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A1:ET118"/>
  <sheetViews>
    <sheetView showGridLines="0" topLeftCell="A13" zoomScale="70" zoomScaleNormal="70" zoomScaleSheetLayoutView="100" workbookViewId="0">
      <selection activeCell="C70" sqref="C70"/>
    </sheetView>
  </sheetViews>
  <sheetFormatPr defaultColWidth="8.09765625" defaultRowHeight="18" outlineLevelRow="1" outlineLevelCol="1" x14ac:dyDescent="0.45"/>
  <cols>
    <col min="1" max="1" width="1.5" style="2" customWidth="1"/>
    <col min="2" max="2" width="18.59765625" style="2" customWidth="1"/>
    <col min="3" max="3" width="13.19921875" style="2" customWidth="1"/>
    <col min="4" max="4" width="7.796875" style="2" customWidth="1"/>
    <col min="5" max="5" width="13.19921875" style="2" customWidth="1"/>
    <col min="6" max="53" width="2.796875" style="2" customWidth="1"/>
    <col min="54" max="149" width="2.796875" style="2" customWidth="1" outlineLevel="1"/>
    <col min="151" max="16384" width="8.09765625" style="2"/>
  </cols>
  <sheetData>
    <row r="1" spans="1:149" x14ac:dyDescent="0.45">
      <c r="A1" s="1" t="s">
        <v>60</v>
      </c>
    </row>
    <row r="2" spans="1:149" ht="18.600000000000001" thickBot="1" x14ac:dyDescent="0.5">
      <c r="B2" s="3" t="s">
        <v>0</v>
      </c>
    </row>
    <row r="3" spans="1:149" ht="20.100000000000001" customHeight="1" x14ac:dyDescent="0.45">
      <c r="B3" s="4" t="s">
        <v>1</v>
      </c>
      <c r="C3" s="5">
        <v>10850000</v>
      </c>
    </row>
    <row r="4" spans="1:149" ht="20.100000000000001" customHeight="1" x14ac:dyDescent="0.45">
      <c r="B4" s="6" t="s">
        <v>2</v>
      </c>
      <c r="C4" s="7">
        <f ca="1">E13</f>
        <v>10150000</v>
      </c>
      <c r="E4" s="8"/>
    </row>
    <row r="5" spans="1:149" ht="20.100000000000001" customHeight="1" x14ac:dyDescent="0.45">
      <c r="B5" s="6" t="s">
        <v>3</v>
      </c>
      <c r="C5" s="7">
        <f ca="1">E14</f>
        <v>5220000</v>
      </c>
    </row>
    <row r="6" spans="1:149" ht="20.100000000000001" customHeight="1" x14ac:dyDescent="0.45">
      <c r="B6" s="6" t="s">
        <v>4</v>
      </c>
      <c r="C6" s="7">
        <f ca="1">C3-C5</f>
        <v>5630000</v>
      </c>
    </row>
    <row r="7" spans="1:149" ht="20.100000000000001" customHeight="1" thickBot="1" x14ac:dyDescent="0.5">
      <c r="B7" s="9" t="s">
        <v>5</v>
      </c>
      <c r="C7" s="10">
        <f ca="1">IF(C3=0,0,C6/C3)</f>
        <v>0.5188940092165899</v>
      </c>
    </row>
    <row r="9" spans="1:149" x14ac:dyDescent="0.45">
      <c r="B9" s="120"/>
      <c r="C9" s="120"/>
      <c r="D9" s="120"/>
      <c r="E9" s="120"/>
      <c r="F9" s="85" t="s">
        <v>6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7"/>
      <c r="BB9" s="85" t="s">
        <v>30</v>
      </c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7"/>
      <c r="CX9" s="85" t="s">
        <v>31</v>
      </c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7"/>
    </row>
    <row r="10" spans="1:149" x14ac:dyDescent="0.45">
      <c r="B10" s="90"/>
      <c r="C10" s="90"/>
      <c r="D10" s="90"/>
      <c r="E10" s="90"/>
      <c r="F10" s="82" t="s">
        <v>7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2" t="s">
        <v>8</v>
      </c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2" t="s">
        <v>9</v>
      </c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2" t="s">
        <v>10</v>
      </c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2" t="s">
        <v>7</v>
      </c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2" t="s">
        <v>8</v>
      </c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2" t="s">
        <v>9</v>
      </c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2" t="s">
        <v>11</v>
      </c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4"/>
      <c r="CX10" s="82" t="s">
        <v>7</v>
      </c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2" t="s">
        <v>8</v>
      </c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2" t="s">
        <v>9</v>
      </c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2" t="s">
        <v>11</v>
      </c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4"/>
    </row>
    <row r="11" spans="1:149" x14ac:dyDescent="0.45">
      <c r="B11" s="120"/>
      <c r="C11" s="120"/>
      <c r="D11" s="120"/>
      <c r="E11" s="120"/>
      <c r="F11" s="81">
        <v>45017</v>
      </c>
      <c r="G11" s="79"/>
      <c r="H11" s="79"/>
      <c r="I11" s="79"/>
      <c r="J11" s="79">
        <v>45047</v>
      </c>
      <c r="K11" s="79"/>
      <c r="L11" s="79"/>
      <c r="M11" s="79"/>
      <c r="N11" s="79">
        <v>45078</v>
      </c>
      <c r="O11" s="79"/>
      <c r="P11" s="79"/>
      <c r="Q11" s="80"/>
      <c r="R11" s="81">
        <v>45108</v>
      </c>
      <c r="S11" s="79"/>
      <c r="T11" s="79"/>
      <c r="U11" s="79"/>
      <c r="V11" s="79">
        <v>45139</v>
      </c>
      <c r="W11" s="79"/>
      <c r="X11" s="79"/>
      <c r="Y11" s="79"/>
      <c r="Z11" s="79">
        <v>45170</v>
      </c>
      <c r="AA11" s="79"/>
      <c r="AB11" s="79"/>
      <c r="AC11" s="80"/>
      <c r="AD11" s="81">
        <v>45200</v>
      </c>
      <c r="AE11" s="79"/>
      <c r="AF11" s="79"/>
      <c r="AG11" s="79"/>
      <c r="AH11" s="79">
        <v>45231</v>
      </c>
      <c r="AI11" s="79"/>
      <c r="AJ11" s="79"/>
      <c r="AK11" s="79"/>
      <c r="AL11" s="79">
        <v>45261</v>
      </c>
      <c r="AM11" s="79"/>
      <c r="AN11" s="79"/>
      <c r="AO11" s="80"/>
      <c r="AP11" s="81">
        <v>45292</v>
      </c>
      <c r="AQ11" s="79"/>
      <c r="AR11" s="79"/>
      <c r="AS11" s="79"/>
      <c r="AT11" s="79">
        <v>45323</v>
      </c>
      <c r="AU11" s="79"/>
      <c r="AV11" s="79"/>
      <c r="AW11" s="79"/>
      <c r="AX11" s="79">
        <v>45352</v>
      </c>
      <c r="AY11" s="79"/>
      <c r="AZ11" s="79"/>
      <c r="BA11" s="80"/>
      <c r="BB11" s="81">
        <v>45383</v>
      </c>
      <c r="BC11" s="79"/>
      <c r="BD11" s="79"/>
      <c r="BE11" s="79"/>
      <c r="BF11" s="79">
        <v>45413</v>
      </c>
      <c r="BG11" s="79"/>
      <c r="BH11" s="79"/>
      <c r="BI11" s="79"/>
      <c r="BJ11" s="79">
        <v>45444</v>
      </c>
      <c r="BK11" s="79"/>
      <c r="BL11" s="79"/>
      <c r="BM11" s="80"/>
      <c r="BN11" s="81">
        <v>45474</v>
      </c>
      <c r="BO11" s="79"/>
      <c r="BP11" s="79"/>
      <c r="BQ11" s="79"/>
      <c r="BR11" s="79">
        <v>45505</v>
      </c>
      <c r="BS11" s="79"/>
      <c r="BT11" s="79"/>
      <c r="BU11" s="79"/>
      <c r="BV11" s="79">
        <v>45536</v>
      </c>
      <c r="BW11" s="79"/>
      <c r="BX11" s="79"/>
      <c r="BY11" s="80"/>
      <c r="BZ11" s="81">
        <v>45566</v>
      </c>
      <c r="CA11" s="79"/>
      <c r="CB11" s="79"/>
      <c r="CC11" s="79"/>
      <c r="CD11" s="79">
        <v>45597</v>
      </c>
      <c r="CE11" s="79"/>
      <c r="CF11" s="79"/>
      <c r="CG11" s="79"/>
      <c r="CH11" s="79">
        <v>45627</v>
      </c>
      <c r="CI11" s="79"/>
      <c r="CJ11" s="79"/>
      <c r="CK11" s="80"/>
      <c r="CL11" s="81">
        <v>45658</v>
      </c>
      <c r="CM11" s="79"/>
      <c r="CN11" s="79"/>
      <c r="CO11" s="79"/>
      <c r="CP11" s="79">
        <v>45689</v>
      </c>
      <c r="CQ11" s="79"/>
      <c r="CR11" s="79"/>
      <c r="CS11" s="79"/>
      <c r="CT11" s="79">
        <v>45717</v>
      </c>
      <c r="CU11" s="79"/>
      <c r="CV11" s="79"/>
      <c r="CW11" s="80"/>
      <c r="CX11" s="81">
        <v>45383</v>
      </c>
      <c r="CY11" s="79"/>
      <c r="CZ11" s="79"/>
      <c r="DA11" s="79"/>
      <c r="DB11" s="79">
        <v>45413</v>
      </c>
      <c r="DC11" s="79"/>
      <c r="DD11" s="79"/>
      <c r="DE11" s="79"/>
      <c r="DF11" s="79">
        <v>45444</v>
      </c>
      <c r="DG11" s="79"/>
      <c r="DH11" s="79"/>
      <c r="DI11" s="80"/>
      <c r="DJ11" s="81">
        <v>45474</v>
      </c>
      <c r="DK11" s="79"/>
      <c r="DL11" s="79"/>
      <c r="DM11" s="79"/>
      <c r="DN11" s="79">
        <v>45505</v>
      </c>
      <c r="DO11" s="79"/>
      <c r="DP11" s="79"/>
      <c r="DQ11" s="79"/>
      <c r="DR11" s="79">
        <v>45536</v>
      </c>
      <c r="DS11" s="79"/>
      <c r="DT11" s="79"/>
      <c r="DU11" s="80"/>
      <c r="DV11" s="81">
        <v>45566</v>
      </c>
      <c r="DW11" s="79"/>
      <c r="DX11" s="79"/>
      <c r="DY11" s="79"/>
      <c r="DZ11" s="79">
        <v>45597</v>
      </c>
      <c r="EA11" s="79"/>
      <c r="EB11" s="79"/>
      <c r="EC11" s="79"/>
      <c r="ED11" s="79">
        <v>45627</v>
      </c>
      <c r="EE11" s="79"/>
      <c r="EF11" s="79"/>
      <c r="EG11" s="80"/>
      <c r="EH11" s="81">
        <v>45658</v>
      </c>
      <c r="EI11" s="79"/>
      <c r="EJ11" s="79"/>
      <c r="EK11" s="79"/>
      <c r="EL11" s="79">
        <v>45689</v>
      </c>
      <c r="EM11" s="79"/>
      <c r="EN11" s="79"/>
      <c r="EO11" s="79"/>
      <c r="EP11" s="79">
        <v>45717</v>
      </c>
      <c r="EQ11" s="79"/>
      <c r="ER11" s="79"/>
      <c r="ES11" s="80"/>
    </row>
    <row r="12" spans="1:149" ht="13.5" customHeight="1" x14ac:dyDescent="0.45">
      <c r="B12" s="110" t="s">
        <v>12</v>
      </c>
      <c r="C12" s="111"/>
      <c r="D12" s="11" t="s">
        <v>13</v>
      </c>
      <c r="E12" s="12">
        <f ca="1">SUM(F12:ES12)</f>
        <v>9</v>
      </c>
      <c r="F12" s="109">
        <f t="shared" ref="F12:V14" ca="1" si="0">F57+F116</f>
        <v>0</v>
      </c>
      <c r="G12" s="107"/>
      <c r="H12" s="107"/>
      <c r="I12" s="107"/>
      <c r="J12" s="107">
        <f t="shared" ca="1" si="0"/>
        <v>0</v>
      </c>
      <c r="K12" s="107"/>
      <c r="L12" s="107"/>
      <c r="M12" s="107"/>
      <c r="N12" s="107">
        <f t="shared" ca="1" si="0"/>
        <v>0</v>
      </c>
      <c r="O12" s="107"/>
      <c r="P12" s="107"/>
      <c r="Q12" s="108"/>
      <c r="R12" s="116">
        <f t="shared" ca="1" si="0"/>
        <v>0</v>
      </c>
      <c r="S12" s="117"/>
      <c r="T12" s="117"/>
      <c r="U12" s="118"/>
      <c r="V12" s="116">
        <f t="shared" ca="1" si="0"/>
        <v>0</v>
      </c>
      <c r="W12" s="117"/>
      <c r="X12" s="117"/>
      <c r="Y12" s="119"/>
      <c r="Z12" s="107">
        <f t="shared" ref="Z12:AT14" ca="1" si="1">Z57+Z116</f>
        <v>0</v>
      </c>
      <c r="AA12" s="107"/>
      <c r="AB12" s="107"/>
      <c r="AC12" s="108"/>
      <c r="AD12" s="109">
        <f t="shared" ca="1" si="1"/>
        <v>0</v>
      </c>
      <c r="AE12" s="107"/>
      <c r="AF12" s="107"/>
      <c r="AG12" s="107"/>
      <c r="AH12" s="107">
        <f ca="1">AH57+AH116</f>
        <v>0</v>
      </c>
      <c r="AI12" s="107"/>
      <c r="AJ12" s="107"/>
      <c r="AK12" s="107"/>
      <c r="AL12" s="107">
        <f t="shared" ca="1" si="1"/>
        <v>0</v>
      </c>
      <c r="AM12" s="107"/>
      <c r="AN12" s="107"/>
      <c r="AO12" s="108"/>
      <c r="AP12" s="107">
        <f t="shared" ca="1" si="1"/>
        <v>0</v>
      </c>
      <c r="AQ12" s="107"/>
      <c r="AR12" s="107"/>
      <c r="AS12" s="107"/>
      <c r="AT12" s="107">
        <f t="shared" ca="1" si="1"/>
        <v>0</v>
      </c>
      <c r="AU12" s="107"/>
      <c r="AV12" s="107"/>
      <c r="AW12" s="107"/>
      <c r="AX12" s="107">
        <f t="shared" ref="AX12:BZ14" ca="1" si="2">AX57+AX116</f>
        <v>0</v>
      </c>
      <c r="AY12" s="107"/>
      <c r="AZ12" s="107"/>
      <c r="BA12" s="108"/>
      <c r="BB12" s="109">
        <f t="shared" ca="1" si="2"/>
        <v>0</v>
      </c>
      <c r="BC12" s="107"/>
      <c r="BD12" s="107"/>
      <c r="BE12" s="107"/>
      <c r="BF12" s="107">
        <f t="shared" ca="1" si="2"/>
        <v>0</v>
      </c>
      <c r="BG12" s="107"/>
      <c r="BH12" s="107"/>
      <c r="BI12" s="107"/>
      <c r="BJ12" s="107">
        <f t="shared" ca="1" si="2"/>
        <v>0</v>
      </c>
      <c r="BK12" s="107"/>
      <c r="BL12" s="107"/>
      <c r="BM12" s="108"/>
      <c r="BN12" s="109">
        <f t="shared" ca="1" si="2"/>
        <v>0</v>
      </c>
      <c r="BO12" s="107"/>
      <c r="BP12" s="107"/>
      <c r="BQ12" s="107"/>
      <c r="BR12" s="107">
        <f t="shared" ca="1" si="2"/>
        <v>0</v>
      </c>
      <c r="BS12" s="107"/>
      <c r="BT12" s="107"/>
      <c r="BU12" s="107"/>
      <c r="BV12" s="107">
        <f t="shared" ca="1" si="2"/>
        <v>1.25</v>
      </c>
      <c r="BW12" s="107"/>
      <c r="BX12" s="107"/>
      <c r="BY12" s="108"/>
      <c r="BZ12" s="109">
        <f t="shared" ca="1" si="2"/>
        <v>3.25</v>
      </c>
      <c r="CA12" s="107"/>
      <c r="CB12" s="107"/>
      <c r="CC12" s="107"/>
      <c r="CD12" s="107">
        <f t="shared" ref="CD12:CT14" ca="1" si="3">CD57+CD116</f>
        <v>3.25</v>
      </c>
      <c r="CE12" s="107"/>
      <c r="CF12" s="107"/>
      <c r="CG12" s="107"/>
      <c r="CH12" s="107">
        <f t="shared" ca="1" si="3"/>
        <v>1.25</v>
      </c>
      <c r="CI12" s="107"/>
      <c r="CJ12" s="107"/>
      <c r="CK12" s="108"/>
      <c r="CL12" s="109">
        <f t="shared" ca="1" si="3"/>
        <v>0</v>
      </c>
      <c r="CM12" s="107"/>
      <c r="CN12" s="107"/>
      <c r="CO12" s="107"/>
      <c r="CP12" s="107">
        <f t="shared" ca="1" si="3"/>
        <v>0</v>
      </c>
      <c r="CQ12" s="107"/>
      <c r="CR12" s="107"/>
      <c r="CS12" s="107"/>
      <c r="CT12" s="107">
        <f t="shared" ca="1" si="3"/>
        <v>0</v>
      </c>
      <c r="CU12" s="107"/>
      <c r="CV12" s="107"/>
      <c r="CW12" s="108"/>
      <c r="CX12" s="109">
        <f t="shared" ref="CX12:CX14" ca="1" si="4">CX57+CX116</f>
        <v>0</v>
      </c>
      <c r="CY12" s="107"/>
      <c r="CZ12" s="107"/>
      <c r="DA12" s="107"/>
      <c r="DB12" s="107">
        <f t="shared" ref="DB12:DB14" ca="1" si="5">DB57+DB116</f>
        <v>0</v>
      </c>
      <c r="DC12" s="107"/>
      <c r="DD12" s="107"/>
      <c r="DE12" s="107"/>
      <c r="DF12" s="107">
        <f t="shared" ref="DF12:DF14" ca="1" si="6">DF57+DF116</f>
        <v>0</v>
      </c>
      <c r="DG12" s="107"/>
      <c r="DH12" s="107"/>
      <c r="DI12" s="108"/>
      <c r="DJ12" s="109">
        <f t="shared" ref="DJ12:DJ14" ca="1" si="7">DJ57+DJ116</f>
        <v>0</v>
      </c>
      <c r="DK12" s="107"/>
      <c r="DL12" s="107"/>
      <c r="DM12" s="107"/>
      <c r="DN12" s="107">
        <f t="shared" ref="DN12:DN14" ca="1" si="8">DN57+DN116</f>
        <v>0</v>
      </c>
      <c r="DO12" s="107"/>
      <c r="DP12" s="107"/>
      <c r="DQ12" s="107"/>
      <c r="DR12" s="107">
        <f t="shared" ref="DR12:DR14" ca="1" si="9">DR57+DR116</f>
        <v>0</v>
      </c>
      <c r="DS12" s="107"/>
      <c r="DT12" s="107"/>
      <c r="DU12" s="108"/>
      <c r="DV12" s="109">
        <f t="shared" ref="DV12:DV14" ca="1" si="10">DV57+DV116</f>
        <v>0</v>
      </c>
      <c r="DW12" s="107"/>
      <c r="DX12" s="107"/>
      <c r="DY12" s="107"/>
      <c r="DZ12" s="107">
        <f t="shared" ref="DZ12:DZ14" ca="1" si="11">DZ57+DZ116</f>
        <v>0</v>
      </c>
      <c r="EA12" s="107"/>
      <c r="EB12" s="107"/>
      <c r="EC12" s="107"/>
      <c r="ED12" s="107">
        <f t="shared" ref="ED12:ED14" ca="1" si="12">ED57+ED116</f>
        <v>0</v>
      </c>
      <c r="EE12" s="107"/>
      <c r="EF12" s="107"/>
      <c r="EG12" s="108"/>
      <c r="EH12" s="109">
        <f t="shared" ref="EH12:EH14" ca="1" si="13">EH57+EH116</f>
        <v>0</v>
      </c>
      <c r="EI12" s="107"/>
      <c r="EJ12" s="107"/>
      <c r="EK12" s="107"/>
      <c r="EL12" s="107">
        <f t="shared" ref="EL12:EL14" ca="1" si="14">EL57+EL116</f>
        <v>0</v>
      </c>
      <c r="EM12" s="107"/>
      <c r="EN12" s="107"/>
      <c r="EO12" s="107"/>
      <c r="EP12" s="107">
        <f t="shared" ref="EP12:EP14" ca="1" si="15">EP57+EP116</f>
        <v>0</v>
      </c>
      <c r="EQ12" s="107"/>
      <c r="ER12" s="107"/>
      <c r="ES12" s="108"/>
    </row>
    <row r="13" spans="1:149" ht="13.5" customHeight="1" x14ac:dyDescent="0.45">
      <c r="B13" s="112"/>
      <c r="C13" s="113"/>
      <c r="D13" s="13" t="s">
        <v>14</v>
      </c>
      <c r="E13" s="14">
        <f ca="1">SUM(F13:ES13)</f>
        <v>10150000</v>
      </c>
      <c r="F13" s="42">
        <f t="shared" ca="1" si="0"/>
        <v>0</v>
      </c>
      <c r="G13" s="43"/>
      <c r="H13" s="43"/>
      <c r="I13" s="43"/>
      <c r="J13" s="43">
        <f t="shared" ca="1" si="0"/>
        <v>0</v>
      </c>
      <c r="K13" s="43"/>
      <c r="L13" s="43"/>
      <c r="M13" s="43"/>
      <c r="N13" s="43">
        <f t="shared" ca="1" si="0"/>
        <v>0</v>
      </c>
      <c r="O13" s="43"/>
      <c r="P13" s="43"/>
      <c r="Q13" s="44"/>
      <c r="R13" s="42">
        <f t="shared" ca="1" si="0"/>
        <v>0</v>
      </c>
      <c r="S13" s="43"/>
      <c r="T13" s="43"/>
      <c r="U13" s="43"/>
      <c r="V13" s="104">
        <f t="shared" ca="1" si="0"/>
        <v>0</v>
      </c>
      <c r="W13" s="105"/>
      <c r="X13" s="105"/>
      <c r="Y13" s="106"/>
      <c r="Z13" s="43">
        <f t="shared" ca="1" si="1"/>
        <v>0</v>
      </c>
      <c r="AA13" s="43"/>
      <c r="AB13" s="43"/>
      <c r="AC13" s="44"/>
      <c r="AD13" s="42">
        <f t="shared" ca="1" si="1"/>
        <v>0</v>
      </c>
      <c r="AE13" s="43"/>
      <c r="AF13" s="43"/>
      <c r="AG13" s="43"/>
      <c r="AH13" s="43">
        <f t="shared" ca="1" si="1"/>
        <v>0</v>
      </c>
      <c r="AI13" s="43"/>
      <c r="AJ13" s="43"/>
      <c r="AK13" s="43"/>
      <c r="AL13" s="43">
        <f t="shared" ca="1" si="1"/>
        <v>0</v>
      </c>
      <c r="AM13" s="43"/>
      <c r="AN13" s="43"/>
      <c r="AO13" s="44"/>
      <c r="AP13" s="42">
        <f t="shared" ca="1" si="1"/>
        <v>0</v>
      </c>
      <c r="AQ13" s="43"/>
      <c r="AR13" s="43"/>
      <c r="AS13" s="43"/>
      <c r="AT13" s="43">
        <f t="shared" ca="1" si="1"/>
        <v>0</v>
      </c>
      <c r="AU13" s="43"/>
      <c r="AV13" s="43"/>
      <c r="AW13" s="43"/>
      <c r="AX13" s="43">
        <f t="shared" ca="1" si="2"/>
        <v>0</v>
      </c>
      <c r="AY13" s="43"/>
      <c r="AZ13" s="43"/>
      <c r="BA13" s="44"/>
      <c r="BB13" s="42">
        <f t="shared" ca="1" si="2"/>
        <v>0</v>
      </c>
      <c r="BC13" s="43"/>
      <c r="BD13" s="43"/>
      <c r="BE13" s="43"/>
      <c r="BF13" s="43">
        <f t="shared" ca="1" si="2"/>
        <v>0</v>
      </c>
      <c r="BG13" s="43"/>
      <c r="BH13" s="43"/>
      <c r="BI13" s="43"/>
      <c r="BJ13" s="43">
        <f t="shared" ca="1" si="2"/>
        <v>0</v>
      </c>
      <c r="BK13" s="43"/>
      <c r="BL13" s="43"/>
      <c r="BM13" s="44"/>
      <c r="BN13" s="42">
        <f t="shared" ca="1" si="2"/>
        <v>0</v>
      </c>
      <c r="BO13" s="43"/>
      <c r="BP13" s="43"/>
      <c r="BQ13" s="43"/>
      <c r="BR13" s="43">
        <f t="shared" ca="1" si="2"/>
        <v>0</v>
      </c>
      <c r="BS13" s="43"/>
      <c r="BT13" s="43"/>
      <c r="BU13" s="43"/>
      <c r="BV13" s="43">
        <f t="shared" ca="1" si="2"/>
        <v>1487500</v>
      </c>
      <c r="BW13" s="43"/>
      <c r="BX13" s="43"/>
      <c r="BY13" s="44"/>
      <c r="BZ13" s="42">
        <f t="shared" ca="1" si="2"/>
        <v>3587500</v>
      </c>
      <c r="CA13" s="43"/>
      <c r="CB13" s="43"/>
      <c r="CC13" s="43"/>
      <c r="CD13" s="43">
        <f t="shared" ca="1" si="3"/>
        <v>3587500</v>
      </c>
      <c r="CE13" s="43"/>
      <c r="CF13" s="43"/>
      <c r="CG13" s="43"/>
      <c r="CH13" s="43">
        <f t="shared" ca="1" si="3"/>
        <v>1487500</v>
      </c>
      <c r="CI13" s="43"/>
      <c r="CJ13" s="43"/>
      <c r="CK13" s="44"/>
      <c r="CL13" s="42">
        <f t="shared" ca="1" si="3"/>
        <v>0</v>
      </c>
      <c r="CM13" s="43"/>
      <c r="CN13" s="43"/>
      <c r="CO13" s="43"/>
      <c r="CP13" s="43">
        <f t="shared" ca="1" si="3"/>
        <v>0</v>
      </c>
      <c r="CQ13" s="43"/>
      <c r="CR13" s="43"/>
      <c r="CS13" s="43"/>
      <c r="CT13" s="43">
        <f t="shared" ca="1" si="3"/>
        <v>0</v>
      </c>
      <c r="CU13" s="43"/>
      <c r="CV13" s="43"/>
      <c r="CW13" s="44"/>
      <c r="CX13" s="42">
        <f t="shared" ca="1" si="4"/>
        <v>0</v>
      </c>
      <c r="CY13" s="43"/>
      <c r="CZ13" s="43"/>
      <c r="DA13" s="43"/>
      <c r="DB13" s="43">
        <f t="shared" ca="1" si="5"/>
        <v>0</v>
      </c>
      <c r="DC13" s="43"/>
      <c r="DD13" s="43"/>
      <c r="DE13" s="43"/>
      <c r="DF13" s="43">
        <f t="shared" ca="1" si="6"/>
        <v>0</v>
      </c>
      <c r="DG13" s="43"/>
      <c r="DH13" s="43"/>
      <c r="DI13" s="44"/>
      <c r="DJ13" s="42">
        <f t="shared" ca="1" si="7"/>
        <v>0</v>
      </c>
      <c r="DK13" s="43"/>
      <c r="DL13" s="43"/>
      <c r="DM13" s="43"/>
      <c r="DN13" s="43">
        <f t="shared" ca="1" si="8"/>
        <v>0</v>
      </c>
      <c r="DO13" s="43"/>
      <c r="DP13" s="43"/>
      <c r="DQ13" s="43"/>
      <c r="DR13" s="43">
        <f t="shared" ca="1" si="9"/>
        <v>0</v>
      </c>
      <c r="DS13" s="43"/>
      <c r="DT13" s="43"/>
      <c r="DU13" s="44"/>
      <c r="DV13" s="42">
        <f t="shared" ca="1" si="10"/>
        <v>0</v>
      </c>
      <c r="DW13" s="43"/>
      <c r="DX13" s="43"/>
      <c r="DY13" s="43"/>
      <c r="DZ13" s="43">
        <f t="shared" ca="1" si="11"/>
        <v>0</v>
      </c>
      <c r="EA13" s="43"/>
      <c r="EB13" s="43"/>
      <c r="EC13" s="43"/>
      <c r="ED13" s="43">
        <f t="shared" ca="1" si="12"/>
        <v>0</v>
      </c>
      <c r="EE13" s="43"/>
      <c r="EF13" s="43"/>
      <c r="EG13" s="44"/>
      <c r="EH13" s="42">
        <f t="shared" ca="1" si="13"/>
        <v>0</v>
      </c>
      <c r="EI13" s="43"/>
      <c r="EJ13" s="43"/>
      <c r="EK13" s="43"/>
      <c r="EL13" s="43">
        <f t="shared" ca="1" si="14"/>
        <v>0</v>
      </c>
      <c r="EM13" s="43"/>
      <c r="EN13" s="43"/>
      <c r="EO13" s="43"/>
      <c r="EP13" s="43">
        <f t="shared" ca="1" si="15"/>
        <v>0</v>
      </c>
      <c r="EQ13" s="43"/>
      <c r="ER13" s="43"/>
      <c r="ES13" s="44"/>
    </row>
    <row r="14" spans="1:149" ht="13.5" customHeight="1" x14ac:dyDescent="0.45">
      <c r="B14" s="112"/>
      <c r="C14" s="113"/>
      <c r="D14" s="13" t="s">
        <v>15</v>
      </c>
      <c r="E14" s="14">
        <f ca="1">SUM(F14:ES14)</f>
        <v>5220000</v>
      </c>
      <c r="F14" s="42">
        <f t="shared" ca="1" si="0"/>
        <v>0</v>
      </c>
      <c r="G14" s="43"/>
      <c r="H14" s="43"/>
      <c r="I14" s="43"/>
      <c r="J14" s="43">
        <f t="shared" ca="1" si="0"/>
        <v>0</v>
      </c>
      <c r="K14" s="43"/>
      <c r="L14" s="43"/>
      <c r="M14" s="43"/>
      <c r="N14" s="43">
        <f t="shared" ca="1" si="0"/>
        <v>0</v>
      </c>
      <c r="O14" s="43"/>
      <c r="P14" s="43"/>
      <c r="Q14" s="44"/>
      <c r="R14" s="42">
        <f t="shared" ca="1" si="0"/>
        <v>0</v>
      </c>
      <c r="S14" s="43"/>
      <c r="T14" s="43"/>
      <c r="U14" s="43"/>
      <c r="V14" s="104">
        <f t="shared" ca="1" si="0"/>
        <v>0</v>
      </c>
      <c r="W14" s="105"/>
      <c r="X14" s="105"/>
      <c r="Y14" s="106"/>
      <c r="Z14" s="43">
        <f t="shared" ca="1" si="1"/>
        <v>0</v>
      </c>
      <c r="AA14" s="43"/>
      <c r="AB14" s="43"/>
      <c r="AC14" s="44"/>
      <c r="AD14" s="42">
        <f t="shared" ca="1" si="1"/>
        <v>0</v>
      </c>
      <c r="AE14" s="43"/>
      <c r="AF14" s="43"/>
      <c r="AG14" s="43"/>
      <c r="AH14" s="43">
        <f t="shared" ca="1" si="1"/>
        <v>0</v>
      </c>
      <c r="AI14" s="43"/>
      <c r="AJ14" s="43"/>
      <c r="AK14" s="43"/>
      <c r="AL14" s="43">
        <f t="shared" ca="1" si="1"/>
        <v>0</v>
      </c>
      <c r="AM14" s="43"/>
      <c r="AN14" s="43"/>
      <c r="AO14" s="44"/>
      <c r="AP14" s="42">
        <f t="shared" ca="1" si="1"/>
        <v>0</v>
      </c>
      <c r="AQ14" s="43"/>
      <c r="AR14" s="43"/>
      <c r="AS14" s="43"/>
      <c r="AT14" s="43">
        <f t="shared" ca="1" si="1"/>
        <v>0</v>
      </c>
      <c r="AU14" s="43"/>
      <c r="AV14" s="43"/>
      <c r="AW14" s="43"/>
      <c r="AX14" s="43">
        <f t="shared" ca="1" si="2"/>
        <v>0</v>
      </c>
      <c r="AY14" s="43"/>
      <c r="AZ14" s="43"/>
      <c r="BA14" s="44"/>
      <c r="BB14" s="42">
        <f t="shared" ca="1" si="2"/>
        <v>0</v>
      </c>
      <c r="BC14" s="43"/>
      <c r="BD14" s="43"/>
      <c r="BE14" s="43"/>
      <c r="BF14" s="43">
        <f t="shared" ca="1" si="2"/>
        <v>0</v>
      </c>
      <c r="BG14" s="43"/>
      <c r="BH14" s="43"/>
      <c r="BI14" s="43"/>
      <c r="BJ14" s="43">
        <f t="shared" ca="1" si="2"/>
        <v>0</v>
      </c>
      <c r="BK14" s="43"/>
      <c r="BL14" s="43"/>
      <c r="BM14" s="44"/>
      <c r="BN14" s="42">
        <f t="shared" ca="1" si="2"/>
        <v>0</v>
      </c>
      <c r="BO14" s="43"/>
      <c r="BP14" s="43"/>
      <c r="BQ14" s="43"/>
      <c r="BR14" s="43">
        <f t="shared" ca="1" si="2"/>
        <v>0</v>
      </c>
      <c r="BS14" s="43"/>
      <c r="BT14" s="43"/>
      <c r="BU14" s="43"/>
      <c r="BV14" s="43">
        <f t="shared" ca="1" si="2"/>
        <v>805000</v>
      </c>
      <c r="BW14" s="43"/>
      <c r="BX14" s="43"/>
      <c r="BY14" s="44"/>
      <c r="BZ14" s="42">
        <f t="shared" ca="1" si="2"/>
        <v>1805000</v>
      </c>
      <c r="CA14" s="43"/>
      <c r="CB14" s="43"/>
      <c r="CC14" s="43"/>
      <c r="CD14" s="43">
        <f t="shared" ca="1" si="3"/>
        <v>1805000</v>
      </c>
      <c r="CE14" s="43"/>
      <c r="CF14" s="43"/>
      <c r="CG14" s="43"/>
      <c r="CH14" s="43">
        <f t="shared" ca="1" si="3"/>
        <v>805000</v>
      </c>
      <c r="CI14" s="43"/>
      <c r="CJ14" s="43"/>
      <c r="CK14" s="44"/>
      <c r="CL14" s="42">
        <f t="shared" ca="1" si="3"/>
        <v>0</v>
      </c>
      <c r="CM14" s="43"/>
      <c r="CN14" s="43"/>
      <c r="CO14" s="43"/>
      <c r="CP14" s="43">
        <f t="shared" ca="1" si="3"/>
        <v>0</v>
      </c>
      <c r="CQ14" s="43"/>
      <c r="CR14" s="43"/>
      <c r="CS14" s="43"/>
      <c r="CT14" s="43">
        <f t="shared" ca="1" si="3"/>
        <v>0</v>
      </c>
      <c r="CU14" s="43"/>
      <c r="CV14" s="43"/>
      <c r="CW14" s="44"/>
      <c r="CX14" s="42">
        <f t="shared" ca="1" si="4"/>
        <v>0</v>
      </c>
      <c r="CY14" s="43"/>
      <c r="CZ14" s="43"/>
      <c r="DA14" s="43"/>
      <c r="DB14" s="43">
        <f t="shared" ca="1" si="5"/>
        <v>0</v>
      </c>
      <c r="DC14" s="43"/>
      <c r="DD14" s="43"/>
      <c r="DE14" s="43"/>
      <c r="DF14" s="43">
        <f t="shared" ca="1" si="6"/>
        <v>0</v>
      </c>
      <c r="DG14" s="43"/>
      <c r="DH14" s="43"/>
      <c r="DI14" s="44"/>
      <c r="DJ14" s="42">
        <f t="shared" ca="1" si="7"/>
        <v>0</v>
      </c>
      <c r="DK14" s="43"/>
      <c r="DL14" s="43"/>
      <c r="DM14" s="43"/>
      <c r="DN14" s="43">
        <f t="shared" ca="1" si="8"/>
        <v>0</v>
      </c>
      <c r="DO14" s="43"/>
      <c r="DP14" s="43"/>
      <c r="DQ14" s="43"/>
      <c r="DR14" s="43">
        <f t="shared" ca="1" si="9"/>
        <v>0</v>
      </c>
      <c r="DS14" s="43"/>
      <c r="DT14" s="43"/>
      <c r="DU14" s="44"/>
      <c r="DV14" s="42">
        <f t="shared" ca="1" si="10"/>
        <v>0</v>
      </c>
      <c r="DW14" s="43"/>
      <c r="DX14" s="43"/>
      <c r="DY14" s="43"/>
      <c r="DZ14" s="43">
        <f t="shared" ca="1" si="11"/>
        <v>0</v>
      </c>
      <c r="EA14" s="43"/>
      <c r="EB14" s="43"/>
      <c r="EC14" s="43"/>
      <c r="ED14" s="43">
        <f t="shared" ca="1" si="12"/>
        <v>0</v>
      </c>
      <c r="EE14" s="43"/>
      <c r="EF14" s="43"/>
      <c r="EG14" s="44"/>
      <c r="EH14" s="42">
        <f t="shared" ca="1" si="13"/>
        <v>0</v>
      </c>
      <c r="EI14" s="43"/>
      <c r="EJ14" s="43"/>
      <c r="EK14" s="43"/>
      <c r="EL14" s="43">
        <f t="shared" ca="1" si="14"/>
        <v>0</v>
      </c>
      <c r="EM14" s="43"/>
      <c r="EN14" s="43"/>
      <c r="EO14" s="43"/>
      <c r="EP14" s="43">
        <f t="shared" ca="1" si="15"/>
        <v>0</v>
      </c>
      <c r="EQ14" s="43"/>
      <c r="ER14" s="43"/>
      <c r="ES14" s="44"/>
    </row>
    <row r="15" spans="1:149" ht="13.5" customHeight="1" x14ac:dyDescent="0.45">
      <c r="B15" s="114"/>
      <c r="C15" s="115"/>
      <c r="D15" s="15" t="s">
        <v>4</v>
      </c>
      <c r="E15" s="16">
        <f ca="1">SUM(F15:ES15)</f>
        <v>4930000</v>
      </c>
      <c r="F15" s="100">
        <f t="shared" ref="F15:AT15" ca="1" si="16">F13-F14</f>
        <v>0</v>
      </c>
      <c r="G15" s="98"/>
      <c r="H15" s="98"/>
      <c r="I15" s="98"/>
      <c r="J15" s="98">
        <f t="shared" ca="1" si="16"/>
        <v>0</v>
      </c>
      <c r="K15" s="98"/>
      <c r="L15" s="98"/>
      <c r="M15" s="98"/>
      <c r="N15" s="98">
        <f t="shared" ca="1" si="16"/>
        <v>0</v>
      </c>
      <c r="O15" s="98"/>
      <c r="P15" s="98"/>
      <c r="Q15" s="99"/>
      <c r="R15" s="100">
        <f t="shared" ca="1" si="16"/>
        <v>0</v>
      </c>
      <c r="S15" s="98"/>
      <c r="T15" s="98"/>
      <c r="U15" s="98"/>
      <c r="V15" s="101">
        <f t="shared" ca="1" si="16"/>
        <v>0</v>
      </c>
      <c r="W15" s="102"/>
      <c r="X15" s="102"/>
      <c r="Y15" s="103"/>
      <c r="Z15" s="98">
        <f t="shared" ca="1" si="16"/>
        <v>0</v>
      </c>
      <c r="AA15" s="98"/>
      <c r="AB15" s="98"/>
      <c r="AC15" s="99"/>
      <c r="AD15" s="100">
        <f t="shared" ca="1" si="16"/>
        <v>0</v>
      </c>
      <c r="AE15" s="98"/>
      <c r="AF15" s="98"/>
      <c r="AG15" s="98"/>
      <c r="AH15" s="98">
        <f t="shared" ca="1" si="16"/>
        <v>0</v>
      </c>
      <c r="AI15" s="98"/>
      <c r="AJ15" s="98"/>
      <c r="AK15" s="98"/>
      <c r="AL15" s="98">
        <f t="shared" ca="1" si="16"/>
        <v>0</v>
      </c>
      <c r="AM15" s="98"/>
      <c r="AN15" s="98"/>
      <c r="AO15" s="99"/>
      <c r="AP15" s="100">
        <f t="shared" ca="1" si="16"/>
        <v>0</v>
      </c>
      <c r="AQ15" s="98"/>
      <c r="AR15" s="98"/>
      <c r="AS15" s="98"/>
      <c r="AT15" s="98">
        <f t="shared" ca="1" si="16"/>
        <v>0</v>
      </c>
      <c r="AU15" s="98"/>
      <c r="AV15" s="98"/>
      <c r="AW15" s="98"/>
      <c r="AX15" s="98">
        <f t="shared" ref="AX15:BZ15" ca="1" si="17">AX13-AX14</f>
        <v>0</v>
      </c>
      <c r="AY15" s="98"/>
      <c r="AZ15" s="98"/>
      <c r="BA15" s="99"/>
      <c r="BB15" s="100">
        <f t="shared" ca="1" si="17"/>
        <v>0</v>
      </c>
      <c r="BC15" s="98"/>
      <c r="BD15" s="98"/>
      <c r="BE15" s="98"/>
      <c r="BF15" s="98">
        <f t="shared" ca="1" si="17"/>
        <v>0</v>
      </c>
      <c r="BG15" s="98"/>
      <c r="BH15" s="98"/>
      <c r="BI15" s="98"/>
      <c r="BJ15" s="98">
        <f t="shared" ca="1" si="17"/>
        <v>0</v>
      </c>
      <c r="BK15" s="98"/>
      <c r="BL15" s="98"/>
      <c r="BM15" s="99"/>
      <c r="BN15" s="100">
        <f t="shared" ca="1" si="17"/>
        <v>0</v>
      </c>
      <c r="BO15" s="98"/>
      <c r="BP15" s="98"/>
      <c r="BQ15" s="98"/>
      <c r="BR15" s="98">
        <f t="shared" ca="1" si="17"/>
        <v>0</v>
      </c>
      <c r="BS15" s="98"/>
      <c r="BT15" s="98"/>
      <c r="BU15" s="98"/>
      <c r="BV15" s="98">
        <f t="shared" ca="1" si="17"/>
        <v>682500</v>
      </c>
      <c r="BW15" s="98"/>
      <c r="BX15" s="98"/>
      <c r="BY15" s="99"/>
      <c r="BZ15" s="100">
        <f t="shared" ca="1" si="17"/>
        <v>1782500</v>
      </c>
      <c r="CA15" s="98"/>
      <c r="CB15" s="98"/>
      <c r="CC15" s="98"/>
      <c r="CD15" s="98">
        <f t="shared" ref="CD15:CT15" ca="1" si="18">CD13-CD14</f>
        <v>1782500</v>
      </c>
      <c r="CE15" s="98"/>
      <c r="CF15" s="98"/>
      <c r="CG15" s="98"/>
      <c r="CH15" s="98">
        <f t="shared" ca="1" si="18"/>
        <v>682500</v>
      </c>
      <c r="CI15" s="98"/>
      <c r="CJ15" s="98"/>
      <c r="CK15" s="99"/>
      <c r="CL15" s="100">
        <f t="shared" ca="1" si="18"/>
        <v>0</v>
      </c>
      <c r="CM15" s="98"/>
      <c r="CN15" s="98"/>
      <c r="CO15" s="98"/>
      <c r="CP15" s="98">
        <f t="shared" ca="1" si="18"/>
        <v>0</v>
      </c>
      <c r="CQ15" s="98"/>
      <c r="CR15" s="98"/>
      <c r="CS15" s="98"/>
      <c r="CT15" s="98">
        <f t="shared" ca="1" si="18"/>
        <v>0</v>
      </c>
      <c r="CU15" s="98"/>
      <c r="CV15" s="98"/>
      <c r="CW15" s="99"/>
      <c r="CX15" s="100">
        <f t="shared" ref="CX15" ca="1" si="19">CX13-CX14</f>
        <v>0</v>
      </c>
      <c r="CY15" s="98"/>
      <c r="CZ15" s="98"/>
      <c r="DA15" s="98"/>
      <c r="DB15" s="98">
        <f t="shared" ref="DB15" ca="1" si="20">DB13-DB14</f>
        <v>0</v>
      </c>
      <c r="DC15" s="98"/>
      <c r="DD15" s="98"/>
      <c r="DE15" s="98"/>
      <c r="DF15" s="98">
        <f t="shared" ref="DF15" ca="1" si="21">DF13-DF14</f>
        <v>0</v>
      </c>
      <c r="DG15" s="98"/>
      <c r="DH15" s="98"/>
      <c r="DI15" s="99"/>
      <c r="DJ15" s="100">
        <f t="shared" ref="DJ15" ca="1" si="22">DJ13-DJ14</f>
        <v>0</v>
      </c>
      <c r="DK15" s="98"/>
      <c r="DL15" s="98"/>
      <c r="DM15" s="98"/>
      <c r="DN15" s="98">
        <f t="shared" ref="DN15" ca="1" si="23">DN13-DN14</f>
        <v>0</v>
      </c>
      <c r="DO15" s="98"/>
      <c r="DP15" s="98"/>
      <c r="DQ15" s="98"/>
      <c r="DR15" s="98">
        <f t="shared" ref="DR15" ca="1" si="24">DR13-DR14</f>
        <v>0</v>
      </c>
      <c r="DS15" s="98"/>
      <c r="DT15" s="98"/>
      <c r="DU15" s="99"/>
      <c r="DV15" s="100">
        <f t="shared" ref="DV15" ca="1" si="25">DV13-DV14</f>
        <v>0</v>
      </c>
      <c r="DW15" s="98"/>
      <c r="DX15" s="98"/>
      <c r="DY15" s="98"/>
      <c r="DZ15" s="98">
        <f t="shared" ref="DZ15" ca="1" si="26">DZ13-DZ14</f>
        <v>0</v>
      </c>
      <c r="EA15" s="98"/>
      <c r="EB15" s="98"/>
      <c r="EC15" s="98"/>
      <c r="ED15" s="98">
        <f t="shared" ref="ED15" ca="1" si="27">ED13-ED14</f>
        <v>0</v>
      </c>
      <c r="EE15" s="98"/>
      <c r="EF15" s="98"/>
      <c r="EG15" s="99"/>
      <c r="EH15" s="100">
        <f t="shared" ref="EH15" ca="1" si="28">EH13-EH14</f>
        <v>0</v>
      </c>
      <c r="EI15" s="98"/>
      <c r="EJ15" s="98"/>
      <c r="EK15" s="98"/>
      <c r="EL15" s="98">
        <f t="shared" ref="EL15" ca="1" si="29">EL13-EL14</f>
        <v>0</v>
      </c>
      <c r="EM15" s="98"/>
      <c r="EN15" s="98"/>
      <c r="EO15" s="98"/>
      <c r="EP15" s="98">
        <f t="shared" ref="EP15" ca="1" si="30">EP13-EP14</f>
        <v>0</v>
      </c>
      <c r="EQ15" s="98"/>
      <c r="ER15" s="98"/>
      <c r="ES15" s="99"/>
    </row>
    <row r="17" spans="1:149" ht="18.600000000000001" outlineLevel="1" thickBot="1" x14ac:dyDescent="0.5">
      <c r="A17" s="2" t="s">
        <v>16</v>
      </c>
      <c r="C17" s="17" t="s">
        <v>17</v>
      </c>
    </row>
    <row r="18" spans="1:149" outlineLevel="1" x14ac:dyDescent="0.45">
      <c r="B18" s="88" t="s">
        <v>18</v>
      </c>
      <c r="C18" s="91" t="s">
        <v>19</v>
      </c>
      <c r="D18" s="93" t="s">
        <v>20</v>
      </c>
      <c r="E18" s="94" t="s">
        <v>21</v>
      </c>
      <c r="F18" s="85" t="s">
        <v>6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7"/>
      <c r="BB18" s="85" t="s">
        <v>30</v>
      </c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7"/>
      <c r="CX18" s="85" t="s">
        <v>31</v>
      </c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7"/>
    </row>
    <row r="19" spans="1:149" outlineLevel="1" x14ac:dyDescent="0.45">
      <c r="B19" s="89"/>
      <c r="C19" s="92"/>
      <c r="D19" s="93"/>
      <c r="E19" s="95"/>
      <c r="F19" s="82" t="s">
        <v>7</v>
      </c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2" t="s">
        <v>8</v>
      </c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2" t="s">
        <v>9</v>
      </c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2" t="s">
        <v>10</v>
      </c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2" t="s">
        <v>7</v>
      </c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2" t="s">
        <v>8</v>
      </c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2" t="s">
        <v>9</v>
      </c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2" t="s">
        <v>11</v>
      </c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4"/>
      <c r="CX19" s="82" t="s">
        <v>7</v>
      </c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2" t="s">
        <v>8</v>
      </c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2" t="s">
        <v>9</v>
      </c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2" t="s">
        <v>11</v>
      </c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4"/>
    </row>
    <row r="20" spans="1:149" outlineLevel="1" x14ac:dyDescent="0.45">
      <c r="B20" s="90"/>
      <c r="C20" s="18" t="s">
        <v>22</v>
      </c>
      <c r="D20" s="93"/>
      <c r="E20" s="96"/>
      <c r="F20" s="81">
        <v>45017</v>
      </c>
      <c r="G20" s="79"/>
      <c r="H20" s="79"/>
      <c r="I20" s="79"/>
      <c r="J20" s="79">
        <v>45047</v>
      </c>
      <c r="K20" s="79"/>
      <c r="L20" s="79"/>
      <c r="M20" s="79"/>
      <c r="N20" s="79">
        <v>45078</v>
      </c>
      <c r="O20" s="79"/>
      <c r="P20" s="79"/>
      <c r="Q20" s="80"/>
      <c r="R20" s="81">
        <v>45108</v>
      </c>
      <c r="S20" s="79"/>
      <c r="T20" s="79"/>
      <c r="U20" s="79"/>
      <c r="V20" s="79">
        <v>45139</v>
      </c>
      <c r="W20" s="79"/>
      <c r="X20" s="79"/>
      <c r="Y20" s="79"/>
      <c r="Z20" s="79">
        <v>45170</v>
      </c>
      <c r="AA20" s="79"/>
      <c r="AB20" s="79"/>
      <c r="AC20" s="80"/>
      <c r="AD20" s="81">
        <v>45200</v>
      </c>
      <c r="AE20" s="79"/>
      <c r="AF20" s="79"/>
      <c r="AG20" s="79"/>
      <c r="AH20" s="79">
        <v>45231</v>
      </c>
      <c r="AI20" s="79"/>
      <c r="AJ20" s="79"/>
      <c r="AK20" s="79"/>
      <c r="AL20" s="79">
        <v>45261</v>
      </c>
      <c r="AM20" s="79"/>
      <c r="AN20" s="79"/>
      <c r="AO20" s="80"/>
      <c r="AP20" s="81">
        <v>45292</v>
      </c>
      <c r="AQ20" s="79"/>
      <c r="AR20" s="79"/>
      <c r="AS20" s="79"/>
      <c r="AT20" s="79">
        <v>45323</v>
      </c>
      <c r="AU20" s="79"/>
      <c r="AV20" s="79"/>
      <c r="AW20" s="79"/>
      <c r="AX20" s="79">
        <v>45352</v>
      </c>
      <c r="AY20" s="79"/>
      <c r="AZ20" s="79"/>
      <c r="BA20" s="80"/>
      <c r="BB20" s="81">
        <v>45383</v>
      </c>
      <c r="BC20" s="79"/>
      <c r="BD20" s="79"/>
      <c r="BE20" s="79"/>
      <c r="BF20" s="79">
        <v>45413</v>
      </c>
      <c r="BG20" s="79"/>
      <c r="BH20" s="79"/>
      <c r="BI20" s="79"/>
      <c r="BJ20" s="79">
        <v>45444</v>
      </c>
      <c r="BK20" s="79"/>
      <c r="BL20" s="79"/>
      <c r="BM20" s="80"/>
      <c r="BN20" s="81">
        <v>45474</v>
      </c>
      <c r="BO20" s="79"/>
      <c r="BP20" s="79"/>
      <c r="BQ20" s="79"/>
      <c r="BR20" s="79">
        <v>45505</v>
      </c>
      <c r="BS20" s="79"/>
      <c r="BT20" s="79"/>
      <c r="BU20" s="79"/>
      <c r="BV20" s="79">
        <v>45536</v>
      </c>
      <c r="BW20" s="79"/>
      <c r="BX20" s="79"/>
      <c r="BY20" s="80"/>
      <c r="BZ20" s="81">
        <v>45566</v>
      </c>
      <c r="CA20" s="79"/>
      <c r="CB20" s="79"/>
      <c r="CC20" s="79"/>
      <c r="CD20" s="79">
        <v>45597</v>
      </c>
      <c r="CE20" s="79"/>
      <c r="CF20" s="79"/>
      <c r="CG20" s="79"/>
      <c r="CH20" s="79">
        <v>45627</v>
      </c>
      <c r="CI20" s="79"/>
      <c r="CJ20" s="79"/>
      <c r="CK20" s="80"/>
      <c r="CL20" s="81">
        <v>45658</v>
      </c>
      <c r="CM20" s="79"/>
      <c r="CN20" s="79"/>
      <c r="CO20" s="79"/>
      <c r="CP20" s="79">
        <v>45689</v>
      </c>
      <c r="CQ20" s="79"/>
      <c r="CR20" s="79"/>
      <c r="CS20" s="79"/>
      <c r="CT20" s="79">
        <v>45717</v>
      </c>
      <c r="CU20" s="79"/>
      <c r="CV20" s="79"/>
      <c r="CW20" s="80"/>
      <c r="CX20" s="81">
        <v>45383</v>
      </c>
      <c r="CY20" s="79"/>
      <c r="CZ20" s="79"/>
      <c r="DA20" s="79"/>
      <c r="DB20" s="79">
        <v>45413</v>
      </c>
      <c r="DC20" s="79"/>
      <c r="DD20" s="79"/>
      <c r="DE20" s="79"/>
      <c r="DF20" s="79">
        <v>45444</v>
      </c>
      <c r="DG20" s="79"/>
      <c r="DH20" s="79"/>
      <c r="DI20" s="80"/>
      <c r="DJ20" s="81">
        <v>45474</v>
      </c>
      <c r="DK20" s="79"/>
      <c r="DL20" s="79"/>
      <c r="DM20" s="79"/>
      <c r="DN20" s="79">
        <v>45505</v>
      </c>
      <c r="DO20" s="79"/>
      <c r="DP20" s="79"/>
      <c r="DQ20" s="79"/>
      <c r="DR20" s="79">
        <v>45536</v>
      </c>
      <c r="DS20" s="79"/>
      <c r="DT20" s="79"/>
      <c r="DU20" s="80"/>
      <c r="DV20" s="81">
        <v>45566</v>
      </c>
      <c r="DW20" s="79"/>
      <c r="DX20" s="79"/>
      <c r="DY20" s="79"/>
      <c r="DZ20" s="79">
        <v>45597</v>
      </c>
      <c r="EA20" s="79"/>
      <c r="EB20" s="79"/>
      <c r="EC20" s="79"/>
      <c r="ED20" s="79">
        <v>45627</v>
      </c>
      <c r="EE20" s="79"/>
      <c r="EF20" s="79"/>
      <c r="EG20" s="80"/>
      <c r="EH20" s="81">
        <v>45658</v>
      </c>
      <c r="EI20" s="79"/>
      <c r="EJ20" s="79"/>
      <c r="EK20" s="79"/>
      <c r="EL20" s="79">
        <v>45689</v>
      </c>
      <c r="EM20" s="79"/>
      <c r="EN20" s="79"/>
      <c r="EO20" s="79"/>
      <c r="EP20" s="79">
        <v>45717</v>
      </c>
      <c r="EQ20" s="79"/>
      <c r="ER20" s="79"/>
      <c r="ES20" s="80"/>
    </row>
    <row r="21" spans="1:149" outlineLevel="1" x14ac:dyDescent="0.45">
      <c r="B21" s="72" t="s">
        <v>32</v>
      </c>
      <c r="C21" s="19"/>
      <c r="D21" s="20" t="s">
        <v>13</v>
      </c>
      <c r="E21" s="21">
        <f>SUM(F21:ES21)</f>
        <v>2</v>
      </c>
      <c r="F21" s="74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97"/>
      <c r="R21" s="71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8"/>
      <c r="AD21" s="70"/>
      <c r="AE21" s="70"/>
      <c r="AF21" s="70"/>
      <c r="AG21" s="71"/>
      <c r="AH21" s="67"/>
      <c r="AI21" s="67"/>
      <c r="AJ21" s="67"/>
      <c r="AK21" s="67"/>
      <c r="AL21" s="67"/>
      <c r="AM21" s="67"/>
      <c r="AN21" s="67"/>
      <c r="AO21" s="68"/>
      <c r="AP21" s="70"/>
      <c r="AQ21" s="70"/>
      <c r="AR21" s="70"/>
      <c r="AS21" s="71"/>
      <c r="AT21" s="67"/>
      <c r="AU21" s="67"/>
      <c r="AV21" s="67"/>
      <c r="AW21" s="68"/>
      <c r="AX21" s="67"/>
      <c r="AY21" s="67"/>
      <c r="AZ21" s="67"/>
      <c r="BA21" s="68"/>
      <c r="BB21" s="70"/>
      <c r="BC21" s="70"/>
      <c r="BD21" s="70"/>
      <c r="BE21" s="71"/>
      <c r="BF21" s="67"/>
      <c r="BG21" s="67"/>
      <c r="BH21" s="67"/>
      <c r="BI21" s="67"/>
      <c r="BJ21" s="67"/>
      <c r="BK21" s="67"/>
      <c r="BL21" s="67"/>
      <c r="BM21" s="68"/>
      <c r="BN21" s="70"/>
      <c r="BO21" s="70"/>
      <c r="BP21" s="70"/>
      <c r="BQ21" s="71"/>
      <c r="BR21" s="67"/>
      <c r="BS21" s="67"/>
      <c r="BT21" s="67"/>
      <c r="BU21" s="67"/>
      <c r="BV21" s="67">
        <v>0.5</v>
      </c>
      <c r="BW21" s="67"/>
      <c r="BX21" s="67"/>
      <c r="BY21" s="68"/>
      <c r="BZ21" s="70">
        <v>0.5</v>
      </c>
      <c r="CA21" s="70"/>
      <c r="CB21" s="70"/>
      <c r="CC21" s="71"/>
      <c r="CD21" s="67">
        <v>0.5</v>
      </c>
      <c r="CE21" s="67"/>
      <c r="CF21" s="67"/>
      <c r="CG21" s="67"/>
      <c r="CH21" s="67">
        <v>0.5</v>
      </c>
      <c r="CI21" s="67"/>
      <c r="CJ21" s="67"/>
      <c r="CK21" s="68"/>
      <c r="CL21" s="70"/>
      <c r="CM21" s="70"/>
      <c r="CN21" s="70"/>
      <c r="CO21" s="71"/>
      <c r="CP21" s="67"/>
      <c r="CQ21" s="67"/>
      <c r="CR21" s="67"/>
      <c r="CS21" s="67"/>
      <c r="CT21" s="67"/>
      <c r="CU21" s="67"/>
      <c r="CV21" s="67"/>
      <c r="CW21" s="68"/>
      <c r="CX21" s="70"/>
      <c r="CY21" s="70"/>
      <c r="CZ21" s="70"/>
      <c r="DA21" s="71"/>
      <c r="DB21" s="67"/>
      <c r="DC21" s="67"/>
      <c r="DD21" s="67"/>
      <c r="DE21" s="67"/>
      <c r="DF21" s="67"/>
      <c r="DG21" s="67"/>
      <c r="DH21" s="67"/>
      <c r="DI21" s="68"/>
      <c r="DJ21" s="70"/>
      <c r="DK21" s="70"/>
      <c r="DL21" s="70"/>
      <c r="DM21" s="71"/>
      <c r="DN21" s="67"/>
      <c r="DO21" s="67"/>
      <c r="DP21" s="67"/>
      <c r="DQ21" s="67"/>
      <c r="DR21" s="67"/>
      <c r="DS21" s="67"/>
      <c r="DT21" s="67"/>
      <c r="DU21" s="68"/>
      <c r="DV21" s="70"/>
      <c r="DW21" s="70"/>
      <c r="DX21" s="70"/>
      <c r="DY21" s="71"/>
      <c r="DZ21" s="67"/>
      <c r="EA21" s="67"/>
      <c r="EB21" s="67"/>
      <c r="EC21" s="67"/>
      <c r="ED21" s="67"/>
      <c r="EE21" s="67"/>
      <c r="EF21" s="67"/>
      <c r="EG21" s="68"/>
      <c r="EH21" s="70"/>
      <c r="EI21" s="70"/>
      <c r="EJ21" s="70"/>
      <c r="EK21" s="71"/>
      <c r="EL21" s="67"/>
      <c r="EM21" s="67"/>
      <c r="EN21" s="67"/>
      <c r="EO21" s="67"/>
      <c r="EP21" s="67"/>
      <c r="EQ21" s="67"/>
      <c r="ER21" s="67"/>
      <c r="ES21" s="68"/>
    </row>
    <row r="22" spans="1:149" ht="13.5" customHeight="1" outlineLevel="1" x14ac:dyDescent="0.45">
      <c r="B22" s="73"/>
      <c r="C22" s="22">
        <v>1400000</v>
      </c>
      <c r="D22" s="23" t="s">
        <v>23</v>
      </c>
      <c r="E22" s="24">
        <f>SUM(F22:CW22)</f>
        <v>2800000</v>
      </c>
      <c r="F22" s="69">
        <f>IFERROR($C22*F21,"")</f>
        <v>0</v>
      </c>
      <c r="G22" s="62"/>
      <c r="H22" s="62"/>
      <c r="I22" s="62"/>
      <c r="J22" s="62">
        <f t="shared" ref="J22" si="31">IFERROR($C22*J21,"")</f>
        <v>0</v>
      </c>
      <c r="K22" s="62"/>
      <c r="L22" s="62"/>
      <c r="M22" s="62"/>
      <c r="N22" s="63">
        <f t="shared" ref="N22" si="32">IFERROR($C22*N21,"")</f>
        <v>0</v>
      </c>
      <c r="O22" s="64"/>
      <c r="P22" s="64"/>
      <c r="Q22" s="64"/>
      <c r="R22" s="64">
        <f t="shared" ref="R22" si="33">IFERROR($C22*R21,"")</f>
        <v>0</v>
      </c>
      <c r="S22" s="64"/>
      <c r="T22" s="64"/>
      <c r="U22" s="65"/>
      <c r="V22" s="62">
        <f t="shared" ref="V22" si="34">IFERROR($C22*V21,"")</f>
        <v>0</v>
      </c>
      <c r="W22" s="62"/>
      <c r="X22" s="62"/>
      <c r="Y22" s="62"/>
      <c r="Z22" s="62">
        <f t="shared" ref="Z22" si="35">IFERROR($C22*Z21,"")</f>
        <v>0</v>
      </c>
      <c r="AA22" s="62"/>
      <c r="AB22" s="62"/>
      <c r="AC22" s="63"/>
      <c r="AD22" s="64">
        <f t="shared" ref="AD22" si="36">IFERROR($C22*AD21,"")</f>
        <v>0</v>
      </c>
      <c r="AE22" s="64"/>
      <c r="AF22" s="64"/>
      <c r="AG22" s="65"/>
      <c r="AH22" s="62">
        <f t="shared" ref="AH22" si="37">IFERROR($C22*AH21,"")</f>
        <v>0</v>
      </c>
      <c r="AI22" s="62"/>
      <c r="AJ22" s="62"/>
      <c r="AK22" s="62"/>
      <c r="AL22" s="62">
        <f t="shared" ref="AL22" si="38">IFERROR($C22*AL21,"")</f>
        <v>0</v>
      </c>
      <c r="AM22" s="62"/>
      <c r="AN22" s="62"/>
      <c r="AO22" s="63"/>
      <c r="AP22" s="64">
        <f t="shared" ref="AP22" si="39">IFERROR($C22*AP21,"")</f>
        <v>0</v>
      </c>
      <c r="AQ22" s="64"/>
      <c r="AR22" s="64"/>
      <c r="AS22" s="65"/>
      <c r="AT22" s="62">
        <f t="shared" ref="AT22" si="40">IFERROR($C22*AT21,"")</f>
        <v>0</v>
      </c>
      <c r="AU22" s="62"/>
      <c r="AV22" s="62"/>
      <c r="AW22" s="62"/>
      <c r="AX22" s="62">
        <f t="shared" ref="AX22" si="41">IFERROR($C22*AX21,"")</f>
        <v>0</v>
      </c>
      <c r="AY22" s="62"/>
      <c r="AZ22" s="62"/>
      <c r="BA22" s="63"/>
      <c r="BB22" s="64">
        <f t="shared" ref="BB22" si="42">IFERROR($C22*BB21,"")</f>
        <v>0</v>
      </c>
      <c r="BC22" s="64"/>
      <c r="BD22" s="64"/>
      <c r="BE22" s="65"/>
      <c r="BF22" s="62">
        <f t="shared" ref="BF22" si="43">IFERROR($C22*BF21,"")</f>
        <v>0</v>
      </c>
      <c r="BG22" s="62"/>
      <c r="BH22" s="62"/>
      <c r="BI22" s="62"/>
      <c r="BJ22" s="62">
        <f t="shared" ref="BJ22:CL22" si="44">IFERROR($C22*BJ21,"")</f>
        <v>0</v>
      </c>
      <c r="BK22" s="62"/>
      <c r="BL22" s="62"/>
      <c r="BM22" s="63"/>
      <c r="BN22" s="64">
        <f t="shared" si="44"/>
        <v>0</v>
      </c>
      <c r="BO22" s="64"/>
      <c r="BP22" s="64"/>
      <c r="BQ22" s="65"/>
      <c r="BR22" s="62">
        <f t="shared" si="44"/>
        <v>0</v>
      </c>
      <c r="BS22" s="62"/>
      <c r="BT22" s="62"/>
      <c r="BU22" s="62"/>
      <c r="BV22" s="62">
        <f t="shared" si="44"/>
        <v>700000</v>
      </c>
      <c r="BW22" s="62"/>
      <c r="BX22" s="62"/>
      <c r="BY22" s="63"/>
      <c r="BZ22" s="64">
        <f t="shared" si="44"/>
        <v>700000</v>
      </c>
      <c r="CA22" s="64"/>
      <c r="CB22" s="64"/>
      <c r="CC22" s="65"/>
      <c r="CD22" s="62">
        <f t="shared" si="44"/>
        <v>700000</v>
      </c>
      <c r="CE22" s="62"/>
      <c r="CF22" s="62"/>
      <c r="CG22" s="62"/>
      <c r="CH22" s="62">
        <f t="shared" si="44"/>
        <v>700000</v>
      </c>
      <c r="CI22" s="62"/>
      <c r="CJ22" s="62"/>
      <c r="CK22" s="63"/>
      <c r="CL22" s="64">
        <f t="shared" si="44"/>
        <v>0</v>
      </c>
      <c r="CM22" s="64"/>
      <c r="CN22" s="64"/>
      <c r="CO22" s="65"/>
      <c r="CP22" s="62">
        <f t="shared" ref="CP22:DR22" si="45">IFERROR($C22*CP21,"")</f>
        <v>0</v>
      </c>
      <c r="CQ22" s="62"/>
      <c r="CR22" s="62"/>
      <c r="CS22" s="62"/>
      <c r="CT22" s="62">
        <f t="shared" si="45"/>
        <v>0</v>
      </c>
      <c r="CU22" s="62"/>
      <c r="CV22" s="62"/>
      <c r="CW22" s="63"/>
      <c r="CX22" s="64">
        <f t="shared" si="45"/>
        <v>0</v>
      </c>
      <c r="CY22" s="64"/>
      <c r="CZ22" s="64"/>
      <c r="DA22" s="65"/>
      <c r="DB22" s="62">
        <f t="shared" si="45"/>
        <v>0</v>
      </c>
      <c r="DC22" s="62"/>
      <c r="DD22" s="62"/>
      <c r="DE22" s="62"/>
      <c r="DF22" s="62">
        <f t="shared" si="45"/>
        <v>0</v>
      </c>
      <c r="DG22" s="62"/>
      <c r="DH22" s="62"/>
      <c r="DI22" s="63"/>
      <c r="DJ22" s="64">
        <f t="shared" si="45"/>
        <v>0</v>
      </c>
      <c r="DK22" s="64"/>
      <c r="DL22" s="64"/>
      <c r="DM22" s="65"/>
      <c r="DN22" s="62">
        <f t="shared" si="45"/>
        <v>0</v>
      </c>
      <c r="DO22" s="62"/>
      <c r="DP22" s="62"/>
      <c r="DQ22" s="62"/>
      <c r="DR22" s="62">
        <f t="shared" si="45"/>
        <v>0</v>
      </c>
      <c r="DS22" s="62"/>
      <c r="DT22" s="62"/>
      <c r="DU22" s="63"/>
      <c r="DV22" s="64">
        <f t="shared" ref="DV22:EP22" si="46">IFERROR($C22*DV21,"")</f>
        <v>0</v>
      </c>
      <c r="DW22" s="64"/>
      <c r="DX22" s="64"/>
      <c r="DY22" s="65"/>
      <c r="DZ22" s="62">
        <f t="shared" si="46"/>
        <v>0</v>
      </c>
      <c r="EA22" s="62"/>
      <c r="EB22" s="62"/>
      <c r="EC22" s="62"/>
      <c r="ED22" s="62">
        <f t="shared" si="46"/>
        <v>0</v>
      </c>
      <c r="EE22" s="62"/>
      <c r="EF22" s="62"/>
      <c r="EG22" s="63"/>
      <c r="EH22" s="64">
        <f t="shared" si="46"/>
        <v>0</v>
      </c>
      <c r="EI22" s="64"/>
      <c r="EJ22" s="64"/>
      <c r="EK22" s="65"/>
      <c r="EL22" s="62">
        <f t="shared" si="46"/>
        <v>0</v>
      </c>
      <c r="EM22" s="62"/>
      <c r="EN22" s="62"/>
      <c r="EO22" s="62"/>
      <c r="EP22" s="62">
        <f t="shared" si="46"/>
        <v>0</v>
      </c>
      <c r="EQ22" s="62"/>
      <c r="ER22" s="62"/>
      <c r="ES22" s="63"/>
    </row>
    <row r="23" spans="1:149" ht="13.5" customHeight="1" outlineLevel="1" x14ac:dyDescent="0.45">
      <c r="B23" s="78"/>
      <c r="C23" s="25">
        <v>600000</v>
      </c>
      <c r="D23" s="26" t="s">
        <v>3</v>
      </c>
      <c r="E23" s="27">
        <f>SUM(F23:CW23)</f>
        <v>1200000</v>
      </c>
      <c r="F23" s="66">
        <f>IFERROR($C23*F21,"")</f>
        <v>0</v>
      </c>
      <c r="G23" s="60"/>
      <c r="H23" s="60"/>
      <c r="I23" s="60"/>
      <c r="J23" s="60">
        <f t="shared" ref="J23" si="47">IFERROR($C23*J21,"")</f>
        <v>0</v>
      </c>
      <c r="K23" s="60"/>
      <c r="L23" s="60"/>
      <c r="M23" s="60"/>
      <c r="N23" s="61">
        <f t="shared" ref="N23" si="48">IFERROR($C23*N21,"")</f>
        <v>0</v>
      </c>
      <c r="O23" s="58"/>
      <c r="P23" s="58"/>
      <c r="Q23" s="58"/>
      <c r="R23" s="58">
        <f t="shared" ref="R23" si="49">IFERROR($C23*R21,"")</f>
        <v>0</v>
      </c>
      <c r="S23" s="58"/>
      <c r="T23" s="58"/>
      <c r="U23" s="59"/>
      <c r="V23" s="60">
        <f t="shared" ref="V23" si="50">IFERROR($C23*V21,"")</f>
        <v>0</v>
      </c>
      <c r="W23" s="60"/>
      <c r="X23" s="60"/>
      <c r="Y23" s="60"/>
      <c r="Z23" s="60">
        <f t="shared" ref="Z23" si="51">IFERROR($C23*Z21,"")</f>
        <v>0</v>
      </c>
      <c r="AA23" s="60"/>
      <c r="AB23" s="60"/>
      <c r="AC23" s="61"/>
      <c r="AD23" s="58">
        <f t="shared" ref="AD23" si="52">IFERROR($C23*AD21,"")</f>
        <v>0</v>
      </c>
      <c r="AE23" s="58"/>
      <c r="AF23" s="58"/>
      <c r="AG23" s="59"/>
      <c r="AH23" s="60">
        <f t="shared" ref="AH23:BJ23" si="53">IFERROR($C23*AH21,"")</f>
        <v>0</v>
      </c>
      <c r="AI23" s="60"/>
      <c r="AJ23" s="60"/>
      <c r="AK23" s="60"/>
      <c r="AL23" s="60">
        <f t="shared" si="53"/>
        <v>0</v>
      </c>
      <c r="AM23" s="60"/>
      <c r="AN23" s="60"/>
      <c r="AO23" s="61"/>
      <c r="AP23" s="58">
        <f t="shared" si="53"/>
        <v>0</v>
      </c>
      <c r="AQ23" s="58"/>
      <c r="AR23" s="58"/>
      <c r="AS23" s="59"/>
      <c r="AT23" s="60">
        <f t="shared" si="53"/>
        <v>0</v>
      </c>
      <c r="AU23" s="60"/>
      <c r="AV23" s="60"/>
      <c r="AW23" s="60"/>
      <c r="AX23" s="60">
        <f t="shared" si="53"/>
        <v>0</v>
      </c>
      <c r="AY23" s="60"/>
      <c r="AZ23" s="60"/>
      <c r="BA23" s="61"/>
      <c r="BB23" s="58">
        <f t="shared" si="53"/>
        <v>0</v>
      </c>
      <c r="BC23" s="58"/>
      <c r="BD23" s="58"/>
      <c r="BE23" s="59"/>
      <c r="BF23" s="60">
        <f t="shared" si="53"/>
        <v>0</v>
      </c>
      <c r="BG23" s="60"/>
      <c r="BH23" s="60"/>
      <c r="BI23" s="60"/>
      <c r="BJ23" s="60">
        <f t="shared" si="53"/>
        <v>0</v>
      </c>
      <c r="BK23" s="60"/>
      <c r="BL23" s="60"/>
      <c r="BM23" s="61"/>
      <c r="BN23" s="58">
        <f t="shared" ref="BN23:CP23" si="54">IFERROR($C23*BN21,"")</f>
        <v>0</v>
      </c>
      <c r="BO23" s="58"/>
      <c r="BP23" s="58"/>
      <c r="BQ23" s="59"/>
      <c r="BR23" s="60">
        <f t="shared" si="54"/>
        <v>0</v>
      </c>
      <c r="BS23" s="60"/>
      <c r="BT23" s="60"/>
      <c r="BU23" s="60"/>
      <c r="BV23" s="60">
        <f t="shared" si="54"/>
        <v>300000</v>
      </c>
      <c r="BW23" s="60"/>
      <c r="BX23" s="60"/>
      <c r="BY23" s="61"/>
      <c r="BZ23" s="58">
        <f t="shared" si="54"/>
        <v>300000</v>
      </c>
      <c r="CA23" s="58"/>
      <c r="CB23" s="58"/>
      <c r="CC23" s="59"/>
      <c r="CD23" s="60">
        <f t="shared" si="54"/>
        <v>300000</v>
      </c>
      <c r="CE23" s="60"/>
      <c r="CF23" s="60"/>
      <c r="CG23" s="60"/>
      <c r="CH23" s="60">
        <f t="shared" si="54"/>
        <v>300000</v>
      </c>
      <c r="CI23" s="60"/>
      <c r="CJ23" s="60"/>
      <c r="CK23" s="61"/>
      <c r="CL23" s="58">
        <f t="shared" si="54"/>
        <v>0</v>
      </c>
      <c r="CM23" s="58"/>
      <c r="CN23" s="58"/>
      <c r="CO23" s="59"/>
      <c r="CP23" s="60">
        <f t="shared" si="54"/>
        <v>0</v>
      </c>
      <c r="CQ23" s="60"/>
      <c r="CR23" s="60"/>
      <c r="CS23" s="60"/>
      <c r="CT23" s="60">
        <f t="shared" ref="CT23:DV23" si="55">IFERROR($C23*CT21,"")</f>
        <v>0</v>
      </c>
      <c r="CU23" s="60"/>
      <c r="CV23" s="60"/>
      <c r="CW23" s="61"/>
      <c r="CX23" s="58">
        <f t="shared" si="55"/>
        <v>0</v>
      </c>
      <c r="CY23" s="58"/>
      <c r="CZ23" s="58"/>
      <c r="DA23" s="59"/>
      <c r="DB23" s="60">
        <f t="shared" si="55"/>
        <v>0</v>
      </c>
      <c r="DC23" s="60"/>
      <c r="DD23" s="60"/>
      <c r="DE23" s="60"/>
      <c r="DF23" s="60">
        <f t="shared" si="55"/>
        <v>0</v>
      </c>
      <c r="DG23" s="60"/>
      <c r="DH23" s="60"/>
      <c r="DI23" s="61"/>
      <c r="DJ23" s="58">
        <f t="shared" si="55"/>
        <v>0</v>
      </c>
      <c r="DK23" s="58"/>
      <c r="DL23" s="58"/>
      <c r="DM23" s="59"/>
      <c r="DN23" s="60">
        <f t="shared" si="55"/>
        <v>0</v>
      </c>
      <c r="DO23" s="60"/>
      <c r="DP23" s="60"/>
      <c r="DQ23" s="60"/>
      <c r="DR23" s="60">
        <f t="shared" si="55"/>
        <v>0</v>
      </c>
      <c r="DS23" s="60"/>
      <c r="DT23" s="60"/>
      <c r="DU23" s="61"/>
      <c r="DV23" s="58">
        <f t="shared" si="55"/>
        <v>0</v>
      </c>
      <c r="DW23" s="58"/>
      <c r="DX23" s="58"/>
      <c r="DY23" s="59"/>
      <c r="DZ23" s="60">
        <f t="shared" ref="DZ23:EP23" si="56">IFERROR($C23*DZ21,"")</f>
        <v>0</v>
      </c>
      <c r="EA23" s="60"/>
      <c r="EB23" s="60"/>
      <c r="EC23" s="60"/>
      <c r="ED23" s="60">
        <f t="shared" si="56"/>
        <v>0</v>
      </c>
      <c r="EE23" s="60"/>
      <c r="EF23" s="60"/>
      <c r="EG23" s="61"/>
      <c r="EH23" s="58">
        <f t="shared" si="56"/>
        <v>0</v>
      </c>
      <c r="EI23" s="58"/>
      <c r="EJ23" s="58"/>
      <c r="EK23" s="59"/>
      <c r="EL23" s="60">
        <f t="shared" si="56"/>
        <v>0</v>
      </c>
      <c r="EM23" s="60"/>
      <c r="EN23" s="60"/>
      <c r="EO23" s="60"/>
      <c r="EP23" s="60">
        <f t="shared" si="56"/>
        <v>0</v>
      </c>
      <c r="EQ23" s="60"/>
      <c r="ER23" s="60"/>
      <c r="ES23" s="61"/>
    </row>
    <row r="24" spans="1:149" outlineLevel="1" x14ac:dyDescent="0.45">
      <c r="B24" s="72" t="s">
        <v>39</v>
      </c>
      <c r="C24" s="19"/>
      <c r="D24" s="20" t="s">
        <v>13</v>
      </c>
      <c r="E24" s="21">
        <f>SUM(F24:ES24)</f>
        <v>2</v>
      </c>
      <c r="F24" s="74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70"/>
      <c r="S24" s="70"/>
      <c r="T24" s="70"/>
      <c r="U24" s="71"/>
      <c r="V24" s="67"/>
      <c r="W24" s="67"/>
      <c r="X24" s="67"/>
      <c r="Y24" s="67"/>
      <c r="Z24" s="67"/>
      <c r="AA24" s="67"/>
      <c r="AB24" s="67"/>
      <c r="AC24" s="68"/>
      <c r="AD24" s="70"/>
      <c r="AE24" s="70"/>
      <c r="AF24" s="70"/>
      <c r="AG24" s="71"/>
      <c r="AH24" s="67"/>
      <c r="AI24" s="67"/>
      <c r="AJ24" s="67"/>
      <c r="AK24" s="67"/>
      <c r="AL24" s="67"/>
      <c r="AM24" s="67"/>
      <c r="AN24" s="67"/>
      <c r="AO24" s="68"/>
      <c r="AP24" s="70"/>
      <c r="AQ24" s="70"/>
      <c r="AR24" s="70"/>
      <c r="AS24" s="71"/>
      <c r="AT24" s="67"/>
      <c r="AU24" s="67"/>
      <c r="AV24" s="67"/>
      <c r="AW24" s="67"/>
      <c r="AX24" s="67"/>
      <c r="AY24" s="67"/>
      <c r="AZ24" s="67"/>
      <c r="BA24" s="68"/>
      <c r="BB24" s="70"/>
      <c r="BC24" s="70"/>
      <c r="BD24" s="70"/>
      <c r="BE24" s="71"/>
      <c r="BF24" s="67"/>
      <c r="BG24" s="67"/>
      <c r="BH24" s="67"/>
      <c r="BI24" s="67"/>
      <c r="BJ24" s="67"/>
      <c r="BK24" s="67"/>
      <c r="BL24" s="67"/>
      <c r="BM24" s="68"/>
      <c r="BN24" s="70"/>
      <c r="BO24" s="70"/>
      <c r="BP24" s="70"/>
      <c r="BQ24" s="71"/>
      <c r="BR24" s="67"/>
      <c r="BS24" s="67"/>
      <c r="BT24" s="67"/>
      <c r="BU24" s="67"/>
      <c r="BV24" s="67"/>
      <c r="BW24" s="67"/>
      <c r="BX24" s="67"/>
      <c r="BY24" s="68"/>
      <c r="BZ24" s="70">
        <v>1</v>
      </c>
      <c r="CA24" s="70"/>
      <c r="CB24" s="70"/>
      <c r="CC24" s="71"/>
      <c r="CD24" s="67">
        <v>1</v>
      </c>
      <c r="CE24" s="67"/>
      <c r="CF24" s="67"/>
      <c r="CG24" s="67"/>
      <c r="CH24" s="67"/>
      <c r="CI24" s="67"/>
      <c r="CJ24" s="67"/>
      <c r="CK24" s="68"/>
      <c r="CL24" s="70"/>
      <c r="CM24" s="70"/>
      <c r="CN24" s="70"/>
      <c r="CO24" s="71"/>
      <c r="CP24" s="67"/>
      <c r="CQ24" s="67"/>
      <c r="CR24" s="67"/>
      <c r="CS24" s="67"/>
      <c r="CT24" s="67"/>
      <c r="CU24" s="67"/>
      <c r="CV24" s="67"/>
      <c r="CW24" s="68"/>
      <c r="CX24" s="70"/>
      <c r="CY24" s="70"/>
      <c r="CZ24" s="70"/>
      <c r="DA24" s="71"/>
      <c r="DB24" s="67"/>
      <c r="DC24" s="67"/>
      <c r="DD24" s="67"/>
      <c r="DE24" s="67"/>
      <c r="DF24" s="67"/>
      <c r="DG24" s="67"/>
      <c r="DH24" s="67"/>
      <c r="DI24" s="68"/>
      <c r="DJ24" s="70"/>
      <c r="DK24" s="70"/>
      <c r="DL24" s="70"/>
      <c r="DM24" s="71"/>
      <c r="DN24" s="67"/>
      <c r="DO24" s="67"/>
      <c r="DP24" s="67"/>
      <c r="DQ24" s="67"/>
      <c r="DR24" s="67"/>
      <c r="DS24" s="67"/>
      <c r="DT24" s="67"/>
      <c r="DU24" s="68"/>
      <c r="DV24" s="70"/>
      <c r="DW24" s="70"/>
      <c r="DX24" s="70"/>
      <c r="DY24" s="71"/>
      <c r="DZ24" s="67"/>
      <c r="EA24" s="67"/>
      <c r="EB24" s="67"/>
      <c r="EC24" s="67"/>
      <c r="ED24" s="67"/>
      <c r="EE24" s="67"/>
      <c r="EF24" s="67"/>
      <c r="EG24" s="68"/>
      <c r="EH24" s="70"/>
      <c r="EI24" s="70"/>
      <c r="EJ24" s="70"/>
      <c r="EK24" s="71"/>
      <c r="EL24" s="67"/>
      <c r="EM24" s="67"/>
      <c r="EN24" s="67"/>
      <c r="EO24" s="67"/>
      <c r="EP24" s="67"/>
      <c r="EQ24" s="67"/>
      <c r="ER24" s="67"/>
      <c r="ES24" s="68"/>
    </row>
    <row r="25" spans="1:149" outlineLevel="1" x14ac:dyDescent="0.45">
      <c r="B25" s="73"/>
      <c r="C25" s="22">
        <v>1050000</v>
      </c>
      <c r="D25" s="23" t="s">
        <v>23</v>
      </c>
      <c r="E25" s="24">
        <f>SUM(F25:CW25)</f>
        <v>2100000</v>
      </c>
      <c r="F25" s="69">
        <f>IFERROR($C25*F24,"")</f>
        <v>0</v>
      </c>
      <c r="G25" s="62"/>
      <c r="H25" s="62"/>
      <c r="I25" s="62"/>
      <c r="J25" s="62">
        <f t="shared" ref="J25" si="57">IFERROR($C25*J24,"")</f>
        <v>0</v>
      </c>
      <c r="K25" s="62"/>
      <c r="L25" s="62"/>
      <c r="M25" s="62"/>
      <c r="N25" s="63">
        <f t="shared" ref="N25" si="58">IFERROR($C25*N24,"")</f>
        <v>0</v>
      </c>
      <c r="O25" s="64"/>
      <c r="P25" s="64"/>
      <c r="Q25" s="64"/>
      <c r="R25" s="64">
        <f t="shared" ref="R25" si="59">IFERROR($C25*R24,"")</f>
        <v>0</v>
      </c>
      <c r="S25" s="64"/>
      <c r="T25" s="64"/>
      <c r="U25" s="65"/>
      <c r="V25" s="62">
        <f t="shared" ref="V25" si="60">IFERROR($C25*V24,"")</f>
        <v>0</v>
      </c>
      <c r="W25" s="62"/>
      <c r="X25" s="62"/>
      <c r="Y25" s="62"/>
      <c r="Z25" s="62">
        <f t="shared" ref="Z25" si="61">IFERROR($C25*Z24,"")</f>
        <v>0</v>
      </c>
      <c r="AA25" s="62"/>
      <c r="AB25" s="62"/>
      <c r="AC25" s="63"/>
      <c r="AD25" s="64">
        <f t="shared" ref="AD25" si="62">IFERROR($C25*AD24,"")</f>
        <v>0</v>
      </c>
      <c r="AE25" s="64"/>
      <c r="AF25" s="64"/>
      <c r="AG25" s="65"/>
      <c r="AH25" s="62">
        <f t="shared" ref="AH25" si="63">IFERROR($C25*AH24,"")</f>
        <v>0</v>
      </c>
      <c r="AI25" s="62"/>
      <c r="AJ25" s="62"/>
      <c r="AK25" s="62"/>
      <c r="AL25" s="62">
        <f t="shared" ref="AL25" si="64">IFERROR($C25*AL24,"")</f>
        <v>0</v>
      </c>
      <c r="AM25" s="62"/>
      <c r="AN25" s="62"/>
      <c r="AO25" s="63"/>
      <c r="AP25" s="64">
        <f t="shared" ref="AP25" si="65">IFERROR($C25*AP24,"")</f>
        <v>0</v>
      </c>
      <c r="AQ25" s="64"/>
      <c r="AR25" s="64"/>
      <c r="AS25" s="65"/>
      <c r="AT25" s="62">
        <f t="shared" ref="AT25" si="66">IFERROR($C25*AT24,"")</f>
        <v>0</v>
      </c>
      <c r="AU25" s="62"/>
      <c r="AV25" s="62"/>
      <c r="AW25" s="62"/>
      <c r="AX25" s="62">
        <f t="shared" ref="AX25" si="67">IFERROR($C25*AX24,"")</f>
        <v>0</v>
      </c>
      <c r="AY25" s="62"/>
      <c r="AZ25" s="62"/>
      <c r="BA25" s="63"/>
      <c r="BB25" s="64">
        <f t="shared" ref="BB25" si="68">IFERROR($C25*BB24,"")</f>
        <v>0</v>
      </c>
      <c r="BC25" s="64"/>
      <c r="BD25" s="64"/>
      <c r="BE25" s="65"/>
      <c r="BF25" s="62">
        <f t="shared" ref="BF25" si="69">IFERROR($C25*BF24,"")</f>
        <v>0</v>
      </c>
      <c r="BG25" s="62"/>
      <c r="BH25" s="62"/>
      <c r="BI25" s="62"/>
      <c r="BJ25" s="62">
        <f t="shared" ref="BJ25" si="70">IFERROR($C25*BJ24,"")</f>
        <v>0</v>
      </c>
      <c r="BK25" s="62"/>
      <c r="BL25" s="62"/>
      <c r="BM25" s="63"/>
      <c r="BN25" s="64">
        <f t="shared" ref="BN25" si="71">IFERROR($C25*BN24,"")</f>
        <v>0</v>
      </c>
      <c r="BO25" s="64"/>
      <c r="BP25" s="64"/>
      <c r="BQ25" s="65"/>
      <c r="BR25" s="62">
        <f t="shared" ref="BR25" si="72">IFERROR($C25*BR24,"")</f>
        <v>0</v>
      </c>
      <c r="BS25" s="62"/>
      <c r="BT25" s="62"/>
      <c r="BU25" s="62"/>
      <c r="BV25" s="62">
        <f t="shared" ref="BV25" si="73">IFERROR($C25*BV24,"")</f>
        <v>0</v>
      </c>
      <c r="BW25" s="62"/>
      <c r="BX25" s="62"/>
      <c r="BY25" s="63"/>
      <c r="BZ25" s="64">
        <f t="shared" ref="BZ25" si="74">IFERROR($C25*BZ24,"")</f>
        <v>1050000</v>
      </c>
      <c r="CA25" s="64"/>
      <c r="CB25" s="64"/>
      <c r="CC25" s="65"/>
      <c r="CD25" s="62">
        <f t="shared" ref="CD25" si="75">IFERROR($C25*CD24,"")</f>
        <v>1050000</v>
      </c>
      <c r="CE25" s="62"/>
      <c r="CF25" s="62"/>
      <c r="CG25" s="62"/>
      <c r="CH25" s="62">
        <f t="shared" ref="CH25" si="76">IFERROR($C25*CH24,"")</f>
        <v>0</v>
      </c>
      <c r="CI25" s="62"/>
      <c r="CJ25" s="62"/>
      <c r="CK25" s="63"/>
      <c r="CL25" s="64">
        <f t="shared" ref="CL25" si="77">IFERROR($C25*CL24,"")</f>
        <v>0</v>
      </c>
      <c r="CM25" s="64"/>
      <c r="CN25" s="64"/>
      <c r="CO25" s="65"/>
      <c r="CP25" s="62">
        <f t="shared" ref="CP25" si="78">IFERROR($C25*CP24,"")</f>
        <v>0</v>
      </c>
      <c r="CQ25" s="62"/>
      <c r="CR25" s="62"/>
      <c r="CS25" s="62"/>
      <c r="CT25" s="62">
        <f t="shared" ref="CT25" si="79">IFERROR($C25*CT24,"")</f>
        <v>0</v>
      </c>
      <c r="CU25" s="62"/>
      <c r="CV25" s="62"/>
      <c r="CW25" s="63"/>
      <c r="CX25" s="64">
        <f t="shared" ref="CX25" si="80">IFERROR($C25*CX24,"")</f>
        <v>0</v>
      </c>
      <c r="CY25" s="64"/>
      <c r="CZ25" s="64"/>
      <c r="DA25" s="65"/>
      <c r="DB25" s="62">
        <f t="shared" ref="DB25" si="81">IFERROR($C25*DB24,"")</f>
        <v>0</v>
      </c>
      <c r="DC25" s="62"/>
      <c r="DD25" s="62"/>
      <c r="DE25" s="62"/>
      <c r="DF25" s="62">
        <f t="shared" ref="DF25" si="82">IFERROR($C25*DF24,"")</f>
        <v>0</v>
      </c>
      <c r="DG25" s="62"/>
      <c r="DH25" s="62"/>
      <c r="DI25" s="63"/>
      <c r="DJ25" s="64">
        <f t="shared" ref="DJ25" si="83">IFERROR($C25*DJ24,"")</f>
        <v>0</v>
      </c>
      <c r="DK25" s="64"/>
      <c r="DL25" s="64"/>
      <c r="DM25" s="65"/>
      <c r="DN25" s="62">
        <f t="shared" ref="DN25" si="84">IFERROR($C25*DN24,"")</f>
        <v>0</v>
      </c>
      <c r="DO25" s="62"/>
      <c r="DP25" s="62"/>
      <c r="DQ25" s="62"/>
      <c r="DR25" s="62">
        <f t="shared" ref="DR25" si="85">IFERROR($C25*DR24,"")</f>
        <v>0</v>
      </c>
      <c r="DS25" s="62"/>
      <c r="DT25" s="62"/>
      <c r="DU25" s="63"/>
      <c r="DV25" s="64">
        <f t="shared" ref="DV25" si="86">IFERROR($C25*DV24,"")</f>
        <v>0</v>
      </c>
      <c r="DW25" s="64"/>
      <c r="DX25" s="64"/>
      <c r="DY25" s="65"/>
      <c r="DZ25" s="62">
        <f t="shared" ref="DZ25" si="87">IFERROR($C25*DZ24,"")</f>
        <v>0</v>
      </c>
      <c r="EA25" s="62"/>
      <c r="EB25" s="62"/>
      <c r="EC25" s="62"/>
      <c r="ED25" s="62">
        <f t="shared" ref="ED25" si="88">IFERROR($C25*ED24,"")</f>
        <v>0</v>
      </c>
      <c r="EE25" s="62"/>
      <c r="EF25" s="62"/>
      <c r="EG25" s="63"/>
      <c r="EH25" s="64">
        <f t="shared" ref="EH25" si="89">IFERROR($C25*EH24,"")</f>
        <v>0</v>
      </c>
      <c r="EI25" s="64"/>
      <c r="EJ25" s="64"/>
      <c r="EK25" s="65"/>
      <c r="EL25" s="62">
        <f t="shared" ref="EL25" si="90">IFERROR($C25*EL24,"")</f>
        <v>0</v>
      </c>
      <c r="EM25" s="62"/>
      <c r="EN25" s="62"/>
      <c r="EO25" s="62"/>
      <c r="EP25" s="62">
        <f t="shared" ref="EP25" si="91">IFERROR($C25*EP24,"")</f>
        <v>0</v>
      </c>
      <c r="EQ25" s="62"/>
      <c r="ER25" s="62"/>
      <c r="ES25" s="63"/>
    </row>
    <row r="26" spans="1:149" outlineLevel="1" x14ac:dyDescent="0.45">
      <c r="B26" s="78"/>
      <c r="C26" s="25">
        <v>500000</v>
      </c>
      <c r="D26" s="26" t="s">
        <v>3</v>
      </c>
      <c r="E26" s="27">
        <f>SUM(F26:CW26)</f>
        <v>1000000</v>
      </c>
      <c r="F26" s="66">
        <f>IFERROR($C26*F24,"")</f>
        <v>0</v>
      </c>
      <c r="G26" s="60"/>
      <c r="H26" s="60"/>
      <c r="I26" s="60"/>
      <c r="J26" s="60">
        <f t="shared" ref="J26" si="92">IFERROR($C26*J24,"")</f>
        <v>0</v>
      </c>
      <c r="K26" s="60"/>
      <c r="L26" s="60"/>
      <c r="M26" s="60"/>
      <c r="N26" s="61">
        <f t="shared" ref="N26" si="93">IFERROR($C26*N24,"")</f>
        <v>0</v>
      </c>
      <c r="O26" s="58"/>
      <c r="P26" s="58"/>
      <c r="Q26" s="58"/>
      <c r="R26" s="58">
        <f t="shared" ref="R26" si="94">IFERROR($C26*R24,"")</f>
        <v>0</v>
      </c>
      <c r="S26" s="58"/>
      <c r="T26" s="58"/>
      <c r="U26" s="59"/>
      <c r="V26" s="60">
        <f t="shared" ref="V26" si="95">IFERROR($C26*V24,"")</f>
        <v>0</v>
      </c>
      <c r="W26" s="60"/>
      <c r="X26" s="60"/>
      <c r="Y26" s="60"/>
      <c r="Z26" s="60">
        <f t="shared" ref="Z26" si="96">IFERROR($C26*Z24,"")</f>
        <v>0</v>
      </c>
      <c r="AA26" s="60"/>
      <c r="AB26" s="60"/>
      <c r="AC26" s="61"/>
      <c r="AD26" s="58">
        <f t="shared" ref="AD26" si="97">IFERROR($C26*AD24,"")</f>
        <v>0</v>
      </c>
      <c r="AE26" s="58"/>
      <c r="AF26" s="58"/>
      <c r="AG26" s="59"/>
      <c r="AH26" s="60">
        <f t="shared" ref="AH26:BJ26" si="98">IFERROR($C26*AH24,"")</f>
        <v>0</v>
      </c>
      <c r="AI26" s="60"/>
      <c r="AJ26" s="60"/>
      <c r="AK26" s="60"/>
      <c r="AL26" s="60">
        <f t="shared" si="98"/>
        <v>0</v>
      </c>
      <c r="AM26" s="60"/>
      <c r="AN26" s="60"/>
      <c r="AO26" s="61"/>
      <c r="AP26" s="58">
        <f t="shared" si="98"/>
        <v>0</v>
      </c>
      <c r="AQ26" s="58"/>
      <c r="AR26" s="58"/>
      <c r="AS26" s="59"/>
      <c r="AT26" s="60">
        <f t="shared" si="98"/>
        <v>0</v>
      </c>
      <c r="AU26" s="60"/>
      <c r="AV26" s="60"/>
      <c r="AW26" s="60"/>
      <c r="AX26" s="60">
        <f t="shared" si="98"/>
        <v>0</v>
      </c>
      <c r="AY26" s="60"/>
      <c r="AZ26" s="60"/>
      <c r="BA26" s="61"/>
      <c r="BB26" s="58">
        <f t="shared" si="98"/>
        <v>0</v>
      </c>
      <c r="BC26" s="58"/>
      <c r="BD26" s="58"/>
      <c r="BE26" s="59"/>
      <c r="BF26" s="60">
        <f t="shared" si="98"/>
        <v>0</v>
      </c>
      <c r="BG26" s="60"/>
      <c r="BH26" s="60"/>
      <c r="BI26" s="60"/>
      <c r="BJ26" s="60">
        <f t="shared" si="98"/>
        <v>0</v>
      </c>
      <c r="BK26" s="60"/>
      <c r="BL26" s="60"/>
      <c r="BM26" s="61"/>
      <c r="BN26" s="58">
        <f t="shared" ref="BN26:CP26" si="99">IFERROR($C26*BN24,"")</f>
        <v>0</v>
      </c>
      <c r="BO26" s="58"/>
      <c r="BP26" s="58"/>
      <c r="BQ26" s="59"/>
      <c r="BR26" s="60">
        <f t="shared" si="99"/>
        <v>0</v>
      </c>
      <c r="BS26" s="60"/>
      <c r="BT26" s="60"/>
      <c r="BU26" s="60"/>
      <c r="BV26" s="60">
        <f t="shared" si="99"/>
        <v>0</v>
      </c>
      <c r="BW26" s="60"/>
      <c r="BX26" s="60"/>
      <c r="BY26" s="61"/>
      <c r="BZ26" s="58">
        <f t="shared" si="99"/>
        <v>500000</v>
      </c>
      <c r="CA26" s="58"/>
      <c r="CB26" s="58"/>
      <c r="CC26" s="59"/>
      <c r="CD26" s="60">
        <f t="shared" si="99"/>
        <v>500000</v>
      </c>
      <c r="CE26" s="60"/>
      <c r="CF26" s="60"/>
      <c r="CG26" s="60"/>
      <c r="CH26" s="60">
        <f t="shared" si="99"/>
        <v>0</v>
      </c>
      <c r="CI26" s="60"/>
      <c r="CJ26" s="60"/>
      <c r="CK26" s="61"/>
      <c r="CL26" s="58">
        <f t="shared" si="99"/>
        <v>0</v>
      </c>
      <c r="CM26" s="58"/>
      <c r="CN26" s="58"/>
      <c r="CO26" s="59"/>
      <c r="CP26" s="60">
        <f t="shared" si="99"/>
        <v>0</v>
      </c>
      <c r="CQ26" s="60"/>
      <c r="CR26" s="60"/>
      <c r="CS26" s="60"/>
      <c r="CT26" s="60">
        <f t="shared" ref="CT26:DV26" si="100">IFERROR($C26*CT24,"")</f>
        <v>0</v>
      </c>
      <c r="CU26" s="60"/>
      <c r="CV26" s="60"/>
      <c r="CW26" s="61"/>
      <c r="CX26" s="58">
        <f t="shared" si="100"/>
        <v>0</v>
      </c>
      <c r="CY26" s="58"/>
      <c r="CZ26" s="58"/>
      <c r="DA26" s="59"/>
      <c r="DB26" s="60">
        <f t="shared" si="100"/>
        <v>0</v>
      </c>
      <c r="DC26" s="60"/>
      <c r="DD26" s="60"/>
      <c r="DE26" s="60"/>
      <c r="DF26" s="60">
        <f t="shared" si="100"/>
        <v>0</v>
      </c>
      <c r="DG26" s="60"/>
      <c r="DH26" s="60"/>
      <c r="DI26" s="61"/>
      <c r="DJ26" s="58">
        <f t="shared" si="100"/>
        <v>0</v>
      </c>
      <c r="DK26" s="58"/>
      <c r="DL26" s="58"/>
      <c r="DM26" s="59"/>
      <c r="DN26" s="60">
        <f t="shared" si="100"/>
        <v>0</v>
      </c>
      <c r="DO26" s="60"/>
      <c r="DP26" s="60"/>
      <c r="DQ26" s="60"/>
      <c r="DR26" s="60">
        <f t="shared" si="100"/>
        <v>0</v>
      </c>
      <c r="DS26" s="60"/>
      <c r="DT26" s="60"/>
      <c r="DU26" s="61"/>
      <c r="DV26" s="58">
        <f t="shared" si="100"/>
        <v>0</v>
      </c>
      <c r="DW26" s="58"/>
      <c r="DX26" s="58"/>
      <c r="DY26" s="59"/>
      <c r="DZ26" s="60">
        <f t="shared" ref="DZ26:EP26" si="101">IFERROR($C26*DZ24,"")</f>
        <v>0</v>
      </c>
      <c r="EA26" s="60"/>
      <c r="EB26" s="60"/>
      <c r="EC26" s="60"/>
      <c r="ED26" s="60">
        <f t="shared" si="101"/>
        <v>0</v>
      </c>
      <c r="EE26" s="60"/>
      <c r="EF26" s="60"/>
      <c r="EG26" s="61"/>
      <c r="EH26" s="58">
        <f t="shared" si="101"/>
        <v>0</v>
      </c>
      <c r="EI26" s="58"/>
      <c r="EJ26" s="58"/>
      <c r="EK26" s="59"/>
      <c r="EL26" s="60">
        <f t="shared" si="101"/>
        <v>0</v>
      </c>
      <c r="EM26" s="60"/>
      <c r="EN26" s="60"/>
      <c r="EO26" s="60"/>
      <c r="EP26" s="60">
        <f t="shared" si="101"/>
        <v>0</v>
      </c>
      <c r="EQ26" s="60"/>
      <c r="ER26" s="60"/>
      <c r="ES26" s="61"/>
    </row>
    <row r="27" spans="1:149" outlineLevel="1" x14ac:dyDescent="0.45">
      <c r="B27" s="72" t="s">
        <v>59</v>
      </c>
      <c r="C27" s="19"/>
      <c r="D27" s="20" t="s">
        <v>13</v>
      </c>
      <c r="E27" s="21">
        <f>SUM(F27:ES27)</f>
        <v>2</v>
      </c>
      <c r="F27" s="74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70"/>
      <c r="S27" s="70"/>
      <c r="T27" s="70"/>
      <c r="U27" s="71"/>
      <c r="V27" s="67"/>
      <c r="W27" s="67"/>
      <c r="X27" s="67"/>
      <c r="Y27" s="67"/>
      <c r="Z27" s="67"/>
      <c r="AA27" s="67"/>
      <c r="AB27" s="67"/>
      <c r="AC27" s="68"/>
      <c r="AD27" s="70"/>
      <c r="AE27" s="70"/>
      <c r="AF27" s="70"/>
      <c r="AG27" s="71"/>
      <c r="AH27" s="67"/>
      <c r="AI27" s="67"/>
      <c r="AJ27" s="67"/>
      <c r="AK27" s="67"/>
      <c r="AL27" s="67"/>
      <c r="AM27" s="67"/>
      <c r="AN27" s="67"/>
      <c r="AO27" s="68"/>
      <c r="AP27" s="70"/>
      <c r="AQ27" s="70"/>
      <c r="AR27" s="70"/>
      <c r="AS27" s="71"/>
      <c r="AT27" s="67"/>
      <c r="AU27" s="67"/>
      <c r="AV27" s="67"/>
      <c r="AW27" s="67"/>
      <c r="AX27" s="67"/>
      <c r="AY27" s="67"/>
      <c r="AZ27" s="67"/>
      <c r="BA27" s="68"/>
      <c r="BB27" s="70"/>
      <c r="BC27" s="70"/>
      <c r="BD27" s="70"/>
      <c r="BE27" s="71"/>
      <c r="BF27" s="67"/>
      <c r="BG27" s="67"/>
      <c r="BH27" s="67"/>
      <c r="BI27" s="67"/>
      <c r="BJ27" s="67"/>
      <c r="BK27" s="67"/>
      <c r="BL27" s="67"/>
      <c r="BM27" s="68"/>
      <c r="BN27" s="70"/>
      <c r="BO27" s="70"/>
      <c r="BP27" s="70"/>
      <c r="BQ27" s="71"/>
      <c r="BR27" s="67"/>
      <c r="BS27" s="67"/>
      <c r="BT27" s="67"/>
      <c r="BU27" s="67"/>
      <c r="BV27" s="67"/>
      <c r="BW27" s="67"/>
      <c r="BX27" s="67"/>
      <c r="BY27" s="68"/>
      <c r="BZ27" s="70">
        <v>1</v>
      </c>
      <c r="CA27" s="70"/>
      <c r="CB27" s="70"/>
      <c r="CC27" s="71"/>
      <c r="CD27" s="67">
        <v>1</v>
      </c>
      <c r="CE27" s="67"/>
      <c r="CF27" s="67"/>
      <c r="CG27" s="67"/>
      <c r="CH27" s="67"/>
      <c r="CI27" s="67"/>
      <c r="CJ27" s="67"/>
      <c r="CK27" s="68"/>
      <c r="CL27" s="70"/>
      <c r="CM27" s="70"/>
      <c r="CN27" s="70"/>
      <c r="CO27" s="71"/>
      <c r="CP27" s="67"/>
      <c r="CQ27" s="67"/>
      <c r="CR27" s="67"/>
      <c r="CS27" s="67"/>
      <c r="CT27" s="67"/>
      <c r="CU27" s="67"/>
      <c r="CV27" s="67"/>
      <c r="CW27" s="68"/>
      <c r="CX27" s="70"/>
      <c r="CY27" s="70"/>
      <c r="CZ27" s="70"/>
      <c r="DA27" s="71"/>
      <c r="DB27" s="67"/>
      <c r="DC27" s="67"/>
      <c r="DD27" s="67"/>
      <c r="DE27" s="67"/>
      <c r="DF27" s="67"/>
      <c r="DG27" s="67"/>
      <c r="DH27" s="67"/>
      <c r="DI27" s="68"/>
      <c r="DJ27" s="70"/>
      <c r="DK27" s="70"/>
      <c r="DL27" s="70"/>
      <c r="DM27" s="71"/>
      <c r="DN27" s="67"/>
      <c r="DO27" s="67"/>
      <c r="DP27" s="67"/>
      <c r="DQ27" s="67"/>
      <c r="DR27" s="67"/>
      <c r="DS27" s="67"/>
      <c r="DT27" s="67"/>
      <c r="DU27" s="68"/>
      <c r="DV27" s="70"/>
      <c r="DW27" s="70"/>
      <c r="DX27" s="70"/>
      <c r="DY27" s="71"/>
      <c r="DZ27" s="67"/>
      <c r="EA27" s="67"/>
      <c r="EB27" s="67"/>
      <c r="EC27" s="67"/>
      <c r="ED27" s="67"/>
      <c r="EE27" s="67"/>
      <c r="EF27" s="67"/>
      <c r="EG27" s="68"/>
      <c r="EH27" s="70"/>
      <c r="EI27" s="70"/>
      <c r="EJ27" s="70"/>
      <c r="EK27" s="71"/>
      <c r="EL27" s="67"/>
      <c r="EM27" s="67"/>
      <c r="EN27" s="67"/>
      <c r="EO27" s="67"/>
      <c r="EP27" s="67"/>
      <c r="EQ27" s="67"/>
      <c r="ER27" s="67"/>
      <c r="ES27" s="68"/>
    </row>
    <row r="28" spans="1:149" outlineLevel="1" x14ac:dyDescent="0.45">
      <c r="B28" s="73"/>
      <c r="C28" s="22">
        <v>1050000</v>
      </c>
      <c r="D28" s="23" t="s">
        <v>23</v>
      </c>
      <c r="E28" s="24">
        <f>SUM(F28:CW28)</f>
        <v>2100000</v>
      </c>
      <c r="F28" s="69">
        <f>IFERROR($C28*F27,"")</f>
        <v>0</v>
      </c>
      <c r="G28" s="62"/>
      <c r="H28" s="62"/>
      <c r="I28" s="62"/>
      <c r="J28" s="62">
        <f t="shared" ref="J28" si="102">IFERROR($C28*J27,"")</f>
        <v>0</v>
      </c>
      <c r="K28" s="62"/>
      <c r="L28" s="62"/>
      <c r="M28" s="62"/>
      <c r="N28" s="63">
        <f t="shared" ref="N28" si="103">IFERROR($C28*N27,"")</f>
        <v>0</v>
      </c>
      <c r="O28" s="64"/>
      <c r="P28" s="64"/>
      <c r="Q28" s="64"/>
      <c r="R28" s="64">
        <f t="shared" ref="R28" si="104">IFERROR($C28*R27,"")</f>
        <v>0</v>
      </c>
      <c r="S28" s="64"/>
      <c r="T28" s="64"/>
      <c r="U28" s="65"/>
      <c r="V28" s="62">
        <f t="shared" ref="V28" si="105">IFERROR($C28*V27,"")</f>
        <v>0</v>
      </c>
      <c r="W28" s="62"/>
      <c r="X28" s="62"/>
      <c r="Y28" s="62"/>
      <c r="Z28" s="62">
        <f t="shared" ref="Z28" si="106">IFERROR($C28*Z27,"")</f>
        <v>0</v>
      </c>
      <c r="AA28" s="62"/>
      <c r="AB28" s="62"/>
      <c r="AC28" s="63"/>
      <c r="AD28" s="64">
        <f t="shared" ref="AD28" si="107">IFERROR($C28*AD27,"")</f>
        <v>0</v>
      </c>
      <c r="AE28" s="64"/>
      <c r="AF28" s="64"/>
      <c r="AG28" s="65"/>
      <c r="AH28" s="62">
        <f t="shared" ref="AH28" si="108">IFERROR($C28*AH27,"")</f>
        <v>0</v>
      </c>
      <c r="AI28" s="62"/>
      <c r="AJ28" s="62"/>
      <c r="AK28" s="62"/>
      <c r="AL28" s="62">
        <f t="shared" ref="AL28" si="109">IFERROR($C28*AL27,"")</f>
        <v>0</v>
      </c>
      <c r="AM28" s="62"/>
      <c r="AN28" s="62"/>
      <c r="AO28" s="63"/>
      <c r="AP28" s="64">
        <f t="shared" ref="AP28" si="110">IFERROR($C28*AP27,"")</f>
        <v>0</v>
      </c>
      <c r="AQ28" s="64"/>
      <c r="AR28" s="64"/>
      <c r="AS28" s="65"/>
      <c r="AT28" s="62">
        <f t="shared" ref="AT28" si="111">IFERROR($C28*AT27,"")</f>
        <v>0</v>
      </c>
      <c r="AU28" s="62"/>
      <c r="AV28" s="62"/>
      <c r="AW28" s="62"/>
      <c r="AX28" s="62">
        <f t="shared" ref="AX28" si="112">IFERROR($C28*AX27,"")</f>
        <v>0</v>
      </c>
      <c r="AY28" s="62"/>
      <c r="AZ28" s="62"/>
      <c r="BA28" s="63"/>
      <c r="BB28" s="64">
        <f t="shared" ref="BB28" si="113">IFERROR($C28*BB27,"")</f>
        <v>0</v>
      </c>
      <c r="BC28" s="64"/>
      <c r="BD28" s="64"/>
      <c r="BE28" s="65"/>
      <c r="BF28" s="62">
        <f t="shared" ref="BF28" si="114">IFERROR($C28*BF27,"")</f>
        <v>0</v>
      </c>
      <c r="BG28" s="62"/>
      <c r="BH28" s="62"/>
      <c r="BI28" s="62"/>
      <c r="BJ28" s="62">
        <f t="shared" ref="BJ28" si="115">IFERROR($C28*BJ27,"")</f>
        <v>0</v>
      </c>
      <c r="BK28" s="62"/>
      <c r="BL28" s="62"/>
      <c r="BM28" s="63"/>
      <c r="BN28" s="64">
        <f t="shared" ref="BN28" si="116">IFERROR($C28*BN27,"")</f>
        <v>0</v>
      </c>
      <c r="BO28" s="64"/>
      <c r="BP28" s="64"/>
      <c r="BQ28" s="65"/>
      <c r="BR28" s="62">
        <f t="shared" ref="BR28" si="117">IFERROR($C28*BR27,"")</f>
        <v>0</v>
      </c>
      <c r="BS28" s="62"/>
      <c r="BT28" s="62"/>
      <c r="BU28" s="62"/>
      <c r="BV28" s="62">
        <f t="shared" ref="BV28" si="118">IFERROR($C28*BV27,"")</f>
        <v>0</v>
      </c>
      <c r="BW28" s="62"/>
      <c r="BX28" s="62"/>
      <c r="BY28" s="63"/>
      <c r="BZ28" s="64">
        <f t="shared" ref="BZ28" si="119">IFERROR($C28*BZ27,"")</f>
        <v>1050000</v>
      </c>
      <c r="CA28" s="64"/>
      <c r="CB28" s="64"/>
      <c r="CC28" s="65"/>
      <c r="CD28" s="62">
        <f t="shared" ref="CD28" si="120">IFERROR($C28*CD27,"")</f>
        <v>1050000</v>
      </c>
      <c r="CE28" s="62"/>
      <c r="CF28" s="62"/>
      <c r="CG28" s="62"/>
      <c r="CH28" s="62">
        <f t="shared" ref="CH28" si="121">IFERROR($C28*CH27,"")</f>
        <v>0</v>
      </c>
      <c r="CI28" s="62"/>
      <c r="CJ28" s="62"/>
      <c r="CK28" s="63"/>
      <c r="CL28" s="64">
        <f t="shared" ref="CL28" si="122">IFERROR($C28*CL27,"")</f>
        <v>0</v>
      </c>
      <c r="CM28" s="64"/>
      <c r="CN28" s="64"/>
      <c r="CO28" s="65"/>
      <c r="CP28" s="62">
        <f t="shared" ref="CP28" si="123">IFERROR($C28*CP27,"")</f>
        <v>0</v>
      </c>
      <c r="CQ28" s="62"/>
      <c r="CR28" s="62"/>
      <c r="CS28" s="62"/>
      <c r="CT28" s="62">
        <f t="shared" ref="CT28" si="124">IFERROR($C28*CT27,"")</f>
        <v>0</v>
      </c>
      <c r="CU28" s="62"/>
      <c r="CV28" s="62"/>
      <c r="CW28" s="63"/>
      <c r="CX28" s="64">
        <f t="shared" ref="CX28" si="125">IFERROR($C28*CX27,"")</f>
        <v>0</v>
      </c>
      <c r="CY28" s="64"/>
      <c r="CZ28" s="64"/>
      <c r="DA28" s="65"/>
      <c r="DB28" s="62">
        <f t="shared" ref="DB28" si="126">IFERROR($C28*DB27,"")</f>
        <v>0</v>
      </c>
      <c r="DC28" s="62"/>
      <c r="DD28" s="62"/>
      <c r="DE28" s="62"/>
      <c r="DF28" s="62">
        <f t="shared" ref="DF28" si="127">IFERROR($C28*DF27,"")</f>
        <v>0</v>
      </c>
      <c r="DG28" s="62"/>
      <c r="DH28" s="62"/>
      <c r="DI28" s="63"/>
      <c r="DJ28" s="64">
        <f t="shared" ref="DJ28" si="128">IFERROR($C28*DJ27,"")</f>
        <v>0</v>
      </c>
      <c r="DK28" s="64"/>
      <c r="DL28" s="64"/>
      <c r="DM28" s="65"/>
      <c r="DN28" s="62">
        <f t="shared" ref="DN28" si="129">IFERROR($C28*DN27,"")</f>
        <v>0</v>
      </c>
      <c r="DO28" s="62"/>
      <c r="DP28" s="62"/>
      <c r="DQ28" s="62"/>
      <c r="DR28" s="62">
        <f t="shared" ref="DR28" si="130">IFERROR($C28*DR27,"")</f>
        <v>0</v>
      </c>
      <c r="DS28" s="62"/>
      <c r="DT28" s="62"/>
      <c r="DU28" s="63"/>
      <c r="DV28" s="64">
        <f t="shared" ref="DV28" si="131">IFERROR($C28*DV27,"")</f>
        <v>0</v>
      </c>
      <c r="DW28" s="64"/>
      <c r="DX28" s="64"/>
      <c r="DY28" s="65"/>
      <c r="DZ28" s="62">
        <f t="shared" ref="DZ28" si="132">IFERROR($C28*DZ27,"")</f>
        <v>0</v>
      </c>
      <c r="EA28" s="62"/>
      <c r="EB28" s="62"/>
      <c r="EC28" s="62"/>
      <c r="ED28" s="62">
        <f t="shared" ref="ED28" si="133">IFERROR($C28*ED27,"")</f>
        <v>0</v>
      </c>
      <c r="EE28" s="62"/>
      <c r="EF28" s="62"/>
      <c r="EG28" s="63"/>
      <c r="EH28" s="64">
        <f t="shared" ref="EH28" si="134">IFERROR($C28*EH27,"")</f>
        <v>0</v>
      </c>
      <c r="EI28" s="64"/>
      <c r="EJ28" s="64"/>
      <c r="EK28" s="65"/>
      <c r="EL28" s="62">
        <f t="shared" ref="EL28" si="135">IFERROR($C28*EL27,"")</f>
        <v>0</v>
      </c>
      <c r="EM28" s="62"/>
      <c r="EN28" s="62"/>
      <c r="EO28" s="62"/>
      <c r="EP28" s="62">
        <f t="shared" ref="EP28" si="136">IFERROR($C28*EP27,"")</f>
        <v>0</v>
      </c>
      <c r="EQ28" s="62"/>
      <c r="ER28" s="62"/>
      <c r="ES28" s="63"/>
    </row>
    <row r="29" spans="1:149" outlineLevel="1" x14ac:dyDescent="0.45">
      <c r="B29" s="78"/>
      <c r="C29" s="25">
        <v>500000</v>
      </c>
      <c r="D29" s="26" t="s">
        <v>3</v>
      </c>
      <c r="E29" s="27">
        <f>SUM(F29:CW29)</f>
        <v>1000000</v>
      </c>
      <c r="F29" s="66">
        <f>IFERROR($C29*F27,"")</f>
        <v>0</v>
      </c>
      <c r="G29" s="60"/>
      <c r="H29" s="60"/>
      <c r="I29" s="60"/>
      <c r="J29" s="60">
        <f t="shared" ref="J29" si="137">IFERROR($C29*J27,"")</f>
        <v>0</v>
      </c>
      <c r="K29" s="60"/>
      <c r="L29" s="60"/>
      <c r="M29" s="60"/>
      <c r="N29" s="61">
        <f t="shared" ref="N29" si="138">IFERROR($C29*N27,"")</f>
        <v>0</v>
      </c>
      <c r="O29" s="58"/>
      <c r="P29" s="58"/>
      <c r="Q29" s="58"/>
      <c r="R29" s="58">
        <f t="shared" ref="R29" si="139">IFERROR($C29*R27,"")</f>
        <v>0</v>
      </c>
      <c r="S29" s="58"/>
      <c r="T29" s="58"/>
      <c r="U29" s="59"/>
      <c r="V29" s="60">
        <f t="shared" ref="V29" si="140">IFERROR($C29*V27,"")</f>
        <v>0</v>
      </c>
      <c r="W29" s="60"/>
      <c r="X29" s="60"/>
      <c r="Y29" s="60"/>
      <c r="Z29" s="60">
        <f t="shared" ref="Z29" si="141">IFERROR($C29*Z27,"")</f>
        <v>0</v>
      </c>
      <c r="AA29" s="60"/>
      <c r="AB29" s="60"/>
      <c r="AC29" s="61"/>
      <c r="AD29" s="58">
        <f t="shared" ref="AD29" si="142">IFERROR($C29*AD27,"")</f>
        <v>0</v>
      </c>
      <c r="AE29" s="58"/>
      <c r="AF29" s="58"/>
      <c r="AG29" s="59"/>
      <c r="AH29" s="60">
        <f t="shared" ref="AH29:BJ29" si="143">IFERROR($C29*AH27,"")</f>
        <v>0</v>
      </c>
      <c r="AI29" s="60"/>
      <c r="AJ29" s="60"/>
      <c r="AK29" s="60"/>
      <c r="AL29" s="60">
        <f t="shared" si="143"/>
        <v>0</v>
      </c>
      <c r="AM29" s="60"/>
      <c r="AN29" s="60"/>
      <c r="AO29" s="61"/>
      <c r="AP29" s="58">
        <f t="shared" si="143"/>
        <v>0</v>
      </c>
      <c r="AQ29" s="58"/>
      <c r="AR29" s="58"/>
      <c r="AS29" s="59"/>
      <c r="AT29" s="60">
        <f t="shared" si="143"/>
        <v>0</v>
      </c>
      <c r="AU29" s="60"/>
      <c r="AV29" s="60"/>
      <c r="AW29" s="60"/>
      <c r="AX29" s="60">
        <f t="shared" si="143"/>
        <v>0</v>
      </c>
      <c r="AY29" s="60"/>
      <c r="AZ29" s="60"/>
      <c r="BA29" s="61"/>
      <c r="BB29" s="58">
        <f t="shared" si="143"/>
        <v>0</v>
      </c>
      <c r="BC29" s="58"/>
      <c r="BD29" s="58"/>
      <c r="BE29" s="59"/>
      <c r="BF29" s="60">
        <f t="shared" si="143"/>
        <v>0</v>
      </c>
      <c r="BG29" s="60"/>
      <c r="BH29" s="60"/>
      <c r="BI29" s="60"/>
      <c r="BJ29" s="60">
        <f t="shared" si="143"/>
        <v>0</v>
      </c>
      <c r="BK29" s="60"/>
      <c r="BL29" s="60"/>
      <c r="BM29" s="61"/>
      <c r="BN29" s="58">
        <f t="shared" ref="BN29:CP29" si="144">IFERROR($C29*BN27,"")</f>
        <v>0</v>
      </c>
      <c r="BO29" s="58"/>
      <c r="BP29" s="58"/>
      <c r="BQ29" s="59"/>
      <c r="BR29" s="60">
        <f t="shared" si="144"/>
        <v>0</v>
      </c>
      <c r="BS29" s="60"/>
      <c r="BT29" s="60"/>
      <c r="BU29" s="60"/>
      <c r="BV29" s="60">
        <f t="shared" si="144"/>
        <v>0</v>
      </c>
      <c r="BW29" s="60"/>
      <c r="BX29" s="60"/>
      <c r="BY29" s="61"/>
      <c r="BZ29" s="58">
        <f t="shared" si="144"/>
        <v>500000</v>
      </c>
      <c r="CA29" s="58"/>
      <c r="CB29" s="58"/>
      <c r="CC29" s="59"/>
      <c r="CD29" s="60">
        <f t="shared" si="144"/>
        <v>500000</v>
      </c>
      <c r="CE29" s="60"/>
      <c r="CF29" s="60"/>
      <c r="CG29" s="60"/>
      <c r="CH29" s="60">
        <f t="shared" si="144"/>
        <v>0</v>
      </c>
      <c r="CI29" s="60"/>
      <c r="CJ29" s="60"/>
      <c r="CK29" s="61"/>
      <c r="CL29" s="58">
        <f t="shared" si="144"/>
        <v>0</v>
      </c>
      <c r="CM29" s="58"/>
      <c r="CN29" s="58"/>
      <c r="CO29" s="59"/>
      <c r="CP29" s="60">
        <f t="shared" si="144"/>
        <v>0</v>
      </c>
      <c r="CQ29" s="60"/>
      <c r="CR29" s="60"/>
      <c r="CS29" s="60"/>
      <c r="CT29" s="60">
        <f t="shared" ref="CT29:DV29" si="145">IFERROR($C29*CT27,"")</f>
        <v>0</v>
      </c>
      <c r="CU29" s="60"/>
      <c r="CV29" s="60"/>
      <c r="CW29" s="61"/>
      <c r="CX29" s="58">
        <f t="shared" si="145"/>
        <v>0</v>
      </c>
      <c r="CY29" s="58"/>
      <c r="CZ29" s="58"/>
      <c r="DA29" s="59"/>
      <c r="DB29" s="60">
        <f t="shared" si="145"/>
        <v>0</v>
      </c>
      <c r="DC29" s="60"/>
      <c r="DD29" s="60"/>
      <c r="DE29" s="60"/>
      <c r="DF29" s="60">
        <f t="shared" si="145"/>
        <v>0</v>
      </c>
      <c r="DG29" s="60"/>
      <c r="DH29" s="60"/>
      <c r="DI29" s="61"/>
      <c r="DJ29" s="58">
        <f t="shared" si="145"/>
        <v>0</v>
      </c>
      <c r="DK29" s="58"/>
      <c r="DL29" s="58"/>
      <c r="DM29" s="59"/>
      <c r="DN29" s="60">
        <f t="shared" si="145"/>
        <v>0</v>
      </c>
      <c r="DO29" s="60"/>
      <c r="DP29" s="60"/>
      <c r="DQ29" s="60"/>
      <c r="DR29" s="60">
        <f t="shared" si="145"/>
        <v>0</v>
      </c>
      <c r="DS29" s="60"/>
      <c r="DT29" s="60"/>
      <c r="DU29" s="61"/>
      <c r="DV29" s="58">
        <f t="shared" si="145"/>
        <v>0</v>
      </c>
      <c r="DW29" s="58"/>
      <c r="DX29" s="58"/>
      <c r="DY29" s="59"/>
      <c r="DZ29" s="60">
        <f t="shared" ref="DZ29:EP29" si="146">IFERROR($C29*DZ27,"")</f>
        <v>0</v>
      </c>
      <c r="EA29" s="60"/>
      <c r="EB29" s="60"/>
      <c r="EC29" s="60"/>
      <c r="ED29" s="60">
        <f t="shared" si="146"/>
        <v>0</v>
      </c>
      <c r="EE29" s="60"/>
      <c r="EF29" s="60"/>
      <c r="EG29" s="61"/>
      <c r="EH29" s="58">
        <f t="shared" si="146"/>
        <v>0</v>
      </c>
      <c r="EI29" s="58"/>
      <c r="EJ29" s="58"/>
      <c r="EK29" s="59"/>
      <c r="EL29" s="60">
        <f t="shared" si="146"/>
        <v>0</v>
      </c>
      <c r="EM29" s="60"/>
      <c r="EN29" s="60"/>
      <c r="EO29" s="60"/>
      <c r="EP29" s="60">
        <f t="shared" si="146"/>
        <v>0</v>
      </c>
      <c r="EQ29" s="60"/>
      <c r="ER29" s="60"/>
      <c r="ES29" s="61"/>
    </row>
    <row r="30" spans="1:149" outlineLevel="1" x14ac:dyDescent="0.45">
      <c r="B30" s="72" t="s">
        <v>36</v>
      </c>
      <c r="C30" s="19"/>
      <c r="D30" s="20" t="s">
        <v>13</v>
      </c>
      <c r="E30" s="21">
        <f>SUM(F30:ES30)</f>
        <v>0</v>
      </c>
      <c r="F30" s="74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70"/>
      <c r="S30" s="70"/>
      <c r="T30" s="70"/>
      <c r="U30" s="71"/>
      <c r="V30" s="67"/>
      <c r="W30" s="67"/>
      <c r="X30" s="67"/>
      <c r="Y30" s="67"/>
      <c r="Z30" s="67"/>
      <c r="AA30" s="67"/>
      <c r="AB30" s="67"/>
      <c r="AC30" s="68"/>
      <c r="AD30" s="70"/>
      <c r="AE30" s="70"/>
      <c r="AF30" s="70"/>
      <c r="AG30" s="71"/>
      <c r="AH30" s="67"/>
      <c r="AI30" s="67"/>
      <c r="AJ30" s="67"/>
      <c r="AK30" s="67"/>
      <c r="AL30" s="67"/>
      <c r="AM30" s="67"/>
      <c r="AN30" s="67"/>
      <c r="AO30" s="68"/>
      <c r="AP30" s="70"/>
      <c r="AQ30" s="70"/>
      <c r="AR30" s="70"/>
      <c r="AS30" s="71"/>
      <c r="AT30" s="67"/>
      <c r="AU30" s="67"/>
      <c r="AV30" s="67"/>
      <c r="AW30" s="67"/>
      <c r="AX30" s="67"/>
      <c r="AY30" s="67"/>
      <c r="AZ30" s="67"/>
      <c r="BA30" s="68"/>
      <c r="BB30" s="70"/>
      <c r="BC30" s="70"/>
      <c r="BD30" s="70"/>
      <c r="BE30" s="71"/>
      <c r="BF30" s="67"/>
      <c r="BG30" s="67"/>
      <c r="BH30" s="67"/>
      <c r="BI30" s="67"/>
      <c r="BJ30" s="67"/>
      <c r="BK30" s="67"/>
      <c r="BL30" s="67"/>
      <c r="BM30" s="68"/>
      <c r="BN30" s="70"/>
      <c r="BO30" s="70"/>
      <c r="BP30" s="70"/>
      <c r="BQ30" s="71"/>
      <c r="BR30" s="67"/>
      <c r="BS30" s="67"/>
      <c r="BT30" s="67"/>
      <c r="BU30" s="67"/>
      <c r="BV30" s="67"/>
      <c r="BW30" s="67"/>
      <c r="BX30" s="67"/>
      <c r="BY30" s="68"/>
      <c r="BZ30" s="70"/>
      <c r="CA30" s="70"/>
      <c r="CB30" s="70"/>
      <c r="CC30" s="71"/>
      <c r="CD30" s="67"/>
      <c r="CE30" s="67"/>
      <c r="CF30" s="67"/>
      <c r="CG30" s="67"/>
      <c r="CH30" s="67"/>
      <c r="CI30" s="67"/>
      <c r="CJ30" s="67"/>
      <c r="CK30" s="68"/>
      <c r="CL30" s="70"/>
      <c r="CM30" s="70"/>
      <c r="CN30" s="70"/>
      <c r="CO30" s="71"/>
      <c r="CP30" s="67"/>
      <c r="CQ30" s="67"/>
      <c r="CR30" s="67"/>
      <c r="CS30" s="67"/>
      <c r="CT30" s="67"/>
      <c r="CU30" s="67"/>
      <c r="CV30" s="67"/>
      <c r="CW30" s="68"/>
      <c r="CX30" s="70"/>
      <c r="CY30" s="70"/>
      <c r="CZ30" s="70"/>
      <c r="DA30" s="71"/>
      <c r="DB30" s="67"/>
      <c r="DC30" s="67"/>
      <c r="DD30" s="67"/>
      <c r="DE30" s="67"/>
      <c r="DF30" s="67"/>
      <c r="DG30" s="67"/>
      <c r="DH30" s="67"/>
      <c r="DI30" s="68"/>
      <c r="DJ30" s="70"/>
      <c r="DK30" s="70"/>
      <c r="DL30" s="70"/>
      <c r="DM30" s="71"/>
      <c r="DN30" s="67"/>
      <c r="DO30" s="67"/>
      <c r="DP30" s="67"/>
      <c r="DQ30" s="67"/>
      <c r="DR30" s="67"/>
      <c r="DS30" s="67"/>
      <c r="DT30" s="67"/>
      <c r="DU30" s="68"/>
      <c r="DV30" s="70"/>
      <c r="DW30" s="70"/>
      <c r="DX30" s="70"/>
      <c r="DY30" s="71"/>
      <c r="DZ30" s="67"/>
      <c r="EA30" s="67"/>
      <c r="EB30" s="67"/>
      <c r="EC30" s="67"/>
      <c r="ED30" s="67"/>
      <c r="EE30" s="67"/>
      <c r="EF30" s="67"/>
      <c r="EG30" s="68"/>
      <c r="EH30" s="70"/>
      <c r="EI30" s="70"/>
      <c r="EJ30" s="70"/>
      <c r="EK30" s="71"/>
      <c r="EL30" s="67"/>
      <c r="EM30" s="67"/>
      <c r="EN30" s="67"/>
      <c r="EO30" s="67"/>
      <c r="EP30" s="67"/>
      <c r="EQ30" s="67"/>
      <c r="ER30" s="67"/>
      <c r="ES30" s="68"/>
    </row>
    <row r="31" spans="1:149" outlineLevel="1" x14ac:dyDescent="0.45">
      <c r="B31" s="73"/>
      <c r="C31" s="22">
        <v>1000000</v>
      </c>
      <c r="D31" s="23" t="s">
        <v>23</v>
      </c>
      <c r="E31" s="24">
        <f>SUM(F31:CW31)</f>
        <v>0</v>
      </c>
      <c r="F31" s="69">
        <f>IFERROR($C31*F30,"")</f>
        <v>0</v>
      </c>
      <c r="G31" s="62"/>
      <c r="H31" s="62"/>
      <c r="I31" s="62"/>
      <c r="J31" s="62">
        <f t="shared" ref="J31" si="147">IFERROR($C31*J30,"")</f>
        <v>0</v>
      </c>
      <c r="K31" s="62"/>
      <c r="L31" s="62"/>
      <c r="M31" s="62"/>
      <c r="N31" s="63">
        <f t="shared" ref="N31" si="148">IFERROR($C31*N30,"")</f>
        <v>0</v>
      </c>
      <c r="O31" s="64"/>
      <c r="P31" s="64"/>
      <c r="Q31" s="64"/>
      <c r="R31" s="64">
        <f t="shared" ref="R31" si="149">IFERROR($C31*R30,"")</f>
        <v>0</v>
      </c>
      <c r="S31" s="64"/>
      <c r="T31" s="64"/>
      <c r="U31" s="65"/>
      <c r="V31" s="62">
        <f t="shared" ref="V31" si="150">IFERROR($C31*V30,"")</f>
        <v>0</v>
      </c>
      <c r="W31" s="62"/>
      <c r="X31" s="62"/>
      <c r="Y31" s="62"/>
      <c r="Z31" s="62">
        <f t="shared" ref="Z31" si="151">IFERROR($C31*Z30,"")</f>
        <v>0</v>
      </c>
      <c r="AA31" s="62"/>
      <c r="AB31" s="62"/>
      <c r="AC31" s="63"/>
      <c r="AD31" s="64">
        <f t="shared" ref="AD31" si="152">IFERROR($C31*AD30,"")</f>
        <v>0</v>
      </c>
      <c r="AE31" s="64"/>
      <c r="AF31" s="64"/>
      <c r="AG31" s="65"/>
      <c r="AH31" s="62">
        <f t="shared" ref="AH31" si="153">IFERROR($C31*AH30,"")</f>
        <v>0</v>
      </c>
      <c r="AI31" s="62"/>
      <c r="AJ31" s="62"/>
      <c r="AK31" s="62"/>
      <c r="AL31" s="62">
        <f t="shared" ref="AL31" si="154">IFERROR($C31*AL30,"")</f>
        <v>0</v>
      </c>
      <c r="AM31" s="62"/>
      <c r="AN31" s="62"/>
      <c r="AO31" s="63"/>
      <c r="AP31" s="64">
        <f t="shared" ref="AP31" si="155">IFERROR($C31*AP30,"")</f>
        <v>0</v>
      </c>
      <c r="AQ31" s="64"/>
      <c r="AR31" s="64"/>
      <c r="AS31" s="65"/>
      <c r="AT31" s="62">
        <f t="shared" ref="AT31" si="156">IFERROR($C31*AT30,"")</f>
        <v>0</v>
      </c>
      <c r="AU31" s="62"/>
      <c r="AV31" s="62"/>
      <c r="AW31" s="62"/>
      <c r="AX31" s="62">
        <f t="shared" ref="AX31" si="157">IFERROR($C31*AX30,"")</f>
        <v>0</v>
      </c>
      <c r="AY31" s="62"/>
      <c r="AZ31" s="62"/>
      <c r="BA31" s="63"/>
      <c r="BB31" s="64">
        <f t="shared" ref="BB31" si="158">IFERROR($C31*BB30,"")</f>
        <v>0</v>
      </c>
      <c r="BC31" s="64"/>
      <c r="BD31" s="64"/>
      <c r="BE31" s="65"/>
      <c r="BF31" s="62">
        <f t="shared" ref="BF31" si="159">IFERROR($C31*BF30,"")</f>
        <v>0</v>
      </c>
      <c r="BG31" s="62"/>
      <c r="BH31" s="62"/>
      <c r="BI31" s="62"/>
      <c r="BJ31" s="62">
        <f t="shared" ref="BJ31" si="160">IFERROR($C31*BJ30,"")</f>
        <v>0</v>
      </c>
      <c r="BK31" s="62"/>
      <c r="BL31" s="62"/>
      <c r="BM31" s="63"/>
      <c r="BN31" s="64">
        <f t="shared" ref="BN31" si="161">IFERROR($C31*BN30,"")</f>
        <v>0</v>
      </c>
      <c r="BO31" s="64"/>
      <c r="BP31" s="64"/>
      <c r="BQ31" s="65"/>
      <c r="BR31" s="62">
        <f t="shared" ref="BR31" si="162">IFERROR($C31*BR30,"")</f>
        <v>0</v>
      </c>
      <c r="BS31" s="62"/>
      <c r="BT31" s="62"/>
      <c r="BU31" s="62"/>
      <c r="BV31" s="62">
        <f t="shared" ref="BV31" si="163">IFERROR($C31*BV30,"")</f>
        <v>0</v>
      </c>
      <c r="BW31" s="62"/>
      <c r="BX31" s="62"/>
      <c r="BY31" s="63"/>
      <c r="BZ31" s="64">
        <f t="shared" ref="BZ31" si="164">IFERROR($C31*BZ30,"")</f>
        <v>0</v>
      </c>
      <c r="CA31" s="64"/>
      <c r="CB31" s="64"/>
      <c r="CC31" s="65"/>
      <c r="CD31" s="62">
        <f t="shared" ref="CD31" si="165">IFERROR($C31*CD30,"")</f>
        <v>0</v>
      </c>
      <c r="CE31" s="62"/>
      <c r="CF31" s="62"/>
      <c r="CG31" s="62"/>
      <c r="CH31" s="62">
        <f t="shared" ref="CH31" si="166">IFERROR($C31*CH30,"")</f>
        <v>0</v>
      </c>
      <c r="CI31" s="62"/>
      <c r="CJ31" s="62"/>
      <c r="CK31" s="63"/>
      <c r="CL31" s="64">
        <f t="shared" ref="CL31" si="167">IFERROR($C31*CL30,"")</f>
        <v>0</v>
      </c>
      <c r="CM31" s="64"/>
      <c r="CN31" s="64"/>
      <c r="CO31" s="65"/>
      <c r="CP31" s="62">
        <f t="shared" ref="CP31" si="168">IFERROR($C31*CP30,"")</f>
        <v>0</v>
      </c>
      <c r="CQ31" s="62"/>
      <c r="CR31" s="62"/>
      <c r="CS31" s="62"/>
      <c r="CT31" s="62">
        <f t="shared" ref="CT31" si="169">IFERROR($C31*CT30,"")</f>
        <v>0</v>
      </c>
      <c r="CU31" s="62"/>
      <c r="CV31" s="62"/>
      <c r="CW31" s="63"/>
      <c r="CX31" s="64">
        <f t="shared" ref="CX31" si="170">IFERROR($C31*CX30,"")</f>
        <v>0</v>
      </c>
      <c r="CY31" s="64"/>
      <c r="CZ31" s="64"/>
      <c r="DA31" s="65"/>
      <c r="DB31" s="62">
        <f t="shared" ref="DB31" si="171">IFERROR($C31*DB30,"")</f>
        <v>0</v>
      </c>
      <c r="DC31" s="62"/>
      <c r="DD31" s="62"/>
      <c r="DE31" s="62"/>
      <c r="DF31" s="62">
        <f t="shared" ref="DF31" si="172">IFERROR($C31*DF30,"")</f>
        <v>0</v>
      </c>
      <c r="DG31" s="62"/>
      <c r="DH31" s="62"/>
      <c r="DI31" s="63"/>
      <c r="DJ31" s="64">
        <f t="shared" ref="DJ31" si="173">IFERROR($C31*DJ30,"")</f>
        <v>0</v>
      </c>
      <c r="DK31" s="64"/>
      <c r="DL31" s="64"/>
      <c r="DM31" s="65"/>
      <c r="DN31" s="62">
        <f t="shared" ref="DN31" si="174">IFERROR($C31*DN30,"")</f>
        <v>0</v>
      </c>
      <c r="DO31" s="62"/>
      <c r="DP31" s="62"/>
      <c r="DQ31" s="62"/>
      <c r="DR31" s="62">
        <f t="shared" ref="DR31" si="175">IFERROR($C31*DR30,"")</f>
        <v>0</v>
      </c>
      <c r="DS31" s="62"/>
      <c r="DT31" s="62"/>
      <c r="DU31" s="63"/>
      <c r="DV31" s="64">
        <f t="shared" ref="DV31" si="176">IFERROR($C31*DV30,"")</f>
        <v>0</v>
      </c>
      <c r="DW31" s="64"/>
      <c r="DX31" s="64"/>
      <c r="DY31" s="65"/>
      <c r="DZ31" s="62">
        <f t="shared" ref="DZ31" si="177">IFERROR($C31*DZ30,"")</f>
        <v>0</v>
      </c>
      <c r="EA31" s="62"/>
      <c r="EB31" s="62"/>
      <c r="EC31" s="62"/>
      <c r="ED31" s="62">
        <f t="shared" ref="ED31" si="178">IFERROR($C31*ED30,"")</f>
        <v>0</v>
      </c>
      <c r="EE31" s="62"/>
      <c r="EF31" s="62"/>
      <c r="EG31" s="63"/>
      <c r="EH31" s="64">
        <f t="shared" ref="EH31" si="179">IFERROR($C31*EH30,"")</f>
        <v>0</v>
      </c>
      <c r="EI31" s="64"/>
      <c r="EJ31" s="64"/>
      <c r="EK31" s="65"/>
      <c r="EL31" s="62">
        <f t="shared" ref="EL31" si="180">IFERROR($C31*EL30,"")</f>
        <v>0</v>
      </c>
      <c r="EM31" s="62"/>
      <c r="EN31" s="62"/>
      <c r="EO31" s="62"/>
      <c r="EP31" s="62">
        <f t="shared" ref="EP31" si="181">IFERROR($C31*EP30,"")</f>
        <v>0</v>
      </c>
      <c r="EQ31" s="62"/>
      <c r="ER31" s="62"/>
      <c r="ES31" s="63"/>
    </row>
    <row r="32" spans="1:149" ht="18.600000000000001" outlineLevel="1" thickBot="1" x14ac:dyDescent="0.5">
      <c r="B32" s="78"/>
      <c r="C32" s="25">
        <v>420000</v>
      </c>
      <c r="D32" s="26" t="s">
        <v>3</v>
      </c>
      <c r="E32" s="27">
        <f>SUM(F32:CW32)</f>
        <v>0</v>
      </c>
      <c r="F32" s="66">
        <f>IFERROR($C32*F30,"")</f>
        <v>0</v>
      </c>
      <c r="G32" s="60"/>
      <c r="H32" s="60"/>
      <c r="I32" s="60"/>
      <c r="J32" s="60">
        <f t="shared" ref="J32" si="182">IFERROR($C32*J30,"")</f>
        <v>0</v>
      </c>
      <c r="K32" s="60"/>
      <c r="L32" s="60"/>
      <c r="M32" s="60"/>
      <c r="N32" s="61">
        <f t="shared" ref="N32" si="183">IFERROR($C32*N30,"")</f>
        <v>0</v>
      </c>
      <c r="O32" s="58"/>
      <c r="P32" s="58"/>
      <c r="Q32" s="58"/>
      <c r="R32" s="58">
        <f t="shared" ref="R32" si="184">IFERROR($C32*R30,"")</f>
        <v>0</v>
      </c>
      <c r="S32" s="58"/>
      <c r="T32" s="58"/>
      <c r="U32" s="59"/>
      <c r="V32" s="60">
        <f t="shared" ref="V32" si="185">IFERROR($C32*V30,"")</f>
        <v>0</v>
      </c>
      <c r="W32" s="60"/>
      <c r="X32" s="60"/>
      <c r="Y32" s="60"/>
      <c r="Z32" s="60">
        <f t="shared" ref="Z32" si="186">IFERROR($C32*Z30,"")</f>
        <v>0</v>
      </c>
      <c r="AA32" s="60"/>
      <c r="AB32" s="60"/>
      <c r="AC32" s="61"/>
      <c r="AD32" s="58">
        <f t="shared" ref="AD32" si="187">IFERROR($C32*AD30,"")</f>
        <v>0</v>
      </c>
      <c r="AE32" s="58"/>
      <c r="AF32" s="58"/>
      <c r="AG32" s="59"/>
      <c r="AH32" s="60">
        <f t="shared" ref="AH32" si="188">IFERROR($C32*AH30,"")</f>
        <v>0</v>
      </c>
      <c r="AI32" s="60"/>
      <c r="AJ32" s="60"/>
      <c r="AK32" s="60"/>
      <c r="AL32" s="60">
        <f t="shared" ref="AL32" si="189">IFERROR($C32*AL30,"")</f>
        <v>0</v>
      </c>
      <c r="AM32" s="60"/>
      <c r="AN32" s="60"/>
      <c r="AO32" s="61"/>
      <c r="AP32" s="58">
        <f t="shared" ref="AP32" si="190">IFERROR($C32*AP30,"")</f>
        <v>0</v>
      </c>
      <c r="AQ32" s="58"/>
      <c r="AR32" s="58"/>
      <c r="AS32" s="59"/>
      <c r="AT32" s="60">
        <f t="shared" ref="AT32" si="191">IFERROR($C32*AT30,"")</f>
        <v>0</v>
      </c>
      <c r="AU32" s="60"/>
      <c r="AV32" s="60"/>
      <c r="AW32" s="60"/>
      <c r="AX32" s="60">
        <f t="shared" ref="AX32" si="192">IFERROR($C32*AX30,"")</f>
        <v>0</v>
      </c>
      <c r="AY32" s="60"/>
      <c r="AZ32" s="60"/>
      <c r="BA32" s="61"/>
      <c r="BB32" s="58">
        <f t="shared" ref="BB32" si="193">IFERROR($C32*BB30,"")</f>
        <v>0</v>
      </c>
      <c r="BC32" s="58"/>
      <c r="BD32" s="58"/>
      <c r="BE32" s="59"/>
      <c r="BF32" s="60">
        <f t="shared" ref="BF32" si="194">IFERROR($C32*BF30,"")</f>
        <v>0</v>
      </c>
      <c r="BG32" s="60"/>
      <c r="BH32" s="60"/>
      <c r="BI32" s="60"/>
      <c r="BJ32" s="60">
        <f t="shared" ref="BJ32:CL32" si="195">IFERROR($C32*BJ30,"")</f>
        <v>0</v>
      </c>
      <c r="BK32" s="60"/>
      <c r="BL32" s="60"/>
      <c r="BM32" s="61"/>
      <c r="BN32" s="58">
        <f t="shared" si="195"/>
        <v>0</v>
      </c>
      <c r="BO32" s="58"/>
      <c r="BP32" s="58"/>
      <c r="BQ32" s="59"/>
      <c r="BR32" s="60">
        <f t="shared" si="195"/>
        <v>0</v>
      </c>
      <c r="BS32" s="60"/>
      <c r="BT32" s="60"/>
      <c r="BU32" s="60"/>
      <c r="BV32" s="60">
        <f t="shared" si="195"/>
        <v>0</v>
      </c>
      <c r="BW32" s="60"/>
      <c r="BX32" s="60"/>
      <c r="BY32" s="61"/>
      <c r="BZ32" s="58">
        <f t="shared" si="195"/>
        <v>0</v>
      </c>
      <c r="CA32" s="58"/>
      <c r="CB32" s="58"/>
      <c r="CC32" s="59"/>
      <c r="CD32" s="60">
        <f t="shared" si="195"/>
        <v>0</v>
      </c>
      <c r="CE32" s="60"/>
      <c r="CF32" s="60"/>
      <c r="CG32" s="60"/>
      <c r="CH32" s="60">
        <f t="shared" si="195"/>
        <v>0</v>
      </c>
      <c r="CI32" s="60"/>
      <c r="CJ32" s="60"/>
      <c r="CK32" s="61"/>
      <c r="CL32" s="58">
        <f t="shared" si="195"/>
        <v>0</v>
      </c>
      <c r="CM32" s="58"/>
      <c r="CN32" s="58"/>
      <c r="CO32" s="59"/>
      <c r="CP32" s="60">
        <f t="shared" ref="CP32:DR32" si="196">IFERROR($C32*CP30,"")</f>
        <v>0</v>
      </c>
      <c r="CQ32" s="60"/>
      <c r="CR32" s="60"/>
      <c r="CS32" s="60"/>
      <c r="CT32" s="60">
        <f t="shared" si="196"/>
        <v>0</v>
      </c>
      <c r="CU32" s="60"/>
      <c r="CV32" s="60"/>
      <c r="CW32" s="61"/>
      <c r="CX32" s="58">
        <f t="shared" si="196"/>
        <v>0</v>
      </c>
      <c r="CY32" s="58"/>
      <c r="CZ32" s="58"/>
      <c r="DA32" s="59"/>
      <c r="DB32" s="60">
        <f t="shared" si="196"/>
        <v>0</v>
      </c>
      <c r="DC32" s="60"/>
      <c r="DD32" s="60"/>
      <c r="DE32" s="60"/>
      <c r="DF32" s="60">
        <f t="shared" si="196"/>
        <v>0</v>
      </c>
      <c r="DG32" s="60"/>
      <c r="DH32" s="60"/>
      <c r="DI32" s="61"/>
      <c r="DJ32" s="58">
        <f t="shared" si="196"/>
        <v>0</v>
      </c>
      <c r="DK32" s="58"/>
      <c r="DL32" s="58"/>
      <c r="DM32" s="59"/>
      <c r="DN32" s="60">
        <f t="shared" si="196"/>
        <v>0</v>
      </c>
      <c r="DO32" s="60"/>
      <c r="DP32" s="60"/>
      <c r="DQ32" s="60"/>
      <c r="DR32" s="60">
        <f t="shared" si="196"/>
        <v>0</v>
      </c>
      <c r="DS32" s="60"/>
      <c r="DT32" s="60"/>
      <c r="DU32" s="61"/>
      <c r="DV32" s="58">
        <f t="shared" ref="DV32:EP32" si="197">IFERROR($C32*DV30,"")</f>
        <v>0</v>
      </c>
      <c r="DW32" s="58"/>
      <c r="DX32" s="58"/>
      <c r="DY32" s="59"/>
      <c r="DZ32" s="60">
        <f t="shared" si="197"/>
        <v>0</v>
      </c>
      <c r="EA32" s="60"/>
      <c r="EB32" s="60"/>
      <c r="EC32" s="60"/>
      <c r="ED32" s="60">
        <f t="shared" si="197"/>
        <v>0</v>
      </c>
      <c r="EE32" s="60"/>
      <c r="EF32" s="60"/>
      <c r="EG32" s="61"/>
      <c r="EH32" s="58">
        <f t="shared" si="197"/>
        <v>0</v>
      </c>
      <c r="EI32" s="58"/>
      <c r="EJ32" s="58"/>
      <c r="EK32" s="59"/>
      <c r="EL32" s="60">
        <f t="shared" si="197"/>
        <v>0</v>
      </c>
      <c r="EM32" s="60"/>
      <c r="EN32" s="60"/>
      <c r="EO32" s="60"/>
      <c r="EP32" s="60">
        <f t="shared" si="197"/>
        <v>0</v>
      </c>
      <c r="EQ32" s="60"/>
      <c r="ER32" s="60"/>
      <c r="ES32" s="61"/>
    </row>
    <row r="33" spans="2:149" hidden="1" outlineLevel="1" x14ac:dyDescent="0.45">
      <c r="B33" s="72" t="s">
        <v>24</v>
      </c>
      <c r="C33" s="19"/>
      <c r="D33" s="20" t="s">
        <v>13</v>
      </c>
      <c r="E33" s="21">
        <f>SUM(F33:ES33)</f>
        <v>0</v>
      </c>
      <c r="F33" s="74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70"/>
      <c r="S33" s="70"/>
      <c r="T33" s="70"/>
      <c r="U33" s="71"/>
      <c r="V33" s="67"/>
      <c r="W33" s="67"/>
      <c r="X33" s="67"/>
      <c r="Y33" s="67"/>
      <c r="Z33" s="67"/>
      <c r="AA33" s="67"/>
      <c r="AB33" s="67"/>
      <c r="AC33" s="68"/>
      <c r="AD33" s="70"/>
      <c r="AE33" s="70"/>
      <c r="AF33" s="70"/>
      <c r="AG33" s="71"/>
      <c r="AH33" s="67"/>
      <c r="AI33" s="67"/>
      <c r="AJ33" s="67"/>
      <c r="AK33" s="67"/>
      <c r="AL33" s="67"/>
      <c r="AM33" s="67"/>
      <c r="AN33" s="67"/>
      <c r="AO33" s="68"/>
      <c r="AP33" s="70"/>
      <c r="AQ33" s="70"/>
      <c r="AR33" s="70"/>
      <c r="AS33" s="71"/>
      <c r="AT33" s="67"/>
      <c r="AU33" s="67"/>
      <c r="AV33" s="67"/>
      <c r="AW33" s="67"/>
      <c r="AX33" s="67"/>
      <c r="AY33" s="67"/>
      <c r="AZ33" s="67"/>
      <c r="BA33" s="68"/>
      <c r="BB33" s="70"/>
      <c r="BC33" s="70"/>
      <c r="BD33" s="70"/>
      <c r="BE33" s="71"/>
      <c r="BF33" s="67"/>
      <c r="BG33" s="67"/>
      <c r="BH33" s="67"/>
      <c r="BI33" s="67"/>
      <c r="BJ33" s="67"/>
      <c r="BK33" s="67"/>
      <c r="BL33" s="67"/>
      <c r="BM33" s="68"/>
      <c r="BN33" s="70"/>
      <c r="BO33" s="70"/>
      <c r="BP33" s="70"/>
      <c r="BQ33" s="71"/>
      <c r="BR33" s="67"/>
      <c r="BS33" s="67"/>
      <c r="BT33" s="67"/>
      <c r="BU33" s="67"/>
      <c r="BV33" s="67"/>
      <c r="BW33" s="67"/>
      <c r="BX33" s="67"/>
      <c r="BY33" s="68"/>
      <c r="BZ33" s="70"/>
      <c r="CA33" s="70"/>
      <c r="CB33" s="70"/>
      <c r="CC33" s="71"/>
      <c r="CD33" s="67"/>
      <c r="CE33" s="67"/>
      <c r="CF33" s="67"/>
      <c r="CG33" s="67"/>
      <c r="CH33" s="67"/>
      <c r="CI33" s="67"/>
      <c r="CJ33" s="67"/>
      <c r="CK33" s="68"/>
      <c r="CL33" s="70"/>
      <c r="CM33" s="70"/>
      <c r="CN33" s="70"/>
      <c r="CO33" s="71"/>
      <c r="CP33" s="67"/>
      <c r="CQ33" s="67"/>
      <c r="CR33" s="67"/>
      <c r="CS33" s="67"/>
      <c r="CT33" s="67"/>
      <c r="CU33" s="67"/>
      <c r="CV33" s="67"/>
      <c r="CW33" s="68"/>
      <c r="CX33" s="70"/>
      <c r="CY33" s="70"/>
      <c r="CZ33" s="70"/>
      <c r="DA33" s="71"/>
      <c r="DB33" s="67"/>
      <c r="DC33" s="67"/>
      <c r="DD33" s="67"/>
      <c r="DE33" s="67"/>
      <c r="DF33" s="67"/>
      <c r="DG33" s="67"/>
      <c r="DH33" s="67"/>
      <c r="DI33" s="68"/>
      <c r="DJ33" s="70"/>
      <c r="DK33" s="70"/>
      <c r="DL33" s="70"/>
      <c r="DM33" s="71"/>
      <c r="DN33" s="67"/>
      <c r="DO33" s="67"/>
      <c r="DP33" s="67"/>
      <c r="DQ33" s="67"/>
      <c r="DR33" s="67"/>
      <c r="DS33" s="67"/>
      <c r="DT33" s="67"/>
      <c r="DU33" s="68"/>
      <c r="DV33" s="70"/>
      <c r="DW33" s="70"/>
      <c r="DX33" s="70"/>
      <c r="DY33" s="71"/>
      <c r="DZ33" s="67"/>
      <c r="EA33" s="67"/>
      <c r="EB33" s="67"/>
      <c r="EC33" s="67"/>
      <c r="ED33" s="67"/>
      <c r="EE33" s="67"/>
      <c r="EF33" s="67"/>
      <c r="EG33" s="68"/>
      <c r="EH33" s="70"/>
      <c r="EI33" s="70"/>
      <c r="EJ33" s="70"/>
      <c r="EK33" s="71"/>
      <c r="EL33" s="67"/>
      <c r="EM33" s="67"/>
      <c r="EN33" s="67"/>
      <c r="EO33" s="67"/>
      <c r="EP33" s="67"/>
      <c r="EQ33" s="67"/>
      <c r="ER33" s="67"/>
      <c r="ES33" s="68"/>
    </row>
    <row r="34" spans="2:149" hidden="1" outlineLevel="1" x14ac:dyDescent="0.45">
      <c r="B34" s="73"/>
      <c r="C34" s="22">
        <v>1000000</v>
      </c>
      <c r="D34" s="23" t="s">
        <v>23</v>
      </c>
      <c r="E34" s="24">
        <f>SUM(F34:CW34)</f>
        <v>0</v>
      </c>
      <c r="F34" s="69">
        <f>IFERROR($C34*F33,"")</f>
        <v>0</v>
      </c>
      <c r="G34" s="62"/>
      <c r="H34" s="62"/>
      <c r="I34" s="62"/>
      <c r="J34" s="62">
        <f t="shared" ref="J34" si="198">IFERROR($C34*J33,"")</f>
        <v>0</v>
      </c>
      <c r="K34" s="62"/>
      <c r="L34" s="62"/>
      <c r="M34" s="62"/>
      <c r="N34" s="63">
        <f t="shared" ref="N34" si="199">IFERROR($C34*N33,"")</f>
        <v>0</v>
      </c>
      <c r="O34" s="64"/>
      <c r="P34" s="64"/>
      <c r="Q34" s="64"/>
      <c r="R34" s="64">
        <f t="shared" ref="R34" si="200">IFERROR($C34*R33,"")</f>
        <v>0</v>
      </c>
      <c r="S34" s="64"/>
      <c r="T34" s="64"/>
      <c r="U34" s="65"/>
      <c r="V34" s="62">
        <f t="shared" ref="V34" si="201">IFERROR($C34*V33,"")</f>
        <v>0</v>
      </c>
      <c r="W34" s="62"/>
      <c r="X34" s="62"/>
      <c r="Y34" s="62"/>
      <c r="Z34" s="62">
        <f t="shared" ref="Z34" si="202">IFERROR($C34*Z33,"")</f>
        <v>0</v>
      </c>
      <c r="AA34" s="62"/>
      <c r="AB34" s="62"/>
      <c r="AC34" s="63"/>
      <c r="AD34" s="64">
        <f t="shared" ref="AD34" si="203">IFERROR($C34*AD33,"")</f>
        <v>0</v>
      </c>
      <c r="AE34" s="64"/>
      <c r="AF34" s="64"/>
      <c r="AG34" s="65"/>
      <c r="AH34" s="62"/>
      <c r="AI34" s="62"/>
      <c r="AJ34" s="62"/>
      <c r="AK34" s="62"/>
      <c r="AL34" s="62"/>
      <c r="AM34" s="62"/>
      <c r="AN34" s="62"/>
      <c r="AO34" s="63"/>
      <c r="AP34" s="64"/>
      <c r="AQ34" s="64"/>
      <c r="AR34" s="64"/>
      <c r="AS34" s="65"/>
      <c r="AT34" s="62"/>
      <c r="AU34" s="62"/>
      <c r="AV34" s="62"/>
      <c r="AW34" s="62"/>
      <c r="AX34" s="62"/>
      <c r="AY34" s="62"/>
      <c r="AZ34" s="62"/>
      <c r="BA34" s="63"/>
      <c r="BB34" s="64"/>
      <c r="BC34" s="64"/>
      <c r="BD34" s="64"/>
      <c r="BE34" s="65"/>
      <c r="BF34" s="62"/>
      <c r="BG34" s="62"/>
      <c r="BH34" s="62"/>
      <c r="BI34" s="62"/>
      <c r="BJ34" s="62"/>
      <c r="BK34" s="62"/>
      <c r="BL34" s="62"/>
      <c r="BM34" s="63"/>
      <c r="BN34" s="64"/>
      <c r="BO34" s="64"/>
      <c r="BP34" s="64"/>
      <c r="BQ34" s="65"/>
      <c r="BR34" s="62"/>
      <c r="BS34" s="62"/>
      <c r="BT34" s="62"/>
      <c r="BU34" s="62"/>
      <c r="BV34" s="62"/>
      <c r="BW34" s="62"/>
      <c r="BX34" s="62"/>
      <c r="BY34" s="63"/>
      <c r="BZ34" s="64"/>
      <c r="CA34" s="64"/>
      <c r="CB34" s="64"/>
      <c r="CC34" s="65"/>
      <c r="CD34" s="62"/>
      <c r="CE34" s="62"/>
      <c r="CF34" s="62"/>
      <c r="CG34" s="62"/>
      <c r="CH34" s="62"/>
      <c r="CI34" s="62"/>
      <c r="CJ34" s="62"/>
      <c r="CK34" s="63"/>
      <c r="CL34" s="64"/>
      <c r="CM34" s="64"/>
      <c r="CN34" s="64"/>
      <c r="CO34" s="65"/>
      <c r="CP34" s="62"/>
      <c r="CQ34" s="62"/>
      <c r="CR34" s="62"/>
      <c r="CS34" s="62"/>
      <c r="CT34" s="62"/>
      <c r="CU34" s="62"/>
      <c r="CV34" s="62"/>
      <c r="CW34" s="63"/>
      <c r="CX34" s="64"/>
      <c r="CY34" s="64"/>
      <c r="CZ34" s="64"/>
      <c r="DA34" s="65"/>
      <c r="DB34" s="62"/>
      <c r="DC34" s="62"/>
      <c r="DD34" s="62"/>
      <c r="DE34" s="62"/>
      <c r="DF34" s="62"/>
      <c r="DG34" s="62"/>
      <c r="DH34" s="62"/>
      <c r="DI34" s="63"/>
      <c r="DJ34" s="64"/>
      <c r="DK34" s="64"/>
      <c r="DL34" s="64"/>
      <c r="DM34" s="65"/>
      <c r="DN34" s="62"/>
      <c r="DO34" s="62"/>
      <c r="DP34" s="62"/>
      <c r="DQ34" s="62"/>
      <c r="DR34" s="62">
        <f t="shared" ref="DR34" si="204">IFERROR($C34*DR33,"")</f>
        <v>0</v>
      </c>
      <c r="DS34" s="62"/>
      <c r="DT34" s="62"/>
      <c r="DU34" s="63"/>
      <c r="DV34" s="64">
        <f t="shared" ref="DV34" si="205">IFERROR($C34*DV33,"")</f>
        <v>0</v>
      </c>
      <c r="DW34" s="64"/>
      <c r="DX34" s="64"/>
      <c r="DY34" s="65"/>
      <c r="DZ34" s="62">
        <f t="shared" ref="DZ34" si="206">IFERROR($C34*DZ33,"")</f>
        <v>0</v>
      </c>
      <c r="EA34" s="62"/>
      <c r="EB34" s="62"/>
      <c r="EC34" s="62"/>
      <c r="ED34" s="62">
        <f t="shared" ref="ED34" si="207">IFERROR($C34*ED33,"")</f>
        <v>0</v>
      </c>
      <c r="EE34" s="62"/>
      <c r="EF34" s="62"/>
      <c r="EG34" s="63"/>
      <c r="EH34" s="64">
        <f t="shared" ref="EH34" si="208">IFERROR($C34*EH33,"")</f>
        <v>0</v>
      </c>
      <c r="EI34" s="64"/>
      <c r="EJ34" s="64"/>
      <c r="EK34" s="65"/>
      <c r="EL34" s="62">
        <f t="shared" ref="EL34" si="209">IFERROR($C34*EL33,"")</f>
        <v>0</v>
      </c>
      <c r="EM34" s="62"/>
      <c r="EN34" s="62"/>
      <c r="EO34" s="62"/>
      <c r="EP34" s="62">
        <f t="shared" ref="EP34" si="210">IFERROR($C34*EP33,"")</f>
        <v>0</v>
      </c>
      <c r="EQ34" s="62"/>
      <c r="ER34" s="62"/>
      <c r="ES34" s="63"/>
    </row>
    <row r="35" spans="2:149" hidden="1" outlineLevel="1" x14ac:dyDescent="0.45">
      <c r="B35" s="78"/>
      <c r="C35" s="25">
        <v>420000</v>
      </c>
      <c r="D35" s="26" t="s">
        <v>3</v>
      </c>
      <c r="E35" s="27">
        <f>SUM(F35:CW35)</f>
        <v>0</v>
      </c>
      <c r="F35" s="66">
        <f>IFERROR($C35*F33,"")</f>
        <v>0</v>
      </c>
      <c r="G35" s="60"/>
      <c r="H35" s="60"/>
      <c r="I35" s="60"/>
      <c r="J35" s="60">
        <f t="shared" ref="J35" si="211">IFERROR($C35*J33,"")</f>
        <v>0</v>
      </c>
      <c r="K35" s="60"/>
      <c r="L35" s="60"/>
      <c r="M35" s="60"/>
      <c r="N35" s="61">
        <f t="shared" ref="N35" si="212">IFERROR($C35*N33,"")</f>
        <v>0</v>
      </c>
      <c r="O35" s="58"/>
      <c r="P35" s="58"/>
      <c r="Q35" s="58"/>
      <c r="R35" s="58">
        <f t="shared" ref="R35" si="213">IFERROR($C35*R33,"")</f>
        <v>0</v>
      </c>
      <c r="S35" s="58"/>
      <c r="T35" s="58"/>
      <c r="U35" s="59"/>
      <c r="V35" s="60">
        <f t="shared" ref="V35" si="214">IFERROR($C35*V33,"")</f>
        <v>0</v>
      </c>
      <c r="W35" s="60"/>
      <c r="X35" s="60"/>
      <c r="Y35" s="60"/>
      <c r="Z35" s="60">
        <f t="shared" ref="Z35" si="215">IFERROR($C35*Z33,"")</f>
        <v>0</v>
      </c>
      <c r="AA35" s="60"/>
      <c r="AB35" s="60"/>
      <c r="AC35" s="61"/>
      <c r="AD35" s="58">
        <f t="shared" ref="AD35" si="216">IFERROR($C35*AD33,"")</f>
        <v>0</v>
      </c>
      <c r="AE35" s="58"/>
      <c r="AF35" s="58"/>
      <c r="AG35" s="59"/>
      <c r="AH35" s="60"/>
      <c r="AI35" s="60"/>
      <c r="AJ35" s="60"/>
      <c r="AK35" s="60"/>
      <c r="AL35" s="60"/>
      <c r="AM35" s="60"/>
      <c r="AN35" s="60"/>
      <c r="AO35" s="61"/>
      <c r="AP35" s="58"/>
      <c r="AQ35" s="58"/>
      <c r="AR35" s="58"/>
      <c r="AS35" s="59"/>
      <c r="AT35" s="60"/>
      <c r="AU35" s="60"/>
      <c r="AV35" s="60"/>
      <c r="AW35" s="60"/>
      <c r="AX35" s="60"/>
      <c r="AY35" s="60"/>
      <c r="AZ35" s="60"/>
      <c r="BA35" s="61"/>
      <c r="BB35" s="58"/>
      <c r="BC35" s="58"/>
      <c r="BD35" s="58"/>
      <c r="BE35" s="59"/>
      <c r="BF35" s="60"/>
      <c r="BG35" s="60"/>
      <c r="BH35" s="60"/>
      <c r="BI35" s="60"/>
      <c r="BJ35" s="60"/>
      <c r="BK35" s="60"/>
      <c r="BL35" s="60"/>
      <c r="BM35" s="61"/>
      <c r="BN35" s="58"/>
      <c r="BO35" s="58"/>
      <c r="BP35" s="58"/>
      <c r="BQ35" s="59"/>
      <c r="BR35" s="60"/>
      <c r="BS35" s="60"/>
      <c r="BT35" s="60"/>
      <c r="BU35" s="60"/>
      <c r="BV35" s="60"/>
      <c r="BW35" s="60"/>
      <c r="BX35" s="60"/>
      <c r="BY35" s="61"/>
      <c r="BZ35" s="58"/>
      <c r="CA35" s="58"/>
      <c r="CB35" s="58"/>
      <c r="CC35" s="59"/>
      <c r="CD35" s="60"/>
      <c r="CE35" s="60"/>
      <c r="CF35" s="60"/>
      <c r="CG35" s="60"/>
      <c r="CH35" s="60"/>
      <c r="CI35" s="60"/>
      <c r="CJ35" s="60"/>
      <c r="CK35" s="61"/>
      <c r="CL35" s="58"/>
      <c r="CM35" s="58"/>
      <c r="CN35" s="58"/>
      <c r="CO35" s="59"/>
      <c r="CP35" s="60"/>
      <c r="CQ35" s="60"/>
      <c r="CR35" s="60"/>
      <c r="CS35" s="60"/>
      <c r="CT35" s="60"/>
      <c r="CU35" s="60"/>
      <c r="CV35" s="60"/>
      <c r="CW35" s="61"/>
      <c r="CX35" s="58"/>
      <c r="CY35" s="58"/>
      <c r="CZ35" s="58"/>
      <c r="DA35" s="59"/>
      <c r="DB35" s="60"/>
      <c r="DC35" s="60"/>
      <c r="DD35" s="60"/>
      <c r="DE35" s="60"/>
      <c r="DF35" s="60"/>
      <c r="DG35" s="60"/>
      <c r="DH35" s="60"/>
      <c r="DI35" s="61"/>
      <c r="DJ35" s="58"/>
      <c r="DK35" s="58"/>
      <c r="DL35" s="58"/>
      <c r="DM35" s="59"/>
      <c r="DN35" s="60"/>
      <c r="DO35" s="60"/>
      <c r="DP35" s="60"/>
      <c r="DQ35" s="60"/>
      <c r="DR35" s="60">
        <f t="shared" ref="DR35" si="217">IFERROR($C35*DR33,"")</f>
        <v>0</v>
      </c>
      <c r="DS35" s="60"/>
      <c r="DT35" s="60"/>
      <c r="DU35" s="61"/>
      <c r="DV35" s="58">
        <f t="shared" ref="DV35" si="218">IFERROR($C35*DV33,"")</f>
        <v>0</v>
      </c>
      <c r="DW35" s="58"/>
      <c r="DX35" s="58"/>
      <c r="DY35" s="59"/>
      <c r="DZ35" s="60">
        <f t="shared" ref="DZ35" si="219">IFERROR($C35*DZ33,"")</f>
        <v>0</v>
      </c>
      <c r="EA35" s="60"/>
      <c r="EB35" s="60"/>
      <c r="EC35" s="60"/>
      <c r="ED35" s="60">
        <f t="shared" ref="ED35" si="220">IFERROR($C35*ED33,"")</f>
        <v>0</v>
      </c>
      <c r="EE35" s="60"/>
      <c r="EF35" s="60"/>
      <c r="EG35" s="61"/>
      <c r="EH35" s="58">
        <f t="shared" ref="EH35" si="221">IFERROR($C35*EH33,"")</f>
        <v>0</v>
      </c>
      <c r="EI35" s="58"/>
      <c r="EJ35" s="58"/>
      <c r="EK35" s="59"/>
      <c r="EL35" s="60">
        <f t="shared" ref="EL35" si="222">IFERROR($C35*EL33,"")</f>
        <v>0</v>
      </c>
      <c r="EM35" s="60"/>
      <c r="EN35" s="60"/>
      <c r="EO35" s="60"/>
      <c r="EP35" s="60">
        <f t="shared" ref="EP35" si="223">IFERROR($C35*EP33,"")</f>
        <v>0</v>
      </c>
      <c r="EQ35" s="60"/>
      <c r="ER35" s="60"/>
      <c r="ES35" s="61"/>
    </row>
    <row r="36" spans="2:149" hidden="1" outlineLevel="1" x14ac:dyDescent="0.45">
      <c r="B36" s="72" t="s">
        <v>25</v>
      </c>
      <c r="C36" s="19"/>
      <c r="D36" s="20" t="s">
        <v>13</v>
      </c>
      <c r="E36" s="21">
        <f>SUM(F36:ES36)</f>
        <v>0</v>
      </c>
      <c r="F36" s="74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70"/>
      <c r="S36" s="70"/>
      <c r="T36" s="70"/>
      <c r="U36" s="71"/>
      <c r="V36" s="67"/>
      <c r="W36" s="67"/>
      <c r="X36" s="67"/>
      <c r="Y36" s="67"/>
      <c r="Z36" s="67"/>
      <c r="AA36" s="67"/>
      <c r="AB36" s="67"/>
      <c r="AC36" s="68"/>
      <c r="AD36" s="70"/>
      <c r="AE36" s="70"/>
      <c r="AF36" s="70"/>
      <c r="AG36" s="71"/>
      <c r="AH36" s="67"/>
      <c r="AI36" s="67"/>
      <c r="AJ36" s="67"/>
      <c r="AK36" s="67"/>
      <c r="AL36" s="67"/>
      <c r="AM36" s="67"/>
      <c r="AN36" s="67"/>
      <c r="AO36" s="68"/>
      <c r="AP36" s="70"/>
      <c r="AQ36" s="70"/>
      <c r="AR36" s="70"/>
      <c r="AS36" s="71"/>
      <c r="AT36" s="67"/>
      <c r="AU36" s="67"/>
      <c r="AV36" s="67"/>
      <c r="AW36" s="67"/>
      <c r="AX36" s="67"/>
      <c r="AY36" s="67"/>
      <c r="AZ36" s="67"/>
      <c r="BA36" s="68"/>
      <c r="BB36" s="70"/>
      <c r="BC36" s="70"/>
      <c r="BD36" s="70"/>
      <c r="BE36" s="71"/>
      <c r="BF36" s="67"/>
      <c r="BG36" s="67"/>
      <c r="BH36" s="67"/>
      <c r="BI36" s="67"/>
      <c r="BJ36" s="67"/>
      <c r="BK36" s="67"/>
      <c r="BL36" s="67"/>
      <c r="BM36" s="68"/>
      <c r="BN36" s="70"/>
      <c r="BO36" s="70"/>
      <c r="BP36" s="70"/>
      <c r="BQ36" s="71"/>
      <c r="BR36" s="67"/>
      <c r="BS36" s="67"/>
      <c r="BT36" s="67"/>
      <c r="BU36" s="67"/>
      <c r="BV36" s="67"/>
      <c r="BW36" s="67"/>
      <c r="BX36" s="67"/>
      <c r="BY36" s="68"/>
      <c r="BZ36" s="70"/>
      <c r="CA36" s="70"/>
      <c r="CB36" s="70"/>
      <c r="CC36" s="71"/>
      <c r="CD36" s="67"/>
      <c r="CE36" s="67"/>
      <c r="CF36" s="67"/>
      <c r="CG36" s="67"/>
      <c r="CH36" s="67"/>
      <c r="CI36" s="67"/>
      <c r="CJ36" s="67"/>
      <c r="CK36" s="68"/>
      <c r="CL36" s="70"/>
      <c r="CM36" s="70"/>
      <c r="CN36" s="70"/>
      <c r="CO36" s="71"/>
      <c r="CP36" s="67"/>
      <c r="CQ36" s="67"/>
      <c r="CR36" s="67"/>
      <c r="CS36" s="67"/>
      <c r="CT36" s="67"/>
      <c r="CU36" s="67"/>
      <c r="CV36" s="67"/>
      <c r="CW36" s="68"/>
      <c r="CX36" s="70"/>
      <c r="CY36" s="70"/>
      <c r="CZ36" s="70"/>
      <c r="DA36" s="71"/>
      <c r="DB36" s="67"/>
      <c r="DC36" s="67"/>
      <c r="DD36" s="67"/>
      <c r="DE36" s="67"/>
      <c r="DF36" s="67"/>
      <c r="DG36" s="67"/>
      <c r="DH36" s="67"/>
      <c r="DI36" s="68"/>
      <c r="DJ36" s="70"/>
      <c r="DK36" s="70"/>
      <c r="DL36" s="70"/>
      <c r="DM36" s="71"/>
      <c r="DN36" s="67"/>
      <c r="DO36" s="67"/>
      <c r="DP36" s="67"/>
      <c r="DQ36" s="67"/>
      <c r="DR36" s="67"/>
      <c r="DS36" s="67"/>
      <c r="DT36" s="67"/>
      <c r="DU36" s="68"/>
      <c r="DV36" s="70"/>
      <c r="DW36" s="70"/>
      <c r="DX36" s="70"/>
      <c r="DY36" s="71"/>
      <c r="DZ36" s="67"/>
      <c r="EA36" s="67"/>
      <c r="EB36" s="67"/>
      <c r="EC36" s="67"/>
      <c r="ED36" s="67"/>
      <c r="EE36" s="67"/>
      <c r="EF36" s="67"/>
      <c r="EG36" s="68"/>
      <c r="EH36" s="70"/>
      <c r="EI36" s="70"/>
      <c r="EJ36" s="70"/>
      <c r="EK36" s="71"/>
      <c r="EL36" s="67"/>
      <c r="EM36" s="67"/>
      <c r="EN36" s="67"/>
      <c r="EO36" s="67"/>
      <c r="EP36" s="67"/>
      <c r="EQ36" s="67"/>
      <c r="ER36" s="67"/>
      <c r="ES36" s="68"/>
    </row>
    <row r="37" spans="2:149" hidden="1" outlineLevel="1" x14ac:dyDescent="0.45">
      <c r="B37" s="73"/>
      <c r="C37" s="22">
        <v>1000000</v>
      </c>
      <c r="D37" s="23" t="s">
        <v>23</v>
      </c>
      <c r="E37" s="24">
        <f>SUM(F37:CW37)</f>
        <v>0</v>
      </c>
      <c r="F37" s="69">
        <f>IFERROR($C37*F36,"")</f>
        <v>0</v>
      </c>
      <c r="G37" s="62"/>
      <c r="H37" s="62"/>
      <c r="I37" s="62"/>
      <c r="J37" s="62">
        <f t="shared" ref="J37" si="224">IFERROR($C37*J36,"")</f>
        <v>0</v>
      </c>
      <c r="K37" s="62"/>
      <c r="L37" s="62"/>
      <c r="M37" s="62"/>
      <c r="N37" s="63">
        <f t="shared" ref="N37" si="225">IFERROR($C37*N36,"")</f>
        <v>0</v>
      </c>
      <c r="O37" s="64"/>
      <c r="P37" s="64"/>
      <c r="Q37" s="64"/>
      <c r="R37" s="64">
        <f t="shared" ref="R37" si="226">IFERROR($C37*R36,"")</f>
        <v>0</v>
      </c>
      <c r="S37" s="64"/>
      <c r="T37" s="64"/>
      <c r="U37" s="65"/>
      <c r="V37" s="62">
        <f t="shared" ref="V37" si="227">IFERROR($C37*V36,"")</f>
        <v>0</v>
      </c>
      <c r="W37" s="62"/>
      <c r="X37" s="62"/>
      <c r="Y37" s="62"/>
      <c r="Z37" s="62">
        <f t="shared" ref="Z37" si="228">IFERROR($C37*Z36,"")</f>
        <v>0</v>
      </c>
      <c r="AA37" s="62"/>
      <c r="AB37" s="62"/>
      <c r="AC37" s="63"/>
      <c r="AD37" s="64">
        <f t="shared" ref="AD37" si="229">IFERROR($C37*AD36,"")</f>
        <v>0</v>
      </c>
      <c r="AE37" s="64"/>
      <c r="AF37" s="64"/>
      <c r="AG37" s="65"/>
      <c r="AH37" s="62"/>
      <c r="AI37" s="62"/>
      <c r="AJ37" s="62"/>
      <c r="AK37" s="62"/>
      <c r="AL37" s="62"/>
      <c r="AM37" s="62"/>
      <c r="AN37" s="62"/>
      <c r="AO37" s="63"/>
      <c r="AP37" s="64"/>
      <c r="AQ37" s="64"/>
      <c r="AR37" s="64"/>
      <c r="AS37" s="65"/>
      <c r="AT37" s="62"/>
      <c r="AU37" s="62"/>
      <c r="AV37" s="62"/>
      <c r="AW37" s="62"/>
      <c r="AX37" s="62"/>
      <c r="AY37" s="62"/>
      <c r="AZ37" s="62"/>
      <c r="BA37" s="63"/>
      <c r="BB37" s="64"/>
      <c r="BC37" s="64"/>
      <c r="BD37" s="64"/>
      <c r="BE37" s="65"/>
      <c r="BF37" s="62"/>
      <c r="BG37" s="62"/>
      <c r="BH37" s="62"/>
      <c r="BI37" s="62"/>
      <c r="BJ37" s="62"/>
      <c r="BK37" s="62"/>
      <c r="BL37" s="62"/>
      <c r="BM37" s="63"/>
      <c r="BN37" s="64"/>
      <c r="BO37" s="64"/>
      <c r="BP37" s="64"/>
      <c r="BQ37" s="65"/>
      <c r="BR37" s="62"/>
      <c r="BS37" s="62"/>
      <c r="BT37" s="62"/>
      <c r="BU37" s="62"/>
      <c r="BV37" s="62"/>
      <c r="BW37" s="62"/>
      <c r="BX37" s="62"/>
      <c r="BY37" s="63"/>
      <c r="BZ37" s="64"/>
      <c r="CA37" s="64"/>
      <c r="CB37" s="64"/>
      <c r="CC37" s="65"/>
      <c r="CD37" s="62"/>
      <c r="CE37" s="62"/>
      <c r="CF37" s="62"/>
      <c r="CG37" s="62"/>
      <c r="CH37" s="62"/>
      <c r="CI37" s="62"/>
      <c r="CJ37" s="62"/>
      <c r="CK37" s="63"/>
      <c r="CL37" s="64"/>
      <c r="CM37" s="64"/>
      <c r="CN37" s="64"/>
      <c r="CO37" s="65"/>
      <c r="CP37" s="62"/>
      <c r="CQ37" s="62"/>
      <c r="CR37" s="62"/>
      <c r="CS37" s="62"/>
      <c r="CT37" s="62"/>
      <c r="CU37" s="62"/>
      <c r="CV37" s="62"/>
      <c r="CW37" s="63"/>
      <c r="CX37" s="64"/>
      <c r="CY37" s="64"/>
      <c r="CZ37" s="64"/>
      <c r="DA37" s="65"/>
      <c r="DB37" s="62"/>
      <c r="DC37" s="62"/>
      <c r="DD37" s="62"/>
      <c r="DE37" s="62"/>
      <c r="DF37" s="62"/>
      <c r="DG37" s="62"/>
      <c r="DH37" s="62"/>
      <c r="DI37" s="63"/>
      <c r="DJ37" s="64"/>
      <c r="DK37" s="64"/>
      <c r="DL37" s="64"/>
      <c r="DM37" s="65"/>
      <c r="DN37" s="62"/>
      <c r="DO37" s="62"/>
      <c r="DP37" s="62"/>
      <c r="DQ37" s="62"/>
      <c r="DR37" s="62">
        <f t="shared" ref="DR37" si="230">IFERROR($C37*DR36,"")</f>
        <v>0</v>
      </c>
      <c r="DS37" s="62"/>
      <c r="DT37" s="62"/>
      <c r="DU37" s="63"/>
      <c r="DV37" s="64">
        <f t="shared" ref="DV37" si="231">IFERROR($C37*DV36,"")</f>
        <v>0</v>
      </c>
      <c r="DW37" s="64"/>
      <c r="DX37" s="64"/>
      <c r="DY37" s="65"/>
      <c r="DZ37" s="62">
        <f t="shared" ref="DZ37" si="232">IFERROR($C37*DZ36,"")</f>
        <v>0</v>
      </c>
      <c r="EA37" s="62"/>
      <c r="EB37" s="62"/>
      <c r="EC37" s="62"/>
      <c r="ED37" s="62">
        <f t="shared" ref="ED37" si="233">IFERROR($C37*ED36,"")</f>
        <v>0</v>
      </c>
      <c r="EE37" s="62"/>
      <c r="EF37" s="62"/>
      <c r="EG37" s="63"/>
      <c r="EH37" s="64">
        <f t="shared" ref="EH37" si="234">IFERROR($C37*EH36,"")</f>
        <v>0</v>
      </c>
      <c r="EI37" s="64"/>
      <c r="EJ37" s="64"/>
      <c r="EK37" s="65"/>
      <c r="EL37" s="62">
        <f t="shared" ref="EL37" si="235">IFERROR($C37*EL36,"")</f>
        <v>0</v>
      </c>
      <c r="EM37" s="62"/>
      <c r="EN37" s="62"/>
      <c r="EO37" s="62"/>
      <c r="EP37" s="62">
        <f t="shared" ref="EP37" si="236">IFERROR($C37*EP36,"")</f>
        <v>0</v>
      </c>
      <c r="EQ37" s="62"/>
      <c r="ER37" s="62"/>
      <c r="ES37" s="63"/>
    </row>
    <row r="38" spans="2:149" hidden="1" outlineLevel="1" x14ac:dyDescent="0.45">
      <c r="B38" s="78"/>
      <c r="C38" s="25">
        <v>420000</v>
      </c>
      <c r="D38" s="26" t="s">
        <v>3</v>
      </c>
      <c r="E38" s="27">
        <f>SUM(F38:CW38)</f>
        <v>0</v>
      </c>
      <c r="F38" s="66">
        <f>IFERROR($C38*F36,"")</f>
        <v>0</v>
      </c>
      <c r="G38" s="60"/>
      <c r="H38" s="60"/>
      <c r="I38" s="60"/>
      <c r="J38" s="60">
        <f t="shared" ref="J38" si="237">IFERROR($C38*J36,"")</f>
        <v>0</v>
      </c>
      <c r="K38" s="60"/>
      <c r="L38" s="60"/>
      <c r="M38" s="60"/>
      <c r="N38" s="61">
        <f t="shared" ref="N38" si="238">IFERROR($C38*N36,"")</f>
        <v>0</v>
      </c>
      <c r="O38" s="58"/>
      <c r="P38" s="58"/>
      <c r="Q38" s="58"/>
      <c r="R38" s="58">
        <f t="shared" ref="R38" si="239">IFERROR($C38*R36,"")</f>
        <v>0</v>
      </c>
      <c r="S38" s="58"/>
      <c r="T38" s="58"/>
      <c r="U38" s="59"/>
      <c r="V38" s="60">
        <f t="shared" ref="V38" si="240">IFERROR($C38*V36,"")</f>
        <v>0</v>
      </c>
      <c r="W38" s="60"/>
      <c r="X38" s="60"/>
      <c r="Y38" s="60"/>
      <c r="Z38" s="60">
        <f t="shared" ref="Z38" si="241">IFERROR($C38*Z36,"")</f>
        <v>0</v>
      </c>
      <c r="AA38" s="60"/>
      <c r="AB38" s="60"/>
      <c r="AC38" s="61"/>
      <c r="AD38" s="58">
        <f t="shared" ref="AD38" si="242">IFERROR($C38*AD36,"")</f>
        <v>0</v>
      </c>
      <c r="AE38" s="58"/>
      <c r="AF38" s="58"/>
      <c r="AG38" s="59"/>
      <c r="AH38" s="60"/>
      <c r="AI38" s="60"/>
      <c r="AJ38" s="60"/>
      <c r="AK38" s="60"/>
      <c r="AL38" s="60"/>
      <c r="AM38" s="60"/>
      <c r="AN38" s="60"/>
      <c r="AO38" s="61"/>
      <c r="AP38" s="58"/>
      <c r="AQ38" s="58"/>
      <c r="AR38" s="58"/>
      <c r="AS38" s="59"/>
      <c r="AT38" s="60"/>
      <c r="AU38" s="60"/>
      <c r="AV38" s="60"/>
      <c r="AW38" s="60"/>
      <c r="AX38" s="60"/>
      <c r="AY38" s="60"/>
      <c r="AZ38" s="60"/>
      <c r="BA38" s="61"/>
      <c r="BB38" s="58"/>
      <c r="BC38" s="58"/>
      <c r="BD38" s="58"/>
      <c r="BE38" s="59"/>
      <c r="BF38" s="60"/>
      <c r="BG38" s="60"/>
      <c r="BH38" s="60"/>
      <c r="BI38" s="60"/>
      <c r="BJ38" s="60"/>
      <c r="BK38" s="60"/>
      <c r="BL38" s="60"/>
      <c r="BM38" s="61"/>
      <c r="BN38" s="58"/>
      <c r="BO38" s="58"/>
      <c r="BP38" s="58"/>
      <c r="BQ38" s="59"/>
      <c r="BR38" s="60"/>
      <c r="BS38" s="60"/>
      <c r="BT38" s="60"/>
      <c r="BU38" s="60"/>
      <c r="BV38" s="60"/>
      <c r="BW38" s="60"/>
      <c r="BX38" s="60"/>
      <c r="BY38" s="61"/>
      <c r="BZ38" s="58"/>
      <c r="CA38" s="58"/>
      <c r="CB38" s="58"/>
      <c r="CC38" s="59"/>
      <c r="CD38" s="60"/>
      <c r="CE38" s="60"/>
      <c r="CF38" s="60"/>
      <c r="CG38" s="60"/>
      <c r="CH38" s="60"/>
      <c r="CI38" s="60"/>
      <c r="CJ38" s="60"/>
      <c r="CK38" s="61"/>
      <c r="CL38" s="58"/>
      <c r="CM38" s="58"/>
      <c r="CN38" s="58"/>
      <c r="CO38" s="59"/>
      <c r="CP38" s="60"/>
      <c r="CQ38" s="60"/>
      <c r="CR38" s="60"/>
      <c r="CS38" s="60"/>
      <c r="CT38" s="60"/>
      <c r="CU38" s="60"/>
      <c r="CV38" s="60"/>
      <c r="CW38" s="61"/>
      <c r="CX38" s="58"/>
      <c r="CY38" s="58"/>
      <c r="CZ38" s="58"/>
      <c r="DA38" s="59"/>
      <c r="DB38" s="60"/>
      <c r="DC38" s="60"/>
      <c r="DD38" s="60"/>
      <c r="DE38" s="60"/>
      <c r="DF38" s="60"/>
      <c r="DG38" s="60"/>
      <c r="DH38" s="60"/>
      <c r="DI38" s="61"/>
      <c r="DJ38" s="58"/>
      <c r="DK38" s="58"/>
      <c r="DL38" s="58"/>
      <c r="DM38" s="59"/>
      <c r="DN38" s="60"/>
      <c r="DO38" s="60"/>
      <c r="DP38" s="60"/>
      <c r="DQ38" s="60"/>
      <c r="DR38" s="60">
        <f t="shared" ref="DR38" si="243">IFERROR($C38*DR36,"")</f>
        <v>0</v>
      </c>
      <c r="DS38" s="60"/>
      <c r="DT38" s="60"/>
      <c r="DU38" s="61"/>
      <c r="DV38" s="58">
        <f t="shared" ref="DV38" si="244">IFERROR($C38*DV36,"")</f>
        <v>0</v>
      </c>
      <c r="DW38" s="58"/>
      <c r="DX38" s="58"/>
      <c r="DY38" s="59"/>
      <c r="DZ38" s="60">
        <f t="shared" ref="DZ38" si="245">IFERROR($C38*DZ36,"")</f>
        <v>0</v>
      </c>
      <c r="EA38" s="60"/>
      <c r="EB38" s="60"/>
      <c r="EC38" s="60"/>
      <c r="ED38" s="60">
        <f t="shared" ref="ED38" si="246">IFERROR($C38*ED36,"")</f>
        <v>0</v>
      </c>
      <c r="EE38" s="60"/>
      <c r="EF38" s="60"/>
      <c r="EG38" s="61"/>
      <c r="EH38" s="58">
        <f t="shared" ref="EH38" si="247">IFERROR($C38*EH36,"")</f>
        <v>0</v>
      </c>
      <c r="EI38" s="58"/>
      <c r="EJ38" s="58"/>
      <c r="EK38" s="59"/>
      <c r="EL38" s="60">
        <f t="shared" ref="EL38" si="248">IFERROR($C38*EL36,"")</f>
        <v>0</v>
      </c>
      <c r="EM38" s="60"/>
      <c r="EN38" s="60"/>
      <c r="EO38" s="60"/>
      <c r="EP38" s="60">
        <f t="shared" ref="EP38" si="249">IFERROR($C38*EP36,"")</f>
        <v>0</v>
      </c>
      <c r="EQ38" s="60"/>
      <c r="ER38" s="60"/>
      <c r="ES38" s="61"/>
    </row>
    <row r="39" spans="2:149" hidden="1" outlineLevel="1" x14ac:dyDescent="0.45">
      <c r="B39" s="72" t="s">
        <v>26</v>
      </c>
      <c r="C39" s="19"/>
      <c r="D39" s="20" t="s">
        <v>13</v>
      </c>
      <c r="E39" s="21">
        <f>SUM(F39:ES39)</f>
        <v>0</v>
      </c>
      <c r="F39" s="74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70"/>
      <c r="S39" s="70"/>
      <c r="T39" s="70"/>
      <c r="U39" s="71"/>
      <c r="V39" s="67"/>
      <c r="W39" s="67"/>
      <c r="X39" s="67"/>
      <c r="Y39" s="67"/>
      <c r="Z39" s="67"/>
      <c r="AA39" s="67"/>
      <c r="AB39" s="67"/>
      <c r="AC39" s="68"/>
      <c r="AD39" s="70"/>
      <c r="AE39" s="70"/>
      <c r="AF39" s="70"/>
      <c r="AG39" s="71"/>
      <c r="AH39" s="67"/>
      <c r="AI39" s="67"/>
      <c r="AJ39" s="67"/>
      <c r="AK39" s="67"/>
      <c r="AL39" s="67"/>
      <c r="AM39" s="67"/>
      <c r="AN39" s="67"/>
      <c r="AO39" s="68"/>
      <c r="AP39" s="70"/>
      <c r="AQ39" s="70"/>
      <c r="AR39" s="70"/>
      <c r="AS39" s="71"/>
      <c r="AT39" s="67"/>
      <c r="AU39" s="67"/>
      <c r="AV39" s="67"/>
      <c r="AW39" s="67"/>
      <c r="AX39" s="67"/>
      <c r="AY39" s="67"/>
      <c r="AZ39" s="67"/>
      <c r="BA39" s="68"/>
      <c r="BB39" s="70"/>
      <c r="BC39" s="70"/>
      <c r="BD39" s="70"/>
      <c r="BE39" s="71"/>
      <c r="BF39" s="67"/>
      <c r="BG39" s="67"/>
      <c r="BH39" s="67"/>
      <c r="BI39" s="67"/>
      <c r="BJ39" s="67"/>
      <c r="BK39" s="67"/>
      <c r="BL39" s="67"/>
      <c r="BM39" s="68"/>
      <c r="BN39" s="70"/>
      <c r="BO39" s="70"/>
      <c r="BP39" s="70"/>
      <c r="BQ39" s="71"/>
      <c r="BR39" s="67"/>
      <c r="BS39" s="67"/>
      <c r="BT39" s="67"/>
      <c r="BU39" s="67"/>
      <c r="BV39" s="67"/>
      <c r="BW39" s="67"/>
      <c r="BX39" s="67"/>
      <c r="BY39" s="68"/>
      <c r="BZ39" s="70"/>
      <c r="CA39" s="70"/>
      <c r="CB39" s="70"/>
      <c r="CC39" s="71"/>
      <c r="CD39" s="67"/>
      <c r="CE39" s="67"/>
      <c r="CF39" s="67"/>
      <c r="CG39" s="67"/>
      <c r="CH39" s="67"/>
      <c r="CI39" s="67"/>
      <c r="CJ39" s="67"/>
      <c r="CK39" s="68"/>
      <c r="CL39" s="70"/>
      <c r="CM39" s="70"/>
      <c r="CN39" s="70"/>
      <c r="CO39" s="71"/>
      <c r="CP39" s="67"/>
      <c r="CQ39" s="67"/>
      <c r="CR39" s="67"/>
      <c r="CS39" s="67"/>
      <c r="CT39" s="67"/>
      <c r="CU39" s="67"/>
      <c r="CV39" s="67"/>
      <c r="CW39" s="68"/>
      <c r="CX39" s="70"/>
      <c r="CY39" s="70"/>
      <c r="CZ39" s="70"/>
      <c r="DA39" s="71"/>
      <c r="DB39" s="67"/>
      <c r="DC39" s="67"/>
      <c r="DD39" s="67"/>
      <c r="DE39" s="67"/>
      <c r="DF39" s="67"/>
      <c r="DG39" s="67"/>
      <c r="DH39" s="67"/>
      <c r="DI39" s="68"/>
      <c r="DJ39" s="70"/>
      <c r="DK39" s="70"/>
      <c r="DL39" s="70"/>
      <c r="DM39" s="71"/>
      <c r="DN39" s="67"/>
      <c r="DO39" s="67"/>
      <c r="DP39" s="67"/>
      <c r="DQ39" s="67"/>
      <c r="DR39" s="67"/>
      <c r="DS39" s="67"/>
      <c r="DT39" s="67"/>
      <c r="DU39" s="68"/>
      <c r="DV39" s="70"/>
      <c r="DW39" s="70"/>
      <c r="DX39" s="70"/>
      <c r="DY39" s="71"/>
      <c r="DZ39" s="67"/>
      <c r="EA39" s="67"/>
      <c r="EB39" s="67"/>
      <c r="EC39" s="67"/>
      <c r="ED39" s="67"/>
      <c r="EE39" s="67"/>
      <c r="EF39" s="67"/>
      <c r="EG39" s="68"/>
      <c r="EH39" s="70"/>
      <c r="EI39" s="70"/>
      <c r="EJ39" s="70"/>
      <c r="EK39" s="71"/>
      <c r="EL39" s="67"/>
      <c r="EM39" s="67"/>
      <c r="EN39" s="67"/>
      <c r="EO39" s="67"/>
      <c r="EP39" s="67"/>
      <c r="EQ39" s="67"/>
      <c r="ER39" s="67"/>
      <c r="ES39" s="68"/>
    </row>
    <row r="40" spans="2:149" hidden="1" outlineLevel="1" x14ac:dyDescent="0.45">
      <c r="B40" s="73"/>
      <c r="C40" s="22">
        <v>1000000</v>
      </c>
      <c r="D40" s="23" t="s">
        <v>23</v>
      </c>
      <c r="E40" s="24">
        <f>SUM(F40:CW40)</f>
        <v>0</v>
      </c>
      <c r="F40" s="69">
        <f>IFERROR($C40*F39,"")</f>
        <v>0</v>
      </c>
      <c r="G40" s="62"/>
      <c r="H40" s="62"/>
      <c r="I40" s="62"/>
      <c r="J40" s="62">
        <f t="shared" ref="J40" si="250">IFERROR($C40*J39,"")</f>
        <v>0</v>
      </c>
      <c r="K40" s="62"/>
      <c r="L40" s="62"/>
      <c r="M40" s="62"/>
      <c r="N40" s="63">
        <f t="shared" ref="N40" si="251">IFERROR($C40*N39,"")</f>
        <v>0</v>
      </c>
      <c r="O40" s="64"/>
      <c r="P40" s="64"/>
      <c r="Q40" s="64"/>
      <c r="R40" s="64">
        <f t="shared" ref="R40" si="252">IFERROR($C40*R39,"")</f>
        <v>0</v>
      </c>
      <c r="S40" s="64"/>
      <c r="T40" s="64"/>
      <c r="U40" s="65"/>
      <c r="V40" s="62">
        <f t="shared" ref="V40" si="253">IFERROR($C40*V39,"")</f>
        <v>0</v>
      </c>
      <c r="W40" s="62"/>
      <c r="X40" s="62"/>
      <c r="Y40" s="62"/>
      <c r="Z40" s="62">
        <f t="shared" ref="Z40" si="254">IFERROR($C40*Z39,"")</f>
        <v>0</v>
      </c>
      <c r="AA40" s="62"/>
      <c r="AB40" s="62"/>
      <c r="AC40" s="63"/>
      <c r="AD40" s="64">
        <f t="shared" ref="AD40" si="255">IFERROR($C40*AD39,"")</f>
        <v>0</v>
      </c>
      <c r="AE40" s="64"/>
      <c r="AF40" s="64"/>
      <c r="AG40" s="65"/>
      <c r="AH40" s="62"/>
      <c r="AI40" s="62"/>
      <c r="AJ40" s="62"/>
      <c r="AK40" s="62"/>
      <c r="AL40" s="62"/>
      <c r="AM40" s="62"/>
      <c r="AN40" s="62"/>
      <c r="AO40" s="63"/>
      <c r="AP40" s="64"/>
      <c r="AQ40" s="64"/>
      <c r="AR40" s="64"/>
      <c r="AS40" s="65"/>
      <c r="AT40" s="62"/>
      <c r="AU40" s="62"/>
      <c r="AV40" s="62"/>
      <c r="AW40" s="62"/>
      <c r="AX40" s="62"/>
      <c r="AY40" s="62"/>
      <c r="AZ40" s="62"/>
      <c r="BA40" s="63"/>
      <c r="BB40" s="64"/>
      <c r="BC40" s="64"/>
      <c r="BD40" s="64"/>
      <c r="BE40" s="65"/>
      <c r="BF40" s="62"/>
      <c r="BG40" s="62"/>
      <c r="BH40" s="62"/>
      <c r="BI40" s="62"/>
      <c r="BJ40" s="62"/>
      <c r="BK40" s="62"/>
      <c r="BL40" s="62"/>
      <c r="BM40" s="63"/>
      <c r="BN40" s="64"/>
      <c r="BO40" s="64"/>
      <c r="BP40" s="64"/>
      <c r="BQ40" s="65"/>
      <c r="BR40" s="62"/>
      <c r="BS40" s="62"/>
      <c r="BT40" s="62"/>
      <c r="BU40" s="62"/>
      <c r="BV40" s="62"/>
      <c r="BW40" s="62"/>
      <c r="BX40" s="62"/>
      <c r="BY40" s="63"/>
      <c r="BZ40" s="64"/>
      <c r="CA40" s="64"/>
      <c r="CB40" s="64"/>
      <c r="CC40" s="65"/>
      <c r="CD40" s="62"/>
      <c r="CE40" s="62"/>
      <c r="CF40" s="62"/>
      <c r="CG40" s="62"/>
      <c r="CH40" s="62"/>
      <c r="CI40" s="62"/>
      <c r="CJ40" s="62"/>
      <c r="CK40" s="63"/>
      <c r="CL40" s="64"/>
      <c r="CM40" s="64"/>
      <c r="CN40" s="64"/>
      <c r="CO40" s="65"/>
      <c r="CP40" s="62"/>
      <c r="CQ40" s="62"/>
      <c r="CR40" s="62"/>
      <c r="CS40" s="62"/>
      <c r="CT40" s="62"/>
      <c r="CU40" s="62"/>
      <c r="CV40" s="62"/>
      <c r="CW40" s="63"/>
      <c r="CX40" s="64"/>
      <c r="CY40" s="64"/>
      <c r="CZ40" s="64"/>
      <c r="DA40" s="65"/>
      <c r="DB40" s="62"/>
      <c r="DC40" s="62"/>
      <c r="DD40" s="62"/>
      <c r="DE40" s="62"/>
      <c r="DF40" s="62"/>
      <c r="DG40" s="62"/>
      <c r="DH40" s="62"/>
      <c r="DI40" s="63"/>
      <c r="DJ40" s="64"/>
      <c r="DK40" s="64"/>
      <c r="DL40" s="64"/>
      <c r="DM40" s="65"/>
      <c r="DN40" s="62"/>
      <c r="DO40" s="62"/>
      <c r="DP40" s="62"/>
      <c r="DQ40" s="62"/>
      <c r="DR40" s="62">
        <f t="shared" ref="DR40" si="256">IFERROR($C40*DR39,"")</f>
        <v>0</v>
      </c>
      <c r="DS40" s="62"/>
      <c r="DT40" s="62"/>
      <c r="DU40" s="63"/>
      <c r="DV40" s="64">
        <f t="shared" ref="DV40" si="257">IFERROR($C40*DV39,"")</f>
        <v>0</v>
      </c>
      <c r="DW40" s="64"/>
      <c r="DX40" s="64"/>
      <c r="DY40" s="65"/>
      <c r="DZ40" s="62">
        <f t="shared" ref="DZ40" si="258">IFERROR($C40*DZ39,"")</f>
        <v>0</v>
      </c>
      <c r="EA40" s="62"/>
      <c r="EB40" s="62"/>
      <c r="EC40" s="62"/>
      <c r="ED40" s="62">
        <f t="shared" ref="ED40" si="259">IFERROR($C40*ED39,"")</f>
        <v>0</v>
      </c>
      <c r="EE40" s="62"/>
      <c r="EF40" s="62"/>
      <c r="EG40" s="63"/>
      <c r="EH40" s="64">
        <f t="shared" ref="EH40" si="260">IFERROR($C40*EH39,"")</f>
        <v>0</v>
      </c>
      <c r="EI40" s="64"/>
      <c r="EJ40" s="64"/>
      <c r="EK40" s="65"/>
      <c r="EL40" s="62">
        <f t="shared" ref="EL40" si="261">IFERROR($C40*EL39,"")</f>
        <v>0</v>
      </c>
      <c r="EM40" s="62"/>
      <c r="EN40" s="62"/>
      <c r="EO40" s="62"/>
      <c r="EP40" s="62">
        <f t="shared" ref="EP40" si="262">IFERROR($C40*EP39,"")</f>
        <v>0</v>
      </c>
      <c r="EQ40" s="62"/>
      <c r="ER40" s="62"/>
      <c r="ES40" s="63"/>
    </row>
    <row r="41" spans="2:149" hidden="1" outlineLevel="1" x14ac:dyDescent="0.45">
      <c r="B41" s="78"/>
      <c r="C41" s="25">
        <v>420000</v>
      </c>
      <c r="D41" s="26" t="s">
        <v>3</v>
      </c>
      <c r="E41" s="27">
        <f>SUM(F41:CW41)</f>
        <v>0</v>
      </c>
      <c r="F41" s="66">
        <f>IFERROR($C41*F39,"")</f>
        <v>0</v>
      </c>
      <c r="G41" s="60"/>
      <c r="H41" s="60"/>
      <c r="I41" s="60"/>
      <c r="J41" s="60">
        <f t="shared" ref="J41" si="263">IFERROR($C41*J39,"")</f>
        <v>0</v>
      </c>
      <c r="K41" s="60"/>
      <c r="L41" s="60"/>
      <c r="M41" s="60"/>
      <c r="N41" s="61">
        <f t="shared" ref="N41" si="264">IFERROR($C41*N39,"")</f>
        <v>0</v>
      </c>
      <c r="O41" s="58"/>
      <c r="P41" s="58"/>
      <c r="Q41" s="58"/>
      <c r="R41" s="58">
        <f t="shared" ref="R41" si="265">IFERROR($C41*R39,"")</f>
        <v>0</v>
      </c>
      <c r="S41" s="58"/>
      <c r="T41" s="58"/>
      <c r="U41" s="59"/>
      <c r="V41" s="60">
        <f t="shared" ref="V41" si="266">IFERROR($C41*V39,"")</f>
        <v>0</v>
      </c>
      <c r="W41" s="60"/>
      <c r="X41" s="60"/>
      <c r="Y41" s="60"/>
      <c r="Z41" s="60">
        <f t="shared" ref="Z41" si="267">IFERROR($C41*Z39,"")</f>
        <v>0</v>
      </c>
      <c r="AA41" s="60"/>
      <c r="AB41" s="60"/>
      <c r="AC41" s="61"/>
      <c r="AD41" s="58">
        <f t="shared" ref="AD41" si="268">IFERROR($C41*AD39,"")</f>
        <v>0</v>
      </c>
      <c r="AE41" s="58"/>
      <c r="AF41" s="58"/>
      <c r="AG41" s="59"/>
      <c r="AH41" s="60"/>
      <c r="AI41" s="60"/>
      <c r="AJ41" s="60"/>
      <c r="AK41" s="60"/>
      <c r="AL41" s="60"/>
      <c r="AM41" s="60"/>
      <c r="AN41" s="60"/>
      <c r="AO41" s="61"/>
      <c r="AP41" s="58"/>
      <c r="AQ41" s="58"/>
      <c r="AR41" s="58"/>
      <c r="AS41" s="59"/>
      <c r="AT41" s="60"/>
      <c r="AU41" s="60"/>
      <c r="AV41" s="60"/>
      <c r="AW41" s="60"/>
      <c r="AX41" s="60"/>
      <c r="AY41" s="60"/>
      <c r="AZ41" s="60"/>
      <c r="BA41" s="61"/>
      <c r="BB41" s="58"/>
      <c r="BC41" s="58"/>
      <c r="BD41" s="58"/>
      <c r="BE41" s="59"/>
      <c r="BF41" s="60"/>
      <c r="BG41" s="60"/>
      <c r="BH41" s="60"/>
      <c r="BI41" s="60"/>
      <c r="BJ41" s="60"/>
      <c r="BK41" s="60"/>
      <c r="BL41" s="60"/>
      <c r="BM41" s="61"/>
      <c r="BN41" s="58"/>
      <c r="BO41" s="58"/>
      <c r="BP41" s="58"/>
      <c r="BQ41" s="59"/>
      <c r="BR41" s="60"/>
      <c r="BS41" s="60"/>
      <c r="BT41" s="60"/>
      <c r="BU41" s="60"/>
      <c r="BV41" s="60"/>
      <c r="BW41" s="60"/>
      <c r="BX41" s="60"/>
      <c r="BY41" s="61"/>
      <c r="BZ41" s="58"/>
      <c r="CA41" s="58"/>
      <c r="CB41" s="58"/>
      <c r="CC41" s="59"/>
      <c r="CD41" s="60"/>
      <c r="CE41" s="60"/>
      <c r="CF41" s="60"/>
      <c r="CG41" s="60"/>
      <c r="CH41" s="60"/>
      <c r="CI41" s="60"/>
      <c r="CJ41" s="60"/>
      <c r="CK41" s="61"/>
      <c r="CL41" s="58"/>
      <c r="CM41" s="58"/>
      <c r="CN41" s="58"/>
      <c r="CO41" s="59"/>
      <c r="CP41" s="60"/>
      <c r="CQ41" s="60"/>
      <c r="CR41" s="60"/>
      <c r="CS41" s="60"/>
      <c r="CT41" s="60"/>
      <c r="CU41" s="60"/>
      <c r="CV41" s="60"/>
      <c r="CW41" s="61"/>
      <c r="CX41" s="58"/>
      <c r="CY41" s="58"/>
      <c r="CZ41" s="58"/>
      <c r="DA41" s="59"/>
      <c r="DB41" s="60"/>
      <c r="DC41" s="60"/>
      <c r="DD41" s="60"/>
      <c r="DE41" s="60"/>
      <c r="DF41" s="60"/>
      <c r="DG41" s="60"/>
      <c r="DH41" s="60"/>
      <c r="DI41" s="61"/>
      <c r="DJ41" s="58"/>
      <c r="DK41" s="58"/>
      <c r="DL41" s="58"/>
      <c r="DM41" s="59"/>
      <c r="DN41" s="60"/>
      <c r="DO41" s="60"/>
      <c r="DP41" s="60"/>
      <c r="DQ41" s="60"/>
      <c r="DR41" s="60">
        <f t="shared" ref="DR41" si="269">IFERROR($C41*DR39,"")</f>
        <v>0</v>
      </c>
      <c r="DS41" s="60"/>
      <c r="DT41" s="60"/>
      <c r="DU41" s="61"/>
      <c r="DV41" s="58">
        <f t="shared" ref="DV41" si="270">IFERROR($C41*DV39,"")</f>
        <v>0</v>
      </c>
      <c r="DW41" s="58"/>
      <c r="DX41" s="58"/>
      <c r="DY41" s="59"/>
      <c r="DZ41" s="60">
        <f t="shared" ref="DZ41" si="271">IFERROR($C41*DZ39,"")</f>
        <v>0</v>
      </c>
      <c r="EA41" s="60"/>
      <c r="EB41" s="60"/>
      <c r="EC41" s="60"/>
      <c r="ED41" s="60">
        <f t="shared" ref="ED41" si="272">IFERROR($C41*ED39,"")</f>
        <v>0</v>
      </c>
      <c r="EE41" s="60"/>
      <c r="EF41" s="60"/>
      <c r="EG41" s="61"/>
      <c r="EH41" s="58">
        <f t="shared" ref="EH41" si="273">IFERROR($C41*EH39,"")</f>
        <v>0</v>
      </c>
      <c r="EI41" s="58"/>
      <c r="EJ41" s="58"/>
      <c r="EK41" s="59"/>
      <c r="EL41" s="60">
        <f t="shared" ref="EL41" si="274">IFERROR($C41*EL39,"")</f>
        <v>0</v>
      </c>
      <c r="EM41" s="60"/>
      <c r="EN41" s="60"/>
      <c r="EO41" s="60"/>
      <c r="EP41" s="60">
        <f t="shared" ref="EP41" si="275">IFERROR($C41*EP39,"")</f>
        <v>0</v>
      </c>
      <c r="EQ41" s="60"/>
      <c r="ER41" s="60"/>
      <c r="ES41" s="61"/>
    </row>
    <row r="42" spans="2:149" hidden="1" outlineLevel="1" x14ac:dyDescent="0.45">
      <c r="B42" s="72"/>
      <c r="C42" s="19"/>
      <c r="D42" s="20" t="s">
        <v>13</v>
      </c>
      <c r="E42" s="21">
        <f t="shared" ref="E42" si="276">SUM(F42:CW42)</f>
        <v>0</v>
      </c>
      <c r="F42" s="74"/>
      <c r="G42" s="67"/>
      <c r="H42" s="67"/>
      <c r="I42" s="67"/>
      <c r="J42" s="67"/>
      <c r="K42" s="67"/>
      <c r="L42" s="67"/>
      <c r="M42" s="67"/>
      <c r="N42" s="68"/>
      <c r="O42" s="70"/>
      <c r="P42" s="70"/>
      <c r="Q42" s="70"/>
      <c r="R42" s="70"/>
      <c r="S42" s="70"/>
      <c r="T42" s="70"/>
      <c r="U42" s="71"/>
      <c r="V42" s="67"/>
      <c r="W42" s="67"/>
      <c r="X42" s="67"/>
      <c r="Y42" s="67"/>
      <c r="Z42" s="67"/>
      <c r="AA42" s="67"/>
      <c r="AB42" s="67"/>
      <c r="AC42" s="68"/>
      <c r="AD42" s="70"/>
      <c r="AE42" s="70"/>
      <c r="AF42" s="70"/>
      <c r="AG42" s="71"/>
      <c r="AH42" s="67"/>
      <c r="AI42" s="67"/>
      <c r="AJ42" s="67"/>
      <c r="AK42" s="67"/>
      <c r="AL42" s="67"/>
      <c r="AM42" s="67"/>
      <c r="AN42" s="67"/>
      <c r="AO42" s="68"/>
      <c r="AP42" s="70"/>
      <c r="AQ42" s="70"/>
      <c r="AR42" s="70"/>
      <c r="AS42" s="71"/>
      <c r="AT42" s="67"/>
      <c r="AU42" s="67"/>
      <c r="AV42" s="67"/>
      <c r="AW42" s="67"/>
      <c r="AX42" s="67"/>
      <c r="AY42" s="67"/>
      <c r="AZ42" s="67"/>
      <c r="BA42" s="68"/>
      <c r="BB42" s="70"/>
      <c r="BC42" s="70"/>
      <c r="BD42" s="70"/>
      <c r="BE42" s="71"/>
      <c r="BF42" s="67"/>
      <c r="BG42" s="67"/>
      <c r="BH42" s="67"/>
      <c r="BI42" s="67"/>
      <c r="BJ42" s="67"/>
      <c r="BK42" s="67"/>
      <c r="BL42" s="67"/>
      <c r="BM42" s="68"/>
      <c r="BN42" s="70"/>
      <c r="BO42" s="70"/>
      <c r="BP42" s="70"/>
      <c r="BQ42" s="71"/>
      <c r="BR42" s="67"/>
      <c r="BS42" s="67"/>
      <c r="BT42" s="67"/>
      <c r="BU42" s="67"/>
      <c r="BV42" s="67"/>
      <c r="BW42" s="67"/>
      <c r="BX42" s="67"/>
      <c r="BY42" s="68"/>
      <c r="BZ42" s="70"/>
      <c r="CA42" s="70"/>
      <c r="CB42" s="70"/>
      <c r="CC42" s="71"/>
      <c r="CD42" s="67"/>
      <c r="CE42" s="67"/>
      <c r="CF42" s="67"/>
      <c r="CG42" s="67"/>
      <c r="CH42" s="67"/>
      <c r="CI42" s="67"/>
      <c r="CJ42" s="67"/>
      <c r="CK42" s="68"/>
      <c r="CL42" s="70"/>
      <c r="CM42" s="70"/>
      <c r="CN42" s="70"/>
      <c r="CO42" s="71"/>
      <c r="CP42" s="67"/>
      <c r="CQ42" s="67"/>
      <c r="CR42" s="67"/>
      <c r="CS42" s="67"/>
      <c r="CT42" s="67"/>
      <c r="CU42" s="67"/>
      <c r="CV42" s="67"/>
      <c r="CW42" s="68"/>
      <c r="CX42" s="70"/>
      <c r="CY42" s="70"/>
      <c r="CZ42" s="70"/>
      <c r="DA42" s="71"/>
      <c r="DB42" s="67"/>
      <c r="DC42" s="67"/>
      <c r="DD42" s="67"/>
      <c r="DE42" s="67"/>
      <c r="DF42" s="67"/>
      <c r="DG42" s="67"/>
      <c r="DH42" s="67"/>
      <c r="DI42" s="68"/>
      <c r="DJ42" s="70"/>
      <c r="DK42" s="70"/>
      <c r="DL42" s="70"/>
      <c r="DM42" s="71"/>
      <c r="DN42" s="67"/>
      <c r="DO42" s="67"/>
      <c r="DP42" s="67"/>
      <c r="DQ42" s="67"/>
      <c r="DR42" s="67"/>
      <c r="DS42" s="67"/>
      <c r="DT42" s="67"/>
      <c r="DU42" s="68"/>
      <c r="DV42" s="70"/>
      <c r="DW42" s="70"/>
      <c r="DX42" s="70"/>
      <c r="DY42" s="71"/>
      <c r="DZ42" s="67"/>
      <c r="EA42" s="67"/>
      <c r="EB42" s="67"/>
      <c r="EC42" s="67"/>
      <c r="ED42" s="67"/>
      <c r="EE42" s="67"/>
      <c r="EF42" s="67"/>
      <c r="EG42" s="68"/>
      <c r="EH42" s="70"/>
      <c r="EI42" s="70"/>
      <c r="EJ42" s="70"/>
      <c r="EK42" s="71"/>
      <c r="EL42" s="67"/>
      <c r="EM42" s="67"/>
      <c r="EN42" s="67"/>
      <c r="EO42" s="67"/>
      <c r="EP42" s="67"/>
      <c r="EQ42" s="67"/>
      <c r="ER42" s="67"/>
      <c r="ES42" s="68"/>
    </row>
    <row r="43" spans="2:149" hidden="1" outlineLevel="1" x14ac:dyDescent="0.45">
      <c r="B43" s="73"/>
      <c r="C43" s="22"/>
      <c r="D43" s="23" t="s">
        <v>23</v>
      </c>
      <c r="E43" s="24">
        <f>SUM(F43:CW43)</f>
        <v>0</v>
      </c>
      <c r="F43" s="69">
        <f>IFERROR($C43*F42,"")</f>
        <v>0</v>
      </c>
      <c r="G43" s="62"/>
      <c r="H43" s="62"/>
      <c r="I43" s="62"/>
      <c r="J43" s="62">
        <f t="shared" ref="J43" si="277">IFERROR($C43*J42,"")</f>
        <v>0</v>
      </c>
      <c r="K43" s="62"/>
      <c r="L43" s="62"/>
      <c r="M43" s="62"/>
      <c r="N43" s="63">
        <f t="shared" ref="N43" si="278">IFERROR($C43*N42,"")</f>
        <v>0</v>
      </c>
      <c r="O43" s="64"/>
      <c r="P43" s="64"/>
      <c r="Q43" s="64"/>
      <c r="R43" s="64">
        <f t="shared" ref="R43" si="279">IFERROR($C43*R42,"")</f>
        <v>0</v>
      </c>
      <c r="S43" s="64"/>
      <c r="T43" s="64"/>
      <c r="U43" s="65"/>
      <c r="V43" s="62">
        <f t="shared" ref="V43" si="280">IFERROR($C43*V42,"")</f>
        <v>0</v>
      </c>
      <c r="W43" s="62"/>
      <c r="X43" s="62"/>
      <c r="Y43" s="62"/>
      <c r="Z43" s="62">
        <f t="shared" ref="Z43" si="281">IFERROR($C43*Z42,"")</f>
        <v>0</v>
      </c>
      <c r="AA43" s="62"/>
      <c r="AB43" s="62"/>
      <c r="AC43" s="63"/>
      <c r="AD43" s="64">
        <f t="shared" ref="AD43" si="282">IFERROR($C43*AD42,"")</f>
        <v>0</v>
      </c>
      <c r="AE43" s="64"/>
      <c r="AF43" s="64"/>
      <c r="AG43" s="65"/>
      <c r="AH43" s="62">
        <f t="shared" ref="AH43" si="283">IFERROR($C43*AH42,"")</f>
        <v>0</v>
      </c>
      <c r="AI43" s="62"/>
      <c r="AJ43" s="62"/>
      <c r="AK43" s="62"/>
      <c r="AL43" s="62">
        <f t="shared" ref="AL43" si="284">IFERROR($C43*AL42,"")</f>
        <v>0</v>
      </c>
      <c r="AM43" s="62"/>
      <c r="AN43" s="62"/>
      <c r="AO43" s="63"/>
      <c r="AP43" s="64">
        <f t="shared" ref="AP43" si="285">IFERROR($C43*AP42,"")</f>
        <v>0</v>
      </c>
      <c r="AQ43" s="64"/>
      <c r="AR43" s="64"/>
      <c r="AS43" s="65"/>
      <c r="AT43" s="62">
        <f t="shared" ref="AT43" si="286">IFERROR($C43*AT42,"")</f>
        <v>0</v>
      </c>
      <c r="AU43" s="62"/>
      <c r="AV43" s="62"/>
      <c r="AW43" s="62"/>
      <c r="AX43" s="62">
        <f t="shared" ref="AX43" si="287">IFERROR($C43*AX42,"")</f>
        <v>0</v>
      </c>
      <c r="AY43" s="62"/>
      <c r="AZ43" s="62"/>
      <c r="BA43" s="63"/>
      <c r="BB43" s="64">
        <f t="shared" ref="BB43" si="288">IFERROR($C43*BB42,"")</f>
        <v>0</v>
      </c>
      <c r="BC43" s="64"/>
      <c r="BD43" s="64"/>
      <c r="BE43" s="65"/>
      <c r="BF43" s="62">
        <f t="shared" ref="BF43" si="289">IFERROR($C43*BF42,"")</f>
        <v>0</v>
      </c>
      <c r="BG43" s="62"/>
      <c r="BH43" s="62"/>
      <c r="BI43" s="62"/>
      <c r="BJ43" s="62">
        <f t="shared" ref="BJ43" si="290">IFERROR($C43*BJ42,"")</f>
        <v>0</v>
      </c>
      <c r="BK43" s="62"/>
      <c r="BL43" s="62"/>
      <c r="BM43" s="63"/>
      <c r="BN43" s="64">
        <f t="shared" ref="BN43" si="291">IFERROR($C43*BN42,"")</f>
        <v>0</v>
      </c>
      <c r="BO43" s="64"/>
      <c r="BP43" s="64"/>
      <c r="BQ43" s="65"/>
      <c r="BR43" s="62">
        <f t="shared" ref="BR43" si="292">IFERROR($C43*BR42,"")</f>
        <v>0</v>
      </c>
      <c r="BS43" s="62"/>
      <c r="BT43" s="62"/>
      <c r="BU43" s="62"/>
      <c r="BV43" s="62">
        <f t="shared" ref="BV43" si="293">IFERROR($C43*BV42,"")</f>
        <v>0</v>
      </c>
      <c r="BW43" s="62"/>
      <c r="BX43" s="62"/>
      <c r="BY43" s="63"/>
      <c r="BZ43" s="64">
        <f t="shared" ref="BZ43" si="294">IFERROR($C43*BZ42,"")</f>
        <v>0</v>
      </c>
      <c r="CA43" s="64"/>
      <c r="CB43" s="64"/>
      <c r="CC43" s="65"/>
      <c r="CD43" s="62">
        <f t="shared" ref="CD43" si="295">IFERROR($C43*CD42,"")</f>
        <v>0</v>
      </c>
      <c r="CE43" s="62"/>
      <c r="CF43" s="62"/>
      <c r="CG43" s="62"/>
      <c r="CH43" s="62">
        <f t="shared" ref="CH43" si="296">IFERROR($C43*CH42,"")</f>
        <v>0</v>
      </c>
      <c r="CI43" s="62"/>
      <c r="CJ43" s="62"/>
      <c r="CK43" s="63"/>
      <c r="CL43" s="64">
        <f t="shared" ref="CL43" si="297">IFERROR($C43*CL42,"")</f>
        <v>0</v>
      </c>
      <c r="CM43" s="64"/>
      <c r="CN43" s="64"/>
      <c r="CO43" s="65"/>
      <c r="CP43" s="62">
        <f t="shared" ref="CP43" si="298">IFERROR($C43*CP42,"")</f>
        <v>0</v>
      </c>
      <c r="CQ43" s="62"/>
      <c r="CR43" s="62"/>
      <c r="CS43" s="62"/>
      <c r="CT43" s="62">
        <f t="shared" ref="CT43" si="299">IFERROR($C43*CT42,"")</f>
        <v>0</v>
      </c>
      <c r="CU43" s="62"/>
      <c r="CV43" s="62"/>
      <c r="CW43" s="63"/>
      <c r="CX43" s="64">
        <f t="shared" ref="CX43" si="300">IFERROR($C43*CX42,"")</f>
        <v>0</v>
      </c>
      <c r="CY43" s="64"/>
      <c r="CZ43" s="64"/>
      <c r="DA43" s="65"/>
      <c r="DB43" s="62">
        <f t="shared" ref="DB43" si="301">IFERROR($C43*DB42,"")</f>
        <v>0</v>
      </c>
      <c r="DC43" s="62"/>
      <c r="DD43" s="62"/>
      <c r="DE43" s="62"/>
      <c r="DF43" s="62">
        <f t="shared" ref="DF43" si="302">IFERROR($C43*DF42,"")</f>
        <v>0</v>
      </c>
      <c r="DG43" s="62"/>
      <c r="DH43" s="62"/>
      <c r="DI43" s="63"/>
      <c r="DJ43" s="64">
        <f t="shared" ref="DJ43" si="303">IFERROR($C43*DJ42,"")</f>
        <v>0</v>
      </c>
      <c r="DK43" s="64"/>
      <c r="DL43" s="64"/>
      <c r="DM43" s="65"/>
      <c r="DN43" s="62">
        <f t="shared" ref="DN43" si="304">IFERROR($C43*DN42,"")</f>
        <v>0</v>
      </c>
      <c r="DO43" s="62"/>
      <c r="DP43" s="62"/>
      <c r="DQ43" s="62"/>
      <c r="DR43" s="62">
        <f t="shared" ref="DR43" si="305">IFERROR($C43*DR42,"")</f>
        <v>0</v>
      </c>
      <c r="DS43" s="62"/>
      <c r="DT43" s="62"/>
      <c r="DU43" s="63"/>
      <c r="DV43" s="64">
        <f t="shared" ref="DV43" si="306">IFERROR($C43*DV42,"")</f>
        <v>0</v>
      </c>
      <c r="DW43" s="64"/>
      <c r="DX43" s="64"/>
      <c r="DY43" s="65"/>
      <c r="DZ43" s="62">
        <f t="shared" ref="DZ43" si="307">IFERROR($C43*DZ42,"")</f>
        <v>0</v>
      </c>
      <c r="EA43" s="62"/>
      <c r="EB43" s="62"/>
      <c r="EC43" s="62"/>
      <c r="ED43" s="62">
        <f t="shared" ref="ED43" si="308">IFERROR($C43*ED42,"")</f>
        <v>0</v>
      </c>
      <c r="EE43" s="62"/>
      <c r="EF43" s="62"/>
      <c r="EG43" s="63"/>
      <c r="EH43" s="64">
        <f t="shared" ref="EH43" si="309">IFERROR($C43*EH42,"")</f>
        <v>0</v>
      </c>
      <c r="EI43" s="64"/>
      <c r="EJ43" s="64"/>
      <c r="EK43" s="65"/>
      <c r="EL43" s="62">
        <f t="shared" ref="EL43" si="310">IFERROR($C43*EL42,"")</f>
        <v>0</v>
      </c>
      <c r="EM43" s="62"/>
      <c r="EN43" s="62"/>
      <c r="EO43" s="62"/>
      <c r="EP43" s="62">
        <f t="shared" ref="EP43" si="311">IFERROR($C43*EP42,"")</f>
        <v>0</v>
      </c>
      <c r="EQ43" s="62"/>
      <c r="ER43" s="62"/>
      <c r="ES43" s="63"/>
    </row>
    <row r="44" spans="2:149" hidden="1" outlineLevel="1" x14ac:dyDescent="0.45">
      <c r="B44" s="78"/>
      <c r="C44" s="25"/>
      <c r="D44" s="26" t="s">
        <v>3</v>
      </c>
      <c r="E44" s="27">
        <f>SUM(F44:CW44)</f>
        <v>0</v>
      </c>
      <c r="F44" s="66">
        <f>IFERROR($C44*F42,"")</f>
        <v>0</v>
      </c>
      <c r="G44" s="60"/>
      <c r="H44" s="60"/>
      <c r="I44" s="60"/>
      <c r="J44" s="60">
        <f t="shared" ref="J44" si="312">IFERROR($C44*J42,"")</f>
        <v>0</v>
      </c>
      <c r="K44" s="60"/>
      <c r="L44" s="60"/>
      <c r="M44" s="60"/>
      <c r="N44" s="61">
        <f t="shared" ref="N44" si="313">IFERROR($C44*N42,"")</f>
        <v>0</v>
      </c>
      <c r="O44" s="58"/>
      <c r="P44" s="58"/>
      <c r="Q44" s="58"/>
      <c r="R44" s="58">
        <f t="shared" ref="R44" si="314">IFERROR($C44*R42,"")</f>
        <v>0</v>
      </c>
      <c r="S44" s="58"/>
      <c r="T44" s="58"/>
      <c r="U44" s="59"/>
      <c r="V44" s="60">
        <f t="shared" ref="V44" si="315">IFERROR($C44*V42,"")</f>
        <v>0</v>
      </c>
      <c r="W44" s="60"/>
      <c r="X44" s="60"/>
      <c r="Y44" s="60"/>
      <c r="Z44" s="60">
        <f t="shared" ref="Z44" si="316">IFERROR($C44*Z42,"")</f>
        <v>0</v>
      </c>
      <c r="AA44" s="60"/>
      <c r="AB44" s="60"/>
      <c r="AC44" s="61"/>
      <c r="AD44" s="58">
        <f t="shared" ref="AD44" si="317">IFERROR($C44*AD42,"")</f>
        <v>0</v>
      </c>
      <c r="AE44" s="58"/>
      <c r="AF44" s="58"/>
      <c r="AG44" s="59"/>
      <c r="AH44" s="60">
        <f t="shared" ref="AH44" si="318">IFERROR($C44*AH42,"")</f>
        <v>0</v>
      </c>
      <c r="AI44" s="60"/>
      <c r="AJ44" s="60"/>
      <c r="AK44" s="60"/>
      <c r="AL44" s="60">
        <f t="shared" ref="AL44" si="319">IFERROR($C44*AL42,"")</f>
        <v>0</v>
      </c>
      <c r="AM44" s="60"/>
      <c r="AN44" s="60"/>
      <c r="AO44" s="61"/>
      <c r="AP44" s="58">
        <f t="shared" ref="AP44" si="320">IFERROR($C44*AP42,"")</f>
        <v>0</v>
      </c>
      <c r="AQ44" s="58"/>
      <c r="AR44" s="58"/>
      <c r="AS44" s="59"/>
      <c r="AT44" s="60">
        <f t="shared" ref="AT44" si="321">IFERROR($C44*AT42,"")</f>
        <v>0</v>
      </c>
      <c r="AU44" s="60"/>
      <c r="AV44" s="60"/>
      <c r="AW44" s="60"/>
      <c r="AX44" s="60">
        <f t="shared" ref="AX44" si="322">IFERROR($C44*AX42,"")</f>
        <v>0</v>
      </c>
      <c r="AY44" s="60"/>
      <c r="AZ44" s="60"/>
      <c r="BA44" s="61"/>
      <c r="BB44" s="58">
        <f t="shared" ref="BB44" si="323">IFERROR($C44*BB42,"")</f>
        <v>0</v>
      </c>
      <c r="BC44" s="58"/>
      <c r="BD44" s="58"/>
      <c r="BE44" s="59"/>
      <c r="BF44" s="60">
        <f t="shared" ref="BF44" si="324">IFERROR($C44*BF42,"")</f>
        <v>0</v>
      </c>
      <c r="BG44" s="60"/>
      <c r="BH44" s="60"/>
      <c r="BI44" s="60"/>
      <c r="BJ44" s="60">
        <f t="shared" ref="BJ44" si="325">IFERROR($C44*BJ42,"")</f>
        <v>0</v>
      </c>
      <c r="BK44" s="60"/>
      <c r="BL44" s="60"/>
      <c r="BM44" s="61"/>
      <c r="BN44" s="58">
        <f t="shared" ref="BN44" si="326">IFERROR($C44*BN42,"")</f>
        <v>0</v>
      </c>
      <c r="BO44" s="58"/>
      <c r="BP44" s="58"/>
      <c r="BQ44" s="59"/>
      <c r="BR44" s="60">
        <f t="shared" ref="BR44" si="327">IFERROR($C44*BR42,"")</f>
        <v>0</v>
      </c>
      <c r="BS44" s="60"/>
      <c r="BT44" s="60"/>
      <c r="BU44" s="60"/>
      <c r="BV44" s="60">
        <f t="shared" ref="BV44" si="328">IFERROR($C44*BV42,"")</f>
        <v>0</v>
      </c>
      <c r="BW44" s="60"/>
      <c r="BX44" s="60"/>
      <c r="BY44" s="61"/>
      <c r="BZ44" s="58">
        <f t="shared" ref="BZ44" si="329">IFERROR($C44*BZ42,"")</f>
        <v>0</v>
      </c>
      <c r="CA44" s="58"/>
      <c r="CB44" s="58"/>
      <c r="CC44" s="59"/>
      <c r="CD44" s="60">
        <f t="shared" ref="CD44" si="330">IFERROR($C44*CD42,"")</f>
        <v>0</v>
      </c>
      <c r="CE44" s="60"/>
      <c r="CF44" s="60"/>
      <c r="CG44" s="60"/>
      <c r="CH44" s="60">
        <f t="shared" ref="CH44" si="331">IFERROR($C44*CH42,"")</f>
        <v>0</v>
      </c>
      <c r="CI44" s="60"/>
      <c r="CJ44" s="60"/>
      <c r="CK44" s="61"/>
      <c r="CL44" s="58">
        <f t="shared" ref="CL44" si="332">IFERROR($C44*CL42,"")</f>
        <v>0</v>
      </c>
      <c r="CM44" s="58"/>
      <c r="CN44" s="58"/>
      <c r="CO44" s="59"/>
      <c r="CP44" s="60">
        <f t="shared" ref="CP44" si="333">IFERROR($C44*CP42,"")</f>
        <v>0</v>
      </c>
      <c r="CQ44" s="60"/>
      <c r="CR44" s="60"/>
      <c r="CS44" s="60"/>
      <c r="CT44" s="60">
        <f t="shared" ref="CT44" si="334">IFERROR($C44*CT42,"")</f>
        <v>0</v>
      </c>
      <c r="CU44" s="60"/>
      <c r="CV44" s="60"/>
      <c r="CW44" s="61"/>
      <c r="CX44" s="58">
        <f t="shared" ref="CX44" si="335">IFERROR($C44*CX42,"")</f>
        <v>0</v>
      </c>
      <c r="CY44" s="58"/>
      <c r="CZ44" s="58"/>
      <c r="DA44" s="59"/>
      <c r="DB44" s="60">
        <f t="shared" ref="DB44" si="336">IFERROR($C44*DB42,"")</f>
        <v>0</v>
      </c>
      <c r="DC44" s="60"/>
      <c r="DD44" s="60"/>
      <c r="DE44" s="60"/>
      <c r="DF44" s="60">
        <f t="shared" ref="DF44" si="337">IFERROR($C44*DF42,"")</f>
        <v>0</v>
      </c>
      <c r="DG44" s="60"/>
      <c r="DH44" s="60"/>
      <c r="DI44" s="61"/>
      <c r="DJ44" s="58">
        <f t="shared" ref="DJ44" si="338">IFERROR($C44*DJ42,"")</f>
        <v>0</v>
      </c>
      <c r="DK44" s="58"/>
      <c r="DL44" s="58"/>
      <c r="DM44" s="59"/>
      <c r="DN44" s="60">
        <f t="shared" ref="DN44" si="339">IFERROR($C44*DN42,"")</f>
        <v>0</v>
      </c>
      <c r="DO44" s="60"/>
      <c r="DP44" s="60"/>
      <c r="DQ44" s="60"/>
      <c r="DR44" s="60">
        <f t="shared" ref="DR44" si="340">IFERROR($C44*DR42,"")</f>
        <v>0</v>
      </c>
      <c r="DS44" s="60"/>
      <c r="DT44" s="60"/>
      <c r="DU44" s="61"/>
      <c r="DV44" s="58">
        <f t="shared" ref="DV44" si="341">IFERROR($C44*DV42,"")</f>
        <v>0</v>
      </c>
      <c r="DW44" s="58"/>
      <c r="DX44" s="58"/>
      <c r="DY44" s="59"/>
      <c r="DZ44" s="60">
        <f t="shared" ref="DZ44" si="342">IFERROR($C44*DZ42,"")</f>
        <v>0</v>
      </c>
      <c r="EA44" s="60"/>
      <c r="EB44" s="60"/>
      <c r="EC44" s="60"/>
      <c r="ED44" s="60">
        <f t="shared" ref="ED44" si="343">IFERROR($C44*ED42,"")</f>
        <v>0</v>
      </c>
      <c r="EE44" s="60"/>
      <c r="EF44" s="60"/>
      <c r="EG44" s="61"/>
      <c r="EH44" s="58">
        <f t="shared" ref="EH44" si="344">IFERROR($C44*EH42,"")</f>
        <v>0</v>
      </c>
      <c r="EI44" s="58"/>
      <c r="EJ44" s="58"/>
      <c r="EK44" s="59"/>
      <c r="EL44" s="60">
        <f t="shared" ref="EL44" si="345">IFERROR($C44*EL42,"")</f>
        <v>0</v>
      </c>
      <c r="EM44" s="60"/>
      <c r="EN44" s="60"/>
      <c r="EO44" s="60"/>
      <c r="EP44" s="60">
        <f t="shared" ref="EP44" si="346">IFERROR($C44*EP42,"")</f>
        <v>0</v>
      </c>
      <c r="EQ44" s="60"/>
      <c r="ER44" s="60"/>
      <c r="ES44" s="61"/>
    </row>
    <row r="45" spans="2:149" hidden="1" outlineLevel="1" x14ac:dyDescent="0.45">
      <c r="B45" s="72"/>
      <c r="C45" s="19"/>
      <c r="D45" s="20" t="s">
        <v>13</v>
      </c>
      <c r="E45" s="21">
        <f t="shared" ref="E45:E59" si="347">SUM(F45:CW45)</f>
        <v>0</v>
      </c>
      <c r="F45" s="74"/>
      <c r="G45" s="67"/>
      <c r="H45" s="67"/>
      <c r="I45" s="67"/>
      <c r="J45" s="67"/>
      <c r="K45" s="67"/>
      <c r="L45" s="67"/>
      <c r="M45" s="67"/>
      <c r="N45" s="68"/>
      <c r="O45" s="70"/>
      <c r="P45" s="70"/>
      <c r="Q45" s="70"/>
      <c r="R45" s="70"/>
      <c r="S45" s="70"/>
      <c r="T45" s="70"/>
      <c r="U45" s="71"/>
      <c r="V45" s="67"/>
      <c r="W45" s="67"/>
      <c r="X45" s="67"/>
      <c r="Y45" s="67"/>
      <c r="Z45" s="67"/>
      <c r="AA45" s="67"/>
      <c r="AB45" s="67"/>
      <c r="AC45" s="68"/>
      <c r="AD45" s="70"/>
      <c r="AE45" s="70"/>
      <c r="AF45" s="70"/>
      <c r="AG45" s="71"/>
      <c r="AH45" s="67"/>
      <c r="AI45" s="67"/>
      <c r="AJ45" s="67"/>
      <c r="AK45" s="67"/>
      <c r="AL45" s="67"/>
      <c r="AM45" s="67"/>
      <c r="AN45" s="67"/>
      <c r="AO45" s="68"/>
      <c r="AP45" s="70"/>
      <c r="AQ45" s="70"/>
      <c r="AR45" s="70"/>
      <c r="AS45" s="71"/>
      <c r="AT45" s="67"/>
      <c r="AU45" s="67"/>
      <c r="AV45" s="67"/>
      <c r="AW45" s="67"/>
      <c r="AX45" s="67"/>
      <c r="AY45" s="67"/>
      <c r="AZ45" s="67"/>
      <c r="BA45" s="68"/>
      <c r="BB45" s="70"/>
      <c r="BC45" s="70"/>
      <c r="BD45" s="70"/>
      <c r="BE45" s="71"/>
      <c r="BF45" s="67"/>
      <c r="BG45" s="67"/>
      <c r="BH45" s="67"/>
      <c r="BI45" s="67"/>
      <c r="BJ45" s="67"/>
      <c r="BK45" s="67"/>
      <c r="BL45" s="67"/>
      <c r="BM45" s="68"/>
      <c r="BN45" s="70"/>
      <c r="BO45" s="70"/>
      <c r="BP45" s="70"/>
      <c r="BQ45" s="71"/>
      <c r="BR45" s="67"/>
      <c r="BS45" s="67"/>
      <c r="BT45" s="67"/>
      <c r="BU45" s="67"/>
      <c r="BV45" s="67"/>
      <c r="BW45" s="67"/>
      <c r="BX45" s="67"/>
      <c r="BY45" s="68"/>
      <c r="BZ45" s="70"/>
      <c r="CA45" s="70"/>
      <c r="CB45" s="70"/>
      <c r="CC45" s="71"/>
      <c r="CD45" s="67"/>
      <c r="CE45" s="67"/>
      <c r="CF45" s="67"/>
      <c r="CG45" s="67"/>
      <c r="CH45" s="67"/>
      <c r="CI45" s="67"/>
      <c r="CJ45" s="67"/>
      <c r="CK45" s="68"/>
      <c r="CL45" s="70"/>
      <c r="CM45" s="70"/>
      <c r="CN45" s="70"/>
      <c r="CO45" s="71"/>
      <c r="CP45" s="67"/>
      <c r="CQ45" s="67"/>
      <c r="CR45" s="67"/>
      <c r="CS45" s="67"/>
      <c r="CT45" s="67"/>
      <c r="CU45" s="67"/>
      <c r="CV45" s="67"/>
      <c r="CW45" s="68"/>
      <c r="CX45" s="70"/>
      <c r="CY45" s="70"/>
      <c r="CZ45" s="70"/>
      <c r="DA45" s="71"/>
      <c r="DB45" s="67"/>
      <c r="DC45" s="67"/>
      <c r="DD45" s="67"/>
      <c r="DE45" s="67"/>
      <c r="DF45" s="67"/>
      <c r="DG45" s="67"/>
      <c r="DH45" s="67"/>
      <c r="DI45" s="68"/>
      <c r="DJ45" s="70"/>
      <c r="DK45" s="70"/>
      <c r="DL45" s="70"/>
      <c r="DM45" s="71"/>
      <c r="DN45" s="67"/>
      <c r="DO45" s="67"/>
      <c r="DP45" s="67"/>
      <c r="DQ45" s="67"/>
      <c r="DR45" s="67"/>
      <c r="DS45" s="67"/>
      <c r="DT45" s="67"/>
      <c r="DU45" s="68"/>
      <c r="DV45" s="70"/>
      <c r="DW45" s="70"/>
      <c r="DX45" s="70"/>
      <c r="DY45" s="71"/>
      <c r="DZ45" s="67"/>
      <c r="EA45" s="67"/>
      <c r="EB45" s="67"/>
      <c r="EC45" s="67"/>
      <c r="ED45" s="67"/>
      <c r="EE45" s="67"/>
      <c r="EF45" s="67"/>
      <c r="EG45" s="68"/>
      <c r="EH45" s="70"/>
      <c r="EI45" s="70"/>
      <c r="EJ45" s="70"/>
      <c r="EK45" s="71"/>
      <c r="EL45" s="67"/>
      <c r="EM45" s="67"/>
      <c r="EN45" s="67"/>
      <c r="EO45" s="67"/>
      <c r="EP45" s="67"/>
      <c r="EQ45" s="67"/>
      <c r="ER45" s="67"/>
      <c r="ES45" s="68"/>
    </row>
    <row r="46" spans="2:149" hidden="1" outlineLevel="1" x14ac:dyDescent="0.45">
      <c r="B46" s="73"/>
      <c r="C46" s="22"/>
      <c r="D46" s="23" t="s">
        <v>23</v>
      </c>
      <c r="E46" s="24">
        <f>SUM(F46:CW46)</f>
        <v>0</v>
      </c>
      <c r="F46" s="69">
        <f>IFERROR($C46*F45,"")</f>
        <v>0</v>
      </c>
      <c r="G46" s="62"/>
      <c r="H46" s="62"/>
      <c r="I46" s="62"/>
      <c r="J46" s="62">
        <f t="shared" ref="J46" si="348">IFERROR($C46*J45,"")</f>
        <v>0</v>
      </c>
      <c r="K46" s="62"/>
      <c r="L46" s="62"/>
      <c r="M46" s="62"/>
      <c r="N46" s="63">
        <f t="shared" ref="N46" si="349">IFERROR($C46*N45,"")</f>
        <v>0</v>
      </c>
      <c r="O46" s="64"/>
      <c r="P46" s="64"/>
      <c r="Q46" s="64"/>
      <c r="R46" s="64">
        <f t="shared" ref="R46" si="350">IFERROR($C46*R45,"")</f>
        <v>0</v>
      </c>
      <c r="S46" s="64"/>
      <c r="T46" s="64"/>
      <c r="U46" s="65"/>
      <c r="V46" s="62">
        <f t="shared" ref="V46" si="351">IFERROR($C46*V45,"")</f>
        <v>0</v>
      </c>
      <c r="W46" s="62"/>
      <c r="X46" s="62"/>
      <c r="Y46" s="62"/>
      <c r="Z46" s="62">
        <f t="shared" ref="Z46" si="352">IFERROR($C46*Z45,"")</f>
        <v>0</v>
      </c>
      <c r="AA46" s="62"/>
      <c r="AB46" s="62"/>
      <c r="AC46" s="63"/>
      <c r="AD46" s="64">
        <f t="shared" ref="AD46" si="353">IFERROR($C46*AD45,"")</f>
        <v>0</v>
      </c>
      <c r="AE46" s="64"/>
      <c r="AF46" s="64"/>
      <c r="AG46" s="65"/>
      <c r="AH46" s="62">
        <f t="shared" ref="AH46" si="354">IFERROR($C46*AH45,"")</f>
        <v>0</v>
      </c>
      <c r="AI46" s="62"/>
      <c r="AJ46" s="62"/>
      <c r="AK46" s="62"/>
      <c r="AL46" s="62">
        <f t="shared" ref="AL46" si="355">IFERROR($C46*AL45,"")</f>
        <v>0</v>
      </c>
      <c r="AM46" s="62"/>
      <c r="AN46" s="62"/>
      <c r="AO46" s="63"/>
      <c r="AP46" s="64">
        <f t="shared" ref="AP46" si="356">IFERROR($C46*AP45,"")</f>
        <v>0</v>
      </c>
      <c r="AQ46" s="64"/>
      <c r="AR46" s="64"/>
      <c r="AS46" s="65"/>
      <c r="AT46" s="62">
        <f t="shared" ref="AT46" si="357">IFERROR($C46*AT45,"")</f>
        <v>0</v>
      </c>
      <c r="AU46" s="62"/>
      <c r="AV46" s="62"/>
      <c r="AW46" s="62"/>
      <c r="AX46" s="62">
        <f t="shared" ref="AX46" si="358">IFERROR($C46*AX45,"")</f>
        <v>0</v>
      </c>
      <c r="AY46" s="62"/>
      <c r="AZ46" s="62"/>
      <c r="BA46" s="63"/>
      <c r="BB46" s="64">
        <f t="shared" ref="BB46" si="359">IFERROR($C46*BB45,"")</f>
        <v>0</v>
      </c>
      <c r="BC46" s="64"/>
      <c r="BD46" s="64"/>
      <c r="BE46" s="65"/>
      <c r="BF46" s="62">
        <f t="shared" ref="BF46" si="360">IFERROR($C46*BF45,"")</f>
        <v>0</v>
      </c>
      <c r="BG46" s="62"/>
      <c r="BH46" s="62"/>
      <c r="BI46" s="62"/>
      <c r="BJ46" s="62">
        <f t="shared" ref="BJ46" si="361">IFERROR($C46*BJ45,"")</f>
        <v>0</v>
      </c>
      <c r="BK46" s="62"/>
      <c r="BL46" s="62"/>
      <c r="BM46" s="63"/>
      <c r="BN46" s="64">
        <f t="shared" ref="BN46" si="362">IFERROR($C46*BN45,"")</f>
        <v>0</v>
      </c>
      <c r="BO46" s="64"/>
      <c r="BP46" s="64"/>
      <c r="BQ46" s="65"/>
      <c r="BR46" s="62">
        <f t="shared" ref="BR46" si="363">IFERROR($C46*BR45,"")</f>
        <v>0</v>
      </c>
      <c r="BS46" s="62"/>
      <c r="BT46" s="62"/>
      <c r="BU46" s="62"/>
      <c r="BV46" s="62">
        <f t="shared" ref="BV46" si="364">IFERROR($C46*BV45,"")</f>
        <v>0</v>
      </c>
      <c r="BW46" s="62"/>
      <c r="BX46" s="62"/>
      <c r="BY46" s="63"/>
      <c r="BZ46" s="64">
        <f t="shared" ref="BZ46" si="365">IFERROR($C46*BZ45,"")</f>
        <v>0</v>
      </c>
      <c r="CA46" s="64"/>
      <c r="CB46" s="64"/>
      <c r="CC46" s="65"/>
      <c r="CD46" s="62">
        <f t="shared" ref="CD46" si="366">IFERROR($C46*CD45,"")</f>
        <v>0</v>
      </c>
      <c r="CE46" s="62"/>
      <c r="CF46" s="62"/>
      <c r="CG46" s="62"/>
      <c r="CH46" s="62">
        <f t="shared" ref="CH46" si="367">IFERROR($C46*CH45,"")</f>
        <v>0</v>
      </c>
      <c r="CI46" s="62"/>
      <c r="CJ46" s="62"/>
      <c r="CK46" s="63"/>
      <c r="CL46" s="64">
        <f t="shared" ref="CL46" si="368">IFERROR($C46*CL45,"")</f>
        <v>0</v>
      </c>
      <c r="CM46" s="64"/>
      <c r="CN46" s="64"/>
      <c r="CO46" s="65"/>
      <c r="CP46" s="62">
        <f t="shared" ref="CP46" si="369">IFERROR($C46*CP45,"")</f>
        <v>0</v>
      </c>
      <c r="CQ46" s="62"/>
      <c r="CR46" s="62"/>
      <c r="CS46" s="62"/>
      <c r="CT46" s="62">
        <f t="shared" ref="CT46" si="370">IFERROR($C46*CT45,"")</f>
        <v>0</v>
      </c>
      <c r="CU46" s="62"/>
      <c r="CV46" s="62"/>
      <c r="CW46" s="63"/>
      <c r="CX46" s="64">
        <f t="shared" ref="CX46" si="371">IFERROR($C46*CX45,"")</f>
        <v>0</v>
      </c>
      <c r="CY46" s="64"/>
      <c r="CZ46" s="64"/>
      <c r="DA46" s="65"/>
      <c r="DB46" s="62">
        <f t="shared" ref="DB46" si="372">IFERROR($C46*DB45,"")</f>
        <v>0</v>
      </c>
      <c r="DC46" s="62"/>
      <c r="DD46" s="62"/>
      <c r="DE46" s="62"/>
      <c r="DF46" s="62">
        <f t="shared" ref="DF46" si="373">IFERROR($C46*DF45,"")</f>
        <v>0</v>
      </c>
      <c r="DG46" s="62"/>
      <c r="DH46" s="62"/>
      <c r="DI46" s="63"/>
      <c r="DJ46" s="64">
        <f t="shared" ref="DJ46" si="374">IFERROR($C46*DJ45,"")</f>
        <v>0</v>
      </c>
      <c r="DK46" s="64"/>
      <c r="DL46" s="64"/>
      <c r="DM46" s="65"/>
      <c r="DN46" s="62">
        <f t="shared" ref="DN46" si="375">IFERROR($C46*DN45,"")</f>
        <v>0</v>
      </c>
      <c r="DO46" s="62"/>
      <c r="DP46" s="62"/>
      <c r="DQ46" s="62"/>
      <c r="DR46" s="62">
        <f t="shared" ref="DR46" si="376">IFERROR($C46*DR45,"")</f>
        <v>0</v>
      </c>
      <c r="DS46" s="62"/>
      <c r="DT46" s="62"/>
      <c r="DU46" s="63"/>
      <c r="DV46" s="64">
        <f t="shared" ref="DV46" si="377">IFERROR($C46*DV45,"")</f>
        <v>0</v>
      </c>
      <c r="DW46" s="64"/>
      <c r="DX46" s="64"/>
      <c r="DY46" s="65"/>
      <c r="DZ46" s="62">
        <f t="shared" ref="DZ46" si="378">IFERROR($C46*DZ45,"")</f>
        <v>0</v>
      </c>
      <c r="EA46" s="62"/>
      <c r="EB46" s="62"/>
      <c r="EC46" s="62"/>
      <c r="ED46" s="62">
        <f t="shared" ref="ED46" si="379">IFERROR($C46*ED45,"")</f>
        <v>0</v>
      </c>
      <c r="EE46" s="62"/>
      <c r="EF46" s="62"/>
      <c r="EG46" s="63"/>
      <c r="EH46" s="64">
        <f t="shared" ref="EH46" si="380">IFERROR($C46*EH45,"")</f>
        <v>0</v>
      </c>
      <c r="EI46" s="64"/>
      <c r="EJ46" s="64"/>
      <c r="EK46" s="65"/>
      <c r="EL46" s="62">
        <f t="shared" ref="EL46" si="381">IFERROR($C46*EL45,"")</f>
        <v>0</v>
      </c>
      <c r="EM46" s="62"/>
      <c r="EN46" s="62"/>
      <c r="EO46" s="62"/>
      <c r="EP46" s="62">
        <f t="shared" ref="EP46" si="382">IFERROR($C46*EP45,"")</f>
        <v>0</v>
      </c>
      <c r="EQ46" s="62"/>
      <c r="ER46" s="62"/>
      <c r="ES46" s="63"/>
    </row>
    <row r="47" spans="2:149" hidden="1" outlineLevel="1" x14ac:dyDescent="0.45">
      <c r="B47" s="78"/>
      <c r="C47" s="25"/>
      <c r="D47" s="26" t="s">
        <v>3</v>
      </c>
      <c r="E47" s="27">
        <f>SUM(F47:CW47)</f>
        <v>0</v>
      </c>
      <c r="F47" s="66">
        <f>IFERROR($C47*F45,"")</f>
        <v>0</v>
      </c>
      <c r="G47" s="60"/>
      <c r="H47" s="60"/>
      <c r="I47" s="60"/>
      <c r="J47" s="60">
        <f t="shared" ref="J47" si="383">IFERROR($C47*J45,"")</f>
        <v>0</v>
      </c>
      <c r="K47" s="60"/>
      <c r="L47" s="60"/>
      <c r="M47" s="60"/>
      <c r="N47" s="61">
        <f t="shared" ref="N47" si="384">IFERROR($C47*N45,"")</f>
        <v>0</v>
      </c>
      <c r="O47" s="58"/>
      <c r="P47" s="58"/>
      <c r="Q47" s="58"/>
      <c r="R47" s="58">
        <f t="shared" ref="R47" si="385">IFERROR($C47*R45,"")</f>
        <v>0</v>
      </c>
      <c r="S47" s="58"/>
      <c r="T47" s="58"/>
      <c r="U47" s="59"/>
      <c r="V47" s="60">
        <f t="shared" ref="V47" si="386">IFERROR($C47*V45,"")</f>
        <v>0</v>
      </c>
      <c r="W47" s="60"/>
      <c r="X47" s="60"/>
      <c r="Y47" s="60"/>
      <c r="Z47" s="60">
        <f t="shared" ref="Z47" si="387">IFERROR($C47*Z45,"")</f>
        <v>0</v>
      </c>
      <c r="AA47" s="60"/>
      <c r="AB47" s="60"/>
      <c r="AC47" s="61"/>
      <c r="AD47" s="58">
        <f t="shared" ref="AD47" si="388">IFERROR($C47*AD45,"")</f>
        <v>0</v>
      </c>
      <c r="AE47" s="58"/>
      <c r="AF47" s="58"/>
      <c r="AG47" s="59"/>
      <c r="AH47" s="60">
        <f t="shared" ref="AH47" si="389">IFERROR($C47*AH45,"")</f>
        <v>0</v>
      </c>
      <c r="AI47" s="60"/>
      <c r="AJ47" s="60"/>
      <c r="AK47" s="60"/>
      <c r="AL47" s="60">
        <f t="shared" ref="AL47" si="390">IFERROR($C47*AL45,"")</f>
        <v>0</v>
      </c>
      <c r="AM47" s="60"/>
      <c r="AN47" s="60"/>
      <c r="AO47" s="61"/>
      <c r="AP47" s="58">
        <f t="shared" ref="AP47" si="391">IFERROR($C47*AP45,"")</f>
        <v>0</v>
      </c>
      <c r="AQ47" s="58"/>
      <c r="AR47" s="58"/>
      <c r="AS47" s="59"/>
      <c r="AT47" s="60">
        <f t="shared" ref="AT47" si="392">IFERROR($C47*AT45,"")</f>
        <v>0</v>
      </c>
      <c r="AU47" s="60"/>
      <c r="AV47" s="60"/>
      <c r="AW47" s="60"/>
      <c r="AX47" s="60">
        <f t="shared" ref="AX47" si="393">IFERROR($C47*AX45,"")</f>
        <v>0</v>
      </c>
      <c r="AY47" s="60"/>
      <c r="AZ47" s="60"/>
      <c r="BA47" s="61"/>
      <c r="BB47" s="58">
        <f t="shared" ref="BB47" si="394">IFERROR($C47*BB45,"")</f>
        <v>0</v>
      </c>
      <c r="BC47" s="58"/>
      <c r="BD47" s="58"/>
      <c r="BE47" s="59"/>
      <c r="BF47" s="60">
        <f t="shared" ref="BF47" si="395">IFERROR($C47*BF45,"")</f>
        <v>0</v>
      </c>
      <c r="BG47" s="60"/>
      <c r="BH47" s="60"/>
      <c r="BI47" s="60"/>
      <c r="BJ47" s="60">
        <f t="shared" ref="BJ47" si="396">IFERROR($C47*BJ45,"")</f>
        <v>0</v>
      </c>
      <c r="BK47" s="60"/>
      <c r="BL47" s="60"/>
      <c r="BM47" s="61"/>
      <c r="BN47" s="58">
        <f t="shared" ref="BN47" si="397">IFERROR($C47*BN45,"")</f>
        <v>0</v>
      </c>
      <c r="BO47" s="58"/>
      <c r="BP47" s="58"/>
      <c r="BQ47" s="59"/>
      <c r="BR47" s="60">
        <f t="shared" ref="BR47" si="398">IFERROR($C47*BR45,"")</f>
        <v>0</v>
      </c>
      <c r="BS47" s="60"/>
      <c r="BT47" s="60"/>
      <c r="BU47" s="60"/>
      <c r="BV47" s="60">
        <f t="shared" ref="BV47" si="399">IFERROR($C47*BV45,"")</f>
        <v>0</v>
      </c>
      <c r="BW47" s="60"/>
      <c r="BX47" s="60"/>
      <c r="BY47" s="61"/>
      <c r="BZ47" s="58">
        <f t="shared" ref="BZ47" si="400">IFERROR($C47*BZ45,"")</f>
        <v>0</v>
      </c>
      <c r="CA47" s="58"/>
      <c r="CB47" s="58"/>
      <c r="CC47" s="59"/>
      <c r="CD47" s="60">
        <f t="shared" ref="CD47" si="401">IFERROR($C47*CD45,"")</f>
        <v>0</v>
      </c>
      <c r="CE47" s="60"/>
      <c r="CF47" s="60"/>
      <c r="CG47" s="60"/>
      <c r="CH47" s="60">
        <f t="shared" ref="CH47" si="402">IFERROR($C47*CH45,"")</f>
        <v>0</v>
      </c>
      <c r="CI47" s="60"/>
      <c r="CJ47" s="60"/>
      <c r="CK47" s="61"/>
      <c r="CL47" s="58">
        <f t="shared" ref="CL47" si="403">IFERROR($C47*CL45,"")</f>
        <v>0</v>
      </c>
      <c r="CM47" s="58"/>
      <c r="CN47" s="58"/>
      <c r="CO47" s="59"/>
      <c r="CP47" s="60">
        <f t="shared" ref="CP47" si="404">IFERROR($C47*CP45,"")</f>
        <v>0</v>
      </c>
      <c r="CQ47" s="60"/>
      <c r="CR47" s="60"/>
      <c r="CS47" s="60"/>
      <c r="CT47" s="60">
        <f t="shared" ref="CT47" si="405">IFERROR($C47*CT45,"")</f>
        <v>0</v>
      </c>
      <c r="CU47" s="60"/>
      <c r="CV47" s="60"/>
      <c r="CW47" s="61"/>
      <c r="CX47" s="58">
        <f t="shared" ref="CX47" si="406">IFERROR($C47*CX45,"")</f>
        <v>0</v>
      </c>
      <c r="CY47" s="58"/>
      <c r="CZ47" s="58"/>
      <c r="DA47" s="59"/>
      <c r="DB47" s="60">
        <f t="shared" ref="DB47" si="407">IFERROR($C47*DB45,"")</f>
        <v>0</v>
      </c>
      <c r="DC47" s="60"/>
      <c r="DD47" s="60"/>
      <c r="DE47" s="60"/>
      <c r="DF47" s="60">
        <f t="shared" ref="DF47" si="408">IFERROR($C47*DF45,"")</f>
        <v>0</v>
      </c>
      <c r="DG47" s="60"/>
      <c r="DH47" s="60"/>
      <c r="DI47" s="61"/>
      <c r="DJ47" s="58">
        <f t="shared" ref="DJ47" si="409">IFERROR($C47*DJ45,"")</f>
        <v>0</v>
      </c>
      <c r="DK47" s="58"/>
      <c r="DL47" s="58"/>
      <c r="DM47" s="59"/>
      <c r="DN47" s="60">
        <f t="shared" ref="DN47" si="410">IFERROR($C47*DN45,"")</f>
        <v>0</v>
      </c>
      <c r="DO47" s="60"/>
      <c r="DP47" s="60"/>
      <c r="DQ47" s="60"/>
      <c r="DR47" s="60">
        <f t="shared" ref="DR47" si="411">IFERROR($C47*DR45,"")</f>
        <v>0</v>
      </c>
      <c r="DS47" s="60"/>
      <c r="DT47" s="60"/>
      <c r="DU47" s="61"/>
      <c r="DV47" s="58">
        <f t="shared" ref="DV47" si="412">IFERROR($C47*DV45,"")</f>
        <v>0</v>
      </c>
      <c r="DW47" s="58"/>
      <c r="DX47" s="58"/>
      <c r="DY47" s="59"/>
      <c r="DZ47" s="60">
        <f t="shared" ref="DZ47" si="413">IFERROR($C47*DZ45,"")</f>
        <v>0</v>
      </c>
      <c r="EA47" s="60"/>
      <c r="EB47" s="60"/>
      <c r="EC47" s="60"/>
      <c r="ED47" s="60">
        <f t="shared" ref="ED47" si="414">IFERROR($C47*ED45,"")</f>
        <v>0</v>
      </c>
      <c r="EE47" s="60"/>
      <c r="EF47" s="60"/>
      <c r="EG47" s="61"/>
      <c r="EH47" s="58">
        <f t="shared" ref="EH47" si="415">IFERROR($C47*EH45,"")</f>
        <v>0</v>
      </c>
      <c r="EI47" s="58"/>
      <c r="EJ47" s="58"/>
      <c r="EK47" s="59"/>
      <c r="EL47" s="60">
        <f t="shared" ref="EL47" si="416">IFERROR($C47*EL45,"")</f>
        <v>0</v>
      </c>
      <c r="EM47" s="60"/>
      <c r="EN47" s="60"/>
      <c r="EO47" s="60"/>
      <c r="EP47" s="60">
        <f t="shared" ref="EP47" si="417">IFERROR($C47*EP45,"")</f>
        <v>0</v>
      </c>
      <c r="EQ47" s="60"/>
      <c r="ER47" s="60"/>
      <c r="ES47" s="61"/>
    </row>
    <row r="48" spans="2:149" hidden="1" outlineLevel="1" x14ac:dyDescent="0.45">
      <c r="B48" s="72"/>
      <c r="C48" s="19"/>
      <c r="D48" s="20" t="s">
        <v>13</v>
      </c>
      <c r="E48" s="21">
        <f t="shared" si="347"/>
        <v>0</v>
      </c>
      <c r="F48" s="74"/>
      <c r="G48" s="67"/>
      <c r="H48" s="67"/>
      <c r="I48" s="67"/>
      <c r="J48" s="67"/>
      <c r="K48" s="67"/>
      <c r="L48" s="67"/>
      <c r="M48" s="67"/>
      <c r="N48" s="68"/>
      <c r="O48" s="70"/>
      <c r="P48" s="70"/>
      <c r="Q48" s="70"/>
      <c r="R48" s="70"/>
      <c r="S48" s="70"/>
      <c r="T48" s="70"/>
      <c r="U48" s="71"/>
      <c r="V48" s="67"/>
      <c r="W48" s="67"/>
      <c r="X48" s="67"/>
      <c r="Y48" s="67"/>
      <c r="Z48" s="67"/>
      <c r="AA48" s="67"/>
      <c r="AB48" s="67"/>
      <c r="AC48" s="68"/>
      <c r="AD48" s="70"/>
      <c r="AE48" s="70"/>
      <c r="AF48" s="70"/>
      <c r="AG48" s="71"/>
      <c r="AH48" s="67"/>
      <c r="AI48" s="67"/>
      <c r="AJ48" s="67"/>
      <c r="AK48" s="67"/>
      <c r="AL48" s="67"/>
      <c r="AM48" s="67"/>
      <c r="AN48" s="67"/>
      <c r="AO48" s="68"/>
      <c r="AP48" s="70"/>
      <c r="AQ48" s="70"/>
      <c r="AR48" s="70"/>
      <c r="AS48" s="71"/>
      <c r="AT48" s="67"/>
      <c r="AU48" s="67"/>
      <c r="AV48" s="67"/>
      <c r="AW48" s="67"/>
      <c r="AX48" s="67"/>
      <c r="AY48" s="67"/>
      <c r="AZ48" s="67"/>
      <c r="BA48" s="68"/>
      <c r="BB48" s="70"/>
      <c r="BC48" s="70"/>
      <c r="BD48" s="70"/>
      <c r="BE48" s="71"/>
      <c r="BF48" s="67"/>
      <c r="BG48" s="67"/>
      <c r="BH48" s="67"/>
      <c r="BI48" s="67"/>
      <c r="BJ48" s="67"/>
      <c r="BK48" s="67"/>
      <c r="BL48" s="67"/>
      <c r="BM48" s="68"/>
      <c r="BN48" s="70"/>
      <c r="BO48" s="70"/>
      <c r="BP48" s="70"/>
      <c r="BQ48" s="71"/>
      <c r="BR48" s="67"/>
      <c r="BS48" s="67"/>
      <c r="BT48" s="67"/>
      <c r="BU48" s="67"/>
      <c r="BV48" s="67"/>
      <c r="BW48" s="67"/>
      <c r="BX48" s="67"/>
      <c r="BY48" s="68"/>
      <c r="BZ48" s="70"/>
      <c r="CA48" s="70"/>
      <c r="CB48" s="70"/>
      <c r="CC48" s="71"/>
      <c r="CD48" s="67"/>
      <c r="CE48" s="67"/>
      <c r="CF48" s="67"/>
      <c r="CG48" s="67"/>
      <c r="CH48" s="67"/>
      <c r="CI48" s="67"/>
      <c r="CJ48" s="67"/>
      <c r="CK48" s="68"/>
      <c r="CL48" s="70"/>
      <c r="CM48" s="70"/>
      <c r="CN48" s="70"/>
      <c r="CO48" s="71"/>
      <c r="CP48" s="67"/>
      <c r="CQ48" s="67"/>
      <c r="CR48" s="67"/>
      <c r="CS48" s="67"/>
      <c r="CT48" s="67"/>
      <c r="CU48" s="67"/>
      <c r="CV48" s="67"/>
      <c r="CW48" s="68"/>
      <c r="CX48" s="70"/>
      <c r="CY48" s="70"/>
      <c r="CZ48" s="70"/>
      <c r="DA48" s="71"/>
      <c r="DB48" s="67"/>
      <c r="DC48" s="67"/>
      <c r="DD48" s="67"/>
      <c r="DE48" s="67"/>
      <c r="DF48" s="67"/>
      <c r="DG48" s="67"/>
      <c r="DH48" s="67"/>
      <c r="DI48" s="68"/>
      <c r="DJ48" s="70"/>
      <c r="DK48" s="70"/>
      <c r="DL48" s="70"/>
      <c r="DM48" s="71"/>
      <c r="DN48" s="67"/>
      <c r="DO48" s="67"/>
      <c r="DP48" s="67"/>
      <c r="DQ48" s="67"/>
      <c r="DR48" s="67"/>
      <c r="DS48" s="67"/>
      <c r="DT48" s="67"/>
      <c r="DU48" s="68"/>
      <c r="DV48" s="70"/>
      <c r="DW48" s="70"/>
      <c r="DX48" s="70"/>
      <c r="DY48" s="71"/>
      <c r="DZ48" s="67"/>
      <c r="EA48" s="67"/>
      <c r="EB48" s="67"/>
      <c r="EC48" s="67"/>
      <c r="ED48" s="67"/>
      <c r="EE48" s="67"/>
      <c r="EF48" s="67"/>
      <c r="EG48" s="68"/>
      <c r="EH48" s="70"/>
      <c r="EI48" s="70"/>
      <c r="EJ48" s="70"/>
      <c r="EK48" s="71"/>
      <c r="EL48" s="67"/>
      <c r="EM48" s="67"/>
      <c r="EN48" s="67"/>
      <c r="EO48" s="67"/>
      <c r="EP48" s="67"/>
      <c r="EQ48" s="67"/>
      <c r="ER48" s="67"/>
      <c r="ES48" s="68"/>
    </row>
    <row r="49" spans="1:149" hidden="1" outlineLevel="1" x14ac:dyDescent="0.45">
      <c r="B49" s="73"/>
      <c r="C49" s="22"/>
      <c r="D49" s="23" t="s">
        <v>23</v>
      </c>
      <c r="E49" s="24">
        <f>SUM(F49:CW49)</f>
        <v>0</v>
      </c>
      <c r="F49" s="69">
        <f>IFERROR($C49*F48,"")</f>
        <v>0</v>
      </c>
      <c r="G49" s="62"/>
      <c r="H49" s="62"/>
      <c r="I49" s="62"/>
      <c r="J49" s="62">
        <f t="shared" ref="J49" si="418">IFERROR($C49*J48,"")</f>
        <v>0</v>
      </c>
      <c r="K49" s="62"/>
      <c r="L49" s="62"/>
      <c r="M49" s="62"/>
      <c r="N49" s="63">
        <f t="shared" ref="N49" si="419">IFERROR($C49*N48,"")</f>
        <v>0</v>
      </c>
      <c r="O49" s="64"/>
      <c r="P49" s="64"/>
      <c r="Q49" s="64"/>
      <c r="R49" s="64">
        <f t="shared" ref="R49" si="420">IFERROR($C49*R48,"")</f>
        <v>0</v>
      </c>
      <c r="S49" s="64"/>
      <c r="T49" s="64"/>
      <c r="U49" s="65"/>
      <c r="V49" s="62">
        <f t="shared" ref="V49" si="421">IFERROR($C49*V48,"")</f>
        <v>0</v>
      </c>
      <c r="W49" s="62"/>
      <c r="X49" s="62"/>
      <c r="Y49" s="62"/>
      <c r="Z49" s="62">
        <f t="shared" ref="Z49" si="422">IFERROR($C49*Z48,"")</f>
        <v>0</v>
      </c>
      <c r="AA49" s="62"/>
      <c r="AB49" s="62"/>
      <c r="AC49" s="63"/>
      <c r="AD49" s="64">
        <f t="shared" ref="AD49" si="423">IFERROR($C49*AD48,"")</f>
        <v>0</v>
      </c>
      <c r="AE49" s="64"/>
      <c r="AF49" s="64"/>
      <c r="AG49" s="65"/>
      <c r="AH49" s="62">
        <f t="shared" ref="AH49" si="424">IFERROR($C49*AH48,"")</f>
        <v>0</v>
      </c>
      <c r="AI49" s="62"/>
      <c r="AJ49" s="62"/>
      <c r="AK49" s="62"/>
      <c r="AL49" s="62">
        <f t="shared" ref="AL49" si="425">IFERROR($C49*AL48,"")</f>
        <v>0</v>
      </c>
      <c r="AM49" s="62"/>
      <c r="AN49" s="62"/>
      <c r="AO49" s="63"/>
      <c r="AP49" s="64">
        <f t="shared" ref="AP49" si="426">IFERROR($C49*AP48,"")</f>
        <v>0</v>
      </c>
      <c r="AQ49" s="64"/>
      <c r="AR49" s="64"/>
      <c r="AS49" s="65"/>
      <c r="AT49" s="62">
        <f t="shared" ref="AT49" si="427">IFERROR($C49*AT48,"")</f>
        <v>0</v>
      </c>
      <c r="AU49" s="62"/>
      <c r="AV49" s="62"/>
      <c r="AW49" s="62"/>
      <c r="AX49" s="62">
        <f t="shared" ref="AX49" si="428">IFERROR($C49*AX48,"")</f>
        <v>0</v>
      </c>
      <c r="AY49" s="62"/>
      <c r="AZ49" s="62"/>
      <c r="BA49" s="63"/>
      <c r="BB49" s="64">
        <f t="shared" ref="BB49" si="429">IFERROR($C49*BB48,"")</f>
        <v>0</v>
      </c>
      <c r="BC49" s="64"/>
      <c r="BD49" s="64"/>
      <c r="BE49" s="65"/>
      <c r="BF49" s="62">
        <f t="shared" ref="BF49" si="430">IFERROR($C49*BF48,"")</f>
        <v>0</v>
      </c>
      <c r="BG49" s="62"/>
      <c r="BH49" s="62"/>
      <c r="BI49" s="62"/>
      <c r="BJ49" s="62">
        <f t="shared" ref="BJ49" si="431">IFERROR($C49*BJ48,"")</f>
        <v>0</v>
      </c>
      <c r="BK49" s="62"/>
      <c r="BL49" s="62"/>
      <c r="BM49" s="63"/>
      <c r="BN49" s="64">
        <f t="shared" ref="BN49" si="432">IFERROR($C49*BN48,"")</f>
        <v>0</v>
      </c>
      <c r="BO49" s="64"/>
      <c r="BP49" s="64"/>
      <c r="BQ49" s="65"/>
      <c r="BR49" s="62">
        <f t="shared" ref="BR49" si="433">IFERROR($C49*BR48,"")</f>
        <v>0</v>
      </c>
      <c r="BS49" s="62"/>
      <c r="BT49" s="62"/>
      <c r="BU49" s="62"/>
      <c r="BV49" s="62">
        <f t="shared" ref="BV49" si="434">IFERROR($C49*BV48,"")</f>
        <v>0</v>
      </c>
      <c r="BW49" s="62"/>
      <c r="BX49" s="62"/>
      <c r="BY49" s="63"/>
      <c r="BZ49" s="64">
        <f t="shared" ref="BZ49" si="435">IFERROR($C49*BZ48,"")</f>
        <v>0</v>
      </c>
      <c r="CA49" s="64"/>
      <c r="CB49" s="64"/>
      <c r="CC49" s="65"/>
      <c r="CD49" s="62">
        <f t="shared" ref="CD49" si="436">IFERROR($C49*CD48,"")</f>
        <v>0</v>
      </c>
      <c r="CE49" s="62"/>
      <c r="CF49" s="62"/>
      <c r="CG49" s="62"/>
      <c r="CH49" s="62">
        <f t="shared" ref="CH49" si="437">IFERROR($C49*CH48,"")</f>
        <v>0</v>
      </c>
      <c r="CI49" s="62"/>
      <c r="CJ49" s="62"/>
      <c r="CK49" s="63"/>
      <c r="CL49" s="64">
        <f t="shared" ref="CL49" si="438">IFERROR($C49*CL48,"")</f>
        <v>0</v>
      </c>
      <c r="CM49" s="64"/>
      <c r="CN49" s="64"/>
      <c r="CO49" s="65"/>
      <c r="CP49" s="62">
        <f t="shared" ref="CP49" si="439">IFERROR($C49*CP48,"")</f>
        <v>0</v>
      </c>
      <c r="CQ49" s="62"/>
      <c r="CR49" s="62"/>
      <c r="CS49" s="62"/>
      <c r="CT49" s="62">
        <f t="shared" ref="CT49" si="440">IFERROR($C49*CT48,"")</f>
        <v>0</v>
      </c>
      <c r="CU49" s="62"/>
      <c r="CV49" s="62"/>
      <c r="CW49" s="63"/>
      <c r="CX49" s="64">
        <f t="shared" ref="CX49" si="441">IFERROR($C49*CX48,"")</f>
        <v>0</v>
      </c>
      <c r="CY49" s="64"/>
      <c r="CZ49" s="64"/>
      <c r="DA49" s="65"/>
      <c r="DB49" s="62">
        <f t="shared" ref="DB49" si="442">IFERROR($C49*DB48,"")</f>
        <v>0</v>
      </c>
      <c r="DC49" s="62"/>
      <c r="DD49" s="62"/>
      <c r="DE49" s="62"/>
      <c r="DF49" s="62">
        <f t="shared" ref="DF49" si="443">IFERROR($C49*DF48,"")</f>
        <v>0</v>
      </c>
      <c r="DG49" s="62"/>
      <c r="DH49" s="62"/>
      <c r="DI49" s="63"/>
      <c r="DJ49" s="64">
        <f t="shared" ref="DJ49" si="444">IFERROR($C49*DJ48,"")</f>
        <v>0</v>
      </c>
      <c r="DK49" s="64"/>
      <c r="DL49" s="64"/>
      <c r="DM49" s="65"/>
      <c r="DN49" s="62">
        <f t="shared" ref="DN49" si="445">IFERROR($C49*DN48,"")</f>
        <v>0</v>
      </c>
      <c r="DO49" s="62"/>
      <c r="DP49" s="62"/>
      <c r="DQ49" s="62"/>
      <c r="DR49" s="62">
        <f t="shared" ref="DR49" si="446">IFERROR($C49*DR48,"")</f>
        <v>0</v>
      </c>
      <c r="DS49" s="62"/>
      <c r="DT49" s="62"/>
      <c r="DU49" s="63"/>
      <c r="DV49" s="64">
        <f t="shared" ref="DV49" si="447">IFERROR($C49*DV48,"")</f>
        <v>0</v>
      </c>
      <c r="DW49" s="64"/>
      <c r="DX49" s="64"/>
      <c r="DY49" s="65"/>
      <c r="DZ49" s="62">
        <f t="shared" ref="DZ49" si="448">IFERROR($C49*DZ48,"")</f>
        <v>0</v>
      </c>
      <c r="EA49" s="62"/>
      <c r="EB49" s="62"/>
      <c r="EC49" s="62"/>
      <c r="ED49" s="62">
        <f t="shared" ref="ED49" si="449">IFERROR($C49*ED48,"")</f>
        <v>0</v>
      </c>
      <c r="EE49" s="62"/>
      <c r="EF49" s="62"/>
      <c r="EG49" s="63"/>
      <c r="EH49" s="64">
        <f t="shared" ref="EH49" si="450">IFERROR($C49*EH48,"")</f>
        <v>0</v>
      </c>
      <c r="EI49" s="64"/>
      <c r="EJ49" s="64"/>
      <c r="EK49" s="65"/>
      <c r="EL49" s="62">
        <f t="shared" ref="EL49" si="451">IFERROR($C49*EL48,"")</f>
        <v>0</v>
      </c>
      <c r="EM49" s="62"/>
      <c r="EN49" s="62"/>
      <c r="EO49" s="62"/>
      <c r="EP49" s="62">
        <f t="shared" ref="EP49" si="452">IFERROR($C49*EP48,"")</f>
        <v>0</v>
      </c>
      <c r="EQ49" s="62"/>
      <c r="ER49" s="62"/>
      <c r="ES49" s="63"/>
    </row>
    <row r="50" spans="1:149" hidden="1" outlineLevel="1" x14ac:dyDescent="0.45">
      <c r="B50" s="78"/>
      <c r="C50" s="25"/>
      <c r="D50" s="26" t="s">
        <v>3</v>
      </c>
      <c r="E50" s="27">
        <f>SUM(F50:CW50)</f>
        <v>0</v>
      </c>
      <c r="F50" s="66">
        <f>IFERROR($C50*F48,"")</f>
        <v>0</v>
      </c>
      <c r="G50" s="60"/>
      <c r="H50" s="60"/>
      <c r="I50" s="60"/>
      <c r="J50" s="60">
        <f t="shared" ref="J50" si="453">IFERROR($C50*J48,"")</f>
        <v>0</v>
      </c>
      <c r="K50" s="60"/>
      <c r="L50" s="60"/>
      <c r="M50" s="60"/>
      <c r="N50" s="61">
        <f t="shared" ref="N50" si="454">IFERROR($C50*N48,"")</f>
        <v>0</v>
      </c>
      <c r="O50" s="58"/>
      <c r="P50" s="58"/>
      <c r="Q50" s="58"/>
      <c r="R50" s="58">
        <f t="shared" ref="R50" si="455">IFERROR($C50*R48,"")</f>
        <v>0</v>
      </c>
      <c r="S50" s="58"/>
      <c r="T50" s="58"/>
      <c r="U50" s="59"/>
      <c r="V50" s="60">
        <f t="shared" ref="V50" si="456">IFERROR($C50*V48,"")</f>
        <v>0</v>
      </c>
      <c r="W50" s="60"/>
      <c r="X50" s="60"/>
      <c r="Y50" s="60"/>
      <c r="Z50" s="60">
        <f t="shared" ref="Z50" si="457">IFERROR($C50*Z48,"")</f>
        <v>0</v>
      </c>
      <c r="AA50" s="60"/>
      <c r="AB50" s="60"/>
      <c r="AC50" s="61"/>
      <c r="AD50" s="58">
        <f t="shared" ref="AD50" si="458">IFERROR($C50*AD48,"")</f>
        <v>0</v>
      </c>
      <c r="AE50" s="58"/>
      <c r="AF50" s="58"/>
      <c r="AG50" s="59"/>
      <c r="AH50" s="60">
        <f t="shared" ref="AH50" si="459">IFERROR($C50*AH48,"")</f>
        <v>0</v>
      </c>
      <c r="AI50" s="60"/>
      <c r="AJ50" s="60"/>
      <c r="AK50" s="60"/>
      <c r="AL50" s="60">
        <f t="shared" ref="AL50" si="460">IFERROR($C50*AL48,"")</f>
        <v>0</v>
      </c>
      <c r="AM50" s="60"/>
      <c r="AN50" s="60"/>
      <c r="AO50" s="61"/>
      <c r="AP50" s="58">
        <f t="shared" ref="AP50" si="461">IFERROR($C50*AP48,"")</f>
        <v>0</v>
      </c>
      <c r="AQ50" s="58"/>
      <c r="AR50" s="58"/>
      <c r="AS50" s="59"/>
      <c r="AT50" s="60">
        <f t="shared" ref="AT50" si="462">IFERROR($C50*AT48,"")</f>
        <v>0</v>
      </c>
      <c r="AU50" s="60"/>
      <c r="AV50" s="60"/>
      <c r="AW50" s="60"/>
      <c r="AX50" s="60">
        <f t="shared" ref="AX50" si="463">IFERROR($C50*AX48,"")</f>
        <v>0</v>
      </c>
      <c r="AY50" s="60"/>
      <c r="AZ50" s="60"/>
      <c r="BA50" s="61"/>
      <c r="BB50" s="58">
        <f t="shared" ref="BB50" si="464">IFERROR($C50*BB48,"")</f>
        <v>0</v>
      </c>
      <c r="BC50" s="58"/>
      <c r="BD50" s="58"/>
      <c r="BE50" s="59"/>
      <c r="BF50" s="60">
        <f t="shared" ref="BF50" si="465">IFERROR($C50*BF48,"")</f>
        <v>0</v>
      </c>
      <c r="BG50" s="60"/>
      <c r="BH50" s="60"/>
      <c r="BI50" s="60"/>
      <c r="BJ50" s="60">
        <f t="shared" ref="BJ50" si="466">IFERROR($C50*BJ48,"")</f>
        <v>0</v>
      </c>
      <c r="BK50" s="60"/>
      <c r="BL50" s="60"/>
      <c r="BM50" s="61"/>
      <c r="BN50" s="58">
        <f t="shared" ref="BN50" si="467">IFERROR($C50*BN48,"")</f>
        <v>0</v>
      </c>
      <c r="BO50" s="58"/>
      <c r="BP50" s="58"/>
      <c r="BQ50" s="59"/>
      <c r="BR50" s="60">
        <f t="shared" ref="BR50" si="468">IFERROR($C50*BR48,"")</f>
        <v>0</v>
      </c>
      <c r="BS50" s="60"/>
      <c r="BT50" s="60"/>
      <c r="BU50" s="60"/>
      <c r="BV50" s="60">
        <f t="shared" ref="BV50" si="469">IFERROR($C50*BV48,"")</f>
        <v>0</v>
      </c>
      <c r="BW50" s="60"/>
      <c r="BX50" s="60"/>
      <c r="BY50" s="61"/>
      <c r="BZ50" s="58">
        <f t="shared" ref="BZ50" si="470">IFERROR($C50*BZ48,"")</f>
        <v>0</v>
      </c>
      <c r="CA50" s="58"/>
      <c r="CB50" s="58"/>
      <c r="CC50" s="59"/>
      <c r="CD50" s="60">
        <f t="shared" ref="CD50" si="471">IFERROR($C50*CD48,"")</f>
        <v>0</v>
      </c>
      <c r="CE50" s="60"/>
      <c r="CF50" s="60"/>
      <c r="CG50" s="60"/>
      <c r="CH50" s="60">
        <f t="shared" ref="CH50" si="472">IFERROR($C50*CH48,"")</f>
        <v>0</v>
      </c>
      <c r="CI50" s="60"/>
      <c r="CJ50" s="60"/>
      <c r="CK50" s="61"/>
      <c r="CL50" s="58">
        <f t="shared" ref="CL50" si="473">IFERROR($C50*CL48,"")</f>
        <v>0</v>
      </c>
      <c r="CM50" s="58"/>
      <c r="CN50" s="58"/>
      <c r="CO50" s="59"/>
      <c r="CP50" s="60">
        <f t="shared" ref="CP50" si="474">IFERROR($C50*CP48,"")</f>
        <v>0</v>
      </c>
      <c r="CQ50" s="60"/>
      <c r="CR50" s="60"/>
      <c r="CS50" s="60"/>
      <c r="CT50" s="60">
        <f t="shared" ref="CT50" si="475">IFERROR($C50*CT48,"")</f>
        <v>0</v>
      </c>
      <c r="CU50" s="60"/>
      <c r="CV50" s="60"/>
      <c r="CW50" s="61"/>
      <c r="CX50" s="58">
        <f t="shared" ref="CX50" si="476">IFERROR($C50*CX48,"")</f>
        <v>0</v>
      </c>
      <c r="CY50" s="58"/>
      <c r="CZ50" s="58"/>
      <c r="DA50" s="59"/>
      <c r="DB50" s="60">
        <f t="shared" ref="DB50" si="477">IFERROR($C50*DB48,"")</f>
        <v>0</v>
      </c>
      <c r="DC50" s="60"/>
      <c r="DD50" s="60"/>
      <c r="DE50" s="60"/>
      <c r="DF50" s="60">
        <f t="shared" ref="DF50" si="478">IFERROR($C50*DF48,"")</f>
        <v>0</v>
      </c>
      <c r="DG50" s="60"/>
      <c r="DH50" s="60"/>
      <c r="DI50" s="61"/>
      <c r="DJ50" s="58">
        <f t="shared" ref="DJ50" si="479">IFERROR($C50*DJ48,"")</f>
        <v>0</v>
      </c>
      <c r="DK50" s="58"/>
      <c r="DL50" s="58"/>
      <c r="DM50" s="59"/>
      <c r="DN50" s="60">
        <f t="shared" ref="DN50" si="480">IFERROR($C50*DN48,"")</f>
        <v>0</v>
      </c>
      <c r="DO50" s="60"/>
      <c r="DP50" s="60"/>
      <c r="DQ50" s="60"/>
      <c r="DR50" s="60">
        <f t="shared" ref="DR50" si="481">IFERROR($C50*DR48,"")</f>
        <v>0</v>
      </c>
      <c r="DS50" s="60"/>
      <c r="DT50" s="60"/>
      <c r="DU50" s="61"/>
      <c r="DV50" s="58">
        <f t="shared" ref="DV50" si="482">IFERROR($C50*DV48,"")</f>
        <v>0</v>
      </c>
      <c r="DW50" s="58"/>
      <c r="DX50" s="58"/>
      <c r="DY50" s="59"/>
      <c r="DZ50" s="60">
        <f t="shared" ref="DZ50" si="483">IFERROR($C50*DZ48,"")</f>
        <v>0</v>
      </c>
      <c r="EA50" s="60"/>
      <c r="EB50" s="60"/>
      <c r="EC50" s="60"/>
      <c r="ED50" s="60">
        <f t="shared" ref="ED50" si="484">IFERROR($C50*ED48,"")</f>
        <v>0</v>
      </c>
      <c r="EE50" s="60"/>
      <c r="EF50" s="60"/>
      <c r="EG50" s="61"/>
      <c r="EH50" s="58">
        <f t="shared" ref="EH50" si="485">IFERROR($C50*EH48,"")</f>
        <v>0</v>
      </c>
      <c r="EI50" s="58"/>
      <c r="EJ50" s="58"/>
      <c r="EK50" s="59"/>
      <c r="EL50" s="60">
        <f t="shared" ref="EL50" si="486">IFERROR($C50*EL48,"")</f>
        <v>0</v>
      </c>
      <c r="EM50" s="60"/>
      <c r="EN50" s="60"/>
      <c r="EO50" s="60"/>
      <c r="EP50" s="60">
        <f t="shared" ref="EP50" si="487">IFERROR($C50*EP48,"")</f>
        <v>0</v>
      </c>
      <c r="EQ50" s="60"/>
      <c r="ER50" s="60"/>
      <c r="ES50" s="61"/>
    </row>
    <row r="51" spans="1:149" hidden="1" outlineLevel="1" x14ac:dyDescent="0.45">
      <c r="B51" s="72"/>
      <c r="C51" s="19"/>
      <c r="D51" s="20" t="s">
        <v>13</v>
      </c>
      <c r="E51" s="21">
        <f t="shared" si="347"/>
        <v>0</v>
      </c>
      <c r="F51" s="74"/>
      <c r="G51" s="67"/>
      <c r="H51" s="67"/>
      <c r="I51" s="67"/>
      <c r="J51" s="67"/>
      <c r="K51" s="67"/>
      <c r="L51" s="67"/>
      <c r="M51" s="67"/>
      <c r="N51" s="68"/>
      <c r="O51" s="70"/>
      <c r="P51" s="70"/>
      <c r="Q51" s="70"/>
      <c r="R51" s="70"/>
      <c r="S51" s="70"/>
      <c r="T51" s="70"/>
      <c r="U51" s="71"/>
      <c r="V51" s="67"/>
      <c r="W51" s="67"/>
      <c r="X51" s="67"/>
      <c r="Y51" s="67"/>
      <c r="Z51" s="67"/>
      <c r="AA51" s="67"/>
      <c r="AB51" s="67"/>
      <c r="AC51" s="68"/>
      <c r="AD51" s="70"/>
      <c r="AE51" s="70"/>
      <c r="AF51" s="70"/>
      <c r="AG51" s="71"/>
      <c r="AH51" s="67"/>
      <c r="AI51" s="67"/>
      <c r="AJ51" s="67"/>
      <c r="AK51" s="67"/>
      <c r="AL51" s="67"/>
      <c r="AM51" s="67"/>
      <c r="AN51" s="67"/>
      <c r="AO51" s="68"/>
      <c r="AP51" s="70"/>
      <c r="AQ51" s="70"/>
      <c r="AR51" s="70"/>
      <c r="AS51" s="71"/>
      <c r="AT51" s="67"/>
      <c r="AU51" s="67"/>
      <c r="AV51" s="67"/>
      <c r="AW51" s="67"/>
      <c r="AX51" s="67"/>
      <c r="AY51" s="67"/>
      <c r="AZ51" s="67"/>
      <c r="BA51" s="68"/>
      <c r="BB51" s="70"/>
      <c r="BC51" s="70"/>
      <c r="BD51" s="70"/>
      <c r="BE51" s="71"/>
      <c r="BF51" s="67"/>
      <c r="BG51" s="67"/>
      <c r="BH51" s="67"/>
      <c r="BI51" s="67"/>
      <c r="BJ51" s="67"/>
      <c r="BK51" s="67"/>
      <c r="BL51" s="67"/>
      <c r="BM51" s="68"/>
      <c r="BN51" s="70"/>
      <c r="BO51" s="70"/>
      <c r="BP51" s="70"/>
      <c r="BQ51" s="71"/>
      <c r="BR51" s="67"/>
      <c r="BS51" s="67"/>
      <c r="BT51" s="67"/>
      <c r="BU51" s="67"/>
      <c r="BV51" s="67"/>
      <c r="BW51" s="67"/>
      <c r="BX51" s="67"/>
      <c r="BY51" s="68"/>
      <c r="BZ51" s="70"/>
      <c r="CA51" s="70"/>
      <c r="CB51" s="70"/>
      <c r="CC51" s="71"/>
      <c r="CD51" s="67"/>
      <c r="CE51" s="67"/>
      <c r="CF51" s="67"/>
      <c r="CG51" s="67"/>
      <c r="CH51" s="67"/>
      <c r="CI51" s="67"/>
      <c r="CJ51" s="67"/>
      <c r="CK51" s="68"/>
      <c r="CL51" s="70"/>
      <c r="CM51" s="70"/>
      <c r="CN51" s="70"/>
      <c r="CO51" s="71"/>
      <c r="CP51" s="67"/>
      <c r="CQ51" s="67"/>
      <c r="CR51" s="67"/>
      <c r="CS51" s="67"/>
      <c r="CT51" s="67"/>
      <c r="CU51" s="67"/>
      <c r="CV51" s="67"/>
      <c r="CW51" s="68"/>
      <c r="CX51" s="70"/>
      <c r="CY51" s="70"/>
      <c r="CZ51" s="70"/>
      <c r="DA51" s="71"/>
      <c r="DB51" s="67"/>
      <c r="DC51" s="67"/>
      <c r="DD51" s="67"/>
      <c r="DE51" s="67"/>
      <c r="DF51" s="67"/>
      <c r="DG51" s="67"/>
      <c r="DH51" s="67"/>
      <c r="DI51" s="68"/>
      <c r="DJ51" s="70"/>
      <c r="DK51" s="70"/>
      <c r="DL51" s="70"/>
      <c r="DM51" s="71"/>
      <c r="DN51" s="67"/>
      <c r="DO51" s="67"/>
      <c r="DP51" s="67"/>
      <c r="DQ51" s="67"/>
      <c r="DR51" s="67"/>
      <c r="DS51" s="67"/>
      <c r="DT51" s="67"/>
      <c r="DU51" s="68"/>
      <c r="DV51" s="70"/>
      <c r="DW51" s="70"/>
      <c r="DX51" s="70"/>
      <c r="DY51" s="71"/>
      <c r="DZ51" s="67"/>
      <c r="EA51" s="67"/>
      <c r="EB51" s="67"/>
      <c r="EC51" s="67"/>
      <c r="ED51" s="67"/>
      <c r="EE51" s="67"/>
      <c r="EF51" s="67"/>
      <c r="EG51" s="68"/>
      <c r="EH51" s="70"/>
      <c r="EI51" s="70"/>
      <c r="EJ51" s="70"/>
      <c r="EK51" s="71"/>
      <c r="EL51" s="67"/>
      <c r="EM51" s="67"/>
      <c r="EN51" s="67"/>
      <c r="EO51" s="67"/>
      <c r="EP51" s="67"/>
      <c r="EQ51" s="67"/>
      <c r="ER51" s="67"/>
      <c r="ES51" s="68"/>
    </row>
    <row r="52" spans="1:149" hidden="1" outlineLevel="1" x14ac:dyDescent="0.45">
      <c r="B52" s="73"/>
      <c r="C52" s="22"/>
      <c r="D52" s="23" t="s">
        <v>23</v>
      </c>
      <c r="E52" s="24">
        <f>SUM(F52:CW52)</f>
        <v>0</v>
      </c>
      <c r="F52" s="69">
        <f>IFERROR($C52*F51,"")</f>
        <v>0</v>
      </c>
      <c r="G52" s="62"/>
      <c r="H52" s="62"/>
      <c r="I52" s="62"/>
      <c r="J52" s="62">
        <f t="shared" ref="J52" si="488">IFERROR($C52*J51,"")</f>
        <v>0</v>
      </c>
      <c r="K52" s="62"/>
      <c r="L52" s="62"/>
      <c r="M52" s="62"/>
      <c r="N52" s="63">
        <f t="shared" ref="N52" si="489">IFERROR($C52*N51,"")</f>
        <v>0</v>
      </c>
      <c r="O52" s="64"/>
      <c r="P52" s="64"/>
      <c r="Q52" s="64"/>
      <c r="R52" s="64">
        <f t="shared" ref="R52" si="490">IFERROR($C52*R51,"")</f>
        <v>0</v>
      </c>
      <c r="S52" s="64"/>
      <c r="T52" s="64"/>
      <c r="U52" s="65"/>
      <c r="V52" s="62">
        <f t="shared" ref="V52" si="491">IFERROR($C52*V51,"")</f>
        <v>0</v>
      </c>
      <c r="W52" s="62"/>
      <c r="X52" s="62"/>
      <c r="Y52" s="62"/>
      <c r="Z52" s="62">
        <f t="shared" ref="Z52" si="492">IFERROR($C52*Z51,"")</f>
        <v>0</v>
      </c>
      <c r="AA52" s="62"/>
      <c r="AB52" s="62"/>
      <c r="AC52" s="63"/>
      <c r="AD52" s="64">
        <f t="shared" ref="AD52" si="493">IFERROR($C52*AD51,"")</f>
        <v>0</v>
      </c>
      <c r="AE52" s="64"/>
      <c r="AF52" s="64"/>
      <c r="AG52" s="65"/>
      <c r="AH52" s="62">
        <f t="shared" ref="AH52" si="494">IFERROR($C52*AH51,"")</f>
        <v>0</v>
      </c>
      <c r="AI52" s="62"/>
      <c r="AJ52" s="62"/>
      <c r="AK52" s="62"/>
      <c r="AL52" s="62">
        <f t="shared" ref="AL52" si="495">IFERROR($C52*AL51,"")</f>
        <v>0</v>
      </c>
      <c r="AM52" s="62"/>
      <c r="AN52" s="62"/>
      <c r="AO52" s="63"/>
      <c r="AP52" s="64">
        <f t="shared" ref="AP52" si="496">IFERROR($C52*AP51,"")</f>
        <v>0</v>
      </c>
      <c r="AQ52" s="64"/>
      <c r="AR52" s="64"/>
      <c r="AS52" s="65"/>
      <c r="AT52" s="62">
        <f t="shared" ref="AT52" si="497">IFERROR($C52*AT51,"")</f>
        <v>0</v>
      </c>
      <c r="AU52" s="62"/>
      <c r="AV52" s="62"/>
      <c r="AW52" s="62"/>
      <c r="AX52" s="62">
        <f t="shared" ref="AX52" si="498">IFERROR($C52*AX51,"")</f>
        <v>0</v>
      </c>
      <c r="AY52" s="62"/>
      <c r="AZ52" s="62"/>
      <c r="BA52" s="63"/>
      <c r="BB52" s="64">
        <f t="shared" ref="BB52" si="499">IFERROR($C52*BB51,"")</f>
        <v>0</v>
      </c>
      <c r="BC52" s="64"/>
      <c r="BD52" s="64"/>
      <c r="BE52" s="65"/>
      <c r="BF52" s="62">
        <f t="shared" ref="BF52" si="500">IFERROR($C52*BF51,"")</f>
        <v>0</v>
      </c>
      <c r="BG52" s="62"/>
      <c r="BH52" s="62"/>
      <c r="BI52" s="62"/>
      <c r="BJ52" s="62">
        <f t="shared" ref="BJ52" si="501">IFERROR($C52*BJ51,"")</f>
        <v>0</v>
      </c>
      <c r="BK52" s="62"/>
      <c r="BL52" s="62"/>
      <c r="BM52" s="63"/>
      <c r="BN52" s="64">
        <f t="shared" ref="BN52" si="502">IFERROR($C52*BN51,"")</f>
        <v>0</v>
      </c>
      <c r="BO52" s="64"/>
      <c r="BP52" s="64"/>
      <c r="BQ52" s="65"/>
      <c r="BR52" s="62">
        <f t="shared" ref="BR52" si="503">IFERROR($C52*BR51,"")</f>
        <v>0</v>
      </c>
      <c r="BS52" s="62"/>
      <c r="BT52" s="62"/>
      <c r="BU52" s="62"/>
      <c r="BV52" s="62">
        <f t="shared" ref="BV52" si="504">IFERROR($C52*BV51,"")</f>
        <v>0</v>
      </c>
      <c r="BW52" s="62"/>
      <c r="BX52" s="62"/>
      <c r="BY52" s="63"/>
      <c r="BZ52" s="64">
        <f t="shared" ref="BZ52" si="505">IFERROR($C52*BZ51,"")</f>
        <v>0</v>
      </c>
      <c r="CA52" s="64"/>
      <c r="CB52" s="64"/>
      <c r="CC52" s="65"/>
      <c r="CD52" s="62">
        <f t="shared" ref="CD52" si="506">IFERROR($C52*CD51,"")</f>
        <v>0</v>
      </c>
      <c r="CE52" s="62"/>
      <c r="CF52" s="62"/>
      <c r="CG52" s="62"/>
      <c r="CH52" s="62">
        <f t="shared" ref="CH52" si="507">IFERROR($C52*CH51,"")</f>
        <v>0</v>
      </c>
      <c r="CI52" s="62"/>
      <c r="CJ52" s="62"/>
      <c r="CK52" s="63"/>
      <c r="CL52" s="64">
        <f t="shared" ref="CL52" si="508">IFERROR($C52*CL51,"")</f>
        <v>0</v>
      </c>
      <c r="CM52" s="64"/>
      <c r="CN52" s="64"/>
      <c r="CO52" s="65"/>
      <c r="CP52" s="62">
        <f t="shared" ref="CP52" si="509">IFERROR($C52*CP51,"")</f>
        <v>0</v>
      </c>
      <c r="CQ52" s="62"/>
      <c r="CR52" s="62"/>
      <c r="CS52" s="62"/>
      <c r="CT52" s="62">
        <f t="shared" ref="CT52" si="510">IFERROR($C52*CT51,"")</f>
        <v>0</v>
      </c>
      <c r="CU52" s="62"/>
      <c r="CV52" s="62"/>
      <c r="CW52" s="63"/>
      <c r="CX52" s="64">
        <f t="shared" ref="CX52" si="511">IFERROR($C52*CX51,"")</f>
        <v>0</v>
      </c>
      <c r="CY52" s="64"/>
      <c r="CZ52" s="64"/>
      <c r="DA52" s="65"/>
      <c r="DB52" s="62">
        <f t="shared" ref="DB52" si="512">IFERROR($C52*DB51,"")</f>
        <v>0</v>
      </c>
      <c r="DC52" s="62"/>
      <c r="DD52" s="62"/>
      <c r="DE52" s="62"/>
      <c r="DF52" s="62">
        <f t="shared" ref="DF52" si="513">IFERROR($C52*DF51,"")</f>
        <v>0</v>
      </c>
      <c r="DG52" s="62"/>
      <c r="DH52" s="62"/>
      <c r="DI52" s="63"/>
      <c r="DJ52" s="64">
        <f t="shared" ref="DJ52" si="514">IFERROR($C52*DJ51,"")</f>
        <v>0</v>
      </c>
      <c r="DK52" s="64"/>
      <c r="DL52" s="64"/>
      <c r="DM52" s="65"/>
      <c r="DN52" s="62">
        <f t="shared" ref="DN52" si="515">IFERROR($C52*DN51,"")</f>
        <v>0</v>
      </c>
      <c r="DO52" s="62"/>
      <c r="DP52" s="62"/>
      <c r="DQ52" s="62"/>
      <c r="DR52" s="62">
        <f t="shared" ref="DR52" si="516">IFERROR($C52*DR51,"")</f>
        <v>0</v>
      </c>
      <c r="DS52" s="62"/>
      <c r="DT52" s="62"/>
      <c r="DU52" s="63"/>
      <c r="DV52" s="64">
        <f t="shared" ref="DV52" si="517">IFERROR($C52*DV51,"")</f>
        <v>0</v>
      </c>
      <c r="DW52" s="64"/>
      <c r="DX52" s="64"/>
      <c r="DY52" s="65"/>
      <c r="DZ52" s="62">
        <f t="shared" ref="DZ52" si="518">IFERROR($C52*DZ51,"")</f>
        <v>0</v>
      </c>
      <c r="EA52" s="62"/>
      <c r="EB52" s="62"/>
      <c r="EC52" s="62"/>
      <c r="ED52" s="62">
        <f t="shared" ref="ED52" si="519">IFERROR($C52*ED51,"")</f>
        <v>0</v>
      </c>
      <c r="EE52" s="62"/>
      <c r="EF52" s="62"/>
      <c r="EG52" s="63"/>
      <c r="EH52" s="64">
        <f t="shared" ref="EH52" si="520">IFERROR($C52*EH51,"")</f>
        <v>0</v>
      </c>
      <c r="EI52" s="64"/>
      <c r="EJ52" s="64"/>
      <c r="EK52" s="65"/>
      <c r="EL52" s="62">
        <f t="shared" ref="EL52" si="521">IFERROR($C52*EL51,"")</f>
        <v>0</v>
      </c>
      <c r="EM52" s="62"/>
      <c r="EN52" s="62"/>
      <c r="EO52" s="62"/>
      <c r="EP52" s="62">
        <f t="shared" ref="EP52" si="522">IFERROR($C52*EP51,"")</f>
        <v>0</v>
      </c>
      <c r="EQ52" s="62"/>
      <c r="ER52" s="62"/>
      <c r="ES52" s="63"/>
    </row>
    <row r="53" spans="1:149" hidden="1" outlineLevel="1" x14ac:dyDescent="0.45">
      <c r="B53" s="78"/>
      <c r="C53" s="25"/>
      <c r="D53" s="26" t="s">
        <v>3</v>
      </c>
      <c r="E53" s="27">
        <f>SUM(F53:CW53)</f>
        <v>0</v>
      </c>
      <c r="F53" s="66">
        <f>IFERROR($C53*F51,"")</f>
        <v>0</v>
      </c>
      <c r="G53" s="60"/>
      <c r="H53" s="60"/>
      <c r="I53" s="60"/>
      <c r="J53" s="60">
        <f t="shared" ref="J53" si="523">IFERROR($C53*J51,"")</f>
        <v>0</v>
      </c>
      <c r="K53" s="60"/>
      <c r="L53" s="60"/>
      <c r="M53" s="60"/>
      <c r="N53" s="61">
        <f t="shared" ref="N53" si="524">IFERROR($C53*N51,"")</f>
        <v>0</v>
      </c>
      <c r="O53" s="58"/>
      <c r="P53" s="58"/>
      <c r="Q53" s="58"/>
      <c r="R53" s="58">
        <f t="shared" ref="R53" si="525">IFERROR($C53*R51,"")</f>
        <v>0</v>
      </c>
      <c r="S53" s="58"/>
      <c r="T53" s="58"/>
      <c r="U53" s="59"/>
      <c r="V53" s="60">
        <f t="shared" ref="V53" si="526">IFERROR($C53*V51,"")</f>
        <v>0</v>
      </c>
      <c r="W53" s="60"/>
      <c r="X53" s="60"/>
      <c r="Y53" s="60"/>
      <c r="Z53" s="60">
        <f t="shared" ref="Z53" si="527">IFERROR($C53*Z51,"")</f>
        <v>0</v>
      </c>
      <c r="AA53" s="60"/>
      <c r="AB53" s="60"/>
      <c r="AC53" s="61"/>
      <c r="AD53" s="58">
        <f t="shared" ref="AD53" si="528">IFERROR($C53*AD51,"")</f>
        <v>0</v>
      </c>
      <c r="AE53" s="58"/>
      <c r="AF53" s="58"/>
      <c r="AG53" s="59"/>
      <c r="AH53" s="60">
        <f t="shared" ref="AH53" si="529">IFERROR($C53*AH51,"")</f>
        <v>0</v>
      </c>
      <c r="AI53" s="60"/>
      <c r="AJ53" s="60"/>
      <c r="AK53" s="60"/>
      <c r="AL53" s="60">
        <f t="shared" ref="AL53" si="530">IFERROR($C53*AL51,"")</f>
        <v>0</v>
      </c>
      <c r="AM53" s="60"/>
      <c r="AN53" s="60"/>
      <c r="AO53" s="61"/>
      <c r="AP53" s="58">
        <f t="shared" ref="AP53" si="531">IFERROR($C53*AP51,"")</f>
        <v>0</v>
      </c>
      <c r="AQ53" s="58"/>
      <c r="AR53" s="58"/>
      <c r="AS53" s="59"/>
      <c r="AT53" s="60">
        <f t="shared" ref="AT53" si="532">IFERROR($C53*AT51,"")</f>
        <v>0</v>
      </c>
      <c r="AU53" s="60"/>
      <c r="AV53" s="60"/>
      <c r="AW53" s="60"/>
      <c r="AX53" s="60">
        <f t="shared" ref="AX53" si="533">IFERROR($C53*AX51,"")</f>
        <v>0</v>
      </c>
      <c r="AY53" s="60"/>
      <c r="AZ53" s="60"/>
      <c r="BA53" s="61"/>
      <c r="BB53" s="58">
        <f t="shared" ref="BB53" si="534">IFERROR($C53*BB51,"")</f>
        <v>0</v>
      </c>
      <c r="BC53" s="58"/>
      <c r="BD53" s="58"/>
      <c r="BE53" s="59"/>
      <c r="BF53" s="60">
        <f t="shared" ref="BF53" si="535">IFERROR($C53*BF51,"")</f>
        <v>0</v>
      </c>
      <c r="BG53" s="60"/>
      <c r="BH53" s="60"/>
      <c r="BI53" s="60"/>
      <c r="BJ53" s="60">
        <f t="shared" ref="BJ53" si="536">IFERROR($C53*BJ51,"")</f>
        <v>0</v>
      </c>
      <c r="BK53" s="60"/>
      <c r="BL53" s="60"/>
      <c r="BM53" s="61"/>
      <c r="BN53" s="58">
        <f t="shared" ref="BN53" si="537">IFERROR($C53*BN51,"")</f>
        <v>0</v>
      </c>
      <c r="BO53" s="58"/>
      <c r="BP53" s="58"/>
      <c r="BQ53" s="59"/>
      <c r="BR53" s="60">
        <f t="shared" ref="BR53" si="538">IFERROR($C53*BR51,"")</f>
        <v>0</v>
      </c>
      <c r="BS53" s="60"/>
      <c r="BT53" s="60"/>
      <c r="BU53" s="60"/>
      <c r="BV53" s="60">
        <f t="shared" ref="BV53" si="539">IFERROR($C53*BV51,"")</f>
        <v>0</v>
      </c>
      <c r="BW53" s="60"/>
      <c r="BX53" s="60"/>
      <c r="BY53" s="61"/>
      <c r="BZ53" s="58">
        <f t="shared" ref="BZ53" si="540">IFERROR($C53*BZ51,"")</f>
        <v>0</v>
      </c>
      <c r="CA53" s="58"/>
      <c r="CB53" s="58"/>
      <c r="CC53" s="59"/>
      <c r="CD53" s="60">
        <f t="shared" ref="CD53" si="541">IFERROR($C53*CD51,"")</f>
        <v>0</v>
      </c>
      <c r="CE53" s="60"/>
      <c r="CF53" s="60"/>
      <c r="CG53" s="60"/>
      <c r="CH53" s="60">
        <f t="shared" ref="CH53" si="542">IFERROR($C53*CH51,"")</f>
        <v>0</v>
      </c>
      <c r="CI53" s="60"/>
      <c r="CJ53" s="60"/>
      <c r="CK53" s="61"/>
      <c r="CL53" s="58">
        <f t="shared" ref="CL53" si="543">IFERROR($C53*CL51,"")</f>
        <v>0</v>
      </c>
      <c r="CM53" s="58"/>
      <c r="CN53" s="58"/>
      <c r="CO53" s="59"/>
      <c r="CP53" s="60">
        <f t="shared" ref="CP53" si="544">IFERROR($C53*CP51,"")</f>
        <v>0</v>
      </c>
      <c r="CQ53" s="60"/>
      <c r="CR53" s="60"/>
      <c r="CS53" s="60"/>
      <c r="CT53" s="60">
        <f t="shared" ref="CT53" si="545">IFERROR($C53*CT51,"")</f>
        <v>0</v>
      </c>
      <c r="CU53" s="60"/>
      <c r="CV53" s="60"/>
      <c r="CW53" s="61"/>
      <c r="CX53" s="58">
        <f t="shared" ref="CX53" si="546">IFERROR($C53*CX51,"")</f>
        <v>0</v>
      </c>
      <c r="CY53" s="58"/>
      <c r="CZ53" s="58"/>
      <c r="DA53" s="59"/>
      <c r="DB53" s="60">
        <f t="shared" ref="DB53" si="547">IFERROR($C53*DB51,"")</f>
        <v>0</v>
      </c>
      <c r="DC53" s="60"/>
      <c r="DD53" s="60"/>
      <c r="DE53" s="60"/>
      <c r="DF53" s="60">
        <f t="shared" ref="DF53" si="548">IFERROR($C53*DF51,"")</f>
        <v>0</v>
      </c>
      <c r="DG53" s="60"/>
      <c r="DH53" s="60"/>
      <c r="DI53" s="61"/>
      <c r="DJ53" s="58">
        <f t="shared" ref="DJ53" si="549">IFERROR($C53*DJ51,"")</f>
        <v>0</v>
      </c>
      <c r="DK53" s="58"/>
      <c r="DL53" s="58"/>
      <c r="DM53" s="59"/>
      <c r="DN53" s="60">
        <f t="shared" ref="DN53" si="550">IFERROR($C53*DN51,"")</f>
        <v>0</v>
      </c>
      <c r="DO53" s="60"/>
      <c r="DP53" s="60"/>
      <c r="DQ53" s="60"/>
      <c r="DR53" s="60">
        <f t="shared" ref="DR53" si="551">IFERROR($C53*DR51,"")</f>
        <v>0</v>
      </c>
      <c r="DS53" s="60"/>
      <c r="DT53" s="60"/>
      <c r="DU53" s="61"/>
      <c r="DV53" s="58">
        <f t="shared" ref="DV53" si="552">IFERROR($C53*DV51,"")</f>
        <v>0</v>
      </c>
      <c r="DW53" s="58"/>
      <c r="DX53" s="58"/>
      <c r="DY53" s="59"/>
      <c r="DZ53" s="60">
        <f t="shared" ref="DZ53" si="553">IFERROR($C53*DZ51,"")</f>
        <v>0</v>
      </c>
      <c r="EA53" s="60"/>
      <c r="EB53" s="60"/>
      <c r="EC53" s="60"/>
      <c r="ED53" s="60">
        <f t="shared" ref="ED53" si="554">IFERROR($C53*ED51,"")</f>
        <v>0</v>
      </c>
      <c r="EE53" s="60"/>
      <c r="EF53" s="60"/>
      <c r="EG53" s="61"/>
      <c r="EH53" s="58">
        <f t="shared" ref="EH53" si="555">IFERROR($C53*EH51,"")</f>
        <v>0</v>
      </c>
      <c r="EI53" s="58"/>
      <c r="EJ53" s="58"/>
      <c r="EK53" s="59"/>
      <c r="EL53" s="60">
        <f t="shared" ref="EL53" si="556">IFERROR($C53*EL51,"")</f>
        <v>0</v>
      </c>
      <c r="EM53" s="60"/>
      <c r="EN53" s="60"/>
      <c r="EO53" s="60"/>
      <c r="EP53" s="60">
        <f t="shared" ref="EP53" si="557">IFERROR($C53*EP51,"")</f>
        <v>0</v>
      </c>
      <c r="EQ53" s="60"/>
      <c r="ER53" s="60"/>
      <c r="ES53" s="61"/>
    </row>
    <row r="54" spans="1:149" hidden="1" outlineLevel="1" x14ac:dyDescent="0.45">
      <c r="B54" s="72"/>
      <c r="C54" s="19"/>
      <c r="D54" s="20" t="s">
        <v>13</v>
      </c>
      <c r="E54" s="21">
        <f t="shared" si="347"/>
        <v>0</v>
      </c>
      <c r="F54" s="74"/>
      <c r="G54" s="67"/>
      <c r="H54" s="67"/>
      <c r="I54" s="67"/>
      <c r="J54" s="67"/>
      <c r="K54" s="67"/>
      <c r="L54" s="67"/>
      <c r="M54" s="67"/>
      <c r="N54" s="68"/>
      <c r="O54" s="70"/>
      <c r="P54" s="70"/>
      <c r="Q54" s="70"/>
      <c r="R54" s="70"/>
      <c r="S54" s="70"/>
      <c r="T54" s="70"/>
      <c r="U54" s="71"/>
      <c r="V54" s="67"/>
      <c r="W54" s="67"/>
      <c r="X54" s="67"/>
      <c r="Y54" s="67"/>
      <c r="Z54" s="67"/>
      <c r="AA54" s="67"/>
      <c r="AB54" s="67"/>
      <c r="AC54" s="68"/>
      <c r="AD54" s="70"/>
      <c r="AE54" s="70"/>
      <c r="AF54" s="70"/>
      <c r="AG54" s="71"/>
      <c r="AH54" s="67"/>
      <c r="AI54" s="67"/>
      <c r="AJ54" s="67"/>
      <c r="AK54" s="67"/>
      <c r="AL54" s="67"/>
      <c r="AM54" s="67"/>
      <c r="AN54" s="67"/>
      <c r="AO54" s="68"/>
      <c r="AP54" s="70"/>
      <c r="AQ54" s="70"/>
      <c r="AR54" s="70"/>
      <c r="AS54" s="71"/>
      <c r="AT54" s="67"/>
      <c r="AU54" s="67"/>
      <c r="AV54" s="67"/>
      <c r="AW54" s="67"/>
      <c r="AX54" s="67"/>
      <c r="AY54" s="67"/>
      <c r="AZ54" s="67"/>
      <c r="BA54" s="68"/>
      <c r="BB54" s="70"/>
      <c r="BC54" s="70"/>
      <c r="BD54" s="70"/>
      <c r="BE54" s="71"/>
      <c r="BF54" s="67"/>
      <c r="BG54" s="67"/>
      <c r="BH54" s="67"/>
      <c r="BI54" s="67"/>
      <c r="BJ54" s="67"/>
      <c r="BK54" s="67"/>
      <c r="BL54" s="67"/>
      <c r="BM54" s="68"/>
      <c r="BN54" s="70"/>
      <c r="BO54" s="70"/>
      <c r="BP54" s="70"/>
      <c r="BQ54" s="71"/>
      <c r="BR54" s="67"/>
      <c r="BS54" s="67"/>
      <c r="BT54" s="67"/>
      <c r="BU54" s="67"/>
      <c r="BV54" s="67"/>
      <c r="BW54" s="67"/>
      <c r="BX54" s="67"/>
      <c r="BY54" s="68"/>
      <c r="BZ54" s="70"/>
      <c r="CA54" s="70"/>
      <c r="CB54" s="70"/>
      <c r="CC54" s="71"/>
      <c r="CD54" s="67"/>
      <c r="CE54" s="67"/>
      <c r="CF54" s="67"/>
      <c r="CG54" s="67"/>
      <c r="CH54" s="67"/>
      <c r="CI54" s="67"/>
      <c r="CJ54" s="67"/>
      <c r="CK54" s="68"/>
      <c r="CL54" s="70"/>
      <c r="CM54" s="70"/>
      <c r="CN54" s="70"/>
      <c r="CO54" s="71"/>
      <c r="CP54" s="67"/>
      <c r="CQ54" s="67"/>
      <c r="CR54" s="67"/>
      <c r="CS54" s="67"/>
      <c r="CT54" s="67"/>
      <c r="CU54" s="67"/>
      <c r="CV54" s="67"/>
      <c r="CW54" s="68"/>
      <c r="CX54" s="70"/>
      <c r="CY54" s="70"/>
      <c r="CZ54" s="70"/>
      <c r="DA54" s="71"/>
      <c r="DB54" s="67"/>
      <c r="DC54" s="67"/>
      <c r="DD54" s="67"/>
      <c r="DE54" s="67"/>
      <c r="DF54" s="67"/>
      <c r="DG54" s="67"/>
      <c r="DH54" s="67"/>
      <c r="DI54" s="68"/>
      <c r="DJ54" s="70"/>
      <c r="DK54" s="70"/>
      <c r="DL54" s="70"/>
      <c r="DM54" s="71"/>
      <c r="DN54" s="67"/>
      <c r="DO54" s="67"/>
      <c r="DP54" s="67"/>
      <c r="DQ54" s="67"/>
      <c r="DR54" s="67"/>
      <c r="DS54" s="67"/>
      <c r="DT54" s="67"/>
      <c r="DU54" s="68"/>
      <c r="DV54" s="70"/>
      <c r="DW54" s="70"/>
      <c r="DX54" s="70"/>
      <c r="DY54" s="71"/>
      <c r="DZ54" s="67"/>
      <c r="EA54" s="67"/>
      <c r="EB54" s="67"/>
      <c r="EC54" s="67"/>
      <c r="ED54" s="67"/>
      <c r="EE54" s="67"/>
      <c r="EF54" s="67"/>
      <c r="EG54" s="68"/>
      <c r="EH54" s="70"/>
      <c r="EI54" s="70"/>
      <c r="EJ54" s="70"/>
      <c r="EK54" s="71"/>
      <c r="EL54" s="67"/>
      <c r="EM54" s="67"/>
      <c r="EN54" s="67"/>
      <c r="EO54" s="67"/>
      <c r="EP54" s="67"/>
      <c r="EQ54" s="67"/>
      <c r="ER54" s="67"/>
      <c r="ES54" s="68"/>
    </row>
    <row r="55" spans="1:149" hidden="1" outlineLevel="1" x14ac:dyDescent="0.45">
      <c r="B55" s="73"/>
      <c r="C55" s="22"/>
      <c r="D55" s="23" t="s">
        <v>23</v>
      </c>
      <c r="E55" s="24">
        <f>SUM(F55:CW55)</f>
        <v>0</v>
      </c>
      <c r="F55" s="69">
        <f>IFERROR($C55*F54,"")</f>
        <v>0</v>
      </c>
      <c r="G55" s="62"/>
      <c r="H55" s="62"/>
      <c r="I55" s="62"/>
      <c r="J55" s="62">
        <f t="shared" ref="J55" si="558">IFERROR($C55*J54,"")</f>
        <v>0</v>
      </c>
      <c r="K55" s="62"/>
      <c r="L55" s="62"/>
      <c r="M55" s="62"/>
      <c r="N55" s="63">
        <f t="shared" ref="N55" si="559">IFERROR($C55*N54,"")</f>
        <v>0</v>
      </c>
      <c r="O55" s="64"/>
      <c r="P55" s="64"/>
      <c r="Q55" s="64"/>
      <c r="R55" s="64">
        <f t="shared" ref="R55" si="560">IFERROR($C55*R54,"")</f>
        <v>0</v>
      </c>
      <c r="S55" s="64"/>
      <c r="T55" s="64"/>
      <c r="U55" s="65"/>
      <c r="V55" s="62">
        <f t="shared" ref="V55" si="561">IFERROR($C55*V54,"")</f>
        <v>0</v>
      </c>
      <c r="W55" s="62"/>
      <c r="X55" s="62"/>
      <c r="Y55" s="62"/>
      <c r="Z55" s="62">
        <f t="shared" ref="Z55" si="562">IFERROR($C55*Z54,"")</f>
        <v>0</v>
      </c>
      <c r="AA55" s="62"/>
      <c r="AB55" s="62"/>
      <c r="AC55" s="63"/>
      <c r="AD55" s="64">
        <f t="shared" ref="AD55" si="563">IFERROR($C55*AD54,"")</f>
        <v>0</v>
      </c>
      <c r="AE55" s="64"/>
      <c r="AF55" s="64"/>
      <c r="AG55" s="65"/>
      <c r="AH55" s="62">
        <f t="shared" ref="AH55" si="564">IFERROR($C55*AH54,"")</f>
        <v>0</v>
      </c>
      <c r="AI55" s="62"/>
      <c r="AJ55" s="62"/>
      <c r="AK55" s="62"/>
      <c r="AL55" s="62">
        <f t="shared" ref="AL55" si="565">IFERROR($C55*AL54,"")</f>
        <v>0</v>
      </c>
      <c r="AM55" s="62"/>
      <c r="AN55" s="62"/>
      <c r="AO55" s="63"/>
      <c r="AP55" s="64">
        <f t="shared" ref="AP55" si="566">IFERROR($C55*AP54,"")</f>
        <v>0</v>
      </c>
      <c r="AQ55" s="64"/>
      <c r="AR55" s="64"/>
      <c r="AS55" s="65"/>
      <c r="AT55" s="62">
        <f t="shared" ref="AT55" si="567">IFERROR($C55*AT54,"")</f>
        <v>0</v>
      </c>
      <c r="AU55" s="62"/>
      <c r="AV55" s="62"/>
      <c r="AW55" s="62"/>
      <c r="AX55" s="62">
        <f t="shared" ref="AX55" si="568">IFERROR($C55*AX54,"")</f>
        <v>0</v>
      </c>
      <c r="AY55" s="62"/>
      <c r="AZ55" s="62"/>
      <c r="BA55" s="63"/>
      <c r="BB55" s="64">
        <f t="shared" ref="BB55" si="569">IFERROR($C55*BB54,"")</f>
        <v>0</v>
      </c>
      <c r="BC55" s="64"/>
      <c r="BD55" s="64"/>
      <c r="BE55" s="65"/>
      <c r="BF55" s="62">
        <f t="shared" ref="BF55" si="570">IFERROR($C55*BF54,"")</f>
        <v>0</v>
      </c>
      <c r="BG55" s="62"/>
      <c r="BH55" s="62"/>
      <c r="BI55" s="62"/>
      <c r="BJ55" s="62">
        <f t="shared" ref="BJ55" si="571">IFERROR($C55*BJ54,"")</f>
        <v>0</v>
      </c>
      <c r="BK55" s="62"/>
      <c r="BL55" s="62"/>
      <c r="BM55" s="63"/>
      <c r="BN55" s="64">
        <f t="shared" ref="BN55" si="572">IFERROR($C55*BN54,"")</f>
        <v>0</v>
      </c>
      <c r="BO55" s="64"/>
      <c r="BP55" s="64"/>
      <c r="BQ55" s="65"/>
      <c r="BR55" s="62">
        <f t="shared" ref="BR55" si="573">IFERROR($C55*BR54,"")</f>
        <v>0</v>
      </c>
      <c r="BS55" s="62"/>
      <c r="BT55" s="62"/>
      <c r="BU55" s="62"/>
      <c r="BV55" s="62">
        <f t="shared" ref="BV55" si="574">IFERROR($C55*BV54,"")</f>
        <v>0</v>
      </c>
      <c r="BW55" s="62"/>
      <c r="BX55" s="62"/>
      <c r="BY55" s="63"/>
      <c r="BZ55" s="64">
        <f t="shared" ref="BZ55" si="575">IFERROR($C55*BZ54,"")</f>
        <v>0</v>
      </c>
      <c r="CA55" s="64"/>
      <c r="CB55" s="64"/>
      <c r="CC55" s="65"/>
      <c r="CD55" s="62">
        <f t="shared" ref="CD55" si="576">IFERROR($C55*CD54,"")</f>
        <v>0</v>
      </c>
      <c r="CE55" s="62"/>
      <c r="CF55" s="62"/>
      <c r="CG55" s="62"/>
      <c r="CH55" s="62">
        <f t="shared" ref="CH55" si="577">IFERROR($C55*CH54,"")</f>
        <v>0</v>
      </c>
      <c r="CI55" s="62"/>
      <c r="CJ55" s="62"/>
      <c r="CK55" s="63"/>
      <c r="CL55" s="64">
        <f t="shared" ref="CL55" si="578">IFERROR($C55*CL54,"")</f>
        <v>0</v>
      </c>
      <c r="CM55" s="64"/>
      <c r="CN55" s="64"/>
      <c r="CO55" s="65"/>
      <c r="CP55" s="62">
        <f t="shared" ref="CP55" si="579">IFERROR($C55*CP54,"")</f>
        <v>0</v>
      </c>
      <c r="CQ55" s="62"/>
      <c r="CR55" s="62"/>
      <c r="CS55" s="62"/>
      <c r="CT55" s="62">
        <f t="shared" ref="CT55" si="580">IFERROR($C55*CT54,"")</f>
        <v>0</v>
      </c>
      <c r="CU55" s="62"/>
      <c r="CV55" s="62"/>
      <c r="CW55" s="63"/>
      <c r="CX55" s="64">
        <f t="shared" ref="CX55" si="581">IFERROR($C55*CX54,"")</f>
        <v>0</v>
      </c>
      <c r="CY55" s="64"/>
      <c r="CZ55" s="64"/>
      <c r="DA55" s="65"/>
      <c r="DB55" s="62">
        <f t="shared" ref="DB55" si="582">IFERROR($C55*DB54,"")</f>
        <v>0</v>
      </c>
      <c r="DC55" s="62"/>
      <c r="DD55" s="62"/>
      <c r="DE55" s="62"/>
      <c r="DF55" s="62">
        <f t="shared" ref="DF55" si="583">IFERROR($C55*DF54,"")</f>
        <v>0</v>
      </c>
      <c r="DG55" s="62"/>
      <c r="DH55" s="62"/>
      <c r="DI55" s="63"/>
      <c r="DJ55" s="64">
        <f t="shared" ref="DJ55" si="584">IFERROR($C55*DJ54,"")</f>
        <v>0</v>
      </c>
      <c r="DK55" s="64"/>
      <c r="DL55" s="64"/>
      <c r="DM55" s="65"/>
      <c r="DN55" s="62">
        <f t="shared" ref="DN55" si="585">IFERROR($C55*DN54,"")</f>
        <v>0</v>
      </c>
      <c r="DO55" s="62"/>
      <c r="DP55" s="62"/>
      <c r="DQ55" s="62"/>
      <c r="DR55" s="62">
        <f t="shared" ref="DR55" si="586">IFERROR($C55*DR54,"")</f>
        <v>0</v>
      </c>
      <c r="DS55" s="62"/>
      <c r="DT55" s="62"/>
      <c r="DU55" s="63"/>
      <c r="DV55" s="64">
        <f t="shared" ref="DV55" si="587">IFERROR($C55*DV54,"")</f>
        <v>0</v>
      </c>
      <c r="DW55" s="64"/>
      <c r="DX55" s="64"/>
      <c r="DY55" s="65"/>
      <c r="DZ55" s="62">
        <f t="shared" ref="DZ55" si="588">IFERROR($C55*DZ54,"")</f>
        <v>0</v>
      </c>
      <c r="EA55" s="62"/>
      <c r="EB55" s="62"/>
      <c r="EC55" s="62"/>
      <c r="ED55" s="62">
        <f t="shared" ref="ED55" si="589">IFERROR($C55*ED54,"")</f>
        <v>0</v>
      </c>
      <c r="EE55" s="62"/>
      <c r="EF55" s="62"/>
      <c r="EG55" s="63"/>
      <c r="EH55" s="64">
        <f t="shared" ref="EH55" si="590">IFERROR($C55*EH54,"")</f>
        <v>0</v>
      </c>
      <c r="EI55" s="64"/>
      <c r="EJ55" s="64"/>
      <c r="EK55" s="65"/>
      <c r="EL55" s="62">
        <f t="shared" ref="EL55" si="591">IFERROR($C55*EL54,"")</f>
        <v>0</v>
      </c>
      <c r="EM55" s="62"/>
      <c r="EN55" s="62"/>
      <c r="EO55" s="62"/>
      <c r="EP55" s="62">
        <f t="shared" ref="EP55" si="592">IFERROR($C55*EP54,"")</f>
        <v>0</v>
      </c>
      <c r="EQ55" s="62"/>
      <c r="ER55" s="62"/>
      <c r="ES55" s="63"/>
    </row>
    <row r="56" spans="1:149" ht="18.600000000000001" hidden="1" outlineLevel="1" thickBot="1" x14ac:dyDescent="0.5">
      <c r="B56" s="73"/>
      <c r="C56" s="25"/>
      <c r="D56" s="26" t="s">
        <v>3</v>
      </c>
      <c r="E56" s="27">
        <f>SUM(F56:CW56)</f>
        <v>0</v>
      </c>
      <c r="F56" s="66">
        <f>IFERROR($C56*F54,"")</f>
        <v>0</v>
      </c>
      <c r="G56" s="60"/>
      <c r="H56" s="60"/>
      <c r="I56" s="60"/>
      <c r="J56" s="60">
        <f t="shared" ref="J56" si="593">IFERROR($C56*J54,"")</f>
        <v>0</v>
      </c>
      <c r="K56" s="60"/>
      <c r="L56" s="60"/>
      <c r="M56" s="60"/>
      <c r="N56" s="61">
        <f t="shared" ref="N56" si="594">IFERROR($C56*N54,"")</f>
        <v>0</v>
      </c>
      <c r="O56" s="58"/>
      <c r="P56" s="58"/>
      <c r="Q56" s="58"/>
      <c r="R56" s="58">
        <f t="shared" ref="R56" si="595">IFERROR($C56*R54,"")</f>
        <v>0</v>
      </c>
      <c r="S56" s="58"/>
      <c r="T56" s="58"/>
      <c r="U56" s="59"/>
      <c r="V56" s="60">
        <f t="shared" ref="V56" si="596">IFERROR($C56*V54,"")</f>
        <v>0</v>
      </c>
      <c r="W56" s="60"/>
      <c r="X56" s="60"/>
      <c r="Y56" s="60"/>
      <c r="Z56" s="60">
        <f t="shared" ref="Z56" si="597">IFERROR($C56*Z54,"")</f>
        <v>0</v>
      </c>
      <c r="AA56" s="60"/>
      <c r="AB56" s="60"/>
      <c r="AC56" s="61"/>
      <c r="AD56" s="58">
        <f t="shared" ref="AD56" si="598">IFERROR($C56*AD54,"")</f>
        <v>0</v>
      </c>
      <c r="AE56" s="58"/>
      <c r="AF56" s="58"/>
      <c r="AG56" s="59"/>
      <c r="AH56" s="60">
        <f t="shared" ref="AH56" si="599">IFERROR($C56*AH54,"")</f>
        <v>0</v>
      </c>
      <c r="AI56" s="60"/>
      <c r="AJ56" s="60"/>
      <c r="AK56" s="60"/>
      <c r="AL56" s="60">
        <f t="shared" ref="AL56" si="600">IFERROR($C56*AL54,"")</f>
        <v>0</v>
      </c>
      <c r="AM56" s="60"/>
      <c r="AN56" s="60"/>
      <c r="AO56" s="61"/>
      <c r="AP56" s="58">
        <f t="shared" ref="AP56" si="601">IFERROR($C56*AP54,"")</f>
        <v>0</v>
      </c>
      <c r="AQ56" s="58"/>
      <c r="AR56" s="58"/>
      <c r="AS56" s="59"/>
      <c r="AT56" s="60">
        <f t="shared" ref="AT56" si="602">IFERROR($C56*AT54,"")</f>
        <v>0</v>
      </c>
      <c r="AU56" s="60"/>
      <c r="AV56" s="60"/>
      <c r="AW56" s="60"/>
      <c r="AX56" s="60">
        <f t="shared" ref="AX56" si="603">IFERROR($C56*AX54,"")</f>
        <v>0</v>
      </c>
      <c r="AY56" s="60"/>
      <c r="AZ56" s="60"/>
      <c r="BA56" s="61"/>
      <c r="BB56" s="58">
        <f t="shared" ref="BB56" si="604">IFERROR($C56*BB54,"")</f>
        <v>0</v>
      </c>
      <c r="BC56" s="58"/>
      <c r="BD56" s="58"/>
      <c r="BE56" s="59"/>
      <c r="BF56" s="60">
        <f t="shared" ref="BF56" si="605">IFERROR($C56*BF54,"")</f>
        <v>0</v>
      </c>
      <c r="BG56" s="60"/>
      <c r="BH56" s="60"/>
      <c r="BI56" s="60"/>
      <c r="BJ56" s="60">
        <f t="shared" ref="BJ56" si="606">IFERROR($C56*BJ54,"")</f>
        <v>0</v>
      </c>
      <c r="BK56" s="60"/>
      <c r="BL56" s="60"/>
      <c r="BM56" s="61"/>
      <c r="BN56" s="58">
        <f t="shared" ref="BN56" si="607">IFERROR($C56*BN54,"")</f>
        <v>0</v>
      </c>
      <c r="BO56" s="58"/>
      <c r="BP56" s="58"/>
      <c r="BQ56" s="59"/>
      <c r="BR56" s="60">
        <f t="shared" ref="BR56" si="608">IFERROR($C56*BR54,"")</f>
        <v>0</v>
      </c>
      <c r="BS56" s="60"/>
      <c r="BT56" s="60"/>
      <c r="BU56" s="60"/>
      <c r="BV56" s="60">
        <f t="shared" ref="BV56" si="609">IFERROR($C56*BV54,"")</f>
        <v>0</v>
      </c>
      <c r="BW56" s="60"/>
      <c r="BX56" s="60"/>
      <c r="BY56" s="61"/>
      <c r="BZ56" s="58">
        <f t="shared" ref="BZ56" si="610">IFERROR($C56*BZ54,"")</f>
        <v>0</v>
      </c>
      <c r="CA56" s="58"/>
      <c r="CB56" s="58"/>
      <c r="CC56" s="59"/>
      <c r="CD56" s="60">
        <f t="shared" ref="CD56" si="611">IFERROR($C56*CD54,"")</f>
        <v>0</v>
      </c>
      <c r="CE56" s="60"/>
      <c r="CF56" s="60"/>
      <c r="CG56" s="60"/>
      <c r="CH56" s="60">
        <f t="shared" ref="CH56" si="612">IFERROR($C56*CH54,"")</f>
        <v>0</v>
      </c>
      <c r="CI56" s="60"/>
      <c r="CJ56" s="60"/>
      <c r="CK56" s="61"/>
      <c r="CL56" s="58">
        <f t="shared" ref="CL56" si="613">IFERROR($C56*CL54,"")</f>
        <v>0</v>
      </c>
      <c r="CM56" s="58"/>
      <c r="CN56" s="58"/>
      <c r="CO56" s="59"/>
      <c r="CP56" s="60">
        <f t="shared" ref="CP56" si="614">IFERROR($C56*CP54,"")</f>
        <v>0</v>
      </c>
      <c r="CQ56" s="60"/>
      <c r="CR56" s="60"/>
      <c r="CS56" s="60"/>
      <c r="CT56" s="60">
        <f t="shared" ref="CT56" si="615">IFERROR($C56*CT54,"")</f>
        <v>0</v>
      </c>
      <c r="CU56" s="60"/>
      <c r="CV56" s="60"/>
      <c r="CW56" s="61"/>
      <c r="CX56" s="58">
        <f t="shared" ref="CX56" si="616">IFERROR($C56*CX54,"")</f>
        <v>0</v>
      </c>
      <c r="CY56" s="58"/>
      <c r="CZ56" s="58"/>
      <c r="DA56" s="59"/>
      <c r="DB56" s="60">
        <f t="shared" ref="DB56" si="617">IFERROR($C56*DB54,"")</f>
        <v>0</v>
      </c>
      <c r="DC56" s="60"/>
      <c r="DD56" s="60"/>
      <c r="DE56" s="60"/>
      <c r="DF56" s="60">
        <f t="shared" ref="DF56" si="618">IFERROR($C56*DF54,"")</f>
        <v>0</v>
      </c>
      <c r="DG56" s="60"/>
      <c r="DH56" s="60"/>
      <c r="DI56" s="61"/>
      <c r="DJ56" s="58">
        <f t="shared" ref="DJ56" si="619">IFERROR($C56*DJ54,"")</f>
        <v>0</v>
      </c>
      <c r="DK56" s="58"/>
      <c r="DL56" s="58"/>
      <c r="DM56" s="59"/>
      <c r="DN56" s="60">
        <f t="shared" ref="DN56" si="620">IFERROR($C56*DN54,"")</f>
        <v>0</v>
      </c>
      <c r="DO56" s="60"/>
      <c r="DP56" s="60"/>
      <c r="DQ56" s="60"/>
      <c r="DR56" s="60">
        <f t="shared" ref="DR56" si="621">IFERROR($C56*DR54,"")</f>
        <v>0</v>
      </c>
      <c r="DS56" s="60"/>
      <c r="DT56" s="60"/>
      <c r="DU56" s="61"/>
      <c r="DV56" s="58">
        <f t="shared" ref="DV56" si="622">IFERROR($C56*DV54,"")</f>
        <v>0</v>
      </c>
      <c r="DW56" s="58"/>
      <c r="DX56" s="58"/>
      <c r="DY56" s="59"/>
      <c r="DZ56" s="60">
        <f t="shared" ref="DZ56" si="623">IFERROR($C56*DZ54,"")</f>
        <v>0</v>
      </c>
      <c r="EA56" s="60"/>
      <c r="EB56" s="60"/>
      <c r="EC56" s="60"/>
      <c r="ED56" s="60">
        <f t="shared" ref="ED56" si="624">IFERROR($C56*ED54,"")</f>
        <v>0</v>
      </c>
      <c r="EE56" s="60"/>
      <c r="EF56" s="60"/>
      <c r="EG56" s="61"/>
      <c r="EH56" s="58">
        <f t="shared" ref="EH56" si="625">IFERROR($C56*EH54,"")</f>
        <v>0</v>
      </c>
      <c r="EI56" s="58"/>
      <c r="EJ56" s="58"/>
      <c r="EK56" s="59"/>
      <c r="EL56" s="60">
        <f t="shared" ref="EL56" si="626">IFERROR($C56*EL54,"")</f>
        <v>0</v>
      </c>
      <c r="EM56" s="60"/>
      <c r="EN56" s="60"/>
      <c r="EO56" s="60"/>
      <c r="EP56" s="60">
        <f t="shared" ref="EP56" si="627">IFERROR($C56*EP54,"")</f>
        <v>0</v>
      </c>
      <c r="EQ56" s="60"/>
      <c r="ER56" s="60"/>
      <c r="ES56" s="61"/>
    </row>
    <row r="57" spans="1:149" outlineLevel="1" x14ac:dyDescent="0.45">
      <c r="B57" s="51" t="s">
        <v>27</v>
      </c>
      <c r="C57" s="52"/>
      <c r="D57" s="52"/>
      <c r="E57" s="28">
        <f t="shared" si="347"/>
        <v>6</v>
      </c>
      <c r="F57" s="57">
        <f>SUMIF($D21:$D56,"工数",F21:I56)</f>
        <v>0</v>
      </c>
      <c r="G57" s="46"/>
      <c r="H57" s="46"/>
      <c r="I57" s="46"/>
      <c r="J57" s="46">
        <f>SUMIF($D21:$D56,"工数",J21:M56)</f>
        <v>0</v>
      </c>
      <c r="K57" s="46"/>
      <c r="L57" s="46"/>
      <c r="M57" s="46"/>
      <c r="N57" s="47">
        <f>SUMIF($D21:$D56,"工数",N21:Q56)</f>
        <v>0</v>
      </c>
      <c r="O57" s="49"/>
      <c r="P57" s="49"/>
      <c r="Q57" s="49"/>
      <c r="R57" s="49">
        <f>SUMIF($D21:$D56,"工数",R21:U56)</f>
        <v>0</v>
      </c>
      <c r="S57" s="49"/>
      <c r="T57" s="49"/>
      <c r="U57" s="50"/>
      <c r="V57" s="46">
        <f>SUMIF($D21:$D56,"工数",V21:Y56)</f>
        <v>0</v>
      </c>
      <c r="W57" s="46"/>
      <c r="X57" s="46"/>
      <c r="Y57" s="46"/>
      <c r="Z57" s="46">
        <f>SUMIF($D21:$D56,"工数",Z21:AC56)</f>
        <v>0</v>
      </c>
      <c r="AA57" s="46"/>
      <c r="AB57" s="46"/>
      <c r="AC57" s="47"/>
      <c r="AD57" s="49">
        <f>SUMIF($D21:$D56,"工数",AD21:AG56)</f>
        <v>0</v>
      </c>
      <c r="AE57" s="49"/>
      <c r="AF57" s="49"/>
      <c r="AG57" s="50"/>
      <c r="AH57" s="46">
        <f>SUMIF($D21:$D56,"工数",AH21:AK56)</f>
        <v>0</v>
      </c>
      <c r="AI57" s="46"/>
      <c r="AJ57" s="46"/>
      <c r="AK57" s="46"/>
      <c r="AL57" s="46">
        <f>SUMIF($D21:$D56,"工数",AL21:AO56)</f>
        <v>0</v>
      </c>
      <c r="AM57" s="46"/>
      <c r="AN57" s="46"/>
      <c r="AO57" s="47"/>
      <c r="AP57" s="49">
        <f>SUMIF($D21:$D56,"工数",AP21:AS56)</f>
        <v>0</v>
      </c>
      <c r="AQ57" s="49"/>
      <c r="AR57" s="49"/>
      <c r="AS57" s="50"/>
      <c r="AT57" s="46">
        <f>SUMIF($D21:$D56,"工数",AT21:AW56)</f>
        <v>0</v>
      </c>
      <c r="AU57" s="46"/>
      <c r="AV57" s="46"/>
      <c r="AW57" s="46"/>
      <c r="AX57" s="46">
        <f>SUMIF($D21:$D56,"工数",AX21:BA56)</f>
        <v>0</v>
      </c>
      <c r="AY57" s="46"/>
      <c r="AZ57" s="46"/>
      <c r="BA57" s="47"/>
      <c r="BB57" s="49">
        <f>SUMIF($D21:$D56,"工数",BB21:BE56)</f>
        <v>0</v>
      </c>
      <c r="BC57" s="49"/>
      <c r="BD57" s="49"/>
      <c r="BE57" s="50"/>
      <c r="BF57" s="46">
        <f>SUMIF($D21:$D56,"工数",BF21:BI56)</f>
        <v>0</v>
      </c>
      <c r="BG57" s="46"/>
      <c r="BH57" s="46"/>
      <c r="BI57" s="46"/>
      <c r="BJ57" s="46">
        <f>SUMIF($D21:$D56,"工数",BJ21:BM56)</f>
        <v>0</v>
      </c>
      <c r="BK57" s="46"/>
      <c r="BL57" s="46"/>
      <c r="BM57" s="47"/>
      <c r="BN57" s="49">
        <f>SUMIF($D21:$D56,"工数",BN21:BQ56)</f>
        <v>0</v>
      </c>
      <c r="BO57" s="49"/>
      <c r="BP57" s="49"/>
      <c r="BQ57" s="50"/>
      <c r="BR57" s="46">
        <f>SUMIF($D21:$D56,"工数",BR21:BU56)</f>
        <v>0</v>
      </c>
      <c r="BS57" s="46"/>
      <c r="BT57" s="46"/>
      <c r="BU57" s="46"/>
      <c r="BV57" s="46">
        <f>SUMIF($D21:$D56,"工数",BV21:BY56)</f>
        <v>0.5</v>
      </c>
      <c r="BW57" s="46"/>
      <c r="BX57" s="46"/>
      <c r="BY57" s="47"/>
      <c r="BZ57" s="49">
        <f>SUMIF($D21:$D56,"工数",BZ21:CC56)</f>
        <v>2.5</v>
      </c>
      <c r="CA57" s="49"/>
      <c r="CB57" s="49"/>
      <c r="CC57" s="50"/>
      <c r="CD57" s="46">
        <f>SUMIF($D21:$D56,"工数",CD21:CG56)</f>
        <v>2.5</v>
      </c>
      <c r="CE57" s="46"/>
      <c r="CF57" s="46"/>
      <c r="CG57" s="46"/>
      <c r="CH57" s="46">
        <f>SUMIF($D21:$D56,"工数",CH21:CK56)</f>
        <v>0.5</v>
      </c>
      <c r="CI57" s="46"/>
      <c r="CJ57" s="46"/>
      <c r="CK57" s="47"/>
      <c r="CL57" s="49">
        <f>SUMIF($D21:$D56,"工数",CL21:CO56)</f>
        <v>0</v>
      </c>
      <c r="CM57" s="49"/>
      <c r="CN57" s="49"/>
      <c r="CO57" s="50"/>
      <c r="CP57" s="46">
        <f>SUMIF($D21:$D56,"工数",CP21:CS56)</f>
        <v>0</v>
      </c>
      <c r="CQ57" s="46"/>
      <c r="CR57" s="46"/>
      <c r="CS57" s="46"/>
      <c r="CT57" s="46">
        <f>SUMIF($D21:$D56,"工数",CT21:CW56)</f>
        <v>0</v>
      </c>
      <c r="CU57" s="46"/>
      <c r="CV57" s="46"/>
      <c r="CW57" s="47"/>
      <c r="CX57" s="49">
        <f>SUMIF($D21:$D56,"工数",CX21:DA56)</f>
        <v>0</v>
      </c>
      <c r="CY57" s="49"/>
      <c r="CZ57" s="49"/>
      <c r="DA57" s="50"/>
      <c r="DB57" s="46">
        <f>SUMIF($D21:$D56,"工数",DB21:DE56)</f>
        <v>0</v>
      </c>
      <c r="DC57" s="46"/>
      <c r="DD57" s="46"/>
      <c r="DE57" s="46"/>
      <c r="DF57" s="46">
        <f>SUMIF($D21:$D56,"工数",DF21:DI56)</f>
        <v>0</v>
      </c>
      <c r="DG57" s="46"/>
      <c r="DH57" s="46"/>
      <c r="DI57" s="47"/>
      <c r="DJ57" s="49">
        <f>SUMIF($D21:$D56,"工数",DJ21:DM56)</f>
        <v>0</v>
      </c>
      <c r="DK57" s="49"/>
      <c r="DL57" s="49"/>
      <c r="DM57" s="50"/>
      <c r="DN57" s="46">
        <f>SUMIF($D21:$D56,"工数",DN21:DQ56)</f>
        <v>0</v>
      </c>
      <c r="DO57" s="46"/>
      <c r="DP57" s="46"/>
      <c r="DQ57" s="46"/>
      <c r="DR57" s="46">
        <f>SUMIF($D21:$D56,"工数",DR21:DU56)</f>
        <v>0</v>
      </c>
      <c r="DS57" s="46"/>
      <c r="DT57" s="46"/>
      <c r="DU57" s="47"/>
      <c r="DV57" s="49">
        <f>SUMIF($D21:$D56,"工数",DV21:DY56)</f>
        <v>0</v>
      </c>
      <c r="DW57" s="49"/>
      <c r="DX57" s="49"/>
      <c r="DY57" s="50"/>
      <c r="DZ57" s="46">
        <f>SUMIF($D21:$D56,"工数",DZ21:EC56)</f>
        <v>0</v>
      </c>
      <c r="EA57" s="46"/>
      <c r="EB57" s="46"/>
      <c r="EC57" s="46"/>
      <c r="ED57" s="46">
        <f>SUMIF($D21:$D56,"工数",ED21:EG56)</f>
        <v>0</v>
      </c>
      <c r="EE57" s="46"/>
      <c r="EF57" s="46"/>
      <c r="EG57" s="47"/>
      <c r="EH57" s="49">
        <f>SUMIF($D21:$D56,"工数",EH21:EK56)</f>
        <v>0</v>
      </c>
      <c r="EI57" s="49"/>
      <c r="EJ57" s="49"/>
      <c r="EK57" s="50"/>
      <c r="EL57" s="46">
        <f>SUMIF($D21:$D56,"工数",EL21:EO56)</f>
        <v>0</v>
      </c>
      <c r="EM57" s="46"/>
      <c r="EN57" s="46"/>
      <c r="EO57" s="46"/>
      <c r="EP57" s="46">
        <f>SUMIF($D21:$D56,"工数",EP21:ES56)</f>
        <v>0</v>
      </c>
      <c r="EQ57" s="46"/>
      <c r="ER57" s="46"/>
      <c r="ES57" s="47"/>
    </row>
    <row r="58" spans="1:149" outlineLevel="1" x14ac:dyDescent="0.45">
      <c r="B58" s="53"/>
      <c r="C58" s="54"/>
      <c r="D58" s="54"/>
      <c r="E58" s="29">
        <f t="shared" si="347"/>
        <v>7000000</v>
      </c>
      <c r="F58" s="48">
        <f>SUMIF($D21:$D56,"売上金額",F21:I56)</f>
        <v>0</v>
      </c>
      <c r="G58" s="43"/>
      <c r="H58" s="43"/>
      <c r="I58" s="43"/>
      <c r="J58" s="43">
        <f>SUMIF($D21:$D56,"売上金額",J21:M56)</f>
        <v>0</v>
      </c>
      <c r="K58" s="43"/>
      <c r="L58" s="43"/>
      <c r="M58" s="43"/>
      <c r="N58" s="44">
        <f>SUMIF($D21:$D56,"売上金額",N21:Q56)</f>
        <v>0</v>
      </c>
      <c r="O58" s="41"/>
      <c r="P58" s="41"/>
      <c r="Q58" s="41"/>
      <c r="R58" s="41">
        <f>SUMIF($D21:$D56,"売上金額",R21:U56)</f>
        <v>0</v>
      </c>
      <c r="S58" s="41"/>
      <c r="T58" s="41"/>
      <c r="U58" s="42"/>
      <c r="V58" s="43">
        <f>SUMIF($D21:$D56,"売上金額",V21:Y56)</f>
        <v>0</v>
      </c>
      <c r="W58" s="43"/>
      <c r="X58" s="43"/>
      <c r="Y58" s="43"/>
      <c r="Z58" s="43">
        <f>SUMIF($D21:$D56,"売上金額",Z21:AC56)</f>
        <v>0</v>
      </c>
      <c r="AA58" s="43"/>
      <c r="AB58" s="43"/>
      <c r="AC58" s="44"/>
      <c r="AD58" s="41">
        <f>SUMIF($D21:$D56,"売上金額",AD21:AG56)</f>
        <v>0</v>
      </c>
      <c r="AE58" s="41"/>
      <c r="AF58" s="41"/>
      <c r="AG58" s="42"/>
      <c r="AH58" s="43">
        <f>SUMIF($D21:$D56,"売上金額",AH21:AK56)</f>
        <v>0</v>
      </c>
      <c r="AI58" s="43"/>
      <c r="AJ58" s="43"/>
      <c r="AK58" s="43"/>
      <c r="AL58" s="43">
        <f>SUMIF($D21:$D56,"売上金額",AL21:AO56)</f>
        <v>0</v>
      </c>
      <c r="AM58" s="43"/>
      <c r="AN58" s="43"/>
      <c r="AO58" s="44"/>
      <c r="AP58" s="41">
        <f>SUMIF($D21:$D56,"売上金額",AP21:AS56)</f>
        <v>0</v>
      </c>
      <c r="AQ58" s="41"/>
      <c r="AR58" s="41"/>
      <c r="AS58" s="42"/>
      <c r="AT58" s="43">
        <f>SUMIF($D21:$D56,"売上金額",AT21:AW56)</f>
        <v>0</v>
      </c>
      <c r="AU58" s="43"/>
      <c r="AV58" s="43"/>
      <c r="AW58" s="43"/>
      <c r="AX58" s="43">
        <f>SUMIF($D21:$D56,"売上金額",AX21:BA56)</f>
        <v>0</v>
      </c>
      <c r="AY58" s="43"/>
      <c r="AZ58" s="43"/>
      <c r="BA58" s="44"/>
      <c r="BB58" s="41">
        <f>SUMIF($D21:$D56,"売上金額",BB21:BE56)</f>
        <v>0</v>
      </c>
      <c r="BC58" s="41"/>
      <c r="BD58" s="41"/>
      <c r="BE58" s="42"/>
      <c r="BF58" s="43">
        <f>SUMIF($D21:$D56,"売上金額",BF21:BI56)</f>
        <v>0</v>
      </c>
      <c r="BG58" s="43"/>
      <c r="BH58" s="43"/>
      <c r="BI58" s="43"/>
      <c r="BJ58" s="43">
        <f>SUMIF($D21:$D56,"売上金額",BJ21:BM56)</f>
        <v>0</v>
      </c>
      <c r="BK58" s="43"/>
      <c r="BL58" s="43"/>
      <c r="BM58" s="44"/>
      <c r="BN58" s="41">
        <f>SUMIF($D21:$D56,"売上金額",BN21:BQ56)</f>
        <v>0</v>
      </c>
      <c r="BO58" s="41"/>
      <c r="BP58" s="41"/>
      <c r="BQ58" s="42"/>
      <c r="BR58" s="43">
        <f>SUMIF($D21:$D56,"売上金額",BR21:BU56)</f>
        <v>0</v>
      </c>
      <c r="BS58" s="43"/>
      <c r="BT58" s="43"/>
      <c r="BU58" s="43"/>
      <c r="BV58" s="43">
        <f>SUMIF($D21:$D56,"売上金額",BV21:BY56)</f>
        <v>700000</v>
      </c>
      <c r="BW58" s="43"/>
      <c r="BX58" s="43"/>
      <c r="BY58" s="44"/>
      <c r="BZ58" s="41">
        <f>SUMIF($D21:$D56,"売上金額",BZ21:CC56)</f>
        <v>2800000</v>
      </c>
      <c r="CA58" s="41"/>
      <c r="CB58" s="41"/>
      <c r="CC58" s="42"/>
      <c r="CD58" s="43">
        <f>SUMIF($D21:$D56,"売上金額",CD21:CG56)</f>
        <v>2800000</v>
      </c>
      <c r="CE58" s="43"/>
      <c r="CF58" s="43"/>
      <c r="CG58" s="43"/>
      <c r="CH58" s="43">
        <f>SUMIF($D21:$D56,"売上金額",CH21:CK56)</f>
        <v>700000</v>
      </c>
      <c r="CI58" s="43"/>
      <c r="CJ58" s="43"/>
      <c r="CK58" s="44"/>
      <c r="CL58" s="41">
        <f>SUMIF($D21:$D56,"売上金額",CL21:CO56)</f>
        <v>0</v>
      </c>
      <c r="CM58" s="41"/>
      <c r="CN58" s="41"/>
      <c r="CO58" s="42"/>
      <c r="CP58" s="43">
        <f>SUMIF($D21:$D56,"売上金額",CP21:CS56)</f>
        <v>0</v>
      </c>
      <c r="CQ58" s="43"/>
      <c r="CR58" s="43"/>
      <c r="CS58" s="43"/>
      <c r="CT58" s="43">
        <f>SUMIF($D21:$D56,"売上金額",CT21:CW56)</f>
        <v>0</v>
      </c>
      <c r="CU58" s="43"/>
      <c r="CV58" s="43"/>
      <c r="CW58" s="44"/>
      <c r="CX58" s="41">
        <f>SUMIF($D21:$D56,"売上金額",CX21:DA56)</f>
        <v>0</v>
      </c>
      <c r="CY58" s="41"/>
      <c r="CZ58" s="41"/>
      <c r="DA58" s="42"/>
      <c r="DB58" s="43">
        <f>SUMIF($D21:$D56,"売上金額",DB21:DE56)</f>
        <v>0</v>
      </c>
      <c r="DC58" s="43"/>
      <c r="DD58" s="43"/>
      <c r="DE58" s="43"/>
      <c r="DF58" s="43">
        <f>SUMIF($D21:$D56,"売上金額",DF21:DI56)</f>
        <v>0</v>
      </c>
      <c r="DG58" s="43"/>
      <c r="DH58" s="43"/>
      <c r="DI58" s="44"/>
      <c r="DJ58" s="41">
        <f>SUMIF($D21:$D56,"売上金額",DJ21:DM56)</f>
        <v>0</v>
      </c>
      <c r="DK58" s="41"/>
      <c r="DL58" s="41"/>
      <c r="DM58" s="42"/>
      <c r="DN58" s="43">
        <f>SUMIF($D21:$D56,"売上金額",DN21:DQ56)</f>
        <v>0</v>
      </c>
      <c r="DO58" s="43"/>
      <c r="DP58" s="43"/>
      <c r="DQ58" s="43"/>
      <c r="DR58" s="43">
        <f>SUMIF($D21:$D56,"売上金額",DR21:DU56)</f>
        <v>0</v>
      </c>
      <c r="DS58" s="43"/>
      <c r="DT58" s="43"/>
      <c r="DU58" s="44"/>
      <c r="DV58" s="41">
        <f>SUMIF($D21:$D56,"売上金額",DV21:DY56)</f>
        <v>0</v>
      </c>
      <c r="DW58" s="41"/>
      <c r="DX58" s="41"/>
      <c r="DY58" s="42"/>
      <c r="DZ58" s="43">
        <f>SUMIF($D21:$D56,"売上金額",DZ21:EC56)</f>
        <v>0</v>
      </c>
      <c r="EA58" s="43"/>
      <c r="EB58" s="43"/>
      <c r="EC58" s="43"/>
      <c r="ED58" s="43">
        <f>SUMIF($D21:$D56,"売上金額",ED21:EG56)</f>
        <v>0</v>
      </c>
      <c r="EE58" s="43"/>
      <c r="EF58" s="43"/>
      <c r="EG58" s="44"/>
      <c r="EH58" s="41">
        <f>SUMIF($D21:$D56,"売上金額",EH21:EK56)</f>
        <v>0</v>
      </c>
      <c r="EI58" s="41"/>
      <c r="EJ58" s="41"/>
      <c r="EK58" s="42"/>
      <c r="EL58" s="43">
        <f>SUMIF($D21:$D56,"売上金額",EL21:EO56)</f>
        <v>0</v>
      </c>
      <c r="EM58" s="43"/>
      <c r="EN58" s="43"/>
      <c r="EO58" s="43"/>
      <c r="EP58" s="43">
        <f>SUMIF($D21:$D56,"売上金額",EP21:ES56)</f>
        <v>0</v>
      </c>
      <c r="EQ58" s="43"/>
      <c r="ER58" s="43"/>
      <c r="ES58" s="44"/>
    </row>
    <row r="59" spans="1:149" ht="18.600000000000001" outlineLevel="1" thickBot="1" x14ac:dyDescent="0.5">
      <c r="B59" s="55"/>
      <c r="C59" s="56"/>
      <c r="D59" s="56"/>
      <c r="E59" s="30">
        <f t="shared" si="347"/>
        <v>3200000</v>
      </c>
      <c r="F59" s="45">
        <f>SUMIF($D21:$D56,"原価金額",F21:I56)</f>
        <v>0</v>
      </c>
      <c r="G59" s="37"/>
      <c r="H59" s="37"/>
      <c r="I59" s="37"/>
      <c r="J59" s="37">
        <f>SUMIF($D21:$D56,"原価金額",J21:M56)</f>
        <v>0</v>
      </c>
      <c r="K59" s="37"/>
      <c r="L59" s="37"/>
      <c r="M59" s="37"/>
      <c r="N59" s="38">
        <f>SUMIF($D21:$D56,"原価金額",N21:Q56)</f>
        <v>0</v>
      </c>
      <c r="O59" s="39"/>
      <c r="P59" s="39"/>
      <c r="Q59" s="39"/>
      <c r="R59" s="39">
        <f>SUMIF($D21:$D56,"原価金額",R21:U56)</f>
        <v>0</v>
      </c>
      <c r="S59" s="39"/>
      <c r="T59" s="39"/>
      <c r="U59" s="40"/>
      <c r="V59" s="37">
        <f>SUMIF($D21:$D56,"原価金額",V21:Y56)</f>
        <v>0</v>
      </c>
      <c r="W59" s="37"/>
      <c r="X59" s="37"/>
      <c r="Y59" s="37"/>
      <c r="Z59" s="37">
        <f>SUMIF($D21:$D56,"原価金額",Z21:AC56)</f>
        <v>0</v>
      </c>
      <c r="AA59" s="37"/>
      <c r="AB59" s="37"/>
      <c r="AC59" s="38"/>
      <c r="AD59" s="39">
        <f>SUMIF($D21:$D56,"原価金額",AD21:AG56)</f>
        <v>0</v>
      </c>
      <c r="AE59" s="39"/>
      <c r="AF59" s="39"/>
      <c r="AG59" s="40"/>
      <c r="AH59" s="37">
        <f>SUMIF($D21:$D56,"原価金額",AH21:AK56)</f>
        <v>0</v>
      </c>
      <c r="AI59" s="37"/>
      <c r="AJ59" s="37"/>
      <c r="AK59" s="37"/>
      <c r="AL59" s="37">
        <f>SUMIF($D21:$D56,"原価金額",AL21:AO56)</f>
        <v>0</v>
      </c>
      <c r="AM59" s="37"/>
      <c r="AN59" s="37"/>
      <c r="AO59" s="38"/>
      <c r="AP59" s="39">
        <f>SUMIF($D21:$D56,"原価金額",AP21:AS56)</f>
        <v>0</v>
      </c>
      <c r="AQ59" s="39"/>
      <c r="AR59" s="39"/>
      <c r="AS59" s="40"/>
      <c r="AT59" s="37">
        <f>SUMIF($D21:$D56,"原価金額",AT21:AW56)</f>
        <v>0</v>
      </c>
      <c r="AU59" s="37"/>
      <c r="AV59" s="37"/>
      <c r="AW59" s="37"/>
      <c r="AX59" s="37">
        <f>SUMIF($D21:$D56,"原価金額",AX21:BA56)</f>
        <v>0</v>
      </c>
      <c r="AY59" s="37"/>
      <c r="AZ59" s="37"/>
      <c r="BA59" s="38"/>
      <c r="BB59" s="39">
        <f>SUMIF($D21:$D56,"原価金額",BB21:BE56)</f>
        <v>0</v>
      </c>
      <c r="BC59" s="39"/>
      <c r="BD59" s="39"/>
      <c r="BE59" s="40"/>
      <c r="BF59" s="37">
        <f>SUMIF($D21:$D56,"原価金額",BF21:BI56)</f>
        <v>0</v>
      </c>
      <c r="BG59" s="37"/>
      <c r="BH59" s="37"/>
      <c r="BI59" s="37"/>
      <c r="BJ59" s="37">
        <f>SUMIF($D21:$D56,"原価金額",BJ21:BM56)</f>
        <v>0</v>
      </c>
      <c r="BK59" s="37"/>
      <c r="BL59" s="37"/>
      <c r="BM59" s="38"/>
      <c r="BN59" s="39">
        <f>SUMIF($D21:$D56,"原価金額",BN21:BQ56)</f>
        <v>0</v>
      </c>
      <c r="BO59" s="39"/>
      <c r="BP59" s="39"/>
      <c r="BQ59" s="40"/>
      <c r="BR59" s="37">
        <f>SUMIF($D21:$D56,"原価金額",BR21:BU56)</f>
        <v>0</v>
      </c>
      <c r="BS59" s="37"/>
      <c r="BT59" s="37"/>
      <c r="BU59" s="37"/>
      <c r="BV59" s="37">
        <f>SUMIF($D21:$D56,"原価金額",BV21:BY56)</f>
        <v>300000</v>
      </c>
      <c r="BW59" s="37"/>
      <c r="BX59" s="37"/>
      <c r="BY59" s="38"/>
      <c r="BZ59" s="39">
        <f>SUMIF($D21:$D56,"原価金額",BZ21:CC56)</f>
        <v>1300000</v>
      </c>
      <c r="CA59" s="39"/>
      <c r="CB59" s="39"/>
      <c r="CC59" s="40"/>
      <c r="CD59" s="37">
        <f>SUMIF($D21:$D56,"原価金額",CD21:CG56)</f>
        <v>1300000</v>
      </c>
      <c r="CE59" s="37"/>
      <c r="CF59" s="37"/>
      <c r="CG59" s="37"/>
      <c r="CH59" s="37">
        <f>SUMIF($D21:$D56,"原価金額",CH21:CK56)</f>
        <v>300000</v>
      </c>
      <c r="CI59" s="37"/>
      <c r="CJ59" s="37"/>
      <c r="CK59" s="38"/>
      <c r="CL59" s="39">
        <f>SUMIF($D21:$D56,"原価金額",CL21:CO56)</f>
        <v>0</v>
      </c>
      <c r="CM59" s="39"/>
      <c r="CN59" s="39"/>
      <c r="CO59" s="40"/>
      <c r="CP59" s="37">
        <f>SUMIF($D21:$D56,"原価金額",CP21:CS56)</f>
        <v>0</v>
      </c>
      <c r="CQ59" s="37"/>
      <c r="CR59" s="37"/>
      <c r="CS59" s="37"/>
      <c r="CT59" s="37">
        <f>SUMIF($D21:$D56,"原価金額",CT21:CW56)</f>
        <v>0</v>
      </c>
      <c r="CU59" s="37"/>
      <c r="CV59" s="37"/>
      <c r="CW59" s="38"/>
      <c r="CX59" s="39">
        <f>SUMIF($D21:$D56,"原価金額",CX21:DA56)</f>
        <v>0</v>
      </c>
      <c r="CY59" s="39"/>
      <c r="CZ59" s="39"/>
      <c r="DA59" s="40"/>
      <c r="DB59" s="37">
        <f>SUMIF($D21:$D56,"原価金額",DB21:DE56)</f>
        <v>0</v>
      </c>
      <c r="DC59" s="37"/>
      <c r="DD59" s="37"/>
      <c r="DE59" s="37"/>
      <c r="DF59" s="37">
        <f>SUMIF($D21:$D56,"原価金額",DF21:DI56)</f>
        <v>0</v>
      </c>
      <c r="DG59" s="37"/>
      <c r="DH59" s="37"/>
      <c r="DI59" s="38"/>
      <c r="DJ59" s="39">
        <f>SUMIF($D21:$D56,"原価金額",DJ21:DM56)</f>
        <v>0</v>
      </c>
      <c r="DK59" s="39"/>
      <c r="DL59" s="39"/>
      <c r="DM59" s="40"/>
      <c r="DN59" s="37">
        <f>SUMIF($D21:$D56,"原価金額",DN21:DQ56)</f>
        <v>0</v>
      </c>
      <c r="DO59" s="37"/>
      <c r="DP59" s="37"/>
      <c r="DQ59" s="37"/>
      <c r="DR59" s="37">
        <f>SUMIF($D21:$D56,"原価金額",DR21:DU56)</f>
        <v>0</v>
      </c>
      <c r="DS59" s="37"/>
      <c r="DT59" s="37"/>
      <c r="DU59" s="38"/>
      <c r="DV59" s="39">
        <f>SUMIF($D21:$D56,"原価金額",DV21:DY56)</f>
        <v>0</v>
      </c>
      <c r="DW59" s="39"/>
      <c r="DX59" s="39"/>
      <c r="DY59" s="40"/>
      <c r="DZ59" s="37">
        <f>SUMIF($D21:$D56,"原価金額",DZ21:EC56)</f>
        <v>0</v>
      </c>
      <c r="EA59" s="37"/>
      <c r="EB59" s="37"/>
      <c r="EC59" s="37"/>
      <c r="ED59" s="37">
        <f>SUMIF($D21:$D56,"原価金額",ED21:EG56)</f>
        <v>0</v>
      </c>
      <c r="EE59" s="37"/>
      <c r="EF59" s="37"/>
      <c r="EG59" s="38"/>
      <c r="EH59" s="39">
        <f>SUMIF($D21:$D56,"原価金額",EH21:EK56)</f>
        <v>0</v>
      </c>
      <c r="EI59" s="39"/>
      <c r="EJ59" s="39"/>
      <c r="EK59" s="40"/>
      <c r="EL59" s="37">
        <f>SUMIF($D21:$D56,"原価金額",EL21:EO56)</f>
        <v>0</v>
      </c>
      <c r="EM59" s="37"/>
      <c r="EN59" s="37"/>
      <c r="EO59" s="37"/>
      <c r="EP59" s="37">
        <f>SUMIF($D21:$D56,"原価金額",EP21:ES56)</f>
        <v>0</v>
      </c>
      <c r="EQ59" s="37"/>
      <c r="ER59" s="37"/>
      <c r="ES59" s="38"/>
    </row>
    <row r="61" spans="1:149" ht="18.600000000000001" outlineLevel="1" thickBot="1" x14ac:dyDescent="0.5">
      <c r="A61" s="2" t="s">
        <v>28</v>
      </c>
      <c r="C61" s="17" t="s">
        <v>17</v>
      </c>
    </row>
    <row r="62" spans="1:149" outlineLevel="1" x14ac:dyDescent="0.45">
      <c r="B62" s="88" t="s">
        <v>18</v>
      </c>
      <c r="C62" s="91" t="s">
        <v>19</v>
      </c>
      <c r="D62" s="93" t="s">
        <v>20</v>
      </c>
      <c r="E62" s="94" t="s">
        <v>21</v>
      </c>
      <c r="F62" s="85" t="s">
        <v>6</v>
      </c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7"/>
      <c r="BB62" s="85" t="s">
        <v>30</v>
      </c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87"/>
      <c r="CX62" s="85" t="s">
        <v>31</v>
      </c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7"/>
    </row>
    <row r="63" spans="1:149" outlineLevel="1" x14ac:dyDescent="0.45">
      <c r="B63" s="89"/>
      <c r="C63" s="92"/>
      <c r="D63" s="93"/>
      <c r="E63" s="95"/>
      <c r="F63" s="82" t="s">
        <v>7</v>
      </c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2" t="s">
        <v>8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2" t="s">
        <v>9</v>
      </c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2" t="s">
        <v>10</v>
      </c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2" t="s">
        <v>7</v>
      </c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2" t="s">
        <v>8</v>
      </c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2" t="s">
        <v>9</v>
      </c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2" t="s">
        <v>11</v>
      </c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4"/>
      <c r="CX63" s="82" t="s">
        <v>7</v>
      </c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2" t="s">
        <v>8</v>
      </c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2" t="s">
        <v>9</v>
      </c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2" t="s">
        <v>11</v>
      </c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4"/>
    </row>
    <row r="64" spans="1:149" outlineLevel="1" x14ac:dyDescent="0.45">
      <c r="B64" s="90"/>
      <c r="C64" s="18" t="s">
        <v>22</v>
      </c>
      <c r="D64" s="93"/>
      <c r="E64" s="96"/>
      <c r="F64" s="81">
        <v>45017</v>
      </c>
      <c r="G64" s="79"/>
      <c r="H64" s="79"/>
      <c r="I64" s="79"/>
      <c r="J64" s="79">
        <v>45047</v>
      </c>
      <c r="K64" s="79"/>
      <c r="L64" s="79"/>
      <c r="M64" s="79"/>
      <c r="N64" s="79">
        <v>45078</v>
      </c>
      <c r="O64" s="79"/>
      <c r="P64" s="79"/>
      <c r="Q64" s="80"/>
      <c r="R64" s="81">
        <v>45108</v>
      </c>
      <c r="S64" s="79"/>
      <c r="T64" s="79"/>
      <c r="U64" s="79"/>
      <c r="V64" s="79">
        <v>45139</v>
      </c>
      <c r="W64" s="79"/>
      <c r="X64" s="79"/>
      <c r="Y64" s="79"/>
      <c r="Z64" s="79">
        <v>45170</v>
      </c>
      <c r="AA64" s="79"/>
      <c r="AB64" s="79"/>
      <c r="AC64" s="80"/>
      <c r="AD64" s="81">
        <v>45200</v>
      </c>
      <c r="AE64" s="79"/>
      <c r="AF64" s="79"/>
      <c r="AG64" s="79"/>
      <c r="AH64" s="79">
        <v>45231</v>
      </c>
      <c r="AI64" s="79"/>
      <c r="AJ64" s="79"/>
      <c r="AK64" s="79"/>
      <c r="AL64" s="79">
        <v>45261</v>
      </c>
      <c r="AM64" s="79"/>
      <c r="AN64" s="79"/>
      <c r="AO64" s="80"/>
      <c r="AP64" s="81">
        <v>45292</v>
      </c>
      <c r="AQ64" s="79"/>
      <c r="AR64" s="79"/>
      <c r="AS64" s="79"/>
      <c r="AT64" s="79">
        <v>45323</v>
      </c>
      <c r="AU64" s="79"/>
      <c r="AV64" s="79"/>
      <c r="AW64" s="79"/>
      <c r="AX64" s="79">
        <v>45352</v>
      </c>
      <c r="AY64" s="79"/>
      <c r="AZ64" s="79"/>
      <c r="BA64" s="80"/>
      <c r="BB64" s="81">
        <v>45383</v>
      </c>
      <c r="BC64" s="79"/>
      <c r="BD64" s="79"/>
      <c r="BE64" s="79"/>
      <c r="BF64" s="79">
        <v>45413</v>
      </c>
      <c r="BG64" s="79"/>
      <c r="BH64" s="79"/>
      <c r="BI64" s="79"/>
      <c r="BJ64" s="79">
        <v>45444</v>
      </c>
      <c r="BK64" s="79"/>
      <c r="BL64" s="79"/>
      <c r="BM64" s="80"/>
      <c r="BN64" s="81">
        <v>45474</v>
      </c>
      <c r="BO64" s="79"/>
      <c r="BP64" s="79"/>
      <c r="BQ64" s="79"/>
      <c r="BR64" s="79">
        <v>45505</v>
      </c>
      <c r="BS64" s="79"/>
      <c r="BT64" s="79"/>
      <c r="BU64" s="79"/>
      <c r="BV64" s="79">
        <v>45536</v>
      </c>
      <c r="BW64" s="79"/>
      <c r="BX64" s="79"/>
      <c r="BY64" s="80"/>
      <c r="BZ64" s="81">
        <v>45566</v>
      </c>
      <c r="CA64" s="79"/>
      <c r="CB64" s="79"/>
      <c r="CC64" s="79"/>
      <c r="CD64" s="79">
        <v>45597</v>
      </c>
      <c r="CE64" s="79"/>
      <c r="CF64" s="79"/>
      <c r="CG64" s="79"/>
      <c r="CH64" s="79">
        <v>45627</v>
      </c>
      <c r="CI64" s="79"/>
      <c r="CJ64" s="79"/>
      <c r="CK64" s="80"/>
      <c r="CL64" s="81">
        <v>45658</v>
      </c>
      <c r="CM64" s="79"/>
      <c r="CN64" s="79"/>
      <c r="CO64" s="79"/>
      <c r="CP64" s="79">
        <v>45689</v>
      </c>
      <c r="CQ64" s="79"/>
      <c r="CR64" s="79"/>
      <c r="CS64" s="79"/>
      <c r="CT64" s="79">
        <v>45717</v>
      </c>
      <c r="CU64" s="79"/>
      <c r="CV64" s="79"/>
      <c r="CW64" s="80"/>
      <c r="CX64" s="81">
        <v>45383</v>
      </c>
      <c r="CY64" s="79"/>
      <c r="CZ64" s="79"/>
      <c r="DA64" s="79"/>
      <c r="DB64" s="79">
        <v>45413</v>
      </c>
      <c r="DC64" s="79"/>
      <c r="DD64" s="79"/>
      <c r="DE64" s="79"/>
      <c r="DF64" s="79">
        <v>45444</v>
      </c>
      <c r="DG64" s="79"/>
      <c r="DH64" s="79"/>
      <c r="DI64" s="80"/>
      <c r="DJ64" s="81">
        <v>45474</v>
      </c>
      <c r="DK64" s="79"/>
      <c r="DL64" s="79"/>
      <c r="DM64" s="79"/>
      <c r="DN64" s="79">
        <v>45505</v>
      </c>
      <c r="DO64" s="79"/>
      <c r="DP64" s="79"/>
      <c r="DQ64" s="79"/>
      <c r="DR64" s="79">
        <v>45536</v>
      </c>
      <c r="DS64" s="79"/>
      <c r="DT64" s="79"/>
      <c r="DU64" s="80"/>
      <c r="DV64" s="81">
        <v>45566</v>
      </c>
      <c r="DW64" s="79"/>
      <c r="DX64" s="79"/>
      <c r="DY64" s="79"/>
      <c r="DZ64" s="79">
        <v>45597</v>
      </c>
      <c r="EA64" s="79"/>
      <c r="EB64" s="79"/>
      <c r="EC64" s="79"/>
      <c r="ED64" s="79">
        <v>45627</v>
      </c>
      <c r="EE64" s="79"/>
      <c r="EF64" s="79"/>
      <c r="EG64" s="80"/>
      <c r="EH64" s="81">
        <v>45658</v>
      </c>
      <c r="EI64" s="79"/>
      <c r="EJ64" s="79"/>
      <c r="EK64" s="79"/>
      <c r="EL64" s="79">
        <v>45689</v>
      </c>
      <c r="EM64" s="79"/>
      <c r="EN64" s="79"/>
      <c r="EO64" s="79"/>
      <c r="EP64" s="79">
        <v>45717</v>
      </c>
      <c r="EQ64" s="79"/>
      <c r="ER64" s="79"/>
      <c r="ES64" s="80"/>
    </row>
    <row r="65" spans="2:149" outlineLevel="1" x14ac:dyDescent="0.45">
      <c r="B65" s="72" t="s">
        <v>37</v>
      </c>
      <c r="C65" s="19"/>
      <c r="D65" s="20" t="s">
        <v>13</v>
      </c>
      <c r="E65" s="21">
        <f ca="1">SUM(F65:ES65)</f>
        <v>2</v>
      </c>
      <c r="F65" s="74"/>
      <c r="G65" s="67"/>
      <c r="H65" s="67"/>
      <c r="I65" s="67"/>
      <c r="J65" s="67"/>
      <c r="K65" s="67"/>
      <c r="L65" s="67"/>
      <c r="M65" s="67"/>
      <c r="N65" s="68"/>
      <c r="O65" s="70"/>
      <c r="P65" s="70"/>
      <c r="Q65" s="70"/>
      <c r="R65" s="70"/>
      <c r="S65" s="70"/>
      <c r="T65" s="70"/>
      <c r="U65" s="71"/>
      <c r="V65" s="67"/>
      <c r="W65" s="67"/>
      <c r="X65" s="67"/>
      <c r="Y65" s="67"/>
      <c r="Z65" s="67"/>
      <c r="AA65" s="67"/>
      <c r="AB65" s="67"/>
      <c r="AC65" s="68"/>
      <c r="AD65" s="70"/>
      <c r="AE65" s="70"/>
      <c r="AF65" s="70"/>
      <c r="AG65" s="71"/>
      <c r="AH65" s="67"/>
      <c r="AI65" s="67"/>
      <c r="AJ65" s="67"/>
      <c r="AK65" s="67"/>
      <c r="AL65" s="67"/>
      <c r="AM65" s="67"/>
      <c r="AN65" s="67"/>
      <c r="AO65" s="68"/>
      <c r="AP65" s="70"/>
      <c r="AQ65" s="70"/>
      <c r="AR65" s="70"/>
      <c r="AS65" s="71"/>
      <c r="AT65" s="67"/>
      <c r="AU65" s="67"/>
      <c r="AV65" s="67"/>
      <c r="AW65" s="68"/>
      <c r="AX65" s="67"/>
      <c r="AY65" s="67"/>
      <c r="AZ65" s="67"/>
      <c r="BA65" s="68"/>
      <c r="BB65" s="70"/>
      <c r="BC65" s="70"/>
      <c r="BD65" s="70"/>
      <c r="BE65" s="71"/>
      <c r="BF65" s="67"/>
      <c r="BG65" s="67"/>
      <c r="BH65" s="67"/>
      <c r="BI65" s="67"/>
      <c r="BJ65" s="67"/>
      <c r="BK65" s="67"/>
      <c r="BL65" s="67"/>
      <c r="BM65" s="68"/>
      <c r="BN65" s="70"/>
      <c r="BO65" s="70"/>
      <c r="BP65" s="70"/>
      <c r="BQ65" s="71"/>
      <c r="BR65" s="67"/>
      <c r="BS65" s="67"/>
      <c r="BT65" s="67"/>
      <c r="BU65" s="67"/>
      <c r="BV65" s="67">
        <v>0.5</v>
      </c>
      <c r="BW65" s="67"/>
      <c r="BX65" s="67"/>
      <c r="BY65" s="68"/>
      <c r="BZ65" s="70">
        <v>0.5</v>
      </c>
      <c r="CA65" s="70"/>
      <c r="CB65" s="70"/>
      <c r="CC65" s="71"/>
      <c r="CD65" s="67">
        <v>0.5</v>
      </c>
      <c r="CE65" s="67"/>
      <c r="CF65" s="67"/>
      <c r="CG65" s="67"/>
      <c r="CH65" s="67">
        <v>0.5</v>
      </c>
      <c r="CI65" s="67"/>
      <c r="CJ65" s="67"/>
      <c r="CK65" s="68"/>
      <c r="CL65" s="70"/>
      <c r="CM65" s="70"/>
      <c r="CN65" s="70"/>
      <c r="CO65" s="71"/>
      <c r="CP65" s="67"/>
      <c r="CQ65" s="67"/>
      <c r="CR65" s="67"/>
      <c r="CS65" s="67"/>
      <c r="CT65" s="67"/>
      <c r="CU65" s="67"/>
      <c r="CV65" s="67"/>
      <c r="CW65" s="68"/>
      <c r="CX65" s="70"/>
      <c r="CY65" s="70"/>
      <c r="CZ65" s="70"/>
      <c r="DA65" s="71"/>
      <c r="DB65" s="67"/>
      <c r="DC65" s="67"/>
      <c r="DD65" s="67"/>
      <c r="DE65" s="67"/>
      <c r="DF65" s="67"/>
      <c r="DG65" s="67"/>
      <c r="DH65" s="67"/>
      <c r="DI65" s="68"/>
      <c r="DJ65" s="70"/>
      <c r="DK65" s="70"/>
      <c r="DL65" s="70"/>
      <c r="DM65" s="71"/>
      <c r="DN65" s="67"/>
      <c r="DO65" s="67"/>
      <c r="DP65" s="67"/>
      <c r="DQ65" s="67"/>
      <c r="DR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DS65" s="67"/>
      <c r="DT65" s="67"/>
      <c r="DU65" s="68"/>
      <c r="DV65" s="70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DW65" s="70"/>
      <c r="DX65" s="70"/>
      <c r="DY65" s="71"/>
      <c r="DZ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A65" s="67"/>
      <c r="EB65" s="67"/>
      <c r="EC65" s="67"/>
      <c r="ED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E65" s="67"/>
      <c r="EF65" s="67"/>
      <c r="EG65" s="68"/>
      <c r="EH65" s="70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I65" s="70"/>
      <c r="EJ65" s="70"/>
      <c r="EK65" s="71"/>
      <c r="EL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M65" s="67"/>
      <c r="EN65" s="67"/>
      <c r="EO65" s="67"/>
      <c r="EP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Q65" s="67"/>
      <c r="ER65" s="67"/>
      <c r="ES65" s="68"/>
    </row>
    <row r="66" spans="2:149" outlineLevel="1" x14ac:dyDescent="0.45">
      <c r="B66" s="73"/>
      <c r="C66" s="22">
        <v>1050000</v>
      </c>
      <c r="D66" s="23" t="s">
        <v>23</v>
      </c>
      <c r="E66" s="24">
        <f>SUM(F66:CW66)</f>
        <v>2100000</v>
      </c>
      <c r="F66" s="69">
        <f>IFERROR($C66*F65,"")</f>
        <v>0</v>
      </c>
      <c r="G66" s="62"/>
      <c r="H66" s="62"/>
      <c r="I66" s="62"/>
      <c r="J66" s="62">
        <f t="shared" ref="J66" si="628">IFERROR($C66*J65,"")</f>
        <v>0</v>
      </c>
      <c r="K66" s="62"/>
      <c r="L66" s="62"/>
      <c r="M66" s="62"/>
      <c r="N66" s="63">
        <f t="shared" ref="N66" si="629">IFERROR($C66*N65,"")</f>
        <v>0</v>
      </c>
      <c r="O66" s="64"/>
      <c r="P66" s="64"/>
      <c r="Q66" s="64"/>
      <c r="R66" s="64">
        <f t="shared" ref="R66" si="630">IFERROR($C66*R65,"")</f>
        <v>0</v>
      </c>
      <c r="S66" s="64"/>
      <c r="T66" s="64"/>
      <c r="U66" s="65"/>
      <c r="V66" s="62">
        <f t="shared" ref="V66" si="631">IFERROR($C66*V65,"")</f>
        <v>0</v>
      </c>
      <c r="W66" s="62"/>
      <c r="X66" s="62"/>
      <c r="Y66" s="62"/>
      <c r="Z66" s="62">
        <f t="shared" ref="Z66" si="632">IFERROR($C66*Z65,"")</f>
        <v>0</v>
      </c>
      <c r="AA66" s="62"/>
      <c r="AB66" s="62"/>
      <c r="AC66" s="63"/>
      <c r="AD66" s="64">
        <f t="shared" ref="AD66" si="633">IFERROR($C66*AD65,"")</f>
        <v>0</v>
      </c>
      <c r="AE66" s="64"/>
      <c r="AF66" s="64"/>
      <c r="AG66" s="65"/>
      <c r="AH66" s="62">
        <f t="shared" ref="AH66" si="634">IFERROR($C66*AH65,"")</f>
        <v>0</v>
      </c>
      <c r="AI66" s="62"/>
      <c r="AJ66" s="62"/>
      <c r="AK66" s="62"/>
      <c r="AL66" s="62">
        <f t="shared" ref="AL66" si="635">IFERROR($C66*AL65,"")</f>
        <v>0</v>
      </c>
      <c r="AM66" s="62"/>
      <c r="AN66" s="62"/>
      <c r="AO66" s="63"/>
      <c r="AP66" s="64">
        <f t="shared" ref="AP66" si="636">IFERROR($C66*AP65,"")</f>
        <v>0</v>
      </c>
      <c r="AQ66" s="64"/>
      <c r="AR66" s="64"/>
      <c r="AS66" s="65"/>
      <c r="AT66" s="62">
        <f t="shared" ref="AT66" si="637">IFERROR($C66*AT65,"")</f>
        <v>0</v>
      </c>
      <c r="AU66" s="62"/>
      <c r="AV66" s="62"/>
      <c r="AW66" s="62"/>
      <c r="AX66" s="62">
        <f t="shared" ref="AX66" si="638">IFERROR($C66*AX65,"")</f>
        <v>0</v>
      </c>
      <c r="AY66" s="62"/>
      <c r="AZ66" s="62"/>
      <c r="BA66" s="63"/>
      <c r="BB66" s="64">
        <f t="shared" ref="BB66:CD66" si="639">IFERROR($C66*BB65,"")</f>
        <v>0</v>
      </c>
      <c r="BC66" s="64"/>
      <c r="BD66" s="64"/>
      <c r="BE66" s="65"/>
      <c r="BF66" s="62">
        <f t="shared" si="639"/>
        <v>0</v>
      </c>
      <c r="BG66" s="62"/>
      <c r="BH66" s="62"/>
      <c r="BI66" s="62"/>
      <c r="BJ66" s="62">
        <f t="shared" si="639"/>
        <v>0</v>
      </c>
      <c r="BK66" s="62"/>
      <c r="BL66" s="62"/>
      <c r="BM66" s="63"/>
      <c r="BN66" s="64">
        <f t="shared" si="639"/>
        <v>0</v>
      </c>
      <c r="BO66" s="64"/>
      <c r="BP66" s="64"/>
      <c r="BQ66" s="65"/>
      <c r="BR66" s="62">
        <f t="shared" si="639"/>
        <v>0</v>
      </c>
      <c r="BS66" s="62"/>
      <c r="BT66" s="62"/>
      <c r="BU66" s="62"/>
      <c r="BV66" s="62">
        <f t="shared" si="639"/>
        <v>525000</v>
      </c>
      <c r="BW66" s="62"/>
      <c r="BX66" s="62"/>
      <c r="BY66" s="63"/>
      <c r="BZ66" s="64">
        <f t="shared" si="639"/>
        <v>525000</v>
      </c>
      <c r="CA66" s="64"/>
      <c r="CB66" s="64"/>
      <c r="CC66" s="65"/>
      <c r="CD66" s="62">
        <f t="shared" si="639"/>
        <v>525000</v>
      </c>
      <c r="CE66" s="62"/>
      <c r="CF66" s="62"/>
      <c r="CG66" s="62"/>
      <c r="CH66" s="62">
        <f t="shared" ref="CH66:DJ66" si="640">IFERROR($C66*CH65,"")</f>
        <v>525000</v>
      </c>
      <c r="CI66" s="62"/>
      <c r="CJ66" s="62"/>
      <c r="CK66" s="63"/>
      <c r="CL66" s="64">
        <f t="shared" si="640"/>
        <v>0</v>
      </c>
      <c r="CM66" s="64"/>
      <c r="CN66" s="64"/>
      <c r="CO66" s="65"/>
      <c r="CP66" s="62">
        <f t="shared" si="640"/>
        <v>0</v>
      </c>
      <c r="CQ66" s="62"/>
      <c r="CR66" s="62"/>
      <c r="CS66" s="62"/>
      <c r="CT66" s="62">
        <f t="shared" si="640"/>
        <v>0</v>
      </c>
      <c r="CU66" s="62"/>
      <c r="CV66" s="62"/>
      <c r="CW66" s="63"/>
      <c r="CX66" s="64">
        <f t="shared" si="640"/>
        <v>0</v>
      </c>
      <c r="CY66" s="64"/>
      <c r="CZ66" s="64"/>
      <c r="DA66" s="65"/>
      <c r="DB66" s="62">
        <f t="shared" si="640"/>
        <v>0</v>
      </c>
      <c r="DC66" s="62"/>
      <c r="DD66" s="62"/>
      <c r="DE66" s="62"/>
      <c r="DF66" s="62">
        <f t="shared" si="640"/>
        <v>0</v>
      </c>
      <c r="DG66" s="62"/>
      <c r="DH66" s="62"/>
      <c r="DI66" s="63"/>
      <c r="DJ66" s="64">
        <f t="shared" si="640"/>
        <v>0</v>
      </c>
      <c r="DK66" s="64"/>
      <c r="DL66" s="64"/>
      <c r="DM66" s="65"/>
      <c r="DN66" s="62">
        <f t="shared" ref="DN66:EP66" si="641">IFERROR($C66*DN65,"")</f>
        <v>0</v>
      </c>
      <c r="DO66" s="62"/>
      <c r="DP66" s="62"/>
      <c r="DQ66" s="62"/>
      <c r="DR66" s="62">
        <f t="shared" ca="1" si="641"/>
        <v>0</v>
      </c>
      <c r="DS66" s="62"/>
      <c r="DT66" s="62"/>
      <c r="DU66" s="63"/>
      <c r="DV66" s="64">
        <f t="shared" ca="1" si="641"/>
        <v>0</v>
      </c>
      <c r="DW66" s="64"/>
      <c r="DX66" s="64"/>
      <c r="DY66" s="65"/>
      <c r="DZ66" s="62">
        <f t="shared" ca="1" si="641"/>
        <v>0</v>
      </c>
      <c r="EA66" s="62"/>
      <c r="EB66" s="62"/>
      <c r="EC66" s="62"/>
      <c r="ED66" s="62">
        <f t="shared" ca="1" si="641"/>
        <v>0</v>
      </c>
      <c r="EE66" s="62"/>
      <c r="EF66" s="62"/>
      <c r="EG66" s="63"/>
      <c r="EH66" s="64">
        <f t="shared" ca="1" si="641"/>
        <v>0</v>
      </c>
      <c r="EI66" s="64"/>
      <c r="EJ66" s="64"/>
      <c r="EK66" s="65"/>
      <c r="EL66" s="62">
        <f t="shared" ca="1" si="641"/>
        <v>0</v>
      </c>
      <c r="EM66" s="62"/>
      <c r="EN66" s="62"/>
      <c r="EO66" s="62"/>
      <c r="EP66" s="62">
        <f t="shared" ca="1" si="641"/>
        <v>0</v>
      </c>
      <c r="EQ66" s="62"/>
      <c r="ER66" s="62"/>
      <c r="ES66" s="63"/>
    </row>
    <row r="67" spans="2:149" outlineLevel="1" x14ac:dyDescent="0.45">
      <c r="B67" s="78"/>
      <c r="C67" s="25">
        <v>760000</v>
      </c>
      <c r="D67" s="26" t="s">
        <v>3</v>
      </c>
      <c r="E67" s="27">
        <f>SUM(F67:CW67)</f>
        <v>1520000</v>
      </c>
      <c r="F67" s="66">
        <f>IFERROR($C67*F65,"")</f>
        <v>0</v>
      </c>
      <c r="G67" s="60"/>
      <c r="H67" s="60"/>
      <c r="I67" s="60"/>
      <c r="J67" s="60">
        <f t="shared" ref="J67" si="642">IFERROR($C67*J65,"")</f>
        <v>0</v>
      </c>
      <c r="K67" s="60"/>
      <c r="L67" s="60"/>
      <c r="M67" s="60"/>
      <c r="N67" s="61">
        <f t="shared" ref="N67" si="643">IFERROR($C67*N65,"")</f>
        <v>0</v>
      </c>
      <c r="O67" s="58"/>
      <c r="P67" s="58"/>
      <c r="Q67" s="58"/>
      <c r="R67" s="58">
        <f t="shared" ref="R67" si="644">IFERROR($C67*R65,"")</f>
        <v>0</v>
      </c>
      <c r="S67" s="58"/>
      <c r="T67" s="58"/>
      <c r="U67" s="59"/>
      <c r="V67" s="60">
        <f t="shared" ref="V67" si="645">IFERROR($C67*V65,"")</f>
        <v>0</v>
      </c>
      <c r="W67" s="60"/>
      <c r="X67" s="60"/>
      <c r="Y67" s="60"/>
      <c r="Z67" s="60">
        <f t="shared" ref="Z67" si="646">IFERROR($C67*Z65,"")</f>
        <v>0</v>
      </c>
      <c r="AA67" s="60"/>
      <c r="AB67" s="60"/>
      <c r="AC67" s="61"/>
      <c r="AD67" s="58">
        <f t="shared" ref="AD67" si="647">IFERROR($C67*AD65,"")</f>
        <v>0</v>
      </c>
      <c r="AE67" s="58"/>
      <c r="AF67" s="58"/>
      <c r="AG67" s="59"/>
      <c r="AH67" s="60">
        <f t="shared" ref="AH67" si="648">IFERROR($C67*AH65,"")</f>
        <v>0</v>
      </c>
      <c r="AI67" s="60"/>
      <c r="AJ67" s="60"/>
      <c r="AK67" s="60"/>
      <c r="AL67" s="60">
        <f t="shared" ref="AL67" si="649">IFERROR($C67*AL65,"")</f>
        <v>0</v>
      </c>
      <c r="AM67" s="60"/>
      <c r="AN67" s="60"/>
      <c r="AO67" s="61"/>
      <c r="AP67" s="58">
        <f t="shared" ref="AP67" si="650">IFERROR($C67*AP65,"")</f>
        <v>0</v>
      </c>
      <c r="AQ67" s="58"/>
      <c r="AR67" s="58"/>
      <c r="AS67" s="59"/>
      <c r="AT67" s="60">
        <f t="shared" ref="AT67" si="651">IFERROR($C67*AT65,"")</f>
        <v>0</v>
      </c>
      <c r="AU67" s="60"/>
      <c r="AV67" s="60"/>
      <c r="AW67" s="60"/>
      <c r="AX67" s="60">
        <f t="shared" ref="AX67" si="652">IFERROR($C67*AX65,"")</f>
        <v>0</v>
      </c>
      <c r="AY67" s="60"/>
      <c r="AZ67" s="60"/>
      <c r="BA67" s="61"/>
      <c r="BB67" s="58">
        <f t="shared" ref="BB67:CD67" si="653">IFERROR($C67*BB65,"")</f>
        <v>0</v>
      </c>
      <c r="BC67" s="58"/>
      <c r="BD67" s="58"/>
      <c r="BE67" s="59"/>
      <c r="BF67" s="60">
        <f t="shared" si="653"/>
        <v>0</v>
      </c>
      <c r="BG67" s="60"/>
      <c r="BH67" s="60"/>
      <c r="BI67" s="60"/>
      <c r="BJ67" s="60">
        <f t="shared" si="653"/>
        <v>0</v>
      </c>
      <c r="BK67" s="60"/>
      <c r="BL67" s="60"/>
      <c r="BM67" s="61"/>
      <c r="BN67" s="58">
        <f t="shared" si="653"/>
        <v>0</v>
      </c>
      <c r="BO67" s="58"/>
      <c r="BP67" s="58"/>
      <c r="BQ67" s="59"/>
      <c r="BR67" s="60">
        <f t="shared" si="653"/>
        <v>0</v>
      </c>
      <c r="BS67" s="60"/>
      <c r="BT67" s="60"/>
      <c r="BU67" s="60"/>
      <c r="BV67" s="60">
        <f t="shared" si="653"/>
        <v>380000</v>
      </c>
      <c r="BW67" s="60"/>
      <c r="BX67" s="60"/>
      <c r="BY67" s="61"/>
      <c r="BZ67" s="58">
        <f t="shared" si="653"/>
        <v>380000</v>
      </c>
      <c r="CA67" s="58"/>
      <c r="CB67" s="58"/>
      <c r="CC67" s="59"/>
      <c r="CD67" s="60">
        <f t="shared" si="653"/>
        <v>380000</v>
      </c>
      <c r="CE67" s="60"/>
      <c r="CF67" s="60"/>
      <c r="CG67" s="60"/>
      <c r="CH67" s="60">
        <f t="shared" ref="CH67:DJ67" si="654">IFERROR($C67*CH65,"")</f>
        <v>380000</v>
      </c>
      <c r="CI67" s="60"/>
      <c r="CJ67" s="60"/>
      <c r="CK67" s="61"/>
      <c r="CL67" s="58">
        <f t="shared" si="654"/>
        <v>0</v>
      </c>
      <c r="CM67" s="58"/>
      <c r="CN67" s="58"/>
      <c r="CO67" s="59"/>
      <c r="CP67" s="60">
        <f t="shared" si="654"/>
        <v>0</v>
      </c>
      <c r="CQ67" s="60"/>
      <c r="CR67" s="60"/>
      <c r="CS67" s="60"/>
      <c r="CT67" s="60">
        <f t="shared" si="654"/>
        <v>0</v>
      </c>
      <c r="CU67" s="60"/>
      <c r="CV67" s="60"/>
      <c r="CW67" s="61"/>
      <c r="CX67" s="58">
        <f t="shared" si="654"/>
        <v>0</v>
      </c>
      <c r="CY67" s="58"/>
      <c r="CZ67" s="58"/>
      <c r="DA67" s="59"/>
      <c r="DB67" s="60">
        <f t="shared" si="654"/>
        <v>0</v>
      </c>
      <c r="DC67" s="60"/>
      <c r="DD67" s="60"/>
      <c r="DE67" s="60"/>
      <c r="DF67" s="60">
        <f t="shared" si="654"/>
        <v>0</v>
      </c>
      <c r="DG67" s="60"/>
      <c r="DH67" s="60"/>
      <c r="DI67" s="61"/>
      <c r="DJ67" s="58">
        <f t="shared" si="654"/>
        <v>0</v>
      </c>
      <c r="DK67" s="58"/>
      <c r="DL67" s="58"/>
      <c r="DM67" s="59"/>
      <c r="DN67" s="60">
        <f t="shared" ref="DN67:EP67" si="655">IFERROR($C67*DN65,"")</f>
        <v>0</v>
      </c>
      <c r="DO67" s="60"/>
      <c r="DP67" s="60"/>
      <c r="DQ67" s="60"/>
      <c r="DR67" s="60">
        <f t="shared" ca="1" si="655"/>
        <v>0</v>
      </c>
      <c r="DS67" s="60"/>
      <c r="DT67" s="60"/>
      <c r="DU67" s="61"/>
      <c r="DV67" s="58">
        <f t="shared" ca="1" si="655"/>
        <v>0</v>
      </c>
      <c r="DW67" s="58"/>
      <c r="DX67" s="58"/>
      <c r="DY67" s="59"/>
      <c r="DZ67" s="60">
        <f t="shared" ca="1" si="655"/>
        <v>0</v>
      </c>
      <c r="EA67" s="60"/>
      <c r="EB67" s="60"/>
      <c r="EC67" s="60"/>
      <c r="ED67" s="60">
        <f t="shared" ca="1" si="655"/>
        <v>0</v>
      </c>
      <c r="EE67" s="60"/>
      <c r="EF67" s="60"/>
      <c r="EG67" s="61"/>
      <c r="EH67" s="58">
        <f t="shared" ca="1" si="655"/>
        <v>0</v>
      </c>
      <c r="EI67" s="58"/>
      <c r="EJ67" s="58"/>
      <c r="EK67" s="59"/>
      <c r="EL67" s="60">
        <f t="shared" ca="1" si="655"/>
        <v>0</v>
      </c>
      <c r="EM67" s="60"/>
      <c r="EN67" s="60"/>
      <c r="EO67" s="60"/>
      <c r="EP67" s="60">
        <f t="shared" ca="1" si="655"/>
        <v>0</v>
      </c>
      <c r="EQ67" s="60"/>
      <c r="ER67" s="60"/>
      <c r="ES67" s="61"/>
    </row>
    <row r="68" spans="2:149" outlineLevel="1" x14ac:dyDescent="0.45">
      <c r="B68" s="72" t="s">
        <v>38</v>
      </c>
      <c r="C68" s="19"/>
      <c r="D68" s="20" t="s">
        <v>13</v>
      </c>
      <c r="E68" s="21">
        <f ca="1">SUM(F68:ES68)</f>
        <v>1</v>
      </c>
      <c r="F68" s="74"/>
      <c r="G68" s="67"/>
      <c r="H68" s="67"/>
      <c r="I68" s="67"/>
      <c r="J68" s="67"/>
      <c r="K68" s="67"/>
      <c r="L68" s="67"/>
      <c r="M68" s="67"/>
      <c r="N68" s="68"/>
      <c r="O68" s="70"/>
      <c r="P68" s="70"/>
      <c r="Q68" s="70"/>
      <c r="R68" s="70"/>
      <c r="S68" s="70"/>
      <c r="T68" s="70"/>
      <c r="U68" s="71"/>
      <c r="V68" s="67"/>
      <c r="W68" s="67"/>
      <c r="X68" s="67"/>
      <c r="Y68" s="67"/>
      <c r="Z68" s="67"/>
      <c r="AA68" s="67"/>
      <c r="AB68" s="67"/>
      <c r="AC68" s="68"/>
      <c r="AD68" s="70"/>
      <c r="AE68" s="70"/>
      <c r="AF68" s="70"/>
      <c r="AG68" s="71"/>
      <c r="AH68" s="67"/>
      <c r="AI68" s="67"/>
      <c r="AJ68" s="67"/>
      <c r="AK68" s="67"/>
      <c r="AL68" s="67"/>
      <c r="AM68" s="67"/>
      <c r="AN68" s="67"/>
      <c r="AO68" s="68"/>
      <c r="AP68" s="70"/>
      <c r="AQ68" s="70"/>
      <c r="AR68" s="70"/>
      <c r="AS68" s="71"/>
      <c r="AT68" s="67"/>
      <c r="AU68" s="67"/>
      <c r="AV68" s="67"/>
      <c r="AW68" s="68"/>
      <c r="AX68" s="67"/>
      <c r="AY68" s="67"/>
      <c r="AZ68" s="67"/>
      <c r="BA68" s="68"/>
      <c r="BB68" s="70"/>
      <c r="BC68" s="70"/>
      <c r="BD68" s="70"/>
      <c r="BE68" s="71"/>
      <c r="BF68" s="67"/>
      <c r="BG68" s="67"/>
      <c r="BH68" s="67"/>
      <c r="BI68" s="67"/>
      <c r="BJ68" s="67"/>
      <c r="BK68" s="67"/>
      <c r="BL68" s="67"/>
      <c r="BM68" s="68"/>
      <c r="BN68" s="70"/>
      <c r="BO68" s="70"/>
      <c r="BP68" s="70"/>
      <c r="BQ68" s="71"/>
      <c r="BR68" s="67"/>
      <c r="BS68" s="67"/>
      <c r="BT68" s="67"/>
      <c r="BU68" s="67"/>
      <c r="BV68" s="67">
        <v>0.25</v>
      </c>
      <c r="BW68" s="67"/>
      <c r="BX68" s="67"/>
      <c r="BY68" s="68"/>
      <c r="BZ68" s="70">
        <v>0.25</v>
      </c>
      <c r="CA68" s="70"/>
      <c r="CB68" s="70"/>
      <c r="CC68" s="71"/>
      <c r="CD68" s="67">
        <v>0.25</v>
      </c>
      <c r="CE68" s="67"/>
      <c r="CF68" s="67"/>
      <c r="CG68" s="67"/>
      <c r="CH68" s="67">
        <v>0.25</v>
      </c>
      <c r="CI68" s="67"/>
      <c r="CJ68" s="67"/>
      <c r="CK68" s="68"/>
      <c r="CL68" s="70"/>
      <c r="CM68" s="70"/>
      <c r="CN68" s="70"/>
      <c r="CO68" s="71"/>
      <c r="CP68" s="67"/>
      <c r="CQ68" s="67"/>
      <c r="CR68" s="67"/>
      <c r="CS68" s="67"/>
      <c r="CT68" s="67"/>
      <c r="CU68" s="67"/>
      <c r="CV68" s="67"/>
      <c r="CW68" s="68"/>
      <c r="CX68" s="70"/>
      <c r="CY68" s="70"/>
      <c r="CZ68" s="70"/>
      <c r="DA68" s="71"/>
      <c r="DB68" s="67"/>
      <c r="DC68" s="67"/>
      <c r="DD68" s="67"/>
      <c r="DE68" s="67"/>
      <c r="DF68" s="67"/>
      <c r="DG68" s="67"/>
      <c r="DH68" s="67"/>
      <c r="DI68" s="68"/>
      <c r="DJ68" s="70"/>
      <c r="DK68" s="70"/>
      <c r="DL68" s="70"/>
      <c r="DM68" s="71"/>
      <c r="DN68" s="67"/>
      <c r="DO68" s="67"/>
      <c r="DP68" s="67"/>
      <c r="DQ68" s="67"/>
      <c r="DR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DS68" s="67"/>
      <c r="DT68" s="67"/>
      <c r="DU68" s="68"/>
      <c r="DV68" s="70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DW68" s="70"/>
      <c r="DX68" s="70"/>
      <c r="DY68" s="71"/>
      <c r="DZ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A68" s="67"/>
      <c r="EB68" s="67"/>
      <c r="EC68" s="67"/>
      <c r="ED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E68" s="67"/>
      <c r="EF68" s="67"/>
      <c r="EG68" s="68"/>
      <c r="EH68" s="70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I68" s="70"/>
      <c r="EJ68" s="70"/>
      <c r="EK68" s="71"/>
      <c r="EL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M68" s="67"/>
      <c r="EN68" s="67"/>
      <c r="EO68" s="67"/>
      <c r="EP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Q68" s="67"/>
      <c r="ER68" s="67"/>
      <c r="ES68" s="68"/>
    </row>
    <row r="69" spans="2:149" outlineLevel="1" x14ac:dyDescent="0.45">
      <c r="B69" s="73"/>
      <c r="C69" s="22">
        <v>1050000</v>
      </c>
      <c r="D69" s="23" t="s">
        <v>23</v>
      </c>
      <c r="E69" s="24">
        <f>SUM(F69:CW69)</f>
        <v>1050000</v>
      </c>
      <c r="F69" s="69">
        <f>IFERROR($C69*F68,"")</f>
        <v>0</v>
      </c>
      <c r="G69" s="62"/>
      <c r="H69" s="62"/>
      <c r="I69" s="62"/>
      <c r="J69" s="62">
        <f t="shared" ref="J69" si="656">IFERROR($C69*J68,"")</f>
        <v>0</v>
      </c>
      <c r="K69" s="62"/>
      <c r="L69" s="62"/>
      <c r="M69" s="62"/>
      <c r="N69" s="63">
        <f t="shared" ref="N69" si="657">IFERROR($C69*N68,"")</f>
        <v>0</v>
      </c>
      <c r="O69" s="64"/>
      <c r="P69" s="64"/>
      <c r="Q69" s="64"/>
      <c r="R69" s="64">
        <f t="shared" ref="R69" si="658">IFERROR($C69*R68,"")</f>
        <v>0</v>
      </c>
      <c r="S69" s="64"/>
      <c r="T69" s="64"/>
      <c r="U69" s="65"/>
      <c r="V69" s="62">
        <f t="shared" ref="V69" si="659">IFERROR($C69*V68,"")</f>
        <v>0</v>
      </c>
      <c r="W69" s="62"/>
      <c r="X69" s="62"/>
      <c r="Y69" s="62"/>
      <c r="Z69" s="62">
        <f t="shared" ref="Z69" si="660">IFERROR($C69*Z68,"")</f>
        <v>0</v>
      </c>
      <c r="AA69" s="62"/>
      <c r="AB69" s="62"/>
      <c r="AC69" s="63"/>
      <c r="AD69" s="64">
        <f t="shared" ref="AD69" si="661">IFERROR($C69*AD68,"")</f>
        <v>0</v>
      </c>
      <c r="AE69" s="64"/>
      <c r="AF69" s="64"/>
      <c r="AG69" s="65"/>
      <c r="AH69" s="62">
        <f t="shared" ref="AH69" si="662">IFERROR($C69*AH68,"")</f>
        <v>0</v>
      </c>
      <c r="AI69" s="62"/>
      <c r="AJ69" s="62"/>
      <c r="AK69" s="62"/>
      <c r="AL69" s="62">
        <f t="shared" ref="AL69" si="663">IFERROR($C69*AL68,"")</f>
        <v>0</v>
      </c>
      <c r="AM69" s="62"/>
      <c r="AN69" s="62"/>
      <c r="AO69" s="63"/>
      <c r="AP69" s="64">
        <f t="shared" ref="AP69" si="664">IFERROR($C69*AP68,"")</f>
        <v>0</v>
      </c>
      <c r="AQ69" s="64"/>
      <c r="AR69" s="64"/>
      <c r="AS69" s="65"/>
      <c r="AT69" s="62">
        <f t="shared" ref="AT69" si="665">IFERROR($C69*AT68,"")</f>
        <v>0</v>
      </c>
      <c r="AU69" s="62"/>
      <c r="AV69" s="62"/>
      <c r="AW69" s="62"/>
      <c r="AX69" s="62">
        <f t="shared" ref="AX69" si="666">IFERROR($C69*AX68,"")</f>
        <v>0</v>
      </c>
      <c r="AY69" s="62"/>
      <c r="AZ69" s="62"/>
      <c r="BA69" s="63"/>
      <c r="BB69" s="64">
        <f t="shared" ref="BB69" si="667">IFERROR($C69*BB68,"")</f>
        <v>0</v>
      </c>
      <c r="BC69" s="64"/>
      <c r="BD69" s="64"/>
      <c r="BE69" s="65"/>
      <c r="BF69" s="62">
        <f t="shared" ref="BF69" si="668">IFERROR($C69*BF68,"")</f>
        <v>0</v>
      </c>
      <c r="BG69" s="62"/>
      <c r="BH69" s="62"/>
      <c r="BI69" s="62"/>
      <c r="BJ69" s="62">
        <f t="shared" ref="BJ69" si="669">IFERROR($C69*BJ68,"")</f>
        <v>0</v>
      </c>
      <c r="BK69" s="62"/>
      <c r="BL69" s="62"/>
      <c r="BM69" s="63"/>
      <c r="BN69" s="64">
        <f t="shared" ref="BN69" si="670">IFERROR($C69*BN68,"")</f>
        <v>0</v>
      </c>
      <c r="BO69" s="64"/>
      <c r="BP69" s="64"/>
      <c r="BQ69" s="65"/>
      <c r="BR69" s="62">
        <f t="shared" ref="BR69" si="671">IFERROR($C69*BR68,"")</f>
        <v>0</v>
      </c>
      <c r="BS69" s="62"/>
      <c r="BT69" s="62"/>
      <c r="BU69" s="62"/>
      <c r="BV69" s="62">
        <f t="shared" ref="BV69" si="672">IFERROR($C69*BV68,"")</f>
        <v>262500</v>
      </c>
      <c r="BW69" s="62"/>
      <c r="BX69" s="62"/>
      <c r="BY69" s="63"/>
      <c r="BZ69" s="64">
        <f t="shared" ref="BZ69" si="673">IFERROR($C69*BZ68,"")</f>
        <v>262500</v>
      </c>
      <c r="CA69" s="64"/>
      <c r="CB69" s="64"/>
      <c r="CC69" s="65"/>
      <c r="CD69" s="62">
        <f t="shared" ref="CD69" si="674">IFERROR($C69*CD68,"")</f>
        <v>262500</v>
      </c>
      <c r="CE69" s="62"/>
      <c r="CF69" s="62"/>
      <c r="CG69" s="62"/>
      <c r="CH69" s="62">
        <f t="shared" ref="CH69" si="675">IFERROR($C69*CH68,"")</f>
        <v>262500</v>
      </c>
      <c r="CI69" s="62"/>
      <c r="CJ69" s="62"/>
      <c r="CK69" s="63"/>
      <c r="CL69" s="64">
        <f t="shared" ref="CL69" si="676">IFERROR($C69*CL68,"")</f>
        <v>0</v>
      </c>
      <c r="CM69" s="64"/>
      <c r="CN69" s="64"/>
      <c r="CO69" s="65"/>
      <c r="CP69" s="62">
        <f t="shared" ref="CP69" si="677">IFERROR($C69*CP68,"")</f>
        <v>0</v>
      </c>
      <c r="CQ69" s="62"/>
      <c r="CR69" s="62"/>
      <c r="CS69" s="62"/>
      <c r="CT69" s="62">
        <f t="shared" ref="CT69" si="678">IFERROR($C69*CT68,"")</f>
        <v>0</v>
      </c>
      <c r="CU69" s="62"/>
      <c r="CV69" s="62"/>
      <c r="CW69" s="63"/>
      <c r="CX69" s="64">
        <f t="shared" ref="CX69" si="679">IFERROR($C69*CX68,"")</f>
        <v>0</v>
      </c>
      <c r="CY69" s="64"/>
      <c r="CZ69" s="64"/>
      <c r="DA69" s="65"/>
      <c r="DB69" s="62">
        <f t="shared" ref="DB69" si="680">IFERROR($C69*DB68,"")</f>
        <v>0</v>
      </c>
      <c r="DC69" s="62"/>
      <c r="DD69" s="62"/>
      <c r="DE69" s="62"/>
      <c r="DF69" s="62">
        <f t="shared" ref="DF69" si="681">IFERROR($C69*DF68,"")</f>
        <v>0</v>
      </c>
      <c r="DG69" s="62"/>
      <c r="DH69" s="62"/>
      <c r="DI69" s="63"/>
      <c r="DJ69" s="64">
        <f t="shared" ref="DJ69" si="682">IFERROR($C69*DJ68,"")</f>
        <v>0</v>
      </c>
      <c r="DK69" s="64"/>
      <c r="DL69" s="64"/>
      <c r="DM69" s="65"/>
      <c r="DN69" s="62">
        <f t="shared" ref="DN69" si="683">IFERROR($C69*DN68,"")</f>
        <v>0</v>
      </c>
      <c r="DO69" s="62"/>
      <c r="DP69" s="62"/>
      <c r="DQ69" s="62"/>
      <c r="DR69" s="62">
        <f t="shared" ref="DR69" ca="1" si="684">IFERROR($C69*DR68,"")</f>
        <v>0</v>
      </c>
      <c r="DS69" s="62"/>
      <c r="DT69" s="62"/>
      <c r="DU69" s="63"/>
      <c r="DV69" s="64">
        <f t="shared" ref="DV69" ca="1" si="685">IFERROR($C69*DV68,"")</f>
        <v>0</v>
      </c>
      <c r="DW69" s="64"/>
      <c r="DX69" s="64"/>
      <c r="DY69" s="65"/>
      <c r="DZ69" s="62">
        <f t="shared" ref="DZ69" ca="1" si="686">IFERROR($C69*DZ68,"")</f>
        <v>0</v>
      </c>
      <c r="EA69" s="62"/>
      <c r="EB69" s="62"/>
      <c r="EC69" s="62"/>
      <c r="ED69" s="62">
        <f t="shared" ref="ED69" ca="1" si="687">IFERROR($C69*ED68,"")</f>
        <v>0</v>
      </c>
      <c r="EE69" s="62"/>
      <c r="EF69" s="62"/>
      <c r="EG69" s="63"/>
      <c r="EH69" s="64">
        <f t="shared" ref="EH69" ca="1" si="688">IFERROR($C69*EH68,"")</f>
        <v>0</v>
      </c>
      <c r="EI69" s="64"/>
      <c r="EJ69" s="64"/>
      <c r="EK69" s="65"/>
      <c r="EL69" s="62">
        <f t="shared" ref="EL69" ca="1" si="689">IFERROR($C69*EL68,"")</f>
        <v>0</v>
      </c>
      <c r="EM69" s="62"/>
      <c r="EN69" s="62"/>
      <c r="EO69" s="62"/>
      <c r="EP69" s="62">
        <f t="shared" ref="EP69" ca="1" si="690">IFERROR($C69*EP68,"")</f>
        <v>0</v>
      </c>
      <c r="EQ69" s="62"/>
      <c r="ER69" s="62"/>
      <c r="ES69" s="63"/>
    </row>
    <row r="70" spans="2:149" outlineLevel="1" x14ac:dyDescent="0.45">
      <c r="B70" s="78"/>
      <c r="C70" s="25">
        <v>500000</v>
      </c>
      <c r="D70" s="26" t="s">
        <v>3</v>
      </c>
      <c r="E70" s="27">
        <f>SUM(F70:CW70)</f>
        <v>500000</v>
      </c>
      <c r="F70" s="66">
        <f>IFERROR($C70*F68,"")</f>
        <v>0</v>
      </c>
      <c r="G70" s="60"/>
      <c r="H70" s="60"/>
      <c r="I70" s="60"/>
      <c r="J70" s="60">
        <f t="shared" ref="J70" si="691">IFERROR($C70*J68,"")</f>
        <v>0</v>
      </c>
      <c r="K70" s="60"/>
      <c r="L70" s="60"/>
      <c r="M70" s="60"/>
      <c r="N70" s="61">
        <f t="shared" ref="N70" si="692">IFERROR($C70*N68,"")</f>
        <v>0</v>
      </c>
      <c r="O70" s="58"/>
      <c r="P70" s="58"/>
      <c r="Q70" s="58"/>
      <c r="R70" s="58">
        <f t="shared" ref="R70" si="693">IFERROR($C70*R68,"")</f>
        <v>0</v>
      </c>
      <c r="S70" s="58"/>
      <c r="T70" s="58"/>
      <c r="U70" s="59"/>
      <c r="V70" s="60">
        <f t="shared" ref="V70" si="694">IFERROR($C70*V68,"")</f>
        <v>0</v>
      </c>
      <c r="W70" s="60"/>
      <c r="X70" s="60"/>
      <c r="Y70" s="60"/>
      <c r="Z70" s="60">
        <f t="shared" ref="Z70" si="695">IFERROR($C70*Z68,"")</f>
        <v>0</v>
      </c>
      <c r="AA70" s="60"/>
      <c r="AB70" s="60"/>
      <c r="AC70" s="61"/>
      <c r="AD70" s="58">
        <f t="shared" ref="AD70" si="696">IFERROR($C70*AD68,"")</f>
        <v>0</v>
      </c>
      <c r="AE70" s="58"/>
      <c r="AF70" s="58"/>
      <c r="AG70" s="59"/>
      <c r="AH70" s="60">
        <f t="shared" ref="AH70" si="697">IFERROR($C70*AH68,"")</f>
        <v>0</v>
      </c>
      <c r="AI70" s="60"/>
      <c r="AJ70" s="60"/>
      <c r="AK70" s="60"/>
      <c r="AL70" s="60">
        <f t="shared" ref="AL70" si="698">IFERROR($C70*AL68,"")</f>
        <v>0</v>
      </c>
      <c r="AM70" s="60"/>
      <c r="AN70" s="60"/>
      <c r="AO70" s="61"/>
      <c r="AP70" s="58">
        <f t="shared" ref="AP70" si="699">IFERROR($C70*AP68,"")</f>
        <v>0</v>
      </c>
      <c r="AQ70" s="58"/>
      <c r="AR70" s="58"/>
      <c r="AS70" s="59"/>
      <c r="AT70" s="60">
        <f t="shared" ref="AT70" si="700">IFERROR($C70*AT68,"")</f>
        <v>0</v>
      </c>
      <c r="AU70" s="60"/>
      <c r="AV70" s="60"/>
      <c r="AW70" s="60"/>
      <c r="AX70" s="60">
        <f t="shared" ref="AX70" si="701">IFERROR($C70*AX68,"")</f>
        <v>0</v>
      </c>
      <c r="AY70" s="60"/>
      <c r="AZ70" s="60"/>
      <c r="BA70" s="61"/>
      <c r="BB70" s="58">
        <f t="shared" ref="BB70:CD70" si="702">IFERROR($C70*BB68,"")</f>
        <v>0</v>
      </c>
      <c r="BC70" s="58"/>
      <c r="BD70" s="58"/>
      <c r="BE70" s="59"/>
      <c r="BF70" s="60">
        <f t="shared" si="702"/>
        <v>0</v>
      </c>
      <c r="BG70" s="60"/>
      <c r="BH70" s="60"/>
      <c r="BI70" s="60"/>
      <c r="BJ70" s="60">
        <f t="shared" si="702"/>
        <v>0</v>
      </c>
      <c r="BK70" s="60"/>
      <c r="BL70" s="60"/>
      <c r="BM70" s="61"/>
      <c r="BN70" s="58">
        <f t="shared" si="702"/>
        <v>0</v>
      </c>
      <c r="BO70" s="58"/>
      <c r="BP70" s="58"/>
      <c r="BQ70" s="59"/>
      <c r="BR70" s="60">
        <f t="shared" si="702"/>
        <v>0</v>
      </c>
      <c r="BS70" s="60"/>
      <c r="BT70" s="60"/>
      <c r="BU70" s="60"/>
      <c r="BV70" s="60">
        <f t="shared" si="702"/>
        <v>125000</v>
      </c>
      <c r="BW70" s="60"/>
      <c r="BX70" s="60"/>
      <c r="BY70" s="61"/>
      <c r="BZ70" s="58">
        <f t="shared" si="702"/>
        <v>125000</v>
      </c>
      <c r="CA70" s="58"/>
      <c r="CB70" s="58"/>
      <c r="CC70" s="59"/>
      <c r="CD70" s="60">
        <f t="shared" si="702"/>
        <v>125000</v>
      </c>
      <c r="CE70" s="60"/>
      <c r="CF70" s="60"/>
      <c r="CG70" s="60"/>
      <c r="CH70" s="60">
        <f t="shared" ref="CH70:DJ70" si="703">IFERROR($C70*CH68,"")</f>
        <v>125000</v>
      </c>
      <c r="CI70" s="60"/>
      <c r="CJ70" s="60"/>
      <c r="CK70" s="61"/>
      <c r="CL70" s="58">
        <f t="shared" si="703"/>
        <v>0</v>
      </c>
      <c r="CM70" s="58"/>
      <c r="CN70" s="58"/>
      <c r="CO70" s="59"/>
      <c r="CP70" s="60">
        <f t="shared" si="703"/>
        <v>0</v>
      </c>
      <c r="CQ70" s="60"/>
      <c r="CR70" s="60"/>
      <c r="CS70" s="60"/>
      <c r="CT70" s="60">
        <f t="shared" si="703"/>
        <v>0</v>
      </c>
      <c r="CU70" s="60"/>
      <c r="CV70" s="60"/>
      <c r="CW70" s="61"/>
      <c r="CX70" s="58">
        <f t="shared" si="703"/>
        <v>0</v>
      </c>
      <c r="CY70" s="58"/>
      <c r="CZ70" s="58"/>
      <c r="DA70" s="59"/>
      <c r="DB70" s="60">
        <f t="shared" si="703"/>
        <v>0</v>
      </c>
      <c r="DC70" s="60"/>
      <c r="DD70" s="60"/>
      <c r="DE70" s="60"/>
      <c r="DF70" s="60">
        <f t="shared" si="703"/>
        <v>0</v>
      </c>
      <c r="DG70" s="60"/>
      <c r="DH70" s="60"/>
      <c r="DI70" s="61"/>
      <c r="DJ70" s="58">
        <f t="shared" si="703"/>
        <v>0</v>
      </c>
      <c r="DK70" s="58"/>
      <c r="DL70" s="58"/>
      <c r="DM70" s="59"/>
      <c r="DN70" s="60">
        <f t="shared" ref="DN70:EP70" si="704">IFERROR($C70*DN68,"")</f>
        <v>0</v>
      </c>
      <c r="DO70" s="60"/>
      <c r="DP70" s="60"/>
      <c r="DQ70" s="60"/>
      <c r="DR70" s="60">
        <f t="shared" ca="1" si="704"/>
        <v>0</v>
      </c>
      <c r="DS70" s="60"/>
      <c r="DT70" s="60"/>
      <c r="DU70" s="61"/>
      <c r="DV70" s="58">
        <f t="shared" ca="1" si="704"/>
        <v>0</v>
      </c>
      <c r="DW70" s="58"/>
      <c r="DX70" s="58"/>
      <c r="DY70" s="59"/>
      <c r="DZ70" s="60">
        <f t="shared" ca="1" si="704"/>
        <v>0</v>
      </c>
      <c r="EA70" s="60"/>
      <c r="EB70" s="60"/>
      <c r="EC70" s="60"/>
      <c r="ED70" s="60">
        <f t="shared" ca="1" si="704"/>
        <v>0</v>
      </c>
      <c r="EE70" s="60"/>
      <c r="EF70" s="60"/>
      <c r="EG70" s="61"/>
      <c r="EH70" s="58">
        <f t="shared" ca="1" si="704"/>
        <v>0</v>
      </c>
      <c r="EI70" s="58"/>
      <c r="EJ70" s="58"/>
      <c r="EK70" s="59"/>
      <c r="EL70" s="60">
        <f t="shared" ca="1" si="704"/>
        <v>0</v>
      </c>
      <c r="EM70" s="60"/>
      <c r="EN70" s="60"/>
      <c r="EO70" s="60"/>
      <c r="EP70" s="60">
        <f t="shared" ca="1" si="704"/>
        <v>0</v>
      </c>
      <c r="EQ70" s="60"/>
      <c r="ER70" s="60"/>
      <c r="ES70" s="61"/>
    </row>
    <row r="71" spans="2:149" outlineLevel="1" x14ac:dyDescent="0.45">
      <c r="B71" s="72" t="s">
        <v>33</v>
      </c>
      <c r="C71" s="19"/>
      <c r="D71" s="20" t="s">
        <v>13</v>
      </c>
      <c r="E71" s="21">
        <f ca="1">SUM(F71:ES71)</f>
        <v>0</v>
      </c>
      <c r="F71" s="74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G71" s="67"/>
      <c r="H71" s="67"/>
      <c r="I71" s="67"/>
      <c r="J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K71" s="67"/>
      <c r="L71" s="67"/>
      <c r="M71" s="67"/>
      <c r="N71" s="68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O71" s="70"/>
      <c r="P71" s="70"/>
      <c r="Q71" s="70"/>
      <c r="R71" s="70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S71" s="70"/>
      <c r="T71" s="70"/>
      <c r="U71" s="71"/>
      <c r="V71" s="67"/>
      <c r="W71" s="67"/>
      <c r="X71" s="67"/>
      <c r="Y71" s="67"/>
      <c r="Z71" s="67"/>
      <c r="AA71" s="67"/>
      <c r="AB71" s="67"/>
      <c r="AC71" s="68"/>
      <c r="AD71" s="70"/>
      <c r="AE71" s="70"/>
      <c r="AF71" s="70"/>
      <c r="AG71" s="71"/>
      <c r="AH71" s="67"/>
      <c r="AI71" s="67"/>
      <c r="AJ71" s="67"/>
      <c r="AK71" s="68"/>
      <c r="AL71" s="67"/>
      <c r="AM71" s="67"/>
      <c r="AN71" s="67"/>
      <c r="AO71" s="68"/>
      <c r="AP71" s="70"/>
      <c r="AQ71" s="70"/>
      <c r="AR71" s="70"/>
      <c r="AS71" s="71"/>
      <c r="AT71" s="67"/>
      <c r="AU71" s="67"/>
      <c r="AV71" s="67"/>
      <c r="AW71" s="67"/>
      <c r="AX71" s="67"/>
      <c r="AY71" s="67"/>
      <c r="AZ71" s="67"/>
      <c r="BA71" s="68"/>
      <c r="BB71" s="70"/>
      <c r="BC71" s="70"/>
      <c r="BD71" s="70"/>
      <c r="BE71" s="71"/>
      <c r="BF71" s="67"/>
      <c r="BG71" s="67"/>
      <c r="BH71" s="67"/>
      <c r="BI71" s="67"/>
      <c r="BJ71" s="67"/>
      <c r="BK71" s="67"/>
      <c r="BL71" s="67"/>
      <c r="BM71" s="68"/>
      <c r="BN71" s="70"/>
      <c r="BO71" s="70"/>
      <c r="BP71" s="70"/>
      <c r="BQ71" s="71"/>
      <c r="BR71" s="67"/>
      <c r="BS71" s="67"/>
      <c r="BT71" s="67"/>
      <c r="BU71" s="67"/>
      <c r="BV71" s="67"/>
      <c r="BW71" s="67"/>
      <c r="BX71" s="67"/>
      <c r="BY71" s="68"/>
      <c r="BZ71" s="70"/>
      <c r="CA71" s="70"/>
      <c r="CB71" s="70"/>
      <c r="CC71" s="71"/>
      <c r="CD71" s="67"/>
      <c r="CE71" s="67"/>
      <c r="CF71" s="67"/>
      <c r="CG71" s="67"/>
      <c r="CH71" s="67"/>
      <c r="CI71" s="67"/>
      <c r="CJ71" s="67"/>
      <c r="CK71" s="68"/>
      <c r="CL71" s="70"/>
      <c r="CM71" s="70"/>
      <c r="CN71" s="70"/>
      <c r="CO71" s="71"/>
      <c r="CP71" s="67"/>
      <c r="CQ71" s="67"/>
      <c r="CR71" s="67"/>
      <c r="CS71" s="67"/>
      <c r="CT71" s="67"/>
      <c r="CU71" s="67"/>
      <c r="CV71" s="67"/>
      <c r="CW71" s="68"/>
      <c r="CX71" s="70"/>
      <c r="CY71" s="70"/>
      <c r="CZ71" s="70"/>
      <c r="DA71" s="71"/>
      <c r="DB71" s="67"/>
      <c r="DC71" s="67"/>
      <c r="DD71" s="67"/>
      <c r="DE71" s="67"/>
      <c r="DF71" s="67"/>
      <c r="DG71" s="67"/>
      <c r="DH71" s="67"/>
      <c r="DI71" s="68"/>
      <c r="DJ71" s="70"/>
      <c r="DK71" s="70"/>
      <c r="DL71" s="70"/>
      <c r="DM71" s="71"/>
      <c r="DN71" s="67"/>
      <c r="DO71" s="67"/>
      <c r="DP71" s="67"/>
      <c r="DQ71" s="67"/>
      <c r="DR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DS71" s="67"/>
      <c r="DT71" s="67"/>
      <c r="DU71" s="68"/>
      <c r="DV71" s="70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DW71" s="70"/>
      <c r="DX71" s="70"/>
      <c r="DY71" s="71"/>
      <c r="DZ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A71" s="67"/>
      <c r="EB71" s="67"/>
      <c r="EC71" s="67"/>
      <c r="ED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E71" s="67"/>
      <c r="EF71" s="67"/>
      <c r="EG71" s="68"/>
      <c r="EH71" s="70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I71" s="70"/>
      <c r="EJ71" s="70"/>
      <c r="EK71" s="71"/>
      <c r="EL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M71" s="67"/>
      <c r="EN71" s="67"/>
      <c r="EO71" s="67"/>
      <c r="EP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Q71" s="67"/>
      <c r="ER71" s="67"/>
      <c r="ES71" s="68"/>
    </row>
    <row r="72" spans="2:149" outlineLevel="1" x14ac:dyDescent="0.45">
      <c r="B72" s="73"/>
      <c r="C72" s="22">
        <v>800000</v>
      </c>
      <c r="D72" s="23" t="s">
        <v>23</v>
      </c>
      <c r="E72" s="24">
        <f ca="1">SUM(F72:CW72)</f>
        <v>0</v>
      </c>
      <c r="F72" s="69">
        <f ca="1">IFERROR($C72*F71,"")</f>
        <v>0</v>
      </c>
      <c r="G72" s="62"/>
      <c r="H72" s="62"/>
      <c r="I72" s="62"/>
      <c r="J72" s="62">
        <f t="shared" ref="J72" ca="1" si="705">IFERROR($C72*J71,"")</f>
        <v>0</v>
      </c>
      <c r="K72" s="62"/>
      <c r="L72" s="62"/>
      <c r="M72" s="62"/>
      <c r="N72" s="63">
        <f t="shared" ref="N72" ca="1" si="706">IFERROR($C72*N71,"")</f>
        <v>0</v>
      </c>
      <c r="O72" s="64"/>
      <c r="P72" s="64"/>
      <c r="Q72" s="64"/>
      <c r="R72" s="64">
        <f t="shared" ref="R72" ca="1" si="707">IFERROR($C72*R71,"")</f>
        <v>0</v>
      </c>
      <c r="S72" s="64"/>
      <c r="T72" s="64"/>
      <c r="U72" s="65"/>
      <c r="V72" s="62">
        <f t="shared" ref="V72" si="708">IFERROR($C72*V71,"")</f>
        <v>0</v>
      </c>
      <c r="W72" s="62"/>
      <c r="X72" s="62"/>
      <c r="Y72" s="62"/>
      <c r="Z72" s="62">
        <f t="shared" ref="Z72" si="709">IFERROR($C72*Z71,"")</f>
        <v>0</v>
      </c>
      <c r="AA72" s="62"/>
      <c r="AB72" s="62"/>
      <c r="AC72" s="63"/>
      <c r="AD72" s="64">
        <f t="shared" ref="AD72" si="710">IFERROR($C72*AD71,"")</f>
        <v>0</v>
      </c>
      <c r="AE72" s="64"/>
      <c r="AF72" s="64"/>
      <c r="AG72" s="65"/>
      <c r="AH72" s="62">
        <f t="shared" ref="AH72" si="711">IFERROR($C72*AH71,"")</f>
        <v>0</v>
      </c>
      <c r="AI72" s="62"/>
      <c r="AJ72" s="62"/>
      <c r="AK72" s="62"/>
      <c r="AL72" s="62">
        <f t="shared" ref="AL72" si="712">IFERROR($C72*AL71,"")</f>
        <v>0</v>
      </c>
      <c r="AM72" s="62"/>
      <c r="AN72" s="62"/>
      <c r="AO72" s="63"/>
      <c r="AP72" s="64">
        <f t="shared" ref="AP72" si="713">IFERROR($C72*AP71,"")</f>
        <v>0</v>
      </c>
      <c r="AQ72" s="64"/>
      <c r="AR72" s="64"/>
      <c r="AS72" s="65"/>
      <c r="AT72" s="62">
        <f t="shared" ref="AT72" si="714">IFERROR($C72*AT71,"")</f>
        <v>0</v>
      </c>
      <c r="AU72" s="62"/>
      <c r="AV72" s="62"/>
      <c r="AW72" s="62"/>
      <c r="AX72" s="62">
        <f t="shared" ref="AX72" si="715">IFERROR($C72*AX71,"")</f>
        <v>0</v>
      </c>
      <c r="AY72" s="62"/>
      <c r="AZ72" s="62"/>
      <c r="BA72" s="63"/>
      <c r="BB72" s="64">
        <f t="shared" ref="BB72" si="716">IFERROR($C72*BB71,"")</f>
        <v>0</v>
      </c>
      <c r="BC72" s="64"/>
      <c r="BD72" s="64"/>
      <c r="BE72" s="65"/>
      <c r="BF72" s="62">
        <f t="shared" ref="BF72" si="717">IFERROR($C72*BF71,"")</f>
        <v>0</v>
      </c>
      <c r="BG72" s="62"/>
      <c r="BH72" s="62"/>
      <c r="BI72" s="62"/>
      <c r="BJ72" s="62">
        <f t="shared" ref="BJ72" si="718">IFERROR($C72*BJ71,"")</f>
        <v>0</v>
      </c>
      <c r="BK72" s="62"/>
      <c r="BL72" s="62"/>
      <c r="BM72" s="63"/>
      <c r="BN72" s="64">
        <f t="shared" ref="BN72" si="719">IFERROR($C72*BN71,"")</f>
        <v>0</v>
      </c>
      <c r="BO72" s="64"/>
      <c r="BP72" s="64"/>
      <c r="BQ72" s="65"/>
      <c r="BR72" s="62">
        <f t="shared" ref="BR72" si="720">IFERROR($C72*BR71,"")</f>
        <v>0</v>
      </c>
      <c r="BS72" s="62"/>
      <c r="BT72" s="62"/>
      <c r="BU72" s="62"/>
      <c r="BV72" s="62">
        <f t="shared" ref="BV72" si="721">IFERROR($C72*BV71,"")</f>
        <v>0</v>
      </c>
      <c r="BW72" s="62"/>
      <c r="BX72" s="62"/>
      <c r="BY72" s="63"/>
      <c r="BZ72" s="64">
        <f t="shared" ref="BZ72" si="722">IFERROR($C72*BZ71,"")</f>
        <v>0</v>
      </c>
      <c r="CA72" s="64"/>
      <c r="CB72" s="64"/>
      <c r="CC72" s="65"/>
      <c r="CD72" s="62">
        <f t="shared" ref="CD72" si="723">IFERROR($C72*CD71,"")</f>
        <v>0</v>
      </c>
      <c r="CE72" s="62"/>
      <c r="CF72" s="62"/>
      <c r="CG72" s="62"/>
      <c r="CH72" s="62">
        <f t="shared" ref="CH72" si="724">IFERROR($C72*CH71,"")</f>
        <v>0</v>
      </c>
      <c r="CI72" s="62"/>
      <c r="CJ72" s="62"/>
      <c r="CK72" s="63"/>
      <c r="CL72" s="64">
        <f t="shared" ref="CL72" si="725">IFERROR($C72*CL71,"")</f>
        <v>0</v>
      </c>
      <c r="CM72" s="64"/>
      <c r="CN72" s="64"/>
      <c r="CO72" s="65"/>
      <c r="CP72" s="62">
        <f t="shared" ref="CP72" si="726">IFERROR($C72*CP71,"")</f>
        <v>0</v>
      </c>
      <c r="CQ72" s="62"/>
      <c r="CR72" s="62"/>
      <c r="CS72" s="62"/>
      <c r="CT72" s="62">
        <f t="shared" ref="CT72" si="727">IFERROR($C72*CT71,"")</f>
        <v>0</v>
      </c>
      <c r="CU72" s="62"/>
      <c r="CV72" s="62"/>
      <c r="CW72" s="63"/>
      <c r="CX72" s="64">
        <f t="shared" ref="CX72" si="728">IFERROR($C72*CX71,"")</f>
        <v>0</v>
      </c>
      <c r="CY72" s="64"/>
      <c r="CZ72" s="64"/>
      <c r="DA72" s="65"/>
      <c r="DB72" s="62">
        <f t="shared" ref="DB72" si="729">IFERROR($C72*DB71,"")</f>
        <v>0</v>
      </c>
      <c r="DC72" s="62"/>
      <c r="DD72" s="62"/>
      <c r="DE72" s="62"/>
      <c r="DF72" s="62">
        <f t="shared" ref="DF72" si="730">IFERROR($C72*DF71,"")</f>
        <v>0</v>
      </c>
      <c r="DG72" s="62"/>
      <c r="DH72" s="62"/>
      <c r="DI72" s="63"/>
      <c r="DJ72" s="64">
        <f t="shared" ref="DJ72" si="731">IFERROR($C72*DJ71,"")</f>
        <v>0</v>
      </c>
      <c r="DK72" s="64"/>
      <c r="DL72" s="64"/>
      <c r="DM72" s="65"/>
      <c r="DN72" s="62">
        <f t="shared" ref="DN72" si="732">IFERROR($C72*DN71,"")</f>
        <v>0</v>
      </c>
      <c r="DO72" s="62"/>
      <c r="DP72" s="62"/>
      <c r="DQ72" s="62"/>
      <c r="DR72" s="62">
        <f t="shared" ref="DR72" ca="1" si="733">IFERROR($C72*DR71,"")</f>
        <v>0</v>
      </c>
      <c r="DS72" s="62"/>
      <c r="DT72" s="62"/>
      <c r="DU72" s="63"/>
      <c r="DV72" s="64">
        <f t="shared" ref="DV72" ca="1" si="734">IFERROR($C72*DV71,"")</f>
        <v>0</v>
      </c>
      <c r="DW72" s="64"/>
      <c r="DX72" s="64"/>
      <c r="DY72" s="65"/>
      <c r="DZ72" s="62">
        <f t="shared" ref="DZ72" ca="1" si="735">IFERROR($C72*DZ71,"")</f>
        <v>0</v>
      </c>
      <c r="EA72" s="62"/>
      <c r="EB72" s="62"/>
      <c r="EC72" s="62"/>
      <c r="ED72" s="62">
        <f t="shared" ref="ED72" ca="1" si="736">IFERROR($C72*ED71,"")</f>
        <v>0</v>
      </c>
      <c r="EE72" s="62"/>
      <c r="EF72" s="62"/>
      <c r="EG72" s="63"/>
      <c r="EH72" s="64">
        <f t="shared" ref="EH72" ca="1" si="737">IFERROR($C72*EH71,"")</f>
        <v>0</v>
      </c>
      <c r="EI72" s="64"/>
      <c r="EJ72" s="64"/>
      <c r="EK72" s="65"/>
      <c r="EL72" s="62">
        <f t="shared" ref="EL72" ca="1" si="738">IFERROR($C72*EL71,"")</f>
        <v>0</v>
      </c>
      <c r="EM72" s="62"/>
      <c r="EN72" s="62"/>
      <c r="EO72" s="62"/>
      <c r="EP72" s="62">
        <f t="shared" ref="EP72" ca="1" si="739">IFERROR($C72*EP71,"")</f>
        <v>0</v>
      </c>
      <c r="EQ72" s="62"/>
      <c r="ER72" s="62"/>
      <c r="ES72" s="63"/>
    </row>
    <row r="73" spans="2:149" outlineLevel="1" x14ac:dyDescent="0.45">
      <c r="B73" s="78"/>
      <c r="C73" s="25">
        <v>500000</v>
      </c>
      <c r="D73" s="26" t="s">
        <v>3</v>
      </c>
      <c r="E73" s="27">
        <f ca="1">SUM(F73:CW73)</f>
        <v>0</v>
      </c>
      <c r="F73" s="66">
        <f ca="1">IFERROR($C73*F71,"")</f>
        <v>0</v>
      </c>
      <c r="G73" s="60"/>
      <c r="H73" s="60"/>
      <c r="I73" s="60"/>
      <c r="J73" s="60">
        <f t="shared" ref="J73" ca="1" si="740">IFERROR($C73*J71,"")</f>
        <v>0</v>
      </c>
      <c r="K73" s="60"/>
      <c r="L73" s="60"/>
      <c r="M73" s="60"/>
      <c r="N73" s="61">
        <f t="shared" ref="N73" ca="1" si="741">IFERROR($C73*N71,"")</f>
        <v>0</v>
      </c>
      <c r="O73" s="58"/>
      <c r="P73" s="58"/>
      <c r="Q73" s="58"/>
      <c r="R73" s="58">
        <f t="shared" ref="R73" ca="1" si="742">IFERROR($C73*R71,"")</f>
        <v>0</v>
      </c>
      <c r="S73" s="58"/>
      <c r="T73" s="58"/>
      <c r="U73" s="59"/>
      <c r="V73" s="60">
        <f t="shared" ref="V73" si="743">IFERROR($C73*V71,"")</f>
        <v>0</v>
      </c>
      <c r="W73" s="60"/>
      <c r="X73" s="60"/>
      <c r="Y73" s="60"/>
      <c r="Z73" s="60">
        <f t="shared" ref="Z73" si="744">IFERROR($C73*Z71,"")</f>
        <v>0</v>
      </c>
      <c r="AA73" s="60"/>
      <c r="AB73" s="60"/>
      <c r="AC73" s="61"/>
      <c r="AD73" s="58">
        <f t="shared" ref="AD73" si="745">IFERROR($C73*AD71,"")</f>
        <v>0</v>
      </c>
      <c r="AE73" s="58"/>
      <c r="AF73" s="58"/>
      <c r="AG73" s="59"/>
      <c r="AH73" s="60">
        <f t="shared" ref="AH73" si="746">IFERROR($C73*AH71,"")</f>
        <v>0</v>
      </c>
      <c r="AI73" s="60"/>
      <c r="AJ73" s="60"/>
      <c r="AK73" s="60"/>
      <c r="AL73" s="60">
        <f t="shared" ref="AL73" si="747">IFERROR($C73*AL71,"")</f>
        <v>0</v>
      </c>
      <c r="AM73" s="60"/>
      <c r="AN73" s="60"/>
      <c r="AO73" s="61"/>
      <c r="AP73" s="58">
        <f t="shared" ref="AP73" si="748">IFERROR($C73*AP71,"")</f>
        <v>0</v>
      </c>
      <c r="AQ73" s="58"/>
      <c r="AR73" s="58"/>
      <c r="AS73" s="59"/>
      <c r="AT73" s="60">
        <f t="shared" ref="AT73" si="749">IFERROR($C73*AT71,"")</f>
        <v>0</v>
      </c>
      <c r="AU73" s="60"/>
      <c r="AV73" s="60"/>
      <c r="AW73" s="60"/>
      <c r="AX73" s="60">
        <f t="shared" ref="AX73" si="750">IFERROR($C73*AX71,"")</f>
        <v>0</v>
      </c>
      <c r="AY73" s="60"/>
      <c r="AZ73" s="60"/>
      <c r="BA73" s="61"/>
      <c r="BB73" s="58">
        <f t="shared" ref="BB73:CD73" si="751">IFERROR($C73*BB71,"")</f>
        <v>0</v>
      </c>
      <c r="BC73" s="58"/>
      <c r="BD73" s="58"/>
      <c r="BE73" s="59"/>
      <c r="BF73" s="60">
        <f t="shared" si="751"/>
        <v>0</v>
      </c>
      <c r="BG73" s="60"/>
      <c r="BH73" s="60"/>
      <c r="BI73" s="60"/>
      <c r="BJ73" s="60">
        <f t="shared" si="751"/>
        <v>0</v>
      </c>
      <c r="BK73" s="60"/>
      <c r="BL73" s="60"/>
      <c r="BM73" s="61"/>
      <c r="BN73" s="58">
        <f t="shared" si="751"/>
        <v>0</v>
      </c>
      <c r="BO73" s="58"/>
      <c r="BP73" s="58"/>
      <c r="BQ73" s="59"/>
      <c r="BR73" s="60">
        <f t="shared" si="751"/>
        <v>0</v>
      </c>
      <c r="BS73" s="60"/>
      <c r="BT73" s="60"/>
      <c r="BU73" s="60"/>
      <c r="BV73" s="60">
        <f t="shared" si="751"/>
        <v>0</v>
      </c>
      <c r="BW73" s="60"/>
      <c r="BX73" s="60"/>
      <c r="BY73" s="61"/>
      <c r="BZ73" s="58">
        <f t="shared" si="751"/>
        <v>0</v>
      </c>
      <c r="CA73" s="58"/>
      <c r="CB73" s="58"/>
      <c r="CC73" s="59"/>
      <c r="CD73" s="60">
        <f t="shared" si="751"/>
        <v>0</v>
      </c>
      <c r="CE73" s="60"/>
      <c r="CF73" s="60"/>
      <c r="CG73" s="60"/>
      <c r="CH73" s="60">
        <f t="shared" ref="CH73:DJ73" si="752">IFERROR($C73*CH71,"")</f>
        <v>0</v>
      </c>
      <c r="CI73" s="60"/>
      <c r="CJ73" s="60"/>
      <c r="CK73" s="61"/>
      <c r="CL73" s="58">
        <f t="shared" si="752"/>
        <v>0</v>
      </c>
      <c r="CM73" s="58"/>
      <c r="CN73" s="58"/>
      <c r="CO73" s="59"/>
      <c r="CP73" s="60">
        <f t="shared" si="752"/>
        <v>0</v>
      </c>
      <c r="CQ73" s="60"/>
      <c r="CR73" s="60"/>
      <c r="CS73" s="60"/>
      <c r="CT73" s="60">
        <f t="shared" si="752"/>
        <v>0</v>
      </c>
      <c r="CU73" s="60"/>
      <c r="CV73" s="60"/>
      <c r="CW73" s="61"/>
      <c r="CX73" s="58">
        <f t="shared" si="752"/>
        <v>0</v>
      </c>
      <c r="CY73" s="58"/>
      <c r="CZ73" s="58"/>
      <c r="DA73" s="59"/>
      <c r="DB73" s="60">
        <f t="shared" si="752"/>
        <v>0</v>
      </c>
      <c r="DC73" s="60"/>
      <c r="DD73" s="60"/>
      <c r="DE73" s="60"/>
      <c r="DF73" s="60">
        <f t="shared" si="752"/>
        <v>0</v>
      </c>
      <c r="DG73" s="60"/>
      <c r="DH73" s="60"/>
      <c r="DI73" s="61"/>
      <c r="DJ73" s="58">
        <f t="shared" si="752"/>
        <v>0</v>
      </c>
      <c r="DK73" s="58"/>
      <c r="DL73" s="58"/>
      <c r="DM73" s="59"/>
      <c r="DN73" s="60">
        <f t="shared" ref="DN73:EP73" si="753">IFERROR($C73*DN71,"")</f>
        <v>0</v>
      </c>
      <c r="DO73" s="60"/>
      <c r="DP73" s="60"/>
      <c r="DQ73" s="60"/>
      <c r="DR73" s="60">
        <f t="shared" ca="1" si="753"/>
        <v>0</v>
      </c>
      <c r="DS73" s="60"/>
      <c r="DT73" s="60"/>
      <c r="DU73" s="61"/>
      <c r="DV73" s="58">
        <f t="shared" ca="1" si="753"/>
        <v>0</v>
      </c>
      <c r="DW73" s="58"/>
      <c r="DX73" s="58"/>
      <c r="DY73" s="59"/>
      <c r="DZ73" s="60">
        <f t="shared" ca="1" si="753"/>
        <v>0</v>
      </c>
      <c r="EA73" s="60"/>
      <c r="EB73" s="60"/>
      <c r="EC73" s="60"/>
      <c r="ED73" s="60">
        <f t="shared" ca="1" si="753"/>
        <v>0</v>
      </c>
      <c r="EE73" s="60"/>
      <c r="EF73" s="60"/>
      <c r="EG73" s="61"/>
      <c r="EH73" s="58">
        <f t="shared" ca="1" si="753"/>
        <v>0</v>
      </c>
      <c r="EI73" s="58"/>
      <c r="EJ73" s="58"/>
      <c r="EK73" s="59"/>
      <c r="EL73" s="60">
        <f t="shared" ca="1" si="753"/>
        <v>0</v>
      </c>
      <c r="EM73" s="60"/>
      <c r="EN73" s="60"/>
      <c r="EO73" s="60"/>
      <c r="EP73" s="60">
        <f t="shared" ca="1" si="753"/>
        <v>0</v>
      </c>
      <c r="EQ73" s="60"/>
      <c r="ER73" s="60"/>
      <c r="ES73" s="61"/>
    </row>
    <row r="74" spans="2:149" outlineLevel="1" x14ac:dyDescent="0.45">
      <c r="B74" s="72" t="s">
        <v>34</v>
      </c>
      <c r="C74" s="19"/>
      <c r="D74" s="20" t="s">
        <v>13</v>
      </c>
      <c r="E74" s="21">
        <f ca="1">SUM(F74:ES74)</f>
        <v>0</v>
      </c>
      <c r="F74" s="74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G74" s="67"/>
      <c r="H74" s="67"/>
      <c r="I74" s="67"/>
      <c r="J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K74" s="67"/>
      <c r="L74" s="67"/>
      <c r="M74" s="67"/>
      <c r="N74" s="68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O74" s="70"/>
      <c r="P74" s="70"/>
      <c r="Q74" s="70"/>
      <c r="R74" s="70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S74" s="70"/>
      <c r="T74" s="70"/>
      <c r="U74" s="71"/>
      <c r="V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W74" s="67"/>
      <c r="X74" s="67"/>
      <c r="Y74" s="67"/>
      <c r="Z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AA74" s="67"/>
      <c r="AB74" s="67"/>
      <c r="AC74" s="68"/>
      <c r="AD74" s="70"/>
      <c r="AE74" s="70"/>
      <c r="AF74" s="70"/>
      <c r="AG74" s="71"/>
      <c r="AH74" s="67"/>
      <c r="AI74" s="67"/>
      <c r="AJ74" s="67"/>
      <c r="AK74" s="67"/>
      <c r="AL74" s="67"/>
      <c r="AM74" s="67"/>
      <c r="AN74" s="67"/>
      <c r="AO74" s="68"/>
      <c r="AP74" s="70"/>
      <c r="AQ74" s="70"/>
      <c r="AR74" s="70"/>
      <c r="AS74" s="71"/>
      <c r="AT74" s="67"/>
      <c r="AU74" s="67"/>
      <c r="AV74" s="67"/>
      <c r="AW74" s="67"/>
      <c r="AX74" s="67"/>
      <c r="AY74" s="67"/>
      <c r="AZ74" s="67"/>
      <c r="BA74" s="68"/>
      <c r="BB74" s="70"/>
      <c r="BC74" s="70"/>
      <c r="BD74" s="70"/>
      <c r="BE74" s="71"/>
      <c r="BF74" s="67"/>
      <c r="BG74" s="67"/>
      <c r="BH74" s="67"/>
      <c r="BI74" s="67"/>
      <c r="BJ74" s="67"/>
      <c r="BK74" s="67"/>
      <c r="BL74" s="67"/>
      <c r="BM74" s="68"/>
      <c r="BN74" s="70"/>
      <c r="BO74" s="70"/>
      <c r="BP74" s="70"/>
      <c r="BQ74" s="71"/>
      <c r="BR74" s="67"/>
      <c r="BS74" s="67"/>
      <c r="BT74" s="67"/>
      <c r="BU74" s="67"/>
      <c r="BV74" s="67"/>
      <c r="BW74" s="67"/>
      <c r="BX74" s="67"/>
      <c r="BY74" s="68"/>
      <c r="BZ74" s="70"/>
      <c r="CA74" s="70"/>
      <c r="CB74" s="70"/>
      <c r="CC74" s="71"/>
      <c r="CD74" s="67"/>
      <c r="CE74" s="67"/>
      <c r="CF74" s="67"/>
      <c r="CG74" s="67"/>
      <c r="CH74" s="67"/>
      <c r="CI74" s="67"/>
      <c r="CJ74" s="67"/>
      <c r="CK74" s="68"/>
      <c r="CL74" s="70"/>
      <c r="CM74" s="70"/>
      <c r="CN74" s="70"/>
      <c r="CO74" s="71"/>
      <c r="CP74" s="67"/>
      <c r="CQ74" s="67"/>
      <c r="CR74" s="67"/>
      <c r="CS74" s="67"/>
      <c r="CT74" s="67"/>
      <c r="CU74" s="67"/>
      <c r="CV74" s="67"/>
      <c r="CW74" s="68"/>
      <c r="CX74" s="70"/>
      <c r="CY74" s="70"/>
      <c r="CZ74" s="70"/>
      <c r="DA74" s="71"/>
      <c r="DB74" s="67"/>
      <c r="DC74" s="67"/>
      <c r="DD74" s="67"/>
      <c r="DE74" s="67"/>
      <c r="DF74" s="67"/>
      <c r="DG74" s="67"/>
      <c r="DH74" s="67"/>
      <c r="DI74" s="68"/>
      <c r="DJ74" s="70"/>
      <c r="DK74" s="70"/>
      <c r="DL74" s="70"/>
      <c r="DM74" s="71"/>
      <c r="DN74" s="67"/>
      <c r="DO74" s="67"/>
      <c r="DP74" s="67"/>
      <c r="DQ74" s="67"/>
      <c r="DR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DS74" s="67"/>
      <c r="DT74" s="67"/>
      <c r="DU74" s="68"/>
      <c r="DV74" s="70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DW74" s="70"/>
      <c r="DX74" s="70"/>
      <c r="DY74" s="71"/>
      <c r="DZ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A74" s="67"/>
      <c r="EB74" s="67"/>
      <c r="EC74" s="67"/>
      <c r="ED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E74" s="67"/>
      <c r="EF74" s="67"/>
      <c r="EG74" s="68"/>
      <c r="EH74" s="70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I74" s="70"/>
      <c r="EJ74" s="70"/>
      <c r="EK74" s="71"/>
      <c r="EL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M74" s="67"/>
      <c r="EN74" s="67"/>
      <c r="EO74" s="67"/>
      <c r="EP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Q74" s="67"/>
      <c r="ER74" s="67"/>
      <c r="ES74" s="68"/>
    </row>
    <row r="75" spans="2:149" outlineLevel="1" x14ac:dyDescent="0.45">
      <c r="B75" s="73"/>
      <c r="C75" s="22">
        <v>600000</v>
      </c>
      <c r="D75" s="23" t="s">
        <v>23</v>
      </c>
      <c r="E75" s="24">
        <f ca="1">SUM(F75:CW75)</f>
        <v>0</v>
      </c>
      <c r="F75" s="69">
        <f ca="1">IFERROR($C75*F74,"")</f>
        <v>0</v>
      </c>
      <c r="G75" s="62"/>
      <c r="H75" s="62"/>
      <c r="I75" s="62"/>
      <c r="J75" s="62">
        <f t="shared" ref="J75" ca="1" si="754">IFERROR($C75*J74,"")</f>
        <v>0</v>
      </c>
      <c r="K75" s="62"/>
      <c r="L75" s="62"/>
      <c r="M75" s="62"/>
      <c r="N75" s="63">
        <f t="shared" ref="N75" ca="1" si="755">IFERROR($C75*N74,"")</f>
        <v>0</v>
      </c>
      <c r="O75" s="64"/>
      <c r="P75" s="64"/>
      <c r="Q75" s="64"/>
      <c r="R75" s="64">
        <f t="shared" ref="R75" ca="1" si="756">IFERROR($C75*R74,"")</f>
        <v>0</v>
      </c>
      <c r="S75" s="64"/>
      <c r="T75" s="64"/>
      <c r="U75" s="65"/>
      <c r="V75" s="62">
        <f t="shared" ref="V75" ca="1" si="757">IFERROR($C75*V74,"")</f>
        <v>0</v>
      </c>
      <c r="W75" s="62"/>
      <c r="X75" s="62"/>
      <c r="Y75" s="62"/>
      <c r="Z75" s="62">
        <f t="shared" ref="Z75" ca="1" si="758">IFERROR($C75*Z74,"")</f>
        <v>0</v>
      </c>
      <c r="AA75" s="62"/>
      <c r="AB75" s="62"/>
      <c r="AC75" s="63"/>
      <c r="AD75" s="64">
        <f t="shared" ref="AD75" si="759">IFERROR($C75*AD74,"")</f>
        <v>0</v>
      </c>
      <c r="AE75" s="64"/>
      <c r="AF75" s="64"/>
      <c r="AG75" s="65"/>
      <c r="AH75" s="62">
        <f t="shared" ref="AH75" si="760">IFERROR($C75*AH74,"")</f>
        <v>0</v>
      </c>
      <c r="AI75" s="62"/>
      <c r="AJ75" s="62"/>
      <c r="AK75" s="62"/>
      <c r="AL75" s="62">
        <f t="shared" ref="AL75" si="761">IFERROR($C75*AL74,"")</f>
        <v>0</v>
      </c>
      <c r="AM75" s="62"/>
      <c r="AN75" s="62"/>
      <c r="AO75" s="63"/>
      <c r="AP75" s="64">
        <f t="shared" ref="AP75" si="762">IFERROR($C75*AP74,"")</f>
        <v>0</v>
      </c>
      <c r="AQ75" s="64"/>
      <c r="AR75" s="64"/>
      <c r="AS75" s="65"/>
      <c r="AT75" s="62">
        <f t="shared" ref="AT75" si="763">IFERROR($C75*AT74,"")</f>
        <v>0</v>
      </c>
      <c r="AU75" s="62"/>
      <c r="AV75" s="62"/>
      <c r="AW75" s="62"/>
      <c r="AX75" s="62">
        <f t="shared" ref="AX75" si="764">IFERROR($C75*AX74,"")</f>
        <v>0</v>
      </c>
      <c r="AY75" s="62"/>
      <c r="AZ75" s="62"/>
      <c r="BA75" s="63"/>
      <c r="BB75" s="64">
        <f t="shared" ref="BB75" si="765">IFERROR($C75*BB74,"")</f>
        <v>0</v>
      </c>
      <c r="BC75" s="64"/>
      <c r="BD75" s="64"/>
      <c r="BE75" s="65"/>
      <c r="BF75" s="62">
        <f t="shared" ref="BF75" si="766">IFERROR($C75*BF74,"")</f>
        <v>0</v>
      </c>
      <c r="BG75" s="62"/>
      <c r="BH75" s="62"/>
      <c r="BI75" s="62"/>
      <c r="BJ75" s="62">
        <f t="shared" ref="BJ75" si="767">IFERROR($C75*BJ74,"")</f>
        <v>0</v>
      </c>
      <c r="BK75" s="62"/>
      <c r="BL75" s="62"/>
      <c r="BM75" s="63"/>
      <c r="BN75" s="64">
        <f t="shared" ref="BN75" si="768">IFERROR($C75*BN74,"")</f>
        <v>0</v>
      </c>
      <c r="BO75" s="64"/>
      <c r="BP75" s="64"/>
      <c r="BQ75" s="65"/>
      <c r="BR75" s="62">
        <f t="shared" ref="BR75" si="769">IFERROR($C75*BR74,"")</f>
        <v>0</v>
      </c>
      <c r="BS75" s="62"/>
      <c r="BT75" s="62"/>
      <c r="BU75" s="62"/>
      <c r="BV75" s="62">
        <f t="shared" ref="BV75" si="770">IFERROR($C75*BV74,"")</f>
        <v>0</v>
      </c>
      <c r="BW75" s="62"/>
      <c r="BX75" s="62"/>
      <c r="BY75" s="63"/>
      <c r="BZ75" s="64">
        <f t="shared" ref="BZ75" si="771">IFERROR($C75*BZ74,"")</f>
        <v>0</v>
      </c>
      <c r="CA75" s="64"/>
      <c r="CB75" s="64"/>
      <c r="CC75" s="65"/>
      <c r="CD75" s="62">
        <f t="shared" ref="CD75" si="772">IFERROR($C75*CD74,"")</f>
        <v>0</v>
      </c>
      <c r="CE75" s="62"/>
      <c r="CF75" s="62"/>
      <c r="CG75" s="62"/>
      <c r="CH75" s="62">
        <f t="shared" ref="CH75" si="773">IFERROR($C75*CH74,"")</f>
        <v>0</v>
      </c>
      <c r="CI75" s="62"/>
      <c r="CJ75" s="62"/>
      <c r="CK75" s="63"/>
      <c r="CL75" s="64">
        <f t="shared" ref="CL75" si="774">IFERROR($C75*CL74,"")</f>
        <v>0</v>
      </c>
      <c r="CM75" s="64"/>
      <c r="CN75" s="64"/>
      <c r="CO75" s="65"/>
      <c r="CP75" s="62">
        <f t="shared" ref="CP75" si="775">IFERROR($C75*CP74,"")</f>
        <v>0</v>
      </c>
      <c r="CQ75" s="62"/>
      <c r="CR75" s="62"/>
      <c r="CS75" s="62"/>
      <c r="CT75" s="62">
        <f t="shared" ref="CT75" si="776">IFERROR($C75*CT74,"")</f>
        <v>0</v>
      </c>
      <c r="CU75" s="62"/>
      <c r="CV75" s="62"/>
      <c r="CW75" s="63"/>
      <c r="CX75" s="64">
        <f t="shared" ref="CX75" si="777">IFERROR($C75*CX74,"")</f>
        <v>0</v>
      </c>
      <c r="CY75" s="64"/>
      <c r="CZ75" s="64"/>
      <c r="DA75" s="65"/>
      <c r="DB75" s="62">
        <f t="shared" ref="DB75" si="778">IFERROR($C75*DB74,"")</f>
        <v>0</v>
      </c>
      <c r="DC75" s="62"/>
      <c r="DD75" s="62"/>
      <c r="DE75" s="62"/>
      <c r="DF75" s="62">
        <f t="shared" ref="DF75" si="779">IFERROR($C75*DF74,"")</f>
        <v>0</v>
      </c>
      <c r="DG75" s="62"/>
      <c r="DH75" s="62"/>
      <c r="DI75" s="63"/>
      <c r="DJ75" s="64">
        <f t="shared" ref="DJ75" si="780">IFERROR($C75*DJ74,"")</f>
        <v>0</v>
      </c>
      <c r="DK75" s="64"/>
      <c r="DL75" s="64"/>
      <c r="DM75" s="65"/>
      <c r="DN75" s="62">
        <f t="shared" ref="DN75" si="781">IFERROR($C75*DN74,"")</f>
        <v>0</v>
      </c>
      <c r="DO75" s="62"/>
      <c r="DP75" s="62"/>
      <c r="DQ75" s="62"/>
      <c r="DR75" s="62">
        <f t="shared" ref="DR75" ca="1" si="782">IFERROR($C75*DR74,"")</f>
        <v>0</v>
      </c>
      <c r="DS75" s="62"/>
      <c r="DT75" s="62"/>
      <c r="DU75" s="63"/>
      <c r="DV75" s="64">
        <f t="shared" ref="DV75" ca="1" si="783">IFERROR($C75*DV74,"")</f>
        <v>0</v>
      </c>
      <c r="DW75" s="64"/>
      <c r="DX75" s="64"/>
      <c r="DY75" s="65"/>
      <c r="DZ75" s="62">
        <f t="shared" ref="DZ75" ca="1" si="784">IFERROR($C75*DZ74,"")</f>
        <v>0</v>
      </c>
      <c r="EA75" s="62"/>
      <c r="EB75" s="62"/>
      <c r="EC75" s="62"/>
      <c r="ED75" s="62">
        <f t="shared" ref="ED75" ca="1" si="785">IFERROR($C75*ED74,"")</f>
        <v>0</v>
      </c>
      <c r="EE75" s="62"/>
      <c r="EF75" s="62"/>
      <c r="EG75" s="63"/>
      <c r="EH75" s="64">
        <f t="shared" ref="EH75" ca="1" si="786">IFERROR($C75*EH74,"")</f>
        <v>0</v>
      </c>
      <c r="EI75" s="64"/>
      <c r="EJ75" s="64"/>
      <c r="EK75" s="65"/>
      <c r="EL75" s="62">
        <f t="shared" ref="EL75" ca="1" si="787">IFERROR($C75*EL74,"")</f>
        <v>0</v>
      </c>
      <c r="EM75" s="62"/>
      <c r="EN75" s="62"/>
      <c r="EO75" s="62"/>
      <c r="EP75" s="62">
        <f t="shared" ref="EP75" ca="1" si="788">IFERROR($C75*EP74,"")</f>
        <v>0</v>
      </c>
      <c r="EQ75" s="62"/>
      <c r="ER75" s="62"/>
      <c r="ES75" s="63"/>
    </row>
    <row r="76" spans="2:149" outlineLevel="1" x14ac:dyDescent="0.45">
      <c r="B76" s="78"/>
      <c r="C76" s="25">
        <v>400000</v>
      </c>
      <c r="D76" s="26" t="s">
        <v>3</v>
      </c>
      <c r="E76" s="27">
        <f ca="1">SUM(F76:CW76)</f>
        <v>0</v>
      </c>
      <c r="F76" s="66">
        <f ca="1">IFERROR($C76*F74,"")</f>
        <v>0</v>
      </c>
      <c r="G76" s="60"/>
      <c r="H76" s="60"/>
      <c r="I76" s="60"/>
      <c r="J76" s="60">
        <f t="shared" ref="J76" ca="1" si="789">IFERROR($C76*J74,"")</f>
        <v>0</v>
      </c>
      <c r="K76" s="60"/>
      <c r="L76" s="60"/>
      <c r="M76" s="60"/>
      <c r="N76" s="61">
        <f t="shared" ref="N76" ca="1" si="790">IFERROR($C76*N74,"")</f>
        <v>0</v>
      </c>
      <c r="O76" s="58"/>
      <c r="P76" s="58"/>
      <c r="Q76" s="58"/>
      <c r="R76" s="58">
        <f t="shared" ref="R76" ca="1" si="791">IFERROR($C76*R74,"")</f>
        <v>0</v>
      </c>
      <c r="S76" s="58"/>
      <c r="T76" s="58"/>
      <c r="U76" s="59"/>
      <c r="V76" s="60">
        <f t="shared" ref="V76" ca="1" si="792">IFERROR($C76*V74,"")</f>
        <v>0</v>
      </c>
      <c r="W76" s="60"/>
      <c r="X76" s="60"/>
      <c r="Y76" s="60"/>
      <c r="Z76" s="60">
        <f t="shared" ref="Z76" ca="1" si="793">IFERROR($C76*Z74,"")</f>
        <v>0</v>
      </c>
      <c r="AA76" s="60"/>
      <c r="AB76" s="60"/>
      <c r="AC76" s="61"/>
      <c r="AD76" s="58">
        <f t="shared" ref="AD76" si="794">IFERROR($C76*AD74,"")</f>
        <v>0</v>
      </c>
      <c r="AE76" s="58"/>
      <c r="AF76" s="58"/>
      <c r="AG76" s="59"/>
      <c r="AH76" s="60">
        <f t="shared" ref="AH76" si="795">IFERROR($C76*AH74,"")</f>
        <v>0</v>
      </c>
      <c r="AI76" s="60"/>
      <c r="AJ76" s="60"/>
      <c r="AK76" s="60"/>
      <c r="AL76" s="60">
        <f t="shared" ref="AL76" si="796">IFERROR($C76*AL74,"")</f>
        <v>0</v>
      </c>
      <c r="AM76" s="60"/>
      <c r="AN76" s="60"/>
      <c r="AO76" s="61"/>
      <c r="AP76" s="58">
        <f t="shared" ref="AP76" si="797">IFERROR($C76*AP74,"")</f>
        <v>0</v>
      </c>
      <c r="AQ76" s="58"/>
      <c r="AR76" s="58"/>
      <c r="AS76" s="59"/>
      <c r="AT76" s="60">
        <f t="shared" ref="AT76" si="798">IFERROR($C76*AT74,"")</f>
        <v>0</v>
      </c>
      <c r="AU76" s="60"/>
      <c r="AV76" s="60"/>
      <c r="AW76" s="60"/>
      <c r="AX76" s="60">
        <f t="shared" ref="AX76" si="799">IFERROR($C76*AX74,"")</f>
        <v>0</v>
      </c>
      <c r="AY76" s="60"/>
      <c r="AZ76" s="60"/>
      <c r="BA76" s="61"/>
      <c r="BB76" s="58">
        <f t="shared" ref="BB76:CD76" si="800">IFERROR($C76*BB74,"")</f>
        <v>0</v>
      </c>
      <c r="BC76" s="58"/>
      <c r="BD76" s="58"/>
      <c r="BE76" s="59"/>
      <c r="BF76" s="60">
        <f t="shared" si="800"/>
        <v>0</v>
      </c>
      <c r="BG76" s="60"/>
      <c r="BH76" s="60"/>
      <c r="BI76" s="60"/>
      <c r="BJ76" s="60">
        <f t="shared" si="800"/>
        <v>0</v>
      </c>
      <c r="BK76" s="60"/>
      <c r="BL76" s="60"/>
      <c r="BM76" s="61"/>
      <c r="BN76" s="58">
        <f t="shared" si="800"/>
        <v>0</v>
      </c>
      <c r="BO76" s="58"/>
      <c r="BP76" s="58"/>
      <c r="BQ76" s="59"/>
      <c r="BR76" s="60">
        <f t="shared" si="800"/>
        <v>0</v>
      </c>
      <c r="BS76" s="60"/>
      <c r="BT76" s="60"/>
      <c r="BU76" s="60"/>
      <c r="BV76" s="60">
        <f t="shared" si="800"/>
        <v>0</v>
      </c>
      <c r="BW76" s="60"/>
      <c r="BX76" s="60"/>
      <c r="BY76" s="61"/>
      <c r="BZ76" s="58">
        <f t="shared" si="800"/>
        <v>0</v>
      </c>
      <c r="CA76" s="58"/>
      <c r="CB76" s="58"/>
      <c r="CC76" s="59"/>
      <c r="CD76" s="60">
        <f t="shared" si="800"/>
        <v>0</v>
      </c>
      <c r="CE76" s="60"/>
      <c r="CF76" s="60"/>
      <c r="CG76" s="60"/>
      <c r="CH76" s="60">
        <f t="shared" ref="CH76:DJ76" si="801">IFERROR($C76*CH74,"")</f>
        <v>0</v>
      </c>
      <c r="CI76" s="60"/>
      <c r="CJ76" s="60"/>
      <c r="CK76" s="61"/>
      <c r="CL76" s="58">
        <f t="shared" si="801"/>
        <v>0</v>
      </c>
      <c r="CM76" s="58"/>
      <c r="CN76" s="58"/>
      <c r="CO76" s="59"/>
      <c r="CP76" s="60">
        <f t="shared" si="801"/>
        <v>0</v>
      </c>
      <c r="CQ76" s="60"/>
      <c r="CR76" s="60"/>
      <c r="CS76" s="60"/>
      <c r="CT76" s="60">
        <f t="shared" si="801"/>
        <v>0</v>
      </c>
      <c r="CU76" s="60"/>
      <c r="CV76" s="60"/>
      <c r="CW76" s="61"/>
      <c r="CX76" s="58">
        <f t="shared" si="801"/>
        <v>0</v>
      </c>
      <c r="CY76" s="58"/>
      <c r="CZ76" s="58"/>
      <c r="DA76" s="59"/>
      <c r="DB76" s="60">
        <f t="shared" si="801"/>
        <v>0</v>
      </c>
      <c r="DC76" s="60"/>
      <c r="DD76" s="60"/>
      <c r="DE76" s="60"/>
      <c r="DF76" s="60">
        <f t="shared" si="801"/>
        <v>0</v>
      </c>
      <c r="DG76" s="60"/>
      <c r="DH76" s="60"/>
      <c r="DI76" s="61"/>
      <c r="DJ76" s="58">
        <f t="shared" si="801"/>
        <v>0</v>
      </c>
      <c r="DK76" s="58"/>
      <c r="DL76" s="58"/>
      <c r="DM76" s="59"/>
      <c r="DN76" s="60">
        <f t="shared" ref="DN76:EP76" si="802">IFERROR($C76*DN74,"")</f>
        <v>0</v>
      </c>
      <c r="DO76" s="60"/>
      <c r="DP76" s="60"/>
      <c r="DQ76" s="60"/>
      <c r="DR76" s="60">
        <f t="shared" ca="1" si="802"/>
        <v>0</v>
      </c>
      <c r="DS76" s="60"/>
      <c r="DT76" s="60"/>
      <c r="DU76" s="61"/>
      <c r="DV76" s="58">
        <f t="shared" ca="1" si="802"/>
        <v>0</v>
      </c>
      <c r="DW76" s="58"/>
      <c r="DX76" s="58"/>
      <c r="DY76" s="59"/>
      <c r="DZ76" s="60">
        <f t="shared" ca="1" si="802"/>
        <v>0</v>
      </c>
      <c r="EA76" s="60"/>
      <c r="EB76" s="60"/>
      <c r="EC76" s="60"/>
      <c r="ED76" s="60">
        <f t="shared" ca="1" si="802"/>
        <v>0</v>
      </c>
      <c r="EE76" s="60"/>
      <c r="EF76" s="60"/>
      <c r="EG76" s="61"/>
      <c r="EH76" s="58">
        <f t="shared" ca="1" si="802"/>
        <v>0</v>
      </c>
      <c r="EI76" s="58"/>
      <c r="EJ76" s="58"/>
      <c r="EK76" s="59"/>
      <c r="EL76" s="60">
        <f t="shared" ca="1" si="802"/>
        <v>0</v>
      </c>
      <c r="EM76" s="60"/>
      <c r="EN76" s="60"/>
      <c r="EO76" s="60"/>
      <c r="EP76" s="60">
        <f t="shared" ca="1" si="802"/>
        <v>0</v>
      </c>
      <c r="EQ76" s="60"/>
      <c r="ER76" s="60"/>
      <c r="ES76" s="61"/>
    </row>
    <row r="77" spans="2:149" outlineLevel="1" x14ac:dyDescent="0.45">
      <c r="B77" s="31" t="s">
        <v>35</v>
      </c>
      <c r="C77" s="19"/>
      <c r="D77" s="20" t="s">
        <v>13</v>
      </c>
      <c r="E77" s="21">
        <f ca="1">SUM(F77:ES77)</f>
        <v>0</v>
      </c>
      <c r="F77" s="74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G77" s="67"/>
      <c r="H77" s="67"/>
      <c r="I77" s="67"/>
      <c r="J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K77" s="67"/>
      <c r="L77" s="67"/>
      <c r="M77" s="67"/>
      <c r="N77" s="68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O77" s="70"/>
      <c r="P77" s="70"/>
      <c r="Q77" s="70"/>
      <c r="R77" s="70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S77" s="70"/>
      <c r="T77" s="70"/>
      <c r="U77" s="71"/>
      <c r="V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W77" s="67"/>
      <c r="X77" s="67"/>
      <c r="Y77" s="67"/>
      <c r="Z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AA77" s="67"/>
      <c r="AB77" s="67"/>
      <c r="AC77" s="68"/>
      <c r="AD77" s="70"/>
      <c r="AE77" s="70"/>
      <c r="AF77" s="70"/>
      <c r="AG77" s="71"/>
      <c r="AH77" s="67"/>
      <c r="AI77" s="67"/>
      <c r="AJ77" s="67"/>
      <c r="AK77" s="68"/>
      <c r="AL77" s="67"/>
      <c r="AM77" s="67"/>
      <c r="AN77" s="67"/>
      <c r="AO77" s="68"/>
      <c r="AP77" s="70"/>
      <c r="AQ77" s="70"/>
      <c r="AR77" s="70"/>
      <c r="AS77" s="71"/>
      <c r="AT77" s="67"/>
      <c r="AU77" s="67"/>
      <c r="AV77" s="67"/>
      <c r="AW77" s="67"/>
      <c r="AX77" s="67"/>
      <c r="AY77" s="67"/>
      <c r="AZ77" s="67"/>
      <c r="BA77" s="68"/>
      <c r="BB77" s="70"/>
      <c r="BC77" s="70"/>
      <c r="BD77" s="70"/>
      <c r="BE77" s="71"/>
      <c r="BF77" s="67"/>
      <c r="BG77" s="67"/>
      <c r="BH77" s="67"/>
      <c r="BI77" s="67"/>
      <c r="BJ77" s="67"/>
      <c r="BK77" s="67"/>
      <c r="BL77" s="67"/>
      <c r="BM77" s="68"/>
      <c r="BN77" s="70"/>
      <c r="BO77" s="70"/>
      <c r="BP77" s="70"/>
      <c r="BQ77" s="71"/>
      <c r="BR77" s="67"/>
      <c r="BS77" s="67"/>
      <c r="BT77" s="67"/>
      <c r="BU77" s="67"/>
      <c r="BV77" s="67"/>
      <c r="BW77" s="67"/>
      <c r="BX77" s="67"/>
      <c r="BY77" s="68"/>
      <c r="BZ77" s="70"/>
      <c r="CA77" s="70"/>
      <c r="CB77" s="70"/>
      <c r="CC77" s="71"/>
      <c r="CD77" s="67"/>
      <c r="CE77" s="67"/>
      <c r="CF77" s="67"/>
      <c r="CG77" s="67"/>
      <c r="CH77" s="67"/>
      <c r="CI77" s="67"/>
      <c r="CJ77" s="67"/>
      <c r="CK77" s="68"/>
      <c r="CL77" s="70"/>
      <c r="CM77" s="70"/>
      <c r="CN77" s="70"/>
      <c r="CO77" s="71"/>
      <c r="CP77" s="67"/>
      <c r="CQ77" s="67"/>
      <c r="CR77" s="67"/>
      <c r="CS77" s="67"/>
      <c r="CT77" s="67"/>
      <c r="CU77" s="67"/>
      <c r="CV77" s="67"/>
      <c r="CW77" s="68"/>
      <c r="CX77" s="70"/>
      <c r="CY77" s="70"/>
      <c r="CZ77" s="70"/>
      <c r="DA77" s="71"/>
      <c r="DB77" s="67"/>
      <c r="DC77" s="67"/>
      <c r="DD77" s="67"/>
      <c r="DE77" s="67"/>
      <c r="DF77" s="67"/>
      <c r="DG77" s="67"/>
      <c r="DH77" s="67"/>
      <c r="DI77" s="68"/>
      <c r="DJ77" s="70"/>
      <c r="DK77" s="70"/>
      <c r="DL77" s="70"/>
      <c r="DM77" s="71"/>
      <c r="DN77" s="67"/>
      <c r="DO77" s="67"/>
      <c r="DP77" s="67"/>
      <c r="DQ77" s="67"/>
      <c r="DR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DS77" s="67"/>
      <c r="DT77" s="67"/>
      <c r="DU77" s="68"/>
      <c r="DV77" s="70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DW77" s="70"/>
      <c r="DX77" s="70"/>
      <c r="DY77" s="71"/>
      <c r="DZ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A77" s="67"/>
      <c r="EB77" s="67"/>
      <c r="EC77" s="67"/>
      <c r="ED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E77" s="67"/>
      <c r="EF77" s="67"/>
      <c r="EG77" s="68"/>
      <c r="EH77" s="70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I77" s="70"/>
      <c r="EJ77" s="70"/>
      <c r="EK77" s="71"/>
      <c r="EL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M77" s="67"/>
      <c r="EN77" s="67"/>
      <c r="EO77" s="67"/>
      <c r="EP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Q77" s="67"/>
      <c r="ER77" s="67"/>
      <c r="ES77" s="68"/>
    </row>
    <row r="78" spans="2:149" outlineLevel="1" x14ac:dyDescent="0.45">
      <c r="B78" s="32"/>
      <c r="C78" s="22">
        <v>600000</v>
      </c>
      <c r="D78" s="23" t="s">
        <v>23</v>
      </c>
      <c r="E78" s="24">
        <f ca="1">SUM(F78:CW78)</f>
        <v>0</v>
      </c>
      <c r="F78" s="69">
        <f ca="1">IFERROR($C78*F77,"")</f>
        <v>0</v>
      </c>
      <c r="G78" s="62"/>
      <c r="H78" s="62"/>
      <c r="I78" s="62"/>
      <c r="J78" s="62">
        <f t="shared" ref="J78" ca="1" si="803">IFERROR($C78*J77,"")</f>
        <v>0</v>
      </c>
      <c r="K78" s="62"/>
      <c r="L78" s="62"/>
      <c r="M78" s="62"/>
      <c r="N78" s="63">
        <f t="shared" ref="N78" ca="1" si="804">IFERROR($C78*N77,"")</f>
        <v>0</v>
      </c>
      <c r="O78" s="64"/>
      <c r="P78" s="64"/>
      <c r="Q78" s="64"/>
      <c r="R78" s="64">
        <f t="shared" ref="R78" ca="1" si="805">IFERROR($C78*R77,"")</f>
        <v>0</v>
      </c>
      <c r="S78" s="64"/>
      <c r="T78" s="64"/>
      <c r="U78" s="65"/>
      <c r="V78" s="62">
        <f t="shared" ref="V78" ca="1" si="806">IFERROR($C78*V77,"")</f>
        <v>0</v>
      </c>
      <c r="W78" s="62"/>
      <c r="X78" s="62"/>
      <c r="Y78" s="62"/>
      <c r="Z78" s="62">
        <f t="shared" ref="Z78" ca="1" si="807">IFERROR($C78*Z77,"")</f>
        <v>0</v>
      </c>
      <c r="AA78" s="62"/>
      <c r="AB78" s="62"/>
      <c r="AC78" s="63"/>
      <c r="AD78" s="64">
        <f t="shared" ref="AD78" si="808">IFERROR($C78*AD77,"")</f>
        <v>0</v>
      </c>
      <c r="AE78" s="64"/>
      <c r="AF78" s="64"/>
      <c r="AG78" s="65"/>
      <c r="AH78" s="62">
        <f t="shared" ref="AH78" si="809">IFERROR($C78*AH77,"")</f>
        <v>0</v>
      </c>
      <c r="AI78" s="62"/>
      <c r="AJ78" s="62"/>
      <c r="AK78" s="62"/>
      <c r="AL78" s="62">
        <f t="shared" ref="AL78" si="810">IFERROR($C78*AL77,"")</f>
        <v>0</v>
      </c>
      <c r="AM78" s="62"/>
      <c r="AN78" s="62"/>
      <c r="AO78" s="63"/>
      <c r="AP78" s="64">
        <f t="shared" ref="AP78" si="811">IFERROR($C78*AP77,"")</f>
        <v>0</v>
      </c>
      <c r="AQ78" s="64"/>
      <c r="AR78" s="64"/>
      <c r="AS78" s="65"/>
      <c r="AT78" s="62">
        <f t="shared" ref="AT78" si="812">IFERROR($C78*AT77,"")</f>
        <v>0</v>
      </c>
      <c r="AU78" s="62"/>
      <c r="AV78" s="62"/>
      <c r="AW78" s="62"/>
      <c r="AX78" s="62">
        <f t="shared" ref="AX78" si="813">IFERROR($C78*AX77,"")</f>
        <v>0</v>
      </c>
      <c r="AY78" s="62"/>
      <c r="AZ78" s="62"/>
      <c r="BA78" s="63"/>
      <c r="BB78" s="64">
        <f t="shared" ref="BB78" si="814">IFERROR($C78*BB77,"")</f>
        <v>0</v>
      </c>
      <c r="BC78" s="64"/>
      <c r="BD78" s="64"/>
      <c r="BE78" s="65"/>
      <c r="BF78" s="62">
        <f t="shared" ref="BF78" si="815">IFERROR($C78*BF77,"")</f>
        <v>0</v>
      </c>
      <c r="BG78" s="62"/>
      <c r="BH78" s="62"/>
      <c r="BI78" s="62"/>
      <c r="BJ78" s="62">
        <f t="shared" ref="BJ78" si="816">IFERROR($C78*BJ77,"")</f>
        <v>0</v>
      </c>
      <c r="BK78" s="62"/>
      <c r="BL78" s="62"/>
      <c r="BM78" s="63"/>
      <c r="BN78" s="64">
        <f t="shared" ref="BN78" si="817">IFERROR($C78*BN77,"")</f>
        <v>0</v>
      </c>
      <c r="BO78" s="64"/>
      <c r="BP78" s="64"/>
      <c r="BQ78" s="65"/>
      <c r="BR78" s="62">
        <f t="shared" ref="BR78" si="818">IFERROR($C78*BR77,"")</f>
        <v>0</v>
      </c>
      <c r="BS78" s="62"/>
      <c r="BT78" s="62"/>
      <c r="BU78" s="62"/>
      <c r="BV78" s="62">
        <f t="shared" ref="BV78" si="819">IFERROR($C78*BV77,"")</f>
        <v>0</v>
      </c>
      <c r="BW78" s="62"/>
      <c r="BX78" s="62"/>
      <c r="BY78" s="63"/>
      <c r="BZ78" s="64">
        <f t="shared" ref="BZ78" si="820">IFERROR($C78*BZ77,"")</f>
        <v>0</v>
      </c>
      <c r="CA78" s="64"/>
      <c r="CB78" s="64"/>
      <c r="CC78" s="65"/>
      <c r="CD78" s="62">
        <f t="shared" ref="CD78" si="821">IFERROR($C78*CD77,"")</f>
        <v>0</v>
      </c>
      <c r="CE78" s="62"/>
      <c r="CF78" s="62"/>
      <c r="CG78" s="62"/>
      <c r="CH78" s="62">
        <f t="shared" ref="CH78" si="822">IFERROR($C78*CH77,"")</f>
        <v>0</v>
      </c>
      <c r="CI78" s="62"/>
      <c r="CJ78" s="62"/>
      <c r="CK78" s="63"/>
      <c r="CL78" s="64">
        <f t="shared" ref="CL78" si="823">IFERROR($C78*CL77,"")</f>
        <v>0</v>
      </c>
      <c r="CM78" s="64"/>
      <c r="CN78" s="64"/>
      <c r="CO78" s="65"/>
      <c r="CP78" s="62">
        <f t="shared" ref="CP78" si="824">IFERROR($C78*CP77,"")</f>
        <v>0</v>
      </c>
      <c r="CQ78" s="62"/>
      <c r="CR78" s="62"/>
      <c r="CS78" s="62"/>
      <c r="CT78" s="62">
        <f t="shared" ref="CT78" si="825">IFERROR($C78*CT77,"")</f>
        <v>0</v>
      </c>
      <c r="CU78" s="62"/>
      <c r="CV78" s="62"/>
      <c r="CW78" s="63"/>
      <c r="CX78" s="64">
        <f t="shared" ref="CX78" si="826">IFERROR($C78*CX77,"")</f>
        <v>0</v>
      </c>
      <c r="CY78" s="64"/>
      <c r="CZ78" s="64"/>
      <c r="DA78" s="65"/>
      <c r="DB78" s="62">
        <f t="shared" ref="DB78" si="827">IFERROR($C78*DB77,"")</f>
        <v>0</v>
      </c>
      <c r="DC78" s="62"/>
      <c r="DD78" s="62"/>
      <c r="DE78" s="62"/>
      <c r="DF78" s="62">
        <f t="shared" ref="DF78" si="828">IFERROR($C78*DF77,"")</f>
        <v>0</v>
      </c>
      <c r="DG78" s="62"/>
      <c r="DH78" s="62"/>
      <c r="DI78" s="63"/>
      <c r="DJ78" s="64">
        <f t="shared" ref="DJ78" si="829">IFERROR($C78*DJ77,"")</f>
        <v>0</v>
      </c>
      <c r="DK78" s="64"/>
      <c r="DL78" s="64"/>
      <c r="DM78" s="65"/>
      <c r="DN78" s="62">
        <f t="shared" ref="DN78" si="830">IFERROR($C78*DN77,"")</f>
        <v>0</v>
      </c>
      <c r="DO78" s="62"/>
      <c r="DP78" s="62"/>
      <c r="DQ78" s="62"/>
      <c r="DR78" s="62">
        <f t="shared" ref="DR78" ca="1" si="831">IFERROR($C78*DR77,"")</f>
        <v>0</v>
      </c>
      <c r="DS78" s="62"/>
      <c r="DT78" s="62"/>
      <c r="DU78" s="63"/>
      <c r="DV78" s="64">
        <f t="shared" ref="DV78" ca="1" si="832">IFERROR($C78*DV77,"")</f>
        <v>0</v>
      </c>
      <c r="DW78" s="64"/>
      <c r="DX78" s="64"/>
      <c r="DY78" s="65"/>
      <c r="DZ78" s="62">
        <f t="shared" ref="DZ78" ca="1" si="833">IFERROR($C78*DZ77,"")</f>
        <v>0</v>
      </c>
      <c r="EA78" s="62"/>
      <c r="EB78" s="62"/>
      <c r="EC78" s="62"/>
      <c r="ED78" s="62">
        <f t="shared" ref="ED78" ca="1" si="834">IFERROR($C78*ED77,"")</f>
        <v>0</v>
      </c>
      <c r="EE78" s="62"/>
      <c r="EF78" s="62"/>
      <c r="EG78" s="63"/>
      <c r="EH78" s="64">
        <f t="shared" ref="EH78" ca="1" si="835">IFERROR($C78*EH77,"")</f>
        <v>0</v>
      </c>
      <c r="EI78" s="64"/>
      <c r="EJ78" s="64"/>
      <c r="EK78" s="65"/>
      <c r="EL78" s="62">
        <f t="shared" ref="EL78" ca="1" si="836">IFERROR($C78*EL77,"")</f>
        <v>0</v>
      </c>
      <c r="EM78" s="62"/>
      <c r="EN78" s="62"/>
      <c r="EO78" s="62"/>
      <c r="EP78" s="62">
        <f t="shared" ref="EP78" ca="1" si="837">IFERROR($C78*EP77,"")</f>
        <v>0</v>
      </c>
      <c r="EQ78" s="62"/>
      <c r="ER78" s="62"/>
      <c r="ES78" s="63"/>
    </row>
    <row r="79" spans="2:149" outlineLevel="1" x14ac:dyDescent="0.45">
      <c r="B79" s="33"/>
      <c r="C79" s="25">
        <v>400000</v>
      </c>
      <c r="D79" s="26" t="s">
        <v>3</v>
      </c>
      <c r="E79" s="27">
        <f ca="1">SUM(F79:CW79)</f>
        <v>0</v>
      </c>
      <c r="F79" s="66">
        <f ca="1">IFERROR($C79*F77,"")</f>
        <v>0</v>
      </c>
      <c r="G79" s="60"/>
      <c r="H79" s="60"/>
      <c r="I79" s="60"/>
      <c r="J79" s="60">
        <f t="shared" ref="J79" ca="1" si="838">IFERROR($C79*J77,"")</f>
        <v>0</v>
      </c>
      <c r="K79" s="60"/>
      <c r="L79" s="60"/>
      <c r="M79" s="60"/>
      <c r="N79" s="61">
        <f t="shared" ref="N79" ca="1" si="839">IFERROR($C79*N77,"")</f>
        <v>0</v>
      </c>
      <c r="O79" s="58"/>
      <c r="P79" s="58"/>
      <c r="Q79" s="58"/>
      <c r="R79" s="58">
        <f t="shared" ref="R79" ca="1" si="840">IFERROR($C79*R77,"")</f>
        <v>0</v>
      </c>
      <c r="S79" s="58"/>
      <c r="T79" s="58"/>
      <c r="U79" s="59"/>
      <c r="V79" s="60">
        <f t="shared" ref="V79" ca="1" si="841">IFERROR($C79*V77,"")</f>
        <v>0</v>
      </c>
      <c r="W79" s="60"/>
      <c r="X79" s="60"/>
      <c r="Y79" s="60"/>
      <c r="Z79" s="60">
        <f t="shared" ref="Z79" ca="1" si="842">IFERROR($C79*Z77,"")</f>
        <v>0</v>
      </c>
      <c r="AA79" s="60"/>
      <c r="AB79" s="60"/>
      <c r="AC79" s="61"/>
      <c r="AD79" s="58">
        <f t="shared" ref="AD79" si="843">IFERROR($C79*AD77,"")</f>
        <v>0</v>
      </c>
      <c r="AE79" s="58"/>
      <c r="AF79" s="58"/>
      <c r="AG79" s="59"/>
      <c r="AH79" s="60">
        <f t="shared" ref="AH79" si="844">IFERROR($C79*AH77,"")</f>
        <v>0</v>
      </c>
      <c r="AI79" s="60"/>
      <c r="AJ79" s="60"/>
      <c r="AK79" s="60"/>
      <c r="AL79" s="60">
        <f t="shared" ref="AL79" si="845">IFERROR($C79*AL77,"")</f>
        <v>0</v>
      </c>
      <c r="AM79" s="60"/>
      <c r="AN79" s="60"/>
      <c r="AO79" s="61"/>
      <c r="AP79" s="58">
        <f t="shared" ref="AP79" si="846">IFERROR($C79*AP77,"")</f>
        <v>0</v>
      </c>
      <c r="AQ79" s="58"/>
      <c r="AR79" s="58"/>
      <c r="AS79" s="59"/>
      <c r="AT79" s="60">
        <f t="shared" ref="AT79" si="847">IFERROR($C79*AT77,"")</f>
        <v>0</v>
      </c>
      <c r="AU79" s="60"/>
      <c r="AV79" s="60"/>
      <c r="AW79" s="60"/>
      <c r="AX79" s="60">
        <f t="shared" ref="AX79" si="848">IFERROR($C79*AX77,"")</f>
        <v>0</v>
      </c>
      <c r="AY79" s="60"/>
      <c r="AZ79" s="60"/>
      <c r="BA79" s="61"/>
      <c r="BB79" s="58">
        <f t="shared" ref="BB79:CD79" si="849">IFERROR($C79*BB77,"")</f>
        <v>0</v>
      </c>
      <c r="BC79" s="58"/>
      <c r="BD79" s="58"/>
      <c r="BE79" s="59"/>
      <c r="BF79" s="60">
        <f t="shared" si="849"/>
        <v>0</v>
      </c>
      <c r="BG79" s="60"/>
      <c r="BH79" s="60"/>
      <c r="BI79" s="60"/>
      <c r="BJ79" s="60">
        <f t="shared" si="849"/>
        <v>0</v>
      </c>
      <c r="BK79" s="60"/>
      <c r="BL79" s="60"/>
      <c r="BM79" s="61"/>
      <c r="BN79" s="58">
        <f t="shared" si="849"/>
        <v>0</v>
      </c>
      <c r="BO79" s="58"/>
      <c r="BP79" s="58"/>
      <c r="BQ79" s="59"/>
      <c r="BR79" s="60">
        <f t="shared" si="849"/>
        <v>0</v>
      </c>
      <c r="BS79" s="60"/>
      <c r="BT79" s="60"/>
      <c r="BU79" s="60"/>
      <c r="BV79" s="60">
        <f t="shared" si="849"/>
        <v>0</v>
      </c>
      <c r="BW79" s="60"/>
      <c r="BX79" s="60"/>
      <c r="BY79" s="61"/>
      <c r="BZ79" s="58">
        <f t="shared" si="849"/>
        <v>0</v>
      </c>
      <c r="CA79" s="58"/>
      <c r="CB79" s="58"/>
      <c r="CC79" s="59"/>
      <c r="CD79" s="60">
        <f t="shared" si="849"/>
        <v>0</v>
      </c>
      <c r="CE79" s="60"/>
      <c r="CF79" s="60"/>
      <c r="CG79" s="60"/>
      <c r="CH79" s="60">
        <f t="shared" ref="CH79:DJ79" si="850">IFERROR($C79*CH77,"")</f>
        <v>0</v>
      </c>
      <c r="CI79" s="60"/>
      <c r="CJ79" s="60"/>
      <c r="CK79" s="61"/>
      <c r="CL79" s="58">
        <f t="shared" si="850"/>
        <v>0</v>
      </c>
      <c r="CM79" s="58"/>
      <c r="CN79" s="58"/>
      <c r="CO79" s="59"/>
      <c r="CP79" s="60">
        <f t="shared" si="850"/>
        <v>0</v>
      </c>
      <c r="CQ79" s="60"/>
      <c r="CR79" s="60"/>
      <c r="CS79" s="60"/>
      <c r="CT79" s="60">
        <f t="shared" si="850"/>
        <v>0</v>
      </c>
      <c r="CU79" s="60"/>
      <c r="CV79" s="60"/>
      <c r="CW79" s="61"/>
      <c r="CX79" s="58">
        <f t="shared" si="850"/>
        <v>0</v>
      </c>
      <c r="CY79" s="58"/>
      <c r="CZ79" s="58"/>
      <c r="DA79" s="59"/>
      <c r="DB79" s="60">
        <f t="shared" si="850"/>
        <v>0</v>
      </c>
      <c r="DC79" s="60"/>
      <c r="DD79" s="60"/>
      <c r="DE79" s="60"/>
      <c r="DF79" s="60">
        <f t="shared" si="850"/>
        <v>0</v>
      </c>
      <c r="DG79" s="60"/>
      <c r="DH79" s="60"/>
      <c r="DI79" s="61"/>
      <c r="DJ79" s="58">
        <f t="shared" si="850"/>
        <v>0</v>
      </c>
      <c r="DK79" s="58"/>
      <c r="DL79" s="58"/>
      <c r="DM79" s="59"/>
      <c r="DN79" s="60">
        <f t="shared" ref="DN79:EP79" si="851">IFERROR($C79*DN77,"")</f>
        <v>0</v>
      </c>
      <c r="DO79" s="60"/>
      <c r="DP79" s="60"/>
      <c r="DQ79" s="60"/>
      <c r="DR79" s="60">
        <f t="shared" ca="1" si="851"/>
        <v>0</v>
      </c>
      <c r="DS79" s="60"/>
      <c r="DT79" s="60"/>
      <c r="DU79" s="61"/>
      <c r="DV79" s="58">
        <f t="shared" ca="1" si="851"/>
        <v>0</v>
      </c>
      <c r="DW79" s="58"/>
      <c r="DX79" s="58"/>
      <c r="DY79" s="59"/>
      <c r="DZ79" s="60">
        <f t="shared" ca="1" si="851"/>
        <v>0</v>
      </c>
      <c r="EA79" s="60"/>
      <c r="EB79" s="60"/>
      <c r="EC79" s="60"/>
      <c r="ED79" s="60">
        <f t="shared" ca="1" si="851"/>
        <v>0</v>
      </c>
      <c r="EE79" s="60"/>
      <c r="EF79" s="60"/>
      <c r="EG79" s="61"/>
      <c r="EH79" s="58">
        <f t="shared" ca="1" si="851"/>
        <v>0</v>
      </c>
      <c r="EI79" s="58"/>
      <c r="EJ79" s="58"/>
      <c r="EK79" s="59"/>
      <c r="EL79" s="60">
        <f t="shared" ca="1" si="851"/>
        <v>0</v>
      </c>
      <c r="EM79" s="60"/>
      <c r="EN79" s="60"/>
      <c r="EO79" s="60"/>
      <c r="EP79" s="60">
        <f t="shared" ca="1" si="851"/>
        <v>0</v>
      </c>
      <c r="EQ79" s="60"/>
      <c r="ER79" s="60"/>
      <c r="ES79" s="61"/>
    </row>
    <row r="80" spans="2:149" outlineLevel="1" x14ac:dyDescent="0.45">
      <c r="B80" s="31" t="s">
        <v>29</v>
      </c>
      <c r="C80" s="19"/>
      <c r="D80" s="20" t="s">
        <v>13</v>
      </c>
      <c r="E80" s="21">
        <f ca="1">SUM(F80:ES80)</f>
        <v>0</v>
      </c>
      <c r="F80" s="74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G80" s="67"/>
      <c r="H80" s="67"/>
      <c r="I80" s="67"/>
      <c r="J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K80" s="67"/>
      <c r="L80" s="67"/>
      <c r="M80" s="67"/>
      <c r="N80" s="68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O80" s="70"/>
      <c r="P80" s="70"/>
      <c r="Q80" s="70"/>
      <c r="R80" s="70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S80" s="70"/>
      <c r="T80" s="70"/>
      <c r="U80" s="71"/>
      <c r="V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W80" s="67"/>
      <c r="X80" s="67"/>
      <c r="Y80" s="67"/>
      <c r="Z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AA80" s="67"/>
      <c r="AB80" s="67"/>
      <c r="AC80" s="68"/>
      <c r="AD80" s="70"/>
      <c r="AE80" s="70"/>
      <c r="AF80" s="70"/>
      <c r="AG80" s="71"/>
      <c r="AH80" s="67"/>
      <c r="AI80" s="67"/>
      <c r="AJ80" s="67"/>
      <c r="AK80" s="68"/>
      <c r="AL80" s="67"/>
      <c r="AM80" s="67"/>
      <c r="AN80" s="67"/>
      <c r="AO80" s="68"/>
      <c r="AP80" s="70"/>
      <c r="AQ80" s="70"/>
      <c r="AR80" s="70"/>
      <c r="AS80" s="71"/>
      <c r="AT80" s="67"/>
      <c r="AU80" s="67"/>
      <c r="AV80" s="67"/>
      <c r="AW80" s="67"/>
      <c r="AX80" s="67"/>
      <c r="AY80" s="67"/>
      <c r="AZ80" s="67"/>
      <c r="BA80" s="68"/>
      <c r="BB80" s="70"/>
      <c r="BC80" s="70"/>
      <c r="BD80" s="70"/>
      <c r="BE80" s="71"/>
      <c r="BF80" s="67"/>
      <c r="BG80" s="67"/>
      <c r="BH80" s="67"/>
      <c r="BI80" s="67"/>
      <c r="BJ80" s="67"/>
      <c r="BK80" s="67"/>
      <c r="BL80" s="67"/>
      <c r="BM80" s="68"/>
      <c r="BN80" s="70"/>
      <c r="BO80" s="70"/>
      <c r="BP80" s="70"/>
      <c r="BQ80" s="71"/>
      <c r="BR80" s="67"/>
      <c r="BS80" s="67"/>
      <c r="BT80" s="67"/>
      <c r="BU80" s="67"/>
      <c r="BV80" s="67"/>
      <c r="BW80" s="67"/>
      <c r="BX80" s="67"/>
      <c r="BY80" s="68"/>
      <c r="BZ80" s="70"/>
      <c r="CA80" s="70"/>
      <c r="CB80" s="70"/>
      <c r="CC80" s="71"/>
      <c r="CD80" s="67"/>
      <c r="CE80" s="67"/>
      <c r="CF80" s="67"/>
      <c r="CG80" s="67"/>
      <c r="CH80" s="67"/>
      <c r="CI80" s="67"/>
      <c r="CJ80" s="67"/>
      <c r="CK80" s="68"/>
      <c r="CL80" s="70"/>
      <c r="CM80" s="70"/>
      <c r="CN80" s="70"/>
      <c r="CO80" s="71"/>
      <c r="CP80" s="67"/>
      <c r="CQ80" s="67"/>
      <c r="CR80" s="67"/>
      <c r="CS80" s="67"/>
      <c r="CT80" s="67"/>
      <c r="CU80" s="67"/>
      <c r="CV80" s="67"/>
      <c r="CW80" s="68"/>
      <c r="CX80" s="70"/>
      <c r="CY80" s="70"/>
      <c r="CZ80" s="70"/>
      <c r="DA80" s="71"/>
      <c r="DB80" s="67"/>
      <c r="DC80" s="67"/>
      <c r="DD80" s="67"/>
      <c r="DE80" s="67"/>
      <c r="DF80" s="67"/>
      <c r="DG80" s="67"/>
      <c r="DH80" s="67"/>
      <c r="DI80" s="68"/>
      <c r="DJ80" s="70"/>
      <c r="DK80" s="70"/>
      <c r="DL80" s="70"/>
      <c r="DM80" s="71"/>
      <c r="DN80" s="67"/>
      <c r="DO80" s="67"/>
      <c r="DP80" s="67"/>
      <c r="DQ80" s="67"/>
      <c r="DR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DS80" s="67"/>
      <c r="DT80" s="67"/>
      <c r="DU80" s="68"/>
      <c r="DV80" s="70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DW80" s="70"/>
      <c r="DX80" s="70"/>
      <c r="DY80" s="71"/>
      <c r="DZ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A80" s="67"/>
      <c r="EB80" s="67"/>
      <c r="EC80" s="67"/>
      <c r="ED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E80" s="67"/>
      <c r="EF80" s="67"/>
      <c r="EG80" s="68"/>
      <c r="EH80" s="70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I80" s="70"/>
      <c r="EJ80" s="70"/>
      <c r="EK80" s="71"/>
      <c r="EL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M80" s="67"/>
      <c r="EN80" s="67"/>
      <c r="EO80" s="67"/>
      <c r="EP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Q80" s="67"/>
      <c r="ER80" s="67"/>
      <c r="ES80" s="68"/>
    </row>
    <row r="81" spans="2:149" outlineLevel="1" x14ac:dyDescent="0.45">
      <c r="B81" s="32"/>
      <c r="C81" s="22">
        <v>600000</v>
      </c>
      <c r="D81" s="23" t="s">
        <v>23</v>
      </c>
      <c r="E81" s="24">
        <f ca="1">SUM(F81:CW81)</f>
        <v>0</v>
      </c>
      <c r="F81" s="69">
        <f ca="1">IFERROR($C81*F80,"")</f>
        <v>0</v>
      </c>
      <c r="G81" s="62"/>
      <c r="H81" s="62"/>
      <c r="I81" s="62"/>
      <c r="J81" s="62">
        <f t="shared" ref="J81" ca="1" si="852">IFERROR($C81*J80,"")</f>
        <v>0</v>
      </c>
      <c r="K81" s="62"/>
      <c r="L81" s="62"/>
      <c r="M81" s="62"/>
      <c r="N81" s="63">
        <f t="shared" ref="N81" ca="1" si="853">IFERROR($C81*N80,"")</f>
        <v>0</v>
      </c>
      <c r="O81" s="64"/>
      <c r="P81" s="64"/>
      <c r="Q81" s="64"/>
      <c r="R81" s="64">
        <f t="shared" ref="R81" ca="1" si="854">IFERROR($C81*R80,"")</f>
        <v>0</v>
      </c>
      <c r="S81" s="64"/>
      <c r="T81" s="64"/>
      <c r="U81" s="65"/>
      <c r="V81" s="62">
        <f t="shared" ref="V81" ca="1" si="855">IFERROR($C81*V80,"")</f>
        <v>0</v>
      </c>
      <c r="W81" s="62"/>
      <c r="X81" s="62"/>
      <c r="Y81" s="62"/>
      <c r="Z81" s="62">
        <f t="shared" ref="Z81" ca="1" si="856">IFERROR($C81*Z80,"")</f>
        <v>0</v>
      </c>
      <c r="AA81" s="62"/>
      <c r="AB81" s="62"/>
      <c r="AC81" s="63"/>
      <c r="AD81" s="64">
        <f t="shared" ref="AD81" si="857">IFERROR($C81*AD80,"")</f>
        <v>0</v>
      </c>
      <c r="AE81" s="64"/>
      <c r="AF81" s="64"/>
      <c r="AG81" s="65"/>
      <c r="AH81" s="62">
        <f t="shared" ref="AH81" si="858">IFERROR($C81*AH80,"")</f>
        <v>0</v>
      </c>
      <c r="AI81" s="62"/>
      <c r="AJ81" s="62"/>
      <c r="AK81" s="62"/>
      <c r="AL81" s="62">
        <f t="shared" ref="AL81" si="859">IFERROR($C81*AL80,"")</f>
        <v>0</v>
      </c>
      <c r="AM81" s="62"/>
      <c r="AN81" s="62"/>
      <c r="AO81" s="63"/>
      <c r="AP81" s="64">
        <f t="shared" ref="AP81" si="860">IFERROR($C81*AP80,"")</f>
        <v>0</v>
      </c>
      <c r="AQ81" s="64"/>
      <c r="AR81" s="64"/>
      <c r="AS81" s="65"/>
      <c r="AT81" s="62">
        <f t="shared" ref="AT81" si="861">IFERROR($C81*AT80,"")</f>
        <v>0</v>
      </c>
      <c r="AU81" s="62"/>
      <c r="AV81" s="62"/>
      <c r="AW81" s="62"/>
      <c r="AX81" s="62">
        <f t="shared" ref="AX81" si="862">IFERROR($C81*AX80,"")</f>
        <v>0</v>
      </c>
      <c r="AY81" s="62"/>
      <c r="AZ81" s="62"/>
      <c r="BA81" s="63"/>
      <c r="BB81" s="64">
        <f t="shared" ref="BB81" si="863">IFERROR($C81*BB80,"")</f>
        <v>0</v>
      </c>
      <c r="BC81" s="64"/>
      <c r="BD81" s="64"/>
      <c r="BE81" s="65"/>
      <c r="BF81" s="62">
        <f t="shared" ref="BF81" si="864">IFERROR($C81*BF80,"")</f>
        <v>0</v>
      </c>
      <c r="BG81" s="62"/>
      <c r="BH81" s="62"/>
      <c r="BI81" s="62"/>
      <c r="BJ81" s="62">
        <f t="shared" ref="BJ81" si="865">IFERROR($C81*BJ80,"")</f>
        <v>0</v>
      </c>
      <c r="BK81" s="62"/>
      <c r="BL81" s="62"/>
      <c r="BM81" s="63"/>
      <c r="BN81" s="64">
        <f t="shared" ref="BN81" si="866">IFERROR($C81*BN80,"")</f>
        <v>0</v>
      </c>
      <c r="BO81" s="64"/>
      <c r="BP81" s="64"/>
      <c r="BQ81" s="65"/>
      <c r="BR81" s="62">
        <f t="shared" ref="BR81" si="867">IFERROR($C81*BR80,"")</f>
        <v>0</v>
      </c>
      <c r="BS81" s="62"/>
      <c r="BT81" s="62"/>
      <c r="BU81" s="62"/>
      <c r="BV81" s="62">
        <f t="shared" ref="BV81" si="868">IFERROR($C81*BV80,"")</f>
        <v>0</v>
      </c>
      <c r="BW81" s="62"/>
      <c r="BX81" s="62"/>
      <c r="BY81" s="63"/>
      <c r="BZ81" s="64">
        <f t="shared" ref="BZ81" si="869">IFERROR($C81*BZ80,"")</f>
        <v>0</v>
      </c>
      <c r="CA81" s="64"/>
      <c r="CB81" s="64"/>
      <c r="CC81" s="65"/>
      <c r="CD81" s="62">
        <f t="shared" ref="CD81" si="870">IFERROR($C81*CD80,"")</f>
        <v>0</v>
      </c>
      <c r="CE81" s="62"/>
      <c r="CF81" s="62"/>
      <c r="CG81" s="62"/>
      <c r="CH81" s="62">
        <f t="shared" ref="CH81" si="871">IFERROR($C81*CH80,"")</f>
        <v>0</v>
      </c>
      <c r="CI81" s="62"/>
      <c r="CJ81" s="62"/>
      <c r="CK81" s="63"/>
      <c r="CL81" s="64">
        <f t="shared" ref="CL81" si="872">IFERROR($C81*CL80,"")</f>
        <v>0</v>
      </c>
      <c r="CM81" s="64"/>
      <c r="CN81" s="64"/>
      <c r="CO81" s="65"/>
      <c r="CP81" s="62">
        <f t="shared" ref="CP81" si="873">IFERROR($C81*CP80,"")</f>
        <v>0</v>
      </c>
      <c r="CQ81" s="62"/>
      <c r="CR81" s="62"/>
      <c r="CS81" s="62"/>
      <c r="CT81" s="62">
        <f t="shared" ref="CT81" si="874">IFERROR($C81*CT80,"")</f>
        <v>0</v>
      </c>
      <c r="CU81" s="62"/>
      <c r="CV81" s="62"/>
      <c r="CW81" s="63"/>
      <c r="CX81" s="64">
        <f t="shared" ref="CX81" si="875">IFERROR($C81*CX80,"")</f>
        <v>0</v>
      </c>
      <c r="CY81" s="64"/>
      <c r="CZ81" s="64"/>
      <c r="DA81" s="65"/>
      <c r="DB81" s="62">
        <f t="shared" ref="DB81" si="876">IFERROR($C81*DB80,"")</f>
        <v>0</v>
      </c>
      <c r="DC81" s="62"/>
      <c r="DD81" s="62"/>
      <c r="DE81" s="62"/>
      <c r="DF81" s="62">
        <f t="shared" ref="DF81" si="877">IFERROR($C81*DF80,"")</f>
        <v>0</v>
      </c>
      <c r="DG81" s="62"/>
      <c r="DH81" s="62"/>
      <c r="DI81" s="63"/>
      <c r="DJ81" s="64">
        <f t="shared" ref="DJ81" si="878">IFERROR($C81*DJ80,"")</f>
        <v>0</v>
      </c>
      <c r="DK81" s="64"/>
      <c r="DL81" s="64"/>
      <c r="DM81" s="65"/>
      <c r="DN81" s="62">
        <f t="shared" ref="DN81" si="879">IFERROR($C81*DN80,"")</f>
        <v>0</v>
      </c>
      <c r="DO81" s="62"/>
      <c r="DP81" s="62"/>
      <c r="DQ81" s="62"/>
      <c r="DR81" s="62">
        <f t="shared" ref="DR81" ca="1" si="880">IFERROR($C81*DR80,"")</f>
        <v>0</v>
      </c>
      <c r="DS81" s="62"/>
      <c r="DT81" s="62"/>
      <c r="DU81" s="63"/>
      <c r="DV81" s="64">
        <f t="shared" ref="DV81" ca="1" si="881">IFERROR($C81*DV80,"")</f>
        <v>0</v>
      </c>
      <c r="DW81" s="64"/>
      <c r="DX81" s="64"/>
      <c r="DY81" s="65"/>
      <c r="DZ81" s="62">
        <f t="shared" ref="DZ81" ca="1" si="882">IFERROR($C81*DZ80,"")</f>
        <v>0</v>
      </c>
      <c r="EA81" s="62"/>
      <c r="EB81" s="62"/>
      <c r="EC81" s="62"/>
      <c r="ED81" s="62">
        <f t="shared" ref="ED81" ca="1" si="883">IFERROR($C81*ED80,"")</f>
        <v>0</v>
      </c>
      <c r="EE81" s="62"/>
      <c r="EF81" s="62"/>
      <c r="EG81" s="63"/>
      <c r="EH81" s="64">
        <f t="shared" ref="EH81" ca="1" si="884">IFERROR($C81*EH80,"")</f>
        <v>0</v>
      </c>
      <c r="EI81" s="64"/>
      <c r="EJ81" s="64"/>
      <c r="EK81" s="65"/>
      <c r="EL81" s="62">
        <f t="shared" ref="EL81" ca="1" si="885">IFERROR($C81*EL80,"")</f>
        <v>0</v>
      </c>
      <c r="EM81" s="62"/>
      <c r="EN81" s="62"/>
      <c r="EO81" s="62"/>
      <c r="EP81" s="62">
        <f t="shared" ref="EP81" ca="1" si="886">IFERROR($C81*EP80,"")</f>
        <v>0</v>
      </c>
      <c r="EQ81" s="62"/>
      <c r="ER81" s="62"/>
      <c r="ES81" s="63"/>
    </row>
    <row r="82" spans="2:149" ht="18.600000000000001" outlineLevel="1" thickBot="1" x14ac:dyDescent="0.5">
      <c r="B82" s="33"/>
      <c r="C82" s="25">
        <v>400000</v>
      </c>
      <c r="D82" s="26" t="s">
        <v>3</v>
      </c>
      <c r="E82" s="27">
        <f ca="1">SUM(F82:CW82)</f>
        <v>0</v>
      </c>
      <c r="F82" s="66">
        <f ca="1">IFERROR($C82*F80,"")</f>
        <v>0</v>
      </c>
      <c r="G82" s="60"/>
      <c r="H82" s="60"/>
      <c r="I82" s="60"/>
      <c r="J82" s="60">
        <f t="shared" ref="J82" ca="1" si="887">IFERROR($C82*J80,"")</f>
        <v>0</v>
      </c>
      <c r="K82" s="60"/>
      <c r="L82" s="60"/>
      <c r="M82" s="60"/>
      <c r="N82" s="61">
        <f t="shared" ref="N82" ca="1" si="888">IFERROR($C82*N80,"")</f>
        <v>0</v>
      </c>
      <c r="O82" s="58"/>
      <c r="P82" s="58"/>
      <c r="Q82" s="58"/>
      <c r="R82" s="58">
        <f t="shared" ref="R82" ca="1" si="889">IFERROR($C82*R80,"")</f>
        <v>0</v>
      </c>
      <c r="S82" s="58"/>
      <c r="T82" s="58"/>
      <c r="U82" s="59"/>
      <c r="V82" s="60">
        <f t="shared" ref="V82" ca="1" si="890">IFERROR($C82*V80,"")</f>
        <v>0</v>
      </c>
      <c r="W82" s="60"/>
      <c r="X82" s="60"/>
      <c r="Y82" s="60"/>
      <c r="Z82" s="60">
        <f t="shared" ref="Z82" ca="1" si="891">IFERROR($C82*Z80,"")</f>
        <v>0</v>
      </c>
      <c r="AA82" s="60"/>
      <c r="AB82" s="60"/>
      <c r="AC82" s="61"/>
      <c r="AD82" s="58">
        <f t="shared" ref="AD82" si="892">IFERROR($C82*AD80,"")</f>
        <v>0</v>
      </c>
      <c r="AE82" s="58"/>
      <c r="AF82" s="58"/>
      <c r="AG82" s="59"/>
      <c r="AH82" s="60">
        <f t="shared" ref="AH82" si="893">IFERROR($C82*AH80,"")</f>
        <v>0</v>
      </c>
      <c r="AI82" s="60"/>
      <c r="AJ82" s="60"/>
      <c r="AK82" s="60"/>
      <c r="AL82" s="60">
        <f t="shared" ref="AL82" si="894">IFERROR($C82*AL80,"")</f>
        <v>0</v>
      </c>
      <c r="AM82" s="60"/>
      <c r="AN82" s="60"/>
      <c r="AO82" s="61"/>
      <c r="AP82" s="58">
        <f t="shared" ref="AP82" si="895">IFERROR($C82*AP80,"")</f>
        <v>0</v>
      </c>
      <c r="AQ82" s="58"/>
      <c r="AR82" s="58"/>
      <c r="AS82" s="59"/>
      <c r="AT82" s="60">
        <f t="shared" ref="AT82" si="896">IFERROR($C82*AT80,"")</f>
        <v>0</v>
      </c>
      <c r="AU82" s="60"/>
      <c r="AV82" s="60"/>
      <c r="AW82" s="60"/>
      <c r="AX82" s="60">
        <f t="shared" ref="AX82" si="897">IFERROR($C82*AX80,"")</f>
        <v>0</v>
      </c>
      <c r="AY82" s="60"/>
      <c r="AZ82" s="60"/>
      <c r="BA82" s="61"/>
      <c r="BB82" s="58">
        <f t="shared" ref="BB82:CD82" si="898">IFERROR($C82*BB80,"")</f>
        <v>0</v>
      </c>
      <c r="BC82" s="58"/>
      <c r="BD82" s="58"/>
      <c r="BE82" s="59"/>
      <c r="BF82" s="60">
        <f t="shared" si="898"/>
        <v>0</v>
      </c>
      <c r="BG82" s="60"/>
      <c r="BH82" s="60"/>
      <c r="BI82" s="60"/>
      <c r="BJ82" s="60">
        <f t="shared" si="898"/>
        <v>0</v>
      </c>
      <c r="BK82" s="60"/>
      <c r="BL82" s="60"/>
      <c r="BM82" s="61"/>
      <c r="BN82" s="58">
        <f t="shared" si="898"/>
        <v>0</v>
      </c>
      <c r="BO82" s="58"/>
      <c r="BP82" s="58"/>
      <c r="BQ82" s="59"/>
      <c r="BR82" s="60">
        <f t="shared" si="898"/>
        <v>0</v>
      </c>
      <c r="BS82" s="60"/>
      <c r="BT82" s="60"/>
      <c r="BU82" s="60"/>
      <c r="BV82" s="60">
        <f t="shared" si="898"/>
        <v>0</v>
      </c>
      <c r="BW82" s="60"/>
      <c r="BX82" s="60"/>
      <c r="BY82" s="61"/>
      <c r="BZ82" s="58">
        <f t="shared" si="898"/>
        <v>0</v>
      </c>
      <c r="CA82" s="58"/>
      <c r="CB82" s="58"/>
      <c r="CC82" s="59"/>
      <c r="CD82" s="60">
        <f t="shared" si="898"/>
        <v>0</v>
      </c>
      <c r="CE82" s="60"/>
      <c r="CF82" s="60"/>
      <c r="CG82" s="60"/>
      <c r="CH82" s="60">
        <f t="shared" ref="CH82:DJ82" si="899">IFERROR($C82*CH80,"")</f>
        <v>0</v>
      </c>
      <c r="CI82" s="60"/>
      <c r="CJ82" s="60"/>
      <c r="CK82" s="61"/>
      <c r="CL82" s="58">
        <f t="shared" si="899"/>
        <v>0</v>
      </c>
      <c r="CM82" s="58"/>
      <c r="CN82" s="58"/>
      <c r="CO82" s="59"/>
      <c r="CP82" s="60">
        <f t="shared" si="899"/>
        <v>0</v>
      </c>
      <c r="CQ82" s="60"/>
      <c r="CR82" s="60"/>
      <c r="CS82" s="60"/>
      <c r="CT82" s="60">
        <f t="shared" si="899"/>
        <v>0</v>
      </c>
      <c r="CU82" s="60"/>
      <c r="CV82" s="60"/>
      <c r="CW82" s="61"/>
      <c r="CX82" s="58">
        <f t="shared" si="899"/>
        <v>0</v>
      </c>
      <c r="CY82" s="58"/>
      <c r="CZ82" s="58"/>
      <c r="DA82" s="59"/>
      <c r="DB82" s="60">
        <f t="shared" si="899"/>
        <v>0</v>
      </c>
      <c r="DC82" s="60"/>
      <c r="DD82" s="60"/>
      <c r="DE82" s="60"/>
      <c r="DF82" s="60">
        <f t="shared" si="899"/>
        <v>0</v>
      </c>
      <c r="DG82" s="60"/>
      <c r="DH82" s="60"/>
      <c r="DI82" s="61"/>
      <c r="DJ82" s="58">
        <f t="shared" si="899"/>
        <v>0</v>
      </c>
      <c r="DK82" s="58"/>
      <c r="DL82" s="58"/>
      <c r="DM82" s="59"/>
      <c r="DN82" s="60">
        <f t="shared" ref="DN82:EP82" si="900">IFERROR($C82*DN80,"")</f>
        <v>0</v>
      </c>
      <c r="DO82" s="60"/>
      <c r="DP82" s="60"/>
      <c r="DQ82" s="60"/>
      <c r="DR82" s="60">
        <f t="shared" ca="1" si="900"/>
        <v>0</v>
      </c>
      <c r="DS82" s="60"/>
      <c r="DT82" s="60"/>
      <c r="DU82" s="61"/>
      <c r="DV82" s="58">
        <f t="shared" ca="1" si="900"/>
        <v>0</v>
      </c>
      <c r="DW82" s="58"/>
      <c r="DX82" s="58"/>
      <c r="DY82" s="59"/>
      <c r="DZ82" s="60">
        <f t="shared" ca="1" si="900"/>
        <v>0</v>
      </c>
      <c r="EA82" s="60"/>
      <c r="EB82" s="60"/>
      <c r="EC82" s="60"/>
      <c r="ED82" s="60">
        <f t="shared" ca="1" si="900"/>
        <v>0</v>
      </c>
      <c r="EE82" s="60"/>
      <c r="EF82" s="60"/>
      <c r="EG82" s="61"/>
      <c r="EH82" s="58">
        <f t="shared" ca="1" si="900"/>
        <v>0</v>
      </c>
      <c r="EI82" s="58"/>
      <c r="EJ82" s="58"/>
      <c r="EK82" s="59"/>
      <c r="EL82" s="60">
        <f t="shared" ca="1" si="900"/>
        <v>0</v>
      </c>
      <c r="EM82" s="60"/>
      <c r="EN82" s="60"/>
      <c r="EO82" s="60"/>
      <c r="EP82" s="60">
        <f t="shared" ca="1" si="900"/>
        <v>0</v>
      </c>
      <c r="EQ82" s="60"/>
      <c r="ER82" s="60"/>
      <c r="ES82" s="61"/>
    </row>
    <row r="83" spans="2:149" hidden="1" outlineLevel="1" x14ac:dyDescent="0.45">
      <c r="B83" s="75">
        <v>7</v>
      </c>
      <c r="C83" s="19"/>
      <c r="D83" s="20" t="s">
        <v>13</v>
      </c>
      <c r="E83" s="21">
        <f ca="1">SUM(F83:ES83)</f>
        <v>0</v>
      </c>
      <c r="F83" s="74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G83" s="67"/>
      <c r="H83" s="67"/>
      <c r="I83" s="67"/>
      <c r="J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K83" s="67"/>
      <c r="L83" s="67"/>
      <c r="M83" s="67"/>
      <c r="N83" s="68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O83" s="70"/>
      <c r="P83" s="70"/>
      <c r="Q83" s="70"/>
      <c r="R83" s="70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S83" s="70"/>
      <c r="T83" s="70"/>
      <c r="U83" s="71"/>
      <c r="V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W83" s="67"/>
      <c r="X83" s="67"/>
      <c r="Y83" s="67"/>
      <c r="Z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AA83" s="67"/>
      <c r="AB83" s="67"/>
      <c r="AC83" s="68"/>
      <c r="AD83" s="70"/>
      <c r="AE83" s="70"/>
      <c r="AF83" s="70"/>
      <c r="AG83" s="71"/>
      <c r="AH83" s="67"/>
      <c r="AI83" s="67"/>
      <c r="AJ83" s="67"/>
      <c r="AK83" s="67"/>
      <c r="AL83" s="67"/>
      <c r="AM83" s="67"/>
      <c r="AN83" s="67"/>
      <c r="AO83" s="68"/>
      <c r="AP83" s="70"/>
      <c r="AQ83" s="70"/>
      <c r="AR83" s="70"/>
      <c r="AS83" s="71"/>
      <c r="AT83" s="67"/>
      <c r="AU83" s="67"/>
      <c r="AV83" s="67"/>
      <c r="AW83" s="67"/>
      <c r="AX83" s="67"/>
      <c r="AY83" s="67"/>
      <c r="AZ83" s="67"/>
      <c r="BA83" s="68"/>
      <c r="BB83" s="70"/>
      <c r="BC83" s="70"/>
      <c r="BD83" s="70"/>
      <c r="BE83" s="71"/>
      <c r="BF83" s="67"/>
      <c r="BG83" s="67"/>
      <c r="BH83" s="67"/>
      <c r="BI83" s="67"/>
      <c r="BJ83" s="67"/>
      <c r="BK83" s="67"/>
      <c r="BL83" s="67"/>
      <c r="BM83" s="68"/>
      <c r="BN83" s="70"/>
      <c r="BO83" s="70"/>
      <c r="BP83" s="70"/>
      <c r="BQ83" s="71"/>
      <c r="BR83" s="67"/>
      <c r="BS83" s="67"/>
      <c r="BT83" s="67"/>
      <c r="BU83" s="67"/>
      <c r="BV83" s="67"/>
      <c r="BW83" s="67"/>
      <c r="BX83" s="67"/>
      <c r="BY83" s="68"/>
      <c r="BZ83" s="70"/>
      <c r="CA83" s="70"/>
      <c r="CB83" s="70"/>
      <c r="CC83" s="71"/>
      <c r="CD83" s="67"/>
      <c r="CE83" s="67"/>
      <c r="CF83" s="67"/>
      <c r="CG83" s="67"/>
      <c r="CH83" s="67"/>
      <c r="CI83" s="67"/>
      <c r="CJ83" s="67"/>
      <c r="CK83" s="68"/>
      <c r="CL83" s="70"/>
      <c r="CM83" s="70"/>
      <c r="CN83" s="70"/>
      <c r="CO83" s="71"/>
      <c r="CP83" s="67"/>
      <c r="CQ83" s="67"/>
      <c r="CR83" s="67"/>
      <c r="CS83" s="67"/>
      <c r="CT83" s="67"/>
      <c r="CU83" s="67"/>
      <c r="CV83" s="67"/>
      <c r="CW83" s="68"/>
      <c r="CX83" s="70"/>
      <c r="CY83" s="70"/>
      <c r="CZ83" s="70"/>
      <c r="DA83" s="71"/>
      <c r="DB83" s="67"/>
      <c r="DC83" s="67"/>
      <c r="DD83" s="67"/>
      <c r="DE83" s="67"/>
      <c r="DF83" s="67"/>
      <c r="DG83" s="67"/>
      <c r="DH83" s="67"/>
      <c r="DI83" s="68"/>
      <c r="DJ83" s="70"/>
      <c r="DK83" s="70"/>
      <c r="DL83" s="70"/>
      <c r="DM83" s="71"/>
      <c r="DN83" s="67"/>
      <c r="DO83" s="67"/>
      <c r="DP83" s="67"/>
      <c r="DQ83" s="67"/>
      <c r="DR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DS83" s="67"/>
      <c r="DT83" s="67"/>
      <c r="DU83" s="68"/>
      <c r="DV83" s="70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DW83" s="70"/>
      <c r="DX83" s="70"/>
      <c r="DY83" s="71"/>
      <c r="DZ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A83" s="67"/>
      <c r="EB83" s="67"/>
      <c r="EC83" s="67"/>
      <c r="ED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E83" s="67"/>
      <c r="EF83" s="67"/>
      <c r="EG83" s="68"/>
      <c r="EH83" s="70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I83" s="70"/>
      <c r="EJ83" s="70"/>
      <c r="EK83" s="71"/>
      <c r="EL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M83" s="67"/>
      <c r="EN83" s="67"/>
      <c r="EO83" s="67"/>
      <c r="EP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Q83" s="67"/>
      <c r="ER83" s="67"/>
      <c r="ES83" s="68"/>
    </row>
    <row r="84" spans="2:149" hidden="1" outlineLevel="1" x14ac:dyDescent="0.45">
      <c r="B84" s="76"/>
      <c r="C84" s="22">
        <v>1000000</v>
      </c>
      <c r="D84" s="23" t="s">
        <v>23</v>
      </c>
      <c r="E84" s="24">
        <f ca="1">SUM(F84:CW84)</f>
        <v>0</v>
      </c>
      <c r="F84" s="69">
        <f ca="1">IFERROR($C84*F83,"")</f>
        <v>0</v>
      </c>
      <c r="G84" s="62"/>
      <c r="H84" s="62"/>
      <c r="I84" s="62"/>
      <c r="J84" s="62">
        <f t="shared" ref="J84" ca="1" si="901">IFERROR($C84*J83,"")</f>
        <v>0</v>
      </c>
      <c r="K84" s="62"/>
      <c r="L84" s="62"/>
      <c r="M84" s="62"/>
      <c r="N84" s="63">
        <f t="shared" ref="N84" ca="1" si="902">IFERROR($C84*N83,"")</f>
        <v>0</v>
      </c>
      <c r="O84" s="64"/>
      <c r="P84" s="64"/>
      <c r="Q84" s="64"/>
      <c r="R84" s="64">
        <f t="shared" ref="R84" ca="1" si="903">IFERROR($C84*R83,"")</f>
        <v>0</v>
      </c>
      <c r="S84" s="64"/>
      <c r="T84" s="64"/>
      <c r="U84" s="65"/>
      <c r="V84" s="62">
        <f t="shared" ref="V84" ca="1" si="904">IFERROR($C84*V83,"")</f>
        <v>0</v>
      </c>
      <c r="W84" s="62"/>
      <c r="X84" s="62"/>
      <c r="Y84" s="62"/>
      <c r="Z84" s="62">
        <f t="shared" ref="Z84" ca="1" si="905">IFERROR($C84*Z83,"")</f>
        <v>0</v>
      </c>
      <c r="AA84" s="62"/>
      <c r="AB84" s="62"/>
      <c r="AC84" s="63"/>
      <c r="AD84" s="64"/>
      <c r="AE84" s="64"/>
      <c r="AF84" s="64"/>
      <c r="AG84" s="65"/>
      <c r="AH84" s="62"/>
      <c r="AI84" s="62"/>
      <c r="AJ84" s="62"/>
      <c r="AK84" s="62"/>
      <c r="AL84" s="62"/>
      <c r="AM84" s="62"/>
      <c r="AN84" s="62"/>
      <c r="AO84" s="63"/>
      <c r="AP84" s="64"/>
      <c r="AQ84" s="64"/>
      <c r="AR84" s="64"/>
      <c r="AS84" s="65"/>
      <c r="AT84" s="62"/>
      <c r="AU84" s="62"/>
      <c r="AV84" s="62"/>
      <c r="AW84" s="62"/>
      <c r="AX84" s="62"/>
      <c r="AY84" s="62"/>
      <c r="AZ84" s="62"/>
      <c r="BA84" s="63"/>
      <c r="BB84" s="64"/>
      <c r="BC84" s="64"/>
      <c r="BD84" s="64"/>
      <c r="BE84" s="65"/>
      <c r="BF84" s="62"/>
      <c r="BG84" s="62"/>
      <c r="BH84" s="62"/>
      <c r="BI84" s="62"/>
      <c r="BJ84" s="62"/>
      <c r="BK84" s="62"/>
      <c r="BL84" s="62"/>
      <c r="BM84" s="63"/>
      <c r="BN84" s="64"/>
      <c r="BO84" s="64"/>
      <c r="BP84" s="64"/>
      <c r="BQ84" s="65"/>
      <c r="BR84" s="62"/>
      <c r="BS84" s="62"/>
      <c r="BT84" s="62"/>
      <c r="BU84" s="62"/>
      <c r="BV84" s="62"/>
      <c r="BW84" s="62"/>
      <c r="BX84" s="62"/>
      <c r="BY84" s="63"/>
      <c r="BZ84" s="64"/>
      <c r="CA84" s="64"/>
      <c r="CB84" s="64"/>
      <c r="CC84" s="65"/>
      <c r="CD84" s="62"/>
      <c r="CE84" s="62"/>
      <c r="CF84" s="62"/>
      <c r="CG84" s="62"/>
      <c r="CH84" s="62"/>
      <c r="CI84" s="62"/>
      <c r="CJ84" s="62"/>
      <c r="CK84" s="63"/>
      <c r="CL84" s="64"/>
      <c r="CM84" s="64"/>
      <c r="CN84" s="64"/>
      <c r="CO84" s="65"/>
      <c r="CP84" s="62"/>
      <c r="CQ84" s="62"/>
      <c r="CR84" s="62"/>
      <c r="CS84" s="62"/>
      <c r="CT84" s="62"/>
      <c r="CU84" s="62"/>
      <c r="CV84" s="62"/>
      <c r="CW84" s="63"/>
      <c r="CX84" s="64"/>
      <c r="CY84" s="64"/>
      <c r="CZ84" s="64"/>
      <c r="DA84" s="65"/>
      <c r="DB84" s="62"/>
      <c r="DC84" s="62"/>
      <c r="DD84" s="62"/>
      <c r="DE84" s="62"/>
      <c r="DF84" s="62"/>
      <c r="DG84" s="62"/>
      <c r="DH84" s="62"/>
      <c r="DI84" s="63"/>
      <c r="DJ84" s="64"/>
      <c r="DK84" s="64"/>
      <c r="DL84" s="64"/>
      <c r="DM84" s="65"/>
      <c r="DN84" s="62"/>
      <c r="DO84" s="62"/>
      <c r="DP84" s="62"/>
      <c r="DQ84" s="62"/>
      <c r="DR84" s="62">
        <f t="shared" ref="DR84" ca="1" si="906">IFERROR($C84*DR83,"")</f>
        <v>0</v>
      </c>
      <c r="DS84" s="62"/>
      <c r="DT84" s="62"/>
      <c r="DU84" s="63"/>
      <c r="DV84" s="64">
        <f t="shared" ref="DV84" ca="1" si="907">IFERROR($C84*DV83,"")</f>
        <v>0</v>
      </c>
      <c r="DW84" s="64"/>
      <c r="DX84" s="64"/>
      <c r="DY84" s="65"/>
      <c r="DZ84" s="62">
        <f t="shared" ref="DZ84" ca="1" si="908">IFERROR($C84*DZ83,"")</f>
        <v>0</v>
      </c>
      <c r="EA84" s="62"/>
      <c r="EB84" s="62"/>
      <c r="EC84" s="62"/>
      <c r="ED84" s="62">
        <f t="shared" ref="ED84" ca="1" si="909">IFERROR($C84*ED83,"")</f>
        <v>0</v>
      </c>
      <c r="EE84" s="62"/>
      <c r="EF84" s="62"/>
      <c r="EG84" s="63"/>
      <c r="EH84" s="64">
        <f t="shared" ref="EH84" ca="1" si="910">IFERROR($C84*EH83,"")</f>
        <v>0</v>
      </c>
      <c r="EI84" s="64"/>
      <c r="EJ84" s="64"/>
      <c r="EK84" s="65"/>
      <c r="EL84" s="62">
        <f t="shared" ref="EL84" ca="1" si="911">IFERROR($C84*EL83,"")</f>
        <v>0</v>
      </c>
      <c r="EM84" s="62"/>
      <c r="EN84" s="62"/>
      <c r="EO84" s="62"/>
      <c r="EP84" s="62">
        <f t="shared" ref="EP84" ca="1" si="912">IFERROR($C84*EP83,"")</f>
        <v>0</v>
      </c>
      <c r="EQ84" s="62"/>
      <c r="ER84" s="62"/>
      <c r="ES84" s="63"/>
    </row>
    <row r="85" spans="2:149" hidden="1" outlineLevel="1" x14ac:dyDescent="0.45">
      <c r="B85" s="77"/>
      <c r="C85" s="25">
        <v>850000</v>
      </c>
      <c r="D85" s="26" t="s">
        <v>3</v>
      </c>
      <c r="E85" s="27">
        <f ca="1">SUM(F85:CW85)</f>
        <v>0</v>
      </c>
      <c r="F85" s="66">
        <f ca="1">IFERROR($C85*F83,"")</f>
        <v>0</v>
      </c>
      <c r="G85" s="60"/>
      <c r="H85" s="60"/>
      <c r="I85" s="60"/>
      <c r="J85" s="60">
        <f t="shared" ref="J85" ca="1" si="913">IFERROR($C85*J83,"")</f>
        <v>0</v>
      </c>
      <c r="K85" s="60"/>
      <c r="L85" s="60"/>
      <c r="M85" s="60"/>
      <c r="N85" s="61">
        <f t="shared" ref="N85" ca="1" si="914">IFERROR($C85*N83,"")</f>
        <v>0</v>
      </c>
      <c r="O85" s="58"/>
      <c r="P85" s="58"/>
      <c r="Q85" s="58"/>
      <c r="R85" s="58">
        <f t="shared" ref="R85" ca="1" si="915">IFERROR($C85*R83,"")</f>
        <v>0</v>
      </c>
      <c r="S85" s="58"/>
      <c r="T85" s="58"/>
      <c r="U85" s="59"/>
      <c r="V85" s="60">
        <f t="shared" ref="V85" ca="1" si="916">IFERROR($C85*V83,"")</f>
        <v>0</v>
      </c>
      <c r="W85" s="60"/>
      <c r="X85" s="60"/>
      <c r="Y85" s="60"/>
      <c r="Z85" s="60">
        <f t="shared" ref="Z85" ca="1" si="917">IFERROR($C85*Z83,"")</f>
        <v>0</v>
      </c>
      <c r="AA85" s="60"/>
      <c r="AB85" s="60"/>
      <c r="AC85" s="61"/>
      <c r="AD85" s="58"/>
      <c r="AE85" s="58"/>
      <c r="AF85" s="58"/>
      <c r="AG85" s="59"/>
      <c r="AH85" s="60"/>
      <c r="AI85" s="60"/>
      <c r="AJ85" s="60"/>
      <c r="AK85" s="60"/>
      <c r="AL85" s="60"/>
      <c r="AM85" s="60"/>
      <c r="AN85" s="60"/>
      <c r="AO85" s="61"/>
      <c r="AP85" s="58"/>
      <c r="AQ85" s="58"/>
      <c r="AR85" s="58"/>
      <c r="AS85" s="59"/>
      <c r="AT85" s="60"/>
      <c r="AU85" s="60"/>
      <c r="AV85" s="60"/>
      <c r="AW85" s="60"/>
      <c r="AX85" s="60"/>
      <c r="AY85" s="60"/>
      <c r="AZ85" s="60"/>
      <c r="BA85" s="61"/>
      <c r="BB85" s="58"/>
      <c r="BC85" s="58"/>
      <c r="BD85" s="58"/>
      <c r="BE85" s="59"/>
      <c r="BF85" s="60"/>
      <c r="BG85" s="60"/>
      <c r="BH85" s="60"/>
      <c r="BI85" s="60"/>
      <c r="BJ85" s="60"/>
      <c r="BK85" s="60"/>
      <c r="BL85" s="60"/>
      <c r="BM85" s="61"/>
      <c r="BN85" s="58"/>
      <c r="BO85" s="58"/>
      <c r="BP85" s="58"/>
      <c r="BQ85" s="59"/>
      <c r="BR85" s="60"/>
      <c r="BS85" s="60"/>
      <c r="BT85" s="60"/>
      <c r="BU85" s="60"/>
      <c r="BV85" s="60"/>
      <c r="BW85" s="60"/>
      <c r="BX85" s="60"/>
      <c r="BY85" s="61"/>
      <c r="BZ85" s="58"/>
      <c r="CA85" s="58"/>
      <c r="CB85" s="58"/>
      <c r="CC85" s="59"/>
      <c r="CD85" s="60"/>
      <c r="CE85" s="60"/>
      <c r="CF85" s="60"/>
      <c r="CG85" s="60"/>
      <c r="CH85" s="60"/>
      <c r="CI85" s="60"/>
      <c r="CJ85" s="60"/>
      <c r="CK85" s="61"/>
      <c r="CL85" s="58"/>
      <c r="CM85" s="58"/>
      <c r="CN85" s="58"/>
      <c r="CO85" s="59"/>
      <c r="CP85" s="60"/>
      <c r="CQ85" s="60"/>
      <c r="CR85" s="60"/>
      <c r="CS85" s="60"/>
      <c r="CT85" s="60"/>
      <c r="CU85" s="60"/>
      <c r="CV85" s="60"/>
      <c r="CW85" s="61"/>
      <c r="CX85" s="58"/>
      <c r="CY85" s="58"/>
      <c r="CZ85" s="58"/>
      <c r="DA85" s="59"/>
      <c r="DB85" s="60"/>
      <c r="DC85" s="60"/>
      <c r="DD85" s="60"/>
      <c r="DE85" s="60"/>
      <c r="DF85" s="60"/>
      <c r="DG85" s="60"/>
      <c r="DH85" s="60"/>
      <c r="DI85" s="61"/>
      <c r="DJ85" s="58"/>
      <c r="DK85" s="58"/>
      <c r="DL85" s="58"/>
      <c r="DM85" s="59"/>
      <c r="DN85" s="60"/>
      <c r="DO85" s="60"/>
      <c r="DP85" s="60"/>
      <c r="DQ85" s="60"/>
      <c r="DR85" s="60">
        <f t="shared" ref="DR85" ca="1" si="918">IFERROR($C85*DR83,"")</f>
        <v>0</v>
      </c>
      <c r="DS85" s="60"/>
      <c r="DT85" s="60"/>
      <c r="DU85" s="61"/>
      <c r="DV85" s="58">
        <f t="shared" ref="DV85" ca="1" si="919">IFERROR($C85*DV83,"")</f>
        <v>0</v>
      </c>
      <c r="DW85" s="58"/>
      <c r="DX85" s="58"/>
      <c r="DY85" s="59"/>
      <c r="DZ85" s="60">
        <f t="shared" ref="DZ85" ca="1" si="920">IFERROR($C85*DZ83,"")</f>
        <v>0</v>
      </c>
      <c r="EA85" s="60"/>
      <c r="EB85" s="60"/>
      <c r="EC85" s="60"/>
      <c r="ED85" s="60">
        <f t="shared" ref="ED85" ca="1" si="921">IFERROR($C85*ED83,"")</f>
        <v>0</v>
      </c>
      <c r="EE85" s="60"/>
      <c r="EF85" s="60"/>
      <c r="EG85" s="61"/>
      <c r="EH85" s="58">
        <f t="shared" ref="EH85" ca="1" si="922">IFERROR($C85*EH83,"")</f>
        <v>0</v>
      </c>
      <c r="EI85" s="58"/>
      <c r="EJ85" s="58"/>
      <c r="EK85" s="59"/>
      <c r="EL85" s="60">
        <f t="shared" ref="EL85" ca="1" si="923">IFERROR($C85*EL83,"")</f>
        <v>0</v>
      </c>
      <c r="EM85" s="60"/>
      <c r="EN85" s="60"/>
      <c r="EO85" s="60"/>
      <c r="EP85" s="60">
        <f t="shared" ref="EP85" ca="1" si="924">IFERROR($C85*EP83,"")</f>
        <v>0</v>
      </c>
      <c r="EQ85" s="60"/>
      <c r="ER85" s="60"/>
      <c r="ES85" s="61"/>
    </row>
    <row r="86" spans="2:149" hidden="1" outlineLevel="1" x14ac:dyDescent="0.45">
      <c r="B86" s="72">
        <v>8</v>
      </c>
      <c r="C86" s="19"/>
      <c r="D86" s="20" t="s">
        <v>13</v>
      </c>
      <c r="E86" s="21">
        <f ca="1">SUM(F86:ES86)</f>
        <v>0</v>
      </c>
      <c r="F86" s="74"/>
      <c r="G86" s="67"/>
      <c r="H86" s="67"/>
      <c r="I86" s="67"/>
      <c r="J86" s="67"/>
      <c r="K86" s="67"/>
      <c r="L86" s="67"/>
      <c r="M86" s="67"/>
      <c r="N86" s="68"/>
      <c r="O86" s="70"/>
      <c r="P86" s="70"/>
      <c r="Q86" s="70"/>
      <c r="R86" s="70"/>
      <c r="S86" s="70"/>
      <c r="T86" s="70"/>
      <c r="U86" s="71"/>
      <c r="V86" s="67"/>
      <c r="W86" s="67"/>
      <c r="X86" s="67"/>
      <c r="Y86" s="67"/>
      <c r="Z86" s="67"/>
      <c r="AA86" s="67"/>
      <c r="AB86" s="67"/>
      <c r="AC86" s="68"/>
      <c r="AD86" s="70"/>
      <c r="AE86" s="70"/>
      <c r="AF86" s="70"/>
      <c r="AG86" s="71"/>
      <c r="AH86" s="67"/>
      <c r="AI86" s="67"/>
      <c r="AJ86" s="67"/>
      <c r="AK86" s="67"/>
      <c r="AL86" s="67"/>
      <c r="AM86" s="67"/>
      <c r="AN86" s="67"/>
      <c r="AO86" s="68"/>
      <c r="AP86" s="70"/>
      <c r="AQ86" s="70"/>
      <c r="AR86" s="70"/>
      <c r="AS86" s="71"/>
      <c r="AT86" s="67"/>
      <c r="AU86" s="67"/>
      <c r="AV86" s="67"/>
      <c r="AW86" s="67"/>
      <c r="AX86" s="67"/>
      <c r="AY86" s="67"/>
      <c r="AZ86" s="67"/>
      <c r="BA86" s="68"/>
      <c r="BB86" s="70"/>
      <c r="BC86" s="70"/>
      <c r="BD86" s="70"/>
      <c r="BE86" s="71"/>
      <c r="BF86" s="67"/>
      <c r="BG86" s="67"/>
      <c r="BH86" s="67"/>
      <c r="BI86" s="67"/>
      <c r="BJ86" s="67"/>
      <c r="BK86" s="67"/>
      <c r="BL86" s="67"/>
      <c r="BM86" s="68"/>
      <c r="BN86" s="70"/>
      <c r="BO86" s="70"/>
      <c r="BP86" s="70"/>
      <c r="BQ86" s="71"/>
      <c r="BR86" s="67"/>
      <c r="BS86" s="67"/>
      <c r="BT86" s="67"/>
      <c r="BU86" s="67"/>
      <c r="BV86" s="67"/>
      <c r="BW86" s="67"/>
      <c r="BX86" s="67"/>
      <c r="BY86" s="68"/>
      <c r="BZ86" s="70"/>
      <c r="CA86" s="70"/>
      <c r="CB86" s="70"/>
      <c r="CC86" s="71"/>
      <c r="CD86" s="67"/>
      <c r="CE86" s="67"/>
      <c r="CF86" s="67"/>
      <c r="CG86" s="67"/>
      <c r="CH86" s="67"/>
      <c r="CI86" s="67"/>
      <c r="CJ86" s="67"/>
      <c r="CK86" s="68"/>
      <c r="CL86" s="70"/>
      <c r="CM86" s="70"/>
      <c r="CN86" s="70"/>
      <c r="CO86" s="71"/>
      <c r="CP86" s="67"/>
      <c r="CQ86" s="67"/>
      <c r="CR86" s="67"/>
      <c r="CS86" s="67"/>
      <c r="CT86" s="67"/>
      <c r="CU86" s="67"/>
      <c r="CV86" s="67"/>
      <c r="CW86" s="68"/>
      <c r="CX86" s="70"/>
      <c r="CY86" s="70"/>
      <c r="CZ86" s="70"/>
      <c r="DA86" s="71"/>
      <c r="DB86" s="67"/>
      <c r="DC86" s="67"/>
      <c r="DD86" s="67"/>
      <c r="DE86" s="67"/>
      <c r="DF86" s="67"/>
      <c r="DG86" s="67"/>
      <c r="DH86" s="67"/>
      <c r="DI86" s="68"/>
      <c r="DJ86" s="70"/>
      <c r="DK86" s="70"/>
      <c r="DL86" s="70"/>
      <c r="DM86" s="71"/>
      <c r="DN86" s="67"/>
      <c r="DO86" s="67"/>
      <c r="DP86" s="67"/>
      <c r="DQ86" s="67"/>
      <c r="DR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DS86" s="67"/>
      <c r="DT86" s="67"/>
      <c r="DU86" s="68"/>
      <c r="DV86" s="70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DW86" s="70"/>
      <c r="DX86" s="70"/>
      <c r="DY86" s="71"/>
      <c r="DZ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A86" s="67"/>
      <c r="EB86" s="67"/>
      <c r="EC86" s="67"/>
      <c r="ED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E86" s="67"/>
      <c r="EF86" s="67"/>
      <c r="EG86" s="68"/>
      <c r="EH86" s="70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I86" s="70"/>
      <c r="EJ86" s="70"/>
      <c r="EK86" s="71"/>
      <c r="EL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M86" s="67"/>
      <c r="EN86" s="67"/>
      <c r="EO86" s="67"/>
      <c r="EP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Q86" s="67"/>
      <c r="ER86" s="67"/>
      <c r="ES86" s="68"/>
    </row>
    <row r="87" spans="2:149" hidden="1" outlineLevel="1" x14ac:dyDescent="0.45">
      <c r="B87" s="73"/>
      <c r="C87" s="22">
        <v>1000000</v>
      </c>
      <c r="D87" s="23" t="s">
        <v>23</v>
      </c>
      <c r="E87" s="24">
        <f>SUM(F87:CW87)</f>
        <v>0</v>
      </c>
      <c r="F87" s="69">
        <f>IFERROR($C87*F86,"")</f>
        <v>0</v>
      </c>
      <c r="G87" s="62"/>
      <c r="H87" s="62"/>
      <c r="I87" s="62"/>
      <c r="J87" s="62">
        <f t="shared" ref="J87" si="925">IFERROR($C87*J86,"")</f>
        <v>0</v>
      </c>
      <c r="K87" s="62"/>
      <c r="L87" s="62"/>
      <c r="M87" s="62"/>
      <c r="N87" s="63">
        <f t="shared" ref="N87" si="926">IFERROR($C87*N86,"")</f>
        <v>0</v>
      </c>
      <c r="O87" s="64"/>
      <c r="P87" s="64"/>
      <c r="Q87" s="64"/>
      <c r="R87" s="64">
        <f t="shared" ref="R87" si="927">IFERROR($C87*R86,"")</f>
        <v>0</v>
      </c>
      <c r="S87" s="64"/>
      <c r="T87" s="64"/>
      <c r="U87" s="65"/>
      <c r="V87" s="62">
        <f t="shared" ref="V87" si="928">IFERROR($C87*V86,"")</f>
        <v>0</v>
      </c>
      <c r="W87" s="62"/>
      <c r="X87" s="62"/>
      <c r="Y87" s="62"/>
      <c r="Z87" s="62">
        <f t="shared" ref="Z87" si="929">IFERROR($C87*Z86,"")</f>
        <v>0</v>
      </c>
      <c r="AA87" s="62"/>
      <c r="AB87" s="62"/>
      <c r="AC87" s="63"/>
      <c r="AD87" s="64"/>
      <c r="AE87" s="64"/>
      <c r="AF87" s="64"/>
      <c r="AG87" s="65"/>
      <c r="AH87" s="62"/>
      <c r="AI87" s="62"/>
      <c r="AJ87" s="62"/>
      <c r="AK87" s="62"/>
      <c r="AL87" s="62"/>
      <c r="AM87" s="62"/>
      <c r="AN87" s="62"/>
      <c r="AO87" s="63"/>
      <c r="AP87" s="64"/>
      <c r="AQ87" s="64"/>
      <c r="AR87" s="64"/>
      <c r="AS87" s="65"/>
      <c r="AT87" s="62"/>
      <c r="AU87" s="62"/>
      <c r="AV87" s="62"/>
      <c r="AW87" s="62"/>
      <c r="AX87" s="62"/>
      <c r="AY87" s="62"/>
      <c r="AZ87" s="62"/>
      <c r="BA87" s="63"/>
      <c r="BB87" s="64"/>
      <c r="BC87" s="64"/>
      <c r="BD87" s="64"/>
      <c r="BE87" s="65"/>
      <c r="BF87" s="62"/>
      <c r="BG87" s="62"/>
      <c r="BH87" s="62"/>
      <c r="BI87" s="62"/>
      <c r="BJ87" s="62"/>
      <c r="BK87" s="62"/>
      <c r="BL87" s="62"/>
      <c r="BM87" s="63"/>
      <c r="BN87" s="64"/>
      <c r="BO87" s="64"/>
      <c r="BP87" s="64"/>
      <c r="BQ87" s="65"/>
      <c r="BR87" s="62"/>
      <c r="BS87" s="62"/>
      <c r="BT87" s="62"/>
      <c r="BU87" s="62"/>
      <c r="BV87" s="62"/>
      <c r="BW87" s="62"/>
      <c r="BX87" s="62"/>
      <c r="BY87" s="63"/>
      <c r="BZ87" s="64"/>
      <c r="CA87" s="64"/>
      <c r="CB87" s="64"/>
      <c r="CC87" s="65"/>
      <c r="CD87" s="62"/>
      <c r="CE87" s="62"/>
      <c r="CF87" s="62"/>
      <c r="CG87" s="62"/>
      <c r="CH87" s="62"/>
      <c r="CI87" s="62"/>
      <c r="CJ87" s="62"/>
      <c r="CK87" s="63"/>
      <c r="CL87" s="64"/>
      <c r="CM87" s="64"/>
      <c r="CN87" s="64"/>
      <c r="CO87" s="65"/>
      <c r="CP87" s="62"/>
      <c r="CQ87" s="62"/>
      <c r="CR87" s="62"/>
      <c r="CS87" s="62"/>
      <c r="CT87" s="62"/>
      <c r="CU87" s="62"/>
      <c r="CV87" s="62"/>
      <c r="CW87" s="63"/>
      <c r="CX87" s="64"/>
      <c r="CY87" s="64"/>
      <c r="CZ87" s="64"/>
      <c r="DA87" s="65"/>
      <c r="DB87" s="62"/>
      <c r="DC87" s="62"/>
      <c r="DD87" s="62"/>
      <c r="DE87" s="62"/>
      <c r="DF87" s="62"/>
      <c r="DG87" s="62"/>
      <c r="DH87" s="62"/>
      <c r="DI87" s="63"/>
      <c r="DJ87" s="64"/>
      <c r="DK87" s="64"/>
      <c r="DL87" s="64"/>
      <c r="DM87" s="65"/>
      <c r="DN87" s="62"/>
      <c r="DO87" s="62"/>
      <c r="DP87" s="62"/>
      <c r="DQ87" s="62"/>
      <c r="DR87" s="62">
        <f t="shared" ref="DR87" ca="1" si="930">IFERROR($C87*DR86,"")</f>
        <v>0</v>
      </c>
      <c r="DS87" s="62"/>
      <c r="DT87" s="62"/>
      <c r="DU87" s="63"/>
      <c r="DV87" s="64">
        <f t="shared" ref="DV87" ca="1" si="931">IFERROR($C87*DV86,"")</f>
        <v>0</v>
      </c>
      <c r="DW87" s="64"/>
      <c r="DX87" s="64"/>
      <c r="DY87" s="65"/>
      <c r="DZ87" s="62">
        <f t="shared" ref="DZ87" ca="1" si="932">IFERROR($C87*DZ86,"")</f>
        <v>0</v>
      </c>
      <c r="EA87" s="62"/>
      <c r="EB87" s="62"/>
      <c r="EC87" s="62"/>
      <c r="ED87" s="62">
        <f t="shared" ref="ED87" ca="1" si="933">IFERROR($C87*ED86,"")</f>
        <v>0</v>
      </c>
      <c r="EE87" s="62"/>
      <c r="EF87" s="62"/>
      <c r="EG87" s="63"/>
      <c r="EH87" s="64">
        <f t="shared" ref="EH87" ca="1" si="934">IFERROR($C87*EH86,"")</f>
        <v>0</v>
      </c>
      <c r="EI87" s="64"/>
      <c r="EJ87" s="64"/>
      <c r="EK87" s="65"/>
      <c r="EL87" s="62">
        <f t="shared" ref="EL87" ca="1" si="935">IFERROR($C87*EL86,"")</f>
        <v>0</v>
      </c>
      <c r="EM87" s="62"/>
      <c r="EN87" s="62"/>
      <c r="EO87" s="62"/>
      <c r="EP87" s="62">
        <f t="shared" ref="EP87" ca="1" si="936">IFERROR($C87*EP86,"")</f>
        <v>0</v>
      </c>
      <c r="EQ87" s="62"/>
      <c r="ER87" s="62"/>
      <c r="ES87" s="63"/>
    </row>
    <row r="88" spans="2:149" hidden="1" outlineLevel="1" x14ac:dyDescent="0.45">
      <c r="B88" s="78"/>
      <c r="C88" s="25">
        <v>850000</v>
      </c>
      <c r="D88" s="26" t="s">
        <v>3</v>
      </c>
      <c r="E88" s="27">
        <f>SUM(F88:CW88)</f>
        <v>0</v>
      </c>
      <c r="F88" s="66">
        <f>IFERROR($C88*F86,"")</f>
        <v>0</v>
      </c>
      <c r="G88" s="60"/>
      <c r="H88" s="60"/>
      <c r="I88" s="60"/>
      <c r="J88" s="60">
        <f t="shared" ref="J88" si="937">IFERROR($C88*J86,"")</f>
        <v>0</v>
      </c>
      <c r="K88" s="60"/>
      <c r="L88" s="60"/>
      <c r="M88" s="60"/>
      <c r="N88" s="61">
        <f t="shared" ref="N88" si="938">IFERROR($C88*N86,"")</f>
        <v>0</v>
      </c>
      <c r="O88" s="58"/>
      <c r="P88" s="58"/>
      <c r="Q88" s="58"/>
      <c r="R88" s="58">
        <f t="shared" ref="R88" si="939">IFERROR($C88*R86,"")</f>
        <v>0</v>
      </c>
      <c r="S88" s="58"/>
      <c r="T88" s="58"/>
      <c r="U88" s="59"/>
      <c r="V88" s="60">
        <f t="shared" ref="V88" si="940">IFERROR($C88*V86,"")</f>
        <v>0</v>
      </c>
      <c r="W88" s="60"/>
      <c r="X88" s="60"/>
      <c r="Y88" s="60"/>
      <c r="Z88" s="60">
        <f t="shared" ref="Z88" si="941">IFERROR($C88*Z86,"")</f>
        <v>0</v>
      </c>
      <c r="AA88" s="60"/>
      <c r="AB88" s="60"/>
      <c r="AC88" s="61"/>
      <c r="AD88" s="58"/>
      <c r="AE88" s="58"/>
      <c r="AF88" s="58"/>
      <c r="AG88" s="59"/>
      <c r="AH88" s="60"/>
      <c r="AI88" s="60"/>
      <c r="AJ88" s="60"/>
      <c r="AK88" s="60"/>
      <c r="AL88" s="60"/>
      <c r="AM88" s="60"/>
      <c r="AN88" s="60"/>
      <c r="AO88" s="61"/>
      <c r="AP88" s="58"/>
      <c r="AQ88" s="58"/>
      <c r="AR88" s="58"/>
      <c r="AS88" s="59"/>
      <c r="AT88" s="60"/>
      <c r="AU88" s="60"/>
      <c r="AV88" s="60"/>
      <c r="AW88" s="60"/>
      <c r="AX88" s="60"/>
      <c r="AY88" s="60"/>
      <c r="AZ88" s="60"/>
      <c r="BA88" s="61"/>
      <c r="BB88" s="58"/>
      <c r="BC88" s="58"/>
      <c r="BD88" s="58"/>
      <c r="BE88" s="59"/>
      <c r="BF88" s="60"/>
      <c r="BG88" s="60"/>
      <c r="BH88" s="60"/>
      <c r="BI88" s="60"/>
      <c r="BJ88" s="60"/>
      <c r="BK88" s="60"/>
      <c r="BL88" s="60"/>
      <c r="BM88" s="61"/>
      <c r="BN88" s="58"/>
      <c r="BO88" s="58"/>
      <c r="BP88" s="58"/>
      <c r="BQ88" s="59"/>
      <c r="BR88" s="60"/>
      <c r="BS88" s="60"/>
      <c r="BT88" s="60"/>
      <c r="BU88" s="60"/>
      <c r="BV88" s="60"/>
      <c r="BW88" s="60"/>
      <c r="BX88" s="60"/>
      <c r="BY88" s="61"/>
      <c r="BZ88" s="58"/>
      <c r="CA88" s="58"/>
      <c r="CB88" s="58"/>
      <c r="CC88" s="59"/>
      <c r="CD88" s="60"/>
      <c r="CE88" s="60"/>
      <c r="CF88" s="60"/>
      <c r="CG88" s="60"/>
      <c r="CH88" s="60"/>
      <c r="CI88" s="60"/>
      <c r="CJ88" s="60"/>
      <c r="CK88" s="61"/>
      <c r="CL88" s="58"/>
      <c r="CM88" s="58"/>
      <c r="CN88" s="58"/>
      <c r="CO88" s="59"/>
      <c r="CP88" s="60"/>
      <c r="CQ88" s="60"/>
      <c r="CR88" s="60"/>
      <c r="CS88" s="60"/>
      <c r="CT88" s="60"/>
      <c r="CU88" s="60"/>
      <c r="CV88" s="60"/>
      <c r="CW88" s="61"/>
      <c r="CX88" s="58"/>
      <c r="CY88" s="58"/>
      <c r="CZ88" s="58"/>
      <c r="DA88" s="59"/>
      <c r="DB88" s="60"/>
      <c r="DC88" s="60"/>
      <c r="DD88" s="60"/>
      <c r="DE88" s="60"/>
      <c r="DF88" s="60"/>
      <c r="DG88" s="60"/>
      <c r="DH88" s="60"/>
      <c r="DI88" s="61"/>
      <c r="DJ88" s="58"/>
      <c r="DK88" s="58"/>
      <c r="DL88" s="58"/>
      <c r="DM88" s="59"/>
      <c r="DN88" s="60"/>
      <c r="DO88" s="60"/>
      <c r="DP88" s="60"/>
      <c r="DQ88" s="60"/>
      <c r="DR88" s="60">
        <f t="shared" ref="DR88" ca="1" si="942">IFERROR($C88*DR86,"")</f>
        <v>0</v>
      </c>
      <c r="DS88" s="60"/>
      <c r="DT88" s="60"/>
      <c r="DU88" s="61"/>
      <c r="DV88" s="58">
        <f t="shared" ref="DV88" ca="1" si="943">IFERROR($C88*DV86,"")</f>
        <v>0</v>
      </c>
      <c r="DW88" s="58"/>
      <c r="DX88" s="58"/>
      <c r="DY88" s="59"/>
      <c r="DZ88" s="60">
        <f t="shared" ref="DZ88" ca="1" si="944">IFERROR($C88*DZ86,"")</f>
        <v>0</v>
      </c>
      <c r="EA88" s="60"/>
      <c r="EB88" s="60"/>
      <c r="EC88" s="60"/>
      <c r="ED88" s="60">
        <f t="shared" ref="ED88" ca="1" si="945">IFERROR($C88*ED86,"")</f>
        <v>0</v>
      </c>
      <c r="EE88" s="60"/>
      <c r="EF88" s="60"/>
      <c r="EG88" s="61"/>
      <c r="EH88" s="58">
        <f t="shared" ref="EH88" ca="1" si="946">IFERROR($C88*EH86,"")</f>
        <v>0</v>
      </c>
      <c r="EI88" s="58"/>
      <c r="EJ88" s="58"/>
      <c r="EK88" s="59"/>
      <c r="EL88" s="60">
        <f t="shared" ref="EL88" ca="1" si="947">IFERROR($C88*EL86,"")</f>
        <v>0</v>
      </c>
      <c r="EM88" s="60"/>
      <c r="EN88" s="60"/>
      <c r="EO88" s="60"/>
      <c r="EP88" s="60">
        <f t="shared" ref="EP88" ca="1" si="948">IFERROR($C88*EP86,"")</f>
        <v>0</v>
      </c>
      <c r="EQ88" s="60"/>
      <c r="ER88" s="60"/>
      <c r="ES88" s="61"/>
    </row>
    <row r="89" spans="2:149" hidden="1" outlineLevel="1" x14ac:dyDescent="0.45">
      <c r="B89" s="72">
        <v>9</v>
      </c>
      <c r="C89" s="19"/>
      <c r="D89" s="20" t="s">
        <v>13</v>
      </c>
      <c r="E89" s="21">
        <f ca="1">SUM(F89:ES89)</f>
        <v>0</v>
      </c>
      <c r="F89" s="74"/>
      <c r="G89" s="67"/>
      <c r="H89" s="67"/>
      <c r="I89" s="67"/>
      <c r="J89" s="67"/>
      <c r="K89" s="67"/>
      <c r="L89" s="67"/>
      <c r="M89" s="67"/>
      <c r="N89" s="68"/>
      <c r="O89" s="70"/>
      <c r="P89" s="70"/>
      <c r="Q89" s="70"/>
      <c r="R89" s="70"/>
      <c r="S89" s="70"/>
      <c r="T89" s="70"/>
      <c r="U89" s="71"/>
      <c r="V89" s="67"/>
      <c r="W89" s="67"/>
      <c r="X89" s="67"/>
      <c r="Y89" s="67"/>
      <c r="Z89" s="67"/>
      <c r="AA89" s="67"/>
      <c r="AB89" s="67"/>
      <c r="AC89" s="68"/>
      <c r="AD89" s="70"/>
      <c r="AE89" s="70"/>
      <c r="AF89" s="70"/>
      <c r="AG89" s="71"/>
      <c r="AH89" s="67"/>
      <c r="AI89" s="67"/>
      <c r="AJ89" s="67"/>
      <c r="AK89" s="67"/>
      <c r="AL89" s="67"/>
      <c r="AM89" s="67"/>
      <c r="AN89" s="67"/>
      <c r="AO89" s="68"/>
      <c r="AP89" s="70"/>
      <c r="AQ89" s="70"/>
      <c r="AR89" s="70"/>
      <c r="AS89" s="71"/>
      <c r="AT89" s="67"/>
      <c r="AU89" s="67"/>
      <c r="AV89" s="67"/>
      <c r="AW89" s="67"/>
      <c r="AX89" s="67"/>
      <c r="AY89" s="67"/>
      <c r="AZ89" s="67"/>
      <c r="BA89" s="68"/>
      <c r="BB89" s="70"/>
      <c r="BC89" s="70"/>
      <c r="BD89" s="70"/>
      <c r="BE89" s="71"/>
      <c r="BF89" s="67"/>
      <c r="BG89" s="67"/>
      <c r="BH89" s="67"/>
      <c r="BI89" s="67"/>
      <c r="BJ89" s="67"/>
      <c r="BK89" s="67"/>
      <c r="BL89" s="67"/>
      <c r="BM89" s="68"/>
      <c r="BN89" s="70"/>
      <c r="BO89" s="70"/>
      <c r="BP89" s="70"/>
      <c r="BQ89" s="71"/>
      <c r="BR89" s="67"/>
      <c r="BS89" s="67"/>
      <c r="BT89" s="67"/>
      <c r="BU89" s="67"/>
      <c r="BV89" s="67"/>
      <c r="BW89" s="67"/>
      <c r="BX89" s="67"/>
      <c r="BY89" s="68"/>
      <c r="BZ89" s="70"/>
      <c r="CA89" s="70"/>
      <c r="CB89" s="70"/>
      <c r="CC89" s="71"/>
      <c r="CD89" s="67"/>
      <c r="CE89" s="67"/>
      <c r="CF89" s="67"/>
      <c r="CG89" s="67"/>
      <c r="CH89" s="67"/>
      <c r="CI89" s="67"/>
      <c r="CJ89" s="67"/>
      <c r="CK89" s="68"/>
      <c r="CL89" s="70"/>
      <c r="CM89" s="70"/>
      <c r="CN89" s="70"/>
      <c r="CO89" s="71"/>
      <c r="CP89" s="67"/>
      <c r="CQ89" s="67"/>
      <c r="CR89" s="67"/>
      <c r="CS89" s="67"/>
      <c r="CT89" s="67"/>
      <c r="CU89" s="67"/>
      <c r="CV89" s="67"/>
      <c r="CW89" s="68"/>
      <c r="CX89" s="70"/>
      <c r="CY89" s="70"/>
      <c r="CZ89" s="70"/>
      <c r="DA89" s="71"/>
      <c r="DB89" s="67"/>
      <c r="DC89" s="67"/>
      <c r="DD89" s="67"/>
      <c r="DE89" s="67"/>
      <c r="DF89" s="67"/>
      <c r="DG89" s="67"/>
      <c r="DH89" s="67"/>
      <c r="DI89" s="68"/>
      <c r="DJ89" s="70"/>
      <c r="DK89" s="70"/>
      <c r="DL89" s="70"/>
      <c r="DM89" s="71"/>
      <c r="DN89" s="67"/>
      <c r="DO89" s="67"/>
      <c r="DP89" s="67"/>
      <c r="DQ89" s="67"/>
      <c r="DR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DS89" s="67"/>
      <c r="DT89" s="67"/>
      <c r="DU89" s="68"/>
      <c r="DV89" s="70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DW89" s="70"/>
      <c r="DX89" s="70"/>
      <c r="DY89" s="71"/>
      <c r="DZ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A89" s="67"/>
      <c r="EB89" s="67"/>
      <c r="EC89" s="67"/>
      <c r="ED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E89" s="67"/>
      <c r="EF89" s="67"/>
      <c r="EG89" s="68"/>
      <c r="EH89" s="70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I89" s="70"/>
      <c r="EJ89" s="70"/>
      <c r="EK89" s="71"/>
      <c r="EL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M89" s="67"/>
      <c r="EN89" s="67"/>
      <c r="EO89" s="67"/>
      <c r="EP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Q89" s="67"/>
      <c r="ER89" s="67"/>
      <c r="ES89" s="68"/>
    </row>
    <row r="90" spans="2:149" hidden="1" outlineLevel="1" x14ac:dyDescent="0.45">
      <c r="B90" s="73"/>
      <c r="C90" s="22">
        <v>1000000</v>
      </c>
      <c r="D90" s="23" t="s">
        <v>23</v>
      </c>
      <c r="E90" s="24">
        <f>SUM(F90:CW90)</f>
        <v>0</v>
      </c>
      <c r="F90" s="69">
        <f>IFERROR($C90*F89,"")</f>
        <v>0</v>
      </c>
      <c r="G90" s="62"/>
      <c r="H90" s="62"/>
      <c r="I90" s="62"/>
      <c r="J90" s="62">
        <f t="shared" ref="J90" si="949">IFERROR($C90*J89,"")</f>
        <v>0</v>
      </c>
      <c r="K90" s="62"/>
      <c r="L90" s="62"/>
      <c r="M90" s="62"/>
      <c r="N90" s="63">
        <f t="shared" ref="N90" si="950">IFERROR($C90*N89,"")</f>
        <v>0</v>
      </c>
      <c r="O90" s="64"/>
      <c r="P90" s="64"/>
      <c r="Q90" s="64"/>
      <c r="R90" s="64">
        <f t="shared" ref="R90" si="951">IFERROR($C90*R89,"")</f>
        <v>0</v>
      </c>
      <c r="S90" s="64"/>
      <c r="T90" s="64"/>
      <c r="U90" s="65"/>
      <c r="V90" s="62">
        <f t="shared" ref="V90" si="952">IFERROR($C90*V89,"")</f>
        <v>0</v>
      </c>
      <c r="W90" s="62"/>
      <c r="X90" s="62"/>
      <c r="Y90" s="62"/>
      <c r="Z90" s="62">
        <f t="shared" ref="Z90" si="953">IFERROR($C90*Z89,"")</f>
        <v>0</v>
      </c>
      <c r="AA90" s="62"/>
      <c r="AB90" s="62"/>
      <c r="AC90" s="63"/>
      <c r="AD90" s="64"/>
      <c r="AE90" s="64"/>
      <c r="AF90" s="64"/>
      <c r="AG90" s="65"/>
      <c r="AH90" s="62"/>
      <c r="AI90" s="62"/>
      <c r="AJ90" s="62"/>
      <c r="AK90" s="62"/>
      <c r="AL90" s="62"/>
      <c r="AM90" s="62"/>
      <c r="AN90" s="62"/>
      <c r="AO90" s="63"/>
      <c r="AP90" s="64"/>
      <c r="AQ90" s="64"/>
      <c r="AR90" s="64"/>
      <c r="AS90" s="65"/>
      <c r="AT90" s="62"/>
      <c r="AU90" s="62"/>
      <c r="AV90" s="62"/>
      <c r="AW90" s="62"/>
      <c r="AX90" s="62"/>
      <c r="AY90" s="62"/>
      <c r="AZ90" s="62"/>
      <c r="BA90" s="63"/>
      <c r="BB90" s="64"/>
      <c r="BC90" s="64"/>
      <c r="BD90" s="64"/>
      <c r="BE90" s="65"/>
      <c r="BF90" s="62"/>
      <c r="BG90" s="62"/>
      <c r="BH90" s="62"/>
      <c r="BI90" s="62"/>
      <c r="BJ90" s="62"/>
      <c r="BK90" s="62"/>
      <c r="BL90" s="62"/>
      <c r="BM90" s="63"/>
      <c r="BN90" s="64"/>
      <c r="BO90" s="64"/>
      <c r="BP90" s="64"/>
      <c r="BQ90" s="65"/>
      <c r="BR90" s="62"/>
      <c r="BS90" s="62"/>
      <c r="BT90" s="62"/>
      <c r="BU90" s="62"/>
      <c r="BV90" s="62"/>
      <c r="BW90" s="62"/>
      <c r="BX90" s="62"/>
      <c r="BY90" s="63"/>
      <c r="BZ90" s="64"/>
      <c r="CA90" s="64"/>
      <c r="CB90" s="64"/>
      <c r="CC90" s="65"/>
      <c r="CD90" s="62"/>
      <c r="CE90" s="62"/>
      <c r="CF90" s="62"/>
      <c r="CG90" s="62"/>
      <c r="CH90" s="62"/>
      <c r="CI90" s="62"/>
      <c r="CJ90" s="62"/>
      <c r="CK90" s="63"/>
      <c r="CL90" s="64"/>
      <c r="CM90" s="64"/>
      <c r="CN90" s="64"/>
      <c r="CO90" s="65"/>
      <c r="CP90" s="62"/>
      <c r="CQ90" s="62"/>
      <c r="CR90" s="62"/>
      <c r="CS90" s="62"/>
      <c r="CT90" s="62"/>
      <c r="CU90" s="62"/>
      <c r="CV90" s="62"/>
      <c r="CW90" s="63"/>
      <c r="CX90" s="64"/>
      <c r="CY90" s="64"/>
      <c r="CZ90" s="64"/>
      <c r="DA90" s="65"/>
      <c r="DB90" s="62"/>
      <c r="DC90" s="62"/>
      <c r="DD90" s="62"/>
      <c r="DE90" s="62"/>
      <c r="DF90" s="62"/>
      <c r="DG90" s="62"/>
      <c r="DH90" s="62"/>
      <c r="DI90" s="63"/>
      <c r="DJ90" s="64"/>
      <c r="DK90" s="64"/>
      <c r="DL90" s="64"/>
      <c r="DM90" s="65"/>
      <c r="DN90" s="62"/>
      <c r="DO90" s="62"/>
      <c r="DP90" s="62"/>
      <c r="DQ90" s="62"/>
      <c r="DR90" s="62">
        <f t="shared" ref="DR90" ca="1" si="954">IFERROR($C90*DR89,"")</f>
        <v>0</v>
      </c>
      <c r="DS90" s="62"/>
      <c r="DT90" s="62"/>
      <c r="DU90" s="63"/>
      <c r="DV90" s="64">
        <f t="shared" ref="DV90" ca="1" si="955">IFERROR($C90*DV89,"")</f>
        <v>0</v>
      </c>
      <c r="DW90" s="64"/>
      <c r="DX90" s="64"/>
      <c r="DY90" s="65"/>
      <c r="DZ90" s="62">
        <f t="shared" ref="DZ90" ca="1" si="956">IFERROR($C90*DZ89,"")</f>
        <v>0</v>
      </c>
      <c r="EA90" s="62"/>
      <c r="EB90" s="62"/>
      <c r="EC90" s="62"/>
      <c r="ED90" s="62">
        <f t="shared" ref="ED90" ca="1" si="957">IFERROR($C90*ED89,"")</f>
        <v>0</v>
      </c>
      <c r="EE90" s="62"/>
      <c r="EF90" s="62"/>
      <c r="EG90" s="63"/>
      <c r="EH90" s="64">
        <f t="shared" ref="EH90" ca="1" si="958">IFERROR($C90*EH89,"")</f>
        <v>0</v>
      </c>
      <c r="EI90" s="64"/>
      <c r="EJ90" s="64"/>
      <c r="EK90" s="65"/>
      <c r="EL90" s="62">
        <f t="shared" ref="EL90" ca="1" si="959">IFERROR($C90*EL89,"")</f>
        <v>0</v>
      </c>
      <c r="EM90" s="62"/>
      <c r="EN90" s="62"/>
      <c r="EO90" s="62"/>
      <c r="EP90" s="62">
        <f t="shared" ref="EP90" ca="1" si="960">IFERROR($C90*EP89,"")</f>
        <v>0</v>
      </c>
      <c r="EQ90" s="62"/>
      <c r="ER90" s="62"/>
      <c r="ES90" s="63"/>
    </row>
    <row r="91" spans="2:149" hidden="1" outlineLevel="1" x14ac:dyDescent="0.45">
      <c r="B91" s="78"/>
      <c r="C91" s="25">
        <v>850000</v>
      </c>
      <c r="D91" s="26" t="s">
        <v>3</v>
      </c>
      <c r="E91" s="27">
        <f>SUM(F91:CW91)</f>
        <v>0</v>
      </c>
      <c r="F91" s="66">
        <f>IFERROR($C91*F89,"")</f>
        <v>0</v>
      </c>
      <c r="G91" s="60"/>
      <c r="H91" s="60"/>
      <c r="I91" s="60"/>
      <c r="J91" s="60">
        <f t="shared" ref="J91" si="961">IFERROR($C91*J89,"")</f>
        <v>0</v>
      </c>
      <c r="K91" s="60"/>
      <c r="L91" s="60"/>
      <c r="M91" s="60"/>
      <c r="N91" s="61">
        <f t="shared" ref="N91" si="962">IFERROR($C91*N89,"")</f>
        <v>0</v>
      </c>
      <c r="O91" s="58"/>
      <c r="P91" s="58"/>
      <c r="Q91" s="58"/>
      <c r="R91" s="58">
        <f t="shared" ref="R91" si="963">IFERROR($C91*R89,"")</f>
        <v>0</v>
      </c>
      <c r="S91" s="58"/>
      <c r="T91" s="58"/>
      <c r="U91" s="59"/>
      <c r="V91" s="60">
        <f t="shared" ref="V91" si="964">IFERROR($C91*V89,"")</f>
        <v>0</v>
      </c>
      <c r="W91" s="60"/>
      <c r="X91" s="60"/>
      <c r="Y91" s="60"/>
      <c r="Z91" s="60">
        <f t="shared" ref="Z91" si="965">IFERROR($C91*Z89,"")</f>
        <v>0</v>
      </c>
      <c r="AA91" s="60"/>
      <c r="AB91" s="60"/>
      <c r="AC91" s="61"/>
      <c r="AD91" s="58"/>
      <c r="AE91" s="58"/>
      <c r="AF91" s="58"/>
      <c r="AG91" s="59"/>
      <c r="AH91" s="60"/>
      <c r="AI91" s="60"/>
      <c r="AJ91" s="60"/>
      <c r="AK91" s="60"/>
      <c r="AL91" s="60"/>
      <c r="AM91" s="60"/>
      <c r="AN91" s="60"/>
      <c r="AO91" s="61"/>
      <c r="AP91" s="58"/>
      <c r="AQ91" s="58"/>
      <c r="AR91" s="58"/>
      <c r="AS91" s="59"/>
      <c r="AT91" s="60"/>
      <c r="AU91" s="60"/>
      <c r="AV91" s="60"/>
      <c r="AW91" s="60"/>
      <c r="AX91" s="60"/>
      <c r="AY91" s="60"/>
      <c r="AZ91" s="60"/>
      <c r="BA91" s="61"/>
      <c r="BB91" s="58"/>
      <c r="BC91" s="58"/>
      <c r="BD91" s="58"/>
      <c r="BE91" s="59"/>
      <c r="BF91" s="60"/>
      <c r="BG91" s="60"/>
      <c r="BH91" s="60"/>
      <c r="BI91" s="60"/>
      <c r="BJ91" s="60"/>
      <c r="BK91" s="60"/>
      <c r="BL91" s="60"/>
      <c r="BM91" s="61"/>
      <c r="BN91" s="58"/>
      <c r="BO91" s="58"/>
      <c r="BP91" s="58"/>
      <c r="BQ91" s="59"/>
      <c r="BR91" s="60"/>
      <c r="BS91" s="60"/>
      <c r="BT91" s="60"/>
      <c r="BU91" s="60"/>
      <c r="BV91" s="60"/>
      <c r="BW91" s="60"/>
      <c r="BX91" s="60"/>
      <c r="BY91" s="61"/>
      <c r="BZ91" s="58"/>
      <c r="CA91" s="58"/>
      <c r="CB91" s="58"/>
      <c r="CC91" s="59"/>
      <c r="CD91" s="60"/>
      <c r="CE91" s="60"/>
      <c r="CF91" s="60"/>
      <c r="CG91" s="60"/>
      <c r="CH91" s="60"/>
      <c r="CI91" s="60"/>
      <c r="CJ91" s="60"/>
      <c r="CK91" s="61"/>
      <c r="CL91" s="58"/>
      <c r="CM91" s="58"/>
      <c r="CN91" s="58"/>
      <c r="CO91" s="59"/>
      <c r="CP91" s="60"/>
      <c r="CQ91" s="60"/>
      <c r="CR91" s="60"/>
      <c r="CS91" s="60"/>
      <c r="CT91" s="60"/>
      <c r="CU91" s="60"/>
      <c r="CV91" s="60"/>
      <c r="CW91" s="61"/>
      <c r="CX91" s="58"/>
      <c r="CY91" s="58"/>
      <c r="CZ91" s="58"/>
      <c r="DA91" s="59"/>
      <c r="DB91" s="60"/>
      <c r="DC91" s="60"/>
      <c r="DD91" s="60"/>
      <c r="DE91" s="60"/>
      <c r="DF91" s="60"/>
      <c r="DG91" s="60"/>
      <c r="DH91" s="60"/>
      <c r="DI91" s="61"/>
      <c r="DJ91" s="58"/>
      <c r="DK91" s="58"/>
      <c r="DL91" s="58"/>
      <c r="DM91" s="59"/>
      <c r="DN91" s="60"/>
      <c r="DO91" s="60"/>
      <c r="DP91" s="60"/>
      <c r="DQ91" s="60"/>
      <c r="DR91" s="60">
        <f t="shared" ref="DR91" ca="1" si="966">IFERROR($C91*DR89,"")</f>
        <v>0</v>
      </c>
      <c r="DS91" s="60"/>
      <c r="DT91" s="60"/>
      <c r="DU91" s="61"/>
      <c r="DV91" s="58">
        <f t="shared" ref="DV91" ca="1" si="967">IFERROR($C91*DV89,"")</f>
        <v>0</v>
      </c>
      <c r="DW91" s="58"/>
      <c r="DX91" s="58"/>
      <c r="DY91" s="59"/>
      <c r="DZ91" s="60">
        <f t="shared" ref="DZ91" ca="1" si="968">IFERROR($C91*DZ89,"")</f>
        <v>0</v>
      </c>
      <c r="EA91" s="60"/>
      <c r="EB91" s="60"/>
      <c r="EC91" s="60"/>
      <c r="ED91" s="60">
        <f t="shared" ref="ED91" ca="1" si="969">IFERROR($C91*ED89,"")</f>
        <v>0</v>
      </c>
      <c r="EE91" s="60"/>
      <c r="EF91" s="60"/>
      <c r="EG91" s="61"/>
      <c r="EH91" s="58">
        <f t="shared" ref="EH91" ca="1" si="970">IFERROR($C91*EH89,"")</f>
        <v>0</v>
      </c>
      <c r="EI91" s="58"/>
      <c r="EJ91" s="58"/>
      <c r="EK91" s="59"/>
      <c r="EL91" s="60">
        <f t="shared" ref="EL91" ca="1" si="971">IFERROR($C91*EL89,"")</f>
        <v>0</v>
      </c>
      <c r="EM91" s="60"/>
      <c r="EN91" s="60"/>
      <c r="EO91" s="60"/>
      <c r="EP91" s="60">
        <f t="shared" ref="EP91" ca="1" si="972">IFERROR($C91*EP89,"")</f>
        <v>0</v>
      </c>
      <c r="EQ91" s="60"/>
      <c r="ER91" s="60"/>
      <c r="ES91" s="61"/>
    </row>
    <row r="92" spans="2:149" hidden="1" outlineLevel="1" x14ac:dyDescent="0.45">
      <c r="B92" s="72">
        <v>10</v>
      </c>
      <c r="C92" s="19"/>
      <c r="D92" s="20" t="s">
        <v>13</v>
      </c>
      <c r="E92" s="21">
        <f ca="1">SUM(F92:ES92)</f>
        <v>0</v>
      </c>
      <c r="F92" s="74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G92" s="67"/>
      <c r="H92" s="67"/>
      <c r="I92" s="67"/>
      <c r="J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K92" s="67"/>
      <c r="L92" s="67"/>
      <c r="M92" s="67"/>
      <c r="N92" s="68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O92" s="70"/>
      <c r="P92" s="70"/>
      <c r="Q92" s="70"/>
      <c r="R92" s="70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S92" s="70"/>
      <c r="T92" s="70"/>
      <c r="U92" s="71"/>
      <c r="V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W92" s="67"/>
      <c r="X92" s="67"/>
      <c r="Y92" s="67"/>
      <c r="Z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AA92" s="67"/>
      <c r="AB92" s="67"/>
      <c r="AC92" s="68"/>
      <c r="AD92" s="70"/>
      <c r="AE92" s="70"/>
      <c r="AF92" s="70"/>
      <c r="AG92" s="71"/>
      <c r="AH92" s="67"/>
      <c r="AI92" s="67"/>
      <c r="AJ92" s="67"/>
      <c r="AK92" s="67"/>
      <c r="AL92" s="67"/>
      <c r="AM92" s="67"/>
      <c r="AN92" s="67"/>
      <c r="AO92" s="68"/>
      <c r="AP92" s="70"/>
      <c r="AQ92" s="70"/>
      <c r="AR92" s="70"/>
      <c r="AS92" s="71"/>
      <c r="AT92" s="67"/>
      <c r="AU92" s="67"/>
      <c r="AV92" s="67"/>
      <c r="AW92" s="67"/>
      <c r="AX92" s="67"/>
      <c r="AY92" s="67"/>
      <c r="AZ92" s="67"/>
      <c r="BA92" s="68"/>
      <c r="BB92" s="70"/>
      <c r="BC92" s="70"/>
      <c r="BD92" s="70"/>
      <c r="BE92" s="71"/>
      <c r="BF92" s="67"/>
      <c r="BG92" s="67"/>
      <c r="BH92" s="67"/>
      <c r="BI92" s="67"/>
      <c r="BJ92" s="67"/>
      <c r="BK92" s="67"/>
      <c r="BL92" s="67"/>
      <c r="BM92" s="68"/>
      <c r="BN92" s="70"/>
      <c r="BO92" s="70"/>
      <c r="BP92" s="70"/>
      <c r="BQ92" s="71"/>
      <c r="BR92" s="67"/>
      <c r="BS92" s="67"/>
      <c r="BT92" s="67"/>
      <c r="BU92" s="67"/>
      <c r="BV92" s="67"/>
      <c r="BW92" s="67"/>
      <c r="BX92" s="67"/>
      <c r="BY92" s="68"/>
      <c r="BZ92" s="70"/>
      <c r="CA92" s="70"/>
      <c r="CB92" s="70"/>
      <c r="CC92" s="71"/>
      <c r="CD92" s="67"/>
      <c r="CE92" s="67"/>
      <c r="CF92" s="67"/>
      <c r="CG92" s="67"/>
      <c r="CH92" s="67"/>
      <c r="CI92" s="67"/>
      <c r="CJ92" s="67"/>
      <c r="CK92" s="68"/>
      <c r="CL92" s="70"/>
      <c r="CM92" s="70"/>
      <c r="CN92" s="70"/>
      <c r="CO92" s="71"/>
      <c r="CP92" s="67"/>
      <c r="CQ92" s="67"/>
      <c r="CR92" s="67"/>
      <c r="CS92" s="67"/>
      <c r="CT92" s="67"/>
      <c r="CU92" s="67"/>
      <c r="CV92" s="67"/>
      <c r="CW92" s="68"/>
      <c r="CX92" s="70"/>
      <c r="CY92" s="70"/>
      <c r="CZ92" s="70"/>
      <c r="DA92" s="71"/>
      <c r="DB92" s="67"/>
      <c r="DC92" s="67"/>
      <c r="DD92" s="67"/>
      <c r="DE92" s="67"/>
      <c r="DF92" s="67"/>
      <c r="DG92" s="67"/>
      <c r="DH92" s="67"/>
      <c r="DI92" s="68"/>
      <c r="DJ92" s="70"/>
      <c r="DK92" s="70"/>
      <c r="DL92" s="70"/>
      <c r="DM92" s="71"/>
      <c r="DN92" s="67"/>
      <c r="DO92" s="67"/>
      <c r="DP92" s="67"/>
      <c r="DQ92" s="67"/>
      <c r="DR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DS92" s="67"/>
      <c r="DT92" s="67"/>
      <c r="DU92" s="68"/>
      <c r="DV92" s="70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DW92" s="70"/>
      <c r="DX92" s="70"/>
      <c r="DY92" s="71"/>
      <c r="DZ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A92" s="67"/>
      <c r="EB92" s="67"/>
      <c r="EC92" s="67"/>
      <c r="ED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E92" s="67"/>
      <c r="EF92" s="67"/>
      <c r="EG92" s="68"/>
      <c r="EH92" s="70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I92" s="70"/>
      <c r="EJ92" s="70"/>
      <c r="EK92" s="71"/>
      <c r="EL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M92" s="67"/>
      <c r="EN92" s="67"/>
      <c r="EO92" s="67"/>
      <c r="EP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Q92" s="67"/>
      <c r="ER92" s="67"/>
      <c r="ES92" s="68"/>
    </row>
    <row r="93" spans="2:149" hidden="1" outlineLevel="1" x14ac:dyDescent="0.45">
      <c r="B93" s="73"/>
      <c r="C93" s="22">
        <v>1000000</v>
      </c>
      <c r="D93" s="23" t="s">
        <v>23</v>
      </c>
      <c r="E93" s="24">
        <f ca="1">SUM(F93:CW93)</f>
        <v>0</v>
      </c>
      <c r="F93" s="69">
        <f ca="1">IFERROR($C93*F92,"")</f>
        <v>0</v>
      </c>
      <c r="G93" s="62"/>
      <c r="H93" s="62"/>
      <c r="I93" s="62"/>
      <c r="J93" s="62">
        <f t="shared" ref="J93" ca="1" si="973">IFERROR($C93*J92,"")</f>
        <v>0</v>
      </c>
      <c r="K93" s="62"/>
      <c r="L93" s="62"/>
      <c r="M93" s="62"/>
      <c r="N93" s="63">
        <f t="shared" ref="N93" ca="1" si="974">IFERROR($C93*N92,"")</f>
        <v>0</v>
      </c>
      <c r="O93" s="64"/>
      <c r="P93" s="64"/>
      <c r="Q93" s="64"/>
      <c r="R93" s="64">
        <f t="shared" ref="R93" ca="1" si="975">IFERROR($C93*R92,"")</f>
        <v>0</v>
      </c>
      <c r="S93" s="64"/>
      <c r="T93" s="64"/>
      <c r="U93" s="65"/>
      <c r="V93" s="62">
        <f t="shared" ref="V93" ca="1" si="976">IFERROR($C93*V92,"")</f>
        <v>0</v>
      </c>
      <c r="W93" s="62"/>
      <c r="X93" s="62"/>
      <c r="Y93" s="62"/>
      <c r="Z93" s="62">
        <f t="shared" ref="Z93" ca="1" si="977">IFERROR($C93*Z92,"")</f>
        <v>0</v>
      </c>
      <c r="AA93" s="62"/>
      <c r="AB93" s="62"/>
      <c r="AC93" s="63"/>
      <c r="AD93" s="64"/>
      <c r="AE93" s="64"/>
      <c r="AF93" s="64"/>
      <c r="AG93" s="65"/>
      <c r="AH93" s="62"/>
      <c r="AI93" s="62"/>
      <c r="AJ93" s="62"/>
      <c r="AK93" s="62"/>
      <c r="AL93" s="62"/>
      <c r="AM93" s="62"/>
      <c r="AN93" s="62"/>
      <c r="AO93" s="63"/>
      <c r="AP93" s="64"/>
      <c r="AQ93" s="64"/>
      <c r="AR93" s="64"/>
      <c r="AS93" s="65"/>
      <c r="AT93" s="62"/>
      <c r="AU93" s="62"/>
      <c r="AV93" s="62"/>
      <c r="AW93" s="62"/>
      <c r="AX93" s="62"/>
      <c r="AY93" s="62"/>
      <c r="AZ93" s="62"/>
      <c r="BA93" s="63"/>
      <c r="BB93" s="64"/>
      <c r="BC93" s="64"/>
      <c r="BD93" s="64"/>
      <c r="BE93" s="65"/>
      <c r="BF93" s="62"/>
      <c r="BG93" s="62"/>
      <c r="BH93" s="62"/>
      <c r="BI93" s="62"/>
      <c r="BJ93" s="62"/>
      <c r="BK93" s="62"/>
      <c r="BL93" s="62"/>
      <c r="BM93" s="63"/>
      <c r="BN93" s="64"/>
      <c r="BO93" s="64"/>
      <c r="BP93" s="64"/>
      <c r="BQ93" s="65"/>
      <c r="BR93" s="62"/>
      <c r="BS93" s="62"/>
      <c r="BT93" s="62"/>
      <c r="BU93" s="62"/>
      <c r="BV93" s="62"/>
      <c r="BW93" s="62"/>
      <c r="BX93" s="62"/>
      <c r="BY93" s="63"/>
      <c r="BZ93" s="64"/>
      <c r="CA93" s="64"/>
      <c r="CB93" s="64"/>
      <c r="CC93" s="65"/>
      <c r="CD93" s="62"/>
      <c r="CE93" s="62"/>
      <c r="CF93" s="62"/>
      <c r="CG93" s="62"/>
      <c r="CH93" s="62"/>
      <c r="CI93" s="62"/>
      <c r="CJ93" s="62"/>
      <c r="CK93" s="63"/>
      <c r="CL93" s="64"/>
      <c r="CM93" s="64"/>
      <c r="CN93" s="64"/>
      <c r="CO93" s="65"/>
      <c r="CP93" s="62"/>
      <c r="CQ93" s="62"/>
      <c r="CR93" s="62"/>
      <c r="CS93" s="62"/>
      <c r="CT93" s="62"/>
      <c r="CU93" s="62"/>
      <c r="CV93" s="62"/>
      <c r="CW93" s="63"/>
      <c r="CX93" s="64"/>
      <c r="CY93" s="64"/>
      <c r="CZ93" s="64"/>
      <c r="DA93" s="65"/>
      <c r="DB93" s="62"/>
      <c r="DC93" s="62"/>
      <c r="DD93" s="62"/>
      <c r="DE93" s="62"/>
      <c r="DF93" s="62"/>
      <c r="DG93" s="62"/>
      <c r="DH93" s="62"/>
      <c r="DI93" s="63"/>
      <c r="DJ93" s="64"/>
      <c r="DK93" s="64"/>
      <c r="DL93" s="64"/>
      <c r="DM93" s="65"/>
      <c r="DN93" s="62"/>
      <c r="DO93" s="62"/>
      <c r="DP93" s="62"/>
      <c r="DQ93" s="62"/>
      <c r="DR93" s="62">
        <f t="shared" ref="DR93" ca="1" si="978">IFERROR($C93*DR92,"")</f>
        <v>0</v>
      </c>
      <c r="DS93" s="62"/>
      <c r="DT93" s="62"/>
      <c r="DU93" s="63"/>
      <c r="DV93" s="64">
        <f t="shared" ref="DV93" ca="1" si="979">IFERROR($C93*DV92,"")</f>
        <v>0</v>
      </c>
      <c r="DW93" s="64"/>
      <c r="DX93" s="64"/>
      <c r="DY93" s="65"/>
      <c r="DZ93" s="62">
        <f t="shared" ref="DZ93" ca="1" si="980">IFERROR($C93*DZ92,"")</f>
        <v>0</v>
      </c>
      <c r="EA93" s="62"/>
      <c r="EB93" s="62"/>
      <c r="EC93" s="62"/>
      <c r="ED93" s="62">
        <f t="shared" ref="ED93" ca="1" si="981">IFERROR($C93*ED92,"")</f>
        <v>0</v>
      </c>
      <c r="EE93" s="62"/>
      <c r="EF93" s="62"/>
      <c r="EG93" s="63"/>
      <c r="EH93" s="64">
        <f t="shared" ref="EH93" ca="1" si="982">IFERROR($C93*EH92,"")</f>
        <v>0</v>
      </c>
      <c r="EI93" s="64"/>
      <c r="EJ93" s="64"/>
      <c r="EK93" s="65"/>
      <c r="EL93" s="62">
        <f t="shared" ref="EL93" ca="1" si="983">IFERROR($C93*EL92,"")</f>
        <v>0</v>
      </c>
      <c r="EM93" s="62"/>
      <c r="EN93" s="62"/>
      <c r="EO93" s="62"/>
      <c r="EP93" s="62">
        <f t="shared" ref="EP93" ca="1" si="984">IFERROR($C93*EP92,"")</f>
        <v>0</v>
      </c>
      <c r="EQ93" s="62"/>
      <c r="ER93" s="62"/>
      <c r="ES93" s="63"/>
    </row>
    <row r="94" spans="2:149" hidden="1" outlineLevel="1" x14ac:dyDescent="0.45">
      <c r="B94" s="78"/>
      <c r="C94" s="25">
        <v>850000</v>
      </c>
      <c r="D94" s="26" t="s">
        <v>3</v>
      </c>
      <c r="E94" s="27">
        <f ca="1">SUM(F94:CW94)</f>
        <v>0</v>
      </c>
      <c r="F94" s="66">
        <f ca="1">IFERROR($C94*F92,"")</f>
        <v>0</v>
      </c>
      <c r="G94" s="60"/>
      <c r="H94" s="60"/>
      <c r="I94" s="60"/>
      <c r="J94" s="60">
        <f t="shared" ref="J94" ca="1" si="985">IFERROR($C94*J92,"")</f>
        <v>0</v>
      </c>
      <c r="K94" s="60"/>
      <c r="L94" s="60"/>
      <c r="M94" s="60"/>
      <c r="N94" s="61">
        <f t="shared" ref="N94" ca="1" si="986">IFERROR($C94*N92,"")</f>
        <v>0</v>
      </c>
      <c r="O94" s="58"/>
      <c r="P94" s="58"/>
      <c r="Q94" s="58"/>
      <c r="R94" s="58">
        <f t="shared" ref="R94" ca="1" si="987">IFERROR($C94*R92,"")</f>
        <v>0</v>
      </c>
      <c r="S94" s="58"/>
      <c r="T94" s="58"/>
      <c r="U94" s="59"/>
      <c r="V94" s="60">
        <f t="shared" ref="V94" ca="1" si="988">IFERROR($C94*V92,"")</f>
        <v>0</v>
      </c>
      <c r="W94" s="60"/>
      <c r="X94" s="60"/>
      <c r="Y94" s="60"/>
      <c r="Z94" s="60">
        <f t="shared" ref="Z94" ca="1" si="989">IFERROR($C94*Z92,"")</f>
        <v>0</v>
      </c>
      <c r="AA94" s="60"/>
      <c r="AB94" s="60"/>
      <c r="AC94" s="61"/>
      <c r="AD94" s="58"/>
      <c r="AE94" s="58"/>
      <c r="AF94" s="58"/>
      <c r="AG94" s="59"/>
      <c r="AH94" s="60"/>
      <c r="AI94" s="60"/>
      <c r="AJ94" s="60"/>
      <c r="AK94" s="60"/>
      <c r="AL94" s="60"/>
      <c r="AM94" s="60"/>
      <c r="AN94" s="60"/>
      <c r="AO94" s="61"/>
      <c r="AP94" s="58"/>
      <c r="AQ94" s="58"/>
      <c r="AR94" s="58"/>
      <c r="AS94" s="59"/>
      <c r="AT94" s="60"/>
      <c r="AU94" s="60"/>
      <c r="AV94" s="60"/>
      <c r="AW94" s="60"/>
      <c r="AX94" s="60"/>
      <c r="AY94" s="60"/>
      <c r="AZ94" s="60"/>
      <c r="BA94" s="61"/>
      <c r="BB94" s="58"/>
      <c r="BC94" s="58"/>
      <c r="BD94" s="58"/>
      <c r="BE94" s="59"/>
      <c r="BF94" s="60"/>
      <c r="BG94" s="60"/>
      <c r="BH94" s="60"/>
      <c r="BI94" s="60"/>
      <c r="BJ94" s="60"/>
      <c r="BK94" s="60"/>
      <c r="BL94" s="60"/>
      <c r="BM94" s="61"/>
      <c r="BN94" s="58"/>
      <c r="BO94" s="58"/>
      <c r="BP94" s="58"/>
      <c r="BQ94" s="59"/>
      <c r="BR94" s="60"/>
      <c r="BS94" s="60"/>
      <c r="BT94" s="60"/>
      <c r="BU94" s="60"/>
      <c r="BV94" s="60"/>
      <c r="BW94" s="60"/>
      <c r="BX94" s="60"/>
      <c r="BY94" s="61"/>
      <c r="BZ94" s="58"/>
      <c r="CA94" s="58"/>
      <c r="CB94" s="58"/>
      <c r="CC94" s="59"/>
      <c r="CD94" s="60"/>
      <c r="CE94" s="60"/>
      <c r="CF94" s="60"/>
      <c r="CG94" s="60"/>
      <c r="CH94" s="60"/>
      <c r="CI94" s="60"/>
      <c r="CJ94" s="60"/>
      <c r="CK94" s="61"/>
      <c r="CL94" s="58"/>
      <c r="CM94" s="58"/>
      <c r="CN94" s="58"/>
      <c r="CO94" s="59"/>
      <c r="CP94" s="60"/>
      <c r="CQ94" s="60"/>
      <c r="CR94" s="60"/>
      <c r="CS94" s="60"/>
      <c r="CT94" s="60"/>
      <c r="CU94" s="60"/>
      <c r="CV94" s="60"/>
      <c r="CW94" s="61"/>
      <c r="CX94" s="58"/>
      <c r="CY94" s="58"/>
      <c r="CZ94" s="58"/>
      <c r="DA94" s="59"/>
      <c r="DB94" s="60"/>
      <c r="DC94" s="60"/>
      <c r="DD94" s="60"/>
      <c r="DE94" s="60"/>
      <c r="DF94" s="60"/>
      <c r="DG94" s="60"/>
      <c r="DH94" s="60"/>
      <c r="DI94" s="61"/>
      <c r="DJ94" s="58"/>
      <c r="DK94" s="58"/>
      <c r="DL94" s="58"/>
      <c r="DM94" s="59"/>
      <c r="DN94" s="60"/>
      <c r="DO94" s="60"/>
      <c r="DP94" s="60"/>
      <c r="DQ94" s="60"/>
      <c r="DR94" s="60">
        <f t="shared" ref="DR94" ca="1" si="990">IFERROR($C94*DR92,"")</f>
        <v>0</v>
      </c>
      <c r="DS94" s="60"/>
      <c r="DT94" s="60"/>
      <c r="DU94" s="61"/>
      <c r="DV94" s="58">
        <f t="shared" ref="DV94" ca="1" si="991">IFERROR($C94*DV92,"")</f>
        <v>0</v>
      </c>
      <c r="DW94" s="58"/>
      <c r="DX94" s="58"/>
      <c r="DY94" s="59"/>
      <c r="DZ94" s="60">
        <f t="shared" ref="DZ94" ca="1" si="992">IFERROR($C94*DZ92,"")</f>
        <v>0</v>
      </c>
      <c r="EA94" s="60"/>
      <c r="EB94" s="60"/>
      <c r="EC94" s="60"/>
      <c r="ED94" s="60">
        <f t="shared" ref="ED94" ca="1" si="993">IFERROR($C94*ED92,"")</f>
        <v>0</v>
      </c>
      <c r="EE94" s="60"/>
      <c r="EF94" s="60"/>
      <c r="EG94" s="61"/>
      <c r="EH94" s="58">
        <f t="shared" ref="EH94" ca="1" si="994">IFERROR($C94*EH92,"")</f>
        <v>0</v>
      </c>
      <c r="EI94" s="58"/>
      <c r="EJ94" s="58"/>
      <c r="EK94" s="59"/>
      <c r="EL94" s="60">
        <f t="shared" ref="EL94" ca="1" si="995">IFERROR($C94*EL92,"")</f>
        <v>0</v>
      </c>
      <c r="EM94" s="60"/>
      <c r="EN94" s="60"/>
      <c r="EO94" s="60"/>
      <c r="EP94" s="60">
        <f t="shared" ref="EP94" ca="1" si="996">IFERROR($C94*EP92,"")</f>
        <v>0</v>
      </c>
      <c r="EQ94" s="60"/>
      <c r="ER94" s="60"/>
      <c r="ES94" s="61"/>
    </row>
    <row r="95" spans="2:149" hidden="1" outlineLevel="1" x14ac:dyDescent="0.45">
      <c r="B95" s="75">
        <v>11</v>
      </c>
      <c r="C95" s="19"/>
      <c r="D95" s="20" t="s">
        <v>13</v>
      </c>
      <c r="E95" s="21">
        <f ca="1">SUM(F95:ES95)</f>
        <v>0</v>
      </c>
      <c r="F95" s="74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G95" s="67"/>
      <c r="H95" s="67"/>
      <c r="I95" s="67"/>
      <c r="J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K95" s="67"/>
      <c r="L95" s="67"/>
      <c r="M95" s="67"/>
      <c r="N95" s="68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O95" s="70"/>
      <c r="P95" s="70"/>
      <c r="Q95" s="70"/>
      <c r="R95" s="70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S95" s="70"/>
      <c r="T95" s="70"/>
      <c r="U95" s="71"/>
      <c r="V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W95" s="67"/>
      <c r="X95" s="67"/>
      <c r="Y95" s="67"/>
      <c r="Z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AA95" s="67"/>
      <c r="AB95" s="67"/>
      <c r="AC95" s="68"/>
      <c r="AD95" s="70"/>
      <c r="AE95" s="70"/>
      <c r="AF95" s="70"/>
      <c r="AG95" s="71"/>
      <c r="AH95" s="67"/>
      <c r="AI95" s="67"/>
      <c r="AJ95" s="67"/>
      <c r="AK95" s="67"/>
      <c r="AL95" s="67"/>
      <c r="AM95" s="67"/>
      <c r="AN95" s="67"/>
      <c r="AO95" s="68"/>
      <c r="AP95" s="70"/>
      <c r="AQ95" s="70"/>
      <c r="AR95" s="70"/>
      <c r="AS95" s="71"/>
      <c r="AT95" s="67"/>
      <c r="AU95" s="67"/>
      <c r="AV95" s="67"/>
      <c r="AW95" s="67"/>
      <c r="AX95" s="67"/>
      <c r="AY95" s="67"/>
      <c r="AZ95" s="67"/>
      <c r="BA95" s="68"/>
      <c r="BB95" s="70"/>
      <c r="BC95" s="70"/>
      <c r="BD95" s="70"/>
      <c r="BE95" s="71"/>
      <c r="BF95" s="67"/>
      <c r="BG95" s="67"/>
      <c r="BH95" s="67"/>
      <c r="BI95" s="67"/>
      <c r="BJ95" s="67"/>
      <c r="BK95" s="67"/>
      <c r="BL95" s="67"/>
      <c r="BM95" s="68"/>
      <c r="BN95" s="70"/>
      <c r="BO95" s="70"/>
      <c r="BP95" s="70"/>
      <c r="BQ95" s="71"/>
      <c r="BR95" s="67"/>
      <c r="BS95" s="67"/>
      <c r="BT95" s="67"/>
      <c r="BU95" s="67"/>
      <c r="BV95" s="67"/>
      <c r="BW95" s="67"/>
      <c r="BX95" s="67"/>
      <c r="BY95" s="68"/>
      <c r="BZ95" s="70"/>
      <c r="CA95" s="70"/>
      <c r="CB95" s="70"/>
      <c r="CC95" s="71"/>
      <c r="CD95" s="67"/>
      <c r="CE95" s="67"/>
      <c r="CF95" s="67"/>
      <c r="CG95" s="67"/>
      <c r="CH95" s="67"/>
      <c r="CI95" s="67"/>
      <c r="CJ95" s="67"/>
      <c r="CK95" s="68"/>
      <c r="CL95" s="70"/>
      <c r="CM95" s="70"/>
      <c r="CN95" s="70"/>
      <c r="CO95" s="71"/>
      <c r="CP95" s="67"/>
      <c r="CQ95" s="67"/>
      <c r="CR95" s="67"/>
      <c r="CS95" s="67"/>
      <c r="CT95" s="67"/>
      <c r="CU95" s="67"/>
      <c r="CV95" s="67"/>
      <c r="CW95" s="68"/>
      <c r="CX95" s="70"/>
      <c r="CY95" s="70"/>
      <c r="CZ95" s="70"/>
      <c r="DA95" s="71"/>
      <c r="DB95" s="67"/>
      <c r="DC95" s="67"/>
      <c r="DD95" s="67"/>
      <c r="DE95" s="67"/>
      <c r="DF95" s="67"/>
      <c r="DG95" s="67"/>
      <c r="DH95" s="67"/>
      <c r="DI95" s="68"/>
      <c r="DJ95" s="70"/>
      <c r="DK95" s="70"/>
      <c r="DL95" s="70"/>
      <c r="DM95" s="71"/>
      <c r="DN95" s="67"/>
      <c r="DO95" s="67"/>
      <c r="DP95" s="67"/>
      <c r="DQ95" s="67"/>
      <c r="DR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DS95" s="67"/>
      <c r="DT95" s="67"/>
      <c r="DU95" s="68"/>
      <c r="DV95" s="70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DW95" s="70"/>
      <c r="DX95" s="70"/>
      <c r="DY95" s="71"/>
      <c r="DZ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A95" s="67"/>
      <c r="EB95" s="67"/>
      <c r="EC95" s="67"/>
      <c r="ED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E95" s="67"/>
      <c r="EF95" s="67"/>
      <c r="EG95" s="68"/>
      <c r="EH95" s="70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I95" s="70"/>
      <c r="EJ95" s="70"/>
      <c r="EK95" s="71"/>
      <c r="EL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M95" s="67"/>
      <c r="EN95" s="67"/>
      <c r="EO95" s="67"/>
      <c r="EP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Q95" s="67"/>
      <c r="ER95" s="67"/>
      <c r="ES95" s="68"/>
    </row>
    <row r="96" spans="2:149" hidden="1" outlineLevel="1" x14ac:dyDescent="0.45">
      <c r="B96" s="76"/>
      <c r="C96" s="22">
        <v>1000000</v>
      </c>
      <c r="D96" s="23" t="s">
        <v>23</v>
      </c>
      <c r="E96" s="24">
        <f ca="1">SUM(F96:CW96)</f>
        <v>0</v>
      </c>
      <c r="F96" s="69">
        <f ca="1">IFERROR($C96*F95,"")</f>
        <v>0</v>
      </c>
      <c r="G96" s="62"/>
      <c r="H96" s="62"/>
      <c r="I96" s="62"/>
      <c r="J96" s="62">
        <f t="shared" ref="J96" ca="1" si="997">IFERROR($C96*J95,"")</f>
        <v>0</v>
      </c>
      <c r="K96" s="62"/>
      <c r="L96" s="62"/>
      <c r="M96" s="62"/>
      <c r="N96" s="63">
        <f t="shared" ref="N96" ca="1" si="998">IFERROR($C96*N95,"")</f>
        <v>0</v>
      </c>
      <c r="O96" s="64"/>
      <c r="P96" s="64"/>
      <c r="Q96" s="64"/>
      <c r="R96" s="64">
        <f t="shared" ref="R96" ca="1" si="999">IFERROR($C96*R95,"")</f>
        <v>0</v>
      </c>
      <c r="S96" s="64"/>
      <c r="T96" s="64"/>
      <c r="U96" s="65"/>
      <c r="V96" s="62">
        <f t="shared" ref="V96" ca="1" si="1000">IFERROR($C96*V95,"")</f>
        <v>0</v>
      </c>
      <c r="W96" s="62"/>
      <c r="X96" s="62"/>
      <c r="Y96" s="62"/>
      <c r="Z96" s="62">
        <f t="shared" ref="Z96" ca="1" si="1001">IFERROR($C96*Z95,"")</f>
        <v>0</v>
      </c>
      <c r="AA96" s="62"/>
      <c r="AB96" s="62"/>
      <c r="AC96" s="63"/>
      <c r="AD96" s="64"/>
      <c r="AE96" s="64"/>
      <c r="AF96" s="64"/>
      <c r="AG96" s="65"/>
      <c r="AH96" s="62"/>
      <c r="AI96" s="62"/>
      <c r="AJ96" s="62"/>
      <c r="AK96" s="62"/>
      <c r="AL96" s="62"/>
      <c r="AM96" s="62"/>
      <c r="AN96" s="62"/>
      <c r="AO96" s="63"/>
      <c r="AP96" s="64"/>
      <c r="AQ96" s="64"/>
      <c r="AR96" s="64"/>
      <c r="AS96" s="65"/>
      <c r="AT96" s="62"/>
      <c r="AU96" s="62"/>
      <c r="AV96" s="62"/>
      <c r="AW96" s="62"/>
      <c r="AX96" s="62"/>
      <c r="AY96" s="62"/>
      <c r="AZ96" s="62"/>
      <c r="BA96" s="63"/>
      <c r="BB96" s="64"/>
      <c r="BC96" s="64"/>
      <c r="BD96" s="64"/>
      <c r="BE96" s="65"/>
      <c r="BF96" s="62"/>
      <c r="BG96" s="62"/>
      <c r="BH96" s="62"/>
      <c r="BI96" s="62"/>
      <c r="BJ96" s="62"/>
      <c r="BK96" s="62"/>
      <c r="BL96" s="62"/>
      <c r="BM96" s="63"/>
      <c r="BN96" s="64"/>
      <c r="BO96" s="64"/>
      <c r="BP96" s="64"/>
      <c r="BQ96" s="65"/>
      <c r="BR96" s="62"/>
      <c r="BS96" s="62"/>
      <c r="BT96" s="62"/>
      <c r="BU96" s="62"/>
      <c r="BV96" s="62"/>
      <c r="BW96" s="62"/>
      <c r="BX96" s="62"/>
      <c r="BY96" s="63"/>
      <c r="BZ96" s="64"/>
      <c r="CA96" s="64"/>
      <c r="CB96" s="64"/>
      <c r="CC96" s="65"/>
      <c r="CD96" s="62"/>
      <c r="CE96" s="62"/>
      <c r="CF96" s="62"/>
      <c r="CG96" s="62"/>
      <c r="CH96" s="62"/>
      <c r="CI96" s="62"/>
      <c r="CJ96" s="62"/>
      <c r="CK96" s="63"/>
      <c r="CL96" s="64"/>
      <c r="CM96" s="64"/>
      <c r="CN96" s="64"/>
      <c r="CO96" s="65"/>
      <c r="CP96" s="62"/>
      <c r="CQ96" s="62"/>
      <c r="CR96" s="62"/>
      <c r="CS96" s="62"/>
      <c r="CT96" s="62"/>
      <c r="CU96" s="62"/>
      <c r="CV96" s="62"/>
      <c r="CW96" s="63"/>
      <c r="CX96" s="64"/>
      <c r="CY96" s="64"/>
      <c r="CZ96" s="64"/>
      <c r="DA96" s="65"/>
      <c r="DB96" s="62"/>
      <c r="DC96" s="62"/>
      <c r="DD96" s="62"/>
      <c r="DE96" s="62"/>
      <c r="DF96" s="62"/>
      <c r="DG96" s="62"/>
      <c r="DH96" s="62"/>
      <c r="DI96" s="63"/>
      <c r="DJ96" s="64"/>
      <c r="DK96" s="64"/>
      <c r="DL96" s="64"/>
      <c r="DM96" s="65"/>
      <c r="DN96" s="62"/>
      <c r="DO96" s="62"/>
      <c r="DP96" s="62"/>
      <c r="DQ96" s="62"/>
      <c r="DR96" s="62">
        <f t="shared" ref="DR96" ca="1" si="1002">IFERROR($C96*DR95,"")</f>
        <v>0</v>
      </c>
      <c r="DS96" s="62"/>
      <c r="DT96" s="62"/>
      <c r="DU96" s="63"/>
      <c r="DV96" s="64">
        <f t="shared" ref="DV96" ca="1" si="1003">IFERROR($C96*DV95,"")</f>
        <v>0</v>
      </c>
      <c r="DW96" s="64"/>
      <c r="DX96" s="64"/>
      <c r="DY96" s="65"/>
      <c r="DZ96" s="62">
        <f t="shared" ref="DZ96" ca="1" si="1004">IFERROR($C96*DZ95,"")</f>
        <v>0</v>
      </c>
      <c r="EA96" s="62"/>
      <c r="EB96" s="62"/>
      <c r="EC96" s="62"/>
      <c r="ED96" s="62">
        <f t="shared" ref="ED96" ca="1" si="1005">IFERROR($C96*ED95,"")</f>
        <v>0</v>
      </c>
      <c r="EE96" s="62"/>
      <c r="EF96" s="62"/>
      <c r="EG96" s="63"/>
      <c r="EH96" s="64">
        <f t="shared" ref="EH96" ca="1" si="1006">IFERROR($C96*EH95,"")</f>
        <v>0</v>
      </c>
      <c r="EI96" s="64"/>
      <c r="EJ96" s="64"/>
      <c r="EK96" s="65"/>
      <c r="EL96" s="62">
        <f t="shared" ref="EL96" ca="1" si="1007">IFERROR($C96*EL95,"")</f>
        <v>0</v>
      </c>
      <c r="EM96" s="62"/>
      <c r="EN96" s="62"/>
      <c r="EO96" s="62"/>
      <c r="EP96" s="62">
        <f t="shared" ref="EP96" ca="1" si="1008">IFERROR($C96*EP95,"")</f>
        <v>0</v>
      </c>
      <c r="EQ96" s="62"/>
      <c r="ER96" s="62"/>
      <c r="ES96" s="63"/>
    </row>
    <row r="97" spans="2:149" hidden="1" outlineLevel="1" x14ac:dyDescent="0.45">
      <c r="B97" s="77"/>
      <c r="C97" s="25">
        <v>850000</v>
      </c>
      <c r="D97" s="26" t="s">
        <v>3</v>
      </c>
      <c r="E97" s="27">
        <f ca="1">SUM(F97:CW97)</f>
        <v>0</v>
      </c>
      <c r="F97" s="66">
        <f ca="1">IFERROR($C97*F95,"")</f>
        <v>0</v>
      </c>
      <c r="G97" s="60"/>
      <c r="H97" s="60"/>
      <c r="I97" s="60"/>
      <c r="J97" s="60">
        <f t="shared" ref="J97" ca="1" si="1009">IFERROR($C97*J95,"")</f>
        <v>0</v>
      </c>
      <c r="K97" s="60"/>
      <c r="L97" s="60"/>
      <c r="M97" s="60"/>
      <c r="N97" s="61">
        <f t="shared" ref="N97" ca="1" si="1010">IFERROR($C97*N95,"")</f>
        <v>0</v>
      </c>
      <c r="O97" s="58"/>
      <c r="P97" s="58"/>
      <c r="Q97" s="58"/>
      <c r="R97" s="58">
        <f t="shared" ref="R97" ca="1" si="1011">IFERROR($C97*R95,"")</f>
        <v>0</v>
      </c>
      <c r="S97" s="58"/>
      <c r="T97" s="58"/>
      <c r="U97" s="59"/>
      <c r="V97" s="60">
        <f t="shared" ref="V97" ca="1" si="1012">IFERROR($C97*V95,"")</f>
        <v>0</v>
      </c>
      <c r="W97" s="60"/>
      <c r="X97" s="60"/>
      <c r="Y97" s="60"/>
      <c r="Z97" s="60">
        <f t="shared" ref="Z97" ca="1" si="1013">IFERROR($C97*Z95,"")</f>
        <v>0</v>
      </c>
      <c r="AA97" s="60"/>
      <c r="AB97" s="60"/>
      <c r="AC97" s="61"/>
      <c r="AD97" s="58"/>
      <c r="AE97" s="58"/>
      <c r="AF97" s="58"/>
      <c r="AG97" s="59"/>
      <c r="AH97" s="60"/>
      <c r="AI97" s="60"/>
      <c r="AJ97" s="60"/>
      <c r="AK97" s="60"/>
      <c r="AL97" s="60"/>
      <c r="AM97" s="60"/>
      <c r="AN97" s="60"/>
      <c r="AO97" s="61"/>
      <c r="AP97" s="58"/>
      <c r="AQ97" s="58"/>
      <c r="AR97" s="58"/>
      <c r="AS97" s="59"/>
      <c r="AT97" s="60"/>
      <c r="AU97" s="60"/>
      <c r="AV97" s="60"/>
      <c r="AW97" s="60"/>
      <c r="AX97" s="60"/>
      <c r="AY97" s="60"/>
      <c r="AZ97" s="60"/>
      <c r="BA97" s="61"/>
      <c r="BB97" s="58"/>
      <c r="BC97" s="58"/>
      <c r="BD97" s="58"/>
      <c r="BE97" s="59"/>
      <c r="BF97" s="60"/>
      <c r="BG97" s="60"/>
      <c r="BH97" s="60"/>
      <c r="BI97" s="60"/>
      <c r="BJ97" s="60"/>
      <c r="BK97" s="60"/>
      <c r="BL97" s="60"/>
      <c r="BM97" s="61"/>
      <c r="BN97" s="58"/>
      <c r="BO97" s="58"/>
      <c r="BP97" s="58"/>
      <c r="BQ97" s="59"/>
      <c r="BR97" s="60"/>
      <c r="BS97" s="60"/>
      <c r="BT97" s="60"/>
      <c r="BU97" s="60"/>
      <c r="BV97" s="60"/>
      <c r="BW97" s="60"/>
      <c r="BX97" s="60"/>
      <c r="BY97" s="61"/>
      <c r="BZ97" s="58"/>
      <c r="CA97" s="58"/>
      <c r="CB97" s="58"/>
      <c r="CC97" s="59"/>
      <c r="CD97" s="60"/>
      <c r="CE97" s="60"/>
      <c r="CF97" s="60"/>
      <c r="CG97" s="60"/>
      <c r="CH97" s="60"/>
      <c r="CI97" s="60"/>
      <c r="CJ97" s="60"/>
      <c r="CK97" s="61"/>
      <c r="CL97" s="58"/>
      <c r="CM97" s="58"/>
      <c r="CN97" s="58"/>
      <c r="CO97" s="59"/>
      <c r="CP97" s="60"/>
      <c r="CQ97" s="60"/>
      <c r="CR97" s="60"/>
      <c r="CS97" s="60"/>
      <c r="CT97" s="60"/>
      <c r="CU97" s="60"/>
      <c r="CV97" s="60"/>
      <c r="CW97" s="61"/>
      <c r="CX97" s="58"/>
      <c r="CY97" s="58"/>
      <c r="CZ97" s="58"/>
      <c r="DA97" s="59"/>
      <c r="DB97" s="60"/>
      <c r="DC97" s="60"/>
      <c r="DD97" s="60"/>
      <c r="DE97" s="60"/>
      <c r="DF97" s="60"/>
      <c r="DG97" s="60"/>
      <c r="DH97" s="60"/>
      <c r="DI97" s="61"/>
      <c r="DJ97" s="58"/>
      <c r="DK97" s="58"/>
      <c r="DL97" s="58"/>
      <c r="DM97" s="59"/>
      <c r="DN97" s="60"/>
      <c r="DO97" s="60"/>
      <c r="DP97" s="60"/>
      <c r="DQ97" s="60"/>
      <c r="DR97" s="60">
        <f t="shared" ref="DR97" ca="1" si="1014">IFERROR($C97*DR95,"")</f>
        <v>0</v>
      </c>
      <c r="DS97" s="60"/>
      <c r="DT97" s="60"/>
      <c r="DU97" s="61"/>
      <c r="DV97" s="58">
        <f t="shared" ref="DV97" ca="1" si="1015">IFERROR($C97*DV95,"")</f>
        <v>0</v>
      </c>
      <c r="DW97" s="58"/>
      <c r="DX97" s="58"/>
      <c r="DY97" s="59"/>
      <c r="DZ97" s="60">
        <f t="shared" ref="DZ97" ca="1" si="1016">IFERROR($C97*DZ95,"")</f>
        <v>0</v>
      </c>
      <c r="EA97" s="60"/>
      <c r="EB97" s="60"/>
      <c r="EC97" s="60"/>
      <c r="ED97" s="60">
        <f t="shared" ref="ED97" ca="1" si="1017">IFERROR($C97*ED95,"")</f>
        <v>0</v>
      </c>
      <c r="EE97" s="60"/>
      <c r="EF97" s="60"/>
      <c r="EG97" s="61"/>
      <c r="EH97" s="58">
        <f t="shared" ref="EH97" ca="1" si="1018">IFERROR($C97*EH95,"")</f>
        <v>0</v>
      </c>
      <c r="EI97" s="58"/>
      <c r="EJ97" s="58"/>
      <c r="EK97" s="59"/>
      <c r="EL97" s="60">
        <f t="shared" ref="EL97" ca="1" si="1019">IFERROR($C97*EL95,"")</f>
        <v>0</v>
      </c>
      <c r="EM97" s="60"/>
      <c r="EN97" s="60"/>
      <c r="EO97" s="60"/>
      <c r="EP97" s="60">
        <f t="shared" ref="EP97" ca="1" si="1020">IFERROR($C97*EP95,"")</f>
        <v>0</v>
      </c>
      <c r="EQ97" s="60"/>
      <c r="ER97" s="60"/>
      <c r="ES97" s="61"/>
    </row>
    <row r="98" spans="2:149" hidden="1" outlineLevel="1" x14ac:dyDescent="0.45">
      <c r="B98" s="72">
        <v>12</v>
      </c>
      <c r="C98" s="19"/>
      <c r="D98" s="20" t="s">
        <v>13</v>
      </c>
      <c r="E98" s="21">
        <f ca="1">SUM(F98:ES98)</f>
        <v>0</v>
      </c>
      <c r="F98" s="74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G98" s="67"/>
      <c r="H98" s="67"/>
      <c r="I98" s="67"/>
      <c r="J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K98" s="67"/>
      <c r="L98" s="67"/>
      <c r="M98" s="67"/>
      <c r="N98" s="68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O98" s="70"/>
      <c r="P98" s="70"/>
      <c r="Q98" s="70"/>
      <c r="R98" s="70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S98" s="70"/>
      <c r="T98" s="70"/>
      <c r="U98" s="71"/>
      <c r="V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W98" s="67"/>
      <c r="X98" s="67"/>
      <c r="Y98" s="67"/>
      <c r="Z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AA98" s="67"/>
      <c r="AB98" s="67"/>
      <c r="AC98" s="68"/>
      <c r="AD98" s="70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AE98" s="70"/>
      <c r="AF98" s="70"/>
      <c r="AG98" s="71"/>
      <c r="AH98" s="67"/>
      <c r="AI98" s="67"/>
      <c r="AJ98" s="67"/>
      <c r="AK98" s="67"/>
      <c r="AL98" s="67"/>
      <c r="AM98" s="67"/>
      <c r="AN98" s="67"/>
      <c r="AO98" s="68"/>
      <c r="AP98" s="70"/>
      <c r="AQ98" s="70"/>
      <c r="AR98" s="70"/>
      <c r="AS98" s="71"/>
      <c r="AT98" s="67"/>
      <c r="AU98" s="67"/>
      <c r="AV98" s="67"/>
      <c r="AW98" s="67"/>
      <c r="AX98" s="67"/>
      <c r="AY98" s="67"/>
      <c r="AZ98" s="67"/>
      <c r="BA98" s="68"/>
      <c r="BB98" s="70"/>
      <c r="BC98" s="70"/>
      <c r="BD98" s="70"/>
      <c r="BE98" s="71"/>
      <c r="BF98" s="67"/>
      <c r="BG98" s="67"/>
      <c r="BH98" s="67"/>
      <c r="BI98" s="67"/>
      <c r="BJ98" s="67"/>
      <c r="BK98" s="67"/>
      <c r="BL98" s="67"/>
      <c r="BM98" s="68"/>
      <c r="BN98" s="70"/>
      <c r="BO98" s="70"/>
      <c r="BP98" s="70"/>
      <c r="BQ98" s="71"/>
      <c r="BR98" s="67"/>
      <c r="BS98" s="67"/>
      <c r="BT98" s="67"/>
      <c r="BU98" s="67"/>
      <c r="BV98" s="67"/>
      <c r="BW98" s="67"/>
      <c r="BX98" s="67"/>
      <c r="BY98" s="68"/>
      <c r="BZ98" s="70"/>
      <c r="CA98" s="70"/>
      <c r="CB98" s="70"/>
      <c r="CC98" s="71"/>
      <c r="CD98" s="67"/>
      <c r="CE98" s="67"/>
      <c r="CF98" s="67"/>
      <c r="CG98" s="67"/>
      <c r="CH98" s="67"/>
      <c r="CI98" s="67"/>
      <c r="CJ98" s="67"/>
      <c r="CK98" s="68"/>
      <c r="CL98" s="70"/>
      <c r="CM98" s="70"/>
      <c r="CN98" s="70"/>
      <c r="CO98" s="71"/>
      <c r="CP98" s="67"/>
      <c r="CQ98" s="67"/>
      <c r="CR98" s="67"/>
      <c r="CS98" s="67"/>
      <c r="CT98" s="67"/>
      <c r="CU98" s="67"/>
      <c r="CV98" s="67"/>
      <c r="CW98" s="68"/>
      <c r="CX98" s="70"/>
      <c r="CY98" s="70"/>
      <c r="CZ98" s="70"/>
      <c r="DA98" s="71"/>
      <c r="DB98" s="67"/>
      <c r="DC98" s="67"/>
      <c r="DD98" s="67"/>
      <c r="DE98" s="67"/>
      <c r="DF98" s="67"/>
      <c r="DG98" s="67"/>
      <c r="DH98" s="67"/>
      <c r="DI98" s="68"/>
      <c r="DJ98" s="70"/>
      <c r="DK98" s="70"/>
      <c r="DL98" s="70"/>
      <c r="DM98" s="71"/>
      <c r="DN98" s="67"/>
      <c r="DO98" s="67"/>
      <c r="DP98" s="67"/>
      <c r="DQ98" s="67"/>
      <c r="DR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DS98" s="67"/>
      <c r="DT98" s="67"/>
      <c r="DU98" s="68"/>
      <c r="DV98" s="70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DW98" s="70"/>
      <c r="DX98" s="70"/>
      <c r="DY98" s="71"/>
      <c r="DZ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A98" s="67"/>
      <c r="EB98" s="67"/>
      <c r="EC98" s="67"/>
      <c r="ED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E98" s="67"/>
      <c r="EF98" s="67"/>
      <c r="EG98" s="68"/>
      <c r="EH98" s="70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I98" s="70"/>
      <c r="EJ98" s="70"/>
      <c r="EK98" s="71"/>
      <c r="EL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M98" s="67"/>
      <c r="EN98" s="67"/>
      <c r="EO98" s="67"/>
      <c r="EP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Q98" s="67"/>
      <c r="ER98" s="67"/>
      <c r="ES98" s="68"/>
    </row>
    <row r="99" spans="2:149" hidden="1" outlineLevel="1" x14ac:dyDescent="0.45">
      <c r="B99" s="73"/>
      <c r="C99" s="22">
        <v>1000000</v>
      </c>
      <c r="D99" s="23" t="s">
        <v>23</v>
      </c>
      <c r="E99" s="24">
        <f ca="1">SUM(F99:CW99)</f>
        <v>0</v>
      </c>
      <c r="F99" s="69">
        <f ca="1">IFERROR($C99*F98,"")</f>
        <v>0</v>
      </c>
      <c r="G99" s="62"/>
      <c r="H99" s="62"/>
      <c r="I99" s="62"/>
      <c r="J99" s="62">
        <f t="shared" ref="J99" ca="1" si="1021">IFERROR($C99*J98,"")</f>
        <v>0</v>
      </c>
      <c r="K99" s="62"/>
      <c r="L99" s="62"/>
      <c r="M99" s="62"/>
      <c r="N99" s="63">
        <f t="shared" ref="N99" ca="1" si="1022">IFERROR($C99*N98,"")</f>
        <v>0</v>
      </c>
      <c r="O99" s="64"/>
      <c r="P99" s="64"/>
      <c r="Q99" s="64"/>
      <c r="R99" s="64">
        <f t="shared" ref="R99" ca="1" si="1023">IFERROR($C99*R98,"")</f>
        <v>0</v>
      </c>
      <c r="S99" s="64"/>
      <c r="T99" s="64"/>
      <c r="U99" s="65"/>
      <c r="V99" s="62">
        <f t="shared" ref="V99" ca="1" si="1024">IFERROR($C99*V98,"")</f>
        <v>0</v>
      </c>
      <c r="W99" s="62"/>
      <c r="X99" s="62"/>
      <c r="Y99" s="62"/>
      <c r="Z99" s="62">
        <f t="shared" ref="Z99" ca="1" si="1025">IFERROR($C99*Z98,"")</f>
        <v>0</v>
      </c>
      <c r="AA99" s="62"/>
      <c r="AB99" s="62"/>
      <c r="AC99" s="63"/>
      <c r="AD99" s="64">
        <f t="shared" ref="AD99" ca="1" si="1026">IFERROR($C99*AD98,"")</f>
        <v>0</v>
      </c>
      <c r="AE99" s="64"/>
      <c r="AF99" s="64"/>
      <c r="AG99" s="65"/>
      <c r="AH99" s="62">
        <f t="shared" ref="AH99" si="1027">IFERROR($C99*AH98,"")</f>
        <v>0</v>
      </c>
      <c r="AI99" s="62"/>
      <c r="AJ99" s="62"/>
      <c r="AK99" s="62"/>
      <c r="AL99" s="62">
        <f t="shared" ref="AL99" si="1028">IFERROR($C99*AL98,"")</f>
        <v>0</v>
      </c>
      <c r="AM99" s="62"/>
      <c r="AN99" s="62"/>
      <c r="AO99" s="63"/>
      <c r="AP99" s="64">
        <f t="shared" ref="AP99" si="1029">IFERROR($C99*AP98,"")</f>
        <v>0</v>
      </c>
      <c r="AQ99" s="64"/>
      <c r="AR99" s="64"/>
      <c r="AS99" s="65"/>
      <c r="AT99" s="62">
        <f t="shared" ref="AT99" si="1030">IFERROR($C99*AT98,"")</f>
        <v>0</v>
      </c>
      <c r="AU99" s="62"/>
      <c r="AV99" s="62"/>
      <c r="AW99" s="62"/>
      <c r="AX99" s="62">
        <f t="shared" ref="AX99" si="1031">IFERROR($C99*AX98,"")</f>
        <v>0</v>
      </c>
      <c r="AY99" s="62"/>
      <c r="AZ99" s="62"/>
      <c r="BA99" s="63"/>
      <c r="BB99" s="64">
        <f t="shared" ref="BB99" si="1032">IFERROR($C99*BB98,"")</f>
        <v>0</v>
      </c>
      <c r="BC99" s="64"/>
      <c r="BD99" s="64"/>
      <c r="BE99" s="65"/>
      <c r="BF99" s="62">
        <f t="shared" ref="BF99" si="1033">IFERROR($C99*BF98,"")</f>
        <v>0</v>
      </c>
      <c r="BG99" s="62"/>
      <c r="BH99" s="62"/>
      <c r="BI99" s="62"/>
      <c r="BJ99" s="62">
        <f t="shared" ref="BJ99" si="1034">IFERROR($C99*BJ98,"")</f>
        <v>0</v>
      </c>
      <c r="BK99" s="62"/>
      <c r="BL99" s="62"/>
      <c r="BM99" s="63"/>
      <c r="BN99" s="64">
        <f t="shared" ref="BN99" si="1035">IFERROR($C99*BN98,"")</f>
        <v>0</v>
      </c>
      <c r="BO99" s="64"/>
      <c r="BP99" s="64"/>
      <c r="BQ99" s="65"/>
      <c r="BR99" s="62">
        <f t="shared" ref="BR99" si="1036">IFERROR($C99*BR98,"")</f>
        <v>0</v>
      </c>
      <c r="BS99" s="62"/>
      <c r="BT99" s="62"/>
      <c r="BU99" s="62"/>
      <c r="BV99" s="62">
        <f t="shared" ref="BV99" si="1037">IFERROR($C99*BV98,"")</f>
        <v>0</v>
      </c>
      <c r="BW99" s="62"/>
      <c r="BX99" s="62"/>
      <c r="BY99" s="63"/>
      <c r="BZ99" s="64">
        <f t="shared" ref="BZ99" si="1038">IFERROR($C99*BZ98,"")</f>
        <v>0</v>
      </c>
      <c r="CA99" s="64"/>
      <c r="CB99" s="64"/>
      <c r="CC99" s="65"/>
      <c r="CD99" s="62">
        <f t="shared" ref="CD99" si="1039">IFERROR($C99*CD98,"")</f>
        <v>0</v>
      </c>
      <c r="CE99" s="62"/>
      <c r="CF99" s="62"/>
      <c r="CG99" s="62"/>
      <c r="CH99" s="62">
        <f t="shared" ref="CH99" si="1040">IFERROR($C99*CH98,"")</f>
        <v>0</v>
      </c>
      <c r="CI99" s="62"/>
      <c r="CJ99" s="62"/>
      <c r="CK99" s="63"/>
      <c r="CL99" s="64">
        <f t="shared" ref="CL99" si="1041">IFERROR($C99*CL98,"")</f>
        <v>0</v>
      </c>
      <c r="CM99" s="64"/>
      <c r="CN99" s="64"/>
      <c r="CO99" s="65"/>
      <c r="CP99" s="62">
        <f t="shared" ref="CP99" si="1042">IFERROR($C99*CP98,"")</f>
        <v>0</v>
      </c>
      <c r="CQ99" s="62"/>
      <c r="CR99" s="62"/>
      <c r="CS99" s="62"/>
      <c r="CT99" s="62">
        <f t="shared" ref="CT99" si="1043">IFERROR($C99*CT98,"")</f>
        <v>0</v>
      </c>
      <c r="CU99" s="62"/>
      <c r="CV99" s="62"/>
      <c r="CW99" s="63"/>
      <c r="CX99" s="64">
        <f t="shared" ref="CX99" si="1044">IFERROR($C99*CX98,"")</f>
        <v>0</v>
      </c>
      <c r="CY99" s="64"/>
      <c r="CZ99" s="64"/>
      <c r="DA99" s="65"/>
      <c r="DB99" s="62">
        <f t="shared" ref="DB99" si="1045">IFERROR($C99*DB98,"")</f>
        <v>0</v>
      </c>
      <c r="DC99" s="62"/>
      <c r="DD99" s="62"/>
      <c r="DE99" s="62"/>
      <c r="DF99" s="62">
        <f t="shared" ref="DF99" si="1046">IFERROR($C99*DF98,"")</f>
        <v>0</v>
      </c>
      <c r="DG99" s="62"/>
      <c r="DH99" s="62"/>
      <c r="DI99" s="63"/>
      <c r="DJ99" s="64">
        <f t="shared" ref="DJ99" si="1047">IFERROR($C99*DJ98,"")</f>
        <v>0</v>
      </c>
      <c r="DK99" s="64"/>
      <c r="DL99" s="64"/>
      <c r="DM99" s="65"/>
      <c r="DN99" s="62">
        <f t="shared" ref="DN99" si="1048">IFERROR($C99*DN98,"")</f>
        <v>0</v>
      </c>
      <c r="DO99" s="62"/>
      <c r="DP99" s="62"/>
      <c r="DQ99" s="62"/>
      <c r="DR99" s="62">
        <f t="shared" ref="DR99" ca="1" si="1049">IFERROR($C99*DR98,"")</f>
        <v>0</v>
      </c>
      <c r="DS99" s="62"/>
      <c r="DT99" s="62"/>
      <c r="DU99" s="63"/>
      <c r="DV99" s="64">
        <f t="shared" ref="DV99" ca="1" si="1050">IFERROR($C99*DV98,"")</f>
        <v>0</v>
      </c>
      <c r="DW99" s="64"/>
      <c r="DX99" s="64"/>
      <c r="DY99" s="65"/>
      <c r="DZ99" s="62">
        <f t="shared" ref="DZ99" ca="1" si="1051">IFERROR($C99*DZ98,"")</f>
        <v>0</v>
      </c>
      <c r="EA99" s="62"/>
      <c r="EB99" s="62"/>
      <c r="EC99" s="62"/>
      <c r="ED99" s="62">
        <f t="shared" ref="ED99" ca="1" si="1052">IFERROR($C99*ED98,"")</f>
        <v>0</v>
      </c>
      <c r="EE99" s="62"/>
      <c r="EF99" s="62"/>
      <c r="EG99" s="63"/>
      <c r="EH99" s="64">
        <f t="shared" ref="EH99" ca="1" si="1053">IFERROR($C99*EH98,"")</f>
        <v>0</v>
      </c>
      <c r="EI99" s="64"/>
      <c r="EJ99" s="64"/>
      <c r="EK99" s="65"/>
      <c r="EL99" s="62">
        <f t="shared" ref="EL99" ca="1" si="1054">IFERROR($C99*EL98,"")</f>
        <v>0</v>
      </c>
      <c r="EM99" s="62"/>
      <c r="EN99" s="62"/>
      <c r="EO99" s="62"/>
      <c r="EP99" s="62">
        <f t="shared" ref="EP99" ca="1" si="1055">IFERROR($C99*EP98,"")</f>
        <v>0</v>
      </c>
      <c r="EQ99" s="62"/>
      <c r="ER99" s="62"/>
      <c r="ES99" s="63"/>
    </row>
    <row r="100" spans="2:149" hidden="1" outlineLevel="1" x14ac:dyDescent="0.45">
      <c r="B100" s="78"/>
      <c r="C100" s="25">
        <v>850000</v>
      </c>
      <c r="D100" s="26" t="s">
        <v>3</v>
      </c>
      <c r="E100" s="27">
        <f ca="1">SUM(F100:CW100)</f>
        <v>0</v>
      </c>
      <c r="F100" s="66">
        <f ca="1">IFERROR($C100*F98,"")</f>
        <v>0</v>
      </c>
      <c r="G100" s="60"/>
      <c r="H100" s="60"/>
      <c r="I100" s="60"/>
      <c r="J100" s="60">
        <f t="shared" ref="J100" ca="1" si="1056">IFERROR($C100*J98,"")</f>
        <v>0</v>
      </c>
      <c r="K100" s="60"/>
      <c r="L100" s="60"/>
      <c r="M100" s="60"/>
      <c r="N100" s="61">
        <f t="shared" ref="N100" ca="1" si="1057">IFERROR($C100*N98,"")</f>
        <v>0</v>
      </c>
      <c r="O100" s="58"/>
      <c r="P100" s="58"/>
      <c r="Q100" s="58"/>
      <c r="R100" s="58">
        <f t="shared" ref="R100" ca="1" si="1058">IFERROR($C100*R98,"")</f>
        <v>0</v>
      </c>
      <c r="S100" s="58"/>
      <c r="T100" s="58"/>
      <c r="U100" s="59"/>
      <c r="V100" s="60">
        <f t="shared" ref="V100" ca="1" si="1059">IFERROR($C100*V98,"")</f>
        <v>0</v>
      </c>
      <c r="W100" s="60"/>
      <c r="X100" s="60"/>
      <c r="Y100" s="60"/>
      <c r="Z100" s="60">
        <f t="shared" ref="Z100" ca="1" si="1060">IFERROR($C100*Z98,"")</f>
        <v>0</v>
      </c>
      <c r="AA100" s="60"/>
      <c r="AB100" s="60"/>
      <c r="AC100" s="61"/>
      <c r="AD100" s="58">
        <f t="shared" ref="AD100" ca="1" si="1061">IFERROR($C100*AD98,"")</f>
        <v>0</v>
      </c>
      <c r="AE100" s="58"/>
      <c r="AF100" s="58"/>
      <c r="AG100" s="59"/>
      <c r="AH100" s="60">
        <f t="shared" ref="AH100" si="1062">IFERROR($C100*AH98,"")</f>
        <v>0</v>
      </c>
      <c r="AI100" s="60"/>
      <c r="AJ100" s="60"/>
      <c r="AK100" s="60"/>
      <c r="AL100" s="60">
        <f t="shared" ref="AL100" si="1063">IFERROR($C100*AL98,"")</f>
        <v>0</v>
      </c>
      <c r="AM100" s="60"/>
      <c r="AN100" s="60"/>
      <c r="AO100" s="61"/>
      <c r="AP100" s="58">
        <f t="shared" ref="AP100" si="1064">IFERROR($C100*AP98,"")</f>
        <v>0</v>
      </c>
      <c r="AQ100" s="58"/>
      <c r="AR100" s="58"/>
      <c r="AS100" s="59"/>
      <c r="AT100" s="60">
        <f t="shared" ref="AT100" si="1065">IFERROR($C100*AT98,"")</f>
        <v>0</v>
      </c>
      <c r="AU100" s="60"/>
      <c r="AV100" s="60"/>
      <c r="AW100" s="60"/>
      <c r="AX100" s="60">
        <f t="shared" ref="AX100" si="1066">IFERROR($C100*AX98,"")</f>
        <v>0</v>
      </c>
      <c r="AY100" s="60"/>
      <c r="AZ100" s="60"/>
      <c r="BA100" s="61"/>
      <c r="BB100" s="58">
        <f t="shared" ref="BB100" si="1067">IFERROR($C100*BB98,"")</f>
        <v>0</v>
      </c>
      <c r="BC100" s="58"/>
      <c r="BD100" s="58"/>
      <c r="BE100" s="59"/>
      <c r="BF100" s="60">
        <f t="shared" ref="BF100" si="1068">IFERROR($C100*BF98,"")</f>
        <v>0</v>
      </c>
      <c r="BG100" s="60"/>
      <c r="BH100" s="60"/>
      <c r="BI100" s="60"/>
      <c r="BJ100" s="60">
        <f t="shared" ref="BJ100" si="1069">IFERROR($C100*BJ98,"")</f>
        <v>0</v>
      </c>
      <c r="BK100" s="60"/>
      <c r="BL100" s="60"/>
      <c r="BM100" s="61"/>
      <c r="BN100" s="58">
        <f t="shared" ref="BN100" si="1070">IFERROR($C100*BN98,"")</f>
        <v>0</v>
      </c>
      <c r="BO100" s="58"/>
      <c r="BP100" s="58"/>
      <c r="BQ100" s="59"/>
      <c r="BR100" s="60">
        <f t="shared" ref="BR100" si="1071">IFERROR($C100*BR98,"")</f>
        <v>0</v>
      </c>
      <c r="BS100" s="60"/>
      <c r="BT100" s="60"/>
      <c r="BU100" s="60"/>
      <c r="BV100" s="60">
        <f t="shared" ref="BV100" si="1072">IFERROR($C100*BV98,"")</f>
        <v>0</v>
      </c>
      <c r="BW100" s="60"/>
      <c r="BX100" s="60"/>
      <c r="BY100" s="61"/>
      <c r="BZ100" s="58">
        <f t="shared" ref="BZ100" si="1073">IFERROR($C100*BZ98,"")</f>
        <v>0</v>
      </c>
      <c r="CA100" s="58"/>
      <c r="CB100" s="58"/>
      <c r="CC100" s="59"/>
      <c r="CD100" s="60">
        <f t="shared" ref="CD100" si="1074">IFERROR($C100*CD98,"")</f>
        <v>0</v>
      </c>
      <c r="CE100" s="60"/>
      <c r="CF100" s="60"/>
      <c r="CG100" s="60"/>
      <c r="CH100" s="60">
        <f t="shared" ref="CH100" si="1075">IFERROR($C100*CH98,"")</f>
        <v>0</v>
      </c>
      <c r="CI100" s="60"/>
      <c r="CJ100" s="60"/>
      <c r="CK100" s="61"/>
      <c r="CL100" s="58">
        <f t="shared" ref="CL100" si="1076">IFERROR($C100*CL98,"")</f>
        <v>0</v>
      </c>
      <c r="CM100" s="58"/>
      <c r="CN100" s="58"/>
      <c r="CO100" s="59"/>
      <c r="CP100" s="60">
        <f t="shared" ref="CP100" si="1077">IFERROR($C100*CP98,"")</f>
        <v>0</v>
      </c>
      <c r="CQ100" s="60"/>
      <c r="CR100" s="60"/>
      <c r="CS100" s="60"/>
      <c r="CT100" s="60">
        <f t="shared" ref="CT100" si="1078">IFERROR($C100*CT98,"")</f>
        <v>0</v>
      </c>
      <c r="CU100" s="60"/>
      <c r="CV100" s="60"/>
      <c r="CW100" s="61"/>
      <c r="CX100" s="58">
        <f t="shared" ref="CX100" si="1079">IFERROR($C100*CX98,"")</f>
        <v>0</v>
      </c>
      <c r="CY100" s="58"/>
      <c r="CZ100" s="58"/>
      <c r="DA100" s="59"/>
      <c r="DB100" s="60">
        <f t="shared" ref="DB100" si="1080">IFERROR($C100*DB98,"")</f>
        <v>0</v>
      </c>
      <c r="DC100" s="60"/>
      <c r="DD100" s="60"/>
      <c r="DE100" s="60"/>
      <c r="DF100" s="60">
        <f t="shared" ref="DF100" si="1081">IFERROR($C100*DF98,"")</f>
        <v>0</v>
      </c>
      <c r="DG100" s="60"/>
      <c r="DH100" s="60"/>
      <c r="DI100" s="61"/>
      <c r="DJ100" s="58">
        <f t="shared" ref="DJ100" si="1082">IFERROR($C100*DJ98,"")</f>
        <v>0</v>
      </c>
      <c r="DK100" s="58"/>
      <c r="DL100" s="58"/>
      <c r="DM100" s="59"/>
      <c r="DN100" s="60">
        <f t="shared" ref="DN100" si="1083">IFERROR($C100*DN98,"")</f>
        <v>0</v>
      </c>
      <c r="DO100" s="60"/>
      <c r="DP100" s="60"/>
      <c r="DQ100" s="60"/>
      <c r="DR100" s="60">
        <f t="shared" ref="DR100" ca="1" si="1084">IFERROR($C100*DR98,"")</f>
        <v>0</v>
      </c>
      <c r="DS100" s="60"/>
      <c r="DT100" s="60"/>
      <c r="DU100" s="61"/>
      <c r="DV100" s="58">
        <f t="shared" ref="DV100" ca="1" si="1085">IFERROR($C100*DV98,"")</f>
        <v>0</v>
      </c>
      <c r="DW100" s="58"/>
      <c r="DX100" s="58"/>
      <c r="DY100" s="59"/>
      <c r="DZ100" s="60">
        <f t="shared" ref="DZ100" ca="1" si="1086">IFERROR($C100*DZ98,"")</f>
        <v>0</v>
      </c>
      <c r="EA100" s="60"/>
      <c r="EB100" s="60"/>
      <c r="EC100" s="60"/>
      <c r="ED100" s="60">
        <f t="shared" ref="ED100" ca="1" si="1087">IFERROR($C100*ED98,"")</f>
        <v>0</v>
      </c>
      <c r="EE100" s="60"/>
      <c r="EF100" s="60"/>
      <c r="EG100" s="61"/>
      <c r="EH100" s="58">
        <f t="shared" ref="EH100" ca="1" si="1088">IFERROR($C100*EH98,"")</f>
        <v>0</v>
      </c>
      <c r="EI100" s="58"/>
      <c r="EJ100" s="58"/>
      <c r="EK100" s="59"/>
      <c r="EL100" s="60">
        <f t="shared" ref="EL100" ca="1" si="1089">IFERROR($C100*EL98,"")</f>
        <v>0</v>
      </c>
      <c r="EM100" s="60"/>
      <c r="EN100" s="60"/>
      <c r="EO100" s="60"/>
      <c r="EP100" s="60">
        <f t="shared" ref="EP100" ca="1" si="1090">IFERROR($C100*EP98,"")</f>
        <v>0</v>
      </c>
      <c r="EQ100" s="60"/>
      <c r="ER100" s="60"/>
      <c r="ES100" s="61"/>
    </row>
    <row r="101" spans="2:149" hidden="1" outlineLevel="1" x14ac:dyDescent="0.45">
      <c r="B101" s="72">
        <v>13</v>
      </c>
      <c r="C101" s="19"/>
      <c r="D101" s="20" t="s">
        <v>13</v>
      </c>
      <c r="E101" s="21">
        <f ca="1">SUM(F101:ES101)</f>
        <v>0</v>
      </c>
      <c r="F101" s="74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G101" s="67"/>
      <c r="H101" s="67"/>
      <c r="I101" s="67"/>
      <c r="J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K101" s="67"/>
      <c r="L101" s="67"/>
      <c r="M101" s="67"/>
      <c r="N101" s="68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O101" s="70"/>
      <c r="P101" s="70"/>
      <c r="Q101" s="70"/>
      <c r="R101" s="70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S101" s="70"/>
      <c r="T101" s="70"/>
      <c r="U101" s="71"/>
      <c r="V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W101" s="67"/>
      <c r="X101" s="67"/>
      <c r="Y101" s="67"/>
      <c r="Z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AA101" s="67"/>
      <c r="AB101" s="67"/>
      <c r="AC101" s="68"/>
      <c r="AD101" s="70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AE101" s="70"/>
      <c r="AF101" s="70"/>
      <c r="AG101" s="71"/>
      <c r="AH101" s="67"/>
      <c r="AI101" s="67"/>
      <c r="AJ101" s="67"/>
      <c r="AK101" s="67"/>
      <c r="AL101" s="67"/>
      <c r="AM101" s="67"/>
      <c r="AN101" s="67"/>
      <c r="AO101" s="68"/>
      <c r="AP101" s="70"/>
      <c r="AQ101" s="70"/>
      <c r="AR101" s="70"/>
      <c r="AS101" s="71"/>
      <c r="AT101" s="67"/>
      <c r="AU101" s="67"/>
      <c r="AV101" s="67"/>
      <c r="AW101" s="67"/>
      <c r="AX101" s="67"/>
      <c r="AY101" s="67"/>
      <c r="AZ101" s="67"/>
      <c r="BA101" s="68"/>
      <c r="BB101" s="70"/>
      <c r="BC101" s="70"/>
      <c r="BD101" s="70"/>
      <c r="BE101" s="71"/>
      <c r="BF101" s="67"/>
      <c r="BG101" s="67"/>
      <c r="BH101" s="67"/>
      <c r="BI101" s="67"/>
      <c r="BJ101" s="67"/>
      <c r="BK101" s="67"/>
      <c r="BL101" s="67"/>
      <c r="BM101" s="68"/>
      <c r="BN101" s="70"/>
      <c r="BO101" s="70"/>
      <c r="BP101" s="70"/>
      <c r="BQ101" s="71"/>
      <c r="BR101" s="67"/>
      <c r="BS101" s="67"/>
      <c r="BT101" s="67"/>
      <c r="BU101" s="67"/>
      <c r="BV101" s="67"/>
      <c r="BW101" s="67"/>
      <c r="BX101" s="67"/>
      <c r="BY101" s="68"/>
      <c r="BZ101" s="70"/>
      <c r="CA101" s="70"/>
      <c r="CB101" s="70"/>
      <c r="CC101" s="71"/>
      <c r="CD101" s="67"/>
      <c r="CE101" s="67"/>
      <c r="CF101" s="67"/>
      <c r="CG101" s="67"/>
      <c r="CH101" s="67"/>
      <c r="CI101" s="67"/>
      <c r="CJ101" s="67"/>
      <c r="CK101" s="68"/>
      <c r="CL101" s="70"/>
      <c r="CM101" s="70"/>
      <c r="CN101" s="70"/>
      <c r="CO101" s="71"/>
      <c r="CP101" s="67"/>
      <c r="CQ101" s="67"/>
      <c r="CR101" s="67"/>
      <c r="CS101" s="67"/>
      <c r="CT101" s="67"/>
      <c r="CU101" s="67"/>
      <c r="CV101" s="67"/>
      <c r="CW101" s="68"/>
      <c r="CX101" s="70"/>
      <c r="CY101" s="70"/>
      <c r="CZ101" s="70"/>
      <c r="DA101" s="71"/>
      <c r="DB101" s="67"/>
      <c r="DC101" s="67"/>
      <c r="DD101" s="67"/>
      <c r="DE101" s="67"/>
      <c r="DF101" s="67"/>
      <c r="DG101" s="67"/>
      <c r="DH101" s="67"/>
      <c r="DI101" s="68"/>
      <c r="DJ101" s="70"/>
      <c r="DK101" s="70"/>
      <c r="DL101" s="70"/>
      <c r="DM101" s="71"/>
      <c r="DN101" s="67"/>
      <c r="DO101" s="67"/>
      <c r="DP101" s="67"/>
      <c r="DQ101" s="67"/>
      <c r="DR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DS101" s="67"/>
      <c r="DT101" s="67"/>
      <c r="DU101" s="68"/>
      <c r="DV101" s="70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DW101" s="70"/>
      <c r="DX101" s="70"/>
      <c r="DY101" s="71"/>
      <c r="DZ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A101" s="67"/>
      <c r="EB101" s="67"/>
      <c r="EC101" s="67"/>
      <c r="ED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E101" s="67"/>
      <c r="EF101" s="67"/>
      <c r="EG101" s="68"/>
      <c r="EH101" s="70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I101" s="70"/>
      <c r="EJ101" s="70"/>
      <c r="EK101" s="71"/>
      <c r="EL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M101" s="67"/>
      <c r="EN101" s="67"/>
      <c r="EO101" s="67"/>
      <c r="EP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Q101" s="67"/>
      <c r="ER101" s="67"/>
      <c r="ES101" s="68"/>
    </row>
    <row r="102" spans="2:149" hidden="1" outlineLevel="1" x14ac:dyDescent="0.45">
      <c r="B102" s="73"/>
      <c r="C102" s="22">
        <v>1000000</v>
      </c>
      <c r="D102" s="23" t="s">
        <v>23</v>
      </c>
      <c r="E102" s="24">
        <f ca="1">SUM(F102:CW102)</f>
        <v>0</v>
      </c>
      <c r="F102" s="69">
        <f ca="1">IFERROR($C102*F101,"")</f>
        <v>0</v>
      </c>
      <c r="G102" s="62"/>
      <c r="H102" s="62"/>
      <c r="I102" s="62"/>
      <c r="J102" s="62">
        <f t="shared" ref="J102" ca="1" si="1091">IFERROR($C102*J101,"")</f>
        <v>0</v>
      </c>
      <c r="K102" s="62"/>
      <c r="L102" s="62"/>
      <c r="M102" s="62"/>
      <c r="N102" s="63">
        <f t="shared" ref="N102" ca="1" si="1092">IFERROR($C102*N101,"")</f>
        <v>0</v>
      </c>
      <c r="O102" s="64"/>
      <c r="P102" s="64"/>
      <c r="Q102" s="64"/>
      <c r="R102" s="64">
        <f t="shared" ref="R102" ca="1" si="1093">IFERROR($C102*R101,"")</f>
        <v>0</v>
      </c>
      <c r="S102" s="64"/>
      <c r="T102" s="64"/>
      <c r="U102" s="65"/>
      <c r="V102" s="62">
        <f t="shared" ref="V102" ca="1" si="1094">IFERROR($C102*V101,"")</f>
        <v>0</v>
      </c>
      <c r="W102" s="62"/>
      <c r="X102" s="62"/>
      <c r="Y102" s="62"/>
      <c r="Z102" s="62">
        <f t="shared" ref="Z102" ca="1" si="1095">IFERROR($C102*Z101,"")</f>
        <v>0</v>
      </c>
      <c r="AA102" s="62"/>
      <c r="AB102" s="62"/>
      <c r="AC102" s="63"/>
      <c r="AD102" s="64">
        <f t="shared" ref="AD102" ca="1" si="1096">IFERROR($C102*AD101,"")</f>
        <v>0</v>
      </c>
      <c r="AE102" s="64"/>
      <c r="AF102" s="64"/>
      <c r="AG102" s="65"/>
      <c r="AH102" s="62">
        <f t="shared" ref="AH102" si="1097">IFERROR($C102*AH101,"")</f>
        <v>0</v>
      </c>
      <c r="AI102" s="62"/>
      <c r="AJ102" s="62"/>
      <c r="AK102" s="62"/>
      <c r="AL102" s="62">
        <f t="shared" ref="AL102" si="1098">IFERROR($C102*AL101,"")</f>
        <v>0</v>
      </c>
      <c r="AM102" s="62"/>
      <c r="AN102" s="62"/>
      <c r="AO102" s="63"/>
      <c r="AP102" s="64">
        <f t="shared" ref="AP102" si="1099">IFERROR($C102*AP101,"")</f>
        <v>0</v>
      </c>
      <c r="AQ102" s="64"/>
      <c r="AR102" s="64"/>
      <c r="AS102" s="65"/>
      <c r="AT102" s="62">
        <f t="shared" ref="AT102" si="1100">IFERROR($C102*AT101,"")</f>
        <v>0</v>
      </c>
      <c r="AU102" s="62"/>
      <c r="AV102" s="62"/>
      <c r="AW102" s="62"/>
      <c r="AX102" s="62">
        <f t="shared" ref="AX102" si="1101">IFERROR($C102*AX101,"")</f>
        <v>0</v>
      </c>
      <c r="AY102" s="62"/>
      <c r="AZ102" s="62"/>
      <c r="BA102" s="63"/>
      <c r="BB102" s="64">
        <f t="shared" ref="BB102" si="1102">IFERROR($C102*BB101,"")</f>
        <v>0</v>
      </c>
      <c r="BC102" s="64"/>
      <c r="BD102" s="64"/>
      <c r="BE102" s="65"/>
      <c r="BF102" s="62">
        <f t="shared" ref="BF102" si="1103">IFERROR($C102*BF101,"")</f>
        <v>0</v>
      </c>
      <c r="BG102" s="62"/>
      <c r="BH102" s="62"/>
      <c r="BI102" s="62"/>
      <c r="BJ102" s="62">
        <f t="shared" ref="BJ102" si="1104">IFERROR($C102*BJ101,"")</f>
        <v>0</v>
      </c>
      <c r="BK102" s="62"/>
      <c r="BL102" s="62"/>
      <c r="BM102" s="63"/>
      <c r="BN102" s="64">
        <f t="shared" ref="BN102" si="1105">IFERROR($C102*BN101,"")</f>
        <v>0</v>
      </c>
      <c r="BO102" s="64"/>
      <c r="BP102" s="64"/>
      <c r="BQ102" s="65"/>
      <c r="BR102" s="62">
        <f t="shared" ref="BR102" si="1106">IFERROR($C102*BR101,"")</f>
        <v>0</v>
      </c>
      <c r="BS102" s="62"/>
      <c r="BT102" s="62"/>
      <c r="BU102" s="62"/>
      <c r="BV102" s="62">
        <f t="shared" ref="BV102" si="1107">IFERROR($C102*BV101,"")</f>
        <v>0</v>
      </c>
      <c r="BW102" s="62"/>
      <c r="BX102" s="62"/>
      <c r="BY102" s="63"/>
      <c r="BZ102" s="64">
        <f t="shared" ref="BZ102" si="1108">IFERROR($C102*BZ101,"")</f>
        <v>0</v>
      </c>
      <c r="CA102" s="64"/>
      <c r="CB102" s="64"/>
      <c r="CC102" s="65"/>
      <c r="CD102" s="62">
        <f t="shared" ref="CD102" si="1109">IFERROR($C102*CD101,"")</f>
        <v>0</v>
      </c>
      <c r="CE102" s="62"/>
      <c r="CF102" s="62"/>
      <c r="CG102" s="62"/>
      <c r="CH102" s="62">
        <f t="shared" ref="CH102" si="1110">IFERROR($C102*CH101,"")</f>
        <v>0</v>
      </c>
      <c r="CI102" s="62"/>
      <c r="CJ102" s="62"/>
      <c r="CK102" s="63"/>
      <c r="CL102" s="64">
        <f t="shared" ref="CL102" si="1111">IFERROR($C102*CL101,"")</f>
        <v>0</v>
      </c>
      <c r="CM102" s="64"/>
      <c r="CN102" s="64"/>
      <c r="CO102" s="65"/>
      <c r="CP102" s="62">
        <f t="shared" ref="CP102" si="1112">IFERROR($C102*CP101,"")</f>
        <v>0</v>
      </c>
      <c r="CQ102" s="62"/>
      <c r="CR102" s="62"/>
      <c r="CS102" s="62"/>
      <c r="CT102" s="62">
        <f t="shared" ref="CT102" si="1113">IFERROR($C102*CT101,"")</f>
        <v>0</v>
      </c>
      <c r="CU102" s="62"/>
      <c r="CV102" s="62"/>
      <c r="CW102" s="63"/>
      <c r="CX102" s="64">
        <f t="shared" ref="CX102" si="1114">IFERROR($C102*CX101,"")</f>
        <v>0</v>
      </c>
      <c r="CY102" s="64"/>
      <c r="CZ102" s="64"/>
      <c r="DA102" s="65"/>
      <c r="DB102" s="62">
        <f t="shared" ref="DB102" si="1115">IFERROR($C102*DB101,"")</f>
        <v>0</v>
      </c>
      <c r="DC102" s="62"/>
      <c r="DD102" s="62"/>
      <c r="DE102" s="62"/>
      <c r="DF102" s="62">
        <f t="shared" ref="DF102" si="1116">IFERROR($C102*DF101,"")</f>
        <v>0</v>
      </c>
      <c r="DG102" s="62"/>
      <c r="DH102" s="62"/>
      <c r="DI102" s="63"/>
      <c r="DJ102" s="64">
        <f t="shared" ref="DJ102" si="1117">IFERROR($C102*DJ101,"")</f>
        <v>0</v>
      </c>
      <c r="DK102" s="64"/>
      <c r="DL102" s="64"/>
      <c r="DM102" s="65"/>
      <c r="DN102" s="62">
        <f t="shared" ref="DN102" si="1118">IFERROR($C102*DN101,"")</f>
        <v>0</v>
      </c>
      <c r="DO102" s="62"/>
      <c r="DP102" s="62"/>
      <c r="DQ102" s="62"/>
      <c r="DR102" s="62">
        <f t="shared" ref="DR102" ca="1" si="1119">IFERROR($C102*DR101,"")</f>
        <v>0</v>
      </c>
      <c r="DS102" s="62"/>
      <c r="DT102" s="62"/>
      <c r="DU102" s="63"/>
      <c r="DV102" s="64">
        <f t="shared" ref="DV102" ca="1" si="1120">IFERROR($C102*DV101,"")</f>
        <v>0</v>
      </c>
      <c r="DW102" s="64"/>
      <c r="DX102" s="64"/>
      <c r="DY102" s="65"/>
      <c r="DZ102" s="62">
        <f t="shared" ref="DZ102" ca="1" si="1121">IFERROR($C102*DZ101,"")</f>
        <v>0</v>
      </c>
      <c r="EA102" s="62"/>
      <c r="EB102" s="62"/>
      <c r="EC102" s="62"/>
      <c r="ED102" s="62">
        <f t="shared" ref="ED102" ca="1" si="1122">IFERROR($C102*ED101,"")</f>
        <v>0</v>
      </c>
      <c r="EE102" s="62"/>
      <c r="EF102" s="62"/>
      <c r="EG102" s="63"/>
      <c r="EH102" s="64">
        <f t="shared" ref="EH102" ca="1" si="1123">IFERROR($C102*EH101,"")</f>
        <v>0</v>
      </c>
      <c r="EI102" s="64"/>
      <c r="EJ102" s="64"/>
      <c r="EK102" s="65"/>
      <c r="EL102" s="62">
        <f t="shared" ref="EL102" ca="1" si="1124">IFERROR($C102*EL101,"")</f>
        <v>0</v>
      </c>
      <c r="EM102" s="62"/>
      <c r="EN102" s="62"/>
      <c r="EO102" s="62"/>
      <c r="EP102" s="62">
        <f t="shared" ref="EP102" ca="1" si="1125">IFERROR($C102*EP101,"")</f>
        <v>0</v>
      </c>
      <c r="EQ102" s="62"/>
      <c r="ER102" s="62"/>
      <c r="ES102" s="63"/>
    </row>
    <row r="103" spans="2:149" hidden="1" outlineLevel="1" x14ac:dyDescent="0.45">
      <c r="B103" s="78"/>
      <c r="C103" s="25">
        <v>850000</v>
      </c>
      <c r="D103" s="26" t="s">
        <v>3</v>
      </c>
      <c r="E103" s="27">
        <f ca="1">SUM(F103:CW103)</f>
        <v>0</v>
      </c>
      <c r="F103" s="66">
        <f ca="1">IFERROR($C103*F101,"")</f>
        <v>0</v>
      </c>
      <c r="G103" s="60"/>
      <c r="H103" s="60"/>
      <c r="I103" s="60"/>
      <c r="J103" s="60">
        <f t="shared" ref="J103" ca="1" si="1126">IFERROR($C103*J101,"")</f>
        <v>0</v>
      </c>
      <c r="K103" s="60"/>
      <c r="L103" s="60"/>
      <c r="M103" s="60"/>
      <c r="N103" s="61">
        <f t="shared" ref="N103" ca="1" si="1127">IFERROR($C103*N101,"")</f>
        <v>0</v>
      </c>
      <c r="O103" s="58"/>
      <c r="P103" s="58"/>
      <c r="Q103" s="58"/>
      <c r="R103" s="58">
        <f t="shared" ref="R103" ca="1" si="1128">IFERROR($C103*R101,"")</f>
        <v>0</v>
      </c>
      <c r="S103" s="58"/>
      <c r="T103" s="58"/>
      <c r="U103" s="59"/>
      <c r="V103" s="60">
        <f t="shared" ref="V103" ca="1" si="1129">IFERROR($C103*V101,"")</f>
        <v>0</v>
      </c>
      <c r="W103" s="60"/>
      <c r="X103" s="60"/>
      <c r="Y103" s="60"/>
      <c r="Z103" s="60">
        <f t="shared" ref="Z103" ca="1" si="1130">IFERROR($C103*Z101,"")</f>
        <v>0</v>
      </c>
      <c r="AA103" s="60"/>
      <c r="AB103" s="60"/>
      <c r="AC103" s="61"/>
      <c r="AD103" s="58">
        <f t="shared" ref="AD103" ca="1" si="1131">IFERROR($C103*AD101,"")</f>
        <v>0</v>
      </c>
      <c r="AE103" s="58"/>
      <c r="AF103" s="58"/>
      <c r="AG103" s="59"/>
      <c r="AH103" s="60">
        <f t="shared" ref="AH103" si="1132">IFERROR($C103*AH101,"")</f>
        <v>0</v>
      </c>
      <c r="AI103" s="60"/>
      <c r="AJ103" s="60"/>
      <c r="AK103" s="60"/>
      <c r="AL103" s="60">
        <f t="shared" ref="AL103" si="1133">IFERROR($C103*AL101,"")</f>
        <v>0</v>
      </c>
      <c r="AM103" s="60"/>
      <c r="AN103" s="60"/>
      <c r="AO103" s="61"/>
      <c r="AP103" s="58">
        <f t="shared" ref="AP103" si="1134">IFERROR($C103*AP101,"")</f>
        <v>0</v>
      </c>
      <c r="AQ103" s="58"/>
      <c r="AR103" s="58"/>
      <c r="AS103" s="59"/>
      <c r="AT103" s="60">
        <f t="shared" ref="AT103" si="1135">IFERROR($C103*AT101,"")</f>
        <v>0</v>
      </c>
      <c r="AU103" s="60"/>
      <c r="AV103" s="60"/>
      <c r="AW103" s="60"/>
      <c r="AX103" s="60">
        <f t="shared" ref="AX103" si="1136">IFERROR($C103*AX101,"")</f>
        <v>0</v>
      </c>
      <c r="AY103" s="60"/>
      <c r="AZ103" s="60"/>
      <c r="BA103" s="61"/>
      <c r="BB103" s="58">
        <f t="shared" ref="BB103" si="1137">IFERROR($C103*BB101,"")</f>
        <v>0</v>
      </c>
      <c r="BC103" s="58"/>
      <c r="BD103" s="58"/>
      <c r="BE103" s="59"/>
      <c r="BF103" s="60">
        <f t="shared" ref="BF103" si="1138">IFERROR($C103*BF101,"")</f>
        <v>0</v>
      </c>
      <c r="BG103" s="60"/>
      <c r="BH103" s="60"/>
      <c r="BI103" s="60"/>
      <c r="BJ103" s="60">
        <f t="shared" ref="BJ103" si="1139">IFERROR($C103*BJ101,"")</f>
        <v>0</v>
      </c>
      <c r="BK103" s="60"/>
      <c r="BL103" s="60"/>
      <c r="BM103" s="61"/>
      <c r="BN103" s="58">
        <f t="shared" ref="BN103" si="1140">IFERROR($C103*BN101,"")</f>
        <v>0</v>
      </c>
      <c r="BO103" s="58"/>
      <c r="BP103" s="58"/>
      <c r="BQ103" s="59"/>
      <c r="BR103" s="60">
        <f t="shared" ref="BR103" si="1141">IFERROR($C103*BR101,"")</f>
        <v>0</v>
      </c>
      <c r="BS103" s="60"/>
      <c r="BT103" s="60"/>
      <c r="BU103" s="60"/>
      <c r="BV103" s="60">
        <f t="shared" ref="BV103" si="1142">IFERROR($C103*BV101,"")</f>
        <v>0</v>
      </c>
      <c r="BW103" s="60"/>
      <c r="BX103" s="60"/>
      <c r="BY103" s="61"/>
      <c r="BZ103" s="58">
        <f t="shared" ref="BZ103" si="1143">IFERROR($C103*BZ101,"")</f>
        <v>0</v>
      </c>
      <c r="CA103" s="58"/>
      <c r="CB103" s="58"/>
      <c r="CC103" s="59"/>
      <c r="CD103" s="60">
        <f t="shared" ref="CD103" si="1144">IFERROR($C103*CD101,"")</f>
        <v>0</v>
      </c>
      <c r="CE103" s="60"/>
      <c r="CF103" s="60"/>
      <c r="CG103" s="60"/>
      <c r="CH103" s="60">
        <f t="shared" ref="CH103" si="1145">IFERROR($C103*CH101,"")</f>
        <v>0</v>
      </c>
      <c r="CI103" s="60"/>
      <c r="CJ103" s="60"/>
      <c r="CK103" s="61"/>
      <c r="CL103" s="58">
        <f t="shared" ref="CL103" si="1146">IFERROR($C103*CL101,"")</f>
        <v>0</v>
      </c>
      <c r="CM103" s="58"/>
      <c r="CN103" s="58"/>
      <c r="CO103" s="59"/>
      <c r="CP103" s="60">
        <f t="shared" ref="CP103" si="1147">IFERROR($C103*CP101,"")</f>
        <v>0</v>
      </c>
      <c r="CQ103" s="60"/>
      <c r="CR103" s="60"/>
      <c r="CS103" s="60"/>
      <c r="CT103" s="60">
        <f t="shared" ref="CT103" si="1148">IFERROR($C103*CT101,"")</f>
        <v>0</v>
      </c>
      <c r="CU103" s="60"/>
      <c r="CV103" s="60"/>
      <c r="CW103" s="61"/>
      <c r="CX103" s="58">
        <f t="shared" ref="CX103" si="1149">IFERROR($C103*CX101,"")</f>
        <v>0</v>
      </c>
      <c r="CY103" s="58"/>
      <c r="CZ103" s="58"/>
      <c r="DA103" s="59"/>
      <c r="DB103" s="60">
        <f t="shared" ref="DB103" si="1150">IFERROR($C103*DB101,"")</f>
        <v>0</v>
      </c>
      <c r="DC103" s="60"/>
      <c r="DD103" s="60"/>
      <c r="DE103" s="60"/>
      <c r="DF103" s="60">
        <f t="shared" ref="DF103" si="1151">IFERROR($C103*DF101,"")</f>
        <v>0</v>
      </c>
      <c r="DG103" s="60"/>
      <c r="DH103" s="60"/>
      <c r="DI103" s="61"/>
      <c r="DJ103" s="58">
        <f t="shared" ref="DJ103" si="1152">IFERROR($C103*DJ101,"")</f>
        <v>0</v>
      </c>
      <c r="DK103" s="58"/>
      <c r="DL103" s="58"/>
      <c r="DM103" s="59"/>
      <c r="DN103" s="60">
        <f t="shared" ref="DN103" si="1153">IFERROR($C103*DN101,"")</f>
        <v>0</v>
      </c>
      <c r="DO103" s="60"/>
      <c r="DP103" s="60"/>
      <c r="DQ103" s="60"/>
      <c r="DR103" s="60">
        <f t="shared" ref="DR103" ca="1" si="1154">IFERROR($C103*DR101,"")</f>
        <v>0</v>
      </c>
      <c r="DS103" s="60"/>
      <c r="DT103" s="60"/>
      <c r="DU103" s="61"/>
      <c r="DV103" s="58">
        <f t="shared" ref="DV103" ca="1" si="1155">IFERROR($C103*DV101,"")</f>
        <v>0</v>
      </c>
      <c r="DW103" s="58"/>
      <c r="DX103" s="58"/>
      <c r="DY103" s="59"/>
      <c r="DZ103" s="60">
        <f t="shared" ref="DZ103" ca="1" si="1156">IFERROR($C103*DZ101,"")</f>
        <v>0</v>
      </c>
      <c r="EA103" s="60"/>
      <c r="EB103" s="60"/>
      <c r="EC103" s="60"/>
      <c r="ED103" s="60">
        <f t="shared" ref="ED103" ca="1" si="1157">IFERROR($C103*ED101,"")</f>
        <v>0</v>
      </c>
      <c r="EE103" s="60"/>
      <c r="EF103" s="60"/>
      <c r="EG103" s="61"/>
      <c r="EH103" s="58">
        <f t="shared" ref="EH103" ca="1" si="1158">IFERROR($C103*EH101,"")</f>
        <v>0</v>
      </c>
      <c r="EI103" s="58"/>
      <c r="EJ103" s="58"/>
      <c r="EK103" s="59"/>
      <c r="EL103" s="60">
        <f t="shared" ref="EL103" ca="1" si="1159">IFERROR($C103*EL101,"")</f>
        <v>0</v>
      </c>
      <c r="EM103" s="60"/>
      <c r="EN103" s="60"/>
      <c r="EO103" s="60"/>
      <c r="EP103" s="60">
        <f t="shared" ref="EP103" ca="1" si="1160">IFERROR($C103*EP101,"")</f>
        <v>0</v>
      </c>
      <c r="EQ103" s="60"/>
      <c r="ER103" s="60"/>
      <c r="ES103" s="61"/>
    </row>
    <row r="104" spans="2:149" hidden="1" outlineLevel="1" x14ac:dyDescent="0.45">
      <c r="B104" s="75">
        <v>14</v>
      </c>
      <c r="C104" s="19"/>
      <c r="D104" s="20" t="s">
        <v>13</v>
      </c>
      <c r="E104" s="21">
        <f ca="1">SUM(F104:ES104)</f>
        <v>0</v>
      </c>
      <c r="F104" s="74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G104" s="67"/>
      <c r="H104" s="67"/>
      <c r="I104" s="67"/>
      <c r="J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K104" s="67"/>
      <c r="L104" s="67"/>
      <c r="M104" s="67"/>
      <c r="N104" s="68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O104" s="70"/>
      <c r="P104" s="70"/>
      <c r="Q104" s="70"/>
      <c r="R104" s="70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S104" s="70"/>
      <c r="T104" s="70"/>
      <c r="U104" s="71"/>
      <c r="V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W104" s="67"/>
      <c r="X104" s="67"/>
      <c r="Y104" s="67"/>
      <c r="Z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AA104" s="67"/>
      <c r="AB104" s="67"/>
      <c r="AC104" s="68"/>
      <c r="AD104" s="70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AE104" s="70"/>
      <c r="AF104" s="70"/>
      <c r="AG104" s="71"/>
      <c r="AH104" s="67"/>
      <c r="AI104" s="67"/>
      <c r="AJ104" s="67"/>
      <c r="AK104" s="67"/>
      <c r="AL104" s="67"/>
      <c r="AM104" s="67"/>
      <c r="AN104" s="67"/>
      <c r="AO104" s="68"/>
      <c r="AP104" s="70"/>
      <c r="AQ104" s="70"/>
      <c r="AR104" s="70"/>
      <c r="AS104" s="71"/>
      <c r="AT104" s="67"/>
      <c r="AU104" s="67"/>
      <c r="AV104" s="67"/>
      <c r="AW104" s="67"/>
      <c r="AX104" s="67"/>
      <c r="AY104" s="67"/>
      <c r="AZ104" s="67"/>
      <c r="BA104" s="68"/>
      <c r="BB104" s="70"/>
      <c r="BC104" s="70"/>
      <c r="BD104" s="70"/>
      <c r="BE104" s="71"/>
      <c r="BF104" s="67"/>
      <c r="BG104" s="67"/>
      <c r="BH104" s="67"/>
      <c r="BI104" s="67"/>
      <c r="BJ104" s="67"/>
      <c r="BK104" s="67"/>
      <c r="BL104" s="67"/>
      <c r="BM104" s="68"/>
      <c r="BN104" s="70"/>
      <c r="BO104" s="70"/>
      <c r="BP104" s="70"/>
      <c r="BQ104" s="71"/>
      <c r="BR104" s="67"/>
      <c r="BS104" s="67"/>
      <c r="BT104" s="67"/>
      <c r="BU104" s="67"/>
      <c r="BV104" s="67"/>
      <c r="BW104" s="67"/>
      <c r="BX104" s="67"/>
      <c r="BY104" s="68"/>
      <c r="BZ104" s="70"/>
      <c r="CA104" s="70"/>
      <c r="CB104" s="70"/>
      <c r="CC104" s="71"/>
      <c r="CD104" s="67"/>
      <c r="CE104" s="67"/>
      <c r="CF104" s="67"/>
      <c r="CG104" s="67"/>
      <c r="CH104" s="67"/>
      <c r="CI104" s="67"/>
      <c r="CJ104" s="67"/>
      <c r="CK104" s="68"/>
      <c r="CL104" s="70"/>
      <c r="CM104" s="70"/>
      <c r="CN104" s="70"/>
      <c r="CO104" s="71"/>
      <c r="CP104" s="67"/>
      <c r="CQ104" s="67"/>
      <c r="CR104" s="67"/>
      <c r="CS104" s="67"/>
      <c r="CT104" s="67"/>
      <c r="CU104" s="67"/>
      <c r="CV104" s="67"/>
      <c r="CW104" s="68"/>
      <c r="CX104" s="70"/>
      <c r="CY104" s="70"/>
      <c r="CZ104" s="70"/>
      <c r="DA104" s="71"/>
      <c r="DB104" s="67"/>
      <c r="DC104" s="67"/>
      <c r="DD104" s="67"/>
      <c r="DE104" s="67"/>
      <c r="DF104" s="67"/>
      <c r="DG104" s="67"/>
      <c r="DH104" s="67"/>
      <c r="DI104" s="68"/>
      <c r="DJ104" s="70"/>
      <c r="DK104" s="70"/>
      <c r="DL104" s="70"/>
      <c r="DM104" s="71"/>
      <c r="DN104" s="67"/>
      <c r="DO104" s="67"/>
      <c r="DP104" s="67"/>
      <c r="DQ104" s="67"/>
      <c r="DR104" s="67"/>
      <c r="DS104" s="67"/>
      <c r="DT104" s="67"/>
      <c r="DU104" s="68"/>
      <c r="DV104" s="70"/>
      <c r="DW104" s="70"/>
      <c r="DX104" s="70"/>
      <c r="DY104" s="71"/>
      <c r="DZ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A104" s="67"/>
      <c r="EB104" s="67"/>
      <c r="EC104" s="67"/>
      <c r="ED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E104" s="67"/>
      <c r="EF104" s="67"/>
      <c r="EG104" s="68"/>
      <c r="EH104" s="70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I104" s="70"/>
      <c r="EJ104" s="70"/>
      <c r="EK104" s="71"/>
      <c r="EL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M104" s="67"/>
      <c r="EN104" s="67"/>
      <c r="EO104" s="67"/>
      <c r="EP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Q104" s="67"/>
      <c r="ER104" s="67"/>
      <c r="ES104" s="68"/>
    </row>
    <row r="105" spans="2:149" hidden="1" outlineLevel="1" x14ac:dyDescent="0.45">
      <c r="B105" s="76"/>
      <c r="C105" s="22">
        <v>1000000</v>
      </c>
      <c r="D105" s="23" t="s">
        <v>23</v>
      </c>
      <c r="E105" s="24">
        <f ca="1">SUM(F105:CW105)</f>
        <v>0</v>
      </c>
      <c r="F105" s="69">
        <f ca="1">IFERROR($C105*F104,"")</f>
        <v>0</v>
      </c>
      <c r="G105" s="62"/>
      <c r="H105" s="62"/>
      <c r="I105" s="62"/>
      <c r="J105" s="62">
        <f t="shared" ref="J105" ca="1" si="1161">IFERROR($C105*J104,"")</f>
        <v>0</v>
      </c>
      <c r="K105" s="62"/>
      <c r="L105" s="62"/>
      <c r="M105" s="62"/>
      <c r="N105" s="63">
        <f t="shared" ref="N105" ca="1" si="1162">IFERROR($C105*N104,"")</f>
        <v>0</v>
      </c>
      <c r="O105" s="64"/>
      <c r="P105" s="64"/>
      <c r="Q105" s="64"/>
      <c r="R105" s="64">
        <f t="shared" ref="R105" ca="1" si="1163">IFERROR($C105*R104,"")</f>
        <v>0</v>
      </c>
      <c r="S105" s="64"/>
      <c r="T105" s="64"/>
      <c r="U105" s="65"/>
      <c r="V105" s="62">
        <f t="shared" ref="V105" ca="1" si="1164">IFERROR($C105*V104,"")</f>
        <v>0</v>
      </c>
      <c r="W105" s="62"/>
      <c r="X105" s="62"/>
      <c r="Y105" s="62"/>
      <c r="Z105" s="62">
        <f t="shared" ref="Z105" ca="1" si="1165">IFERROR($C105*Z104,"")</f>
        <v>0</v>
      </c>
      <c r="AA105" s="62"/>
      <c r="AB105" s="62"/>
      <c r="AC105" s="63"/>
      <c r="AD105" s="64">
        <f t="shared" ref="AD105" ca="1" si="1166">IFERROR($C105*AD104,"")</f>
        <v>0</v>
      </c>
      <c r="AE105" s="64"/>
      <c r="AF105" s="64"/>
      <c r="AG105" s="65"/>
      <c r="AH105" s="62">
        <f t="shared" ref="AH105" si="1167">IFERROR($C105*AH104,"")</f>
        <v>0</v>
      </c>
      <c r="AI105" s="62"/>
      <c r="AJ105" s="62"/>
      <c r="AK105" s="62"/>
      <c r="AL105" s="62">
        <f t="shared" ref="AL105" si="1168">IFERROR($C105*AL104,"")</f>
        <v>0</v>
      </c>
      <c r="AM105" s="62"/>
      <c r="AN105" s="62"/>
      <c r="AO105" s="63"/>
      <c r="AP105" s="64">
        <f t="shared" ref="AP105" si="1169">IFERROR($C105*AP104,"")</f>
        <v>0</v>
      </c>
      <c r="AQ105" s="64"/>
      <c r="AR105" s="64"/>
      <c r="AS105" s="65"/>
      <c r="AT105" s="62">
        <f t="shared" ref="AT105" si="1170">IFERROR($C105*AT104,"")</f>
        <v>0</v>
      </c>
      <c r="AU105" s="62"/>
      <c r="AV105" s="62"/>
      <c r="AW105" s="62"/>
      <c r="AX105" s="62">
        <f t="shared" ref="AX105" si="1171">IFERROR($C105*AX104,"")</f>
        <v>0</v>
      </c>
      <c r="AY105" s="62"/>
      <c r="AZ105" s="62"/>
      <c r="BA105" s="63"/>
      <c r="BB105" s="64">
        <f t="shared" ref="BB105" si="1172">IFERROR($C105*BB104,"")</f>
        <v>0</v>
      </c>
      <c r="BC105" s="64"/>
      <c r="BD105" s="64"/>
      <c r="BE105" s="65"/>
      <c r="BF105" s="62">
        <f t="shared" ref="BF105" si="1173">IFERROR($C105*BF104,"")</f>
        <v>0</v>
      </c>
      <c r="BG105" s="62"/>
      <c r="BH105" s="62"/>
      <c r="BI105" s="62"/>
      <c r="BJ105" s="62">
        <f t="shared" ref="BJ105" si="1174">IFERROR($C105*BJ104,"")</f>
        <v>0</v>
      </c>
      <c r="BK105" s="62"/>
      <c r="BL105" s="62"/>
      <c r="BM105" s="63"/>
      <c r="BN105" s="64">
        <f t="shared" ref="BN105" si="1175">IFERROR($C105*BN104,"")</f>
        <v>0</v>
      </c>
      <c r="BO105" s="64"/>
      <c r="BP105" s="64"/>
      <c r="BQ105" s="65"/>
      <c r="BR105" s="62">
        <f t="shared" ref="BR105" si="1176">IFERROR($C105*BR104,"")</f>
        <v>0</v>
      </c>
      <c r="BS105" s="62"/>
      <c r="BT105" s="62"/>
      <c r="BU105" s="62"/>
      <c r="BV105" s="62">
        <f t="shared" ref="BV105" si="1177">IFERROR($C105*BV104,"")</f>
        <v>0</v>
      </c>
      <c r="BW105" s="62"/>
      <c r="BX105" s="62"/>
      <c r="BY105" s="63"/>
      <c r="BZ105" s="64">
        <f t="shared" ref="BZ105" si="1178">IFERROR($C105*BZ104,"")</f>
        <v>0</v>
      </c>
      <c r="CA105" s="64"/>
      <c r="CB105" s="64"/>
      <c r="CC105" s="65"/>
      <c r="CD105" s="62">
        <f t="shared" ref="CD105" si="1179">IFERROR($C105*CD104,"")</f>
        <v>0</v>
      </c>
      <c r="CE105" s="62"/>
      <c r="CF105" s="62"/>
      <c r="CG105" s="62"/>
      <c r="CH105" s="62">
        <f t="shared" ref="CH105" si="1180">IFERROR($C105*CH104,"")</f>
        <v>0</v>
      </c>
      <c r="CI105" s="62"/>
      <c r="CJ105" s="62"/>
      <c r="CK105" s="63"/>
      <c r="CL105" s="64">
        <f t="shared" ref="CL105" si="1181">IFERROR($C105*CL104,"")</f>
        <v>0</v>
      </c>
      <c r="CM105" s="64"/>
      <c r="CN105" s="64"/>
      <c r="CO105" s="65"/>
      <c r="CP105" s="62">
        <f t="shared" ref="CP105" si="1182">IFERROR($C105*CP104,"")</f>
        <v>0</v>
      </c>
      <c r="CQ105" s="62"/>
      <c r="CR105" s="62"/>
      <c r="CS105" s="62"/>
      <c r="CT105" s="62">
        <f t="shared" ref="CT105" si="1183">IFERROR($C105*CT104,"")</f>
        <v>0</v>
      </c>
      <c r="CU105" s="62"/>
      <c r="CV105" s="62"/>
      <c r="CW105" s="63"/>
      <c r="CX105" s="64">
        <f t="shared" ref="CX105" si="1184">IFERROR($C105*CX104,"")</f>
        <v>0</v>
      </c>
      <c r="CY105" s="64"/>
      <c r="CZ105" s="64"/>
      <c r="DA105" s="65"/>
      <c r="DB105" s="62">
        <f t="shared" ref="DB105" si="1185">IFERROR($C105*DB104,"")</f>
        <v>0</v>
      </c>
      <c r="DC105" s="62"/>
      <c r="DD105" s="62"/>
      <c r="DE105" s="62"/>
      <c r="DF105" s="62">
        <f t="shared" ref="DF105" si="1186">IFERROR($C105*DF104,"")</f>
        <v>0</v>
      </c>
      <c r="DG105" s="62"/>
      <c r="DH105" s="62"/>
      <c r="DI105" s="63"/>
      <c r="DJ105" s="64">
        <f t="shared" ref="DJ105" si="1187">IFERROR($C105*DJ104,"")</f>
        <v>0</v>
      </c>
      <c r="DK105" s="64"/>
      <c r="DL105" s="64"/>
      <c r="DM105" s="65"/>
      <c r="DN105" s="62">
        <f t="shared" ref="DN105" si="1188">IFERROR($C105*DN104,"")</f>
        <v>0</v>
      </c>
      <c r="DO105" s="62"/>
      <c r="DP105" s="62"/>
      <c r="DQ105" s="62"/>
      <c r="DR105" s="62">
        <f t="shared" ref="DR105" si="1189">IFERROR($C105*DR104,"")</f>
        <v>0</v>
      </c>
      <c r="DS105" s="62"/>
      <c r="DT105" s="62"/>
      <c r="DU105" s="63"/>
      <c r="DV105" s="64">
        <f t="shared" ref="DV105" si="1190">IFERROR($C105*DV104,"")</f>
        <v>0</v>
      </c>
      <c r="DW105" s="64"/>
      <c r="DX105" s="64"/>
      <c r="DY105" s="65"/>
      <c r="DZ105" s="62">
        <f t="shared" ref="DZ105" ca="1" si="1191">IFERROR($C105*DZ104,"")</f>
        <v>0</v>
      </c>
      <c r="EA105" s="62"/>
      <c r="EB105" s="62"/>
      <c r="EC105" s="62"/>
      <c r="ED105" s="62">
        <f t="shared" ref="ED105" ca="1" si="1192">IFERROR($C105*ED104,"")</f>
        <v>0</v>
      </c>
      <c r="EE105" s="62"/>
      <c r="EF105" s="62"/>
      <c r="EG105" s="63"/>
      <c r="EH105" s="64">
        <f t="shared" ref="EH105" ca="1" si="1193">IFERROR($C105*EH104,"")</f>
        <v>0</v>
      </c>
      <c r="EI105" s="64"/>
      <c r="EJ105" s="64"/>
      <c r="EK105" s="65"/>
      <c r="EL105" s="62">
        <f t="shared" ref="EL105" ca="1" si="1194">IFERROR($C105*EL104,"")</f>
        <v>0</v>
      </c>
      <c r="EM105" s="62"/>
      <c r="EN105" s="62"/>
      <c r="EO105" s="62"/>
      <c r="EP105" s="62">
        <f t="shared" ref="EP105" ca="1" si="1195">IFERROR($C105*EP104,"")</f>
        <v>0</v>
      </c>
      <c r="EQ105" s="62"/>
      <c r="ER105" s="62"/>
      <c r="ES105" s="63"/>
    </row>
    <row r="106" spans="2:149" hidden="1" outlineLevel="1" x14ac:dyDescent="0.45">
      <c r="B106" s="77"/>
      <c r="C106" s="25">
        <v>850000</v>
      </c>
      <c r="D106" s="26" t="s">
        <v>3</v>
      </c>
      <c r="E106" s="27">
        <f ca="1">SUM(F106:CW106)</f>
        <v>0</v>
      </c>
      <c r="F106" s="66">
        <f ca="1">IFERROR($C106*F104,"")</f>
        <v>0</v>
      </c>
      <c r="G106" s="60"/>
      <c r="H106" s="60"/>
      <c r="I106" s="60"/>
      <c r="J106" s="60">
        <f t="shared" ref="J106" ca="1" si="1196">IFERROR($C106*J104,"")</f>
        <v>0</v>
      </c>
      <c r="K106" s="60"/>
      <c r="L106" s="60"/>
      <c r="M106" s="60"/>
      <c r="N106" s="61">
        <f t="shared" ref="N106" ca="1" si="1197">IFERROR($C106*N104,"")</f>
        <v>0</v>
      </c>
      <c r="O106" s="58"/>
      <c r="P106" s="58"/>
      <c r="Q106" s="58"/>
      <c r="R106" s="58">
        <f t="shared" ref="R106" ca="1" si="1198">IFERROR($C106*R104,"")</f>
        <v>0</v>
      </c>
      <c r="S106" s="58"/>
      <c r="T106" s="58"/>
      <c r="U106" s="59"/>
      <c r="V106" s="60">
        <f t="shared" ref="V106" ca="1" si="1199">IFERROR($C106*V104,"")</f>
        <v>0</v>
      </c>
      <c r="W106" s="60"/>
      <c r="X106" s="60"/>
      <c r="Y106" s="60"/>
      <c r="Z106" s="60">
        <f t="shared" ref="Z106" ca="1" si="1200">IFERROR($C106*Z104,"")</f>
        <v>0</v>
      </c>
      <c r="AA106" s="60"/>
      <c r="AB106" s="60"/>
      <c r="AC106" s="61"/>
      <c r="AD106" s="58">
        <f t="shared" ref="AD106" ca="1" si="1201">IFERROR($C106*AD104,"")</f>
        <v>0</v>
      </c>
      <c r="AE106" s="58"/>
      <c r="AF106" s="58"/>
      <c r="AG106" s="59"/>
      <c r="AH106" s="60">
        <f t="shared" ref="AH106" si="1202">IFERROR($C106*AH104,"")</f>
        <v>0</v>
      </c>
      <c r="AI106" s="60"/>
      <c r="AJ106" s="60"/>
      <c r="AK106" s="60"/>
      <c r="AL106" s="60">
        <f t="shared" ref="AL106" si="1203">IFERROR($C106*AL104,"")</f>
        <v>0</v>
      </c>
      <c r="AM106" s="60"/>
      <c r="AN106" s="60"/>
      <c r="AO106" s="61"/>
      <c r="AP106" s="58">
        <f t="shared" ref="AP106" si="1204">IFERROR($C106*AP104,"")</f>
        <v>0</v>
      </c>
      <c r="AQ106" s="58"/>
      <c r="AR106" s="58"/>
      <c r="AS106" s="59"/>
      <c r="AT106" s="60">
        <f t="shared" ref="AT106" si="1205">IFERROR($C106*AT104,"")</f>
        <v>0</v>
      </c>
      <c r="AU106" s="60"/>
      <c r="AV106" s="60"/>
      <c r="AW106" s="60"/>
      <c r="AX106" s="60">
        <f t="shared" ref="AX106" si="1206">IFERROR($C106*AX104,"")</f>
        <v>0</v>
      </c>
      <c r="AY106" s="60"/>
      <c r="AZ106" s="60"/>
      <c r="BA106" s="61"/>
      <c r="BB106" s="58">
        <f t="shared" ref="BB106" si="1207">IFERROR($C106*BB104,"")</f>
        <v>0</v>
      </c>
      <c r="BC106" s="58"/>
      <c r="BD106" s="58"/>
      <c r="BE106" s="59"/>
      <c r="BF106" s="60">
        <f t="shared" ref="BF106" si="1208">IFERROR($C106*BF104,"")</f>
        <v>0</v>
      </c>
      <c r="BG106" s="60"/>
      <c r="BH106" s="60"/>
      <c r="BI106" s="60"/>
      <c r="BJ106" s="60">
        <f t="shared" ref="BJ106" si="1209">IFERROR($C106*BJ104,"")</f>
        <v>0</v>
      </c>
      <c r="BK106" s="60"/>
      <c r="BL106" s="60"/>
      <c r="BM106" s="61"/>
      <c r="BN106" s="58">
        <f t="shared" ref="BN106" si="1210">IFERROR($C106*BN104,"")</f>
        <v>0</v>
      </c>
      <c r="BO106" s="58"/>
      <c r="BP106" s="58"/>
      <c r="BQ106" s="59"/>
      <c r="BR106" s="60">
        <f t="shared" ref="BR106" si="1211">IFERROR($C106*BR104,"")</f>
        <v>0</v>
      </c>
      <c r="BS106" s="60"/>
      <c r="BT106" s="60"/>
      <c r="BU106" s="60"/>
      <c r="BV106" s="60">
        <f t="shared" ref="BV106" si="1212">IFERROR($C106*BV104,"")</f>
        <v>0</v>
      </c>
      <c r="BW106" s="60"/>
      <c r="BX106" s="60"/>
      <c r="BY106" s="61"/>
      <c r="BZ106" s="58">
        <f t="shared" ref="BZ106" si="1213">IFERROR($C106*BZ104,"")</f>
        <v>0</v>
      </c>
      <c r="CA106" s="58"/>
      <c r="CB106" s="58"/>
      <c r="CC106" s="59"/>
      <c r="CD106" s="60">
        <f t="shared" ref="CD106" si="1214">IFERROR($C106*CD104,"")</f>
        <v>0</v>
      </c>
      <c r="CE106" s="60"/>
      <c r="CF106" s="60"/>
      <c r="CG106" s="60"/>
      <c r="CH106" s="60">
        <f t="shared" ref="CH106" si="1215">IFERROR($C106*CH104,"")</f>
        <v>0</v>
      </c>
      <c r="CI106" s="60"/>
      <c r="CJ106" s="60"/>
      <c r="CK106" s="61"/>
      <c r="CL106" s="58">
        <f t="shared" ref="CL106" si="1216">IFERROR($C106*CL104,"")</f>
        <v>0</v>
      </c>
      <c r="CM106" s="58"/>
      <c r="CN106" s="58"/>
      <c r="CO106" s="59"/>
      <c r="CP106" s="60">
        <f t="shared" ref="CP106" si="1217">IFERROR($C106*CP104,"")</f>
        <v>0</v>
      </c>
      <c r="CQ106" s="60"/>
      <c r="CR106" s="60"/>
      <c r="CS106" s="60"/>
      <c r="CT106" s="60">
        <f t="shared" ref="CT106" si="1218">IFERROR($C106*CT104,"")</f>
        <v>0</v>
      </c>
      <c r="CU106" s="60"/>
      <c r="CV106" s="60"/>
      <c r="CW106" s="61"/>
      <c r="CX106" s="58">
        <f t="shared" ref="CX106" si="1219">IFERROR($C106*CX104,"")</f>
        <v>0</v>
      </c>
      <c r="CY106" s="58"/>
      <c r="CZ106" s="58"/>
      <c r="DA106" s="59"/>
      <c r="DB106" s="60">
        <f t="shared" ref="DB106" si="1220">IFERROR($C106*DB104,"")</f>
        <v>0</v>
      </c>
      <c r="DC106" s="60"/>
      <c r="DD106" s="60"/>
      <c r="DE106" s="60"/>
      <c r="DF106" s="60">
        <f t="shared" ref="DF106" si="1221">IFERROR($C106*DF104,"")</f>
        <v>0</v>
      </c>
      <c r="DG106" s="60"/>
      <c r="DH106" s="60"/>
      <c r="DI106" s="61"/>
      <c r="DJ106" s="58">
        <f t="shared" ref="DJ106" si="1222">IFERROR($C106*DJ104,"")</f>
        <v>0</v>
      </c>
      <c r="DK106" s="58"/>
      <c r="DL106" s="58"/>
      <c r="DM106" s="59"/>
      <c r="DN106" s="60">
        <f t="shared" ref="DN106" si="1223">IFERROR($C106*DN104,"")</f>
        <v>0</v>
      </c>
      <c r="DO106" s="60"/>
      <c r="DP106" s="60"/>
      <c r="DQ106" s="60"/>
      <c r="DR106" s="60">
        <f t="shared" ref="DR106" si="1224">IFERROR($C106*DR104,"")</f>
        <v>0</v>
      </c>
      <c r="DS106" s="60"/>
      <c r="DT106" s="60"/>
      <c r="DU106" s="61"/>
      <c r="DV106" s="58">
        <f t="shared" ref="DV106" si="1225">IFERROR($C106*DV104,"")</f>
        <v>0</v>
      </c>
      <c r="DW106" s="58"/>
      <c r="DX106" s="58"/>
      <c r="DY106" s="59"/>
      <c r="DZ106" s="60">
        <f t="shared" ref="DZ106" ca="1" si="1226">IFERROR($C106*DZ104,"")</f>
        <v>0</v>
      </c>
      <c r="EA106" s="60"/>
      <c r="EB106" s="60"/>
      <c r="EC106" s="60"/>
      <c r="ED106" s="60">
        <f t="shared" ref="ED106" ca="1" si="1227">IFERROR($C106*ED104,"")</f>
        <v>0</v>
      </c>
      <c r="EE106" s="60"/>
      <c r="EF106" s="60"/>
      <c r="EG106" s="61"/>
      <c r="EH106" s="58">
        <f t="shared" ref="EH106" ca="1" si="1228">IFERROR($C106*EH104,"")</f>
        <v>0</v>
      </c>
      <c r="EI106" s="58"/>
      <c r="EJ106" s="58"/>
      <c r="EK106" s="59"/>
      <c r="EL106" s="60">
        <f t="shared" ref="EL106" ca="1" si="1229">IFERROR($C106*EL104,"")</f>
        <v>0</v>
      </c>
      <c r="EM106" s="60"/>
      <c r="EN106" s="60"/>
      <c r="EO106" s="60"/>
      <c r="EP106" s="60">
        <f t="shared" ref="EP106" ca="1" si="1230">IFERROR($C106*EP104,"")</f>
        <v>0</v>
      </c>
      <c r="EQ106" s="60"/>
      <c r="ER106" s="60"/>
      <c r="ES106" s="61"/>
    </row>
    <row r="107" spans="2:149" hidden="1" outlineLevel="1" x14ac:dyDescent="0.45">
      <c r="B107" s="72">
        <v>15</v>
      </c>
      <c r="C107" s="19"/>
      <c r="D107" s="20" t="s">
        <v>13</v>
      </c>
      <c r="E107" s="21">
        <f ca="1">SUM(F107:ES107)</f>
        <v>0</v>
      </c>
      <c r="F107" s="74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G107" s="67"/>
      <c r="H107" s="67"/>
      <c r="I107" s="67"/>
      <c r="J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K107" s="67"/>
      <c r="L107" s="67"/>
      <c r="M107" s="67"/>
      <c r="N107" s="68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O107" s="70"/>
      <c r="P107" s="70"/>
      <c r="Q107" s="70"/>
      <c r="R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S107" s="70"/>
      <c r="T107" s="70"/>
      <c r="U107" s="71"/>
      <c r="V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W107" s="67"/>
      <c r="X107" s="67"/>
      <c r="Y107" s="67"/>
      <c r="Z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A107" s="67"/>
      <c r="AB107" s="67"/>
      <c r="AC107" s="68"/>
      <c r="AD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E107" s="70"/>
      <c r="AF107" s="70"/>
      <c r="AG107" s="71"/>
      <c r="AH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I107" s="67"/>
      <c r="AJ107" s="67"/>
      <c r="AK107" s="67"/>
      <c r="AL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M107" s="67"/>
      <c r="AN107" s="67"/>
      <c r="AO107" s="68"/>
      <c r="AP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Q107" s="70"/>
      <c r="AR107" s="70"/>
      <c r="AS107" s="71"/>
      <c r="AT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U107" s="67"/>
      <c r="AV107" s="67"/>
      <c r="AW107" s="67"/>
      <c r="AX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AY107" s="67"/>
      <c r="AZ107" s="67"/>
      <c r="BA107" s="68"/>
      <c r="BB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BC107" s="70"/>
      <c r="BD107" s="70"/>
      <c r="BE107" s="71"/>
      <c r="BF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BG107" s="67"/>
      <c r="BH107" s="67"/>
      <c r="BI107" s="67"/>
      <c r="BJ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BK107" s="67"/>
      <c r="BL107" s="67"/>
      <c r="BM107" s="68"/>
      <c r="BN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BO107" s="70"/>
      <c r="BP107" s="70"/>
      <c r="BQ107" s="71"/>
      <c r="BR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BS107" s="67"/>
      <c r="BT107" s="67"/>
      <c r="BU107" s="67"/>
      <c r="BV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BW107" s="67"/>
      <c r="BX107" s="67"/>
      <c r="BY107" s="68"/>
      <c r="BZ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A107" s="70"/>
      <c r="CB107" s="70"/>
      <c r="CC107" s="71"/>
      <c r="CD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E107" s="67"/>
      <c r="CF107" s="67"/>
      <c r="CG107" s="67"/>
      <c r="CH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I107" s="67"/>
      <c r="CJ107" s="67"/>
      <c r="CK107" s="68"/>
      <c r="CL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M107" s="70"/>
      <c r="CN107" s="70"/>
      <c r="CO107" s="71"/>
      <c r="CP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Q107" s="67"/>
      <c r="CR107" s="67"/>
      <c r="CS107" s="67"/>
      <c r="CT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U107" s="67"/>
      <c r="CV107" s="67"/>
      <c r="CW107" s="68"/>
      <c r="CX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CY107" s="70"/>
      <c r="CZ107" s="70"/>
      <c r="DA107" s="71"/>
      <c r="DB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C107" s="67"/>
      <c r="DD107" s="67"/>
      <c r="DE107" s="67"/>
      <c r="DF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G107" s="67"/>
      <c r="DH107" s="67"/>
      <c r="DI107" s="68"/>
      <c r="DJ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K107" s="70"/>
      <c r="DL107" s="70"/>
      <c r="DM107" s="71"/>
      <c r="DN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O107" s="67"/>
      <c r="DP107" s="67"/>
      <c r="DQ107" s="67"/>
      <c r="DR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S107" s="67"/>
      <c r="DT107" s="67"/>
      <c r="DU107" s="68"/>
      <c r="DV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W107" s="70"/>
      <c r="DX107" s="70"/>
      <c r="DY107" s="71"/>
      <c r="DZ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A107" s="67"/>
      <c r="EB107" s="67"/>
      <c r="EC107" s="67"/>
      <c r="ED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E107" s="67"/>
      <c r="EF107" s="67"/>
      <c r="EG107" s="68"/>
      <c r="EH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I107" s="70"/>
      <c r="EJ107" s="70"/>
      <c r="EK107" s="71"/>
      <c r="EL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M107" s="67"/>
      <c r="EN107" s="67"/>
      <c r="EO107" s="67"/>
      <c r="EP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Q107" s="67"/>
      <c r="ER107" s="67"/>
      <c r="ES107" s="68"/>
    </row>
    <row r="108" spans="2:149" hidden="1" outlineLevel="1" x14ac:dyDescent="0.45">
      <c r="B108" s="73"/>
      <c r="C108" s="22" t="str">
        <f>IFERROR(VLOOKUP(B107,[2]単価マスタ!A:E,2,FALSE),"")</f>
        <v/>
      </c>
      <c r="D108" s="23" t="s">
        <v>23</v>
      </c>
      <c r="E108" s="24">
        <f ca="1">SUM(F108:CW108)</f>
        <v>0</v>
      </c>
      <c r="F108" s="69" t="str">
        <f ca="1">IFERROR($C108*F107,"")</f>
        <v/>
      </c>
      <c r="G108" s="62"/>
      <c r="H108" s="62"/>
      <c r="I108" s="62"/>
      <c r="J108" s="62" t="str">
        <f t="shared" ref="J108" ca="1" si="1231">IFERROR($C108*J107,"")</f>
        <v/>
      </c>
      <c r="K108" s="62"/>
      <c r="L108" s="62"/>
      <c r="M108" s="62"/>
      <c r="N108" s="63" t="str">
        <f t="shared" ref="N108" ca="1" si="1232">IFERROR($C108*N107,"")</f>
        <v/>
      </c>
      <c r="O108" s="64"/>
      <c r="P108" s="64"/>
      <c r="Q108" s="64"/>
      <c r="R108" s="64" t="str">
        <f t="shared" ref="R108" ca="1" si="1233">IFERROR($C108*R107,"")</f>
        <v/>
      </c>
      <c r="S108" s="64"/>
      <c r="T108" s="64"/>
      <c r="U108" s="65"/>
      <c r="V108" s="62" t="str">
        <f t="shared" ref="V108" ca="1" si="1234">IFERROR($C108*V107,"")</f>
        <v/>
      </c>
      <c r="W108" s="62"/>
      <c r="X108" s="62"/>
      <c r="Y108" s="62"/>
      <c r="Z108" s="62" t="str">
        <f t="shared" ref="Z108" ca="1" si="1235">IFERROR($C108*Z107,"")</f>
        <v/>
      </c>
      <c r="AA108" s="62"/>
      <c r="AB108" s="62"/>
      <c r="AC108" s="63"/>
      <c r="AD108" s="64" t="str">
        <f t="shared" ref="AD108" ca="1" si="1236">IFERROR($C108*AD107,"")</f>
        <v/>
      </c>
      <c r="AE108" s="64"/>
      <c r="AF108" s="64"/>
      <c r="AG108" s="65"/>
      <c r="AH108" s="62" t="str">
        <f t="shared" ref="AH108" ca="1" si="1237">IFERROR($C108*AH107,"")</f>
        <v/>
      </c>
      <c r="AI108" s="62"/>
      <c r="AJ108" s="62"/>
      <c r="AK108" s="62"/>
      <c r="AL108" s="62" t="str">
        <f t="shared" ref="AL108" ca="1" si="1238">IFERROR($C108*AL107,"")</f>
        <v/>
      </c>
      <c r="AM108" s="62"/>
      <c r="AN108" s="62"/>
      <c r="AO108" s="63"/>
      <c r="AP108" s="64" t="str">
        <f t="shared" ref="AP108" ca="1" si="1239">IFERROR($C108*AP107,"")</f>
        <v/>
      </c>
      <c r="AQ108" s="64"/>
      <c r="AR108" s="64"/>
      <c r="AS108" s="65"/>
      <c r="AT108" s="62" t="str">
        <f t="shared" ref="AT108" ca="1" si="1240">IFERROR($C108*AT107,"")</f>
        <v/>
      </c>
      <c r="AU108" s="62"/>
      <c r="AV108" s="62"/>
      <c r="AW108" s="62"/>
      <c r="AX108" s="62" t="str">
        <f t="shared" ref="AX108" ca="1" si="1241">IFERROR($C108*AX107,"")</f>
        <v/>
      </c>
      <c r="AY108" s="62"/>
      <c r="AZ108" s="62"/>
      <c r="BA108" s="63"/>
      <c r="BB108" s="64" t="str">
        <f t="shared" ref="BB108" ca="1" si="1242">IFERROR($C108*BB107,"")</f>
        <v/>
      </c>
      <c r="BC108" s="64"/>
      <c r="BD108" s="64"/>
      <c r="BE108" s="65"/>
      <c r="BF108" s="62" t="str">
        <f t="shared" ref="BF108" ca="1" si="1243">IFERROR($C108*BF107,"")</f>
        <v/>
      </c>
      <c r="BG108" s="62"/>
      <c r="BH108" s="62"/>
      <c r="BI108" s="62"/>
      <c r="BJ108" s="62" t="str">
        <f t="shared" ref="BJ108" ca="1" si="1244">IFERROR($C108*BJ107,"")</f>
        <v/>
      </c>
      <c r="BK108" s="62"/>
      <c r="BL108" s="62"/>
      <c r="BM108" s="63"/>
      <c r="BN108" s="64" t="str">
        <f t="shared" ref="BN108" ca="1" si="1245">IFERROR($C108*BN107,"")</f>
        <v/>
      </c>
      <c r="BO108" s="64"/>
      <c r="BP108" s="64"/>
      <c r="BQ108" s="65"/>
      <c r="BR108" s="62" t="str">
        <f t="shared" ref="BR108" ca="1" si="1246">IFERROR($C108*BR107,"")</f>
        <v/>
      </c>
      <c r="BS108" s="62"/>
      <c r="BT108" s="62"/>
      <c r="BU108" s="62"/>
      <c r="BV108" s="62" t="str">
        <f t="shared" ref="BV108" ca="1" si="1247">IFERROR($C108*BV107,"")</f>
        <v/>
      </c>
      <c r="BW108" s="62"/>
      <c r="BX108" s="62"/>
      <c r="BY108" s="63"/>
      <c r="BZ108" s="64" t="str">
        <f t="shared" ref="BZ108" ca="1" si="1248">IFERROR($C108*BZ107,"")</f>
        <v/>
      </c>
      <c r="CA108" s="64"/>
      <c r="CB108" s="64"/>
      <c r="CC108" s="65"/>
      <c r="CD108" s="62" t="str">
        <f t="shared" ref="CD108" ca="1" si="1249">IFERROR($C108*CD107,"")</f>
        <v/>
      </c>
      <c r="CE108" s="62"/>
      <c r="CF108" s="62"/>
      <c r="CG108" s="62"/>
      <c r="CH108" s="62" t="str">
        <f t="shared" ref="CH108" ca="1" si="1250">IFERROR($C108*CH107,"")</f>
        <v/>
      </c>
      <c r="CI108" s="62"/>
      <c r="CJ108" s="62"/>
      <c r="CK108" s="63"/>
      <c r="CL108" s="64" t="str">
        <f t="shared" ref="CL108" ca="1" si="1251">IFERROR($C108*CL107,"")</f>
        <v/>
      </c>
      <c r="CM108" s="64"/>
      <c r="CN108" s="64"/>
      <c r="CO108" s="65"/>
      <c r="CP108" s="62" t="str">
        <f t="shared" ref="CP108" ca="1" si="1252">IFERROR($C108*CP107,"")</f>
        <v/>
      </c>
      <c r="CQ108" s="62"/>
      <c r="CR108" s="62"/>
      <c r="CS108" s="62"/>
      <c r="CT108" s="62" t="str">
        <f t="shared" ref="CT108" ca="1" si="1253">IFERROR($C108*CT107,"")</f>
        <v/>
      </c>
      <c r="CU108" s="62"/>
      <c r="CV108" s="62"/>
      <c r="CW108" s="63"/>
      <c r="CX108" s="64" t="str">
        <f t="shared" ref="CX108" ca="1" si="1254">IFERROR($C108*CX107,"")</f>
        <v/>
      </c>
      <c r="CY108" s="64"/>
      <c r="CZ108" s="64"/>
      <c r="DA108" s="65"/>
      <c r="DB108" s="62" t="str">
        <f t="shared" ref="DB108" ca="1" si="1255">IFERROR($C108*DB107,"")</f>
        <v/>
      </c>
      <c r="DC108" s="62"/>
      <c r="DD108" s="62"/>
      <c r="DE108" s="62"/>
      <c r="DF108" s="62" t="str">
        <f t="shared" ref="DF108" ca="1" si="1256">IFERROR($C108*DF107,"")</f>
        <v/>
      </c>
      <c r="DG108" s="62"/>
      <c r="DH108" s="62"/>
      <c r="DI108" s="63"/>
      <c r="DJ108" s="64" t="str">
        <f t="shared" ref="DJ108" ca="1" si="1257">IFERROR($C108*DJ107,"")</f>
        <v/>
      </c>
      <c r="DK108" s="64"/>
      <c r="DL108" s="64"/>
      <c r="DM108" s="65"/>
      <c r="DN108" s="62" t="str">
        <f t="shared" ref="DN108" ca="1" si="1258">IFERROR($C108*DN107,"")</f>
        <v/>
      </c>
      <c r="DO108" s="62"/>
      <c r="DP108" s="62"/>
      <c r="DQ108" s="62"/>
      <c r="DR108" s="62" t="str">
        <f t="shared" ref="DR108" ca="1" si="1259">IFERROR($C108*DR107,"")</f>
        <v/>
      </c>
      <c r="DS108" s="62"/>
      <c r="DT108" s="62"/>
      <c r="DU108" s="63"/>
      <c r="DV108" s="64" t="str">
        <f t="shared" ref="DV108" ca="1" si="1260">IFERROR($C108*DV107,"")</f>
        <v/>
      </c>
      <c r="DW108" s="64"/>
      <c r="DX108" s="64"/>
      <c r="DY108" s="65"/>
      <c r="DZ108" s="62" t="str">
        <f t="shared" ref="DZ108" ca="1" si="1261">IFERROR($C108*DZ107,"")</f>
        <v/>
      </c>
      <c r="EA108" s="62"/>
      <c r="EB108" s="62"/>
      <c r="EC108" s="62"/>
      <c r="ED108" s="62" t="str">
        <f t="shared" ref="ED108" ca="1" si="1262">IFERROR($C108*ED107,"")</f>
        <v/>
      </c>
      <c r="EE108" s="62"/>
      <c r="EF108" s="62"/>
      <c r="EG108" s="63"/>
      <c r="EH108" s="64" t="str">
        <f t="shared" ref="EH108" ca="1" si="1263">IFERROR($C108*EH107,"")</f>
        <v/>
      </c>
      <c r="EI108" s="64"/>
      <c r="EJ108" s="64"/>
      <c r="EK108" s="65"/>
      <c r="EL108" s="62" t="str">
        <f t="shared" ref="EL108" ca="1" si="1264">IFERROR($C108*EL107,"")</f>
        <v/>
      </c>
      <c r="EM108" s="62"/>
      <c r="EN108" s="62"/>
      <c r="EO108" s="62"/>
      <c r="EP108" s="62" t="str">
        <f t="shared" ref="EP108" ca="1" si="1265">IFERROR($C108*EP107,"")</f>
        <v/>
      </c>
      <c r="EQ108" s="62"/>
      <c r="ER108" s="62"/>
      <c r="ES108" s="63"/>
    </row>
    <row r="109" spans="2:149" hidden="1" outlineLevel="1" x14ac:dyDescent="0.45">
      <c r="B109" s="78"/>
      <c r="C109" s="25" t="str">
        <f>IFERROR(VLOOKUP(B107,[2]単価マスタ!A:E,3,FALSE),"")</f>
        <v/>
      </c>
      <c r="D109" s="26" t="s">
        <v>3</v>
      </c>
      <c r="E109" s="27">
        <f ca="1">SUM(F109:CW109)</f>
        <v>0</v>
      </c>
      <c r="F109" s="66" t="str">
        <f ca="1">IFERROR($C109*F107,"")</f>
        <v/>
      </c>
      <c r="G109" s="60"/>
      <c r="H109" s="60"/>
      <c r="I109" s="60"/>
      <c r="J109" s="60" t="str">
        <f t="shared" ref="J109" ca="1" si="1266">IFERROR($C109*J107,"")</f>
        <v/>
      </c>
      <c r="K109" s="60"/>
      <c r="L109" s="60"/>
      <c r="M109" s="60"/>
      <c r="N109" s="61" t="str">
        <f t="shared" ref="N109" ca="1" si="1267">IFERROR($C109*N107,"")</f>
        <v/>
      </c>
      <c r="O109" s="58"/>
      <c r="P109" s="58"/>
      <c r="Q109" s="58"/>
      <c r="R109" s="58" t="str">
        <f t="shared" ref="R109" ca="1" si="1268">IFERROR($C109*R107,"")</f>
        <v/>
      </c>
      <c r="S109" s="58"/>
      <c r="T109" s="58"/>
      <c r="U109" s="59"/>
      <c r="V109" s="60" t="str">
        <f t="shared" ref="V109" ca="1" si="1269">IFERROR($C109*V107,"")</f>
        <v/>
      </c>
      <c r="W109" s="60"/>
      <c r="X109" s="60"/>
      <c r="Y109" s="60"/>
      <c r="Z109" s="60" t="str">
        <f t="shared" ref="Z109" ca="1" si="1270">IFERROR($C109*Z107,"")</f>
        <v/>
      </c>
      <c r="AA109" s="60"/>
      <c r="AB109" s="60"/>
      <c r="AC109" s="61"/>
      <c r="AD109" s="58" t="str">
        <f t="shared" ref="AD109" ca="1" si="1271">IFERROR($C109*AD107,"")</f>
        <v/>
      </c>
      <c r="AE109" s="58"/>
      <c r="AF109" s="58"/>
      <c r="AG109" s="59"/>
      <c r="AH109" s="60" t="str">
        <f t="shared" ref="AH109" ca="1" si="1272">IFERROR($C109*AH107,"")</f>
        <v/>
      </c>
      <c r="AI109" s="60"/>
      <c r="AJ109" s="60"/>
      <c r="AK109" s="60"/>
      <c r="AL109" s="60" t="str">
        <f t="shared" ref="AL109" ca="1" si="1273">IFERROR($C109*AL107,"")</f>
        <v/>
      </c>
      <c r="AM109" s="60"/>
      <c r="AN109" s="60"/>
      <c r="AO109" s="61"/>
      <c r="AP109" s="58" t="str">
        <f t="shared" ref="AP109" ca="1" si="1274">IFERROR($C109*AP107,"")</f>
        <v/>
      </c>
      <c r="AQ109" s="58"/>
      <c r="AR109" s="58"/>
      <c r="AS109" s="59"/>
      <c r="AT109" s="60" t="str">
        <f t="shared" ref="AT109" ca="1" si="1275">IFERROR($C109*AT107,"")</f>
        <v/>
      </c>
      <c r="AU109" s="60"/>
      <c r="AV109" s="60"/>
      <c r="AW109" s="60"/>
      <c r="AX109" s="60" t="str">
        <f t="shared" ref="AX109" ca="1" si="1276">IFERROR($C109*AX107,"")</f>
        <v/>
      </c>
      <c r="AY109" s="60"/>
      <c r="AZ109" s="60"/>
      <c r="BA109" s="61"/>
      <c r="BB109" s="58" t="str">
        <f t="shared" ref="BB109" ca="1" si="1277">IFERROR($C109*BB107,"")</f>
        <v/>
      </c>
      <c r="BC109" s="58"/>
      <c r="BD109" s="58"/>
      <c r="BE109" s="59"/>
      <c r="BF109" s="60" t="str">
        <f t="shared" ref="BF109" ca="1" si="1278">IFERROR($C109*BF107,"")</f>
        <v/>
      </c>
      <c r="BG109" s="60"/>
      <c r="BH109" s="60"/>
      <c r="BI109" s="60"/>
      <c r="BJ109" s="60" t="str">
        <f t="shared" ref="BJ109" ca="1" si="1279">IFERROR($C109*BJ107,"")</f>
        <v/>
      </c>
      <c r="BK109" s="60"/>
      <c r="BL109" s="60"/>
      <c r="BM109" s="61"/>
      <c r="BN109" s="58" t="str">
        <f t="shared" ref="BN109" ca="1" si="1280">IFERROR($C109*BN107,"")</f>
        <v/>
      </c>
      <c r="BO109" s="58"/>
      <c r="BP109" s="58"/>
      <c r="BQ109" s="59"/>
      <c r="BR109" s="60" t="str">
        <f t="shared" ref="BR109" ca="1" si="1281">IFERROR($C109*BR107,"")</f>
        <v/>
      </c>
      <c r="BS109" s="60"/>
      <c r="BT109" s="60"/>
      <c r="BU109" s="60"/>
      <c r="BV109" s="60" t="str">
        <f t="shared" ref="BV109" ca="1" si="1282">IFERROR($C109*BV107,"")</f>
        <v/>
      </c>
      <c r="BW109" s="60"/>
      <c r="BX109" s="60"/>
      <c r="BY109" s="61"/>
      <c r="BZ109" s="58" t="str">
        <f t="shared" ref="BZ109" ca="1" si="1283">IFERROR($C109*BZ107,"")</f>
        <v/>
      </c>
      <c r="CA109" s="58"/>
      <c r="CB109" s="58"/>
      <c r="CC109" s="59"/>
      <c r="CD109" s="60" t="str">
        <f t="shared" ref="CD109" ca="1" si="1284">IFERROR($C109*CD107,"")</f>
        <v/>
      </c>
      <c r="CE109" s="60"/>
      <c r="CF109" s="60"/>
      <c r="CG109" s="60"/>
      <c r="CH109" s="60" t="str">
        <f t="shared" ref="CH109" ca="1" si="1285">IFERROR($C109*CH107,"")</f>
        <v/>
      </c>
      <c r="CI109" s="60"/>
      <c r="CJ109" s="60"/>
      <c r="CK109" s="61"/>
      <c r="CL109" s="58" t="str">
        <f t="shared" ref="CL109" ca="1" si="1286">IFERROR($C109*CL107,"")</f>
        <v/>
      </c>
      <c r="CM109" s="58"/>
      <c r="CN109" s="58"/>
      <c r="CO109" s="59"/>
      <c r="CP109" s="60" t="str">
        <f t="shared" ref="CP109" ca="1" si="1287">IFERROR($C109*CP107,"")</f>
        <v/>
      </c>
      <c r="CQ109" s="60"/>
      <c r="CR109" s="60"/>
      <c r="CS109" s="60"/>
      <c r="CT109" s="60" t="str">
        <f t="shared" ref="CT109" ca="1" si="1288">IFERROR($C109*CT107,"")</f>
        <v/>
      </c>
      <c r="CU109" s="60"/>
      <c r="CV109" s="60"/>
      <c r="CW109" s="61"/>
      <c r="CX109" s="58" t="str">
        <f t="shared" ref="CX109" ca="1" si="1289">IFERROR($C109*CX107,"")</f>
        <v/>
      </c>
      <c r="CY109" s="58"/>
      <c r="CZ109" s="58"/>
      <c r="DA109" s="59"/>
      <c r="DB109" s="60" t="str">
        <f t="shared" ref="DB109" ca="1" si="1290">IFERROR($C109*DB107,"")</f>
        <v/>
      </c>
      <c r="DC109" s="60"/>
      <c r="DD109" s="60"/>
      <c r="DE109" s="60"/>
      <c r="DF109" s="60" t="str">
        <f t="shared" ref="DF109" ca="1" si="1291">IFERROR($C109*DF107,"")</f>
        <v/>
      </c>
      <c r="DG109" s="60"/>
      <c r="DH109" s="60"/>
      <c r="DI109" s="61"/>
      <c r="DJ109" s="58" t="str">
        <f t="shared" ref="DJ109" ca="1" si="1292">IFERROR($C109*DJ107,"")</f>
        <v/>
      </c>
      <c r="DK109" s="58"/>
      <c r="DL109" s="58"/>
      <c r="DM109" s="59"/>
      <c r="DN109" s="60" t="str">
        <f t="shared" ref="DN109" ca="1" si="1293">IFERROR($C109*DN107,"")</f>
        <v/>
      </c>
      <c r="DO109" s="60"/>
      <c r="DP109" s="60"/>
      <c r="DQ109" s="60"/>
      <c r="DR109" s="60" t="str">
        <f t="shared" ref="DR109" ca="1" si="1294">IFERROR($C109*DR107,"")</f>
        <v/>
      </c>
      <c r="DS109" s="60"/>
      <c r="DT109" s="60"/>
      <c r="DU109" s="61"/>
      <c r="DV109" s="58" t="str">
        <f t="shared" ref="DV109" ca="1" si="1295">IFERROR($C109*DV107,"")</f>
        <v/>
      </c>
      <c r="DW109" s="58"/>
      <c r="DX109" s="58"/>
      <c r="DY109" s="59"/>
      <c r="DZ109" s="60" t="str">
        <f t="shared" ref="DZ109" ca="1" si="1296">IFERROR($C109*DZ107,"")</f>
        <v/>
      </c>
      <c r="EA109" s="60"/>
      <c r="EB109" s="60"/>
      <c r="EC109" s="60"/>
      <c r="ED109" s="60" t="str">
        <f t="shared" ref="ED109" ca="1" si="1297">IFERROR($C109*ED107,"")</f>
        <v/>
      </c>
      <c r="EE109" s="60"/>
      <c r="EF109" s="60"/>
      <c r="EG109" s="61"/>
      <c r="EH109" s="58" t="str">
        <f t="shared" ref="EH109" ca="1" si="1298">IFERROR($C109*EH107,"")</f>
        <v/>
      </c>
      <c r="EI109" s="58"/>
      <c r="EJ109" s="58"/>
      <c r="EK109" s="59"/>
      <c r="EL109" s="60" t="str">
        <f t="shared" ref="EL109" ca="1" si="1299">IFERROR($C109*EL107,"")</f>
        <v/>
      </c>
      <c r="EM109" s="60"/>
      <c r="EN109" s="60"/>
      <c r="EO109" s="60"/>
      <c r="EP109" s="60" t="str">
        <f t="shared" ref="EP109" ca="1" si="1300">IFERROR($C109*EP107,"")</f>
        <v/>
      </c>
      <c r="EQ109" s="60"/>
      <c r="ER109" s="60"/>
      <c r="ES109" s="61"/>
    </row>
    <row r="110" spans="2:149" hidden="1" outlineLevel="1" x14ac:dyDescent="0.45">
      <c r="B110" s="75"/>
      <c r="C110" s="19"/>
      <c r="D110" s="20" t="s">
        <v>13</v>
      </c>
      <c r="E110" s="21">
        <f t="shared" ref="E110:E118" ca="1" si="1301">SUM(F110:CW110)</f>
        <v>0</v>
      </c>
      <c r="F110" s="74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G110" s="67"/>
      <c r="H110" s="67"/>
      <c r="I110" s="67"/>
      <c r="J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K110" s="67"/>
      <c r="L110" s="67"/>
      <c r="M110" s="67"/>
      <c r="N110" s="68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O110" s="70"/>
      <c r="P110" s="70"/>
      <c r="Q110" s="70"/>
      <c r="R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S110" s="70"/>
      <c r="T110" s="70"/>
      <c r="U110" s="71"/>
      <c r="V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W110" s="67"/>
      <c r="X110" s="67"/>
      <c r="Y110" s="67"/>
      <c r="Z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A110" s="67"/>
      <c r="AB110" s="67"/>
      <c r="AC110" s="68"/>
      <c r="AD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E110" s="70"/>
      <c r="AF110" s="70"/>
      <c r="AG110" s="71"/>
      <c r="AH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I110" s="67"/>
      <c r="AJ110" s="67"/>
      <c r="AK110" s="67"/>
      <c r="AL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M110" s="67"/>
      <c r="AN110" s="67"/>
      <c r="AO110" s="68"/>
      <c r="AP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Q110" s="70"/>
      <c r="AR110" s="70"/>
      <c r="AS110" s="71"/>
      <c r="AT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U110" s="67"/>
      <c r="AV110" s="67"/>
      <c r="AW110" s="67"/>
      <c r="AX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AY110" s="67"/>
      <c r="AZ110" s="67"/>
      <c r="BA110" s="68"/>
      <c r="BB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BC110" s="70"/>
      <c r="BD110" s="70"/>
      <c r="BE110" s="71"/>
      <c r="BF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BG110" s="67"/>
      <c r="BH110" s="67"/>
      <c r="BI110" s="67"/>
      <c r="BJ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BK110" s="67"/>
      <c r="BL110" s="67"/>
      <c r="BM110" s="68"/>
      <c r="BN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BO110" s="70"/>
      <c r="BP110" s="70"/>
      <c r="BQ110" s="71"/>
      <c r="BR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BS110" s="67"/>
      <c r="BT110" s="67"/>
      <c r="BU110" s="67"/>
      <c r="BV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BW110" s="67"/>
      <c r="BX110" s="67"/>
      <c r="BY110" s="68"/>
      <c r="BZ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A110" s="70"/>
      <c r="CB110" s="70"/>
      <c r="CC110" s="71"/>
      <c r="CD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E110" s="67"/>
      <c r="CF110" s="67"/>
      <c r="CG110" s="67"/>
      <c r="CH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I110" s="67"/>
      <c r="CJ110" s="67"/>
      <c r="CK110" s="68"/>
      <c r="CL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M110" s="70"/>
      <c r="CN110" s="70"/>
      <c r="CO110" s="71"/>
      <c r="CP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Q110" s="67"/>
      <c r="CR110" s="67"/>
      <c r="CS110" s="67"/>
      <c r="CT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U110" s="67"/>
      <c r="CV110" s="67"/>
      <c r="CW110" s="68"/>
      <c r="CX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CY110" s="70"/>
      <c r="CZ110" s="70"/>
      <c r="DA110" s="71"/>
      <c r="DB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C110" s="67"/>
      <c r="DD110" s="67"/>
      <c r="DE110" s="67"/>
      <c r="DF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G110" s="67"/>
      <c r="DH110" s="67"/>
      <c r="DI110" s="68"/>
      <c r="DJ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K110" s="70"/>
      <c r="DL110" s="70"/>
      <c r="DM110" s="71"/>
      <c r="DN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O110" s="67"/>
      <c r="DP110" s="67"/>
      <c r="DQ110" s="67"/>
      <c r="DR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S110" s="67"/>
      <c r="DT110" s="67"/>
      <c r="DU110" s="68"/>
      <c r="DV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W110" s="70"/>
      <c r="DX110" s="70"/>
      <c r="DY110" s="71"/>
      <c r="DZ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A110" s="67"/>
      <c r="EB110" s="67"/>
      <c r="EC110" s="67"/>
      <c r="ED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E110" s="67"/>
      <c r="EF110" s="67"/>
      <c r="EG110" s="68"/>
      <c r="EH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I110" s="70"/>
      <c r="EJ110" s="70"/>
      <c r="EK110" s="71"/>
      <c r="EL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M110" s="67"/>
      <c r="EN110" s="67"/>
      <c r="EO110" s="67"/>
      <c r="EP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Q110" s="67"/>
      <c r="ER110" s="67"/>
      <c r="ES110" s="68"/>
    </row>
    <row r="111" spans="2:149" hidden="1" outlineLevel="1" x14ac:dyDescent="0.45">
      <c r="B111" s="76"/>
      <c r="C111" s="22" t="str">
        <f>IFERROR(VLOOKUP(B110,[2]単価マスタ!A:E,2,FALSE),"")</f>
        <v/>
      </c>
      <c r="D111" s="23" t="s">
        <v>23</v>
      </c>
      <c r="E111" s="24">
        <f ca="1">SUM(F111:CW111)</f>
        <v>0</v>
      </c>
      <c r="F111" s="69" t="str">
        <f ca="1">IFERROR($C111*F110,"")</f>
        <v/>
      </c>
      <c r="G111" s="62"/>
      <c r="H111" s="62"/>
      <c r="I111" s="62"/>
      <c r="J111" s="62" t="str">
        <f t="shared" ref="J111" ca="1" si="1302">IFERROR($C111*J110,"")</f>
        <v/>
      </c>
      <c r="K111" s="62"/>
      <c r="L111" s="62"/>
      <c r="M111" s="62"/>
      <c r="N111" s="63" t="str">
        <f t="shared" ref="N111" ca="1" si="1303">IFERROR($C111*N110,"")</f>
        <v/>
      </c>
      <c r="O111" s="64"/>
      <c r="P111" s="64"/>
      <c r="Q111" s="64"/>
      <c r="R111" s="64" t="str">
        <f t="shared" ref="R111" ca="1" si="1304">IFERROR($C111*R110,"")</f>
        <v/>
      </c>
      <c r="S111" s="64"/>
      <c r="T111" s="64"/>
      <c r="U111" s="65"/>
      <c r="V111" s="62" t="str">
        <f t="shared" ref="V111" ca="1" si="1305">IFERROR($C111*V110,"")</f>
        <v/>
      </c>
      <c r="W111" s="62"/>
      <c r="X111" s="62"/>
      <c r="Y111" s="62"/>
      <c r="Z111" s="62" t="str">
        <f t="shared" ref="Z111" ca="1" si="1306">IFERROR($C111*Z110,"")</f>
        <v/>
      </c>
      <c r="AA111" s="62"/>
      <c r="AB111" s="62"/>
      <c r="AC111" s="63"/>
      <c r="AD111" s="64" t="str">
        <f t="shared" ref="AD111" ca="1" si="1307">IFERROR($C111*AD110,"")</f>
        <v/>
      </c>
      <c r="AE111" s="64"/>
      <c r="AF111" s="64"/>
      <c r="AG111" s="65"/>
      <c r="AH111" s="62" t="str">
        <f t="shared" ref="AH111" ca="1" si="1308">IFERROR($C111*AH110,"")</f>
        <v/>
      </c>
      <c r="AI111" s="62"/>
      <c r="AJ111" s="62"/>
      <c r="AK111" s="62"/>
      <c r="AL111" s="62" t="str">
        <f t="shared" ref="AL111" ca="1" si="1309">IFERROR($C111*AL110,"")</f>
        <v/>
      </c>
      <c r="AM111" s="62"/>
      <c r="AN111" s="62"/>
      <c r="AO111" s="63"/>
      <c r="AP111" s="64" t="str">
        <f t="shared" ref="AP111" ca="1" si="1310">IFERROR($C111*AP110,"")</f>
        <v/>
      </c>
      <c r="AQ111" s="64"/>
      <c r="AR111" s="64"/>
      <c r="AS111" s="65"/>
      <c r="AT111" s="62" t="str">
        <f t="shared" ref="AT111" ca="1" si="1311">IFERROR($C111*AT110,"")</f>
        <v/>
      </c>
      <c r="AU111" s="62"/>
      <c r="AV111" s="62"/>
      <c r="AW111" s="62"/>
      <c r="AX111" s="62" t="str">
        <f t="shared" ref="AX111" ca="1" si="1312">IFERROR($C111*AX110,"")</f>
        <v/>
      </c>
      <c r="AY111" s="62"/>
      <c r="AZ111" s="62"/>
      <c r="BA111" s="63"/>
      <c r="BB111" s="64" t="str">
        <f t="shared" ref="BB111" ca="1" si="1313">IFERROR($C111*BB110,"")</f>
        <v/>
      </c>
      <c r="BC111" s="64"/>
      <c r="BD111" s="64"/>
      <c r="BE111" s="65"/>
      <c r="BF111" s="62" t="str">
        <f t="shared" ref="BF111" ca="1" si="1314">IFERROR($C111*BF110,"")</f>
        <v/>
      </c>
      <c r="BG111" s="62"/>
      <c r="BH111" s="62"/>
      <c r="BI111" s="62"/>
      <c r="BJ111" s="62" t="str">
        <f t="shared" ref="BJ111" ca="1" si="1315">IFERROR($C111*BJ110,"")</f>
        <v/>
      </c>
      <c r="BK111" s="62"/>
      <c r="BL111" s="62"/>
      <c r="BM111" s="63"/>
      <c r="BN111" s="64" t="str">
        <f t="shared" ref="BN111" ca="1" si="1316">IFERROR($C111*BN110,"")</f>
        <v/>
      </c>
      <c r="BO111" s="64"/>
      <c r="BP111" s="64"/>
      <c r="BQ111" s="65"/>
      <c r="BR111" s="62" t="str">
        <f t="shared" ref="BR111" ca="1" si="1317">IFERROR($C111*BR110,"")</f>
        <v/>
      </c>
      <c r="BS111" s="62"/>
      <c r="BT111" s="62"/>
      <c r="BU111" s="62"/>
      <c r="BV111" s="62" t="str">
        <f t="shared" ref="BV111" ca="1" si="1318">IFERROR($C111*BV110,"")</f>
        <v/>
      </c>
      <c r="BW111" s="62"/>
      <c r="BX111" s="62"/>
      <c r="BY111" s="63"/>
      <c r="BZ111" s="64" t="str">
        <f t="shared" ref="BZ111" ca="1" si="1319">IFERROR($C111*BZ110,"")</f>
        <v/>
      </c>
      <c r="CA111" s="64"/>
      <c r="CB111" s="64"/>
      <c r="CC111" s="65"/>
      <c r="CD111" s="62" t="str">
        <f t="shared" ref="CD111" ca="1" si="1320">IFERROR($C111*CD110,"")</f>
        <v/>
      </c>
      <c r="CE111" s="62"/>
      <c r="CF111" s="62"/>
      <c r="CG111" s="62"/>
      <c r="CH111" s="62" t="str">
        <f t="shared" ref="CH111" ca="1" si="1321">IFERROR($C111*CH110,"")</f>
        <v/>
      </c>
      <c r="CI111" s="62"/>
      <c r="CJ111" s="62"/>
      <c r="CK111" s="63"/>
      <c r="CL111" s="64" t="str">
        <f t="shared" ref="CL111" ca="1" si="1322">IFERROR($C111*CL110,"")</f>
        <v/>
      </c>
      <c r="CM111" s="64"/>
      <c r="CN111" s="64"/>
      <c r="CO111" s="65"/>
      <c r="CP111" s="62" t="str">
        <f t="shared" ref="CP111" ca="1" si="1323">IFERROR($C111*CP110,"")</f>
        <v/>
      </c>
      <c r="CQ111" s="62"/>
      <c r="CR111" s="62"/>
      <c r="CS111" s="62"/>
      <c r="CT111" s="62" t="str">
        <f t="shared" ref="CT111" ca="1" si="1324">IFERROR($C111*CT110,"")</f>
        <v/>
      </c>
      <c r="CU111" s="62"/>
      <c r="CV111" s="62"/>
      <c r="CW111" s="63"/>
      <c r="CX111" s="64" t="str">
        <f t="shared" ref="CX111" ca="1" si="1325">IFERROR($C111*CX110,"")</f>
        <v/>
      </c>
      <c r="CY111" s="64"/>
      <c r="CZ111" s="64"/>
      <c r="DA111" s="65"/>
      <c r="DB111" s="62" t="str">
        <f t="shared" ref="DB111" ca="1" si="1326">IFERROR($C111*DB110,"")</f>
        <v/>
      </c>
      <c r="DC111" s="62"/>
      <c r="DD111" s="62"/>
      <c r="DE111" s="62"/>
      <c r="DF111" s="62" t="str">
        <f t="shared" ref="DF111" ca="1" si="1327">IFERROR($C111*DF110,"")</f>
        <v/>
      </c>
      <c r="DG111" s="62"/>
      <c r="DH111" s="62"/>
      <c r="DI111" s="63"/>
      <c r="DJ111" s="64" t="str">
        <f t="shared" ref="DJ111" ca="1" si="1328">IFERROR($C111*DJ110,"")</f>
        <v/>
      </c>
      <c r="DK111" s="64"/>
      <c r="DL111" s="64"/>
      <c r="DM111" s="65"/>
      <c r="DN111" s="62" t="str">
        <f t="shared" ref="DN111" ca="1" si="1329">IFERROR($C111*DN110,"")</f>
        <v/>
      </c>
      <c r="DO111" s="62"/>
      <c r="DP111" s="62"/>
      <c r="DQ111" s="62"/>
      <c r="DR111" s="62" t="str">
        <f t="shared" ref="DR111" ca="1" si="1330">IFERROR($C111*DR110,"")</f>
        <v/>
      </c>
      <c r="DS111" s="62"/>
      <c r="DT111" s="62"/>
      <c r="DU111" s="63"/>
      <c r="DV111" s="64" t="str">
        <f t="shared" ref="DV111" ca="1" si="1331">IFERROR($C111*DV110,"")</f>
        <v/>
      </c>
      <c r="DW111" s="64"/>
      <c r="DX111" s="64"/>
      <c r="DY111" s="65"/>
      <c r="DZ111" s="62" t="str">
        <f t="shared" ref="DZ111" ca="1" si="1332">IFERROR($C111*DZ110,"")</f>
        <v/>
      </c>
      <c r="EA111" s="62"/>
      <c r="EB111" s="62"/>
      <c r="EC111" s="62"/>
      <c r="ED111" s="62" t="str">
        <f t="shared" ref="ED111" ca="1" si="1333">IFERROR($C111*ED110,"")</f>
        <v/>
      </c>
      <c r="EE111" s="62"/>
      <c r="EF111" s="62"/>
      <c r="EG111" s="63"/>
      <c r="EH111" s="64" t="str">
        <f t="shared" ref="EH111" ca="1" si="1334">IFERROR($C111*EH110,"")</f>
        <v/>
      </c>
      <c r="EI111" s="64"/>
      <c r="EJ111" s="64"/>
      <c r="EK111" s="65"/>
      <c r="EL111" s="62" t="str">
        <f t="shared" ref="EL111" ca="1" si="1335">IFERROR($C111*EL110,"")</f>
        <v/>
      </c>
      <c r="EM111" s="62"/>
      <c r="EN111" s="62"/>
      <c r="EO111" s="62"/>
      <c r="EP111" s="62" t="str">
        <f t="shared" ref="EP111" ca="1" si="1336">IFERROR($C111*EP110,"")</f>
        <v/>
      </c>
      <c r="EQ111" s="62"/>
      <c r="ER111" s="62"/>
      <c r="ES111" s="63"/>
    </row>
    <row r="112" spans="2:149" hidden="1" outlineLevel="1" x14ac:dyDescent="0.45">
      <c r="B112" s="77"/>
      <c r="C112" s="25" t="str">
        <f>IFERROR(VLOOKUP(B110,[2]単価マスタ!A:E,3,FALSE),"")</f>
        <v/>
      </c>
      <c r="D112" s="26" t="s">
        <v>3</v>
      </c>
      <c r="E112" s="27">
        <f ca="1">SUM(F112:CW112)</f>
        <v>0</v>
      </c>
      <c r="F112" s="66" t="str">
        <f ca="1">IFERROR($C112*F110,"")</f>
        <v/>
      </c>
      <c r="G112" s="60"/>
      <c r="H112" s="60"/>
      <c r="I112" s="60"/>
      <c r="J112" s="60" t="str">
        <f t="shared" ref="J112" ca="1" si="1337">IFERROR($C112*J110,"")</f>
        <v/>
      </c>
      <c r="K112" s="60"/>
      <c r="L112" s="60"/>
      <c r="M112" s="60"/>
      <c r="N112" s="61" t="str">
        <f t="shared" ref="N112" ca="1" si="1338">IFERROR($C112*N110,"")</f>
        <v/>
      </c>
      <c r="O112" s="58"/>
      <c r="P112" s="58"/>
      <c r="Q112" s="58"/>
      <c r="R112" s="58" t="str">
        <f t="shared" ref="R112" ca="1" si="1339">IFERROR($C112*R110,"")</f>
        <v/>
      </c>
      <c r="S112" s="58"/>
      <c r="T112" s="58"/>
      <c r="U112" s="59"/>
      <c r="V112" s="60" t="str">
        <f t="shared" ref="V112" ca="1" si="1340">IFERROR($C112*V110,"")</f>
        <v/>
      </c>
      <c r="W112" s="60"/>
      <c r="X112" s="60"/>
      <c r="Y112" s="60"/>
      <c r="Z112" s="60" t="str">
        <f t="shared" ref="Z112" ca="1" si="1341">IFERROR($C112*Z110,"")</f>
        <v/>
      </c>
      <c r="AA112" s="60"/>
      <c r="AB112" s="60"/>
      <c r="AC112" s="61"/>
      <c r="AD112" s="58" t="str">
        <f t="shared" ref="AD112" ca="1" si="1342">IFERROR($C112*AD110,"")</f>
        <v/>
      </c>
      <c r="AE112" s="58"/>
      <c r="AF112" s="58"/>
      <c r="AG112" s="59"/>
      <c r="AH112" s="60" t="str">
        <f t="shared" ref="AH112" ca="1" si="1343">IFERROR($C112*AH110,"")</f>
        <v/>
      </c>
      <c r="AI112" s="60"/>
      <c r="AJ112" s="60"/>
      <c r="AK112" s="60"/>
      <c r="AL112" s="60" t="str">
        <f t="shared" ref="AL112" ca="1" si="1344">IFERROR($C112*AL110,"")</f>
        <v/>
      </c>
      <c r="AM112" s="60"/>
      <c r="AN112" s="60"/>
      <c r="AO112" s="61"/>
      <c r="AP112" s="58" t="str">
        <f t="shared" ref="AP112" ca="1" si="1345">IFERROR($C112*AP110,"")</f>
        <v/>
      </c>
      <c r="AQ112" s="58"/>
      <c r="AR112" s="58"/>
      <c r="AS112" s="59"/>
      <c r="AT112" s="60" t="str">
        <f t="shared" ref="AT112" ca="1" si="1346">IFERROR($C112*AT110,"")</f>
        <v/>
      </c>
      <c r="AU112" s="60"/>
      <c r="AV112" s="60"/>
      <c r="AW112" s="60"/>
      <c r="AX112" s="60" t="str">
        <f t="shared" ref="AX112" ca="1" si="1347">IFERROR($C112*AX110,"")</f>
        <v/>
      </c>
      <c r="AY112" s="60"/>
      <c r="AZ112" s="60"/>
      <c r="BA112" s="61"/>
      <c r="BB112" s="58" t="str">
        <f t="shared" ref="BB112" ca="1" si="1348">IFERROR($C112*BB110,"")</f>
        <v/>
      </c>
      <c r="BC112" s="58"/>
      <c r="BD112" s="58"/>
      <c r="BE112" s="59"/>
      <c r="BF112" s="60" t="str">
        <f t="shared" ref="BF112" ca="1" si="1349">IFERROR($C112*BF110,"")</f>
        <v/>
      </c>
      <c r="BG112" s="60"/>
      <c r="BH112" s="60"/>
      <c r="BI112" s="60"/>
      <c r="BJ112" s="60" t="str">
        <f t="shared" ref="BJ112" ca="1" si="1350">IFERROR($C112*BJ110,"")</f>
        <v/>
      </c>
      <c r="BK112" s="60"/>
      <c r="BL112" s="60"/>
      <c r="BM112" s="61"/>
      <c r="BN112" s="58" t="str">
        <f t="shared" ref="BN112" ca="1" si="1351">IFERROR($C112*BN110,"")</f>
        <v/>
      </c>
      <c r="BO112" s="58"/>
      <c r="BP112" s="58"/>
      <c r="BQ112" s="59"/>
      <c r="BR112" s="60" t="str">
        <f t="shared" ref="BR112" ca="1" si="1352">IFERROR($C112*BR110,"")</f>
        <v/>
      </c>
      <c r="BS112" s="60"/>
      <c r="BT112" s="60"/>
      <c r="BU112" s="60"/>
      <c r="BV112" s="60" t="str">
        <f t="shared" ref="BV112" ca="1" si="1353">IFERROR($C112*BV110,"")</f>
        <v/>
      </c>
      <c r="BW112" s="60"/>
      <c r="BX112" s="60"/>
      <c r="BY112" s="61"/>
      <c r="BZ112" s="58" t="str">
        <f t="shared" ref="BZ112" ca="1" si="1354">IFERROR($C112*BZ110,"")</f>
        <v/>
      </c>
      <c r="CA112" s="58"/>
      <c r="CB112" s="58"/>
      <c r="CC112" s="59"/>
      <c r="CD112" s="60" t="str">
        <f t="shared" ref="CD112" ca="1" si="1355">IFERROR($C112*CD110,"")</f>
        <v/>
      </c>
      <c r="CE112" s="60"/>
      <c r="CF112" s="60"/>
      <c r="CG112" s="60"/>
      <c r="CH112" s="60" t="str">
        <f t="shared" ref="CH112" ca="1" si="1356">IFERROR($C112*CH110,"")</f>
        <v/>
      </c>
      <c r="CI112" s="60"/>
      <c r="CJ112" s="60"/>
      <c r="CK112" s="61"/>
      <c r="CL112" s="58" t="str">
        <f t="shared" ref="CL112" ca="1" si="1357">IFERROR($C112*CL110,"")</f>
        <v/>
      </c>
      <c r="CM112" s="58"/>
      <c r="CN112" s="58"/>
      <c r="CO112" s="59"/>
      <c r="CP112" s="60" t="str">
        <f t="shared" ref="CP112" ca="1" si="1358">IFERROR($C112*CP110,"")</f>
        <v/>
      </c>
      <c r="CQ112" s="60"/>
      <c r="CR112" s="60"/>
      <c r="CS112" s="60"/>
      <c r="CT112" s="60" t="str">
        <f t="shared" ref="CT112" ca="1" si="1359">IFERROR($C112*CT110,"")</f>
        <v/>
      </c>
      <c r="CU112" s="60"/>
      <c r="CV112" s="60"/>
      <c r="CW112" s="61"/>
      <c r="CX112" s="58" t="str">
        <f t="shared" ref="CX112" ca="1" si="1360">IFERROR($C112*CX110,"")</f>
        <v/>
      </c>
      <c r="CY112" s="58"/>
      <c r="CZ112" s="58"/>
      <c r="DA112" s="59"/>
      <c r="DB112" s="60" t="str">
        <f t="shared" ref="DB112" ca="1" si="1361">IFERROR($C112*DB110,"")</f>
        <v/>
      </c>
      <c r="DC112" s="60"/>
      <c r="DD112" s="60"/>
      <c r="DE112" s="60"/>
      <c r="DF112" s="60" t="str">
        <f t="shared" ref="DF112" ca="1" si="1362">IFERROR($C112*DF110,"")</f>
        <v/>
      </c>
      <c r="DG112" s="60"/>
      <c r="DH112" s="60"/>
      <c r="DI112" s="61"/>
      <c r="DJ112" s="58" t="str">
        <f t="shared" ref="DJ112" ca="1" si="1363">IFERROR($C112*DJ110,"")</f>
        <v/>
      </c>
      <c r="DK112" s="58"/>
      <c r="DL112" s="58"/>
      <c r="DM112" s="59"/>
      <c r="DN112" s="60" t="str">
        <f t="shared" ref="DN112" ca="1" si="1364">IFERROR($C112*DN110,"")</f>
        <v/>
      </c>
      <c r="DO112" s="60"/>
      <c r="DP112" s="60"/>
      <c r="DQ112" s="60"/>
      <c r="DR112" s="60" t="str">
        <f t="shared" ref="DR112" ca="1" si="1365">IFERROR($C112*DR110,"")</f>
        <v/>
      </c>
      <c r="DS112" s="60"/>
      <c r="DT112" s="60"/>
      <c r="DU112" s="61"/>
      <c r="DV112" s="58" t="str">
        <f t="shared" ref="DV112" ca="1" si="1366">IFERROR($C112*DV110,"")</f>
        <v/>
      </c>
      <c r="DW112" s="58"/>
      <c r="DX112" s="58"/>
      <c r="DY112" s="59"/>
      <c r="DZ112" s="60" t="str">
        <f t="shared" ref="DZ112" ca="1" si="1367">IFERROR($C112*DZ110,"")</f>
        <v/>
      </c>
      <c r="EA112" s="60"/>
      <c r="EB112" s="60"/>
      <c r="EC112" s="60"/>
      <c r="ED112" s="60" t="str">
        <f t="shared" ref="ED112" ca="1" si="1368">IFERROR($C112*ED110,"")</f>
        <v/>
      </c>
      <c r="EE112" s="60"/>
      <c r="EF112" s="60"/>
      <c r="EG112" s="61"/>
      <c r="EH112" s="58" t="str">
        <f t="shared" ref="EH112" ca="1" si="1369">IFERROR($C112*EH110,"")</f>
        <v/>
      </c>
      <c r="EI112" s="58"/>
      <c r="EJ112" s="58"/>
      <c r="EK112" s="59"/>
      <c r="EL112" s="60" t="str">
        <f t="shared" ref="EL112" ca="1" si="1370">IFERROR($C112*EL110,"")</f>
        <v/>
      </c>
      <c r="EM112" s="60"/>
      <c r="EN112" s="60"/>
      <c r="EO112" s="60"/>
      <c r="EP112" s="60" t="str">
        <f t="shared" ref="EP112" ca="1" si="1371">IFERROR($C112*EP110,"")</f>
        <v/>
      </c>
      <c r="EQ112" s="60"/>
      <c r="ER112" s="60"/>
      <c r="ES112" s="61"/>
    </row>
    <row r="113" spans="2:149" hidden="1" outlineLevel="1" x14ac:dyDescent="0.45">
      <c r="B113" s="72"/>
      <c r="C113" s="19"/>
      <c r="D113" s="20" t="s">
        <v>13</v>
      </c>
      <c r="E113" s="21">
        <f t="shared" ca="1" si="1301"/>
        <v>0</v>
      </c>
      <c r="F113" s="74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G113" s="67"/>
      <c r="H113" s="67"/>
      <c r="I113" s="67"/>
      <c r="J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K113" s="67"/>
      <c r="L113" s="67"/>
      <c r="M113" s="67"/>
      <c r="N113" s="68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O113" s="70"/>
      <c r="P113" s="70"/>
      <c r="Q113" s="70"/>
      <c r="R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S113" s="70"/>
      <c r="T113" s="70"/>
      <c r="U113" s="71"/>
      <c r="V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W113" s="67"/>
      <c r="X113" s="67"/>
      <c r="Y113" s="67"/>
      <c r="Z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A113" s="67"/>
      <c r="AB113" s="67"/>
      <c r="AC113" s="68"/>
      <c r="AD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E113" s="70"/>
      <c r="AF113" s="70"/>
      <c r="AG113" s="71"/>
      <c r="AH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I113" s="67"/>
      <c r="AJ113" s="67"/>
      <c r="AK113" s="67"/>
      <c r="AL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M113" s="67"/>
      <c r="AN113" s="67"/>
      <c r="AO113" s="68"/>
      <c r="AP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Q113" s="70"/>
      <c r="AR113" s="70"/>
      <c r="AS113" s="71"/>
      <c r="AT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U113" s="67"/>
      <c r="AV113" s="67"/>
      <c r="AW113" s="67"/>
      <c r="AX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AY113" s="67"/>
      <c r="AZ113" s="67"/>
      <c r="BA113" s="68"/>
      <c r="BB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BC113" s="70"/>
      <c r="BD113" s="70"/>
      <c r="BE113" s="71"/>
      <c r="BF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BG113" s="67"/>
      <c r="BH113" s="67"/>
      <c r="BI113" s="67"/>
      <c r="BJ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BK113" s="67"/>
      <c r="BL113" s="67"/>
      <c r="BM113" s="68"/>
      <c r="BN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BO113" s="70"/>
      <c r="BP113" s="70"/>
      <c r="BQ113" s="71"/>
      <c r="BR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BS113" s="67"/>
      <c r="BT113" s="67"/>
      <c r="BU113" s="67"/>
      <c r="BV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BW113" s="67"/>
      <c r="BX113" s="67"/>
      <c r="BY113" s="68"/>
      <c r="BZ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A113" s="70"/>
      <c r="CB113" s="70"/>
      <c r="CC113" s="71"/>
      <c r="CD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E113" s="67"/>
      <c r="CF113" s="67"/>
      <c r="CG113" s="67"/>
      <c r="CH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I113" s="67"/>
      <c r="CJ113" s="67"/>
      <c r="CK113" s="68"/>
      <c r="CL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M113" s="70"/>
      <c r="CN113" s="70"/>
      <c r="CO113" s="71"/>
      <c r="CP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Q113" s="67"/>
      <c r="CR113" s="67"/>
      <c r="CS113" s="67"/>
      <c r="CT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U113" s="67"/>
      <c r="CV113" s="67"/>
      <c r="CW113" s="68"/>
      <c r="CX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CY113" s="70"/>
      <c r="CZ113" s="70"/>
      <c r="DA113" s="71"/>
      <c r="DB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C113" s="67"/>
      <c r="DD113" s="67"/>
      <c r="DE113" s="67"/>
      <c r="DF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G113" s="67"/>
      <c r="DH113" s="67"/>
      <c r="DI113" s="68"/>
      <c r="DJ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K113" s="70"/>
      <c r="DL113" s="70"/>
      <c r="DM113" s="71"/>
      <c r="DN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O113" s="67"/>
      <c r="DP113" s="67"/>
      <c r="DQ113" s="67"/>
      <c r="DR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S113" s="67"/>
      <c r="DT113" s="67"/>
      <c r="DU113" s="68"/>
      <c r="DV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W113" s="70"/>
      <c r="DX113" s="70"/>
      <c r="DY113" s="71"/>
      <c r="DZ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A113" s="67"/>
      <c r="EB113" s="67"/>
      <c r="EC113" s="67"/>
      <c r="ED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E113" s="67"/>
      <c r="EF113" s="67"/>
      <c r="EG113" s="68"/>
      <c r="EH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I113" s="70"/>
      <c r="EJ113" s="70"/>
      <c r="EK113" s="71"/>
      <c r="EL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M113" s="67"/>
      <c r="EN113" s="67"/>
      <c r="EO113" s="67"/>
      <c r="EP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Q113" s="67"/>
      <c r="ER113" s="67"/>
      <c r="ES113" s="68"/>
    </row>
    <row r="114" spans="2:149" hidden="1" outlineLevel="1" x14ac:dyDescent="0.45">
      <c r="B114" s="73"/>
      <c r="C114" s="22" t="str">
        <f>IFERROR(VLOOKUP(B113,[2]単価マスタ!A:E,2,FALSE),"")</f>
        <v/>
      </c>
      <c r="D114" s="23" t="s">
        <v>23</v>
      </c>
      <c r="E114" s="24">
        <f ca="1">SUM(F114:CW114)</f>
        <v>0</v>
      </c>
      <c r="F114" s="69" t="str">
        <f ca="1">IFERROR($C114*F113,"")</f>
        <v/>
      </c>
      <c r="G114" s="62"/>
      <c r="H114" s="62"/>
      <c r="I114" s="62"/>
      <c r="J114" s="62" t="str">
        <f t="shared" ref="J114" ca="1" si="1372">IFERROR($C114*J113,"")</f>
        <v/>
      </c>
      <c r="K114" s="62"/>
      <c r="L114" s="62"/>
      <c r="M114" s="62"/>
      <c r="N114" s="63" t="str">
        <f t="shared" ref="N114" ca="1" si="1373">IFERROR($C114*N113,"")</f>
        <v/>
      </c>
      <c r="O114" s="64"/>
      <c r="P114" s="64"/>
      <c r="Q114" s="64"/>
      <c r="R114" s="64" t="str">
        <f t="shared" ref="R114" ca="1" si="1374">IFERROR($C114*R113,"")</f>
        <v/>
      </c>
      <c r="S114" s="64"/>
      <c r="T114" s="64"/>
      <c r="U114" s="65"/>
      <c r="V114" s="62" t="str">
        <f t="shared" ref="V114" ca="1" si="1375">IFERROR($C114*V113,"")</f>
        <v/>
      </c>
      <c r="W114" s="62"/>
      <c r="X114" s="62"/>
      <c r="Y114" s="62"/>
      <c r="Z114" s="62" t="str">
        <f t="shared" ref="Z114" ca="1" si="1376">IFERROR($C114*Z113,"")</f>
        <v/>
      </c>
      <c r="AA114" s="62"/>
      <c r="AB114" s="62"/>
      <c r="AC114" s="63"/>
      <c r="AD114" s="64" t="str">
        <f t="shared" ref="AD114" ca="1" si="1377">IFERROR($C114*AD113,"")</f>
        <v/>
      </c>
      <c r="AE114" s="64"/>
      <c r="AF114" s="64"/>
      <c r="AG114" s="65"/>
      <c r="AH114" s="62" t="str">
        <f t="shared" ref="AH114" ca="1" si="1378">IFERROR($C114*AH113,"")</f>
        <v/>
      </c>
      <c r="AI114" s="62"/>
      <c r="AJ114" s="62"/>
      <c r="AK114" s="62"/>
      <c r="AL114" s="62" t="str">
        <f t="shared" ref="AL114" ca="1" si="1379">IFERROR($C114*AL113,"")</f>
        <v/>
      </c>
      <c r="AM114" s="62"/>
      <c r="AN114" s="62"/>
      <c r="AO114" s="63"/>
      <c r="AP114" s="64" t="str">
        <f t="shared" ref="AP114" ca="1" si="1380">IFERROR($C114*AP113,"")</f>
        <v/>
      </c>
      <c r="AQ114" s="64"/>
      <c r="AR114" s="64"/>
      <c r="AS114" s="65"/>
      <c r="AT114" s="62" t="str">
        <f t="shared" ref="AT114" ca="1" si="1381">IFERROR($C114*AT113,"")</f>
        <v/>
      </c>
      <c r="AU114" s="62"/>
      <c r="AV114" s="62"/>
      <c r="AW114" s="62"/>
      <c r="AX114" s="62" t="str">
        <f t="shared" ref="AX114" ca="1" si="1382">IFERROR($C114*AX113,"")</f>
        <v/>
      </c>
      <c r="AY114" s="62"/>
      <c r="AZ114" s="62"/>
      <c r="BA114" s="63"/>
      <c r="BB114" s="64" t="str">
        <f t="shared" ref="BB114" ca="1" si="1383">IFERROR($C114*BB113,"")</f>
        <v/>
      </c>
      <c r="BC114" s="64"/>
      <c r="BD114" s="64"/>
      <c r="BE114" s="65"/>
      <c r="BF114" s="62" t="str">
        <f t="shared" ref="BF114" ca="1" si="1384">IFERROR($C114*BF113,"")</f>
        <v/>
      </c>
      <c r="BG114" s="62"/>
      <c r="BH114" s="62"/>
      <c r="BI114" s="62"/>
      <c r="BJ114" s="62" t="str">
        <f t="shared" ref="BJ114" ca="1" si="1385">IFERROR($C114*BJ113,"")</f>
        <v/>
      </c>
      <c r="BK114" s="62"/>
      <c r="BL114" s="62"/>
      <c r="BM114" s="63"/>
      <c r="BN114" s="64" t="str">
        <f t="shared" ref="BN114" ca="1" si="1386">IFERROR($C114*BN113,"")</f>
        <v/>
      </c>
      <c r="BO114" s="64"/>
      <c r="BP114" s="64"/>
      <c r="BQ114" s="65"/>
      <c r="BR114" s="62" t="str">
        <f t="shared" ref="BR114" ca="1" si="1387">IFERROR($C114*BR113,"")</f>
        <v/>
      </c>
      <c r="BS114" s="62"/>
      <c r="BT114" s="62"/>
      <c r="BU114" s="62"/>
      <c r="BV114" s="62" t="str">
        <f t="shared" ref="BV114" ca="1" si="1388">IFERROR($C114*BV113,"")</f>
        <v/>
      </c>
      <c r="BW114" s="62"/>
      <c r="BX114" s="62"/>
      <c r="BY114" s="63"/>
      <c r="BZ114" s="64" t="str">
        <f t="shared" ref="BZ114" ca="1" si="1389">IFERROR($C114*BZ113,"")</f>
        <v/>
      </c>
      <c r="CA114" s="64"/>
      <c r="CB114" s="64"/>
      <c r="CC114" s="65"/>
      <c r="CD114" s="62" t="str">
        <f t="shared" ref="CD114" ca="1" si="1390">IFERROR($C114*CD113,"")</f>
        <v/>
      </c>
      <c r="CE114" s="62"/>
      <c r="CF114" s="62"/>
      <c r="CG114" s="62"/>
      <c r="CH114" s="62" t="str">
        <f t="shared" ref="CH114" ca="1" si="1391">IFERROR($C114*CH113,"")</f>
        <v/>
      </c>
      <c r="CI114" s="62"/>
      <c r="CJ114" s="62"/>
      <c r="CK114" s="63"/>
      <c r="CL114" s="64" t="str">
        <f t="shared" ref="CL114" ca="1" si="1392">IFERROR($C114*CL113,"")</f>
        <v/>
      </c>
      <c r="CM114" s="64"/>
      <c r="CN114" s="64"/>
      <c r="CO114" s="65"/>
      <c r="CP114" s="62" t="str">
        <f t="shared" ref="CP114" ca="1" si="1393">IFERROR($C114*CP113,"")</f>
        <v/>
      </c>
      <c r="CQ114" s="62"/>
      <c r="CR114" s="62"/>
      <c r="CS114" s="62"/>
      <c r="CT114" s="62" t="str">
        <f t="shared" ref="CT114" ca="1" si="1394">IFERROR($C114*CT113,"")</f>
        <v/>
      </c>
      <c r="CU114" s="62"/>
      <c r="CV114" s="62"/>
      <c r="CW114" s="63"/>
      <c r="CX114" s="64" t="str">
        <f t="shared" ref="CX114" ca="1" si="1395">IFERROR($C114*CX113,"")</f>
        <v/>
      </c>
      <c r="CY114" s="64"/>
      <c r="CZ114" s="64"/>
      <c r="DA114" s="65"/>
      <c r="DB114" s="62" t="str">
        <f t="shared" ref="DB114" ca="1" si="1396">IFERROR($C114*DB113,"")</f>
        <v/>
      </c>
      <c r="DC114" s="62"/>
      <c r="DD114" s="62"/>
      <c r="DE114" s="62"/>
      <c r="DF114" s="62" t="str">
        <f t="shared" ref="DF114" ca="1" si="1397">IFERROR($C114*DF113,"")</f>
        <v/>
      </c>
      <c r="DG114" s="62"/>
      <c r="DH114" s="62"/>
      <c r="DI114" s="63"/>
      <c r="DJ114" s="64" t="str">
        <f t="shared" ref="DJ114" ca="1" si="1398">IFERROR($C114*DJ113,"")</f>
        <v/>
      </c>
      <c r="DK114" s="64"/>
      <c r="DL114" s="64"/>
      <c r="DM114" s="65"/>
      <c r="DN114" s="62" t="str">
        <f t="shared" ref="DN114" ca="1" si="1399">IFERROR($C114*DN113,"")</f>
        <v/>
      </c>
      <c r="DO114" s="62"/>
      <c r="DP114" s="62"/>
      <c r="DQ114" s="62"/>
      <c r="DR114" s="62" t="str">
        <f t="shared" ref="DR114" ca="1" si="1400">IFERROR($C114*DR113,"")</f>
        <v/>
      </c>
      <c r="DS114" s="62"/>
      <c r="DT114" s="62"/>
      <c r="DU114" s="63"/>
      <c r="DV114" s="64" t="str">
        <f t="shared" ref="DV114" ca="1" si="1401">IFERROR($C114*DV113,"")</f>
        <v/>
      </c>
      <c r="DW114" s="64"/>
      <c r="DX114" s="64"/>
      <c r="DY114" s="65"/>
      <c r="DZ114" s="62" t="str">
        <f t="shared" ref="DZ114" ca="1" si="1402">IFERROR($C114*DZ113,"")</f>
        <v/>
      </c>
      <c r="EA114" s="62"/>
      <c r="EB114" s="62"/>
      <c r="EC114" s="62"/>
      <c r="ED114" s="62" t="str">
        <f t="shared" ref="ED114" ca="1" si="1403">IFERROR($C114*ED113,"")</f>
        <v/>
      </c>
      <c r="EE114" s="62"/>
      <c r="EF114" s="62"/>
      <c r="EG114" s="63"/>
      <c r="EH114" s="64" t="str">
        <f t="shared" ref="EH114" ca="1" si="1404">IFERROR($C114*EH113,"")</f>
        <v/>
      </c>
      <c r="EI114" s="64"/>
      <c r="EJ114" s="64"/>
      <c r="EK114" s="65"/>
      <c r="EL114" s="62" t="str">
        <f t="shared" ref="EL114" ca="1" si="1405">IFERROR($C114*EL113,"")</f>
        <v/>
      </c>
      <c r="EM114" s="62"/>
      <c r="EN114" s="62"/>
      <c r="EO114" s="62"/>
      <c r="EP114" s="62" t="str">
        <f t="shared" ref="EP114" ca="1" si="1406">IFERROR($C114*EP113,"")</f>
        <v/>
      </c>
      <c r="EQ114" s="62"/>
      <c r="ER114" s="62"/>
      <c r="ES114" s="63"/>
    </row>
    <row r="115" spans="2:149" ht="18.600000000000001" hidden="1" outlineLevel="1" thickBot="1" x14ac:dyDescent="0.5">
      <c r="B115" s="73"/>
      <c r="C115" s="25" t="str">
        <f>IFERROR(VLOOKUP(B113,[2]単価マスタ!A:E,3,FALSE),"")</f>
        <v/>
      </c>
      <c r="D115" s="26" t="s">
        <v>3</v>
      </c>
      <c r="E115" s="27">
        <f ca="1">SUM(F115:CW115)</f>
        <v>0</v>
      </c>
      <c r="F115" s="66" t="str">
        <f ca="1">IFERROR($C115*F113,"")</f>
        <v/>
      </c>
      <c r="G115" s="60"/>
      <c r="H115" s="60"/>
      <c r="I115" s="60"/>
      <c r="J115" s="60" t="str">
        <f t="shared" ref="J115" ca="1" si="1407">IFERROR($C115*J113,"")</f>
        <v/>
      </c>
      <c r="K115" s="60"/>
      <c r="L115" s="60"/>
      <c r="M115" s="60"/>
      <c r="N115" s="61" t="str">
        <f t="shared" ref="N115" ca="1" si="1408">IFERROR($C115*N113,"")</f>
        <v/>
      </c>
      <c r="O115" s="58"/>
      <c r="P115" s="58"/>
      <c r="Q115" s="58"/>
      <c r="R115" s="58" t="str">
        <f t="shared" ref="R115" ca="1" si="1409">IFERROR($C115*R113,"")</f>
        <v/>
      </c>
      <c r="S115" s="58"/>
      <c r="T115" s="58"/>
      <c r="U115" s="59"/>
      <c r="V115" s="60" t="str">
        <f t="shared" ref="V115" ca="1" si="1410">IFERROR($C115*V113,"")</f>
        <v/>
      </c>
      <c r="W115" s="60"/>
      <c r="X115" s="60"/>
      <c r="Y115" s="60"/>
      <c r="Z115" s="60" t="str">
        <f t="shared" ref="Z115" ca="1" si="1411">IFERROR($C115*Z113,"")</f>
        <v/>
      </c>
      <c r="AA115" s="60"/>
      <c r="AB115" s="60"/>
      <c r="AC115" s="61"/>
      <c r="AD115" s="58" t="str">
        <f t="shared" ref="AD115" ca="1" si="1412">IFERROR($C115*AD113,"")</f>
        <v/>
      </c>
      <c r="AE115" s="58"/>
      <c r="AF115" s="58"/>
      <c r="AG115" s="59"/>
      <c r="AH115" s="60" t="str">
        <f t="shared" ref="AH115" ca="1" si="1413">IFERROR($C115*AH113,"")</f>
        <v/>
      </c>
      <c r="AI115" s="60"/>
      <c r="AJ115" s="60"/>
      <c r="AK115" s="60"/>
      <c r="AL115" s="60" t="str">
        <f t="shared" ref="AL115" ca="1" si="1414">IFERROR($C115*AL113,"")</f>
        <v/>
      </c>
      <c r="AM115" s="60"/>
      <c r="AN115" s="60"/>
      <c r="AO115" s="61"/>
      <c r="AP115" s="58" t="str">
        <f t="shared" ref="AP115" ca="1" si="1415">IFERROR($C115*AP113,"")</f>
        <v/>
      </c>
      <c r="AQ115" s="58"/>
      <c r="AR115" s="58"/>
      <c r="AS115" s="59"/>
      <c r="AT115" s="60" t="str">
        <f t="shared" ref="AT115" ca="1" si="1416">IFERROR($C115*AT113,"")</f>
        <v/>
      </c>
      <c r="AU115" s="60"/>
      <c r="AV115" s="60"/>
      <c r="AW115" s="60"/>
      <c r="AX115" s="60" t="str">
        <f t="shared" ref="AX115" ca="1" si="1417">IFERROR($C115*AX113,"")</f>
        <v/>
      </c>
      <c r="AY115" s="60"/>
      <c r="AZ115" s="60"/>
      <c r="BA115" s="61"/>
      <c r="BB115" s="58" t="str">
        <f t="shared" ref="BB115" ca="1" si="1418">IFERROR($C115*BB113,"")</f>
        <v/>
      </c>
      <c r="BC115" s="58"/>
      <c r="BD115" s="58"/>
      <c r="BE115" s="59"/>
      <c r="BF115" s="60" t="str">
        <f t="shared" ref="BF115" ca="1" si="1419">IFERROR($C115*BF113,"")</f>
        <v/>
      </c>
      <c r="BG115" s="60"/>
      <c r="BH115" s="60"/>
      <c r="BI115" s="60"/>
      <c r="BJ115" s="60" t="str">
        <f t="shared" ref="BJ115" ca="1" si="1420">IFERROR($C115*BJ113,"")</f>
        <v/>
      </c>
      <c r="BK115" s="60"/>
      <c r="BL115" s="60"/>
      <c r="BM115" s="61"/>
      <c r="BN115" s="58" t="str">
        <f t="shared" ref="BN115" ca="1" si="1421">IFERROR($C115*BN113,"")</f>
        <v/>
      </c>
      <c r="BO115" s="58"/>
      <c r="BP115" s="58"/>
      <c r="BQ115" s="59"/>
      <c r="BR115" s="60" t="str">
        <f t="shared" ref="BR115" ca="1" si="1422">IFERROR($C115*BR113,"")</f>
        <v/>
      </c>
      <c r="BS115" s="60"/>
      <c r="BT115" s="60"/>
      <c r="BU115" s="60"/>
      <c r="BV115" s="60" t="str">
        <f t="shared" ref="BV115" ca="1" si="1423">IFERROR($C115*BV113,"")</f>
        <v/>
      </c>
      <c r="BW115" s="60"/>
      <c r="BX115" s="60"/>
      <c r="BY115" s="61"/>
      <c r="BZ115" s="58" t="str">
        <f t="shared" ref="BZ115" ca="1" si="1424">IFERROR($C115*BZ113,"")</f>
        <v/>
      </c>
      <c r="CA115" s="58"/>
      <c r="CB115" s="58"/>
      <c r="CC115" s="59"/>
      <c r="CD115" s="60" t="str">
        <f t="shared" ref="CD115" ca="1" si="1425">IFERROR($C115*CD113,"")</f>
        <v/>
      </c>
      <c r="CE115" s="60"/>
      <c r="CF115" s="60"/>
      <c r="CG115" s="60"/>
      <c r="CH115" s="60" t="str">
        <f t="shared" ref="CH115" ca="1" si="1426">IFERROR($C115*CH113,"")</f>
        <v/>
      </c>
      <c r="CI115" s="60"/>
      <c r="CJ115" s="60"/>
      <c r="CK115" s="61"/>
      <c r="CL115" s="58" t="str">
        <f t="shared" ref="CL115" ca="1" si="1427">IFERROR($C115*CL113,"")</f>
        <v/>
      </c>
      <c r="CM115" s="58"/>
      <c r="CN115" s="58"/>
      <c r="CO115" s="59"/>
      <c r="CP115" s="60" t="str">
        <f t="shared" ref="CP115" ca="1" si="1428">IFERROR($C115*CP113,"")</f>
        <v/>
      </c>
      <c r="CQ115" s="60"/>
      <c r="CR115" s="60"/>
      <c r="CS115" s="60"/>
      <c r="CT115" s="60" t="str">
        <f t="shared" ref="CT115" ca="1" si="1429">IFERROR($C115*CT113,"")</f>
        <v/>
      </c>
      <c r="CU115" s="60"/>
      <c r="CV115" s="60"/>
      <c r="CW115" s="61"/>
      <c r="CX115" s="58" t="str">
        <f t="shared" ref="CX115" ca="1" si="1430">IFERROR($C115*CX113,"")</f>
        <v/>
      </c>
      <c r="CY115" s="58"/>
      <c r="CZ115" s="58"/>
      <c r="DA115" s="59"/>
      <c r="DB115" s="60" t="str">
        <f t="shared" ref="DB115" ca="1" si="1431">IFERROR($C115*DB113,"")</f>
        <v/>
      </c>
      <c r="DC115" s="60"/>
      <c r="DD115" s="60"/>
      <c r="DE115" s="60"/>
      <c r="DF115" s="60" t="str">
        <f t="shared" ref="DF115" ca="1" si="1432">IFERROR($C115*DF113,"")</f>
        <v/>
      </c>
      <c r="DG115" s="60"/>
      <c r="DH115" s="60"/>
      <c r="DI115" s="61"/>
      <c r="DJ115" s="58" t="str">
        <f t="shared" ref="DJ115" ca="1" si="1433">IFERROR($C115*DJ113,"")</f>
        <v/>
      </c>
      <c r="DK115" s="58"/>
      <c r="DL115" s="58"/>
      <c r="DM115" s="59"/>
      <c r="DN115" s="60" t="str">
        <f t="shared" ref="DN115" ca="1" si="1434">IFERROR($C115*DN113,"")</f>
        <v/>
      </c>
      <c r="DO115" s="60"/>
      <c r="DP115" s="60"/>
      <c r="DQ115" s="60"/>
      <c r="DR115" s="60" t="str">
        <f t="shared" ref="DR115" ca="1" si="1435">IFERROR($C115*DR113,"")</f>
        <v/>
      </c>
      <c r="DS115" s="60"/>
      <c r="DT115" s="60"/>
      <c r="DU115" s="61"/>
      <c r="DV115" s="58" t="str">
        <f t="shared" ref="DV115" ca="1" si="1436">IFERROR($C115*DV113,"")</f>
        <v/>
      </c>
      <c r="DW115" s="58"/>
      <c r="DX115" s="58"/>
      <c r="DY115" s="59"/>
      <c r="DZ115" s="60" t="str">
        <f t="shared" ref="DZ115" ca="1" si="1437">IFERROR($C115*DZ113,"")</f>
        <v/>
      </c>
      <c r="EA115" s="60"/>
      <c r="EB115" s="60"/>
      <c r="EC115" s="60"/>
      <c r="ED115" s="60" t="str">
        <f t="shared" ref="ED115" ca="1" si="1438">IFERROR($C115*ED113,"")</f>
        <v/>
      </c>
      <c r="EE115" s="60"/>
      <c r="EF115" s="60"/>
      <c r="EG115" s="61"/>
      <c r="EH115" s="58" t="str">
        <f t="shared" ref="EH115" ca="1" si="1439">IFERROR($C115*EH113,"")</f>
        <v/>
      </c>
      <c r="EI115" s="58"/>
      <c r="EJ115" s="58"/>
      <c r="EK115" s="59"/>
      <c r="EL115" s="60" t="str">
        <f t="shared" ref="EL115" ca="1" si="1440">IFERROR($C115*EL113,"")</f>
        <v/>
      </c>
      <c r="EM115" s="60"/>
      <c r="EN115" s="60"/>
      <c r="EO115" s="60"/>
      <c r="EP115" s="60" t="str">
        <f t="shared" ref="EP115" ca="1" si="1441">IFERROR($C115*EP113,"")</f>
        <v/>
      </c>
      <c r="EQ115" s="60"/>
      <c r="ER115" s="60"/>
      <c r="ES115" s="61"/>
    </row>
    <row r="116" spans="2:149" outlineLevel="1" x14ac:dyDescent="0.45">
      <c r="B116" s="51" t="s">
        <v>27</v>
      </c>
      <c r="C116" s="52"/>
      <c r="D116" s="52"/>
      <c r="E116" s="28">
        <f t="shared" ca="1" si="1301"/>
        <v>3</v>
      </c>
      <c r="F116" s="57">
        <f ca="1">SUMIF($D65:$D115,"工数",F65:I115)</f>
        <v>0</v>
      </c>
      <c r="G116" s="46"/>
      <c r="H116" s="46"/>
      <c r="I116" s="46"/>
      <c r="J116" s="46">
        <f ca="1">SUMIF($D65:$D115,"工数",J65:M115)</f>
        <v>0</v>
      </c>
      <c r="K116" s="46"/>
      <c r="L116" s="46"/>
      <c r="M116" s="46"/>
      <c r="N116" s="47">
        <f ca="1">SUMIF($D65:$D115,"工数",N65:Q115)</f>
        <v>0</v>
      </c>
      <c r="O116" s="49"/>
      <c r="P116" s="49"/>
      <c r="Q116" s="49"/>
      <c r="R116" s="49">
        <f ca="1">SUMIF($D65:$D115,"工数",R65:U115)</f>
        <v>0</v>
      </c>
      <c r="S116" s="49"/>
      <c r="T116" s="49"/>
      <c r="U116" s="50"/>
      <c r="V116" s="46">
        <f ca="1">SUMIF($D65:$D115,"工数",V65:Y115)</f>
        <v>0</v>
      </c>
      <c r="W116" s="46"/>
      <c r="X116" s="46"/>
      <c r="Y116" s="46"/>
      <c r="Z116" s="46">
        <f ca="1">SUMIF($D65:$D115,"工数",Z65:AC115)</f>
        <v>0</v>
      </c>
      <c r="AA116" s="46"/>
      <c r="AB116" s="46"/>
      <c r="AC116" s="47"/>
      <c r="AD116" s="49">
        <f ca="1">SUMIF($D65:$D115,"工数",AD65:AG115)</f>
        <v>0</v>
      </c>
      <c r="AE116" s="49"/>
      <c r="AF116" s="49"/>
      <c r="AG116" s="50"/>
      <c r="AH116" s="46">
        <f ca="1">SUMIF($D65:$D115,"工数",AH65:AK115)</f>
        <v>0</v>
      </c>
      <c r="AI116" s="46"/>
      <c r="AJ116" s="46"/>
      <c r="AK116" s="46"/>
      <c r="AL116" s="46">
        <f ca="1">SUMIF($D65:$D115,"工数",AL65:AO115)</f>
        <v>0</v>
      </c>
      <c r="AM116" s="46"/>
      <c r="AN116" s="46"/>
      <c r="AO116" s="47"/>
      <c r="AP116" s="49">
        <f ca="1">SUMIF($D65:$D115,"工数",AP65:AS115)</f>
        <v>0</v>
      </c>
      <c r="AQ116" s="49"/>
      <c r="AR116" s="49"/>
      <c r="AS116" s="50"/>
      <c r="AT116" s="46">
        <f ca="1">SUMIF($D65:$D115,"工数",AT65:AW115)</f>
        <v>0</v>
      </c>
      <c r="AU116" s="46"/>
      <c r="AV116" s="46"/>
      <c r="AW116" s="46"/>
      <c r="AX116" s="46">
        <f ca="1">SUMIF($D65:$D115,"工数",AX65:BA115)</f>
        <v>0</v>
      </c>
      <c r="AY116" s="46"/>
      <c r="AZ116" s="46"/>
      <c r="BA116" s="47"/>
      <c r="BB116" s="49">
        <f ca="1">SUMIF($D65:$D115,"工数",BB65:BE115)</f>
        <v>0</v>
      </c>
      <c r="BC116" s="49"/>
      <c r="BD116" s="49"/>
      <c r="BE116" s="50"/>
      <c r="BF116" s="46">
        <f ca="1">SUMIF($D65:$D115,"工数",BF65:BI115)</f>
        <v>0</v>
      </c>
      <c r="BG116" s="46"/>
      <c r="BH116" s="46"/>
      <c r="BI116" s="46"/>
      <c r="BJ116" s="46">
        <f ca="1">SUMIF($D65:$D115,"工数",BJ65:BM115)</f>
        <v>0</v>
      </c>
      <c r="BK116" s="46"/>
      <c r="BL116" s="46"/>
      <c r="BM116" s="47"/>
      <c r="BN116" s="49">
        <f ca="1">SUMIF($D65:$D115,"工数",BN65:BQ115)</f>
        <v>0</v>
      </c>
      <c r="BO116" s="49"/>
      <c r="BP116" s="49"/>
      <c r="BQ116" s="50"/>
      <c r="BR116" s="46">
        <f ca="1">SUMIF($D65:$D115,"工数",BR65:BU115)</f>
        <v>0</v>
      </c>
      <c r="BS116" s="46"/>
      <c r="BT116" s="46"/>
      <c r="BU116" s="46"/>
      <c r="BV116" s="46">
        <f ca="1">SUMIF($D65:$D115,"工数",BV65:BY115)</f>
        <v>0.75</v>
      </c>
      <c r="BW116" s="46"/>
      <c r="BX116" s="46"/>
      <c r="BY116" s="47"/>
      <c r="BZ116" s="49">
        <f ca="1">SUMIF($D65:$D115,"工数",BZ65:CC115)</f>
        <v>0.75</v>
      </c>
      <c r="CA116" s="49"/>
      <c r="CB116" s="49"/>
      <c r="CC116" s="50"/>
      <c r="CD116" s="46">
        <f ca="1">SUMIF($D65:$D115,"工数",CD65:CG115)</f>
        <v>0.75</v>
      </c>
      <c r="CE116" s="46"/>
      <c r="CF116" s="46"/>
      <c r="CG116" s="46"/>
      <c r="CH116" s="46">
        <f ca="1">SUMIF($D65:$D115,"工数",CH65:CK115)</f>
        <v>0.75</v>
      </c>
      <c r="CI116" s="46"/>
      <c r="CJ116" s="46"/>
      <c r="CK116" s="47"/>
      <c r="CL116" s="49">
        <f ca="1">SUMIF($D65:$D115,"工数",CL65:CO115)</f>
        <v>0</v>
      </c>
      <c r="CM116" s="49"/>
      <c r="CN116" s="49"/>
      <c r="CO116" s="50"/>
      <c r="CP116" s="46">
        <f ca="1">SUMIF($D65:$D115,"工数",CP65:CS115)</f>
        <v>0</v>
      </c>
      <c r="CQ116" s="46"/>
      <c r="CR116" s="46"/>
      <c r="CS116" s="46"/>
      <c r="CT116" s="46">
        <f ca="1">SUMIF($D65:$D115,"工数",CT65:CW115)</f>
        <v>0</v>
      </c>
      <c r="CU116" s="46"/>
      <c r="CV116" s="46"/>
      <c r="CW116" s="47"/>
      <c r="CX116" s="49">
        <f ca="1">SUMIF($D65:$D115,"工数",CX65:DA115)</f>
        <v>0</v>
      </c>
      <c r="CY116" s="49"/>
      <c r="CZ116" s="49"/>
      <c r="DA116" s="50"/>
      <c r="DB116" s="46">
        <f ca="1">SUMIF($D65:$D115,"工数",DB65:DE115)</f>
        <v>0</v>
      </c>
      <c r="DC116" s="46"/>
      <c r="DD116" s="46"/>
      <c r="DE116" s="46"/>
      <c r="DF116" s="46">
        <f ca="1">SUMIF($D65:$D115,"工数",DF65:DI115)</f>
        <v>0</v>
      </c>
      <c r="DG116" s="46"/>
      <c r="DH116" s="46"/>
      <c r="DI116" s="47"/>
      <c r="DJ116" s="49">
        <f ca="1">SUMIF($D65:$D115,"工数",DJ65:DM115)</f>
        <v>0</v>
      </c>
      <c r="DK116" s="49"/>
      <c r="DL116" s="49"/>
      <c r="DM116" s="50"/>
      <c r="DN116" s="46">
        <f ca="1">SUMIF($D65:$D115,"工数",DN65:DQ115)</f>
        <v>0</v>
      </c>
      <c r="DO116" s="46"/>
      <c r="DP116" s="46"/>
      <c r="DQ116" s="46"/>
      <c r="DR116" s="46">
        <f ca="1">SUMIF($D65:$D115,"工数",DR65:DU115)</f>
        <v>0</v>
      </c>
      <c r="DS116" s="46"/>
      <c r="DT116" s="46"/>
      <c r="DU116" s="47"/>
      <c r="DV116" s="49">
        <f ca="1">SUMIF($D65:$D115,"工数",DV65:DY115)</f>
        <v>0</v>
      </c>
      <c r="DW116" s="49"/>
      <c r="DX116" s="49"/>
      <c r="DY116" s="50"/>
      <c r="DZ116" s="46">
        <f ca="1">SUMIF($D65:$D115,"工数",DZ65:EC115)</f>
        <v>0</v>
      </c>
      <c r="EA116" s="46"/>
      <c r="EB116" s="46"/>
      <c r="EC116" s="46"/>
      <c r="ED116" s="46">
        <f ca="1">SUMIF($D65:$D115,"工数",ED65:EG115)</f>
        <v>0</v>
      </c>
      <c r="EE116" s="46"/>
      <c r="EF116" s="46"/>
      <c r="EG116" s="47"/>
      <c r="EH116" s="49">
        <f ca="1">SUMIF($D65:$D115,"工数",EH65:EK115)</f>
        <v>0</v>
      </c>
      <c r="EI116" s="49"/>
      <c r="EJ116" s="49"/>
      <c r="EK116" s="50"/>
      <c r="EL116" s="46">
        <f ca="1">SUMIF($D65:$D115,"工数",EL65:EO115)</f>
        <v>0</v>
      </c>
      <c r="EM116" s="46"/>
      <c r="EN116" s="46"/>
      <c r="EO116" s="46"/>
      <c r="EP116" s="46">
        <f ca="1">SUMIF($D65:$D115,"工数",EP65:ES115)</f>
        <v>0</v>
      </c>
      <c r="EQ116" s="46"/>
      <c r="ER116" s="46"/>
      <c r="ES116" s="47"/>
    </row>
    <row r="117" spans="2:149" outlineLevel="1" x14ac:dyDescent="0.45">
      <c r="B117" s="53"/>
      <c r="C117" s="54"/>
      <c r="D117" s="54"/>
      <c r="E117" s="29">
        <f t="shared" ca="1" si="1301"/>
        <v>3150000</v>
      </c>
      <c r="F117" s="48">
        <f ca="1">SUMIF($D65:$D115,"売上金額",F65:I115)</f>
        <v>0</v>
      </c>
      <c r="G117" s="43"/>
      <c r="H117" s="43"/>
      <c r="I117" s="43"/>
      <c r="J117" s="43">
        <f ca="1">SUMIF($D65:$D115,"売上金額",J65:M115)</f>
        <v>0</v>
      </c>
      <c r="K117" s="43"/>
      <c r="L117" s="43"/>
      <c r="M117" s="43"/>
      <c r="N117" s="44">
        <f ca="1">SUMIF($D65:$D115,"売上金額",N65:Q115)</f>
        <v>0</v>
      </c>
      <c r="O117" s="41"/>
      <c r="P117" s="41"/>
      <c r="Q117" s="41"/>
      <c r="R117" s="41">
        <f ca="1">SUMIF($D65:$D115,"売上金額",R65:U115)</f>
        <v>0</v>
      </c>
      <c r="S117" s="41"/>
      <c r="T117" s="41"/>
      <c r="U117" s="42"/>
      <c r="V117" s="43">
        <f ca="1">SUMIF($D65:$D115,"売上金額",V65:Y115)</f>
        <v>0</v>
      </c>
      <c r="W117" s="43"/>
      <c r="X117" s="43"/>
      <c r="Y117" s="43"/>
      <c r="Z117" s="43">
        <f ca="1">SUMIF($D65:$D115,"売上金額",Z65:AC115)</f>
        <v>0</v>
      </c>
      <c r="AA117" s="43"/>
      <c r="AB117" s="43"/>
      <c r="AC117" s="44"/>
      <c r="AD117" s="41">
        <f ca="1">SUMIF($D65:$D115,"売上金額",AD65:AG115)</f>
        <v>0</v>
      </c>
      <c r="AE117" s="41"/>
      <c r="AF117" s="41"/>
      <c r="AG117" s="42"/>
      <c r="AH117" s="43">
        <f ca="1">SUMIF($D65:$D115,"売上金額",AH65:AK115)</f>
        <v>0</v>
      </c>
      <c r="AI117" s="43"/>
      <c r="AJ117" s="43"/>
      <c r="AK117" s="43"/>
      <c r="AL117" s="43">
        <f ca="1">SUMIF($D65:$D115,"売上金額",AL65:AO115)</f>
        <v>0</v>
      </c>
      <c r="AM117" s="43"/>
      <c r="AN117" s="43"/>
      <c r="AO117" s="44"/>
      <c r="AP117" s="41">
        <f ca="1">SUMIF($D65:$D115,"売上金額",AP65:AS115)</f>
        <v>0</v>
      </c>
      <c r="AQ117" s="41"/>
      <c r="AR117" s="41"/>
      <c r="AS117" s="42"/>
      <c r="AT117" s="43">
        <f ca="1">SUMIF($D65:$D115,"売上金額",AT65:AW115)</f>
        <v>0</v>
      </c>
      <c r="AU117" s="43"/>
      <c r="AV117" s="43"/>
      <c r="AW117" s="43"/>
      <c r="AX117" s="43">
        <f ca="1">SUMIF($D65:$D115,"売上金額",AX65:BA115)</f>
        <v>0</v>
      </c>
      <c r="AY117" s="43"/>
      <c r="AZ117" s="43"/>
      <c r="BA117" s="44"/>
      <c r="BB117" s="41">
        <f ca="1">SUMIF($D65:$D115,"売上金額",BB65:BE115)</f>
        <v>0</v>
      </c>
      <c r="BC117" s="41"/>
      <c r="BD117" s="41"/>
      <c r="BE117" s="42"/>
      <c r="BF117" s="43">
        <f ca="1">SUMIF($D65:$D115,"売上金額",BF65:BI115)</f>
        <v>0</v>
      </c>
      <c r="BG117" s="43"/>
      <c r="BH117" s="43"/>
      <c r="BI117" s="43"/>
      <c r="BJ117" s="43">
        <f ca="1">SUMIF($D65:$D115,"売上金額",BJ65:BM115)</f>
        <v>0</v>
      </c>
      <c r="BK117" s="43"/>
      <c r="BL117" s="43"/>
      <c r="BM117" s="44"/>
      <c r="BN117" s="41">
        <f ca="1">SUMIF($D65:$D115,"売上金額",BN65:BQ115)</f>
        <v>0</v>
      </c>
      <c r="BO117" s="41"/>
      <c r="BP117" s="41"/>
      <c r="BQ117" s="42"/>
      <c r="BR117" s="43">
        <f ca="1">SUMIF($D65:$D115,"売上金額",BR65:BU115)</f>
        <v>0</v>
      </c>
      <c r="BS117" s="43"/>
      <c r="BT117" s="43"/>
      <c r="BU117" s="43"/>
      <c r="BV117" s="43">
        <f ca="1">SUMIF($D65:$D115,"売上金額",BV65:BY115)</f>
        <v>787500</v>
      </c>
      <c r="BW117" s="43"/>
      <c r="BX117" s="43"/>
      <c r="BY117" s="44"/>
      <c r="BZ117" s="41">
        <f ca="1">SUMIF($D65:$D115,"売上金額",BZ65:CC115)</f>
        <v>787500</v>
      </c>
      <c r="CA117" s="41"/>
      <c r="CB117" s="41"/>
      <c r="CC117" s="42"/>
      <c r="CD117" s="43">
        <f ca="1">SUMIF($D65:$D115,"売上金額",CD65:CG115)</f>
        <v>787500</v>
      </c>
      <c r="CE117" s="43"/>
      <c r="CF117" s="43"/>
      <c r="CG117" s="43"/>
      <c r="CH117" s="43">
        <f ca="1">SUMIF($D65:$D115,"売上金額",CH65:CK115)</f>
        <v>787500</v>
      </c>
      <c r="CI117" s="43"/>
      <c r="CJ117" s="43"/>
      <c r="CK117" s="44"/>
      <c r="CL117" s="41">
        <f ca="1">SUMIF($D65:$D115,"売上金額",CL65:CO115)</f>
        <v>0</v>
      </c>
      <c r="CM117" s="41"/>
      <c r="CN117" s="41"/>
      <c r="CO117" s="42"/>
      <c r="CP117" s="43">
        <f ca="1">SUMIF($D65:$D115,"売上金額",CP65:CS115)</f>
        <v>0</v>
      </c>
      <c r="CQ117" s="43"/>
      <c r="CR117" s="43"/>
      <c r="CS117" s="43"/>
      <c r="CT117" s="43">
        <f ca="1">SUMIF($D65:$D115,"売上金額",CT65:CW115)</f>
        <v>0</v>
      </c>
      <c r="CU117" s="43"/>
      <c r="CV117" s="43"/>
      <c r="CW117" s="44"/>
      <c r="CX117" s="41">
        <f ca="1">SUMIF($D65:$D115,"売上金額",CX65:DA115)</f>
        <v>0</v>
      </c>
      <c r="CY117" s="41"/>
      <c r="CZ117" s="41"/>
      <c r="DA117" s="42"/>
      <c r="DB117" s="43">
        <f ca="1">SUMIF($D65:$D115,"売上金額",DB65:DE115)</f>
        <v>0</v>
      </c>
      <c r="DC117" s="43"/>
      <c r="DD117" s="43"/>
      <c r="DE117" s="43"/>
      <c r="DF117" s="43">
        <f ca="1">SUMIF($D65:$D115,"売上金額",DF65:DI115)</f>
        <v>0</v>
      </c>
      <c r="DG117" s="43"/>
      <c r="DH117" s="43"/>
      <c r="DI117" s="44"/>
      <c r="DJ117" s="41">
        <f ca="1">SUMIF($D65:$D115,"売上金額",DJ65:DM115)</f>
        <v>0</v>
      </c>
      <c r="DK117" s="41"/>
      <c r="DL117" s="41"/>
      <c r="DM117" s="42"/>
      <c r="DN117" s="43">
        <f ca="1">SUMIF($D65:$D115,"売上金額",DN65:DQ115)</f>
        <v>0</v>
      </c>
      <c r="DO117" s="43"/>
      <c r="DP117" s="43"/>
      <c r="DQ117" s="43"/>
      <c r="DR117" s="43">
        <f ca="1">SUMIF($D65:$D115,"売上金額",DR65:DU115)</f>
        <v>0</v>
      </c>
      <c r="DS117" s="43"/>
      <c r="DT117" s="43"/>
      <c r="DU117" s="44"/>
      <c r="DV117" s="41">
        <f ca="1">SUMIF($D65:$D115,"売上金額",DV65:DY115)</f>
        <v>0</v>
      </c>
      <c r="DW117" s="41"/>
      <c r="DX117" s="41"/>
      <c r="DY117" s="42"/>
      <c r="DZ117" s="43">
        <f ca="1">SUMIF($D65:$D115,"売上金額",DZ65:EC115)</f>
        <v>0</v>
      </c>
      <c r="EA117" s="43"/>
      <c r="EB117" s="43"/>
      <c r="EC117" s="43"/>
      <c r="ED117" s="43">
        <f ca="1">SUMIF($D65:$D115,"売上金額",ED65:EG115)</f>
        <v>0</v>
      </c>
      <c r="EE117" s="43"/>
      <c r="EF117" s="43"/>
      <c r="EG117" s="44"/>
      <c r="EH117" s="41">
        <f ca="1">SUMIF($D65:$D115,"売上金額",EH65:EK115)</f>
        <v>0</v>
      </c>
      <c r="EI117" s="41"/>
      <c r="EJ117" s="41"/>
      <c r="EK117" s="42"/>
      <c r="EL117" s="43">
        <f ca="1">SUMIF($D65:$D115,"売上金額",EL65:EO115)</f>
        <v>0</v>
      </c>
      <c r="EM117" s="43"/>
      <c r="EN117" s="43"/>
      <c r="EO117" s="43"/>
      <c r="EP117" s="43">
        <f ca="1">SUMIF($D65:$D115,"売上金額",EP65:ES115)</f>
        <v>0</v>
      </c>
      <c r="EQ117" s="43"/>
      <c r="ER117" s="43"/>
      <c r="ES117" s="44"/>
    </row>
    <row r="118" spans="2:149" ht="18.600000000000001" outlineLevel="1" thickBot="1" x14ac:dyDescent="0.5">
      <c r="B118" s="55"/>
      <c r="C118" s="56"/>
      <c r="D118" s="56"/>
      <c r="E118" s="30">
        <f t="shared" ca="1" si="1301"/>
        <v>2020000</v>
      </c>
      <c r="F118" s="45">
        <f ca="1">SUMIF($D65:$D115,"原価金額",F65:I115)</f>
        <v>0</v>
      </c>
      <c r="G118" s="37"/>
      <c r="H118" s="37"/>
      <c r="I118" s="37"/>
      <c r="J118" s="37">
        <f ca="1">SUMIF($D65:$D115,"原価金額",J65:M115)</f>
        <v>0</v>
      </c>
      <c r="K118" s="37"/>
      <c r="L118" s="37"/>
      <c r="M118" s="37"/>
      <c r="N118" s="38">
        <f ca="1">SUMIF($D65:$D115,"原価金額",N65:Q115)</f>
        <v>0</v>
      </c>
      <c r="O118" s="39"/>
      <c r="P118" s="39"/>
      <c r="Q118" s="39"/>
      <c r="R118" s="39">
        <f ca="1">SUMIF($D65:$D115,"原価金額",R65:U115)</f>
        <v>0</v>
      </c>
      <c r="S118" s="39"/>
      <c r="T118" s="39"/>
      <c r="U118" s="40"/>
      <c r="V118" s="37">
        <f ca="1">SUMIF($D65:$D115,"原価金額",V65:Y115)</f>
        <v>0</v>
      </c>
      <c r="W118" s="37"/>
      <c r="X118" s="37"/>
      <c r="Y118" s="37"/>
      <c r="Z118" s="37">
        <f ca="1">SUMIF($D65:$D115,"原価金額",Z65:AC115)</f>
        <v>0</v>
      </c>
      <c r="AA118" s="37"/>
      <c r="AB118" s="37"/>
      <c r="AC118" s="38"/>
      <c r="AD118" s="39">
        <f ca="1">SUMIF($D65:$D115,"原価金額",AD65:AG115)</f>
        <v>0</v>
      </c>
      <c r="AE118" s="39"/>
      <c r="AF118" s="39"/>
      <c r="AG118" s="40"/>
      <c r="AH118" s="37">
        <f ca="1">SUMIF($D65:$D115,"原価金額",AH65:AK115)</f>
        <v>0</v>
      </c>
      <c r="AI118" s="37"/>
      <c r="AJ118" s="37"/>
      <c r="AK118" s="37"/>
      <c r="AL118" s="37">
        <f ca="1">SUMIF($D65:$D115,"原価金額",AL65:AO115)</f>
        <v>0</v>
      </c>
      <c r="AM118" s="37"/>
      <c r="AN118" s="37"/>
      <c r="AO118" s="38"/>
      <c r="AP118" s="39">
        <f ca="1">SUMIF($D65:$D115,"原価金額",AP65:AS115)</f>
        <v>0</v>
      </c>
      <c r="AQ118" s="39"/>
      <c r="AR118" s="39"/>
      <c r="AS118" s="40"/>
      <c r="AT118" s="37">
        <f ca="1">SUMIF($D65:$D115,"原価金額",AT65:AW115)</f>
        <v>0</v>
      </c>
      <c r="AU118" s="37"/>
      <c r="AV118" s="37"/>
      <c r="AW118" s="37"/>
      <c r="AX118" s="37">
        <f ca="1">SUMIF($D65:$D115,"原価金額",AX65:BA115)</f>
        <v>0</v>
      </c>
      <c r="AY118" s="37"/>
      <c r="AZ118" s="37"/>
      <c r="BA118" s="38"/>
      <c r="BB118" s="39">
        <f ca="1">SUMIF($D65:$D115,"原価金額",BB65:BE115)</f>
        <v>0</v>
      </c>
      <c r="BC118" s="39"/>
      <c r="BD118" s="39"/>
      <c r="BE118" s="40"/>
      <c r="BF118" s="37">
        <f ca="1">SUMIF($D65:$D115,"原価金額",BF65:BI115)</f>
        <v>0</v>
      </c>
      <c r="BG118" s="37"/>
      <c r="BH118" s="37"/>
      <c r="BI118" s="37"/>
      <c r="BJ118" s="37">
        <f ca="1">SUMIF($D65:$D115,"原価金額",BJ65:BM115)</f>
        <v>0</v>
      </c>
      <c r="BK118" s="37"/>
      <c r="BL118" s="37"/>
      <c r="BM118" s="38"/>
      <c r="BN118" s="39">
        <f ca="1">SUMIF($D65:$D115,"原価金額",BN65:BQ115)</f>
        <v>0</v>
      </c>
      <c r="BO118" s="39"/>
      <c r="BP118" s="39"/>
      <c r="BQ118" s="40"/>
      <c r="BR118" s="37">
        <f ca="1">SUMIF($D65:$D115,"原価金額",BR65:BU115)</f>
        <v>0</v>
      </c>
      <c r="BS118" s="37"/>
      <c r="BT118" s="37"/>
      <c r="BU118" s="37"/>
      <c r="BV118" s="37">
        <f ca="1">SUMIF($D65:$D115,"原価金額",BV65:BY115)</f>
        <v>505000</v>
      </c>
      <c r="BW118" s="37"/>
      <c r="BX118" s="37"/>
      <c r="BY118" s="38"/>
      <c r="BZ118" s="39">
        <f ca="1">SUMIF($D65:$D115,"原価金額",BZ65:CC115)</f>
        <v>505000</v>
      </c>
      <c r="CA118" s="39"/>
      <c r="CB118" s="39"/>
      <c r="CC118" s="40"/>
      <c r="CD118" s="37">
        <f ca="1">SUMIF($D65:$D115,"原価金額",CD65:CG115)</f>
        <v>505000</v>
      </c>
      <c r="CE118" s="37"/>
      <c r="CF118" s="37"/>
      <c r="CG118" s="37"/>
      <c r="CH118" s="37">
        <f ca="1">SUMIF($D65:$D115,"原価金額",CH65:CK115)</f>
        <v>505000</v>
      </c>
      <c r="CI118" s="37"/>
      <c r="CJ118" s="37"/>
      <c r="CK118" s="38"/>
      <c r="CL118" s="39">
        <f ca="1">SUMIF($D65:$D115,"原価金額",CL65:CO115)</f>
        <v>0</v>
      </c>
      <c r="CM118" s="39"/>
      <c r="CN118" s="39"/>
      <c r="CO118" s="40"/>
      <c r="CP118" s="37">
        <f ca="1">SUMIF($D65:$D115,"原価金額",CP65:CS115)</f>
        <v>0</v>
      </c>
      <c r="CQ118" s="37"/>
      <c r="CR118" s="37"/>
      <c r="CS118" s="37"/>
      <c r="CT118" s="37">
        <f ca="1">SUMIF($D65:$D115,"原価金額",CT65:CW115)</f>
        <v>0</v>
      </c>
      <c r="CU118" s="37"/>
      <c r="CV118" s="37"/>
      <c r="CW118" s="38"/>
      <c r="CX118" s="39">
        <f ca="1">SUMIF($D65:$D115,"原価金額",CX65:DA115)</f>
        <v>0</v>
      </c>
      <c r="CY118" s="39"/>
      <c r="CZ118" s="39"/>
      <c r="DA118" s="40"/>
      <c r="DB118" s="37">
        <f ca="1">SUMIF($D65:$D115,"原価金額",DB65:DE115)</f>
        <v>0</v>
      </c>
      <c r="DC118" s="37"/>
      <c r="DD118" s="37"/>
      <c r="DE118" s="37"/>
      <c r="DF118" s="37">
        <f ca="1">SUMIF($D65:$D115,"原価金額",DF65:DI115)</f>
        <v>0</v>
      </c>
      <c r="DG118" s="37"/>
      <c r="DH118" s="37"/>
      <c r="DI118" s="38"/>
      <c r="DJ118" s="39">
        <f ca="1">SUMIF($D65:$D115,"原価金額",DJ65:DM115)</f>
        <v>0</v>
      </c>
      <c r="DK118" s="39"/>
      <c r="DL118" s="39"/>
      <c r="DM118" s="40"/>
      <c r="DN118" s="37">
        <f ca="1">SUMIF($D65:$D115,"原価金額",DN65:DQ115)</f>
        <v>0</v>
      </c>
      <c r="DO118" s="37"/>
      <c r="DP118" s="37"/>
      <c r="DQ118" s="37"/>
      <c r="DR118" s="37">
        <f ca="1">SUMIF($D65:$D115,"原価金額",DR65:DU115)</f>
        <v>0</v>
      </c>
      <c r="DS118" s="37"/>
      <c r="DT118" s="37"/>
      <c r="DU118" s="38"/>
      <c r="DV118" s="39">
        <f ca="1">SUMIF($D65:$D115,"原価金額",DV65:DY115)</f>
        <v>0</v>
      </c>
      <c r="DW118" s="39"/>
      <c r="DX118" s="39"/>
      <c r="DY118" s="40"/>
      <c r="DZ118" s="37">
        <f ca="1">SUMIF($D65:$D115,"原価金額",DZ65:EC115)</f>
        <v>0</v>
      </c>
      <c r="EA118" s="37"/>
      <c r="EB118" s="37"/>
      <c r="EC118" s="37"/>
      <c r="ED118" s="37">
        <f ca="1">SUMIF($D65:$D115,"原価金額",ED65:EG115)</f>
        <v>0</v>
      </c>
      <c r="EE118" s="37"/>
      <c r="EF118" s="37"/>
      <c r="EG118" s="38"/>
      <c r="EH118" s="39">
        <f ca="1">SUMIF($D65:$D115,"原価金額",EH65:EK115)</f>
        <v>0</v>
      </c>
      <c r="EI118" s="39"/>
      <c r="EJ118" s="39"/>
      <c r="EK118" s="40"/>
      <c r="EL118" s="37">
        <f ca="1">SUMIF($D65:$D115,"原価金額",EL65:EO115)</f>
        <v>0</v>
      </c>
      <c r="EM118" s="37"/>
      <c r="EN118" s="37"/>
      <c r="EO118" s="37"/>
      <c r="EP118" s="37">
        <f ca="1">SUMIF($D65:$D115,"原価金額",EP65:ES115)</f>
        <v>0</v>
      </c>
      <c r="EQ118" s="37"/>
      <c r="ER118" s="37"/>
      <c r="ES118" s="38"/>
    </row>
  </sheetData>
  <sheetProtection formatColumns="0" formatRows="0"/>
  <protectedRanges>
    <protectedRange sqref="F9:CW9 E120:E123 B1 A2:A7 F3:CW7 C1:CW2 D8:CW8 D9:D26 A8:C26 A107:D1048576 ET1:XFD8 CX1:ES9 A86:A91 A92:B106 D65:D106 B65:B67 A83:B85 A65:A82 B71:B73 B77:B82 C66 C69 A27:D64" name="範囲1"/>
    <protectedRange sqref="B3 B4:C7" name="範囲1_1"/>
    <protectedRange sqref="F11:ES11 F20:ES20 F64:ES64" name="範囲1_3"/>
    <protectedRange sqref="B2" name="範囲1_14"/>
    <protectedRange sqref="C3" name="範囲1_1_1_1_1_1_1_1_1_1_1"/>
    <protectedRange sqref="B86:C88 C89:C106 C65 C67:C68 C70:C85" name="範囲1_2"/>
    <protectedRange sqref="B89:B91 B68:B70 B74:B76" name="範囲1_4"/>
    <protectedRange sqref="F18:ES18" name="範囲1_5"/>
    <protectedRange sqref="F62:ES62" name="範囲1_6"/>
    <protectedRange sqref="A1" name="範囲1_7"/>
  </protectedRanges>
  <mergeCells count="3684">
    <mergeCell ref="F29:I29"/>
    <mergeCell ref="J29:M29"/>
    <mergeCell ref="N29:Q29"/>
    <mergeCell ref="R29:U29"/>
    <mergeCell ref="V29:Y29"/>
    <mergeCell ref="Z29:AC29"/>
    <mergeCell ref="AD29:AG29"/>
    <mergeCell ref="AH29:AK29"/>
    <mergeCell ref="AL29:AO29"/>
    <mergeCell ref="AP29:AS29"/>
    <mergeCell ref="AT29:AW29"/>
    <mergeCell ref="AX29:BA29"/>
    <mergeCell ref="BB29:BE29"/>
    <mergeCell ref="BF29:BI29"/>
    <mergeCell ref="BJ29:BM29"/>
    <mergeCell ref="BN29:BQ29"/>
    <mergeCell ref="BR29:BU29"/>
    <mergeCell ref="BV28:BY28"/>
    <mergeCell ref="BZ28:CC28"/>
    <mergeCell ref="CD28:CG28"/>
    <mergeCell ref="CH28:CK28"/>
    <mergeCell ref="CD27:CG27"/>
    <mergeCell ref="CH27:CK27"/>
    <mergeCell ref="CL27:CO27"/>
    <mergeCell ref="CP27:CS27"/>
    <mergeCell ref="CT27:CW27"/>
    <mergeCell ref="CX27:DA27"/>
    <mergeCell ref="DB27:DE27"/>
    <mergeCell ref="DF27:DI27"/>
    <mergeCell ref="DR29:DU29"/>
    <mergeCell ref="DV29:DY29"/>
    <mergeCell ref="DZ29:EC29"/>
    <mergeCell ref="ED29:EG29"/>
    <mergeCell ref="EH29:EK29"/>
    <mergeCell ref="DR28:DU28"/>
    <mergeCell ref="DV28:DY28"/>
    <mergeCell ref="DZ28:EC28"/>
    <mergeCell ref="ED28:EG28"/>
    <mergeCell ref="EH28:EK28"/>
    <mergeCell ref="F28:I28"/>
    <mergeCell ref="J28:M28"/>
    <mergeCell ref="N28:Q28"/>
    <mergeCell ref="R28:U28"/>
    <mergeCell ref="V28:Y28"/>
    <mergeCell ref="Z28:AC28"/>
    <mergeCell ref="AD28:AG28"/>
    <mergeCell ref="AH28:AK28"/>
    <mergeCell ref="AL28:AO28"/>
    <mergeCell ref="AP28:AS28"/>
    <mergeCell ref="AT28:AW28"/>
    <mergeCell ref="AX28:BA28"/>
    <mergeCell ref="BB28:BE28"/>
    <mergeCell ref="BF28:BI28"/>
    <mergeCell ref="BJ28:BM28"/>
    <mergeCell ref="BN28:BQ28"/>
    <mergeCell ref="BR28:BU28"/>
    <mergeCell ref="BZ29:CC29"/>
    <mergeCell ref="CD29:CG29"/>
    <mergeCell ref="CH29:CK29"/>
    <mergeCell ref="CL29:CO29"/>
    <mergeCell ref="CP29:CS29"/>
    <mergeCell ref="CT29:CW29"/>
    <mergeCell ref="CX29:DA29"/>
    <mergeCell ref="DB29:DE29"/>
    <mergeCell ref="DF29:DI29"/>
    <mergeCell ref="DJ29:DM29"/>
    <mergeCell ref="DN29:DQ29"/>
    <mergeCell ref="DR27:DU27"/>
    <mergeCell ref="DV27:DY27"/>
    <mergeCell ref="DZ27:EC27"/>
    <mergeCell ref="EH27:EK27"/>
    <mergeCell ref="EL27:EO27"/>
    <mergeCell ref="EP27:ES27"/>
    <mergeCell ref="EL29:EO29"/>
    <mergeCell ref="EP29:ES29"/>
    <mergeCell ref="EL28:EO28"/>
    <mergeCell ref="EP28:ES28"/>
    <mergeCell ref="ED27:EG27"/>
    <mergeCell ref="B27:B29"/>
    <mergeCell ref="F27:I27"/>
    <mergeCell ref="J27:M27"/>
    <mergeCell ref="N27:Q27"/>
    <mergeCell ref="R27:U27"/>
    <mergeCell ref="V27:Y27"/>
    <mergeCell ref="Z27:AC27"/>
    <mergeCell ref="AD27:AG27"/>
    <mergeCell ref="AH27:AK27"/>
    <mergeCell ref="AL27:AO27"/>
    <mergeCell ref="AP27:AS27"/>
    <mergeCell ref="AT27:AW27"/>
    <mergeCell ref="AX27:BA27"/>
    <mergeCell ref="BB27:BE27"/>
    <mergeCell ref="BF27:BI27"/>
    <mergeCell ref="BJ27:BM27"/>
    <mergeCell ref="BN27:BQ27"/>
    <mergeCell ref="CL28:CO28"/>
    <mergeCell ref="CP28:CS28"/>
    <mergeCell ref="CT28:CW28"/>
    <mergeCell ref="CX28:DA28"/>
    <mergeCell ref="DB28:DE28"/>
    <mergeCell ref="DF28:DI28"/>
    <mergeCell ref="DJ28:DM28"/>
    <mergeCell ref="DN28:DQ28"/>
    <mergeCell ref="BR27:BU27"/>
    <mergeCell ref="BV27:BY27"/>
    <mergeCell ref="BZ27:CC27"/>
    <mergeCell ref="DJ27:DM27"/>
    <mergeCell ref="DN27:DQ27"/>
    <mergeCell ref="BV29:BY29"/>
    <mergeCell ref="AL11:AO11"/>
    <mergeCell ref="AP11:AS11"/>
    <mergeCell ref="AT11:AW11"/>
    <mergeCell ref="AX11:BA11"/>
    <mergeCell ref="F11:I11"/>
    <mergeCell ref="J11:M11"/>
    <mergeCell ref="N11:Q11"/>
    <mergeCell ref="R11:U11"/>
    <mergeCell ref="V11:Y11"/>
    <mergeCell ref="Z11:AC11"/>
    <mergeCell ref="BZ10:CK10"/>
    <mergeCell ref="CL10:CW10"/>
    <mergeCell ref="CX10:DI10"/>
    <mergeCell ref="DJ10:DU10"/>
    <mergeCell ref="DV10:EG10"/>
    <mergeCell ref="EH10:ES10"/>
    <mergeCell ref="B9:E11"/>
    <mergeCell ref="F9:BA9"/>
    <mergeCell ref="BB9:CW9"/>
    <mergeCell ref="CX9:ES9"/>
    <mergeCell ref="F10:Q10"/>
    <mergeCell ref="R10:AC10"/>
    <mergeCell ref="AD10:AO10"/>
    <mergeCell ref="AP10:BA10"/>
    <mergeCell ref="BB10:BM10"/>
    <mergeCell ref="BN10:BY10"/>
    <mergeCell ref="B12:C15"/>
    <mergeCell ref="F12:I12"/>
    <mergeCell ref="J12:M12"/>
    <mergeCell ref="N12:Q12"/>
    <mergeCell ref="R12:U12"/>
    <mergeCell ref="V12:Y12"/>
    <mergeCell ref="DV11:DY11"/>
    <mergeCell ref="DZ11:EC11"/>
    <mergeCell ref="ED11:EG11"/>
    <mergeCell ref="EH11:EK11"/>
    <mergeCell ref="EL11:EO11"/>
    <mergeCell ref="EP11:ES11"/>
    <mergeCell ref="CX11:DA11"/>
    <mergeCell ref="DB11:DE11"/>
    <mergeCell ref="DF11:DI11"/>
    <mergeCell ref="DJ11:DM11"/>
    <mergeCell ref="DN11:DQ11"/>
    <mergeCell ref="DR11:DU11"/>
    <mergeCell ref="BZ11:CC11"/>
    <mergeCell ref="CD11:CG11"/>
    <mergeCell ref="CH11:CK11"/>
    <mergeCell ref="CL11:CO11"/>
    <mergeCell ref="CP11:CS11"/>
    <mergeCell ref="CT11:CW11"/>
    <mergeCell ref="BB11:BE11"/>
    <mergeCell ref="BF11:BI11"/>
    <mergeCell ref="BJ11:BM11"/>
    <mergeCell ref="BN11:BQ11"/>
    <mergeCell ref="BR11:BU11"/>
    <mergeCell ref="BV11:BY11"/>
    <mergeCell ref="AD11:AG11"/>
    <mergeCell ref="AH11:AK11"/>
    <mergeCell ref="DJ12:DM12"/>
    <mergeCell ref="DN12:DQ12"/>
    <mergeCell ref="BV12:BY12"/>
    <mergeCell ref="BZ12:CC12"/>
    <mergeCell ref="CD12:CG12"/>
    <mergeCell ref="CH12:CK12"/>
    <mergeCell ref="CL12:CO12"/>
    <mergeCell ref="CP12:CS12"/>
    <mergeCell ref="AX12:BA12"/>
    <mergeCell ref="BB12:BE12"/>
    <mergeCell ref="BF12:BI12"/>
    <mergeCell ref="BJ12:BM12"/>
    <mergeCell ref="BN12:BQ12"/>
    <mergeCell ref="BR12:BU12"/>
    <mergeCell ref="Z12:AC12"/>
    <mergeCell ref="AD12:AG12"/>
    <mergeCell ref="AH12:AK12"/>
    <mergeCell ref="AL12:AO12"/>
    <mergeCell ref="AP12:AS12"/>
    <mergeCell ref="AT12:AW12"/>
    <mergeCell ref="BN13:BQ13"/>
    <mergeCell ref="BR13:BU13"/>
    <mergeCell ref="BV13:BY13"/>
    <mergeCell ref="BZ13:CC13"/>
    <mergeCell ref="CD13:CG13"/>
    <mergeCell ref="CH13:CK13"/>
    <mergeCell ref="AP13:AS13"/>
    <mergeCell ref="AT13:AW13"/>
    <mergeCell ref="AX13:BA13"/>
    <mergeCell ref="BB13:BE13"/>
    <mergeCell ref="BF13:BI13"/>
    <mergeCell ref="BJ13:BM13"/>
    <mergeCell ref="EP12:ES12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DR12:DU12"/>
    <mergeCell ref="DV12:DY12"/>
    <mergeCell ref="DZ12:EC12"/>
    <mergeCell ref="ED12:EG12"/>
    <mergeCell ref="EH12:EK12"/>
    <mergeCell ref="EL12:EO12"/>
    <mergeCell ref="CT12:CW12"/>
    <mergeCell ref="CX12:DA12"/>
    <mergeCell ref="DB12:DE12"/>
    <mergeCell ref="DF12:DI12"/>
    <mergeCell ref="BN14:BQ14"/>
    <mergeCell ref="BR14:BU14"/>
    <mergeCell ref="BV14:BY14"/>
    <mergeCell ref="BZ14:CC14"/>
    <mergeCell ref="AH14:AK14"/>
    <mergeCell ref="AL14:AO14"/>
    <mergeCell ref="AP14:AS14"/>
    <mergeCell ref="AT14:AW14"/>
    <mergeCell ref="AX14:BA14"/>
    <mergeCell ref="BB14:BE14"/>
    <mergeCell ref="EH13:EK13"/>
    <mergeCell ref="EL13:EO13"/>
    <mergeCell ref="EP13:ES13"/>
    <mergeCell ref="F14:I14"/>
    <mergeCell ref="J14:M14"/>
    <mergeCell ref="N14:Q14"/>
    <mergeCell ref="R14:U14"/>
    <mergeCell ref="V14:Y14"/>
    <mergeCell ref="Z14:AC14"/>
    <mergeCell ref="AD14:AG14"/>
    <mergeCell ref="DJ13:DM13"/>
    <mergeCell ref="DN13:DQ13"/>
    <mergeCell ref="DR13:DU13"/>
    <mergeCell ref="DV13:DY13"/>
    <mergeCell ref="DZ13:EC13"/>
    <mergeCell ref="ED13:EG13"/>
    <mergeCell ref="CL13:CO13"/>
    <mergeCell ref="CP13:CS13"/>
    <mergeCell ref="CT13:CW13"/>
    <mergeCell ref="CX13:DA13"/>
    <mergeCell ref="DB13:DE13"/>
    <mergeCell ref="DF13:DI13"/>
    <mergeCell ref="BN15:BQ15"/>
    <mergeCell ref="BR15:BU15"/>
    <mergeCell ref="Z15:AC15"/>
    <mergeCell ref="AD15:AG15"/>
    <mergeCell ref="AH15:AK15"/>
    <mergeCell ref="AL15:AO15"/>
    <mergeCell ref="AP15:AS15"/>
    <mergeCell ref="AT15:AW15"/>
    <mergeCell ref="DZ14:EC14"/>
    <mergeCell ref="ED14:EG14"/>
    <mergeCell ref="EH14:EK14"/>
    <mergeCell ref="EL14:EO14"/>
    <mergeCell ref="EP14:ES14"/>
    <mergeCell ref="F15:I15"/>
    <mergeCell ref="J15:M15"/>
    <mergeCell ref="N15:Q15"/>
    <mergeCell ref="R15:U15"/>
    <mergeCell ref="V15:Y15"/>
    <mergeCell ref="DB14:DE14"/>
    <mergeCell ref="DF14:DI14"/>
    <mergeCell ref="DJ14:DM14"/>
    <mergeCell ref="DN14:DQ14"/>
    <mergeCell ref="DR14:DU14"/>
    <mergeCell ref="DV14:DY14"/>
    <mergeCell ref="CD14:CG14"/>
    <mergeCell ref="CH14:CK14"/>
    <mergeCell ref="CL14:CO14"/>
    <mergeCell ref="CP14:CS14"/>
    <mergeCell ref="CT14:CW14"/>
    <mergeCell ref="CX14:DA14"/>
    <mergeCell ref="BF14:BI14"/>
    <mergeCell ref="BJ14:BM14"/>
    <mergeCell ref="EP15:ES15"/>
    <mergeCell ref="B18:B20"/>
    <mergeCell ref="C18:C19"/>
    <mergeCell ref="D18:D20"/>
    <mergeCell ref="E18:E20"/>
    <mergeCell ref="F18:BA18"/>
    <mergeCell ref="BB18:CW18"/>
    <mergeCell ref="CX18:ES18"/>
    <mergeCell ref="F19:Q19"/>
    <mergeCell ref="R19:AC19"/>
    <mergeCell ref="DR15:DU15"/>
    <mergeCell ref="DV15:DY15"/>
    <mergeCell ref="DZ15:EC15"/>
    <mergeCell ref="ED15:EG15"/>
    <mergeCell ref="EH15:EK15"/>
    <mergeCell ref="EL15:EO15"/>
    <mergeCell ref="CT15:CW15"/>
    <mergeCell ref="CX15:DA15"/>
    <mergeCell ref="DB15:DE15"/>
    <mergeCell ref="DF15:DI15"/>
    <mergeCell ref="DJ15:DM15"/>
    <mergeCell ref="DN15:DQ15"/>
    <mergeCell ref="BV15:BY15"/>
    <mergeCell ref="BZ15:CC15"/>
    <mergeCell ref="CD15:CG15"/>
    <mergeCell ref="CH15:CK15"/>
    <mergeCell ref="CL15:CO15"/>
    <mergeCell ref="CP15:CS15"/>
    <mergeCell ref="AX15:BA15"/>
    <mergeCell ref="BB15:BE15"/>
    <mergeCell ref="BF15:BI15"/>
    <mergeCell ref="BJ15:BM15"/>
    <mergeCell ref="BB20:BE20"/>
    <mergeCell ref="BF20:BI20"/>
    <mergeCell ref="BJ20:BM20"/>
    <mergeCell ref="BN20:BQ20"/>
    <mergeCell ref="BR20:BU20"/>
    <mergeCell ref="BV20:BY20"/>
    <mergeCell ref="AD20:AG20"/>
    <mergeCell ref="AH20:AK20"/>
    <mergeCell ref="AL20:AO20"/>
    <mergeCell ref="AP20:AS20"/>
    <mergeCell ref="AT20:AW20"/>
    <mergeCell ref="AX20:BA20"/>
    <mergeCell ref="CX19:DI19"/>
    <mergeCell ref="DJ19:DU19"/>
    <mergeCell ref="DV19:EG19"/>
    <mergeCell ref="EH19:ES19"/>
    <mergeCell ref="F20:I20"/>
    <mergeCell ref="J20:M20"/>
    <mergeCell ref="N20:Q20"/>
    <mergeCell ref="R20:U20"/>
    <mergeCell ref="V20:Y20"/>
    <mergeCell ref="Z20:AC20"/>
    <mergeCell ref="AD19:AO19"/>
    <mergeCell ref="AP19:BA19"/>
    <mergeCell ref="BB19:BM19"/>
    <mergeCell ref="BN19:BY19"/>
    <mergeCell ref="BZ19:CK19"/>
    <mergeCell ref="CL19:CW19"/>
    <mergeCell ref="DV20:DY20"/>
    <mergeCell ref="DZ20:EC20"/>
    <mergeCell ref="ED20:EG20"/>
    <mergeCell ref="EH20:EK20"/>
    <mergeCell ref="EL20:EO20"/>
    <mergeCell ref="EP20:ES20"/>
    <mergeCell ref="CX20:DA20"/>
    <mergeCell ref="DB20:DE20"/>
    <mergeCell ref="DF20:DI20"/>
    <mergeCell ref="DJ20:DM20"/>
    <mergeCell ref="DN20:DQ20"/>
    <mergeCell ref="DR20:DU20"/>
    <mergeCell ref="BZ20:CC20"/>
    <mergeCell ref="CD20:CG20"/>
    <mergeCell ref="CH20:CK20"/>
    <mergeCell ref="CL20:CO20"/>
    <mergeCell ref="CP20:CS20"/>
    <mergeCell ref="CT20:CW20"/>
    <mergeCell ref="AX21:BA21"/>
    <mergeCell ref="BB21:BE21"/>
    <mergeCell ref="BF21:BI21"/>
    <mergeCell ref="BJ21:BM21"/>
    <mergeCell ref="BN21:BQ21"/>
    <mergeCell ref="BR21:BU21"/>
    <mergeCell ref="CT21:CW21"/>
    <mergeCell ref="CX21:DA21"/>
    <mergeCell ref="DB21:DE21"/>
    <mergeCell ref="DF21:DI21"/>
    <mergeCell ref="DJ21:DM21"/>
    <mergeCell ref="DN21:DQ21"/>
    <mergeCell ref="BV21:BY21"/>
    <mergeCell ref="BZ21:CC21"/>
    <mergeCell ref="CD21:CG21"/>
    <mergeCell ref="CH21:CK21"/>
    <mergeCell ref="CL21:CO21"/>
    <mergeCell ref="CP21:CS21"/>
    <mergeCell ref="Z21:AC21"/>
    <mergeCell ref="AD21:AG21"/>
    <mergeCell ref="AH21:AK21"/>
    <mergeCell ref="AL21:AO21"/>
    <mergeCell ref="AP21:AS21"/>
    <mergeCell ref="AT21:AW21"/>
    <mergeCell ref="B21:B23"/>
    <mergeCell ref="F21:I21"/>
    <mergeCell ref="J21:M21"/>
    <mergeCell ref="N21:Q21"/>
    <mergeCell ref="R21:U21"/>
    <mergeCell ref="V21:Y21"/>
    <mergeCell ref="AX22:BA22"/>
    <mergeCell ref="BB22:BE22"/>
    <mergeCell ref="BF22:BI22"/>
    <mergeCell ref="BJ22:BM22"/>
    <mergeCell ref="EP21:ES21"/>
    <mergeCell ref="F22:I22"/>
    <mergeCell ref="J22:M22"/>
    <mergeCell ref="N22:Q22"/>
    <mergeCell ref="R22:U22"/>
    <mergeCell ref="V22:Y22"/>
    <mergeCell ref="Z22:AC22"/>
    <mergeCell ref="AD22:AG22"/>
    <mergeCell ref="AH22:AK22"/>
    <mergeCell ref="AL22:AO22"/>
    <mergeCell ref="DR21:DU21"/>
    <mergeCell ref="DV21:DY21"/>
    <mergeCell ref="DZ21:EC21"/>
    <mergeCell ref="ED21:EG21"/>
    <mergeCell ref="EH21:EK21"/>
    <mergeCell ref="EL21:EO21"/>
    <mergeCell ref="AX23:BA23"/>
    <mergeCell ref="BB23:BE23"/>
    <mergeCell ref="EH22:EK22"/>
    <mergeCell ref="EL22:EO22"/>
    <mergeCell ref="EP22:ES22"/>
    <mergeCell ref="F23:I23"/>
    <mergeCell ref="J23:M23"/>
    <mergeCell ref="N23:Q23"/>
    <mergeCell ref="R23:U23"/>
    <mergeCell ref="V23:Y23"/>
    <mergeCell ref="Z23:AC23"/>
    <mergeCell ref="AD23:AG23"/>
    <mergeCell ref="DJ22:DM22"/>
    <mergeCell ref="DN22:DQ22"/>
    <mergeCell ref="DR22:DU22"/>
    <mergeCell ref="DV22:DY22"/>
    <mergeCell ref="DZ22:EC22"/>
    <mergeCell ref="ED22:EG22"/>
    <mergeCell ref="CL22:CO22"/>
    <mergeCell ref="CP22:CS22"/>
    <mergeCell ref="CT22:CW22"/>
    <mergeCell ref="CX22:DA22"/>
    <mergeCell ref="DB22:DE22"/>
    <mergeCell ref="DF22:DI22"/>
    <mergeCell ref="BN22:BQ22"/>
    <mergeCell ref="BR22:BU22"/>
    <mergeCell ref="BV22:BY22"/>
    <mergeCell ref="BZ22:CC22"/>
    <mergeCell ref="CD22:CG22"/>
    <mergeCell ref="CH22:CK22"/>
    <mergeCell ref="AP22:AS22"/>
    <mergeCell ref="AT22:AW22"/>
    <mergeCell ref="DZ23:EC23"/>
    <mergeCell ref="ED23:EG23"/>
    <mergeCell ref="EH23:EK23"/>
    <mergeCell ref="EL23:EO23"/>
    <mergeCell ref="EP23:ES23"/>
    <mergeCell ref="B24:B26"/>
    <mergeCell ref="F24:I24"/>
    <mergeCell ref="J24:M24"/>
    <mergeCell ref="N24:Q24"/>
    <mergeCell ref="R24:U24"/>
    <mergeCell ref="DB23:DE23"/>
    <mergeCell ref="DF23:DI23"/>
    <mergeCell ref="DJ23:DM23"/>
    <mergeCell ref="DN23:DQ23"/>
    <mergeCell ref="DR23:DU23"/>
    <mergeCell ref="DV23:DY23"/>
    <mergeCell ref="CD23:CG23"/>
    <mergeCell ref="CH23:CK23"/>
    <mergeCell ref="CL23:CO23"/>
    <mergeCell ref="CP23:CS23"/>
    <mergeCell ref="CT23:CW23"/>
    <mergeCell ref="CX23:DA23"/>
    <mergeCell ref="BF23:BI23"/>
    <mergeCell ref="BJ23:BM23"/>
    <mergeCell ref="BN23:BQ23"/>
    <mergeCell ref="BR23:BU23"/>
    <mergeCell ref="BV23:BY23"/>
    <mergeCell ref="BZ23:CC23"/>
    <mergeCell ref="AH23:AK23"/>
    <mergeCell ref="AL23:AO23"/>
    <mergeCell ref="AP23:AS23"/>
    <mergeCell ref="AT23:AW23"/>
    <mergeCell ref="CX24:DA24"/>
    <mergeCell ref="DB24:DE24"/>
    <mergeCell ref="DF24:DI24"/>
    <mergeCell ref="DJ24:DM24"/>
    <mergeCell ref="BR24:BU24"/>
    <mergeCell ref="BV24:BY24"/>
    <mergeCell ref="BZ24:CC24"/>
    <mergeCell ref="CD24:CG24"/>
    <mergeCell ref="CH24:CK24"/>
    <mergeCell ref="CL24:CO24"/>
    <mergeCell ref="AT24:AW24"/>
    <mergeCell ref="AX24:BA24"/>
    <mergeCell ref="BB24:BE24"/>
    <mergeCell ref="BF24:BI24"/>
    <mergeCell ref="BJ24:BM24"/>
    <mergeCell ref="BN24:BQ24"/>
    <mergeCell ref="V24:Y24"/>
    <mergeCell ref="Z24:AC24"/>
    <mergeCell ref="AD24:AG24"/>
    <mergeCell ref="AH24:AK24"/>
    <mergeCell ref="AL24:AO24"/>
    <mergeCell ref="AP24:AS24"/>
    <mergeCell ref="CX25:DA25"/>
    <mergeCell ref="DB25:DE25"/>
    <mergeCell ref="BJ25:BM25"/>
    <mergeCell ref="BN25:BQ25"/>
    <mergeCell ref="BR25:BU25"/>
    <mergeCell ref="BV25:BY25"/>
    <mergeCell ref="BZ25:CC25"/>
    <mergeCell ref="CD25:CG25"/>
    <mergeCell ref="AL25:AO25"/>
    <mergeCell ref="AP25:AS25"/>
    <mergeCell ref="AT25:AW25"/>
    <mergeCell ref="AX25:BA25"/>
    <mergeCell ref="BB25:BE25"/>
    <mergeCell ref="BF25:BI25"/>
    <mergeCell ref="EL24:EO24"/>
    <mergeCell ref="EP24:ES24"/>
    <mergeCell ref="F25:I25"/>
    <mergeCell ref="J25:M25"/>
    <mergeCell ref="N25:Q25"/>
    <mergeCell ref="R25:U25"/>
    <mergeCell ref="V25:Y25"/>
    <mergeCell ref="Z25:AC25"/>
    <mergeCell ref="AD25:AG25"/>
    <mergeCell ref="AH25:AK25"/>
    <mergeCell ref="DN24:DQ24"/>
    <mergeCell ref="DR24:DU24"/>
    <mergeCell ref="DV24:DY24"/>
    <mergeCell ref="DZ24:EC24"/>
    <mergeCell ref="ED24:EG24"/>
    <mergeCell ref="EH24:EK24"/>
    <mergeCell ref="CP24:CS24"/>
    <mergeCell ref="CT24:CW24"/>
    <mergeCell ref="BB26:BE26"/>
    <mergeCell ref="BF26:BI26"/>
    <mergeCell ref="BJ26:BM26"/>
    <mergeCell ref="BN26:BQ26"/>
    <mergeCell ref="BR26:BU26"/>
    <mergeCell ref="BV26:BY26"/>
    <mergeCell ref="AD26:AG26"/>
    <mergeCell ref="AH26:AK26"/>
    <mergeCell ref="AL26:AO26"/>
    <mergeCell ref="AP26:AS26"/>
    <mergeCell ref="AT26:AW26"/>
    <mergeCell ref="AX26:BA26"/>
    <mergeCell ref="ED25:EG25"/>
    <mergeCell ref="EH25:EK25"/>
    <mergeCell ref="EL25:EO25"/>
    <mergeCell ref="EP25:ES25"/>
    <mergeCell ref="F26:I26"/>
    <mergeCell ref="J26:M26"/>
    <mergeCell ref="N26:Q26"/>
    <mergeCell ref="R26:U26"/>
    <mergeCell ref="V26:Y26"/>
    <mergeCell ref="Z26:AC26"/>
    <mergeCell ref="DF25:DI25"/>
    <mergeCell ref="DJ25:DM25"/>
    <mergeCell ref="DN25:DQ25"/>
    <mergeCell ref="DR25:DU25"/>
    <mergeCell ref="DV25:DY25"/>
    <mergeCell ref="DZ25:EC25"/>
    <mergeCell ref="CH25:CK25"/>
    <mergeCell ref="CL25:CO25"/>
    <mergeCell ref="CP25:CS25"/>
    <mergeCell ref="CT25:CW25"/>
    <mergeCell ref="DV26:DY26"/>
    <mergeCell ref="DZ26:EC26"/>
    <mergeCell ref="ED26:EG26"/>
    <mergeCell ref="EH26:EK26"/>
    <mergeCell ref="EL26:EO26"/>
    <mergeCell ref="EP26:ES26"/>
    <mergeCell ref="CX26:DA26"/>
    <mergeCell ref="DB26:DE26"/>
    <mergeCell ref="DF26:DI26"/>
    <mergeCell ref="DJ26:DM26"/>
    <mergeCell ref="DN26:DQ26"/>
    <mergeCell ref="DR26:DU26"/>
    <mergeCell ref="BZ26:CC26"/>
    <mergeCell ref="CD26:CG26"/>
    <mergeCell ref="CH26:CK26"/>
    <mergeCell ref="CL26:CO26"/>
    <mergeCell ref="CP26:CS26"/>
    <mergeCell ref="CT26:CW26"/>
    <mergeCell ref="AX30:BA30"/>
    <mergeCell ref="BB30:BE30"/>
    <mergeCell ref="BF30:BI30"/>
    <mergeCell ref="BJ30:BM30"/>
    <mergeCell ref="BN30:BQ30"/>
    <mergeCell ref="BR30:BU30"/>
    <mergeCell ref="Z30:AC30"/>
    <mergeCell ref="AD30:AG30"/>
    <mergeCell ref="AH30:AK30"/>
    <mergeCell ref="AL30:AO30"/>
    <mergeCell ref="AP30:AS30"/>
    <mergeCell ref="AT30:AW30"/>
    <mergeCell ref="B30:B32"/>
    <mergeCell ref="F30:I30"/>
    <mergeCell ref="J30:M30"/>
    <mergeCell ref="N30:Q30"/>
    <mergeCell ref="R30:U30"/>
    <mergeCell ref="V30:Y30"/>
    <mergeCell ref="AX31:BA31"/>
    <mergeCell ref="BB31:BE31"/>
    <mergeCell ref="BF31:BI31"/>
    <mergeCell ref="BJ31:BM31"/>
    <mergeCell ref="AX32:BA32"/>
    <mergeCell ref="BB32:BE32"/>
    <mergeCell ref="F32:I32"/>
    <mergeCell ref="J32:M32"/>
    <mergeCell ref="N32:Q32"/>
    <mergeCell ref="R32:U32"/>
    <mergeCell ref="V32:Y32"/>
    <mergeCell ref="Z32:AC32"/>
    <mergeCell ref="AD32:AG32"/>
    <mergeCell ref="AP31:AS31"/>
    <mergeCell ref="EP30:ES30"/>
    <mergeCell ref="F31:I31"/>
    <mergeCell ref="J31:M31"/>
    <mergeCell ref="N31:Q31"/>
    <mergeCell ref="R31:U31"/>
    <mergeCell ref="V31:Y31"/>
    <mergeCell ref="Z31:AC31"/>
    <mergeCell ref="AD31:AG31"/>
    <mergeCell ref="AH31:AK31"/>
    <mergeCell ref="AL31:AO31"/>
    <mergeCell ref="DR30:DU30"/>
    <mergeCell ref="DV30:DY30"/>
    <mergeCell ref="DZ30:EC30"/>
    <mergeCell ref="ED30:EG30"/>
    <mergeCell ref="EH30:EK30"/>
    <mergeCell ref="EL30:EO30"/>
    <mergeCell ref="CT30:CW30"/>
    <mergeCell ref="CX30:DA30"/>
    <mergeCell ref="DB30:DE30"/>
    <mergeCell ref="DF30:DI30"/>
    <mergeCell ref="DJ30:DM30"/>
    <mergeCell ref="DN30:DQ30"/>
    <mergeCell ref="BV30:BY30"/>
    <mergeCell ref="BZ30:CC30"/>
    <mergeCell ref="CD30:CG30"/>
    <mergeCell ref="CH30:CK30"/>
    <mergeCell ref="CL30:CO30"/>
    <mergeCell ref="CP30:CS30"/>
    <mergeCell ref="EH31:EK31"/>
    <mergeCell ref="EL31:EO31"/>
    <mergeCell ref="EP31:ES31"/>
    <mergeCell ref="DJ31:DM31"/>
    <mergeCell ref="DN31:DQ31"/>
    <mergeCell ref="DR31:DU31"/>
    <mergeCell ref="DV31:DY31"/>
    <mergeCell ref="DZ31:EC31"/>
    <mergeCell ref="ED31:EG31"/>
    <mergeCell ref="CL31:CO31"/>
    <mergeCell ref="CP31:CS31"/>
    <mergeCell ref="CT31:CW31"/>
    <mergeCell ref="CX31:DA31"/>
    <mergeCell ref="DB31:DE31"/>
    <mergeCell ref="DF31:DI31"/>
    <mergeCell ref="BN31:BQ31"/>
    <mergeCell ref="BR31:BU31"/>
    <mergeCell ref="BV31:BY31"/>
    <mergeCell ref="BZ31:CC31"/>
    <mergeCell ref="CD31:CG31"/>
    <mergeCell ref="CH31:CK31"/>
    <mergeCell ref="AT31:AW31"/>
    <mergeCell ref="DZ32:EC32"/>
    <mergeCell ref="ED32:EG32"/>
    <mergeCell ref="EH32:EK32"/>
    <mergeCell ref="EL32:EO32"/>
    <mergeCell ref="EP32:ES32"/>
    <mergeCell ref="B33:B35"/>
    <mergeCell ref="F33:I33"/>
    <mergeCell ref="J33:M33"/>
    <mergeCell ref="N33:Q33"/>
    <mergeCell ref="R33:U33"/>
    <mergeCell ref="DB32:DE32"/>
    <mergeCell ref="DF32:DI32"/>
    <mergeCell ref="DJ32:DM32"/>
    <mergeCell ref="DN32:DQ32"/>
    <mergeCell ref="DR32:DU32"/>
    <mergeCell ref="DV32:DY32"/>
    <mergeCell ref="CD32:CG32"/>
    <mergeCell ref="CH32:CK32"/>
    <mergeCell ref="CL32:CO32"/>
    <mergeCell ref="CP32:CS32"/>
    <mergeCell ref="CT32:CW32"/>
    <mergeCell ref="CX32:DA32"/>
    <mergeCell ref="BF32:BI32"/>
    <mergeCell ref="BJ32:BM32"/>
    <mergeCell ref="BN32:BQ32"/>
    <mergeCell ref="BR32:BU32"/>
    <mergeCell ref="BV32:BY32"/>
    <mergeCell ref="BZ32:CC32"/>
    <mergeCell ref="AH32:AK32"/>
    <mergeCell ref="AL32:AO32"/>
    <mergeCell ref="AP32:AS32"/>
    <mergeCell ref="AL34:AO34"/>
    <mergeCell ref="AP34:AS34"/>
    <mergeCell ref="AT34:AW34"/>
    <mergeCell ref="AX34:BA34"/>
    <mergeCell ref="BB34:BE34"/>
    <mergeCell ref="BF34:BI34"/>
    <mergeCell ref="AT32:AW32"/>
    <mergeCell ref="CX33:DA33"/>
    <mergeCell ref="DB33:DE33"/>
    <mergeCell ref="DF33:DI33"/>
    <mergeCell ref="DJ33:DM33"/>
    <mergeCell ref="BR33:BU33"/>
    <mergeCell ref="BV33:BY33"/>
    <mergeCell ref="BZ33:CC33"/>
    <mergeCell ref="CD33:CG33"/>
    <mergeCell ref="CH33:CK33"/>
    <mergeCell ref="CL33:CO33"/>
    <mergeCell ref="AT33:AW33"/>
    <mergeCell ref="AX33:BA33"/>
    <mergeCell ref="BB33:BE33"/>
    <mergeCell ref="BF33:BI33"/>
    <mergeCell ref="BJ33:BM33"/>
    <mergeCell ref="BN33:BQ33"/>
    <mergeCell ref="EL33:EO33"/>
    <mergeCell ref="EP33:ES33"/>
    <mergeCell ref="F34:I34"/>
    <mergeCell ref="J34:M34"/>
    <mergeCell ref="N34:Q34"/>
    <mergeCell ref="R34:U34"/>
    <mergeCell ref="V34:Y34"/>
    <mergeCell ref="Z34:AC34"/>
    <mergeCell ref="AD34:AG34"/>
    <mergeCell ref="AH34:AK34"/>
    <mergeCell ref="DN33:DQ33"/>
    <mergeCell ref="DR33:DU33"/>
    <mergeCell ref="DV33:DY33"/>
    <mergeCell ref="DZ33:EC33"/>
    <mergeCell ref="ED33:EG33"/>
    <mergeCell ref="EH33:EK33"/>
    <mergeCell ref="CP33:CS33"/>
    <mergeCell ref="CT33:CW33"/>
    <mergeCell ref="V33:Y33"/>
    <mergeCell ref="Z33:AC33"/>
    <mergeCell ref="AD33:AG33"/>
    <mergeCell ref="AH33:AK33"/>
    <mergeCell ref="AL33:AO33"/>
    <mergeCell ref="AP33:AS33"/>
    <mergeCell ref="CX34:DA34"/>
    <mergeCell ref="DB34:DE34"/>
    <mergeCell ref="BJ34:BM34"/>
    <mergeCell ref="BN34:BQ34"/>
    <mergeCell ref="BR34:BU34"/>
    <mergeCell ref="BV34:BY34"/>
    <mergeCell ref="BZ34:CC34"/>
    <mergeCell ref="CD34:CG34"/>
    <mergeCell ref="BB35:BE35"/>
    <mergeCell ref="BF35:BI35"/>
    <mergeCell ref="BJ35:BM35"/>
    <mergeCell ref="BN35:BQ35"/>
    <mergeCell ref="BR35:BU35"/>
    <mergeCell ref="BV35:BY35"/>
    <mergeCell ref="AD35:AG35"/>
    <mergeCell ref="AH35:AK35"/>
    <mergeCell ref="AL35:AO35"/>
    <mergeCell ref="AP35:AS35"/>
    <mergeCell ref="AT35:AW35"/>
    <mergeCell ref="AX35:BA35"/>
    <mergeCell ref="ED34:EG34"/>
    <mergeCell ref="EH34:EK34"/>
    <mergeCell ref="EL34:EO34"/>
    <mergeCell ref="EP34:ES34"/>
    <mergeCell ref="F35:I35"/>
    <mergeCell ref="J35:M35"/>
    <mergeCell ref="N35:Q35"/>
    <mergeCell ref="R35:U35"/>
    <mergeCell ref="V35:Y35"/>
    <mergeCell ref="Z35:AC35"/>
    <mergeCell ref="DF34:DI34"/>
    <mergeCell ref="DJ34:DM34"/>
    <mergeCell ref="DN34:DQ34"/>
    <mergeCell ref="DR34:DU34"/>
    <mergeCell ref="DV34:DY34"/>
    <mergeCell ref="DZ34:EC34"/>
    <mergeCell ref="CH34:CK34"/>
    <mergeCell ref="CL34:CO34"/>
    <mergeCell ref="CP34:CS34"/>
    <mergeCell ref="CT34:CW34"/>
    <mergeCell ref="DV35:DY35"/>
    <mergeCell ref="DZ35:EC35"/>
    <mergeCell ref="ED35:EG35"/>
    <mergeCell ref="EH35:EK35"/>
    <mergeCell ref="EL35:EO35"/>
    <mergeCell ref="EP35:ES35"/>
    <mergeCell ref="CX35:DA35"/>
    <mergeCell ref="DB35:DE35"/>
    <mergeCell ref="DF35:DI35"/>
    <mergeCell ref="DJ35:DM35"/>
    <mergeCell ref="DN35:DQ35"/>
    <mergeCell ref="DR35:DU35"/>
    <mergeCell ref="BZ35:CC35"/>
    <mergeCell ref="CD35:CG35"/>
    <mergeCell ref="CH35:CK35"/>
    <mergeCell ref="CL35:CO35"/>
    <mergeCell ref="CP35:CS35"/>
    <mergeCell ref="CT35:CW35"/>
    <mergeCell ref="AX36:BA36"/>
    <mergeCell ref="BB36:BE36"/>
    <mergeCell ref="BF36:BI36"/>
    <mergeCell ref="BJ36:BM36"/>
    <mergeCell ref="BN36:BQ36"/>
    <mergeCell ref="BR36:BU36"/>
    <mergeCell ref="Z36:AC36"/>
    <mergeCell ref="AD36:AG36"/>
    <mergeCell ref="AH36:AK36"/>
    <mergeCell ref="AL36:AO36"/>
    <mergeCell ref="AP36:AS36"/>
    <mergeCell ref="AT36:AW36"/>
    <mergeCell ref="B36:B38"/>
    <mergeCell ref="F36:I36"/>
    <mergeCell ref="J36:M36"/>
    <mergeCell ref="N36:Q36"/>
    <mergeCell ref="R36:U36"/>
    <mergeCell ref="V36:Y36"/>
    <mergeCell ref="AX37:BA37"/>
    <mergeCell ref="BB37:BE37"/>
    <mergeCell ref="BF37:BI37"/>
    <mergeCell ref="BJ37:BM37"/>
    <mergeCell ref="AX38:BA38"/>
    <mergeCell ref="BB38:BE38"/>
    <mergeCell ref="F38:I38"/>
    <mergeCell ref="J38:M38"/>
    <mergeCell ref="N38:Q38"/>
    <mergeCell ref="R38:U38"/>
    <mergeCell ref="V38:Y38"/>
    <mergeCell ref="Z38:AC38"/>
    <mergeCell ref="AD38:AG38"/>
    <mergeCell ref="AP37:AS37"/>
    <mergeCell ref="EP36:ES36"/>
    <mergeCell ref="F37:I37"/>
    <mergeCell ref="J37:M37"/>
    <mergeCell ref="N37:Q37"/>
    <mergeCell ref="R37:U37"/>
    <mergeCell ref="V37:Y37"/>
    <mergeCell ref="Z37:AC37"/>
    <mergeCell ref="AD37:AG37"/>
    <mergeCell ref="AH37:AK37"/>
    <mergeCell ref="AL37:AO37"/>
    <mergeCell ref="DR36:DU36"/>
    <mergeCell ref="DV36:DY36"/>
    <mergeCell ref="DZ36:EC36"/>
    <mergeCell ref="ED36:EG36"/>
    <mergeCell ref="EH36:EK36"/>
    <mergeCell ref="EL36:EO36"/>
    <mergeCell ref="CT36:CW36"/>
    <mergeCell ref="CX36:DA36"/>
    <mergeCell ref="DB36:DE36"/>
    <mergeCell ref="DF36:DI36"/>
    <mergeCell ref="DJ36:DM36"/>
    <mergeCell ref="DN36:DQ36"/>
    <mergeCell ref="BV36:BY36"/>
    <mergeCell ref="BZ36:CC36"/>
    <mergeCell ref="CD36:CG36"/>
    <mergeCell ref="CH36:CK36"/>
    <mergeCell ref="CL36:CO36"/>
    <mergeCell ref="CP36:CS36"/>
    <mergeCell ref="EH37:EK37"/>
    <mergeCell ref="EL37:EO37"/>
    <mergeCell ref="EP37:ES37"/>
    <mergeCell ref="DJ37:DM37"/>
    <mergeCell ref="DN37:DQ37"/>
    <mergeCell ref="DR37:DU37"/>
    <mergeCell ref="DV37:DY37"/>
    <mergeCell ref="DZ37:EC37"/>
    <mergeCell ref="ED37:EG37"/>
    <mergeCell ref="CL37:CO37"/>
    <mergeCell ref="CP37:CS37"/>
    <mergeCell ref="CT37:CW37"/>
    <mergeCell ref="CX37:DA37"/>
    <mergeCell ref="DB37:DE37"/>
    <mergeCell ref="DF37:DI37"/>
    <mergeCell ref="BN37:BQ37"/>
    <mergeCell ref="BR37:BU37"/>
    <mergeCell ref="BV37:BY37"/>
    <mergeCell ref="BZ37:CC37"/>
    <mergeCell ref="CD37:CG37"/>
    <mergeCell ref="CH37:CK37"/>
    <mergeCell ref="AT37:AW37"/>
    <mergeCell ref="DZ38:EC38"/>
    <mergeCell ref="ED38:EG38"/>
    <mergeCell ref="EH38:EK38"/>
    <mergeCell ref="EL38:EO38"/>
    <mergeCell ref="EP38:ES38"/>
    <mergeCell ref="B39:B41"/>
    <mergeCell ref="F39:I39"/>
    <mergeCell ref="J39:M39"/>
    <mergeCell ref="N39:Q39"/>
    <mergeCell ref="R39:U39"/>
    <mergeCell ref="DB38:DE38"/>
    <mergeCell ref="DF38:DI38"/>
    <mergeCell ref="DJ38:DM38"/>
    <mergeCell ref="DN38:DQ38"/>
    <mergeCell ref="DR38:DU38"/>
    <mergeCell ref="DV38:DY38"/>
    <mergeCell ref="CD38:CG38"/>
    <mergeCell ref="CH38:CK38"/>
    <mergeCell ref="CL38:CO38"/>
    <mergeCell ref="CP38:CS38"/>
    <mergeCell ref="CT38:CW38"/>
    <mergeCell ref="CX38:DA38"/>
    <mergeCell ref="BF38:BI38"/>
    <mergeCell ref="BJ38:BM38"/>
    <mergeCell ref="BN38:BQ38"/>
    <mergeCell ref="BR38:BU38"/>
    <mergeCell ref="BV38:BY38"/>
    <mergeCell ref="BZ38:CC38"/>
    <mergeCell ref="AH38:AK38"/>
    <mergeCell ref="AL38:AO38"/>
    <mergeCell ref="AP38:AS38"/>
    <mergeCell ref="AL40:AO40"/>
    <mergeCell ref="AP40:AS40"/>
    <mergeCell ref="AT40:AW40"/>
    <mergeCell ref="AX40:BA40"/>
    <mergeCell ref="BB40:BE40"/>
    <mergeCell ref="BF40:BI40"/>
    <mergeCell ref="AT38:AW38"/>
    <mergeCell ref="CX39:DA39"/>
    <mergeCell ref="DB39:DE39"/>
    <mergeCell ref="DF39:DI39"/>
    <mergeCell ref="DJ39:DM39"/>
    <mergeCell ref="BR39:BU39"/>
    <mergeCell ref="BV39:BY39"/>
    <mergeCell ref="BZ39:CC39"/>
    <mergeCell ref="CD39:CG39"/>
    <mergeCell ref="CH39:CK39"/>
    <mergeCell ref="CL39:CO39"/>
    <mergeCell ref="AT39:AW39"/>
    <mergeCell ref="AX39:BA39"/>
    <mergeCell ref="BB39:BE39"/>
    <mergeCell ref="BF39:BI39"/>
    <mergeCell ref="BJ39:BM39"/>
    <mergeCell ref="BN39:BQ39"/>
    <mergeCell ref="EL39:EO39"/>
    <mergeCell ref="EP39:ES39"/>
    <mergeCell ref="F40:I40"/>
    <mergeCell ref="J40:M40"/>
    <mergeCell ref="N40:Q40"/>
    <mergeCell ref="R40:U40"/>
    <mergeCell ref="V40:Y40"/>
    <mergeCell ref="Z40:AC40"/>
    <mergeCell ref="AD40:AG40"/>
    <mergeCell ref="AH40:AK40"/>
    <mergeCell ref="DN39:DQ39"/>
    <mergeCell ref="DR39:DU39"/>
    <mergeCell ref="DV39:DY39"/>
    <mergeCell ref="DZ39:EC39"/>
    <mergeCell ref="ED39:EG39"/>
    <mergeCell ref="EH39:EK39"/>
    <mergeCell ref="CP39:CS39"/>
    <mergeCell ref="CT39:CW39"/>
    <mergeCell ref="V39:Y39"/>
    <mergeCell ref="Z39:AC39"/>
    <mergeCell ref="AD39:AG39"/>
    <mergeCell ref="AH39:AK39"/>
    <mergeCell ref="AL39:AO39"/>
    <mergeCell ref="AP39:AS39"/>
    <mergeCell ref="CX40:DA40"/>
    <mergeCell ref="DB40:DE40"/>
    <mergeCell ref="BJ40:BM40"/>
    <mergeCell ref="BN40:BQ40"/>
    <mergeCell ref="BR40:BU40"/>
    <mergeCell ref="BV40:BY40"/>
    <mergeCell ref="BZ40:CC40"/>
    <mergeCell ref="CD40:CG40"/>
    <mergeCell ref="BB41:BE41"/>
    <mergeCell ref="BF41:BI41"/>
    <mergeCell ref="BJ41:BM41"/>
    <mergeCell ref="BN41:BQ41"/>
    <mergeCell ref="BR41:BU41"/>
    <mergeCell ref="BV41:BY41"/>
    <mergeCell ref="AD41:AG41"/>
    <mergeCell ref="AH41:AK41"/>
    <mergeCell ref="AL41:AO41"/>
    <mergeCell ref="AP41:AS41"/>
    <mergeCell ref="AT41:AW41"/>
    <mergeCell ref="AX41:BA41"/>
    <mergeCell ref="ED40:EG40"/>
    <mergeCell ref="EH40:EK40"/>
    <mergeCell ref="EL40:EO40"/>
    <mergeCell ref="EP40:ES40"/>
    <mergeCell ref="F41:I41"/>
    <mergeCell ref="J41:M41"/>
    <mergeCell ref="N41:Q41"/>
    <mergeCell ref="R41:U41"/>
    <mergeCell ref="V41:Y41"/>
    <mergeCell ref="Z41:AC41"/>
    <mergeCell ref="DF40:DI40"/>
    <mergeCell ref="DJ40:DM40"/>
    <mergeCell ref="DN40:DQ40"/>
    <mergeCell ref="DR40:DU40"/>
    <mergeCell ref="DV40:DY40"/>
    <mergeCell ref="DZ40:EC40"/>
    <mergeCell ref="CH40:CK40"/>
    <mergeCell ref="CL40:CO40"/>
    <mergeCell ref="CP40:CS40"/>
    <mergeCell ref="CT40:CW40"/>
    <mergeCell ref="DV41:DY41"/>
    <mergeCell ref="DZ41:EC41"/>
    <mergeCell ref="ED41:EG41"/>
    <mergeCell ref="EH41:EK41"/>
    <mergeCell ref="EL41:EO41"/>
    <mergeCell ref="EP41:ES41"/>
    <mergeCell ref="CX41:DA41"/>
    <mergeCell ref="DB41:DE41"/>
    <mergeCell ref="DF41:DI41"/>
    <mergeCell ref="DJ41:DM41"/>
    <mergeCell ref="DN41:DQ41"/>
    <mergeCell ref="DR41:DU41"/>
    <mergeCell ref="BZ41:CC41"/>
    <mergeCell ref="CD41:CG41"/>
    <mergeCell ref="CH41:CK41"/>
    <mergeCell ref="CL41:CO41"/>
    <mergeCell ref="CP41:CS41"/>
    <mergeCell ref="CT41:CW41"/>
    <mergeCell ref="AX42:BA42"/>
    <mergeCell ref="BB42:BE42"/>
    <mergeCell ref="BF42:BI42"/>
    <mergeCell ref="BJ42:BM42"/>
    <mergeCell ref="BN42:BQ42"/>
    <mergeCell ref="BR42:BU42"/>
    <mergeCell ref="Z42:AC42"/>
    <mergeCell ref="AD42:AG42"/>
    <mergeCell ref="AH42:AK42"/>
    <mergeCell ref="AL42:AO42"/>
    <mergeCell ref="AP42:AS42"/>
    <mergeCell ref="AT42:AW42"/>
    <mergeCell ref="B42:B44"/>
    <mergeCell ref="F42:I42"/>
    <mergeCell ref="J42:M42"/>
    <mergeCell ref="N42:Q42"/>
    <mergeCell ref="R42:U42"/>
    <mergeCell ref="V42:Y42"/>
    <mergeCell ref="AX43:BA43"/>
    <mergeCell ref="BB43:BE43"/>
    <mergeCell ref="BF43:BI43"/>
    <mergeCell ref="BJ43:BM43"/>
    <mergeCell ref="AX44:BA44"/>
    <mergeCell ref="BB44:BE44"/>
    <mergeCell ref="F44:I44"/>
    <mergeCell ref="J44:M44"/>
    <mergeCell ref="N44:Q44"/>
    <mergeCell ref="R44:U44"/>
    <mergeCell ref="V44:Y44"/>
    <mergeCell ref="Z44:AC44"/>
    <mergeCell ref="AD44:AG44"/>
    <mergeCell ref="AP43:AS43"/>
    <mergeCell ref="EP42:ES42"/>
    <mergeCell ref="F43:I43"/>
    <mergeCell ref="J43:M43"/>
    <mergeCell ref="N43:Q43"/>
    <mergeCell ref="R43:U43"/>
    <mergeCell ref="V43:Y43"/>
    <mergeCell ref="Z43:AC43"/>
    <mergeCell ref="AD43:AG43"/>
    <mergeCell ref="AH43:AK43"/>
    <mergeCell ref="AL43:AO43"/>
    <mergeCell ref="DR42:DU42"/>
    <mergeCell ref="DV42:DY42"/>
    <mergeCell ref="DZ42:EC42"/>
    <mergeCell ref="ED42:EG42"/>
    <mergeCell ref="EH42:EK42"/>
    <mergeCell ref="EL42:EO42"/>
    <mergeCell ref="CT42:CW42"/>
    <mergeCell ref="CX42:DA42"/>
    <mergeCell ref="DB42:DE42"/>
    <mergeCell ref="DF42:DI42"/>
    <mergeCell ref="DJ42:DM42"/>
    <mergeCell ref="DN42:DQ42"/>
    <mergeCell ref="BV42:BY42"/>
    <mergeCell ref="BZ42:CC42"/>
    <mergeCell ref="CD42:CG42"/>
    <mergeCell ref="CH42:CK42"/>
    <mergeCell ref="CL42:CO42"/>
    <mergeCell ref="CP42:CS42"/>
    <mergeCell ref="EH43:EK43"/>
    <mergeCell ref="EL43:EO43"/>
    <mergeCell ref="EP43:ES43"/>
    <mergeCell ref="DJ43:DM43"/>
    <mergeCell ref="DN43:DQ43"/>
    <mergeCell ref="DR43:DU43"/>
    <mergeCell ref="DV43:DY43"/>
    <mergeCell ref="DZ43:EC43"/>
    <mergeCell ref="ED43:EG43"/>
    <mergeCell ref="CL43:CO43"/>
    <mergeCell ref="CP43:CS43"/>
    <mergeCell ref="CT43:CW43"/>
    <mergeCell ref="CX43:DA43"/>
    <mergeCell ref="DB43:DE43"/>
    <mergeCell ref="DF43:DI43"/>
    <mergeCell ref="BN43:BQ43"/>
    <mergeCell ref="BR43:BU43"/>
    <mergeCell ref="BV43:BY43"/>
    <mergeCell ref="BZ43:CC43"/>
    <mergeCell ref="CD43:CG43"/>
    <mergeCell ref="CH43:CK43"/>
    <mergeCell ref="AT43:AW43"/>
    <mergeCell ref="DZ44:EC44"/>
    <mergeCell ref="ED44:EG44"/>
    <mergeCell ref="EH44:EK44"/>
    <mergeCell ref="EL44:EO44"/>
    <mergeCell ref="EP44:ES44"/>
    <mergeCell ref="B45:B47"/>
    <mergeCell ref="F45:I45"/>
    <mergeCell ref="J45:M45"/>
    <mergeCell ref="N45:Q45"/>
    <mergeCell ref="R45:U45"/>
    <mergeCell ref="DB44:DE44"/>
    <mergeCell ref="DF44:DI44"/>
    <mergeCell ref="DJ44:DM44"/>
    <mergeCell ref="DN44:DQ44"/>
    <mergeCell ref="DR44:DU44"/>
    <mergeCell ref="DV44:DY44"/>
    <mergeCell ref="CD44:CG44"/>
    <mergeCell ref="CH44:CK44"/>
    <mergeCell ref="CL44:CO44"/>
    <mergeCell ref="CP44:CS44"/>
    <mergeCell ref="CT44:CW44"/>
    <mergeCell ref="CX44:DA44"/>
    <mergeCell ref="BF44:BI44"/>
    <mergeCell ref="BJ44:BM44"/>
    <mergeCell ref="BN44:BQ44"/>
    <mergeCell ref="BR44:BU44"/>
    <mergeCell ref="BV44:BY44"/>
    <mergeCell ref="BZ44:CC44"/>
    <mergeCell ref="AH44:AK44"/>
    <mergeCell ref="AL44:AO44"/>
    <mergeCell ref="AP44:AS44"/>
    <mergeCell ref="AL46:AO46"/>
    <mergeCell ref="AP46:AS46"/>
    <mergeCell ref="AT46:AW46"/>
    <mergeCell ref="AX46:BA46"/>
    <mergeCell ref="BB46:BE46"/>
    <mergeCell ref="BF46:BI46"/>
    <mergeCell ref="AT44:AW44"/>
    <mergeCell ref="CX45:DA45"/>
    <mergeCell ref="DB45:DE45"/>
    <mergeCell ref="DF45:DI45"/>
    <mergeCell ref="DJ45:DM45"/>
    <mergeCell ref="BR45:BU45"/>
    <mergeCell ref="BV45:BY45"/>
    <mergeCell ref="BZ45:CC45"/>
    <mergeCell ref="CD45:CG45"/>
    <mergeCell ref="CH45:CK45"/>
    <mergeCell ref="CL45:CO45"/>
    <mergeCell ref="AT45:AW45"/>
    <mergeCell ref="AX45:BA45"/>
    <mergeCell ref="BB45:BE45"/>
    <mergeCell ref="BF45:BI45"/>
    <mergeCell ref="BJ45:BM45"/>
    <mergeCell ref="BN45:BQ45"/>
    <mergeCell ref="EL45:EO45"/>
    <mergeCell ref="EP45:ES45"/>
    <mergeCell ref="F46:I46"/>
    <mergeCell ref="J46:M46"/>
    <mergeCell ref="N46:Q46"/>
    <mergeCell ref="R46:U46"/>
    <mergeCell ref="V46:Y46"/>
    <mergeCell ref="Z46:AC46"/>
    <mergeCell ref="AD46:AG46"/>
    <mergeCell ref="AH46:AK46"/>
    <mergeCell ref="DN45:DQ45"/>
    <mergeCell ref="DR45:DU45"/>
    <mergeCell ref="DV45:DY45"/>
    <mergeCell ref="DZ45:EC45"/>
    <mergeCell ref="ED45:EG45"/>
    <mergeCell ref="EH45:EK45"/>
    <mergeCell ref="CP45:CS45"/>
    <mergeCell ref="CT45:CW45"/>
    <mergeCell ref="V45:Y45"/>
    <mergeCell ref="Z45:AC45"/>
    <mergeCell ref="AD45:AG45"/>
    <mergeCell ref="AH45:AK45"/>
    <mergeCell ref="AL45:AO45"/>
    <mergeCell ref="AP45:AS45"/>
    <mergeCell ref="CX46:DA46"/>
    <mergeCell ref="DB46:DE46"/>
    <mergeCell ref="BJ46:BM46"/>
    <mergeCell ref="BN46:BQ46"/>
    <mergeCell ref="BR46:BU46"/>
    <mergeCell ref="BV46:BY46"/>
    <mergeCell ref="BZ46:CC46"/>
    <mergeCell ref="CD46:CG46"/>
    <mergeCell ref="BB47:BE47"/>
    <mergeCell ref="BF47:BI47"/>
    <mergeCell ref="BJ47:BM47"/>
    <mergeCell ref="BN47:BQ47"/>
    <mergeCell ref="BR47:BU47"/>
    <mergeCell ref="BV47:BY47"/>
    <mergeCell ref="AD47:AG47"/>
    <mergeCell ref="AH47:AK47"/>
    <mergeCell ref="AL47:AO47"/>
    <mergeCell ref="AP47:AS47"/>
    <mergeCell ref="AT47:AW47"/>
    <mergeCell ref="AX47:BA47"/>
    <mergeCell ref="ED46:EG46"/>
    <mergeCell ref="EH46:EK46"/>
    <mergeCell ref="EL46:EO46"/>
    <mergeCell ref="EP46:ES46"/>
    <mergeCell ref="F47:I47"/>
    <mergeCell ref="J47:M47"/>
    <mergeCell ref="N47:Q47"/>
    <mergeCell ref="R47:U47"/>
    <mergeCell ref="V47:Y47"/>
    <mergeCell ref="Z47:AC47"/>
    <mergeCell ref="DF46:DI46"/>
    <mergeCell ref="DJ46:DM46"/>
    <mergeCell ref="DN46:DQ46"/>
    <mergeCell ref="DR46:DU46"/>
    <mergeCell ref="DV46:DY46"/>
    <mergeCell ref="DZ46:EC46"/>
    <mergeCell ref="CH46:CK46"/>
    <mergeCell ref="CL46:CO46"/>
    <mergeCell ref="CP46:CS46"/>
    <mergeCell ref="CT46:CW46"/>
    <mergeCell ref="DV47:DY47"/>
    <mergeCell ref="DZ47:EC47"/>
    <mergeCell ref="ED47:EG47"/>
    <mergeCell ref="EH47:EK47"/>
    <mergeCell ref="EL47:EO47"/>
    <mergeCell ref="EP47:ES47"/>
    <mergeCell ref="CX47:DA47"/>
    <mergeCell ref="DB47:DE47"/>
    <mergeCell ref="DF47:DI47"/>
    <mergeCell ref="DJ47:DM47"/>
    <mergeCell ref="DN47:DQ47"/>
    <mergeCell ref="DR47:DU47"/>
    <mergeCell ref="BZ47:CC47"/>
    <mergeCell ref="CD47:CG47"/>
    <mergeCell ref="CH47:CK47"/>
    <mergeCell ref="CL47:CO47"/>
    <mergeCell ref="CP47:CS47"/>
    <mergeCell ref="CT47:CW47"/>
    <mergeCell ref="AX48:BA48"/>
    <mergeCell ref="BB48:BE48"/>
    <mergeCell ref="BF48:BI48"/>
    <mergeCell ref="BJ48:BM48"/>
    <mergeCell ref="BN48:BQ48"/>
    <mergeCell ref="BR48:BU48"/>
    <mergeCell ref="Z48:AC48"/>
    <mergeCell ref="AD48:AG48"/>
    <mergeCell ref="AH48:AK48"/>
    <mergeCell ref="AL48:AO48"/>
    <mergeCell ref="AP48:AS48"/>
    <mergeCell ref="AT48:AW48"/>
    <mergeCell ref="B48:B50"/>
    <mergeCell ref="F48:I48"/>
    <mergeCell ref="J48:M48"/>
    <mergeCell ref="N48:Q48"/>
    <mergeCell ref="R48:U48"/>
    <mergeCell ref="V48:Y48"/>
    <mergeCell ref="AX49:BA49"/>
    <mergeCell ref="BB49:BE49"/>
    <mergeCell ref="BF49:BI49"/>
    <mergeCell ref="BJ49:BM49"/>
    <mergeCell ref="AX50:BA50"/>
    <mergeCell ref="BB50:BE50"/>
    <mergeCell ref="F50:I50"/>
    <mergeCell ref="J50:M50"/>
    <mergeCell ref="N50:Q50"/>
    <mergeCell ref="R50:U50"/>
    <mergeCell ref="V50:Y50"/>
    <mergeCell ref="Z50:AC50"/>
    <mergeCell ref="AD50:AG50"/>
    <mergeCell ref="AP49:AS49"/>
    <mergeCell ref="EP48:ES48"/>
    <mergeCell ref="F49:I49"/>
    <mergeCell ref="J49:M49"/>
    <mergeCell ref="N49:Q49"/>
    <mergeCell ref="R49:U49"/>
    <mergeCell ref="V49:Y49"/>
    <mergeCell ref="Z49:AC49"/>
    <mergeCell ref="AD49:AG49"/>
    <mergeCell ref="AH49:AK49"/>
    <mergeCell ref="AL49:AO49"/>
    <mergeCell ref="DR48:DU48"/>
    <mergeCell ref="DV48:DY48"/>
    <mergeCell ref="DZ48:EC48"/>
    <mergeCell ref="ED48:EG48"/>
    <mergeCell ref="EH48:EK48"/>
    <mergeCell ref="EL48:EO48"/>
    <mergeCell ref="CT48:CW48"/>
    <mergeCell ref="CX48:DA48"/>
    <mergeCell ref="DB48:DE48"/>
    <mergeCell ref="DF48:DI48"/>
    <mergeCell ref="DJ48:DM48"/>
    <mergeCell ref="DN48:DQ48"/>
    <mergeCell ref="BV48:BY48"/>
    <mergeCell ref="BZ48:CC48"/>
    <mergeCell ref="CD48:CG48"/>
    <mergeCell ref="CH48:CK48"/>
    <mergeCell ref="CL48:CO48"/>
    <mergeCell ref="CP48:CS48"/>
    <mergeCell ref="EH49:EK49"/>
    <mergeCell ref="EL49:EO49"/>
    <mergeCell ref="EP49:ES49"/>
    <mergeCell ref="DJ49:DM49"/>
    <mergeCell ref="DN49:DQ49"/>
    <mergeCell ref="DR49:DU49"/>
    <mergeCell ref="DV49:DY49"/>
    <mergeCell ref="DZ49:EC49"/>
    <mergeCell ref="ED49:EG49"/>
    <mergeCell ref="CL49:CO49"/>
    <mergeCell ref="CP49:CS49"/>
    <mergeCell ref="CT49:CW49"/>
    <mergeCell ref="CX49:DA49"/>
    <mergeCell ref="DB49:DE49"/>
    <mergeCell ref="DF49:DI49"/>
    <mergeCell ref="BN49:BQ49"/>
    <mergeCell ref="BR49:BU49"/>
    <mergeCell ref="BV49:BY49"/>
    <mergeCell ref="BZ49:CC49"/>
    <mergeCell ref="CD49:CG49"/>
    <mergeCell ref="CH49:CK49"/>
    <mergeCell ref="AT49:AW49"/>
    <mergeCell ref="DZ50:EC50"/>
    <mergeCell ref="ED50:EG50"/>
    <mergeCell ref="EH50:EK50"/>
    <mergeCell ref="EL50:EO50"/>
    <mergeCell ref="EP50:ES50"/>
    <mergeCell ref="B51:B53"/>
    <mergeCell ref="F51:I51"/>
    <mergeCell ref="J51:M51"/>
    <mergeCell ref="N51:Q51"/>
    <mergeCell ref="R51:U51"/>
    <mergeCell ref="DB50:DE50"/>
    <mergeCell ref="DF50:DI50"/>
    <mergeCell ref="DJ50:DM50"/>
    <mergeCell ref="DN50:DQ50"/>
    <mergeCell ref="DR50:DU50"/>
    <mergeCell ref="DV50:DY50"/>
    <mergeCell ref="CD50:CG50"/>
    <mergeCell ref="CH50:CK50"/>
    <mergeCell ref="CL50:CO50"/>
    <mergeCell ref="CP50:CS50"/>
    <mergeCell ref="CT50:CW50"/>
    <mergeCell ref="CX50:DA50"/>
    <mergeCell ref="BF50:BI50"/>
    <mergeCell ref="BJ50:BM50"/>
    <mergeCell ref="BN50:BQ50"/>
    <mergeCell ref="BR50:BU50"/>
    <mergeCell ref="BV50:BY50"/>
    <mergeCell ref="BZ50:CC50"/>
    <mergeCell ref="AH50:AK50"/>
    <mergeCell ref="AL50:AO50"/>
    <mergeCell ref="AP50:AS50"/>
    <mergeCell ref="AL52:AO52"/>
    <mergeCell ref="AP52:AS52"/>
    <mergeCell ref="AT52:AW52"/>
    <mergeCell ref="AX52:BA52"/>
    <mergeCell ref="BB52:BE52"/>
    <mergeCell ref="BF52:BI52"/>
    <mergeCell ref="AT50:AW50"/>
    <mergeCell ref="CX51:DA51"/>
    <mergeCell ref="DB51:DE51"/>
    <mergeCell ref="DF51:DI51"/>
    <mergeCell ref="DJ51:DM51"/>
    <mergeCell ref="BR51:BU51"/>
    <mergeCell ref="BV51:BY51"/>
    <mergeCell ref="BZ51:CC51"/>
    <mergeCell ref="CD51:CG51"/>
    <mergeCell ref="CH51:CK51"/>
    <mergeCell ref="CL51:CO51"/>
    <mergeCell ref="AT51:AW51"/>
    <mergeCell ref="AX51:BA51"/>
    <mergeCell ref="BB51:BE51"/>
    <mergeCell ref="BF51:BI51"/>
    <mergeCell ref="BJ51:BM51"/>
    <mergeCell ref="BN51:BQ51"/>
    <mergeCell ref="EL51:EO51"/>
    <mergeCell ref="EP51:ES51"/>
    <mergeCell ref="F52:I52"/>
    <mergeCell ref="J52:M52"/>
    <mergeCell ref="N52:Q52"/>
    <mergeCell ref="R52:U52"/>
    <mergeCell ref="V52:Y52"/>
    <mergeCell ref="Z52:AC52"/>
    <mergeCell ref="AD52:AG52"/>
    <mergeCell ref="AH52:AK52"/>
    <mergeCell ref="DN51:DQ51"/>
    <mergeCell ref="DR51:DU51"/>
    <mergeCell ref="DV51:DY51"/>
    <mergeCell ref="DZ51:EC51"/>
    <mergeCell ref="ED51:EG51"/>
    <mergeCell ref="EH51:EK51"/>
    <mergeCell ref="CP51:CS51"/>
    <mergeCell ref="CT51:CW51"/>
    <mergeCell ref="V51:Y51"/>
    <mergeCell ref="Z51:AC51"/>
    <mergeCell ref="AD51:AG51"/>
    <mergeCell ref="AH51:AK51"/>
    <mergeCell ref="AL51:AO51"/>
    <mergeCell ref="AP51:AS51"/>
    <mergeCell ref="CX52:DA52"/>
    <mergeCell ref="DB52:DE52"/>
    <mergeCell ref="BJ52:BM52"/>
    <mergeCell ref="BN52:BQ52"/>
    <mergeCell ref="BR52:BU52"/>
    <mergeCell ref="BV52:BY52"/>
    <mergeCell ref="BZ52:CC52"/>
    <mergeCell ref="CD52:CG52"/>
    <mergeCell ref="BB53:BE53"/>
    <mergeCell ref="BF53:BI53"/>
    <mergeCell ref="BJ53:BM53"/>
    <mergeCell ref="BN53:BQ53"/>
    <mergeCell ref="BR53:BU53"/>
    <mergeCell ref="BV53:BY53"/>
    <mergeCell ref="AD53:AG53"/>
    <mergeCell ref="AH53:AK53"/>
    <mergeCell ref="AL53:AO53"/>
    <mergeCell ref="AP53:AS53"/>
    <mergeCell ref="AT53:AW53"/>
    <mergeCell ref="AX53:BA53"/>
    <mergeCell ref="ED52:EG52"/>
    <mergeCell ref="EH52:EK52"/>
    <mergeCell ref="EL52:EO52"/>
    <mergeCell ref="EP52:ES52"/>
    <mergeCell ref="F53:I53"/>
    <mergeCell ref="J53:M53"/>
    <mergeCell ref="N53:Q53"/>
    <mergeCell ref="R53:U53"/>
    <mergeCell ref="V53:Y53"/>
    <mergeCell ref="Z53:AC53"/>
    <mergeCell ref="DF52:DI52"/>
    <mergeCell ref="DJ52:DM52"/>
    <mergeCell ref="DN52:DQ52"/>
    <mergeCell ref="DR52:DU52"/>
    <mergeCell ref="DV52:DY52"/>
    <mergeCell ref="DZ52:EC52"/>
    <mergeCell ref="CH52:CK52"/>
    <mergeCell ref="CL52:CO52"/>
    <mergeCell ref="CP52:CS52"/>
    <mergeCell ref="CT52:CW52"/>
    <mergeCell ref="DV53:DY53"/>
    <mergeCell ref="DZ53:EC53"/>
    <mergeCell ref="ED53:EG53"/>
    <mergeCell ref="EH53:EK53"/>
    <mergeCell ref="EL53:EO53"/>
    <mergeCell ref="EP53:ES53"/>
    <mergeCell ref="CX53:DA53"/>
    <mergeCell ref="DB53:DE53"/>
    <mergeCell ref="DF53:DI53"/>
    <mergeCell ref="DJ53:DM53"/>
    <mergeCell ref="DN53:DQ53"/>
    <mergeCell ref="DR53:DU53"/>
    <mergeCell ref="BZ53:CC53"/>
    <mergeCell ref="CD53:CG53"/>
    <mergeCell ref="CH53:CK53"/>
    <mergeCell ref="CL53:CO53"/>
    <mergeCell ref="CP53:CS53"/>
    <mergeCell ref="CT53:CW53"/>
    <mergeCell ref="AX54:BA54"/>
    <mergeCell ref="BB54:BE54"/>
    <mergeCell ref="BF54:BI54"/>
    <mergeCell ref="BJ54:BM54"/>
    <mergeCell ref="BN54:BQ54"/>
    <mergeCell ref="BR54:BU54"/>
    <mergeCell ref="Z54:AC54"/>
    <mergeCell ref="AD54:AG54"/>
    <mergeCell ref="AH54:AK54"/>
    <mergeCell ref="AL54:AO54"/>
    <mergeCell ref="AP54:AS54"/>
    <mergeCell ref="AT54:AW54"/>
    <mergeCell ref="B54:B56"/>
    <mergeCell ref="F54:I54"/>
    <mergeCell ref="J54:M54"/>
    <mergeCell ref="N54:Q54"/>
    <mergeCell ref="R54:U54"/>
    <mergeCell ref="V54:Y54"/>
    <mergeCell ref="AX55:BA55"/>
    <mergeCell ref="BB55:BE55"/>
    <mergeCell ref="BF55:BI55"/>
    <mergeCell ref="BJ55:BM55"/>
    <mergeCell ref="AX56:BA56"/>
    <mergeCell ref="BB56:BE56"/>
    <mergeCell ref="F56:I56"/>
    <mergeCell ref="J56:M56"/>
    <mergeCell ref="N56:Q56"/>
    <mergeCell ref="R56:U56"/>
    <mergeCell ref="V56:Y56"/>
    <mergeCell ref="Z56:AC56"/>
    <mergeCell ref="AD56:AG56"/>
    <mergeCell ref="AP55:AS55"/>
    <mergeCell ref="EP54:ES54"/>
    <mergeCell ref="F55:I55"/>
    <mergeCell ref="J55:M55"/>
    <mergeCell ref="N55:Q55"/>
    <mergeCell ref="R55:U55"/>
    <mergeCell ref="V55:Y55"/>
    <mergeCell ref="Z55:AC55"/>
    <mergeCell ref="AD55:AG55"/>
    <mergeCell ref="AH55:AK55"/>
    <mergeCell ref="AL55:AO55"/>
    <mergeCell ref="DR54:DU54"/>
    <mergeCell ref="DV54:DY54"/>
    <mergeCell ref="DZ54:EC54"/>
    <mergeCell ref="ED54:EG54"/>
    <mergeCell ref="EH54:EK54"/>
    <mergeCell ref="EL54:EO54"/>
    <mergeCell ref="CT54:CW54"/>
    <mergeCell ref="CX54:DA54"/>
    <mergeCell ref="DB54:DE54"/>
    <mergeCell ref="DF54:DI54"/>
    <mergeCell ref="DJ54:DM54"/>
    <mergeCell ref="DN54:DQ54"/>
    <mergeCell ref="BV54:BY54"/>
    <mergeCell ref="BZ54:CC54"/>
    <mergeCell ref="CD54:CG54"/>
    <mergeCell ref="CH54:CK54"/>
    <mergeCell ref="CL54:CO54"/>
    <mergeCell ref="CP54:CS54"/>
    <mergeCell ref="EH55:EK55"/>
    <mergeCell ref="EL55:EO55"/>
    <mergeCell ref="EP55:ES55"/>
    <mergeCell ref="DJ55:DM55"/>
    <mergeCell ref="DN55:DQ55"/>
    <mergeCell ref="DR55:DU55"/>
    <mergeCell ref="DV55:DY55"/>
    <mergeCell ref="DZ55:EC55"/>
    <mergeCell ref="ED55:EG55"/>
    <mergeCell ref="CL55:CO55"/>
    <mergeCell ref="CP55:CS55"/>
    <mergeCell ref="CT55:CW55"/>
    <mergeCell ref="CX55:DA55"/>
    <mergeCell ref="DB55:DE55"/>
    <mergeCell ref="DF55:DI55"/>
    <mergeCell ref="BN55:BQ55"/>
    <mergeCell ref="BR55:BU55"/>
    <mergeCell ref="BV55:BY55"/>
    <mergeCell ref="BZ55:CC55"/>
    <mergeCell ref="CD55:CG55"/>
    <mergeCell ref="CH55:CK55"/>
    <mergeCell ref="AT55:AW55"/>
    <mergeCell ref="DZ56:EC56"/>
    <mergeCell ref="ED56:EG56"/>
    <mergeCell ref="EH56:EK56"/>
    <mergeCell ref="EL56:EO56"/>
    <mergeCell ref="EP56:ES56"/>
    <mergeCell ref="B57:D59"/>
    <mergeCell ref="F57:I57"/>
    <mergeCell ref="J57:M57"/>
    <mergeCell ref="N57:Q57"/>
    <mergeCell ref="R57:U57"/>
    <mergeCell ref="DB56:DE56"/>
    <mergeCell ref="DF56:DI56"/>
    <mergeCell ref="DJ56:DM56"/>
    <mergeCell ref="DN56:DQ56"/>
    <mergeCell ref="DR56:DU56"/>
    <mergeCell ref="DV56:DY56"/>
    <mergeCell ref="CD56:CG56"/>
    <mergeCell ref="CH56:CK56"/>
    <mergeCell ref="CL56:CO56"/>
    <mergeCell ref="CP56:CS56"/>
    <mergeCell ref="CT56:CW56"/>
    <mergeCell ref="CX56:DA56"/>
    <mergeCell ref="BF56:BI56"/>
    <mergeCell ref="BJ56:BM56"/>
    <mergeCell ref="BN56:BQ56"/>
    <mergeCell ref="BR56:BU56"/>
    <mergeCell ref="BV56:BY56"/>
    <mergeCell ref="BZ56:CC56"/>
    <mergeCell ref="AH56:AK56"/>
    <mergeCell ref="AL56:AO56"/>
    <mergeCell ref="AP56:AS56"/>
    <mergeCell ref="AL58:AO58"/>
    <mergeCell ref="AP58:AS58"/>
    <mergeCell ref="AT58:AW58"/>
    <mergeCell ref="AX58:BA58"/>
    <mergeCell ref="BB58:BE58"/>
    <mergeCell ref="BF58:BI58"/>
    <mergeCell ref="AT56:AW56"/>
    <mergeCell ref="CX57:DA57"/>
    <mergeCell ref="DB57:DE57"/>
    <mergeCell ref="DF57:DI57"/>
    <mergeCell ref="DJ57:DM57"/>
    <mergeCell ref="BR57:BU57"/>
    <mergeCell ref="BV57:BY57"/>
    <mergeCell ref="BZ57:CC57"/>
    <mergeCell ref="CD57:CG57"/>
    <mergeCell ref="CH57:CK57"/>
    <mergeCell ref="CL57:CO57"/>
    <mergeCell ref="AT57:AW57"/>
    <mergeCell ref="AX57:BA57"/>
    <mergeCell ref="BB57:BE57"/>
    <mergeCell ref="BF57:BI57"/>
    <mergeCell ref="BJ57:BM57"/>
    <mergeCell ref="BN57:BQ57"/>
    <mergeCell ref="EL57:EO57"/>
    <mergeCell ref="EP57:ES57"/>
    <mergeCell ref="F58:I58"/>
    <mergeCell ref="J58:M58"/>
    <mergeCell ref="N58:Q58"/>
    <mergeCell ref="R58:U58"/>
    <mergeCell ref="V58:Y58"/>
    <mergeCell ref="Z58:AC58"/>
    <mergeCell ref="AD58:AG58"/>
    <mergeCell ref="AH58:AK58"/>
    <mergeCell ref="DN57:DQ57"/>
    <mergeCell ref="DR57:DU57"/>
    <mergeCell ref="DV57:DY57"/>
    <mergeCell ref="DZ57:EC57"/>
    <mergeCell ref="ED57:EG57"/>
    <mergeCell ref="EH57:EK57"/>
    <mergeCell ref="CP57:CS57"/>
    <mergeCell ref="CT57:CW57"/>
    <mergeCell ref="V57:Y57"/>
    <mergeCell ref="Z57:AC57"/>
    <mergeCell ref="AD57:AG57"/>
    <mergeCell ref="AH57:AK57"/>
    <mergeCell ref="AL57:AO57"/>
    <mergeCell ref="AP57:AS57"/>
    <mergeCell ref="CX58:DA58"/>
    <mergeCell ref="DB58:DE58"/>
    <mergeCell ref="BJ58:BM58"/>
    <mergeCell ref="BN58:BQ58"/>
    <mergeCell ref="BR58:BU58"/>
    <mergeCell ref="BV58:BY58"/>
    <mergeCell ref="BZ58:CC58"/>
    <mergeCell ref="CD58:CG58"/>
    <mergeCell ref="BB59:BE59"/>
    <mergeCell ref="BF59:BI59"/>
    <mergeCell ref="BJ59:BM59"/>
    <mergeCell ref="BN59:BQ59"/>
    <mergeCell ref="BR59:BU59"/>
    <mergeCell ref="BV59:BY59"/>
    <mergeCell ref="AD59:AG59"/>
    <mergeCell ref="AH59:AK59"/>
    <mergeCell ref="AL59:AO59"/>
    <mergeCell ref="AP59:AS59"/>
    <mergeCell ref="AT59:AW59"/>
    <mergeCell ref="AX59:BA59"/>
    <mergeCell ref="ED58:EG58"/>
    <mergeCell ref="EH58:EK58"/>
    <mergeCell ref="EL58:EO58"/>
    <mergeCell ref="EP58:ES58"/>
    <mergeCell ref="F59:I59"/>
    <mergeCell ref="J59:M59"/>
    <mergeCell ref="N59:Q59"/>
    <mergeCell ref="R59:U59"/>
    <mergeCell ref="V59:Y59"/>
    <mergeCell ref="Z59:AC59"/>
    <mergeCell ref="DF58:DI58"/>
    <mergeCell ref="DJ58:DM58"/>
    <mergeCell ref="DN58:DQ58"/>
    <mergeCell ref="DR58:DU58"/>
    <mergeCell ref="DV58:DY58"/>
    <mergeCell ref="DZ58:EC58"/>
    <mergeCell ref="CH58:CK58"/>
    <mergeCell ref="CL58:CO58"/>
    <mergeCell ref="CP58:CS58"/>
    <mergeCell ref="CT58:CW58"/>
    <mergeCell ref="DV59:DY59"/>
    <mergeCell ref="DZ59:EC59"/>
    <mergeCell ref="ED59:EG59"/>
    <mergeCell ref="EH59:EK59"/>
    <mergeCell ref="EL59:EO59"/>
    <mergeCell ref="EP59:ES59"/>
    <mergeCell ref="CX59:DA59"/>
    <mergeCell ref="DB59:DE59"/>
    <mergeCell ref="DF59:DI59"/>
    <mergeCell ref="DJ59:DM59"/>
    <mergeCell ref="DN59:DQ59"/>
    <mergeCell ref="DR59:DU59"/>
    <mergeCell ref="BZ59:CC59"/>
    <mergeCell ref="CD59:CG59"/>
    <mergeCell ref="CH59:CK59"/>
    <mergeCell ref="CL59:CO59"/>
    <mergeCell ref="CP59:CS59"/>
    <mergeCell ref="CT59:CW59"/>
    <mergeCell ref="CX62:ES62"/>
    <mergeCell ref="F63:Q63"/>
    <mergeCell ref="R63:AC63"/>
    <mergeCell ref="AD63:AO63"/>
    <mergeCell ref="AP63:BA63"/>
    <mergeCell ref="BB63:BM63"/>
    <mergeCell ref="BN63:BY63"/>
    <mergeCell ref="BZ63:CK63"/>
    <mergeCell ref="CL63:CW63"/>
    <mergeCell ref="CX63:DI63"/>
    <mergeCell ref="B62:B64"/>
    <mergeCell ref="C62:C63"/>
    <mergeCell ref="D62:D64"/>
    <mergeCell ref="E62:E64"/>
    <mergeCell ref="F62:BA62"/>
    <mergeCell ref="BB62:CW62"/>
    <mergeCell ref="AH64:AK64"/>
    <mergeCell ref="AL64:AO64"/>
    <mergeCell ref="AP64:AS64"/>
    <mergeCell ref="AT64:AW64"/>
    <mergeCell ref="BV64:BY64"/>
    <mergeCell ref="BZ64:CC64"/>
    <mergeCell ref="CD64:CG64"/>
    <mergeCell ref="CH64:CK64"/>
    <mergeCell ref="CL64:CO64"/>
    <mergeCell ref="CP64:CS64"/>
    <mergeCell ref="AX64:BA64"/>
    <mergeCell ref="BB64:BE64"/>
    <mergeCell ref="BF64:BI64"/>
    <mergeCell ref="BJ64:BM64"/>
    <mergeCell ref="BN64:BQ64"/>
    <mergeCell ref="BR64:BU64"/>
    <mergeCell ref="DJ63:DU63"/>
    <mergeCell ref="DV63:EG63"/>
    <mergeCell ref="EH63:ES63"/>
    <mergeCell ref="F64:I64"/>
    <mergeCell ref="J64:M64"/>
    <mergeCell ref="N64:Q64"/>
    <mergeCell ref="R64:U64"/>
    <mergeCell ref="V64:Y64"/>
    <mergeCell ref="Z64:AC64"/>
    <mergeCell ref="AD64:AG64"/>
    <mergeCell ref="BR65:BU65"/>
    <mergeCell ref="BV65:BY65"/>
    <mergeCell ref="BZ65:CC65"/>
    <mergeCell ref="CD65:CG65"/>
    <mergeCell ref="AL65:AO65"/>
    <mergeCell ref="AP65:AS65"/>
    <mergeCell ref="AT65:AW65"/>
    <mergeCell ref="AX65:BA65"/>
    <mergeCell ref="BB65:BE65"/>
    <mergeCell ref="BF65:BI65"/>
    <mergeCell ref="EP64:ES64"/>
    <mergeCell ref="EP65:ES65"/>
    <mergeCell ref="B65:B67"/>
    <mergeCell ref="F65:I65"/>
    <mergeCell ref="J65:M65"/>
    <mergeCell ref="N65:Q65"/>
    <mergeCell ref="R65:U65"/>
    <mergeCell ref="V65:Y65"/>
    <mergeCell ref="Z65:AC65"/>
    <mergeCell ref="AD65:AG65"/>
    <mergeCell ref="AH65:AK65"/>
    <mergeCell ref="DR64:DU64"/>
    <mergeCell ref="DV64:DY64"/>
    <mergeCell ref="DZ64:EC64"/>
    <mergeCell ref="ED64:EG64"/>
    <mergeCell ref="EH64:EK64"/>
    <mergeCell ref="EL64:EO64"/>
    <mergeCell ref="CT64:CW64"/>
    <mergeCell ref="CX64:DA64"/>
    <mergeCell ref="DB64:DE64"/>
    <mergeCell ref="DF64:DI64"/>
    <mergeCell ref="DJ64:DM64"/>
    <mergeCell ref="DN64:DQ64"/>
    <mergeCell ref="BR66:BU66"/>
    <mergeCell ref="BV66:BY66"/>
    <mergeCell ref="AD66:AG66"/>
    <mergeCell ref="AH66:AK66"/>
    <mergeCell ref="AL66:AO66"/>
    <mergeCell ref="AP66:AS66"/>
    <mergeCell ref="AT66:AW66"/>
    <mergeCell ref="AX66:BA66"/>
    <mergeCell ref="ED65:EG65"/>
    <mergeCell ref="EH65:EK65"/>
    <mergeCell ref="EL65:EO65"/>
    <mergeCell ref="F66:I66"/>
    <mergeCell ref="J66:M66"/>
    <mergeCell ref="N66:Q66"/>
    <mergeCell ref="R66:U66"/>
    <mergeCell ref="V66:Y66"/>
    <mergeCell ref="Z66:AC66"/>
    <mergeCell ref="DF65:DI65"/>
    <mergeCell ref="DJ65:DM65"/>
    <mergeCell ref="DN65:DQ65"/>
    <mergeCell ref="DR65:DU65"/>
    <mergeCell ref="DV65:DY65"/>
    <mergeCell ref="DZ65:EC65"/>
    <mergeCell ref="CH65:CK65"/>
    <mergeCell ref="CL65:CO65"/>
    <mergeCell ref="CP65:CS65"/>
    <mergeCell ref="CT65:CW65"/>
    <mergeCell ref="CX65:DA65"/>
    <mergeCell ref="DB65:DE65"/>
    <mergeCell ref="BJ65:BM65"/>
    <mergeCell ref="BN65:BQ65"/>
    <mergeCell ref="AL67:AO67"/>
    <mergeCell ref="AP67:AS67"/>
    <mergeCell ref="AT67:AW67"/>
    <mergeCell ref="AX67:BA67"/>
    <mergeCell ref="F67:I67"/>
    <mergeCell ref="J67:M67"/>
    <mergeCell ref="N67:Q67"/>
    <mergeCell ref="R67:U67"/>
    <mergeCell ref="V67:Y67"/>
    <mergeCell ref="Z67:AC67"/>
    <mergeCell ref="DV66:DY66"/>
    <mergeCell ref="DZ66:EC66"/>
    <mergeCell ref="ED66:EG66"/>
    <mergeCell ref="EH66:EK66"/>
    <mergeCell ref="EL66:EO66"/>
    <mergeCell ref="EP66:ES66"/>
    <mergeCell ref="CX66:DA66"/>
    <mergeCell ref="DB66:DE66"/>
    <mergeCell ref="DF66:DI66"/>
    <mergeCell ref="DJ66:DM66"/>
    <mergeCell ref="DN66:DQ66"/>
    <mergeCell ref="DR66:DU66"/>
    <mergeCell ref="BZ66:CC66"/>
    <mergeCell ref="CD66:CG66"/>
    <mergeCell ref="CH66:CK66"/>
    <mergeCell ref="CL66:CO66"/>
    <mergeCell ref="CP66:CS66"/>
    <mergeCell ref="CT66:CW66"/>
    <mergeCell ref="BB66:BE66"/>
    <mergeCell ref="BF66:BI66"/>
    <mergeCell ref="BJ66:BM66"/>
    <mergeCell ref="BN66:BQ66"/>
    <mergeCell ref="B68:B70"/>
    <mergeCell ref="F68:I68"/>
    <mergeCell ref="J68:M68"/>
    <mergeCell ref="N68:Q68"/>
    <mergeCell ref="R68:U68"/>
    <mergeCell ref="V68:Y68"/>
    <mergeCell ref="DV67:DY67"/>
    <mergeCell ref="DZ67:EC67"/>
    <mergeCell ref="ED67:EG67"/>
    <mergeCell ref="EH67:EK67"/>
    <mergeCell ref="EL67:EO67"/>
    <mergeCell ref="EP67:ES67"/>
    <mergeCell ref="CX67:DA67"/>
    <mergeCell ref="DB67:DE67"/>
    <mergeCell ref="DF67:DI67"/>
    <mergeCell ref="DJ67:DM67"/>
    <mergeCell ref="DN67:DQ67"/>
    <mergeCell ref="DR67:DU67"/>
    <mergeCell ref="BZ67:CC67"/>
    <mergeCell ref="CD67:CG67"/>
    <mergeCell ref="CH67:CK67"/>
    <mergeCell ref="CL67:CO67"/>
    <mergeCell ref="CP67:CS67"/>
    <mergeCell ref="CT67:CW67"/>
    <mergeCell ref="BB67:BE67"/>
    <mergeCell ref="BF67:BI67"/>
    <mergeCell ref="BJ67:BM67"/>
    <mergeCell ref="BN67:BQ67"/>
    <mergeCell ref="BR67:BU67"/>
    <mergeCell ref="BV67:BY67"/>
    <mergeCell ref="AD67:AG67"/>
    <mergeCell ref="AH67:AK67"/>
    <mergeCell ref="DB68:DE68"/>
    <mergeCell ref="DF68:DI68"/>
    <mergeCell ref="DJ68:DM68"/>
    <mergeCell ref="DN68:DQ68"/>
    <mergeCell ref="BV68:BY68"/>
    <mergeCell ref="BZ68:CC68"/>
    <mergeCell ref="CD68:CG68"/>
    <mergeCell ref="CH68:CK68"/>
    <mergeCell ref="CL68:CO68"/>
    <mergeCell ref="CP68:CS68"/>
    <mergeCell ref="AX68:BA68"/>
    <mergeCell ref="BB68:BE68"/>
    <mergeCell ref="BF68:BI68"/>
    <mergeCell ref="BJ68:BM68"/>
    <mergeCell ref="BN68:BQ68"/>
    <mergeCell ref="BR68:BU68"/>
    <mergeCell ref="Z68:AC68"/>
    <mergeCell ref="AD68:AG68"/>
    <mergeCell ref="AH68:AK68"/>
    <mergeCell ref="AL68:AO68"/>
    <mergeCell ref="AP68:AS68"/>
    <mergeCell ref="AT68:AW68"/>
    <mergeCell ref="DB69:DE69"/>
    <mergeCell ref="DF69:DI69"/>
    <mergeCell ref="BN69:BQ69"/>
    <mergeCell ref="BR69:BU69"/>
    <mergeCell ref="BV69:BY69"/>
    <mergeCell ref="BZ69:CC69"/>
    <mergeCell ref="CD69:CG69"/>
    <mergeCell ref="CH69:CK69"/>
    <mergeCell ref="AP69:AS69"/>
    <mergeCell ref="AT69:AW69"/>
    <mergeCell ref="AX69:BA69"/>
    <mergeCell ref="BB69:BE69"/>
    <mergeCell ref="BF69:BI69"/>
    <mergeCell ref="BJ69:BM69"/>
    <mergeCell ref="EP68:ES68"/>
    <mergeCell ref="F69:I69"/>
    <mergeCell ref="J69:M69"/>
    <mergeCell ref="N69:Q69"/>
    <mergeCell ref="R69:U69"/>
    <mergeCell ref="V69:Y69"/>
    <mergeCell ref="Z69:AC69"/>
    <mergeCell ref="AD69:AG69"/>
    <mergeCell ref="AH69:AK69"/>
    <mergeCell ref="AL69:AO69"/>
    <mergeCell ref="DR68:DU68"/>
    <mergeCell ref="DV68:DY68"/>
    <mergeCell ref="DZ68:EC68"/>
    <mergeCell ref="ED68:EG68"/>
    <mergeCell ref="EH68:EK68"/>
    <mergeCell ref="EL68:EO68"/>
    <mergeCell ref="CT68:CW68"/>
    <mergeCell ref="CX68:DA68"/>
    <mergeCell ref="BF70:BI70"/>
    <mergeCell ref="BJ70:BM70"/>
    <mergeCell ref="BN70:BQ70"/>
    <mergeCell ref="BR70:BU70"/>
    <mergeCell ref="BV70:BY70"/>
    <mergeCell ref="BZ70:CC70"/>
    <mergeCell ref="AH70:AK70"/>
    <mergeCell ref="AL70:AO70"/>
    <mergeCell ref="AP70:AS70"/>
    <mergeCell ref="AT70:AW70"/>
    <mergeCell ref="AX70:BA70"/>
    <mergeCell ref="BB70:BE70"/>
    <mergeCell ref="EH69:EK69"/>
    <mergeCell ref="EL69:EO69"/>
    <mergeCell ref="EP69:ES69"/>
    <mergeCell ref="F70:I70"/>
    <mergeCell ref="J70:M70"/>
    <mergeCell ref="N70:Q70"/>
    <mergeCell ref="R70:U70"/>
    <mergeCell ref="V70:Y70"/>
    <mergeCell ref="Z70:AC70"/>
    <mergeCell ref="AD70:AG70"/>
    <mergeCell ref="DJ69:DM69"/>
    <mergeCell ref="DN69:DQ69"/>
    <mergeCell ref="DR69:DU69"/>
    <mergeCell ref="DV69:DY69"/>
    <mergeCell ref="DZ69:EC69"/>
    <mergeCell ref="ED69:EG69"/>
    <mergeCell ref="CL69:CO69"/>
    <mergeCell ref="CP69:CS69"/>
    <mergeCell ref="CT69:CW69"/>
    <mergeCell ref="CX69:DA69"/>
    <mergeCell ref="BB71:BE71"/>
    <mergeCell ref="BF71:BI71"/>
    <mergeCell ref="BJ71:BM71"/>
    <mergeCell ref="BN71:BQ71"/>
    <mergeCell ref="V71:Y71"/>
    <mergeCell ref="Z71:AC71"/>
    <mergeCell ref="AD71:AG71"/>
    <mergeCell ref="AH71:AK71"/>
    <mergeCell ref="AL71:AO71"/>
    <mergeCell ref="AP71:AS71"/>
    <mergeCell ref="DZ70:EC70"/>
    <mergeCell ref="ED70:EG70"/>
    <mergeCell ref="EH70:EK70"/>
    <mergeCell ref="EL70:EO70"/>
    <mergeCell ref="EP70:ES70"/>
    <mergeCell ref="B71:B73"/>
    <mergeCell ref="F71:I71"/>
    <mergeCell ref="J71:M71"/>
    <mergeCell ref="N71:Q71"/>
    <mergeCell ref="R71:U71"/>
    <mergeCell ref="DB70:DE70"/>
    <mergeCell ref="DF70:DI70"/>
    <mergeCell ref="DJ70:DM70"/>
    <mergeCell ref="DN70:DQ70"/>
    <mergeCell ref="DR70:DU70"/>
    <mergeCell ref="DV70:DY70"/>
    <mergeCell ref="CD70:CG70"/>
    <mergeCell ref="CH70:CK70"/>
    <mergeCell ref="CL70:CO70"/>
    <mergeCell ref="CP70:CS70"/>
    <mergeCell ref="CT70:CW70"/>
    <mergeCell ref="CX70:DA70"/>
    <mergeCell ref="BB72:BE72"/>
    <mergeCell ref="BF72:BI72"/>
    <mergeCell ref="EL71:EO71"/>
    <mergeCell ref="EP71:ES71"/>
    <mergeCell ref="F72:I72"/>
    <mergeCell ref="J72:M72"/>
    <mergeCell ref="N72:Q72"/>
    <mergeCell ref="R72:U72"/>
    <mergeCell ref="V72:Y72"/>
    <mergeCell ref="Z72:AC72"/>
    <mergeCell ref="AD72:AG72"/>
    <mergeCell ref="AH72:AK72"/>
    <mergeCell ref="DN71:DQ71"/>
    <mergeCell ref="DR71:DU71"/>
    <mergeCell ref="DV71:DY71"/>
    <mergeCell ref="DZ71:EC71"/>
    <mergeCell ref="ED71:EG71"/>
    <mergeCell ref="EH71:EK71"/>
    <mergeCell ref="CP71:CS71"/>
    <mergeCell ref="CT71:CW71"/>
    <mergeCell ref="CX71:DA71"/>
    <mergeCell ref="DB71:DE71"/>
    <mergeCell ref="DF71:DI71"/>
    <mergeCell ref="DJ71:DM71"/>
    <mergeCell ref="BR71:BU71"/>
    <mergeCell ref="BV71:BY71"/>
    <mergeCell ref="BZ71:CC71"/>
    <mergeCell ref="CD71:CG71"/>
    <mergeCell ref="CH71:CK71"/>
    <mergeCell ref="CL71:CO71"/>
    <mergeCell ref="AT71:AW71"/>
    <mergeCell ref="AX71:BA71"/>
    <mergeCell ref="ED72:EG72"/>
    <mergeCell ref="EH72:EK72"/>
    <mergeCell ref="EL72:EO72"/>
    <mergeCell ref="EP72:ES72"/>
    <mergeCell ref="F73:I73"/>
    <mergeCell ref="J73:M73"/>
    <mergeCell ref="N73:Q73"/>
    <mergeCell ref="R73:U73"/>
    <mergeCell ref="V73:Y73"/>
    <mergeCell ref="Z73:AC73"/>
    <mergeCell ref="DF72:DI72"/>
    <mergeCell ref="DJ72:DM72"/>
    <mergeCell ref="DN72:DQ72"/>
    <mergeCell ref="DR72:DU72"/>
    <mergeCell ref="DV72:DY72"/>
    <mergeCell ref="DZ72:EC72"/>
    <mergeCell ref="CH72:CK72"/>
    <mergeCell ref="CL72:CO72"/>
    <mergeCell ref="CP72:CS72"/>
    <mergeCell ref="CT72:CW72"/>
    <mergeCell ref="CX72:DA72"/>
    <mergeCell ref="DB72:DE72"/>
    <mergeCell ref="BJ72:BM72"/>
    <mergeCell ref="BN72:BQ72"/>
    <mergeCell ref="BR72:BU72"/>
    <mergeCell ref="BV72:BY72"/>
    <mergeCell ref="BZ72:CC72"/>
    <mergeCell ref="CD72:CG72"/>
    <mergeCell ref="AL72:AO72"/>
    <mergeCell ref="AP72:AS72"/>
    <mergeCell ref="AT72:AW72"/>
    <mergeCell ref="AX72:BA72"/>
    <mergeCell ref="DZ73:EC73"/>
    <mergeCell ref="ED73:EG73"/>
    <mergeCell ref="EH73:EK73"/>
    <mergeCell ref="EL73:EO73"/>
    <mergeCell ref="EP73:ES73"/>
    <mergeCell ref="CX73:DA73"/>
    <mergeCell ref="DB73:DE73"/>
    <mergeCell ref="DF73:DI73"/>
    <mergeCell ref="DJ73:DM73"/>
    <mergeCell ref="DN73:DQ73"/>
    <mergeCell ref="DR73:DU73"/>
    <mergeCell ref="BZ73:CC73"/>
    <mergeCell ref="CD73:CG73"/>
    <mergeCell ref="CH73:CK73"/>
    <mergeCell ref="CL73:CO73"/>
    <mergeCell ref="CP73:CS73"/>
    <mergeCell ref="CT73:CW73"/>
    <mergeCell ref="Z74:AC74"/>
    <mergeCell ref="AD74:AG74"/>
    <mergeCell ref="AH74:AK74"/>
    <mergeCell ref="AL74:AO74"/>
    <mergeCell ref="AP74:AS74"/>
    <mergeCell ref="AT74:AW74"/>
    <mergeCell ref="B74:B76"/>
    <mergeCell ref="F74:I74"/>
    <mergeCell ref="J74:M74"/>
    <mergeCell ref="N74:Q74"/>
    <mergeCell ref="R74:U74"/>
    <mergeCell ref="V74:Y74"/>
    <mergeCell ref="DV73:DY73"/>
    <mergeCell ref="BB73:BE73"/>
    <mergeCell ref="BF73:BI73"/>
    <mergeCell ref="BJ73:BM73"/>
    <mergeCell ref="BN73:BQ73"/>
    <mergeCell ref="BR73:BU73"/>
    <mergeCell ref="BV73:BY73"/>
    <mergeCell ref="AD73:AG73"/>
    <mergeCell ref="AH73:AK73"/>
    <mergeCell ref="AL73:AO73"/>
    <mergeCell ref="AP73:AS73"/>
    <mergeCell ref="AT73:AW73"/>
    <mergeCell ref="AX73:BA73"/>
    <mergeCell ref="BF75:BI75"/>
    <mergeCell ref="BJ75:BM75"/>
    <mergeCell ref="DF74:DI74"/>
    <mergeCell ref="DJ74:DM74"/>
    <mergeCell ref="DN74:DQ74"/>
    <mergeCell ref="BV74:BY74"/>
    <mergeCell ref="BZ74:CC74"/>
    <mergeCell ref="CL74:CO74"/>
    <mergeCell ref="CP74:CS74"/>
    <mergeCell ref="AX74:BA74"/>
    <mergeCell ref="BB74:BE74"/>
    <mergeCell ref="EH75:EK75"/>
    <mergeCell ref="EL75:EO75"/>
    <mergeCell ref="BF74:BI74"/>
    <mergeCell ref="BJ74:BM74"/>
    <mergeCell ref="BN74:BQ74"/>
    <mergeCell ref="BR74:BU74"/>
    <mergeCell ref="DF75:DI75"/>
    <mergeCell ref="BN75:BQ75"/>
    <mergeCell ref="BR75:BU75"/>
    <mergeCell ref="BV75:BY75"/>
    <mergeCell ref="BZ75:CC75"/>
    <mergeCell ref="CD75:CG75"/>
    <mergeCell ref="CH75:CK75"/>
    <mergeCell ref="AL77:AO77"/>
    <mergeCell ref="AP77:AS77"/>
    <mergeCell ref="DZ76:EC76"/>
    <mergeCell ref="ED76:EG76"/>
    <mergeCell ref="AP75:AS75"/>
    <mergeCell ref="AT75:AW75"/>
    <mergeCell ref="AX75:BA75"/>
    <mergeCell ref="BB75:BE75"/>
    <mergeCell ref="EL76:EO76"/>
    <mergeCell ref="EP76:ES76"/>
    <mergeCell ref="EP74:ES74"/>
    <mergeCell ref="F75:I75"/>
    <mergeCell ref="J75:M75"/>
    <mergeCell ref="N75:Q75"/>
    <mergeCell ref="R75:U75"/>
    <mergeCell ref="V75:Y75"/>
    <mergeCell ref="Z75:AC75"/>
    <mergeCell ref="AD75:AG75"/>
    <mergeCell ref="AH75:AK75"/>
    <mergeCell ref="AL75:AO75"/>
    <mergeCell ref="DR74:DU74"/>
    <mergeCell ref="DV74:DY74"/>
    <mergeCell ref="DZ74:EC74"/>
    <mergeCell ref="ED74:EG74"/>
    <mergeCell ref="EH74:EK74"/>
    <mergeCell ref="EL74:EO74"/>
    <mergeCell ref="CT74:CW74"/>
    <mergeCell ref="CX74:DA74"/>
    <mergeCell ref="DB74:DE74"/>
    <mergeCell ref="BN76:BQ76"/>
    <mergeCell ref="CD74:CG74"/>
    <mergeCell ref="CH74:CK74"/>
    <mergeCell ref="EP75:ES75"/>
    <mergeCell ref="F76:I76"/>
    <mergeCell ref="J76:M76"/>
    <mergeCell ref="N76:Q76"/>
    <mergeCell ref="R76:U76"/>
    <mergeCell ref="V76:Y76"/>
    <mergeCell ref="Z76:AC76"/>
    <mergeCell ref="AD76:AG76"/>
    <mergeCell ref="DJ75:DM75"/>
    <mergeCell ref="DN75:DQ75"/>
    <mergeCell ref="DR75:DU75"/>
    <mergeCell ref="DV75:DY75"/>
    <mergeCell ref="DZ75:EC75"/>
    <mergeCell ref="ED75:EG75"/>
    <mergeCell ref="CL75:CO75"/>
    <mergeCell ref="CP75:CS75"/>
    <mergeCell ref="CT75:CW75"/>
    <mergeCell ref="CX75:DA75"/>
    <mergeCell ref="DB75:DE75"/>
    <mergeCell ref="BR76:BU76"/>
    <mergeCell ref="BV76:BY76"/>
    <mergeCell ref="BZ76:CC76"/>
    <mergeCell ref="AH76:AK76"/>
    <mergeCell ref="AL76:AO76"/>
    <mergeCell ref="AP76:AS76"/>
    <mergeCell ref="EH76:EK76"/>
    <mergeCell ref="AP78:AS78"/>
    <mergeCell ref="AT78:AW78"/>
    <mergeCell ref="AX78:BA78"/>
    <mergeCell ref="BB78:BE78"/>
    <mergeCell ref="BF78:BI78"/>
    <mergeCell ref="F77:I77"/>
    <mergeCell ref="J77:M77"/>
    <mergeCell ref="N77:Q77"/>
    <mergeCell ref="R77:U77"/>
    <mergeCell ref="DB76:DE76"/>
    <mergeCell ref="DF76:DI76"/>
    <mergeCell ref="DJ76:DM76"/>
    <mergeCell ref="DN76:DQ76"/>
    <mergeCell ref="DR76:DU76"/>
    <mergeCell ref="DV76:DY76"/>
    <mergeCell ref="CD76:CG76"/>
    <mergeCell ref="CH76:CK76"/>
    <mergeCell ref="CL76:CO76"/>
    <mergeCell ref="CP76:CS76"/>
    <mergeCell ref="CT76:CW76"/>
    <mergeCell ref="CX76:DA76"/>
    <mergeCell ref="BF76:BI76"/>
    <mergeCell ref="BJ76:BM76"/>
    <mergeCell ref="AT76:AW76"/>
    <mergeCell ref="AX76:BA76"/>
    <mergeCell ref="BB76:BE76"/>
    <mergeCell ref="CH77:CK77"/>
    <mergeCell ref="CL77:CO77"/>
    <mergeCell ref="AT77:AW77"/>
    <mergeCell ref="Z77:AC77"/>
    <mergeCell ref="AD77:AG77"/>
    <mergeCell ref="AH77:AK77"/>
    <mergeCell ref="EL77:EO77"/>
    <mergeCell ref="EP77:ES77"/>
    <mergeCell ref="F78:I78"/>
    <mergeCell ref="J78:M78"/>
    <mergeCell ref="N78:Q78"/>
    <mergeCell ref="R78:U78"/>
    <mergeCell ref="V78:Y78"/>
    <mergeCell ref="Z78:AC78"/>
    <mergeCell ref="AD78:AG78"/>
    <mergeCell ref="AH78:AK78"/>
    <mergeCell ref="DN77:DQ77"/>
    <mergeCell ref="DR77:DU77"/>
    <mergeCell ref="DV77:DY77"/>
    <mergeCell ref="DZ77:EC77"/>
    <mergeCell ref="ED77:EG77"/>
    <mergeCell ref="EH77:EK77"/>
    <mergeCell ref="CP77:CS77"/>
    <mergeCell ref="CT77:CW77"/>
    <mergeCell ref="CX77:DA77"/>
    <mergeCell ref="DB77:DE77"/>
    <mergeCell ref="DF77:DI77"/>
    <mergeCell ref="DJ77:DM77"/>
    <mergeCell ref="BR77:BU77"/>
    <mergeCell ref="BV77:BY77"/>
    <mergeCell ref="BZ77:CC77"/>
    <mergeCell ref="CD77:CG77"/>
    <mergeCell ref="AX77:BA77"/>
    <mergeCell ref="BB77:BE77"/>
    <mergeCell ref="BF77:BI77"/>
    <mergeCell ref="BJ77:BM77"/>
    <mergeCell ref="BN77:BQ77"/>
    <mergeCell ref="V77:Y77"/>
    <mergeCell ref="AP79:AS79"/>
    <mergeCell ref="AT79:AW79"/>
    <mergeCell ref="AX79:BA79"/>
    <mergeCell ref="ED78:EG78"/>
    <mergeCell ref="EH78:EK78"/>
    <mergeCell ref="EL78:EO78"/>
    <mergeCell ref="EP78:ES78"/>
    <mergeCell ref="F79:I79"/>
    <mergeCell ref="J79:M79"/>
    <mergeCell ref="N79:Q79"/>
    <mergeCell ref="R79:U79"/>
    <mergeCell ref="V79:Y79"/>
    <mergeCell ref="Z79:AC79"/>
    <mergeCell ref="DF78:DI78"/>
    <mergeCell ref="DJ78:DM78"/>
    <mergeCell ref="DN78:DQ78"/>
    <mergeCell ref="DR78:DU78"/>
    <mergeCell ref="DV78:DY78"/>
    <mergeCell ref="DZ78:EC78"/>
    <mergeCell ref="CH78:CK78"/>
    <mergeCell ref="CL78:CO78"/>
    <mergeCell ref="CP78:CS78"/>
    <mergeCell ref="CT78:CW78"/>
    <mergeCell ref="CX78:DA78"/>
    <mergeCell ref="DB78:DE78"/>
    <mergeCell ref="BJ78:BM78"/>
    <mergeCell ref="BN78:BQ78"/>
    <mergeCell ref="BR78:BU78"/>
    <mergeCell ref="BV78:BY78"/>
    <mergeCell ref="BZ78:CC78"/>
    <mergeCell ref="CD78:CG78"/>
    <mergeCell ref="AL78:AO78"/>
    <mergeCell ref="F80:I80"/>
    <mergeCell ref="J80:M80"/>
    <mergeCell ref="N80:Q80"/>
    <mergeCell ref="R80:U80"/>
    <mergeCell ref="V80:Y80"/>
    <mergeCell ref="DV79:DY79"/>
    <mergeCell ref="DZ79:EC79"/>
    <mergeCell ref="ED79:EG79"/>
    <mergeCell ref="EH79:EK79"/>
    <mergeCell ref="EL79:EO79"/>
    <mergeCell ref="EP79:ES79"/>
    <mergeCell ref="CX79:DA79"/>
    <mergeCell ref="DB79:DE79"/>
    <mergeCell ref="DF79:DI79"/>
    <mergeCell ref="DJ79:DM79"/>
    <mergeCell ref="DN79:DQ79"/>
    <mergeCell ref="DR79:DU79"/>
    <mergeCell ref="BZ79:CC79"/>
    <mergeCell ref="CD79:CG79"/>
    <mergeCell ref="CH79:CK79"/>
    <mergeCell ref="CL79:CO79"/>
    <mergeCell ref="CP79:CS79"/>
    <mergeCell ref="CT79:CW79"/>
    <mergeCell ref="BB79:BE79"/>
    <mergeCell ref="BF79:BI79"/>
    <mergeCell ref="BJ79:BM79"/>
    <mergeCell ref="BN79:BQ79"/>
    <mergeCell ref="BR79:BU79"/>
    <mergeCell ref="BV79:BY79"/>
    <mergeCell ref="AD79:AG79"/>
    <mergeCell ref="AH79:AK79"/>
    <mergeCell ref="AL79:AO79"/>
    <mergeCell ref="DB80:DE80"/>
    <mergeCell ref="DF80:DI80"/>
    <mergeCell ref="DJ80:DM80"/>
    <mergeCell ref="DN80:DQ80"/>
    <mergeCell ref="BV80:BY80"/>
    <mergeCell ref="BZ80:CC80"/>
    <mergeCell ref="CD80:CG80"/>
    <mergeCell ref="CH80:CK80"/>
    <mergeCell ref="CL80:CO80"/>
    <mergeCell ref="CP80:CS80"/>
    <mergeCell ref="AX80:BA80"/>
    <mergeCell ref="BB80:BE80"/>
    <mergeCell ref="BF80:BI80"/>
    <mergeCell ref="BJ80:BM80"/>
    <mergeCell ref="BN80:BQ80"/>
    <mergeCell ref="BR80:BU80"/>
    <mergeCell ref="Z80:AC80"/>
    <mergeCell ref="AD80:AG80"/>
    <mergeCell ref="AH80:AK80"/>
    <mergeCell ref="AL80:AO80"/>
    <mergeCell ref="AP80:AS80"/>
    <mergeCell ref="AT80:AW80"/>
    <mergeCell ref="DB81:DE81"/>
    <mergeCell ref="DF81:DI81"/>
    <mergeCell ref="BN81:BQ81"/>
    <mergeCell ref="BR81:BU81"/>
    <mergeCell ref="BV81:BY81"/>
    <mergeCell ref="BZ81:CC81"/>
    <mergeCell ref="CD81:CG81"/>
    <mergeCell ref="CH81:CK81"/>
    <mergeCell ref="AP81:AS81"/>
    <mergeCell ref="AT81:AW81"/>
    <mergeCell ref="AX81:BA81"/>
    <mergeCell ref="BB81:BE81"/>
    <mergeCell ref="BF81:BI81"/>
    <mergeCell ref="BJ81:BM81"/>
    <mergeCell ref="EP80:ES80"/>
    <mergeCell ref="F81:I81"/>
    <mergeCell ref="J81:M81"/>
    <mergeCell ref="N81:Q81"/>
    <mergeCell ref="R81:U81"/>
    <mergeCell ref="V81:Y81"/>
    <mergeCell ref="Z81:AC81"/>
    <mergeCell ref="AD81:AG81"/>
    <mergeCell ref="AH81:AK81"/>
    <mergeCell ref="AL81:AO81"/>
    <mergeCell ref="DR80:DU80"/>
    <mergeCell ref="DV80:DY80"/>
    <mergeCell ref="DZ80:EC80"/>
    <mergeCell ref="ED80:EG80"/>
    <mergeCell ref="EH80:EK80"/>
    <mergeCell ref="EL80:EO80"/>
    <mergeCell ref="CT80:CW80"/>
    <mergeCell ref="CX80:DA80"/>
    <mergeCell ref="BF82:BI82"/>
    <mergeCell ref="BJ82:BM82"/>
    <mergeCell ref="BN82:BQ82"/>
    <mergeCell ref="BR82:BU82"/>
    <mergeCell ref="BV82:BY82"/>
    <mergeCell ref="BZ82:CC82"/>
    <mergeCell ref="AH82:AK82"/>
    <mergeCell ref="AL82:AO82"/>
    <mergeCell ref="AP82:AS82"/>
    <mergeCell ref="AT82:AW82"/>
    <mergeCell ref="AX82:BA82"/>
    <mergeCell ref="BB82:BE82"/>
    <mergeCell ref="EH81:EK81"/>
    <mergeCell ref="EL81:EO81"/>
    <mergeCell ref="EP81:ES81"/>
    <mergeCell ref="F82:I82"/>
    <mergeCell ref="J82:M82"/>
    <mergeCell ref="N82:Q82"/>
    <mergeCell ref="R82:U82"/>
    <mergeCell ref="V82:Y82"/>
    <mergeCell ref="Z82:AC82"/>
    <mergeCell ref="AD82:AG82"/>
    <mergeCell ref="DJ81:DM81"/>
    <mergeCell ref="DN81:DQ81"/>
    <mergeCell ref="DR81:DU81"/>
    <mergeCell ref="DV81:DY81"/>
    <mergeCell ref="DZ81:EC81"/>
    <mergeCell ref="ED81:EG81"/>
    <mergeCell ref="CL81:CO81"/>
    <mergeCell ref="CP81:CS81"/>
    <mergeCell ref="CT81:CW81"/>
    <mergeCell ref="CX81:DA81"/>
    <mergeCell ref="BB83:BE83"/>
    <mergeCell ref="BF83:BI83"/>
    <mergeCell ref="BJ83:BM83"/>
    <mergeCell ref="BN83:BQ83"/>
    <mergeCell ref="V83:Y83"/>
    <mergeCell ref="Z83:AC83"/>
    <mergeCell ref="AD83:AG83"/>
    <mergeCell ref="AH83:AK83"/>
    <mergeCell ref="AL83:AO83"/>
    <mergeCell ref="AP83:AS83"/>
    <mergeCell ref="DZ82:EC82"/>
    <mergeCell ref="ED82:EG82"/>
    <mergeCell ref="EH82:EK82"/>
    <mergeCell ref="EL82:EO82"/>
    <mergeCell ref="EP82:ES82"/>
    <mergeCell ref="B83:B85"/>
    <mergeCell ref="F83:I83"/>
    <mergeCell ref="J83:M83"/>
    <mergeCell ref="N83:Q83"/>
    <mergeCell ref="R83:U83"/>
    <mergeCell ref="DB82:DE82"/>
    <mergeCell ref="DF82:DI82"/>
    <mergeCell ref="DJ82:DM82"/>
    <mergeCell ref="DN82:DQ82"/>
    <mergeCell ref="DR82:DU82"/>
    <mergeCell ref="DV82:DY82"/>
    <mergeCell ref="CD82:CG82"/>
    <mergeCell ref="CH82:CK82"/>
    <mergeCell ref="CL82:CO82"/>
    <mergeCell ref="CP82:CS82"/>
    <mergeCell ref="CT82:CW82"/>
    <mergeCell ref="CX82:DA82"/>
    <mergeCell ref="BB84:BE84"/>
    <mergeCell ref="BF84:BI84"/>
    <mergeCell ref="EL83:EO83"/>
    <mergeCell ref="EP83:ES83"/>
    <mergeCell ref="F84:I84"/>
    <mergeCell ref="J84:M84"/>
    <mergeCell ref="N84:Q84"/>
    <mergeCell ref="R84:U84"/>
    <mergeCell ref="V84:Y84"/>
    <mergeCell ref="Z84:AC84"/>
    <mergeCell ref="AD84:AG84"/>
    <mergeCell ref="AH84:AK84"/>
    <mergeCell ref="DN83:DQ83"/>
    <mergeCell ref="DR83:DU83"/>
    <mergeCell ref="DV83:DY83"/>
    <mergeCell ref="DZ83:EC83"/>
    <mergeCell ref="ED83:EG83"/>
    <mergeCell ref="EH83:EK83"/>
    <mergeCell ref="CP83:CS83"/>
    <mergeCell ref="CT83:CW83"/>
    <mergeCell ref="CX83:DA83"/>
    <mergeCell ref="DB83:DE83"/>
    <mergeCell ref="DF83:DI83"/>
    <mergeCell ref="DJ83:DM83"/>
    <mergeCell ref="BR83:BU83"/>
    <mergeCell ref="BV83:BY83"/>
    <mergeCell ref="BZ83:CC83"/>
    <mergeCell ref="CD83:CG83"/>
    <mergeCell ref="CH83:CK83"/>
    <mergeCell ref="CL83:CO83"/>
    <mergeCell ref="AT83:AW83"/>
    <mergeCell ref="AX83:BA83"/>
    <mergeCell ref="ED84:EG84"/>
    <mergeCell ref="EH84:EK84"/>
    <mergeCell ref="EL84:EO84"/>
    <mergeCell ref="EP84:ES84"/>
    <mergeCell ref="F85:I85"/>
    <mergeCell ref="J85:M85"/>
    <mergeCell ref="N85:Q85"/>
    <mergeCell ref="R85:U85"/>
    <mergeCell ref="V85:Y85"/>
    <mergeCell ref="Z85:AC85"/>
    <mergeCell ref="DF84:DI84"/>
    <mergeCell ref="DJ84:DM84"/>
    <mergeCell ref="DN84:DQ84"/>
    <mergeCell ref="DR84:DU84"/>
    <mergeCell ref="DV84:DY84"/>
    <mergeCell ref="DZ84:EC84"/>
    <mergeCell ref="CH84:CK84"/>
    <mergeCell ref="CL84:CO84"/>
    <mergeCell ref="CP84:CS84"/>
    <mergeCell ref="CT84:CW84"/>
    <mergeCell ref="CX84:DA84"/>
    <mergeCell ref="DB84:DE84"/>
    <mergeCell ref="BJ84:BM84"/>
    <mergeCell ref="BN84:BQ84"/>
    <mergeCell ref="BR84:BU84"/>
    <mergeCell ref="BV84:BY84"/>
    <mergeCell ref="BZ84:CC84"/>
    <mergeCell ref="CD84:CG84"/>
    <mergeCell ref="AL84:AO84"/>
    <mergeCell ref="AP84:AS84"/>
    <mergeCell ref="AT84:AW84"/>
    <mergeCell ref="AX84:BA84"/>
    <mergeCell ref="DZ85:EC85"/>
    <mergeCell ref="ED85:EG85"/>
    <mergeCell ref="EH85:EK85"/>
    <mergeCell ref="EL85:EO85"/>
    <mergeCell ref="EP85:ES85"/>
    <mergeCell ref="CX85:DA85"/>
    <mergeCell ref="DB85:DE85"/>
    <mergeCell ref="DF85:DI85"/>
    <mergeCell ref="DJ85:DM85"/>
    <mergeCell ref="DN85:DQ85"/>
    <mergeCell ref="DR85:DU85"/>
    <mergeCell ref="BZ85:CC85"/>
    <mergeCell ref="CD85:CG85"/>
    <mergeCell ref="CH85:CK85"/>
    <mergeCell ref="CL85:CO85"/>
    <mergeCell ref="CP85:CS85"/>
    <mergeCell ref="CT85:CW85"/>
    <mergeCell ref="Z86:AC86"/>
    <mergeCell ref="AD86:AG86"/>
    <mergeCell ref="AH86:AK86"/>
    <mergeCell ref="AL86:AO86"/>
    <mergeCell ref="AP86:AS86"/>
    <mergeCell ref="AT86:AW86"/>
    <mergeCell ref="B86:B88"/>
    <mergeCell ref="F86:I86"/>
    <mergeCell ref="J86:M86"/>
    <mergeCell ref="N86:Q86"/>
    <mergeCell ref="R86:U86"/>
    <mergeCell ref="V86:Y86"/>
    <mergeCell ref="DV85:DY85"/>
    <mergeCell ref="BB85:BE85"/>
    <mergeCell ref="BF85:BI85"/>
    <mergeCell ref="BJ85:BM85"/>
    <mergeCell ref="BN85:BQ85"/>
    <mergeCell ref="BR85:BU85"/>
    <mergeCell ref="BV85:BY85"/>
    <mergeCell ref="AD85:AG85"/>
    <mergeCell ref="AH85:AK85"/>
    <mergeCell ref="AL85:AO85"/>
    <mergeCell ref="AP85:AS85"/>
    <mergeCell ref="AT85:AW85"/>
    <mergeCell ref="AX85:BA85"/>
    <mergeCell ref="BF87:BI87"/>
    <mergeCell ref="BJ87:BM87"/>
    <mergeCell ref="DB86:DE86"/>
    <mergeCell ref="DF86:DI86"/>
    <mergeCell ref="DJ86:DM86"/>
    <mergeCell ref="DN86:DQ86"/>
    <mergeCell ref="BV86:BY86"/>
    <mergeCell ref="BZ86:CC86"/>
    <mergeCell ref="CD86:CG86"/>
    <mergeCell ref="CH86:CK86"/>
    <mergeCell ref="CL86:CO86"/>
    <mergeCell ref="CP86:CS86"/>
    <mergeCell ref="AX86:BA86"/>
    <mergeCell ref="BB86:BE86"/>
    <mergeCell ref="EH87:EK87"/>
    <mergeCell ref="EL87:EO87"/>
    <mergeCell ref="BF86:BI86"/>
    <mergeCell ref="BJ86:BM86"/>
    <mergeCell ref="BN86:BQ86"/>
    <mergeCell ref="BR86:BU86"/>
    <mergeCell ref="DB87:DE87"/>
    <mergeCell ref="DF87:DI87"/>
    <mergeCell ref="BN87:BQ87"/>
    <mergeCell ref="BR87:BU87"/>
    <mergeCell ref="BV87:BY87"/>
    <mergeCell ref="BZ87:CC87"/>
    <mergeCell ref="CD87:CG87"/>
    <mergeCell ref="CH87:CK87"/>
    <mergeCell ref="AH89:AK89"/>
    <mergeCell ref="AL89:AO89"/>
    <mergeCell ref="AP89:AS89"/>
    <mergeCell ref="DZ88:EC88"/>
    <mergeCell ref="ED88:EG88"/>
    <mergeCell ref="EH88:EK88"/>
    <mergeCell ref="AP87:AS87"/>
    <mergeCell ref="AT87:AW87"/>
    <mergeCell ref="AX87:BA87"/>
    <mergeCell ref="BB87:BE87"/>
    <mergeCell ref="EL88:EO88"/>
    <mergeCell ref="EP88:ES88"/>
    <mergeCell ref="EP86:ES86"/>
    <mergeCell ref="F87:I87"/>
    <mergeCell ref="J87:M87"/>
    <mergeCell ref="N87:Q87"/>
    <mergeCell ref="R87:U87"/>
    <mergeCell ref="V87:Y87"/>
    <mergeCell ref="Z87:AC87"/>
    <mergeCell ref="AD87:AG87"/>
    <mergeCell ref="AH87:AK87"/>
    <mergeCell ref="AL87:AO87"/>
    <mergeCell ref="DR86:DU86"/>
    <mergeCell ref="DV86:DY86"/>
    <mergeCell ref="DZ86:EC86"/>
    <mergeCell ref="ED86:EG86"/>
    <mergeCell ref="EH86:EK86"/>
    <mergeCell ref="EL86:EO86"/>
    <mergeCell ref="CT86:CW86"/>
    <mergeCell ref="CX86:DA86"/>
    <mergeCell ref="BJ88:BM88"/>
    <mergeCell ref="BN88:BQ88"/>
    <mergeCell ref="EP87:ES87"/>
    <mergeCell ref="F88:I88"/>
    <mergeCell ref="J88:M88"/>
    <mergeCell ref="N88:Q88"/>
    <mergeCell ref="R88:U88"/>
    <mergeCell ref="V88:Y88"/>
    <mergeCell ref="Z88:AC88"/>
    <mergeCell ref="AD88:AG88"/>
    <mergeCell ref="DJ87:DM87"/>
    <mergeCell ref="DN87:DQ87"/>
    <mergeCell ref="DR87:DU87"/>
    <mergeCell ref="DV87:DY87"/>
    <mergeCell ref="DZ87:EC87"/>
    <mergeCell ref="ED87:EG87"/>
    <mergeCell ref="CL87:CO87"/>
    <mergeCell ref="CP87:CS87"/>
    <mergeCell ref="CT87:CW87"/>
    <mergeCell ref="CX87:DA87"/>
    <mergeCell ref="BR88:BU88"/>
    <mergeCell ref="BV88:BY88"/>
    <mergeCell ref="BZ88:CC88"/>
    <mergeCell ref="AH88:AK88"/>
    <mergeCell ref="AL88:AO88"/>
    <mergeCell ref="AP88:AS88"/>
    <mergeCell ref="BB90:BE90"/>
    <mergeCell ref="BF90:BI90"/>
    <mergeCell ref="B89:B91"/>
    <mergeCell ref="F89:I89"/>
    <mergeCell ref="J89:M89"/>
    <mergeCell ref="N89:Q89"/>
    <mergeCell ref="R89:U89"/>
    <mergeCell ref="DB88:DE88"/>
    <mergeCell ref="DF88:DI88"/>
    <mergeCell ref="DJ88:DM88"/>
    <mergeCell ref="DN88:DQ88"/>
    <mergeCell ref="DR88:DU88"/>
    <mergeCell ref="DV88:DY88"/>
    <mergeCell ref="CD88:CG88"/>
    <mergeCell ref="CH88:CK88"/>
    <mergeCell ref="CL88:CO88"/>
    <mergeCell ref="CP88:CS88"/>
    <mergeCell ref="CT88:CW88"/>
    <mergeCell ref="CX88:DA88"/>
    <mergeCell ref="BF88:BI88"/>
    <mergeCell ref="AL91:AO91"/>
    <mergeCell ref="AP91:AS91"/>
    <mergeCell ref="AT91:AW91"/>
    <mergeCell ref="AX91:BA91"/>
    <mergeCell ref="AT88:AW88"/>
    <mergeCell ref="AX88:BA88"/>
    <mergeCell ref="BB88:BE88"/>
    <mergeCell ref="CH89:CK89"/>
    <mergeCell ref="CL89:CO89"/>
    <mergeCell ref="AT89:AW89"/>
    <mergeCell ref="Z89:AC89"/>
    <mergeCell ref="AD89:AG89"/>
    <mergeCell ref="EL89:EO89"/>
    <mergeCell ref="EP89:ES89"/>
    <mergeCell ref="F90:I90"/>
    <mergeCell ref="J90:M90"/>
    <mergeCell ref="N90:Q90"/>
    <mergeCell ref="R90:U90"/>
    <mergeCell ref="V90:Y90"/>
    <mergeCell ref="Z90:AC90"/>
    <mergeCell ref="AD90:AG90"/>
    <mergeCell ref="AH90:AK90"/>
    <mergeCell ref="DN89:DQ89"/>
    <mergeCell ref="DR89:DU89"/>
    <mergeCell ref="DV89:DY89"/>
    <mergeCell ref="DZ89:EC89"/>
    <mergeCell ref="ED89:EG89"/>
    <mergeCell ref="EH89:EK89"/>
    <mergeCell ref="CP89:CS89"/>
    <mergeCell ref="CT89:CW89"/>
    <mergeCell ref="CX89:DA89"/>
    <mergeCell ref="DB89:DE89"/>
    <mergeCell ref="DF89:DI89"/>
    <mergeCell ref="DJ89:DM89"/>
    <mergeCell ref="BR89:BU89"/>
    <mergeCell ref="BV89:BY89"/>
    <mergeCell ref="BZ89:CC89"/>
    <mergeCell ref="CD89:CG89"/>
    <mergeCell ref="AX89:BA89"/>
    <mergeCell ref="BB89:BE89"/>
    <mergeCell ref="BF89:BI89"/>
    <mergeCell ref="BJ89:BM89"/>
    <mergeCell ref="BN89:BQ89"/>
    <mergeCell ref="V89:Y89"/>
    <mergeCell ref="ED90:EG90"/>
    <mergeCell ref="EH90:EK90"/>
    <mergeCell ref="EL90:EO90"/>
    <mergeCell ref="EP90:ES90"/>
    <mergeCell ref="F91:I91"/>
    <mergeCell ref="J91:M91"/>
    <mergeCell ref="N91:Q91"/>
    <mergeCell ref="R91:U91"/>
    <mergeCell ref="V91:Y91"/>
    <mergeCell ref="Z91:AC91"/>
    <mergeCell ref="DF90:DI90"/>
    <mergeCell ref="DJ90:DM90"/>
    <mergeCell ref="DN90:DQ90"/>
    <mergeCell ref="DR90:DU90"/>
    <mergeCell ref="DV90:DY90"/>
    <mergeCell ref="DZ90:EC90"/>
    <mergeCell ref="CH90:CK90"/>
    <mergeCell ref="CL90:CO90"/>
    <mergeCell ref="CP90:CS90"/>
    <mergeCell ref="CT90:CW90"/>
    <mergeCell ref="CX90:DA90"/>
    <mergeCell ref="DB90:DE90"/>
    <mergeCell ref="BJ90:BM90"/>
    <mergeCell ref="BN90:BQ90"/>
    <mergeCell ref="BR90:BU90"/>
    <mergeCell ref="BV90:BY90"/>
    <mergeCell ref="BZ90:CC90"/>
    <mergeCell ref="CD90:CG90"/>
    <mergeCell ref="AL90:AO90"/>
    <mergeCell ref="AP90:AS90"/>
    <mergeCell ref="AT90:AW90"/>
    <mergeCell ref="AX90:BA90"/>
    <mergeCell ref="B92:B94"/>
    <mergeCell ref="F92:I92"/>
    <mergeCell ref="J92:M92"/>
    <mergeCell ref="N92:Q92"/>
    <mergeCell ref="R92:U92"/>
    <mergeCell ref="V92:Y92"/>
    <mergeCell ref="DV91:DY91"/>
    <mergeCell ref="DZ91:EC91"/>
    <mergeCell ref="ED91:EG91"/>
    <mergeCell ref="EH91:EK91"/>
    <mergeCell ref="EL91:EO91"/>
    <mergeCell ref="EP91:ES91"/>
    <mergeCell ref="CX91:DA91"/>
    <mergeCell ref="DB91:DE91"/>
    <mergeCell ref="DF91:DI91"/>
    <mergeCell ref="DJ91:DM91"/>
    <mergeCell ref="DN91:DQ91"/>
    <mergeCell ref="DR91:DU91"/>
    <mergeCell ref="BZ91:CC91"/>
    <mergeCell ref="CD91:CG91"/>
    <mergeCell ref="CH91:CK91"/>
    <mergeCell ref="CL91:CO91"/>
    <mergeCell ref="CP91:CS91"/>
    <mergeCell ref="CT91:CW91"/>
    <mergeCell ref="BB91:BE91"/>
    <mergeCell ref="BF91:BI91"/>
    <mergeCell ref="BJ91:BM91"/>
    <mergeCell ref="BN91:BQ91"/>
    <mergeCell ref="BR91:BU91"/>
    <mergeCell ref="BV91:BY91"/>
    <mergeCell ref="AD91:AG91"/>
    <mergeCell ref="AH91:AK91"/>
    <mergeCell ref="DB92:DE92"/>
    <mergeCell ref="DF92:DI92"/>
    <mergeCell ref="DJ92:DM92"/>
    <mergeCell ref="DN92:DQ92"/>
    <mergeCell ref="BV92:BY92"/>
    <mergeCell ref="BZ92:CC92"/>
    <mergeCell ref="CD92:CG92"/>
    <mergeCell ref="CH92:CK92"/>
    <mergeCell ref="CL92:CO92"/>
    <mergeCell ref="CP92:CS92"/>
    <mergeCell ref="AX92:BA92"/>
    <mergeCell ref="BB92:BE92"/>
    <mergeCell ref="BF92:BI92"/>
    <mergeCell ref="BJ92:BM92"/>
    <mergeCell ref="BN92:BQ92"/>
    <mergeCell ref="BR92:BU92"/>
    <mergeCell ref="Z92:AC92"/>
    <mergeCell ref="AD92:AG92"/>
    <mergeCell ref="AH92:AK92"/>
    <mergeCell ref="AL92:AO92"/>
    <mergeCell ref="AP92:AS92"/>
    <mergeCell ref="AT92:AW92"/>
    <mergeCell ref="DB93:DE93"/>
    <mergeCell ref="DF93:DI93"/>
    <mergeCell ref="BN93:BQ93"/>
    <mergeCell ref="BR93:BU93"/>
    <mergeCell ref="BV93:BY93"/>
    <mergeCell ref="BZ93:CC93"/>
    <mergeCell ref="CD93:CG93"/>
    <mergeCell ref="CH93:CK93"/>
    <mergeCell ref="AP93:AS93"/>
    <mergeCell ref="AT93:AW93"/>
    <mergeCell ref="AX93:BA93"/>
    <mergeCell ref="BB93:BE93"/>
    <mergeCell ref="BF93:BI93"/>
    <mergeCell ref="BJ93:BM93"/>
    <mergeCell ref="EP92:ES92"/>
    <mergeCell ref="F93:I93"/>
    <mergeCell ref="J93:M93"/>
    <mergeCell ref="N93:Q93"/>
    <mergeCell ref="R93:U93"/>
    <mergeCell ref="V93:Y93"/>
    <mergeCell ref="Z93:AC93"/>
    <mergeCell ref="AD93:AG93"/>
    <mergeCell ref="AH93:AK93"/>
    <mergeCell ref="AL93:AO93"/>
    <mergeCell ref="DR92:DU92"/>
    <mergeCell ref="DV92:DY92"/>
    <mergeCell ref="DZ92:EC92"/>
    <mergeCell ref="ED92:EG92"/>
    <mergeCell ref="EH92:EK92"/>
    <mergeCell ref="EL92:EO92"/>
    <mergeCell ref="CT92:CW92"/>
    <mergeCell ref="CX92:DA92"/>
    <mergeCell ref="BF94:BI94"/>
    <mergeCell ref="BJ94:BM94"/>
    <mergeCell ref="BN94:BQ94"/>
    <mergeCell ref="BR94:BU94"/>
    <mergeCell ref="BV94:BY94"/>
    <mergeCell ref="BZ94:CC94"/>
    <mergeCell ref="AH94:AK94"/>
    <mergeCell ref="AL94:AO94"/>
    <mergeCell ref="AP94:AS94"/>
    <mergeCell ref="AT94:AW94"/>
    <mergeCell ref="AX94:BA94"/>
    <mergeCell ref="BB94:BE94"/>
    <mergeCell ref="EH93:EK93"/>
    <mergeCell ref="EL93:EO93"/>
    <mergeCell ref="EP93:ES93"/>
    <mergeCell ref="F94:I94"/>
    <mergeCell ref="J94:M94"/>
    <mergeCell ref="N94:Q94"/>
    <mergeCell ref="R94:U94"/>
    <mergeCell ref="V94:Y94"/>
    <mergeCell ref="Z94:AC94"/>
    <mergeCell ref="AD94:AG94"/>
    <mergeCell ref="DJ93:DM93"/>
    <mergeCell ref="DN93:DQ93"/>
    <mergeCell ref="DR93:DU93"/>
    <mergeCell ref="DV93:DY93"/>
    <mergeCell ref="DZ93:EC93"/>
    <mergeCell ref="ED93:EG93"/>
    <mergeCell ref="CL93:CO93"/>
    <mergeCell ref="CP93:CS93"/>
    <mergeCell ref="CT93:CW93"/>
    <mergeCell ref="CX93:DA93"/>
    <mergeCell ref="BB95:BE95"/>
    <mergeCell ref="BF95:BI95"/>
    <mergeCell ref="BJ95:BM95"/>
    <mergeCell ref="BN95:BQ95"/>
    <mergeCell ref="V95:Y95"/>
    <mergeCell ref="Z95:AC95"/>
    <mergeCell ref="AD95:AG95"/>
    <mergeCell ref="AH95:AK95"/>
    <mergeCell ref="AL95:AO95"/>
    <mergeCell ref="AP95:AS95"/>
    <mergeCell ref="DZ94:EC94"/>
    <mergeCell ref="ED94:EG94"/>
    <mergeCell ref="EH94:EK94"/>
    <mergeCell ref="EL94:EO94"/>
    <mergeCell ref="EP94:ES94"/>
    <mergeCell ref="B95:B97"/>
    <mergeCell ref="F95:I95"/>
    <mergeCell ref="J95:M95"/>
    <mergeCell ref="N95:Q95"/>
    <mergeCell ref="R95:U95"/>
    <mergeCell ref="DB94:DE94"/>
    <mergeCell ref="DF94:DI94"/>
    <mergeCell ref="DJ94:DM94"/>
    <mergeCell ref="DN94:DQ94"/>
    <mergeCell ref="DR94:DU94"/>
    <mergeCell ref="DV94:DY94"/>
    <mergeCell ref="CD94:CG94"/>
    <mergeCell ref="CH94:CK94"/>
    <mergeCell ref="CL94:CO94"/>
    <mergeCell ref="CP94:CS94"/>
    <mergeCell ref="CT94:CW94"/>
    <mergeCell ref="CX94:DA94"/>
    <mergeCell ref="BB96:BE96"/>
    <mergeCell ref="BF96:BI96"/>
    <mergeCell ref="EL95:EO95"/>
    <mergeCell ref="EP95:ES95"/>
    <mergeCell ref="F96:I96"/>
    <mergeCell ref="J96:M96"/>
    <mergeCell ref="N96:Q96"/>
    <mergeCell ref="R96:U96"/>
    <mergeCell ref="V96:Y96"/>
    <mergeCell ref="Z96:AC96"/>
    <mergeCell ref="AD96:AG96"/>
    <mergeCell ref="AH96:AK96"/>
    <mergeCell ref="DN95:DQ95"/>
    <mergeCell ref="DR95:DU95"/>
    <mergeCell ref="DV95:DY95"/>
    <mergeCell ref="DZ95:EC95"/>
    <mergeCell ref="ED95:EG95"/>
    <mergeCell ref="EH95:EK95"/>
    <mergeCell ref="CP95:CS95"/>
    <mergeCell ref="CT95:CW95"/>
    <mergeCell ref="CX95:DA95"/>
    <mergeCell ref="DB95:DE95"/>
    <mergeCell ref="DF95:DI95"/>
    <mergeCell ref="DJ95:DM95"/>
    <mergeCell ref="BR95:BU95"/>
    <mergeCell ref="BV95:BY95"/>
    <mergeCell ref="BZ95:CC95"/>
    <mergeCell ref="CD95:CG95"/>
    <mergeCell ref="CH95:CK95"/>
    <mergeCell ref="CL95:CO95"/>
    <mergeCell ref="AT95:AW95"/>
    <mergeCell ref="AX95:BA95"/>
    <mergeCell ref="ED96:EG96"/>
    <mergeCell ref="EH96:EK96"/>
    <mergeCell ref="EL96:EO96"/>
    <mergeCell ref="EP96:ES96"/>
    <mergeCell ref="F97:I97"/>
    <mergeCell ref="J97:M97"/>
    <mergeCell ref="N97:Q97"/>
    <mergeCell ref="R97:U97"/>
    <mergeCell ref="V97:Y97"/>
    <mergeCell ref="Z97:AC97"/>
    <mergeCell ref="DF96:DI96"/>
    <mergeCell ref="DJ96:DM96"/>
    <mergeCell ref="DN96:DQ96"/>
    <mergeCell ref="DR96:DU96"/>
    <mergeCell ref="DV96:DY96"/>
    <mergeCell ref="DZ96:EC96"/>
    <mergeCell ref="CH96:CK96"/>
    <mergeCell ref="CL96:CO96"/>
    <mergeCell ref="CP96:CS96"/>
    <mergeCell ref="CT96:CW96"/>
    <mergeCell ref="CX96:DA96"/>
    <mergeCell ref="DB96:DE96"/>
    <mergeCell ref="BJ96:BM96"/>
    <mergeCell ref="BN96:BQ96"/>
    <mergeCell ref="BR96:BU96"/>
    <mergeCell ref="BV96:BY96"/>
    <mergeCell ref="BZ96:CC96"/>
    <mergeCell ref="CD96:CG96"/>
    <mergeCell ref="AL96:AO96"/>
    <mergeCell ref="AP96:AS96"/>
    <mergeCell ref="AT96:AW96"/>
    <mergeCell ref="AX96:BA96"/>
    <mergeCell ref="DZ97:EC97"/>
    <mergeCell ref="ED97:EG97"/>
    <mergeCell ref="EH97:EK97"/>
    <mergeCell ref="EL97:EO97"/>
    <mergeCell ref="EP97:ES97"/>
    <mergeCell ref="CX97:DA97"/>
    <mergeCell ref="DB97:DE97"/>
    <mergeCell ref="DF97:DI97"/>
    <mergeCell ref="DJ97:DM97"/>
    <mergeCell ref="DN97:DQ97"/>
    <mergeCell ref="DR97:DU97"/>
    <mergeCell ref="BZ97:CC97"/>
    <mergeCell ref="CD97:CG97"/>
    <mergeCell ref="CH97:CK97"/>
    <mergeCell ref="CL97:CO97"/>
    <mergeCell ref="CP97:CS97"/>
    <mergeCell ref="CT97:CW97"/>
    <mergeCell ref="Z98:AC98"/>
    <mergeCell ref="AD98:AG98"/>
    <mergeCell ref="AH98:AK98"/>
    <mergeCell ref="AL98:AO98"/>
    <mergeCell ref="AP98:AS98"/>
    <mergeCell ref="AT98:AW98"/>
    <mergeCell ref="B98:B100"/>
    <mergeCell ref="F98:I98"/>
    <mergeCell ref="J98:M98"/>
    <mergeCell ref="N98:Q98"/>
    <mergeCell ref="R98:U98"/>
    <mergeCell ref="V98:Y98"/>
    <mergeCell ref="DV97:DY97"/>
    <mergeCell ref="BB97:BE97"/>
    <mergeCell ref="BF97:BI97"/>
    <mergeCell ref="BJ97:BM97"/>
    <mergeCell ref="BN97:BQ97"/>
    <mergeCell ref="BR97:BU97"/>
    <mergeCell ref="BV97:BY97"/>
    <mergeCell ref="AD97:AG97"/>
    <mergeCell ref="AH97:AK97"/>
    <mergeCell ref="AL97:AO97"/>
    <mergeCell ref="AP97:AS97"/>
    <mergeCell ref="AT97:AW97"/>
    <mergeCell ref="AX97:BA97"/>
    <mergeCell ref="BF99:BI99"/>
    <mergeCell ref="BJ99:BM99"/>
    <mergeCell ref="DB98:DE98"/>
    <mergeCell ref="DF98:DI98"/>
    <mergeCell ref="DJ98:DM98"/>
    <mergeCell ref="DN98:DQ98"/>
    <mergeCell ref="BV98:BY98"/>
    <mergeCell ref="BZ98:CC98"/>
    <mergeCell ref="CD98:CG98"/>
    <mergeCell ref="CH98:CK98"/>
    <mergeCell ref="CL98:CO98"/>
    <mergeCell ref="CP98:CS98"/>
    <mergeCell ref="AX98:BA98"/>
    <mergeCell ref="BB98:BE98"/>
    <mergeCell ref="EH99:EK99"/>
    <mergeCell ref="EL99:EO99"/>
    <mergeCell ref="BF98:BI98"/>
    <mergeCell ref="BJ98:BM98"/>
    <mergeCell ref="BN98:BQ98"/>
    <mergeCell ref="BR98:BU98"/>
    <mergeCell ref="DB99:DE99"/>
    <mergeCell ref="DF99:DI99"/>
    <mergeCell ref="BN99:BQ99"/>
    <mergeCell ref="BR99:BU99"/>
    <mergeCell ref="BV99:BY99"/>
    <mergeCell ref="BZ99:CC99"/>
    <mergeCell ref="CD99:CG99"/>
    <mergeCell ref="CH99:CK99"/>
    <mergeCell ref="AH101:AK101"/>
    <mergeCell ref="AL101:AO101"/>
    <mergeCell ref="AP101:AS101"/>
    <mergeCell ref="DZ100:EC100"/>
    <mergeCell ref="ED100:EG100"/>
    <mergeCell ref="EH100:EK100"/>
    <mergeCell ref="AP99:AS99"/>
    <mergeCell ref="AT99:AW99"/>
    <mergeCell ref="AX99:BA99"/>
    <mergeCell ref="BB99:BE99"/>
    <mergeCell ref="EL100:EO100"/>
    <mergeCell ref="EP100:ES100"/>
    <mergeCell ref="EP98:ES98"/>
    <mergeCell ref="F99:I99"/>
    <mergeCell ref="J99:M99"/>
    <mergeCell ref="N99:Q99"/>
    <mergeCell ref="R99:U99"/>
    <mergeCell ref="V99:Y99"/>
    <mergeCell ref="Z99:AC99"/>
    <mergeCell ref="AD99:AG99"/>
    <mergeCell ref="AH99:AK99"/>
    <mergeCell ref="AL99:AO99"/>
    <mergeCell ref="DR98:DU98"/>
    <mergeCell ref="DV98:DY98"/>
    <mergeCell ref="DZ98:EC98"/>
    <mergeCell ref="ED98:EG98"/>
    <mergeCell ref="EH98:EK98"/>
    <mergeCell ref="EL98:EO98"/>
    <mergeCell ref="CT98:CW98"/>
    <mergeCell ref="CX98:DA98"/>
    <mergeCell ref="BJ100:BM100"/>
    <mergeCell ref="BN100:BQ100"/>
    <mergeCell ref="EP99:ES99"/>
    <mergeCell ref="F100:I100"/>
    <mergeCell ref="J100:M100"/>
    <mergeCell ref="N100:Q100"/>
    <mergeCell ref="R100:U100"/>
    <mergeCell ref="V100:Y100"/>
    <mergeCell ref="Z100:AC100"/>
    <mergeCell ref="AD100:AG100"/>
    <mergeCell ref="DJ99:DM99"/>
    <mergeCell ref="DN99:DQ99"/>
    <mergeCell ref="DR99:DU99"/>
    <mergeCell ref="DV99:DY99"/>
    <mergeCell ref="DZ99:EC99"/>
    <mergeCell ref="ED99:EG99"/>
    <mergeCell ref="CL99:CO99"/>
    <mergeCell ref="CP99:CS99"/>
    <mergeCell ref="CT99:CW99"/>
    <mergeCell ref="CX99:DA99"/>
    <mergeCell ref="BR100:BU100"/>
    <mergeCell ref="BV100:BY100"/>
    <mergeCell ref="BZ100:CC100"/>
    <mergeCell ref="AH100:AK100"/>
    <mergeCell ref="AL100:AO100"/>
    <mergeCell ref="AP100:AS100"/>
    <mergeCell ref="BB102:BE102"/>
    <mergeCell ref="BF102:BI102"/>
    <mergeCell ref="B101:B103"/>
    <mergeCell ref="F101:I101"/>
    <mergeCell ref="J101:M101"/>
    <mergeCell ref="N101:Q101"/>
    <mergeCell ref="R101:U101"/>
    <mergeCell ref="DB100:DE100"/>
    <mergeCell ref="DF100:DI100"/>
    <mergeCell ref="DJ100:DM100"/>
    <mergeCell ref="DN100:DQ100"/>
    <mergeCell ref="DR100:DU100"/>
    <mergeCell ref="DV100:DY100"/>
    <mergeCell ref="CD100:CG100"/>
    <mergeCell ref="CH100:CK100"/>
    <mergeCell ref="CL100:CO100"/>
    <mergeCell ref="CP100:CS100"/>
    <mergeCell ref="CT100:CW100"/>
    <mergeCell ref="CX100:DA100"/>
    <mergeCell ref="BF100:BI100"/>
    <mergeCell ref="AL103:AO103"/>
    <mergeCell ref="AP103:AS103"/>
    <mergeCell ref="AT103:AW103"/>
    <mergeCell ref="AX103:BA103"/>
    <mergeCell ref="AT100:AW100"/>
    <mergeCell ref="AX100:BA100"/>
    <mergeCell ref="BB100:BE100"/>
    <mergeCell ref="CH101:CK101"/>
    <mergeCell ref="CL101:CO101"/>
    <mergeCell ref="AT101:AW101"/>
    <mergeCell ref="Z101:AC101"/>
    <mergeCell ref="AD101:AG101"/>
    <mergeCell ref="EL101:EO101"/>
    <mergeCell ref="EP101:ES101"/>
    <mergeCell ref="F102:I102"/>
    <mergeCell ref="J102:M102"/>
    <mergeCell ref="N102:Q102"/>
    <mergeCell ref="R102:U102"/>
    <mergeCell ref="V102:Y102"/>
    <mergeCell ref="Z102:AC102"/>
    <mergeCell ref="AD102:AG102"/>
    <mergeCell ref="AH102:AK102"/>
    <mergeCell ref="DN101:DQ101"/>
    <mergeCell ref="DR101:DU101"/>
    <mergeCell ref="DV101:DY101"/>
    <mergeCell ref="DZ101:EC101"/>
    <mergeCell ref="ED101:EG101"/>
    <mergeCell ref="EH101:EK101"/>
    <mergeCell ref="CP101:CS101"/>
    <mergeCell ref="CT101:CW101"/>
    <mergeCell ref="CX101:DA101"/>
    <mergeCell ref="DB101:DE101"/>
    <mergeCell ref="DF101:DI101"/>
    <mergeCell ref="DJ101:DM101"/>
    <mergeCell ref="BR101:BU101"/>
    <mergeCell ref="BV101:BY101"/>
    <mergeCell ref="BZ101:CC101"/>
    <mergeCell ref="CD101:CG101"/>
    <mergeCell ref="AX101:BA101"/>
    <mergeCell ref="BB101:BE101"/>
    <mergeCell ref="BF101:BI101"/>
    <mergeCell ref="BJ101:BM101"/>
    <mergeCell ref="BN101:BQ101"/>
    <mergeCell ref="V101:Y101"/>
    <mergeCell ref="ED102:EG102"/>
    <mergeCell ref="EH102:EK102"/>
    <mergeCell ref="EL102:EO102"/>
    <mergeCell ref="EP102:ES102"/>
    <mergeCell ref="F103:I103"/>
    <mergeCell ref="J103:M103"/>
    <mergeCell ref="N103:Q103"/>
    <mergeCell ref="R103:U103"/>
    <mergeCell ref="V103:Y103"/>
    <mergeCell ref="Z103:AC103"/>
    <mergeCell ref="DF102:DI102"/>
    <mergeCell ref="DJ102:DM102"/>
    <mergeCell ref="DN102:DQ102"/>
    <mergeCell ref="DR102:DU102"/>
    <mergeCell ref="DV102:DY102"/>
    <mergeCell ref="DZ102:EC102"/>
    <mergeCell ref="CH102:CK102"/>
    <mergeCell ref="CL102:CO102"/>
    <mergeCell ref="CP102:CS102"/>
    <mergeCell ref="CT102:CW102"/>
    <mergeCell ref="CX102:DA102"/>
    <mergeCell ref="DB102:DE102"/>
    <mergeCell ref="BJ102:BM102"/>
    <mergeCell ref="BN102:BQ102"/>
    <mergeCell ref="BR102:BU102"/>
    <mergeCell ref="BV102:BY102"/>
    <mergeCell ref="BZ102:CC102"/>
    <mergeCell ref="CD102:CG102"/>
    <mergeCell ref="AL102:AO102"/>
    <mergeCell ref="AP102:AS102"/>
    <mergeCell ref="AT102:AW102"/>
    <mergeCell ref="AX102:BA102"/>
    <mergeCell ref="B104:B106"/>
    <mergeCell ref="F104:I104"/>
    <mergeCell ref="J104:M104"/>
    <mergeCell ref="N104:Q104"/>
    <mergeCell ref="R104:U104"/>
    <mergeCell ref="V104:Y104"/>
    <mergeCell ref="DV103:DY103"/>
    <mergeCell ref="DZ103:EC103"/>
    <mergeCell ref="ED103:EG103"/>
    <mergeCell ref="EH103:EK103"/>
    <mergeCell ref="EL103:EO103"/>
    <mergeCell ref="EP103:ES103"/>
    <mergeCell ref="CX103:DA103"/>
    <mergeCell ref="DB103:DE103"/>
    <mergeCell ref="DF103:DI103"/>
    <mergeCell ref="DJ103:DM103"/>
    <mergeCell ref="DN103:DQ103"/>
    <mergeCell ref="DR103:DU103"/>
    <mergeCell ref="BZ103:CC103"/>
    <mergeCell ref="CD103:CG103"/>
    <mergeCell ref="CH103:CK103"/>
    <mergeCell ref="CL103:CO103"/>
    <mergeCell ref="CP103:CS103"/>
    <mergeCell ref="CT103:CW103"/>
    <mergeCell ref="BB103:BE103"/>
    <mergeCell ref="BF103:BI103"/>
    <mergeCell ref="BJ103:BM103"/>
    <mergeCell ref="BN103:BQ103"/>
    <mergeCell ref="BR103:BU103"/>
    <mergeCell ref="BV103:BY103"/>
    <mergeCell ref="AD103:AG103"/>
    <mergeCell ref="AH103:AK103"/>
    <mergeCell ref="DB104:DE104"/>
    <mergeCell ref="DF104:DI104"/>
    <mergeCell ref="DJ104:DM104"/>
    <mergeCell ref="DN104:DQ104"/>
    <mergeCell ref="BV104:BY104"/>
    <mergeCell ref="BZ104:CC104"/>
    <mergeCell ref="CD104:CG104"/>
    <mergeCell ref="CH104:CK104"/>
    <mergeCell ref="CL104:CO104"/>
    <mergeCell ref="CP104:CS104"/>
    <mergeCell ref="AX104:BA104"/>
    <mergeCell ref="BB104:BE104"/>
    <mergeCell ref="BF104:BI104"/>
    <mergeCell ref="BJ104:BM104"/>
    <mergeCell ref="BN104:BQ104"/>
    <mergeCell ref="BR104:BU104"/>
    <mergeCell ref="Z104:AC104"/>
    <mergeCell ref="AD104:AG104"/>
    <mergeCell ref="AH104:AK104"/>
    <mergeCell ref="AL104:AO104"/>
    <mergeCell ref="AP104:AS104"/>
    <mergeCell ref="AT104:AW104"/>
    <mergeCell ref="DB105:DE105"/>
    <mergeCell ref="DF105:DI105"/>
    <mergeCell ref="BN105:BQ105"/>
    <mergeCell ref="BR105:BU105"/>
    <mergeCell ref="BV105:BY105"/>
    <mergeCell ref="BZ105:CC105"/>
    <mergeCell ref="CD105:CG105"/>
    <mergeCell ref="CH105:CK105"/>
    <mergeCell ref="AP105:AS105"/>
    <mergeCell ref="AT105:AW105"/>
    <mergeCell ref="AX105:BA105"/>
    <mergeCell ref="BB105:BE105"/>
    <mergeCell ref="BF105:BI105"/>
    <mergeCell ref="BJ105:BM105"/>
    <mergeCell ref="EP104:ES104"/>
    <mergeCell ref="F105:I105"/>
    <mergeCell ref="J105:M105"/>
    <mergeCell ref="N105:Q105"/>
    <mergeCell ref="R105:U105"/>
    <mergeCell ref="V105:Y105"/>
    <mergeCell ref="Z105:AC105"/>
    <mergeCell ref="AD105:AG105"/>
    <mergeCell ref="AH105:AK105"/>
    <mergeCell ref="AL105:AO105"/>
    <mergeCell ref="DR104:DU104"/>
    <mergeCell ref="DV104:DY104"/>
    <mergeCell ref="DZ104:EC104"/>
    <mergeCell ref="ED104:EG104"/>
    <mergeCell ref="EH104:EK104"/>
    <mergeCell ref="EL104:EO104"/>
    <mergeCell ref="CT104:CW104"/>
    <mergeCell ref="CX104:DA104"/>
    <mergeCell ref="BF106:BI106"/>
    <mergeCell ref="BJ106:BM106"/>
    <mergeCell ref="BN106:BQ106"/>
    <mergeCell ref="BR106:BU106"/>
    <mergeCell ref="BV106:BY106"/>
    <mergeCell ref="BZ106:CC106"/>
    <mergeCell ref="AH106:AK106"/>
    <mergeCell ref="AL106:AO106"/>
    <mergeCell ref="AP106:AS106"/>
    <mergeCell ref="AT106:AW106"/>
    <mergeCell ref="AX106:BA106"/>
    <mergeCell ref="BB106:BE106"/>
    <mergeCell ref="EH105:EK105"/>
    <mergeCell ref="EL105:EO105"/>
    <mergeCell ref="EP105:ES105"/>
    <mergeCell ref="F106:I106"/>
    <mergeCell ref="J106:M106"/>
    <mergeCell ref="N106:Q106"/>
    <mergeCell ref="R106:U106"/>
    <mergeCell ref="V106:Y106"/>
    <mergeCell ref="Z106:AC106"/>
    <mergeCell ref="AD106:AG106"/>
    <mergeCell ref="DJ105:DM105"/>
    <mergeCell ref="DN105:DQ105"/>
    <mergeCell ref="DR105:DU105"/>
    <mergeCell ref="DV105:DY105"/>
    <mergeCell ref="DZ105:EC105"/>
    <mergeCell ref="ED105:EG105"/>
    <mergeCell ref="CL105:CO105"/>
    <mergeCell ref="CP105:CS105"/>
    <mergeCell ref="CT105:CW105"/>
    <mergeCell ref="CX105:DA105"/>
    <mergeCell ref="BB107:BE107"/>
    <mergeCell ref="BF107:BI107"/>
    <mergeCell ref="BJ107:BM107"/>
    <mergeCell ref="BN107:BQ107"/>
    <mergeCell ref="V107:Y107"/>
    <mergeCell ref="Z107:AC107"/>
    <mergeCell ref="AD107:AG107"/>
    <mergeCell ref="AH107:AK107"/>
    <mergeCell ref="AL107:AO107"/>
    <mergeCell ref="AP107:AS107"/>
    <mergeCell ref="DZ106:EC106"/>
    <mergeCell ref="ED106:EG106"/>
    <mergeCell ref="EH106:EK106"/>
    <mergeCell ref="EL106:EO106"/>
    <mergeCell ref="EP106:ES106"/>
    <mergeCell ref="B107:B109"/>
    <mergeCell ref="F107:I107"/>
    <mergeCell ref="J107:M107"/>
    <mergeCell ref="N107:Q107"/>
    <mergeCell ref="R107:U107"/>
    <mergeCell ref="DB106:DE106"/>
    <mergeCell ref="DF106:DI106"/>
    <mergeCell ref="DJ106:DM106"/>
    <mergeCell ref="DN106:DQ106"/>
    <mergeCell ref="DR106:DU106"/>
    <mergeCell ref="DV106:DY106"/>
    <mergeCell ref="CD106:CG106"/>
    <mergeCell ref="CH106:CK106"/>
    <mergeCell ref="CL106:CO106"/>
    <mergeCell ref="CP106:CS106"/>
    <mergeCell ref="CT106:CW106"/>
    <mergeCell ref="CX106:DA106"/>
    <mergeCell ref="BB108:BE108"/>
    <mergeCell ref="BF108:BI108"/>
    <mergeCell ref="EL107:EO107"/>
    <mergeCell ref="EP107:ES107"/>
    <mergeCell ref="F108:I108"/>
    <mergeCell ref="J108:M108"/>
    <mergeCell ref="N108:Q108"/>
    <mergeCell ref="R108:U108"/>
    <mergeCell ref="V108:Y108"/>
    <mergeCell ref="Z108:AC108"/>
    <mergeCell ref="AD108:AG108"/>
    <mergeCell ref="AH108:AK108"/>
    <mergeCell ref="DN107:DQ107"/>
    <mergeCell ref="DR107:DU107"/>
    <mergeCell ref="DV107:DY107"/>
    <mergeCell ref="DZ107:EC107"/>
    <mergeCell ref="ED107:EG107"/>
    <mergeCell ref="EH107:EK107"/>
    <mergeCell ref="CP107:CS107"/>
    <mergeCell ref="CT107:CW107"/>
    <mergeCell ref="CX107:DA107"/>
    <mergeCell ref="DB107:DE107"/>
    <mergeCell ref="DF107:DI107"/>
    <mergeCell ref="DJ107:DM107"/>
    <mergeCell ref="BR107:BU107"/>
    <mergeCell ref="BV107:BY107"/>
    <mergeCell ref="BZ107:CC107"/>
    <mergeCell ref="CD107:CG107"/>
    <mergeCell ref="CH107:CK107"/>
    <mergeCell ref="CL107:CO107"/>
    <mergeCell ref="AT107:AW107"/>
    <mergeCell ref="AX107:BA107"/>
    <mergeCell ref="ED108:EG108"/>
    <mergeCell ref="EH108:EK108"/>
    <mergeCell ref="EL108:EO108"/>
    <mergeCell ref="EP108:ES108"/>
    <mergeCell ref="F109:I109"/>
    <mergeCell ref="J109:M109"/>
    <mergeCell ref="N109:Q109"/>
    <mergeCell ref="R109:U109"/>
    <mergeCell ref="V109:Y109"/>
    <mergeCell ref="Z109:AC109"/>
    <mergeCell ref="DF108:DI108"/>
    <mergeCell ref="DJ108:DM108"/>
    <mergeCell ref="DN108:DQ108"/>
    <mergeCell ref="DR108:DU108"/>
    <mergeCell ref="DV108:DY108"/>
    <mergeCell ref="DZ108:EC108"/>
    <mergeCell ref="CH108:CK108"/>
    <mergeCell ref="CL108:CO108"/>
    <mergeCell ref="CP108:CS108"/>
    <mergeCell ref="CT108:CW108"/>
    <mergeCell ref="CX108:DA108"/>
    <mergeCell ref="DB108:DE108"/>
    <mergeCell ref="BJ108:BM108"/>
    <mergeCell ref="BN108:BQ108"/>
    <mergeCell ref="BR108:BU108"/>
    <mergeCell ref="BV108:BY108"/>
    <mergeCell ref="BZ108:CC108"/>
    <mergeCell ref="CD108:CG108"/>
    <mergeCell ref="AL108:AO108"/>
    <mergeCell ref="AP108:AS108"/>
    <mergeCell ref="AT108:AW108"/>
    <mergeCell ref="AX108:BA108"/>
    <mergeCell ref="DZ109:EC109"/>
    <mergeCell ref="ED109:EG109"/>
    <mergeCell ref="EH109:EK109"/>
    <mergeCell ref="EL109:EO109"/>
    <mergeCell ref="EP109:ES109"/>
    <mergeCell ref="CX109:DA109"/>
    <mergeCell ref="DB109:DE109"/>
    <mergeCell ref="DF109:DI109"/>
    <mergeCell ref="DJ109:DM109"/>
    <mergeCell ref="DN109:DQ109"/>
    <mergeCell ref="DR109:DU109"/>
    <mergeCell ref="BZ109:CC109"/>
    <mergeCell ref="CD109:CG109"/>
    <mergeCell ref="CH109:CK109"/>
    <mergeCell ref="CL109:CO109"/>
    <mergeCell ref="CP109:CS109"/>
    <mergeCell ref="CT109:CW109"/>
    <mergeCell ref="Z110:AC110"/>
    <mergeCell ref="AD110:AG110"/>
    <mergeCell ref="AH110:AK110"/>
    <mergeCell ref="AL110:AO110"/>
    <mergeCell ref="AP110:AS110"/>
    <mergeCell ref="AT110:AW110"/>
    <mergeCell ref="B110:B112"/>
    <mergeCell ref="F110:I110"/>
    <mergeCell ref="J110:M110"/>
    <mergeCell ref="N110:Q110"/>
    <mergeCell ref="R110:U110"/>
    <mergeCell ref="V110:Y110"/>
    <mergeCell ref="DV109:DY109"/>
    <mergeCell ref="BB109:BE109"/>
    <mergeCell ref="BF109:BI109"/>
    <mergeCell ref="BJ109:BM109"/>
    <mergeCell ref="BN109:BQ109"/>
    <mergeCell ref="BR109:BU109"/>
    <mergeCell ref="BV109:BY109"/>
    <mergeCell ref="AD109:AG109"/>
    <mergeCell ref="AH109:AK109"/>
    <mergeCell ref="AL109:AO109"/>
    <mergeCell ref="AP109:AS109"/>
    <mergeCell ref="AT109:AW109"/>
    <mergeCell ref="AX109:BA109"/>
    <mergeCell ref="BF111:BI111"/>
    <mergeCell ref="BJ111:BM111"/>
    <mergeCell ref="DB110:DE110"/>
    <mergeCell ref="DF110:DI110"/>
    <mergeCell ref="DJ110:DM110"/>
    <mergeCell ref="DN110:DQ110"/>
    <mergeCell ref="BV110:BY110"/>
    <mergeCell ref="BZ110:CC110"/>
    <mergeCell ref="CD110:CG110"/>
    <mergeCell ref="CH110:CK110"/>
    <mergeCell ref="CL110:CO110"/>
    <mergeCell ref="CP110:CS110"/>
    <mergeCell ref="AX110:BA110"/>
    <mergeCell ref="BB110:BE110"/>
    <mergeCell ref="EH111:EK111"/>
    <mergeCell ref="EL111:EO111"/>
    <mergeCell ref="BF110:BI110"/>
    <mergeCell ref="BJ110:BM110"/>
    <mergeCell ref="BN110:BQ110"/>
    <mergeCell ref="BR110:BU110"/>
    <mergeCell ref="DB111:DE111"/>
    <mergeCell ref="DF111:DI111"/>
    <mergeCell ref="BN111:BQ111"/>
    <mergeCell ref="BR111:BU111"/>
    <mergeCell ref="BV111:BY111"/>
    <mergeCell ref="BZ111:CC111"/>
    <mergeCell ref="CD111:CG111"/>
    <mergeCell ref="CH111:CK111"/>
    <mergeCell ref="AH113:AK113"/>
    <mergeCell ref="AL113:AO113"/>
    <mergeCell ref="AP113:AS113"/>
    <mergeCell ref="DZ112:EC112"/>
    <mergeCell ref="ED112:EG112"/>
    <mergeCell ref="EH112:EK112"/>
    <mergeCell ref="AP111:AS111"/>
    <mergeCell ref="AT111:AW111"/>
    <mergeCell ref="AX111:BA111"/>
    <mergeCell ref="BB111:BE111"/>
    <mergeCell ref="EL112:EO112"/>
    <mergeCell ref="EP112:ES112"/>
    <mergeCell ref="EP110:ES110"/>
    <mergeCell ref="F111:I111"/>
    <mergeCell ref="J111:M111"/>
    <mergeCell ref="N111:Q111"/>
    <mergeCell ref="R111:U111"/>
    <mergeCell ref="V111:Y111"/>
    <mergeCell ref="Z111:AC111"/>
    <mergeCell ref="AD111:AG111"/>
    <mergeCell ref="AH111:AK111"/>
    <mergeCell ref="AL111:AO111"/>
    <mergeCell ref="DR110:DU110"/>
    <mergeCell ref="DV110:DY110"/>
    <mergeCell ref="DZ110:EC110"/>
    <mergeCell ref="ED110:EG110"/>
    <mergeCell ref="EH110:EK110"/>
    <mergeCell ref="EL110:EO110"/>
    <mergeCell ref="CT110:CW110"/>
    <mergeCell ref="CX110:DA110"/>
    <mergeCell ref="BJ112:BM112"/>
    <mergeCell ref="BN112:BQ112"/>
    <mergeCell ref="EP111:ES111"/>
    <mergeCell ref="F112:I112"/>
    <mergeCell ref="J112:M112"/>
    <mergeCell ref="N112:Q112"/>
    <mergeCell ref="R112:U112"/>
    <mergeCell ref="V112:Y112"/>
    <mergeCell ref="Z112:AC112"/>
    <mergeCell ref="AD112:AG112"/>
    <mergeCell ref="DJ111:DM111"/>
    <mergeCell ref="DN111:DQ111"/>
    <mergeCell ref="DR111:DU111"/>
    <mergeCell ref="DV111:DY111"/>
    <mergeCell ref="DZ111:EC111"/>
    <mergeCell ref="ED111:EG111"/>
    <mergeCell ref="CL111:CO111"/>
    <mergeCell ref="CP111:CS111"/>
    <mergeCell ref="CT111:CW111"/>
    <mergeCell ref="CX111:DA111"/>
    <mergeCell ref="BR112:BU112"/>
    <mergeCell ref="BV112:BY112"/>
    <mergeCell ref="BZ112:CC112"/>
    <mergeCell ref="AH112:AK112"/>
    <mergeCell ref="AL112:AO112"/>
    <mergeCell ref="AP112:AS112"/>
    <mergeCell ref="BB114:BE114"/>
    <mergeCell ref="BF114:BI114"/>
    <mergeCell ref="B113:B115"/>
    <mergeCell ref="F113:I113"/>
    <mergeCell ref="J113:M113"/>
    <mergeCell ref="N113:Q113"/>
    <mergeCell ref="R113:U113"/>
    <mergeCell ref="DB112:DE112"/>
    <mergeCell ref="DF112:DI112"/>
    <mergeCell ref="DJ112:DM112"/>
    <mergeCell ref="DN112:DQ112"/>
    <mergeCell ref="DR112:DU112"/>
    <mergeCell ref="DV112:DY112"/>
    <mergeCell ref="CD112:CG112"/>
    <mergeCell ref="CH112:CK112"/>
    <mergeCell ref="CL112:CO112"/>
    <mergeCell ref="CP112:CS112"/>
    <mergeCell ref="CT112:CW112"/>
    <mergeCell ref="CX112:DA112"/>
    <mergeCell ref="BF112:BI112"/>
    <mergeCell ref="AL115:AO115"/>
    <mergeCell ref="AP115:AS115"/>
    <mergeCell ref="AT115:AW115"/>
    <mergeCell ref="AX115:BA115"/>
    <mergeCell ref="AT112:AW112"/>
    <mergeCell ref="AX112:BA112"/>
    <mergeCell ref="BB112:BE112"/>
    <mergeCell ref="CH113:CK113"/>
    <mergeCell ref="CL113:CO113"/>
    <mergeCell ref="AT113:AW113"/>
    <mergeCell ref="Z113:AC113"/>
    <mergeCell ref="AD113:AG113"/>
    <mergeCell ref="EL113:EO113"/>
    <mergeCell ref="EP113:ES113"/>
    <mergeCell ref="F114:I114"/>
    <mergeCell ref="J114:M114"/>
    <mergeCell ref="N114:Q114"/>
    <mergeCell ref="R114:U114"/>
    <mergeCell ref="V114:Y114"/>
    <mergeCell ref="Z114:AC114"/>
    <mergeCell ref="AD114:AG114"/>
    <mergeCell ref="AH114:AK114"/>
    <mergeCell ref="DN113:DQ113"/>
    <mergeCell ref="DR113:DU113"/>
    <mergeCell ref="DV113:DY113"/>
    <mergeCell ref="DZ113:EC113"/>
    <mergeCell ref="ED113:EG113"/>
    <mergeCell ref="EH113:EK113"/>
    <mergeCell ref="CP113:CS113"/>
    <mergeCell ref="CT113:CW113"/>
    <mergeCell ref="CX113:DA113"/>
    <mergeCell ref="DB113:DE113"/>
    <mergeCell ref="DF113:DI113"/>
    <mergeCell ref="DJ113:DM113"/>
    <mergeCell ref="BR113:BU113"/>
    <mergeCell ref="BV113:BY113"/>
    <mergeCell ref="BZ113:CC113"/>
    <mergeCell ref="CD113:CG113"/>
    <mergeCell ref="AX113:BA113"/>
    <mergeCell ref="BB113:BE113"/>
    <mergeCell ref="BF113:BI113"/>
    <mergeCell ref="BJ113:BM113"/>
    <mergeCell ref="BN113:BQ113"/>
    <mergeCell ref="V113:Y113"/>
    <mergeCell ref="ED114:EG114"/>
    <mergeCell ref="EH114:EK114"/>
    <mergeCell ref="EL114:EO114"/>
    <mergeCell ref="EP114:ES114"/>
    <mergeCell ref="F115:I115"/>
    <mergeCell ref="J115:M115"/>
    <mergeCell ref="N115:Q115"/>
    <mergeCell ref="R115:U115"/>
    <mergeCell ref="V115:Y115"/>
    <mergeCell ref="Z115:AC115"/>
    <mergeCell ref="DF114:DI114"/>
    <mergeCell ref="DJ114:DM114"/>
    <mergeCell ref="DN114:DQ114"/>
    <mergeCell ref="DR114:DU114"/>
    <mergeCell ref="DV114:DY114"/>
    <mergeCell ref="DZ114:EC114"/>
    <mergeCell ref="CH114:CK114"/>
    <mergeCell ref="CL114:CO114"/>
    <mergeCell ref="CP114:CS114"/>
    <mergeCell ref="CT114:CW114"/>
    <mergeCell ref="CX114:DA114"/>
    <mergeCell ref="DB114:DE114"/>
    <mergeCell ref="BJ114:BM114"/>
    <mergeCell ref="BN114:BQ114"/>
    <mergeCell ref="BR114:BU114"/>
    <mergeCell ref="BV114:BY114"/>
    <mergeCell ref="BZ114:CC114"/>
    <mergeCell ref="CD114:CG114"/>
    <mergeCell ref="AL114:AO114"/>
    <mergeCell ref="AP114:AS114"/>
    <mergeCell ref="AT114:AW114"/>
    <mergeCell ref="AX114:BA114"/>
    <mergeCell ref="B116:D118"/>
    <mergeCell ref="F116:I116"/>
    <mergeCell ref="J116:M116"/>
    <mergeCell ref="N116:Q116"/>
    <mergeCell ref="R116:U116"/>
    <mergeCell ref="V116:Y116"/>
    <mergeCell ref="DV115:DY115"/>
    <mergeCell ref="DZ115:EC115"/>
    <mergeCell ref="ED115:EG115"/>
    <mergeCell ref="EH115:EK115"/>
    <mergeCell ref="EL115:EO115"/>
    <mergeCell ref="EP115:ES115"/>
    <mergeCell ref="CX115:DA115"/>
    <mergeCell ref="DB115:DE115"/>
    <mergeCell ref="DF115:DI115"/>
    <mergeCell ref="DJ115:DM115"/>
    <mergeCell ref="DN115:DQ115"/>
    <mergeCell ref="DR115:DU115"/>
    <mergeCell ref="BZ115:CC115"/>
    <mergeCell ref="CD115:CG115"/>
    <mergeCell ref="CH115:CK115"/>
    <mergeCell ref="CL115:CO115"/>
    <mergeCell ref="CP115:CS115"/>
    <mergeCell ref="CT115:CW115"/>
    <mergeCell ref="BB115:BE115"/>
    <mergeCell ref="BF115:BI115"/>
    <mergeCell ref="BJ115:BM115"/>
    <mergeCell ref="BN115:BQ115"/>
    <mergeCell ref="BR115:BU115"/>
    <mergeCell ref="BV115:BY115"/>
    <mergeCell ref="AD115:AG115"/>
    <mergeCell ref="AH115:AK115"/>
    <mergeCell ref="DB116:DE116"/>
    <mergeCell ref="DF116:DI116"/>
    <mergeCell ref="DJ116:DM116"/>
    <mergeCell ref="DN116:DQ116"/>
    <mergeCell ref="BV116:BY116"/>
    <mergeCell ref="BZ116:CC116"/>
    <mergeCell ref="CD116:CG116"/>
    <mergeCell ref="CH116:CK116"/>
    <mergeCell ref="CL116:CO116"/>
    <mergeCell ref="CP116:CS116"/>
    <mergeCell ref="AX116:BA116"/>
    <mergeCell ref="BB116:BE116"/>
    <mergeCell ref="BF116:BI116"/>
    <mergeCell ref="BJ116:BM116"/>
    <mergeCell ref="BN116:BQ116"/>
    <mergeCell ref="BR116:BU116"/>
    <mergeCell ref="Z116:AC116"/>
    <mergeCell ref="AD116:AG116"/>
    <mergeCell ref="AH116:AK116"/>
    <mergeCell ref="AL116:AO116"/>
    <mergeCell ref="AP116:AS116"/>
    <mergeCell ref="AT116:AW116"/>
    <mergeCell ref="DB117:DE117"/>
    <mergeCell ref="DF117:DI117"/>
    <mergeCell ref="BN117:BQ117"/>
    <mergeCell ref="BR117:BU117"/>
    <mergeCell ref="BV117:BY117"/>
    <mergeCell ref="BZ117:CC117"/>
    <mergeCell ref="CD117:CG117"/>
    <mergeCell ref="CH117:CK117"/>
    <mergeCell ref="AP117:AS117"/>
    <mergeCell ref="AT117:AW117"/>
    <mergeCell ref="AX117:BA117"/>
    <mergeCell ref="BB117:BE117"/>
    <mergeCell ref="BF117:BI117"/>
    <mergeCell ref="BJ117:BM117"/>
    <mergeCell ref="EP116:ES116"/>
    <mergeCell ref="F117:I117"/>
    <mergeCell ref="J117:M117"/>
    <mergeCell ref="N117:Q117"/>
    <mergeCell ref="R117:U117"/>
    <mergeCell ref="V117:Y117"/>
    <mergeCell ref="Z117:AC117"/>
    <mergeCell ref="AD117:AG117"/>
    <mergeCell ref="AH117:AK117"/>
    <mergeCell ref="AL117:AO117"/>
    <mergeCell ref="DR116:DU116"/>
    <mergeCell ref="DV116:DY116"/>
    <mergeCell ref="DZ116:EC116"/>
    <mergeCell ref="ED116:EG116"/>
    <mergeCell ref="EH116:EK116"/>
    <mergeCell ref="EL116:EO116"/>
    <mergeCell ref="CT116:CW116"/>
    <mergeCell ref="CX116:DA116"/>
    <mergeCell ref="BF118:BI118"/>
    <mergeCell ref="BJ118:BM118"/>
    <mergeCell ref="BN118:BQ118"/>
    <mergeCell ref="BR118:BU118"/>
    <mergeCell ref="BV118:BY118"/>
    <mergeCell ref="BZ118:CC118"/>
    <mergeCell ref="AH118:AK118"/>
    <mergeCell ref="AL118:AO118"/>
    <mergeCell ref="AP118:AS118"/>
    <mergeCell ref="AT118:AW118"/>
    <mergeCell ref="AX118:BA118"/>
    <mergeCell ref="BB118:BE118"/>
    <mergeCell ref="EH117:EK117"/>
    <mergeCell ref="EL117:EO117"/>
    <mergeCell ref="EP117:ES117"/>
    <mergeCell ref="F118:I118"/>
    <mergeCell ref="J118:M118"/>
    <mergeCell ref="N118:Q118"/>
    <mergeCell ref="R118:U118"/>
    <mergeCell ref="V118:Y118"/>
    <mergeCell ref="Z118:AC118"/>
    <mergeCell ref="AD118:AG118"/>
    <mergeCell ref="DJ117:DM117"/>
    <mergeCell ref="DN117:DQ117"/>
    <mergeCell ref="DR117:DU117"/>
    <mergeCell ref="DV117:DY117"/>
    <mergeCell ref="DZ117:EC117"/>
    <mergeCell ref="ED117:EG117"/>
    <mergeCell ref="CL117:CO117"/>
    <mergeCell ref="CP117:CS117"/>
    <mergeCell ref="CT117:CW117"/>
    <mergeCell ref="CX117:DA117"/>
    <mergeCell ref="DZ118:EC118"/>
    <mergeCell ref="ED118:EG118"/>
    <mergeCell ref="EH118:EK118"/>
    <mergeCell ref="EL118:EO118"/>
    <mergeCell ref="EP118:ES118"/>
    <mergeCell ref="DB118:DE118"/>
    <mergeCell ref="DF118:DI118"/>
    <mergeCell ref="DJ118:DM118"/>
    <mergeCell ref="DN118:DQ118"/>
    <mergeCell ref="DR118:DU118"/>
    <mergeCell ref="DV118:DY118"/>
    <mergeCell ref="CD118:CG118"/>
    <mergeCell ref="CH118:CK118"/>
    <mergeCell ref="CL118:CO118"/>
    <mergeCell ref="CP118:CS118"/>
    <mergeCell ref="CT118:CW118"/>
    <mergeCell ref="CX118:DA118"/>
  </mergeCells>
  <phoneticPr fontId="3"/>
  <dataValidations count="1">
    <dataValidation type="list" allowBlank="1" showInputMessage="1" showErrorMessage="1" sqref="B113:B115 B107:B110 B83 B80 B98:B104 B86:B95 B65:B77 B21:B56">
      <formula1>担当者名</formula1>
    </dataValidation>
  </dataValidations>
  <hyperlinks>
    <hyperlink ref="B2" location="要員計画!A1" display="TOPへ"/>
  </hyperlinks>
  <printOptions horizontalCentered="1"/>
  <pageMargins left="0.19685039370078741" right="0.19685039370078741" top="0.59055118110236227" bottom="0.59055118110236227" header="0.39370078740157483" footer="0.31496062992125984"/>
  <pageSetup paperSize="9" scale="65" fitToHeight="0" orientation="landscape" r:id="rId1"/>
  <headerFooter alignWithMargins="0">
    <oddHeader>&amp;R&amp;D</oddHeader>
    <oddFooter>&amp;C&amp;P／&amp;N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A1:ET157"/>
  <sheetViews>
    <sheetView showGridLines="0" tabSelected="1" zoomScale="70" zoomScaleNormal="70" zoomScaleSheetLayoutView="100" workbookViewId="0">
      <selection activeCell="B1" sqref="B1"/>
    </sheetView>
  </sheetViews>
  <sheetFormatPr defaultColWidth="8.09765625" defaultRowHeight="18" outlineLevelRow="1" outlineLevelCol="1" x14ac:dyDescent="0.45"/>
  <cols>
    <col min="1" max="1" width="1.5" style="2" customWidth="1"/>
    <col min="2" max="2" width="18.59765625" style="2" customWidth="1"/>
    <col min="3" max="3" width="13.19921875" style="2" customWidth="1"/>
    <col min="4" max="4" width="7.796875" style="2" customWidth="1"/>
    <col min="5" max="5" width="13.19921875" style="2" customWidth="1"/>
    <col min="6" max="53" width="2.796875" style="2" customWidth="1"/>
    <col min="54" max="149" width="2.796875" style="2" customWidth="1" outlineLevel="1"/>
    <col min="151" max="16384" width="8.09765625" style="2"/>
  </cols>
  <sheetData>
    <row r="1" spans="1:149" x14ac:dyDescent="0.45">
      <c r="A1" s="1" t="s">
        <v>61</v>
      </c>
    </row>
    <row r="2" spans="1:149" ht="18.600000000000001" thickBot="1" x14ac:dyDescent="0.5">
      <c r="B2" s="3" t="s">
        <v>0</v>
      </c>
    </row>
    <row r="3" spans="1:149" ht="20.100000000000001" customHeight="1" x14ac:dyDescent="0.45">
      <c r="B3" s="4" t="s">
        <v>1</v>
      </c>
      <c r="C3" s="5">
        <v>320250000</v>
      </c>
    </row>
    <row r="4" spans="1:149" ht="20.100000000000001" customHeight="1" x14ac:dyDescent="0.45">
      <c r="B4" s="6" t="s">
        <v>2</v>
      </c>
      <c r="C4" s="7">
        <f ca="1">E13</f>
        <v>339412500</v>
      </c>
      <c r="E4" s="8"/>
    </row>
    <row r="5" spans="1:149" ht="20.100000000000001" customHeight="1" x14ac:dyDescent="0.45">
      <c r="B5" s="6" t="s">
        <v>3</v>
      </c>
      <c r="C5" s="7">
        <f ca="1">E14</f>
        <v>160455000</v>
      </c>
    </row>
    <row r="6" spans="1:149" ht="20.100000000000001" customHeight="1" x14ac:dyDescent="0.45">
      <c r="B6" s="6" t="s">
        <v>4</v>
      </c>
      <c r="C6" s="7">
        <f ca="1">C3-C5</f>
        <v>159795000</v>
      </c>
    </row>
    <row r="7" spans="1:149" ht="20.100000000000001" customHeight="1" thickBot="1" x14ac:dyDescent="0.5">
      <c r="B7" s="9" t="s">
        <v>5</v>
      </c>
      <c r="C7" s="10">
        <f ca="1">IF(C3=0,0,C6/C3)</f>
        <v>0.4989695550351288</v>
      </c>
    </row>
    <row r="9" spans="1:149" x14ac:dyDescent="0.45">
      <c r="B9" s="120"/>
      <c r="C9" s="120"/>
      <c r="D9" s="120"/>
      <c r="E9" s="120"/>
      <c r="F9" s="85" t="s">
        <v>6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7"/>
      <c r="BB9" s="85" t="s">
        <v>30</v>
      </c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7"/>
      <c r="CX9" s="85" t="s">
        <v>31</v>
      </c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7"/>
    </row>
    <row r="10" spans="1:149" x14ac:dyDescent="0.45">
      <c r="B10" s="90"/>
      <c r="C10" s="90"/>
      <c r="D10" s="90"/>
      <c r="E10" s="90"/>
      <c r="F10" s="82" t="s">
        <v>7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2" t="s">
        <v>8</v>
      </c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2" t="s">
        <v>9</v>
      </c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2" t="s">
        <v>10</v>
      </c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2" t="s">
        <v>7</v>
      </c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2" t="s">
        <v>8</v>
      </c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2" t="s">
        <v>9</v>
      </c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2" t="s">
        <v>11</v>
      </c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4"/>
      <c r="CX10" s="82" t="s">
        <v>7</v>
      </c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2" t="s">
        <v>8</v>
      </c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2" t="s">
        <v>9</v>
      </c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2" t="s">
        <v>11</v>
      </c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4"/>
    </row>
    <row r="11" spans="1:149" x14ac:dyDescent="0.45">
      <c r="B11" s="120"/>
      <c r="C11" s="120"/>
      <c r="D11" s="120"/>
      <c r="E11" s="120"/>
      <c r="F11" s="81">
        <v>45017</v>
      </c>
      <c r="G11" s="79"/>
      <c r="H11" s="79"/>
      <c r="I11" s="79"/>
      <c r="J11" s="79">
        <v>45047</v>
      </c>
      <c r="K11" s="79"/>
      <c r="L11" s="79"/>
      <c r="M11" s="79"/>
      <c r="N11" s="79">
        <v>45078</v>
      </c>
      <c r="O11" s="79"/>
      <c r="P11" s="79"/>
      <c r="Q11" s="80"/>
      <c r="R11" s="81">
        <v>45108</v>
      </c>
      <c r="S11" s="79"/>
      <c r="T11" s="79"/>
      <c r="U11" s="79"/>
      <c r="V11" s="79">
        <v>45139</v>
      </c>
      <c r="W11" s="79"/>
      <c r="X11" s="79"/>
      <c r="Y11" s="79"/>
      <c r="Z11" s="79">
        <v>45170</v>
      </c>
      <c r="AA11" s="79"/>
      <c r="AB11" s="79"/>
      <c r="AC11" s="80"/>
      <c r="AD11" s="81">
        <v>45200</v>
      </c>
      <c r="AE11" s="79"/>
      <c r="AF11" s="79"/>
      <c r="AG11" s="79"/>
      <c r="AH11" s="79">
        <v>45231</v>
      </c>
      <c r="AI11" s="79"/>
      <c r="AJ11" s="79"/>
      <c r="AK11" s="79"/>
      <c r="AL11" s="79">
        <v>45261</v>
      </c>
      <c r="AM11" s="79"/>
      <c r="AN11" s="79"/>
      <c r="AO11" s="80"/>
      <c r="AP11" s="81">
        <v>45292</v>
      </c>
      <c r="AQ11" s="79"/>
      <c r="AR11" s="79"/>
      <c r="AS11" s="79"/>
      <c r="AT11" s="79">
        <v>45323</v>
      </c>
      <c r="AU11" s="79"/>
      <c r="AV11" s="79"/>
      <c r="AW11" s="79"/>
      <c r="AX11" s="79">
        <v>45352</v>
      </c>
      <c r="AY11" s="79"/>
      <c r="AZ11" s="79"/>
      <c r="BA11" s="80"/>
      <c r="BB11" s="81">
        <v>45383</v>
      </c>
      <c r="BC11" s="79"/>
      <c r="BD11" s="79"/>
      <c r="BE11" s="79"/>
      <c r="BF11" s="79">
        <v>45413</v>
      </c>
      <c r="BG11" s="79"/>
      <c r="BH11" s="79"/>
      <c r="BI11" s="79"/>
      <c r="BJ11" s="79">
        <v>45444</v>
      </c>
      <c r="BK11" s="79"/>
      <c r="BL11" s="79"/>
      <c r="BM11" s="80"/>
      <c r="BN11" s="81">
        <v>45474</v>
      </c>
      <c r="BO11" s="79"/>
      <c r="BP11" s="79"/>
      <c r="BQ11" s="79"/>
      <c r="BR11" s="79">
        <v>45505</v>
      </c>
      <c r="BS11" s="79"/>
      <c r="BT11" s="79"/>
      <c r="BU11" s="79"/>
      <c r="BV11" s="79">
        <v>45536</v>
      </c>
      <c r="BW11" s="79"/>
      <c r="BX11" s="79"/>
      <c r="BY11" s="80"/>
      <c r="BZ11" s="81">
        <v>45566</v>
      </c>
      <c r="CA11" s="79"/>
      <c r="CB11" s="79"/>
      <c r="CC11" s="79"/>
      <c r="CD11" s="79">
        <v>45597</v>
      </c>
      <c r="CE11" s="79"/>
      <c r="CF11" s="79"/>
      <c r="CG11" s="79"/>
      <c r="CH11" s="79">
        <v>45627</v>
      </c>
      <c r="CI11" s="79"/>
      <c r="CJ11" s="79"/>
      <c r="CK11" s="80"/>
      <c r="CL11" s="81">
        <v>45658</v>
      </c>
      <c r="CM11" s="79"/>
      <c r="CN11" s="79"/>
      <c r="CO11" s="79"/>
      <c r="CP11" s="79">
        <v>45689</v>
      </c>
      <c r="CQ11" s="79"/>
      <c r="CR11" s="79"/>
      <c r="CS11" s="79"/>
      <c r="CT11" s="79">
        <v>45717</v>
      </c>
      <c r="CU11" s="79"/>
      <c r="CV11" s="79"/>
      <c r="CW11" s="80"/>
      <c r="CX11" s="81">
        <v>45383</v>
      </c>
      <c r="CY11" s="79"/>
      <c r="CZ11" s="79"/>
      <c r="DA11" s="79"/>
      <c r="DB11" s="79">
        <v>45413</v>
      </c>
      <c r="DC11" s="79"/>
      <c r="DD11" s="79"/>
      <c r="DE11" s="79"/>
      <c r="DF11" s="79">
        <v>45444</v>
      </c>
      <c r="DG11" s="79"/>
      <c r="DH11" s="79"/>
      <c r="DI11" s="80"/>
      <c r="DJ11" s="81">
        <v>45474</v>
      </c>
      <c r="DK11" s="79"/>
      <c r="DL11" s="79"/>
      <c r="DM11" s="79"/>
      <c r="DN11" s="79">
        <v>45505</v>
      </c>
      <c r="DO11" s="79"/>
      <c r="DP11" s="79"/>
      <c r="DQ11" s="79"/>
      <c r="DR11" s="79">
        <v>45536</v>
      </c>
      <c r="DS11" s="79"/>
      <c r="DT11" s="79"/>
      <c r="DU11" s="80"/>
      <c r="DV11" s="81">
        <v>45566</v>
      </c>
      <c r="DW11" s="79"/>
      <c r="DX11" s="79"/>
      <c r="DY11" s="79"/>
      <c r="DZ11" s="79">
        <v>45597</v>
      </c>
      <c r="EA11" s="79"/>
      <c r="EB11" s="79"/>
      <c r="EC11" s="79"/>
      <c r="ED11" s="79">
        <v>45627</v>
      </c>
      <c r="EE11" s="79"/>
      <c r="EF11" s="79"/>
      <c r="EG11" s="80"/>
      <c r="EH11" s="81">
        <v>45658</v>
      </c>
      <c r="EI11" s="79"/>
      <c r="EJ11" s="79"/>
      <c r="EK11" s="79"/>
      <c r="EL11" s="79">
        <v>45689</v>
      </c>
      <c r="EM11" s="79"/>
      <c r="EN11" s="79"/>
      <c r="EO11" s="79"/>
      <c r="EP11" s="79">
        <v>45717</v>
      </c>
      <c r="EQ11" s="79"/>
      <c r="ER11" s="79"/>
      <c r="ES11" s="80"/>
    </row>
    <row r="12" spans="1:149" ht="13.5" customHeight="1" x14ac:dyDescent="0.45">
      <c r="B12" s="110" t="s">
        <v>12</v>
      </c>
      <c r="C12" s="111"/>
      <c r="D12" s="11" t="s">
        <v>13</v>
      </c>
      <c r="E12" s="12">
        <f ca="1">SUM(F12:ES12)</f>
        <v>315.75</v>
      </c>
      <c r="F12" s="109">
        <f ca="1">F57+F155</f>
        <v>5</v>
      </c>
      <c r="G12" s="107"/>
      <c r="H12" s="107"/>
      <c r="I12" s="107"/>
      <c r="J12" s="107">
        <f ca="1">J57+J155</f>
        <v>5</v>
      </c>
      <c r="K12" s="107"/>
      <c r="L12" s="107"/>
      <c r="M12" s="107"/>
      <c r="N12" s="107">
        <f ca="1">N57+N155</f>
        <v>9.5</v>
      </c>
      <c r="O12" s="107"/>
      <c r="P12" s="107"/>
      <c r="Q12" s="108"/>
      <c r="R12" s="116">
        <f ca="1">R57+R155</f>
        <v>9.5</v>
      </c>
      <c r="S12" s="117"/>
      <c r="T12" s="117"/>
      <c r="U12" s="118"/>
      <c r="V12" s="116">
        <f ca="1">V57+V155</f>
        <v>10.5</v>
      </c>
      <c r="W12" s="117"/>
      <c r="X12" s="117"/>
      <c r="Y12" s="119"/>
      <c r="Z12" s="107">
        <f ca="1">Z57+Z155</f>
        <v>19.5</v>
      </c>
      <c r="AA12" s="107"/>
      <c r="AB12" s="107"/>
      <c r="AC12" s="108"/>
      <c r="AD12" s="109">
        <f ca="1">AD57+AD155</f>
        <v>24.25</v>
      </c>
      <c r="AE12" s="107"/>
      <c r="AF12" s="107"/>
      <c r="AG12" s="107"/>
      <c r="AH12" s="107">
        <f ca="1">AH57+AH155</f>
        <v>22.5</v>
      </c>
      <c r="AI12" s="107"/>
      <c r="AJ12" s="107"/>
      <c r="AK12" s="107"/>
      <c r="AL12" s="107">
        <f ca="1">AL57+AL155</f>
        <v>22.5</v>
      </c>
      <c r="AM12" s="107"/>
      <c r="AN12" s="107"/>
      <c r="AO12" s="108"/>
      <c r="AP12" s="107">
        <f ca="1">AP57+AP155</f>
        <v>22.5</v>
      </c>
      <c r="AQ12" s="107"/>
      <c r="AR12" s="107"/>
      <c r="AS12" s="107"/>
      <c r="AT12" s="107">
        <f ca="1">AT57+AT155</f>
        <v>22.5</v>
      </c>
      <c r="AU12" s="107"/>
      <c r="AV12" s="107"/>
      <c r="AW12" s="107"/>
      <c r="AX12" s="107">
        <f ca="1">AX57+AX155</f>
        <v>22.5</v>
      </c>
      <c r="AY12" s="107"/>
      <c r="AZ12" s="107"/>
      <c r="BA12" s="108"/>
      <c r="BB12" s="109">
        <f ca="1">BB57+BB155</f>
        <v>24.5</v>
      </c>
      <c r="BC12" s="107"/>
      <c r="BD12" s="107"/>
      <c r="BE12" s="107"/>
      <c r="BF12" s="107">
        <f ca="1">BF57+BF155</f>
        <v>24.5</v>
      </c>
      <c r="BG12" s="107"/>
      <c r="BH12" s="107"/>
      <c r="BI12" s="107"/>
      <c r="BJ12" s="107">
        <f ca="1">BJ57+BJ155</f>
        <v>19.5</v>
      </c>
      <c r="BK12" s="107"/>
      <c r="BL12" s="107"/>
      <c r="BM12" s="108"/>
      <c r="BN12" s="109">
        <f ca="1">BN57+BN155</f>
        <v>19</v>
      </c>
      <c r="BO12" s="107"/>
      <c r="BP12" s="107"/>
      <c r="BQ12" s="107"/>
      <c r="BR12" s="107">
        <f ca="1">BR57+BR155</f>
        <v>7</v>
      </c>
      <c r="BS12" s="107"/>
      <c r="BT12" s="107"/>
      <c r="BU12" s="107"/>
      <c r="BV12" s="107">
        <f ca="1">BV57+BV155</f>
        <v>7</v>
      </c>
      <c r="BW12" s="107"/>
      <c r="BX12" s="107"/>
      <c r="BY12" s="108"/>
      <c r="BZ12" s="109">
        <f ca="1">BZ57+BZ155</f>
        <v>7</v>
      </c>
      <c r="CA12" s="107"/>
      <c r="CB12" s="107"/>
      <c r="CC12" s="107"/>
      <c r="CD12" s="107">
        <f ca="1">CD57+CD155</f>
        <v>7</v>
      </c>
      <c r="CE12" s="107"/>
      <c r="CF12" s="107"/>
      <c r="CG12" s="107"/>
      <c r="CH12" s="107">
        <f ca="1">CH57+CH155</f>
        <v>4.5</v>
      </c>
      <c r="CI12" s="107"/>
      <c r="CJ12" s="107"/>
      <c r="CK12" s="108"/>
      <c r="CL12" s="109">
        <f ca="1">CL57+CL155</f>
        <v>0</v>
      </c>
      <c r="CM12" s="107"/>
      <c r="CN12" s="107"/>
      <c r="CO12" s="107"/>
      <c r="CP12" s="107">
        <f ca="1">CP57+CP155</f>
        <v>0</v>
      </c>
      <c r="CQ12" s="107"/>
      <c r="CR12" s="107"/>
      <c r="CS12" s="107"/>
      <c r="CT12" s="107">
        <f ca="1">CT57+CT155</f>
        <v>0</v>
      </c>
      <c r="CU12" s="107"/>
      <c r="CV12" s="107"/>
      <c r="CW12" s="108"/>
      <c r="CX12" s="109">
        <f ca="1">CX57+CX155</f>
        <v>0</v>
      </c>
      <c r="CY12" s="107"/>
      <c r="CZ12" s="107"/>
      <c r="DA12" s="107"/>
      <c r="DB12" s="107">
        <f ca="1">DB57+DB155</f>
        <v>0</v>
      </c>
      <c r="DC12" s="107"/>
      <c r="DD12" s="107"/>
      <c r="DE12" s="107"/>
      <c r="DF12" s="107">
        <f ca="1">DF57+DF155</f>
        <v>0</v>
      </c>
      <c r="DG12" s="107"/>
      <c r="DH12" s="107"/>
      <c r="DI12" s="108"/>
      <c r="DJ12" s="109">
        <f ca="1">DJ57+DJ155</f>
        <v>0</v>
      </c>
      <c r="DK12" s="107"/>
      <c r="DL12" s="107"/>
      <c r="DM12" s="107"/>
      <c r="DN12" s="107">
        <f ca="1">DN57+DN155</f>
        <v>0</v>
      </c>
      <c r="DO12" s="107"/>
      <c r="DP12" s="107"/>
      <c r="DQ12" s="107"/>
      <c r="DR12" s="107">
        <f ca="1">DR57+DR155</f>
        <v>0</v>
      </c>
      <c r="DS12" s="107"/>
      <c r="DT12" s="107"/>
      <c r="DU12" s="108"/>
      <c r="DV12" s="109">
        <f ca="1">DV57+DV155</f>
        <v>0</v>
      </c>
      <c r="DW12" s="107"/>
      <c r="DX12" s="107"/>
      <c r="DY12" s="107"/>
      <c r="DZ12" s="107">
        <f ca="1">DZ57+DZ155</f>
        <v>0</v>
      </c>
      <c r="EA12" s="107"/>
      <c r="EB12" s="107"/>
      <c r="EC12" s="107"/>
      <c r="ED12" s="107">
        <f ca="1">ED57+ED155</f>
        <v>0</v>
      </c>
      <c r="EE12" s="107"/>
      <c r="EF12" s="107"/>
      <c r="EG12" s="108"/>
      <c r="EH12" s="109">
        <f ca="1">EH57+EH155</f>
        <v>0</v>
      </c>
      <c r="EI12" s="107"/>
      <c r="EJ12" s="107"/>
      <c r="EK12" s="107"/>
      <c r="EL12" s="107">
        <f ca="1">EL57+EL155</f>
        <v>0</v>
      </c>
      <c r="EM12" s="107"/>
      <c r="EN12" s="107"/>
      <c r="EO12" s="107"/>
      <c r="EP12" s="107">
        <f ca="1">EP57+EP155</f>
        <v>0</v>
      </c>
      <c r="EQ12" s="107"/>
      <c r="ER12" s="107"/>
      <c r="ES12" s="108"/>
    </row>
    <row r="13" spans="1:149" ht="13.5" customHeight="1" x14ac:dyDescent="0.45">
      <c r="B13" s="112"/>
      <c r="C13" s="113"/>
      <c r="D13" s="13" t="s">
        <v>14</v>
      </c>
      <c r="E13" s="14">
        <f ca="1">SUM(F13:ES13)</f>
        <v>339412500</v>
      </c>
      <c r="F13" s="42">
        <f ca="1">F58+F156</f>
        <v>5425000</v>
      </c>
      <c r="G13" s="43"/>
      <c r="H13" s="43"/>
      <c r="I13" s="43"/>
      <c r="J13" s="43">
        <f ca="1">J58+J156</f>
        <v>5425000</v>
      </c>
      <c r="K13" s="43"/>
      <c r="L13" s="43"/>
      <c r="M13" s="43"/>
      <c r="N13" s="43">
        <f ca="1">N58+N156</f>
        <v>10150000</v>
      </c>
      <c r="O13" s="43"/>
      <c r="P13" s="43"/>
      <c r="Q13" s="44"/>
      <c r="R13" s="42">
        <f ca="1">R58+R156</f>
        <v>10150000</v>
      </c>
      <c r="S13" s="43"/>
      <c r="T13" s="43"/>
      <c r="U13" s="43"/>
      <c r="V13" s="104">
        <f ca="1">V58+V156</f>
        <v>11550000</v>
      </c>
      <c r="W13" s="105"/>
      <c r="X13" s="105"/>
      <c r="Y13" s="106"/>
      <c r="Z13" s="43">
        <f ca="1">Z58+Z156</f>
        <v>21000000</v>
      </c>
      <c r="AA13" s="43"/>
      <c r="AB13" s="43"/>
      <c r="AC13" s="44"/>
      <c r="AD13" s="42">
        <f ca="1">AD58+AD156</f>
        <v>25987500</v>
      </c>
      <c r="AE13" s="43"/>
      <c r="AF13" s="43"/>
      <c r="AG13" s="43"/>
      <c r="AH13" s="43">
        <f ca="1">AH58+AH156</f>
        <v>24150000</v>
      </c>
      <c r="AI13" s="43"/>
      <c r="AJ13" s="43"/>
      <c r="AK13" s="43"/>
      <c r="AL13" s="43">
        <f ca="1">AL58+AL156</f>
        <v>24150000</v>
      </c>
      <c r="AM13" s="43"/>
      <c r="AN13" s="43"/>
      <c r="AO13" s="44"/>
      <c r="AP13" s="42">
        <f ca="1">AP58+AP156</f>
        <v>24150000</v>
      </c>
      <c r="AQ13" s="43"/>
      <c r="AR13" s="43"/>
      <c r="AS13" s="43"/>
      <c r="AT13" s="43">
        <f ca="1">AT58+AT156</f>
        <v>24150000</v>
      </c>
      <c r="AU13" s="43"/>
      <c r="AV13" s="43"/>
      <c r="AW13" s="43"/>
      <c r="AX13" s="43">
        <f ca="1">AX58+AX156</f>
        <v>24150000</v>
      </c>
      <c r="AY13" s="43"/>
      <c r="AZ13" s="43"/>
      <c r="BA13" s="44"/>
      <c r="BB13" s="42">
        <f ca="1">BB58+BB156</f>
        <v>26250000</v>
      </c>
      <c r="BC13" s="43"/>
      <c r="BD13" s="43"/>
      <c r="BE13" s="43"/>
      <c r="BF13" s="43">
        <f ca="1">BF58+BF156</f>
        <v>26250000</v>
      </c>
      <c r="BG13" s="43"/>
      <c r="BH13" s="43"/>
      <c r="BI13" s="43"/>
      <c r="BJ13" s="43">
        <f ca="1">BJ58+BJ156</f>
        <v>21000000</v>
      </c>
      <c r="BK13" s="43"/>
      <c r="BL13" s="43"/>
      <c r="BM13" s="44"/>
      <c r="BN13" s="42">
        <f ca="1">BN58+BN156</f>
        <v>20475000</v>
      </c>
      <c r="BO13" s="43"/>
      <c r="BP13" s="43"/>
      <c r="BQ13" s="43"/>
      <c r="BR13" s="43">
        <f ca="1">BR58+BR156</f>
        <v>7525000</v>
      </c>
      <c r="BS13" s="43"/>
      <c r="BT13" s="43"/>
      <c r="BU13" s="43"/>
      <c r="BV13" s="43">
        <f ca="1">BV58+BV156</f>
        <v>7525000</v>
      </c>
      <c r="BW13" s="43"/>
      <c r="BX13" s="43"/>
      <c r="BY13" s="44"/>
      <c r="BZ13" s="42">
        <f ca="1">BZ58+BZ156</f>
        <v>7525000</v>
      </c>
      <c r="CA13" s="43"/>
      <c r="CB13" s="43"/>
      <c r="CC13" s="43"/>
      <c r="CD13" s="43">
        <f ca="1">CD58+CD156</f>
        <v>7525000</v>
      </c>
      <c r="CE13" s="43"/>
      <c r="CF13" s="43"/>
      <c r="CG13" s="43"/>
      <c r="CH13" s="43">
        <f ca="1">CH58+CH156</f>
        <v>4900000</v>
      </c>
      <c r="CI13" s="43"/>
      <c r="CJ13" s="43"/>
      <c r="CK13" s="44"/>
      <c r="CL13" s="42">
        <f ca="1">CL58+CL156</f>
        <v>0</v>
      </c>
      <c r="CM13" s="43"/>
      <c r="CN13" s="43"/>
      <c r="CO13" s="43"/>
      <c r="CP13" s="43">
        <f ca="1">CP58+CP156</f>
        <v>0</v>
      </c>
      <c r="CQ13" s="43"/>
      <c r="CR13" s="43"/>
      <c r="CS13" s="43"/>
      <c r="CT13" s="43">
        <f ca="1">CT58+CT156</f>
        <v>0</v>
      </c>
      <c r="CU13" s="43"/>
      <c r="CV13" s="43"/>
      <c r="CW13" s="44"/>
      <c r="CX13" s="42">
        <f ca="1">CX58+CX156</f>
        <v>0</v>
      </c>
      <c r="CY13" s="43"/>
      <c r="CZ13" s="43"/>
      <c r="DA13" s="43"/>
      <c r="DB13" s="43">
        <f ca="1">DB58+DB156</f>
        <v>0</v>
      </c>
      <c r="DC13" s="43"/>
      <c r="DD13" s="43"/>
      <c r="DE13" s="43"/>
      <c r="DF13" s="43">
        <f ca="1">DF58+DF156</f>
        <v>0</v>
      </c>
      <c r="DG13" s="43"/>
      <c r="DH13" s="43"/>
      <c r="DI13" s="44"/>
      <c r="DJ13" s="42">
        <f ca="1">DJ58+DJ156</f>
        <v>0</v>
      </c>
      <c r="DK13" s="43"/>
      <c r="DL13" s="43"/>
      <c r="DM13" s="43"/>
      <c r="DN13" s="43">
        <f ca="1">DN58+DN156</f>
        <v>0</v>
      </c>
      <c r="DO13" s="43"/>
      <c r="DP13" s="43"/>
      <c r="DQ13" s="43"/>
      <c r="DR13" s="43">
        <f ca="1">DR58+DR156</f>
        <v>0</v>
      </c>
      <c r="DS13" s="43"/>
      <c r="DT13" s="43"/>
      <c r="DU13" s="44"/>
      <c r="DV13" s="42">
        <f ca="1">DV58+DV156</f>
        <v>0</v>
      </c>
      <c r="DW13" s="43"/>
      <c r="DX13" s="43"/>
      <c r="DY13" s="43"/>
      <c r="DZ13" s="43">
        <f ca="1">DZ58+DZ156</f>
        <v>0</v>
      </c>
      <c r="EA13" s="43"/>
      <c r="EB13" s="43"/>
      <c r="EC13" s="43"/>
      <c r="ED13" s="43">
        <f ca="1">ED58+ED156</f>
        <v>0</v>
      </c>
      <c r="EE13" s="43"/>
      <c r="EF13" s="43"/>
      <c r="EG13" s="44"/>
      <c r="EH13" s="42">
        <f ca="1">EH58+EH156</f>
        <v>0</v>
      </c>
      <c r="EI13" s="43"/>
      <c r="EJ13" s="43"/>
      <c r="EK13" s="43"/>
      <c r="EL13" s="43">
        <f ca="1">EL58+EL156</f>
        <v>0</v>
      </c>
      <c r="EM13" s="43"/>
      <c r="EN13" s="43"/>
      <c r="EO13" s="43"/>
      <c r="EP13" s="43">
        <f ca="1">EP58+EP156</f>
        <v>0</v>
      </c>
      <c r="EQ13" s="43"/>
      <c r="ER13" s="43"/>
      <c r="ES13" s="44"/>
    </row>
    <row r="14" spans="1:149" ht="13.5" customHeight="1" x14ac:dyDescent="0.45">
      <c r="B14" s="112"/>
      <c r="C14" s="113"/>
      <c r="D14" s="13" t="s">
        <v>15</v>
      </c>
      <c r="E14" s="14">
        <f ca="1">SUM(F14:ES14)</f>
        <v>160455000</v>
      </c>
      <c r="F14" s="42">
        <f ca="1">F59+F157</f>
        <v>2580000</v>
      </c>
      <c r="G14" s="43"/>
      <c r="H14" s="43"/>
      <c r="I14" s="43"/>
      <c r="J14" s="43">
        <f ca="1">J59+J157</f>
        <v>2580000</v>
      </c>
      <c r="K14" s="43"/>
      <c r="L14" s="43"/>
      <c r="M14" s="43"/>
      <c r="N14" s="43">
        <f ca="1">N59+N157</f>
        <v>5430000</v>
      </c>
      <c r="O14" s="43"/>
      <c r="P14" s="43"/>
      <c r="Q14" s="44"/>
      <c r="R14" s="42">
        <f ca="1">R59+R157</f>
        <v>5430000</v>
      </c>
      <c r="S14" s="43"/>
      <c r="T14" s="43"/>
      <c r="U14" s="43"/>
      <c r="V14" s="104">
        <f ca="1">V59+V157</f>
        <v>6630000</v>
      </c>
      <c r="W14" s="105"/>
      <c r="X14" s="105"/>
      <c r="Y14" s="106"/>
      <c r="Z14" s="43">
        <f ca="1">Z59+Z157</f>
        <v>9980000</v>
      </c>
      <c r="AA14" s="43"/>
      <c r="AB14" s="43"/>
      <c r="AC14" s="44"/>
      <c r="AD14" s="42">
        <f ca="1">AD59+AD157</f>
        <v>11605000</v>
      </c>
      <c r="AE14" s="43"/>
      <c r="AF14" s="43"/>
      <c r="AG14" s="43"/>
      <c r="AH14" s="43">
        <f ca="1">AH59+AH157</f>
        <v>10730000</v>
      </c>
      <c r="AI14" s="43"/>
      <c r="AJ14" s="43"/>
      <c r="AK14" s="43"/>
      <c r="AL14" s="43">
        <f ca="1">AL59+AL157</f>
        <v>10730000</v>
      </c>
      <c r="AM14" s="43"/>
      <c r="AN14" s="43"/>
      <c r="AO14" s="44"/>
      <c r="AP14" s="42">
        <f ca="1">AP59+AP157</f>
        <v>10730000</v>
      </c>
      <c r="AQ14" s="43"/>
      <c r="AR14" s="43"/>
      <c r="AS14" s="43"/>
      <c r="AT14" s="43">
        <f ca="1">AT59+AT157</f>
        <v>10730000</v>
      </c>
      <c r="AU14" s="43"/>
      <c r="AV14" s="43"/>
      <c r="AW14" s="43"/>
      <c r="AX14" s="43">
        <f ca="1">AX59+AX157</f>
        <v>10730000</v>
      </c>
      <c r="AY14" s="43"/>
      <c r="AZ14" s="43"/>
      <c r="BA14" s="44"/>
      <c r="BB14" s="42">
        <f ca="1">BB59+BB157</f>
        <v>11730000</v>
      </c>
      <c r="BC14" s="43"/>
      <c r="BD14" s="43"/>
      <c r="BE14" s="43"/>
      <c r="BF14" s="43">
        <f ca="1">BF59+BF157</f>
        <v>11730000</v>
      </c>
      <c r="BG14" s="43"/>
      <c r="BH14" s="43"/>
      <c r="BI14" s="43"/>
      <c r="BJ14" s="43">
        <f ca="1">BJ59+BJ157</f>
        <v>9980000</v>
      </c>
      <c r="BK14" s="43"/>
      <c r="BL14" s="43"/>
      <c r="BM14" s="44"/>
      <c r="BN14" s="42">
        <f ca="1">BN59+BN157</f>
        <v>9730000</v>
      </c>
      <c r="BO14" s="43"/>
      <c r="BP14" s="43"/>
      <c r="BQ14" s="43"/>
      <c r="BR14" s="43">
        <f ca="1">BR59+BR157</f>
        <v>4180000</v>
      </c>
      <c r="BS14" s="43"/>
      <c r="BT14" s="43"/>
      <c r="BU14" s="43"/>
      <c r="BV14" s="43">
        <f ca="1">BV59+BV157</f>
        <v>4180000</v>
      </c>
      <c r="BW14" s="43"/>
      <c r="BX14" s="43"/>
      <c r="BY14" s="44"/>
      <c r="BZ14" s="42">
        <f ca="1">BZ59+BZ157</f>
        <v>4180000</v>
      </c>
      <c r="CA14" s="43"/>
      <c r="CB14" s="43"/>
      <c r="CC14" s="43"/>
      <c r="CD14" s="43">
        <f ca="1">CD59+CD157</f>
        <v>4180000</v>
      </c>
      <c r="CE14" s="43"/>
      <c r="CF14" s="43"/>
      <c r="CG14" s="43"/>
      <c r="CH14" s="43">
        <f ca="1">CH59+CH157</f>
        <v>2680000</v>
      </c>
      <c r="CI14" s="43"/>
      <c r="CJ14" s="43"/>
      <c r="CK14" s="44"/>
      <c r="CL14" s="42">
        <f ca="1">CL59+CL157</f>
        <v>0</v>
      </c>
      <c r="CM14" s="43"/>
      <c r="CN14" s="43"/>
      <c r="CO14" s="43"/>
      <c r="CP14" s="43">
        <f ca="1">CP59+CP157</f>
        <v>0</v>
      </c>
      <c r="CQ14" s="43"/>
      <c r="CR14" s="43"/>
      <c r="CS14" s="43"/>
      <c r="CT14" s="43">
        <f ca="1">CT59+CT157</f>
        <v>0</v>
      </c>
      <c r="CU14" s="43"/>
      <c r="CV14" s="43"/>
      <c r="CW14" s="44"/>
      <c r="CX14" s="42">
        <f ca="1">CX59+CX157</f>
        <v>0</v>
      </c>
      <c r="CY14" s="43"/>
      <c r="CZ14" s="43"/>
      <c r="DA14" s="43"/>
      <c r="DB14" s="43">
        <f ca="1">DB59+DB157</f>
        <v>0</v>
      </c>
      <c r="DC14" s="43"/>
      <c r="DD14" s="43"/>
      <c r="DE14" s="43"/>
      <c r="DF14" s="43">
        <f ca="1">DF59+DF157</f>
        <v>0</v>
      </c>
      <c r="DG14" s="43"/>
      <c r="DH14" s="43"/>
      <c r="DI14" s="44"/>
      <c r="DJ14" s="42">
        <f ca="1">DJ59+DJ157</f>
        <v>0</v>
      </c>
      <c r="DK14" s="43"/>
      <c r="DL14" s="43"/>
      <c r="DM14" s="43"/>
      <c r="DN14" s="43">
        <f ca="1">DN59+DN157</f>
        <v>0</v>
      </c>
      <c r="DO14" s="43"/>
      <c r="DP14" s="43"/>
      <c r="DQ14" s="43"/>
      <c r="DR14" s="43">
        <f ca="1">DR59+DR157</f>
        <v>0</v>
      </c>
      <c r="DS14" s="43"/>
      <c r="DT14" s="43"/>
      <c r="DU14" s="44"/>
      <c r="DV14" s="42">
        <f ca="1">DV59+DV157</f>
        <v>0</v>
      </c>
      <c r="DW14" s="43"/>
      <c r="DX14" s="43"/>
      <c r="DY14" s="43"/>
      <c r="DZ14" s="43">
        <f ca="1">DZ59+DZ157</f>
        <v>0</v>
      </c>
      <c r="EA14" s="43"/>
      <c r="EB14" s="43"/>
      <c r="EC14" s="43"/>
      <c r="ED14" s="43">
        <f ca="1">ED59+ED157</f>
        <v>0</v>
      </c>
      <c r="EE14" s="43"/>
      <c r="EF14" s="43"/>
      <c r="EG14" s="44"/>
      <c r="EH14" s="42">
        <f ca="1">EH59+EH157</f>
        <v>0</v>
      </c>
      <c r="EI14" s="43"/>
      <c r="EJ14" s="43"/>
      <c r="EK14" s="43"/>
      <c r="EL14" s="43">
        <f ca="1">EL59+EL157</f>
        <v>0</v>
      </c>
      <c r="EM14" s="43"/>
      <c r="EN14" s="43"/>
      <c r="EO14" s="43"/>
      <c r="EP14" s="43">
        <f ca="1">EP59+EP157</f>
        <v>0</v>
      </c>
      <c r="EQ14" s="43"/>
      <c r="ER14" s="43"/>
      <c r="ES14" s="44"/>
    </row>
    <row r="15" spans="1:149" ht="13.5" customHeight="1" x14ac:dyDescent="0.45">
      <c r="B15" s="114"/>
      <c r="C15" s="115"/>
      <c r="D15" s="15" t="s">
        <v>4</v>
      </c>
      <c r="E15" s="16">
        <f ca="1">SUM(F15:ES15)</f>
        <v>178957500</v>
      </c>
      <c r="F15" s="100">
        <f t="shared" ref="F15:AT15" ca="1" si="0">F13-F14</f>
        <v>2845000</v>
      </c>
      <c r="G15" s="98"/>
      <c r="H15" s="98"/>
      <c r="I15" s="98"/>
      <c r="J15" s="98">
        <f t="shared" ca="1" si="0"/>
        <v>2845000</v>
      </c>
      <c r="K15" s="98"/>
      <c r="L15" s="98"/>
      <c r="M15" s="98"/>
      <c r="N15" s="98">
        <f t="shared" ca="1" si="0"/>
        <v>4720000</v>
      </c>
      <c r="O15" s="98"/>
      <c r="P15" s="98"/>
      <c r="Q15" s="99"/>
      <c r="R15" s="100">
        <f t="shared" ca="1" si="0"/>
        <v>4720000</v>
      </c>
      <c r="S15" s="98"/>
      <c r="T15" s="98"/>
      <c r="U15" s="98"/>
      <c r="V15" s="101">
        <f t="shared" ca="1" si="0"/>
        <v>4920000</v>
      </c>
      <c r="W15" s="102"/>
      <c r="X15" s="102"/>
      <c r="Y15" s="103"/>
      <c r="Z15" s="98">
        <f t="shared" ca="1" si="0"/>
        <v>11020000</v>
      </c>
      <c r="AA15" s="98"/>
      <c r="AB15" s="98"/>
      <c r="AC15" s="99"/>
      <c r="AD15" s="100">
        <f t="shared" ca="1" si="0"/>
        <v>14382500</v>
      </c>
      <c r="AE15" s="98"/>
      <c r="AF15" s="98"/>
      <c r="AG15" s="98"/>
      <c r="AH15" s="98">
        <f t="shared" ca="1" si="0"/>
        <v>13420000</v>
      </c>
      <c r="AI15" s="98"/>
      <c r="AJ15" s="98"/>
      <c r="AK15" s="98"/>
      <c r="AL15" s="98">
        <f t="shared" ca="1" si="0"/>
        <v>13420000</v>
      </c>
      <c r="AM15" s="98"/>
      <c r="AN15" s="98"/>
      <c r="AO15" s="99"/>
      <c r="AP15" s="100">
        <f t="shared" ca="1" si="0"/>
        <v>13420000</v>
      </c>
      <c r="AQ15" s="98"/>
      <c r="AR15" s="98"/>
      <c r="AS15" s="98"/>
      <c r="AT15" s="98">
        <f t="shared" ca="1" si="0"/>
        <v>13420000</v>
      </c>
      <c r="AU15" s="98"/>
      <c r="AV15" s="98"/>
      <c r="AW15" s="98"/>
      <c r="AX15" s="98">
        <f t="shared" ref="AX15:BZ15" ca="1" si="1">AX13-AX14</f>
        <v>13420000</v>
      </c>
      <c r="AY15" s="98"/>
      <c r="AZ15" s="98"/>
      <c r="BA15" s="99"/>
      <c r="BB15" s="100">
        <f t="shared" ca="1" si="1"/>
        <v>14520000</v>
      </c>
      <c r="BC15" s="98"/>
      <c r="BD15" s="98"/>
      <c r="BE15" s="98"/>
      <c r="BF15" s="98">
        <f t="shared" ca="1" si="1"/>
        <v>14520000</v>
      </c>
      <c r="BG15" s="98"/>
      <c r="BH15" s="98"/>
      <c r="BI15" s="98"/>
      <c r="BJ15" s="98">
        <f t="shared" ca="1" si="1"/>
        <v>11020000</v>
      </c>
      <c r="BK15" s="98"/>
      <c r="BL15" s="98"/>
      <c r="BM15" s="99"/>
      <c r="BN15" s="100">
        <f t="shared" ca="1" si="1"/>
        <v>10745000</v>
      </c>
      <c r="BO15" s="98"/>
      <c r="BP15" s="98"/>
      <c r="BQ15" s="98"/>
      <c r="BR15" s="98">
        <f t="shared" ca="1" si="1"/>
        <v>3345000</v>
      </c>
      <c r="BS15" s="98"/>
      <c r="BT15" s="98"/>
      <c r="BU15" s="98"/>
      <c r="BV15" s="98">
        <f t="shared" ca="1" si="1"/>
        <v>3345000</v>
      </c>
      <c r="BW15" s="98"/>
      <c r="BX15" s="98"/>
      <c r="BY15" s="99"/>
      <c r="BZ15" s="100">
        <f t="shared" ca="1" si="1"/>
        <v>3345000</v>
      </c>
      <c r="CA15" s="98"/>
      <c r="CB15" s="98"/>
      <c r="CC15" s="98"/>
      <c r="CD15" s="98">
        <f t="shared" ref="CD15:CT15" ca="1" si="2">CD13-CD14</f>
        <v>3345000</v>
      </c>
      <c r="CE15" s="98"/>
      <c r="CF15" s="98"/>
      <c r="CG15" s="98"/>
      <c r="CH15" s="98">
        <f t="shared" ca="1" si="2"/>
        <v>2220000</v>
      </c>
      <c r="CI15" s="98"/>
      <c r="CJ15" s="98"/>
      <c r="CK15" s="99"/>
      <c r="CL15" s="100">
        <f t="shared" ca="1" si="2"/>
        <v>0</v>
      </c>
      <c r="CM15" s="98"/>
      <c r="CN15" s="98"/>
      <c r="CO15" s="98"/>
      <c r="CP15" s="98">
        <f t="shared" ca="1" si="2"/>
        <v>0</v>
      </c>
      <c r="CQ15" s="98"/>
      <c r="CR15" s="98"/>
      <c r="CS15" s="98"/>
      <c r="CT15" s="98">
        <f t="shared" ca="1" si="2"/>
        <v>0</v>
      </c>
      <c r="CU15" s="98"/>
      <c r="CV15" s="98"/>
      <c r="CW15" s="99"/>
      <c r="CX15" s="100">
        <f t="shared" ref="CX15" ca="1" si="3">CX13-CX14</f>
        <v>0</v>
      </c>
      <c r="CY15" s="98"/>
      <c r="CZ15" s="98"/>
      <c r="DA15" s="98"/>
      <c r="DB15" s="98">
        <f t="shared" ref="DB15" ca="1" si="4">DB13-DB14</f>
        <v>0</v>
      </c>
      <c r="DC15" s="98"/>
      <c r="DD15" s="98"/>
      <c r="DE15" s="98"/>
      <c r="DF15" s="98">
        <f t="shared" ref="DF15" ca="1" si="5">DF13-DF14</f>
        <v>0</v>
      </c>
      <c r="DG15" s="98"/>
      <c r="DH15" s="98"/>
      <c r="DI15" s="99"/>
      <c r="DJ15" s="100">
        <f t="shared" ref="DJ15" ca="1" si="6">DJ13-DJ14</f>
        <v>0</v>
      </c>
      <c r="DK15" s="98"/>
      <c r="DL15" s="98"/>
      <c r="DM15" s="98"/>
      <c r="DN15" s="98">
        <f t="shared" ref="DN15" ca="1" si="7">DN13-DN14</f>
        <v>0</v>
      </c>
      <c r="DO15" s="98"/>
      <c r="DP15" s="98"/>
      <c r="DQ15" s="98"/>
      <c r="DR15" s="98">
        <f t="shared" ref="DR15" ca="1" si="8">DR13-DR14</f>
        <v>0</v>
      </c>
      <c r="DS15" s="98"/>
      <c r="DT15" s="98"/>
      <c r="DU15" s="99"/>
      <c r="DV15" s="100">
        <f t="shared" ref="DV15" ca="1" si="9">DV13-DV14</f>
        <v>0</v>
      </c>
      <c r="DW15" s="98"/>
      <c r="DX15" s="98"/>
      <c r="DY15" s="98"/>
      <c r="DZ15" s="98">
        <f t="shared" ref="DZ15" ca="1" si="10">DZ13-DZ14</f>
        <v>0</v>
      </c>
      <c r="EA15" s="98"/>
      <c r="EB15" s="98"/>
      <c r="EC15" s="98"/>
      <c r="ED15" s="98">
        <f t="shared" ref="ED15" ca="1" si="11">ED13-ED14</f>
        <v>0</v>
      </c>
      <c r="EE15" s="98"/>
      <c r="EF15" s="98"/>
      <c r="EG15" s="99"/>
      <c r="EH15" s="100">
        <f t="shared" ref="EH15" ca="1" si="12">EH13-EH14</f>
        <v>0</v>
      </c>
      <c r="EI15" s="98"/>
      <c r="EJ15" s="98"/>
      <c r="EK15" s="98"/>
      <c r="EL15" s="98">
        <f t="shared" ref="EL15" ca="1" si="13">EL13-EL14</f>
        <v>0</v>
      </c>
      <c r="EM15" s="98"/>
      <c r="EN15" s="98"/>
      <c r="EO15" s="98"/>
      <c r="EP15" s="98">
        <f t="shared" ref="EP15" ca="1" si="14">EP13-EP14</f>
        <v>0</v>
      </c>
      <c r="EQ15" s="98"/>
      <c r="ER15" s="98"/>
      <c r="ES15" s="99"/>
    </row>
    <row r="16" spans="1:149" ht="139.19999999999999" customHeight="1" x14ac:dyDescent="0.45"/>
    <row r="17" spans="1:149" ht="18.600000000000001" outlineLevel="1" thickBot="1" x14ac:dyDescent="0.5">
      <c r="A17" s="2" t="s">
        <v>16</v>
      </c>
      <c r="C17" s="17" t="s">
        <v>17</v>
      </c>
    </row>
    <row r="18" spans="1:149" outlineLevel="1" x14ac:dyDescent="0.45">
      <c r="B18" s="88" t="s">
        <v>18</v>
      </c>
      <c r="C18" s="91" t="s">
        <v>19</v>
      </c>
      <c r="D18" s="93" t="s">
        <v>20</v>
      </c>
      <c r="E18" s="94" t="s">
        <v>21</v>
      </c>
      <c r="F18" s="85" t="s">
        <v>6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7"/>
      <c r="BB18" s="85" t="s">
        <v>30</v>
      </c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7"/>
      <c r="CX18" s="85" t="s">
        <v>31</v>
      </c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7"/>
    </row>
    <row r="19" spans="1:149" outlineLevel="1" x14ac:dyDescent="0.45">
      <c r="B19" s="89"/>
      <c r="C19" s="92"/>
      <c r="D19" s="93"/>
      <c r="E19" s="95"/>
      <c r="F19" s="82" t="s">
        <v>7</v>
      </c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2" t="s">
        <v>8</v>
      </c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2" t="s">
        <v>9</v>
      </c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2" t="s">
        <v>10</v>
      </c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2" t="s">
        <v>7</v>
      </c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2" t="s">
        <v>8</v>
      </c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2" t="s">
        <v>9</v>
      </c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2" t="s">
        <v>11</v>
      </c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4"/>
      <c r="CX19" s="82" t="s">
        <v>7</v>
      </c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2" t="s">
        <v>8</v>
      </c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2" t="s">
        <v>9</v>
      </c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2" t="s">
        <v>11</v>
      </c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4"/>
    </row>
    <row r="20" spans="1:149" outlineLevel="1" x14ac:dyDescent="0.45">
      <c r="B20" s="90"/>
      <c r="C20" s="18" t="s">
        <v>22</v>
      </c>
      <c r="D20" s="93"/>
      <c r="E20" s="96"/>
      <c r="F20" s="81">
        <v>45017</v>
      </c>
      <c r="G20" s="79"/>
      <c r="H20" s="79"/>
      <c r="I20" s="79"/>
      <c r="J20" s="79">
        <v>45047</v>
      </c>
      <c r="K20" s="79"/>
      <c r="L20" s="79"/>
      <c r="M20" s="79"/>
      <c r="N20" s="79">
        <v>45078</v>
      </c>
      <c r="O20" s="79"/>
      <c r="P20" s="79"/>
      <c r="Q20" s="80"/>
      <c r="R20" s="81">
        <v>45108</v>
      </c>
      <c r="S20" s="79"/>
      <c r="T20" s="79"/>
      <c r="U20" s="79"/>
      <c r="V20" s="79">
        <v>45139</v>
      </c>
      <c r="W20" s="79"/>
      <c r="X20" s="79"/>
      <c r="Y20" s="79"/>
      <c r="Z20" s="79">
        <v>45170</v>
      </c>
      <c r="AA20" s="79"/>
      <c r="AB20" s="79"/>
      <c r="AC20" s="80"/>
      <c r="AD20" s="81">
        <v>45200</v>
      </c>
      <c r="AE20" s="79"/>
      <c r="AF20" s="79"/>
      <c r="AG20" s="79"/>
      <c r="AH20" s="79">
        <v>45231</v>
      </c>
      <c r="AI20" s="79"/>
      <c r="AJ20" s="79"/>
      <c r="AK20" s="79"/>
      <c r="AL20" s="79">
        <v>45261</v>
      </c>
      <c r="AM20" s="79"/>
      <c r="AN20" s="79"/>
      <c r="AO20" s="80"/>
      <c r="AP20" s="81">
        <v>45292</v>
      </c>
      <c r="AQ20" s="79"/>
      <c r="AR20" s="79"/>
      <c r="AS20" s="79"/>
      <c r="AT20" s="79">
        <v>45323</v>
      </c>
      <c r="AU20" s="79"/>
      <c r="AV20" s="79"/>
      <c r="AW20" s="79"/>
      <c r="AX20" s="79">
        <v>45352</v>
      </c>
      <c r="AY20" s="79"/>
      <c r="AZ20" s="79"/>
      <c r="BA20" s="80"/>
      <c r="BB20" s="81">
        <v>45383</v>
      </c>
      <c r="BC20" s="79"/>
      <c r="BD20" s="79"/>
      <c r="BE20" s="79"/>
      <c r="BF20" s="79">
        <v>45413</v>
      </c>
      <c r="BG20" s="79"/>
      <c r="BH20" s="79"/>
      <c r="BI20" s="79"/>
      <c r="BJ20" s="79">
        <v>45444</v>
      </c>
      <c r="BK20" s="79"/>
      <c r="BL20" s="79"/>
      <c r="BM20" s="80"/>
      <c r="BN20" s="81">
        <v>45474</v>
      </c>
      <c r="BO20" s="79"/>
      <c r="BP20" s="79"/>
      <c r="BQ20" s="79"/>
      <c r="BR20" s="79">
        <v>45505</v>
      </c>
      <c r="BS20" s="79"/>
      <c r="BT20" s="79"/>
      <c r="BU20" s="79"/>
      <c r="BV20" s="79">
        <v>45536</v>
      </c>
      <c r="BW20" s="79"/>
      <c r="BX20" s="79"/>
      <c r="BY20" s="80"/>
      <c r="BZ20" s="81">
        <v>45566</v>
      </c>
      <c r="CA20" s="79"/>
      <c r="CB20" s="79"/>
      <c r="CC20" s="79"/>
      <c r="CD20" s="79">
        <v>45597</v>
      </c>
      <c r="CE20" s="79"/>
      <c r="CF20" s="79"/>
      <c r="CG20" s="79"/>
      <c r="CH20" s="79">
        <v>45627</v>
      </c>
      <c r="CI20" s="79"/>
      <c r="CJ20" s="79"/>
      <c r="CK20" s="80"/>
      <c r="CL20" s="81">
        <v>45658</v>
      </c>
      <c r="CM20" s="79"/>
      <c r="CN20" s="79"/>
      <c r="CO20" s="79"/>
      <c r="CP20" s="79">
        <v>45689</v>
      </c>
      <c r="CQ20" s="79"/>
      <c r="CR20" s="79"/>
      <c r="CS20" s="79"/>
      <c r="CT20" s="79">
        <v>45717</v>
      </c>
      <c r="CU20" s="79"/>
      <c r="CV20" s="79"/>
      <c r="CW20" s="80"/>
      <c r="CX20" s="81">
        <v>45383</v>
      </c>
      <c r="CY20" s="79"/>
      <c r="CZ20" s="79"/>
      <c r="DA20" s="79"/>
      <c r="DB20" s="79">
        <v>45413</v>
      </c>
      <c r="DC20" s="79"/>
      <c r="DD20" s="79"/>
      <c r="DE20" s="79"/>
      <c r="DF20" s="79">
        <v>45444</v>
      </c>
      <c r="DG20" s="79"/>
      <c r="DH20" s="79"/>
      <c r="DI20" s="80"/>
      <c r="DJ20" s="81">
        <v>45474</v>
      </c>
      <c r="DK20" s="79"/>
      <c r="DL20" s="79"/>
      <c r="DM20" s="79"/>
      <c r="DN20" s="79">
        <v>45505</v>
      </c>
      <c r="DO20" s="79"/>
      <c r="DP20" s="79"/>
      <c r="DQ20" s="79"/>
      <c r="DR20" s="79">
        <v>45536</v>
      </c>
      <c r="DS20" s="79"/>
      <c r="DT20" s="79"/>
      <c r="DU20" s="80"/>
      <c r="DV20" s="81">
        <v>45566</v>
      </c>
      <c r="DW20" s="79"/>
      <c r="DX20" s="79"/>
      <c r="DY20" s="79"/>
      <c r="DZ20" s="79">
        <v>45597</v>
      </c>
      <c r="EA20" s="79"/>
      <c r="EB20" s="79"/>
      <c r="EC20" s="79"/>
      <c r="ED20" s="79">
        <v>45627</v>
      </c>
      <c r="EE20" s="79"/>
      <c r="EF20" s="79"/>
      <c r="EG20" s="80"/>
      <c r="EH20" s="81">
        <v>45658</v>
      </c>
      <c r="EI20" s="79"/>
      <c r="EJ20" s="79"/>
      <c r="EK20" s="79"/>
      <c r="EL20" s="79">
        <v>45689</v>
      </c>
      <c r="EM20" s="79"/>
      <c r="EN20" s="79"/>
      <c r="EO20" s="79"/>
      <c r="EP20" s="79">
        <v>45717</v>
      </c>
      <c r="EQ20" s="79"/>
      <c r="ER20" s="79"/>
      <c r="ES20" s="80"/>
    </row>
    <row r="21" spans="1:149" outlineLevel="1" x14ac:dyDescent="0.45">
      <c r="B21" s="72" t="s">
        <v>32</v>
      </c>
      <c r="C21" s="19"/>
      <c r="D21" s="20" t="s">
        <v>13</v>
      </c>
      <c r="E21" s="21">
        <f>SUM(F21:ES21)</f>
        <v>10.5</v>
      </c>
      <c r="F21" s="74">
        <v>0.5</v>
      </c>
      <c r="G21" s="67"/>
      <c r="H21" s="67"/>
      <c r="I21" s="67"/>
      <c r="J21" s="67">
        <v>0.5</v>
      </c>
      <c r="K21" s="67"/>
      <c r="L21" s="67"/>
      <c r="M21" s="67"/>
      <c r="N21" s="67">
        <v>0.5</v>
      </c>
      <c r="O21" s="67"/>
      <c r="P21" s="67"/>
      <c r="Q21" s="97"/>
      <c r="R21" s="71">
        <v>0.5</v>
      </c>
      <c r="S21" s="67"/>
      <c r="T21" s="67"/>
      <c r="U21" s="67"/>
      <c r="V21" s="67">
        <v>0.5</v>
      </c>
      <c r="W21" s="67"/>
      <c r="X21" s="67"/>
      <c r="Y21" s="67"/>
      <c r="Z21" s="67">
        <v>0.5</v>
      </c>
      <c r="AA21" s="67"/>
      <c r="AB21" s="67"/>
      <c r="AC21" s="68"/>
      <c r="AD21" s="70">
        <v>0.5</v>
      </c>
      <c r="AE21" s="70"/>
      <c r="AF21" s="70"/>
      <c r="AG21" s="71"/>
      <c r="AH21" s="67">
        <v>0.5</v>
      </c>
      <c r="AI21" s="67"/>
      <c r="AJ21" s="67"/>
      <c r="AK21" s="67"/>
      <c r="AL21" s="67">
        <v>0.5</v>
      </c>
      <c r="AM21" s="67"/>
      <c r="AN21" s="67"/>
      <c r="AO21" s="68"/>
      <c r="AP21" s="70">
        <v>0.5</v>
      </c>
      <c r="AQ21" s="70"/>
      <c r="AR21" s="70"/>
      <c r="AS21" s="71"/>
      <c r="AT21" s="67">
        <v>0.5</v>
      </c>
      <c r="AU21" s="67"/>
      <c r="AV21" s="67"/>
      <c r="AW21" s="68"/>
      <c r="AX21" s="67">
        <v>0.5</v>
      </c>
      <c r="AY21" s="67"/>
      <c r="AZ21" s="67"/>
      <c r="BA21" s="68"/>
      <c r="BB21" s="70">
        <v>0.5</v>
      </c>
      <c r="BC21" s="70"/>
      <c r="BD21" s="70"/>
      <c r="BE21" s="71"/>
      <c r="BF21" s="67">
        <v>0.5</v>
      </c>
      <c r="BG21" s="67"/>
      <c r="BH21" s="67"/>
      <c r="BI21" s="67"/>
      <c r="BJ21" s="67">
        <v>0.5</v>
      </c>
      <c r="BK21" s="67"/>
      <c r="BL21" s="67"/>
      <c r="BM21" s="68"/>
      <c r="BN21" s="70">
        <v>0.5</v>
      </c>
      <c r="BO21" s="70"/>
      <c r="BP21" s="70"/>
      <c r="BQ21" s="71"/>
      <c r="BR21" s="67">
        <v>0.5</v>
      </c>
      <c r="BS21" s="67"/>
      <c r="BT21" s="67"/>
      <c r="BU21" s="67"/>
      <c r="BV21" s="67">
        <v>0.5</v>
      </c>
      <c r="BW21" s="67"/>
      <c r="BX21" s="67"/>
      <c r="BY21" s="68"/>
      <c r="BZ21" s="70">
        <v>0.5</v>
      </c>
      <c r="CA21" s="70"/>
      <c r="CB21" s="70"/>
      <c r="CC21" s="71"/>
      <c r="CD21" s="67">
        <v>0.5</v>
      </c>
      <c r="CE21" s="67"/>
      <c r="CF21" s="67"/>
      <c r="CG21" s="67"/>
      <c r="CH21" s="67">
        <v>0.5</v>
      </c>
      <c r="CI21" s="67"/>
      <c r="CJ21" s="67"/>
      <c r="CK21" s="68"/>
      <c r="CL21" s="70"/>
      <c r="CM21" s="70"/>
      <c r="CN21" s="70"/>
      <c r="CO21" s="71"/>
      <c r="CP21" s="67"/>
      <c r="CQ21" s="67"/>
      <c r="CR21" s="67"/>
      <c r="CS21" s="67"/>
      <c r="CT21" s="67"/>
      <c r="CU21" s="67"/>
      <c r="CV21" s="67"/>
      <c r="CW21" s="68"/>
      <c r="CX21" s="70"/>
      <c r="CY21" s="70"/>
      <c r="CZ21" s="70"/>
      <c r="DA21" s="71"/>
      <c r="DB21" s="67"/>
      <c r="DC21" s="67"/>
      <c r="DD21" s="67"/>
      <c r="DE21" s="67"/>
      <c r="DF21" s="67"/>
      <c r="DG21" s="67"/>
      <c r="DH21" s="67"/>
      <c r="DI21" s="68"/>
      <c r="DJ21" s="70"/>
      <c r="DK21" s="70"/>
      <c r="DL21" s="70"/>
      <c r="DM21" s="71"/>
      <c r="DN21" s="67"/>
      <c r="DO21" s="67"/>
      <c r="DP21" s="67"/>
      <c r="DQ21" s="67"/>
      <c r="DR21" s="67"/>
      <c r="DS21" s="67"/>
      <c r="DT21" s="67"/>
      <c r="DU21" s="68"/>
      <c r="DV21" s="70"/>
      <c r="DW21" s="70"/>
      <c r="DX21" s="70"/>
      <c r="DY21" s="71"/>
      <c r="DZ21" s="67"/>
      <c r="EA21" s="67"/>
      <c r="EB21" s="67"/>
      <c r="EC21" s="67"/>
      <c r="ED21" s="67"/>
      <c r="EE21" s="67"/>
      <c r="EF21" s="67"/>
      <c r="EG21" s="68"/>
      <c r="EH21" s="70"/>
      <c r="EI21" s="70"/>
      <c r="EJ21" s="70"/>
      <c r="EK21" s="71"/>
      <c r="EL21" s="67"/>
      <c r="EM21" s="67"/>
      <c r="EN21" s="67"/>
      <c r="EO21" s="67"/>
      <c r="EP21" s="67"/>
      <c r="EQ21" s="67"/>
      <c r="ER21" s="67"/>
      <c r="ES21" s="68"/>
    </row>
    <row r="22" spans="1:149" ht="13.5" customHeight="1" outlineLevel="1" x14ac:dyDescent="0.45">
      <c r="B22" s="73"/>
      <c r="C22" s="22">
        <v>1400000</v>
      </c>
      <c r="D22" s="23" t="s">
        <v>23</v>
      </c>
      <c r="E22" s="24">
        <f>SUM(F22:CW22)</f>
        <v>14700000</v>
      </c>
      <c r="F22" s="69">
        <f>IFERROR($C22*F21,"")</f>
        <v>700000</v>
      </c>
      <c r="G22" s="62"/>
      <c r="H22" s="62"/>
      <c r="I22" s="62"/>
      <c r="J22" s="62">
        <f t="shared" ref="J22" si="15">IFERROR($C22*J21,"")</f>
        <v>700000</v>
      </c>
      <c r="K22" s="62"/>
      <c r="L22" s="62"/>
      <c r="M22" s="62"/>
      <c r="N22" s="63">
        <f t="shared" ref="N22" si="16">IFERROR($C22*N21,"")</f>
        <v>700000</v>
      </c>
      <c r="O22" s="64"/>
      <c r="P22" s="64"/>
      <c r="Q22" s="64"/>
      <c r="R22" s="64">
        <f t="shared" ref="R22" si="17">IFERROR($C22*R21,"")</f>
        <v>700000</v>
      </c>
      <c r="S22" s="64"/>
      <c r="T22" s="64"/>
      <c r="U22" s="65"/>
      <c r="V22" s="62">
        <f t="shared" ref="V22" si="18">IFERROR($C22*V21,"")</f>
        <v>700000</v>
      </c>
      <c r="W22" s="62"/>
      <c r="X22" s="62"/>
      <c r="Y22" s="62"/>
      <c r="Z22" s="62">
        <f t="shared" ref="Z22" si="19">IFERROR($C22*Z21,"")</f>
        <v>700000</v>
      </c>
      <c r="AA22" s="62"/>
      <c r="AB22" s="62"/>
      <c r="AC22" s="63"/>
      <c r="AD22" s="64">
        <f t="shared" ref="AD22" si="20">IFERROR($C22*AD21,"")</f>
        <v>700000</v>
      </c>
      <c r="AE22" s="64"/>
      <c r="AF22" s="64"/>
      <c r="AG22" s="65"/>
      <c r="AH22" s="62">
        <f t="shared" ref="AH22" si="21">IFERROR($C22*AH21,"")</f>
        <v>700000</v>
      </c>
      <c r="AI22" s="62"/>
      <c r="AJ22" s="62"/>
      <c r="AK22" s="62"/>
      <c r="AL22" s="62">
        <f t="shared" ref="AL22" si="22">IFERROR($C22*AL21,"")</f>
        <v>700000</v>
      </c>
      <c r="AM22" s="62"/>
      <c r="AN22" s="62"/>
      <c r="AO22" s="63"/>
      <c r="AP22" s="64">
        <f t="shared" ref="AP22" si="23">IFERROR($C22*AP21,"")</f>
        <v>700000</v>
      </c>
      <c r="AQ22" s="64"/>
      <c r="AR22" s="64"/>
      <c r="AS22" s="65"/>
      <c r="AT22" s="62">
        <f t="shared" ref="AT22" si="24">IFERROR($C22*AT21,"")</f>
        <v>700000</v>
      </c>
      <c r="AU22" s="62"/>
      <c r="AV22" s="62"/>
      <c r="AW22" s="62"/>
      <c r="AX22" s="62">
        <f t="shared" ref="AX22" si="25">IFERROR($C22*AX21,"")</f>
        <v>700000</v>
      </c>
      <c r="AY22" s="62"/>
      <c r="AZ22" s="62"/>
      <c r="BA22" s="63"/>
      <c r="BB22" s="64">
        <f t="shared" ref="BB22" si="26">IFERROR($C22*BB21,"")</f>
        <v>700000</v>
      </c>
      <c r="BC22" s="64"/>
      <c r="BD22" s="64"/>
      <c r="BE22" s="65"/>
      <c r="BF22" s="62">
        <f t="shared" ref="BF22" si="27">IFERROR($C22*BF21,"")</f>
        <v>700000</v>
      </c>
      <c r="BG22" s="62"/>
      <c r="BH22" s="62"/>
      <c r="BI22" s="62"/>
      <c r="BJ22" s="62">
        <f t="shared" ref="BJ22:CL22" si="28">IFERROR($C22*BJ21,"")</f>
        <v>700000</v>
      </c>
      <c r="BK22" s="62"/>
      <c r="BL22" s="62"/>
      <c r="BM22" s="63"/>
      <c r="BN22" s="64">
        <f t="shared" si="28"/>
        <v>700000</v>
      </c>
      <c r="BO22" s="64"/>
      <c r="BP22" s="64"/>
      <c r="BQ22" s="65"/>
      <c r="BR22" s="62">
        <f t="shared" si="28"/>
        <v>700000</v>
      </c>
      <c r="BS22" s="62"/>
      <c r="BT22" s="62"/>
      <c r="BU22" s="62"/>
      <c r="BV22" s="62">
        <f t="shared" si="28"/>
        <v>700000</v>
      </c>
      <c r="BW22" s="62"/>
      <c r="BX22" s="62"/>
      <c r="BY22" s="63"/>
      <c r="BZ22" s="64">
        <f t="shared" si="28"/>
        <v>700000</v>
      </c>
      <c r="CA22" s="64"/>
      <c r="CB22" s="64"/>
      <c r="CC22" s="65"/>
      <c r="CD22" s="62">
        <f t="shared" si="28"/>
        <v>700000</v>
      </c>
      <c r="CE22" s="62"/>
      <c r="CF22" s="62"/>
      <c r="CG22" s="62"/>
      <c r="CH22" s="62">
        <f t="shared" si="28"/>
        <v>700000</v>
      </c>
      <c r="CI22" s="62"/>
      <c r="CJ22" s="62"/>
      <c r="CK22" s="63"/>
      <c r="CL22" s="64">
        <f t="shared" si="28"/>
        <v>0</v>
      </c>
      <c r="CM22" s="64"/>
      <c r="CN22" s="64"/>
      <c r="CO22" s="65"/>
      <c r="CP22" s="62">
        <f t="shared" ref="CP22:DR22" si="29">IFERROR($C22*CP21,"")</f>
        <v>0</v>
      </c>
      <c r="CQ22" s="62"/>
      <c r="CR22" s="62"/>
      <c r="CS22" s="62"/>
      <c r="CT22" s="62">
        <f t="shared" si="29"/>
        <v>0</v>
      </c>
      <c r="CU22" s="62"/>
      <c r="CV22" s="62"/>
      <c r="CW22" s="63"/>
      <c r="CX22" s="64">
        <f t="shared" si="29"/>
        <v>0</v>
      </c>
      <c r="CY22" s="64"/>
      <c r="CZ22" s="64"/>
      <c r="DA22" s="65"/>
      <c r="DB22" s="62">
        <f t="shared" si="29"/>
        <v>0</v>
      </c>
      <c r="DC22" s="62"/>
      <c r="DD22" s="62"/>
      <c r="DE22" s="62"/>
      <c r="DF22" s="62">
        <f t="shared" si="29"/>
        <v>0</v>
      </c>
      <c r="DG22" s="62"/>
      <c r="DH22" s="62"/>
      <c r="DI22" s="63"/>
      <c r="DJ22" s="64">
        <f t="shared" si="29"/>
        <v>0</v>
      </c>
      <c r="DK22" s="64"/>
      <c r="DL22" s="64"/>
      <c r="DM22" s="65"/>
      <c r="DN22" s="62">
        <f t="shared" si="29"/>
        <v>0</v>
      </c>
      <c r="DO22" s="62"/>
      <c r="DP22" s="62"/>
      <c r="DQ22" s="62"/>
      <c r="DR22" s="62">
        <f t="shared" si="29"/>
        <v>0</v>
      </c>
      <c r="DS22" s="62"/>
      <c r="DT22" s="62"/>
      <c r="DU22" s="63"/>
      <c r="DV22" s="64">
        <f t="shared" ref="DV22:EP22" si="30">IFERROR($C22*DV21,"")</f>
        <v>0</v>
      </c>
      <c r="DW22" s="64"/>
      <c r="DX22" s="64"/>
      <c r="DY22" s="65"/>
      <c r="DZ22" s="62">
        <f t="shared" si="30"/>
        <v>0</v>
      </c>
      <c r="EA22" s="62"/>
      <c r="EB22" s="62"/>
      <c r="EC22" s="62"/>
      <c r="ED22" s="62">
        <f t="shared" si="30"/>
        <v>0</v>
      </c>
      <c r="EE22" s="62"/>
      <c r="EF22" s="62"/>
      <c r="EG22" s="63"/>
      <c r="EH22" s="64">
        <f t="shared" si="30"/>
        <v>0</v>
      </c>
      <c r="EI22" s="64"/>
      <c r="EJ22" s="64"/>
      <c r="EK22" s="65"/>
      <c r="EL22" s="62">
        <f t="shared" si="30"/>
        <v>0</v>
      </c>
      <c r="EM22" s="62"/>
      <c r="EN22" s="62"/>
      <c r="EO22" s="62"/>
      <c r="EP22" s="62">
        <f t="shared" si="30"/>
        <v>0</v>
      </c>
      <c r="EQ22" s="62"/>
      <c r="ER22" s="62"/>
      <c r="ES22" s="63"/>
    </row>
    <row r="23" spans="1:149" ht="13.5" customHeight="1" outlineLevel="1" x14ac:dyDescent="0.45">
      <c r="B23" s="78"/>
      <c r="C23" s="25">
        <v>600000</v>
      </c>
      <c r="D23" s="26" t="s">
        <v>3</v>
      </c>
      <c r="E23" s="27">
        <f>SUM(F23:CW23)</f>
        <v>6300000</v>
      </c>
      <c r="F23" s="66">
        <f>IFERROR($C23*F21,"")</f>
        <v>300000</v>
      </c>
      <c r="G23" s="60"/>
      <c r="H23" s="60"/>
      <c r="I23" s="60"/>
      <c r="J23" s="60">
        <f t="shared" ref="J23" si="31">IFERROR($C23*J21,"")</f>
        <v>300000</v>
      </c>
      <c r="K23" s="60"/>
      <c r="L23" s="60"/>
      <c r="M23" s="60"/>
      <c r="N23" s="61">
        <f t="shared" ref="N23" si="32">IFERROR($C23*N21,"")</f>
        <v>300000</v>
      </c>
      <c r="O23" s="58"/>
      <c r="P23" s="58"/>
      <c r="Q23" s="58"/>
      <c r="R23" s="58">
        <f t="shared" ref="R23" si="33">IFERROR($C23*R21,"")</f>
        <v>300000</v>
      </c>
      <c r="S23" s="58"/>
      <c r="T23" s="58"/>
      <c r="U23" s="59"/>
      <c r="V23" s="60">
        <f t="shared" ref="V23" si="34">IFERROR($C23*V21,"")</f>
        <v>300000</v>
      </c>
      <c r="W23" s="60"/>
      <c r="X23" s="60"/>
      <c r="Y23" s="60"/>
      <c r="Z23" s="60">
        <f t="shared" ref="Z23" si="35">IFERROR($C23*Z21,"")</f>
        <v>300000</v>
      </c>
      <c r="AA23" s="60"/>
      <c r="AB23" s="60"/>
      <c r="AC23" s="61"/>
      <c r="AD23" s="58">
        <f t="shared" ref="AD23" si="36">IFERROR($C23*AD21,"")</f>
        <v>300000</v>
      </c>
      <c r="AE23" s="58"/>
      <c r="AF23" s="58"/>
      <c r="AG23" s="59"/>
      <c r="AH23" s="60">
        <f t="shared" ref="AH23" si="37">IFERROR($C23*AH21,"")</f>
        <v>300000</v>
      </c>
      <c r="AI23" s="60"/>
      <c r="AJ23" s="60"/>
      <c r="AK23" s="60"/>
      <c r="AL23" s="60">
        <f t="shared" ref="AL23" si="38">IFERROR($C23*AL21,"")</f>
        <v>300000</v>
      </c>
      <c r="AM23" s="60"/>
      <c r="AN23" s="60"/>
      <c r="AO23" s="61"/>
      <c r="AP23" s="58">
        <f t="shared" ref="AP23" si="39">IFERROR($C23*AP21,"")</f>
        <v>300000</v>
      </c>
      <c r="AQ23" s="58"/>
      <c r="AR23" s="58"/>
      <c r="AS23" s="59"/>
      <c r="AT23" s="60">
        <f t="shared" ref="AT23" si="40">IFERROR($C23*AT21,"")</f>
        <v>300000</v>
      </c>
      <c r="AU23" s="60"/>
      <c r="AV23" s="60"/>
      <c r="AW23" s="60"/>
      <c r="AX23" s="60">
        <f t="shared" ref="AX23" si="41">IFERROR($C23*AX21,"")</f>
        <v>300000</v>
      </c>
      <c r="AY23" s="60"/>
      <c r="AZ23" s="60"/>
      <c r="BA23" s="61"/>
      <c r="BB23" s="58">
        <f t="shared" ref="BB23" si="42">IFERROR($C23*BB21,"")</f>
        <v>300000</v>
      </c>
      <c r="BC23" s="58"/>
      <c r="BD23" s="58"/>
      <c r="BE23" s="59"/>
      <c r="BF23" s="60">
        <f t="shared" ref="BF23" si="43">IFERROR($C23*BF21,"")</f>
        <v>300000</v>
      </c>
      <c r="BG23" s="60"/>
      <c r="BH23" s="60"/>
      <c r="BI23" s="60"/>
      <c r="BJ23" s="60">
        <f t="shared" ref="BJ23" si="44">IFERROR($C23*BJ21,"")</f>
        <v>300000</v>
      </c>
      <c r="BK23" s="60"/>
      <c r="BL23" s="60"/>
      <c r="BM23" s="61"/>
      <c r="BN23" s="58">
        <f t="shared" ref="BN23:CP23" si="45">IFERROR($C23*BN21,"")</f>
        <v>300000</v>
      </c>
      <c r="BO23" s="58"/>
      <c r="BP23" s="58"/>
      <c r="BQ23" s="59"/>
      <c r="BR23" s="60">
        <f t="shared" si="45"/>
        <v>300000</v>
      </c>
      <c r="BS23" s="60"/>
      <c r="BT23" s="60"/>
      <c r="BU23" s="60"/>
      <c r="BV23" s="60">
        <f t="shared" si="45"/>
        <v>300000</v>
      </c>
      <c r="BW23" s="60"/>
      <c r="BX23" s="60"/>
      <c r="BY23" s="61"/>
      <c r="BZ23" s="58">
        <f t="shared" si="45"/>
        <v>300000</v>
      </c>
      <c r="CA23" s="58"/>
      <c r="CB23" s="58"/>
      <c r="CC23" s="59"/>
      <c r="CD23" s="60">
        <f t="shared" si="45"/>
        <v>300000</v>
      </c>
      <c r="CE23" s="60"/>
      <c r="CF23" s="60"/>
      <c r="CG23" s="60"/>
      <c r="CH23" s="60">
        <f t="shared" si="45"/>
        <v>300000</v>
      </c>
      <c r="CI23" s="60"/>
      <c r="CJ23" s="60"/>
      <c r="CK23" s="61"/>
      <c r="CL23" s="58">
        <f t="shared" si="45"/>
        <v>0</v>
      </c>
      <c r="CM23" s="58"/>
      <c r="CN23" s="58"/>
      <c r="CO23" s="59"/>
      <c r="CP23" s="60">
        <f t="shared" si="45"/>
        <v>0</v>
      </c>
      <c r="CQ23" s="60"/>
      <c r="CR23" s="60"/>
      <c r="CS23" s="60"/>
      <c r="CT23" s="60">
        <f t="shared" ref="CT23:DR23" si="46">IFERROR($C23*CT21,"")</f>
        <v>0</v>
      </c>
      <c r="CU23" s="60"/>
      <c r="CV23" s="60"/>
      <c r="CW23" s="61"/>
      <c r="CX23" s="58">
        <f t="shared" si="46"/>
        <v>0</v>
      </c>
      <c r="CY23" s="58"/>
      <c r="CZ23" s="58"/>
      <c r="DA23" s="59"/>
      <c r="DB23" s="60">
        <f t="shared" si="46"/>
        <v>0</v>
      </c>
      <c r="DC23" s="60"/>
      <c r="DD23" s="60"/>
      <c r="DE23" s="60"/>
      <c r="DF23" s="60">
        <f t="shared" si="46"/>
        <v>0</v>
      </c>
      <c r="DG23" s="60"/>
      <c r="DH23" s="60"/>
      <c r="DI23" s="61"/>
      <c r="DJ23" s="58">
        <f t="shared" si="46"/>
        <v>0</v>
      </c>
      <c r="DK23" s="58"/>
      <c r="DL23" s="58"/>
      <c r="DM23" s="59"/>
      <c r="DN23" s="60">
        <f t="shared" si="46"/>
        <v>0</v>
      </c>
      <c r="DO23" s="60"/>
      <c r="DP23" s="60"/>
      <c r="DQ23" s="60"/>
      <c r="DR23" s="60">
        <f t="shared" si="46"/>
        <v>0</v>
      </c>
      <c r="DS23" s="60"/>
      <c r="DT23" s="60"/>
      <c r="DU23" s="61"/>
      <c r="DV23" s="58">
        <f t="shared" ref="DV23" si="47">IFERROR($C23*DV21,"")</f>
        <v>0</v>
      </c>
      <c r="DW23" s="58"/>
      <c r="DX23" s="58"/>
      <c r="DY23" s="59"/>
      <c r="DZ23" s="60">
        <f t="shared" ref="DZ23" si="48">IFERROR($C23*DZ21,"")</f>
        <v>0</v>
      </c>
      <c r="EA23" s="60"/>
      <c r="EB23" s="60"/>
      <c r="EC23" s="60"/>
      <c r="ED23" s="60">
        <f t="shared" ref="ED23" si="49">IFERROR($C23*ED21,"")</f>
        <v>0</v>
      </c>
      <c r="EE23" s="60"/>
      <c r="EF23" s="60"/>
      <c r="EG23" s="61"/>
      <c r="EH23" s="58">
        <f t="shared" ref="EH23" si="50">IFERROR($C23*EH21,"")</f>
        <v>0</v>
      </c>
      <c r="EI23" s="58"/>
      <c r="EJ23" s="58"/>
      <c r="EK23" s="59"/>
      <c r="EL23" s="60">
        <f t="shared" ref="EL23" si="51">IFERROR($C23*EL21,"")</f>
        <v>0</v>
      </c>
      <c r="EM23" s="60"/>
      <c r="EN23" s="60"/>
      <c r="EO23" s="60"/>
      <c r="EP23" s="60">
        <f t="shared" ref="EP23" si="52">IFERROR($C23*EP21,"")</f>
        <v>0</v>
      </c>
      <c r="EQ23" s="60"/>
      <c r="ER23" s="60"/>
      <c r="ES23" s="61"/>
    </row>
    <row r="24" spans="1:149" outlineLevel="1" x14ac:dyDescent="0.45">
      <c r="B24" s="72" t="s">
        <v>40</v>
      </c>
      <c r="C24" s="19"/>
      <c r="D24" s="20" t="s">
        <v>13</v>
      </c>
      <c r="E24" s="21">
        <f>SUM(F24:ES24)</f>
        <v>20.5</v>
      </c>
      <c r="F24" s="74">
        <v>1</v>
      </c>
      <c r="G24" s="67"/>
      <c r="H24" s="67"/>
      <c r="I24" s="67"/>
      <c r="J24" s="67">
        <v>1</v>
      </c>
      <c r="K24" s="67"/>
      <c r="L24" s="67"/>
      <c r="M24" s="67"/>
      <c r="N24" s="67">
        <v>1</v>
      </c>
      <c r="O24" s="67"/>
      <c r="P24" s="67"/>
      <c r="Q24" s="67"/>
      <c r="R24" s="70">
        <v>1</v>
      </c>
      <c r="S24" s="70"/>
      <c r="T24" s="70"/>
      <c r="U24" s="71"/>
      <c r="V24" s="67">
        <v>1</v>
      </c>
      <c r="W24" s="67"/>
      <c r="X24" s="67"/>
      <c r="Y24" s="67"/>
      <c r="Z24" s="67">
        <v>1</v>
      </c>
      <c r="AA24" s="67"/>
      <c r="AB24" s="67"/>
      <c r="AC24" s="68"/>
      <c r="AD24" s="70">
        <v>1</v>
      </c>
      <c r="AE24" s="70"/>
      <c r="AF24" s="70"/>
      <c r="AG24" s="71"/>
      <c r="AH24" s="67">
        <v>1</v>
      </c>
      <c r="AI24" s="67"/>
      <c r="AJ24" s="67"/>
      <c r="AK24" s="67"/>
      <c r="AL24" s="67">
        <v>1</v>
      </c>
      <c r="AM24" s="67"/>
      <c r="AN24" s="67"/>
      <c r="AO24" s="68"/>
      <c r="AP24" s="70">
        <v>1</v>
      </c>
      <c r="AQ24" s="70"/>
      <c r="AR24" s="70"/>
      <c r="AS24" s="71"/>
      <c r="AT24" s="67">
        <v>1</v>
      </c>
      <c r="AU24" s="67"/>
      <c r="AV24" s="67"/>
      <c r="AW24" s="67"/>
      <c r="AX24" s="67">
        <v>1</v>
      </c>
      <c r="AY24" s="67"/>
      <c r="AZ24" s="67"/>
      <c r="BA24" s="68"/>
      <c r="BB24" s="70">
        <v>1</v>
      </c>
      <c r="BC24" s="70"/>
      <c r="BD24" s="70"/>
      <c r="BE24" s="71"/>
      <c r="BF24" s="67">
        <v>1</v>
      </c>
      <c r="BG24" s="67"/>
      <c r="BH24" s="67"/>
      <c r="BI24" s="67"/>
      <c r="BJ24" s="67">
        <v>1</v>
      </c>
      <c r="BK24" s="67"/>
      <c r="BL24" s="67"/>
      <c r="BM24" s="68"/>
      <c r="BN24" s="70">
        <v>1</v>
      </c>
      <c r="BO24" s="70"/>
      <c r="BP24" s="70"/>
      <c r="BQ24" s="71"/>
      <c r="BR24" s="67">
        <v>1</v>
      </c>
      <c r="BS24" s="67"/>
      <c r="BT24" s="67"/>
      <c r="BU24" s="67"/>
      <c r="BV24" s="67">
        <v>1</v>
      </c>
      <c r="BW24" s="67"/>
      <c r="BX24" s="67"/>
      <c r="BY24" s="68"/>
      <c r="BZ24" s="70">
        <v>1</v>
      </c>
      <c r="CA24" s="70"/>
      <c r="CB24" s="70"/>
      <c r="CC24" s="71"/>
      <c r="CD24" s="67">
        <v>1</v>
      </c>
      <c r="CE24" s="67"/>
      <c r="CF24" s="67"/>
      <c r="CG24" s="67"/>
      <c r="CH24" s="67">
        <v>0.5</v>
      </c>
      <c r="CI24" s="67"/>
      <c r="CJ24" s="67"/>
      <c r="CK24" s="68"/>
      <c r="CL24" s="70"/>
      <c r="CM24" s="70"/>
      <c r="CN24" s="70"/>
      <c r="CO24" s="71"/>
      <c r="CP24" s="67"/>
      <c r="CQ24" s="67"/>
      <c r="CR24" s="67"/>
      <c r="CS24" s="67"/>
      <c r="CT24" s="67"/>
      <c r="CU24" s="67"/>
      <c r="CV24" s="67"/>
      <c r="CW24" s="68"/>
      <c r="CX24" s="70"/>
      <c r="CY24" s="70"/>
      <c r="CZ24" s="70"/>
      <c r="DA24" s="71"/>
      <c r="DB24" s="67"/>
      <c r="DC24" s="67"/>
      <c r="DD24" s="67"/>
      <c r="DE24" s="67"/>
      <c r="DF24" s="67"/>
      <c r="DG24" s="67"/>
      <c r="DH24" s="67"/>
      <c r="DI24" s="68"/>
      <c r="DJ24" s="70"/>
      <c r="DK24" s="70"/>
      <c r="DL24" s="70"/>
      <c r="DM24" s="71"/>
      <c r="DN24" s="67"/>
      <c r="DO24" s="67"/>
      <c r="DP24" s="67"/>
      <c r="DQ24" s="67"/>
      <c r="DR24" s="67"/>
      <c r="DS24" s="67"/>
      <c r="DT24" s="67"/>
      <c r="DU24" s="68"/>
      <c r="DV24" s="70"/>
      <c r="DW24" s="70"/>
      <c r="DX24" s="70"/>
      <c r="DY24" s="71"/>
      <c r="DZ24" s="67"/>
      <c r="EA24" s="67"/>
      <c r="EB24" s="67"/>
      <c r="EC24" s="67"/>
      <c r="ED24" s="67"/>
      <c r="EE24" s="67"/>
      <c r="EF24" s="67"/>
      <c r="EG24" s="68"/>
      <c r="EH24" s="70"/>
      <c r="EI24" s="70"/>
      <c r="EJ24" s="70"/>
      <c r="EK24" s="71"/>
      <c r="EL24" s="67"/>
      <c r="EM24" s="67"/>
      <c r="EN24" s="67"/>
      <c r="EO24" s="67"/>
      <c r="EP24" s="67"/>
      <c r="EQ24" s="67"/>
      <c r="ER24" s="67"/>
      <c r="ES24" s="68"/>
    </row>
    <row r="25" spans="1:149" outlineLevel="1" x14ac:dyDescent="0.45">
      <c r="B25" s="73"/>
      <c r="C25" s="22">
        <v>1200000</v>
      </c>
      <c r="D25" s="23" t="s">
        <v>23</v>
      </c>
      <c r="E25" s="24">
        <f>SUM(F25:CW25)</f>
        <v>24600000</v>
      </c>
      <c r="F25" s="69">
        <f>IFERROR($C25*F24,"")</f>
        <v>1200000</v>
      </c>
      <c r="G25" s="62"/>
      <c r="H25" s="62"/>
      <c r="I25" s="62"/>
      <c r="J25" s="62">
        <f t="shared" ref="J25" si="53">IFERROR($C25*J24,"")</f>
        <v>1200000</v>
      </c>
      <c r="K25" s="62"/>
      <c r="L25" s="62"/>
      <c r="M25" s="62"/>
      <c r="N25" s="63">
        <f t="shared" ref="N25" si="54">IFERROR($C25*N24,"")</f>
        <v>1200000</v>
      </c>
      <c r="O25" s="64"/>
      <c r="P25" s="64"/>
      <c r="Q25" s="64"/>
      <c r="R25" s="64">
        <f t="shared" ref="R25" si="55">IFERROR($C25*R24,"")</f>
        <v>1200000</v>
      </c>
      <c r="S25" s="64"/>
      <c r="T25" s="64"/>
      <c r="U25" s="65"/>
      <c r="V25" s="62">
        <f t="shared" ref="V25" si="56">IFERROR($C25*V24,"")</f>
        <v>1200000</v>
      </c>
      <c r="W25" s="62"/>
      <c r="X25" s="62"/>
      <c r="Y25" s="62"/>
      <c r="Z25" s="62">
        <f t="shared" ref="Z25" si="57">IFERROR($C25*Z24,"")</f>
        <v>1200000</v>
      </c>
      <c r="AA25" s="62"/>
      <c r="AB25" s="62"/>
      <c r="AC25" s="63"/>
      <c r="AD25" s="64">
        <f t="shared" ref="AD25" si="58">IFERROR($C25*AD24,"")</f>
        <v>1200000</v>
      </c>
      <c r="AE25" s="64"/>
      <c r="AF25" s="64"/>
      <c r="AG25" s="65"/>
      <c r="AH25" s="62">
        <f t="shared" ref="AH25" si="59">IFERROR($C25*AH24,"")</f>
        <v>1200000</v>
      </c>
      <c r="AI25" s="62"/>
      <c r="AJ25" s="62"/>
      <c r="AK25" s="62"/>
      <c r="AL25" s="62">
        <f t="shared" ref="AL25" si="60">IFERROR($C25*AL24,"")</f>
        <v>1200000</v>
      </c>
      <c r="AM25" s="62"/>
      <c r="AN25" s="62"/>
      <c r="AO25" s="63"/>
      <c r="AP25" s="64">
        <f t="shared" ref="AP25" si="61">IFERROR($C25*AP24,"")</f>
        <v>1200000</v>
      </c>
      <c r="AQ25" s="64"/>
      <c r="AR25" s="64"/>
      <c r="AS25" s="65"/>
      <c r="AT25" s="62">
        <f t="shared" ref="AT25" si="62">IFERROR($C25*AT24,"")</f>
        <v>1200000</v>
      </c>
      <c r="AU25" s="62"/>
      <c r="AV25" s="62"/>
      <c r="AW25" s="62"/>
      <c r="AX25" s="62">
        <f t="shared" ref="AX25" si="63">IFERROR($C25*AX24,"")</f>
        <v>1200000</v>
      </c>
      <c r="AY25" s="62"/>
      <c r="AZ25" s="62"/>
      <c r="BA25" s="63"/>
      <c r="BB25" s="64">
        <f t="shared" ref="BB25" si="64">IFERROR($C25*BB24,"")</f>
        <v>1200000</v>
      </c>
      <c r="BC25" s="64"/>
      <c r="BD25" s="64"/>
      <c r="BE25" s="65"/>
      <c r="BF25" s="62">
        <f t="shared" ref="BF25" si="65">IFERROR($C25*BF24,"")</f>
        <v>1200000</v>
      </c>
      <c r="BG25" s="62"/>
      <c r="BH25" s="62"/>
      <c r="BI25" s="62"/>
      <c r="BJ25" s="62">
        <f t="shared" ref="BJ25" si="66">IFERROR($C25*BJ24,"")</f>
        <v>1200000</v>
      </c>
      <c r="BK25" s="62"/>
      <c r="BL25" s="62"/>
      <c r="BM25" s="63"/>
      <c r="BN25" s="64">
        <f t="shared" ref="BN25" si="67">IFERROR($C25*BN24,"")</f>
        <v>1200000</v>
      </c>
      <c r="BO25" s="64"/>
      <c r="BP25" s="64"/>
      <c r="BQ25" s="65"/>
      <c r="BR25" s="62">
        <f t="shared" ref="BR25" si="68">IFERROR($C25*BR24,"")</f>
        <v>1200000</v>
      </c>
      <c r="BS25" s="62"/>
      <c r="BT25" s="62"/>
      <c r="BU25" s="62"/>
      <c r="BV25" s="62">
        <f t="shared" ref="BV25" si="69">IFERROR($C25*BV24,"")</f>
        <v>1200000</v>
      </c>
      <c r="BW25" s="62"/>
      <c r="BX25" s="62"/>
      <c r="BY25" s="63"/>
      <c r="BZ25" s="64">
        <f t="shared" ref="BZ25" si="70">IFERROR($C25*BZ24,"")</f>
        <v>1200000</v>
      </c>
      <c r="CA25" s="64"/>
      <c r="CB25" s="64"/>
      <c r="CC25" s="65"/>
      <c r="CD25" s="62">
        <f t="shared" ref="CD25" si="71">IFERROR($C25*CD24,"")</f>
        <v>1200000</v>
      </c>
      <c r="CE25" s="62"/>
      <c r="CF25" s="62"/>
      <c r="CG25" s="62"/>
      <c r="CH25" s="62">
        <f t="shared" ref="CH25" si="72">IFERROR($C25*CH24,"")</f>
        <v>600000</v>
      </c>
      <c r="CI25" s="62"/>
      <c r="CJ25" s="62"/>
      <c r="CK25" s="63"/>
      <c r="CL25" s="64">
        <f t="shared" ref="CL25" si="73">IFERROR($C25*CL24,"")</f>
        <v>0</v>
      </c>
      <c r="CM25" s="64"/>
      <c r="CN25" s="64"/>
      <c r="CO25" s="65"/>
      <c r="CP25" s="62">
        <f t="shared" ref="CP25" si="74">IFERROR($C25*CP24,"")</f>
        <v>0</v>
      </c>
      <c r="CQ25" s="62"/>
      <c r="CR25" s="62"/>
      <c r="CS25" s="62"/>
      <c r="CT25" s="62">
        <f t="shared" ref="CT25" si="75">IFERROR($C25*CT24,"")</f>
        <v>0</v>
      </c>
      <c r="CU25" s="62"/>
      <c r="CV25" s="62"/>
      <c r="CW25" s="63"/>
      <c r="CX25" s="64">
        <f t="shared" ref="CX25" si="76">IFERROR($C25*CX24,"")</f>
        <v>0</v>
      </c>
      <c r="CY25" s="64"/>
      <c r="CZ25" s="64"/>
      <c r="DA25" s="65"/>
      <c r="DB25" s="62">
        <f t="shared" ref="DB25" si="77">IFERROR($C25*DB24,"")</f>
        <v>0</v>
      </c>
      <c r="DC25" s="62"/>
      <c r="DD25" s="62"/>
      <c r="DE25" s="62"/>
      <c r="DF25" s="62">
        <f t="shared" ref="DF25" si="78">IFERROR($C25*DF24,"")</f>
        <v>0</v>
      </c>
      <c r="DG25" s="62"/>
      <c r="DH25" s="62"/>
      <c r="DI25" s="63"/>
      <c r="DJ25" s="64">
        <f t="shared" ref="DJ25" si="79">IFERROR($C25*DJ24,"")</f>
        <v>0</v>
      </c>
      <c r="DK25" s="64"/>
      <c r="DL25" s="64"/>
      <c r="DM25" s="65"/>
      <c r="DN25" s="62">
        <f t="shared" ref="DN25" si="80">IFERROR($C25*DN24,"")</f>
        <v>0</v>
      </c>
      <c r="DO25" s="62"/>
      <c r="DP25" s="62"/>
      <c r="DQ25" s="62"/>
      <c r="DR25" s="62">
        <f t="shared" ref="DR25" si="81">IFERROR($C25*DR24,"")</f>
        <v>0</v>
      </c>
      <c r="DS25" s="62"/>
      <c r="DT25" s="62"/>
      <c r="DU25" s="63"/>
      <c r="DV25" s="64">
        <f t="shared" ref="DV25" si="82">IFERROR($C25*DV24,"")</f>
        <v>0</v>
      </c>
      <c r="DW25" s="64"/>
      <c r="DX25" s="64"/>
      <c r="DY25" s="65"/>
      <c r="DZ25" s="62">
        <f t="shared" ref="DZ25" si="83">IFERROR($C25*DZ24,"")</f>
        <v>0</v>
      </c>
      <c r="EA25" s="62"/>
      <c r="EB25" s="62"/>
      <c r="EC25" s="62"/>
      <c r="ED25" s="62">
        <f t="shared" ref="ED25" si="84">IFERROR($C25*ED24,"")</f>
        <v>0</v>
      </c>
      <c r="EE25" s="62"/>
      <c r="EF25" s="62"/>
      <c r="EG25" s="63"/>
      <c r="EH25" s="64">
        <f t="shared" ref="EH25" si="85">IFERROR($C25*EH24,"")</f>
        <v>0</v>
      </c>
      <c r="EI25" s="64"/>
      <c r="EJ25" s="64"/>
      <c r="EK25" s="65"/>
      <c r="EL25" s="62">
        <f t="shared" ref="EL25" si="86">IFERROR($C25*EL24,"")</f>
        <v>0</v>
      </c>
      <c r="EM25" s="62"/>
      <c r="EN25" s="62"/>
      <c r="EO25" s="62"/>
      <c r="EP25" s="62">
        <f t="shared" ref="EP25" si="87">IFERROR($C25*EP24,"")</f>
        <v>0</v>
      </c>
      <c r="EQ25" s="62"/>
      <c r="ER25" s="62"/>
      <c r="ES25" s="63"/>
    </row>
    <row r="26" spans="1:149" outlineLevel="1" x14ac:dyDescent="0.45">
      <c r="B26" s="78"/>
      <c r="C26" s="25">
        <v>600000</v>
      </c>
      <c r="D26" s="26" t="s">
        <v>3</v>
      </c>
      <c r="E26" s="27">
        <f>SUM(F26:CW26)</f>
        <v>12300000</v>
      </c>
      <c r="F26" s="66">
        <f>IFERROR($C26*F24,"")</f>
        <v>600000</v>
      </c>
      <c r="G26" s="60"/>
      <c r="H26" s="60"/>
      <c r="I26" s="60"/>
      <c r="J26" s="60">
        <f t="shared" ref="J26" si="88">IFERROR($C26*J24,"")</f>
        <v>600000</v>
      </c>
      <c r="K26" s="60"/>
      <c r="L26" s="60"/>
      <c r="M26" s="60"/>
      <c r="N26" s="61">
        <f t="shared" ref="N26" si="89">IFERROR($C26*N24,"")</f>
        <v>600000</v>
      </c>
      <c r="O26" s="58"/>
      <c r="P26" s="58"/>
      <c r="Q26" s="58"/>
      <c r="R26" s="58">
        <f t="shared" ref="R26" si="90">IFERROR($C26*R24,"")</f>
        <v>600000</v>
      </c>
      <c r="S26" s="58"/>
      <c r="T26" s="58"/>
      <c r="U26" s="59"/>
      <c r="V26" s="60">
        <f t="shared" ref="V26" si="91">IFERROR($C26*V24,"")</f>
        <v>600000</v>
      </c>
      <c r="W26" s="60"/>
      <c r="X26" s="60"/>
      <c r="Y26" s="60"/>
      <c r="Z26" s="60">
        <f t="shared" ref="Z26" si="92">IFERROR($C26*Z24,"")</f>
        <v>600000</v>
      </c>
      <c r="AA26" s="60"/>
      <c r="AB26" s="60"/>
      <c r="AC26" s="61"/>
      <c r="AD26" s="58">
        <f t="shared" ref="AD26" si="93">IFERROR($C26*AD24,"")</f>
        <v>600000</v>
      </c>
      <c r="AE26" s="58"/>
      <c r="AF26" s="58"/>
      <c r="AG26" s="59"/>
      <c r="AH26" s="60">
        <f t="shared" ref="AH26" si="94">IFERROR($C26*AH24,"")</f>
        <v>600000</v>
      </c>
      <c r="AI26" s="60"/>
      <c r="AJ26" s="60"/>
      <c r="AK26" s="60"/>
      <c r="AL26" s="60">
        <f t="shared" ref="AL26" si="95">IFERROR($C26*AL24,"")</f>
        <v>600000</v>
      </c>
      <c r="AM26" s="60"/>
      <c r="AN26" s="60"/>
      <c r="AO26" s="61"/>
      <c r="AP26" s="58">
        <f t="shared" ref="AP26" si="96">IFERROR($C26*AP24,"")</f>
        <v>600000</v>
      </c>
      <c r="AQ26" s="58"/>
      <c r="AR26" s="58"/>
      <c r="AS26" s="59"/>
      <c r="AT26" s="60">
        <f t="shared" ref="AT26" si="97">IFERROR($C26*AT24,"")</f>
        <v>600000</v>
      </c>
      <c r="AU26" s="60"/>
      <c r="AV26" s="60"/>
      <c r="AW26" s="60"/>
      <c r="AX26" s="60">
        <f t="shared" ref="AX26" si="98">IFERROR($C26*AX24,"")</f>
        <v>600000</v>
      </c>
      <c r="AY26" s="60"/>
      <c r="AZ26" s="60"/>
      <c r="BA26" s="61"/>
      <c r="BB26" s="58">
        <f t="shared" ref="BB26" si="99">IFERROR($C26*BB24,"")</f>
        <v>600000</v>
      </c>
      <c r="BC26" s="58"/>
      <c r="BD26" s="58"/>
      <c r="BE26" s="59"/>
      <c r="BF26" s="60">
        <f t="shared" ref="BF26" si="100">IFERROR($C26*BF24,"")</f>
        <v>600000</v>
      </c>
      <c r="BG26" s="60"/>
      <c r="BH26" s="60"/>
      <c r="BI26" s="60"/>
      <c r="BJ26" s="60">
        <f t="shared" ref="BJ26" si="101">IFERROR($C26*BJ24,"")</f>
        <v>600000</v>
      </c>
      <c r="BK26" s="60"/>
      <c r="BL26" s="60"/>
      <c r="BM26" s="61"/>
      <c r="BN26" s="58">
        <f t="shared" ref="BN26:CP26" si="102">IFERROR($C26*BN24,"")</f>
        <v>600000</v>
      </c>
      <c r="BO26" s="58"/>
      <c r="BP26" s="58"/>
      <c r="BQ26" s="59"/>
      <c r="BR26" s="60">
        <f t="shared" si="102"/>
        <v>600000</v>
      </c>
      <c r="BS26" s="60"/>
      <c r="BT26" s="60"/>
      <c r="BU26" s="60"/>
      <c r="BV26" s="60">
        <f t="shared" si="102"/>
        <v>600000</v>
      </c>
      <c r="BW26" s="60"/>
      <c r="BX26" s="60"/>
      <c r="BY26" s="61"/>
      <c r="BZ26" s="58">
        <f t="shared" si="102"/>
        <v>600000</v>
      </c>
      <c r="CA26" s="58"/>
      <c r="CB26" s="58"/>
      <c r="CC26" s="59"/>
      <c r="CD26" s="60">
        <f t="shared" si="102"/>
        <v>600000</v>
      </c>
      <c r="CE26" s="60"/>
      <c r="CF26" s="60"/>
      <c r="CG26" s="60"/>
      <c r="CH26" s="60">
        <f t="shared" si="102"/>
        <v>300000</v>
      </c>
      <c r="CI26" s="60"/>
      <c r="CJ26" s="60"/>
      <c r="CK26" s="61"/>
      <c r="CL26" s="58">
        <f t="shared" si="102"/>
        <v>0</v>
      </c>
      <c r="CM26" s="58"/>
      <c r="CN26" s="58"/>
      <c r="CO26" s="59"/>
      <c r="CP26" s="60">
        <f t="shared" si="102"/>
        <v>0</v>
      </c>
      <c r="CQ26" s="60"/>
      <c r="CR26" s="60"/>
      <c r="CS26" s="60"/>
      <c r="CT26" s="60">
        <f t="shared" ref="CT26:DV26" si="103">IFERROR($C26*CT24,"")</f>
        <v>0</v>
      </c>
      <c r="CU26" s="60"/>
      <c r="CV26" s="60"/>
      <c r="CW26" s="61"/>
      <c r="CX26" s="58">
        <f t="shared" si="103"/>
        <v>0</v>
      </c>
      <c r="CY26" s="58"/>
      <c r="CZ26" s="58"/>
      <c r="DA26" s="59"/>
      <c r="DB26" s="60">
        <f t="shared" si="103"/>
        <v>0</v>
      </c>
      <c r="DC26" s="60"/>
      <c r="DD26" s="60"/>
      <c r="DE26" s="60"/>
      <c r="DF26" s="60">
        <f t="shared" si="103"/>
        <v>0</v>
      </c>
      <c r="DG26" s="60"/>
      <c r="DH26" s="60"/>
      <c r="DI26" s="61"/>
      <c r="DJ26" s="58">
        <f t="shared" si="103"/>
        <v>0</v>
      </c>
      <c r="DK26" s="58"/>
      <c r="DL26" s="58"/>
      <c r="DM26" s="59"/>
      <c r="DN26" s="60">
        <f t="shared" si="103"/>
        <v>0</v>
      </c>
      <c r="DO26" s="60"/>
      <c r="DP26" s="60"/>
      <c r="DQ26" s="60"/>
      <c r="DR26" s="60">
        <f t="shared" si="103"/>
        <v>0</v>
      </c>
      <c r="DS26" s="60"/>
      <c r="DT26" s="60"/>
      <c r="DU26" s="61"/>
      <c r="DV26" s="58">
        <f t="shared" si="103"/>
        <v>0</v>
      </c>
      <c r="DW26" s="58"/>
      <c r="DX26" s="58"/>
      <c r="DY26" s="59"/>
      <c r="DZ26" s="60">
        <f t="shared" ref="DZ26" si="104">IFERROR($C26*DZ24,"")</f>
        <v>0</v>
      </c>
      <c r="EA26" s="60"/>
      <c r="EB26" s="60"/>
      <c r="EC26" s="60"/>
      <c r="ED26" s="60">
        <f t="shared" ref="ED26" si="105">IFERROR($C26*ED24,"")</f>
        <v>0</v>
      </c>
      <c r="EE26" s="60"/>
      <c r="EF26" s="60"/>
      <c r="EG26" s="61"/>
      <c r="EH26" s="58">
        <f t="shared" ref="EH26" si="106">IFERROR($C26*EH24,"")</f>
        <v>0</v>
      </c>
      <c r="EI26" s="58"/>
      <c r="EJ26" s="58"/>
      <c r="EK26" s="59"/>
      <c r="EL26" s="60">
        <f t="shared" ref="EL26" si="107">IFERROR($C26*EL24,"")</f>
        <v>0</v>
      </c>
      <c r="EM26" s="60"/>
      <c r="EN26" s="60"/>
      <c r="EO26" s="60"/>
      <c r="EP26" s="60">
        <f t="shared" ref="EP26" si="108">IFERROR($C26*EP24,"")</f>
        <v>0</v>
      </c>
      <c r="EQ26" s="60"/>
      <c r="ER26" s="60"/>
      <c r="ES26" s="61"/>
    </row>
    <row r="27" spans="1:149" outlineLevel="1" x14ac:dyDescent="0.45">
      <c r="B27" s="72" t="s">
        <v>36</v>
      </c>
      <c r="C27" s="19"/>
      <c r="D27" s="20" t="s">
        <v>13</v>
      </c>
      <c r="E27" s="21">
        <f>SUM(F27:ES27)</f>
        <v>12</v>
      </c>
      <c r="F27" s="74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70"/>
      <c r="S27" s="70"/>
      <c r="T27" s="70"/>
      <c r="U27" s="71"/>
      <c r="V27" s="67">
        <v>1</v>
      </c>
      <c r="W27" s="67"/>
      <c r="X27" s="67"/>
      <c r="Y27" s="67"/>
      <c r="Z27" s="67">
        <v>1</v>
      </c>
      <c r="AA27" s="67"/>
      <c r="AB27" s="67"/>
      <c r="AC27" s="68"/>
      <c r="AD27" s="67">
        <v>1</v>
      </c>
      <c r="AE27" s="67"/>
      <c r="AF27" s="67"/>
      <c r="AG27" s="67"/>
      <c r="AH27" s="67">
        <v>1</v>
      </c>
      <c r="AI27" s="67"/>
      <c r="AJ27" s="67"/>
      <c r="AK27" s="67"/>
      <c r="AL27" s="67">
        <v>1</v>
      </c>
      <c r="AM27" s="67"/>
      <c r="AN27" s="67"/>
      <c r="AO27" s="68"/>
      <c r="AP27" s="70">
        <v>1</v>
      </c>
      <c r="AQ27" s="70"/>
      <c r="AR27" s="70"/>
      <c r="AS27" s="71"/>
      <c r="AT27" s="67">
        <v>1</v>
      </c>
      <c r="AU27" s="67"/>
      <c r="AV27" s="67"/>
      <c r="AW27" s="67"/>
      <c r="AX27" s="67">
        <v>1</v>
      </c>
      <c r="AY27" s="67"/>
      <c r="AZ27" s="67"/>
      <c r="BA27" s="68"/>
      <c r="BB27" s="70">
        <v>1</v>
      </c>
      <c r="BC27" s="70"/>
      <c r="BD27" s="70"/>
      <c r="BE27" s="71"/>
      <c r="BF27" s="67">
        <v>1</v>
      </c>
      <c r="BG27" s="67"/>
      <c r="BH27" s="67"/>
      <c r="BI27" s="67"/>
      <c r="BJ27" s="67">
        <v>1</v>
      </c>
      <c r="BK27" s="67"/>
      <c r="BL27" s="67"/>
      <c r="BM27" s="68"/>
      <c r="BN27" s="70">
        <v>1</v>
      </c>
      <c r="BO27" s="70"/>
      <c r="BP27" s="70"/>
      <c r="BQ27" s="71"/>
      <c r="BR27" s="67"/>
      <c r="BS27" s="67"/>
      <c r="BT27" s="67"/>
      <c r="BU27" s="67"/>
      <c r="BV27" s="67"/>
      <c r="BW27" s="67"/>
      <c r="BX27" s="67"/>
      <c r="BY27" s="68"/>
      <c r="BZ27" s="70"/>
      <c r="CA27" s="70"/>
      <c r="CB27" s="70"/>
      <c r="CC27" s="71"/>
      <c r="CD27" s="67"/>
      <c r="CE27" s="67"/>
      <c r="CF27" s="67"/>
      <c r="CG27" s="67"/>
      <c r="CH27" s="67"/>
      <c r="CI27" s="67"/>
      <c r="CJ27" s="67"/>
      <c r="CK27" s="68"/>
      <c r="CL27" s="70"/>
      <c r="CM27" s="70"/>
      <c r="CN27" s="70"/>
      <c r="CO27" s="71"/>
      <c r="CP27" s="67"/>
      <c r="CQ27" s="67"/>
      <c r="CR27" s="67"/>
      <c r="CS27" s="67"/>
      <c r="CT27" s="67"/>
      <c r="CU27" s="67"/>
      <c r="CV27" s="67"/>
      <c r="CW27" s="68"/>
      <c r="CX27" s="70"/>
      <c r="CY27" s="70"/>
      <c r="CZ27" s="70"/>
      <c r="DA27" s="71"/>
      <c r="DB27" s="67"/>
      <c r="DC27" s="67"/>
      <c r="DD27" s="67"/>
      <c r="DE27" s="67"/>
      <c r="DF27" s="67"/>
      <c r="DG27" s="67"/>
      <c r="DH27" s="67"/>
      <c r="DI27" s="68"/>
      <c r="DJ27" s="70"/>
      <c r="DK27" s="70"/>
      <c r="DL27" s="70"/>
      <c r="DM27" s="71"/>
      <c r="DN27" s="67"/>
      <c r="DO27" s="67"/>
      <c r="DP27" s="67"/>
      <c r="DQ27" s="67"/>
      <c r="DR27" s="67"/>
      <c r="DS27" s="67"/>
      <c r="DT27" s="67"/>
      <c r="DU27" s="68"/>
      <c r="DV27" s="70"/>
      <c r="DW27" s="70"/>
      <c r="DX27" s="70"/>
      <c r="DY27" s="71"/>
      <c r="DZ27" s="67"/>
      <c r="EA27" s="67"/>
      <c r="EB27" s="67"/>
      <c r="EC27" s="67"/>
      <c r="ED27" s="67"/>
      <c r="EE27" s="67"/>
      <c r="EF27" s="67"/>
      <c r="EG27" s="68"/>
      <c r="EH27" s="70"/>
      <c r="EI27" s="70"/>
      <c r="EJ27" s="70"/>
      <c r="EK27" s="71"/>
      <c r="EL27" s="67"/>
      <c r="EM27" s="67"/>
      <c r="EN27" s="67"/>
      <c r="EO27" s="67"/>
      <c r="EP27" s="67"/>
      <c r="EQ27" s="67"/>
      <c r="ER27" s="67"/>
      <c r="ES27" s="68"/>
    </row>
    <row r="28" spans="1:149" outlineLevel="1" x14ac:dyDescent="0.45">
      <c r="B28" s="73"/>
      <c r="C28" s="22">
        <v>1400000</v>
      </c>
      <c r="D28" s="23" t="s">
        <v>23</v>
      </c>
      <c r="E28" s="24">
        <f>SUM(F28:CW28)</f>
        <v>16800000</v>
      </c>
      <c r="F28" s="69">
        <f>IFERROR($C28*F27,"")</f>
        <v>0</v>
      </c>
      <c r="G28" s="62"/>
      <c r="H28" s="62"/>
      <c r="I28" s="62"/>
      <c r="J28" s="62">
        <f t="shared" ref="J28" si="109">IFERROR($C28*J27,"")</f>
        <v>0</v>
      </c>
      <c r="K28" s="62"/>
      <c r="L28" s="62"/>
      <c r="M28" s="62"/>
      <c r="N28" s="63">
        <f t="shared" ref="N28" si="110">IFERROR($C28*N27,"")</f>
        <v>0</v>
      </c>
      <c r="O28" s="64"/>
      <c r="P28" s="64"/>
      <c r="Q28" s="64"/>
      <c r="R28" s="64">
        <f t="shared" ref="R28" si="111">IFERROR($C28*R27,"")</f>
        <v>0</v>
      </c>
      <c r="S28" s="64"/>
      <c r="T28" s="64"/>
      <c r="U28" s="65"/>
      <c r="V28" s="62">
        <f t="shared" ref="V28" si="112">IFERROR($C28*V27,"")</f>
        <v>1400000</v>
      </c>
      <c r="W28" s="62"/>
      <c r="X28" s="62"/>
      <c r="Y28" s="62"/>
      <c r="Z28" s="62">
        <f t="shared" ref="Z28" si="113">IFERROR($C28*Z27,"")</f>
        <v>1400000</v>
      </c>
      <c r="AA28" s="62"/>
      <c r="AB28" s="62"/>
      <c r="AC28" s="63"/>
      <c r="AD28" s="64">
        <f t="shared" ref="AD28" si="114">IFERROR($C28*AD27,"")</f>
        <v>1400000</v>
      </c>
      <c r="AE28" s="64"/>
      <c r="AF28" s="64"/>
      <c r="AG28" s="65"/>
      <c r="AH28" s="62">
        <f t="shared" ref="AH28" si="115">IFERROR($C28*AH27,"")</f>
        <v>1400000</v>
      </c>
      <c r="AI28" s="62"/>
      <c r="AJ28" s="62"/>
      <c r="AK28" s="62"/>
      <c r="AL28" s="62">
        <f t="shared" ref="AL28" si="116">IFERROR($C28*AL27,"")</f>
        <v>1400000</v>
      </c>
      <c r="AM28" s="62"/>
      <c r="AN28" s="62"/>
      <c r="AO28" s="63"/>
      <c r="AP28" s="64">
        <f t="shared" ref="AP28" si="117">IFERROR($C28*AP27,"")</f>
        <v>1400000</v>
      </c>
      <c r="AQ28" s="64"/>
      <c r="AR28" s="64"/>
      <c r="AS28" s="65"/>
      <c r="AT28" s="62">
        <f t="shared" ref="AT28" si="118">IFERROR($C28*AT27,"")</f>
        <v>1400000</v>
      </c>
      <c r="AU28" s="62"/>
      <c r="AV28" s="62"/>
      <c r="AW28" s="62"/>
      <c r="AX28" s="62">
        <f t="shared" ref="AX28" si="119">IFERROR($C28*AX27,"")</f>
        <v>1400000</v>
      </c>
      <c r="AY28" s="62"/>
      <c r="AZ28" s="62"/>
      <c r="BA28" s="63"/>
      <c r="BB28" s="64">
        <f t="shared" ref="BB28" si="120">IFERROR($C28*BB27,"")</f>
        <v>1400000</v>
      </c>
      <c r="BC28" s="64"/>
      <c r="BD28" s="64"/>
      <c r="BE28" s="65"/>
      <c r="BF28" s="62">
        <f t="shared" ref="BF28" si="121">IFERROR($C28*BF27,"")</f>
        <v>1400000</v>
      </c>
      <c r="BG28" s="62"/>
      <c r="BH28" s="62"/>
      <c r="BI28" s="62"/>
      <c r="BJ28" s="62">
        <f t="shared" ref="BJ28" si="122">IFERROR($C28*BJ27,"")</f>
        <v>1400000</v>
      </c>
      <c r="BK28" s="62"/>
      <c r="BL28" s="62"/>
      <c r="BM28" s="63"/>
      <c r="BN28" s="64">
        <f t="shared" ref="BN28" si="123">IFERROR($C28*BN27,"")</f>
        <v>1400000</v>
      </c>
      <c r="BO28" s="64"/>
      <c r="BP28" s="64"/>
      <c r="BQ28" s="65"/>
      <c r="BR28" s="62">
        <f t="shared" ref="BR28" si="124">IFERROR($C28*BR27,"")</f>
        <v>0</v>
      </c>
      <c r="BS28" s="62"/>
      <c r="BT28" s="62"/>
      <c r="BU28" s="62"/>
      <c r="BV28" s="62">
        <f t="shared" ref="BV28" si="125">IFERROR($C28*BV27,"")</f>
        <v>0</v>
      </c>
      <c r="BW28" s="62"/>
      <c r="BX28" s="62"/>
      <c r="BY28" s="63"/>
      <c r="BZ28" s="64">
        <f t="shared" ref="BZ28" si="126">IFERROR($C28*BZ27,"")</f>
        <v>0</v>
      </c>
      <c r="CA28" s="64"/>
      <c r="CB28" s="64"/>
      <c r="CC28" s="65"/>
      <c r="CD28" s="62">
        <f t="shared" ref="CD28" si="127">IFERROR($C28*CD27,"")</f>
        <v>0</v>
      </c>
      <c r="CE28" s="62"/>
      <c r="CF28" s="62"/>
      <c r="CG28" s="62"/>
      <c r="CH28" s="62">
        <f t="shared" ref="CH28" si="128">IFERROR($C28*CH27,"")</f>
        <v>0</v>
      </c>
      <c r="CI28" s="62"/>
      <c r="CJ28" s="62"/>
      <c r="CK28" s="63"/>
      <c r="CL28" s="64">
        <f t="shared" ref="CL28" si="129">IFERROR($C28*CL27,"")</f>
        <v>0</v>
      </c>
      <c r="CM28" s="64"/>
      <c r="CN28" s="64"/>
      <c r="CO28" s="65"/>
      <c r="CP28" s="62">
        <f t="shared" ref="CP28" si="130">IFERROR($C28*CP27,"")</f>
        <v>0</v>
      </c>
      <c r="CQ28" s="62"/>
      <c r="CR28" s="62"/>
      <c r="CS28" s="62"/>
      <c r="CT28" s="62">
        <f t="shared" ref="CT28" si="131">IFERROR($C28*CT27,"")</f>
        <v>0</v>
      </c>
      <c r="CU28" s="62"/>
      <c r="CV28" s="62"/>
      <c r="CW28" s="63"/>
      <c r="CX28" s="64">
        <f t="shared" ref="CX28" si="132">IFERROR($C28*CX27,"")</f>
        <v>0</v>
      </c>
      <c r="CY28" s="64"/>
      <c r="CZ28" s="64"/>
      <c r="DA28" s="65"/>
      <c r="DB28" s="62">
        <f t="shared" ref="DB28" si="133">IFERROR($C28*DB27,"")</f>
        <v>0</v>
      </c>
      <c r="DC28" s="62"/>
      <c r="DD28" s="62"/>
      <c r="DE28" s="62"/>
      <c r="DF28" s="62">
        <f t="shared" ref="DF28" si="134">IFERROR($C28*DF27,"")</f>
        <v>0</v>
      </c>
      <c r="DG28" s="62"/>
      <c r="DH28" s="62"/>
      <c r="DI28" s="63"/>
      <c r="DJ28" s="64">
        <f t="shared" ref="DJ28" si="135">IFERROR($C28*DJ27,"")</f>
        <v>0</v>
      </c>
      <c r="DK28" s="64"/>
      <c r="DL28" s="64"/>
      <c r="DM28" s="65"/>
      <c r="DN28" s="62">
        <f t="shared" ref="DN28" si="136">IFERROR($C28*DN27,"")</f>
        <v>0</v>
      </c>
      <c r="DO28" s="62"/>
      <c r="DP28" s="62"/>
      <c r="DQ28" s="62"/>
      <c r="DR28" s="62">
        <f t="shared" ref="DR28" si="137">IFERROR($C28*DR27,"")</f>
        <v>0</v>
      </c>
      <c r="DS28" s="62"/>
      <c r="DT28" s="62"/>
      <c r="DU28" s="63"/>
      <c r="DV28" s="64">
        <f t="shared" ref="DV28" si="138">IFERROR($C28*DV27,"")</f>
        <v>0</v>
      </c>
      <c r="DW28" s="64"/>
      <c r="DX28" s="64"/>
      <c r="DY28" s="65"/>
      <c r="DZ28" s="62">
        <f t="shared" ref="DZ28" si="139">IFERROR($C28*DZ27,"")</f>
        <v>0</v>
      </c>
      <c r="EA28" s="62"/>
      <c r="EB28" s="62"/>
      <c r="EC28" s="62"/>
      <c r="ED28" s="62">
        <f t="shared" ref="ED28" si="140">IFERROR($C28*ED27,"")</f>
        <v>0</v>
      </c>
      <c r="EE28" s="62"/>
      <c r="EF28" s="62"/>
      <c r="EG28" s="63"/>
      <c r="EH28" s="64">
        <f t="shared" ref="EH28" si="141">IFERROR($C28*EH27,"")</f>
        <v>0</v>
      </c>
      <c r="EI28" s="64"/>
      <c r="EJ28" s="64"/>
      <c r="EK28" s="65"/>
      <c r="EL28" s="62">
        <f t="shared" ref="EL28" si="142">IFERROR($C28*EL27,"")</f>
        <v>0</v>
      </c>
      <c r="EM28" s="62"/>
      <c r="EN28" s="62"/>
      <c r="EO28" s="62"/>
      <c r="EP28" s="62">
        <f t="shared" ref="EP28" si="143">IFERROR($C28*EP27,"")</f>
        <v>0</v>
      </c>
      <c r="EQ28" s="62"/>
      <c r="ER28" s="62"/>
      <c r="ES28" s="63"/>
    </row>
    <row r="29" spans="1:149" outlineLevel="1" x14ac:dyDescent="0.45">
      <c r="B29" s="78"/>
      <c r="C29" s="25">
        <v>1200000</v>
      </c>
      <c r="D29" s="26" t="s">
        <v>3</v>
      </c>
      <c r="E29" s="27">
        <f>SUM(F29:CW29)</f>
        <v>14400000</v>
      </c>
      <c r="F29" s="66">
        <f>IFERROR($C29*F27,"")</f>
        <v>0</v>
      </c>
      <c r="G29" s="60"/>
      <c r="H29" s="60"/>
      <c r="I29" s="60"/>
      <c r="J29" s="60">
        <f t="shared" ref="J29" si="144">IFERROR($C29*J27,"")</f>
        <v>0</v>
      </c>
      <c r="K29" s="60"/>
      <c r="L29" s="60"/>
      <c r="M29" s="60"/>
      <c r="N29" s="61">
        <f t="shared" ref="N29" si="145">IFERROR($C29*N27,"")</f>
        <v>0</v>
      </c>
      <c r="O29" s="58"/>
      <c r="P29" s="58"/>
      <c r="Q29" s="58"/>
      <c r="R29" s="58">
        <f t="shared" ref="R29" si="146">IFERROR($C29*R27,"")</f>
        <v>0</v>
      </c>
      <c r="S29" s="58"/>
      <c r="T29" s="58"/>
      <c r="U29" s="59"/>
      <c r="V29" s="60">
        <f t="shared" ref="V29" si="147">IFERROR($C29*V27,"")</f>
        <v>1200000</v>
      </c>
      <c r="W29" s="60"/>
      <c r="X29" s="60"/>
      <c r="Y29" s="60"/>
      <c r="Z29" s="60">
        <f t="shared" ref="Z29" si="148">IFERROR($C29*Z27,"")</f>
        <v>1200000</v>
      </c>
      <c r="AA29" s="60"/>
      <c r="AB29" s="60"/>
      <c r="AC29" s="61"/>
      <c r="AD29" s="58">
        <f t="shared" ref="AD29" si="149">IFERROR($C29*AD27,"")</f>
        <v>1200000</v>
      </c>
      <c r="AE29" s="58"/>
      <c r="AF29" s="58"/>
      <c r="AG29" s="59"/>
      <c r="AH29" s="60">
        <f t="shared" ref="AH29" si="150">IFERROR($C29*AH27,"")</f>
        <v>1200000</v>
      </c>
      <c r="AI29" s="60"/>
      <c r="AJ29" s="60"/>
      <c r="AK29" s="60"/>
      <c r="AL29" s="60">
        <f t="shared" ref="AL29" si="151">IFERROR($C29*AL27,"")</f>
        <v>1200000</v>
      </c>
      <c r="AM29" s="60"/>
      <c r="AN29" s="60"/>
      <c r="AO29" s="61"/>
      <c r="AP29" s="58">
        <f t="shared" ref="AP29" si="152">IFERROR($C29*AP27,"")</f>
        <v>1200000</v>
      </c>
      <c r="AQ29" s="58"/>
      <c r="AR29" s="58"/>
      <c r="AS29" s="59"/>
      <c r="AT29" s="60">
        <f t="shared" ref="AT29" si="153">IFERROR($C29*AT27,"")</f>
        <v>1200000</v>
      </c>
      <c r="AU29" s="60"/>
      <c r="AV29" s="60"/>
      <c r="AW29" s="60"/>
      <c r="AX29" s="60">
        <f t="shared" ref="AX29" si="154">IFERROR($C29*AX27,"")</f>
        <v>1200000</v>
      </c>
      <c r="AY29" s="60"/>
      <c r="AZ29" s="60"/>
      <c r="BA29" s="61"/>
      <c r="BB29" s="58">
        <f t="shared" ref="BB29" si="155">IFERROR($C29*BB27,"")</f>
        <v>1200000</v>
      </c>
      <c r="BC29" s="58"/>
      <c r="BD29" s="58"/>
      <c r="BE29" s="59"/>
      <c r="BF29" s="60">
        <f t="shared" ref="BF29" si="156">IFERROR($C29*BF27,"")</f>
        <v>1200000</v>
      </c>
      <c r="BG29" s="60"/>
      <c r="BH29" s="60"/>
      <c r="BI29" s="60"/>
      <c r="BJ29" s="60">
        <f t="shared" ref="BJ29" si="157">IFERROR($C29*BJ27,"")</f>
        <v>1200000</v>
      </c>
      <c r="BK29" s="60"/>
      <c r="BL29" s="60"/>
      <c r="BM29" s="61"/>
      <c r="BN29" s="58">
        <f t="shared" ref="BN29:CP29" si="158">IFERROR($C29*BN27,"")</f>
        <v>1200000</v>
      </c>
      <c r="BO29" s="58"/>
      <c r="BP29" s="58"/>
      <c r="BQ29" s="59"/>
      <c r="BR29" s="60">
        <f t="shared" si="158"/>
        <v>0</v>
      </c>
      <c r="BS29" s="60"/>
      <c r="BT29" s="60"/>
      <c r="BU29" s="60"/>
      <c r="BV29" s="60">
        <f t="shared" si="158"/>
        <v>0</v>
      </c>
      <c r="BW29" s="60"/>
      <c r="BX29" s="60"/>
      <c r="BY29" s="61"/>
      <c r="BZ29" s="58">
        <f t="shared" si="158"/>
        <v>0</v>
      </c>
      <c r="CA29" s="58"/>
      <c r="CB29" s="58"/>
      <c r="CC29" s="59"/>
      <c r="CD29" s="60">
        <f t="shared" si="158"/>
        <v>0</v>
      </c>
      <c r="CE29" s="60"/>
      <c r="CF29" s="60"/>
      <c r="CG29" s="60"/>
      <c r="CH29" s="60">
        <f t="shared" si="158"/>
        <v>0</v>
      </c>
      <c r="CI29" s="60"/>
      <c r="CJ29" s="60"/>
      <c r="CK29" s="61"/>
      <c r="CL29" s="58">
        <f t="shared" si="158"/>
        <v>0</v>
      </c>
      <c r="CM29" s="58"/>
      <c r="CN29" s="58"/>
      <c r="CO29" s="59"/>
      <c r="CP29" s="60">
        <f t="shared" si="158"/>
        <v>0</v>
      </c>
      <c r="CQ29" s="60"/>
      <c r="CR29" s="60"/>
      <c r="CS29" s="60"/>
      <c r="CT29" s="60">
        <f t="shared" ref="CT29:DN29" si="159">IFERROR($C29*CT27,"")</f>
        <v>0</v>
      </c>
      <c r="CU29" s="60"/>
      <c r="CV29" s="60"/>
      <c r="CW29" s="61"/>
      <c r="CX29" s="58">
        <f t="shared" si="159"/>
        <v>0</v>
      </c>
      <c r="CY29" s="58"/>
      <c r="CZ29" s="58"/>
      <c r="DA29" s="59"/>
      <c r="DB29" s="60">
        <f t="shared" si="159"/>
        <v>0</v>
      </c>
      <c r="DC29" s="60"/>
      <c r="DD29" s="60"/>
      <c r="DE29" s="60"/>
      <c r="DF29" s="60">
        <f t="shared" si="159"/>
        <v>0</v>
      </c>
      <c r="DG29" s="60"/>
      <c r="DH29" s="60"/>
      <c r="DI29" s="61"/>
      <c r="DJ29" s="58">
        <f t="shared" si="159"/>
        <v>0</v>
      </c>
      <c r="DK29" s="58"/>
      <c r="DL29" s="58"/>
      <c r="DM29" s="59"/>
      <c r="DN29" s="60">
        <f t="shared" si="159"/>
        <v>0</v>
      </c>
      <c r="DO29" s="60"/>
      <c r="DP29" s="60"/>
      <c r="DQ29" s="60"/>
      <c r="DR29" s="60">
        <f t="shared" ref="DR29" si="160">IFERROR($C29*DR27,"")</f>
        <v>0</v>
      </c>
      <c r="DS29" s="60"/>
      <c r="DT29" s="60"/>
      <c r="DU29" s="61"/>
      <c r="DV29" s="58">
        <f t="shared" ref="DV29:EP29" si="161">IFERROR($C29*DV27,"")</f>
        <v>0</v>
      </c>
      <c r="DW29" s="58"/>
      <c r="DX29" s="58"/>
      <c r="DY29" s="59"/>
      <c r="DZ29" s="60">
        <f t="shared" si="161"/>
        <v>0</v>
      </c>
      <c r="EA29" s="60"/>
      <c r="EB29" s="60"/>
      <c r="EC29" s="60"/>
      <c r="ED29" s="60">
        <f t="shared" si="161"/>
        <v>0</v>
      </c>
      <c r="EE29" s="60"/>
      <c r="EF29" s="60"/>
      <c r="EG29" s="61"/>
      <c r="EH29" s="58">
        <f t="shared" si="161"/>
        <v>0</v>
      </c>
      <c r="EI29" s="58"/>
      <c r="EJ29" s="58"/>
      <c r="EK29" s="59"/>
      <c r="EL29" s="60">
        <f t="shared" si="161"/>
        <v>0</v>
      </c>
      <c r="EM29" s="60"/>
      <c r="EN29" s="60"/>
      <c r="EO29" s="60"/>
      <c r="EP29" s="60">
        <f t="shared" si="161"/>
        <v>0</v>
      </c>
      <c r="EQ29" s="60"/>
      <c r="ER29" s="60"/>
      <c r="ES29" s="61"/>
    </row>
    <row r="30" spans="1:149" outlineLevel="1" x14ac:dyDescent="0.45">
      <c r="B30" s="72" t="s">
        <v>43</v>
      </c>
      <c r="C30" s="19"/>
      <c r="D30" s="20" t="s">
        <v>13</v>
      </c>
      <c r="E30" s="21">
        <f>SUM(F30:ES30)</f>
        <v>20.5</v>
      </c>
      <c r="F30" s="74">
        <v>1</v>
      </c>
      <c r="G30" s="67"/>
      <c r="H30" s="67"/>
      <c r="I30" s="67"/>
      <c r="J30" s="67">
        <v>1</v>
      </c>
      <c r="K30" s="67"/>
      <c r="L30" s="67"/>
      <c r="M30" s="67"/>
      <c r="N30" s="67">
        <v>1</v>
      </c>
      <c r="O30" s="67"/>
      <c r="P30" s="67"/>
      <c r="Q30" s="67"/>
      <c r="R30" s="70">
        <v>1</v>
      </c>
      <c r="S30" s="70"/>
      <c r="T30" s="70"/>
      <c r="U30" s="71"/>
      <c r="V30" s="67">
        <v>1</v>
      </c>
      <c r="W30" s="67"/>
      <c r="X30" s="67"/>
      <c r="Y30" s="67"/>
      <c r="Z30" s="67">
        <v>1</v>
      </c>
      <c r="AA30" s="67"/>
      <c r="AB30" s="67"/>
      <c r="AC30" s="68"/>
      <c r="AD30" s="70">
        <v>1</v>
      </c>
      <c r="AE30" s="70"/>
      <c r="AF30" s="70"/>
      <c r="AG30" s="71"/>
      <c r="AH30" s="67">
        <v>1</v>
      </c>
      <c r="AI30" s="67"/>
      <c r="AJ30" s="67"/>
      <c r="AK30" s="67"/>
      <c r="AL30" s="67">
        <v>1</v>
      </c>
      <c r="AM30" s="67"/>
      <c r="AN30" s="67"/>
      <c r="AO30" s="68"/>
      <c r="AP30" s="70">
        <v>1</v>
      </c>
      <c r="AQ30" s="70"/>
      <c r="AR30" s="70"/>
      <c r="AS30" s="71"/>
      <c r="AT30" s="67">
        <v>1</v>
      </c>
      <c r="AU30" s="67"/>
      <c r="AV30" s="67"/>
      <c r="AW30" s="67"/>
      <c r="AX30" s="67">
        <v>1</v>
      </c>
      <c r="AY30" s="67"/>
      <c r="AZ30" s="67"/>
      <c r="BA30" s="68"/>
      <c r="BB30" s="70">
        <v>1</v>
      </c>
      <c r="BC30" s="70"/>
      <c r="BD30" s="70"/>
      <c r="BE30" s="71"/>
      <c r="BF30" s="67">
        <v>1</v>
      </c>
      <c r="BG30" s="67"/>
      <c r="BH30" s="67"/>
      <c r="BI30" s="67"/>
      <c r="BJ30" s="67">
        <v>1</v>
      </c>
      <c r="BK30" s="67"/>
      <c r="BL30" s="67"/>
      <c r="BM30" s="68"/>
      <c r="BN30" s="70">
        <v>1</v>
      </c>
      <c r="BO30" s="70"/>
      <c r="BP30" s="70"/>
      <c r="BQ30" s="71"/>
      <c r="BR30" s="67">
        <v>1</v>
      </c>
      <c r="BS30" s="67"/>
      <c r="BT30" s="67"/>
      <c r="BU30" s="67"/>
      <c r="BV30" s="67">
        <v>1</v>
      </c>
      <c r="BW30" s="67"/>
      <c r="BX30" s="67"/>
      <c r="BY30" s="68"/>
      <c r="BZ30" s="70">
        <v>1</v>
      </c>
      <c r="CA30" s="70"/>
      <c r="CB30" s="70"/>
      <c r="CC30" s="71"/>
      <c r="CD30" s="67">
        <v>1</v>
      </c>
      <c r="CE30" s="67"/>
      <c r="CF30" s="67"/>
      <c r="CG30" s="67"/>
      <c r="CH30" s="67">
        <v>0.5</v>
      </c>
      <c r="CI30" s="67"/>
      <c r="CJ30" s="67"/>
      <c r="CK30" s="68"/>
      <c r="CL30" s="70"/>
      <c r="CM30" s="70"/>
      <c r="CN30" s="70"/>
      <c r="CO30" s="71"/>
      <c r="CP30" s="67"/>
      <c r="CQ30" s="67"/>
      <c r="CR30" s="67"/>
      <c r="CS30" s="67"/>
      <c r="CT30" s="67"/>
      <c r="CU30" s="67"/>
      <c r="CV30" s="67"/>
      <c r="CW30" s="68"/>
      <c r="CX30" s="70"/>
      <c r="CY30" s="70"/>
      <c r="CZ30" s="70"/>
      <c r="DA30" s="71"/>
      <c r="DB30" s="67"/>
      <c r="DC30" s="67"/>
      <c r="DD30" s="67"/>
      <c r="DE30" s="67"/>
      <c r="DF30" s="67"/>
      <c r="DG30" s="67"/>
      <c r="DH30" s="67"/>
      <c r="DI30" s="68"/>
      <c r="DJ30" s="70"/>
      <c r="DK30" s="70"/>
      <c r="DL30" s="70"/>
      <c r="DM30" s="71"/>
      <c r="DN30" s="67"/>
      <c r="DO30" s="67"/>
      <c r="DP30" s="67"/>
      <c r="DQ30" s="67"/>
      <c r="DR30" s="67"/>
      <c r="DS30" s="67"/>
      <c r="DT30" s="67"/>
      <c r="DU30" s="68"/>
      <c r="DV30" s="70"/>
      <c r="DW30" s="70"/>
      <c r="DX30" s="70"/>
      <c r="DY30" s="71"/>
      <c r="DZ30" s="67"/>
      <c r="EA30" s="67"/>
      <c r="EB30" s="67"/>
      <c r="EC30" s="67"/>
      <c r="ED30" s="67"/>
      <c r="EE30" s="67"/>
      <c r="EF30" s="67"/>
      <c r="EG30" s="68"/>
      <c r="EH30" s="70"/>
      <c r="EI30" s="70"/>
      <c r="EJ30" s="70"/>
      <c r="EK30" s="71"/>
      <c r="EL30" s="67"/>
      <c r="EM30" s="67"/>
      <c r="EN30" s="67"/>
      <c r="EO30" s="67"/>
      <c r="EP30" s="67"/>
      <c r="EQ30" s="67"/>
      <c r="ER30" s="67"/>
      <c r="ES30" s="68"/>
    </row>
    <row r="31" spans="1:149" outlineLevel="1" x14ac:dyDescent="0.45">
      <c r="B31" s="73"/>
      <c r="C31" s="22">
        <v>900000</v>
      </c>
      <c r="D31" s="23" t="s">
        <v>23</v>
      </c>
      <c r="E31" s="24">
        <f>SUM(F31:CW31)</f>
        <v>18450000</v>
      </c>
      <c r="F31" s="69">
        <f>IFERROR($C31*F30,"")</f>
        <v>900000</v>
      </c>
      <c r="G31" s="62"/>
      <c r="H31" s="62"/>
      <c r="I31" s="62"/>
      <c r="J31" s="62">
        <f t="shared" ref="J31" si="162">IFERROR($C31*J30,"")</f>
        <v>900000</v>
      </c>
      <c r="K31" s="62"/>
      <c r="L31" s="62"/>
      <c r="M31" s="62"/>
      <c r="N31" s="63">
        <f t="shared" ref="N31" si="163">IFERROR($C31*N30,"")</f>
        <v>900000</v>
      </c>
      <c r="O31" s="64"/>
      <c r="P31" s="64"/>
      <c r="Q31" s="64"/>
      <c r="R31" s="64">
        <f t="shared" ref="R31" si="164">IFERROR($C31*R30,"")</f>
        <v>900000</v>
      </c>
      <c r="S31" s="64"/>
      <c r="T31" s="64"/>
      <c r="U31" s="65"/>
      <c r="V31" s="62">
        <f t="shared" ref="V31" si="165">IFERROR($C31*V30,"")</f>
        <v>900000</v>
      </c>
      <c r="W31" s="62"/>
      <c r="X31" s="62"/>
      <c r="Y31" s="62"/>
      <c r="Z31" s="62">
        <f t="shared" ref="Z31" si="166">IFERROR($C31*Z30,"")</f>
        <v>900000</v>
      </c>
      <c r="AA31" s="62"/>
      <c r="AB31" s="62"/>
      <c r="AC31" s="63"/>
      <c r="AD31" s="64">
        <f t="shared" ref="AD31" si="167">IFERROR($C31*AD30,"")</f>
        <v>900000</v>
      </c>
      <c r="AE31" s="64"/>
      <c r="AF31" s="64"/>
      <c r="AG31" s="65"/>
      <c r="AH31" s="62">
        <f t="shared" ref="AH31" si="168">IFERROR($C31*AH30,"")</f>
        <v>900000</v>
      </c>
      <c r="AI31" s="62"/>
      <c r="AJ31" s="62"/>
      <c r="AK31" s="62"/>
      <c r="AL31" s="62">
        <f t="shared" ref="AL31" si="169">IFERROR($C31*AL30,"")</f>
        <v>900000</v>
      </c>
      <c r="AM31" s="62"/>
      <c r="AN31" s="62"/>
      <c r="AO31" s="63"/>
      <c r="AP31" s="64">
        <f t="shared" ref="AP31" si="170">IFERROR($C31*AP30,"")</f>
        <v>900000</v>
      </c>
      <c r="AQ31" s="64"/>
      <c r="AR31" s="64"/>
      <c r="AS31" s="65"/>
      <c r="AT31" s="62">
        <f t="shared" ref="AT31" si="171">IFERROR($C31*AT30,"")</f>
        <v>900000</v>
      </c>
      <c r="AU31" s="62"/>
      <c r="AV31" s="62"/>
      <c r="AW31" s="62"/>
      <c r="AX31" s="62">
        <f t="shared" ref="AX31" si="172">IFERROR($C31*AX30,"")</f>
        <v>900000</v>
      </c>
      <c r="AY31" s="62"/>
      <c r="AZ31" s="62"/>
      <c r="BA31" s="63"/>
      <c r="BB31" s="64">
        <f t="shared" ref="BB31" si="173">IFERROR($C31*BB30,"")</f>
        <v>900000</v>
      </c>
      <c r="BC31" s="64"/>
      <c r="BD31" s="64"/>
      <c r="BE31" s="65"/>
      <c r="BF31" s="62">
        <f t="shared" ref="BF31" si="174">IFERROR($C31*BF30,"")</f>
        <v>900000</v>
      </c>
      <c r="BG31" s="62"/>
      <c r="BH31" s="62"/>
      <c r="BI31" s="62"/>
      <c r="BJ31" s="62">
        <f t="shared" ref="BJ31" si="175">IFERROR($C31*BJ30,"")</f>
        <v>900000</v>
      </c>
      <c r="BK31" s="62"/>
      <c r="BL31" s="62"/>
      <c r="BM31" s="63"/>
      <c r="BN31" s="64">
        <f t="shared" ref="BN31" si="176">IFERROR($C31*BN30,"")</f>
        <v>900000</v>
      </c>
      <c r="BO31" s="64"/>
      <c r="BP31" s="64"/>
      <c r="BQ31" s="65"/>
      <c r="BR31" s="62">
        <f t="shared" ref="BR31" si="177">IFERROR($C31*BR30,"")</f>
        <v>900000</v>
      </c>
      <c r="BS31" s="62"/>
      <c r="BT31" s="62"/>
      <c r="BU31" s="62"/>
      <c r="BV31" s="62">
        <f t="shared" ref="BV31" si="178">IFERROR($C31*BV30,"")</f>
        <v>900000</v>
      </c>
      <c r="BW31" s="62"/>
      <c r="BX31" s="62"/>
      <c r="BY31" s="63"/>
      <c r="BZ31" s="64">
        <f t="shared" ref="BZ31" si="179">IFERROR($C31*BZ30,"")</f>
        <v>900000</v>
      </c>
      <c r="CA31" s="64"/>
      <c r="CB31" s="64"/>
      <c r="CC31" s="65"/>
      <c r="CD31" s="62">
        <f t="shared" ref="CD31" si="180">IFERROR($C31*CD30,"")</f>
        <v>900000</v>
      </c>
      <c r="CE31" s="62"/>
      <c r="CF31" s="62"/>
      <c r="CG31" s="62"/>
      <c r="CH31" s="62">
        <f t="shared" ref="CH31" si="181">IFERROR($C31*CH30,"")</f>
        <v>450000</v>
      </c>
      <c r="CI31" s="62"/>
      <c r="CJ31" s="62"/>
      <c r="CK31" s="63"/>
      <c r="CL31" s="64">
        <f t="shared" ref="CL31" si="182">IFERROR($C31*CL30,"")</f>
        <v>0</v>
      </c>
      <c r="CM31" s="64"/>
      <c r="CN31" s="64"/>
      <c r="CO31" s="65"/>
      <c r="CP31" s="62">
        <f t="shared" ref="CP31" si="183">IFERROR($C31*CP30,"")</f>
        <v>0</v>
      </c>
      <c r="CQ31" s="62"/>
      <c r="CR31" s="62"/>
      <c r="CS31" s="62"/>
      <c r="CT31" s="62">
        <f t="shared" ref="CT31" si="184">IFERROR($C31*CT30,"")</f>
        <v>0</v>
      </c>
      <c r="CU31" s="62"/>
      <c r="CV31" s="62"/>
      <c r="CW31" s="63"/>
      <c r="CX31" s="64">
        <f t="shared" ref="CX31" si="185">IFERROR($C31*CX30,"")</f>
        <v>0</v>
      </c>
      <c r="CY31" s="64"/>
      <c r="CZ31" s="64"/>
      <c r="DA31" s="65"/>
      <c r="DB31" s="62">
        <f t="shared" ref="DB31" si="186">IFERROR($C31*DB30,"")</f>
        <v>0</v>
      </c>
      <c r="DC31" s="62"/>
      <c r="DD31" s="62"/>
      <c r="DE31" s="62"/>
      <c r="DF31" s="62">
        <f t="shared" ref="DF31" si="187">IFERROR($C31*DF30,"")</f>
        <v>0</v>
      </c>
      <c r="DG31" s="62"/>
      <c r="DH31" s="62"/>
      <c r="DI31" s="63"/>
      <c r="DJ31" s="64">
        <f t="shared" ref="DJ31" si="188">IFERROR($C31*DJ30,"")</f>
        <v>0</v>
      </c>
      <c r="DK31" s="64"/>
      <c r="DL31" s="64"/>
      <c r="DM31" s="65"/>
      <c r="DN31" s="62">
        <f t="shared" ref="DN31" si="189">IFERROR($C31*DN30,"")</f>
        <v>0</v>
      </c>
      <c r="DO31" s="62"/>
      <c r="DP31" s="62"/>
      <c r="DQ31" s="62"/>
      <c r="DR31" s="62">
        <f t="shared" ref="DR31" si="190">IFERROR($C31*DR30,"")</f>
        <v>0</v>
      </c>
      <c r="DS31" s="62"/>
      <c r="DT31" s="62"/>
      <c r="DU31" s="63"/>
      <c r="DV31" s="64">
        <f t="shared" ref="DV31" si="191">IFERROR($C31*DV30,"")</f>
        <v>0</v>
      </c>
      <c r="DW31" s="64"/>
      <c r="DX31" s="64"/>
      <c r="DY31" s="65"/>
      <c r="DZ31" s="62">
        <f t="shared" ref="DZ31" si="192">IFERROR($C31*DZ30,"")</f>
        <v>0</v>
      </c>
      <c r="EA31" s="62"/>
      <c r="EB31" s="62"/>
      <c r="EC31" s="62"/>
      <c r="ED31" s="62">
        <f t="shared" ref="ED31" si="193">IFERROR($C31*ED30,"")</f>
        <v>0</v>
      </c>
      <c r="EE31" s="62"/>
      <c r="EF31" s="62"/>
      <c r="EG31" s="63"/>
      <c r="EH31" s="64">
        <f t="shared" ref="EH31" si="194">IFERROR($C31*EH30,"")</f>
        <v>0</v>
      </c>
      <c r="EI31" s="64"/>
      <c r="EJ31" s="64"/>
      <c r="EK31" s="65"/>
      <c r="EL31" s="62">
        <f t="shared" ref="EL31" si="195">IFERROR($C31*EL30,"")</f>
        <v>0</v>
      </c>
      <c r="EM31" s="62"/>
      <c r="EN31" s="62"/>
      <c r="EO31" s="62"/>
      <c r="EP31" s="62">
        <f t="shared" ref="EP31" si="196">IFERROR($C31*EP30,"")</f>
        <v>0</v>
      </c>
      <c r="EQ31" s="62"/>
      <c r="ER31" s="62"/>
      <c r="ES31" s="63"/>
    </row>
    <row r="32" spans="1:149" outlineLevel="1" x14ac:dyDescent="0.45">
      <c r="B32" s="78"/>
      <c r="C32" s="25">
        <v>300000</v>
      </c>
      <c r="D32" s="26" t="s">
        <v>3</v>
      </c>
      <c r="E32" s="27">
        <f>SUM(F32:CW32)</f>
        <v>6150000</v>
      </c>
      <c r="F32" s="66">
        <f>IFERROR($C32*F30,"")</f>
        <v>300000</v>
      </c>
      <c r="G32" s="60"/>
      <c r="H32" s="60"/>
      <c r="I32" s="60"/>
      <c r="J32" s="60">
        <f t="shared" ref="J32" si="197">IFERROR($C32*J30,"")</f>
        <v>300000</v>
      </c>
      <c r="K32" s="60"/>
      <c r="L32" s="60"/>
      <c r="M32" s="60"/>
      <c r="N32" s="61">
        <f t="shared" ref="N32" si="198">IFERROR($C32*N30,"")</f>
        <v>300000</v>
      </c>
      <c r="O32" s="58"/>
      <c r="P32" s="58"/>
      <c r="Q32" s="58"/>
      <c r="R32" s="58">
        <f t="shared" ref="R32" si="199">IFERROR($C32*R30,"")</f>
        <v>300000</v>
      </c>
      <c r="S32" s="58"/>
      <c r="T32" s="58"/>
      <c r="U32" s="59"/>
      <c r="V32" s="60">
        <f t="shared" ref="V32" si="200">IFERROR($C32*V30,"")</f>
        <v>300000</v>
      </c>
      <c r="W32" s="60"/>
      <c r="X32" s="60"/>
      <c r="Y32" s="60"/>
      <c r="Z32" s="60">
        <f t="shared" ref="Z32" si="201">IFERROR($C32*Z30,"")</f>
        <v>300000</v>
      </c>
      <c r="AA32" s="60"/>
      <c r="AB32" s="60"/>
      <c r="AC32" s="61"/>
      <c r="AD32" s="58">
        <f t="shared" ref="AD32:BF32" si="202">IFERROR($C32*AD30,"")</f>
        <v>300000</v>
      </c>
      <c r="AE32" s="58"/>
      <c r="AF32" s="58"/>
      <c r="AG32" s="59"/>
      <c r="AH32" s="60">
        <f t="shared" si="202"/>
        <v>300000</v>
      </c>
      <c r="AI32" s="60"/>
      <c r="AJ32" s="60"/>
      <c r="AK32" s="60"/>
      <c r="AL32" s="60">
        <f t="shared" si="202"/>
        <v>300000</v>
      </c>
      <c r="AM32" s="60"/>
      <c r="AN32" s="60"/>
      <c r="AO32" s="61"/>
      <c r="AP32" s="58">
        <f t="shared" si="202"/>
        <v>300000</v>
      </c>
      <c r="AQ32" s="58"/>
      <c r="AR32" s="58"/>
      <c r="AS32" s="59"/>
      <c r="AT32" s="60">
        <f t="shared" si="202"/>
        <v>300000</v>
      </c>
      <c r="AU32" s="60"/>
      <c r="AV32" s="60"/>
      <c r="AW32" s="60"/>
      <c r="AX32" s="60">
        <f t="shared" si="202"/>
        <v>300000</v>
      </c>
      <c r="AY32" s="60"/>
      <c r="AZ32" s="60"/>
      <c r="BA32" s="61"/>
      <c r="BB32" s="58">
        <f t="shared" si="202"/>
        <v>300000</v>
      </c>
      <c r="BC32" s="58"/>
      <c r="BD32" s="58"/>
      <c r="BE32" s="59"/>
      <c r="BF32" s="60">
        <f t="shared" si="202"/>
        <v>300000</v>
      </c>
      <c r="BG32" s="60"/>
      <c r="BH32" s="60"/>
      <c r="BI32" s="60"/>
      <c r="BJ32" s="60">
        <f t="shared" ref="BJ32:CL32" si="203">IFERROR($C32*BJ30,"")</f>
        <v>300000</v>
      </c>
      <c r="BK32" s="60"/>
      <c r="BL32" s="60"/>
      <c r="BM32" s="61"/>
      <c r="BN32" s="58">
        <f t="shared" si="203"/>
        <v>300000</v>
      </c>
      <c r="BO32" s="58"/>
      <c r="BP32" s="58"/>
      <c r="BQ32" s="59"/>
      <c r="BR32" s="60">
        <f t="shared" si="203"/>
        <v>300000</v>
      </c>
      <c r="BS32" s="60"/>
      <c r="BT32" s="60"/>
      <c r="BU32" s="60"/>
      <c r="BV32" s="60">
        <f t="shared" si="203"/>
        <v>300000</v>
      </c>
      <c r="BW32" s="60"/>
      <c r="BX32" s="60"/>
      <c r="BY32" s="61"/>
      <c r="BZ32" s="58">
        <f t="shared" si="203"/>
        <v>300000</v>
      </c>
      <c r="CA32" s="58"/>
      <c r="CB32" s="58"/>
      <c r="CC32" s="59"/>
      <c r="CD32" s="60">
        <f t="shared" si="203"/>
        <v>300000</v>
      </c>
      <c r="CE32" s="60"/>
      <c r="CF32" s="60"/>
      <c r="CG32" s="60"/>
      <c r="CH32" s="60">
        <f t="shared" si="203"/>
        <v>150000</v>
      </c>
      <c r="CI32" s="60"/>
      <c r="CJ32" s="60"/>
      <c r="CK32" s="61"/>
      <c r="CL32" s="58">
        <f t="shared" si="203"/>
        <v>0</v>
      </c>
      <c r="CM32" s="58"/>
      <c r="CN32" s="58"/>
      <c r="CO32" s="59"/>
      <c r="CP32" s="60">
        <f t="shared" ref="CP32:DR32" si="204">IFERROR($C32*CP30,"")</f>
        <v>0</v>
      </c>
      <c r="CQ32" s="60"/>
      <c r="CR32" s="60"/>
      <c r="CS32" s="60"/>
      <c r="CT32" s="60">
        <f t="shared" si="204"/>
        <v>0</v>
      </c>
      <c r="CU32" s="60"/>
      <c r="CV32" s="60"/>
      <c r="CW32" s="61"/>
      <c r="CX32" s="58">
        <f t="shared" si="204"/>
        <v>0</v>
      </c>
      <c r="CY32" s="58"/>
      <c r="CZ32" s="58"/>
      <c r="DA32" s="59"/>
      <c r="DB32" s="60">
        <f t="shared" si="204"/>
        <v>0</v>
      </c>
      <c r="DC32" s="60"/>
      <c r="DD32" s="60"/>
      <c r="DE32" s="60"/>
      <c r="DF32" s="60">
        <f t="shared" si="204"/>
        <v>0</v>
      </c>
      <c r="DG32" s="60"/>
      <c r="DH32" s="60"/>
      <c r="DI32" s="61"/>
      <c r="DJ32" s="58">
        <f t="shared" si="204"/>
        <v>0</v>
      </c>
      <c r="DK32" s="58"/>
      <c r="DL32" s="58"/>
      <c r="DM32" s="59"/>
      <c r="DN32" s="60">
        <f t="shared" si="204"/>
        <v>0</v>
      </c>
      <c r="DO32" s="60"/>
      <c r="DP32" s="60"/>
      <c r="DQ32" s="60"/>
      <c r="DR32" s="60">
        <f t="shared" si="204"/>
        <v>0</v>
      </c>
      <c r="DS32" s="60"/>
      <c r="DT32" s="60"/>
      <c r="DU32" s="61"/>
      <c r="DV32" s="58">
        <f t="shared" ref="DV32:EP32" si="205">IFERROR($C32*DV30,"")</f>
        <v>0</v>
      </c>
      <c r="DW32" s="58"/>
      <c r="DX32" s="58"/>
      <c r="DY32" s="59"/>
      <c r="DZ32" s="60">
        <f t="shared" si="205"/>
        <v>0</v>
      </c>
      <c r="EA32" s="60"/>
      <c r="EB32" s="60"/>
      <c r="EC32" s="60"/>
      <c r="ED32" s="60">
        <f t="shared" si="205"/>
        <v>0</v>
      </c>
      <c r="EE32" s="60"/>
      <c r="EF32" s="60"/>
      <c r="EG32" s="61"/>
      <c r="EH32" s="58">
        <f t="shared" si="205"/>
        <v>0</v>
      </c>
      <c r="EI32" s="58"/>
      <c r="EJ32" s="58"/>
      <c r="EK32" s="59"/>
      <c r="EL32" s="60">
        <f t="shared" si="205"/>
        <v>0</v>
      </c>
      <c r="EM32" s="60"/>
      <c r="EN32" s="60"/>
      <c r="EO32" s="60"/>
      <c r="EP32" s="60">
        <f t="shared" si="205"/>
        <v>0</v>
      </c>
      <c r="EQ32" s="60"/>
      <c r="ER32" s="60"/>
      <c r="ES32" s="61"/>
    </row>
    <row r="33" spans="2:149" outlineLevel="1" x14ac:dyDescent="0.45">
      <c r="B33" s="72" t="s">
        <v>41</v>
      </c>
      <c r="C33" s="19"/>
      <c r="D33" s="20" t="s">
        <v>13</v>
      </c>
      <c r="E33" s="21">
        <f>SUM(F33:ES33)</f>
        <v>20.5</v>
      </c>
      <c r="F33" s="74">
        <v>1</v>
      </c>
      <c r="G33" s="67"/>
      <c r="H33" s="67"/>
      <c r="I33" s="67"/>
      <c r="J33" s="67">
        <v>1</v>
      </c>
      <c r="K33" s="67"/>
      <c r="L33" s="67"/>
      <c r="M33" s="67"/>
      <c r="N33" s="67">
        <v>1</v>
      </c>
      <c r="O33" s="67"/>
      <c r="P33" s="67"/>
      <c r="Q33" s="67"/>
      <c r="R33" s="70">
        <v>1</v>
      </c>
      <c r="S33" s="70"/>
      <c r="T33" s="70"/>
      <c r="U33" s="71"/>
      <c r="V33" s="67">
        <v>1</v>
      </c>
      <c r="W33" s="67"/>
      <c r="X33" s="67"/>
      <c r="Y33" s="67"/>
      <c r="Z33" s="67">
        <v>1</v>
      </c>
      <c r="AA33" s="67"/>
      <c r="AB33" s="67"/>
      <c r="AC33" s="68"/>
      <c r="AD33" s="70">
        <v>1</v>
      </c>
      <c r="AE33" s="70"/>
      <c r="AF33" s="70"/>
      <c r="AG33" s="71"/>
      <c r="AH33" s="67">
        <v>1</v>
      </c>
      <c r="AI33" s="67"/>
      <c r="AJ33" s="67"/>
      <c r="AK33" s="67"/>
      <c r="AL33" s="67">
        <v>1</v>
      </c>
      <c r="AM33" s="67"/>
      <c r="AN33" s="67"/>
      <c r="AO33" s="68"/>
      <c r="AP33" s="70">
        <v>1</v>
      </c>
      <c r="AQ33" s="70"/>
      <c r="AR33" s="70"/>
      <c r="AS33" s="71"/>
      <c r="AT33" s="67">
        <v>1</v>
      </c>
      <c r="AU33" s="67"/>
      <c r="AV33" s="67"/>
      <c r="AW33" s="67"/>
      <c r="AX33" s="67">
        <v>1</v>
      </c>
      <c r="AY33" s="67"/>
      <c r="AZ33" s="67"/>
      <c r="BA33" s="68"/>
      <c r="BB33" s="70">
        <v>1</v>
      </c>
      <c r="BC33" s="70"/>
      <c r="BD33" s="70"/>
      <c r="BE33" s="71"/>
      <c r="BF33" s="67">
        <v>1</v>
      </c>
      <c r="BG33" s="67"/>
      <c r="BH33" s="67"/>
      <c r="BI33" s="67"/>
      <c r="BJ33" s="67">
        <v>1</v>
      </c>
      <c r="BK33" s="67"/>
      <c r="BL33" s="67"/>
      <c r="BM33" s="68"/>
      <c r="BN33" s="70">
        <v>1</v>
      </c>
      <c r="BO33" s="70"/>
      <c r="BP33" s="70"/>
      <c r="BQ33" s="71"/>
      <c r="BR33" s="67">
        <v>1</v>
      </c>
      <c r="BS33" s="67"/>
      <c r="BT33" s="67"/>
      <c r="BU33" s="67"/>
      <c r="BV33" s="67">
        <v>1</v>
      </c>
      <c r="BW33" s="67"/>
      <c r="BX33" s="67"/>
      <c r="BY33" s="68"/>
      <c r="BZ33" s="70">
        <v>1</v>
      </c>
      <c r="CA33" s="70"/>
      <c r="CB33" s="70"/>
      <c r="CC33" s="71"/>
      <c r="CD33" s="67">
        <v>1</v>
      </c>
      <c r="CE33" s="67"/>
      <c r="CF33" s="67"/>
      <c r="CG33" s="67"/>
      <c r="CH33" s="67">
        <v>0.5</v>
      </c>
      <c r="CI33" s="67"/>
      <c r="CJ33" s="67"/>
      <c r="CK33" s="68"/>
      <c r="CL33" s="70"/>
      <c r="CM33" s="70"/>
      <c r="CN33" s="70"/>
      <c r="CO33" s="71"/>
      <c r="CP33" s="67"/>
      <c r="CQ33" s="67"/>
      <c r="CR33" s="67"/>
      <c r="CS33" s="67"/>
      <c r="CT33" s="67"/>
      <c r="CU33" s="67"/>
      <c r="CV33" s="67"/>
      <c r="CW33" s="68"/>
      <c r="CX33" s="70"/>
      <c r="CY33" s="70"/>
      <c r="CZ33" s="70"/>
      <c r="DA33" s="71"/>
      <c r="DB33" s="67"/>
      <c r="DC33" s="67"/>
      <c r="DD33" s="67"/>
      <c r="DE33" s="67"/>
      <c r="DF33" s="67"/>
      <c r="DG33" s="67"/>
      <c r="DH33" s="67"/>
      <c r="DI33" s="68"/>
      <c r="DJ33" s="70"/>
      <c r="DK33" s="70"/>
      <c r="DL33" s="70"/>
      <c r="DM33" s="71"/>
      <c r="DN33" s="67"/>
      <c r="DO33" s="67"/>
      <c r="DP33" s="67"/>
      <c r="DQ33" s="67"/>
      <c r="DR33" s="67"/>
      <c r="DS33" s="67"/>
      <c r="DT33" s="67"/>
      <c r="DU33" s="68"/>
      <c r="DV33" s="70"/>
      <c r="DW33" s="70"/>
      <c r="DX33" s="70"/>
      <c r="DY33" s="71"/>
      <c r="DZ33" s="67"/>
      <c r="EA33" s="67"/>
      <c r="EB33" s="67"/>
      <c r="EC33" s="67"/>
      <c r="ED33" s="67"/>
      <c r="EE33" s="67"/>
      <c r="EF33" s="67"/>
      <c r="EG33" s="68"/>
      <c r="EH33" s="70"/>
      <c r="EI33" s="70"/>
      <c r="EJ33" s="70"/>
      <c r="EK33" s="71"/>
      <c r="EL33" s="67"/>
      <c r="EM33" s="67"/>
      <c r="EN33" s="67"/>
      <c r="EO33" s="67"/>
      <c r="EP33" s="67"/>
      <c r="EQ33" s="67"/>
      <c r="ER33" s="67"/>
      <c r="ES33" s="68"/>
    </row>
    <row r="34" spans="2:149" outlineLevel="1" x14ac:dyDescent="0.45">
      <c r="B34" s="73"/>
      <c r="C34" s="22">
        <v>1050000</v>
      </c>
      <c r="D34" s="23" t="s">
        <v>23</v>
      </c>
      <c r="E34" s="24">
        <f>SUM(F34:CW34)</f>
        <v>21525000</v>
      </c>
      <c r="F34" s="69">
        <f>IFERROR($C34*F33,"")</f>
        <v>1050000</v>
      </c>
      <c r="G34" s="62"/>
      <c r="H34" s="62"/>
      <c r="I34" s="62"/>
      <c r="J34" s="62">
        <f t="shared" ref="J34" si="206">IFERROR($C34*J33,"")</f>
        <v>1050000</v>
      </c>
      <c r="K34" s="62"/>
      <c r="L34" s="62"/>
      <c r="M34" s="62"/>
      <c r="N34" s="63">
        <f t="shared" ref="N34" si="207">IFERROR($C34*N33,"")</f>
        <v>1050000</v>
      </c>
      <c r="O34" s="64"/>
      <c r="P34" s="64"/>
      <c r="Q34" s="64"/>
      <c r="R34" s="64">
        <f t="shared" ref="R34" si="208">IFERROR($C34*R33,"")</f>
        <v>1050000</v>
      </c>
      <c r="S34" s="64"/>
      <c r="T34" s="64"/>
      <c r="U34" s="65"/>
      <c r="V34" s="62">
        <f t="shared" ref="V34" si="209">IFERROR($C34*V33,"")</f>
        <v>1050000</v>
      </c>
      <c r="W34" s="62"/>
      <c r="X34" s="62"/>
      <c r="Y34" s="62"/>
      <c r="Z34" s="62">
        <f t="shared" ref="Z34" si="210">IFERROR($C34*Z33,"")</f>
        <v>1050000</v>
      </c>
      <c r="AA34" s="62"/>
      <c r="AB34" s="62"/>
      <c r="AC34" s="63"/>
      <c r="AD34" s="64">
        <f t="shared" ref="AD34" si="211">IFERROR($C34*AD33,"")</f>
        <v>1050000</v>
      </c>
      <c r="AE34" s="64"/>
      <c r="AF34" s="64"/>
      <c r="AG34" s="65"/>
      <c r="AH34" s="62">
        <f t="shared" ref="AH34" si="212">IFERROR($C34*AH33,"")</f>
        <v>1050000</v>
      </c>
      <c r="AI34" s="62"/>
      <c r="AJ34" s="62"/>
      <c r="AK34" s="62"/>
      <c r="AL34" s="62">
        <f t="shared" ref="AL34" si="213">IFERROR($C34*AL33,"")</f>
        <v>1050000</v>
      </c>
      <c r="AM34" s="62"/>
      <c r="AN34" s="62"/>
      <c r="AO34" s="63"/>
      <c r="AP34" s="64">
        <f t="shared" ref="AP34" si="214">IFERROR($C34*AP33,"")</f>
        <v>1050000</v>
      </c>
      <c r="AQ34" s="64"/>
      <c r="AR34" s="64"/>
      <c r="AS34" s="65"/>
      <c r="AT34" s="62">
        <f t="shared" ref="AT34" si="215">IFERROR($C34*AT33,"")</f>
        <v>1050000</v>
      </c>
      <c r="AU34" s="62"/>
      <c r="AV34" s="62"/>
      <c r="AW34" s="62"/>
      <c r="AX34" s="62">
        <f t="shared" ref="AX34" si="216">IFERROR($C34*AX33,"")</f>
        <v>1050000</v>
      </c>
      <c r="AY34" s="62"/>
      <c r="AZ34" s="62"/>
      <c r="BA34" s="63"/>
      <c r="BB34" s="64">
        <f t="shared" ref="BB34" si="217">IFERROR($C34*BB33,"")</f>
        <v>1050000</v>
      </c>
      <c r="BC34" s="64"/>
      <c r="BD34" s="64"/>
      <c r="BE34" s="65"/>
      <c r="BF34" s="62">
        <f t="shared" ref="BF34" si="218">IFERROR($C34*BF33,"")</f>
        <v>1050000</v>
      </c>
      <c r="BG34" s="62"/>
      <c r="BH34" s="62"/>
      <c r="BI34" s="62"/>
      <c r="BJ34" s="62">
        <f t="shared" ref="BJ34" si="219">IFERROR($C34*BJ33,"")</f>
        <v>1050000</v>
      </c>
      <c r="BK34" s="62"/>
      <c r="BL34" s="62"/>
      <c r="BM34" s="63"/>
      <c r="BN34" s="64">
        <f t="shared" ref="BN34" si="220">IFERROR($C34*BN33,"")</f>
        <v>1050000</v>
      </c>
      <c r="BO34" s="64"/>
      <c r="BP34" s="64"/>
      <c r="BQ34" s="65"/>
      <c r="BR34" s="62">
        <f t="shared" ref="BR34" si="221">IFERROR($C34*BR33,"")</f>
        <v>1050000</v>
      </c>
      <c r="BS34" s="62"/>
      <c r="BT34" s="62"/>
      <c r="BU34" s="62"/>
      <c r="BV34" s="62">
        <f t="shared" ref="BV34" si="222">IFERROR($C34*BV33,"")</f>
        <v>1050000</v>
      </c>
      <c r="BW34" s="62"/>
      <c r="BX34" s="62"/>
      <c r="BY34" s="63"/>
      <c r="BZ34" s="64">
        <f t="shared" ref="BZ34" si="223">IFERROR($C34*BZ33,"")</f>
        <v>1050000</v>
      </c>
      <c r="CA34" s="64"/>
      <c r="CB34" s="64"/>
      <c r="CC34" s="65"/>
      <c r="CD34" s="62">
        <f t="shared" ref="CD34" si="224">IFERROR($C34*CD33,"")</f>
        <v>1050000</v>
      </c>
      <c r="CE34" s="62"/>
      <c r="CF34" s="62"/>
      <c r="CG34" s="62"/>
      <c r="CH34" s="62">
        <f t="shared" ref="CH34" si="225">IFERROR($C34*CH33,"")</f>
        <v>525000</v>
      </c>
      <c r="CI34" s="62"/>
      <c r="CJ34" s="62"/>
      <c r="CK34" s="63"/>
      <c r="CL34" s="64">
        <f t="shared" ref="CL34" si="226">IFERROR($C34*CL33,"")</f>
        <v>0</v>
      </c>
      <c r="CM34" s="64"/>
      <c r="CN34" s="64"/>
      <c r="CO34" s="65"/>
      <c r="CP34" s="62">
        <f t="shared" ref="CP34" si="227">IFERROR($C34*CP33,"")</f>
        <v>0</v>
      </c>
      <c r="CQ34" s="62"/>
      <c r="CR34" s="62"/>
      <c r="CS34" s="62"/>
      <c r="CT34" s="62">
        <f t="shared" ref="CT34" si="228">IFERROR($C34*CT33,"")</f>
        <v>0</v>
      </c>
      <c r="CU34" s="62"/>
      <c r="CV34" s="62"/>
      <c r="CW34" s="63"/>
      <c r="CX34" s="64">
        <f t="shared" ref="CX34" si="229">IFERROR($C34*CX33,"")</f>
        <v>0</v>
      </c>
      <c r="CY34" s="64"/>
      <c r="CZ34" s="64"/>
      <c r="DA34" s="65"/>
      <c r="DB34" s="62">
        <f t="shared" ref="DB34" si="230">IFERROR($C34*DB33,"")</f>
        <v>0</v>
      </c>
      <c r="DC34" s="62"/>
      <c r="DD34" s="62"/>
      <c r="DE34" s="62"/>
      <c r="DF34" s="62">
        <f t="shared" ref="DF34" si="231">IFERROR($C34*DF33,"")</f>
        <v>0</v>
      </c>
      <c r="DG34" s="62"/>
      <c r="DH34" s="62"/>
      <c r="DI34" s="63"/>
      <c r="DJ34" s="64">
        <f t="shared" ref="DJ34" si="232">IFERROR($C34*DJ33,"")</f>
        <v>0</v>
      </c>
      <c r="DK34" s="64"/>
      <c r="DL34" s="64"/>
      <c r="DM34" s="65"/>
      <c r="DN34" s="62">
        <f t="shared" ref="DN34" si="233">IFERROR($C34*DN33,"")</f>
        <v>0</v>
      </c>
      <c r="DO34" s="62"/>
      <c r="DP34" s="62"/>
      <c r="DQ34" s="62"/>
      <c r="DR34" s="62">
        <f t="shared" ref="DR34" si="234">IFERROR($C34*DR33,"")</f>
        <v>0</v>
      </c>
      <c r="DS34" s="62"/>
      <c r="DT34" s="62"/>
      <c r="DU34" s="63"/>
      <c r="DV34" s="64">
        <f t="shared" ref="DV34" si="235">IFERROR($C34*DV33,"")</f>
        <v>0</v>
      </c>
      <c r="DW34" s="64"/>
      <c r="DX34" s="64"/>
      <c r="DY34" s="65"/>
      <c r="DZ34" s="62">
        <f t="shared" ref="DZ34" si="236">IFERROR($C34*DZ33,"")</f>
        <v>0</v>
      </c>
      <c r="EA34" s="62"/>
      <c r="EB34" s="62"/>
      <c r="EC34" s="62"/>
      <c r="ED34" s="62">
        <f t="shared" ref="ED34" si="237">IFERROR($C34*ED33,"")</f>
        <v>0</v>
      </c>
      <c r="EE34" s="62"/>
      <c r="EF34" s="62"/>
      <c r="EG34" s="63"/>
      <c r="EH34" s="64">
        <f t="shared" ref="EH34" si="238">IFERROR($C34*EH33,"")</f>
        <v>0</v>
      </c>
      <c r="EI34" s="64"/>
      <c r="EJ34" s="64"/>
      <c r="EK34" s="65"/>
      <c r="EL34" s="62">
        <f t="shared" ref="EL34" si="239">IFERROR($C34*EL33,"")</f>
        <v>0</v>
      </c>
      <c r="EM34" s="62"/>
      <c r="EN34" s="62"/>
      <c r="EO34" s="62"/>
      <c r="EP34" s="62">
        <f t="shared" ref="EP34" si="240">IFERROR($C34*EP33,"")</f>
        <v>0</v>
      </c>
      <c r="EQ34" s="62"/>
      <c r="ER34" s="62"/>
      <c r="ES34" s="63"/>
    </row>
    <row r="35" spans="2:149" outlineLevel="1" x14ac:dyDescent="0.45">
      <c r="B35" s="78"/>
      <c r="C35" s="25">
        <v>500000</v>
      </c>
      <c r="D35" s="26" t="s">
        <v>3</v>
      </c>
      <c r="E35" s="27">
        <f>SUM(F35:CW35)</f>
        <v>10250000</v>
      </c>
      <c r="F35" s="66">
        <f>IFERROR($C35*F33,"")</f>
        <v>500000</v>
      </c>
      <c r="G35" s="60"/>
      <c r="H35" s="60"/>
      <c r="I35" s="60"/>
      <c r="J35" s="60">
        <f t="shared" ref="J35" si="241">IFERROR($C35*J33,"")</f>
        <v>500000</v>
      </c>
      <c r="K35" s="60"/>
      <c r="L35" s="60"/>
      <c r="M35" s="60"/>
      <c r="N35" s="61">
        <f t="shared" ref="N35" si="242">IFERROR($C35*N33,"")</f>
        <v>500000</v>
      </c>
      <c r="O35" s="58"/>
      <c r="P35" s="58"/>
      <c r="Q35" s="58"/>
      <c r="R35" s="58">
        <f t="shared" ref="R35" si="243">IFERROR($C35*R33,"")</f>
        <v>500000</v>
      </c>
      <c r="S35" s="58"/>
      <c r="T35" s="58"/>
      <c r="U35" s="59"/>
      <c r="V35" s="60">
        <f t="shared" ref="V35" si="244">IFERROR($C35*V33,"")</f>
        <v>500000</v>
      </c>
      <c r="W35" s="60"/>
      <c r="X35" s="60"/>
      <c r="Y35" s="60"/>
      <c r="Z35" s="60">
        <f t="shared" ref="Z35" si="245">IFERROR($C35*Z33,"")</f>
        <v>500000</v>
      </c>
      <c r="AA35" s="60"/>
      <c r="AB35" s="60"/>
      <c r="AC35" s="61"/>
      <c r="AD35" s="58">
        <f t="shared" ref="AD35:BF35" si="246">IFERROR($C35*AD33,"")</f>
        <v>500000</v>
      </c>
      <c r="AE35" s="58"/>
      <c r="AF35" s="58"/>
      <c r="AG35" s="59"/>
      <c r="AH35" s="60">
        <f t="shared" si="246"/>
        <v>500000</v>
      </c>
      <c r="AI35" s="60"/>
      <c r="AJ35" s="60"/>
      <c r="AK35" s="60"/>
      <c r="AL35" s="60">
        <f t="shared" si="246"/>
        <v>500000</v>
      </c>
      <c r="AM35" s="60"/>
      <c r="AN35" s="60"/>
      <c r="AO35" s="61"/>
      <c r="AP35" s="58">
        <f t="shared" si="246"/>
        <v>500000</v>
      </c>
      <c r="AQ35" s="58"/>
      <c r="AR35" s="58"/>
      <c r="AS35" s="59"/>
      <c r="AT35" s="60">
        <f t="shared" si="246"/>
        <v>500000</v>
      </c>
      <c r="AU35" s="60"/>
      <c r="AV35" s="60"/>
      <c r="AW35" s="60"/>
      <c r="AX35" s="60">
        <f t="shared" si="246"/>
        <v>500000</v>
      </c>
      <c r="AY35" s="60"/>
      <c r="AZ35" s="60"/>
      <c r="BA35" s="61"/>
      <c r="BB35" s="58">
        <f t="shared" si="246"/>
        <v>500000</v>
      </c>
      <c r="BC35" s="58"/>
      <c r="BD35" s="58"/>
      <c r="BE35" s="59"/>
      <c r="BF35" s="60">
        <f t="shared" si="246"/>
        <v>500000</v>
      </c>
      <c r="BG35" s="60"/>
      <c r="BH35" s="60"/>
      <c r="BI35" s="60"/>
      <c r="BJ35" s="60">
        <f t="shared" ref="BJ35:CL35" si="247">IFERROR($C35*BJ33,"")</f>
        <v>500000</v>
      </c>
      <c r="BK35" s="60"/>
      <c r="BL35" s="60"/>
      <c r="BM35" s="61"/>
      <c r="BN35" s="58">
        <f t="shared" si="247"/>
        <v>500000</v>
      </c>
      <c r="BO35" s="58"/>
      <c r="BP35" s="58"/>
      <c r="BQ35" s="59"/>
      <c r="BR35" s="60">
        <f t="shared" si="247"/>
        <v>500000</v>
      </c>
      <c r="BS35" s="60"/>
      <c r="BT35" s="60"/>
      <c r="BU35" s="60"/>
      <c r="BV35" s="60">
        <f t="shared" si="247"/>
        <v>500000</v>
      </c>
      <c r="BW35" s="60"/>
      <c r="BX35" s="60"/>
      <c r="BY35" s="61"/>
      <c r="BZ35" s="58">
        <f t="shared" si="247"/>
        <v>500000</v>
      </c>
      <c r="CA35" s="58"/>
      <c r="CB35" s="58"/>
      <c r="CC35" s="59"/>
      <c r="CD35" s="60">
        <f t="shared" si="247"/>
        <v>500000</v>
      </c>
      <c r="CE35" s="60"/>
      <c r="CF35" s="60"/>
      <c r="CG35" s="60"/>
      <c r="CH35" s="60">
        <f t="shared" si="247"/>
        <v>250000</v>
      </c>
      <c r="CI35" s="60"/>
      <c r="CJ35" s="60"/>
      <c r="CK35" s="61"/>
      <c r="CL35" s="58">
        <f t="shared" si="247"/>
        <v>0</v>
      </c>
      <c r="CM35" s="58"/>
      <c r="CN35" s="58"/>
      <c r="CO35" s="59"/>
      <c r="CP35" s="60">
        <f t="shared" ref="CP35:DR35" si="248">IFERROR($C35*CP33,"")</f>
        <v>0</v>
      </c>
      <c r="CQ35" s="60"/>
      <c r="CR35" s="60"/>
      <c r="CS35" s="60"/>
      <c r="CT35" s="60">
        <f t="shared" si="248"/>
        <v>0</v>
      </c>
      <c r="CU35" s="60"/>
      <c r="CV35" s="60"/>
      <c r="CW35" s="61"/>
      <c r="CX35" s="58">
        <f t="shared" si="248"/>
        <v>0</v>
      </c>
      <c r="CY35" s="58"/>
      <c r="CZ35" s="58"/>
      <c r="DA35" s="59"/>
      <c r="DB35" s="60">
        <f t="shared" si="248"/>
        <v>0</v>
      </c>
      <c r="DC35" s="60"/>
      <c r="DD35" s="60"/>
      <c r="DE35" s="60"/>
      <c r="DF35" s="60">
        <f t="shared" si="248"/>
        <v>0</v>
      </c>
      <c r="DG35" s="60"/>
      <c r="DH35" s="60"/>
      <c r="DI35" s="61"/>
      <c r="DJ35" s="58">
        <f t="shared" si="248"/>
        <v>0</v>
      </c>
      <c r="DK35" s="58"/>
      <c r="DL35" s="58"/>
      <c r="DM35" s="59"/>
      <c r="DN35" s="60">
        <f t="shared" si="248"/>
        <v>0</v>
      </c>
      <c r="DO35" s="60"/>
      <c r="DP35" s="60"/>
      <c r="DQ35" s="60"/>
      <c r="DR35" s="60">
        <f t="shared" si="248"/>
        <v>0</v>
      </c>
      <c r="DS35" s="60"/>
      <c r="DT35" s="60"/>
      <c r="DU35" s="61"/>
      <c r="DV35" s="58">
        <f t="shared" ref="DV35:EP35" si="249">IFERROR($C35*DV33,"")</f>
        <v>0</v>
      </c>
      <c r="DW35" s="58"/>
      <c r="DX35" s="58"/>
      <c r="DY35" s="59"/>
      <c r="DZ35" s="60">
        <f t="shared" si="249"/>
        <v>0</v>
      </c>
      <c r="EA35" s="60"/>
      <c r="EB35" s="60"/>
      <c r="EC35" s="60"/>
      <c r="ED35" s="60">
        <f t="shared" si="249"/>
        <v>0</v>
      </c>
      <c r="EE35" s="60"/>
      <c r="EF35" s="60"/>
      <c r="EG35" s="61"/>
      <c r="EH35" s="58">
        <f t="shared" si="249"/>
        <v>0</v>
      </c>
      <c r="EI35" s="58"/>
      <c r="EJ35" s="58"/>
      <c r="EK35" s="59"/>
      <c r="EL35" s="60">
        <f t="shared" si="249"/>
        <v>0</v>
      </c>
      <c r="EM35" s="60"/>
      <c r="EN35" s="60"/>
      <c r="EO35" s="60"/>
      <c r="EP35" s="60">
        <f t="shared" si="249"/>
        <v>0</v>
      </c>
      <c r="EQ35" s="60"/>
      <c r="ER35" s="60"/>
      <c r="ES35" s="61"/>
    </row>
    <row r="36" spans="2:149" outlineLevel="1" x14ac:dyDescent="0.45">
      <c r="B36" s="72" t="s">
        <v>42</v>
      </c>
      <c r="C36" s="19"/>
      <c r="D36" s="20" t="s">
        <v>13</v>
      </c>
      <c r="E36" s="21">
        <f>SUM(F36:ES36)</f>
        <v>17</v>
      </c>
      <c r="F36" s="74">
        <v>0.5</v>
      </c>
      <c r="G36" s="67"/>
      <c r="H36" s="67"/>
      <c r="I36" s="67"/>
      <c r="J36" s="67">
        <v>0.5</v>
      </c>
      <c r="K36" s="67"/>
      <c r="L36" s="67"/>
      <c r="M36" s="67"/>
      <c r="N36" s="67">
        <v>1</v>
      </c>
      <c r="O36" s="67"/>
      <c r="P36" s="67"/>
      <c r="Q36" s="67"/>
      <c r="R36" s="70">
        <v>1</v>
      </c>
      <c r="S36" s="70"/>
      <c r="T36" s="70"/>
      <c r="U36" s="71"/>
      <c r="V36" s="67">
        <v>1</v>
      </c>
      <c r="W36" s="67"/>
      <c r="X36" s="67"/>
      <c r="Y36" s="67"/>
      <c r="Z36" s="67">
        <v>1</v>
      </c>
      <c r="AA36" s="67"/>
      <c r="AB36" s="67"/>
      <c r="AC36" s="68"/>
      <c r="AD36" s="70">
        <v>1</v>
      </c>
      <c r="AE36" s="70"/>
      <c r="AF36" s="70"/>
      <c r="AG36" s="71"/>
      <c r="AH36" s="67">
        <v>1</v>
      </c>
      <c r="AI36" s="67"/>
      <c r="AJ36" s="67"/>
      <c r="AK36" s="67"/>
      <c r="AL36" s="67">
        <v>1</v>
      </c>
      <c r="AM36" s="67"/>
      <c r="AN36" s="67"/>
      <c r="AO36" s="68"/>
      <c r="AP36" s="70">
        <v>1</v>
      </c>
      <c r="AQ36" s="70"/>
      <c r="AR36" s="70"/>
      <c r="AS36" s="71"/>
      <c r="AT36" s="67">
        <v>1</v>
      </c>
      <c r="AU36" s="67"/>
      <c r="AV36" s="67"/>
      <c r="AW36" s="67"/>
      <c r="AX36" s="67">
        <v>1</v>
      </c>
      <c r="AY36" s="67"/>
      <c r="AZ36" s="67"/>
      <c r="BA36" s="68"/>
      <c r="BB36" s="70">
        <v>1</v>
      </c>
      <c r="BC36" s="70"/>
      <c r="BD36" s="70"/>
      <c r="BE36" s="71"/>
      <c r="BF36" s="67">
        <v>1</v>
      </c>
      <c r="BG36" s="67"/>
      <c r="BH36" s="67"/>
      <c r="BI36" s="67"/>
      <c r="BJ36" s="67">
        <v>1</v>
      </c>
      <c r="BK36" s="67"/>
      <c r="BL36" s="67"/>
      <c r="BM36" s="68"/>
      <c r="BN36" s="70">
        <v>0.5</v>
      </c>
      <c r="BO36" s="70"/>
      <c r="BP36" s="70"/>
      <c r="BQ36" s="71"/>
      <c r="BR36" s="67">
        <v>0.5</v>
      </c>
      <c r="BS36" s="67"/>
      <c r="BT36" s="67"/>
      <c r="BU36" s="67"/>
      <c r="BV36" s="67">
        <v>0.5</v>
      </c>
      <c r="BW36" s="67"/>
      <c r="BX36" s="67"/>
      <c r="BY36" s="68"/>
      <c r="BZ36" s="70">
        <v>0.5</v>
      </c>
      <c r="CA36" s="70"/>
      <c r="CB36" s="70"/>
      <c r="CC36" s="71"/>
      <c r="CD36" s="67">
        <v>0.5</v>
      </c>
      <c r="CE36" s="67"/>
      <c r="CF36" s="67"/>
      <c r="CG36" s="67"/>
      <c r="CH36" s="67">
        <v>0.5</v>
      </c>
      <c r="CI36" s="67"/>
      <c r="CJ36" s="67"/>
      <c r="CK36" s="68"/>
      <c r="CL36" s="70"/>
      <c r="CM36" s="70"/>
      <c r="CN36" s="70"/>
      <c r="CO36" s="71"/>
      <c r="CP36" s="67"/>
      <c r="CQ36" s="67"/>
      <c r="CR36" s="67"/>
      <c r="CS36" s="67"/>
      <c r="CT36" s="67"/>
      <c r="CU36" s="67"/>
      <c r="CV36" s="67"/>
      <c r="CW36" s="68"/>
      <c r="CX36" s="70"/>
      <c r="CY36" s="70"/>
      <c r="CZ36" s="70"/>
      <c r="DA36" s="71"/>
      <c r="DB36" s="67"/>
      <c r="DC36" s="67"/>
      <c r="DD36" s="67"/>
      <c r="DE36" s="67"/>
      <c r="DF36" s="67"/>
      <c r="DG36" s="67"/>
      <c r="DH36" s="67"/>
      <c r="DI36" s="68"/>
      <c r="DJ36" s="70"/>
      <c r="DK36" s="70"/>
      <c r="DL36" s="70"/>
      <c r="DM36" s="71"/>
      <c r="DN36" s="67"/>
      <c r="DO36" s="67"/>
      <c r="DP36" s="67"/>
      <c r="DQ36" s="67"/>
      <c r="DR36" s="67"/>
      <c r="DS36" s="67"/>
      <c r="DT36" s="67"/>
      <c r="DU36" s="68"/>
      <c r="DV36" s="70"/>
      <c r="DW36" s="70"/>
      <c r="DX36" s="70"/>
      <c r="DY36" s="71"/>
      <c r="DZ36" s="67"/>
      <c r="EA36" s="67"/>
      <c r="EB36" s="67"/>
      <c r="EC36" s="67"/>
      <c r="ED36" s="67"/>
      <c r="EE36" s="67"/>
      <c r="EF36" s="67"/>
      <c r="EG36" s="68"/>
      <c r="EH36" s="70"/>
      <c r="EI36" s="70"/>
      <c r="EJ36" s="70"/>
      <c r="EK36" s="71"/>
      <c r="EL36" s="67"/>
      <c r="EM36" s="67"/>
      <c r="EN36" s="67"/>
      <c r="EO36" s="67"/>
      <c r="EP36" s="67"/>
      <c r="EQ36" s="67"/>
      <c r="ER36" s="67"/>
      <c r="ES36" s="68"/>
    </row>
    <row r="37" spans="2:149" outlineLevel="1" x14ac:dyDescent="0.45">
      <c r="B37" s="73"/>
      <c r="C37" s="22">
        <v>1050000</v>
      </c>
      <c r="D37" s="23" t="s">
        <v>23</v>
      </c>
      <c r="E37" s="24">
        <f>SUM(F37:CW37)</f>
        <v>17850000</v>
      </c>
      <c r="F37" s="69">
        <f>IFERROR($C37*F36,"")</f>
        <v>525000</v>
      </c>
      <c r="G37" s="62"/>
      <c r="H37" s="62"/>
      <c r="I37" s="62"/>
      <c r="J37" s="62">
        <f t="shared" ref="J37" si="250">IFERROR($C37*J36,"")</f>
        <v>525000</v>
      </c>
      <c r="K37" s="62"/>
      <c r="L37" s="62"/>
      <c r="M37" s="62"/>
      <c r="N37" s="63">
        <f t="shared" ref="N37" si="251">IFERROR($C37*N36,"")</f>
        <v>1050000</v>
      </c>
      <c r="O37" s="64"/>
      <c r="P37" s="64"/>
      <c r="Q37" s="64"/>
      <c r="R37" s="64">
        <f t="shared" ref="R37" si="252">IFERROR($C37*R36,"")</f>
        <v>1050000</v>
      </c>
      <c r="S37" s="64"/>
      <c r="T37" s="64"/>
      <c r="U37" s="65"/>
      <c r="V37" s="62">
        <f t="shared" ref="V37" si="253">IFERROR($C37*V36,"")</f>
        <v>1050000</v>
      </c>
      <c r="W37" s="62"/>
      <c r="X37" s="62"/>
      <c r="Y37" s="62"/>
      <c r="Z37" s="62">
        <f t="shared" ref="Z37" si="254">IFERROR($C37*Z36,"")</f>
        <v>1050000</v>
      </c>
      <c r="AA37" s="62"/>
      <c r="AB37" s="62"/>
      <c r="AC37" s="63"/>
      <c r="AD37" s="64">
        <f t="shared" ref="AD37" si="255">IFERROR($C37*AD36,"")</f>
        <v>1050000</v>
      </c>
      <c r="AE37" s="64"/>
      <c r="AF37" s="64"/>
      <c r="AG37" s="65"/>
      <c r="AH37" s="62">
        <f t="shared" ref="AH37" si="256">IFERROR($C37*AH36,"")</f>
        <v>1050000</v>
      </c>
      <c r="AI37" s="62"/>
      <c r="AJ37" s="62"/>
      <c r="AK37" s="62"/>
      <c r="AL37" s="62">
        <f t="shared" ref="AL37" si="257">IFERROR($C37*AL36,"")</f>
        <v>1050000</v>
      </c>
      <c r="AM37" s="62"/>
      <c r="AN37" s="62"/>
      <c r="AO37" s="63"/>
      <c r="AP37" s="64">
        <f t="shared" ref="AP37" si="258">IFERROR($C37*AP36,"")</f>
        <v>1050000</v>
      </c>
      <c r="AQ37" s="64"/>
      <c r="AR37" s="64"/>
      <c r="AS37" s="65"/>
      <c r="AT37" s="62">
        <f t="shared" ref="AT37" si="259">IFERROR($C37*AT36,"")</f>
        <v>1050000</v>
      </c>
      <c r="AU37" s="62"/>
      <c r="AV37" s="62"/>
      <c r="AW37" s="62"/>
      <c r="AX37" s="62">
        <f t="shared" ref="AX37" si="260">IFERROR($C37*AX36,"")</f>
        <v>1050000</v>
      </c>
      <c r="AY37" s="62"/>
      <c r="AZ37" s="62"/>
      <c r="BA37" s="63"/>
      <c r="BB37" s="64">
        <f t="shared" ref="BB37" si="261">IFERROR($C37*BB36,"")</f>
        <v>1050000</v>
      </c>
      <c r="BC37" s="64"/>
      <c r="BD37" s="64"/>
      <c r="BE37" s="65"/>
      <c r="BF37" s="62">
        <f t="shared" ref="BF37" si="262">IFERROR($C37*BF36,"")</f>
        <v>1050000</v>
      </c>
      <c r="BG37" s="62"/>
      <c r="BH37" s="62"/>
      <c r="BI37" s="62"/>
      <c r="BJ37" s="62">
        <f t="shared" ref="BJ37" si="263">IFERROR($C37*BJ36,"")</f>
        <v>1050000</v>
      </c>
      <c r="BK37" s="62"/>
      <c r="BL37" s="62"/>
      <c r="BM37" s="63"/>
      <c r="BN37" s="64">
        <f t="shared" ref="BN37" si="264">IFERROR($C37*BN36,"")</f>
        <v>525000</v>
      </c>
      <c r="BO37" s="64"/>
      <c r="BP37" s="64"/>
      <c r="BQ37" s="65"/>
      <c r="BR37" s="62">
        <f t="shared" ref="BR37" si="265">IFERROR($C37*BR36,"")</f>
        <v>525000</v>
      </c>
      <c r="BS37" s="62"/>
      <c r="BT37" s="62"/>
      <c r="BU37" s="62"/>
      <c r="BV37" s="62">
        <f t="shared" ref="BV37" si="266">IFERROR($C37*BV36,"")</f>
        <v>525000</v>
      </c>
      <c r="BW37" s="62"/>
      <c r="BX37" s="62"/>
      <c r="BY37" s="63"/>
      <c r="BZ37" s="64">
        <f t="shared" ref="BZ37" si="267">IFERROR($C37*BZ36,"")</f>
        <v>525000</v>
      </c>
      <c r="CA37" s="64"/>
      <c r="CB37" s="64"/>
      <c r="CC37" s="65"/>
      <c r="CD37" s="62">
        <f t="shared" ref="CD37" si="268">IFERROR($C37*CD36,"")</f>
        <v>525000</v>
      </c>
      <c r="CE37" s="62"/>
      <c r="CF37" s="62"/>
      <c r="CG37" s="62"/>
      <c r="CH37" s="62">
        <f t="shared" ref="CH37" si="269">IFERROR($C37*CH36,"")</f>
        <v>525000</v>
      </c>
      <c r="CI37" s="62"/>
      <c r="CJ37" s="62"/>
      <c r="CK37" s="63"/>
      <c r="CL37" s="64">
        <f t="shared" ref="CL37" si="270">IFERROR($C37*CL36,"")</f>
        <v>0</v>
      </c>
      <c r="CM37" s="64"/>
      <c r="CN37" s="64"/>
      <c r="CO37" s="65"/>
      <c r="CP37" s="62">
        <f t="shared" ref="CP37" si="271">IFERROR($C37*CP36,"")</f>
        <v>0</v>
      </c>
      <c r="CQ37" s="62"/>
      <c r="CR37" s="62"/>
      <c r="CS37" s="62"/>
      <c r="CT37" s="62">
        <f t="shared" ref="CT37" si="272">IFERROR($C37*CT36,"")</f>
        <v>0</v>
      </c>
      <c r="CU37" s="62"/>
      <c r="CV37" s="62"/>
      <c r="CW37" s="63"/>
      <c r="CX37" s="64">
        <f t="shared" ref="CX37" si="273">IFERROR($C37*CX36,"")</f>
        <v>0</v>
      </c>
      <c r="CY37" s="64"/>
      <c r="CZ37" s="64"/>
      <c r="DA37" s="65"/>
      <c r="DB37" s="62">
        <f t="shared" ref="DB37" si="274">IFERROR($C37*DB36,"")</f>
        <v>0</v>
      </c>
      <c r="DC37" s="62"/>
      <c r="DD37" s="62"/>
      <c r="DE37" s="62"/>
      <c r="DF37" s="62">
        <f t="shared" ref="DF37" si="275">IFERROR($C37*DF36,"")</f>
        <v>0</v>
      </c>
      <c r="DG37" s="62"/>
      <c r="DH37" s="62"/>
      <c r="DI37" s="63"/>
      <c r="DJ37" s="64">
        <f t="shared" ref="DJ37" si="276">IFERROR($C37*DJ36,"")</f>
        <v>0</v>
      </c>
      <c r="DK37" s="64"/>
      <c r="DL37" s="64"/>
      <c r="DM37" s="65"/>
      <c r="DN37" s="62">
        <f t="shared" ref="DN37" si="277">IFERROR($C37*DN36,"")</f>
        <v>0</v>
      </c>
      <c r="DO37" s="62"/>
      <c r="DP37" s="62"/>
      <c r="DQ37" s="62"/>
      <c r="DR37" s="62">
        <f t="shared" ref="DR37" si="278">IFERROR($C37*DR36,"")</f>
        <v>0</v>
      </c>
      <c r="DS37" s="62"/>
      <c r="DT37" s="62"/>
      <c r="DU37" s="63"/>
      <c r="DV37" s="64">
        <f t="shared" ref="DV37" si="279">IFERROR($C37*DV36,"")</f>
        <v>0</v>
      </c>
      <c r="DW37" s="64"/>
      <c r="DX37" s="64"/>
      <c r="DY37" s="65"/>
      <c r="DZ37" s="62">
        <f t="shared" ref="DZ37" si="280">IFERROR($C37*DZ36,"")</f>
        <v>0</v>
      </c>
      <c r="EA37" s="62"/>
      <c r="EB37" s="62"/>
      <c r="EC37" s="62"/>
      <c r="ED37" s="62">
        <f t="shared" ref="ED37" si="281">IFERROR($C37*ED36,"")</f>
        <v>0</v>
      </c>
      <c r="EE37" s="62"/>
      <c r="EF37" s="62"/>
      <c r="EG37" s="63"/>
      <c r="EH37" s="64">
        <f t="shared" ref="EH37" si="282">IFERROR($C37*EH36,"")</f>
        <v>0</v>
      </c>
      <c r="EI37" s="64"/>
      <c r="EJ37" s="64"/>
      <c r="EK37" s="65"/>
      <c r="EL37" s="62">
        <f t="shared" ref="EL37" si="283">IFERROR($C37*EL36,"")</f>
        <v>0</v>
      </c>
      <c r="EM37" s="62"/>
      <c r="EN37" s="62"/>
      <c r="EO37" s="62"/>
      <c r="EP37" s="62">
        <f t="shared" ref="EP37" si="284">IFERROR($C37*EP36,"")</f>
        <v>0</v>
      </c>
      <c r="EQ37" s="62"/>
      <c r="ER37" s="62"/>
      <c r="ES37" s="63"/>
    </row>
    <row r="38" spans="2:149" outlineLevel="1" x14ac:dyDescent="0.45">
      <c r="B38" s="78"/>
      <c r="C38" s="25">
        <v>500000</v>
      </c>
      <c r="D38" s="26" t="s">
        <v>3</v>
      </c>
      <c r="E38" s="27">
        <f>SUM(F38:CW38)</f>
        <v>8500000</v>
      </c>
      <c r="F38" s="66">
        <f>IFERROR($C38*F36,"")</f>
        <v>250000</v>
      </c>
      <c r="G38" s="60"/>
      <c r="H38" s="60"/>
      <c r="I38" s="60"/>
      <c r="J38" s="60">
        <f t="shared" ref="J38" si="285">IFERROR($C38*J36,"")</f>
        <v>250000</v>
      </c>
      <c r="K38" s="60"/>
      <c r="L38" s="60"/>
      <c r="M38" s="60"/>
      <c r="N38" s="61">
        <f t="shared" ref="N38" si="286">IFERROR($C38*N36,"")</f>
        <v>500000</v>
      </c>
      <c r="O38" s="58"/>
      <c r="P38" s="58"/>
      <c r="Q38" s="58"/>
      <c r="R38" s="58">
        <f t="shared" ref="R38" si="287">IFERROR($C38*R36,"")</f>
        <v>500000</v>
      </c>
      <c r="S38" s="58"/>
      <c r="T38" s="58"/>
      <c r="U38" s="59"/>
      <c r="V38" s="60">
        <f t="shared" ref="V38" si="288">IFERROR($C38*V36,"")</f>
        <v>500000</v>
      </c>
      <c r="W38" s="60"/>
      <c r="X38" s="60"/>
      <c r="Y38" s="60"/>
      <c r="Z38" s="60">
        <f t="shared" ref="Z38" si="289">IFERROR($C38*Z36,"")</f>
        <v>500000</v>
      </c>
      <c r="AA38" s="60"/>
      <c r="AB38" s="60"/>
      <c r="AC38" s="61"/>
      <c r="AD38" s="58">
        <f t="shared" ref="AD38:BF38" si="290">IFERROR($C38*AD36,"")</f>
        <v>500000</v>
      </c>
      <c r="AE38" s="58"/>
      <c r="AF38" s="58"/>
      <c r="AG38" s="59"/>
      <c r="AH38" s="60">
        <f t="shared" si="290"/>
        <v>500000</v>
      </c>
      <c r="AI38" s="60"/>
      <c r="AJ38" s="60"/>
      <c r="AK38" s="60"/>
      <c r="AL38" s="60">
        <f t="shared" si="290"/>
        <v>500000</v>
      </c>
      <c r="AM38" s="60"/>
      <c r="AN38" s="60"/>
      <c r="AO38" s="61"/>
      <c r="AP38" s="58">
        <f t="shared" si="290"/>
        <v>500000</v>
      </c>
      <c r="AQ38" s="58"/>
      <c r="AR38" s="58"/>
      <c r="AS38" s="59"/>
      <c r="AT38" s="60">
        <f t="shared" si="290"/>
        <v>500000</v>
      </c>
      <c r="AU38" s="60"/>
      <c r="AV38" s="60"/>
      <c r="AW38" s="60"/>
      <c r="AX38" s="60">
        <f t="shared" si="290"/>
        <v>500000</v>
      </c>
      <c r="AY38" s="60"/>
      <c r="AZ38" s="60"/>
      <c r="BA38" s="61"/>
      <c r="BB38" s="58">
        <f t="shared" si="290"/>
        <v>500000</v>
      </c>
      <c r="BC38" s="58"/>
      <c r="BD38" s="58"/>
      <c r="BE38" s="59"/>
      <c r="BF38" s="60">
        <f t="shared" si="290"/>
        <v>500000</v>
      </c>
      <c r="BG38" s="60"/>
      <c r="BH38" s="60"/>
      <c r="BI38" s="60"/>
      <c r="BJ38" s="60">
        <f t="shared" ref="BJ38:CL38" si="291">IFERROR($C38*BJ36,"")</f>
        <v>500000</v>
      </c>
      <c r="BK38" s="60"/>
      <c r="BL38" s="60"/>
      <c r="BM38" s="61"/>
      <c r="BN38" s="58">
        <f t="shared" si="291"/>
        <v>250000</v>
      </c>
      <c r="BO38" s="58"/>
      <c r="BP38" s="58"/>
      <c r="BQ38" s="59"/>
      <c r="BR38" s="60">
        <f t="shared" si="291"/>
        <v>250000</v>
      </c>
      <c r="BS38" s="60"/>
      <c r="BT38" s="60"/>
      <c r="BU38" s="60"/>
      <c r="BV38" s="60">
        <f t="shared" si="291"/>
        <v>250000</v>
      </c>
      <c r="BW38" s="60"/>
      <c r="BX38" s="60"/>
      <c r="BY38" s="61"/>
      <c r="BZ38" s="58">
        <f t="shared" si="291"/>
        <v>250000</v>
      </c>
      <c r="CA38" s="58"/>
      <c r="CB38" s="58"/>
      <c r="CC38" s="59"/>
      <c r="CD38" s="60">
        <f t="shared" si="291"/>
        <v>250000</v>
      </c>
      <c r="CE38" s="60"/>
      <c r="CF38" s="60"/>
      <c r="CG38" s="60"/>
      <c r="CH38" s="60">
        <f t="shared" si="291"/>
        <v>250000</v>
      </c>
      <c r="CI38" s="60"/>
      <c r="CJ38" s="60"/>
      <c r="CK38" s="61"/>
      <c r="CL38" s="58">
        <f t="shared" si="291"/>
        <v>0</v>
      </c>
      <c r="CM38" s="58"/>
      <c r="CN38" s="58"/>
      <c r="CO38" s="59"/>
      <c r="CP38" s="60">
        <f t="shared" ref="CP38:DR38" si="292">IFERROR($C38*CP36,"")</f>
        <v>0</v>
      </c>
      <c r="CQ38" s="60"/>
      <c r="CR38" s="60"/>
      <c r="CS38" s="60"/>
      <c r="CT38" s="60">
        <f t="shared" si="292"/>
        <v>0</v>
      </c>
      <c r="CU38" s="60"/>
      <c r="CV38" s="60"/>
      <c r="CW38" s="61"/>
      <c r="CX38" s="58">
        <f t="shared" si="292"/>
        <v>0</v>
      </c>
      <c r="CY38" s="58"/>
      <c r="CZ38" s="58"/>
      <c r="DA38" s="59"/>
      <c r="DB38" s="60">
        <f t="shared" si="292"/>
        <v>0</v>
      </c>
      <c r="DC38" s="60"/>
      <c r="DD38" s="60"/>
      <c r="DE38" s="60"/>
      <c r="DF38" s="60">
        <f t="shared" si="292"/>
        <v>0</v>
      </c>
      <c r="DG38" s="60"/>
      <c r="DH38" s="60"/>
      <c r="DI38" s="61"/>
      <c r="DJ38" s="58">
        <f t="shared" si="292"/>
        <v>0</v>
      </c>
      <c r="DK38" s="58"/>
      <c r="DL38" s="58"/>
      <c r="DM38" s="59"/>
      <c r="DN38" s="60">
        <f t="shared" si="292"/>
        <v>0</v>
      </c>
      <c r="DO38" s="60"/>
      <c r="DP38" s="60"/>
      <c r="DQ38" s="60"/>
      <c r="DR38" s="60">
        <f t="shared" si="292"/>
        <v>0</v>
      </c>
      <c r="DS38" s="60"/>
      <c r="DT38" s="60"/>
      <c r="DU38" s="61"/>
      <c r="DV38" s="58">
        <f t="shared" ref="DV38:EP38" si="293">IFERROR($C38*DV36,"")</f>
        <v>0</v>
      </c>
      <c r="DW38" s="58"/>
      <c r="DX38" s="58"/>
      <c r="DY38" s="59"/>
      <c r="DZ38" s="60">
        <f t="shared" si="293"/>
        <v>0</v>
      </c>
      <c r="EA38" s="60"/>
      <c r="EB38" s="60"/>
      <c r="EC38" s="60"/>
      <c r="ED38" s="60">
        <f t="shared" si="293"/>
        <v>0</v>
      </c>
      <c r="EE38" s="60"/>
      <c r="EF38" s="60"/>
      <c r="EG38" s="61"/>
      <c r="EH38" s="58">
        <f t="shared" si="293"/>
        <v>0</v>
      </c>
      <c r="EI38" s="58"/>
      <c r="EJ38" s="58"/>
      <c r="EK38" s="59"/>
      <c r="EL38" s="60">
        <f t="shared" si="293"/>
        <v>0</v>
      </c>
      <c r="EM38" s="60"/>
      <c r="EN38" s="60"/>
      <c r="EO38" s="60"/>
      <c r="EP38" s="60">
        <f t="shared" si="293"/>
        <v>0</v>
      </c>
      <c r="EQ38" s="60"/>
      <c r="ER38" s="60"/>
      <c r="ES38" s="61"/>
    </row>
    <row r="39" spans="2:149" outlineLevel="1" x14ac:dyDescent="0.45">
      <c r="B39" s="72" t="s">
        <v>62</v>
      </c>
      <c r="C39" s="19"/>
      <c r="D39" s="20" t="s">
        <v>13</v>
      </c>
      <c r="E39" s="21">
        <f>SUM(F39:ES39)</f>
        <v>9</v>
      </c>
      <c r="F39" s="74"/>
      <c r="G39" s="67"/>
      <c r="H39" s="67"/>
      <c r="I39" s="67"/>
      <c r="J39" s="67"/>
      <c r="K39" s="67"/>
      <c r="L39" s="67"/>
      <c r="M39" s="67"/>
      <c r="N39" s="67">
        <v>1</v>
      </c>
      <c r="O39" s="67"/>
      <c r="P39" s="67"/>
      <c r="Q39" s="67"/>
      <c r="R39" s="70">
        <v>1</v>
      </c>
      <c r="S39" s="70"/>
      <c r="T39" s="70"/>
      <c r="U39" s="71"/>
      <c r="V39" s="67">
        <v>1</v>
      </c>
      <c r="W39" s="67"/>
      <c r="X39" s="67"/>
      <c r="Y39" s="67"/>
      <c r="Z39" s="67">
        <v>1</v>
      </c>
      <c r="AA39" s="67"/>
      <c r="AB39" s="67"/>
      <c r="AC39" s="68"/>
      <c r="AD39" s="70">
        <v>1</v>
      </c>
      <c r="AE39" s="70"/>
      <c r="AF39" s="70"/>
      <c r="AG39" s="71"/>
      <c r="AH39" s="67"/>
      <c r="AI39" s="67"/>
      <c r="AJ39" s="67"/>
      <c r="AK39" s="67"/>
      <c r="AL39" s="67"/>
      <c r="AM39" s="67"/>
      <c r="AN39" s="67"/>
      <c r="AO39" s="68"/>
      <c r="AP39" s="70"/>
      <c r="AQ39" s="70"/>
      <c r="AR39" s="70"/>
      <c r="AS39" s="71"/>
      <c r="AT39" s="67"/>
      <c r="AU39" s="67"/>
      <c r="AV39" s="67"/>
      <c r="AW39" s="67"/>
      <c r="AX39" s="67"/>
      <c r="AY39" s="67"/>
      <c r="AZ39" s="67"/>
      <c r="BA39" s="68"/>
      <c r="BB39" s="70">
        <v>1</v>
      </c>
      <c r="BC39" s="70"/>
      <c r="BD39" s="70"/>
      <c r="BE39" s="71"/>
      <c r="BF39" s="67">
        <v>1</v>
      </c>
      <c r="BG39" s="67"/>
      <c r="BH39" s="67"/>
      <c r="BI39" s="67"/>
      <c r="BJ39" s="67">
        <v>1</v>
      </c>
      <c r="BK39" s="67"/>
      <c r="BL39" s="67"/>
      <c r="BM39" s="68"/>
      <c r="BN39" s="70">
        <v>1</v>
      </c>
      <c r="BO39" s="70"/>
      <c r="BP39" s="70"/>
      <c r="BQ39" s="71"/>
      <c r="BR39" s="67"/>
      <c r="BS39" s="67"/>
      <c r="BT39" s="67"/>
      <c r="BU39" s="67"/>
      <c r="BV39" s="67"/>
      <c r="BW39" s="67"/>
      <c r="BX39" s="67"/>
      <c r="BY39" s="68"/>
      <c r="BZ39" s="70"/>
      <c r="CA39" s="70"/>
      <c r="CB39" s="70"/>
      <c r="CC39" s="71"/>
      <c r="CD39" s="67"/>
      <c r="CE39" s="67"/>
      <c r="CF39" s="67"/>
      <c r="CG39" s="67"/>
      <c r="CH39" s="67"/>
      <c r="CI39" s="67"/>
      <c r="CJ39" s="67"/>
      <c r="CK39" s="68"/>
      <c r="CL39" s="70"/>
      <c r="CM39" s="70"/>
      <c r="CN39" s="70"/>
      <c r="CO39" s="71"/>
      <c r="CP39" s="67"/>
      <c r="CQ39" s="67"/>
      <c r="CR39" s="67"/>
      <c r="CS39" s="67"/>
      <c r="CT39" s="67"/>
      <c r="CU39" s="67"/>
      <c r="CV39" s="67"/>
      <c r="CW39" s="68"/>
      <c r="CX39" s="70"/>
      <c r="CY39" s="70"/>
      <c r="CZ39" s="70"/>
      <c r="DA39" s="71"/>
      <c r="DB39" s="67"/>
      <c r="DC39" s="67"/>
      <c r="DD39" s="67"/>
      <c r="DE39" s="67"/>
      <c r="DF39" s="67"/>
      <c r="DG39" s="67"/>
      <c r="DH39" s="67"/>
      <c r="DI39" s="68"/>
      <c r="DJ39" s="70"/>
      <c r="DK39" s="70"/>
      <c r="DL39" s="70"/>
      <c r="DM39" s="71"/>
      <c r="DN39" s="67"/>
      <c r="DO39" s="67"/>
      <c r="DP39" s="67"/>
      <c r="DQ39" s="67"/>
      <c r="DR39" s="67"/>
      <c r="DS39" s="67"/>
      <c r="DT39" s="67"/>
      <c r="DU39" s="68"/>
      <c r="DV39" s="70"/>
      <c r="DW39" s="70"/>
      <c r="DX39" s="70"/>
      <c r="DY39" s="71"/>
      <c r="DZ39" s="67"/>
      <c r="EA39" s="67"/>
      <c r="EB39" s="67"/>
      <c r="EC39" s="67"/>
      <c r="ED39" s="67"/>
      <c r="EE39" s="67"/>
      <c r="EF39" s="67"/>
      <c r="EG39" s="68"/>
      <c r="EH39" s="70"/>
      <c r="EI39" s="70"/>
      <c r="EJ39" s="70"/>
      <c r="EK39" s="71"/>
      <c r="EL39" s="67"/>
      <c r="EM39" s="67"/>
      <c r="EN39" s="67"/>
      <c r="EO39" s="67"/>
      <c r="EP39" s="67"/>
      <c r="EQ39" s="67"/>
      <c r="ER39" s="67"/>
      <c r="ES39" s="68"/>
    </row>
    <row r="40" spans="2:149" outlineLevel="1" x14ac:dyDescent="0.45">
      <c r="B40" s="73"/>
      <c r="C40" s="22">
        <v>1050000</v>
      </c>
      <c r="D40" s="23" t="s">
        <v>23</v>
      </c>
      <c r="E40" s="24">
        <f>SUM(F40:CW40)</f>
        <v>9450000</v>
      </c>
      <c r="F40" s="69">
        <f>IFERROR($C40*F39,"")</f>
        <v>0</v>
      </c>
      <c r="G40" s="62"/>
      <c r="H40" s="62"/>
      <c r="I40" s="62"/>
      <c r="J40" s="62">
        <f t="shared" ref="J40" si="294">IFERROR($C40*J39,"")</f>
        <v>0</v>
      </c>
      <c r="K40" s="62"/>
      <c r="L40" s="62"/>
      <c r="M40" s="62"/>
      <c r="N40" s="63">
        <f t="shared" ref="N40" si="295">IFERROR($C40*N39,"")</f>
        <v>1050000</v>
      </c>
      <c r="O40" s="64"/>
      <c r="P40" s="64"/>
      <c r="Q40" s="64"/>
      <c r="R40" s="64">
        <f t="shared" ref="R40" si="296">IFERROR($C40*R39,"")</f>
        <v>1050000</v>
      </c>
      <c r="S40" s="64"/>
      <c r="T40" s="64"/>
      <c r="U40" s="65"/>
      <c r="V40" s="62">
        <f t="shared" ref="V40" si="297">IFERROR($C40*V39,"")</f>
        <v>1050000</v>
      </c>
      <c r="W40" s="62"/>
      <c r="X40" s="62"/>
      <c r="Y40" s="62"/>
      <c r="Z40" s="62">
        <f t="shared" ref="Z40" si="298">IFERROR($C40*Z39,"")</f>
        <v>1050000</v>
      </c>
      <c r="AA40" s="62"/>
      <c r="AB40" s="62"/>
      <c r="AC40" s="63"/>
      <c r="AD40" s="64">
        <f t="shared" ref="AD40" si="299">IFERROR($C40*AD39,"")</f>
        <v>1050000</v>
      </c>
      <c r="AE40" s="64"/>
      <c r="AF40" s="64"/>
      <c r="AG40" s="65"/>
      <c r="AH40" s="62">
        <f t="shared" ref="AH40" si="300">IFERROR($C40*AH39,"")</f>
        <v>0</v>
      </c>
      <c r="AI40" s="62"/>
      <c r="AJ40" s="62"/>
      <c r="AK40" s="62"/>
      <c r="AL40" s="62">
        <f t="shared" ref="AL40" si="301">IFERROR($C40*AL39,"")</f>
        <v>0</v>
      </c>
      <c r="AM40" s="62"/>
      <c r="AN40" s="62"/>
      <c r="AO40" s="63"/>
      <c r="AP40" s="64">
        <f t="shared" ref="AP40" si="302">IFERROR($C40*AP39,"")</f>
        <v>0</v>
      </c>
      <c r="AQ40" s="64"/>
      <c r="AR40" s="64"/>
      <c r="AS40" s="65"/>
      <c r="AT40" s="62">
        <f t="shared" ref="AT40" si="303">IFERROR($C40*AT39,"")</f>
        <v>0</v>
      </c>
      <c r="AU40" s="62"/>
      <c r="AV40" s="62"/>
      <c r="AW40" s="62"/>
      <c r="AX40" s="62">
        <f t="shared" ref="AX40" si="304">IFERROR($C40*AX39,"")</f>
        <v>0</v>
      </c>
      <c r="AY40" s="62"/>
      <c r="AZ40" s="62"/>
      <c r="BA40" s="63"/>
      <c r="BB40" s="64">
        <f t="shared" ref="BB40" si="305">IFERROR($C40*BB39,"")</f>
        <v>1050000</v>
      </c>
      <c r="BC40" s="64"/>
      <c r="BD40" s="64"/>
      <c r="BE40" s="65"/>
      <c r="BF40" s="62">
        <f t="shared" ref="BF40" si="306">IFERROR($C40*BF39,"")</f>
        <v>1050000</v>
      </c>
      <c r="BG40" s="62"/>
      <c r="BH40" s="62"/>
      <c r="BI40" s="62"/>
      <c r="BJ40" s="62">
        <f t="shared" ref="BJ40" si="307">IFERROR($C40*BJ39,"")</f>
        <v>1050000</v>
      </c>
      <c r="BK40" s="62"/>
      <c r="BL40" s="62"/>
      <c r="BM40" s="63"/>
      <c r="BN40" s="64">
        <f t="shared" ref="BN40" si="308">IFERROR($C40*BN39,"")</f>
        <v>1050000</v>
      </c>
      <c r="BO40" s="64"/>
      <c r="BP40" s="64"/>
      <c r="BQ40" s="65"/>
      <c r="BR40" s="62">
        <f t="shared" ref="BR40" si="309">IFERROR($C40*BR39,"")</f>
        <v>0</v>
      </c>
      <c r="BS40" s="62"/>
      <c r="BT40" s="62"/>
      <c r="BU40" s="62"/>
      <c r="BV40" s="62">
        <f t="shared" ref="BV40" si="310">IFERROR($C40*BV39,"")</f>
        <v>0</v>
      </c>
      <c r="BW40" s="62"/>
      <c r="BX40" s="62"/>
      <c r="BY40" s="63"/>
      <c r="BZ40" s="64">
        <f t="shared" ref="BZ40" si="311">IFERROR($C40*BZ39,"")</f>
        <v>0</v>
      </c>
      <c r="CA40" s="64"/>
      <c r="CB40" s="64"/>
      <c r="CC40" s="65"/>
      <c r="CD40" s="62">
        <f t="shared" ref="CD40" si="312">IFERROR($C40*CD39,"")</f>
        <v>0</v>
      </c>
      <c r="CE40" s="62"/>
      <c r="CF40" s="62"/>
      <c r="CG40" s="62"/>
      <c r="CH40" s="62">
        <f t="shared" ref="CH40" si="313">IFERROR($C40*CH39,"")</f>
        <v>0</v>
      </c>
      <c r="CI40" s="62"/>
      <c r="CJ40" s="62"/>
      <c r="CK40" s="63"/>
      <c r="CL40" s="64">
        <f t="shared" ref="CL40" si="314">IFERROR($C40*CL39,"")</f>
        <v>0</v>
      </c>
      <c r="CM40" s="64"/>
      <c r="CN40" s="64"/>
      <c r="CO40" s="65"/>
      <c r="CP40" s="62">
        <f t="shared" ref="CP40" si="315">IFERROR($C40*CP39,"")</f>
        <v>0</v>
      </c>
      <c r="CQ40" s="62"/>
      <c r="CR40" s="62"/>
      <c r="CS40" s="62"/>
      <c r="CT40" s="62">
        <f t="shared" ref="CT40" si="316">IFERROR($C40*CT39,"")</f>
        <v>0</v>
      </c>
      <c r="CU40" s="62"/>
      <c r="CV40" s="62"/>
      <c r="CW40" s="63"/>
      <c r="CX40" s="64">
        <f t="shared" ref="CX40" si="317">IFERROR($C40*CX39,"")</f>
        <v>0</v>
      </c>
      <c r="CY40" s="64"/>
      <c r="CZ40" s="64"/>
      <c r="DA40" s="65"/>
      <c r="DB40" s="62">
        <f t="shared" ref="DB40" si="318">IFERROR($C40*DB39,"")</f>
        <v>0</v>
      </c>
      <c r="DC40" s="62"/>
      <c r="DD40" s="62"/>
      <c r="DE40" s="62"/>
      <c r="DF40" s="62">
        <f t="shared" ref="DF40" si="319">IFERROR($C40*DF39,"")</f>
        <v>0</v>
      </c>
      <c r="DG40" s="62"/>
      <c r="DH40" s="62"/>
      <c r="DI40" s="63"/>
      <c r="DJ40" s="64">
        <f t="shared" ref="DJ40" si="320">IFERROR($C40*DJ39,"")</f>
        <v>0</v>
      </c>
      <c r="DK40" s="64"/>
      <c r="DL40" s="64"/>
      <c r="DM40" s="65"/>
      <c r="DN40" s="62">
        <f t="shared" ref="DN40" si="321">IFERROR($C40*DN39,"")</f>
        <v>0</v>
      </c>
      <c r="DO40" s="62"/>
      <c r="DP40" s="62"/>
      <c r="DQ40" s="62"/>
      <c r="DR40" s="62">
        <f t="shared" ref="DR40" si="322">IFERROR($C40*DR39,"")</f>
        <v>0</v>
      </c>
      <c r="DS40" s="62"/>
      <c r="DT40" s="62"/>
      <c r="DU40" s="63"/>
      <c r="DV40" s="64">
        <f t="shared" ref="DV40" si="323">IFERROR($C40*DV39,"")</f>
        <v>0</v>
      </c>
      <c r="DW40" s="64"/>
      <c r="DX40" s="64"/>
      <c r="DY40" s="65"/>
      <c r="DZ40" s="62">
        <f t="shared" ref="DZ40" si="324">IFERROR($C40*DZ39,"")</f>
        <v>0</v>
      </c>
      <c r="EA40" s="62"/>
      <c r="EB40" s="62"/>
      <c r="EC40" s="62"/>
      <c r="ED40" s="62">
        <f t="shared" ref="ED40" si="325">IFERROR($C40*ED39,"")</f>
        <v>0</v>
      </c>
      <c r="EE40" s="62"/>
      <c r="EF40" s="62"/>
      <c r="EG40" s="63"/>
      <c r="EH40" s="64">
        <f t="shared" ref="EH40" si="326">IFERROR($C40*EH39,"")</f>
        <v>0</v>
      </c>
      <c r="EI40" s="64"/>
      <c r="EJ40" s="64"/>
      <c r="EK40" s="65"/>
      <c r="EL40" s="62">
        <f t="shared" ref="EL40" si="327">IFERROR($C40*EL39,"")</f>
        <v>0</v>
      </c>
      <c r="EM40" s="62"/>
      <c r="EN40" s="62"/>
      <c r="EO40" s="62"/>
      <c r="EP40" s="62">
        <f t="shared" ref="EP40" si="328">IFERROR($C40*EP39,"")</f>
        <v>0</v>
      </c>
      <c r="EQ40" s="62"/>
      <c r="ER40" s="62"/>
      <c r="ES40" s="63"/>
    </row>
    <row r="41" spans="2:149" outlineLevel="1" x14ac:dyDescent="0.45">
      <c r="B41" s="78"/>
      <c r="C41" s="25">
        <v>500000</v>
      </c>
      <c r="D41" s="26" t="s">
        <v>3</v>
      </c>
      <c r="E41" s="27">
        <f>SUM(F41:CW41)</f>
        <v>4500000</v>
      </c>
      <c r="F41" s="66">
        <f>IFERROR($C41*F39,"")</f>
        <v>0</v>
      </c>
      <c r="G41" s="60"/>
      <c r="H41" s="60"/>
      <c r="I41" s="60"/>
      <c r="J41" s="60">
        <f t="shared" ref="J41" si="329">IFERROR($C41*J39,"")</f>
        <v>0</v>
      </c>
      <c r="K41" s="60"/>
      <c r="L41" s="60"/>
      <c r="M41" s="60"/>
      <c r="N41" s="61">
        <f t="shared" ref="N41" si="330">IFERROR($C41*N39,"")</f>
        <v>500000</v>
      </c>
      <c r="O41" s="58"/>
      <c r="P41" s="58"/>
      <c r="Q41" s="58"/>
      <c r="R41" s="58">
        <f t="shared" ref="R41" si="331">IFERROR($C41*R39,"")</f>
        <v>500000</v>
      </c>
      <c r="S41" s="58"/>
      <c r="T41" s="58"/>
      <c r="U41" s="59"/>
      <c r="V41" s="60">
        <f t="shared" ref="V41" si="332">IFERROR($C41*V39,"")</f>
        <v>500000</v>
      </c>
      <c r="W41" s="60"/>
      <c r="X41" s="60"/>
      <c r="Y41" s="60"/>
      <c r="Z41" s="60">
        <f t="shared" ref="Z41" si="333">IFERROR($C41*Z39,"")</f>
        <v>500000</v>
      </c>
      <c r="AA41" s="60"/>
      <c r="AB41" s="60"/>
      <c r="AC41" s="61"/>
      <c r="AD41" s="58">
        <f t="shared" ref="AD41" si="334">IFERROR($C41*AD39,"")</f>
        <v>500000</v>
      </c>
      <c r="AE41" s="58"/>
      <c r="AF41" s="58"/>
      <c r="AG41" s="59"/>
      <c r="AH41" s="60">
        <f t="shared" ref="AH41" si="335">IFERROR($C41*AH39,"")</f>
        <v>0</v>
      </c>
      <c r="AI41" s="60"/>
      <c r="AJ41" s="60"/>
      <c r="AK41" s="60"/>
      <c r="AL41" s="60">
        <f t="shared" ref="AL41" si="336">IFERROR($C41*AL39,"")</f>
        <v>0</v>
      </c>
      <c r="AM41" s="60"/>
      <c r="AN41" s="60"/>
      <c r="AO41" s="61"/>
      <c r="AP41" s="58">
        <f t="shared" ref="AP41" si="337">IFERROR($C41*AP39,"")</f>
        <v>0</v>
      </c>
      <c r="AQ41" s="58"/>
      <c r="AR41" s="58"/>
      <c r="AS41" s="59"/>
      <c r="AT41" s="60">
        <f t="shared" ref="AT41" si="338">IFERROR($C41*AT39,"")</f>
        <v>0</v>
      </c>
      <c r="AU41" s="60"/>
      <c r="AV41" s="60"/>
      <c r="AW41" s="60"/>
      <c r="AX41" s="60">
        <f t="shared" ref="AX41" si="339">IFERROR($C41*AX39,"")</f>
        <v>0</v>
      </c>
      <c r="AY41" s="60"/>
      <c r="AZ41" s="60"/>
      <c r="BA41" s="61"/>
      <c r="BB41" s="58">
        <f t="shared" ref="BB41" si="340">IFERROR($C41*BB39,"")</f>
        <v>500000</v>
      </c>
      <c r="BC41" s="58"/>
      <c r="BD41" s="58"/>
      <c r="BE41" s="59"/>
      <c r="BF41" s="60">
        <f t="shared" ref="BF41" si="341">IFERROR($C41*BF39,"")</f>
        <v>500000</v>
      </c>
      <c r="BG41" s="60"/>
      <c r="BH41" s="60"/>
      <c r="BI41" s="60"/>
      <c r="BJ41" s="60">
        <f t="shared" ref="BJ41" si="342">IFERROR($C41*BJ39,"")</f>
        <v>500000</v>
      </c>
      <c r="BK41" s="60"/>
      <c r="BL41" s="60"/>
      <c r="BM41" s="61"/>
      <c r="BN41" s="58">
        <f t="shared" ref="BN41" si="343">IFERROR($C41*BN39,"")</f>
        <v>500000</v>
      </c>
      <c r="BO41" s="58"/>
      <c r="BP41" s="58"/>
      <c r="BQ41" s="59"/>
      <c r="BR41" s="60">
        <f t="shared" ref="BR41" si="344">IFERROR($C41*BR39,"")</f>
        <v>0</v>
      </c>
      <c r="BS41" s="60"/>
      <c r="BT41" s="60"/>
      <c r="BU41" s="60"/>
      <c r="BV41" s="60">
        <f t="shared" ref="BV41" si="345">IFERROR($C41*BV39,"")</f>
        <v>0</v>
      </c>
      <c r="BW41" s="60"/>
      <c r="BX41" s="60"/>
      <c r="BY41" s="61"/>
      <c r="BZ41" s="58">
        <f t="shared" ref="BZ41" si="346">IFERROR($C41*BZ39,"")</f>
        <v>0</v>
      </c>
      <c r="CA41" s="58"/>
      <c r="CB41" s="58"/>
      <c r="CC41" s="59"/>
      <c r="CD41" s="60">
        <f t="shared" ref="CD41" si="347">IFERROR($C41*CD39,"")</f>
        <v>0</v>
      </c>
      <c r="CE41" s="60"/>
      <c r="CF41" s="60"/>
      <c r="CG41" s="60"/>
      <c r="CH41" s="60">
        <f t="shared" ref="CH41" si="348">IFERROR($C41*CH39,"")</f>
        <v>0</v>
      </c>
      <c r="CI41" s="60"/>
      <c r="CJ41" s="60"/>
      <c r="CK41" s="61"/>
      <c r="CL41" s="58">
        <f t="shared" ref="CL41" si="349">IFERROR($C41*CL39,"")</f>
        <v>0</v>
      </c>
      <c r="CM41" s="58"/>
      <c r="CN41" s="58"/>
      <c r="CO41" s="59"/>
      <c r="CP41" s="60">
        <f t="shared" ref="CP41" si="350">IFERROR($C41*CP39,"")</f>
        <v>0</v>
      </c>
      <c r="CQ41" s="60"/>
      <c r="CR41" s="60"/>
      <c r="CS41" s="60"/>
      <c r="CT41" s="60">
        <f t="shared" ref="CT41" si="351">IFERROR($C41*CT39,"")</f>
        <v>0</v>
      </c>
      <c r="CU41" s="60"/>
      <c r="CV41" s="60"/>
      <c r="CW41" s="61"/>
      <c r="CX41" s="58">
        <f t="shared" ref="CX41" si="352">IFERROR($C41*CX39,"")</f>
        <v>0</v>
      </c>
      <c r="CY41" s="58"/>
      <c r="CZ41" s="58"/>
      <c r="DA41" s="59"/>
      <c r="DB41" s="60">
        <f t="shared" ref="DB41" si="353">IFERROR($C41*DB39,"")</f>
        <v>0</v>
      </c>
      <c r="DC41" s="60"/>
      <c r="DD41" s="60"/>
      <c r="DE41" s="60"/>
      <c r="DF41" s="60">
        <f t="shared" ref="DF41" si="354">IFERROR($C41*DF39,"")</f>
        <v>0</v>
      </c>
      <c r="DG41" s="60"/>
      <c r="DH41" s="60"/>
      <c r="DI41" s="61"/>
      <c r="DJ41" s="58">
        <f t="shared" ref="DJ41" si="355">IFERROR($C41*DJ39,"")</f>
        <v>0</v>
      </c>
      <c r="DK41" s="58"/>
      <c r="DL41" s="58"/>
      <c r="DM41" s="59"/>
      <c r="DN41" s="60">
        <f t="shared" ref="DN41" si="356">IFERROR($C41*DN39,"")</f>
        <v>0</v>
      </c>
      <c r="DO41" s="60"/>
      <c r="DP41" s="60"/>
      <c r="DQ41" s="60"/>
      <c r="DR41" s="60">
        <f t="shared" ref="DR41" si="357">IFERROR($C41*DR39,"")</f>
        <v>0</v>
      </c>
      <c r="DS41" s="60"/>
      <c r="DT41" s="60"/>
      <c r="DU41" s="61"/>
      <c r="DV41" s="58">
        <f t="shared" ref="DV41" si="358">IFERROR($C41*DV39,"")</f>
        <v>0</v>
      </c>
      <c r="DW41" s="58"/>
      <c r="DX41" s="58"/>
      <c r="DY41" s="59"/>
      <c r="DZ41" s="60">
        <f t="shared" ref="DZ41" si="359">IFERROR($C41*DZ39,"")</f>
        <v>0</v>
      </c>
      <c r="EA41" s="60"/>
      <c r="EB41" s="60"/>
      <c r="EC41" s="60"/>
      <c r="ED41" s="60">
        <f t="shared" ref="ED41" si="360">IFERROR($C41*ED39,"")</f>
        <v>0</v>
      </c>
      <c r="EE41" s="60"/>
      <c r="EF41" s="60"/>
      <c r="EG41" s="61"/>
      <c r="EH41" s="58">
        <f t="shared" ref="EH41" si="361">IFERROR($C41*EH39,"")</f>
        <v>0</v>
      </c>
      <c r="EI41" s="58"/>
      <c r="EJ41" s="58"/>
      <c r="EK41" s="59"/>
      <c r="EL41" s="60">
        <f t="shared" ref="EL41" si="362">IFERROR($C41*EL39,"")</f>
        <v>0</v>
      </c>
      <c r="EM41" s="60"/>
      <c r="EN41" s="60"/>
      <c r="EO41" s="60"/>
      <c r="EP41" s="60">
        <f t="shared" ref="EP41" si="363">IFERROR($C41*EP39,"")</f>
        <v>0</v>
      </c>
      <c r="EQ41" s="60"/>
      <c r="ER41" s="60"/>
      <c r="ES41" s="61"/>
    </row>
    <row r="42" spans="2:149" outlineLevel="1" x14ac:dyDescent="0.45">
      <c r="B42" s="72" t="s">
        <v>63</v>
      </c>
      <c r="C42" s="19"/>
      <c r="D42" s="20" t="s">
        <v>13</v>
      </c>
      <c r="E42" s="21">
        <f>SUM(F42:ES42)</f>
        <v>9</v>
      </c>
      <c r="F42" s="74"/>
      <c r="G42" s="67"/>
      <c r="H42" s="67"/>
      <c r="I42" s="67"/>
      <c r="J42" s="67"/>
      <c r="K42" s="67"/>
      <c r="L42" s="67"/>
      <c r="M42" s="67"/>
      <c r="N42" s="67">
        <v>1</v>
      </c>
      <c r="O42" s="67"/>
      <c r="P42" s="67"/>
      <c r="Q42" s="67"/>
      <c r="R42" s="70">
        <v>1</v>
      </c>
      <c r="S42" s="70"/>
      <c r="T42" s="70"/>
      <c r="U42" s="71"/>
      <c r="V42" s="67">
        <v>1</v>
      </c>
      <c r="W42" s="67"/>
      <c r="X42" s="67"/>
      <c r="Y42" s="67"/>
      <c r="Z42" s="67">
        <v>1</v>
      </c>
      <c r="AA42" s="67"/>
      <c r="AB42" s="67"/>
      <c r="AC42" s="68"/>
      <c r="AD42" s="70">
        <v>1</v>
      </c>
      <c r="AE42" s="70"/>
      <c r="AF42" s="70"/>
      <c r="AG42" s="71"/>
      <c r="AH42" s="67"/>
      <c r="AI42" s="67"/>
      <c r="AJ42" s="67"/>
      <c r="AK42" s="67"/>
      <c r="AL42" s="67"/>
      <c r="AM42" s="67"/>
      <c r="AN42" s="67"/>
      <c r="AO42" s="68"/>
      <c r="AP42" s="70"/>
      <c r="AQ42" s="70"/>
      <c r="AR42" s="70"/>
      <c r="AS42" s="71"/>
      <c r="AT42" s="67"/>
      <c r="AU42" s="67"/>
      <c r="AV42" s="67"/>
      <c r="AW42" s="67"/>
      <c r="AX42" s="67"/>
      <c r="AY42" s="67"/>
      <c r="AZ42" s="67"/>
      <c r="BA42" s="68"/>
      <c r="BB42" s="70">
        <v>1</v>
      </c>
      <c r="BC42" s="70"/>
      <c r="BD42" s="70"/>
      <c r="BE42" s="71"/>
      <c r="BF42" s="67">
        <v>1</v>
      </c>
      <c r="BG42" s="67"/>
      <c r="BH42" s="67"/>
      <c r="BI42" s="67"/>
      <c r="BJ42" s="67">
        <v>1</v>
      </c>
      <c r="BK42" s="67"/>
      <c r="BL42" s="67"/>
      <c r="BM42" s="68"/>
      <c r="BN42" s="70">
        <v>1</v>
      </c>
      <c r="BO42" s="70"/>
      <c r="BP42" s="70"/>
      <c r="BQ42" s="71"/>
      <c r="BR42" s="67"/>
      <c r="BS42" s="67"/>
      <c r="BT42" s="67"/>
      <c r="BU42" s="67"/>
      <c r="BV42" s="67"/>
      <c r="BW42" s="67"/>
      <c r="BX42" s="67"/>
      <c r="BY42" s="68"/>
      <c r="BZ42" s="70"/>
      <c r="CA42" s="70"/>
      <c r="CB42" s="70"/>
      <c r="CC42" s="71"/>
      <c r="CD42" s="67"/>
      <c r="CE42" s="67"/>
      <c r="CF42" s="67"/>
      <c r="CG42" s="67"/>
      <c r="CH42" s="67"/>
      <c r="CI42" s="67"/>
      <c r="CJ42" s="67"/>
      <c r="CK42" s="68"/>
      <c r="CL42" s="70"/>
      <c r="CM42" s="70"/>
      <c r="CN42" s="70"/>
      <c r="CO42" s="71"/>
      <c r="CP42" s="67"/>
      <c r="CQ42" s="67"/>
      <c r="CR42" s="67"/>
      <c r="CS42" s="67"/>
      <c r="CT42" s="67"/>
      <c r="CU42" s="67"/>
      <c r="CV42" s="67"/>
      <c r="CW42" s="68"/>
      <c r="CX42" s="70"/>
      <c r="CY42" s="70"/>
      <c r="CZ42" s="70"/>
      <c r="DA42" s="71"/>
      <c r="DB42" s="67"/>
      <c r="DC42" s="67"/>
      <c r="DD42" s="67"/>
      <c r="DE42" s="67"/>
      <c r="DF42" s="67"/>
      <c r="DG42" s="67"/>
      <c r="DH42" s="67"/>
      <c r="DI42" s="68"/>
      <c r="DJ42" s="70"/>
      <c r="DK42" s="70"/>
      <c r="DL42" s="70"/>
      <c r="DM42" s="71"/>
      <c r="DN42" s="67"/>
      <c r="DO42" s="67"/>
      <c r="DP42" s="67"/>
      <c r="DQ42" s="67"/>
      <c r="DR42" s="67"/>
      <c r="DS42" s="67"/>
      <c r="DT42" s="67"/>
      <c r="DU42" s="68"/>
      <c r="DV42" s="70"/>
      <c r="DW42" s="70"/>
      <c r="DX42" s="70"/>
      <c r="DY42" s="71"/>
      <c r="DZ42" s="67"/>
      <c r="EA42" s="67"/>
      <c r="EB42" s="67"/>
      <c r="EC42" s="67"/>
      <c r="ED42" s="67"/>
      <c r="EE42" s="67"/>
      <c r="EF42" s="67"/>
      <c r="EG42" s="68"/>
      <c r="EH42" s="70"/>
      <c r="EI42" s="70"/>
      <c r="EJ42" s="70"/>
      <c r="EK42" s="71"/>
      <c r="EL42" s="67"/>
      <c r="EM42" s="67"/>
      <c r="EN42" s="67"/>
      <c r="EO42" s="67"/>
      <c r="EP42" s="67"/>
      <c r="EQ42" s="67"/>
      <c r="ER42" s="67"/>
      <c r="ES42" s="68"/>
    </row>
    <row r="43" spans="2:149" outlineLevel="1" x14ac:dyDescent="0.45">
      <c r="B43" s="73"/>
      <c r="C43" s="22">
        <v>1050000</v>
      </c>
      <c r="D43" s="23" t="s">
        <v>23</v>
      </c>
      <c r="E43" s="24">
        <f>SUM(F43:CW43)</f>
        <v>9450000</v>
      </c>
      <c r="F43" s="69">
        <f>IFERROR($C43*F42,"")</f>
        <v>0</v>
      </c>
      <c r="G43" s="62"/>
      <c r="H43" s="62"/>
      <c r="I43" s="62"/>
      <c r="J43" s="62">
        <f t="shared" ref="J43" si="364">IFERROR($C43*J42,"")</f>
        <v>0</v>
      </c>
      <c r="K43" s="62"/>
      <c r="L43" s="62"/>
      <c r="M43" s="62"/>
      <c r="N43" s="63">
        <f t="shared" ref="N43" si="365">IFERROR($C43*N42,"")</f>
        <v>1050000</v>
      </c>
      <c r="O43" s="64"/>
      <c r="P43" s="64"/>
      <c r="Q43" s="64"/>
      <c r="R43" s="64">
        <f t="shared" ref="R43" si="366">IFERROR($C43*R42,"")</f>
        <v>1050000</v>
      </c>
      <c r="S43" s="64"/>
      <c r="T43" s="64"/>
      <c r="U43" s="65"/>
      <c r="V43" s="62">
        <f t="shared" ref="V43" si="367">IFERROR($C43*V42,"")</f>
        <v>1050000</v>
      </c>
      <c r="W43" s="62"/>
      <c r="X43" s="62"/>
      <c r="Y43" s="62"/>
      <c r="Z43" s="62">
        <f t="shared" ref="Z43" si="368">IFERROR($C43*Z42,"")</f>
        <v>1050000</v>
      </c>
      <c r="AA43" s="62"/>
      <c r="AB43" s="62"/>
      <c r="AC43" s="63"/>
      <c r="AD43" s="64">
        <f t="shared" ref="AD43" si="369">IFERROR($C43*AD42,"")</f>
        <v>1050000</v>
      </c>
      <c r="AE43" s="64"/>
      <c r="AF43" s="64"/>
      <c r="AG43" s="65"/>
      <c r="AH43" s="62">
        <f t="shared" ref="AH43" si="370">IFERROR($C43*AH42,"")</f>
        <v>0</v>
      </c>
      <c r="AI43" s="62"/>
      <c r="AJ43" s="62"/>
      <c r="AK43" s="62"/>
      <c r="AL43" s="62">
        <f t="shared" ref="AL43" si="371">IFERROR($C43*AL42,"")</f>
        <v>0</v>
      </c>
      <c r="AM43" s="62"/>
      <c r="AN43" s="62"/>
      <c r="AO43" s="63"/>
      <c r="AP43" s="64">
        <f t="shared" ref="AP43" si="372">IFERROR($C43*AP42,"")</f>
        <v>0</v>
      </c>
      <c r="AQ43" s="64"/>
      <c r="AR43" s="64"/>
      <c r="AS43" s="65"/>
      <c r="AT43" s="62">
        <f t="shared" ref="AT43" si="373">IFERROR($C43*AT42,"")</f>
        <v>0</v>
      </c>
      <c r="AU43" s="62"/>
      <c r="AV43" s="62"/>
      <c r="AW43" s="62"/>
      <c r="AX43" s="62">
        <f t="shared" ref="AX43" si="374">IFERROR($C43*AX42,"")</f>
        <v>0</v>
      </c>
      <c r="AY43" s="62"/>
      <c r="AZ43" s="62"/>
      <c r="BA43" s="63"/>
      <c r="BB43" s="64">
        <f t="shared" ref="BB43" si="375">IFERROR($C43*BB42,"")</f>
        <v>1050000</v>
      </c>
      <c r="BC43" s="64"/>
      <c r="BD43" s="64"/>
      <c r="BE43" s="65"/>
      <c r="BF43" s="62">
        <f t="shared" ref="BF43" si="376">IFERROR($C43*BF42,"")</f>
        <v>1050000</v>
      </c>
      <c r="BG43" s="62"/>
      <c r="BH43" s="62"/>
      <c r="BI43" s="62"/>
      <c r="BJ43" s="62">
        <f t="shared" ref="BJ43" si="377">IFERROR($C43*BJ42,"")</f>
        <v>1050000</v>
      </c>
      <c r="BK43" s="62"/>
      <c r="BL43" s="62"/>
      <c r="BM43" s="63"/>
      <c r="BN43" s="64">
        <f t="shared" ref="BN43" si="378">IFERROR($C43*BN42,"")</f>
        <v>1050000</v>
      </c>
      <c r="BO43" s="64"/>
      <c r="BP43" s="64"/>
      <c r="BQ43" s="65"/>
      <c r="BR43" s="62">
        <f t="shared" ref="BR43" si="379">IFERROR($C43*BR42,"")</f>
        <v>0</v>
      </c>
      <c r="BS43" s="62"/>
      <c r="BT43" s="62"/>
      <c r="BU43" s="62"/>
      <c r="BV43" s="62">
        <f t="shared" ref="BV43" si="380">IFERROR($C43*BV42,"")</f>
        <v>0</v>
      </c>
      <c r="BW43" s="62"/>
      <c r="BX43" s="62"/>
      <c r="BY43" s="63"/>
      <c r="BZ43" s="64">
        <f t="shared" ref="BZ43" si="381">IFERROR($C43*BZ42,"")</f>
        <v>0</v>
      </c>
      <c r="CA43" s="64"/>
      <c r="CB43" s="64"/>
      <c r="CC43" s="65"/>
      <c r="CD43" s="62">
        <f t="shared" ref="CD43" si="382">IFERROR($C43*CD42,"")</f>
        <v>0</v>
      </c>
      <c r="CE43" s="62"/>
      <c r="CF43" s="62"/>
      <c r="CG43" s="62"/>
      <c r="CH43" s="62">
        <f t="shared" ref="CH43" si="383">IFERROR($C43*CH42,"")</f>
        <v>0</v>
      </c>
      <c r="CI43" s="62"/>
      <c r="CJ43" s="62"/>
      <c r="CK43" s="63"/>
      <c r="CL43" s="64">
        <f t="shared" ref="CL43" si="384">IFERROR($C43*CL42,"")</f>
        <v>0</v>
      </c>
      <c r="CM43" s="64"/>
      <c r="CN43" s="64"/>
      <c r="CO43" s="65"/>
      <c r="CP43" s="62">
        <f t="shared" ref="CP43" si="385">IFERROR($C43*CP42,"")</f>
        <v>0</v>
      </c>
      <c r="CQ43" s="62"/>
      <c r="CR43" s="62"/>
      <c r="CS43" s="62"/>
      <c r="CT43" s="62">
        <f t="shared" ref="CT43" si="386">IFERROR($C43*CT42,"")</f>
        <v>0</v>
      </c>
      <c r="CU43" s="62"/>
      <c r="CV43" s="62"/>
      <c r="CW43" s="63"/>
      <c r="CX43" s="64">
        <f t="shared" ref="CX43" si="387">IFERROR($C43*CX42,"")</f>
        <v>0</v>
      </c>
      <c r="CY43" s="64"/>
      <c r="CZ43" s="64"/>
      <c r="DA43" s="65"/>
      <c r="DB43" s="62">
        <f t="shared" ref="DB43" si="388">IFERROR($C43*DB42,"")</f>
        <v>0</v>
      </c>
      <c r="DC43" s="62"/>
      <c r="DD43" s="62"/>
      <c r="DE43" s="62"/>
      <c r="DF43" s="62">
        <f t="shared" ref="DF43" si="389">IFERROR($C43*DF42,"")</f>
        <v>0</v>
      </c>
      <c r="DG43" s="62"/>
      <c r="DH43" s="62"/>
      <c r="DI43" s="63"/>
      <c r="DJ43" s="64">
        <f t="shared" ref="DJ43" si="390">IFERROR($C43*DJ42,"")</f>
        <v>0</v>
      </c>
      <c r="DK43" s="64"/>
      <c r="DL43" s="64"/>
      <c r="DM43" s="65"/>
      <c r="DN43" s="62">
        <f t="shared" ref="DN43" si="391">IFERROR($C43*DN42,"")</f>
        <v>0</v>
      </c>
      <c r="DO43" s="62"/>
      <c r="DP43" s="62"/>
      <c r="DQ43" s="62"/>
      <c r="DR43" s="62">
        <f t="shared" ref="DR43" si="392">IFERROR($C43*DR42,"")</f>
        <v>0</v>
      </c>
      <c r="DS43" s="62"/>
      <c r="DT43" s="62"/>
      <c r="DU43" s="63"/>
      <c r="DV43" s="64">
        <f t="shared" ref="DV43" si="393">IFERROR($C43*DV42,"")</f>
        <v>0</v>
      </c>
      <c r="DW43" s="64"/>
      <c r="DX43" s="64"/>
      <c r="DY43" s="65"/>
      <c r="DZ43" s="62">
        <f t="shared" ref="DZ43" si="394">IFERROR($C43*DZ42,"")</f>
        <v>0</v>
      </c>
      <c r="EA43" s="62"/>
      <c r="EB43" s="62"/>
      <c r="EC43" s="62"/>
      <c r="ED43" s="62">
        <f t="shared" ref="ED43" si="395">IFERROR($C43*ED42,"")</f>
        <v>0</v>
      </c>
      <c r="EE43" s="62"/>
      <c r="EF43" s="62"/>
      <c r="EG43" s="63"/>
      <c r="EH43" s="64">
        <f t="shared" ref="EH43" si="396">IFERROR($C43*EH42,"")</f>
        <v>0</v>
      </c>
      <c r="EI43" s="64"/>
      <c r="EJ43" s="64"/>
      <c r="EK43" s="65"/>
      <c r="EL43" s="62">
        <f t="shared" ref="EL43" si="397">IFERROR($C43*EL42,"")</f>
        <v>0</v>
      </c>
      <c r="EM43" s="62"/>
      <c r="EN43" s="62"/>
      <c r="EO43" s="62"/>
      <c r="EP43" s="62">
        <f t="shared" ref="EP43" si="398">IFERROR($C43*EP42,"")</f>
        <v>0</v>
      </c>
      <c r="EQ43" s="62"/>
      <c r="ER43" s="62"/>
      <c r="ES43" s="63"/>
    </row>
    <row r="44" spans="2:149" outlineLevel="1" x14ac:dyDescent="0.45">
      <c r="B44" s="78"/>
      <c r="C44" s="25">
        <v>500000</v>
      </c>
      <c r="D44" s="26" t="s">
        <v>3</v>
      </c>
      <c r="E44" s="27">
        <f>SUM(F44:CW44)</f>
        <v>4500000</v>
      </c>
      <c r="F44" s="66">
        <f>IFERROR($C44*F42,"")</f>
        <v>0</v>
      </c>
      <c r="G44" s="60"/>
      <c r="H44" s="60"/>
      <c r="I44" s="60"/>
      <c r="J44" s="60">
        <f t="shared" ref="J44" si="399">IFERROR($C44*J42,"")</f>
        <v>0</v>
      </c>
      <c r="K44" s="60"/>
      <c r="L44" s="60"/>
      <c r="M44" s="60"/>
      <c r="N44" s="61">
        <f t="shared" ref="N44" si="400">IFERROR($C44*N42,"")</f>
        <v>500000</v>
      </c>
      <c r="O44" s="58"/>
      <c r="P44" s="58"/>
      <c r="Q44" s="58"/>
      <c r="R44" s="58">
        <f t="shared" ref="R44" si="401">IFERROR($C44*R42,"")</f>
        <v>500000</v>
      </c>
      <c r="S44" s="58"/>
      <c r="T44" s="58"/>
      <c r="U44" s="59"/>
      <c r="V44" s="60">
        <f t="shared" ref="V44" si="402">IFERROR($C44*V42,"")</f>
        <v>500000</v>
      </c>
      <c r="W44" s="60"/>
      <c r="X44" s="60"/>
      <c r="Y44" s="60"/>
      <c r="Z44" s="60">
        <f t="shared" ref="Z44" si="403">IFERROR($C44*Z42,"")</f>
        <v>500000</v>
      </c>
      <c r="AA44" s="60"/>
      <c r="AB44" s="60"/>
      <c r="AC44" s="61"/>
      <c r="AD44" s="58">
        <f t="shared" ref="AD44" si="404">IFERROR($C44*AD42,"")</f>
        <v>500000</v>
      </c>
      <c r="AE44" s="58"/>
      <c r="AF44" s="58"/>
      <c r="AG44" s="59"/>
      <c r="AH44" s="60">
        <f t="shared" ref="AH44" si="405">IFERROR($C44*AH42,"")</f>
        <v>0</v>
      </c>
      <c r="AI44" s="60"/>
      <c r="AJ44" s="60"/>
      <c r="AK44" s="60"/>
      <c r="AL44" s="60">
        <f t="shared" ref="AL44" si="406">IFERROR($C44*AL42,"")</f>
        <v>0</v>
      </c>
      <c r="AM44" s="60"/>
      <c r="AN44" s="60"/>
      <c r="AO44" s="61"/>
      <c r="AP44" s="58">
        <f t="shared" ref="AP44" si="407">IFERROR($C44*AP42,"")</f>
        <v>0</v>
      </c>
      <c r="AQ44" s="58"/>
      <c r="AR44" s="58"/>
      <c r="AS44" s="59"/>
      <c r="AT44" s="60">
        <f t="shared" ref="AT44" si="408">IFERROR($C44*AT42,"")</f>
        <v>0</v>
      </c>
      <c r="AU44" s="60"/>
      <c r="AV44" s="60"/>
      <c r="AW44" s="60"/>
      <c r="AX44" s="60">
        <f t="shared" ref="AX44" si="409">IFERROR($C44*AX42,"")</f>
        <v>0</v>
      </c>
      <c r="AY44" s="60"/>
      <c r="AZ44" s="60"/>
      <c r="BA44" s="61"/>
      <c r="BB44" s="58">
        <f t="shared" ref="BB44" si="410">IFERROR($C44*BB42,"")</f>
        <v>500000</v>
      </c>
      <c r="BC44" s="58"/>
      <c r="BD44" s="58"/>
      <c r="BE44" s="59"/>
      <c r="BF44" s="60">
        <f t="shared" ref="BF44" si="411">IFERROR($C44*BF42,"")</f>
        <v>500000</v>
      </c>
      <c r="BG44" s="60"/>
      <c r="BH44" s="60"/>
      <c r="BI44" s="60"/>
      <c r="BJ44" s="60">
        <f t="shared" ref="BJ44" si="412">IFERROR($C44*BJ42,"")</f>
        <v>500000</v>
      </c>
      <c r="BK44" s="60"/>
      <c r="BL44" s="60"/>
      <c r="BM44" s="61"/>
      <c r="BN44" s="58">
        <f t="shared" ref="BN44" si="413">IFERROR($C44*BN42,"")</f>
        <v>500000</v>
      </c>
      <c r="BO44" s="58"/>
      <c r="BP44" s="58"/>
      <c r="BQ44" s="59"/>
      <c r="BR44" s="60">
        <f t="shared" ref="BR44" si="414">IFERROR($C44*BR42,"")</f>
        <v>0</v>
      </c>
      <c r="BS44" s="60"/>
      <c r="BT44" s="60"/>
      <c r="BU44" s="60"/>
      <c r="BV44" s="60">
        <f t="shared" ref="BV44" si="415">IFERROR($C44*BV42,"")</f>
        <v>0</v>
      </c>
      <c r="BW44" s="60"/>
      <c r="BX44" s="60"/>
      <c r="BY44" s="61"/>
      <c r="BZ44" s="58">
        <f t="shared" ref="BZ44" si="416">IFERROR($C44*BZ42,"")</f>
        <v>0</v>
      </c>
      <c r="CA44" s="58"/>
      <c r="CB44" s="58"/>
      <c r="CC44" s="59"/>
      <c r="CD44" s="60">
        <f t="shared" ref="CD44" si="417">IFERROR($C44*CD42,"")</f>
        <v>0</v>
      </c>
      <c r="CE44" s="60"/>
      <c r="CF44" s="60"/>
      <c r="CG44" s="60"/>
      <c r="CH44" s="60">
        <f t="shared" ref="CH44" si="418">IFERROR($C44*CH42,"")</f>
        <v>0</v>
      </c>
      <c r="CI44" s="60"/>
      <c r="CJ44" s="60"/>
      <c r="CK44" s="61"/>
      <c r="CL44" s="58">
        <f t="shared" ref="CL44" si="419">IFERROR($C44*CL42,"")</f>
        <v>0</v>
      </c>
      <c r="CM44" s="58"/>
      <c r="CN44" s="58"/>
      <c r="CO44" s="59"/>
      <c r="CP44" s="60">
        <f t="shared" ref="CP44" si="420">IFERROR($C44*CP42,"")</f>
        <v>0</v>
      </c>
      <c r="CQ44" s="60"/>
      <c r="CR44" s="60"/>
      <c r="CS44" s="60"/>
      <c r="CT44" s="60">
        <f t="shared" ref="CT44" si="421">IFERROR($C44*CT42,"")</f>
        <v>0</v>
      </c>
      <c r="CU44" s="60"/>
      <c r="CV44" s="60"/>
      <c r="CW44" s="61"/>
      <c r="CX44" s="58">
        <f t="shared" ref="CX44" si="422">IFERROR($C44*CX42,"")</f>
        <v>0</v>
      </c>
      <c r="CY44" s="58"/>
      <c r="CZ44" s="58"/>
      <c r="DA44" s="59"/>
      <c r="DB44" s="60">
        <f t="shared" ref="DB44" si="423">IFERROR($C44*DB42,"")</f>
        <v>0</v>
      </c>
      <c r="DC44" s="60"/>
      <c r="DD44" s="60"/>
      <c r="DE44" s="60"/>
      <c r="DF44" s="60">
        <f t="shared" ref="DF44" si="424">IFERROR($C44*DF42,"")</f>
        <v>0</v>
      </c>
      <c r="DG44" s="60"/>
      <c r="DH44" s="60"/>
      <c r="DI44" s="61"/>
      <c r="DJ44" s="58">
        <f t="shared" ref="DJ44" si="425">IFERROR($C44*DJ42,"")</f>
        <v>0</v>
      </c>
      <c r="DK44" s="58"/>
      <c r="DL44" s="58"/>
      <c r="DM44" s="59"/>
      <c r="DN44" s="60">
        <f t="shared" ref="DN44" si="426">IFERROR($C44*DN42,"")</f>
        <v>0</v>
      </c>
      <c r="DO44" s="60"/>
      <c r="DP44" s="60"/>
      <c r="DQ44" s="60"/>
      <c r="DR44" s="60">
        <f t="shared" ref="DR44" si="427">IFERROR($C44*DR42,"")</f>
        <v>0</v>
      </c>
      <c r="DS44" s="60"/>
      <c r="DT44" s="60"/>
      <c r="DU44" s="61"/>
      <c r="DV44" s="58">
        <f t="shared" ref="DV44" si="428">IFERROR($C44*DV42,"")</f>
        <v>0</v>
      </c>
      <c r="DW44" s="58"/>
      <c r="DX44" s="58"/>
      <c r="DY44" s="59"/>
      <c r="DZ44" s="60">
        <f t="shared" ref="DZ44" si="429">IFERROR($C44*DZ42,"")</f>
        <v>0</v>
      </c>
      <c r="EA44" s="60"/>
      <c r="EB44" s="60"/>
      <c r="EC44" s="60"/>
      <c r="ED44" s="60">
        <f t="shared" ref="ED44" si="430">IFERROR($C44*ED42,"")</f>
        <v>0</v>
      </c>
      <c r="EE44" s="60"/>
      <c r="EF44" s="60"/>
      <c r="EG44" s="61"/>
      <c r="EH44" s="58">
        <f t="shared" ref="EH44" si="431">IFERROR($C44*EH42,"")</f>
        <v>0</v>
      </c>
      <c r="EI44" s="58"/>
      <c r="EJ44" s="58"/>
      <c r="EK44" s="59"/>
      <c r="EL44" s="60">
        <f t="shared" ref="EL44" si="432">IFERROR($C44*EL42,"")</f>
        <v>0</v>
      </c>
      <c r="EM44" s="60"/>
      <c r="EN44" s="60"/>
      <c r="EO44" s="60"/>
      <c r="EP44" s="60">
        <f t="shared" ref="EP44" si="433">IFERROR($C44*EP42,"")</f>
        <v>0</v>
      </c>
      <c r="EQ44" s="60"/>
      <c r="ER44" s="60"/>
      <c r="ES44" s="61"/>
    </row>
    <row r="45" spans="2:149" hidden="1" outlineLevel="1" x14ac:dyDescent="0.45">
      <c r="B45" s="72"/>
      <c r="C45" s="19"/>
      <c r="D45" s="20" t="s">
        <v>13</v>
      </c>
      <c r="E45" s="21">
        <f t="shared" ref="E45:E59" si="434">SUM(F45:CW45)</f>
        <v>0</v>
      </c>
      <c r="F45" s="74"/>
      <c r="G45" s="67"/>
      <c r="H45" s="67"/>
      <c r="I45" s="67"/>
      <c r="J45" s="67"/>
      <c r="K45" s="67"/>
      <c r="L45" s="67"/>
      <c r="M45" s="67"/>
      <c r="N45" s="68"/>
      <c r="O45" s="70"/>
      <c r="P45" s="70"/>
      <c r="Q45" s="70"/>
      <c r="R45" s="70"/>
      <c r="S45" s="70"/>
      <c r="T45" s="70"/>
      <c r="U45" s="71"/>
      <c r="V45" s="67"/>
      <c r="W45" s="67"/>
      <c r="X45" s="67"/>
      <c r="Y45" s="67"/>
      <c r="Z45" s="67"/>
      <c r="AA45" s="67"/>
      <c r="AB45" s="67"/>
      <c r="AC45" s="68"/>
      <c r="AD45" s="70"/>
      <c r="AE45" s="70"/>
      <c r="AF45" s="70"/>
      <c r="AG45" s="71"/>
      <c r="AH45" s="67"/>
      <c r="AI45" s="67"/>
      <c r="AJ45" s="67"/>
      <c r="AK45" s="67"/>
      <c r="AL45" s="67"/>
      <c r="AM45" s="67"/>
      <c r="AN45" s="67"/>
      <c r="AO45" s="68"/>
      <c r="AP45" s="70"/>
      <c r="AQ45" s="70"/>
      <c r="AR45" s="70"/>
      <c r="AS45" s="71"/>
      <c r="AT45" s="67"/>
      <c r="AU45" s="67"/>
      <c r="AV45" s="67"/>
      <c r="AW45" s="67"/>
      <c r="AX45" s="67"/>
      <c r="AY45" s="67"/>
      <c r="AZ45" s="67"/>
      <c r="BA45" s="68"/>
      <c r="BB45" s="70"/>
      <c r="BC45" s="70"/>
      <c r="BD45" s="70"/>
      <c r="BE45" s="71"/>
      <c r="BF45" s="67"/>
      <c r="BG45" s="67"/>
      <c r="BH45" s="67"/>
      <c r="BI45" s="67"/>
      <c r="BJ45" s="67"/>
      <c r="BK45" s="67"/>
      <c r="BL45" s="67"/>
      <c r="BM45" s="68"/>
      <c r="BN45" s="70"/>
      <c r="BO45" s="70"/>
      <c r="BP45" s="70"/>
      <c r="BQ45" s="71"/>
      <c r="BR45" s="67"/>
      <c r="BS45" s="67"/>
      <c r="BT45" s="67"/>
      <c r="BU45" s="67"/>
      <c r="BV45" s="67"/>
      <c r="BW45" s="67"/>
      <c r="BX45" s="67"/>
      <c r="BY45" s="68"/>
      <c r="BZ45" s="70"/>
      <c r="CA45" s="70"/>
      <c r="CB45" s="70"/>
      <c r="CC45" s="71"/>
      <c r="CD45" s="67"/>
      <c r="CE45" s="67"/>
      <c r="CF45" s="67"/>
      <c r="CG45" s="67"/>
      <c r="CH45" s="67"/>
      <c r="CI45" s="67"/>
      <c r="CJ45" s="67"/>
      <c r="CK45" s="68"/>
      <c r="CL45" s="70"/>
      <c r="CM45" s="70"/>
      <c r="CN45" s="70"/>
      <c r="CO45" s="71"/>
      <c r="CP45" s="67"/>
      <c r="CQ45" s="67"/>
      <c r="CR45" s="67"/>
      <c r="CS45" s="67"/>
      <c r="CT45" s="67"/>
      <c r="CU45" s="67"/>
      <c r="CV45" s="67"/>
      <c r="CW45" s="68"/>
      <c r="CX45" s="70"/>
      <c r="CY45" s="70"/>
      <c r="CZ45" s="70"/>
      <c r="DA45" s="71"/>
      <c r="DB45" s="67"/>
      <c r="DC45" s="67"/>
      <c r="DD45" s="67"/>
      <c r="DE45" s="67"/>
      <c r="DF45" s="67"/>
      <c r="DG45" s="67"/>
      <c r="DH45" s="67"/>
      <c r="DI45" s="68"/>
      <c r="DJ45" s="70"/>
      <c r="DK45" s="70"/>
      <c r="DL45" s="70"/>
      <c r="DM45" s="71"/>
      <c r="DN45" s="67"/>
      <c r="DO45" s="67"/>
      <c r="DP45" s="67"/>
      <c r="DQ45" s="67"/>
      <c r="DR45" s="67"/>
      <c r="DS45" s="67"/>
      <c r="DT45" s="67"/>
      <c r="DU45" s="68"/>
      <c r="DV45" s="70"/>
      <c r="DW45" s="70"/>
      <c r="DX45" s="70"/>
      <c r="DY45" s="71"/>
      <c r="DZ45" s="67"/>
      <c r="EA45" s="67"/>
      <c r="EB45" s="67"/>
      <c r="EC45" s="67"/>
      <c r="ED45" s="67"/>
      <c r="EE45" s="67"/>
      <c r="EF45" s="67"/>
      <c r="EG45" s="68"/>
      <c r="EH45" s="70"/>
      <c r="EI45" s="70"/>
      <c r="EJ45" s="70"/>
      <c r="EK45" s="71"/>
      <c r="EL45" s="67"/>
      <c r="EM45" s="67"/>
      <c r="EN45" s="67"/>
      <c r="EO45" s="67"/>
      <c r="EP45" s="67"/>
      <c r="EQ45" s="67"/>
      <c r="ER45" s="67"/>
      <c r="ES45" s="68"/>
    </row>
    <row r="46" spans="2:149" hidden="1" outlineLevel="1" x14ac:dyDescent="0.45">
      <c r="B46" s="73"/>
      <c r="C46" s="22"/>
      <c r="D46" s="23" t="s">
        <v>23</v>
      </c>
      <c r="E46" s="24">
        <f>SUM(F46:CW46)</f>
        <v>0</v>
      </c>
      <c r="F46" s="69">
        <f>IFERROR($C46*F45,"")</f>
        <v>0</v>
      </c>
      <c r="G46" s="62"/>
      <c r="H46" s="62"/>
      <c r="I46" s="62"/>
      <c r="J46" s="62">
        <f t="shared" ref="J46" si="435">IFERROR($C46*J45,"")</f>
        <v>0</v>
      </c>
      <c r="K46" s="62"/>
      <c r="L46" s="62"/>
      <c r="M46" s="62"/>
      <c r="N46" s="63">
        <f t="shared" ref="N46" si="436">IFERROR($C46*N45,"")</f>
        <v>0</v>
      </c>
      <c r="O46" s="64"/>
      <c r="P46" s="64"/>
      <c r="Q46" s="64"/>
      <c r="R46" s="64">
        <f t="shared" ref="R46" si="437">IFERROR($C46*R45,"")</f>
        <v>0</v>
      </c>
      <c r="S46" s="64"/>
      <c r="T46" s="64"/>
      <c r="U46" s="65"/>
      <c r="V46" s="62">
        <f t="shared" ref="V46" si="438">IFERROR($C46*V45,"")</f>
        <v>0</v>
      </c>
      <c r="W46" s="62"/>
      <c r="X46" s="62"/>
      <c r="Y46" s="62"/>
      <c r="Z46" s="62">
        <f t="shared" ref="Z46" si="439">IFERROR($C46*Z45,"")</f>
        <v>0</v>
      </c>
      <c r="AA46" s="62"/>
      <c r="AB46" s="62"/>
      <c r="AC46" s="63"/>
      <c r="AD46" s="64">
        <f t="shared" ref="AD46" si="440">IFERROR($C46*AD45,"")</f>
        <v>0</v>
      </c>
      <c r="AE46" s="64"/>
      <c r="AF46" s="64"/>
      <c r="AG46" s="65"/>
      <c r="AH46" s="62">
        <f t="shared" ref="AH46" si="441">IFERROR($C46*AH45,"")</f>
        <v>0</v>
      </c>
      <c r="AI46" s="62"/>
      <c r="AJ46" s="62"/>
      <c r="AK46" s="62"/>
      <c r="AL46" s="62">
        <f t="shared" ref="AL46" si="442">IFERROR($C46*AL45,"")</f>
        <v>0</v>
      </c>
      <c r="AM46" s="62"/>
      <c r="AN46" s="62"/>
      <c r="AO46" s="63"/>
      <c r="AP46" s="64">
        <f t="shared" ref="AP46" si="443">IFERROR($C46*AP45,"")</f>
        <v>0</v>
      </c>
      <c r="AQ46" s="64"/>
      <c r="AR46" s="64"/>
      <c r="AS46" s="65"/>
      <c r="AT46" s="62">
        <f t="shared" ref="AT46" si="444">IFERROR($C46*AT45,"")</f>
        <v>0</v>
      </c>
      <c r="AU46" s="62"/>
      <c r="AV46" s="62"/>
      <c r="AW46" s="62"/>
      <c r="AX46" s="62">
        <f t="shared" ref="AX46" si="445">IFERROR($C46*AX45,"")</f>
        <v>0</v>
      </c>
      <c r="AY46" s="62"/>
      <c r="AZ46" s="62"/>
      <c r="BA46" s="63"/>
      <c r="BB46" s="64">
        <f t="shared" ref="BB46" si="446">IFERROR($C46*BB45,"")</f>
        <v>0</v>
      </c>
      <c r="BC46" s="64"/>
      <c r="BD46" s="64"/>
      <c r="BE46" s="65"/>
      <c r="BF46" s="62">
        <f t="shared" ref="BF46" si="447">IFERROR($C46*BF45,"")</f>
        <v>0</v>
      </c>
      <c r="BG46" s="62"/>
      <c r="BH46" s="62"/>
      <c r="BI46" s="62"/>
      <c r="BJ46" s="62">
        <f t="shared" ref="BJ46" si="448">IFERROR($C46*BJ45,"")</f>
        <v>0</v>
      </c>
      <c r="BK46" s="62"/>
      <c r="BL46" s="62"/>
      <c r="BM46" s="63"/>
      <c r="BN46" s="64">
        <f t="shared" ref="BN46" si="449">IFERROR($C46*BN45,"")</f>
        <v>0</v>
      </c>
      <c r="BO46" s="64"/>
      <c r="BP46" s="64"/>
      <c r="BQ46" s="65"/>
      <c r="BR46" s="62">
        <f t="shared" ref="BR46" si="450">IFERROR($C46*BR45,"")</f>
        <v>0</v>
      </c>
      <c r="BS46" s="62"/>
      <c r="BT46" s="62"/>
      <c r="BU46" s="62"/>
      <c r="BV46" s="62">
        <f t="shared" ref="BV46" si="451">IFERROR($C46*BV45,"")</f>
        <v>0</v>
      </c>
      <c r="BW46" s="62"/>
      <c r="BX46" s="62"/>
      <c r="BY46" s="63"/>
      <c r="BZ46" s="64">
        <f t="shared" ref="BZ46" si="452">IFERROR($C46*BZ45,"")</f>
        <v>0</v>
      </c>
      <c r="CA46" s="64"/>
      <c r="CB46" s="64"/>
      <c r="CC46" s="65"/>
      <c r="CD46" s="62">
        <f t="shared" ref="CD46" si="453">IFERROR($C46*CD45,"")</f>
        <v>0</v>
      </c>
      <c r="CE46" s="62"/>
      <c r="CF46" s="62"/>
      <c r="CG46" s="62"/>
      <c r="CH46" s="62">
        <f t="shared" ref="CH46" si="454">IFERROR($C46*CH45,"")</f>
        <v>0</v>
      </c>
      <c r="CI46" s="62"/>
      <c r="CJ46" s="62"/>
      <c r="CK46" s="63"/>
      <c r="CL46" s="64">
        <f t="shared" ref="CL46" si="455">IFERROR($C46*CL45,"")</f>
        <v>0</v>
      </c>
      <c r="CM46" s="64"/>
      <c r="CN46" s="64"/>
      <c r="CO46" s="65"/>
      <c r="CP46" s="62">
        <f t="shared" ref="CP46" si="456">IFERROR($C46*CP45,"")</f>
        <v>0</v>
      </c>
      <c r="CQ46" s="62"/>
      <c r="CR46" s="62"/>
      <c r="CS46" s="62"/>
      <c r="CT46" s="62">
        <f t="shared" ref="CT46" si="457">IFERROR($C46*CT45,"")</f>
        <v>0</v>
      </c>
      <c r="CU46" s="62"/>
      <c r="CV46" s="62"/>
      <c r="CW46" s="63"/>
      <c r="CX46" s="64">
        <f t="shared" ref="CX46" si="458">IFERROR($C46*CX45,"")</f>
        <v>0</v>
      </c>
      <c r="CY46" s="64"/>
      <c r="CZ46" s="64"/>
      <c r="DA46" s="65"/>
      <c r="DB46" s="62">
        <f t="shared" ref="DB46" si="459">IFERROR($C46*DB45,"")</f>
        <v>0</v>
      </c>
      <c r="DC46" s="62"/>
      <c r="DD46" s="62"/>
      <c r="DE46" s="62"/>
      <c r="DF46" s="62">
        <f t="shared" ref="DF46" si="460">IFERROR($C46*DF45,"")</f>
        <v>0</v>
      </c>
      <c r="DG46" s="62"/>
      <c r="DH46" s="62"/>
      <c r="DI46" s="63"/>
      <c r="DJ46" s="64">
        <f t="shared" ref="DJ46" si="461">IFERROR($C46*DJ45,"")</f>
        <v>0</v>
      </c>
      <c r="DK46" s="64"/>
      <c r="DL46" s="64"/>
      <c r="DM46" s="65"/>
      <c r="DN46" s="62">
        <f t="shared" ref="DN46" si="462">IFERROR($C46*DN45,"")</f>
        <v>0</v>
      </c>
      <c r="DO46" s="62"/>
      <c r="DP46" s="62"/>
      <c r="DQ46" s="62"/>
      <c r="DR46" s="62">
        <f t="shared" ref="DR46" si="463">IFERROR($C46*DR45,"")</f>
        <v>0</v>
      </c>
      <c r="DS46" s="62"/>
      <c r="DT46" s="62"/>
      <c r="DU46" s="63"/>
      <c r="DV46" s="64">
        <f t="shared" ref="DV46" si="464">IFERROR($C46*DV45,"")</f>
        <v>0</v>
      </c>
      <c r="DW46" s="64"/>
      <c r="DX46" s="64"/>
      <c r="DY46" s="65"/>
      <c r="DZ46" s="62">
        <f t="shared" ref="DZ46" si="465">IFERROR($C46*DZ45,"")</f>
        <v>0</v>
      </c>
      <c r="EA46" s="62"/>
      <c r="EB46" s="62"/>
      <c r="EC46" s="62"/>
      <c r="ED46" s="62">
        <f t="shared" ref="ED46" si="466">IFERROR($C46*ED45,"")</f>
        <v>0</v>
      </c>
      <c r="EE46" s="62"/>
      <c r="EF46" s="62"/>
      <c r="EG46" s="63"/>
      <c r="EH46" s="64">
        <f t="shared" ref="EH46" si="467">IFERROR($C46*EH45,"")</f>
        <v>0</v>
      </c>
      <c r="EI46" s="64"/>
      <c r="EJ46" s="64"/>
      <c r="EK46" s="65"/>
      <c r="EL46" s="62">
        <f t="shared" ref="EL46" si="468">IFERROR($C46*EL45,"")</f>
        <v>0</v>
      </c>
      <c r="EM46" s="62"/>
      <c r="EN46" s="62"/>
      <c r="EO46" s="62"/>
      <c r="EP46" s="62">
        <f t="shared" ref="EP46" si="469">IFERROR($C46*EP45,"")</f>
        <v>0</v>
      </c>
      <c r="EQ46" s="62"/>
      <c r="ER46" s="62"/>
      <c r="ES46" s="63"/>
    </row>
    <row r="47" spans="2:149" hidden="1" outlineLevel="1" x14ac:dyDescent="0.45">
      <c r="B47" s="78"/>
      <c r="C47" s="25"/>
      <c r="D47" s="26" t="s">
        <v>3</v>
      </c>
      <c r="E47" s="27">
        <f>SUM(F47:CW47)</f>
        <v>0</v>
      </c>
      <c r="F47" s="66">
        <f>IFERROR($C47*F45,"")</f>
        <v>0</v>
      </c>
      <c r="G47" s="60"/>
      <c r="H47" s="60"/>
      <c r="I47" s="60"/>
      <c r="J47" s="60">
        <f t="shared" ref="J47" si="470">IFERROR($C47*J45,"")</f>
        <v>0</v>
      </c>
      <c r="K47" s="60"/>
      <c r="L47" s="60"/>
      <c r="M47" s="60"/>
      <c r="N47" s="61">
        <f t="shared" ref="N47" si="471">IFERROR($C47*N45,"")</f>
        <v>0</v>
      </c>
      <c r="O47" s="58"/>
      <c r="P47" s="58"/>
      <c r="Q47" s="58"/>
      <c r="R47" s="58">
        <f t="shared" ref="R47" si="472">IFERROR($C47*R45,"")</f>
        <v>0</v>
      </c>
      <c r="S47" s="58"/>
      <c r="T47" s="58"/>
      <c r="U47" s="59"/>
      <c r="V47" s="60">
        <f t="shared" ref="V47" si="473">IFERROR($C47*V45,"")</f>
        <v>0</v>
      </c>
      <c r="W47" s="60"/>
      <c r="X47" s="60"/>
      <c r="Y47" s="60"/>
      <c r="Z47" s="60">
        <f t="shared" ref="Z47" si="474">IFERROR($C47*Z45,"")</f>
        <v>0</v>
      </c>
      <c r="AA47" s="60"/>
      <c r="AB47" s="60"/>
      <c r="AC47" s="61"/>
      <c r="AD47" s="58">
        <f t="shared" ref="AD47:BF47" si="475">IFERROR($C47*AD45,"")</f>
        <v>0</v>
      </c>
      <c r="AE47" s="58"/>
      <c r="AF47" s="58"/>
      <c r="AG47" s="59"/>
      <c r="AH47" s="60">
        <f t="shared" si="475"/>
        <v>0</v>
      </c>
      <c r="AI47" s="60"/>
      <c r="AJ47" s="60"/>
      <c r="AK47" s="60"/>
      <c r="AL47" s="60">
        <f t="shared" si="475"/>
        <v>0</v>
      </c>
      <c r="AM47" s="60"/>
      <c r="AN47" s="60"/>
      <c r="AO47" s="61"/>
      <c r="AP47" s="58">
        <f t="shared" si="475"/>
        <v>0</v>
      </c>
      <c r="AQ47" s="58"/>
      <c r="AR47" s="58"/>
      <c r="AS47" s="59"/>
      <c r="AT47" s="60">
        <f t="shared" si="475"/>
        <v>0</v>
      </c>
      <c r="AU47" s="60"/>
      <c r="AV47" s="60"/>
      <c r="AW47" s="60"/>
      <c r="AX47" s="60">
        <f t="shared" si="475"/>
        <v>0</v>
      </c>
      <c r="AY47" s="60"/>
      <c r="AZ47" s="60"/>
      <c r="BA47" s="61"/>
      <c r="BB47" s="58">
        <f t="shared" si="475"/>
        <v>0</v>
      </c>
      <c r="BC47" s="58"/>
      <c r="BD47" s="58"/>
      <c r="BE47" s="59"/>
      <c r="BF47" s="60">
        <f t="shared" si="475"/>
        <v>0</v>
      </c>
      <c r="BG47" s="60"/>
      <c r="BH47" s="60"/>
      <c r="BI47" s="60"/>
      <c r="BJ47" s="60">
        <f t="shared" ref="BJ47:CL47" si="476">IFERROR($C47*BJ45,"")</f>
        <v>0</v>
      </c>
      <c r="BK47" s="60"/>
      <c r="BL47" s="60"/>
      <c r="BM47" s="61"/>
      <c r="BN47" s="58">
        <f t="shared" si="476"/>
        <v>0</v>
      </c>
      <c r="BO47" s="58"/>
      <c r="BP47" s="58"/>
      <c r="BQ47" s="59"/>
      <c r="BR47" s="60">
        <f t="shared" si="476"/>
        <v>0</v>
      </c>
      <c r="BS47" s="60"/>
      <c r="BT47" s="60"/>
      <c r="BU47" s="60"/>
      <c r="BV47" s="60">
        <f t="shared" si="476"/>
        <v>0</v>
      </c>
      <c r="BW47" s="60"/>
      <c r="BX47" s="60"/>
      <c r="BY47" s="61"/>
      <c r="BZ47" s="58">
        <f t="shared" si="476"/>
        <v>0</v>
      </c>
      <c r="CA47" s="58"/>
      <c r="CB47" s="58"/>
      <c r="CC47" s="59"/>
      <c r="CD47" s="60">
        <f t="shared" si="476"/>
        <v>0</v>
      </c>
      <c r="CE47" s="60"/>
      <c r="CF47" s="60"/>
      <c r="CG47" s="60"/>
      <c r="CH47" s="60">
        <f t="shared" si="476"/>
        <v>0</v>
      </c>
      <c r="CI47" s="60"/>
      <c r="CJ47" s="60"/>
      <c r="CK47" s="61"/>
      <c r="CL47" s="58">
        <f t="shared" si="476"/>
        <v>0</v>
      </c>
      <c r="CM47" s="58"/>
      <c r="CN47" s="58"/>
      <c r="CO47" s="59"/>
      <c r="CP47" s="60">
        <f t="shared" ref="CP47:DR47" si="477">IFERROR($C47*CP45,"")</f>
        <v>0</v>
      </c>
      <c r="CQ47" s="60"/>
      <c r="CR47" s="60"/>
      <c r="CS47" s="60"/>
      <c r="CT47" s="60">
        <f t="shared" si="477"/>
        <v>0</v>
      </c>
      <c r="CU47" s="60"/>
      <c r="CV47" s="60"/>
      <c r="CW47" s="61"/>
      <c r="CX47" s="58">
        <f t="shared" si="477"/>
        <v>0</v>
      </c>
      <c r="CY47" s="58"/>
      <c r="CZ47" s="58"/>
      <c r="DA47" s="59"/>
      <c r="DB47" s="60">
        <f t="shared" si="477"/>
        <v>0</v>
      </c>
      <c r="DC47" s="60"/>
      <c r="DD47" s="60"/>
      <c r="DE47" s="60"/>
      <c r="DF47" s="60">
        <f t="shared" si="477"/>
        <v>0</v>
      </c>
      <c r="DG47" s="60"/>
      <c r="DH47" s="60"/>
      <c r="DI47" s="61"/>
      <c r="DJ47" s="58">
        <f t="shared" si="477"/>
        <v>0</v>
      </c>
      <c r="DK47" s="58"/>
      <c r="DL47" s="58"/>
      <c r="DM47" s="59"/>
      <c r="DN47" s="60">
        <f t="shared" si="477"/>
        <v>0</v>
      </c>
      <c r="DO47" s="60"/>
      <c r="DP47" s="60"/>
      <c r="DQ47" s="60"/>
      <c r="DR47" s="60">
        <f t="shared" si="477"/>
        <v>0</v>
      </c>
      <c r="DS47" s="60"/>
      <c r="DT47" s="60"/>
      <c r="DU47" s="61"/>
      <c r="DV47" s="58">
        <f t="shared" ref="DV47:EP47" si="478">IFERROR($C47*DV45,"")</f>
        <v>0</v>
      </c>
      <c r="DW47" s="58"/>
      <c r="DX47" s="58"/>
      <c r="DY47" s="59"/>
      <c r="DZ47" s="60">
        <f t="shared" si="478"/>
        <v>0</v>
      </c>
      <c r="EA47" s="60"/>
      <c r="EB47" s="60"/>
      <c r="EC47" s="60"/>
      <c r="ED47" s="60">
        <f t="shared" si="478"/>
        <v>0</v>
      </c>
      <c r="EE47" s="60"/>
      <c r="EF47" s="60"/>
      <c r="EG47" s="61"/>
      <c r="EH47" s="58">
        <f t="shared" si="478"/>
        <v>0</v>
      </c>
      <c r="EI47" s="58"/>
      <c r="EJ47" s="58"/>
      <c r="EK47" s="59"/>
      <c r="EL47" s="60">
        <f t="shared" si="478"/>
        <v>0</v>
      </c>
      <c r="EM47" s="60"/>
      <c r="EN47" s="60"/>
      <c r="EO47" s="60"/>
      <c r="EP47" s="60">
        <f t="shared" si="478"/>
        <v>0</v>
      </c>
      <c r="EQ47" s="60"/>
      <c r="ER47" s="60"/>
      <c r="ES47" s="61"/>
    </row>
    <row r="48" spans="2:149" hidden="1" outlineLevel="1" x14ac:dyDescent="0.45">
      <c r="B48" s="72"/>
      <c r="C48" s="19"/>
      <c r="D48" s="20" t="s">
        <v>13</v>
      </c>
      <c r="E48" s="21">
        <f t="shared" si="434"/>
        <v>0</v>
      </c>
      <c r="F48" s="74"/>
      <c r="G48" s="67"/>
      <c r="H48" s="67"/>
      <c r="I48" s="67"/>
      <c r="J48" s="67"/>
      <c r="K48" s="67"/>
      <c r="L48" s="67"/>
      <c r="M48" s="67"/>
      <c r="N48" s="68"/>
      <c r="O48" s="70"/>
      <c r="P48" s="70"/>
      <c r="Q48" s="70"/>
      <c r="R48" s="70"/>
      <c r="S48" s="70"/>
      <c r="T48" s="70"/>
      <c r="U48" s="71"/>
      <c r="V48" s="67"/>
      <c r="W48" s="67"/>
      <c r="X48" s="67"/>
      <c r="Y48" s="67"/>
      <c r="Z48" s="67"/>
      <c r="AA48" s="67"/>
      <c r="AB48" s="67"/>
      <c r="AC48" s="68"/>
      <c r="AD48" s="70"/>
      <c r="AE48" s="70"/>
      <c r="AF48" s="70"/>
      <c r="AG48" s="71"/>
      <c r="AH48" s="67"/>
      <c r="AI48" s="67"/>
      <c r="AJ48" s="67"/>
      <c r="AK48" s="67"/>
      <c r="AL48" s="67"/>
      <c r="AM48" s="67"/>
      <c r="AN48" s="67"/>
      <c r="AO48" s="68"/>
      <c r="AP48" s="70"/>
      <c r="AQ48" s="70"/>
      <c r="AR48" s="70"/>
      <c r="AS48" s="71"/>
      <c r="AT48" s="67"/>
      <c r="AU48" s="67"/>
      <c r="AV48" s="67"/>
      <c r="AW48" s="67"/>
      <c r="AX48" s="67"/>
      <c r="AY48" s="67"/>
      <c r="AZ48" s="67"/>
      <c r="BA48" s="68"/>
      <c r="BB48" s="70"/>
      <c r="BC48" s="70"/>
      <c r="BD48" s="70"/>
      <c r="BE48" s="71"/>
      <c r="BF48" s="67"/>
      <c r="BG48" s="67"/>
      <c r="BH48" s="67"/>
      <c r="BI48" s="67"/>
      <c r="BJ48" s="67"/>
      <c r="BK48" s="67"/>
      <c r="BL48" s="67"/>
      <c r="BM48" s="68"/>
      <c r="BN48" s="70"/>
      <c r="BO48" s="70"/>
      <c r="BP48" s="70"/>
      <c r="BQ48" s="71"/>
      <c r="BR48" s="67"/>
      <c r="BS48" s="67"/>
      <c r="BT48" s="67"/>
      <c r="BU48" s="67"/>
      <c r="BV48" s="67"/>
      <c r="BW48" s="67"/>
      <c r="BX48" s="67"/>
      <c r="BY48" s="68"/>
      <c r="BZ48" s="70"/>
      <c r="CA48" s="70"/>
      <c r="CB48" s="70"/>
      <c r="CC48" s="71"/>
      <c r="CD48" s="67"/>
      <c r="CE48" s="67"/>
      <c r="CF48" s="67"/>
      <c r="CG48" s="67"/>
      <c r="CH48" s="67"/>
      <c r="CI48" s="67"/>
      <c r="CJ48" s="67"/>
      <c r="CK48" s="68"/>
      <c r="CL48" s="70"/>
      <c r="CM48" s="70"/>
      <c r="CN48" s="70"/>
      <c r="CO48" s="71"/>
      <c r="CP48" s="67"/>
      <c r="CQ48" s="67"/>
      <c r="CR48" s="67"/>
      <c r="CS48" s="67"/>
      <c r="CT48" s="67"/>
      <c r="CU48" s="67"/>
      <c r="CV48" s="67"/>
      <c r="CW48" s="68"/>
      <c r="CX48" s="70"/>
      <c r="CY48" s="70"/>
      <c r="CZ48" s="70"/>
      <c r="DA48" s="71"/>
      <c r="DB48" s="67"/>
      <c r="DC48" s="67"/>
      <c r="DD48" s="67"/>
      <c r="DE48" s="67"/>
      <c r="DF48" s="67"/>
      <c r="DG48" s="67"/>
      <c r="DH48" s="67"/>
      <c r="DI48" s="68"/>
      <c r="DJ48" s="70"/>
      <c r="DK48" s="70"/>
      <c r="DL48" s="70"/>
      <c r="DM48" s="71"/>
      <c r="DN48" s="67"/>
      <c r="DO48" s="67"/>
      <c r="DP48" s="67"/>
      <c r="DQ48" s="67"/>
      <c r="DR48" s="67"/>
      <c r="DS48" s="67"/>
      <c r="DT48" s="67"/>
      <c r="DU48" s="68"/>
      <c r="DV48" s="70"/>
      <c r="DW48" s="70"/>
      <c r="DX48" s="70"/>
      <c r="DY48" s="71"/>
      <c r="DZ48" s="67"/>
      <c r="EA48" s="67"/>
      <c r="EB48" s="67"/>
      <c r="EC48" s="67"/>
      <c r="ED48" s="67"/>
      <c r="EE48" s="67"/>
      <c r="EF48" s="67"/>
      <c r="EG48" s="68"/>
      <c r="EH48" s="70"/>
      <c r="EI48" s="70"/>
      <c r="EJ48" s="70"/>
      <c r="EK48" s="71"/>
      <c r="EL48" s="67"/>
      <c r="EM48" s="67"/>
      <c r="EN48" s="67"/>
      <c r="EO48" s="67"/>
      <c r="EP48" s="67"/>
      <c r="EQ48" s="67"/>
      <c r="ER48" s="67"/>
      <c r="ES48" s="68"/>
    </row>
    <row r="49" spans="1:149" hidden="1" outlineLevel="1" x14ac:dyDescent="0.45">
      <c r="B49" s="73"/>
      <c r="C49" s="22"/>
      <c r="D49" s="23" t="s">
        <v>23</v>
      </c>
      <c r="E49" s="24">
        <f>SUM(F49:CW49)</f>
        <v>0</v>
      </c>
      <c r="F49" s="69">
        <f>IFERROR($C49*F48,"")</f>
        <v>0</v>
      </c>
      <c r="G49" s="62"/>
      <c r="H49" s="62"/>
      <c r="I49" s="62"/>
      <c r="J49" s="62">
        <f t="shared" ref="J49" si="479">IFERROR($C49*J48,"")</f>
        <v>0</v>
      </c>
      <c r="K49" s="62"/>
      <c r="L49" s="62"/>
      <c r="M49" s="62"/>
      <c r="N49" s="63">
        <f t="shared" ref="N49" si="480">IFERROR($C49*N48,"")</f>
        <v>0</v>
      </c>
      <c r="O49" s="64"/>
      <c r="P49" s="64"/>
      <c r="Q49" s="64"/>
      <c r="R49" s="64">
        <f t="shared" ref="R49" si="481">IFERROR($C49*R48,"")</f>
        <v>0</v>
      </c>
      <c r="S49" s="64"/>
      <c r="T49" s="64"/>
      <c r="U49" s="65"/>
      <c r="V49" s="62">
        <f t="shared" ref="V49" si="482">IFERROR($C49*V48,"")</f>
        <v>0</v>
      </c>
      <c r="W49" s="62"/>
      <c r="X49" s="62"/>
      <c r="Y49" s="62"/>
      <c r="Z49" s="62">
        <f t="shared" ref="Z49" si="483">IFERROR($C49*Z48,"")</f>
        <v>0</v>
      </c>
      <c r="AA49" s="62"/>
      <c r="AB49" s="62"/>
      <c r="AC49" s="63"/>
      <c r="AD49" s="64">
        <f t="shared" ref="AD49" si="484">IFERROR($C49*AD48,"")</f>
        <v>0</v>
      </c>
      <c r="AE49" s="64"/>
      <c r="AF49" s="64"/>
      <c r="AG49" s="65"/>
      <c r="AH49" s="62">
        <f t="shared" ref="AH49" si="485">IFERROR($C49*AH48,"")</f>
        <v>0</v>
      </c>
      <c r="AI49" s="62"/>
      <c r="AJ49" s="62"/>
      <c r="AK49" s="62"/>
      <c r="AL49" s="62">
        <f t="shared" ref="AL49" si="486">IFERROR($C49*AL48,"")</f>
        <v>0</v>
      </c>
      <c r="AM49" s="62"/>
      <c r="AN49" s="62"/>
      <c r="AO49" s="63"/>
      <c r="AP49" s="64">
        <f t="shared" ref="AP49" si="487">IFERROR($C49*AP48,"")</f>
        <v>0</v>
      </c>
      <c r="AQ49" s="64"/>
      <c r="AR49" s="64"/>
      <c r="AS49" s="65"/>
      <c r="AT49" s="62">
        <f t="shared" ref="AT49" si="488">IFERROR($C49*AT48,"")</f>
        <v>0</v>
      </c>
      <c r="AU49" s="62"/>
      <c r="AV49" s="62"/>
      <c r="AW49" s="62"/>
      <c r="AX49" s="62">
        <f t="shared" ref="AX49" si="489">IFERROR($C49*AX48,"")</f>
        <v>0</v>
      </c>
      <c r="AY49" s="62"/>
      <c r="AZ49" s="62"/>
      <c r="BA49" s="63"/>
      <c r="BB49" s="64">
        <f t="shared" ref="BB49" si="490">IFERROR($C49*BB48,"")</f>
        <v>0</v>
      </c>
      <c r="BC49" s="64"/>
      <c r="BD49" s="64"/>
      <c r="BE49" s="65"/>
      <c r="BF49" s="62">
        <f t="shared" ref="BF49" si="491">IFERROR($C49*BF48,"")</f>
        <v>0</v>
      </c>
      <c r="BG49" s="62"/>
      <c r="BH49" s="62"/>
      <c r="BI49" s="62"/>
      <c r="BJ49" s="62">
        <f t="shared" ref="BJ49" si="492">IFERROR($C49*BJ48,"")</f>
        <v>0</v>
      </c>
      <c r="BK49" s="62"/>
      <c r="BL49" s="62"/>
      <c r="BM49" s="63"/>
      <c r="BN49" s="64">
        <f t="shared" ref="BN49" si="493">IFERROR($C49*BN48,"")</f>
        <v>0</v>
      </c>
      <c r="BO49" s="64"/>
      <c r="BP49" s="64"/>
      <c r="BQ49" s="65"/>
      <c r="BR49" s="62">
        <f t="shared" ref="BR49" si="494">IFERROR($C49*BR48,"")</f>
        <v>0</v>
      </c>
      <c r="BS49" s="62"/>
      <c r="BT49" s="62"/>
      <c r="BU49" s="62"/>
      <c r="BV49" s="62">
        <f t="shared" ref="BV49" si="495">IFERROR($C49*BV48,"")</f>
        <v>0</v>
      </c>
      <c r="BW49" s="62"/>
      <c r="BX49" s="62"/>
      <c r="BY49" s="63"/>
      <c r="BZ49" s="64">
        <f t="shared" ref="BZ49" si="496">IFERROR($C49*BZ48,"")</f>
        <v>0</v>
      </c>
      <c r="CA49" s="64"/>
      <c r="CB49" s="64"/>
      <c r="CC49" s="65"/>
      <c r="CD49" s="62">
        <f t="shared" ref="CD49" si="497">IFERROR($C49*CD48,"")</f>
        <v>0</v>
      </c>
      <c r="CE49" s="62"/>
      <c r="CF49" s="62"/>
      <c r="CG49" s="62"/>
      <c r="CH49" s="62">
        <f t="shared" ref="CH49" si="498">IFERROR($C49*CH48,"")</f>
        <v>0</v>
      </c>
      <c r="CI49" s="62"/>
      <c r="CJ49" s="62"/>
      <c r="CK49" s="63"/>
      <c r="CL49" s="64">
        <f t="shared" ref="CL49" si="499">IFERROR($C49*CL48,"")</f>
        <v>0</v>
      </c>
      <c r="CM49" s="64"/>
      <c r="CN49" s="64"/>
      <c r="CO49" s="65"/>
      <c r="CP49" s="62">
        <f t="shared" ref="CP49" si="500">IFERROR($C49*CP48,"")</f>
        <v>0</v>
      </c>
      <c r="CQ49" s="62"/>
      <c r="CR49" s="62"/>
      <c r="CS49" s="62"/>
      <c r="CT49" s="62">
        <f t="shared" ref="CT49" si="501">IFERROR($C49*CT48,"")</f>
        <v>0</v>
      </c>
      <c r="CU49" s="62"/>
      <c r="CV49" s="62"/>
      <c r="CW49" s="63"/>
      <c r="CX49" s="64">
        <f t="shared" ref="CX49" si="502">IFERROR($C49*CX48,"")</f>
        <v>0</v>
      </c>
      <c r="CY49" s="64"/>
      <c r="CZ49" s="64"/>
      <c r="DA49" s="65"/>
      <c r="DB49" s="62">
        <f t="shared" ref="DB49" si="503">IFERROR($C49*DB48,"")</f>
        <v>0</v>
      </c>
      <c r="DC49" s="62"/>
      <c r="DD49" s="62"/>
      <c r="DE49" s="62"/>
      <c r="DF49" s="62">
        <f t="shared" ref="DF49" si="504">IFERROR($C49*DF48,"")</f>
        <v>0</v>
      </c>
      <c r="DG49" s="62"/>
      <c r="DH49" s="62"/>
      <c r="DI49" s="63"/>
      <c r="DJ49" s="64">
        <f t="shared" ref="DJ49" si="505">IFERROR($C49*DJ48,"")</f>
        <v>0</v>
      </c>
      <c r="DK49" s="64"/>
      <c r="DL49" s="64"/>
      <c r="DM49" s="65"/>
      <c r="DN49" s="62">
        <f t="shared" ref="DN49" si="506">IFERROR($C49*DN48,"")</f>
        <v>0</v>
      </c>
      <c r="DO49" s="62"/>
      <c r="DP49" s="62"/>
      <c r="DQ49" s="62"/>
      <c r="DR49" s="62">
        <f t="shared" ref="DR49" si="507">IFERROR($C49*DR48,"")</f>
        <v>0</v>
      </c>
      <c r="DS49" s="62"/>
      <c r="DT49" s="62"/>
      <c r="DU49" s="63"/>
      <c r="DV49" s="64">
        <f t="shared" ref="DV49" si="508">IFERROR($C49*DV48,"")</f>
        <v>0</v>
      </c>
      <c r="DW49" s="64"/>
      <c r="DX49" s="64"/>
      <c r="DY49" s="65"/>
      <c r="DZ49" s="62">
        <f t="shared" ref="DZ49" si="509">IFERROR($C49*DZ48,"")</f>
        <v>0</v>
      </c>
      <c r="EA49" s="62"/>
      <c r="EB49" s="62"/>
      <c r="EC49" s="62"/>
      <c r="ED49" s="62">
        <f t="shared" ref="ED49" si="510">IFERROR($C49*ED48,"")</f>
        <v>0</v>
      </c>
      <c r="EE49" s="62"/>
      <c r="EF49" s="62"/>
      <c r="EG49" s="63"/>
      <c r="EH49" s="64">
        <f t="shared" ref="EH49" si="511">IFERROR($C49*EH48,"")</f>
        <v>0</v>
      </c>
      <c r="EI49" s="64"/>
      <c r="EJ49" s="64"/>
      <c r="EK49" s="65"/>
      <c r="EL49" s="62">
        <f t="shared" ref="EL49" si="512">IFERROR($C49*EL48,"")</f>
        <v>0</v>
      </c>
      <c r="EM49" s="62"/>
      <c r="EN49" s="62"/>
      <c r="EO49" s="62"/>
      <c r="EP49" s="62">
        <f t="shared" ref="EP49" si="513">IFERROR($C49*EP48,"")</f>
        <v>0</v>
      </c>
      <c r="EQ49" s="62"/>
      <c r="ER49" s="62"/>
      <c r="ES49" s="63"/>
    </row>
    <row r="50" spans="1:149" hidden="1" outlineLevel="1" x14ac:dyDescent="0.45">
      <c r="B50" s="78"/>
      <c r="C50" s="25"/>
      <c r="D50" s="26" t="s">
        <v>3</v>
      </c>
      <c r="E50" s="27">
        <f>SUM(F50:CW50)</f>
        <v>0</v>
      </c>
      <c r="F50" s="66">
        <f>IFERROR($C50*F48,"")</f>
        <v>0</v>
      </c>
      <c r="G50" s="60"/>
      <c r="H50" s="60"/>
      <c r="I50" s="60"/>
      <c r="J50" s="60">
        <f t="shared" ref="J50" si="514">IFERROR($C50*J48,"")</f>
        <v>0</v>
      </c>
      <c r="K50" s="60"/>
      <c r="L50" s="60"/>
      <c r="M50" s="60"/>
      <c r="N50" s="61">
        <f t="shared" ref="N50" si="515">IFERROR($C50*N48,"")</f>
        <v>0</v>
      </c>
      <c r="O50" s="58"/>
      <c r="P50" s="58"/>
      <c r="Q50" s="58"/>
      <c r="R50" s="58">
        <f t="shared" ref="R50" si="516">IFERROR($C50*R48,"")</f>
        <v>0</v>
      </c>
      <c r="S50" s="58"/>
      <c r="T50" s="58"/>
      <c r="U50" s="59"/>
      <c r="V50" s="60">
        <f t="shared" ref="V50" si="517">IFERROR($C50*V48,"")</f>
        <v>0</v>
      </c>
      <c r="W50" s="60"/>
      <c r="X50" s="60"/>
      <c r="Y50" s="60"/>
      <c r="Z50" s="60">
        <f t="shared" ref="Z50" si="518">IFERROR($C50*Z48,"")</f>
        <v>0</v>
      </c>
      <c r="AA50" s="60"/>
      <c r="AB50" s="60"/>
      <c r="AC50" s="61"/>
      <c r="AD50" s="58">
        <f t="shared" ref="AD50:BF50" si="519">IFERROR($C50*AD48,"")</f>
        <v>0</v>
      </c>
      <c r="AE50" s="58"/>
      <c r="AF50" s="58"/>
      <c r="AG50" s="59"/>
      <c r="AH50" s="60">
        <f t="shared" si="519"/>
        <v>0</v>
      </c>
      <c r="AI50" s="60"/>
      <c r="AJ50" s="60"/>
      <c r="AK50" s="60"/>
      <c r="AL50" s="60">
        <f t="shared" si="519"/>
        <v>0</v>
      </c>
      <c r="AM50" s="60"/>
      <c r="AN50" s="60"/>
      <c r="AO50" s="61"/>
      <c r="AP50" s="58">
        <f t="shared" si="519"/>
        <v>0</v>
      </c>
      <c r="AQ50" s="58"/>
      <c r="AR50" s="58"/>
      <c r="AS50" s="59"/>
      <c r="AT50" s="60">
        <f t="shared" si="519"/>
        <v>0</v>
      </c>
      <c r="AU50" s="60"/>
      <c r="AV50" s="60"/>
      <c r="AW50" s="60"/>
      <c r="AX50" s="60">
        <f t="shared" si="519"/>
        <v>0</v>
      </c>
      <c r="AY50" s="60"/>
      <c r="AZ50" s="60"/>
      <c r="BA50" s="61"/>
      <c r="BB50" s="58">
        <f t="shared" si="519"/>
        <v>0</v>
      </c>
      <c r="BC50" s="58"/>
      <c r="BD50" s="58"/>
      <c r="BE50" s="59"/>
      <c r="BF50" s="60">
        <f t="shared" si="519"/>
        <v>0</v>
      </c>
      <c r="BG50" s="60"/>
      <c r="BH50" s="60"/>
      <c r="BI50" s="60"/>
      <c r="BJ50" s="60">
        <f t="shared" ref="BJ50:CL50" si="520">IFERROR($C50*BJ48,"")</f>
        <v>0</v>
      </c>
      <c r="BK50" s="60"/>
      <c r="BL50" s="60"/>
      <c r="BM50" s="61"/>
      <c r="BN50" s="58">
        <f t="shared" si="520"/>
        <v>0</v>
      </c>
      <c r="BO50" s="58"/>
      <c r="BP50" s="58"/>
      <c r="BQ50" s="59"/>
      <c r="BR50" s="60">
        <f t="shared" si="520"/>
        <v>0</v>
      </c>
      <c r="BS50" s="60"/>
      <c r="BT50" s="60"/>
      <c r="BU50" s="60"/>
      <c r="BV50" s="60">
        <f t="shared" si="520"/>
        <v>0</v>
      </c>
      <c r="BW50" s="60"/>
      <c r="BX50" s="60"/>
      <c r="BY50" s="61"/>
      <c r="BZ50" s="58">
        <f t="shared" si="520"/>
        <v>0</v>
      </c>
      <c r="CA50" s="58"/>
      <c r="CB50" s="58"/>
      <c r="CC50" s="59"/>
      <c r="CD50" s="60">
        <f t="shared" si="520"/>
        <v>0</v>
      </c>
      <c r="CE50" s="60"/>
      <c r="CF50" s="60"/>
      <c r="CG50" s="60"/>
      <c r="CH50" s="60">
        <f t="shared" si="520"/>
        <v>0</v>
      </c>
      <c r="CI50" s="60"/>
      <c r="CJ50" s="60"/>
      <c r="CK50" s="61"/>
      <c r="CL50" s="58">
        <f t="shared" si="520"/>
        <v>0</v>
      </c>
      <c r="CM50" s="58"/>
      <c r="CN50" s="58"/>
      <c r="CO50" s="59"/>
      <c r="CP50" s="60">
        <f t="shared" ref="CP50:DR50" si="521">IFERROR($C50*CP48,"")</f>
        <v>0</v>
      </c>
      <c r="CQ50" s="60"/>
      <c r="CR50" s="60"/>
      <c r="CS50" s="60"/>
      <c r="CT50" s="60">
        <f t="shared" si="521"/>
        <v>0</v>
      </c>
      <c r="CU50" s="60"/>
      <c r="CV50" s="60"/>
      <c r="CW50" s="61"/>
      <c r="CX50" s="58">
        <f t="shared" si="521"/>
        <v>0</v>
      </c>
      <c r="CY50" s="58"/>
      <c r="CZ50" s="58"/>
      <c r="DA50" s="59"/>
      <c r="DB50" s="60">
        <f t="shared" si="521"/>
        <v>0</v>
      </c>
      <c r="DC50" s="60"/>
      <c r="DD50" s="60"/>
      <c r="DE50" s="60"/>
      <c r="DF50" s="60">
        <f t="shared" si="521"/>
        <v>0</v>
      </c>
      <c r="DG50" s="60"/>
      <c r="DH50" s="60"/>
      <c r="DI50" s="61"/>
      <c r="DJ50" s="58">
        <f t="shared" si="521"/>
        <v>0</v>
      </c>
      <c r="DK50" s="58"/>
      <c r="DL50" s="58"/>
      <c r="DM50" s="59"/>
      <c r="DN50" s="60">
        <f t="shared" si="521"/>
        <v>0</v>
      </c>
      <c r="DO50" s="60"/>
      <c r="DP50" s="60"/>
      <c r="DQ50" s="60"/>
      <c r="DR50" s="60">
        <f t="shared" si="521"/>
        <v>0</v>
      </c>
      <c r="DS50" s="60"/>
      <c r="DT50" s="60"/>
      <c r="DU50" s="61"/>
      <c r="DV50" s="58">
        <f t="shared" ref="DV50:EP50" si="522">IFERROR($C50*DV48,"")</f>
        <v>0</v>
      </c>
      <c r="DW50" s="58"/>
      <c r="DX50" s="58"/>
      <c r="DY50" s="59"/>
      <c r="DZ50" s="60">
        <f t="shared" si="522"/>
        <v>0</v>
      </c>
      <c r="EA50" s="60"/>
      <c r="EB50" s="60"/>
      <c r="EC50" s="60"/>
      <c r="ED50" s="60">
        <f t="shared" si="522"/>
        <v>0</v>
      </c>
      <c r="EE50" s="60"/>
      <c r="EF50" s="60"/>
      <c r="EG50" s="61"/>
      <c r="EH50" s="58">
        <f t="shared" si="522"/>
        <v>0</v>
      </c>
      <c r="EI50" s="58"/>
      <c r="EJ50" s="58"/>
      <c r="EK50" s="59"/>
      <c r="EL50" s="60">
        <f t="shared" si="522"/>
        <v>0</v>
      </c>
      <c r="EM50" s="60"/>
      <c r="EN50" s="60"/>
      <c r="EO50" s="60"/>
      <c r="EP50" s="60">
        <f t="shared" si="522"/>
        <v>0</v>
      </c>
      <c r="EQ50" s="60"/>
      <c r="ER50" s="60"/>
      <c r="ES50" s="61"/>
    </row>
    <row r="51" spans="1:149" hidden="1" outlineLevel="1" x14ac:dyDescent="0.45">
      <c r="B51" s="72"/>
      <c r="C51" s="19"/>
      <c r="D51" s="20" t="s">
        <v>13</v>
      </c>
      <c r="E51" s="21">
        <f t="shared" si="434"/>
        <v>0</v>
      </c>
      <c r="F51" s="74"/>
      <c r="G51" s="67"/>
      <c r="H51" s="67"/>
      <c r="I51" s="67"/>
      <c r="J51" s="67"/>
      <c r="K51" s="67"/>
      <c r="L51" s="67"/>
      <c r="M51" s="67"/>
      <c r="N51" s="68"/>
      <c r="O51" s="70"/>
      <c r="P51" s="70"/>
      <c r="Q51" s="70"/>
      <c r="R51" s="70"/>
      <c r="S51" s="70"/>
      <c r="T51" s="70"/>
      <c r="U51" s="71"/>
      <c r="V51" s="67"/>
      <c r="W51" s="67"/>
      <c r="X51" s="67"/>
      <c r="Y51" s="67"/>
      <c r="Z51" s="67"/>
      <c r="AA51" s="67"/>
      <c r="AB51" s="67"/>
      <c r="AC51" s="68"/>
      <c r="AD51" s="70"/>
      <c r="AE51" s="70"/>
      <c r="AF51" s="70"/>
      <c r="AG51" s="71"/>
      <c r="AH51" s="67"/>
      <c r="AI51" s="67"/>
      <c r="AJ51" s="67"/>
      <c r="AK51" s="67"/>
      <c r="AL51" s="67"/>
      <c r="AM51" s="67"/>
      <c r="AN51" s="67"/>
      <c r="AO51" s="68"/>
      <c r="AP51" s="70"/>
      <c r="AQ51" s="70"/>
      <c r="AR51" s="70"/>
      <c r="AS51" s="71"/>
      <c r="AT51" s="67"/>
      <c r="AU51" s="67"/>
      <c r="AV51" s="67"/>
      <c r="AW51" s="67"/>
      <c r="AX51" s="67"/>
      <c r="AY51" s="67"/>
      <c r="AZ51" s="67"/>
      <c r="BA51" s="68"/>
      <c r="BB51" s="70"/>
      <c r="BC51" s="70"/>
      <c r="BD51" s="70"/>
      <c r="BE51" s="71"/>
      <c r="BF51" s="67"/>
      <c r="BG51" s="67"/>
      <c r="BH51" s="67"/>
      <c r="BI51" s="67"/>
      <c r="BJ51" s="67"/>
      <c r="BK51" s="67"/>
      <c r="BL51" s="67"/>
      <c r="BM51" s="68"/>
      <c r="BN51" s="70"/>
      <c r="BO51" s="70"/>
      <c r="BP51" s="70"/>
      <c r="BQ51" s="71"/>
      <c r="BR51" s="67"/>
      <c r="BS51" s="67"/>
      <c r="BT51" s="67"/>
      <c r="BU51" s="67"/>
      <c r="BV51" s="67"/>
      <c r="BW51" s="67"/>
      <c r="BX51" s="67"/>
      <c r="BY51" s="68"/>
      <c r="BZ51" s="70"/>
      <c r="CA51" s="70"/>
      <c r="CB51" s="70"/>
      <c r="CC51" s="71"/>
      <c r="CD51" s="67"/>
      <c r="CE51" s="67"/>
      <c r="CF51" s="67"/>
      <c r="CG51" s="67"/>
      <c r="CH51" s="67"/>
      <c r="CI51" s="67"/>
      <c r="CJ51" s="67"/>
      <c r="CK51" s="68"/>
      <c r="CL51" s="70"/>
      <c r="CM51" s="70"/>
      <c r="CN51" s="70"/>
      <c r="CO51" s="71"/>
      <c r="CP51" s="67"/>
      <c r="CQ51" s="67"/>
      <c r="CR51" s="67"/>
      <c r="CS51" s="67"/>
      <c r="CT51" s="67"/>
      <c r="CU51" s="67"/>
      <c r="CV51" s="67"/>
      <c r="CW51" s="68"/>
      <c r="CX51" s="70"/>
      <c r="CY51" s="70"/>
      <c r="CZ51" s="70"/>
      <c r="DA51" s="71"/>
      <c r="DB51" s="67"/>
      <c r="DC51" s="67"/>
      <c r="DD51" s="67"/>
      <c r="DE51" s="67"/>
      <c r="DF51" s="67"/>
      <c r="DG51" s="67"/>
      <c r="DH51" s="67"/>
      <c r="DI51" s="68"/>
      <c r="DJ51" s="70"/>
      <c r="DK51" s="70"/>
      <c r="DL51" s="70"/>
      <c r="DM51" s="71"/>
      <c r="DN51" s="67"/>
      <c r="DO51" s="67"/>
      <c r="DP51" s="67"/>
      <c r="DQ51" s="67"/>
      <c r="DR51" s="67"/>
      <c r="DS51" s="67"/>
      <c r="DT51" s="67"/>
      <c r="DU51" s="68"/>
      <c r="DV51" s="70"/>
      <c r="DW51" s="70"/>
      <c r="DX51" s="70"/>
      <c r="DY51" s="71"/>
      <c r="DZ51" s="67"/>
      <c r="EA51" s="67"/>
      <c r="EB51" s="67"/>
      <c r="EC51" s="67"/>
      <c r="ED51" s="67"/>
      <c r="EE51" s="67"/>
      <c r="EF51" s="67"/>
      <c r="EG51" s="68"/>
      <c r="EH51" s="70"/>
      <c r="EI51" s="70"/>
      <c r="EJ51" s="70"/>
      <c r="EK51" s="71"/>
      <c r="EL51" s="67"/>
      <c r="EM51" s="67"/>
      <c r="EN51" s="67"/>
      <c r="EO51" s="67"/>
      <c r="EP51" s="67"/>
      <c r="EQ51" s="67"/>
      <c r="ER51" s="67"/>
      <c r="ES51" s="68"/>
    </row>
    <row r="52" spans="1:149" hidden="1" outlineLevel="1" x14ac:dyDescent="0.45">
      <c r="B52" s="73"/>
      <c r="C52" s="22"/>
      <c r="D52" s="23" t="s">
        <v>23</v>
      </c>
      <c r="E52" s="24">
        <f>SUM(F52:CW52)</f>
        <v>0</v>
      </c>
      <c r="F52" s="69">
        <f>IFERROR($C52*F51,"")</f>
        <v>0</v>
      </c>
      <c r="G52" s="62"/>
      <c r="H52" s="62"/>
      <c r="I52" s="62"/>
      <c r="J52" s="62">
        <f t="shared" ref="J52" si="523">IFERROR($C52*J51,"")</f>
        <v>0</v>
      </c>
      <c r="K52" s="62"/>
      <c r="L52" s="62"/>
      <c r="M52" s="62"/>
      <c r="N52" s="63">
        <f t="shared" ref="N52" si="524">IFERROR($C52*N51,"")</f>
        <v>0</v>
      </c>
      <c r="O52" s="64"/>
      <c r="P52" s="64"/>
      <c r="Q52" s="64"/>
      <c r="R52" s="64">
        <f t="shared" ref="R52" si="525">IFERROR($C52*R51,"")</f>
        <v>0</v>
      </c>
      <c r="S52" s="64"/>
      <c r="T52" s="64"/>
      <c r="U52" s="65"/>
      <c r="V52" s="62">
        <f t="shared" ref="V52" si="526">IFERROR($C52*V51,"")</f>
        <v>0</v>
      </c>
      <c r="W52" s="62"/>
      <c r="X52" s="62"/>
      <c r="Y52" s="62"/>
      <c r="Z52" s="62">
        <f t="shared" ref="Z52" si="527">IFERROR($C52*Z51,"")</f>
        <v>0</v>
      </c>
      <c r="AA52" s="62"/>
      <c r="AB52" s="62"/>
      <c r="AC52" s="63"/>
      <c r="AD52" s="64">
        <f t="shared" ref="AD52" si="528">IFERROR($C52*AD51,"")</f>
        <v>0</v>
      </c>
      <c r="AE52" s="64"/>
      <c r="AF52" s="64"/>
      <c r="AG52" s="65"/>
      <c r="AH52" s="62">
        <f t="shared" ref="AH52" si="529">IFERROR($C52*AH51,"")</f>
        <v>0</v>
      </c>
      <c r="AI52" s="62"/>
      <c r="AJ52" s="62"/>
      <c r="AK52" s="62"/>
      <c r="AL52" s="62">
        <f t="shared" ref="AL52" si="530">IFERROR($C52*AL51,"")</f>
        <v>0</v>
      </c>
      <c r="AM52" s="62"/>
      <c r="AN52" s="62"/>
      <c r="AO52" s="63"/>
      <c r="AP52" s="64">
        <f t="shared" ref="AP52" si="531">IFERROR($C52*AP51,"")</f>
        <v>0</v>
      </c>
      <c r="AQ52" s="64"/>
      <c r="AR52" s="64"/>
      <c r="AS52" s="65"/>
      <c r="AT52" s="62">
        <f t="shared" ref="AT52" si="532">IFERROR($C52*AT51,"")</f>
        <v>0</v>
      </c>
      <c r="AU52" s="62"/>
      <c r="AV52" s="62"/>
      <c r="AW52" s="62"/>
      <c r="AX52" s="62">
        <f t="shared" ref="AX52" si="533">IFERROR($C52*AX51,"")</f>
        <v>0</v>
      </c>
      <c r="AY52" s="62"/>
      <c r="AZ52" s="62"/>
      <c r="BA52" s="63"/>
      <c r="BB52" s="64">
        <f t="shared" ref="BB52" si="534">IFERROR($C52*BB51,"")</f>
        <v>0</v>
      </c>
      <c r="BC52" s="64"/>
      <c r="BD52" s="64"/>
      <c r="BE52" s="65"/>
      <c r="BF52" s="62">
        <f t="shared" ref="BF52" si="535">IFERROR($C52*BF51,"")</f>
        <v>0</v>
      </c>
      <c r="BG52" s="62"/>
      <c r="BH52" s="62"/>
      <c r="BI52" s="62"/>
      <c r="BJ52" s="62">
        <f t="shared" ref="BJ52" si="536">IFERROR($C52*BJ51,"")</f>
        <v>0</v>
      </c>
      <c r="BK52" s="62"/>
      <c r="BL52" s="62"/>
      <c r="BM52" s="63"/>
      <c r="BN52" s="64">
        <f t="shared" ref="BN52" si="537">IFERROR($C52*BN51,"")</f>
        <v>0</v>
      </c>
      <c r="BO52" s="64"/>
      <c r="BP52" s="64"/>
      <c r="BQ52" s="65"/>
      <c r="BR52" s="62">
        <f t="shared" ref="BR52" si="538">IFERROR($C52*BR51,"")</f>
        <v>0</v>
      </c>
      <c r="BS52" s="62"/>
      <c r="BT52" s="62"/>
      <c r="BU52" s="62"/>
      <c r="BV52" s="62">
        <f t="shared" ref="BV52" si="539">IFERROR($C52*BV51,"")</f>
        <v>0</v>
      </c>
      <c r="BW52" s="62"/>
      <c r="BX52" s="62"/>
      <c r="BY52" s="63"/>
      <c r="BZ52" s="64">
        <f t="shared" ref="BZ52" si="540">IFERROR($C52*BZ51,"")</f>
        <v>0</v>
      </c>
      <c r="CA52" s="64"/>
      <c r="CB52" s="64"/>
      <c r="CC52" s="65"/>
      <c r="CD52" s="62">
        <f t="shared" ref="CD52" si="541">IFERROR($C52*CD51,"")</f>
        <v>0</v>
      </c>
      <c r="CE52" s="62"/>
      <c r="CF52" s="62"/>
      <c r="CG52" s="62"/>
      <c r="CH52" s="62">
        <f t="shared" ref="CH52" si="542">IFERROR($C52*CH51,"")</f>
        <v>0</v>
      </c>
      <c r="CI52" s="62"/>
      <c r="CJ52" s="62"/>
      <c r="CK52" s="63"/>
      <c r="CL52" s="64">
        <f t="shared" ref="CL52" si="543">IFERROR($C52*CL51,"")</f>
        <v>0</v>
      </c>
      <c r="CM52" s="64"/>
      <c r="CN52" s="64"/>
      <c r="CO52" s="65"/>
      <c r="CP52" s="62">
        <f t="shared" ref="CP52" si="544">IFERROR($C52*CP51,"")</f>
        <v>0</v>
      </c>
      <c r="CQ52" s="62"/>
      <c r="CR52" s="62"/>
      <c r="CS52" s="62"/>
      <c r="CT52" s="62">
        <f t="shared" ref="CT52" si="545">IFERROR($C52*CT51,"")</f>
        <v>0</v>
      </c>
      <c r="CU52" s="62"/>
      <c r="CV52" s="62"/>
      <c r="CW52" s="63"/>
      <c r="CX52" s="64">
        <f t="shared" ref="CX52" si="546">IFERROR($C52*CX51,"")</f>
        <v>0</v>
      </c>
      <c r="CY52" s="64"/>
      <c r="CZ52" s="64"/>
      <c r="DA52" s="65"/>
      <c r="DB52" s="62">
        <f t="shared" ref="DB52" si="547">IFERROR($C52*DB51,"")</f>
        <v>0</v>
      </c>
      <c r="DC52" s="62"/>
      <c r="DD52" s="62"/>
      <c r="DE52" s="62"/>
      <c r="DF52" s="62">
        <f t="shared" ref="DF52" si="548">IFERROR($C52*DF51,"")</f>
        <v>0</v>
      </c>
      <c r="DG52" s="62"/>
      <c r="DH52" s="62"/>
      <c r="DI52" s="63"/>
      <c r="DJ52" s="64">
        <f t="shared" ref="DJ52" si="549">IFERROR($C52*DJ51,"")</f>
        <v>0</v>
      </c>
      <c r="DK52" s="64"/>
      <c r="DL52" s="64"/>
      <c r="DM52" s="65"/>
      <c r="DN52" s="62">
        <f t="shared" ref="DN52" si="550">IFERROR($C52*DN51,"")</f>
        <v>0</v>
      </c>
      <c r="DO52" s="62"/>
      <c r="DP52" s="62"/>
      <c r="DQ52" s="62"/>
      <c r="DR52" s="62">
        <f t="shared" ref="DR52" si="551">IFERROR($C52*DR51,"")</f>
        <v>0</v>
      </c>
      <c r="DS52" s="62"/>
      <c r="DT52" s="62"/>
      <c r="DU52" s="63"/>
      <c r="DV52" s="64">
        <f t="shared" ref="DV52" si="552">IFERROR($C52*DV51,"")</f>
        <v>0</v>
      </c>
      <c r="DW52" s="64"/>
      <c r="DX52" s="64"/>
      <c r="DY52" s="65"/>
      <c r="DZ52" s="62">
        <f t="shared" ref="DZ52" si="553">IFERROR($C52*DZ51,"")</f>
        <v>0</v>
      </c>
      <c r="EA52" s="62"/>
      <c r="EB52" s="62"/>
      <c r="EC52" s="62"/>
      <c r="ED52" s="62">
        <f t="shared" ref="ED52" si="554">IFERROR($C52*ED51,"")</f>
        <v>0</v>
      </c>
      <c r="EE52" s="62"/>
      <c r="EF52" s="62"/>
      <c r="EG52" s="63"/>
      <c r="EH52" s="64">
        <f t="shared" ref="EH52" si="555">IFERROR($C52*EH51,"")</f>
        <v>0</v>
      </c>
      <c r="EI52" s="64"/>
      <c r="EJ52" s="64"/>
      <c r="EK52" s="65"/>
      <c r="EL52" s="62">
        <f t="shared" ref="EL52" si="556">IFERROR($C52*EL51,"")</f>
        <v>0</v>
      </c>
      <c r="EM52" s="62"/>
      <c r="EN52" s="62"/>
      <c r="EO52" s="62"/>
      <c r="EP52" s="62">
        <f t="shared" ref="EP52" si="557">IFERROR($C52*EP51,"")</f>
        <v>0</v>
      </c>
      <c r="EQ52" s="62"/>
      <c r="ER52" s="62"/>
      <c r="ES52" s="63"/>
    </row>
    <row r="53" spans="1:149" hidden="1" outlineLevel="1" x14ac:dyDescent="0.45">
      <c r="B53" s="78"/>
      <c r="C53" s="25"/>
      <c r="D53" s="26" t="s">
        <v>3</v>
      </c>
      <c r="E53" s="27">
        <f>SUM(F53:CW53)</f>
        <v>0</v>
      </c>
      <c r="F53" s="66">
        <f>IFERROR($C53*F51,"")</f>
        <v>0</v>
      </c>
      <c r="G53" s="60"/>
      <c r="H53" s="60"/>
      <c r="I53" s="60"/>
      <c r="J53" s="60">
        <f t="shared" ref="J53" si="558">IFERROR($C53*J51,"")</f>
        <v>0</v>
      </c>
      <c r="K53" s="60"/>
      <c r="L53" s="60"/>
      <c r="M53" s="60"/>
      <c r="N53" s="61">
        <f t="shared" ref="N53" si="559">IFERROR($C53*N51,"")</f>
        <v>0</v>
      </c>
      <c r="O53" s="58"/>
      <c r="P53" s="58"/>
      <c r="Q53" s="58"/>
      <c r="R53" s="58">
        <f t="shared" ref="R53" si="560">IFERROR($C53*R51,"")</f>
        <v>0</v>
      </c>
      <c r="S53" s="58"/>
      <c r="T53" s="58"/>
      <c r="U53" s="59"/>
      <c r="V53" s="60">
        <f t="shared" ref="V53" si="561">IFERROR($C53*V51,"")</f>
        <v>0</v>
      </c>
      <c r="W53" s="60"/>
      <c r="X53" s="60"/>
      <c r="Y53" s="60"/>
      <c r="Z53" s="60">
        <f t="shared" ref="Z53" si="562">IFERROR($C53*Z51,"")</f>
        <v>0</v>
      </c>
      <c r="AA53" s="60"/>
      <c r="AB53" s="60"/>
      <c r="AC53" s="61"/>
      <c r="AD53" s="58">
        <f t="shared" ref="AD53" si="563">IFERROR($C53*AD51,"")</f>
        <v>0</v>
      </c>
      <c r="AE53" s="58"/>
      <c r="AF53" s="58"/>
      <c r="AG53" s="59"/>
      <c r="AH53" s="60">
        <f t="shared" ref="AH53" si="564">IFERROR($C53*AH51,"")</f>
        <v>0</v>
      </c>
      <c r="AI53" s="60"/>
      <c r="AJ53" s="60"/>
      <c r="AK53" s="60"/>
      <c r="AL53" s="60">
        <f t="shared" ref="AL53" si="565">IFERROR($C53*AL51,"")</f>
        <v>0</v>
      </c>
      <c r="AM53" s="60"/>
      <c r="AN53" s="60"/>
      <c r="AO53" s="61"/>
      <c r="AP53" s="58">
        <f t="shared" ref="AP53" si="566">IFERROR($C53*AP51,"")</f>
        <v>0</v>
      </c>
      <c r="AQ53" s="58"/>
      <c r="AR53" s="58"/>
      <c r="AS53" s="59"/>
      <c r="AT53" s="60">
        <f t="shared" ref="AT53" si="567">IFERROR($C53*AT51,"")</f>
        <v>0</v>
      </c>
      <c r="AU53" s="60"/>
      <c r="AV53" s="60"/>
      <c r="AW53" s="60"/>
      <c r="AX53" s="60">
        <f t="shared" ref="AX53" si="568">IFERROR($C53*AX51,"")</f>
        <v>0</v>
      </c>
      <c r="AY53" s="60"/>
      <c r="AZ53" s="60"/>
      <c r="BA53" s="61"/>
      <c r="BB53" s="58">
        <f t="shared" ref="BB53" si="569">IFERROR($C53*BB51,"")</f>
        <v>0</v>
      </c>
      <c r="BC53" s="58"/>
      <c r="BD53" s="58"/>
      <c r="BE53" s="59"/>
      <c r="BF53" s="60">
        <f t="shared" ref="BF53" si="570">IFERROR($C53*BF51,"")</f>
        <v>0</v>
      </c>
      <c r="BG53" s="60"/>
      <c r="BH53" s="60"/>
      <c r="BI53" s="60"/>
      <c r="BJ53" s="60">
        <f t="shared" ref="BJ53" si="571">IFERROR($C53*BJ51,"")</f>
        <v>0</v>
      </c>
      <c r="BK53" s="60"/>
      <c r="BL53" s="60"/>
      <c r="BM53" s="61"/>
      <c r="BN53" s="58">
        <f t="shared" ref="BN53" si="572">IFERROR($C53*BN51,"")</f>
        <v>0</v>
      </c>
      <c r="BO53" s="58"/>
      <c r="BP53" s="58"/>
      <c r="BQ53" s="59"/>
      <c r="BR53" s="60">
        <f t="shared" ref="BR53" si="573">IFERROR($C53*BR51,"")</f>
        <v>0</v>
      </c>
      <c r="BS53" s="60"/>
      <c r="BT53" s="60"/>
      <c r="BU53" s="60"/>
      <c r="BV53" s="60">
        <f t="shared" ref="BV53" si="574">IFERROR($C53*BV51,"")</f>
        <v>0</v>
      </c>
      <c r="BW53" s="60"/>
      <c r="BX53" s="60"/>
      <c r="BY53" s="61"/>
      <c r="BZ53" s="58">
        <f t="shared" ref="BZ53" si="575">IFERROR($C53*BZ51,"")</f>
        <v>0</v>
      </c>
      <c r="CA53" s="58"/>
      <c r="CB53" s="58"/>
      <c r="CC53" s="59"/>
      <c r="CD53" s="60">
        <f t="shared" ref="CD53" si="576">IFERROR($C53*CD51,"")</f>
        <v>0</v>
      </c>
      <c r="CE53" s="60"/>
      <c r="CF53" s="60"/>
      <c r="CG53" s="60"/>
      <c r="CH53" s="60">
        <f t="shared" ref="CH53" si="577">IFERROR($C53*CH51,"")</f>
        <v>0</v>
      </c>
      <c r="CI53" s="60"/>
      <c r="CJ53" s="60"/>
      <c r="CK53" s="61"/>
      <c r="CL53" s="58">
        <f t="shared" ref="CL53" si="578">IFERROR($C53*CL51,"")</f>
        <v>0</v>
      </c>
      <c r="CM53" s="58"/>
      <c r="CN53" s="58"/>
      <c r="CO53" s="59"/>
      <c r="CP53" s="60">
        <f t="shared" ref="CP53" si="579">IFERROR($C53*CP51,"")</f>
        <v>0</v>
      </c>
      <c r="CQ53" s="60"/>
      <c r="CR53" s="60"/>
      <c r="CS53" s="60"/>
      <c r="CT53" s="60">
        <f t="shared" ref="CT53" si="580">IFERROR($C53*CT51,"")</f>
        <v>0</v>
      </c>
      <c r="CU53" s="60"/>
      <c r="CV53" s="60"/>
      <c r="CW53" s="61"/>
      <c r="CX53" s="58">
        <f t="shared" ref="CX53" si="581">IFERROR($C53*CX51,"")</f>
        <v>0</v>
      </c>
      <c r="CY53" s="58"/>
      <c r="CZ53" s="58"/>
      <c r="DA53" s="59"/>
      <c r="DB53" s="60">
        <f t="shared" ref="DB53" si="582">IFERROR($C53*DB51,"")</f>
        <v>0</v>
      </c>
      <c r="DC53" s="60"/>
      <c r="DD53" s="60"/>
      <c r="DE53" s="60"/>
      <c r="DF53" s="60">
        <f t="shared" ref="DF53" si="583">IFERROR($C53*DF51,"")</f>
        <v>0</v>
      </c>
      <c r="DG53" s="60"/>
      <c r="DH53" s="60"/>
      <c r="DI53" s="61"/>
      <c r="DJ53" s="58">
        <f t="shared" ref="DJ53" si="584">IFERROR($C53*DJ51,"")</f>
        <v>0</v>
      </c>
      <c r="DK53" s="58"/>
      <c r="DL53" s="58"/>
      <c r="DM53" s="59"/>
      <c r="DN53" s="60">
        <f t="shared" ref="DN53" si="585">IFERROR($C53*DN51,"")</f>
        <v>0</v>
      </c>
      <c r="DO53" s="60"/>
      <c r="DP53" s="60"/>
      <c r="DQ53" s="60"/>
      <c r="DR53" s="60">
        <f t="shared" ref="DR53" si="586">IFERROR($C53*DR51,"")</f>
        <v>0</v>
      </c>
      <c r="DS53" s="60"/>
      <c r="DT53" s="60"/>
      <c r="DU53" s="61"/>
      <c r="DV53" s="58">
        <f t="shared" ref="DV53" si="587">IFERROR($C53*DV51,"")</f>
        <v>0</v>
      </c>
      <c r="DW53" s="58"/>
      <c r="DX53" s="58"/>
      <c r="DY53" s="59"/>
      <c r="DZ53" s="60">
        <f t="shared" ref="DZ53" si="588">IFERROR($C53*DZ51,"")</f>
        <v>0</v>
      </c>
      <c r="EA53" s="60"/>
      <c r="EB53" s="60"/>
      <c r="EC53" s="60"/>
      <c r="ED53" s="60">
        <f t="shared" ref="ED53" si="589">IFERROR($C53*ED51,"")</f>
        <v>0</v>
      </c>
      <c r="EE53" s="60"/>
      <c r="EF53" s="60"/>
      <c r="EG53" s="61"/>
      <c r="EH53" s="58">
        <f t="shared" ref="EH53" si="590">IFERROR($C53*EH51,"")</f>
        <v>0</v>
      </c>
      <c r="EI53" s="58"/>
      <c r="EJ53" s="58"/>
      <c r="EK53" s="59"/>
      <c r="EL53" s="60">
        <f t="shared" ref="EL53" si="591">IFERROR($C53*EL51,"")</f>
        <v>0</v>
      </c>
      <c r="EM53" s="60"/>
      <c r="EN53" s="60"/>
      <c r="EO53" s="60"/>
      <c r="EP53" s="60">
        <f t="shared" ref="EP53" si="592">IFERROR($C53*EP51,"")</f>
        <v>0</v>
      </c>
      <c r="EQ53" s="60"/>
      <c r="ER53" s="60"/>
      <c r="ES53" s="61"/>
    </row>
    <row r="54" spans="1:149" outlineLevel="1" x14ac:dyDescent="0.45">
      <c r="B54" s="72"/>
      <c r="C54" s="19"/>
      <c r="D54" s="20" t="s">
        <v>13</v>
      </c>
      <c r="E54" s="21">
        <f t="shared" si="434"/>
        <v>0</v>
      </c>
      <c r="F54" s="74"/>
      <c r="G54" s="67"/>
      <c r="H54" s="67"/>
      <c r="I54" s="67"/>
      <c r="J54" s="67"/>
      <c r="K54" s="67"/>
      <c r="L54" s="67"/>
      <c r="M54" s="67"/>
      <c r="N54" s="68"/>
      <c r="O54" s="70"/>
      <c r="P54" s="70"/>
      <c r="Q54" s="70"/>
      <c r="R54" s="70"/>
      <c r="S54" s="70"/>
      <c r="T54" s="70"/>
      <c r="U54" s="71"/>
      <c r="V54" s="67"/>
      <c r="W54" s="67"/>
      <c r="X54" s="67"/>
      <c r="Y54" s="67"/>
      <c r="Z54" s="67"/>
      <c r="AA54" s="67"/>
      <c r="AB54" s="67"/>
      <c r="AC54" s="68"/>
      <c r="AD54" s="70"/>
      <c r="AE54" s="70"/>
      <c r="AF54" s="70"/>
      <c r="AG54" s="71"/>
      <c r="AH54" s="67"/>
      <c r="AI54" s="67"/>
      <c r="AJ54" s="67"/>
      <c r="AK54" s="67"/>
      <c r="AL54" s="67"/>
      <c r="AM54" s="67"/>
      <c r="AN54" s="67"/>
      <c r="AO54" s="68"/>
      <c r="AP54" s="70"/>
      <c r="AQ54" s="70"/>
      <c r="AR54" s="70"/>
      <c r="AS54" s="71"/>
      <c r="AT54" s="67"/>
      <c r="AU54" s="67"/>
      <c r="AV54" s="67"/>
      <c r="AW54" s="67"/>
      <c r="AX54" s="67"/>
      <c r="AY54" s="67"/>
      <c r="AZ54" s="67"/>
      <c r="BA54" s="68"/>
      <c r="BB54" s="70"/>
      <c r="BC54" s="70"/>
      <c r="BD54" s="70"/>
      <c r="BE54" s="71"/>
      <c r="BF54" s="67"/>
      <c r="BG54" s="67"/>
      <c r="BH54" s="67"/>
      <c r="BI54" s="67"/>
      <c r="BJ54" s="67"/>
      <c r="BK54" s="67"/>
      <c r="BL54" s="67"/>
      <c r="BM54" s="68"/>
      <c r="BN54" s="70"/>
      <c r="BO54" s="70"/>
      <c r="BP54" s="70"/>
      <c r="BQ54" s="71"/>
      <c r="BR54" s="67"/>
      <c r="BS54" s="67"/>
      <c r="BT54" s="67"/>
      <c r="BU54" s="67"/>
      <c r="BV54" s="67"/>
      <c r="BW54" s="67"/>
      <c r="BX54" s="67"/>
      <c r="BY54" s="68"/>
      <c r="BZ54" s="70"/>
      <c r="CA54" s="70"/>
      <c r="CB54" s="70"/>
      <c r="CC54" s="71"/>
      <c r="CD54" s="67"/>
      <c r="CE54" s="67"/>
      <c r="CF54" s="67"/>
      <c r="CG54" s="67"/>
      <c r="CH54" s="67"/>
      <c r="CI54" s="67"/>
      <c r="CJ54" s="67"/>
      <c r="CK54" s="68"/>
      <c r="CL54" s="70"/>
      <c r="CM54" s="70"/>
      <c r="CN54" s="70"/>
      <c r="CO54" s="71"/>
      <c r="CP54" s="67"/>
      <c r="CQ54" s="67"/>
      <c r="CR54" s="67"/>
      <c r="CS54" s="67"/>
      <c r="CT54" s="67"/>
      <c r="CU54" s="67"/>
      <c r="CV54" s="67"/>
      <c r="CW54" s="68"/>
      <c r="CX54" s="70"/>
      <c r="CY54" s="70"/>
      <c r="CZ54" s="70"/>
      <c r="DA54" s="71"/>
      <c r="DB54" s="67"/>
      <c r="DC54" s="67"/>
      <c r="DD54" s="67"/>
      <c r="DE54" s="67"/>
      <c r="DF54" s="67"/>
      <c r="DG54" s="67"/>
      <c r="DH54" s="67"/>
      <c r="DI54" s="68"/>
      <c r="DJ54" s="70"/>
      <c r="DK54" s="70"/>
      <c r="DL54" s="70"/>
      <c r="DM54" s="71"/>
      <c r="DN54" s="67"/>
      <c r="DO54" s="67"/>
      <c r="DP54" s="67"/>
      <c r="DQ54" s="67"/>
      <c r="DR54" s="67"/>
      <c r="DS54" s="67"/>
      <c r="DT54" s="67"/>
      <c r="DU54" s="68"/>
      <c r="DV54" s="70"/>
      <c r="DW54" s="70"/>
      <c r="DX54" s="70"/>
      <c r="DY54" s="71"/>
      <c r="DZ54" s="67"/>
      <c r="EA54" s="67"/>
      <c r="EB54" s="67"/>
      <c r="EC54" s="67"/>
      <c r="ED54" s="67"/>
      <c r="EE54" s="67"/>
      <c r="EF54" s="67"/>
      <c r="EG54" s="68"/>
      <c r="EH54" s="70"/>
      <c r="EI54" s="70"/>
      <c r="EJ54" s="70"/>
      <c r="EK54" s="71"/>
      <c r="EL54" s="67"/>
      <c r="EM54" s="67"/>
      <c r="EN54" s="67"/>
      <c r="EO54" s="67"/>
      <c r="EP54" s="67"/>
      <c r="EQ54" s="67"/>
      <c r="ER54" s="67"/>
      <c r="ES54" s="68"/>
    </row>
    <row r="55" spans="1:149" outlineLevel="1" x14ac:dyDescent="0.45">
      <c r="B55" s="73"/>
      <c r="C55" s="22"/>
      <c r="D55" s="23" t="s">
        <v>23</v>
      </c>
      <c r="E55" s="24">
        <f>SUM(F55:CW55)</f>
        <v>0</v>
      </c>
      <c r="F55" s="69">
        <f>IFERROR($C55*F54,"")</f>
        <v>0</v>
      </c>
      <c r="G55" s="62"/>
      <c r="H55" s="62"/>
      <c r="I55" s="62"/>
      <c r="J55" s="62">
        <f t="shared" ref="J55" si="593">IFERROR($C55*J54,"")</f>
        <v>0</v>
      </c>
      <c r="K55" s="62"/>
      <c r="L55" s="62"/>
      <c r="M55" s="62"/>
      <c r="N55" s="63">
        <f t="shared" ref="N55" si="594">IFERROR($C55*N54,"")</f>
        <v>0</v>
      </c>
      <c r="O55" s="64"/>
      <c r="P55" s="64"/>
      <c r="Q55" s="64"/>
      <c r="R55" s="64">
        <f t="shared" ref="R55" si="595">IFERROR($C55*R54,"")</f>
        <v>0</v>
      </c>
      <c r="S55" s="64"/>
      <c r="T55" s="64"/>
      <c r="U55" s="65"/>
      <c r="V55" s="62">
        <f t="shared" ref="V55" si="596">IFERROR($C55*V54,"")</f>
        <v>0</v>
      </c>
      <c r="W55" s="62"/>
      <c r="X55" s="62"/>
      <c r="Y55" s="62"/>
      <c r="Z55" s="62">
        <f t="shared" ref="Z55" si="597">IFERROR($C55*Z54,"")</f>
        <v>0</v>
      </c>
      <c r="AA55" s="62"/>
      <c r="AB55" s="62"/>
      <c r="AC55" s="63"/>
      <c r="AD55" s="64">
        <f t="shared" ref="AD55" si="598">IFERROR($C55*AD54,"")</f>
        <v>0</v>
      </c>
      <c r="AE55" s="64"/>
      <c r="AF55" s="64"/>
      <c r="AG55" s="65"/>
      <c r="AH55" s="62">
        <f t="shared" ref="AH55" si="599">IFERROR($C55*AH54,"")</f>
        <v>0</v>
      </c>
      <c r="AI55" s="62"/>
      <c r="AJ55" s="62"/>
      <c r="AK55" s="62"/>
      <c r="AL55" s="62">
        <f t="shared" ref="AL55" si="600">IFERROR($C55*AL54,"")</f>
        <v>0</v>
      </c>
      <c r="AM55" s="62"/>
      <c r="AN55" s="62"/>
      <c r="AO55" s="63"/>
      <c r="AP55" s="64">
        <f t="shared" ref="AP55" si="601">IFERROR($C55*AP54,"")</f>
        <v>0</v>
      </c>
      <c r="AQ55" s="64"/>
      <c r="AR55" s="64"/>
      <c r="AS55" s="65"/>
      <c r="AT55" s="62">
        <f t="shared" ref="AT55" si="602">IFERROR($C55*AT54,"")</f>
        <v>0</v>
      </c>
      <c r="AU55" s="62"/>
      <c r="AV55" s="62"/>
      <c r="AW55" s="62"/>
      <c r="AX55" s="62">
        <f t="shared" ref="AX55" si="603">IFERROR($C55*AX54,"")</f>
        <v>0</v>
      </c>
      <c r="AY55" s="62"/>
      <c r="AZ55" s="62"/>
      <c r="BA55" s="63"/>
      <c r="BB55" s="64">
        <f t="shared" ref="BB55" si="604">IFERROR($C55*BB54,"")</f>
        <v>0</v>
      </c>
      <c r="BC55" s="64"/>
      <c r="BD55" s="64"/>
      <c r="BE55" s="65"/>
      <c r="BF55" s="62">
        <f t="shared" ref="BF55" si="605">IFERROR($C55*BF54,"")</f>
        <v>0</v>
      </c>
      <c r="BG55" s="62"/>
      <c r="BH55" s="62"/>
      <c r="BI55" s="62"/>
      <c r="BJ55" s="62">
        <f t="shared" ref="BJ55" si="606">IFERROR($C55*BJ54,"")</f>
        <v>0</v>
      </c>
      <c r="BK55" s="62"/>
      <c r="BL55" s="62"/>
      <c r="BM55" s="63"/>
      <c r="BN55" s="64">
        <f t="shared" ref="BN55" si="607">IFERROR($C55*BN54,"")</f>
        <v>0</v>
      </c>
      <c r="BO55" s="64"/>
      <c r="BP55" s="64"/>
      <c r="BQ55" s="65"/>
      <c r="BR55" s="62">
        <f t="shared" ref="BR55" si="608">IFERROR($C55*BR54,"")</f>
        <v>0</v>
      </c>
      <c r="BS55" s="62"/>
      <c r="BT55" s="62"/>
      <c r="BU55" s="62"/>
      <c r="BV55" s="62">
        <f t="shared" ref="BV55" si="609">IFERROR($C55*BV54,"")</f>
        <v>0</v>
      </c>
      <c r="BW55" s="62"/>
      <c r="BX55" s="62"/>
      <c r="BY55" s="63"/>
      <c r="BZ55" s="64">
        <f t="shared" ref="BZ55" si="610">IFERROR($C55*BZ54,"")</f>
        <v>0</v>
      </c>
      <c r="CA55" s="64"/>
      <c r="CB55" s="64"/>
      <c r="CC55" s="65"/>
      <c r="CD55" s="62">
        <f t="shared" ref="CD55" si="611">IFERROR($C55*CD54,"")</f>
        <v>0</v>
      </c>
      <c r="CE55" s="62"/>
      <c r="CF55" s="62"/>
      <c r="CG55" s="62"/>
      <c r="CH55" s="62">
        <f t="shared" ref="CH55" si="612">IFERROR($C55*CH54,"")</f>
        <v>0</v>
      </c>
      <c r="CI55" s="62"/>
      <c r="CJ55" s="62"/>
      <c r="CK55" s="63"/>
      <c r="CL55" s="64">
        <f t="shared" ref="CL55" si="613">IFERROR($C55*CL54,"")</f>
        <v>0</v>
      </c>
      <c r="CM55" s="64"/>
      <c r="CN55" s="64"/>
      <c r="CO55" s="65"/>
      <c r="CP55" s="62">
        <f t="shared" ref="CP55" si="614">IFERROR($C55*CP54,"")</f>
        <v>0</v>
      </c>
      <c r="CQ55" s="62"/>
      <c r="CR55" s="62"/>
      <c r="CS55" s="62"/>
      <c r="CT55" s="62">
        <f t="shared" ref="CT55" si="615">IFERROR($C55*CT54,"")</f>
        <v>0</v>
      </c>
      <c r="CU55" s="62"/>
      <c r="CV55" s="62"/>
      <c r="CW55" s="63"/>
      <c r="CX55" s="64">
        <f t="shared" ref="CX55" si="616">IFERROR($C55*CX54,"")</f>
        <v>0</v>
      </c>
      <c r="CY55" s="64"/>
      <c r="CZ55" s="64"/>
      <c r="DA55" s="65"/>
      <c r="DB55" s="62">
        <f t="shared" ref="DB55" si="617">IFERROR($C55*DB54,"")</f>
        <v>0</v>
      </c>
      <c r="DC55" s="62"/>
      <c r="DD55" s="62"/>
      <c r="DE55" s="62"/>
      <c r="DF55" s="62">
        <f t="shared" ref="DF55" si="618">IFERROR($C55*DF54,"")</f>
        <v>0</v>
      </c>
      <c r="DG55" s="62"/>
      <c r="DH55" s="62"/>
      <c r="DI55" s="63"/>
      <c r="DJ55" s="64">
        <f t="shared" ref="DJ55" si="619">IFERROR($C55*DJ54,"")</f>
        <v>0</v>
      </c>
      <c r="DK55" s="64"/>
      <c r="DL55" s="64"/>
      <c r="DM55" s="65"/>
      <c r="DN55" s="62">
        <f t="shared" ref="DN55" si="620">IFERROR($C55*DN54,"")</f>
        <v>0</v>
      </c>
      <c r="DO55" s="62"/>
      <c r="DP55" s="62"/>
      <c r="DQ55" s="62"/>
      <c r="DR55" s="62">
        <f t="shared" ref="DR55" si="621">IFERROR($C55*DR54,"")</f>
        <v>0</v>
      </c>
      <c r="DS55" s="62"/>
      <c r="DT55" s="62"/>
      <c r="DU55" s="63"/>
      <c r="DV55" s="64">
        <f t="shared" ref="DV55" si="622">IFERROR($C55*DV54,"")</f>
        <v>0</v>
      </c>
      <c r="DW55" s="64"/>
      <c r="DX55" s="64"/>
      <c r="DY55" s="65"/>
      <c r="DZ55" s="62">
        <f t="shared" ref="DZ55" si="623">IFERROR($C55*DZ54,"")</f>
        <v>0</v>
      </c>
      <c r="EA55" s="62"/>
      <c r="EB55" s="62"/>
      <c r="EC55" s="62"/>
      <c r="ED55" s="62">
        <f t="shared" ref="ED55" si="624">IFERROR($C55*ED54,"")</f>
        <v>0</v>
      </c>
      <c r="EE55" s="62"/>
      <c r="EF55" s="62"/>
      <c r="EG55" s="63"/>
      <c r="EH55" s="64">
        <f t="shared" ref="EH55" si="625">IFERROR($C55*EH54,"")</f>
        <v>0</v>
      </c>
      <c r="EI55" s="64"/>
      <c r="EJ55" s="64"/>
      <c r="EK55" s="65"/>
      <c r="EL55" s="62">
        <f t="shared" ref="EL55" si="626">IFERROR($C55*EL54,"")</f>
        <v>0</v>
      </c>
      <c r="EM55" s="62"/>
      <c r="EN55" s="62"/>
      <c r="EO55" s="62"/>
      <c r="EP55" s="62">
        <f t="shared" ref="EP55" si="627">IFERROR($C55*EP54,"")</f>
        <v>0</v>
      </c>
      <c r="EQ55" s="62"/>
      <c r="ER55" s="62"/>
      <c r="ES55" s="63"/>
    </row>
    <row r="56" spans="1:149" ht="18.600000000000001" outlineLevel="1" thickBot="1" x14ac:dyDescent="0.5">
      <c r="B56" s="73"/>
      <c r="C56" s="25"/>
      <c r="D56" s="26" t="s">
        <v>3</v>
      </c>
      <c r="E56" s="27">
        <f>SUM(F56:CW56)</f>
        <v>0</v>
      </c>
      <c r="F56" s="66">
        <f>IFERROR($C56*F54,"")</f>
        <v>0</v>
      </c>
      <c r="G56" s="60"/>
      <c r="H56" s="60"/>
      <c r="I56" s="60"/>
      <c r="J56" s="60">
        <f t="shared" ref="J56" si="628">IFERROR($C56*J54,"")</f>
        <v>0</v>
      </c>
      <c r="K56" s="60"/>
      <c r="L56" s="60"/>
      <c r="M56" s="60"/>
      <c r="N56" s="61">
        <f t="shared" ref="N56" si="629">IFERROR($C56*N54,"")</f>
        <v>0</v>
      </c>
      <c r="O56" s="58"/>
      <c r="P56" s="58"/>
      <c r="Q56" s="58"/>
      <c r="R56" s="58">
        <f t="shared" ref="R56" si="630">IFERROR($C56*R54,"")</f>
        <v>0</v>
      </c>
      <c r="S56" s="58"/>
      <c r="T56" s="58"/>
      <c r="U56" s="59"/>
      <c r="V56" s="60">
        <f t="shared" ref="V56" si="631">IFERROR($C56*V54,"")</f>
        <v>0</v>
      </c>
      <c r="W56" s="60"/>
      <c r="X56" s="60"/>
      <c r="Y56" s="60"/>
      <c r="Z56" s="60">
        <f t="shared" ref="Z56" si="632">IFERROR($C56*Z54,"")</f>
        <v>0</v>
      </c>
      <c r="AA56" s="60"/>
      <c r="AB56" s="60"/>
      <c r="AC56" s="61"/>
      <c r="AD56" s="58">
        <f t="shared" ref="AD56" si="633">IFERROR($C56*AD54,"")</f>
        <v>0</v>
      </c>
      <c r="AE56" s="58"/>
      <c r="AF56" s="58"/>
      <c r="AG56" s="59"/>
      <c r="AH56" s="60">
        <f t="shared" ref="AH56" si="634">IFERROR($C56*AH54,"")</f>
        <v>0</v>
      </c>
      <c r="AI56" s="60"/>
      <c r="AJ56" s="60"/>
      <c r="AK56" s="60"/>
      <c r="AL56" s="60">
        <f t="shared" ref="AL56" si="635">IFERROR($C56*AL54,"")</f>
        <v>0</v>
      </c>
      <c r="AM56" s="60"/>
      <c r="AN56" s="60"/>
      <c r="AO56" s="61"/>
      <c r="AP56" s="58">
        <f t="shared" ref="AP56" si="636">IFERROR($C56*AP54,"")</f>
        <v>0</v>
      </c>
      <c r="AQ56" s="58"/>
      <c r="AR56" s="58"/>
      <c r="AS56" s="59"/>
      <c r="AT56" s="60">
        <f t="shared" ref="AT56" si="637">IFERROR($C56*AT54,"")</f>
        <v>0</v>
      </c>
      <c r="AU56" s="60"/>
      <c r="AV56" s="60"/>
      <c r="AW56" s="60"/>
      <c r="AX56" s="60">
        <f t="shared" ref="AX56" si="638">IFERROR($C56*AX54,"")</f>
        <v>0</v>
      </c>
      <c r="AY56" s="60"/>
      <c r="AZ56" s="60"/>
      <c r="BA56" s="61"/>
      <c r="BB56" s="58">
        <f t="shared" ref="BB56" si="639">IFERROR($C56*BB54,"")</f>
        <v>0</v>
      </c>
      <c r="BC56" s="58"/>
      <c r="BD56" s="58"/>
      <c r="BE56" s="59"/>
      <c r="BF56" s="60">
        <f t="shared" ref="BF56" si="640">IFERROR($C56*BF54,"")</f>
        <v>0</v>
      </c>
      <c r="BG56" s="60"/>
      <c r="BH56" s="60"/>
      <c r="BI56" s="60"/>
      <c r="BJ56" s="60">
        <f t="shared" ref="BJ56" si="641">IFERROR($C56*BJ54,"")</f>
        <v>0</v>
      </c>
      <c r="BK56" s="60"/>
      <c r="BL56" s="60"/>
      <c r="BM56" s="61"/>
      <c r="BN56" s="58">
        <f t="shared" ref="BN56" si="642">IFERROR($C56*BN54,"")</f>
        <v>0</v>
      </c>
      <c r="BO56" s="58"/>
      <c r="BP56" s="58"/>
      <c r="BQ56" s="59"/>
      <c r="BR56" s="60">
        <f t="shared" ref="BR56" si="643">IFERROR($C56*BR54,"")</f>
        <v>0</v>
      </c>
      <c r="BS56" s="60"/>
      <c r="BT56" s="60"/>
      <c r="BU56" s="60"/>
      <c r="BV56" s="60">
        <f t="shared" ref="BV56" si="644">IFERROR($C56*BV54,"")</f>
        <v>0</v>
      </c>
      <c r="BW56" s="60"/>
      <c r="BX56" s="60"/>
      <c r="BY56" s="61"/>
      <c r="BZ56" s="58">
        <f t="shared" ref="BZ56" si="645">IFERROR($C56*BZ54,"")</f>
        <v>0</v>
      </c>
      <c r="CA56" s="58"/>
      <c r="CB56" s="58"/>
      <c r="CC56" s="59"/>
      <c r="CD56" s="60">
        <f t="shared" ref="CD56" si="646">IFERROR($C56*CD54,"")</f>
        <v>0</v>
      </c>
      <c r="CE56" s="60"/>
      <c r="CF56" s="60"/>
      <c r="CG56" s="60"/>
      <c r="CH56" s="60">
        <f t="shared" ref="CH56" si="647">IFERROR($C56*CH54,"")</f>
        <v>0</v>
      </c>
      <c r="CI56" s="60"/>
      <c r="CJ56" s="60"/>
      <c r="CK56" s="61"/>
      <c r="CL56" s="58">
        <f t="shared" ref="CL56" si="648">IFERROR($C56*CL54,"")</f>
        <v>0</v>
      </c>
      <c r="CM56" s="58"/>
      <c r="CN56" s="58"/>
      <c r="CO56" s="59"/>
      <c r="CP56" s="60">
        <f t="shared" ref="CP56" si="649">IFERROR($C56*CP54,"")</f>
        <v>0</v>
      </c>
      <c r="CQ56" s="60"/>
      <c r="CR56" s="60"/>
      <c r="CS56" s="60"/>
      <c r="CT56" s="60">
        <f t="shared" ref="CT56" si="650">IFERROR($C56*CT54,"")</f>
        <v>0</v>
      </c>
      <c r="CU56" s="60"/>
      <c r="CV56" s="60"/>
      <c r="CW56" s="61"/>
      <c r="CX56" s="58">
        <f t="shared" ref="CX56" si="651">IFERROR($C56*CX54,"")</f>
        <v>0</v>
      </c>
      <c r="CY56" s="58"/>
      <c r="CZ56" s="58"/>
      <c r="DA56" s="59"/>
      <c r="DB56" s="60">
        <f t="shared" ref="DB56" si="652">IFERROR($C56*DB54,"")</f>
        <v>0</v>
      </c>
      <c r="DC56" s="60"/>
      <c r="DD56" s="60"/>
      <c r="DE56" s="60"/>
      <c r="DF56" s="60">
        <f t="shared" ref="DF56" si="653">IFERROR($C56*DF54,"")</f>
        <v>0</v>
      </c>
      <c r="DG56" s="60"/>
      <c r="DH56" s="60"/>
      <c r="DI56" s="61"/>
      <c r="DJ56" s="58">
        <f t="shared" ref="DJ56" si="654">IFERROR($C56*DJ54,"")</f>
        <v>0</v>
      </c>
      <c r="DK56" s="58"/>
      <c r="DL56" s="58"/>
      <c r="DM56" s="59"/>
      <c r="DN56" s="60">
        <f t="shared" ref="DN56" si="655">IFERROR($C56*DN54,"")</f>
        <v>0</v>
      </c>
      <c r="DO56" s="60"/>
      <c r="DP56" s="60"/>
      <c r="DQ56" s="60"/>
      <c r="DR56" s="60">
        <f t="shared" ref="DR56" si="656">IFERROR($C56*DR54,"")</f>
        <v>0</v>
      </c>
      <c r="DS56" s="60"/>
      <c r="DT56" s="60"/>
      <c r="DU56" s="61"/>
      <c r="DV56" s="58">
        <f t="shared" ref="DV56" si="657">IFERROR($C56*DV54,"")</f>
        <v>0</v>
      </c>
      <c r="DW56" s="58"/>
      <c r="DX56" s="58"/>
      <c r="DY56" s="59"/>
      <c r="DZ56" s="60">
        <f t="shared" ref="DZ56" si="658">IFERROR($C56*DZ54,"")</f>
        <v>0</v>
      </c>
      <c r="EA56" s="60"/>
      <c r="EB56" s="60"/>
      <c r="EC56" s="60"/>
      <c r="ED56" s="60">
        <f t="shared" ref="ED56" si="659">IFERROR($C56*ED54,"")</f>
        <v>0</v>
      </c>
      <c r="EE56" s="60"/>
      <c r="EF56" s="60"/>
      <c r="EG56" s="61"/>
      <c r="EH56" s="58">
        <f t="shared" ref="EH56" si="660">IFERROR($C56*EH54,"")</f>
        <v>0</v>
      </c>
      <c r="EI56" s="58"/>
      <c r="EJ56" s="58"/>
      <c r="EK56" s="59"/>
      <c r="EL56" s="60">
        <f t="shared" ref="EL56" si="661">IFERROR($C56*EL54,"")</f>
        <v>0</v>
      </c>
      <c r="EM56" s="60"/>
      <c r="EN56" s="60"/>
      <c r="EO56" s="60"/>
      <c r="EP56" s="60">
        <f t="shared" ref="EP56" si="662">IFERROR($C56*EP54,"")</f>
        <v>0</v>
      </c>
      <c r="EQ56" s="60"/>
      <c r="ER56" s="60"/>
      <c r="ES56" s="61"/>
    </row>
    <row r="57" spans="1:149" outlineLevel="1" x14ac:dyDescent="0.45">
      <c r="B57" s="51" t="s">
        <v>27</v>
      </c>
      <c r="C57" s="52"/>
      <c r="D57" s="52"/>
      <c r="E57" s="28">
        <f t="shared" si="434"/>
        <v>119</v>
      </c>
      <c r="F57" s="57">
        <f>SUMIF($D21:$D56,"工数",F21:I56)</f>
        <v>4</v>
      </c>
      <c r="G57" s="46"/>
      <c r="H57" s="46"/>
      <c r="I57" s="46"/>
      <c r="J57" s="46">
        <f>SUMIF($D21:$D56,"工数",J21:M56)</f>
        <v>4</v>
      </c>
      <c r="K57" s="46"/>
      <c r="L57" s="46"/>
      <c r="M57" s="46"/>
      <c r="N57" s="47">
        <f>SUMIF($D21:$D56,"工数",N21:Q56)</f>
        <v>6.5</v>
      </c>
      <c r="O57" s="49"/>
      <c r="P57" s="49"/>
      <c r="Q57" s="49"/>
      <c r="R57" s="49">
        <f>SUMIF($D21:$D56,"工数",R21:U56)</f>
        <v>6.5</v>
      </c>
      <c r="S57" s="49"/>
      <c r="T57" s="49"/>
      <c r="U57" s="50"/>
      <c r="V57" s="46">
        <f>SUMIF($D21:$D56,"工数",V21:Y56)</f>
        <v>7.5</v>
      </c>
      <c r="W57" s="46"/>
      <c r="X57" s="46"/>
      <c r="Y57" s="46"/>
      <c r="Z57" s="46">
        <f>SUMIF($D21:$D56,"工数",Z21:AC56)</f>
        <v>7.5</v>
      </c>
      <c r="AA57" s="46"/>
      <c r="AB57" s="46"/>
      <c r="AC57" s="47"/>
      <c r="AD57" s="49">
        <f>SUMIF($D21:$D56,"工数",AD21:AG56)</f>
        <v>7.5</v>
      </c>
      <c r="AE57" s="49"/>
      <c r="AF57" s="49"/>
      <c r="AG57" s="50"/>
      <c r="AH57" s="46">
        <f>SUMIF($D21:$D56,"工数",AH21:AK56)</f>
        <v>5.5</v>
      </c>
      <c r="AI57" s="46"/>
      <c r="AJ57" s="46"/>
      <c r="AK57" s="46"/>
      <c r="AL57" s="46">
        <f>SUMIF($D21:$D56,"工数",AL21:AO56)</f>
        <v>5.5</v>
      </c>
      <c r="AM57" s="46"/>
      <c r="AN57" s="46"/>
      <c r="AO57" s="47"/>
      <c r="AP57" s="49">
        <f>SUMIF($D21:$D56,"工数",AP21:AS56)</f>
        <v>5.5</v>
      </c>
      <c r="AQ57" s="49"/>
      <c r="AR57" s="49"/>
      <c r="AS57" s="50"/>
      <c r="AT57" s="46">
        <f>SUMIF($D21:$D56,"工数",AT21:AW56)</f>
        <v>5.5</v>
      </c>
      <c r="AU57" s="46"/>
      <c r="AV57" s="46"/>
      <c r="AW57" s="46"/>
      <c r="AX57" s="46">
        <f>SUMIF($D21:$D56,"工数",AX21:BA56)</f>
        <v>5.5</v>
      </c>
      <c r="AY57" s="46"/>
      <c r="AZ57" s="46"/>
      <c r="BA57" s="47"/>
      <c r="BB57" s="49">
        <f>SUMIF($D21:$D56,"工数",BB21:BE56)</f>
        <v>7.5</v>
      </c>
      <c r="BC57" s="49"/>
      <c r="BD57" s="49"/>
      <c r="BE57" s="50"/>
      <c r="BF57" s="46">
        <f>SUMIF($D21:$D56,"工数",BF21:BI56)</f>
        <v>7.5</v>
      </c>
      <c r="BG57" s="46"/>
      <c r="BH57" s="46"/>
      <c r="BI57" s="46"/>
      <c r="BJ57" s="46">
        <f>SUMIF($D21:$D56,"工数",BJ21:BM56)</f>
        <v>7.5</v>
      </c>
      <c r="BK57" s="46"/>
      <c r="BL57" s="46"/>
      <c r="BM57" s="47"/>
      <c r="BN57" s="49">
        <f>SUMIF($D21:$D56,"工数",BN21:BQ56)</f>
        <v>7</v>
      </c>
      <c r="BO57" s="49"/>
      <c r="BP57" s="49"/>
      <c r="BQ57" s="50"/>
      <c r="BR57" s="46">
        <f>SUMIF($D21:$D56,"工数",BR21:BU56)</f>
        <v>4</v>
      </c>
      <c r="BS57" s="46"/>
      <c r="BT57" s="46"/>
      <c r="BU57" s="46"/>
      <c r="BV57" s="46">
        <f>SUMIF($D21:$D56,"工数",BV21:BY56)</f>
        <v>4</v>
      </c>
      <c r="BW57" s="46"/>
      <c r="BX57" s="46"/>
      <c r="BY57" s="47"/>
      <c r="BZ57" s="49">
        <f>SUMIF($D21:$D56,"工数",BZ21:CC56)</f>
        <v>4</v>
      </c>
      <c r="CA57" s="49"/>
      <c r="CB57" s="49"/>
      <c r="CC57" s="50"/>
      <c r="CD57" s="46">
        <f>SUMIF($D21:$D56,"工数",CD21:CG56)</f>
        <v>4</v>
      </c>
      <c r="CE57" s="46"/>
      <c r="CF57" s="46"/>
      <c r="CG57" s="46"/>
      <c r="CH57" s="46">
        <f>SUMIF($D21:$D56,"工数",CH21:CK56)</f>
        <v>2.5</v>
      </c>
      <c r="CI57" s="46"/>
      <c r="CJ57" s="46"/>
      <c r="CK57" s="47"/>
      <c r="CL57" s="49">
        <f>SUMIF($D21:$D56,"工数",CL21:CO56)</f>
        <v>0</v>
      </c>
      <c r="CM57" s="49"/>
      <c r="CN57" s="49"/>
      <c r="CO57" s="50"/>
      <c r="CP57" s="46">
        <f>SUMIF($D21:$D56,"工数",CP21:CS56)</f>
        <v>0</v>
      </c>
      <c r="CQ57" s="46"/>
      <c r="CR57" s="46"/>
      <c r="CS57" s="46"/>
      <c r="CT57" s="46">
        <f>SUMIF($D21:$D56,"工数",CT21:CW56)</f>
        <v>0</v>
      </c>
      <c r="CU57" s="46"/>
      <c r="CV57" s="46"/>
      <c r="CW57" s="47"/>
      <c r="CX57" s="49">
        <f>SUMIF($D21:$D56,"工数",CX21:DA56)</f>
        <v>0</v>
      </c>
      <c r="CY57" s="49"/>
      <c r="CZ57" s="49"/>
      <c r="DA57" s="50"/>
      <c r="DB57" s="46">
        <f>SUMIF($D21:$D56,"工数",DB21:DE56)</f>
        <v>0</v>
      </c>
      <c r="DC57" s="46"/>
      <c r="DD57" s="46"/>
      <c r="DE57" s="46"/>
      <c r="DF57" s="46">
        <f>SUMIF($D21:$D56,"工数",DF21:DI56)</f>
        <v>0</v>
      </c>
      <c r="DG57" s="46"/>
      <c r="DH57" s="46"/>
      <c r="DI57" s="47"/>
      <c r="DJ57" s="49">
        <f>SUMIF($D21:$D56,"工数",DJ21:DM56)</f>
        <v>0</v>
      </c>
      <c r="DK57" s="49"/>
      <c r="DL57" s="49"/>
      <c r="DM57" s="50"/>
      <c r="DN57" s="46">
        <f>SUMIF($D21:$D56,"工数",DN21:DQ56)</f>
        <v>0</v>
      </c>
      <c r="DO57" s="46"/>
      <c r="DP57" s="46"/>
      <c r="DQ57" s="46"/>
      <c r="DR57" s="46">
        <f>SUMIF($D21:$D56,"工数",DR21:DU56)</f>
        <v>0</v>
      </c>
      <c r="DS57" s="46"/>
      <c r="DT57" s="46"/>
      <c r="DU57" s="47"/>
      <c r="DV57" s="49">
        <f>SUMIF($D21:$D56,"工数",DV21:DY56)</f>
        <v>0</v>
      </c>
      <c r="DW57" s="49"/>
      <c r="DX57" s="49"/>
      <c r="DY57" s="50"/>
      <c r="DZ57" s="46">
        <f>SUMIF($D21:$D56,"工数",DZ21:EC56)</f>
        <v>0</v>
      </c>
      <c r="EA57" s="46"/>
      <c r="EB57" s="46"/>
      <c r="EC57" s="46"/>
      <c r="ED57" s="46">
        <f>SUMIF($D21:$D56,"工数",ED21:EG56)</f>
        <v>0</v>
      </c>
      <c r="EE57" s="46"/>
      <c r="EF57" s="46"/>
      <c r="EG57" s="47"/>
      <c r="EH57" s="49">
        <f>SUMIF($D21:$D56,"工数",EH21:EK56)</f>
        <v>0</v>
      </c>
      <c r="EI57" s="49"/>
      <c r="EJ57" s="49"/>
      <c r="EK57" s="50"/>
      <c r="EL57" s="46">
        <f>SUMIF($D21:$D56,"工数",EL21:EO56)</f>
        <v>0</v>
      </c>
      <c r="EM57" s="46"/>
      <c r="EN57" s="46"/>
      <c r="EO57" s="46"/>
      <c r="EP57" s="46">
        <f>SUMIF($D21:$D56,"工数",EP21:ES56)</f>
        <v>0</v>
      </c>
      <c r="EQ57" s="46"/>
      <c r="ER57" s="46"/>
      <c r="ES57" s="47"/>
    </row>
    <row r="58" spans="1:149" outlineLevel="1" x14ac:dyDescent="0.45">
      <c r="B58" s="53"/>
      <c r="C58" s="54"/>
      <c r="D58" s="54"/>
      <c r="E58" s="29">
        <f t="shared" si="434"/>
        <v>132825000</v>
      </c>
      <c r="F58" s="48">
        <f>SUMIF($D21:$D56,"売上金額",F21:I56)</f>
        <v>4375000</v>
      </c>
      <c r="G58" s="43"/>
      <c r="H58" s="43"/>
      <c r="I58" s="43"/>
      <c r="J58" s="43">
        <f>SUMIF($D21:$D56,"売上金額",J21:M56)</f>
        <v>4375000</v>
      </c>
      <c r="K58" s="43"/>
      <c r="L58" s="43"/>
      <c r="M58" s="43"/>
      <c r="N58" s="44">
        <f>SUMIF($D21:$D56,"売上金額",N21:Q56)</f>
        <v>7000000</v>
      </c>
      <c r="O58" s="41"/>
      <c r="P58" s="41"/>
      <c r="Q58" s="41"/>
      <c r="R58" s="41">
        <f>SUMIF($D21:$D56,"売上金額",R21:U56)</f>
        <v>7000000</v>
      </c>
      <c r="S58" s="41"/>
      <c r="T58" s="41"/>
      <c r="U58" s="42"/>
      <c r="V58" s="43">
        <f>SUMIF($D21:$D56,"売上金額",V21:Y56)</f>
        <v>8400000</v>
      </c>
      <c r="W58" s="43"/>
      <c r="X58" s="43"/>
      <c r="Y58" s="43"/>
      <c r="Z58" s="43">
        <f>SUMIF($D21:$D56,"売上金額",Z21:AC56)</f>
        <v>8400000</v>
      </c>
      <c r="AA58" s="43"/>
      <c r="AB58" s="43"/>
      <c r="AC58" s="44"/>
      <c r="AD58" s="41">
        <f>SUMIF($D21:$D56,"売上金額",AD21:AG56)</f>
        <v>8400000</v>
      </c>
      <c r="AE58" s="41"/>
      <c r="AF58" s="41"/>
      <c r="AG58" s="42"/>
      <c r="AH58" s="43">
        <f>SUMIF($D21:$D56,"売上金額",AH21:AK56)</f>
        <v>6300000</v>
      </c>
      <c r="AI58" s="43"/>
      <c r="AJ58" s="43"/>
      <c r="AK58" s="43"/>
      <c r="AL58" s="43">
        <f>SUMIF($D21:$D56,"売上金額",AL21:AO56)</f>
        <v>6300000</v>
      </c>
      <c r="AM58" s="43"/>
      <c r="AN58" s="43"/>
      <c r="AO58" s="44"/>
      <c r="AP58" s="41">
        <f>SUMIF($D21:$D56,"売上金額",AP21:AS56)</f>
        <v>6300000</v>
      </c>
      <c r="AQ58" s="41"/>
      <c r="AR58" s="41"/>
      <c r="AS58" s="42"/>
      <c r="AT58" s="43">
        <f>SUMIF($D21:$D56,"売上金額",AT21:AW56)</f>
        <v>6300000</v>
      </c>
      <c r="AU58" s="43"/>
      <c r="AV58" s="43"/>
      <c r="AW58" s="43"/>
      <c r="AX58" s="43">
        <f>SUMIF($D21:$D56,"売上金額",AX21:BA56)</f>
        <v>6300000</v>
      </c>
      <c r="AY58" s="43"/>
      <c r="AZ58" s="43"/>
      <c r="BA58" s="44"/>
      <c r="BB58" s="41">
        <f>SUMIF($D21:$D56,"売上金額",BB21:BE56)</f>
        <v>8400000</v>
      </c>
      <c r="BC58" s="41"/>
      <c r="BD58" s="41"/>
      <c r="BE58" s="42"/>
      <c r="BF58" s="43">
        <f>SUMIF($D21:$D56,"売上金額",BF21:BI56)</f>
        <v>8400000</v>
      </c>
      <c r="BG58" s="43"/>
      <c r="BH58" s="43"/>
      <c r="BI58" s="43"/>
      <c r="BJ58" s="43">
        <f>SUMIF($D21:$D56,"売上金額",BJ21:BM56)</f>
        <v>8400000</v>
      </c>
      <c r="BK58" s="43"/>
      <c r="BL58" s="43"/>
      <c r="BM58" s="44"/>
      <c r="BN58" s="41">
        <f>SUMIF($D21:$D56,"売上金額",BN21:BQ56)</f>
        <v>7875000</v>
      </c>
      <c r="BO58" s="41"/>
      <c r="BP58" s="41"/>
      <c r="BQ58" s="42"/>
      <c r="BR58" s="43">
        <f>SUMIF($D21:$D56,"売上金額",BR21:BU56)</f>
        <v>4375000</v>
      </c>
      <c r="BS58" s="43"/>
      <c r="BT58" s="43"/>
      <c r="BU58" s="43"/>
      <c r="BV58" s="43">
        <f>SUMIF($D21:$D56,"売上金額",BV21:BY56)</f>
        <v>4375000</v>
      </c>
      <c r="BW58" s="43"/>
      <c r="BX58" s="43"/>
      <c r="BY58" s="44"/>
      <c r="BZ58" s="41">
        <f>SUMIF($D21:$D56,"売上金額",BZ21:CC56)</f>
        <v>4375000</v>
      </c>
      <c r="CA58" s="41"/>
      <c r="CB58" s="41"/>
      <c r="CC58" s="42"/>
      <c r="CD58" s="43">
        <f>SUMIF($D21:$D56,"売上金額",CD21:CG56)</f>
        <v>4375000</v>
      </c>
      <c r="CE58" s="43"/>
      <c r="CF58" s="43"/>
      <c r="CG58" s="43"/>
      <c r="CH58" s="43">
        <f>SUMIF($D21:$D56,"売上金額",CH21:CK56)</f>
        <v>2800000</v>
      </c>
      <c r="CI58" s="43"/>
      <c r="CJ58" s="43"/>
      <c r="CK58" s="44"/>
      <c r="CL58" s="41">
        <f>SUMIF($D21:$D56,"売上金額",CL21:CO56)</f>
        <v>0</v>
      </c>
      <c r="CM58" s="41"/>
      <c r="CN58" s="41"/>
      <c r="CO58" s="42"/>
      <c r="CP58" s="43">
        <f>SUMIF($D21:$D56,"売上金額",CP21:CS56)</f>
        <v>0</v>
      </c>
      <c r="CQ58" s="43"/>
      <c r="CR58" s="43"/>
      <c r="CS58" s="43"/>
      <c r="CT58" s="43">
        <f>SUMIF($D21:$D56,"売上金額",CT21:CW56)</f>
        <v>0</v>
      </c>
      <c r="CU58" s="43"/>
      <c r="CV58" s="43"/>
      <c r="CW58" s="44"/>
      <c r="CX58" s="41">
        <f>SUMIF($D21:$D56,"売上金額",CX21:DA56)</f>
        <v>0</v>
      </c>
      <c r="CY58" s="41"/>
      <c r="CZ58" s="41"/>
      <c r="DA58" s="42"/>
      <c r="DB58" s="43">
        <f>SUMIF($D21:$D56,"売上金額",DB21:DE56)</f>
        <v>0</v>
      </c>
      <c r="DC58" s="43"/>
      <c r="DD58" s="43"/>
      <c r="DE58" s="43"/>
      <c r="DF58" s="43">
        <f>SUMIF($D21:$D56,"売上金額",DF21:DI56)</f>
        <v>0</v>
      </c>
      <c r="DG58" s="43"/>
      <c r="DH58" s="43"/>
      <c r="DI58" s="44"/>
      <c r="DJ58" s="41">
        <f>SUMIF($D21:$D56,"売上金額",DJ21:DM56)</f>
        <v>0</v>
      </c>
      <c r="DK58" s="41"/>
      <c r="DL58" s="41"/>
      <c r="DM58" s="42"/>
      <c r="DN58" s="43">
        <f>SUMIF($D21:$D56,"売上金額",DN21:DQ56)</f>
        <v>0</v>
      </c>
      <c r="DO58" s="43"/>
      <c r="DP58" s="43"/>
      <c r="DQ58" s="43"/>
      <c r="DR58" s="43">
        <f>SUMIF($D21:$D56,"売上金額",DR21:DU56)</f>
        <v>0</v>
      </c>
      <c r="DS58" s="43"/>
      <c r="DT58" s="43"/>
      <c r="DU58" s="44"/>
      <c r="DV58" s="41">
        <f>SUMIF($D21:$D56,"売上金額",DV21:DY56)</f>
        <v>0</v>
      </c>
      <c r="DW58" s="41"/>
      <c r="DX58" s="41"/>
      <c r="DY58" s="42"/>
      <c r="DZ58" s="43">
        <f>SUMIF($D21:$D56,"売上金額",DZ21:EC56)</f>
        <v>0</v>
      </c>
      <c r="EA58" s="43"/>
      <c r="EB58" s="43"/>
      <c r="EC58" s="43"/>
      <c r="ED58" s="43">
        <f>SUMIF($D21:$D56,"売上金額",ED21:EG56)</f>
        <v>0</v>
      </c>
      <c r="EE58" s="43"/>
      <c r="EF58" s="43"/>
      <c r="EG58" s="44"/>
      <c r="EH58" s="41">
        <f>SUMIF($D21:$D56,"売上金額",EH21:EK56)</f>
        <v>0</v>
      </c>
      <c r="EI58" s="41"/>
      <c r="EJ58" s="41"/>
      <c r="EK58" s="42"/>
      <c r="EL58" s="43">
        <f>SUMIF($D21:$D56,"売上金額",EL21:EO56)</f>
        <v>0</v>
      </c>
      <c r="EM58" s="43"/>
      <c r="EN58" s="43"/>
      <c r="EO58" s="43"/>
      <c r="EP58" s="43">
        <f>SUMIF($D21:$D56,"売上金額",EP21:ES56)</f>
        <v>0</v>
      </c>
      <c r="EQ58" s="43"/>
      <c r="ER58" s="43"/>
      <c r="ES58" s="44"/>
    </row>
    <row r="59" spans="1:149" ht="18.600000000000001" outlineLevel="1" thickBot="1" x14ac:dyDescent="0.5">
      <c r="B59" s="55"/>
      <c r="C59" s="56"/>
      <c r="D59" s="56"/>
      <c r="E59" s="30">
        <f t="shared" si="434"/>
        <v>66900000</v>
      </c>
      <c r="F59" s="45">
        <f>SUMIF($D21:$D56,"原価金額",F21:I56)</f>
        <v>1950000</v>
      </c>
      <c r="G59" s="37"/>
      <c r="H59" s="37"/>
      <c r="I59" s="37"/>
      <c r="J59" s="37">
        <f>SUMIF($D21:$D56,"原価金額",J21:M56)</f>
        <v>1950000</v>
      </c>
      <c r="K59" s="37"/>
      <c r="L59" s="37"/>
      <c r="M59" s="37"/>
      <c r="N59" s="38">
        <f>SUMIF($D21:$D56,"原価金額",N21:Q56)</f>
        <v>3200000</v>
      </c>
      <c r="O59" s="39"/>
      <c r="P59" s="39"/>
      <c r="Q59" s="39"/>
      <c r="R59" s="39">
        <f>SUMIF($D21:$D56,"原価金額",R21:U56)</f>
        <v>3200000</v>
      </c>
      <c r="S59" s="39"/>
      <c r="T59" s="39"/>
      <c r="U59" s="40"/>
      <c r="V59" s="37">
        <f>SUMIF($D21:$D56,"原価金額",V21:Y56)</f>
        <v>4400000</v>
      </c>
      <c r="W59" s="37"/>
      <c r="X59" s="37"/>
      <c r="Y59" s="37"/>
      <c r="Z59" s="37">
        <f>SUMIF($D21:$D56,"原価金額",Z21:AC56)</f>
        <v>4400000</v>
      </c>
      <c r="AA59" s="37"/>
      <c r="AB59" s="37"/>
      <c r="AC59" s="38"/>
      <c r="AD59" s="39">
        <f>SUMIF($D21:$D56,"原価金額",AD21:AG56)</f>
        <v>4400000</v>
      </c>
      <c r="AE59" s="39"/>
      <c r="AF59" s="39"/>
      <c r="AG59" s="40"/>
      <c r="AH59" s="37">
        <f>SUMIF($D21:$D56,"原価金額",AH21:AK56)</f>
        <v>3400000</v>
      </c>
      <c r="AI59" s="37"/>
      <c r="AJ59" s="37"/>
      <c r="AK59" s="37"/>
      <c r="AL59" s="37">
        <f>SUMIF($D21:$D56,"原価金額",AL21:AO56)</f>
        <v>3400000</v>
      </c>
      <c r="AM59" s="37"/>
      <c r="AN59" s="37"/>
      <c r="AO59" s="38"/>
      <c r="AP59" s="39">
        <f>SUMIF($D21:$D56,"原価金額",AP21:AS56)</f>
        <v>3400000</v>
      </c>
      <c r="AQ59" s="39"/>
      <c r="AR59" s="39"/>
      <c r="AS59" s="40"/>
      <c r="AT59" s="37">
        <f>SUMIF($D21:$D56,"原価金額",AT21:AW56)</f>
        <v>3400000</v>
      </c>
      <c r="AU59" s="37"/>
      <c r="AV59" s="37"/>
      <c r="AW59" s="37"/>
      <c r="AX59" s="37">
        <f>SUMIF($D21:$D56,"原価金額",AX21:BA56)</f>
        <v>3400000</v>
      </c>
      <c r="AY59" s="37"/>
      <c r="AZ59" s="37"/>
      <c r="BA59" s="38"/>
      <c r="BB59" s="39">
        <f>SUMIF($D21:$D56,"原価金額",BB21:BE56)</f>
        <v>4400000</v>
      </c>
      <c r="BC59" s="39"/>
      <c r="BD59" s="39"/>
      <c r="BE59" s="40"/>
      <c r="BF59" s="37">
        <f>SUMIF($D21:$D56,"原価金額",BF21:BI56)</f>
        <v>4400000</v>
      </c>
      <c r="BG59" s="37"/>
      <c r="BH59" s="37"/>
      <c r="BI59" s="37"/>
      <c r="BJ59" s="37">
        <f>SUMIF($D21:$D56,"原価金額",BJ21:BM56)</f>
        <v>4400000</v>
      </c>
      <c r="BK59" s="37"/>
      <c r="BL59" s="37"/>
      <c r="BM59" s="38"/>
      <c r="BN59" s="39">
        <f>SUMIF($D21:$D56,"原価金額",BN21:BQ56)</f>
        <v>4150000</v>
      </c>
      <c r="BO59" s="39"/>
      <c r="BP59" s="39"/>
      <c r="BQ59" s="40"/>
      <c r="BR59" s="37">
        <f>SUMIF($D21:$D56,"原価金額",BR21:BU56)</f>
        <v>1950000</v>
      </c>
      <c r="BS59" s="37"/>
      <c r="BT59" s="37"/>
      <c r="BU59" s="37"/>
      <c r="BV59" s="37">
        <f>SUMIF($D21:$D56,"原価金額",BV21:BY56)</f>
        <v>1950000</v>
      </c>
      <c r="BW59" s="37"/>
      <c r="BX59" s="37"/>
      <c r="BY59" s="38"/>
      <c r="BZ59" s="39">
        <f>SUMIF($D21:$D56,"原価金額",BZ21:CC56)</f>
        <v>1950000</v>
      </c>
      <c r="CA59" s="39"/>
      <c r="CB59" s="39"/>
      <c r="CC59" s="40"/>
      <c r="CD59" s="37">
        <f>SUMIF($D21:$D56,"原価金額",CD21:CG56)</f>
        <v>1950000</v>
      </c>
      <c r="CE59" s="37"/>
      <c r="CF59" s="37"/>
      <c r="CG59" s="37"/>
      <c r="CH59" s="37">
        <f>SUMIF($D21:$D56,"原価金額",CH21:CK56)</f>
        <v>1250000</v>
      </c>
      <c r="CI59" s="37"/>
      <c r="CJ59" s="37"/>
      <c r="CK59" s="38"/>
      <c r="CL59" s="39">
        <f>SUMIF($D21:$D56,"原価金額",CL21:CO56)</f>
        <v>0</v>
      </c>
      <c r="CM59" s="39"/>
      <c r="CN59" s="39"/>
      <c r="CO59" s="40"/>
      <c r="CP59" s="37">
        <f>SUMIF($D21:$D56,"原価金額",CP21:CS56)</f>
        <v>0</v>
      </c>
      <c r="CQ59" s="37"/>
      <c r="CR59" s="37"/>
      <c r="CS59" s="37"/>
      <c r="CT59" s="37">
        <f>SUMIF($D21:$D56,"原価金額",CT21:CW56)</f>
        <v>0</v>
      </c>
      <c r="CU59" s="37"/>
      <c r="CV59" s="37"/>
      <c r="CW59" s="38"/>
      <c r="CX59" s="39">
        <f>SUMIF($D21:$D56,"原価金額",CX21:DA56)</f>
        <v>0</v>
      </c>
      <c r="CY59" s="39"/>
      <c r="CZ59" s="39"/>
      <c r="DA59" s="40"/>
      <c r="DB59" s="37">
        <f>SUMIF($D21:$D56,"原価金額",DB21:DE56)</f>
        <v>0</v>
      </c>
      <c r="DC59" s="37"/>
      <c r="DD59" s="37"/>
      <c r="DE59" s="37"/>
      <c r="DF59" s="37">
        <f>SUMIF($D21:$D56,"原価金額",DF21:DI56)</f>
        <v>0</v>
      </c>
      <c r="DG59" s="37"/>
      <c r="DH59" s="37"/>
      <c r="DI59" s="38"/>
      <c r="DJ59" s="39">
        <f>SUMIF($D21:$D56,"原価金額",DJ21:DM56)</f>
        <v>0</v>
      </c>
      <c r="DK59" s="39"/>
      <c r="DL59" s="39"/>
      <c r="DM59" s="40"/>
      <c r="DN59" s="37">
        <f>SUMIF($D21:$D56,"原価金額",DN21:DQ56)</f>
        <v>0</v>
      </c>
      <c r="DO59" s="37"/>
      <c r="DP59" s="37"/>
      <c r="DQ59" s="37"/>
      <c r="DR59" s="37">
        <f>SUMIF($D21:$D56,"原価金額",DR21:DU56)</f>
        <v>0</v>
      </c>
      <c r="DS59" s="37"/>
      <c r="DT59" s="37"/>
      <c r="DU59" s="38"/>
      <c r="DV59" s="39">
        <f>SUMIF($D21:$D56,"原価金額",DV21:DY56)</f>
        <v>0</v>
      </c>
      <c r="DW59" s="39"/>
      <c r="DX59" s="39"/>
      <c r="DY59" s="40"/>
      <c r="DZ59" s="37">
        <f>SUMIF($D21:$D56,"原価金額",DZ21:EC56)</f>
        <v>0</v>
      </c>
      <c r="EA59" s="37"/>
      <c r="EB59" s="37"/>
      <c r="EC59" s="37"/>
      <c r="ED59" s="37">
        <f>SUMIF($D21:$D56,"原価金額",ED21:EG56)</f>
        <v>0</v>
      </c>
      <c r="EE59" s="37"/>
      <c r="EF59" s="37"/>
      <c r="EG59" s="38"/>
      <c r="EH59" s="39">
        <f>SUMIF($D21:$D56,"原価金額",EH21:EK56)</f>
        <v>0</v>
      </c>
      <c r="EI59" s="39"/>
      <c r="EJ59" s="39"/>
      <c r="EK59" s="40"/>
      <c r="EL59" s="37">
        <f>SUMIF($D21:$D56,"原価金額",EL21:EO56)</f>
        <v>0</v>
      </c>
      <c r="EM59" s="37"/>
      <c r="EN59" s="37"/>
      <c r="EO59" s="37"/>
      <c r="EP59" s="37">
        <f>SUMIF($D21:$D56,"原価金額",EP21:ES56)</f>
        <v>0</v>
      </c>
      <c r="EQ59" s="37"/>
      <c r="ER59" s="37"/>
      <c r="ES59" s="38"/>
    </row>
    <row r="61" spans="1:149" ht="18.600000000000001" outlineLevel="1" thickBot="1" x14ac:dyDescent="0.5">
      <c r="A61" s="2" t="s">
        <v>28</v>
      </c>
      <c r="C61" s="17" t="s">
        <v>17</v>
      </c>
    </row>
    <row r="62" spans="1:149" outlineLevel="1" x14ac:dyDescent="0.45">
      <c r="B62" s="88" t="s">
        <v>18</v>
      </c>
      <c r="C62" s="91" t="s">
        <v>19</v>
      </c>
      <c r="D62" s="93" t="s">
        <v>20</v>
      </c>
      <c r="E62" s="94" t="s">
        <v>21</v>
      </c>
      <c r="F62" s="85" t="s">
        <v>6</v>
      </c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7"/>
      <c r="BB62" s="85" t="s">
        <v>30</v>
      </c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87"/>
      <c r="CX62" s="85" t="s">
        <v>31</v>
      </c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7"/>
    </row>
    <row r="63" spans="1:149" outlineLevel="1" x14ac:dyDescent="0.45">
      <c r="B63" s="89"/>
      <c r="C63" s="92"/>
      <c r="D63" s="93"/>
      <c r="E63" s="95"/>
      <c r="F63" s="82" t="s">
        <v>7</v>
      </c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2" t="s">
        <v>8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2" t="s">
        <v>9</v>
      </c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2" t="s">
        <v>10</v>
      </c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2" t="s">
        <v>7</v>
      </c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2" t="s">
        <v>8</v>
      </c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2" t="s">
        <v>9</v>
      </c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2" t="s">
        <v>11</v>
      </c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4"/>
      <c r="CX63" s="82" t="s">
        <v>7</v>
      </c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2" t="s">
        <v>8</v>
      </c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2" t="s">
        <v>9</v>
      </c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2" t="s">
        <v>11</v>
      </c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4"/>
    </row>
    <row r="64" spans="1:149" outlineLevel="1" x14ac:dyDescent="0.45">
      <c r="B64" s="90"/>
      <c r="C64" s="18" t="s">
        <v>22</v>
      </c>
      <c r="D64" s="93"/>
      <c r="E64" s="96"/>
      <c r="F64" s="81">
        <v>45017</v>
      </c>
      <c r="G64" s="79"/>
      <c r="H64" s="79"/>
      <c r="I64" s="79"/>
      <c r="J64" s="79">
        <v>45047</v>
      </c>
      <c r="K64" s="79"/>
      <c r="L64" s="79"/>
      <c r="M64" s="79"/>
      <c r="N64" s="79">
        <v>45078</v>
      </c>
      <c r="O64" s="79"/>
      <c r="P64" s="79"/>
      <c r="Q64" s="80"/>
      <c r="R64" s="81">
        <v>45108</v>
      </c>
      <c r="S64" s="79"/>
      <c r="T64" s="79"/>
      <c r="U64" s="79"/>
      <c r="V64" s="79">
        <v>45139</v>
      </c>
      <c r="W64" s="79"/>
      <c r="X64" s="79"/>
      <c r="Y64" s="79"/>
      <c r="Z64" s="79">
        <v>45170</v>
      </c>
      <c r="AA64" s="79"/>
      <c r="AB64" s="79"/>
      <c r="AC64" s="80"/>
      <c r="AD64" s="81">
        <v>45200</v>
      </c>
      <c r="AE64" s="79"/>
      <c r="AF64" s="79"/>
      <c r="AG64" s="79"/>
      <c r="AH64" s="79">
        <v>45231</v>
      </c>
      <c r="AI64" s="79"/>
      <c r="AJ64" s="79"/>
      <c r="AK64" s="79"/>
      <c r="AL64" s="79">
        <v>45261</v>
      </c>
      <c r="AM64" s="79"/>
      <c r="AN64" s="79"/>
      <c r="AO64" s="80"/>
      <c r="AP64" s="81">
        <v>45292</v>
      </c>
      <c r="AQ64" s="79"/>
      <c r="AR64" s="79"/>
      <c r="AS64" s="79"/>
      <c r="AT64" s="79">
        <v>45323</v>
      </c>
      <c r="AU64" s="79"/>
      <c r="AV64" s="79"/>
      <c r="AW64" s="79"/>
      <c r="AX64" s="79">
        <v>45352</v>
      </c>
      <c r="AY64" s="79"/>
      <c r="AZ64" s="79"/>
      <c r="BA64" s="80"/>
      <c r="BB64" s="81">
        <v>45383</v>
      </c>
      <c r="BC64" s="79"/>
      <c r="BD64" s="79"/>
      <c r="BE64" s="79"/>
      <c r="BF64" s="79">
        <v>45413</v>
      </c>
      <c r="BG64" s="79"/>
      <c r="BH64" s="79"/>
      <c r="BI64" s="79"/>
      <c r="BJ64" s="79">
        <v>45444</v>
      </c>
      <c r="BK64" s="79"/>
      <c r="BL64" s="79"/>
      <c r="BM64" s="80"/>
      <c r="BN64" s="81">
        <v>45474</v>
      </c>
      <c r="BO64" s="79"/>
      <c r="BP64" s="79"/>
      <c r="BQ64" s="79"/>
      <c r="BR64" s="79">
        <v>45505</v>
      </c>
      <c r="BS64" s="79"/>
      <c r="BT64" s="79"/>
      <c r="BU64" s="79"/>
      <c r="BV64" s="79">
        <v>45536</v>
      </c>
      <c r="BW64" s="79"/>
      <c r="BX64" s="79"/>
      <c r="BY64" s="80"/>
      <c r="BZ64" s="81">
        <v>45566</v>
      </c>
      <c r="CA64" s="79"/>
      <c r="CB64" s="79"/>
      <c r="CC64" s="79"/>
      <c r="CD64" s="79">
        <v>45597</v>
      </c>
      <c r="CE64" s="79"/>
      <c r="CF64" s="79"/>
      <c r="CG64" s="79"/>
      <c r="CH64" s="79">
        <v>45627</v>
      </c>
      <c r="CI64" s="79"/>
      <c r="CJ64" s="79"/>
      <c r="CK64" s="80"/>
      <c r="CL64" s="81">
        <v>45658</v>
      </c>
      <c r="CM64" s="79"/>
      <c r="CN64" s="79"/>
      <c r="CO64" s="79"/>
      <c r="CP64" s="79">
        <v>45689</v>
      </c>
      <c r="CQ64" s="79"/>
      <c r="CR64" s="79"/>
      <c r="CS64" s="79"/>
      <c r="CT64" s="79">
        <v>45717</v>
      </c>
      <c r="CU64" s="79"/>
      <c r="CV64" s="79"/>
      <c r="CW64" s="80"/>
      <c r="CX64" s="81">
        <v>45383</v>
      </c>
      <c r="CY64" s="79"/>
      <c r="CZ64" s="79"/>
      <c r="DA64" s="79"/>
      <c r="DB64" s="79">
        <v>45413</v>
      </c>
      <c r="DC64" s="79"/>
      <c r="DD64" s="79"/>
      <c r="DE64" s="79"/>
      <c r="DF64" s="79">
        <v>45444</v>
      </c>
      <c r="DG64" s="79"/>
      <c r="DH64" s="79"/>
      <c r="DI64" s="80"/>
      <c r="DJ64" s="81">
        <v>45474</v>
      </c>
      <c r="DK64" s="79"/>
      <c r="DL64" s="79"/>
      <c r="DM64" s="79"/>
      <c r="DN64" s="79">
        <v>45505</v>
      </c>
      <c r="DO64" s="79"/>
      <c r="DP64" s="79"/>
      <c r="DQ64" s="79"/>
      <c r="DR64" s="79">
        <v>45536</v>
      </c>
      <c r="DS64" s="79"/>
      <c r="DT64" s="79"/>
      <c r="DU64" s="80"/>
      <c r="DV64" s="81">
        <v>45566</v>
      </c>
      <c r="DW64" s="79"/>
      <c r="DX64" s="79"/>
      <c r="DY64" s="79"/>
      <c r="DZ64" s="79">
        <v>45597</v>
      </c>
      <c r="EA64" s="79"/>
      <c r="EB64" s="79"/>
      <c r="EC64" s="79"/>
      <c r="ED64" s="79">
        <v>45627</v>
      </c>
      <c r="EE64" s="79"/>
      <c r="EF64" s="79"/>
      <c r="EG64" s="80"/>
      <c r="EH64" s="81">
        <v>45658</v>
      </c>
      <c r="EI64" s="79"/>
      <c r="EJ64" s="79"/>
      <c r="EK64" s="79"/>
      <c r="EL64" s="79">
        <v>45689</v>
      </c>
      <c r="EM64" s="79"/>
      <c r="EN64" s="79"/>
      <c r="EO64" s="79"/>
      <c r="EP64" s="79">
        <v>45717</v>
      </c>
      <c r="EQ64" s="79"/>
      <c r="ER64" s="79"/>
      <c r="ES64" s="80"/>
    </row>
    <row r="65" spans="1:149" outlineLevel="1" x14ac:dyDescent="0.45">
      <c r="B65" s="72" t="s">
        <v>37</v>
      </c>
      <c r="C65" s="19"/>
      <c r="D65" s="20" t="s">
        <v>13</v>
      </c>
      <c r="E65" s="21">
        <f ca="1">SUM(F65:ES65)</f>
        <v>10.5</v>
      </c>
      <c r="F65" s="74">
        <v>0.5</v>
      </c>
      <c r="G65" s="67"/>
      <c r="H65" s="67"/>
      <c r="I65" s="67"/>
      <c r="J65" s="67">
        <v>0.5</v>
      </c>
      <c r="K65" s="67"/>
      <c r="L65" s="67"/>
      <c r="M65" s="67"/>
      <c r="N65" s="68">
        <v>0.5</v>
      </c>
      <c r="O65" s="70"/>
      <c r="P65" s="70"/>
      <c r="Q65" s="70"/>
      <c r="R65" s="70">
        <v>0.5</v>
      </c>
      <c r="S65" s="70"/>
      <c r="T65" s="70"/>
      <c r="U65" s="71"/>
      <c r="V65" s="67">
        <v>0.5</v>
      </c>
      <c r="W65" s="67"/>
      <c r="X65" s="67"/>
      <c r="Y65" s="67"/>
      <c r="Z65" s="67">
        <v>0.5</v>
      </c>
      <c r="AA65" s="67"/>
      <c r="AB65" s="67"/>
      <c r="AC65" s="68"/>
      <c r="AD65" s="70">
        <v>0.5</v>
      </c>
      <c r="AE65" s="70"/>
      <c r="AF65" s="70"/>
      <c r="AG65" s="71"/>
      <c r="AH65" s="67">
        <v>0.5</v>
      </c>
      <c r="AI65" s="67"/>
      <c r="AJ65" s="67"/>
      <c r="AK65" s="67"/>
      <c r="AL65" s="67">
        <v>0.5</v>
      </c>
      <c r="AM65" s="67"/>
      <c r="AN65" s="67"/>
      <c r="AO65" s="68"/>
      <c r="AP65" s="70">
        <v>0.5</v>
      </c>
      <c r="AQ65" s="70"/>
      <c r="AR65" s="70"/>
      <c r="AS65" s="71"/>
      <c r="AT65" s="67">
        <v>0.5</v>
      </c>
      <c r="AU65" s="67"/>
      <c r="AV65" s="67"/>
      <c r="AW65" s="68"/>
      <c r="AX65" s="67">
        <v>0.5</v>
      </c>
      <c r="AY65" s="67"/>
      <c r="AZ65" s="67"/>
      <c r="BA65" s="68"/>
      <c r="BB65" s="70">
        <v>0.5</v>
      </c>
      <c r="BC65" s="70"/>
      <c r="BD65" s="70"/>
      <c r="BE65" s="71"/>
      <c r="BF65" s="67">
        <v>0.5</v>
      </c>
      <c r="BG65" s="67"/>
      <c r="BH65" s="67"/>
      <c r="BI65" s="67"/>
      <c r="BJ65" s="67">
        <v>0.5</v>
      </c>
      <c r="BK65" s="67"/>
      <c r="BL65" s="67"/>
      <c r="BM65" s="68"/>
      <c r="BN65" s="70">
        <v>0.5</v>
      </c>
      <c r="BO65" s="70"/>
      <c r="BP65" s="70"/>
      <c r="BQ65" s="71"/>
      <c r="BR65" s="67">
        <v>0.5</v>
      </c>
      <c r="BS65" s="67"/>
      <c r="BT65" s="67"/>
      <c r="BU65" s="67"/>
      <c r="BV65" s="67">
        <v>0.5</v>
      </c>
      <c r="BW65" s="67"/>
      <c r="BX65" s="67"/>
      <c r="BY65" s="68"/>
      <c r="BZ65" s="70">
        <v>0.5</v>
      </c>
      <c r="CA65" s="70"/>
      <c r="CB65" s="70"/>
      <c r="CC65" s="71"/>
      <c r="CD65" s="67">
        <v>0.5</v>
      </c>
      <c r="CE65" s="67"/>
      <c r="CF65" s="67"/>
      <c r="CG65" s="67"/>
      <c r="CH65" s="67">
        <v>0.5</v>
      </c>
      <c r="CI65" s="67"/>
      <c r="CJ65" s="67"/>
      <c r="CK65" s="68"/>
      <c r="CL65" s="70"/>
      <c r="CM65" s="70"/>
      <c r="CN65" s="70"/>
      <c r="CO65" s="71"/>
      <c r="CP65" s="67"/>
      <c r="CQ65" s="67"/>
      <c r="CR65" s="67"/>
      <c r="CS65" s="67"/>
      <c r="CT65" s="67"/>
      <c r="CU65" s="67"/>
      <c r="CV65" s="67"/>
      <c r="CW65" s="68"/>
      <c r="CX65" s="70"/>
      <c r="CY65" s="70"/>
      <c r="CZ65" s="70"/>
      <c r="DA65" s="71"/>
      <c r="DB65" s="67"/>
      <c r="DC65" s="67"/>
      <c r="DD65" s="67"/>
      <c r="DE65" s="67"/>
      <c r="DF65" s="67"/>
      <c r="DG65" s="67"/>
      <c r="DH65" s="67"/>
      <c r="DI65" s="68"/>
      <c r="DJ65" s="70"/>
      <c r="DK65" s="70"/>
      <c r="DL65" s="70"/>
      <c r="DM65" s="71"/>
      <c r="DN65" s="67"/>
      <c r="DO65" s="67"/>
      <c r="DP65" s="67"/>
      <c r="DQ65" s="67"/>
      <c r="DR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DS65" s="67"/>
      <c r="DT65" s="67"/>
      <c r="DU65" s="68"/>
      <c r="DV65" s="70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DW65" s="70"/>
      <c r="DX65" s="70"/>
      <c r="DY65" s="71"/>
      <c r="DZ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A65" s="67"/>
      <c r="EB65" s="67"/>
      <c r="EC65" s="67"/>
      <c r="ED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E65" s="67"/>
      <c r="EF65" s="67"/>
      <c r="EG65" s="68"/>
      <c r="EH65" s="70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I65" s="70"/>
      <c r="EJ65" s="70"/>
      <c r="EK65" s="71"/>
      <c r="EL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M65" s="67"/>
      <c r="EN65" s="67"/>
      <c r="EO65" s="67"/>
      <c r="EP65" s="67">
        <f ca="1">IF(ISERROR(VLOOKUP(RIGHT(CELL("filename",$A$1),LEN(CELL("filename",$A$1))-FIND("]",CELL("filename",$A$1)))&amp;$B65,[2]要員計画!$L:$AJ,((COLUMN()-1)/4)+1,FALSE)),0,VLOOKUP(RIGHT(CELL("filename",$A$1),LEN(CELL("filename",$A$1))-FIND("]",CELL("filename",$A$1)))&amp;$B65,[2]要員計画!$L:$AJ,((COLUMN()-1)/4)+1,FALSE))</f>
        <v>0</v>
      </c>
      <c r="EQ65" s="67"/>
      <c r="ER65" s="67"/>
      <c r="ES65" s="68"/>
    </row>
    <row r="66" spans="1:149" outlineLevel="1" x14ac:dyDescent="0.45">
      <c r="B66" s="73"/>
      <c r="C66" s="22">
        <v>1050000</v>
      </c>
      <c r="D66" s="23" t="s">
        <v>23</v>
      </c>
      <c r="E66" s="24">
        <f>SUM(F66:CW66)</f>
        <v>11025000</v>
      </c>
      <c r="F66" s="69">
        <f>IFERROR($C66*F65,"")</f>
        <v>525000</v>
      </c>
      <c r="G66" s="62"/>
      <c r="H66" s="62"/>
      <c r="I66" s="62"/>
      <c r="J66" s="62">
        <f t="shared" ref="J66" si="663">IFERROR($C66*J65,"")</f>
        <v>525000</v>
      </c>
      <c r="K66" s="62"/>
      <c r="L66" s="62"/>
      <c r="M66" s="62"/>
      <c r="N66" s="63">
        <f t="shared" ref="N66" si="664">IFERROR($C66*N65,"")</f>
        <v>525000</v>
      </c>
      <c r="O66" s="64"/>
      <c r="P66" s="64"/>
      <c r="Q66" s="64"/>
      <c r="R66" s="64">
        <f t="shared" ref="R66" si="665">IFERROR($C66*R65,"")</f>
        <v>525000</v>
      </c>
      <c r="S66" s="64"/>
      <c r="T66" s="64"/>
      <c r="U66" s="65"/>
      <c r="V66" s="62">
        <f t="shared" ref="V66" si="666">IFERROR($C66*V65,"")</f>
        <v>525000</v>
      </c>
      <c r="W66" s="62"/>
      <c r="X66" s="62"/>
      <c r="Y66" s="62"/>
      <c r="Z66" s="62">
        <f t="shared" ref="Z66" si="667">IFERROR($C66*Z65,"")</f>
        <v>525000</v>
      </c>
      <c r="AA66" s="62"/>
      <c r="AB66" s="62"/>
      <c r="AC66" s="63"/>
      <c r="AD66" s="64">
        <f t="shared" ref="AD66" si="668">IFERROR($C66*AD65,"")</f>
        <v>525000</v>
      </c>
      <c r="AE66" s="64"/>
      <c r="AF66" s="64"/>
      <c r="AG66" s="65"/>
      <c r="AH66" s="62">
        <f t="shared" ref="AH66" si="669">IFERROR($C66*AH65,"")</f>
        <v>525000</v>
      </c>
      <c r="AI66" s="62"/>
      <c r="AJ66" s="62"/>
      <c r="AK66" s="62"/>
      <c r="AL66" s="62">
        <f t="shared" ref="AL66" si="670">IFERROR($C66*AL65,"")</f>
        <v>525000</v>
      </c>
      <c r="AM66" s="62"/>
      <c r="AN66" s="62"/>
      <c r="AO66" s="63"/>
      <c r="AP66" s="64">
        <f t="shared" ref="AP66" si="671">IFERROR($C66*AP65,"")</f>
        <v>525000</v>
      </c>
      <c r="AQ66" s="64"/>
      <c r="AR66" s="64"/>
      <c r="AS66" s="65"/>
      <c r="AT66" s="62">
        <f t="shared" ref="AT66" si="672">IFERROR($C66*AT65,"")</f>
        <v>525000</v>
      </c>
      <c r="AU66" s="62"/>
      <c r="AV66" s="62"/>
      <c r="AW66" s="62"/>
      <c r="AX66" s="62">
        <f t="shared" ref="AX66" si="673">IFERROR($C66*AX65,"")</f>
        <v>525000</v>
      </c>
      <c r="AY66" s="62"/>
      <c r="AZ66" s="62"/>
      <c r="BA66" s="63"/>
      <c r="BB66" s="64">
        <f t="shared" ref="BB66:CD66" si="674">IFERROR($C66*BB65,"")</f>
        <v>525000</v>
      </c>
      <c r="BC66" s="64"/>
      <c r="BD66" s="64"/>
      <c r="BE66" s="65"/>
      <c r="BF66" s="62">
        <f t="shared" si="674"/>
        <v>525000</v>
      </c>
      <c r="BG66" s="62"/>
      <c r="BH66" s="62"/>
      <c r="BI66" s="62"/>
      <c r="BJ66" s="62">
        <f t="shared" si="674"/>
        <v>525000</v>
      </c>
      <c r="BK66" s="62"/>
      <c r="BL66" s="62"/>
      <c r="BM66" s="63"/>
      <c r="BN66" s="64">
        <f t="shared" si="674"/>
        <v>525000</v>
      </c>
      <c r="BO66" s="64"/>
      <c r="BP66" s="64"/>
      <c r="BQ66" s="65"/>
      <c r="BR66" s="62">
        <f t="shared" si="674"/>
        <v>525000</v>
      </c>
      <c r="BS66" s="62"/>
      <c r="BT66" s="62"/>
      <c r="BU66" s="62"/>
      <c r="BV66" s="62">
        <f t="shared" si="674"/>
        <v>525000</v>
      </c>
      <c r="BW66" s="62"/>
      <c r="BX66" s="62"/>
      <c r="BY66" s="63"/>
      <c r="BZ66" s="64">
        <f t="shared" si="674"/>
        <v>525000</v>
      </c>
      <c r="CA66" s="64"/>
      <c r="CB66" s="64"/>
      <c r="CC66" s="65"/>
      <c r="CD66" s="62">
        <f t="shared" si="674"/>
        <v>525000</v>
      </c>
      <c r="CE66" s="62"/>
      <c r="CF66" s="62"/>
      <c r="CG66" s="62"/>
      <c r="CH66" s="62">
        <f t="shared" ref="CH66:DJ66" si="675">IFERROR($C66*CH65,"")</f>
        <v>525000</v>
      </c>
      <c r="CI66" s="62"/>
      <c r="CJ66" s="62"/>
      <c r="CK66" s="63"/>
      <c r="CL66" s="64">
        <f t="shared" si="675"/>
        <v>0</v>
      </c>
      <c r="CM66" s="64"/>
      <c r="CN66" s="64"/>
      <c r="CO66" s="65"/>
      <c r="CP66" s="62">
        <f t="shared" si="675"/>
        <v>0</v>
      </c>
      <c r="CQ66" s="62"/>
      <c r="CR66" s="62"/>
      <c r="CS66" s="62"/>
      <c r="CT66" s="62">
        <f t="shared" si="675"/>
        <v>0</v>
      </c>
      <c r="CU66" s="62"/>
      <c r="CV66" s="62"/>
      <c r="CW66" s="63"/>
      <c r="CX66" s="64">
        <f t="shared" si="675"/>
        <v>0</v>
      </c>
      <c r="CY66" s="64"/>
      <c r="CZ66" s="64"/>
      <c r="DA66" s="65"/>
      <c r="DB66" s="62">
        <f t="shared" si="675"/>
        <v>0</v>
      </c>
      <c r="DC66" s="62"/>
      <c r="DD66" s="62"/>
      <c r="DE66" s="62"/>
      <c r="DF66" s="62">
        <f t="shared" si="675"/>
        <v>0</v>
      </c>
      <c r="DG66" s="62"/>
      <c r="DH66" s="62"/>
      <c r="DI66" s="63"/>
      <c r="DJ66" s="64">
        <f t="shared" si="675"/>
        <v>0</v>
      </c>
      <c r="DK66" s="64"/>
      <c r="DL66" s="64"/>
      <c r="DM66" s="65"/>
      <c r="DN66" s="62">
        <f t="shared" ref="DN66:EP66" si="676">IFERROR($C66*DN65,"")</f>
        <v>0</v>
      </c>
      <c r="DO66" s="62"/>
      <c r="DP66" s="62"/>
      <c r="DQ66" s="62"/>
      <c r="DR66" s="62">
        <f t="shared" ca="1" si="676"/>
        <v>0</v>
      </c>
      <c r="DS66" s="62"/>
      <c r="DT66" s="62"/>
      <c r="DU66" s="63"/>
      <c r="DV66" s="64">
        <f t="shared" ca="1" si="676"/>
        <v>0</v>
      </c>
      <c r="DW66" s="64"/>
      <c r="DX66" s="64"/>
      <c r="DY66" s="65"/>
      <c r="DZ66" s="62">
        <f t="shared" ca="1" si="676"/>
        <v>0</v>
      </c>
      <c r="EA66" s="62"/>
      <c r="EB66" s="62"/>
      <c r="EC66" s="62"/>
      <c r="ED66" s="62">
        <f t="shared" ca="1" si="676"/>
        <v>0</v>
      </c>
      <c r="EE66" s="62"/>
      <c r="EF66" s="62"/>
      <c r="EG66" s="63"/>
      <c r="EH66" s="64">
        <f t="shared" ca="1" si="676"/>
        <v>0</v>
      </c>
      <c r="EI66" s="64"/>
      <c r="EJ66" s="64"/>
      <c r="EK66" s="65"/>
      <c r="EL66" s="62">
        <f t="shared" ca="1" si="676"/>
        <v>0</v>
      </c>
      <c r="EM66" s="62"/>
      <c r="EN66" s="62"/>
      <c r="EO66" s="62"/>
      <c r="EP66" s="62">
        <f t="shared" ca="1" si="676"/>
        <v>0</v>
      </c>
      <c r="EQ66" s="62"/>
      <c r="ER66" s="62"/>
      <c r="ES66" s="63"/>
    </row>
    <row r="67" spans="1:149" outlineLevel="1" x14ac:dyDescent="0.45">
      <c r="B67" s="78"/>
      <c r="C67" s="25">
        <v>760000</v>
      </c>
      <c r="D67" s="26" t="s">
        <v>3</v>
      </c>
      <c r="E67" s="27">
        <f>SUM(F67:CW67)</f>
        <v>7980000</v>
      </c>
      <c r="F67" s="66">
        <f>IFERROR($C67*F65,"")</f>
        <v>380000</v>
      </c>
      <c r="G67" s="60"/>
      <c r="H67" s="60"/>
      <c r="I67" s="60"/>
      <c r="J67" s="60">
        <f t="shared" ref="J67" si="677">IFERROR($C67*J65,"")</f>
        <v>380000</v>
      </c>
      <c r="K67" s="60"/>
      <c r="L67" s="60"/>
      <c r="M67" s="60"/>
      <c r="N67" s="61">
        <f t="shared" ref="N67" si="678">IFERROR($C67*N65,"")</f>
        <v>380000</v>
      </c>
      <c r="O67" s="58"/>
      <c r="P67" s="58"/>
      <c r="Q67" s="58"/>
      <c r="R67" s="58">
        <f t="shared" ref="R67" si="679">IFERROR($C67*R65,"")</f>
        <v>380000</v>
      </c>
      <c r="S67" s="58"/>
      <c r="T67" s="58"/>
      <c r="U67" s="59"/>
      <c r="V67" s="60">
        <f t="shared" ref="V67" si="680">IFERROR($C67*V65,"")</f>
        <v>380000</v>
      </c>
      <c r="W67" s="60"/>
      <c r="X67" s="60"/>
      <c r="Y67" s="60"/>
      <c r="Z67" s="60">
        <f t="shared" ref="Z67" si="681">IFERROR($C67*Z65,"")</f>
        <v>380000</v>
      </c>
      <c r="AA67" s="60"/>
      <c r="AB67" s="60"/>
      <c r="AC67" s="61"/>
      <c r="AD67" s="58">
        <f t="shared" ref="AD67" si="682">IFERROR($C67*AD65,"")</f>
        <v>380000</v>
      </c>
      <c r="AE67" s="58"/>
      <c r="AF67" s="58"/>
      <c r="AG67" s="59"/>
      <c r="AH67" s="60">
        <f t="shared" ref="AH67" si="683">IFERROR($C67*AH65,"")</f>
        <v>380000</v>
      </c>
      <c r="AI67" s="60"/>
      <c r="AJ67" s="60"/>
      <c r="AK67" s="60"/>
      <c r="AL67" s="60">
        <f t="shared" ref="AL67" si="684">IFERROR($C67*AL65,"")</f>
        <v>380000</v>
      </c>
      <c r="AM67" s="60"/>
      <c r="AN67" s="60"/>
      <c r="AO67" s="61"/>
      <c r="AP67" s="58">
        <f t="shared" ref="AP67" si="685">IFERROR($C67*AP65,"")</f>
        <v>380000</v>
      </c>
      <c r="AQ67" s="58"/>
      <c r="AR67" s="58"/>
      <c r="AS67" s="59"/>
      <c r="AT67" s="60">
        <f t="shared" ref="AT67" si="686">IFERROR($C67*AT65,"")</f>
        <v>380000</v>
      </c>
      <c r="AU67" s="60"/>
      <c r="AV67" s="60"/>
      <c r="AW67" s="60"/>
      <c r="AX67" s="60">
        <f t="shared" ref="AX67" si="687">IFERROR($C67*AX65,"")</f>
        <v>380000</v>
      </c>
      <c r="AY67" s="60"/>
      <c r="AZ67" s="60"/>
      <c r="BA67" s="61"/>
      <c r="BB67" s="58">
        <f t="shared" ref="BB67:CD67" si="688">IFERROR($C67*BB65,"")</f>
        <v>380000</v>
      </c>
      <c r="BC67" s="58"/>
      <c r="BD67" s="58"/>
      <c r="BE67" s="59"/>
      <c r="BF67" s="60">
        <f t="shared" si="688"/>
        <v>380000</v>
      </c>
      <c r="BG67" s="60"/>
      <c r="BH67" s="60"/>
      <c r="BI67" s="60"/>
      <c r="BJ67" s="60">
        <f t="shared" si="688"/>
        <v>380000</v>
      </c>
      <c r="BK67" s="60"/>
      <c r="BL67" s="60"/>
      <c r="BM67" s="61"/>
      <c r="BN67" s="58">
        <f t="shared" si="688"/>
        <v>380000</v>
      </c>
      <c r="BO67" s="58"/>
      <c r="BP67" s="58"/>
      <c r="BQ67" s="59"/>
      <c r="BR67" s="60">
        <f t="shared" si="688"/>
        <v>380000</v>
      </c>
      <c r="BS67" s="60"/>
      <c r="BT67" s="60"/>
      <c r="BU67" s="60"/>
      <c r="BV67" s="60">
        <f t="shared" si="688"/>
        <v>380000</v>
      </c>
      <c r="BW67" s="60"/>
      <c r="BX67" s="60"/>
      <c r="BY67" s="61"/>
      <c r="BZ67" s="58">
        <f t="shared" si="688"/>
        <v>380000</v>
      </c>
      <c r="CA67" s="58"/>
      <c r="CB67" s="58"/>
      <c r="CC67" s="59"/>
      <c r="CD67" s="60">
        <f t="shared" si="688"/>
        <v>380000</v>
      </c>
      <c r="CE67" s="60"/>
      <c r="CF67" s="60"/>
      <c r="CG67" s="60"/>
      <c r="CH67" s="60">
        <f t="shared" ref="CH67:DJ67" si="689">IFERROR($C67*CH65,"")</f>
        <v>380000</v>
      </c>
      <c r="CI67" s="60"/>
      <c r="CJ67" s="60"/>
      <c r="CK67" s="61"/>
      <c r="CL67" s="58">
        <f t="shared" si="689"/>
        <v>0</v>
      </c>
      <c r="CM67" s="58"/>
      <c r="CN67" s="58"/>
      <c r="CO67" s="59"/>
      <c r="CP67" s="60">
        <f t="shared" si="689"/>
        <v>0</v>
      </c>
      <c r="CQ67" s="60"/>
      <c r="CR67" s="60"/>
      <c r="CS67" s="60"/>
      <c r="CT67" s="60">
        <f t="shared" si="689"/>
        <v>0</v>
      </c>
      <c r="CU67" s="60"/>
      <c r="CV67" s="60"/>
      <c r="CW67" s="61"/>
      <c r="CX67" s="58">
        <f t="shared" si="689"/>
        <v>0</v>
      </c>
      <c r="CY67" s="58"/>
      <c r="CZ67" s="58"/>
      <c r="DA67" s="59"/>
      <c r="DB67" s="60">
        <f t="shared" si="689"/>
        <v>0</v>
      </c>
      <c r="DC67" s="60"/>
      <c r="DD67" s="60"/>
      <c r="DE67" s="60"/>
      <c r="DF67" s="60">
        <f t="shared" si="689"/>
        <v>0</v>
      </c>
      <c r="DG67" s="60"/>
      <c r="DH67" s="60"/>
      <c r="DI67" s="61"/>
      <c r="DJ67" s="58">
        <f t="shared" si="689"/>
        <v>0</v>
      </c>
      <c r="DK67" s="58"/>
      <c r="DL67" s="58"/>
      <c r="DM67" s="59"/>
      <c r="DN67" s="60">
        <f t="shared" ref="DN67:EP67" si="690">IFERROR($C67*DN65,"")</f>
        <v>0</v>
      </c>
      <c r="DO67" s="60"/>
      <c r="DP67" s="60"/>
      <c r="DQ67" s="60"/>
      <c r="DR67" s="60">
        <f t="shared" ca="1" si="690"/>
        <v>0</v>
      </c>
      <c r="DS67" s="60"/>
      <c r="DT67" s="60"/>
      <c r="DU67" s="61"/>
      <c r="DV67" s="58">
        <f t="shared" ca="1" si="690"/>
        <v>0</v>
      </c>
      <c r="DW67" s="58"/>
      <c r="DX67" s="58"/>
      <c r="DY67" s="59"/>
      <c r="DZ67" s="60">
        <f t="shared" ca="1" si="690"/>
        <v>0</v>
      </c>
      <c r="EA67" s="60"/>
      <c r="EB67" s="60"/>
      <c r="EC67" s="60"/>
      <c r="ED67" s="60">
        <f t="shared" ca="1" si="690"/>
        <v>0</v>
      </c>
      <c r="EE67" s="60"/>
      <c r="EF67" s="60"/>
      <c r="EG67" s="61"/>
      <c r="EH67" s="58">
        <f t="shared" ca="1" si="690"/>
        <v>0</v>
      </c>
      <c r="EI67" s="58"/>
      <c r="EJ67" s="58"/>
      <c r="EK67" s="59"/>
      <c r="EL67" s="60">
        <f t="shared" ca="1" si="690"/>
        <v>0</v>
      </c>
      <c r="EM67" s="60"/>
      <c r="EN67" s="60"/>
      <c r="EO67" s="60"/>
      <c r="EP67" s="60">
        <f t="shared" ca="1" si="690"/>
        <v>0</v>
      </c>
      <c r="EQ67" s="60"/>
      <c r="ER67" s="60"/>
      <c r="ES67" s="61"/>
    </row>
    <row r="68" spans="1:149" customFormat="1" outlineLevel="1" x14ac:dyDescent="0.45">
      <c r="A68" s="2"/>
      <c r="B68" s="72" t="s">
        <v>38</v>
      </c>
      <c r="C68" s="19"/>
      <c r="D68" s="20" t="s">
        <v>13</v>
      </c>
      <c r="E68" s="21">
        <f ca="1">SUM(F68:ES68)</f>
        <v>10.25</v>
      </c>
      <c r="F68" s="74">
        <v>0.5</v>
      </c>
      <c r="G68" s="67"/>
      <c r="H68" s="67"/>
      <c r="I68" s="67"/>
      <c r="J68" s="67">
        <v>0.5</v>
      </c>
      <c r="K68" s="67"/>
      <c r="L68" s="67"/>
      <c r="M68" s="67"/>
      <c r="N68" s="68">
        <v>0.5</v>
      </c>
      <c r="O68" s="70"/>
      <c r="P68" s="70"/>
      <c r="Q68" s="70"/>
      <c r="R68" s="70">
        <v>0.5</v>
      </c>
      <c r="S68" s="70"/>
      <c r="T68" s="70"/>
      <c r="U68" s="71"/>
      <c r="V68" s="67">
        <v>0.5</v>
      </c>
      <c r="W68" s="67"/>
      <c r="X68" s="67"/>
      <c r="Y68" s="67"/>
      <c r="Z68" s="67">
        <v>0.5</v>
      </c>
      <c r="AA68" s="67"/>
      <c r="AB68" s="67"/>
      <c r="AC68" s="68"/>
      <c r="AD68" s="70">
        <v>0.25</v>
      </c>
      <c r="AE68" s="70"/>
      <c r="AF68" s="70"/>
      <c r="AG68" s="71"/>
      <c r="AH68" s="67">
        <v>0.5</v>
      </c>
      <c r="AI68" s="67"/>
      <c r="AJ68" s="67"/>
      <c r="AK68" s="67"/>
      <c r="AL68" s="67">
        <v>0.5</v>
      </c>
      <c r="AM68" s="67"/>
      <c r="AN68" s="67"/>
      <c r="AO68" s="68"/>
      <c r="AP68" s="70">
        <v>0.5</v>
      </c>
      <c r="AQ68" s="70"/>
      <c r="AR68" s="70"/>
      <c r="AS68" s="71"/>
      <c r="AT68" s="67">
        <v>0.5</v>
      </c>
      <c r="AU68" s="67"/>
      <c r="AV68" s="67"/>
      <c r="AW68" s="68"/>
      <c r="AX68" s="67">
        <v>0.5</v>
      </c>
      <c r="AY68" s="67"/>
      <c r="AZ68" s="67"/>
      <c r="BA68" s="68"/>
      <c r="BB68" s="70">
        <v>0.5</v>
      </c>
      <c r="BC68" s="70"/>
      <c r="BD68" s="70"/>
      <c r="BE68" s="71"/>
      <c r="BF68" s="67">
        <v>0.5</v>
      </c>
      <c r="BG68" s="67"/>
      <c r="BH68" s="67"/>
      <c r="BI68" s="67"/>
      <c r="BJ68" s="67">
        <v>0.5</v>
      </c>
      <c r="BK68" s="67"/>
      <c r="BL68" s="67"/>
      <c r="BM68" s="68"/>
      <c r="BN68" s="70">
        <v>0.5</v>
      </c>
      <c r="BO68" s="70"/>
      <c r="BP68" s="70"/>
      <c r="BQ68" s="71"/>
      <c r="BR68" s="67">
        <v>0.5</v>
      </c>
      <c r="BS68" s="67"/>
      <c r="BT68" s="67"/>
      <c r="BU68" s="67"/>
      <c r="BV68" s="67">
        <v>0.5</v>
      </c>
      <c r="BW68" s="67"/>
      <c r="BX68" s="67"/>
      <c r="BY68" s="68"/>
      <c r="BZ68" s="70">
        <v>0.5</v>
      </c>
      <c r="CA68" s="70"/>
      <c r="CB68" s="70"/>
      <c r="CC68" s="71"/>
      <c r="CD68" s="67">
        <v>0.5</v>
      </c>
      <c r="CE68" s="67"/>
      <c r="CF68" s="67"/>
      <c r="CG68" s="67"/>
      <c r="CH68" s="67">
        <v>0.5</v>
      </c>
      <c r="CI68" s="67"/>
      <c r="CJ68" s="67"/>
      <c r="CK68" s="68"/>
      <c r="CL68" s="70"/>
      <c r="CM68" s="70"/>
      <c r="CN68" s="70"/>
      <c r="CO68" s="71"/>
      <c r="CP68" s="67"/>
      <c r="CQ68" s="67"/>
      <c r="CR68" s="67"/>
      <c r="CS68" s="67"/>
      <c r="CT68" s="67"/>
      <c r="CU68" s="67"/>
      <c r="CV68" s="67"/>
      <c r="CW68" s="68"/>
      <c r="CX68" s="70"/>
      <c r="CY68" s="70"/>
      <c r="CZ68" s="70"/>
      <c r="DA68" s="71"/>
      <c r="DB68" s="67"/>
      <c r="DC68" s="67"/>
      <c r="DD68" s="67"/>
      <c r="DE68" s="67"/>
      <c r="DF68" s="67"/>
      <c r="DG68" s="67"/>
      <c r="DH68" s="67"/>
      <c r="DI68" s="68"/>
      <c r="DJ68" s="70"/>
      <c r="DK68" s="70"/>
      <c r="DL68" s="70"/>
      <c r="DM68" s="71"/>
      <c r="DN68" s="67"/>
      <c r="DO68" s="67"/>
      <c r="DP68" s="67"/>
      <c r="DQ68" s="67"/>
      <c r="DR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DS68" s="67"/>
      <c r="DT68" s="67"/>
      <c r="DU68" s="68"/>
      <c r="DV68" s="70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DW68" s="70"/>
      <c r="DX68" s="70"/>
      <c r="DY68" s="71"/>
      <c r="DZ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A68" s="67"/>
      <c r="EB68" s="67"/>
      <c r="EC68" s="67"/>
      <c r="ED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E68" s="67"/>
      <c r="EF68" s="67"/>
      <c r="EG68" s="68"/>
      <c r="EH68" s="70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I68" s="70"/>
      <c r="EJ68" s="70"/>
      <c r="EK68" s="71"/>
      <c r="EL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M68" s="67"/>
      <c r="EN68" s="67"/>
      <c r="EO68" s="67"/>
      <c r="EP68" s="67">
        <f ca="1">IF(ISERROR(VLOOKUP(RIGHT(CELL("filename",$A$1),LEN(CELL("filename",$A$1))-FIND("]",CELL("filename",$A$1)))&amp;$B68,[2]要員計画!$L:$AJ,((COLUMN()-1)/4)+1,FALSE)),0,VLOOKUP(RIGHT(CELL("filename",$A$1),LEN(CELL("filename",$A$1))-FIND("]",CELL("filename",$A$1)))&amp;$B68,[2]要員計画!$L:$AJ,((COLUMN()-1)/4)+1,FALSE))</f>
        <v>0</v>
      </c>
      <c r="EQ68" s="67"/>
      <c r="ER68" s="67"/>
      <c r="ES68" s="68"/>
    </row>
    <row r="69" spans="1:149" customFormat="1" outlineLevel="1" x14ac:dyDescent="0.45">
      <c r="A69" s="2"/>
      <c r="B69" s="73"/>
      <c r="C69" s="22">
        <v>1050000</v>
      </c>
      <c r="D69" s="23" t="s">
        <v>23</v>
      </c>
      <c r="E69" s="24">
        <f>SUM(F69:CW69)</f>
        <v>10762500</v>
      </c>
      <c r="F69" s="69">
        <f>IFERROR($C69*F68,"")</f>
        <v>525000</v>
      </c>
      <c r="G69" s="62"/>
      <c r="H69" s="62"/>
      <c r="I69" s="62"/>
      <c r="J69" s="62">
        <f t="shared" ref="J69" si="691">IFERROR($C69*J68,"")</f>
        <v>525000</v>
      </c>
      <c r="K69" s="62"/>
      <c r="L69" s="62"/>
      <c r="M69" s="62"/>
      <c r="N69" s="63">
        <f t="shared" ref="N69" si="692">IFERROR($C69*N68,"")</f>
        <v>525000</v>
      </c>
      <c r="O69" s="64"/>
      <c r="P69" s="64"/>
      <c r="Q69" s="64"/>
      <c r="R69" s="64">
        <f t="shared" ref="R69" si="693">IFERROR($C69*R68,"")</f>
        <v>525000</v>
      </c>
      <c r="S69" s="64"/>
      <c r="T69" s="64"/>
      <c r="U69" s="65"/>
      <c r="V69" s="62">
        <f t="shared" ref="V69" si="694">IFERROR($C69*V68,"")</f>
        <v>525000</v>
      </c>
      <c r="W69" s="62"/>
      <c r="X69" s="62"/>
      <c r="Y69" s="62"/>
      <c r="Z69" s="62">
        <f t="shared" ref="Z69" si="695">IFERROR($C69*Z68,"")</f>
        <v>525000</v>
      </c>
      <c r="AA69" s="62"/>
      <c r="AB69" s="62"/>
      <c r="AC69" s="63"/>
      <c r="AD69" s="64">
        <f t="shared" ref="AD69" si="696">IFERROR($C69*AD68,"")</f>
        <v>262500</v>
      </c>
      <c r="AE69" s="64"/>
      <c r="AF69" s="64"/>
      <c r="AG69" s="65"/>
      <c r="AH69" s="62">
        <f t="shared" ref="AH69" si="697">IFERROR($C69*AH68,"")</f>
        <v>525000</v>
      </c>
      <c r="AI69" s="62"/>
      <c r="AJ69" s="62"/>
      <c r="AK69" s="62"/>
      <c r="AL69" s="62">
        <f t="shared" ref="AL69" si="698">IFERROR($C69*AL68,"")</f>
        <v>525000</v>
      </c>
      <c r="AM69" s="62"/>
      <c r="AN69" s="62"/>
      <c r="AO69" s="63"/>
      <c r="AP69" s="64">
        <f t="shared" ref="AP69" si="699">IFERROR($C69*AP68,"")</f>
        <v>525000</v>
      </c>
      <c r="AQ69" s="64"/>
      <c r="AR69" s="64"/>
      <c r="AS69" s="65"/>
      <c r="AT69" s="62">
        <f t="shared" ref="AT69" si="700">IFERROR($C69*AT68,"")</f>
        <v>525000</v>
      </c>
      <c r="AU69" s="62"/>
      <c r="AV69" s="62"/>
      <c r="AW69" s="62"/>
      <c r="AX69" s="62">
        <f t="shared" ref="AX69" si="701">IFERROR($C69*AX68,"")</f>
        <v>525000</v>
      </c>
      <c r="AY69" s="62"/>
      <c r="AZ69" s="62"/>
      <c r="BA69" s="63"/>
      <c r="BB69" s="64">
        <f t="shared" ref="BB69" si="702">IFERROR($C69*BB68,"")</f>
        <v>525000</v>
      </c>
      <c r="BC69" s="64"/>
      <c r="BD69" s="64"/>
      <c r="BE69" s="65"/>
      <c r="BF69" s="62">
        <f t="shared" ref="BF69" si="703">IFERROR($C69*BF68,"")</f>
        <v>525000</v>
      </c>
      <c r="BG69" s="62"/>
      <c r="BH69" s="62"/>
      <c r="BI69" s="62"/>
      <c r="BJ69" s="62">
        <f t="shared" ref="BJ69" si="704">IFERROR($C69*BJ68,"")</f>
        <v>525000</v>
      </c>
      <c r="BK69" s="62"/>
      <c r="BL69" s="62"/>
      <c r="BM69" s="63"/>
      <c r="BN69" s="64">
        <f t="shared" ref="BN69" si="705">IFERROR($C69*BN68,"")</f>
        <v>525000</v>
      </c>
      <c r="BO69" s="64"/>
      <c r="BP69" s="64"/>
      <c r="BQ69" s="65"/>
      <c r="BR69" s="62">
        <f t="shared" ref="BR69" si="706">IFERROR($C69*BR68,"")</f>
        <v>525000</v>
      </c>
      <c r="BS69" s="62"/>
      <c r="BT69" s="62"/>
      <c r="BU69" s="62"/>
      <c r="BV69" s="62">
        <f t="shared" ref="BV69" si="707">IFERROR($C69*BV68,"")</f>
        <v>525000</v>
      </c>
      <c r="BW69" s="62"/>
      <c r="BX69" s="62"/>
      <c r="BY69" s="63"/>
      <c r="BZ69" s="64">
        <f t="shared" ref="BZ69" si="708">IFERROR($C69*BZ68,"")</f>
        <v>525000</v>
      </c>
      <c r="CA69" s="64"/>
      <c r="CB69" s="64"/>
      <c r="CC69" s="65"/>
      <c r="CD69" s="62">
        <f t="shared" ref="CD69" si="709">IFERROR($C69*CD68,"")</f>
        <v>525000</v>
      </c>
      <c r="CE69" s="62"/>
      <c r="CF69" s="62"/>
      <c r="CG69" s="62"/>
      <c r="CH69" s="62">
        <f t="shared" ref="CH69" si="710">IFERROR($C69*CH68,"")</f>
        <v>525000</v>
      </c>
      <c r="CI69" s="62"/>
      <c r="CJ69" s="62"/>
      <c r="CK69" s="63"/>
      <c r="CL69" s="64">
        <f t="shared" ref="CL69" si="711">IFERROR($C69*CL68,"")</f>
        <v>0</v>
      </c>
      <c r="CM69" s="64"/>
      <c r="CN69" s="64"/>
      <c r="CO69" s="65"/>
      <c r="CP69" s="62">
        <f t="shared" ref="CP69" si="712">IFERROR($C69*CP68,"")</f>
        <v>0</v>
      </c>
      <c r="CQ69" s="62"/>
      <c r="CR69" s="62"/>
      <c r="CS69" s="62"/>
      <c r="CT69" s="62">
        <f t="shared" ref="CT69" si="713">IFERROR($C69*CT68,"")</f>
        <v>0</v>
      </c>
      <c r="CU69" s="62"/>
      <c r="CV69" s="62"/>
      <c r="CW69" s="63"/>
      <c r="CX69" s="64">
        <f t="shared" ref="CX69" si="714">IFERROR($C69*CX68,"")</f>
        <v>0</v>
      </c>
      <c r="CY69" s="64"/>
      <c r="CZ69" s="64"/>
      <c r="DA69" s="65"/>
      <c r="DB69" s="62">
        <f t="shared" ref="DB69" si="715">IFERROR($C69*DB68,"")</f>
        <v>0</v>
      </c>
      <c r="DC69" s="62"/>
      <c r="DD69" s="62"/>
      <c r="DE69" s="62"/>
      <c r="DF69" s="62">
        <f t="shared" ref="DF69" si="716">IFERROR($C69*DF68,"")</f>
        <v>0</v>
      </c>
      <c r="DG69" s="62"/>
      <c r="DH69" s="62"/>
      <c r="DI69" s="63"/>
      <c r="DJ69" s="64">
        <f t="shared" ref="DJ69" si="717">IFERROR($C69*DJ68,"")</f>
        <v>0</v>
      </c>
      <c r="DK69" s="64"/>
      <c r="DL69" s="64"/>
      <c r="DM69" s="65"/>
      <c r="DN69" s="62">
        <f t="shared" ref="DN69" si="718">IFERROR($C69*DN68,"")</f>
        <v>0</v>
      </c>
      <c r="DO69" s="62"/>
      <c r="DP69" s="62"/>
      <c r="DQ69" s="62"/>
      <c r="DR69" s="62">
        <f t="shared" ref="DR69" ca="1" si="719">IFERROR($C69*DR68,"")</f>
        <v>0</v>
      </c>
      <c r="DS69" s="62"/>
      <c r="DT69" s="62"/>
      <c r="DU69" s="63"/>
      <c r="DV69" s="64">
        <f t="shared" ref="DV69" ca="1" si="720">IFERROR($C69*DV68,"")</f>
        <v>0</v>
      </c>
      <c r="DW69" s="64"/>
      <c r="DX69" s="64"/>
      <c r="DY69" s="65"/>
      <c r="DZ69" s="62">
        <f t="shared" ref="DZ69" ca="1" si="721">IFERROR($C69*DZ68,"")</f>
        <v>0</v>
      </c>
      <c r="EA69" s="62"/>
      <c r="EB69" s="62"/>
      <c r="EC69" s="62"/>
      <c r="ED69" s="62">
        <f t="shared" ref="ED69" ca="1" si="722">IFERROR($C69*ED68,"")</f>
        <v>0</v>
      </c>
      <c r="EE69" s="62"/>
      <c r="EF69" s="62"/>
      <c r="EG69" s="63"/>
      <c r="EH69" s="64">
        <f t="shared" ref="EH69" ca="1" si="723">IFERROR($C69*EH68,"")</f>
        <v>0</v>
      </c>
      <c r="EI69" s="64"/>
      <c r="EJ69" s="64"/>
      <c r="EK69" s="65"/>
      <c r="EL69" s="62">
        <f t="shared" ref="EL69" ca="1" si="724">IFERROR($C69*EL68,"")</f>
        <v>0</v>
      </c>
      <c r="EM69" s="62"/>
      <c r="EN69" s="62"/>
      <c r="EO69" s="62"/>
      <c r="EP69" s="62">
        <f t="shared" ref="EP69" ca="1" si="725">IFERROR($C69*EP68,"")</f>
        <v>0</v>
      </c>
      <c r="EQ69" s="62"/>
      <c r="ER69" s="62"/>
      <c r="ES69" s="63"/>
    </row>
    <row r="70" spans="1:149" customFormat="1" outlineLevel="1" x14ac:dyDescent="0.45">
      <c r="A70" s="2"/>
      <c r="B70" s="78"/>
      <c r="C70" s="25">
        <v>500000</v>
      </c>
      <c r="D70" s="26" t="s">
        <v>3</v>
      </c>
      <c r="E70" s="27">
        <f>SUM(F70:CW70)</f>
        <v>5125000</v>
      </c>
      <c r="F70" s="66">
        <f>IFERROR($C70*F68,"")</f>
        <v>250000</v>
      </c>
      <c r="G70" s="60"/>
      <c r="H70" s="60"/>
      <c r="I70" s="60"/>
      <c r="J70" s="60">
        <f t="shared" ref="J70" si="726">IFERROR($C70*J68,"")</f>
        <v>250000</v>
      </c>
      <c r="K70" s="60"/>
      <c r="L70" s="60"/>
      <c r="M70" s="60"/>
      <c r="N70" s="61">
        <f t="shared" ref="N70" si="727">IFERROR($C70*N68,"")</f>
        <v>250000</v>
      </c>
      <c r="O70" s="58"/>
      <c r="P70" s="58"/>
      <c r="Q70" s="58"/>
      <c r="R70" s="58">
        <f t="shared" ref="R70" si="728">IFERROR($C70*R68,"")</f>
        <v>250000</v>
      </c>
      <c r="S70" s="58"/>
      <c r="T70" s="58"/>
      <c r="U70" s="59"/>
      <c r="V70" s="60">
        <f t="shared" ref="V70" si="729">IFERROR($C70*V68,"")</f>
        <v>250000</v>
      </c>
      <c r="W70" s="60"/>
      <c r="X70" s="60"/>
      <c r="Y70" s="60"/>
      <c r="Z70" s="60">
        <f t="shared" ref="Z70" si="730">IFERROR($C70*Z68,"")</f>
        <v>250000</v>
      </c>
      <c r="AA70" s="60"/>
      <c r="AB70" s="60"/>
      <c r="AC70" s="61"/>
      <c r="AD70" s="58">
        <f t="shared" ref="AD70" si="731">IFERROR($C70*AD68,"")</f>
        <v>125000</v>
      </c>
      <c r="AE70" s="58"/>
      <c r="AF70" s="58"/>
      <c r="AG70" s="59"/>
      <c r="AH70" s="60">
        <f t="shared" ref="AH70" si="732">IFERROR($C70*AH68,"")</f>
        <v>250000</v>
      </c>
      <c r="AI70" s="60"/>
      <c r="AJ70" s="60"/>
      <c r="AK70" s="60"/>
      <c r="AL70" s="60">
        <f t="shared" ref="AL70" si="733">IFERROR($C70*AL68,"")</f>
        <v>250000</v>
      </c>
      <c r="AM70" s="60"/>
      <c r="AN70" s="60"/>
      <c r="AO70" s="61"/>
      <c r="AP70" s="58">
        <f t="shared" ref="AP70" si="734">IFERROR($C70*AP68,"")</f>
        <v>250000</v>
      </c>
      <c r="AQ70" s="58"/>
      <c r="AR70" s="58"/>
      <c r="AS70" s="59"/>
      <c r="AT70" s="60">
        <f t="shared" ref="AT70" si="735">IFERROR($C70*AT68,"")</f>
        <v>250000</v>
      </c>
      <c r="AU70" s="60"/>
      <c r="AV70" s="60"/>
      <c r="AW70" s="60"/>
      <c r="AX70" s="60">
        <f t="shared" ref="AX70" si="736">IFERROR($C70*AX68,"")</f>
        <v>250000</v>
      </c>
      <c r="AY70" s="60"/>
      <c r="AZ70" s="60"/>
      <c r="BA70" s="61"/>
      <c r="BB70" s="58">
        <f t="shared" ref="BB70:CD70" si="737">IFERROR($C70*BB68,"")</f>
        <v>250000</v>
      </c>
      <c r="BC70" s="58"/>
      <c r="BD70" s="58"/>
      <c r="BE70" s="59"/>
      <c r="BF70" s="60">
        <f t="shared" si="737"/>
        <v>250000</v>
      </c>
      <c r="BG70" s="60"/>
      <c r="BH70" s="60"/>
      <c r="BI70" s="60"/>
      <c r="BJ70" s="60">
        <f t="shared" si="737"/>
        <v>250000</v>
      </c>
      <c r="BK70" s="60"/>
      <c r="BL70" s="60"/>
      <c r="BM70" s="61"/>
      <c r="BN70" s="58">
        <f t="shared" si="737"/>
        <v>250000</v>
      </c>
      <c r="BO70" s="58"/>
      <c r="BP70" s="58"/>
      <c r="BQ70" s="59"/>
      <c r="BR70" s="60">
        <f t="shared" si="737"/>
        <v>250000</v>
      </c>
      <c r="BS70" s="60"/>
      <c r="BT70" s="60"/>
      <c r="BU70" s="60"/>
      <c r="BV70" s="60">
        <f t="shared" si="737"/>
        <v>250000</v>
      </c>
      <c r="BW70" s="60"/>
      <c r="BX70" s="60"/>
      <c r="BY70" s="61"/>
      <c r="BZ70" s="58">
        <f t="shared" si="737"/>
        <v>250000</v>
      </c>
      <c r="CA70" s="58"/>
      <c r="CB70" s="58"/>
      <c r="CC70" s="59"/>
      <c r="CD70" s="60">
        <f t="shared" si="737"/>
        <v>250000</v>
      </c>
      <c r="CE70" s="60"/>
      <c r="CF70" s="60"/>
      <c r="CG70" s="60"/>
      <c r="CH70" s="60">
        <f t="shared" ref="CH70:DJ70" si="738">IFERROR($C70*CH68,"")</f>
        <v>250000</v>
      </c>
      <c r="CI70" s="60"/>
      <c r="CJ70" s="60"/>
      <c r="CK70" s="61"/>
      <c r="CL70" s="58">
        <f t="shared" si="738"/>
        <v>0</v>
      </c>
      <c r="CM70" s="58"/>
      <c r="CN70" s="58"/>
      <c r="CO70" s="59"/>
      <c r="CP70" s="60">
        <f t="shared" si="738"/>
        <v>0</v>
      </c>
      <c r="CQ70" s="60"/>
      <c r="CR70" s="60"/>
      <c r="CS70" s="60"/>
      <c r="CT70" s="60">
        <f t="shared" si="738"/>
        <v>0</v>
      </c>
      <c r="CU70" s="60"/>
      <c r="CV70" s="60"/>
      <c r="CW70" s="61"/>
      <c r="CX70" s="58">
        <f t="shared" si="738"/>
        <v>0</v>
      </c>
      <c r="CY70" s="58"/>
      <c r="CZ70" s="58"/>
      <c r="DA70" s="59"/>
      <c r="DB70" s="60">
        <f t="shared" si="738"/>
        <v>0</v>
      </c>
      <c r="DC70" s="60"/>
      <c r="DD70" s="60"/>
      <c r="DE70" s="60"/>
      <c r="DF70" s="60">
        <f t="shared" si="738"/>
        <v>0</v>
      </c>
      <c r="DG70" s="60"/>
      <c r="DH70" s="60"/>
      <c r="DI70" s="61"/>
      <c r="DJ70" s="58">
        <f t="shared" si="738"/>
        <v>0</v>
      </c>
      <c r="DK70" s="58"/>
      <c r="DL70" s="58"/>
      <c r="DM70" s="59"/>
      <c r="DN70" s="60">
        <f t="shared" ref="DN70:EP70" si="739">IFERROR($C70*DN68,"")</f>
        <v>0</v>
      </c>
      <c r="DO70" s="60"/>
      <c r="DP70" s="60"/>
      <c r="DQ70" s="60"/>
      <c r="DR70" s="60">
        <f t="shared" ca="1" si="739"/>
        <v>0</v>
      </c>
      <c r="DS70" s="60"/>
      <c r="DT70" s="60"/>
      <c r="DU70" s="61"/>
      <c r="DV70" s="58">
        <f t="shared" ca="1" si="739"/>
        <v>0</v>
      </c>
      <c r="DW70" s="58"/>
      <c r="DX70" s="58"/>
      <c r="DY70" s="59"/>
      <c r="DZ70" s="60">
        <f t="shared" ca="1" si="739"/>
        <v>0</v>
      </c>
      <c r="EA70" s="60"/>
      <c r="EB70" s="60"/>
      <c r="EC70" s="60"/>
      <c r="ED70" s="60">
        <f t="shared" ca="1" si="739"/>
        <v>0</v>
      </c>
      <c r="EE70" s="60"/>
      <c r="EF70" s="60"/>
      <c r="EG70" s="61"/>
      <c r="EH70" s="58">
        <f t="shared" ca="1" si="739"/>
        <v>0</v>
      </c>
      <c r="EI70" s="58"/>
      <c r="EJ70" s="58"/>
      <c r="EK70" s="59"/>
      <c r="EL70" s="60">
        <f t="shared" ca="1" si="739"/>
        <v>0</v>
      </c>
      <c r="EM70" s="60"/>
      <c r="EN70" s="60"/>
      <c r="EO70" s="60"/>
      <c r="EP70" s="60">
        <f t="shared" ca="1" si="739"/>
        <v>0</v>
      </c>
      <c r="EQ70" s="60"/>
      <c r="ER70" s="60"/>
      <c r="ES70" s="61"/>
    </row>
    <row r="71" spans="1:149" customFormat="1" outlineLevel="1" x14ac:dyDescent="0.45">
      <c r="A71" s="2"/>
      <c r="B71" s="72" t="s">
        <v>44</v>
      </c>
      <c r="C71" s="19"/>
      <c r="D71" s="20" t="s">
        <v>13</v>
      </c>
      <c r="E71" s="21">
        <f ca="1">SUM(F71:ES71)</f>
        <v>18.5</v>
      </c>
      <c r="F71" s="74"/>
      <c r="G71" s="67"/>
      <c r="H71" s="67"/>
      <c r="I71" s="67"/>
      <c r="J71" s="67"/>
      <c r="K71" s="67"/>
      <c r="L71" s="67"/>
      <c r="M71" s="67"/>
      <c r="N71" s="68">
        <v>1</v>
      </c>
      <c r="O71" s="70"/>
      <c r="P71" s="70"/>
      <c r="Q71" s="70"/>
      <c r="R71" s="70">
        <v>1</v>
      </c>
      <c r="S71" s="70"/>
      <c r="T71" s="70"/>
      <c r="U71" s="71"/>
      <c r="V71" s="67">
        <v>1</v>
      </c>
      <c r="W71" s="67"/>
      <c r="X71" s="67"/>
      <c r="Y71" s="67"/>
      <c r="Z71" s="67">
        <v>1</v>
      </c>
      <c r="AA71" s="67"/>
      <c r="AB71" s="67"/>
      <c r="AC71" s="68"/>
      <c r="AD71" s="70">
        <v>1</v>
      </c>
      <c r="AE71" s="70"/>
      <c r="AF71" s="70"/>
      <c r="AG71" s="71"/>
      <c r="AH71" s="67">
        <v>1</v>
      </c>
      <c r="AI71" s="67"/>
      <c r="AJ71" s="67"/>
      <c r="AK71" s="67"/>
      <c r="AL71" s="67">
        <v>1</v>
      </c>
      <c r="AM71" s="67"/>
      <c r="AN71" s="67"/>
      <c r="AO71" s="68"/>
      <c r="AP71" s="70">
        <v>1</v>
      </c>
      <c r="AQ71" s="70"/>
      <c r="AR71" s="70"/>
      <c r="AS71" s="71"/>
      <c r="AT71" s="67">
        <v>1</v>
      </c>
      <c r="AU71" s="67"/>
      <c r="AV71" s="67"/>
      <c r="AW71" s="67"/>
      <c r="AX71" s="67">
        <v>1</v>
      </c>
      <c r="AY71" s="67"/>
      <c r="AZ71" s="67"/>
      <c r="BA71" s="68"/>
      <c r="BB71" s="70">
        <v>1</v>
      </c>
      <c r="BC71" s="70"/>
      <c r="BD71" s="70"/>
      <c r="BE71" s="71"/>
      <c r="BF71" s="67">
        <v>1</v>
      </c>
      <c r="BG71" s="67"/>
      <c r="BH71" s="67"/>
      <c r="BI71" s="67"/>
      <c r="BJ71" s="67">
        <v>1</v>
      </c>
      <c r="BK71" s="67"/>
      <c r="BL71" s="67"/>
      <c r="BM71" s="68"/>
      <c r="BN71" s="70">
        <v>1</v>
      </c>
      <c r="BO71" s="70"/>
      <c r="BP71" s="70"/>
      <c r="BQ71" s="71"/>
      <c r="BR71" s="67">
        <v>1</v>
      </c>
      <c r="BS71" s="67"/>
      <c r="BT71" s="67"/>
      <c r="BU71" s="67"/>
      <c r="BV71" s="67">
        <v>1</v>
      </c>
      <c r="BW71" s="67"/>
      <c r="BX71" s="67"/>
      <c r="BY71" s="68"/>
      <c r="BZ71" s="70">
        <v>1</v>
      </c>
      <c r="CA71" s="70"/>
      <c r="CB71" s="70"/>
      <c r="CC71" s="71"/>
      <c r="CD71" s="67">
        <v>1</v>
      </c>
      <c r="CE71" s="67"/>
      <c r="CF71" s="67"/>
      <c r="CG71" s="67"/>
      <c r="CH71" s="67">
        <v>0.5</v>
      </c>
      <c r="CI71" s="67"/>
      <c r="CJ71" s="67"/>
      <c r="CK71" s="68"/>
      <c r="CL71" s="70"/>
      <c r="CM71" s="70"/>
      <c r="CN71" s="70"/>
      <c r="CO71" s="71"/>
      <c r="CP71" s="67"/>
      <c r="CQ71" s="67"/>
      <c r="CR71" s="67"/>
      <c r="CS71" s="67"/>
      <c r="CT71" s="67"/>
      <c r="CU71" s="67"/>
      <c r="CV71" s="67"/>
      <c r="CW71" s="68"/>
      <c r="CX71" s="70"/>
      <c r="CY71" s="70"/>
      <c r="CZ71" s="70"/>
      <c r="DA71" s="71"/>
      <c r="DB71" s="67"/>
      <c r="DC71" s="67"/>
      <c r="DD71" s="67"/>
      <c r="DE71" s="67"/>
      <c r="DF71" s="67"/>
      <c r="DG71" s="67"/>
      <c r="DH71" s="67"/>
      <c r="DI71" s="68"/>
      <c r="DJ71" s="70"/>
      <c r="DK71" s="70"/>
      <c r="DL71" s="70"/>
      <c r="DM71" s="71"/>
      <c r="DN71" s="67"/>
      <c r="DO71" s="67"/>
      <c r="DP71" s="67"/>
      <c r="DQ71" s="67"/>
      <c r="DR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DS71" s="67"/>
      <c r="DT71" s="67"/>
      <c r="DU71" s="68"/>
      <c r="DV71" s="70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DW71" s="70"/>
      <c r="DX71" s="70"/>
      <c r="DY71" s="71"/>
      <c r="DZ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A71" s="67"/>
      <c r="EB71" s="67"/>
      <c r="EC71" s="67"/>
      <c r="ED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E71" s="67"/>
      <c r="EF71" s="67"/>
      <c r="EG71" s="68"/>
      <c r="EH71" s="70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I71" s="70"/>
      <c r="EJ71" s="70"/>
      <c r="EK71" s="71"/>
      <c r="EL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M71" s="67"/>
      <c r="EN71" s="67"/>
      <c r="EO71" s="67"/>
      <c r="EP71" s="67">
        <f ca="1">IF(ISERROR(VLOOKUP(RIGHT(CELL("filename",$A$1),LEN(CELL("filename",$A$1))-FIND("]",CELL("filename",$A$1)))&amp;$B71,[2]要員計画!$L:$AJ,((COLUMN()-1)/4)+1,FALSE)),0,VLOOKUP(RIGHT(CELL("filename",$A$1),LEN(CELL("filename",$A$1))-FIND("]",CELL("filename",$A$1)))&amp;$B71,[2]要員計画!$L:$AJ,((COLUMN()-1)/4)+1,FALSE))</f>
        <v>0</v>
      </c>
      <c r="EQ71" s="67"/>
      <c r="ER71" s="67"/>
      <c r="ES71" s="68"/>
    </row>
    <row r="72" spans="1:149" customFormat="1" outlineLevel="1" x14ac:dyDescent="0.45">
      <c r="A72" s="2"/>
      <c r="B72" s="73"/>
      <c r="C72" s="22">
        <v>1050000</v>
      </c>
      <c r="D72" s="23" t="s">
        <v>23</v>
      </c>
      <c r="E72" s="24">
        <f>SUM(F72:CW72)</f>
        <v>19425000</v>
      </c>
      <c r="F72" s="69">
        <f>IFERROR($C72*F71,"")</f>
        <v>0</v>
      </c>
      <c r="G72" s="62"/>
      <c r="H72" s="62"/>
      <c r="I72" s="62"/>
      <c r="J72" s="62">
        <f t="shared" ref="J72" si="740">IFERROR($C72*J71,"")</f>
        <v>0</v>
      </c>
      <c r="K72" s="62"/>
      <c r="L72" s="62"/>
      <c r="M72" s="62"/>
      <c r="N72" s="63">
        <f t="shared" ref="N72" si="741">IFERROR($C72*N71,"")</f>
        <v>1050000</v>
      </c>
      <c r="O72" s="64"/>
      <c r="P72" s="64"/>
      <c r="Q72" s="64"/>
      <c r="R72" s="64">
        <f t="shared" ref="R72" si="742">IFERROR($C72*R71,"")</f>
        <v>1050000</v>
      </c>
      <c r="S72" s="64"/>
      <c r="T72" s="64"/>
      <c r="U72" s="65"/>
      <c r="V72" s="62">
        <f t="shared" ref="V72" si="743">IFERROR($C72*V71,"")</f>
        <v>1050000</v>
      </c>
      <c r="W72" s="62"/>
      <c r="X72" s="62"/>
      <c r="Y72" s="62"/>
      <c r="Z72" s="62">
        <f t="shared" ref="Z72" si="744">IFERROR($C72*Z71,"")</f>
        <v>1050000</v>
      </c>
      <c r="AA72" s="62"/>
      <c r="AB72" s="62"/>
      <c r="AC72" s="63"/>
      <c r="AD72" s="64">
        <f t="shared" ref="AD72" si="745">IFERROR($C72*AD71,"")</f>
        <v>1050000</v>
      </c>
      <c r="AE72" s="64"/>
      <c r="AF72" s="64"/>
      <c r="AG72" s="65"/>
      <c r="AH72" s="62">
        <f t="shared" ref="AH72" si="746">IFERROR($C72*AH71,"")</f>
        <v>1050000</v>
      </c>
      <c r="AI72" s="62"/>
      <c r="AJ72" s="62"/>
      <c r="AK72" s="62"/>
      <c r="AL72" s="62">
        <f t="shared" ref="AL72" si="747">IFERROR($C72*AL71,"")</f>
        <v>1050000</v>
      </c>
      <c r="AM72" s="62"/>
      <c r="AN72" s="62"/>
      <c r="AO72" s="63"/>
      <c r="AP72" s="64">
        <f t="shared" ref="AP72" si="748">IFERROR($C72*AP71,"")</f>
        <v>1050000</v>
      </c>
      <c r="AQ72" s="64"/>
      <c r="AR72" s="64"/>
      <c r="AS72" s="65"/>
      <c r="AT72" s="62">
        <f t="shared" ref="AT72" si="749">IFERROR($C72*AT71,"")</f>
        <v>1050000</v>
      </c>
      <c r="AU72" s="62"/>
      <c r="AV72" s="62"/>
      <c r="AW72" s="62"/>
      <c r="AX72" s="62">
        <f t="shared" ref="AX72" si="750">IFERROR($C72*AX71,"")</f>
        <v>1050000</v>
      </c>
      <c r="AY72" s="62"/>
      <c r="AZ72" s="62"/>
      <c r="BA72" s="63"/>
      <c r="BB72" s="64">
        <f t="shared" ref="BB72" si="751">IFERROR($C72*BB71,"")</f>
        <v>1050000</v>
      </c>
      <c r="BC72" s="64"/>
      <c r="BD72" s="64"/>
      <c r="BE72" s="65"/>
      <c r="BF72" s="62">
        <f t="shared" ref="BF72" si="752">IFERROR($C72*BF71,"")</f>
        <v>1050000</v>
      </c>
      <c r="BG72" s="62"/>
      <c r="BH72" s="62"/>
      <c r="BI72" s="62"/>
      <c r="BJ72" s="62">
        <f t="shared" ref="BJ72" si="753">IFERROR($C72*BJ71,"")</f>
        <v>1050000</v>
      </c>
      <c r="BK72" s="62"/>
      <c r="BL72" s="62"/>
      <c r="BM72" s="63"/>
      <c r="BN72" s="64">
        <f t="shared" ref="BN72" si="754">IFERROR($C72*BN71,"")</f>
        <v>1050000</v>
      </c>
      <c r="BO72" s="64"/>
      <c r="BP72" s="64"/>
      <c r="BQ72" s="65"/>
      <c r="BR72" s="62">
        <f t="shared" ref="BR72" si="755">IFERROR($C72*BR71,"")</f>
        <v>1050000</v>
      </c>
      <c r="BS72" s="62"/>
      <c r="BT72" s="62"/>
      <c r="BU72" s="62"/>
      <c r="BV72" s="62">
        <f t="shared" ref="BV72" si="756">IFERROR($C72*BV71,"")</f>
        <v>1050000</v>
      </c>
      <c r="BW72" s="62"/>
      <c r="BX72" s="62"/>
      <c r="BY72" s="63"/>
      <c r="BZ72" s="64">
        <f t="shared" ref="BZ72" si="757">IFERROR($C72*BZ71,"")</f>
        <v>1050000</v>
      </c>
      <c r="CA72" s="64"/>
      <c r="CB72" s="64"/>
      <c r="CC72" s="65"/>
      <c r="CD72" s="62">
        <f t="shared" ref="CD72" si="758">IFERROR($C72*CD71,"")</f>
        <v>1050000</v>
      </c>
      <c r="CE72" s="62"/>
      <c r="CF72" s="62"/>
      <c r="CG72" s="62"/>
      <c r="CH72" s="62">
        <f t="shared" ref="CH72" si="759">IFERROR($C72*CH71,"")</f>
        <v>525000</v>
      </c>
      <c r="CI72" s="62"/>
      <c r="CJ72" s="62"/>
      <c r="CK72" s="63"/>
      <c r="CL72" s="64">
        <f t="shared" ref="CL72" si="760">IFERROR($C72*CL71,"")</f>
        <v>0</v>
      </c>
      <c r="CM72" s="64"/>
      <c r="CN72" s="64"/>
      <c r="CO72" s="65"/>
      <c r="CP72" s="62">
        <f t="shared" ref="CP72" si="761">IFERROR($C72*CP71,"")</f>
        <v>0</v>
      </c>
      <c r="CQ72" s="62"/>
      <c r="CR72" s="62"/>
      <c r="CS72" s="62"/>
      <c r="CT72" s="62">
        <f t="shared" ref="CT72" si="762">IFERROR($C72*CT71,"")</f>
        <v>0</v>
      </c>
      <c r="CU72" s="62"/>
      <c r="CV72" s="62"/>
      <c r="CW72" s="63"/>
      <c r="CX72" s="64">
        <f t="shared" ref="CX72" si="763">IFERROR($C72*CX71,"")</f>
        <v>0</v>
      </c>
      <c r="CY72" s="64"/>
      <c r="CZ72" s="64"/>
      <c r="DA72" s="65"/>
      <c r="DB72" s="62">
        <f t="shared" ref="DB72" si="764">IFERROR($C72*DB71,"")</f>
        <v>0</v>
      </c>
      <c r="DC72" s="62"/>
      <c r="DD72" s="62"/>
      <c r="DE72" s="62"/>
      <c r="DF72" s="62">
        <f t="shared" ref="DF72" si="765">IFERROR($C72*DF71,"")</f>
        <v>0</v>
      </c>
      <c r="DG72" s="62"/>
      <c r="DH72" s="62"/>
      <c r="DI72" s="63"/>
      <c r="DJ72" s="64">
        <f t="shared" ref="DJ72" si="766">IFERROR($C72*DJ71,"")</f>
        <v>0</v>
      </c>
      <c r="DK72" s="64"/>
      <c r="DL72" s="64"/>
      <c r="DM72" s="65"/>
      <c r="DN72" s="62">
        <f t="shared" ref="DN72" si="767">IFERROR($C72*DN71,"")</f>
        <v>0</v>
      </c>
      <c r="DO72" s="62"/>
      <c r="DP72" s="62"/>
      <c r="DQ72" s="62"/>
      <c r="DR72" s="62">
        <f t="shared" ref="DR72" ca="1" si="768">IFERROR($C72*DR71,"")</f>
        <v>0</v>
      </c>
      <c r="DS72" s="62"/>
      <c r="DT72" s="62"/>
      <c r="DU72" s="63"/>
      <c r="DV72" s="64">
        <f t="shared" ref="DV72" ca="1" si="769">IFERROR($C72*DV71,"")</f>
        <v>0</v>
      </c>
      <c r="DW72" s="64"/>
      <c r="DX72" s="64"/>
      <c r="DY72" s="65"/>
      <c r="DZ72" s="62">
        <f t="shared" ref="DZ72" ca="1" si="770">IFERROR($C72*DZ71,"")</f>
        <v>0</v>
      </c>
      <c r="EA72" s="62"/>
      <c r="EB72" s="62"/>
      <c r="EC72" s="62"/>
      <c r="ED72" s="62">
        <f t="shared" ref="ED72" ca="1" si="771">IFERROR($C72*ED71,"")</f>
        <v>0</v>
      </c>
      <c r="EE72" s="62"/>
      <c r="EF72" s="62"/>
      <c r="EG72" s="63"/>
      <c r="EH72" s="64">
        <f t="shared" ref="EH72" ca="1" si="772">IFERROR($C72*EH71,"")</f>
        <v>0</v>
      </c>
      <c r="EI72" s="64"/>
      <c r="EJ72" s="64"/>
      <c r="EK72" s="65"/>
      <c r="EL72" s="62">
        <f t="shared" ref="EL72" ca="1" si="773">IFERROR($C72*EL71,"")</f>
        <v>0</v>
      </c>
      <c r="EM72" s="62"/>
      <c r="EN72" s="62"/>
      <c r="EO72" s="62"/>
      <c r="EP72" s="62">
        <f t="shared" ref="EP72" ca="1" si="774">IFERROR($C72*EP71,"")</f>
        <v>0</v>
      </c>
      <c r="EQ72" s="62"/>
      <c r="ER72" s="62"/>
      <c r="ES72" s="63"/>
    </row>
    <row r="73" spans="1:149" customFormat="1" outlineLevel="1" x14ac:dyDescent="0.45">
      <c r="A73" s="2"/>
      <c r="B73" s="78"/>
      <c r="C73" s="25">
        <v>800000</v>
      </c>
      <c r="D73" s="26" t="s">
        <v>3</v>
      </c>
      <c r="E73" s="27">
        <f>SUM(F73:CW73)</f>
        <v>14800000</v>
      </c>
      <c r="F73" s="66">
        <f>IFERROR($C73*F71,"")</f>
        <v>0</v>
      </c>
      <c r="G73" s="60"/>
      <c r="H73" s="60"/>
      <c r="I73" s="60"/>
      <c r="J73" s="60">
        <f t="shared" ref="J73" si="775">IFERROR($C73*J71,"")</f>
        <v>0</v>
      </c>
      <c r="K73" s="60"/>
      <c r="L73" s="60"/>
      <c r="M73" s="60"/>
      <c r="N73" s="61">
        <f t="shared" ref="N73" si="776">IFERROR($C73*N71,"")</f>
        <v>800000</v>
      </c>
      <c r="O73" s="58"/>
      <c r="P73" s="58"/>
      <c r="Q73" s="58"/>
      <c r="R73" s="58">
        <f t="shared" ref="R73" si="777">IFERROR($C73*R71,"")</f>
        <v>800000</v>
      </c>
      <c r="S73" s="58"/>
      <c r="T73" s="58"/>
      <c r="U73" s="59"/>
      <c r="V73" s="60">
        <f t="shared" ref="V73" si="778">IFERROR($C73*V71,"")</f>
        <v>800000</v>
      </c>
      <c r="W73" s="60"/>
      <c r="X73" s="60"/>
      <c r="Y73" s="60"/>
      <c r="Z73" s="60">
        <f t="shared" ref="Z73" si="779">IFERROR($C73*Z71,"")</f>
        <v>800000</v>
      </c>
      <c r="AA73" s="60"/>
      <c r="AB73" s="60"/>
      <c r="AC73" s="61"/>
      <c r="AD73" s="58">
        <f t="shared" ref="AD73" si="780">IFERROR($C73*AD71,"")</f>
        <v>800000</v>
      </c>
      <c r="AE73" s="58"/>
      <c r="AF73" s="58"/>
      <c r="AG73" s="59"/>
      <c r="AH73" s="60">
        <f t="shared" ref="AH73" si="781">IFERROR($C73*AH71,"")</f>
        <v>800000</v>
      </c>
      <c r="AI73" s="60"/>
      <c r="AJ73" s="60"/>
      <c r="AK73" s="60"/>
      <c r="AL73" s="60">
        <f t="shared" ref="AL73" si="782">IFERROR($C73*AL71,"")</f>
        <v>800000</v>
      </c>
      <c r="AM73" s="60"/>
      <c r="AN73" s="60"/>
      <c r="AO73" s="61"/>
      <c r="AP73" s="58">
        <f t="shared" ref="AP73" si="783">IFERROR($C73*AP71,"")</f>
        <v>800000</v>
      </c>
      <c r="AQ73" s="58"/>
      <c r="AR73" s="58"/>
      <c r="AS73" s="59"/>
      <c r="AT73" s="60">
        <f t="shared" ref="AT73" si="784">IFERROR($C73*AT71,"")</f>
        <v>800000</v>
      </c>
      <c r="AU73" s="60"/>
      <c r="AV73" s="60"/>
      <c r="AW73" s="60"/>
      <c r="AX73" s="60">
        <f t="shared" ref="AX73" si="785">IFERROR($C73*AX71,"")</f>
        <v>800000</v>
      </c>
      <c r="AY73" s="60"/>
      <c r="AZ73" s="60"/>
      <c r="BA73" s="61"/>
      <c r="BB73" s="58">
        <f t="shared" ref="BB73" si="786">IFERROR($C73*BB71,"")</f>
        <v>800000</v>
      </c>
      <c r="BC73" s="58"/>
      <c r="BD73" s="58"/>
      <c r="BE73" s="59"/>
      <c r="BF73" s="60">
        <f t="shared" ref="BF73" si="787">IFERROR($C73*BF71,"")</f>
        <v>800000</v>
      </c>
      <c r="BG73" s="60"/>
      <c r="BH73" s="60"/>
      <c r="BI73" s="60"/>
      <c r="BJ73" s="60">
        <f t="shared" ref="BJ73" si="788">IFERROR($C73*BJ71,"")</f>
        <v>800000</v>
      </c>
      <c r="BK73" s="60"/>
      <c r="BL73" s="60"/>
      <c r="BM73" s="61"/>
      <c r="BN73" s="58">
        <f t="shared" ref="BN73" si="789">IFERROR($C73*BN71,"")</f>
        <v>800000</v>
      </c>
      <c r="BO73" s="58"/>
      <c r="BP73" s="58"/>
      <c r="BQ73" s="59"/>
      <c r="BR73" s="60">
        <f t="shared" ref="BR73" si="790">IFERROR($C73*BR71,"")</f>
        <v>800000</v>
      </c>
      <c r="BS73" s="60"/>
      <c r="BT73" s="60"/>
      <c r="BU73" s="60"/>
      <c r="BV73" s="60">
        <f t="shared" ref="BV73" si="791">IFERROR($C73*BV71,"")</f>
        <v>800000</v>
      </c>
      <c r="BW73" s="60"/>
      <c r="BX73" s="60"/>
      <c r="BY73" s="61"/>
      <c r="BZ73" s="58">
        <f t="shared" ref="BZ73" si="792">IFERROR($C73*BZ71,"")</f>
        <v>800000</v>
      </c>
      <c r="CA73" s="58"/>
      <c r="CB73" s="58"/>
      <c r="CC73" s="59"/>
      <c r="CD73" s="60">
        <f t="shared" ref="CD73" si="793">IFERROR($C73*CD71,"")</f>
        <v>800000</v>
      </c>
      <c r="CE73" s="60"/>
      <c r="CF73" s="60"/>
      <c r="CG73" s="60"/>
      <c r="CH73" s="60">
        <f t="shared" ref="CH73" si="794">IFERROR($C73*CH71,"")</f>
        <v>400000</v>
      </c>
      <c r="CI73" s="60"/>
      <c r="CJ73" s="60"/>
      <c r="CK73" s="61"/>
      <c r="CL73" s="58">
        <f t="shared" ref="CL73" si="795">IFERROR($C73*CL71,"")</f>
        <v>0</v>
      </c>
      <c r="CM73" s="58"/>
      <c r="CN73" s="58"/>
      <c r="CO73" s="59"/>
      <c r="CP73" s="60">
        <f t="shared" ref="CP73" si="796">IFERROR($C73*CP71,"")</f>
        <v>0</v>
      </c>
      <c r="CQ73" s="60"/>
      <c r="CR73" s="60"/>
      <c r="CS73" s="60"/>
      <c r="CT73" s="60">
        <f t="shared" ref="CT73" si="797">IFERROR($C73*CT71,"")</f>
        <v>0</v>
      </c>
      <c r="CU73" s="60"/>
      <c r="CV73" s="60"/>
      <c r="CW73" s="61"/>
      <c r="CX73" s="58">
        <f t="shared" ref="CX73" si="798">IFERROR($C73*CX71,"")</f>
        <v>0</v>
      </c>
      <c r="CY73" s="58"/>
      <c r="CZ73" s="58"/>
      <c r="DA73" s="59"/>
      <c r="DB73" s="60">
        <f t="shared" ref="DB73" si="799">IFERROR($C73*DB71,"")</f>
        <v>0</v>
      </c>
      <c r="DC73" s="60"/>
      <c r="DD73" s="60"/>
      <c r="DE73" s="60"/>
      <c r="DF73" s="60">
        <f t="shared" ref="DF73" si="800">IFERROR($C73*DF71,"")</f>
        <v>0</v>
      </c>
      <c r="DG73" s="60"/>
      <c r="DH73" s="60"/>
      <c r="DI73" s="61"/>
      <c r="DJ73" s="58">
        <f t="shared" ref="DJ73" si="801">IFERROR($C73*DJ71,"")</f>
        <v>0</v>
      </c>
      <c r="DK73" s="58"/>
      <c r="DL73" s="58"/>
      <c r="DM73" s="59"/>
      <c r="DN73" s="60">
        <f t="shared" ref="DN73" si="802">IFERROR($C73*DN71,"")</f>
        <v>0</v>
      </c>
      <c r="DO73" s="60"/>
      <c r="DP73" s="60"/>
      <c r="DQ73" s="60"/>
      <c r="DR73" s="60">
        <f t="shared" ref="DR73" ca="1" si="803">IFERROR($C73*DR71,"")</f>
        <v>0</v>
      </c>
      <c r="DS73" s="60"/>
      <c r="DT73" s="60"/>
      <c r="DU73" s="61"/>
      <c r="DV73" s="58">
        <f t="shared" ref="DV73" ca="1" si="804">IFERROR($C73*DV71,"")</f>
        <v>0</v>
      </c>
      <c r="DW73" s="58"/>
      <c r="DX73" s="58"/>
      <c r="DY73" s="59"/>
      <c r="DZ73" s="60">
        <f t="shared" ref="DZ73" ca="1" si="805">IFERROR($C73*DZ71,"")</f>
        <v>0</v>
      </c>
      <c r="EA73" s="60"/>
      <c r="EB73" s="60"/>
      <c r="EC73" s="60"/>
      <c r="ED73" s="60">
        <f t="shared" ref="ED73" ca="1" si="806">IFERROR($C73*ED71,"")</f>
        <v>0</v>
      </c>
      <c r="EE73" s="60"/>
      <c r="EF73" s="60"/>
      <c r="EG73" s="61"/>
      <c r="EH73" s="58">
        <f t="shared" ref="EH73" ca="1" si="807">IFERROR($C73*EH71,"")</f>
        <v>0</v>
      </c>
      <c r="EI73" s="58"/>
      <c r="EJ73" s="58"/>
      <c r="EK73" s="59"/>
      <c r="EL73" s="60">
        <f t="shared" ref="EL73" ca="1" si="808">IFERROR($C73*EL71,"")</f>
        <v>0</v>
      </c>
      <c r="EM73" s="60"/>
      <c r="EN73" s="60"/>
      <c r="EO73" s="60"/>
      <c r="EP73" s="60">
        <f t="shared" ref="EP73" ca="1" si="809">IFERROR($C73*EP71,"")</f>
        <v>0</v>
      </c>
      <c r="EQ73" s="60"/>
      <c r="ER73" s="60"/>
      <c r="ES73" s="61"/>
    </row>
    <row r="74" spans="1:149" customFormat="1" outlineLevel="1" x14ac:dyDescent="0.45">
      <c r="A74" s="2"/>
      <c r="B74" s="72" t="s">
        <v>45</v>
      </c>
      <c r="C74" s="19"/>
      <c r="D74" s="20" t="s">
        <v>13</v>
      </c>
      <c r="E74" s="21">
        <f ca="1">SUM(F74:ES74)</f>
        <v>18.5</v>
      </c>
      <c r="F74" s="74"/>
      <c r="G74" s="67"/>
      <c r="H74" s="67"/>
      <c r="I74" s="67"/>
      <c r="J74" s="67"/>
      <c r="K74" s="67"/>
      <c r="L74" s="67"/>
      <c r="M74" s="67"/>
      <c r="N74" s="68">
        <v>1</v>
      </c>
      <c r="O74" s="70"/>
      <c r="P74" s="70"/>
      <c r="Q74" s="70"/>
      <c r="R74" s="70">
        <v>1</v>
      </c>
      <c r="S74" s="70"/>
      <c r="T74" s="70"/>
      <c r="U74" s="71"/>
      <c r="V74" s="67">
        <v>1</v>
      </c>
      <c r="W74" s="67"/>
      <c r="X74" s="67"/>
      <c r="Y74" s="67"/>
      <c r="Z74" s="67">
        <v>1</v>
      </c>
      <c r="AA74" s="67"/>
      <c r="AB74" s="67"/>
      <c r="AC74" s="68"/>
      <c r="AD74" s="70">
        <v>1</v>
      </c>
      <c r="AE74" s="70"/>
      <c r="AF74" s="70"/>
      <c r="AG74" s="71"/>
      <c r="AH74" s="67">
        <v>1</v>
      </c>
      <c r="AI74" s="67"/>
      <c r="AJ74" s="67"/>
      <c r="AK74" s="67"/>
      <c r="AL74" s="67">
        <v>1</v>
      </c>
      <c r="AM74" s="67"/>
      <c r="AN74" s="67"/>
      <c r="AO74" s="68"/>
      <c r="AP74" s="70">
        <v>1</v>
      </c>
      <c r="AQ74" s="70"/>
      <c r="AR74" s="70"/>
      <c r="AS74" s="71"/>
      <c r="AT74" s="67">
        <v>1</v>
      </c>
      <c r="AU74" s="67"/>
      <c r="AV74" s="67"/>
      <c r="AW74" s="67"/>
      <c r="AX74" s="67">
        <v>1</v>
      </c>
      <c r="AY74" s="67"/>
      <c r="AZ74" s="67"/>
      <c r="BA74" s="68"/>
      <c r="BB74" s="70">
        <v>1</v>
      </c>
      <c r="BC74" s="70"/>
      <c r="BD74" s="70"/>
      <c r="BE74" s="71"/>
      <c r="BF74" s="67">
        <v>1</v>
      </c>
      <c r="BG74" s="67"/>
      <c r="BH74" s="67"/>
      <c r="BI74" s="67"/>
      <c r="BJ74" s="67">
        <v>1</v>
      </c>
      <c r="BK74" s="67"/>
      <c r="BL74" s="67"/>
      <c r="BM74" s="68"/>
      <c r="BN74" s="70">
        <v>1</v>
      </c>
      <c r="BO74" s="70"/>
      <c r="BP74" s="70"/>
      <c r="BQ74" s="71"/>
      <c r="BR74" s="67">
        <v>1</v>
      </c>
      <c r="BS74" s="67"/>
      <c r="BT74" s="67"/>
      <c r="BU74" s="67"/>
      <c r="BV74" s="67">
        <v>1</v>
      </c>
      <c r="BW74" s="67"/>
      <c r="BX74" s="67"/>
      <c r="BY74" s="68"/>
      <c r="BZ74" s="70">
        <v>1</v>
      </c>
      <c r="CA74" s="70"/>
      <c r="CB74" s="70"/>
      <c r="CC74" s="71"/>
      <c r="CD74" s="67">
        <v>1</v>
      </c>
      <c r="CE74" s="67"/>
      <c r="CF74" s="67"/>
      <c r="CG74" s="67"/>
      <c r="CH74" s="67">
        <v>0.5</v>
      </c>
      <c r="CI74" s="67"/>
      <c r="CJ74" s="67"/>
      <c r="CK74" s="68"/>
      <c r="CL74" s="70"/>
      <c r="CM74" s="70"/>
      <c r="CN74" s="70"/>
      <c r="CO74" s="71"/>
      <c r="CP74" s="67"/>
      <c r="CQ74" s="67"/>
      <c r="CR74" s="67"/>
      <c r="CS74" s="67"/>
      <c r="CT74" s="67"/>
      <c r="CU74" s="67"/>
      <c r="CV74" s="67"/>
      <c r="CW74" s="68"/>
      <c r="CX74" s="70"/>
      <c r="CY74" s="70"/>
      <c r="CZ74" s="70"/>
      <c r="DA74" s="71"/>
      <c r="DB74" s="67"/>
      <c r="DC74" s="67"/>
      <c r="DD74" s="67"/>
      <c r="DE74" s="67"/>
      <c r="DF74" s="67"/>
      <c r="DG74" s="67"/>
      <c r="DH74" s="67"/>
      <c r="DI74" s="68"/>
      <c r="DJ74" s="70"/>
      <c r="DK74" s="70"/>
      <c r="DL74" s="70"/>
      <c r="DM74" s="71"/>
      <c r="DN74" s="67"/>
      <c r="DO74" s="67"/>
      <c r="DP74" s="67"/>
      <c r="DQ74" s="67"/>
      <c r="DR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DS74" s="67"/>
      <c r="DT74" s="67"/>
      <c r="DU74" s="68"/>
      <c r="DV74" s="70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DW74" s="70"/>
      <c r="DX74" s="70"/>
      <c r="DY74" s="71"/>
      <c r="DZ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A74" s="67"/>
      <c r="EB74" s="67"/>
      <c r="EC74" s="67"/>
      <c r="ED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E74" s="67"/>
      <c r="EF74" s="67"/>
      <c r="EG74" s="68"/>
      <c r="EH74" s="70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I74" s="70"/>
      <c r="EJ74" s="70"/>
      <c r="EK74" s="71"/>
      <c r="EL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M74" s="67"/>
      <c r="EN74" s="67"/>
      <c r="EO74" s="67"/>
      <c r="EP74" s="67">
        <f ca="1">IF(ISERROR(VLOOKUP(RIGHT(CELL("filename",$A$1),LEN(CELL("filename",$A$1))-FIND("]",CELL("filename",$A$1)))&amp;$B74,[2]要員計画!$L:$AJ,((COLUMN()-1)/4)+1,FALSE)),0,VLOOKUP(RIGHT(CELL("filename",$A$1),LEN(CELL("filename",$A$1))-FIND("]",CELL("filename",$A$1)))&amp;$B74,[2]要員計画!$L:$AJ,((COLUMN()-1)/4)+1,FALSE))</f>
        <v>0</v>
      </c>
      <c r="EQ74" s="67"/>
      <c r="ER74" s="67"/>
      <c r="ES74" s="68"/>
    </row>
    <row r="75" spans="1:149" customFormat="1" outlineLevel="1" x14ac:dyDescent="0.45">
      <c r="A75" s="2"/>
      <c r="B75" s="73"/>
      <c r="C75" s="22">
        <v>1050000</v>
      </c>
      <c r="D75" s="23" t="s">
        <v>23</v>
      </c>
      <c r="E75" s="24">
        <f>SUM(F75:CW75)</f>
        <v>19425000</v>
      </c>
      <c r="F75" s="69">
        <f>IFERROR($C75*F74,"")</f>
        <v>0</v>
      </c>
      <c r="G75" s="62"/>
      <c r="H75" s="62"/>
      <c r="I75" s="62"/>
      <c r="J75" s="62">
        <f t="shared" ref="J75" si="810">IFERROR($C75*J74,"")</f>
        <v>0</v>
      </c>
      <c r="K75" s="62"/>
      <c r="L75" s="62"/>
      <c r="M75" s="62"/>
      <c r="N75" s="63">
        <f t="shared" ref="N75" si="811">IFERROR($C75*N74,"")</f>
        <v>1050000</v>
      </c>
      <c r="O75" s="64"/>
      <c r="P75" s="64"/>
      <c r="Q75" s="64"/>
      <c r="R75" s="64">
        <f t="shared" ref="R75" si="812">IFERROR($C75*R74,"")</f>
        <v>1050000</v>
      </c>
      <c r="S75" s="64"/>
      <c r="T75" s="64"/>
      <c r="U75" s="65"/>
      <c r="V75" s="62">
        <f t="shared" ref="V75" si="813">IFERROR($C75*V74,"")</f>
        <v>1050000</v>
      </c>
      <c r="W75" s="62"/>
      <c r="X75" s="62"/>
      <c r="Y75" s="62"/>
      <c r="Z75" s="62">
        <f t="shared" ref="Z75" si="814">IFERROR($C75*Z74,"")</f>
        <v>1050000</v>
      </c>
      <c r="AA75" s="62"/>
      <c r="AB75" s="62"/>
      <c r="AC75" s="63"/>
      <c r="AD75" s="64">
        <f t="shared" ref="AD75" si="815">IFERROR($C75*AD74,"")</f>
        <v>1050000</v>
      </c>
      <c r="AE75" s="64"/>
      <c r="AF75" s="64"/>
      <c r="AG75" s="65"/>
      <c r="AH75" s="62">
        <f t="shared" ref="AH75" si="816">IFERROR($C75*AH74,"")</f>
        <v>1050000</v>
      </c>
      <c r="AI75" s="62"/>
      <c r="AJ75" s="62"/>
      <c r="AK75" s="62"/>
      <c r="AL75" s="62">
        <f t="shared" ref="AL75" si="817">IFERROR($C75*AL74,"")</f>
        <v>1050000</v>
      </c>
      <c r="AM75" s="62"/>
      <c r="AN75" s="62"/>
      <c r="AO75" s="63"/>
      <c r="AP75" s="64">
        <f t="shared" ref="AP75" si="818">IFERROR($C75*AP74,"")</f>
        <v>1050000</v>
      </c>
      <c r="AQ75" s="64"/>
      <c r="AR75" s="64"/>
      <c r="AS75" s="65"/>
      <c r="AT75" s="62">
        <f t="shared" ref="AT75" si="819">IFERROR($C75*AT74,"")</f>
        <v>1050000</v>
      </c>
      <c r="AU75" s="62"/>
      <c r="AV75" s="62"/>
      <c r="AW75" s="62"/>
      <c r="AX75" s="62">
        <f t="shared" ref="AX75" si="820">IFERROR($C75*AX74,"")</f>
        <v>1050000</v>
      </c>
      <c r="AY75" s="62"/>
      <c r="AZ75" s="62"/>
      <c r="BA75" s="63"/>
      <c r="BB75" s="64">
        <f t="shared" ref="BB75" si="821">IFERROR($C75*BB74,"")</f>
        <v>1050000</v>
      </c>
      <c r="BC75" s="64"/>
      <c r="BD75" s="64"/>
      <c r="BE75" s="65"/>
      <c r="BF75" s="62">
        <f t="shared" ref="BF75" si="822">IFERROR($C75*BF74,"")</f>
        <v>1050000</v>
      </c>
      <c r="BG75" s="62"/>
      <c r="BH75" s="62"/>
      <c r="BI75" s="62"/>
      <c r="BJ75" s="62">
        <f t="shared" ref="BJ75" si="823">IFERROR($C75*BJ74,"")</f>
        <v>1050000</v>
      </c>
      <c r="BK75" s="62"/>
      <c r="BL75" s="62"/>
      <c r="BM75" s="63"/>
      <c r="BN75" s="64">
        <f t="shared" ref="BN75" si="824">IFERROR($C75*BN74,"")</f>
        <v>1050000</v>
      </c>
      <c r="BO75" s="64"/>
      <c r="BP75" s="64"/>
      <c r="BQ75" s="65"/>
      <c r="BR75" s="62">
        <f t="shared" ref="BR75" si="825">IFERROR($C75*BR74,"")</f>
        <v>1050000</v>
      </c>
      <c r="BS75" s="62"/>
      <c r="BT75" s="62"/>
      <c r="BU75" s="62"/>
      <c r="BV75" s="62">
        <f t="shared" ref="BV75" si="826">IFERROR($C75*BV74,"")</f>
        <v>1050000</v>
      </c>
      <c r="BW75" s="62"/>
      <c r="BX75" s="62"/>
      <c r="BY75" s="63"/>
      <c r="BZ75" s="64">
        <f t="shared" ref="BZ75" si="827">IFERROR($C75*BZ74,"")</f>
        <v>1050000</v>
      </c>
      <c r="CA75" s="64"/>
      <c r="CB75" s="64"/>
      <c r="CC75" s="65"/>
      <c r="CD75" s="62">
        <f t="shared" ref="CD75" si="828">IFERROR($C75*CD74,"")</f>
        <v>1050000</v>
      </c>
      <c r="CE75" s="62"/>
      <c r="CF75" s="62"/>
      <c r="CG75" s="62"/>
      <c r="CH75" s="62">
        <f t="shared" ref="CH75" si="829">IFERROR($C75*CH74,"")</f>
        <v>525000</v>
      </c>
      <c r="CI75" s="62"/>
      <c r="CJ75" s="62"/>
      <c r="CK75" s="63"/>
      <c r="CL75" s="64">
        <f t="shared" ref="CL75" si="830">IFERROR($C75*CL74,"")</f>
        <v>0</v>
      </c>
      <c r="CM75" s="64"/>
      <c r="CN75" s="64"/>
      <c r="CO75" s="65"/>
      <c r="CP75" s="62">
        <f t="shared" ref="CP75" si="831">IFERROR($C75*CP74,"")</f>
        <v>0</v>
      </c>
      <c r="CQ75" s="62"/>
      <c r="CR75" s="62"/>
      <c r="CS75" s="62"/>
      <c r="CT75" s="62">
        <f t="shared" ref="CT75" si="832">IFERROR($C75*CT74,"")</f>
        <v>0</v>
      </c>
      <c r="CU75" s="62"/>
      <c r="CV75" s="62"/>
      <c r="CW75" s="63"/>
      <c r="CX75" s="64">
        <f t="shared" ref="CX75" si="833">IFERROR($C75*CX74,"")</f>
        <v>0</v>
      </c>
      <c r="CY75" s="64"/>
      <c r="CZ75" s="64"/>
      <c r="DA75" s="65"/>
      <c r="DB75" s="62">
        <f t="shared" ref="DB75" si="834">IFERROR($C75*DB74,"")</f>
        <v>0</v>
      </c>
      <c r="DC75" s="62"/>
      <c r="DD75" s="62"/>
      <c r="DE75" s="62"/>
      <c r="DF75" s="62">
        <f t="shared" ref="DF75" si="835">IFERROR($C75*DF74,"")</f>
        <v>0</v>
      </c>
      <c r="DG75" s="62"/>
      <c r="DH75" s="62"/>
      <c r="DI75" s="63"/>
      <c r="DJ75" s="64">
        <f t="shared" ref="DJ75" si="836">IFERROR($C75*DJ74,"")</f>
        <v>0</v>
      </c>
      <c r="DK75" s="64"/>
      <c r="DL75" s="64"/>
      <c r="DM75" s="65"/>
      <c r="DN75" s="62">
        <f t="shared" ref="DN75" si="837">IFERROR($C75*DN74,"")</f>
        <v>0</v>
      </c>
      <c r="DO75" s="62"/>
      <c r="DP75" s="62"/>
      <c r="DQ75" s="62"/>
      <c r="DR75" s="62">
        <f t="shared" ref="DR75" ca="1" si="838">IFERROR($C75*DR74,"")</f>
        <v>0</v>
      </c>
      <c r="DS75" s="62"/>
      <c r="DT75" s="62"/>
      <c r="DU75" s="63"/>
      <c r="DV75" s="64">
        <f t="shared" ref="DV75" ca="1" si="839">IFERROR($C75*DV74,"")</f>
        <v>0</v>
      </c>
      <c r="DW75" s="64"/>
      <c r="DX75" s="64"/>
      <c r="DY75" s="65"/>
      <c r="DZ75" s="62">
        <f t="shared" ref="DZ75" ca="1" si="840">IFERROR($C75*DZ74,"")</f>
        <v>0</v>
      </c>
      <c r="EA75" s="62"/>
      <c r="EB75" s="62"/>
      <c r="EC75" s="62"/>
      <c r="ED75" s="62">
        <f t="shared" ref="ED75" ca="1" si="841">IFERROR($C75*ED74,"")</f>
        <v>0</v>
      </c>
      <c r="EE75" s="62"/>
      <c r="EF75" s="62"/>
      <c r="EG75" s="63"/>
      <c r="EH75" s="64">
        <f t="shared" ref="EH75" ca="1" si="842">IFERROR($C75*EH74,"")</f>
        <v>0</v>
      </c>
      <c r="EI75" s="64"/>
      <c r="EJ75" s="64"/>
      <c r="EK75" s="65"/>
      <c r="EL75" s="62">
        <f t="shared" ref="EL75" ca="1" si="843">IFERROR($C75*EL74,"")</f>
        <v>0</v>
      </c>
      <c r="EM75" s="62"/>
      <c r="EN75" s="62"/>
      <c r="EO75" s="62"/>
      <c r="EP75" s="62">
        <f t="shared" ref="EP75" ca="1" si="844">IFERROR($C75*EP74,"")</f>
        <v>0</v>
      </c>
      <c r="EQ75" s="62"/>
      <c r="ER75" s="62"/>
      <c r="ES75" s="63"/>
    </row>
    <row r="76" spans="1:149" customFormat="1" outlineLevel="1" x14ac:dyDescent="0.45">
      <c r="A76" s="2"/>
      <c r="B76" s="78"/>
      <c r="C76" s="25">
        <v>800000</v>
      </c>
      <c r="D76" s="26" t="s">
        <v>3</v>
      </c>
      <c r="E76" s="27">
        <f>SUM(F76:CW76)</f>
        <v>14800000</v>
      </c>
      <c r="F76" s="66">
        <f>IFERROR($C76*F74,"")</f>
        <v>0</v>
      </c>
      <c r="G76" s="60"/>
      <c r="H76" s="60"/>
      <c r="I76" s="60"/>
      <c r="J76" s="60">
        <f t="shared" ref="J76" si="845">IFERROR($C76*J74,"")</f>
        <v>0</v>
      </c>
      <c r="K76" s="60"/>
      <c r="L76" s="60"/>
      <c r="M76" s="60"/>
      <c r="N76" s="61">
        <f t="shared" ref="N76" si="846">IFERROR($C76*N74,"")</f>
        <v>800000</v>
      </c>
      <c r="O76" s="58"/>
      <c r="P76" s="58"/>
      <c r="Q76" s="58"/>
      <c r="R76" s="58">
        <f t="shared" ref="R76" si="847">IFERROR($C76*R74,"")</f>
        <v>800000</v>
      </c>
      <c r="S76" s="58"/>
      <c r="T76" s="58"/>
      <c r="U76" s="59"/>
      <c r="V76" s="60">
        <f t="shared" ref="V76" si="848">IFERROR($C76*V74,"")</f>
        <v>800000</v>
      </c>
      <c r="W76" s="60"/>
      <c r="X76" s="60"/>
      <c r="Y76" s="60"/>
      <c r="Z76" s="60">
        <f t="shared" ref="Z76" si="849">IFERROR($C76*Z74,"")</f>
        <v>800000</v>
      </c>
      <c r="AA76" s="60"/>
      <c r="AB76" s="60"/>
      <c r="AC76" s="61"/>
      <c r="AD76" s="58">
        <f t="shared" ref="AD76" si="850">IFERROR($C76*AD74,"")</f>
        <v>800000</v>
      </c>
      <c r="AE76" s="58"/>
      <c r="AF76" s="58"/>
      <c r="AG76" s="59"/>
      <c r="AH76" s="60">
        <f t="shared" ref="AH76" si="851">IFERROR($C76*AH74,"")</f>
        <v>800000</v>
      </c>
      <c r="AI76" s="60"/>
      <c r="AJ76" s="60"/>
      <c r="AK76" s="60"/>
      <c r="AL76" s="60">
        <f t="shared" ref="AL76" si="852">IFERROR($C76*AL74,"")</f>
        <v>800000</v>
      </c>
      <c r="AM76" s="60"/>
      <c r="AN76" s="60"/>
      <c r="AO76" s="61"/>
      <c r="AP76" s="58">
        <f t="shared" ref="AP76" si="853">IFERROR($C76*AP74,"")</f>
        <v>800000</v>
      </c>
      <c r="AQ76" s="58"/>
      <c r="AR76" s="58"/>
      <c r="AS76" s="59"/>
      <c r="AT76" s="60">
        <f t="shared" ref="AT76" si="854">IFERROR($C76*AT74,"")</f>
        <v>800000</v>
      </c>
      <c r="AU76" s="60"/>
      <c r="AV76" s="60"/>
      <c r="AW76" s="60"/>
      <c r="AX76" s="60">
        <f t="shared" ref="AX76" si="855">IFERROR($C76*AX74,"")</f>
        <v>800000</v>
      </c>
      <c r="AY76" s="60"/>
      <c r="AZ76" s="60"/>
      <c r="BA76" s="61"/>
      <c r="BB76" s="58">
        <f t="shared" ref="BB76" si="856">IFERROR($C76*BB74,"")</f>
        <v>800000</v>
      </c>
      <c r="BC76" s="58"/>
      <c r="BD76" s="58"/>
      <c r="BE76" s="59"/>
      <c r="BF76" s="60">
        <f t="shared" ref="BF76" si="857">IFERROR($C76*BF74,"")</f>
        <v>800000</v>
      </c>
      <c r="BG76" s="60"/>
      <c r="BH76" s="60"/>
      <c r="BI76" s="60"/>
      <c r="BJ76" s="60">
        <f t="shared" ref="BJ76" si="858">IFERROR($C76*BJ74,"")</f>
        <v>800000</v>
      </c>
      <c r="BK76" s="60"/>
      <c r="BL76" s="60"/>
      <c r="BM76" s="61"/>
      <c r="BN76" s="58">
        <f t="shared" ref="BN76" si="859">IFERROR($C76*BN74,"")</f>
        <v>800000</v>
      </c>
      <c r="BO76" s="58"/>
      <c r="BP76" s="58"/>
      <c r="BQ76" s="59"/>
      <c r="BR76" s="60">
        <f t="shared" ref="BR76" si="860">IFERROR($C76*BR74,"")</f>
        <v>800000</v>
      </c>
      <c r="BS76" s="60"/>
      <c r="BT76" s="60"/>
      <c r="BU76" s="60"/>
      <c r="BV76" s="60">
        <f t="shared" ref="BV76" si="861">IFERROR($C76*BV74,"")</f>
        <v>800000</v>
      </c>
      <c r="BW76" s="60"/>
      <c r="BX76" s="60"/>
      <c r="BY76" s="61"/>
      <c r="BZ76" s="58">
        <f t="shared" ref="BZ76" si="862">IFERROR($C76*BZ74,"")</f>
        <v>800000</v>
      </c>
      <c r="CA76" s="58"/>
      <c r="CB76" s="58"/>
      <c r="CC76" s="59"/>
      <c r="CD76" s="60">
        <f t="shared" ref="CD76" si="863">IFERROR($C76*CD74,"")</f>
        <v>800000</v>
      </c>
      <c r="CE76" s="60"/>
      <c r="CF76" s="60"/>
      <c r="CG76" s="60"/>
      <c r="CH76" s="60">
        <f t="shared" ref="CH76" si="864">IFERROR($C76*CH74,"")</f>
        <v>400000</v>
      </c>
      <c r="CI76" s="60"/>
      <c r="CJ76" s="60"/>
      <c r="CK76" s="61"/>
      <c r="CL76" s="58">
        <f t="shared" ref="CL76" si="865">IFERROR($C76*CL74,"")</f>
        <v>0</v>
      </c>
      <c r="CM76" s="58"/>
      <c r="CN76" s="58"/>
      <c r="CO76" s="59"/>
      <c r="CP76" s="60">
        <f t="shared" ref="CP76" si="866">IFERROR($C76*CP74,"")</f>
        <v>0</v>
      </c>
      <c r="CQ76" s="60"/>
      <c r="CR76" s="60"/>
      <c r="CS76" s="60"/>
      <c r="CT76" s="60">
        <f t="shared" ref="CT76" si="867">IFERROR($C76*CT74,"")</f>
        <v>0</v>
      </c>
      <c r="CU76" s="60"/>
      <c r="CV76" s="60"/>
      <c r="CW76" s="61"/>
      <c r="CX76" s="58">
        <f t="shared" ref="CX76" si="868">IFERROR($C76*CX74,"")</f>
        <v>0</v>
      </c>
      <c r="CY76" s="58"/>
      <c r="CZ76" s="58"/>
      <c r="DA76" s="59"/>
      <c r="DB76" s="60">
        <f t="shared" ref="DB76" si="869">IFERROR($C76*DB74,"")</f>
        <v>0</v>
      </c>
      <c r="DC76" s="60"/>
      <c r="DD76" s="60"/>
      <c r="DE76" s="60"/>
      <c r="DF76" s="60">
        <f t="shared" ref="DF76" si="870">IFERROR($C76*DF74,"")</f>
        <v>0</v>
      </c>
      <c r="DG76" s="60"/>
      <c r="DH76" s="60"/>
      <c r="DI76" s="61"/>
      <c r="DJ76" s="58">
        <f t="shared" ref="DJ76" si="871">IFERROR($C76*DJ74,"")</f>
        <v>0</v>
      </c>
      <c r="DK76" s="58"/>
      <c r="DL76" s="58"/>
      <c r="DM76" s="59"/>
      <c r="DN76" s="60">
        <f t="shared" ref="DN76" si="872">IFERROR($C76*DN74,"")</f>
        <v>0</v>
      </c>
      <c r="DO76" s="60"/>
      <c r="DP76" s="60"/>
      <c r="DQ76" s="60"/>
      <c r="DR76" s="60">
        <f t="shared" ref="DR76" ca="1" si="873">IFERROR($C76*DR74,"")</f>
        <v>0</v>
      </c>
      <c r="DS76" s="60"/>
      <c r="DT76" s="60"/>
      <c r="DU76" s="61"/>
      <c r="DV76" s="58">
        <f t="shared" ref="DV76" ca="1" si="874">IFERROR($C76*DV74,"")</f>
        <v>0</v>
      </c>
      <c r="DW76" s="58"/>
      <c r="DX76" s="58"/>
      <c r="DY76" s="59"/>
      <c r="DZ76" s="60">
        <f t="shared" ref="DZ76" ca="1" si="875">IFERROR($C76*DZ74,"")</f>
        <v>0</v>
      </c>
      <c r="EA76" s="60"/>
      <c r="EB76" s="60"/>
      <c r="EC76" s="60"/>
      <c r="ED76" s="60">
        <f t="shared" ref="ED76" ca="1" si="876">IFERROR($C76*ED74,"")</f>
        <v>0</v>
      </c>
      <c r="EE76" s="60"/>
      <c r="EF76" s="60"/>
      <c r="EG76" s="61"/>
      <c r="EH76" s="58">
        <f t="shared" ref="EH76" ca="1" si="877">IFERROR($C76*EH74,"")</f>
        <v>0</v>
      </c>
      <c r="EI76" s="58"/>
      <c r="EJ76" s="58"/>
      <c r="EK76" s="59"/>
      <c r="EL76" s="60">
        <f t="shared" ref="EL76" ca="1" si="878">IFERROR($C76*EL74,"")</f>
        <v>0</v>
      </c>
      <c r="EM76" s="60"/>
      <c r="EN76" s="60"/>
      <c r="EO76" s="60"/>
      <c r="EP76" s="60">
        <f t="shared" ref="EP76" ca="1" si="879">IFERROR($C76*EP74,"")</f>
        <v>0</v>
      </c>
      <c r="EQ76" s="60"/>
      <c r="ER76" s="60"/>
      <c r="ES76" s="61"/>
    </row>
    <row r="77" spans="1:149" customFormat="1" outlineLevel="1" x14ac:dyDescent="0.45">
      <c r="A77" s="2"/>
      <c r="B77" s="72" t="s">
        <v>33</v>
      </c>
      <c r="C77" s="19"/>
      <c r="D77" s="20" t="s">
        <v>13</v>
      </c>
      <c r="E77" s="21">
        <f ca="1">SUM(F77:ES77)</f>
        <v>11</v>
      </c>
      <c r="F77" s="74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G77" s="67"/>
      <c r="H77" s="67"/>
      <c r="I77" s="67"/>
      <c r="J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K77" s="67"/>
      <c r="L77" s="67"/>
      <c r="M77" s="67"/>
      <c r="N77" s="68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O77" s="70"/>
      <c r="P77" s="70"/>
      <c r="Q77" s="70"/>
      <c r="R77" s="70"/>
      <c r="S77" s="70"/>
      <c r="T77" s="70"/>
      <c r="U77" s="71"/>
      <c r="V77" s="67"/>
      <c r="W77" s="67"/>
      <c r="X77" s="67"/>
      <c r="Y77" s="67"/>
      <c r="Z77" s="67">
        <v>1</v>
      </c>
      <c r="AA77" s="67"/>
      <c r="AB77" s="67"/>
      <c r="AC77" s="68"/>
      <c r="AD77" s="67">
        <v>1</v>
      </c>
      <c r="AE77" s="67"/>
      <c r="AF77" s="67"/>
      <c r="AG77" s="67"/>
      <c r="AH77" s="67">
        <v>1</v>
      </c>
      <c r="AI77" s="67"/>
      <c r="AJ77" s="67"/>
      <c r="AK77" s="67"/>
      <c r="AL77" s="67">
        <v>1</v>
      </c>
      <c r="AM77" s="67"/>
      <c r="AN77" s="67"/>
      <c r="AO77" s="68"/>
      <c r="AP77" s="70">
        <v>1</v>
      </c>
      <c r="AQ77" s="70"/>
      <c r="AR77" s="70"/>
      <c r="AS77" s="71"/>
      <c r="AT77" s="67">
        <v>1</v>
      </c>
      <c r="AU77" s="67"/>
      <c r="AV77" s="67"/>
      <c r="AW77" s="67"/>
      <c r="AX77" s="67">
        <v>1</v>
      </c>
      <c r="AY77" s="67"/>
      <c r="AZ77" s="67"/>
      <c r="BA77" s="68"/>
      <c r="BB77" s="70">
        <v>1</v>
      </c>
      <c r="BC77" s="70"/>
      <c r="BD77" s="70"/>
      <c r="BE77" s="71"/>
      <c r="BF77" s="67">
        <v>1</v>
      </c>
      <c r="BG77" s="67"/>
      <c r="BH77" s="67"/>
      <c r="BI77" s="67"/>
      <c r="BJ77" s="67">
        <v>1</v>
      </c>
      <c r="BK77" s="67"/>
      <c r="BL77" s="67"/>
      <c r="BM77" s="68"/>
      <c r="BN77" s="70">
        <v>1</v>
      </c>
      <c r="BO77" s="70"/>
      <c r="BP77" s="70"/>
      <c r="BQ77" s="71"/>
      <c r="BR77" s="67"/>
      <c r="BS77" s="67"/>
      <c r="BT77" s="67"/>
      <c r="BU77" s="67"/>
      <c r="BV77" s="67"/>
      <c r="BW77" s="67"/>
      <c r="BX77" s="67"/>
      <c r="BY77" s="68"/>
      <c r="BZ77" s="70"/>
      <c r="CA77" s="70"/>
      <c r="CB77" s="70"/>
      <c r="CC77" s="71"/>
      <c r="CD77" s="67"/>
      <c r="CE77" s="67"/>
      <c r="CF77" s="67"/>
      <c r="CG77" s="67"/>
      <c r="CH77" s="67"/>
      <c r="CI77" s="67"/>
      <c r="CJ77" s="67"/>
      <c r="CK77" s="68"/>
      <c r="CL77" s="70"/>
      <c r="CM77" s="70"/>
      <c r="CN77" s="70"/>
      <c r="CO77" s="71"/>
      <c r="CP77" s="67"/>
      <c r="CQ77" s="67"/>
      <c r="CR77" s="67"/>
      <c r="CS77" s="67"/>
      <c r="CT77" s="67"/>
      <c r="CU77" s="67"/>
      <c r="CV77" s="67"/>
      <c r="CW77" s="68"/>
      <c r="CX77" s="70"/>
      <c r="CY77" s="70"/>
      <c r="CZ77" s="70"/>
      <c r="DA77" s="71"/>
      <c r="DB77" s="67"/>
      <c r="DC77" s="67"/>
      <c r="DD77" s="67"/>
      <c r="DE77" s="67"/>
      <c r="DF77" s="67"/>
      <c r="DG77" s="67"/>
      <c r="DH77" s="67"/>
      <c r="DI77" s="68"/>
      <c r="DJ77" s="70"/>
      <c r="DK77" s="70"/>
      <c r="DL77" s="70"/>
      <c r="DM77" s="71"/>
      <c r="DN77" s="67"/>
      <c r="DO77" s="67"/>
      <c r="DP77" s="67"/>
      <c r="DQ77" s="67"/>
      <c r="DR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DS77" s="67"/>
      <c r="DT77" s="67"/>
      <c r="DU77" s="68"/>
      <c r="DV77" s="70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DW77" s="70"/>
      <c r="DX77" s="70"/>
      <c r="DY77" s="71"/>
      <c r="DZ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A77" s="67"/>
      <c r="EB77" s="67"/>
      <c r="EC77" s="67"/>
      <c r="ED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E77" s="67"/>
      <c r="EF77" s="67"/>
      <c r="EG77" s="68"/>
      <c r="EH77" s="70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I77" s="70"/>
      <c r="EJ77" s="70"/>
      <c r="EK77" s="71"/>
      <c r="EL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M77" s="67"/>
      <c r="EN77" s="67"/>
      <c r="EO77" s="67"/>
      <c r="EP77" s="67">
        <f ca="1">IF(ISERROR(VLOOKUP(RIGHT(CELL("filename",$A$1),LEN(CELL("filename",$A$1))-FIND("]",CELL("filename",$A$1)))&amp;$B77,[2]要員計画!$L:$AJ,((COLUMN()-1)/4)+1,FALSE)),0,VLOOKUP(RIGHT(CELL("filename",$A$1),LEN(CELL("filename",$A$1))-FIND("]",CELL("filename",$A$1)))&amp;$B77,[2]要員計画!$L:$AJ,((COLUMN()-1)/4)+1,FALSE))</f>
        <v>0</v>
      </c>
      <c r="EQ77" s="67"/>
      <c r="ER77" s="67"/>
      <c r="ES77" s="68"/>
    </row>
    <row r="78" spans="1:149" customFormat="1" outlineLevel="1" x14ac:dyDescent="0.45">
      <c r="A78" s="2"/>
      <c r="B78" s="73"/>
      <c r="C78" s="22">
        <v>1050000</v>
      </c>
      <c r="D78" s="23" t="s">
        <v>23</v>
      </c>
      <c r="E78" s="24">
        <f ca="1">SUM(F78:CW78)</f>
        <v>11550000</v>
      </c>
      <c r="F78" s="69">
        <f ca="1">IFERROR($C78*F77,"")</f>
        <v>0</v>
      </c>
      <c r="G78" s="62"/>
      <c r="H78" s="62"/>
      <c r="I78" s="62"/>
      <c r="J78" s="62">
        <f t="shared" ref="J78" ca="1" si="880">IFERROR($C78*J77,"")</f>
        <v>0</v>
      </c>
      <c r="K78" s="62"/>
      <c r="L78" s="62"/>
      <c r="M78" s="62"/>
      <c r="N78" s="63">
        <f t="shared" ref="N78" ca="1" si="881">IFERROR($C78*N77,"")</f>
        <v>0</v>
      </c>
      <c r="O78" s="64"/>
      <c r="P78" s="64"/>
      <c r="Q78" s="64"/>
      <c r="R78" s="64">
        <f t="shared" ref="R78" si="882">IFERROR($C78*R77,"")</f>
        <v>0</v>
      </c>
      <c r="S78" s="64"/>
      <c r="T78" s="64"/>
      <c r="U78" s="65"/>
      <c r="V78" s="62">
        <f t="shared" ref="V78" si="883">IFERROR($C78*V77,"")</f>
        <v>0</v>
      </c>
      <c r="W78" s="62"/>
      <c r="X78" s="62"/>
      <c r="Y78" s="62"/>
      <c r="Z78" s="62">
        <f t="shared" ref="Z78" si="884">IFERROR($C78*Z77,"")</f>
        <v>1050000</v>
      </c>
      <c r="AA78" s="62"/>
      <c r="AB78" s="62"/>
      <c r="AC78" s="63"/>
      <c r="AD78" s="62">
        <f t="shared" ref="AD78" si="885">IFERROR($C78*AD77,"")</f>
        <v>1050000</v>
      </c>
      <c r="AE78" s="62"/>
      <c r="AF78" s="62"/>
      <c r="AG78" s="62"/>
      <c r="AH78" s="62">
        <f t="shared" ref="AH78" si="886">IFERROR($C78*AH77,"")</f>
        <v>1050000</v>
      </c>
      <c r="AI78" s="62"/>
      <c r="AJ78" s="62"/>
      <c r="AK78" s="62"/>
      <c r="AL78" s="62">
        <f t="shared" ref="AL78" si="887">IFERROR($C78*AL77,"")</f>
        <v>1050000</v>
      </c>
      <c r="AM78" s="62"/>
      <c r="AN78" s="62"/>
      <c r="AO78" s="63"/>
      <c r="AP78" s="64">
        <f t="shared" ref="AP78" si="888">IFERROR($C78*AP77,"")</f>
        <v>1050000</v>
      </c>
      <c r="AQ78" s="64"/>
      <c r="AR78" s="64"/>
      <c r="AS78" s="65"/>
      <c r="AT78" s="62">
        <f t="shared" ref="AT78" si="889">IFERROR($C78*AT77,"")</f>
        <v>1050000</v>
      </c>
      <c r="AU78" s="62"/>
      <c r="AV78" s="62"/>
      <c r="AW78" s="62"/>
      <c r="AX78" s="62">
        <f t="shared" ref="AX78" si="890">IFERROR($C78*AX77,"")</f>
        <v>1050000</v>
      </c>
      <c r="AY78" s="62"/>
      <c r="AZ78" s="62"/>
      <c r="BA78" s="63"/>
      <c r="BB78" s="64">
        <f t="shared" ref="BB78" si="891">IFERROR($C78*BB77,"")</f>
        <v>1050000</v>
      </c>
      <c r="BC78" s="64"/>
      <c r="BD78" s="64"/>
      <c r="BE78" s="65"/>
      <c r="BF78" s="62">
        <f t="shared" ref="BF78" si="892">IFERROR($C78*BF77,"")</f>
        <v>1050000</v>
      </c>
      <c r="BG78" s="62"/>
      <c r="BH78" s="62"/>
      <c r="BI78" s="62"/>
      <c r="BJ78" s="62">
        <f t="shared" ref="BJ78" si="893">IFERROR($C78*BJ77,"")</f>
        <v>1050000</v>
      </c>
      <c r="BK78" s="62"/>
      <c r="BL78" s="62"/>
      <c r="BM78" s="63"/>
      <c r="BN78" s="64">
        <f t="shared" ref="BN78" si="894">IFERROR($C78*BN77,"")</f>
        <v>1050000</v>
      </c>
      <c r="BO78" s="64"/>
      <c r="BP78" s="64"/>
      <c r="BQ78" s="65"/>
      <c r="BR78" s="62">
        <f t="shared" ref="BR78" si="895">IFERROR($C78*BR77,"")</f>
        <v>0</v>
      </c>
      <c r="BS78" s="62"/>
      <c r="BT78" s="62"/>
      <c r="BU78" s="62"/>
      <c r="BV78" s="62">
        <f t="shared" ref="BV78" si="896">IFERROR($C78*BV77,"")</f>
        <v>0</v>
      </c>
      <c r="BW78" s="62"/>
      <c r="BX78" s="62"/>
      <c r="BY78" s="63"/>
      <c r="BZ78" s="64">
        <f t="shared" ref="BZ78" si="897">IFERROR($C78*BZ77,"")</f>
        <v>0</v>
      </c>
      <c r="CA78" s="64"/>
      <c r="CB78" s="64"/>
      <c r="CC78" s="65"/>
      <c r="CD78" s="62">
        <f t="shared" ref="CD78" si="898">IFERROR($C78*CD77,"")</f>
        <v>0</v>
      </c>
      <c r="CE78" s="62"/>
      <c r="CF78" s="62"/>
      <c r="CG78" s="62"/>
      <c r="CH78" s="62">
        <f t="shared" ref="CH78" si="899">IFERROR($C78*CH77,"")</f>
        <v>0</v>
      </c>
      <c r="CI78" s="62"/>
      <c r="CJ78" s="62"/>
      <c r="CK78" s="63"/>
      <c r="CL78" s="64">
        <f t="shared" ref="CL78" si="900">IFERROR($C78*CL77,"")</f>
        <v>0</v>
      </c>
      <c r="CM78" s="64"/>
      <c r="CN78" s="64"/>
      <c r="CO78" s="65"/>
      <c r="CP78" s="62">
        <f t="shared" ref="CP78" si="901">IFERROR($C78*CP77,"")</f>
        <v>0</v>
      </c>
      <c r="CQ78" s="62"/>
      <c r="CR78" s="62"/>
      <c r="CS78" s="62"/>
      <c r="CT78" s="62">
        <f t="shared" ref="CT78" si="902">IFERROR($C78*CT77,"")</f>
        <v>0</v>
      </c>
      <c r="CU78" s="62"/>
      <c r="CV78" s="62"/>
      <c r="CW78" s="63"/>
      <c r="CX78" s="64">
        <f t="shared" ref="CX78" si="903">IFERROR($C78*CX77,"")</f>
        <v>0</v>
      </c>
      <c r="CY78" s="64"/>
      <c r="CZ78" s="64"/>
      <c r="DA78" s="65"/>
      <c r="DB78" s="62">
        <f t="shared" ref="DB78" si="904">IFERROR($C78*DB77,"")</f>
        <v>0</v>
      </c>
      <c r="DC78" s="62"/>
      <c r="DD78" s="62"/>
      <c r="DE78" s="62"/>
      <c r="DF78" s="62">
        <f t="shared" ref="DF78" si="905">IFERROR($C78*DF77,"")</f>
        <v>0</v>
      </c>
      <c r="DG78" s="62"/>
      <c r="DH78" s="62"/>
      <c r="DI78" s="63"/>
      <c r="DJ78" s="64">
        <f t="shared" ref="DJ78" si="906">IFERROR($C78*DJ77,"")</f>
        <v>0</v>
      </c>
      <c r="DK78" s="64"/>
      <c r="DL78" s="64"/>
      <c r="DM78" s="65"/>
      <c r="DN78" s="62">
        <f t="shared" ref="DN78" si="907">IFERROR($C78*DN77,"")</f>
        <v>0</v>
      </c>
      <c r="DO78" s="62"/>
      <c r="DP78" s="62"/>
      <c r="DQ78" s="62"/>
      <c r="DR78" s="62">
        <f t="shared" ref="DR78" ca="1" si="908">IFERROR($C78*DR77,"")</f>
        <v>0</v>
      </c>
      <c r="DS78" s="62"/>
      <c r="DT78" s="62"/>
      <c r="DU78" s="63"/>
      <c r="DV78" s="64">
        <f t="shared" ref="DV78" ca="1" si="909">IFERROR($C78*DV77,"")</f>
        <v>0</v>
      </c>
      <c r="DW78" s="64"/>
      <c r="DX78" s="64"/>
      <c r="DY78" s="65"/>
      <c r="DZ78" s="62">
        <f t="shared" ref="DZ78" ca="1" si="910">IFERROR($C78*DZ77,"")</f>
        <v>0</v>
      </c>
      <c r="EA78" s="62"/>
      <c r="EB78" s="62"/>
      <c r="EC78" s="62"/>
      <c r="ED78" s="62">
        <f t="shared" ref="ED78" ca="1" si="911">IFERROR($C78*ED77,"")</f>
        <v>0</v>
      </c>
      <c r="EE78" s="62"/>
      <c r="EF78" s="62"/>
      <c r="EG78" s="63"/>
      <c r="EH78" s="64">
        <f t="shared" ref="EH78" ca="1" si="912">IFERROR($C78*EH77,"")</f>
        <v>0</v>
      </c>
      <c r="EI78" s="64"/>
      <c r="EJ78" s="64"/>
      <c r="EK78" s="65"/>
      <c r="EL78" s="62">
        <f t="shared" ref="EL78" ca="1" si="913">IFERROR($C78*EL77,"")</f>
        <v>0</v>
      </c>
      <c r="EM78" s="62"/>
      <c r="EN78" s="62"/>
      <c r="EO78" s="62"/>
      <c r="EP78" s="62">
        <f t="shared" ref="EP78" ca="1" si="914">IFERROR($C78*EP77,"")</f>
        <v>0</v>
      </c>
      <c r="EQ78" s="62"/>
      <c r="ER78" s="62"/>
      <c r="ES78" s="63"/>
    </row>
    <row r="79" spans="1:149" customFormat="1" outlineLevel="1" x14ac:dyDescent="0.45">
      <c r="A79" s="2"/>
      <c r="B79" s="78"/>
      <c r="C79" s="25">
        <v>400000</v>
      </c>
      <c r="D79" s="26" t="s">
        <v>3</v>
      </c>
      <c r="E79" s="27">
        <f ca="1">SUM(F79:CW79)</f>
        <v>4400000</v>
      </c>
      <c r="F79" s="66">
        <f ca="1">IFERROR($C79*F77,"")</f>
        <v>0</v>
      </c>
      <c r="G79" s="60"/>
      <c r="H79" s="60"/>
      <c r="I79" s="60"/>
      <c r="J79" s="60">
        <f t="shared" ref="J79" ca="1" si="915">IFERROR($C79*J77,"")</f>
        <v>0</v>
      </c>
      <c r="K79" s="60"/>
      <c r="L79" s="60"/>
      <c r="M79" s="60"/>
      <c r="N79" s="61">
        <f t="shared" ref="N79" ca="1" si="916">IFERROR($C79*N77,"")</f>
        <v>0</v>
      </c>
      <c r="O79" s="58"/>
      <c r="P79" s="58"/>
      <c r="Q79" s="58"/>
      <c r="R79" s="58">
        <f t="shared" ref="R79" si="917">IFERROR($C79*R77,"")</f>
        <v>0</v>
      </c>
      <c r="S79" s="58"/>
      <c r="T79" s="58"/>
      <c r="U79" s="59"/>
      <c r="V79" s="60">
        <f t="shared" ref="V79" si="918">IFERROR($C79*V77,"")</f>
        <v>0</v>
      </c>
      <c r="W79" s="60"/>
      <c r="X79" s="60"/>
      <c r="Y79" s="60"/>
      <c r="Z79" s="60">
        <f t="shared" ref="Z79" si="919">IFERROR($C79*Z77,"")</f>
        <v>400000</v>
      </c>
      <c r="AA79" s="60"/>
      <c r="AB79" s="60"/>
      <c r="AC79" s="61"/>
      <c r="AD79" s="60">
        <f t="shared" ref="AD79" si="920">IFERROR($C79*AD77,"")</f>
        <v>400000</v>
      </c>
      <c r="AE79" s="60"/>
      <c r="AF79" s="60"/>
      <c r="AG79" s="60"/>
      <c r="AH79" s="60">
        <f t="shared" ref="AH79" si="921">IFERROR($C79*AH77,"")</f>
        <v>400000</v>
      </c>
      <c r="AI79" s="60"/>
      <c r="AJ79" s="60"/>
      <c r="AK79" s="60"/>
      <c r="AL79" s="60">
        <f t="shared" ref="AL79" si="922">IFERROR($C79*AL77,"")</f>
        <v>400000</v>
      </c>
      <c r="AM79" s="60"/>
      <c r="AN79" s="60"/>
      <c r="AO79" s="61"/>
      <c r="AP79" s="58">
        <f t="shared" ref="AP79" si="923">IFERROR($C79*AP77,"")</f>
        <v>400000</v>
      </c>
      <c r="AQ79" s="58"/>
      <c r="AR79" s="58"/>
      <c r="AS79" s="59"/>
      <c r="AT79" s="60">
        <f t="shared" ref="AT79" si="924">IFERROR($C79*AT77,"")</f>
        <v>400000</v>
      </c>
      <c r="AU79" s="60"/>
      <c r="AV79" s="60"/>
      <c r="AW79" s="60"/>
      <c r="AX79" s="60">
        <f t="shared" ref="AX79" si="925">IFERROR($C79*AX77,"")</f>
        <v>400000</v>
      </c>
      <c r="AY79" s="60"/>
      <c r="AZ79" s="60"/>
      <c r="BA79" s="61"/>
      <c r="BB79" s="58">
        <f t="shared" ref="BB79:CD79" si="926">IFERROR($C79*BB77,"")</f>
        <v>400000</v>
      </c>
      <c r="BC79" s="58"/>
      <c r="BD79" s="58"/>
      <c r="BE79" s="59"/>
      <c r="BF79" s="60">
        <f t="shared" si="926"/>
        <v>400000</v>
      </c>
      <c r="BG79" s="60"/>
      <c r="BH79" s="60"/>
      <c r="BI79" s="60"/>
      <c r="BJ79" s="60">
        <f t="shared" si="926"/>
        <v>400000</v>
      </c>
      <c r="BK79" s="60"/>
      <c r="BL79" s="60"/>
      <c r="BM79" s="61"/>
      <c r="BN79" s="58">
        <f t="shared" si="926"/>
        <v>400000</v>
      </c>
      <c r="BO79" s="58"/>
      <c r="BP79" s="58"/>
      <c r="BQ79" s="59"/>
      <c r="BR79" s="60">
        <f t="shared" si="926"/>
        <v>0</v>
      </c>
      <c r="BS79" s="60"/>
      <c r="BT79" s="60"/>
      <c r="BU79" s="60"/>
      <c r="BV79" s="60">
        <f t="shared" si="926"/>
        <v>0</v>
      </c>
      <c r="BW79" s="60"/>
      <c r="BX79" s="60"/>
      <c r="BY79" s="61"/>
      <c r="BZ79" s="58">
        <f t="shared" si="926"/>
        <v>0</v>
      </c>
      <c r="CA79" s="58"/>
      <c r="CB79" s="58"/>
      <c r="CC79" s="59"/>
      <c r="CD79" s="60">
        <f t="shared" si="926"/>
        <v>0</v>
      </c>
      <c r="CE79" s="60"/>
      <c r="CF79" s="60"/>
      <c r="CG79" s="60"/>
      <c r="CH79" s="60">
        <f t="shared" ref="CH79:DJ79" si="927">IFERROR($C79*CH77,"")</f>
        <v>0</v>
      </c>
      <c r="CI79" s="60"/>
      <c r="CJ79" s="60"/>
      <c r="CK79" s="61"/>
      <c r="CL79" s="58">
        <f t="shared" si="927"/>
        <v>0</v>
      </c>
      <c r="CM79" s="58"/>
      <c r="CN79" s="58"/>
      <c r="CO79" s="59"/>
      <c r="CP79" s="60">
        <f t="shared" si="927"/>
        <v>0</v>
      </c>
      <c r="CQ79" s="60"/>
      <c r="CR79" s="60"/>
      <c r="CS79" s="60"/>
      <c r="CT79" s="60">
        <f t="shared" si="927"/>
        <v>0</v>
      </c>
      <c r="CU79" s="60"/>
      <c r="CV79" s="60"/>
      <c r="CW79" s="61"/>
      <c r="CX79" s="58">
        <f t="shared" si="927"/>
        <v>0</v>
      </c>
      <c r="CY79" s="58"/>
      <c r="CZ79" s="58"/>
      <c r="DA79" s="59"/>
      <c r="DB79" s="60">
        <f t="shared" si="927"/>
        <v>0</v>
      </c>
      <c r="DC79" s="60"/>
      <c r="DD79" s="60"/>
      <c r="DE79" s="60"/>
      <c r="DF79" s="60">
        <f t="shared" si="927"/>
        <v>0</v>
      </c>
      <c r="DG79" s="60"/>
      <c r="DH79" s="60"/>
      <c r="DI79" s="61"/>
      <c r="DJ79" s="58">
        <f t="shared" si="927"/>
        <v>0</v>
      </c>
      <c r="DK79" s="58"/>
      <c r="DL79" s="58"/>
      <c r="DM79" s="59"/>
      <c r="DN79" s="60">
        <f t="shared" ref="DN79:EP79" si="928">IFERROR($C79*DN77,"")</f>
        <v>0</v>
      </c>
      <c r="DO79" s="60"/>
      <c r="DP79" s="60"/>
      <c r="DQ79" s="60"/>
      <c r="DR79" s="60">
        <f t="shared" ca="1" si="928"/>
        <v>0</v>
      </c>
      <c r="DS79" s="60"/>
      <c r="DT79" s="60"/>
      <c r="DU79" s="61"/>
      <c r="DV79" s="58">
        <f t="shared" ca="1" si="928"/>
        <v>0</v>
      </c>
      <c r="DW79" s="58"/>
      <c r="DX79" s="58"/>
      <c r="DY79" s="59"/>
      <c r="DZ79" s="60">
        <f t="shared" ca="1" si="928"/>
        <v>0</v>
      </c>
      <c r="EA79" s="60"/>
      <c r="EB79" s="60"/>
      <c r="EC79" s="60"/>
      <c r="ED79" s="60">
        <f t="shared" ca="1" si="928"/>
        <v>0</v>
      </c>
      <c r="EE79" s="60"/>
      <c r="EF79" s="60"/>
      <c r="EG79" s="61"/>
      <c r="EH79" s="58">
        <f t="shared" ca="1" si="928"/>
        <v>0</v>
      </c>
      <c r="EI79" s="58"/>
      <c r="EJ79" s="58"/>
      <c r="EK79" s="59"/>
      <c r="EL79" s="60">
        <f t="shared" ca="1" si="928"/>
        <v>0</v>
      </c>
      <c r="EM79" s="60"/>
      <c r="EN79" s="60"/>
      <c r="EO79" s="60"/>
      <c r="EP79" s="60">
        <f t="shared" ca="1" si="928"/>
        <v>0</v>
      </c>
      <c r="EQ79" s="60"/>
      <c r="ER79" s="60"/>
      <c r="ES79" s="61"/>
    </row>
    <row r="80" spans="1:149" customFormat="1" outlineLevel="1" x14ac:dyDescent="0.45">
      <c r="A80" s="2"/>
      <c r="B80" s="72" t="s">
        <v>34</v>
      </c>
      <c r="C80" s="19"/>
      <c r="D80" s="20" t="s">
        <v>13</v>
      </c>
      <c r="E80" s="21">
        <f ca="1">SUM(F80:ES80)</f>
        <v>11</v>
      </c>
      <c r="F80" s="74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G80" s="67"/>
      <c r="H80" s="67"/>
      <c r="I80" s="67"/>
      <c r="J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K80" s="67"/>
      <c r="L80" s="67"/>
      <c r="M80" s="67"/>
      <c r="N80" s="68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O80" s="70"/>
      <c r="P80" s="70"/>
      <c r="Q80" s="70"/>
      <c r="R80" s="70"/>
      <c r="S80" s="70"/>
      <c r="T80" s="70"/>
      <c r="U80" s="71"/>
      <c r="V80" s="67"/>
      <c r="W80" s="67"/>
      <c r="X80" s="67"/>
      <c r="Y80" s="67"/>
      <c r="Z80" s="67">
        <v>1</v>
      </c>
      <c r="AA80" s="67"/>
      <c r="AB80" s="67"/>
      <c r="AC80" s="68"/>
      <c r="AD80" s="67">
        <v>1</v>
      </c>
      <c r="AE80" s="67"/>
      <c r="AF80" s="67"/>
      <c r="AG80" s="67"/>
      <c r="AH80" s="67">
        <v>1</v>
      </c>
      <c r="AI80" s="67"/>
      <c r="AJ80" s="67"/>
      <c r="AK80" s="67"/>
      <c r="AL80" s="67">
        <v>1</v>
      </c>
      <c r="AM80" s="67"/>
      <c r="AN80" s="67"/>
      <c r="AO80" s="68"/>
      <c r="AP80" s="70">
        <v>1</v>
      </c>
      <c r="AQ80" s="70"/>
      <c r="AR80" s="70"/>
      <c r="AS80" s="71"/>
      <c r="AT80" s="67">
        <v>1</v>
      </c>
      <c r="AU80" s="67"/>
      <c r="AV80" s="67"/>
      <c r="AW80" s="67"/>
      <c r="AX80" s="67">
        <v>1</v>
      </c>
      <c r="AY80" s="67"/>
      <c r="AZ80" s="67"/>
      <c r="BA80" s="68"/>
      <c r="BB80" s="70">
        <v>1</v>
      </c>
      <c r="BC80" s="70"/>
      <c r="BD80" s="70"/>
      <c r="BE80" s="71"/>
      <c r="BF80" s="67">
        <v>1</v>
      </c>
      <c r="BG80" s="67"/>
      <c r="BH80" s="67"/>
      <c r="BI80" s="67"/>
      <c r="BJ80" s="67">
        <v>1</v>
      </c>
      <c r="BK80" s="67"/>
      <c r="BL80" s="67"/>
      <c r="BM80" s="68"/>
      <c r="BN80" s="70">
        <v>1</v>
      </c>
      <c r="BO80" s="70"/>
      <c r="BP80" s="70"/>
      <c r="BQ80" s="71"/>
      <c r="BR80" s="67"/>
      <c r="BS80" s="67"/>
      <c r="BT80" s="67"/>
      <c r="BU80" s="67"/>
      <c r="BV80" s="67"/>
      <c r="BW80" s="67"/>
      <c r="BX80" s="67"/>
      <c r="BY80" s="68"/>
      <c r="BZ80" s="70"/>
      <c r="CA80" s="70"/>
      <c r="CB80" s="70"/>
      <c r="CC80" s="71"/>
      <c r="CD80" s="67"/>
      <c r="CE80" s="67"/>
      <c r="CF80" s="67"/>
      <c r="CG80" s="67"/>
      <c r="CH80" s="67"/>
      <c r="CI80" s="67"/>
      <c r="CJ80" s="67"/>
      <c r="CK80" s="68"/>
      <c r="CL80" s="70"/>
      <c r="CM80" s="70"/>
      <c r="CN80" s="70"/>
      <c r="CO80" s="71"/>
      <c r="CP80" s="67"/>
      <c r="CQ80" s="67"/>
      <c r="CR80" s="67"/>
      <c r="CS80" s="67"/>
      <c r="CT80" s="67"/>
      <c r="CU80" s="67"/>
      <c r="CV80" s="67"/>
      <c r="CW80" s="68"/>
      <c r="CX80" s="70"/>
      <c r="CY80" s="70"/>
      <c r="CZ80" s="70"/>
      <c r="DA80" s="71"/>
      <c r="DB80" s="67"/>
      <c r="DC80" s="67"/>
      <c r="DD80" s="67"/>
      <c r="DE80" s="67"/>
      <c r="DF80" s="67"/>
      <c r="DG80" s="67"/>
      <c r="DH80" s="67"/>
      <c r="DI80" s="68"/>
      <c r="DJ80" s="70"/>
      <c r="DK80" s="70"/>
      <c r="DL80" s="70"/>
      <c r="DM80" s="71"/>
      <c r="DN80" s="67"/>
      <c r="DO80" s="67"/>
      <c r="DP80" s="67"/>
      <c r="DQ80" s="67"/>
      <c r="DR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DS80" s="67"/>
      <c r="DT80" s="67"/>
      <c r="DU80" s="68"/>
      <c r="DV80" s="70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DW80" s="70"/>
      <c r="DX80" s="70"/>
      <c r="DY80" s="71"/>
      <c r="DZ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A80" s="67"/>
      <c r="EB80" s="67"/>
      <c r="EC80" s="67"/>
      <c r="ED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E80" s="67"/>
      <c r="EF80" s="67"/>
      <c r="EG80" s="68"/>
      <c r="EH80" s="70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I80" s="70"/>
      <c r="EJ80" s="70"/>
      <c r="EK80" s="71"/>
      <c r="EL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M80" s="67"/>
      <c r="EN80" s="67"/>
      <c r="EO80" s="67"/>
      <c r="EP80" s="67">
        <f ca="1">IF(ISERROR(VLOOKUP(RIGHT(CELL("filename",$A$1),LEN(CELL("filename",$A$1))-FIND("]",CELL("filename",$A$1)))&amp;$B80,[2]要員計画!$L:$AJ,((COLUMN()-1)/4)+1,FALSE)),0,VLOOKUP(RIGHT(CELL("filename",$A$1),LEN(CELL("filename",$A$1))-FIND("]",CELL("filename",$A$1)))&amp;$B80,[2]要員計画!$L:$AJ,((COLUMN()-1)/4)+1,FALSE))</f>
        <v>0</v>
      </c>
      <c r="EQ80" s="67"/>
      <c r="ER80" s="67"/>
      <c r="ES80" s="68"/>
    </row>
    <row r="81" spans="1:149" customFormat="1" outlineLevel="1" x14ac:dyDescent="0.45">
      <c r="A81" s="2"/>
      <c r="B81" s="73"/>
      <c r="C81" s="22">
        <v>1050000</v>
      </c>
      <c r="D81" s="23" t="s">
        <v>23</v>
      </c>
      <c r="E81" s="24">
        <f ca="1">SUM(F81:CW81)</f>
        <v>11550000</v>
      </c>
      <c r="F81" s="69">
        <f ca="1">IFERROR($C81*F80,"")</f>
        <v>0</v>
      </c>
      <c r="G81" s="62"/>
      <c r="H81" s="62"/>
      <c r="I81" s="62"/>
      <c r="J81" s="62">
        <f t="shared" ref="J81" ca="1" si="929">IFERROR($C81*J80,"")</f>
        <v>0</v>
      </c>
      <c r="K81" s="62"/>
      <c r="L81" s="62"/>
      <c r="M81" s="62"/>
      <c r="N81" s="63">
        <f t="shared" ref="N81" ca="1" si="930">IFERROR($C81*N80,"")</f>
        <v>0</v>
      </c>
      <c r="O81" s="64"/>
      <c r="P81" s="64"/>
      <c r="Q81" s="64"/>
      <c r="R81" s="64">
        <f t="shared" ref="R81" si="931">IFERROR($C81*R80,"")</f>
        <v>0</v>
      </c>
      <c r="S81" s="64"/>
      <c r="T81" s="64"/>
      <c r="U81" s="65"/>
      <c r="V81" s="62">
        <f t="shared" ref="V81" si="932">IFERROR($C81*V80,"")</f>
        <v>0</v>
      </c>
      <c r="W81" s="62"/>
      <c r="X81" s="62"/>
      <c r="Y81" s="62"/>
      <c r="Z81" s="62">
        <f t="shared" ref="Z81" si="933">IFERROR($C81*Z80,"")</f>
        <v>1050000</v>
      </c>
      <c r="AA81" s="62"/>
      <c r="AB81" s="62"/>
      <c r="AC81" s="63"/>
      <c r="AD81" s="62">
        <f t="shared" ref="AD81" si="934">IFERROR($C81*AD80,"")</f>
        <v>1050000</v>
      </c>
      <c r="AE81" s="62"/>
      <c r="AF81" s="62"/>
      <c r="AG81" s="62"/>
      <c r="AH81" s="62">
        <f t="shared" ref="AH81" si="935">IFERROR($C81*AH80,"")</f>
        <v>1050000</v>
      </c>
      <c r="AI81" s="62"/>
      <c r="AJ81" s="62"/>
      <c r="AK81" s="62"/>
      <c r="AL81" s="62">
        <f t="shared" ref="AL81" si="936">IFERROR($C81*AL80,"")</f>
        <v>1050000</v>
      </c>
      <c r="AM81" s="62"/>
      <c r="AN81" s="62"/>
      <c r="AO81" s="63"/>
      <c r="AP81" s="64">
        <f t="shared" ref="AP81" si="937">IFERROR($C81*AP80,"")</f>
        <v>1050000</v>
      </c>
      <c r="AQ81" s="64"/>
      <c r="AR81" s="64"/>
      <c r="AS81" s="65"/>
      <c r="AT81" s="62">
        <f t="shared" ref="AT81" si="938">IFERROR($C81*AT80,"")</f>
        <v>1050000</v>
      </c>
      <c r="AU81" s="62"/>
      <c r="AV81" s="62"/>
      <c r="AW81" s="62"/>
      <c r="AX81" s="62">
        <f t="shared" ref="AX81" si="939">IFERROR($C81*AX80,"")</f>
        <v>1050000</v>
      </c>
      <c r="AY81" s="62"/>
      <c r="AZ81" s="62"/>
      <c r="BA81" s="63"/>
      <c r="BB81" s="64">
        <f t="shared" ref="BB81" si="940">IFERROR($C81*BB80,"")</f>
        <v>1050000</v>
      </c>
      <c r="BC81" s="64"/>
      <c r="BD81" s="64"/>
      <c r="BE81" s="65"/>
      <c r="BF81" s="62">
        <f t="shared" ref="BF81" si="941">IFERROR($C81*BF80,"")</f>
        <v>1050000</v>
      </c>
      <c r="BG81" s="62"/>
      <c r="BH81" s="62"/>
      <c r="BI81" s="62"/>
      <c r="BJ81" s="62">
        <f t="shared" ref="BJ81" si="942">IFERROR($C81*BJ80,"")</f>
        <v>1050000</v>
      </c>
      <c r="BK81" s="62"/>
      <c r="BL81" s="62"/>
      <c r="BM81" s="63"/>
      <c r="BN81" s="64">
        <f t="shared" ref="BN81" si="943">IFERROR($C81*BN80,"")</f>
        <v>1050000</v>
      </c>
      <c r="BO81" s="64"/>
      <c r="BP81" s="64"/>
      <c r="BQ81" s="65"/>
      <c r="BR81" s="62">
        <f t="shared" ref="BR81" si="944">IFERROR($C81*BR80,"")</f>
        <v>0</v>
      </c>
      <c r="BS81" s="62"/>
      <c r="BT81" s="62"/>
      <c r="BU81" s="62"/>
      <c r="BV81" s="62">
        <f t="shared" ref="BV81" si="945">IFERROR($C81*BV80,"")</f>
        <v>0</v>
      </c>
      <c r="BW81" s="62"/>
      <c r="BX81" s="62"/>
      <c r="BY81" s="63"/>
      <c r="BZ81" s="64">
        <f t="shared" ref="BZ81" si="946">IFERROR($C81*BZ80,"")</f>
        <v>0</v>
      </c>
      <c r="CA81" s="64"/>
      <c r="CB81" s="64"/>
      <c r="CC81" s="65"/>
      <c r="CD81" s="62">
        <f t="shared" ref="CD81" si="947">IFERROR($C81*CD80,"")</f>
        <v>0</v>
      </c>
      <c r="CE81" s="62"/>
      <c r="CF81" s="62"/>
      <c r="CG81" s="62"/>
      <c r="CH81" s="62">
        <f t="shared" ref="CH81" si="948">IFERROR($C81*CH80,"")</f>
        <v>0</v>
      </c>
      <c r="CI81" s="62"/>
      <c r="CJ81" s="62"/>
      <c r="CK81" s="63"/>
      <c r="CL81" s="64">
        <f t="shared" ref="CL81" si="949">IFERROR($C81*CL80,"")</f>
        <v>0</v>
      </c>
      <c r="CM81" s="64"/>
      <c r="CN81" s="64"/>
      <c r="CO81" s="65"/>
      <c r="CP81" s="62">
        <f t="shared" ref="CP81" si="950">IFERROR($C81*CP80,"")</f>
        <v>0</v>
      </c>
      <c r="CQ81" s="62"/>
      <c r="CR81" s="62"/>
      <c r="CS81" s="62"/>
      <c r="CT81" s="62">
        <f t="shared" ref="CT81" si="951">IFERROR($C81*CT80,"")</f>
        <v>0</v>
      </c>
      <c r="CU81" s="62"/>
      <c r="CV81" s="62"/>
      <c r="CW81" s="63"/>
      <c r="CX81" s="64">
        <f t="shared" ref="CX81" si="952">IFERROR($C81*CX80,"")</f>
        <v>0</v>
      </c>
      <c r="CY81" s="64"/>
      <c r="CZ81" s="64"/>
      <c r="DA81" s="65"/>
      <c r="DB81" s="62">
        <f t="shared" ref="DB81" si="953">IFERROR($C81*DB80,"")</f>
        <v>0</v>
      </c>
      <c r="DC81" s="62"/>
      <c r="DD81" s="62"/>
      <c r="DE81" s="62"/>
      <c r="DF81" s="62">
        <f t="shared" ref="DF81" si="954">IFERROR($C81*DF80,"")</f>
        <v>0</v>
      </c>
      <c r="DG81" s="62"/>
      <c r="DH81" s="62"/>
      <c r="DI81" s="63"/>
      <c r="DJ81" s="64">
        <f t="shared" ref="DJ81" si="955">IFERROR($C81*DJ80,"")</f>
        <v>0</v>
      </c>
      <c r="DK81" s="64"/>
      <c r="DL81" s="64"/>
      <c r="DM81" s="65"/>
      <c r="DN81" s="62">
        <f t="shared" ref="DN81" si="956">IFERROR($C81*DN80,"")</f>
        <v>0</v>
      </c>
      <c r="DO81" s="62"/>
      <c r="DP81" s="62"/>
      <c r="DQ81" s="62"/>
      <c r="DR81" s="62">
        <f t="shared" ref="DR81" ca="1" si="957">IFERROR($C81*DR80,"")</f>
        <v>0</v>
      </c>
      <c r="DS81" s="62"/>
      <c r="DT81" s="62"/>
      <c r="DU81" s="63"/>
      <c r="DV81" s="64">
        <f t="shared" ref="DV81" ca="1" si="958">IFERROR($C81*DV80,"")</f>
        <v>0</v>
      </c>
      <c r="DW81" s="64"/>
      <c r="DX81" s="64"/>
      <c r="DY81" s="65"/>
      <c r="DZ81" s="62">
        <f t="shared" ref="DZ81" ca="1" si="959">IFERROR($C81*DZ80,"")</f>
        <v>0</v>
      </c>
      <c r="EA81" s="62"/>
      <c r="EB81" s="62"/>
      <c r="EC81" s="62"/>
      <c r="ED81" s="62">
        <f t="shared" ref="ED81" ca="1" si="960">IFERROR($C81*ED80,"")</f>
        <v>0</v>
      </c>
      <c r="EE81" s="62"/>
      <c r="EF81" s="62"/>
      <c r="EG81" s="63"/>
      <c r="EH81" s="64">
        <f t="shared" ref="EH81" ca="1" si="961">IFERROR($C81*EH80,"")</f>
        <v>0</v>
      </c>
      <c r="EI81" s="64"/>
      <c r="EJ81" s="64"/>
      <c r="EK81" s="65"/>
      <c r="EL81" s="62">
        <f t="shared" ref="EL81" ca="1" si="962">IFERROR($C81*EL80,"")</f>
        <v>0</v>
      </c>
      <c r="EM81" s="62"/>
      <c r="EN81" s="62"/>
      <c r="EO81" s="62"/>
      <c r="EP81" s="62">
        <f t="shared" ref="EP81" ca="1" si="963">IFERROR($C81*EP80,"")</f>
        <v>0</v>
      </c>
      <c r="EQ81" s="62"/>
      <c r="ER81" s="62"/>
      <c r="ES81" s="63"/>
    </row>
    <row r="82" spans="1:149" customFormat="1" outlineLevel="1" x14ac:dyDescent="0.45">
      <c r="A82" s="2"/>
      <c r="B82" s="78"/>
      <c r="C82" s="25">
        <v>400000</v>
      </c>
      <c r="D82" s="26" t="s">
        <v>3</v>
      </c>
      <c r="E82" s="27">
        <f ca="1">SUM(F82:CW82)</f>
        <v>4400000</v>
      </c>
      <c r="F82" s="66">
        <f ca="1">IFERROR($C82*F80,"")</f>
        <v>0</v>
      </c>
      <c r="G82" s="60"/>
      <c r="H82" s="60"/>
      <c r="I82" s="60"/>
      <c r="J82" s="60">
        <f t="shared" ref="J82" ca="1" si="964">IFERROR($C82*J80,"")</f>
        <v>0</v>
      </c>
      <c r="K82" s="60"/>
      <c r="L82" s="60"/>
      <c r="M82" s="60"/>
      <c r="N82" s="61">
        <f t="shared" ref="N82" ca="1" si="965">IFERROR($C82*N80,"")</f>
        <v>0</v>
      </c>
      <c r="O82" s="58"/>
      <c r="P82" s="58"/>
      <c r="Q82" s="58"/>
      <c r="R82" s="58">
        <f t="shared" ref="R82" si="966">IFERROR($C82*R80,"")</f>
        <v>0</v>
      </c>
      <c r="S82" s="58"/>
      <c r="T82" s="58"/>
      <c r="U82" s="59"/>
      <c r="V82" s="60">
        <f t="shared" ref="V82" si="967">IFERROR($C82*V80,"")</f>
        <v>0</v>
      </c>
      <c r="W82" s="60"/>
      <c r="X82" s="60"/>
      <c r="Y82" s="60"/>
      <c r="Z82" s="60">
        <f t="shared" ref="Z82" si="968">IFERROR($C82*Z80,"")</f>
        <v>400000</v>
      </c>
      <c r="AA82" s="60"/>
      <c r="AB82" s="60"/>
      <c r="AC82" s="61"/>
      <c r="AD82" s="60">
        <f t="shared" ref="AD82" si="969">IFERROR($C82*AD80,"")</f>
        <v>400000</v>
      </c>
      <c r="AE82" s="60"/>
      <c r="AF82" s="60"/>
      <c r="AG82" s="60"/>
      <c r="AH82" s="60">
        <f t="shared" ref="AH82" si="970">IFERROR($C82*AH80,"")</f>
        <v>400000</v>
      </c>
      <c r="AI82" s="60"/>
      <c r="AJ82" s="60"/>
      <c r="AK82" s="60"/>
      <c r="AL82" s="60">
        <f t="shared" ref="AL82" si="971">IFERROR($C82*AL80,"")</f>
        <v>400000</v>
      </c>
      <c r="AM82" s="60"/>
      <c r="AN82" s="60"/>
      <c r="AO82" s="61"/>
      <c r="AP82" s="58">
        <f t="shared" ref="AP82" si="972">IFERROR($C82*AP80,"")</f>
        <v>400000</v>
      </c>
      <c r="AQ82" s="58"/>
      <c r="AR82" s="58"/>
      <c r="AS82" s="59"/>
      <c r="AT82" s="60">
        <f t="shared" ref="AT82" si="973">IFERROR($C82*AT80,"")</f>
        <v>400000</v>
      </c>
      <c r="AU82" s="60"/>
      <c r="AV82" s="60"/>
      <c r="AW82" s="60"/>
      <c r="AX82" s="60">
        <f t="shared" ref="AX82" si="974">IFERROR($C82*AX80,"")</f>
        <v>400000</v>
      </c>
      <c r="AY82" s="60"/>
      <c r="AZ82" s="60"/>
      <c r="BA82" s="61"/>
      <c r="BB82" s="58">
        <f t="shared" ref="BB82:CD82" si="975">IFERROR($C82*BB80,"")</f>
        <v>400000</v>
      </c>
      <c r="BC82" s="58"/>
      <c r="BD82" s="58"/>
      <c r="BE82" s="59"/>
      <c r="BF82" s="60">
        <f t="shared" si="975"/>
        <v>400000</v>
      </c>
      <c r="BG82" s="60"/>
      <c r="BH82" s="60"/>
      <c r="BI82" s="60"/>
      <c r="BJ82" s="60">
        <f t="shared" si="975"/>
        <v>400000</v>
      </c>
      <c r="BK82" s="60"/>
      <c r="BL82" s="60"/>
      <c r="BM82" s="61"/>
      <c r="BN82" s="58">
        <f t="shared" si="975"/>
        <v>400000</v>
      </c>
      <c r="BO82" s="58"/>
      <c r="BP82" s="58"/>
      <c r="BQ82" s="59"/>
      <c r="BR82" s="60">
        <f t="shared" si="975"/>
        <v>0</v>
      </c>
      <c r="BS82" s="60"/>
      <c r="BT82" s="60"/>
      <c r="BU82" s="60"/>
      <c r="BV82" s="60">
        <f t="shared" si="975"/>
        <v>0</v>
      </c>
      <c r="BW82" s="60"/>
      <c r="BX82" s="60"/>
      <c r="BY82" s="61"/>
      <c r="BZ82" s="58">
        <f t="shared" si="975"/>
        <v>0</v>
      </c>
      <c r="CA82" s="58"/>
      <c r="CB82" s="58"/>
      <c r="CC82" s="59"/>
      <c r="CD82" s="60">
        <f t="shared" si="975"/>
        <v>0</v>
      </c>
      <c r="CE82" s="60"/>
      <c r="CF82" s="60"/>
      <c r="CG82" s="60"/>
      <c r="CH82" s="60">
        <f t="shared" ref="CH82:DJ82" si="976">IFERROR($C82*CH80,"")</f>
        <v>0</v>
      </c>
      <c r="CI82" s="60"/>
      <c r="CJ82" s="60"/>
      <c r="CK82" s="61"/>
      <c r="CL82" s="58">
        <f t="shared" si="976"/>
        <v>0</v>
      </c>
      <c r="CM82" s="58"/>
      <c r="CN82" s="58"/>
      <c r="CO82" s="59"/>
      <c r="CP82" s="60">
        <f t="shared" si="976"/>
        <v>0</v>
      </c>
      <c r="CQ82" s="60"/>
      <c r="CR82" s="60"/>
      <c r="CS82" s="60"/>
      <c r="CT82" s="60">
        <f t="shared" si="976"/>
        <v>0</v>
      </c>
      <c r="CU82" s="60"/>
      <c r="CV82" s="60"/>
      <c r="CW82" s="61"/>
      <c r="CX82" s="58">
        <f t="shared" si="976"/>
        <v>0</v>
      </c>
      <c r="CY82" s="58"/>
      <c r="CZ82" s="58"/>
      <c r="DA82" s="59"/>
      <c r="DB82" s="60">
        <f t="shared" si="976"/>
        <v>0</v>
      </c>
      <c r="DC82" s="60"/>
      <c r="DD82" s="60"/>
      <c r="DE82" s="60"/>
      <c r="DF82" s="60">
        <f t="shared" si="976"/>
        <v>0</v>
      </c>
      <c r="DG82" s="60"/>
      <c r="DH82" s="60"/>
      <c r="DI82" s="61"/>
      <c r="DJ82" s="58">
        <f t="shared" si="976"/>
        <v>0</v>
      </c>
      <c r="DK82" s="58"/>
      <c r="DL82" s="58"/>
      <c r="DM82" s="59"/>
      <c r="DN82" s="60">
        <f t="shared" ref="DN82:EP82" si="977">IFERROR($C82*DN80,"")</f>
        <v>0</v>
      </c>
      <c r="DO82" s="60"/>
      <c r="DP82" s="60"/>
      <c r="DQ82" s="60"/>
      <c r="DR82" s="60">
        <f t="shared" ca="1" si="977"/>
        <v>0</v>
      </c>
      <c r="DS82" s="60"/>
      <c r="DT82" s="60"/>
      <c r="DU82" s="61"/>
      <c r="DV82" s="58">
        <f t="shared" ca="1" si="977"/>
        <v>0</v>
      </c>
      <c r="DW82" s="58"/>
      <c r="DX82" s="58"/>
      <c r="DY82" s="59"/>
      <c r="DZ82" s="60">
        <f t="shared" ca="1" si="977"/>
        <v>0</v>
      </c>
      <c r="EA82" s="60"/>
      <c r="EB82" s="60"/>
      <c r="EC82" s="60"/>
      <c r="ED82" s="60">
        <f t="shared" ca="1" si="977"/>
        <v>0</v>
      </c>
      <c r="EE82" s="60"/>
      <c r="EF82" s="60"/>
      <c r="EG82" s="61"/>
      <c r="EH82" s="58">
        <f t="shared" ca="1" si="977"/>
        <v>0</v>
      </c>
      <c r="EI82" s="58"/>
      <c r="EJ82" s="58"/>
      <c r="EK82" s="59"/>
      <c r="EL82" s="60">
        <f t="shared" ca="1" si="977"/>
        <v>0</v>
      </c>
      <c r="EM82" s="60"/>
      <c r="EN82" s="60"/>
      <c r="EO82" s="60"/>
      <c r="EP82" s="60">
        <f t="shared" ca="1" si="977"/>
        <v>0</v>
      </c>
      <c r="EQ82" s="60"/>
      <c r="ER82" s="60"/>
      <c r="ES82" s="61"/>
    </row>
    <row r="83" spans="1:149" customFormat="1" outlineLevel="1" x14ac:dyDescent="0.45">
      <c r="A83" s="2"/>
      <c r="B83" s="34" t="s">
        <v>57</v>
      </c>
      <c r="C83" s="19"/>
      <c r="D83" s="20" t="s">
        <v>13</v>
      </c>
      <c r="E83" s="21">
        <f ca="1">SUM(F83:ES83)</f>
        <v>11</v>
      </c>
      <c r="F83" s="74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G83" s="67"/>
      <c r="H83" s="67"/>
      <c r="I83" s="67"/>
      <c r="J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K83" s="67"/>
      <c r="L83" s="67"/>
      <c r="M83" s="67"/>
      <c r="N83" s="68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O83" s="70"/>
      <c r="P83" s="70"/>
      <c r="Q83" s="70"/>
      <c r="R83" s="70"/>
      <c r="S83" s="70"/>
      <c r="T83" s="70"/>
      <c r="U83" s="71"/>
      <c r="V83" s="67"/>
      <c r="W83" s="67"/>
      <c r="X83" s="67"/>
      <c r="Y83" s="67"/>
      <c r="Z83" s="67">
        <v>1</v>
      </c>
      <c r="AA83" s="67"/>
      <c r="AB83" s="67"/>
      <c r="AC83" s="68"/>
      <c r="AD83" s="67">
        <v>1</v>
      </c>
      <c r="AE83" s="67"/>
      <c r="AF83" s="67"/>
      <c r="AG83" s="67"/>
      <c r="AH83" s="67">
        <v>1</v>
      </c>
      <c r="AI83" s="67"/>
      <c r="AJ83" s="67"/>
      <c r="AK83" s="67"/>
      <c r="AL83" s="67">
        <v>1</v>
      </c>
      <c r="AM83" s="67"/>
      <c r="AN83" s="67"/>
      <c r="AO83" s="68"/>
      <c r="AP83" s="70">
        <v>1</v>
      </c>
      <c r="AQ83" s="70"/>
      <c r="AR83" s="70"/>
      <c r="AS83" s="71"/>
      <c r="AT83" s="67">
        <v>1</v>
      </c>
      <c r="AU83" s="67"/>
      <c r="AV83" s="67"/>
      <c r="AW83" s="67"/>
      <c r="AX83" s="67">
        <v>1</v>
      </c>
      <c r="AY83" s="67"/>
      <c r="AZ83" s="67"/>
      <c r="BA83" s="68"/>
      <c r="BB83" s="70">
        <v>1</v>
      </c>
      <c r="BC83" s="70"/>
      <c r="BD83" s="70"/>
      <c r="BE83" s="71"/>
      <c r="BF83" s="67">
        <v>1</v>
      </c>
      <c r="BG83" s="67"/>
      <c r="BH83" s="67"/>
      <c r="BI83" s="67"/>
      <c r="BJ83" s="67">
        <v>1</v>
      </c>
      <c r="BK83" s="67"/>
      <c r="BL83" s="67"/>
      <c r="BM83" s="68"/>
      <c r="BN83" s="70">
        <v>1</v>
      </c>
      <c r="BO83" s="70"/>
      <c r="BP83" s="70"/>
      <c r="BQ83" s="71"/>
      <c r="BR83" s="67"/>
      <c r="BS83" s="67"/>
      <c r="BT83" s="67"/>
      <c r="BU83" s="67"/>
      <c r="BV83" s="67"/>
      <c r="BW83" s="67"/>
      <c r="BX83" s="67"/>
      <c r="BY83" s="68"/>
      <c r="BZ83" s="70"/>
      <c r="CA83" s="70"/>
      <c r="CB83" s="70"/>
      <c r="CC83" s="71"/>
      <c r="CD83" s="67"/>
      <c r="CE83" s="67"/>
      <c r="CF83" s="67"/>
      <c r="CG83" s="67"/>
      <c r="CH83" s="67"/>
      <c r="CI83" s="67"/>
      <c r="CJ83" s="67"/>
      <c r="CK83" s="68"/>
      <c r="CL83" s="70"/>
      <c r="CM83" s="70"/>
      <c r="CN83" s="70"/>
      <c r="CO83" s="71"/>
      <c r="CP83" s="67"/>
      <c r="CQ83" s="67"/>
      <c r="CR83" s="67"/>
      <c r="CS83" s="67"/>
      <c r="CT83" s="67"/>
      <c r="CU83" s="67"/>
      <c r="CV83" s="67"/>
      <c r="CW83" s="68"/>
      <c r="CX83" s="70"/>
      <c r="CY83" s="70"/>
      <c r="CZ83" s="70"/>
      <c r="DA83" s="71"/>
      <c r="DB83" s="67"/>
      <c r="DC83" s="67"/>
      <c r="DD83" s="67"/>
      <c r="DE83" s="67"/>
      <c r="DF83" s="67"/>
      <c r="DG83" s="67"/>
      <c r="DH83" s="67"/>
      <c r="DI83" s="68"/>
      <c r="DJ83" s="70"/>
      <c r="DK83" s="70"/>
      <c r="DL83" s="70"/>
      <c r="DM83" s="71"/>
      <c r="DN83" s="67"/>
      <c r="DO83" s="67"/>
      <c r="DP83" s="67"/>
      <c r="DQ83" s="67"/>
      <c r="DR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DS83" s="67"/>
      <c r="DT83" s="67"/>
      <c r="DU83" s="68"/>
      <c r="DV83" s="70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DW83" s="70"/>
      <c r="DX83" s="70"/>
      <c r="DY83" s="71"/>
      <c r="DZ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A83" s="67"/>
      <c r="EB83" s="67"/>
      <c r="EC83" s="67"/>
      <c r="ED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E83" s="67"/>
      <c r="EF83" s="67"/>
      <c r="EG83" s="68"/>
      <c r="EH83" s="70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I83" s="70"/>
      <c r="EJ83" s="70"/>
      <c r="EK83" s="71"/>
      <c r="EL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M83" s="67"/>
      <c r="EN83" s="67"/>
      <c r="EO83" s="67"/>
      <c r="EP83" s="67">
        <f ca="1">IF(ISERROR(VLOOKUP(RIGHT(CELL("filename",$A$1),LEN(CELL("filename",$A$1))-FIND("]",CELL("filename",$A$1)))&amp;$B83,[2]要員計画!$L:$AJ,((COLUMN()-1)/4)+1,FALSE)),0,VLOOKUP(RIGHT(CELL("filename",$A$1),LEN(CELL("filename",$A$1))-FIND("]",CELL("filename",$A$1)))&amp;$B83,[2]要員計画!$L:$AJ,((COLUMN()-1)/4)+1,FALSE))</f>
        <v>0</v>
      </c>
      <c r="EQ83" s="67"/>
      <c r="ER83" s="67"/>
      <c r="ES83" s="68"/>
    </row>
    <row r="84" spans="1:149" customFormat="1" outlineLevel="1" x14ac:dyDescent="0.45">
      <c r="A84" s="2"/>
      <c r="B84" s="35"/>
      <c r="C84" s="22">
        <v>1050000</v>
      </c>
      <c r="D84" s="23" t="s">
        <v>23</v>
      </c>
      <c r="E84" s="24">
        <f ca="1">SUM(F84:CW84)</f>
        <v>11550000</v>
      </c>
      <c r="F84" s="69">
        <f ca="1">IFERROR($C84*F83,"")</f>
        <v>0</v>
      </c>
      <c r="G84" s="62"/>
      <c r="H84" s="62"/>
      <c r="I84" s="62"/>
      <c r="J84" s="62">
        <f t="shared" ref="J84" ca="1" si="978">IFERROR($C84*J83,"")</f>
        <v>0</v>
      </c>
      <c r="K84" s="62"/>
      <c r="L84" s="62"/>
      <c r="M84" s="62"/>
      <c r="N84" s="63">
        <f t="shared" ref="N84" ca="1" si="979">IFERROR($C84*N83,"")</f>
        <v>0</v>
      </c>
      <c r="O84" s="64"/>
      <c r="P84" s="64"/>
      <c r="Q84" s="64"/>
      <c r="R84" s="64">
        <f t="shared" ref="R84" si="980">IFERROR($C84*R83,"")</f>
        <v>0</v>
      </c>
      <c r="S84" s="64"/>
      <c r="T84" s="64"/>
      <c r="U84" s="65"/>
      <c r="V84" s="62">
        <f t="shared" ref="V84" si="981">IFERROR($C84*V83,"")</f>
        <v>0</v>
      </c>
      <c r="W84" s="62"/>
      <c r="X84" s="62"/>
      <c r="Y84" s="62"/>
      <c r="Z84" s="62">
        <f t="shared" ref="Z84" si="982">IFERROR($C84*Z83,"")</f>
        <v>1050000</v>
      </c>
      <c r="AA84" s="62"/>
      <c r="AB84" s="62"/>
      <c r="AC84" s="63"/>
      <c r="AD84" s="62">
        <f t="shared" ref="AD84" si="983">IFERROR($C84*AD83,"")</f>
        <v>1050000</v>
      </c>
      <c r="AE84" s="62"/>
      <c r="AF84" s="62"/>
      <c r="AG84" s="62"/>
      <c r="AH84" s="62">
        <f t="shared" ref="AH84" si="984">IFERROR($C84*AH83,"")</f>
        <v>1050000</v>
      </c>
      <c r="AI84" s="62"/>
      <c r="AJ84" s="62"/>
      <c r="AK84" s="62"/>
      <c r="AL84" s="62">
        <f t="shared" ref="AL84" si="985">IFERROR($C84*AL83,"")</f>
        <v>1050000</v>
      </c>
      <c r="AM84" s="62"/>
      <c r="AN84" s="62"/>
      <c r="AO84" s="63"/>
      <c r="AP84" s="64">
        <f t="shared" ref="AP84" si="986">IFERROR($C84*AP83,"")</f>
        <v>1050000</v>
      </c>
      <c r="AQ84" s="64"/>
      <c r="AR84" s="64"/>
      <c r="AS84" s="65"/>
      <c r="AT84" s="62">
        <f t="shared" ref="AT84" si="987">IFERROR($C84*AT83,"")</f>
        <v>1050000</v>
      </c>
      <c r="AU84" s="62"/>
      <c r="AV84" s="62"/>
      <c r="AW84" s="62"/>
      <c r="AX84" s="62">
        <f t="shared" ref="AX84" si="988">IFERROR($C84*AX83,"")</f>
        <v>1050000</v>
      </c>
      <c r="AY84" s="62"/>
      <c r="AZ84" s="62"/>
      <c r="BA84" s="63"/>
      <c r="BB84" s="64">
        <f t="shared" ref="BB84" si="989">IFERROR($C84*BB83,"")</f>
        <v>1050000</v>
      </c>
      <c r="BC84" s="64"/>
      <c r="BD84" s="64"/>
      <c r="BE84" s="65"/>
      <c r="BF84" s="62">
        <f t="shared" ref="BF84" si="990">IFERROR($C84*BF83,"")</f>
        <v>1050000</v>
      </c>
      <c r="BG84" s="62"/>
      <c r="BH84" s="62"/>
      <c r="BI84" s="62"/>
      <c r="BJ84" s="62">
        <f t="shared" ref="BJ84" si="991">IFERROR($C84*BJ83,"")</f>
        <v>1050000</v>
      </c>
      <c r="BK84" s="62"/>
      <c r="BL84" s="62"/>
      <c r="BM84" s="63"/>
      <c r="BN84" s="64">
        <f t="shared" ref="BN84" si="992">IFERROR($C84*BN83,"")</f>
        <v>1050000</v>
      </c>
      <c r="BO84" s="64"/>
      <c r="BP84" s="64"/>
      <c r="BQ84" s="65"/>
      <c r="BR84" s="62">
        <f t="shared" ref="BR84" si="993">IFERROR($C84*BR83,"")</f>
        <v>0</v>
      </c>
      <c r="BS84" s="62"/>
      <c r="BT84" s="62"/>
      <c r="BU84" s="62"/>
      <c r="BV84" s="62">
        <f t="shared" ref="BV84" si="994">IFERROR($C84*BV83,"")</f>
        <v>0</v>
      </c>
      <c r="BW84" s="62"/>
      <c r="BX84" s="62"/>
      <c r="BY84" s="63"/>
      <c r="BZ84" s="64">
        <f t="shared" ref="BZ84" si="995">IFERROR($C84*BZ83,"")</f>
        <v>0</v>
      </c>
      <c r="CA84" s="64"/>
      <c r="CB84" s="64"/>
      <c r="CC84" s="65"/>
      <c r="CD84" s="62">
        <f t="shared" ref="CD84" si="996">IFERROR($C84*CD83,"")</f>
        <v>0</v>
      </c>
      <c r="CE84" s="62"/>
      <c r="CF84" s="62"/>
      <c r="CG84" s="62"/>
      <c r="CH84" s="62">
        <f t="shared" ref="CH84" si="997">IFERROR($C84*CH83,"")</f>
        <v>0</v>
      </c>
      <c r="CI84" s="62"/>
      <c r="CJ84" s="62"/>
      <c r="CK84" s="63"/>
      <c r="CL84" s="64">
        <f t="shared" ref="CL84" si="998">IFERROR($C84*CL83,"")</f>
        <v>0</v>
      </c>
      <c r="CM84" s="64"/>
      <c r="CN84" s="64"/>
      <c r="CO84" s="65"/>
      <c r="CP84" s="62">
        <f t="shared" ref="CP84" si="999">IFERROR($C84*CP83,"")</f>
        <v>0</v>
      </c>
      <c r="CQ84" s="62"/>
      <c r="CR84" s="62"/>
      <c r="CS84" s="62"/>
      <c r="CT84" s="62">
        <f t="shared" ref="CT84" si="1000">IFERROR($C84*CT83,"")</f>
        <v>0</v>
      </c>
      <c r="CU84" s="62"/>
      <c r="CV84" s="62"/>
      <c r="CW84" s="63"/>
      <c r="CX84" s="64">
        <f t="shared" ref="CX84" si="1001">IFERROR($C84*CX83,"")</f>
        <v>0</v>
      </c>
      <c r="CY84" s="64"/>
      <c r="CZ84" s="64"/>
      <c r="DA84" s="65"/>
      <c r="DB84" s="62">
        <f t="shared" ref="DB84" si="1002">IFERROR($C84*DB83,"")</f>
        <v>0</v>
      </c>
      <c r="DC84" s="62"/>
      <c r="DD84" s="62"/>
      <c r="DE84" s="62"/>
      <c r="DF84" s="62">
        <f t="shared" ref="DF84" si="1003">IFERROR($C84*DF83,"")</f>
        <v>0</v>
      </c>
      <c r="DG84" s="62"/>
      <c r="DH84" s="62"/>
      <c r="DI84" s="63"/>
      <c r="DJ84" s="64">
        <f t="shared" ref="DJ84" si="1004">IFERROR($C84*DJ83,"")</f>
        <v>0</v>
      </c>
      <c r="DK84" s="64"/>
      <c r="DL84" s="64"/>
      <c r="DM84" s="65"/>
      <c r="DN84" s="62">
        <f t="shared" ref="DN84" si="1005">IFERROR($C84*DN83,"")</f>
        <v>0</v>
      </c>
      <c r="DO84" s="62"/>
      <c r="DP84" s="62"/>
      <c r="DQ84" s="62"/>
      <c r="DR84" s="62">
        <f t="shared" ref="DR84" ca="1" si="1006">IFERROR($C84*DR83,"")</f>
        <v>0</v>
      </c>
      <c r="DS84" s="62"/>
      <c r="DT84" s="62"/>
      <c r="DU84" s="63"/>
      <c r="DV84" s="64">
        <f t="shared" ref="DV84" ca="1" si="1007">IFERROR($C84*DV83,"")</f>
        <v>0</v>
      </c>
      <c r="DW84" s="64"/>
      <c r="DX84" s="64"/>
      <c r="DY84" s="65"/>
      <c r="DZ84" s="62">
        <f t="shared" ref="DZ84" ca="1" si="1008">IFERROR($C84*DZ83,"")</f>
        <v>0</v>
      </c>
      <c r="EA84" s="62"/>
      <c r="EB84" s="62"/>
      <c r="EC84" s="62"/>
      <c r="ED84" s="62">
        <f t="shared" ref="ED84" ca="1" si="1009">IFERROR($C84*ED83,"")</f>
        <v>0</v>
      </c>
      <c r="EE84" s="62"/>
      <c r="EF84" s="62"/>
      <c r="EG84" s="63"/>
      <c r="EH84" s="64">
        <f t="shared" ref="EH84" ca="1" si="1010">IFERROR($C84*EH83,"")</f>
        <v>0</v>
      </c>
      <c r="EI84" s="64"/>
      <c r="EJ84" s="64"/>
      <c r="EK84" s="65"/>
      <c r="EL84" s="62">
        <f t="shared" ref="EL84" ca="1" si="1011">IFERROR($C84*EL83,"")</f>
        <v>0</v>
      </c>
      <c r="EM84" s="62"/>
      <c r="EN84" s="62"/>
      <c r="EO84" s="62"/>
      <c r="EP84" s="62">
        <f t="shared" ref="EP84" ca="1" si="1012">IFERROR($C84*EP83,"")</f>
        <v>0</v>
      </c>
      <c r="EQ84" s="62"/>
      <c r="ER84" s="62"/>
      <c r="ES84" s="63"/>
    </row>
    <row r="85" spans="1:149" customFormat="1" outlineLevel="1" x14ac:dyDescent="0.45">
      <c r="A85" s="2"/>
      <c r="B85" s="36"/>
      <c r="C85" s="25">
        <v>400000</v>
      </c>
      <c r="D85" s="26" t="s">
        <v>3</v>
      </c>
      <c r="E85" s="27">
        <f ca="1">SUM(F85:CW85)</f>
        <v>4400000</v>
      </c>
      <c r="F85" s="66">
        <f ca="1">IFERROR($C85*F83,"")</f>
        <v>0</v>
      </c>
      <c r="G85" s="60"/>
      <c r="H85" s="60"/>
      <c r="I85" s="60"/>
      <c r="J85" s="60">
        <f t="shared" ref="J85" ca="1" si="1013">IFERROR($C85*J83,"")</f>
        <v>0</v>
      </c>
      <c r="K85" s="60"/>
      <c r="L85" s="60"/>
      <c r="M85" s="60"/>
      <c r="N85" s="61">
        <f t="shared" ref="N85" ca="1" si="1014">IFERROR($C85*N83,"")</f>
        <v>0</v>
      </c>
      <c r="O85" s="58"/>
      <c r="P85" s="58"/>
      <c r="Q85" s="58"/>
      <c r="R85" s="58">
        <f t="shared" ref="R85" si="1015">IFERROR($C85*R83,"")</f>
        <v>0</v>
      </c>
      <c r="S85" s="58"/>
      <c r="T85" s="58"/>
      <c r="U85" s="59"/>
      <c r="V85" s="60">
        <f t="shared" ref="V85" si="1016">IFERROR($C85*V83,"")</f>
        <v>0</v>
      </c>
      <c r="W85" s="60"/>
      <c r="X85" s="60"/>
      <c r="Y85" s="60"/>
      <c r="Z85" s="60">
        <f t="shared" ref="Z85" si="1017">IFERROR($C85*Z83,"")</f>
        <v>400000</v>
      </c>
      <c r="AA85" s="60"/>
      <c r="AB85" s="60"/>
      <c r="AC85" s="61"/>
      <c r="AD85" s="60">
        <f t="shared" ref="AD85" si="1018">IFERROR($C85*AD83,"")</f>
        <v>400000</v>
      </c>
      <c r="AE85" s="60"/>
      <c r="AF85" s="60"/>
      <c r="AG85" s="60"/>
      <c r="AH85" s="60">
        <f t="shared" ref="AH85" si="1019">IFERROR($C85*AH83,"")</f>
        <v>400000</v>
      </c>
      <c r="AI85" s="60"/>
      <c r="AJ85" s="60"/>
      <c r="AK85" s="60"/>
      <c r="AL85" s="60">
        <f t="shared" ref="AL85" si="1020">IFERROR($C85*AL83,"")</f>
        <v>400000</v>
      </c>
      <c r="AM85" s="60"/>
      <c r="AN85" s="60"/>
      <c r="AO85" s="61"/>
      <c r="AP85" s="58">
        <f t="shared" ref="AP85" si="1021">IFERROR($C85*AP83,"")</f>
        <v>400000</v>
      </c>
      <c r="AQ85" s="58"/>
      <c r="AR85" s="58"/>
      <c r="AS85" s="59"/>
      <c r="AT85" s="60">
        <f t="shared" ref="AT85" si="1022">IFERROR($C85*AT83,"")</f>
        <v>400000</v>
      </c>
      <c r="AU85" s="60"/>
      <c r="AV85" s="60"/>
      <c r="AW85" s="60"/>
      <c r="AX85" s="60">
        <f t="shared" ref="AX85" si="1023">IFERROR($C85*AX83,"")</f>
        <v>400000</v>
      </c>
      <c r="AY85" s="60"/>
      <c r="AZ85" s="60"/>
      <c r="BA85" s="61"/>
      <c r="BB85" s="58">
        <f t="shared" ref="BB85" si="1024">IFERROR($C85*BB83,"")</f>
        <v>400000</v>
      </c>
      <c r="BC85" s="58"/>
      <c r="BD85" s="58"/>
      <c r="BE85" s="59"/>
      <c r="BF85" s="60">
        <f t="shared" ref="BF85" si="1025">IFERROR($C85*BF83,"")</f>
        <v>400000</v>
      </c>
      <c r="BG85" s="60"/>
      <c r="BH85" s="60"/>
      <c r="BI85" s="60"/>
      <c r="BJ85" s="60">
        <f t="shared" ref="BJ85" si="1026">IFERROR($C85*BJ83,"")</f>
        <v>400000</v>
      </c>
      <c r="BK85" s="60"/>
      <c r="BL85" s="60"/>
      <c r="BM85" s="61"/>
      <c r="BN85" s="58">
        <f t="shared" ref="BN85" si="1027">IFERROR($C85*BN83,"")</f>
        <v>400000</v>
      </c>
      <c r="BO85" s="58"/>
      <c r="BP85" s="58"/>
      <c r="BQ85" s="59"/>
      <c r="BR85" s="60">
        <f t="shared" ref="BR85" si="1028">IFERROR($C85*BR83,"")</f>
        <v>0</v>
      </c>
      <c r="BS85" s="60"/>
      <c r="BT85" s="60"/>
      <c r="BU85" s="60"/>
      <c r="BV85" s="60">
        <f t="shared" ref="BV85" si="1029">IFERROR($C85*BV83,"")</f>
        <v>0</v>
      </c>
      <c r="BW85" s="60"/>
      <c r="BX85" s="60"/>
      <c r="BY85" s="61"/>
      <c r="BZ85" s="58">
        <f t="shared" ref="BZ85" si="1030">IFERROR($C85*BZ83,"")</f>
        <v>0</v>
      </c>
      <c r="CA85" s="58"/>
      <c r="CB85" s="58"/>
      <c r="CC85" s="59"/>
      <c r="CD85" s="60">
        <f t="shared" ref="CD85" si="1031">IFERROR($C85*CD83,"")</f>
        <v>0</v>
      </c>
      <c r="CE85" s="60"/>
      <c r="CF85" s="60"/>
      <c r="CG85" s="60"/>
      <c r="CH85" s="60">
        <f t="shared" ref="CH85" si="1032">IFERROR($C85*CH83,"")</f>
        <v>0</v>
      </c>
      <c r="CI85" s="60"/>
      <c r="CJ85" s="60"/>
      <c r="CK85" s="61"/>
      <c r="CL85" s="58">
        <f t="shared" ref="CL85" si="1033">IFERROR($C85*CL83,"")</f>
        <v>0</v>
      </c>
      <c r="CM85" s="58"/>
      <c r="CN85" s="58"/>
      <c r="CO85" s="59"/>
      <c r="CP85" s="60">
        <f t="shared" ref="CP85" si="1034">IFERROR($C85*CP83,"")</f>
        <v>0</v>
      </c>
      <c r="CQ85" s="60"/>
      <c r="CR85" s="60"/>
      <c r="CS85" s="60"/>
      <c r="CT85" s="60">
        <f t="shared" ref="CT85" si="1035">IFERROR($C85*CT83,"")</f>
        <v>0</v>
      </c>
      <c r="CU85" s="60"/>
      <c r="CV85" s="60"/>
      <c r="CW85" s="61"/>
      <c r="CX85" s="58">
        <f t="shared" ref="CX85" si="1036">IFERROR($C85*CX83,"")</f>
        <v>0</v>
      </c>
      <c r="CY85" s="58"/>
      <c r="CZ85" s="58"/>
      <c r="DA85" s="59"/>
      <c r="DB85" s="60">
        <f t="shared" ref="DB85" si="1037">IFERROR($C85*DB83,"")</f>
        <v>0</v>
      </c>
      <c r="DC85" s="60"/>
      <c r="DD85" s="60"/>
      <c r="DE85" s="60"/>
      <c r="DF85" s="60">
        <f t="shared" ref="DF85" si="1038">IFERROR($C85*DF83,"")</f>
        <v>0</v>
      </c>
      <c r="DG85" s="60"/>
      <c r="DH85" s="60"/>
      <c r="DI85" s="61"/>
      <c r="DJ85" s="58">
        <f t="shared" ref="DJ85" si="1039">IFERROR($C85*DJ83,"")</f>
        <v>0</v>
      </c>
      <c r="DK85" s="58"/>
      <c r="DL85" s="58"/>
      <c r="DM85" s="59"/>
      <c r="DN85" s="60">
        <f t="shared" ref="DN85" si="1040">IFERROR($C85*DN83,"")</f>
        <v>0</v>
      </c>
      <c r="DO85" s="60"/>
      <c r="DP85" s="60"/>
      <c r="DQ85" s="60"/>
      <c r="DR85" s="60">
        <f t="shared" ref="DR85" ca="1" si="1041">IFERROR($C85*DR83,"")</f>
        <v>0</v>
      </c>
      <c r="DS85" s="60"/>
      <c r="DT85" s="60"/>
      <c r="DU85" s="61"/>
      <c r="DV85" s="58">
        <f t="shared" ref="DV85" ca="1" si="1042">IFERROR($C85*DV83,"")</f>
        <v>0</v>
      </c>
      <c r="DW85" s="58"/>
      <c r="DX85" s="58"/>
      <c r="DY85" s="59"/>
      <c r="DZ85" s="60">
        <f t="shared" ref="DZ85" ca="1" si="1043">IFERROR($C85*DZ83,"")</f>
        <v>0</v>
      </c>
      <c r="EA85" s="60"/>
      <c r="EB85" s="60"/>
      <c r="EC85" s="60"/>
      <c r="ED85" s="60">
        <f t="shared" ref="ED85" ca="1" si="1044">IFERROR($C85*ED83,"")</f>
        <v>0</v>
      </c>
      <c r="EE85" s="60"/>
      <c r="EF85" s="60"/>
      <c r="EG85" s="61"/>
      <c r="EH85" s="58">
        <f t="shared" ref="EH85" ca="1" si="1045">IFERROR($C85*EH83,"")</f>
        <v>0</v>
      </c>
      <c r="EI85" s="58"/>
      <c r="EJ85" s="58"/>
      <c r="EK85" s="59"/>
      <c r="EL85" s="60">
        <f t="shared" ref="EL85" ca="1" si="1046">IFERROR($C85*EL83,"")</f>
        <v>0</v>
      </c>
      <c r="EM85" s="60"/>
      <c r="EN85" s="60"/>
      <c r="EO85" s="60"/>
      <c r="EP85" s="60">
        <f t="shared" ref="EP85" ca="1" si="1047">IFERROR($C85*EP83,"")</f>
        <v>0</v>
      </c>
      <c r="EQ85" s="60"/>
      <c r="ER85" s="60"/>
      <c r="ES85" s="61"/>
    </row>
    <row r="86" spans="1:149" customFormat="1" outlineLevel="1" x14ac:dyDescent="0.45">
      <c r="A86" s="2"/>
      <c r="B86" s="34" t="s">
        <v>58</v>
      </c>
      <c r="C86" s="19"/>
      <c r="D86" s="20" t="s">
        <v>13</v>
      </c>
      <c r="E86" s="21">
        <f ca="1">SUM(F86:ES86)</f>
        <v>11</v>
      </c>
      <c r="F86" s="74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G86" s="67"/>
      <c r="H86" s="67"/>
      <c r="I86" s="67"/>
      <c r="J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K86" s="67"/>
      <c r="L86" s="67"/>
      <c r="M86" s="67"/>
      <c r="N86" s="68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O86" s="70"/>
      <c r="P86" s="70"/>
      <c r="Q86" s="70"/>
      <c r="R86" s="70"/>
      <c r="S86" s="70"/>
      <c r="T86" s="70"/>
      <c r="U86" s="71"/>
      <c r="V86" s="67"/>
      <c r="W86" s="67"/>
      <c r="X86" s="67"/>
      <c r="Y86" s="67"/>
      <c r="Z86" s="67">
        <v>1</v>
      </c>
      <c r="AA86" s="67"/>
      <c r="AB86" s="67"/>
      <c r="AC86" s="68"/>
      <c r="AD86" s="67">
        <v>1</v>
      </c>
      <c r="AE86" s="67"/>
      <c r="AF86" s="67"/>
      <c r="AG86" s="67"/>
      <c r="AH86" s="67">
        <v>1</v>
      </c>
      <c r="AI86" s="67"/>
      <c r="AJ86" s="67"/>
      <c r="AK86" s="67"/>
      <c r="AL86" s="67">
        <v>1</v>
      </c>
      <c r="AM86" s="67"/>
      <c r="AN86" s="67"/>
      <c r="AO86" s="68"/>
      <c r="AP86" s="70">
        <v>1</v>
      </c>
      <c r="AQ86" s="70"/>
      <c r="AR86" s="70"/>
      <c r="AS86" s="71"/>
      <c r="AT86" s="67">
        <v>1</v>
      </c>
      <c r="AU86" s="67"/>
      <c r="AV86" s="67"/>
      <c r="AW86" s="67"/>
      <c r="AX86" s="67">
        <v>1</v>
      </c>
      <c r="AY86" s="67"/>
      <c r="AZ86" s="67"/>
      <c r="BA86" s="68"/>
      <c r="BB86" s="70">
        <v>1</v>
      </c>
      <c r="BC86" s="70"/>
      <c r="BD86" s="70"/>
      <c r="BE86" s="71"/>
      <c r="BF86" s="67">
        <v>1</v>
      </c>
      <c r="BG86" s="67"/>
      <c r="BH86" s="67"/>
      <c r="BI86" s="67"/>
      <c r="BJ86" s="67">
        <v>1</v>
      </c>
      <c r="BK86" s="67"/>
      <c r="BL86" s="67"/>
      <c r="BM86" s="68"/>
      <c r="BN86" s="70">
        <v>1</v>
      </c>
      <c r="BO86" s="70"/>
      <c r="BP86" s="70"/>
      <c r="BQ86" s="71"/>
      <c r="BR86" s="67"/>
      <c r="BS86" s="67"/>
      <c r="BT86" s="67"/>
      <c r="BU86" s="67"/>
      <c r="BV86" s="67"/>
      <c r="BW86" s="67"/>
      <c r="BX86" s="67"/>
      <c r="BY86" s="68"/>
      <c r="BZ86" s="70"/>
      <c r="CA86" s="70"/>
      <c r="CB86" s="70"/>
      <c r="CC86" s="71"/>
      <c r="CD86" s="67"/>
      <c r="CE86" s="67"/>
      <c r="CF86" s="67"/>
      <c r="CG86" s="67"/>
      <c r="CH86" s="67"/>
      <c r="CI86" s="67"/>
      <c r="CJ86" s="67"/>
      <c r="CK86" s="68"/>
      <c r="CL86" s="70"/>
      <c r="CM86" s="70"/>
      <c r="CN86" s="70"/>
      <c r="CO86" s="71"/>
      <c r="CP86" s="67"/>
      <c r="CQ86" s="67"/>
      <c r="CR86" s="67"/>
      <c r="CS86" s="67"/>
      <c r="CT86" s="67"/>
      <c r="CU86" s="67"/>
      <c r="CV86" s="67"/>
      <c r="CW86" s="68"/>
      <c r="CX86" s="70"/>
      <c r="CY86" s="70"/>
      <c r="CZ86" s="70"/>
      <c r="DA86" s="71"/>
      <c r="DB86" s="67"/>
      <c r="DC86" s="67"/>
      <c r="DD86" s="67"/>
      <c r="DE86" s="67"/>
      <c r="DF86" s="67"/>
      <c r="DG86" s="67"/>
      <c r="DH86" s="67"/>
      <c r="DI86" s="68"/>
      <c r="DJ86" s="70"/>
      <c r="DK86" s="70"/>
      <c r="DL86" s="70"/>
      <c r="DM86" s="71"/>
      <c r="DN86" s="67"/>
      <c r="DO86" s="67"/>
      <c r="DP86" s="67"/>
      <c r="DQ86" s="67"/>
      <c r="DR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DS86" s="67"/>
      <c r="DT86" s="67"/>
      <c r="DU86" s="68"/>
      <c r="DV86" s="70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DW86" s="70"/>
      <c r="DX86" s="70"/>
      <c r="DY86" s="71"/>
      <c r="DZ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A86" s="67"/>
      <c r="EB86" s="67"/>
      <c r="EC86" s="67"/>
      <c r="ED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E86" s="67"/>
      <c r="EF86" s="67"/>
      <c r="EG86" s="68"/>
      <c r="EH86" s="70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I86" s="70"/>
      <c r="EJ86" s="70"/>
      <c r="EK86" s="71"/>
      <c r="EL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M86" s="67"/>
      <c r="EN86" s="67"/>
      <c r="EO86" s="67"/>
      <c r="EP86" s="67">
        <f ca="1">IF(ISERROR(VLOOKUP(RIGHT(CELL("filename",$A$1),LEN(CELL("filename",$A$1))-FIND("]",CELL("filename",$A$1)))&amp;$B86,[2]要員計画!$L:$AJ,((COLUMN()-1)/4)+1,FALSE)),0,VLOOKUP(RIGHT(CELL("filename",$A$1),LEN(CELL("filename",$A$1))-FIND("]",CELL("filename",$A$1)))&amp;$B86,[2]要員計画!$L:$AJ,((COLUMN()-1)/4)+1,FALSE))</f>
        <v>0</v>
      </c>
      <c r="EQ86" s="67"/>
      <c r="ER86" s="67"/>
      <c r="ES86" s="68"/>
    </row>
    <row r="87" spans="1:149" customFormat="1" outlineLevel="1" x14ac:dyDescent="0.45">
      <c r="A87" s="2"/>
      <c r="B87" s="35"/>
      <c r="C87" s="22">
        <v>1050000</v>
      </c>
      <c r="D87" s="23" t="s">
        <v>23</v>
      </c>
      <c r="E87" s="24">
        <f ca="1">SUM(F87:CW87)</f>
        <v>11550000</v>
      </c>
      <c r="F87" s="69">
        <f ca="1">IFERROR($C87*F86,"")</f>
        <v>0</v>
      </c>
      <c r="G87" s="62"/>
      <c r="H87" s="62"/>
      <c r="I87" s="62"/>
      <c r="J87" s="62">
        <f t="shared" ref="J87" ca="1" si="1048">IFERROR($C87*J86,"")</f>
        <v>0</v>
      </c>
      <c r="K87" s="62"/>
      <c r="L87" s="62"/>
      <c r="M87" s="62"/>
      <c r="N87" s="63">
        <f t="shared" ref="N87" ca="1" si="1049">IFERROR($C87*N86,"")</f>
        <v>0</v>
      </c>
      <c r="O87" s="64"/>
      <c r="P87" s="64"/>
      <c r="Q87" s="64"/>
      <c r="R87" s="64">
        <f t="shared" ref="R87" si="1050">IFERROR($C87*R86,"")</f>
        <v>0</v>
      </c>
      <c r="S87" s="64"/>
      <c r="T87" s="64"/>
      <c r="U87" s="65"/>
      <c r="V87" s="62">
        <f t="shared" ref="V87" si="1051">IFERROR($C87*V86,"")</f>
        <v>0</v>
      </c>
      <c r="W87" s="62"/>
      <c r="X87" s="62"/>
      <c r="Y87" s="62"/>
      <c r="Z87" s="62">
        <f t="shared" ref="Z87" si="1052">IFERROR($C87*Z86,"")</f>
        <v>1050000</v>
      </c>
      <c r="AA87" s="62"/>
      <c r="AB87" s="62"/>
      <c r="AC87" s="63"/>
      <c r="AD87" s="62">
        <f t="shared" ref="AD87" si="1053">IFERROR($C87*AD86,"")</f>
        <v>1050000</v>
      </c>
      <c r="AE87" s="62"/>
      <c r="AF87" s="62"/>
      <c r="AG87" s="62"/>
      <c r="AH87" s="62">
        <f t="shared" ref="AH87" si="1054">IFERROR($C87*AH86,"")</f>
        <v>1050000</v>
      </c>
      <c r="AI87" s="62"/>
      <c r="AJ87" s="62"/>
      <c r="AK87" s="62"/>
      <c r="AL87" s="62">
        <f t="shared" ref="AL87" si="1055">IFERROR($C87*AL86,"")</f>
        <v>1050000</v>
      </c>
      <c r="AM87" s="62"/>
      <c r="AN87" s="62"/>
      <c r="AO87" s="63"/>
      <c r="AP87" s="64">
        <f t="shared" ref="AP87" si="1056">IFERROR($C87*AP86,"")</f>
        <v>1050000</v>
      </c>
      <c r="AQ87" s="64"/>
      <c r="AR87" s="64"/>
      <c r="AS87" s="65"/>
      <c r="AT87" s="62">
        <f t="shared" ref="AT87" si="1057">IFERROR($C87*AT86,"")</f>
        <v>1050000</v>
      </c>
      <c r="AU87" s="62"/>
      <c r="AV87" s="62"/>
      <c r="AW87" s="62"/>
      <c r="AX87" s="62">
        <f t="shared" ref="AX87" si="1058">IFERROR($C87*AX86,"")</f>
        <v>1050000</v>
      </c>
      <c r="AY87" s="62"/>
      <c r="AZ87" s="62"/>
      <c r="BA87" s="63"/>
      <c r="BB87" s="64">
        <f t="shared" ref="BB87" si="1059">IFERROR($C87*BB86,"")</f>
        <v>1050000</v>
      </c>
      <c r="BC87" s="64"/>
      <c r="BD87" s="64"/>
      <c r="BE87" s="65"/>
      <c r="BF87" s="62">
        <f t="shared" ref="BF87" si="1060">IFERROR($C87*BF86,"")</f>
        <v>1050000</v>
      </c>
      <c r="BG87" s="62"/>
      <c r="BH87" s="62"/>
      <c r="BI87" s="62"/>
      <c r="BJ87" s="62">
        <f t="shared" ref="BJ87" si="1061">IFERROR($C87*BJ86,"")</f>
        <v>1050000</v>
      </c>
      <c r="BK87" s="62"/>
      <c r="BL87" s="62"/>
      <c r="BM87" s="63"/>
      <c r="BN87" s="64">
        <f t="shared" ref="BN87" si="1062">IFERROR($C87*BN86,"")</f>
        <v>1050000</v>
      </c>
      <c r="BO87" s="64"/>
      <c r="BP87" s="64"/>
      <c r="BQ87" s="65"/>
      <c r="BR87" s="62">
        <f t="shared" ref="BR87" si="1063">IFERROR($C87*BR86,"")</f>
        <v>0</v>
      </c>
      <c r="BS87" s="62"/>
      <c r="BT87" s="62"/>
      <c r="BU87" s="62"/>
      <c r="BV87" s="62">
        <f t="shared" ref="BV87" si="1064">IFERROR($C87*BV86,"")</f>
        <v>0</v>
      </c>
      <c r="BW87" s="62"/>
      <c r="BX87" s="62"/>
      <c r="BY87" s="63"/>
      <c r="BZ87" s="64">
        <f t="shared" ref="BZ87" si="1065">IFERROR($C87*BZ86,"")</f>
        <v>0</v>
      </c>
      <c r="CA87" s="64"/>
      <c r="CB87" s="64"/>
      <c r="CC87" s="65"/>
      <c r="CD87" s="62">
        <f t="shared" ref="CD87" si="1066">IFERROR($C87*CD86,"")</f>
        <v>0</v>
      </c>
      <c r="CE87" s="62"/>
      <c r="CF87" s="62"/>
      <c r="CG87" s="62"/>
      <c r="CH87" s="62">
        <f t="shared" ref="CH87" si="1067">IFERROR($C87*CH86,"")</f>
        <v>0</v>
      </c>
      <c r="CI87" s="62"/>
      <c r="CJ87" s="62"/>
      <c r="CK87" s="63"/>
      <c r="CL87" s="64">
        <f t="shared" ref="CL87" si="1068">IFERROR($C87*CL86,"")</f>
        <v>0</v>
      </c>
      <c r="CM87" s="64"/>
      <c r="CN87" s="64"/>
      <c r="CO87" s="65"/>
      <c r="CP87" s="62">
        <f t="shared" ref="CP87" si="1069">IFERROR($C87*CP86,"")</f>
        <v>0</v>
      </c>
      <c r="CQ87" s="62"/>
      <c r="CR87" s="62"/>
      <c r="CS87" s="62"/>
      <c r="CT87" s="62">
        <f t="shared" ref="CT87" si="1070">IFERROR($C87*CT86,"")</f>
        <v>0</v>
      </c>
      <c r="CU87" s="62"/>
      <c r="CV87" s="62"/>
      <c r="CW87" s="63"/>
      <c r="CX87" s="64">
        <f t="shared" ref="CX87" si="1071">IFERROR($C87*CX86,"")</f>
        <v>0</v>
      </c>
      <c r="CY87" s="64"/>
      <c r="CZ87" s="64"/>
      <c r="DA87" s="65"/>
      <c r="DB87" s="62">
        <f t="shared" ref="DB87" si="1072">IFERROR($C87*DB86,"")</f>
        <v>0</v>
      </c>
      <c r="DC87" s="62"/>
      <c r="DD87" s="62"/>
      <c r="DE87" s="62"/>
      <c r="DF87" s="62">
        <f t="shared" ref="DF87" si="1073">IFERROR($C87*DF86,"")</f>
        <v>0</v>
      </c>
      <c r="DG87" s="62"/>
      <c r="DH87" s="62"/>
      <c r="DI87" s="63"/>
      <c r="DJ87" s="64">
        <f t="shared" ref="DJ87" si="1074">IFERROR($C87*DJ86,"")</f>
        <v>0</v>
      </c>
      <c r="DK87" s="64"/>
      <c r="DL87" s="64"/>
      <c r="DM87" s="65"/>
      <c r="DN87" s="62">
        <f t="shared" ref="DN87" si="1075">IFERROR($C87*DN86,"")</f>
        <v>0</v>
      </c>
      <c r="DO87" s="62"/>
      <c r="DP87" s="62"/>
      <c r="DQ87" s="62"/>
      <c r="DR87" s="62">
        <f t="shared" ref="DR87" ca="1" si="1076">IFERROR($C87*DR86,"")</f>
        <v>0</v>
      </c>
      <c r="DS87" s="62"/>
      <c r="DT87" s="62"/>
      <c r="DU87" s="63"/>
      <c r="DV87" s="64">
        <f t="shared" ref="DV87" ca="1" si="1077">IFERROR($C87*DV86,"")</f>
        <v>0</v>
      </c>
      <c r="DW87" s="64"/>
      <c r="DX87" s="64"/>
      <c r="DY87" s="65"/>
      <c r="DZ87" s="62">
        <f t="shared" ref="DZ87" ca="1" si="1078">IFERROR($C87*DZ86,"")</f>
        <v>0</v>
      </c>
      <c r="EA87" s="62"/>
      <c r="EB87" s="62"/>
      <c r="EC87" s="62"/>
      <c r="ED87" s="62">
        <f t="shared" ref="ED87" ca="1" si="1079">IFERROR($C87*ED86,"")</f>
        <v>0</v>
      </c>
      <c r="EE87" s="62"/>
      <c r="EF87" s="62"/>
      <c r="EG87" s="63"/>
      <c r="EH87" s="64">
        <f t="shared" ref="EH87" ca="1" si="1080">IFERROR($C87*EH86,"")</f>
        <v>0</v>
      </c>
      <c r="EI87" s="64"/>
      <c r="EJ87" s="64"/>
      <c r="EK87" s="65"/>
      <c r="EL87" s="62">
        <f t="shared" ref="EL87" ca="1" si="1081">IFERROR($C87*EL86,"")</f>
        <v>0</v>
      </c>
      <c r="EM87" s="62"/>
      <c r="EN87" s="62"/>
      <c r="EO87" s="62"/>
      <c r="EP87" s="62">
        <f t="shared" ref="EP87" ca="1" si="1082">IFERROR($C87*EP86,"")</f>
        <v>0</v>
      </c>
      <c r="EQ87" s="62"/>
      <c r="ER87" s="62"/>
      <c r="ES87" s="63"/>
    </row>
    <row r="88" spans="1:149" customFormat="1" outlineLevel="1" x14ac:dyDescent="0.45">
      <c r="A88" s="2"/>
      <c r="B88" s="36"/>
      <c r="C88" s="25">
        <v>400000</v>
      </c>
      <c r="D88" s="26" t="s">
        <v>3</v>
      </c>
      <c r="E88" s="27">
        <f ca="1">SUM(F88:CW88)</f>
        <v>4400000</v>
      </c>
      <c r="F88" s="66">
        <f ca="1">IFERROR($C88*F86,"")</f>
        <v>0</v>
      </c>
      <c r="G88" s="60"/>
      <c r="H88" s="60"/>
      <c r="I88" s="60"/>
      <c r="J88" s="60">
        <f t="shared" ref="J88" ca="1" si="1083">IFERROR($C88*J86,"")</f>
        <v>0</v>
      </c>
      <c r="K88" s="60"/>
      <c r="L88" s="60"/>
      <c r="M88" s="60"/>
      <c r="N88" s="61">
        <f t="shared" ref="N88" ca="1" si="1084">IFERROR($C88*N86,"")</f>
        <v>0</v>
      </c>
      <c r="O88" s="58"/>
      <c r="P88" s="58"/>
      <c r="Q88" s="58"/>
      <c r="R88" s="58">
        <f t="shared" ref="R88" si="1085">IFERROR($C88*R86,"")</f>
        <v>0</v>
      </c>
      <c r="S88" s="58"/>
      <c r="T88" s="58"/>
      <c r="U88" s="59"/>
      <c r="V88" s="60">
        <f t="shared" ref="V88" si="1086">IFERROR($C88*V86,"")</f>
        <v>0</v>
      </c>
      <c r="W88" s="60"/>
      <c r="X88" s="60"/>
      <c r="Y88" s="60"/>
      <c r="Z88" s="60">
        <f t="shared" ref="Z88" si="1087">IFERROR($C88*Z86,"")</f>
        <v>400000</v>
      </c>
      <c r="AA88" s="60"/>
      <c r="AB88" s="60"/>
      <c r="AC88" s="61"/>
      <c r="AD88" s="60">
        <f t="shared" ref="AD88" si="1088">IFERROR($C88*AD86,"")</f>
        <v>400000</v>
      </c>
      <c r="AE88" s="60"/>
      <c r="AF88" s="60"/>
      <c r="AG88" s="60"/>
      <c r="AH88" s="60">
        <f t="shared" ref="AH88" si="1089">IFERROR($C88*AH86,"")</f>
        <v>400000</v>
      </c>
      <c r="AI88" s="60"/>
      <c r="AJ88" s="60"/>
      <c r="AK88" s="60"/>
      <c r="AL88" s="60">
        <f t="shared" ref="AL88" si="1090">IFERROR($C88*AL86,"")</f>
        <v>400000</v>
      </c>
      <c r="AM88" s="60"/>
      <c r="AN88" s="60"/>
      <c r="AO88" s="61"/>
      <c r="AP88" s="58">
        <f t="shared" ref="AP88" si="1091">IFERROR($C88*AP86,"")</f>
        <v>400000</v>
      </c>
      <c r="AQ88" s="58"/>
      <c r="AR88" s="58"/>
      <c r="AS88" s="59"/>
      <c r="AT88" s="60">
        <f t="shared" ref="AT88" si="1092">IFERROR($C88*AT86,"")</f>
        <v>400000</v>
      </c>
      <c r="AU88" s="60"/>
      <c r="AV88" s="60"/>
      <c r="AW88" s="60"/>
      <c r="AX88" s="60">
        <f t="shared" ref="AX88" si="1093">IFERROR($C88*AX86,"")</f>
        <v>400000</v>
      </c>
      <c r="AY88" s="60"/>
      <c r="AZ88" s="60"/>
      <c r="BA88" s="61"/>
      <c r="BB88" s="58">
        <f t="shared" ref="BB88" si="1094">IFERROR($C88*BB86,"")</f>
        <v>400000</v>
      </c>
      <c r="BC88" s="58"/>
      <c r="BD88" s="58"/>
      <c r="BE88" s="59"/>
      <c r="BF88" s="60">
        <f t="shared" ref="BF88" si="1095">IFERROR($C88*BF86,"")</f>
        <v>400000</v>
      </c>
      <c r="BG88" s="60"/>
      <c r="BH88" s="60"/>
      <c r="BI88" s="60"/>
      <c r="BJ88" s="60">
        <f t="shared" ref="BJ88" si="1096">IFERROR($C88*BJ86,"")</f>
        <v>400000</v>
      </c>
      <c r="BK88" s="60"/>
      <c r="BL88" s="60"/>
      <c r="BM88" s="61"/>
      <c r="BN88" s="58">
        <f t="shared" ref="BN88" si="1097">IFERROR($C88*BN86,"")</f>
        <v>400000</v>
      </c>
      <c r="BO88" s="58"/>
      <c r="BP88" s="58"/>
      <c r="BQ88" s="59"/>
      <c r="BR88" s="60">
        <f t="shared" ref="BR88" si="1098">IFERROR($C88*BR86,"")</f>
        <v>0</v>
      </c>
      <c r="BS88" s="60"/>
      <c r="BT88" s="60"/>
      <c r="BU88" s="60"/>
      <c r="BV88" s="60">
        <f t="shared" ref="BV88" si="1099">IFERROR($C88*BV86,"")</f>
        <v>0</v>
      </c>
      <c r="BW88" s="60"/>
      <c r="BX88" s="60"/>
      <c r="BY88" s="61"/>
      <c r="BZ88" s="58">
        <f t="shared" ref="BZ88" si="1100">IFERROR($C88*BZ86,"")</f>
        <v>0</v>
      </c>
      <c r="CA88" s="58"/>
      <c r="CB88" s="58"/>
      <c r="CC88" s="59"/>
      <c r="CD88" s="60">
        <f t="shared" ref="CD88" si="1101">IFERROR($C88*CD86,"")</f>
        <v>0</v>
      </c>
      <c r="CE88" s="60"/>
      <c r="CF88" s="60"/>
      <c r="CG88" s="60"/>
      <c r="CH88" s="60">
        <f t="shared" ref="CH88" si="1102">IFERROR($C88*CH86,"")</f>
        <v>0</v>
      </c>
      <c r="CI88" s="60"/>
      <c r="CJ88" s="60"/>
      <c r="CK88" s="61"/>
      <c r="CL88" s="58">
        <f t="shared" ref="CL88" si="1103">IFERROR($C88*CL86,"")</f>
        <v>0</v>
      </c>
      <c r="CM88" s="58"/>
      <c r="CN88" s="58"/>
      <c r="CO88" s="59"/>
      <c r="CP88" s="60">
        <f t="shared" ref="CP88" si="1104">IFERROR($C88*CP86,"")</f>
        <v>0</v>
      </c>
      <c r="CQ88" s="60"/>
      <c r="CR88" s="60"/>
      <c r="CS88" s="60"/>
      <c r="CT88" s="60">
        <f t="shared" ref="CT88" si="1105">IFERROR($C88*CT86,"")</f>
        <v>0</v>
      </c>
      <c r="CU88" s="60"/>
      <c r="CV88" s="60"/>
      <c r="CW88" s="61"/>
      <c r="CX88" s="58">
        <f t="shared" ref="CX88" si="1106">IFERROR($C88*CX86,"")</f>
        <v>0</v>
      </c>
      <c r="CY88" s="58"/>
      <c r="CZ88" s="58"/>
      <c r="DA88" s="59"/>
      <c r="DB88" s="60">
        <f t="shared" ref="DB88" si="1107">IFERROR($C88*DB86,"")</f>
        <v>0</v>
      </c>
      <c r="DC88" s="60"/>
      <c r="DD88" s="60"/>
      <c r="DE88" s="60"/>
      <c r="DF88" s="60">
        <f t="shared" ref="DF88" si="1108">IFERROR($C88*DF86,"")</f>
        <v>0</v>
      </c>
      <c r="DG88" s="60"/>
      <c r="DH88" s="60"/>
      <c r="DI88" s="61"/>
      <c r="DJ88" s="58">
        <f t="shared" ref="DJ88" si="1109">IFERROR($C88*DJ86,"")</f>
        <v>0</v>
      </c>
      <c r="DK88" s="58"/>
      <c r="DL88" s="58"/>
      <c r="DM88" s="59"/>
      <c r="DN88" s="60">
        <f t="shared" ref="DN88" si="1110">IFERROR($C88*DN86,"")</f>
        <v>0</v>
      </c>
      <c r="DO88" s="60"/>
      <c r="DP88" s="60"/>
      <c r="DQ88" s="60"/>
      <c r="DR88" s="60">
        <f t="shared" ref="DR88" ca="1" si="1111">IFERROR($C88*DR86,"")</f>
        <v>0</v>
      </c>
      <c r="DS88" s="60"/>
      <c r="DT88" s="60"/>
      <c r="DU88" s="61"/>
      <c r="DV88" s="58">
        <f t="shared" ref="DV88" ca="1" si="1112">IFERROR($C88*DV86,"")</f>
        <v>0</v>
      </c>
      <c r="DW88" s="58"/>
      <c r="DX88" s="58"/>
      <c r="DY88" s="59"/>
      <c r="DZ88" s="60">
        <f t="shared" ref="DZ88" ca="1" si="1113">IFERROR($C88*DZ86,"")</f>
        <v>0</v>
      </c>
      <c r="EA88" s="60"/>
      <c r="EB88" s="60"/>
      <c r="EC88" s="60"/>
      <c r="ED88" s="60">
        <f t="shared" ref="ED88" ca="1" si="1114">IFERROR($C88*ED86,"")</f>
        <v>0</v>
      </c>
      <c r="EE88" s="60"/>
      <c r="EF88" s="60"/>
      <c r="EG88" s="61"/>
      <c r="EH88" s="58">
        <f t="shared" ref="EH88" ca="1" si="1115">IFERROR($C88*EH86,"")</f>
        <v>0</v>
      </c>
      <c r="EI88" s="58"/>
      <c r="EJ88" s="58"/>
      <c r="EK88" s="59"/>
      <c r="EL88" s="60">
        <f t="shared" ref="EL88" ca="1" si="1116">IFERROR($C88*EL86,"")</f>
        <v>0</v>
      </c>
      <c r="EM88" s="60"/>
      <c r="EN88" s="60"/>
      <c r="EO88" s="60"/>
      <c r="EP88" s="60">
        <f t="shared" ref="EP88" ca="1" si="1117">IFERROR($C88*EP86,"")</f>
        <v>0</v>
      </c>
      <c r="EQ88" s="60"/>
      <c r="ER88" s="60"/>
      <c r="ES88" s="61"/>
    </row>
    <row r="89" spans="1:149" customFormat="1" outlineLevel="1" x14ac:dyDescent="0.45">
      <c r="A89" s="2"/>
      <c r="B89" s="34" t="s">
        <v>46</v>
      </c>
      <c r="C89" s="19"/>
      <c r="D89" s="20" t="s">
        <v>13</v>
      </c>
      <c r="E89" s="21">
        <f ca="1">SUM(F89:ES89)</f>
        <v>11</v>
      </c>
      <c r="F89" s="74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G89" s="67"/>
      <c r="H89" s="67"/>
      <c r="I89" s="67"/>
      <c r="J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K89" s="67"/>
      <c r="L89" s="67"/>
      <c r="M89" s="67"/>
      <c r="N89" s="68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O89" s="70"/>
      <c r="P89" s="70"/>
      <c r="Q89" s="70"/>
      <c r="R89" s="70"/>
      <c r="S89" s="70"/>
      <c r="T89" s="70"/>
      <c r="U89" s="71"/>
      <c r="V89" s="67"/>
      <c r="W89" s="67"/>
      <c r="X89" s="67"/>
      <c r="Y89" s="67"/>
      <c r="Z89" s="67">
        <v>1</v>
      </c>
      <c r="AA89" s="67"/>
      <c r="AB89" s="67"/>
      <c r="AC89" s="68"/>
      <c r="AD89" s="67">
        <v>1</v>
      </c>
      <c r="AE89" s="67"/>
      <c r="AF89" s="67"/>
      <c r="AG89" s="67"/>
      <c r="AH89" s="67">
        <v>1</v>
      </c>
      <c r="AI89" s="67"/>
      <c r="AJ89" s="67"/>
      <c r="AK89" s="67"/>
      <c r="AL89" s="67">
        <v>1</v>
      </c>
      <c r="AM89" s="67"/>
      <c r="AN89" s="67"/>
      <c r="AO89" s="68"/>
      <c r="AP89" s="70">
        <v>1</v>
      </c>
      <c r="AQ89" s="70"/>
      <c r="AR89" s="70"/>
      <c r="AS89" s="71"/>
      <c r="AT89" s="67">
        <v>1</v>
      </c>
      <c r="AU89" s="67"/>
      <c r="AV89" s="67"/>
      <c r="AW89" s="67"/>
      <c r="AX89" s="67">
        <v>1</v>
      </c>
      <c r="AY89" s="67"/>
      <c r="AZ89" s="67"/>
      <c r="BA89" s="68"/>
      <c r="BB89" s="70">
        <v>1</v>
      </c>
      <c r="BC89" s="70"/>
      <c r="BD89" s="70"/>
      <c r="BE89" s="71"/>
      <c r="BF89" s="67">
        <v>1</v>
      </c>
      <c r="BG89" s="67"/>
      <c r="BH89" s="67"/>
      <c r="BI89" s="67"/>
      <c r="BJ89" s="67">
        <v>1</v>
      </c>
      <c r="BK89" s="67"/>
      <c r="BL89" s="67"/>
      <c r="BM89" s="68"/>
      <c r="BN89" s="70">
        <v>1</v>
      </c>
      <c r="BO89" s="70"/>
      <c r="BP89" s="70"/>
      <c r="BQ89" s="71"/>
      <c r="BR89" s="67"/>
      <c r="BS89" s="67"/>
      <c r="BT89" s="67"/>
      <c r="BU89" s="67"/>
      <c r="BV89" s="67"/>
      <c r="BW89" s="67"/>
      <c r="BX89" s="67"/>
      <c r="BY89" s="68"/>
      <c r="BZ89" s="70"/>
      <c r="CA89" s="70"/>
      <c r="CB89" s="70"/>
      <c r="CC89" s="71"/>
      <c r="CD89" s="67"/>
      <c r="CE89" s="67"/>
      <c r="CF89" s="67"/>
      <c r="CG89" s="67"/>
      <c r="CH89" s="67"/>
      <c r="CI89" s="67"/>
      <c r="CJ89" s="67"/>
      <c r="CK89" s="68"/>
      <c r="CL89" s="70"/>
      <c r="CM89" s="70"/>
      <c r="CN89" s="70"/>
      <c r="CO89" s="71"/>
      <c r="CP89" s="67"/>
      <c r="CQ89" s="67"/>
      <c r="CR89" s="67"/>
      <c r="CS89" s="67"/>
      <c r="CT89" s="67"/>
      <c r="CU89" s="67"/>
      <c r="CV89" s="67"/>
      <c r="CW89" s="68"/>
      <c r="CX89" s="70"/>
      <c r="CY89" s="70"/>
      <c r="CZ89" s="70"/>
      <c r="DA89" s="71"/>
      <c r="DB89" s="67"/>
      <c r="DC89" s="67"/>
      <c r="DD89" s="67"/>
      <c r="DE89" s="67"/>
      <c r="DF89" s="67"/>
      <c r="DG89" s="67"/>
      <c r="DH89" s="67"/>
      <c r="DI89" s="68"/>
      <c r="DJ89" s="70"/>
      <c r="DK89" s="70"/>
      <c r="DL89" s="70"/>
      <c r="DM89" s="71"/>
      <c r="DN89" s="67"/>
      <c r="DO89" s="67"/>
      <c r="DP89" s="67"/>
      <c r="DQ89" s="67"/>
      <c r="DR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DS89" s="67"/>
      <c r="DT89" s="67"/>
      <c r="DU89" s="68"/>
      <c r="DV89" s="70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DW89" s="70"/>
      <c r="DX89" s="70"/>
      <c r="DY89" s="71"/>
      <c r="DZ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A89" s="67"/>
      <c r="EB89" s="67"/>
      <c r="EC89" s="67"/>
      <c r="ED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E89" s="67"/>
      <c r="EF89" s="67"/>
      <c r="EG89" s="68"/>
      <c r="EH89" s="70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I89" s="70"/>
      <c r="EJ89" s="70"/>
      <c r="EK89" s="71"/>
      <c r="EL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M89" s="67"/>
      <c r="EN89" s="67"/>
      <c r="EO89" s="67"/>
      <c r="EP89" s="67">
        <f ca="1">IF(ISERROR(VLOOKUP(RIGHT(CELL("filename",$A$1),LEN(CELL("filename",$A$1))-FIND("]",CELL("filename",$A$1)))&amp;$B89,[2]要員計画!$L:$AJ,((COLUMN()-1)/4)+1,FALSE)),0,VLOOKUP(RIGHT(CELL("filename",$A$1),LEN(CELL("filename",$A$1))-FIND("]",CELL("filename",$A$1)))&amp;$B89,[2]要員計画!$L:$AJ,((COLUMN()-1)/4)+1,FALSE))</f>
        <v>0</v>
      </c>
      <c r="EQ89" s="67"/>
      <c r="ER89" s="67"/>
      <c r="ES89" s="68"/>
    </row>
    <row r="90" spans="1:149" customFormat="1" outlineLevel="1" x14ac:dyDescent="0.45">
      <c r="A90" s="2"/>
      <c r="B90" s="35"/>
      <c r="C90" s="22">
        <v>1050000</v>
      </c>
      <c r="D90" s="23" t="s">
        <v>23</v>
      </c>
      <c r="E90" s="24">
        <f ca="1">SUM(F90:CW90)</f>
        <v>11550000</v>
      </c>
      <c r="F90" s="69">
        <f ca="1">IFERROR($C90*F89,"")</f>
        <v>0</v>
      </c>
      <c r="G90" s="62"/>
      <c r="H90" s="62"/>
      <c r="I90" s="62"/>
      <c r="J90" s="62">
        <f t="shared" ref="J90" ca="1" si="1118">IFERROR($C90*J89,"")</f>
        <v>0</v>
      </c>
      <c r="K90" s="62"/>
      <c r="L90" s="62"/>
      <c r="M90" s="62"/>
      <c r="N90" s="63">
        <f t="shared" ref="N90" ca="1" si="1119">IFERROR($C90*N89,"")</f>
        <v>0</v>
      </c>
      <c r="O90" s="64"/>
      <c r="P90" s="64"/>
      <c r="Q90" s="64"/>
      <c r="R90" s="64">
        <f t="shared" ref="R90" si="1120">IFERROR($C90*R89,"")</f>
        <v>0</v>
      </c>
      <c r="S90" s="64"/>
      <c r="T90" s="64"/>
      <c r="U90" s="65"/>
      <c r="V90" s="62">
        <f t="shared" ref="V90" si="1121">IFERROR($C90*V89,"")</f>
        <v>0</v>
      </c>
      <c r="W90" s="62"/>
      <c r="X90" s="62"/>
      <c r="Y90" s="62"/>
      <c r="Z90" s="62">
        <f t="shared" ref="Z90" si="1122">IFERROR($C90*Z89,"")</f>
        <v>1050000</v>
      </c>
      <c r="AA90" s="62"/>
      <c r="AB90" s="62"/>
      <c r="AC90" s="63"/>
      <c r="AD90" s="62">
        <f t="shared" ref="AD90" si="1123">IFERROR($C90*AD89,"")</f>
        <v>1050000</v>
      </c>
      <c r="AE90" s="62"/>
      <c r="AF90" s="62"/>
      <c r="AG90" s="62"/>
      <c r="AH90" s="62">
        <f t="shared" ref="AH90" si="1124">IFERROR($C90*AH89,"")</f>
        <v>1050000</v>
      </c>
      <c r="AI90" s="62"/>
      <c r="AJ90" s="62"/>
      <c r="AK90" s="62"/>
      <c r="AL90" s="62">
        <f t="shared" ref="AL90" si="1125">IFERROR($C90*AL89,"")</f>
        <v>1050000</v>
      </c>
      <c r="AM90" s="62"/>
      <c r="AN90" s="62"/>
      <c r="AO90" s="63"/>
      <c r="AP90" s="64">
        <f t="shared" ref="AP90" si="1126">IFERROR($C90*AP89,"")</f>
        <v>1050000</v>
      </c>
      <c r="AQ90" s="64"/>
      <c r="AR90" s="64"/>
      <c r="AS90" s="65"/>
      <c r="AT90" s="62">
        <f t="shared" ref="AT90" si="1127">IFERROR($C90*AT89,"")</f>
        <v>1050000</v>
      </c>
      <c r="AU90" s="62"/>
      <c r="AV90" s="62"/>
      <c r="AW90" s="62"/>
      <c r="AX90" s="62">
        <f t="shared" ref="AX90" si="1128">IFERROR($C90*AX89,"")</f>
        <v>1050000</v>
      </c>
      <c r="AY90" s="62"/>
      <c r="AZ90" s="62"/>
      <c r="BA90" s="63"/>
      <c r="BB90" s="64">
        <f t="shared" ref="BB90" si="1129">IFERROR($C90*BB89,"")</f>
        <v>1050000</v>
      </c>
      <c r="BC90" s="64"/>
      <c r="BD90" s="64"/>
      <c r="BE90" s="65"/>
      <c r="BF90" s="62">
        <f t="shared" ref="BF90" si="1130">IFERROR($C90*BF89,"")</f>
        <v>1050000</v>
      </c>
      <c r="BG90" s="62"/>
      <c r="BH90" s="62"/>
      <c r="BI90" s="62"/>
      <c r="BJ90" s="62">
        <f t="shared" ref="BJ90" si="1131">IFERROR($C90*BJ89,"")</f>
        <v>1050000</v>
      </c>
      <c r="BK90" s="62"/>
      <c r="BL90" s="62"/>
      <c r="BM90" s="63"/>
      <c r="BN90" s="64">
        <f t="shared" ref="BN90" si="1132">IFERROR($C90*BN89,"")</f>
        <v>1050000</v>
      </c>
      <c r="BO90" s="64"/>
      <c r="BP90" s="64"/>
      <c r="BQ90" s="65"/>
      <c r="BR90" s="62">
        <f t="shared" ref="BR90" si="1133">IFERROR($C90*BR89,"")</f>
        <v>0</v>
      </c>
      <c r="BS90" s="62"/>
      <c r="BT90" s="62"/>
      <c r="BU90" s="62"/>
      <c r="BV90" s="62">
        <f t="shared" ref="BV90" si="1134">IFERROR($C90*BV89,"")</f>
        <v>0</v>
      </c>
      <c r="BW90" s="62"/>
      <c r="BX90" s="62"/>
      <c r="BY90" s="63"/>
      <c r="BZ90" s="64">
        <f t="shared" ref="BZ90" si="1135">IFERROR($C90*BZ89,"")</f>
        <v>0</v>
      </c>
      <c r="CA90" s="64"/>
      <c r="CB90" s="64"/>
      <c r="CC90" s="65"/>
      <c r="CD90" s="62">
        <f t="shared" ref="CD90" si="1136">IFERROR($C90*CD89,"")</f>
        <v>0</v>
      </c>
      <c r="CE90" s="62"/>
      <c r="CF90" s="62"/>
      <c r="CG90" s="62"/>
      <c r="CH90" s="62">
        <f t="shared" ref="CH90" si="1137">IFERROR($C90*CH89,"")</f>
        <v>0</v>
      </c>
      <c r="CI90" s="62"/>
      <c r="CJ90" s="62"/>
      <c r="CK90" s="63"/>
      <c r="CL90" s="64">
        <f t="shared" ref="CL90" si="1138">IFERROR($C90*CL89,"")</f>
        <v>0</v>
      </c>
      <c r="CM90" s="64"/>
      <c r="CN90" s="64"/>
      <c r="CO90" s="65"/>
      <c r="CP90" s="62">
        <f t="shared" ref="CP90" si="1139">IFERROR($C90*CP89,"")</f>
        <v>0</v>
      </c>
      <c r="CQ90" s="62"/>
      <c r="CR90" s="62"/>
      <c r="CS90" s="62"/>
      <c r="CT90" s="62">
        <f t="shared" ref="CT90" si="1140">IFERROR($C90*CT89,"")</f>
        <v>0</v>
      </c>
      <c r="CU90" s="62"/>
      <c r="CV90" s="62"/>
      <c r="CW90" s="63"/>
      <c r="CX90" s="64">
        <f t="shared" ref="CX90" si="1141">IFERROR($C90*CX89,"")</f>
        <v>0</v>
      </c>
      <c r="CY90" s="64"/>
      <c r="CZ90" s="64"/>
      <c r="DA90" s="65"/>
      <c r="DB90" s="62">
        <f t="shared" ref="DB90" si="1142">IFERROR($C90*DB89,"")</f>
        <v>0</v>
      </c>
      <c r="DC90" s="62"/>
      <c r="DD90" s="62"/>
      <c r="DE90" s="62"/>
      <c r="DF90" s="62">
        <f t="shared" ref="DF90" si="1143">IFERROR($C90*DF89,"")</f>
        <v>0</v>
      </c>
      <c r="DG90" s="62"/>
      <c r="DH90" s="62"/>
      <c r="DI90" s="63"/>
      <c r="DJ90" s="64">
        <f t="shared" ref="DJ90" si="1144">IFERROR($C90*DJ89,"")</f>
        <v>0</v>
      </c>
      <c r="DK90" s="64"/>
      <c r="DL90" s="64"/>
      <c r="DM90" s="65"/>
      <c r="DN90" s="62">
        <f t="shared" ref="DN90" si="1145">IFERROR($C90*DN89,"")</f>
        <v>0</v>
      </c>
      <c r="DO90" s="62"/>
      <c r="DP90" s="62"/>
      <c r="DQ90" s="62"/>
      <c r="DR90" s="62">
        <f t="shared" ref="DR90" ca="1" si="1146">IFERROR($C90*DR89,"")</f>
        <v>0</v>
      </c>
      <c r="DS90" s="62"/>
      <c r="DT90" s="62"/>
      <c r="DU90" s="63"/>
      <c r="DV90" s="64">
        <f t="shared" ref="DV90" ca="1" si="1147">IFERROR($C90*DV89,"")</f>
        <v>0</v>
      </c>
      <c r="DW90" s="64"/>
      <c r="DX90" s="64"/>
      <c r="DY90" s="65"/>
      <c r="DZ90" s="62">
        <f t="shared" ref="DZ90" ca="1" si="1148">IFERROR($C90*DZ89,"")</f>
        <v>0</v>
      </c>
      <c r="EA90" s="62"/>
      <c r="EB90" s="62"/>
      <c r="EC90" s="62"/>
      <c r="ED90" s="62">
        <f t="shared" ref="ED90" ca="1" si="1149">IFERROR($C90*ED89,"")</f>
        <v>0</v>
      </c>
      <c r="EE90" s="62"/>
      <c r="EF90" s="62"/>
      <c r="EG90" s="63"/>
      <c r="EH90" s="64">
        <f t="shared" ref="EH90" ca="1" si="1150">IFERROR($C90*EH89,"")</f>
        <v>0</v>
      </c>
      <c r="EI90" s="64"/>
      <c r="EJ90" s="64"/>
      <c r="EK90" s="65"/>
      <c r="EL90" s="62">
        <f t="shared" ref="EL90" ca="1" si="1151">IFERROR($C90*EL89,"")</f>
        <v>0</v>
      </c>
      <c r="EM90" s="62"/>
      <c r="EN90" s="62"/>
      <c r="EO90" s="62"/>
      <c r="EP90" s="62">
        <f t="shared" ref="EP90" ca="1" si="1152">IFERROR($C90*EP89,"")</f>
        <v>0</v>
      </c>
      <c r="EQ90" s="62"/>
      <c r="ER90" s="62"/>
      <c r="ES90" s="63"/>
    </row>
    <row r="91" spans="1:149" customFormat="1" outlineLevel="1" x14ac:dyDescent="0.45">
      <c r="A91" s="2"/>
      <c r="B91" s="36"/>
      <c r="C91" s="25">
        <v>350000</v>
      </c>
      <c r="D91" s="26" t="s">
        <v>3</v>
      </c>
      <c r="E91" s="27">
        <f ca="1">SUM(F91:CW91)</f>
        <v>3850000</v>
      </c>
      <c r="F91" s="66">
        <f ca="1">IFERROR($C91*F89,"")</f>
        <v>0</v>
      </c>
      <c r="G91" s="60"/>
      <c r="H91" s="60"/>
      <c r="I91" s="60"/>
      <c r="J91" s="60">
        <f t="shared" ref="J91" ca="1" si="1153">IFERROR($C91*J89,"")</f>
        <v>0</v>
      </c>
      <c r="K91" s="60"/>
      <c r="L91" s="60"/>
      <c r="M91" s="60"/>
      <c r="N91" s="61">
        <f t="shared" ref="N91" ca="1" si="1154">IFERROR($C91*N89,"")</f>
        <v>0</v>
      </c>
      <c r="O91" s="58"/>
      <c r="P91" s="58"/>
      <c r="Q91" s="58"/>
      <c r="R91" s="58">
        <f t="shared" ref="R91" si="1155">IFERROR($C91*R89,"")</f>
        <v>0</v>
      </c>
      <c r="S91" s="58"/>
      <c r="T91" s="58"/>
      <c r="U91" s="59"/>
      <c r="V91" s="60">
        <f t="shared" ref="V91" si="1156">IFERROR($C91*V89,"")</f>
        <v>0</v>
      </c>
      <c r="W91" s="60"/>
      <c r="X91" s="60"/>
      <c r="Y91" s="60"/>
      <c r="Z91" s="60">
        <f t="shared" ref="Z91" si="1157">IFERROR($C91*Z89,"")</f>
        <v>350000</v>
      </c>
      <c r="AA91" s="60"/>
      <c r="AB91" s="60"/>
      <c r="AC91" s="61"/>
      <c r="AD91" s="60">
        <f t="shared" ref="AD91" si="1158">IFERROR($C91*AD89,"")</f>
        <v>350000</v>
      </c>
      <c r="AE91" s="60"/>
      <c r="AF91" s="60"/>
      <c r="AG91" s="60"/>
      <c r="AH91" s="60">
        <f t="shared" ref="AH91" si="1159">IFERROR($C91*AH89,"")</f>
        <v>350000</v>
      </c>
      <c r="AI91" s="60"/>
      <c r="AJ91" s="60"/>
      <c r="AK91" s="60"/>
      <c r="AL91" s="60">
        <f t="shared" ref="AL91" si="1160">IFERROR($C91*AL89,"")</f>
        <v>350000</v>
      </c>
      <c r="AM91" s="60"/>
      <c r="AN91" s="60"/>
      <c r="AO91" s="61"/>
      <c r="AP91" s="58">
        <f t="shared" ref="AP91" si="1161">IFERROR($C91*AP89,"")</f>
        <v>350000</v>
      </c>
      <c r="AQ91" s="58"/>
      <c r="AR91" s="58"/>
      <c r="AS91" s="59"/>
      <c r="AT91" s="60">
        <f t="shared" ref="AT91" si="1162">IFERROR($C91*AT89,"")</f>
        <v>350000</v>
      </c>
      <c r="AU91" s="60"/>
      <c r="AV91" s="60"/>
      <c r="AW91" s="60"/>
      <c r="AX91" s="60">
        <f t="shared" ref="AX91" si="1163">IFERROR($C91*AX89,"")</f>
        <v>350000</v>
      </c>
      <c r="AY91" s="60"/>
      <c r="AZ91" s="60"/>
      <c r="BA91" s="61"/>
      <c r="BB91" s="58">
        <f t="shared" ref="BB91" si="1164">IFERROR($C91*BB89,"")</f>
        <v>350000</v>
      </c>
      <c r="BC91" s="58"/>
      <c r="BD91" s="58"/>
      <c r="BE91" s="59"/>
      <c r="BF91" s="60">
        <f t="shared" ref="BF91" si="1165">IFERROR($C91*BF89,"")</f>
        <v>350000</v>
      </c>
      <c r="BG91" s="60"/>
      <c r="BH91" s="60"/>
      <c r="BI91" s="60"/>
      <c r="BJ91" s="60">
        <f t="shared" ref="BJ91" si="1166">IFERROR($C91*BJ89,"")</f>
        <v>350000</v>
      </c>
      <c r="BK91" s="60"/>
      <c r="BL91" s="60"/>
      <c r="BM91" s="61"/>
      <c r="BN91" s="58">
        <f t="shared" ref="BN91" si="1167">IFERROR($C91*BN89,"")</f>
        <v>350000</v>
      </c>
      <c r="BO91" s="58"/>
      <c r="BP91" s="58"/>
      <c r="BQ91" s="59"/>
      <c r="BR91" s="60">
        <f t="shared" ref="BR91" si="1168">IFERROR($C91*BR89,"")</f>
        <v>0</v>
      </c>
      <c r="BS91" s="60"/>
      <c r="BT91" s="60"/>
      <c r="BU91" s="60"/>
      <c r="BV91" s="60">
        <f t="shared" ref="BV91" si="1169">IFERROR($C91*BV89,"")</f>
        <v>0</v>
      </c>
      <c r="BW91" s="60"/>
      <c r="BX91" s="60"/>
      <c r="BY91" s="61"/>
      <c r="BZ91" s="58">
        <f t="shared" ref="BZ91" si="1170">IFERROR($C91*BZ89,"")</f>
        <v>0</v>
      </c>
      <c r="CA91" s="58"/>
      <c r="CB91" s="58"/>
      <c r="CC91" s="59"/>
      <c r="CD91" s="60">
        <f t="shared" ref="CD91" si="1171">IFERROR($C91*CD89,"")</f>
        <v>0</v>
      </c>
      <c r="CE91" s="60"/>
      <c r="CF91" s="60"/>
      <c r="CG91" s="60"/>
      <c r="CH91" s="60">
        <f t="shared" ref="CH91" si="1172">IFERROR($C91*CH89,"")</f>
        <v>0</v>
      </c>
      <c r="CI91" s="60"/>
      <c r="CJ91" s="60"/>
      <c r="CK91" s="61"/>
      <c r="CL91" s="58">
        <f t="shared" ref="CL91" si="1173">IFERROR($C91*CL89,"")</f>
        <v>0</v>
      </c>
      <c r="CM91" s="58"/>
      <c r="CN91" s="58"/>
      <c r="CO91" s="59"/>
      <c r="CP91" s="60">
        <f t="shared" ref="CP91" si="1174">IFERROR($C91*CP89,"")</f>
        <v>0</v>
      </c>
      <c r="CQ91" s="60"/>
      <c r="CR91" s="60"/>
      <c r="CS91" s="60"/>
      <c r="CT91" s="60">
        <f t="shared" ref="CT91" si="1175">IFERROR($C91*CT89,"")</f>
        <v>0</v>
      </c>
      <c r="CU91" s="60"/>
      <c r="CV91" s="60"/>
      <c r="CW91" s="61"/>
      <c r="CX91" s="58">
        <f t="shared" ref="CX91" si="1176">IFERROR($C91*CX89,"")</f>
        <v>0</v>
      </c>
      <c r="CY91" s="58"/>
      <c r="CZ91" s="58"/>
      <c r="DA91" s="59"/>
      <c r="DB91" s="60">
        <f t="shared" ref="DB91" si="1177">IFERROR($C91*DB89,"")</f>
        <v>0</v>
      </c>
      <c r="DC91" s="60"/>
      <c r="DD91" s="60"/>
      <c r="DE91" s="60"/>
      <c r="DF91" s="60">
        <f t="shared" ref="DF91" si="1178">IFERROR($C91*DF89,"")</f>
        <v>0</v>
      </c>
      <c r="DG91" s="60"/>
      <c r="DH91" s="60"/>
      <c r="DI91" s="61"/>
      <c r="DJ91" s="58">
        <f t="shared" ref="DJ91" si="1179">IFERROR($C91*DJ89,"")</f>
        <v>0</v>
      </c>
      <c r="DK91" s="58"/>
      <c r="DL91" s="58"/>
      <c r="DM91" s="59"/>
      <c r="DN91" s="60">
        <f t="shared" ref="DN91" si="1180">IFERROR($C91*DN89,"")</f>
        <v>0</v>
      </c>
      <c r="DO91" s="60"/>
      <c r="DP91" s="60"/>
      <c r="DQ91" s="60"/>
      <c r="DR91" s="60">
        <f t="shared" ref="DR91" ca="1" si="1181">IFERROR($C91*DR89,"")</f>
        <v>0</v>
      </c>
      <c r="DS91" s="60"/>
      <c r="DT91" s="60"/>
      <c r="DU91" s="61"/>
      <c r="DV91" s="58">
        <f t="shared" ref="DV91" ca="1" si="1182">IFERROR($C91*DV89,"")</f>
        <v>0</v>
      </c>
      <c r="DW91" s="58"/>
      <c r="DX91" s="58"/>
      <c r="DY91" s="59"/>
      <c r="DZ91" s="60">
        <f t="shared" ref="DZ91" ca="1" si="1183">IFERROR($C91*DZ89,"")</f>
        <v>0</v>
      </c>
      <c r="EA91" s="60"/>
      <c r="EB91" s="60"/>
      <c r="EC91" s="60"/>
      <c r="ED91" s="60">
        <f t="shared" ref="ED91" ca="1" si="1184">IFERROR($C91*ED89,"")</f>
        <v>0</v>
      </c>
      <c r="EE91" s="60"/>
      <c r="EF91" s="60"/>
      <c r="EG91" s="61"/>
      <c r="EH91" s="58">
        <f t="shared" ref="EH91" ca="1" si="1185">IFERROR($C91*EH89,"")</f>
        <v>0</v>
      </c>
      <c r="EI91" s="58"/>
      <c r="EJ91" s="58"/>
      <c r="EK91" s="59"/>
      <c r="EL91" s="60">
        <f t="shared" ref="EL91" ca="1" si="1186">IFERROR($C91*EL89,"")</f>
        <v>0</v>
      </c>
      <c r="EM91" s="60"/>
      <c r="EN91" s="60"/>
      <c r="EO91" s="60"/>
      <c r="EP91" s="60">
        <f t="shared" ref="EP91" ca="1" si="1187">IFERROR($C91*EP89,"")</f>
        <v>0</v>
      </c>
      <c r="EQ91" s="60"/>
      <c r="ER91" s="60"/>
      <c r="ES91" s="61"/>
    </row>
    <row r="92" spans="1:149" customFormat="1" outlineLevel="1" x14ac:dyDescent="0.45">
      <c r="A92" s="2"/>
      <c r="B92" s="34" t="s">
        <v>47</v>
      </c>
      <c r="C92" s="19"/>
      <c r="D92" s="20" t="s">
        <v>13</v>
      </c>
      <c r="E92" s="21">
        <f ca="1">SUM(F92:ES92)</f>
        <v>11</v>
      </c>
      <c r="F92" s="74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G92" s="67"/>
      <c r="H92" s="67"/>
      <c r="I92" s="67"/>
      <c r="J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K92" s="67"/>
      <c r="L92" s="67"/>
      <c r="M92" s="67"/>
      <c r="N92" s="68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O92" s="70"/>
      <c r="P92" s="70"/>
      <c r="Q92" s="70"/>
      <c r="R92" s="70"/>
      <c r="S92" s="70"/>
      <c r="T92" s="70"/>
      <c r="U92" s="71"/>
      <c r="V92" s="67"/>
      <c r="W92" s="67"/>
      <c r="X92" s="67"/>
      <c r="Y92" s="67"/>
      <c r="Z92" s="67">
        <v>1</v>
      </c>
      <c r="AA92" s="67"/>
      <c r="AB92" s="67"/>
      <c r="AC92" s="68"/>
      <c r="AD92" s="67">
        <v>1</v>
      </c>
      <c r="AE92" s="67"/>
      <c r="AF92" s="67"/>
      <c r="AG92" s="67"/>
      <c r="AH92" s="67">
        <v>1</v>
      </c>
      <c r="AI92" s="67"/>
      <c r="AJ92" s="67"/>
      <c r="AK92" s="67"/>
      <c r="AL92" s="67">
        <v>1</v>
      </c>
      <c r="AM92" s="67"/>
      <c r="AN92" s="67"/>
      <c r="AO92" s="68"/>
      <c r="AP92" s="70">
        <v>1</v>
      </c>
      <c r="AQ92" s="70"/>
      <c r="AR92" s="70"/>
      <c r="AS92" s="71"/>
      <c r="AT92" s="67">
        <v>1</v>
      </c>
      <c r="AU92" s="67"/>
      <c r="AV92" s="67"/>
      <c r="AW92" s="67"/>
      <c r="AX92" s="67">
        <v>1</v>
      </c>
      <c r="AY92" s="67"/>
      <c r="AZ92" s="67"/>
      <c r="BA92" s="68"/>
      <c r="BB92" s="70">
        <v>1</v>
      </c>
      <c r="BC92" s="70"/>
      <c r="BD92" s="70"/>
      <c r="BE92" s="71"/>
      <c r="BF92" s="67">
        <v>1</v>
      </c>
      <c r="BG92" s="67"/>
      <c r="BH92" s="67"/>
      <c r="BI92" s="67"/>
      <c r="BJ92" s="67">
        <v>1</v>
      </c>
      <c r="BK92" s="67"/>
      <c r="BL92" s="67"/>
      <c r="BM92" s="68"/>
      <c r="BN92" s="70">
        <v>1</v>
      </c>
      <c r="BO92" s="70"/>
      <c r="BP92" s="70"/>
      <c r="BQ92" s="71"/>
      <c r="BR92" s="67"/>
      <c r="BS92" s="67"/>
      <c r="BT92" s="67"/>
      <c r="BU92" s="67"/>
      <c r="BV92" s="67"/>
      <c r="BW92" s="67"/>
      <c r="BX92" s="67"/>
      <c r="BY92" s="68"/>
      <c r="BZ92" s="70"/>
      <c r="CA92" s="70"/>
      <c r="CB92" s="70"/>
      <c r="CC92" s="71"/>
      <c r="CD92" s="67"/>
      <c r="CE92" s="67"/>
      <c r="CF92" s="67"/>
      <c r="CG92" s="67"/>
      <c r="CH92" s="67"/>
      <c r="CI92" s="67"/>
      <c r="CJ92" s="67"/>
      <c r="CK92" s="68"/>
      <c r="CL92" s="70"/>
      <c r="CM92" s="70"/>
      <c r="CN92" s="70"/>
      <c r="CO92" s="71"/>
      <c r="CP92" s="67"/>
      <c r="CQ92" s="67"/>
      <c r="CR92" s="67"/>
      <c r="CS92" s="67"/>
      <c r="CT92" s="67"/>
      <c r="CU92" s="67"/>
      <c r="CV92" s="67"/>
      <c r="CW92" s="68"/>
      <c r="CX92" s="70"/>
      <c r="CY92" s="70"/>
      <c r="CZ92" s="70"/>
      <c r="DA92" s="71"/>
      <c r="DB92" s="67"/>
      <c r="DC92" s="67"/>
      <c r="DD92" s="67"/>
      <c r="DE92" s="67"/>
      <c r="DF92" s="67"/>
      <c r="DG92" s="67"/>
      <c r="DH92" s="67"/>
      <c r="DI92" s="68"/>
      <c r="DJ92" s="70"/>
      <c r="DK92" s="70"/>
      <c r="DL92" s="70"/>
      <c r="DM92" s="71"/>
      <c r="DN92" s="67"/>
      <c r="DO92" s="67"/>
      <c r="DP92" s="67"/>
      <c r="DQ92" s="67"/>
      <c r="DR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DS92" s="67"/>
      <c r="DT92" s="67"/>
      <c r="DU92" s="68"/>
      <c r="DV92" s="70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DW92" s="70"/>
      <c r="DX92" s="70"/>
      <c r="DY92" s="71"/>
      <c r="DZ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A92" s="67"/>
      <c r="EB92" s="67"/>
      <c r="EC92" s="67"/>
      <c r="ED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E92" s="67"/>
      <c r="EF92" s="67"/>
      <c r="EG92" s="68"/>
      <c r="EH92" s="70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I92" s="70"/>
      <c r="EJ92" s="70"/>
      <c r="EK92" s="71"/>
      <c r="EL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M92" s="67"/>
      <c r="EN92" s="67"/>
      <c r="EO92" s="67"/>
      <c r="EP92" s="67">
        <f ca="1">IF(ISERROR(VLOOKUP(RIGHT(CELL("filename",$A$1),LEN(CELL("filename",$A$1))-FIND("]",CELL("filename",$A$1)))&amp;$B92,[2]要員計画!$L:$AJ,((COLUMN()-1)/4)+1,FALSE)),0,VLOOKUP(RIGHT(CELL("filename",$A$1),LEN(CELL("filename",$A$1))-FIND("]",CELL("filename",$A$1)))&amp;$B92,[2]要員計画!$L:$AJ,((COLUMN()-1)/4)+1,FALSE))</f>
        <v>0</v>
      </c>
      <c r="EQ92" s="67"/>
      <c r="ER92" s="67"/>
      <c r="ES92" s="68"/>
    </row>
    <row r="93" spans="1:149" customFormat="1" outlineLevel="1" x14ac:dyDescent="0.45">
      <c r="A93" s="2"/>
      <c r="B93" s="35"/>
      <c r="C93" s="22">
        <v>1050000</v>
      </c>
      <c r="D93" s="23" t="s">
        <v>23</v>
      </c>
      <c r="E93" s="24">
        <f ca="1">SUM(F93:CW93)</f>
        <v>11550000</v>
      </c>
      <c r="F93" s="69">
        <f ca="1">IFERROR($C93*F92,"")</f>
        <v>0</v>
      </c>
      <c r="G93" s="62"/>
      <c r="H93" s="62"/>
      <c r="I93" s="62"/>
      <c r="J93" s="62">
        <f t="shared" ref="J93" ca="1" si="1188">IFERROR($C93*J92,"")</f>
        <v>0</v>
      </c>
      <c r="K93" s="62"/>
      <c r="L93" s="62"/>
      <c r="M93" s="62"/>
      <c r="N93" s="63">
        <f t="shared" ref="N93" ca="1" si="1189">IFERROR($C93*N92,"")</f>
        <v>0</v>
      </c>
      <c r="O93" s="64"/>
      <c r="P93" s="64"/>
      <c r="Q93" s="64"/>
      <c r="R93" s="64">
        <f t="shared" ref="R93" si="1190">IFERROR($C93*R92,"")</f>
        <v>0</v>
      </c>
      <c r="S93" s="64"/>
      <c r="T93" s="64"/>
      <c r="U93" s="65"/>
      <c r="V93" s="62">
        <f t="shared" ref="V93" si="1191">IFERROR($C93*V92,"")</f>
        <v>0</v>
      </c>
      <c r="W93" s="62"/>
      <c r="X93" s="62"/>
      <c r="Y93" s="62"/>
      <c r="Z93" s="62">
        <f t="shared" ref="Z93" si="1192">IFERROR($C93*Z92,"")</f>
        <v>1050000</v>
      </c>
      <c r="AA93" s="62"/>
      <c r="AB93" s="62"/>
      <c r="AC93" s="63"/>
      <c r="AD93" s="62">
        <f t="shared" ref="AD93" si="1193">IFERROR($C93*AD92,"")</f>
        <v>1050000</v>
      </c>
      <c r="AE93" s="62"/>
      <c r="AF93" s="62"/>
      <c r="AG93" s="62"/>
      <c r="AH93" s="62">
        <f t="shared" ref="AH93" si="1194">IFERROR($C93*AH92,"")</f>
        <v>1050000</v>
      </c>
      <c r="AI93" s="62"/>
      <c r="AJ93" s="62"/>
      <c r="AK93" s="62"/>
      <c r="AL93" s="62">
        <f t="shared" ref="AL93" si="1195">IFERROR($C93*AL92,"")</f>
        <v>1050000</v>
      </c>
      <c r="AM93" s="62"/>
      <c r="AN93" s="62"/>
      <c r="AO93" s="63"/>
      <c r="AP93" s="64">
        <f t="shared" ref="AP93" si="1196">IFERROR($C93*AP92,"")</f>
        <v>1050000</v>
      </c>
      <c r="AQ93" s="64"/>
      <c r="AR93" s="64"/>
      <c r="AS93" s="65"/>
      <c r="AT93" s="62">
        <f t="shared" ref="AT93" si="1197">IFERROR($C93*AT92,"")</f>
        <v>1050000</v>
      </c>
      <c r="AU93" s="62"/>
      <c r="AV93" s="62"/>
      <c r="AW93" s="62"/>
      <c r="AX93" s="62">
        <f t="shared" ref="AX93" si="1198">IFERROR($C93*AX92,"")</f>
        <v>1050000</v>
      </c>
      <c r="AY93" s="62"/>
      <c r="AZ93" s="62"/>
      <c r="BA93" s="63"/>
      <c r="BB93" s="64">
        <f t="shared" ref="BB93" si="1199">IFERROR($C93*BB92,"")</f>
        <v>1050000</v>
      </c>
      <c r="BC93" s="64"/>
      <c r="BD93" s="64"/>
      <c r="BE93" s="65"/>
      <c r="BF93" s="62">
        <f t="shared" ref="BF93" si="1200">IFERROR($C93*BF92,"")</f>
        <v>1050000</v>
      </c>
      <c r="BG93" s="62"/>
      <c r="BH93" s="62"/>
      <c r="BI93" s="62"/>
      <c r="BJ93" s="62">
        <f t="shared" ref="BJ93" si="1201">IFERROR($C93*BJ92,"")</f>
        <v>1050000</v>
      </c>
      <c r="BK93" s="62"/>
      <c r="BL93" s="62"/>
      <c r="BM93" s="63"/>
      <c r="BN93" s="64">
        <f t="shared" ref="BN93" si="1202">IFERROR($C93*BN92,"")</f>
        <v>1050000</v>
      </c>
      <c r="BO93" s="64"/>
      <c r="BP93" s="64"/>
      <c r="BQ93" s="65"/>
      <c r="BR93" s="62">
        <f t="shared" ref="BR93" si="1203">IFERROR($C93*BR92,"")</f>
        <v>0</v>
      </c>
      <c r="BS93" s="62"/>
      <c r="BT93" s="62"/>
      <c r="BU93" s="62"/>
      <c r="BV93" s="62">
        <f t="shared" ref="BV93" si="1204">IFERROR($C93*BV92,"")</f>
        <v>0</v>
      </c>
      <c r="BW93" s="62"/>
      <c r="BX93" s="62"/>
      <c r="BY93" s="63"/>
      <c r="BZ93" s="64">
        <f t="shared" ref="BZ93" si="1205">IFERROR($C93*BZ92,"")</f>
        <v>0</v>
      </c>
      <c r="CA93" s="64"/>
      <c r="CB93" s="64"/>
      <c r="CC93" s="65"/>
      <c r="CD93" s="62">
        <f t="shared" ref="CD93" si="1206">IFERROR($C93*CD92,"")</f>
        <v>0</v>
      </c>
      <c r="CE93" s="62"/>
      <c r="CF93" s="62"/>
      <c r="CG93" s="62"/>
      <c r="CH93" s="62">
        <f t="shared" ref="CH93" si="1207">IFERROR($C93*CH92,"")</f>
        <v>0</v>
      </c>
      <c r="CI93" s="62"/>
      <c r="CJ93" s="62"/>
      <c r="CK93" s="63"/>
      <c r="CL93" s="64">
        <f t="shared" ref="CL93" si="1208">IFERROR($C93*CL92,"")</f>
        <v>0</v>
      </c>
      <c r="CM93" s="64"/>
      <c r="CN93" s="64"/>
      <c r="CO93" s="65"/>
      <c r="CP93" s="62">
        <f t="shared" ref="CP93" si="1209">IFERROR($C93*CP92,"")</f>
        <v>0</v>
      </c>
      <c r="CQ93" s="62"/>
      <c r="CR93" s="62"/>
      <c r="CS93" s="62"/>
      <c r="CT93" s="62">
        <f t="shared" ref="CT93" si="1210">IFERROR($C93*CT92,"")</f>
        <v>0</v>
      </c>
      <c r="CU93" s="62"/>
      <c r="CV93" s="62"/>
      <c r="CW93" s="63"/>
      <c r="CX93" s="64">
        <f t="shared" ref="CX93" si="1211">IFERROR($C93*CX92,"")</f>
        <v>0</v>
      </c>
      <c r="CY93" s="64"/>
      <c r="CZ93" s="64"/>
      <c r="DA93" s="65"/>
      <c r="DB93" s="62">
        <f t="shared" ref="DB93" si="1212">IFERROR($C93*DB92,"")</f>
        <v>0</v>
      </c>
      <c r="DC93" s="62"/>
      <c r="DD93" s="62"/>
      <c r="DE93" s="62"/>
      <c r="DF93" s="62">
        <f t="shared" ref="DF93" si="1213">IFERROR($C93*DF92,"")</f>
        <v>0</v>
      </c>
      <c r="DG93" s="62"/>
      <c r="DH93" s="62"/>
      <c r="DI93" s="63"/>
      <c r="DJ93" s="64">
        <f t="shared" ref="DJ93" si="1214">IFERROR($C93*DJ92,"")</f>
        <v>0</v>
      </c>
      <c r="DK93" s="64"/>
      <c r="DL93" s="64"/>
      <c r="DM93" s="65"/>
      <c r="DN93" s="62">
        <f t="shared" ref="DN93" si="1215">IFERROR($C93*DN92,"")</f>
        <v>0</v>
      </c>
      <c r="DO93" s="62"/>
      <c r="DP93" s="62"/>
      <c r="DQ93" s="62"/>
      <c r="DR93" s="62">
        <f t="shared" ref="DR93" ca="1" si="1216">IFERROR($C93*DR92,"")</f>
        <v>0</v>
      </c>
      <c r="DS93" s="62"/>
      <c r="DT93" s="62"/>
      <c r="DU93" s="63"/>
      <c r="DV93" s="64">
        <f t="shared" ref="DV93" ca="1" si="1217">IFERROR($C93*DV92,"")</f>
        <v>0</v>
      </c>
      <c r="DW93" s="64"/>
      <c r="DX93" s="64"/>
      <c r="DY93" s="65"/>
      <c r="DZ93" s="62">
        <f t="shared" ref="DZ93" ca="1" si="1218">IFERROR($C93*DZ92,"")</f>
        <v>0</v>
      </c>
      <c r="EA93" s="62"/>
      <c r="EB93" s="62"/>
      <c r="EC93" s="62"/>
      <c r="ED93" s="62">
        <f t="shared" ref="ED93" ca="1" si="1219">IFERROR($C93*ED92,"")</f>
        <v>0</v>
      </c>
      <c r="EE93" s="62"/>
      <c r="EF93" s="62"/>
      <c r="EG93" s="63"/>
      <c r="EH93" s="64">
        <f t="shared" ref="EH93" ca="1" si="1220">IFERROR($C93*EH92,"")</f>
        <v>0</v>
      </c>
      <c r="EI93" s="64"/>
      <c r="EJ93" s="64"/>
      <c r="EK93" s="65"/>
      <c r="EL93" s="62">
        <f t="shared" ref="EL93" ca="1" si="1221">IFERROR($C93*EL92,"")</f>
        <v>0</v>
      </c>
      <c r="EM93" s="62"/>
      <c r="EN93" s="62"/>
      <c r="EO93" s="62"/>
      <c r="EP93" s="62">
        <f t="shared" ref="EP93" ca="1" si="1222">IFERROR($C93*EP92,"")</f>
        <v>0</v>
      </c>
      <c r="EQ93" s="62"/>
      <c r="ER93" s="62"/>
      <c r="ES93" s="63"/>
    </row>
    <row r="94" spans="1:149" customFormat="1" outlineLevel="1" x14ac:dyDescent="0.45">
      <c r="A94" s="2"/>
      <c r="B94" s="36"/>
      <c r="C94" s="25">
        <v>350000</v>
      </c>
      <c r="D94" s="26" t="s">
        <v>3</v>
      </c>
      <c r="E94" s="27">
        <f ca="1">SUM(F94:CW94)</f>
        <v>3850000</v>
      </c>
      <c r="F94" s="66">
        <f ca="1">IFERROR($C94*F92,"")</f>
        <v>0</v>
      </c>
      <c r="G94" s="60"/>
      <c r="H94" s="60"/>
      <c r="I94" s="60"/>
      <c r="J94" s="60">
        <f t="shared" ref="J94" ca="1" si="1223">IFERROR($C94*J92,"")</f>
        <v>0</v>
      </c>
      <c r="K94" s="60"/>
      <c r="L94" s="60"/>
      <c r="M94" s="60"/>
      <c r="N94" s="61">
        <f t="shared" ref="N94" ca="1" si="1224">IFERROR($C94*N92,"")</f>
        <v>0</v>
      </c>
      <c r="O94" s="58"/>
      <c r="P94" s="58"/>
      <c r="Q94" s="58"/>
      <c r="R94" s="58">
        <f t="shared" ref="R94" si="1225">IFERROR($C94*R92,"")</f>
        <v>0</v>
      </c>
      <c r="S94" s="58"/>
      <c r="T94" s="58"/>
      <c r="U94" s="59"/>
      <c r="V94" s="60">
        <f t="shared" ref="V94" si="1226">IFERROR($C94*V92,"")</f>
        <v>0</v>
      </c>
      <c r="W94" s="60"/>
      <c r="X94" s="60"/>
      <c r="Y94" s="60"/>
      <c r="Z94" s="60">
        <f t="shared" ref="Z94" si="1227">IFERROR($C94*Z92,"")</f>
        <v>350000</v>
      </c>
      <c r="AA94" s="60"/>
      <c r="AB94" s="60"/>
      <c r="AC94" s="61"/>
      <c r="AD94" s="60">
        <f t="shared" ref="AD94" si="1228">IFERROR($C94*AD92,"")</f>
        <v>350000</v>
      </c>
      <c r="AE94" s="60"/>
      <c r="AF94" s="60"/>
      <c r="AG94" s="60"/>
      <c r="AH94" s="60">
        <f t="shared" ref="AH94" si="1229">IFERROR($C94*AH92,"")</f>
        <v>350000</v>
      </c>
      <c r="AI94" s="60"/>
      <c r="AJ94" s="60"/>
      <c r="AK94" s="60"/>
      <c r="AL94" s="60">
        <f t="shared" ref="AL94" si="1230">IFERROR($C94*AL92,"")</f>
        <v>350000</v>
      </c>
      <c r="AM94" s="60"/>
      <c r="AN94" s="60"/>
      <c r="AO94" s="61"/>
      <c r="AP94" s="58">
        <f t="shared" ref="AP94" si="1231">IFERROR($C94*AP92,"")</f>
        <v>350000</v>
      </c>
      <c r="AQ94" s="58"/>
      <c r="AR94" s="58"/>
      <c r="AS94" s="59"/>
      <c r="AT94" s="60">
        <f t="shared" ref="AT94" si="1232">IFERROR($C94*AT92,"")</f>
        <v>350000</v>
      </c>
      <c r="AU94" s="60"/>
      <c r="AV94" s="60"/>
      <c r="AW94" s="60"/>
      <c r="AX94" s="60">
        <f t="shared" ref="AX94" si="1233">IFERROR($C94*AX92,"")</f>
        <v>350000</v>
      </c>
      <c r="AY94" s="60"/>
      <c r="AZ94" s="60"/>
      <c r="BA94" s="61"/>
      <c r="BB94" s="58">
        <f t="shared" ref="BB94" si="1234">IFERROR($C94*BB92,"")</f>
        <v>350000</v>
      </c>
      <c r="BC94" s="58"/>
      <c r="BD94" s="58"/>
      <c r="BE94" s="59"/>
      <c r="BF94" s="60">
        <f t="shared" ref="BF94" si="1235">IFERROR($C94*BF92,"")</f>
        <v>350000</v>
      </c>
      <c r="BG94" s="60"/>
      <c r="BH94" s="60"/>
      <c r="BI94" s="60"/>
      <c r="BJ94" s="60">
        <f t="shared" ref="BJ94" si="1236">IFERROR($C94*BJ92,"")</f>
        <v>350000</v>
      </c>
      <c r="BK94" s="60"/>
      <c r="BL94" s="60"/>
      <c r="BM94" s="61"/>
      <c r="BN94" s="58">
        <f t="shared" ref="BN94" si="1237">IFERROR($C94*BN92,"")</f>
        <v>350000</v>
      </c>
      <c r="BO94" s="58"/>
      <c r="BP94" s="58"/>
      <c r="BQ94" s="59"/>
      <c r="BR94" s="60">
        <f t="shared" ref="BR94" si="1238">IFERROR($C94*BR92,"")</f>
        <v>0</v>
      </c>
      <c r="BS94" s="60"/>
      <c r="BT94" s="60"/>
      <c r="BU94" s="60"/>
      <c r="BV94" s="60">
        <f t="shared" ref="BV94" si="1239">IFERROR($C94*BV92,"")</f>
        <v>0</v>
      </c>
      <c r="BW94" s="60"/>
      <c r="BX94" s="60"/>
      <c r="BY94" s="61"/>
      <c r="BZ94" s="58">
        <f t="shared" ref="BZ94" si="1240">IFERROR($C94*BZ92,"")</f>
        <v>0</v>
      </c>
      <c r="CA94" s="58"/>
      <c r="CB94" s="58"/>
      <c r="CC94" s="59"/>
      <c r="CD94" s="60">
        <f t="shared" ref="CD94" si="1241">IFERROR($C94*CD92,"")</f>
        <v>0</v>
      </c>
      <c r="CE94" s="60"/>
      <c r="CF94" s="60"/>
      <c r="CG94" s="60"/>
      <c r="CH94" s="60">
        <f t="shared" ref="CH94" si="1242">IFERROR($C94*CH92,"")</f>
        <v>0</v>
      </c>
      <c r="CI94" s="60"/>
      <c r="CJ94" s="60"/>
      <c r="CK94" s="61"/>
      <c r="CL94" s="58">
        <f t="shared" ref="CL94" si="1243">IFERROR($C94*CL92,"")</f>
        <v>0</v>
      </c>
      <c r="CM94" s="58"/>
      <c r="CN94" s="58"/>
      <c r="CO94" s="59"/>
      <c r="CP94" s="60">
        <f t="shared" ref="CP94" si="1244">IFERROR($C94*CP92,"")</f>
        <v>0</v>
      </c>
      <c r="CQ94" s="60"/>
      <c r="CR94" s="60"/>
      <c r="CS94" s="60"/>
      <c r="CT94" s="60">
        <f t="shared" ref="CT94" si="1245">IFERROR($C94*CT92,"")</f>
        <v>0</v>
      </c>
      <c r="CU94" s="60"/>
      <c r="CV94" s="60"/>
      <c r="CW94" s="61"/>
      <c r="CX94" s="58">
        <f t="shared" ref="CX94" si="1246">IFERROR($C94*CX92,"")</f>
        <v>0</v>
      </c>
      <c r="CY94" s="58"/>
      <c r="CZ94" s="58"/>
      <c r="DA94" s="59"/>
      <c r="DB94" s="60">
        <f t="shared" ref="DB94" si="1247">IFERROR($C94*DB92,"")</f>
        <v>0</v>
      </c>
      <c r="DC94" s="60"/>
      <c r="DD94" s="60"/>
      <c r="DE94" s="60"/>
      <c r="DF94" s="60">
        <f t="shared" ref="DF94" si="1248">IFERROR($C94*DF92,"")</f>
        <v>0</v>
      </c>
      <c r="DG94" s="60"/>
      <c r="DH94" s="60"/>
      <c r="DI94" s="61"/>
      <c r="DJ94" s="58">
        <f t="shared" ref="DJ94" si="1249">IFERROR($C94*DJ92,"")</f>
        <v>0</v>
      </c>
      <c r="DK94" s="58"/>
      <c r="DL94" s="58"/>
      <c r="DM94" s="59"/>
      <c r="DN94" s="60">
        <f t="shared" ref="DN94" si="1250">IFERROR($C94*DN92,"")</f>
        <v>0</v>
      </c>
      <c r="DO94" s="60"/>
      <c r="DP94" s="60"/>
      <c r="DQ94" s="60"/>
      <c r="DR94" s="60">
        <f t="shared" ref="DR94" ca="1" si="1251">IFERROR($C94*DR92,"")</f>
        <v>0</v>
      </c>
      <c r="DS94" s="60"/>
      <c r="DT94" s="60"/>
      <c r="DU94" s="61"/>
      <c r="DV94" s="58">
        <f t="shared" ref="DV94" ca="1" si="1252">IFERROR($C94*DV92,"")</f>
        <v>0</v>
      </c>
      <c r="DW94" s="58"/>
      <c r="DX94" s="58"/>
      <c r="DY94" s="59"/>
      <c r="DZ94" s="60">
        <f t="shared" ref="DZ94" ca="1" si="1253">IFERROR($C94*DZ92,"")</f>
        <v>0</v>
      </c>
      <c r="EA94" s="60"/>
      <c r="EB94" s="60"/>
      <c r="EC94" s="60"/>
      <c r="ED94" s="60">
        <f t="shared" ref="ED94" ca="1" si="1254">IFERROR($C94*ED92,"")</f>
        <v>0</v>
      </c>
      <c r="EE94" s="60"/>
      <c r="EF94" s="60"/>
      <c r="EG94" s="61"/>
      <c r="EH94" s="58">
        <f t="shared" ref="EH94" ca="1" si="1255">IFERROR($C94*EH92,"")</f>
        <v>0</v>
      </c>
      <c r="EI94" s="58"/>
      <c r="EJ94" s="58"/>
      <c r="EK94" s="59"/>
      <c r="EL94" s="60">
        <f t="shared" ref="EL94" ca="1" si="1256">IFERROR($C94*EL92,"")</f>
        <v>0</v>
      </c>
      <c r="EM94" s="60"/>
      <c r="EN94" s="60"/>
      <c r="EO94" s="60"/>
      <c r="EP94" s="60">
        <f t="shared" ref="EP94" ca="1" si="1257">IFERROR($C94*EP92,"")</f>
        <v>0</v>
      </c>
      <c r="EQ94" s="60"/>
      <c r="ER94" s="60"/>
      <c r="ES94" s="61"/>
    </row>
    <row r="95" spans="1:149" customFormat="1" outlineLevel="1" x14ac:dyDescent="0.45">
      <c r="A95" s="2"/>
      <c r="B95" s="34" t="s">
        <v>48</v>
      </c>
      <c r="C95" s="19"/>
      <c r="D95" s="20" t="s">
        <v>13</v>
      </c>
      <c r="E95" s="21">
        <f ca="1">SUM(F95:ES95)</f>
        <v>11</v>
      </c>
      <c r="F95" s="74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G95" s="67"/>
      <c r="H95" s="67"/>
      <c r="I95" s="67"/>
      <c r="J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K95" s="67"/>
      <c r="L95" s="67"/>
      <c r="M95" s="67"/>
      <c r="N95" s="68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O95" s="70"/>
      <c r="P95" s="70"/>
      <c r="Q95" s="70"/>
      <c r="R95" s="70"/>
      <c r="S95" s="70"/>
      <c r="T95" s="70"/>
      <c r="U95" s="71"/>
      <c r="V95" s="67"/>
      <c r="W95" s="67"/>
      <c r="X95" s="67"/>
      <c r="Y95" s="67"/>
      <c r="Z95" s="67">
        <v>1</v>
      </c>
      <c r="AA95" s="67"/>
      <c r="AB95" s="67"/>
      <c r="AC95" s="68"/>
      <c r="AD95" s="67">
        <v>1</v>
      </c>
      <c r="AE95" s="67"/>
      <c r="AF95" s="67"/>
      <c r="AG95" s="67"/>
      <c r="AH95" s="67">
        <v>1</v>
      </c>
      <c r="AI95" s="67"/>
      <c r="AJ95" s="67"/>
      <c r="AK95" s="67"/>
      <c r="AL95" s="67">
        <v>1</v>
      </c>
      <c r="AM95" s="67"/>
      <c r="AN95" s="67"/>
      <c r="AO95" s="68"/>
      <c r="AP95" s="70">
        <v>1</v>
      </c>
      <c r="AQ95" s="70"/>
      <c r="AR95" s="70"/>
      <c r="AS95" s="71"/>
      <c r="AT95" s="67">
        <v>1</v>
      </c>
      <c r="AU95" s="67"/>
      <c r="AV95" s="67"/>
      <c r="AW95" s="67"/>
      <c r="AX95" s="67">
        <v>1</v>
      </c>
      <c r="AY95" s="67"/>
      <c r="AZ95" s="67"/>
      <c r="BA95" s="68"/>
      <c r="BB95" s="70">
        <v>1</v>
      </c>
      <c r="BC95" s="70"/>
      <c r="BD95" s="70"/>
      <c r="BE95" s="71"/>
      <c r="BF95" s="67">
        <v>1</v>
      </c>
      <c r="BG95" s="67"/>
      <c r="BH95" s="67"/>
      <c r="BI95" s="67"/>
      <c r="BJ95" s="67">
        <v>1</v>
      </c>
      <c r="BK95" s="67"/>
      <c r="BL95" s="67"/>
      <c r="BM95" s="68"/>
      <c r="BN95" s="70">
        <v>1</v>
      </c>
      <c r="BO95" s="70"/>
      <c r="BP95" s="70"/>
      <c r="BQ95" s="71"/>
      <c r="BR95" s="67"/>
      <c r="BS95" s="67"/>
      <c r="BT95" s="67"/>
      <c r="BU95" s="67"/>
      <c r="BV95" s="67"/>
      <c r="BW95" s="67"/>
      <c r="BX95" s="67"/>
      <c r="BY95" s="68"/>
      <c r="BZ95" s="70"/>
      <c r="CA95" s="70"/>
      <c r="CB95" s="70"/>
      <c r="CC95" s="71"/>
      <c r="CD95" s="67"/>
      <c r="CE95" s="67"/>
      <c r="CF95" s="67"/>
      <c r="CG95" s="67"/>
      <c r="CH95" s="67"/>
      <c r="CI95" s="67"/>
      <c r="CJ95" s="67"/>
      <c r="CK95" s="68"/>
      <c r="CL95" s="70"/>
      <c r="CM95" s="70"/>
      <c r="CN95" s="70"/>
      <c r="CO95" s="71"/>
      <c r="CP95" s="67"/>
      <c r="CQ95" s="67"/>
      <c r="CR95" s="67"/>
      <c r="CS95" s="67"/>
      <c r="CT95" s="67"/>
      <c r="CU95" s="67"/>
      <c r="CV95" s="67"/>
      <c r="CW95" s="68"/>
      <c r="CX95" s="70"/>
      <c r="CY95" s="70"/>
      <c r="CZ95" s="70"/>
      <c r="DA95" s="71"/>
      <c r="DB95" s="67"/>
      <c r="DC95" s="67"/>
      <c r="DD95" s="67"/>
      <c r="DE95" s="67"/>
      <c r="DF95" s="67"/>
      <c r="DG95" s="67"/>
      <c r="DH95" s="67"/>
      <c r="DI95" s="68"/>
      <c r="DJ95" s="70"/>
      <c r="DK95" s="70"/>
      <c r="DL95" s="70"/>
      <c r="DM95" s="71"/>
      <c r="DN95" s="67"/>
      <c r="DO95" s="67"/>
      <c r="DP95" s="67"/>
      <c r="DQ95" s="67"/>
      <c r="DR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DS95" s="67"/>
      <c r="DT95" s="67"/>
      <c r="DU95" s="68"/>
      <c r="DV95" s="70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DW95" s="70"/>
      <c r="DX95" s="70"/>
      <c r="DY95" s="71"/>
      <c r="DZ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A95" s="67"/>
      <c r="EB95" s="67"/>
      <c r="EC95" s="67"/>
      <c r="ED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E95" s="67"/>
      <c r="EF95" s="67"/>
      <c r="EG95" s="68"/>
      <c r="EH95" s="70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I95" s="70"/>
      <c r="EJ95" s="70"/>
      <c r="EK95" s="71"/>
      <c r="EL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M95" s="67"/>
      <c r="EN95" s="67"/>
      <c r="EO95" s="67"/>
      <c r="EP95" s="67">
        <f ca="1">IF(ISERROR(VLOOKUP(RIGHT(CELL("filename",$A$1),LEN(CELL("filename",$A$1))-FIND("]",CELL("filename",$A$1)))&amp;$B95,[2]要員計画!$L:$AJ,((COLUMN()-1)/4)+1,FALSE)),0,VLOOKUP(RIGHT(CELL("filename",$A$1),LEN(CELL("filename",$A$1))-FIND("]",CELL("filename",$A$1)))&amp;$B95,[2]要員計画!$L:$AJ,((COLUMN()-1)/4)+1,FALSE))</f>
        <v>0</v>
      </c>
      <c r="EQ95" s="67"/>
      <c r="ER95" s="67"/>
      <c r="ES95" s="68"/>
    </row>
    <row r="96" spans="1:149" customFormat="1" outlineLevel="1" x14ac:dyDescent="0.45">
      <c r="A96" s="2"/>
      <c r="B96" s="35"/>
      <c r="C96" s="22">
        <v>1050000</v>
      </c>
      <c r="D96" s="23" t="s">
        <v>23</v>
      </c>
      <c r="E96" s="24">
        <f ca="1">SUM(F96:CW96)</f>
        <v>11550000</v>
      </c>
      <c r="F96" s="69">
        <f ca="1">IFERROR($C96*F95,"")</f>
        <v>0</v>
      </c>
      <c r="G96" s="62"/>
      <c r="H96" s="62"/>
      <c r="I96" s="62"/>
      <c r="J96" s="62">
        <f t="shared" ref="J96" ca="1" si="1258">IFERROR($C96*J95,"")</f>
        <v>0</v>
      </c>
      <c r="K96" s="62"/>
      <c r="L96" s="62"/>
      <c r="M96" s="62"/>
      <c r="N96" s="63">
        <f t="shared" ref="N96" ca="1" si="1259">IFERROR($C96*N95,"")</f>
        <v>0</v>
      </c>
      <c r="O96" s="64"/>
      <c r="P96" s="64"/>
      <c r="Q96" s="64"/>
      <c r="R96" s="64">
        <f t="shared" ref="R96" si="1260">IFERROR($C96*R95,"")</f>
        <v>0</v>
      </c>
      <c r="S96" s="64"/>
      <c r="T96" s="64"/>
      <c r="U96" s="65"/>
      <c r="V96" s="62">
        <f t="shared" ref="V96" si="1261">IFERROR($C96*V95,"")</f>
        <v>0</v>
      </c>
      <c r="W96" s="62"/>
      <c r="X96" s="62"/>
      <c r="Y96" s="62"/>
      <c r="Z96" s="62">
        <f t="shared" ref="Z96" si="1262">IFERROR($C96*Z95,"")</f>
        <v>1050000</v>
      </c>
      <c r="AA96" s="62"/>
      <c r="AB96" s="62"/>
      <c r="AC96" s="63"/>
      <c r="AD96" s="62">
        <f t="shared" ref="AD96" si="1263">IFERROR($C96*AD95,"")</f>
        <v>1050000</v>
      </c>
      <c r="AE96" s="62"/>
      <c r="AF96" s="62"/>
      <c r="AG96" s="62"/>
      <c r="AH96" s="62">
        <f t="shared" ref="AH96" si="1264">IFERROR($C96*AH95,"")</f>
        <v>1050000</v>
      </c>
      <c r="AI96" s="62"/>
      <c r="AJ96" s="62"/>
      <c r="AK96" s="62"/>
      <c r="AL96" s="62">
        <f t="shared" ref="AL96" si="1265">IFERROR($C96*AL95,"")</f>
        <v>1050000</v>
      </c>
      <c r="AM96" s="62"/>
      <c r="AN96" s="62"/>
      <c r="AO96" s="63"/>
      <c r="AP96" s="64">
        <f t="shared" ref="AP96" si="1266">IFERROR($C96*AP95,"")</f>
        <v>1050000</v>
      </c>
      <c r="AQ96" s="64"/>
      <c r="AR96" s="64"/>
      <c r="AS96" s="65"/>
      <c r="AT96" s="62">
        <f t="shared" ref="AT96" si="1267">IFERROR($C96*AT95,"")</f>
        <v>1050000</v>
      </c>
      <c r="AU96" s="62"/>
      <c r="AV96" s="62"/>
      <c r="AW96" s="62"/>
      <c r="AX96" s="62">
        <f t="shared" ref="AX96" si="1268">IFERROR($C96*AX95,"")</f>
        <v>1050000</v>
      </c>
      <c r="AY96" s="62"/>
      <c r="AZ96" s="62"/>
      <c r="BA96" s="63"/>
      <c r="BB96" s="64">
        <f t="shared" ref="BB96" si="1269">IFERROR($C96*BB95,"")</f>
        <v>1050000</v>
      </c>
      <c r="BC96" s="64"/>
      <c r="BD96" s="64"/>
      <c r="BE96" s="65"/>
      <c r="BF96" s="62">
        <f t="shared" ref="BF96" si="1270">IFERROR($C96*BF95,"")</f>
        <v>1050000</v>
      </c>
      <c r="BG96" s="62"/>
      <c r="BH96" s="62"/>
      <c r="BI96" s="62"/>
      <c r="BJ96" s="62">
        <f t="shared" ref="BJ96" si="1271">IFERROR($C96*BJ95,"")</f>
        <v>1050000</v>
      </c>
      <c r="BK96" s="62"/>
      <c r="BL96" s="62"/>
      <c r="BM96" s="63"/>
      <c r="BN96" s="64">
        <f t="shared" ref="BN96" si="1272">IFERROR($C96*BN95,"")</f>
        <v>1050000</v>
      </c>
      <c r="BO96" s="64"/>
      <c r="BP96" s="64"/>
      <c r="BQ96" s="65"/>
      <c r="BR96" s="62">
        <f t="shared" ref="BR96" si="1273">IFERROR($C96*BR95,"")</f>
        <v>0</v>
      </c>
      <c r="BS96" s="62"/>
      <c r="BT96" s="62"/>
      <c r="BU96" s="62"/>
      <c r="BV96" s="62">
        <f t="shared" ref="BV96" si="1274">IFERROR($C96*BV95,"")</f>
        <v>0</v>
      </c>
      <c r="BW96" s="62"/>
      <c r="BX96" s="62"/>
      <c r="BY96" s="63"/>
      <c r="BZ96" s="64">
        <f t="shared" ref="BZ96" si="1275">IFERROR($C96*BZ95,"")</f>
        <v>0</v>
      </c>
      <c r="CA96" s="64"/>
      <c r="CB96" s="64"/>
      <c r="CC96" s="65"/>
      <c r="CD96" s="62">
        <f t="shared" ref="CD96" si="1276">IFERROR($C96*CD95,"")</f>
        <v>0</v>
      </c>
      <c r="CE96" s="62"/>
      <c r="CF96" s="62"/>
      <c r="CG96" s="62"/>
      <c r="CH96" s="62">
        <f t="shared" ref="CH96" si="1277">IFERROR($C96*CH95,"")</f>
        <v>0</v>
      </c>
      <c r="CI96" s="62"/>
      <c r="CJ96" s="62"/>
      <c r="CK96" s="63"/>
      <c r="CL96" s="64">
        <f t="shared" ref="CL96" si="1278">IFERROR($C96*CL95,"")</f>
        <v>0</v>
      </c>
      <c r="CM96" s="64"/>
      <c r="CN96" s="64"/>
      <c r="CO96" s="65"/>
      <c r="CP96" s="62">
        <f t="shared" ref="CP96" si="1279">IFERROR($C96*CP95,"")</f>
        <v>0</v>
      </c>
      <c r="CQ96" s="62"/>
      <c r="CR96" s="62"/>
      <c r="CS96" s="62"/>
      <c r="CT96" s="62">
        <f t="shared" ref="CT96" si="1280">IFERROR($C96*CT95,"")</f>
        <v>0</v>
      </c>
      <c r="CU96" s="62"/>
      <c r="CV96" s="62"/>
      <c r="CW96" s="63"/>
      <c r="CX96" s="64">
        <f t="shared" ref="CX96" si="1281">IFERROR($C96*CX95,"")</f>
        <v>0</v>
      </c>
      <c r="CY96" s="64"/>
      <c r="CZ96" s="64"/>
      <c r="DA96" s="65"/>
      <c r="DB96" s="62">
        <f t="shared" ref="DB96" si="1282">IFERROR($C96*DB95,"")</f>
        <v>0</v>
      </c>
      <c r="DC96" s="62"/>
      <c r="DD96" s="62"/>
      <c r="DE96" s="62"/>
      <c r="DF96" s="62">
        <f t="shared" ref="DF96" si="1283">IFERROR($C96*DF95,"")</f>
        <v>0</v>
      </c>
      <c r="DG96" s="62"/>
      <c r="DH96" s="62"/>
      <c r="DI96" s="63"/>
      <c r="DJ96" s="64">
        <f t="shared" ref="DJ96" si="1284">IFERROR($C96*DJ95,"")</f>
        <v>0</v>
      </c>
      <c r="DK96" s="64"/>
      <c r="DL96" s="64"/>
      <c r="DM96" s="65"/>
      <c r="DN96" s="62">
        <f t="shared" ref="DN96" si="1285">IFERROR($C96*DN95,"")</f>
        <v>0</v>
      </c>
      <c r="DO96" s="62"/>
      <c r="DP96" s="62"/>
      <c r="DQ96" s="62"/>
      <c r="DR96" s="62">
        <f t="shared" ref="DR96" ca="1" si="1286">IFERROR($C96*DR95,"")</f>
        <v>0</v>
      </c>
      <c r="DS96" s="62"/>
      <c r="DT96" s="62"/>
      <c r="DU96" s="63"/>
      <c r="DV96" s="64">
        <f t="shared" ref="DV96" ca="1" si="1287">IFERROR($C96*DV95,"")</f>
        <v>0</v>
      </c>
      <c r="DW96" s="64"/>
      <c r="DX96" s="64"/>
      <c r="DY96" s="65"/>
      <c r="DZ96" s="62">
        <f t="shared" ref="DZ96" ca="1" si="1288">IFERROR($C96*DZ95,"")</f>
        <v>0</v>
      </c>
      <c r="EA96" s="62"/>
      <c r="EB96" s="62"/>
      <c r="EC96" s="62"/>
      <c r="ED96" s="62">
        <f t="shared" ref="ED96" ca="1" si="1289">IFERROR($C96*ED95,"")</f>
        <v>0</v>
      </c>
      <c r="EE96" s="62"/>
      <c r="EF96" s="62"/>
      <c r="EG96" s="63"/>
      <c r="EH96" s="64">
        <f t="shared" ref="EH96" ca="1" si="1290">IFERROR($C96*EH95,"")</f>
        <v>0</v>
      </c>
      <c r="EI96" s="64"/>
      <c r="EJ96" s="64"/>
      <c r="EK96" s="65"/>
      <c r="EL96" s="62">
        <f t="shared" ref="EL96" ca="1" si="1291">IFERROR($C96*EL95,"")</f>
        <v>0</v>
      </c>
      <c r="EM96" s="62"/>
      <c r="EN96" s="62"/>
      <c r="EO96" s="62"/>
      <c r="EP96" s="62">
        <f t="shared" ref="EP96" ca="1" si="1292">IFERROR($C96*EP95,"")</f>
        <v>0</v>
      </c>
      <c r="EQ96" s="62"/>
      <c r="ER96" s="62"/>
      <c r="ES96" s="63"/>
    </row>
    <row r="97" spans="1:149" customFormat="1" outlineLevel="1" x14ac:dyDescent="0.45">
      <c r="A97" s="2"/>
      <c r="B97" s="36"/>
      <c r="C97" s="25">
        <v>350000</v>
      </c>
      <c r="D97" s="26" t="s">
        <v>3</v>
      </c>
      <c r="E97" s="27">
        <f ca="1">SUM(F97:CW97)</f>
        <v>3850000</v>
      </c>
      <c r="F97" s="66">
        <f ca="1">IFERROR($C97*F95,"")</f>
        <v>0</v>
      </c>
      <c r="G97" s="60"/>
      <c r="H97" s="60"/>
      <c r="I97" s="60"/>
      <c r="J97" s="60">
        <f t="shared" ref="J97" ca="1" si="1293">IFERROR($C97*J95,"")</f>
        <v>0</v>
      </c>
      <c r="K97" s="60"/>
      <c r="L97" s="60"/>
      <c r="M97" s="60"/>
      <c r="N97" s="61">
        <f t="shared" ref="N97" ca="1" si="1294">IFERROR($C97*N95,"")</f>
        <v>0</v>
      </c>
      <c r="O97" s="58"/>
      <c r="P97" s="58"/>
      <c r="Q97" s="58"/>
      <c r="R97" s="58">
        <f t="shared" ref="R97" si="1295">IFERROR($C97*R95,"")</f>
        <v>0</v>
      </c>
      <c r="S97" s="58"/>
      <c r="T97" s="58"/>
      <c r="U97" s="59"/>
      <c r="V97" s="60">
        <f t="shared" ref="V97" si="1296">IFERROR($C97*V95,"")</f>
        <v>0</v>
      </c>
      <c r="W97" s="60"/>
      <c r="X97" s="60"/>
      <c r="Y97" s="60"/>
      <c r="Z97" s="60">
        <f t="shared" ref="Z97" si="1297">IFERROR($C97*Z95,"")</f>
        <v>350000</v>
      </c>
      <c r="AA97" s="60"/>
      <c r="AB97" s="60"/>
      <c r="AC97" s="61"/>
      <c r="AD97" s="60">
        <f t="shared" ref="AD97" si="1298">IFERROR($C97*AD95,"")</f>
        <v>350000</v>
      </c>
      <c r="AE97" s="60"/>
      <c r="AF97" s="60"/>
      <c r="AG97" s="60"/>
      <c r="AH97" s="60">
        <f t="shared" ref="AH97" si="1299">IFERROR($C97*AH95,"")</f>
        <v>350000</v>
      </c>
      <c r="AI97" s="60"/>
      <c r="AJ97" s="60"/>
      <c r="AK97" s="60"/>
      <c r="AL97" s="60">
        <f t="shared" ref="AL97" si="1300">IFERROR($C97*AL95,"")</f>
        <v>350000</v>
      </c>
      <c r="AM97" s="60"/>
      <c r="AN97" s="60"/>
      <c r="AO97" s="61"/>
      <c r="AP97" s="58">
        <f t="shared" ref="AP97" si="1301">IFERROR($C97*AP95,"")</f>
        <v>350000</v>
      </c>
      <c r="AQ97" s="58"/>
      <c r="AR97" s="58"/>
      <c r="AS97" s="59"/>
      <c r="AT97" s="60">
        <f t="shared" ref="AT97" si="1302">IFERROR($C97*AT95,"")</f>
        <v>350000</v>
      </c>
      <c r="AU97" s="60"/>
      <c r="AV97" s="60"/>
      <c r="AW97" s="60"/>
      <c r="AX97" s="60">
        <f t="shared" ref="AX97" si="1303">IFERROR($C97*AX95,"")</f>
        <v>350000</v>
      </c>
      <c r="AY97" s="60"/>
      <c r="AZ97" s="60"/>
      <c r="BA97" s="61"/>
      <c r="BB97" s="58">
        <f t="shared" ref="BB97" si="1304">IFERROR($C97*BB95,"")</f>
        <v>350000</v>
      </c>
      <c r="BC97" s="58"/>
      <c r="BD97" s="58"/>
      <c r="BE97" s="59"/>
      <c r="BF97" s="60">
        <f t="shared" ref="BF97" si="1305">IFERROR($C97*BF95,"")</f>
        <v>350000</v>
      </c>
      <c r="BG97" s="60"/>
      <c r="BH97" s="60"/>
      <c r="BI97" s="60"/>
      <c r="BJ97" s="60">
        <f t="shared" ref="BJ97" si="1306">IFERROR($C97*BJ95,"")</f>
        <v>350000</v>
      </c>
      <c r="BK97" s="60"/>
      <c r="BL97" s="60"/>
      <c r="BM97" s="61"/>
      <c r="BN97" s="58">
        <f t="shared" ref="BN97" si="1307">IFERROR($C97*BN95,"")</f>
        <v>350000</v>
      </c>
      <c r="BO97" s="58"/>
      <c r="BP97" s="58"/>
      <c r="BQ97" s="59"/>
      <c r="BR97" s="60">
        <f t="shared" ref="BR97" si="1308">IFERROR($C97*BR95,"")</f>
        <v>0</v>
      </c>
      <c r="BS97" s="60"/>
      <c r="BT97" s="60"/>
      <c r="BU97" s="60"/>
      <c r="BV97" s="60">
        <f t="shared" ref="BV97" si="1309">IFERROR($C97*BV95,"")</f>
        <v>0</v>
      </c>
      <c r="BW97" s="60"/>
      <c r="BX97" s="60"/>
      <c r="BY97" s="61"/>
      <c r="BZ97" s="58">
        <f t="shared" ref="BZ97" si="1310">IFERROR($C97*BZ95,"")</f>
        <v>0</v>
      </c>
      <c r="CA97" s="58"/>
      <c r="CB97" s="58"/>
      <c r="CC97" s="59"/>
      <c r="CD97" s="60">
        <f t="shared" ref="CD97" si="1311">IFERROR($C97*CD95,"")</f>
        <v>0</v>
      </c>
      <c r="CE97" s="60"/>
      <c r="CF97" s="60"/>
      <c r="CG97" s="60"/>
      <c r="CH97" s="60">
        <f t="shared" ref="CH97" si="1312">IFERROR($C97*CH95,"")</f>
        <v>0</v>
      </c>
      <c r="CI97" s="60"/>
      <c r="CJ97" s="60"/>
      <c r="CK97" s="61"/>
      <c r="CL97" s="58">
        <f t="shared" ref="CL97" si="1313">IFERROR($C97*CL95,"")</f>
        <v>0</v>
      </c>
      <c r="CM97" s="58"/>
      <c r="CN97" s="58"/>
      <c r="CO97" s="59"/>
      <c r="CP97" s="60">
        <f t="shared" ref="CP97" si="1314">IFERROR($C97*CP95,"")</f>
        <v>0</v>
      </c>
      <c r="CQ97" s="60"/>
      <c r="CR97" s="60"/>
      <c r="CS97" s="60"/>
      <c r="CT97" s="60">
        <f t="shared" ref="CT97" si="1315">IFERROR($C97*CT95,"")</f>
        <v>0</v>
      </c>
      <c r="CU97" s="60"/>
      <c r="CV97" s="60"/>
      <c r="CW97" s="61"/>
      <c r="CX97" s="58">
        <f t="shared" ref="CX97" si="1316">IFERROR($C97*CX95,"")</f>
        <v>0</v>
      </c>
      <c r="CY97" s="58"/>
      <c r="CZ97" s="58"/>
      <c r="DA97" s="59"/>
      <c r="DB97" s="60">
        <f t="shared" ref="DB97" si="1317">IFERROR($C97*DB95,"")</f>
        <v>0</v>
      </c>
      <c r="DC97" s="60"/>
      <c r="DD97" s="60"/>
      <c r="DE97" s="60"/>
      <c r="DF97" s="60">
        <f t="shared" ref="DF97" si="1318">IFERROR($C97*DF95,"")</f>
        <v>0</v>
      </c>
      <c r="DG97" s="60"/>
      <c r="DH97" s="60"/>
      <c r="DI97" s="61"/>
      <c r="DJ97" s="58">
        <f t="shared" ref="DJ97" si="1319">IFERROR($C97*DJ95,"")</f>
        <v>0</v>
      </c>
      <c r="DK97" s="58"/>
      <c r="DL97" s="58"/>
      <c r="DM97" s="59"/>
      <c r="DN97" s="60">
        <f t="shared" ref="DN97" si="1320">IFERROR($C97*DN95,"")</f>
        <v>0</v>
      </c>
      <c r="DO97" s="60"/>
      <c r="DP97" s="60"/>
      <c r="DQ97" s="60"/>
      <c r="DR97" s="60">
        <f t="shared" ref="DR97" ca="1" si="1321">IFERROR($C97*DR95,"")</f>
        <v>0</v>
      </c>
      <c r="DS97" s="60"/>
      <c r="DT97" s="60"/>
      <c r="DU97" s="61"/>
      <c r="DV97" s="58">
        <f t="shared" ref="DV97" ca="1" si="1322">IFERROR($C97*DV95,"")</f>
        <v>0</v>
      </c>
      <c r="DW97" s="58"/>
      <c r="DX97" s="58"/>
      <c r="DY97" s="59"/>
      <c r="DZ97" s="60">
        <f t="shared" ref="DZ97" ca="1" si="1323">IFERROR($C97*DZ95,"")</f>
        <v>0</v>
      </c>
      <c r="EA97" s="60"/>
      <c r="EB97" s="60"/>
      <c r="EC97" s="60"/>
      <c r="ED97" s="60">
        <f t="shared" ref="ED97" ca="1" si="1324">IFERROR($C97*ED95,"")</f>
        <v>0</v>
      </c>
      <c r="EE97" s="60"/>
      <c r="EF97" s="60"/>
      <c r="EG97" s="61"/>
      <c r="EH97" s="58">
        <f t="shared" ref="EH97" ca="1" si="1325">IFERROR($C97*EH95,"")</f>
        <v>0</v>
      </c>
      <c r="EI97" s="58"/>
      <c r="EJ97" s="58"/>
      <c r="EK97" s="59"/>
      <c r="EL97" s="60">
        <f t="shared" ref="EL97" ca="1" si="1326">IFERROR($C97*EL95,"")</f>
        <v>0</v>
      </c>
      <c r="EM97" s="60"/>
      <c r="EN97" s="60"/>
      <c r="EO97" s="60"/>
      <c r="EP97" s="60">
        <f t="shared" ref="EP97" ca="1" si="1327">IFERROR($C97*EP95,"")</f>
        <v>0</v>
      </c>
      <c r="EQ97" s="60"/>
      <c r="ER97" s="60"/>
      <c r="ES97" s="61"/>
    </row>
    <row r="98" spans="1:149" customFormat="1" outlineLevel="1" x14ac:dyDescent="0.45">
      <c r="A98" s="2"/>
      <c r="B98" s="34" t="s">
        <v>49</v>
      </c>
      <c r="C98" s="19"/>
      <c r="D98" s="20" t="s">
        <v>13</v>
      </c>
      <c r="E98" s="21">
        <f ca="1">SUM(F98:ES98)</f>
        <v>11</v>
      </c>
      <c r="F98" s="74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G98" s="67"/>
      <c r="H98" s="67"/>
      <c r="I98" s="67"/>
      <c r="J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K98" s="67"/>
      <c r="L98" s="67"/>
      <c r="M98" s="67"/>
      <c r="N98" s="68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O98" s="70"/>
      <c r="P98" s="70"/>
      <c r="Q98" s="70"/>
      <c r="R98" s="70"/>
      <c r="S98" s="70"/>
      <c r="T98" s="70"/>
      <c r="U98" s="71"/>
      <c r="V98" s="67"/>
      <c r="W98" s="67"/>
      <c r="X98" s="67"/>
      <c r="Y98" s="67"/>
      <c r="Z98" s="67">
        <v>1</v>
      </c>
      <c r="AA98" s="67"/>
      <c r="AB98" s="67"/>
      <c r="AC98" s="68"/>
      <c r="AD98" s="67">
        <v>1</v>
      </c>
      <c r="AE98" s="67"/>
      <c r="AF98" s="67"/>
      <c r="AG98" s="67"/>
      <c r="AH98" s="67">
        <v>1</v>
      </c>
      <c r="AI98" s="67"/>
      <c r="AJ98" s="67"/>
      <c r="AK98" s="67"/>
      <c r="AL98" s="67">
        <v>1</v>
      </c>
      <c r="AM98" s="67"/>
      <c r="AN98" s="67"/>
      <c r="AO98" s="68"/>
      <c r="AP98" s="70">
        <v>1</v>
      </c>
      <c r="AQ98" s="70"/>
      <c r="AR98" s="70"/>
      <c r="AS98" s="71"/>
      <c r="AT98" s="67">
        <v>1</v>
      </c>
      <c r="AU98" s="67"/>
      <c r="AV98" s="67"/>
      <c r="AW98" s="67"/>
      <c r="AX98" s="67">
        <v>1</v>
      </c>
      <c r="AY98" s="67"/>
      <c r="AZ98" s="67"/>
      <c r="BA98" s="68"/>
      <c r="BB98" s="70">
        <v>1</v>
      </c>
      <c r="BC98" s="70"/>
      <c r="BD98" s="70"/>
      <c r="BE98" s="71"/>
      <c r="BF98" s="67">
        <v>1</v>
      </c>
      <c r="BG98" s="67"/>
      <c r="BH98" s="67"/>
      <c r="BI98" s="67"/>
      <c r="BJ98" s="67">
        <v>1</v>
      </c>
      <c r="BK98" s="67"/>
      <c r="BL98" s="67"/>
      <c r="BM98" s="68"/>
      <c r="BN98" s="70">
        <v>1</v>
      </c>
      <c r="BO98" s="70"/>
      <c r="BP98" s="70"/>
      <c r="BQ98" s="71"/>
      <c r="BR98" s="67"/>
      <c r="BS98" s="67"/>
      <c r="BT98" s="67"/>
      <c r="BU98" s="67"/>
      <c r="BV98" s="67"/>
      <c r="BW98" s="67"/>
      <c r="BX98" s="67"/>
      <c r="BY98" s="68"/>
      <c r="BZ98" s="70"/>
      <c r="CA98" s="70"/>
      <c r="CB98" s="70"/>
      <c r="CC98" s="71"/>
      <c r="CD98" s="67"/>
      <c r="CE98" s="67"/>
      <c r="CF98" s="67"/>
      <c r="CG98" s="67"/>
      <c r="CH98" s="67"/>
      <c r="CI98" s="67"/>
      <c r="CJ98" s="67"/>
      <c r="CK98" s="68"/>
      <c r="CL98" s="70"/>
      <c r="CM98" s="70"/>
      <c r="CN98" s="70"/>
      <c r="CO98" s="71"/>
      <c r="CP98" s="67"/>
      <c r="CQ98" s="67"/>
      <c r="CR98" s="67"/>
      <c r="CS98" s="67"/>
      <c r="CT98" s="67"/>
      <c r="CU98" s="67"/>
      <c r="CV98" s="67"/>
      <c r="CW98" s="68"/>
      <c r="CX98" s="70"/>
      <c r="CY98" s="70"/>
      <c r="CZ98" s="70"/>
      <c r="DA98" s="71"/>
      <c r="DB98" s="67"/>
      <c r="DC98" s="67"/>
      <c r="DD98" s="67"/>
      <c r="DE98" s="67"/>
      <c r="DF98" s="67"/>
      <c r="DG98" s="67"/>
      <c r="DH98" s="67"/>
      <c r="DI98" s="68"/>
      <c r="DJ98" s="70"/>
      <c r="DK98" s="70"/>
      <c r="DL98" s="70"/>
      <c r="DM98" s="71"/>
      <c r="DN98" s="67"/>
      <c r="DO98" s="67"/>
      <c r="DP98" s="67"/>
      <c r="DQ98" s="67"/>
      <c r="DR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DS98" s="67"/>
      <c r="DT98" s="67"/>
      <c r="DU98" s="68"/>
      <c r="DV98" s="70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DW98" s="70"/>
      <c r="DX98" s="70"/>
      <c r="DY98" s="71"/>
      <c r="DZ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A98" s="67"/>
      <c r="EB98" s="67"/>
      <c r="EC98" s="67"/>
      <c r="ED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E98" s="67"/>
      <c r="EF98" s="67"/>
      <c r="EG98" s="68"/>
      <c r="EH98" s="70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I98" s="70"/>
      <c r="EJ98" s="70"/>
      <c r="EK98" s="71"/>
      <c r="EL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M98" s="67"/>
      <c r="EN98" s="67"/>
      <c r="EO98" s="67"/>
      <c r="EP98" s="67">
        <f ca="1">IF(ISERROR(VLOOKUP(RIGHT(CELL("filename",$A$1),LEN(CELL("filename",$A$1))-FIND("]",CELL("filename",$A$1)))&amp;$B98,[2]要員計画!$L:$AJ,((COLUMN()-1)/4)+1,FALSE)),0,VLOOKUP(RIGHT(CELL("filename",$A$1),LEN(CELL("filename",$A$1))-FIND("]",CELL("filename",$A$1)))&amp;$B98,[2]要員計画!$L:$AJ,((COLUMN()-1)/4)+1,FALSE))</f>
        <v>0</v>
      </c>
      <c r="EQ98" s="67"/>
      <c r="ER98" s="67"/>
      <c r="ES98" s="68"/>
    </row>
    <row r="99" spans="1:149" customFormat="1" outlineLevel="1" x14ac:dyDescent="0.45">
      <c r="A99" s="2"/>
      <c r="B99" s="35"/>
      <c r="C99" s="22">
        <v>1050000</v>
      </c>
      <c r="D99" s="23" t="s">
        <v>23</v>
      </c>
      <c r="E99" s="24">
        <f ca="1">SUM(F99:CW99)</f>
        <v>11550000</v>
      </c>
      <c r="F99" s="69">
        <f ca="1">IFERROR($C99*F98,"")</f>
        <v>0</v>
      </c>
      <c r="G99" s="62"/>
      <c r="H99" s="62"/>
      <c r="I99" s="62"/>
      <c r="J99" s="62">
        <f t="shared" ref="J99" ca="1" si="1328">IFERROR($C99*J98,"")</f>
        <v>0</v>
      </c>
      <c r="K99" s="62"/>
      <c r="L99" s="62"/>
      <c r="M99" s="62"/>
      <c r="N99" s="63">
        <f t="shared" ref="N99" ca="1" si="1329">IFERROR($C99*N98,"")</f>
        <v>0</v>
      </c>
      <c r="O99" s="64"/>
      <c r="P99" s="64"/>
      <c r="Q99" s="64"/>
      <c r="R99" s="64">
        <f t="shared" ref="R99" si="1330">IFERROR($C99*R98,"")</f>
        <v>0</v>
      </c>
      <c r="S99" s="64"/>
      <c r="T99" s="64"/>
      <c r="U99" s="65"/>
      <c r="V99" s="62">
        <f t="shared" ref="V99" si="1331">IFERROR($C99*V98,"")</f>
        <v>0</v>
      </c>
      <c r="W99" s="62"/>
      <c r="X99" s="62"/>
      <c r="Y99" s="62"/>
      <c r="Z99" s="62">
        <f t="shared" ref="Z99" si="1332">IFERROR($C99*Z98,"")</f>
        <v>1050000</v>
      </c>
      <c r="AA99" s="62"/>
      <c r="AB99" s="62"/>
      <c r="AC99" s="63"/>
      <c r="AD99" s="62">
        <f t="shared" ref="AD99" si="1333">IFERROR($C99*AD98,"")</f>
        <v>1050000</v>
      </c>
      <c r="AE99" s="62"/>
      <c r="AF99" s="62"/>
      <c r="AG99" s="62"/>
      <c r="AH99" s="62">
        <f t="shared" ref="AH99" si="1334">IFERROR($C99*AH98,"")</f>
        <v>1050000</v>
      </c>
      <c r="AI99" s="62"/>
      <c r="AJ99" s="62"/>
      <c r="AK99" s="62"/>
      <c r="AL99" s="62">
        <f t="shared" ref="AL99" si="1335">IFERROR($C99*AL98,"")</f>
        <v>1050000</v>
      </c>
      <c r="AM99" s="62"/>
      <c r="AN99" s="62"/>
      <c r="AO99" s="63"/>
      <c r="AP99" s="64">
        <f t="shared" ref="AP99" si="1336">IFERROR($C99*AP98,"")</f>
        <v>1050000</v>
      </c>
      <c r="AQ99" s="64"/>
      <c r="AR99" s="64"/>
      <c r="AS99" s="65"/>
      <c r="AT99" s="62">
        <f t="shared" ref="AT99" si="1337">IFERROR($C99*AT98,"")</f>
        <v>1050000</v>
      </c>
      <c r="AU99" s="62"/>
      <c r="AV99" s="62"/>
      <c r="AW99" s="62"/>
      <c r="AX99" s="62">
        <f t="shared" ref="AX99" si="1338">IFERROR($C99*AX98,"")</f>
        <v>1050000</v>
      </c>
      <c r="AY99" s="62"/>
      <c r="AZ99" s="62"/>
      <c r="BA99" s="63"/>
      <c r="BB99" s="64">
        <f t="shared" ref="BB99" si="1339">IFERROR($C99*BB98,"")</f>
        <v>1050000</v>
      </c>
      <c r="BC99" s="64"/>
      <c r="BD99" s="64"/>
      <c r="BE99" s="65"/>
      <c r="BF99" s="62">
        <f t="shared" ref="BF99" si="1340">IFERROR($C99*BF98,"")</f>
        <v>1050000</v>
      </c>
      <c r="BG99" s="62"/>
      <c r="BH99" s="62"/>
      <c r="BI99" s="62"/>
      <c r="BJ99" s="62">
        <f t="shared" ref="BJ99" si="1341">IFERROR($C99*BJ98,"")</f>
        <v>1050000</v>
      </c>
      <c r="BK99" s="62"/>
      <c r="BL99" s="62"/>
      <c r="BM99" s="63"/>
      <c r="BN99" s="64">
        <f t="shared" ref="BN99" si="1342">IFERROR($C99*BN98,"")</f>
        <v>1050000</v>
      </c>
      <c r="BO99" s="64"/>
      <c r="BP99" s="64"/>
      <c r="BQ99" s="65"/>
      <c r="BR99" s="62">
        <f t="shared" ref="BR99" si="1343">IFERROR($C99*BR98,"")</f>
        <v>0</v>
      </c>
      <c r="BS99" s="62"/>
      <c r="BT99" s="62"/>
      <c r="BU99" s="62"/>
      <c r="BV99" s="62">
        <f t="shared" ref="BV99" si="1344">IFERROR($C99*BV98,"")</f>
        <v>0</v>
      </c>
      <c r="BW99" s="62"/>
      <c r="BX99" s="62"/>
      <c r="BY99" s="63"/>
      <c r="BZ99" s="64">
        <f t="shared" ref="BZ99" si="1345">IFERROR($C99*BZ98,"")</f>
        <v>0</v>
      </c>
      <c r="CA99" s="64"/>
      <c r="CB99" s="64"/>
      <c r="CC99" s="65"/>
      <c r="CD99" s="62">
        <f t="shared" ref="CD99" si="1346">IFERROR($C99*CD98,"")</f>
        <v>0</v>
      </c>
      <c r="CE99" s="62"/>
      <c r="CF99" s="62"/>
      <c r="CG99" s="62"/>
      <c r="CH99" s="62">
        <f t="shared" ref="CH99" si="1347">IFERROR($C99*CH98,"")</f>
        <v>0</v>
      </c>
      <c r="CI99" s="62"/>
      <c r="CJ99" s="62"/>
      <c r="CK99" s="63"/>
      <c r="CL99" s="64">
        <f t="shared" ref="CL99" si="1348">IFERROR($C99*CL98,"")</f>
        <v>0</v>
      </c>
      <c r="CM99" s="64"/>
      <c r="CN99" s="64"/>
      <c r="CO99" s="65"/>
      <c r="CP99" s="62">
        <f t="shared" ref="CP99" si="1349">IFERROR($C99*CP98,"")</f>
        <v>0</v>
      </c>
      <c r="CQ99" s="62"/>
      <c r="CR99" s="62"/>
      <c r="CS99" s="62"/>
      <c r="CT99" s="62">
        <f t="shared" ref="CT99" si="1350">IFERROR($C99*CT98,"")</f>
        <v>0</v>
      </c>
      <c r="CU99" s="62"/>
      <c r="CV99" s="62"/>
      <c r="CW99" s="63"/>
      <c r="CX99" s="64">
        <f t="shared" ref="CX99" si="1351">IFERROR($C99*CX98,"")</f>
        <v>0</v>
      </c>
      <c r="CY99" s="64"/>
      <c r="CZ99" s="64"/>
      <c r="DA99" s="65"/>
      <c r="DB99" s="62">
        <f t="shared" ref="DB99" si="1352">IFERROR($C99*DB98,"")</f>
        <v>0</v>
      </c>
      <c r="DC99" s="62"/>
      <c r="DD99" s="62"/>
      <c r="DE99" s="62"/>
      <c r="DF99" s="62">
        <f t="shared" ref="DF99" si="1353">IFERROR($C99*DF98,"")</f>
        <v>0</v>
      </c>
      <c r="DG99" s="62"/>
      <c r="DH99" s="62"/>
      <c r="DI99" s="63"/>
      <c r="DJ99" s="64">
        <f t="shared" ref="DJ99" si="1354">IFERROR($C99*DJ98,"")</f>
        <v>0</v>
      </c>
      <c r="DK99" s="64"/>
      <c r="DL99" s="64"/>
      <c r="DM99" s="65"/>
      <c r="DN99" s="62">
        <f t="shared" ref="DN99" si="1355">IFERROR($C99*DN98,"")</f>
        <v>0</v>
      </c>
      <c r="DO99" s="62"/>
      <c r="DP99" s="62"/>
      <c r="DQ99" s="62"/>
      <c r="DR99" s="62">
        <f t="shared" ref="DR99" ca="1" si="1356">IFERROR($C99*DR98,"")</f>
        <v>0</v>
      </c>
      <c r="DS99" s="62"/>
      <c r="DT99" s="62"/>
      <c r="DU99" s="63"/>
      <c r="DV99" s="64">
        <f t="shared" ref="DV99" ca="1" si="1357">IFERROR($C99*DV98,"")</f>
        <v>0</v>
      </c>
      <c r="DW99" s="64"/>
      <c r="DX99" s="64"/>
      <c r="DY99" s="65"/>
      <c r="DZ99" s="62">
        <f t="shared" ref="DZ99" ca="1" si="1358">IFERROR($C99*DZ98,"")</f>
        <v>0</v>
      </c>
      <c r="EA99" s="62"/>
      <c r="EB99" s="62"/>
      <c r="EC99" s="62"/>
      <c r="ED99" s="62">
        <f t="shared" ref="ED99" ca="1" si="1359">IFERROR($C99*ED98,"")</f>
        <v>0</v>
      </c>
      <c r="EE99" s="62"/>
      <c r="EF99" s="62"/>
      <c r="EG99" s="63"/>
      <c r="EH99" s="64">
        <f t="shared" ref="EH99" ca="1" si="1360">IFERROR($C99*EH98,"")</f>
        <v>0</v>
      </c>
      <c r="EI99" s="64"/>
      <c r="EJ99" s="64"/>
      <c r="EK99" s="65"/>
      <c r="EL99" s="62">
        <f t="shared" ref="EL99" ca="1" si="1361">IFERROR($C99*EL98,"")</f>
        <v>0</v>
      </c>
      <c r="EM99" s="62"/>
      <c r="EN99" s="62"/>
      <c r="EO99" s="62"/>
      <c r="EP99" s="62">
        <f t="shared" ref="EP99" ca="1" si="1362">IFERROR($C99*EP98,"")</f>
        <v>0</v>
      </c>
      <c r="EQ99" s="62"/>
      <c r="ER99" s="62"/>
      <c r="ES99" s="63"/>
    </row>
    <row r="100" spans="1:149" customFormat="1" outlineLevel="1" x14ac:dyDescent="0.45">
      <c r="A100" s="2"/>
      <c r="B100" s="36"/>
      <c r="C100" s="25">
        <v>350000</v>
      </c>
      <c r="D100" s="26" t="s">
        <v>3</v>
      </c>
      <c r="E100" s="27">
        <f ca="1">SUM(F100:CW100)</f>
        <v>3850000</v>
      </c>
      <c r="F100" s="66">
        <f ca="1">IFERROR($C100*F98,"")</f>
        <v>0</v>
      </c>
      <c r="G100" s="60"/>
      <c r="H100" s="60"/>
      <c r="I100" s="60"/>
      <c r="J100" s="60">
        <f t="shared" ref="J100" ca="1" si="1363">IFERROR($C100*J98,"")</f>
        <v>0</v>
      </c>
      <c r="K100" s="60"/>
      <c r="L100" s="60"/>
      <c r="M100" s="60"/>
      <c r="N100" s="61">
        <f t="shared" ref="N100" ca="1" si="1364">IFERROR($C100*N98,"")</f>
        <v>0</v>
      </c>
      <c r="O100" s="58"/>
      <c r="P100" s="58"/>
      <c r="Q100" s="58"/>
      <c r="R100" s="58">
        <f t="shared" ref="R100" si="1365">IFERROR($C100*R98,"")</f>
        <v>0</v>
      </c>
      <c r="S100" s="58"/>
      <c r="T100" s="58"/>
      <c r="U100" s="59"/>
      <c r="V100" s="60">
        <f t="shared" ref="V100" si="1366">IFERROR($C100*V98,"")</f>
        <v>0</v>
      </c>
      <c r="W100" s="60"/>
      <c r="X100" s="60"/>
      <c r="Y100" s="60"/>
      <c r="Z100" s="60">
        <f t="shared" ref="Z100" si="1367">IFERROR($C100*Z98,"")</f>
        <v>350000</v>
      </c>
      <c r="AA100" s="60"/>
      <c r="AB100" s="60"/>
      <c r="AC100" s="61"/>
      <c r="AD100" s="60">
        <f t="shared" ref="AD100" si="1368">IFERROR($C100*AD98,"")</f>
        <v>350000</v>
      </c>
      <c r="AE100" s="60"/>
      <c r="AF100" s="60"/>
      <c r="AG100" s="60"/>
      <c r="AH100" s="60">
        <f t="shared" ref="AH100" si="1369">IFERROR($C100*AH98,"")</f>
        <v>350000</v>
      </c>
      <c r="AI100" s="60"/>
      <c r="AJ100" s="60"/>
      <c r="AK100" s="60"/>
      <c r="AL100" s="60">
        <f t="shared" ref="AL100" si="1370">IFERROR($C100*AL98,"")</f>
        <v>350000</v>
      </c>
      <c r="AM100" s="60"/>
      <c r="AN100" s="60"/>
      <c r="AO100" s="61"/>
      <c r="AP100" s="58">
        <f t="shared" ref="AP100" si="1371">IFERROR($C100*AP98,"")</f>
        <v>350000</v>
      </c>
      <c r="AQ100" s="58"/>
      <c r="AR100" s="58"/>
      <c r="AS100" s="59"/>
      <c r="AT100" s="60">
        <f t="shared" ref="AT100" si="1372">IFERROR($C100*AT98,"")</f>
        <v>350000</v>
      </c>
      <c r="AU100" s="60"/>
      <c r="AV100" s="60"/>
      <c r="AW100" s="60"/>
      <c r="AX100" s="60">
        <f t="shared" ref="AX100" si="1373">IFERROR($C100*AX98,"")</f>
        <v>350000</v>
      </c>
      <c r="AY100" s="60"/>
      <c r="AZ100" s="60"/>
      <c r="BA100" s="61"/>
      <c r="BB100" s="58">
        <f t="shared" ref="BB100" si="1374">IFERROR($C100*BB98,"")</f>
        <v>350000</v>
      </c>
      <c r="BC100" s="58"/>
      <c r="BD100" s="58"/>
      <c r="BE100" s="59"/>
      <c r="BF100" s="60">
        <f t="shared" ref="BF100" si="1375">IFERROR($C100*BF98,"")</f>
        <v>350000</v>
      </c>
      <c r="BG100" s="60"/>
      <c r="BH100" s="60"/>
      <c r="BI100" s="60"/>
      <c r="BJ100" s="60">
        <f t="shared" ref="BJ100" si="1376">IFERROR($C100*BJ98,"")</f>
        <v>350000</v>
      </c>
      <c r="BK100" s="60"/>
      <c r="BL100" s="60"/>
      <c r="BM100" s="61"/>
      <c r="BN100" s="58">
        <f t="shared" ref="BN100" si="1377">IFERROR($C100*BN98,"")</f>
        <v>350000</v>
      </c>
      <c r="BO100" s="58"/>
      <c r="BP100" s="58"/>
      <c r="BQ100" s="59"/>
      <c r="BR100" s="60">
        <f t="shared" ref="BR100" si="1378">IFERROR($C100*BR98,"")</f>
        <v>0</v>
      </c>
      <c r="BS100" s="60"/>
      <c r="BT100" s="60"/>
      <c r="BU100" s="60"/>
      <c r="BV100" s="60">
        <f t="shared" ref="BV100" si="1379">IFERROR($C100*BV98,"")</f>
        <v>0</v>
      </c>
      <c r="BW100" s="60"/>
      <c r="BX100" s="60"/>
      <c r="BY100" s="61"/>
      <c r="BZ100" s="58">
        <f t="shared" ref="BZ100" si="1380">IFERROR($C100*BZ98,"")</f>
        <v>0</v>
      </c>
      <c r="CA100" s="58"/>
      <c r="CB100" s="58"/>
      <c r="CC100" s="59"/>
      <c r="CD100" s="60">
        <f t="shared" ref="CD100" si="1381">IFERROR($C100*CD98,"")</f>
        <v>0</v>
      </c>
      <c r="CE100" s="60"/>
      <c r="CF100" s="60"/>
      <c r="CG100" s="60"/>
      <c r="CH100" s="60">
        <f t="shared" ref="CH100" si="1382">IFERROR($C100*CH98,"")</f>
        <v>0</v>
      </c>
      <c r="CI100" s="60"/>
      <c r="CJ100" s="60"/>
      <c r="CK100" s="61"/>
      <c r="CL100" s="58">
        <f t="shared" ref="CL100" si="1383">IFERROR($C100*CL98,"")</f>
        <v>0</v>
      </c>
      <c r="CM100" s="58"/>
      <c r="CN100" s="58"/>
      <c r="CO100" s="59"/>
      <c r="CP100" s="60">
        <f t="shared" ref="CP100" si="1384">IFERROR($C100*CP98,"")</f>
        <v>0</v>
      </c>
      <c r="CQ100" s="60"/>
      <c r="CR100" s="60"/>
      <c r="CS100" s="60"/>
      <c r="CT100" s="60">
        <f t="shared" ref="CT100" si="1385">IFERROR($C100*CT98,"")</f>
        <v>0</v>
      </c>
      <c r="CU100" s="60"/>
      <c r="CV100" s="60"/>
      <c r="CW100" s="61"/>
      <c r="CX100" s="58">
        <f t="shared" ref="CX100" si="1386">IFERROR($C100*CX98,"")</f>
        <v>0</v>
      </c>
      <c r="CY100" s="58"/>
      <c r="CZ100" s="58"/>
      <c r="DA100" s="59"/>
      <c r="DB100" s="60">
        <f t="shared" ref="DB100" si="1387">IFERROR($C100*DB98,"")</f>
        <v>0</v>
      </c>
      <c r="DC100" s="60"/>
      <c r="DD100" s="60"/>
      <c r="DE100" s="60"/>
      <c r="DF100" s="60">
        <f t="shared" ref="DF100" si="1388">IFERROR($C100*DF98,"")</f>
        <v>0</v>
      </c>
      <c r="DG100" s="60"/>
      <c r="DH100" s="60"/>
      <c r="DI100" s="61"/>
      <c r="DJ100" s="58">
        <f t="shared" ref="DJ100" si="1389">IFERROR($C100*DJ98,"")</f>
        <v>0</v>
      </c>
      <c r="DK100" s="58"/>
      <c r="DL100" s="58"/>
      <c r="DM100" s="59"/>
      <c r="DN100" s="60">
        <f t="shared" ref="DN100" si="1390">IFERROR($C100*DN98,"")</f>
        <v>0</v>
      </c>
      <c r="DO100" s="60"/>
      <c r="DP100" s="60"/>
      <c r="DQ100" s="60"/>
      <c r="DR100" s="60">
        <f t="shared" ref="DR100" ca="1" si="1391">IFERROR($C100*DR98,"")</f>
        <v>0</v>
      </c>
      <c r="DS100" s="60"/>
      <c r="DT100" s="60"/>
      <c r="DU100" s="61"/>
      <c r="DV100" s="58">
        <f t="shared" ref="DV100" ca="1" si="1392">IFERROR($C100*DV98,"")</f>
        <v>0</v>
      </c>
      <c r="DW100" s="58"/>
      <c r="DX100" s="58"/>
      <c r="DY100" s="59"/>
      <c r="DZ100" s="60">
        <f t="shared" ref="DZ100" ca="1" si="1393">IFERROR($C100*DZ98,"")</f>
        <v>0</v>
      </c>
      <c r="EA100" s="60"/>
      <c r="EB100" s="60"/>
      <c r="EC100" s="60"/>
      <c r="ED100" s="60">
        <f t="shared" ref="ED100" ca="1" si="1394">IFERROR($C100*ED98,"")</f>
        <v>0</v>
      </c>
      <c r="EE100" s="60"/>
      <c r="EF100" s="60"/>
      <c r="EG100" s="61"/>
      <c r="EH100" s="58">
        <f t="shared" ref="EH100" ca="1" si="1395">IFERROR($C100*EH98,"")</f>
        <v>0</v>
      </c>
      <c r="EI100" s="58"/>
      <c r="EJ100" s="58"/>
      <c r="EK100" s="59"/>
      <c r="EL100" s="60">
        <f t="shared" ref="EL100" ca="1" si="1396">IFERROR($C100*EL98,"")</f>
        <v>0</v>
      </c>
      <c r="EM100" s="60"/>
      <c r="EN100" s="60"/>
      <c r="EO100" s="60"/>
      <c r="EP100" s="60">
        <f t="shared" ref="EP100" ca="1" si="1397">IFERROR($C100*EP98,"")</f>
        <v>0</v>
      </c>
      <c r="EQ100" s="60"/>
      <c r="ER100" s="60"/>
      <c r="ES100" s="61"/>
    </row>
    <row r="101" spans="1:149" customFormat="1" outlineLevel="1" x14ac:dyDescent="0.45">
      <c r="A101" s="2"/>
      <c r="B101" s="34" t="s">
        <v>50</v>
      </c>
      <c r="C101" s="19"/>
      <c r="D101" s="20" t="s">
        <v>13</v>
      </c>
      <c r="E101" s="21">
        <f ca="1">SUM(F101:ES101)</f>
        <v>11</v>
      </c>
      <c r="F101" s="74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G101" s="67"/>
      <c r="H101" s="67"/>
      <c r="I101" s="67"/>
      <c r="J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K101" s="67"/>
      <c r="L101" s="67"/>
      <c r="M101" s="67"/>
      <c r="N101" s="68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O101" s="70"/>
      <c r="P101" s="70"/>
      <c r="Q101" s="70"/>
      <c r="R101" s="70"/>
      <c r="S101" s="70"/>
      <c r="T101" s="70"/>
      <c r="U101" s="71"/>
      <c r="V101" s="67"/>
      <c r="W101" s="67"/>
      <c r="X101" s="67"/>
      <c r="Y101" s="67"/>
      <c r="Z101" s="67">
        <v>1</v>
      </c>
      <c r="AA101" s="67"/>
      <c r="AB101" s="67"/>
      <c r="AC101" s="68"/>
      <c r="AD101" s="67">
        <v>1</v>
      </c>
      <c r="AE101" s="67"/>
      <c r="AF101" s="67"/>
      <c r="AG101" s="67"/>
      <c r="AH101" s="67">
        <v>1</v>
      </c>
      <c r="AI101" s="67"/>
      <c r="AJ101" s="67"/>
      <c r="AK101" s="67"/>
      <c r="AL101" s="67">
        <v>1</v>
      </c>
      <c r="AM101" s="67"/>
      <c r="AN101" s="67"/>
      <c r="AO101" s="68"/>
      <c r="AP101" s="70">
        <v>1</v>
      </c>
      <c r="AQ101" s="70"/>
      <c r="AR101" s="70"/>
      <c r="AS101" s="71"/>
      <c r="AT101" s="67">
        <v>1</v>
      </c>
      <c r="AU101" s="67"/>
      <c r="AV101" s="67"/>
      <c r="AW101" s="67"/>
      <c r="AX101" s="67">
        <v>1</v>
      </c>
      <c r="AY101" s="67"/>
      <c r="AZ101" s="67"/>
      <c r="BA101" s="68"/>
      <c r="BB101" s="70">
        <v>1</v>
      </c>
      <c r="BC101" s="70"/>
      <c r="BD101" s="70"/>
      <c r="BE101" s="71"/>
      <c r="BF101" s="67">
        <v>1</v>
      </c>
      <c r="BG101" s="67"/>
      <c r="BH101" s="67"/>
      <c r="BI101" s="67"/>
      <c r="BJ101" s="67">
        <v>1</v>
      </c>
      <c r="BK101" s="67"/>
      <c r="BL101" s="67"/>
      <c r="BM101" s="68"/>
      <c r="BN101" s="70">
        <v>1</v>
      </c>
      <c r="BO101" s="70"/>
      <c r="BP101" s="70"/>
      <c r="BQ101" s="71"/>
      <c r="BR101" s="67"/>
      <c r="BS101" s="67"/>
      <c r="BT101" s="67"/>
      <c r="BU101" s="67"/>
      <c r="BV101" s="67"/>
      <c r="BW101" s="67"/>
      <c r="BX101" s="67"/>
      <c r="BY101" s="68"/>
      <c r="BZ101" s="70"/>
      <c r="CA101" s="70"/>
      <c r="CB101" s="70"/>
      <c r="CC101" s="71"/>
      <c r="CD101" s="67"/>
      <c r="CE101" s="67"/>
      <c r="CF101" s="67"/>
      <c r="CG101" s="67"/>
      <c r="CH101" s="67"/>
      <c r="CI101" s="67"/>
      <c r="CJ101" s="67"/>
      <c r="CK101" s="68"/>
      <c r="CL101" s="70"/>
      <c r="CM101" s="70"/>
      <c r="CN101" s="70"/>
      <c r="CO101" s="71"/>
      <c r="CP101" s="67"/>
      <c r="CQ101" s="67"/>
      <c r="CR101" s="67"/>
      <c r="CS101" s="67"/>
      <c r="CT101" s="67"/>
      <c r="CU101" s="67"/>
      <c r="CV101" s="67"/>
      <c r="CW101" s="68"/>
      <c r="CX101" s="70"/>
      <c r="CY101" s="70"/>
      <c r="CZ101" s="70"/>
      <c r="DA101" s="71"/>
      <c r="DB101" s="67"/>
      <c r="DC101" s="67"/>
      <c r="DD101" s="67"/>
      <c r="DE101" s="67"/>
      <c r="DF101" s="67"/>
      <c r="DG101" s="67"/>
      <c r="DH101" s="67"/>
      <c r="DI101" s="68"/>
      <c r="DJ101" s="70"/>
      <c r="DK101" s="70"/>
      <c r="DL101" s="70"/>
      <c r="DM101" s="71"/>
      <c r="DN101" s="67"/>
      <c r="DO101" s="67"/>
      <c r="DP101" s="67"/>
      <c r="DQ101" s="67"/>
      <c r="DR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DS101" s="67"/>
      <c r="DT101" s="67"/>
      <c r="DU101" s="68"/>
      <c r="DV101" s="70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DW101" s="70"/>
      <c r="DX101" s="70"/>
      <c r="DY101" s="71"/>
      <c r="DZ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A101" s="67"/>
      <c r="EB101" s="67"/>
      <c r="EC101" s="67"/>
      <c r="ED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E101" s="67"/>
      <c r="EF101" s="67"/>
      <c r="EG101" s="68"/>
      <c r="EH101" s="70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I101" s="70"/>
      <c r="EJ101" s="70"/>
      <c r="EK101" s="71"/>
      <c r="EL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M101" s="67"/>
      <c r="EN101" s="67"/>
      <c r="EO101" s="67"/>
      <c r="EP101" s="67">
        <f ca="1">IF(ISERROR(VLOOKUP(RIGHT(CELL("filename",$A$1),LEN(CELL("filename",$A$1))-FIND("]",CELL("filename",$A$1)))&amp;$B101,[2]要員計画!$L:$AJ,((COLUMN()-1)/4)+1,FALSE)),0,VLOOKUP(RIGHT(CELL("filename",$A$1),LEN(CELL("filename",$A$1))-FIND("]",CELL("filename",$A$1)))&amp;$B101,[2]要員計画!$L:$AJ,((COLUMN()-1)/4)+1,FALSE))</f>
        <v>0</v>
      </c>
      <c r="EQ101" s="67"/>
      <c r="ER101" s="67"/>
      <c r="ES101" s="68"/>
    </row>
    <row r="102" spans="1:149" customFormat="1" outlineLevel="1" x14ac:dyDescent="0.45">
      <c r="A102" s="2"/>
      <c r="B102" s="35"/>
      <c r="C102" s="22">
        <v>1050000</v>
      </c>
      <c r="D102" s="23" t="s">
        <v>23</v>
      </c>
      <c r="E102" s="24">
        <f ca="1">SUM(F102:CW102)</f>
        <v>11550000</v>
      </c>
      <c r="F102" s="69">
        <f ca="1">IFERROR($C102*F101,"")</f>
        <v>0</v>
      </c>
      <c r="G102" s="62"/>
      <c r="H102" s="62"/>
      <c r="I102" s="62"/>
      <c r="J102" s="62">
        <f t="shared" ref="J102" ca="1" si="1398">IFERROR($C102*J101,"")</f>
        <v>0</v>
      </c>
      <c r="K102" s="62"/>
      <c r="L102" s="62"/>
      <c r="M102" s="62"/>
      <c r="N102" s="63">
        <f t="shared" ref="N102" ca="1" si="1399">IFERROR($C102*N101,"")</f>
        <v>0</v>
      </c>
      <c r="O102" s="64"/>
      <c r="P102" s="64"/>
      <c r="Q102" s="64"/>
      <c r="R102" s="64">
        <f t="shared" ref="R102" si="1400">IFERROR($C102*R101,"")</f>
        <v>0</v>
      </c>
      <c r="S102" s="64"/>
      <c r="T102" s="64"/>
      <c r="U102" s="65"/>
      <c r="V102" s="62">
        <f t="shared" ref="V102" si="1401">IFERROR($C102*V101,"")</f>
        <v>0</v>
      </c>
      <c r="W102" s="62"/>
      <c r="X102" s="62"/>
      <c r="Y102" s="62"/>
      <c r="Z102" s="62">
        <f t="shared" ref="Z102" si="1402">IFERROR($C102*Z101,"")</f>
        <v>1050000</v>
      </c>
      <c r="AA102" s="62"/>
      <c r="AB102" s="62"/>
      <c r="AC102" s="63"/>
      <c r="AD102" s="62">
        <f t="shared" ref="AD102" si="1403">IFERROR($C102*AD101,"")</f>
        <v>1050000</v>
      </c>
      <c r="AE102" s="62"/>
      <c r="AF102" s="62"/>
      <c r="AG102" s="62"/>
      <c r="AH102" s="62">
        <f t="shared" ref="AH102" si="1404">IFERROR($C102*AH101,"")</f>
        <v>1050000</v>
      </c>
      <c r="AI102" s="62"/>
      <c r="AJ102" s="62"/>
      <c r="AK102" s="62"/>
      <c r="AL102" s="62">
        <f t="shared" ref="AL102" si="1405">IFERROR($C102*AL101,"")</f>
        <v>1050000</v>
      </c>
      <c r="AM102" s="62"/>
      <c r="AN102" s="62"/>
      <c r="AO102" s="63"/>
      <c r="AP102" s="64">
        <f t="shared" ref="AP102" si="1406">IFERROR($C102*AP101,"")</f>
        <v>1050000</v>
      </c>
      <c r="AQ102" s="64"/>
      <c r="AR102" s="64"/>
      <c r="AS102" s="65"/>
      <c r="AT102" s="62">
        <f t="shared" ref="AT102" si="1407">IFERROR($C102*AT101,"")</f>
        <v>1050000</v>
      </c>
      <c r="AU102" s="62"/>
      <c r="AV102" s="62"/>
      <c r="AW102" s="62"/>
      <c r="AX102" s="62">
        <f t="shared" ref="AX102" si="1408">IFERROR($C102*AX101,"")</f>
        <v>1050000</v>
      </c>
      <c r="AY102" s="62"/>
      <c r="AZ102" s="62"/>
      <c r="BA102" s="63"/>
      <c r="BB102" s="64">
        <f t="shared" ref="BB102" si="1409">IFERROR($C102*BB101,"")</f>
        <v>1050000</v>
      </c>
      <c r="BC102" s="64"/>
      <c r="BD102" s="64"/>
      <c r="BE102" s="65"/>
      <c r="BF102" s="62">
        <f t="shared" ref="BF102" si="1410">IFERROR($C102*BF101,"")</f>
        <v>1050000</v>
      </c>
      <c r="BG102" s="62"/>
      <c r="BH102" s="62"/>
      <c r="BI102" s="62"/>
      <c r="BJ102" s="62">
        <f t="shared" ref="BJ102" si="1411">IFERROR($C102*BJ101,"")</f>
        <v>1050000</v>
      </c>
      <c r="BK102" s="62"/>
      <c r="BL102" s="62"/>
      <c r="BM102" s="63"/>
      <c r="BN102" s="64">
        <f t="shared" ref="BN102" si="1412">IFERROR($C102*BN101,"")</f>
        <v>1050000</v>
      </c>
      <c r="BO102" s="64"/>
      <c r="BP102" s="64"/>
      <c r="BQ102" s="65"/>
      <c r="BR102" s="62">
        <f t="shared" ref="BR102" si="1413">IFERROR($C102*BR101,"")</f>
        <v>0</v>
      </c>
      <c r="BS102" s="62"/>
      <c r="BT102" s="62"/>
      <c r="BU102" s="62"/>
      <c r="BV102" s="62">
        <f t="shared" ref="BV102" si="1414">IFERROR($C102*BV101,"")</f>
        <v>0</v>
      </c>
      <c r="BW102" s="62"/>
      <c r="BX102" s="62"/>
      <c r="BY102" s="63"/>
      <c r="BZ102" s="64">
        <f t="shared" ref="BZ102" si="1415">IFERROR($C102*BZ101,"")</f>
        <v>0</v>
      </c>
      <c r="CA102" s="64"/>
      <c r="CB102" s="64"/>
      <c r="CC102" s="65"/>
      <c r="CD102" s="62">
        <f t="shared" ref="CD102" si="1416">IFERROR($C102*CD101,"")</f>
        <v>0</v>
      </c>
      <c r="CE102" s="62"/>
      <c r="CF102" s="62"/>
      <c r="CG102" s="62"/>
      <c r="CH102" s="62">
        <f t="shared" ref="CH102" si="1417">IFERROR($C102*CH101,"")</f>
        <v>0</v>
      </c>
      <c r="CI102" s="62"/>
      <c r="CJ102" s="62"/>
      <c r="CK102" s="63"/>
      <c r="CL102" s="64">
        <f t="shared" ref="CL102" si="1418">IFERROR($C102*CL101,"")</f>
        <v>0</v>
      </c>
      <c r="CM102" s="64"/>
      <c r="CN102" s="64"/>
      <c r="CO102" s="65"/>
      <c r="CP102" s="62">
        <f t="shared" ref="CP102" si="1419">IFERROR($C102*CP101,"")</f>
        <v>0</v>
      </c>
      <c r="CQ102" s="62"/>
      <c r="CR102" s="62"/>
      <c r="CS102" s="62"/>
      <c r="CT102" s="62">
        <f t="shared" ref="CT102" si="1420">IFERROR($C102*CT101,"")</f>
        <v>0</v>
      </c>
      <c r="CU102" s="62"/>
      <c r="CV102" s="62"/>
      <c r="CW102" s="63"/>
      <c r="CX102" s="64">
        <f t="shared" ref="CX102" si="1421">IFERROR($C102*CX101,"")</f>
        <v>0</v>
      </c>
      <c r="CY102" s="64"/>
      <c r="CZ102" s="64"/>
      <c r="DA102" s="65"/>
      <c r="DB102" s="62">
        <f t="shared" ref="DB102" si="1422">IFERROR($C102*DB101,"")</f>
        <v>0</v>
      </c>
      <c r="DC102" s="62"/>
      <c r="DD102" s="62"/>
      <c r="DE102" s="62"/>
      <c r="DF102" s="62">
        <f t="shared" ref="DF102" si="1423">IFERROR($C102*DF101,"")</f>
        <v>0</v>
      </c>
      <c r="DG102" s="62"/>
      <c r="DH102" s="62"/>
      <c r="DI102" s="63"/>
      <c r="DJ102" s="64">
        <f t="shared" ref="DJ102" si="1424">IFERROR($C102*DJ101,"")</f>
        <v>0</v>
      </c>
      <c r="DK102" s="64"/>
      <c r="DL102" s="64"/>
      <c r="DM102" s="65"/>
      <c r="DN102" s="62">
        <f t="shared" ref="DN102" si="1425">IFERROR($C102*DN101,"")</f>
        <v>0</v>
      </c>
      <c r="DO102" s="62"/>
      <c r="DP102" s="62"/>
      <c r="DQ102" s="62"/>
      <c r="DR102" s="62">
        <f t="shared" ref="DR102" ca="1" si="1426">IFERROR($C102*DR101,"")</f>
        <v>0</v>
      </c>
      <c r="DS102" s="62"/>
      <c r="DT102" s="62"/>
      <c r="DU102" s="63"/>
      <c r="DV102" s="64">
        <f t="shared" ref="DV102" ca="1" si="1427">IFERROR($C102*DV101,"")</f>
        <v>0</v>
      </c>
      <c r="DW102" s="64"/>
      <c r="DX102" s="64"/>
      <c r="DY102" s="65"/>
      <c r="DZ102" s="62">
        <f t="shared" ref="DZ102" ca="1" si="1428">IFERROR($C102*DZ101,"")</f>
        <v>0</v>
      </c>
      <c r="EA102" s="62"/>
      <c r="EB102" s="62"/>
      <c r="EC102" s="62"/>
      <c r="ED102" s="62">
        <f t="shared" ref="ED102" ca="1" si="1429">IFERROR($C102*ED101,"")</f>
        <v>0</v>
      </c>
      <c r="EE102" s="62"/>
      <c r="EF102" s="62"/>
      <c r="EG102" s="63"/>
      <c r="EH102" s="64">
        <f t="shared" ref="EH102" ca="1" si="1430">IFERROR($C102*EH101,"")</f>
        <v>0</v>
      </c>
      <c r="EI102" s="64"/>
      <c r="EJ102" s="64"/>
      <c r="EK102" s="65"/>
      <c r="EL102" s="62">
        <f t="shared" ref="EL102" ca="1" si="1431">IFERROR($C102*EL101,"")</f>
        <v>0</v>
      </c>
      <c r="EM102" s="62"/>
      <c r="EN102" s="62"/>
      <c r="EO102" s="62"/>
      <c r="EP102" s="62">
        <f t="shared" ref="EP102" ca="1" si="1432">IFERROR($C102*EP101,"")</f>
        <v>0</v>
      </c>
      <c r="EQ102" s="62"/>
      <c r="ER102" s="62"/>
      <c r="ES102" s="63"/>
    </row>
    <row r="103" spans="1:149" customFormat="1" outlineLevel="1" x14ac:dyDescent="0.45">
      <c r="A103" s="2"/>
      <c r="B103" s="36"/>
      <c r="C103" s="25">
        <v>350000</v>
      </c>
      <c r="D103" s="26" t="s">
        <v>3</v>
      </c>
      <c r="E103" s="27">
        <f ca="1">SUM(F103:CW103)</f>
        <v>3850000</v>
      </c>
      <c r="F103" s="66">
        <f ca="1">IFERROR($C103*F101,"")</f>
        <v>0</v>
      </c>
      <c r="G103" s="60"/>
      <c r="H103" s="60"/>
      <c r="I103" s="60"/>
      <c r="J103" s="60">
        <f t="shared" ref="J103" ca="1" si="1433">IFERROR($C103*J101,"")</f>
        <v>0</v>
      </c>
      <c r="K103" s="60"/>
      <c r="L103" s="60"/>
      <c r="M103" s="60"/>
      <c r="N103" s="61">
        <f t="shared" ref="N103" ca="1" si="1434">IFERROR($C103*N101,"")</f>
        <v>0</v>
      </c>
      <c r="O103" s="58"/>
      <c r="P103" s="58"/>
      <c r="Q103" s="58"/>
      <c r="R103" s="58">
        <f t="shared" ref="R103" si="1435">IFERROR($C103*R101,"")</f>
        <v>0</v>
      </c>
      <c r="S103" s="58"/>
      <c r="T103" s="58"/>
      <c r="U103" s="59"/>
      <c r="V103" s="60">
        <f t="shared" ref="V103" si="1436">IFERROR($C103*V101,"")</f>
        <v>0</v>
      </c>
      <c r="W103" s="60"/>
      <c r="X103" s="60"/>
      <c r="Y103" s="60"/>
      <c r="Z103" s="60">
        <f t="shared" ref="Z103" si="1437">IFERROR($C103*Z101,"")</f>
        <v>350000</v>
      </c>
      <c r="AA103" s="60"/>
      <c r="AB103" s="60"/>
      <c r="AC103" s="61"/>
      <c r="AD103" s="60">
        <f t="shared" ref="AD103" si="1438">IFERROR($C103*AD101,"")</f>
        <v>350000</v>
      </c>
      <c r="AE103" s="60"/>
      <c r="AF103" s="60"/>
      <c r="AG103" s="60"/>
      <c r="AH103" s="60">
        <f t="shared" ref="AH103" si="1439">IFERROR($C103*AH101,"")</f>
        <v>350000</v>
      </c>
      <c r="AI103" s="60"/>
      <c r="AJ103" s="60"/>
      <c r="AK103" s="60"/>
      <c r="AL103" s="60">
        <f t="shared" ref="AL103" si="1440">IFERROR($C103*AL101,"")</f>
        <v>350000</v>
      </c>
      <c r="AM103" s="60"/>
      <c r="AN103" s="60"/>
      <c r="AO103" s="61"/>
      <c r="AP103" s="58">
        <f t="shared" ref="AP103" si="1441">IFERROR($C103*AP101,"")</f>
        <v>350000</v>
      </c>
      <c r="AQ103" s="58"/>
      <c r="AR103" s="58"/>
      <c r="AS103" s="59"/>
      <c r="AT103" s="60">
        <f t="shared" ref="AT103" si="1442">IFERROR($C103*AT101,"")</f>
        <v>350000</v>
      </c>
      <c r="AU103" s="60"/>
      <c r="AV103" s="60"/>
      <c r="AW103" s="60"/>
      <c r="AX103" s="60">
        <f t="shared" ref="AX103" si="1443">IFERROR($C103*AX101,"")</f>
        <v>350000</v>
      </c>
      <c r="AY103" s="60"/>
      <c r="AZ103" s="60"/>
      <c r="BA103" s="61"/>
      <c r="BB103" s="58">
        <f t="shared" ref="BB103" si="1444">IFERROR($C103*BB101,"")</f>
        <v>350000</v>
      </c>
      <c r="BC103" s="58"/>
      <c r="BD103" s="58"/>
      <c r="BE103" s="59"/>
      <c r="BF103" s="60">
        <f t="shared" ref="BF103" si="1445">IFERROR($C103*BF101,"")</f>
        <v>350000</v>
      </c>
      <c r="BG103" s="60"/>
      <c r="BH103" s="60"/>
      <c r="BI103" s="60"/>
      <c r="BJ103" s="60">
        <f t="shared" ref="BJ103" si="1446">IFERROR($C103*BJ101,"")</f>
        <v>350000</v>
      </c>
      <c r="BK103" s="60"/>
      <c r="BL103" s="60"/>
      <c r="BM103" s="61"/>
      <c r="BN103" s="58">
        <f t="shared" ref="BN103" si="1447">IFERROR($C103*BN101,"")</f>
        <v>350000</v>
      </c>
      <c r="BO103" s="58"/>
      <c r="BP103" s="58"/>
      <c r="BQ103" s="59"/>
      <c r="BR103" s="60">
        <f t="shared" ref="BR103" si="1448">IFERROR($C103*BR101,"")</f>
        <v>0</v>
      </c>
      <c r="BS103" s="60"/>
      <c r="BT103" s="60"/>
      <c r="BU103" s="60"/>
      <c r="BV103" s="60">
        <f t="shared" ref="BV103" si="1449">IFERROR($C103*BV101,"")</f>
        <v>0</v>
      </c>
      <c r="BW103" s="60"/>
      <c r="BX103" s="60"/>
      <c r="BY103" s="61"/>
      <c r="BZ103" s="58">
        <f t="shared" ref="BZ103" si="1450">IFERROR($C103*BZ101,"")</f>
        <v>0</v>
      </c>
      <c r="CA103" s="58"/>
      <c r="CB103" s="58"/>
      <c r="CC103" s="59"/>
      <c r="CD103" s="60">
        <f t="shared" ref="CD103" si="1451">IFERROR($C103*CD101,"")</f>
        <v>0</v>
      </c>
      <c r="CE103" s="60"/>
      <c r="CF103" s="60"/>
      <c r="CG103" s="60"/>
      <c r="CH103" s="60">
        <f t="shared" ref="CH103" si="1452">IFERROR($C103*CH101,"")</f>
        <v>0</v>
      </c>
      <c r="CI103" s="60"/>
      <c r="CJ103" s="60"/>
      <c r="CK103" s="61"/>
      <c r="CL103" s="58">
        <f t="shared" ref="CL103" si="1453">IFERROR($C103*CL101,"")</f>
        <v>0</v>
      </c>
      <c r="CM103" s="58"/>
      <c r="CN103" s="58"/>
      <c r="CO103" s="59"/>
      <c r="CP103" s="60">
        <f t="shared" ref="CP103" si="1454">IFERROR($C103*CP101,"")</f>
        <v>0</v>
      </c>
      <c r="CQ103" s="60"/>
      <c r="CR103" s="60"/>
      <c r="CS103" s="60"/>
      <c r="CT103" s="60">
        <f t="shared" ref="CT103" si="1455">IFERROR($C103*CT101,"")</f>
        <v>0</v>
      </c>
      <c r="CU103" s="60"/>
      <c r="CV103" s="60"/>
      <c r="CW103" s="61"/>
      <c r="CX103" s="58">
        <f t="shared" ref="CX103" si="1456">IFERROR($C103*CX101,"")</f>
        <v>0</v>
      </c>
      <c r="CY103" s="58"/>
      <c r="CZ103" s="58"/>
      <c r="DA103" s="59"/>
      <c r="DB103" s="60">
        <f t="shared" ref="DB103" si="1457">IFERROR($C103*DB101,"")</f>
        <v>0</v>
      </c>
      <c r="DC103" s="60"/>
      <c r="DD103" s="60"/>
      <c r="DE103" s="60"/>
      <c r="DF103" s="60">
        <f t="shared" ref="DF103" si="1458">IFERROR($C103*DF101,"")</f>
        <v>0</v>
      </c>
      <c r="DG103" s="60"/>
      <c r="DH103" s="60"/>
      <c r="DI103" s="61"/>
      <c r="DJ103" s="58">
        <f t="shared" ref="DJ103" si="1459">IFERROR($C103*DJ101,"")</f>
        <v>0</v>
      </c>
      <c r="DK103" s="58"/>
      <c r="DL103" s="58"/>
      <c r="DM103" s="59"/>
      <c r="DN103" s="60">
        <f t="shared" ref="DN103" si="1460">IFERROR($C103*DN101,"")</f>
        <v>0</v>
      </c>
      <c r="DO103" s="60"/>
      <c r="DP103" s="60"/>
      <c r="DQ103" s="60"/>
      <c r="DR103" s="60">
        <f t="shared" ref="DR103" ca="1" si="1461">IFERROR($C103*DR101,"")</f>
        <v>0</v>
      </c>
      <c r="DS103" s="60"/>
      <c r="DT103" s="60"/>
      <c r="DU103" s="61"/>
      <c r="DV103" s="58">
        <f t="shared" ref="DV103" ca="1" si="1462">IFERROR($C103*DV101,"")</f>
        <v>0</v>
      </c>
      <c r="DW103" s="58"/>
      <c r="DX103" s="58"/>
      <c r="DY103" s="59"/>
      <c r="DZ103" s="60">
        <f t="shared" ref="DZ103" ca="1" si="1463">IFERROR($C103*DZ101,"")</f>
        <v>0</v>
      </c>
      <c r="EA103" s="60"/>
      <c r="EB103" s="60"/>
      <c r="EC103" s="60"/>
      <c r="ED103" s="60">
        <f t="shared" ref="ED103" ca="1" si="1464">IFERROR($C103*ED101,"")</f>
        <v>0</v>
      </c>
      <c r="EE103" s="60"/>
      <c r="EF103" s="60"/>
      <c r="EG103" s="61"/>
      <c r="EH103" s="58">
        <f t="shared" ref="EH103" ca="1" si="1465">IFERROR($C103*EH101,"")</f>
        <v>0</v>
      </c>
      <c r="EI103" s="58"/>
      <c r="EJ103" s="58"/>
      <c r="EK103" s="59"/>
      <c r="EL103" s="60">
        <f t="shared" ref="EL103" ca="1" si="1466">IFERROR($C103*EL101,"")</f>
        <v>0</v>
      </c>
      <c r="EM103" s="60"/>
      <c r="EN103" s="60"/>
      <c r="EO103" s="60"/>
      <c r="EP103" s="60">
        <f t="shared" ref="EP103" ca="1" si="1467">IFERROR($C103*EP101,"")</f>
        <v>0</v>
      </c>
      <c r="EQ103" s="60"/>
      <c r="ER103" s="60"/>
      <c r="ES103" s="61"/>
    </row>
    <row r="104" spans="1:149" customFormat="1" outlineLevel="1" x14ac:dyDescent="0.45">
      <c r="A104" s="2"/>
      <c r="B104" s="34" t="s">
        <v>51</v>
      </c>
      <c r="C104" s="19"/>
      <c r="D104" s="20" t="s">
        <v>13</v>
      </c>
      <c r="E104" s="21">
        <f ca="1">SUM(F104:ES104)</f>
        <v>8</v>
      </c>
      <c r="F104" s="74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G104" s="67"/>
      <c r="H104" s="67"/>
      <c r="I104" s="67"/>
      <c r="J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K104" s="67"/>
      <c r="L104" s="67"/>
      <c r="M104" s="67"/>
      <c r="N104" s="68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O104" s="70"/>
      <c r="P104" s="70"/>
      <c r="Q104" s="70"/>
      <c r="R104" s="70"/>
      <c r="S104" s="70"/>
      <c r="T104" s="70"/>
      <c r="U104" s="71"/>
      <c r="V104" s="67"/>
      <c r="W104" s="67"/>
      <c r="X104" s="67"/>
      <c r="Y104" s="67"/>
      <c r="Z104" s="67"/>
      <c r="AA104" s="67"/>
      <c r="AB104" s="67"/>
      <c r="AC104" s="68"/>
      <c r="AD104" s="67">
        <v>1</v>
      </c>
      <c r="AE104" s="67"/>
      <c r="AF104" s="67"/>
      <c r="AG104" s="67"/>
      <c r="AH104" s="67">
        <v>1</v>
      </c>
      <c r="AI104" s="67"/>
      <c r="AJ104" s="67"/>
      <c r="AK104" s="67"/>
      <c r="AL104" s="67">
        <v>1</v>
      </c>
      <c r="AM104" s="67"/>
      <c r="AN104" s="67"/>
      <c r="AO104" s="68"/>
      <c r="AP104" s="70">
        <v>1</v>
      </c>
      <c r="AQ104" s="70"/>
      <c r="AR104" s="70"/>
      <c r="AS104" s="71"/>
      <c r="AT104" s="67">
        <v>1</v>
      </c>
      <c r="AU104" s="67"/>
      <c r="AV104" s="67"/>
      <c r="AW104" s="67"/>
      <c r="AX104" s="67">
        <v>1</v>
      </c>
      <c r="AY104" s="67"/>
      <c r="AZ104" s="67"/>
      <c r="BA104" s="68"/>
      <c r="BB104" s="70">
        <v>1</v>
      </c>
      <c r="BC104" s="70"/>
      <c r="BD104" s="70"/>
      <c r="BE104" s="71"/>
      <c r="BF104" s="67">
        <v>1</v>
      </c>
      <c r="BG104" s="67"/>
      <c r="BH104" s="67"/>
      <c r="BI104" s="67"/>
      <c r="BJ104" s="67"/>
      <c r="BK104" s="67"/>
      <c r="BL104" s="67"/>
      <c r="BM104" s="68"/>
      <c r="BN104" s="70"/>
      <c r="BO104" s="70"/>
      <c r="BP104" s="70"/>
      <c r="BQ104" s="71"/>
      <c r="BR104" s="67"/>
      <c r="BS104" s="67"/>
      <c r="BT104" s="67"/>
      <c r="BU104" s="67"/>
      <c r="BV104" s="67"/>
      <c r="BW104" s="67"/>
      <c r="BX104" s="67"/>
      <c r="BY104" s="68"/>
      <c r="BZ104" s="70"/>
      <c r="CA104" s="70"/>
      <c r="CB104" s="70"/>
      <c r="CC104" s="71"/>
      <c r="CD104" s="67"/>
      <c r="CE104" s="67"/>
      <c r="CF104" s="67"/>
      <c r="CG104" s="67"/>
      <c r="CH104" s="67"/>
      <c r="CI104" s="67"/>
      <c r="CJ104" s="67"/>
      <c r="CK104" s="68"/>
      <c r="CL104" s="70"/>
      <c r="CM104" s="70"/>
      <c r="CN104" s="70"/>
      <c r="CO104" s="71"/>
      <c r="CP104" s="67"/>
      <c r="CQ104" s="67"/>
      <c r="CR104" s="67"/>
      <c r="CS104" s="67"/>
      <c r="CT104" s="67"/>
      <c r="CU104" s="67"/>
      <c r="CV104" s="67"/>
      <c r="CW104" s="68"/>
      <c r="CX104" s="70"/>
      <c r="CY104" s="70"/>
      <c r="CZ104" s="70"/>
      <c r="DA104" s="71"/>
      <c r="DB104" s="67"/>
      <c r="DC104" s="67"/>
      <c r="DD104" s="67"/>
      <c r="DE104" s="67"/>
      <c r="DF104" s="67"/>
      <c r="DG104" s="67"/>
      <c r="DH104" s="67"/>
      <c r="DI104" s="68"/>
      <c r="DJ104" s="70"/>
      <c r="DK104" s="70"/>
      <c r="DL104" s="70"/>
      <c r="DM104" s="71"/>
      <c r="DN104" s="67"/>
      <c r="DO104" s="67"/>
      <c r="DP104" s="67"/>
      <c r="DQ104" s="67"/>
      <c r="DR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DS104" s="67"/>
      <c r="DT104" s="67"/>
      <c r="DU104" s="68"/>
      <c r="DV104" s="70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DW104" s="70"/>
      <c r="DX104" s="70"/>
      <c r="DY104" s="71"/>
      <c r="DZ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A104" s="67"/>
      <c r="EB104" s="67"/>
      <c r="EC104" s="67"/>
      <c r="ED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E104" s="67"/>
      <c r="EF104" s="67"/>
      <c r="EG104" s="68"/>
      <c r="EH104" s="70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I104" s="70"/>
      <c r="EJ104" s="70"/>
      <c r="EK104" s="71"/>
      <c r="EL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M104" s="67"/>
      <c r="EN104" s="67"/>
      <c r="EO104" s="67"/>
      <c r="EP104" s="67">
        <f ca="1">IF(ISERROR(VLOOKUP(RIGHT(CELL("filename",$A$1),LEN(CELL("filename",$A$1))-FIND("]",CELL("filename",$A$1)))&amp;$B104,[2]要員計画!$L:$AJ,((COLUMN()-1)/4)+1,FALSE)),0,VLOOKUP(RIGHT(CELL("filename",$A$1),LEN(CELL("filename",$A$1))-FIND("]",CELL("filename",$A$1)))&amp;$B104,[2]要員計画!$L:$AJ,((COLUMN()-1)/4)+1,FALSE))</f>
        <v>0</v>
      </c>
      <c r="EQ104" s="67"/>
      <c r="ER104" s="67"/>
      <c r="ES104" s="68"/>
    </row>
    <row r="105" spans="1:149" customFormat="1" outlineLevel="1" x14ac:dyDescent="0.45">
      <c r="A105" s="2"/>
      <c r="B105" s="35"/>
      <c r="C105" s="22">
        <v>1050000</v>
      </c>
      <c r="D105" s="23" t="s">
        <v>23</v>
      </c>
      <c r="E105" s="24">
        <f ca="1">SUM(F105:CW105)</f>
        <v>8400000</v>
      </c>
      <c r="F105" s="69">
        <f ca="1">IFERROR($C105*F104,"")</f>
        <v>0</v>
      </c>
      <c r="G105" s="62"/>
      <c r="H105" s="62"/>
      <c r="I105" s="62"/>
      <c r="J105" s="62">
        <f t="shared" ref="J105" ca="1" si="1468">IFERROR($C105*J104,"")</f>
        <v>0</v>
      </c>
      <c r="K105" s="62"/>
      <c r="L105" s="62"/>
      <c r="M105" s="62"/>
      <c r="N105" s="63">
        <f t="shared" ref="N105" ca="1" si="1469">IFERROR($C105*N104,"")</f>
        <v>0</v>
      </c>
      <c r="O105" s="64"/>
      <c r="P105" s="64"/>
      <c r="Q105" s="64"/>
      <c r="R105" s="64">
        <f t="shared" ref="R105" si="1470">IFERROR($C105*R104,"")</f>
        <v>0</v>
      </c>
      <c r="S105" s="64"/>
      <c r="T105" s="64"/>
      <c r="U105" s="65"/>
      <c r="V105" s="62">
        <f t="shared" ref="V105" si="1471">IFERROR($C105*V104,"")</f>
        <v>0</v>
      </c>
      <c r="W105" s="62"/>
      <c r="X105" s="62"/>
      <c r="Y105" s="62"/>
      <c r="Z105" s="62">
        <f t="shared" ref="Z105" si="1472">IFERROR($C105*Z104,"")</f>
        <v>0</v>
      </c>
      <c r="AA105" s="62"/>
      <c r="AB105" s="62"/>
      <c r="AC105" s="63"/>
      <c r="AD105" s="62">
        <f t="shared" ref="AD105" si="1473">IFERROR($C105*AD104,"")</f>
        <v>1050000</v>
      </c>
      <c r="AE105" s="62"/>
      <c r="AF105" s="62"/>
      <c r="AG105" s="62"/>
      <c r="AH105" s="62">
        <f t="shared" ref="AH105" si="1474">IFERROR($C105*AH104,"")</f>
        <v>1050000</v>
      </c>
      <c r="AI105" s="62"/>
      <c r="AJ105" s="62"/>
      <c r="AK105" s="62"/>
      <c r="AL105" s="62">
        <f t="shared" ref="AL105" si="1475">IFERROR($C105*AL104,"")</f>
        <v>1050000</v>
      </c>
      <c r="AM105" s="62"/>
      <c r="AN105" s="62"/>
      <c r="AO105" s="63"/>
      <c r="AP105" s="64">
        <f t="shared" ref="AP105" si="1476">IFERROR($C105*AP104,"")</f>
        <v>1050000</v>
      </c>
      <c r="AQ105" s="64"/>
      <c r="AR105" s="64"/>
      <c r="AS105" s="65"/>
      <c r="AT105" s="62">
        <f t="shared" ref="AT105" si="1477">IFERROR($C105*AT104,"")</f>
        <v>1050000</v>
      </c>
      <c r="AU105" s="62"/>
      <c r="AV105" s="62"/>
      <c r="AW105" s="62"/>
      <c r="AX105" s="62">
        <f t="shared" ref="AX105" si="1478">IFERROR($C105*AX104,"")</f>
        <v>1050000</v>
      </c>
      <c r="AY105" s="62"/>
      <c r="AZ105" s="62"/>
      <c r="BA105" s="63"/>
      <c r="BB105" s="64">
        <f t="shared" ref="BB105" si="1479">IFERROR($C105*BB104,"")</f>
        <v>1050000</v>
      </c>
      <c r="BC105" s="64"/>
      <c r="BD105" s="64"/>
      <c r="BE105" s="65"/>
      <c r="BF105" s="62">
        <f t="shared" ref="BF105" si="1480">IFERROR($C105*BF104,"")</f>
        <v>1050000</v>
      </c>
      <c r="BG105" s="62"/>
      <c r="BH105" s="62"/>
      <c r="BI105" s="62"/>
      <c r="BJ105" s="62">
        <f t="shared" ref="BJ105" si="1481">IFERROR($C105*BJ104,"")</f>
        <v>0</v>
      </c>
      <c r="BK105" s="62"/>
      <c r="BL105" s="62"/>
      <c r="BM105" s="63"/>
      <c r="BN105" s="64">
        <f t="shared" ref="BN105" si="1482">IFERROR($C105*BN104,"")</f>
        <v>0</v>
      </c>
      <c r="BO105" s="64"/>
      <c r="BP105" s="64"/>
      <c r="BQ105" s="65"/>
      <c r="BR105" s="62">
        <f t="shared" ref="BR105" si="1483">IFERROR($C105*BR104,"")</f>
        <v>0</v>
      </c>
      <c r="BS105" s="62"/>
      <c r="BT105" s="62"/>
      <c r="BU105" s="62"/>
      <c r="BV105" s="62">
        <f t="shared" ref="BV105" si="1484">IFERROR($C105*BV104,"")</f>
        <v>0</v>
      </c>
      <c r="BW105" s="62"/>
      <c r="BX105" s="62"/>
      <c r="BY105" s="63"/>
      <c r="BZ105" s="64">
        <f t="shared" ref="BZ105" si="1485">IFERROR($C105*BZ104,"")</f>
        <v>0</v>
      </c>
      <c r="CA105" s="64"/>
      <c r="CB105" s="64"/>
      <c r="CC105" s="65"/>
      <c r="CD105" s="62">
        <f t="shared" ref="CD105" si="1486">IFERROR($C105*CD104,"")</f>
        <v>0</v>
      </c>
      <c r="CE105" s="62"/>
      <c r="CF105" s="62"/>
      <c r="CG105" s="62"/>
      <c r="CH105" s="62">
        <f t="shared" ref="CH105" si="1487">IFERROR($C105*CH104,"")</f>
        <v>0</v>
      </c>
      <c r="CI105" s="62"/>
      <c r="CJ105" s="62"/>
      <c r="CK105" s="63"/>
      <c r="CL105" s="64">
        <f t="shared" ref="CL105" si="1488">IFERROR($C105*CL104,"")</f>
        <v>0</v>
      </c>
      <c r="CM105" s="64"/>
      <c r="CN105" s="64"/>
      <c r="CO105" s="65"/>
      <c r="CP105" s="62">
        <f t="shared" ref="CP105" si="1489">IFERROR($C105*CP104,"")</f>
        <v>0</v>
      </c>
      <c r="CQ105" s="62"/>
      <c r="CR105" s="62"/>
      <c r="CS105" s="62"/>
      <c r="CT105" s="62">
        <f t="shared" ref="CT105" si="1490">IFERROR($C105*CT104,"")</f>
        <v>0</v>
      </c>
      <c r="CU105" s="62"/>
      <c r="CV105" s="62"/>
      <c r="CW105" s="63"/>
      <c r="CX105" s="64">
        <f t="shared" ref="CX105" si="1491">IFERROR($C105*CX104,"")</f>
        <v>0</v>
      </c>
      <c r="CY105" s="64"/>
      <c r="CZ105" s="64"/>
      <c r="DA105" s="65"/>
      <c r="DB105" s="62">
        <f t="shared" ref="DB105" si="1492">IFERROR($C105*DB104,"")</f>
        <v>0</v>
      </c>
      <c r="DC105" s="62"/>
      <c r="DD105" s="62"/>
      <c r="DE105" s="62"/>
      <c r="DF105" s="62">
        <f t="shared" ref="DF105" si="1493">IFERROR($C105*DF104,"")</f>
        <v>0</v>
      </c>
      <c r="DG105" s="62"/>
      <c r="DH105" s="62"/>
      <c r="DI105" s="63"/>
      <c r="DJ105" s="64">
        <f t="shared" ref="DJ105" si="1494">IFERROR($C105*DJ104,"")</f>
        <v>0</v>
      </c>
      <c r="DK105" s="64"/>
      <c r="DL105" s="64"/>
      <c r="DM105" s="65"/>
      <c r="DN105" s="62">
        <f t="shared" ref="DN105" si="1495">IFERROR($C105*DN104,"")</f>
        <v>0</v>
      </c>
      <c r="DO105" s="62"/>
      <c r="DP105" s="62"/>
      <c r="DQ105" s="62"/>
      <c r="DR105" s="62">
        <f t="shared" ref="DR105" ca="1" si="1496">IFERROR($C105*DR104,"")</f>
        <v>0</v>
      </c>
      <c r="DS105" s="62"/>
      <c r="DT105" s="62"/>
      <c r="DU105" s="63"/>
      <c r="DV105" s="64">
        <f t="shared" ref="DV105" ca="1" si="1497">IFERROR($C105*DV104,"")</f>
        <v>0</v>
      </c>
      <c r="DW105" s="64"/>
      <c r="DX105" s="64"/>
      <c r="DY105" s="65"/>
      <c r="DZ105" s="62">
        <f t="shared" ref="DZ105" ca="1" si="1498">IFERROR($C105*DZ104,"")</f>
        <v>0</v>
      </c>
      <c r="EA105" s="62"/>
      <c r="EB105" s="62"/>
      <c r="EC105" s="62"/>
      <c r="ED105" s="62">
        <f t="shared" ref="ED105" ca="1" si="1499">IFERROR($C105*ED104,"")</f>
        <v>0</v>
      </c>
      <c r="EE105" s="62"/>
      <c r="EF105" s="62"/>
      <c r="EG105" s="63"/>
      <c r="EH105" s="64">
        <f t="shared" ref="EH105" ca="1" si="1500">IFERROR($C105*EH104,"")</f>
        <v>0</v>
      </c>
      <c r="EI105" s="64"/>
      <c r="EJ105" s="64"/>
      <c r="EK105" s="65"/>
      <c r="EL105" s="62">
        <f t="shared" ref="EL105" ca="1" si="1501">IFERROR($C105*EL104,"")</f>
        <v>0</v>
      </c>
      <c r="EM105" s="62"/>
      <c r="EN105" s="62"/>
      <c r="EO105" s="62"/>
      <c r="EP105" s="62">
        <f t="shared" ref="EP105" ca="1" si="1502">IFERROR($C105*EP104,"")</f>
        <v>0</v>
      </c>
      <c r="EQ105" s="62"/>
      <c r="ER105" s="62"/>
      <c r="ES105" s="63"/>
    </row>
    <row r="106" spans="1:149" customFormat="1" outlineLevel="1" x14ac:dyDescent="0.45">
      <c r="A106" s="2"/>
      <c r="B106" s="36"/>
      <c r="C106" s="25">
        <v>350000</v>
      </c>
      <c r="D106" s="26" t="s">
        <v>3</v>
      </c>
      <c r="E106" s="27">
        <f ca="1">SUM(F106:CW106)</f>
        <v>2800000</v>
      </c>
      <c r="F106" s="66">
        <f ca="1">IFERROR($C106*F104,"")</f>
        <v>0</v>
      </c>
      <c r="G106" s="60"/>
      <c r="H106" s="60"/>
      <c r="I106" s="60"/>
      <c r="J106" s="60">
        <f t="shared" ref="J106" ca="1" si="1503">IFERROR($C106*J104,"")</f>
        <v>0</v>
      </c>
      <c r="K106" s="60"/>
      <c r="L106" s="60"/>
      <c r="M106" s="60"/>
      <c r="N106" s="61">
        <f t="shared" ref="N106" ca="1" si="1504">IFERROR($C106*N104,"")</f>
        <v>0</v>
      </c>
      <c r="O106" s="58"/>
      <c r="P106" s="58"/>
      <c r="Q106" s="58"/>
      <c r="R106" s="58">
        <f t="shared" ref="R106" si="1505">IFERROR($C106*R104,"")</f>
        <v>0</v>
      </c>
      <c r="S106" s="58"/>
      <c r="T106" s="58"/>
      <c r="U106" s="59"/>
      <c r="V106" s="60">
        <f t="shared" ref="V106" si="1506">IFERROR($C106*V104,"")</f>
        <v>0</v>
      </c>
      <c r="W106" s="60"/>
      <c r="X106" s="60"/>
      <c r="Y106" s="60"/>
      <c r="Z106" s="60">
        <f t="shared" ref="Z106" si="1507">IFERROR($C106*Z104,"")</f>
        <v>0</v>
      </c>
      <c r="AA106" s="60"/>
      <c r="AB106" s="60"/>
      <c r="AC106" s="61"/>
      <c r="AD106" s="60">
        <f t="shared" ref="AD106" si="1508">IFERROR($C106*AD104,"")</f>
        <v>350000</v>
      </c>
      <c r="AE106" s="60"/>
      <c r="AF106" s="60"/>
      <c r="AG106" s="60"/>
      <c r="AH106" s="60">
        <f t="shared" ref="AH106" si="1509">IFERROR($C106*AH104,"")</f>
        <v>350000</v>
      </c>
      <c r="AI106" s="60"/>
      <c r="AJ106" s="60"/>
      <c r="AK106" s="60"/>
      <c r="AL106" s="60">
        <f t="shared" ref="AL106" si="1510">IFERROR($C106*AL104,"")</f>
        <v>350000</v>
      </c>
      <c r="AM106" s="60"/>
      <c r="AN106" s="60"/>
      <c r="AO106" s="61"/>
      <c r="AP106" s="58">
        <f t="shared" ref="AP106" si="1511">IFERROR($C106*AP104,"")</f>
        <v>350000</v>
      </c>
      <c r="AQ106" s="58"/>
      <c r="AR106" s="58"/>
      <c r="AS106" s="59"/>
      <c r="AT106" s="60">
        <f t="shared" ref="AT106" si="1512">IFERROR($C106*AT104,"")</f>
        <v>350000</v>
      </c>
      <c r="AU106" s="60"/>
      <c r="AV106" s="60"/>
      <c r="AW106" s="60"/>
      <c r="AX106" s="60">
        <f t="shared" ref="AX106" si="1513">IFERROR($C106*AX104,"")</f>
        <v>350000</v>
      </c>
      <c r="AY106" s="60"/>
      <c r="AZ106" s="60"/>
      <c r="BA106" s="61"/>
      <c r="BB106" s="58">
        <f t="shared" ref="BB106" si="1514">IFERROR($C106*BB104,"")</f>
        <v>350000</v>
      </c>
      <c r="BC106" s="58"/>
      <c r="BD106" s="58"/>
      <c r="BE106" s="59"/>
      <c r="BF106" s="60">
        <f t="shared" ref="BF106" si="1515">IFERROR($C106*BF104,"")</f>
        <v>350000</v>
      </c>
      <c r="BG106" s="60"/>
      <c r="BH106" s="60"/>
      <c r="BI106" s="60"/>
      <c r="BJ106" s="60">
        <f t="shared" ref="BJ106" si="1516">IFERROR($C106*BJ104,"")</f>
        <v>0</v>
      </c>
      <c r="BK106" s="60"/>
      <c r="BL106" s="60"/>
      <c r="BM106" s="61"/>
      <c r="BN106" s="58">
        <f t="shared" ref="BN106" si="1517">IFERROR($C106*BN104,"")</f>
        <v>0</v>
      </c>
      <c r="BO106" s="58"/>
      <c r="BP106" s="58"/>
      <c r="BQ106" s="59"/>
      <c r="BR106" s="60">
        <f t="shared" ref="BR106" si="1518">IFERROR($C106*BR104,"")</f>
        <v>0</v>
      </c>
      <c r="BS106" s="60"/>
      <c r="BT106" s="60"/>
      <c r="BU106" s="60"/>
      <c r="BV106" s="60">
        <f t="shared" ref="BV106" si="1519">IFERROR($C106*BV104,"")</f>
        <v>0</v>
      </c>
      <c r="BW106" s="60"/>
      <c r="BX106" s="60"/>
      <c r="BY106" s="61"/>
      <c r="BZ106" s="58">
        <f t="shared" ref="BZ106" si="1520">IFERROR($C106*BZ104,"")</f>
        <v>0</v>
      </c>
      <c r="CA106" s="58"/>
      <c r="CB106" s="58"/>
      <c r="CC106" s="59"/>
      <c r="CD106" s="60">
        <f t="shared" ref="CD106" si="1521">IFERROR($C106*CD104,"")</f>
        <v>0</v>
      </c>
      <c r="CE106" s="60"/>
      <c r="CF106" s="60"/>
      <c r="CG106" s="60"/>
      <c r="CH106" s="60">
        <f t="shared" ref="CH106" si="1522">IFERROR($C106*CH104,"")</f>
        <v>0</v>
      </c>
      <c r="CI106" s="60"/>
      <c r="CJ106" s="60"/>
      <c r="CK106" s="61"/>
      <c r="CL106" s="58">
        <f t="shared" ref="CL106" si="1523">IFERROR($C106*CL104,"")</f>
        <v>0</v>
      </c>
      <c r="CM106" s="58"/>
      <c r="CN106" s="58"/>
      <c r="CO106" s="59"/>
      <c r="CP106" s="60">
        <f t="shared" ref="CP106" si="1524">IFERROR($C106*CP104,"")</f>
        <v>0</v>
      </c>
      <c r="CQ106" s="60"/>
      <c r="CR106" s="60"/>
      <c r="CS106" s="60"/>
      <c r="CT106" s="60">
        <f t="shared" ref="CT106" si="1525">IFERROR($C106*CT104,"")</f>
        <v>0</v>
      </c>
      <c r="CU106" s="60"/>
      <c r="CV106" s="60"/>
      <c r="CW106" s="61"/>
      <c r="CX106" s="58">
        <f t="shared" ref="CX106" si="1526">IFERROR($C106*CX104,"")</f>
        <v>0</v>
      </c>
      <c r="CY106" s="58"/>
      <c r="CZ106" s="58"/>
      <c r="DA106" s="59"/>
      <c r="DB106" s="60">
        <f t="shared" ref="DB106" si="1527">IFERROR($C106*DB104,"")</f>
        <v>0</v>
      </c>
      <c r="DC106" s="60"/>
      <c r="DD106" s="60"/>
      <c r="DE106" s="60"/>
      <c r="DF106" s="60">
        <f t="shared" ref="DF106" si="1528">IFERROR($C106*DF104,"")</f>
        <v>0</v>
      </c>
      <c r="DG106" s="60"/>
      <c r="DH106" s="60"/>
      <c r="DI106" s="61"/>
      <c r="DJ106" s="58">
        <f t="shared" ref="DJ106" si="1529">IFERROR($C106*DJ104,"")</f>
        <v>0</v>
      </c>
      <c r="DK106" s="58"/>
      <c r="DL106" s="58"/>
      <c r="DM106" s="59"/>
      <c r="DN106" s="60">
        <f t="shared" ref="DN106" si="1530">IFERROR($C106*DN104,"")</f>
        <v>0</v>
      </c>
      <c r="DO106" s="60"/>
      <c r="DP106" s="60"/>
      <c r="DQ106" s="60"/>
      <c r="DR106" s="60">
        <f t="shared" ref="DR106" ca="1" si="1531">IFERROR($C106*DR104,"")</f>
        <v>0</v>
      </c>
      <c r="DS106" s="60"/>
      <c r="DT106" s="60"/>
      <c r="DU106" s="61"/>
      <c r="DV106" s="58">
        <f t="shared" ref="DV106" ca="1" si="1532">IFERROR($C106*DV104,"")</f>
        <v>0</v>
      </c>
      <c r="DW106" s="58"/>
      <c r="DX106" s="58"/>
      <c r="DY106" s="59"/>
      <c r="DZ106" s="60">
        <f t="shared" ref="DZ106" ca="1" si="1533">IFERROR($C106*DZ104,"")</f>
        <v>0</v>
      </c>
      <c r="EA106" s="60"/>
      <c r="EB106" s="60"/>
      <c r="EC106" s="60"/>
      <c r="ED106" s="60">
        <f t="shared" ref="ED106" ca="1" si="1534">IFERROR($C106*ED104,"")</f>
        <v>0</v>
      </c>
      <c r="EE106" s="60"/>
      <c r="EF106" s="60"/>
      <c r="EG106" s="61"/>
      <c r="EH106" s="58">
        <f t="shared" ref="EH106" ca="1" si="1535">IFERROR($C106*EH104,"")</f>
        <v>0</v>
      </c>
      <c r="EI106" s="58"/>
      <c r="EJ106" s="58"/>
      <c r="EK106" s="59"/>
      <c r="EL106" s="60">
        <f t="shared" ref="EL106" ca="1" si="1536">IFERROR($C106*EL104,"")</f>
        <v>0</v>
      </c>
      <c r="EM106" s="60"/>
      <c r="EN106" s="60"/>
      <c r="EO106" s="60"/>
      <c r="EP106" s="60">
        <f t="shared" ref="EP106" ca="1" si="1537">IFERROR($C106*EP104,"")</f>
        <v>0</v>
      </c>
      <c r="EQ106" s="60"/>
      <c r="ER106" s="60"/>
      <c r="ES106" s="61"/>
    </row>
    <row r="107" spans="1:149" customFormat="1" outlineLevel="1" x14ac:dyDescent="0.45">
      <c r="A107" s="2"/>
      <c r="B107" s="34" t="s">
        <v>52</v>
      </c>
      <c r="C107" s="19"/>
      <c r="D107" s="20" t="s">
        <v>13</v>
      </c>
      <c r="E107" s="21">
        <f ca="1">SUM(F107:ES107)</f>
        <v>8</v>
      </c>
      <c r="F107" s="74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G107" s="67"/>
      <c r="H107" s="67"/>
      <c r="I107" s="67"/>
      <c r="J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K107" s="67"/>
      <c r="L107" s="67"/>
      <c r="M107" s="67"/>
      <c r="N107" s="68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O107" s="70"/>
      <c r="P107" s="70"/>
      <c r="Q107" s="70"/>
      <c r="R107" s="70"/>
      <c r="S107" s="70"/>
      <c r="T107" s="70"/>
      <c r="U107" s="71"/>
      <c r="V107" s="67"/>
      <c r="W107" s="67"/>
      <c r="X107" s="67"/>
      <c r="Y107" s="67"/>
      <c r="Z107" s="67"/>
      <c r="AA107" s="67"/>
      <c r="AB107" s="67"/>
      <c r="AC107" s="68"/>
      <c r="AD107" s="67">
        <v>1</v>
      </c>
      <c r="AE107" s="67"/>
      <c r="AF107" s="67"/>
      <c r="AG107" s="67"/>
      <c r="AH107" s="67">
        <v>1</v>
      </c>
      <c r="AI107" s="67"/>
      <c r="AJ107" s="67"/>
      <c r="AK107" s="67"/>
      <c r="AL107" s="67">
        <v>1</v>
      </c>
      <c r="AM107" s="67"/>
      <c r="AN107" s="67"/>
      <c r="AO107" s="68"/>
      <c r="AP107" s="70">
        <v>1</v>
      </c>
      <c r="AQ107" s="70"/>
      <c r="AR107" s="70"/>
      <c r="AS107" s="71"/>
      <c r="AT107" s="67">
        <v>1</v>
      </c>
      <c r="AU107" s="67"/>
      <c r="AV107" s="67"/>
      <c r="AW107" s="67"/>
      <c r="AX107" s="67">
        <v>1</v>
      </c>
      <c r="AY107" s="67"/>
      <c r="AZ107" s="67"/>
      <c r="BA107" s="68"/>
      <c r="BB107" s="70">
        <v>1</v>
      </c>
      <c r="BC107" s="70"/>
      <c r="BD107" s="70"/>
      <c r="BE107" s="71"/>
      <c r="BF107" s="67">
        <v>1</v>
      </c>
      <c r="BG107" s="67"/>
      <c r="BH107" s="67"/>
      <c r="BI107" s="67"/>
      <c r="BJ107" s="67"/>
      <c r="BK107" s="67"/>
      <c r="BL107" s="67"/>
      <c r="BM107" s="68"/>
      <c r="BN107" s="70"/>
      <c r="BO107" s="70"/>
      <c r="BP107" s="70"/>
      <c r="BQ107" s="71"/>
      <c r="BR107" s="67"/>
      <c r="BS107" s="67"/>
      <c r="BT107" s="67"/>
      <c r="BU107" s="67"/>
      <c r="BV107" s="67"/>
      <c r="BW107" s="67"/>
      <c r="BX107" s="67"/>
      <c r="BY107" s="68"/>
      <c r="BZ107" s="70"/>
      <c r="CA107" s="70"/>
      <c r="CB107" s="70"/>
      <c r="CC107" s="71"/>
      <c r="CD107" s="67"/>
      <c r="CE107" s="67"/>
      <c r="CF107" s="67"/>
      <c r="CG107" s="67"/>
      <c r="CH107" s="67"/>
      <c r="CI107" s="67"/>
      <c r="CJ107" s="67"/>
      <c r="CK107" s="68"/>
      <c r="CL107" s="70"/>
      <c r="CM107" s="70"/>
      <c r="CN107" s="70"/>
      <c r="CO107" s="71"/>
      <c r="CP107" s="67"/>
      <c r="CQ107" s="67"/>
      <c r="CR107" s="67"/>
      <c r="CS107" s="67"/>
      <c r="CT107" s="67"/>
      <c r="CU107" s="67"/>
      <c r="CV107" s="67"/>
      <c r="CW107" s="68"/>
      <c r="CX107" s="70"/>
      <c r="CY107" s="70"/>
      <c r="CZ107" s="70"/>
      <c r="DA107" s="71"/>
      <c r="DB107" s="67"/>
      <c r="DC107" s="67"/>
      <c r="DD107" s="67"/>
      <c r="DE107" s="67"/>
      <c r="DF107" s="67"/>
      <c r="DG107" s="67"/>
      <c r="DH107" s="67"/>
      <c r="DI107" s="68"/>
      <c r="DJ107" s="70"/>
      <c r="DK107" s="70"/>
      <c r="DL107" s="70"/>
      <c r="DM107" s="71"/>
      <c r="DN107" s="67"/>
      <c r="DO107" s="67"/>
      <c r="DP107" s="67"/>
      <c r="DQ107" s="67"/>
      <c r="DR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S107" s="67"/>
      <c r="DT107" s="67"/>
      <c r="DU107" s="68"/>
      <c r="DV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DW107" s="70"/>
      <c r="DX107" s="70"/>
      <c r="DY107" s="71"/>
      <c r="DZ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A107" s="67"/>
      <c r="EB107" s="67"/>
      <c r="EC107" s="67"/>
      <c r="ED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E107" s="67"/>
      <c r="EF107" s="67"/>
      <c r="EG107" s="68"/>
      <c r="EH107" s="70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I107" s="70"/>
      <c r="EJ107" s="70"/>
      <c r="EK107" s="71"/>
      <c r="EL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M107" s="67"/>
      <c r="EN107" s="67"/>
      <c r="EO107" s="67"/>
      <c r="EP107" s="67">
        <f ca="1">IF(ISERROR(VLOOKUP(RIGHT(CELL("filename",$A$1),LEN(CELL("filename",$A$1))-FIND("]",CELL("filename",$A$1)))&amp;$B107,[2]要員計画!$L:$AJ,((COLUMN()-1)/4)+1,FALSE)),0,VLOOKUP(RIGHT(CELL("filename",$A$1),LEN(CELL("filename",$A$1))-FIND("]",CELL("filename",$A$1)))&amp;$B107,[2]要員計画!$L:$AJ,((COLUMN()-1)/4)+1,FALSE))</f>
        <v>0</v>
      </c>
      <c r="EQ107" s="67"/>
      <c r="ER107" s="67"/>
      <c r="ES107" s="68"/>
    </row>
    <row r="108" spans="1:149" customFormat="1" outlineLevel="1" x14ac:dyDescent="0.45">
      <c r="A108" s="2"/>
      <c r="B108" s="35"/>
      <c r="C108" s="22">
        <v>1050000</v>
      </c>
      <c r="D108" s="23" t="s">
        <v>23</v>
      </c>
      <c r="E108" s="24">
        <f ca="1">SUM(F108:CW108)</f>
        <v>8400000</v>
      </c>
      <c r="F108" s="69">
        <f ca="1">IFERROR($C108*F107,"")</f>
        <v>0</v>
      </c>
      <c r="G108" s="62"/>
      <c r="H108" s="62"/>
      <c r="I108" s="62"/>
      <c r="J108" s="62">
        <f t="shared" ref="J108" ca="1" si="1538">IFERROR($C108*J107,"")</f>
        <v>0</v>
      </c>
      <c r="K108" s="62"/>
      <c r="L108" s="62"/>
      <c r="M108" s="62"/>
      <c r="N108" s="63">
        <f t="shared" ref="N108" ca="1" si="1539">IFERROR($C108*N107,"")</f>
        <v>0</v>
      </c>
      <c r="O108" s="64"/>
      <c r="P108" s="64"/>
      <c r="Q108" s="64"/>
      <c r="R108" s="64">
        <f t="shared" ref="R108" si="1540">IFERROR($C108*R107,"")</f>
        <v>0</v>
      </c>
      <c r="S108" s="64"/>
      <c r="T108" s="64"/>
      <c r="U108" s="65"/>
      <c r="V108" s="62">
        <f t="shared" ref="V108" si="1541">IFERROR($C108*V107,"")</f>
        <v>0</v>
      </c>
      <c r="W108" s="62"/>
      <c r="X108" s="62"/>
      <c r="Y108" s="62"/>
      <c r="Z108" s="62">
        <f t="shared" ref="Z108" si="1542">IFERROR($C108*Z107,"")</f>
        <v>0</v>
      </c>
      <c r="AA108" s="62"/>
      <c r="AB108" s="62"/>
      <c r="AC108" s="63"/>
      <c r="AD108" s="62">
        <f t="shared" ref="AD108" si="1543">IFERROR($C108*AD107,"")</f>
        <v>1050000</v>
      </c>
      <c r="AE108" s="62"/>
      <c r="AF108" s="62"/>
      <c r="AG108" s="62"/>
      <c r="AH108" s="62">
        <f t="shared" ref="AH108" si="1544">IFERROR($C108*AH107,"")</f>
        <v>1050000</v>
      </c>
      <c r="AI108" s="62"/>
      <c r="AJ108" s="62"/>
      <c r="AK108" s="62"/>
      <c r="AL108" s="62">
        <f t="shared" ref="AL108" si="1545">IFERROR($C108*AL107,"")</f>
        <v>1050000</v>
      </c>
      <c r="AM108" s="62"/>
      <c r="AN108" s="62"/>
      <c r="AO108" s="63"/>
      <c r="AP108" s="64">
        <f t="shared" ref="AP108" si="1546">IFERROR($C108*AP107,"")</f>
        <v>1050000</v>
      </c>
      <c r="AQ108" s="64"/>
      <c r="AR108" s="64"/>
      <c r="AS108" s="65"/>
      <c r="AT108" s="62">
        <f t="shared" ref="AT108" si="1547">IFERROR($C108*AT107,"")</f>
        <v>1050000</v>
      </c>
      <c r="AU108" s="62"/>
      <c r="AV108" s="62"/>
      <c r="AW108" s="62"/>
      <c r="AX108" s="62">
        <f t="shared" ref="AX108" si="1548">IFERROR($C108*AX107,"")</f>
        <v>1050000</v>
      </c>
      <c r="AY108" s="62"/>
      <c r="AZ108" s="62"/>
      <c r="BA108" s="63"/>
      <c r="BB108" s="64">
        <f t="shared" ref="BB108" si="1549">IFERROR($C108*BB107,"")</f>
        <v>1050000</v>
      </c>
      <c r="BC108" s="64"/>
      <c r="BD108" s="64"/>
      <c r="BE108" s="65"/>
      <c r="BF108" s="62">
        <f t="shared" ref="BF108" si="1550">IFERROR($C108*BF107,"")</f>
        <v>1050000</v>
      </c>
      <c r="BG108" s="62"/>
      <c r="BH108" s="62"/>
      <c r="BI108" s="62"/>
      <c r="BJ108" s="62">
        <f t="shared" ref="BJ108" si="1551">IFERROR($C108*BJ107,"")</f>
        <v>0</v>
      </c>
      <c r="BK108" s="62"/>
      <c r="BL108" s="62"/>
      <c r="BM108" s="63"/>
      <c r="BN108" s="64">
        <f t="shared" ref="BN108" si="1552">IFERROR($C108*BN107,"")</f>
        <v>0</v>
      </c>
      <c r="BO108" s="64"/>
      <c r="BP108" s="64"/>
      <c r="BQ108" s="65"/>
      <c r="BR108" s="62">
        <f t="shared" ref="BR108" si="1553">IFERROR($C108*BR107,"")</f>
        <v>0</v>
      </c>
      <c r="BS108" s="62"/>
      <c r="BT108" s="62"/>
      <c r="BU108" s="62"/>
      <c r="BV108" s="62">
        <f t="shared" ref="BV108" si="1554">IFERROR($C108*BV107,"")</f>
        <v>0</v>
      </c>
      <c r="BW108" s="62"/>
      <c r="BX108" s="62"/>
      <c r="BY108" s="63"/>
      <c r="BZ108" s="64">
        <f t="shared" ref="BZ108" si="1555">IFERROR($C108*BZ107,"")</f>
        <v>0</v>
      </c>
      <c r="CA108" s="64"/>
      <c r="CB108" s="64"/>
      <c r="CC108" s="65"/>
      <c r="CD108" s="62">
        <f t="shared" ref="CD108" si="1556">IFERROR($C108*CD107,"")</f>
        <v>0</v>
      </c>
      <c r="CE108" s="62"/>
      <c r="CF108" s="62"/>
      <c r="CG108" s="62"/>
      <c r="CH108" s="62">
        <f t="shared" ref="CH108" si="1557">IFERROR($C108*CH107,"")</f>
        <v>0</v>
      </c>
      <c r="CI108" s="62"/>
      <c r="CJ108" s="62"/>
      <c r="CK108" s="63"/>
      <c r="CL108" s="64">
        <f t="shared" ref="CL108" si="1558">IFERROR($C108*CL107,"")</f>
        <v>0</v>
      </c>
      <c r="CM108" s="64"/>
      <c r="CN108" s="64"/>
      <c r="CO108" s="65"/>
      <c r="CP108" s="62">
        <f t="shared" ref="CP108" si="1559">IFERROR($C108*CP107,"")</f>
        <v>0</v>
      </c>
      <c r="CQ108" s="62"/>
      <c r="CR108" s="62"/>
      <c r="CS108" s="62"/>
      <c r="CT108" s="62">
        <f t="shared" ref="CT108" si="1560">IFERROR($C108*CT107,"")</f>
        <v>0</v>
      </c>
      <c r="CU108" s="62"/>
      <c r="CV108" s="62"/>
      <c r="CW108" s="63"/>
      <c r="CX108" s="64">
        <f t="shared" ref="CX108" si="1561">IFERROR($C108*CX107,"")</f>
        <v>0</v>
      </c>
      <c r="CY108" s="64"/>
      <c r="CZ108" s="64"/>
      <c r="DA108" s="65"/>
      <c r="DB108" s="62">
        <f t="shared" ref="DB108" si="1562">IFERROR($C108*DB107,"")</f>
        <v>0</v>
      </c>
      <c r="DC108" s="62"/>
      <c r="DD108" s="62"/>
      <c r="DE108" s="62"/>
      <c r="DF108" s="62">
        <f t="shared" ref="DF108" si="1563">IFERROR($C108*DF107,"")</f>
        <v>0</v>
      </c>
      <c r="DG108" s="62"/>
      <c r="DH108" s="62"/>
      <c r="DI108" s="63"/>
      <c r="DJ108" s="64">
        <f t="shared" ref="DJ108" si="1564">IFERROR($C108*DJ107,"")</f>
        <v>0</v>
      </c>
      <c r="DK108" s="64"/>
      <c r="DL108" s="64"/>
      <c r="DM108" s="65"/>
      <c r="DN108" s="62">
        <f t="shared" ref="DN108" si="1565">IFERROR($C108*DN107,"")</f>
        <v>0</v>
      </c>
      <c r="DO108" s="62"/>
      <c r="DP108" s="62"/>
      <c r="DQ108" s="62"/>
      <c r="DR108" s="62">
        <f t="shared" ref="DR108" ca="1" si="1566">IFERROR($C108*DR107,"")</f>
        <v>0</v>
      </c>
      <c r="DS108" s="62"/>
      <c r="DT108" s="62"/>
      <c r="DU108" s="63"/>
      <c r="DV108" s="64">
        <f t="shared" ref="DV108" ca="1" si="1567">IFERROR($C108*DV107,"")</f>
        <v>0</v>
      </c>
      <c r="DW108" s="64"/>
      <c r="DX108" s="64"/>
      <c r="DY108" s="65"/>
      <c r="DZ108" s="62">
        <f t="shared" ref="DZ108" ca="1" si="1568">IFERROR($C108*DZ107,"")</f>
        <v>0</v>
      </c>
      <c r="EA108" s="62"/>
      <c r="EB108" s="62"/>
      <c r="EC108" s="62"/>
      <c r="ED108" s="62">
        <f t="shared" ref="ED108" ca="1" si="1569">IFERROR($C108*ED107,"")</f>
        <v>0</v>
      </c>
      <c r="EE108" s="62"/>
      <c r="EF108" s="62"/>
      <c r="EG108" s="63"/>
      <c r="EH108" s="64">
        <f t="shared" ref="EH108" ca="1" si="1570">IFERROR($C108*EH107,"")</f>
        <v>0</v>
      </c>
      <c r="EI108" s="64"/>
      <c r="EJ108" s="64"/>
      <c r="EK108" s="65"/>
      <c r="EL108" s="62">
        <f t="shared" ref="EL108" ca="1" si="1571">IFERROR($C108*EL107,"")</f>
        <v>0</v>
      </c>
      <c r="EM108" s="62"/>
      <c r="EN108" s="62"/>
      <c r="EO108" s="62"/>
      <c r="EP108" s="62">
        <f t="shared" ref="EP108" ca="1" si="1572">IFERROR($C108*EP107,"")</f>
        <v>0</v>
      </c>
      <c r="EQ108" s="62"/>
      <c r="ER108" s="62"/>
      <c r="ES108" s="63"/>
    </row>
    <row r="109" spans="1:149" customFormat="1" outlineLevel="1" x14ac:dyDescent="0.45">
      <c r="A109" s="2"/>
      <c r="B109" s="36"/>
      <c r="C109" s="25">
        <v>350000</v>
      </c>
      <c r="D109" s="26" t="s">
        <v>3</v>
      </c>
      <c r="E109" s="27">
        <f ca="1">SUM(F109:CW109)</f>
        <v>2800000</v>
      </c>
      <c r="F109" s="66">
        <f ca="1">IFERROR($C109*F107,"")</f>
        <v>0</v>
      </c>
      <c r="G109" s="60"/>
      <c r="H109" s="60"/>
      <c r="I109" s="60"/>
      <c r="J109" s="60">
        <f t="shared" ref="J109" ca="1" si="1573">IFERROR($C109*J107,"")</f>
        <v>0</v>
      </c>
      <c r="K109" s="60"/>
      <c r="L109" s="60"/>
      <c r="M109" s="60"/>
      <c r="N109" s="61">
        <f t="shared" ref="N109" ca="1" si="1574">IFERROR($C109*N107,"")</f>
        <v>0</v>
      </c>
      <c r="O109" s="58"/>
      <c r="P109" s="58"/>
      <c r="Q109" s="58"/>
      <c r="R109" s="58">
        <f t="shared" ref="R109" si="1575">IFERROR($C109*R107,"")</f>
        <v>0</v>
      </c>
      <c r="S109" s="58"/>
      <c r="T109" s="58"/>
      <c r="U109" s="59"/>
      <c r="V109" s="60">
        <f t="shared" ref="V109" si="1576">IFERROR($C109*V107,"")</f>
        <v>0</v>
      </c>
      <c r="W109" s="60"/>
      <c r="X109" s="60"/>
      <c r="Y109" s="60"/>
      <c r="Z109" s="60">
        <f t="shared" ref="Z109" si="1577">IFERROR($C109*Z107,"")</f>
        <v>0</v>
      </c>
      <c r="AA109" s="60"/>
      <c r="AB109" s="60"/>
      <c r="AC109" s="61"/>
      <c r="AD109" s="60">
        <f t="shared" ref="AD109" si="1578">IFERROR($C109*AD107,"")</f>
        <v>350000</v>
      </c>
      <c r="AE109" s="60"/>
      <c r="AF109" s="60"/>
      <c r="AG109" s="60"/>
      <c r="AH109" s="60">
        <f t="shared" ref="AH109" si="1579">IFERROR($C109*AH107,"")</f>
        <v>350000</v>
      </c>
      <c r="AI109" s="60"/>
      <c r="AJ109" s="60"/>
      <c r="AK109" s="60"/>
      <c r="AL109" s="60">
        <f t="shared" ref="AL109" si="1580">IFERROR($C109*AL107,"")</f>
        <v>350000</v>
      </c>
      <c r="AM109" s="60"/>
      <c r="AN109" s="60"/>
      <c r="AO109" s="61"/>
      <c r="AP109" s="58">
        <f t="shared" ref="AP109" si="1581">IFERROR($C109*AP107,"")</f>
        <v>350000</v>
      </c>
      <c r="AQ109" s="58"/>
      <c r="AR109" s="58"/>
      <c r="AS109" s="59"/>
      <c r="AT109" s="60">
        <f t="shared" ref="AT109" si="1582">IFERROR($C109*AT107,"")</f>
        <v>350000</v>
      </c>
      <c r="AU109" s="60"/>
      <c r="AV109" s="60"/>
      <c r="AW109" s="60"/>
      <c r="AX109" s="60">
        <f t="shared" ref="AX109" si="1583">IFERROR($C109*AX107,"")</f>
        <v>350000</v>
      </c>
      <c r="AY109" s="60"/>
      <c r="AZ109" s="60"/>
      <c r="BA109" s="61"/>
      <c r="BB109" s="58">
        <f t="shared" ref="BB109" si="1584">IFERROR($C109*BB107,"")</f>
        <v>350000</v>
      </c>
      <c r="BC109" s="58"/>
      <c r="BD109" s="58"/>
      <c r="BE109" s="59"/>
      <c r="BF109" s="60">
        <f t="shared" ref="BF109" si="1585">IFERROR($C109*BF107,"")</f>
        <v>350000</v>
      </c>
      <c r="BG109" s="60"/>
      <c r="BH109" s="60"/>
      <c r="BI109" s="60"/>
      <c r="BJ109" s="60">
        <f t="shared" ref="BJ109" si="1586">IFERROR($C109*BJ107,"")</f>
        <v>0</v>
      </c>
      <c r="BK109" s="60"/>
      <c r="BL109" s="60"/>
      <c r="BM109" s="61"/>
      <c r="BN109" s="58">
        <f t="shared" ref="BN109" si="1587">IFERROR($C109*BN107,"")</f>
        <v>0</v>
      </c>
      <c r="BO109" s="58"/>
      <c r="BP109" s="58"/>
      <c r="BQ109" s="59"/>
      <c r="BR109" s="60">
        <f t="shared" ref="BR109" si="1588">IFERROR($C109*BR107,"")</f>
        <v>0</v>
      </c>
      <c r="BS109" s="60"/>
      <c r="BT109" s="60"/>
      <c r="BU109" s="60"/>
      <c r="BV109" s="60">
        <f t="shared" ref="BV109" si="1589">IFERROR($C109*BV107,"")</f>
        <v>0</v>
      </c>
      <c r="BW109" s="60"/>
      <c r="BX109" s="60"/>
      <c r="BY109" s="61"/>
      <c r="BZ109" s="58">
        <f t="shared" ref="BZ109" si="1590">IFERROR($C109*BZ107,"")</f>
        <v>0</v>
      </c>
      <c r="CA109" s="58"/>
      <c r="CB109" s="58"/>
      <c r="CC109" s="59"/>
      <c r="CD109" s="60">
        <f t="shared" ref="CD109" si="1591">IFERROR($C109*CD107,"")</f>
        <v>0</v>
      </c>
      <c r="CE109" s="60"/>
      <c r="CF109" s="60"/>
      <c r="CG109" s="60"/>
      <c r="CH109" s="60">
        <f t="shared" ref="CH109" si="1592">IFERROR($C109*CH107,"")</f>
        <v>0</v>
      </c>
      <c r="CI109" s="60"/>
      <c r="CJ109" s="60"/>
      <c r="CK109" s="61"/>
      <c r="CL109" s="58">
        <f t="shared" ref="CL109" si="1593">IFERROR($C109*CL107,"")</f>
        <v>0</v>
      </c>
      <c r="CM109" s="58"/>
      <c r="CN109" s="58"/>
      <c r="CO109" s="59"/>
      <c r="CP109" s="60">
        <f t="shared" ref="CP109" si="1594">IFERROR($C109*CP107,"")</f>
        <v>0</v>
      </c>
      <c r="CQ109" s="60"/>
      <c r="CR109" s="60"/>
      <c r="CS109" s="60"/>
      <c r="CT109" s="60">
        <f t="shared" ref="CT109" si="1595">IFERROR($C109*CT107,"")</f>
        <v>0</v>
      </c>
      <c r="CU109" s="60"/>
      <c r="CV109" s="60"/>
      <c r="CW109" s="61"/>
      <c r="CX109" s="58">
        <f t="shared" ref="CX109" si="1596">IFERROR($C109*CX107,"")</f>
        <v>0</v>
      </c>
      <c r="CY109" s="58"/>
      <c r="CZ109" s="58"/>
      <c r="DA109" s="59"/>
      <c r="DB109" s="60">
        <f t="shared" ref="DB109" si="1597">IFERROR($C109*DB107,"")</f>
        <v>0</v>
      </c>
      <c r="DC109" s="60"/>
      <c r="DD109" s="60"/>
      <c r="DE109" s="60"/>
      <c r="DF109" s="60">
        <f t="shared" ref="DF109" si="1598">IFERROR($C109*DF107,"")</f>
        <v>0</v>
      </c>
      <c r="DG109" s="60"/>
      <c r="DH109" s="60"/>
      <c r="DI109" s="61"/>
      <c r="DJ109" s="58">
        <f t="shared" ref="DJ109" si="1599">IFERROR($C109*DJ107,"")</f>
        <v>0</v>
      </c>
      <c r="DK109" s="58"/>
      <c r="DL109" s="58"/>
      <c r="DM109" s="59"/>
      <c r="DN109" s="60">
        <f t="shared" ref="DN109" si="1600">IFERROR($C109*DN107,"")</f>
        <v>0</v>
      </c>
      <c r="DO109" s="60"/>
      <c r="DP109" s="60"/>
      <c r="DQ109" s="60"/>
      <c r="DR109" s="60">
        <f t="shared" ref="DR109" ca="1" si="1601">IFERROR($C109*DR107,"")</f>
        <v>0</v>
      </c>
      <c r="DS109" s="60"/>
      <c r="DT109" s="60"/>
      <c r="DU109" s="61"/>
      <c r="DV109" s="58">
        <f t="shared" ref="DV109" ca="1" si="1602">IFERROR($C109*DV107,"")</f>
        <v>0</v>
      </c>
      <c r="DW109" s="58"/>
      <c r="DX109" s="58"/>
      <c r="DY109" s="59"/>
      <c r="DZ109" s="60">
        <f t="shared" ref="DZ109" ca="1" si="1603">IFERROR($C109*DZ107,"")</f>
        <v>0</v>
      </c>
      <c r="EA109" s="60"/>
      <c r="EB109" s="60"/>
      <c r="EC109" s="60"/>
      <c r="ED109" s="60">
        <f t="shared" ref="ED109" ca="1" si="1604">IFERROR($C109*ED107,"")</f>
        <v>0</v>
      </c>
      <c r="EE109" s="60"/>
      <c r="EF109" s="60"/>
      <c r="EG109" s="61"/>
      <c r="EH109" s="58">
        <f t="shared" ref="EH109" ca="1" si="1605">IFERROR($C109*EH107,"")</f>
        <v>0</v>
      </c>
      <c r="EI109" s="58"/>
      <c r="EJ109" s="58"/>
      <c r="EK109" s="59"/>
      <c r="EL109" s="60">
        <f t="shared" ref="EL109" ca="1" si="1606">IFERROR($C109*EL107,"")</f>
        <v>0</v>
      </c>
      <c r="EM109" s="60"/>
      <c r="EN109" s="60"/>
      <c r="EO109" s="60"/>
      <c r="EP109" s="60">
        <f t="shared" ref="EP109" ca="1" si="1607">IFERROR($C109*EP107,"")</f>
        <v>0</v>
      </c>
      <c r="EQ109" s="60"/>
      <c r="ER109" s="60"/>
      <c r="ES109" s="61"/>
    </row>
    <row r="110" spans="1:149" customFormat="1" outlineLevel="1" x14ac:dyDescent="0.45">
      <c r="A110" s="2"/>
      <c r="B110" s="34" t="s">
        <v>53</v>
      </c>
      <c r="C110" s="19"/>
      <c r="D110" s="20" t="s">
        <v>13</v>
      </c>
      <c r="E110" s="21">
        <f ca="1">SUM(F110:ES110)</f>
        <v>8</v>
      </c>
      <c r="F110" s="74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G110" s="67"/>
      <c r="H110" s="67"/>
      <c r="I110" s="67"/>
      <c r="J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K110" s="67"/>
      <c r="L110" s="67"/>
      <c r="M110" s="67"/>
      <c r="N110" s="68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O110" s="70"/>
      <c r="P110" s="70"/>
      <c r="Q110" s="70"/>
      <c r="R110" s="70"/>
      <c r="S110" s="70"/>
      <c r="T110" s="70"/>
      <c r="U110" s="71"/>
      <c r="V110" s="67"/>
      <c r="W110" s="67"/>
      <c r="X110" s="67"/>
      <c r="Y110" s="67"/>
      <c r="Z110" s="67"/>
      <c r="AA110" s="67"/>
      <c r="AB110" s="67"/>
      <c r="AC110" s="68"/>
      <c r="AD110" s="67">
        <v>1</v>
      </c>
      <c r="AE110" s="67"/>
      <c r="AF110" s="67"/>
      <c r="AG110" s="67"/>
      <c r="AH110" s="67">
        <v>1</v>
      </c>
      <c r="AI110" s="67"/>
      <c r="AJ110" s="67"/>
      <c r="AK110" s="67"/>
      <c r="AL110" s="67">
        <v>1</v>
      </c>
      <c r="AM110" s="67"/>
      <c r="AN110" s="67"/>
      <c r="AO110" s="68"/>
      <c r="AP110" s="70">
        <v>1</v>
      </c>
      <c r="AQ110" s="70"/>
      <c r="AR110" s="70"/>
      <c r="AS110" s="71"/>
      <c r="AT110" s="67">
        <v>1</v>
      </c>
      <c r="AU110" s="67"/>
      <c r="AV110" s="67"/>
      <c r="AW110" s="67"/>
      <c r="AX110" s="67">
        <v>1</v>
      </c>
      <c r="AY110" s="67"/>
      <c r="AZ110" s="67"/>
      <c r="BA110" s="68"/>
      <c r="BB110" s="70">
        <v>1</v>
      </c>
      <c r="BC110" s="70"/>
      <c r="BD110" s="70"/>
      <c r="BE110" s="71"/>
      <c r="BF110" s="67">
        <v>1</v>
      </c>
      <c r="BG110" s="67"/>
      <c r="BH110" s="67"/>
      <c r="BI110" s="67"/>
      <c r="BJ110" s="67"/>
      <c r="BK110" s="67"/>
      <c r="BL110" s="67"/>
      <c r="BM110" s="68"/>
      <c r="BN110" s="70"/>
      <c r="BO110" s="70"/>
      <c r="BP110" s="70"/>
      <c r="BQ110" s="71"/>
      <c r="BR110" s="67"/>
      <c r="BS110" s="67"/>
      <c r="BT110" s="67"/>
      <c r="BU110" s="67"/>
      <c r="BV110" s="67"/>
      <c r="BW110" s="67"/>
      <c r="BX110" s="67"/>
      <c r="BY110" s="68"/>
      <c r="BZ110" s="70"/>
      <c r="CA110" s="70"/>
      <c r="CB110" s="70"/>
      <c r="CC110" s="71"/>
      <c r="CD110" s="67"/>
      <c r="CE110" s="67"/>
      <c r="CF110" s="67"/>
      <c r="CG110" s="67"/>
      <c r="CH110" s="67"/>
      <c r="CI110" s="67"/>
      <c r="CJ110" s="67"/>
      <c r="CK110" s="68"/>
      <c r="CL110" s="70"/>
      <c r="CM110" s="70"/>
      <c r="CN110" s="70"/>
      <c r="CO110" s="71"/>
      <c r="CP110" s="67"/>
      <c r="CQ110" s="67"/>
      <c r="CR110" s="67"/>
      <c r="CS110" s="67"/>
      <c r="CT110" s="67"/>
      <c r="CU110" s="67"/>
      <c r="CV110" s="67"/>
      <c r="CW110" s="68"/>
      <c r="CX110" s="70"/>
      <c r="CY110" s="70"/>
      <c r="CZ110" s="70"/>
      <c r="DA110" s="71"/>
      <c r="DB110" s="67"/>
      <c r="DC110" s="67"/>
      <c r="DD110" s="67"/>
      <c r="DE110" s="67"/>
      <c r="DF110" s="67"/>
      <c r="DG110" s="67"/>
      <c r="DH110" s="67"/>
      <c r="DI110" s="68"/>
      <c r="DJ110" s="70"/>
      <c r="DK110" s="70"/>
      <c r="DL110" s="70"/>
      <c r="DM110" s="71"/>
      <c r="DN110" s="67"/>
      <c r="DO110" s="67"/>
      <c r="DP110" s="67"/>
      <c r="DQ110" s="67"/>
      <c r="DR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S110" s="67"/>
      <c r="DT110" s="67"/>
      <c r="DU110" s="68"/>
      <c r="DV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DW110" s="70"/>
      <c r="DX110" s="70"/>
      <c r="DY110" s="71"/>
      <c r="DZ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A110" s="67"/>
      <c r="EB110" s="67"/>
      <c r="EC110" s="67"/>
      <c r="ED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E110" s="67"/>
      <c r="EF110" s="67"/>
      <c r="EG110" s="68"/>
      <c r="EH110" s="70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I110" s="70"/>
      <c r="EJ110" s="70"/>
      <c r="EK110" s="71"/>
      <c r="EL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M110" s="67"/>
      <c r="EN110" s="67"/>
      <c r="EO110" s="67"/>
      <c r="EP110" s="67">
        <f ca="1">IF(ISERROR(VLOOKUP(RIGHT(CELL("filename",$A$1),LEN(CELL("filename",$A$1))-FIND("]",CELL("filename",$A$1)))&amp;$B110,[2]要員計画!$L:$AJ,((COLUMN()-1)/4)+1,FALSE)),0,VLOOKUP(RIGHT(CELL("filename",$A$1),LEN(CELL("filename",$A$1))-FIND("]",CELL("filename",$A$1)))&amp;$B110,[2]要員計画!$L:$AJ,((COLUMN()-1)/4)+1,FALSE))</f>
        <v>0</v>
      </c>
      <c r="EQ110" s="67"/>
      <c r="ER110" s="67"/>
      <c r="ES110" s="68"/>
    </row>
    <row r="111" spans="1:149" customFormat="1" outlineLevel="1" x14ac:dyDescent="0.45">
      <c r="A111" s="2"/>
      <c r="B111" s="35"/>
      <c r="C111" s="22">
        <v>1050000</v>
      </c>
      <c r="D111" s="23" t="s">
        <v>23</v>
      </c>
      <c r="E111" s="24">
        <f ca="1">SUM(F111:CW111)</f>
        <v>8400000</v>
      </c>
      <c r="F111" s="69">
        <f ca="1">IFERROR($C111*F110,"")</f>
        <v>0</v>
      </c>
      <c r="G111" s="62"/>
      <c r="H111" s="62"/>
      <c r="I111" s="62"/>
      <c r="J111" s="62">
        <f t="shared" ref="J111" ca="1" si="1608">IFERROR($C111*J110,"")</f>
        <v>0</v>
      </c>
      <c r="K111" s="62"/>
      <c r="L111" s="62"/>
      <c r="M111" s="62"/>
      <c r="N111" s="63">
        <f t="shared" ref="N111" ca="1" si="1609">IFERROR($C111*N110,"")</f>
        <v>0</v>
      </c>
      <c r="O111" s="64"/>
      <c r="P111" s="64"/>
      <c r="Q111" s="64"/>
      <c r="R111" s="64">
        <f t="shared" ref="R111" si="1610">IFERROR($C111*R110,"")</f>
        <v>0</v>
      </c>
      <c r="S111" s="64"/>
      <c r="T111" s="64"/>
      <c r="U111" s="65"/>
      <c r="V111" s="62">
        <f t="shared" ref="V111" si="1611">IFERROR($C111*V110,"")</f>
        <v>0</v>
      </c>
      <c r="W111" s="62"/>
      <c r="X111" s="62"/>
      <c r="Y111" s="62"/>
      <c r="Z111" s="62">
        <f t="shared" ref="Z111" si="1612">IFERROR($C111*Z110,"")</f>
        <v>0</v>
      </c>
      <c r="AA111" s="62"/>
      <c r="AB111" s="62"/>
      <c r="AC111" s="63"/>
      <c r="AD111" s="62">
        <f t="shared" ref="AD111" si="1613">IFERROR($C111*AD110,"")</f>
        <v>1050000</v>
      </c>
      <c r="AE111" s="62"/>
      <c r="AF111" s="62"/>
      <c r="AG111" s="62"/>
      <c r="AH111" s="62">
        <f t="shared" ref="AH111" si="1614">IFERROR($C111*AH110,"")</f>
        <v>1050000</v>
      </c>
      <c r="AI111" s="62"/>
      <c r="AJ111" s="62"/>
      <c r="AK111" s="62"/>
      <c r="AL111" s="62">
        <f t="shared" ref="AL111" si="1615">IFERROR($C111*AL110,"")</f>
        <v>1050000</v>
      </c>
      <c r="AM111" s="62"/>
      <c r="AN111" s="62"/>
      <c r="AO111" s="63"/>
      <c r="AP111" s="64">
        <f t="shared" ref="AP111" si="1616">IFERROR($C111*AP110,"")</f>
        <v>1050000</v>
      </c>
      <c r="AQ111" s="64"/>
      <c r="AR111" s="64"/>
      <c r="AS111" s="65"/>
      <c r="AT111" s="62">
        <f t="shared" ref="AT111" si="1617">IFERROR($C111*AT110,"")</f>
        <v>1050000</v>
      </c>
      <c r="AU111" s="62"/>
      <c r="AV111" s="62"/>
      <c r="AW111" s="62"/>
      <c r="AX111" s="62">
        <f t="shared" ref="AX111" si="1618">IFERROR($C111*AX110,"")</f>
        <v>1050000</v>
      </c>
      <c r="AY111" s="62"/>
      <c r="AZ111" s="62"/>
      <c r="BA111" s="63"/>
      <c r="BB111" s="64">
        <f t="shared" ref="BB111" si="1619">IFERROR($C111*BB110,"")</f>
        <v>1050000</v>
      </c>
      <c r="BC111" s="64"/>
      <c r="BD111" s="64"/>
      <c r="BE111" s="65"/>
      <c r="BF111" s="62">
        <f t="shared" ref="BF111" si="1620">IFERROR($C111*BF110,"")</f>
        <v>1050000</v>
      </c>
      <c r="BG111" s="62"/>
      <c r="BH111" s="62"/>
      <c r="BI111" s="62"/>
      <c r="BJ111" s="62">
        <f t="shared" ref="BJ111" si="1621">IFERROR($C111*BJ110,"")</f>
        <v>0</v>
      </c>
      <c r="BK111" s="62"/>
      <c r="BL111" s="62"/>
      <c r="BM111" s="63"/>
      <c r="BN111" s="64">
        <f t="shared" ref="BN111" si="1622">IFERROR($C111*BN110,"")</f>
        <v>0</v>
      </c>
      <c r="BO111" s="64"/>
      <c r="BP111" s="64"/>
      <c r="BQ111" s="65"/>
      <c r="BR111" s="62">
        <f t="shared" ref="BR111" si="1623">IFERROR($C111*BR110,"")</f>
        <v>0</v>
      </c>
      <c r="BS111" s="62"/>
      <c r="BT111" s="62"/>
      <c r="BU111" s="62"/>
      <c r="BV111" s="62">
        <f t="shared" ref="BV111" si="1624">IFERROR($C111*BV110,"")</f>
        <v>0</v>
      </c>
      <c r="BW111" s="62"/>
      <c r="BX111" s="62"/>
      <c r="BY111" s="63"/>
      <c r="BZ111" s="64">
        <f t="shared" ref="BZ111" si="1625">IFERROR($C111*BZ110,"")</f>
        <v>0</v>
      </c>
      <c r="CA111" s="64"/>
      <c r="CB111" s="64"/>
      <c r="CC111" s="65"/>
      <c r="CD111" s="62">
        <f t="shared" ref="CD111" si="1626">IFERROR($C111*CD110,"")</f>
        <v>0</v>
      </c>
      <c r="CE111" s="62"/>
      <c r="CF111" s="62"/>
      <c r="CG111" s="62"/>
      <c r="CH111" s="62">
        <f t="shared" ref="CH111" si="1627">IFERROR($C111*CH110,"")</f>
        <v>0</v>
      </c>
      <c r="CI111" s="62"/>
      <c r="CJ111" s="62"/>
      <c r="CK111" s="63"/>
      <c r="CL111" s="64">
        <f t="shared" ref="CL111" si="1628">IFERROR($C111*CL110,"")</f>
        <v>0</v>
      </c>
      <c r="CM111" s="64"/>
      <c r="CN111" s="64"/>
      <c r="CO111" s="65"/>
      <c r="CP111" s="62">
        <f t="shared" ref="CP111" si="1629">IFERROR($C111*CP110,"")</f>
        <v>0</v>
      </c>
      <c r="CQ111" s="62"/>
      <c r="CR111" s="62"/>
      <c r="CS111" s="62"/>
      <c r="CT111" s="62">
        <f t="shared" ref="CT111" si="1630">IFERROR($C111*CT110,"")</f>
        <v>0</v>
      </c>
      <c r="CU111" s="62"/>
      <c r="CV111" s="62"/>
      <c r="CW111" s="63"/>
      <c r="CX111" s="64">
        <f t="shared" ref="CX111" si="1631">IFERROR($C111*CX110,"")</f>
        <v>0</v>
      </c>
      <c r="CY111" s="64"/>
      <c r="CZ111" s="64"/>
      <c r="DA111" s="65"/>
      <c r="DB111" s="62">
        <f t="shared" ref="DB111" si="1632">IFERROR($C111*DB110,"")</f>
        <v>0</v>
      </c>
      <c r="DC111" s="62"/>
      <c r="DD111" s="62"/>
      <c r="DE111" s="62"/>
      <c r="DF111" s="62">
        <f t="shared" ref="DF111" si="1633">IFERROR($C111*DF110,"")</f>
        <v>0</v>
      </c>
      <c r="DG111" s="62"/>
      <c r="DH111" s="62"/>
      <c r="DI111" s="63"/>
      <c r="DJ111" s="64">
        <f t="shared" ref="DJ111" si="1634">IFERROR($C111*DJ110,"")</f>
        <v>0</v>
      </c>
      <c r="DK111" s="64"/>
      <c r="DL111" s="64"/>
      <c r="DM111" s="65"/>
      <c r="DN111" s="62">
        <f t="shared" ref="DN111" si="1635">IFERROR($C111*DN110,"")</f>
        <v>0</v>
      </c>
      <c r="DO111" s="62"/>
      <c r="DP111" s="62"/>
      <c r="DQ111" s="62"/>
      <c r="DR111" s="62">
        <f t="shared" ref="DR111" ca="1" si="1636">IFERROR($C111*DR110,"")</f>
        <v>0</v>
      </c>
      <c r="DS111" s="62"/>
      <c r="DT111" s="62"/>
      <c r="DU111" s="63"/>
      <c r="DV111" s="64">
        <f t="shared" ref="DV111" ca="1" si="1637">IFERROR($C111*DV110,"")</f>
        <v>0</v>
      </c>
      <c r="DW111" s="64"/>
      <c r="DX111" s="64"/>
      <c r="DY111" s="65"/>
      <c r="DZ111" s="62">
        <f t="shared" ref="DZ111" ca="1" si="1638">IFERROR($C111*DZ110,"")</f>
        <v>0</v>
      </c>
      <c r="EA111" s="62"/>
      <c r="EB111" s="62"/>
      <c r="EC111" s="62"/>
      <c r="ED111" s="62">
        <f t="shared" ref="ED111" ca="1" si="1639">IFERROR($C111*ED110,"")</f>
        <v>0</v>
      </c>
      <c r="EE111" s="62"/>
      <c r="EF111" s="62"/>
      <c r="EG111" s="63"/>
      <c r="EH111" s="64">
        <f t="shared" ref="EH111" ca="1" si="1640">IFERROR($C111*EH110,"")</f>
        <v>0</v>
      </c>
      <c r="EI111" s="64"/>
      <c r="EJ111" s="64"/>
      <c r="EK111" s="65"/>
      <c r="EL111" s="62">
        <f t="shared" ref="EL111" ca="1" si="1641">IFERROR($C111*EL110,"")</f>
        <v>0</v>
      </c>
      <c r="EM111" s="62"/>
      <c r="EN111" s="62"/>
      <c r="EO111" s="62"/>
      <c r="EP111" s="62">
        <f t="shared" ref="EP111" ca="1" si="1642">IFERROR($C111*EP110,"")</f>
        <v>0</v>
      </c>
      <c r="EQ111" s="62"/>
      <c r="ER111" s="62"/>
      <c r="ES111" s="63"/>
    </row>
    <row r="112" spans="1:149" customFormat="1" outlineLevel="1" x14ac:dyDescent="0.45">
      <c r="A112" s="2"/>
      <c r="B112" s="36"/>
      <c r="C112" s="25">
        <v>350000</v>
      </c>
      <c r="D112" s="26" t="s">
        <v>3</v>
      </c>
      <c r="E112" s="27">
        <f ca="1">SUM(F112:CW112)</f>
        <v>2800000</v>
      </c>
      <c r="F112" s="66">
        <f ca="1">IFERROR($C112*F110,"")</f>
        <v>0</v>
      </c>
      <c r="G112" s="60"/>
      <c r="H112" s="60"/>
      <c r="I112" s="60"/>
      <c r="J112" s="60">
        <f t="shared" ref="J112" ca="1" si="1643">IFERROR($C112*J110,"")</f>
        <v>0</v>
      </c>
      <c r="K112" s="60"/>
      <c r="L112" s="60"/>
      <c r="M112" s="60"/>
      <c r="N112" s="61">
        <f t="shared" ref="N112" ca="1" si="1644">IFERROR($C112*N110,"")</f>
        <v>0</v>
      </c>
      <c r="O112" s="58"/>
      <c r="P112" s="58"/>
      <c r="Q112" s="58"/>
      <c r="R112" s="58">
        <f t="shared" ref="R112" si="1645">IFERROR($C112*R110,"")</f>
        <v>0</v>
      </c>
      <c r="S112" s="58"/>
      <c r="T112" s="58"/>
      <c r="U112" s="59"/>
      <c r="V112" s="60">
        <f t="shared" ref="V112" si="1646">IFERROR($C112*V110,"")</f>
        <v>0</v>
      </c>
      <c r="W112" s="60"/>
      <c r="X112" s="60"/>
      <c r="Y112" s="60"/>
      <c r="Z112" s="60">
        <f t="shared" ref="Z112" si="1647">IFERROR($C112*Z110,"")</f>
        <v>0</v>
      </c>
      <c r="AA112" s="60"/>
      <c r="AB112" s="60"/>
      <c r="AC112" s="61"/>
      <c r="AD112" s="60">
        <f t="shared" ref="AD112" si="1648">IFERROR($C112*AD110,"")</f>
        <v>350000</v>
      </c>
      <c r="AE112" s="60"/>
      <c r="AF112" s="60"/>
      <c r="AG112" s="60"/>
      <c r="AH112" s="60">
        <f t="shared" ref="AH112" si="1649">IFERROR($C112*AH110,"")</f>
        <v>350000</v>
      </c>
      <c r="AI112" s="60"/>
      <c r="AJ112" s="60"/>
      <c r="AK112" s="60"/>
      <c r="AL112" s="60">
        <f t="shared" ref="AL112" si="1650">IFERROR($C112*AL110,"")</f>
        <v>350000</v>
      </c>
      <c r="AM112" s="60"/>
      <c r="AN112" s="60"/>
      <c r="AO112" s="61"/>
      <c r="AP112" s="58">
        <f t="shared" ref="AP112" si="1651">IFERROR($C112*AP110,"")</f>
        <v>350000</v>
      </c>
      <c r="AQ112" s="58"/>
      <c r="AR112" s="58"/>
      <c r="AS112" s="59"/>
      <c r="AT112" s="60">
        <f t="shared" ref="AT112" si="1652">IFERROR($C112*AT110,"")</f>
        <v>350000</v>
      </c>
      <c r="AU112" s="60"/>
      <c r="AV112" s="60"/>
      <c r="AW112" s="60"/>
      <c r="AX112" s="60">
        <f t="shared" ref="AX112" si="1653">IFERROR($C112*AX110,"")</f>
        <v>350000</v>
      </c>
      <c r="AY112" s="60"/>
      <c r="AZ112" s="60"/>
      <c r="BA112" s="61"/>
      <c r="BB112" s="58">
        <f t="shared" ref="BB112" si="1654">IFERROR($C112*BB110,"")</f>
        <v>350000</v>
      </c>
      <c r="BC112" s="58"/>
      <c r="BD112" s="58"/>
      <c r="BE112" s="59"/>
      <c r="BF112" s="60">
        <f t="shared" ref="BF112" si="1655">IFERROR($C112*BF110,"")</f>
        <v>350000</v>
      </c>
      <c r="BG112" s="60"/>
      <c r="BH112" s="60"/>
      <c r="BI112" s="60"/>
      <c r="BJ112" s="60">
        <f t="shared" ref="BJ112" si="1656">IFERROR($C112*BJ110,"")</f>
        <v>0</v>
      </c>
      <c r="BK112" s="60"/>
      <c r="BL112" s="60"/>
      <c r="BM112" s="61"/>
      <c r="BN112" s="58">
        <f t="shared" ref="BN112" si="1657">IFERROR($C112*BN110,"")</f>
        <v>0</v>
      </c>
      <c r="BO112" s="58"/>
      <c r="BP112" s="58"/>
      <c r="BQ112" s="59"/>
      <c r="BR112" s="60">
        <f t="shared" ref="BR112" si="1658">IFERROR($C112*BR110,"")</f>
        <v>0</v>
      </c>
      <c r="BS112" s="60"/>
      <c r="BT112" s="60"/>
      <c r="BU112" s="60"/>
      <c r="BV112" s="60">
        <f t="shared" ref="BV112" si="1659">IFERROR($C112*BV110,"")</f>
        <v>0</v>
      </c>
      <c r="BW112" s="60"/>
      <c r="BX112" s="60"/>
      <c r="BY112" s="61"/>
      <c r="BZ112" s="58">
        <f t="shared" ref="BZ112" si="1660">IFERROR($C112*BZ110,"")</f>
        <v>0</v>
      </c>
      <c r="CA112" s="58"/>
      <c r="CB112" s="58"/>
      <c r="CC112" s="59"/>
      <c r="CD112" s="60">
        <f t="shared" ref="CD112" si="1661">IFERROR($C112*CD110,"")</f>
        <v>0</v>
      </c>
      <c r="CE112" s="60"/>
      <c r="CF112" s="60"/>
      <c r="CG112" s="60"/>
      <c r="CH112" s="60">
        <f t="shared" ref="CH112" si="1662">IFERROR($C112*CH110,"")</f>
        <v>0</v>
      </c>
      <c r="CI112" s="60"/>
      <c r="CJ112" s="60"/>
      <c r="CK112" s="61"/>
      <c r="CL112" s="58">
        <f t="shared" ref="CL112" si="1663">IFERROR($C112*CL110,"")</f>
        <v>0</v>
      </c>
      <c r="CM112" s="58"/>
      <c r="CN112" s="58"/>
      <c r="CO112" s="59"/>
      <c r="CP112" s="60">
        <f t="shared" ref="CP112" si="1664">IFERROR($C112*CP110,"")</f>
        <v>0</v>
      </c>
      <c r="CQ112" s="60"/>
      <c r="CR112" s="60"/>
      <c r="CS112" s="60"/>
      <c r="CT112" s="60">
        <f t="shared" ref="CT112" si="1665">IFERROR($C112*CT110,"")</f>
        <v>0</v>
      </c>
      <c r="CU112" s="60"/>
      <c r="CV112" s="60"/>
      <c r="CW112" s="61"/>
      <c r="CX112" s="58">
        <f t="shared" ref="CX112" si="1666">IFERROR($C112*CX110,"")</f>
        <v>0</v>
      </c>
      <c r="CY112" s="58"/>
      <c r="CZ112" s="58"/>
      <c r="DA112" s="59"/>
      <c r="DB112" s="60">
        <f t="shared" ref="DB112" si="1667">IFERROR($C112*DB110,"")</f>
        <v>0</v>
      </c>
      <c r="DC112" s="60"/>
      <c r="DD112" s="60"/>
      <c r="DE112" s="60"/>
      <c r="DF112" s="60">
        <f t="shared" ref="DF112" si="1668">IFERROR($C112*DF110,"")</f>
        <v>0</v>
      </c>
      <c r="DG112" s="60"/>
      <c r="DH112" s="60"/>
      <c r="DI112" s="61"/>
      <c r="DJ112" s="58">
        <f t="shared" ref="DJ112" si="1669">IFERROR($C112*DJ110,"")</f>
        <v>0</v>
      </c>
      <c r="DK112" s="58"/>
      <c r="DL112" s="58"/>
      <c r="DM112" s="59"/>
      <c r="DN112" s="60">
        <f t="shared" ref="DN112" si="1670">IFERROR($C112*DN110,"")</f>
        <v>0</v>
      </c>
      <c r="DO112" s="60"/>
      <c r="DP112" s="60"/>
      <c r="DQ112" s="60"/>
      <c r="DR112" s="60">
        <f t="shared" ref="DR112" ca="1" si="1671">IFERROR($C112*DR110,"")</f>
        <v>0</v>
      </c>
      <c r="DS112" s="60"/>
      <c r="DT112" s="60"/>
      <c r="DU112" s="61"/>
      <c r="DV112" s="58">
        <f t="shared" ref="DV112" ca="1" si="1672">IFERROR($C112*DV110,"")</f>
        <v>0</v>
      </c>
      <c r="DW112" s="58"/>
      <c r="DX112" s="58"/>
      <c r="DY112" s="59"/>
      <c r="DZ112" s="60">
        <f t="shared" ref="DZ112" ca="1" si="1673">IFERROR($C112*DZ110,"")</f>
        <v>0</v>
      </c>
      <c r="EA112" s="60"/>
      <c r="EB112" s="60"/>
      <c r="EC112" s="60"/>
      <c r="ED112" s="60">
        <f t="shared" ref="ED112" ca="1" si="1674">IFERROR($C112*ED110,"")</f>
        <v>0</v>
      </c>
      <c r="EE112" s="60"/>
      <c r="EF112" s="60"/>
      <c r="EG112" s="61"/>
      <c r="EH112" s="58">
        <f t="shared" ref="EH112" ca="1" si="1675">IFERROR($C112*EH110,"")</f>
        <v>0</v>
      </c>
      <c r="EI112" s="58"/>
      <c r="EJ112" s="58"/>
      <c r="EK112" s="59"/>
      <c r="EL112" s="60">
        <f t="shared" ref="EL112" ca="1" si="1676">IFERROR($C112*EL110,"")</f>
        <v>0</v>
      </c>
      <c r="EM112" s="60"/>
      <c r="EN112" s="60"/>
      <c r="EO112" s="60"/>
      <c r="EP112" s="60">
        <f t="shared" ref="EP112" ca="1" si="1677">IFERROR($C112*EP110,"")</f>
        <v>0</v>
      </c>
      <c r="EQ112" s="60"/>
      <c r="ER112" s="60"/>
      <c r="ES112" s="61"/>
    </row>
    <row r="113" spans="1:149" customFormat="1" outlineLevel="1" x14ac:dyDescent="0.45">
      <c r="A113" s="2"/>
      <c r="B113" s="34" t="s">
        <v>54</v>
      </c>
      <c r="C113" s="19"/>
      <c r="D113" s="20" t="s">
        <v>13</v>
      </c>
      <c r="E113" s="21">
        <f ca="1">SUM(F113:ES113)</f>
        <v>8</v>
      </c>
      <c r="F113" s="74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G113" s="67"/>
      <c r="H113" s="67"/>
      <c r="I113" s="67"/>
      <c r="J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K113" s="67"/>
      <c r="L113" s="67"/>
      <c r="M113" s="67"/>
      <c r="N113" s="68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O113" s="70"/>
      <c r="P113" s="70"/>
      <c r="Q113" s="70"/>
      <c r="R113" s="70"/>
      <c r="S113" s="70"/>
      <c r="T113" s="70"/>
      <c r="U113" s="71"/>
      <c r="V113" s="67"/>
      <c r="W113" s="67"/>
      <c r="X113" s="67"/>
      <c r="Y113" s="67"/>
      <c r="Z113" s="67"/>
      <c r="AA113" s="67"/>
      <c r="AB113" s="67"/>
      <c r="AC113" s="68"/>
      <c r="AD113" s="67">
        <v>1</v>
      </c>
      <c r="AE113" s="67"/>
      <c r="AF113" s="67"/>
      <c r="AG113" s="67"/>
      <c r="AH113" s="67">
        <v>1</v>
      </c>
      <c r="AI113" s="67"/>
      <c r="AJ113" s="67"/>
      <c r="AK113" s="67"/>
      <c r="AL113" s="67">
        <v>1</v>
      </c>
      <c r="AM113" s="67"/>
      <c r="AN113" s="67"/>
      <c r="AO113" s="68"/>
      <c r="AP113" s="70">
        <v>1</v>
      </c>
      <c r="AQ113" s="70"/>
      <c r="AR113" s="70"/>
      <c r="AS113" s="71"/>
      <c r="AT113" s="67">
        <v>1</v>
      </c>
      <c r="AU113" s="67"/>
      <c r="AV113" s="67"/>
      <c r="AW113" s="67"/>
      <c r="AX113" s="67">
        <v>1</v>
      </c>
      <c r="AY113" s="67"/>
      <c r="AZ113" s="67"/>
      <c r="BA113" s="68"/>
      <c r="BB113" s="70">
        <v>1</v>
      </c>
      <c r="BC113" s="70"/>
      <c r="BD113" s="70"/>
      <c r="BE113" s="71"/>
      <c r="BF113" s="67">
        <v>1</v>
      </c>
      <c r="BG113" s="67"/>
      <c r="BH113" s="67"/>
      <c r="BI113" s="67"/>
      <c r="BJ113" s="67"/>
      <c r="BK113" s="67"/>
      <c r="BL113" s="67"/>
      <c r="BM113" s="68"/>
      <c r="BN113" s="70"/>
      <c r="BO113" s="70"/>
      <c r="BP113" s="70"/>
      <c r="BQ113" s="71"/>
      <c r="BR113" s="67"/>
      <c r="BS113" s="67"/>
      <c r="BT113" s="67"/>
      <c r="BU113" s="67"/>
      <c r="BV113" s="67"/>
      <c r="BW113" s="67"/>
      <c r="BX113" s="67"/>
      <c r="BY113" s="68"/>
      <c r="BZ113" s="70"/>
      <c r="CA113" s="70"/>
      <c r="CB113" s="70"/>
      <c r="CC113" s="71"/>
      <c r="CD113" s="67"/>
      <c r="CE113" s="67"/>
      <c r="CF113" s="67"/>
      <c r="CG113" s="67"/>
      <c r="CH113" s="67"/>
      <c r="CI113" s="67"/>
      <c r="CJ113" s="67"/>
      <c r="CK113" s="68"/>
      <c r="CL113" s="70"/>
      <c r="CM113" s="70"/>
      <c r="CN113" s="70"/>
      <c r="CO113" s="71"/>
      <c r="CP113" s="67"/>
      <c r="CQ113" s="67"/>
      <c r="CR113" s="67"/>
      <c r="CS113" s="67"/>
      <c r="CT113" s="67"/>
      <c r="CU113" s="67"/>
      <c r="CV113" s="67"/>
      <c r="CW113" s="68"/>
      <c r="CX113" s="70"/>
      <c r="CY113" s="70"/>
      <c r="CZ113" s="70"/>
      <c r="DA113" s="71"/>
      <c r="DB113" s="67"/>
      <c r="DC113" s="67"/>
      <c r="DD113" s="67"/>
      <c r="DE113" s="67"/>
      <c r="DF113" s="67"/>
      <c r="DG113" s="67"/>
      <c r="DH113" s="67"/>
      <c r="DI113" s="68"/>
      <c r="DJ113" s="70"/>
      <c r="DK113" s="70"/>
      <c r="DL113" s="70"/>
      <c r="DM113" s="71"/>
      <c r="DN113" s="67"/>
      <c r="DO113" s="67"/>
      <c r="DP113" s="67"/>
      <c r="DQ113" s="67"/>
      <c r="DR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S113" s="67"/>
      <c r="DT113" s="67"/>
      <c r="DU113" s="68"/>
      <c r="DV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DW113" s="70"/>
      <c r="DX113" s="70"/>
      <c r="DY113" s="71"/>
      <c r="DZ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A113" s="67"/>
      <c r="EB113" s="67"/>
      <c r="EC113" s="67"/>
      <c r="ED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E113" s="67"/>
      <c r="EF113" s="67"/>
      <c r="EG113" s="68"/>
      <c r="EH113" s="70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I113" s="70"/>
      <c r="EJ113" s="70"/>
      <c r="EK113" s="71"/>
      <c r="EL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M113" s="67"/>
      <c r="EN113" s="67"/>
      <c r="EO113" s="67"/>
      <c r="EP113" s="67">
        <f ca="1">IF(ISERROR(VLOOKUP(RIGHT(CELL("filename",$A$1),LEN(CELL("filename",$A$1))-FIND("]",CELL("filename",$A$1)))&amp;$B113,[2]要員計画!$L:$AJ,((COLUMN()-1)/4)+1,FALSE)),0,VLOOKUP(RIGHT(CELL("filename",$A$1),LEN(CELL("filename",$A$1))-FIND("]",CELL("filename",$A$1)))&amp;$B113,[2]要員計画!$L:$AJ,((COLUMN()-1)/4)+1,FALSE))</f>
        <v>0</v>
      </c>
      <c r="EQ113" s="67"/>
      <c r="ER113" s="67"/>
      <c r="ES113" s="68"/>
    </row>
    <row r="114" spans="1:149" customFormat="1" outlineLevel="1" x14ac:dyDescent="0.45">
      <c r="A114" s="2"/>
      <c r="B114" s="35"/>
      <c r="C114" s="22">
        <v>1050000</v>
      </c>
      <c r="D114" s="23" t="s">
        <v>23</v>
      </c>
      <c r="E114" s="24">
        <f ca="1">SUM(F114:CW114)</f>
        <v>8400000</v>
      </c>
      <c r="F114" s="69">
        <f ca="1">IFERROR($C114*F113,"")</f>
        <v>0</v>
      </c>
      <c r="G114" s="62"/>
      <c r="H114" s="62"/>
      <c r="I114" s="62"/>
      <c r="J114" s="62">
        <f t="shared" ref="J114" ca="1" si="1678">IFERROR($C114*J113,"")</f>
        <v>0</v>
      </c>
      <c r="K114" s="62"/>
      <c r="L114" s="62"/>
      <c r="M114" s="62"/>
      <c r="N114" s="63">
        <f t="shared" ref="N114" ca="1" si="1679">IFERROR($C114*N113,"")</f>
        <v>0</v>
      </c>
      <c r="O114" s="64"/>
      <c r="P114" s="64"/>
      <c r="Q114" s="64"/>
      <c r="R114" s="64">
        <f t="shared" ref="R114" si="1680">IFERROR($C114*R113,"")</f>
        <v>0</v>
      </c>
      <c r="S114" s="64"/>
      <c r="T114" s="64"/>
      <c r="U114" s="65"/>
      <c r="V114" s="62">
        <f t="shared" ref="V114" si="1681">IFERROR($C114*V113,"")</f>
        <v>0</v>
      </c>
      <c r="W114" s="62"/>
      <c r="X114" s="62"/>
      <c r="Y114" s="62"/>
      <c r="Z114" s="62">
        <f t="shared" ref="Z114" si="1682">IFERROR($C114*Z113,"")</f>
        <v>0</v>
      </c>
      <c r="AA114" s="62"/>
      <c r="AB114" s="62"/>
      <c r="AC114" s="63"/>
      <c r="AD114" s="62">
        <f t="shared" ref="AD114" si="1683">IFERROR($C114*AD113,"")</f>
        <v>1050000</v>
      </c>
      <c r="AE114" s="62"/>
      <c r="AF114" s="62"/>
      <c r="AG114" s="62"/>
      <c r="AH114" s="62">
        <f t="shared" ref="AH114" si="1684">IFERROR($C114*AH113,"")</f>
        <v>1050000</v>
      </c>
      <c r="AI114" s="62"/>
      <c r="AJ114" s="62"/>
      <c r="AK114" s="62"/>
      <c r="AL114" s="62">
        <f t="shared" ref="AL114" si="1685">IFERROR($C114*AL113,"")</f>
        <v>1050000</v>
      </c>
      <c r="AM114" s="62"/>
      <c r="AN114" s="62"/>
      <c r="AO114" s="63"/>
      <c r="AP114" s="64">
        <f t="shared" ref="AP114" si="1686">IFERROR($C114*AP113,"")</f>
        <v>1050000</v>
      </c>
      <c r="AQ114" s="64"/>
      <c r="AR114" s="64"/>
      <c r="AS114" s="65"/>
      <c r="AT114" s="62">
        <f t="shared" ref="AT114" si="1687">IFERROR($C114*AT113,"")</f>
        <v>1050000</v>
      </c>
      <c r="AU114" s="62"/>
      <c r="AV114" s="62"/>
      <c r="AW114" s="62"/>
      <c r="AX114" s="62">
        <f t="shared" ref="AX114" si="1688">IFERROR($C114*AX113,"")</f>
        <v>1050000</v>
      </c>
      <c r="AY114" s="62"/>
      <c r="AZ114" s="62"/>
      <c r="BA114" s="63"/>
      <c r="BB114" s="64">
        <f t="shared" ref="BB114" si="1689">IFERROR($C114*BB113,"")</f>
        <v>1050000</v>
      </c>
      <c r="BC114" s="64"/>
      <c r="BD114" s="64"/>
      <c r="BE114" s="65"/>
      <c r="BF114" s="62">
        <f t="shared" ref="BF114" si="1690">IFERROR($C114*BF113,"")</f>
        <v>1050000</v>
      </c>
      <c r="BG114" s="62"/>
      <c r="BH114" s="62"/>
      <c r="BI114" s="62"/>
      <c r="BJ114" s="62">
        <f t="shared" ref="BJ114" si="1691">IFERROR($C114*BJ113,"")</f>
        <v>0</v>
      </c>
      <c r="BK114" s="62"/>
      <c r="BL114" s="62"/>
      <c r="BM114" s="63"/>
      <c r="BN114" s="64">
        <f t="shared" ref="BN114" si="1692">IFERROR($C114*BN113,"")</f>
        <v>0</v>
      </c>
      <c r="BO114" s="64"/>
      <c r="BP114" s="64"/>
      <c r="BQ114" s="65"/>
      <c r="BR114" s="62">
        <f t="shared" ref="BR114" si="1693">IFERROR($C114*BR113,"")</f>
        <v>0</v>
      </c>
      <c r="BS114" s="62"/>
      <c r="BT114" s="62"/>
      <c r="BU114" s="62"/>
      <c r="BV114" s="62">
        <f t="shared" ref="BV114" si="1694">IFERROR($C114*BV113,"")</f>
        <v>0</v>
      </c>
      <c r="BW114" s="62"/>
      <c r="BX114" s="62"/>
      <c r="BY114" s="63"/>
      <c r="BZ114" s="64">
        <f t="shared" ref="BZ114" si="1695">IFERROR($C114*BZ113,"")</f>
        <v>0</v>
      </c>
      <c r="CA114" s="64"/>
      <c r="CB114" s="64"/>
      <c r="CC114" s="65"/>
      <c r="CD114" s="62">
        <f t="shared" ref="CD114" si="1696">IFERROR($C114*CD113,"")</f>
        <v>0</v>
      </c>
      <c r="CE114" s="62"/>
      <c r="CF114" s="62"/>
      <c r="CG114" s="62"/>
      <c r="CH114" s="62">
        <f t="shared" ref="CH114" si="1697">IFERROR($C114*CH113,"")</f>
        <v>0</v>
      </c>
      <c r="CI114" s="62"/>
      <c r="CJ114" s="62"/>
      <c r="CK114" s="63"/>
      <c r="CL114" s="64">
        <f t="shared" ref="CL114" si="1698">IFERROR($C114*CL113,"")</f>
        <v>0</v>
      </c>
      <c r="CM114" s="64"/>
      <c r="CN114" s="64"/>
      <c r="CO114" s="65"/>
      <c r="CP114" s="62">
        <f t="shared" ref="CP114" si="1699">IFERROR($C114*CP113,"")</f>
        <v>0</v>
      </c>
      <c r="CQ114" s="62"/>
      <c r="CR114" s="62"/>
      <c r="CS114" s="62"/>
      <c r="CT114" s="62">
        <f t="shared" ref="CT114" si="1700">IFERROR($C114*CT113,"")</f>
        <v>0</v>
      </c>
      <c r="CU114" s="62"/>
      <c r="CV114" s="62"/>
      <c r="CW114" s="63"/>
      <c r="CX114" s="64">
        <f t="shared" ref="CX114" si="1701">IFERROR($C114*CX113,"")</f>
        <v>0</v>
      </c>
      <c r="CY114" s="64"/>
      <c r="CZ114" s="64"/>
      <c r="DA114" s="65"/>
      <c r="DB114" s="62">
        <f t="shared" ref="DB114" si="1702">IFERROR($C114*DB113,"")</f>
        <v>0</v>
      </c>
      <c r="DC114" s="62"/>
      <c r="DD114" s="62"/>
      <c r="DE114" s="62"/>
      <c r="DF114" s="62">
        <f t="shared" ref="DF114" si="1703">IFERROR($C114*DF113,"")</f>
        <v>0</v>
      </c>
      <c r="DG114" s="62"/>
      <c r="DH114" s="62"/>
      <c r="DI114" s="63"/>
      <c r="DJ114" s="64">
        <f t="shared" ref="DJ114" si="1704">IFERROR($C114*DJ113,"")</f>
        <v>0</v>
      </c>
      <c r="DK114" s="64"/>
      <c r="DL114" s="64"/>
      <c r="DM114" s="65"/>
      <c r="DN114" s="62">
        <f t="shared" ref="DN114" si="1705">IFERROR($C114*DN113,"")</f>
        <v>0</v>
      </c>
      <c r="DO114" s="62"/>
      <c r="DP114" s="62"/>
      <c r="DQ114" s="62"/>
      <c r="DR114" s="62">
        <f t="shared" ref="DR114" ca="1" si="1706">IFERROR($C114*DR113,"")</f>
        <v>0</v>
      </c>
      <c r="DS114" s="62"/>
      <c r="DT114" s="62"/>
      <c r="DU114" s="63"/>
      <c r="DV114" s="64">
        <f t="shared" ref="DV114" ca="1" si="1707">IFERROR($C114*DV113,"")</f>
        <v>0</v>
      </c>
      <c r="DW114" s="64"/>
      <c r="DX114" s="64"/>
      <c r="DY114" s="65"/>
      <c r="DZ114" s="62">
        <f t="shared" ref="DZ114" ca="1" si="1708">IFERROR($C114*DZ113,"")</f>
        <v>0</v>
      </c>
      <c r="EA114" s="62"/>
      <c r="EB114" s="62"/>
      <c r="EC114" s="62"/>
      <c r="ED114" s="62">
        <f t="shared" ref="ED114" ca="1" si="1709">IFERROR($C114*ED113,"")</f>
        <v>0</v>
      </c>
      <c r="EE114" s="62"/>
      <c r="EF114" s="62"/>
      <c r="EG114" s="63"/>
      <c r="EH114" s="64">
        <f t="shared" ref="EH114" ca="1" si="1710">IFERROR($C114*EH113,"")</f>
        <v>0</v>
      </c>
      <c r="EI114" s="64"/>
      <c r="EJ114" s="64"/>
      <c r="EK114" s="65"/>
      <c r="EL114" s="62">
        <f t="shared" ref="EL114" ca="1" si="1711">IFERROR($C114*EL113,"")</f>
        <v>0</v>
      </c>
      <c r="EM114" s="62"/>
      <c r="EN114" s="62"/>
      <c r="EO114" s="62"/>
      <c r="EP114" s="62">
        <f t="shared" ref="EP114" ca="1" si="1712">IFERROR($C114*EP113,"")</f>
        <v>0</v>
      </c>
      <c r="EQ114" s="62"/>
      <c r="ER114" s="62"/>
      <c r="ES114" s="63"/>
    </row>
    <row r="115" spans="1:149" customFormat="1" outlineLevel="1" x14ac:dyDescent="0.45">
      <c r="A115" s="2"/>
      <c r="B115" s="36"/>
      <c r="C115" s="25">
        <v>350000</v>
      </c>
      <c r="D115" s="26" t="s">
        <v>3</v>
      </c>
      <c r="E115" s="27">
        <f ca="1">SUM(F115:CW115)</f>
        <v>2800000</v>
      </c>
      <c r="F115" s="66">
        <f ca="1">IFERROR($C115*F113,"")</f>
        <v>0</v>
      </c>
      <c r="G115" s="60"/>
      <c r="H115" s="60"/>
      <c r="I115" s="60"/>
      <c r="J115" s="60">
        <f t="shared" ref="J115" ca="1" si="1713">IFERROR($C115*J113,"")</f>
        <v>0</v>
      </c>
      <c r="K115" s="60"/>
      <c r="L115" s="60"/>
      <c r="M115" s="60"/>
      <c r="N115" s="61">
        <f t="shared" ref="N115" ca="1" si="1714">IFERROR($C115*N113,"")</f>
        <v>0</v>
      </c>
      <c r="O115" s="58"/>
      <c r="P115" s="58"/>
      <c r="Q115" s="58"/>
      <c r="R115" s="58">
        <f t="shared" ref="R115" si="1715">IFERROR($C115*R113,"")</f>
        <v>0</v>
      </c>
      <c r="S115" s="58"/>
      <c r="T115" s="58"/>
      <c r="U115" s="59"/>
      <c r="V115" s="60">
        <f t="shared" ref="V115" si="1716">IFERROR($C115*V113,"")</f>
        <v>0</v>
      </c>
      <c r="W115" s="60"/>
      <c r="X115" s="60"/>
      <c r="Y115" s="60"/>
      <c r="Z115" s="60">
        <f t="shared" ref="Z115" si="1717">IFERROR($C115*Z113,"")</f>
        <v>0</v>
      </c>
      <c r="AA115" s="60"/>
      <c r="AB115" s="60"/>
      <c r="AC115" s="61"/>
      <c r="AD115" s="60">
        <f t="shared" ref="AD115" si="1718">IFERROR($C115*AD113,"")</f>
        <v>350000</v>
      </c>
      <c r="AE115" s="60"/>
      <c r="AF115" s="60"/>
      <c r="AG115" s="60"/>
      <c r="AH115" s="60">
        <f t="shared" ref="AH115" si="1719">IFERROR($C115*AH113,"")</f>
        <v>350000</v>
      </c>
      <c r="AI115" s="60"/>
      <c r="AJ115" s="60"/>
      <c r="AK115" s="60"/>
      <c r="AL115" s="60">
        <f t="shared" ref="AL115" si="1720">IFERROR($C115*AL113,"")</f>
        <v>350000</v>
      </c>
      <c r="AM115" s="60"/>
      <c r="AN115" s="60"/>
      <c r="AO115" s="61"/>
      <c r="AP115" s="58">
        <f t="shared" ref="AP115" si="1721">IFERROR($C115*AP113,"")</f>
        <v>350000</v>
      </c>
      <c r="AQ115" s="58"/>
      <c r="AR115" s="58"/>
      <c r="AS115" s="59"/>
      <c r="AT115" s="60">
        <f t="shared" ref="AT115" si="1722">IFERROR($C115*AT113,"")</f>
        <v>350000</v>
      </c>
      <c r="AU115" s="60"/>
      <c r="AV115" s="60"/>
      <c r="AW115" s="60"/>
      <c r="AX115" s="60">
        <f t="shared" ref="AX115" si="1723">IFERROR($C115*AX113,"")</f>
        <v>350000</v>
      </c>
      <c r="AY115" s="60"/>
      <c r="AZ115" s="60"/>
      <c r="BA115" s="61"/>
      <c r="BB115" s="58">
        <f t="shared" ref="BB115" si="1724">IFERROR($C115*BB113,"")</f>
        <v>350000</v>
      </c>
      <c r="BC115" s="58"/>
      <c r="BD115" s="58"/>
      <c r="BE115" s="59"/>
      <c r="BF115" s="60">
        <f t="shared" ref="BF115" si="1725">IFERROR($C115*BF113,"")</f>
        <v>350000</v>
      </c>
      <c r="BG115" s="60"/>
      <c r="BH115" s="60"/>
      <c r="BI115" s="60"/>
      <c r="BJ115" s="60">
        <f t="shared" ref="BJ115" si="1726">IFERROR($C115*BJ113,"")</f>
        <v>0</v>
      </c>
      <c r="BK115" s="60"/>
      <c r="BL115" s="60"/>
      <c r="BM115" s="61"/>
      <c r="BN115" s="58">
        <f t="shared" ref="BN115" si="1727">IFERROR($C115*BN113,"")</f>
        <v>0</v>
      </c>
      <c r="BO115" s="58"/>
      <c r="BP115" s="58"/>
      <c r="BQ115" s="59"/>
      <c r="BR115" s="60">
        <f t="shared" ref="BR115" si="1728">IFERROR($C115*BR113,"")</f>
        <v>0</v>
      </c>
      <c r="BS115" s="60"/>
      <c r="BT115" s="60"/>
      <c r="BU115" s="60"/>
      <c r="BV115" s="60">
        <f t="shared" ref="BV115" si="1729">IFERROR($C115*BV113,"")</f>
        <v>0</v>
      </c>
      <c r="BW115" s="60"/>
      <c r="BX115" s="60"/>
      <c r="BY115" s="61"/>
      <c r="BZ115" s="58">
        <f t="shared" ref="BZ115" si="1730">IFERROR($C115*BZ113,"")</f>
        <v>0</v>
      </c>
      <c r="CA115" s="58"/>
      <c r="CB115" s="58"/>
      <c r="CC115" s="59"/>
      <c r="CD115" s="60">
        <f t="shared" ref="CD115" si="1731">IFERROR($C115*CD113,"")</f>
        <v>0</v>
      </c>
      <c r="CE115" s="60"/>
      <c r="CF115" s="60"/>
      <c r="CG115" s="60"/>
      <c r="CH115" s="60">
        <f t="shared" ref="CH115" si="1732">IFERROR($C115*CH113,"")</f>
        <v>0</v>
      </c>
      <c r="CI115" s="60"/>
      <c r="CJ115" s="60"/>
      <c r="CK115" s="61"/>
      <c r="CL115" s="58">
        <f t="shared" ref="CL115" si="1733">IFERROR($C115*CL113,"")</f>
        <v>0</v>
      </c>
      <c r="CM115" s="58"/>
      <c r="CN115" s="58"/>
      <c r="CO115" s="59"/>
      <c r="CP115" s="60">
        <f t="shared" ref="CP115" si="1734">IFERROR($C115*CP113,"")</f>
        <v>0</v>
      </c>
      <c r="CQ115" s="60"/>
      <c r="CR115" s="60"/>
      <c r="CS115" s="60"/>
      <c r="CT115" s="60">
        <f t="shared" ref="CT115" si="1735">IFERROR($C115*CT113,"")</f>
        <v>0</v>
      </c>
      <c r="CU115" s="60"/>
      <c r="CV115" s="60"/>
      <c r="CW115" s="61"/>
      <c r="CX115" s="58">
        <f t="shared" ref="CX115" si="1736">IFERROR($C115*CX113,"")</f>
        <v>0</v>
      </c>
      <c r="CY115" s="58"/>
      <c r="CZ115" s="58"/>
      <c r="DA115" s="59"/>
      <c r="DB115" s="60">
        <f t="shared" ref="DB115" si="1737">IFERROR($C115*DB113,"")</f>
        <v>0</v>
      </c>
      <c r="DC115" s="60"/>
      <c r="DD115" s="60"/>
      <c r="DE115" s="60"/>
      <c r="DF115" s="60">
        <f t="shared" ref="DF115" si="1738">IFERROR($C115*DF113,"")</f>
        <v>0</v>
      </c>
      <c r="DG115" s="60"/>
      <c r="DH115" s="60"/>
      <c r="DI115" s="61"/>
      <c r="DJ115" s="58">
        <f t="shared" ref="DJ115" si="1739">IFERROR($C115*DJ113,"")</f>
        <v>0</v>
      </c>
      <c r="DK115" s="58"/>
      <c r="DL115" s="58"/>
      <c r="DM115" s="59"/>
      <c r="DN115" s="60">
        <f t="shared" ref="DN115" si="1740">IFERROR($C115*DN113,"")</f>
        <v>0</v>
      </c>
      <c r="DO115" s="60"/>
      <c r="DP115" s="60"/>
      <c r="DQ115" s="60"/>
      <c r="DR115" s="60">
        <f t="shared" ref="DR115" ca="1" si="1741">IFERROR($C115*DR113,"")</f>
        <v>0</v>
      </c>
      <c r="DS115" s="60"/>
      <c r="DT115" s="60"/>
      <c r="DU115" s="61"/>
      <c r="DV115" s="58">
        <f t="shared" ref="DV115" ca="1" si="1742">IFERROR($C115*DV113,"")</f>
        <v>0</v>
      </c>
      <c r="DW115" s="58"/>
      <c r="DX115" s="58"/>
      <c r="DY115" s="59"/>
      <c r="DZ115" s="60">
        <f t="shared" ref="DZ115" ca="1" si="1743">IFERROR($C115*DZ113,"")</f>
        <v>0</v>
      </c>
      <c r="EA115" s="60"/>
      <c r="EB115" s="60"/>
      <c r="EC115" s="60"/>
      <c r="ED115" s="60">
        <f t="shared" ref="ED115" ca="1" si="1744">IFERROR($C115*ED113,"")</f>
        <v>0</v>
      </c>
      <c r="EE115" s="60"/>
      <c r="EF115" s="60"/>
      <c r="EG115" s="61"/>
      <c r="EH115" s="58">
        <f t="shared" ref="EH115" ca="1" si="1745">IFERROR($C115*EH113,"")</f>
        <v>0</v>
      </c>
      <c r="EI115" s="58"/>
      <c r="EJ115" s="58"/>
      <c r="EK115" s="59"/>
      <c r="EL115" s="60">
        <f t="shared" ref="EL115" ca="1" si="1746">IFERROR($C115*EL113,"")</f>
        <v>0</v>
      </c>
      <c r="EM115" s="60"/>
      <c r="EN115" s="60"/>
      <c r="EO115" s="60"/>
      <c r="EP115" s="60">
        <f t="shared" ref="EP115" ca="1" si="1747">IFERROR($C115*EP113,"")</f>
        <v>0</v>
      </c>
      <c r="EQ115" s="60"/>
      <c r="ER115" s="60"/>
      <c r="ES115" s="61"/>
    </row>
    <row r="116" spans="1:149" customFormat="1" outlineLevel="1" x14ac:dyDescent="0.45">
      <c r="A116" s="2"/>
      <c r="B116" s="34" t="s">
        <v>55</v>
      </c>
      <c r="C116" s="19"/>
      <c r="D116" s="20" t="s">
        <v>13</v>
      </c>
      <c r="E116" s="21">
        <f ca="1">SUM(F116:ES116)</f>
        <v>8</v>
      </c>
      <c r="F116" s="74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G116" s="67"/>
      <c r="H116" s="67"/>
      <c r="I116" s="67"/>
      <c r="J116" s="67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K116" s="67"/>
      <c r="L116" s="67"/>
      <c r="M116" s="67"/>
      <c r="N116" s="68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O116" s="70"/>
      <c r="P116" s="70"/>
      <c r="Q116" s="70"/>
      <c r="R116" s="70"/>
      <c r="S116" s="70"/>
      <c r="T116" s="70"/>
      <c r="U116" s="71"/>
      <c r="V116" s="67"/>
      <c r="W116" s="67"/>
      <c r="X116" s="67"/>
      <c r="Y116" s="67"/>
      <c r="Z116" s="67"/>
      <c r="AA116" s="67"/>
      <c r="AB116" s="67"/>
      <c r="AC116" s="68"/>
      <c r="AD116" s="67">
        <v>1</v>
      </c>
      <c r="AE116" s="67"/>
      <c r="AF116" s="67"/>
      <c r="AG116" s="67"/>
      <c r="AH116" s="67">
        <v>1</v>
      </c>
      <c r="AI116" s="67"/>
      <c r="AJ116" s="67"/>
      <c r="AK116" s="67"/>
      <c r="AL116" s="67">
        <v>1</v>
      </c>
      <c r="AM116" s="67"/>
      <c r="AN116" s="67"/>
      <c r="AO116" s="68"/>
      <c r="AP116" s="70">
        <v>1</v>
      </c>
      <c r="AQ116" s="70"/>
      <c r="AR116" s="70"/>
      <c r="AS116" s="71"/>
      <c r="AT116" s="67">
        <v>1</v>
      </c>
      <c r="AU116" s="67"/>
      <c r="AV116" s="67"/>
      <c r="AW116" s="67"/>
      <c r="AX116" s="67">
        <v>1</v>
      </c>
      <c r="AY116" s="67"/>
      <c r="AZ116" s="67"/>
      <c r="BA116" s="68"/>
      <c r="BB116" s="70">
        <v>1</v>
      </c>
      <c r="BC116" s="70"/>
      <c r="BD116" s="70"/>
      <c r="BE116" s="71"/>
      <c r="BF116" s="67">
        <v>1</v>
      </c>
      <c r="BG116" s="67"/>
      <c r="BH116" s="67"/>
      <c r="BI116" s="67"/>
      <c r="BJ116" s="67"/>
      <c r="BK116" s="67"/>
      <c r="BL116" s="67"/>
      <c r="BM116" s="68"/>
      <c r="BN116" s="70"/>
      <c r="BO116" s="70"/>
      <c r="BP116" s="70"/>
      <c r="BQ116" s="71"/>
      <c r="BR116" s="67"/>
      <c r="BS116" s="67"/>
      <c r="BT116" s="67"/>
      <c r="BU116" s="67"/>
      <c r="BV116" s="67"/>
      <c r="BW116" s="67"/>
      <c r="BX116" s="67"/>
      <c r="BY116" s="68"/>
      <c r="BZ116" s="70"/>
      <c r="CA116" s="70"/>
      <c r="CB116" s="70"/>
      <c r="CC116" s="71"/>
      <c r="CD116" s="67"/>
      <c r="CE116" s="67"/>
      <c r="CF116" s="67"/>
      <c r="CG116" s="67"/>
      <c r="CH116" s="67"/>
      <c r="CI116" s="67"/>
      <c r="CJ116" s="67"/>
      <c r="CK116" s="68"/>
      <c r="CL116" s="70"/>
      <c r="CM116" s="70"/>
      <c r="CN116" s="70"/>
      <c r="CO116" s="71"/>
      <c r="CP116" s="67"/>
      <c r="CQ116" s="67"/>
      <c r="CR116" s="67"/>
      <c r="CS116" s="67"/>
      <c r="CT116" s="67"/>
      <c r="CU116" s="67"/>
      <c r="CV116" s="67"/>
      <c r="CW116" s="68"/>
      <c r="CX116" s="70"/>
      <c r="CY116" s="70"/>
      <c r="CZ116" s="70"/>
      <c r="DA116" s="71"/>
      <c r="DB116" s="67"/>
      <c r="DC116" s="67"/>
      <c r="DD116" s="67"/>
      <c r="DE116" s="67"/>
      <c r="DF116" s="67"/>
      <c r="DG116" s="67"/>
      <c r="DH116" s="67"/>
      <c r="DI116" s="68"/>
      <c r="DJ116" s="70"/>
      <c r="DK116" s="70"/>
      <c r="DL116" s="70"/>
      <c r="DM116" s="71"/>
      <c r="DN116" s="67"/>
      <c r="DO116" s="67"/>
      <c r="DP116" s="67"/>
      <c r="DQ116" s="67"/>
      <c r="DR116" s="67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DS116" s="67"/>
      <c r="DT116" s="67"/>
      <c r="DU116" s="68"/>
      <c r="DV116" s="70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DW116" s="70"/>
      <c r="DX116" s="70"/>
      <c r="DY116" s="71"/>
      <c r="DZ116" s="67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EA116" s="67"/>
      <c r="EB116" s="67"/>
      <c r="EC116" s="67"/>
      <c r="ED116" s="67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EE116" s="67"/>
      <c r="EF116" s="67"/>
      <c r="EG116" s="68"/>
      <c r="EH116" s="70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EI116" s="70"/>
      <c r="EJ116" s="70"/>
      <c r="EK116" s="71"/>
      <c r="EL116" s="67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EM116" s="67"/>
      <c r="EN116" s="67"/>
      <c r="EO116" s="67"/>
      <c r="EP116" s="67">
        <f ca="1">IF(ISERROR(VLOOKUP(RIGHT(CELL("filename",$A$1),LEN(CELL("filename",$A$1))-FIND("]",CELL("filename",$A$1)))&amp;$B116,[2]要員計画!$L:$AJ,((COLUMN()-1)/4)+1,FALSE)),0,VLOOKUP(RIGHT(CELL("filename",$A$1),LEN(CELL("filename",$A$1))-FIND("]",CELL("filename",$A$1)))&amp;$B116,[2]要員計画!$L:$AJ,((COLUMN()-1)/4)+1,FALSE))</f>
        <v>0</v>
      </c>
      <c r="EQ116" s="67"/>
      <c r="ER116" s="67"/>
      <c r="ES116" s="68"/>
    </row>
    <row r="117" spans="1:149" customFormat="1" outlineLevel="1" x14ac:dyDescent="0.45">
      <c r="A117" s="2"/>
      <c r="B117" s="35"/>
      <c r="C117" s="22">
        <v>1050000</v>
      </c>
      <c r="D117" s="23" t="s">
        <v>23</v>
      </c>
      <c r="E117" s="24">
        <f ca="1">SUM(F117:CW117)</f>
        <v>8400000</v>
      </c>
      <c r="F117" s="69">
        <f ca="1">IFERROR($C117*F116,"")</f>
        <v>0</v>
      </c>
      <c r="G117" s="62"/>
      <c r="H117" s="62"/>
      <c r="I117" s="62"/>
      <c r="J117" s="62">
        <f t="shared" ref="J117" ca="1" si="1748">IFERROR($C117*J116,"")</f>
        <v>0</v>
      </c>
      <c r="K117" s="62"/>
      <c r="L117" s="62"/>
      <c r="M117" s="62"/>
      <c r="N117" s="63">
        <f t="shared" ref="N117" ca="1" si="1749">IFERROR($C117*N116,"")</f>
        <v>0</v>
      </c>
      <c r="O117" s="64"/>
      <c r="P117" s="64"/>
      <c r="Q117" s="64"/>
      <c r="R117" s="64">
        <f t="shared" ref="R117" si="1750">IFERROR($C117*R116,"")</f>
        <v>0</v>
      </c>
      <c r="S117" s="64"/>
      <c r="T117" s="64"/>
      <c r="U117" s="65"/>
      <c r="V117" s="62">
        <f t="shared" ref="V117" si="1751">IFERROR($C117*V116,"")</f>
        <v>0</v>
      </c>
      <c r="W117" s="62"/>
      <c r="X117" s="62"/>
      <c r="Y117" s="62"/>
      <c r="Z117" s="62">
        <f t="shared" ref="Z117" si="1752">IFERROR($C117*Z116,"")</f>
        <v>0</v>
      </c>
      <c r="AA117" s="62"/>
      <c r="AB117" s="62"/>
      <c r="AC117" s="63"/>
      <c r="AD117" s="62">
        <f t="shared" ref="AD117" si="1753">IFERROR($C117*AD116,"")</f>
        <v>1050000</v>
      </c>
      <c r="AE117" s="62"/>
      <c r="AF117" s="62"/>
      <c r="AG117" s="62"/>
      <c r="AH117" s="62">
        <f t="shared" ref="AH117" si="1754">IFERROR($C117*AH116,"")</f>
        <v>1050000</v>
      </c>
      <c r="AI117" s="62"/>
      <c r="AJ117" s="62"/>
      <c r="AK117" s="62"/>
      <c r="AL117" s="62">
        <f t="shared" ref="AL117" si="1755">IFERROR($C117*AL116,"")</f>
        <v>1050000</v>
      </c>
      <c r="AM117" s="62"/>
      <c r="AN117" s="62"/>
      <c r="AO117" s="63"/>
      <c r="AP117" s="64">
        <f t="shared" ref="AP117" si="1756">IFERROR($C117*AP116,"")</f>
        <v>1050000</v>
      </c>
      <c r="AQ117" s="64"/>
      <c r="AR117" s="64"/>
      <c r="AS117" s="65"/>
      <c r="AT117" s="62">
        <f t="shared" ref="AT117" si="1757">IFERROR($C117*AT116,"")</f>
        <v>1050000</v>
      </c>
      <c r="AU117" s="62"/>
      <c r="AV117" s="62"/>
      <c r="AW117" s="62"/>
      <c r="AX117" s="62">
        <f t="shared" ref="AX117" si="1758">IFERROR($C117*AX116,"")</f>
        <v>1050000</v>
      </c>
      <c r="AY117" s="62"/>
      <c r="AZ117" s="62"/>
      <c r="BA117" s="63"/>
      <c r="BB117" s="64">
        <f t="shared" ref="BB117" si="1759">IFERROR($C117*BB116,"")</f>
        <v>1050000</v>
      </c>
      <c r="BC117" s="64"/>
      <c r="BD117" s="64"/>
      <c r="BE117" s="65"/>
      <c r="BF117" s="62">
        <f t="shared" ref="BF117" si="1760">IFERROR($C117*BF116,"")</f>
        <v>1050000</v>
      </c>
      <c r="BG117" s="62"/>
      <c r="BH117" s="62"/>
      <c r="BI117" s="62"/>
      <c r="BJ117" s="62">
        <f t="shared" ref="BJ117" si="1761">IFERROR($C117*BJ116,"")</f>
        <v>0</v>
      </c>
      <c r="BK117" s="62"/>
      <c r="BL117" s="62"/>
      <c r="BM117" s="63"/>
      <c r="BN117" s="64">
        <f t="shared" ref="BN117" si="1762">IFERROR($C117*BN116,"")</f>
        <v>0</v>
      </c>
      <c r="BO117" s="64"/>
      <c r="BP117" s="64"/>
      <c r="BQ117" s="65"/>
      <c r="BR117" s="62">
        <f t="shared" ref="BR117" si="1763">IFERROR($C117*BR116,"")</f>
        <v>0</v>
      </c>
      <c r="BS117" s="62"/>
      <c r="BT117" s="62"/>
      <c r="BU117" s="62"/>
      <c r="BV117" s="62">
        <f t="shared" ref="BV117" si="1764">IFERROR($C117*BV116,"")</f>
        <v>0</v>
      </c>
      <c r="BW117" s="62"/>
      <c r="BX117" s="62"/>
      <c r="BY117" s="63"/>
      <c r="BZ117" s="64">
        <f t="shared" ref="BZ117" si="1765">IFERROR($C117*BZ116,"")</f>
        <v>0</v>
      </c>
      <c r="CA117" s="64"/>
      <c r="CB117" s="64"/>
      <c r="CC117" s="65"/>
      <c r="CD117" s="62">
        <f t="shared" ref="CD117" si="1766">IFERROR($C117*CD116,"")</f>
        <v>0</v>
      </c>
      <c r="CE117" s="62"/>
      <c r="CF117" s="62"/>
      <c r="CG117" s="62"/>
      <c r="CH117" s="62">
        <f t="shared" ref="CH117" si="1767">IFERROR($C117*CH116,"")</f>
        <v>0</v>
      </c>
      <c r="CI117" s="62"/>
      <c r="CJ117" s="62"/>
      <c r="CK117" s="63"/>
      <c r="CL117" s="64">
        <f t="shared" ref="CL117" si="1768">IFERROR($C117*CL116,"")</f>
        <v>0</v>
      </c>
      <c r="CM117" s="64"/>
      <c r="CN117" s="64"/>
      <c r="CO117" s="65"/>
      <c r="CP117" s="62">
        <f t="shared" ref="CP117" si="1769">IFERROR($C117*CP116,"")</f>
        <v>0</v>
      </c>
      <c r="CQ117" s="62"/>
      <c r="CR117" s="62"/>
      <c r="CS117" s="62"/>
      <c r="CT117" s="62">
        <f t="shared" ref="CT117" si="1770">IFERROR($C117*CT116,"")</f>
        <v>0</v>
      </c>
      <c r="CU117" s="62"/>
      <c r="CV117" s="62"/>
      <c r="CW117" s="63"/>
      <c r="CX117" s="64">
        <f t="shared" ref="CX117" si="1771">IFERROR($C117*CX116,"")</f>
        <v>0</v>
      </c>
      <c r="CY117" s="64"/>
      <c r="CZ117" s="64"/>
      <c r="DA117" s="65"/>
      <c r="DB117" s="62">
        <f t="shared" ref="DB117" si="1772">IFERROR($C117*DB116,"")</f>
        <v>0</v>
      </c>
      <c r="DC117" s="62"/>
      <c r="DD117" s="62"/>
      <c r="DE117" s="62"/>
      <c r="DF117" s="62">
        <f t="shared" ref="DF117" si="1773">IFERROR($C117*DF116,"")</f>
        <v>0</v>
      </c>
      <c r="DG117" s="62"/>
      <c r="DH117" s="62"/>
      <c r="DI117" s="63"/>
      <c r="DJ117" s="64">
        <f t="shared" ref="DJ117" si="1774">IFERROR($C117*DJ116,"")</f>
        <v>0</v>
      </c>
      <c r="DK117" s="64"/>
      <c r="DL117" s="64"/>
      <c r="DM117" s="65"/>
      <c r="DN117" s="62">
        <f t="shared" ref="DN117" si="1775">IFERROR($C117*DN116,"")</f>
        <v>0</v>
      </c>
      <c r="DO117" s="62"/>
      <c r="DP117" s="62"/>
      <c r="DQ117" s="62"/>
      <c r="DR117" s="62">
        <f t="shared" ref="DR117" ca="1" si="1776">IFERROR($C117*DR116,"")</f>
        <v>0</v>
      </c>
      <c r="DS117" s="62"/>
      <c r="DT117" s="62"/>
      <c r="DU117" s="63"/>
      <c r="DV117" s="64">
        <f t="shared" ref="DV117" ca="1" si="1777">IFERROR($C117*DV116,"")</f>
        <v>0</v>
      </c>
      <c r="DW117" s="64"/>
      <c r="DX117" s="64"/>
      <c r="DY117" s="65"/>
      <c r="DZ117" s="62">
        <f t="shared" ref="DZ117" ca="1" si="1778">IFERROR($C117*DZ116,"")</f>
        <v>0</v>
      </c>
      <c r="EA117" s="62"/>
      <c r="EB117" s="62"/>
      <c r="EC117" s="62"/>
      <c r="ED117" s="62">
        <f t="shared" ref="ED117" ca="1" si="1779">IFERROR($C117*ED116,"")</f>
        <v>0</v>
      </c>
      <c r="EE117" s="62"/>
      <c r="EF117" s="62"/>
      <c r="EG117" s="63"/>
      <c r="EH117" s="64">
        <f t="shared" ref="EH117" ca="1" si="1780">IFERROR($C117*EH116,"")</f>
        <v>0</v>
      </c>
      <c r="EI117" s="64"/>
      <c r="EJ117" s="64"/>
      <c r="EK117" s="65"/>
      <c r="EL117" s="62">
        <f t="shared" ref="EL117" ca="1" si="1781">IFERROR($C117*EL116,"")</f>
        <v>0</v>
      </c>
      <c r="EM117" s="62"/>
      <c r="EN117" s="62"/>
      <c r="EO117" s="62"/>
      <c r="EP117" s="62">
        <f t="shared" ref="EP117" ca="1" si="1782">IFERROR($C117*EP116,"")</f>
        <v>0</v>
      </c>
      <c r="EQ117" s="62"/>
      <c r="ER117" s="62"/>
      <c r="ES117" s="63"/>
    </row>
    <row r="118" spans="1:149" customFormat="1" outlineLevel="1" x14ac:dyDescent="0.45">
      <c r="A118" s="2"/>
      <c r="B118" s="36"/>
      <c r="C118" s="25">
        <v>350000</v>
      </c>
      <c r="D118" s="26" t="s">
        <v>3</v>
      </c>
      <c r="E118" s="27">
        <f ca="1">SUM(F118:CW118)</f>
        <v>2800000</v>
      </c>
      <c r="F118" s="66">
        <f ca="1">IFERROR($C118*F116,"")</f>
        <v>0</v>
      </c>
      <c r="G118" s="60"/>
      <c r="H118" s="60"/>
      <c r="I118" s="60"/>
      <c r="J118" s="60">
        <f t="shared" ref="J118" ca="1" si="1783">IFERROR($C118*J116,"")</f>
        <v>0</v>
      </c>
      <c r="K118" s="60"/>
      <c r="L118" s="60"/>
      <c r="M118" s="60"/>
      <c r="N118" s="61">
        <f t="shared" ref="N118" ca="1" si="1784">IFERROR($C118*N116,"")</f>
        <v>0</v>
      </c>
      <c r="O118" s="58"/>
      <c r="P118" s="58"/>
      <c r="Q118" s="58"/>
      <c r="R118" s="58">
        <f t="shared" ref="R118" si="1785">IFERROR($C118*R116,"")</f>
        <v>0</v>
      </c>
      <c r="S118" s="58"/>
      <c r="T118" s="58"/>
      <c r="U118" s="59"/>
      <c r="V118" s="60">
        <f t="shared" ref="V118" si="1786">IFERROR($C118*V116,"")</f>
        <v>0</v>
      </c>
      <c r="W118" s="60"/>
      <c r="X118" s="60"/>
      <c r="Y118" s="60"/>
      <c r="Z118" s="60">
        <f t="shared" ref="Z118" si="1787">IFERROR($C118*Z116,"")</f>
        <v>0</v>
      </c>
      <c r="AA118" s="60"/>
      <c r="AB118" s="60"/>
      <c r="AC118" s="61"/>
      <c r="AD118" s="60">
        <f t="shared" ref="AD118" si="1788">IFERROR($C118*AD116,"")</f>
        <v>350000</v>
      </c>
      <c r="AE118" s="60"/>
      <c r="AF118" s="60"/>
      <c r="AG118" s="60"/>
      <c r="AH118" s="60">
        <f t="shared" ref="AH118" si="1789">IFERROR($C118*AH116,"")</f>
        <v>350000</v>
      </c>
      <c r="AI118" s="60"/>
      <c r="AJ118" s="60"/>
      <c r="AK118" s="60"/>
      <c r="AL118" s="60">
        <f t="shared" ref="AL118" si="1790">IFERROR($C118*AL116,"")</f>
        <v>350000</v>
      </c>
      <c r="AM118" s="60"/>
      <c r="AN118" s="60"/>
      <c r="AO118" s="61"/>
      <c r="AP118" s="58">
        <f t="shared" ref="AP118" si="1791">IFERROR($C118*AP116,"")</f>
        <v>350000</v>
      </c>
      <c r="AQ118" s="58"/>
      <c r="AR118" s="58"/>
      <c r="AS118" s="59"/>
      <c r="AT118" s="60">
        <f t="shared" ref="AT118" si="1792">IFERROR($C118*AT116,"")</f>
        <v>350000</v>
      </c>
      <c r="AU118" s="60"/>
      <c r="AV118" s="60"/>
      <c r="AW118" s="60"/>
      <c r="AX118" s="60">
        <f t="shared" ref="AX118" si="1793">IFERROR($C118*AX116,"")</f>
        <v>350000</v>
      </c>
      <c r="AY118" s="60"/>
      <c r="AZ118" s="60"/>
      <c r="BA118" s="61"/>
      <c r="BB118" s="58">
        <f t="shared" ref="BB118:CD118" si="1794">IFERROR($C118*BB116,"")</f>
        <v>350000</v>
      </c>
      <c r="BC118" s="58"/>
      <c r="BD118" s="58"/>
      <c r="BE118" s="59"/>
      <c r="BF118" s="60">
        <f t="shared" si="1794"/>
        <v>350000</v>
      </c>
      <c r="BG118" s="60"/>
      <c r="BH118" s="60"/>
      <c r="BI118" s="60"/>
      <c r="BJ118" s="60">
        <f t="shared" si="1794"/>
        <v>0</v>
      </c>
      <c r="BK118" s="60"/>
      <c r="BL118" s="60"/>
      <c r="BM118" s="61"/>
      <c r="BN118" s="58">
        <f t="shared" si="1794"/>
        <v>0</v>
      </c>
      <c r="BO118" s="58"/>
      <c r="BP118" s="58"/>
      <c r="BQ118" s="59"/>
      <c r="BR118" s="60">
        <f t="shared" si="1794"/>
        <v>0</v>
      </c>
      <c r="BS118" s="60"/>
      <c r="BT118" s="60"/>
      <c r="BU118" s="60"/>
      <c r="BV118" s="60">
        <f t="shared" si="1794"/>
        <v>0</v>
      </c>
      <c r="BW118" s="60"/>
      <c r="BX118" s="60"/>
      <c r="BY118" s="61"/>
      <c r="BZ118" s="58">
        <f t="shared" si="1794"/>
        <v>0</v>
      </c>
      <c r="CA118" s="58"/>
      <c r="CB118" s="58"/>
      <c r="CC118" s="59"/>
      <c r="CD118" s="60">
        <f t="shared" si="1794"/>
        <v>0</v>
      </c>
      <c r="CE118" s="60"/>
      <c r="CF118" s="60"/>
      <c r="CG118" s="60"/>
      <c r="CH118" s="60">
        <f t="shared" ref="CH118:DJ118" si="1795">IFERROR($C118*CH116,"")</f>
        <v>0</v>
      </c>
      <c r="CI118" s="60"/>
      <c r="CJ118" s="60"/>
      <c r="CK118" s="61"/>
      <c r="CL118" s="58">
        <f t="shared" si="1795"/>
        <v>0</v>
      </c>
      <c r="CM118" s="58"/>
      <c r="CN118" s="58"/>
      <c r="CO118" s="59"/>
      <c r="CP118" s="60">
        <f t="shared" si="1795"/>
        <v>0</v>
      </c>
      <c r="CQ118" s="60"/>
      <c r="CR118" s="60"/>
      <c r="CS118" s="60"/>
      <c r="CT118" s="60">
        <f t="shared" si="1795"/>
        <v>0</v>
      </c>
      <c r="CU118" s="60"/>
      <c r="CV118" s="60"/>
      <c r="CW118" s="61"/>
      <c r="CX118" s="58">
        <f t="shared" si="1795"/>
        <v>0</v>
      </c>
      <c r="CY118" s="58"/>
      <c r="CZ118" s="58"/>
      <c r="DA118" s="59"/>
      <c r="DB118" s="60">
        <f t="shared" si="1795"/>
        <v>0</v>
      </c>
      <c r="DC118" s="60"/>
      <c r="DD118" s="60"/>
      <c r="DE118" s="60"/>
      <c r="DF118" s="60">
        <f t="shared" si="1795"/>
        <v>0</v>
      </c>
      <c r="DG118" s="60"/>
      <c r="DH118" s="60"/>
      <c r="DI118" s="61"/>
      <c r="DJ118" s="58">
        <f t="shared" si="1795"/>
        <v>0</v>
      </c>
      <c r="DK118" s="58"/>
      <c r="DL118" s="58"/>
      <c r="DM118" s="59"/>
      <c r="DN118" s="60">
        <f t="shared" ref="DN118:EP118" si="1796">IFERROR($C118*DN116,"")</f>
        <v>0</v>
      </c>
      <c r="DO118" s="60"/>
      <c r="DP118" s="60"/>
      <c r="DQ118" s="60"/>
      <c r="DR118" s="60">
        <f t="shared" ca="1" si="1796"/>
        <v>0</v>
      </c>
      <c r="DS118" s="60"/>
      <c r="DT118" s="60"/>
      <c r="DU118" s="61"/>
      <c r="DV118" s="58">
        <f t="shared" ca="1" si="1796"/>
        <v>0</v>
      </c>
      <c r="DW118" s="58"/>
      <c r="DX118" s="58"/>
      <c r="DY118" s="59"/>
      <c r="DZ118" s="60">
        <f t="shared" ca="1" si="1796"/>
        <v>0</v>
      </c>
      <c r="EA118" s="60"/>
      <c r="EB118" s="60"/>
      <c r="EC118" s="60"/>
      <c r="ED118" s="60">
        <f t="shared" ca="1" si="1796"/>
        <v>0</v>
      </c>
      <c r="EE118" s="60"/>
      <c r="EF118" s="60"/>
      <c r="EG118" s="61"/>
      <c r="EH118" s="58">
        <f t="shared" ca="1" si="1796"/>
        <v>0</v>
      </c>
      <c r="EI118" s="58"/>
      <c r="EJ118" s="58"/>
      <c r="EK118" s="59"/>
      <c r="EL118" s="60">
        <f t="shared" ca="1" si="1796"/>
        <v>0</v>
      </c>
      <c r="EM118" s="60"/>
      <c r="EN118" s="60"/>
      <c r="EO118" s="60"/>
      <c r="EP118" s="60">
        <f t="shared" ca="1" si="1796"/>
        <v>0</v>
      </c>
      <c r="EQ118" s="60"/>
      <c r="ER118" s="60"/>
      <c r="ES118" s="61"/>
    </row>
    <row r="119" spans="1:149" customFormat="1" outlineLevel="1" x14ac:dyDescent="0.45">
      <c r="A119" s="2"/>
      <c r="B119" s="34" t="s">
        <v>56</v>
      </c>
      <c r="C119" s="19"/>
      <c r="D119" s="20" t="s">
        <v>13</v>
      </c>
      <c r="E119" s="21">
        <f ca="1">SUM(F119:ES119)</f>
        <v>0</v>
      </c>
      <c r="F119" s="74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G119" s="67"/>
      <c r="H119" s="67"/>
      <c r="I119" s="67"/>
      <c r="J119" s="67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K119" s="67"/>
      <c r="L119" s="67"/>
      <c r="M119" s="67"/>
      <c r="N119" s="68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O119" s="70"/>
      <c r="P119" s="70"/>
      <c r="Q119" s="70"/>
      <c r="R119" s="70"/>
      <c r="S119" s="70"/>
      <c r="T119" s="70"/>
      <c r="U119" s="71"/>
      <c r="V119" s="67"/>
      <c r="W119" s="67"/>
      <c r="X119" s="67"/>
      <c r="Y119" s="67"/>
      <c r="Z119" s="67"/>
      <c r="AA119" s="67"/>
      <c r="AB119" s="67"/>
      <c r="AC119" s="68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8"/>
      <c r="AP119" s="70"/>
      <c r="AQ119" s="70"/>
      <c r="AR119" s="70"/>
      <c r="AS119" s="71"/>
      <c r="AT119" s="67"/>
      <c r="AU119" s="67"/>
      <c r="AV119" s="67"/>
      <c r="AW119" s="67"/>
      <c r="AX119" s="67"/>
      <c r="AY119" s="67"/>
      <c r="AZ119" s="67"/>
      <c r="BA119" s="68"/>
      <c r="BB119" s="70"/>
      <c r="BC119" s="70"/>
      <c r="BD119" s="70"/>
      <c r="BE119" s="71"/>
      <c r="BF119" s="67"/>
      <c r="BG119" s="67"/>
      <c r="BH119" s="67"/>
      <c r="BI119" s="67"/>
      <c r="BJ119" s="67"/>
      <c r="BK119" s="67"/>
      <c r="BL119" s="67"/>
      <c r="BM119" s="68"/>
      <c r="BN119" s="70"/>
      <c r="BO119" s="70"/>
      <c r="BP119" s="70"/>
      <c r="BQ119" s="71"/>
      <c r="BR119" s="67"/>
      <c r="BS119" s="67"/>
      <c r="BT119" s="67"/>
      <c r="BU119" s="67"/>
      <c r="BV119" s="67"/>
      <c r="BW119" s="67"/>
      <c r="BX119" s="67"/>
      <c r="BY119" s="68"/>
      <c r="BZ119" s="70"/>
      <c r="CA119" s="70"/>
      <c r="CB119" s="70"/>
      <c r="CC119" s="71"/>
      <c r="CD119" s="67"/>
      <c r="CE119" s="67"/>
      <c r="CF119" s="67"/>
      <c r="CG119" s="67"/>
      <c r="CH119" s="67"/>
      <c r="CI119" s="67"/>
      <c r="CJ119" s="67"/>
      <c r="CK119" s="68"/>
      <c r="CL119" s="70"/>
      <c r="CM119" s="70"/>
      <c r="CN119" s="70"/>
      <c r="CO119" s="71"/>
      <c r="CP119" s="67"/>
      <c r="CQ119" s="67"/>
      <c r="CR119" s="67"/>
      <c r="CS119" s="67"/>
      <c r="CT119" s="67"/>
      <c r="CU119" s="67"/>
      <c r="CV119" s="67"/>
      <c r="CW119" s="68"/>
      <c r="CX119" s="70"/>
      <c r="CY119" s="70"/>
      <c r="CZ119" s="70"/>
      <c r="DA119" s="71"/>
      <c r="DB119" s="67"/>
      <c r="DC119" s="67"/>
      <c r="DD119" s="67"/>
      <c r="DE119" s="67"/>
      <c r="DF119" s="67"/>
      <c r="DG119" s="67"/>
      <c r="DH119" s="67"/>
      <c r="DI119" s="68"/>
      <c r="DJ119" s="70"/>
      <c r="DK119" s="70"/>
      <c r="DL119" s="70"/>
      <c r="DM119" s="71"/>
      <c r="DN119" s="67"/>
      <c r="DO119" s="67"/>
      <c r="DP119" s="67"/>
      <c r="DQ119" s="67"/>
      <c r="DR119" s="67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DS119" s="67"/>
      <c r="DT119" s="67"/>
      <c r="DU119" s="68"/>
      <c r="DV119" s="70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DW119" s="70"/>
      <c r="DX119" s="70"/>
      <c r="DY119" s="71"/>
      <c r="DZ119" s="67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EA119" s="67"/>
      <c r="EB119" s="67"/>
      <c r="EC119" s="67"/>
      <c r="ED119" s="67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EE119" s="67"/>
      <c r="EF119" s="67"/>
      <c r="EG119" s="68"/>
      <c r="EH119" s="70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EI119" s="70"/>
      <c r="EJ119" s="70"/>
      <c r="EK119" s="71"/>
      <c r="EL119" s="67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EM119" s="67"/>
      <c r="EN119" s="67"/>
      <c r="EO119" s="67"/>
      <c r="EP119" s="67">
        <f ca="1">IF(ISERROR(VLOOKUP(RIGHT(CELL("filename",$A$1),LEN(CELL("filename",$A$1))-FIND("]",CELL("filename",$A$1)))&amp;$B119,[2]要員計画!$L:$AJ,((COLUMN()-1)/4)+1,FALSE)),0,VLOOKUP(RIGHT(CELL("filename",$A$1),LEN(CELL("filename",$A$1))-FIND("]",CELL("filename",$A$1)))&amp;$B119,[2]要員計画!$L:$AJ,((COLUMN()-1)/4)+1,FALSE))</f>
        <v>0</v>
      </c>
      <c r="EQ119" s="67"/>
      <c r="ER119" s="67"/>
      <c r="ES119" s="68"/>
    </row>
    <row r="120" spans="1:149" customFormat="1" outlineLevel="1" x14ac:dyDescent="0.45">
      <c r="A120" s="2"/>
      <c r="B120" s="35"/>
      <c r="C120" s="22">
        <v>1050000</v>
      </c>
      <c r="D120" s="23" t="s">
        <v>23</v>
      </c>
      <c r="E120" s="24">
        <f ca="1">SUM(F120:CW120)</f>
        <v>0</v>
      </c>
      <c r="F120" s="69">
        <f ca="1">IFERROR($C120*F119,"")</f>
        <v>0</v>
      </c>
      <c r="G120" s="62"/>
      <c r="H120" s="62"/>
      <c r="I120" s="62"/>
      <c r="J120" s="62">
        <f t="shared" ref="J120" ca="1" si="1797">IFERROR($C120*J119,"")</f>
        <v>0</v>
      </c>
      <c r="K120" s="62"/>
      <c r="L120" s="62"/>
      <c r="M120" s="62"/>
      <c r="N120" s="63">
        <f t="shared" ref="N120" ca="1" si="1798">IFERROR($C120*N119,"")</f>
        <v>0</v>
      </c>
      <c r="O120" s="64"/>
      <c r="P120" s="64"/>
      <c r="Q120" s="64"/>
      <c r="R120" s="64">
        <f t="shared" ref="R120" si="1799">IFERROR($C120*R119,"")</f>
        <v>0</v>
      </c>
      <c r="S120" s="64"/>
      <c r="T120" s="64"/>
      <c r="U120" s="65"/>
      <c r="V120" s="62">
        <f t="shared" ref="V120" si="1800">IFERROR($C120*V119,"")</f>
        <v>0</v>
      </c>
      <c r="W120" s="62"/>
      <c r="X120" s="62"/>
      <c r="Y120" s="62"/>
      <c r="Z120" s="62">
        <f t="shared" ref="Z120" si="1801">IFERROR($C120*Z119,"")</f>
        <v>0</v>
      </c>
      <c r="AA120" s="62"/>
      <c r="AB120" s="62"/>
      <c r="AC120" s="63"/>
      <c r="AD120" s="62">
        <f t="shared" ref="AD120" si="1802">IFERROR($C120*AD119,"")</f>
        <v>0</v>
      </c>
      <c r="AE120" s="62"/>
      <c r="AF120" s="62"/>
      <c r="AG120" s="62"/>
      <c r="AH120" s="62">
        <f t="shared" ref="AH120" si="1803">IFERROR($C120*AH119,"")</f>
        <v>0</v>
      </c>
      <c r="AI120" s="62"/>
      <c r="AJ120" s="62"/>
      <c r="AK120" s="62"/>
      <c r="AL120" s="62">
        <f t="shared" ref="AL120" si="1804">IFERROR($C120*AL119,"")</f>
        <v>0</v>
      </c>
      <c r="AM120" s="62"/>
      <c r="AN120" s="62"/>
      <c r="AO120" s="63"/>
      <c r="AP120" s="64">
        <f t="shared" ref="AP120" si="1805">IFERROR($C120*AP119,"")</f>
        <v>0</v>
      </c>
      <c r="AQ120" s="64"/>
      <c r="AR120" s="64"/>
      <c r="AS120" s="65"/>
      <c r="AT120" s="62">
        <f t="shared" ref="AT120" si="1806">IFERROR($C120*AT119,"")</f>
        <v>0</v>
      </c>
      <c r="AU120" s="62"/>
      <c r="AV120" s="62"/>
      <c r="AW120" s="62"/>
      <c r="AX120" s="62">
        <f t="shared" ref="AX120" si="1807">IFERROR($C120*AX119,"")</f>
        <v>0</v>
      </c>
      <c r="AY120" s="62"/>
      <c r="AZ120" s="62"/>
      <c r="BA120" s="63"/>
      <c r="BB120" s="64">
        <f t="shared" ref="BB120" si="1808">IFERROR($C120*BB119,"")</f>
        <v>0</v>
      </c>
      <c r="BC120" s="64"/>
      <c r="BD120" s="64"/>
      <c r="BE120" s="65"/>
      <c r="BF120" s="62">
        <f t="shared" ref="BF120" si="1809">IFERROR($C120*BF119,"")</f>
        <v>0</v>
      </c>
      <c r="BG120" s="62"/>
      <c r="BH120" s="62"/>
      <c r="BI120" s="62"/>
      <c r="BJ120" s="62">
        <f t="shared" ref="BJ120" si="1810">IFERROR($C120*BJ119,"")</f>
        <v>0</v>
      </c>
      <c r="BK120" s="62"/>
      <c r="BL120" s="62"/>
      <c r="BM120" s="63"/>
      <c r="BN120" s="64">
        <f t="shared" ref="BN120" si="1811">IFERROR($C120*BN119,"")</f>
        <v>0</v>
      </c>
      <c r="BO120" s="64"/>
      <c r="BP120" s="64"/>
      <c r="BQ120" s="65"/>
      <c r="BR120" s="62">
        <f t="shared" ref="BR120" si="1812">IFERROR($C120*BR119,"")</f>
        <v>0</v>
      </c>
      <c r="BS120" s="62"/>
      <c r="BT120" s="62"/>
      <c r="BU120" s="62"/>
      <c r="BV120" s="62">
        <f t="shared" ref="BV120" si="1813">IFERROR($C120*BV119,"")</f>
        <v>0</v>
      </c>
      <c r="BW120" s="62"/>
      <c r="BX120" s="62"/>
      <c r="BY120" s="63"/>
      <c r="BZ120" s="64">
        <f t="shared" ref="BZ120" si="1814">IFERROR($C120*BZ119,"")</f>
        <v>0</v>
      </c>
      <c r="CA120" s="64"/>
      <c r="CB120" s="64"/>
      <c r="CC120" s="65"/>
      <c r="CD120" s="62">
        <f t="shared" ref="CD120" si="1815">IFERROR($C120*CD119,"")</f>
        <v>0</v>
      </c>
      <c r="CE120" s="62"/>
      <c r="CF120" s="62"/>
      <c r="CG120" s="62"/>
      <c r="CH120" s="62">
        <f t="shared" ref="CH120" si="1816">IFERROR($C120*CH119,"")</f>
        <v>0</v>
      </c>
      <c r="CI120" s="62"/>
      <c r="CJ120" s="62"/>
      <c r="CK120" s="63"/>
      <c r="CL120" s="64">
        <f t="shared" ref="CL120" si="1817">IFERROR($C120*CL119,"")</f>
        <v>0</v>
      </c>
      <c r="CM120" s="64"/>
      <c r="CN120" s="64"/>
      <c r="CO120" s="65"/>
      <c r="CP120" s="62">
        <f t="shared" ref="CP120" si="1818">IFERROR($C120*CP119,"")</f>
        <v>0</v>
      </c>
      <c r="CQ120" s="62"/>
      <c r="CR120" s="62"/>
      <c r="CS120" s="62"/>
      <c r="CT120" s="62">
        <f t="shared" ref="CT120" si="1819">IFERROR($C120*CT119,"")</f>
        <v>0</v>
      </c>
      <c r="CU120" s="62"/>
      <c r="CV120" s="62"/>
      <c r="CW120" s="63"/>
      <c r="CX120" s="64">
        <f t="shared" ref="CX120" si="1820">IFERROR($C120*CX119,"")</f>
        <v>0</v>
      </c>
      <c r="CY120" s="64"/>
      <c r="CZ120" s="64"/>
      <c r="DA120" s="65"/>
      <c r="DB120" s="62">
        <f t="shared" ref="DB120" si="1821">IFERROR($C120*DB119,"")</f>
        <v>0</v>
      </c>
      <c r="DC120" s="62"/>
      <c r="DD120" s="62"/>
      <c r="DE120" s="62"/>
      <c r="DF120" s="62">
        <f t="shared" ref="DF120" si="1822">IFERROR($C120*DF119,"")</f>
        <v>0</v>
      </c>
      <c r="DG120" s="62"/>
      <c r="DH120" s="62"/>
      <c r="DI120" s="63"/>
      <c r="DJ120" s="64">
        <f t="shared" ref="DJ120" si="1823">IFERROR($C120*DJ119,"")</f>
        <v>0</v>
      </c>
      <c r="DK120" s="64"/>
      <c r="DL120" s="64"/>
      <c r="DM120" s="65"/>
      <c r="DN120" s="62">
        <f t="shared" ref="DN120" si="1824">IFERROR($C120*DN119,"")</f>
        <v>0</v>
      </c>
      <c r="DO120" s="62"/>
      <c r="DP120" s="62"/>
      <c r="DQ120" s="62"/>
      <c r="DR120" s="62">
        <f t="shared" ref="DR120" ca="1" si="1825">IFERROR($C120*DR119,"")</f>
        <v>0</v>
      </c>
      <c r="DS120" s="62"/>
      <c r="DT120" s="62"/>
      <c r="DU120" s="63"/>
      <c r="DV120" s="64">
        <f t="shared" ref="DV120" ca="1" si="1826">IFERROR($C120*DV119,"")</f>
        <v>0</v>
      </c>
      <c r="DW120" s="64"/>
      <c r="DX120" s="64"/>
      <c r="DY120" s="65"/>
      <c r="DZ120" s="62">
        <f t="shared" ref="DZ120" ca="1" si="1827">IFERROR($C120*DZ119,"")</f>
        <v>0</v>
      </c>
      <c r="EA120" s="62"/>
      <c r="EB120" s="62"/>
      <c r="EC120" s="62"/>
      <c r="ED120" s="62">
        <f t="shared" ref="ED120" ca="1" si="1828">IFERROR($C120*ED119,"")</f>
        <v>0</v>
      </c>
      <c r="EE120" s="62"/>
      <c r="EF120" s="62"/>
      <c r="EG120" s="63"/>
      <c r="EH120" s="64">
        <f t="shared" ref="EH120" ca="1" si="1829">IFERROR($C120*EH119,"")</f>
        <v>0</v>
      </c>
      <c r="EI120" s="64"/>
      <c r="EJ120" s="64"/>
      <c r="EK120" s="65"/>
      <c r="EL120" s="62">
        <f t="shared" ref="EL120" ca="1" si="1830">IFERROR($C120*EL119,"")</f>
        <v>0</v>
      </c>
      <c r="EM120" s="62"/>
      <c r="EN120" s="62"/>
      <c r="EO120" s="62"/>
      <c r="EP120" s="62">
        <f t="shared" ref="EP120" ca="1" si="1831">IFERROR($C120*EP119,"")</f>
        <v>0</v>
      </c>
      <c r="EQ120" s="62"/>
      <c r="ER120" s="62"/>
      <c r="ES120" s="63"/>
    </row>
    <row r="121" spans="1:149" customFormat="1" ht="18.600000000000001" outlineLevel="1" thickBot="1" x14ac:dyDescent="0.5">
      <c r="A121" s="2"/>
      <c r="B121" s="36"/>
      <c r="C121" s="25">
        <v>350000</v>
      </c>
      <c r="D121" s="26" t="s">
        <v>3</v>
      </c>
      <c r="E121" s="27">
        <f ca="1">SUM(F121:CW121)</f>
        <v>0</v>
      </c>
      <c r="F121" s="66">
        <f ca="1">IFERROR($C121*F119,"")</f>
        <v>0</v>
      </c>
      <c r="G121" s="60"/>
      <c r="H121" s="60"/>
      <c r="I121" s="60"/>
      <c r="J121" s="60">
        <f t="shared" ref="J121" ca="1" si="1832">IFERROR($C121*J119,"")</f>
        <v>0</v>
      </c>
      <c r="K121" s="60"/>
      <c r="L121" s="60"/>
      <c r="M121" s="60"/>
      <c r="N121" s="61">
        <f t="shared" ref="N121" ca="1" si="1833">IFERROR($C121*N119,"")</f>
        <v>0</v>
      </c>
      <c r="O121" s="58"/>
      <c r="P121" s="58"/>
      <c r="Q121" s="58"/>
      <c r="R121" s="58">
        <f t="shared" ref="R121" si="1834">IFERROR($C121*R119,"")</f>
        <v>0</v>
      </c>
      <c r="S121" s="58"/>
      <c r="T121" s="58"/>
      <c r="U121" s="59"/>
      <c r="V121" s="60">
        <f t="shared" ref="V121" si="1835">IFERROR($C121*V119,"")</f>
        <v>0</v>
      </c>
      <c r="W121" s="60"/>
      <c r="X121" s="60"/>
      <c r="Y121" s="60"/>
      <c r="Z121" s="60">
        <f t="shared" ref="Z121" si="1836">IFERROR($C121*Z119,"")</f>
        <v>0</v>
      </c>
      <c r="AA121" s="60"/>
      <c r="AB121" s="60"/>
      <c r="AC121" s="61"/>
      <c r="AD121" s="60">
        <f t="shared" ref="AD121" si="1837">IFERROR($C121*AD119,"")</f>
        <v>0</v>
      </c>
      <c r="AE121" s="60"/>
      <c r="AF121" s="60"/>
      <c r="AG121" s="60"/>
      <c r="AH121" s="60">
        <f t="shared" ref="AH121" si="1838">IFERROR($C121*AH119,"")</f>
        <v>0</v>
      </c>
      <c r="AI121" s="60"/>
      <c r="AJ121" s="60"/>
      <c r="AK121" s="60"/>
      <c r="AL121" s="60">
        <f t="shared" ref="AL121" si="1839">IFERROR($C121*AL119,"")</f>
        <v>0</v>
      </c>
      <c r="AM121" s="60"/>
      <c r="AN121" s="60"/>
      <c r="AO121" s="61"/>
      <c r="AP121" s="58">
        <f t="shared" ref="AP121" si="1840">IFERROR($C121*AP119,"")</f>
        <v>0</v>
      </c>
      <c r="AQ121" s="58"/>
      <c r="AR121" s="58"/>
      <c r="AS121" s="59"/>
      <c r="AT121" s="60">
        <f t="shared" ref="AT121" si="1841">IFERROR($C121*AT119,"")</f>
        <v>0</v>
      </c>
      <c r="AU121" s="60"/>
      <c r="AV121" s="60"/>
      <c r="AW121" s="60"/>
      <c r="AX121" s="60">
        <f t="shared" ref="AX121" si="1842">IFERROR($C121*AX119,"")</f>
        <v>0</v>
      </c>
      <c r="AY121" s="60"/>
      <c r="AZ121" s="60"/>
      <c r="BA121" s="61"/>
      <c r="BB121" s="58">
        <f t="shared" ref="BB121:CD121" si="1843">IFERROR($C121*BB119,"")</f>
        <v>0</v>
      </c>
      <c r="BC121" s="58"/>
      <c r="BD121" s="58"/>
      <c r="BE121" s="59"/>
      <c r="BF121" s="60">
        <f t="shared" si="1843"/>
        <v>0</v>
      </c>
      <c r="BG121" s="60"/>
      <c r="BH121" s="60"/>
      <c r="BI121" s="60"/>
      <c r="BJ121" s="60">
        <f t="shared" si="1843"/>
        <v>0</v>
      </c>
      <c r="BK121" s="60"/>
      <c r="BL121" s="60"/>
      <c r="BM121" s="61"/>
      <c r="BN121" s="58">
        <f t="shared" si="1843"/>
        <v>0</v>
      </c>
      <c r="BO121" s="58"/>
      <c r="BP121" s="58"/>
      <c r="BQ121" s="59"/>
      <c r="BR121" s="60">
        <f t="shared" si="1843"/>
        <v>0</v>
      </c>
      <c r="BS121" s="60"/>
      <c r="BT121" s="60"/>
      <c r="BU121" s="60"/>
      <c r="BV121" s="60">
        <f t="shared" si="1843"/>
        <v>0</v>
      </c>
      <c r="BW121" s="60"/>
      <c r="BX121" s="60"/>
      <c r="BY121" s="61"/>
      <c r="BZ121" s="58">
        <f t="shared" si="1843"/>
        <v>0</v>
      </c>
      <c r="CA121" s="58"/>
      <c r="CB121" s="58"/>
      <c r="CC121" s="59"/>
      <c r="CD121" s="60">
        <f t="shared" si="1843"/>
        <v>0</v>
      </c>
      <c r="CE121" s="60"/>
      <c r="CF121" s="60"/>
      <c r="CG121" s="60"/>
      <c r="CH121" s="60">
        <f t="shared" ref="CH121:DJ121" si="1844">IFERROR($C121*CH119,"")</f>
        <v>0</v>
      </c>
      <c r="CI121" s="60"/>
      <c r="CJ121" s="60"/>
      <c r="CK121" s="61"/>
      <c r="CL121" s="58">
        <f t="shared" si="1844"/>
        <v>0</v>
      </c>
      <c r="CM121" s="58"/>
      <c r="CN121" s="58"/>
      <c r="CO121" s="59"/>
      <c r="CP121" s="60">
        <f t="shared" si="1844"/>
        <v>0</v>
      </c>
      <c r="CQ121" s="60"/>
      <c r="CR121" s="60"/>
      <c r="CS121" s="60"/>
      <c r="CT121" s="60">
        <f t="shared" si="1844"/>
        <v>0</v>
      </c>
      <c r="CU121" s="60"/>
      <c r="CV121" s="60"/>
      <c r="CW121" s="61"/>
      <c r="CX121" s="58">
        <f t="shared" si="1844"/>
        <v>0</v>
      </c>
      <c r="CY121" s="58"/>
      <c r="CZ121" s="58"/>
      <c r="DA121" s="59"/>
      <c r="DB121" s="60">
        <f t="shared" si="1844"/>
        <v>0</v>
      </c>
      <c r="DC121" s="60"/>
      <c r="DD121" s="60"/>
      <c r="DE121" s="60"/>
      <c r="DF121" s="60">
        <f t="shared" si="1844"/>
        <v>0</v>
      </c>
      <c r="DG121" s="60"/>
      <c r="DH121" s="60"/>
      <c r="DI121" s="61"/>
      <c r="DJ121" s="58">
        <f t="shared" si="1844"/>
        <v>0</v>
      </c>
      <c r="DK121" s="58"/>
      <c r="DL121" s="58"/>
      <c r="DM121" s="59"/>
      <c r="DN121" s="60">
        <f t="shared" ref="DN121:EP121" si="1845">IFERROR($C121*DN119,"")</f>
        <v>0</v>
      </c>
      <c r="DO121" s="60"/>
      <c r="DP121" s="60"/>
      <c r="DQ121" s="60"/>
      <c r="DR121" s="60">
        <f t="shared" ca="1" si="1845"/>
        <v>0</v>
      </c>
      <c r="DS121" s="60"/>
      <c r="DT121" s="60"/>
      <c r="DU121" s="61"/>
      <c r="DV121" s="58">
        <f t="shared" ca="1" si="1845"/>
        <v>0</v>
      </c>
      <c r="DW121" s="58"/>
      <c r="DX121" s="58"/>
      <c r="DY121" s="59"/>
      <c r="DZ121" s="60">
        <f t="shared" ca="1" si="1845"/>
        <v>0</v>
      </c>
      <c r="EA121" s="60"/>
      <c r="EB121" s="60"/>
      <c r="EC121" s="60"/>
      <c r="ED121" s="60">
        <f t="shared" ca="1" si="1845"/>
        <v>0</v>
      </c>
      <c r="EE121" s="60"/>
      <c r="EF121" s="60"/>
      <c r="EG121" s="61"/>
      <c r="EH121" s="58">
        <f t="shared" ca="1" si="1845"/>
        <v>0</v>
      </c>
      <c r="EI121" s="58"/>
      <c r="EJ121" s="58"/>
      <c r="EK121" s="59"/>
      <c r="EL121" s="60">
        <f t="shared" ca="1" si="1845"/>
        <v>0</v>
      </c>
      <c r="EM121" s="60"/>
      <c r="EN121" s="60"/>
      <c r="EO121" s="60"/>
      <c r="EP121" s="60">
        <f t="shared" ca="1" si="1845"/>
        <v>0</v>
      </c>
      <c r="EQ121" s="60"/>
      <c r="ER121" s="60"/>
      <c r="ES121" s="61"/>
    </row>
    <row r="122" spans="1:149" customFormat="1" ht="18.600000000000001" hidden="1" outlineLevel="1" thickBot="1" x14ac:dyDescent="0.5">
      <c r="A122" s="2"/>
      <c r="B122" s="75">
        <v>7</v>
      </c>
      <c r="C122" s="19"/>
      <c r="D122" s="20" t="s">
        <v>13</v>
      </c>
      <c r="E122" s="21">
        <f ca="1">SUM(F122:ES122)</f>
        <v>0</v>
      </c>
      <c r="F122" s="74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G122" s="67"/>
      <c r="H122" s="67"/>
      <c r="I122" s="67"/>
      <c r="J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K122" s="67"/>
      <c r="L122" s="67"/>
      <c r="M122" s="67"/>
      <c r="N122" s="68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O122" s="70"/>
      <c r="P122" s="70"/>
      <c r="Q122" s="70"/>
      <c r="R122" s="70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S122" s="70"/>
      <c r="T122" s="70"/>
      <c r="U122" s="71"/>
      <c r="V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W122" s="67"/>
      <c r="X122" s="67"/>
      <c r="Y122" s="67"/>
      <c r="Z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AA122" s="67"/>
      <c r="AB122" s="67"/>
      <c r="AC122" s="68"/>
      <c r="AD122" s="70"/>
      <c r="AE122" s="70"/>
      <c r="AF122" s="70"/>
      <c r="AG122" s="71"/>
      <c r="AH122" s="67"/>
      <c r="AI122" s="67"/>
      <c r="AJ122" s="67"/>
      <c r="AK122" s="67"/>
      <c r="AL122" s="67"/>
      <c r="AM122" s="67"/>
      <c r="AN122" s="67"/>
      <c r="AO122" s="68"/>
      <c r="AP122" s="70"/>
      <c r="AQ122" s="70"/>
      <c r="AR122" s="70"/>
      <c r="AS122" s="71"/>
      <c r="AT122" s="67"/>
      <c r="AU122" s="67"/>
      <c r="AV122" s="67"/>
      <c r="AW122" s="67"/>
      <c r="AX122" s="67"/>
      <c r="AY122" s="67"/>
      <c r="AZ122" s="67"/>
      <c r="BA122" s="68"/>
      <c r="BB122" s="70"/>
      <c r="BC122" s="70"/>
      <c r="BD122" s="70"/>
      <c r="BE122" s="71"/>
      <c r="BF122" s="67"/>
      <c r="BG122" s="67"/>
      <c r="BH122" s="67"/>
      <c r="BI122" s="67"/>
      <c r="BJ122" s="67"/>
      <c r="BK122" s="67"/>
      <c r="BL122" s="67"/>
      <c r="BM122" s="68"/>
      <c r="BN122" s="70"/>
      <c r="BO122" s="70"/>
      <c r="BP122" s="70"/>
      <c r="BQ122" s="71"/>
      <c r="BR122" s="67"/>
      <c r="BS122" s="67"/>
      <c r="BT122" s="67"/>
      <c r="BU122" s="67"/>
      <c r="BV122" s="67"/>
      <c r="BW122" s="67"/>
      <c r="BX122" s="67"/>
      <c r="BY122" s="68"/>
      <c r="BZ122" s="70"/>
      <c r="CA122" s="70"/>
      <c r="CB122" s="70"/>
      <c r="CC122" s="71"/>
      <c r="CD122" s="67"/>
      <c r="CE122" s="67"/>
      <c r="CF122" s="67"/>
      <c r="CG122" s="67"/>
      <c r="CH122" s="67"/>
      <c r="CI122" s="67"/>
      <c r="CJ122" s="67"/>
      <c r="CK122" s="68"/>
      <c r="CL122" s="70"/>
      <c r="CM122" s="70"/>
      <c r="CN122" s="70"/>
      <c r="CO122" s="71"/>
      <c r="CP122" s="67"/>
      <c r="CQ122" s="67"/>
      <c r="CR122" s="67"/>
      <c r="CS122" s="67"/>
      <c r="CT122" s="67"/>
      <c r="CU122" s="67"/>
      <c r="CV122" s="67"/>
      <c r="CW122" s="68"/>
      <c r="CX122" s="70"/>
      <c r="CY122" s="70"/>
      <c r="CZ122" s="70"/>
      <c r="DA122" s="71"/>
      <c r="DB122" s="67"/>
      <c r="DC122" s="67"/>
      <c r="DD122" s="67"/>
      <c r="DE122" s="67"/>
      <c r="DF122" s="67"/>
      <c r="DG122" s="67"/>
      <c r="DH122" s="67"/>
      <c r="DI122" s="68"/>
      <c r="DJ122" s="70"/>
      <c r="DK122" s="70"/>
      <c r="DL122" s="70"/>
      <c r="DM122" s="71"/>
      <c r="DN122" s="67"/>
      <c r="DO122" s="67"/>
      <c r="DP122" s="67"/>
      <c r="DQ122" s="67"/>
      <c r="DR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DS122" s="67"/>
      <c r="DT122" s="67"/>
      <c r="DU122" s="68"/>
      <c r="DV122" s="70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DW122" s="70"/>
      <c r="DX122" s="70"/>
      <c r="DY122" s="71"/>
      <c r="DZ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EA122" s="67"/>
      <c r="EB122" s="67"/>
      <c r="EC122" s="67"/>
      <c r="ED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EE122" s="67"/>
      <c r="EF122" s="67"/>
      <c r="EG122" s="68"/>
      <c r="EH122" s="70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EI122" s="70"/>
      <c r="EJ122" s="70"/>
      <c r="EK122" s="71"/>
      <c r="EL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EM122" s="67"/>
      <c r="EN122" s="67"/>
      <c r="EO122" s="67"/>
      <c r="EP122" s="67">
        <f ca="1">IF(ISERROR(VLOOKUP(RIGHT(CELL("filename",$A$1),LEN(CELL("filename",$A$1))-FIND("]",CELL("filename",$A$1)))&amp;$B122,[2]要員計画!$L:$AJ,((COLUMN()-1)/4)+1,FALSE)),0,VLOOKUP(RIGHT(CELL("filename",$A$1),LEN(CELL("filename",$A$1))-FIND("]",CELL("filename",$A$1)))&amp;$B122,[2]要員計画!$L:$AJ,((COLUMN()-1)/4)+1,FALSE))</f>
        <v>0</v>
      </c>
      <c r="EQ122" s="67"/>
      <c r="ER122" s="67"/>
      <c r="ES122" s="68"/>
    </row>
    <row r="123" spans="1:149" customFormat="1" ht="18.600000000000001" hidden="1" outlineLevel="1" thickBot="1" x14ac:dyDescent="0.5">
      <c r="A123" s="2"/>
      <c r="B123" s="76"/>
      <c r="C123" s="22">
        <v>1000000</v>
      </c>
      <c r="D123" s="23" t="s">
        <v>23</v>
      </c>
      <c r="E123" s="24">
        <f ca="1">SUM(F123:CW123)</f>
        <v>0</v>
      </c>
      <c r="F123" s="69">
        <f ca="1">IFERROR($C123*F122,"")</f>
        <v>0</v>
      </c>
      <c r="G123" s="62"/>
      <c r="H123" s="62"/>
      <c r="I123" s="62"/>
      <c r="J123" s="62">
        <f t="shared" ref="J123" ca="1" si="1846">IFERROR($C123*J122,"")</f>
        <v>0</v>
      </c>
      <c r="K123" s="62"/>
      <c r="L123" s="62"/>
      <c r="M123" s="62"/>
      <c r="N123" s="63">
        <f t="shared" ref="N123" ca="1" si="1847">IFERROR($C123*N122,"")</f>
        <v>0</v>
      </c>
      <c r="O123" s="64"/>
      <c r="P123" s="64"/>
      <c r="Q123" s="64"/>
      <c r="R123" s="64">
        <f t="shared" ref="R123" ca="1" si="1848">IFERROR($C123*R122,"")</f>
        <v>0</v>
      </c>
      <c r="S123" s="64"/>
      <c r="T123" s="64"/>
      <c r="U123" s="65"/>
      <c r="V123" s="62">
        <f t="shared" ref="V123" ca="1" si="1849">IFERROR($C123*V122,"")</f>
        <v>0</v>
      </c>
      <c r="W123" s="62"/>
      <c r="X123" s="62"/>
      <c r="Y123" s="62"/>
      <c r="Z123" s="62">
        <f t="shared" ref="Z123" ca="1" si="1850">IFERROR($C123*Z122,"")</f>
        <v>0</v>
      </c>
      <c r="AA123" s="62"/>
      <c r="AB123" s="62"/>
      <c r="AC123" s="63"/>
      <c r="AD123" s="64"/>
      <c r="AE123" s="64"/>
      <c r="AF123" s="64"/>
      <c r="AG123" s="65"/>
      <c r="AH123" s="62"/>
      <c r="AI123" s="62"/>
      <c r="AJ123" s="62"/>
      <c r="AK123" s="62"/>
      <c r="AL123" s="62"/>
      <c r="AM123" s="62"/>
      <c r="AN123" s="62"/>
      <c r="AO123" s="63"/>
      <c r="AP123" s="64"/>
      <c r="AQ123" s="64"/>
      <c r="AR123" s="64"/>
      <c r="AS123" s="65"/>
      <c r="AT123" s="62"/>
      <c r="AU123" s="62"/>
      <c r="AV123" s="62"/>
      <c r="AW123" s="62"/>
      <c r="AX123" s="62"/>
      <c r="AY123" s="62"/>
      <c r="AZ123" s="62"/>
      <c r="BA123" s="63"/>
      <c r="BB123" s="64"/>
      <c r="BC123" s="64"/>
      <c r="BD123" s="64"/>
      <c r="BE123" s="65"/>
      <c r="BF123" s="62"/>
      <c r="BG123" s="62"/>
      <c r="BH123" s="62"/>
      <c r="BI123" s="62"/>
      <c r="BJ123" s="62"/>
      <c r="BK123" s="62"/>
      <c r="BL123" s="62"/>
      <c r="BM123" s="63"/>
      <c r="BN123" s="64"/>
      <c r="BO123" s="64"/>
      <c r="BP123" s="64"/>
      <c r="BQ123" s="65"/>
      <c r="BR123" s="62"/>
      <c r="BS123" s="62"/>
      <c r="BT123" s="62"/>
      <c r="BU123" s="62"/>
      <c r="BV123" s="62"/>
      <c r="BW123" s="62"/>
      <c r="BX123" s="62"/>
      <c r="BY123" s="63"/>
      <c r="BZ123" s="64"/>
      <c r="CA123" s="64"/>
      <c r="CB123" s="64"/>
      <c r="CC123" s="65"/>
      <c r="CD123" s="62"/>
      <c r="CE123" s="62"/>
      <c r="CF123" s="62"/>
      <c r="CG123" s="62"/>
      <c r="CH123" s="62"/>
      <c r="CI123" s="62"/>
      <c r="CJ123" s="62"/>
      <c r="CK123" s="63"/>
      <c r="CL123" s="64"/>
      <c r="CM123" s="64"/>
      <c r="CN123" s="64"/>
      <c r="CO123" s="65"/>
      <c r="CP123" s="62"/>
      <c r="CQ123" s="62"/>
      <c r="CR123" s="62"/>
      <c r="CS123" s="62"/>
      <c r="CT123" s="62"/>
      <c r="CU123" s="62"/>
      <c r="CV123" s="62"/>
      <c r="CW123" s="63"/>
      <c r="CX123" s="64"/>
      <c r="CY123" s="64"/>
      <c r="CZ123" s="64"/>
      <c r="DA123" s="65"/>
      <c r="DB123" s="62"/>
      <c r="DC123" s="62"/>
      <c r="DD123" s="62"/>
      <c r="DE123" s="62"/>
      <c r="DF123" s="62"/>
      <c r="DG123" s="62"/>
      <c r="DH123" s="62"/>
      <c r="DI123" s="63"/>
      <c r="DJ123" s="64"/>
      <c r="DK123" s="64"/>
      <c r="DL123" s="64"/>
      <c r="DM123" s="65"/>
      <c r="DN123" s="62"/>
      <c r="DO123" s="62"/>
      <c r="DP123" s="62"/>
      <c r="DQ123" s="62"/>
      <c r="DR123" s="62">
        <f t="shared" ref="DR123" ca="1" si="1851">IFERROR($C123*DR122,"")</f>
        <v>0</v>
      </c>
      <c r="DS123" s="62"/>
      <c r="DT123" s="62"/>
      <c r="DU123" s="63"/>
      <c r="DV123" s="64">
        <f t="shared" ref="DV123" ca="1" si="1852">IFERROR($C123*DV122,"")</f>
        <v>0</v>
      </c>
      <c r="DW123" s="64"/>
      <c r="DX123" s="64"/>
      <c r="DY123" s="65"/>
      <c r="DZ123" s="62">
        <f t="shared" ref="DZ123" ca="1" si="1853">IFERROR($C123*DZ122,"")</f>
        <v>0</v>
      </c>
      <c r="EA123" s="62"/>
      <c r="EB123" s="62"/>
      <c r="EC123" s="62"/>
      <c r="ED123" s="62">
        <f t="shared" ref="ED123" ca="1" si="1854">IFERROR($C123*ED122,"")</f>
        <v>0</v>
      </c>
      <c r="EE123" s="62"/>
      <c r="EF123" s="62"/>
      <c r="EG123" s="63"/>
      <c r="EH123" s="64">
        <f t="shared" ref="EH123" ca="1" si="1855">IFERROR($C123*EH122,"")</f>
        <v>0</v>
      </c>
      <c r="EI123" s="64"/>
      <c r="EJ123" s="64"/>
      <c r="EK123" s="65"/>
      <c r="EL123" s="62">
        <f t="shared" ref="EL123" ca="1" si="1856">IFERROR($C123*EL122,"")</f>
        <v>0</v>
      </c>
      <c r="EM123" s="62"/>
      <c r="EN123" s="62"/>
      <c r="EO123" s="62"/>
      <c r="EP123" s="62">
        <f t="shared" ref="EP123" ca="1" si="1857">IFERROR($C123*EP122,"")</f>
        <v>0</v>
      </c>
      <c r="EQ123" s="62"/>
      <c r="ER123" s="62"/>
      <c r="ES123" s="63"/>
    </row>
    <row r="124" spans="1:149" customFormat="1" ht="18.600000000000001" hidden="1" outlineLevel="1" thickBot="1" x14ac:dyDescent="0.5">
      <c r="A124" s="2"/>
      <c r="B124" s="77"/>
      <c r="C124" s="25">
        <v>850000</v>
      </c>
      <c r="D124" s="26" t="s">
        <v>3</v>
      </c>
      <c r="E124" s="27">
        <f ca="1">SUM(F124:CW124)</f>
        <v>0</v>
      </c>
      <c r="F124" s="66">
        <f ca="1">IFERROR($C124*F122,"")</f>
        <v>0</v>
      </c>
      <c r="G124" s="60"/>
      <c r="H124" s="60"/>
      <c r="I124" s="60"/>
      <c r="J124" s="60">
        <f t="shared" ref="J124" ca="1" si="1858">IFERROR($C124*J122,"")</f>
        <v>0</v>
      </c>
      <c r="K124" s="60"/>
      <c r="L124" s="60"/>
      <c r="M124" s="60"/>
      <c r="N124" s="61">
        <f t="shared" ref="N124" ca="1" si="1859">IFERROR($C124*N122,"")</f>
        <v>0</v>
      </c>
      <c r="O124" s="58"/>
      <c r="P124" s="58"/>
      <c r="Q124" s="58"/>
      <c r="R124" s="58">
        <f t="shared" ref="R124" ca="1" si="1860">IFERROR($C124*R122,"")</f>
        <v>0</v>
      </c>
      <c r="S124" s="58"/>
      <c r="T124" s="58"/>
      <c r="U124" s="59"/>
      <c r="V124" s="60">
        <f t="shared" ref="V124" ca="1" si="1861">IFERROR($C124*V122,"")</f>
        <v>0</v>
      </c>
      <c r="W124" s="60"/>
      <c r="X124" s="60"/>
      <c r="Y124" s="60"/>
      <c r="Z124" s="60">
        <f t="shared" ref="Z124" ca="1" si="1862">IFERROR($C124*Z122,"")</f>
        <v>0</v>
      </c>
      <c r="AA124" s="60"/>
      <c r="AB124" s="60"/>
      <c r="AC124" s="61"/>
      <c r="AD124" s="58"/>
      <c r="AE124" s="58"/>
      <c r="AF124" s="58"/>
      <c r="AG124" s="59"/>
      <c r="AH124" s="60"/>
      <c r="AI124" s="60"/>
      <c r="AJ124" s="60"/>
      <c r="AK124" s="60"/>
      <c r="AL124" s="60"/>
      <c r="AM124" s="60"/>
      <c r="AN124" s="60"/>
      <c r="AO124" s="61"/>
      <c r="AP124" s="58"/>
      <c r="AQ124" s="58"/>
      <c r="AR124" s="58"/>
      <c r="AS124" s="59"/>
      <c r="AT124" s="60"/>
      <c r="AU124" s="60"/>
      <c r="AV124" s="60"/>
      <c r="AW124" s="60"/>
      <c r="AX124" s="60"/>
      <c r="AY124" s="60"/>
      <c r="AZ124" s="60"/>
      <c r="BA124" s="61"/>
      <c r="BB124" s="58"/>
      <c r="BC124" s="58"/>
      <c r="BD124" s="58"/>
      <c r="BE124" s="59"/>
      <c r="BF124" s="60"/>
      <c r="BG124" s="60"/>
      <c r="BH124" s="60"/>
      <c r="BI124" s="60"/>
      <c r="BJ124" s="60"/>
      <c r="BK124" s="60"/>
      <c r="BL124" s="60"/>
      <c r="BM124" s="61"/>
      <c r="BN124" s="58"/>
      <c r="BO124" s="58"/>
      <c r="BP124" s="58"/>
      <c r="BQ124" s="59"/>
      <c r="BR124" s="60"/>
      <c r="BS124" s="60"/>
      <c r="BT124" s="60"/>
      <c r="BU124" s="60"/>
      <c r="BV124" s="60"/>
      <c r="BW124" s="60"/>
      <c r="BX124" s="60"/>
      <c r="BY124" s="61"/>
      <c r="BZ124" s="58"/>
      <c r="CA124" s="58"/>
      <c r="CB124" s="58"/>
      <c r="CC124" s="59"/>
      <c r="CD124" s="60"/>
      <c r="CE124" s="60"/>
      <c r="CF124" s="60"/>
      <c r="CG124" s="60"/>
      <c r="CH124" s="60"/>
      <c r="CI124" s="60"/>
      <c r="CJ124" s="60"/>
      <c r="CK124" s="61"/>
      <c r="CL124" s="58"/>
      <c r="CM124" s="58"/>
      <c r="CN124" s="58"/>
      <c r="CO124" s="59"/>
      <c r="CP124" s="60"/>
      <c r="CQ124" s="60"/>
      <c r="CR124" s="60"/>
      <c r="CS124" s="60"/>
      <c r="CT124" s="60"/>
      <c r="CU124" s="60"/>
      <c r="CV124" s="60"/>
      <c r="CW124" s="61"/>
      <c r="CX124" s="58"/>
      <c r="CY124" s="58"/>
      <c r="CZ124" s="58"/>
      <c r="DA124" s="59"/>
      <c r="DB124" s="60"/>
      <c r="DC124" s="60"/>
      <c r="DD124" s="60"/>
      <c r="DE124" s="60"/>
      <c r="DF124" s="60"/>
      <c r="DG124" s="60"/>
      <c r="DH124" s="60"/>
      <c r="DI124" s="61"/>
      <c r="DJ124" s="58"/>
      <c r="DK124" s="58"/>
      <c r="DL124" s="58"/>
      <c r="DM124" s="59"/>
      <c r="DN124" s="60"/>
      <c r="DO124" s="60"/>
      <c r="DP124" s="60"/>
      <c r="DQ124" s="60"/>
      <c r="DR124" s="60">
        <f t="shared" ref="DR124" ca="1" si="1863">IFERROR($C124*DR122,"")</f>
        <v>0</v>
      </c>
      <c r="DS124" s="60"/>
      <c r="DT124" s="60"/>
      <c r="DU124" s="61"/>
      <c r="DV124" s="58">
        <f t="shared" ref="DV124" ca="1" si="1864">IFERROR($C124*DV122,"")</f>
        <v>0</v>
      </c>
      <c r="DW124" s="58"/>
      <c r="DX124" s="58"/>
      <c r="DY124" s="59"/>
      <c r="DZ124" s="60">
        <f t="shared" ref="DZ124" ca="1" si="1865">IFERROR($C124*DZ122,"")</f>
        <v>0</v>
      </c>
      <c r="EA124" s="60"/>
      <c r="EB124" s="60"/>
      <c r="EC124" s="60"/>
      <c r="ED124" s="60">
        <f t="shared" ref="ED124" ca="1" si="1866">IFERROR($C124*ED122,"")</f>
        <v>0</v>
      </c>
      <c r="EE124" s="60"/>
      <c r="EF124" s="60"/>
      <c r="EG124" s="61"/>
      <c r="EH124" s="58">
        <f t="shared" ref="EH124" ca="1" si="1867">IFERROR($C124*EH122,"")</f>
        <v>0</v>
      </c>
      <c r="EI124" s="58"/>
      <c r="EJ124" s="58"/>
      <c r="EK124" s="59"/>
      <c r="EL124" s="60">
        <f t="shared" ref="EL124" ca="1" si="1868">IFERROR($C124*EL122,"")</f>
        <v>0</v>
      </c>
      <c r="EM124" s="60"/>
      <c r="EN124" s="60"/>
      <c r="EO124" s="60"/>
      <c r="EP124" s="60">
        <f t="shared" ref="EP124" ca="1" si="1869">IFERROR($C124*EP122,"")</f>
        <v>0</v>
      </c>
      <c r="EQ124" s="60"/>
      <c r="ER124" s="60"/>
      <c r="ES124" s="61"/>
    </row>
    <row r="125" spans="1:149" customFormat="1" ht="18.600000000000001" hidden="1" outlineLevel="1" thickBot="1" x14ac:dyDescent="0.5">
      <c r="A125" s="2"/>
      <c r="B125" s="72">
        <v>8</v>
      </c>
      <c r="C125" s="19"/>
      <c r="D125" s="20" t="s">
        <v>13</v>
      </c>
      <c r="E125" s="21">
        <f ca="1">SUM(F125:ES125)</f>
        <v>0</v>
      </c>
      <c r="F125" s="74"/>
      <c r="G125" s="67"/>
      <c r="H125" s="67"/>
      <c r="I125" s="67"/>
      <c r="J125" s="67"/>
      <c r="K125" s="67"/>
      <c r="L125" s="67"/>
      <c r="M125" s="67"/>
      <c r="N125" s="68"/>
      <c r="O125" s="70"/>
      <c r="P125" s="70"/>
      <c r="Q125" s="70"/>
      <c r="R125" s="70"/>
      <c r="S125" s="70"/>
      <c r="T125" s="70"/>
      <c r="U125" s="71"/>
      <c r="V125" s="67"/>
      <c r="W125" s="67"/>
      <c r="X125" s="67"/>
      <c r="Y125" s="67"/>
      <c r="Z125" s="67"/>
      <c r="AA125" s="67"/>
      <c r="AB125" s="67"/>
      <c r="AC125" s="68"/>
      <c r="AD125" s="70"/>
      <c r="AE125" s="70"/>
      <c r="AF125" s="70"/>
      <c r="AG125" s="71"/>
      <c r="AH125" s="67"/>
      <c r="AI125" s="67"/>
      <c r="AJ125" s="67"/>
      <c r="AK125" s="67"/>
      <c r="AL125" s="67"/>
      <c r="AM125" s="67"/>
      <c r="AN125" s="67"/>
      <c r="AO125" s="68"/>
      <c r="AP125" s="70"/>
      <c r="AQ125" s="70"/>
      <c r="AR125" s="70"/>
      <c r="AS125" s="71"/>
      <c r="AT125" s="67"/>
      <c r="AU125" s="67"/>
      <c r="AV125" s="67"/>
      <c r="AW125" s="67"/>
      <c r="AX125" s="67"/>
      <c r="AY125" s="67"/>
      <c r="AZ125" s="67"/>
      <c r="BA125" s="68"/>
      <c r="BB125" s="70"/>
      <c r="BC125" s="70"/>
      <c r="BD125" s="70"/>
      <c r="BE125" s="71"/>
      <c r="BF125" s="67"/>
      <c r="BG125" s="67"/>
      <c r="BH125" s="67"/>
      <c r="BI125" s="67"/>
      <c r="BJ125" s="67"/>
      <c r="BK125" s="67"/>
      <c r="BL125" s="67"/>
      <c r="BM125" s="68"/>
      <c r="BN125" s="70"/>
      <c r="BO125" s="70"/>
      <c r="BP125" s="70"/>
      <c r="BQ125" s="71"/>
      <c r="BR125" s="67"/>
      <c r="BS125" s="67"/>
      <c r="BT125" s="67"/>
      <c r="BU125" s="67"/>
      <c r="BV125" s="67"/>
      <c r="BW125" s="67"/>
      <c r="BX125" s="67"/>
      <c r="BY125" s="68"/>
      <c r="BZ125" s="70"/>
      <c r="CA125" s="70"/>
      <c r="CB125" s="70"/>
      <c r="CC125" s="71"/>
      <c r="CD125" s="67"/>
      <c r="CE125" s="67"/>
      <c r="CF125" s="67"/>
      <c r="CG125" s="67"/>
      <c r="CH125" s="67"/>
      <c r="CI125" s="67"/>
      <c r="CJ125" s="67"/>
      <c r="CK125" s="68"/>
      <c r="CL125" s="70"/>
      <c r="CM125" s="70"/>
      <c r="CN125" s="70"/>
      <c r="CO125" s="71"/>
      <c r="CP125" s="67"/>
      <c r="CQ125" s="67"/>
      <c r="CR125" s="67"/>
      <c r="CS125" s="67"/>
      <c r="CT125" s="67"/>
      <c r="CU125" s="67"/>
      <c r="CV125" s="67"/>
      <c r="CW125" s="68"/>
      <c r="CX125" s="70"/>
      <c r="CY125" s="70"/>
      <c r="CZ125" s="70"/>
      <c r="DA125" s="71"/>
      <c r="DB125" s="67"/>
      <c r="DC125" s="67"/>
      <c r="DD125" s="67"/>
      <c r="DE125" s="67"/>
      <c r="DF125" s="67"/>
      <c r="DG125" s="67"/>
      <c r="DH125" s="67"/>
      <c r="DI125" s="68"/>
      <c r="DJ125" s="70"/>
      <c r="DK125" s="70"/>
      <c r="DL125" s="70"/>
      <c r="DM125" s="71"/>
      <c r="DN125" s="67"/>
      <c r="DO125" s="67"/>
      <c r="DP125" s="67"/>
      <c r="DQ125" s="67"/>
      <c r="DR125" s="67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DS125" s="67"/>
      <c r="DT125" s="67"/>
      <c r="DU125" s="68"/>
      <c r="DV125" s="70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DW125" s="70"/>
      <c r="DX125" s="70"/>
      <c r="DY125" s="71"/>
      <c r="DZ125" s="67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EA125" s="67"/>
      <c r="EB125" s="67"/>
      <c r="EC125" s="67"/>
      <c r="ED125" s="67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EE125" s="67"/>
      <c r="EF125" s="67"/>
      <c r="EG125" s="68"/>
      <c r="EH125" s="70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EI125" s="70"/>
      <c r="EJ125" s="70"/>
      <c r="EK125" s="71"/>
      <c r="EL125" s="67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EM125" s="67"/>
      <c r="EN125" s="67"/>
      <c r="EO125" s="67"/>
      <c r="EP125" s="67">
        <f ca="1">IF(ISERROR(VLOOKUP(RIGHT(CELL("filename",$A$1),LEN(CELL("filename",$A$1))-FIND("]",CELL("filename",$A$1)))&amp;$B125,[2]要員計画!$L:$AJ,((COLUMN()-1)/4)+1,FALSE)),0,VLOOKUP(RIGHT(CELL("filename",$A$1),LEN(CELL("filename",$A$1))-FIND("]",CELL("filename",$A$1)))&amp;$B125,[2]要員計画!$L:$AJ,((COLUMN()-1)/4)+1,FALSE))</f>
        <v>0</v>
      </c>
      <c r="EQ125" s="67"/>
      <c r="ER125" s="67"/>
      <c r="ES125" s="68"/>
    </row>
    <row r="126" spans="1:149" customFormat="1" ht="18.600000000000001" hidden="1" outlineLevel="1" thickBot="1" x14ac:dyDescent="0.5">
      <c r="A126" s="2"/>
      <c r="B126" s="73"/>
      <c r="C126" s="22">
        <v>1000000</v>
      </c>
      <c r="D126" s="23" t="s">
        <v>23</v>
      </c>
      <c r="E126" s="24">
        <f>SUM(F126:CW126)</f>
        <v>0</v>
      </c>
      <c r="F126" s="69">
        <f>IFERROR($C126*F125,"")</f>
        <v>0</v>
      </c>
      <c r="G126" s="62"/>
      <c r="H126" s="62"/>
      <c r="I126" s="62"/>
      <c r="J126" s="62">
        <f t="shared" ref="J126" si="1870">IFERROR($C126*J125,"")</f>
        <v>0</v>
      </c>
      <c r="K126" s="62"/>
      <c r="L126" s="62"/>
      <c r="M126" s="62"/>
      <c r="N126" s="63">
        <f t="shared" ref="N126" si="1871">IFERROR($C126*N125,"")</f>
        <v>0</v>
      </c>
      <c r="O126" s="64"/>
      <c r="P126" s="64"/>
      <c r="Q126" s="64"/>
      <c r="R126" s="64">
        <f t="shared" ref="R126" si="1872">IFERROR($C126*R125,"")</f>
        <v>0</v>
      </c>
      <c r="S126" s="64"/>
      <c r="T126" s="64"/>
      <c r="U126" s="65"/>
      <c r="V126" s="62">
        <f t="shared" ref="V126" si="1873">IFERROR($C126*V125,"")</f>
        <v>0</v>
      </c>
      <c r="W126" s="62"/>
      <c r="X126" s="62"/>
      <c r="Y126" s="62"/>
      <c r="Z126" s="62">
        <f t="shared" ref="Z126" si="1874">IFERROR($C126*Z125,"")</f>
        <v>0</v>
      </c>
      <c r="AA126" s="62"/>
      <c r="AB126" s="62"/>
      <c r="AC126" s="63"/>
      <c r="AD126" s="64"/>
      <c r="AE126" s="64"/>
      <c r="AF126" s="64"/>
      <c r="AG126" s="65"/>
      <c r="AH126" s="62"/>
      <c r="AI126" s="62"/>
      <c r="AJ126" s="62"/>
      <c r="AK126" s="62"/>
      <c r="AL126" s="62"/>
      <c r="AM126" s="62"/>
      <c r="AN126" s="62"/>
      <c r="AO126" s="63"/>
      <c r="AP126" s="64"/>
      <c r="AQ126" s="64"/>
      <c r="AR126" s="64"/>
      <c r="AS126" s="65"/>
      <c r="AT126" s="62"/>
      <c r="AU126" s="62"/>
      <c r="AV126" s="62"/>
      <c r="AW126" s="62"/>
      <c r="AX126" s="62"/>
      <c r="AY126" s="62"/>
      <c r="AZ126" s="62"/>
      <c r="BA126" s="63"/>
      <c r="BB126" s="64"/>
      <c r="BC126" s="64"/>
      <c r="BD126" s="64"/>
      <c r="BE126" s="65"/>
      <c r="BF126" s="62"/>
      <c r="BG126" s="62"/>
      <c r="BH126" s="62"/>
      <c r="BI126" s="62"/>
      <c r="BJ126" s="62"/>
      <c r="BK126" s="62"/>
      <c r="BL126" s="62"/>
      <c r="BM126" s="63"/>
      <c r="BN126" s="64"/>
      <c r="BO126" s="64"/>
      <c r="BP126" s="64"/>
      <c r="BQ126" s="65"/>
      <c r="BR126" s="62"/>
      <c r="BS126" s="62"/>
      <c r="BT126" s="62"/>
      <c r="BU126" s="62"/>
      <c r="BV126" s="62"/>
      <c r="BW126" s="62"/>
      <c r="BX126" s="62"/>
      <c r="BY126" s="63"/>
      <c r="BZ126" s="64"/>
      <c r="CA126" s="64"/>
      <c r="CB126" s="64"/>
      <c r="CC126" s="65"/>
      <c r="CD126" s="62"/>
      <c r="CE126" s="62"/>
      <c r="CF126" s="62"/>
      <c r="CG126" s="62"/>
      <c r="CH126" s="62"/>
      <c r="CI126" s="62"/>
      <c r="CJ126" s="62"/>
      <c r="CK126" s="63"/>
      <c r="CL126" s="64"/>
      <c r="CM126" s="64"/>
      <c r="CN126" s="64"/>
      <c r="CO126" s="65"/>
      <c r="CP126" s="62"/>
      <c r="CQ126" s="62"/>
      <c r="CR126" s="62"/>
      <c r="CS126" s="62"/>
      <c r="CT126" s="62"/>
      <c r="CU126" s="62"/>
      <c r="CV126" s="62"/>
      <c r="CW126" s="63"/>
      <c r="CX126" s="64"/>
      <c r="CY126" s="64"/>
      <c r="CZ126" s="64"/>
      <c r="DA126" s="65"/>
      <c r="DB126" s="62"/>
      <c r="DC126" s="62"/>
      <c r="DD126" s="62"/>
      <c r="DE126" s="62"/>
      <c r="DF126" s="62"/>
      <c r="DG126" s="62"/>
      <c r="DH126" s="62"/>
      <c r="DI126" s="63"/>
      <c r="DJ126" s="64"/>
      <c r="DK126" s="64"/>
      <c r="DL126" s="64"/>
      <c r="DM126" s="65"/>
      <c r="DN126" s="62"/>
      <c r="DO126" s="62"/>
      <c r="DP126" s="62"/>
      <c r="DQ126" s="62"/>
      <c r="DR126" s="62">
        <f t="shared" ref="DR126" ca="1" si="1875">IFERROR($C126*DR125,"")</f>
        <v>0</v>
      </c>
      <c r="DS126" s="62"/>
      <c r="DT126" s="62"/>
      <c r="DU126" s="63"/>
      <c r="DV126" s="64">
        <f t="shared" ref="DV126" ca="1" si="1876">IFERROR($C126*DV125,"")</f>
        <v>0</v>
      </c>
      <c r="DW126" s="64"/>
      <c r="DX126" s="64"/>
      <c r="DY126" s="65"/>
      <c r="DZ126" s="62">
        <f t="shared" ref="DZ126" ca="1" si="1877">IFERROR($C126*DZ125,"")</f>
        <v>0</v>
      </c>
      <c r="EA126" s="62"/>
      <c r="EB126" s="62"/>
      <c r="EC126" s="62"/>
      <c r="ED126" s="62">
        <f t="shared" ref="ED126" ca="1" si="1878">IFERROR($C126*ED125,"")</f>
        <v>0</v>
      </c>
      <c r="EE126" s="62"/>
      <c r="EF126" s="62"/>
      <c r="EG126" s="63"/>
      <c r="EH126" s="64">
        <f t="shared" ref="EH126" ca="1" si="1879">IFERROR($C126*EH125,"")</f>
        <v>0</v>
      </c>
      <c r="EI126" s="64"/>
      <c r="EJ126" s="64"/>
      <c r="EK126" s="65"/>
      <c r="EL126" s="62">
        <f t="shared" ref="EL126" ca="1" si="1880">IFERROR($C126*EL125,"")</f>
        <v>0</v>
      </c>
      <c r="EM126" s="62"/>
      <c r="EN126" s="62"/>
      <c r="EO126" s="62"/>
      <c r="EP126" s="62">
        <f t="shared" ref="EP126" ca="1" si="1881">IFERROR($C126*EP125,"")</f>
        <v>0</v>
      </c>
      <c r="EQ126" s="62"/>
      <c r="ER126" s="62"/>
      <c r="ES126" s="63"/>
    </row>
    <row r="127" spans="1:149" customFormat="1" ht="18.600000000000001" hidden="1" outlineLevel="1" thickBot="1" x14ac:dyDescent="0.5">
      <c r="A127" s="2"/>
      <c r="B127" s="78"/>
      <c r="C127" s="25">
        <v>850000</v>
      </c>
      <c r="D127" s="26" t="s">
        <v>3</v>
      </c>
      <c r="E127" s="27">
        <f>SUM(F127:CW127)</f>
        <v>0</v>
      </c>
      <c r="F127" s="66">
        <f>IFERROR($C127*F125,"")</f>
        <v>0</v>
      </c>
      <c r="G127" s="60"/>
      <c r="H127" s="60"/>
      <c r="I127" s="60"/>
      <c r="J127" s="60">
        <f t="shared" ref="J127" si="1882">IFERROR($C127*J125,"")</f>
        <v>0</v>
      </c>
      <c r="K127" s="60"/>
      <c r="L127" s="60"/>
      <c r="M127" s="60"/>
      <c r="N127" s="61">
        <f t="shared" ref="N127" si="1883">IFERROR($C127*N125,"")</f>
        <v>0</v>
      </c>
      <c r="O127" s="58"/>
      <c r="P127" s="58"/>
      <c r="Q127" s="58"/>
      <c r="R127" s="58">
        <f t="shared" ref="R127" si="1884">IFERROR($C127*R125,"")</f>
        <v>0</v>
      </c>
      <c r="S127" s="58"/>
      <c r="T127" s="58"/>
      <c r="U127" s="59"/>
      <c r="V127" s="60">
        <f t="shared" ref="V127" si="1885">IFERROR($C127*V125,"")</f>
        <v>0</v>
      </c>
      <c r="W127" s="60"/>
      <c r="X127" s="60"/>
      <c r="Y127" s="60"/>
      <c r="Z127" s="60">
        <f t="shared" ref="Z127" si="1886">IFERROR($C127*Z125,"")</f>
        <v>0</v>
      </c>
      <c r="AA127" s="60"/>
      <c r="AB127" s="60"/>
      <c r="AC127" s="61"/>
      <c r="AD127" s="58"/>
      <c r="AE127" s="58"/>
      <c r="AF127" s="58"/>
      <c r="AG127" s="59"/>
      <c r="AH127" s="60"/>
      <c r="AI127" s="60"/>
      <c r="AJ127" s="60"/>
      <c r="AK127" s="60"/>
      <c r="AL127" s="60"/>
      <c r="AM127" s="60"/>
      <c r="AN127" s="60"/>
      <c r="AO127" s="61"/>
      <c r="AP127" s="58"/>
      <c r="AQ127" s="58"/>
      <c r="AR127" s="58"/>
      <c r="AS127" s="59"/>
      <c r="AT127" s="60"/>
      <c r="AU127" s="60"/>
      <c r="AV127" s="60"/>
      <c r="AW127" s="60"/>
      <c r="AX127" s="60"/>
      <c r="AY127" s="60"/>
      <c r="AZ127" s="60"/>
      <c r="BA127" s="61"/>
      <c r="BB127" s="58"/>
      <c r="BC127" s="58"/>
      <c r="BD127" s="58"/>
      <c r="BE127" s="59"/>
      <c r="BF127" s="60"/>
      <c r="BG127" s="60"/>
      <c r="BH127" s="60"/>
      <c r="BI127" s="60"/>
      <c r="BJ127" s="60"/>
      <c r="BK127" s="60"/>
      <c r="BL127" s="60"/>
      <c r="BM127" s="61"/>
      <c r="BN127" s="58"/>
      <c r="BO127" s="58"/>
      <c r="BP127" s="58"/>
      <c r="BQ127" s="59"/>
      <c r="BR127" s="60"/>
      <c r="BS127" s="60"/>
      <c r="BT127" s="60"/>
      <c r="BU127" s="60"/>
      <c r="BV127" s="60"/>
      <c r="BW127" s="60"/>
      <c r="BX127" s="60"/>
      <c r="BY127" s="61"/>
      <c r="BZ127" s="58"/>
      <c r="CA127" s="58"/>
      <c r="CB127" s="58"/>
      <c r="CC127" s="59"/>
      <c r="CD127" s="60"/>
      <c r="CE127" s="60"/>
      <c r="CF127" s="60"/>
      <c r="CG127" s="60"/>
      <c r="CH127" s="60"/>
      <c r="CI127" s="60"/>
      <c r="CJ127" s="60"/>
      <c r="CK127" s="61"/>
      <c r="CL127" s="58"/>
      <c r="CM127" s="58"/>
      <c r="CN127" s="58"/>
      <c r="CO127" s="59"/>
      <c r="CP127" s="60"/>
      <c r="CQ127" s="60"/>
      <c r="CR127" s="60"/>
      <c r="CS127" s="60"/>
      <c r="CT127" s="60"/>
      <c r="CU127" s="60"/>
      <c r="CV127" s="60"/>
      <c r="CW127" s="61"/>
      <c r="CX127" s="58"/>
      <c r="CY127" s="58"/>
      <c r="CZ127" s="58"/>
      <c r="DA127" s="59"/>
      <c r="DB127" s="60"/>
      <c r="DC127" s="60"/>
      <c r="DD127" s="60"/>
      <c r="DE127" s="60"/>
      <c r="DF127" s="60"/>
      <c r="DG127" s="60"/>
      <c r="DH127" s="60"/>
      <c r="DI127" s="61"/>
      <c r="DJ127" s="58"/>
      <c r="DK127" s="58"/>
      <c r="DL127" s="58"/>
      <c r="DM127" s="59"/>
      <c r="DN127" s="60"/>
      <c r="DO127" s="60"/>
      <c r="DP127" s="60"/>
      <c r="DQ127" s="60"/>
      <c r="DR127" s="60">
        <f t="shared" ref="DR127" ca="1" si="1887">IFERROR($C127*DR125,"")</f>
        <v>0</v>
      </c>
      <c r="DS127" s="60"/>
      <c r="DT127" s="60"/>
      <c r="DU127" s="61"/>
      <c r="DV127" s="58">
        <f t="shared" ref="DV127" ca="1" si="1888">IFERROR($C127*DV125,"")</f>
        <v>0</v>
      </c>
      <c r="DW127" s="58"/>
      <c r="DX127" s="58"/>
      <c r="DY127" s="59"/>
      <c r="DZ127" s="60">
        <f t="shared" ref="DZ127" ca="1" si="1889">IFERROR($C127*DZ125,"")</f>
        <v>0</v>
      </c>
      <c r="EA127" s="60"/>
      <c r="EB127" s="60"/>
      <c r="EC127" s="60"/>
      <c r="ED127" s="60">
        <f t="shared" ref="ED127" ca="1" si="1890">IFERROR($C127*ED125,"")</f>
        <v>0</v>
      </c>
      <c r="EE127" s="60"/>
      <c r="EF127" s="60"/>
      <c r="EG127" s="61"/>
      <c r="EH127" s="58">
        <f t="shared" ref="EH127" ca="1" si="1891">IFERROR($C127*EH125,"")</f>
        <v>0</v>
      </c>
      <c r="EI127" s="58"/>
      <c r="EJ127" s="58"/>
      <c r="EK127" s="59"/>
      <c r="EL127" s="60">
        <f t="shared" ref="EL127" ca="1" si="1892">IFERROR($C127*EL125,"")</f>
        <v>0</v>
      </c>
      <c r="EM127" s="60"/>
      <c r="EN127" s="60"/>
      <c r="EO127" s="60"/>
      <c r="EP127" s="60">
        <f t="shared" ref="EP127" ca="1" si="1893">IFERROR($C127*EP125,"")</f>
        <v>0</v>
      </c>
      <c r="EQ127" s="60"/>
      <c r="ER127" s="60"/>
      <c r="ES127" s="61"/>
    </row>
    <row r="128" spans="1:149" customFormat="1" ht="18.600000000000001" hidden="1" outlineLevel="1" thickBot="1" x14ac:dyDescent="0.5">
      <c r="A128" s="2"/>
      <c r="B128" s="72">
        <v>9</v>
      </c>
      <c r="C128" s="19"/>
      <c r="D128" s="20" t="s">
        <v>13</v>
      </c>
      <c r="E128" s="21">
        <f ca="1">SUM(F128:ES128)</f>
        <v>0</v>
      </c>
      <c r="F128" s="74"/>
      <c r="G128" s="67"/>
      <c r="H128" s="67"/>
      <c r="I128" s="67"/>
      <c r="J128" s="67"/>
      <c r="K128" s="67"/>
      <c r="L128" s="67"/>
      <c r="M128" s="67"/>
      <c r="N128" s="68"/>
      <c r="O128" s="70"/>
      <c r="P128" s="70"/>
      <c r="Q128" s="70"/>
      <c r="R128" s="70"/>
      <c r="S128" s="70"/>
      <c r="T128" s="70"/>
      <c r="U128" s="71"/>
      <c r="V128" s="67"/>
      <c r="W128" s="67"/>
      <c r="X128" s="67"/>
      <c r="Y128" s="67"/>
      <c r="Z128" s="67"/>
      <c r="AA128" s="67"/>
      <c r="AB128" s="67"/>
      <c r="AC128" s="68"/>
      <c r="AD128" s="70"/>
      <c r="AE128" s="70"/>
      <c r="AF128" s="70"/>
      <c r="AG128" s="71"/>
      <c r="AH128" s="67"/>
      <c r="AI128" s="67"/>
      <c r="AJ128" s="67"/>
      <c r="AK128" s="67"/>
      <c r="AL128" s="67"/>
      <c r="AM128" s="67"/>
      <c r="AN128" s="67"/>
      <c r="AO128" s="68"/>
      <c r="AP128" s="70"/>
      <c r="AQ128" s="70"/>
      <c r="AR128" s="70"/>
      <c r="AS128" s="71"/>
      <c r="AT128" s="67"/>
      <c r="AU128" s="67"/>
      <c r="AV128" s="67"/>
      <c r="AW128" s="67"/>
      <c r="AX128" s="67"/>
      <c r="AY128" s="67"/>
      <c r="AZ128" s="67"/>
      <c r="BA128" s="68"/>
      <c r="BB128" s="70"/>
      <c r="BC128" s="70"/>
      <c r="BD128" s="70"/>
      <c r="BE128" s="71"/>
      <c r="BF128" s="67"/>
      <c r="BG128" s="67"/>
      <c r="BH128" s="67"/>
      <c r="BI128" s="67"/>
      <c r="BJ128" s="67"/>
      <c r="BK128" s="67"/>
      <c r="BL128" s="67"/>
      <c r="BM128" s="68"/>
      <c r="BN128" s="70"/>
      <c r="BO128" s="70"/>
      <c r="BP128" s="70"/>
      <c r="BQ128" s="71"/>
      <c r="BR128" s="67"/>
      <c r="BS128" s="67"/>
      <c r="BT128" s="67"/>
      <c r="BU128" s="67"/>
      <c r="BV128" s="67"/>
      <c r="BW128" s="67"/>
      <c r="BX128" s="67"/>
      <c r="BY128" s="68"/>
      <c r="BZ128" s="70"/>
      <c r="CA128" s="70"/>
      <c r="CB128" s="70"/>
      <c r="CC128" s="71"/>
      <c r="CD128" s="67"/>
      <c r="CE128" s="67"/>
      <c r="CF128" s="67"/>
      <c r="CG128" s="67"/>
      <c r="CH128" s="67"/>
      <c r="CI128" s="67"/>
      <c r="CJ128" s="67"/>
      <c r="CK128" s="68"/>
      <c r="CL128" s="70"/>
      <c r="CM128" s="70"/>
      <c r="CN128" s="70"/>
      <c r="CO128" s="71"/>
      <c r="CP128" s="67"/>
      <c r="CQ128" s="67"/>
      <c r="CR128" s="67"/>
      <c r="CS128" s="67"/>
      <c r="CT128" s="67"/>
      <c r="CU128" s="67"/>
      <c r="CV128" s="67"/>
      <c r="CW128" s="68"/>
      <c r="CX128" s="70"/>
      <c r="CY128" s="70"/>
      <c r="CZ128" s="70"/>
      <c r="DA128" s="71"/>
      <c r="DB128" s="67"/>
      <c r="DC128" s="67"/>
      <c r="DD128" s="67"/>
      <c r="DE128" s="67"/>
      <c r="DF128" s="67"/>
      <c r="DG128" s="67"/>
      <c r="DH128" s="67"/>
      <c r="DI128" s="68"/>
      <c r="DJ128" s="70"/>
      <c r="DK128" s="70"/>
      <c r="DL128" s="70"/>
      <c r="DM128" s="71"/>
      <c r="DN128" s="67"/>
      <c r="DO128" s="67"/>
      <c r="DP128" s="67"/>
      <c r="DQ128" s="67"/>
      <c r="DR128" s="67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DS128" s="67"/>
      <c r="DT128" s="67"/>
      <c r="DU128" s="68"/>
      <c r="DV128" s="70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DW128" s="70"/>
      <c r="DX128" s="70"/>
      <c r="DY128" s="71"/>
      <c r="DZ128" s="67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EA128" s="67"/>
      <c r="EB128" s="67"/>
      <c r="EC128" s="67"/>
      <c r="ED128" s="67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EE128" s="67"/>
      <c r="EF128" s="67"/>
      <c r="EG128" s="68"/>
      <c r="EH128" s="70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EI128" s="70"/>
      <c r="EJ128" s="70"/>
      <c r="EK128" s="71"/>
      <c r="EL128" s="67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EM128" s="67"/>
      <c r="EN128" s="67"/>
      <c r="EO128" s="67"/>
      <c r="EP128" s="67">
        <f ca="1">IF(ISERROR(VLOOKUP(RIGHT(CELL("filename",$A$1),LEN(CELL("filename",$A$1))-FIND("]",CELL("filename",$A$1)))&amp;$B128,[2]要員計画!$L:$AJ,((COLUMN()-1)/4)+1,FALSE)),0,VLOOKUP(RIGHT(CELL("filename",$A$1),LEN(CELL("filename",$A$1))-FIND("]",CELL("filename",$A$1)))&amp;$B128,[2]要員計画!$L:$AJ,((COLUMN()-1)/4)+1,FALSE))</f>
        <v>0</v>
      </c>
      <c r="EQ128" s="67"/>
      <c r="ER128" s="67"/>
      <c r="ES128" s="68"/>
    </row>
    <row r="129" spans="1:149" customFormat="1" ht="18.600000000000001" hidden="1" outlineLevel="1" thickBot="1" x14ac:dyDescent="0.5">
      <c r="A129" s="2"/>
      <c r="B129" s="73"/>
      <c r="C129" s="22">
        <v>1000000</v>
      </c>
      <c r="D129" s="23" t="s">
        <v>23</v>
      </c>
      <c r="E129" s="24">
        <f>SUM(F129:CW129)</f>
        <v>0</v>
      </c>
      <c r="F129" s="69">
        <f>IFERROR($C129*F128,"")</f>
        <v>0</v>
      </c>
      <c r="G129" s="62"/>
      <c r="H129" s="62"/>
      <c r="I129" s="62"/>
      <c r="J129" s="62">
        <f t="shared" ref="J129" si="1894">IFERROR($C129*J128,"")</f>
        <v>0</v>
      </c>
      <c r="K129" s="62"/>
      <c r="L129" s="62"/>
      <c r="M129" s="62"/>
      <c r="N129" s="63">
        <f t="shared" ref="N129" si="1895">IFERROR($C129*N128,"")</f>
        <v>0</v>
      </c>
      <c r="O129" s="64"/>
      <c r="P129" s="64"/>
      <c r="Q129" s="64"/>
      <c r="R129" s="64">
        <f t="shared" ref="R129" si="1896">IFERROR($C129*R128,"")</f>
        <v>0</v>
      </c>
      <c r="S129" s="64"/>
      <c r="T129" s="64"/>
      <c r="U129" s="65"/>
      <c r="V129" s="62">
        <f t="shared" ref="V129" si="1897">IFERROR($C129*V128,"")</f>
        <v>0</v>
      </c>
      <c r="W129" s="62"/>
      <c r="X129" s="62"/>
      <c r="Y129" s="62"/>
      <c r="Z129" s="62">
        <f t="shared" ref="Z129" si="1898">IFERROR($C129*Z128,"")</f>
        <v>0</v>
      </c>
      <c r="AA129" s="62"/>
      <c r="AB129" s="62"/>
      <c r="AC129" s="63"/>
      <c r="AD129" s="64"/>
      <c r="AE129" s="64"/>
      <c r="AF129" s="64"/>
      <c r="AG129" s="65"/>
      <c r="AH129" s="62"/>
      <c r="AI129" s="62"/>
      <c r="AJ129" s="62"/>
      <c r="AK129" s="62"/>
      <c r="AL129" s="62"/>
      <c r="AM129" s="62"/>
      <c r="AN129" s="62"/>
      <c r="AO129" s="63"/>
      <c r="AP129" s="64"/>
      <c r="AQ129" s="64"/>
      <c r="AR129" s="64"/>
      <c r="AS129" s="65"/>
      <c r="AT129" s="62"/>
      <c r="AU129" s="62"/>
      <c r="AV129" s="62"/>
      <c r="AW129" s="62"/>
      <c r="AX129" s="62"/>
      <c r="AY129" s="62"/>
      <c r="AZ129" s="62"/>
      <c r="BA129" s="63"/>
      <c r="BB129" s="64"/>
      <c r="BC129" s="64"/>
      <c r="BD129" s="64"/>
      <c r="BE129" s="65"/>
      <c r="BF129" s="62"/>
      <c r="BG129" s="62"/>
      <c r="BH129" s="62"/>
      <c r="BI129" s="62"/>
      <c r="BJ129" s="62"/>
      <c r="BK129" s="62"/>
      <c r="BL129" s="62"/>
      <c r="BM129" s="63"/>
      <c r="BN129" s="64"/>
      <c r="BO129" s="64"/>
      <c r="BP129" s="64"/>
      <c r="BQ129" s="65"/>
      <c r="BR129" s="62"/>
      <c r="BS129" s="62"/>
      <c r="BT129" s="62"/>
      <c r="BU129" s="62"/>
      <c r="BV129" s="62"/>
      <c r="BW129" s="62"/>
      <c r="BX129" s="62"/>
      <c r="BY129" s="63"/>
      <c r="BZ129" s="64"/>
      <c r="CA129" s="64"/>
      <c r="CB129" s="64"/>
      <c r="CC129" s="65"/>
      <c r="CD129" s="62"/>
      <c r="CE129" s="62"/>
      <c r="CF129" s="62"/>
      <c r="CG129" s="62"/>
      <c r="CH129" s="62"/>
      <c r="CI129" s="62"/>
      <c r="CJ129" s="62"/>
      <c r="CK129" s="63"/>
      <c r="CL129" s="64"/>
      <c r="CM129" s="64"/>
      <c r="CN129" s="64"/>
      <c r="CO129" s="65"/>
      <c r="CP129" s="62"/>
      <c r="CQ129" s="62"/>
      <c r="CR129" s="62"/>
      <c r="CS129" s="62"/>
      <c r="CT129" s="62"/>
      <c r="CU129" s="62"/>
      <c r="CV129" s="62"/>
      <c r="CW129" s="63"/>
      <c r="CX129" s="64"/>
      <c r="CY129" s="64"/>
      <c r="CZ129" s="64"/>
      <c r="DA129" s="65"/>
      <c r="DB129" s="62"/>
      <c r="DC129" s="62"/>
      <c r="DD129" s="62"/>
      <c r="DE129" s="62"/>
      <c r="DF129" s="62"/>
      <c r="DG129" s="62"/>
      <c r="DH129" s="62"/>
      <c r="DI129" s="63"/>
      <c r="DJ129" s="64"/>
      <c r="DK129" s="64"/>
      <c r="DL129" s="64"/>
      <c r="DM129" s="65"/>
      <c r="DN129" s="62"/>
      <c r="DO129" s="62"/>
      <c r="DP129" s="62"/>
      <c r="DQ129" s="62"/>
      <c r="DR129" s="62">
        <f t="shared" ref="DR129" ca="1" si="1899">IFERROR($C129*DR128,"")</f>
        <v>0</v>
      </c>
      <c r="DS129" s="62"/>
      <c r="DT129" s="62"/>
      <c r="DU129" s="63"/>
      <c r="DV129" s="64">
        <f t="shared" ref="DV129" ca="1" si="1900">IFERROR($C129*DV128,"")</f>
        <v>0</v>
      </c>
      <c r="DW129" s="64"/>
      <c r="DX129" s="64"/>
      <c r="DY129" s="65"/>
      <c r="DZ129" s="62">
        <f t="shared" ref="DZ129" ca="1" si="1901">IFERROR($C129*DZ128,"")</f>
        <v>0</v>
      </c>
      <c r="EA129" s="62"/>
      <c r="EB129" s="62"/>
      <c r="EC129" s="62"/>
      <c r="ED129" s="62">
        <f t="shared" ref="ED129" ca="1" si="1902">IFERROR($C129*ED128,"")</f>
        <v>0</v>
      </c>
      <c r="EE129" s="62"/>
      <c r="EF129" s="62"/>
      <c r="EG129" s="63"/>
      <c r="EH129" s="64">
        <f t="shared" ref="EH129" ca="1" si="1903">IFERROR($C129*EH128,"")</f>
        <v>0</v>
      </c>
      <c r="EI129" s="64"/>
      <c r="EJ129" s="64"/>
      <c r="EK129" s="65"/>
      <c r="EL129" s="62">
        <f t="shared" ref="EL129" ca="1" si="1904">IFERROR($C129*EL128,"")</f>
        <v>0</v>
      </c>
      <c r="EM129" s="62"/>
      <c r="EN129" s="62"/>
      <c r="EO129" s="62"/>
      <c r="EP129" s="62">
        <f t="shared" ref="EP129" ca="1" si="1905">IFERROR($C129*EP128,"")</f>
        <v>0</v>
      </c>
      <c r="EQ129" s="62"/>
      <c r="ER129" s="62"/>
      <c r="ES129" s="63"/>
    </row>
    <row r="130" spans="1:149" customFormat="1" ht="18.600000000000001" hidden="1" outlineLevel="1" thickBot="1" x14ac:dyDescent="0.5">
      <c r="A130" s="2"/>
      <c r="B130" s="78"/>
      <c r="C130" s="25">
        <v>850000</v>
      </c>
      <c r="D130" s="26" t="s">
        <v>3</v>
      </c>
      <c r="E130" s="27">
        <f>SUM(F130:CW130)</f>
        <v>0</v>
      </c>
      <c r="F130" s="66">
        <f>IFERROR($C130*F128,"")</f>
        <v>0</v>
      </c>
      <c r="G130" s="60"/>
      <c r="H130" s="60"/>
      <c r="I130" s="60"/>
      <c r="J130" s="60">
        <f t="shared" ref="J130" si="1906">IFERROR($C130*J128,"")</f>
        <v>0</v>
      </c>
      <c r="K130" s="60"/>
      <c r="L130" s="60"/>
      <c r="M130" s="60"/>
      <c r="N130" s="61">
        <f t="shared" ref="N130" si="1907">IFERROR($C130*N128,"")</f>
        <v>0</v>
      </c>
      <c r="O130" s="58"/>
      <c r="P130" s="58"/>
      <c r="Q130" s="58"/>
      <c r="R130" s="58">
        <f t="shared" ref="R130" si="1908">IFERROR($C130*R128,"")</f>
        <v>0</v>
      </c>
      <c r="S130" s="58"/>
      <c r="T130" s="58"/>
      <c r="U130" s="59"/>
      <c r="V130" s="60">
        <f t="shared" ref="V130" si="1909">IFERROR($C130*V128,"")</f>
        <v>0</v>
      </c>
      <c r="W130" s="60"/>
      <c r="X130" s="60"/>
      <c r="Y130" s="60"/>
      <c r="Z130" s="60">
        <f t="shared" ref="Z130" si="1910">IFERROR($C130*Z128,"")</f>
        <v>0</v>
      </c>
      <c r="AA130" s="60"/>
      <c r="AB130" s="60"/>
      <c r="AC130" s="61"/>
      <c r="AD130" s="58"/>
      <c r="AE130" s="58"/>
      <c r="AF130" s="58"/>
      <c r="AG130" s="59"/>
      <c r="AH130" s="60"/>
      <c r="AI130" s="60"/>
      <c r="AJ130" s="60"/>
      <c r="AK130" s="60"/>
      <c r="AL130" s="60"/>
      <c r="AM130" s="60"/>
      <c r="AN130" s="60"/>
      <c r="AO130" s="61"/>
      <c r="AP130" s="58"/>
      <c r="AQ130" s="58"/>
      <c r="AR130" s="58"/>
      <c r="AS130" s="59"/>
      <c r="AT130" s="60"/>
      <c r="AU130" s="60"/>
      <c r="AV130" s="60"/>
      <c r="AW130" s="60"/>
      <c r="AX130" s="60"/>
      <c r="AY130" s="60"/>
      <c r="AZ130" s="60"/>
      <c r="BA130" s="61"/>
      <c r="BB130" s="58"/>
      <c r="BC130" s="58"/>
      <c r="BD130" s="58"/>
      <c r="BE130" s="59"/>
      <c r="BF130" s="60"/>
      <c r="BG130" s="60"/>
      <c r="BH130" s="60"/>
      <c r="BI130" s="60"/>
      <c r="BJ130" s="60"/>
      <c r="BK130" s="60"/>
      <c r="BL130" s="60"/>
      <c r="BM130" s="61"/>
      <c r="BN130" s="58"/>
      <c r="BO130" s="58"/>
      <c r="BP130" s="58"/>
      <c r="BQ130" s="59"/>
      <c r="BR130" s="60"/>
      <c r="BS130" s="60"/>
      <c r="BT130" s="60"/>
      <c r="BU130" s="60"/>
      <c r="BV130" s="60"/>
      <c r="BW130" s="60"/>
      <c r="BX130" s="60"/>
      <c r="BY130" s="61"/>
      <c r="BZ130" s="58"/>
      <c r="CA130" s="58"/>
      <c r="CB130" s="58"/>
      <c r="CC130" s="59"/>
      <c r="CD130" s="60"/>
      <c r="CE130" s="60"/>
      <c r="CF130" s="60"/>
      <c r="CG130" s="60"/>
      <c r="CH130" s="60"/>
      <c r="CI130" s="60"/>
      <c r="CJ130" s="60"/>
      <c r="CK130" s="61"/>
      <c r="CL130" s="58"/>
      <c r="CM130" s="58"/>
      <c r="CN130" s="58"/>
      <c r="CO130" s="59"/>
      <c r="CP130" s="60"/>
      <c r="CQ130" s="60"/>
      <c r="CR130" s="60"/>
      <c r="CS130" s="60"/>
      <c r="CT130" s="60"/>
      <c r="CU130" s="60"/>
      <c r="CV130" s="60"/>
      <c r="CW130" s="61"/>
      <c r="CX130" s="58"/>
      <c r="CY130" s="58"/>
      <c r="CZ130" s="58"/>
      <c r="DA130" s="59"/>
      <c r="DB130" s="60"/>
      <c r="DC130" s="60"/>
      <c r="DD130" s="60"/>
      <c r="DE130" s="60"/>
      <c r="DF130" s="60"/>
      <c r="DG130" s="60"/>
      <c r="DH130" s="60"/>
      <c r="DI130" s="61"/>
      <c r="DJ130" s="58"/>
      <c r="DK130" s="58"/>
      <c r="DL130" s="58"/>
      <c r="DM130" s="59"/>
      <c r="DN130" s="60"/>
      <c r="DO130" s="60"/>
      <c r="DP130" s="60"/>
      <c r="DQ130" s="60"/>
      <c r="DR130" s="60">
        <f t="shared" ref="DR130" ca="1" si="1911">IFERROR($C130*DR128,"")</f>
        <v>0</v>
      </c>
      <c r="DS130" s="60"/>
      <c r="DT130" s="60"/>
      <c r="DU130" s="61"/>
      <c r="DV130" s="58">
        <f t="shared" ref="DV130" ca="1" si="1912">IFERROR($C130*DV128,"")</f>
        <v>0</v>
      </c>
      <c r="DW130" s="58"/>
      <c r="DX130" s="58"/>
      <c r="DY130" s="59"/>
      <c r="DZ130" s="60">
        <f t="shared" ref="DZ130" ca="1" si="1913">IFERROR($C130*DZ128,"")</f>
        <v>0</v>
      </c>
      <c r="EA130" s="60"/>
      <c r="EB130" s="60"/>
      <c r="EC130" s="60"/>
      <c r="ED130" s="60">
        <f t="shared" ref="ED130" ca="1" si="1914">IFERROR($C130*ED128,"")</f>
        <v>0</v>
      </c>
      <c r="EE130" s="60"/>
      <c r="EF130" s="60"/>
      <c r="EG130" s="61"/>
      <c r="EH130" s="58">
        <f t="shared" ref="EH130" ca="1" si="1915">IFERROR($C130*EH128,"")</f>
        <v>0</v>
      </c>
      <c r="EI130" s="58"/>
      <c r="EJ130" s="58"/>
      <c r="EK130" s="59"/>
      <c r="EL130" s="60">
        <f t="shared" ref="EL130" ca="1" si="1916">IFERROR($C130*EL128,"")</f>
        <v>0</v>
      </c>
      <c r="EM130" s="60"/>
      <c r="EN130" s="60"/>
      <c r="EO130" s="60"/>
      <c r="EP130" s="60">
        <f t="shared" ref="EP130" ca="1" si="1917">IFERROR($C130*EP128,"")</f>
        <v>0</v>
      </c>
      <c r="EQ130" s="60"/>
      <c r="ER130" s="60"/>
      <c r="ES130" s="61"/>
    </row>
    <row r="131" spans="1:149" customFormat="1" ht="18.600000000000001" hidden="1" outlineLevel="1" thickBot="1" x14ac:dyDescent="0.5">
      <c r="A131" s="2"/>
      <c r="B131" s="72">
        <v>10</v>
      </c>
      <c r="C131" s="19"/>
      <c r="D131" s="20" t="s">
        <v>13</v>
      </c>
      <c r="E131" s="21">
        <f ca="1">SUM(F131:ES131)</f>
        <v>0</v>
      </c>
      <c r="F131" s="74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G131" s="67"/>
      <c r="H131" s="67"/>
      <c r="I131" s="67"/>
      <c r="J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K131" s="67"/>
      <c r="L131" s="67"/>
      <c r="M131" s="67"/>
      <c r="N131" s="68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O131" s="70"/>
      <c r="P131" s="70"/>
      <c r="Q131" s="70"/>
      <c r="R131" s="70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S131" s="70"/>
      <c r="T131" s="70"/>
      <c r="U131" s="71"/>
      <c r="V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W131" s="67"/>
      <c r="X131" s="67"/>
      <c r="Y131" s="67"/>
      <c r="Z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AA131" s="67"/>
      <c r="AB131" s="67"/>
      <c r="AC131" s="68"/>
      <c r="AD131" s="70"/>
      <c r="AE131" s="70"/>
      <c r="AF131" s="70"/>
      <c r="AG131" s="71"/>
      <c r="AH131" s="67"/>
      <c r="AI131" s="67"/>
      <c r="AJ131" s="67"/>
      <c r="AK131" s="67"/>
      <c r="AL131" s="67"/>
      <c r="AM131" s="67"/>
      <c r="AN131" s="67"/>
      <c r="AO131" s="68"/>
      <c r="AP131" s="70"/>
      <c r="AQ131" s="70"/>
      <c r="AR131" s="70"/>
      <c r="AS131" s="71"/>
      <c r="AT131" s="67"/>
      <c r="AU131" s="67"/>
      <c r="AV131" s="67"/>
      <c r="AW131" s="67"/>
      <c r="AX131" s="67"/>
      <c r="AY131" s="67"/>
      <c r="AZ131" s="67"/>
      <c r="BA131" s="68"/>
      <c r="BB131" s="70"/>
      <c r="BC131" s="70"/>
      <c r="BD131" s="70"/>
      <c r="BE131" s="71"/>
      <c r="BF131" s="67"/>
      <c r="BG131" s="67"/>
      <c r="BH131" s="67"/>
      <c r="BI131" s="67"/>
      <c r="BJ131" s="67"/>
      <c r="BK131" s="67"/>
      <c r="BL131" s="67"/>
      <c r="BM131" s="68"/>
      <c r="BN131" s="70"/>
      <c r="BO131" s="70"/>
      <c r="BP131" s="70"/>
      <c r="BQ131" s="71"/>
      <c r="BR131" s="67"/>
      <c r="BS131" s="67"/>
      <c r="BT131" s="67"/>
      <c r="BU131" s="67"/>
      <c r="BV131" s="67"/>
      <c r="BW131" s="67"/>
      <c r="BX131" s="67"/>
      <c r="BY131" s="68"/>
      <c r="BZ131" s="70"/>
      <c r="CA131" s="70"/>
      <c r="CB131" s="70"/>
      <c r="CC131" s="71"/>
      <c r="CD131" s="67"/>
      <c r="CE131" s="67"/>
      <c r="CF131" s="67"/>
      <c r="CG131" s="67"/>
      <c r="CH131" s="67"/>
      <c r="CI131" s="67"/>
      <c r="CJ131" s="67"/>
      <c r="CK131" s="68"/>
      <c r="CL131" s="70"/>
      <c r="CM131" s="70"/>
      <c r="CN131" s="70"/>
      <c r="CO131" s="71"/>
      <c r="CP131" s="67"/>
      <c r="CQ131" s="67"/>
      <c r="CR131" s="67"/>
      <c r="CS131" s="67"/>
      <c r="CT131" s="67"/>
      <c r="CU131" s="67"/>
      <c r="CV131" s="67"/>
      <c r="CW131" s="68"/>
      <c r="CX131" s="70"/>
      <c r="CY131" s="70"/>
      <c r="CZ131" s="70"/>
      <c r="DA131" s="71"/>
      <c r="DB131" s="67"/>
      <c r="DC131" s="67"/>
      <c r="DD131" s="67"/>
      <c r="DE131" s="67"/>
      <c r="DF131" s="67"/>
      <c r="DG131" s="67"/>
      <c r="DH131" s="67"/>
      <c r="DI131" s="68"/>
      <c r="DJ131" s="70"/>
      <c r="DK131" s="70"/>
      <c r="DL131" s="70"/>
      <c r="DM131" s="71"/>
      <c r="DN131" s="67"/>
      <c r="DO131" s="67"/>
      <c r="DP131" s="67"/>
      <c r="DQ131" s="67"/>
      <c r="DR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DS131" s="67"/>
      <c r="DT131" s="67"/>
      <c r="DU131" s="68"/>
      <c r="DV131" s="70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DW131" s="70"/>
      <c r="DX131" s="70"/>
      <c r="DY131" s="71"/>
      <c r="DZ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EA131" s="67"/>
      <c r="EB131" s="67"/>
      <c r="EC131" s="67"/>
      <c r="ED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EE131" s="67"/>
      <c r="EF131" s="67"/>
      <c r="EG131" s="68"/>
      <c r="EH131" s="70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EI131" s="70"/>
      <c r="EJ131" s="70"/>
      <c r="EK131" s="71"/>
      <c r="EL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EM131" s="67"/>
      <c r="EN131" s="67"/>
      <c r="EO131" s="67"/>
      <c r="EP131" s="67">
        <f ca="1">IF(ISERROR(VLOOKUP(RIGHT(CELL("filename",$A$1),LEN(CELL("filename",$A$1))-FIND("]",CELL("filename",$A$1)))&amp;$B131,[2]要員計画!$L:$AJ,((COLUMN()-1)/4)+1,FALSE)),0,VLOOKUP(RIGHT(CELL("filename",$A$1),LEN(CELL("filename",$A$1))-FIND("]",CELL("filename",$A$1)))&amp;$B131,[2]要員計画!$L:$AJ,((COLUMN()-1)/4)+1,FALSE))</f>
        <v>0</v>
      </c>
      <c r="EQ131" s="67"/>
      <c r="ER131" s="67"/>
      <c r="ES131" s="68"/>
    </row>
    <row r="132" spans="1:149" customFormat="1" ht="18.600000000000001" hidden="1" outlineLevel="1" thickBot="1" x14ac:dyDescent="0.5">
      <c r="A132" s="2"/>
      <c r="B132" s="73"/>
      <c r="C132" s="22">
        <v>1000000</v>
      </c>
      <c r="D132" s="23" t="s">
        <v>23</v>
      </c>
      <c r="E132" s="24">
        <f ca="1">SUM(F132:CW132)</f>
        <v>0</v>
      </c>
      <c r="F132" s="69">
        <f ca="1">IFERROR($C132*F131,"")</f>
        <v>0</v>
      </c>
      <c r="G132" s="62"/>
      <c r="H132" s="62"/>
      <c r="I132" s="62"/>
      <c r="J132" s="62">
        <f t="shared" ref="J132" ca="1" si="1918">IFERROR($C132*J131,"")</f>
        <v>0</v>
      </c>
      <c r="K132" s="62"/>
      <c r="L132" s="62"/>
      <c r="M132" s="62"/>
      <c r="N132" s="63">
        <f t="shared" ref="N132" ca="1" si="1919">IFERROR($C132*N131,"")</f>
        <v>0</v>
      </c>
      <c r="O132" s="64"/>
      <c r="P132" s="64"/>
      <c r="Q132" s="64"/>
      <c r="R132" s="64">
        <f t="shared" ref="R132" ca="1" si="1920">IFERROR($C132*R131,"")</f>
        <v>0</v>
      </c>
      <c r="S132" s="64"/>
      <c r="T132" s="64"/>
      <c r="U132" s="65"/>
      <c r="V132" s="62">
        <f t="shared" ref="V132" ca="1" si="1921">IFERROR($C132*V131,"")</f>
        <v>0</v>
      </c>
      <c r="W132" s="62"/>
      <c r="X132" s="62"/>
      <c r="Y132" s="62"/>
      <c r="Z132" s="62">
        <f t="shared" ref="Z132" ca="1" si="1922">IFERROR($C132*Z131,"")</f>
        <v>0</v>
      </c>
      <c r="AA132" s="62"/>
      <c r="AB132" s="62"/>
      <c r="AC132" s="63"/>
      <c r="AD132" s="64"/>
      <c r="AE132" s="64"/>
      <c r="AF132" s="64"/>
      <c r="AG132" s="65"/>
      <c r="AH132" s="62"/>
      <c r="AI132" s="62"/>
      <c r="AJ132" s="62"/>
      <c r="AK132" s="62"/>
      <c r="AL132" s="62"/>
      <c r="AM132" s="62"/>
      <c r="AN132" s="62"/>
      <c r="AO132" s="63"/>
      <c r="AP132" s="64"/>
      <c r="AQ132" s="64"/>
      <c r="AR132" s="64"/>
      <c r="AS132" s="65"/>
      <c r="AT132" s="62"/>
      <c r="AU132" s="62"/>
      <c r="AV132" s="62"/>
      <c r="AW132" s="62"/>
      <c r="AX132" s="62"/>
      <c r="AY132" s="62"/>
      <c r="AZ132" s="62"/>
      <c r="BA132" s="63"/>
      <c r="BB132" s="64"/>
      <c r="BC132" s="64"/>
      <c r="BD132" s="64"/>
      <c r="BE132" s="65"/>
      <c r="BF132" s="62"/>
      <c r="BG132" s="62"/>
      <c r="BH132" s="62"/>
      <c r="BI132" s="62"/>
      <c r="BJ132" s="62"/>
      <c r="BK132" s="62"/>
      <c r="BL132" s="62"/>
      <c r="BM132" s="63"/>
      <c r="BN132" s="64"/>
      <c r="BO132" s="64"/>
      <c r="BP132" s="64"/>
      <c r="BQ132" s="65"/>
      <c r="BR132" s="62"/>
      <c r="BS132" s="62"/>
      <c r="BT132" s="62"/>
      <c r="BU132" s="62"/>
      <c r="BV132" s="62"/>
      <c r="BW132" s="62"/>
      <c r="BX132" s="62"/>
      <c r="BY132" s="63"/>
      <c r="BZ132" s="64"/>
      <c r="CA132" s="64"/>
      <c r="CB132" s="64"/>
      <c r="CC132" s="65"/>
      <c r="CD132" s="62"/>
      <c r="CE132" s="62"/>
      <c r="CF132" s="62"/>
      <c r="CG132" s="62"/>
      <c r="CH132" s="62"/>
      <c r="CI132" s="62"/>
      <c r="CJ132" s="62"/>
      <c r="CK132" s="63"/>
      <c r="CL132" s="64"/>
      <c r="CM132" s="64"/>
      <c r="CN132" s="64"/>
      <c r="CO132" s="65"/>
      <c r="CP132" s="62"/>
      <c r="CQ132" s="62"/>
      <c r="CR132" s="62"/>
      <c r="CS132" s="62"/>
      <c r="CT132" s="62"/>
      <c r="CU132" s="62"/>
      <c r="CV132" s="62"/>
      <c r="CW132" s="63"/>
      <c r="CX132" s="64"/>
      <c r="CY132" s="64"/>
      <c r="CZ132" s="64"/>
      <c r="DA132" s="65"/>
      <c r="DB132" s="62"/>
      <c r="DC132" s="62"/>
      <c r="DD132" s="62"/>
      <c r="DE132" s="62"/>
      <c r="DF132" s="62"/>
      <c r="DG132" s="62"/>
      <c r="DH132" s="62"/>
      <c r="DI132" s="63"/>
      <c r="DJ132" s="64"/>
      <c r="DK132" s="64"/>
      <c r="DL132" s="64"/>
      <c r="DM132" s="65"/>
      <c r="DN132" s="62"/>
      <c r="DO132" s="62"/>
      <c r="DP132" s="62"/>
      <c r="DQ132" s="62"/>
      <c r="DR132" s="62">
        <f t="shared" ref="DR132" ca="1" si="1923">IFERROR($C132*DR131,"")</f>
        <v>0</v>
      </c>
      <c r="DS132" s="62"/>
      <c r="DT132" s="62"/>
      <c r="DU132" s="63"/>
      <c r="DV132" s="64">
        <f t="shared" ref="DV132" ca="1" si="1924">IFERROR($C132*DV131,"")</f>
        <v>0</v>
      </c>
      <c r="DW132" s="64"/>
      <c r="DX132" s="64"/>
      <c r="DY132" s="65"/>
      <c r="DZ132" s="62">
        <f t="shared" ref="DZ132" ca="1" si="1925">IFERROR($C132*DZ131,"")</f>
        <v>0</v>
      </c>
      <c r="EA132" s="62"/>
      <c r="EB132" s="62"/>
      <c r="EC132" s="62"/>
      <c r="ED132" s="62">
        <f t="shared" ref="ED132" ca="1" si="1926">IFERROR($C132*ED131,"")</f>
        <v>0</v>
      </c>
      <c r="EE132" s="62"/>
      <c r="EF132" s="62"/>
      <c r="EG132" s="63"/>
      <c r="EH132" s="64">
        <f t="shared" ref="EH132" ca="1" si="1927">IFERROR($C132*EH131,"")</f>
        <v>0</v>
      </c>
      <c r="EI132" s="64"/>
      <c r="EJ132" s="64"/>
      <c r="EK132" s="65"/>
      <c r="EL132" s="62">
        <f t="shared" ref="EL132" ca="1" si="1928">IFERROR($C132*EL131,"")</f>
        <v>0</v>
      </c>
      <c r="EM132" s="62"/>
      <c r="EN132" s="62"/>
      <c r="EO132" s="62"/>
      <c r="EP132" s="62">
        <f t="shared" ref="EP132" ca="1" si="1929">IFERROR($C132*EP131,"")</f>
        <v>0</v>
      </c>
      <c r="EQ132" s="62"/>
      <c r="ER132" s="62"/>
      <c r="ES132" s="63"/>
    </row>
    <row r="133" spans="1:149" customFormat="1" ht="18.600000000000001" hidden="1" outlineLevel="1" thickBot="1" x14ac:dyDescent="0.5">
      <c r="A133" s="2"/>
      <c r="B133" s="78"/>
      <c r="C133" s="25">
        <v>850000</v>
      </c>
      <c r="D133" s="26" t="s">
        <v>3</v>
      </c>
      <c r="E133" s="27">
        <f ca="1">SUM(F133:CW133)</f>
        <v>0</v>
      </c>
      <c r="F133" s="66">
        <f ca="1">IFERROR($C133*F131,"")</f>
        <v>0</v>
      </c>
      <c r="G133" s="60"/>
      <c r="H133" s="60"/>
      <c r="I133" s="60"/>
      <c r="J133" s="60">
        <f t="shared" ref="J133" ca="1" si="1930">IFERROR($C133*J131,"")</f>
        <v>0</v>
      </c>
      <c r="K133" s="60"/>
      <c r="L133" s="60"/>
      <c r="M133" s="60"/>
      <c r="N133" s="61">
        <f t="shared" ref="N133" ca="1" si="1931">IFERROR($C133*N131,"")</f>
        <v>0</v>
      </c>
      <c r="O133" s="58"/>
      <c r="P133" s="58"/>
      <c r="Q133" s="58"/>
      <c r="R133" s="58">
        <f t="shared" ref="R133" ca="1" si="1932">IFERROR($C133*R131,"")</f>
        <v>0</v>
      </c>
      <c r="S133" s="58"/>
      <c r="T133" s="58"/>
      <c r="U133" s="59"/>
      <c r="V133" s="60">
        <f t="shared" ref="V133" ca="1" si="1933">IFERROR($C133*V131,"")</f>
        <v>0</v>
      </c>
      <c r="W133" s="60"/>
      <c r="X133" s="60"/>
      <c r="Y133" s="60"/>
      <c r="Z133" s="60">
        <f t="shared" ref="Z133" ca="1" si="1934">IFERROR($C133*Z131,"")</f>
        <v>0</v>
      </c>
      <c r="AA133" s="60"/>
      <c r="AB133" s="60"/>
      <c r="AC133" s="61"/>
      <c r="AD133" s="58"/>
      <c r="AE133" s="58"/>
      <c r="AF133" s="58"/>
      <c r="AG133" s="59"/>
      <c r="AH133" s="60"/>
      <c r="AI133" s="60"/>
      <c r="AJ133" s="60"/>
      <c r="AK133" s="60"/>
      <c r="AL133" s="60"/>
      <c r="AM133" s="60"/>
      <c r="AN133" s="60"/>
      <c r="AO133" s="61"/>
      <c r="AP133" s="58"/>
      <c r="AQ133" s="58"/>
      <c r="AR133" s="58"/>
      <c r="AS133" s="59"/>
      <c r="AT133" s="60"/>
      <c r="AU133" s="60"/>
      <c r="AV133" s="60"/>
      <c r="AW133" s="60"/>
      <c r="AX133" s="60"/>
      <c r="AY133" s="60"/>
      <c r="AZ133" s="60"/>
      <c r="BA133" s="61"/>
      <c r="BB133" s="58"/>
      <c r="BC133" s="58"/>
      <c r="BD133" s="58"/>
      <c r="BE133" s="59"/>
      <c r="BF133" s="60"/>
      <c r="BG133" s="60"/>
      <c r="BH133" s="60"/>
      <c r="BI133" s="60"/>
      <c r="BJ133" s="60"/>
      <c r="BK133" s="60"/>
      <c r="BL133" s="60"/>
      <c r="BM133" s="61"/>
      <c r="BN133" s="58"/>
      <c r="BO133" s="58"/>
      <c r="BP133" s="58"/>
      <c r="BQ133" s="59"/>
      <c r="BR133" s="60"/>
      <c r="BS133" s="60"/>
      <c r="BT133" s="60"/>
      <c r="BU133" s="60"/>
      <c r="BV133" s="60"/>
      <c r="BW133" s="60"/>
      <c r="BX133" s="60"/>
      <c r="BY133" s="61"/>
      <c r="BZ133" s="58"/>
      <c r="CA133" s="58"/>
      <c r="CB133" s="58"/>
      <c r="CC133" s="59"/>
      <c r="CD133" s="60"/>
      <c r="CE133" s="60"/>
      <c r="CF133" s="60"/>
      <c r="CG133" s="60"/>
      <c r="CH133" s="60"/>
      <c r="CI133" s="60"/>
      <c r="CJ133" s="60"/>
      <c r="CK133" s="61"/>
      <c r="CL133" s="58"/>
      <c r="CM133" s="58"/>
      <c r="CN133" s="58"/>
      <c r="CO133" s="59"/>
      <c r="CP133" s="60"/>
      <c r="CQ133" s="60"/>
      <c r="CR133" s="60"/>
      <c r="CS133" s="60"/>
      <c r="CT133" s="60"/>
      <c r="CU133" s="60"/>
      <c r="CV133" s="60"/>
      <c r="CW133" s="61"/>
      <c r="CX133" s="58"/>
      <c r="CY133" s="58"/>
      <c r="CZ133" s="58"/>
      <c r="DA133" s="59"/>
      <c r="DB133" s="60"/>
      <c r="DC133" s="60"/>
      <c r="DD133" s="60"/>
      <c r="DE133" s="60"/>
      <c r="DF133" s="60"/>
      <c r="DG133" s="60"/>
      <c r="DH133" s="60"/>
      <c r="DI133" s="61"/>
      <c r="DJ133" s="58"/>
      <c r="DK133" s="58"/>
      <c r="DL133" s="58"/>
      <c r="DM133" s="59"/>
      <c r="DN133" s="60"/>
      <c r="DO133" s="60"/>
      <c r="DP133" s="60"/>
      <c r="DQ133" s="60"/>
      <c r="DR133" s="60">
        <f t="shared" ref="DR133" ca="1" si="1935">IFERROR($C133*DR131,"")</f>
        <v>0</v>
      </c>
      <c r="DS133" s="60"/>
      <c r="DT133" s="60"/>
      <c r="DU133" s="61"/>
      <c r="DV133" s="58">
        <f t="shared" ref="DV133" ca="1" si="1936">IFERROR($C133*DV131,"")</f>
        <v>0</v>
      </c>
      <c r="DW133" s="58"/>
      <c r="DX133" s="58"/>
      <c r="DY133" s="59"/>
      <c r="DZ133" s="60">
        <f t="shared" ref="DZ133" ca="1" si="1937">IFERROR($C133*DZ131,"")</f>
        <v>0</v>
      </c>
      <c r="EA133" s="60"/>
      <c r="EB133" s="60"/>
      <c r="EC133" s="60"/>
      <c r="ED133" s="60">
        <f t="shared" ref="ED133" ca="1" si="1938">IFERROR($C133*ED131,"")</f>
        <v>0</v>
      </c>
      <c r="EE133" s="60"/>
      <c r="EF133" s="60"/>
      <c r="EG133" s="61"/>
      <c r="EH133" s="58">
        <f t="shared" ref="EH133" ca="1" si="1939">IFERROR($C133*EH131,"")</f>
        <v>0</v>
      </c>
      <c r="EI133" s="58"/>
      <c r="EJ133" s="58"/>
      <c r="EK133" s="59"/>
      <c r="EL133" s="60">
        <f t="shared" ref="EL133" ca="1" si="1940">IFERROR($C133*EL131,"")</f>
        <v>0</v>
      </c>
      <c r="EM133" s="60"/>
      <c r="EN133" s="60"/>
      <c r="EO133" s="60"/>
      <c r="EP133" s="60">
        <f t="shared" ref="EP133" ca="1" si="1941">IFERROR($C133*EP131,"")</f>
        <v>0</v>
      </c>
      <c r="EQ133" s="60"/>
      <c r="ER133" s="60"/>
      <c r="ES133" s="61"/>
    </row>
    <row r="134" spans="1:149" customFormat="1" ht="18.600000000000001" hidden="1" outlineLevel="1" thickBot="1" x14ac:dyDescent="0.5">
      <c r="A134" s="2"/>
      <c r="B134" s="75">
        <v>11</v>
      </c>
      <c r="C134" s="19"/>
      <c r="D134" s="20" t="s">
        <v>13</v>
      </c>
      <c r="E134" s="21">
        <f ca="1">SUM(F134:ES134)</f>
        <v>0</v>
      </c>
      <c r="F134" s="74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G134" s="67"/>
      <c r="H134" s="67"/>
      <c r="I134" s="67"/>
      <c r="J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K134" s="67"/>
      <c r="L134" s="67"/>
      <c r="M134" s="67"/>
      <c r="N134" s="68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O134" s="70"/>
      <c r="P134" s="70"/>
      <c r="Q134" s="70"/>
      <c r="R134" s="70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S134" s="70"/>
      <c r="T134" s="70"/>
      <c r="U134" s="71"/>
      <c r="V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W134" s="67"/>
      <c r="X134" s="67"/>
      <c r="Y134" s="67"/>
      <c r="Z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AA134" s="67"/>
      <c r="AB134" s="67"/>
      <c r="AC134" s="68"/>
      <c r="AD134" s="70"/>
      <c r="AE134" s="70"/>
      <c r="AF134" s="70"/>
      <c r="AG134" s="71"/>
      <c r="AH134" s="67"/>
      <c r="AI134" s="67"/>
      <c r="AJ134" s="67"/>
      <c r="AK134" s="67"/>
      <c r="AL134" s="67"/>
      <c r="AM134" s="67"/>
      <c r="AN134" s="67"/>
      <c r="AO134" s="68"/>
      <c r="AP134" s="70"/>
      <c r="AQ134" s="70"/>
      <c r="AR134" s="70"/>
      <c r="AS134" s="71"/>
      <c r="AT134" s="67"/>
      <c r="AU134" s="67"/>
      <c r="AV134" s="67"/>
      <c r="AW134" s="67"/>
      <c r="AX134" s="67"/>
      <c r="AY134" s="67"/>
      <c r="AZ134" s="67"/>
      <c r="BA134" s="68"/>
      <c r="BB134" s="70"/>
      <c r="BC134" s="70"/>
      <c r="BD134" s="70"/>
      <c r="BE134" s="71"/>
      <c r="BF134" s="67"/>
      <c r="BG134" s="67"/>
      <c r="BH134" s="67"/>
      <c r="BI134" s="67"/>
      <c r="BJ134" s="67"/>
      <c r="BK134" s="67"/>
      <c r="BL134" s="67"/>
      <c r="BM134" s="68"/>
      <c r="BN134" s="70"/>
      <c r="BO134" s="70"/>
      <c r="BP134" s="70"/>
      <c r="BQ134" s="71"/>
      <c r="BR134" s="67"/>
      <c r="BS134" s="67"/>
      <c r="BT134" s="67"/>
      <c r="BU134" s="67"/>
      <c r="BV134" s="67"/>
      <c r="BW134" s="67"/>
      <c r="BX134" s="67"/>
      <c r="BY134" s="68"/>
      <c r="BZ134" s="70"/>
      <c r="CA134" s="70"/>
      <c r="CB134" s="70"/>
      <c r="CC134" s="71"/>
      <c r="CD134" s="67"/>
      <c r="CE134" s="67"/>
      <c r="CF134" s="67"/>
      <c r="CG134" s="67"/>
      <c r="CH134" s="67"/>
      <c r="CI134" s="67"/>
      <c r="CJ134" s="67"/>
      <c r="CK134" s="68"/>
      <c r="CL134" s="70"/>
      <c r="CM134" s="70"/>
      <c r="CN134" s="70"/>
      <c r="CO134" s="71"/>
      <c r="CP134" s="67"/>
      <c r="CQ134" s="67"/>
      <c r="CR134" s="67"/>
      <c r="CS134" s="67"/>
      <c r="CT134" s="67"/>
      <c r="CU134" s="67"/>
      <c r="CV134" s="67"/>
      <c r="CW134" s="68"/>
      <c r="CX134" s="70"/>
      <c r="CY134" s="70"/>
      <c r="CZ134" s="70"/>
      <c r="DA134" s="71"/>
      <c r="DB134" s="67"/>
      <c r="DC134" s="67"/>
      <c r="DD134" s="67"/>
      <c r="DE134" s="67"/>
      <c r="DF134" s="67"/>
      <c r="DG134" s="67"/>
      <c r="DH134" s="67"/>
      <c r="DI134" s="68"/>
      <c r="DJ134" s="70"/>
      <c r="DK134" s="70"/>
      <c r="DL134" s="70"/>
      <c r="DM134" s="71"/>
      <c r="DN134" s="67"/>
      <c r="DO134" s="67"/>
      <c r="DP134" s="67"/>
      <c r="DQ134" s="67"/>
      <c r="DR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DS134" s="67"/>
      <c r="DT134" s="67"/>
      <c r="DU134" s="68"/>
      <c r="DV134" s="70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DW134" s="70"/>
      <c r="DX134" s="70"/>
      <c r="DY134" s="71"/>
      <c r="DZ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EA134" s="67"/>
      <c r="EB134" s="67"/>
      <c r="EC134" s="67"/>
      <c r="ED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EE134" s="67"/>
      <c r="EF134" s="67"/>
      <c r="EG134" s="68"/>
      <c r="EH134" s="70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EI134" s="70"/>
      <c r="EJ134" s="70"/>
      <c r="EK134" s="71"/>
      <c r="EL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EM134" s="67"/>
      <c r="EN134" s="67"/>
      <c r="EO134" s="67"/>
      <c r="EP134" s="67">
        <f ca="1">IF(ISERROR(VLOOKUP(RIGHT(CELL("filename",$A$1),LEN(CELL("filename",$A$1))-FIND("]",CELL("filename",$A$1)))&amp;$B134,[2]要員計画!$L:$AJ,((COLUMN()-1)/4)+1,FALSE)),0,VLOOKUP(RIGHT(CELL("filename",$A$1),LEN(CELL("filename",$A$1))-FIND("]",CELL("filename",$A$1)))&amp;$B134,[2]要員計画!$L:$AJ,((COLUMN()-1)/4)+1,FALSE))</f>
        <v>0</v>
      </c>
      <c r="EQ134" s="67"/>
      <c r="ER134" s="67"/>
      <c r="ES134" s="68"/>
    </row>
    <row r="135" spans="1:149" customFormat="1" ht="18.600000000000001" hidden="1" outlineLevel="1" thickBot="1" x14ac:dyDescent="0.5">
      <c r="A135" s="2"/>
      <c r="B135" s="76"/>
      <c r="C135" s="22">
        <v>1000000</v>
      </c>
      <c r="D135" s="23" t="s">
        <v>23</v>
      </c>
      <c r="E135" s="24">
        <f ca="1">SUM(F135:CW135)</f>
        <v>0</v>
      </c>
      <c r="F135" s="69">
        <f ca="1">IFERROR($C135*F134,"")</f>
        <v>0</v>
      </c>
      <c r="G135" s="62"/>
      <c r="H135" s="62"/>
      <c r="I135" s="62"/>
      <c r="J135" s="62">
        <f t="shared" ref="J135" ca="1" si="1942">IFERROR($C135*J134,"")</f>
        <v>0</v>
      </c>
      <c r="K135" s="62"/>
      <c r="L135" s="62"/>
      <c r="M135" s="62"/>
      <c r="N135" s="63">
        <f t="shared" ref="N135" ca="1" si="1943">IFERROR($C135*N134,"")</f>
        <v>0</v>
      </c>
      <c r="O135" s="64"/>
      <c r="P135" s="64"/>
      <c r="Q135" s="64"/>
      <c r="R135" s="64">
        <f t="shared" ref="R135" ca="1" si="1944">IFERROR($C135*R134,"")</f>
        <v>0</v>
      </c>
      <c r="S135" s="64"/>
      <c r="T135" s="64"/>
      <c r="U135" s="65"/>
      <c r="V135" s="62">
        <f t="shared" ref="V135" ca="1" si="1945">IFERROR($C135*V134,"")</f>
        <v>0</v>
      </c>
      <c r="W135" s="62"/>
      <c r="X135" s="62"/>
      <c r="Y135" s="62"/>
      <c r="Z135" s="62">
        <f t="shared" ref="Z135" ca="1" si="1946">IFERROR($C135*Z134,"")</f>
        <v>0</v>
      </c>
      <c r="AA135" s="62"/>
      <c r="AB135" s="62"/>
      <c r="AC135" s="63"/>
      <c r="AD135" s="64"/>
      <c r="AE135" s="64"/>
      <c r="AF135" s="64"/>
      <c r="AG135" s="65"/>
      <c r="AH135" s="62"/>
      <c r="AI135" s="62"/>
      <c r="AJ135" s="62"/>
      <c r="AK135" s="62"/>
      <c r="AL135" s="62"/>
      <c r="AM135" s="62"/>
      <c r="AN135" s="62"/>
      <c r="AO135" s="63"/>
      <c r="AP135" s="64"/>
      <c r="AQ135" s="64"/>
      <c r="AR135" s="64"/>
      <c r="AS135" s="65"/>
      <c r="AT135" s="62"/>
      <c r="AU135" s="62"/>
      <c r="AV135" s="62"/>
      <c r="AW135" s="62"/>
      <c r="AX135" s="62"/>
      <c r="AY135" s="62"/>
      <c r="AZ135" s="62"/>
      <c r="BA135" s="63"/>
      <c r="BB135" s="64"/>
      <c r="BC135" s="64"/>
      <c r="BD135" s="64"/>
      <c r="BE135" s="65"/>
      <c r="BF135" s="62"/>
      <c r="BG135" s="62"/>
      <c r="BH135" s="62"/>
      <c r="BI135" s="62"/>
      <c r="BJ135" s="62"/>
      <c r="BK135" s="62"/>
      <c r="BL135" s="62"/>
      <c r="BM135" s="63"/>
      <c r="BN135" s="64"/>
      <c r="BO135" s="64"/>
      <c r="BP135" s="64"/>
      <c r="BQ135" s="65"/>
      <c r="BR135" s="62"/>
      <c r="BS135" s="62"/>
      <c r="BT135" s="62"/>
      <c r="BU135" s="62"/>
      <c r="BV135" s="62"/>
      <c r="BW135" s="62"/>
      <c r="BX135" s="62"/>
      <c r="BY135" s="63"/>
      <c r="BZ135" s="64"/>
      <c r="CA135" s="64"/>
      <c r="CB135" s="64"/>
      <c r="CC135" s="65"/>
      <c r="CD135" s="62"/>
      <c r="CE135" s="62"/>
      <c r="CF135" s="62"/>
      <c r="CG135" s="62"/>
      <c r="CH135" s="62"/>
      <c r="CI135" s="62"/>
      <c r="CJ135" s="62"/>
      <c r="CK135" s="63"/>
      <c r="CL135" s="64"/>
      <c r="CM135" s="64"/>
      <c r="CN135" s="64"/>
      <c r="CO135" s="65"/>
      <c r="CP135" s="62"/>
      <c r="CQ135" s="62"/>
      <c r="CR135" s="62"/>
      <c r="CS135" s="62"/>
      <c r="CT135" s="62"/>
      <c r="CU135" s="62"/>
      <c r="CV135" s="62"/>
      <c r="CW135" s="63"/>
      <c r="CX135" s="64"/>
      <c r="CY135" s="64"/>
      <c r="CZ135" s="64"/>
      <c r="DA135" s="65"/>
      <c r="DB135" s="62"/>
      <c r="DC135" s="62"/>
      <c r="DD135" s="62"/>
      <c r="DE135" s="62"/>
      <c r="DF135" s="62"/>
      <c r="DG135" s="62"/>
      <c r="DH135" s="62"/>
      <c r="DI135" s="63"/>
      <c r="DJ135" s="64"/>
      <c r="DK135" s="64"/>
      <c r="DL135" s="64"/>
      <c r="DM135" s="65"/>
      <c r="DN135" s="62"/>
      <c r="DO135" s="62"/>
      <c r="DP135" s="62"/>
      <c r="DQ135" s="62"/>
      <c r="DR135" s="62">
        <f t="shared" ref="DR135" ca="1" si="1947">IFERROR($C135*DR134,"")</f>
        <v>0</v>
      </c>
      <c r="DS135" s="62"/>
      <c r="DT135" s="62"/>
      <c r="DU135" s="63"/>
      <c r="DV135" s="64">
        <f t="shared" ref="DV135" ca="1" si="1948">IFERROR($C135*DV134,"")</f>
        <v>0</v>
      </c>
      <c r="DW135" s="64"/>
      <c r="DX135" s="64"/>
      <c r="DY135" s="65"/>
      <c r="DZ135" s="62">
        <f t="shared" ref="DZ135" ca="1" si="1949">IFERROR($C135*DZ134,"")</f>
        <v>0</v>
      </c>
      <c r="EA135" s="62"/>
      <c r="EB135" s="62"/>
      <c r="EC135" s="62"/>
      <c r="ED135" s="62">
        <f t="shared" ref="ED135" ca="1" si="1950">IFERROR($C135*ED134,"")</f>
        <v>0</v>
      </c>
      <c r="EE135" s="62"/>
      <c r="EF135" s="62"/>
      <c r="EG135" s="63"/>
      <c r="EH135" s="64">
        <f t="shared" ref="EH135" ca="1" si="1951">IFERROR($C135*EH134,"")</f>
        <v>0</v>
      </c>
      <c r="EI135" s="64"/>
      <c r="EJ135" s="64"/>
      <c r="EK135" s="65"/>
      <c r="EL135" s="62">
        <f t="shared" ref="EL135" ca="1" si="1952">IFERROR($C135*EL134,"")</f>
        <v>0</v>
      </c>
      <c r="EM135" s="62"/>
      <c r="EN135" s="62"/>
      <c r="EO135" s="62"/>
      <c r="EP135" s="62">
        <f t="shared" ref="EP135" ca="1" si="1953">IFERROR($C135*EP134,"")</f>
        <v>0</v>
      </c>
      <c r="EQ135" s="62"/>
      <c r="ER135" s="62"/>
      <c r="ES135" s="63"/>
    </row>
    <row r="136" spans="1:149" customFormat="1" ht="18.600000000000001" hidden="1" outlineLevel="1" thickBot="1" x14ac:dyDescent="0.5">
      <c r="A136" s="2"/>
      <c r="B136" s="77"/>
      <c r="C136" s="25">
        <v>850000</v>
      </c>
      <c r="D136" s="26" t="s">
        <v>3</v>
      </c>
      <c r="E136" s="27">
        <f ca="1">SUM(F136:CW136)</f>
        <v>0</v>
      </c>
      <c r="F136" s="66">
        <f ca="1">IFERROR($C136*F134,"")</f>
        <v>0</v>
      </c>
      <c r="G136" s="60"/>
      <c r="H136" s="60"/>
      <c r="I136" s="60"/>
      <c r="J136" s="60">
        <f t="shared" ref="J136" ca="1" si="1954">IFERROR($C136*J134,"")</f>
        <v>0</v>
      </c>
      <c r="K136" s="60"/>
      <c r="L136" s="60"/>
      <c r="M136" s="60"/>
      <c r="N136" s="61">
        <f t="shared" ref="N136" ca="1" si="1955">IFERROR($C136*N134,"")</f>
        <v>0</v>
      </c>
      <c r="O136" s="58"/>
      <c r="P136" s="58"/>
      <c r="Q136" s="58"/>
      <c r="R136" s="58">
        <f t="shared" ref="R136" ca="1" si="1956">IFERROR($C136*R134,"")</f>
        <v>0</v>
      </c>
      <c r="S136" s="58"/>
      <c r="T136" s="58"/>
      <c r="U136" s="59"/>
      <c r="V136" s="60">
        <f t="shared" ref="V136" ca="1" si="1957">IFERROR($C136*V134,"")</f>
        <v>0</v>
      </c>
      <c r="W136" s="60"/>
      <c r="X136" s="60"/>
      <c r="Y136" s="60"/>
      <c r="Z136" s="60">
        <f t="shared" ref="Z136" ca="1" si="1958">IFERROR($C136*Z134,"")</f>
        <v>0</v>
      </c>
      <c r="AA136" s="60"/>
      <c r="AB136" s="60"/>
      <c r="AC136" s="61"/>
      <c r="AD136" s="58"/>
      <c r="AE136" s="58"/>
      <c r="AF136" s="58"/>
      <c r="AG136" s="59"/>
      <c r="AH136" s="60"/>
      <c r="AI136" s="60"/>
      <c r="AJ136" s="60"/>
      <c r="AK136" s="60"/>
      <c r="AL136" s="60"/>
      <c r="AM136" s="60"/>
      <c r="AN136" s="60"/>
      <c r="AO136" s="61"/>
      <c r="AP136" s="58"/>
      <c r="AQ136" s="58"/>
      <c r="AR136" s="58"/>
      <c r="AS136" s="59"/>
      <c r="AT136" s="60"/>
      <c r="AU136" s="60"/>
      <c r="AV136" s="60"/>
      <c r="AW136" s="60"/>
      <c r="AX136" s="60"/>
      <c r="AY136" s="60"/>
      <c r="AZ136" s="60"/>
      <c r="BA136" s="61"/>
      <c r="BB136" s="58"/>
      <c r="BC136" s="58"/>
      <c r="BD136" s="58"/>
      <c r="BE136" s="59"/>
      <c r="BF136" s="60"/>
      <c r="BG136" s="60"/>
      <c r="BH136" s="60"/>
      <c r="BI136" s="60"/>
      <c r="BJ136" s="60"/>
      <c r="BK136" s="60"/>
      <c r="BL136" s="60"/>
      <c r="BM136" s="61"/>
      <c r="BN136" s="58"/>
      <c r="BO136" s="58"/>
      <c r="BP136" s="58"/>
      <c r="BQ136" s="59"/>
      <c r="BR136" s="60"/>
      <c r="BS136" s="60"/>
      <c r="BT136" s="60"/>
      <c r="BU136" s="60"/>
      <c r="BV136" s="60"/>
      <c r="BW136" s="60"/>
      <c r="BX136" s="60"/>
      <c r="BY136" s="61"/>
      <c r="BZ136" s="58"/>
      <c r="CA136" s="58"/>
      <c r="CB136" s="58"/>
      <c r="CC136" s="59"/>
      <c r="CD136" s="60"/>
      <c r="CE136" s="60"/>
      <c r="CF136" s="60"/>
      <c r="CG136" s="60"/>
      <c r="CH136" s="60"/>
      <c r="CI136" s="60"/>
      <c r="CJ136" s="60"/>
      <c r="CK136" s="61"/>
      <c r="CL136" s="58"/>
      <c r="CM136" s="58"/>
      <c r="CN136" s="58"/>
      <c r="CO136" s="59"/>
      <c r="CP136" s="60"/>
      <c r="CQ136" s="60"/>
      <c r="CR136" s="60"/>
      <c r="CS136" s="60"/>
      <c r="CT136" s="60"/>
      <c r="CU136" s="60"/>
      <c r="CV136" s="60"/>
      <c r="CW136" s="61"/>
      <c r="CX136" s="58"/>
      <c r="CY136" s="58"/>
      <c r="CZ136" s="58"/>
      <c r="DA136" s="59"/>
      <c r="DB136" s="60"/>
      <c r="DC136" s="60"/>
      <c r="DD136" s="60"/>
      <c r="DE136" s="60"/>
      <c r="DF136" s="60"/>
      <c r="DG136" s="60"/>
      <c r="DH136" s="60"/>
      <c r="DI136" s="61"/>
      <c r="DJ136" s="58"/>
      <c r="DK136" s="58"/>
      <c r="DL136" s="58"/>
      <c r="DM136" s="59"/>
      <c r="DN136" s="60"/>
      <c r="DO136" s="60"/>
      <c r="DP136" s="60"/>
      <c r="DQ136" s="60"/>
      <c r="DR136" s="60">
        <f t="shared" ref="DR136" ca="1" si="1959">IFERROR($C136*DR134,"")</f>
        <v>0</v>
      </c>
      <c r="DS136" s="60"/>
      <c r="DT136" s="60"/>
      <c r="DU136" s="61"/>
      <c r="DV136" s="58">
        <f t="shared" ref="DV136" ca="1" si="1960">IFERROR($C136*DV134,"")</f>
        <v>0</v>
      </c>
      <c r="DW136" s="58"/>
      <c r="DX136" s="58"/>
      <c r="DY136" s="59"/>
      <c r="DZ136" s="60">
        <f t="shared" ref="DZ136" ca="1" si="1961">IFERROR($C136*DZ134,"")</f>
        <v>0</v>
      </c>
      <c r="EA136" s="60"/>
      <c r="EB136" s="60"/>
      <c r="EC136" s="60"/>
      <c r="ED136" s="60">
        <f t="shared" ref="ED136" ca="1" si="1962">IFERROR($C136*ED134,"")</f>
        <v>0</v>
      </c>
      <c r="EE136" s="60"/>
      <c r="EF136" s="60"/>
      <c r="EG136" s="61"/>
      <c r="EH136" s="58">
        <f t="shared" ref="EH136" ca="1" si="1963">IFERROR($C136*EH134,"")</f>
        <v>0</v>
      </c>
      <c r="EI136" s="58"/>
      <c r="EJ136" s="58"/>
      <c r="EK136" s="59"/>
      <c r="EL136" s="60">
        <f t="shared" ref="EL136" ca="1" si="1964">IFERROR($C136*EL134,"")</f>
        <v>0</v>
      </c>
      <c r="EM136" s="60"/>
      <c r="EN136" s="60"/>
      <c r="EO136" s="60"/>
      <c r="EP136" s="60">
        <f t="shared" ref="EP136" ca="1" si="1965">IFERROR($C136*EP134,"")</f>
        <v>0</v>
      </c>
      <c r="EQ136" s="60"/>
      <c r="ER136" s="60"/>
      <c r="ES136" s="61"/>
    </row>
    <row r="137" spans="1:149" customFormat="1" ht="18.600000000000001" hidden="1" outlineLevel="1" thickBot="1" x14ac:dyDescent="0.5">
      <c r="A137" s="2"/>
      <c r="B137" s="72">
        <v>12</v>
      </c>
      <c r="C137" s="19"/>
      <c r="D137" s="20" t="s">
        <v>13</v>
      </c>
      <c r="E137" s="21">
        <f ca="1">SUM(F137:ES137)</f>
        <v>0</v>
      </c>
      <c r="F137" s="74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G137" s="67"/>
      <c r="H137" s="67"/>
      <c r="I137" s="67"/>
      <c r="J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K137" s="67"/>
      <c r="L137" s="67"/>
      <c r="M137" s="67"/>
      <c r="N137" s="68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O137" s="70"/>
      <c r="P137" s="70"/>
      <c r="Q137" s="70"/>
      <c r="R137" s="70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S137" s="70"/>
      <c r="T137" s="70"/>
      <c r="U137" s="71"/>
      <c r="V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W137" s="67"/>
      <c r="X137" s="67"/>
      <c r="Y137" s="67"/>
      <c r="Z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AA137" s="67"/>
      <c r="AB137" s="67"/>
      <c r="AC137" s="68"/>
      <c r="AD137" s="70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AE137" s="70"/>
      <c r="AF137" s="70"/>
      <c r="AG137" s="71"/>
      <c r="AH137" s="67"/>
      <c r="AI137" s="67"/>
      <c r="AJ137" s="67"/>
      <c r="AK137" s="67"/>
      <c r="AL137" s="67"/>
      <c r="AM137" s="67"/>
      <c r="AN137" s="67"/>
      <c r="AO137" s="68"/>
      <c r="AP137" s="70"/>
      <c r="AQ137" s="70"/>
      <c r="AR137" s="70"/>
      <c r="AS137" s="71"/>
      <c r="AT137" s="67"/>
      <c r="AU137" s="67"/>
      <c r="AV137" s="67"/>
      <c r="AW137" s="67"/>
      <c r="AX137" s="67"/>
      <c r="AY137" s="67"/>
      <c r="AZ137" s="67"/>
      <c r="BA137" s="68"/>
      <c r="BB137" s="70"/>
      <c r="BC137" s="70"/>
      <c r="BD137" s="70"/>
      <c r="BE137" s="71"/>
      <c r="BF137" s="67"/>
      <c r="BG137" s="67"/>
      <c r="BH137" s="67"/>
      <c r="BI137" s="67"/>
      <c r="BJ137" s="67"/>
      <c r="BK137" s="67"/>
      <c r="BL137" s="67"/>
      <c r="BM137" s="68"/>
      <c r="BN137" s="70"/>
      <c r="BO137" s="70"/>
      <c r="BP137" s="70"/>
      <c r="BQ137" s="71"/>
      <c r="BR137" s="67"/>
      <c r="BS137" s="67"/>
      <c r="BT137" s="67"/>
      <c r="BU137" s="67"/>
      <c r="BV137" s="67"/>
      <c r="BW137" s="67"/>
      <c r="BX137" s="67"/>
      <c r="BY137" s="68"/>
      <c r="BZ137" s="70"/>
      <c r="CA137" s="70"/>
      <c r="CB137" s="70"/>
      <c r="CC137" s="71"/>
      <c r="CD137" s="67"/>
      <c r="CE137" s="67"/>
      <c r="CF137" s="67"/>
      <c r="CG137" s="67"/>
      <c r="CH137" s="67"/>
      <c r="CI137" s="67"/>
      <c r="CJ137" s="67"/>
      <c r="CK137" s="68"/>
      <c r="CL137" s="70"/>
      <c r="CM137" s="70"/>
      <c r="CN137" s="70"/>
      <c r="CO137" s="71"/>
      <c r="CP137" s="67"/>
      <c r="CQ137" s="67"/>
      <c r="CR137" s="67"/>
      <c r="CS137" s="67"/>
      <c r="CT137" s="67"/>
      <c r="CU137" s="67"/>
      <c r="CV137" s="67"/>
      <c r="CW137" s="68"/>
      <c r="CX137" s="70"/>
      <c r="CY137" s="70"/>
      <c r="CZ137" s="70"/>
      <c r="DA137" s="71"/>
      <c r="DB137" s="67"/>
      <c r="DC137" s="67"/>
      <c r="DD137" s="67"/>
      <c r="DE137" s="67"/>
      <c r="DF137" s="67"/>
      <c r="DG137" s="67"/>
      <c r="DH137" s="67"/>
      <c r="DI137" s="68"/>
      <c r="DJ137" s="70"/>
      <c r="DK137" s="70"/>
      <c r="DL137" s="70"/>
      <c r="DM137" s="71"/>
      <c r="DN137" s="67"/>
      <c r="DO137" s="67"/>
      <c r="DP137" s="67"/>
      <c r="DQ137" s="67"/>
      <c r="DR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DS137" s="67"/>
      <c r="DT137" s="67"/>
      <c r="DU137" s="68"/>
      <c r="DV137" s="70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DW137" s="70"/>
      <c r="DX137" s="70"/>
      <c r="DY137" s="71"/>
      <c r="DZ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EA137" s="67"/>
      <c r="EB137" s="67"/>
      <c r="EC137" s="67"/>
      <c r="ED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EE137" s="67"/>
      <c r="EF137" s="67"/>
      <c r="EG137" s="68"/>
      <c r="EH137" s="70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EI137" s="70"/>
      <c r="EJ137" s="70"/>
      <c r="EK137" s="71"/>
      <c r="EL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EM137" s="67"/>
      <c r="EN137" s="67"/>
      <c r="EO137" s="67"/>
      <c r="EP137" s="67">
        <f ca="1">IF(ISERROR(VLOOKUP(RIGHT(CELL("filename",$A$1),LEN(CELL("filename",$A$1))-FIND("]",CELL("filename",$A$1)))&amp;$B137,[2]要員計画!$L:$AJ,((COLUMN()-1)/4)+1,FALSE)),0,VLOOKUP(RIGHT(CELL("filename",$A$1),LEN(CELL("filename",$A$1))-FIND("]",CELL("filename",$A$1)))&amp;$B137,[2]要員計画!$L:$AJ,((COLUMN()-1)/4)+1,FALSE))</f>
        <v>0</v>
      </c>
      <c r="EQ137" s="67"/>
      <c r="ER137" s="67"/>
      <c r="ES137" s="68"/>
    </row>
    <row r="138" spans="1:149" customFormat="1" ht="18.600000000000001" hidden="1" outlineLevel="1" thickBot="1" x14ac:dyDescent="0.5">
      <c r="A138" s="2"/>
      <c r="B138" s="73"/>
      <c r="C138" s="22">
        <v>1000000</v>
      </c>
      <c r="D138" s="23" t="s">
        <v>23</v>
      </c>
      <c r="E138" s="24">
        <f ca="1">SUM(F138:CW138)</f>
        <v>0</v>
      </c>
      <c r="F138" s="69">
        <f ca="1">IFERROR($C138*F137,"")</f>
        <v>0</v>
      </c>
      <c r="G138" s="62"/>
      <c r="H138" s="62"/>
      <c r="I138" s="62"/>
      <c r="J138" s="62">
        <f t="shared" ref="J138" ca="1" si="1966">IFERROR($C138*J137,"")</f>
        <v>0</v>
      </c>
      <c r="K138" s="62"/>
      <c r="L138" s="62"/>
      <c r="M138" s="62"/>
      <c r="N138" s="63">
        <f t="shared" ref="N138" ca="1" si="1967">IFERROR($C138*N137,"")</f>
        <v>0</v>
      </c>
      <c r="O138" s="64"/>
      <c r="P138" s="64"/>
      <c r="Q138" s="64"/>
      <c r="R138" s="64">
        <f t="shared" ref="R138" ca="1" si="1968">IFERROR($C138*R137,"")</f>
        <v>0</v>
      </c>
      <c r="S138" s="64"/>
      <c r="T138" s="64"/>
      <c r="U138" s="65"/>
      <c r="V138" s="62">
        <f t="shared" ref="V138" ca="1" si="1969">IFERROR($C138*V137,"")</f>
        <v>0</v>
      </c>
      <c r="W138" s="62"/>
      <c r="X138" s="62"/>
      <c r="Y138" s="62"/>
      <c r="Z138" s="62">
        <f t="shared" ref="Z138" ca="1" si="1970">IFERROR($C138*Z137,"")</f>
        <v>0</v>
      </c>
      <c r="AA138" s="62"/>
      <c r="AB138" s="62"/>
      <c r="AC138" s="63"/>
      <c r="AD138" s="64">
        <f t="shared" ref="AD138" ca="1" si="1971">IFERROR($C138*AD137,"")</f>
        <v>0</v>
      </c>
      <c r="AE138" s="64"/>
      <c r="AF138" s="64"/>
      <c r="AG138" s="65"/>
      <c r="AH138" s="62">
        <f t="shared" ref="AH138" si="1972">IFERROR($C138*AH137,"")</f>
        <v>0</v>
      </c>
      <c r="AI138" s="62"/>
      <c r="AJ138" s="62"/>
      <c r="AK138" s="62"/>
      <c r="AL138" s="62">
        <f t="shared" ref="AL138" si="1973">IFERROR($C138*AL137,"")</f>
        <v>0</v>
      </c>
      <c r="AM138" s="62"/>
      <c r="AN138" s="62"/>
      <c r="AO138" s="63"/>
      <c r="AP138" s="64">
        <f t="shared" ref="AP138" si="1974">IFERROR($C138*AP137,"")</f>
        <v>0</v>
      </c>
      <c r="AQ138" s="64"/>
      <c r="AR138" s="64"/>
      <c r="AS138" s="65"/>
      <c r="AT138" s="62">
        <f t="shared" ref="AT138" si="1975">IFERROR($C138*AT137,"")</f>
        <v>0</v>
      </c>
      <c r="AU138" s="62"/>
      <c r="AV138" s="62"/>
      <c r="AW138" s="62"/>
      <c r="AX138" s="62">
        <f t="shared" ref="AX138" si="1976">IFERROR($C138*AX137,"")</f>
        <v>0</v>
      </c>
      <c r="AY138" s="62"/>
      <c r="AZ138" s="62"/>
      <c r="BA138" s="63"/>
      <c r="BB138" s="64">
        <f t="shared" ref="BB138" si="1977">IFERROR($C138*BB137,"")</f>
        <v>0</v>
      </c>
      <c r="BC138" s="64"/>
      <c r="BD138" s="64"/>
      <c r="BE138" s="65"/>
      <c r="BF138" s="62">
        <f t="shared" ref="BF138" si="1978">IFERROR($C138*BF137,"")</f>
        <v>0</v>
      </c>
      <c r="BG138" s="62"/>
      <c r="BH138" s="62"/>
      <c r="BI138" s="62"/>
      <c r="BJ138" s="62">
        <f t="shared" ref="BJ138" si="1979">IFERROR($C138*BJ137,"")</f>
        <v>0</v>
      </c>
      <c r="BK138" s="62"/>
      <c r="BL138" s="62"/>
      <c r="BM138" s="63"/>
      <c r="BN138" s="64">
        <f t="shared" ref="BN138" si="1980">IFERROR($C138*BN137,"")</f>
        <v>0</v>
      </c>
      <c r="BO138" s="64"/>
      <c r="BP138" s="64"/>
      <c r="BQ138" s="65"/>
      <c r="BR138" s="62">
        <f t="shared" ref="BR138" si="1981">IFERROR($C138*BR137,"")</f>
        <v>0</v>
      </c>
      <c r="BS138" s="62"/>
      <c r="BT138" s="62"/>
      <c r="BU138" s="62"/>
      <c r="BV138" s="62">
        <f t="shared" ref="BV138" si="1982">IFERROR($C138*BV137,"")</f>
        <v>0</v>
      </c>
      <c r="BW138" s="62"/>
      <c r="BX138" s="62"/>
      <c r="BY138" s="63"/>
      <c r="BZ138" s="64">
        <f t="shared" ref="BZ138" si="1983">IFERROR($C138*BZ137,"")</f>
        <v>0</v>
      </c>
      <c r="CA138" s="64"/>
      <c r="CB138" s="64"/>
      <c r="CC138" s="65"/>
      <c r="CD138" s="62">
        <f t="shared" ref="CD138" si="1984">IFERROR($C138*CD137,"")</f>
        <v>0</v>
      </c>
      <c r="CE138" s="62"/>
      <c r="CF138" s="62"/>
      <c r="CG138" s="62"/>
      <c r="CH138" s="62">
        <f t="shared" ref="CH138" si="1985">IFERROR($C138*CH137,"")</f>
        <v>0</v>
      </c>
      <c r="CI138" s="62"/>
      <c r="CJ138" s="62"/>
      <c r="CK138" s="63"/>
      <c r="CL138" s="64">
        <f t="shared" ref="CL138" si="1986">IFERROR($C138*CL137,"")</f>
        <v>0</v>
      </c>
      <c r="CM138" s="64"/>
      <c r="CN138" s="64"/>
      <c r="CO138" s="65"/>
      <c r="CP138" s="62">
        <f t="shared" ref="CP138" si="1987">IFERROR($C138*CP137,"")</f>
        <v>0</v>
      </c>
      <c r="CQ138" s="62"/>
      <c r="CR138" s="62"/>
      <c r="CS138" s="62"/>
      <c r="CT138" s="62">
        <f t="shared" ref="CT138" si="1988">IFERROR($C138*CT137,"")</f>
        <v>0</v>
      </c>
      <c r="CU138" s="62"/>
      <c r="CV138" s="62"/>
      <c r="CW138" s="63"/>
      <c r="CX138" s="64">
        <f t="shared" ref="CX138" si="1989">IFERROR($C138*CX137,"")</f>
        <v>0</v>
      </c>
      <c r="CY138" s="64"/>
      <c r="CZ138" s="64"/>
      <c r="DA138" s="65"/>
      <c r="DB138" s="62">
        <f t="shared" ref="DB138" si="1990">IFERROR($C138*DB137,"")</f>
        <v>0</v>
      </c>
      <c r="DC138" s="62"/>
      <c r="DD138" s="62"/>
      <c r="DE138" s="62"/>
      <c r="DF138" s="62">
        <f t="shared" ref="DF138" si="1991">IFERROR($C138*DF137,"")</f>
        <v>0</v>
      </c>
      <c r="DG138" s="62"/>
      <c r="DH138" s="62"/>
      <c r="DI138" s="63"/>
      <c r="DJ138" s="64">
        <f t="shared" ref="DJ138" si="1992">IFERROR($C138*DJ137,"")</f>
        <v>0</v>
      </c>
      <c r="DK138" s="64"/>
      <c r="DL138" s="64"/>
      <c r="DM138" s="65"/>
      <c r="DN138" s="62">
        <f t="shared" ref="DN138" si="1993">IFERROR($C138*DN137,"")</f>
        <v>0</v>
      </c>
      <c r="DO138" s="62"/>
      <c r="DP138" s="62"/>
      <c r="DQ138" s="62"/>
      <c r="DR138" s="62">
        <f t="shared" ref="DR138" ca="1" si="1994">IFERROR($C138*DR137,"")</f>
        <v>0</v>
      </c>
      <c r="DS138" s="62"/>
      <c r="DT138" s="62"/>
      <c r="DU138" s="63"/>
      <c r="DV138" s="64">
        <f t="shared" ref="DV138" ca="1" si="1995">IFERROR($C138*DV137,"")</f>
        <v>0</v>
      </c>
      <c r="DW138" s="64"/>
      <c r="DX138" s="64"/>
      <c r="DY138" s="65"/>
      <c r="DZ138" s="62">
        <f t="shared" ref="DZ138" ca="1" si="1996">IFERROR($C138*DZ137,"")</f>
        <v>0</v>
      </c>
      <c r="EA138" s="62"/>
      <c r="EB138" s="62"/>
      <c r="EC138" s="62"/>
      <c r="ED138" s="62">
        <f t="shared" ref="ED138" ca="1" si="1997">IFERROR($C138*ED137,"")</f>
        <v>0</v>
      </c>
      <c r="EE138" s="62"/>
      <c r="EF138" s="62"/>
      <c r="EG138" s="63"/>
      <c r="EH138" s="64">
        <f t="shared" ref="EH138" ca="1" si="1998">IFERROR($C138*EH137,"")</f>
        <v>0</v>
      </c>
      <c r="EI138" s="64"/>
      <c r="EJ138" s="64"/>
      <c r="EK138" s="65"/>
      <c r="EL138" s="62">
        <f t="shared" ref="EL138" ca="1" si="1999">IFERROR($C138*EL137,"")</f>
        <v>0</v>
      </c>
      <c r="EM138" s="62"/>
      <c r="EN138" s="62"/>
      <c r="EO138" s="62"/>
      <c r="EP138" s="62">
        <f t="shared" ref="EP138" ca="1" si="2000">IFERROR($C138*EP137,"")</f>
        <v>0</v>
      </c>
      <c r="EQ138" s="62"/>
      <c r="ER138" s="62"/>
      <c r="ES138" s="63"/>
    </row>
    <row r="139" spans="1:149" customFormat="1" ht="18.600000000000001" hidden="1" outlineLevel="1" thickBot="1" x14ac:dyDescent="0.5">
      <c r="A139" s="2"/>
      <c r="B139" s="78"/>
      <c r="C139" s="25">
        <v>850000</v>
      </c>
      <c r="D139" s="26" t="s">
        <v>3</v>
      </c>
      <c r="E139" s="27">
        <f ca="1">SUM(F139:CW139)</f>
        <v>0</v>
      </c>
      <c r="F139" s="66">
        <f ca="1">IFERROR($C139*F137,"")</f>
        <v>0</v>
      </c>
      <c r="G139" s="60"/>
      <c r="H139" s="60"/>
      <c r="I139" s="60"/>
      <c r="J139" s="60">
        <f t="shared" ref="J139" ca="1" si="2001">IFERROR($C139*J137,"")</f>
        <v>0</v>
      </c>
      <c r="K139" s="60"/>
      <c r="L139" s="60"/>
      <c r="M139" s="60"/>
      <c r="N139" s="61">
        <f t="shared" ref="N139" ca="1" si="2002">IFERROR($C139*N137,"")</f>
        <v>0</v>
      </c>
      <c r="O139" s="58"/>
      <c r="P139" s="58"/>
      <c r="Q139" s="58"/>
      <c r="R139" s="58">
        <f t="shared" ref="R139" ca="1" si="2003">IFERROR($C139*R137,"")</f>
        <v>0</v>
      </c>
      <c r="S139" s="58"/>
      <c r="T139" s="58"/>
      <c r="U139" s="59"/>
      <c r="V139" s="60">
        <f t="shared" ref="V139" ca="1" si="2004">IFERROR($C139*V137,"")</f>
        <v>0</v>
      </c>
      <c r="W139" s="60"/>
      <c r="X139" s="60"/>
      <c r="Y139" s="60"/>
      <c r="Z139" s="60">
        <f t="shared" ref="Z139" ca="1" si="2005">IFERROR($C139*Z137,"")</f>
        <v>0</v>
      </c>
      <c r="AA139" s="60"/>
      <c r="AB139" s="60"/>
      <c r="AC139" s="61"/>
      <c r="AD139" s="58">
        <f t="shared" ref="AD139" ca="1" si="2006">IFERROR($C139*AD137,"")</f>
        <v>0</v>
      </c>
      <c r="AE139" s="58"/>
      <c r="AF139" s="58"/>
      <c r="AG139" s="59"/>
      <c r="AH139" s="60">
        <f t="shared" ref="AH139" si="2007">IFERROR($C139*AH137,"")</f>
        <v>0</v>
      </c>
      <c r="AI139" s="60"/>
      <c r="AJ139" s="60"/>
      <c r="AK139" s="60"/>
      <c r="AL139" s="60">
        <f t="shared" ref="AL139" si="2008">IFERROR($C139*AL137,"")</f>
        <v>0</v>
      </c>
      <c r="AM139" s="60"/>
      <c r="AN139" s="60"/>
      <c r="AO139" s="61"/>
      <c r="AP139" s="58">
        <f t="shared" ref="AP139" si="2009">IFERROR($C139*AP137,"")</f>
        <v>0</v>
      </c>
      <c r="AQ139" s="58"/>
      <c r="AR139" s="58"/>
      <c r="AS139" s="59"/>
      <c r="AT139" s="60">
        <f t="shared" ref="AT139" si="2010">IFERROR($C139*AT137,"")</f>
        <v>0</v>
      </c>
      <c r="AU139" s="60"/>
      <c r="AV139" s="60"/>
      <c r="AW139" s="60"/>
      <c r="AX139" s="60">
        <f t="shared" ref="AX139" si="2011">IFERROR($C139*AX137,"")</f>
        <v>0</v>
      </c>
      <c r="AY139" s="60"/>
      <c r="AZ139" s="60"/>
      <c r="BA139" s="61"/>
      <c r="BB139" s="58">
        <f t="shared" ref="BB139" si="2012">IFERROR($C139*BB137,"")</f>
        <v>0</v>
      </c>
      <c r="BC139" s="58"/>
      <c r="BD139" s="58"/>
      <c r="BE139" s="59"/>
      <c r="BF139" s="60">
        <f t="shared" ref="BF139" si="2013">IFERROR($C139*BF137,"")</f>
        <v>0</v>
      </c>
      <c r="BG139" s="60"/>
      <c r="BH139" s="60"/>
      <c r="BI139" s="60"/>
      <c r="BJ139" s="60">
        <f t="shared" ref="BJ139" si="2014">IFERROR($C139*BJ137,"")</f>
        <v>0</v>
      </c>
      <c r="BK139" s="60"/>
      <c r="BL139" s="60"/>
      <c r="BM139" s="61"/>
      <c r="BN139" s="58">
        <f t="shared" ref="BN139" si="2015">IFERROR($C139*BN137,"")</f>
        <v>0</v>
      </c>
      <c r="BO139" s="58"/>
      <c r="BP139" s="58"/>
      <c r="BQ139" s="59"/>
      <c r="BR139" s="60">
        <f t="shared" ref="BR139" si="2016">IFERROR($C139*BR137,"")</f>
        <v>0</v>
      </c>
      <c r="BS139" s="60"/>
      <c r="BT139" s="60"/>
      <c r="BU139" s="60"/>
      <c r="BV139" s="60">
        <f t="shared" ref="BV139" si="2017">IFERROR($C139*BV137,"")</f>
        <v>0</v>
      </c>
      <c r="BW139" s="60"/>
      <c r="BX139" s="60"/>
      <c r="BY139" s="61"/>
      <c r="BZ139" s="58">
        <f t="shared" ref="BZ139" si="2018">IFERROR($C139*BZ137,"")</f>
        <v>0</v>
      </c>
      <c r="CA139" s="58"/>
      <c r="CB139" s="58"/>
      <c r="CC139" s="59"/>
      <c r="CD139" s="60">
        <f t="shared" ref="CD139" si="2019">IFERROR($C139*CD137,"")</f>
        <v>0</v>
      </c>
      <c r="CE139" s="60"/>
      <c r="CF139" s="60"/>
      <c r="CG139" s="60"/>
      <c r="CH139" s="60">
        <f t="shared" ref="CH139" si="2020">IFERROR($C139*CH137,"")</f>
        <v>0</v>
      </c>
      <c r="CI139" s="60"/>
      <c r="CJ139" s="60"/>
      <c r="CK139" s="61"/>
      <c r="CL139" s="58">
        <f t="shared" ref="CL139" si="2021">IFERROR($C139*CL137,"")</f>
        <v>0</v>
      </c>
      <c r="CM139" s="58"/>
      <c r="CN139" s="58"/>
      <c r="CO139" s="59"/>
      <c r="CP139" s="60">
        <f t="shared" ref="CP139" si="2022">IFERROR($C139*CP137,"")</f>
        <v>0</v>
      </c>
      <c r="CQ139" s="60"/>
      <c r="CR139" s="60"/>
      <c r="CS139" s="60"/>
      <c r="CT139" s="60">
        <f t="shared" ref="CT139" si="2023">IFERROR($C139*CT137,"")</f>
        <v>0</v>
      </c>
      <c r="CU139" s="60"/>
      <c r="CV139" s="60"/>
      <c r="CW139" s="61"/>
      <c r="CX139" s="58">
        <f t="shared" ref="CX139" si="2024">IFERROR($C139*CX137,"")</f>
        <v>0</v>
      </c>
      <c r="CY139" s="58"/>
      <c r="CZ139" s="58"/>
      <c r="DA139" s="59"/>
      <c r="DB139" s="60">
        <f t="shared" ref="DB139" si="2025">IFERROR($C139*DB137,"")</f>
        <v>0</v>
      </c>
      <c r="DC139" s="60"/>
      <c r="DD139" s="60"/>
      <c r="DE139" s="60"/>
      <c r="DF139" s="60">
        <f t="shared" ref="DF139" si="2026">IFERROR($C139*DF137,"")</f>
        <v>0</v>
      </c>
      <c r="DG139" s="60"/>
      <c r="DH139" s="60"/>
      <c r="DI139" s="61"/>
      <c r="DJ139" s="58">
        <f t="shared" ref="DJ139" si="2027">IFERROR($C139*DJ137,"")</f>
        <v>0</v>
      </c>
      <c r="DK139" s="58"/>
      <c r="DL139" s="58"/>
      <c r="DM139" s="59"/>
      <c r="DN139" s="60">
        <f t="shared" ref="DN139" si="2028">IFERROR($C139*DN137,"")</f>
        <v>0</v>
      </c>
      <c r="DO139" s="60"/>
      <c r="DP139" s="60"/>
      <c r="DQ139" s="60"/>
      <c r="DR139" s="60">
        <f t="shared" ref="DR139" ca="1" si="2029">IFERROR($C139*DR137,"")</f>
        <v>0</v>
      </c>
      <c r="DS139" s="60"/>
      <c r="DT139" s="60"/>
      <c r="DU139" s="61"/>
      <c r="DV139" s="58">
        <f t="shared" ref="DV139" ca="1" si="2030">IFERROR($C139*DV137,"")</f>
        <v>0</v>
      </c>
      <c r="DW139" s="58"/>
      <c r="DX139" s="58"/>
      <c r="DY139" s="59"/>
      <c r="DZ139" s="60">
        <f t="shared" ref="DZ139" ca="1" si="2031">IFERROR($C139*DZ137,"")</f>
        <v>0</v>
      </c>
      <c r="EA139" s="60"/>
      <c r="EB139" s="60"/>
      <c r="EC139" s="60"/>
      <c r="ED139" s="60">
        <f t="shared" ref="ED139" ca="1" si="2032">IFERROR($C139*ED137,"")</f>
        <v>0</v>
      </c>
      <c r="EE139" s="60"/>
      <c r="EF139" s="60"/>
      <c r="EG139" s="61"/>
      <c r="EH139" s="58">
        <f t="shared" ref="EH139" ca="1" si="2033">IFERROR($C139*EH137,"")</f>
        <v>0</v>
      </c>
      <c r="EI139" s="58"/>
      <c r="EJ139" s="58"/>
      <c r="EK139" s="59"/>
      <c r="EL139" s="60">
        <f t="shared" ref="EL139" ca="1" si="2034">IFERROR($C139*EL137,"")</f>
        <v>0</v>
      </c>
      <c r="EM139" s="60"/>
      <c r="EN139" s="60"/>
      <c r="EO139" s="60"/>
      <c r="EP139" s="60">
        <f t="shared" ref="EP139" ca="1" si="2035">IFERROR($C139*EP137,"")</f>
        <v>0</v>
      </c>
      <c r="EQ139" s="60"/>
      <c r="ER139" s="60"/>
      <c r="ES139" s="61"/>
    </row>
    <row r="140" spans="1:149" customFormat="1" ht="18.600000000000001" hidden="1" outlineLevel="1" thickBot="1" x14ac:dyDescent="0.5">
      <c r="A140" s="2"/>
      <c r="B140" s="72">
        <v>13</v>
      </c>
      <c r="C140" s="19"/>
      <c r="D140" s="20" t="s">
        <v>13</v>
      </c>
      <c r="E140" s="21">
        <f ca="1">SUM(F140:ES140)</f>
        <v>0</v>
      </c>
      <c r="F140" s="74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G140" s="67"/>
      <c r="H140" s="67"/>
      <c r="I140" s="67"/>
      <c r="J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K140" s="67"/>
      <c r="L140" s="67"/>
      <c r="M140" s="67"/>
      <c r="N140" s="68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O140" s="70"/>
      <c r="P140" s="70"/>
      <c r="Q140" s="70"/>
      <c r="R140" s="70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S140" s="70"/>
      <c r="T140" s="70"/>
      <c r="U140" s="71"/>
      <c r="V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W140" s="67"/>
      <c r="X140" s="67"/>
      <c r="Y140" s="67"/>
      <c r="Z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AA140" s="67"/>
      <c r="AB140" s="67"/>
      <c r="AC140" s="68"/>
      <c r="AD140" s="70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AE140" s="70"/>
      <c r="AF140" s="70"/>
      <c r="AG140" s="71"/>
      <c r="AH140" s="67"/>
      <c r="AI140" s="67"/>
      <c r="AJ140" s="67"/>
      <c r="AK140" s="67"/>
      <c r="AL140" s="67"/>
      <c r="AM140" s="67"/>
      <c r="AN140" s="67"/>
      <c r="AO140" s="68"/>
      <c r="AP140" s="70"/>
      <c r="AQ140" s="70"/>
      <c r="AR140" s="70"/>
      <c r="AS140" s="71"/>
      <c r="AT140" s="67"/>
      <c r="AU140" s="67"/>
      <c r="AV140" s="67"/>
      <c r="AW140" s="67"/>
      <c r="AX140" s="67"/>
      <c r="AY140" s="67"/>
      <c r="AZ140" s="67"/>
      <c r="BA140" s="68"/>
      <c r="BB140" s="70"/>
      <c r="BC140" s="70"/>
      <c r="BD140" s="70"/>
      <c r="BE140" s="71"/>
      <c r="BF140" s="67"/>
      <c r="BG140" s="67"/>
      <c r="BH140" s="67"/>
      <c r="BI140" s="67"/>
      <c r="BJ140" s="67"/>
      <c r="BK140" s="67"/>
      <c r="BL140" s="67"/>
      <c r="BM140" s="68"/>
      <c r="BN140" s="70"/>
      <c r="BO140" s="70"/>
      <c r="BP140" s="70"/>
      <c r="BQ140" s="71"/>
      <c r="BR140" s="67"/>
      <c r="BS140" s="67"/>
      <c r="BT140" s="67"/>
      <c r="BU140" s="67"/>
      <c r="BV140" s="67"/>
      <c r="BW140" s="67"/>
      <c r="BX140" s="67"/>
      <c r="BY140" s="68"/>
      <c r="BZ140" s="70"/>
      <c r="CA140" s="70"/>
      <c r="CB140" s="70"/>
      <c r="CC140" s="71"/>
      <c r="CD140" s="67"/>
      <c r="CE140" s="67"/>
      <c r="CF140" s="67"/>
      <c r="CG140" s="67"/>
      <c r="CH140" s="67"/>
      <c r="CI140" s="67"/>
      <c r="CJ140" s="67"/>
      <c r="CK140" s="68"/>
      <c r="CL140" s="70"/>
      <c r="CM140" s="70"/>
      <c r="CN140" s="70"/>
      <c r="CO140" s="71"/>
      <c r="CP140" s="67"/>
      <c r="CQ140" s="67"/>
      <c r="CR140" s="67"/>
      <c r="CS140" s="67"/>
      <c r="CT140" s="67"/>
      <c r="CU140" s="67"/>
      <c r="CV140" s="67"/>
      <c r="CW140" s="68"/>
      <c r="CX140" s="70"/>
      <c r="CY140" s="70"/>
      <c r="CZ140" s="70"/>
      <c r="DA140" s="71"/>
      <c r="DB140" s="67"/>
      <c r="DC140" s="67"/>
      <c r="DD140" s="67"/>
      <c r="DE140" s="67"/>
      <c r="DF140" s="67"/>
      <c r="DG140" s="67"/>
      <c r="DH140" s="67"/>
      <c r="DI140" s="68"/>
      <c r="DJ140" s="70"/>
      <c r="DK140" s="70"/>
      <c r="DL140" s="70"/>
      <c r="DM140" s="71"/>
      <c r="DN140" s="67"/>
      <c r="DO140" s="67"/>
      <c r="DP140" s="67"/>
      <c r="DQ140" s="67"/>
      <c r="DR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DS140" s="67"/>
      <c r="DT140" s="67"/>
      <c r="DU140" s="68"/>
      <c r="DV140" s="70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DW140" s="70"/>
      <c r="DX140" s="70"/>
      <c r="DY140" s="71"/>
      <c r="DZ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EA140" s="67"/>
      <c r="EB140" s="67"/>
      <c r="EC140" s="67"/>
      <c r="ED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EE140" s="67"/>
      <c r="EF140" s="67"/>
      <c r="EG140" s="68"/>
      <c r="EH140" s="70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EI140" s="70"/>
      <c r="EJ140" s="70"/>
      <c r="EK140" s="71"/>
      <c r="EL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EM140" s="67"/>
      <c r="EN140" s="67"/>
      <c r="EO140" s="67"/>
      <c r="EP140" s="67">
        <f ca="1">IF(ISERROR(VLOOKUP(RIGHT(CELL("filename",$A$1),LEN(CELL("filename",$A$1))-FIND("]",CELL("filename",$A$1)))&amp;$B140,[2]要員計画!$L:$AJ,((COLUMN()-1)/4)+1,FALSE)),0,VLOOKUP(RIGHT(CELL("filename",$A$1),LEN(CELL("filename",$A$1))-FIND("]",CELL("filename",$A$1)))&amp;$B140,[2]要員計画!$L:$AJ,((COLUMN()-1)/4)+1,FALSE))</f>
        <v>0</v>
      </c>
      <c r="EQ140" s="67"/>
      <c r="ER140" s="67"/>
      <c r="ES140" s="68"/>
    </row>
    <row r="141" spans="1:149" customFormat="1" ht="18.600000000000001" hidden="1" outlineLevel="1" thickBot="1" x14ac:dyDescent="0.5">
      <c r="A141" s="2"/>
      <c r="B141" s="73"/>
      <c r="C141" s="22">
        <v>1000000</v>
      </c>
      <c r="D141" s="23" t="s">
        <v>23</v>
      </c>
      <c r="E141" s="24">
        <f ca="1">SUM(F141:CW141)</f>
        <v>0</v>
      </c>
      <c r="F141" s="69">
        <f ca="1">IFERROR($C141*F140,"")</f>
        <v>0</v>
      </c>
      <c r="G141" s="62"/>
      <c r="H141" s="62"/>
      <c r="I141" s="62"/>
      <c r="J141" s="62">
        <f t="shared" ref="J141" ca="1" si="2036">IFERROR($C141*J140,"")</f>
        <v>0</v>
      </c>
      <c r="K141" s="62"/>
      <c r="L141" s="62"/>
      <c r="M141" s="62"/>
      <c r="N141" s="63">
        <f t="shared" ref="N141" ca="1" si="2037">IFERROR($C141*N140,"")</f>
        <v>0</v>
      </c>
      <c r="O141" s="64"/>
      <c r="P141" s="64"/>
      <c r="Q141" s="64"/>
      <c r="R141" s="64">
        <f t="shared" ref="R141" ca="1" si="2038">IFERROR($C141*R140,"")</f>
        <v>0</v>
      </c>
      <c r="S141" s="64"/>
      <c r="T141" s="64"/>
      <c r="U141" s="65"/>
      <c r="V141" s="62">
        <f t="shared" ref="V141" ca="1" si="2039">IFERROR($C141*V140,"")</f>
        <v>0</v>
      </c>
      <c r="W141" s="62"/>
      <c r="X141" s="62"/>
      <c r="Y141" s="62"/>
      <c r="Z141" s="62">
        <f t="shared" ref="Z141" ca="1" si="2040">IFERROR($C141*Z140,"")</f>
        <v>0</v>
      </c>
      <c r="AA141" s="62"/>
      <c r="AB141" s="62"/>
      <c r="AC141" s="63"/>
      <c r="AD141" s="64">
        <f t="shared" ref="AD141" ca="1" si="2041">IFERROR($C141*AD140,"")</f>
        <v>0</v>
      </c>
      <c r="AE141" s="64"/>
      <c r="AF141" s="64"/>
      <c r="AG141" s="65"/>
      <c r="AH141" s="62">
        <f t="shared" ref="AH141" si="2042">IFERROR($C141*AH140,"")</f>
        <v>0</v>
      </c>
      <c r="AI141" s="62"/>
      <c r="AJ141" s="62"/>
      <c r="AK141" s="62"/>
      <c r="AL141" s="62">
        <f t="shared" ref="AL141" si="2043">IFERROR($C141*AL140,"")</f>
        <v>0</v>
      </c>
      <c r="AM141" s="62"/>
      <c r="AN141" s="62"/>
      <c r="AO141" s="63"/>
      <c r="AP141" s="64">
        <f t="shared" ref="AP141" si="2044">IFERROR($C141*AP140,"")</f>
        <v>0</v>
      </c>
      <c r="AQ141" s="64"/>
      <c r="AR141" s="64"/>
      <c r="AS141" s="65"/>
      <c r="AT141" s="62">
        <f t="shared" ref="AT141" si="2045">IFERROR($C141*AT140,"")</f>
        <v>0</v>
      </c>
      <c r="AU141" s="62"/>
      <c r="AV141" s="62"/>
      <c r="AW141" s="62"/>
      <c r="AX141" s="62">
        <f t="shared" ref="AX141" si="2046">IFERROR($C141*AX140,"")</f>
        <v>0</v>
      </c>
      <c r="AY141" s="62"/>
      <c r="AZ141" s="62"/>
      <c r="BA141" s="63"/>
      <c r="BB141" s="64">
        <f t="shared" ref="BB141" si="2047">IFERROR($C141*BB140,"")</f>
        <v>0</v>
      </c>
      <c r="BC141" s="64"/>
      <c r="BD141" s="64"/>
      <c r="BE141" s="65"/>
      <c r="BF141" s="62">
        <f t="shared" ref="BF141" si="2048">IFERROR($C141*BF140,"")</f>
        <v>0</v>
      </c>
      <c r="BG141" s="62"/>
      <c r="BH141" s="62"/>
      <c r="BI141" s="62"/>
      <c r="BJ141" s="62">
        <f t="shared" ref="BJ141" si="2049">IFERROR($C141*BJ140,"")</f>
        <v>0</v>
      </c>
      <c r="BK141" s="62"/>
      <c r="BL141" s="62"/>
      <c r="BM141" s="63"/>
      <c r="BN141" s="64">
        <f t="shared" ref="BN141" si="2050">IFERROR($C141*BN140,"")</f>
        <v>0</v>
      </c>
      <c r="BO141" s="64"/>
      <c r="BP141" s="64"/>
      <c r="BQ141" s="65"/>
      <c r="BR141" s="62">
        <f t="shared" ref="BR141" si="2051">IFERROR($C141*BR140,"")</f>
        <v>0</v>
      </c>
      <c r="BS141" s="62"/>
      <c r="BT141" s="62"/>
      <c r="BU141" s="62"/>
      <c r="BV141" s="62">
        <f t="shared" ref="BV141" si="2052">IFERROR($C141*BV140,"")</f>
        <v>0</v>
      </c>
      <c r="BW141" s="62"/>
      <c r="BX141" s="62"/>
      <c r="BY141" s="63"/>
      <c r="BZ141" s="64">
        <f t="shared" ref="BZ141" si="2053">IFERROR($C141*BZ140,"")</f>
        <v>0</v>
      </c>
      <c r="CA141" s="64"/>
      <c r="CB141" s="64"/>
      <c r="CC141" s="65"/>
      <c r="CD141" s="62">
        <f t="shared" ref="CD141" si="2054">IFERROR($C141*CD140,"")</f>
        <v>0</v>
      </c>
      <c r="CE141" s="62"/>
      <c r="CF141" s="62"/>
      <c r="CG141" s="62"/>
      <c r="CH141" s="62">
        <f t="shared" ref="CH141" si="2055">IFERROR($C141*CH140,"")</f>
        <v>0</v>
      </c>
      <c r="CI141" s="62"/>
      <c r="CJ141" s="62"/>
      <c r="CK141" s="63"/>
      <c r="CL141" s="64">
        <f t="shared" ref="CL141" si="2056">IFERROR($C141*CL140,"")</f>
        <v>0</v>
      </c>
      <c r="CM141" s="64"/>
      <c r="CN141" s="64"/>
      <c r="CO141" s="65"/>
      <c r="CP141" s="62">
        <f t="shared" ref="CP141" si="2057">IFERROR($C141*CP140,"")</f>
        <v>0</v>
      </c>
      <c r="CQ141" s="62"/>
      <c r="CR141" s="62"/>
      <c r="CS141" s="62"/>
      <c r="CT141" s="62">
        <f t="shared" ref="CT141" si="2058">IFERROR($C141*CT140,"")</f>
        <v>0</v>
      </c>
      <c r="CU141" s="62"/>
      <c r="CV141" s="62"/>
      <c r="CW141" s="63"/>
      <c r="CX141" s="64">
        <f t="shared" ref="CX141" si="2059">IFERROR($C141*CX140,"")</f>
        <v>0</v>
      </c>
      <c r="CY141" s="64"/>
      <c r="CZ141" s="64"/>
      <c r="DA141" s="65"/>
      <c r="DB141" s="62">
        <f t="shared" ref="DB141" si="2060">IFERROR($C141*DB140,"")</f>
        <v>0</v>
      </c>
      <c r="DC141" s="62"/>
      <c r="DD141" s="62"/>
      <c r="DE141" s="62"/>
      <c r="DF141" s="62">
        <f t="shared" ref="DF141" si="2061">IFERROR($C141*DF140,"")</f>
        <v>0</v>
      </c>
      <c r="DG141" s="62"/>
      <c r="DH141" s="62"/>
      <c r="DI141" s="63"/>
      <c r="DJ141" s="64">
        <f t="shared" ref="DJ141" si="2062">IFERROR($C141*DJ140,"")</f>
        <v>0</v>
      </c>
      <c r="DK141" s="64"/>
      <c r="DL141" s="64"/>
      <c r="DM141" s="65"/>
      <c r="DN141" s="62">
        <f t="shared" ref="DN141" si="2063">IFERROR($C141*DN140,"")</f>
        <v>0</v>
      </c>
      <c r="DO141" s="62"/>
      <c r="DP141" s="62"/>
      <c r="DQ141" s="62"/>
      <c r="DR141" s="62">
        <f t="shared" ref="DR141" ca="1" si="2064">IFERROR($C141*DR140,"")</f>
        <v>0</v>
      </c>
      <c r="DS141" s="62"/>
      <c r="DT141" s="62"/>
      <c r="DU141" s="63"/>
      <c r="DV141" s="64">
        <f t="shared" ref="DV141" ca="1" si="2065">IFERROR($C141*DV140,"")</f>
        <v>0</v>
      </c>
      <c r="DW141" s="64"/>
      <c r="DX141" s="64"/>
      <c r="DY141" s="65"/>
      <c r="DZ141" s="62">
        <f t="shared" ref="DZ141" ca="1" si="2066">IFERROR($C141*DZ140,"")</f>
        <v>0</v>
      </c>
      <c r="EA141" s="62"/>
      <c r="EB141" s="62"/>
      <c r="EC141" s="62"/>
      <c r="ED141" s="62">
        <f t="shared" ref="ED141" ca="1" si="2067">IFERROR($C141*ED140,"")</f>
        <v>0</v>
      </c>
      <c r="EE141" s="62"/>
      <c r="EF141" s="62"/>
      <c r="EG141" s="63"/>
      <c r="EH141" s="64">
        <f t="shared" ref="EH141" ca="1" si="2068">IFERROR($C141*EH140,"")</f>
        <v>0</v>
      </c>
      <c r="EI141" s="64"/>
      <c r="EJ141" s="64"/>
      <c r="EK141" s="65"/>
      <c r="EL141" s="62">
        <f t="shared" ref="EL141" ca="1" si="2069">IFERROR($C141*EL140,"")</f>
        <v>0</v>
      </c>
      <c r="EM141" s="62"/>
      <c r="EN141" s="62"/>
      <c r="EO141" s="62"/>
      <c r="EP141" s="62">
        <f t="shared" ref="EP141" ca="1" si="2070">IFERROR($C141*EP140,"")</f>
        <v>0</v>
      </c>
      <c r="EQ141" s="62"/>
      <c r="ER141" s="62"/>
      <c r="ES141" s="63"/>
    </row>
    <row r="142" spans="1:149" customFormat="1" ht="18.600000000000001" hidden="1" outlineLevel="1" thickBot="1" x14ac:dyDescent="0.5">
      <c r="A142" s="2"/>
      <c r="B142" s="78"/>
      <c r="C142" s="25">
        <v>850000</v>
      </c>
      <c r="D142" s="26" t="s">
        <v>3</v>
      </c>
      <c r="E142" s="27">
        <f ca="1">SUM(F142:CW142)</f>
        <v>0</v>
      </c>
      <c r="F142" s="66">
        <f ca="1">IFERROR($C142*F140,"")</f>
        <v>0</v>
      </c>
      <c r="G142" s="60"/>
      <c r="H142" s="60"/>
      <c r="I142" s="60"/>
      <c r="J142" s="60">
        <f t="shared" ref="J142" ca="1" si="2071">IFERROR($C142*J140,"")</f>
        <v>0</v>
      </c>
      <c r="K142" s="60"/>
      <c r="L142" s="60"/>
      <c r="M142" s="60"/>
      <c r="N142" s="61">
        <f t="shared" ref="N142" ca="1" si="2072">IFERROR($C142*N140,"")</f>
        <v>0</v>
      </c>
      <c r="O142" s="58"/>
      <c r="P142" s="58"/>
      <c r="Q142" s="58"/>
      <c r="R142" s="58">
        <f t="shared" ref="R142" ca="1" si="2073">IFERROR($C142*R140,"")</f>
        <v>0</v>
      </c>
      <c r="S142" s="58"/>
      <c r="T142" s="58"/>
      <c r="U142" s="59"/>
      <c r="V142" s="60">
        <f t="shared" ref="V142" ca="1" si="2074">IFERROR($C142*V140,"")</f>
        <v>0</v>
      </c>
      <c r="W142" s="60"/>
      <c r="X142" s="60"/>
      <c r="Y142" s="60"/>
      <c r="Z142" s="60">
        <f t="shared" ref="Z142" ca="1" si="2075">IFERROR($C142*Z140,"")</f>
        <v>0</v>
      </c>
      <c r="AA142" s="60"/>
      <c r="AB142" s="60"/>
      <c r="AC142" s="61"/>
      <c r="AD142" s="58">
        <f t="shared" ref="AD142" ca="1" si="2076">IFERROR($C142*AD140,"")</f>
        <v>0</v>
      </c>
      <c r="AE142" s="58"/>
      <c r="AF142" s="58"/>
      <c r="AG142" s="59"/>
      <c r="AH142" s="60">
        <f t="shared" ref="AH142" si="2077">IFERROR($C142*AH140,"")</f>
        <v>0</v>
      </c>
      <c r="AI142" s="60"/>
      <c r="AJ142" s="60"/>
      <c r="AK142" s="60"/>
      <c r="AL142" s="60">
        <f t="shared" ref="AL142" si="2078">IFERROR($C142*AL140,"")</f>
        <v>0</v>
      </c>
      <c r="AM142" s="60"/>
      <c r="AN142" s="60"/>
      <c r="AO142" s="61"/>
      <c r="AP142" s="58">
        <f t="shared" ref="AP142" si="2079">IFERROR($C142*AP140,"")</f>
        <v>0</v>
      </c>
      <c r="AQ142" s="58"/>
      <c r="AR142" s="58"/>
      <c r="AS142" s="59"/>
      <c r="AT142" s="60">
        <f t="shared" ref="AT142" si="2080">IFERROR($C142*AT140,"")</f>
        <v>0</v>
      </c>
      <c r="AU142" s="60"/>
      <c r="AV142" s="60"/>
      <c r="AW142" s="60"/>
      <c r="AX142" s="60">
        <f t="shared" ref="AX142" si="2081">IFERROR($C142*AX140,"")</f>
        <v>0</v>
      </c>
      <c r="AY142" s="60"/>
      <c r="AZ142" s="60"/>
      <c r="BA142" s="61"/>
      <c r="BB142" s="58">
        <f t="shared" ref="BB142" si="2082">IFERROR($C142*BB140,"")</f>
        <v>0</v>
      </c>
      <c r="BC142" s="58"/>
      <c r="BD142" s="58"/>
      <c r="BE142" s="59"/>
      <c r="BF142" s="60">
        <f t="shared" ref="BF142" si="2083">IFERROR($C142*BF140,"")</f>
        <v>0</v>
      </c>
      <c r="BG142" s="60"/>
      <c r="BH142" s="60"/>
      <c r="BI142" s="60"/>
      <c r="BJ142" s="60">
        <f t="shared" ref="BJ142" si="2084">IFERROR($C142*BJ140,"")</f>
        <v>0</v>
      </c>
      <c r="BK142" s="60"/>
      <c r="BL142" s="60"/>
      <c r="BM142" s="61"/>
      <c r="BN142" s="58">
        <f t="shared" ref="BN142" si="2085">IFERROR($C142*BN140,"")</f>
        <v>0</v>
      </c>
      <c r="BO142" s="58"/>
      <c r="BP142" s="58"/>
      <c r="BQ142" s="59"/>
      <c r="BR142" s="60">
        <f t="shared" ref="BR142" si="2086">IFERROR($C142*BR140,"")</f>
        <v>0</v>
      </c>
      <c r="BS142" s="60"/>
      <c r="BT142" s="60"/>
      <c r="BU142" s="60"/>
      <c r="BV142" s="60">
        <f t="shared" ref="BV142" si="2087">IFERROR($C142*BV140,"")</f>
        <v>0</v>
      </c>
      <c r="BW142" s="60"/>
      <c r="BX142" s="60"/>
      <c r="BY142" s="61"/>
      <c r="BZ142" s="58">
        <f t="shared" ref="BZ142" si="2088">IFERROR($C142*BZ140,"")</f>
        <v>0</v>
      </c>
      <c r="CA142" s="58"/>
      <c r="CB142" s="58"/>
      <c r="CC142" s="59"/>
      <c r="CD142" s="60">
        <f t="shared" ref="CD142" si="2089">IFERROR($C142*CD140,"")</f>
        <v>0</v>
      </c>
      <c r="CE142" s="60"/>
      <c r="CF142" s="60"/>
      <c r="CG142" s="60"/>
      <c r="CH142" s="60">
        <f t="shared" ref="CH142" si="2090">IFERROR($C142*CH140,"")</f>
        <v>0</v>
      </c>
      <c r="CI142" s="60"/>
      <c r="CJ142" s="60"/>
      <c r="CK142" s="61"/>
      <c r="CL142" s="58">
        <f t="shared" ref="CL142" si="2091">IFERROR($C142*CL140,"")</f>
        <v>0</v>
      </c>
      <c r="CM142" s="58"/>
      <c r="CN142" s="58"/>
      <c r="CO142" s="59"/>
      <c r="CP142" s="60">
        <f t="shared" ref="CP142" si="2092">IFERROR($C142*CP140,"")</f>
        <v>0</v>
      </c>
      <c r="CQ142" s="60"/>
      <c r="CR142" s="60"/>
      <c r="CS142" s="60"/>
      <c r="CT142" s="60">
        <f t="shared" ref="CT142" si="2093">IFERROR($C142*CT140,"")</f>
        <v>0</v>
      </c>
      <c r="CU142" s="60"/>
      <c r="CV142" s="60"/>
      <c r="CW142" s="61"/>
      <c r="CX142" s="58">
        <f t="shared" ref="CX142" si="2094">IFERROR($C142*CX140,"")</f>
        <v>0</v>
      </c>
      <c r="CY142" s="58"/>
      <c r="CZ142" s="58"/>
      <c r="DA142" s="59"/>
      <c r="DB142" s="60">
        <f t="shared" ref="DB142" si="2095">IFERROR($C142*DB140,"")</f>
        <v>0</v>
      </c>
      <c r="DC142" s="60"/>
      <c r="DD142" s="60"/>
      <c r="DE142" s="60"/>
      <c r="DF142" s="60">
        <f t="shared" ref="DF142" si="2096">IFERROR($C142*DF140,"")</f>
        <v>0</v>
      </c>
      <c r="DG142" s="60"/>
      <c r="DH142" s="60"/>
      <c r="DI142" s="61"/>
      <c r="DJ142" s="58">
        <f t="shared" ref="DJ142" si="2097">IFERROR($C142*DJ140,"")</f>
        <v>0</v>
      </c>
      <c r="DK142" s="58"/>
      <c r="DL142" s="58"/>
      <c r="DM142" s="59"/>
      <c r="DN142" s="60">
        <f t="shared" ref="DN142" si="2098">IFERROR($C142*DN140,"")</f>
        <v>0</v>
      </c>
      <c r="DO142" s="60"/>
      <c r="DP142" s="60"/>
      <c r="DQ142" s="60"/>
      <c r="DR142" s="60">
        <f t="shared" ref="DR142" ca="1" si="2099">IFERROR($C142*DR140,"")</f>
        <v>0</v>
      </c>
      <c r="DS142" s="60"/>
      <c r="DT142" s="60"/>
      <c r="DU142" s="61"/>
      <c r="DV142" s="58">
        <f t="shared" ref="DV142" ca="1" si="2100">IFERROR($C142*DV140,"")</f>
        <v>0</v>
      </c>
      <c r="DW142" s="58"/>
      <c r="DX142" s="58"/>
      <c r="DY142" s="59"/>
      <c r="DZ142" s="60">
        <f t="shared" ref="DZ142" ca="1" si="2101">IFERROR($C142*DZ140,"")</f>
        <v>0</v>
      </c>
      <c r="EA142" s="60"/>
      <c r="EB142" s="60"/>
      <c r="EC142" s="60"/>
      <c r="ED142" s="60">
        <f t="shared" ref="ED142" ca="1" si="2102">IFERROR($C142*ED140,"")</f>
        <v>0</v>
      </c>
      <c r="EE142" s="60"/>
      <c r="EF142" s="60"/>
      <c r="EG142" s="61"/>
      <c r="EH142" s="58">
        <f t="shared" ref="EH142" ca="1" si="2103">IFERROR($C142*EH140,"")</f>
        <v>0</v>
      </c>
      <c r="EI142" s="58"/>
      <c r="EJ142" s="58"/>
      <c r="EK142" s="59"/>
      <c r="EL142" s="60">
        <f t="shared" ref="EL142" ca="1" si="2104">IFERROR($C142*EL140,"")</f>
        <v>0</v>
      </c>
      <c r="EM142" s="60"/>
      <c r="EN142" s="60"/>
      <c r="EO142" s="60"/>
      <c r="EP142" s="60">
        <f t="shared" ref="EP142" ca="1" si="2105">IFERROR($C142*EP140,"")</f>
        <v>0</v>
      </c>
      <c r="EQ142" s="60"/>
      <c r="ER142" s="60"/>
      <c r="ES142" s="61"/>
    </row>
    <row r="143" spans="1:149" customFormat="1" ht="18.600000000000001" hidden="1" outlineLevel="1" thickBot="1" x14ac:dyDescent="0.5">
      <c r="A143" s="2"/>
      <c r="B143" s="75">
        <v>14</v>
      </c>
      <c r="C143" s="19"/>
      <c r="D143" s="20" t="s">
        <v>13</v>
      </c>
      <c r="E143" s="21">
        <f ca="1">SUM(F143:ES143)</f>
        <v>0</v>
      </c>
      <c r="F143" s="74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G143" s="67"/>
      <c r="H143" s="67"/>
      <c r="I143" s="67"/>
      <c r="J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K143" s="67"/>
      <c r="L143" s="67"/>
      <c r="M143" s="67"/>
      <c r="N143" s="68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O143" s="70"/>
      <c r="P143" s="70"/>
      <c r="Q143" s="70"/>
      <c r="R143" s="70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S143" s="70"/>
      <c r="T143" s="70"/>
      <c r="U143" s="71"/>
      <c r="V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W143" s="67"/>
      <c r="X143" s="67"/>
      <c r="Y143" s="67"/>
      <c r="Z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AA143" s="67"/>
      <c r="AB143" s="67"/>
      <c r="AC143" s="68"/>
      <c r="AD143" s="70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AE143" s="70"/>
      <c r="AF143" s="70"/>
      <c r="AG143" s="71"/>
      <c r="AH143" s="67"/>
      <c r="AI143" s="67"/>
      <c r="AJ143" s="67"/>
      <c r="AK143" s="67"/>
      <c r="AL143" s="67"/>
      <c r="AM143" s="67"/>
      <c r="AN143" s="67"/>
      <c r="AO143" s="68"/>
      <c r="AP143" s="70"/>
      <c r="AQ143" s="70"/>
      <c r="AR143" s="70"/>
      <c r="AS143" s="71"/>
      <c r="AT143" s="67"/>
      <c r="AU143" s="67"/>
      <c r="AV143" s="67"/>
      <c r="AW143" s="67"/>
      <c r="AX143" s="67"/>
      <c r="AY143" s="67"/>
      <c r="AZ143" s="67"/>
      <c r="BA143" s="68"/>
      <c r="BB143" s="70"/>
      <c r="BC143" s="70"/>
      <c r="BD143" s="70"/>
      <c r="BE143" s="71"/>
      <c r="BF143" s="67"/>
      <c r="BG143" s="67"/>
      <c r="BH143" s="67"/>
      <c r="BI143" s="67"/>
      <c r="BJ143" s="67"/>
      <c r="BK143" s="67"/>
      <c r="BL143" s="67"/>
      <c r="BM143" s="68"/>
      <c r="BN143" s="70"/>
      <c r="BO143" s="70"/>
      <c r="BP143" s="70"/>
      <c r="BQ143" s="71"/>
      <c r="BR143" s="67"/>
      <c r="BS143" s="67"/>
      <c r="BT143" s="67"/>
      <c r="BU143" s="67"/>
      <c r="BV143" s="67"/>
      <c r="BW143" s="67"/>
      <c r="BX143" s="67"/>
      <c r="BY143" s="68"/>
      <c r="BZ143" s="70"/>
      <c r="CA143" s="70"/>
      <c r="CB143" s="70"/>
      <c r="CC143" s="71"/>
      <c r="CD143" s="67"/>
      <c r="CE143" s="67"/>
      <c r="CF143" s="67"/>
      <c r="CG143" s="67"/>
      <c r="CH143" s="67"/>
      <c r="CI143" s="67"/>
      <c r="CJ143" s="67"/>
      <c r="CK143" s="68"/>
      <c r="CL143" s="70"/>
      <c r="CM143" s="70"/>
      <c r="CN143" s="70"/>
      <c r="CO143" s="71"/>
      <c r="CP143" s="67"/>
      <c r="CQ143" s="67"/>
      <c r="CR143" s="67"/>
      <c r="CS143" s="67"/>
      <c r="CT143" s="67"/>
      <c r="CU143" s="67"/>
      <c r="CV143" s="67"/>
      <c r="CW143" s="68"/>
      <c r="CX143" s="70"/>
      <c r="CY143" s="70"/>
      <c r="CZ143" s="70"/>
      <c r="DA143" s="71"/>
      <c r="DB143" s="67"/>
      <c r="DC143" s="67"/>
      <c r="DD143" s="67"/>
      <c r="DE143" s="67"/>
      <c r="DF143" s="67"/>
      <c r="DG143" s="67"/>
      <c r="DH143" s="67"/>
      <c r="DI143" s="68"/>
      <c r="DJ143" s="70"/>
      <c r="DK143" s="70"/>
      <c r="DL143" s="70"/>
      <c r="DM143" s="71"/>
      <c r="DN143" s="67"/>
      <c r="DO143" s="67"/>
      <c r="DP143" s="67"/>
      <c r="DQ143" s="67"/>
      <c r="DR143" s="67"/>
      <c r="DS143" s="67"/>
      <c r="DT143" s="67"/>
      <c r="DU143" s="68"/>
      <c r="DV143" s="70"/>
      <c r="DW143" s="70"/>
      <c r="DX143" s="70"/>
      <c r="DY143" s="71"/>
      <c r="DZ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EA143" s="67"/>
      <c r="EB143" s="67"/>
      <c r="EC143" s="67"/>
      <c r="ED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EE143" s="67"/>
      <c r="EF143" s="67"/>
      <c r="EG143" s="68"/>
      <c r="EH143" s="70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EI143" s="70"/>
      <c r="EJ143" s="70"/>
      <c r="EK143" s="71"/>
      <c r="EL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EM143" s="67"/>
      <c r="EN143" s="67"/>
      <c r="EO143" s="67"/>
      <c r="EP143" s="67">
        <f ca="1">IF(ISERROR(VLOOKUP(RIGHT(CELL("filename",$A$1),LEN(CELL("filename",$A$1))-FIND("]",CELL("filename",$A$1)))&amp;$B143,[2]要員計画!$L:$AJ,((COLUMN()-1)/4)+1,FALSE)),0,VLOOKUP(RIGHT(CELL("filename",$A$1),LEN(CELL("filename",$A$1))-FIND("]",CELL("filename",$A$1)))&amp;$B143,[2]要員計画!$L:$AJ,((COLUMN()-1)/4)+1,FALSE))</f>
        <v>0</v>
      </c>
      <c r="EQ143" s="67"/>
      <c r="ER143" s="67"/>
      <c r="ES143" s="68"/>
    </row>
    <row r="144" spans="1:149" customFormat="1" ht="18.600000000000001" hidden="1" outlineLevel="1" thickBot="1" x14ac:dyDescent="0.5">
      <c r="A144" s="2"/>
      <c r="B144" s="76"/>
      <c r="C144" s="22">
        <v>1000000</v>
      </c>
      <c r="D144" s="23" t="s">
        <v>23</v>
      </c>
      <c r="E144" s="24">
        <f ca="1">SUM(F144:CW144)</f>
        <v>0</v>
      </c>
      <c r="F144" s="69">
        <f ca="1">IFERROR($C144*F143,"")</f>
        <v>0</v>
      </c>
      <c r="G144" s="62"/>
      <c r="H144" s="62"/>
      <c r="I144" s="62"/>
      <c r="J144" s="62">
        <f t="shared" ref="J144" ca="1" si="2106">IFERROR($C144*J143,"")</f>
        <v>0</v>
      </c>
      <c r="K144" s="62"/>
      <c r="L144" s="62"/>
      <c r="M144" s="62"/>
      <c r="N144" s="63">
        <f t="shared" ref="N144" ca="1" si="2107">IFERROR($C144*N143,"")</f>
        <v>0</v>
      </c>
      <c r="O144" s="64"/>
      <c r="P144" s="64"/>
      <c r="Q144" s="64"/>
      <c r="R144" s="64">
        <f t="shared" ref="R144" ca="1" si="2108">IFERROR($C144*R143,"")</f>
        <v>0</v>
      </c>
      <c r="S144" s="64"/>
      <c r="T144" s="64"/>
      <c r="U144" s="65"/>
      <c r="V144" s="62">
        <f t="shared" ref="V144" ca="1" si="2109">IFERROR($C144*V143,"")</f>
        <v>0</v>
      </c>
      <c r="W144" s="62"/>
      <c r="X144" s="62"/>
      <c r="Y144" s="62"/>
      <c r="Z144" s="62">
        <f t="shared" ref="Z144" ca="1" si="2110">IFERROR($C144*Z143,"")</f>
        <v>0</v>
      </c>
      <c r="AA144" s="62"/>
      <c r="AB144" s="62"/>
      <c r="AC144" s="63"/>
      <c r="AD144" s="64">
        <f t="shared" ref="AD144" ca="1" si="2111">IFERROR($C144*AD143,"")</f>
        <v>0</v>
      </c>
      <c r="AE144" s="64"/>
      <c r="AF144" s="64"/>
      <c r="AG144" s="65"/>
      <c r="AH144" s="62">
        <f t="shared" ref="AH144" si="2112">IFERROR($C144*AH143,"")</f>
        <v>0</v>
      </c>
      <c r="AI144" s="62"/>
      <c r="AJ144" s="62"/>
      <c r="AK144" s="62"/>
      <c r="AL144" s="62">
        <f t="shared" ref="AL144" si="2113">IFERROR($C144*AL143,"")</f>
        <v>0</v>
      </c>
      <c r="AM144" s="62"/>
      <c r="AN144" s="62"/>
      <c r="AO144" s="63"/>
      <c r="AP144" s="64">
        <f t="shared" ref="AP144" si="2114">IFERROR($C144*AP143,"")</f>
        <v>0</v>
      </c>
      <c r="AQ144" s="64"/>
      <c r="AR144" s="64"/>
      <c r="AS144" s="65"/>
      <c r="AT144" s="62">
        <f t="shared" ref="AT144" si="2115">IFERROR($C144*AT143,"")</f>
        <v>0</v>
      </c>
      <c r="AU144" s="62"/>
      <c r="AV144" s="62"/>
      <c r="AW144" s="62"/>
      <c r="AX144" s="62">
        <f t="shared" ref="AX144" si="2116">IFERROR($C144*AX143,"")</f>
        <v>0</v>
      </c>
      <c r="AY144" s="62"/>
      <c r="AZ144" s="62"/>
      <c r="BA144" s="63"/>
      <c r="BB144" s="64">
        <f t="shared" ref="BB144" si="2117">IFERROR($C144*BB143,"")</f>
        <v>0</v>
      </c>
      <c r="BC144" s="64"/>
      <c r="BD144" s="64"/>
      <c r="BE144" s="65"/>
      <c r="BF144" s="62">
        <f t="shared" ref="BF144" si="2118">IFERROR($C144*BF143,"")</f>
        <v>0</v>
      </c>
      <c r="BG144" s="62"/>
      <c r="BH144" s="62"/>
      <c r="BI144" s="62"/>
      <c r="BJ144" s="62">
        <f t="shared" ref="BJ144" si="2119">IFERROR($C144*BJ143,"")</f>
        <v>0</v>
      </c>
      <c r="BK144" s="62"/>
      <c r="BL144" s="62"/>
      <c r="BM144" s="63"/>
      <c r="BN144" s="64">
        <f t="shared" ref="BN144" si="2120">IFERROR($C144*BN143,"")</f>
        <v>0</v>
      </c>
      <c r="BO144" s="64"/>
      <c r="BP144" s="64"/>
      <c r="BQ144" s="65"/>
      <c r="BR144" s="62">
        <f t="shared" ref="BR144" si="2121">IFERROR($C144*BR143,"")</f>
        <v>0</v>
      </c>
      <c r="BS144" s="62"/>
      <c r="BT144" s="62"/>
      <c r="BU144" s="62"/>
      <c r="BV144" s="62">
        <f t="shared" ref="BV144" si="2122">IFERROR($C144*BV143,"")</f>
        <v>0</v>
      </c>
      <c r="BW144" s="62"/>
      <c r="BX144" s="62"/>
      <c r="BY144" s="63"/>
      <c r="BZ144" s="64">
        <f t="shared" ref="BZ144" si="2123">IFERROR($C144*BZ143,"")</f>
        <v>0</v>
      </c>
      <c r="CA144" s="64"/>
      <c r="CB144" s="64"/>
      <c r="CC144" s="65"/>
      <c r="CD144" s="62">
        <f t="shared" ref="CD144" si="2124">IFERROR($C144*CD143,"")</f>
        <v>0</v>
      </c>
      <c r="CE144" s="62"/>
      <c r="CF144" s="62"/>
      <c r="CG144" s="62"/>
      <c r="CH144" s="62">
        <f t="shared" ref="CH144" si="2125">IFERROR($C144*CH143,"")</f>
        <v>0</v>
      </c>
      <c r="CI144" s="62"/>
      <c r="CJ144" s="62"/>
      <c r="CK144" s="63"/>
      <c r="CL144" s="64">
        <f t="shared" ref="CL144" si="2126">IFERROR($C144*CL143,"")</f>
        <v>0</v>
      </c>
      <c r="CM144" s="64"/>
      <c r="CN144" s="64"/>
      <c r="CO144" s="65"/>
      <c r="CP144" s="62">
        <f t="shared" ref="CP144" si="2127">IFERROR($C144*CP143,"")</f>
        <v>0</v>
      </c>
      <c r="CQ144" s="62"/>
      <c r="CR144" s="62"/>
      <c r="CS144" s="62"/>
      <c r="CT144" s="62">
        <f t="shared" ref="CT144" si="2128">IFERROR($C144*CT143,"")</f>
        <v>0</v>
      </c>
      <c r="CU144" s="62"/>
      <c r="CV144" s="62"/>
      <c r="CW144" s="63"/>
      <c r="CX144" s="64">
        <f t="shared" ref="CX144" si="2129">IFERROR($C144*CX143,"")</f>
        <v>0</v>
      </c>
      <c r="CY144" s="64"/>
      <c r="CZ144" s="64"/>
      <c r="DA144" s="65"/>
      <c r="DB144" s="62">
        <f t="shared" ref="DB144" si="2130">IFERROR($C144*DB143,"")</f>
        <v>0</v>
      </c>
      <c r="DC144" s="62"/>
      <c r="DD144" s="62"/>
      <c r="DE144" s="62"/>
      <c r="DF144" s="62">
        <f t="shared" ref="DF144" si="2131">IFERROR($C144*DF143,"")</f>
        <v>0</v>
      </c>
      <c r="DG144" s="62"/>
      <c r="DH144" s="62"/>
      <c r="DI144" s="63"/>
      <c r="DJ144" s="64">
        <f t="shared" ref="DJ144" si="2132">IFERROR($C144*DJ143,"")</f>
        <v>0</v>
      </c>
      <c r="DK144" s="64"/>
      <c r="DL144" s="64"/>
      <c r="DM144" s="65"/>
      <c r="DN144" s="62">
        <f t="shared" ref="DN144" si="2133">IFERROR($C144*DN143,"")</f>
        <v>0</v>
      </c>
      <c r="DO144" s="62"/>
      <c r="DP144" s="62"/>
      <c r="DQ144" s="62"/>
      <c r="DR144" s="62">
        <f t="shared" ref="DR144" si="2134">IFERROR($C144*DR143,"")</f>
        <v>0</v>
      </c>
      <c r="DS144" s="62"/>
      <c r="DT144" s="62"/>
      <c r="DU144" s="63"/>
      <c r="DV144" s="64">
        <f t="shared" ref="DV144" si="2135">IFERROR($C144*DV143,"")</f>
        <v>0</v>
      </c>
      <c r="DW144" s="64"/>
      <c r="DX144" s="64"/>
      <c r="DY144" s="65"/>
      <c r="DZ144" s="62">
        <f t="shared" ref="DZ144" ca="1" si="2136">IFERROR($C144*DZ143,"")</f>
        <v>0</v>
      </c>
      <c r="EA144" s="62"/>
      <c r="EB144" s="62"/>
      <c r="EC144" s="62"/>
      <c r="ED144" s="62">
        <f t="shared" ref="ED144" ca="1" si="2137">IFERROR($C144*ED143,"")</f>
        <v>0</v>
      </c>
      <c r="EE144" s="62"/>
      <c r="EF144" s="62"/>
      <c r="EG144" s="63"/>
      <c r="EH144" s="64">
        <f t="shared" ref="EH144" ca="1" si="2138">IFERROR($C144*EH143,"")</f>
        <v>0</v>
      </c>
      <c r="EI144" s="64"/>
      <c r="EJ144" s="64"/>
      <c r="EK144" s="65"/>
      <c r="EL144" s="62">
        <f t="shared" ref="EL144" ca="1" si="2139">IFERROR($C144*EL143,"")</f>
        <v>0</v>
      </c>
      <c r="EM144" s="62"/>
      <c r="EN144" s="62"/>
      <c r="EO144" s="62"/>
      <c r="EP144" s="62">
        <f t="shared" ref="EP144" ca="1" si="2140">IFERROR($C144*EP143,"")</f>
        <v>0</v>
      </c>
      <c r="EQ144" s="62"/>
      <c r="ER144" s="62"/>
      <c r="ES144" s="63"/>
    </row>
    <row r="145" spans="1:149" customFormat="1" ht="18.600000000000001" hidden="1" outlineLevel="1" thickBot="1" x14ac:dyDescent="0.5">
      <c r="A145" s="2"/>
      <c r="B145" s="77"/>
      <c r="C145" s="25">
        <v>850000</v>
      </c>
      <c r="D145" s="26" t="s">
        <v>3</v>
      </c>
      <c r="E145" s="27">
        <f ca="1">SUM(F145:CW145)</f>
        <v>0</v>
      </c>
      <c r="F145" s="66">
        <f ca="1">IFERROR($C145*F143,"")</f>
        <v>0</v>
      </c>
      <c r="G145" s="60"/>
      <c r="H145" s="60"/>
      <c r="I145" s="60"/>
      <c r="J145" s="60">
        <f t="shared" ref="J145" ca="1" si="2141">IFERROR($C145*J143,"")</f>
        <v>0</v>
      </c>
      <c r="K145" s="60"/>
      <c r="L145" s="60"/>
      <c r="M145" s="60"/>
      <c r="N145" s="61">
        <f t="shared" ref="N145" ca="1" si="2142">IFERROR($C145*N143,"")</f>
        <v>0</v>
      </c>
      <c r="O145" s="58"/>
      <c r="P145" s="58"/>
      <c r="Q145" s="58"/>
      <c r="R145" s="58">
        <f t="shared" ref="R145" ca="1" si="2143">IFERROR($C145*R143,"")</f>
        <v>0</v>
      </c>
      <c r="S145" s="58"/>
      <c r="T145" s="58"/>
      <c r="U145" s="59"/>
      <c r="V145" s="60">
        <f t="shared" ref="V145" ca="1" si="2144">IFERROR($C145*V143,"")</f>
        <v>0</v>
      </c>
      <c r="W145" s="60"/>
      <c r="X145" s="60"/>
      <c r="Y145" s="60"/>
      <c r="Z145" s="60">
        <f t="shared" ref="Z145" ca="1" si="2145">IFERROR($C145*Z143,"")</f>
        <v>0</v>
      </c>
      <c r="AA145" s="60"/>
      <c r="AB145" s="60"/>
      <c r="AC145" s="61"/>
      <c r="AD145" s="58">
        <f t="shared" ref="AD145" ca="1" si="2146">IFERROR($C145*AD143,"")</f>
        <v>0</v>
      </c>
      <c r="AE145" s="58"/>
      <c r="AF145" s="58"/>
      <c r="AG145" s="59"/>
      <c r="AH145" s="60">
        <f t="shared" ref="AH145" si="2147">IFERROR($C145*AH143,"")</f>
        <v>0</v>
      </c>
      <c r="AI145" s="60"/>
      <c r="AJ145" s="60"/>
      <c r="AK145" s="60"/>
      <c r="AL145" s="60">
        <f t="shared" ref="AL145" si="2148">IFERROR($C145*AL143,"")</f>
        <v>0</v>
      </c>
      <c r="AM145" s="60"/>
      <c r="AN145" s="60"/>
      <c r="AO145" s="61"/>
      <c r="AP145" s="58">
        <f t="shared" ref="AP145" si="2149">IFERROR($C145*AP143,"")</f>
        <v>0</v>
      </c>
      <c r="AQ145" s="58"/>
      <c r="AR145" s="58"/>
      <c r="AS145" s="59"/>
      <c r="AT145" s="60">
        <f t="shared" ref="AT145" si="2150">IFERROR($C145*AT143,"")</f>
        <v>0</v>
      </c>
      <c r="AU145" s="60"/>
      <c r="AV145" s="60"/>
      <c r="AW145" s="60"/>
      <c r="AX145" s="60">
        <f t="shared" ref="AX145" si="2151">IFERROR($C145*AX143,"")</f>
        <v>0</v>
      </c>
      <c r="AY145" s="60"/>
      <c r="AZ145" s="60"/>
      <c r="BA145" s="61"/>
      <c r="BB145" s="58">
        <f t="shared" ref="BB145" si="2152">IFERROR($C145*BB143,"")</f>
        <v>0</v>
      </c>
      <c r="BC145" s="58"/>
      <c r="BD145" s="58"/>
      <c r="BE145" s="59"/>
      <c r="BF145" s="60">
        <f t="shared" ref="BF145" si="2153">IFERROR($C145*BF143,"")</f>
        <v>0</v>
      </c>
      <c r="BG145" s="60"/>
      <c r="BH145" s="60"/>
      <c r="BI145" s="60"/>
      <c r="BJ145" s="60">
        <f t="shared" ref="BJ145" si="2154">IFERROR($C145*BJ143,"")</f>
        <v>0</v>
      </c>
      <c r="BK145" s="60"/>
      <c r="BL145" s="60"/>
      <c r="BM145" s="61"/>
      <c r="BN145" s="58">
        <f t="shared" ref="BN145" si="2155">IFERROR($C145*BN143,"")</f>
        <v>0</v>
      </c>
      <c r="BO145" s="58"/>
      <c r="BP145" s="58"/>
      <c r="BQ145" s="59"/>
      <c r="BR145" s="60">
        <f t="shared" ref="BR145" si="2156">IFERROR($C145*BR143,"")</f>
        <v>0</v>
      </c>
      <c r="BS145" s="60"/>
      <c r="BT145" s="60"/>
      <c r="BU145" s="60"/>
      <c r="BV145" s="60">
        <f t="shared" ref="BV145" si="2157">IFERROR($C145*BV143,"")</f>
        <v>0</v>
      </c>
      <c r="BW145" s="60"/>
      <c r="BX145" s="60"/>
      <c r="BY145" s="61"/>
      <c r="BZ145" s="58">
        <f t="shared" ref="BZ145" si="2158">IFERROR($C145*BZ143,"")</f>
        <v>0</v>
      </c>
      <c r="CA145" s="58"/>
      <c r="CB145" s="58"/>
      <c r="CC145" s="59"/>
      <c r="CD145" s="60">
        <f t="shared" ref="CD145" si="2159">IFERROR($C145*CD143,"")</f>
        <v>0</v>
      </c>
      <c r="CE145" s="60"/>
      <c r="CF145" s="60"/>
      <c r="CG145" s="60"/>
      <c r="CH145" s="60">
        <f t="shared" ref="CH145" si="2160">IFERROR($C145*CH143,"")</f>
        <v>0</v>
      </c>
      <c r="CI145" s="60"/>
      <c r="CJ145" s="60"/>
      <c r="CK145" s="61"/>
      <c r="CL145" s="58">
        <f t="shared" ref="CL145" si="2161">IFERROR($C145*CL143,"")</f>
        <v>0</v>
      </c>
      <c r="CM145" s="58"/>
      <c r="CN145" s="58"/>
      <c r="CO145" s="59"/>
      <c r="CP145" s="60">
        <f t="shared" ref="CP145" si="2162">IFERROR($C145*CP143,"")</f>
        <v>0</v>
      </c>
      <c r="CQ145" s="60"/>
      <c r="CR145" s="60"/>
      <c r="CS145" s="60"/>
      <c r="CT145" s="60">
        <f t="shared" ref="CT145" si="2163">IFERROR($C145*CT143,"")</f>
        <v>0</v>
      </c>
      <c r="CU145" s="60"/>
      <c r="CV145" s="60"/>
      <c r="CW145" s="61"/>
      <c r="CX145" s="58">
        <f t="shared" ref="CX145" si="2164">IFERROR($C145*CX143,"")</f>
        <v>0</v>
      </c>
      <c r="CY145" s="58"/>
      <c r="CZ145" s="58"/>
      <c r="DA145" s="59"/>
      <c r="DB145" s="60">
        <f t="shared" ref="DB145" si="2165">IFERROR($C145*DB143,"")</f>
        <v>0</v>
      </c>
      <c r="DC145" s="60"/>
      <c r="DD145" s="60"/>
      <c r="DE145" s="60"/>
      <c r="DF145" s="60">
        <f t="shared" ref="DF145" si="2166">IFERROR($C145*DF143,"")</f>
        <v>0</v>
      </c>
      <c r="DG145" s="60"/>
      <c r="DH145" s="60"/>
      <c r="DI145" s="61"/>
      <c r="DJ145" s="58">
        <f t="shared" ref="DJ145" si="2167">IFERROR($C145*DJ143,"")</f>
        <v>0</v>
      </c>
      <c r="DK145" s="58"/>
      <c r="DL145" s="58"/>
      <c r="DM145" s="59"/>
      <c r="DN145" s="60">
        <f t="shared" ref="DN145" si="2168">IFERROR($C145*DN143,"")</f>
        <v>0</v>
      </c>
      <c r="DO145" s="60"/>
      <c r="DP145" s="60"/>
      <c r="DQ145" s="60"/>
      <c r="DR145" s="60">
        <f t="shared" ref="DR145" si="2169">IFERROR($C145*DR143,"")</f>
        <v>0</v>
      </c>
      <c r="DS145" s="60"/>
      <c r="DT145" s="60"/>
      <c r="DU145" s="61"/>
      <c r="DV145" s="58">
        <f t="shared" ref="DV145" si="2170">IFERROR($C145*DV143,"")</f>
        <v>0</v>
      </c>
      <c r="DW145" s="58"/>
      <c r="DX145" s="58"/>
      <c r="DY145" s="59"/>
      <c r="DZ145" s="60">
        <f t="shared" ref="DZ145" ca="1" si="2171">IFERROR($C145*DZ143,"")</f>
        <v>0</v>
      </c>
      <c r="EA145" s="60"/>
      <c r="EB145" s="60"/>
      <c r="EC145" s="60"/>
      <c r="ED145" s="60">
        <f t="shared" ref="ED145" ca="1" si="2172">IFERROR($C145*ED143,"")</f>
        <v>0</v>
      </c>
      <c r="EE145" s="60"/>
      <c r="EF145" s="60"/>
      <c r="EG145" s="61"/>
      <c r="EH145" s="58">
        <f t="shared" ref="EH145" ca="1" si="2173">IFERROR($C145*EH143,"")</f>
        <v>0</v>
      </c>
      <c r="EI145" s="58"/>
      <c r="EJ145" s="58"/>
      <c r="EK145" s="59"/>
      <c r="EL145" s="60">
        <f t="shared" ref="EL145" ca="1" si="2174">IFERROR($C145*EL143,"")</f>
        <v>0</v>
      </c>
      <c r="EM145" s="60"/>
      <c r="EN145" s="60"/>
      <c r="EO145" s="60"/>
      <c r="EP145" s="60">
        <f t="shared" ref="EP145" ca="1" si="2175">IFERROR($C145*EP143,"")</f>
        <v>0</v>
      </c>
      <c r="EQ145" s="60"/>
      <c r="ER145" s="60"/>
      <c r="ES145" s="61"/>
    </row>
    <row r="146" spans="1:149" customFormat="1" ht="18.600000000000001" hidden="1" outlineLevel="1" thickBot="1" x14ac:dyDescent="0.5">
      <c r="A146" s="2"/>
      <c r="B146" s="72">
        <v>15</v>
      </c>
      <c r="C146" s="19"/>
      <c r="D146" s="20" t="s">
        <v>13</v>
      </c>
      <c r="E146" s="21">
        <f ca="1">SUM(F146:ES146)</f>
        <v>0</v>
      </c>
      <c r="F146" s="74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G146" s="67"/>
      <c r="H146" s="67"/>
      <c r="I146" s="67"/>
      <c r="J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K146" s="67"/>
      <c r="L146" s="67"/>
      <c r="M146" s="67"/>
      <c r="N146" s="68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O146" s="70"/>
      <c r="P146" s="70"/>
      <c r="Q146" s="70"/>
      <c r="R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S146" s="70"/>
      <c r="T146" s="70"/>
      <c r="U146" s="71"/>
      <c r="V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W146" s="67"/>
      <c r="X146" s="67"/>
      <c r="Y146" s="67"/>
      <c r="Z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A146" s="67"/>
      <c r="AB146" s="67"/>
      <c r="AC146" s="68"/>
      <c r="AD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E146" s="70"/>
      <c r="AF146" s="70"/>
      <c r="AG146" s="71"/>
      <c r="AH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I146" s="67"/>
      <c r="AJ146" s="67"/>
      <c r="AK146" s="67"/>
      <c r="AL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M146" s="67"/>
      <c r="AN146" s="67"/>
      <c r="AO146" s="68"/>
      <c r="AP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Q146" s="70"/>
      <c r="AR146" s="70"/>
      <c r="AS146" s="71"/>
      <c r="AT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U146" s="67"/>
      <c r="AV146" s="67"/>
      <c r="AW146" s="67"/>
      <c r="AX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AY146" s="67"/>
      <c r="AZ146" s="67"/>
      <c r="BA146" s="68"/>
      <c r="BB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BC146" s="70"/>
      <c r="BD146" s="70"/>
      <c r="BE146" s="71"/>
      <c r="BF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BG146" s="67"/>
      <c r="BH146" s="67"/>
      <c r="BI146" s="67"/>
      <c r="BJ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BK146" s="67"/>
      <c r="BL146" s="67"/>
      <c r="BM146" s="68"/>
      <c r="BN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BO146" s="70"/>
      <c r="BP146" s="70"/>
      <c r="BQ146" s="71"/>
      <c r="BR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BS146" s="67"/>
      <c r="BT146" s="67"/>
      <c r="BU146" s="67"/>
      <c r="BV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BW146" s="67"/>
      <c r="BX146" s="67"/>
      <c r="BY146" s="68"/>
      <c r="BZ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A146" s="70"/>
      <c r="CB146" s="70"/>
      <c r="CC146" s="71"/>
      <c r="CD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E146" s="67"/>
      <c r="CF146" s="67"/>
      <c r="CG146" s="67"/>
      <c r="CH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I146" s="67"/>
      <c r="CJ146" s="67"/>
      <c r="CK146" s="68"/>
      <c r="CL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M146" s="70"/>
      <c r="CN146" s="70"/>
      <c r="CO146" s="71"/>
      <c r="CP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Q146" s="67"/>
      <c r="CR146" s="67"/>
      <c r="CS146" s="67"/>
      <c r="CT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U146" s="67"/>
      <c r="CV146" s="67"/>
      <c r="CW146" s="68"/>
      <c r="CX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CY146" s="70"/>
      <c r="CZ146" s="70"/>
      <c r="DA146" s="71"/>
      <c r="DB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DC146" s="67"/>
      <c r="DD146" s="67"/>
      <c r="DE146" s="67"/>
      <c r="DF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DG146" s="67"/>
      <c r="DH146" s="67"/>
      <c r="DI146" s="68"/>
      <c r="DJ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DK146" s="70"/>
      <c r="DL146" s="70"/>
      <c r="DM146" s="71"/>
      <c r="DN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DO146" s="67"/>
      <c r="DP146" s="67"/>
      <c r="DQ146" s="67"/>
      <c r="DR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DS146" s="67"/>
      <c r="DT146" s="67"/>
      <c r="DU146" s="68"/>
      <c r="DV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DW146" s="70"/>
      <c r="DX146" s="70"/>
      <c r="DY146" s="71"/>
      <c r="DZ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EA146" s="67"/>
      <c r="EB146" s="67"/>
      <c r="EC146" s="67"/>
      <c r="ED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EE146" s="67"/>
      <c r="EF146" s="67"/>
      <c r="EG146" s="68"/>
      <c r="EH146" s="70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EI146" s="70"/>
      <c r="EJ146" s="70"/>
      <c r="EK146" s="71"/>
      <c r="EL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EM146" s="67"/>
      <c r="EN146" s="67"/>
      <c r="EO146" s="67"/>
      <c r="EP146" s="67">
        <f ca="1">IF(ISERROR(VLOOKUP(RIGHT(CELL("filename",$A$1),LEN(CELL("filename",$A$1))-FIND("]",CELL("filename",$A$1)))&amp;$B146,[2]要員計画!$L:$AJ,((COLUMN()-1)/4)+1,FALSE)),0,VLOOKUP(RIGHT(CELL("filename",$A$1),LEN(CELL("filename",$A$1))-FIND("]",CELL("filename",$A$1)))&amp;$B146,[2]要員計画!$L:$AJ,((COLUMN()-1)/4)+1,FALSE))</f>
        <v>0</v>
      </c>
      <c r="EQ146" s="67"/>
      <c r="ER146" s="67"/>
      <c r="ES146" s="68"/>
    </row>
    <row r="147" spans="1:149" customFormat="1" ht="18.600000000000001" hidden="1" outlineLevel="1" thickBot="1" x14ac:dyDescent="0.5">
      <c r="A147" s="2"/>
      <c r="B147" s="73"/>
      <c r="C147" s="22" t="str">
        <f>IFERROR(VLOOKUP(B146,[2]単価マスタ!A:E,2,FALSE),"")</f>
        <v/>
      </c>
      <c r="D147" s="23" t="s">
        <v>23</v>
      </c>
      <c r="E147" s="24">
        <f ca="1">SUM(F147:CW147)</f>
        <v>0</v>
      </c>
      <c r="F147" s="69" t="str">
        <f ca="1">IFERROR($C147*F146,"")</f>
        <v/>
      </c>
      <c r="G147" s="62"/>
      <c r="H147" s="62"/>
      <c r="I147" s="62"/>
      <c r="J147" s="62" t="str">
        <f t="shared" ref="J147" ca="1" si="2176">IFERROR($C147*J146,"")</f>
        <v/>
      </c>
      <c r="K147" s="62"/>
      <c r="L147" s="62"/>
      <c r="M147" s="62"/>
      <c r="N147" s="63" t="str">
        <f t="shared" ref="N147" ca="1" si="2177">IFERROR($C147*N146,"")</f>
        <v/>
      </c>
      <c r="O147" s="64"/>
      <c r="P147" s="64"/>
      <c r="Q147" s="64"/>
      <c r="R147" s="64" t="str">
        <f t="shared" ref="R147" ca="1" si="2178">IFERROR($C147*R146,"")</f>
        <v/>
      </c>
      <c r="S147" s="64"/>
      <c r="T147" s="64"/>
      <c r="U147" s="65"/>
      <c r="V147" s="62" t="str">
        <f t="shared" ref="V147" ca="1" si="2179">IFERROR($C147*V146,"")</f>
        <v/>
      </c>
      <c r="W147" s="62"/>
      <c r="X147" s="62"/>
      <c r="Y147" s="62"/>
      <c r="Z147" s="62" t="str">
        <f t="shared" ref="Z147" ca="1" si="2180">IFERROR($C147*Z146,"")</f>
        <v/>
      </c>
      <c r="AA147" s="62"/>
      <c r="AB147" s="62"/>
      <c r="AC147" s="63"/>
      <c r="AD147" s="64" t="str">
        <f t="shared" ref="AD147" ca="1" si="2181">IFERROR($C147*AD146,"")</f>
        <v/>
      </c>
      <c r="AE147" s="64"/>
      <c r="AF147" s="64"/>
      <c r="AG147" s="65"/>
      <c r="AH147" s="62" t="str">
        <f t="shared" ref="AH147" ca="1" si="2182">IFERROR($C147*AH146,"")</f>
        <v/>
      </c>
      <c r="AI147" s="62"/>
      <c r="AJ147" s="62"/>
      <c r="AK147" s="62"/>
      <c r="AL147" s="62" t="str">
        <f t="shared" ref="AL147" ca="1" si="2183">IFERROR($C147*AL146,"")</f>
        <v/>
      </c>
      <c r="AM147" s="62"/>
      <c r="AN147" s="62"/>
      <c r="AO147" s="63"/>
      <c r="AP147" s="64" t="str">
        <f t="shared" ref="AP147" ca="1" si="2184">IFERROR($C147*AP146,"")</f>
        <v/>
      </c>
      <c r="AQ147" s="64"/>
      <c r="AR147" s="64"/>
      <c r="AS147" s="65"/>
      <c r="AT147" s="62" t="str">
        <f t="shared" ref="AT147" ca="1" si="2185">IFERROR($C147*AT146,"")</f>
        <v/>
      </c>
      <c r="AU147" s="62"/>
      <c r="AV147" s="62"/>
      <c r="AW147" s="62"/>
      <c r="AX147" s="62" t="str">
        <f t="shared" ref="AX147" ca="1" si="2186">IFERROR($C147*AX146,"")</f>
        <v/>
      </c>
      <c r="AY147" s="62"/>
      <c r="AZ147" s="62"/>
      <c r="BA147" s="63"/>
      <c r="BB147" s="64" t="str">
        <f t="shared" ref="BB147" ca="1" si="2187">IFERROR($C147*BB146,"")</f>
        <v/>
      </c>
      <c r="BC147" s="64"/>
      <c r="BD147" s="64"/>
      <c r="BE147" s="65"/>
      <c r="BF147" s="62" t="str">
        <f t="shared" ref="BF147" ca="1" si="2188">IFERROR($C147*BF146,"")</f>
        <v/>
      </c>
      <c r="BG147" s="62"/>
      <c r="BH147" s="62"/>
      <c r="BI147" s="62"/>
      <c r="BJ147" s="62" t="str">
        <f t="shared" ref="BJ147" ca="1" si="2189">IFERROR($C147*BJ146,"")</f>
        <v/>
      </c>
      <c r="BK147" s="62"/>
      <c r="BL147" s="62"/>
      <c r="BM147" s="63"/>
      <c r="BN147" s="64" t="str">
        <f t="shared" ref="BN147" ca="1" si="2190">IFERROR($C147*BN146,"")</f>
        <v/>
      </c>
      <c r="BO147" s="64"/>
      <c r="BP147" s="64"/>
      <c r="BQ147" s="65"/>
      <c r="BR147" s="62" t="str">
        <f t="shared" ref="BR147" ca="1" si="2191">IFERROR($C147*BR146,"")</f>
        <v/>
      </c>
      <c r="BS147" s="62"/>
      <c r="BT147" s="62"/>
      <c r="BU147" s="62"/>
      <c r="BV147" s="62" t="str">
        <f t="shared" ref="BV147" ca="1" si="2192">IFERROR($C147*BV146,"")</f>
        <v/>
      </c>
      <c r="BW147" s="62"/>
      <c r="BX147" s="62"/>
      <c r="BY147" s="63"/>
      <c r="BZ147" s="64" t="str">
        <f t="shared" ref="BZ147" ca="1" si="2193">IFERROR($C147*BZ146,"")</f>
        <v/>
      </c>
      <c r="CA147" s="64"/>
      <c r="CB147" s="64"/>
      <c r="CC147" s="65"/>
      <c r="CD147" s="62" t="str">
        <f t="shared" ref="CD147" ca="1" si="2194">IFERROR($C147*CD146,"")</f>
        <v/>
      </c>
      <c r="CE147" s="62"/>
      <c r="CF147" s="62"/>
      <c r="CG147" s="62"/>
      <c r="CH147" s="62" t="str">
        <f t="shared" ref="CH147" ca="1" si="2195">IFERROR($C147*CH146,"")</f>
        <v/>
      </c>
      <c r="CI147" s="62"/>
      <c r="CJ147" s="62"/>
      <c r="CK147" s="63"/>
      <c r="CL147" s="64" t="str">
        <f t="shared" ref="CL147" ca="1" si="2196">IFERROR($C147*CL146,"")</f>
        <v/>
      </c>
      <c r="CM147" s="64"/>
      <c r="CN147" s="64"/>
      <c r="CO147" s="65"/>
      <c r="CP147" s="62" t="str">
        <f t="shared" ref="CP147" ca="1" si="2197">IFERROR($C147*CP146,"")</f>
        <v/>
      </c>
      <c r="CQ147" s="62"/>
      <c r="CR147" s="62"/>
      <c r="CS147" s="62"/>
      <c r="CT147" s="62" t="str">
        <f t="shared" ref="CT147" ca="1" si="2198">IFERROR($C147*CT146,"")</f>
        <v/>
      </c>
      <c r="CU147" s="62"/>
      <c r="CV147" s="62"/>
      <c r="CW147" s="63"/>
      <c r="CX147" s="64" t="str">
        <f t="shared" ref="CX147" ca="1" si="2199">IFERROR($C147*CX146,"")</f>
        <v/>
      </c>
      <c r="CY147" s="64"/>
      <c r="CZ147" s="64"/>
      <c r="DA147" s="65"/>
      <c r="DB147" s="62" t="str">
        <f t="shared" ref="DB147" ca="1" si="2200">IFERROR($C147*DB146,"")</f>
        <v/>
      </c>
      <c r="DC147" s="62"/>
      <c r="DD147" s="62"/>
      <c r="DE147" s="62"/>
      <c r="DF147" s="62" t="str">
        <f t="shared" ref="DF147" ca="1" si="2201">IFERROR($C147*DF146,"")</f>
        <v/>
      </c>
      <c r="DG147" s="62"/>
      <c r="DH147" s="62"/>
      <c r="DI147" s="63"/>
      <c r="DJ147" s="64" t="str">
        <f t="shared" ref="DJ147" ca="1" si="2202">IFERROR($C147*DJ146,"")</f>
        <v/>
      </c>
      <c r="DK147" s="64"/>
      <c r="DL147" s="64"/>
      <c r="DM147" s="65"/>
      <c r="DN147" s="62" t="str">
        <f t="shared" ref="DN147" ca="1" si="2203">IFERROR($C147*DN146,"")</f>
        <v/>
      </c>
      <c r="DO147" s="62"/>
      <c r="DP147" s="62"/>
      <c r="DQ147" s="62"/>
      <c r="DR147" s="62" t="str">
        <f t="shared" ref="DR147" ca="1" si="2204">IFERROR($C147*DR146,"")</f>
        <v/>
      </c>
      <c r="DS147" s="62"/>
      <c r="DT147" s="62"/>
      <c r="DU147" s="63"/>
      <c r="DV147" s="64" t="str">
        <f t="shared" ref="DV147" ca="1" si="2205">IFERROR($C147*DV146,"")</f>
        <v/>
      </c>
      <c r="DW147" s="64"/>
      <c r="DX147" s="64"/>
      <c r="DY147" s="65"/>
      <c r="DZ147" s="62" t="str">
        <f t="shared" ref="DZ147" ca="1" si="2206">IFERROR($C147*DZ146,"")</f>
        <v/>
      </c>
      <c r="EA147" s="62"/>
      <c r="EB147" s="62"/>
      <c r="EC147" s="62"/>
      <c r="ED147" s="62" t="str">
        <f t="shared" ref="ED147" ca="1" si="2207">IFERROR($C147*ED146,"")</f>
        <v/>
      </c>
      <c r="EE147" s="62"/>
      <c r="EF147" s="62"/>
      <c r="EG147" s="63"/>
      <c r="EH147" s="64" t="str">
        <f t="shared" ref="EH147" ca="1" si="2208">IFERROR($C147*EH146,"")</f>
        <v/>
      </c>
      <c r="EI147" s="64"/>
      <c r="EJ147" s="64"/>
      <c r="EK147" s="65"/>
      <c r="EL147" s="62" t="str">
        <f t="shared" ref="EL147" ca="1" si="2209">IFERROR($C147*EL146,"")</f>
        <v/>
      </c>
      <c r="EM147" s="62"/>
      <c r="EN147" s="62"/>
      <c r="EO147" s="62"/>
      <c r="EP147" s="62" t="str">
        <f t="shared" ref="EP147" ca="1" si="2210">IFERROR($C147*EP146,"")</f>
        <v/>
      </c>
      <c r="EQ147" s="62"/>
      <c r="ER147" s="62"/>
      <c r="ES147" s="63"/>
    </row>
    <row r="148" spans="1:149" customFormat="1" ht="18.600000000000001" hidden="1" outlineLevel="1" thickBot="1" x14ac:dyDescent="0.5">
      <c r="A148" s="2"/>
      <c r="B148" s="78"/>
      <c r="C148" s="25" t="str">
        <f>IFERROR(VLOOKUP(B146,[2]単価マスタ!A:E,3,FALSE),"")</f>
        <v/>
      </c>
      <c r="D148" s="26" t="s">
        <v>3</v>
      </c>
      <c r="E148" s="27">
        <f ca="1">SUM(F148:CW148)</f>
        <v>0</v>
      </c>
      <c r="F148" s="66" t="str">
        <f ca="1">IFERROR($C148*F146,"")</f>
        <v/>
      </c>
      <c r="G148" s="60"/>
      <c r="H148" s="60"/>
      <c r="I148" s="60"/>
      <c r="J148" s="60" t="str">
        <f t="shared" ref="J148" ca="1" si="2211">IFERROR($C148*J146,"")</f>
        <v/>
      </c>
      <c r="K148" s="60"/>
      <c r="L148" s="60"/>
      <c r="M148" s="60"/>
      <c r="N148" s="61" t="str">
        <f t="shared" ref="N148" ca="1" si="2212">IFERROR($C148*N146,"")</f>
        <v/>
      </c>
      <c r="O148" s="58"/>
      <c r="P148" s="58"/>
      <c r="Q148" s="58"/>
      <c r="R148" s="58" t="str">
        <f t="shared" ref="R148" ca="1" si="2213">IFERROR($C148*R146,"")</f>
        <v/>
      </c>
      <c r="S148" s="58"/>
      <c r="T148" s="58"/>
      <c r="U148" s="59"/>
      <c r="V148" s="60" t="str">
        <f t="shared" ref="V148" ca="1" si="2214">IFERROR($C148*V146,"")</f>
        <v/>
      </c>
      <c r="W148" s="60"/>
      <c r="X148" s="60"/>
      <c r="Y148" s="60"/>
      <c r="Z148" s="60" t="str">
        <f t="shared" ref="Z148" ca="1" si="2215">IFERROR($C148*Z146,"")</f>
        <v/>
      </c>
      <c r="AA148" s="60"/>
      <c r="AB148" s="60"/>
      <c r="AC148" s="61"/>
      <c r="AD148" s="58" t="str">
        <f t="shared" ref="AD148" ca="1" si="2216">IFERROR($C148*AD146,"")</f>
        <v/>
      </c>
      <c r="AE148" s="58"/>
      <c r="AF148" s="58"/>
      <c r="AG148" s="59"/>
      <c r="AH148" s="60" t="str">
        <f t="shared" ref="AH148" ca="1" si="2217">IFERROR($C148*AH146,"")</f>
        <v/>
      </c>
      <c r="AI148" s="60"/>
      <c r="AJ148" s="60"/>
      <c r="AK148" s="60"/>
      <c r="AL148" s="60" t="str">
        <f t="shared" ref="AL148" ca="1" si="2218">IFERROR($C148*AL146,"")</f>
        <v/>
      </c>
      <c r="AM148" s="60"/>
      <c r="AN148" s="60"/>
      <c r="AO148" s="61"/>
      <c r="AP148" s="58" t="str">
        <f t="shared" ref="AP148" ca="1" si="2219">IFERROR($C148*AP146,"")</f>
        <v/>
      </c>
      <c r="AQ148" s="58"/>
      <c r="AR148" s="58"/>
      <c r="AS148" s="59"/>
      <c r="AT148" s="60" t="str">
        <f t="shared" ref="AT148" ca="1" si="2220">IFERROR($C148*AT146,"")</f>
        <v/>
      </c>
      <c r="AU148" s="60"/>
      <c r="AV148" s="60"/>
      <c r="AW148" s="60"/>
      <c r="AX148" s="60" t="str">
        <f t="shared" ref="AX148" ca="1" si="2221">IFERROR($C148*AX146,"")</f>
        <v/>
      </c>
      <c r="AY148" s="60"/>
      <c r="AZ148" s="60"/>
      <c r="BA148" s="61"/>
      <c r="BB148" s="58" t="str">
        <f t="shared" ref="BB148" ca="1" si="2222">IFERROR($C148*BB146,"")</f>
        <v/>
      </c>
      <c r="BC148" s="58"/>
      <c r="BD148" s="58"/>
      <c r="BE148" s="59"/>
      <c r="BF148" s="60" t="str">
        <f t="shared" ref="BF148" ca="1" si="2223">IFERROR($C148*BF146,"")</f>
        <v/>
      </c>
      <c r="BG148" s="60"/>
      <c r="BH148" s="60"/>
      <c r="BI148" s="60"/>
      <c r="BJ148" s="60" t="str">
        <f t="shared" ref="BJ148" ca="1" si="2224">IFERROR($C148*BJ146,"")</f>
        <v/>
      </c>
      <c r="BK148" s="60"/>
      <c r="BL148" s="60"/>
      <c r="BM148" s="61"/>
      <c r="BN148" s="58" t="str">
        <f t="shared" ref="BN148" ca="1" si="2225">IFERROR($C148*BN146,"")</f>
        <v/>
      </c>
      <c r="BO148" s="58"/>
      <c r="BP148" s="58"/>
      <c r="BQ148" s="59"/>
      <c r="BR148" s="60" t="str">
        <f t="shared" ref="BR148" ca="1" si="2226">IFERROR($C148*BR146,"")</f>
        <v/>
      </c>
      <c r="BS148" s="60"/>
      <c r="BT148" s="60"/>
      <c r="BU148" s="60"/>
      <c r="BV148" s="60" t="str">
        <f t="shared" ref="BV148" ca="1" si="2227">IFERROR($C148*BV146,"")</f>
        <v/>
      </c>
      <c r="BW148" s="60"/>
      <c r="BX148" s="60"/>
      <c r="BY148" s="61"/>
      <c r="BZ148" s="58" t="str">
        <f t="shared" ref="BZ148" ca="1" si="2228">IFERROR($C148*BZ146,"")</f>
        <v/>
      </c>
      <c r="CA148" s="58"/>
      <c r="CB148" s="58"/>
      <c r="CC148" s="59"/>
      <c r="CD148" s="60" t="str">
        <f t="shared" ref="CD148" ca="1" si="2229">IFERROR($C148*CD146,"")</f>
        <v/>
      </c>
      <c r="CE148" s="60"/>
      <c r="CF148" s="60"/>
      <c r="CG148" s="60"/>
      <c r="CH148" s="60" t="str">
        <f t="shared" ref="CH148" ca="1" si="2230">IFERROR($C148*CH146,"")</f>
        <v/>
      </c>
      <c r="CI148" s="60"/>
      <c r="CJ148" s="60"/>
      <c r="CK148" s="61"/>
      <c r="CL148" s="58" t="str">
        <f t="shared" ref="CL148" ca="1" si="2231">IFERROR($C148*CL146,"")</f>
        <v/>
      </c>
      <c r="CM148" s="58"/>
      <c r="CN148" s="58"/>
      <c r="CO148" s="59"/>
      <c r="CP148" s="60" t="str">
        <f t="shared" ref="CP148" ca="1" si="2232">IFERROR($C148*CP146,"")</f>
        <v/>
      </c>
      <c r="CQ148" s="60"/>
      <c r="CR148" s="60"/>
      <c r="CS148" s="60"/>
      <c r="CT148" s="60" t="str">
        <f t="shared" ref="CT148" ca="1" si="2233">IFERROR($C148*CT146,"")</f>
        <v/>
      </c>
      <c r="CU148" s="60"/>
      <c r="CV148" s="60"/>
      <c r="CW148" s="61"/>
      <c r="CX148" s="58" t="str">
        <f t="shared" ref="CX148" ca="1" si="2234">IFERROR($C148*CX146,"")</f>
        <v/>
      </c>
      <c r="CY148" s="58"/>
      <c r="CZ148" s="58"/>
      <c r="DA148" s="59"/>
      <c r="DB148" s="60" t="str">
        <f t="shared" ref="DB148" ca="1" si="2235">IFERROR($C148*DB146,"")</f>
        <v/>
      </c>
      <c r="DC148" s="60"/>
      <c r="DD148" s="60"/>
      <c r="DE148" s="60"/>
      <c r="DF148" s="60" t="str">
        <f t="shared" ref="DF148" ca="1" si="2236">IFERROR($C148*DF146,"")</f>
        <v/>
      </c>
      <c r="DG148" s="60"/>
      <c r="DH148" s="60"/>
      <c r="DI148" s="61"/>
      <c r="DJ148" s="58" t="str">
        <f t="shared" ref="DJ148" ca="1" si="2237">IFERROR($C148*DJ146,"")</f>
        <v/>
      </c>
      <c r="DK148" s="58"/>
      <c r="DL148" s="58"/>
      <c r="DM148" s="59"/>
      <c r="DN148" s="60" t="str">
        <f t="shared" ref="DN148" ca="1" si="2238">IFERROR($C148*DN146,"")</f>
        <v/>
      </c>
      <c r="DO148" s="60"/>
      <c r="DP148" s="60"/>
      <c r="DQ148" s="60"/>
      <c r="DR148" s="60" t="str">
        <f t="shared" ref="DR148" ca="1" si="2239">IFERROR($C148*DR146,"")</f>
        <v/>
      </c>
      <c r="DS148" s="60"/>
      <c r="DT148" s="60"/>
      <c r="DU148" s="61"/>
      <c r="DV148" s="58" t="str">
        <f t="shared" ref="DV148" ca="1" si="2240">IFERROR($C148*DV146,"")</f>
        <v/>
      </c>
      <c r="DW148" s="58"/>
      <c r="DX148" s="58"/>
      <c r="DY148" s="59"/>
      <c r="DZ148" s="60" t="str">
        <f t="shared" ref="DZ148" ca="1" si="2241">IFERROR($C148*DZ146,"")</f>
        <v/>
      </c>
      <c r="EA148" s="60"/>
      <c r="EB148" s="60"/>
      <c r="EC148" s="60"/>
      <c r="ED148" s="60" t="str">
        <f t="shared" ref="ED148" ca="1" si="2242">IFERROR($C148*ED146,"")</f>
        <v/>
      </c>
      <c r="EE148" s="60"/>
      <c r="EF148" s="60"/>
      <c r="EG148" s="61"/>
      <c r="EH148" s="58" t="str">
        <f t="shared" ref="EH148" ca="1" si="2243">IFERROR($C148*EH146,"")</f>
        <v/>
      </c>
      <c r="EI148" s="58"/>
      <c r="EJ148" s="58"/>
      <c r="EK148" s="59"/>
      <c r="EL148" s="60" t="str">
        <f t="shared" ref="EL148" ca="1" si="2244">IFERROR($C148*EL146,"")</f>
        <v/>
      </c>
      <c r="EM148" s="60"/>
      <c r="EN148" s="60"/>
      <c r="EO148" s="60"/>
      <c r="EP148" s="60" t="str">
        <f t="shared" ref="EP148" ca="1" si="2245">IFERROR($C148*EP146,"")</f>
        <v/>
      </c>
      <c r="EQ148" s="60"/>
      <c r="ER148" s="60"/>
      <c r="ES148" s="61"/>
    </row>
    <row r="149" spans="1:149" customFormat="1" ht="18.600000000000001" hidden="1" outlineLevel="1" thickBot="1" x14ac:dyDescent="0.5">
      <c r="A149" s="2"/>
      <c r="B149" s="75"/>
      <c r="C149" s="19"/>
      <c r="D149" s="20" t="s">
        <v>13</v>
      </c>
      <c r="E149" s="21">
        <f t="shared" ref="E149:E157" ca="1" si="2246">SUM(F149:CW149)</f>
        <v>0</v>
      </c>
      <c r="F149" s="74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G149" s="67"/>
      <c r="H149" s="67"/>
      <c r="I149" s="67"/>
      <c r="J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K149" s="67"/>
      <c r="L149" s="67"/>
      <c r="M149" s="67"/>
      <c r="N149" s="68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O149" s="70"/>
      <c r="P149" s="70"/>
      <c r="Q149" s="70"/>
      <c r="R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S149" s="70"/>
      <c r="T149" s="70"/>
      <c r="U149" s="71"/>
      <c r="V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W149" s="67"/>
      <c r="X149" s="67"/>
      <c r="Y149" s="67"/>
      <c r="Z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A149" s="67"/>
      <c r="AB149" s="67"/>
      <c r="AC149" s="68"/>
      <c r="AD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E149" s="70"/>
      <c r="AF149" s="70"/>
      <c r="AG149" s="71"/>
      <c r="AH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I149" s="67"/>
      <c r="AJ149" s="67"/>
      <c r="AK149" s="67"/>
      <c r="AL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M149" s="67"/>
      <c r="AN149" s="67"/>
      <c r="AO149" s="68"/>
      <c r="AP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Q149" s="70"/>
      <c r="AR149" s="70"/>
      <c r="AS149" s="71"/>
      <c r="AT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U149" s="67"/>
      <c r="AV149" s="67"/>
      <c r="AW149" s="67"/>
      <c r="AX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AY149" s="67"/>
      <c r="AZ149" s="67"/>
      <c r="BA149" s="68"/>
      <c r="BB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BC149" s="70"/>
      <c r="BD149" s="70"/>
      <c r="BE149" s="71"/>
      <c r="BF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BG149" s="67"/>
      <c r="BH149" s="67"/>
      <c r="BI149" s="67"/>
      <c r="BJ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BK149" s="67"/>
      <c r="BL149" s="67"/>
      <c r="BM149" s="68"/>
      <c r="BN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BO149" s="70"/>
      <c r="BP149" s="70"/>
      <c r="BQ149" s="71"/>
      <c r="BR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BS149" s="67"/>
      <c r="BT149" s="67"/>
      <c r="BU149" s="67"/>
      <c r="BV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BW149" s="67"/>
      <c r="BX149" s="67"/>
      <c r="BY149" s="68"/>
      <c r="BZ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A149" s="70"/>
      <c r="CB149" s="70"/>
      <c r="CC149" s="71"/>
      <c r="CD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E149" s="67"/>
      <c r="CF149" s="67"/>
      <c r="CG149" s="67"/>
      <c r="CH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I149" s="67"/>
      <c r="CJ149" s="67"/>
      <c r="CK149" s="68"/>
      <c r="CL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M149" s="70"/>
      <c r="CN149" s="70"/>
      <c r="CO149" s="71"/>
      <c r="CP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Q149" s="67"/>
      <c r="CR149" s="67"/>
      <c r="CS149" s="67"/>
      <c r="CT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U149" s="67"/>
      <c r="CV149" s="67"/>
      <c r="CW149" s="68"/>
      <c r="CX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CY149" s="70"/>
      <c r="CZ149" s="70"/>
      <c r="DA149" s="71"/>
      <c r="DB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DC149" s="67"/>
      <c r="DD149" s="67"/>
      <c r="DE149" s="67"/>
      <c r="DF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DG149" s="67"/>
      <c r="DH149" s="67"/>
      <c r="DI149" s="68"/>
      <c r="DJ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DK149" s="70"/>
      <c r="DL149" s="70"/>
      <c r="DM149" s="71"/>
      <c r="DN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DO149" s="67"/>
      <c r="DP149" s="67"/>
      <c r="DQ149" s="67"/>
      <c r="DR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DS149" s="67"/>
      <c r="DT149" s="67"/>
      <c r="DU149" s="68"/>
      <c r="DV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DW149" s="70"/>
      <c r="DX149" s="70"/>
      <c r="DY149" s="71"/>
      <c r="DZ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EA149" s="67"/>
      <c r="EB149" s="67"/>
      <c r="EC149" s="67"/>
      <c r="ED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EE149" s="67"/>
      <c r="EF149" s="67"/>
      <c r="EG149" s="68"/>
      <c r="EH149" s="70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EI149" s="70"/>
      <c r="EJ149" s="70"/>
      <c r="EK149" s="71"/>
      <c r="EL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EM149" s="67"/>
      <c r="EN149" s="67"/>
      <c r="EO149" s="67"/>
      <c r="EP149" s="67">
        <f ca="1">IF(ISERROR(VLOOKUP(RIGHT(CELL("filename",$A$1),LEN(CELL("filename",$A$1))-FIND("]",CELL("filename",$A$1)))&amp;$B149,[2]要員計画!$L:$AJ,((COLUMN()-1)/4)+1,FALSE)),0,VLOOKUP(RIGHT(CELL("filename",$A$1),LEN(CELL("filename",$A$1))-FIND("]",CELL("filename",$A$1)))&amp;$B149,[2]要員計画!$L:$AJ,((COLUMN()-1)/4)+1,FALSE))</f>
        <v>0</v>
      </c>
      <c r="EQ149" s="67"/>
      <c r="ER149" s="67"/>
      <c r="ES149" s="68"/>
    </row>
    <row r="150" spans="1:149" customFormat="1" ht="18.600000000000001" hidden="1" outlineLevel="1" thickBot="1" x14ac:dyDescent="0.5">
      <c r="A150" s="2"/>
      <c r="B150" s="76"/>
      <c r="C150" s="22" t="str">
        <f>IFERROR(VLOOKUP(B149,[2]単価マスタ!A:E,2,FALSE),"")</f>
        <v/>
      </c>
      <c r="D150" s="23" t="s">
        <v>23</v>
      </c>
      <c r="E150" s="24">
        <f ca="1">SUM(F150:CW150)</f>
        <v>0</v>
      </c>
      <c r="F150" s="69" t="str">
        <f ca="1">IFERROR($C150*F149,"")</f>
        <v/>
      </c>
      <c r="G150" s="62"/>
      <c r="H150" s="62"/>
      <c r="I150" s="62"/>
      <c r="J150" s="62" t="str">
        <f t="shared" ref="J150" ca="1" si="2247">IFERROR($C150*J149,"")</f>
        <v/>
      </c>
      <c r="K150" s="62"/>
      <c r="L150" s="62"/>
      <c r="M150" s="62"/>
      <c r="N150" s="63" t="str">
        <f t="shared" ref="N150" ca="1" si="2248">IFERROR($C150*N149,"")</f>
        <v/>
      </c>
      <c r="O150" s="64"/>
      <c r="P150" s="64"/>
      <c r="Q150" s="64"/>
      <c r="R150" s="64" t="str">
        <f t="shared" ref="R150" ca="1" si="2249">IFERROR($C150*R149,"")</f>
        <v/>
      </c>
      <c r="S150" s="64"/>
      <c r="T150" s="64"/>
      <c r="U150" s="65"/>
      <c r="V150" s="62" t="str">
        <f t="shared" ref="V150" ca="1" si="2250">IFERROR($C150*V149,"")</f>
        <v/>
      </c>
      <c r="W150" s="62"/>
      <c r="X150" s="62"/>
      <c r="Y150" s="62"/>
      <c r="Z150" s="62" t="str">
        <f t="shared" ref="Z150" ca="1" si="2251">IFERROR($C150*Z149,"")</f>
        <v/>
      </c>
      <c r="AA150" s="62"/>
      <c r="AB150" s="62"/>
      <c r="AC150" s="63"/>
      <c r="AD150" s="64" t="str">
        <f t="shared" ref="AD150" ca="1" si="2252">IFERROR($C150*AD149,"")</f>
        <v/>
      </c>
      <c r="AE150" s="64"/>
      <c r="AF150" s="64"/>
      <c r="AG150" s="65"/>
      <c r="AH150" s="62" t="str">
        <f t="shared" ref="AH150" ca="1" si="2253">IFERROR($C150*AH149,"")</f>
        <v/>
      </c>
      <c r="AI150" s="62"/>
      <c r="AJ150" s="62"/>
      <c r="AK150" s="62"/>
      <c r="AL150" s="62" t="str">
        <f t="shared" ref="AL150" ca="1" si="2254">IFERROR($C150*AL149,"")</f>
        <v/>
      </c>
      <c r="AM150" s="62"/>
      <c r="AN150" s="62"/>
      <c r="AO150" s="63"/>
      <c r="AP150" s="64" t="str">
        <f t="shared" ref="AP150" ca="1" si="2255">IFERROR($C150*AP149,"")</f>
        <v/>
      </c>
      <c r="AQ150" s="64"/>
      <c r="AR150" s="64"/>
      <c r="AS150" s="65"/>
      <c r="AT150" s="62" t="str">
        <f t="shared" ref="AT150" ca="1" si="2256">IFERROR($C150*AT149,"")</f>
        <v/>
      </c>
      <c r="AU150" s="62"/>
      <c r="AV150" s="62"/>
      <c r="AW150" s="62"/>
      <c r="AX150" s="62" t="str">
        <f t="shared" ref="AX150" ca="1" si="2257">IFERROR($C150*AX149,"")</f>
        <v/>
      </c>
      <c r="AY150" s="62"/>
      <c r="AZ150" s="62"/>
      <c r="BA150" s="63"/>
      <c r="BB150" s="64" t="str">
        <f t="shared" ref="BB150" ca="1" si="2258">IFERROR($C150*BB149,"")</f>
        <v/>
      </c>
      <c r="BC150" s="64"/>
      <c r="BD150" s="64"/>
      <c r="BE150" s="65"/>
      <c r="BF150" s="62" t="str">
        <f t="shared" ref="BF150" ca="1" si="2259">IFERROR($C150*BF149,"")</f>
        <v/>
      </c>
      <c r="BG150" s="62"/>
      <c r="BH150" s="62"/>
      <c r="BI150" s="62"/>
      <c r="BJ150" s="62" t="str">
        <f t="shared" ref="BJ150" ca="1" si="2260">IFERROR($C150*BJ149,"")</f>
        <v/>
      </c>
      <c r="BK150" s="62"/>
      <c r="BL150" s="62"/>
      <c r="BM150" s="63"/>
      <c r="BN150" s="64" t="str">
        <f t="shared" ref="BN150" ca="1" si="2261">IFERROR($C150*BN149,"")</f>
        <v/>
      </c>
      <c r="BO150" s="64"/>
      <c r="BP150" s="64"/>
      <c r="BQ150" s="65"/>
      <c r="BR150" s="62" t="str">
        <f t="shared" ref="BR150" ca="1" si="2262">IFERROR($C150*BR149,"")</f>
        <v/>
      </c>
      <c r="BS150" s="62"/>
      <c r="BT150" s="62"/>
      <c r="BU150" s="62"/>
      <c r="BV150" s="62" t="str">
        <f t="shared" ref="BV150" ca="1" si="2263">IFERROR($C150*BV149,"")</f>
        <v/>
      </c>
      <c r="BW150" s="62"/>
      <c r="BX150" s="62"/>
      <c r="BY150" s="63"/>
      <c r="BZ150" s="64" t="str">
        <f t="shared" ref="BZ150" ca="1" si="2264">IFERROR($C150*BZ149,"")</f>
        <v/>
      </c>
      <c r="CA150" s="64"/>
      <c r="CB150" s="64"/>
      <c r="CC150" s="65"/>
      <c r="CD150" s="62" t="str">
        <f t="shared" ref="CD150" ca="1" si="2265">IFERROR($C150*CD149,"")</f>
        <v/>
      </c>
      <c r="CE150" s="62"/>
      <c r="CF150" s="62"/>
      <c r="CG150" s="62"/>
      <c r="CH150" s="62" t="str">
        <f t="shared" ref="CH150" ca="1" si="2266">IFERROR($C150*CH149,"")</f>
        <v/>
      </c>
      <c r="CI150" s="62"/>
      <c r="CJ150" s="62"/>
      <c r="CK150" s="63"/>
      <c r="CL150" s="64" t="str">
        <f t="shared" ref="CL150" ca="1" si="2267">IFERROR($C150*CL149,"")</f>
        <v/>
      </c>
      <c r="CM150" s="64"/>
      <c r="CN150" s="64"/>
      <c r="CO150" s="65"/>
      <c r="CP150" s="62" t="str">
        <f t="shared" ref="CP150" ca="1" si="2268">IFERROR($C150*CP149,"")</f>
        <v/>
      </c>
      <c r="CQ150" s="62"/>
      <c r="CR150" s="62"/>
      <c r="CS150" s="62"/>
      <c r="CT150" s="62" t="str">
        <f t="shared" ref="CT150" ca="1" si="2269">IFERROR($C150*CT149,"")</f>
        <v/>
      </c>
      <c r="CU150" s="62"/>
      <c r="CV150" s="62"/>
      <c r="CW150" s="63"/>
      <c r="CX150" s="64" t="str">
        <f t="shared" ref="CX150" ca="1" si="2270">IFERROR($C150*CX149,"")</f>
        <v/>
      </c>
      <c r="CY150" s="64"/>
      <c r="CZ150" s="64"/>
      <c r="DA150" s="65"/>
      <c r="DB150" s="62" t="str">
        <f t="shared" ref="DB150" ca="1" si="2271">IFERROR($C150*DB149,"")</f>
        <v/>
      </c>
      <c r="DC150" s="62"/>
      <c r="DD150" s="62"/>
      <c r="DE150" s="62"/>
      <c r="DF150" s="62" t="str">
        <f t="shared" ref="DF150" ca="1" si="2272">IFERROR($C150*DF149,"")</f>
        <v/>
      </c>
      <c r="DG150" s="62"/>
      <c r="DH150" s="62"/>
      <c r="DI150" s="63"/>
      <c r="DJ150" s="64" t="str">
        <f t="shared" ref="DJ150" ca="1" si="2273">IFERROR($C150*DJ149,"")</f>
        <v/>
      </c>
      <c r="DK150" s="64"/>
      <c r="DL150" s="64"/>
      <c r="DM150" s="65"/>
      <c r="DN150" s="62" t="str">
        <f t="shared" ref="DN150" ca="1" si="2274">IFERROR($C150*DN149,"")</f>
        <v/>
      </c>
      <c r="DO150" s="62"/>
      <c r="DP150" s="62"/>
      <c r="DQ150" s="62"/>
      <c r="DR150" s="62" t="str">
        <f t="shared" ref="DR150" ca="1" si="2275">IFERROR($C150*DR149,"")</f>
        <v/>
      </c>
      <c r="DS150" s="62"/>
      <c r="DT150" s="62"/>
      <c r="DU150" s="63"/>
      <c r="DV150" s="64" t="str">
        <f t="shared" ref="DV150" ca="1" si="2276">IFERROR($C150*DV149,"")</f>
        <v/>
      </c>
      <c r="DW150" s="64"/>
      <c r="DX150" s="64"/>
      <c r="DY150" s="65"/>
      <c r="DZ150" s="62" t="str">
        <f t="shared" ref="DZ150" ca="1" si="2277">IFERROR($C150*DZ149,"")</f>
        <v/>
      </c>
      <c r="EA150" s="62"/>
      <c r="EB150" s="62"/>
      <c r="EC150" s="62"/>
      <c r="ED150" s="62" t="str">
        <f t="shared" ref="ED150" ca="1" si="2278">IFERROR($C150*ED149,"")</f>
        <v/>
      </c>
      <c r="EE150" s="62"/>
      <c r="EF150" s="62"/>
      <c r="EG150" s="63"/>
      <c r="EH150" s="64" t="str">
        <f t="shared" ref="EH150" ca="1" si="2279">IFERROR($C150*EH149,"")</f>
        <v/>
      </c>
      <c r="EI150" s="64"/>
      <c r="EJ150" s="64"/>
      <c r="EK150" s="65"/>
      <c r="EL150" s="62" t="str">
        <f t="shared" ref="EL150" ca="1" si="2280">IFERROR($C150*EL149,"")</f>
        <v/>
      </c>
      <c r="EM150" s="62"/>
      <c r="EN150" s="62"/>
      <c r="EO150" s="62"/>
      <c r="EP150" s="62" t="str">
        <f t="shared" ref="EP150" ca="1" si="2281">IFERROR($C150*EP149,"")</f>
        <v/>
      </c>
      <c r="EQ150" s="62"/>
      <c r="ER150" s="62"/>
      <c r="ES150" s="63"/>
    </row>
    <row r="151" spans="1:149" customFormat="1" ht="18.600000000000001" hidden="1" outlineLevel="1" thickBot="1" x14ac:dyDescent="0.5">
      <c r="A151" s="2"/>
      <c r="B151" s="77"/>
      <c r="C151" s="25" t="str">
        <f>IFERROR(VLOOKUP(B149,[2]単価マスタ!A:E,3,FALSE),"")</f>
        <v/>
      </c>
      <c r="D151" s="26" t="s">
        <v>3</v>
      </c>
      <c r="E151" s="27">
        <f ca="1">SUM(F151:CW151)</f>
        <v>0</v>
      </c>
      <c r="F151" s="66" t="str">
        <f ca="1">IFERROR($C151*F149,"")</f>
        <v/>
      </c>
      <c r="G151" s="60"/>
      <c r="H151" s="60"/>
      <c r="I151" s="60"/>
      <c r="J151" s="60" t="str">
        <f t="shared" ref="J151" ca="1" si="2282">IFERROR($C151*J149,"")</f>
        <v/>
      </c>
      <c r="K151" s="60"/>
      <c r="L151" s="60"/>
      <c r="M151" s="60"/>
      <c r="N151" s="61" t="str">
        <f t="shared" ref="N151" ca="1" si="2283">IFERROR($C151*N149,"")</f>
        <v/>
      </c>
      <c r="O151" s="58"/>
      <c r="P151" s="58"/>
      <c r="Q151" s="58"/>
      <c r="R151" s="58" t="str">
        <f t="shared" ref="R151" ca="1" si="2284">IFERROR($C151*R149,"")</f>
        <v/>
      </c>
      <c r="S151" s="58"/>
      <c r="T151" s="58"/>
      <c r="U151" s="59"/>
      <c r="V151" s="60" t="str">
        <f t="shared" ref="V151" ca="1" si="2285">IFERROR($C151*V149,"")</f>
        <v/>
      </c>
      <c r="W151" s="60"/>
      <c r="X151" s="60"/>
      <c r="Y151" s="60"/>
      <c r="Z151" s="60" t="str">
        <f t="shared" ref="Z151" ca="1" si="2286">IFERROR($C151*Z149,"")</f>
        <v/>
      </c>
      <c r="AA151" s="60"/>
      <c r="AB151" s="60"/>
      <c r="AC151" s="61"/>
      <c r="AD151" s="58" t="str">
        <f t="shared" ref="AD151" ca="1" si="2287">IFERROR($C151*AD149,"")</f>
        <v/>
      </c>
      <c r="AE151" s="58"/>
      <c r="AF151" s="58"/>
      <c r="AG151" s="59"/>
      <c r="AH151" s="60" t="str">
        <f t="shared" ref="AH151" ca="1" si="2288">IFERROR($C151*AH149,"")</f>
        <v/>
      </c>
      <c r="AI151" s="60"/>
      <c r="AJ151" s="60"/>
      <c r="AK151" s="60"/>
      <c r="AL151" s="60" t="str">
        <f t="shared" ref="AL151" ca="1" si="2289">IFERROR($C151*AL149,"")</f>
        <v/>
      </c>
      <c r="AM151" s="60"/>
      <c r="AN151" s="60"/>
      <c r="AO151" s="61"/>
      <c r="AP151" s="58" t="str">
        <f t="shared" ref="AP151" ca="1" si="2290">IFERROR($C151*AP149,"")</f>
        <v/>
      </c>
      <c r="AQ151" s="58"/>
      <c r="AR151" s="58"/>
      <c r="AS151" s="59"/>
      <c r="AT151" s="60" t="str">
        <f t="shared" ref="AT151" ca="1" si="2291">IFERROR($C151*AT149,"")</f>
        <v/>
      </c>
      <c r="AU151" s="60"/>
      <c r="AV151" s="60"/>
      <c r="AW151" s="60"/>
      <c r="AX151" s="60" t="str">
        <f t="shared" ref="AX151" ca="1" si="2292">IFERROR($C151*AX149,"")</f>
        <v/>
      </c>
      <c r="AY151" s="60"/>
      <c r="AZ151" s="60"/>
      <c r="BA151" s="61"/>
      <c r="BB151" s="58" t="str">
        <f t="shared" ref="BB151" ca="1" si="2293">IFERROR($C151*BB149,"")</f>
        <v/>
      </c>
      <c r="BC151" s="58"/>
      <c r="BD151" s="58"/>
      <c r="BE151" s="59"/>
      <c r="BF151" s="60" t="str">
        <f t="shared" ref="BF151" ca="1" si="2294">IFERROR($C151*BF149,"")</f>
        <v/>
      </c>
      <c r="BG151" s="60"/>
      <c r="BH151" s="60"/>
      <c r="BI151" s="60"/>
      <c r="BJ151" s="60" t="str">
        <f t="shared" ref="BJ151" ca="1" si="2295">IFERROR($C151*BJ149,"")</f>
        <v/>
      </c>
      <c r="BK151" s="60"/>
      <c r="BL151" s="60"/>
      <c r="BM151" s="61"/>
      <c r="BN151" s="58" t="str">
        <f t="shared" ref="BN151" ca="1" si="2296">IFERROR($C151*BN149,"")</f>
        <v/>
      </c>
      <c r="BO151" s="58"/>
      <c r="BP151" s="58"/>
      <c r="BQ151" s="59"/>
      <c r="BR151" s="60" t="str">
        <f t="shared" ref="BR151" ca="1" si="2297">IFERROR($C151*BR149,"")</f>
        <v/>
      </c>
      <c r="BS151" s="60"/>
      <c r="BT151" s="60"/>
      <c r="BU151" s="60"/>
      <c r="BV151" s="60" t="str">
        <f t="shared" ref="BV151" ca="1" si="2298">IFERROR($C151*BV149,"")</f>
        <v/>
      </c>
      <c r="BW151" s="60"/>
      <c r="BX151" s="60"/>
      <c r="BY151" s="61"/>
      <c r="BZ151" s="58" t="str">
        <f t="shared" ref="BZ151" ca="1" si="2299">IFERROR($C151*BZ149,"")</f>
        <v/>
      </c>
      <c r="CA151" s="58"/>
      <c r="CB151" s="58"/>
      <c r="CC151" s="59"/>
      <c r="CD151" s="60" t="str">
        <f t="shared" ref="CD151" ca="1" si="2300">IFERROR($C151*CD149,"")</f>
        <v/>
      </c>
      <c r="CE151" s="60"/>
      <c r="CF151" s="60"/>
      <c r="CG151" s="60"/>
      <c r="CH151" s="60" t="str">
        <f t="shared" ref="CH151" ca="1" si="2301">IFERROR($C151*CH149,"")</f>
        <v/>
      </c>
      <c r="CI151" s="60"/>
      <c r="CJ151" s="60"/>
      <c r="CK151" s="61"/>
      <c r="CL151" s="58" t="str">
        <f t="shared" ref="CL151" ca="1" si="2302">IFERROR($C151*CL149,"")</f>
        <v/>
      </c>
      <c r="CM151" s="58"/>
      <c r="CN151" s="58"/>
      <c r="CO151" s="59"/>
      <c r="CP151" s="60" t="str">
        <f t="shared" ref="CP151" ca="1" si="2303">IFERROR($C151*CP149,"")</f>
        <v/>
      </c>
      <c r="CQ151" s="60"/>
      <c r="CR151" s="60"/>
      <c r="CS151" s="60"/>
      <c r="CT151" s="60" t="str">
        <f t="shared" ref="CT151" ca="1" si="2304">IFERROR($C151*CT149,"")</f>
        <v/>
      </c>
      <c r="CU151" s="60"/>
      <c r="CV151" s="60"/>
      <c r="CW151" s="61"/>
      <c r="CX151" s="58" t="str">
        <f t="shared" ref="CX151" ca="1" si="2305">IFERROR($C151*CX149,"")</f>
        <v/>
      </c>
      <c r="CY151" s="58"/>
      <c r="CZ151" s="58"/>
      <c r="DA151" s="59"/>
      <c r="DB151" s="60" t="str">
        <f t="shared" ref="DB151" ca="1" si="2306">IFERROR($C151*DB149,"")</f>
        <v/>
      </c>
      <c r="DC151" s="60"/>
      <c r="DD151" s="60"/>
      <c r="DE151" s="60"/>
      <c r="DF151" s="60" t="str">
        <f t="shared" ref="DF151" ca="1" si="2307">IFERROR($C151*DF149,"")</f>
        <v/>
      </c>
      <c r="DG151" s="60"/>
      <c r="DH151" s="60"/>
      <c r="DI151" s="61"/>
      <c r="DJ151" s="58" t="str">
        <f t="shared" ref="DJ151" ca="1" si="2308">IFERROR($C151*DJ149,"")</f>
        <v/>
      </c>
      <c r="DK151" s="58"/>
      <c r="DL151" s="58"/>
      <c r="DM151" s="59"/>
      <c r="DN151" s="60" t="str">
        <f t="shared" ref="DN151" ca="1" si="2309">IFERROR($C151*DN149,"")</f>
        <v/>
      </c>
      <c r="DO151" s="60"/>
      <c r="DP151" s="60"/>
      <c r="DQ151" s="60"/>
      <c r="DR151" s="60" t="str">
        <f t="shared" ref="DR151" ca="1" si="2310">IFERROR($C151*DR149,"")</f>
        <v/>
      </c>
      <c r="DS151" s="60"/>
      <c r="DT151" s="60"/>
      <c r="DU151" s="61"/>
      <c r="DV151" s="58" t="str">
        <f t="shared" ref="DV151" ca="1" si="2311">IFERROR($C151*DV149,"")</f>
        <v/>
      </c>
      <c r="DW151" s="58"/>
      <c r="DX151" s="58"/>
      <c r="DY151" s="59"/>
      <c r="DZ151" s="60" t="str">
        <f t="shared" ref="DZ151" ca="1" si="2312">IFERROR($C151*DZ149,"")</f>
        <v/>
      </c>
      <c r="EA151" s="60"/>
      <c r="EB151" s="60"/>
      <c r="EC151" s="60"/>
      <c r="ED151" s="60" t="str">
        <f t="shared" ref="ED151" ca="1" si="2313">IFERROR($C151*ED149,"")</f>
        <v/>
      </c>
      <c r="EE151" s="60"/>
      <c r="EF151" s="60"/>
      <c r="EG151" s="61"/>
      <c r="EH151" s="58" t="str">
        <f t="shared" ref="EH151" ca="1" si="2314">IFERROR($C151*EH149,"")</f>
        <v/>
      </c>
      <c r="EI151" s="58"/>
      <c r="EJ151" s="58"/>
      <c r="EK151" s="59"/>
      <c r="EL151" s="60" t="str">
        <f t="shared" ref="EL151" ca="1" si="2315">IFERROR($C151*EL149,"")</f>
        <v/>
      </c>
      <c r="EM151" s="60"/>
      <c r="EN151" s="60"/>
      <c r="EO151" s="60"/>
      <c r="EP151" s="60" t="str">
        <f t="shared" ref="EP151" ca="1" si="2316">IFERROR($C151*EP149,"")</f>
        <v/>
      </c>
      <c r="EQ151" s="60"/>
      <c r="ER151" s="60"/>
      <c r="ES151" s="61"/>
    </row>
    <row r="152" spans="1:149" customFormat="1" ht="18.600000000000001" hidden="1" outlineLevel="1" thickBot="1" x14ac:dyDescent="0.5">
      <c r="A152" s="2"/>
      <c r="B152" s="72"/>
      <c r="C152" s="19"/>
      <c r="D152" s="20" t="s">
        <v>13</v>
      </c>
      <c r="E152" s="21">
        <f t="shared" ca="1" si="2246"/>
        <v>0</v>
      </c>
      <c r="F152" s="74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G152" s="67"/>
      <c r="H152" s="67"/>
      <c r="I152" s="67"/>
      <c r="J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K152" s="67"/>
      <c r="L152" s="67"/>
      <c r="M152" s="67"/>
      <c r="N152" s="68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O152" s="70"/>
      <c r="P152" s="70"/>
      <c r="Q152" s="70"/>
      <c r="R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S152" s="70"/>
      <c r="T152" s="70"/>
      <c r="U152" s="71"/>
      <c r="V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W152" s="67"/>
      <c r="X152" s="67"/>
      <c r="Y152" s="67"/>
      <c r="Z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A152" s="67"/>
      <c r="AB152" s="67"/>
      <c r="AC152" s="68"/>
      <c r="AD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E152" s="70"/>
      <c r="AF152" s="70"/>
      <c r="AG152" s="71"/>
      <c r="AH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I152" s="67"/>
      <c r="AJ152" s="67"/>
      <c r="AK152" s="67"/>
      <c r="AL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M152" s="67"/>
      <c r="AN152" s="67"/>
      <c r="AO152" s="68"/>
      <c r="AP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Q152" s="70"/>
      <c r="AR152" s="70"/>
      <c r="AS152" s="71"/>
      <c r="AT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U152" s="67"/>
      <c r="AV152" s="67"/>
      <c r="AW152" s="67"/>
      <c r="AX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AY152" s="67"/>
      <c r="AZ152" s="67"/>
      <c r="BA152" s="68"/>
      <c r="BB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BC152" s="70"/>
      <c r="BD152" s="70"/>
      <c r="BE152" s="71"/>
      <c r="BF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BG152" s="67"/>
      <c r="BH152" s="67"/>
      <c r="BI152" s="67"/>
      <c r="BJ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BK152" s="67"/>
      <c r="BL152" s="67"/>
      <c r="BM152" s="68"/>
      <c r="BN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BO152" s="70"/>
      <c r="BP152" s="70"/>
      <c r="BQ152" s="71"/>
      <c r="BR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BS152" s="67"/>
      <c r="BT152" s="67"/>
      <c r="BU152" s="67"/>
      <c r="BV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BW152" s="67"/>
      <c r="BX152" s="67"/>
      <c r="BY152" s="68"/>
      <c r="BZ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A152" s="70"/>
      <c r="CB152" s="70"/>
      <c r="CC152" s="71"/>
      <c r="CD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E152" s="67"/>
      <c r="CF152" s="67"/>
      <c r="CG152" s="67"/>
      <c r="CH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I152" s="67"/>
      <c r="CJ152" s="67"/>
      <c r="CK152" s="68"/>
      <c r="CL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M152" s="70"/>
      <c r="CN152" s="70"/>
      <c r="CO152" s="71"/>
      <c r="CP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Q152" s="67"/>
      <c r="CR152" s="67"/>
      <c r="CS152" s="67"/>
      <c r="CT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U152" s="67"/>
      <c r="CV152" s="67"/>
      <c r="CW152" s="68"/>
      <c r="CX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CY152" s="70"/>
      <c r="CZ152" s="70"/>
      <c r="DA152" s="71"/>
      <c r="DB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DC152" s="67"/>
      <c r="DD152" s="67"/>
      <c r="DE152" s="67"/>
      <c r="DF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DG152" s="67"/>
      <c r="DH152" s="67"/>
      <c r="DI152" s="68"/>
      <c r="DJ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DK152" s="70"/>
      <c r="DL152" s="70"/>
      <c r="DM152" s="71"/>
      <c r="DN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DO152" s="67"/>
      <c r="DP152" s="67"/>
      <c r="DQ152" s="67"/>
      <c r="DR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DS152" s="67"/>
      <c r="DT152" s="67"/>
      <c r="DU152" s="68"/>
      <c r="DV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DW152" s="70"/>
      <c r="DX152" s="70"/>
      <c r="DY152" s="71"/>
      <c r="DZ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EA152" s="67"/>
      <c r="EB152" s="67"/>
      <c r="EC152" s="67"/>
      <c r="ED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EE152" s="67"/>
      <c r="EF152" s="67"/>
      <c r="EG152" s="68"/>
      <c r="EH152" s="70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EI152" s="70"/>
      <c r="EJ152" s="70"/>
      <c r="EK152" s="71"/>
      <c r="EL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EM152" s="67"/>
      <c r="EN152" s="67"/>
      <c r="EO152" s="67"/>
      <c r="EP152" s="67">
        <f ca="1">IF(ISERROR(VLOOKUP(RIGHT(CELL("filename",$A$1),LEN(CELL("filename",$A$1))-FIND("]",CELL("filename",$A$1)))&amp;$B152,[2]要員計画!$L:$AJ,((COLUMN()-1)/4)+1,FALSE)),0,VLOOKUP(RIGHT(CELL("filename",$A$1),LEN(CELL("filename",$A$1))-FIND("]",CELL("filename",$A$1)))&amp;$B152,[2]要員計画!$L:$AJ,((COLUMN()-1)/4)+1,FALSE))</f>
        <v>0</v>
      </c>
      <c r="EQ152" s="67"/>
      <c r="ER152" s="67"/>
      <c r="ES152" s="68"/>
    </row>
    <row r="153" spans="1:149" customFormat="1" ht="18.600000000000001" hidden="1" outlineLevel="1" thickBot="1" x14ac:dyDescent="0.5">
      <c r="A153" s="2"/>
      <c r="B153" s="73"/>
      <c r="C153" s="22" t="str">
        <f>IFERROR(VLOOKUP(B152,[2]単価マスタ!A:E,2,FALSE),"")</f>
        <v/>
      </c>
      <c r="D153" s="23" t="s">
        <v>23</v>
      </c>
      <c r="E153" s="24">
        <f ca="1">SUM(F153:CW153)</f>
        <v>0</v>
      </c>
      <c r="F153" s="69" t="str">
        <f ca="1">IFERROR($C153*F152,"")</f>
        <v/>
      </c>
      <c r="G153" s="62"/>
      <c r="H153" s="62"/>
      <c r="I153" s="62"/>
      <c r="J153" s="62" t="str">
        <f t="shared" ref="J153" ca="1" si="2317">IFERROR($C153*J152,"")</f>
        <v/>
      </c>
      <c r="K153" s="62"/>
      <c r="L153" s="62"/>
      <c r="M153" s="62"/>
      <c r="N153" s="63" t="str">
        <f t="shared" ref="N153" ca="1" si="2318">IFERROR($C153*N152,"")</f>
        <v/>
      </c>
      <c r="O153" s="64"/>
      <c r="P153" s="64"/>
      <c r="Q153" s="64"/>
      <c r="R153" s="64" t="str">
        <f t="shared" ref="R153" ca="1" si="2319">IFERROR($C153*R152,"")</f>
        <v/>
      </c>
      <c r="S153" s="64"/>
      <c r="T153" s="64"/>
      <c r="U153" s="65"/>
      <c r="V153" s="62" t="str">
        <f t="shared" ref="V153" ca="1" si="2320">IFERROR($C153*V152,"")</f>
        <v/>
      </c>
      <c r="W153" s="62"/>
      <c r="X153" s="62"/>
      <c r="Y153" s="62"/>
      <c r="Z153" s="62" t="str">
        <f t="shared" ref="Z153" ca="1" si="2321">IFERROR($C153*Z152,"")</f>
        <v/>
      </c>
      <c r="AA153" s="62"/>
      <c r="AB153" s="62"/>
      <c r="AC153" s="63"/>
      <c r="AD153" s="64" t="str">
        <f t="shared" ref="AD153" ca="1" si="2322">IFERROR($C153*AD152,"")</f>
        <v/>
      </c>
      <c r="AE153" s="64"/>
      <c r="AF153" s="64"/>
      <c r="AG153" s="65"/>
      <c r="AH153" s="62" t="str">
        <f t="shared" ref="AH153" ca="1" si="2323">IFERROR($C153*AH152,"")</f>
        <v/>
      </c>
      <c r="AI153" s="62"/>
      <c r="AJ153" s="62"/>
      <c r="AK153" s="62"/>
      <c r="AL153" s="62" t="str">
        <f t="shared" ref="AL153" ca="1" si="2324">IFERROR($C153*AL152,"")</f>
        <v/>
      </c>
      <c r="AM153" s="62"/>
      <c r="AN153" s="62"/>
      <c r="AO153" s="63"/>
      <c r="AP153" s="64" t="str">
        <f t="shared" ref="AP153" ca="1" si="2325">IFERROR($C153*AP152,"")</f>
        <v/>
      </c>
      <c r="AQ153" s="64"/>
      <c r="AR153" s="64"/>
      <c r="AS153" s="65"/>
      <c r="AT153" s="62" t="str">
        <f t="shared" ref="AT153" ca="1" si="2326">IFERROR($C153*AT152,"")</f>
        <v/>
      </c>
      <c r="AU153" s="62"/>
      <c r="AV153" s="62"/>
      <c r="AW153" s="62"/>
      <c r="AX153" s="62" t="str">
        <f t="shared" ref="AX153" ca="1" si="2327">IFERROR($C153*AX152,"")</f>
        <v/>
      </c>
      <c r="AY153" s="62"/>
      <c r="AZ153" s="62"/>
      <c r="BA153" s="63"/>
      <c r="BB153" s="64" t="str">
        <f t="shared" ref="BB153" ca="1" si="2328">IFERROR($C153*BB152,"")</f>
        <v/>
      </c>
      <c r="BC153" s="64"/>
      <c r="BD153" s="64"/>
      <c r="BE153" s="65"/>
      <c r="BF153" s="62" t="str">
        <f t="shared" ref="BF153" ca="1" si="2329">IFERROR($C153*BF152,"")</f>
        <v/>
      </c>
      <c r="BG153" s="62"/>
      <c r="BH153" s="62"/>
      <c r="BI153" s="62"/>
      <c r="BJ153" s="62" t="str">
        <f t="shared" ref="BJ153" ca="1" si="2330">IFERROR($C153*BJ152,"")</f>
        <v/>
      </c>
      <c r="BK153" s="62"/>
      <c r="BL153" s="62"/>
      <c r="BM153" s="63"/>
      <c r="BN153" s="64" t="str">
        <f t="shared" ref="BN153" ca="1" si="2331">IFERROR($C153*BN152,"")</f>
        <v/>
      </c>
      <c r="BO153" s="64"/>
      <c r="BP153" s="64"/>
      <c r="BQ153" s="65"/>
      <c r="BR153" s="62" t="str">
        <f t="shared" ref="BR153" ca="1" si="2332">IFERROR($C153*BR152,"")</f>
        <v/>
      </c>
      <c r="BS153" s="62"/>
      <c r="BT153" s="62"/>
      <c r="BU153" s="62"/>
      <c r="BV153" s="62" t="str">
        <f t="shared" ref="BV153" ca="1" si="2333">IFERROR($C153*BV152,"")</f>
        <v/>
      </c>
      <c r="BW153" s="62"/>
      <c r="BX153" s="62"/>
      <c r="BY153" s="63"/>
      <c r="BZ153" s="64" t="str">
        <f t="shared" ref="BZ153" ca="1" si="2334">IFERROR($C153*BZ152,"")</f>
        <v/>
      </c>
      <c r="CA153" s="64"/>
      <c r="CB153" s="64"/>
      <c r="CC153" s="65"/>
      <c r="CD153" s="62" t="str">
        <f t="shared" ref="CD153" ca="1" si="2335">IFERROR($C153*CD152,"")</f>
        <v/>
      </c>
      <c r="CE153" s="62"/>
      <c r="CF153" s="62"/>
      <c r="CG153" s="62"/>
      <c r="CH153" s="62" t="str">
        <f t="shared" ref="CH153" ca="1" si="2336">IFERROR($C153*CH152,"")</f>
        <v/>
      </c>
      <c r="CI153" s="62"/>
      <c r="CJ153" s="62"/>
      <c r="CK153" s="63"/>
      <c r="CL153" s="64" t="str">
        <f t="shared" ref="CL153" ca="1" si="2337">IFERROR($C153*CL152,"")</f>
        <v/>
      </c>
      <c r="CM153" s="64"/>
      <c r="CN153" s="64"/>
      <c r="CO153" s="65"/>
      <c r="CP153" s="62" t="str">
        <f t="shared" ref="CP153" ca="1" si="2338">IFERROR($C153*CP152,"")</f>
        <v/>
      </c>
      <c r="CQ153" s="62"/>
      <c r="CR153" s="62"/>
      <c r="CS153" s="62"/>
      <c r="CT153" s="62" t="str">
        <f t="shared" ref="CT153" ca="1" si="2339">IFERROR($C153*CT152,"")</f>
        <v/>
      </c>
      <c r="CU153" s="62"/>
      <c r="CV153" s="62"/>
      <c r="CW153" s="63"/>
      <c r="CX153" s="64" t="str">
        <f t="shared" ref="CX153" ca="1" si="2340">IFERROR($C153*CX152,"")</f>
        <v/>
      </c>
      <c r="CY153" s="64"/>
      <c r="CZ153" s="64"/>
      <c r="DA153" s="65"/>
      <c r="DB153" s="62" t="str">
        <f t="shared" ref="DB153" ca="1" si="2341">IFERROR($C153*DB152,"")</f>
        <v/>
      </c>
      <c r="DC153" s="62"/>
      <c r="DD153" s="62"/>
      <c r="DE153" s="62"/>
      <c r="DF153" s="62" t="str">
        <f t="shared" ref="DF153" ca="1" si="2342">IFERROR($C153*DF152,"")</f>
        <v/>
      </c>
      <c r="DG153" s="62"/>
      <c r="DH153" s="62"/>
      <c r="DI153" s="63"/>
      <c r="DJ153" s="64" t="str">
        <f t="shared" ref="DJ153" ca="1" si="2343">IFERROR($C153*DJ152,"")</f>
        <v/>
      </c>
      <c r="DK153" s="64"/>
      <c r="DL153" s="64"/>
      <c r="DM153" s="65"/>
      <c r="DN153" s="62" t="str">
        <f t="shared" ref="DN153" ca="1" si="2344">IFERROR($C153*DN152,"")</f>
        <v/>
      </c>
      <c r="DO153" s="62"/>
      <c r="DP153" s="62"/>
      <c r="DQ153" s="62"/>
      <c r="DR153" s="62" t="str">
        <f t="shared" ref="DR153" ca="1" si="2345">IFERROR($C153*DR152,"")</f>
        <v/>
      </c>
      <c r="DS153" s="62"/>
      <c r="DT153" s="62"/>
      <c r="DU153" s="63"/>
      <c r="DV153" s="64" t="str">
        <f t="shared" ref="DV153" ca="1" si="2346">IFERROR($C153*DV152,"")</f>
        <v/>
      </c>
      <c r="DW153" s="64"/>
      <c r="DX153" s="64"/>
      <c r="DY153" s="65"/>
      <c r="DZ153" s="62" t="str">
        <f t="shared" ref="DZ153" ca="1" si="2347">IFERROR($C153*DZ152,"")</f>
        <v/>
      </c>
      <c r="EA153" s="62"/>
      <c r="EB153" s="62"/>
      <c r="EC153" s="62"/>
      <c r="ED153" s="62" t="str">
        <f t="shared" ref="ED153" ca="1" si="2348">IFERROR($C153*ED152,"")</f>
        <v/>
      </c>
      <c r="EE153" s="62"/>
      <c r="EF153" s="62"/>
      <c r="EG153" s="63"/>
      <c r="EH153" s="64" t="str">
        <f t="shared" ref="EH153" ca="1" si="2349">IFERROR($C153*EH152,"")</f>
        <v/>
      </c>
      <c r="EI153" s="64"/>
      <c r="EJ153" s="64"/>
      <c r="EK153" s="65"/>
      <c r="EL153" s="62" t="str">
        <f t="shared" ref="EL153" ca="1" si="2350">IFERROR($C153*EL152,"")</f>
        <v/>
      </c>
      <c r="EM153" s="62"/>
      <c r="EN153" s="62"/>
      <c r="EO153" s="62"/>
      <c r="EP153" s="62" t="str">
        <f t="shared" ref="EP153" ca="1" si="2351">IFERROR($C153*EP152,"")</f>
        <v/>
      </c>
      <c r="EQ153" s="62"/>
      <c r="ER153" s="62"/>
      <c r="ES153" s="63"/>
    </row>
    <row r="154" spans="1:149" customFormat="1" ht="18.600000000000001" hidden="1" outlineLevel="1" thickBot="1" x14ac:dyDescent="0.5">
      <c r="A154" s="2"/>
      <c r="B154" s="73"/>
      <c r="C154" s="25" t="str">
        <f>IFERROR(VLOOKUP(B152,[2]単価マスタ!A:E,3,FALSE),"")</f>
        <v/>
      </c>
      <c r="D154" s="26" t="s">
        <v>3</v>
      </c>
      <c r="E154" s="27">
        <f ca="1">SUM(F154:CW154)</f>
        <v>0</v>
      </c>
      <c r="F154" s="66" t="str">
        <f ca="1">IFERROR($C154*F152,"")</f>
        <v/>
      </c>
      <c r="G154" s="60"/>
      <c r="H154" s="60"/>
      <c r="I154" s="60"/>
      <c r="J154" s="60" t="str">
        <f t="shared" ref="J154" ca="1" si="2352">IFERROR($C154*J152,"")</f>
        <v/>
      </c>
      <c r="K154" s="60"/>
      <c r="L154" s="60"/>
      <c r="M154" s="60"/>
      <c r="N154" s="61" t="str">
        <f t="shared" ref="N154" ca="1" si="2353">IFERROR($C154*N152,"")</f>
        <v/>
      </c>
      <c r="O154" s="58"/>
      <c r="P154" s="58"/>
      <c r="Q154" s="58"/>
      <c r="R154" s="58" t="str">
        <f t="shared" ref="R154" ca="1" si="2354">IFERROR($C154*R152,"")</f>
        <v/>
      </c>
      <c r="S154" s="58"/>
      <c r="T154" s="58"/>
      <c r="U154" s="59"/>
      <c r="V154" s="60" t="str">
        <f t="shared" ref="V154" ca="1" si="2355">IFERROR($C154*V152,"")</f>
        <v/>
      </c>
      <c r="W154" s="60"/>
      <c r="X154" s="60"/>
      <c r="Y154" s="60"/>
      <c r="Z154" s="60" t="str">
        <f t="shared" ref="Z154" ca="1" si="2356">IFERROR($C154*Z152,"")</f>
        <v/>
      </c>
      <c r="AA154" s="60"/>
      <c r="AB154" s="60"/>
      <c r="AC154" s="61"/>
      <c r="AD154" s="58" t="str">
        <f t="shared" ref="AD154" ca="1" si="2357">IFERROR($C154*AD152,"")</f>
        <v/>
      </c>
      <c r="AE154" s="58"/>
      <c r="AF154" s="58"/>
      <c r="AG154" s="59"/>
      <c r="AH154" s="60" t="str">
        <f t="shared" ref="AH154" ca="1" si="2358">IFERROR($C154*AH152,"")</f>
        <v/>
      </c>
      <c r="AI154" s="60"/>
      <c r="AJ154" s="60"/>
      <c r="AK154" s="60"/>
      <c r="AL154" s="60" t="str">
        <f t="shared" ref="AL154" ca="1" si="2359">IFERROR($C154*AL152,"")</f>
        <v/>
      </c>
      <c r="AM154" s="60"/>
      <c r="AN154" s="60"/>
      <c r="AO154" s="61"/>
      <c r="AP154" s="58" t="str">
        <f t="shared" ref="AP154" ca="1" si="2360">IFERROR($C154*AP152,"")</f>
        <v/>
      </c>
      <c r="AQ154" s="58"/>
      <c r="AR154" s="58"/>
      <c r="AS154" s="59"/>
      <c r="AT154" s="60" t="str">
        <f t="shared" ref="AT154" ca="1" si="2361">IFERROR($C154*AT152,"")</f>
        <v/>
      </c>
      <c r="AU154" s="60"/>
      <c r="AV154" s="60"/>
      <c r="AW154" s="60"/>
      <c r="AX154" s="60" t="str">
        <f t="shared" ref="AX154" ca="1" si="2362">IFERROR($C154*AX152,"")</f>
        <v/>
      </c>
      <c r="AY154" s="60"/>
      <c r="AZ154" s="60"/>
      <c r="BA154" s="61"/>
      <c r="BB154" s="58" t="str">
        <f t="shared" ref="BB154" ca="1" si="2363">IFERROR($C154*BB152,"")</f>
        <v/>
      </c>
      <c r="BC154" s="58"/>
      <c r="BD154" s="58"/>
      <c r="BE154" s="59"/>
      <c r="BF154" s="60" t="str">
        <f t="shared" ref="BF154" ca="1" si="2364">IFERROR($C154*BF152,"")</f>
        <v/>
      </c>
      <c r="BG154" s="60"/>
      <c r="BH154" s="60"/>
      <c r="BI154" s="60"/>
      <c r="BJ154" s="60" t="str">
        <f t="shared" ref="BJ154" ca="1" si="2365">IFERROR($C154*BJ152,"")</f>
        <v/>
      </c>
      <c r="BK154" s="60"/>
      <c r="BL154" s="60"/>
      <c r="BM154" s="61"/>
      <c r="BN154" s="58" t="str">
        <f t="shared" ref="BN154" ca="1" si="2366">IFERROR($C154*BN152,"")</f>
        <v/>
      </c>
      <c r="BO154" s="58"/>
      <c r="BP154" s="58"/>
      <c r="BQ154" s="59"/>
      <c r="BR154" s="60" t="str">
        <f t="shared" ref="BR154" ca="1" si="2367">IFERROR($C154*BR152,"")</f>
        <v/>
      </c>
      <c r="BS154" s="60"/>
      <c r="BT154" s="60"/>
      <c r="BU154" s="60"/>
      <c r="BV154" s="60" t="str">
        <f t="shared" ref="BV154" ca="1" si="2368">IFERROR($C154*BV152,"")</f>
        <v/>
      </c>
      <c r="BW154" s="60"/>
      <c r="BX154" s="60"/>
      <c r="BY154" s="61"/>
      <c r="BZ154" s="58" t="str">
        <f t="shared" ref="BZ154" ca="1" si="2369">IFERROR($C154*BZ152,"")</f>
        <v/>
      </c>
      <c r="CA154" s="58"/>
      <c r="CB154" s="58"/>
      <c r="CC154" s="59"/>
      <c r="CD154" s="60" t="str">
        <f t="shared" ref="CD154" ca="1" si="2370">IFERROR($C154*CD152,"")</f>
        <v/>
      </c>
      <c r="CE154" s="60"/>
      <c r="CF154" s="60"/>
      <c r="CG154" s="60"/>
      <c r="CH154" s="60" t="str">
        <f t="shared" ref="CH154" ca="1" si="2371">IFERROR($C154*CH152,"")</f>
        <v/>
      </c>
      <c r="CI154" s="60"/>
      <c r="CJ154" s="60"/>
      <c r="CK154" s="61"/>
      <c r="CL154" s="58" t="str">
        <f t="shared" ref="CL154" ca="1" si="2372">IFERROR($C154*CL152,"")</f>
        <v/>
      </c>
      <c r="CM154" s="58"/>
      <c r="CN154" s="58"/>
      <c r="CO154" s="59"/>
      <c r="CP154" s="60" t="str">
        <f t="shared" ref="CP154" ca="1" si="2373">IFERROR($C154*CP152,"")</f>
        <v/>
      </c>
      <c r="CQ154" s="60"/>
      <c r="CR154" s="60"/>
      <c r="CS154" s="60"/>
      <c r="CT154" s="60" t="str">
        <f t="shared" ref="CT154" ca="1" si="2374">IFERROR($C154*CT152,"")</f>
        <v/>
      </c>
      <c r="CU154" s="60"/>
      <c r="CV154" s="60"/>
      <c r="CW154" s="61"/>
      <c r="CX154" s="58" t="str">
        <f t="shared" ref="CX154" ca="1" si="2375">IFERROR($C154*CX152,"")</f>
        <v/>
      </c>
      <c r="CY154" s="58"/>
      <c r="CZ154" s="58"/>
      <c r="DA154" s="59"/>
      <c r="DB154" s="60" t="str">
        <f t="shared" ref="DB154" ca="1" si="2376">IFERROR($C154*DB152,"")</f>
        <v/>
      </c>
      <c r="DC154" s="60"/>
      <c r="DD154" s="60"/>
      <c r="DE154" s="60"/>
      <c r="DF154" s="60" t="str">
        <f t="shared" ref="DF154" ca="1" si="2377">IFERROR($C154*DF152,"")</f>
        <v/>
      </c>
      <c r="DG154" s="60"/>
      <c r="DH154" s="60"/>
      <c r="DI154" s="61"/>
      <c r="DJ154" s="58" t="str">
        <f t="shared" ref="DJ154" ca="1" si="2378">IFERROR($C154*DJ152,"")</f>
        <v/>
      </c>
      <c r="DK154" s="58"/>
      <c r="DL154" s="58"/>
      <c r="DM154" s="59"/>
      <c r="DN154" s="60" t="str">
        <f t="shared" ref="DN154" ca="1" si="2379">IFERROR($C154*DN152,"")</f>
        <v/>
      </c>
      <c r="DO154" s="60"/>
      <c r="DP154" s="60"/>
      <c r="DQ154" s="60"/>
      <c r="DR154" s="60" t="str">
        <f t="shared" ref="DR154" ca="1" si="2380">IFERROR($C154*DR152,"")</f>
        <v/>
      </c>
      <c r="DS154" s="60"/>
      <c r="DT154" s="60"/>
      <c r="DU154" s="61"/>
      <c r="DV154" s="58" t="str">
        <f t="shared" ref="DV154" ca="1" si="2381">IFERROR($C154*DV152,"")</f>
        <v/>
      </c>
      <c r="DW154" s="58"/>
      <c r="DX154" s="58"/>
      <c r="DY154" s="59"/>
      <c r="DZ154" s="60" t="str">
        <f t="shared" ref="DZ154" ca="1" si="2382">IFERROR($C154*DZ152,"")</f>
        <v/>
      </c>
      <c r="EA154" s="60"/>
      <c r="EB154" s="60"/>
      <c r="EC154" s="60"/>
      <c r="ED154" s="60" t="str">
        <f t="shared" ref="ED154" ca="1" si="2383">IFERROR($C154*ED152,"")</f>
        <v/>
      </c>
      <c r="EE154" s="60"/>
      <c r="EF154" s="60"/>
      <c r="EG154" s="61"/>
      <c r="EH154" s="58" t="str">
        <f t="shared" ref="EH154" ca="1" si="2384">IFERROR($C154*EH152,"")</f>
        <v/>
      </c>
      <c r="EI154" s="58"/>
      <c r="EJ154" s="58"/>
      <c r="EK154" s="59"/>
      <c r="EL154" s="60" t="str">
        <f t="shared" ref="EL154" ca="1" si="2385">IFERROR($C154*EL152,"")</f>
        <v/>
      </c>
      <c r="EM154" s="60"/>
      <c r="EN154" s="60"/>
      <c r="EO154" s="60"/>
      <c r="EP154" s="60" t="str">
        <f t="shared" ref="EP154" ca="1" si="2386">IFERROR($C154*EP152,"")</f>
        <v/>
      </c>
      <c r="EQ154" s="60"/>
      <c r="ER154" s="60"/>
      <c r="ES154" s="61"/>
    </row>
    <row r="155" spans="1:149" customFormat="1" outlineLevel="1" x14ac:dyDescent="0.45">
      <c r="A155" s="2"/>
      <c r="B155" s="51" t="s">
        <v>27</v>
      </c>
      <c r="C155" s="52"/>
      <c r="D155" s="52"/>
      <c r="E155" s="28">
        <f t="shared" ca="1" si="2246"/>
        <v>196.75</v>
      </c>
      <c r="F155" s="57">
        <f ca="1">SUMIF($D65:$D154,"工数",F65:I154)</f>
        <v>1</v>
      </c>
      <c r="G155" s="46"/>
      <c r="H155" s="46"/>
      <c r="I155" s="46"/>
      <c r="J155" s="46">
        <f ca="1">SUMIF($D65:$D154,"工数",J65:M154)</f>
        <v>1</v>
      </c>
      <c r="K155" s="46"/>
      <c r="L155" s="46"/>
      <c r="M155" s="46"/>
      <c r="N155" s="47">
        <f ca="1">SUMIF($D65:$D154,"工数",N65:Q154)</f>
        <v>3</v>
      </c>
      <c r="O155" s="49"/>
      <c r="P155" s="49"/>
      <c r="Q155" s="49"/>
      <c r="R155" s="49">
        <f ca="1">SUMIF($D65:$D154,"工数",R65:U154)</f>
        <v>3</v>
      </c>
      <c r="S155" s="49"/>
      <c r="T155" s="49"/>
      <c r="U155" s="50"/>
      <c r="V155" s="46">
        <f ca="1">SUMIF($D65:$D154,"工数",V65:Y154)</f>
        <v>3</v>
      </c>
      <c r="W155" s="46"/>
      <c r="X155" s="46"/>
      <c r="Y155" s="46"/>
      <c r="Z155" s="46">
        <f ca="1">SUMIF($D65:$D154,"工数",Z65:AC154)</f>
        <v>12</v>
      </c>
      <c r="AA155" s="46"/>
      <c r="AB155" s="46"/>
      <c r="AC155" s="47"/>
      <c r="AD155" s="49">
        <f ca="1">SUMIF($D65:$D154,"工数",AD65:AG154)</f>
        <v>16.75</v>
      </c>
      <c r="AE155" s="49"/>
      <c r="AF155" s="49"/>
      <c r="AG155" s="50"/>
      <c r="AH155" s="46">
        <f ca="1">SUMIF($D65:$D154,"工数",AH65:AK154)</f>
        <v>17</v>
      </c>
      <c r="AI155" s="46"/>
      <c r="AJ155" s="46"/>
      <c r="AK155" s="46"/>
      <c r="AL155" s="46">
        <f ca="1">SUMIF($D65:$D154,"工数",AL65:AO154)</f>
        <v>17</v>
      </c>
      <c r="AM155" s="46"/>
      <c r="AN155" s="46"/>
      <c r="AO155" s="47"/>
      <c r="AP155" s="49">
        <f ca="1">SUMIF($D65:$D154,"工数",AP65:AS154)</f>
        <v>17</v>
      </c>
      <c r="AQ155" s="49"/>
      <c r="AR155" s="49"/>
      <c r="AS155" s="50"/>
      <c r="AT155" s="46">
        <f ca="1">SUMIF($D65:$D154,"工数",AT65:AW154)</f>
        <v>17</v>
      </c>
      <c r="AU155" s="46"/>
      <c r="AV155" s="46"/>
      <c r="AW155" s="46"/>
      <c r="AX155" s="46">
        <f ca="1">SUMIF($D65:$D154,"工数",AX65:BA154)</f>
        <v>17</v>
      </c>
      <c r="AY155" s="46"/>
      <c r="AZ155" s="46"/>
      <c r="BA155" s="47"/>
      <c r="BB155" s="49">
        <f ca="1">SUMIF($D65:$D154,"工数",BB65:BE154)</f>
        <v>17</v>
      </c>
      <c r="BC155" s="49"/>
      <c r="BD155" s="49"/>
      <c r="BE155" s="50"/>
      <c r="BF155" s="46">
        <f ca="1">SUMIF($D65:$D154,"工数",BF65:BI154)</f>
        <v>17</v>
      </c>
      <c r="BG155" s="46"/>
      <c r="BH155" s="46"/>
      <c r="BI155" s="46"/>
      <c r="BJ155" s="46">
        <f ca="1">SUMIF($D65:$D154,"工数",BJ65:BM154)</f>
        <v>12</v>
      </c>
      <c r="BK155" s="46"/>
      <c r="BL155" s="46"/>
      <c r="BM155" s="47"/>
      <c r="BN155" s="49">
        <f ca="1">SUMIF($D65:$D154,"工数",BN65:BQ154)</f>
        <v>12</v>
      </c>
      <c r="BO155" s="49"/>
      <c r="BP155" s="49"/>
      <c r="BQ155" s="50"/>
      <c r="BR155" s="46">
        <f ca="1">SUMIF($D65:$D154,"工数",BR65:BU154)</f>
        <v>3</v>
      </c>
      <c r="BS155" s="46"/>
      <c r="BT155" s="46"/>
      <c r="BU155" s="46"/>
      <c r="BV155" s="46">
        <f ca="1">SUMIF($D65:$D154,"工数",BV65:BY154)</f>
        <v>3</v>
      </c>
      <c r="BW155" s="46"/>
      <c r="BX155" s="46"/>
      <c r="BY155" s="47"/>
      <c r="BZ155" s="49">
        <f ca="1">SUMIF($D65:$D154,"工数",BZ65:CC154)</f>
        <v>3</v>
      </c>
      <c r="CA155" s="49"/>
      <c r="CB155" s="49"/>
      <c r="CC155" s="50"/>
      <c r="CD155" s="46">
        <f ca="1">SUMIF($D65:$D154,"工数",CD65:CG154)</f>
        <v>3</v>
      </c>
      <c r="CE155" s="46"/>
      <c r="CF155" s="46"/>
      <c r="CG155" s="46"/>
      <c r="CH155" s="46">
        <f ca="1">SUMIF($D65:$D154,"工数",CH65:CK154)</f>
        <v>2</v>
      </c>
      <c r="CI155" s="46"/>
      <c r="CJ155" s="46"/>
      <c r="CK155" s="47"/>
      <c r="CL155" s="49">
        <f ca="1">SUMIF($D65:$D154,"工数",CL65:CO154)</f>
        <v>0</v>
      </c>
      <c r="CM155" s="49"/>
      <c r="CN155" s="49"/>
      <c r="CO155" s="50"/>
      <c r="CP155" s="46">
        <f ca="1">SUMIF($D65:$D154,"工数",CP65:CS154)</f>
        <v>0</v>
      </c>
      <c r="CQ155" s="46"/>
      <c r="CR155" s="46"/>
      <c r="CS155" s="46"/>
      <c r="CT155" s="46">
        <f ca="1">SUMIF($D65:$D154,"工数",CT65:CW154)</f>
        <v>0</v>
      </c>
      <c r="CU155" s="46"/>
      <c r="CV155" s="46"/>
      <c r="CW155" s="47"/>
      <c r="CX155" s="49">
        <f ca="1">SUMIF($D65:$D154,"工数",CX65:DA154)</f>
        <v>0</v>
      </c>
      <c r="CY155" s="49"/>
      <c r="CZ155" s="49"/>
      <c r="DA155" s="50"/>
      <c r="DB155" s="46">
        <f ca="1">SUMIF($D65:$D154,"工数",DB65:DE154)</f>
        <v>0</v>
      </c>
      <c r="DC155" s="46"/>
      <c r="DD155" s="46"/>
      <c r="DE155" s="46"/>
      <c r="DF155" s="46">
        <f ca="1">SUMIF($D65:$D154,"工数",DF65:DI154)</f>
        <v>0</v>
      </c>
      <c r="DG155" s="46"/>
      <c r="DH155" s="46"/>
      <c r="DI155" s="47"/>
      <c r="DJ155" s="49">
        <f ca="1">SUMIF($D65:$D154,"工数",DJ65:DM154)</f>
        <v>0</v>
      </c>
      <c r="DK155" s="49"/>
      <c r="DL155" s="49"/>
      <c r="DM155" s="50"/>
      <c r="DN155" s="46">
        <f ca="1">SUMIF($D65:$D154,"工数",DN65:DQ154)</f>
        <v>0</v>
      </c>
      <c r="DO155" s="46"/>
      <c r="DP155" s="46"/>
      <c r="DQ155" s="46"/>
      <c r="DR155" s="46">
        <f ca="1">SUMIF($D65:$D154,"工数",DR65:DU154)</f>
        <v>0</v>
      </c>
      <c r="DS155" s="46"/>
      <c r="DT155" s="46"/>
      <c r="DU155" s="47"/>
      <c r="DV155" s="49">
        <f ca="1">SUMIF($D65:$D154,"工数",DV65:DY154)</f>
        <v>0</v>
      </c>
      <c r="DW155" s="49"/>
      <c r="DX155" s="49"/>
      <c r="DY155" s="50"/>
      <c r="DZ155" s="46">
        <f ca="1">SUMIF($D65:$D154,"工数",DZ65:EC154)</f>
        <v>0</v>
      </c>
      <c r="EA155" s="46"/>
      <c r="EB155" s="46"/>
      <c r="EC155" s="46"/>
      <c r="ED155" s="46">
        <f ca="1">SUMIF($D65:$D154,"工数",ED65:EG154)</f>
        <v>0</v>
      </c>
      <c r="EE155" s="46"/>
      <c r="EF155" s="46"/>
      <c r="EG155" s="47"/>
      <c r="EH155" s="49">
        <f ca="1">SUMIF($D65:$D154,"工数",EH65:EK154)</f>
        <v>0</v>
      </c>
      <c r="EI155" s="49"/>
      <c r="EJ155" s="49"/>
      <c r="EK155" s="50"/>
      <c r="EL155" s="46">
        <f ca="1">SUMIF($D65:$D154,"工数",EL65:EO154)</f>
        <v>0</v>
      </c>
      <c r="EM155" s="46"/>
      <c r="EN155" s="46"/>
      <c r="EO155" s="46"/>
      <c r="EP155" s="46">
        <f ca="1">SUMIF($D65:$D154,"工数",EP65:ES154)</f>
        <v>0</v>
      </c>
      <c r="EQ155" s="46"/>
      <c r="ER155" s="46"/>
      <c r="ES155" s="47"/>
    </row>
    <row r="156" spans="1:149" customFormat="1" outlineLevel="1" x14ac:dyDescent="0.45">
      <c r="A156" s="2"/>
      <c r="B156" s="53"/>
      <c r="C156" s="54"/>
      <c r="D156" s="54"/>
      <c r="E156" s="29">
        <f t="shared" ca="1" si="2246"/>
        <v>206587500</v>
      </c>
      <c r="F156" s="48">
        <f ca="1">SUMIF($D65:$D154,"売上金額",F65:I154)</f>
        <v>1050000</v>
      </c>
      <c r="G156" s="43"/>
      <c r="H156" s="43"/>
      <c r="I156" s="43"/>
      <c r="J156" s="43">
        <f ca="1">SUMIF($D65:$D154,"売上金額",J65:M154)</f>
        <v>1050000</v>
      </c>
      <c r="K156" s="43"/>
      <c r="L156" s="43"/>
      <c r="M156" s="43"/>
      <c r="N156" s="44">
        <f ca="1">SUMIF($D65:$D154,"売上金額",N65:Q154)</f>
        <v>3150000</v>
      </c>
      <c r="O156" s="41"/>
      <c r="P156" s="41"/>
      <c r="Q156" s="41"/>
      <c r="R156" s="41">
        <f ca="1">SUMIF($D65:$D154,"売上金額",R65:U154)</f>
        <v>3150000</v>
      </c>
      <c r="S156" s="41"/>
      <c r="T156" s="41"/>
      <c r="U156" s="42"/>
      <c r="V156" s="43">
        <f ca="1">SUMIF($D65:$D154,"売上金額",V65:Y154)</f>
        <v>3150000</v>
      </c>
      <c r="W156" s="43"/>
      <c r="X156" s="43"/>
      <c r="Y156" s="43"/>
      <c r="Z156" s="43">
        <f ca="1">SUMIF($D65:$D154,"売上金額",Z65:AC154)</f>
        <v>12600000</v>
      </c>
      <c r="AA156" s="43"/>
      <c r="AB156" s="43"/>
      <c r="AC156" s="44"/>
      <c r="AD156" s="41">
        <f ca="1">SUMIF($D65:$D154,"売上金額",AD65:AG154)</f>
        <v>17587500</v>
      </c>
      <c r="AE156" s="41"/>
      <c r="AF156" s="41"/>
      <c r="AG156" s="42"/>
      <c r="AH156" s="43">
        <f ca="1">SUMIF($D65:$D154,"売上金額",AH65:AK154)</f>
        <v>17850000</v>
      </c>
      <c r="AI156" s="43"/>
      <c r="AJ156" s="43"/>
      <c r="AK156" s="43"/>
      <c r="AL156" s="43">
        <f ca="1">SUMIF($D65:$D154,"売上金額",AL65:AO154)</f>
        <v>17850000</v>
      </c>
      <c r="AM156" s="43"/>
      <c r="AN156" s="43"/>
      <c r="AO156" s="44"/>
      <c r="AP156" s="41">
        <f ca="1">SUMIF($D65:$D154,"売上金額",AP65:AS154)</f>
        <v>17850000</v>
      </c>
      <c r="AQ156" s="41"/>
      <c r="AR156" s="41"/>
      <c r="AS156" s="42"/>
      <c r="AT156" s="43">
        <f ca="1">SUMIF($D65:$D154,"売上金額",AT65:AW154)</f>
        <v>17850000</v>
      </c>
      <c r="AU156" s="43"/>
      <c r="AV156" s="43"/>
      <c r="AW156" s="43"/>
      <c r="AX156" s="43">
        <f ca="1">SUMIF($D65:$D154,"売上金額",AX65:BA154)</f>
        <v>17850000</v>
      </c>
      <c r="AY156" s="43"/>
      <c r="AZ156" s="43"/>
      <c r="BA156" s="44"/>
      <c r="BB156" s="41">
        <f ca="1">SUMIF($D65:$D154,"売上金額",BB65:BE154)</f>
        <v>17850000</v>
      </c>
      <c r="BC156" s="41"/>
      <c r="BD156" s="41"/>
      <c r="BE156" s="42"/>
      <c r="BF156" s="43">
        <f ca="1">SUMIF($D65:$D154,"売上金額",BF65:BI154)</f>
        <v>17850000</v>
      </c>
      <c r="BG156" s="43"/>
      <c r="BH156" s="43"/>
      <c r="BI156" s="43"/>
      <c r="BJ156" s="43">
        <f ca="1">SUMIF($D65:$D154,"売上金額",BJ65:BM154)</f>
        <v>12600000</v>
      </c>
      <c r="BK156" s="43"/>
      <c r="BL156" s="43"/>
      <c r="BM156" s="44"/>
      <c r="BN156" s="41">
        <f ca="1">SUMIF($D65:$D154,"売上金額",BN65:BQ154)</f>
        <v>12600000</v>
      </c>
      <c r="BO156" s="41"/>
      <c r="BP156" s="41"/>
      <c r="BQ156" s="42"/>
      <c r="BR156" s="43">
        <f ca="1">SUMIF($D65:$D154,"売上金額",BR65:BU154)</f>
        <v>3150000</v>
      </c>
      <c r="BS156" s="43"/>
      <c r="BT156" s="43"/>
      <c r="BU156" s="43"/>
      <c r="BV156" s="43">
        <f ca="1">SUMIF($D65:$D154,"売上金額",BV65:BY154)</f>
        <v>3150000</v>
      </c>
      <c r="BW156" s="43"/>
      <c r="BX156" s="43"/>
      <c r="BY156" s="44"/>
      <c r="BZ156" s="41">
        <f ca="1">SUMIF($D65:$D154,"売上金額",BZ65:CC154)</f>
        <v>3150000</v>
      </c>
      <c r="CA156" s="41"/>
      <c r="CB156" s="41"/>
      <c r="CC156" s="42"/>
      <c r="CD156" s="43">
        <f ca="1">SUMIF($D65:$D154,"売上金額",CD65:CG154)</f>
        <v>3150000</v>
      </c>
      <c r="CE156" s="43"/>
      <c r="CF156" s="43"/>
      <c r="CG156" s="43"/>
      <c r="CH156" s="43">
        <f ca="1">SUMIF($D65:$D154,"売上金額",CH65:CK154)</f>
        <v>2100000</v>
      </c>
      <c r="CI156" s="43"/>
      <c r="CJ156" s="43"/>
      <c r="CK156" s="44"/>
      <c r="CL156" s="41">
        <f ca="1">SUMIF($D65:$D154,"売上金額",CL65:CO154)</f>
        <v>0</v>
      </c>
      <c r="CM156" s="41"/>
      <c r="CN156" s="41"/>
      <c r="CO156" s="42"/>
      <c r="CP156" s="43">
        <f ca="1">SUMIF($D65:$D154,"売上金額",CP65:CS154)</f>
        <v>0</v>
      </c>
      <c r="CQ156" s="43"/>
      <c r="CR156" s="43"/>
      <c r="CS156" s="43"/>
      <c r="CT156" s="43">
        <f ca="1">SUMIF($D65:$D154,"売上金額",CT65:CW154)</f>
        <v>0</v>
      </c>
      <c r="CU156" s="43"/>
      <c r="CV156" s="43"/>
      <c r="CW156" s="44"/>
      <c r="CX156" s="41">
        <f ca="1">SUMIF($D65:$D154,"売上金額",CX65:DA154)</f>
        <v>0</v>
      </c>
      <c r="CY156" s="41"/>
      <c r="CZ156" s="41"/>
      <c r="DA156" s="42"/>
      <c r="DB156" s="43">
        <f ca="1">SUMIF($D65:$D154,"売上金額",DB65:DE154)</f>
        <v>0</v>
      </c>
      <c r="DC156" s="43"/>
      <c r="DD156" s="43"/>
      <c r="DE156" s="43"/>
      <c r="DF156" s="43">
        <f ca="1">SUMIF($D65:$D154,"売上金額",DF65:DI154)</f>
        <v>0</v>
      </c>
      <c r="DG156" s="43"/>
      <c r="DH156" s="43"/>
      <c r="DI156" s="44"/>
      <c r="DJ156" s="41">
        <f ca="1">SUMIF($D65:$D154,"売上金額",DJ65:DM154)</f>
        <v>0</v>
      </c>
      <c r="DK156" s="41"/>
      <c r="DL156" s="41"/>
      <c r="DM156" s="42"/>
      <c r="DN156" s="43">
        <f ca="1">SUMIF($D65:$D154,"売上金額",DN65:DQ154)</f>
        <v>0</v>
      </c>
      <c r="DO156" s="43"/>
      <c r="DP156" s="43"/>
      <c r="DQ156" s="43"/>
      <c r="DR156" s="43">
        <f ca="1">SUMIF($D65:$D154,"売上金額",DR65:DU154)</f>
        <v>0</v>
      </c>
      <c r="DS156" s="43"/>
      <c r="DT156" s="43"/>
      <c r="DU156" s="44"/>
      <c r="DV156" s="41">
        <f ca="1">SUMIF($D65:$D154,"売上金額",DV65:DY154)</f>
        <v>0</v>
      </c>
      <c r="DW156" s="41"/>
      <c r="DX156" s="41"/>
      <c r="DY156" s="42"/>
      <c r="DZ156" s="43">
        <f ca="1">SUMIF($D65:$D154,"売上金額",DZ65:EC154)</f>
        <v>0</v>
      </c>
      <c r="EA156" s="43"/>
      <c r="EB156" s="43"/>
      <c r="EC156" s="43"/>
      <c r="ED156" s="43">
        <f ca="1">SUMIF($D65:$D154,"売上金額",ED65:EG154)</f>
        <v>0</v>
      </c>
      <c r="EE156" s="43"/>
      <c r="EF156" s="43"/>
      <c r="EG156" s="44"/>
      <c r="EH156" s="41">
        <f ca="1">SUMIF($D65:$D154,"売上金額",EH65:EK154)</f>
        <v>0</v>
      </c>
      <c r="EI156" s="41"/>
      <c r="EJ156" s="41"/>
      <c r="EK156" s="42"/>
      <c r="EL156" s="43">
        <f ca="1">SUMIF($D65:$D154,"売上金額",EL65:EO154)</f>
        <v>0</v>
      </c>
      <c r="EM156" s="43"/>
      <c r="EN156" s="43"/>
      <c r="EO156" s="43"/>
      <c r="EP156" s="43">
        <f ca="1">SUMIF($D65:$D154,"売上金額",EP65:ES154)</f>
        <v>0</v>
      </c>
      <c r="EQ156" s="43"/>
      <c r="ER156" s="43"/>
      <c r="ES156" s="44"/>
    </row>
    <row r="157" spans="1:149" customFormat="1" ht="18.600000000000001" outlineLevel="1" thickBot="1" x14ac:dyDescent="0.5">
      <c r="A157" s="2"/>
      <c r="B157" s="55"/>
      <c r="C157" s="56"/>
      <c r="D157" s="56"/>
      <c r="E157" s="30">
        <f t="shared" ca="1" si="2246"/>
        <v>93555000</v>
      </c>
      <c r="F157" s="45">
        <f ca="1">SUMIF($D65:$D154,"原価金額",F65:I154)</f>
        <v>630000</v>
      </c>
      <c r="G157" s="37"/>
      <c r="H157" s="37"/>
      <c r="I157" s="37"/>
      <c r="J157" s="37">
        <f ca="1">SUMIF($D65:$D154,"原価金額",J65:M154)</f>
        <v>630000</v>
      </c>
      <c r="K157" s="37"/>
      <c r="L157" s="37"/>
      <c r="M157" s="37"/>
      <c r="N157" s="38">
        <f ca="1">SUMIF($D65:$D154,"原価金額",N65:Q154)</f>
        <v>2230000</v>
      </c>
      <c r="O157" s="39"/>
      <c r="P157" s="39"/>
      <c r="Q157" s="39"/>
      <c r="R157" s="39">
        <f ca="1">SUMIF($D65:$D154,"原価金額",R65:U154)</f>
        <v>2230000</v>
      </c>
      <c r="S157" s="39"/>
      <c r="T157" s="39"/>
      <c r="U157" s="40"/>
      <c r="V157" s="37">
        <f ca="1">SUMIF($D65:$D154,"原価金額",V65:Y154)</f>
        <v>2230000</v>
      </c>
      <c r="W157" s="37"/>
      <c r="X157" s="37"/>
      <c r="Y157" s="37"/>
      <c r="Z157" s="37">
        <f ca="1">SUMIF($D65:$D154,"原価金額",Z65:AC154)</f>
        <v>5580000</v>
      </c>
      <c r="AA157" s="37"/>
      <c r="AB157" s="37"/>
      <c r="AC157" s="38"/>
      <c r="AD157" s="39">
        <f ca="1">SUMIF($D65:$D154,"原価金額",AD65:AG154)</f>
        <v>7205000</v>
      </c>
      <c r="AE157" s="39"/>
      <c r="AF157" s="39"/>
      <c r="AG157" s="40"/>
      <c r="AH157" s="37">
        <f ca="1">SUMIF($D65:$D154,"原価金額",AH65:AK154)</f>
        <v>7330000</v>
      </c>
      <c r="AI157" s="37"/>
      <c r="AJ157" s="37"/>
      <c r="AK157" s="37"/>
      <c r="AL157" s="37">
        <f ca="1">SUMIF($D65:$D154,"原価金額",AL65:AO154)</f>
        <v>7330000</v>
      </c>
      <c r="AM157" s="37"/>
      <c r="AN157" s="37"/>
      <c r="AO157" s="38"/>
      <c r="AP157" s="39">
        <f ca="1">SUMIF($D65:$D154,"原価金額",AP65:AS154)</f>
        <v>7330000</v>
      </c>
      <c r="AQ157" s="39"/>
      <c r="AR157" s="39"/>
      <c r="AS157" s="40"/>
      <c r="AT157" s="37">
        <f ca="1">SUMIF($D65:$D154,"原価金額",AT65:AW154)</f>
        <v>7330000</v>
      </c>
      <c r="AU157" s="37"/>
      <c r="AV157" s="37"/>
      <c r="AW157" s="37"/>
      <c r="AX157" s="37">
        <f ca="1">SUMIF($D65:$D154,"原価金額",AX65:BA154)</f>
        <v>7330000</v>
      </c>
      <c r="AY157" s="37"/>
      <c r="AZ157" s="37"/>
      <c r="BA157" s="38"/>
      <c r="BB157" s="39">
        <f ca="1">SUMIF($D65:$D154,"原価金額",BB65:BE154)</f>
        <v>7330000</v>
      </c>
      <c r="BC157" s="39"/>
      <c r="BD157" s="39"/>
      <c r="BE157" s="40"/>
      <c r="BF157" s="37">
        <f ca="1">SUMIF($D65:$D154,"原価金額",BF65:BI154)</f>
        <v>7330000</v>
      </c>
      <c r="BG157" s="37"/>
      <c r="BH157" s="37"/>
      <c r="BI157" s="37"/>
      <c r="BJ157" s="37">
        <f ca="1">SUMIF($D65:$D154,"原価金額",BJ65:BM154)</f>
        <v>5580000</v>
      </c>
      <c r="BK157" s="37"/>
      <c r="BL157" s="37"/>
      <c r="BM157" s="38"/>
      <c r="BN157" s="39">
        <f ca="1">SUMIF($D65:$D154,"原価金額",BN65:BQ154)</f>
        <v>5580000</v>
      </c>
      <c r="BO157" s="39"/>
      <c r="BP157" s="39"/>
      <c r="BQ157" s="40"/>
      <c r="BR157" s="37">
        <f ca="1">SUMIF($D65:$D154,"原価金額",BR65:BU154)</f>
        <v>2230000</v>
      </c>
      <c r="BS157" s="37"/>
      <c r="BT157" s="37"/>
      <c r="BU157" s="37"/>
      <c r="BV157" s="37">
        <f ca="1">SUMIF($D65:$D154,"原価金額",BV65:BY154)</f>
        <v>2230000</v>
      </c>
      <c r="BW157" s="37"/>
      <c r="BX157" s="37"/>
      <c r="BY157" s="38"/>
      <c r="BZ157" s="39">
        <f ca="1">SUMIF($D65:$D154,"原価金額",BZ65:CC154)</f>
        <v>2230000</v>
      </c>
      <c r="CA157" s="39"/>
      <c r="CB157" s="39"/>
      <c r="CC157" s="40"/>
      <c r="CD157" s="37">
        <f ca="1">SUMIF($D65:$D154,"原価金額",CD65:CG154)</f>
        <v>2230000</v>
      </c>
      <c r="CE157" s="37"/>
      <c r="CF157" s="37"/>
      <c r="CG157" s="37"/>
      <c r="CH157" s="37">
        <f ca="1">SUMIF($D65:$D154,"原価金額",CH65:CK154)</f>
        <v>1430000</v>
      </c>
      <c r="CI157" s="37"/>
      <c r="CJ157" s="37"/>
      <c r="CK157" s="38"/>
      <c r="CL157" s="39">
        <f ca="1">SUMIF($D65:$D154,"原価金額",CL65:CO154)</f>
        <v>0</v>
      </c>
      <c r="CM157" s="39"/>
      <c r="CN157" s="39"/>
      <c r="CO157" s="40"/>
      <c r="CP157" s="37">
        <f ca="1">SUMIF($D65:$D154,"原価金額",CP65:CS154)</f>
        <v>0</v>
      </c>
      <c r="CQ157" s="37"/>
      <c r="CR157" s="37"/>
      <c r="CS157" s="37"/>
      <c r="CT157" s="37">
        <f ca="1">SUMIF($D65:$D154,"原価金額",CT65:CW154)</f>
        <v>0</v>
      </c>
      <c r="CU157" s="37"/>
      <c r="CV157" s="37"/>
      <c r="CW157" s="38"/>
      <c r="CX157" s="39">
        <f ca="1">SUMIF($D65:$D154,"原価金額",CX65:DA154)</f>
        <v>0</v>
      </c>
      <c r="CY157" s="39"/>
      <c r="CZ157" s="39"/>
      <c r="DA157" s="40"/>
      <c r="DB157" s="37">
        <f ca="1">SUMIF($D65:$D154,"原価金額",DB65:DE154)</f>
        <v>0</v>
      </c>
      <c r="DC157" s="37"/>
      <c r="DD157" s="37"/>
      <c r="DE157" s="37"/>
      <c r="DF157" s="37">
        <f ca="1">SUMIF($D65:$D154,"原価金額",DF65:DI154)</f>
        <v>0</v>
      </c>
      <c r="DG157" s="37"/>
      <c r="DH157" s="37"/>
      <c r="DI157" s="38"/>
      <c r="DJ157" s="39">
        <f ca="1">SUMIF($D65:$D154,"原価金額",DJ65:DM154)</f>
        <v>0</v>
      </c>
      <c r="DK157" s="39"/>
      <c r="DL157" s="39"/>
      <c r="DM157" s="40"/>
      <c r="DN157" s="37">
        <f ca="1">SUMIF($D65:$D154,"原価金額",DN65:DQ154)</f>
        <v>0</v>
      </c>
      <c r="DO157" s="37"/>
      <c r="DP157" s="37"/>
      <c r="DQ157" s="37"/>
      <c r="DR157" s="37">
        <f ca="1">SUMIF($D65:$D154,"原価金額",DR65:DU154)</f>
        <v>0</v>
      </c>
      <c r="DS157" s="37"/>
      <c r="DT157" s="37"/>
      <c r="DU157" s="38"/>
      <c r="DV157" s="39">
        <f ca="1">SUMIF($D65:$D154,"原価金額",DV65:DY154)</f>
        <v>0</v>
      </c>
      <c r="DW157" s="39"/>
      <c r="DX157" s="39"/>
      <c r="DY157" s="40"/>
      <c r="DZ157" s="37">
        <f ca="1">SUMIF($D65:$D154,"原価金額",DZ65:EC154)</f>
        <v>0</v>
      </c>
      <c r="EA157" s="37"/>
      <c r="EB157" s="37"/>
      <c r="EC157" s="37"/>
      <c r="ED157" s="37">
        <f ca="1">SUMIF($D65:$D154,"原価金額",ED65:EG154)</f>
        <v>0</v>
      </c>
      <c r="EE157" s="37"/>
      <c r="EF157" s="37"/>
      <c r="EG157" s="38"/>
      <c r="EH157" s="39">
        <f ca="1">SUMIF($D65:$D154,"原価金額",EH65:EK154)</f>
        <v>0</v>
      </c>
      <c r="EI157" s="39"/>
      <c r="EJ157" s="39"/>
      <c r="EK157" s="40"/>
      <c r="EL157" s="37">
        <f ca="1">SUMIF($D65:$D154,"原価金額",EL65:EO154)</f>
        <v>0</v>
      </c>
      <c r="EM157" s="37"/>
      <c r="EN157" s="37"/>
      <c r="EO157" s="37"/>
      <c r="EP157" s="37">
        <f ca="1">SUMIF($D65:$D154,"原価金額",EP65:ES154)</f>
        <v>0</v>
      </c>
      <c r="EQ157" s="37"/>
      <c r="ER157" s="37"/>
      <c r="ES157" s="38"/>
    </row>
  </sheetData>
  <sheetProtection formatColumns="0" formatRows="0"/>
  <protectedRanges>
    <protectedRange sqref="F9:CW9 E159:E162 A1:B1 A2:A7 F3:CW7 C1:CW2 D8:CW8 D9:D26 A146:D1048576 ET1:XFD8 CX1:ES9 A125:A130 A131:B145 B65:B67 B77:B79 C66 C69 F18:ES18 F62:ES62 A8:C26 C72 A65:A82 C75 A83:B124 D65:D145 A27:D64 C78 C81 C84 C87 C90 C93 C96 C99 C102 C105 C108 C111 C114 C117 C120" name="範囲1"/>
    <protectedRange sqref="B3 B4:C7" name="範囲1_1"/>
    <protectedRange sqref="F11:ES11 F20:ES20 F64:ES64" name="範囲1_3"/>
    <protectedRange sqref="B2" name="範囲1_14"/>
    <protectedRange sqref="C3" name="範囲1_1_1_1_1_1_1_1_1_1_1"/>
    <protectedRange sqref="B125:C127 C128:C145 C65 C67:C68 C70:C71 C73:C74 C76:C77 C79:C80 C82:C83 C91:C92 C94:C95 C85:C86 C88:C89 C97:C98 C100:C101 C103:C104 C106:C107 C109:C110 C112:C113 C115:C116 C118:C119 C121:C124" name="範囲1_2"/>
    <protectedRange sqref="B128:B130 B80:B82 B68:B76" name="範囲1_4"/>
  </protectedRanges>
  <mergeCells count="5090">
    <mergeCell ref="DR41:DU41"/>
    <mergeCell ref="DV41:DY41"/>
    <mergeCell ref="DZ41:EC41"/>
    <mergeCell ref="ED41:EG41"/>
    <mergeCell ref="EH41:EK41"/>
    <mergeCell ref="EL41:EO41"/>
    <mergeCell ref="EP41:ES41"/>
    <mergeCell ref="DR40:DU40"/>
    <mergeCell ref="DV40:DY40"/>
    <mergeCell ref="DZ40:EC40"/>
    <mergeCell ref="ED40:EG40"/>
    <mergeCell ref="EH40:EK40"/>
    <mergeCell ref="EL40:EO40"/>
    <mergeCell ref="EP40:ES40"/>
    <mergeCell ref="F41:I41"/>
    <mergeCell ref="J41:M41"/>
    <mergeCell ref="N41:Q41"/>
    <mergeCell ref="R41:U41"/>
    <mergeCell ref="V41:Y41"/>
    <mergeCell ref="Z41:AC41"/>
    <mergeCell ref="AD41:AG41"/>
    <mergeCell ref="AH41:AK41"/>
    <mergeCell ref="AL41:AO41"/>
    <mergeCell ref="AP41:AS41"/>
    <mergeCell ref="AT41:AW41"/>
    <mergeCell ref="AX41:BA41"/>
    <mergeCell ref="BB41:BE41"/>
    <mergeCell ref="BF41:BI41"/>
    <mergeCell ref="BJ41:BM41"/>
    <mergeCell ref="BN41:BQ41"/>
    <mergeCell ref="BR41:BU41"/>
    <mergeCell ref="EH39:EK39"/>
    <mergeCell ref="EL39:EO39"/>
    <mergeCell ref="EP39:ES39"/>
    <mergeCell ref="F40:I40"/>
    <mergeCell ref="J40:M40"/>
    <mergeCell ref="N40:Q40"/>
    <mergeCell ref="R40:U40"/>
    <mergeCell ref="V40:Y40"/>
    <mergeCell ref="Z40:AC40"/>
    <mergeCell ref="AD40:AG40"/>
    <mergeCell ref="AH40:AK40"/>
    <mergeCell ref="AL40:AO40"/>
    <mergeCell ref="AP40:AS40"/>
    <mergeCell ref="AT40:AW40"/>
    <mergeCell ref="AX40:BA40"/>
    <mergeCell ref="BB40:BE40"/>
    <mergeCell ref="BF40:BI40"/>
    <mergeCell ref="BJ40:BM40"/>
    <mergeCell ref="BN40:BQ40"/>
    <mergeCell ref="BR40:BU40"/>
    <mergeCell ref="BV40:BY40"/>
    <mergeCell ref="BZ40:CC40"/>
    <mergeCell ref="CD40:CG40"/>
    <mergeCell ref="CH40:CK40"/>
    <mergeCell ref="CD39:CG39"/>
    <mergeCell ref="CH39:CK39"/>
    <mergeCell ref="CL39:CO39"/>
    <mergeCell ref="CP39:CS39"/>
    <mergeCell ref="CT39:CW39"/>
    <mergeCell ref="CX39:DA39"/>
    <mergeCell ref="DB39:DE39"/>
    <mergeCell ref="DF39:DI39"/>
    <mergeCell ref="DJ39:DM39"/>
    <mergeCell ref="DN39:DQ39"/>
    <mergeCell ref="BV41:BY41"/>
    <mergeCell ref="BZ41:CC41"/>
    <mergeCell ref="CD41:CG41"/>
    <mergeCell ref="CH41:CK41"/>
    <mergeCell ref="CL41:CO41"/>
    <mergeCell ref="CP41:CS41"/>
    <mergeCell ref="CT41:CW41"/>
    <mergeCell ref="CX41:DA41"/>
    <mergeCell ref="DB41:DE41"/>
    <mergeCell ref="DF41:DI41"/>
    <mergeCell ref="DJ41:DM41"/>
    <mergeCell ref="DN41:DQ41"/>
    <mergeCell ref="DR39:DU39"/>
    <mergeCell ref="DV39:DY39"/>
    <mergeCell ref="DZ39:EC39"/>
    <mergeCell ref="ED39:EG39"/>
    <mergeCell ref="B39:B41"/>
    <mergeCell ref="F39:I39"/>
    <mergeCell ref="J39:M39"/>
    <mergeCell ref="N39:Q39"/>
    <mergeCell ref="R39:U39"/>
    <mergeCell ref="V39:Y39"/>
    <mergeCell ref="Z39:AC39"/>
    <mergeCell ref="AD39:AG39"/>
    <mergeCell ref="AH39:AK39"/>
    <mergeCell ref="AL39:AO39"/>
    <mergeCell ref="AP39:AS39"/>
    <mergeCell ref="AT39:AW39"/>
    <mergeCell ref="AX39:BA39"/>
    <mergeCell ref="BB39:BE39"/>
    <mergeCell ref="BF39:BI39"/>
    <mergeCell ref="BJ39:BM39"/>
    <mergeCell ref="BN39:BQ39"/>
    <mergeCell ref="CL40:CO40"/>
    <mergeCell ref="CP40:CS40"/>
    <mergeCell ref="CT40:CW40"/>
    <mergeCell ref="CX40:DA40"/>
    <mergeCell ref="DB40:DE40"/>
    <mergeCell ref="DF40:DI40"/>
    <mergeCell ref="DJ40:DM40"/>
    <mergeCell ref="DN40:DQ40"/>
    <mergeCell ref="BR39:BU39"/>
    <mergeCell ref="BV39:BY39"/>
    <mergeCell ref="BZ39:CC39"/>
    <mergeCell ref="DZ100:EC100"/>
    <mergeCell ref="ED100:EG100"/>
    <mergeCell ref="EH100:EK100"/>
    <mergeCell ref="EL100:EO100"/>
    <mergeCell ref="EP100:ES100"/>
    <mergeCell ref="DB100:DE100"/>
    <mergeCell ref="DF100:DI100"/>
    <mergeCell ref="DJ100:DM100"/>
    <mergeCell ref="DN100:DQ100"/>
    <mergeCell ref="DR100:DU100"/>
    <mergeCell ref="DV100:DY100"/>
    <mergeCell ref="CD100:CG100"/>
    <mergeCell ref="CH100:CK100"/>
    <mergeCell ref="CL100:CO100"/>
    <mergeCell ref="CP100:CS100"/>
    <mergeCell ref="CT100:CW100"/>
    <mergeCell ref="CX100:DA100"/>
    <mergeCell ref="BF100:BI100"/>
    <mergeCell ref="BJ100:BM100"/>
    <mergeCell ref="BN100:BQ100"/>
    <mergeCell ref="BR100:BU100"/>
    <mergeCell ref="BV100:BY100"/>
    <mergeCell ref="BZ100:CC100"/>
    <mergeCell ref="AH100:AK100"/>
    <mergeCell ref="AL100:AO100"/>
    <mergeCell ref="AP100:AS100"/>
    <mergeCell ref="AT100:AW100"/>
    <mergeCell ref="AX100:BA100"/>
    <mergeCell ref="BB100:BE100"/>
    <mergeCell ref="EH99:EK99"/>
    <mergeCell ref="EL99:EO99"/>
    <mergeCell ref="EP99:ES99"/>
    <mergeCell ref="F100:I100"/>
    <mergeCell ref="J100:M100"/>
    <mergeCell ref="N100:Q100"/>
    <mergeCell ref="R100:U100"/>
    <mergeCell ref="V100:Y100"/>
    <mergeCell ref="Z100:AC100"/>
    <mergeCell ref="AD100:AG100"/>
    <mergeCell ref="DJ99:DM99"/>
    <mergeCell ref="DN99:DQ99"/>
    <mergeCell ref="DR99:DU99"/>
    <mergeCell ref="DV99:DY99"/>
    <mergeCell ref="DZ99:EC99"/>
    <mergeCell ref="ED99:EG99"/>
    <mergeCell ref="CL99:CO99"/>
    <mergeCell ref="CP99:CS99"/>
    <mergeCell ref="CT99:CW99"/>
    <mergeCell ref="CX99:DA99"/>
    <mergeCell ref="DB99:DE99"/>
    <mergeCell ref="DF99:DI99"/>
    <mergeCell ref="BN99:BQ99"/>
    <mergeCell ref="BR99:BU99"/>
    <mergeCell ref="BV99:BY99"/>
    <mergeCell ref="BZ99:CC99"/>
    <mergeCell ref="CD99:CG99"/>
    <mergeCell ref="CH99:CK99"/>
    <mergeCell ref="AP99:AS99"/>
    <mergeCell ref="AT99:AW99"/>
    <mergeCell ref="AX99:BA99"/>
    <mergeCell ref="BB99:BE99"/>
    <mergeCell ref="BF99:BI99"/>
    <mergeCell ref="BJ99:BM99"/>
    <mergeCell ref="EP98:ES98"/>
    <mergeCell ref="F99:I99"/>
    <mergeCell ref="J99:M99"/>
    <mergeCell ref="N99:Q99"/>
    <mergeCell ref="R99:U99"/>
    <mergeCell ref="V99:Y99"/>
    <mergeCell ref="Z99:AC99"/>
    <mergeCell ref="AD99:AG99"/>
    <mergeCell ref="AH99:AK99"/>
    <mergeCell ref="AL99:AO99"/>
    <mergeCell ref="DR98:DU98"/>
    <mergeCell ref="DV98:DY98"/>
    <mergeCell ref="DZ98:EC98"/>
    <mergeCell ref="ED98:EG98"/>
    <mergeCell ref="EH98:EK98"/>
    <mergeCell ref="EL98:EO98"/>
    <mergeCell ref="CT98:CW98"/>
    <mergeCell ref="CX98:DA98"/>
    <mergeCell ref="DJ98:DM98"/>
    <mergeCell ref="DN98:DQ98"/>
    <mergeCell ref="BV98:BY98"/>
    <mergeCell ref="BZ98:CC98"/>
    <mergeCell ref="CD98:CG98"/>
    <mergeCell ref="CH98:CK98"/>
    <mergeCell ref="CL98:CO98"/>
    <mergeCell ref="CP98:CS98"/>
    <mergeCell ref="AX98:BA98"/>
    <mergeCell ref="BB98:BE98"/>
    <mergeCell ref="BF98:BI98"/>
    <mergeCell ref="BJ98:BM98"/>
    <mergeCell ref="BN98:BQ98"/>
    <mergeCell ref="BR98:BU98"/>
    <mergeCell ref="Z98:AC98"/>
    <mergeCell ref="AD98:AG98"/>
    <mergeCell ref="AH98:AK98"/>
    <mergeCell ref="AL98:AO98"/>
    <mergeCell ref="AP98:AS98"/>
    <mergeCell ref="AT98:AW98"/>
    <mergeCell ref="EH97:EK97"/>
    <mergeCell ref="EL97:EO97"/>
    <mergeCell ref="EP97:ES97"/>
    <mergeCell ref="F98:I98"/>
    <mergeCell ref="J98:M98"/>
    <mergeCell ref="N98:Q98"/>
    <mergeCell ref="R98:U98"/>
    <mergeCell ref="V98:Y98"/>
    <mergeCell ref="DB97:DE97"/>
    <mergeCell ref="DF97:DI97"/>
    <mergeCell ref="DJ97:DM97"/>
    <mergeCell ref="DN97:DQ97"/>
    <mergeCell ref="DR97:DU97"/>
    <mergeCell ref="DV97:DY97"/>
    <mergeCell ref="CD97:CG97"/>
    <mergeCell ref="CH97:CK97"/>
    <mergeCell ref="CL97:CO97"/>
    <mergeCell ref="CP97:CS97"/>
    <mergeCell ref="CT97:CW97"/>
    <mergeCell ref="CX97:DA97"/>
    <mergeCell ref="BF97:BI97"/>
    <mergeCell ref="BJ97:BM97"/>
    <mergeCell ref="BN97:BQ97"/>
    <mergeCell ref="BR97:BU97"/>
    <mergeCell ref="BV97:BY97"/>
    <mergeCell ref="BZ97:CC97"/>
    <mergeCell ref="AH97:AK97"/>
    <mergeCell ref="AL97:AO97"/>
    <mergeCell ref="AP97:AS97"/>
    <mergeCell ref="AT97:AW97"/>
    <mergeCell ref="DB98:DE98"/>
    <mergeCell ref="DF98:DI98"/>
    <mergeCell ref="EH96:EK96"/>
    <mergeCell ref="EL96:EO96"/>
    <mergeCell ref="EP96:ES96"/>
    <mergeCell ref="F97:I97"/>
    <mergeCell ref="J97:M97"/>
    <mergeCell ref="N97:Q97"/>
    <mergeCell ref="R97:U97"/>
    <mergeCell ref="V97:Y97"/>
    <mergeCell ref="Z97:AC97"/>
    <mergeCell ref="AD97:AG97"/>
    <mergeCell ref="DJ96:DM96"/>
    <mergeCell ref="DN96:DQ96"/>
    <mergeCell ref="DR96:DU96"/>
    <mergeCell ref="DV96:DY96"/>
    <mergeCell ref="DZ96:EC96"/>
    <mergeCell ref="ED96:EG96"/>
    <mergeCell ref="CL96:CO96"/>
    <mergeCell ref="CP96:CS96"/>
    <mergeCell ref="CT96:CW96"/>
    <mergeCell ref="CX96:DA96"/>
    <mergeCell ref="DB96:DE96"/>
    <mergeCell ref="DF96:DI96"/>
    <mergeCell ref="BN96:BQ96"/>
    <mergeCell ref="BR96:BU96"/>
    <mergeCell ref="BV96:BY96"/>
    <mergeCell ref="BZ96:CC96"/>
    <mergeCell ref="CD96:CG96"/>
    <mergeCell ref="CH96:CK96"/>
    <mergeCell ref="AP96:AS96"/>
    <mergeCell ref="AT96:AW96"/>
    <mergeCell ref="DZ97:EC97"/>
    <mergeCell ref="ED97:EG97"/>
    <mergeCell ref="CX95:DA95"/>
    <mergeCell ref="DB95:DE95"/>
    <mergeCell ref="DF95:DI95"/>
    <mergeCell ref="DJ95:DM95"/>
    <mergeCell ref="DN95:DQ95"/>
    <mergeCell ref="BV95:BY95"/>
    <mergeCell ref="BZ95:CC95"/>
    <mergeCell ref="CD95:CG95"/>
    <mergeCell ref="CH95:CK95"/>
    <mergeCell ref="CL95:CO95"/>
    <mergeCell ref="CP95:CS95"/>
    <mergeCell ref="BJ95:BM95"/>
    <mergeCell ref="BN95:BQ95"/>
    <mergeCell ref="BR95:BU95"/>
    <mergeCell ref="Z95:AC95"/>
    <mergeCell ref="AD95:AG95"/>
    <mergeCell ref="AX97:BA97"/>
    <mergeCell ref="BB97:BE97"/>
    <mergeCell ref="AX96:BA96"/>
    <mergeCell ref="BB96:BE96"/>
    <mergeCell ref="BF96:BI96"/>
    <mergeCell ref="BJ96:BM96"/>
    <mergeCell ref="EP95:ES95"/>
    <mergeCell ref="F95:I95"/>
    <mergeCell ref="J95:M95"/>
    <mergeCell ref="N95:Q95"/>
    <mergeCell ref="R95:U95"/>
    <mergeCell ref="V95:Y95"/>
    <mergeCell ref="DB94:DE94"/>
    <mergeCell ref="DF94:DI94"/>
    <mergeCell ref="DJ94:DM94"/>
    <mergeCell ref="DN94:DQ94"/>
    <mergeCell ref="DR94:DU94"/>
    <mergeCell ref="DV94:DY94"/>
    <mergeCell ref="CD94:CG94"/>
    <mergeCell ref="CH94:CK94"/>
    <mergeCell ref="CL94:CO94"/>
    <mergeCell ref="CP94:CS94"/>
    <mergeCell ref="CT94:CW94"/>
    <mergeCell ref="CX94:DA94"/>
    <mergeCell ref="BF94:BI94"/>
    <mergeCell ref="F96:I96"/>
    <mergeCell ref="J96:M96"/>
    <mergeCell ref="N96:Q96"/>
    <mergeCell ref="R96:U96"/>
    <mergeCell ref="V96:Y96"/>
    <mergeCell ref="Z96:AC96"/>
    <mergeCell ref="AD96:AG96"/>
    <mergeCell ref="AH96:AK96"/>
    <mergeCell ref="AL96:AO96"/>
    <mergeCell ref="BN94:BQ94"/>
    <mergeCell ref="BR94:BU94"/>
    <mergeCell ref="BV94:BY94"/>
    <mergeCell ref="BZ94:CC94"/>
    <mergeCell ref="AH94:AK94"/>
    <mergeCell ref="AL94:AO94"/>
    <mergeCell ref="AP94:AS94"/>
    <mergeCell ref="AT94:AW94"/>
    <mergeCell ref="AX94:BA94"/>
    <mergeCell ref="BB94:BE94"/>
    <mergeCell ref="AX95:BA95"/>
    <mergeCell ref="BB95:BE95"/>
    <mergeCell ref="BF95:BI95"/>
    <mergeCell ref="EH93:EK93"/>
    <mergeCell ref="EL93:EO93"/>
    <mergeCell ref="EP93:ES93"/>
    <mergeCell ref="AH95:AK95"/>
    <mergeCell ref="AL95:AO95"/>
    <mergeCell ref="AP95:AS95"/>
    <mergeCell ref="AT95:AW95"/>
    <mergeCell ref="DZ94:EC94"/>
    <mergeCell ref="ED94:EG94"/>
    <mergeCell ref="EH94:EK94"/>
    <mergeCell ref="EL94:EO94"/>
    <mergeCell ref="EP94:ES94"/>
    <mergeCell ref="DR95:DU95"/>
    <mergeCell ref="DV95:DY95"/>
    <mergeCell ref="DZ95:EC95"/>
    <mergeCell ref="ED95:EG95"/>
    <mergeCell ref="EH95:EK95"/>
    <mergeCell ref="EL95:EO95"/>
    <mergeCell ref="CT95:CW95"/>
    <mergeCell ref="F94:I94"/>
    <mergeCell ref="J94:M94"/>
    <mergeCell ref="N94:Q94"/>
    <mergeCell ref="R94:U94"/>
    <mergeCell ref="V94:Y94"/>
    <mergeCell ref="Z94:AC94"/>
    <mergeCell ref="AD94:AG94"/>
    <mergeCell ref="DJ93:DM93"/>
    <mergeCell ref="DN93:DQ93"/>
    <mergeCell ref="DR93:DU93"/>
    <mergeCell ref="DV93:DY93"/>
    <mergeCell ref="DZ93:EC93"/>
    <mergeCell ref="ED93:EG93"/>
    <mergeCell ref="CL93:CO93"/>
    <mergeCell ref="CP93:CS93"/>
    <mergeCell ref="CT93:CW93"/>
    <mergeCell ref="CX93:DA93"/>
    <mergeCell ref="DB93:DE93"/>
    <mergeCell ref="DF93:DI93"/>
    <mergeCell ref="BN93:BQ93"/>
    <mergeCell ref="BR93:BU93"/>
    <mergeCell ref="BV93:BY93"/>
    <mergeCell ref="BZ93:CC93"/>
    <mergeCell ref="CD93:CG93"/>
    <mergeCell ref="CH93:CK93"/>
    <mergeCell ref="AP93:AS93"/>
    <mergeCell ref="AT93:AW93"/>
    <mergeCell ref="AX93:BA93"/>
    <mergeCell ref="BB93:BE93"/>
    <mergeCell ref="BF93:BI93"/>
    <mergeCell ref="BJ93:BM93"/>
    <mergeCell ref="BJ94:BM94"/>
    <mergeCell ref="EP92:ES92"/>
    <mergeCell ref="F93:I93"/>
    <mergeCell ref="J93:M93"/>
    <mergeCell ref="N93:Q93"/>
    <mergeCell ref="R93:U93"/>
    <mergeCell ref="V93:Y93"/>
    <mergeCell ref="Z93:AC93"/>
    <mergeCell ref="AD93:AG93"/>
    <mergeCell ref="AH93:AK93"/>
    <mergeCell ref="AL93:AO93"/>
    <mergeCell ref="DR92:DU92"/>
    <mergeCell ref="DV92:DY92"/>
    <mergeCell ref="DZ92:EC92"/>
    <mergeCell ref="ED92:EG92"/>
    <mergeCell ref="EH92:EK92"/>
    <mergeCell ref="EL92:EO92"/>
    <mergeCell ref="CT92:CW92"/>
    <mergeCell ref="CX92:DA92"/>
    <mergeCell ref="DB92:DE92"/>
    <mergeCell ref="DF92:DI92"/>
    <mergeCell ref="DJ92:DM92"/>
    <mergeCell ref="DN92:DQ92"/>
    <mergeCell ref="BV92:BY92"/>
    <mergeCell ref="BZ92:CC92"/>
    <mergeCell ref="CD92:CG92"/>
    <mergeCell ref="CH92:CK92"/>
    <mergeCell ref="CL92:CO92"/>
    <mergeCell ref="CP92:CS92"/>
    <mergeCell ref="AX92:BA92"/>
    <mergeCell ref="BB92:BE92"/>
    <mergeCell ref="BF92:BI92"/>
    <mergeCell ref="BJ92:BM92"/>
    <mergeCell ref="BN92:BQ92"/>
    <mergeCell ref="BR92:BU92"/>
    <mergeCell ref="Z92:AC92"/>
    <mergeCell ref="AD92:AG92"/>
    <mergeCell ref="AH92:AK92"/>
    <mergeCell ref="AL92:AO92"/>
    <mergeCell ref="AP92:AS92"/>
    <mergeCell ref="AT92:AW92"/>
    <mergeCell ref="DZ91:EC91"/>
    <mergeCell ref="ED91:EG91"/>
    <mergeCell ref="EH91:EK91"/>
    <mergeCell ref="EL91:EO91"/>
    <mergeCell ref="EP91:ES91"/>
    <mergeCell ref="F92:I92"/>
    <mergeCell ref="J92:M92"/>
    <mergeCell ref="N92:Q92"/>
    <mergeCell ref="R92:U92"/>
    <mergeCell ref="V92:Y92"/>
    <mergeCell ref="DB91:DE91"/>
    <mergeCell ref="DF91:DI91"/>
    <mergeCell ref="DJ91:DM91"/>
    <mergeCell ref="DN91:DQ91"/>
    <mergeCell ref="DR91:DU91"/>
    <mergeCell ref="DV91:DY91"/>
    <mergeCell ref="CD91:CG91"/>
    <mergeCell ref="CH91:CK91"/>
    <mergeCell ref="CL91:CO91"/>
    <mergeCell ref="CP91:CS91"/>
    <mergeCell ref="CT91:CW91"/>
    <mergeCell ref="CX91:DA91"/>
    <mergeCell ref="BF91:BI91"/>
    <mergeCell ref="BJ91:BM91"/>
    <mergeCell ref="BN91:BQ91"/>
    <mergeCell ref="BR91:BU91"/>
    <mergeCell ref="BV91:BY91"/>
    <mergeCell ref="BZ91:CC91"/>
    <mergeCell ref="AH91:AK91"/>
    <mergeCell ref="AL91:AO91"/>
    <mergeCell ref="AP91:AS91"/>
    <mergeCell ref="AT91:AW91"/>
    <mergeCell ref="AX91:BA91"/>
    <mergeCell ref="BB91:BE91"/>
    <mergeCell ref="EH90:EK90"/>
    <mergeCell ref="EL90:EO90"/>
    <mergeCell ref="EP90:ES90"/>
    <mergeCell ref="F91:I91"/>
    <mergeCell ref="J91:M91"/>
    <mergeCell ref="N91:Q91"/>
    <mergeCell ref="R91:U91"/>
    <mergeCell ref="V91:Y91"/>
    <mergeCell ref="Z91:AC91"/>
    <mergeCell ref="AD91:AG91"/>
    <mergeCell ref="DJ90:DM90"/>
    <mergeCell ref="DN90:DQ90"/>
    <mergeCell ref="DR90:DU90"/>
    <mergeCell ref="DV90:DY90"/>
    <mergeCell ref="DZ90:EC90"/>
    <mergeCell ref="ED90:EG90"/>
    <mergeCell ref="CL90:CO90"/>
    <mergeCell ref="CP90:CS90"/>
    <mergeCell ref="CT90:CW90"/>
    <mergeCell ref="CX90:DA90"/>
    <mergeCell ref="DB90:DE90"/>
    <mergeCell ref="DF90:DI90"/>
    <mergeCell ref="BN90:BQ90"/>
    <mergeCell ref="BR90:BU90"/>
    <mergeCell ref="BV90:BY90"/>
    <mergeCell ref="BZ90:CC90"/>
    <mergeCell ref="CD90:CG90"/>
    <mergeCell ref="CH90:CK90"/>
    <mergeCell ref="AP90:AS90"/>
    <mergeCell ref="AT90:AW90"/>
    <mergeCell ref="AX90:BA90"/>
    <mergeCell ref="BB90:BE90"/>
    <mergeCell ref="BF90:BI90"/>
    <mergeCell ref="BJ90:BM90"/>
    <mergeCell ref="EP89:ES89"/>
    <mergeCell ref="F90:I90"/>
    <mergeCell ref="J90:M90"/>
    <mergeCell ref="N90:Q90"/>
    <mergeCell ref="R90:U90"/>
    <mergeCell ref="V90:Y90"/>
    <mergeCell ref="Z90:AC90"/>
    <mergeCell ref="AD90:AG90"/>
    <mergeCell ref="AH90:AK90"/>
    <mergeCell ref="AL90:AO90"/>
    <mergeCell ref="DR89:DU89"/>
    <mergeCell ref="DV89:DY89"/>
    <mergeCell ref="DZ89:EC89"/>
    <mergeCell ref="ED89:EG89"/>
    <mergeCell ref="EH89:EK89"/>
    <mergeCell ref="EL89:EO89"/>
    <mergeCell ref="CT89:CW89"/>
    <mergeCell ref="CX89:DA89"/>
    <mergeCell ref="DB89:DE89"/>
    <mergeCell ref="DF89:DI89"/>
    <mergeCell ref="BV89:BY89"/>
    <mergeCell ref="BZ89:CC89"/>
    <mergeCell ref="CD89:CG89"/>
    <mergeCell ref="CH89:CK89"/>
    <mergeCell ref="CL89:CO89"/>
    <mergeCell ref="CP89:CS89"/>
    <mergeCell ref="AX89:BA89"/>
    <mergeCell ref="BB89:BE89"/>
    <mergeCell ref="BF89:BI89"/>
    <mergeCell ref="BJ89:BM89"/>
    <mergeCell ref="BN89:BQ89"/>
    <mergeCell ref="BR89:BU89"/>
    <mergeCell ref="Z89:AC89"/>
    <mergeCell ref="AD89:AG89"/>
    <mergeCell ref="AH89:AK89"/>
    <mergeCell ref="AL89:AO89"/>
    <mergeCell ref="AP89:AS89"/>
    <mergeCell ref="AT89:AW89"/>
    <mergeCell ref="EH88:EK88"/>
    <mergeCell ref="EL88:EO88"/>
    <mergeCell ref="EP88:ES88"/>
    <mergeCell ref="F89:I89"/>
    <mergeCell ref="J89:M89"/>
    <mergeCell ref="N89:Q89"/>
    <mergeCell ref="R89:U89"/>
    <mergeCell ref="V89:Y89"/>
    <mergeCell ref="DB88:DE88"/>
    <mergeCell ref="DF88:DI88"/>
    <mergeCell ref="DJ88:DM88"/>
    <mergeCell ref="DN88:DQ88"/>
    <mergeCell ref="DR88:DU88"/>
    <mergeCell ref="DV88:DY88"/>
    <mergeCell ref="CD88:CG88"/>
    <mergeCell ref="CH88:CK88"/>
    <mergeCell ref="CL88:CO88"/>
    <mergeCell ref="CP88:CS88"/>
    <mergeCell ref="CT88:CW88"/>
    <mergeCell ref="CX88:DA88"/>
    <mergeCell ref="BF88:BI88"/>
    <mergeCell ref="BJ88:BM88"/>
    <mergeCell ref="BN88:BQ88"/>
    <mergeCell ref="BR88:BU88"/>
    <mergeCell ref="BV88:BY88"/>
    <mergeCell ref="BZ88:CC88"/>
    <mergeCell ref="AH88:AK88"/>
    <mergeCell ref="AL88:AO88"/>
    <mergeCell ref="AP88:AS88"/>
    <mergeCell ref="AT88:AW88"/>
    <mergeCell ref="DJ89:DM89"/>
    <mergeCell ref="DN89:DQ89"/>
    <mergeCell ref="EH87:EK87"/>
    <mergeCell ref="EL87:EO87"/>
    <mergeCell ref="EP87:ES87"/>
    <mergeCell ref="F88:I88"/>
    <mergeCell ref="J88:M88"/>
    <mergeCell ref="N88:Q88"/>
    <mergeCell ref="R88:U88"/>
    <mergeCell ref="V88:Y88"/>
    <mergeCell ref="Z88:AC88"/>
    <mergeCell ref="AD88:AG88"/>
    <mergeCell ref="DJ87:DM87"/>
    <mergeCell ref="DN87:DQ87"/>
    <mergeCell ref="DR87:DU87"/>
    <mergeCell ref="DV87:DY87"/>
    <mergeCell ref="DZ87:EC87"/>
    <mergeCell ref="ED87:EG87"/>
    <mergeCell ref="CL87:CO87"/>
    <mergeCell ref="CP87:CS87"/>
    <mergeCell ref="CT87:CW87"/>
    <mergeCell ref="CX87:DA87"/>
    <mergeCell ref="DB87:DE87"/>
    <mergeCell ref="DF87:DI87"/>
    <mergeCell ref="BN87:BQ87"/>
    <mergeCell ref="BR87:BU87"/>
    <mergeCell ref="BV87:BY87"/>
    <mergeCell ref="BZ87:CC87"/>
    <mergeCell ref="CD87:CG87"/>
    <mergeCell ref="CH87:CK87"/>
    <mergeCell ref="AP87:AS87"/>
    <mergeCell ref="AT87:AW87"/>
    <mergeCell ref="DZ88:EC88"/>
    <mergeCell ref="ED88:EG88"/>
    <mergeCell ref="CX86:DA86"/>
    <mergeCell ref="DB86:DE86"/>
    <mergeCell ref="DF86:DI86"/>
    <mergeCell ref="DJ86:DM86"/>
    <mergeCell ref="DN86:DQ86"/>
    <mergeCell ref="BV86:BY86"/>
    <mergeCell ref="BZ86:CC86"/>
    <mergeCell ref="CD86:CG86"/>
    <mergeCell ref="CH86:CK86"/>
    <mergeCell ref="CL86:CO86"/>
    <mergeCell ref="CP86:CS86"/>
    <mergeCell ref="BJ86:BM86"/>
    <mergeCell ref="BN86:BQ86"/>
    <mergeCell ref="BR86:BU86"/>
    <mergeCell ref="Z86:AC86"/>
    <mergeCell ref="AD86:AG86"/>
    <mergeCell ref="AX88:BA88"/>
    <mergeCell ref="BB88:BE88"/>
    <mergeCell ref="AX87:BA87"/>
    <mergeCell ref="BB87:BE87"/>
    <mergeCell ref="BF87:BI87"/>
    <mergeCell ref="BJ87:BM87"/>
    <mergeCell ref="EP86:ES86"/>
    <mergeCell ref="F86:I86"/>
    <mergeCell ref="J86:M86"/>
    <mergeCell ref="N86:Q86"/>
    <mergeCell ref="R86:U86"/>
    <mergeCell ref="V86:Y86"/>
    <mergeCell ref="DB85:DE85"/>
    <mergeCell ref="DF85:DI85"/>
    <mergeCell ref="DJ85:DM85"/>
    <mergeCell ref="DN85:DQ85"/>
    <mergeCell ref="DR85:DU85"/>
    <mergeCell ref="DV85:DY85"/>
    <mergeCell ref="CD85:CG85"/>
    <mergeCell ref="CH85:CK85"/>
    <mergeCell ref="CL85:CO85"/>
    <mergeCell ref="CP85:CS85"/>
    <mergeCell ref="CT85:CW85"/>
    <mergeCell ref="CX85:DA85"/>
    <mergeCell ref="BF85:BI85"/>
    <mergeCell ref="F87:I87"/>
    <mergeCell ref="J87:M87"/>
    <mergeCell ref="N87:Q87"/>
    <mergeCell ref="R87:U87"/>
    <mergeCell ref="V87:Y87"/>
    <mergeCell ref="Z87:AC87"/>
    <mergeCell ref="AD87:AG87"/>
    <mergeCell ref="AH87:AK87"/>
    <mergeCell ref="AL87:AO87"/>
    <mergeCell ref="BN85:BQ85"/>
    <mergeCell ref="BR85:BU85"/>
    <mergeCell ref="BV85:BY85"/>
    <mergeCell ref="BZ85:CC85"/>
    <mergeCell ref="AH85:AK85"/>
    <mergeCell ref="AL85:AO85"/>
    <mergeCell ref="AP85:AS85"/>
    <mergeCell ref="AT85:AW85"/>
    <mergeCell ref="AX85:BA85"/>
    <mergeCell ref="BB85:BE85"/>
    <mergeCell ref="AX86:BA86"/>
    <mergeCell ref="BB86:BE86"/>
    <mergeCell ref="BF86:BI86"/>
    <mergeCell ref="EH84:EK84"/>
    <mergeCell ref="EL84:EO84"/>
    <mergeCell ref="EP84:ES84"/>
    <mergeCell ref="AH86:AK86"/>
    <mergeCell ref="AL86:AO86"/>
    <mergeCell ref="AP86:AS86"/>
    <mergeCell ref="AT86:AW86"/>
    <mergeCell ref="DZ85:EC85"/>
    <mergeCell ref="ED85:EG85"/>
    <mergeCell ref="EH85:EK85"/>
    <mergeCell ref="EL85:EO85"/>
    <mergeCell ref="EP85:ES85"/>
    <mergeCell ref="DR86:DU86"/>
    <mergeCell ref="DV86:DY86"/>
    <mergeCell ref="DZ86:EC86"/>
    <mergeCell ref="ED86:EG86"/>
    <mergeCell ref="EH86:EK86"/>
    <mergeCell ref="EL86:EO86"/>
    <mergeCell ref="CT86:CW86"/>
    <mergeCell ref="F85:I85"/>
    <mergeCell ref="J85:M85"/>
    <mergeCell ref="N85:Q85"/>
    <mergeCell ref="R85:U85"/>
    <mergeCell ref="V85:Y85"/>
    <mergeCell ref="Z85:AC85"/>
    <mergeCell ref="AD85:AG85"/>
    <mergeCell ref="DJ84:DM84"/>
    <mergeCell ref="DN84:DQ84"/>
    <mergeCell ref="DR84:DU84"/>
    <mergeCell ref="DV84:DY84"/>
    <mergeCell ref="DZ84:EC84"/>
    <mergeCell ref="ED84:EG84"/>
    <mergeCell ref="CL84:CO84"/>
    <mergeCell ref="CP84:CS84"/>
    <mergeCell ref="CT84:CW84"/>
    <mergeCell ref="CX84:DA84"/>
    <mergeCell ref="DB84:DE84"/>
    <mergeCell ref="DF84:DI84"/>
    <mergeCell ref="BN84:BQ84"/>
    <mergeCell ref="BR84:BU84"/>
    <mergeCell ref="BV84:BY84"/>
    <mergeCell ref="BZ84:CC84"/>
    <mergeCell ref="CD84:CG84"/>
    <mergeCell ref="CH84:CK84"/>
    <mergeCell ref="AP84:AS84"/>
    <mergeCell ref="AT84:AW84"/>
    <mergeCell ref="AX84:BA84"/>
    <mergeCell ref="BB84:BE84"/>
    <mergeCell ref="BF84:BI84"/>
    <mergeCell ref="BJ84:BM84"/>
    <mergeCell ref="BJ85:BM85"/>
    <mergeCell ref="EP83:ES83"/>
    <mergeCell ref="F84:I84"/>
    <mergeCell ref="J84:M84"/>
    <mergeCell ref="N84:Q84"/>
    <mergeCell ref="R84:U84"/>
    <mergeCell ref="V84:Y84"/>
    <mergeCell ref="Z84:AC84"/>
    <mergeCell ref="AD84:AG84"/>
    <mergeCell ref="AH84:AK84"/>
    <mergeCell ref="AL84:AO84"/>
    <mergeCell ref="DR83:DU83"/>
    <mergeCell ref="DV83:DY83"/>
    <mergeCell ref="DZ83:EC83"/>
    <mergeCell ref="ED83:EG83"/>
    <mergeCell ref="EH83:EK83"/>
    <mergeCell ref="EL83:EO83"/>
    <mergeCell ref="CT83:CW83"/>
    <mergeCell ref="CX83:DA83"/>
    <mergeCell ref="DB83:DE83"/>
    <mergeCell ref="DF83:DI83"/>
    <mergeCell ref="DJ83:DM83"/>
    <mergeCell ref="DN83:DQ83"/>
    <mergeCell ref="BV83:BY83"/>
    <mergeCell ref="BZ83:CC83"/>
    <mergeCell ref="CD83:CG83"/>
    <mergeCell ref="CH83:CK83"/>
    <mergeCell ref="CL83:CO83"/>
    <mergeCell ref="CP83:CS83"/>
    <mergeCell ref="AX83:BA83"/>
    <mergeCell ref="BB83:BE83"/>
    <mergeCell ref="BF83:BI83"/>
    <mergeCell ref="BJ83:BM83"/>
    <mergeCell ref="BN83:BQ83"/>
    <mergeCell ref="BR83:BU83"/>
    <mergeCell ref="Z83:AC83"/>
    <mergeCell ref="AD83:AG83"/>
    <mergeCell ref="AH83:AK83"/>
    <mergeCell ref="AL83:AO83"/>
    <mergeCell ref="AP83:AS83"/>
    <mergeCell ref="AT83:AW83"/>
    <mergeCell ref="DZ109:EC109"/>
    <mergeCell ref="ED109:EG109"/>
    <mergeCell ref="EH109:EK109"/>
    <mergeCell ref="EL109:EO109"/>
    <mergeCell ref="EP109:ES109"/>
    <mergeCell ref="F83:I83"/>
    <mergeCell ref="J83:M83"/>
    <mergeCell ref="N83:Q83"/>
    <mergeCell ref="R83:U83"/>
    <mergeCell ref="V83:Y83"/>
    <mergeCell ref="DB109:DE109"/>
    <mergeCell ref="DF109:DI109"/>
    <mergeCell ref="DJ109:DM109"/>
    <mergeCell ref="DN109:DQ109"/>
    <mergeCell ref="DR109:DU109"/>
    <mergeCell ref="DV109:DY109"/>
    <mergeCell ref="CD109:CG109"/>
    <mergeCell ref="CH109:CK109"/>
    <mergeCell ref="CL109:CO109"/>
    <mergeCell ref="CP109:CS109"/>
    <mergeCell ref="CT109:CW109"/>
    <mergeCell ref="CX109:DA109"/>
    <mergeCell ref="BF109:BI109"/>
    <mergeCell ref="BJ109:BM109"/>
    <mergeCell ref="BN109:BQ109"/>
    <mergeCell ref="BR109:BU109"/>
    <mergeCell ref="BV109:BY109"/>
    <mergeCell ref="BZ109:CC109"/>
    <mergeCell ref="AH109:AK109"/>
    <mergeCell ref="AL109:AO109"/>
    <mergeCell ref="AP109:AS109"/>
    <mergeCell ref="AT109:AW109"/>
    <mergeCell ref="AX109:BA109"/>
    <mergeCell ref="BB109:BE109"/>
    <mergeCell ref="EH108:EK108"/>
    <mergeCell ref="EL108:EO108"/>
    <mergeCell ref="EP108:ES108"/>
    <mergeCell ref="F109:I109"/>
    <mergeCell ref="J109:M109"/>
    <mergeCell ref="N109:Q109"/>
    <mergeCell ref="R109:U109"/>
    <mergeCell ref="V109:Y109"/>
    <mergeCell ref="Z109:AC109"/>
    <mergeCell ref="AD109:AG109"/>
    <mergeCell ref="DJ108:DM108"/>
    <mergeCell ref="DN108:DQ108"/>
    <mergeCell ref="DR108:DU108"/>
    <mergeCell ref="DV108:DY108"/>
    <mergeCell ref="DZ108:EC108"/>
    <mergeCell ref="ED108:EG108"/>
    <mergeCell ref="CL108:CO108"/>
    <mergeCell ref="CP108:CS108"/>
    <mergeCell ref="CT108:CW108"/>
    <mergeCell ref="CX108:DA108"/>
    <mergeCell ref="DB108:DE108"/>
    <mergeCell ref="DF108:DI108"/>
    <mergeCell ref="BN108:BQ108"/>
    <mergeCell ref="BR108:BU108"/>
    <mergeCell ref="BV108:BY108"/>
    <mergeCell ref="BZ108:CC108"/>
    <mergeCell ref="CD108:CG108"/>
    <mergeCell ref="CH108:CK108"/>
    <mergeCell ref="AP108:AS108"/>
    <mergeCell ref="AT108:AW108"/>
    <mergeCell ref="AX108:BA108"/>
    <mergeCell ref="BB108:BE108"/>
    <mergeCell ref="BF108:BI108"/>
    <mergeCell ref="BJ108:BM108"/>
    <mergeCell ref="EP107:ES107"/>
    <mergeCell ref="F108:I108"/>
    <mergeCell ref="J108:M108"/>
    <mergeCell ref="N108:Q108"/>
    <mergeCell ref="R108:U108"/>
    <mergeCell ref="V108:Y108"/>
    <mergeCell ref="Z108:AC108"/>
    <mergeCell ref="AD108:AG108"/>
    <mergeCell ref="AH108:AK108"/>
    <mergeCell ref="AL108:AO108"/>
    <mergeCell ref="DR107:DU107"/>
    <mergeCell ref="DV107:DY107"/>
    <mergeCell ref="DZ107:EC107"/>
    <mergeCell ref="ED107:EG107"/>
    <mergeCell ref="EH107:EK107"/>
    <mergeCell ref="EL107:EO107"/>
    <mergeCell ref="CT107:CW107"/>
    <mergeCell ref="CX107:DA107"/>
    <mergeCell ref="DB107:DE107"/>
    <mergeCell ref="DF107:DI107"/>
    <mergeCell ref="BV107:BY107"/>
    <mergeCell ref="BZ107:CC107"/>
    <mergeCell ref="CD107:CG107"/>
    <mergeCell ref="CH107:CK107"/>
    <mergeCell ref="CL107:CO107"/>
    <mergeCell ref="CP107:CS107"/>
    <mergeCell ref="AX107:BA107"/>
    <mergeCell ref="BB107:BE107"/>
    <mergeCell ref="BF107:BI107"/>
    <mergeCell ref="BJ107:BM107"/>
    <mergeCell ref="BN107:BQ107"/>
    <mergeCell ref="BR107:BU107"/>
    <mergeCell ref="Z107:AC107"/>
    <mergeCell ref="AD107:AG107"/>
    <mergeCell ref="AH107:AK107"/>
    <mergeCell ref="AL107:AO107"/>
    <mergeCell ref="AP107:AS107"/>
    <mergeCell ref="AT107:AW107"/>
    <mergeCell ref="EH106:EK106"/>
    <mergeCell ref="EL106:EO106"/>
    <mergeCell ref="EP106:ES106"/>
    <mergeCell ref="F107:I107"/>
    <mergeCell ref="J107:M107"/>
    <mergeCell ref="N107:Q107"/>
    <mergeCell ref="R107:U107"/>
    <mergeCell ref="V107:Y107"/>
    <mergeCell ref="DB106:DE106"/>
    <mergeCell ref="DF106:DI106"/>
    <mergeCell ref="DJ106:DM106"/>
    <mergeCell ref="DN106:DQ106"/>
    <mergeCell ref="DR106:DU106"/>
    <mergeCell ref="DV106:DY106"/>
    <mergeCell ref="CD106:CG106"/>
    <mergeCell ref="CH106:CK106"/>
    <mergeCell ref="CL106:CO106"/>
    <mergeCell ref="CP106:CS106"/>
    <mergeCell ref="CT106:CW106"/>
    <mergeCell ref="CX106:DA106"/>
    <mergeCell ref="BF106:BI106"/>
    <mergeCell ref="BJ106:BM106"/>
    <mergeCell ref="BN106:BQ106"/>
    <mergeCell ref="BR106:BU106"/>
    <mergeCell ref="BV106:BY106"/>
    <mergeCell ref="BZ106:CC106"/>
    <mergeCell ref="AH106:AK106"/>
    <mergeCell ref="AL106:AO106"/>
    <mergeCell ref="AP106:AS106"/>
    <mergeCell ref="AT106:AW106"/>
    <mergeCell ref="DJ107:DM107"/>
    <mergeCell ref="DN107:DQ107"/>
    <mergeCell ref="EH105:EK105"/>
    <mergeCell ref="EL105:EO105"/>
    <mergeCell ref="EP105:ES105"/>
    <mergeCell ref="F106:I106"/>
    <mergeCell ref="J106:M106"/>
    <mergeCell ref="N106:Q106"/>
    <mergeCell ref="R106:U106"/>
    <mergeCell ref="V106:Y106"/>
    <mergeCell ref="Z106:AC106"/>
    <mergeCell ref="AD106:AG106"/>
    <mergeCell ref="DJ105:DM105"/>
    <mergeCell ref="DN105:DQ105"/>
    <mergeCell ref="DR105:DU105"/>
    <mergeCell ref="DV105:DY105"/>
    <mergeCell ref="DZ105:EC105"/>
    <mergeCell ref="ED105:EG105"/>
    <mergeCell ref="CL105:CO105"/>
    <mergeCell ref="CP105:CS105"/>
    <mergeCell ref="CT105:CW105"/>
    <mergeCell ref="CX105:DA105"/>
    <mergeCell ref="DB105:DE105"/>
    <mergeCell ref="DF105:DI105"/>
    <mergeCell ref="BN105:BQ105"/>
    <mergeCell ref="BR105:BU105"/>
    <mergeCell ref="BV105:BY105"/>
    <mergeCell ref="BZ105:CC105"/>
    <mergeCell ref="CD105:CG105"/>
    <mergeCell ref="CH105:CK105"/>
    <mergeCell ref="AP105:AS105"/>
    <mergeCell ref="AT105:AW105"/>
    <mergeCell ref="DZ106:EC106"/>
    <mergeCell ref="ED106:EG106"/>
    <mergeCell ref="CX104:DA104"/>
    <mergeCell ref="DB104:DE104"/>
    <mergeCell ref="DF104:DI104"/>
    <mergeCell ref="DJ104:DM104"/>
    <mergeCell ref="DN104:DQ104"/>
    <mergeCell ref="BV104:BY104"/>
    <mergeCell ref="BZ104:CC104"/>
    <mergeCell ref="CD104:CG104"/>
    <mergeCell ref="CH104:CK104"/>
    <mergeCell ref="CL104:CO104"/>
    <mergeCell ref="CP104:CS104"/>
    <mergeCell ref="BJ104:BM104"/>
    <mergeCell ref="BN104:BQ104"/>
    <mergeCell ref="BR104:BU104"/>
    <mergeCell ref="Z104:AC104"/>
    <mergeCell ref="AD104:AG104"/>
    <mergeCell ref="AX106:BA106"/>
    <mergeCell ref="BB106:BE106"/>
    <mergeCell ref="AX105:BA105"/>
    <mergeCell ref="BB105:BE105"/>
    <mergeCell ref="BF105:BI105"/>
    <mergeCell ref="BJ105:BM105"/>
    <mergeCell ref="EP104:ES104"/>
    <mergeCell ref="F104:I104"/>
    <mergeCell ref="J104:M104"/>
    <mergeCell ref="N104:Q104"/>
    <mergeCell ref="R104:U104"/>
    <mergeCell ref="V104:Y104"/>
    <mergeCell ref="DB103:DE103"/>
    <mergeCell ref="DF103:DI103"/>
    <mergeCell ref="DJ103:DM103"/>
    <mergeCell ref="DN103:DQ103"/>
    <mergeCell ref="DR103:DU103"/>
    <mergeCell ref="DV103:DY103"/>
    <mergeCell ref="CD103:CG103"/>
    <mergeCell ref="CH103:CK103"/>
    <mergeCell ref="CL103:CO103"/>
    <mergeCell ref="CP103:CS103"/>
    <mergeCell ref="CT103:CW103"/>
    <mergeCell ref="CX103:DA103"/>
    <mergeCell ref="BF103:BI103"/>
    <mergeCell ref="F105:I105"/>
    <mergeCell ref="J105:M105"/>
    <mergeCell ref="N105:Q105"/>
    <mergeCell ref="R105:U105"/>
    <mergeCell ref="V105:Y105"/>
    <mergeCell ref="Z105:AC105"/>
    <mergeCell ref="AD105:AG105"/>
    <mergeCell ref="AH105:AK105"/>
    <mergeCell ref="AL105:AO105"/>
    <mergeCell ref="BN103:BQ103"/>
    <mergeCell ref="BR103:BU103"/>
    <mergeCell ref="BV103:BY103"/>
    <mergeCell ref="BZ103:CC103"/>
    <mergeCell ref="AH103:AK103"/>
    <mergeCell ref="AL103:AO103"/>
    <mergeCell ref="AP103:AS103"/>
    <mergeCell ref="AT103:AW103"/>
    <mergeCell ref="AX103:BA103"/>
    <mergeCell ref="BB103:BE103"/>
    <mergeCell ref="AX104:BA104"/>
    <mergeCell ref="BB104:BE104"/>
    <mergeCell ref="BF104:BI104"/>
    <mergeCell ref="EH102:EK102"/>
    <mergeCell ref="EL102:EO102"/>
    <mergeCell ref="EP102:ES102"/>
    <mergeCell ref="AH104:AK104"/>
    <mergeCell ref="AL104:AO104"/>
    <mergeCell ref="AP104:AS104"/>
    <mergeCell ref="AT104:AW104"/>
    <mergeCell ref="DZ103:EC103"/>
    <mergeCell ref="ED103:EG103"/>
    <mergeCell ref="EH103:EK103"/>
    <mergeCell ref="EL103:EO103"/>
    <mergeCell ref="EP103:ES103"/>
    <mergeCell ref="DR104:DU104"/>
    <mergeCell ref="DV104:DY104"/>
    <mergeCell ref="DZ104:EC104"/>
    <mergeCell ref="ED104:EG104"/>
    <mergeCell ref="EH104:EK104"/>
    <mergeCell ref="EL104:EO104"/>
    <mergeCell ref="CT104:CW104"/>
    <mergeCell ref="F103:I103"/>
    <mergeCell ref="J103:M103"/>
    <mergeCell ref="N103:Q103"/>
    <mergeCell ref="R103:U103"/>
    <mergeCell ref="V103:Y103"/>
    <mergeCell ref="Z103:AC103"/>
    <mergeCell ref="AD103:AG103"/>
    <mergeCell ref="DJ102:DM102"/>
    <mergeCell ref="DN102:DQ102"/>
    <mergeCell ref="DR102:DU102"/>
    <mergeCell ref="DV102:DY102"/>
    <mergeCell ref="DZ102:EC102"/>
    <mergeCell ref="ED102:EG102"/>
    <mergeCell ref="CL102:CO102"/>
    <mergeCell ref="CP102:CS102"/>
    <mergeCell ref="CT102:CW102"/>
    <mergeCell ref="CX102:DA102"/>
    <mergeCell ref="DB102:DE102"/>
    <mergeCell ref="DF102:DI102"/>
    <mergeCell ref="BN102:BQ102"/>
    <mergeCell ref="BR102:BU102"/>
    <mergeCell ref="BV102:BY102"/>
    <mergeCell ref="BZ102:CC102"/>
    <mergeCell ref="CD102:CG102"/>
    <mergeCell ref="CH102:CK102"/>
    <mergeCell ref="AP102:AS102"/>
    <mergeCell ref="AT102:AW102"/>
    <mergeCell ref="AX102:BA102"/>
    <mergeCell ref="BB102:BE102"/>
    <mergeCell ref="BF102:BI102"/>
    <mergeCell ref="BJ102:BM102"/>
    <mergeCell ref="BJ103:BM103"/>
    <mergeCell ref="EP101:ES101"/>
    <mergeCell ref="F102:I102"/>
    <mergeCell ref="J102:M102"/>
    <mergeCell ref="N102:Q102"/>
    <mergeCell ref="R102:U102"/>
    <mergeCell ref="V102:Y102"/>
    <mergeCell ref="Z102:AC102"/>
    <mergeCell ref="AD102:AG102"/>
    <mergeCell ref="AH102:AK102"/>
    <mergeCell ref="AL102:AO102"/>
    <mergeCell ref="DR101:DU101"/>
    <mergeCell ref="DV101:DY101"/>
    <mergeCell ref="DZ101:EC101"/>
    <mergeCell ref="ED101:EG101"/>
    <mergeCell ref="EH101:EK101"/>
    <mergeCell ref="EL101:EO101"/>
    <mergeCell ref="CT101:CW101"/>
    <mergeCell ref="CX101:DA101"/>
    <mergeCell ref="DB101:DE101"/>
    <mergeCell ref="DF101:DI101"/>
    <mergeCell ref="DJ101:DM101"/>
    <mergeCell ref="DN101:DQ101"/>
    <mergeCell ref="BV101:BY101"/>
    <mergeCell ref="BZ101:CC101"/>
    <mergeCell ref="CD101:CG101"/>
    <mergeCell ref="CH101:CK101"/>
    <mergeCell ref="CL101:CO101"/>
    <mergeCell ref="CP101:CS101"/>
    <mergeCell ref="AX101:BA101"/>
    <mergeCell ref="BB101:BE101"/>
    <mergeCell ref="BF101:BI101"/>
    <mergeCell ref="BJ101:BM101"/>
    <mergeCell ref="BN101:BQ101"/>
    <mergeCell ref="BR101:BU101"/>
    <mergeCell ref="Z101:AC101"/>
    <mergeCell ref="AD101:AG101"/>
    <mergeCell ref="AH101:AK101"/>
    <mergeCell ref="AL101:AO101"/>
    <mergeCell ref="AP101:AS101"/>
    <mergeCell ref="AT101:AW101"/>
    <mergeCell ref="DZ112:EC112"/>
    <mergeCell ref="ED112:EG112"/>
    <mergeCell ref="EH112:EK112"/>
    <mergeCell ref="EL112:EO112"/>
    <mergeCell ref="EP112:ES112"/>
    <mergeCell ref="F101:I101"/>
    <mergeCell ref="J101:M101"/>
    <mergeCell ref="N101:Q101"/>
    <mergeCell ref="R101:U101"/>
    <mergeCell ref="V101:Y101"/>
    <mergeCell ref="DB112:DE112"/>
    <mergeCell ref="DF112:DI112"/>
    <mergeCell ref="DJ112:DM112"/>
    <mergeCell ref="DN112:DQ112"/>
    <mergeCell ref="DR112:DU112"/>
    <mergeCell ref="DV112:DY112"/>
    <mergeCell ref="CD112:CG112"/>
    <mergeCell ref="CH112:CK112"/>
    <mergeCell ref="CL112:CO112"/>
    <mergeCell ref="CP112:CS112"/>
    <mergeCell ref="CT112:CW112"/>
    <mergeCell ref="CX112:DA112"/>
    <mergeCell ref="BF112:BI112"/>
    <mergeCell ref="BJ112:BM112"/>
    <mergeCell ref="BN112:BQ112"/>
    <mergeCell ref="BR112:BU112"/>
    <mergeCell ref="BV112:BY112"/>
    <mergeCell ref="BZ112:CC112"/>
    <mergeCell ref="AH112:AK112"/>
    <mergeCell ref="AL112:AO112"/>
    <mergeCell ref="AP112:AS112"/>
    <mergeCell ref="AT112:AW112"/>
    <mergeCell ref="AX112:BA112"/>
    <mergeCell ref="BB112:BE112"/>
    <mergeCell ref="EH111:EK111"/>
    <mergeCell ref="EL111:EO111"/>
    <mergeCell ref="EP111:ES111"/>
    <mergeCell ref="F112:I112"/>
    <mergeCell ref="J112:M112"/>
    <mergeCell ref="N112:Q112"/>
    <mergeCell ref="R112:U112"/>
    <mergeCell ref="V112:Y112"/>
    <mergeCell ref="Z112:AC112"/>
    <mergeCell ref="AD112:AG112"/>
    <mergeCell ref="DJ111:DM111"/>
    <mergeCell ref="DN111:DQ111"/>
    <mergeCell ref="DR111:DU111"/>
    <mergeCell ref="DV111:DY111"/>
    <mergeCell ref="DZ111:EC111"/>
    <mergeCell ref="ED111:EG111"/>
    <mergeCell ref="CL111:CO111"/>
    <mergeCell ref="CP111:CS111"/>
    <mergeCell ref="CT111:CW111"/>
    <mergeCell ref="CX111:DA111"/>
    <mergeCell ref="DB111:DE111"/>
    <mergeCell ref="DF111:DI111"/>
    <mergeCell ref="BJ111:BM111"/>
    <mergeCell ref="EP110:ES110"/>
    <mergeCell ref="F111:I111"/>
    <mergeCell ref="J111:M111"/>
    <mergeCell ref="N111:Q111"/>
    <mergeCell ref="R111:U111"/>
    <mergeCell ref="V111:Y111"/>
    <mergeCell ref="Z111:AC111"/>
    <mergeCell ref="AD111:AG111"/>
    <mergeCell ref="AH111:AK111"/>
    <mergeCell ref="AL111:AO111"/>
    <mergeCell ref="DR110:DU110"/>
    <mergeCell ref="DV110:DY110"/>
    <mergeCell ref="DZ110:EC110"/>
    <mergeCell ref="ED110:EG110"/>
    <mergeCell ref="EH110:EK110"/>
    <mergeCell ref="EL110:EO110"/>
    <mergeCell ref="CT110:CW110"/>
    <mergeCell ref="CX110:DA110"/>
    <mergeCell ref="DB110:DE110"/>
    <mergeCell ref="DF110:DI110"/>
    <mergeCell ref="AT115:AW115"/>
    <mergeCell ref="DJ110:DM110"/>
    <mergeCell ref="DN110:DQ110"/>
    <mergeCell ref="BV110:BY110"/>
    <mergeCell ref="BZ110:CC110"/>
    <mergeCell ref="CD110:CG110"/>
    <mergeCell ref="CH110:CK110"/>
    <mergeCell ref="CL110:CO110"/>
    <mergeCell ref="CP110:CS110"/>
    <mergeCell ref="AX110:BA110"/>
    <mergeCell ref="BB110:BE110"/>
    <mergeCell ref="BF110:BI110"/>
    <mergeCell ref="BJ110:BM110"/>
    <mergeCell ref="BN110:BQ110"/>
    <mergeCell ref="BR110:BU110"/>
    <mergeCell ref="Z110:AC110"/>
    <mergeCell ref="AD110:AG110"/>
    <mergeCell ref="AH110:AK110"/>
    <mergeCell ref="AL110:AO110"/>
    <mergeCell ref="AP110:AS110"/>
    <mergeCell ref="AT110:AW110"/>
    <mergeCell ref="BN111:BQ111"/>
    <mergeCell ref="BR111:BU111"/>
    <mergeCell ref="BV111:BY111"/>
    <mergeCell ref="BZ111:CC111"/>
    <mergeCell ref="CD111:CG111"/>
    <mergeCell ref="CH111:CK111"/>
    <mergeCell ref="AP111:AS111"/>
    <mergeCell ref="AT111:AW111"/>
    <mergeCell ref="AX111:BA111"/>
    <mergeCell ref="BB111:BE111"/>
    <mergeCell ref="BF111:BI111"/>
    <mergeCell ref="AT114:AW114"/>
    <mergeCell ref="DZ115:EC115"/>
    <mergeCell ref="ED115:EG115"/>
    <mergeCell ref="EH115:EK115"/>
    <mergeCell ref="EL115:EO115"/>
    <mergeCell ref="EP115:ES115"/>
    <mergeCell ref="F110:I110"/>
    <mergeCell ref="J110:M110"/>
    <mergeCell ref="N110:Q110"/>
    <mergeCell ref="R110:U110"/>
    <mergeCell ref="V110:Y110"/>
    <mergeCell ref="DB115:DE115"/>
    <mergeCell ref="DF115:DI115"/>
    <mergeCell ref="DJ115:DM115"/>
    <mergeCell ref="DN115:DQ115"/>
    <mergeCell ref="DR115:DU115"/>
    <mergeCell ref="DV115:DY115"/>
    <mergeCell ref="CD115:CG115"/>
    <mergeCell ref="CH115:CK115"/>
    <mergeCell ref="CL115:CO115"/>
    <mergeCell ref="CP115:CS115"/>
    <mergeCell ref="CT115:CW115"/>
    <mergeCell ref="CX115:DA115"/>
    <mergeCell ref="BF115:BI115"/>
    <mergeCell ref="BJ115:BM115"/>
    <mergeCell ref="BN115:BQ115"/>
    <mergeCell ref="BR115:BU115"/>
    <mergeCell ref="BV115:BY115"/>
    <mergeCell ref="BZ115:CC115"/>
    <mergeCell ref="AH115:AK115"/>
    <mergeCell ref="AL115:AO115"/>
    <mergeCell ref="AP115:AS115"/>
    <mergeCell ref="CL113:CO113"/>
    <mergeCell ref="AX115:BA115"/>
    <mergeCell ref="BB115:BE115"/>
    <mergeCell ref="EH114:EK114"/>
    <mergeCell ref="EL114:EO114"/>
    <mergeCell ref="EP114:ES114"/>
    <mergeCell ref="F115:I115"/>
    <mergeCell ref="J115:M115"/>
    <mergeCell ref="N115:Q115"/>
    <mergeCell ref="R115:U115"/>
    <mergeCell ref="V115:Y115"/>
    <mergeCell ref="Z115:AC115"/>
    <mergeCell ref="AD115:AG115"/>
    <mergeCell ref="DJ114:DM114"/>
    <mergeCell ref="DN114:DQ114"/>
    <mergeCell ref="DR114:DU114"/>
    <mergeCell ref="DV114:DY114"/>
    <mergeCell ref="DZ114:EC114"/>
    <mergeCell ref="ED114:EG114"/>
    <mergeCell ref="CL114:CO114"/>
    <mergeCell ref="CP114:CS114"/>
    <mergeCell ref="CT114:CW114"/>
    <mergeCell ref="CX114:DA114"/>
    <mergeCell ref="DB114:DE114"/>
    <mergeCell ref="DF114:DI114"/>
    <mergeCell ref="BN114:BQ114"/>
    <mergeCell ref="BR114:BU114"/>
    <mergeCell ref="BV114:BY114"/>
    <mergeCell ref="BZ114:CC114"/>
    <mergeCell ref="CD114:CG114"/>
    <mergeCell ref="CH114:CK114"/>
    <mergeCell ref="AP114:AS114"/>
    <mergeCell ref="EP77:ES77"/>
    <mergeCell ref="BN81:BQ81"/>
    <mergeCell ref="AX114:BA114"/>
    <mergeCell ref="BB114:BE114"/>
    <mergeCell ref="BF114:BI114"/>
    <mergeCell ref="BJ114:BM114"/>
    <mergeCell ref="EP113:ES113"/>
    <mergeCell ref="F114:I114"/>
    <mergeCell ref="J114:M114"/>
    <mergeCell ref="N114:Q114"/>
    <mergeCell ref="R114:U114"/>
    <mergeCell ref="V114:Y114"/>
    <mergeCell ref="Z114:AC114"/>
    <mergeCell ref="AD114:AG114"/>
    <mergeCell ref="AH114:AK114"/>
    <mergeCell ref="AL114:AO114"/>
    <mergeCell ref="DR113:DU113"/>
    <mergeCell ref="DV113:DY113"/>
    <mergeCell ref="DZ113:EC113"/>
    <mergeCell ref="ED113:EG113"/>
    <mergeCell ref="EH113:EK113"/>
    <mergeCell ref="EL113:EO113"/>
    <mergeCell ref="CT113:CW113"/>
    <mergeCell ref="CX113:DA113"/>
    <mergeCell ref="DB113:DE113"/>
    <mergeCell ref="DF113:DI113"/>
    <mergeCell ref="DJ113:DM113"/>
    <mergeCell ref="DN113:DQ113"/>
    <mergeCell ref="BV113:BY113"/>
    <mergeCell ref="BZ113:CC113"/>
    <mergeCell ref="CD113:CG113"/>
    <mergeCell ref="CH113:CK113"/>
    <mergeCell ref="BN76:BQ76"/>
    <mergeCell ref="BR76:BU76"/>
    <mergeCell ref="BV76:BY76"/>
    <mergeCell ref="BZ76:CC76"/>
    <mergeCell ref="AH76:AK76"/>
    <mergeCell ref="AL76:AO76"/>
    <mergeCell ref="AP76:AS76"/>
    <mergeCell ref="AT76:AW76"/>
    <mergeCell ref="AX76:BA76"/>
    <mergeCell ref="BB76:BE76"/>
    <mergeCell ref="R82:U82"/>
    <mergeCell ref="V82:Y82"/>
    <mergeCell ref="DJ81:DM81"/>
    <mergeCell ref="EH76:EK76"/>
    <mergeCell ref="EL76:EO76"/>
    <mergeCell ref="EP76:ES76"/>
    <mergeCell ref="EH81:EK81"/>
    <mergeCell ref="EL81:EO81"/>
    <mergeCell ref="EP81:ES81"/>
    <mergeCell ref="DN81:DQ81"/>
    <mergeCell ref="DR81:DU81"/>
    <mergeCell ref="DV81:DY81"/>
    <mergeCell ref="DZ81:EC81"/>
    <mergeCell ref="ED81:EG81"/>
    <mergeCell ref="CL81:CO81"/>
    <mergeCell ref="CP81:CS81"/>
    <mergeCell ref="CT81:CW81"/>
    <mergeCell ref="CX81:DA81"/>
    <mergeCell ref="DB81:DE81"/>
    <mergeCell ref="DF81:DI81"/>
    <mergeCell ref="DN80:DQ80"/>
    <mergeCell ref="EL77:EO77"/>
    <mergeCell ref="DF75:DI75"/>
    <mergeCell ref="BN75:BQ75"/>
    <mergeCell ref="BR75:BU75"/>
    <mergeCell ref="BV75:BY75"/>
    <mergeCell ref="BZ75:CC75"/>
    <mergeCell ref="CD75:CG75"/>
    <mergeCell ref="CH75:CK75"/>
    <mergeCell ref="AP75:AS75"/>
    <mergeCell ref="AT75:AW75"/>
    <mergeCell ref="AX75:BA75"/>
    <mergeCell ref="BB75:BE75"/>
    <mergeCell ref="DZ76:EC76"/>
    <mergeCell ref="ED76:EG76"/>
    <mergeCell ref="F113:I113"/>
    <mergeCell ref="J113:M113"/>
    <mergeCell ref="N113:Q113"/>
    <mergeCell ref="R113:U113"/>
    <mergeCell ref="V113:Y113"/>
    <mergeCell ref="DB76:DE76"/>
    <mergeCell ref="DF76:DI76"/>
    <mergeCell ref="DJ76:DM76"/>
    <mergeCell ref="DN76:DQ76"/>
    <mergeCell ref="DR76:DU76"/>
    <mergeCell ref="DV76:DY76"/>
    <mergeCell ref="CD76:CG76"/>
    <mergeCell ref="CH76:CK76"/>
    <mergeCell ref="CL76:CO76"/>
    <mergeCell ref="CP76:CS76"/>
    <mergeCell ref="CT76:CW76"/>
    <mergeCell ref="CX76:DA76"/>
    <mergeCell ref="BF76:BI76"/>
    <mergeCell ref="BJ76:BM76"/>
    <mergeCell ref="CH74:CK74"/>
    <mergeCell ref="CL74:CO74"/>
    <mergeCell ref="CP74:CS74"/>
    <mergeCell ref="AX74:BA74"/>
    <mergeCell ref="BB74:BE74"/>
    <mergeCell ref="EH75:EK75"/>
    <mergeCell ref="EL75:EO75"/>
    <mergeCell ref="Z74:AC74"/>
    <mergeCell ref="AD74:AG74"/>
    <mergeCell ref="AH74:AK74"/>
    <mergeCell ref="AL74:AO74"/>
    <mergeCell ref="AP74:AS74"/>
    <mergeCell ref="AT74:AW74"/>
    <mergeCell ref="EP75:ES75"/>
    <mergeCell ref="F76:I76"/>
    <mergeCell ref="J76:M76"/>
    <mergeCell ref="N76:Q76"/>
    <mergeCell ref="R76:U76"/>
    <mergeCell ref="V76:Y76"/>
    <mergeCell ref="Z76:AC76"/>
    <mergeCell ref="AD76:AG76"/>
    <mergeCell ref="DJ75:DM75"/>
    <mergeCell ref="DN75:DQ75"/>
    <mergeCell ref="DR75:DU75"/>
    <mergeCell ref="DV75:DY75"/>
    <mergeCell ref="DZ75:EC75"/>
    <mergeCell ref="ED75:EG75"/>
    <mergeCell ref="CL75:CO75"/>
    <mergeCell ref="CP75:CS75"/>
    <mergeCell ref="CT75:CW75"/>
    <mergeCell ref="CX75:DA75"/>
    <mergeCell ref="DB75:DE75"/>
    <mergeCell ref="B74:B76"/>
    <mergeCell ref="F74:I74"/>
    <mergeCell ref="J74:M74"/>
    <mergeCell ref="N74:Q74"/>
    <mergeCell ref="R74:U74"/>
    <mergeCell ref="V74:Y74"/>
    <mergeCell ref="DV73:DY73"/>
    <mergeCell ref="BB73:BE73"/>
    <mergeCell ref="BF73:BI73"/>
    <mergeCell ref="BJ73:BM73"/>
    <mergeCell ref="BN73:BQ73"/>
    <mergeCell ref="BR73:BU73"/>
    <mergeCell ref="BV73:BY73"/>
    <mergeCell ref="AD73:AG73"/>
    <mergeCell ref="AH73:AK73"/>
    <mergeCell ref="AL73:AO73"/>
    <mergeCell ref="AP73:AS73"/>
    <mergeCell ref="AT73:AW73"/>
    <mergeCell ref="AX73:BA73"/>
    <mergeCell ref="BF75:BI75"/>
    <mergeCell ref="BJ75:BM75"/>
    <mergeCell ref="F75:I75"/>
    <mergeCell ref="J75:M75"/>
    <mergeCell ref="N75:Q75"/>
    <mergeCell ref="R75:U75"/>
    <mergeCell ref="V75:Y75"/>
    <mergeCell ref="Z75:AC75"/>
    <mergeCell ref="AD75:AG75"/>
    <mergeCell ref="AH75:AK75"/>
    <mergeCell ref="AL75:AO75"/>
    <mergeCell ref="DR74:DU74"/>
    <mergeCell ref="DV74:DY74"/>
    <mergeCell ref="EL73:EO73"/>
    <mergeCell ref="EP73:ES73"/>
    <mergeCell ref="CX73:DA73"/>
    <mergeCell ref="DB73:DE73"/>
    <mergeCell ref="DF73:DI73"/>
    <mergeCell ref="DJ73:DM73"/>
    <mergeCell ref="DN73:DQ73"/>
    <mergeCell ref="DR73:DU73"/>
    <mergeCell ref="BZ73:CC73"/>
    <mergeCell ref="CD73:CG73"/>
    <mergeCell ref="CH73:CK73"/>
    <mergeCell ref="CL73:CO73"/>
    <mergeCell ref="CP73:CS73"/>
    <mergeCell ref="CT73:CW73"/>
    <mergeCell ref="BF74:BI74"/>
    <mergeCell ref="BJ74:BM74"/>
    <mergeCell ref="BN74:BQ74"/>
    <mergeCell ref="BR74:BU74"/>
    <mergeCell ref="EP74:ES74"/>
    <mergeCell ref="DZ74:EC74"/>
    <mergeCell ref="ED74:EG74"/>
    <mergeCell ref="EH74:EK74"/>
    <mergeCell ref="EL74:EO74"/>
    <mergeCell ref="CT74:CW74"/>
    <mergeCell ref="CX74:DA74"/>
    <mergeCell ref="DB74:DE74"/>
    <mergeCell ref="DF74:DI74"/>
    <mergeCell ref="DJ74:DM74"/>
    <mergeCell ref="DN74:DQ74"/>
    <mergeCell ref="BV74:BY74"/>
    <mergeCell ref="BZ74:CC74"/>
    <mergeCell ref="CD74:CG74"/>
    <mergeCell ref="EP72:ES72"/>
    <mergeCell ref="F73:I73"/>
    <mergeCell ref="J73:M73"/>
    <mergeCell ref="N73:Q73"/>
    <mergeCell ref="R73:U73"/>
    <mergeCell ref="V73:Y73"/>
    <mergeCell ref="Z73:AC73"/>
    <mergeCell ref="DF72:DI72"/>
    <mergeCell ref="DJ72:DM72"/>
    <mergeCell ref="DN72:DQ72"/>
    <mergeCell ref="DR72:DU72"/>
    <mergeCell ref="DV72:DY72"/>
    <mergeCell ref="DZ72:EC72"/>
    <mergeCell ref="CH72:CK72"/>
    <mergeCell ref="CL72:CO72"/>
    <mergeCell ref="CP72:CS72"/>
    <mergeCell ref="CT72:CW72"/>
    <mergeCell ref="CX72:DA72"/>
    <mergeCell ref="DB72:DE72"/>
    <mergeCell ref="BJ72:BM72"/>
    <mergeCell ref="BN72:BQ72"/>
    <mergeCell ref="BR72:BU72"/>
    <mergeCell ref="BV72:BY72"/>
    <mergeCell ref="BZ72:CC72"/>
    <mergeCell ref="CD72:CG72"/>
    <mergeCell ref="AL72:AO72"/>
    <mergeCell ref="AP72:AS72"/>
    <mergeCell ref="AT72:AW72"/>
    <mergeCell ref="AX72:BA72"/>
    <mergeCell ref="DZ73:EC73"/>
    <mergeCell ref="ED73:EG73"/>
    <mergeCell ref="EH73:EK73"/>
    <mergeCell ref="CP71:CS71"/>
    <mergeCell ref="CT71:CW71"/>
    <mergeCell ref="CX71:DA71"/>
    <mergeCell ref="DB71:DE71"/>
    <mergeCell ref="DF71:DI71"/>
    <mergeCell ref="DJ71:DM71"/>
    <mergeCell ref="BR71:BU71"/>
    <mergeCell ref="BV71:BY71"/>
    <mergeCell ref="BZ71:CC71"/>
    <mergeCell ref="CD71:CG71"/>
    <mergeCell ref="CH71:CK71"/>
    <mergeCell ref="CL71:CO71"/>
    <mergeCell ref="AT71:AW71"/>
    <mergeCell ref="AX71:BA71"/>
    <mergeCell ref="ED72:EG72"/>
    <mergeCell ref="EH72:EK72"/>
    <mergeCell ref="EL72:EO72"/>
    <mergeCell ref="DZ157:EC157"/>
    <mergeCell ref="ED157:EG157"/>
    <mergeCell ref="EH157:EK157"/>
    <mergeCell ref="EL157:EO157"/>
    <mergeCell ref="EP157:ES157"/>
    <mergeCell ref="B71:B73"/>
    <mergeCell ref="F71:I71"/>
    <mergeCell ref="J71:M71"/>
    <mergeCell ref="N71:Q71"/>
    <mergeCell ref="R71:U71"/>
    <mergeCell ref="DB157:DE157"/>
    <mergeCell ref="DF157:DI157"/>
    <mergeCell ref="DJ157:DM157"/>
    <mergeCell ref="DN157:DQ157"/>
    <mergeCell ref="DR157:DU157"/>
    <mergeCell ref="DV157:DY157"/>
    <mergeCell ref="CD157:CG157"/>
    <mergeCell ref="CH157:CK157"/>
    <mergeCell ref="CL157:CO157"/>
    <mergeCell ref="CP157:CS157"/>
    <mergeCell ref="CT157:CW157"/>
    <mergeCell ref="CX157:DA157"/>
    <mergeCell ref="BB72:BE72"/>
    <mergeCell ref="BF72:BI72"/>
    <mergeCell ref="EL71:EO71"/>
    <mergeCell ref="EP71:ES71"/>
    <mergeCell ref="F72:I72"/>
    <mergeCell ref="J72:M72"/>
    <mergeCell ref="N72:Q72"/>
    <mergeCell ref="R72:U72"/>
    <mergeCell ref="V72:Y72"/>
    <mergeCell ref="Z72:AC72"/>
    <mergeCell ref="BF157:BI157"/>
    <mergeCell ref="BJ157:BM157"/>
    <mergeCell ref="BN157:BQ157"/>
    <mergeCell ref="BR157:BU157"/>
    <mergeCell ref="BV157:BY157"/>
    <mergeCell ref="BZ157:CC157"/>
    <mergeCell ref="AH157:AK157"/>
    <mergeCell ref="AL157:AO157"/>
    <mergeCell ref="AP157:AS157"/>
    <mergeCell ref="AT157:AW157"/>
    <mergeCell ref="AX157:BA157"/>
    <mergeCell ref="BB157:BE157"/>
    <mergeCell ref="EH156:EK156"/>
    <mergeCell ref="EL156:EO156"/>
    <mergeCell ref="EP156:ES156"/>
    <mergeCell ref="F157:I157"/>
    <mergeCell ref="J157:M157"/>
    <mergeCell ref="N157:Q157"/>
    <mergeCell ref="R157:U157"/>
    <mergeCell ref="V157:Y157"/>
    <mergeCell ref="Z157:AC157"/>
    <mergeCell ref="AD157:AG157"/>
    <mergeCell ref="DJ156:DM156"/>
    <mergeCell ref="DN156:DQ156"/>
    <mergeCell ref="DR156:DU156"/>
    <mergeCell ref="DV156:DY156"/>
    <mergeCell ref="DZ156:EC156"/>
    <mergeCell ref="ED156:EG156"/>
    <mergeCell ref="CL156:CO156"/>
    <mergeCell ref="CP156:CS156"/>
    <mergeCell ref="CT156:CW156"/>
    <mergeCell ref="CX156:DA156"/>
    <mergeCell ref="DB156:DE156"/>
    <mergeCell ref="DF156:DI156"/>
    <mergeCell ref="BN156:BQ156"/>
    <mergeCell ref="BR156:BU156"/>
    <mergeCell ref="BV156:BY156"/>
    <mergeCell ref="BZ156:CC156"/>
    <mergeCell ref="CD156:CG156"/>
    <mergeCell ref="CH156:CK156"/>
    <mergeCell ref="AP156:AS156"/>
    <mergeCell ref="AT156:AW156"/>
    <mergeCell ref="AX156:BA156"/>
    <mergeCell ref="BB156:BE156"/>
    <mergeCell ref="BF156:BI156"/>
    <mergeCell ref="BJ156:BM156"/>
    <mergeCell ref="EP155:ES155"/>
    <mergeCell ref="F156:I156"/>
    <mergeCell ref="J156:M156"/>
    <mergeCell ref="N156:Q156"/>
    <mergeCell ref="R156:U156"/>
    <mergeCell ref="V156:Y156"/>
    <mergeCell ref="Z156:AC156"/>
    <mergeCell ref="AD156:AG156"/>
    <mergeCell ref="AH156:AK156"/>
    <mergeCell ref="AL156:AO156"/>
    <mergeCell ref="DR155:DU155"/>
    <mergeCell ref="DV155:DY155"/>
    <mergeCell ref="DZ155:EC155"/>
    <mergeCell ref="ED155:EG155"/>
    <mergeCell ref="EH155:EK155"/>
    <mergeCell ref="EL155:EO155"/>
    <mergeCell ref="CT155:CW155"/>
    <mergeCell ref="CX155:DA155"/>
    <mergeCell ref="DB155:DE155"/>
    <mergeCell ref="DF155:DI155"/>
    <mergeCell ref="DJ155:DM155"/>
    <mergeCell ref="DN155:DQ155"/>
    <mergeCell ref="BV155:BY155"/>
    <mergeCell ref="BZ155:CC155"/>
    <mergeCell ref="CD155:CG155"/>
    <mergeCell ref="CH155:CK155"/>
    <mergeCell ref="CL155:CO155"/>
    <mergeCell ref="CP155:CS155"/>
    <mergeCell ref="AX155:BA155"/>
    <mergeCell ref="BB155:BE155"/>
    <mergeCell ref="BF155:BI155"/>
    <mergeCell ref="BJ155:BM155"/>
    <mergeCell ref="BN155:BQ155"/>
    <mergeCell ref="BR155:BU155"/>
    <mergeCell ref="Z155:AC155"/>
    <mergeCell ref="AD155:AG155"/>
    <mergeCell ref="AH155:AK155"/>
    <mergeCell ref="AL155:AO155"/>
    <mergeCell ref="AP155:AS155"/>
    <mergeCell ref="AT155:AW155"/>
    <mergeCell ref="B155:D157"/>
    <mergeCell ref="F155:I155"/>
    <mergeCell ref="J155:M155"/>
    <mergeCell ref="N155:Q155"/>
    <mergeCell ref="R155:U155"/>
    <mergeCell ref="V155:Y155"/>
    <mergeCell ref="DV154:DY154"/>
    <mergeCell ref="DZ154:EC154"/>
    <mergeCell ref="ED154:EG154"/>
    <mergeCell ref="EH154:EK154"/>
    <mergeCell ref="EL154:EO154"/>
    <mergeCell ref="EP154:ES154"/>
    <mergeCell ref="CX154:DA154"/>
    <mergeCell ref="DB154:DE154"/>
    <mergeCell ref="DF154:DI154"/>
    <mergeCell ref="DJ154:DM154"/>
    <mergeCell ref="DN154:DQ154"/>
    <mergeCell ref="DR154:DU154"/>
    <mergeCell ref="BZ154:CC154"/>
    <mergeCell ref="CD154:CG154"/>
    <mergeCell ref="CH154:CK154"/>
    <mergeCell ref="CL154:CO154"/>
    <mergeCell ref="CP154:CS154"/>
    <mergeCell ref="CT154:CW154"/>
    <mergeCell ref="BB154:BE154"/>
    <mergeCell ref="BF154:BI154"/>
    <mergeCell ref="BJ154:BM154"/>
    <mergeCell ref="BN154:BQ154"/>
    <mergeCell ref="BR154:BU154"/>
    <mergeCell ref="BV154:BY154"/>
    <mergeCell ref="AD154:AG154"/>
    <mergeCell ref="AH154:AK154"/>
    <mergeCell ref="ED153:EG153"/>
    <mergeCell ref="EH153:EK153"/>
    <mergeCell ref="EL153:EO153"/>
    <mergeCell ref="EP153:ES153"/>
    <mergeCell ref="F154:I154"/>
    <mergeCell ref="J154:M154"/>
    <mergeCell ref="N154:Q154"/>
    <mergeCell ref="R154:U154"/>
    <mergeCell ref="V154:Y154"/>
    <mergeCell ref="Z154:AC154"/>
    <mergeCell ref="DF153:DI153"/>
    <mergeCell ref="DJ153:DM153"/>
    <mergeCell ref="DN153:DQ153"/>
    <mergeCell ref="DR153:DU153"/>
    <mergeCell ref="DV153:DY153"/>
    <mergeCell ref="DZ153:EC153"/>
    <mergeCell ref="CH153:CK153"/>
    <mergeCell ref="CL153:CO153"/>
    <mergeCell ref="CP153:CS153"/>
    <mergeCell ref="CT153:CW153"/>
    <mergeCell ref="CX153:DA153"/>
    <mergeCell ref="DB153:DE153"/>
    <mergeCell ref="BJ153:BM153"/>
    <mergeCell ref="BN153:BQ153"/>
    <mergeCell ref="BR153:BU153"/>
    <mergeCell ref="BV153:BY153"/>
    <mergeCell ref="BZ153:CC153"/>
    <mergeCell ref="CD153:CG153"/>
    <mergeCell ref="EL152:EO152"/>
    <mergeCell ref="EP152:ES152"/>
    <mergeCell ref="F153:I153"/>
    <mergeCell ref="J153:M153"/>
    <mergeCell ref="N153:Q153"/>
    <mergeCell ref="R153:U153"/>
    <mergeCell ref="V153:Y153"/>
    <mergeCell ref="Z153:AC153"/>
    <mergeCell ref="AD153:AG153"/>
    <mergeCell ref="AH153:AK153"/>
    <mergeCell ref="DN152:DQ152"/>
    <mergeCell ref="DR152:DU152"/>
    <mergeCell ref="DV152:DY152"/>
    <mergeCell ref="DZ152:EC152"/>
    <mergeCell ref="ED152:EG152"/>
    <mergeCell ref="EH152:EK152"/>
    <mergeCell ref="CP152:CS152"/>
    <mergeCell ref="CT152:CW152"/>
    <mergeCell ref="CX152:DA152"/>
    <mergeCell ref="DB152:DE152"/>
    <mergeCell ref="DF152:DI152"/>
    <mergeCell ref="DJ152:DM152"/>
    <mergeCell ref="BR152:BU152"/>
    <mergeCell ref="BV152:BY152"/>
    <mergeCell ref="BZ152:CC152"/>
    <mergeCell ref="CD152:CG152"/>
    <mergeCell ref="AX152:BA152"/>
    <mergeCell ref="BB152:BE152"/>
    <mergeCell ref="BF152:BI152"/>
    <mergeCell ref="BJ152:BM152"/>
    <mergeCell ref="BN152:BQ152"/>
    <mergeCell ref="V152:Y152"/>
    <mergeCell ref="AL153:AO153"/>
    <mergeCell ref="AP153:AS153"/>
    <mergeCell ref="AT153:AW153"/>
    <mergeCell ref="AX153:BA153"/>
    <mergeCell ref="BB153:BE153"/>
    <mergeCell ref="BF153:BI153"/>
    <mergeCell ref="B152:B154"/>
    <mergeCell ref="F152:I152"/>
    <mergeCell ref="J152:M152"/>
    <mergeCell ref="N152:Q152"/>
    <mergeCell ref="R152:U152"/>
    <mergeCell ref="DB151:DE151"/>
    <mergeCell ref="DF151:DI151"/>
    <mergeCell ref="DJ151:DM151"/>
    <mergeCell ref="DN151:DQ151"/>
    <mergeCell ref="DR151:DU151"/>
    <mergeCell ref="DV151:DY151"/>
    <mergeCell ref="CD151:CG151"/>
    <mergeCell ref="CH151:CK151"/>
    <mergeCell ref="CL151:CO151"/>
    <mergeCell ref="CP151:CS151"/>
    <mergeCell ref="CT151:CW151"/>
    <mergeCell ref="CX151:DA151"/>
    <mergeCell ref="BF151:BI151"/>
    <mergeCell ref="AL154:AO154"/>
    <mergeCell ref="AP154:AS154"/>
    <mergeCell ref="AT154:AW154"/>
    <mergeCell ref="AX154:BA154"/>
    <mergeCell ref="AT151:AW151"/>
    <mergeCell ref="AX151:BA151"/>
    <mergeCell ref="BB151:BE151"/>
    <mergeCell ref="CH152:CK152"/>
    <mergeCell ref="CL152:CO152"/>
    <mergeCell ref="AT152:AW152"/>
    <mergeCell ref="EP150:ES150"/>
    <mergeCell ref="F151:I151"/>
    <mergeCell ref="J151:M151"/>
    <mergeCell ref="N151:Q151"/>
    <mergeCell ref="R151:U151"/>
    <mergeCell ref="V151:Y151"/>
    <mergeCell ref="Z151:AC151"/>
    <mergeCell ref="AD151:AG151"/>
    <mergeCell ref="DJ150:DM150"/>
    <mergeCell ref="DN150:DQ150"/>
    <mergeCell ref="DR150:DU150"/>
    <mergeCell ref="DV150:DY150"/>
    <mergeCell ref="DZ150:EC150"/>
    <mergeCell ref="ED150:EG150"/>
    <mergeCell ref="CL150:CO150"/>
    <mergeCell ref="CP150:CS150"/>
    <mergeCell ref="CT150:CW150"/>
    <mergeCell ref="CX150:DA150"/>
    <mergeCell ref="Z152:AC152"/>
    <mergeCell ref="AD152:AG152"/>
    <mergeCell ref="AH152:AK152"/>
    <mergeCell ref="AL152:AO152"/>
    <mergeCell ref="AP152:AS152"/>
    <mergeCell ref="DZ151:EC151"/>
    <mergeCell ref="ED151:EG151"/>
    <mergeCell ref="EH151:EK151"/>
    <mergeCell ref="AP150:AS150"/>
    <mergeCell ref="AT150:AW150"/>
    <mergeCell ref="AX150:BA150"/>
    <mergeCell ref="BB150:BE150"/>
    <mergeCell ref="EL151:EO151"/>
    <mergeCell ref="EP151:ES151"/>
    <mergeCell ref="EP149:ES149"/>
    <mergeCell ref="F150:I150"/>
    <mergeCell ref="J150:M150"/>
    <mergeCell ref="N150:Q150"/>
    <mergeCell ref="R150:U150"/>
    <mergeCell ref="V150:Y150"/>
    <mergeCell ref="Z150:AC150"/>
    <mergeCell ref="AD150:AG150"/>
    <mergeCell ref="AH150:AK150"/>
    <mergeCell ref="AL150:AO150"/>
    <mergeCell ref="DR149:DU149"/>
    <mergeCell ref="DV149:DY149"/>
    <mergeCell ref="DZ149:EC149"/>
    <mergeCell ref="ED149:EG149"/>
    <mergeCell ref="EH149:EK149"/>
    <mergeCell ref="EL149:EO149"/>
    <mergeCell ref="CT149:CW149"/>
    <mergeCell ref="CX149:DA149"/>
    <mergeCell ref="BJ151:BM151"/>
    <mergeCell ref="BN151:BQ151"/>
    <mergeCell ref="BR151:BU151"/>
    <mergeCell ref="BV151:BY151"/>
    <mergeCell ref="BZ151:CC151"/>
    <mergeCell ref="AH151:AK151"/>
    <mergeCell ref="AL151:AO151"/>
    <mergeCell ref="AP151:AS151"/>
    <mergeCell ref="BZ149:CC149"/>
    <mergeCell ref="CD149:CG149"/>
    <mergeCell ref="CH149:CK149"/>
    <mergeCell ref="CL149:CO149"/>
    <mergeCell ref="CP149:CS149"/>
    <mergeCell ref="AX149:BA149"/>
    <mergeCell ref="BB149:BE149"/>
    <mergeCell ref="EH150:EK150"/>
    <mergeCell ref="EL150:EO150"/>
    <mergeCell ref="BF149:BI149"/>
    <mergeCell ref="BJ149:BM149"/>
    <mergeCell ref="BN149:BQ149"/>
    <mergeCell ref="BR149:BU149"/>
    <mergeCell ref="DB150:DE150"/>
    <mergeCell ref="DF150:DI150"/>
    <mergeCell ref="BN150:BQ150"/>
    <mergeCell ref="BR150:BU150"/>
    <mergeCell ref="BV150:BY150"/>
    <mergeCell ref="BZ150:CC150"/>
    <mergeCell ref="CD150:CG150"/>
    <mergeCell ref="CH150:CK150"/>
    <mergeCell ref="Z149:AC149"/>
    <mergeCell ref="AD149:AG149"/>
    <mergeCell ref="AH149:AK149"/>
    <mergeCell ref="AL149:AO149"/>
    <mergeCell ref="AP149:AS149"/>
    <mergeCell ref="AT149:AW149"/>
    <mergeCell ref="B149:B151"/>
    <mergeCell ref="F149:I149"/>
    <mergeCell ref="J149:M149"/>
    <mergeCell ref="N149:Q149"/>
    <mergeCell ref="R149:U149"/>
    <mergeCell ref="V149:Y149"/>
    <mergeCell ref="DV148:DY148"/>
    <mergeCell ref="BB148:BE148"/>
    <mergeCell ref="BF148:BI148"/>
    <mergeCell ref="BJ148:BM148"/>
    <mergeCell ref="BN148:BQ148"/>
    <mergeCell ref="BR148:BU148"/>
    <mergeCell ref="BV148:BY148"/>
    <mergeCell ref="AD148:AG148"/>
    <mergeCell ref="AH148:AK148"/>
    <mergeCell ref="AL148:AO148"/>
    <mergeCell ref="AP148:AS148"/>
    <mergeCell ref="AT148:AW148"/>
    <mergeCell ref="AX148:BA148"/>
    <mergeCell ref="BF150:BI150"/>
    <mergeCell ref="BJ150:BM150"/>
    <mergeCell ref="DB149:DE149"/>
    <mergeCell ref="DF149:DI149"/>
    <mergeCell ref="DJ149:DM149"/>
    <mergeCell ref="DN149:DQ149"/>
    <mergeCell ref="BV149:BY149"/>
    <mergeCell ref="DZ148:EC148"/>
    <mergeCell ref="ED148:EG148"/>
    <mergeCell ref="EH148:EK148"/>
    <mergeCell ref="EL148:EO148"/>
    <mergeCell ref="EP148:ES148"/>
    <mergeCell ref="CX148:DA148"/>
    <mergeCell ref="DB148:DE148"/>
    <mergeCell ref="DF148:DI148"/>
    <mergeCell ref="DJ148:DM148"/>
    <mergeCell ref="DN148:DQ148"/>
    <mergeCell ref="DR148:DU148"/>
    <mergeCell ref="BZ148:CC148"/>
    <mergeCell ref="CD148:CG148"/>
    <mergeCell ref="CH148:CK148"/>
    <mergeCell ref="CL148:CO148"/>
    <mergeCell ref="CP148:CS148"/>
    <mergeCell ref="CT148:CW148"/>
    <mergeCell ref="ED147:EG147"/>
    <mergeCell ref="EH147:EK147"/>
    <mergeCell ref="EL147:EO147"/>
    <mergeCell ref="EP147:ES147"/>
    <mergeCell ref="F148:I148"/>
    <mergeCell ref="J148:M148"/>
    <mergeCell ref="N148:Q148"/>
    <mergeCell ref="R148:U148"/>
    <mergeCell ref="V148:Y148"/>
    <mergeCell ref="Z148:AC148"/>
    <mergeCell ref="DF147:DI147"/>
    <mergeCell ref="DJ147:DM147"/>
    <mergeCell ref="DN147:DQ147"/>
    <mergeCell ref="DR147:DU147"/>
    <mergeCell ref="DV147:DY147"/>
    <mergeCell ref="DZ147:EC147"/>
    <mergeCell ref="CH147:CK147"/>
    <mergeCell ref="CL147:CO147"/>
    <mergeCell ref="CP147:CS147"/>
    <mergeCell ref="CT147:CW147"/>
    <mergeCell ref="CX147:DA147"/>
    <mergeCell ref="DB147:DE147"/>
    <mergeCell ref="BJ147:BM147"/>
    <mergeCell ref="BN147:BQ147"/>
    <mergeCell ref="BR147:BU147"/>
    <mergeCell ref="BV147:BY147"/>
    <mergeCell ref="BZ147:CC147"/>
    <mergeCell ref="CD147:CG147"/>
    <mergeCell ref="AL147:AO147"/>
    <mergeCell ref="AP147:AS147"/>
    <mergeCell ref="AT147:AW147"/>
    <mergeCell ref="AX147:BA147"/>
    <mergeCell ref="BB147:BE147"/>
    <mergeCell ref="BF147:BI147"/>
    <mergeCell ref="EL146:EO146"/>
    <mergeCell ref="EP146:ES146"/>
    <mergeCell ref="F147:I147"/>
    <mergeCell ref="J147:M147"/>
    <mergeCell ref="N147:Q147"/>
    <mergeCell ref="R147:U147"/>
    <mergeCell ref="V147:Y147"/>
    <mergeCell ref="Z147:AC147"/>
    <mergeCell ref="AD147:AG147"/>
    <mergeCell ref="AH147:AK147"/>
    <mergeCell ref="DN146:DQ146"/>
    <mergeCell ref="DR146:DU146"/>
    <mergeCell ref="DV146:DY146"/>
    <mergeCell ref="DZ146:EC146"/>
    <mergeCell ref="ED146:EG146"/>
    <mergeCell ref="EH146:EK146"/>
    <mergeCell ref="CP146:CS146"/>
    <mergeCell ref="CT146:CW146"/>
    <mergeCell ref="CX146:DA146"/>
    <mergeCell ref="DB146:DE146"/>
    <mergeCell ref="DF146:DI146"/>
    <mergeCell ref="DJ146:DM146"/>
    <mergeCell ref="BR146:BU146"/>
    <mergeCell ref="BV146:BY146"/>
    <mergeCell ref="BZ146:CC146"/>
    <mergeCell ref="CD146:CG146"/>
    <mergeCell ref="CH146:CK146"/>
    <mergeCell ref="CL146:CO146"/>
    <mergeCell ref="AT146:AW146"/>
    <mergeCell ref="AX146:BA146"/>
    <mergeCell ref="BB146:BE146"/>
    <mergeCell ref="BF146:BI146"/>
    <mergeCell ref="BJ146:BM146"/>
    <mergeCell ref="BN146:BQ146"/>
    <mergeCell ref="V146:Y146"/>
    <mergeCell ref="Z146:AC146"/>
    <mergeCell ref="AD146:AG146"/>
    <mergeCell ref="AH146:AK146"/>
    <mergeCell ref="AL146:AO146"/>
    <mergeCell ref="AP146:AS146"/>
    <mergeCell ref="DZ145:EC145"/>
    <mergeCell ref="ED145:EG145"/>
    <mergeCell ref="EH145:EK145"/>
    <mergeCell ref="EL145:EO145"/>
    <mergeCell ref="EP145:ES145"/>
    <mergeCell ref="B146:B148"/>
    <mergeCell ref="F146:I146"/>
    <mergeCell ref="J146:M146"/>
    <mergeCell ref="N146:Q146"/>
    <mergeCell ref="R146:U146"/>
    <mergeCell ref="DB145:DE145"/>
    <mergeCell ref="DF145:DI145"/>
    <mergeCell ref="DJ145:DM145"/>
    <mergeCell ref="DN145:DQ145"/>
    <mergeCell ref="DR145:DU145"/>
    <mergeCell ref="DV145:DY145"/>
    <mergeCell ref="CD145:CG145"/>
    <mergeCell ref="CH145:CK145"/>
    <mergeCell ref="CL145:CO145"/>
    <mergeCell ref="CP145:CS145"/>
    <mergeCell ref="CT145:CW145"/>
    <mergeCell ref="CX145:DA145"/>
    <mergeCell ref="BF145:BI145"/>
    <mergeCell ref="BJ145:BM145"/>
    <mergeCell ref="BN145:BQ145"/>
    <mergeCell ref="BR145:BU145"/>
    <mergeCell ref="BV145:BY145"/>
    <mergeCell ref="BZ145:CC145"/>
    <mergeCell ref="AH145:AK145"/>
    <mergeCell ref="AL145:AO145"/>
    <mergeCell ref="AP145:AS145"/>
    <mergeCell ref="AT145:AW145"/>
    <mergeCell ref="AX145:BA145"/>
    <mergeCell ref="BB145:BE145"/>
    <mergeCell ref="EH144:EK144"/>
    <mergeCell ref="EL144:EO144"/>
    <mergeCell ref="EP144:ES144"/>
    <mergeCell ref="F145:I145"/>
    <mergeCell ref="J145:M145"/>
    <mergeCell ref="N145:Q145"/>
    <mergeCell ref="R145:U145"/>
    <mergeCell ref="V145:Y145"/>
    <mergeCell ref="Z145:AC145"/>
    <mergeCell ref="AD145:AG145"/>
    <mergeCell ref="DJ144:DM144"/>
    <mergeCell ref="DN144:DQ144"/>
    <mergeCell ref="DR144:DU144"/>
    <mergeCell ref="DV144:DY144"/>
    <mergeCell ref="DZ144:EC144"/>
    <mergeCell ref="ED144:EG144"/>
    <mergeCell ref="CL144:CO144"/>
    <mergeCell ref="CP144:CS144"/>
    <mergeCell ref="CT144:CW144"/>
    <mergeCell ref="CX144:DA144"/>
    <mergeCell ref="DB144:DE144"/>
    <mergeCell ref="DF144:DI144"/>
    <mergeCell ref="BN144:BQ144"/>
    <mergeCell ref="BR144:BU144"/>
    <mergeCell ref="BV144:BY144"/>
    <mergeCell ref="BZ144:CC144"/>
    <mergeCell ref="CD144:CG144"/>
    <mergeCell ref="CH144:CK144"/>
    <mergeCell ref="AP144:AS144"/>
    <mergeCell ref="AT144:AW144"/>
    <mergeCell ref="AX144:BA144"/>
    <mergeCell ref="BB144:BE144"/>
    <mergeCell ref="BF144:BI144"/>
    <mergeCell ref="BJ144:BM144"/>
    <mergeCell ref="EP143:ES143"/>
    <mergeCell ref="F144:I144"/>
    <mergeCell ref="J144:M144"/>
    <mergeCell ref="N144:Q144"/>
    <mergeCell ref="R144:U144"/>
    <mergeCell ref="V144:Y144"/>
    <mergeCell ref="Z144:AC144"/>
    <mergeCell ref="AD144:AG144"/>
    <mergeCell ref="AH144:AK144"/>
    <mergeCell ref="AL144:AO144"/>
    <mergeCell ref="DR143:DU143"/>
    <mergeCell ref="DV143:DY143"/>
    <mergeCell ref="DZ143:EC143"/>
    <mergeCell ref="ED143:EG143"/>
    <mergeCell ref="EH143:EK143"/>
    <mergeCell ref="EL143:EO143"/>
    <mergeCell ref="CT143:CW143"/>
    <mergeCell ref="CX143:DA143"/>
    <mergeCell ref="DB143:DE143"/>
    <mergeCell ref="DF143:DI143"/>
    <mergeCell ref="DJ143:DM143"/>
    <mergeCell ref="DN143:DQ143"/>
    <mergeCell ref="BV143:BY143"/>
    <mergeCell ref="BZ143:CC143"/>
    <mergeCell ref="CD143:CG143"/>
    <mergeCell ref="CH143:CK143"/>
    <mergeCell ref="CL143:CO143"/>
    <mergeCell ref="CP143:CS143"/>
    <mergeCell ref="AX143:BA143"/>
    <mergeCell ref="BB143:BE143"/>
    <mergeCell ref="BF143:BI143"/>
    <mergeCell ref="BJ143:BM143"/>
    <mergeCell ref="BN143:BQ143"/>
    <mergeCell ref="BR143:BU143"/>
    <mergeCell ref="Z143:AC143"/>
    <mergeCell ref="AD143:AG143"/>
    <mergeCell ref="AH143:AK143"/>
    <mergeCell ref="AL143:AO143"/>
    <mergeCell ref="AP143:AS143"/>
    <mergeCell ref="AT143:AW143"/>
    <mergeCell ref="B143:B145"/>
    <mergeCell ref="F143:I143"/>
    <mergeCell ref="J143:M143"/>
    <mergeCell ref="N143:Q143"/>
    <mergeCell ref="R143:U143"/>
    <mergeCell ref="V143:Y143"/>
    <mergeCell ref="DV142:DY142"/>
    <mergeCell ref="DZ142:EC142"/>
    <mergeCell ref="ED142:EG142"/>
    <mergeCell ref="EH142:EK142"/>
    <mergeCell ref="EL142:EO142"/>
    <mergeCell ref="EP142:ES142"/>
    <mergeCell ref="CX142:DA142"/>
    <mergeCell ref="DB142:DE142"/>
    <mergeCell ref="DF142:DI142"/>
    <mergeCell ref="DJ142:DM142"/>
    <mergeCell ref="DN142:DQ142"/>
    <mergeCell ref="DR142:DU142"/>
    <mergeCell ref="BZ142:CC142"/>
    <mergeCell ref="CD142:CG142"/>
    <mergeCell ref="CH142:CK142"/>
    <mergeCell ref="CL142:CO142"/>
    <mergeCell ref="CP142:CS142"/>
    <mergeCell ref="CT142:CW142"/>
    <mergeCell ref="BB142:BE142"/>
    <mergeCell ref="BF142:BI142"/>
    <mergeCell ref="BJ142:BM142"/>
    <mergeCell ref="BN142:BQ142"/>
    <mergeCell ref="BR142:BU142"/>
    <mergeCell ref="BV142:BY142"/>
    <mergeCell ref="AD142:AG142"/>
    <mergeCell ref="AH142:AK142"/>
    <mergeCell ref="ED141:EG141"/>
    <mergeCell ref="EH141:EK141"/>
    <mergeCell ref="EL141:EO141"/>
    <mergeCell ref="EP141:ES141"/>
    <mergeCell ref="F142:I142"/>
    <mergeCell ref="J142:M142"/>
    <mergeCell ref="N142:Q142"/>
    <mergeCell ref="R142:U142"/>
    <mergeCell ref="V142:Y142"/>
    <mergeCell ref="Z142:AC142"/>
    <mergeCell ref="DF141:DI141"/>
    <mergeCell ref="DJ141:DM141"/>
    <mergeCell ref="DN141:DQ141"/>
    <mergeCell ref="DR141:DU141"/>
    <mergeCell ref="DV141:DY141"/>
    <mergeCell ref="DZ141:EC141"/>
    <mergeCell ref="CH141:CK141"/>
    <mergeCell ref="CL141:CO141"/>
    <mergeCell ref="CP141:CS141"/>
    <mergeCell ref="CT141:CW141"/>
    <mergeCell ref="CX141:DA141"/>
    <mergeCell ref="DB141:DE141"/>
    <mergeCell ref="BJ141:BM141"/>
    <mergeCell ref="BN141:BQ141"/>
    <mergeCell ref="BR141:BU141"/>
    <mergeCell ref="BV141:BY141"/>
    <mergeCell ref="BZ141:CC141"/>
    <mergeCell ref="CD141:CG141"/>
    <mergeCell ref="EL140:EO140"/>
    <mergeCell ref="EP140:ES140"/>
    <mergeCell ref="F141:I141"/>
    <mergeCell ref="J141:M141"/>
    <mergeCell ref="N141:Q141"/>
    <mergeCell ref="R141:U141"/>
    <mergeCell ref="V141:Y141"/>
    <mergeCell ref="Z141:AC141"/>
    <mergeCell ref="AD141:AG141"/>
    <mergeCell ref="AH141:AK141"/>
    <mergeCell ref="DN140:DQ140"/>
    <mergeCell ref="DR140:DU140"/>
    <mergeCell ref="DV140:DY140"/>
    <mergeCell ref="DZ140:EC140"/>
    <mergeCell ref="ED140:EG140"/>
    <mergeCell ref="EH140:EK140"/>
    <mergeCell ref="CP140:CS140"/>
    <mergeCell ref="CT140:CW140"/>
    <mergeCell ref="CX140:DA140"/>
    <mergeCell ref="DB140:DE140"/>
    <mergeCell ref="DF140:DI140"/>
    <mergeCell ref="DJ140:DM140"/>
    <mergeCell ref="BR140:BU140"/>
    <mergeCell ref="BV140:BY140"/>
    <mergeCell ref="BZ140:CC140"/>
    <mergeCell ref="CD140:CG140"/>
    <mergeCell ref="AX140:BA140"/>
    <mergeCell ref="BB140:BE140"/>
    <mergeCell ref="BF140:BI140"/>
    <mergeCell ref="BJ140:BM140"/>
    <mergeCell ref="BN140:BQ140"/>
    <mergeCell ref="V140:Y140"/>
    <mergeCell ref="AL141:AO141"/>
    <mergeCell ref="AP141:AS141"/>
    <mergeCell ref="AT141:AW141"/>
    <mergeCell ref="AX141:BA141"/>
    <mergeCell ref="BB141:BE141"/>
    <mergeCell ref="BF141:BI141"/>
    <mergeCell ref="B140:B142"/>
    <mergeCell ref="F140:I140"/>
    <mergeCell ref="J140:M140"/>
    <mergeCell ref="N140:Q140"/>
    <mergeCell ref="R140:U140"/>
    <mergeCell ref="DB139:DE139"/>
    <mergeCell ref="DF139:DI139"/>
    <mergeCell ref="DJ139:DM139"/>
    <mergeCell ref="DN139:DQ139"/>
    <mergeCell ref="DR139:DU139"/>
    <mergeCell ref="DV139:DY139"/>
    <mergeCell ref="CD139:CG139"/>
    <mergeCell ref="CH139:CK139"/>
    <mergeCell ref="CL139:CO139"/>
    <mergeCell ref="CP139:CS139"/>
    <mergeCell ref="CT139:CW139"/>
    <mergeCell ref="CX139:DA139"/>
    <mergeCell ref="BF139:BI139"/>
    <mergeCell ref="AL142:AO142"/>
    <mergeCell ref="AP142:AS142"/>
    <mergeCell ref="AT142:AW142"/>
    <mergeCell ref="AX142:BA142"/>
    <mergeCell ref="AT139:AW139"/>
    <mergeCell ref="AX139:BA139"/>
    <mergeCell ref="BB139:BE139"/>
    <mergeCell ref="CH140:CK140"/>
    <mergeCell ref="CL140:CO140"/>
    <mergeCell ref="AT140:AW140"/>
    <mergeCell ref="EP138:ES138"/>
    <mergeCell ref="F139:I139"/>
    <mergeCell ref="J139:M139"/>
    <mergeCell ref="N139:Q139"/>
    <mergeCell ref="R139:U139"/>
    <mergeCell ref="V139:Y139"/>
    <mergeCell ref="Z139:AC139"/>
    <mergeCell ref="AD139:AG139"/>
    <mergeCell ref="DJ138:DM138"/>
    <mergeCell ref="DN138:DQ138"/>
    <mergeCell ref="DR138:DU138"/>
    <mergeCell ref="DV138:DY138"/>
    <mergeCell ref="DZ138:EC138"/>
    <mergeCell ref="ED138:EG138"/>
    <mergeCell ref="CL138:CO138"/>
    <mergeCell ref="CP138:CS138"/>
    <mergeCell ref="CT138:CW138"/>
    <mergeCell ref="CX138:DA138"/>
    <mergeCell ref="Z140:AC140"/>
    <mergeCell ref="AD140:AG140"/>
    <mergeCell ref="AH140:AK140"/>
    <mergeCell ref="AL140:AO140"/>
    <mergeCell ref="AP140:AS140"/>
    <mergeCell ref="DZ139:EC139"/>
    <mergeCell ref="ED139:EG139"/>
    <mergeCell ref="EH139:EK139"/>
    <mergeCell ref="AP138:AS138"/>
    <mergeCell ref="AT138:AW138"/>
    <mergeCell ref="AX138:BA138"/>
    <mergeCell ref="BB138:BE138"/>
    <mergeCell ref="EL139:EO139"/>
    <mergeCell ref="EP139:ES139"/>
    <mergeCell ref="EP137:ES137"/>
    <mergeCell ref="F138:I138"/>
    <mergeCell ref="J138:M138"/>
    <mergeCell ref="N138:Q138"/>
    <mergeCell ref="R138:U138"/>
    <mergeCell ref="V138:Y138"/>
    <mergeCell ref="Z138:AC138"/>
    <mergeCell ref="AD138:AG138"/>
    <mergeCell ref="AH138:AK138"/>
    <mergeCell ref="AL138:AO138"/>
    <mergeCell ref="DR137:DU137"/>
    <mergeCell ref="DV137:DY137"/>
    <mergeCell ref="DZ137:EC137"/>
    <mergeCell ref="ED137:EG137"/>
    <mergeCell ref="EH137:EK137"/>
    <mergeCell ref="EL137:EO137"/>
    <mergeCell ref="CT137:CW137"/>
    <mergeCell ref="CX137:DA137"/>
    <mergeCell ref="BJ139:BM139"/>
    <mergeCell ref="BN139:BQ139"/>
    <mergeCell ref="BR139:BU139"/>
    <mergeCell ref="BV139:BY139"/>
    <mergeCell ref="BZ139:CC139"/>
    <mergeCell ref="AH139:AK139"/>
    <mergeCell ref="AL139:AO139"/>
    <mergeCell ref="AP139:AS139"/>
    <mergeCell ref="BZ137:CC137"/>
    <mergeCell ref="CD137:CG137"/>
    <mergeCell ref="CH137:CK137"/>
    <mergeCell ref="CL137:CO137"/>
    <mergeCell ref="CP137:CS137"/>
    <mergeCell ref="AX137:BA137"/>
    <mergeCell ref="BB137:BE137"/>
    <mergeCell ref="EH138:EK138"/>
    <mergeCell ref="EL138:EO138"/>
    <mergeCell ref="BF137:BI137"/>
    <mergeCell ref="BJ137:BM137"/>
    <mergeCell ref="BN137:BQ137"/>
    <mergeCell ref="BR137:BU137"/>
    <mergeCell ref="DB138:DE138"/>
    <mergeCell ref="DF138:DI138"/>
    <mergeCell ref="BN138:BQ138"/>
    <mergeCell ref="BR138:BU138"/>
    <mergeCell ref="BV138:BY138"/>
    <mergeCell ref="BZ138:CC138"/>
    <mergeCell ref="CD138:CG138"/>
    <mergeCell ref="CH138:CK138"/>
    <mergeCell ref="Z137:AC137"/>
    <mergeCell ref="AD137:AG137"/>
    <mergeCell ref="AH137:AK137"/>
    <mergeCell ref="AL137:AO137"/>
    <mergeCell ref="AP137:AS137"/>
    <mergeCell ref="AT137:AW137"/>
    <mergeCell ref="B137:B139"/>
    <mergeCell ref="F137:I137"/>
    <mergeCell ref="J137:M137"/>
    <mergeCell ref="N137:Q137"/>
    <mergeCell ref="R137:U137"/>
    <mergeCell ref="V137:Y137"/>
    <mergeCell ref="DV136:DY136"/>
    <mergeCell ref="BB136:BE136"/>
    <mergeCell ref="BF136:BI136"/>
    <mergeCell ref="BJ136:BM136"/>
    <mergeCell ref="BN136:BQ136"/>
    <mergeCell ref="BR136:BU136"/>
    <mergeCell ref="BV136:BY136"/>
    <mergeCell ref="AD136:AG136"/>
    <mergeCell ref="AH136:AK136"/>
    <mergeCell ref="AL136:AO136"/>
    <mergeCell ref="AP136:AS136"/>
    <mergeCell ref="AT136:AW136"/>
    <mergeCell ref="AX136:BA136"/>
    <mergeCell ref="BF138:BI138"/>
    <mergeCell ref="BJ138:BM138"/>
    <mergeCell ref="DB137:DE137"/>
    <mergeCell ref="DF137:DI137"/>
    <mergeCell ref="DJ137:DM137"/>
    <mergeCell ref="DN137:DQ137"/>
    <mergeCell ref="BV137:BY137"/>
    <mergeCell ref="DZ136:EC136"/>
    <mergeCell ref="ED136:EG136"/>
    <mergeCell ref="EH136:EK136"/>
    <mergeCell ref="EL136:EO136"/>
    <mergeCell ref="EP136:ES136"/>
    <mergeCell ref="CX136:DA136"/>
    <mergeCell ref="DB136:DE136"/>
    <mergeCell ref="DF136:DI136"/>
    <mergeCell ref="DJ136:DM136"/>
    <mergeCell ref="DN136:DQ136"/>
    <mergeCell ref="DR136:DU136"/>
    <mergeCell ref="BZ136:CC136"/>
    <mergeCell ref="CD136:CG136"/>
    <mergeCell ref="CH136:CK136"/>
    <mergeCell ref="CL136:CO136"/>
    <mergeCell ref="CP136:CS136"/>
    <mergeCell ref="CT136:CW136"/>
    <mergeCell ref="ED135:EG135"/>
    <mergeCell ref="EH135:EK135"/>
    <mergeCell ref="EL135:EO135"/>
    <mergeCell ref="EP135:ES135"/>
    <mergeCell ref="F136:I136"/>
    <mergeCell ref="J136:M136"/>
    <mergeCell ref="N136:Q136"/>
    <mergeCell ref="R136:U136"/>
    <mergeCell ref="V136:Y136"/>
    <mergeCell ref="Z136:AC136"/>
    <mergeCell ref="DF135:DI135"/>
    <mergeCell ref="DJ135:DM135"/>
    <mergeCell ref="DN135:DQ135"/>
    <mergeCell ref="DR135:DU135"/>
    <mergeCell ref="DV135:DY135"/>
    <mergeCell ref="DZ135:EC135"/>
    <mergeCell ref="CH135:CK135"/>
    <mergeCell ref="CL135:CO135"/>
    <mergeCell ref="CP135:CS135"/>
    <mergeCell ref="CT135:CW135"/>
    <mergeCell ref="CX135:DA135"/>
    <mergeCell ref="DB135:DE135"/>
    <mergeCell ref="BJ135:BM135"/>
    <mergeCell ref="BN135:BQ135"/>
    <mergeCell ref="BR135:BU135"/>
    <mergeCell ref="BV135:BY135"/>
    <mergeCell ref="BZ135:CC135"/>
    <mergeCell ref="CD135:CG135"/>
    <mergeCell ref="AL135:AO135"/>
    <mergeCell ref="AP135:AS135"/>
    <mergeCell ref="AT135:AW135"/>
    <mergeCell ref="AX135:BA135"/>
    <mergeCell ref="BB135:BE135"/>
    <mergeCell ref="BF135:BI135"/>
    <mergeCell ref="EL134:EO134"/>
    <mergeCell ref="EP134:ES134"/>
    <mergeCell ref="F135:I135"/>
    <mergeCell ref="J135:M135"/>
    <mergeCell ref="N135:Q135"/>
    <mergeCell ref="R135:U135"/>
    <mergeCell ref="V135:Y135"/>
    <mergeCell ref="Z135:AC135"/>
    <mergeCell ref="AD135:AG135"/>
    <mergeCell ref="AH135:AK135"/>
    <mergeCell ref="DN134:DQ134"/>
    <mergeCell ref="DR134:DU134"/>
    <mergeCell ref="DV134:DY134"/>
    <mergeCell ref="DZ134:EC134"/>
    <mergeCell ref="ED134:EG134"/>
    <mergeCell ref="EH134:EK134"/>
    <mergeCell ref="CP134:CS134"/>
    <mergeCell ref="CT134:CW134"/>
    <mergeCell ref="CX134:DA134"/>
    <mergeCell ref="DB134:DE134"/>
    <mergeCell ref="DF134:DI134"/>
    <mergeCell ref="DJ134:DM134"/>
    <mergeCell ref="BR134:BU134"/>
    <mergeCell ref="BV134:BY134"/>
    <mergeCell ref="BZ134:CC134"/>
    <mergeCell ref="CD134:CG134"/>
    <mergeCell ref="CH134:CK134"/>
    <mergeCell ref="CL134:CO134"/>
    <mergeCell ref="AT134:AW134"/>
    <mergeCell ref="AX134:BA134"/>
    <mergeCell ref="BB134:BE134"/>
    <mergeCell ref="BF134:BI134"/>
    <mergeCell ref="BJ134:BM134"/>
    <mergeCell ref="BN134:BQ134"/>
    <mergeCell ref="V134:Y134"/>
    <mergeCell ref="Z134:AC134"/>
    <mergeCell ref="AD134:AG134"/>
    <mergeCell ref="AH134:AK134"/>
    <mergeCell ref="AL134:AO134"/>
    <mergeCell ref="AP134:AS134"/>
    <mergeCell ref="DZ133:EC133"/>
    <mergeCell ref="ED133:EG133"/>
    <mergeCell ref="EH133:EK133"/>
    <mergeCell ref="EL133:EO133"/>
    <mergeCell ref="EP133:ES133"/>
    <mergeCell ref="B134:B136"/>
    <mergeCell ref="F134:I134"/>
    <mergeCell ref="J134:M134"/>
    <mergeCell ref="N134:Q134"/>
    <mergeCell ref="R134:U134"/>
    <mergeCell ref="DB133:DE133"/>
    <mergeCell ref="DF133:DI133"/>
    <mergeCell ref="DJ133:DM133"/>
    <mergeCell ref="DN133:DQ133"/>
    <mergeCell ref="DR133:DU133"/>
    <mergeCell ref="DV133:DY133"/>
    <mergeCell ref="CD133:CG133"/>
    <mergeCell ref="CH133:CK133"/>
    <mergeCell ref="CL133:CO133"/>
    <mergeCell ref="CP133:CS133"/>
    <mergeCell ref="CT133:CW133"/>
    <mergeCell ref="CX133:DA133"/>
    <mergeCell ref="BF133:BI133"/>
    <mergeCell ref="BJ133:BM133"/>
    <mergeCell ref="BN133:BQ133"/>
    <mergeCell ref="BR133:BU133"/>
    <mergeCell ref="BV133:BY133"/>
    <mergeCell ref="BZ133:CC133"/>
    <mergeCell ref="AH133:AK133"/>
    <mergeCell ref="AL133:AO133"/>
    <mergeCell ref="AP133:AS133"/>
    <mergeCell ref="AT133:AW133"/>
    <mergeCell ref="AX133:BA133"/>
    <mergeCell ref="BB133:BE133"/>
    <mergeCell ref="EH132:EK132"/>
    <mergeCell ref="EL132:EO132"/>
    <mergeCell ref="EP132:ES132"/>
    <mergeCell ref="F133:I133"/>
    <mergeCell ref="J133:M133"/>
    <mergeCell ref="N133:Q133"/>
    <mergeCell ref="R133:U133"/>
    <mergeCell ref="V133:Y133"/>
    <mergeCell ref="Z133:AC133"/>
    <mergeCell ref="AD133:AG133"/>
    <mergeCell ref="DJ132:DM132"/>
    <mergeCell ref="DN132:DQ132"/>
    <mergeCell ref="DR132:DU132"/>
    <mergeCell ref="DV132:DY132"/>
    <mergeCell ref="DZ132:EC132"/>
    <mergeCell ref="ED132:EG132"/>
    <mergeCell ref="CL132:CO132"/>
    <mergeCell ref="CP132:CS132"/>
    <mergeCell ref="CT132:CW132"/>
    <mergeCell ref="CX132:DA132"/>
    <mergeCell ref="DB132:DE132"/>
    <mergeCell ref="DF132:DI132"/>
    <mergeCell ref="BN132:BQ132"/>
    <mergeCell ref="BR132:BU132"/>
    <mergeCell ref="BV132:BY132"/>
    <mergeCell ref="BZ132:CC132"/>
    <mergeCell ref="CD132:CG132"/>
    <mergeCell ref="CH132:CK132"/>
    <mergeCell ref="AP132:AS132"/>
    <mergeCell ref="AT132:AW132"/>
    <mergeCell ref="AX132:BA132"/>
    <mergeCell ref="BB132:BE132"/>
    <mergeCell ref="BF132:BI132"/>
    <mergeCell ref="BJ132:BM132"/>
    <mergeCell ref="EP131:ES131"/>
    <mergeCell ref="F132:I132"/>
    <mergeCell ref="J132:M132"/>
    <mergeCell ref="N132:Q132"/>
    <mergeCell ref="R132:U132"/>
    <mergeCell ref="V132:Y132"/>
    <mergeCell ref="Z132:AC132"/>
    <mergeCell ref="AD132:AG132"/>
    <mergeCell ref="AH132:AK132"/>
    <mergeCell ref="AL132:AO132"/>
    <mergeCell ref="DR131:DU131"/>
    <mergeCell ref="DV131:DY131"/>
    <mergeCell ref="DZ131:EC131"/>
    <mergeCell ref="ED131:EG131"/>
    <mergeCell ref="EH131:EK131"/>
    <mergeCell ref="EL131:EO131"/>
    <mergeCell ref="CT131:CW131"/>
    <mergeCell ref="CX131:DA131"/>
    <mergeCell ref="DB131:DE131"/>
    <mergeCell ref="DF131:DI131"/>
    <mergeCell ref="DJ131:DM131"/>
    <mergeCell ref="DN131:DQ131"/>
    <mergeCell ref="BV131:BY131"/>
    <mergeCell ref="BZ131:CC131"/>
    <mergeCell ref="CD131:CG131"/>
    <mergeCell ref="CH131:CK131"/>
    <mergeCell ref="CL131:CO131"/>
    <mergeCell ref="CP131:CS131"/>
    <mergeCell ref="AX131:BA131"/>
    <mergeCell ref="BB131:BE131"/>
    <mergeCell ref="BF131:BI131"/>
    <mergeCell ref="BJ131:BM131"/>
    <mergeCell ref="BN131:BQ131"/>
    <mergeCell ref="BR131:BU131"/>
    <mergeCell ref="Z131:AC131"/>
    <mergeCell ref="AD131:AG131"/>
    <mergeCell ref="AH131:AK131"/>
    <mergeCell ref="AL131:AO131"/>
    <mergeCell ref="AP131:AS131"/>
    <mergeCell ref="AT131:AW131"/>
    <mergeCell ref="B131:B133"/>
    <mergeCell ref="F131:I131"/>
    <mergeCell ref="J131:M131"/>
    <mergeCell ref="N131:Q131"/>
    <mergeCell ref="R131:U131"/>
    <mergeCell ref="V131:Y131"/>
    <mergeCell ref="DV130:DY130"/>
    <mergeCell ref="DZ130:EC130"/>
    <mergeCell ref="ED130:EG130"/>
    <mergeCell ref="EH130:EK130"/>
    <mergeCell ref="EL130:EO130"/>
    <mergeCell ref="EP130:ES130"/>
    <mergeCell ref="CX130:DA130"/>
    <mergeCell ref="DB130:DE130"/>
    <mergeCell ref="DF130:DI130"/>
    <mergeCell ref="DJ130:DM130"/>
    <mergeCell ref="DN130:DQ130"/>
    <mergeCell ref="DR130:DU130"/>
    <mergeCell ref="BZ130:CC130"/>
    <mergeCell ref="CD130:CG130"/>
    <mergeCell ref="CH130:CK130"/>
    <mergeCell ref="CL130:CO130"/>
    <mergeCell ref="CP130:CS130"/>
    <mergeCell ref="CT130:CW130"/>
    <mergeCell ref="BB130:BE130"/>
    <mergeCell ref="BF130:BI130"/>
    <mergeCell ref="BJ130:BM130"/>
    <mergeCell ref="BN130:BQ130"/>
    <mergeCell ref="BR130:BU130"/>
    <mergeCell ref="BV130:BY130"/>
    <mergeCell ref="AD130:AG130"/>
    <mergeCell ref="AH130:AK130"/>
    <mergeCell ref="ED129:EG129"/>
    <mergeCell ref="EH129:EK129"/>
    <mergeCell ref="EL129:EO129"/>
    <mergeCell ref="EP129:ES129"/>
    <mergeCell ref="F130:I130"/>
    <mergeCell ref="J130:M130"/>
    <mergeCell ref="N130:Q130"/>
    <mergeCell ref="R130:U130"/>
    <mergeCell ref="V130:Y130"/>
    <mergeCell ref="Z130:AC130"/>
    <mergeCell ref="DF129:DI129"/>
    <mergeCell ref="DJ129:DM129"/>
    <mergeCell ref="DN129:DQ129"/>
    <mergeCell ref="DR129:DU129"/>
    <mergeCell ref="DV129:DY129"/>
    <mergeCell ref="DZ129:EC129"/>
    <mergeCell ref="CH129:CK129"/>
    <mergeCell ref="CL129:CO129"/>
    <mergeCell ref="CP129:CS129"/>
    <mergeCell ref="CT129:CW129"/>
    <mergeCell ref="CX129:DA129"/>
    <mergeCell ref="DB129:DE129"/>
    <mergeCell ref="BJ129:BM129"/>
    <mergeCell ref="BN129:BQ129"/>
    <mergeCell ref="BR129:BU129"/>
    <mergeCell ref="BV129:BY129"/>
    <mergeCell ref="BZ129:CC129"/>
    <mergeCell ref="CD129:CG129"/>
    <mergeCell ref="EL128:EO128"/>
    <mergeCell ref="EP128:ES128"/>
    <mergeCell ref="F129:I129"/>
    <mergeCell ref="J129:M129"/>
    <mergeCell ref="N129:Q129"/>
    <mergeCell ref="R129:U129"/>
    <mergeCell ref="V129:Y129"/>
    <mergeCell ref="Z129:AC129"/>
    <mergeCell ref="AD129:AG129"/>
    <mergeCell ref="AH129:AK129"/>
    <mergeCell ref="DN128:DQ128"/>
    <mergeCell ref="DR128:DU128"/>
    <mergeCell ref="DV128:DY128"/>
    <mergeCell ref="DZ128:EC128"/>
    <mergeCell ref="ED128:EG128"/>
    <mergeCell ref="EH128:EK128"/>
    <mergeCell ref="CP128:CS128"/>
    <mergeCell ref="CT128:CW128"/>
    <mergeCell ref="CX128:DA128"/>
    <mergeCell ref="DB128:DE128"/>
    <mergeCell ref="DF128:DI128"/>
    <mergeCell ref="DJ128:DM128"/>
    <mergeCell ref="BR128:BU128"/>
    <mergeCell ref="BV128:BY128"/>
    <mergeCell ref="BZ128:CC128"/>
    <mergeCell ref="CD128:CG128"/>
    <mergeCell ref="AX128:BA128"/>
    <mergeCell ref="BB128:BE128"/>
    <mergeCell ref="BF128:BI128"/>
    <mergeCell ref="BJ128:BM128"/>
    <mergeCell ref="BN128:BQ128"/>
    <mergeCell ref="V128:Y128"/>
    <mergeCell ref="AL129:AO129"/>
    <mergeCell ref="AP129:AS129"/>
    <mergeCell ref="AT129:AW129"/>
    <mergeCell ref="AX129:BA129"/>
    <mergeCell ref="BB129:BE129"/>
    <mergeCell ref="BF129:BI129"/>
    <mergeCell ref="B128:B130"/>
    <mergeCell ref="F128:I128"/>
    <mergeCell ref="J128:M128"/>
    <mergeCell ref="N128:Q128"/>
    <mergeCell ref="R128:U128"/>
    <mergeCell ref="DB127:DE127"/>
    <mergeCell ref="DF127:DI127"/>
    <mergeCell ref="DJ127:DM127"/>
    <mergeCell ref="DN127:DQ127"/>
    <mergeCell ref="DR127:DU127"/>
    <mergeCell ref="DV127:DY127"/>
    <mergeCell ref="CD127:CG127"/>
    <mergeCell ref="CH127:CK127"/>
    <mergeCell ref="CL127:CO127"/>
    <mergeCell ref="CP127:CS127"/>
    <mergeCell ref="CT127:CW127"/>
    <mergeCell ref="CX127:DA127"/>
    <mergeCell ref="BF127:BI127"/>
    <mergeCell ref="AL130:AO130"/>
    <mergeCell ref="AP130:AS130"/>
    <mergeCell ref="AT130:AW130"/>
    <mergeCell ref="AX130:BA130"/>
    <mergeCell ref="AT127:AW127"/>
    <mergeCell ref="AX127:BA127"/>
    <mergeCell ref="BB127:BE127"/>
    <mergeCell ref="CH128:CK128"/>
    <mergeCell ref="CL128:CO128"/>
    <mergeCell ref="AT128:AW128"/>
    <mergeCell ref="EP126:ES126"/>
    <mergeCell ref="F127:I127"/>
    <mergeCell ref="J127:M127"/>
    <mergeCell ref="N127:Q127"/>
    <mergeCell ref="R127:U127"/>
    <mergeCell ref="V127:Y127"/>
    <mergeCell ref="Z127:AC127"/>
    <mergeCell ref="AD127:AG127"/>
    <mergeCell ref="DJ126:DM126"/>
    <mergeCell ref="DN126:DQ126"/>
    <mergeCell ref="DR126:DU126"/>
    <mergeCell ref="DV126:DY126"/>
    <mergeCell ref="DZ126:EC126"/>
    <mergeCell ref="ED126:EG126"/>
    <mergeCell ref="CL126:CO126"/>
    <mergeCell ref="CP126:CS126"/>
    <mergeCell ref="CT126:CW126"/>
    <mergeCell ref="CX126:DA126"/>
    <mergeCell ref="Z128:AC128"/>
    <mergeCell ref="AD128:AG128"/>
    <mergeCell ref="AH128:AK128"/>
    <mergeCell ref="AL128:AO128"/>
    <mergeCell ref="AP128:AS128"/>
    <mergeCell ref="DZ127:EC127"/>
    <mergeCell ref="ED127:EG127"/>
    <mergeCell ref="EH127:EK127"/>
    <mergeCell ref="AP126:AS126"/>
    <mergeCell ref="AT126:AW126"/>
    <mergeCell ref="AX126:BA126"/>
    <mergeCell ref="BB126:BE126"/>
    <mergeCell ref="EL127:EO127"/>
    <mergeCell ref="EP127:ES127"/>
    <mergeCell ref="EP125:ES125"/>
    <mergeCell ref="F126:I126"/>
    <mergeCell ref="J126:M126"/>
    <mergeCell ref="N126:Q126"/>
    <mergeCell ref="R126:U126"/>
    <mergeCell ref="V126:Y126"/>
    <mergeCell ref="Z126:AC126"/>
    <mergeCell ref="AD126:AG126"/>
    <mergeCell ref="AH126:AK126"/>
    <mergeCell ref="AL126:AO126"/>
    <mergeCell ref="DR125:DU125"/>
    <mergeCell ref="DV125:DY125"/>
    <mergeCell ref="DZ125:EC125"/>
    <mergeCell ref="ED125:EG125"/>
    <mergeCell ref="EH125:EK125"/>
    <mergeCell ref="EL125:EO125"/>
    <mergeCell ref="CT125:CW125"/>
    <mergeCell ref="CX125:DA125"/>
    <mergeCell ref="BJ127:BM127"/>
    <mergeCell ref="BN127:BQ127"/>
    <mergeCell ref="BR127:BU127"/>
    <mergeCell ref="BV127:BY127"/>
    <mergeCell ref="BZ127:CC127"/>
    <mergeCell ref="AH127:AK127"/>
    <mergeCell ref="AL127:AO127"/>
    <mergeCell ref="AP127:AS127"/>
    <mergeCell ref="BZ125:CC125"/>
    <mergeCell ref="CD125:CG125"/>
    <mergeCell ref="CH125:CK125"/>
    <mergeCell ref="CL125:CO125"/>
    <mergeCell ref="CP125:CS125"/>
    <mergeCell ref="AX125:BA125"/>
    <mergeCell ref="BB125:BE125"/>
    <mergeCell ref="EH126:EK126"/>
    <mergeCell ref="EL126:EO126"/>
    <mergeCell ref="BF125:BI125"/>
    <mergeCell ref="BJ125:BM125"/>
    <mergeCell ref="BN125:BQ125"/>
    <mergeCell ref="BR125:BU125"/>
    <mergeCell ref="DB126:DE126"/>
    <mergeCell ref="DF126:DI126"/>
    <mergeCell ref="BN126:BQ126"/>
    <mergeCell ref="BR126:BU126"/>
    <mergeCell ref="BV126:BY126"/>
    <mergeCell ref="BZ126:CC126"/>
    <mergeCell ref="CD126:CG126"/>
    <mergeCell ref="CH126:CK126"/>
    <mergeCell ref="Z125:AC125"/>
    <mergeCell ref="AD125:AG125"/>
    <mergeCell ref="AH125:AK125"/>
    <mergeCell ref="AL125:AO125"/>
    <mergeCell ref="AP125:AS125"/>
    <mergeCell ref="AT125:AW125"/>
    <mergeCell ref="B125:B127"/>
    <mergeCell ref="F125:I125"/>
    <mergeCell ref="J125:M125"/>
    <mergeCell ref="N125:Q125"/>
    <mergeCell ref="R125:U125"/>
    <mergeCell ref="V125:Y125"/>
    <mergeCell ref="DV124:DY124"/>
    <mergeCell ref="BB124:BE124"/>
    <mergeCell ref="BF124:BI124"/>
    <mergeCell ref="BJ124:BM124"/>
    <mergeCell ref="BN124:BQ124"/>
    <mergeCell ref="BR124:BU124"/>
    <mergeCell ref="BV124:BY124"/>
    <mergeCell ref="AD124:AG124"/>
    <mergeCell ref="AH124:AK124"/>
    <mergeCell ref="AL124:AO124"/>
    <mergeCell ref="AP124:AS124"/>
    <mergeCell ref="AT124:AW124"/>
    <mergeCell ref="AX124:BA124"/>
    <mergeCell ref="BF126:BI126"/>
    <mergeCell ref="BJ126:BM126"/>
    <mergeCell ref="DB125:DE125"/>
    <mergeCell ref="DF125:DI125"/>
    <mergeCell ref="DJ125:DM125"/>
    <mergeCell ref="DN125:DQ125"/>
    <mergeCell ref="BV125:BY125"/>
    <mergeCell ref="DZ124:EC124"/>
    <mergeCell ref="ED124:EG124"/>
    <mergeCell ref="EH124:EK124"/>
    <mergeCell ref="EL124:EO124"/>
    <mergeCell ref="EP124:ES124"/>
    <mergeCell ref="CX124:DA124"/>
    <mergeCell ref="DB124:DE124"/>
    <mergeCell ref="DF124:DI124"/>
    <mergeCell ref="DJ124:DM124"/>
    <mergeCell ref="DN124:DQ124"/>
    <mergeCell ref="DR124:DU124"/>
    <mergeCell ref="BZ124:CC124"/>
    <mergeCell ref="CD124:CG124"/>
    <mergeCell ref="CH124:CK124"/>
    <mergeCell ref="CL124:CO124"/>
    <mergeCell ref="CP124:CS124"/>
    <mergeCell ref="CT124:CW124"/>
    <mergeCell ref="ED123:EG123"/>
    <mergeCell ref="EH123:EK123"/>
    <mergeCell ref="EL123:EO123"/>
    <mergeCell ref="EP123:ES123"/>
    <mergeCell ref="F124:I124"/>
    <mergeCell ref="J124:M124"/>
    <mergeCell ref="N124:Q124"/>
    <mergeCell ref="R124:U124"/>
    <mergeCell ref="V124:Y124"/>
    <mergeCell ref="Z124:AC124"/>
    <mergeCell ref="DF123:DI123"/>
    <mergeCell ref="DJ123:DM123"/>
    <mergeCell ref="DN123:DQ123"/>
    <mergeCell ref="DR123:DU123"/>
    <mergeCell ref="DV123:DY123"/>
    <mergeCell ref="DZ123:EC123"/>
    <mergeCell ref="CH123:CK123"/>
    <mergeCell ref="CL123:CO123"/>
    <mergeCell ref="CP123:CS123"/>
    <mergeCell ref="CT123:CW123"/>
    <mergeCell ref="CX123:DA123"/>
    <mergeCell ref="DB123:DE123"/>
    <mergeCell ref="BJ123:BM123"/>
    <mergeCell ref="BN123:BQ123"/>
    <mergeCell ref="BR123:BU123"/>
    <mergeCell ref="BV123:BY123"/>
    <mergeCell ref="BZ123:CC123"/>
    <mergeCell ref="CD123:CG123"/>
    <mergeCell ref="AL123:AO123"/>
    <mergeCell ref="AP123:AS123"/>
    <mergeCell ref="AT123:AW123"/>
    <mergeCell ref="AX123:BA123"/>
    <mergeCell ref="BB123:BE123"/>
    <mergeCell ref="BF123:BI123"/>
    <mergeCell ref="EL122:EO122"/>
    <mergeCell ref="EP122:ES122"/>
    <mergeCell ref="F123:I123"/>
    <mergeCell ref="J123:M123"/>
    <mergeCell ref="N123:Q123"/>
    <mergeCell ref="R123:U123"/>
    <mergeCell ref="V123:Y123"/>
    <mergeCell ref="Z123:AC123"/>
    <mergeCell ref="AD123:AG123"/>
    <mergeCell ref="AH123:AK123"/>
    <mergeCell ref="DN122:DQ122"/>
    <mergeCell ref="DR122:DU122"/>
    <mergeCell ref="DV122:DY122"/>
    <mergeCell ref="DZ122:EC122"/>
    <mergeCell ref="ED122:EG122"/>
    <mergeCell ref="EH122:EK122"/>
    <mergeCell ref="CP122:CS122"/>
    <mergeCell ref="CT122:CW122"/>
    <mergeCell ref="CX122:DA122"/>
    <mergeCell ref="DB122:DE122"/>
    <mergeCell ref="DF122:DI122"/>
    <mergeCell ref="DJ122:DM122"/>
    <mergeCell ref="BR122:BU122"/>
    <mergeCell ref="BV122:BY122"/>
    <mergeCell ref="BZ122:CC122"/>
    <mergeCell ref="CD122:CG122"/>
    <mergeCell ref="CH122:CK122"/>
    <mergeCell ref="CL122:CO122"/>
    <mergeCell ref="AT122:AW122"/>
    <mergeCell ref="AX122:BA122"/>
    <mergeCell ref="BB122:BE122"/>
    <mergeCell ref="BF122:BI122"/>
    <mergeCell ref="BJ122:BM122"/>
    <mergeCell ref="BN122:BQ122"/>
    <mergeCell ref="V122:Y122"/>
    <mergeCell ref="Z122:AC122"/>
    <mergeCell ref="AD122:AG122"/>
    <mergeCell ref="AH122:AK122"/>
    <mergeCell ref="AL122:AO122"/>
    <mergeCell ref="AP122:AS122"/>
    <mergeCell ref="DZ121:EC121"/>
    <mergeCell ref="ED121:EG121"/>
    <mergeCell ref="EH121:EK121"/>
    <mergeCell ref="EL121:EO121"/>
    <mergeCell ref="EP121:ES121"/>
    <mergeCell ref="B122:B124"/>
    <mergeCell ref="F122:I122"/>
    <mergeCell ref="J122:M122"/>
    <mergeCell ref="N122:Q122"/>
    <mergeCell ref="R122:U122"/>
    <mergeCell ref="DB121:DE121"/>
    <mergeCell ref="DF121:DI121"/>
    <mergeCell ref="DJ121:DM121"/>
    <mergeCell ref="DN121:DQ121"/>
    <mergeCell ref="DR121:DU121"/>
    <mergeCell ref="DV121:DY121"/>
    <mergeCell ref="CD121:CG121"/>
    <mergeCell ref="CH121:CK121"/>
    <mergeCell ref="CL121:CO121"/>
    <mergeCell ref="CP121:CS121"/>
    <mergeCell ref="CT121:CW121"/>
    <mergeCell ref="CX121:DA121"/>
    <mergeCell ref="BF121:BI121"/>
    <mergeCell ref="BJ121:BM121"/>
    <mergeCell ref="BN121:BQ121"/>
    <mergeCell ref="BR121:BU121"/>
    <mergeCell ref="BV121:BY121"/>
    <mergeCell ref="BZ121:CC121"/>
    <mergeCell ref="AH121:AK121"/>
    <mergeCell ref="AL121:AO121"/>
    <mergeCell ref="AP121:AS121"/>
    <mergeCell ref="AT121:AW121"/>
    <mergeCell ref="AX121:BA121"/>
    <mergeCell ref="BB121:BE121"/>
    <mergeCell ref="EH120:EK120"/>
    <mergeCell ref="EL120:EO120"/>
    <mergeCell ref="EP120:ES120"/>
    <mergeCell ref="F121:I121"/>
    <mergeCell ref="J121:M121"/>
    <mergeCell ref="N121:Q121"/>
    <mergeCell ref="R121:U121"/>
    <mergeCell ref="V121:Y121"/>
    <mergeCell ref="Z121:AC121"/>
    <mergeCell ref="AD121:AG121"/>
    <mergeCell ref="DJ120:DM120"/>
    <mergeCell ref="DN120:DQ120"/>
    <mergeCell ref="DR120:DU120"/>
    <mergeCell ref="DV120:DY120"/>
    <mergeCell ref="DZ120:EC120"/>
    <mergeCell ref="ED120:EG120"/>
    <mergeCell ref="CL120:CO120"/>
    <mergeCell ref="CP120:CS120"/>
    <mergeCell ref="CT120:CW120"/>
    <mergeCell ref="CX120:DA120"/>
    <mergeCell ref="DB120:DE120"/>
    <mergeCell ref="DF120:DI120"/>
    <mergeCell ref="BN120:BQ120"/>
    <mergeCell ref="BR120:BU120"/>
    <mergeCell ref="BV120:BY120"/>
    <mergeCell ref="BZ120:CC120"/>
    <mergeCell ref="CD120:CG120"/>
    <mergeCell ref="CH120:CK120"/>
    <mergeCell ref="AP120:AS120"/>
    <mergeCell ref="AT120:AW120"/>
    <mergeCell ref="AX120:BA120"/>
    <mergeCell ref="BB120:BE120"/>
    <mergeCell ref="BF120:BI120"/>
    <mergeCell ref="BJ120:BM120"/>
    <mergeCell ref="EP119:ES119"/>
    <mergeCell ref="F120:I120"/>
    <mergeCell ref="J120:M120"/>
    <mergeCell ref="N120:Q120"/>
    <mergeCell ref="R120:U120"/>
    <mergeCell ref="V120:Y120"/>
    <mergeCell ref="Z120:AC120"/>
    <mergeCell ref="AD120:AG120"/>
    <mergeCell ref="AH120:AK120"/>
    <mergeCell ref="AL120:AO120"/>
    <mergeCell ref="DR119:DU119"/>
    <mergeCell ref="DV119:DY119"/>
    <mergeCell ref="DZ119:EC119"/>
    <mergeCell ref="ED119:EG119"/>
    <mergeCell ref="EH119:EK119"/>
    <mergeCell ref="EL119:EO119"/>
    <mergeCell ref="CT119:CW119"/>
    <mergeCell ref="CX119:DA119"/>
    <mergeCell ref="DB119:DE119"/>
    <mergeCell ref="DF119:DI119"/>
    <mergeCell ref="DJ119:DM119"/>
    <mergeCell ref="DN119:DQ119"/>
    <mergeCell ref="BV119:BY119"/>
    <mergeCell ref="BZ119:CC119"/>
    <mergeCell ref="CD119:CG119"/>
    <mergeCell ref="CH119:CK119"/>
    <mergeCell ref="CL119:CO119"/>
    <mergeCell ref="CP119:CS119"/>
    <mergeCell ref="AX119:BA119"/>
    <mergeCell ref="BB119:BE119"/>
    <mergeCell ref="BF119:BI119"/>
    <mergeCell ref="BJ119:BM119"/>
    <mergeCell ref="BN119:BQ119"/>
    <mergeCell ref="BR119:BU119"/>
    <mergeCell ref="Z119:AC119"/>
    <mergeCell ref="AD119:AG119"/>
    <mergeCell ref="AH119:AK119"/>
    <mergeCell ref="AL119:AO119"/>
    <mergeCell ref="AP119:AS119"/>
    <mergeCell ref="AT119:AW119"/>
    <mergeCell ref="DZ118:EC118"/>
    <mergeCell ref="ED118:EG118"/>
    <mergeCell ref="EH118:EK118"/>
    <mergeCell ref="EL118:EO118"/>
    <mergeCell ref="EP118:ES118"/>
    <mergeCell ref="F119:I119"/>
    <mergeCell ref="J119:M119"/>
    <mergeCell ref="N119:Q119"/>
    <mergeCell ref="R119:U119"/>
    <mergeCell ref="V119:Y119"/>
    <mergeCell ref="DB118:DE118"/>
    <mergeCell ref="DF118:DI118"/>
    <mergeCell ref="DJ118:DM118"/>
    <mergeCell ref="DN118:DQ118"/>
    <mergeCell ref="DR118:DU118"/>
    <mergeCell ref="DV118:DY118"/>
    <mergeCell ref="CD118:CG118"/>
    <mergeCell ref="CH118:CK118"/>
    <mergeCell ref="CL118:CO118"/>
    <mergeCell ref="CP118:CS118"/>
    <mergeCell ref="CT118:CW118"/>
    <mergeCell ref="CX118:DA118"/>
    <mergeCell ref="BF118:BI118"/>
    <mergeCell ref="BJ118:BM118"/>
    <mergeCell ref="BN118:BQ118"/>
    <mergeCell ref="BR118:BU118"/>
    <mergeCell ref="BV118:BY118"/>
    <mergeCell ref="BZ118:CC118"/>
    <mergeCell ref="AH118:AK118"/>
    <mergeCell ref="AL118:AO118"/>
    <mergeCell ref="AP118:AS118"/>
    <mergeCell ref="AT118:AW118"/>
    <mergeCell ref="AX118:BA118"/>
    <mergeCell ref="BB118:BE118"/>
    <mergeCell ref="EH117:EK117"/>
    <mergeCell ref="EL117:EO117"/>
    <mergeCell ref="EP117:ES117"/>
    <mergeCell ref="F118:I118"/>
    <mergeCell ref="J118:M118"/>
    <mergeCell ref="N118:Q118"/>
    <mergeCell ref="R118:U118"/>
    <mergeCell ref="V118:Y118"/>
    <mergeCell ref="Z118:AC118"/>
    <mergeCell ref="AD118:AG118"/>
    <mergeCell ref="DJ117:DM117"/>
    <mergeCell ref="DN117:DQ117"/>
    <mergeCell ref="DR117:DU117"/>
    <mergeCell ref="DV117:DY117"/>
    <mergeCell ref="DZ117:EC117"/>
    <mergeCell ref="ED117:EG117"/>
    <mergeCell ref="CL117:CO117"/>
    <mergeCell ref="CP117:CS117"/>
    <mergeCell ref="CT117:CW117"/>
    <mergeCell ref="CX117:DA117"/>
    <mergeCell ref="DB117:DE117"/>
    <mergeCell ref="DF117:DI117"/>
    <mergeCell ref="BN117:BQ117"/>
    <mergeCell ref="BR117:BU117"/>
    <mergeCell ref="BV117:BY117"/>
    <mergeCell ref="BZ117:CC117"/>
    <mergeCell ref="CD117:CG117"/>
    <mergeCell ref="CH117:CK117"/>
    <mergeCell ref="AP117:AS117"/>
    <mergeCell ref="AT117:AW117"/>
    <mergeCell ref="AX117:BA117"/>
    <mergeCell ref="BB117:BE117"/>
    <mergeCell ref="BF117:BI117"/>
    <mergeCell ref="BJ117:BM117"/>
    <mergeCell ref="EP116:ES116"/>
    <mergeCell ref="F117:I117"/>
    <mergeCell ref="J117:M117"/>
    <mergeCell ref="N117:Q117"/>
    <mergeCell ref="R117:U117"/>
    <mergeCell ref="V117:Y117"/>
    <mergeCell ref="Z117:AC117"/>
    <mergeCell ref="AD117:AG117"/>
    <mergeCell ref="AH117:AK117"/>
    <mergeCell ref="AL117:AO117"/>
    <mergeCell ref="DR116:DU116"/>
    <mergeCell ref="DV116:DY116"/>
    <mergeCell ref="DZ116:EC116"/>
    <mergeCell ref="ED116:EG116"/>
    <mergeCell ref="EH116:EK116"/>
    <mergeCell ref="EL116:EO116"/>
    <mergeCell ref="CT116:CW116"/>
    <mergeCell ref="CX116:DA116"/>
    <mergeCell ref="DB116:DE116"/>
    <mergeCell ref="DF116:DI116"/>
    <mergeCell ref="DJ116:DM116"/>
    <mergeCell ref="DN116:DQ116"/>
    <mergeCell ref="BV116:BY116"/>
    <mergeCell ref="BZ116:CC116"/>
    <mergeCell ref="CD116:CG116"/>
    <mergeCell ref="CH116:CK116"/>
    <mergeCell ref="CL116:CO116"/>
    <mergeCell ref="CP116:CS116"/>
    <mergeCell ref="AX116:BA116"/>
    <mergeCell ref="BB116:BE116"/>
    <mergeCell ref="BF116:BI116"/>
    <mergeCell ref="BJ116:BM116"/>
    <mergeCell ref="BN116:BQ116"/>
    <mergeCell ref="BR116:BU116"/>
    <mergeCell ref="Z116:AC116"/>
    <mergeCell ref="AD116:AG116"/>
    <mergeCell ref="AH116:AK116"/>
    <mergeCell ref="AL116:AO116"/>
    <mergeCell ref="AP116:AS116"/>
    <mergeCell ref="AT116:AW116"/>
    <mergeCell ref="DZ82:EC82"/>
    <mergeCell ref="ED82:EG82"/>
    <mergeCell ref="EH82:EK82"/>
    <mergeCell ref="EL82:EO82"/>
    <mergeCell ref="EP82:ES82"/>
    <mergeCell ref="Z82:AC82"/>
    <mergeCell ref="AD82:AG82"/>
    <mergeCell ref="AX113:BA113"/>
    <mergeCell ref="BB113:BE113"/>
    <mergeCell ref="BF113:BI113"/>
    <mergeCell ref="BJ113:BM113"/>
    <mergeCell ref="BN113:BQ113"/>
    <mergeCell ref="BR113:BU113"/>
    <mergeCell ref="Z113:AC113"/>
    <mergeCell ref="AD113:AG113"/>
    <mergeCell ref="AH113:AK113"/>
    <mergeCell ref="AL113:AO113"/>
    <mergeCell ref="AP113:AS113"/>
    <mergeCell ref="AT113:AW113"/>
    <mergeCell ref="CP113:CS113"/>
    <mergeCell ref="F116:I116"/>
    <mergeCell ref="J116:M116"/>
    <mergeCell ref="N116:Q116"/>
    <mergeCell ref="R116:U116"/>
    <mergeCell ref="V116:Y116"/>
    <mergeCell ref="DB82:DE82"/>
    <mergeCell ref="DF82:DI82"/>
    <mergeCell ref="DJ82:DM82"/>
    <mergeCell ref="DN82:DQ82"/>
    <mergeCell ref="DR82:DU82"/>
    <mergeCell ref="DV82:DY82"/>
    <mergeCell ref="CD82:CG82"/>
    <mergeCell ref="CH82:CK82"/>
    <mergeCell ref="CL82:CO82"/>
    <mergeCell ref="CP82:CS82"/>
    <mergeCell ref="CT82:CW82"/>
    <mergeCell ref="CX82:DA82"/>
    <mergeCell ref="BF82:BI82"/>
    <mergeCell ref="BJ82:BM82"/>
    <mergeCell ref="BN82:BQ82"/>
    <mergeCell ref="BR82:BU82"/>
    <mergeCell ref="BV82:BY82"/>
    <mergeCell ref="BZ82:CC82"/>
    <mergeCell ref="AH82:AK82"/>
    <mergeCell ref="AL82:AO82"/>
    <mergeCell ref="AP82:AS82"/>
    <mergeCell ref="AT82:AW82"/>
    <mergeCell ref="AX82:BA82"/>
    <mergeCell ref="BB82:BE82"/>
    <mergeCell ref="F82:I82"/>
    <mergeCell ref="J82:M82"/>
    <mergeCell ref="N82:Q82"/>
    <mergeCell ref="BR81:BU81"/>
    <mergeCell ref="BV81:BY81"/>
    <mergeCell ref="BZ81:CC81"/>
    <mergeCell ref="CD81:CG81"/>
    <mergeCell ref="CH81:CK81"/>
    <mergeCell ref="AP81:AS81"/>
    <mergeCell ref="AT81:AW81"/>
    <mergeCell ref="AX81:BA81"/>
    <mergeCell ref="BB81:BE81"/>
    <mergeCell ref="BF81:BI81"/>
    <mergeCell ref="BJ81:BM81"/>
    <mergeCell ref="EP80:ES80"/>
    <mergeCell ref="F81:I81"/>
    <mergeCell ref="J81:M81"/>
    <mergeCell ref="N81:Q81"/>
    <mergeCell ref="R81:U81"/>
    <mergeCell ref="V81:Y81"/>
    <mergeCell ref="Z81:AC81"/>
    <mergeCell ref="AD81:AG81"/>
    <mergeCell ref="AH81:AK81"/>
    <mergeCell ref="AL81:AO81"/>
    <mergeCell ref="DR80:DU80"/>
    <mergeCell ref="DV80:DY80"/>
    <mergeCell ref="DZ80:EC80"/>
    <mergeCell ref="ED80:EG80"/>
    <mergeCell ref="EH80:EK80"/>
    <mergeCell ref="EL80:EO80"/>
    <mergeCell ref="CT80:CW80"/>
    <mergeCell ref="CX80:DA80"/>
    <mergeCell ref="DB80:DE80"/>
    <mergeCell ref="DF80:DI80"/>
    <mergeCell ref="DJ80:DM80"/>
    <mergeCell ref="BV80:BY80"/>
    <mergeCell ref="BZ80:CC80"/>
    <mergeCell ref="CD80:CG80"/>
    <mergeCell ref="CH80:CK80"/>
    <mergeCell ref="CL80:CO80"/>
    <mergeCell ref="CP80:CS80"/>
    <mergeCell ref="AX80:BA80"/>
    <mergeCell ref="BB80:BE80"/>
    <mergeCell ref="BF80:BI80"/>
    <mergeCell ref="BJ80:BM80"/>
    <mergeCell ref="BN80:BQ80"/>
    <mergeCell ref="BR80:BU80"/>
    <mergeCell ref="Z80:AC80"/>
    <mergeCell ref="AD80:AG80"/>
    <mergeCell ref="AH80:AK80"/>
    <mergeCell ref="AL80:AO80"/>
    <mergeCell ref="AP80:AS80"/>
    <mergeCell ref="AT80:AW80"/>
    <mergeCell ref="B80:B82"/>
    <mergeCell ref="F80:I80"/>
    <mergeCell ref="J80:M80"/>
    <mergeCell ref="N80:Q80"/>
    <mergeCell ref="R80:U80"/>
    <mergeCell ref="V80:Y80"/>
    <mergeCell ref="DV79:DY79"/>
    <mergeCell ref="DZ79:EC79"/>
    <mergeCell ref="ED79:EG79"/>
    <mergeCell ref="EH79:EK79"/>
    <mergeCell ref="EL79:EO79"/>
    <mergeCell ref="EP79:ES79"/>
    <mergeCell ref="CX79:DA79"/>
    <mergeCell ref="DB79:DE79"/>
    <mergeCell ref="DF79:DI79"/>
    <mergeCell ref="DJ79:DM79"/>
    <mergeCell ref="DN79:DQ79"/>
    <mergeCell ref="DR79:DU79"/>
    <mergeCell ref="BZ79:CC79"/>
    <mergeCell ref="CD79:CG79"/>
    <mergeCell ref="CH79:CK79"/>
    <mergeCell ref="CL79:CO79"/>
    <mergeCell ref="CP79:CS79"/>
    <mergeCell ref="CT79:CW79"/>
    <mergeCell ref="BB79:BE79"/>
    <mergeCell ref="BF79:BI79"/>
    <mergeCell ref="BJ79:BM79"/>
    <mergeCell ref="BN79:BQ79"/>
    <mergeCell ref="BR79:BU79"/>
    <mergeCell ref="BV79:BY79"/>
    <mergeCell ref="AD79:AG79"/>
    <mergeCell ref="AH79:AK79"/>
    <mergeCell ref="AL79:AO79"/>
    <mergeCell ref="AP79:AS79"/>
    <mergeCell ref="AT79:AW79"/>
    <mergeCell ref="AX79:BA79"/>
    <mergeCell ref="ED78:EG78"/>
    <mergeCell ref="EH78:EK78"/>
    <mergeCell ref="EL78:EO78"/>
    <mergeCell ref="EP78:ES78"/>
    <mergeCell ref="F79:I79"/>
    <mergeCell ref="J79:M79"/>
    <mergeCell ref="N79:Q79"/>
    <mergeCell ref="R79:U79"/>
    <mergeCell ref="V79:Y79"/>
    <mergeCell ref="Z79:AC79"/>
    <mergeCell ref="DF78:DI78"/>
    <mergeCell ref="DJ78:DM78"/>
    <mergeCell ref="DN78:DQ78"/>
    <mergeCell ref="DR78:DU78"/>
    <mergeCell ref="DV78:DY78"/>
    <mergeCell ref="DZ78:EC78"/>
    <mergeCell ref="CH78:CK78"/>
    <mergeCell ref="CL78:CO78"/>
    <mergeCell ref="CP78:CS78"/>
    <mergeCell ref="CT78:CW78"/>
    <mergeCell ref="CX78:DA78"/>
    <mergeCell ref="DB78:DE78"/>
    <mergeCell ref="BJ78:BM78"/>
    <mergeCell ref="BN78:BQ78"/>
    <mergeCell ref="BR78:BU78"/>
    <mergeCell ref="BV78:BY78"/>
    <mergeCell ref="BZ78:CC78"/>
    <mergeCell ref="CD78:CG78"/>
    <mergeCell ref="F78:I78"/>
    <mergeCell ref="J78:M78"/>
    <mergeCell ref="N78:Q78"/>
    <mergeCell ref="R78:U78"/>
    <mergeCell ref="V78:Y78"/>
    <mergeCell ref="Z78:AC78"/>
    <mergeCell ref="AD78:AG78"/>
    <mergeCell ref="AH78:AK78"/>
    <mergeCell ref="DN77:DQ77"/>
    <mergeCell ref="DR77:DU77"/>
    <mergeCell ref="DV77:DY77"/>
    <mergeCell ref="DZ77:EC77"/>
    <mergeCell ref="ED77:EG77"/>
    <mergeCell ref="EH77:EK77"/>
    <mergeCell ref="CP77:CS77"/>
    <mergeCell ref="CT77:CW77"/>
    <mergeCell ref="CX77:DA77"/>
    <mergeCell ref="DB77:DE77"/>
    <mergeCell ref="DF77:DI77"/>
    <mergeCell ref="DJ77:DM77"/>
    <mergeCell ref="BR77:BU77"/>
    <mergeCell ref="BV77:BY77"/>
    <mergeCell ref="BZ77:CC77"/>
    <mergeCell ref="CD77:CG77"/>
    <mergeCell ref="CL77:CO77"/>
    <mergeCell ref="AT77:AW77"/>
    <mergeCell ref="AX77:BA77"/>
    <mergeCell ref="BB77:BE77"/>
    <mergeCell ref="BF77:BI77"/>
    <mergeCell ref="BJ77:BM77"/>
    <mergeCell ref="BN77:BQ77"/>
    <mergeCell ref="V77:Y77"/>
    <mergeCell ref="Z77:AC77"/>
    <mergeCell ref="AD77:AG77"/>
    <mergeCell ref="AH77:AK77"/>
    <mergeCell ref="AL77:AO77"/>
    <mergeCell ref="AP77:AS77"/>
    <mergeCell ref="DZ70:EC70"/>
    <mergeCell ref="ED70:EG70"/>
    <mergeCell ref="EH70:EK70"/>
    <mergeCell ref="AL78:AO78"/>
    <mergeCell ref="AP78:AS78"/>
    <mergeCell ref="AT78:AW78"/>
    <mergeCell ref="AX78:BA78"/>
    <mergeCell ref="BB78:BE78"/>
    <mergeCell ref="BF78:BI78"/>
    <mergeCell ref="BB71:BE71"/>
    <mergeCell ref="BF71:BI71"/>
    <mergeCell ref="BJ71:BM71"/>
    <mergeCell ref="BN71:BQ71"/>
    <mergeCell ref="AL70:AO70"/>
    <mergeCell ref="AP70:AS70"/>
    <mergeCell ref="AT70:AW70"/>
    <mergeCell ref="AX70:BA70"/>
    <mergeCell ref="BB70:BE70"/>
    <mergeCell ref="CH77:CK77"/>
    <mergeCell ref="AD72:AG72"/>
    <mergeCell ref="AH72:AK72"/>
    <mergeCell ref="DN71:DQ71"/>
    <mergeCell ref="DR71:DU71"/>
    <mergeCell ref="DV71:DY71"/>
    <mergeCell ref="DZ71:EC71"/>
    <mergeCell ref="ED71:EG71"/>
    <mergeCell ref="EH71:EK71"/>
    <mergeCell ref="V71:Y71"/>
    <mergeCell ref="Z71:AC71"/>
    <mergeCell ref="AD71:AG71"/>
    <mergeCell ref="AH71:AK71"/>
    <mergeCell ref="AL71:AO71"/>
    <mergeCell ref="AP71:AS71"/>
    <mergeCell ref="EL70:EO70"/>
    <mergeCell ref="EP70:ES70"/>
    <mergeCell ref="B77:B79"/>
    <mergeCell ref="F77:I77"/>
    <mergeCell ref="J77:M77"/>
    <mergeCell ref="N77:Q77"/>
    <mergeCell ref="R77:U77"/>
    <mergeCell ref="DB70:DE70"/>
    <mergeCell ref="DF70:DI70"/>
    <mergeCell ref="DJ70:DM70"/>
    <mergeCell ref="DN70:DQ70"/>
    <mergeCell ref="DR70:DU70"/>
    <mergeCell ref="DV70:DY70"/>
    <mergeCell ref="CD70:CG70"/>
    <mergeCell ref="CH70:CK70"/>
    <mergeCell ref="CL70:CO70"/>
    <mergeCell ref="CP70:CS70"/>
    <mergeCell ref="CT70:CW70"/>
    <mergeCell ref="CX70:DA70"/>
    <mergeCell ref="BF70:BI70"/>
    <mergeCell ref="BJ70:BM70"/>
    <mergeCell ref="BN70:BQ70"/>
    <mergeCell ref="BR70:BU70"/>
    <mergeCell ref="BV70:BY70"/>
    <mergeCell ref="BZ70:CC70"/>
    <mergeCell ref="AH70:AK70"/>
    <mergeCell ref="EH69:EK69"/>
    <mergeCell ref="EL69:EO69"/>
    <mergeCell ref="EP69:ES69"/>
    <mergeCell ref="F70:I70"/>
    <mergeCell ref="J70:M70"/>
    <mergeCell ref="N70:Q70"/>
    <mergeCell ref="R70:U70"/>
    <mergeCell ref="V70:Y70"/>
    <mergeCell ref="Z70:AC70"/>
    <mergeCell ref="AD70:AG70"/>
    <mergeCell ref="DJ69:DM69"/>
    <mergeCell ref="DN69:DQ69"/>
    <mergeCell ref="DR69:DU69"/>
    <mergeCell ref="DV69:DY69"/>
    <mergeCell ref="DZ69:EC69"/>
    <mergeCell ref="ED69:EG69"/>
    <mergeCell ref="CL69:CO69"/>
    <mergeCell ref="CP69:CS69"/>
    <mergeCell ref="CT69:CW69"/>
    <mergeCell ref="CX69:DA69"/>
    <mergeCell ref="DB69:DE69"/>
    <mergeCell ref="DF69:DI69"/>
    <mergeCell ref="BN69:BQ69"/>
    <mergeCell ref="BR69:BU69"/>
    <mergeCell ref="BV69:BY69"/>
    <mergeCell ref="BZ69:CC69"/>
    <mergeCell ref="CD69:CG69"/>
    <mergeCell ref="CH69:CK69"/>
    <mergeCell ref="AP69:AS69"/>
    <mergeCell ref="AT69:AW69"/>
    <mergeCell ref="AX69:BA69"/>
    <mergeCell ref="BB69:BE69"/>
    <mergeCell ref="BF69:BI69"/>
    <mergeCell ref="BJ69:BM69"/>
    <mergeCell ref="EP68:ES68"/>
    <mergeCell ref="F69:I69"/>
    <mergeCell ref="J69:M69"/>
    <mergeCell ref="N69:Q69"/>
    <mergeCell ref="R69:U69"/>
    <mergeCell ref="V69:Y69"/>
    <mergeCell ref="Z69:AC69"/>
    <mergeCell ref="AD69:AG69"/>
    <mergeCell ref="AH69:AK69"/>
    <mergeCell ref="AL69:AO69"/>
    <mergeCell ref="DR68:DU68"/>
    <mergeCell ref="DV68:DY68"/>
    <mergeCell ref="DZ68:EC68"/>
    <mergeCell ref="ED68:EG68"/>
    <mergeCell ref="EH68:EK68"/>
    <mergeCell ref="EL68:EO68"/>
    <mergeCell ref="CT68:CW68"/>
    <mergeCell ref="CX68:DA68"/>
    <mergeCell ref="DB68:DE68"/>
    <mergeCell ref="DF68:DI68"/>
    <mergeCell ref="DJ68:DM68"/>
    <mergeCell ref="DN68:DQ68"/>
    <mergeCell ref="BV68:BY68"/>
    <mergeCell ref="BZ68:CC68"/>
    <mergeCell ref="CD68:CG68"/>
    <mergeCell ref="CH68:CK68"/>
    <mergeCell ref="CL68:CO68"/>
    <mergeCell ref="CP68:CS68"/>
    <mergeCell ref="AX68:BA68"/>
    <mergeCell ref="BB68:BE68"/>
    <mergeCell ref="BF68:BI68"/>
    <mergeCell ref="BJ68:BM68"/>
    <mergeCell ref="BN68:BQ68"/>
    <mergeCell ref="BR68:BU68"/>
    <mergeCell ref="Z68:AC68"/>
    <mergeCell ref="AD68:AG68"/>
    <mergeCell ref="AH68:AK68"/>
    <mergeCell ref="AL68:AO68"/>
    <mergeCell ref="AP68:AS68"/>
    <mergeCell ref="AT68:AW68"/>
    <mergeCell ref="B68:B70"/>
    <mergeCell ref="F68:I68"/>
    <mergeCell ref="J68:M68"/>
    <mergeCell ref="N68:Q68"/>
    <mergeCell ref="R68:U68"/>
    <mergeCell ref="V68:Y68"/>
    <mergeCell ref="DV67:DY67"/>
    <mergeCell ref="BB67:BE67"/>
    <mergeCell ref="BF67:BI67"/>
    <mergeCell ref="BJ67:BM67"/>
    <mergeCell ref="BN67:BQ67"/>
    <mergeCell ref="BR67:BU67"/>
    <mergeCell ref="BV67:BY67"/>
    <mergeCell ref="AD67:AG67"/>
    <mergeCell ref="AH67:AK67"/>
    <mergeCell ref="AL67:AO67"/>
    <mergeCell ref="AP67:AS67"/>
    <mergeCell ref="AT67:AW67"/>
    <mergeCell ref="AX67:BA67"/>
    <mergeCell ref="F67:I67"/>
    <mergeCell ref="J67:M67"/>
    <mergeCell ref="N67:Q67"/>
    <mergeCell ref="DZ67:EC67"/>
    <mergeCell ref="ED67:EG67"/>
    <mergeCell ref="EH67:EK67"/>
    <mergeCell ref="EL67:EO67"/>
    <mergeCell ref="EP67:ES67"/>
    <mergeCell ref="CX67:DA67"/>
    <mergeCell ref="DB67:DE67"/>
    <mergeCell ref="DF67:DI67"/>
    <mergeCell ref="DJ67:DM67"/>
    <mergeCell ref="DN67:DQ67"/>
    <mergeCell ref="DR67:DU67"/>
    <mergeCell ref="BZ67:CC67"/>
    <mergeCell ref="CD67:CG67"/>
    <mergeCell ref="CH67:CK67"/>
    <mergeCell ref="CL67:CO67"/>
    <mergeCell ref="CP67:CS67"/>
    <mergeCell ref="CT67:CW67"/>
    <mergeCell ref="R67:U67"/>
    <mergeCell ref="V67:Y67"/>
    <mergeCell ref="Z67:AC67"/>
    <mergeCell ref="DV66:DY66"/>
    <mergeCell ref="DZ66:EC66"/>
    <mergeCell ref="ED66:EG66"/>
    <mergeCell ref="EH66:EK66"/>
    <mergeCell ref="EL66:EO66"/>
    <mergeCell ref="EP66:ES66"/>
    <mergeCell ref="CX66:DA66"/>
    <mergeCell ref="DB66:DE66"/>
    <mergeCell ref="DF66:DI66"/>
    <mergeCell ref="DJ66:DM66"/>
    <mergeCell ref="DN66:DQ66"/>
    <mergeCell ref="DR66:DU66"/>
    <mergeCell ref="BZ66:CC66"/>
    <mergeCell ref="CD66:CG66"/>
    <mergeCell ref="CH66:CK66"/>
    <mergeCell ref="CL66:CO66"/>
    <mergeCell ref="CP66:CS66"/>
    <mergeCell ref="CT66:CW66"/>
    <mergeCell ref="BB66:BE66"/>
    <mergeCell ref="BF66:BI66"/>
    <mergeCell ref="BJ66:BM66"/>
    <mergeCell ref="BN66:BQ66"/>
    <mergeCell ref="BR66:BU66"/>
    <mergeCell ref="BV66:BY66"/>
    <mergeCell ref="AD66:AG66"/>
    <mergeCell ref="AH66:AK66"/>
    <mergeCell ref="AL66:AO66"/>
    <mergeCell ref="AP66:AS66"/>
    <mergeCell ref="AT66:AW66"/>
    <mergeCell ref="AX66:BA66"/>
    <mergeCell ref="ED65:EG65"/>
    <mergeCell ref="EH65:EK65"/>
    <mergeCell ref="EL65:EO65"/>
    <mergeCell ref="EP65:ES65"/>
    <mergeCell ref="F66:I66"/>
    <mergeCell ref="J66:M66"/>
    <mergeCell ref="N66:Q66"/>
    <mergeCell ref="R66:U66"/>
    <mergeCell ref="V66:Y66"/>
    <mergeCell ref="Z66:AC66"/>
    <mergeCell ref="DF65:DI65"/>
    <mergeCell ref="DJ65:DM65"/>
    <mergeCell ref="DN65:DQ65"/>
    <mergeCell ref="DR65:DU65"/>
    <mergeCell ref="DV65:DY65"/>
    <mergeCell ref="DZ65:EC65"/>
    <mergeCell ref="CH65:CK65"/>
    <mergeCell ref="CL65:CO65"/>
    <mergeCell ref="CP65:CS65"/>
    <mergeCell ref="CT65:CW65"/>
    <mergeCell ref="CX65:DA65"/>
    <mergeCell ref="DB65:DE65"/>
    <mergeCell ref="BJ65:BM65"/>
    <mergeCell ref="BN65:BQ65"/>
    <mergeCell ref="BR65:BU65"/>
    <mergeCell ref="BV65:BY65"/>
    <mergeCell ref="BZ65:CC65"/>
    <mergeCell ref="CD65:CG65"/>
    <mergeCell ref="AL65:AO65"/>
    <mergeCell ref="AP65:AS65"/>
    <mergeCell ref="AT65:AW65"/>
    <mergeCell ref="AX65:BA65"/>
    <mergeCell ref="BB65:BE65"/>
    <mergeCell ref="BF65:BI65"/>
    <mergeCell ref="EP64:ES64"/>
    <mergeCell ref="B65:B67"/>
    <mergeCell ref="F65:I65"/>
    <mergeCell ref="J65:M65"/>
    <mergeCell ref="N65:Q65"/>
    <mergeCell ref="R65:U65"/>
    <mergeCell ref="V65:Y65"/>
    <mergeCell ref="Z65:AC65"/>
    <mergeCell ref="AD65:AG65"/>
    <mergeCell ref="AH65:AK65"/>
    <mergeCell ref="DR64:DU64"/>
    <mergeCell ref="DV64:DY64"/>
    <mergeCell ref="DZ64:EC64"/>
    <mergeCell ref="ED64:EG64"/>
    <mergeCell ref="EH64:EK64"/>
    <mergeCell ref="EL64:EO64"/>
    <mergeCell ref="CT64:CW64"/>
    <mergeCell ref="CX64:DA64"/>
    <mergeCell ref="DB64:DE64"/>
    <mergeCell ref="DF64:DI64"/>
    <mergeCell ref="DJ64:DM64"/>
    <mergeCell ref="DN64:DQ64"/>
    <mergeCell ref="BV64:BY64"/>
    <mergeCell ref="BZ64:CC64"/>
    <mergeCell ref="CD64:CG64"/>
    <mergeCell ref="CH64:CK64"/>
    <mergeCell ref="CL64:CO64"/>
    <mergeCell ref="CP64:CS64"/>
    <mergeCell ref="AX64:BA64"/>
    <mergeCell ref="BB64:BE64"/>
    <mergeCell ref="BF64:BI64"/>
    <mergeCell ref="BJ64:BM64"/>
    <mergeCell ref="BN64:BQ64"/>
    <mergeCell ref="BR64:BU64"/>
    <mergeCell ref="DJ63:DU63"/>
    <mergeCell ref="DV63:EG63"/>
    <mergeCell ref="EH63:ES63"/>
    <mergeCell ref="F64:I64"/>
    <mergeCell ref="J64:M64"/>
    <mergeCell ref="N64:Q64"/>
    <mergeCell ref="R64:U64"/>
    <mergeCell ref="V64:Y64"/>
    <mergeCell ref="Z64:AC64"/>
    <mergeCell ref="AD64:AG64"/>
    <mergeCell ref="CX62:ES62"/>
    <mergeCell ref="F63:Q63"/>
    <mergeCell ref="R63:AC63"/>
    <mergeCell ref="AD63:AO63"/>
    <mergeCell ref="AP63:BA63"/>
    <mergeCell ref="BB63:BM63"/>
    <mergeCell ref="BN63:BY63"/>
    <mergeCell ref="BZ63:CK63"/>
    <mergeCell ref="CL63:CW63"/>
    <mergeCell ref="CX63:DI63"/>
    <mergeCell ref="B62:B64"/>
    <mergeCell ref="C62:C63"/>
    <mergeCell ref="D62:D64"/>
    <mergeCell ref="E62:E64"/>
    <mergeCell ref="F62:BA62"/>
    <mergeCell ref="BB62:CW62"/>
    <mergeCell ref="AH64:AK64"/>
    <mergeCell ref="AL64:AO64"/>
    <mergeCell ref="AP64:AS64"/>
    <mergeCell ref="AT64:AW64"/>
    <mergeCell ref="DV59:DY59"/>
    <mergeCell ref="DZ59:EC59"/>
    <mergeCell ref="ED59:EG59"/>
    <mergeCell ref="EH59:EK59"/>
    <mergeCell ref="EL59:EO59"/>
    <mergeCell ref="EP59:ES59"/>
    <mergeCell ref="CX59:DA59"/>
    <mergeCell ref="DB59:DE59"/>
    <mergeCell ref="DF59:DI59"/>
    <mergeCell ref="DJ59:DM59"/>
    <mergeCell ref="DN59:DQ59"/>
    <mergeCell ref="DR59:DU59"/>
    <mergeCell ref="BZ59:CC59"/>
    <mergeCell ref="CD59:CG59"/>
    <mergeCell ref="CH59:CK59"/>
    <mergeCell ref="CL59:CO59"/>
    <mergeCell ref="CP59:CS59"/>
    <mergeCell ref="CT59:CW59"/>
    <mergeCell ref="BB59:BE59"/>
    <mergeCell ref="BF59:BI59"/>
    <mergeCell ref="BJ59:BM59"/>
    <mergeCell ref="BN59:BQ59"/>
    <mergeCell ref="BR59:BU59"/>
    <mergeCell ref="BV59:BY59"/>
    <mergeCell ref="AD59:AG59"/>
    <mergeCell ref="AH59:AK59"/>
    <mergeCell ref="AL59:AO59"/>
    <mergeCell ref="AP59:AS59"/>
    <mergeCell ref="AT59:AW59"/>
    <mergeCell ref="AX59:BA59"/>
    <mergeCell ref="ED58:EG58"/>
    <mergeCell ref="EH58:EK58"/>
    <mergeCell ref="EL58:EO58"/>
    <mergeCell ref="EP58:ES58"/>
    <mergeCell ref="F59:I59"/>
    <mergeCell ref="J59:M59"/>
    <mergeCell ref="N59:Q59"/>
    <mergeCell ref="R59:U59"/>
    <mergeCell ref="V59:Y59"/>
    <mergeCell ref="Z59:AC59"/>
    <mergeCell ref="DF58:DI58"/>
    <mergeCell ref="DJ58:DM58"/>
    <mergeCell ref="DN58:DQ58"/>
    <mergeCell ref="DR58:DU58"/>
    <mergeCell ref="DV58:DY58"/>
    <mergeCell ref="DZ58:EC58"/>
    <mergeCell ref="CH58:CK58"/>
    <mergeCell ref="CL58:CO58"/>
    <mergeCell ref="CP58:CS58"/>
    <mergeCell ref="CT58:CW58"/>
    <mergeCell ref="CX58:DA58"/>
    <mergeCell ref="DB58:DE58"/>
    <mergeCell ref="BJ58:BM58"/>
    <mergeCell ref="BN58:BQ58"/>
    <mergeCell ref="BR58:BU58"/>
    <mergeCell ref="BV58:BY58"/>
    <mergeCell ref="BZ58:CC58"/>
    <mergeCell ref="CD58:CG58"/>
    <mergeCell ref="AL58:AO58"/>
    <mergeCell ref="AP58:AS58"/>
    <mergeCell ref="AT58:AW58"/>
    <mergeCell ref="AX58:BA58"/>
    <mergeCell ref="BB58:BE58"/>
    <mergeCell ref="BF58:BI58"/>
    <mergeCell ref="EL57:EO57"/>
    <mergeCell ref="EP57:ES57"/>
    <mergeCell ref="F58:I58"/>
    <mergeCell ref="J58:M58"/>
    <mergeCell ref="N58:Q58"/>
    <mergeCell ref="R58:U58"/>
    <mergeCell ref="V58:Y58"/>
    <mergeCell ref="Z58:AC58"/>
    <mergeCell ref="AD58:AG58"/>
    <mergeCell ref="AH58:AK58"/>
    <mergeCell ref="DN57:DQ57"/>
    <mergeCell ref="DR57:DU57"/>
    <mergeCell ref="DV57:DY57"/>
    <mergeCell ref="DZ57:EC57"/>
    <mergeCell ref="ED57:EG57"/>
    <mergeCell ref="EH57:EK57"/>
    <mergeCell ref="CP57:CS57"/>
    <mergeCell ref="CT57:CW57"/>
    <mergeCell ref="CX57:DA57"/>
    <mergeCell ref="DB57:DE57"/>
    <mergeCell ref="DF57:DI57"/>
    <mergeCell ref="DJ57:DM57"/>
    <mergeCell ref="AT56:AW56"/>
    <mergeCell ref="BR57:BU57"/>
    <mergeCell ref="BV57:BY57"/>
    <mergeCell ref="BZ57:CC57"/>
    <mergeCell ref="CD57:CG57"/>
    <mergeCell ref="CH57:CK57"/>
    <mergeCell ref="CL57:CO57"/>
    <mergeCell ref="AT57:AW57"/>
    <mergeCell ref="AX57:BA57"/>
    <mergeCell ref="BB57:BE57"/>
    <mergeCell ref="BF57:BI57"/>
    <mergeCell ref="BJ57:BM57"/>
    <mergeCell ref="BN57:BQ57"/>
    <mergeCell ref="V57:Y57"/>
    <mergeCell ref="Z57:AC57"/>
    <mergeCell ref="AD57:AG57"/>
    <mergeCell ref="AH57:AK57"/>
    <mergeCell ref="AL57:AO57"/>
    <mergeCell ref="AP57:AS57"/>
    <mergeCell ref="AT55:AW55"/>
    <mergeCell ref="DZ56:EC56"/>
    <mergeCell ref="ED56:EG56"/>
    <mergeCell ref="EH56:EK56"/>
    <mergeCell ref="EL56:EO56"/>
    <mergeCell ref="EP56:ES56"/>
    <mergeCell ref="B57:D59"/>
    <mergeCell ref="F57:I57"/>
    <mergeCell ref="J57:M57"/>
    <mergeCell ref="N57:Q57"/>
    <mergeCell ref="R57:U57"/>
    <mergeCell ref="DB56:DE56"/>
    <mergeCell ref="DF56:DI56"/>
    <mergeCell ref="DJ56:DM56"/>
    <mergeCell ref="DN56:DQ56"/>
    <mergeCell ref="DR56:DU56"/>
    <mergeCell ref="DV56:DY56"/>
    <mergeCell ref="CD56:CG56"/>
    <mergeCell ref="CH56:CK56"/>
    <mergeCell ref="CL56:CO56"/>
    <mergeCell ref="CP56:CS56"/>
    <mergeCell ref="CT56:CW56"/>
    <mergeCell ref="CX56:DA56"/>
    <mergeCell ref="BF56:BI56"/>
    <mergeCell ref="BJ56:BM56"/>
    <mergeCell ref="BN56:BQ56"/>
    <mergeCell ref="BR56:BU56"/>
    <mergeCell ref="BV56:BY56"/>
    <mergeCell ref="BZ56:CC56"/>
    <mergeCell ref="AH56:AK56"/>
    <mergeCell ref="AL56:AO56"/>
    <mergeCell ref="AP56:AS56"/>
    <mergeCell ref="DN55:DQ55"/>
    <mergeCell ref="DR55:DU55"/>
    <mergeCell ref="DV55:DY55"/>
    <mergeCell ref="DZ55:EC55"/>
    <mergeCell ref="ED55:EG55"/>
    <mergeCell ref="CL55:CO55"/>
    <mergeCell ref="CP55:CS55"/>
    <mergeCell ref="CT55:CW55"/>
    <mergeCell ref="CX55:DA55"/>
    <mergeCell ref="DB55:DE55"/>
    <mergeCell ref="DF55:DI55"/>
    <mergeCell ref="BN55:BQ55"/>
    <mergeCell ref="BR55:BU55"/>
    <mergeCell ref="BV55:BY55"/>
    <mergeCell ref="BZ55:CC55"/>
    <mergeCell ref="CD55:CG55"/>
    <mergeCell ref="CH55:CK55"/>
    <mergeCell ref="EP54:ES54"/>
    <mergeCell ref="F55:I55"/>
    <mergeCell ref="J55:M55"/>
    <mergeCell ref="N55:Q55"/>
    <mergeCell ref="R55:U55"/>
    <mergeCell ref="V55:Y55"/>
    <mergeCell ref="Z55:AC55"/>
    <mergeCell ref="AD55:AG55"/>
    <mergeCell ref="AH55:AK55"/>
    <mergeCell ref="AL55:AO55"/>
    <mergeCell ref="DR54:DU54"/>
    <mergeCell ref="DV54:DY54"/>
    <mergeCell ref="DZ54:EC54"/>
    <mergeCell ref="ED54:EG54"/>
    <mergeCell ref="EH54:EK54"/>
    <mergeCell ref="EL54:EO54"/>
    <mergeCell ref="CT54:CW54"/>
    <mergeCell ref="CX54:DA54"/>
    <mergeCell ref="DB54:DE54"/>
    <mergeCell ref="DF54:DI54"/>
    <mergeCell ref="DJ54:DM54"/>
    <mergeCell ref="DN54:DQ54"/>
    <mergeCell ref="BV54:BY54"/>
    <mergeCell ref="BZ54:CC54"/>
    <mergeCell ref="CD54:CG54"/>
    <mergeCell ref="CH54:CK54"/>
    <mergeCell ref="CL54:CO54"/>
    <mergeCell ref="CP54:CS54"/>
    <mergeCell ref="EH55:EK55"/>
    <mergeCell ref="EL55:EO55"/>
    <mergeCell ref="EP55:ES55"/>
    <mergeCell ref="DJ55:DM55"/>
    <mergeCell ref="AX54:BA54"/>
    <mergeCell ref="BB54:BE54"/>
    <mergeCell ref="BF54:BI54"/>
    <mergeCell ref="BJ54:BM54"/>
    <mergeCell ref="BN54:BQ54"/>
    <mergeCell ref="BR54:BU54"/>
    <mergeCell ref="Z54:AC54"/>
    <mergeCell ref="AD54:AG54"/>
    <mergeCell ref="AH54:AK54"/>
    <mergeCell ref="AL54:AO54"/>
    <mergeCell ref="AP54:AS54"/>
    <mergeCell ref="AT54:AW54"/>
    <mergeCell ref="B54:B56"/>
    <mergeCell ref="F54:I54"/>
    <mergeCell ref="J54:M54"/>
    <mergeCell ref="N54:Q54"/>
    <mergeCell ref="R54:U54"/>
    <mergeCell ref="V54:Y54"/>
    <mergeCell ref="AX55:BA55"/>
    <mergeCell ref="BB55:BE55"/>
    <mergeCell ref="BF55:BI55"/>
    <mergeCell ref="BJ55:BM55"/>
    <mergeCell ref="AX56:BA56"/>
    <mergeCell ref="BB56:BE56"/>
    <mergeCell ref="F56:I56"/>
    <mergeCell ref="J56:M56"/>
    <mergeCell ref="N56:Q56"/>
    <mergeCell ref="R56:U56"/>
    <mergeCell ref="V56:Y56"/>
    <mergeCell ref="Z56:AC56"/>
    <mergeCell ref="AD56:AG56"/>
    <mergeCell ref="AP55:AS55"/>
    <mergeCell ref="DV53:DY53"/>
    <mergeCell ref="DZ53:EC53"/>
    <mergeCell ref="ED53:EG53"/>
    <mergeCell ref="EH53:EK53"/>
    <mergeCell ref="EL53:EO53"/>
    <mergeCell ref="EP53:ES53"/>
    <mergeCell ref="CX53:DA53"/>
    <mergeCell ref="DB53:DE53"/>
    <mergeCell ref="DF53:DI53"/>
    <mergeCell ref="DJ53:DM53"/>
    <mergeCell ref="DN53:DQ53"/>
    <mergeCell ref="DR53:DU53"/>
    <mergeCell ref="BZ53:CC53"/>
    <mergeCell ref="CD53:CG53"/>
    <mergeCell ref="CH53:CK53"/>
    <mergeCell ref="CL53:CO53"/>
    <mergeCell ref="CP53:CS53"/>
    <mergeCell ref="CT53:CW53"/>
    <mergeCell ref="BB53:BE53"/>
    <mergeCell ref="BF53:BI53"/>
    <mergeCell ref="BJ53:BM53"/>
    <mergeCell ref="BN53:BQ53"/>
    <mergeCell ref="BR53:BU53"/>
    <mergeCell ref="BV53:BY53"/>
    <mergeCell ref="AD53:AG53"/>
    <mergeCell ref="AH53:AK53"/>
    <mergeCell ref="AL53:AO53"/>
    <mergeCell ref="AP53:AS53"/>
    <mergeCell ref="AT53:AW53"/>
    <mergeCell ref="AX53:BA53"/>
    <mergeCell ref="ED52:EG52"/>
    <mergeCell ref="EH52:EK52"/>
    <mergeCell ref="EL52:EO52"/>
    <mergeCell ref="EP52:ES52"/>
    <mergeCell ref="F53:I53"/>
    <mergeCell ref="J53:M53"/>
    <mergeCell ref="N53:Q53"/>
    <mergeCell ref="R53:U53"/>
    <mergeCell ref="V53:Y53"/>
    <mergeCell ref="Z53:AC53"/>
    <mergeCell ref="DF52:DI52"/>
    <mergeCell ref="DJ52:DM52"/>
    <mergeCell ref="DN52:DQ52"/>
    <mergeCell ref="DR52:DU52"/>
    <mergeCell ref="DV52:DY52"/>
    <mergeCell ref="DZ52:EC52"/>
    <mergeCell ref="CH52:CK52"/>
    <mergeCell ref="CL52:CO52"/>
    <mergeCell ref="CP52:CS52"/>
    <mergeCell ref="CT52:CW52"/>
    <mergeCell ref="EL51:EO51"/>
    <mergeCell ref="EP51:ES51"/>
    <mergeCell ref="F52:I52"/>
    <mergeCell ref="J52:M52"/>
    <mergeCell ref="N52:Q52"/>
    <mergeCell ref="R52:U52"/>
    <mergeCell ref="V52:Y52"/>
    <mergeCell ref="Z52:AC52"/>
    <mergeCell ref="AD52:AG52"/>
    <mergeCell ref="AH52:AK52"/>
    <mergeCell ref="DN51:DQ51"/>
    <mergeCell ref="DR51:DU51"/>
    <mergeCell ref="DV51:DY51"/>
    <mergeCell ref="DZ51:EC51"/>
    <mergeCell ref="ED51:EG51"/>
    <mergeCell ref="EH51:EK51"/>
    <mergeCell ref="CP51:CS51"/>
    <mergeCell ref="CT51:CW51"/>
    <mergeCell ref="V51:Y51"/>
    <mergeCell ref="Z51:AC51"/>
    <mergeCell ref="AD51:AG51"/>
    <mergeCell ref="AH51:AK51"/>
    <mergeCell ref="AL51:AO51"/>
    <mergeCell ref="AP51:AS51"/>
    <mergeCell ref="CX52:DA52"/>
    <mergeCell ref="DB52:DE52"/>
    <mergeCell ref="BJ52:BM52"/>
    <mergeCell ref="BN52:BQ52"/>
    <mergeCell ref="BR52:BU52"/>
    <mergeCell ref="BV52:BY52"/>
    <mergeCell ref="BZ52:CC52"/>
    <mergeCell ref="CD52:CG52"/>
    <mergeCell ref="AL52:AO52"/>
    <mergeCell ref="AP52:AS52"/>
    <mergeCell ref="AT52:AW52"/>
    <mergeCell ref="AX52:BA52"/>
    <mergeCell ref="BB52:BE52"/>
    <mergeCell ref="BF52:BI52"/>
    <mergeCell ref="AT50:AW50"/>
    <mergeCell ref="CX51:DA51"/>
    <mergeCell ref="DB51:DE51"/>
    <mergeCell ref="DF51:DI51"/>
    <mergeCell ref="DJ51:DM51"/>
    <mergeCell ref="BR51:BU51"/>
    <mergeCell ref="BV51:BY51"/>
    <mergeCell ref="BZ51:CC51"/>
    <mergeCell ref="CD51:CG51"/>
    <mergeCell ref="CH51:CK51"/>
    <mergeCell ref="CL51:CO51"/>
    <mergeCell ref="AT51:AW51"/>
    <mergeCell ref="AX51:BA51"/>
    <mergeCell ref="BB51:BE51"/>
    <mergeCell ref="BF51:BI51"/>
    <mergeCell ref="BJ51:BM51"/>
    <mergeCell ref="BN51:BQ51"/>
    <mergeCell ref="AT49:AW49"/>
    <mergeCell ref="DZ50:EC50"/>
    <mergeCell ref="ED50:EG50"/>
    <mergeCell ref="EH50:EK50"/>
    <mergeCell ref="EL50:EO50"/>
    <mergeCell ref="EP50:ES50"/>
    <mergeCell ref="B51:B53"/>
    <mergeCell ref="F51:I51"/>
    <mergeCell ref="J51:M51"/>
    <mergeCell ref="N51:Q51"/>
    <mergeCell ref="R51:U51"/>
    <mergeCell ref="DB50:DE50"/>
    <mergeCell ref="DF50:DI50"/>
    <mergeCell ref="DJ50:DM50"/>
    <mergeCell ref="DN50:DQ50"/>
    <mergeCell ref="DR50:DU50"/>
    <mergeCell ref="DV50:DY50"/>
    <mergeCell ref="CD50:CG50"/>
    <mergeCell ref="CH50:CK50"/>
    <mergeCell ref="CL50:CO50"/>
    <mergeCell ref="CP50:CS50"/>
    <mergeCell ref="CT50:CW50"/>
    <mergeCell ref="CX50:DA50"/>
    <mergeCell ref="BF50:BI50"/>
    <mergeCell ref="BJ50:BM50"/>
    <mergeCell ref="BN50:BQ50"/>
    <mergeCell ref="BR50:BU50"/>
    <mergeCell ref="BV50:BY50"/>
    <mergeCell ref="BZ50:CC50"/>
    <mergeCell ref="AH50:AK50"/>
    <mergeCell ref="AL50:AO50"/>
    <mergeCell ref="AP50:AS50"/>
    <mergeCell ref="DN49:DQ49"/>
    <mergeCell ref="DR49:DU49"/>
    <mergeCell ref="DV49:DY49"/>
    <mergeCell ref="DZ49:EC49"/>
    <mergeCell ref="ED49:EG49"/>
    <mergeCell ref="CL49:CO49"/>
    <mergeCell ref="CP49:CS49"/>
    <mergeCell ref="CT49:CW49"/>
    <mergeCell ref="CX49:DA49"/>
    <mergeCell ref="DB49:DE49"/>
    <mergeCell ref="DF49:DI49"/>
    <mergeCell ref="BN49:BQ49"/>
    <mergeCell ref="BR49:BU49"/>
    <mergeCell ref="BV49:BY49"/>
    <mergeCell ref="BZ49:CC49"/>
    <mergeCell ref="CD49:CG49"/>
    <mergeCell ref="CH49:CK49"/>
    <mergeCell ref="EP48:ES48"/>
    <mergeCell ref="F49:I49"/>
    <mergeCell ref="J49:M49"/>
    <mergeCell ref="N49:Q49"/>
    <mergeCell ref="R49:U49"/>
    <mergeCell ref="V49:Y49"/>
    <mergeCell ref="Z49:AC49"/>
    <mergeCell ref="AD49:AG49"/>
    <mergeCell ref="AH49:AK49"/>
    <mergeCell ref="AL49:AO49"/>
    <mergeCell ref="DR48:DU48"/>
    <mergeCell ref="DV48:DY48"/>
    <mergeCell ref="DZ48:EC48"/>
    <mergeCell ref="ED48:EG48"/>
    <mergeCell ref="EH48:EK48"/>
    <mergeCell ref="EL48:EO48"/>
    <mergeCell ref="CT48:CW48"/>
    <mergeCell ref="CX48:DA48"/>
    <mergeCell ref="DB48:DE48"/>
    <mergeCell ref="DF48:DI48"/>
    <mergeCell ref="DJ48:DM48"/>
    <mergeCell ref="DN48:DQ48"/>
    <mergeCell ref="BV48:BY48"/>
    <mergeCell ref="BZ48:CC48"/>
    <mergeCell ref="CD48:CG48"/>
    <mergeCell ref="CH48:CK48"/>
    <mergeCell ref="CL48:CO48"/>
    <mergeCell ref="CP48:CS48"/>
    <mergeCell ref="EH49:EK49"/>
    <mergeCell ref="EL49:EO49"/>
    <mergeCell ref="EP49:ES49"/>
    <mergeCell ref="DJ49:DM49"/>
    <mergeCell ref="AX48:BA48"/>
    <mergeCell ref="BB48:BE48"/>
    <mergeCell ref="BF48:BI48"/>
    <mergeCell ref="BJ48:BM48"/>
    <mergeCell ref="BN48:BQ48"/>
    <mergeCell ref="BR48:BU48"/>
    <mergeCell ref="Z48:AC48"/>
    <mergeCell ref="AD48:AG48"/>
    <mergeCell ref="AH48:AK48"/>
    <mergeCell ref="AL48:AO48"/>
    <mergeCell ref="AP48:AS48"/>
    <mergeCell ref="AT48:AW48"/>
    <mergeCell ref="B48:B50"/>
    <mergeCell ref="F48:I48"/>
    <mergeCell ref="J48:M48"/>
    <mergeCell ref="N48:Q48"/>
    <mergeCell ref="R48:U48"/>
    <mergeCell ref="V48:Y48"/>
    <mergeCell ref="AX49:BA49"/>
    <mergeCell ref="BB49:BE49"/>
    <mergeCell ref="BF49:BI49"/>
    <mergeCell ref="BJ49:BM49"/>
    <mergeCell ref="AX50:BA50"/>
    <mergeCell ref="BB50:BE50"/>
    <mergeCell ref="F50:I50"/>
    <mergeCell ref="J50:M50"/>
    <mergeCell ref="N50:Q50"/>
    <mergeCell ref="R50:U50"/>
    <mergeCell ref="V50:Y50"/>
    <mergeCell ref="Z50:AC50"/>
    <mergeCell ref="AD50:AG50"/>
    <mergeCell ref="AP49:AS49"/>
    <mergeCell ref="DV47:DY47"/>
    <mergeCell ref="DZ47:EC47"/>
    <mergeCell ref="ED47:EG47"/>
    <mergeCell ref="EH47:EK47"/>
    <mergeCell ref="EL47:EO47"/>
    <mergeCell ref="EP47:ES47"/>
    <mergeCell ref="CX47:DA47"/>
    <mergeCell ref="DB47:DE47"/>
    <mergeCell ref="DF47:DI47"/>
    <mergeCell ref="DJ47:DM47"/>
    <mergeCell ref="DN47:DQ47"/>
    <mergeCell ref="DR47:DU47"/>
    <mergeCell ref="BZ47:CC47"/>
    <mergeCell ref="CD47:CG47"/>
    <mergeCell ref="CH47:CK47"/>
    <mergeCell ref="CL47:CO47"/>
    <mergeCell ref="CP47:CS47"/>
    <mergeCell ref="CT47:CW47"/>
    <mergeCell ref="BB47:BE47"/>
    <mergeCell ref="BF47:BI47"/>
    <mergeCell ref="BJ47:BM47"/>
    <mergeCell ref="BN47:BQ47"/>
    <mergeCell ref="BR47:BU47"/>
    <mergeCell ref="BV47:BY47"/>
    <mergeCell ref="AD47:AG47"/>
    <mergeCell ref="AH47:AK47"/>
    <mergeCell ref="AL47:AO47"/>
    <mergeCell ref="AP47:AS47"/>
    <mergeCell ref="AT47:AW47"/>
    <mergeCell ref="AX47:BA47"/>
    <mergeCell ref="ED46:EG46"/>
    <mergeCell ref="EH46:EK46"/>
    <mergeCell ref="EL46:EO46"/>
    <mergeCell ref="EP46:ES46"/>
    <mergeCell ref="F47:I47"/>
    <mergeCell ref="J47:M47"/>
    <mergeCell ref="N47:Q47"/>
    <mergeCell ref="R47:U47"/>
    <mergeCell ref="V47:Y47"/>
    <mergeCell ref="Z47:AC47"/>
    <mergeCell ref="DF46:DI46"/>
    <mergeCell ref="DJ46:DM46"/>
    <mergeCell ref="DN46:DQ46"/>
    <mergeCell ref="DR46:DU46"/>
    <mergeCell ref="DV46:DY46"/>
    <mergeCell ref="DZ46:EC46"/>
    <mergeCell ref="CH46:CK46"/>
    <mergeCell ref="CL46:CO46"/>
    <mergeCell ref="CP46:CS46"/>
    <mergeCell ref="CT46:CW46"/>
    <mergeCell ref="EL45:EO45"/>
    <mergeCell ref="EP45:ES45"/>
    <mergeCell ref="F46:I46"/>
    <mergeCell ref="J46:M46"/>
    <mergeCell ref="N46:Q46"/>
    <mergeCell ref="R46:U46"/>
    <mergeCell ref="V46:Y46"/>
    <mergeCell ref="Z46:AC46"/>
    <mergeCell ref="AD46:AG46"/>
    <mergeCell ref="AH46:AK46"/>
    <mergeCell ref="DN45:DQ45"/>
    <mergeCell ref="DR45:DU45"/>
    <mergeCell ref="DV45:DY45"/>
    <mergeCell ref="DZ45:EC45"/>
    <mergeCell ref="ED45:EG45"/>
    <mergeCell ref="EH45:EK45"/>
    <mergeCell ref="CP45:CS45"/>
    <mergeCell ref="CT45:CW45"/>
    <mergeCell ref="V45:Y45"/>
    <mergeCell ref="Z45:AC45"/>
    <mergeCell ref="AD45:AG45"/>
    <mergeCell ref="AH45:AK45"/>
    <mergeCell ref="AL45:AO45"/>
    <mergeCell ref="AP45:AS45"/>
    <mergeCell ref="CX46:DA46"/>
    <mergeCell ref="DB46:DE46"/>
    <mergeCell ref="BJ46:BM46"/>
    <mergeCell ref="BN46:BQ46"/>
    <mergeCell ref="BR46:BU46"/>
    <mergeCell ref="BV46:BY46"/>
    <mergeCell ref="BZ46:CC46"/>
    <mergeCell ref="CD46:CG46"/>
    <mergeCell ref="AL46:AO46"/>
    <mergeCell ref="AP46:AS46"/>
    <mergeCell ref="AT46:AW46"/>
    <mergeCell ref="AX46:BA46"/>
    <mergeCell ref="BB46:BE46"/>
    <mergeCell ref="BF46:BI46"/>
    <mergeCell ref="AT44:AW44"/>
    <mergeCell ref="CX45:DA45"/>
    <mergeCell ref="DB45:DE45"/>
    <mergeCell ref="DF45:DI45"/>
    <mergeCell ref="DJ45:DM45"/>
    <mergeCell ref="BR45:BU45"/>
    <mergeCell ref="BV45:BY45"/>
    <mergeCell ref="BZ45:CC45"/>
    <mergeCell ref="CD45:CG45"/>
    <mergeCell ref="CH45:CK45"/>
    <mergeCell ref="CL45:CO45"/>
    <mergeCell ref="AT45:AW45"/>
    <mergeCell ref="AX45:BA45"/>
    <mergeCell ref="BB45:BE45"/>
    <mergeCell ref="BF45:BI45"/>
    <mergeCell ref="BJ45:BM45"/>
    <mergeCell ref="BN45:BQ45"/>
    <mergeCell ref="AT43:AW43"/>
    <mergeCell ref="DZ44:EC44"/>
    <mergeCell ref="ED44:EG44"/>
    <mergeCell ref="EH44:EK44"/>
    <mergeCell ref="EL44:EO44"/>
    <mergeCell ref="EP44:ES44"/>
    <mergeCell ref="B45:B47"/>
    <mergeCell ref="F45:I45"/>
    <mergeCell ref="J45:M45"/>
    <mergeCell ref="N45:Q45"/>
    <mergeCell ref="R45:U45"/>
    <mergeCell ref="DB44:DE44"/>
    <mergeCell ref="DF44:DI44"/>
    <mergeCell ref="DJ44:DM44"/>
    <mergeCell ref="DN44:DQ44"/>
    <mergeCell ref="DR44:DU44"/>
    <mergeCell ref="DV44:DY44"/>
    <mergeCell ref="CD44:CG44"/>
    <mergeCell ref="CH44:CK44"/>
    <mergeCell ref="CL44:CO44"/>
    <mergeCell ref="CP44:CS44"/>
    <mergeCell ref="CT44:CW44"/>
    <mergeCell ref="CX44:DA44"/>
    <mergeCell ref="BF44:BI44"/>
    <mergeCell ref="BJ44:BM44"/>
    <mergeCell ref="BN44:BQ44"/>
    <mergeCell ref="BR44:BU44"/>
    <mergeCell ref="BV44:BY44"/>
    <mergeCell ref="BZ44:CC44"/>
    <mergeCell ref="AH44:AK44"/>
    <mergeCell ref="AL44:AO44"/>
    <mergeCell ref="AP44:AS44"/>
    <mergeCell ref="DN43:DQ43"/>
    <mergeCell ref="DR43:DU43"/>
    <mergeCell ref="DV43:DY43"/>
    <mergeCell ref="DZ43:EC43"/>
    <mergeCell ref="ED43:EG43"/>
    <mergeCell ref="CL43:CO43"/>
    <mergeCell ref="CP43:CS43"/>
    <mergeCell ref="CT43:CW43"/>
    <mergeCell ref="CX43:DA43"/>
    <mergeCell ref="DB43:DE43"/>
    <mergeCell ref="DF43:DI43"/>
    <mergeCell ref="BN43:BQ43"/>
    <mergeCell ref="BR43:BU43"/>
    <mergeCell ref="BV43:BY43"/>
    <mergeCell ref="BZ43:CC43"/>
    <mergeCell ref="CD43:CG43"/>
    <mergeCell ref="CH43:CK43"/>
    <mergeCell ref="EP42:ES42"/>
    <mergeCell ref="F43:I43"/>
    <mergeCell ref="J43:M43"/>
    <mergeCell ref="N43:Q43"/>
    <mergeCell ref="R43:U43"/>
    <mergeCell ref="V43:Y43"/>
    <mergeCell ref="Z43:AC43"/>
    <mergeCell ref="AD43:AG43"/>
    <mergeCell ref="AH43:AK43"/>
    <mergeCell ref="AL43:AO43"/>
    <mergeCell ref="DR42:DU42"/>
    <mergeCell ref="DV42:DY42"/>
    <mergeCell ref="DZ42:EC42"/>
    <mergeCell ref="ED42:EG42"/>
    <mergeCell ref="EH42:EK42"/>
    <mergeCell ref="EL42:EO42"/>
    <mergeCell ref="CT42:CW42"/>
    <mergeCell ref="CX42:DA42"/>
    <mergeCell ref="DB42:DE42"/>
    <mergeCell ref="DF42:DI42"/>
    <mergeCell ref="DJ42:DM42"/>
    <mergeCell ref="DN42:DQ42"/>
    <mergeCell ref="BV42:BY42"/>
    <mergeCell ref="BZ42:CC42"/>
    <mergeCell ref="CD42:CG42"/>
    <mergeCell ref="CH42:CK42"/>
    <mergeCell ref="CL42:CO42"/>
    <mergeCell ref="CP42:CS42"/>
    <mergeCell ref="EH43:EK43"/>
    <mergeCell ref="EL43:EO43"/>
    <mergeCell ref="EP43:ES43"/>
    <mergeCell ref="DJ43:DM43"/>
    <mergeCell ref="AX42:BA42"/>
    <mergeCell ref="BB42:BE42"/>
    <mergeCell ref="BF42:BI42"/>
    <mergeCell ref="BJ42:BM42"/>
    <mergeCell ref="BN42:BQ42"/>
    <mergeCell ref="BR42:BU42"/>
    <mergeCell ref="Z42:AC42"/>
    <mergeCell ref="AD42:AG42"/>
    <mergeCell ref="AH42:AK42"/>
    <mergeCell ref="AL42:AO42"/>
    <mergeCell ref="AP42:AS42"/>
    <mergeCell ref="AT42:AW42"/>
    <mergeCell ref="B42:B44"/>
    <mergeCell ref="F42:I42"/>
    <mergeCell ref="J42:M42"/>
    <mergeCell ref="N42:Q42"/>
    <mergeCell ref="R42:U42"/>
    <mergeCell ref="V42:Y42"/>
    <mergeCell ref="AX43:BA43"/>
    <mergeCell ref="BB43:BE43"/>
    <mergeCell ref="BF43:BI43"/>
    <mergeCell ref="BJ43:BM43"/>
    <mergeCell ref="AX44:BA44"/>
    <mergeCell ref="BB44:BE44"/>
    <mergeCell ref="F44:I44"/>
    <mergeCell ref="J44:M44"/>
    <mergeCell ref="N44:Q44"/>
    <mergeCell ref="R44:U44"/>
    <mergeCell ref="V44:Y44"/>
    <mergeCell ref="Z44:AC44"/>
    <mergeCell ref="AD44:AG44"/>
    <mergeCell ref="AP43:AS43"/>
    <mergeCell ref="DV38:DY38"/>
    <mergeCell ref="DZ38:EC38"/>
    <mergeCell ref="ED38:EG38"/>
    <mergeCell ref="EH38:EK38"/>
    <mergeCell ref="EL38:EO38"/>
    <mergeCell ref="EP38:ES38"/>
    <mergeCell ref="CX38:DA38"/>
    <mergeCell ref="DB38:DE38"/>
    <mergeCell ref="DF38:DI38"/>
    <mergeCell ref="DJ38:DM38"/>
    <mergeCell ref="DN38:DQ38"/>
    <mergeCell ref="DR38:DU38"/>
    <mergeCell ref="BZ38:CC38"/>
    <mergeCell ref="CD38:CG38"/>
    <mergeCell ref="CH38:CK38"/>
    <mergeCell ref="CL38:CO38"/>
    <mergeCell ref="CP38:CS38"/>
    <mergeCell ref="CT38:CW38"/>
    <mergeCell ref="BB38:BE38"/>
    <mergeCell ref="BF38:BI38"/>
    <mergeCell ref="BJ38:BM38"/>
    <mergeCell ref="BN38:BQ38"/>
    <mergeCell ref="BR38:BU38"/>
    <mergeCell ref="BV38:BY38"/>
    <mergeCell ref="AD38:AG38"/>
    <mergeCell ref="AH38:AK38"/>
    <mergeCell ref="AL38:AO38"/>
    <mergeCell ref="AP38:AS38"/>
    <mergeCell ref="AT38:AW38"/>
    <mergeCell ref="AX38:BA38"/>
    <mergeCell ref="ED37:EG37"/>
    <mergeCell ref="EH37:EK37"/>
    <mergeCell ref="EL37:EO37"/>
    <mergeCell ref="EP37:ES37"/>
    <mergeCell ref="F38:I38"/>
    <mergeCell ref="J38:M38"/>
    <mergeCell ref="N38:Q38"/>
    <mergeCell ref="R38:U38"/>
    <mergeCell ref="V38:Y38"/>
    <mergeCell ref="Z38:AC38"/>
    <mergeCell ref="DF37:DI37"/>
    <mergeCell ref="DJ37:DM37"/>
    <mergeCell ref="DN37:DQ37"/>
    <mergeCell ref="DR37:DU37"/>
    <mergeCell ref="DV37:DY37"/>
    <mergeCell ref="DZ37:EC37"/>
    <mergeCell ref="CH37:CK37"/>
    <mergeCell ref="CL37:CO37"/>
    <mergeCell ref="CP37:CS37"/>
    <mergeCell ref="CT37:CW37"/>
    <mergeCell ref="EL36:EO36"/>
    <mergeCell ref="EP36:ES36"/>
    <mergeCell ref="F37:I37"/>
    <mergeCell ref="J37:M37"/>
    <mergeCell ref="N37:Q37"/>
    <mergeCell ref="R37:U37"/>
    <mergeCell ref="V37:Y37"/>
    <mergeCell ref="Z37:AC37"/>
    <mergeCell ref="AD37:AG37"/>
    <mergeCell ref="AH37:AK37"/>
    <mergeCell ref="DN36:DQ36"/>
    <mergeCell ref="DR36:DU36"/>
    <mergeCell ref="DV36:DY36"/>
    <mergeCell ref="DZ36:EC36"/>
    <mergeCell ref="ED36:EG36"/>
    <mergeCell ref="EH36:EK36"/>
    <mergeCell ref="CP36:CS36"/>
    <mergeCell ref="CT36:CW36"/>
    <mergeCell ref="V36:Y36"/>
    <mergeCell ref="Z36:AC36"/>
    <mergeCell ref="AD36:AG36"/>
    <mergeCell ref="AH36:AK36"/>
    <mergeCell ref="AL36:AO36"/>
    <mergeCell ref="AP36:AS36"/>
    <mergeCell ref="CX37:DA37"/>
    <mergeCell ref="DB37:DE37"/>
    <mergeCell ref="BJ37:BM37"/>
    <mergeCell ref="BN37:BQ37"/>
    <mergeCell ref="BR37:BU37"/>
    <mergeCell ref="BV37:BY37"/>
    <mergeCell ref="BZ37:CC37"/>
    <mergeCell ref="CD37:CG37"/>
    <mergeCell ref="AL37:AO37"/>
    <mergeCell ref="AP37:AS37"/>
    <mergeCell ref="AT37:AW37"/>
    <mergeCell ref="AX37:BA37"/>
    <mergeCell ref="BB37:BE37"/>
    <mergeCell ref="BF37:BI37"/>
    <mergeCell ref="AT35:AW35"/>
    <mergeCell ref="CX36:DA36"/>
    <mergeCell ref="DB36:DE36"/>
    <mergeCell ref="DF36:DI36"/>
    <mergeCell ref="DJ36:DM36"/>
    <mergeCell ref="BR36:BU36"/>
    <mergeCell ref="BV36:BY36"/>
    <mergeCell ref="BZ36:CC36"/>
    <mergeCell ref="CD36:CG36"/>
    <mergeCell ref="CH36:CK36"/>
    <mergeCell ref="CL36:CO36"/>
    <mergeCell ref="AT36:AW36"/>
    <mergeCell ref="AX36:BA36"/>
    <mergeCell ref="BB36:BE36"/>
    <mergeCell ref="BF36:BI36"/>
    <mergeCell ref="BJ36:BM36"/>
    <mergeCell ref="BN36:BQ36"/>
    <mergeCell ref="AT34:AW34"/>
    <mergeCell ref="DZ35:EC35"/>
    <mergeCell ref="ED35:EG35"/>
    <mergeCell ref="EH35:EK35"/>
    <mergeCell ref="EL35:EO35"/>
    <mergeCell ref="EP35:ES35"/>
    <mergeCell ref="B36:B38"/>
    <mergeCell ref="F36:I36"/>
    <mergeCell ref="J36:M36"/>
    <mergeCell ref="N36:Q36"/>
    <mergeCell ref="R36:U36"/>
    <mergeCell ref="DB35:DE35"/>
    <mergeCell ref="DF35:DI35"/>
    <mergeCell ref="DJ35:DM35"/>
    <mergeCell ref="DN35:DQ35"/>
    <mergeCell ref="DR35:DU35"/>
    <mergeCell ref="DV35:DY35"/>
    <mergeCell ref="CD35:CG35"/>
    <mergeCell ref="CH35:CK35"/>
    <mergeCell ref="CL35:CO35"/>
    <mergeCell ref="CP35:CS35"/>
    <mergeCell ref="CT35:CW35"/>
    <mergeCell ref="CX35:DA35"/>
    <mergeCell ref="BF35:BI35"/>
    <mergeCell ref="BJ35:BM35"/>
    <mergeCell ref="BN35:BQ35"/>
    <mergeCell ref="BR35:BU35"/>
    <mergeCell ref="BV35:BY35"/>
    <mergeCell ref="BZ35:CC35"/>
    <mergeCell ref="AH35:AK35"/>
    <mergeCell ref="AL35:AO35"/>
    <mergeCell ref="AP35:AS35"/>
    <mergeCell ref="DN34:DQ34"/>
    <mergeCell ref="DR34:DU34"/>
    <mergeCell ref="DV34:DY34"/>
    <mergeCell ref="DZ34:EC34"/>
    <mergeCell ref="ED34:EG34"/>
    <mergeCell ref="CL34:CO34"/>
    <mergeCell ref="CP34:CS34"/>
    <mergeCell ref="CT34:CW34"/>
    <mergeCell ref="CX34:DA34"/>
    <mergeCell ref="DB34:DE34"/>
    <mergeCell ref="DF34:DI34"/>
    <mergeCell ref="BN34:BQ34"/>
    <mergeCell ref="BR34:BU34"/>
    <mergeCell ref="BV34:BY34"/>
    <mergeCell ref="BZ34:CC34"/>
    <mergeCell ref="CD34:CG34"/>
    <mergeCell ref="CH34:CK34"/>
    <mergeCell ref="EP33:ES33"/>
    <mergeCell ref="F34:I34"/>
    <mergeCell ref="J34:M34"/>
    <mergeCell ref="N34:Q34"/>
    <mergeCell ref="R34:U34"/>
    <mergeCell ref="V34:Y34"/>
    <mergeCell ref="Z34:AC34"/>
    <mergeCell ref="AD34:AG34"/>
    <mergeCell ref="AH34:AK34"/>
    <mergeCell ref="AL34:AO34"/>
    <mergeCell ref="DR33:DU33"/>
    <mergeCell ref="DV33:DY33"/>
    <mergeCell ref="DZ33:EC33"/>
    <mergeCell ref="ED33:EG33"/>
    <mergeCell ref="EH33:EK33"/>
    <mergeCell ref="EL33:EO33"/>
    <mergeCell ref="CT33:CW33"/>
    <mergeCell ref="CX33:DA33"/>
    <mergeCell ref="DB33:DE33"/>
    <mergeCell ref="DF33:DI33"/>
    <mergeCell ref="DJ33:DM33"/>
    <mergeCell ref="DN33:DQ33"/>
    <mergeCell ref="BV33:BY33"/>
    <mergeCell ref="BZ33:CC33"/>
    <mergeCell ref="CD33:CG33"/>
    <mergeCell ref="CH33:CK33"/>
    <mergeCell ref="CL33:CO33"/>
    <mergeCell ref="CP33:CS33"/>
    <mergeCell ref="EH34:EK34"/>
    <mergeCell ref="EL34:EO34"/>
    <mergeCell ref="EP34:ES34"/>
    <mergeCell ref="DJ34:DM34"/>
    <mergeCell ref="AX33:BA33"/>
    <mergeCell ref="BB33:BE33"/>
    <mergeCell ref="BF33:BI33"/>
    <mergeCell ref="BJ33:BM33"/>
    <mergeCell ref="BN33:BQ33"/>
    <mergeCell ref="BR33:BU33"/>
    <mergeCell ref="Z33:AC33"/>
    <mergeCell ref="AD33:AG33"/>
    <mergeCell ref="AH33:AK33"/>
    <mergeCell ref="AL33:AO33"/>
    <mergeCell ref="AP33:AS33"/>
    <mergeCell ref="AT33:AW33"/>
    <mergeCell ref="B33:B35"/>
    <mergeCell ref="F33:I33"/>
    <mergeCell ref="J33:M33"/>
    <mergeCell ref="N33:Q33"/>
    <mergeCell ref="R33:U33"/>
    <mergeCell ref="V33:Y33"/>
    <mergeCell ref="AX34:BA34"/>
    <mergeCell ref="BB34:BE34"/>
    <mergeCell ref="BF34:BI34"/>
    <mergeCell ref="BJ34:BM34"/>
    <mergeCell ref="AX35:BA35"/>
    <mergeCell ref="BB35:BE35"/>
    <mergeCell ref="F35:I35"/>
    <mergeCell ref="J35:M35"/>
    <mergeCell ref="N35:Q35"/>
    <mergeCell ref="R35:U35"/>
    <mergeCell ref="V35:Y35"/>
    <mergeCell ref="Z35:AC35"/>
    <mergeCell ref="AD35:AG35"/>
    <mergeCell ref="AP34:AS34"/>
    <mergeCell ref="DV32:DY32"/>
    <mergeCell ref="DZ32:EC32"/>
    <mergeCell ref="ED32:EG32"/>
    <mergeCell ref="EH32:EK32"/>
    <mergeCell ref="EL32:EO32"/>
    <mergeCell ref="EP32:ES32"/>
    <mergeCell ref="CX32:DA32"/>
    <mergeCell ref="DB32:DE32"/>
    <mergeCell ref="DF32:DI32"/>
    <mergeCell ref="DJ32:DM32"/>
    <mergeCell ref="DN32:DQ32"/>
    <mergeCell ref="DR32:DU32"/>
    <mergeCell ref="BZ32:CC32"/>
    <mergeCell ref="CD32:CG32"/>
    <mergeCell ref="CH32:CK32"/>
    <mergeCell ref="CL32:CO32"/>
    <mergeCell ref="CP32:CS32"/>
    <mergeCell ref="CT32:CW32"/>
    <mergeCell ref="BB32:BE32"/>
    <mergeCell ref="BF32:BI32"/>
    <mergeCell ref="BJ32:BM32"/>
    <mergeCell ref="BN32:BQ32"/>
    <mergeCell ref="BR32:BU32"/>
    <mergeCell ref="BV32:BY32"/>
    <mergeCell ref="AD32:AG32"/>
    <mergeCell ref="AH32:AK32"/>
    <mergeCell ref="AL32:AO32"/>
    <mergeCell ref="AP32:AS32"/>
    <mergeCell ref="AT32:AW32"/>
    <mergeCell ref="AX32:BA32"/>
    <mergeCell ref="ED31:EG31"/>
    <mergeCell ref="EH31:EK31"/>
    <mergeCell ref="EL31:EO31"/>
    <mergeCell ref="EP31:ES31"/>
    <mergeCell ref="F32:I32"/>
    <mergeCell ref="J32:M32"/>
    <mergeCell ref="N32:Q32"/>
    <mergeCell ref="R32:U32"/>
    <mergeCell ref="V32:Y32"/>
    <mergeCell ref="Z32:AC32"/>
    <mergeCell ref="DF31:DI31"/>
    <mergeCell ref="DJ31:DM31"/>
    <mergeCell ref="DN31:DQ31"/>
    <mergeCell ref="DR31:DU31"/>
    <mergeCell ref="DV31:DY31"/>
    <mergeCell ref="DZ31:EC31"/>
    <mergeCell ref="CH31:CK31"/>
    <mergeCell ref="CL31:CO31"/>
    <mergeCell ref="CP31:CS31"/>
    <mergeCell ref="CT31:CW31"/>
    <mergeCell ref="EL30:EO30"/>
    <mergeCell ref="EP30:ES30"/>
    <mergeCell ref="F31:I31"/>
    <mergeCell ref="J31:M31"/>
    <mergeCell ref="N31:Q31"/>
    <mergeCell ref="R31:U31"/>
    <mergeCell ref="V31:Y31"/>
    <mergeCell ref="Z31:AC31"/>
    <mergeCell ref="AD31:AG31"/>
    <mergeCell ref="AH31:AK31"/>
    <mergeCell ref="DN30:DQ30"/>
    <mergeCell ref="DR30:DU30"/>
    <mergeCell ref="DV30:DY30"/>
    <mergeCell ref="DZ30:EC30"/>
    <mergeCell ref="ED30:EG30"/>
    <mergeCell ref="EH30:EK30"/>
    <mergeCell ref="CP30:CS30"/>
    <mergeCell ref="CT30:CW30"/>
    <mergeCell ref="V30:Y30"/>
    <mergeCell ref="Z30:AC30"/>
    <mergeCell ref="AD30:AG30"/>
    <mergeCell ref="AH30:AK30"/>
    <mergeCell ref="AL30:AO30"/>
    <mergeCell ref="AP30:AS30"/>
    <mergeCell ref="CX31:DA31"/>
    <mergeCell ref="DB31:DE31"/>
    <mergeCell ref="BJ31:BM31"/>
    <mergeCell ref="BN31:BQ31"/>
    <mergeCell ref="BR31:BU31"/>
    <mergeCell ref="BV31:BY31"/>
    <mergeCell ref="BZ31:CC31"/>
    <mergeCell ref="CD31:CG31"/>
    <mergeCell ref="AL31:AO31"/>
    <mergeCell ref="AP31:AS31"/>
    <mergeCell ref="AT31:AW31"/>
    <mergeCell ref="AX31:BA31"/>
    <mergeCell ref="BB31:BE31"/>
    <mergeCell ref="BF31:BI31"/>
    <mergeCell ref="AT29:AW29"/>
    <mergeCell ref="CX30:DA30"/>
    <mergeCell ref="DB30:DE30"/>
    <mergeCell ref="DF30:DI30"/>
    <mergeCell ref="DJ30:DM30"/>
    <mergeCell ref="BR30:BU30"/>
    <mergeCell ref="BV30:BY30"/>
    <mergeCell ref="BZ30:CC30"/>
    <mergeCell ref="CD30:CG30"/>
    <mergeCell ref="CH30:CK30"/>
    <mergeCell ref="CL30:CO30"/>
    <mergeCell ref="AT30:AW30"/>
    <mergeCell ref="AX30:BA30"/>
    <mergeCell ref="BB30:BE30"/>
    <mergeCell ref="BF30:BI30"/>
    <mergeCell ref="BJ30:BM30"/>
    <mergeCell ref="BN30:BQ30"/>
    <mergeCell ref="AT28:AW28"/>
    <mergeCell ref="DZ29:EC29"/>
    <mergeCell ref="ED29:EG29"/>
    <mergeCell ref="EH29:EK29"/>
    <mergeCell ref="EL29:EO29"/>
    <mergeCell ref="EP29:ES29"/>
    <mergeCell ref="B30:B32"/>
    <mergeCell ref="F30:I30"/>
    <mergeCell ref="J30:M30"/>
    <mergeCell ref="N30:Q30"/>
    <mergeCell ref="R30:U30"/>
    <mergeCell ref="DB29:DE29"/>
    <mergeCell ref="DF29:DI29"/>
    <mergeCell ref="DJ29:DM29"/>
    <mergeCell ref="DN29:DQ29"/>
    <mergeCell ref="DR29:DU29"/>
    <mergeCell ref="DV29:DY29"/>
    <mergeCell ref="CD29:CG29"/>
    <mergeCell ref="CH29:CK29"/>
    <mergeCell ref="CL29:CO29"/>
    <mergeCell ref="CP29:CS29"/>
    <mergeCell ref="CT29:CW29"/>
    <mergeCell ref="CX29:DA29"/>
    <mergeCell ref="BF29:BI29"/>
    <mergeCell ref="BJ29:BM29"/>
    <mergeCell ref="BN29:BQ29"/>
    <mergeCell ref="BR29:BU29"/>
    <mergeCell ref="BV29:BY29"/>
    <mergeCell ref="BZ29:CC29"/>
    <mergeCell ref="AH29:AK29"/>
    <mergeCell ref="AL29:AO29"/>
    <mergeCell ref="AP29:AS29"/>
    <mergeCell ref="DN28:DQ28"/>
    <mergeCell ref="DR28:DU28"/>
    <mergeCell ref="DV28:DY28"/>
    <mergeCell ref="DZ28:EC28"/>
    <mergeCell ref="ED28:EG28"/>
    <mergeCell ref="CL28:CO28"/>
    <mergeCell ref="CP28:CS28"/>
    <mergeCell ref="CT28:CW28"/>
    <mergeCell ref="CX28:DA28"/>
    <mergeCell ref="DB28:DE28"/>
    <mergeCell ref="DF28:DI28"/>
    <mergeCell ref="BN28:BQ28"/>
    <mergeCell ref="BR28:BU28"/>
    <mergeCell ref="BV28:BY28"/>
    <mergeCell ref="BZ28:CC28"/>
    <mergeCell ref="CD28:CG28"/>
    <mergeCell ref="CH28:CK28"/>
    <mergeCell ref="EP27:ES27"/>
    <mergeCell ref="F28:I28"/>
    <mergeCell ref="J28:M28"/>
    <mergeCell ref="N28:Q28"/>
    <mergeCell ref="R28:U28"/>
    <mergeCell ref="V28:Y28"/>
    <mergeCell ref="Z28:AC28"/>
    <mergeCell ref="AD28:AG28"/>
    <mergeCell ref="AH28:AK28"/>
    <mergeCell ref="AL28:AO28"/>
    <mergeCell ref="DR27:DU27"/>
    <mergeCell ref="DV27:DY27"/>
    <mergeCell ref="DZ27:EC27"/>
    <mergeCell ref="ED27:EG27"/>
    <mergeCell ref="EH27:EK27"/>
    <mergeCell ref="EL27:EO27"/>
    <mergeCell ref="CT27:CW27"/>
    <mergeCell ref="CX27:DA27"/>
    <mergeCell ref="DB27:DE27"/>
    <mergeCell ref="DF27:DI27"/>
    <mergeCell ref="DJ27:DM27"/>
    <mergeCell ref="DN27:DQ27"/>
    <mergeCell ref="BV27:BY27"/>
    <mergeCell ref="BZ27:CC27"/>
    <mergeCell ref="CD27:CG27"/>
    <mergeCell ref="CH27:CK27"/>
    <mergeCell ref="CL27:CO27"/>
    <mergeCell ref="CP27:CS27"/>
    <mergeCell ref="EH28:EK28"/>
    <mergeCell ref="EL28:EO28"/>
    <mergeCell ref="EP28:ES28"/>
    <mergeCell ref="DJ28:DM28"/>
    <mergeCell ref="AX27:BA27"/>
    <mergeCell ref="BB27:BE27"/>
    <mergeCell ref="BF27:BI27"/>
    <mergeCell ref="BJ27:BM27"/>
    <mergeCell ref="BN27:BQ27"/>
    <mergeCell ref="BR27:BU27"/>
    <mergeCell ref="Z27:AC27"/>
    <mergeCell ref="AD27:AG27"/>
    <mergeCell ref="AH27:AK27"/>
    <mergeCell ref="AL27:AO27"/>
    <mergeCell ref="AP27:AS27"/>
    <mergeCell ref="AT27:AW27"/>
    <mergeCell ref="B27:B29"/>
    <mergeCell ref="F27:I27"/>
    <mergeCell ref="J27:M27"/>
    <mergeCell ref="N27:Q27"/>
    <mergeCell ref="R27:U27"/>
    <mergeCell ref="V27:Y27"/>
    <mergeCell ref="AX28:BA28"/>
    <mergeCell ref="BB28:BE28"/>
    <mergeCell ref="BF28:BI28"/>
    <mergeCell ref="BJ28:BM28"/>
    <mergeCell ref="AX29:BA29"/>
    <mergeCell ref="BB29:BE29"/>
    <mergeCell ref="F29:I29"/>
    <mergeCell ref="J29:M29"/>
    <mergeCell ref="N29:Q29"/>
    <mergeCell ref="R29:U29"/>
    <mergeCell ref="V29:Y29"/>
    <mergeCell ref="Z29:AC29"/>
    <mergeCell ref="AD29:AG29"/>
    <mergeCell ref="AP28:AS28"/>
    <mergeCell ref="DV26:DY26"/>
    <mergeCell ref="DZ26:EC26"/>
    <mergeCell ref="ED26:EG26"/>
    <mergeCell ref="EH26:EK26"/>
    <mergeCell ref="EL26:EO26"/>
    <mergeCell ref="EP26:ES26"/>
    <mergeCell ref="CX26:DA26"/>
    <mergeCell ref="DB26:DE26"/>
    <mergeCell ref="DF26:DI26"/>
    <mergeCell ref="DJ26:DM26"/>
    <mergeCell ref="DN26:DQ26"/>
    <mergeCell ref="DR26:DU26"/>
    <mergeCell ref="BZ26:CC26"/>
    <mergeCell ref="CD26:CG26"/>
    <mergeCell ref="CH26:CK26"/>
    <mergeCell ref="CL26:CO26"/>
    <mergeCell ref="CP26:CS26"/>
    <mergeCell ref="CT26:CW26"/>
    <mergeCell ref="BB26:BE26"/>
    <mergeCell ref="BF26:BI26"/>
    <mergeCell ref="BJ26:BM26"/>
    <mergeCell ref="BN26:BQ26"/>
    <mergeCell ref="BR26:BU26"/>
    <mergeCell ref="BV26:BY26"/>
    <mergeCell ref="AD26:AG26"/>
    <mergeCell ref="AH26:AK26"/>
    <mergeCell ref="AL26:AO26"/>
    <mergeCell ref="AP26:AS26"/>
    <mergeCell ref="AT26:AW26"/>
    <mergeCell ref="AX26:BA26"/>
    <mergeCell ref="ED25:EG25"/>
    <mergeCell ref="EH25:EK25"/>
    <mergeCell ref="EL25:EO25"/>
    <mergeCell ref="EP25:ES25"/>
    <mergeCell ref="F26:I26"/>
    <mergeCell ref="J26:M26"/>
    <mergeCell ref="N26:Q26"/>
    <mergeCell ref="R26:U26"/>
    <mergeCell ref="V26:Y26"/>
    <mergeCell ref="Z26:AC26"/>
    <mergeCell ref="DF25:DI25"/>
    <mergeCell ref="DJ25:DM25"/>
    <mergeCell ref="DN25:DQ25"/>
    <mergeCell ref="DR25:DU25"/>
    <mergeCell ref="DV25:DY25"/>
    <mergeCell ref="DZ25:EC25"/>
    <mergeCell ref="CH25:CK25"/>
    <mergeCell ref="CL25:CO25"/>
    <mergeCell ref="CP25:CS25"/>
    <mergeCell ref="CT25:CW25"/>
    <mergeCell ref="CX25:DA25"/>
    <mergeCell ref="DB25:DE25"/>
    <mergeCell ref="BJ25:BM25"/>
    <mergeCell ref="BN25:BQ25"/>
    <mergeCell ref="BR25:BU25"/>
    <mergeCell ref="BV25:BY25"/>
    <mergeCell ref="BZ25:CC25"/>
    <mergeCell ref="CD25:CG25"/>
    <mergeCell ref="AL25:AO25"/>
    <mergeCell ref="AP25:AS25"/>
    <mergeCell ref="AT25:AW25"/>
    <mergeCell ref="AX25:BA25"/>
    <mergeCell ref="BB25:BE25"/>
    <mergeCell ref="BF25:BI25"/>
    <mergeCell ref="EL24:EO24"/>
    <mergeCell ref="EP24:ES24"/>
    <mergeCell ref="F25:I25"/>
    <mergeCell ref="J25:M25"/>
    <mergeCell ref="N25:Q25"/>
    <mergeCell ref="R25:U25"/>
    <mergeCell ref="V25:Y25"/>
    <mergeCell ref="Z25:AC25"/>
    <mergeCell ref="AD25:AG25"/>
    <mergeCell ref="AH25:AK25"/>
    <mergeCell ref="DN24:DQ24"/>
    <mergeCell ref="DR24:DU24"/>
    <mergeCell ref="DV24:DY24"/>
    <mergeCell ref="DZ24:EC24"/>
    <mergeCell ref="ED24:EG24"/>
    <mergeCell ref="EH24:EK24"/>
    <mergeCell ref="CP24:CS24"/>
    <mergeCell ref="CT24:CW24"/>
    <mergeCell ref="CX24:DA24"/>
    <mergeCell ref="DB24:DE24"/>
    <mergeCell ref="DF24:DI24"/>
    <mergeCell ref="DJ24:DM24"/>
    <mergeCell ref="BR24:BU24"/>
    <mergeCell ref="BV24:BY24"/>
    <mergeCell ref="BZ24:CC24"/>
    <mergeCell ref="CD24:CG24"/>
    <mergeCell ref="CH24:CK24"/>
    <mergeCell ref="CL24:CO24"/>
    <mergeCell ref="AT24:AW24"/>
    <mergeCell ref="AX24:BA24"/>
    <mergeCell ref="BB24:BE24"/>
    <mergeCell ref="BF24:BI24"/>
    <mergeCell ref="BJ24:BM24"/>
    <mergeCell ref="BN24:BQ24"/>
    <mergeCell ref="V24:Y24"/>
    <mergeCell ref="Z24:AC24"/>
    <mergeCell ref="AD24:AG24"/>
    <mergeCell ref="AH24:AK24"/>
    <mergeCell ref="AL24:AO24"/>
    <mergeCell ref="AP24:AS24"/>
    <mergeCell ref="DZ23:EC23"/>
    <mergeCell ref="ED23:EG23"/>
    <mergeCell ref="EH23:EK23"/>
    <mergeCell ref="EL23:EO23"/>
    <mergeCell ref="EP23:ES23"/>
    <mergeCell ref="B24:B26"/>
    <mergeCell ref="F24:I24"/>
    <mergeCell ref="J24:M24"/>
    <mergeCell ref="N24:Q24"/>
    <mergeCell ref="R24:U24"/>
    <mergeCell ref="DB23:DE23"/>
    <mergeCell ref="DF23:DI23"/>
    <mergeCell ref="DJ23:DM23"/>
    <mergeCell ref="DN23:DQ23"/>
    <mergeCell ref="DR23:DU23"/>
    <mergeCell ref="DV23:DY23"/>
    <mergeCell ref="CD23:CG23"/>
    <mergeCell ref="CH23:CK23"/>
    <mergeCell ref="CL23:CO23"/>
    <mergeCell ref="CP23:CS23"/>
    <mergeCell ref="CT23:CW23"/>
    <mergeCell ref="CX23:DA23"/>
    <mergeCell ref="BF23:BI23"/>
    <mergeCell ref="BJ23:BM23"/>
    <mergeCell ref="BN23:BQ23"/>
    <mergeCell ref="BR23:BU23"/>
    <mergeCell ref="BV23:BY23"/>
    <mergeCell ref="BZ23:CC23"/>
    <mergeCell ref="AH23:AK23"/>
    <mergeCell ref="AL23:AO23"/>
    <mergeCell ref="AP23:AS23"/>
    <mergeCell ref="AT23:AW23"/>
    <mergeCell ref="AX23:BA23"/>
    <mergeCell ref="BB23:BE23"/>
    <mergeCell ref="EH22:EK22"/>
    <mergeCell ref="EL22:EO22"/>
    <mergeCell ref="EP22:ES22"/>
    <mergeCell ref="F23:I23"/>
    <mergeCell ref="J23:M23"/>
    <mergeCell ref="N23:Q23"/>
    <mergeCell ref="R23:U23"/>
    <mergeCell ref="V23:Y23"/>
    <mergeCell ref="Z23:AC23"/>
    <mergeCell ref="AD23:AG23"/>
    <mergeCell ref="DJ22:DM22"/>
    <mergeCell ref="DN22:DQ22"/>
    <mergeCell ref="DR22:DU22"/>
    <mergeCell ref="DV22:DY22"/>
    <mergeCell ref="DZ22:EC22"/>
    <mergeCell ref="ED22:EG22"/>
    <mergeCell ref="CL22:CO22"/>
    <mergeCell ref="CP22:CS22"/>
    <mergeCell ref="CT22:CW22"/>
    <mergeCell ref="CX22:DA22"/>
    <mergeCell ref="DB22:DE22"/>
    <mergeCell ref="DF22:DI22"/>
    <mergeCell ref="BN22:BQ22"/>
    <mergeCell ref="BR22:BU22"/>
    <mergeCell ref="BV22:BY22"/>
    <mergeCell ref="BZ22:CC22"/>
    <mergeCell ref="CD22:CG22"/>
    <mergeCell ref="CH22:CK22"/>
    <mergeCell ref="AP22:AS22"/>
    <mergeCell ref="AT22:AW22"/>
    <mergeCell ref="Z21:AC21"/>
    <mergeCell ref="AD21:AG21"/>
    <mergeCell ref="AH21:AK21"/>
    <mergeCell ref="AL21:AO21"/>
    <mergeCell ref="AP21:AS21"/>
    <mergeCell ref="AT21:AW21"/>
    <mergeCell ref="B21:B23"/>
    <mergeCell ref="F21:I21"/>
    <mergeCell ref="J21:M21"/>
    <mergeCell ref="N21:Q21"/>
    <mergeCell ref="R21:U21"/>
    <mergeCell ref="V21:Y21"/>
    <mergeCell ref="AX22:BA22"/>
    <mergeCell ref="BB22:BE22"/>
    <mergeCell ref="BF22:BI22"/>
    <mergeCell ref="BJ22:BM22"/>
    <mergeCell ref="EP21:ES21"/>
    <mergeCell ref="F22:I22"/>
    <mergeCell ref="J22:M22"/>
    <mergeCell ref="N22:Q22"/>
    <mergeCell ref="R22:U22"/>
    <mergeCell ref="V22:Y22"/>
    <mergeCell ref="Z22:AC22"/>
    <mergeCell ref="AD22:AG22"/>
    <mergeCell ref="AH22:AK22"/>
    <mergeCell ref="AL22:AO22"/>
    <mergeCell ref="DR21:DU21"/>
    <mergeCell ref="DV21:DY21"/>
    <mergeCell ref="DZ21:EC21"/>
    <mergeCell ref="ED21:EG21"/>
    <mergeCell ref="EH21:EK21"/>
    <mergeCell ref="EL21:EO21"/>
    <mergeCell ref="EL20:EO20"/>
    <mergeCell ref="EP20:ES20"/>
    <mergeCell ref="CX20:DA20"/>
    <mergeCell ref="DB20:DE20"/>
    <mergeCell ref="DF20:DI20"/>
    <mergeCell ref="DJ20:DM20"/>
    <mergeCell ref="DN20:DQ20"/>
    <mergeCell ref="DR20:DU20"/>
    <mergeCell ref="BZ20:CC20"/>
    <mergeCell ref="CD20:CG20"/>
    <mergeCell ref="CH20:CK20"/>
    <mergeCell ref="CL20:CO20"/>
    <mergeCell ref="CP20:CS20"/>
    <mergeCell ref="CT20:CW20"/>
    <mergeCell ref="AX21:BA21"/>
    <mergeCell ref="BB21:BE21"/>
    <mergeCell ref="BF21:BI21"/>
    <mergeCell ref="BJ21:BM21"/>
    <mergeCell ref="BN21:BQ21"/>
    <mergeCell ref="BR21:BU21"/>
    <mergeCell ref="CT21:CW21"/>
    <mergeCell ref="CX21:DA21"/>
    <mergeCell ref="DB21:DE21"/>
    <mergeCell ref="DF21:DI21"/>
    <mergeCell ref="DJ21:DM21"/>
    <mergeCell ref="DN21:DQ21"/>
    <mergeCell ref="BV21:BY21"/>
    <mergeCell ref="BZ21:CC21"/>
    <mergeCell ref="CD21:CG21"/>
    <mergeCell ref="CH21:CK21"/>
    <mergeCell ref="CL21:CO21"/>
    <mergeCell ref="CP21:CS21"/>
    <mergeCell ref="BB20:BE20"/>
    <mergeCell ref="BF20:BI20"/>
    <mergeCell ref="BJ20:BM20"/>
    <mergeCell ref="BN20:BQ20"/>
    <mergeCell ref="BR20:BU20"/>
    <mergeCell ref="BV20:BY20"/>
    <mergeCell ref="AD20:AG20"/>
    <mergeCell ref="AH20:AK20"/>
    <mergeCell ref="AL20:AO20"/>
    <mergeCell ref="AP20:AS20"/>
    <mergeCell ref="AT20:AW20"/>
    <mergeCell ref="AX20:BA20"/>
    <mergeCell ref="CX19:DI19"/>
    <mergeCell ref="DJ19:DU19"/>
    <mergeCell ref="DV19:EG19"/>
    <mergeCell ref="EH19:ES19"/>
    <mergeCell ref="F20:I20"/>
    <mergeCell ref="J20:M20"/>
    <mergeCell ref="N20:Q20"/>
    <mergeCell ref="R20:U20"/>
    <mergeCell ref="V20:Y20"/>
    <mergeCell ref="Z20:AC20"/>
    <mergeCell ref="AD19:AO19"/>
    <mergeCell ref="AP19:BA19"/>
    <mergeCell ref="BB19:BM19"/>
    <mergeCell ref="BN19:BY19"/>
    <mergeCell ref="BZ19:CK19"/>
    <mergeCell ref="CL19:CW19"/>
    <mergeCell ref="DV20:DY20"/>
    <mergeCell ref="DZ20:EC20"/>
    <mergeCell ref="ED20:EG20"/>
    <mergeCell ref="EH20:EK20"/>
    <mergeCell ref="EP15:ES15"/>
    <mergeCell ref="B18:B20"/>
    <mergeCell ref="C18:C19"/>
    <mergeCell ref="D18:D20"/>
    <mergeCell ref="E18:E20"/>
    <mergeCell ref="F18:BA18"/>
    <mergeCell ref="BB18:CW18"/>
    <mergeCell ref="CX18:ES18"/>
    <mergeCell ref="F19:Q19"/>
    <mergeCell ref="R19:AC19"/>
    <mergeCell ref="DR15:DU15"/>
    <mergeCell ref="DV15:DY15"/>
    <mergeCell ref="DZ15:EC15"/>
    <mergeCell ref="ED15:EG15"/>
    <mergeCell ref="EH15:EK15"/>
    <mergeCell ref="EL15:EO15"/>
    <mergeCell ref="CT15:CW15"/>
    <mergeCell ref="CX15:DA15"/>
    <mergeCell ref="DB15:DE15"/>
    <mergeCell ref="DF15:DI15"/>
    <mergeCell ref="DJ15:DM15"/>
    <mergeCell ref="DN15:DQ15"/>
    <mergeCell ref="BV15:BY15"/>
    <mergeCell ref="BZ15:CC15"/>
    <mergeCell ref="CD15:CG15"/>
    <mergeCell ref="CH15:CK15"/>
    <mergeCell ref="CL15:CO15"/>
    <mergeCell ref="CP15:CS15"/>
    <mergeCell ref="AX15:BA15"/>
    <mergeCell ref="BB15:BE15"/>
    <mergeCell ref="BF15:BI15"/>
    <mergeCell ref="BJ15:BM15"/>
    <mergeCell ref="BN15:BQ15"/>
    <mergeCell ref="BR15:BU15"/>
    <mergeCell ref="Z15:AC15"/>
    <mergeCell ref="AD15:AG15"/>
    <mergeCell ref="AH15:AK15"/>
    <mergeCell ref="AL15:AO15"/>
    <mergeCell ref="AP15:AS15"/>
    <mergeCell ref="AT15:AW15"/>
    <mergeCell ref="DZ14:EC14"/>
    <mergeCell ref="ED14:EG14"/>
    <mergeCell ref="EH14:EK14"/>
    <mergeCell ref="EL14:EO14"/>
    <mergeCell ref="EP14:ES14"/>
    <mergeCell ref="F15:I15"/>
    <mergeCell ref="J15:M15"/>
    <mergeCell ref="N15:Q15"/>
    <mergeCell ref="R15:U15"/>
    <mergeCell ref="V15:Y15"/>
    <mergeCell ref="DB14:DE14"/>
    <mergeCell ref="DF14:DI14"/>
    <mergeCell ref="DJ14:DM14"/>
    <mergeCell ref="DN14:DQ14"/>
    <mergeCell ref="DR14:DU14"/>
    <mergeCell ref="DV14:DY14"/>
    <mergeCell ref="CD14:CG14"/>
    <mergeCell ref="CH14:CK14"/>
    <mergeCell ref="CL14:CO14"/>
    <mergeCell ref="CP14:CS14"/>
    <mergeCell ref="CT14:CW14"/>
    <mergeCell ref="CX14:DA14"/>
    <mergeCell ref="BF14:BI14"/>
    <mergeCell ref="BJ14:BM14"/>
    <mergeCell ref="BN14:BQ14"/>
    <mergeCell ref="BR14:BU14"/>
    <mergeCell ref="BV14:BY14"/>
    <mergeCell ref="BZ14:CC14"/>
    <mergeCell ref="AH14:AK14"/>
    <mergeCell ref="AL14:AO14"/>
    <mergeCell ref="AP14:AS14"/>
    <mergeCell ref="AT14:AW14"/>
    <mergeCell ref="AX14:BA14"/>
    <mergeCell ref="BB14:BE14"/>
    <mergeCell ref="EH13:EK13"/>
    <mergeCell ref="EL13:EO13"/>
    <mergeCell ref="EP13:ES13"/>
    <mergeCell ref="F14:I14"/>
    <mergeCell ref="J14:M14"/>
    <mergeCell ref="N14:Q14"/>
    <mergeCell ref="R14:U14"/>
    <mergeCell ref="V14:Y14"/>
    <mergeCell ref="Z14:AC14"/>
    <mergeCell ref="AD14:AG14"/>
    <mergeCell ref="DJ13:DM13"/>
    <mergeCell ref="DN13:DQ13"/>
    <mergeCell ref="DR13:DU13"/>
    <mergeCell ref="DV13:DY13"/>
    <mergeCell ref="DZ13:EC13"/>
    <mergeCell ref="ED13:EG13"/>
    <mergeCell ref="CL13:CO13"/>
    <mergeCell ref="CP13:CS13"/>
    <mergeCell ref="CT13:CW13"/>
    <mergeCell ref="CX13:DA13"/>
    <mergeCell ref="DB13:DE13"/>
    <mergeCell ref="DF13:DI13"/>
    <mergeCell ref="BN13:BQ13"/>
    <mergeCell ref="BR13:BU13"/>
    <mergeCell ref="BV13:BY13"/>
    <mergeCell ref="BZ13:CC13"/>
    <mergeCell ref="CD13:CG13"/>
    <mergeCell ref="CH13:CK13"/>
    <mergeCell ref="AP13:AS13"/>
    <mergeCell ref="AT13:AW13"/>
    <mergeCell ref="AX13:BA13"/>
    <mergeCell ref="BB13:BE13"/>
    <mergeCell ref="BF13:BI13"/>
    <mergeCell ref="BJ13:BM13"/>
    <mergeCell ref="EP12:ES12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DR12:DU12"/>
    <mergeCell ref="DV12:DY12"/>
    <mergeCell ref="DZ12:EC12"/>
    <mergeCell ref="ED12:EG12"/>
    <mergeCell ref="EH12:EK12"/>
    <mergeCell ref="EL12:EO12"/>
    <mergeCell ref="CT12:CW12"/>
    <mergeCell ref="CX12:DA12"/>
    <mergeCell ref="DB12:DE12"/>
    <mergeCell ref="DF12:DI12"/>
    <mergeCell ref="DJ12:DM12"/>
    <mergeCell ref="DN12:DQ12"/>
    <mergeCell ref="BV12:BY12"/>
    <mergeCell ref="BZ12:CC12"/>
    <mergeCell ref="CD12:CG12"/>
    <mergeCell ref="CH12:CK12"/>
    <mergeCell ref="CL12:CO12"/>
    <mergeCell ref="CP12:CS12"/>
    <mergeCell ref="AX12:BA12"/>
    <mergeCell ref="BB12:BE12"/>
    <mergeCell ref="BF12:BI12"/>
    <mergeCell ref="BJ12:BM12"/>
    <mergeCell ref="BN12:BQ12"/>
    <mergeCell ref="BR12:BU12"/>
    <mergeCell ref="Z12:AC12"/>
    <mergeCell ref="AD12:AG12"/>
    <mergeCell ref="AH12:AK12"/>
    <mergeCell ref="AL12:AO12"/>
    <mergeCell ref="AP12:AS12"/>
    <mergeCell ref="AT12:AW12"/>
    <mergeCell ref="B12:C15"/>
    <mergeCell ref="F12:I12"/>
    <mergeCell ref="J12:M12"/>
    <mergeCell ref="N12:Q12"/>
    <mergeCell ref="R12:U12"/>
    <mergeCell ref="V12:Y12"/>
    <mergeCell ref="DV11:DY11"/>
    <mergeCell ref="DZ11:EC11"/>
    <mergeCell ref="ED11:EG11"/>
    <mergeCell ref="EH11:EK11"/>
    <mergeCell ref="EL11:EO11"/>
    <mergeCell ref="EP11:ES11"/>
    <mergeCell ref="CX11:DA11"/>
    <mergeCell ref="DB11:DE11"/>
    <mergeCell ref="DF11:DI11"/>
    <mergeCell ref="DJ11:DM11"/>
    <mergeCell ref="DN11:DQ11"/>
    <mergeCell ref="DR11:DU11"/>
    <mergeCell ref="BZ11:CC11"/>
    <mergeCell ref="CD11:CG11"/>
    <mergeCell ref="CH11:CK11"/>
    <mergeCell ref="CL11:CO11"/>
    <mergeCell ref="CP11:CS11"/>
    <mergeCell ref="CT11:CW11"/>
    <mergeCell ref="BB11:BE11"/>
    <mergeCell ref="BF11:BI11"/>
    <mergeCell ref="BJ11:BM11"/>
    <mergeCell ref="BN11:BQ11"/>
    <mergeCell ref="BR11:BU11"/>
    <mergeCell ref="BV11:BY11"/>
    <mergeCell ref="AD11:AG11"/>
    <mergeCell ref="AH11:AK11"/>
    <mergeCell ref="AL11:AO11"/>
    <mergeCell ref="AP11:AS11"/>
    <mergeCell ref="AT11:AW11"/>
    <mergeCell ref="AX11:BA11"/>
    <mergeCell ref="F11:I11"/>
    <mergeCell ref="J11:M11"/>
    <mergeCell ref="N11:Q11"/>
    <mergeCell ref="R11:U11"/>
    <mergeCell ref="V11:Y11"/>
    <mergeCell ref="Z11:AC11"/>
    <mergeCell ref="BZ10:CK10"/>
    <mergeCell ref="CL10:CW10"/>
    <mergeCell ref="CX10:DI10"/>
    <mergeCell ref="DJ10:DU10"/>
    <mergeCell ref="DV10:EG10"/>
    <mergeCell ref="EH10:ES10"/>
    <mergeCell ref="B9:E11"/>
    <mergeCell ref="F9:BA9"/>
    <mergeCell ref="BB9:CW9"/>
    <mergeCell ref="CX9:ES9"/>
    <mergeCell ref="F10:Q10"/>
    <mergeCell ref="R10:AC10"/>
    <mergeCell ref="AD10:AO10"/>
    <mergeCell ref="AP10:BA10"/>
    <mergeCell ref="BB10:BM10"/>
    <mergeCell ref="BN10:BY10"/>
  </mergeCells>
  <phoneticPr fontId="3"/>
  <dataValidations count="1">
    <dataValidation type="list" allowBlank="1" showInputMessage="1" showErrorMessage="1" sqref="B152:B154 B146:B149 B122 B119 B137:B143 B125:B134 B89 B116 B113 B104 B110 B107 B65:B83 B101 B98 B95 B86 B92 B21:B56">
      <formula1>担当者名</formula1>
    </dataValidation>
  </dataValidations>
  <hyperlinks>
    <hyperlink ref="B2" location="要員計画!A1" display="TOPへ"/>
  </hyperlinks>
  <printOptions horizontalCentered="1"/>
  <pageMargins left="0.19685039370078741" right="0.19685039370078741" top="0.59055118110236227" bottom="0.59055118110236227" header="0.39370078740157483" footer="0.31496062992125984"/>
  <pageSetup paperSize="9" scale="65" fitToHeight="0" orientation="landscape" r:id="rId1"/>
  <headerFooter alignWithMargins="0">
    <oddHeader>&amp;R&amp;D</oddHeader>
    <oddFooter>&amp;C&amp;P／&amp;N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7FD08C-0349-4DF6-AB7B-94CD4634B3EF}"/>
</file>

<file path=customXml/itemProps2.xml><?xml version="1.0" encoding="utf-8"?>
<ds:datastoreItem xmlns:ds="http://schemas.openxmlformats.org/officeDocument/2006/customXml" ds:itemID="{2E9633D9-CF68-48D3-87FC-8544FF613E15}"/>
</file>

<file path=customXml/itemProps3.xml><?xml version="1.0" encoding="utf-8"?>
<ds:datastoreItem xmlns:ds="http://schemas.openxmlformats.org/officeDocument/2006/customXml" ds:itemID="{FBBCD815-A784-428A-B563-D14DD4914D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運転管理(パターン１)</vt:lpstr>
      <vt:lpstr>運転管理(パターン2)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 一希</dc:creator>
  <cp:lastModifiedBy>福田 一希</cp:lastModifiedBy>
  <dcterms:created xsi:type="dcterms:W3CDTF">2024-10-15T09:12:44Z</dcterms:created>
  <dcterms:modified xsi:type="dcterms:W3CDTF">2025-12-12T08:42:01Z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