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7"/>
  <workbookPr filterPrivacy="1" defaultThemeVersion="124226"/>
  <xr:revisionPtr revIDLastSave="13" documentId="11_C652AA3B8E7862B3920809C0F531DC6CD5D85876" xr6:coauthVersionLast="47" xr6:coauthVersionMax="47" xr10:uidLastSave="{4ED54A91-1A8A-43C2-BDFD-23C4DAD509E2}"/>
  <bookViews>
    <workbookView xWindow="-28920" yWindow="-120" windowWidth="29040" windowHeight="16440" tabRatio="787" xr2:uid="{00000000-000D-0000-FFFF-FFFF00000000}"/>
  </bookViews>
  <sheets>
    <sheet name="御見積詳細書" sheetId="1" r:id="rId1"/>
  </sheets>
  <definedNames>
    <definedName name="_xlnm.Print_Area" localSheetId="0">御見積詳細書!$A$1:$AJ$168</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部門名">#REF!</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61" i="1" l="1"/>
  <c r="AD74" i="1"/>
  <c r="AD73" i="1"/>
  <c r="AD72" i="1"/>
  <c r="AD71" i="1"/>
  <c r="AD70" i="1"/>
  <c r="AD69" i="1"/>
  <c r="AD68" i="1"/>
  <c r="X75" i="1"/>
  <c r="AD75" i="1" l="1"/>
  <c r="F14" i="1" s="1"/>
  <c r="AD59" i="1" l="1"/>
  <c r="AD60" i="1" l="1"/>
  <c r="AD58" i="1"/>
  <c r="AD57" i="1"/>
  <c r="AD56" i="1"/>
  <c r="AD55" i="1"/>
  <c r="AD54" i="1"/>
  <c r="AD61" i="1" l="1"/>
  <c r="F11" i="1" s="1"/>
</calcChain>
</file>

<file path=xl/sharedStrings.xml><?xml version="1.0" encoding="utf-8"?>
<sst xmlns="http://schemas.openxmlformats.org/spreadsheetml/2006/main" count="241" uniqueCount="153">
  <si>
    <t>概 算 御 見 積 書</t>
    <rPh sb="0" eb="2">
      <t>ガイサン</t>
    </rPh>
    <rPh sb="2" eb="3">
      <t>サン</t>
    </rPh>
    <rPh sb="4" eb="5">
      <t>ゴ</t>
    </rPh>
    <rPh sb="6" eb="7">
      <t>ミ</t>
    </rPh>
    <rPh sb="8" eb="9">
      <t>セキ</t>
    </rPh>
    <rPh sb="10" eb="11">
      <t>ショ</t>
    </rPh>
    <phoneticPr fontId="3"/>
  </si>
  <si>
    <t>見積番号　</t>
    <rPh sb="0" eb="2">
      <t>ミツ</t>
    </rPh>
    <rPh sb="2" eb="4">
      <t>バンゴウ</t>
    </rPh>
    <phoneticPr fontId="3"/>
  </si>
  <si>
    <t>-</t>
    <phoneticPr fontId="2"/>
  </si>
  <si>
    <t>見積年月日</t>
    <rPh sb="0" eb="2">
      <t>ミツモリ</t>
    </rPh>
    <rPh sb="2" eb="5">
      <t>ネンガッピ</t>
    </rPh>
    <phoneticPr fontId="3"/>
  </si>
  <si>
    <t>出光興産株式会社　御中</t>
    <rPh sb="0" eb="2">
      <t>イデミツ</t>
    </rPh>
    <rPh sb="2" eb="4">
      <t>コウサン</t>
    </rPh>
    <rPh sb="4" eb="8">
      <t>カブシキガイシャ</t>
    </rPh>
    <rPh sb="9" eb="11">
      <t>オンチュウ</t>
    </rPh>
    <phoneticPr fontId="3"/>
  </si>
  <si>
    <t>見積金額１</t>
    <rPh sb="0" eb="2">
      <t>ミツモリ</t>
    </rPh>
    <rPh sb="2" eb="4">
      <t>キンガク</t>
    </rPh>
    <phoneticPr fontId="2"/>
  </si>
  <si>
    <t>※既存言語のまま新サーバへの単純移行の場合</t>
    <rPh sb="1" eb="3">
      <t>キゾン</t>
    </rPh>
    <rPh sb="3" eb="5">
      <t>ゲンゴ</t>
    </rPh>
    <rPh sb="8" eb="9">
      <t>シン</t>
    </rPh>
    <rPh sb="14" eb="16">
      <t>タンジュン</t>
    </rPh>
    <rPh sb="16" eb="18">
      <t>イコウ</t>
    </rPh>
    <rPh sb="19" eb="21">
      <t>バアイ</t>
    </rPh>
    <phoneticPr fontId="3"/>
  </si>
  <si>
    <t>見積金額２</t>
    <rPh sb="0" eb="2">
      <t>ミツモリ</t>
    </rPh>
    <rPh sb="2" eb="4">
      <t>キンガク</t>
    </rPh>
    <phoneticPr fontId="2"/>
  </si>
  <si>
    <t>※アプリケーション再構築を実施する場合</t>
    <rPh sb="9" eb="12">
      <t>サイコウチク</t>
    </rPh>
    <rPh sb="13" eb="15">
      <t>ジッシ</t>
    </rPh>
    <rPh sb="17" eb="19">
      <t>バアイ</t>
    </rPh>
    <phoneticPr fontId="3"/>
  </si>
  <si>
    <t>※見積金額２は参考価格となります。</t>
    <rPh sb="1" eb="3">
      <t>ミツ</t>
    </rPh>
    <rPh sb="3" eb="5">
      <t>キンガク</t>
    </rPh>
    <rPh sb="7" eb="9">
      <t>サンコウ</t>
    </rPh>
    <rPh sb="9" eb="11">
      <t>カカク</t>
    </rPh>
    <phoneticPr fontId="3"/>
  </si>
  <si>
    <t>　現行スケジュール(2027年12月完了)を遵守する場合、</t>
    <rPh sb="14" eb="15">
      <t>ネン</t>
    </rPh>
    <rPh sb="17" eb="18">
      <t>ツキ</t>
    </rPh>
    <rPh sb="18" eb="20">
      <t>カンリョウ</t>
    </rPh>
    <rPh sb="22" eb="24">
      <t>ジュンシュ</t>
    </rPh>
    <rPh sb="26" eb="28">
      <t>バアイ</t>
    </rPh>
    <phoneticPr fontId="3"/>
  </si>
  <si>
    <t>　１年半～２年かかる想定のため、2026年度早々には開始</t>
    <rPh sb="2" eb="3">
      <t>ネン</t>
    </rPh>
    <rPh sb="3" eb="4">
      <t>ハン</t>
    </rPh>
    <rPh sb="6" eb="7">
      <t>ネン</t>
    </rPh>
    <rPh sb="10" eb="12">
      <t>ソウテイ</t>
    </rPh>
    <rPh sb="20" eb="21">
      <t>ネン</t>
    </rPh>
    <rPh sb="22" eb="24">
      <t>ソウソウ</t>
    </rPh>
    <rPh sb="26" eb="28">
      <t>カイシ</t>
    </rPh>
    <phoneticPr fontId="3"/>
  </si>
  <si>
    <t>件名</t>
    <rPh sb="0" eb="2">
      <t>ケンメイ</t>
    </rPh>
    <phoneticPr fontId="3"/>
  </si>
  <si>
    <t>　する必要があります。</t>
    <rPh sb="3" eb="5">
      <t>ヒツヨウ</t>
    </rPh>
    <phoneticPr fontId="3"/>
  </si>
  <si>
    <t>千葉運転管理システム_制御システム通信サーバ更新対応</t>
    <rPh sb="0" eb="6">
      <t>チバウンテンカンリ</t>
    </rPh>
    <rPh sb="11" eb="17">
      <t>セイギョ</t>
    </rPh>
    <rPh sb="17" eb="22">
      <t>ツウ</t>
    </rPh>
    <rPh sb="22" eb="24">
      <t>コウシン</t>
    </rPh>
    <rPh sb="24" eb="26">
      <t>タイオウ</t>
    </rPh>
    <phoneticPr fontId="3"/>
  </si>
  <si>
    <t>作業形態</t>
    <rPh sb="0" eb="2">
      <t>サギョウ</t>
    </rPh>
    <rPh sb="2" eb="4">
      <t>ケイタイ</t>
    </rPh>
    <phoneticPr fontId="2"/>
  </si>
  <si>
    <t>要件定義</t>
    <rPh sb="0" eb="2">
      <t>ヨウ</t>
    </rPh>
    <rPh sb="2" eb="4">
      <t>テイ</t>
    </rPh>
    <phoneticPr fontId="3"/>
  </si>
  <si>
    <t>準委任契約</t>
    <rPh sb="0" eb="5">
      <t>ジュンイニンケイヤク</t>
    </rPh>
    <phoneticPr fontId="2"/>
  </si>
  <si>
    <t>設計、開発、結合テスト</t>
    <rPh sb="0" eb="2">
      <t>セッケイ</t>
    </rPh>
    <rPh sb="3" eb="5">
      <t>カイハツ</t>
    </rPh>
    <rPh sb="6" eb="11">
      <t>ケツ</t>
    </rPh>
    <phoneticPr fontId="2"/>
  </si>
  <si>
    <t>請負契約</t>
    <rPh sb="0" eb="2">
      <t>ウケオイ</t>
    </rPh>
    <rPh sb="2" eb="4">
      <t>ケイヤク</t>
    </rPh>
    <phoneticPr fontId="3"/>
  </si>
  <si>
    <t>システムテスト、本稼働・初期流動</t>
    <rPh sb="8" eb="11">
      <t>ホン</t>
    </rPh>
    <rPh sb="12" eb="16">
      <t>ショキ</t>
    </rPh>
    <phoneticPr fontId="3"/>
  </si>
  <si>
    <t>作業場所</t>
    <rPh sb="0" eb="2">
      <t>サギョウ</t>
    </rPh>
    <rPh sb="2" eb="4">
      <t>バショ</t>
    </rPh>
    <phoneticPr fontId="2"/>
  </si>
  <si>
    <t>弊社内（在宅勤務を含む）　※ お打合せ等、必要に応じて貴社へお伺いします。</t>
    <rPh sb="0" eb="2">
      <t>ヘイシャ</t>
    </rPh>
    <rPh sb="2" eb="3">
      <t>ナイ</t>
    </rPh>
    <rPh sb="4" eb="6">
      <t>ザイタク</t>
    </rPh>
    <rPh sb="6" eb="8">
      <t>キンム</t>
    </rPh>
    <rPh sb="9" eb="10">
      <t>フク</t>
    </rPh>
    <rPh sb="16" eb="18">
      <t>ウチアワ</t>
    </rPh>
    <rPh sb="19" eb="20">
      <t>トウ</t>
    </rPh>
    <rPh sb="21" eb="23">
      <t>ヒツヨウ</t>
    </rPh>
    <rPh sb="24" eb="25">
      <t>オウ</t>
    </rPh>
    <rPh sb="27" eb="29">
      <t>キシャ</t>
    </rPh>
    <rPh sb="31" eb="32">
      <t>ウカガ</t>
    </rPh>
    <phoneticPr fontId="2"/>
  </si>
  <si>
    <t>作業要件</t>
    <rPh sb="0" eb="2">
      <t>サギョウ</t>
    </rPh>
    <rPh sb="2" eb="4">
      <t>ヨウケン</t>
    </rPh>
    <phoneticPr fontId="2"/>
  </si>
  <si>
    <t>①</t>
    <phoneticPr fontId="3"/>
  </si>
  <si>
    <t>仮想マシンの切替</t>
    <rPh sb="0" eb="2">
      <t>カソウ</t>
    </rPh>
    <rPh sb="6" eb="8">
      <t>キリカ</t>
    </rPh>
    <phoneticPr fontId="3"/>
  </si>
  <si>
    <t>（VMWare→未定）</t>
  </si>
  <si>
    <t>②</t>
    <phoneticPr fontId="3"/>
  </si>
  <si>
    <t>OSバージョンアップ</t>
    <phoneticPr fontId="3"/>
  </si>
  <si>
    <t>（WindowsServer2019→WindowsServer2022）</t>
  </si>
  <si>
    <t>③</t>
    <phoneticPr fontId="3"/>
  </si>
  <si>
    <t>JOBミドルウェアの変更</t>
    <rPh sb="10" eb="12">
      <t>ヘンコウ</t>
    </rPh>
    <phoneticPr fontId="3"/>
  </si>
  <si>
    <t>（OperationManager→A-Auto）</t>
  </si>
  <si>
    <t>[検討要件]</t>
    <rPh sb="1" eb="3">
      <t>ケントウ</t>
    </rPh>
    <rPh sb="3" eb="5">
      <t>ヨウケン</t>
    </rPh>
    <phoneticPr fontId="3"/>
  </si>
  <si>
    <t>④</t>
    <phoneticPr fontId="3"/>
  </si>
  <si>
    <t>プログラム言語変更</t>
    <rPh sb="5" eb="7">
      <t>ゲンゴ</t>
    </rPh>
    <rPh sb="7" eb="9">
      <t>ヘンコウ</t>
    </rPh>
    <phoneticPr fontId="3"/>
  </si>
  <si>
    <t>（.Net→Java）</t>
  </si>
  <si>
    <t>⑤</t>
    <phoneticPr fontId="3"/>
  </si>
  <si>
    <t>Dドライブ廃止</t>
    <rPh sb="5" eb="7">
      <t>ハイシ</t>
    </rPh>
    <phoneticPr fontId="3"/>
  </si>
  <si>
    <t>（Dドライブ→Gドライブ）</t>
  </si>
  <si>
    <t>※検証環境はAzure上に構築されるため、Dドライブ（アプリ領域）は利用できない可能性がある。</t>
    <rPh sb="30" eb="32">
      <t>リョウイキ</t>
    </rPh>
    <phoneticPr fontId="3"/>
  </si>
  <si>
    <t>見積提案</t>
    <rPh sb="0" eb="2">
      <t>ミツモリ</t>
    </rPh>
    <rPh sb="2" eb="4">
      <t>テイアン</t>
    </rPh>
    <phoneticPr fontId="2"/>
  </si>
  <si>
    <t>パターン1</t>
    <phoneticPr fontId="3"/>
  </si>
  <si>
    <t>既存アプリケーションの単純移行 (作業要件①、②、③)</t>
    <rPh sb="0" eb="2">
      <t>キゾン</t>
    </rPh>
    <rPh sb="11" eb="13">
      <t>タン</t>
    </rPh>
    <rPh sb="13" eb="15">
      <t>イコウ</t>
    </rPh>
    <rPh sb="17" eb="19">
      <t>サギョウ</t>
    </rPh>
    <rPh sb="19" eb="21">
      <t>ヨウ</t>
    </rPh>
    <phoneticPr fontId="3"/>
  </si>
  <si>
    <t>見積金額内訳</t>
    <rPh sb="0" eb="2">
      <t>ミツモリ</t>
    </rPh>
    <rPh sb="2" eb="4">
      <t>キンガク</t>
    </rPh>
    <rPh sb="4" eb="6">
      <t>ウチワケ</t>
    </rPh>
    <phoneticPr fontId="3"/>
  </si>
  <si>
    <t>No</t>
    <phoneticPr fontId="3"/>
  </si>
  <si>
    <t>項目</t>
    <rPh sb="0" eb="2">
      <t>コウモク</t>
    </rPh>
    <phoneticPr fontId="3"/>
  </si>
  <si>
    <t>単価</t>
    <rPh sb="0" eb="2">
      <t>タンカ</t>
    </rPh>
    <phoneticPr fontId="3"/>
  </si>
  <si>
    <t>数量</t>
    <rPh sb="0" eb="2">
      <t>スウリョウ</t>
    </rPh>
    <phoneticPr fontId="3"/>
  </si>
  <si>
    <t>金額</t>
    <rPh sb="0" eb="2">
      <t>キンガク</t>
    </rPh>
    <phoneticPr fontId="2"/>
  </si>
  <si>
    <t>要件定義</t>
    <rPh sb="0" eb="4">
      <t>ヨウケンテイ</t>
    </rPh>
    <phoneticPr fontId="3"/>
  </si>
  <si>
    <t>人月</t>
    <rPh sb="0" eb="2">
      <t>ニンゲツ</t>
    </rPh>
    <phoneticPr fontId="2"/>
  </si>
  <si>
    <t>設計</t>
    <rPh sb="0" eb="2">
      <t>セッケイ</t>
    </rPh>
    <phoneticPr fontId="3"/>
  </si>
  <si>
    <t>開発</t>
    <rPh sb="0" eb="2">
      <t>カイハツ</t>
    </rPh>
    <phoneticPr fontId="3"/>
  </si>
  <si>
    <t>結合テスト</t>
    <rPh sb="0" eb="5">
      <t>ケツゴウ</t>
    </rPh>
    <phoneticPr fontId="3"/>
  </si>
  <si>
    <t>システムテスト(運用テスト含む)</t>
    <rPh sb="8" eb="10">
      <t>ウンヨウ</t>
    </rPh>
    <rPh sb="13" eb="14">
      <t>フク</t>
    </rPh>
    <phoneticPr fontId="3"/>
  </si>
  <si>
    <t>本番移行、初期流動</t>
    <rPh sb="0" eb="2">
      <t>ホンバン</t>
    </rPh>
    <rPh sb="2" eb="4">
      <t>イコウ</t>
    </rPh>
    <rPh sb="5" eb="9">
      <t>ショキ</t>
    </rPh>
    <phoneticPr fontId="3"/>
  </si>
  <si>
    <t>プロジェクト管理</t>
    <rPh sb="6" eb="8">
      <t>カンリ</t>
    </rPh>
    <phoneticPr fontId="3"/>
  </si>
  <si>
    <t>合計</t>
    <rPh sb="0" eb="2">
      <t>ゴウケイ</t>
    </rPh>
    <phoneticPr fontId="3"/>
  </si>
  <si>
    <t>人月</t>
    <rPh sb="0" eb="2">
      <t>ニンゲツ</t>
    </rPh>
    <phoneticPr fontId="3"/>
  </si>
  <si>
    <t>パターン2</t>
    <phoneticPr fontId="3"/>
  </si>
  <si>
    <t>アプリケーション再構築 (作業要件①、②、③、④、⑤)</t>
    <rPh sb="8" eb="11">
      <t>サイコウチク</t>
    </rPh>
    <rPh sb="13" eb="15">
      <t>サギョウ</t>
    </rPh>
    <phoneticPr fontId="3"/>
  </si>
  <si>
    <t>作業内容</t>
    <rPh sb="0" eb="2">
      <t>サギョウ</t>
    </rPh>
    <rPh sb="2" eb="4">
      <t>ナイヨウ</t>
    </rPh>
    <phoneticPr fontId="2"/>
  </si>
  <si>
    <t>対象機能</t>
    <rPh sb="0" eb="2">
      <t>タイショウ</t>
    </rPh>
    <rPh sb="2" eb="4">
      <t>キノウ</t>
    </rPh>
    <phoneticPr fontId="3"/>
  </si>
  <si>
    <t>分類</t>
    <rPh sb="0" eb="2">
      <t>ブンルイ</t>
    </rPh>
    <phoneticPr fontId="3"/>
  </si>
  <si>
    <t>本数</t>
    <rPh sb="0" eb="2">
      <t>ホンスウ</t>
    </rPh>
    <phoneticPr fontId="3"/>
  </si>
  <si>
    <t>備考</t>
    <rPh sb="0" eb="2">
      <t>ビコウ</t>
    </rPh>
    <phoneticPr fontId="3"/>
  </si>
  <si>
    <t>プログラム（.Net）</t>
    <phoneticPr fontId="3"/>
  </si>
  <si>
    <t>※画面系</t>
    <rPh sb="1" eb="3">
      <t>ガメン</t>
    </rPh>
    <rPh sb="3" eb="4">
      <t>ケイ</t>
    </rPh>
    <phoneticPr fontId="3"/>
  </si>
  <si>
    <t>※バッチ系</t>
    <rPh sb="4" eb="5">
      <t>ケイ</t>
    </rPh>
    <phoneticPr fontId="3"/>
  </si>
  <si>
    <t>プログラム（.bat）</t>
    <phoneticPr fontId="3"/>
  </si>
  <si>
    <t>帳票（Excel）</t>
    <rPh sb="0" eb="2">
      <t>チョウヒョウ</t>
    </rPh>
    <phoneticPr fontId="3"/>
  </si>
  <si>
    <t>※再構築の場合、帳票ソフトウェアの選定が必要</t>
    <rPh sb="1" eb="4">
      <t>サイ</t>
    </rPh>
    <rPh sb="5" eb="7">
      <t>バアイ</t>
    </rPh>
    <rPh sb="8" eb="13">
      <t>チョウ</t>
    </rPh>
    <rPh sb="17" eb="19">
      <t>センテイ</t>
    </rPh>
    <rPh sb="20" eb="22">
      <t>ヒツ</t>
    </rPh>
    <phoneticPr fontId="3"/>
  </si>
  <si>
    <t>帳票（Microsoft RDLC report）</t>
    <rPh sb="0" eb="2">
      <t>チョウヒョウ</t>
    </rPh>
    <phoneticPr fontId="3"/>
  </si>
  <si>
    <t>SQLファイル</t>
    <phoneticPr fontId="3"/>
  </si>
  <si>
    <t>設定ファイル</t>
    <rPh sb="0" eb="2">
      <t>セッテイ</t>
    </rPh>
    <phoneticPr fontId="3"/>
  </si>
  <si>
    <t>I/F</t>
    <phoneticPr fontId="3"/>
  </si>
  <si>
    <t>JOB</t>
    <phoneticPr fontId="3"/>
  </si>
  <si>
    <t>成果物</t>
    <phoneticPr fontId="3"/>
  </si>
  <si>
    <t>要件定義</t>
    <rPh sb="0" eb="4">
      <t>ヨウ</t>
    </rPh>
    <phoneticPr fontId="3"/>
  </si>
  <si>
    <t>・</t>
    <phoneticPr fontId="3"/>
  </si>
  <si>
    <t>A-Autoによる影響確認</t>
    <rPh sb="9" eb="11">
      <t>エイ</t>
    </rPh>
    <rPh sb="11" eb="13">
      <t>カ</t>
    </rPh>
    <phoneticPr fontId="3"/>
  </si>
  <si>
    <t>要件定義書</t>
    <rPh sb="0" eb="4">
      <t>ヨウケンテ</t>
    </rPh>
    <rPh sb="4" eb="5">
      <t>ショ</t>
    </rPh>
    <phoneticPr fontId="3"/>
  </si>
  <si>
    <t>仮想マシンによる影響確認</t>
    <rPh sb="0" eb="2">
      <t>カソウ</t>
    </rPh>
    <rPh sb="8" eb="10">
      <t>エイキョウ</t>
    </rPh>
    <rPh sb="10" eb="12">
      <t>カクニン</t>
    </rPh>
    <phoneticPr fontId="3"/>
  </si>
  <si>
    <t>OSによる影響確認</t>
    <rPh sb="5" eb="7">
      <t>エイキョウ</t>
    </rPh>
    <rPh sb="7" eb="9">
      <t>カクニン</t>
    </rPh>
    <phoneticPr fontId="3"/>
  </si>
  <si>
    <t>プログラム改修範囲の決定</t>
    <rPh sb="5" eb="7">
      <t>カイシュウ</t>
    </rPh>
    <rPh sb="7" eb="9">
      <t>ハンイ</t>
    </rPh>
    <rPh sb="10" eb="12">
      <t>ケッテイ</t>
    </rPh>
    <phoneticPr fontId="3"/>
  </si>
  <si>
    <t>帳票ソフトの選定(再構築の場合)</t>
    <rPh sb="0" eb="2">
      <t>チョウ</t>
    </rPh>
    <rPh sb="6" eb="8">
      <t>センテイ</t>
    </rPh>
    <rPh sb="9" eb="12">
      <t>サイ</t>
    </rPh>
    <rPh sb="13" eb="15">
      <t>バ</t>
    </rPh>
    <phoneticPr fontId="3"/>
  </si>
  <si>
    <t>基本設計書作成</t>
    <rPh sb="0" eb="5">
      <t>キホンセッ</t>
    </rPh>
    <rPh sb="5" eb="7">
      <t>サク</t>
    </rPh>
    <phoneticPr fontId="3"/>
  </si>
  <si>
    <t>関連システム通信 機能設計書</t>
  </si>
  <si>
    <t>詳細設計書作成</t>
    <rPh sb="0" eb="2">
      <t>ショウサイ</t>
    </rPh>
    <rPh sb="2" eb="4">
      <t>セ</t>
    </rPh>
    <rPh sb="4" eb="5">
      <t>ショ</t>
    </rPh>
    <rPh sb="5" eb="7">
      <t>サクセイ</t>
    </rPh>
    <phoneticPr fontId="3"/>
  </si>
  <si>
    <t>プロセス機能一覧</t>
    <phoneticPr fontId="3"/>
  </si>
  <si>
    <t>プロセス仕様書</t>
    <phoneticPr fontId="3"/>
  </si>
  <si>
    <t>ジョブネット一覧</t>
    <phoneticPr fontId="3"/>
  </si>
  <si>
    <t>アプリケーション運用設計書</t>
    <phoneticPr fontId="3"/>
  </si>
  <si>
    <t>プログラム開発</t>
    <phoneticPr fontId="3"/>
  </si>
  <si>
    <t>プログラム一式</t>
    <rPh sb="5" eb="7">
      <t>イッシキ</t>
    </rPh>
    <phoneticPr fontId="3"/>
  </si>
  <si>
    <t>環境構築(検証)</t>
    <rPh sb="0" eb="4">
      <t>カン</t>
    </rPh>
    <rPh sb="5" eb="7">
      <t>ケンショウ</t>
    </rPh>
    <phoneticPr fontId="3"/>
  </si>
  <si>
    <t>結合テスト</t>
    <rPh sb="0" eb="5">
      <t>ケツ</t>
    </rPh>
    <phoneticPr fontId="3"/>
  </si>
  <si>
    <t>結合テストを実施(※1)</t>
    <phoneticPr fontId="3"/>
  </si>
  <si>
    <t>結合テスト仕様書兼成績書</t>
    <rPh sb="0" eb="5">
      <t>ケツ</t>
    </rPh>
    <rPh sb="5" eb="8">
      <t>シヨ</t>
    </rPh>
    <rPh sb="8" eb="9">
      <t>ケン</t>
    </rPh>
    <rPh sb="9" eb="11">
      <t>セイセ</t>
    </rPh>
    <rPh sb="11" eb="12">
      <t>ショ</t>
    </rPh>
    <phoneticPr fontId="3"/>
  </si>
  <si>
    <t>システムテスト</t>
    <phoneticPr fontId="3"/>
  </si>
  <si>
    <t>システムテストを実施(※2)</t>
    <phoneticPr fontId="3"/>
  </si>
  <si>
    <t>システムテスト仕様書兼成績書</t>
    <rPh sb="7" eb="10">
      <t>シヨ</t>
    </rPh>
    <rPh sb="10" eb="11">
      <t>ケン</t>
    </rPh>
    <rPh sb="11" eb="13">
      <t>セイセ</t>
    </rPh>
    <rPh sb="13" eb="14">
      <t>ショ</t>
    </rPh>
    <phoneticPr fontId="3"/>
  </si>
  <si>
    <t>(運用テスト)</t>
    <rPh sb="1" eb="6">
      <t>ウンヨウ</t>
    </rPh>
    <phoneticPr fontId="3"/>
  </si>
  <si>
    <t>環境構築(本番)</t>
    <rPh sb="0" eb="4">
      <t>カン</t>
    </rPh>
    <rPh sb="5" eb="7">
      <t>ホンバン</t>
    </rPh>
    <phoneticPr fontId="3"/>
  </si>
  <si>
    <t>本番移行、初期流動</t>
    <rPh sb="0" eb="2">
      <t>ホンバン</t>
    </rPh>
    <rPh sb="2" eb="4">
      <t>イコウ</t>
    </rPh>
    <rPh sb="5" eb="9">
      <t>ショ</t>
    </rPh>
    <phoneticPr fontId="3"/>
  </si>
  <si>
    <t>本番移行の準備及び実施</t>
    <rPh sb="0" eb="4">
      <t>ホ</t>
    </rPh>
    <rPh sb="5" eb="7">
      <t>ジュンビ</t>
    </rPh>
    <rPh sb="7" eb="8">
      <t>オヨ</t>
    </rPh>
    <rPh sb="9" eb="11">
      <t>ジッシ</t>
    </rPh>
    <phoneticPr fontId="3"/>
  </si>
  <si>
    <t>移行手順書</t>
    <rPh sb="0" eb="2">
      <t>イコウ</t>
    </rPh>
    <rPh sb="2" eb="5">
      <t>テジュンショ</t>
    </rPh>
    <phoneticPr fontId="3"/>
  </si>
  <si>
    <t>DB移行</t>
    <rPh sb="2" eb="4">
      <t>イコウ</t>
    </rPh>
    <phoneticPr fontId="3"/>
  </si>
  <si>
    <t>課題管理表</t>
    <rPh sb="0" eb="2">
      <t>カダイ</t>
    </rPh>
    <rPh sb="2" eb="4">
      <t>カンリ</t>
    </rPh>
    <rPh sb="4" eb="5">
      <t>ヒョウ</t>
    </rPh>
    <phoneticPr fontId="3"/>
  </si>
  <si>
    <t>本稼働後の初期流動</t>
    <rPh sb="0" eb="4">
      <t>ホンカドウゴ</t>
    </rPh>
    <rPh sb="5" eb="9">
      <t>ショキ</t>
    </rPh>
    <phoneticPr fontId="3"/>
  </si>
  <si>
    <t>スケジュール管理</t>
  </si>
  <si>
    <t>進捗報告書</t>
    <rPh sb="0" eb="4">
      <t>シンチョクホウ</t>
    </rPh>
    <rPh sb="4" eb="5">
      <t>ショ</t>
    </rPh>
    <phoneticPr fontId="3"/>
  </si>
  <si>
    <t>レビュー、進捗管理・報告</t>
  </si>
  <si>
    <t>その他打ち合わせ</t>
    <rPh sb="2" eb="3">
      <t>タ</t>
    </rPh>
    <phoneticPr fontId="3"/>
  </si>
  <si>
    <t>※1：結合テストの実施内容について</t>
    <rPh sb="3" eb="8">
      <t>ケツ</t>
    </rPh>
    <rPh sb="9" eb="11">
      <t>ジッシ</t>
    </rPh>
    <rPh sb="11" eb="13">
      <t>ナイヨウ</t>
    </rPh>
    <phoneticPr fontId="3"/>
  </si>
  <si>
    <t>・単純移行の場合：全画面の打鍵テストは行わない。</t>
    <rPh sb="1" eb="3">
      <t>タンジュン</t>
    </rPh>
    <rPh sb="3" eb="5">
      <t>イコウ</t>
    </rPh>
    <rPh sb="6" eb="8">
      <t>バアイ</t>
    </rPh>
    <rPh sb="9" eb="12">
      <t>ゼンガメン</t>
    </rPh>
    <rPh sb="13" eb="15">
      <t>ダケン</t>
    </rPh>
    <rPh sb="19" eb="20">
      <t>オコナ</t>
    </rPh>
    <phoneticPr fontId="3"/>
  </si>
  <si>
    <t xml:space="preserve"> (代表業務（入出荷、調合、充填など）動作確認を想定)</t>
    <rPh sb="2" eb="4">
      <t>ダイヒョウ</t>
    </rPh>
    <rPh sb="4" eb="6">
      <t>ギョウム</t>
    </rPh>
    <rPh sb="7" eb="10">
      <t>ニュウシュッカ</t>
    </rPh>
    <rPh sb="11" eb="13">
      <t>チョウゴウ</t>
    </rPh>
    <rPh sb="14" eb="16">
      <t>ジュウテン</t>
    </rPh>
    <phoneticPr fontId="3"/>
  </si>
  <si>
    <t>※2：システムテストの実施内容について</t>
    <rPh sb="11" eb="13">
      <t>ジッシ</t>
    </rPh>
    <rPh sb="13" eb="15">
      <t>ナイヨウ</t>
    </rPh>
    <phoneticPr fontId="3"/>
  </si>
  <si>
    <t>・IFテスト：周辺システム単位で送受信における代表機能のみの実施を予定している。（疎通テスト）</t>
    <rPh sb="7" eb="9">
      <t>シュウヘ</t>
    </rPh>
    <rPh sb="13" eb="15">
      <t>タンイ</t>
    </rPh>
    <rPh sb="16" eb="19">
      <t>ソウジュ</t>
    </rPh>
    <rPh sb="23" eb="25">
      <t>ダイヒョウ</t>
    </rPh>
    <rPh sb="25" eb="27">
      <t>キノウ</t>
    </rPh>
    <rPh sb="30" eb="32">
      <t>ジッシ</t>
    </rPh>
    <rPh sb="33" eb="35">
      <t>ヨテイ</t>
    </rPh>
    <rPh sb="41" eb="46">
      <t>ソツウ</t>
    </rPh>
    <phoneticPr fontId="3"/>
  </si>
  <si>
    <t>（対象：運転制御システム/通信サーバ）</t>
    <rPh sb="4" eb="6">
      <t>ウンテン</t>
    </rPh>
    <rPh sb="6" eb="8">
      <t>セイギョ</t>
    </rPh>
    <rPh sb="13" eb="15">
      <t>ツウシン</t>
    </rPh>
    <phoneticPr fontId="3"/>
  </si>
  <si>
    <t>・A-Autoテスト：A-Autoにおけるテストの主管はDP課様となるが、動作確認を想定している。</t>
    <rPh sb="30" eb="31">
      <t>カ</t>
    </rPh>
    <rPh sb="31" eb="32">
      <t>サマ</t>
    </rPh>
    <rPh sb="37" eb="41">
      <t>ドウサ</t>
    </rPh>
    <rPh sb="42" eb="44">
      <t>ソウテイ</t>
    </rPh>
    <phoneticPr fontId="3"/>
  </si>
  <si>
    <t>・運用テスト：潤滑油二課様にて動作確認いただくための支援を想定している。</t>
    <rPh sb="1" eb="3">
      <t>ウンヨウ</t>
    </rPh>
    <rPh sb="7" eb="10">
      <t>ジュンカ</t>
    </rPh>
    <rPh sb="10" eb="12">
      <t>ニカ</t>
    </rPh>
    <rPh sb="12" eb="13">
      <t>サマ</t>
    </rPh>
    <rPh sb="15" eb="17">
      <t>ドウサ</t>
    </rPh>
    <rPh sb="17" eb="19">
      <t>カクニン</t>
    </rPh>
    <rPh sb="26" eb="28">
      <t>シエン</t>
    </rPh>
    <rPh sb="29" eb="31">
      <t>ソウ</t>
    </rPh>
    <phoneticPr fontId="3"/>
  </si>
  <si>
    <t>納品物</t>
    <rPh sb="0" eb="2">
      <t>ノウヒン</t>
    </rPh>
    <rPh sb="2" eb="3">
      <t>ブツ</t>
    </rPh>
    <phoneticPr fontId="3"/>
  </si>
  <si>
    <t>要件定義書</t>
    <rPh sb="0" eb="2">
      <t>ヨウケ</t>
    </rPh>
    <rPh sb="2" eb="4">
      <t>テイギ</t>
    </rPh>
    <rPh sb="4" eb="5">
      <t>ショ</t>
    </rPh>
    <phoneticPr fontId="3"/>
  </si>
  <si>
    <t>設計書</t>
    <rPh sb="0" eb="3">
      <t>セッケイショ</t>
    </rPh>
    <phoneticPr fontId="3"/>
  </si>
  <si>
    <t>結合テスト仕様書兼成績書</t>
    <rPh sb="0" eb="2">
      <t>ケツゴウ</t>
    </rPh>
    <rPh sb="5" eb="8">
      <t>シヨウショ</t>
    </rPh>
    <rPh sb="8" eb="9">
      <t>ケン</t>
    </rPh>
    <rPh sb="9" eb="11">
      <t>セイセキ</t>
    </rPh>
    <rPh sb="11" eb="12">
      <t>ショ</t>
    </rPh>
    <phoneticPr fontId="3"/>
  </si>
  <si>
    <t>システムテスト仕様書兼成績書</t>
    <rPh sb="7" eb="10">
      <t>シヨウショ</t>
    </rPh>
    <rPh sb="10" eb="11">
      <t>ケン</t>
    </rPh>
    <rPh sb="11" eb="13">
      <t>セイセキ</t>
    </rPh>
    <rPh sb="13" eb="14">
      <t>ショ</t>
    </rPh>
    <phoneticPr fontId="3"/>
  </si>
  <si>
    <t>スケジュール</t>
    <phoneticPr fontId="3"/>
  </si>
  <si>
    <t>正式見積時に詳細は記載</t>
    <rPh sb="0" eb="2">
      <t>セイシキ</t>
    </rPh>
    <rPh sb="2" eb="4">
      <t>ミツ</t>
    </rPh>
    <rPh sb="4" eb="5">
      <t>ジ</t>
    </rPh>
    <rPh sb="6" eb="8">
      <t>ショウサイ</t>
    </rPh>
    <rPh sb="9" eb="11">
      <t>キサイ</t>
    </rPh>
    <phoneticPr fontId="3"/>
  </si>
  <si>
    <t>パターン１：4ヶ月程度</t>
    <rPh sb="8" eb="9">
      <t>ゲツ</t>
    </rPh>
    <rPh sb="9" eb="11">
      <t>テイド</t>
    </rPh>
    <phoneticPr fontId="3"/>
  </si>
  <si>
    <t>パターン２：受注後1年半～2年程度必要</t>
    <rPh sb="6" eb="9">
      <t>ジュチュウゴ</t>
    </rPh>
    <rPh sb="10" eb="12">
      <t>ネンハン</t>
    </rPh>
    <rPh sb="14" eb="15">
      <t>ネン</t>
    </rPh>
    <rPh sb="15" eb="17">
      <t>テイド</t>
    </rPh>
    <rPh sb="17" eb="19">
      <t>ヒツヨウ</t>
    </rPh>
    <phoneticPr fontId="3"/>
  </si>
  <si>
    <t>体制</t>
    <rPh sb="0" eb="2">
      <t>タイセイ</t>
    </rPh>
    <phoneticPr fontId="2"/>
  </si>
  <si>
    <t>下記はパターン１：既存アプリケーションの単純移行を想定</t>
    <rPh sb="0" eb="2">
      <t>カキ</t>
    </rPh>
    <rPh sb="25" eb="27">
      <t>ソウテイ</t>
    </rPh>
    <phoneticPr fontId="3"/>
  </si>
  <si>
    <t>※パターン２は正式見積時に記載</t>
    <rPh sb="7" eb="11">
      <t>セイシキミツモ</t>
    </rPh>
    <rPh sb="11" eb="12">
      <t>ジ</t>
    </rPh>
    <rPh sb="13" eb="15">
      <t>キサイ</t>
    </rPh>
    <phoneticPr fontId="3"/>
  </si>
  <si>
    <t xml:space="preserve"> 責任者
 福井将敏</t>
    <rPh sb="1" eb="4">
      <t>セキニンシャ</t>
    </rPh>
    <phoneticPr fontId="3"/>
  </si>
  <si>
    <t xml:space="preserve"> PM
 福田一希</t>
    <rPh sb="5" eb="7">
      <t>フクダ</t>
    </rPh>
    <rPh sb="7" eb="8">
      <t>ハジメ</t>
    </rPh>
    <rPh sb="8" eb="9">
      <t>キ</t>
    </rPh>
    <phoneticPr fontId="3"/>
  </si>
  <si>
    <t xml:space="preserve"> 開発兼保守
 五石真人</t>
    <rPh sb="1" eb="3">
      <t>カイハツ</t>
    </rPh>
    <rPh sb="3" eb="4">
      <t>ケン</t>
    </rPh>
    <rPh sb="4" eb="6">
      <t>ホシュ</t>
    </rPh>
    <rPh sb="8" eb="9">
      <t>イ</t>
    </rPh>
    <rPh sb="9" eb="10">
      <t>イシ</t>
    </rPh>
    <rPh sb="10" eb="12">
      <t>マサト</t>
    </rPh>
    <phoneticPr fontId="3"/>
  </si>
  <si>
    <t xml:space="preserve"> 開発兼保守
 砂金凜太郎</t>
    <rPh sb="1" eb="3">
      <t>カイ</t>
    </rPh>
    <rPh sb="3" eb="4">
      <t>ケン</t>
    </rPh>
    <rPh sb="4" eb="6">
      <t>ホシュ</t>
    </rPh>
    <rPh sb="8" eb="10">
      <t>イサゴ</t>
    </rPh>
    <rPh sb="10" eb="13">
      <t>リンタロウ</t>
    </rPh>
    <phoneticPr fontId="3"/>
  </si>
  <si>
    <t xml:space="preserve"> 開発
 TBD</t>
    <rPh sb="1" eb="3">
      <t>カイ</t>
    </rPh>
    <phoneticPr fontId="3"/>
  </si>
  <si>
    <t>その他の前提条件</t>
    <rPh sb="2" eb="3">
      <t>タ</t>
    </rPh>
    <rPh sb="4" eb="6">
      <t>ゼンテイ</t>
    </rPh>
    <rPh sb="6" eb="8">
      <t>ジョウケン</t>
    </rPh>
    <phoneticPr fontId="3"/>
  </si>
  <si>
    <t>本資料記載の金額は超概算の費用となり、正式見積時との差異が発生することがあります。</t>
    <rPh sb="9" eb="12">
      <t>チョウガイサン</t>
    </rPh>
    <rPh sb="13" eb="15">
      <t>ヒヨウ</t>
    </rPh>
    <rPh sb="19" eb="21">
      <t>セイ</t>
    </rPh>
    <rPh sb="21" eb="23">
      <t>ミ</t>
    </rPh>
    <rPh sb="23" eb="24">
      <t>ジ</t>
    </rPh>
    <rPh sb="26" eb="28">
      <t>サイ</t>
    </rPh>
    <rPh sb="29" eb="31">
      <t>ハッセイ</t>
    </rPh>
    <phoneticPr fontId="3"/>
  </si>
  <si>
    <t>本資料記載の金額は全て税抜となります。</t>
  </si>
  <si>
    <t>作業場所は原則弊社オフィス内とします。弊社オフィス内には在宅での勤務を含みます。</t>
  </si>
  <si>
    <t>業務変更に伴うアプリケーション修正は実施いたしません。（業務変更なし）</t>
  </si>
  <si>
    <t>ミドルウェアのライセンスやインストールは貴社にてご対応をお願いいたします。</t>
    <phoneticPr fontId="3"/>
  </si>
  <si>
    <t>JOB管理（A-Auto）の設定については貴社にてご対応をお願いいたします。</t>
  </si>
  <si>
    <t>開発工程において弊社の子会社であるエグゼベトナム（オフショア）利用することがあります。</t>
  </si>
  <si>
    <t>インフラ環境（仮想マシン）の調達構築移行は含まれておりません。</t>
    <rPh sb="7" eb="12">
      <t>カソウ</t>
    </rPh>
    <phoneticPr fontId="3"/>
  </si>
  <si>
    <t>ネットワーク等の疎通については、貴社にて対応をお願い致します。</t>
    <rPh sb="6" eb="7">
      <t>ナド</t>
    </rPh>
    <rPh sb="8" eb="10">
      <t>ソツウ</t>
    </rPh>
    <rPh sb="16" eb="18">
      <t>キシャ</t>
    </rPh>
    <rPh sb="20" eb="23">
      <t>タイオウ</t>
    </rPh>
    <rPh sb="24" eb="26">
      <t>ネ</t>
    </rPh>
    <rPh sb="26" eb="27">
      <t>イタ</t>
    </rPh>
    <phoneticPr fontId="3"/>
  </si>
  <si>
    <t>上記に記載のない諸条件につきましては、別途ご相談の上、決定させていただきます。</t>
  </si>
  <si>
    <t>瑕疵担保責任期間は本稼働日より１年間とします。</t>
  </si>
  <si>
    <t>（本稼働日より1年間に限り契約不適合責任を追及できることとします。）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</si>
</sst>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quot;¥&quot;#,##0_);\(&quot;¥&quot;#,##0\)"/>
    <numFmt numFmtId="177" formatCode="&quot;¥&quot;#,##0.\-"/>
    <numFmt numFmtId="178" formatCode="0.00_);[Red]\(0.00\)"/>
  </numFmts>
  <fonts count="14">
    <font>
      <sz val="11"/>
      <color theme="1"/>
      <name val="ＭＳ Ｐゴシック"/>
      <family val="2"/>
      <scheme val="minor"/>
    </font>
    <font>
      <sz val="11"/>
      <color theme="1"/>
      <name val="ＭＳ Ｐゴシック"/>
      <family val="2"/>
      <charset val="128"/>
      <scheme val="minor"/>
    </font>
    <font>
      <sz val="6"/>
      <name val="ＭＳ Ｐゴシック"/>
      <family val="3"/>
      <charset val="128"/>
      <scheme val="minor"/>
    </font>
    <font>
      <sz val="6"/>
      <name val="ＭＳ Ｐゴシック"/>
      <family val="3"/>
      <charset val="128"/>
    </font>
    <font>
      <sz val="9"/>
      <name val="ＭＳ 明朝"/>
      <family val="1"/>
      <charset val="128"/>
    </font>
    <font>
      <sz val="12"/>
      <name val="ＭＳ 明朝"/>
      <family val="1"/>
      <charset val="128"/>
    </font>
    <font>
      <b/>
      <sz val="9"/>
      <name val="ＭＳ 明朝"/>
      <family val="1"/>
      <charset val="128"/>
    </font>
    <font>
      <sz val="11"/>
      <name val="ＭＳ Ｐゴシック"/>
      <family val="3"/>
      <charset val="128"/>
    </font>
    <font>
      <b/>
      <sz val="12"/>
      <name val="ＭＳ 明朝"/>
      <family val="1"/>
      <charset val="128"/>
    </font>
    <font>
      <sz val="20"/>
      <name val="ＭＳ 明朝"/>
      <family val="1"/>
      <charset val="128"/>
    </font>
    <font>
      <b/>
      <sz val="26"/>
      <name val="ＭＳ 明朝"/>
      <family val="1"/>
      <charset val="128"/>
    </font>
    <font>
      <b/>
      <sz val="10"/>
      <name val="ＭＳ 明朝"/>
      <family val="1"/>
      <charset val="128"/>
    </font>
    <font>
      <sz val="10"/>
      <name val="ＭＳ 明朝"/>
      <family val="1"/>
      <charset val="128"/>
    </font>
    <font>
      <sz val="10"/>
      <color theme="0"/>
      <name val="ＭＳ 明朝"/>
      <family val="1"/>
      <charset val="128"/>
    </font>
  </fonts>
  <fills count="4">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hair">
        <color indexed="64"/>
      </bottom>
      <diagonal/>
    </border>
    <border>
      <left/>
      <right/>
      <top style="hair">
        <color indexed="64"/>
      </top>
      <bottom style="hair">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thin">
        <color indexed="64"/>
      </bottom>
      <diagonal/>
    </border>
    <border>
      <left/>
      <right style="double">
        <color indexed="64"/>
      </right>
      <top/>
      <bottom style="thin">
        <color indexed="64"/>
      </bottom>
      <diagonal/>
    </border>
    <border>
      <left style="double">
        <color indexed="64"/>
      </left>
      <right/>
      <top/>
      <bottom style="double">
        <color indexed="64"/>
      </bottom>
      <diagonal/>
    </border>
    <border>
      <left/>
      <right/>
      <top/>
      <bottom style="double">
        <color auto="1"/>
      </bottom>
      <diagonal/>
    </border>
    <border>
      <left/>
      <right style="double">
        <color indexed="64"/>
      </right>
      <top/>
      <bottom style="double">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7" fillId="0" borderId="0">
      <alignment vertical="center"/>
    </xf>
    <xf numFmtId="0" fontId="7" fillId="0" borderId="0">
      <alignment vertical="center"/>
    </xf>
    <xf numFmtId="0" fontId="1" fillId="0" borderId="0">
      <alignment vertical="center"/>
    </xf>
    <xf numFmtId="0" fontId="7" fillId="0" borderId="0"/>
  </cellStyleXfs>
  <cellXfs count="116">
    <xf numFmtId="0" fontId="0" fillId="0" borderId="0" xfId="0"/>
    <xf numFmtId="0" fontId="4" fillId="0" borderId="0" xfId="0" applyFont="1" applyAlignment="1">
      <alignment vertical="center"/>
    </xf>
    <xf numFmtId="0" fontId="6"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0" fontId="12" fillId="2" borderId="10" xfId="0" applyFont="1" applyFill="1" applyBorder="1" applyAlignment="1">
      <alignment horizontal="centerContinuous" vertical="center"/>
    </xf>
    <xf numFmtId="0" fontId="12" fillId="2" borderId="11" xfId="0" applyFont="1" applyFill="1" applyBorder="1" applyAlignment="1">
      <alignment horizontal="centerContinuous" vertical="center"/>
    </xf>
    <xf numFmtId="0" fontId="12" fillId="2" borderId="2" xfId="0" applyFont="1" applyFill="1" applyBorder="1" applyAlignment="1">
      <alignment horizontal="centerContinuous" vertical="center"/>
    </xf>
    <xf numFmtId="0" fontId="12" fillId="0" borderId="10" xfId="0" applyFont="1" applyBorder="1" applyAlignment="1">
      <alignment horizontal="left" vertical="center" indent="1"/>
    </xf>
    <xf numFmtId="0" fontId="12" fillId="0" borderId="2" xfId="0" applyFont="1" applyBorder="1" applyAlignment="1">
      <alignment vertical="center"/>
    </xf>
    <xf numFmtId="0" fontId="12" fillId="0" borderId="11" xfId="0" applyFont="1" applyBorder="1" applyAlignment="1">
      <alignment vertical="center"/>
    </xf>
    <xf numFmtId="0" fontId="12" fillId="0" borderId="0" xfId="0" applyFont="1" applyAlignment="1">
      <alignment horizontal="left" vertical="center"/>
    </xf>
    <xf numFmtId="0" fontId="12" fillId="0" borderId="3" xfId="0" applyFont="1" applyBorder="1" applyAlignment="1">
      <alignment horizontal="centerContinuous" vertical="center"/>
    </xf>
    <xf numFmtId="0" fontId="12" fillId="0" borderId="5" xfId="0" applyFont="1" applyBorder="1" applyAlignment="1">
      <alignment horizontal="centerContinuous" vertical="center"/>
    </xf>
    <xf numFmtId="0" fontId="12" fillId="0" borderId="4" xfId="0" applyFont="1" applyBorder="1" applyAlignment="1">
      <alignment horizontal="left" vertical="center"/>
    </xf>
    <xf numFmtId="0" fontId="12" fillId="0" borderId="3" xfId="0" applyFont="1" applyBorder="1" applyAlignment="1">
      <alignment vertical="center"/>
    </xf>
    <xf numFmtId="0" fontId="12" fillId="0" borderId="4" xfId="0" applyFont="1" applyBorder="1" applyAlignment="1">
      <alignment vertical="center"/>
    </xf>
    <xf numFmtId="0" fontId="12" fillId="0" borderId="6" xfId="0" applyFont="1" applyBorder="1" applyAlignment="1">
      <alignment horizontal="centerContinuous" vertical="center"/>
    </xf>
    <xf numFmtId="0" fontId="12" fillId="0" borderId="7" xfId="0" applyFont="1" applyBorder="1" applyAlignment="1">
      <alignment horizontal="centerContinuous" vertical="center"/>
    </xf>
    <xf numFmtId="0" fontId="12" fillId="0" borderId="8" xfId="0" applyFont="1" applyBorder="1" applyAlignment="1">
      <alignment horizontal="centerContinuous" vertical="center"/>
    </xf>
    <xf numFmtId="0" fontId="12" fillId="0" borderId="9" xfId="0" applyFont="1" applyBorder="1" applyAlignment="1">
      <alignment horizontal="centerContinuous" vertical="center"/>
    </xf>
    <xf numFmtId="0" fontId="12" fillId="0" borderId="1" xfId="0" applyFont="1" applyBorder="1" applyAlignment="1">
      <alignment horizontal="left" vertical="center"/>
    </xf>
    <xf numFmtId="0" fontId="12" fillId="0" borderId="8" xfId="0" applyFont="1" applyBorder="1" applyAlignment="1">
      <alignment vertical="center"/>
    </xf>
    <xf numFmtId="0" fontId="12" fillId="0" borderId="1" xfId="0" applyFont="1" applyBorder="1" applyAlignment="1">
      <alignment vertical="center"/>
    </xf>
    <xf numFmtId="0" fontId="13" fillId="0" borderId="0" xfId="0" applyFont="1" applyAlignment="1">
      <alignment vertical="center"/>
    </xf>
    <xf numFmtId="0" fontId="12" fillId="0" borderId="0" xfId="1" applyFont="1" applyAlignment="1">
      <alignment horizontal="left" vertical="center"/>
    </xf>
    <xf numFmtId="0" fontId="12" fillId="0" borderId="12" xfId="0" applyFont="1" applyBorder="1" applyAlignment="1">
      <alignment vertical="center"/>
    </xf>
    <xf numFmtId="0" fontId="12" fillId="0" borderId="12" xfId="0" applyFont="1" applyBorder="1" applyAlignment="1">
      <alignment horizontal="right" vertical="center"/>
    </xf>
    <xf numFmtId="0" fontId="12" fillId="0" borderId="13" xfId="0" applyFont="1" applyBorder="1" applyAlignment="1">
      <alignment vertical="center"/>
    </xf>
    <xf numFmtId="0" fontId="12" fillId="2" borderId="11" xfId="0" applyFont="1" applyFill="1" applyBorder="1" applyAlignment="1">
      <alignment vertical="center"/>
    </xf>
    <xf numFmtId="0" fontId="12" fillId="0" borderId="6" xfId="0" applyFont="1" applyBorder="1" applyAlignment="1">
      <alignment vertical="center"/>
    </xf>
    <xf numFmtId="0" fontId="12" fillId="0" borderId="0" xfId="0" applyFont="1" applyAlignment="1">
      <alignment horizontal="centerContinuous" vertical="center"/>
    </xf>
    <xf numFmtId="0" fontId="12" fillId="0" borderId="5" xfId="0" applyFont="1" applyBorder="1" applyAlignment="1">
      <alignment horizontal="left" vertical="center"/>
    </xf>
    <xf numFmtId="0" fontId="12" fillId="0" borderId="9" xfId="0" applyFont="1" applyBorder="1" applyAlignment="1">
      <alignment horizontal="left" vertical="center"/>
    </xf>
    <xf numFmtId="0" fontId="12" fillId="0" borderId="7" xfId="0" applyFont="1" applyBorder="1" applyAlignment="1">
      <alignment horizontal="left" vertical="center"/>
    </xf>
    <xf numFmtId="178" fontId="12" fillId="0" borderId="0" xfId="0" applyNumberFormat="1" applyFont="1" applyAlignment="1">
      <alignment vertical="center"/>
    </xf>
    <xf numFmtId="0" fontId="4" fillId="0" borderId="1" xfId="0" applyFont="1" applyBorder="1" applyAlignment="1">
      <alignment vertical="center"/>
    </xf>
    <xf numFmtId="0" fontId="4" fillId="0" borderId="17" xfId="0" applyFont="1" applyBorder="1" applyAlignment="1">
      <alignment vertical="center"/>
    </xf>
    <xf numFmtId="0" fontId="4" fillId="0" borderId="18" xfId="0" applyFont="1" applyBorder="1" applyAlignment="1">
      <alignment vertical="center"/>
    </xf>
    <xf numFmtId="0" fontId="4" fillId="0" borderId="4" xfId="0" applyFont="1" applyBorder="1" applyAlignment="1">
      <alignment vertical="center"/>
    </xf>
    <xf numFmtId="0" fontId="4" fillId="0" borderId="3" xfId="0" applyFont="1" applyBorder="1" applyAlignment="1">
      <alignment vertical="center"/>
    </xf>
    <xf numFmtId="0" fontId="4" fillId="0" borderId="6" xfId="0" applyFont="1" applyBorder="1" applyAlignment="1">
      <alignment vertical="center"/>
    </xf>
    <xf numFmtId="0" fontId="4" fillId="0" borderId="8" xfId="0" applyFont="1" applyBorder="1" applyAlignment="1">
      <alignment vertical="center"/>
    </xf>
    <xf numFmtId="0" fontId="12" fillId="0" borderId="10" xfId="0" applyFont="1" applyBorder="1" applyAlignment="1">
      <alignment vertical="center"/>
    </xf>
    <xf numFmtId="0" fontId="12" fillId="0" borderId="11" xfId="0" applyFont="1" applyBorder="1" applyAlignment="1">
      <alignment horizontal="centerContinuous" vertical="center"/>
    </xf>
    <xf numFmtId="0" fontId="12" fillId="0" borderId="10" xfId="0" applyFont="1" applyBorder="1" applyAlignment="1">
      <alignment horizontal="centerContinuous" vertical="center"/>
    </xf>
    <xf numFmtId="0" fontId="12" fillId="2" borderId="11" xfId="0" applyFont="1" applyFill="1" applyBorder="1" applyAlignment="1">
      <alignment horizontal="center" vertical="center"/>
    </xf>
    <xf numFmtId="0" fontId="12" fillId="2" borderId="2" xfId="0" applyFont="1" applyFill="1" applyBorder="1" applyAlignment="1">
      <alignment horizontal="center" vertical="center"/>
    </xf>
    <xf numFmtId="0" fontId="12" fillId="2" borderId="10" xfId="0" applyFont="1" applyFill="1" applyBorder="1" applyAlignment="1">
      <alignment horizontal="left" vertical="center"/>
    </xf>
    <xf numFmtId="0" fontId="12" fillId="0" borderId="5" xfId="0" applyFont="1" applyBorder="1" applyAlignment="1">
      <alignment vertical="center"/>
    </xf>
    <xf numFmtId="0" fontId="12" fillId="0" borderId="9" xfId="0" applyFont="1" applyBorder="1" applyAlignment="1">
      <alignment vertical="center"/>
    </xf>
    <xf numFmtId="0" fontId="11" fillId="0" borderId="0" xfId="0" applyFont="1" applyAlignment="1">
      <alignment horizontal="center" vertical="center"/>
    </xf>
    <xf numFmtId="176" fontId="11" fillId="0" borderId="0" xfId="0" applyNumberFormat="1" applyFont="1" applyAlignment="1">
      <alignment horizontal="right" vertical="center" indent="1"/>
    </xf>
    <xf numFmtId="0" fontId="12" fillId="0" borderId="3" xfId="0" applyFont="1" applyBorder="1" applyAlignment="1">
      <alignment horizontal="left" vertical="center"/>
    </xf>
    <xf numFmtId="0" fontId="12" fillId="2" borderId="2" xfId="0" applyFont="1" applyFill="1" applyBorder="1" applyAlignment="1">
      <alignment vertical="center"/>
    </xf>
    <xf numFmtId="0" fontId="12" fillId="0" borderId="7" xfId="0" applyFont="1" applyBorder="1" applyAlignment="1">
      <alignment vertical="center"/>
    </xf>
    <xf numFmtId="0" fontId="4" fillId="0" borderId="14" xfId="0" applyFont="1" applyBorder="1" applyAlignment="1">
      <alignment horizontal="left" vertical="center" wrapText="1"/>
    </xf>
    <xf numFmtId="0" fontId="4" fillId="0" borderId="15" xfId="0" applyFont="1" applyBorder="1" applyAlignment="1">
      <alignment horizontal="left" vertical="center"/>
    </xf>
    <xf numFmtId="0" fontId="4" fillId="0" borderId="16" xfId="0" applyFont="1" applyBorder="1" applyAlignment="1">
      <alignment horizontal="left" vertical="center"/>
    </xf>
    <xf numFmtId="0" fontId="4" fillId="0" borderId="19" xfId="0" applyFont="1" applyBorder="1" applyAlignment="1">
      <alignment horizontal="left" vertical="center"/>
    </xf>
    <xf numFmtId="0" fontId="4" fillId="0" borderId="20" xfId="0" applyFont="1" applyBorder="1" applyAlignment="1">
      <alignment horizontal="left" vertical="center"/>
    </xf>
    <xf numFmtId="0" fontId="4" fillId="0" borderId="21" xfId="0" applyFont="1" applyBorder="1" applyAlignment="1">
      <alignment horizontal="left" vertical="center"/>
    </xf>
    <xf numFmtId="0" fontId="12" fillId="0" borderId="0" xfId="0" applyFont="1" applyAlignment="1">
      <alignment vertical="center"/>
    </xf>
    <xf numFmtId="0" fontId="12" fillId="0" borderId="7" xfId="0" applyFont="1" applyBorder="1" applyAlignment="1">
      <alignment vertical="center"/>
    </xf>
    <xf numFmtId="0" fontId="8" fillId="0" borderId="0" xfId="0" applyFont="1" applyAlignment="1">
      <alignment horizontal="left" vertical="center"/>
    </xf>
    <xf numFmtId="0" fontId="8" fillId="0" borderId="1" xfId="0" applyFont="1" applyBorder="1" applyAlignment="1">
      <alignment horizontal="left" vertical="center"/>
    </xf>
    <xf numFmtId="177" fontId="9" fillId="0" borderId="0" xfId="0" applyNumberFormat="1" applyFont="1" applyAlignment="1">
      <alignment horizontal="right" vertical="center"/>
    </xf>
    <xf numFmtId="177" fontId="9" fillId="0" borderId="1" xfId="0" applyNumberFormat="1" applyFont="1" applyBorder="1" applyAlignment="1">
      <alignment horizontal="right" vertical="center"/>
    </xf>
    <xf numFmtId="0" fontId="12" fillId="0" borderId="4" xfId="0" applyFont="1" applyBorder="1" applyAlignment="1">
      <alignment vertical="center"/>
    </xf>
    <xf numFmtId="0" fontId="12" fillId="0" borderId="5" xfId="0" applyFont="1" applyBorder="1" applyAlignment="1">
      <alignment vertical="center"/>
    </xf>
    <xf numFmtId="178" fontId="11" fillId="0" borderId="10" xfId="0" applyNumberFormat="1" applyFont="1" applyBorder="1" applyAlignment="1">
      <alignment vertical="center"/>
    </xf>
    <xf numFmtId="178" fontId="11" fillId="0" borderId="2" xfId="0" applyNumberFormat="1" applyFont="1" applyBorder="1" applyAlignment="1">
      <alignment vertical="center"/>
    </xf>
    <xf numFmtId="0" fontId="11" fillId="0" borderId="2" xfId="0" applyFont="1" applyBorder="1" applyAlignment="1">
      <alignment horizontal="center" vertical="center"/>
    </xf>
    <xf numFmtId="0" fontId="11" fillId="0" borderId="11" xfId="0" applyFont="1" applyBorder="1" applyAlignment="1">
      <alignment horizontal="center" vertical="center"/>
    </xf>
    <xf numFmtId="176" fontId="11" fillId="0" borderId="22" xfId="0" applyNumberFormat="1" applyFont="1" applyBorder="1" applyAlignment="1">
      <alignment horizontal="right" vertical="center" indent="1"/>
    </xf>
    <xf numFmtId="0" fontId="12" fillId="0" borderId="10" xfId="0" applyFont="1" applyBorder="1" applyAlignment="1">
      <alignment horizontal="center" vertical="center"/>
    </xf>
    <xf numFmtId="0" fontId="12" fillId="0" borderId="11" xfId="0" applyFont="1" applyBorder="1" applyAlignment="1">
      <alignment horizontal="center" vertical="center"/>
    </xf>
    <xf numFmtId="176" fontId="12" fillId="0" borderId="10" xfId="0" applyNumberFormat="1" applyFont="1" applyBorder="1" applyAlignment="1">
      <alignment horizontal="right" vertical="center" indent="1" shrinkToFit="1"/>
    </xf>
    <xf numFmtId="176" fontId="12" fillId="0" borderId="2" xfId="0" applyNumberFormat="1" applyFont="1" applyBorder="1" applyAlignment="1">
      <alignment horizontal="right" vertical="center" indent="1" shrinkToFit="1"/>
    </xf>
    <xf numFmtId="176" fontId="12" fillId="0" borderId="11" xfId="0" applyNumberFormat="1" applyFont="1" applyBorder="1" applyAlignment="1">
      <alignment horizontal="right" vertical="center" indent="1" shrinkToFit="1"/>
    </xf>
    <xf numFmtId="178" fontId="12" fillId="0" borderId="10" xfId="0" applyNumberFormat="1" applyFont="1" applyBorder="1" applyAlignment="1">
      <alignment horizontal="right" vertical="center"/>
    </xf>
    <xf numFmtId="178" fontId="12" fillId="0" borderId="2" xfId="0" applyNumberFormat="1" applyFont="1" applyBorder="1" applyAlignment="1">
      <alignment horizontal="right" vertical="center"/>
    </xf>
    <xf numFmtId="176" fontId="12" fillId="0" borderId="2" xfId="0" applyNumberFormat="1" applyFont="1" applyBorder="1" applyAlignment="1">
      <alignment horizontal="center" vertical="center"/>
    </xf>
    <xf numFmtId="176" fontId="12" fillId="0" borderId="11" xfId="0" applyNumberFormat="1" applyFont="1" applyBorder="1" applyAlignment="1">
      <alignment horizontal="center" vertical="center"/>
    </xf>
    <xf numFmtId="176" fontId="12" fillId="0" borderId="10" xfId="0" applyNumberFormat="1" applyFont="1" applyBorder="1" applyAlignment="1">
      <alignment horizontal="right" vertical="center" indent="1"/>
    </xf>
    <xf numFmtId="176" fontId="12" fillId="0" borderId="2" xfId="0" applyNumberFormat="1" applyFont="1" applyBorder="1" applyAlignment="1">
      <alignment horizontal="right" vertical="center" indent="1"/>
    </xf>
    <xf numFmtId="176" fontId="12" fillId="0" borderId="11" xfId="0" applyNumberFormat="1" applyFont="1" applyBorder="1" applyAlignment="1">
      <alignment horizontal="right" vertical="center" indent="1"/>
    </xf>
    <xf numFmtId="0" fontId="11" fillId="3" borderId="10" xfId="0" applyFont="1" applyFill="1" applyBorder="1" applyAlignment="1">
      <alignment horizontal="right" vertical="center"/>
    </xf>
    <xf numFmtId="0" fontId="11" fillId="3" borderId="2" xfId="0" applyFont="1" applyFill="1" applyBorder="1" applyAlignment="1">
      <alignment horizontal="right" vertical="center"/>
    </xf>
    <xf numFmtId="0" fontId="11" fillId="3" borderId="11" xfId="0" applyFont="1" applyFill="1" applyBorder="1" applyAlignment="1">
      <alignment horizontal="right" vertical="center"/>
    </xf>
    <xf numFmtId="0" fontId="12" fillId="0" borderId="1" xfId="0" applyFont="1" applyBorder="1" applyAlignment="1">
      <alignment vertical="center"/>
    </xf>
    <xf numFmtId="0" fontId="12" fillId="0" borderId="9" xfId="0" applyFont="1" applyBorder="1" applyAlignment="1">
      <alignment vertical="center"/>
    </xf>
    <xf numFmtId="0" fontId="12" fillId="0" borderId="4" xfId="0" applyFont="1" applyBorder="1" applyAlignment="1">
      <alignment vertical="center" shrinkToFit="1"/>
    </xf>
    <xf numFmtId="0" fontId="12" fillId="0" borderId="5" xfId="0" applyFont="1" applyBorder="1" applyAlignment="1">
      <alignment vertical="center" shrinkToFit="1"/>
    </xf>
    <xf numFmtId="0" fontId="12" fillId="0" borderId="0" xfId="0" applyFont="1" applyAlignment="1">
      <alignment vertical="center" shrinkToFit="1"/>
    </xf>
    <xf numFmtId="0" fontId="12" fillId="0" borderId="7" xfId="0" applyFont="1" applyBorder="1" applyAlignment="1">
      <alignment vertical="center" shrinkToFit="1"/>
    </xf>
    <xf numFmtId="0" fontId="12" fillId="0" borderId="1" xfId="0" applyFont="1" applyBorder="1" applyAlignment="1">
      <alignment vertical="center" shrinkToFit="1"/>
    </xf>
    <xf numFmtId="0" fontId="12" fillId="0" borderId="9" xfId="0" applyFont="1" applyBorder="1" applyAlignment="1">
      <alignment vertical="center" shrinkToFit="1"/>
    </xf>
    <xf numFmtId="14" fontId="12" fillId="0" borderId="13" xfId="0" applyNumberFormat="1" applyFont="1" applyBorder="1" applyAlignment="1">
      <alignment horizontal="right" vertical="center"/>
    </xf>
    <xf numFmtId="0" fontId="12" fillId="0" borderId="13" xfId="0" applyFont="1" applyBorder="1" applyAlignment="1">
      <alignment horizontal="right" vertical="center"/>
    </xf>
    <xf numFmtId="0" fontId="10" fillId="0" borderId="0" xfId="0" applyFont="1" applyAlignment="1">
      <alignment horizontal="left" vertical="center"/>
    </xf>
    <xf numFmtId="0" fontId="5" fillId="0" borderId="0" xfId="0" applyFont="1" applyAlignment="1">
      <alignment horizontal="left" vertical="center"/>
    </xf>
    <xf numFmtId="0" fontId="5" fillId="0" borderId="1" xfId="0" applyFont="1" applyBorder="1" applyAlignment="1">
      <alignment horizontal="left" vertical="center"/>
    </xf>
    <xf numFmtId="0" fontId="12" fillId="0" borderId="10" xfId="0" applyFont="1" applyBorder="1" applyAlignment="1">
      <alignment vertical="center"/>
    </xf>
    <xf numFmtId="0" fontId="12" fillId="0" borderId="2" xfId="0" applyFont="1" applyBorder="1" applyAlignment="1">
      <alignment vertical="center"/>
    </xf>
    <xf numFmtId="0" fontId="12" fillId="0" borderId="11" xfId="0" applyFont="1" applyBorder="1" applyAlignment="1">
      <alignment vertical="center"/>
    </xf>
    <xf numFmtId="0" fontId="12" fillId="0" borderId="22" xfId="0" applyFont="1" applyBorder="1" applyAlignment="1">
      <alignment vertical="center" wrapText="1"/>
    </xf>
    <xf numFmtId="0" fontId="12" fillId="0" borderId="22" xfId="0" applyFont="1" applyBorder="1" applyAlignment="1">
      <alignment vertical="center"/>
    </xf>
    <xf numFmtId="0" fontId="12" fillId="2" borderId="22" xfId="0" applyFont="1" applyFill="1" applyBorder="1" applyAlignment="1">
      <alignment horizontal="center" vertical="center"/>
    </xf>
    <xf numFmtId="0" fontId="12" fillId="0" borderId="22" xfId="0" applyFont="1" applyBorder="1" applyAlignment="1">
      <alignment horizontal="center" vertical="center"/>
    </xf>
    <xf numFmtId="0" fontId="12" fillId="0" borderId="3" xfId="0" applyFont="1" applyBorder="1" applyAlignment="1">
      <alignment horizontal="left" vertical="center" wrapText="1"/>
    </xf>
    <xf numFmtId="0" fontId="12" fillId="0" borderId="4" xfId="0" applyFont="1" applyBorder="1" applyAlignment="1">
      <alignment horizontal="left" vertical="center" wrapText="1"/>
    </xf>
    <xf numFmtId="0" fontId="12" fillId="0" borderId="5" xfId="0" applyFont="1" applyBorder="1" applyAlignment="1">
      <alignment horizontal="left" vertical="center" wrapText="1"/>
    </xf>
    <xf numFmtId="0" fontId="12" fillId="0" borderId="8" xfId="0" applyFont="1" applyBorder="1" applyAlignment="1">
      <alignment horizontal="left" vertical="center" wrapText="1"/>
    </xf>
    <xf numFmtId="0" fontId="12" fillId="0" borderId="1" xfId="0" applyFont="1" applyBorder="1" applyAlignment="1">
      <alignment horizontal="left" vertical="center" wrapText="1"/>
    </xf>
    <xf numFmtId="0" fontId="12" fillId="0" borderId="9" xfId="0" applyFont="1" applyBorder="1" applyAlignment="1">
      <alignment horizontal="left" vertical="center" wrapText="1"/>
    </xf>
  </cellXfs>
  <cellStyles count="5">
    <cellStyle name="標準" xfId="0" builtinId="0"/>
    <cellStyle name="標準 2" xfId="1" xr:uid="{00000000-0005-0000-0000-000001000000}"/>
    <cellStyle name="標準 2 2" xfId="2" xr:uid="{00000000-0005-0000-0000-000002000000}"/>
    <cellStyle name="標準 3" xfId="4" xr:uid="{00000000-0005-0000-0000-000003000000}"/>
    <cellStyle name="標準 6" xfId="3" xr:uid="{00000000-0005-0000-0000-000004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K167"/>
  <sheetViews>
    <sheetView showGridLines="0" tabSelected="1" view="pageBreakPreview" zoomScale="115" zoomScaleNormal="130" zoomScaleSheetLayoutView="115" workbookViewId="0">
      <selection activeCell="S18" sqref="S18"/>
    </sheetView>
  </sheetViews>
  <sheetFormatPr defaultColWidth="2.5703125" defaultRowHeight="15" customHeight="1"/>
  <cols>
    <col min="1" max="1" width="2.5703125" style="3"/>
    <col min="2" max="27" width="2.5703125" style="4"/>
    <col min="28" max="28" width="2.5703125" style="4" customWidth="1"/>
    <col min="29" max="16384" width="2.5703125" style="4"/>
  </cols>
  <sheetData>
    <row r="1" spans="1:37" s="1" customFormat="1" ht="15" customHeight="1">
      <c r="A1" s="100" t="s">
        <v>0</v>
      </c>
      <c r="B1" s="100"/>
      <c r="C1" s="100"/>
      <c r="D1" s="100"/>
      <c r="E1" s="100"/>
      <c r="F1" s="100"/>
      <c r="G1" s="100"/>
      <c r="H1" s="100"/>
      <c r="I1" s="100"/>
      <c r="J1" s="100"/>
      <c r="K1" s="100"/>
      <c r="L1" s="100"/>
      <c r="M1" s="100"/>
      <c r="N1" s="100"/>
      <c r="O1" s="100"/>
      <c r="P1" s="100"/>
      <c r="Q1" s="100"/>
      <c r="Y1" s="26" t="s">
        <v>1</v>
      </c>
      <c r="Z1" s="26"/>
      <c r="AA1" s="26"/>
      <c r="AB1" s="26"/>
      <c r="AC1" s="26"/>
      <c r="AD1" s="26"/>
      <c r="AE1" s="26"/>
      <c r="AF1" s="26"/>
      <c r="AG1" s="26"/>
      <c r="AH1" s="26"/>
      <c r="AI1" s="26"/>
      <c r="AJ1" s="27" t="s">
        <v>2</v>
      </c>
      <c r="AK1" s="4"/>
    </row>
    <row r="2" spans="1:37" s="1" customFormat="1" ht="15" customHeight="1">
      <c r="A2" s="100"/>
      <c r="B2" s="100"/>
      <c r="C2" s="100"/>
      <c r="D2" s="100"/>
      <c r="E2" s="100"/>
      <c r="F2" s="100"/>
      <c r="G2" s="100"/>
      <c r="H2" s="100"/>
      <c r="I2" s="100"/>
      <c r="J2" s="100"/>
      <c r="K2" s="100"/>
      <c r="L2" s="100"/>
      <c r="M2" s="100"/>
      <c r="N2" s="100"/>
      <c r="O2" s="100"/>
      <c r="P2" s="100"/>
      <c r="Q2" s="100"/>
      <c r="Y2" s="28" t="s">
        <v>3</v>
      </c>
      <c r="Z2" s="28"/>
      <c r="AA2" s="28"/>
      <c r="AB2" s="28"/>
      <c r="AC2" s="28"/>
      <c r="AD2" s="28"/>
      <c r="AE2" s="28"/>
      <c r="AF2" s="98">
        <v>46003</v>
      </c>
      <c r="AG2" s="99"/>
      <c r="AH2" s="99"/>
      <c r="AI2" s="99"/>
      <c r="AJ2" s="99"/>
      <c r="AK2" s="4"/>
    </row>
    <row r="3" spans="1:37" s="1" customFormat="1" ht="15" customHeight="1">
      <c r="A3" s="2"/>
      <c r="Z3" s="4"/>
      <c r="AA3" s="4"/>
      <c r="AB3" s="4"/>
      <c r="AC3" s="4"/>
      <c r="AD3" s="4"/>
      <c r="AE3" s="4"/>
      <c r="AF3" s="4"/>
      <c r="AG3" s="4"/>
      <c r="AH3" s="4"/>
      <c r="AI3" s="4"/>
      <c r="AJ3" s="4"/>
      <c r="AK3" s="4"/>
    </row>
    <row r="4" spans="1:37" s="1" customFormat="1" ht="15" customHeight="1">
      <c r="A4" s="2"/>
      <c r="Z4" s="4"/>
      <c r="AA4" s="4"/>
      <c r="AB4" s="4"/>
      <c r="AC4" s="4"/>
      <c r="AD4" s="4"/>
      <c r="AE4" s="4"/>
      <c r="AF4" s="4"/>
      <c r="AG4" s="4"/>
      <c r="AH4" s="4"/>
      <c r="AI4" s="4"/>
      <c r="AJ4" s="4"/>
      <c r="AK4" s="4"/>
    </row>
    <row r="5" spans="1:37" s="1" customFormat="1" ht="15" customHeight="1">
      <c r="A5" s="101" t="s">
        <v>4</v>
      </c>
      <c r="B5" s="101"/>
      <c r="C5" s="101"/>
      <c r="D5" s="101"/>
      <c r="E5" s="101"/>
      <c r="F5" s="101"/>
      <c r="G5" s="101"/>
      <c r="H5" s="101"/>
      <c r="I5" s="101"/>
      <c r="J5" s="101"/>
      <c r="K5" s="101"/>
      <c r="L5" s="101"/>
      <c r="M5" s="101"/>
      <c r="N5" s="101"/>
      <c r="O5" s="101"/>
      <c r="P5" s="101"/>
      <c r="Q5" s="101"/>
      <c r="Z5" s="4"/>
      <c r="AA5" s="4"/>
      <c r="AB5" s="4"/>
      <c r="AC5" s="4"/>
      <c r="AD5" s="4"/>
      <c r="AE5" s="4"/>
      <c r="AF5" s="4"/>
      <c r="AG5" s="4"/>
      <c r="AH5" s="4"/>
      <c r="AI5" s="4"/>
      <c r="AJ5" s="4"/>
      <c r="AK5" s="4"/>
    </row>
    <row r="6" spans="1:37" s="1" customFormat="1" ht="15" customHeight="1">
      <c r="A6" s="102"/>
      <c r="B6" s="102"/>
      <c r="C6" s="102"/>
      <c r="D6" s="102"/>
      <c r="E6" s="102"/>
      <c r="F6" s="102"/>
      <c r="G6" s="102"/>
      <c r="H6" s="102"/>
      <c r="I6" s="102"/>
      <c r="J6" s="102"/>
      <c r="K6" s="102"/>
      <c r="L6" s="102"/>
      <c r="M6" s="102"/>
      <c r="N6" s="102"/>
      <c r="O6" s="102"/>
      <c r="P6" s="102"/>
      <c r="Q6" s="102"/>
      <c r="Z6" s="4"/>
      <c r="AA6" s="4"/>
      <c r="AB6" s="4"/>
      <c r="AC6" s="4"/>
      <c r="AD6" s="4"/>
      <c r="AE6" s="4"/>
      <c r="AF6" s="4"/>
      <c r="AG6" s="4"/>
      <c r="AH6" s="4"/>
      <c r="AI6" s="4"/>
      <c r="AJ6" s="4"/>
      <c r="AK6" s="4"/>
    </row>
    <row r="7" spans="1:37" s="1" customFormat="1" ht="15" customHeight="1">
      <c r="A7" s="2"/>
      <c r="AA7" s="4"/>
      <c r="AB7" s="4"/>
      <c r="AC7" s="4"/>
      <c r="AD7" s="4"/>
      <c r="AE7" s="4"/>
      <c r="AF7" s="4"/>
      <c r="AG7" s="4"/>
      <c r="AH7" s="4"/>
      <c r="AI7" s="4"/>
      <c r="AJ7" s="4"/>
      <c r="AK7" s="4"/>
    </row>
    <row r="8" spans="1:37" s="1" customFormat="1" ht="15" customHeight="1">
      <c r="A8" s="2"/>
      <c r="Y8" s="4"/>
      <c r="AA8" s="4"/>
      <c r="AB8" s="4"/>
      <c r="AC8" s="4"/>
      <c r="AD8" s="4"/>
      <c r="AE8" s="4"/>
      <c r="AF8" s="4"/>
      <c r="AG8" s="4"/>
      <c r="AH8" s="4"/>
      <c r="AI8" s="4"/>
      <c r="AJ8" s="4"/>
      <c r="AK8" s="4"/>
    </row>
    <row r="9" spans="1:37" s="1" customFormat="1" ht="15" customHeight="1">
      <c r="A9" s="2"/>
      <c r="Y9" s="4"/>
      <c r="AA9" s="4"/>
      <c r="AB9" s="4"/>
      <c r="AC9" s="4"/>
      <c r="AD9" s="4"/>
      <c r="AE9" s="4"/>
      <c r="AF9" s="4"/>
      <c r="AG9" s="4"/>
      <c r="AH9" s="4"/>
      <c r="AI9" s="4"/>
      <c r="AJ9" s="4"/>
      <c r="AK9" s="4"/>
    </row>
    <row r="10" spans="1:37" s="1" customFormat="1" ht="15" customHeight="1">
      <c r="A10" s="2"/>
      <c r="Y10" s="4"/>
      <c r="AA10" s="4"/>
      <c r="AB10" s="4"/>
      <c r="AC10" s="4"/>
      <c r="AD10" s="4"/>
      <c r="AE10" s="4"/>
      <c r="AF10" s="4"/>
      <c r="AG10" s="4"/>
      <c r="AH10" s="4"/>
      <c r="AI10" s="4"/>
      <c r="AJ10" s="4"/>
      <c r="AK10" s="4"/>
    </row>
    <row r="11" spans="1:37" s="1" customFormat="1" ht="15" customHeight="1">
      <c r="A11" s="64" t="s">
        <v>5</v>
      </c>
      <c r="B11" s="64"/>
      <c r="C11" s="64"/>
      <c r="D11" s="64"/>
      <c r="E11" s="64"/>
      <c r="F11" s="66">
        <f>AD61</f>
        <v>10850000</v>
      </c>
      <c r="G11" s="66"/>
      <c r="H11" s="66"/>
      <c r="I11" s="66"/>
      <c r="J11" s="66"/>
      <c r="K11" s="66"/>
      <c r="L11" s="66"/>
      <c r="M11" s="66"/>
      <c r="N11" s="66"/>
      <c r="O11" s="66"/>
      <c r="P11" s="66"/>
      <c r="Q11" s="66"/>
      <c r="Y11" s="4"/>
      <c r="AA11" s="4"/>
      <c r="AB11" s="4"/>
      <c r="AC11" s="4"/>
      <c r="AD11" s="4"/>
      <c r="AE11" s="4"/>
      <c r="AF11" s="4"/>
      <c r="AG11" s="4"/>
      <c r="AH11" s="4"/>
      <c r="AI11" s="4"/>
      <c r="AJ11" s="4"/>
      <c r="AK11" s="4"/>
    </row>
    <row r="12" spans="1:37" s="1" customFormat="1" ht="15" customHeight="1">
      <c r="A12" s="65"/>
      <c r="B12" s="65"/>
      <c r="C12" s="65"/>
      <c r="D12" s="65"/>
      <c r="E12" s="65"/>
      <c r="F12" s="67"/>
      <c r="G12" s="67"/>
      <c r="H12" s="67"/>
      <c r="I12" s="67"/>
      <c r="J12" s="67"/>
      <c r="K12" s="67"/>
      <c r="L12" s="67"/>
      <c r="M12" s="67"/>
      <c r="N12" s="67"/>
      <c r="O12" s="67"/>
      <c r="P12" s="67"/>
      <c r="Q12" s="67"/>
      <c r="S12" s="1" t="s">
        <v>6</v>
      </c>
      <c r="Y12" s="4"/>
      <c r="AA12" s="4"/>
      <c r="AB12" s="4"/>
      <c r="AC12" s="4"/>
      <c r="AD12" s="4"/>
      <c r="AE12" s="4"/>
      <c r="AF12" s="4"/>
      <c r="AG12" s="4"/>
      <c r="AH12" s="4"/>
      <c r="AI12" s="4"/>
      <c r="AJ12" s="4"/>
      <c r="AK12" s="4"/>
    </row>
    <row r="13" spans="1:37" s="1" customFormat="1" ht="15" customHeight="1">
      <c r="A13" s="2"/>
    </row>
    <row r="14" spans="1:37" s="1" customFormat="1" ht="15" customHeight="1">
      <c r="A14" s="64" t="s">
        <v>7</v>
      </c>
      <c r="B14" s="64"/>
      <c r="C14" s="64"/>
      <c r="D14" s="64"/>
      <c r="E14" s="64"/>
      <c r="F14" s="66">
        <f>AD75</f>
        <v>339150000</v>
      </c>
      <c r="G14" s="66"/>
      <c r="H14" s="66"/>
      <c r="I14" s="66"/>
      <c r="J14" s="66"/>
      <c r="K14" s="66"/>
      <c r="L14" s="66"/>
      <c r="M14" s="66"/>
      <c r="N14" s="66"/>
      <c r="O14" s="66"/>
      <c r="P14" s="66"/>
      <c r="Q14" s="66"/>
      <c r="S14" s="1" t="s">
        <v>8</v>
      </c>
      <c r="Y14" s="4"/>
      <c r="AA14" s="4"/>
      <c r="AB14" s="4"/>
      <c r="AC14" s="4"/>
      <c r="AD14" s="4"/>
      <c r="AE14" s="4"/>
      <c r="AF14" s="4"/>
      <c r="AG14" s="4"/>
      <c r="AH14" s="4"/>
      <c r="AI14" s="4"/>
      <c r="AJ14" s="4"/>
      <c r="AK14" s="4"/>
    </row>
    <row r="15" spans="1:37" s="1" customFormat="1" ht="15" customHeight="1">
      <c r="A15" s="65"/>
      <c r="B15" s="65"/>
      <c r="C15" s="65"/>
      <c r="D15" s="65"/>
      <c r="E15" s="65"/>
      <c r="F15" s="67"/>
      <c r="G15" s="67"/>
      <c r="H15" s="67"/>
      <c r="I15" s="67"/>
      <c r="J15" s="67"/>
      <c r="K15" s="67"/>
      <c r="L15" s="67"/>
      <c r="M15" s="67"/>
      <c r="N15" s="67"/>
      <c r="O15" s="67"/>
      <c r="P15" s="67"/>
      <c r="Q15" s="67"/>
      <c r="S15" s="1" t="s">
        <v>9</v>
      </c>
      <c r="Y15" s="4"/>
      <c r="AA15" s="4"/>
      <c r="AB15" s="4"/>
      <c r="AC15" s="4"/>
      <c r="AD15" s="4"/>
      <c r="AE15" s="4"/>
      <c r="AF15" s="4"/>
      <c r="AG15" s="4"/>
      <c r="AH15" s="4"/>
      <c r="AI15" s="4"/>
      <c r="AJ15" s="4"/>
      <c r="AK15" s="4"/>
    </row>
    <row r="16" spans="1:37" s="1" customFormat="1" ht="15" customHeight="1">
      <c r="A16" s="2"/>
      <c r="S16" s="1" t="s">
        <v>10</v>
      </c>
    </row>
    <row r="17" spans="1:20" s="1" customFormat="1" ht="15" customHeight="1">
      <c r="A17" s="2"/>
      <c r="S17" s="1" t="s">
        <v>11</v>
      </c>
    </row>
    <row r="18" spans="1:20" ht="15" customHeight="1">
      <c r="A18" s="3" t="s">
        <v>12</v>
      </c>
      <c r="S18" s="4" t="s">
        <v>13</v>
      </c>
    </row>
    <row r="20" spans="1:20" ht="15" customHeight="1">
      <c r="B20" s="4" t="s">
        <v>14</v>
      </c>
    </row>
    <row r="22" spans="1:20" ht="15" customHeight="1">
      <c r="A22" s="4"/>
    </row>
    <row r="23" spans="1:20" ht="15" customHeight="1">
      <c r="A23" s="3" t="s">
        <v>15</v>
      </c>
      <c r="P23" s="3"/>
    </row>
    <row r="24" spans="1:20" ht="15" customHeight="1">
      <c r="A24" s="4"/>
    </row>
    <row r="25" spans="1:20" ht="15" customHeight="1">
      <c r="A25" s="4"/>
      <c r="B25" s="15" t="s">
        <v>16</v>
      </c>
      <c r="C25" s="16"/>
      <c r="D25" s="16"/>
      <c r="E25" s="16"/>
      <c r="F25" s="16"/>
      <c r="G25" s="16"/>
      <c r="H25" s="16"/>
      <c r="I25" s="16"/>
      <c r="J25" s="16"/>
      <c r="K25" s="16"/>
      <c r="L25" s="16"/>
      <c r="M25" s="16"/>
      <c r="N25" s="16"/>
      <c r="O25" s="15" t="s">
        <v>17</v>
      </c>
      <c r="P25" s="16"/>
      <c r="Q25" s="16"/>
      <c r="R25" s="16"/>
      <c r="S25" s="16"/>
      <c r="T25" s="49"/>
    </row>
    <row r="26" spans="1:20" ht="15" customHeight="1">
      <c r="A26" s="4"/>
      <c r="B26" s="43" t="s">
        <v>18</v>
      </c>
      <c r="C26" s="9"/>
      <c r="D26" s="9"/>
      <c r="E26" s="9"/>
      <c r="F26" s="9"/>
      <c r="G26" s="9"/>
      <c r="H26" s="9"/>
      <c r="I26" s="9"/>
      <c r="J26" s="9"/>
      <c r="K26" s="9"/>
      <c r="L26" s="9"/>
      <c r="M26" s="9"/>
      <c r="N26" s="9"/>
      <c r="O26" s="43" t="s">
        <v>19</v>
      </c>
      <c r="P26" s="9"/>
      <c r="Q26" s="9"/>
      <c r="R26" s="9"/>
      <c r="S26" s="9"/>
      <c r="T26" s="10"/>
    </row>
    <row r="27" spans="1:20" ht="15" customHeight="1">
      <c r="A27" s="4"/>
      <c r="B27" s="22" t="s">
        <v>20</v>
      </c>
      <c r="C27" s="23"/>
      <c r="D27" s="23"/>
      <c r="E27" s="23"/>
      <c r="F27" s="23"/>
      <c r="G27" s="23"/>
      <c r="H27" s="23"/>
      <c r="I27" s="23"/>
      <c r="J27" s="23"/>
      <c r="K27" s="23"/>
      <c r="L27" s="23"/>
      <c r="M27" s="23"/>
      <c r="N27" s="23"/>
      <c r="O27" s="22" t="s">
        <v>17</v>
      </c>
      <c r="P27" s="23"/>
      <c r="Q27" s="23"/>
      <c r="R27" s="23"/>
      <c r="S27" s="23"/>
      <c r="T27" s="50"/>
    </row>
    <row r="28" spans="1:20" ht="15" customHeight="1">
      <c r="A28" s="4"/>
    </row>
    <row r="29" spans="1:20" ht="15" customHeight="1">
      <c r="A29" s="3" t="s">
        <v>21</v>
      </c>
    </row>
    <row r="30" spans="1:20" ht="15" customHeight="1">
      <c r="A30" s="4"/>
    </row>
    <row r="31" spans="1:20" ht="15" customHeight="1">
      <c r="A31" s="4"/>
      <c r="B31" s="4" t="s">
        <v>22</v>
      </c>
    </row>
    <row r="32" spans="1:20" ht="15" customHeight="1">
      <c r="A32" s="4"/>
    </row>
    <row r="33" spans="1:12" ht="15" customHeight="1">
      <c r="A33" s="4"/>
    </row>
    <row r="34" spans="1:12" ht="15" customHeight="1">
      <c r="A34" s="3" t="s">
        <v>23</v>
      </c>
    </row>
    <row r="35" spans="1:12" ht="15" customHeight="1">
      <c r="A35" s="4"/>
    </row>
    <row r="36" spans="1:12" ht="15" customHeight="1">
      <c r="A36" s="4"/>
      <c r="B36" s="4" t="s">
        <v>24</v>
      </c>
      <c r="C36" s="4" t="s">
        <v>25</v>
      </c>
      <c r="L36" s="4" t="s">
        <v>26</v>
      </c>
    </row>
    <row r="37" spans="1:12" ht="15" customHeight="1">
      <c r="A37" s="4"/>
      <c r="B37" s="4" t="s">
        <v>27</v>
      </c>
      <c r="C37" s="4" t="s">
        <v>28</v>
      </c>
      <c r="L37" s="4" t="s">
        <v>29</v>
      </c>
    </row>
    <row r="38" spans="1:12" ht="15" customHeight="1">
      <c r="A38" s="4"/>
      <c r="B38" s="4" t="s">
        <v>30</v>
      </c>
      <c r="C38" s="4" t="s">
        <v>31</v>
      </c>
      <c r="L38" s="4" t="s">
        <v>32</v>
      </c>
    </row>
    <row r="39" spans="1:12" ht="15" customHeight="1">
      <c r="A39" s="4"/>
    </row>
    <row r="40" spans="1:12" ht="15" customHeight="1">
      <c r="A40" s="4"/>
      <c r="B40" s="4" t="s">
        <v>33</v>
      </c>
    </row>
    <row r="41" spans="1:12" ht="15" customHeight="1">
      <c r="A41" s="4"/>
      <c r="B41" s="4" t="s">
        <v>34</v>
      </c>
      <c r="C41" s="4" t="s">
        <v>35</v>
      </c>
      <c r="L41" s="4" t="s">
        <v>36</v>
      </c>
    </row>
    <row r="42" spans="1:12" ht="15" customHeight="1">
      <c r="A42" s="4"/>
      <c r="B42" s="4" t="s">
        <v>37</v>
      </c>
      <c r="C42" s="4" t="s">
        <v>38</v>
      </c>
      <c r="L42" s="4" t="s">
        <v>39</v>
      </c>
    </row>
    <row r="43" spans="1:12" ht="15" customHeight="1">
      <c r="A43" s="4"/>
      <c r="B43" s="4" t="s">
        <v>40</v>
      </c>
    </row>
    <row r="44" spans="1:12" ht="15" customHeight="1">
      <c r="A44" s="4"/>
    </row>
    <row r="45" spans="1:12" ht="15" customHeight="1">
      <c r="A45" s="4"/>
    </row>
    <row r="47" spans="1:12" ht="15" customHeight="1">
      <c r="A47" s="3" t="s">
        <v>41</v>
      </c>
    </row>
    <row r="49" spans="1:35" ht="15" customHeight="1">
      <c r="B49" s="3" t="s">
        <v>42</v>
      </c>
      <c r="C49" s="3"/>
      <c r="D49" s="3"/>
      <c r="E49" s="3"/>
      <c r="F49" s="3"/>
      <c r="G49" s="3"/>
      <c r="I49" s="3"/>
    </row>
    <row r="50" spans="1:35" ht="15" customHeight="1">
      <c r="C50" s="4" t="s">
        <v>43</v>
      </c>
      <c r="D50" s="3"/>
      <c r="E50" s="3"/>
      <c r="F50" s="3"/>
      <c r="G50" s="3"/>
      <c r="H50" s="3"/>
      <c r="I50" s="3"/>
    </row>
    <row r="51" spans="1:35" ht="15" customHeight="1">
      <c r="C51" s="3"/>
      <c r="D51" s="3"/>
      <c r="E51" s="3"/>
      <c r="F51" s="3"/>
      <c r="G51" s="3"/>
      <c r="H51" s="3"/>
      <c r="I51" s="3"/>
    </row>
    <row r="52" spans="1:35" ht="15" customHeight="1">
      <c r="A52" s="4"/>
      <c r="B52" s="4" t="s">
        <v>44</v>
      </c>
    </row>
    <row r="53" spans="1:35" ht="15" customHeight="1">
      <c r="A53" s="4"/>
      <c r="B53" s="5" t="s">
        <v>45</v>
      </c>
      <c r="C53" s="6"/>
      <c r="D53" s="5" t="s">
        <v>46</v>
      </c>
      <c r="E53" s="7"/>
      <c r="F53" s="7"/>
      <c r="G53" s="7"/>
      <c r="H53" s="7"/>
      <c r="I53" s="7"/>
      <c r="J53" s="7"/>
      <c r="K53" s="7"/>
      <c r="L53" s="7"/>
      <c r="M53" s="7"/>
      <c r="N53" s="7"/>
      <c r="O53" s="7"/>
      <c r="P53" s="7"/>
      <c r="Q53" s="7"/>
      <c r="R53" s="7"/>
      <c r="S53" s="5" t="s">
        <v>47</v>
      </c>
      <c r="T53" s="7"/>
      <c r="U53" s="7"/>
      <c r="V53" s="7"/>
      <c r="W53" s="6"/>
      <c r="X53" s="5" t="s">
        <v>48</v>
      </c>
      <c r="Y53" s="7"/>
      <c r="Z53" s="7"/>
      <c r="AA53" s="7"/>
      <c r="AB53" s="7"/>
      <c r="AC53" s="7"/>
      <c r="AD53" s="5" t="s">
        <v>49</v>
      </c>
      <c r="AE53" s="7"/>
      <c r="AF53" s="7"/>
      <c r="AG53" s="7"/>
      <c r="AH53" s="7"/>
      <c r="AI53" s="6"/>
    </row>
    <row r="54" spans="1:35" ht="15" customHeight="1">
      <c r="A54" s="4"/>
      <c r="B54" s="75">
        <v>1</v>
      </c>
      <c r="C54" s="76"/>
      <c r="D54" s="8" t="s">
        <v>50</v>
      </c>
      <c r="E54" s="9"/>
      <c r="F54" s="9"/>
      <c r="G54" s="9"/>
      <c r="H54" s="9"/>
      <c r="I54" s="9"/>
      <c r="J54" s="9"/>
      <c r="K54" s="9"/>
      <c r="L54" s="9"/>
      <c r="M54" s="9"/>
      <c r="N54" s="9"/>
      <c r="O54" s="9"/>
      <c r="P54" s="9"/>
      <c r="Q54" s="9"/>
      <c r="R54" s="10"/>
      <c r="S54" s="77">
        <v>1050000</v>
      </c>
      <c r="T54" s="78"/>
      <c r="U54" s="78"/>
      <c r="V54" s="78"/>
      <c r="W54" s="79"/>
      <c r="X54" s="80">
        <v>1</v>
      </c>
      <c r="Y54" s="81"/>
      <c r="Z54" s="81"/>
      <c r="AA54" s="81"/>
      <c r="AB54" s="82" t="s">
        <v>51</v>
      </c>
      <c r="AC54" s="83"/>
      <c r="AD54" s="84">
        <f>S54*X54</f>
        <v>1050000</v>
      </c>
      <c r="AE54" s="85"/>
      <c r="AF54" s="85"/>
      <c r="AG54" s="85"/>
      <c r="AH54" s="85"/>
      <c r="AI54" s="86"/>
    </row>
    <row r="55" spans="1:35" ht="15" customHeight="1">
      <c r="A55" s="4"/>
      <c r="B55" s="75">
        <v>2</v>
      </c>
      <c r="C55" s="76"/>
      <c r="D55" s="8" t="s">
        <v>52</v>
      </c>
      <c r="E55" s="9"/>
      <c r="F55" s="9"/>
      <c r="G55" s="9"/>
      <c r="H55" s="9"/>
      <c r="I55" s="9"/>
      <c r="J55" s="9"/>
      <c r="K55" s="9"/>
      <c r="L55" s="9"/>
      <c r="M55" s="9"/>
      <c r="N55" s="9"/>
      <c r="O55" s="9"/>
      <c r="P55" s="9"/>
      <c r="Q55" s="9"/>
      <c r="R55" s="10"/>
      <c r="S55" s="77">
        <v>1050000</v>
      </c>
      <c r="T55" s="78"/>
      <c r="U55" s="78"/>
      <c r="V55" s="78"/>
      <c r="W55" s="79"/>
      <c r="X55" s="80">
        <v>1</v>
      </c>
      <c r="Y55" s="81"/>
      <c r="Z55" s="81"/>
      <c r="AA55" s="81"/>
      <c r="AB55" s="82" t="s">
        <v>51</v>
      </c>
      <c r="AC55" s="83"/>
      <c r="AD55" s="84">
        <f t="shared" ref="AD55:AD60" si="0">S55*X55</f>
        <v>1050000</v>
      </c>
      <c r="AE55" s="85"/>
      <c r="AF55" s="85"/>
      <c r="AG55" s="85"/>
      <c r="AH55" s="85"/>
      <c r="AI55" s="86"/>
    </row>
    <row r="56" spans="1:35" ht="15" customHeight="1">
      <c r="A56" s="4"/>
      <c r="B56" s="75">
        <v>3</v>
      </c>
      <c r="C56" s="76"/>
      <c r="D56" s="8" t="s">
        <v>53</v>
      </c>
      <c r="E56" s="9"/>
      <c r="F56" s="9"/>
      <c r="G56" s="9"/>
      <c r="H56" s="9"/>
      <c r="I56" s="9"/>
      <c r="J56" s="9"/>
      <c r="K56" s="9"/>
      <c r="L56" s="9"/>
      <c r="M56" s="9"/>
      <c r="N56" s="9"/>
      <c r="O56" s="9"/>
      <c r="P56" s="9"/>
      <c r="Q56" s="9"/>
      <c r="R56" s="10"/>
      <c r="S56" s="77">
        <v>1050000</v>
      </c>
      <c r="T56" s="78"/>
      <c r="U56" s="78"/>
      <c r="V56" s="78"/>
      <c r="W56" s="79"/>
      <c r="X56" s="80">
        <v>1.5</v>
      </c>
      <c r="Y56" s="81"/>
      <c r="Z56" s="81"/>
      <c r="AA56" s="81"/>
      <c r="AB56" s="82" t="s">
        <v>51</v>
      </c>
      <c r="AC56" s="83"/>
      <c r="AD56" s="84">
        <f t="shared" si="0"/>
        <v>1575000</v>
      </c>
      <c r="AE56" s="85"/>
      <c r="AF56" s="85"/>
      <c r="AG56" s="85"/>
      <c r="AH56" s="85"/>
      <c r="AI56" s="86"/>
    </row>
    <row r="57" spans="1:35" ht="15" customHeight="1">
      <c r="A57" s="4"/>
      <c r="B57" s="75">
        <v>4</v>
      </c>
      <c r="C57" s="76"/>
      <c r="D57" s="8" t="s">
        <v>54</v>
      </c>
      <c r="E57" s="9"/>
      <c r="F57" s="9"/>
      <c r="G57" s="9"/>
      <c r="H57" s="9"/>
      <c r="I57" s="9"/>
      <c r="J57" s="9"/>
      <c r="K57" s="9"/>
      <c r="L57" s="9"/>
      <c r="M57" s="9"/>
      <c r="N57" s="9"/>
      <c r="O57" s="9"/>
      <c r="P57" s="9"/>
      <c r="Q57" s="9"/>
      <c r="R57" s="10"/>
      <c r="S57" s="77">
        <v>1050000</v>
      </c>
      <c r="T57" s="78"/>
      <c r="U57" s="78"/>
      <c r="V57" s="78"/>
      <c r="W57" s="79"/>
      <c r="X57" s="80">
        <v>2</v>
      </c>
      <c r="Y57" s="81"/>
      <c r="Z57" s="81"/>
      <c r="AA57" s="81"/>
      <c r="AB57" s="82" t="s">
        <v>51</v>
      </c>
      <c r="AC57" s="83"/>
      <c r="AD57" s="84">
        <f t="shared" si="0"/>
        <v>2100000</v>
      </c>
      <c r="AE57" s="85"/>
      <c r="AF57" s="85"/>
      <c r="AG57" s="85"/>
      <c r="AH57" s="85"/>
      <c r="AI57" s="86"/>
    </row>
    <row r="58" spans="1:35" ht="15" customHeight="1">
      <c r="A58" s="4"/>
      <c r="B58" s="75">
        <v>5</v>
      </c>
      <c r="C58" s="76"/>
      <c r="D58" s="8" t="s">
        <v>55</v>
      </c>
      <c r="E58" s="9"/>
      <c r="F58" s="9"/>
      <c r="G58" s="9"/>
      <c r="H58" s="9"/>
      <c r="I58" s="9"/>
      <c r="J58" s="9"/>
      <c r="K58" s="9"/>
      <c r="L58" s="9"/>
      <c r="M58" s="9"/>
      <c r="N58" s="9"/>
      <c r="O58" s="9"/>
      <c r="P58" s="9"/>
      <c r="Q58" s="9"/>
      <c r="R58" s="10"/>
      <c r="S58" s="77">
        <v>1050000</v>
      </c>
      <c r="T58" s="78"/>
      <c r="U58" s="78"/>
      <c r="V58" s="78"/>
      <c r="W58" s="79"/>
      <c r="X58" s="80">
        <v>1.5</v>
      </c>
      <c r="Y58" s="81"/>
      <c r="Z58" s="81"/>
      <c r="AA58" s="81"/>
      <c r="AB58" s="82" t="s">
        <v>51</v>
      </c>
      <c r="AC58" s="83"/>
      <c r="AD58" s="84">
        <f t="shared" si="0"/>
        <v>1575000</v>
      </c>
      <c r="AE58" s="85"/>
      <c r="AF58" s="85"/>
      <c r="AG58" s="85"/>
      <c r="AH58" s="85"/>
      <c r="AI58" s="86"/>
    </row>
    <row r="59" spans="1:35" ht="15" customHeight="1">
      <c r="A59" s="4"/>
      <c r="B59" s="75">
        <v>6</v>
      </c>
      <c r="C59" s="76"/>
      <c r="D59" s="8" t="s">
        <v>56</v>
      </c>
      <c r="E59" s="9"/>
      <c r="F59" s="9"/>
      <c r="G59" s="9"/>
      <c r="H59" s="9"/>
      <c r="I59" s="9"/>
      <c r="J59" s="9"/>
      <c r="K59" s="9"/>
      <c r="L59" s="9"/>
      <c r="M59" s="9"/>
      <c r="N59" s="9"/>
      <c r="O59" s="9"/>
      <c r="P59" s="9"/>
      <c r="Q59" s="9"/>
      <c r="R59" s="10"/>
      <c r="S59" s="77">
        <v>1050000</v>
      </c>
      <c r="T59" s="78"/>
      <c r="U59" s="78"/>
      <c r="V59" s="78"/>
      <c r="W59" s="79"/>
      <c r="X59" s="80">
        <v>2</v>
      </c>
      <c r="Y59" s="81"/>
      <c r="Z59" s="81"/>
      <c r="AA59" s="81"/>
      <c r="AB59" s="82" t="s">
        <v>51</v>
      </c>
      <c r="AC59" s="83"/>
      <c r="AD59" s="84">
        <f t="shared" ref="AD59" si="1">S59*X59</f>
        <v>2100000</v>
      </c>
      <c r="AE59" s="85"/>
      <c r="AF59" s="85"/>
      <c r="AG59" s="85"/>
      <c r="AH59" s="85"/>
      <c r="AI59" s="86"/>
    </row>
    <row r="60" spans="1:35" ht="15" customHeight="1">
      <c r="A60" s="4"/>
      <c r="B60" s="75">
        <v>7</v>
      </c>
      <c r="C60" s="76"/>
      <c r="D60" s="8" t="s">
        <v>57</v>
      </c>
      <c r="E60" s="9"/>
      <c r="F60" s="9"/>
      <c r="G60" s="9"/>
      <c r="H60" s="9"/>
      <c r="I60" s="9"/>
      <c r="J60" s="9"/>
      <c r="K60" s="9"/>
      <c r="L60" s="9"/>
      <c r="M60" s="9"/>
      <c r="N60" s="9"/>
      <c r="O60" s="9"/>
      <c r="P60" s="9"/>
      <c r="Q60" s="9"/>
      <c r="R60" s="10"/>
      <c r="S60" s="77">
        <v>1400000</v>
      </c>
      <c r="T60" s="78"/>
      <c r="U60" s="78"/>
      <c r="V60" s="78"/>
      <c r="W60" s="79"/>
      <c r="X60" s="80">
        <v>1</v>
      </c>
      <c r="Y60" s="81"/>
      <c r="Z60" s="81"/>
      <c r="AA60" s="81"/>
      <c r="AB60" s="82" t="s">
        <v>51</v>
      </c>
      <c r="AC60" s="83"/>
      <c r="AD60" s="84">
        <f t="shared" si="0"/>
        <v>1400000</v>
      </c>
      <c r="AE60" s="85"/>
      <c r="AF60" s="85"/>
      <c r="AG60" s="85"/>
      <c r="AH60" s="85"/>
      <c r="AI60" s="86"/>
    </row>
    <row r="61" spans="1:35" ht="15" customHeight="1">
      <c r="A61" s="4"/>
      <c r="B61" s="87" t="s">
        <v>58</v>
      </c>
      <c r="C61" s="88"/>
      <c r="D61" s="88"/>
      <c r="E61" s="88"/>
      <c r="F61" s="88"/>
      <c r="G61" s="88"/>
      <c r="H61" s="88"/>
      <c r="I61" s="88"/>
      <c r="J61" s="88"/>
      <c r="K61" s="88"/>
      <c r="L61" s="88"/>
      <c r="M61" s="88"/>
      <c r="N61" s="88"/>
      <c r="O61" s="88"/>
      <c r="P61" s="88"/>
      <c r="Q61" s="88"/>
      <c r="R61" s="88"/>
      <c r="S61" s="88"/>
      <c r="T61" s="88"/>
      <c r="U61" s="88"/>
      <c r="V61" s="88"/>
      <c r="W61" s="89"/>
      <c r="X61" s="70">
        <f>SUM(X54:AA60)</f>
        <v>10</v>
      </c>
      <c r="Y61" s="71"/>
      <c r="Z61" s="71"/>
      <c r="AA61" s="71"/>
      <c r="AB61" s="72" t="s">
        <v>59</v>
      </c>
      <c r="AC61" s="73"/>
      <c r="AD61" s="74">
        <f>SUM(AD54:AI60)</f>
        <v>10850000</v>
      </c>
      <c r="AE61" s="74"/>
      <c r="AF61" s="74"/>
      <c r="AG61" s="74"/>
      <c r="AH61" s="74"/>
      <c r="AI61" s="74"/>
    </row>
    <row r="62" spans="1:35" ht="15" customHeight="1">
      <c r="C62" s="31"/>
      <c r="J62" s="11"/>
      <c r="K62" s="11"/>
    </row>
    <row r="63" spans="1:35" ht="15" customHeight="1">
      <c r="B63" s="3" t="s">
        <v>60</v>
      </c>
      <c r="C63" s="3"/>
      <c r="D63" s="3"/>
      <c r="E63" s="3"/>
      <c r="F63" s="3"/>
      <c r="G63" s="3"/>
      <c r="I63" s="3"/>
      <c r="J63" s="3"/>
      <c r="K63" s="3"/>
      <c r="L63" s="3"/>
    </row>
    <row r="64" spans="1:35" ht="15" customHeight="1">
      <c r="C64" s="4" t="s">
        <v>61</v>
      </c>
      <c r="D64" s="3"/>
      <c r="E64" s="3"/>
      <c r="F64" s="3"/>
      <c r="G64" s="3"/>
      <c r="H64" s="3"/>
      <c r="I64" s="3"/>
      <c r="J64" s="3"/>
      <c r="K64" s="3"/>
      <c r="L64" s="3"/>
    </row>
    <row r="66" spans="1:36" ht="15" customHeight="1">
      <c r="A66" s="4"/>
      <c r="B66" s="4" t="s">
        <v>44</v>
      </c>
    </row>
    <row r="67" spans="1:36" ht="15" customHeight="1">
      <c r="A67" s="4"/>
      <c r="B67" s="5" t="s">
        <v>45</v>
      </c>
      <c r="C67" s="6"/>
      <c r="D67" s="5" t="s">
        <v>46</v>
      </c>
      <c r="E67" s="7"/>
      <c r="F67" s="7"/>
      <c r="G67" s="7"/>
      <c r="H67" s="7"/>
      <c r="I67" s="7"/>
      <c r="J67" s="7"/>
      <c r="K67" s="7"/>
      <c r="L67" s="7"/>
      <c r="M67" s="7"/>
      <c r="N67" s="7"/>
      <c r="O67" s="7"/>
      <c r="P67" s="7"/>
      <c r="Q67" s="7"/>
      <c r="R67" s="7"/>
      <c r="S67" s="5" t="s">
        <v>47</v>
      </c>
      <c r="T67" s="7"/>
      <c r="U67" s="7"/>
      <c r="V67" s="7"/>
      <c r="W67" s="6"/>
      <c r="X67" s="5" t="s">
        <v>48</v>
      </c>
      <c r="Y67" s="7"/>
      <c r="Z67" s="7"/>
      <c r="AA67" s="7"/>
      <c r="AB67" s="7"/>
      <c r="AC67" s="7"/>
      <c r="AD67" s="5" t="s">
        <v>49</v>
      </c>
      <c r="AE67" s="7"/>
      <c r="AF67" s="7"/>
      <c r="AG67" s="7"/>
      <c r="AH67" s="7"/>
      <c r="AI67" s="6"/>
    </row>
    <row r="68" spans="1:36" ht="15" customHeight="1">
      <c r="A68" s="4"/>
      <c r="B68" s="75">
        <v>1</v>
      </c>
      <c r="C68" s="76"/>
      <c r="D68" s="8" t="s">
        <v>50</v>
      </c>
      <c r="E68" s="9"/>
      <c r="F68" s="9"/>
      <c r="G68" s="9"/>
      <c r="H68" s="9"/>
      <c r="I68" s="9"/>
      <c r="J68" s="9"/>
      <c r="K68" s="9"/>
      <c r="L68" s="9"/>
      <c r="M68" s="9"/>
      <c r="N68" s="9"/>
      <c r="O68" s="9"/>
      <c r="P68" s="9"/>
      <c r="Q68" s="9"/>
      <c r="R68" s="10"/>
      <c r="S68" s="77">
        <v>1050000</v>
      </c>
      <c r="T68" s="78"/>
      <c r="U68" s="78"/>
      <c r="V68" s="78"/>
      <c r="W68" s="79"/>
      <c r="X68" s="80">
        <v>15</v>
      </c>
      <c r="Y68" s="81"/>
      <c r="Z68" s="81"/>
      <c r="AA68" s="81"/>
      <c r="AB68" s="82" t="s">
        <v>51</v>
      </c>
      <c r="AC68" s="83"/>
      <c r="AD68" s="84">
        <f t="shared" ref="AD68:AD74" si="2">S68*X68</f>
        <v>15750000</v>
      </c>
      <c r="AE68" s="85"/>
      <c r="AF68" s="85"/>
      <c r="AG68" s="85"/>
      <c r="AH68" s="85"/>
      <c r="AI68" s="86"/>
    </row>
    <row r="69" spans="1:36" ht="15" customHeight="1">
      <c r="A69" s="4"/>
      <c r="B69" s="75">
        <v>2</v>
      </c>
      <c r="C69" s="76"/>
      <c r="D69" s="8" t="s">
        <v>52</v>
      </c>
      <c r="E69" s="9"/>
      <c r="F69" s="9"/>
      <c r="G69" s="9"/>
      <c r="H69" s="9"/>
      <c r="I69" s="9"/>
      <c r="J69" s="9"/>
      <c r="K69" s="9"/>
      <c r="L69" s="9"/>
      <c r="M69" s="9"/>
      <c r="N69" s="9"/>
      <c r="O69" s="9"/>
      <c r="P69" s="9"/>
      <c r="Q69" s="9"/>
      <c r="R69" s="10"/>
      <c r="S69" s="77">
        <v>1050000</v>
      </c>
      <c r="T69" s="78"/>
      <c r="U69" s="78"/>
      <c r="V69" s="78"/>
      <c r="W69" s="79"/>
      <c r="X69" s="80">
        <v>71</v>
      </c>
      <c r="Y69" s="81"/>
      <c r="Z69" s="81"/>
      <c r="AA69" s="81"/>
      <c r="AB69" s="82" t="s">
        <v>51</v>
      </c>
      <c r="AC69" s="83"/>
      <c r="AD69" s="84">
        <f t="shared" si="2"/>
        <v>74550000</v>
      </c>
      <c r="AE69" s="85"/>
      <c r="AF69" s="85"/>
      <c r="AG69" s="85"/>
      <c r="AH69" s="85"/>
      <c r="AI69" s="86"/>
    </row>
    <row r="70" spans="1:36" ht="15" customHeight="1">
      <c r="A70" s="4"/>
      <c r="B70" s="75">
        <v>3</v>
      </c>
      <c r="C70" s="76"/>
      <c r="D70" s="8" t="s">
        <v>53</v>
      </c>
      <c r="E70" s="9"/>
      <c r="F70" s="9"/>
      <c r="G70" s="9"/>
      <c r="H70" s="9"/>
      <c r="I70" s="9"/>
      <c r="J70" s="9"/>
      <c r="K70" s="9"/>
      <c r="L70" s="9"/>
      <c r="M70" s="9"/>
      <c r="N70" s="9"/>
      <c r="O70" s="9"/>
      <c r="P70" s="9"/>
      <c r="Q70" s="9"/>
      <c r="R70" s="10"/>
      <c r="S70" s="77">
        <v>1050000</v>
      </c>
      <c r="T70" s="78"/>
      <c r="U70" s="78"/>
      <c r="V70" s="78"/>
      <c r="W70" s="79"/>
      <c r="X70" s="80">
        <v>65</v>
      </c>
      <c r="Y70" s="81"/>
      <c r="Z70" s="81"/>
      <c r="AA70" s="81"/>
      <c r="AB70" s="82" t="s">
        <v>51</v>
      </c>
      <c r="AC70" s="83"/>
      <c r="AD70" s="84">
        <f t="shared" si="2"/>
        <v>68250000</v>
      </c>
      <c r="AE70" s="85"/>
      <c r="AF70" s="85"/>
      <c r="AG70" s="85"/>
      <c r="AH70" s="85"/>
      <c r="AI70" s="86"/>
    </row>
    <row r="71" spans="1:36" ht="15" customHeight="1">
      <c r="A71" s="4"/>
      <c r="B71" s="75">
        <v>4</v>
      </c>
      <c r="C71" s="76"/>
      <c r="D71" s="8" t="s">
        <v>54</v>
      </c>
      <c r="E71" s="9"/>
      <c r="F71" s="9"/>
      <c r="G71" s="9"/>
      <c r="H71" s="9"/>
      <c r="I71" s="9"/>
      <c r="J71" s="9"/>
      <c r="K71" s="9"/>
      <c r="L71" s="9"/>
      <c r="M71" s="9"/>
      <c r="N71" s="9"/>
      <c r="O71" s="9"/>
      <c r="P71" s="9"/>
      <c r="Q71" s="9"/>
      <c r="R71" s="10"/>
      <c r="S71" s="77">
        <v>1050000</v>
      </c>
      <c r="T71" s="78"/>
      <c r="U71" s="78"/>
      <c r="V71" s="78"/>
      <c r="W71" s="79"/>
      <c r="X71" s="80">
        <v>40</v>
      </c>
      <c r="Y71" s="81"/>
      <c r="Z71" s="81"/>
      <c r="AA71" s="81"/>
      <c r="AB71" s="82" t="s">
        <v>51</v>
      </c>
      <c r="AC71" s="83"/>
      <c r="AD71" s="84">
        <f t="shared" si="2"/>
        <v>42000000</v>
      </c>
      <c r="AE71" s="85"/>
      <c r="AF71" s="85"/>
      <c r="AG71" s="85"/>
      <c r="AH71" s="85"/>
      <c r="AI71" s="86"/>
    </row>
    <row r="72" spans="1:36" ht="15" customHeight="1">
      <c r="A72" s="4"/>
      <c r="B72" s="75">
        <v>5</v>
      </c>
      <c r="C72" s="76"/>
      <c r="D72" s="8" t="s">
        <v>55</v>
      </c>
      <c r="E72" s="9"/>
      <c r="F72" s="9"/>
      <c r="G72" s="9"/>
      <c r="H72" s="9"/>
      <c r="I72" s="9"/>
      <c r="J72" s="9"/>
      <c r="K72" s="9"/>
      <c r="L72" s="9"/>
      <c r="M72" s="9"/>
      <c r="N72" s="9"/>
      <c r="O72" s="9"/>
      <c r="P72" s="9"/>
      <c r="Q72" s="9"/>
      <c r="R72" s="10"/>
      <c r="S72" s="77">
        <v>1050000</v>
      </c>
      <c r="T72" s="78"/>
      <c r="U72" s="78"/>
      <c r="V72" s="78"/>
      <c r="W72" s="79"/>
      <c r="X72" s="80">
        <v>42</v>
      </c>
      <c r="Y72" s="81"/>
      <c r="Z72" s="81"/>
      <c r="AA72" s="81"/>
      <c r="AB72" s="82" t="s">
        <v>51</v>
      </c>
      <c r="AC72" s="83"/>
      <c r="AD72" s="84">
        <f t="shared" si="2"/>
        <v>44100000</v>
      </c>
      <c r="AE72" s="85"/>
      <c r="AF72" s="85"/>
      <c r="AG72" s="85"/>
      <c r="AH72" s="85"/>
      <c r="AI72" s="86"/>
    </row>
    <row r="73" spans="1:36" ht="15" customHeight="1">
      <c r="A73" s="4"/>
      <c r="B73" s="75">
        <v>6</v>
      </c>
      <c r="C73" s="76"/>
      <c r="D73" s="8" t="s">
        <v>56</v>
      </c>
      <c r="E73" s="9"/>
      <c r="F73" s="9"/>
      <c r="G73" s="9"/>
      <c r="H73" s="9"/>
      <c r="I73" s="9"/>
      <c r="J73" s="9"/>
      <c r="K73" s="9"/>
      <c r="L73" s="9"/>
      <c r="M73" s="9"/>
      <c r="N73" s="9"/>
      <c r="O73" s="9"/>
      <c r="P73" s="9"/>
      <c r="Q73" s="9"/>
      <c r="R73" s="10"/>
      <c r="S73" s="77">
        <v>1050000</v>
      </c>
      <c r="T73" s="78"/>
      <c r="U73" s="78"/>
      <c r="V73" s="78"/>
      <c r="W73" s="79"/>
      <c r="X73" s="80">
        <v>30</v>
      </c>
      <c r="Y73" s="81"/>
      <c r="Z73" s="81"/>
      <c r="AA73" s="81"/>
      <c r="AB73" s="82" t="s">
        <v>51</v>
      </c>
      <c r="AC73" s="83"/>
      <c r="AD73" s="84">
        <f t="shared" si="2"/>
        <v>31500000</v>
      </c>
      <c r="AE73" s="85"/>
      <c r="AF73" s="85"/>
      <c r="AG73" s="85"/>
      <c r="AH73" s="85"/>
      <c r="AI73" s="86"/>
    </row>
    <row r="74" spans="1:36" ht="15" customHeight="1">
      <c r="A74" s="4"/>
      <c r="B74" s="75">
        <v>7</v>
      </c>
      <c r="C74" s="76"/>
      <c r="D74" s="8" t="s">
        <v>57</v>
      </c>
      <c r="E74" s="9"/>
      <c r="F74" s="9"/>
      <c r="G74" s="9"/>
      <c r="H74" s="9"/>
      <c r="I74" s="9"/>
      <c r="J74" s="9"/>
      <c r="K74" s="9"/>
      <c r="L74" s="9"/>
      <c r="M74" s="9"/>
      <c r="N74" s="9"/>
      <c r="O74" s="9"/>
      <c r="P74" s="9"/>
      <c r="Q74" s="9"/>
      <c r="R74" s="10"/>
      <c r="S74" s="77">
        <v>1400000</v>
      </c>
      <c r="T74" s="78"/>
      <c r="U74" s="78"/>
      <c r="V74" s="78"/>
      <c r="W74" s="79"/>
      <c r="X74" s="80">
        <v>45</v>
      </c>
      <c r="Y74" s="81"/>
      <c r="Z74" s="81"/>
      <c r="AA74" s="81"/>
      <c r="AB74" s="82" t="s">
        <v>51</v>
      </c>
      <c r="AC74" s="83"/>
      <c r="AD74" s="84">
        <f t="shared" si="2"/>
        <v>63000000</v>
      </c>
      <c r="AE74" s="85"/>
      <c r="AF74" s="85"/>
      <c r="AG74" s="85"/>
      <c r="AH74" s="85"/>
      <c r="AI74" s="86"/>
    </row>
    <row r="75" spans="1:36" ht="15" customHeight="1">
      <c r="A75" s="4"/>
      <c r="B75" s="87" t="s">
        <v>58</v>
      </c>
      <c r="C75" s="88"/>
      <c r="D75" s="88"/>
      <c r="E75" s="88"/>
      <c r="F75" s="88"/>
      <c r="G75" s="88"/>
      <c r="H75" s="88"/>
      <c r="I75" s="88"/>
      <c r="J75" s="88"/>
      <c r="K75" s="88"/>
      <c r="L75" s="88"/>
      <c r="M75" s="88"/>
      <c r="N75" s="88"/>
      <c r="O75" s="88"/>
      <c r="P75" s="88"/>
      <c r="Q75" s="88"/>
      <c r="R75" s="88"/>
      <c r="S75" s="88"/>
      <c r="T75" s="88"/>
      <c r="U75" s="88"/>
      <c r="V75" s="88"/>
      <c r="W75" s="89"/>
      <c r="X75" s="70">
        <f>SUM(X68:AA74)</f>
        <v>308</v>
      </c>
      <c r="Y75" s="71"/>
      <c r="Z75" s="71"/>
      <c r="AA75" s="71"/>
      <c r="AB75" s="72" t="s">
        <v>59</v>
      </c>
      <c r="AC75" s="73"/>
      <c r="AD75" s="74">
        <f>SUM(AD68:AI74)</f>
        <v>339150000</v>
      </c>
      <c r="AE75" s="74"/>
      <c r="AF75" s="74"/>
      <c r="AG75" s="74"/>
      <c r="AH75" s="74"/>
      <c r="AI75" s="74"/>
    </row>
    <row r="76" spans="1:36" ht="15" customHeight="1">
      <c r="A76" s="4"/>
      <c r="AC76" s="51"/>
      <c r="AD76" s="51"/>
      <c r="AE76" s="52"/>
      <c r="AF76" s="52"/>
      <c r="AG76" s="52"/>
      <c r="AH76" s="52"/>
      <c r="AI76" s="52"/>
      <c r="AJ76" s="52"/>
    </row>
    <row r="77" spans="1:36" ht="15" customHeight="1">
      <c r="A77" s="4"/>
      <c r="AC77" s="51"/>
      <c r="AD77" s="51"/>
      <c r="AE77" s="52"/>
      <c r="AF77" s="52"/>
      <c r="AG77" s="52"/>
      <c r="AH77" s="52"/>
      <c r="AI77" s="52"/>
      <c r="AJ77" s="52"/>
    </row>
    <row r="78" spans="1:36" ht="15" customHeight="1">
      <c r="A78" s="3" t="s">
        <v>62</v>
      </c>
    </row>
    <row r="80" spans="1:36" ht="15" customHeight="1">
      <c r="B80" s="4" t="s">
        <v>63</v>
      </c>
    </row>
    <row r="81" spans="1:35" ht="15" customHeight="1">
      <c r="B81" s="5" t="s">
        <v>45</v>
      </c>
      <c r="C81" s="6"/>
      <c r="D81" s="5" t="s">
        <v>64</v>
      </c>
      <c r="E81" s="7"/>
      <c r="F81" s="7"/>
      <c r="G81" s="7"/>
      <c r="H81" s="7"/>
      <c r="I81" s="7"/>
      <c r="J81" s="7"/>
      <c r="K81" s="6"/>
      <c r="L81" s="5"/>
      <c r="M81" s="54"/>
      <c r="N81" s="29"/>
      <c r="O81" s="5" t="s">
        <v>65</v>
      </c>
      <c r="P81" s="7"/>
      <c r="Q81" s="7"/>
      <c r="R81" s="7"/>
      <c r="S81" s="7"/>
      <c r="T81" s="6"/>
      <c r="U81" s="108" t="s">
        <v>66</v>
      </c>
      <c r="V81" s="108"/>
      <c r="W81" s="108"/>
      <c r="X81" s="108"/>
      <c r="Y81" s="108"/>
      <c r="Z81" s="108"/>
      <c r="AA81" s="108"/>
      <c r="AB81" s="108"/>
      <c r="AC81" s="108"/>
      <c r="AD81" s="108"/>
      <c r="AE81" s="108"/>
      <c r="AF81" s="108"/>
      <c r="AG81" s="108"/>
      <c r="AH81" s="108"/>
      <c r="AI81" s="108"/>
    </row>
    <row r="82" spans="1:35" ht="15" customHeight="1">
      <c r="B82" s="45">
        <v>1</v>
      </c>
      <c r="C82" s="44"/>
      <c r="D82" s="43" t="s">
        <v>67</v>
      </c>
      <c r="E82" s="9"/>
      <c r="F82" s="9"/>
      <c r="G82" s="9"/>
      <c r="H82" s="9"/>
      <c r="I82" s="9"/>
      <c r="J82" s="9"/>
      <c r="K82" s="9"/>
      <c r="L82" s="9"/>
      <c r="M82" s="9"/>
      <c r="N82" s="10"/>
      <c r="O82" s="103">
        <v>187</v>
      </c>
      <c r="P82" s="104"/>
      <c r="Q82" s="104"/>
      <c r="R82" s="104"/>
      <c r="S82" s="104"/>
      <c r="T82" s="105"/>
      <c r="U82" s="106" t="s">
        <v>68</v>
      </c>
      <c r="V82" s="107"/>
      <c r="W82" s="107"/>
      <c r="X82" s="107"/>
      <c r="Y82" s="107"/>
      <c r="Z82" s="107"/>
      <c r="AA82" s="107"/>
      <c r="AB82" s="107"/>
      <c r="AC82" s="107"/>
      <c r="AD82" s="107"/>
      <c r="AE82" s="107"/>
      <c r="AF82" s="107"/>
      <c r="AG82" s="107"/>
      <c r="AH82" s="107"/>
      <c r="AI82" s="107"/>
    </row>
    <row r="83" spans="1:35" ht="15" customHeight="1">
      <c r="B83" s="45">
        <v>2</v>
      </c>
      <c r="C83" s="44"/>
      <c r="D83" s="43" t="s">
        <v>67</v>
      </c>
      <c r="E83" s="9"/>
      <c r="F83" s="9"/>
      <c r="G83" s="9"/>
      <c r="H83" s="9"/>
      <c r="I83" s="9"/>
      <c r="J83" s="9"/>
      <c r="K83" s="9"/>
      <c r="L83" s="9"/>
      <c r="M83" s="9"/>
      <c r="N83" s="10"/>
      <c r="O83" s="103">
        <v>42</v>
      </c>
      <c r="P83" s="104"/>
      <c r="Q83" s="104"/>
      <c r="R83" s="104"/>
      <c r="S83" s="104"/>
      <c r="T83" s="105"/>
      <c r="U83" s="106" t="s">
        <v>69</v>
      </c>
      <c r="V83" s="107"/>
      <c r="W83" s="107"/>
      <c r="X83" s="107"/>
      <c r="Y83" s="107"/>
      <c r="Z83" s="107"/>
      <c r="AA83" s="107"/>
      <c r="AB83" s="107"/>
      <c r="AC83" s="107"/>
      <c r="AD83" s="107"/>
      <c r="AE83" s="107"/>
      <c r="AF83" s="107"/>
      <c r="AG83" s="107"/>
      <c r="AH83" s="107"/>
      <c r="AI83" s="107"/>
    </row>
    <row r="84" spans="1:35" ht="15" customHeight="1">
      <c r="B84" s="45">
        <v>3</v>
      </c>
      <c r="C84" s="44"/>
      <c r="D84" s="43" t="s">
        <v>70</v>
      </c>
      <c r="E84" s="9"/>
      <c r="F84" s="9"/>
      <c r="G84" s="9"/>
      <c r="H84" s="9"/>
      <c r="I84" s="9"/>
      <c r="J84" s="9"/>
      <c r="K84" s="9"/>
      <c r="L84" s="9"/>
      <c r="M84" s="9"/>
      <c r="N84" s="10"/>
      <c r="O84" s="103">
        <v>3</v>
      </c>
      <c r="P84" s="104"/>
      <c r="Q84" s="104"/>
      <c r="R84" s="104"/>
      <c r="S84" s="104"/>
      <c r="T84" s="105"/>
      <c r="U84" s="109"/>
      <c r="V84" s="109"/>
      <c r="W84" s="109"/>
      <c r="X84" s="109"/>
      <c r="Y84" s="109"/>
      <c r="Z84" s="109"/>
      <c r="AA84" s="109"/>
      <c r="AB84" s="109"/>
      <c r="AC84" s="109"/>
      <c r="AD84" s="109"/>
      <c r="AE84" s="109"/>
      <c r="AF84" s="109"/>
      <c r="AG84" s="109"/>
      <c r="AH84" s="109"/>
      <c r="AI84" s="109"/>
    </row>
    <row r="85" spans="1:35" ht="15" customHeight="1">
      <c r="B85" s="45">
        <v>4</v>
      </c>
      <c r="C85" s="44"/>
      <c r="D85" s="43" t="s">
        <v>71</v>
      </c>
      <c r="E85" s="9"/>
      <c r="F85" s="9"/>
      <c r="G85" s="9"/>
      <c r="H85" s="9"/>
      <c r="I85" s="9"/>
      <c r="J85" s="9"/>
      <c r="K85" s="9"/>
      <c r="L85" s="9"/>
      <c r="M85" s="9"/>
      <c r="N85" s="10"/>
      <c r="O85" s="103">
        <v>48</v>
      </c>
      <c r="P85" s="104"/>
      <c r="Q85" s="104"/>
      <c r="R85" s="104"/>
      <c r="S85" s="104"/>
      <c r="T85" s="105"/>
      <c r="U85" s="110" t="s">
        <v>72</v>
      </c>
      <c r="V85" s="111"/>
      <c r="W85" s="111"/>
      <c r="X85" s="111"/>
      <c r="Y85" s="111"/>
      <c r="Z85" s="111"/>
      <c r="AA85" s="111"/>
      <c r="AB85" s="111"/>
      <c r="AC85" s="111"/>
      <c r="AD85" s="111"/>
      <c r="AE85" s="111"/>
      <c r="AF85" s="111"/>
      <c r="AG85" s="111"/>
      <c r="AH85" s="111"/>
      <c r="AI85" s="112"/>
    </row>
    <row r="86" spans="1:35" ht="15" customHeight="1">
      <c r="B86" s="45">
        <v>5</v>
      </c>
      <c r="C86" s="44"/>
      <c r="D86" s="43" t="s">
        <v>73</v>
      </c>
      <c r="E86" s="9"/>
      <c r="F86" s="9"/>
      <c r="G86" s="9"/>
      <c r="H86" s="9"/>
      <c r="I86" s="9"/>
      <c r="J86" s="9"/>
      <c r="K86" s="9"/>
      <c r="L86" s="9"/>
      <c r="M86" s="9"/>
      <c r="N86" s="10"/>
      <c r="O86" s="103">
        <v>7</v>
      </c>
      <c r="P86" s="104"/>
      <c r="Q86" s="104"/>
      <c r="R86" s="104"/>
      <c r="S86" s="104"/>
      <c r="T86" s="105"/>
      <c r="U86" s="113"/>
      <c r="V86" s="114"/>
      <c r="W86" s="114"/>
      <c r="X86" s="114"/>
      <c r="Y86" s="114"/>
      <c r="Z86" s="114"/>
      <c r="AA86" s="114"/>
      <c r="AB86" s="114"/>
      <c r="AC86" s="114"/>
      <c r="AD86" s="114"/>
      <c r="AE86" s="114"/>
      <c r="AF86" s="114"/>
      <c r="AG86" s="114"/>
      <c r="AH86" s="114"/>
      <c r="AI86" s="115"/>
    </row>
    <row r="87" spans="1:35" ht="15" customHeight="1">
      <c r="B87" s="45">
        <v>6</v>
      </c>
      <c r="C87" s="44"/>
      <c r="D87" s="43" t="s">
        <v>74</v>
      </c>
      <c r="E87" s="9"/>
      <c r="F87" s="9"/>
      <c r="G87" s="9"/>
      <c r="H87" s="9"/>
      <c r="I87" s="9"/>
      <c r="J87" s="9"/>
      <c r="K87" s="9"/>
      <c r="L87" s="9"/>
      <c r="M87" s="9"/>
      <c r="N87" s="10"/>
      <c r="O87" s="103">
        <v>2</v>
      </c>
      <c r="P87" s="104"/>
      <c r="Q87" s="104"/>
      <c r="R87" s="104"/>
      <c r="S87" s="104"/>
      <c r="T87" s="105"/>
      <c r="U87" s="109"/>
      <c r="V87" s="109"/>
      <c r="W87" s="109"/>
      <c r="X87" s="109"/>
      <c r="Y87" s="109"/>
      <c r="Z87" s="109"/>
      <c r="AA87" s="109"/>
      <c r="AB87" s="109"/>
      <c r="AC87" s="109"/>
      <c r="AD87" s="109"/>
      <c r="AE87" s="109"/>
      <c r="AF87" s="109"/>
      <c r="AG87" s="109"/>
      <c r="AH87" s="109"/>
      <c r="AI87" s="109"/>
    </row>
    <row r="88" spans="1:35" ht="15" customHeight="1">
      <c r="B88" s="45">
        <v>7</v>
      </c>
      <c r="C88" s="44"/>
      <c r="D88" s="43" t="s">
        <v>75</v>
      </c>
      <c r="E88" s="9"/>
      <c r="F88" s="9"/>
      <c r="G88" s="9"/>
      <c r="H88" s="9"/>
      <c r="I88" s="9"/>
      <c r="J88" s="9"/>
      <c r="K88" s="9"/>
      <c r="L88" s="9"/>
      <c r="M88" s="9"/>
      <c r="N88" s="10"/>
      <c r="O88" s="103">
        <v>6</v>
      </c>
      <c r="P88" s="104"/>
      <c r="Q88" s="104"/>
      <c r="R88" s="104"/>
      <c r="S88" s="104"/>
      <c r="T88" s="105"/>
      <c r="U88" s="109"/>
      <c r="V88" s="109"/>
      <c r="W88" s="109"/>
      <c r="X88" s="109"/>
      <c r="Y88" s="109"/>
      <c r="Z88" s="109"/>
      <c r="AA88" s="109"/>
      <c r="AB88" s="109"/>
      <c r="AC88" s="109"/>
      <c r="AD88" s="109"/>
      <c r="AE88" s="109"/>
      <c r="AF88" s="109"/>
      <c r="AG88" s="109"/>
      <c r="AH88" s="109"/>
      <c r="AI88" s="109"/>
    </row>
    <row r="89" spans="1:35" ht="15" customHeight="1">
      <c r="B89" s="45">
        <v>8</v>
      </c>
      <c r="C89" s="44"/>
      <c r="D89" s="43" t="s">
        <v>76</v>
      </c>
      <c r="E89" s="9"/>
      <c r="F89" s="9"/>
      <c r="G89" s="9"/>
      <c r="H89" s="9"/>
      <c r="I89" s="9"/>
      <c r="J89" s="9"/>
      <c r="K89" s="9"/>
      <c r="L89" s="9"/>
      <c r="M89" s="9"/>
      <c r="N89" s="10"/>
      <c r="O89" s="103">
        <v>70</v>
      </c>
      <c r="P89" s="104"/>
      <c r="Q89" s="104"/>
      <c r="R89" s="104"/>
      <c r="S89" s="104"/>
      <c r="T89" s="105"/>
      <c r="U89" s="109"/>
      <c r="V89" s="109"/>
      <c r="W89" s="109"/>
      <c r="X89" s="109"/>
      <c r="Y89" s="109"/>
      <c r="Z89" s="109"/>
      <c r="AA89" s="109"/>
      <c r="AB89" s="109"/>
      <c r="AC89" s="109"/>
      <c r="AD89" s="109"/>
      <c r="AE89" s="109"/>
      <c r="AF89" s="109"/>
      <c r="AG89" s="109"/>
      <c r="AH89" s="109"/>
      <c r="AI89" s="109"/>
    </row>
    <row r="90" spans="1:35" ht="15" customHeight="1">
      <c r="B90" s="45">
        <v>9</v>
      </c>
      <c r="C90" s="44"/>
      <c r="D90" s="43" t="s">
        <v>77</v>
      </c>
      <c r="E90" s="9"/>
      <c r="F90" s="9"/>
      <c r="G90" s="9"/>
      <c r="H90" s="9"/>
      <c r="I90" s="9"/>
      <c r="J90" s="9"/>
      <c r="K90" s="9"/>
      <c r="L90" s="9"/>
      <c r="M90" s="9"/>
      <c r="N90" s="10"/>
      <c r="O90" s="103">
        <v>21</v>
      </c>
      <c r="P90" s="104"/>
      <c r="Q90" s="104"/>
      <c r="R90" s="104"/>
      <c r="S90" s="104"/>
      <c r="T90" s="105"/>
      <c r="U90" s="109"/>
      <c r="V90" s="109"/>
      <c r="W90" s="109"/>
      <c r="X90" s="109"/>
      <c r="Y90" s="109"/>
      <c r="Z90" s="109"/>
      <c r="AA90" s="109"/>
      <c r="AB90" s="109"/>
      <c r="AC90" s="109"/>
      <c r="AD90" s="109"/>
      <c r="AE90" s="109"/>
      <c r="AF90" s="109"/>
      <c r="AG90" s="109"/>
      <c r="AH90" s="109"/>
      <c r="AI90" s="109"/>
    </row>
    <row r="91" spans="1:35" ht="15" customHeight="1">
      <c r="B91" s="31"/>
      <c r="C91" s="31"/>
      <c r="S91" s="31"/>
      <c r="T91" s="31"/>
      <c r="U91" s="31"/>
    </row>
    <row r="92" spans="1:35" ht="15" customHeight="1">
      <c r="A92" s="4"/>
      <c r="B92" s="5" t="s">
        <v>45</v>
      </c>
      <c r="C92" s="6"/>
      <c r="D92" s="5" t="s">
        <v>46</v>
      </c>
      <c r="E92" s="7"/>
      <c r="F92" s="7"/>
      <c r="G92" s="7"/>
      <c r="H92" s="7"/>
      <c r="I92" s="7"/>
      <c r="J92" s="6"/>
      <c r="K92" s="7" t="s">
        <v>62</v>
      </c>
      <c r="L92" s="7"/>
      <c r="M92" s="7"/>
      <c r="N92" s="7"/>
      <c r="O92" s="7"/>
      <c r="P92" s="7"/>
      <c r="Q92" s="7"/>
      <c r="R92" s="7"/>
      <c r="S92" s="7"/>
      <c r="T92" s="7"/>
      <c r="U92" s="7"/>
      <c r="V92" s="29"/>
      <c r="W92" s="48" t="s">
        <v>78</v>
      </c>
      <c r="X92" s="47"/>
      <c r="Y92" s="47"/>
      <c r="Z92" s="47"/>
      <c r="AA92" s="47"/>
      <c r="AB92" s="47"/>
      <c r="AC92" s="47"/>
      <c r="AD92" s="47"/>
      <c r="AE92" s="47"/>
      <c r="AF92" s="47"/>
      <c r="AG92" s="47"/>
      <c r="AH92" s="47"/>
      <c r="AI92" s="46"/>
    </row>
    <row r="93" spans="1:35" ht="15" customHeight="1">
      <c r="A93" s="4"/>
      <c r="B93" s="12">
        <v>1</v>
      </c>
      <c r="C93" s="13"/>
      <c r="D93" s="15" t="s">
        <v>79</v>
      </c>
      <c r="E93" s="16"/>
      <c r="F93" s="16"/>
      <c r="G93" s="16"/>
      <c r="H93" s="16"/>
      <c r="I93" s="16"/>
      <c r="J93" s="32"/>
      <c r="K93" s="14" t="s">
        <v>80</v>
      </c>
      <c r="L93" s="14" t="s">
        <v>81</v>
      </c>
      <c r="M93" s="16"/>
      <c r="N93" s="16"/>
      <c r="O93" s="16"/>
      <c r="P93" s="16"/>
      <c r="Q93" s="16"/>
      <c r="R93" s="16"/>
      <c r="S93" s="16"/>
      <c r="T93" s="16"/>
      <c r="U93" s="16"/>
      <c r="V93" s="16"/>
      <c r="W93" s="15" t="s">
        <v>80</v>
      </c>
      <c r="X93" s="68" t="s">
        <v>82</v>
      </c>
      <c r="Y93" s="68"/>
      <c r="Z93" s="68"/>
      <c r="AA93" s="68"/>
      <c r="AB93" s="68"/>
      <c r="AC93" s="68"/>
      <c r="AD93" s="68"/>
      <c r="AE93" s="68"/>
      <c r="AF93" s="68"/>
      <c r="AG93" s="68"/>
      <c r="AH93" s="68"/>
      <c r="AI93" s="69"/>
    </row>
    <row r="94" spans="1:35" ht="15" customHeight="1">
      <c r="A94" s="4"/>
      <c r="B94" s="17"/>
      <c r="C94" s="18"/>
      <c r="D94" s="30"/>
      <c r="J94" s="34"/>
      <c r="K94" s="11" t="s">
        <v>80</v>
      </c>
      <c r="L94" s="11" t="s">
        <v>83</v>
      </c>
      <c r="W94" s="30"/>
      <c r="X94" s="62"/>
      <c r="Y94" s="62"/>
      <c r="Z94" s="62"/>
      <c r="AA94" s="62"/>
      <c r="AB94" s="62"/>
      <c r="AC94" s="62"/>
      <c r="AD94" s="62"/>
      <c r="AE94" s="62"/>
      <c r="AF94" s="62"/>
      <c r="AG94" s="62"/>
      <c r="AH94" s="62"/>
      <c r="AI94" s="63"/>
    </row>
    <row r="95" spans="1:35" ht="15" customHeight="1">
      <c r="A95" s="4"/>
      <c r="B95" s="17"/>
      <c r="C95" s="18"/>
      <c r="D95" s="30"/>
      <c r="J95" s="34"/>
      <c r="K95" s="11" t="s">
        <v>80</v>
      </c>
      <c r="L95" s="11" t="s">
        <v>84</v>
      </c>
      <c r="W95" s="30"/>
      <c r="X95" s="62"/>
      <c r="Y95" s="62"/>
      <c r="Z95" s="62"/>
      <c r="AA95" s="62"/>
      <c r="AB95" s="62"/>
      <c r="AC95" s="62"/>
      <c r="AD95" s="62"/>
      <c r="AE95" s="62"/>
      <c r="AF95" s="62"/>
      <c r="AG95" s="62"/>
      <c r="AH95" s="62"/>
      <c r="AI95" s="63"/>
    </row>
    <row r="96" spans="1:35" ht="15" customHeight="1">
      <c r="A96" s="4"/>
      <c r="B96" s="17"/>
      <c r="C96" s="18"/>
      <c r="D96" s="30"/>
      <c r="J96" s="34"/>
      <c r="K96" s="11" t="s">
        <v>80</v>
      </c>
      <c r="L96" s="11" t="s">
        <v>85</v>
      </c>
      <c r="W96" s="30"/>
      <c r="AI96" s="55"/>
    </row>
    <row r="97" spans="1:35" ht="15" customHeight="1">
      <c r="A97" s="4"/>
      <c r="B97" s="17"/>
      <c r="C97" s="18"/>
      <c r="D97" s="30"/>
      <c r="J97" s="34"/>
      <c r="K97" s="11" t="s">
        <v>80</v>
      </c>
      <c r="L97" s="11" t="s">
        <v>86</v>
      </c>
      <c r="W97" s="30"/>
      <c r="X97" s="90"/>
      <c r="Y97" s="90"/>
      <c r="Z97" s="90"/>
      <c r="AA97" s="90"/>
      <c r="AB97" s="90"/>
      <c r="AC97" s="90"/>
      <c r="AD97" s="90"/>
      <c r="AE97" s="90"/>
      <c r="AF97" s="90"/>
      <c r="AG97" s="90"/>
      <c r="AH97" s="90"/>
      <c r="AI97" s="91"/>
    </row>
    <row r="98" spans="1:35" ht="15" customHeight="1">
      <c r="A98" s="4"/>
      <c r="B98" s="12">
        <v>2</v>
      </c>
      <c r="C98" s="13"/>
      <c r="D98" s="15" t="s">
        <v>52</v>
      </c>
      <c r="E98" s="16"/>
      <c r="F98" s="16"/>
      <c r="G98" s="16"/>
      <c r="H98" s="16"/>
      <c r="I98" s="16"/>
      <c r="J98" s="32"/>
      <c r="K98" s="14" t="s">
        <v>80</v>
      </c>
      <c r="L98" s="14" t="s">
        <v>87</v>
      </c>
      <c r="M98" s="16"/>
      <c r="N98" s="16"/>
      <c r="O98" s="16"/>
      <c r="P98" s="16"/>
      <c r="Q98" s="16"/>
      <c r="R98" s="16"/>
      <c r="S98" s="16"/>
      <c r="T98" s="16"/>
      <c r="U98" s="16"/>
      <c r="V98" s="16"/>
      <c r="W98" s="15" t="s">
        <v>80</v>
      </c>
      <c r="X98" s="92" t="s">
        <v>88</v>
      </c>
      <c r="Y98" s="92"/>
      <c r="Z98" s="92"/>
      <c r="AA98" s="92"/>
      <c r="AB98" s="92"/>
      <c r="AC98" s="92"/>
      <c r="AD98" s="92"/>
      <c r="AE98" s="92"/>
      <c r="AF98" s="92"/>
      <c r="AG98" s="92"/>
      <c r="AH98" s="92"/>
      <c r="AI98" s="93"/>
    </row>
    <row r="99" spans="1:35" ht="15" customHeight="1">
      <c r="A99" s="4"/>
      <c r="B99" s="17"/>
      <c r="C99" s="18"/>
      <c r="D99" s="30"/>
      <c r="J99" s="34"/>
      <c r="K99" s="11" t="s">
        <v>80</v>
      </c>
      <c r="L99" s="11" t="s">
        <v>89</v>
      </c>
      <c r="W99" s="30" t="s">
        <v>80</v>
      </c>
      <c r="X99" s="94" t="s">
        <v>90</v>
      </c>
      <c r="Y99" s="94"/>
      <c r="Z99" s="94"/>
      <c r="AA99" s="94"/>
      <c r="AB99" s="94"/>
      <c r="AC99" s="94"/>
      <c r="AD99" s="94"/>
      <c r="AE99" s="94"/>
      <c r="AF99" s="94"/>
      <c r="AG99" s="94"/>
      <c r="AH99" s="94"/>
      <c r="AI99" s="95"/>
    </row>
    <row r="100" spans="1:35" ht="15" customHeight="1">
      <c r="A100" s="4"/>
      <c r="B100" s="17"/>
      <c r="C100" s="18"/>
      <c r="D100" s="30"/>
      <c r="J100" s="34"/>
      <c r="K100" s="11"/>
      <c r="L100" s="11"/>
      <c r="W100" s="30" t="s">
        <v>80</v>
      </c>
      <c r="X100" s="94" t="s">
        <v>91</v>
      </c>
      <c r="Y100" s="94"/>
      <c r="Z100" s="94"/>
      <c r="AA100" s="94"/>
      <c r="AB100" s="94"/>
      <c r="AC100" s="94"/>
      <c r="AD100" s="94"/>
      <c r="AE100" s="94"/>
      <c r="AF100" s="94"/>
      <c r="AG100" s="94"/>
      <c r="AH100" s="94"/>
      <c r="AI100" s="95"/>
    </row>
    <row r="101" spans="1:35" ht="15" customHeight="1">
      <c r="A101" s="4"/>
      <c r="B101" s="17"/>
      <c r="C101" s="18"/>
      <c r="D101" s="30"/>
      <c r="J101" s="34"/>
      <c r="K101" s="11"/>
      <c r="L101" s="11"/>
      <c r="W101" s="30" t="s">
        <v>80</v>
      </c>
      <c r="X101" s="94" t="s">
        <v>92</v>
      </c>
      <c r="Y101" s="94"/>
      <c r="Z101" s="94"/>
      <c r="AA101" s="94"/>
      <c r="AB101" s="94"/>
      <c r="AC101" s="94"/>
      <c r="AD101" s="94"/>
      <c r="AE101" s="94"/>
      <c r="AF101" s="94"/>
      <c r="AG101" s="94"/>
      <c r="AH101" s="94"/>
      <c r="AI101" s="95"/>
    </row>
    <row r="102" spans="1:35" ht="15" customHeight="1">
      <c r="A102" s="4"/>
      <c r="B102" s="17"/>
      <c r="C102" s="18"/>
      <c r="D102" s="30"/>
      <c r="J102" s="34"/>
      <c r="K102" s="11"/>
      <c r="L102" s="11"/>
      <c r="W102" s="30" t="s">
        <v>80</v>
      </c>
      <c r="X102" s="96" t="s">
        <v>93</v>
      </c>
      <c r="Y102" s="96"/>
      <c r="Z102" s="96"/>
      <c r="AA102" s="96"/>
      <c r="AB102" s="96"/>
      <c r="AC102" s="96"/>
      <c r="AD102" s="96"/>
      <c r="AE102" s="96"/>
      <c r="AF102" s="96"/>
      <c r="AG102" s="96"/>
      <c r="AH102" s="96"/>
      <c r="AI102" s="97"/>
    </row>
    <row r="103" spans="1:35" ht="15" customHeight="1">
      <c r="A103" s="4"/>
      <c r="B103" s="12">
        <v>3</v>
      </c>
      <c r="C103" s="13"/>
      <c r="D103" s="15" t="s">
        <v>53</v>
      </c>
      <c r="E103" s="16"/>
      <c r="F103" s="16"/>
      <c r="G103" s="16"/>
      <c r="H103" s="16"/>
      <c r="I103" s="16"/>
      <c r="J103" s="32"/>
      <c r="K103" s="14" t="s">
        <v>80</v>
      </c>
      <c r="L103" s="14" t="s">
        <v>94</v>
      </c>
      <c r="M103" s="16"/>
      <c r="N103" s="16"/>
      <c r="O103" s="16"/>
      <c r="P103" s="16"/>
      <c r="Q103" s="16"/>
      <c r="R103" s="16"/>
      <c r="S103" s="16"/>
      <c r="T103" s="16"/>
      <c r="U103" s="16"/>
      <c r="V103" s="16"/>
      <c r="W103" s="15" t="s">
        <v>80</v>
      </c>
      <c r="X103" s="68" t="s">
        <v>95</v>
      </c>
      <c r="Y103" s="68"/>
      <c r="Z103" s="68"/>
      <c r="AA103" s="68"/>
      <c r="AB103" s="68"/>
      <c r="AC103" s="68"/>
      <c r="AD103" s="68"/>
      <c r="AE103" s="68"/>
      <c r="AF103" s="68"/>
      <c r="AG103" s="68"/>
      <c r="AH103" s="68"/>
      <c r="AI103" s="69"/>
    </row>
    <row r="104" spans="1:35" ht="15" customHeight="1">
      <c r="A104" s="4"/>
      <c r="B104" s="17"/>
      <c r="C104" s="18"/>
      <c r="D104" s="30"/>
      <c r="J104" s="34"/>
      <c r="K104" s="11" t="s">
        <v>80</v>
      </c>
      <c r="L104" s="11" t="s">
        <v>96</v>
      </c>
      <c r="W104" s="30"/>
      <c r="X104" s="90"/>
      <c r="Y104" s="90"/>
      <c r="Z104" s="90"/>
      <c r="AA104" s="90"/>
      <c r="AB104" s="90"/>
      <c r="AC104" s="90"/>
      <c r="AD104" s="90"/>
      <c r="AE104" s="90"/>
      <c r="AF104" s="90"/>
      <c r="AG104" s="90"/>
      <c r="AH104" s="90"/>
      <c r="AI104" s="91"/>
    </row>
    <row r="105" spans="1:35" ht="15" customHeight="1">
      <c r="A105" s="4"/>
      <c r="B105" s="12">
        <v>4</v>
      </c>
      <c r="C105" s="13"/>
      <c r="D105" s="15" t="s">
        <v>97</v>
      </c>
      <c r="E105" s="16"/>
      <c r="F105" s="16"/>
      <c r="G105" s="16"/>
      <c r="H105" s="16"/>
      <c r="I105" s="16"/>
      <c r="J105" s="32"/>
      <c r="K105" s="14" t="s">
        <v>80</v>
      </c>
      <c r="L105" s="14" t="s">
        <v>98</v>
      </c>
      <c r="M105" s="16"/>
      <c r="N105" s="16"/>
      <c r="O105" s="16"/>
      <c r="P105" s="16"/>
      <c r="Q105" s="16"/>
      <c r="R105" s="16"/>
      <c r="S105" s="16"/>
      <c r="T105" s="16"/>
      <c r="U105" s="16"/>
      <c r="V105" s="16"/>
      <c r="W105" s="15" t="s">
        <v>80</v>
      </c>
      <c r="X105" s="68" t="s">
        <v>99</v>
      </c>
      <c r="Y105" s="68"/>
      <c r="Z105" s="68"/>
      <c r="AA105" s="68"/>
      <c r="AB105" s="68"/>
      <c r="AC105" s="68"/>
      <c r="AD105" s="68"/>
      <c r="AE105" s="68"/>
      <c r="AF105" s="68"/>
      <c r="AG105" s="68"/>
      <c r="AH105" s="68"/>
      <c r="AI105" s="69"/>
    </row>
    <row r="106" spans="1:35" ht="15" customHeight="1">
      <c r="A106" s="4"/>
      <c r="B106" s="17"/>
      <c r="C106" s="18"/>
      <c r="D106" s="30"/>
      <c r="J106" s="34"/>
      <c r="K106" s="11"/>
      <c r="L106" s="11"/>
      <c r="W106" s="22"/>
      <c r="X106" s="90"/>
      <c r="Y106" s="90"/>
      <c r="Z106" s="90"/>
      <c r="AA106" s="90"/>
      <c r="AB106" s="90"/>
      <c r="AC106" s="90"/>
      <c r="AD106" s="90"/>
      <c r="AE106" s="90"/>
      <c r="AF106" s="90"/>
      <c r="AG106" s="90"/>
      <c r="AH106" s="90"/>
      <c r="AI106" s="91"/>
    </row>
    <row r="107" spans="1:35" ht="15" customHeight="1">
      <c r="A107" s="4"/>
      <c r="B107" s="12">
        <v>5</v>
      </c>
      <c r="C107" s="13"/>
      <c r="D107" s="15" t="s">
        <v>100</v>
      </c>
      <c r="E107" s="16"/>
      <c r="F107" s="16"/>
      <c r="G107" s="16"/>
      <c r="H107" s="16"/>
      <c r="I107" s="16"/>
      <c r="J107" s="32"/>
      <c r="K107" s="14" t="s">
        <v>80</v>
      </c>
      <c r="L107" s="14" t="s">
        <v>101</v>
      </c>
      <c r="M107" s="16"/>
      <c r="N107" s="16"/>
      <c r="O107" s="16"/>
      <c r="P107" s="16"/>
      <c r="Q107" s="16"/>
      <c r="R107" s="16"/>
      <c r="S107" s="16"/>
      <c r="T107" s="16"/>
      <c r="U107" s="16"/>
      <c r="V107" s="16"/>
      <c r="W107" s="15" t="s">
        <v>80</v>
      </c>
      <c r="X107" s="68" t="s">
        <v>102</v>
      </c>
      <c r="Y107" s="68"/>
      <c r="Z107" s="68"/>
      <c r="AA107" s="68"/>
      <c r="AB107" s="68"/>
      <c r="AC107" s="68"/>
      <c r="AD107" s="68"/>
      <c r="AE107" s="68"/>
      <c r="AF107" s="68"/>
      <c r="AG107" s="68"/>
      <c r="AH107" s="68"/>
      <c r="AI107" s="69"/>
    </row>
    <row r="108" spans="1:35" ht="15" customHeight="1">
      <c r="A108" s="4"/>
      <c r="B108" s="17"/>
      <c r="C108" s="18"/>
      <c r="D108" s="30" t="s">
        <v>103</v>
      </c>
      <c r="J108" s="34"/>
      <c r="K108" s="11" t="s">
        <v>80</v>
      </c>
      <c r="L108" s="11" t="s">
        <v>104</v>
      </c>
      <c r="W108" s="22"/>
      <c r="X108" s="90"/>
      <c r="Y108" s="90"/>
      <c r="Z108" s="90"/>
      <c r="AA108" s="90"/>
      <c r="AB108" s="90"/>
      <c r="AC108" s="90"/>
      <c r="AD108" s="90"/>
      <c r="AE108" s="90"/>
      <c r="AF108" s="90"/>
      <c r="AG108" s="90"/>
      <c r="AH108" s="90"/>
      <c r="AI108" s="91"/>
    </row>
    <row r="109" spans="1:35" ht="15" customHeight="1">
      <c r="A109" s="4"/>
      <c r="B109" s="12">
        <v>6</v>
      </c>
      <c r="C109" s="13"/>
      <c r="D109" s="15" t="s">
        <v>105</v>
      </c>
      <c r="E109" s="16"/>
      <c r="F109" s="16"/>
      <c r="G109" s="16"/>
      <c r="H109" s="16"/>
      <c r="I109" s="16"/>
      <c r="J109" s="32"/>
      <c r="K109" s="53" t="s">
        <v>80</v>
      </c>
      <c r="L109" s="14" t="s">
        <v>106</v>
      </c>
      <c r="M109" s="16"/>
      <c r="N109" s="16"/>
      <c r="O109" s="16"/>
      <c r="P109" s="16"/>
      <c r="Q109" s="16"/>
      <c r="R109" s="16"/>
      <c r="S109" s="16"/>
      <c r="T109" s="16"/>
      <c r="U109" s="16"/>
      <c r="V109" s="16"/>
      <c r="W109" s="15" t="s">
        <v>80</v>
      </c>
      <c r="X109" s="68" t="s">
        <v>107</v>
      </c>
      <c r="Y109" s="68"/>
      <c r="Z109" s="68"/>
      <c r="AA109" s="68"/>
      <c r="AB109" s="68"/>
      <c r="AC109" s="68"/>
      <c r="AD109" s="68"/>
      <c r="AE109" s="68"/>
      <c r="AF109" s="68"/>
      <c r="AG109" s="68"/>
      <c r="AH109" s="68"/>
      <c r="AI109" s="69"/>
    </row>
    <row r="110" spans="1:35" ht="15" customHeight="1">
      <c r="A110" s="4"/>
      <c r="B110" s="17"/>
      <c r="C110" s="18"/>
      <c r="D110" s="30"/>
      <c r="J110" s="34"/>
      <c r="K110" s="11" t="s">
        <v>80</v>
      </c>
      <c r="L110" s="11" t="s">
        <v>108</v>
      </c>
      <c r="W110" s="30" t="s">
        <v>80</v>
      </c>
      <c r="X110" s="62" t="s">
        <v>109</v>
      </c>
      <c r="Y110" s="62"/>
      <c r="Z110" s="62"/>
      <c r="AA110" s="62"/>
      <c r="AB110" s="62"/>
      <c r="AC110" s="62"/>
      <c r="AD110" s="62"/>
      <c r="AE110" s="62"/>
      <c r="AF110" s="62"/>
      <c r="AG110" s="62"/>
      <c r="AH110" s="62"/>
      <c r="AI110" s="63"/>
    </row>
    <row r="111" spans="1:35" ht="15" customHeight="1">
      <c r="A111" s="4"/>
      <c r="B111" s="17"/>
      <c r="C111" s="18"/>
      <c r="D111" s="30"/>
      <c r="J111" s="34"/>
      <c r="K111" s="11" t="s">
        <v>80</v>
      </c>
      <c r="L111" s="11" t="s">
        <v>110</v>
      </c>
      <c r="W111" s="22"/>
      <c r="X111" s="62"/>
      <c r="Y111" s="62"/>
      <c r="Z111" s="62"/>
      <c r="AA111" s="62"/>
      <c r="AB111" s="62"/>
      <c r="AC111" s="62"/>
      <c r="AD111" s="62"/>
      <c r="AE111" s="62"/>
      <c r="AF111" s="62"/>
      <c r="AG111" s="62"/>
      <c r="AH111" s="62"/>
      <c r="AI111" s="63"/>
    </row>
    <row r="112" spans="1:35" ht="15" customHeight="1">
      <c r="A112" s="4"/>
      <c r="B112" s="12">
        <v>7</v>
      </c>
      <c r="C112" s="13"/>
      <c r="D112" s="15" t="s">
        <v>57</v>
      </c>
      <c r="E112" s="16"/>
      <c r="F112" s="16"/>
      <c r="G112" s="16"/>
      <c r="H112" s="16"/>
      <c r="I112" s="16"/>
      <c r="J112" s="32"/>
      <c r="K112" s="14" t="s">
        <v>80</v>
      </c>
      <c r="L112" s="14" t="s">
        <v>111</v>
      </c>
      <c r="M112" s="16"/>
      <c r="N112" s="16"/>
      <c r="O112" s="16"/>
      <c r="P112" s="16"/>
      <c r="Q112" s="16"/>
      <c r="R112" s="16"/>
      <c r="S112" s="16"/>
      <c r="T112" s="16"/>
      <c r="U112" s="16"/>
      <c r="V112" s="16"/>
      <c r="W112" s="30" t="s">
        <v>80</v>
      </c>
      <c r="X112" s="68" t="s">
        <v>112</v>
      </c>
      <c r="Y112" s="68"/>
      <c r="Z112" s="68"/>
      <c r="AA112" s="68"/>
      <c r="AB112" s="68"/>
      <c r="AC112" s="68"/>
      <c r="AD112" s="68"/>
      <c r="AE112" s="68"/>
      <c r="AF112" s="68"/>
      <c r="AG112" s="68"/>
      <c r="AH112" s="68"/>
      <c r="AI112" s="69"/>
    </row>
    <row r="113" spans="1:35" ht="15" customHeight="1">
      <c r="A113" s="4"/>
      <c r="B113" s="17"/>
      <c r="C113" s="18"/>
      <c r="D113" s="30"/>
      <c r="J113" s="34"/>
      <c r="K113" s="11" t="s">
        <v>80</v>
      </c>
      <c r="L113" s="11" t="s">
        <v>113</v>
      </c>
      <c r="W113" s="30" t="s">
        <v>80</v>
      </c>
      <c r="X113" s="62" t="s">
        <v>109</v>
      </c>
      <c r="Y113" s="62"/>
      <c r="Z113" s="62"/>
      <c r="AA113" s="62"/>
      <c r="AB113" s="62"/>
      <c r="AC113" s="62"/>
      <c r="AD113" s="62"/>
      <c r="AE113" s="62"/>
      <c r="AF113" s="62"/>
      <c r="AG113" s="62"/>
      <c r="AH113" s="62"/>
      <c r="AI113" s="63"/>
    </row>
    <row r="114" spans="1:35" ht="15" customHeight="1">
      <c r="A114" s="4"/>
      <c r="B114" s="19"/>
      <c r="C114" s="20"/>
      <c r="D114" s="22"/>
      <c r="E114" s="23"/>
      <c r="F114" s="23"/>
      <c r="G114" s="23"/>
      <c r="H114" s="23"/>
      <c r="I114" s="23"/>
      <c r="J114" s="33"/>
      <c r="K114" s="21" t="s">
        <v>80</v>
      </c>
      <c r="L114" s="23" t="s">
        <v>114</v>
      </c>
      <c r="M114" s="23"/>
      <c r="N114" s="23"/>
      <c r="O114" s="23"/>
      <c r="P114" s="23"/>
      <c r="Q114" s="23"/>
      <c r="R114" s="23"/>
      <c r="S114" s="23"/>
      <c r="T114" s="23"/>
      <c r="U114" s="23"/>
      <c r="V114" s="23"/>
      <c r="W114" s="22"/>
      <c r="X114" s="90"/>
      <c r="Y114" s="90"/>
      <c r="Z114" s="90"/>
      <c r="AA114" s="90"/>
      <c r="AB114" s="90"/>
      <c r="AC114" s="90"/>
      <c r="AD114" s="90"/>
      <c r="AE114" s="90"/>
      <c r="AF114" s="90"/>
      <c r="AG114" s="90"/>
      <c r="AH114" s="90"/>
      <c r="AI114" s="91"/>
    </row>
    <row r="115" spans="1:35" ht="15" customHeight="1">
      <c r="A115" s="4"/>
      <c r="B115" s="11" t="s">
        <v>115</v>
      </c>
      <c r="C115" s="31"/>
      <c r="J115" s="11"/>
      <c r="K115" s="11"/>
    </row>
    <row r="116" spans="1:35" ht="15" customHeight="1">
      <c r="A116" s="4"/>
      <c r="B116" s="31"/>
      <c r="C116" s="31"/>
      <c r="D116" s="4" t="s">
        <v>116</v>
      </c>
      <c r="J116" s="11"/>
      <c r="K116" s="11"/>
    </row>
    <row r="117" spans="1:35" ht="15" customHeight="1">
      <c r="A117" s="4"/>
      <c r="B117" s="31"/>
      <c r="C117" s="31"/>
      <c r="J117" s="4" t="s">
        <v>117</v>
      </c>
      <c r="K117" s="11"/>
    </row>
    <row r="118" spans="1:35" ht="15" customHeight="1">
      <c r="A118" s="4"/>
      <c r="B118" s="4" t="s">
        <v>118</v>
      </c>
      <c r="AB118" s="35"/>
    </row>
    <row r="119" spans="1:35" ht="15" customHeight="1">
      <c r="A119" s="4"/>
      <c r="D119" s="4" t="s">
        <v>119</v>
      </c>
      <c r="AB119" s="35"/>
    </row>
    <row r="120" spans="1:35" ht="15" customHeight="1">
      <c r="A120" s="4"/>
      <c r="H120" s="4" t="s">
        <v>120</v>
      </c>
      <c r="AB120" s="35"/>
    </row>
    <row r="121" spans="1:35" ht="15" customHeight="1">
      <c r="A121" s="4"/>
      <c r="D121" s="4" t="s">
        <v>121</v>
      </c>
      <c r="AB121" s="35"/>
    </row>
    <row r="122" spans="1:35" ht="15" customHeight="1">
      <c r="A122" s="4"/>
      <c r="D122" s="4" t="s">
        <v>122</v>
      </c>
      <c r="AB122" s="35"/>
    </row>
    <row r="123" spans="1:35" ht="15" customHeight="1">
      <c r="A123" s="4"/>
      <c r="AB123" s="35"/>
    </row>
    <row r="124" spans="1:35" ht="15" customHeight="1">
      <c r="A124" s="3" t="s">
        <v>123</v>
      </c>
    </row>
    <row r="126" spans="1:35" ht="15" customHeight="1">
      <c r="B126" s="4" t="s">
        <v>80</v>
      </c>
      <c r="C126" s="4" t="s">
        <v>124</v>
      </c>
    </row>
    <row r="127" spans="1:35" ht="15" customHeight="1">
      <c r="B127" s="4" t="s">
        <v>80</v>
      </c>
      <c r="C127" s="4" t="s">
        <v>125</v>
      </c>
    </row>
    <row r="128" spans="1:35" ht="15" customHeight="1">
      <c r="B128" s="4" t="s">
        <v>80</v>
      </c>
      <c r="C128" s="4" t="s">
        <v>95</v>
      </c>
    </row>
    <row r="129" spans="1:33" ht="15" customHeight="1">
      <c r="B129" s="4" t="s">
        <v>80</v>
      </c>
      <c r="C129" s="4" t="s">
        <v>126</v>
      </c>
    </row>
    <row r="130" spans="1:33" ht="15" customHeight="1">
      <c r="B130" s="4" t="s">
        <v>80</v>
      </c>
      <c r="C130" s="4" t="s">
        <v>127</v>
      </c>
    </row>
    <row r="132" spans="1:33" ht="15" customHeight="1">
      <c r="A132" s="3" t="s">
        <v>128</v>
      </c>
    </row>
    <row r="134" spans="1:33" ht="15" customHeight="1">
      <c r="B134" s="4" t="s">
        <v>129</v>
      </c>
    </row>
    <row r="135" spans="1:33" ht="15" customHeight="1">
      <c r="B135" s="4" t="s">
        <v>80</v>
      </c>
      <c r="C135" s="4" t="s">
        <v>130</v>
      </c>
    </row>
    <row r="136" spans="1:33" ht="15" customHeight="1">
      <c r="B136" s="4" t="s">
        <v>80</v>
      </c>
      <c r="C136" s="4" t="s">
        <v>131</v>
      </c>
    </row>
    <row r="138" spans="1:33" ht="15" customHeight="1">
      <c r="A138" s="3" t="s">
        <v>132</v>
      </c>
    </row>
    <row r="140" spans="1:33" ht="15" customHeight="1">
      <c r="A140" s="4"/>
      <c r="B140" s="4" t="s">
        <v>133</v>
      </c>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row>
    <row r="141" spans="1:33" ht="15" customHeight="1" thickBot="1">
      <c r="A141" s="4"/>
      <c r="B141" s="4" t="s">
        <v>134</v>
      </c>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row>
    <row r="142" spans="1:33" ht="15" customHeight="1" thickTop="1">
      <c r="C142" s="56" t="s">
        <v>135</v>
      </c>
      <c r="D142" s="57"/>
      <c r="E142" s="57"/>
      <c r="F142" s="57"/>
      <c r="G142" s="57"/>
      <c r="H142" s="58"/>
      <c r="I142" s="36"/>
      <c r="J142" s="36"/>
      <c r="K142" s="36"/>
      <c r="L142" s="36"/>
      <c r="M142" s="56" t="s">
        <v>136</v>
      </c>
      <c r="N142" s="57"/>
      <c r="O142" s="57"/>
      <c r="P142" s="57"/>
      <c r="Q142" s="57"/>
      <c r="R142" s="58"/>
      <c r="S142" s="37"/>
      <c r="T142" s="36"/>
      <c r="U142" s="36"/>
      <c r="V142" s="38"/>
      <c r="W142" s="56" t="s">
        <v>137</v>
      </c>
      <c r="X142" s="57"/>
      <c r="Y142" s="57"/>
      <c r="Z142" s="57"/>
      <c r="AA142" s="57"/>
      <c r="AB142" s="58"/>
      <c r="AC142" s="24"/>
      <c r="AD142" s="24"/>
      <c r="AE142" s="24"/>
      <c r="AF142" s="24"/>
      <c r="AG142" s="24"/>
    </row>
    <row r="143" spans="1:33" ht="15" customHeight="1" thickBot="1">
      <c r="A143" s="4"/>
      <c r="C143" s="59"/>
      <c r="D143" s="60"/>
      <c r="E143" s="60"/>
      <c r="F143" s="60"/>
      <c r="G143" s="60"/>
      <c r="H143" s="61"/>
      <c r="I143" s="1"/>
      <c r="J143" s="1"/>
      <c r="K143" s="39"/>
      <c r="L143" s="39"/>
      <c r="M143" s="59"/>
      <c r="N143" s="60"/>
      <c r="O143" s="60"/>
      <c r="P143" s="60"/>
      <c r="Q143" s="60"/>
      <c r="R143" s="61"/>
      <c r="S143" s="1"/>
      <c r="T143" s="1"/>
      <c r="U143" s="40"/>
      <c r="V143" s="1"/>
      <c r="W143" s="59"/>
      <c r="X143" s="60"/>
      <c r="Y143" s="60"/>
      <c r="Z143" s="60"/>
      <c r="AA143" s="60"/>
      <c r="AB143" s="61"/>
      <c r="AC143" s="24"/>
      <c r="AD143" s="24"/>
      <c r="AE143" s="24"/>
      <c r="AF143" s="24"/>
      <c r="AG143" s="24"/>
    </row>
    <row r="144" spans="1:33" ht="15" customHeight="1" thickTop="1" thickBot="1">
      <c r="A144" s="4"/>
      <c r="I144" s="24"/>
      <c r="J144" s="24"/>
      <c r="K144" s="24"/>
      <c r="L144" s="24"/>
      <c r="M144" s="24"/>
      <c r="N144" s="24"/>
      <c r="O144" s="24"/>
      <c r="P144" s="24"/>
      <c r="Q144" s="24"/>
      <c r="R144" s="24"/>
      <c r="S144" s="24"/>
      <c r="T144" s="24"/>
      <c r="U144" s="41"/>
      <c r="V144" s="1"/>
      <c r="W144" s="1"/>
      <c r="X144" s="1"/>
      <c r="Y144" s="1"/>
      <c r="Z144" s="1"/>
      <c r="AA144" s="1"/>
      <c r="AB144" s="1"/>
      <c r="AC144" s="24"/>
      <c r="AD144" s="24"/>
      <c r="AE144" s="24"/>
      <c r="AF144" s="24"/>
      <c r="AG144" s="24"/>
    </row>
    <row r="145" spans="1:33" ht="15" customHeight="1" thickTop="1">
      <c r="A145" s="4"/>
      <c r="I145" s="24"/>
      <c r="J145" s="24"/>
      <c r="K145" s="24"/>
      <c r="L145" s="24"/>
      <c r="M145" s="24"/>
      <c r="N145" s="24"/>
      <c r="O145" s="24"/>
      <c r="P145" s="24"/>
      <c r="Q145" s="24"/>
      <c r="R145" s="24"/>
      <c r="S145" s="24"/>
      <c r="T145" s="24"/>
      <c r="U145" s="42"/>
      <c r="V145" s="38"/>
      <c r="W145" s="56" t="s">
        <v>138</v>
      </c>
      <c r="X145" s="57"/>
      <c r="Y145" s="57"/>
      <c r="Z145" s="57"/>
      <c r="AA145" s="57"/>
      <c r="AB145" s="58"/>
      <c r="AC145" s="24"/>
      <c r="AD145" s="24"/>
      <c r="AE145" s="24"/>
      <c r="AF145" s="24"/>
      <c r="AG145" s="24"/>
    </row>
    <row r="146" spans="1:33" ht="15" customHeight="1" thickBot="1">
      <c r="U146" s="40"/>
      <c r="V146" s="39"/>
      <c r="W146" s="59"/>
      <c r="X146" s="60"/>
      <c r="Y146" s="60"/>
      <c r="Z146" s="60"/>
      <c r="AA146" s="60"/>
      <c r="AB146" s="61"/>
    </row>
    <row r="147" spans="1:33" ht="15" customHeight="1" thickTop="1" thickBot="1">
      <c r="U147" s="30"/>
    </row>
    <row r="148" spans="1:33" ht="15" customHeight="1" thickTop="1">
      <c r="U148" s="22"/>
      <c r="V148" s="23"/>
      <c r="W148" s="56" t="s">
        <v>139</v>
      </c>
      <c r="X148" s="57"/>
      <c r="Y148" s="57"/>
      <c r="Z148" s="57"/>
      <c r="AA148" s="57"/>
      <c r="AB148" s="58"/>
    </row>
    <row r="149" spans="1:33" ht="15" customHeight="1" thickBot="1">
      <c r="U149" s="40"/>
      <c r="W149" s="59"/>
      <c r="X149" s="60"/>
      <c r="Y149" s="60"/>
      <c r="Z149" s="60"/>
      <c r="AA149" s="60"/>
      <c r="AB149" s="61"/>
    </row>
    <row r="150" spans="1:33" ht="15" customHeight="1" thickTop="1" thickBot="1">
      <c r="U150" s="30"/>
    </row>
    <row r="151" spans="1:33" ht="15" customHeight="1" thickTop="1">
      <c r="U151" s="22"/>
      <c r="V151" s="23"/>
      <c r="W151" s="56" t="s">
        <v>139</v>
      </c>
      <c r="X151" s="57"/>
      <c r="Y151" s="57"/>
      <c r="Z151" s="57"/>
      <c r="AA151" s="57"/>
      <c r="AB151" s="58"/>
    </row>
    <row r="152" spans="1:33" ht="15" customHeight="1" thickBot="1">
      <c r="W152" s="59"/>
      <c r="X152" s="60"/>
      <c r="Y152" s="60"/>
      <c r="Z152" s="60"/>
      <c r="AA152" s="60"/>
      <c r="AB152" s="61"/>
    </row>
    <row r="153" spans="1:33" ht="15" customHeight="1" thickTop="1"/>
    <row r="154" spans="1:33" ht="15" customHeight="1">
      <c r="A154" s="3" t="s">
        <v>140</v>
      </c>
    </row>
    <row r="156" spans="1:33" ht="15" customHeight="1">
      <c r="B156" s="4" t="s">
        <v>80</v>
      </c>
      <c r="C156" s="25" t="s">
        <v>141</v>
      </c>
    </row>
    <row r="157" spans="1:33" ht="15" customHeight="1">
      <c r="B157" s="4" t="s">
        <v>80</v>
      </c>
      <c r="C157" s="25" t="s">
        <v>142</v>
      </c>
    </row>
    <row r="158" spans="1:33" ht="15" customHeight="1">
      <c r="B158" s="4" t="s">
        <v>80</v>
      </c>
      <c r="C158" s="25" t="s">
        <v>143</v>
      </c>
    </row>
    <row r="159" spans="1:33" ht="15" customHeight="1">
      <c r="B159" s="4" t="s">
        <v>80</v>
      </c>
      <c r="C159" s="4" t="s">
        <v>144</v>
      </c>
    </row>
    <row r="160" spans="1:33" ht="15" customHeight="1">
      <c r="B160" s="4" t="s">
        <v>80</v>
      </c>
      <c r="C160" s="25" t="s">
        <v>145</v>
      </c>
    </row>
    <row r="161" spans="2:3" ht="15" customHeight="1">
      <c r="B161" s="4" t="s">
        <v>80</v>
      </c>
      <c r="C161" s="4" t="s">
        <v>146</v>
      </c>
    </row>
    <row r="162" spans="2:3" ht="15" customHeight="1">
      <c r="B162" s="4" t="s">
        <v>80</v>
      </c>
      <c r="C162" s="4" t="s">
        <v>147</v>
      </c>
    </row>
    <row r="163" spans="2:3" ht="15" customHeight="1">
      <c r="B163" s="4" t="s">
        <v>80</v>
      </c>
      <c r="C163" s="4" t="s">
        <v>148</v>
      </c>
    </row>
    <row r="164" spans="2:3" ht="15" customHeight="1">
      <c r="B164" s="4" t="s">
        <v>80</v>
      </c>
      <c r="C164" s="4" t="s">
        <v>149</v>
      </c>
    </row>
    <row r="165" spans="2:3" ht="15" customHeight="1">
      <c r="B165" s="4" t="s">
        <v>80</v>
      </c>
      <c r="C165" s="4" t="s">
        <v>150</v>
      </c>
    </row>
    <row r="166" spans="2:3" ht="15" customHeight="1">
      <c r="B166" s="4" t="s">
        <v>80</v>
      </c>
      <c r="C166" s="4" t="s">
        <v>151</v>
      </c>
    </row>
    <row r="167" spans="2:3" ht="15" customHeight="1">
      <c r="C167" s="4" t="s">
        <v>152</v>
      </c>
    </row>
  </sheetData>
  <mergeCells count="130">
    <mergeCell ref="U87:AI87"/>
    <mergeCell ref="U88:AI88"/>
    <mergeCell ref="U89:AI89"/>
    <mergeCell ref="U90:AI90"/>
    <mergeCell ref="O82:T82"/>
    <mergeCell ref="O84:T84"/>
    <mergeCell ref="O85:T85"/>
    <mergeCell ref="O87:T87"/>
    <mergeCell ref="O88:T88"/>
    <mergeCell ref="O89:T89"/>
    <mergeCell ref="O90:T90"/>
    <mergeCell ref="O86:T86"/>
    <mergeCell ref="U85:AI86"/>
    <mergeCell ref="X94:AI94"/>
    <mergeCell ref="O83:T83"/>
    <mergeCell ref="U83:AI83"/>
    <mergeCell ref="AB58:AC58"/>
    <mergeCell ref="AD58:AI58"/>
    <mergeCell ref="B57:C57"/>
    <mergeCell ref="S57:W57"/>
    <mergeCell ref="X57:AA57"/>
    <mergeCell ref="AB57:AC57"/>
    <mergeCell ref="AD57:AI57"/>
    <mergeCell ref="X61:AA61"/>
    <mergeCell ref="AB61:AC61"/>
    <mergeCell ref="AD61:AI61"/>
    <mergeCell ref="B61:W61"/>
    <mergeCell ref="B60:C60"/>
    <mergeCell ref="S60:W60"/>
    <mergeCell ref="X60:AA60"/>
    <mergeCell ref="U81:AI81"/>
    <mergeCell ref="U82:AI82"/>
    <mergeCell ref="U84:AI84"/>
    <mergeCell ref="S70:W70"/>
    <mergeCell ref="X70:AA70"/>
    <mergeCell ref="AB70:AC70"/>
    <mergeCell ref="AD70:AI70"/>
    <mergeCell ref="X107:AI107"/>
    <mergeCell ref="AF2:AJ2"/>
    <mergeCell ref="A1:Q2"/>
    <mergeCell ref="A5:Q6"/>
    <mergeCell ref="A11:E12"/>
    <mergeCell ref="F11:Q12"/>
    <mergeCell ref="X56:AA56"/>
    <mergeCell ref="AB56:AC56"/>
    <mergeCell ref="AD56:AI56"/>
    <mergeCell ref="S54:W54"/>
    <mergeCell ref="X54:AA54"/>
    <mergeCell ref="AB54:AC54"/>
    <mergeCell ref="AD54:AI54"/>
    <mergeCell ref="B55:C55"/>
    <mergeCell ref="S55:W55"/>
    <mergeCell ref="X55:AA55"/>
    <mergeCell ref="AB55:AC55"/>
    <mergeCell ref="AD55:AI55"/>
    <mergeCell ref="B58:C58"/>
    <mergeCell ref="S58:W58"/>
    <mergeCell ref="X58:AA58"/>
    <mergeCell ref="AB60:AC60"/>
    <mergeCell ref="AD60:AI60"/>
    <mergeCell ref="B70:C70"/>
    <mergeCell ref="W148:AB149"/>
    <mergeCell ref="W145:AB146"/>
    <mergeCell ref="C142:H143"/>
    <mergeCell ref="M142:R143"/>
    <mergeCell ref="W142:AB143"/>
    <mergeCell ref="B54:C54"/>
    <mergeCell ref="X108:AI108"/>
    <mergeCell ref="X112:AI112"/>
    <mergeCell ref="X113:AI113"/>
    <mergeCell ref="X114:AI114"/>
    <mergeCell ref="X93:AI93"/>
    <mergeCell ref="X95:AI95"/>
    <mergeCell ref="X97:AI97"/>
    <mergeCell ref="X98:AI98"/>
    <mergeCell ref="X99:AI99"/>
    <mergeCell ref="X100:AI100"/>
    <mergeCell ref="X101:AI101"/>
    <mergeCell ref="X102:AI102"/>
    <mergeCell ref="X103:AI103"/>
    <mergeCell ref="X104:AI104"/>
    <mergeCell ref="X105:AI105"/>
    <mergeCell ref="X106:AI106"/>
    <mergeCell ref="B56:C56"/>
    <mergeCell ref="S56:W56"/>
    <mergeCell ref="S68:W68"/>
    <mergeCell ref="X68:AA68"/>
    <mergeCell ref="AB68:AC68"/>
    <mergeCell ref="AD68:AI68"/>
    <mergeCell ref="B69:C69"/>
    <mergeCell ref="S69:W69"/>
    <mergeCell ref="X69:AA69"/>
    <mergeCell ref="AB69:AC69"/>
    <mergeCell ref="AD69:AI69"/>
    <mergeCell ref="B68:C68"/>
    <mergeCell ref="AD74:AI74"/>
    <mergeCell ref="B72:C72"/>
    <mergeCell ref="S72:W72"/>
    <mergeCell ref="X72:AA72"/>
    <mergeCell ref="AB72:AC72"/>
    <mergeCell ref="AD72:AI72"/>
    <mergeCell ref="B71:C71"/>
    <mergeCell ref="S71:W71"/>
    <mergeCell ref="X71:AA71"/>
    <mergeCell ref="AB71:AC71"/>
    <mergeCell ref="AD71:AI71"/>
    <mergeCell ref="W151:AB152"/>
    <mergeCell ref="X110:AI110"/>
    <mergeCell ref="A14:E15"/>
    <mergeCell ref="F14:Q15"/>
    <mergeCell ref="X109:AI109"/>
    <mergeCell ref="X111:AI111"/>
    <mergeCell ref="X75:AA75"/>
    <mergeCell ref="AB75:AC75"/>
    <mergeCell ref="AD75:AI75"/>
    <mergeCell ref="B59:C59"/>
    <mergeCell ref="S59:W59"/>
    <mergeCell ref="X59:AA59"/>
    <mergeCell ref="AB59:AC59"/>
    <mergeCell ref="AD59:AI59"/>
    <mergeCell ref="B73:C73"/>
    <mergeCell ref="S73:W73"/>
    <mergeCell ref="X73:AA73"/>
    <mergeCell ref="AB73:AC73"/>
    <mergeCell ref="AD73:AI73"/>
    <mergeCell ref="B75:W75"/>
    <mergeCell ref="B74:C74"/>
    <mergeCell ref="S74:W74"/>
    <mergeCell ref="X74:AA74"/>
    <mergeCell ref="AB74:AC74"/>
  </mergeCells>
  <phoneticPr fontId="3"/>
  <printOptions horizontalCentered="1"/>
  <pageMargins left="0.39370078740157483" right="0.39370078740157483" top="0.78740157480314965" bottom="0.39370078740157483" header="0.31496062992125984" footer="0.31496062992125984"/>
  <pageSetup paperSize="9" fitToHeight="0" orientation="portrait" r:id="rId1"/>
  <headerFooter>
    <oddFooter>&amp;C&amp;10&amp;P / &amp;N</oddFooter>
  </headerFooter>
  <rowBreaks count="3" manualBreakCount="3">
    <brk id="45" max="35" man="1"/>
    <brk id="76" max="35" man="1"/>
    <brk id="122" max="35"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b7644d4de02ded20394603be2720d07a">
  <xsd:schema xmlns:xsd="http://www.w3.org/2001/XMLSchema" xmlns:xs="http://www.w3.org/2001/XMLSchema" xmlns:p="http://schemas.microsoft.com/office/2006/metadata/properties" xmlns:ns2="2fd442da-66a9-4fa6-ba31-eb0d54ad1381" targetNamespace="http://schemas.microsoft.com/office/2006/metadata/properties" ma:root="true" ma:fieldsID="2cb02ba061cb2e2c8687b06261905403"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F777E09-DE8B-4665-92A3-FBF54855C1DF}"/>
</file>

<file path=customXml/itemProps2.xml><?xml version="1.0" encoding="utf-8"?>
<ds:datastoreItem xmlns:ds="http://schemas.openxmlformats.org/officeDocument/2006/customXml" ds:itemID="{C0841E61-4E9C-4B46-A2F6-3731895F112B}"/>
</file>

<file path=customXml/itemProps3.xml><?xml version="1.0" encoding="utf-8"?>
<ds:datastoreItem xmlns:ds="http://schemas.openxmlformats.org/officeDocument/2006/customXml" ds:itemID="{5138C437-0F51-4268-9B4E-A97EBCCE86C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福田一希</cp:lastModifiedBy>
  <cp:revision/>
  <dcterms:created xsi:type="dcterms:W3CDTF">2006-09-16T00:00:00Z</dcterms:created>
  <dcterms:modified xsi:type="dcterms:W3CDTF">2025-12-16T10:34:44Z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