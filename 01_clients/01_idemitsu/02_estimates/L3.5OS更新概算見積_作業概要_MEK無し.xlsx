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19"/>
  <workbookPr/>
  <mc:AlternateContent xmlns:mc="http://schemas.openxmlformats.org/markup-compatibility/2006">
    <mc:Choice Requires="x15">
      <x15ac:absPath xmlns:x15ac="http://schemas.microsoft.com/office/spreadsheetml/2010/11/ac" url="C:\Users\s-date.SYSTEM-EXE\Downloads\"/>
    </mc:Choice>
  </mc:AlternateContent>
  <xr:revisionPtr revIDLastSave="0" documentId="11_752710826BFCCCAE10B21BF3E94D47E9562BBCF0" xr6:coauthVersionLast="47" xr6:coauthVersionMax="47" xr10:uidLastSave="{00000000-0000-0000-0000-000000000000}"/>
  <bookViews>
    <workbookView xWindow="0" yWindow="0" windowWidth="11410" windowHeight="6370" tabRatio="790" firstSheet="5" activeTab="5" xr2:uid="{00000000-000D-0000-FFFF-FFFF00000000}"/>
  </bookViews>
  <sheets>
    <sheet name="依頼概要" sheetId="6" r:id="rId1"/>
    <sheet name="想定作業" sheetId="7" r:id="rId2"/>
    <sheet name="概要図(千葉)" sheetId="8" r:id="rId3"/>
    <sheet name="概要図(徳山)" sheetId="9" r:id="rId4"/>
    <sheet name="システム概要" sheetId="2" r:id="rId5"/>
    <sheet name="見積 (サマリ)" sheetId="10" r:id="rId6"/>
    <sheet name="スケジュール案" sheetId="3" r:id="rId7"/>
    <sheet name="見積（数量確定システム）_bk" sheetId="5" state="hidden" r:id="rId8"/>
    <sheet name="見積（〇〇システム）" sheetId="11" state="hidden" r:id="rId9"/>
    <sheet name="見積（徳山L3.5）" sheetId="22" r:id="rId10"/>
    <sheet name="見積（千葉L3.5）" sheetId="23" r:id="rId11"/>
    <sheet name="Sheet1" sheetId="1" state="hidden" r:id="rId12"/>
  </sheets>
  <definedNames>
    <definedName name="_xlnm._FilterDatabase" localSheetId="5" hidden="1">'見積 (サマリ)'!$B$4:$AS$5</definedName>
    <definedName name="_xlnm._FilterDatabase" localSheetId="8" hidden="1">'見積（〇〇システム）'!$B$4:$Y$31</definedName>
    <definedName name="_xlnm._FilterDatabase" localSheetId="7" hidden="1">'見積（数量確定システム）_bk'!$B$4:$Y$14</definedName>
    <definedName name="_xlnm._FilterDatabase" localSheetId="10" hidden="1">'見積（千葉L3.5）'!$B$3:$G$18</definedName>
    <definedName name="_xlnm._FilterDatabase" localSheetId="9" hidden="1">'見積（徳山L3.5）'!$B$3:$G$18</definedName>
    <definedName name="AccessDatabase" hidden="1">"C:\Documents and Settings\kawana.OHSAKI\My Documents\作業中\ＤＢらいぶらり.mdb"</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7" i="10" l="1"/>
  <c r="AJ7" i="10"/>
  <c r="AG6" i="10" l="1"/>
  <c r="AF6" i="10"/>
  <c r="AE6" i="10"/>
  <c r="AD6" i="10"/>
  <c r="AC6" i="10"/>
  <c r="AB6" i="10"/>
  <c r="E18" i="23"/>
  <c r="I12" i="23"/>
  <c r="H12" i="23"/>
  <c r="I11" i="23"/>
  <c r="H11" i="23"/>
  <c r="I9" i="23"/>
  <c r="H9" i="23"/>
  <c r="H12" i="22"/>
  <c r="I12" i="22"/>
  <c r="H11" i="22"/>
  <c r="I11" i="22"/>
  <c r="H9" i="22"/>
  <c r="I9" i="22"/>
  <c r="AH6" i="10" l="1"/>
  <c r="AL6" i="10" s="1"/>
  <c r="AI6" i="10"/>
  <c r="AM6" i="10" s="1"/>
  <c r="AR27" i="3"/>
  <c r="AR26" i="3"/>
  <c r="AQ23" i="3"/>
  <c r="AP23" i="3"/>
  <c r="AO23" i="3"/>
  <c r="AN23" i="3"/>
  <c r="AM23" i="3"/>
  <c r="AL23" i="3"/>
  <c r="AK23" i="3"/>
  <c r="AJ23" i="3"/>
  <c r="AI23" i="3"/>
  <c r="AH23" i="3"/>
  <c r="AG23" i="3"/>
  <c r="AF23" i="3"/>
  <c r="AE23" i="3"/>
  <c r="AD23" i="3"/>
  <c r="AC23" i="3"/>
  <c r="AB23" i="3"/>
  <c r="AA23" i="3"/>
  <c r="Z23" i="3"/>
  <c r="Y23" i="3"/>
  <c r="X23" i="3"/>
  <c r="W23" i="3"/>
  <c r="V23" i="3"/>
  <c r="U23" i="3"/>
  <c r="T23" i="3"/>
  <c r="S23" i="3"/>
  <c r="R23" i="3"/>
  <c r="Q23" i="3"/>
  <c r="P23" i="3"/>
  <c r="O23" i="3"/>
  <c r="N23" i="3"/>
  <c r="M23" i="3"/>
  <c r="L23" i="3"/>
  <c r="K23" i="3"/>
  <c r="J23" i="3"/>
  <c r="I23" i="3"/>
  <c r="H23" i="3"/>
  <c r="G23" i="3"/>
  <c r="F23" i="3"/>
  <c r="E23" i="3"/>
  <c r="D23" i="3"/>
  <c r="C23" i="3"/>
  <c r="C25" i="3" l="1"/>
  <c r="C24" i="3"/>
  <c r="D25" i="3"/>
  <c r="D24" i="3"/>
  <c r="E25" i="3"/>
  <c r="E24" i="3"/>
  <c r="F25" i="3"/>
  <c r="F24" i="3"/>
  <c r="G25" i="3"/>
  <c r="G24" i="3"/>
  <c r="H25" i="3"/>
  <c r="H24" i="3"/>
  <c r="I25" i="3"/>
  <c r="I24" i="3"/>
  <c r="J25" i="3"/>
  <c r="J24" i="3"/>
  <c r="K25" i="3"/>
  <c r="K24" i="3"/>
  <c r="L25" i="3"/>
  <c r="L24" i="3"/>
  <c r="M25" i="3"/>
  <c r="M24" i="3"/>
  <c r="N25" i="3"/>
  <c r="N24" i="3"/>
  <c r="O25" i="3"/>
  <c r="O24" i="3"/>
  <c r="P25" i="3"/>
  <c r="P24" i="3"/>
  <c r="Q25" i="3"/>
  <c r="Q24" i="3"/>
  <c r="R25" i="3"/>
  <c r="R24" i="3"/>
  <c r="S25" i="3"/>
  <c r="S24" i="3"/>
  <c r="T25" i="3"/>
  <c r="T24" i="3"/>
  <c r="U25" i="3"/>
  <c r="U24" i="3"/>
  <c r="V25" i="3"/>
  <c r="V24" i="3"/>
  <c r="W25" i="3"/>
  <c r="W24" i="3"/>
  <c r="X25" i="3"/>
  <c r="X24" i="3"/>
  <c r="Y25" i="3"/>
  <c r="Y24" i="3"/>
  <c r="Z25" i="3"/>
  <c r="Z24" i="3"/>
  <c r="AA25" i="3"/>
  <c r="AA24" i="3"/>
  <c r="AB25" i="3"/>
  <c r="AB24" i="3"/>
  <c r="AC25" i="3"/>
  <c r="AC24" i="3"/>
  <c r="AD25" i="3"/>
  <c r="AD24" i="3"/>
  <c r="AE25" i="3"/>
  <c r="AE24" i="3"/>
  <c r="AF25" i="3"/>
  <c r="AF24" i="3"/>
  <c r="AG25" i="3"/>
  <c r="AG24" i="3"/>
  <c r="AH25" i="3"/>
  <c r="AH24" i="3"/>
  <c r="AI25" i="3"/>
  <c r="AI24" i="3"/>
  <c r="AJ25" i="3"/>
  <c r="AJ24" i="3"/>
  <c r="AK25" i="3"/>
  <c r="AK24" i="3"/>
  <c r="AL25" i="3"/>
  <c r="AL24" i="3"/>
  <c r="AM25" i="3"/>
  <c r="AM24" i="3"/>
  <c r="AN25" i="3"/>
  <c r="AN24" i="3"/>
  <c r="AO25" i="3"/>
  <c r="AO24" i="3"/>
  <c r="AP25" i="3"/>
  <c r="AP24" i="3"/>
  <c r="AQ25" i="3"/>
  <c r="AQ24" i="3"/>
  <c r="L7" i="10"/>
  <c r="AF5" i="10"/>
  <c r="AF7" i="10" s="1"/>
  <c r="AE5" i="10"/>
  <c r="AE7" i="10" s="1"/>
  <c r="AD5" i="10"/>
  <c r="AD7" i="10" s="1"/>
  <c r="AC5" i="10"/>
  <c r="AC7" i="10" s="1"/>
  <c r="AR24" i="3" l="1"/>
  <c r="AR28" i="3" s="1"/>
  <c r="AR25" i="3"/>
  <c r="AR29" i="3" s="1"/>
  <c r="AB5" i="10"/>
  <c r="AB7" i="10" s="1"/>
  <c r="AR30" i="3" l="1"/>
  <c r="AR31" i="3" s="1"/>
  <c r="X7" i="10"/>
  <c r="Y7" i="10"/>
  <c r="E18" i="22"/>
  <c r="AG5" i="10"/>
  <c r="AG7" i="10" s="1"/>
  <c r="AH7" i="10" s="1"/>
  <c r="AC9" i="10" l="1"/>
  <c r="AF9" i="10"/>
  <c r="AB9" i="10"/>
  <c r="AI5" i="10"/>
  <c r="AH5" i="10"/>
  <c r="AL5" i="10" s="1"/>
  <c r="AL7" i="10" s="1"/>
  <c r="AM5" i="10" l="1"/>
  <c r="AM7" i="10" s="1"/>
  <c r="AI7" i="10"/>
  <c r="E7" i="10"/>
  <c r="E9" i="10" s="1"/>
  <c r="T7" i="10"/>
  <c r="AD9" i="10"/>
  <c r="S7" i="10"/>
  <c r="H7" i="10"/>
  <c r="H9" i="10" s="1"/>
  <c r="R7" i="10" l="1"/>
  <c r="R9" i="10" s="1"/>
  <c r="Q7" i="10"/>
  <c r="Q9" i="10" s="1"/>
  <c r="D7" i="10"/>
  <c r="AE9" i="10"/>
  <c r="H6" i="5"/>
  <c r="I6" i="5" s="1"/>
  <c r="H7" i="5"/>
  <c r="I7" i="5"/>
  <c r="H8" i="5"/>
  <c r="I8" i="5" s="1"/>
  <c r="H9" i="5"/>
  <c r="I9" i="5"/>
  <c r="H10" i="5"/>
  <c r="I10" i="5" s="1"/>
  <c r="H11" i="5"/>
  <c r="I11" i="5"/>
  <c r="H12" i="5"/>
  <c r="I12" i="5"/>
  <c r="H13" i="5"/>
  <c r="I13" i="5"/>
  <c r="H14" i="5"/>
  <c r="I14" i="5" s="1"/>
  <c r="U7" i="10" l="1"/>
  <c r="M7" i="10"/>
  <c r="M6" i="5"/>
  <c r="N6" i="5" s="1"/>
  <c r="M7" i="5"/>
  <c r="N7" i="5" s="1"/>
  <c r="M11" i="5"/>
  <c r="N11" i="5" s="1"/>
  <c r="M8" i="5"/>
  <c r="N8" i="5" s="1"/>
  <c r="M9" i="5"/>
  <c r="N9" i="5" s="1"/>
  <c r="M10" i="5"/>
  <c r="N10" i="5" s="1"/>
  <c r="M12" i="5"/>
  <c r="N12" i="5" s="1"/>
  <c r="M13" i="5"/>
  <c r="N13" i="5" s="1"/>
  <c r="M14" i="5"/>
  <c r="N14" i="5" s="1"/>
  <c r="Q16" i="5"/>
  <c r="P16" i="5"/>
  <c r="O16" i="5"/>
  <c r="S35" i="11"/>
  <c r="N35" i="11"/>
  <c r="I35" i="11"/>
  <c r="Q33" i="11"/>
  <c r="Q36" i="11" s="1"/>
  <c r="P33" i="11"/>
  <c r="P36" i="11" s="1"/>
  <c r="O33" i="11"/>
  <c r="O36" i="11" s="1"/>
  <c r="L33" i="11"/>
  <c r="L36" i="11" s="1"/>
  <c r="K33" i="11"/>
  <c r="K36" i="11" s="1"/>
  <c r="J33" i="11"/>
  <c r="J36" i="11" s="1"/>
  <c r="G33" i="11"/>
  <c r="G36" i="11" s="1"/>
  <c r="F33" i="11"/>
  <c r="F36" i="11" s="1"/>
  <c r="E33" i="11"/>
  <c r="E36" i="11" s="1"/>
  <c r="R31" i="11"/>
  <c r="S31" i="11" s="1"/>
  <c r="M31" i="11"/>
  <c r="N31" i="11" s="1"/>
  <c r="H31" i="11"/>
  <c r="I31" i="11" s="1"/>
  <c r="R30" i="11"/>
  <c r="S30" i="11" s="1"/>
  <c r="M30" i="11"/>
  <c r="N30" i="11" s="1"/>
  <c r="H30" i="11"/>
  <c r="I30" i="11" s="1"/>
  <c r="R29" i="11"/>
  <c r="S29" i="11" s="1"/>
  <c r="M29" i="11"/>
  <c r="N29" i="11" s="1"/>
  <c r="H29" i="11"/>
  <c r="I29" i="11" s="1"/>
  <c r="R28" i="11"/>
  <c r="S28" i="11" s="1"/>
  <c r="M28" i="11"/>
  <c r="N28" i="11" s="1"/>
  <c r="H28" i="11"/>
  <c r="I28" i="11" s="1"/>
  <c r="R27" i="11"/>
  <c r="S27" i="11" s="1"/>
  <c r="M27" i="11"/>
  <c r="N27" i="11" s="1"/>
  <c r="H27" i="11"/>
  <c r="I27" i="11" s="1"/>
  <c r="R26" i="11"/>
  <c r="S26" i="11" s="1"/>
  <c r="M26" i="11"/>
  <c r="N26" i="11" s="1"/>
  <c r="H26" i="11"/>
  <c r="I26" i="11" s="1"/>
  <c r="R25" i="11"/>
  <c r="S25" i="11" s="1"/>
  <c r="M25" i="11"/>
  <c r="N25" i="11" s="1"/>
  <c r="H25" i="11"/>
  <c r="I25" i="11" s="1"/>
  <c r="R24" i="11"/>
  <c r="S24" i="11" s="1"/>
  <c r="M24" i="11"/>
  <c r="N24" i="11" s="1"/>
  <c r="H24" i="11"/>
  <c r="I24" i="11" s="1"/>
  <c r="R23" i="11"/>
  <c r="S23" i="11" s="1"/>
  <c r="M23" i="11"/>
  <c r="N23" i="11" s="1"/>
  <c r="H23" i="11"/>
  <c r="I23" i="11" s="1"/>
  <c r="R22" i="11"/>
  <c r="S22" i="11" s="1"/>
  <c r="M22" i="11"/>
  <c r="N22" i="11" s="1"/>
  <c r="H22" i="11"/>
  <c r="I22" i="11" s="1"/>
  <c r="R21" i="11"/>
  <c r="S21" i="11" s="1"/>
  <c r="M21" i="11"/>
  <c r="N21" i="11" s="1"/>
  <c r="H21" i="11"/>
  <c r="I21" i="11" s="1"/>
  <c r="R20" i="11"/>
  <c r="S20" i="11" s="1"/>
  <c r="M20" i="11"/>
  <c r="N20" i="11" s="1"/>
  <c r="H20" i="11"/>
  <c r="I20" i="11" s="1"/>
  <c r="R19" i="11"/>
  <c r="S19" i="11" s="1"/>
  <c r="M19" i="11"/>
  <c r="N19" i="11" s="1"/>
  <c r="H19" i="11"/>
  <c r="I19" i="11" s="1"/>
  <c r="R18" i="11"/>
  <c r="S18" i="11" s="1"/>
  <c r="M18" i="11"/>
  <c r="N18" i="11" s="1"/>
  <c r="H18" i="11"/>
  <c r="I18" i="11" s="1"/>
  <c r="R17" i="11"/>
  <c r="M17" i="11"/>
  <c r="H17" i="11"/>
  <c r="R16" i="11"/>
  <c r="S16" i="11" s="1"/>
  <c r="M16" i="11"/>
  <c r="N16" i="11" s="1"/>
  <c r="H16" i="11"/>
  <c r="I16" i="11" s="1"/>
  <c r="R15" i="11"/>
  <c r="S15" i="11" s="1"/>
  <c r="M15" i="11"/>
  <c r="N15" i="11" s="1"/>
  <c r="H15" i="11"/>
  <c r="I15" i="11" s="1"/>
  <c r="R14" i="11"/>
  <c r="S14" i="11" s="1"/>
  <c r="M14" i="11"/>
  <c r="N14" i="11" s="1"/>
  <c r="H14" i="11"/>
  <c r="I14" i="11" s="1"/>
  <c r="R13" i="11"/>
  <c r="S13" i="11" s="1"/>
  <c r="M13" i="11"/>
  <c r="N13" i="11" s="1"/>
  <c r="H13" i="11"/>
  <c r="I13" i="11" s="1"/>
  <c r="R12" i="11"/>
  <c r="S12" i="11" s="1"/>
  <c r="M12" i="11"/>
  <c r="N12" i="11" s="1"/>
  <c r="H12" i="11"/>
  <c r="I12" i="11" s="1"/>
  <c r="R11" i="11"/>
  <c r="S11" i="11" s="1"/>
  <c r="M11" i="11"/>
  <c r="N11" i="11" s="1"/>
  <c r="H11" i="11"/>
  <c r="I11" i="11" s="1"/>
  <c r="R10" i="11"/>
  <c r="S10" i="11" s="1"/>
  <c r="M10" i="11"/>
  <c r="N10" i="11" s="1"/>
  <c r="H10" i="11"/>
  <c r="I10" i="11" s="1"/>
  <c r="R9" i="11"/>
  <c r="S9" i="11" s="1"/>
  <c r="M9" i="11"/>
  <c r="N9" i="11" s="1"/>
  <c r="H9" i="11"/>
  <c r="I9" i="11" s="1"/>
  <c r="R8" i="11"/>
  <c r="S8" i="11" s="1"/>
  <c r="M8" i="11"/>
  <c r="N8" i="11" s="1"/>
  <c r="H8" i="11"/>
  <c r="I8" i="11" s="1"/>
  <c r="R7" i="11"/>
  <c r="S7" i="11" s="1"/>
  <c r="M7" i="11"/>
  <c r="N7" i="11" s="1"/>
  <c r="H7" i="11"/>
  <c r="I7" i="11" s="1"/>
  <c r="R6" i="11"/>
  <c r="S6" i="11" s="1"/>
  <c r="M6" i="11"/>
  <c r="N6" i="11" s="1"/>
  <c r="H6" i="11"/>
  <c r="I6" i="11" s="1"/>
  <c r="R5" i="11"/>
  <c r="S5" i="11" s="1"/>
  <c r="M5" i="11"/>
  <c r="N5" i="11" s="1"/>
  <c r="H5" i="11"/>
  <c r="I5" i="11" s="1"/>
  <c r="Z7" i="10" l="1"/>
  <c r="W7" i="10"/>
  <c r="N7" i="10"/>
  <c r="AG9" i="10"/>
  <c r="H33" i="11"/>
  <c r="H36" i="11" s="1"/>
  <c r="I17" i="11"/>
  <c r="M33" i="11"/>
  <c r="M36" i="11" s="1"/>
  <c r="N17" i="11"/>
  <c r="N33" i="11" s="1"/>
  <c r="R33" i="11"/>
  <c r="R36" i="11" s="1"/>
  <c r="S36" i="11" s="1"/>
  <c r="S17" i="11"/>
  <c r="S33" i="11" s="1"/>
  <c r="N36" i="11"/>
  <c r="I36" i="11"/>
  <c r="I33" i="11"/>
  <c r="K7" i="10" l="1"/>
  <c r="O7" i="10"/>
  <c r="L16" i="5"/>
  <c r="K16" i="5"/>
  <c r="J16" i="5"/>
  <c r="G16" i="5"/>
  <c r="F16" i="5"/>
  <c r="E16" i="5"/>
  <c r="E19" i="5" s="1"/>
  <c r="AA7" i="10" l="1"/>
  <c r="R14" i="5"/>
  <c r="S14" i="5" s="1"/>
  <c r="R13" i="5"/>
  <c r="S13" i="5" s="1"/>
  <c r="R12" i="5"/>
  <c r="S12" i="5" s="1"/>
  <c r="R8" i="5"/>
  <c r="S8" i="5" s="1"/>
  <c r="S18" i="5"/>
  <c r="N18" i="5"/>
  <c r="I18" i="5"/>
  <c r="Q19" i="5"/>
  <c r="P19" i="5"/>
  <c r="O19" i="5"/>
  <c r="L19" i="5"/>
  <c r="K19" i="5"/>
  <c r="J19" i="5"/>
  <c r="G19" i="5"/>
  <c r="F19" i="5"/>
  <c r="R11" i="5"/>
  <c r="R7" i="5"/>
  <c r="S7" i="5" s="1"/>
  <c r="R5" i="5"/>
  <c r="M5" i="5"/>
  <c r="H5" i="5"/>
  <c r="T9" i="10"/>
  <c r="S9" i="10"/>
  <c r="P7" i="10"/>
  <c r="G7" i="10"/>
  <c r="G9" i="10" s="1"/>
  <c r="F7" i="10"/>
  <c r="D9" i="10"/>
  <c r="F9" i="10" l="1"/>
  <c r="P9" i="10"/>
  <c r="V7" i="10"/>
  <c r="N5" i="5"/>
  <c r="N16" i="5" s="1"/>
  <c r="M16" i="5"/>
  <c r="M19" i="5" s="1"/>
  <c r="N19" i="5" s="1"/>
  <c r="H16" i="5"/>
  <c r="H19" i="5" s="1"/>
  <c r="I19" i="5" s="1"/>
  <c r="S5" i="5"/>
  <c r="R16" i="5"/>
  <c r="R19" i="5" s="1"/>
  <c r="S19" i="5" s="1"/>
  <c r="S11" i="5"/>
  <c r="I5" i="5"/>
  <c r="U9" i="10"/>
  <c r="I7" i="10"/>
  <c r="J11" i="1"/>
  <c r="J10" i="1"/>
  <c r="I9" i="10" l="1"/>
  <c r="J9" i="10" s="1"/>
  <c r="J7" i="10"/>
  <c r="I16" i="5"/>
  <c r="S16" i="5"/>
  <c r="J15" i="1"/>
  <c r="J13" i="1"/>
  <c r="J12" i="1"/>
  <c r="H28" i="1" l="1"/>
  <c r="H27" i="1"/>
  <c r="F28" i="1"/>
  <c r="F31" i="1"/>
  <c r="F32" i="1"/>
  <c r="F30" i="1"/>
  <c r="F33" i="1" l="1"/>
  <c r="F29" i="1"/>
</calcChain>
</file>

<file path=xl/sharedStrings.xml><?xml version="1.0" encoding="utf-8"?>
<sst xmlns="http://schemas.openxmlformats.org/spreadsheetml/2006/main" count="811" uniqueCount="392">
  <si>
    <t>1.    経緯</t>
  </si>
  <si>
    <t>館林DCセンターの廃止に伴い、現在のサーバ郡を移転する必要がある。</t>
    <phoneticPr fontId="2"/>
  </si>
  <si>
    <t>期日までに以下のいずれかの対応をとる必要がある。</t>
  </si>
  <si>
    <t>（１）次期アーキテクチャとしてAzure環境に再構築</t>
  </si>
  <si>
    <t>（２）Azureに構築される縮小版の共通基盤に移行</t>
    <phoneticPr fontId="2"/>
  </si>
  <si>
    <t>　　　※現状よりスペックは低下、Oracleは19C</t>
  </si>
  <si>
    <t>加えて、館林DC以外（現地）のサーバに関してWindows2016サーバはサポート期限切れに伴い、再構築を行う必要がある。</t>
    <rPh sb="0" eb="1">
      <t>クワ</t>
    </rPh>
    <rPh sb="4" eb="6">
      <t>タテバヤシ</t>
    </rPh>
    <rPh sb="8" eb="10">
      <t>イガイ</t>
    </rPh>
    <rPh sb="11" eb="13">
      <t>ゲンチ</t>
    </rPh>
    <rPh sb="19" eb="20">
      <t>カン</t>
    </rPh>
    <rPh sb="41" eb="44">
      <t>キゲンギ</t>
    </rPh>
    <rPh sb="46" eb="47">
      <t>トモナ</t>
    </rPh>
    <rPh sb="49" eb="52">
      <t>サイコウチク</t>
    </rPh>
    <rPh sb="53" eb="54">
      <t>オコナ</t>
    </rPh>
    <rPh sb="55" eb="57">
      <t>ヒツヨウ</t>
    </rPh>
    <phoneticPr fontId="2"/>
  </si>
  <si>
    <t>2.    依頼事項</t>
  </si>
  <si>
    <t>各システム毎に概算見積を行ってほしい。</t>
  </si>
  <si>
    <t>移行後の構成として複数パターン考えられる場合はパターン毎の見積が欲しい。</t>
  </si>
  <si>
    <t>基本的な移行方針は以下の通り</t>
  </si>
  <si>
    <t>対象：現行共通基盤を利用しているシステム</t>
  </si>
  <si>
    <t>時期：2025/4以降見込（2024年度中に新共通基盤構築予定のため）※出光内部確認中</t>
  </si>
  <si>
    <t>出光側で構築した次期アーキテクチャ（新共通基盤）へアプリ、帳票、バッチを移行</t>
  </si>
  <si>
    <t>各基盤の大きな変化点は以下の通り　※詳細は別資料参照</t>
  </si>
  <si>
    <t>アプリ基盤：WebLogic⇒Azure WebApps Apachee Tomcat</t>
  </si>
  <si>
    <t>帳票基盤：現行踏襲（List Creator）</t>
    <phoneticPr fontId="2"/>
  </si>
  <si>
    <t>DB基盤：新共通基盤DBにはOracleが選択肢にないため、DBのみ個別に構築しOracleを継続する。</t>
  </si>
  <si>
    <t>連携基盤：現行踏襲？（連携NASについては資料から読み取れず）</t>
  </si>
  <si>
    <t>バッチ基盤：Systemwalker Operation Manager⇒A-AUTO</t>
  </si>
  <si>
    <t>（２）Azureに構築される縮小版の共通基盤に移行</t>
  </si>
  <si>
    <t>時期：2024年度３Q以降見込（最速で2024年度２Q中に縮小版共通基盤構築予定のため）※出光内部確認中</t>
  </si>
  <si>
    <t>出光側で構築した縮小版共通基盤へアプリ、帳票、バッチを移行</t>
  </si>
  <si>
    <t>縮小版共通基盤の構成は現行共通基盤を踏襲した形となるが、OS,MWのバージョンは変更となる見込み</t>
  </si>
  <si>
    <t>※DBは四課要望により（1）と同様、個別に構築も要検討</t>
  </si>
  <si>
    <t>（３）現地Windows2016サーバ再構築</t>
  </si>
  <si>
    <t>対象：現行、現地（各事業所）に構築されているシステム</t>
  </si>
  <si>
    <t>時期：こちらからの提案次第</t>
  </si>
  <si>
    <t>WindowsSever2016サポート期限切れに伴い、最新のOS、MWに更新する。</t>
  </si>
  <si>
    <t>機能、サーバ構成は現行踏襲とする。</t>
  </si>
  <si>
    <t>OS：Windows2016⇒2022</t>
  </si>
  <si>
    <t>DB：Oracle12c⇒22c、SQLServer2016⇒2022</t>
  </si>
  <si>
    <t>帳票：Excel2016⇒Office 365</t>
  </si>
  <si>
    <t>バッチ：Systemwalker Operation Manager継続</t>
    <phoneticPr fontId="2"/>
  </si>
  <si>
    <t>アプリ：WebLogic継続</t>
  </si>
  <si>
    <t>3.    希望期日</t>
  </si>
  <si>
    <t>2024/2中に概算見積提示</t>
  </si>
  <si>
    <t>前提</t>
  </si>
  <si>
    <t>業務・機能変更は行わない。</t>
  </si>
  <si>
    <t>サーバ構成は現行踏襲とする。</t>
  </si>
  <si>
    <t>DBは現行踏襲（Oracle、SQLSever継続）</t>
  </si>
  <si>
    <t>JavaフレームワークはStruts継続</t>
    <phoneticPr fontId="2"/>
  </si>
  <si>
    <t>テストは新規構築した本番環境（次期本番機）にて行う。</t>
  </si>
  <si>
    <t>※検証、予備環境は最低限の動作確認（アプリ起動、ログイン確認程度）を想定</t>
  </si>
  <si>
    <t>想定作業</t>
  </si>
  <si>
    <t>全パターン共通</t>
    <rPh sb="0" eb="1">
      <t>ゼン</t>
    </rPh>
    <rPh sb="5" eb="7">
      <t>キョウツウ</t>
    </rPh>
    <phoneticPr fontId="2"/>
  </si>
  <si>
    <t>IP,ホスト名変更に伴う各種（IF、DB等）向け先変更、検証</t>
    <rPh sb="6" eb="7">
      <t>メイ</t>
    </rPh>
    <rPh sb="7" eb="9">
      <t>ヘンコウ</t>
    </rPh>
    <rPh sb="10" eb="11">
      <t>トモナ</t>
    </rPh>
    <rPh sb="12" eb="14">
      <t>カクシュ</t>
    </rPh>
    <rPh sb="20" eb="21">
      <t>トウ</t>
    </rPh>
    <rPh sb="22" eb="23">
      <t>ム</t>
    </rPh>
    <rPh sb="24" eb="25">
      <t>サキ</t>
    </rPh>
    <rPh sb="25" eb="27">
      <t>ヘンコウ</t>
    </rPh>
    <rPh sb="28" eb="30">
      <t>ケンショウ</t>
    </rPh>
    <phoneticPr fontId="2"/>
  </si>
  <si>
    <t>データ移行</t>
  </si>
  <si>
    <t>アプリ動作検証（全画面、帳票、バッチ、IF打鍵※現新比較）</t>
  </si>
  <si>
    <t>アプリケーション構築、ミドルウェアのセットアップ</t>
  </si>
  <si>
    <t>IF連携ID変更（連携NASを利用しているもの）※新システム</t>
  </si>
  <si>
    <t>DB構築（構成の検討から）</t>
    <rPh sb="2" eb="4">
      <t>コウチク</t>
    </rPh>
    <rPh sb="5" eb="7">
      <t>コウセイ</t>
    </rPh>
    <rPh sb="8" eb="10">
      <t>ケントウ</t>
    </rPh>
    <phoneticPr fontId="2"/>
  </si>
  <si>
    <t>※本見積は各システム毎に個別にOracle構築を想定</t>
  </si>
  <si>
    <t>Office 365化に伴うExcel帳票の非互換調査、対応</t>
    <rPh sb="10" eb="11">
      <t>カ</t>
    </rPh>
    <rPh sb="12" eb="13">
      <t>トモナ</t>
    </rPh>
    <rPh sb="19" eb="21">
      <t>チョウヒョウ</t>
    </rPh>
    <rPh sb="22" eb="27">
      <t>ヒゴカンチョウサ</t>
    </rPh>
    <rPh sb="28" eb="30">
      <t>タイオウ</t>
    </rPh>
    <phoneticPr fontId="2"/>
  </si>
  <si>
    <t>DBバージョンアップ（19c⇒22c）に伴う非互換調査、対応</t>
  </si>
  <si>
    <t>WebLogic⇒Tomcat移行に伴う非互換調査、対応</t>
  </si>
  <si>
    <t>スケジューラ変更（Systemwalker Operation Manager⇒A-AUTO）に伴う非互換調査、対応</t>
  </si>
  <si>
    <t>全パターン共通の作業のみ</t>
    <rPh sb="8" eb="10">
      <t>サギョウ</t>
    </rPh>
    <phoneticPr fontId="2"/>
  </si>
  <si>
    <t>JDKとWLSはマイナーバージョンアップされるが、Strutsへの非互換は無い認識</t>
    <rPh sb="33" eb="36">
      <t>ヒゴカン</t>
    </rPh>
    <rPh sb="37" eb="38">
      <t>ナ</t>
    </rPh>
    <rPh sb="39" eb="41">
      <t>ニンシキ</t>
    </rPh>
    <phoneticPr fontId="2"/>
  </si>
  <si>
    <t>※DBを個別構築する場合は以下が追加</t>
  </si>
  <si>
    <t>サーバ構築（実際の構築作業は出光だが、スペック見積等）</t>
  </si>
  <si>
    <t>DB構築</t>
  </si>
  <si>
    <t>DBバージョンアップ（Oracle19c⇒22c、SQLServer2016⇒2022）に伴う非互換調査、対応</t>
  </si>
  <si>
    <t>.NET Framework非互換調査、64bit非互換調査（製品倉庫、ABC、数量ポリマー）</t>
    <phoneticPr fontId="2"/>
  </si>
  <si>
    <t>Office 365化に伴うExcel帳票の非互換調査、対応（製品倉庫のみ）</t>
  </si>
  <si>
    <t>Azure環境制約（Dドライブ、OSユーザ）※ヤード予備機がAzure構築のため、現地本番も構成合わせる必要</t>
  </si>
  <si>
    <t>ファイル連携</t>
    <rPh sb="4" eb="6">
      <t>レンケイ</t>
    </rPh>
    <phoneticPr fontId="4"/>
  </si>
  <si>
    <t>工場系保守対象</t>
    <rPh sb="0" eb="2">
      <t>コウジョウ</t>
    </rPh>
    <rPh sb="2" eb="3">
      <t>ケイ</t>
    </rPh>
    <rPh sb="3" eb="5">
      <t>ホシュ</t>
    </rPh>
    <rPh sb="5" eb="7">
      <t>タイショウ</t>
    </rPh>
    <phoneticPr fontId="4"/>
  </si>
  <si>
    <t>館林管理</t>
    <rPh sb="0" eb="2">
      <t>タテバヤシ</t>
    </rPh>
    <rPh sb="2" eb="4">
      <t>カンリ</t>
    </rPh>
    <phoneticPr fontId="7"/>
  </si>
  <si>
    <t>DBデータ連携</t>
    <rPh sb="5" eb="7">
      <t>レンケイ</t>
    </rPh>
    <phoneticPr fontId="4"/>
  </si>
  <si>
    <t>工場系保守対象外</t>
    <rPh sb="0" eb="2">
      <t>コウジョウ</t>
    </rPh>
    <rPh sb="2" eb="3">
      <t>ケイ</t>
    </rPh>
    <rPh sb="3" eb="5">
      <t>ホシュ</t>
    </rPh>
    <rPh sb="5" eb="8">
      <t>タイショウガイ</t>
    </rPh>
    <phoneticPr fontId="4"/>
  </si>
  <si>
    <t>現地管理</t>
    <rPh sb="0" eb="2">
      <t>ゲンチ</t>
    </rPh>
    <rPh sb="2" eb="4">
      <t>カンリ</t>
    </rPh>
    <phoneticPr fontId="7"/>
  </si>
  <si>
    <t>Azure環境</t>
  </si>
  <si>
    <t>システム概要</t>
    <rPh sb="4" eb="6">
      <t>ガイヨウ</t>
    </rPh>
    <phoneticPr fontId="2"/>
  </si>
  <si>
    <t>システム規模</t>
    <rPh sb="4" eb="6">
      <t>キボ</t>
    </rPh>
    <phoneticPr fontId="2"/>
  </si>
  <si>
    <t>共通基盤利用状況（現状）</t>
    <rPh sb="0" eb="4">
      <t>キョウツウキバン</t>
    </rPh>
    <rPh sb="4" eb="6">
      <t>リヨウ</t>
    </rPh>
    <rPh sb="6" eb="8">
      <t>ジョウキョウ</t>
    </rPh>
    <rPh sb="9" eb="11">
      <t>ゲンジョウ</t>
    </rPh>
    <phoneticPr fontId="2"/>
  </si>
  <si>
    <t>サービス: サービス番号</t>
  </si>
  <si>
    <t>サービス名</t>
  </si>
  <si>
    <t>保守領域</t>
    <rPh sb="0" eb="2">
      <t>ホシュ</t>
    </rPh>
    <rPh sb="2" eb="4">
      <t>リョウイキ</t>
    </rPh>
    <phoneticPr fontId="4"/>
  </si>
  <si>
    <t>移行状況</t>
    <rPh sb="0" eb="2">
      <t>イコウ</t>
    </rPh>
    <rPh sb="2" eb="4">
      <t>ジョウキョウ</t>
    </rPh>
    <phoneticPr fontId="2"/>
  </si>
  <si>
    <t>作業パターン
※想定作業シート参照</t>
    <rPh sb="0" eb="2">
      <t>サギョウ</t>
    </rPh>
    <rPh sb="8" eb="10">
      <t>ソウテイ</t>
    </rPh>
    <rPh sb="10" eb="12">
      <t>サギョウ</t>
    </rPh>
    <rPh sb="15" eb="17">
      <t>サンショウ</t>
    </rPh>
    <phoneticPr fontId="2"/>
  </si>
  <si>
    <t>業務概要</t>
    <rPh sb="0" eb="2">
      <t>ギョウム</t>
    </rPh>
    <rPh sb="2" eb="4">
      <t>ガイヨウ</t>
    </rPh>
    <phoneticPr fontId="2"/>
  </si>
  <si>
    <t>OS</t>
    <phoneticPr fontId="2"/>
  </si>
  <si>
    <t>アプリ</t>
    <phoneticPr fontId="2"/>
  </si>
  <si>
    <t>DB</t>
    <phoneticPr fontId="2"/>
  </si>
  <si>
    <t>ミドルウェア</t>
    <phoneticPr fontId="2"/>
  </si>
  <si>
    <t>フレームワーク</t>
  </si>
  <si>
    <t>その他</t>
    <rPh sb="2" eb="3">
      <t>タ</t>
    </rPh>
    <phoneticPr fontId="2"/>
  </si>
  <si>
    <t>サーバ構成</t>
  </si>
  <si>
    <t>画面</t>
    <rPh sb="0" eb="2">
      <t>ガメン</t>
    </rPh>
    <phoneticPr fontId="2"/>
  </si>
  <si>
    <t>帳票</t>
    <rPh sb="0" eb="2">
      <t>チョウヒョウ</t>
    </rPh>
    <phoneticPr fontId="2"/>
  </si>
  <si>
    <t>バッチ</t>
    <phoneticPr fontId="2"/>
  </si>
  <si>
    <t>IF</t>
    <phoneticPr fontId="2"/>
  </si>
  <si>
    <t>テーブル</t>
    <phoneticPr fontId="2"/>
  </si>
  <si>
    <t>共通AP</t>
    <phoneticPr fontId="4"/>
  </si>
  <si>
    <t>共通DB</t>
    <phoneticPr fontId="4"/>
  </si>
  <si>
    <t>連携</t>
    <phoneticPr fontId="4"/>
  </si>
  <si>
    <t>レポート</t>
    <phoneticPr fontId="4"/>
  </si>
  <si>
    <t>認証</t>
    <phoneticPr fontId="4"/>
  </si>
  <si>
    <t>バッチ</t>
    <phoneticPr fontId="4"/>
  </si>
  <si>
    <t>SVC-00000710</t>
  </si>
  <si>
    <t>千葉数量確定システム</t>
  </si>
  <si>
    <t>工場系</t>
    <rPh sb="0" eb="2">
      <t>コウジョウ</t>
    </rPh>
    <rPh sb="2" eb="3">
      <t>ケイ</t>
    </rPh>
    <phoneticPr fontId="4"/>
  </si>
  <si>
    <t>未実施（共通基盤）</t>
    <rPh sb="0" eb="3">
      <t>ミジッシ</t>
    </rPh>
    <rPh sb="4" eb="8">
      <t>キョウツウキバン</t>
    </rPh>
    <phoneticPr fontId="2"/>
  </si>
  <si>
    <t>（1）or（2）</t>
    <phoneticPr fontId="2"/>
  </si>
  <si>
    <t>千葉事業所及び徳山事業所の石油化学装置の生産、在庫、PL(パイプライン)出荷、品目転換数量の管理を行うシステム。またタンクヤードの日報作成(ヤード日報)機能も持つ。</t>
    <rPh sb="0" eb="5">
      <t>チバジギョウショ</t>
    </rPh>
    <rPh sb="5" eb="6">
      <t>オヨ</t>
    </rPh>
    <rPh sb="7" eb="9">
      <t>トクヤマ</t>
    </rPh>
    <rPh sb="9" eb="12">
      <t>ジギョウショ</t>
    </rPh>
    <rPh sb="13" eb="15">
      <t>セキユ</t>
    </rPh>
    <rPh sb="15" eb="17">
      <t>カガク</t>
    </rPh>
    <rPh sb="17" eb="19">
      <t>ソウチ</t>
    </rPh>
    <rPh sb="20" eb="22">
      <t>セイサン</t>
    </rPh>
    <rPh sb="23" eb="25">
      <t>ザイコ</t>
    </rPh>
    <rPh sb="36" eb="38">
      <t>シュッカ</t>
    </rPh>
    <rPh sb="39" eb="41">
      <t>ヒンモク</t>
    </rPh>
    <rPh sb="41" eb="43">
      <t>テンカン</t>
    </rPh>
    <rPh sb="43" eb="45">
      <t>スウリョウ</t>
    </rPh>
    <rPh sb="46" eb="48">
      <t>カンリ</t>
    </rPh>
    <rPh sb="49" eb="50">
      <t>オコナ</t>
    </rPh>
    <rPh sb="65" eb="67">
      <t>ニッポウ</t>
    </rPh>
    <rPh sb="67" eb="69">
      <t>サクセイ</t>
    </rPh>
    <rPh sb="73" eb="75">
      <t>ニッポウ</t>
    </rPh>
    <rPh sb="76" eb="78">
      <t>キノウ</t>
    </rPh>
    <rPh sb="79" eb="80">
      <t>モ</t>
    </rPh>
    <phoneticPr fontId="2"/>
  </si>
  <si>
    <t>Red Hat Enterprise Linux7.3</t>
    <phoneticPr fontId="2"/>
  </si>
  <si>
    <t>java 1.8.0_152
WebLogic 12.2.1.2.0</t>
  </si>
  <si>
    <t>Oracle19C</t>
  </si>
  <si>
    <t>Systemwalker Operation Manager</t>
  </si>
  <si>
    <t>struts 1.2.9</t>
    <phoneticPr fontId="2"/>
  </si>
  <si>
    <t>本番
　共通基盤（館林）
検証
　共通基盤（館林）</t>
  </si>
  <si>
    <t>千葉：41
徳山：30</t>
  </si>
  <si>
    <t>千葉：23
徳山：7</t>
  </si>
  <si>
    <t>共通：2
千葉：9
徳山：4</t>
  </si>
  <si>
    <t>千葉：8
徳山：4</t>
  </si>
  <si>
    <t>共通：58
千葉：16
徳山：9</t>
  </si>
  <si>
    <t>〇</t>
  </si>
  <si>
    <t>×</t>
  </si>
  <si>
    <t>e</t>
  </si>
  <si>
    <t>SVC-00000857</t>
  </si>
  <si>
    <t>徳山工場数量確定システム</t>
  </si>
  <si>
    <t>-</t>
    <phoneticPr fontId="2"/>
  </si>
  <si>
    <t>千葉工場用役管理システム</t>
    <rPh sb="0" eb="2">
      <t>チバ</t>
    </rPh>
    <rPh sb="2" eb="4">
      <t>コウジョウ</t>
    </rPh>
    <rPh sb="4" eb="6">
      <t>ヨウエキ</t>
    </rPh>
    <rPh sb="6" eb="8">
      <t>カンリ</t>
    </rPh>
    <phoneticPr fontId="4"/>
  </si>
  <si>
    <t>石油化学装置の生産数量、用役数量の管理を行うシステム。</t>
    <rPh sb="0" eb="2">
      <t>セキユ</t>
    </rPh>
    <rPh sb="2" eb="4">
      <t>カガク</t>
    </rPh>
    <rPh sb="4" eb="6">
      <t>ソウチ</t>
    </rPh>
    <rPh sb="7" eb="9">
      <t>セイサン</t>
    </rPh>
    <rPh sb="9" eb="11">
      <t>スウリョウ</t>
    </rPh>
    <rPh sb="12" eb="14">
      <t>ヨウエキ</t>
    </rPh>
    <rPh sb="14" eb="16">
      <t>スウリョウ</t>
    </rPh>
    <rPh sb="17" eb="19">
      <t>カンリ</t>
    </rPh>
    <rPh sb="20" eb="21">
      <t>オコナ</t>
    </rPh>
    <phoneticPr fontId="2"/>
  </si>
  <si>
    <t>struts 1.2.9</t>
  </si>
  <si>
    <t>千葉：28
徳山：17</t>
  </si>
  <si>
    <t>千葉：43
徳山：6</t>
  </si>
  <si>
    <t>共通：0
千葉：0
徳山：0</t>
  </si>
  <si>
    <t>千葉：0
徳山：0</t>
  </si>
  <si>
    <t>共通：11
千葉：1
徳山：11</t>
  </si>
  <si>
    <t>SVC-00000858</t>
  </si>
  <si>
    <t>徳山工場用役管理システム</t>
  </si>
  <si>
    <t>SVC-00001700</t>
    <phoneticPr fontId="2"/>
  </si>
  <si>
    <t>千葉化学品質管理システム</t>
    <rPh sb="0" eb="2">
      <t>チバ</t>
    </rPh>
    <rPh sb="2" eb="4">
      <t>カガク</t>
    </rPh>
    <rPh sb="4" eb="6">
      <t>ヒンシツ</t>
    </rPh>
    <rPh sb="6" eb="8">
      <t>カンリ</t>
    </rPh>
    <phoneticPr fontId="4"/>
  </si>
  <si>
    <t>千葉事業所(工場)の品質管理課にて行う各種試験(工程、製品、物性)、及びそれに付随する業務(ロット管理、試験料金計算)を行うシステム。</t>
    <rPh sb="0" eb="2">
      <t>チバ</t>
    </rPh>
    <rPh sb="2" eb="5">
      <t>ジギョウショ</t>
    </rPh>
    <rPh sb="6" eb="8">
      <t>コウジョウ</t>
    </rPh>
    <rPh sb="10" eb="12">
      <t>ヒンシツ</t>
    </rPh>
    <rPh sb="12" eb="14">
      <t>カンリ</t>
    </rPh>
    <rPh sb="14" eb="15">
      <t>カ</t>
    </rPh>
    <rPh sb="17" eb="18">
      <t>オコナ</t>
    </rPh>
    <rPh sb="19" eb="21">
      <t>カクシュ</t>
    </rPh>
    <rPh sb="21" eb="23">
      <t>シケン</t>
    </rPh>
    <rPh sb="24" eb="26">
      <t>コウテイ</t>
    </rPh>
    <rPh sb="27" eb="29">
      <t>セイヒン</t>
    </rPh>
    <rPh sb="30" eb="32">
      <t>ブッセイ</t>
    </rPh>
    <rPh sb="34" eb="35">
      <t>オヨ</t>
    </rPh>
    <rPh sb="39" eb="41">
      <t>フズイ</t>
    </rPh>
    <rPh sb="43" eb="45">
      <t>ギョウム</t>
    </rPh>
    <rPh sb="49" eb="51">
      <t>カンリ</t>
    </rPh>
    <rPh sb="52" eb="54">
      <t>シケン</t>
    </rPh>
    <rPh sb="54" eb="56">
      <t>リョウキン</t>
    </rPh>
    <rPh sb="56" eb="58">
      <t>ケイサン</t>
    </rPh>
    <rPh sb="60" eb="61">
      <t>オコナ</t>
    </rPh>
    <phoneticPr fontId="2"/>
  </si>
  <si>
    <t>java 1.8.0_131
WebLogic 12.2.1.2.0</t>
  </si>
  <si>
    <t>List Creatorでの帳票作成</t>
    <rPh sb="14" eb="16">
      <t>チョウヒョウ</t>
    </rPh>
    <rPh sb="16" eb="18">
      <t>サクセイ</t>
    </rPh>
    <phoneticPr fontId="2"/>
  </si>
  <si>
    <t>SVC-00000854</t>
  </si>
  <si>
    <t>ＬＭＰＰ包装システム</t>
    <phoneticPr fontId="2"/>
  </si>
  <si>
    <t>千葉事業所(工場)のSPS、LMPP装置で生産される製品の包装管理を行うシステム。</t>
    <rPh sb="18" eb="20">
      <t>ソウチ</t>
    </rPh>
    <rPh sb="21" eb="23">
      <t>セイサン</t>
    </rPh>
    <rPh sb="26" eb="28">
      <t>セイヒン</t>
    </rPh>
    <rPh sb="29" eb="31">
      <t>ホウソウ</t>
    </rPh>
    <rPh sb="31" eb="33">
      <t>カンリ</t>
    </rPh>
    <rPh sb="34" eb="35">
      <t>オコナ</t>
    </rPh>
    <phoneticPr fontId="2"/>
  </si>
  <si>
    <t>本番
　共通基盤（館林）
検証
　共通基盤（館林）</t>
    <phoneticPr fontId="2"/>
  </si>
  <si>
    <t>SVC-00000877</t>
  </si>
  <si>
    <t>工場DB</t>
  </si>
  <si>
    <t>未実施（共通基盤）
※アプリはXenApp</t>
    <rPh sb="0" eb="3">
      <t>ミジッシ</t>
    </rPh>
    <rPh sb="4" eb="8">
      <t>キョウツウキバン</t>
    </rPh>
    <phoneticPr fontId="2"/>
  </si>
  <si>
    <t>徳山事業所の石油化学装置の生産、在庫の計画値及び実績値を管理するDB及びエクセルマクロ群。</t>
    <rPh sb="19" eb="21">
      <t>ケイカク</t>
    </rPh>
    <rPh sb="21" eb="22">
      <t>チ</t>
    </rPh>
    <rPh sb="22" eb="23">
      <t>オヨ</t>
    </rPh>
    <rPh sb="24" eb="26">
      <t>ジッセキ</t>
    </rPh>
    <rPh sb="26" eb="27">
      <t>チ</t>
    </rPh>
    <rPh sb="28" eb="30">
      <t>カンリ</t>
    </rPh>
    <rPh sb="34" eb="35">
      <t>オヨ</t>
    </rPh>
    <rPh sb="43" eb="44">
      <t>グン</t>
    </rPh>
    <phoneticPr fontId="2"/>
  </si>
  <si>
    <t>Excel</t>
    <phoneticPr fontId="2"/>
  </si>
  <si>
    <t>SVC-00000705</t>
  </si>
  <si>
    <t>千葉ヤ－ド操業システム</t>
  </si>
  <si>
    <t>未実施（共通基盤）</t>
  </si>
  <si>
    <t>（3）</t>
  </si>
  <si>
    <t>千葉事業所及び徳山事業所の石油化学品の入出荷を管理するシステム。</t>
    <rPh sb="17" eb="18">
      <t>ヒン</t>
    </rPh>
    <rPh sb="19" eb="22">
      <t>ニュウシュッカ</t>
    </rPh>
    <rPh sb="23" eb="25">
      <t>カンリ</t>
    </rPh>
    <phoneticPr fontId="2"/>
  </si>
  <si>
    <t>WindowsServer2016</t>
    <phoneticPr fontId="2"/>
  </si>
  <si>
    <t>SQLServer2016</t>
  </si>
  <si>
    <t>Systemwalker Operation Manager
OWFT</t>
  </si>
  <si>
    <t>本番
　AP/DBサーバ×2（現地）
　AP/DB予備×2（館林）
検証
　AP/DBサーバ×2（館林）</t>
  </si>
  <si>
    <t>千葉：20
徳山：19</t>
    <rPh sb="0" eb="2">
      <t>チバ</t>
    </rPh>
    <rPh sb="6" eb="8">
      <t>トクヤマ</t>
    </rPh>
    <phoneticPr fontId="2"/>
  </si>
  <si>
    <t>千葉：16
徳山：15</t>
    <phoneticPr fontId="2"/>
  </si>
  <si>
    <t>SVC-00000707</t>
  </si>
  <si>
    <t>徳山ヤ－ド操業システム</t>
  </si>
  <si>
    <t>SVC-00000704</t>
  </si>
  <si>
    <t>千葉製品倉庫システム</t>
    <phoneticPr fontId="2"/>
  </si>
  <si>
    <t>未実施（現地サーバ）</t>
  </si>
  <si>
    <t>千葉事業所(工場)で生産されているポリマー製品の包装、入出荷、在庫管理を行うシステム。</t>
    <rPh sb="10" eb="12">
      <t>セイサン</t>
    </rPh>
    <rPh sb="21" eb="23">
      <t>セイヒン</t>
    </rPh>
    <rPh sb="24" eb="26">
      <t>ホウソウ</t>
    </rPh>
    <rPh sb="27" eb="30">
      <t>ニュウシュッカ</t>
    </rPh>
    <rPh sb="31" eb="33">
      <t>ザイコ</t>
    </rPh>
    <rPh sb="33" eb="35">
      <t>カンリ</t>
    </rPh>
    <rPh sb="36" eb="37">
      <t>オコナ</t>
    </rPh>
    <phoneticPr fontId="2"/>
  </si>
  <si>
    <t>VB.NET</t>
    <phoneticPr fontId="2"/>
  </si>
  <si>
    <t>Oracle12C</t>
  </si>
  <si>
    <t>本番
　AP/DBサーバ（現地）
検証
　APサーバ（館林）</t>
    <phoneticPr fontId="2"/>
  </si>
  <si>
    <t>SVC-00000901</t>
  </si>
  <si>
    <t>千葉工場数量確定システム（ポリマ－）</t>
    <phoneticPr fontId="2"/>
  </si>
  <si>
    <t>未実施（現地サーバ）</t>
    <rPh sb="0" eb="3">
      <t>ミジッシ</t>
    </rPh>
    <rPh sb="4" eb="6">
      <t>ゲンチ</t>
    </rPh>
    <phoneticPr fontId="2"/>
  </si>
  <si>
    <t>千葉事業所(工場)で生産されているポリマー製品の生産、在庫、PL(パイプライン)出荷、品目転換数量の管理を行うシステム。</t>
    <phoneticPr fontId="2"/>
  </si>
  <si>
    <t>ASP.NET</t>
    <phoneticPr fontId="2"/>
  </si>
  <si>
    <t>SVC-00000711</t>
  </si>
  <si>
    <t>ＡＢＣ数量確定システム</t>
    <phoneticPr fontId="2"/>
  </si>
  <si>
    <t>千葉事業所(工場)のABC装置で生産される製品の生産管理を行うシステム。</t>
    <rPh sb="13" eb="15">
      <t>ソウチ</t>
    </rPh>
    <rPh sb="16" eb="18">
      <t>セイサン</t>
    </rPh>
    <rPh sb="21" eb="23">
      <t>セイヒン</t>
    </rPh>
    <rPh sb="24" eb="26">
      <t>セイサン</t>
    </rPh>
    <rPh sb="26" eb="28">
      <t>カンリ</t>
    </rPh>
    <rPh sb="29" eb="30">
      <t>オコナ</t>
    </rPh>
    <phoneticPr fontId="2"/>
  </si>
  <si>
    <t>C#</t>
    <phoneticPr fontId="2"/>
  </si>
  <si>
    <t>千葉L3.5</t>
    <rPh sb="0" eb="2">
      <t>チバ</t>
    </rPh>
    <phoneticPr fontId="4"/>
  </si>
  <si>
    <t>L3層に存在するシステムとL4層に存在するシステムの中継となるサーバ</t>
    <rPh sb="2" eb="3">
      <t>ソウ</t>
    </rPh>
    <rPh sb="4" eb="6">
      <t>ソンザイ</t>
    </rPh>
    <rPh sb="15" eb="16">
      <t>ソウ</t>
    </rPh>
    <rPh sb="17" eb="19">
      <t>ソンザイ</t>
    </rPh>
    <rPh sb="26" eb="28">
      <t>チュウケイ</t>
    </rPh>
    <phoneticPr fontId="2"/>
  </si>
  <si>
    <t>本番
　APサーバ（現地）
検証
　APサーバ（館林）</t>
    <phoneticPr fontId="2"/>
  </si>
  <si>
    <r>
      <t>千葉：52
徳山：</t>
    </r>
    <r>
      <rPr>
        <sz val="11"/>
        <color rgb="FFFF0000"/>
        <rFont val="游ゴシック"/>
        <family val="3"/>
        <charset val="128"/>
        <scheme val="minor"/>
      </rPr>
      <t>22</t>
    </r>
    <phoneticPr fontId="2"/>
  </si>
  <si>
    <t>徳山L3.5</t>
    <rPh sb="0" eb="2">
      <t>トクヤマ</t>
    </rPh>
    <phoneticPr fontId="4"/>
  </si>
  <si>
    <t>パターン</t>
    <phoneticPr fontId="2"/>
  </si>
  <si>
    <t>（１）次期アーキテクチャとしてAzure環境に再構築</t>
    <phoneticPr fontId="2"/>
  </si>
  <si>
    <t>（３）現地Windows2016サーバ再構築</t>
    <phoneticPr fontId="2"/>
  </si>
  <si>
    <t>備考</t>
    <rPh sb="0" eb="2">
      <t>ビコウ</t>
    </rPh>
    <phoneticPr fontId="7"/>
  </si>
  <si>
    <t>アプリ</t>
  </si>
  <si>
    <t>DB</t>
  </si>
  <si>
    <t>全体</t>
  </si>
  <si>
    <t>No.</t>
    <phoneticPr fontId="7"/>
  </si>
  <si>
    <t>システム</t>
    <phoneticPr fontId="7"/>
  </si>
  <si>
    <t>調査・要件定義</t>
  </si>
  <si>
    <t>設計</t>
  </si>
  <si>
    <t>製造</t>
    <rPh sb="0" eb="2">
      <t>セイゾウ</t>
    </rPh>
    <phoneticPr fontId="7"/>
  </si>
  <si>
    <t>試験</t>
  </si>
  <si>
    <t>本番稼働</t>
  </si>
  <si>
    <t>管理</t>
    <rPh sb="0" eb="2">
      <t>カンリ</t>
    </rPh>
    <phoneticPr fontId="7"/>
  </si>
  <si>
    <t>工数計</t>
  </si>
  <si>
    <t>金額</t>
  </si>
  <si>
    <t>L3.5（徳山）</t>
    <phoneticPr fontId="2"/>
  </si>
  <si>
    <t>MEK対応は含まず</t>
    <rPh sb="3" eb="5">
      <t>タイオウ</t>
    </rPh>
    <rPh sb="6" eb="7">
      <t>フク</t>
    </rPh>
    <phoneticPr fontId="2"/>
  </si>
  <si>
    <t>L3.5（千葉）</t>
    <phoneticPr fontId="2"/>
  </si>
  <si>
    <t>計</t>
  </si>
  <si>
    <t>単価</t>
  </si>
  <si>
    <t>システム</t>
  </si>
  <si>
    <t>担当</t>
  </si>
  <si>
    <t>2024年</t>
    <rPh sb="4" eb="5">
      <t>ネン</t>
    </rPh>
    <phoneticPr fontId="2"/>
  </si>
  <si>
    <t>2025年</t>
    <rPh sb="4" eb="5">
      <t>ネン</t>
    </rPh>
    <phoneticPr fontId="2"/>
  </si>
  <si>
    <t>2026年</t>
    <rPh sb="4" eb="5">
      <t>ネン</t>
    </rPh>
    <phoneticPr fontId="2"/>
  </si>
  <si>
    <t>2027年</t>
    <phoneticPr fontId="2"/>
  </si>
  <si>
    <t>1月</t>
    <rPh sb="1" eb="2">
      <t>ガツ</t>
    </rPh>
    <phoneticPr fontId="2"/>
  </si>
  <si>
    <t>2月</t>
  </si>
  <si>
    <t>3月</t>
  </si>
  <si>
    <t>4月</t>
  </si>
  <si>
    <t>5月</t>
  </si>
  <si>
    <t>6月</t>
  </si>
  <si>
    <t>7月</t>
  </si>
  <si>
    <t>8月</t>
  </si>
  <si>
    <t>9月</t>
  </si>
  <si>
    <t>10月</t>
  </si>
  <si>
    <t>11月</t>
  </si>
  <si>
    <t>12月</t>
  </si>
  <si>
    <t>マイルストン</t>
  </si>
  <si>
    <t>★縮小共通基盤構築</t>
  </si>
  <si>
    <t>★新共通基盤構築</t>
  </si>
  <si>
    <t>★館林DC廃止</t>
  </si>
  <si>
    <t>新IRIS・XenAPP</t>
  </si>
  <si>
    <t>エネソル</t>
  </si>
  <si>
    <t>要件定義</t>
  </si>
  <si>
    <t>基本設計</t>
  </si>
  <si>
    <t>詳細設計・製造</t>
  </si>
  <si>
    <t>結合テスト</t>
  </si>
  <si>
    <t>システムテスト</t>
  </si>
  <si>
    <t>本番移行</t>
  </si>
  <si>
    <t>初期流動</t>
  </si>
  <si>
    <t>数量確定システム（千葉・徳山）</t>
  </si>
  <si>
    <t>ソルアキ</t>
  </si>
  <si>
    <t>用役管理システム（千葉・徳山）</t>
  </si>
  <si>
    <t>ＬＭＰＰ包装システム</t>
  </si>
  <si>
    <t>ヤ－ド操業システム（千葉・徳山）</t>
  </si>
  <si>
    <t>千葉製品倉庫システム</t>
  </si>
  <si>
    <t>千葉工場数量確定システム（ポリマ－）</t>
  </si>
  <si>
    <t>ＡＢＣ数量確定システム</t>
  </si>
  <si>
    <t>L3.5（千葉・徳山）</t>
  </si>
  <si>
    <t>想定要員数（作業者のみ）</t>
  </si>
  <si>
    <t>数量確定・用役管理</t>
  </si>
  <si>
    <t>千葉化学・包装・工場DB</t>
  </si>
  <si>
    <t>ヤード操業</t>
  </si>
  <si>
    <t>PRM（製品倉庫・数量ポリ・ABC）</t>
  </si>
  <si>
    <t>L3.5</t>
  </si>
  <si>
    <t>合計</t>
  </si>
  <si>
    <t>作業者</t>
  </si>
  <si>
    <t>売上(1,000k)</t>
  </si>
  <si>
    <t>経費(800k)</t>
  </si>
  <si>
    <t>管理者</t>
  </si>
  <si>
    <t>売上(1,400k)</t>
  </si>
  <si>
    <t>経費(1,000k)</t>
  </si>
  <si>
    <t>売上合計</t>
  </si>
  <si>
    <t>経費合計</t>
  </si>
  <si>
    <t>粗利</t>
  </si>
  <si>
    <t>粗利率</t>
  </si>
  <si>
    <t>システム名：数量確定システム</t>
    <rPh sb="4" eb="5">
      <t>メイ</t>
    </rPh>
    <rPh sb="6" eb="8">
      <t>スウリョウ</t>
    </rPh>
    <rPh sb="8" eb="10">
      <t>カクテイ</t>
    </rPh>
    <phoneticPr fontId="2"/>
  </si>
  <si>
    <t>想定工数(人月)</t>
    <rPh sb="0" eb="4">
      <t>ソウテイコウスウ</t>
    </rPh>
    <rPh sb="5" eb="7">
      <t>ニンゲツ</t>
    </rPh>
    <phoneticPr fontId="7"/>
  </si>
  <si>
    <t>変更箇所カテゴリ</t>
    <rPh sb="0" eb="2">
      <t>ヘンコウ</t>
    </rPh>
    <rPh sb="2" eb="4">
      <t>カショ</t>
    </rPh>
    <phoneticPr fontId="7"/>
  </si>
  <si>
    <t>タスク</t>
    <phoneticPr fontId="7"/>
  </si>
  <si>
    <t>要件定義・設計</t>
    <rPh sb="0" eb="4">
      <t>ヨウケンテイギ</t>
    </rPh>
    <rPh sb="5" eb="7">
      <t>セッケイ</t>
    </rPh>
    <phoneticPr fontId="7"/>
  </si>
  <si>
    <t>試験・本番稼働</t>
    <rPh sb="0" eb="2">
      <t>シケン</t>
    </rPh>
    <rPh sb="3" eb="7">
      <t>ホンバンカドウ</t>
    </rPh>
    <phoneticPr fontId="7"/>
  </si>
  <si>
    <t>全体工数</t>
    <rPh sb="0" eb="2">
      <t>ゼンタイ</t>
    </rPh>
    <rPh sb="2" eb="4">
      <t>コウスウ</t>
    </rPh>
    <phoneticPr fontId="7"/>
  </si>
  <si>
    <t>Azure移行</t>
    <rPh sb="5" eb="7">
      <t>イコウ</t>
    </rPh>
    <phoneticPr fontId="7"/>
  </si>
  <si>
    <t>IP,ホスト名変更に伴う各種（IF、DB等）向け先変更、検証</t>
    <phoneticPr fontId="2"/>
  </si>
  <si>
    <t>アプリ動作検証（各パターンで検証範囲は異なる）</t>
    <phoneticPr fontId="2"/>
  </si>
  <si>
    <t>サーバ更新</t>
    <rPh sb="3" eb="5">
      <t>コウシン</t>
    </rPh>
    <phoneticPr fontId="2"/>
  </si>
  <si>
    <t>アプリケーション構築、ミドルウェアのセットアップ</t>
    <phoneticPr fontId="2"/>
  </si>
  <si>
    <t>DB移行</t>
    <rPh sb="2" eb="4">
      <t>イコウ</t>
    </rPh>
    <phoneticPr fontId="7"/>
  </si>
  <si>
    <t>データ移行</t>
    <phoneticPr fontId="2"/>
  </si>
  <si>
    <t>DB構築（構成の検討から）</t>
    <phoneticPr fontId="2"/>
  </si>
  <si>
    <t>DBバージョンアップ（19c⇒22c）に伴う非互換調査、対応</t>
    <phoneticPr fontId="2"/>
  </si>
  <si>
    <t>Office更新</t>
    <rPh sb="6" eb="8">
      <t>コウシン</t>
    </rPh>
    <phoneticPr fontId="7"/>
  </si>
  <si>
    <t>テンプレートファイル調査・対応</t>
    <rPh sb="10" eb="12">
      <t>チョウサ</t>
    </rPh>
    <rPh sb="13" eb="15">
      <t>タイオウ</t>
    </rPh>
    <phoneticPr fontId="7"/>
  </si>
  <si>
    <t>TOMCAT移行</t>
    <rPh sb="6" eb="8">
      <t>イコウ</t>
    </rPh>
    <phoneticPr fontId="7"/>
  </si>
  <si>
    <t>アプリケーションの移行</t>
    <rPh sb="9" eb="11">
      <t>イコウ</t>
    </rPh>
    <phoneticPr fontId="7"/>
  </si>
  <si>
    <t>ミドルウェア移行</t>
    <rPh sb="6" eb="8">
      <t>イコウ</t>
    </rPh>
    <phoneticPr fontId="7"/>
  </si>
  <si>
    <t>A-Auto検証</t>
    <rPh sb="6" eb="8">
      <t>ケンショウ</t>
    </rPh>
    <phoneticPr fontId="7"/>
  </si>
  <si>
    <t>非互換検証</t>
    <rPh sb="0" eb="3">
      <t>ヒゴカン</t>
    </rPh>
    <rPh sb="3" eb="5">
      <t>ケンショウ</t>
    </rPh>
    <phoneticPr fontId="7"/>
  </si>
  <si>
    <t>オペマネのA-Auto更新</t>
    <rPh sb="11" eb="13">
      <t>コウシン</t>
    </rPh>
    <phoneticPr fontId="7"/>
  </si>
  <si>
    <t>A-AUTO14本</t>
    <phoneticPr fontId="2"/>
  </si>
  <si>
    <t>合計工数</t>
    <rPh sb="0" eb="2">
      <t>ゴウケイ</t>
    </rPh>
    <rPh sb="2" eb="4">
      <t>コウスウ</t>
    </rPh>
    <phoneticPr fontId="7"/>
  </si>
  <si>
    <t>単価(千円)</t>
    <rPh sb="0" eb="2">
      <t>タンカ</t>
    </rPh>
    <rPh sb="3" eb="5">
      <t>センエン</t>
    </rPh>
    <phoneticPr fontId="7"/>
  </si>
  <si>
    <t>金額(千円)</t>
    <rPh sb="0" eb="2">
      <t>キンガク</t>
    </rPh>
    <rPh sb="3" eb="5">
      <t>センエン</t>
    </rPh>
    <phoneticPr fontId="7"/>
  </si>
  <si>
    <t>システム名：</t>
    <rPh sb="4" eb="5">
      <t>メイ</t>
    </rPh>
    <phoneticPr fontId="2"/>
  </si>
  <si>
    <t>アプリケーション構築、向け先変更、IF検証、ミドルウェアのセットアップ</t>
    <phoneticPr fontId="2"/>
  </si>
  <si>
    <t>参考：Windows Server 2012  更新対応</t>
    <rPh sb="0" eb="2">
      <t>サンコウ</t>
    </rPh>
    <rPh sb="26" eb="28">
      <t>タイオウ</t>
    </rPh>
    <phoneticPr fontId="2"/>
  </si>
  <si>
    <t>アプリケーション構築、向け先変更、IF検証、ミドルウェアのセットアップ</t>
  </si>
  <si>
    <t>向け先変更、IF検証、ミドルウェアのセットアップ</t>
    <phoneticPr fontId="2"/>
  </si>
  <si>
    <t>OS更新</t>
    <rPh sb="2" eb="4">
      <t>コウシン</t>
    </rPh>
    <phoneticPr fontId="7"/>
  </si>
  <si>
    <t>.netFramework非互換調査、64bit非互換調査</t>
    <rPh sb="13" eb="16">
      <t>ヒゴカン</t>
    </rPh>
    <rPh sb="16" eb="18">
      <t>チョウサ</t>
    </rPh>
    <rPh sb="24" eb="27">
      <t>ヒゴカン</t>
    </rPh>
    <rPh sb="27" eb="29">
      <t>チョウサ</t>
    </rPh>
    <phoneticPr fontId="7"/>
  </si>
  <si>
    <t>バージョンアップ、データ移行、向け先変更</t>
    <rPh sb="12" eb="14">
      <t>イコウ</t>
    </rPh>
    <phoneticPr fontId="7"/>
  </si>
  <si>
    <t>A-AUTO6本</t>
    <phoneticPr fontId="2"/>
  </si>
  <si>
    <t>徳山L3.5</t>
    <phoneticPr fontId="2"/>
  </si>
  <si>
    <t>作業パターン：</t>
  </si>
  <si>
    <t>工程</t>
  </si>
  <si>
    <t>タスク</t>
  </si>
  <si>
    <t>概算工数</t>
  </si>
  <si>
    <t>成果物</t>
  </si>
  <si>
    <t>要件定義書</t>
  </si>
  <si>
    <t>現行サーバの構成確認
通信経路（FW）設定調査</t>
    <phoneticPr fontId="2"/>
  </si>
  <si>
    <t>IP,ホスト名変更に伴う影響箇所調査</t>
    <phoneticPr fontId="2"/>
  </si>
  <si>
    <t>IP,ホスト名使用箇所GREP調査</t>
    <phoneticPr fontId="2"/>
  </si>
  <si>
    <t>次工程以降正式見積</t>
  </si>
  <si>
    <t>移行方式設計</t>
  </si>
  <si>
    <t>アプリ移行方式設計書（出光フォーマット）
移行計画書</t>
  </si>
  <si>
    <t>アプリ移行方式設計書作成（出光フォーマット）
移行計画書作成</t>
    <rPh sb="7" eb="12">
      <t>セッケイショサクセイ</t>
    </rPh>
    <rPh sb="13" eb="15">
      <t>イデミツ</t>
    </rPh>
    <rPh sb="23" eb="27">
      <t>イコウケイカク</t>
    </rPh>
    <rPh sb="27" eb="28">
      <t>ショ</t>
    </rPh>
    <rPh sb="28" eb="30">
      <t>サクセイ</t>
    </rPh>
    <phoneticPr fontId="2"/>
  </si>
  <si>
    <t>サーバ構築ヒアリングシート
FW設定依頼書</t>
  </si>
  <si>
    <t>ヒアリングシートの作成</t>
    <phoneticPr fontId="2"/>
  </si>
  <si>
    <t>IP,ホスト名変更に伴う影響箇所対応</t>
    <phoneticPr fontId="2"/>
  </si>
  <si>
    <t>基本設計書、詳細設計書
運用ドキュメント</t>
  </si>
  <si>
    <t>設計書、運用ドキュメント修正
バッチ＋IF=15
15*20%を想定</t>
    <phoneticPr fontId="2"/>
  </si>
  <si>
    <t>OWFT、IIS等のMWインストール・セットアップ、フォルダ作成
※オペマネは出光様にてご対応
本番、検証（検証は同等構成のため少な目に設定）</t>
  </si>
  <si>
    <t>IP,ホスト名変更に伴う影響箇所対応</t>
  </si>
  <si>
    <t>PG一式</t>
  </si>
  <si>
    <t>PG修正
バッチ＋IF=15
15*20%を想定</t>
    <phoneticPr fontId="2"/>
  </si>
  <si>
    <t>内部テスト</t>
  </si>
  <si>
    <t>テスト仕様書兼結果報告書</t>
  </si>
  <si>
    <t>各検証機とL3.5間のテスト(L3層はダミーで実施)
オペマネのジョブテスト
機能数（バッチ＋IF）=15
15連携全てテスト</t>
    <phoneticPr fontId="2"/>
  </si>
  <si>
    <t>非機能テスト</t>
  </si>
  <si>
    <t>バックアップ（連携ファイル）、
性能（一部バッチをサンプリングし実施）</t>
  </si>
  <si>
    <t>IFテスト</t>
  </si>
  <si>
    <t>他システムとの連携テスト
下位：運転管理(徳山)、陸上出荷
上位：ヤード操業(徳山)
他シスとのテスト調整
テスト実施：17</t>
    <phoneticPr fontId="2"/>
  </si>
  <si>
    <t>アプリ移行</t>
  </si>
  <si>
    <t>本番移行手順書</t>
  </si>
  <si>
    <t>移行手順書作成＋出光内の移行方式レビュー支援
移行作業（入出荷に関わるため業務調整等で手間）
システム毎に実施（4回を想定）</t>
  </si>
  <si>
    <t>初期流動管理表</t>
  </si>
  <si>
    <t>月末月初挟む2ヶ月×2名（入出荷に関わるため緊急性高い）</t>
  </si>
  <si>
    <t>PJ管理</t>
  </si>
  <si>
    <t>プロジェクト計画書
課題管理表
スケジュール（WBS）
議事録
レビュー管理表</t>
  </si>
  <si>
    <t>PJ管理、定例会、各工程完了レビュー</t>
    <rPh sb="2" eb="4">
      <t>カンリ</t>
    </rPh>
    <rPh sb="5" eb="7">
      <t>テイレイ</t>
    </rPh>
    <rPh sb="7" eb="8">
      <t>カイ</t>
    </rPh>
    <rPh sb="9" eb="12">
      <t>カクコウテイ</t>
    </rPh>
    <rPh sb="12" eb="14">
      <t>カンリョウ</t>
    </rPh>
    <phoneticPr fontId="2"/>
  </si>
  <si>
    <t>千葉L3.5</t>
    <rPh sb="0" eb="2">
      <t>チバ</t>
    </rPh>
    <phoneticPr fontId="2"/>
  </si>
  <si>
    <t>設計書、運用ドキュメント修正
バッチ＋IF=53
53*20%を想定</t>
    <phoneticPr fontId="2"/>
  </si>
  <si>
    <t>PG修正
バッチ＋IF=53
53*20%を想定</t>
    <phoneticPr fontId="2"/>
  </si>
  <si>
    <t>各検証機とL3.5間のテスト(L3層はダミーで実施)
オペマネのジョブテスト
機能数（バッチ＋IF）=53
53連携全てテスト</t>
    <phoneticPr fontId="2"/>
  </si>
  <si>
    <t>他システムとの連携テスト
下位：運転管理(千葉)、UX、TCM、第１ABC、第2ABC
上位：ヤード操業(千葉)、PRMAPDB
他シスとのテスト調整
テスト実施：17</t>
    <phoneticPr fontId="2"/>
  </si>
  <si>
    <t>【対応方針】</t>
    <rPh sb="1" eb="3">
      <t>タイオウ</t>
    </rPh>
    <rPh sb="3" eb="5">
      <t>ホウシン</t>
    </rPh>
    <phoneticPr fontId="2"/>
  </si>
  <si>
    <t>・共通基盤DBに乗っているDB(数量確定、工場DB、品管、包装)は縮小基盤へ移動</t>
    <rPh sb="1" eb="3">
      <t>キョウツウ</t>
    </rPh>
    <rPh sb="3" eb="5">
      <t>キバン</t>
    </rPh>
    <rPh sb="8" eb="9">
      <t>ノ</t>
    </rPh>
    <rPh sb="33" eb="35">
      <t>シュクショウ</t>
    </rPh>
    <rPh sb="35" eb="37">
      <t>キバン</t>
    </rPh>
    <rPh sb="38" eb="40">
      <t>イドウ</t>
    </rPh>
    <phoneticPr fontId="2"/>
  </si>
  <si>
    <t>・基本全てのオペマネはA-AUTOに変更</t>
    <rPh sb="1" eb="3">
      <t>キホン</t>
    </rPh>
    <rPh sb="3" eb="4">
      <t>スベ</t>
    </rPh>
    <rPh sb="18" eb="20">
      <t>ヘンコウ</t>
    </rPh>
    <phoneticPr fontId="2"/>
  </si>
  <si>
    <t>・独立したサーバとして寄せられるシステムは寄せる(数量確定システムと用役管理システム、品管と包装)</t>
    <rPh sb="1" eb="3">
      <t>ドクリツ</t>
    </rPh>
    <rPh sb="11" eb="12">
      <t>ヨ</t>
    </rPh>
    <rPh sb="21" eb="22">
      <t>ヨ</t>
    </rPh>
    <rPh sb="25" eb="27">
      <t>スウリョウ</t>
    </rPh>
    <rPh sb="27" eb="29">
      <t>カクテイ</t>
    </rPh>
    <rPh sb="34" eb="36">
      <t>ヨウエキ</t>
    </rPh>
    <rPh sb="36" eb="38">
      <t>カンリ</t>
    </rPh>
    <rPh sb="43" eb="45">
      <t>ヒンカン</t>
    </rPh>
    <rPh sb="46" eb="48">
      <t>ホウソウ</t>
    </rPh>
    <phoneticPr fontId="2"/>
  </si>
  <si>
    <t>【対象】</t>
    <rPh sb="1" eb="3">
      <t>タイショウ</t>
    </rPh>
    <phoneticPr fontId="2"/>
  </si>
  <si>
    <t>No</t>
    <phoneticPr fontId="2"/>
  </si>
  <si>
    <t>サーバ名</t>
  </si>
  <si>
    <t>構成</t>
    <rPh sb="0" eb="2">
      <t>コウセイ</t>
    </rPh>
    <phoneticPr fontId="2"/>
  </si>
  <si>
    <t>超概算(人月)</t>
    <rPh sb="0" eb="1">
      <t>チョウ</t>
    </rPh>
    <rPh sb="1" eb="3">
      <t>ガイサン</t>
    </rPh>
    <rPh sb="4" eb="6">
      <t>ニンゲツ</t>
    </rPh>
    <phoneticPr fontId="2"/>
  </si>
  <si>
    <t>内訳</t>
    <phoneticPr fontId="2"/>
  </si>
  <si>
    <t>内訳(端数切り上げ)</t>
    <rPh sb="0" eb="2">
      <t>ウチワケ</t>
    </rPh>
    <rPh sb="3" eb="5">
      <t>ハスウ</t>
    </rPh>
    <rPh sb="5" eb="6">
      <t>キ</t>
    </rPh>
    <rPh sb="7" eb="8">
      <t>ア</t>
    </rPh>
    <phoneticPr fontId="2"/>
  </si>
  <si>
    <t>備考</t>
    <rPh sb="0" eb="2">
      <t>ビコウ</t>
    </rPh>
    <phoneticPr fontId="2"/>
  </si>
  <si>
    <t>千葉ヤード操業サーバ</t>
    <rPh sb="0" eb="2">
      <t>チバ</t>
    </rPh>
    <rPh sb="5" eb="7">
      <t>ソウギョウ</t>
    </rPh>
    <phoneticPr fontId="2"/>
  </si>
  <si>
    <t>WindowsServer2022
SQLServer2022</t>
    <phoneticPr fontId="2"/>
  </si>
  <si>
    <t>ベース金額
+webシステムテスト
+webシステムテスト修正
+tomcat非互換
+個別DB</t>
    <phoneticPr fontId="2"/>
  </si>
  <si>
    <t>4
+0.5
+0.25
+0.5
+0.5</t>
    <phoneticPr fontId="2"/>
  </si>
  <si>
    <t>Azure構築
A-AOUT化無し</t>
    <rPh sb="5" eb="7">
      <t>コウチク</t>
    </rPh>
    <phoneticPr fontId="2"/>
  </si>
  <si>
    <t>徳山ヤード操業サーバ</t>
    <rPh sb="0" eb="2">
      <t>トクヤマ</t>
    </rPh>
    <rPh sb="5" eb="7">
      <t>ソウギョウ</t>
    </rPh>
    <phoneticPr fontId="2"/>
  </si>
  <si>
    <t>数量用役システムサーバ</t>
    <rPh sb="0" eb="2">
      <t>スウリョウ</t>
    </rPh>
    <rPh sb="2" eb="4">
      <t>ヨウエキ</t>
    </rPh>
    <phoneticPr fontId="2"/>
  </si>
  <si>
    <t>Red Hat Enterprise Linux8.6</t>
    <phoneticPr fontId="2"/>
  </si>
  <si>
    <t>ベース金額
+webシステムテスト×4
+webシステムテスト修正×4
+tomcat非互換×2
+A-AUTO14本</t>
    <rPh sb="58" eb="59">
      <t>ホン</t>
    </rPh>
    <phoneticPr fontId="2"/>
  </si>
  <si>
    <t>4
+0.5*4
+0.25*4
+0.5*2
+0.5(14*5/8/20)</t>
    <phoneticPr fontId="2"/>
  </si>
  <si>
    <t>Azure構築</t>
    <rPh sb="5" eb="7">
      <t>コウチク</t>
    </rPh>
    <phoneticPr fontId="2"/>
  </si>
  <si>
    <t>品管包装システムサーバ</t>
    <rPh sb="0" eb="2">
      <t>ヒンカン</t>
    </rPh>
    <rPh sb="2" eb="4">
      <t>ホウソウ</t>
    </rPh>
    <phoneticPr fontId="2"/>
  </si>
  <si>
    <t xml:space="preserve">Red Hat Enterprise Linux8.6 </t>
    <phoneticPr fontId="2"/>
  </si>
  <si>
    <t>ベース金額
+webシステムテスト×2
+webシステムテスト修正×2
+tomcat非互換×2
+A-AUTO6本</t>
    <rPh sb="57" eb="58">
      <t>ホン</t>
    </rPh>
    <phoneticPr fontId="2"/>
  </si>
  <si>
    <t>4
+0.5*2
+0.25*2
+0.5*2
+0.25(6*5/8/20)</t>
    <phoneticPr fontId="2"/>
  </si>
  <si>
    <t>工場DB</t>
    <rPh sb="0" eb="2">
      <t>コウジョウ</t>
    </rPh>
    <phoneticPr fontId="2"/>
  </si>
  <si>
    <t>システムテスト</t>
    <phoneticPr fontId="2"/>
  </si>
  <si>
    <t>Azure構築、DB構築後のエクセルでのテスト実施</t>
    <rPh sb="5" eb="7">
      <t>コウチク</t>
    </rPh>
    <rPh sb="10" eb="12">
      <t>コウチク</t>
    </rPh>
    <rPh sb="12" eb="13">
      <t>アト</t>
    </rPh>
    <rPh sb="23" eb="25">
      <t>ジッシ</t>
    </rPh>
    <phoneticPr fontId="2"/>
  </si>
  <si>
    <t>PRMサーバ</t>
    <phoneticPr fontId="2"/>
  </si>
  <si>
    <t>WindowsServer2022
Oracle22c</t>
    <phoneticPr fontId="2"/>
  </si>
  <si>
    <t>ベース金額
+webシステムテスト×3
+webシステムテスト修正×3
+個別DB</t>
    <rPh sb="37" eb="39">
      <t>コベツ</t>
    </rPh>
    <phoneticPr fontId="2"/>
  </si>
  <si>
    <t>4
+0.5*3
+0.25*3
+0.5</t>
    <phoneticPr fontId="2"/>
  </si>
  <si>
    <t>Azure構築、
PRM資産の為DB個別構築想定</t>
    <rPh sb="5" eb="7">
      <t>コウチク</t>
    </rPh>
    <rPh sb="12" eb="14">
      <t>シサン</t>
    </rPh>
    <rPh sb="15" eb="16">
      <t>タメ</t>
    </rPh>
    <rPh sb="18" eb="20">
      <t>コベツ</t>
    </rPh>
    <rPh sb="20" eb="22">
      <t>コウチク</t>
    </rPh>
    <rPh sb="22" eb="24">
      <t>ソウテイ</t>
    </rPh>
    <phoneticPr fontId="2"/>
  </si>
  <si>
    <t>千葉L3.5サーバ</t>
    <rPh sb="0" eb="2">
      <t>チバ</t>
    </rPh>
    <phoneticPr fontId="2"/>
  </si>
  <si>
    <t>WindowsServer2022</t>
    <phoneticPr fontId="2"/>
  </si>
  <si>
    <t>ベース金額</t>
    <phoneticPr fontId="2"/>
  </si>
  <si>
    <t>現地作成
A-AOUT化無し</t>
    <rPh sb="11" eb="12">
      <t>カ</t>
    </rPh>
    <rPh sb="12" eb="13">
      <t>ナ</t>
    </rPh>
    <phoneticPr fontId="2"/>
  </si>
  <si>
    <t>徳山L3.5サーバ</t>
    <rPh sb="0" eb="2">
      <t>トクヤマ</t>
    </rPh>
    <phoneticPr fontId="2"/>
  </si>
  <si>
    <t xml:space="preserve">ベース金額
</t>
    <phoneticPr fontId="2"/>
  </si>
  <si>
    <t>現地作成
A-AOUT化無し</t>
    <phoneticPr fontId="2"/>
  </si>
  <si>
    <t>DBサーバ</t>
    <phoneticPr fontId="2"/>
  </si>
  <si>
    <t>Oracle22c</t>
    <phoneticPr fontId="2"/>
  </si>
  <si>
    <t>縮小基盤への移設</t>
    <rPh sb="0" eb="4">
      <t>シュクショウキバン</t>
    </rPh>
    <rPh sb="6" eb="8">
      <t>イセツ</t>
    </rPh>
    <phoneticPr fontId="2"/>
  </si>
  <si>
    <t>(参考)2012サーバ更新</t>
    <rPh sb="1" eb="3">
      <t>サンコウ</t>
    </rPh>
    <phoneticPr fontId="2"/>
  </si>
  <si>
    <t>ベース金額：4人月(内容：調査、基本設計、環境構築、結合テスト 、システムテスト、本番移行・初期流動、プロジェクト管理)</t>
    <rPh sb="3" eb="5">
      <t>キンガク</t>
    </rPh>
    <rPh sb="7" eb="9">
      <t>ニンゲツ</t>
    </rPh>
    <rPh sb="10" eb="12">
      <t>ナイヨウ</t>
    </rPh>
    <phoneticPr fontId="2"/>
  </si>
  <si>
    <t>webシステムテスト：0.5人月</t>
    <rPh sb="14" eb="16">
      <t>ニンゲツ</t>
    </rPh>
    <phoneticPr fontId="2"/>
  </si>
  <si>
    <t>webシステムテスト修正：0.25人月</t>
    <rPh sb="10" eb="12">
      <t>シュウセイ</t>
    </rPh>
    <rPh sb="17" eb="19">
      <t>ニンゲツ</t>
    </rPh>
    <phoneticPr fontId="2"/>
  </si>
  <si>
    <t>tomcat非互換：0.5人月</t>
    <rPh sb="6" eb="9">
      <t>ヒゴカン</t>
    </rPh>
    <rPh sb="13" eb="15">
      <t>ニンゲツ</t>
    </rPh>
    <phoneticPr fontId="2"/>
  </si>
  <si>
    <t>個別DB：0.5人月</t>
    <rPh sb="0" eb="2">
      <t>コベツ</t>
    </rPh>
    <rPh sb="8" eb="10">
      <t>ニンゲツ</t>
    </rPh>
    <phoneticPr fontId="2"/>
  </si>
  <si>
    <t>A-AUTO：1本＊5H</t>
    <rPh sb="8" eb="9">
      <t>ホン</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</si>
</sst>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_);[Red]\(0\)"/>
    <numFmt numFmtId="177" formatCode="0.0_);[Red]\(0.0\)"/>
    <numFmt numFmtId="178" formatCode="0.00_);[Red]\(0.00\)"/>
    <numFmt numFmtId="179" formatCode="0.0"/>
    <numFmt numFmtId="180" formatCode="_-[$¥-411]* #,##0.00_-;\-[$¥-411]* #,##0.00_-;_-[$¥-411]* &quot;-&quot;??_-;_-@_-"/>
    <numFmt numFmtId="181" formatCode="_-[$¥-411]* #,##0_-;\-[$¥-411]* #,##0_-;_-[$¥-411]* &quot;-&quot;??_-;_-@_-"/>
  </numFmts>
  <fonts count="17">
    <font>
      <sz val="11"/>
      <color theme="1"/>
      <name val="游ゴシック"/>
      <family val="2"/>
      <charset val="128"/>
      <scheme val="minor"/>
    </font>
    <font>
      <sz val="11"/>
      <color theme="1"/>
      <name val="メイリオ"/>
      <family val="3"/>
      <charset val="128"/>
    </font>
    <font>
      <sz val="6"/>
      <name val="游ゴシック"/>
      <family val="2"/>
      <charset val="128"/>
      <scheme val="minor"/>
    </font>
    <font>
      <b/>
      <sz val="11"/>
      <color theme="1"/>
      <name val="游ゴシック"/>
      <family val="3"/>
      <charset val="128"/>
      <scheme val="minor"/>
    </font>
    <font>
      <sz val="6"/>
      <name val="ＭＳ ゴシック"/>
      <family val="2"/>
      <charset val="128"/>
    </font>
    <font>
      <sz val="11"/>
      <color theme="1"/>
      <name val="游ゴシック"/>
      <family val="3"/>
      <charset val="128"/>
      <scheme val="minor"/>
    </font>
    <font>
      <sz val="11"/>
      <color theme="1"/>
      <name val="游ゴシック"/>
      <family val="2"/>
      <scheme val="minor"/>
    </font>
    <font>
      <sz val="6"/>
      <name val="游ゴシック"/>
      <family val="3"/>
      <charset val="128"/>
      <scheme val="minor"/>
    </font>
    <font>
      <sz val="11"/>
      <color rgb="FFFF0000"/>
      <name val="游ゴシック"/>
      <family val="2"/>
      <scheme val="minor"/>
    </font>
    <font>
      <sz val="11"/>
      <color theme="1"/>
      <name val="ＭＳ ゴシック"/>
      <family val="2"/>
      <charset val="128"/>
    </font>
    <font>
      <sz val="11"/>
      <color rgb="FFFF0000"/>
      <name val="ＭＳ ゴシック"/>
      <family val="2"/>
      <charset val="128"/>
    </font>
    <font>
      <b/>
      <sz val="11"/>
      <color theme="1"/>
      <name val="ＭＳ ゴシック"/>
      <family val="3"/>
      <charset val="128"/>
    </font>
    <font>
      <b/>
      <sz val="11"/>
      <color theme="1"/>
      <name val="游ゴシック"/>
      <family val="2"/>
      <scheme val="minor"/>
    </font>
    <font>
      <b/>
      <sz val="11"/>
      <color theme="1"/>
      <name val="游ゴシック"/>
      <family val="2"/>
      <charset val="128"/>
      <scheme val="minor"/>
    </font>
    <font>
      <strike/>
      <sz val="11"/>
      <color theme="1"/>
      <name val="游ゴシック"/>
      <family val="2"/>
      <charset val="128"/>
      <scheme val="minor"/>
    </font>
    <font>
      <sz val="11"/>
      <name val="游ゴシック"/>
      <family val="3"/>
      <charset val="128"/>
      <scheme val="minor"/>
    </font>
    <font>
      <sz val="11"/>
      <color rgb="FFFF0000"/>
      <name val="游ゴシック"/>
      <family val="3"/>
      <charset val="128"/>
      <scheme val="minor"/>
    </font>
  </fonts>
  <fills count="13">
    <fill>
      <patternFill patternType="none"/>
    </fill>
    <fill>
      <patternFill patternType="gray125"/>
    </fill>
    <fill>
      <patternFill patternType="solid">
        <fgColor theme="0" tint="-0.14999847407452621"/>
        <bgColor indexed="64"/>
      </patternFill>
    </fill>
    <fill>
      <patternFill patternType="solid">
        <fgColor rgb="FF92D050"/>
        <bgColor indexed="64"/>
      </patternFill>
    </fill>
    <fill>
      <patternFill patternType="solid">
        <fgColor rgb="FFFFFF00"/>
        <bgColor indexed="64"/>
      </patternFill>
    </fill>
    <fill>
      <patternFill patternType="solid">
        <fgColor theme="0"/>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s>
  <borders count="73">
    <border>
      <left/>
      <right/>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auto="1"/>
      </top>
      <bottom style="thin">
        <color auto="1"/>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medium">
        <color rgb="FF000000"/>
      </right>
      <top/>
      <bottom/>
      <diagonal/>
    </border>
    <border>
      <left/>
      <right/>
      <top style="thin">
        <color rgb="FF000000"/>
      </top>
      <bottom style="thin">
        <color rgb="FF000000"/>
      </bottom>
      <diagonal/>
    </border>
    <border>
      <left style="medium">
        <color rgb="FF000000"/>
      </left>
      <right/>
      <top style="medium">
        <color rgb="FF000000"/>
      </top>
      <bottom/>
      <diagonal/>
    </border>
    <border>
      <left style="medium">
        <color rgb="FF000000"/>
      </left>
      <right style="thin">
        <color indexed="64"/>
      </right>
      <top/>
      <bottom style="thin">
        <color indexed="64"/>
      </bottom>
      <diagonal/>
    </border>
    <border>
      <left style="medium">
        <color rgb="FF000000"/>
      </left>
      <right style="thin">
        <color indexed="64"/>
      </right>
      <top style="thin">
        <color indexed="64"/>
      </top>
      <bottom style="thin">
        <color indexed="64"/>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indexed="64"/>
      </left>
      <right/>
      <top style="medium">
        <color rgb="FF000000"/>
      </top>
      <bottom style="thin">
        <color indexed="64"/>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medium">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medium">
        <color rgb="FF000000"/>
      </bottom>
      <diagonal/>
    </border>
    <border>
      <left/>
      <right style="medium">
        <color rgb="FF000000"/>
      </right>
      <top style="medium">
        <color rgb="FF000000"/>
      </top>
      <bottom/>
      <diagonal/>
    </border>
    <border>
      <left/>
      <right style="medium">
        <color rgb="FF000000"/>
      </right>
      <top/>
      <bottom style="thin">
        <color rgb="FF000000"/>
      </bottom>
      <diagonal/>
    </border>
    <border>
      <left style="medium">
        <color rgb="FF000000"/>
      </left>
      <right style="thin">
        <color indexed="64"/>
      </right>
      <top/>
      <bottom/>
      <diagonal/>
    </border>
    <border>
      <left style="thin">
        <color indexed="64"/>
      </left>
      <right/>
      <top/>
      <bottom/>
      <diagonal/>
    </border>
    <border>
      <left style="medium">
        <color rgb="FF000000"/>
      </left>
      <right style="thin">
        <color rgb="FF000000"/>
      </right>
      <top/>
      <bottom style="thin">
        <color rgb="FF000000"/>
      </bottom>
      <diagonal/>
    </border>
    <border>
      <left style="thin">
        <color rgb="FF000000"/>
      </left>
      <right style="thin">
        <color rgb="FF000000"/>
      </right>
      <top style="medium">
        <color rgb="FF000000"/>
      </top>
      <bottom/>
      <diagonal/>
    </border>
    <border>
      <left style="thin">
        <color rgb="FF000000"/>
      </left>
      <right style="medium">
        <color rgb="FF000000"/>
      </right>
      <top style="thin">
        <color rgb="FF000000"/>
      </top>
      <bottom style="medium">
        <color rgb="FF000000"/>
      </bottom>
      <diagonal/>
    </border>
    <border>
      <left/>
      <right style="thin">
        <color rgb="FF000000"/>
      </right>
      <top style="medium">
        <color rgb="FF000000"/>
      </top>
      <bottom style="thin">
        <color rgb="FF000000"/>
      </bottom>
      <diagonal/>
    </border>
    <border>
      <left/>
      <right style="thin">
        <color rgb="FF000000"/>
      </right>
      <top style="thin">
        <color rgb="FF000000"/>
      </top>
      <bottom style="medium">
        <color rgb="FF000000"/>
      </bottom>
      <diagonal/>
    </border>
    <border>
      <left/>
      <right style="medium">
        <color rgb="FF000000"/>
      </right>
      <top style="medium">
        <color rgb="FF000000"/>
      </top>
      <bottom style="thin">
        <color rgb="FF000000"/>
      </bottom>
      <diagonal/>
    </border>
    <border>
      <left/>
      <right/>
      <top style="medium">
        <color rgb="FF000000"/>
      </top>
      <bottom/>
      <diagonal/>
    </border>
    <border>
      <left/>
      <right/>
      <top style="thin">
        <color rgb="FF000000"/>
      </top>
      <bottom/>
      <diagonal/>
    </border>
    <border>
      <left style="thin">
        <color rgb="FF000000"/>
      </left>
      <right/>
      <top style="thin">
        <color rgb="FF000000"/>
      </top>
      <bottom/>
      <diagonal/>
    </border>
    <border>
      <left style="medium">
        <color rgb="FF000000"/>
      </left>
      <right/>
      <top/>
      <bottom/>
      <diagonal/>
    </border>
    <border>
      <left style="thin">
        <color rgb="FF000000"/>
      </left>
      <right style="medium">
        <color rgb="FF000000"/>
      </right>
      <top/>
      <bottom style="thin">
        <color rgb="FF000000"/>
      </bottom>
      <diagonal/>
    </border>
  </borders>
  <cellStyleXfs count="4">
    <xf numFmtId="0" fontId="0" fillId="0" borderId="0">
      <alignment vertical="center"/>
    </xf>
    <xf numFmtId="0" fontId="6" fillId="0" borderId="0"/>
    <xf numFmtId="38" fontId="6" fillId="0" borderId="0" applyFont="0" applyFill="0" applyBorder="0" applyAlignment="0" applyProtection="0">
      <alignment vertical="center"/>
    </xf>
    <xf numFmtId="0" fontId="9" fillId="0" borderId="0">
      <alignment vertical="center"/>
    </xf>
  </cellStyleXfs>
  <cellXfs count="240">
    <xf numFmtId="0" fontId="0" fillId="0" borderId="0" xfId="0">
      <alignment vertical="center"/>
    </xf>
    <xf numFmtId="0" fontId="1" fillId="0" borderId="0" xfId="0" applyFont="1">
      <alignment vertical="center"/>
    </xf>
    <xf numFmtId="0" fontId="1" fillId="2" borderId="1" xfId="0" applyFont="1" applyFill="1" applyBorder="1">
      <alignment vertical="center"/>
    </xf>
    <xf numFmtId="49" fontId="1" fillId="2" borderId="1" xfId="0" applyNumberFormat="1" applyFont="1" applyFill="1" applyBorder="1">
      <alignment vertical="center"/>
    </xf>
    <xf numFmtId="0" fontId="1" fillId="0" borderId="1" xfId="0" applyFont="1" applyBorder="1">
      <alignment vertical="center"/>
    </xf>
    <xf numFmtId="49" fontId="1" fillId="0" borderId="1" xfId="0" applyNumberFormat="1" applyFont="1" applyBorder="1" applyAlignment="1">
      <alignment vertical="center" wrapText="1"/>
    </xf>
    <xf numFmtId="49" fontId="1" fillId="0" borderId="1" xfId="0" applyNumberFormat="1" applyFont="1" applyBorder="1">
      <alignment vertical="center"/>
    </xf>
    <xf numFmtId="0" fontId="3" fillId="3" borderId="1" xfId="0" applyFont="1" applyFill="1" applyBorder="1" applyAlignment="1">
      <alignment horizontal="center" vertical="center" wrapText="1"/>
    </xf>
    <xf numFmtId="49" fontId="5" fillId="0" borderId="1" xfId="0" applyNumberFormat="1" applyFont="1" applyBorder="1" applyAlignment="1">
      <alignment vertical="center" wrapText="1"/>
    </xf>
    <xf numFmtId="49" fontId="5" fillId="0" borderId="1" xfId="0" applyNumberFormat="1" applyFont="1" applyBorder="1" applyAlignment="1">
      <alignment horizontal="center" vertical="center" wrapText="1"/>
    </xf>
    <xf numFmtId="0" fontId="5" fillId="0" borderId="1" xfId="0" applyFont="1" applyBorder="1">
      <alignment vertical="center"/>
    </xf>
    <xf numFmtId="0" fontId="5" fillId="0" borderId="1" xfId="0" applyFont="1" applyBorder="1" applyAlignment="1">
      <alignment horizontal="center" vertical="center"/>
    </xf>
    <xf numFmtId="0" fontId="5" fillId="0" borderId="0" xfId="0" applyFont="1">
      <alignment vertical="center"/>
    </xf>
    <xf numFmtId="0" fontId="5" fillId="0" borderId="0" xfId="0" applyFont="1" applyAlignment="1">
      <alignment horizontal="center" vertical="center"/>
    </xf>
    <xf numFmtId="0" fontId="0" fillId="0" borderId="1" xfId="0" applyBorder="1">
      <alignment vertical="center"/>
    </xf>
    <xf numFmtId="176" fontId="1" fillId="0" borderId="1" xfId="0" applyNumberFormat="1" applyFont="1" applyBorder="1" applyAlignment="1">
      <alignment vertical="center" wrapText="1"/>
    </xf>
    <xf numFmtId="177" fontId="1" fillId="0" borderId="1" xfId="0" applyNumberFormat="1" applyFont="1" applyBorder="1" applyAlignment="1">
      <alignment vertical="center" wrapText="1"/>
    </xf>
    <xf numFmtId="178" fontId="1" fillId="0" borderId="1" xfId="0" applyNumberFormat="1" applyFont="1" applyBorder="1" applyAlignment="1">
      <alignment vertical="center" wrapText="1"/>
    </xf>
    <xf numFmtId="2" fontId="0" fillId="0" borderId="0" xfId="0" applyNumberFormat="1">
      <alignment vertical="center"/>
    </xf>
    <xf numFmtId="0" fontId="6" fillId="4" borderId="4" xfId="1" applyFill="1" applyBorder="1"/>
    <xf numFmtId="0" fontId="6" fillId="4" borderId="5" xfId="1" applyFill="1" applyBorder="1"/>
    <xf numFmtId="0" fontId="6" fillId="0" borderId="0" xfId="1"/>
    <xf numFmtId="0" fontId="6" fillId="4" borderId="7" xfId="1" applyFill="1" applyBorder="1"/>
    <xf numFmtId="0" fontId="6" fillId="4" borderId="7" xfId="1" applyFill="1" applyBorder="1" applyAlignment="1">
      <alignment wrapText="1"/>
    </xf>
    <xf numFmtId="0" fontId="6" fillId="0" borderId="1" xfId="1" applyBorder="1"/>
    <xf numFmtId="0" fontId="6" fillId="0" borderId="1" xfId="1" applyBorder="1" applyAlignment="1">
      <alignment wrapText="1"/>
    </xf>
    <xf numFmtId="2" fontId="6" fillId="0" borderId="1" xfId="1" applyNumberFormat="1" applyBorder="1"/>
    <xf numFmtId="14" fontId="6" fillId="0" borderId="1" xfId="1" applyNumberFormat="1" applyBorder="1"/>
    <xf numFmtId="0" fontId="8" fillId="0" borderId="0" xfId="1" applyFont="1"/>
    <xf numFmtId="38" fontId="0" fillId="0" borderId="1" xfId="2" applyFont="1" applyBorder="1" applyAlignment="1"/>
    <xf numFmtId="49" fontId="5" fillId="5" borderId="1" xfId="0" applyNumberFormat="1" applyFont="1" applyFill="1" applyBorder="1" applyAlignment="1">
      <alignment horizontal="center" vertical="center" wrapText="1"/>
    </xf>
    <xf numFmtId="49" fontId="5" fillId="5" borderId="1" xfId="0" applyNumberFormat="1" applyFont="1" applyFill="1" applyBorder="1" applyAlignment="1">
      <alignment vertical="center" wrapText="1"/>
    </xf>
    <xf numFmtId="0" fontId="9" fillId="0" borderId="0" xfId="3">
      <alignment vertical="center"/>
    </xf>
    <xf numFmtId="0" fontId="9" fillId="6" borderId="0" xfId="3" applyFill="1">
      <alignment vertical="center"/>
    </xf>
    <xf numFmtId="0" fontId="10" fillId="7" borderId="0" xfId="3" applyFont="1" applyFill="1">
      <alignment vertical="center"/>
    </xf>
    <xf numFmtId="0" fontId="9" fillId="2" borderId="0" xfId="3" applyFill="1">
      <alignment vertical="center"/>
    </xf>
    <xf numFmtId="0" fontId="9" fillId="8" borderId="0" xfId="3" applyFill="1">
      <alignment vertical="center"/>
    </xf>
    <xf numFmtId="0" fontId="11" fillId="0" borderId="0" xfId="3" applyFont="1">
      <alignment vertical="center"/>
    </xf>
    <xf numFmtId="0" fontId="6" fillId="4" borderId="14" xfId="1" applyFill="1" applyBorder="1" applyAlignment="1">
      <alignment wrapText="1"/>
    </xf>
    <xf numFmtId="0" fontId="6" fillId="4" borderId="15" xfId="1" applyFill="1" applyBorder="1" applyAlignment="1">
      <alignment wrapText="1"/>
    </xf>
    <xf numFmtId="0" fontId="6" fillId="4" borderId="16" xfId="1" applyFill="1" applyBorder="1" applyAlignment="1">
      <alignment wrapText="1"/>
    </xf>
    <xf numFmtId="2" fontId="6" fillId="0" borderId="17" xfId="1" applyNumberFormat="1" applyBorder="1"/>
    <xf numFmtId="2" fontId="6" fillId="0" borderId="18" xfId="1" applyNumberFormat="1" applyBorder="1"/>
    <xf numFmtId="0" fontId="6" fillId="0" borderId="19" xfId="1" applyBorder="1"/>
    <xf numFmtId="0" fontId="6" fillId="0" borderId="20" xfId="1" applyBorder="1"/>
    <xf numFmtId="38" fontId="0" fillId="0" borderId="17" xfId="2" applyFont="1" applyBorder="1" applyAlignment="1"/>
    <xf numFmtId="38" fontId="0" fillId="0" borderId="18" xfId="2" applyFont="1" applyBorder="1" applyAlignment="1"/>
    <xf numFmtId="38" fontId="0" fillId="0" borderId="21" xfId="2" applyFont="1" applyBorder="1" applyAlignment="1"/>
    <xf numFmtId="38" fontId="0" fillId="0" borderId="22" xfId="2" applyFont="1" applyBorder="1" applyAlignment="1"/>
    <xf numFmtId="38" fontId="0" fillId="0" borderId="23" xfId="2" applyFont="1" applyBorder="1" applyAlignment="1"/>
    <xf numFmtId="0" fontId="6" fillId="4" borderId="1" xfId="1" applyFill="1" applyBorder="1" applyAlignment="1">
      <alignment horizontal="right"/>
    </xf>
    <xf numFmtId="2" fontId="6" fillId="0" borderId="1" xfId="0" applyNumberFormat="1" applyFont="1" applyBorder="1" applyAlignment="1"/>
    <xf numFmtId="0" fontId="9" fillId="9" borderId="0" xfId="3" applyFill="1">
      <alignment vertical="center"/>
    </xf>
    <xf numFmtId="0" fontId="0" fillId="0" borderId="0" xfId="1" applyFont="1"/>
    <xf numFmtId="0" fontId="3" fillId="3" borderId="9" xfId="0" applyFont="1" applyFill="1" applyBorder="1" applyAlignment="1">
      <alignment horizontal="center" vertical="center" wrapText="1"/>
    </xf>
    <xf numFmtId="0" fontId="5" fillId="0" borderId="1" xfId="0" applyFont="1" applyBorder="1" applyAlignment="1">
      <alignment vertical="center" wrapText="1"/>
    </xf>
    <xf numFmtId="181" fontId="12" fillId="0" borderId="33" xfId="1" applyNumberFormat="1" applyFont="1" applyBorder="1" applyAlignment="1">
      <alignment horizontal="right" vertical="center"/>
    </xf>
    <xf numFmtId="181" fontId="12" fillId="0" borderId="49" xfId="1" applyNumberFormat="1" applyFont="1" applyBorder="1" applyAlignment="1">
      <alignment horizontal="right" vertical="center"/>
    </xf>
    <xf numFmtId="0" fontId="6" fillId="0" borderId="0" xfId="1" applyAlignment="1">
      <alignment vertical="center"/>
    </xf>
    <xf numFmtId="0" fontId="12" fillId="2" borderId="36" xfId="1" applyFont="1" applyFill="1" applyBorder="1" applyAlignment="1">
      <alignment vertical="center"/>
    </xf>
    <xf numFmtId="0" fontId="12" fillId="2" borderId="41" xfId="1" applyFont="1" applyFill="1" applyBorder="1" applyAlignment="1">
      <alignment horizontal="right" vertical="center"/>
    </xf>
    <xf numFmtId="0" fontId="12" fillId="8" borderId="25" xfId="1" applyFont="1" applyFill="1" applyBorder="1" applyAlignment="1">
      <alignment vertical="center" wrapText="1"/>
    </xf>
    <xf numFmtId="0" fontId="12" fillId="8" borderId="33" xfId="1" applyFont="1" applyFill="1" applyBorder="1" applyAlignment="1">
      <alignment vertical="center" wrapText="1"/>
    </xf>
    <xf numFmtId="0" fontId="12" fillId="11" borderId="25" xfId="1" applyFont="1" applyFill="1" applyBorder="1" applyAlignment="1">
      <alignment vertical="center" wrapText="1"/>
    </xf>
    <xf numFmtId="0" fontId="12" fillId="11" borderId="46" xfId="1" applyFont="1" applyFill="1" applyBorder="1" applyAlignment="1">
      <alignment vertical="center" wrapText="1"/>
    </xf>
    <xf numFmtId="0" fontId="12" fillId="2" borderId="37" xfId="1" applyFont="1" applyFill="1" applyBorder="1" applyAlignment="1">
      <alignment vertical="center"/>
    </xf>
    <xf numFmtId="0" fontId="12" fillId="2" borderId="8" xfId="1" applyFont="1" applyFill="1" applyBorder="1" applyAlignment="1">
      <alignment vertical="center"/>
    </xf>
    <xf numFmtId="0" fontId="6" fillId="0" borderId="38" xfId="1" applyBorder="1" applyAlignment="1">
      <alignment vertical="center"/>
    </xf>
    <xf numFmtId="0" fontId="5" fillId="0" borderId="2" xfId="0" applyFont="1" applyBorder="1">
      <alignment vertical="center"/>
    </xf>
    <xf numFmtId="14" fontId="6" fillId="0" borderId="40" xfId="1" applyNumberFormat="1" applyBorder="1" applyAlignment="1">
      <alignment vertical="center"/>
    </xf>
    <xf numFmtId="0" fontId="8" fillId="0" borderId="56" xfId="1" applyFont="1" applyBorder="1" applyAlignment="1">
      <alignment vertical="center"/>
    </xf>
    <xf numFmtId="181" fontId="13" fillId="0" borderId="45" xfId="2" applyNumberFormat="1" applyFont="1" applyBorder="1" applyAlignment="1">
      <alignment vertical="center"/>
    </xf>
    <xf numFmtId="181" fontId="13" fillId="0" borderId="25" xfId="2" applyNumberFormat="1" applyFont="1" applyBorder="1" applyAlignment="1">
      <alignment vertical="center"/>
    </xf>
    <xf numFmtId="180" fontId="13" fillId="0" borderId="33" xfId="2" applyNumberFormat="1" applyFont="1" applyBorder="1" applyAlignment="1">
      <alignment vertical="center"/>
    </xf>
    <xf numFmtId="181" fontId="13" fillId="0" borderId="33" xfId="2" applyNumberFormat="1" applyFont="1" applyBorder="1" applyAlignment="1">
      <alignment vertical="center"/>
    </xf>
    <xf numFmtId="0" fontId="6" fillId="0" borderId="55" xfId="1" applyBorder="1" applyAlignment="1">
      <alignment vertical="center"/>
    </xf>
    <xf numFmtId="181" fontId="13" fillId="0" borderId="47" xfId="2" applyNumberFormat="1" applyFont="1" applyBorder="1" applyAlignment="1">
      <alignment vertical="center"/>
    </xf>
    <xf numFmtId="181" fontId="13" fillId="0" borderId="48" xfId="2" applyNumberFormat="1" applyFont="1" applyBorder="1" applyAlignment="1">
      <alignment vertical="center"/>
    </xf>
    <xf numFmtId="181" fontId="13" fillId="0" borderId="50" xfId="2" applyNumberFormat="1" applyFont="1" applyBorder="1" applyAlignment="1">
      <alignment vertical="center"/>
    </xf>
    <xf numFmtId="0" fontId="6" fillId="0" borderId="57" xfId="1" applyBorder="1" applyAlignment="1">
      <alignment vertical="center"/>
    </xf>
    <xf numFmtId="181" fontId="12" fillId="0" borderId="46" xfId="1" applyNumberFormat="1" applyFont="1" applyBorder="1" applyAlignment="1">
      <alignment horizontal="right" vertical="center"/>
    </xf>
    <xf numFmtId="179" fontId="0" fillId="0" borderId="25" xfId="1" applyNumberFormat="1" applyFont="1" applyBorder="1" applyAlignment="1">
      <alignment horizontal="center" vertical="center"/>
    </xf>
    <xf numFmtId="179" fontId="6" fillId="0" borderId="45" xfId="1" applyNumberFormat="1" applyBorder="1" applyAlignment="1">
      <alignment vertical="center"/>
    </xf>
    <xf numFmtId="179" fontId="6" fillId="0" borderId="25" xfId="1" applyNumberFormat="1" applyBorder="1" applyAlignment="1">
      <alignment vertical="center"/>
    </xf>
    <xf numFmtId="179" fontId="12" fillId="0" borderId="42" xfId="1" applyNumberFormat="1" applyFont="1" applyBorder="1" applyAlignment="1">
      <alignment vertical="center"/>
    </xf>
    <xf numFmtId="179" fontId="12" fillId="0" borderId="43" xfId="1" applyNumberFormat="1" applyFont="1" applyBorder="1" applyAlignment="1">
      <alignment vertical="center"/>
    </xf>
    <xf numFmtId="179" fontId="12" fillId="0" borderId="25" xfId="1" applyNumberFormat="1" applyFont="1" applyBorder="1" applyAlignment="1">
      <alignment vertical="center"/>
    </xf>
    <xf numFmtId="0" fontId="12" fillId="2" borderId="60" xfId="1" applyFont="1" applyFill="1" applyBorder="1" applyAlignment="1">
      <alignment vertical="center"/>
    </xf>
    <xf numFmtId="0" fontId="12" fillId="2" borderId="61" xfId="1" applyFont="1" applyFill="1" applyBorder="1" applyAlignment="1">
      <alignment vertical="center"/>
    </xf>
    <xf numFmtId="0" fontId="12" fillId="10" borderId="62" xfId="1" applyFont="1" applyFill="1" applyBorder="1" applyAlignment="1">
      <alignment vertical="center" wrapText="1"/>
    </xf>
    <xf numFmtId="0" fontId="12" fillId="10" borderId="28" xfId="1" applyFont="1" applyFill="1" applyBorder="1" applyAlignment="1">
      <alignment vertical="center" wrapText="1"/>
    </xf>
    <xf numFmtId="0" fontId="12" fillId="10" borderId="31" xfId="1" applyFont="1" applyFill="1" applyBorder="1" applyAlignment="1">
      <alignment vertical="center" wrapText="1"/>
    </xf>
    <xf numFmtId="0" fontId="12" fillId="10" borderId="46" xfId="1" applyFont="1" applyFill="1" applyBorder="1" applyAlignment="1">
      <alignment vertical="center" wrapText="1"/>
    </xf>
    <xf numFmtId="181" fontId="12" fillId="0" borderId="44" xfId="1" applyNumberFormat="1" applyFont="1" applyBorder="1" applyAlignment="1">
      <alignment horizontal="right" vertical="center"/>
    </xf>
    <xf numFmtId="180" fontId="13" fillId="0" borderId="46" xfId="2" applyNumberFormat="1" applyFont="1" applyBorder="1" applyAlignment="1">
      <alignment vertical="center"/>
    </xf>
    <xf numFmtId="181" fontId="13" fillId="0" borderId="64" xfId="2" applyNumberFormat="1" applyFont="1" applyBorder="1" applyAlignment="1">
      <alignment vertical="center"/>
    </xf>
    <xf numFmtId="0" fontId="12" fillId="8" borderId="30" xfId="1" applyFont="1" applyFill="1" applyBorder="1" applyAlignment="1">
      <alignment vertical="center" wrapText="1"/>
    </xf>
    <xf numFmtId="179" fontId="6" fillId="0" borderId="30" xfId="1" applyNumberFormat="1" applyBorder="1" applyAlignment="1">
      <alignment vertical="center"/>
    </xf>
    <xf numFmtId="179" fontId="12" fillId="0" borderId="65" xfId="1" applyNumberFormat="1" applyFont="1" applyBorder="1" applyAlignment="1">
      <alignment vertical="center"/>
    </xf>
    <xf numFmtId="181" fontId="13" fillId="0" borderId="30" xfId="2" applyNumberFormat="1" applyFont="1" applyBorder="1" applyAlignment="1">
      <alignment vertical="center"/>
    </xf>
    <xf numFmtId="181" fontId="13" fillId="0" borderId="66" xfId="2" applyNumberFormat="1" applyFont="1" applyBorder="1" applyAlignment="1">
      <alignment vertical="center"/>
    </xf>
    <xf numFmtId="181" fontId="12" fillId="0" borderId="25" xfId="1" applyNumberFormat="1" applyFont="1" applyBorder="1" applyAlignment="1">
      <alignment horizontal="right" vertical="center"/>
    </xf>
    <xf numFmtId="0" fontId="12" fillId="11" borderId="33" xfId="1" applyFont="1" applyFill="1" applyBorder="1" applyAlignment="1">
      <alignment vertical="center" wrapText="1"/>
    </xf>
    <xf numFmtId="0" fontId="12" fillId="11" borderId="30" xfId="1" applyFont="1" applyFill="1" applyBorder="1" applyAlignment="1">
      <alignment vertical="center" wrapText="1"/>
    </xf>
    <xf numFmtId="179" fontId="12" fillId="0" borderId="30" xfId="1" applyNumberFormat="1" applyFont="1" applyBorder="1" applyAlignment="1">
      <alignment vertical="center"/>
    </xf>
    <xf numFmtId="179" fontId="12" fillId="0" borderId="28" xfId="1" applyNumberFormat="1" applyFont="1" applyBorder="1" applyAlignment="1">
      <alignment vertical="center"/>
    </xf>
    <xf numFmtId="181" fontId="12" fillId="0" borderId="31" xfId="1" applyNumberFormat="1" applyFont="1" applyBorder="1" applyAlignment="1">
      <alignment horizontal="right" vertical="center"/>
    </xf>
    <xf numFmtId="0" fontId="12" fillId="8" borderId="46" xfId="1" applyFont="1" applyFill="1" applyBorder="1" applyAlignment="1">
      <alignment vertical="center" wrapText="1"/>
    </xf>
    <xf numFmtId="181" fontId="13" fillId="0" borderId="46" xfId="2" applyNumberFormat="1" applyFont="1" applyBorder="1" applyAlignment="1">
      <alignment vertical="center"/>
    </xf>
    <xf numFmtId="179" fontId="12" fillId="0" borderId="32" xfId="1" applyNumberFormat="1" applyFont="1" applyBorder="1" applyAlignment="1">
      <alignment vertical="center"/>
    </xf>
    <xf numFmtId="0" fontId="0" fillId="0" borderId="25" xfId="0" applyBorder="1">
      <alignment vertical="center"/>
    </xf>
    <xf numFmtId="0" fontId="0" fillId="12" borderId="25" xfId="0" applyFill="1" applyBorder="1">
      <alignment vertical="center"/>
    </xf>
    <xf numFmtId="49" fontId="5" fillId="12" borderId="25" xfId="0" applyNumberFormat="1" applyFont="1" applyFill="1" applyBorder="1" applyAlignment="1">
      <alignment vertical="center" wrapText="1"/>
    </xf>
    <xf numFmtId="0" fontId="5" fillId="12" borderId="25" xfId="0" applyFont="1" applyFill="1" applyBorder="1">
      <alignment vertical="center"/>
    </xf>
    <xf numFmtId="0" fontId="14" fillId="0" borderId="0" xfId="0" applyFont="1">
      <alignment vertical="center"/>
    </xf>
    <xf numFmtId="0" fontId="0" fillId="0" borderId="33" xfId="0" applyBorder="1">
      <alignment vertical="center"/>
    </xf>
    <xf numFmtId="14" fontId="0" fillId="0" borderId="33" xfId="1" applyNumberFormat="1" applyFont="1" applyBorder="1"/>
    <xf numFmtId="0" fontId="0" fillId="12" borderId="33" xfId="0" applyFill="1" applyBorder="1">
      <alignment vertical="center"/>
    </xf>
    <xf numFmtId="0" fontId="0" fillId="12" borderId="7" xfId="0" applyFill="1" applyBorder="1">
      <alignment vertical="center"/>
    </xf>
    <xf numFmtId="0" fontId="0" fillId="12" borderId="28" xfId="0" applyFill="1" applyBorder="1">
      <alignment vertical="center"/>
    </xf>
    <xf numFmtId="0" fontId="13" fillId="0" borderId="25" xfId="0" applyFont="1" applyBorder="1">
      <alignment vertical="center"/>
    </xf>
    <xf numFmtId="0" fontId="0" fillId="0" borderId="30" xfId="0" applyBorder="1">
      <alignment vertical="center"/>
    </xf>
    <xf numFmtId="0" fontId="13" fillId="0" borderId="26" xfId="0" applyFont="1" applyBorder="1">
      <alignment vertical="center"/>
    </xf>
    <xf numFmtId="0" fontId="0" fillId="0" borderId="26" xfId="0" applyBorder="1">
      <alignment vertical="center"/>
    </xf>
    <xf numFmtId="0" fontId="0" fillId="0" borderId="28" xfId="0" applyBorder="1">
      <alignment vertical="center"/>
    </xf>
    <xf numFmtId="0" fontId="0" fillId="12" borderId="31" xfId="0" applyFill="1" applyBorder="1">
      <alignment vertical="center"/>
    </xf>
    <xf numFmtId="0" fontId="13" fillId="0" borderId="0" xfId="0" applyFont="1">
      <alignment vertical="center"/>
    </xf>
    <xf numFmtId="0" fontId="0" fillId="12" borderId="70" xfId="0" applyFill="1" applyBorder="1">
      <alignment vertical="center"/>
    </xf>
    <xf numFmtId="0" fontId="13" fillId="0" borderId="30" xfId="0" applyFont="1" applyBorder="1">
      <alignment vertical="center"/>
    </xf>
    <xf numFmtId="181" fontId="0" fillId="0" borderId="0" xfId="0" applyNumberFormat="1">
      <alignment vertical="center"/>
    </xf>
    <xf numFmtId="181" fontId="0" fillId="4" borderId="25" xfId="0" applyNumberFormat="1" applyFill="1" applyBorder="1">
      <alignment vertical="center"/>
    </xf>
    <xf numFmtId="9" fontId="0" fillId="4" borderId="25" xfId="0" applyNumberFormat="1" applyFill="1" applyBorder="1">
      <alignment vertical="center"/>
    </xf>
    <xf numFmtId="0" fontId="15" fillId="4" borderId="25" xfId="1" applyFont="1" applyFill="1" applyBorder="1"/>
    <xf numFmtId="0" fontId="15" fillId="4" borderId="25" xfId="1" applyFont="1" applyFill="1" applyBorder="1" applyAlignment="1">
      <alignment wrapText="1"/>
    </xf>
    <xf numFmtId="0" fontId="15" fillId="5" borderId="26" xfId="1" applyFont="1" applyFill="1" applyBorder="1" applyAlignment="1">
      <alignment horizontal="left" vertical="center" wrapText="1"/>
    </xf>
    <xf numFmtId="0" fontId="15" fillId="0" borderId="25" xfId="1" applyFont="1" applyBorder="1" applyAlignment="1">
      <alignment vertical="top" wrapText="1"/>
    </xf>
    <xf numFmtId="0" fontId="15" fillId="0" borderId="25" xfId="1" applyFont="1" applyBorder="1"/>
    <xf numFmtId="0" fontId="15" fillId="0" borderId="33" xfId="1" applyFont="1" applyBorder="1" applyAlignment="1">
      <alignment wrapText="1"/>
    </xf>
    <xf numFmtId="179" fontId="15" fillId="0" borderId="25" xfId="1" applyNumberFormat="1" applyFont="1" applyBorder="1"/>
    <xf numFmtId="179" fontId="15" fillId="0" borderId="26" xfId="1" applyNumberFormat="1" applyFont="1" applyBorder="1" applyAlignment="1">
      <alignment horizontal="center" vertical="center"/>
    </xf>
    <xf numFmtId="0" fontId="15" fillId="0" borderId="33" xfId="1" applyFont="1" applyBorder="1"/>
    <xf numFmtId="0" fontId="15" fillId="0" borderId="25" xfId="1" applyFont="1" applyBorder="1" applyAlignment="1">
      <alignment vertical="top"/>
    </xf>
    <xf numFmtId="14" fontId="15" fillId="0" borderId="33" xfId="1" applyNumberFormat="1" applyFont="1" applyBorder="1" applyAlignment="1">
      <alignment wrapText="1"/>
    </xf>
    <xf numFmtId="0" fontId="15" fillId="0" borderId="33" xfId="1" applyFont="1" applyBorder="1" applyAlignment="1">
      <alignment vertical="center" wrapText="1"/>
    </xf>
    <xf numFmtId="0" fontId="15" fillId="0" borderId="33" xfId="1" applyFont="1" applyBorder="1" applyAlignment="1">
      <alignment horizontal="left" vertical="center" wrapText="1"/>
    </xf>
    <xf numFmtId="0" fontId="15" fillId="0" borderId="33" xfId="1" applyFont="1" applyBorder="1" applyAlignment="1">
      <alignment horizontal="left" vertical="center"/>
    </xf>
    <xf numFmtId="0" fontId="6" fillId="0" borderId="71" xfId="1" applyBorder="1" applyAlignment="1">
      <alignment vertical="center"/>
    </xf>
    <xf numFmtId="179" fontId="6" fillId="0" borderId="62" xfId="1" applyNumberFormat="1" applyBorder="1" applyAlignment="1">
      <alignment vertical="center"/>
    </xf>
    <xf numFmtId="179" fontId="6" fillId="0" borderId="28" xfId="1" applyNumberFormat="1" applyBorder="1" applyAlignment="1">
      <alignment vertical="center"/>
    </xf>
    <xf numFmtId="181" fontId="12" fillId="0" borderId="72" xfId="1" applyNumberFormat="1" applyFont="1" applyBorder="1" applyAlignment="1">
      <alignment horizontal="right" vertical="center"/>
    </xf>
    <xf numFmtId="179" fontId="6" fillId="0" borderId="32" xfId="1" applyNumberFormat="1" applyBorder="1" applyAlignment="1">
      <alignment vertical="center"/>
    </xf>
    <xf numFmtId="14" fontId="6" fillId="0" borderId="59" xfId="1" applyNumberFormat="1" applyBorder="1" applyAlignment="1">
      <alignment vertical="center"/>
    </xf>
    <xf numFmtId="0" fontId="5" fillId="0" borderId="4" xfId="0" applyFont="1" applyBorder="1" applyAlignment="1">
      <alignment vertical="center" wrapText="1"/>
    </xf>
    <xf numFmtId="49" fontId="5" fillId="0" borderId="4" xfId="0" applyNumberFormat="1" applyFont="1" applyBorder="1" applyAlignment="1">
      <alignment vertical="center" wrapText="1"/>
    </xf>
    <xf numFmtId="49" fontId="5" fillId="0" borderId="29" xfId="0" applyNumberFormat="1" applyFont="1" applyBorder="1" applyAlignment="1">
      <alignment vertical="center" wrapText="1"/>
    </xf>
    <xf numFmtId="49" fontId="5" fillId="0" borderId="7" xfId="0" applyNumberFormat="1" applyFont="1" applyBorder="1" applyAlignment="1">
      <alignment vertical="center" wrapText="1"/>
    </xf>
    <xf numFmtId="49" fontId="5" fillId="0" borderId="4" xfId="0" applyNumberFormat="1" applyFont="1" applyBorder="1" applyAlignment="1">
      <alignment horizontal="center" vertical="center" wrapText="1"/>
    </xf>
    <xf numFmtId="49" fontId="5" fillId="0" borderId="7" xfId="0" applyNumberFormat="1" applyFont="1" applyBorder="1" applyAlignment="1">
      <alignment horizontal="center" vertical="center" wrapText="1"/>
    </xf>
    <xf numFmtId="0" fontId="3" fillId="3" borderId="8" xfId="0" applyFont="1" applyFill="1" applyBorder="1" applyAlignment="1">
      <alignment horizontal="center" vertical="center" wrapText="1"/>
    </xf>
    <xf numFmtId="0" fontId="3" fillId="3" borderId="9" xfId="0" applyFont="1" applyFill="1" applyBorder="1" applyAlignment="1">
      <alignment horizontal="center" vertical="center" wrapText="1"/>
    </xf>
    <xf numFmtId="49" fontId="5" fillId="0" borderId="1" xfId="0" applyNumberFormat="1" applyFont="1" applyBorder="1" applyAlignment="1">
      <alignment vertical="center" wrapText="1"/>
    </xf>
    <xf numFmtId="0" fontId="5" fillId="0" borderId="7" xfId="0" applyFont="1" applyBorder="1" applyAlignment="1">
      <alignment vertical="center" wrapText="1"/>
    </xf>
    <xf numFmtId="0" fontId="5" fillId="0" borderId="1" xfId="0" applyFont="1" applyBorder="1" applyAlignment="1">
      <alignment vertical="center" wrapText="1"/>
    </xf>
    <xf numFmtId="0" fontId="0" fillId="0" borderId="4" xfId="0" applyBorder="1" applyAlignment="1">
      <alignment horizontal="left" vertical="top" wrapText="1"/>
    </xf>
    <xf numFmtId="0" fontId="0" fillId="0" borderId="7" xfId="0" applyBorder="1" applyAlignment="1">
      <alignment horizontal="left" vertical="top"/>
    </xf>
    <xf numFmtId="0" fontId="12" fillId="10" borderId="33" xfId="1" applyFont="1" applyFill="1" applyBorder="1" applyAlignment="1">
      <alignment horizontal="center" vertical="center" wrapText="1"/>
    </xf>
    <xf numFmtId="0" fontId="12" fillId="10" borderId="40" xfId="1" applyFont="1" applyFill="1" applyBorder="1" applyAlignment="1">
      <alignment horizontal="center" vertical="center" wrapText="1"/>
    </xf>
    <xf numFmtId="0" fontId="12" fillId="4" borderId="51" xfId="1" applyFont="1" applyFill="1" applyBorder="1" applyAlignment="1">
      <alignment horizontal="right" vertical="center"/>
    </xf>
    <xf numFmtId="0" fontId="12" fillId="4" borderId="52" xfId="1" applyFont="1" applyFill="1" applyBorder="1" applyAlignment="1">
      <alignment horizontal="right" vertical="center"/>
    </xf>
    <xf numFmtId="0" fontId="12" fillId="4" borderId="39" xfId="1" applyFont="1" applyFill="1" applyBorder="1" applyAlignment="1">
      <alignment horizontal="right" vertical="center"/>
    </xf>
    <xf numFmtId="0" fontId="12" fillId="4" borderId="35" xfId="1" applyFont="1" applyFill="1" applyBorder="1" applyAlignment="1">
      <alignment horizontal="right" vertical="center"/>
    </xf>
    <xf numFmtId="0" fontId="12" fillId="4" borderId="53" xfId="1" applyFont="1" applyFill="1" applyBorder="1" applyAlignment="1">
      <alignment horizontal="right" vertical="center"/>
    </xf>
    <xf numFmtId="0" fontId="12" fillId="4" borderId="54" xfId="1" applyFont="1" applyFill="1" applyBorder="1" applyAlignment="1">
      <alignment horizontal="right" vertical="center"/>
    </xf>
    <xf numFmtId="0" fontId="12" fillId="2" borderId="58" xfId="1" applyFont="1" applyFill="1" applyBorder="1" applyAlignment="1">
      <alignment horizontal="center" vertical="center"/>
    </xf>
    <xf numFmtId="0" fontId="12" fillId="2" borderId="34" xfId="1" applyFont="1" applyFill="1" applyBorder="1" applyAlignment="1">
      <alignment horizontal="center" vertical="center"/>
    </xf>
    <xf numFmtId="0" fontId="12" fillId="2" borderId="59" xfId="1" applyFont="1" applyFill="1" applyBorder="1" applyAlignment="1">
      <alignment horizontal="center" vertical="center"/>
    </xf>
    <xf numFmtId="0" fontId="12" fillId="10" borderId="42" xfId="1" applyFont="1" applyFill="1" applyBorder="1" applyAlignment="1">
      <alignment horizontal="left" vertical="center"/>
    </xf>
    <xf numFmtId="0" fontId="12" fillId="10" borderId="43" xfId="1" applyFont="1" applyFill="1" applyBorder="1" applyAlignment="1">
      <alignment horizontal="left" vertical="center"/>
    </xf>
    <xf numFmtId="0" fontId="12" fillId="10" borderId="63" xfId="1" applyFont="1" applyFill="1" applyBorder="1" applyAlignment="1">
      <alignment horizontal="left" vertical="center"/>
    </xf>
    <xf numFmtId="0" fontId="12" fillId="10" borderId="44" xfId="1" applyFont="1" applyFill="1" applyBorder="1" applyAlignment="1">
      <alignment horizontal="left" vertical="center"/>
    </xf>
    <xf numFmtId="0" fontId="12" fillId="10" borderId="39" xfId="1" applyFont="1" applyFill="1" applyBorder="1" applyAlignment="1">
      <alignment horizontal="center" vertical="center" wrapText="1"/>
    </xf>
    <xf numFmtId="0" fontId="12" fillId="10" borderId="35" xfId="1" applyFont="1" applyFill="1" applyBorder="1" applyAlignment="1">
      <alignment horizontal="center" vertical="center" wrapText="1"/>
    </xf>
    <xf numFmtId="0" fontId="12" fillId="10" borderId="25" xfId="1" applyFont="1" applyFill="1" applyBorder="1" applyAlignment="1">
      <alignment horizontal="center" vertical="center" wrapText="1"/>
    </xf>
    <xf numFmtId="0" fontId="12" fillId="8" borderId="52" xfId="1" applyFont="1" applyFill="1" applyBorder="1" applyAlignment="1">
      <alignment horizontal="left" vertical="center"/>
    </xf>
    <xf numFmtId="0" fontId="12" fillId="8" borderId="67" xfId="1" applyFont="1" applyFill="1" applyBorder="1" applyAlignment="1">
      <alignment horizontal="left" vertical="center"/>
    </xf>
    <xf numFmtId="0" fontId="12" fillId="11" borderId="52" xfId="1" applyFont="1" applyFill="1" applyBorder="1" applyAlignment="1">
      <alignment horizontal="left" vertical="center"/>
    </xf>
    <xf numFmtId="0" fontId="12" fillId="11" borderId="68" xfId="1" applyFont="1" applyFill="1" applyBorder="1" applyAlignment="1">
      <alignment horizontal="left" vertical="center"/>
    </xf>
    <xf numFmtId="0" fontId="12" fillId="11" borderId="67" xfId="1" applyFont="1" applyFill="1" applyBorder="1" applyAlignment="1">
      <alignment horizontal="left" vertical="center"/>
    </xf>
    <xf numFmtId="0" fontId="12" fillId="11" borderId="35" xfId="1" applyFont="1" applyFill="1" applyBorder="1" applyAlignment="1">
      <alignment horizontal="center" vertical="center" wrapText="1"/>
    </xf>
    <xf numFmtId="0" fontId="12" fillId="11" borderId="25" xfId="1" applyFont="1" applyFill="1" applyBorder="1" applyAlignment="1">
      <alignment horizontal="center" vertical="center" wrapText="1"/>
    </xf>
    <xf numFmtId="0" fontId="12" fillId="11" borderId="40" xfId="1" applyFont="1" applyFill="1" applyBorder="1" applyAlignment="1">
      <alignment horizontal="center" vertical="center" wrapText="1"/>
    </xf>
    <xf numFmtId="0" fontId="12" fillId="8" borderId="33" xfId="1" applyFont="1" applyFill="1" applyBorder="1" applyAlignment="1">
      <alignment horizontal="center" vertical="center" wrapText="1"/>
    </xf>
    <xf numFmtId="0" fontId="12" fillId="8" borderId="40" xfId="1" applyFont="1" applyFill="1" applyBorder="1" applyAlignment="1">
      <alignment horizontal="center" vertical="center" wrapText="1"/>
    </xf>
    <xf numFmtId="0" fontId="12" fillId="8" borderId="35" xfId="1" applyFont="1" applyFill="1" applyBorder="1" applyAlignment="1">
      <alignment horizontal="center" vertical="center" wrapText="1"/>
    </xf>
    <xf numFmtId="0" fontId="12" fillId="8" borderId="30" xfId="1" applyFont="1" applyFill="1" applyBorder="1" applyAlignment="1">
      <alignment horizontal="center" vertical="center" wrapText="1"/>
    </xf>
    <xf numFmtId="0" fontId="0" fillId="4" borderId="25" xfId="0" applyFill="1" applyBorder="1" applyAlignment="1">
      <alignment horizontal="center" vertical="center"/>
    </xf>
    <xf numFmtId="0" fontId="0" fillId="0" borderId="69" xfId="0" applyBorder="1" applyAlignment="1">
      <alignment horizontal="center" vertical="center"/>
    </xf>
    <xf numFmtId="0" fontId="0" fillId="0" borderId="0" xfId="0" applyAlignment="1">
      <alignment horizontal="center" vertical="center"/>
    </xf>
    <xf numFmtId="0" fontId="13" fillId="0" borderId="33" xfId="0" applyFont="1" applyBorder="1" applyAlignment="1">
      <alignment horizontal="center" vertical="center"/>
    </xf>
    <xf numFmtId="0" fontId="13" fillId="0" borderId="35" xfId="0" applyFont="1" applyBorder="1" applyAlignment="1">
      <alignment horizontal="center" vertical="center"/>
    </xf>
    <xf numFmtId="0" fontId="13" fillId="0" borderId="30" xfId="0" applyFont="1" applyBorder="1" applyAlignment="1">
      <alignment horizontal="center" vertical="center"/>
    </xf>
    <xf numFmtId="0" fontId="0" fillId="12" borderId="33" xfId="0" applyFill="1" applyBorder="1" applyAlignment="1">
      <alignment horizontal="center" vertical="center"/>
    </xf>
    <xf numFmtId="0" fontId="0" fillId="12" borderId="30" xfId="0" applyFill="1" applyBorder="1" applyAlignment="1">
      <alignment horizontal="center" vertical="center"/>
    </xf>
    <xf numFmtId="0" fontId="0" fillId="12" borderId="26" xfId="0" applyFill="1" applyBorder="1" applyAlignment="1">
      <alignment horizontal="center" vertical="center"/>
    </xf>
    <xf numFmtId="0" fontId="0" fillId="12" borderId="28" xfId="0" applyFill="1" applyBorder="1" applyAlignment="1">
      <alignment horizontal="center" vertical="center"/>
    </xf>
    <xf numFmtId="0" fontId="13" fillId="12" borderId="25" xfId="0" applyFont="1" applyFill="1" applyBorder="1" applyAlignment="1">
      <alignment horizontal="right" vertical="center"/>
    </xf>
    <xf numFmtId="0" fontId="0" fillId="12" borderId="35" xfId="0" applyFill="1" applyBorder="1" applyAlignment="1">
      <alignment horizontal="center" vertical="center"/>
    </xf>
    <xf numFmtId="0" fontId="0" fillId="12" borderId="25" xfId="0" applyFill="1" applyBorder="1" applyAlignment="1">
      <alignment horizontal="center" vertical="center"/>
    </xf>
    <xf numFmtId="0" fontId="6" fillId="4" borderId="13" xfId="1" applyFill="1" applyBorder="1" applyAlignment="1">
      <alignment wrapText="1"/>
    </xf>
    <xf numFmtId="0" fontId="6" fillId="4" borderId="6" xfId="1" applyFill="1" applyBorder="1" applyAlignment="1">
      <alignment wrapText="1"/>
    </xf>
    <xf numFmtId="0" fontId="6" fillId="4" borderId="3" xfId="1" applyFill="1" applyBorder="1" applyAlignment="1">
      <alignment wrapText="1"/>
    </xf>
    <xf numFmtId="0" fontId="6" fillId="4" borderId="24" xfId="1" applyFill="1" applyBorder="1" applyAlignment="1">
      <alignment horizontal="center"/>
    </xf>
    <xf numFmtId="0" fontId="6" fillId="4" borderId="11" xfId="1" applyFill="1" applyBorder="1" applyAlignment="1">
      <alignment horizontal="center"/>
    </xf>
    <xf numFmtId="0" fontId="6" fillId="4" borderId="12" xfId="1" applyFill="1" applyBorder="1" applyAlignment="1">
      <alignment horizontal="center"/>
    </xf>
    <xf numFmtId="0" fontId="6" fillId="4" borderId="10" xfId="1" applyFill="1" applyBorder="1" applyAlignment="1">
      <alignment horizontal="center"/>
    </xf>
    <xf numFmtId="0" fontId="15" fillId="0" borderId="26" xfId="1" applyFont="1" applyBorder="1" applyAlignment="1">
      <alignment horizontal="left" vertical="center" wrapText="1"/>
    </xf>
    <xf numFmtId="0" fontId="15" fillId="0" borderId="28" xfId="1" applyFont="1" applyBorder="1" applyAlignment="1">
      <alignment horizontal="left" vertical="center" wrapText="1"/>
    </xf>
    <xf numFmtId="0" fontId="15" fillId="0" borderId="27" xfId="1" applyFont="1" applyBorder="1" applyAlignment="1">
      <alignment horizontal="left" vertical="center" wrapText="1"/>
    </xf>
    <xf numFmtId="0" fontId="15" fillId="5" borderId="26" xfId="1" applyFont="1" applyFill="1" applyBorder="1" applyAlignment="1">
      <alignment vertical="center" wrapText="1"/>
    </xf>
    <xf numFmtId="0" fontId="15" fillId="5" borderId="27" xfId="1" applyFont="1" applyFill="1" applyBorder="1" applyAlignment="1">
      <alignment vertical="center" wrapText="1"/>
    </xf>
    <xf numFmtId="179" fontId="15" fillId="0" borderId="26" xfId="1" applyNumberFormat="1" applyFont="1" applyBorder="1" applyAlignment="1">
      <alignment horizontal="center" vertical="center"/>
    </xf>
    <xf numFmtId="179" fontId="15" fillId="0" borderId="27" xfId="1" applyNumberFormat="1" applyFont="1" applyBorder="1" applyAlignment="1">
      <alignment horizontal="center" vertical="center"/>
    </xf>
    <xf numFmtId="179" fontId="15" fillId="0" borderId="28" xfId="1" applyNumberFormat="1" applyFont="1" applyBorder="1" applyAlignment="1">
      <alignment horizontal="center" vertical="center"/>
    </xf>
    <xf numFmtId="0" fontId="15" fillId="5" borderId="28" xfId="1" applyFont="1" applyFill="1" applyBorder="1" applyAlignment="1">
      <alignment vertical="center" wrapText="1"/>
    </xf>
    <xf numFmtId="0" fontId="15" fillId="5" borderId="26" xfId="1" applyFont="1" applyFill="1" applyBorder="1" applyAlignment="1">
      <alignment horizontal="left" vertical="center" wrapText="1"/>
    </xf>
    <xf numFmtId="0" fontId="15" fillId="5" borderId="27" xfId="1" applyFont="1" applyFill="1" applyBorder="1" applyAlignment="1">
      <alignment horizontal="left" vertical="center" wrapText="1"/>
    </xf>
    <xf numFmtId="0" fontId="15" fillId="5" borderId="28" xfId="1" applyFont="1" applyFill="1" applyBorder="1" applyAlignment="1">
      <alignment horizontal="left" vertical="center" wrapText="1"/>
    </xf>
    <xf numFmtId="179" fontId="15" fillId="0" borderId="26" xfId="1" applyNumberFormat="1" applyFont="1" applyBorder="1" applyAlignment="1">
      <alignment horizontal="center" vertical="center" wrapText="1"/>
    </xf>
    <xf numFmtId="179" fontId="15" fillId="0" borderId="27" xfId="1" applyNumberFormat="1" applyFont="1" applyBorder="1" applyAlignment="1">
      <alignment horizontal="center" vertical="center" wrapText="1"/>
    </xf>
    <xf numFmtId="179" fontId="15" fillId="0" borderId="28" xfId="1" applyNumberFormat="1" applyFont="1" applyBorder="1" applyAlignment="1">
      <alignment horizontal="center" vertical="center" wrapText="1"/>
    </xf>
    <xf numFmtId="0" fontId="0" fillId="4" borderId="25" xfId="1" applyFont="1" applyFill="1" applyBorder="1" applyAlignment="1">
      <alignment horizontal="right"/>
    </xf>
    <xf numFmtId="49" fontId="1" fillId="2" borderId="1" xfId="0" applyNumberFormat="1" applyFont="1" applyFill="1" applyBorder="1" applyAlignment="1">
      <alignment horizontal="left" vertical="center"/>
    </xf>
    <xf numFmtId="49" fontId="1" fillId="0" borderId="1" xfId="0" applyNumberFormat="1" applyFont="1" applyBorder="1" applyAlignment="1">
      <alignment horizontal="left" vertical="center"/>
    </xf>
    <xf numFmtId="49" fontId="1" fillId="0" borderId="2" xfId="0" applyNumberFormat="1" applyFont="1" applyBorder="1" applyAlignment="1">
      <alignment horizontal="left" vertical="center"/>
    </xf>
    <xf numFmtId="49" fontId="1" fillId="0" borderId="3" xfId="0" applyNumberFormat="1" applyFont="1" applyBorder="1" applyAlignment="1">
      <alignment horizontal="left" vertical="center"/>
    </xf>
    <xf numFmtId="0" fontId="5" fillId="0" borderId="7" xfId="0" applyFont="1" applyBorder="1" applyAlignment="1">
      <alignment vertical="center"/>
    </xf>
    <xf numFmtId="0" fontId="5" fillId="0" borderId="4" xfId="0" applyFont="1" applyBorder="1" applyAlignment="1">
      <alignment vertical="center"/>
    </xf>
    <xf numFmtId="0" fontId="5" fillId="0" borderId="1" xfId="0" quotePrefix="1" applyFont="1" applyBorder="1" applyAlignment="1">
      <alignment vertical="center"/>
    </xf>
    <xf numFmtId="0" fontId="5" fillId="0" borderId="1" xfId="0" applyFont="1" applyBorder="1" applyAlignment="1">
      <alignment vertical="center"/>
    </xf>
    <xf numFmtId="0" fontId="0" fillId="12" borderId="1" xfId="0" applyFill="1" applyBorder="1" applyAlignment="1">
      <alignment vertical="center"/>
    </xf>
  </cellXfs>
  <cellStyles count="4">
    <cellStyle name="桁区切り 2" xfId="2" xr:uid="{00000000-0005-0000-0000-000000000000}"/>
    <cellStyle name="標準" xfId="0" builtinId="0"/>
    <cellStyle name="標準 2" xfId="1" xr:uid="{00000000-0005-0000-0000-000002000000}"/>
    <cellStyle name="標準 28" xfId="3" xr:uid="{00000000-0005-0000-0000-000003000000}"/>
  </cellStyles>
  <dxfs count="0"/>
  <tableStyles count="0" defaultTableStyle="TableStyleMedium2" defaultPivotStyle="PivotStyleLight16"/>
  <colors>
    <mruColors>
      <color rgb="FF1581E6"/>
      <color rgb="FF1B9FCF"/>
      <color rgb="FF2863C9"/>
      <color rgb="FF5383DB"/>
      <color rgb="FF7DB4E8"/>
      <color rgb="FF91BC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323850</xdr:colOff>
      <xdr:row>31</xdr:row>
      <xdr:rowOff>0</xdr:rowOff>
    </xdr:from>
    <xdr:to>
      <xdr:col>16</xdr:col>
      <xdr:colOff>47625</xdr:colOff>
      <xdr:row>40</xdr:row>
      <xdr:rowOff>105752</xdr:rowOff>
    </xdr:to>
    <xdr:pic>
      <xdr:nvPicPr>
        <xdr:cNvPr id="2" name="図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981075" y="5972175"/>
          <a:ext cx="9305925" cy="21717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161925</xdr:colOff>
      <xdr:row>27</xdr:row>
      <xdr:rowOff>209550</xdr:rowOff>
    </xdr:from>
    <xdr:to>
      <xdr:col>6</xdr:col>
      <xdr:colOff>419100</xdr:colOff>
      <xdr:row>29</xdr:row>
      <xdr:rowOff>190500</xdr:rowOff>
    </xdr:to>
    <xdr:sp macro="" textlink="">
      <xdr:nvSpPr>
        <xdr:cNvPr id="2" name="テキスト ボックス 1">
          <a:extLst>
            <a:ext uri="{FF2B5EF4-FFF2-40B4-BE49-F238E27FC236}">
              <a16:creationId xmlns:a16="http://schemas.microsoft.com/office/drawing/2014/main" id="{6EE3AF5C-72BB-715B-9E4C-AFD7BF015742}"/>
            </a:ext>
          </a:extLst>
        </xdr:cNvPr>
        <xdr:cNvSpPr txBox="1"/>
      </xdr:nvSpPr>
      <xdr:spPr>
        <a:xfrm>
          <a:off x="161925" y="6181725"/>
          <a:ext cx="3914775" cy="438150"/>
        </a:xfrm>
        <a:prstGeom prst="rect">
          <a:avLst/>
        </a:prstGeom>
        <a:solidFill>
          <a:srgbClr val="FFFF00"/>
        </a:solidFill>
        <a:ln w="9525" cmpd="sng">
          <a:solidFill>
            <a:schemeClr val="tx1"/>
          </a:solidFill>
        </a:ln>
      </xdr:spPr>
      <xdr:txBody>
        <a:bodyPr spcFirstLastPara="0" vertOverflow="clip" horzOverflow="clip" wrap="square" lIns="91440" tIns="45720" rIns="91440" bIns="45720" rtlCol="0" anchor="t">
          <a:noAutofit/>
        </a:bodyPr>
        <a:lstStyle/>
        <a:p>
          <a:pPr marL="0" indent="0" algn="l"/>
          <a:r>
            <a:rPr lang="ja-JP" altLang="en-US" sz="1100" b="0" i="0" u="none" strike="noStrike">
              <a:solidFill>
                <a:srgbClr val="000000"/>
              </a:solidFill>
              <a:latin typeface="Calibri" panose="020F0502020204030204" pitchFamily="34" charset="0"/>
              <a:cs typeface="Calibri" panose="020F0502020204030204" pitchFamily="34" charset="0"/>
            </a:rPr>
            <a:t>メリットが感じられないため、個別構築パターンは本見積では考えない</a:t>
          </a:r>
          <a:endParaRPr lang="ja-JP" altLang="en-US" sz="1100" b="0" i="0" u="none" strike="noStrike">
            <a:solidFill>
              <a:srgbClr val="000000"/>
            </a:solidFill>
            <a:latin typeface="+mn-lt"/>
            <a:ea typeface="+mn-lt"/>
            <a:cs typeface="+mn-lt"/>
          </a:endParaRPr>
        </a:p>
        <a:p>
          <a:pPr marL="0" indent="0" algn="l"/>
          <a:endParaRPr lang="ja-JP" altLang="en-US" sz="1100">
            <a:latin typeface="+mn-lt"/>
            <a:ea typeface="+mn-lt"/>
            <a:cs typeface="+mn-lt"/>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314325</xdr:colOff>
      <xdr:row>128</xdr:row>
      <xdr:rowOff>152400</xdr:rowOff>
    </xdr:from>
    <xdr:to>
      <xdr:col>8</xdr:col>
      <xdr:colOff>609600</xdr:colOff>
      <xdr:row>136</xdr:row>
      <xdr:rowOff>152401</xdr:rowOff>
    </xdr:to>
    <xdr:sp macro="" textlink="">
      <xdr:nvSpPr>
        <xdr:cNvPr id="223" name="正方形/長方形 222">
          <a:extLst>
            <a:ext uri="{FF2B5EF4-FFF2-40B4-BE49-F238E27FC236}">
              <a16:creationId xmlns:a16="http://schemas.microsoft.com/office/drawing/2014/main" id="{00000000-0008-0000-0200-0000DF000000}"/>
            </a:ext>
          </a:extLst>
        </xdr:cNvPr>
        <xdr:cNvSpPr/>
      </xdr:nvSpPr>
      <xdr:spPr>
        <a:xfrm>
          <a:off x="314325" y="21827067"/>
          <a:ext cx="5205942" cy="1354667"/>
        </a:xfrm>
        <a:prstGeom prst="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0</xdr:colOff>
      <xdr:row>122</xdr:row>
      <xdr:rowOff>1</xdr:rowOff>
    </xdr:from>
    <xdr:to>
      <xdr:col>22</xdr:col>
      <xdr:colOff>0</xdr:colOff>
      <xdr:row>140</xdr:row>
      <xdr:rowOff>1</xdr:rowOff>
    </xdr:to>
    <xdr:sp macro="" textlink="">
      <xdr:nvSpPr>
        <xdr:cNvPr id="224" name="正方形/長方形 223">
          <a:extLst>
            <a:ext uri="{FF2B5EF4-FFF2-40B4-BE49-F238E27FC236}">
              <a16:creationId xmlns:a16="http://schemas.microsoft.com/office/drawing/2014/main" id="{00000000-0008-0000-0200-0000E0000000}"/>
            </a:ext>
            <a:ext uri="{147F2762-F138-4A5C-976F-8EAC2B608ADB}">
              <a16:predDERef xmlns:a16="http://schemas.microsoft.com/office/drawing/2014/main" pred="{00000000-0008-0000-0200-000051000000}"/>
            </a:ext>
          </a:extLst>
        </xdr:cNvPr>
        <xdr:cNvSpPr/>
      </xdr:nvSpPr>
      <xdr:spPr>
        <a:xfrm>
          <a:off x="5524500" y="20658668"/>
          <a:ext cx="7979833" cy="3048000"/>
        </a:xfrm>
        <a:prstGeom prst="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314325</xdr:colOff>
      <xdr:row>70</xdr:row>
      <xdr:rowOff>152400</xdr:rowOff>
    </xdr:from>
    <xdr:to>
      <xdr:col>8</xdr:col>
      <xdr:colOff>609600</xdr:colOff>
      <xdr:row>78</xdr:row>
      <xdr:rowOff>152400</xdr:rowOff>
    </xdr:to>
    <xdr:sp macro="" textlink="">
      <xdr:nvSpPr>
        <xdr:cNvPr id="81" name="正方形/長方形 80">
          <a:extLst>
            <a:ext uri="{FF2B5EF4-FFF2-40B4-BE49-F238E27FC236}">
              <a16:creationId xmlns:a16="http://schemas.microsoft.com/office/drawing/2014/main" id="{00000000-0008-0000-0200-000051000000}"/>
            </a:ext>
          </a:extLst>
        </xdr:cNvPr>
        <xdr:cNvSpPr/>
      </xdr:nvSpPr>
      <xdr:spPr>
        <a:xfrm>
          <a:off x="314325" y="11487150"/>
          <a:ext cx="5248275" cy="1295400"/>
        </a:xfrm>
        <a:prstGeom prst="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0</xdr:colOff>
      <xdr:row>64</xdr:row>
      <xdr:rowOff>142875</xdr:rowOff>
    </xdr:from>
    <xdr:to>
      <xdr:col>22</xdr:col>
      <xdr:colOff>10584</xdr:colOff>
      <xdr:row>82</xdr:row>
      <xdr:rowOff>0</xdr:rowOff>
    </xdr:to>
    <xdr:sp macro="" textlink="">
      <xdr:nvSpPr>
        <xdr:cNvPr id="77" name="正方形/長方形 76">
          <a:extLst>
            <a:ext uri="{FF2B5EF4-FFF2-40B4-BE49-F238E27FC236}">
              <a16:creationId xmlns:a16="http://schemas.microsoft.com/office/drawing/2014/main" id="{00000000-0008-0000-0200-00004D000000}"/>
            </a:ext>
            <a:ext uri="{147F2762-F138-4A5C-976F-8EAC2B608ADB}">
              <a16:predDERef xmlns:a16="http://schemas.microsoft.com/office/drawing/2014/main" pred="{00000000-0008-0000-0200-000051000000}"/>
            </a:ext>
          </a:extLst>
        </xdr:cNvPr>
        <xdr:cNvSpPr/>
      </xdr:nvSpPr>
      <xdr:spPr>
        <a:xfrm>
          <a:off x="5524500" y="10980208"/>
          <a:ext cx="7990417" cy="2905125"/>
        </a:xfrm>
        <a:prstGeom prst="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11641</xdr:colOff>
      <xdr:row>75</xdr:row>
      <xdr:rowOff>127000</xdr:rowOff>
    </xdr:from>
    <xdr:to>
      <xdr:col>16</xdr:col>
      <xdr:colOff>264584</xdr:colOff>
      <xdr:row>81</xdr:row>
      <xdr:rowOff>66673</xdr:rowOff>
    </xdr:to>
    <xdr:sp macro="" textlink="">
      <xdr:nvSpPr>
        <xdr:cNvPr id="222" name="正方形/長方形 221">
          <a:extLst>
            <a:ext uri="{FF2B5EF4-FFF2-40B4-BE49-F238E27FC236}">
              <a16:creationId xmlns:a16="http://schemas.microsoft.com/office/drawing/2014/main" id="{00000000-0008-0000-0200-0000DE000000}"/>
            </a:ext>
          </a:extLst>
        </xdr:cNvPr>
        <xdr:cNvSpPr/>
      </xdr:nvSpPr>
      <xdr:spPr>
        <a:xfrm>
          <a:off x="7991474" y="12827000"/>
          <a:ext cx="2094443" cy="955673"/>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9</xdr:col>
      <xdr:colOff>371474</xdr:colOff>
      <xdr:row>65</xdr:row>
      <xdr:rowOff>83607</xdr:rowOff>
    </xdr:from>
    <xdr:to>
      <xdr:col>13</xdr:col>
      <xdr:colOff>10584</xdr:colOff>
      <xdr:row>81</xdr:row>
      <xdr:rowOff>66673</xdr:rowOff>
    </xdr:to>
    <xdr:sp macro="" textlink="">
      <xdr:nvSpPr>
        <xdr:cNvPr id="221" name="正方形/長方形 220">
          <a:extLst>
            <a:ext uri="{FF2B5EF4-FFF2-40B4-BE49-F238E27FC236}">
              <a16:creationId xmlns:a16="http://schemas.microsoft.com/office/drawing/2014/main" id="{00000000-0008-0000-0200-0000DD000000}"/>
            </a:ext>
          </a:extLst>
        </xdr:cNvPr>
        <xdr:cNvSpPr/>
      </xdr:nvSpPr>
      <xdr:spPr>
        <a:xfrm>
          <a:off x="5895974" y="11090274"/>
          <a:ext cx="2094443" cy="2692399"/>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新共通基盤</a:t>
          </a:r>
        </a:p>
      </xdr:txBody>
    </xdr:sp>
    <xdr:clientData/>
  </xdr:twoCellAnchor>
  <xdr:twoCellAnchor>
    <xdr:from>
      <xdr:col>0</xdr:col>
      <xdr:colOff>296332</xdr:colOff>
      <xdr:row>86</xdr:row>
      <xdr:rowOff>162982</xdr:rowOff>
    </xdr:from>
    <xdr:to>
      <xdr:col>13</xdr:col>
      <xdr:colOff>486831</xdr:colOff>
      <xdr:row>111</xdr:row>
      <xdr:rowOff>11906</xdr:rowOff>
    </xdr:to>
    <xdr:sp macro="" textlink="">
      <xdr:nvSpPr>
        <xdr:cNvPr id="79" name="正方形/長方形 78">
          <a:extLst>
            <a:ext uri="{FF2B5EF4-FFF2-40B4-BE49-F238E27FC236}">
              <a16:creationId xmlns:a16="http://schemas.microsoft.com/office/drawing/2014/main" id="{00000000-0008-0000-0200-00004F000000}"/>
            </a:ext>
          </a:extLst>
        </xdr:cNvPr>
        <xdr:cNvSpPr/>
      </xdr:nvSpPr>
      <xdr:spPr>
        <a:xfrm>
          <a:off x="296332" y="14725649"/>
          <a:ext cx="8307916" cy="4082257"/>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297656</xdr:colOff>
      <xdr:row>5</xdr:row>
      <xdr:rowOff>0</xdr:rowOff>
    </xdr:from>
    <xdr:to>
      <xdr:col>22</xdr:col>
      <xdr:colOff>10584</xdr:colOff>
      <xdr:row>21</xdr:row>
      <xdr:rowOff>11906</xdr:rowOff>
    </xdr:to>
    <xdr:sp macro="" textlink="">
      <xdr:nvSpPr>
        <xdr:cNvPr id="2" name="正方形/長方形 1">
          <a:extLst>
            <a:ext uri="{FF2B5EF4-FFF2-40B4-BE49-F238E27FC236}">
              <a16:creationId xmlns:a16="http://schemas.microsoft.com/office/drawing/2014/main" id="{00000000-0008-0000-0200-000002000000}"/>
            </a:ext>
          </a:extLst>
        </xdr:cNvPr>
        <xdr:cNvSpPr/>
      </xdr:nvSpPr>
      <xdr:spPr>
        <a:xfrm>
          <a:off x="2752989" y="846667"/>
          <a:ext cx="10761928" cy="2721239"/>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297657</xdr:colOff>
      <xdr:row>29</xdr:row>
      <xdr:rowOff>11906</xdr:rowOff>
    </xdr:from>
    <xdr:to>
      <xdr:col>16</xdr:col>
      <xdr:colOff>369095</xdr:colOff>
      <xdr:row>37</xdr:row>
      <xdr:rowOff>11906</xdr:rowOff>
    </xdr:to>
    <xdr:sp macro="" textlink="">
      <xdr:nvSpPr>
        <xdr:cNvPr id="3" name="正方形/長方形 2">
          <a:extLst>
            <a:ext uri="{FF2B5EF4-FFF2-40B4-BE49-F238E27FC236}">
              <a16:creationId xmlns:a16="http://schemas.microsoft.com/office/drawing/2014/main" id="{00000000-0008-0000-0200-000003000000}"/>
            </a:ext>
          </a:extLst>
        </xdr:cNvPr>
        <xdr:cNvSpPr/>
      </xdr:nvSpPr>
      <xdr:spPr>
        <a:xfrm>
          <a:off x="297657" y="4469606"/>
          <a:ext cx="10129838" cy="1320800"/>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285750</xdr:colOff>
      <xdr:row>29</xdr:row>
      <xdr:rowOff>-1</xdr:rowOff>
    </xdr:from>
    <xdr:to>
      <xdr:col>13</xdr:col>
      <xdr:colOff>476249</xdr:colOff>
      <xdr:row>53</xdr:row>
      <xdr:rowOff>11906</xdr:rowOff>
    </xdr:to>
    <xdr:sp macro="" textlink="">
      <xdr:nvSpPr>
        <xdr:cNvPr id="4" name="正方形/長方形 3">
          <a:extLst>
            <a:ext uri="{FF2B5EF4-FFF2-40B4-BE49-F238E27FC236}">
              <a16:creationId xmlns:a16="http://schemas.microsoft.com/office/drawing/2014/main" id="{00000000-0008-0000-0200-000004000000}"/>
            </a:ext>
          </a:extLst>
        </xdr:cNvPr>
        <xdr:cNvSpPr/>
      </xdr:nvSpPr>
      <xdr:spPr>
        <a:xfrm>
          <a:off x="285750" y="4457699"/>
          <a:ext cx="8362949" cy="3974307"/>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11906</xdr:colOff>
      <xdr:row>45</xdr:row>
      <xdr:rowOff>0</xdr:rowOff>
    </xdr:from>
    <xdr:to>
      <xdr:col>14</xdr:col>
      <xdr:colOff>357187</xdr:colOff>
      <xdr:row>53</xdr:row>
      <xdr:rowOff>0</xdr:rowOff>
    </xdr:to>
    <xdr:sp macro="" textlink="">
      <xdr:nvSpPr>
        <xdr:cNvPr id="5" name="正方形/長方形 4">
          <a:extLst>
            <a:ext uri="{FF2B5EF4-FFF2-40B4-BE49-F238E27FC236}">
              <a16:creationId xmlns:a16="http://schemas.microsoft.com/office/drawing/2014/main" id="{00000000-0008-0000-0200-000005000000}"/>
            </a:ext>
          </a:extLst>
        </xdr:cNvPr>
        <xdr:cNvSpPr/>
      </xdr:nvSpPr>
      <xdr:spPr>
        <a:xfrm>
          <a:off x="5669756" y="7099300"/>
          <a:ext cx="3488531" cy="1320800"/>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285749</xdr:colOff>
      <xdr:row>20</xdr:row>
      <xdr:rowOff>71437</xdr:rowOff>
    </xdr:from>
    <xdr:to>
      <xdr:col>22</xdr:col>
      <xdr:colOff>21167</xdr:colOff>
      <xdr:row>29</xdr:row>
      <xdr:rowOff>11906</xdr:rowOff>
    </xdr:to>
    <xdr:sp macro="" textlink="">
      <xdr:nvSpPr>
        <xdr:cNvPr id="6" name="正方形/長方形 5">
          <a:extLst>
            <a:ext uri="{FF2B5EF4-FFF2-40B4-BE49-F238E27FC236}">
              <a16:creationId xmlns:a16="http://schemas.microsoft.com/office/drawing/2014/main" id="{00000000-0008-0000-0200-000006000000}"/>
            </a:ext>
          </a:extLst>
        </xdr:cNvPr>
        <xdr:cNvSpPr/>
      </xdr:nvSpPr>
      <xdr:spPr>
        <a:xfrm>
          <a:off x="285749" y="3458104"/>
          <a:ext cx="13239751" cy="1464469"/>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371474</xdr:colOff>
      <xdr:row>7</xdr:row>
      <xdr:rowOff>9525</xdr:rowOff>
    </xdr:from>
    <xdr:to>
      <xdr:col>16</xdr:col>
      <xdr:colOff>361949</xdr:colOff>
      <xdr:row>22</xdr:row>
      <xdr:rowOff>161924</xdr:rowOff>
    </xdr:to>
    <xdr:sp macro="" textlink="">
      <xdr:nvSpPr>
        <xdr:cNvPr id="7" name="正方形/長方形 6">
          <a:extLst>
            <a:ext uri="{FF2B5EF4-FFF2-40B4-BE49-F238E27FC236}">
              <a16:creationId xmlns:a16="http://schemas.microsoft.com/office/drawing/2014/main" id="{00000000-0008-0000-0200-000007000000}"/>
            </a:ext>
          </a:extLst>
        </xdr:cNvPr>
        <xdr:cNvSpPr/>
      </xdr:nvSpPr>
      <xdr:spPr>
        <a:xfrm>
          <a:off x="6029324" y="835025"/>
          <a:ext cx="4391025" cy="2628899"/>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p>
      </xdr:txBody>
    </xdr:sp>
    <xdr:clientData/>
  </xdr:twoCellAnchor>
  <xdr:twoCellAnchor>
    <xdr:from>
      <xdr:col>5</xdr:col>
      <xdr:colOff>0</xdr:colOff>
      <xdr:row>6</xdr:row>
      <xdr:rowOff>0</xdr:rowOff>
    </xdr:from>
    <xdr:to>
      <xdr:col>8</xdr:col>
      <xdr:colOff>0</xdr:colOff>
      <xdr:row>12</xdr:row>
      <xdr:rowOff>0</xdr:rowOff>
    </xdr:to>
    <xdr:sp macro="" textlink="">
      <xdr:nvSpPr>
        <xdr:cNvPr id="8" name="正方形/長方形 7">
          <a:extLst>
            <a:ext uri="{FF2B5EF4-FFF2-40B4-BE49-F238E27FC236}">
              <a16:creationId xmlns:a16="http://schemas.microsoft.com/office/drawing/2014/main" id="{00000000-0008-0000-0200-000008000000}"/>
            </a:ext>
          </a:extLst>
        </xdr:cNvPr>
        <xdr:cNvSpPr/>
      </xdr:nvSpPr>
      <xdr:spPr>
        <a:xfrm>
          <a:off x="3143250" y="660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OneSAP</a:t>
          </a:r>
        </a:p>
        <a:p>
          <a:pPr algn="l"/>
          <a:endParaRPr kumimoji="1" lang="ja-JP" altLang="en-US" sz="1100">
            <a:solidFill>
              <a:sysClr val="windowText" lastClr="000000"/>
            </a:solidFill>
          </a:endParaRPr>
        </a:p>
      </xdr:txBody>
    </xdr:sp>
    <xdr:clientData/>
  </xdr:twoCellAnchor>
  <xdr:twoCellAnchor>
    <xdr:from>
      <xdr:col>5</xdr:col>
      <xdr:colOff>0</xdr:colOff>
      <xdr:row>14</xdr:row>
      <xdr:rowOff>0</xdr:rowOff>
    </xdr:from>
    <xdr:to>
      <xdr:col>8</xdr:col>
      <xdr:colOff>0</xdr:colOff>
      <xdr:row>20</xdr:row>
      <xdr:rowOff>0</xdr:rowOff>
    </xdr:to>
    <xdr:sp macro="" textlink="">
      <xdr:nvSpPr>
        <xdr:cNvPr id="9" name="正方形/長方形 8">
          <a:extLst>
            <a:ext uri="{FF2B5EF4-FFF2-40B4-BE49-F238E27FC236}">
              <a16:creationId xmlns:a16="http://schemas.microsoft.com/office/drawing/2014/main" id="{00000000-0008-0000-0200-000009000000}"/>
            </a:ext>
          </a:extLst>
        </xdr:cNvPr>
        <xdr:cNvSpPr/>
      </xdr:nvSpPr>
      <xdr:spPr>
        <a:xfrm>
          <a:off x="3143250" y="19812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連携</a:t>
          </a:r>
          <a:r>
            <a:rPr kumimoji="1" lang="en-US" altLang="ja-JP" sz="1100">
              <a:solidFill>
                <a:sysClr val="windowText" lastClr="000000"/>
              </a:solidFill>
            </a:rPr>
            <a:t>NAS</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SAP</a:t>
          </a:r>
          <a:r>
            <a:rPr kumimoji="1" lang="ja-JP" altLang="ja-JP" sz="1100">
              <a:solidFill>
                <a:sysClr val="windowText" lastClr="000000"/>
              </a:solidFill>
              <a:effectLst/>
              <a:latin typeface="+mn-lt"/>
              <a:ea typeface="+mn-ea"/>
              <a:cs typeface="+mn-cs"/>
            </a:rPr>
            <a:t>とのファイル連携用</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5</xdr:col>
      <xdr:colOff>0</xdr:colOff>
      <xdr:row>30</xdr:row>
      <xdr:rowOff>0</xdr:rowOff>
    </xdr:from>
    <xdr:to>
      <xdr:col>8</xdr:col>
      <xdr:colOff>0</xdr:colOff>
      <xdr:row>36</xdr:row>
      <xdr:rowOff>0</xdr:rowOff>
    </xdr:to>
    <xdr:sp macro="" textlink="">
      <xdr:nvSpPr>
        <xdr:cNvPr id="10" name="正方形/長方形 9">
          <a:extLst>
            <a:ext uri="{FF2B5EF4-FFF2-40B4-BE49-F238E27FC236}">
              <a16:creationId xmlns:a16="http://schemas.microsoft.com/office/drawing/2014/main" id="{00000000-0008-0000-0200-00000A000000}"/>
            </a:ext>
          </a:extLst>
        </xdr:cNvPr>
        <xdr:cNvSpPr/>
      </xdr:nvSpPr>
      <xdr:spPr>
        <a:xfrm>
          <a:off x="3143250" y="46228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AP/DB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150.92.14.110</a:t>
          </a:r>
        </a:p>
        <a:p>
          <a:pPr algn="l"/>
          <a:r>
            <a:rPr kumimoji="1" lang="ja-JP" altLang="en-US" sz="800">
              <a:solidFill>
                <a:sysClr val="windowText" lastClr="000000"/>
              </a:solidFill>
            </a:rPr>
            <a:t>・製品倉庫システム</a:t>
          </a:r>
          <a:endParaRPr kumimoji="1" lang="en-US" altLang="ja-JP" sz="800">
            <a:solidFill>
              <a:sysClr val="windowText" lastClr="000000"/>
            </a:solidFill>
          </a:endParaRPr>
        </a:p>
        <a:p>
          <a:pPr algn="l"/>
          <a:r>
            <a:rPr kumimoji="1" lang="ja-JP" altLang="en-US" sz="800">
              <a:solidFill>
                <a:sysClr val="windowText" lastClr="000000"/>
              </a:solidFill>
            </a:rPr>
            <a:t>・</a:t>
          </a:r>
          <a:r>
            <a:rPr kumimoji="1" lang="en-US" altLang="ja-JP" sz="800">
              <a:solidFill>
                <a:sysClr val="windowText" lastClr="000000"/>
              </a:solidFill>
            </a:rPr>
            <a:t>ABC</a:t>
          </a:r>
          <a:r>
            <a:rPr kumimoji="1" lang="ja-JP" altLang="en-US" sz="800">
              <a:solidFill>
                <a:sysClr val="windowText" lastClr="000000"/>
              </a:solidFill>
            </a:rPr>
            <a:t>数量実績</a:t>
          </a:r>
          <a:endParaRPr kumimoji="1" lang="en-US" altLang="ja-JP" sz="8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800">
              <a:solidFill>
                <a:sysClr val="windowText" lastClr="000000"/>
              </a:solidFill>
              <a:effectLst/>
              <a:latin typeface="+mn-lt"/>
              <a:ea typeface="+mn-ea"/>
              <a:cs typeface="+mn-cs"/>
            </a:rPr>
            <a:t>・数量確定ポリマー</a:t>
          </a:r>
          <a:endParaRPr lang="ja-JP" altLang="ja-JP" sz="800">
            <a:solidFill>
              <a:sysClr val="windowText" lastClr="000000"/>
            </a:solidFill>
            <a:effectLst/>
          </a:endParaRPr>
        </a:p>
        <a:p>
          <a:pPr algn="l"/>
          <a:endParaRPr kumimoji="1" lang="ja-JP" altLang="en-US" sz="800">
            <a:solidFill>
              <a:sysClr val="windowText" lastClr="000000"/>
            </a:solidFill>
          </a:endParaRPr>
        </a:p>
      </xdr:txBody>
    </xdr:sp>
    <xdr:clientData/>
  </xdr:twoCellAnchor>
  <xdr:twoCellAnchor>
    <xdr:from>
      <xdr:col>9</xdr:col>
      <xdr:colOff>0</xdr:colOff>
      <xdr:row>30</xdr:row>
      <xdr:rowOff>0</xdr:rowOff>
    </xdr:from>
    <xdr:to>
      <xdr:col>12</xdr:col>
      <xdr:colOff>0</xdr:colOff>
      <xdr:row>36</xdr:row>
      <xdr:rowOff>0</xdr:rowOff>
    </xdr:to>
    <xdr:sp macro="" textlink="">
      <xdr:nvSpPr>
        <xdr:cNvPr id="11" name="正方形/長方形 10">
          <a:extLst>
            <a:ext uri="{FF2B5EF4-FFF2-40B4-BE49-F238E27FC236}">
              <a16:creationId xmlns:a16="http://schemas.microsoft.com/office/drawing/2014/main" id="{00000000-0008-0000-0200-00000B000000}"/>
            </a:ext>
          </a:extLst>
        </xdr:cNvPr>
        <xdr:cNvSpPr/>
      </xdr:nvSpPr>
      <xdr:spPr>
        <a:xfrm>
          <a:off x="5657850" y="46228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千葉ヤード操業サーバ</a:t>
          </a:r>
          <a:endParaRPr kumimoji="1" lang="en-US" altLang="ja-JP" sz="1100">
            <a:solidFill>
              <a:sysClr val="windowText" lastClr="000000"/>
            </a:solidFill>
          </a:endParaRPr>
        </a:p>
        <a:p>
          <a:pPr algn="l"/>
          <a:r>
            <a:rPr kumimoji="1" lang="en-US" altLang="ja-JP" sz="1100">
              <a:solidFill>
                <a:sysClr val="windowText" lastClr="000000"/>
              </a:solidFill>
            </a:rPr>
            <a:t>150.92.21.226</a:t>
          </a:r>
        </a:p>
        <a:p>
          <a:pPr algn="l"/>
          <a:r>
            <a:rPr kumimoji="1" lang="ja-JP" altLang="en-US" sz="1100">
              <a:solidFill>
                <a:sysClr val="windowText" lastClr="000000"/>
              </a:solidFill>
            </a:rPr>
            <a:t>・千葉ヤード操業</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PIMS</a:t>
          </a:r>
          <a:r>
            <a:rPr kumimoji="1" lang="ja-JP" altLang="en-US" sz="1100">
              <a:solidFill>
                <a:sysClr val="windowText" lastClr="000000"/>
              </a:solidFill>
            </a:rPr>
            <a:t>取込サービス</a:t>
          </a:r>
        </a:p>
      </xdr:txBody>
    </xdr:sp>
    <xdr:clientData/>
  </xdr:twoCellAnchor>
  <xdr:twoCellAnchor>
    <xdr:from>
      <xdr:col>7</xdr:col>
      <xdr:colOff>0</xdr:colOff>
      <xdr:row>38</xdr:row>
      <xdr:rowOff>0</xdr:rowOff>
    </xdr:from>
    <xdr:to>
      <xdr:col>10</xdr:col>
      <xdr:colOff>0</xdr:colOff>
      <xdr:row>44</xdr:row>
      <xdr:rowOff>0</xdr:rowOff>
    </xdr:to>
    <xdr:sp macro="" textlink="">
      <xdr:nvSpPr>
        <xdr:cNvPr id="12" name="正方形/長方形 11">
          <a:extLst>
            <a:ext uri="{FF2B5EF4-FFF2-40B4-BE49-F238E27FC236}">
              <a16:creationId xmlns:a16="http://schemas.microsoft.com/office/drawing/2014/main" id="{00000000-0008-0000-0200-00000C000000}"/>
            </a:ext>
          </a:extLst>
        </xdr:cNvPr>
        <xdr:cNvSpPr/>
      </xdr:nvSpPr>
      <xdr:spPr>
        <a:xfrm>
          <a:off x="4400550" y="59436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千葉事業所</a:t>
          </a:r>
          <a:r>
            <a:rPr kumimoji="1" lang="en-US" altLang="ja-JP" sz="1100">
              <a:solidFill>
                <a:sysClr val="windowText" lastClr="000000"/>
              </a:solidFill>
            </a:rPr>
            <a:t>(</a:t>
          </a:r>
          <a:r>
            <a:rPr kumimoji="1" lang="ja-JP" altLang="en-US" sz="1100">
              <a:solidFill>
                <a:sysClr val="windowText" lastClr="000000"/>
              </a:solidFill>
            </a:rPr>
            <a:t>化学</a:t>
          </a:r>
          <a:r>
            <a:rPr kumimoji="1" lang="en-US" altLang="ja-JP" sz="1100">
              <a:solidFill>
                <a:sysClr val="windowText" lastClr="000000"/>
              </a:solidFill>
            </a:rPr>
            <a:t>)GW</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10.178.150.1</a:t>
          </a:r>
        </a:p>
        <a:p>
          <a:pPr algn="l"/>
          <a:r>
            <a:rPr kumimoji="1" lang="ja-JP" altLang="en-US" sz="1100">
              <a:solidFill>
                <a:sysClr val="windowText" lastClr="000000"/>
              </a:solidFill>
            </a:rPr>
            <a:t>・</a:t>
          </a:r>
          <a:r>
            <a:rPr kumimoji="1" lang="en-US" altLang="ja-JP" sz="1100">
              <a:solidFill>
                <a:sysClr val="windowText" lastClr="000000"/>
              </a:solidFill>
            </a:rPr>
            <a:t>L3</a:t>
          </a:r>
          <a:r>
            <a:rPr kumimoji="1" lang="ja-JP" altLang="en-US" sz="1100">
              <a:solidFill>
                <a:sysClr val="windowText" lastClr="000000"/>
              </a:solidFill>
            </a:rPr>
            <a:t>層とのファイル連携用</a:t>
          </a:r>
          <a:endParaRPr kumimoji="1" lang="en-US" altLang="ja-JP" sz="1100">
            <a:solidFill>
              <a:sysClr val="windowText" lastClr="000000"/>
            </a:solidFill>
          </a:endParaRPr>
        </a:p>
      </xdr:txBody>
    </xdr:sp>
    <xdr:clientData/>
  </xdr:twoCellAnchor>
  <xdr:twoCellAnchor>
    <xdr:from>
      <xdr:col>10</xdr:col>
      <xdr:colOff>0</xdr:colOff>
      <xdr:row>16</xdr:row>
      <xdr:rowOff>9525</xdr:rowOff>
    </xdr:from>
    <xdr:to>
      <xdr:col>13</xdr:col>
      <xdr:colOff>0</xdr:colOff>
      <xdr:row>22</xdr:row>
      <xdr:rowOff>9525</xdr:rowOff>
    </xdr:to>
    <xdr:sp macro="" textlink="">
      <xdr:nvSpPr>
        <xdr:cNvPr id="13" name="正方形/長方形 12">
          <a:extLst>
            <a:ext uri="{FF2B5EF4-FFF2-40B4-BE49-F238E27FC236}">
              <a16:creationId xmlns:a16="http://schemas.microsoft.com/office/drawing/2014/main" id="{00000000-0008-0000-0200-00000D000000}"/>
            </a:ext>
            <a:ext uri="{147F2762-F138-4A5C-976F-8EAC2B608ADB}">
              <a16:predDERef xmlns:a16="http://schemas.microsoft.com/office/drawing/2014/main" pred="{00000000-0008-0000-0200-00000C000000}"/>
            </a:ext>
          </a:extLst>
        </xdr:cNvPr>
        <xdr:cNvSpPr/>
      </xdr:nvSpPr>
      <xdr:spPr>
        <a:xfrm>
          <a:off x="6191250" y="2600325"/>
          <a:ext cx="1857375" cy="97155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バッチ基盤サーバ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p>
        <a:p>
          <a:pPr algn="l"/>
          <a:r>
            <a:rPr kumimoji="1" lang="ja-JP" altLang="en-US" sz="800">
              <a:solidFill>
                <a:sysClr val="windowText" lastClr="000000"/>
              </a:solidFill>
            </a:rPr>
            <a:t>・用役管理システム</a:t>
          </a:r>
        </a:p>
        <a:p>
          <a:pPr algn="l"/>
          <a:endParaRPr kumimoji="1" lang="en-US" altLang="ja-JP" sz="800">
            <a:solidFill>
              <a:sysClr val="windowText" lastClr="000000"/>
            </a:solidFill>
          </a:endParaRPr>
        </a:p>
        <a:p>
          <a:pPr algn="l"/>
          <a:endParaRPr kumimoji="1" lang="ja-JP" altLang="en-US" sz="800">
            <a:solidFill>
              <a:sysClr val="windowText" lastClr="000000"/>
            </a:solidFill>
          </a:endParaRPr>
        </a:p>
      </xdr:txBody>
    </xdr:sp>
    <xdr:clientData/>
  </xdr:twoCellAnchor>
  <xdr:twoCellAnchor>
    <xdr:from>
      <xdr:col>13</xdr:col>
      <xdr:colOff>0</xdr:colOff>
      <xdr:row>16</xdr:row>
      <xdr:rowOff>0</xdr:rowOff>
    </xdr:from>
    <xdr:to>
      <xdr:col>16</xdr:col>
      <xdr:colOff>0</xdr:colOff>
      <xdr:row>22</xdr:row>
      <xdr:rowOff>0</xdr:rowOff>
    </xdr:to>
    <xdr:sp macro="" textlink="">
      <xdr:nvSpPr>
        <xdr:cNvPr id="14" name="正方形/長方形 13">
          <a:extLst>
            <a:ext uri="{FF2B5EF4-FFF2-40B4-BE49-F238E27FC236}">
              <a16:creationId xmlns:a16="http://schemas.microsoft.com/office/drawing/2014/main" id="{00000000-0008-0000-0200-00000E000000}"/>
            </a:ext>
          </a:extLst>
        </xdr:cNvPr>
        <xdr:cNvSpPr/>
      </xdr:nvSpPr>
      <xdr:spPr>
        <a:xfrm>
          <a:off x="8172450" y="2311400"/>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共通基盤帳票サーバ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endParaRPr kumimoji="1" lang="ja-JP" altLang="en-US" sz="800">
            <a:solidFill>
              <a:sysClr val="windowText" lastClr="000000"/>
            </a:solidFill>
          </a:endParaRPr>
        </a:p>
      </xdr:txBody>
    </xdr:sp>
    <xdr:clientData/>
  </xdr:twoCellAnchor>
  <xdr:twoCellAnchor>
    <xdr:from>
      <xdr:col>1</xdr:col>
      <xdr:colOff>0</xdr:colOff>
      <xdr:row>14</xdr:row>
      <xdr:rowOff>0</xdr:rowOff>
    </xdr:from>
    <xdr:to>
      <xdr:col>4</xdr:col>
      <xdr:colOff>0</xdr:colOff>
      <xdr:row>20</xdr:row>
      <xdr:rowOff>0</xdr:rowOff>
    </xdr:to>
    <xdr:sp macro="" textlink="">
      <xdr:nvSpPr>
        <xdr:cNvPr id="15" name="正方形/長方形 14">
          <a:extLst>
            <a:ext uri="{FF2B5EF4-FFF2-40B4-BE49-F238E27FC236}">
              <a16:creationId xmlns:a16="http://schemas.microsoft.com/office/drawing/2014/main" id="{00000000-0008-0000-0200-00000F000000}"/>
            </a:ext>
          </a:extLst>
        </xdr:cNvPr>
        <xdr:cNvSpPr/>
      </xdr:nvSpPr>
      <xdr:spPr>
        <a:xfrm>
          <a:off x="628650" y="19812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HULFT</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10.180.0.54</a:t>
          </a:r>
        </a:p>
        <a:p>
          <a:pPr algn="l"/>
          <a:r>
            <a:rPr kumimoji="1" lang="ja-JP" altLang="en-US" sz="1100">
              <a:solidFill>
                <a:sysClr val="windowText" lastClr="000000"/>
              </a:solidFill>
            </a:rPr>
            <a:t>・</a:t>
          </a:r>
          <a:r>
            <a:rPr kumimoji="1" lang="en-US" altLang="ja-JP" sz="1100">
              <a:solidFill>
                <a:sysClr val="windowText" lastClr="000000"/>
              </a:solidFill>
            </a:rPr>
            <a:t>SAP</a:t>
          </a:r>
          <a:r>
            <a:rPr kumimoji="1" lang="ja-JP" altLang="en-US" sz="1100">
              <a:solidFill>
                <a:sysClr val="windowText" lastClr="000000"/>
              </a:solidFill>
            </a:rPr>
            <a:t>とのファイル連携用</a:t>
          </a:r>
        </a:p>
        <a:p>
          <a:pPr algn="l"/>
          <a:endParaRPr kumimoji="1" lang="ja-JP" altLang="en-US" sz="1100">
            <a:solidFill>
              <a:sysClr val="windowText" lastClr="000000"/>
            </a:solidFill>
          </a:endParaRPr>
        </a:p>
      </xdr:txBody>
    </xdr:sp>
    <xdr:clientData/>
  </xdr:twoCellAnchor>
  <xdr:twoCellAnchor>
    <xdr:from>
      <xdr:col>1</xdr:col>
      <xdr:colOff>0</xdr:colOff>
      <xdr:row>6</xdr:row>
      <xdr:rowOff>0</xdr:rowOff>
    </xdr:from>
    <xdr:to>
      <xdr:col>4</xdr:col>
      <xdr:colOff>0</xdr:colOff>
      <xdr:row>12</xdr:row>
      <xdr:rowOff>0</xdr:rowOff>
    </xdr:to>
    <xdr:sp macro="" textlink="">
      <xdr:nvSpPr>
        <xdr:cNvPr id="16" name="正方形/長方形 15">
          <a:extLst>
            <a:ext uri="{FF2B5EF4-FFF2-40B4-BE49-F238E27FC236}">
              <a16:creationId xmlns:a16="http://schemas.microsoft.com/office/drawing/2014/main" id="{00000000-0008-0000-0200-000010000000}"/>
            </a:ext>
          </a:extLst>
        </xdr:cNvPr>
        <xdr:cNvSpPr/>
      </xdr:nvSpPr>
      <xdr:spPr>
        <a:xfrm>
          <a:off x="628650" y="660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OneSAP</a:t>
          </a:r>
        </a:p>
        <a:p>
          <a:pPr algn="l"/>
          <a:endParaRPr kumimoji="1" lang="ja-JP" altLang="en-US" sz="1100">
            <a:solidFill>
              <a:sysClr val="windowText" lastClr="000000"/>
            </a:solidFill>
          </a:endParaRPr>
        </a:p>
      </xdr:txBody>
    </xdr:sp>
    <xdr:clientData/>
  </xdr:twoCellAnchor>
  <xdr:twoCellAnchor>
    <xdr:from>
      <xdr:col>7</xdr:col>
      <xdr:colOff>0</xdr:colOff>
      <xdr:row>46</xdr:row>
      <xdr:rowOff>0</xdr:rowOff>
    </xdr:from>
    <xdr:to>
      <xdr:col>10</xdr:col>
      <xdr:colOff>0</xdr:colOff>
      <xdr:row>52</xdr:row>
      <xdr:rowOff>0</xdr:rowOff>
    </xdr:to>
    <xdr:sp macro="" textlink="">
      <xdr:nvSpPr>
        <xdr:cNvPr id="17" name="正方形/長方形 16">
          <a:extLst>
            <a:ext uri="{FF2B5EF4-FFF2-40B4-BE49-F238E27FC236}">
              <a16:creationId xmlns:a16="http://schemas.microsoft.com/office/drawing/2014/main" id="{00000000-0008-0000-0200-000011000000}"/>
            </a:ext>
          </a:extLst>
        </xdr:cNvPr>
        <xdr:cNvSpPr/>
      </xdr:nvSpPr>
      <xdr:spPr>
        <a:xfrm>
          <a:off x="4400550" y="7264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UX7000</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・製品倉庫の連携先</a:t>
          </a:r>
          <a:endParaRPr kumimoji="1" lang="en-US" altLang="ja-JP" sz="1100">
            <a:solidFill>
              <a:sysClr val="windowText" lastClr="000000"/>
            </a:solidFill>
          </a:endParaRPr>
        </a:p>
      </xdr:txBody>
    </xdr:sp>
    <xdr:clientData/>
  </xdr:twoCellAnchor>
  <xdr:twoCellAnchor>
    <xdr:from>
      <xdr:col>11</xdr:col>
      <xdr:colOff>0</xdr:colOff>
      <xdr:row>46</xdr:row>
      <xdr:rowOff>0</xdr:rowOff>
    </xdr:from>
    <xdr:to>
      <xdr:col>14</xdr:col>
      <xdr:colOff>0</xdr:colOff>
      <xdr:row>52</xdr:row>
      <xdr:rowOff>0</xdr:rowOff>
    </xdr:to>
    <xdr:sp macro="" textlink="">
      <xdr:nvSpPr>
        <xdr:cNvPr id="18" name="正方形/長方形 17">
          <a:extLst>
            <a:ext uri="{FF2B5EF4-FFF2-40B4-BE49-F238E27FC236}">
              <a16:creationId xmlns:a16="http://schemas.microsoft.com/office/drawing/2014/main" id="{00000000-0008-0000-0200-000012000000}"/>
            </a:ext>
          </a:extLst>
        </xdr:cNvPr>
        <xdr:cNvSpPr/>
      </xdr:nvSpPr>
      <xdr:spPr>
        <a:xfrm>
          <a:off x="6915150" y="7264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運転制御サーバ</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3</xdr:col>
      <xdr:colOff>0</xdr:colOff>
      <xdr:row>46</xdr:row>
      <xdr:rowOff>0</xdr:rowOff>
    </xdr:from>
    <xdr:to>
      <xdr:col>6</xdr:col>
      <xdr:colOff>0</xdr:colOff>
      <xdr:row>52</xdr:row>
      <xdr:rowOff>0</xdr:rowOff>
    </xdr:to>
    <xdr:sp macro="" textlink="">
      <xdr:nvSpPr>
        <xdr:cNvPr id="19" name="正方形/長方形 18">
          <a:extLst>
            <a:ext uri="{FF2B5EF4-FFF2-40B4-BE49-F238E27FC236}">
              <a16:creationId xmlns:a16="http://schemas.microsoft.com/office/drawing/2014/main" id="{00000000-0008-0000-0200-000013000000}"/>
            </a:ext>
          </a:extLst>
        </xdr:cNvPr>
        <xdr:cNvSpPr/>
      </xdr:nvSpPr>
      <xdr:spPr>
        <a:xfrm>
          <a:off x="1885950" y="7264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TCM</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・製品倉庫の連携先</a:t>
          </a:r>
        </a:p>
      </xdr:txBody>
    </xdr:sp>
    <xdr:clientData/>
  </xdr:twoCellAnchor>
  <xdr:twoCellAnchor>
    <xdr:from>
      <xdr:col>2</xdr:col>
      <xdr:colOff>342900</xdr:colOff>
      <xdr:row>12</xdr:row>
      <xdr:rowOff>0</xdr:rowOff>
    </xdr:from>
    <xdr:to>
      <xdr:col>2</xdr:col>
      <xdr:colOff>342900</xdr:colOff>
      <xdr:row>14</xdr:row>
      <xdr:rowOff>0</xdr:rowOff>
    </xdr:to>
    <xdr:cxnSp macro="">
      <xdr:nvCxnSpPr>
        <xdr:cNvPr id="20" name="直線コネクタ 19">
          <a:extLst>
            <a:ext uri="{FF2B5EF4-FFF2-40B4-BE49-F238E27FC236}">
              <a16:creationId xmlns:a16="http://schemas.microsoft.com/office/drawing/2014/main" id="{00000000-0008-0000-0200-000014000000}"/>
            </a:ext>
          </a:extLst>
        </xdr:cNvPr>
        <xdr:cNvCxnSpPr>
          <a:stCxn id="16" idx="2"/>
          <a:endCxn id="15" idx="0"/>
        </xdr:cNvCxnSpPr>
      </xdr:nvCxnSpPr>
      <xdr:spPr>
        <a:xfrm>
          <a:off x="1600200" y="1651000"/>
          <a:ext cx="0" cy="3302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309563</xdr:colOff>
      <xdr:row>20</xdr:row>
      <xdr:rowOff>0</xdr:rowOff>
    </xdr:from>
    <xdr:to>
      <xdr:col>5</xdr:col>
      <xdr:colOff>0</xdr:colOff>
      <xdr:row>33</xdr:row>
      <xdr:rowOff>0</xdr:rowOff>
    </xdr:to>
    <xdr:cxnSp macro="">
      <xdr:nvCxnSpPr>
        <xdr:cNvPr id="21" name="カギ線コネクタ 20">
          <a:extLst>
            <a:ext uri="{FF2B5EF4-FFF2-40B4-BE49-F238E27FC236}">
              <a16:creationId xmlns:a16="http://schemas.microsoft.com/office/drawing/2014/main" id="{00000000-0008-0000-0200-000015000000}"/>
            </a:ext>
          </a:extLst>
        </xdr:cNvPr>
        <xdr:cNvCxnSpPr>
          <a:stCxn id="15" idx="2"/>
          <a:endCxn id="10" idx="1"/>
        </xdr:cNvCxnSpPr>
      </xdr:nvCxnSpPr>
      <xdr:spPr>
        <a:xfrm rot="16200000" flipH="1">
          <a:off x="1281907" y="3256756"/>
          <a:ext cx="2146300" cy="157638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342900</xdr:colOff>
      <xdr:row>12</xdr:row>
      <xdr:rowOff>0</xdr:rowOff>
    </xdr:from>
    <xdr:to>
      <xdr:col>6</xdr:col>
      <xdr:colOff>342900</xdr:colOff>
      <xdr:row>14</xdr:row>
      <xdr:rowOff>0</xdr:rowOff>
    </xdr:to>
    <xdr:cxnSp macro="">
      <xdr:nvCxnSpPr>
        <xdr:cNvPr id="22" name="直線コネクタ 21">
          <a:extLst>
            <a:ext uri="{FF2B5EF4-FFF2-40B4-BE49-F238E27FC236}">
              <a16:creationId xmlns:a16="http://schemas.microsoft.com/office/drawing/2014/main" id="{00000000-0008-0000-0200-000016000000}"/>
            </a:ext>
          </a:extLst>
        </xdr:cNvPr>
        <xdr:cNvCxnSpPr>
          <a:stCxn id="8" idx="2"/>
          <a:endCxn id="9" idx="0"/>
        </xdr:cNvCxnSpPr>
      </xdr:nvCxnSpPr>
      <xdr:spPr>
        <a:xfrm>
          <a:off x="4114800" y="1651000"/>
          <a:ext cx="0" cy="3302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309563</xdr:colOff>
      <xdr:row>20</xdr:row>
      <xdr:rowOff>0</xdr:rowOff>
    </xdr:from>
    <xdr:to>
      <xdr:col>6</xdr:col>
      <xdr:colOff>309563</xdr:colOff>
      <xdr:row>30</xdr:row>
      <xdr:rowOff>0</xdr:rowOff>
    </xdr:to>
    <xdr:cxnSp macro="">
      <xdr:nvCxnSpPr>
        <xdr:cNvPr id="23" name="直線コネクタ 22">
          <a:extLst>
            <a:ext uri="{FF2B5EF4-FFF2-40B4-BE49-F238E27FC236}">
              <a16:creationId xmlns:a16="http://schemas.microsoft.com/office/drawing/2014/main" id="{00000000-0008-0000-0200-000017000000}"/>
            </a:ext>
          </a:extLst>
        </xdr:cNvPr>
        <xdr:cNvCxnSpPr>
          <a:stCxn id="9" idx="2"/>
          <a:endCxn id="10" idx="0"/>
        </xdr:cNvCxnSpPr>
      </xdr:nvCxnSpPr>
      <xdr:spPr>
        <a:xfrm>
          <a:off x="4081463" y="2971800"/>
          <a:ext cx="0" cy="16510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333375</xdr:colOff>
      <xdr:row>19</xdr:row>
      <xdr:rowOff>47624</xdr:rowOff>
    </xdr:from>
    <xdr:to>
      <xdr:col>10</xdr:col>
      <xdr:colOff>345282</xdr:colOff>
      <xdr:row>30</xdr:row>
      <xdr:rowOff>0</xdr:rowOff>
    </xdr:to>
    <xdr:cxnSp macro="">
      <xdr:nvCxnSpPr>
        <xdr:cNvPr id="24" name="カギ線コネクタ 23">
          <a:extLst>
            <a:ext uri="{FF2B5EF4-FFF2-40B4-BE49-F238E27FC236}">
              <a16:creationId xmlns:a16="http://schemas.microsoft.com/office/drawing/2014/main" id="{00000000-0008-0000-0200-000018000000}"/>
            </a:ext>
          </a:extLst>
        </xdr:cNvPr>
        <xdr:cNvCxnSpPr>
          <a:endCxn id="11" idx="0"/>
        </xdr:cNvCxnSpPr>
      </xdr:nvCxnSpPr>
      <xdr:spPr>
        <a:xfrm rot="16200000" flipH="1">
          <a:off x="5112941" y="3103958"/>
          <a:ext cx="1768476" cy="1269207"/>
        </a:xfrm>
        <a:prstGeom prst="bentConnector3">
          <a:avLst>
            <a:gd name="adj1" fmla="val 50000"/>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342900</xdr:colOff>
      <xdr:row>36</xdr:row>
      <xdr:rowOff>0</xdr:rowOff>
    </xdr:from>
    <xdr:to>
      <xdr:col>10</xdr:col>
      <xdr:colOff>342900</xdr:colOff>
      <xdr:row>38</xdr:row>
      <xdr:rowOff>0</xdr:rowOff>
    </xdr:to>
    <xdr:cxnSp macro="">
      <xdr:nvCxnSpPr>
        <xdr:cNvPr id="25" name="カギ線コネクタ 24">
          <a:extLst>
            <a:ext uri="{FF2B5EF4-FFF2-40B4-BE49-F238E27FC236}">
              <a16:creationId xmlns:a16="http://schemas.microsoft.com/office/drawing/2014/main" id="{00000000-0008-0000-0200-000019000000}"/>
            </a:ext>
          </a:extLst>
        </xdr:cNvPr>
        <xdr:cNvCxnSpPr>
          <a:stCxn id="11" idx="2"/>
          <a:endCxn id="12" idx="0"/>
        </xdr:cNvCxnSpPr>
      </xdr:nvCxnSpPr>
      <xdr:spPr>
        <a:xfrm rot="5400000">
          <a:off x="5835650" y="5149850"/>
          <a:ext cx="330200" cy="1257300"/>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342900</xdr:colOff>
      <xdr:row>36</xdr:row>
      <xdr:rowOff>0</xdr:rowOff>
    </xdr:from>
    <xdr:to>
      <xdr:col>7</xdr:col>
      <xdr:colOff>0</xdr:colOff>
      <xdr:row>41</xdr:row>
      <xdr:rowOff>0</xdr:rowOff>
    </xdr:to>
    <xdr:cxnSp macro="">
      <xdr:nvCxnSpPr>
        <xdr:cNvPr id="26" name="カギ線コネクタ 25">
          <a:extLst>
            <a:ext uri="{FF2B5EF4-FFF2-40B4-BE49-F238E27FC236}">
              <a16:creationId xmlns:a16="http://schemas.microsoft.com/office/drawing/2014/main" id="{00000000-0008-0000-0200-00001A000000}"/>
            </a:ext>
          </a:extLst>
        </xdr:cNvPr>
        <xdr:cNvCxnSpPr>
          <a:stCxn id="10" idx="2"/>
          <a:endCxn id="12" idx="1"/>
        </xdr:cNvCxnSpPr>
      </xdr:nvCxnSpPr>
      <xdr:spPr>
        <a:xfrm rot="16200000" flipH="1">
          <a:off x="3844925" y="5883275"/>
          <a:ext cx="825500" cy="285750"/>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342900</xdr:colOff>
      <xdr:row>44</xdr:row>
      <xdr:rowOff>0</xdr:rowOff>
    </xdr:from>
    <xdr:to>
      <xdr:col>8</xdr:col>
      <xdr:colOff>342900</xdr:colOff>
      <xdr:row>46</xdr:row>
      <xdr:rowOff>0</xdr:rowOff>
    </xdr:to>
    <xdr:cxnSp macro="">
      <xdr:nvCxnSpPr>
        <xdr:cNvPr id="27" name="カギ線コネクタ 26">
          <a:extLst>
            <a:ext uri="{FF2B5EF4-FFF2-40B4-BE49-F238E27FC236}">
              <a16:creationId xmlns:a16="http://schemas.microsoft.com/office/drawing/2014/main" id="{00000000-0008-0000-0200-00001B000000}"/>
            </a:ext>
          </a:extLst>
        </xdr:cNvPr>
        <xdr:cNvCxnSpPr>
          <a:stCxn id="12" idx="2"/>
          <a:endCxn id="19" idx="0"/>
        </xdr:cNvCxnSpPr>
      </xdr:nvCxnSpPr>
      <xdr:spPr>
        <a:xfrm rot="5400000">
          <a:off x="3949700" y="5842000"/>
          <a:ext cx="330200" cy="2514600"/>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342900</xdr:colOff>
      <xdr:row>44</xdr:row>
      <xdr:rowOff>0</xdr:rowOff>
    </xdr:from>
    <xdr:to>
      <xdr:col>12</xdr:col>
      <xdr:colOff>342900</xdr:colOff>
      <xdr:row>46</xdr:row>
      <xdr:rowOff>0</xdr:rowOff>
    </xdr:to>
    <xdr:cxnSp macro="">
      <xdr:nvCxnSpPr>
        <xdr:cNvPr id="28" name="カギ線コネクタ 27">
          <a:extLst>
            <a:ext uri="{FF2B5EF4-FFF2-40B4-BE49-F238E27FC236}">
              <a16:creationId xmlns:a16="http://schemas.microsoft.com/office/drawing/2014/main" id="{00000000-0008-0000-0200-00001C000000}"/>
            </a:ext>
          </a:extLst>
        </xdr:cNvPr>
        <xdr:cNvCxnSpPr>
          <a:stCxn id="12" idx="2"/>
          <a:endCxn id="18" idx="0"/>
        </xdr:cNvCxnSpPr>
      </xdr:nvCxnSpPr>
      <xdr:spPr>
        <a:xfrm rot="16200000" flipH="1">
          <a:off x="6464300" y="5842000"/>
          <a:ext cx="330200" cy="2514600"/>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342900</xdr:colOff>
      <xdr:row>44</xdr:row>
      <xdr:rowOff>0</xdr:rowOff>
    </xdr:from>
    <xdr:to>
      <xdr:col>8</xdr:col>
      <xdr:colOff>342900</xdr:colOff>
      <xdr:row>46</xdr:row>
      <xdr:rowOff>0</xdr:rowOff>
    </xdr:to>
    <xdr:cxnSp macro="">
      <xdr:nvCxnSpPr>
        <xdr:cNvPr id="29" name="直線コネクタ 28">
          <a:extLst>
            <a:ext uri="{FF2B5EF4-FFF2-40B4-BE49-F238E27FC236}">
              <a16:creationId xmlns:a16="http://schemas.microsoft.com/office/drawing/2014/main" id="{00000000-0008-0000-0200-00001D000000}"/>
            </a:ext>
          </a:extLst>
        </xdr:cNvPr>
        <xdr:cNvCxnSpPr>
          <a:stCxn id="12" idx="2"/>
          <a:endCxn id="17" idx="0"/>
        </xdr:cNvCxnSpPr>
      </xdr:nvCxnSpPr>
      <xdr:spPr>
        <a:xfrm>
          <a:off x="5372100" y="6934200"/>
          <a:ext cx="0" cy="3302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15</xdr:row>
      <xdr:rowOff>9525</xdr:rowOff>
    </xdr:from>
    <xdr:to>
      <xdr:col>10</xdr:col>
      <xdr:colOff>19050</xdr:colOff>
      <xdr:row>15</xdr:row>
      <xdr:rowOff>9525</xdr:rowOff>
    </xdr:to>
    <xdr:cxnSp macro="">
      <xdr:nvCxnSpPr>
        <xdr:cNvPr id="30" name="直線コネクタ 29">
          <a:extLst>
            <a:ext uri="{FF2B5EF4-FFF2-40B4-BE49-F238E27FC236}">
              <a16:creationId xmlns:a16="http://schemas.microsoft.com/office/drawing/2014/main" id="{00000000-0008-0000-0200-00001E000000}"/>
            </a:ext>
          </a:extLst>
        </xdr:cNvPr>
        <xdr:cNvCxnSpPr/>
      </xdr:nvCxnSpPr>
      <xdr:spPr>
        <a:xfrm>
          <a:off x="5029200" y="2155825"/>
          <a:ext cx="12763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23814</xdr:colOff>
      <xdr:row>38</xdr:row>
      <xdr:rowOff>0</xdr:rowOff>
    </xdr:from>
    <xdr:to>
      <xdr:col>17</xdr:col>
      <xdr:colOff>23813</xdr:colOff>
      <xdr:row>44</xdr:row>
      <xdr:rowOff>0</xdr:rowOff>
    </xdr:to>
    <xdr:sp macro="" textlink="">
      <xdr:nvSpPr>
        <xdr:cNvPr id="31" name="正方形/長方形 30">
          <a:extLst>
            <a:ext uri="{FF2B5EF4-FFF2-40B4-BE49-F238E27FC236}">
              <a16:creationId xmlns:a16="http://schemas.microsoft.com/office/drawing/2014/main" id="{00000000-0008-0000-0200-00001F000000}"/>
            </a:ext>
          </a:extLst>
        </xdr:cNvPr>
        <xdr:cNvSpPr/>
      </xdr:nvSpPr>
      <xdr:spPr>
        <a:xfrm>
          <a:off x="8824914" y="5943600"/>
          <a:ext cx="1885949"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PIMS</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PHX</a:t>
          </a:r>
          <a:r>
            <a:rPr kumimoji="1" lang="ja-JP" altLang="en-US" sz="1100">
              <a:solidFill>
                <a:sysClr val="windowText" lastClr="000000"/>
              </a:solidFill>
            </a:rPr>
            <a:t>データ取込元</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PHX</a:t>
          </a:r>
          <a:r>
            <a:rPr kumimoji="1" lang="ja-JP" altLang="en-US" sz="1100">
              <a:solidFill>
                <a:sysClr val="windowText" lastClr="000000"/>
              </a:solidFill>
            </a:rPr>
            <a:t>データ書込み先</a:t>
          </a:r>
        </a:p>
      </xdr:txBody>
    </xdr:sp>
    <xdr:clientData/>
  </xdr:twoCellAnchor>
  <xdr:twoCellAnchor>
    <xdr:from>
      <xdr:col>11</xdr:col>
      <xdr:colOff>323417</xdr:colOff>
      <xdr:row>35</xdr:row>
      <xdr:rowOff>146971</xdr:rowOff>
    </xdr:from>
    <xdr:to>
      <xdr:col>15</xdr:col>
      <xdr:colOff>365847</xdr:colOff>
      <xdr:row>38</xdr:row>
      <xdr:rowOff>0</xdr:rowOff>
    </xdr:to>
    <xdr:cxnSp macro="">
      <xdr:nvCxnSpPr>
        <xdr:cNvPr id="32" name="カギ線コネクタ 31">
          <a:extLst>
            <a:ext uri="{FF2B5EF4-FFF2-40B4-BE49-F238E27FC236}">
              <a16:creationId xmlns:a16="http://schemas.microsoft.com/office/drawing/2014/main" id="{00000000-0008-0000-0200-000020000000}"/>
            </a:ext>
          </a:extLst>
        </xdr:cNvPr>
        <xdr:cNvCxnSpPr>
          <a:endCxn id="31" idx="0"/>
        </xdr:cNvCxnSpPr>
      </xdr:nvCxnSpPr>
      <xdr:spPr>
        <a:xfrm rot="16200000" flipH="1">
          <a:off x="8342917" y="4490921"/>
          <a:ext cx="348329" cy="2557030"/>
        </a:xfrm>
        <a:prstGeom prst="bentConnector3">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345280</xdr:colOff>
      <xdr:row>10</xdr:row>
      <xdr:rowOff>0</xdr:rowOff>
    </xdr:from>
    <xdr:to>
      <xdr:col>17</xdr:col>
      <xdr:colOff>23812</xdr:colOff>
      <xdr:row>41</xdr:row>
      <xdr:rowOff>0</xdr:rowOff>
    </xdr:to>
    <xdr:cxnSp macro="">
      <xdr:nvCxnSpPr>
        <xdr:cNvPr id="33" name="カギ線コネクタ 32">
          <a:extLst>
            <a:ext uri="{FF2B5EF4-FFF2-40B4-BE49-F238E27FC236}">
              <a16:creationId xmlns:a16="http://schemas.microsoft.com/office/drawing/2014/main" id="{00000000-0008-0000-0200-000021000000}"/>
            </a:ext>
          </a:extLst>
        </xdr:cNvPr>
        <xdr:cNvCxnSpPr>
          <a:stCxn id="35" idx="0"/>
          <a:endCxn id="31" idx="3"/>
        </xdr:cNvCxnSpPr>
      </xdr:nvCxnSpPr>
      <xdr:spPr>
        <a:xfrm rot="16200000" flipH="1">
          <a:off x="6426596" y="2154634"/>
          <a:ext cx="5118100" cy="3450432"/>
        </a:xfrm>
        <a:prstGeom prst="bentConnector4">
          <a:avLst>
            <a:gd name="adj1" fmla="val -3295"/>
            <a:gd name="adj2" fmla="val 105981"/>
          </a:avLst>
        </a:prstGeom>
        <a:ln w="57150">
          <a:solidFill>
            <a:srgbClr val="00B050"/>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5</xdr:col>
      <xdr:colOff>428624</xdr:colOff>
      <xdr:row>41</xdr:row>
      <xdr:rowOff>-1</xdr:rowOff>
    </xdr:from>
    <xdr:to>
      <xdr:col>15</xdr:col>
      <xdr:colOff>369095</xdr:colOff>
      <xdr:row>44</xdr:row>
      <xdr:rowOff>0</xdr:rowOff>
    </xdr:to>
    <xdr:cxnSp macro="">
      <xdr:nvCxnSpPr>
        <xdr:cNvPr id="34" name="カギ線コネクタ 33">
          <a:extLst>
            <a:ext uri="{FF2B5EF4-FFF2-40B4-BE49-F238E27FC236}">
              <a16:creationId xmlns:a16="http://schemas.microsoft.com/office/drawing/2014/main" id="{00000000-0008-0000-0200-000022000000}"/>
            </a:ext>
          </a:extLst>
        </xdr:cNvPr>
        <xdr:cNvCxnSpPr>
          <a:endCxn id="31" idx="2"/>
        </xdr:cNvCxnSpPr>
      </xdr:nvCxnSpPr>
      <xdr:spPr>
        <a:xfrm>
          <a:off x="3571874" y="6438899"/>
          <a:ext cx="6226971" cy="495301"/>
        </a:xfrm>
        <a:prstGeom prst="bentConnector4">
          <a:avLst>
            <a:gd name="adj1" fmla="val -38608"/>
            <a:gd name="adj2" fmla="val 426666"/>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10</xdr:row>
      <xdr:rowOff>0</xdr:rowOff>
    </xdr:from>
    <xdr:to>
      <xdr:col>13</xdr:col>
      <xdr:colOff>0</xdr:colOff>
      <xdr:row>16</xdr:row>
      <xdr:rowOff>0</xdr:rowOff>
    </xdr:to>
    <xdr:sp macro="" textlink="">
      <xdr:nvSpPr>
        <xdr:cNvPr id="35" name="正方形/長方形 34">
          <a:extLst>
            <a:ext uri="{FF2B5EF4-FFF2-40B4-BE49-F238E27FC236}">
              <a16:creationId xmlns:a16="http://schemas.microsoft.com/office/drawing/2014/main" id="{00000000-0008-0000-0200-000023000000}"/>
            </a:ext>
          </a:extLst>
        </xdr:cNvPr>
        <xdr:cNvSpPr/>
      </xdr:nvSpPr>
      <xdr:spPr>
        <a:xfrm>
          <a:off x="6286500" y="1320800"/>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endParaRPr kumimoji="1" lang="en-US" altLang="ja-JP" sz="800">
            <a:solidFill>
              <a:sysClr val="windowText" lastClr="000000"/>
            </a:solidFill>
          </a:endParaRP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endParaRPr kumimoji="1" lang="en-US" altLang="ja-JP" sz="800">
            <a:solidFill>
              <a:sysClr val="windowText" lastClr="000000"/>
            </a:solidFill>
          </a:endParaRPr>
        </a:p>
        <a:p>
          <a:pPr algn="l"/>
          <a:r>
            <a:rPr kumimoji="1" lang="ja-JP" altLang="en-US" sz="800">
              <a:solidFill>
                <a:sysClr val="windowText" lastClr="000000"/>
              </a:solidFill>
            </a:rPr>
            <a:t>・用役管理システム</a:t>
          </a:r>
          <a:endParaRPr kumimoji="1" lang="en-US" altLang="ja-JP" sz="800">
            <a:solidFill>
              <a:sysClr val="windowText" lastClr="000000"/>
            </a:solidFill>
          </a:endParaRPr>
        </a:p>
      </xdr:txBody>
    </xdr:sp>
    <xdr:clientData/>
  </xdr:twoCellAnchor>
  <xdr:twoCellAnchor>
    <xdr:from>
      <xdr:col>13</xdr:col>
      <xdr:colOff>0</xdr:colOff>
      <xdr:row>10</xdr:row>
      <xdr:rowOff>0</xdr:rowOff>
    </xdr:from>
    <xdr:to>
      <xdr:col>16</xdr:col>
      <xdr:colOff>0</xdr:colOff>
      <xdr:row>16</xdr:row>
      <xdr:rowOff>0</xdr:rowOff>
    </xdr:to>
    <xdr:sp macro="" textlink="">
      <xdr:nvSpPr>
        <xdr:cNvPr id="36" name="正方形/長方形 35">
          <a:extLst>
            <a:ext uri="{FF2B5EF4-FFF2-40B4-BE49-F238E27FC236}">
              <a16:creationId xmlns:a16="http://schemas.microsoft.com/office/drawing/2014/main" id="{00000000-0008-0000-0200-000024000000}"/>
            </a:ext>
          </a:extLst>
        </xdr:cNvPr>
        <xdr:cNvSpPr/>
      </xdr:nvSpPr>
      <xdr:spPr>
        <a:xfrm>
          <a:off x="8172450" y="1320800"/>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p>
        <a:p>
          <a:pPr algn="l"/>
          <a:r>
            <a:rPr kumimoji="1" lang="ja-JP" altLang="en-US" sz="800">
              <a:solidFill>
                <a:sysClr val="windowText" lastClr="000000"/>
              </a:solidFill>
            </a:rPr>
            <a:t>・用役管理システム</a:t>
          </a:r>
        </a:p>
        <a:p>
          <a:pPr algn="l"/>
          <a:endParaRPr kumimoji="1" lang="ja-JP" altLang="en-US" sz="800">
            <a:solidFill>
              <a:sysClr val="windowText" lastClr="000000"/>
            </a:solidFill>
          </a:endParaRPr>
        </a:p>
      </xdr:txBody>
    </xdr:sp>
    <xdr:clientData/>
  </xdr:twoCellAnchor>
  <xdr:twoCellAnchor>
    <xdr:from>
      <xdr:col>11</xdr:col>
      <xdr:colOff>119066</xdr:colOff>
      <xdr:row>22</xdr:row>
      <xdr:rowOff>35719</xdr:rowOff>
    </xdr:from>
    <xdr:to>
      <xdr:col>12</xdr:col>
      <xdr:colOff>4</xdr:colOff>
      <xdr:row>25</xdr:row>
      <xdr:rowOff>137585</xdr:rowOff>
    </xdr:to>
    <xdr:cxnSp macro="">
      <xdr:nvCxnSpPr>
        <xdr:cNvPr id="37" name="カギ線コネクタ 36">
          <a:extLst>
            <a:ext uri="{FF2B5EF4-FFF2-40B4-BE49-F238E27FC236}">
              <a16:creationId xmlns:a16="http://schemas.microsoft.com/office/drawing/2014/main" id="{00000000-0008-0000-0200-000025000000}"/>
            </a:ext>
          </a:extLst>
        </xdr:cNvPr>
        <xdr:cNvCxnSpPr>
          <a:stCxn id="38" idx="1"/>
        </xdr:cNvCxnSpPr>
      </xdr:nvCxnSpPr>
      <xdr:spPr>
        <a:xfrm rot="10800000">
          <a:off x="6987649" y="3761052"/>
          <a:ext cx="505355" cy="609866"/>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xdr:colOff>
      <xdr:row>25</xdr:row>
      <xdr:rowOff>2</xdr:rowOff>
    </xdr:from>
    <xdr:to>
      <xdr:col>15</xdr:col>
      <xdr:colOff>116417</xdr:colOff>
      <xdr:row>26</xdr:row>
      <xdr:rowOff>105833</xdr:rowOff>
    </xdr:to>
    <xdr:sp macro="" textlink="">
      <xdr:nvSpPr>
        <xdr:cNvPr id="38" name="正方形/長方形 37">
          <a:extLst>
            <a:ext uri="{FF2B5EF4-FFF2-40B4-BE49-F238E27FC236}">
              <a16:creationId xmlns:a16="http://schemas.microsoft.com/office/drawing/2014/main" id="{00000000-0008-0000-0200-000026000000}"/>
            </a:ext>
          </a:extLst>
        </xdr:cNvPr>
        <xdr:cNvSpPr/>
      </xdr:nvSpPr>
      <xdr:spPr>
        <a:xfrm>
          <a:off x="7493003" y="4233335"/>
          <a:ext cx="1989664" cy="275165"/>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a:t>
          </a:r>
          <a:r>
            <a:rPr kumimoji="1" lang="en-US" altLang="ja-JP" sz="1100">
              <a:solidFill>
                <a:sysClr val="windowText" lastClr="000000"/>
              </a:solidFill>
            </a:rPr>
            <a:t>IRIS</a:t>
          </a:r>
          <a:r>
            <a:rPr kumimoji="1" lang="ja-JP" altLang="en-US" sz="1100">
              <a:solidFill>
                <a:sysClr val="windowText" lastClr="000000"/>
              </a:solidFill>
            </a:rPr>
            <a:t>操業品質管理</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xdr:txBody>
    </xdr:sp>
    <xdr:clientData/>
  </xdr:twoCellAnchor>
  <xdr:twoCellAnchor>
    <xdr:from>
      <xdr:col>1</xdr:col>
      <xdr:colOff>9525</xdr:colOff>
      <xdr:row>0</xdr:row>
      <xdr:rowOff>92869</xdr:rowOff>
    </xdr:from>
    <xdr:to>
      <xdr:col>2</xdr:col>
      <xdr:colOff>9525</xdr:colOff>
      <xdr:row>0</xdr:row>
      <xdr:rowOff>92869</xdr:rowOff>
    </xdr:to>
    <xdr:cxnSp macro="">
      <xdr:nvCxnSpPr>
        <xdr:cNvPr id="39" name="直線コネクタ 38">
          <a:extLst>
            <a:ext uri="{FF2B5EF4-FFF2-40B4-BE49-F238E27FC236}">
              <a16:creationId xmlns:a16="http://schemas.microsoft.com/office/drawing/2014/main" id="{00000000-0008-0000-0200-000027000000}"/>
            </a:ext>
          </a:extLst>
        </xdr:cNvPr>
        <xdr:cNvCxnSpPr/>
      </xdr:nvCxnSpPr>
      <xdr:spPr>
        <a:xfrm>
          <a:off x="638175" y="92869"/>
          <a:ext cx="6286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1</xdr:row>
      <xdr:rowOff>92869</xdr:rowOff>
    </xdr:from>
    <xdr:to>
      <xdr:col>2</xdr:col>
      <xdr:colOff>9525</xdr:colOff>
      <xdr:row>1</xdr:row>
      <xdr:rowOff>92869</xdr:rowOff>
    </xdr:to>
    <xdr:cxnSp macro="">
      <xdr:nvCxnSpPr>
        <xdr:cNvPr id="40" name="直線コネクタ 39">
          <a:extLst>
            <a:ext uri="{FF2B5EF4-FFF2-40B4-BE49-F238E27FC236}">
              <a16:creationId xmlns:a16="http://schemas.microsoft.com/office/drawing/2014/main" id="{00000000-0008-0000-0200-000028000000}"/>
            </a:ext>
          </a:extLst>
        </xdr:cNvPr>
        <xdr:cNvCxnSpPr/>
      </xdr:nvCxnSpPr>
      <xdr:spPr>
        <a:xfrm>
          <a:off x="638175" y="257969"/>
          <a:ext cx="628650"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171450</xdr:colOff>
      <xdr:row>24</xdr:row>
      <xdr:rowOff>19050</xdr:rowOff>
    </xdr:from>
    <xdr:to>
      <xdr:col>2</xdr:col>
      <xdr:colOff>171450</xdr:colOff>
      <xdr:row>25</xdr:row>
      <xdr:rowOff>133351</xdr:rowOff>
    </xdr:to>
    <xdr:cxnSp macro="">
      <xdr:nvCxnSpPr>
        <xdr:cNvPr id="41" name="直線矢印コネクタ 40">
          <a:extLst>
            <a:ext uri="{FF2B5EF4-FFF2-40B4-BE49-F238E27FC236}">
              <a16:creationId xmlns:a16="http://schemas.microsoft.com/office/drawing/2014/main" id="{00000000-0008-0000-0200-000029000000}"/>
            </a:ext>
          </a:extLst>
        </xdr:cNvPr>
        <xdr:cNvCxnSpPr/>
      </xdr:nvCxnSpPr>
      <xdr:spPr>
        <a:xfrm flipV="1">
          <a:off x="1428750" y="3651250"/>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497681</xdr:colOff>
      <xdr:row>25</xdr:row>
      <xdr:rowOff>90488</xdr:rowOff>
    </xdr:from>
    <xdr:to>
      <xdr:col>9</xdr:col>
      <xdr:colOff>173831</xdr:colOff>
      <xdr:row>25</xdr:row>
      <xdr:rowOff>90489</xdr:rowOff>
    </xdr:to>
    <xdr:cxnSp macro="">
      <xdr:nvCxnSpPr>
        <xdr:cNvPr id="42" name="直線矢印コネクタ 41">
          <a:extLst>
            <a:ext uri="{FF2B5EF4-FFF2-40B4-BE49-F238E27FC236}">
              <a16:creationId xmlns:a16="http://schemas.microsoft.com/office/drawing/2014/main" id="{00000000-0008-0000-0200-00002A000000}"/>
            </a:ext>
          </a:extLst>
        </xdr:cNvPr>
        <xdr:cNvCxnSpPr/>
      </xdr:nvCxnSpPr>
      <xdr:spPr>
        <a:xfrm flipH="1">
          <a:off x="5526881" y="3887788"/>
          <a:ext cx="30480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200025</xdr:colOff>
      <xdr:row>37</xdr:row>
      <xdr:rowOff>28575</xdr:rowOff>
    </xdr:from>
    <xdr:to>
      <xdr:col>6</xdr:col>
      <xdr:colOff>200025</xdr:colOff>
      <xdr:row>38</xdr:row>
      <xdr:rowOff>142876</xdr:rowOff>
    </xdr:to>
    <xdr:cxnSp macro="">
      <xdr:nvCxnSpPr>
        <xdr:cNvPr id="43" name="直線矢印コネクタ 42">
          <a:extLst>
            <a:ext uri="{FF2B5EF4-FFF2-40B4-BE49-F238E27FC236}">
              <a16:creationId xmlns:a16="http://schemas.microsoft.com/office/drawing/2014/main" id="{00000000-0008-0000-0200-00002B000000}"/>
            </a:ext>
          </a:extLst>
        </xdr:cNvPr>
        <xdr:cNvCxnSpPr/>
      </xdr:nvCxnSpPr>
      <xdr:spPr>
        <a:xfrm flipV="1">
          <a:off x="3971925" y="5807075"/>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9524</xdr:colOff>
      <xdr:row>24</xdr:row>
      <xdr:rowOff>14287</xdr:rowOff>
    </xdr:from>
    <xdr:to>
      <xdr:col>11</xdr:col>
      <xdr:colOff>9524</xdr:colOff>
      <xdr:row>25</xdr:row>
      <xdr:rowOff>133351</xdr:rowOff>
    </xdr:to>
    <xdr:cxnSp macro="">
      <xdr:nvCxnSpPr>
        <xdr:cNvPr id="44" name="直線矢印コネクタ 43">
          <a:extLst>
            <a:ext uri="{FF2B5EF4-FFF2-40B4-BE49-F238E27FC236}">
              <a16:creationId xmlns:a16="http://schemas.microsoft.com/office/drawing/2014/main" id="{00000000-0008-0000-0200-00002C000000}"/>
            </a:ext>
          </a:extLst>
        </xdr:cNvPr>
        <xdr:cNvCxnSpPr/>
      </xdr:nvCxnSpPr>
      <xdr:spPr>
        <a:xfrm flipV="1">
          <a:off x="6924674" y="3646487"/>
          <a:ext cx="0" cy="28416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497682</xdr:colOff>
      <xdr:row>36</xdr:row>
      <xdr:rowOff>76200</xdr:rowOff>
    </xdr:from>
    <xdr:to>
      <xdr:col>9</xdr:col>
      <xdr:colOff>173832</xdr:colOff>
      <xdr:row>36</xdr:row>
      <xdr:rowOff>76201</xdr:rowOff>
    </xdr:to>
    <xdr:cxnSp macro="">
      <xdr:nvCxnSpPr>
        <xdr:cNvPr id="45" name="直線矢印コネクタ 44">
          <a:extLst>
            <a:ext uri="{FF2B5EF4-FFF2-40B4-BE49-F238E27FC236}">
              <a16:creationId xmlns:a16="http://schemas.microsoft.com/office/drawing/2014/main" id="{00000000-0008-0000-0200-00002D000000}"/>
            </a:ext>
          </a:extLst>
        </xdr:cNvPr>
        <xdr:cNvCxnSpPr/>
      </xdr:nvCxnSpPr>
      <xdr:spPr>
        <a:xfrm flipH="1">
          <a:off x="5526882" y="5689600"/>
          <a:ext cx="30480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100012</xdr:colOff>
      <xdr:row>36</xdr:row>
      <xdr:rowOff>76200</xdr:rowOff>
    </xdr:from>
    <xdr:to>
      <xdr:col>12</xdr:col>
      <xdr:colOff>461962</xdr:colOff>
      <xdr:row>36</xdr:row>
      <xdr:rowOff>76201</xdr:rowOff>
    </xdr:to>
    <xdr:cxnSp macro="">
      <xdr:nvCxnSpPr>
        <xdr:cNvPr id="46" name="直線矢印コネクタ 45">
          <a:extLst>
            <a:ext uri="{FF2B5EF4-FFF2-40B4-BE49-F238E27FC236}">
              <a16:creationId xmlns:a16="http://schemas.microsoft.com/office/drawing/2014/main" id="{00000000-0008-0000-0200-00002E000000}"/>
            </a:ext>
          </a:extLst>
        </xdr:cNvPr>
        <xdr:cNvCxnSpPr/>
      </xdr:nvCxnSpPr>
      <xdr:spPr>
        <a:xfrm flipH="1">
          <a:off x="7643812" y="5689600"/>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176646</xdr:colOff>
      <xdr:row>44</xdr:row>
      <xdr:rowOff>162792</xdr:rowOff>
    </xdr:from>
    <xdr:to>
      <xdr:col>15</xdr:col>
      <xdr:colOff>181841</xdr:colOff>
      <xdr:row>47</xdr:row>
      <xdr:rowOff>8659</xdr:rowOff>
    </xdr:to>
    <xdr:cxnSp macro="">
      <xdr:nvCxnSpPr>
        <xdr:cNvPr id="47" name="直線矢印コネクタ 46">
          <a:extLst>
            <a:ext uri="{FF2B5EF4-FFF2-40B4-BE49-F238E27FC236}">
              <a16:creationId xmlns:a16="http://schemas.microsoft.com/office/drawing/2014/main" id="{00000000-0008-0000-0200-00002F000000}"/>
            </a:ext>
          </a:extLst>
        </xdr:cNvPr>
        <xdr:cNvCxnSpPr/>
      </xdr:nvCxnSpPr>
      <xdr:spPr>
        <a:xfrm flipH="1" flipV="1">
          <a:off x="9606396" y="7096992"/>
          <a:ext cx="5195" cy="341167"/>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190500</xdr:colOff>
      <xdr:row>24</xdr:row>
      <xdr:rowOff>19050</xdr:rowOff>
    </xdr:from>
    <xdr:to>
      <xdr:col>6</xdr:col>
      <xdr:colOff>190500</xdr:colOff>
      <xdr:row>25</xdr:row>
      <xdr:rowOff>133351</xdr:rowOff>
    </xdr:to>
    <xdr:cxnSp macro="">
      <xdr:nvCxnSpPr>
        <xdr:cNvPr id="48" name="直線矢印コネクタ 47">
          <a:extLst>
            <a:ext uri="{FF2B5EF4-FFF2-40B4-BE49-F238E27FC236}">
              <a16:creationId xmlns:a16="http://schemas.microsoft.com/office/drawing/2014/main" id="{00000000-0008-0000-0200-000030000000}"/>
            </a:ext>
          </a:extLst>
        </xdr:cNvPr>
        <xdr:cNvCxnSpPr/>
      </xdr:nvCxnSpPr>
      <xdr:spPr>
        <a:xfrm flipV="1">
          <a:off x="3962400" y="3651250"/>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333375</xdr:colOff>
      <xdr:row>8</xdr:row>
      <xdr:rowOff>76200</xdr:rowOff>
    </xdr:from>
    <xdr:to>
      <xdr:col>12</xdr:col>
      <xdr:colOff>9525</xdr:colOff>
      <xdr:row>8</xdr:row>
      <xdr:rowOff>76201</xdr:rowOff>
    </xdr:to>
    <xdr:cxnSp macro="">
      <xdr:nvCxnSpPr>
        <xdr:cNvPr id="49" name="直線矢印コネクタ 48">
          <a:extLst>
            <a:ext uri="{FF2B5EF4-FFF2-40B4-BE49-F238E27FC236}">
              <a16:creationId xmlns:a16="http://schemas.microsoft.com/office/drawing/2014/main" id="{00000000-0008-0000-0200-000031000000}"/>
            </a:ext>
          </a:extLst>
        </xdr:cNvPr>
        <xdr:cNvCxnSpPr/>
      </xdr:nvCxnSpPr>
      <xdr:spPr>
        <a:xfrm flipH="1">
          <a:off x="7248525" y="1066800"/>
          <a:ext cx="30480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18</xdr:row>
      <xdr:rowOff>0</xdr:rowOff>
    </xdr:from>
    <xdr:to>
      <xdr:col>10</xdr:col>
      <xdr:colOff>19050</xdr:colOff>
      <xdr:row>18</xdr:row>
      <xdr:rowOff>0</xdr:rowOff>
    </xdr:to>
    <xdr:cxnSp macro="">
      <xdr:nvCxnSpPr>
        <xdr:cNvPr id="50" name="直線コネクタ 49">
          <a:extLst>
            <a:ext uri="{FF2B5EF4-FFF2-40B4-BE49-F238E27FC236}">
              <a16:creationId xmlns:a16="http://schemas.microsoft.com/office/drawing/2014/main" id="{00000000-0008-0000-0200-000032000000}"/>
            </a:ext>
          </a:extLst>
        </xdr:cNvPr>
        <xdr:cNvCxnSpPr/>
      </xdr:nvCxnSpPr>
      <xdr:spPr>
        <a:xfrm>
          <a:off x="5029200" y="2641600"/>
          <a:ext cx="12763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495300</xdr:colOff>
      <xdr:row>14</xdr:row>
      <xdr:rowOff>76200</xdr:rowOff>
    </xdr:from>
    <xdr:to>
      <xdr:col>9</xdr:col>
      <xdr:colOff>171450</xdr:colOff>
      <xdr:row>14</xdr:row>
      <xdr:rowOff>76201</xdr:rowOff>
    </xdr:to>
    <xdr:cxnSp macro="">
      <xdr:nvCxnSpPr>
        <xdr:cNvPr id="51" name="直線矢印コネクタ 50">
          <a:extLst>
            <a:ext uri="{FF2B5EF4-FFF2-40B4-BE49-F238E27FC236}">
              <a16:creationId xmlns:a16="http://schemas.microsoft.com/office/drawing/2014/main" id="{00000000-0008-0000-0200-000033000000}"/>
            </a:ext>
          </a:extLst>
        </xdr:cNvPr>
        <xdr:cNvCxnSpPr/>
      </xdr:nvCxnSpPr>
      <xdr:spPr>
        <a:xfrm flipH="1">
          <a:off x="5524500" y="2057400"/>
          <a:ext cx="304800" cy="1"/>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495300</xdr:colOff>
      <xdr:row>18</xdr:row>
      <xdr:rowOff>95250</xdr:rowOff>
    </xdr:from>
    <xdr:to>
      <xdr:col>9</xdr:col>
      <xdr:colOff>171450</xdr:colOff>
      <xdr:row>18</xdr:row>
      <xdr:rowOff>95251</xdr:rowOff>
    </xdr:to>
    <xdr:cxnSp macro="">
      <xdr:nvCxnSpPr>
        <xdr:cNvPr id="52" name="直線矢印コネクタ 51">
          <a:extLst>
            <a:ext uri="{FF2B5EF4-FFF2-40B4-BE49-F238E27FC236}">
              <a16:creationId xmlns:a16="http://schemas.microsoft.com/office/drawing/2014/main" id="{00000000-0008-0000-0200-000034000000}"/>
            </a:ext>
          </a:extLst>
        </xdr:cNvPr>
        <xdr:cNvCxnSpPr/>
      </xdr:nvCxnSpPr>
      <xdr:spPr>
        <a:xfrm flipH="1">
          <a:off x="5524500" y="2736850"/>
          <a:ext cx="304800" cy="1"/>
        </a:xfrm>
        <a:prstGeom prst="straightConnector1">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190500</xdr:colOff>
      <xdr:row>12</xdr:row>
      <xdr:rowOff>28575</xdr:rowOff>
    </xdr:from>
    <xdr:to>
      <xdr:col>6</xdr:col>
      <xdr:colOff>190500</xdr:colOff>
      <xdr:row>13</xdr:row>
      <xdr:rowOff>142876</xdr:rowOff>
    </xdr:to>
    <xdr:cxnSp macro="">
      <xdr:nvCxnSpPr>
        <xdr:cNvPr id="53" name="直線矢印コネクタ 52">
          <a:extLst>
            <a:ext uri="{FF2B5EF4-FFF2-40B4-BE49-F238E27FC236}">
              <a16:creationId xmlns:a16="http://schemas.microsoft.com/office/drawing/2014/main" id="{00000000-0008-0000-0200-000035000000}"/>
            </a:ext>
          </a:extLst>
        </xdr:cNvPr>
        <xdr:cNvCxnSpPr/>
      </xdr:nvCxnSpPr>
      <xdr:spPr>
        <a:xfrm flipV="1">
          <a:off x="3962400" y="1679575"/>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171450</xdr:colOff>
      <xdr:row>12</xdr:row>
      <xdr:rowOff>19050</xdr:rowOff>
    </xdr:from>
    <xdr:to>
      <xdr:col>2</xdr:col>
      <xdr:colOff>171450</xdr:colOff>
      <xdr:row>13</xdr:row>
      <xdr:rowOff>133351</xdr:rowOff>
    </xdr:to>
    <xdr:cxnSp macro="">
      <xdr:nvCxnSpPr>
        <xdr:cNvPr id="54" name="直線矢印コネクタ 53">
          <a:extLst>
            <a:ext uri="{FF2B5EF4-FFF2-40B4-BE49-F238E27FC236}">
              <a16:creationId xmlns:a16="http://schemas.microsoft.com/office/drawing/2014/main" id="{00000000-0008-0000-0200-000036000000}"/>
            </a:ext>
          </a:extLst>
        </xdr:cNvPr>
        <xdr:cNvCxnSpPr/>
      </xdr:nvCxnSpPr>
      <xdr:spPr>
        <a:xfrm flipV="1">
          <a:off x="1428750" y="1670050"/>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190500</xdr:colOff>
      <xdr:row>44</xdr:row>
      <xdr:rowOff>28575</xdr:rowOff>
    </xdr:from>
    <xdr:to>
      <xdr:col>8</xdr:col>
      <xdr:colOff>190500</xdr:colOff>
      <xdr:row>45</xdr:row>
      <xdr:rowOff>142876</xdr:rowOff>
    </xdr:to>
    <xdr:cxnSp macro="">
      <xdr:nvCxnSpPr>
        <xdr:cNvPr id="55" name="直線矢印コネクタ 54">
          <a:extLst>
            <a:ext uri="{FF2B5EF4-FFF2-40B4-BE49-F238E27FC236}">
              <a16:creationId xmlns:a16="http://schemas.microsoft.com/office/drawing/2014/main" id="{00000000-0008-0000-0200-000037000000}"/>
            </a:ext>
          </a:extLst>
        </xdr:cNvPr>
        <xdr:cNvCxnSpPr/>
      </xdr:nvCxnSpPr>
      <xdr:spPr>
        <a:xfrm flipV="1">
          <a:off x="5219700" y="6962775"/>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171450</xdr:colOff>
      <xdr:row>44</xdr:row>
      <xdr:rowOff>76200</xdr:rowOff>
    </xdr:from>
    <xdr:to>
      <xdr:col>6</xdr:col>
      <xdr:colOff>533400</xdr:colOff>
      <xdr:row>44</xdr:row>
      <xdr:rowOff>76201</xdr:rowOff>
    </xdr:to>
    <xdr:cxnSp macro="">
      <xdr:nvCxnSpPr>
        <xdr:cNvPr id="56" name="直線矢印コネクタ 55">
          <a:extLst>
            <a:ext uri="{FF2B5EF4-FFF2-40B4-BE49-F238E27FC236}">
              <a16:creationId xmlns:a16="http://schemas.microsoft.com/office/drawing/2014/main" id="{00000000-0008-0000-0200-000038000000}"/>
            </a:ext>
          </a:extLst>
        </xdr:cNvPr>
        <xdr:cNvCxnSpPr/>
      </xdr:nvCxnSpPr>
      <xdr:spPr>
        <a:xfrm flipH="1">
          <a:off x="3943350" y="7010400"/>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161925</xdr:colOff>
      <xdr:row>44</xdr:row>
      <xdr:rowOff>76200</xdr:rowOff>
    </xdr:from>
    <xdr:to>
      <xdr:col>10</xdr:col>
      <xdr:colOff>523875</xdr:colOff>
      <xdr:row>44</xdr:row>
      <xdr:rowOff>76201</xdr:rowOff>
    </xdr:to>
    <xdr:cxnSp macro="">
      <xdr:nvCxnSpPr>
        <xdr:cNvPr id="57" name="直線矢印コネクタ 56">
          <a:extLst>
            <a:ext uri="{FF2B5EF4-FFF2-40B4-BE49-F238E27FC236}">
              <a16:creationId xmlns:a16="http://schemas.microsoft.com/office/drawing/2014/main" id="{00000000-0008-0000-0200-000039000000}"/>
            </a:ext>
          </a:extLst>
        </xdr:cNvPr>
        <xdr:cNvCxnSpPr/>
      </xdr:nvCxnSpPr>
      <xdr:spPr>
        <a:xfrm flipH="1">
          <a:off x="6448425" y="7010400"/>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280987</xdr:colOff>
      <xdr:row>33</xdr:row>
      <xdr:rowOff>130969</xdr:rowOff>
    </xdr:from>
    <xdr:to>
      <xdr:col>7</xdr:col>
      <xdr:colOff>652462</xdr:colOff>
      <xdr:row>35</xdr:row>
      <xdr:rowOff>146971</xdr:rowOff>
    </xdr:to>
    <xdr:sp macro="" textlink="">
      <xdr:nvSpPr>
        <xdr:cNvPr id="58" name="円柱 57">
          <a:extLst>
            <a:ext uri="{FF2B5EF4-FFF2-40B4-BE49-F238E27FC236}">
              <a16:creationId xmlns:a16="http://schemas.microsoft.com/office/drawing/2014/main" id="{00000000-0008-0000-0200-00003A000000}"/>
            </a:ext>
          </a:extLst>
        </xdr:cNvPr>
        <xdr:cNvSpPr/>
      </xdr:nvSpPr>
      <xdr:spPr>
        <a:xfrm>
          <a:off x="4681537" y="5249069"/>
          <a:ext cx="346075" cy="34620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15</xdr:col>
      <xdr:colOff>276225</xdr:colOff>
      <xdr:row>13</xdr:row>
      <xdr:rowOff>123825</xdr:rowOff>
    </xdr:from>
    <xdr:to>
      <xdr:col>15</xdr:col>
      <xdr:colOff>647700</xdr:colOff>
      <xdr:row>15</xdr:row>
      <xdr:rowOff>139827</xdr:rowOff>
    </xdr:to>
    <xdr:sp macro="" textlink="">
      <xdr:nvSpPr>
        <xdr:cNvPr id="59" name="円柱 58">
          <a:extLst>
            <a:ext uri="{FF2B5EF4-FFF2-40B4-BE49-F238E27FC236}">
              <a16:creationId xmlns:a16="http://schemas.microsoft.com/office/drawing/2014/main" id="{00000000-0008-0000-0200-00003B000000}"/>
            </a:ext>
          </a:extLst>
        </xdr:cNvPr>
        <xdr:cNvSpPr/>
      </xdr:nvSpPr>
      <xdr:spPr>
        <a:xfrm>
          <a:off x="9705975" y="1939925"/>
          <a:ext cx="352425" cy="346202"/>
        </a:xfrm>
        <a:prstGeom prst="can">
          <a:avLst/>
        </a:prstGeom>
        <a:gradFill>
          <a:gsLst>
            <a:gs pos="50000">
              <a:schemeClr val="bg1">
                <a:lumMod val="75000"/>
              </a:schemeClr>
            </a:gs>
            <a:gs pos="50000">
              <a:schemeClr val="bg1">
                <a:lumMod val="75000"/>
              </a:schemeClr>
            </a:gs>
            <a:gs pos="50000">
              <a:schemeClr val="accent6"/>
            </a:gs>
          </a:gsLst>
          <a:lin ang="2700000" scaled="1"/>
        </a:gra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11</xdr:col>
      <xdr:colOff>323850</xdr:colOff>
      <xdr:row>12</xdr:row>
      <xdr:rowOff>150813</xdr:rowOff>
    </xdr:from>
    <xdr:to>
      <xdr:col>16</xdr:col>
      <xdr:colOff>314325</xdr:colOff>
      <xdr:row>30</xdr:row>
      <xdr:rowOff>8659</xdr:rowOff>
    </xdr:to>
    <xdr:grpSp>
      <xdr:nvGrpSpPr>
        <xdr:cNvPr id="60" name="グループ化 59">
          <a:extLst>
            <a:ext uri="{FF2B5EF4-FFF2-40B4-BE49-F238E27FC236}">
              <a16:creationId xmlns:a16="http://schemas.microsoft.com/office/drawing/2014/main" id="{00000000-0008-0000-0200-00003C000000}"/>
            </a:ext>
          </a:extLst>
        </xdr:cNvPr>
        <xdr:cNvGrpSpPr/>
      </xdr:nvGrpSpPr>
      <xdr:grpSpPr>
        <a:xfrm>
          <a:off x="7134225" y="2093913"/>
          <a:ext cx="3086100" cy="2772496"/>
          <a:chOff x="7867650" y="1350963"/>
          <a:chExt cx="3419475" cy="2945528"/>
        </a:xfrm>
      </xdr:grpSpPr>
      <xdr:cxnSp macro="">
        <xdr:nvCxnSpPr>
          <xdr:cNvPr id="61" name="直線コネクタ 60">
            <a:extLst>
              <a:ext uri="{FF2B5EF4-FFF2-40B4-BE49-F238E27FC236}">
                <a16:creationId xmlns:a16="http://schemas.microsoft.com/office/drawing/2014/main" id="{00000000-0008-0000-0200-00003D000000}"/>
              </a:ext>
            </a:extLst>
          </xdr:cNvPr>
          <xdr:cNvCxnSpPr>
            <a:stCxn id="36" idx="3"/>
          </xdr:cNvCxnSpPr>
        </xdr:nvCxnSpPr>
        <xdr:spPr>
          <a:xfrm>
            <a:off x="10972800" y="1371600"/>
            <a:ext cx="314325"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62" name="直線コネクタ 61">
            <a:extLst>
              <a:ext uri="{FF2B5EF4-FFF2-40B4-BE49-F238E27FC236}">
                <a16:creationId xmlns:a16="http://schemas.microsoft.com/office/drawing/2014/main" id="{00000000-0008-0000-0200-00003E000000}"/>
              </a:ext>
            </a:extLst>
          </xdr:cNvPr>
          <xdr:cNvCxnSpPr/>
        </xdr:nvCxnSpPr>
        <xdr:spPr>
          <a:xfrm>
            <a:off x="11277600" y="1350963"/>
            <a:ext cx="0" cy="278765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63" name="直線コネクタ 62">
            <a:extLst>
              <a:ext uri="{FF2B5EF4-FFF2-40B4-BE49-F238E27FC236}">
                <a16:creationId xmlns:a16="http://schemas.microsoft.com/office/drawing/2014/main" id="{00000000-0008-0000-0200-00003F000000}"/>
              </a:ext>
            </a:extLst>
          </xdr:cNvPr>
          <xdr:cNvCxnSpPr/>
        </xdr:nvCxnSpPr>
        <xdr:spPr>
          <a:xfrm flipH="1">
            <a:off x="7867650" y="4114800"/>
            <a:ext cx="3419475"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64" name="直線コネクタ 63">
            <a:extLst>
              <a:ext uri="{FF2B5EF4-FFF2-40B4-BE49-F238E27FC236}">
                <a16:creationId xmlns:a16="http://schemas.microsoft.com/office/drawing/2014/main" id="{00000000-0008-0000-0200-000040000000}"/>
              </a:ext>
            </a:extLst>
          </xdr:cNvPr>
          <xdr:cNvCxnSpPr/>
        </xdr:nvCxnSpPr>
        <xdr:spPr>
          <a:xfrm>
            <a:off x="7867650" y="4086225"/>
            <a:ext cx="0" cy="210266"/>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14</xdr:col>
      <xdr:colOff>161925</xdr:colOff>
      <xdr:row>28</xdr:row>
      <xdr:rowOff>66675</xdr:rowOff>
    </xdr:from>
    <xdr:to>
      <xdr:col>14</xdr:col>
      <xdr:colOff>523875</xdr:colOff>
      <xdr:row>28</xdr:row>
      <xdr:rowOff>66676</xdr:rowOff>
    </xdr:to>
    <xdr:cxnSp macro="">
      <xdr:nvCxnSpPr>
        <xdr:cNvPr id="65" name="直線矢印コネクタ 64">
          <a:extLst>
            <a:ext uri="{FF2B5EF4-FFF2-40B4-BE49-F238E27FC236}">
              <a16:creationId xmlns:a16="http://schemas.microsoft.com/office/drawing/2014/main" id="{00000000-0008-0000-0200-000041000000}"/>
            </a:ext>
          </a:extLst>
        </xdr:cNvPr>
        <xdr:cNvCxnSpPr/>
      </xdr:nvCxnSpPr>
      <xdr:spPr>
        <a:xfrm flipH="1">
          <a:off x="8963025" y="4359275"/>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319090</xdr:colOff>
      <xdr:row>38</xdr:row>
      <xdr:rowOff>0</xdr:rowOff>
    </xdr:from>
    <xdr:to>
      <xdr:col>13</xdr:col>
      <xdr:colOff>321468</xdr:colOff>
      <xdr:row>43</xdr:row>
      <xdr:rowOff>154781</xdr:rowOff>
    </xdr:to>
    <xdr:sp macro="" textlink="">
      <xdr:nvSpPr>
        <xdr:cNvPr id="66" name="正方形/長方形 65">
          <a:extLst>
            <a:ext uri="{FF2B5EF4-FFF2-40B4-BE49-F238E27FC236}">
              <a16:creationId xmlns:a16="http://schemas.microsoft.com/office/drawing/2014/main" id="{00000000-0008-0000-0200-000042000000}"/>
            </a:ext>
          </a:extLst>
        </xdr:cNvPr>
        <xdr:cNvSpPr/>
      </xdr:nvSpPr>
      <xdr:spPr>
        <a:xfrm>
          <a:off x="6605590" y="5943600"/>
          <a:ext cx="1888328" cy="98028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ETS-R EAI</a:t>
          </a:r>
        </a:p>
        <a:p>
          <a:pPr algn="l"/>
          <a:r>
            <a:rPr kumimoji="1" lang="ja-JP" altLang="en-US" sz="1100">
              <a:solidFill>
                <a:sysClr val="windowText" lastClr="000000"/>
              </a:solidFill>
            </a:rPr>
            <a:t>・オフラスとの連携用</a:t>
          </a:r>
          <a:endParaRPr kumimoji="1" lang="en-US" altLang="ja-JP" sz="1100">
            <a:solidFill>
              <a:sysClr val="windowText" lastClr="000000"/>
            </a:solidFill>
          </a:endParaRPr>
        </a:p>
      </xdr:txBody>
    </xdr:sp>
    <xdr:clientData/>
  </xdr:twoCellAnchor>
  <xdr:twoCellAnchor>
    <xdr:from>
      <xdr:col>11</xdr:col>
      <xdr:colOff>277091</xdr:colOff>
      <xdr:row>33</xdr:row>
      <xdr:rowOff>129887</xdr:rowOff>
    </xdr:from>
    <xdr:to>
      <xdr:col>11</xdr:col>
      <xdr:colOff>648566</xdr:colOff>
      <xdr:row>35</xdr:row>
      <xdr:rowOff>145889</xdr:rowOff>
    </xdr:to>
    <xdr:sp macro="" textlink="">
      <xdr:nvSpPr>
        <xdr:cNvPr id="67" name="円柱 66">
          <a:extLst>
            <a:ext uri="{FF2B5EF4-FFF2-40B4-BE49-F238E27FC236}">
              <a16:creationId xmlns:a16="http://schemas.microsoft.com/office/drawing/2014/main" id="{00000000-0008-0000-0200-000043000000}"/>
            </a:ext>
          </a:extLst>
        </xdr:cNvPr>
        <xdr:cNvSpPr/>
      </xdr:nvSpPr>
      <xdr:spPr>
        <a:xfrm>
          <a:off x="7192241" y="5247987"/>
          <a:ext cx="352425" cy="34620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11</xdr:col>
      <xdr:colOff>35718</xdr:colOff>
      <xdr:row>36</xdr:row>
      <xdr:rowOff>0</xdr:rowOff>
    </xdr:from>
    <xdr:to>
      <xdr:col>11</xdr:col>
      <xdr:colOff>35718</xdr:colOff>
      <xdr:row>37</xdr:row>
      <xdr:rowOff>154781</xdr:rowOff>
    </xdr:to>
    <xdr:cxnSp macro="">
      <xdr:nvCxnSpPr>
        <xdr:cNvPr id="68" name="直線コネクタ 67">
          <a:extLst>
            <a:ext uri="{FF2B5EF4-FFF2-40B4-BE49-F238E27FC236}">
              <a16:creationId xmlns:a16="http://schemas.microsoft.com/office/drawing/2014/main" id="{00000000-0008-0000-0200-000044000000}"/>
            </a:ext>
          </a:extLst>
        </xdr:cNvPr>
        <xdr:cNvCxnSpPr/>
      </xdr:nvCxnSpPr>
      <xdr:spPr>
        <a:xfrm>
          <a:off x="6950868" y="5613400"/>
          <a:ext cx="0" cy="31988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581025</xdr:colOff>
      <xdr:row>36</xdr:row>
      <xdr:rowOff>16671</xdr:rowOff>
    </xdr:from>
    <xdr:to>
      <xdr:col>10</xdr:col>
      <xdr:colOff>581025</xdr:colOff>
      <xdr:row>37</xdr:row>
      <xdr:rowOff>130972</xdr:rowOff>
    </xdr:to>
    <xdr:cxnSp macro="">
      <xdr:nvCxnSpPr>
        <xdr:cNvPr id="69" name="直線矢印コネクタ 68">
          <a:extLst>
            <a:ext uri="{FF2B5EF4-FFF2-40B4-BE49-F238E27FC236}">
              <a16:creationId xmlns:a16="http://schemas.microsoft.com/office/drawing/2014/main" id="{00000000-0008-0000-0200-000045000000}"/>
            </a:ext>
          </a:extLst>
        </xdr:cNvPr>
        <xdr:cNvCxnSpPr/>
      </xdr:nvCxnSpPr>
      <xdr:spPr>
        <a:xfrm flipV="1">
          <a:off x="6867525" y="5630071"/>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416719</xdr:colOff>
      <xdr:row>35</xdr:row>
      <xdr:rowOff>154781</xdr:rowOff>
    </xdr:from>
    <xdr:to>
      <xdr:col>5</xdr:col>
      <xdr:colOff>416719</xdr:colOff>
      <xdr:row>41</xdr:row>
      <xdr:rowOff>0</xdr:rowOff>
    </xdr:to>
    <xdr:cxnSp macro="">
      <xdr:nvCxnSpPr>
        <xdr:cNvPr id="70" name="直線コネクタ 69">
          <a:extLst>
            <a:ext uri="{FF2B5EF4-FFF2-40B4-BE49-F238E27FC236}">
              <a16:creationId xmlns:a16="http://schemas.microsoft.com/office/drawing/2014/main" id="{00000000-0008-0000-0200-000046000000}"/>
            </a:ext>
          </a:extLst>
        </xdr:cNvPr>
        <xdr:cNvCxnSpPr/>
      </xdr:nvCxnSpPr>
      <xdr:spPr>
        <a:xfrm>
          <a:off x="3559969" y="5603081"/>
          <a:ext cx="0" cy="835819"/>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652462</xdr:colOff>
      <xdr:row>19</xdr:row>
      <xdr:rowOff>64293</xdr:rowOff>
    </xdr:from>
    <xdr:to>
      <xdr:col>8</xdr:col>
      <xdr:colOff>345281</xdr:colOff>
      <xdr:row>19</xdr:row>
      <xdr:rowOff>64293</xdr:rowOff>
    </xdr:to>
    <xdr:cxnSp macro="">
      <xdr:nvCxnSpPr>
        <xdr:cNvPr id="71" name="直線コネクタ 70">
          <a:extLst>
            <a:ext uri="{FF2B5EF4-FFF2-40B4-BE49-F238E27FC236}">
              <a16:creationId xmlns:a16="http://schemas.microsoft.com/office/drawing/2014/main" id="{00000000-0008-0000-0200-000047000000}"/>
            </a:ext>
          </a:extLst>
        </xdr:cNvPr>
        <xdr:cNvCxnSpPr/>
      </xdr:nvCxnSpPr>
      <xdr:spPr>
        <a:xfrm>
          <a:off x="5027612" y="2870993"/>
          <a:ext cx="346869"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559592</xdr:colOff>
      <xdr:row>21</xdr:row>
      <xdr:rowOff>83344</xdr:rowOff>
    </xdr:from>
    <xdr:to>
      <xdr:col>5</xdr:col>
      <xdr:colOff>10583</xdr:colOff>
      <xdr:row>23</xdr:row>
      <xdr:rowOff>1</xdr:rowOff>
    </xdr:to>
    <xdr:sp macro="" textlink="">
      <xdr:nvSpPr>
        <xdr:cNvPr id="72" name="正方形/長方形 71">
          <a:extLst>
            <a:ext uri="{FF2B5EF4-FFF2-40B4-BE49-F238E27FC236}">
              <a16:creationId xmlns:a16="http://schemas.microsoft.com/office/drawing/2014/main" id="{00000000-0008-0000-0200-000048000000}"/>
            </a:ext>
          </a:extLst>
        </xdr:cNvPr>
        <xdr:cNvSpPr/>
      </xdr:nvSpPr>
      <xdr:spPr>
        <a:xfrm>
          <a:off x="1808425" y="3639344"/>
          <a:ext cx="1324241" cy="255324"/>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オフラスとの連携</a:t>
          </a:r>
          <a:endParaRPr kumimoji="1" lang="en-US" altLang="ja-JP" sz="1100">
            <a:solidFill>
              <a:sysClr val="windowText" lastClr="000000"/>
            </a:solidFill>
          </a:endParaRPr>
        </a:p>
      </xdr:txBody>
    </xdr:sp>
    <xdr:clientData/>
  </xdr:twoCellAnchor>
  <xdr:twoCellAnchor>
    <xdr:from>
      <xdr:col>4</xdr:col>
      <xdr:colOff>321470</xdr:colOff>
      <xdr:row>17</xdr:row>
      <xdr:rowOff>0</xdr:rowOff>
    </xdr:from>
    <xdr:to>
      <xdr:col>5</xdr:col>
      <xdr:colOff>1</xdr:colOff>
      <xdr:row>21</xdr:row>
      <xdr:rowOff>83343</xdr:rowOff>
    </xdr:to>
    <xdr:cxnSp macro="">
      <xdr:nvCxnSpPr>
        <xdr:cNvPr id="73" name="カギ線コネクタ 72">
          <a:extLst>
            <a:ext uri="{FF2B5EF4-FFF2-40B4-BE49-F238E27FC236}">
              <a16:creationId xmlns:a16="http://schemas.microsoft.com/office/drawing/2014/main" id="{00000000-0008-0000-0200-000049000000}"/>
            </a:ext>
          </a:extLst>
        </xdr:cNvPr>
        <xdr:cNvCxnSpPr>
          <a:endCxn id="9" idx="1"/>
        </xdr:cNvCxnSpPr>
      </xdr:nvCxnSpPr>
      <xdr:spPr>
        <a:xfrm rot="5400000" flipH="1" flipV="1">
          <a:off x="2617789" y="2694781"/>
          <a:ext cx="743743" cy="307181"/>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438150</xdr:colOff>
      <xdr:row>18</xdr:row>
      <xdr:rowOff>40482</xdr:rowOff>
    </xdr:from>
    <xdr:to>
      <xdr:col>4</xdr:col>
      <xdr:colOff>438150</xdr:colOff>
      <xdr:row>19</xdr:row>
      <xdr:rowOff>154783</xdr:rowOff>
    </xdr:to>
    <xdr:cxnSp macro="">
      <xdr:nvCxnSpPr>
        <xdr:cNvPr id="74" name="直線矢印コネクタ 73">
          <a:extLst>
            <a:ext uri="{FF2B5EF4-FFF2-40B4-BE49-F238E27FC236}">
              <a16:creationId xmlns:a16="http://schemas.microsoft.com/office/drawing/2014/main" id="{00000000-0008-0000-0200-00004A000000}"/>
            </a:ext>
          </a:extLst>
        </xdr:cNvPr>
        <xdr:cNvCxnSpPr/>
      </xdr:nvCxnSpPr>
      <xdr:spPr>
        <a:xfrm flipV="1">
          <a:off x="2952750" y="2682082"/>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603252</xdr:colOff>
      <xdr:row>2</xdr:row>
      <xdr:rowOff>74083</xdr:rowOff>
    </xdr:from>
    <xdr:to>
      <xdr:col>2</xdr:col>
      <xdr:colOff>550335</xdr:colOff>
      <xdr:row>5</xdr:row>
      <xdr:rowOff>52916</xdr:rowOff>
    </xdr:to>
    <xdr:sp macro="" textlink="">
      <xdr:nvSpPr>
        <xdr:cNvPr id="76" name="正方形/長方形 75">
          <a:extLst>
            <a:ext uri="{FF2B5EF4-FFF2-40B4-BE49-F238E27FC236}">
              <a16:creationId xmlns:a16="http://schemas.microsoft.com/office/drawing/2014/main" id="{00000000-0008-0000-0200-00004C000000}"/>
            </a:ext>
          </a:extLst>
        </xdr:cNvPr>
        <xdr:cNvSpPr/>
      </xdr:nvSpPr>
      <xdr:spPr>
        <a:xfrm>
          <a:off x="603252" y="412750"/>
          <a:ext cx="1195916" cy="486833"/>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chemeClr val="tx1"/>
              </a:solidFill>
            </a:rPr>
            <a:t>更新前</a:t>
          </a:r>
        </a:p>
      </xdr:txBody>
    </xdr:sp>
    <xdr:clientData/>
  </xdr:twoCellAnchor>
  <xdr:twoCellAnchor>
    <xdr:from>
      <xdr:col>0</xdr:col>
      <xdr:colOff>308239</xdr:colOff>
      <xdr:row>87</xdr:row>
      <xdr:rowOff>11906</xdr:rowOff>
    </xdr:from>
    <xdr:to>
      <xdr:col>17</xdr:col>
      <xdr:colOff>31750</xdr:colOff>
      <xdr:row>95</xdr:row>
      <xdr:rowOff>11905</xdr:rowOff>
    </xdr:to>
    <xdr:sp macro="" textlink="">
      <xdr:nvSpPr>
        <xdr:cNvPr id="78" name="正方形/長方形 77">
          <a:extLst>
            <a:ext uri="{FF2B5EF4-FFF2-40B4-BE49-F238E27FC236}">
              <a16:creationId xmlns:a16="http://schemas.microsoft.com/office/drawing/2014/main" id="{00000000-0008-0000-0200-00004E000000}"/>
            </a:ext>
            <a:ext uri="{147F2762-F138-4A5C-976F-8EAC2B608ADB}">
              <a16:predDERef xmlns:a16="http://schemas.microsoft.com/office/drawing/2014/main" pred="{00000000-0008-0000-0200-00004D000000}"/>
            </a:ext>
          </a:extLst>
        </xdr:cNvPr>
        <xdr:cNvSpPr/>
      </xdr:nvSpPr>
      <xdr:spPr>
        <a:xfrm>
          <a:off x="308239" y="14743906"/>
          <a:ext cx="10338594" cy="1354666"/>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22488</xdr:colOff>
      <xdr:row>103</xdr:row>
      <xdr:rowOff>0</xdr:rowOff>
    </xdr:from>
    <xdr:to>
      <xdr:col>14</xdr:col>
      <xdr:colOff>367769</xdr:colOff>
      <xdr:row>111</xdr:row>
      <xdr:rowOff>0</xdr:rowOff>
    </xdr:to>
    <xdr:sp macro="" textlink="">
      <xdr:nvSpPr>
        <xdr:cNvPr id="80" name="正方形/長方形 79">
          <a:extLst>
            <a:ext uri="{FF2B5EF4-FFF2-40B4-BE49-F238E27FC236}">
              <a16:creationId xmlns:a16="http://schemas.microsoft.com/office/drawing/2014/main" id="{00000000-0008-0000-0200-000050000000}"/>
            </a:ext>
          </a:extLst>
        </xdr:cNvPr>
        <xdr:cNvSpPr/>
      </xdr:nvSpPr>
      <xdr:spPr>
        <a:xfrm>
          <a:off x="5642238" y="17441333"/>
          <a:ext cx="3467364" cy="1354667"/>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10582</xdr:colOff>
      <xdr:row>64</xdr:row>
      <xdr:rowOff>0</xdr:rowOff>
    </xdr:from>
    <xdr:to>
      <xdr:col>8</xdr:col>
      <xdr:colOff>10582</xdr:colOff>
      <xdr:row>70</xdr:row>
      <xdr:rowOff>0</xdr:rowOff>
    </xdr:to>
    <xdr:sp macro="" textlink="">
      <xdr:nvSpPr>
        <xdr:cNvPr id="83" name="正方形/長方形 82">
          <a:extLst>
            <a:ext uri="{FF2B5EF4-FFF2-40B4-BE49-F238E27FC236}">
              <a16:creationId xmlns:a16="http://schemas.microsoft.com/office/drawing/2014/main" id="{00000000-0008-0000-0200-000053000000}"/>
            </a:ext>
          </a:extLst>
        </xdr:cNvPr>
        <xdr:cNvSpPr/>
      </xdr:nvSpPr>
      <xdr:spPr>
        <a:xfrm>
          <a:off x="3132665" y="10837333"/>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OneSAP</a:t>
          </a:r>
        </a:p>
        <a:p>
          <a:pPr algn="l"/>
          <a:endParaRPr kumimoji="1" lang="ja-JP" altLang="en-US" sz="1100">
            <a:solidFill>
              <a:sysClr val="windowText" lastClr="000000"/>
            </a:solidFill>
          </a:endParaRPr>
        </a:p>
      </xdr:txBody>
    </xdr:sp>
    <xdr:clientData/>
  </xdr:twoCellAnchor>
  <xdr:twoCellAnchor>
    <xdr:from>
      <xdr:col>5</xdr:col>
      <xdr:colOff>10582</xdr:colOff>
      <xdr:row>72</xdr:row>
      <xdr:rowOff>0</xdr:rowOff>
    </xdr:from>
    <xdr:to>
      <xdr:col>8</xdr:col>
      <xdr:colOff>10582</xdr:colOff>
      <xdr:row>78</xdr:row>
      <xdr:rowOff>0</xdr:rowOff>
    </xdr:to>
    <xdr:sp macro="" textlink="">
      <xdr:nvSpPr>
        <xdr:cNvPr id="84" name="正方形/長方形 83">
          <a:extLst>
            <a:ext uri="{FF2B5EF4-FFF2-40B4-BE49-F238E27FC236}">
              <a16:creationId xmlns:a16="http://schemas.microsoft.com/office/drawing/2014/main" id="{00000000-0008-0000-0200-000054000000}"/>
            </a:ext>
          </a:extLst>
        </xdr:cNvPr>
        <xdr:cNvSpPr/>
      </xdr:nvSpPr>
      <xdr:spPr>
        <a:xfrm>
          <a:off x="3132665" y="12192000"/>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連携</a:t>
          </a:r>
          <a:r>
            <a:rPr kumimoji="1" lang="en-US" altLang="ja-JP" sz="1100">
              <a:solidFill>
                <a:sysClr val="windowText" lastClr="000000"/>
              </a:solidFill>
            </a:rPr>
            <a:t>NAS</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SAP</a:t>
          </a:r>
          <a:r>
            <a:rPr kumimoji="1" lang="ja-JP" altLang="ja-JP" sz="1100">
              <a:solidFill>
                <a:sysClr val="windowText" lastClr="000000"/>
              </a:solidFill>
              <a:effectLst/>
              <a:latin typeface="+mn-lt"/>
              <a:ea typeface="+mn-ea"/>
              <a:cs typeface="+mn-cs"/>
            </a:rPr>
            <a:t>とのファイル連携用</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5</xdr:col>
      <xdr:colOff>10582</xdr:colOff>
      <xdr:row>88</xdr:row>
      <xdr:rowOff>0</xdr:rowOff>
    </xdr:from>
    <xdr:to>
      <xdr:col>8</xdr:col>
      <xdr:colOff>10582</xdr:colOff>
      <xdr:row>94</xdr:row>
      <xdr:rowOff>0</xdr:rowOff>
    </xdr:to>
    <xdr:sp macro="" textlink="">
      <xdr:nvSpPr>
        <xdr:cNvPr id="85" name="正方形/長方形 84">
          <a:extLst>
            <a:ext uri="{FF2B5EF4-FFF2-40B4-BE49-F238E27FC236}">
              <a16:creationId xmlns:a16="http://schemas.microsoft.com/office/drawing/2014/main" id="{00000000-0008-0000-0200-000055000000}"/>
            </a:ext>
          </a:extLst>
        </xdr:cNvPr>
        <xdr:cNvSpPr/>
      </xdr:nvSpPr>
      <xdr:spPr>
        <a:xfrm>
          <a:off x="3132665" y="14901333"/>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a:t>
          </a:r>
          <a:r>
            <a:rPr kumimoji="1" lang="en-US" altLang="ja-JP" sz="1100">
              <a:solidFill>
                <a:sysClr val="windowText" lastClr="000000"/>
              </a:solidFill>
            </a:rPr>
            <a:t>PRM AP/DB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・製品倉庫システム</a:t>
          </a:r>
          <a:endParaRPr kumimoji="1" lang="en-US" altLang="ja-JP" sz="800">
            <a:solidFill>
              <a:sysClr val="windowText" lastClr="000000"/>
            </a:solidFill>
          </a:endParaRPr>
        </a:p>
        <a:p>
          <a:pPr algn="l"/>
          <a:r>
            <a:rPr kumimoji="1" lang="ja-JP" altLang="en-US" sz="800">
              <a:solidFill>
                <a:sysClr val="windowText" lastClr="000000"/>
              </a:solidFill>
            </a:rPr>
            <a:t>・</a:t>
          </a:r>
          <a:r>
            <a:rPr kumimoji="1" lang="en-US" altLang="ja-JP" sz="800">
              <a:solidFill>
                <a:sysClr val="windowText" lastClr="000000"/>
              </a:solidFill>
            </a:rPr>
            <a:t>ABC</a:t>
          </a:r>
          <a:r>
            <a:rPr kumimoji="1" lang="ja-JP" altLang="en-US" sz="800">
              <a:solidFill>
                <a:sysClr val="windowText" lastClr="000000"/>
              </a:solidFill>
            </a:rPr>
            <a:t>数量実績</a:t>
          </a:r>
          <a:endParaRPr kumimoji="1" lang="en-US" altLang="ja-JP" sz="8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800">
              <a:solidFill>
                <a:sysClr val="windowText" lastClr="000000"/>
              </a:solidFill>
              <a:effectLst/>
              <a:latin typeface="+mn-lt"/>
              <a:ea typeface="+mn-ea"/>
              <a:cs typeface="+mn-cs"/>
            </a:rPr>
            <a:t>・数量確定ポリマー</a:t>
          </a:r>
          <a:endParaRPr lang="ja-JP" altLang="ja-JP" sz="800">
            <a:solidFill>
              <a:sysClr val="windowText" lastClr="000000"/>
            </a:solidFill>
            <a:effectLst/>
          </a:endParaRPr>
        </a:p>
        <a:p>
          <a:pPr algn="l"/>
          <a:endParaRPr kumimoji="1" lang="ja-JP" altLang="en-US" sz="800">
            <a:solidFill>
              <a:sysClr val="windowText" lastClr="000000"/>
            </a:solidFill>
          </a:endParaRPr>
        </a:p>
      </xdr:txBody>
    </xdr:sp>
    <xdr:clientData/>
  </xdr:twoCellAnchor>
  <xdr:twoCellAnchor>
    <xdr:from>
      <xdr:col>9</xdr:col>
      <xdr:colOff>10582</xdr:colOff>
      <xdr:row>88</xdr:row>
      <xdr:rowOff>0</xdr:rowOff>
    </xdr:from>
    <xdr:to>
      <xdr:col>12</xdr:col>
      <xdr:colOff>10582</xdr:colOff>
      <xdr:row>94</xdr:row>
      <xdr:rowOff>0</xdr:rowOff>
    </xdr:to>
    <xdr:sp macro="" textlink="">
      <xdr:nvSpPr>
        <xdr:cNvPr id="86" name="正方形/長方形 85">
          <a:extLst>
            <a:ext uri="{FF2B5EF4-FFF2-40B4-BE49-F238E27FC236}">
              <a16:creationId xmlns:a16="http://schemas.microsoft.com/office/drawing/2014/main" id="{00000000-0008-0000-0200-000056000000}"/>
            </a:ext>
          </a:extLst>
        </xdr:cNvPr>
        <xdr:cNvSpPr/>
      </xdr:nvSpPr>
      <xdr:spPr>
        <a:xfrm>
          <a:off x="5630332" y="14901333"/>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新千葉ヤード操業サーバ</a:t>
          </a:r>
          <a:endParaRPr kumimoji="1" lang="en-US" altLang="ja-JP" sz="1100">
            <a:solidFill>
              <a:sysClr val="windowText" lastClr="000000"/>
            </a:solidFill>
          </a:endParaRPr>
        </a:p>
        <a:p>
          <a:pPr algn="l"/>
          <a:r>
            <a:rPr kumimoji="1" lang="ja-JP" altLang="en-US" sz="1100">
              <a:solidFill>
                <a:sysClr val="windowText" lastClr="000000"/>
              </a:solidFill>
            </a:rPr>
            <a:t>・千葉ヤード操業</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PIMS</a:t>
          </a:r>
          <a:r>
            <a:rPr kumimoji="1" lang="ja-JP" altLang="en-US" sz="1100">
              <a:solidFill>
                <a:sysClr val="windowText" lastClr="000000"/>
              </a:solidFill>
            </a:rPr>
            <a:t>取込サービス</a:t>
          </a:r>
        </a:p>
      </xdr:txBody>
    </xdr:sp>
    <xdr:clientData/>
  </xdr:twoCellAnchor>
  <xdr:twoCellAnchor>
    <xdr:from>
      <xdr:col>7</xdr:col>
      <xdr:colOff>10582</xdr:colOff>
      <xdr:row>96</xdr:row>
      <xdr:rowOff>0</xdr:rowOff>
    </xdr:from>
    <xdr:to>
      <xdr:col>10</xdr:col>
      <xdr:colOff>10582</xdr:colOff>
      <xdr:row>102</xdr:row>
      <xdr:rowOff>0</xdr:rowOff>
    </xdr:to>
    <xdr:sp macro="" textlink="">
      <xdr:nvSpPr>
        <xdr:cNvPr id="87" name="正方形/長方形 86">
          <a:extLst>
            <a:ext uri="{FF2B5EF4-FFF2-40B4-BE49-F238E27FC236}">
              <a16:creationId xmlns:a16="http://schemas.microsoft.com/office/drawing/2014/main" id="{00000000-0008-0000-0200-000057000000}"/>
            </a:ext>
          </a:extLst>
        </xdr:cNvPr>
        <xdr:cNvSpPr/>
      </xdr:nvSpPr>
      <xdr:spPr>
        <a:xfrm>
          <a:off x="4381499" y="16256000"/>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新千葉事業所</a:t>
          </a:r>
          <a:r>
            <a:rPr kumimoji="1" lang="en-US" altLang="ja-JP" sz="1100">
              <a:solidFill>
                <a:sysClr val="windowText" lastClr="000000"/>
              </a:solidFill>
            </a:rPr>
            <a:t>(</a:t>
          </a:r>
          <a:r>
            <a:rPr kumimoji="1" lang="ja-JP" altLang="en-US" sz="1100">
              <a:solidFill>
                <a:sysClr val="windowText" lastClr="000000"/>
              </a:solidFill>
            </a:rPr>
            <a:t>化学</a:t>
          </a:r>
          <a:r>
            <a:rPr kumimoji="1" lang="en-US" altLang="ja-JP" sz="1100">
              <a:solidFill>
                <a:sysClr val="windowText" lastClr="000000"/>
              </a:solidFill>
            </a:rPr>
            <a:t>)GW</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L3</a:t>
          </a:r>
          <a:r>
            <a:rPr kumimoji="1" lang="ja-JP" altLang="en-US" sz="1100">
              <a:solidFill>
                <a:sysClr val="windowText" lastClr="000000"/>
              </a:solidFill>
            </a:rPr>
            <a:t>層とのファイル連携用</a:t>
          </a:r>
          <a:endParaRPr kumimoji="1" lang="en-US" altLang="ja-JP" sz="1100">
            <a:solidFill>
              <a:sysClr val="windowText" lastClr="000000"/>
            </a:solidFill>
          </a:endParaRPr>
        </a:p>
      </xdr:txBody>
    </xdr:sp>
    <xdr:clientData/>
  </xdr:twoCellAnchor>
  <xdr:twoCellAnchor>
    <xdr:from>
      <xdr:col>10</xdr:col>
      <xdr:colOff>10582</xdr:colOff>
      <xdr:row>74</xdr:row>
      <xdr:rowOff>-1</xdr:rowOff>
    </xdr:from>
    <xdr:to>
      <xdr:col>13</xdr:col>
      <xdr:colOff>10582</xdr:colOff>
      <xdr:row>80</xdr:row>
      <xdr:rowOff>-1</xdr:rowOff>
    </xdr:to>
    <xdr:sp macro="" textlink="">
      <xdr:nvSpPr>
        <xdr:cNvPr id="88" name="正方形/長方形 87">
          <a:extLst>
            <a:ext uri="{FF2B5EF4-FFF2-40B4-BE49-F238E27FC236}">
              <a16:creationId xmlns:a16="http://schemas.microsoft.com/office/drawing/2014/main" id="{00000000-0008-0000-0200-000058000000}"/>
            </a:ext>
          </a:extLst>
        </xdr:cNvPr>
        <xdr:cNvSpPr/>
      </xdr:nvSpPr>
      <xdr:spPr>
        <a:xfrm>
          <a:off x="6254749" y="1253066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kumimoji="1" lang="ja-JP" altLang="en-US" sz="1100">
              <a:solidFill>
                <a:sysClr val="windowText" lastClr="000000"/>
              </a:solidFill>
              <a:latin typeface="+mn-lt"/>
              <a:ea typeface="+mn-ea"/>
              <a:cs typeface="+mn-cs"/>
            </a:rPr>
            <a:t>新バッチ基盤サーバ</a:t>
          </a:r>
        </a:p>
        <a:p>
          <a:pPr marL="0" indent="0" algn="l"/>
          <a:r>
            <a:rPr kumimoji="1" lang="ja-JP" altLang="en-US" sz="800">
              <a:solidFill>
                <a:sysClr val="windowText" lastClr="000000"/>
              </a:solidFill>
              <a:latin typeface="+mn-lt"/>
              <a:ea typeface="+mn-ea"/>
              <a:cs typeface="+mn-cs"/>
            </a:rPr>
            <a:t>・品質管理システム</a:t>
          </a:r>
        </a:p>
        <a:p>
          <a:pPr marL="0" indent="0" algn="l"/>
          <a:r>
            <a:rPr kumimoji="1" lang="ja-JP" altLang="en-US" sz="800">
              <a:solidFill>
                <a:sysClr val="windowText" lastClr="000000"/>
              </a:solidFill>
              <a:latin typeface="+mn-lt"/>
              <a:ea typeface="+mn-ea"/>
              <a:cs typeface="+mn-cs"/>
            </a:rPr>
            <a:t>・包装システム</a:t>
          </a:r>
        </a:p>
        <a:p>
          <a:pPr marL="0" indent="0" algn="l"/>
          <a:r>
            <a:rPr kumimoji="1" lang="ja-JP" altLang="en-US" sz="800">
              <a:solidFill>
                <a:sysClr val="windowText" lastClr="000000"/>
              </a:solidFill>
              <a:latin typeface="+mn-lt"/>
              <a:ea typeface="+mn-ea"/>
              <a:cs typeface="+mn-cs"/>
            </a:rPr>
            <a:t>・数量確定システム</a:t>
          </a:r>
        </a:p>
        <a:p>
          <a:pPr marL="0" indent="0" algn="l"/>
          <a:r>
            <a:rPr kumimoji="1" lang="ja-JP" altLang="en-US" sz="800">
              <a:solidFill>
                <a:sysClr val="windowText" lastClr="000000"/>
              </a:solidFill>
              <a:latin typeface="+mn-lt"/>
              <a:ea typeface="+mn-ea"/>
              <a:cs typeface="+mn-cs"/>
            </a:rPr>
            <a:t>・用役管理システム</a:t>
          </a:r>
        </a:p>
      </xdr:txBody>
    </xdr:sp>
    <xdr:clientData/>
  </xdr:twoCellAnchor>
  <xdr:twoCellAnchor>
    <xdr:from>
      <xdr:col>13</xdr:col>
      <xdr:colOff>10582</xdr:colOff>
      <xdr:row>75</xdr:row>
      <xdr:rowOff>127000</xdr:rowOff>
    </xdr:from>
    <xdr:to>
      <xdr:col>16</xdr:col>
      <xdr:colOff>10582</xdr:colOff>
      <xdr:row>80</xdr:row>
      <xdr:rowOff>-1</xdr:rowOff>
    </xdr:to>
    <xdr:sp macro="" textlink="">
      <xdr:nvSpPr>
        <xdr:cNvPr id="89" name="正方形/長方形 88">
          <a:extLst>
            <a:ext uri="{FF2B5EF4-FFF2-40B4-BE49-F238E27FC236}">
              <a16:creationId xmlns:a16="http://schemas.microsoft.com/office/drawing/2014/main" id="{00000000-0008-0000-0200-000059000000}"/>
            </a:ext>
          </a:extLst>
        </xdr:cNvPr>
        <xdr:cNvSpPr/>
      </xdr:nvSpPr>
      <xdr:spPr>
        <a:xfrm>
          <a:off x="8127999" y="12827000"/>
          <a:ext cx="1873250" cy="719666"/>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kumimoji="1" lang="ja-JP" altLang="en-US" sz="1100">
              <a:solidFill>
                <a:sysClr val="windowText" lastClr="000000"/>
              </a:solidFill>
              <a:latin typeface="+mn-lt"/>
              <a:ea typeface="+mn-ea"/>
              <a:cs typeface="+mn-cs"/>
            </a:rPr>
            <a:t>新共通基盤帳票サーバ</a:t>
          </a:r>
          <a:endParaRPr kumimoji="1" lang="en-US" altLang="ja-JP" sz="1100">
            <a:solidFill>
              <a:sysClr val="windowText" lastClr="000000"/>
            </a:solidFill>
            <a:latin typeface="+mn-lt"/>
            <a:ea typeface="+mn-ea"/>
            <a:cs typeface="+mn-cs"/>
          </a:endParaRPr>
        </a:p>
        <a:p>
          <a:pPr marL="0" indent="0" algn="l"/>
          <a:r>
            <a:rPr kumimoji="1" lang="ja-JP" altLang="en-US" sz="800">
              <a:solidFill>
                <a:sysClr val="windowText" lastClr="000000"/>
              </a:solidFill>
              <a:latin typeface="+mn-lt"/>
              <a:ea typeface="+mn-ea"/>
              <a:cs typeface="+mn-cs"/>
            </a:rPr>
            <a:t>・品質管理システム</a:t>
          </a:r>
        </a:p>
        <a:p>
          <a:pPr marL="0" indent="0" algn="l"/>
          <a:r>
            <a:rPr kumimoji="1" lang="ja-JP" altLang="en-US" sz="800">
              <a:solidFill>
                <a:sysClr val="windowText" lastClr="000000"/>
              </a:solidFill>
              <a:latin typeface="+mn-lt"/>
              <a:ea typeface="+mn-ea"/>
              <a:cs typeface="+mn-cs"/>
            </a:rPr>
            <a:t>・包装システム</a:t>
          </a:r>
          <a:endParaRPr kumimoji="1" lang="en-US" altLang="ja-JP" sz="800">
            <a:solidFill>
              <a:sysClr val="windowText" lastClr="000000"/>
            </a:solidFill>
            <a:latin typeface="+mn-lt"/>
            <a:ea typeface="+mn-ea"/>
            <a:cs typeface="+mn-cs"/>
          </a:endParaRPr>
        </a:p>
      </xdr:txBody>
    </xdr:sp>
    <xdr:clientData/>
  </xdr:twoCellAnchor>
  <xdr:twoCellAnchor>
    <xdr:from>
      <xdr:col>1</xdr:col>
      <xdr:colOff>10582</xdr:colOff>
      <xdr:row>72</xdr:row>
      <xdr:rowOff>0</xdr:rowOff>
    </xdr:from>
    <xdr:to>
      <xdr:col>4</xdr:col>
      <xdr:colOff>10582</xdr:colOff>
      <xdr:row>78</xdr:row>
      <xdr:rowOff>0</xdr:rowOff>
    </xdr:to>
    <xdr:sp macro="" textlink="">
      <xdr:nvSpPr>
        <xdr:cNvPr id="90" name="正方形/長方形 89">
          <a:extLst>
            <a:ext uri="{FF2B5EF4-FFF2-40B4-BE49-F238E27FC236}">
              <a16:creationId xmlns:a16="http://schemas.microsoft.com/office/drawing/2014/main" id="{00000000-0008-0000-0200-00005A000000}"/>
            </a:ext>
          </a:extLst>
        </xdr:cNvPr>
        <xdr:cNvSpPr/>
      </xdr:nvSpPr>
      <xdr:spPr>
        <a:xfrm>
          <a:off x="634999" y="12192000"/>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HULFT</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10.180.0.54</a:t>
          </a:r>
        </a:p>
        <a:p>
          <a:pPr algn="l"/>
          <a:r>
            <a:rPr kumimoji="1" lang="ja-JP" altLang="en-US" sz="1100">
              <a:solidFill>
                <a:sysClr val="windowText" lastClr="000000"/>
              </a:solidFill>
            </a:rPr>
            <a:t>・</a:t>
          </a:r>
          <a:r>
            <a:rPr kumimoji="1" lang="en-US" altLang="ja-JP" sz="1100">
              <a:solidFill>
                <a:sysClr val="windowText" lastClr="000000"/>
              </a:solidFill>
            </a:rPr>
            <a:t>SAP</a:t>
          </a:r>
          <a:r>
            <a:rPr kumimoji="1" lang="ja-JP" altLang="en-US" sz="1100">
              <a:solidFill>
                <a:sysClr val="windowText" lastClr="000000"/>
              </a:solidFill>
            </a:rPr>
            <a:t>とのファイル連携用</a:t>
          </a:r>
        </a:p>
        <a:p>
          <a:pPr algn="l"/>
          <a:endParaRPr kumimoji="1" lang="ja-JP" altLang="en-US" sz="1100">
            <a:solidFill>
              <a:sysClr val="windowText" lastClr="000000"/>
            </a:solidFill>
          </a:endParaRPr>
        </a:p>
      </xdr:txBody>
    </xdr:sp>
    <xdr:clientData/>
  </xdr:twoCellAnchor>
  <xdr:twoCellAnchor>
    <xdr:from>
      <xdr:col>1</xdr:col>
      <xdr:colOff>10582</xdr:colOff>
      <xdr:row>64</xdr:row>
      <xdr:rowOff>0</xdr:rowOff>
    </xdr:from>
    <xdr:to>
      <xdr:col>4</xdr:col>
      <xdr:colOff>10582</xdr:colOff>
      <xdr:row>70</xdr:row>
      <xdr:rowOff>0</xdr:rowOff>
    </xdr:to>
    <xdr:sp macro="" textlink="">
      <xdr:nvSpPr>
        <xdr:cNvPr id="91" name="正方形/長方形 90">
          <a:extLst>
            <a:ext uri="{FF2B5EF4-FFF2-40B4-BE49-F238E27FC236}">
              <a16:creationId xmlns:a16="http://schemas.microsoft.com/office/drawing/2014/main" id="{00000000-0008-0000-0200-00005B000000}"/>
            </a:ext>
          </a:extLst>
        </xdr:cNvPr>
        <xdr:cNvSpPr/>
      </xdr:nvSpPr>
      <xdr:spPr>
        <a:xfrm>
          <a:off x="634999" y="10837333"/>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OneSAP</a:t>
          </a:r>
        </a:p>
        <a:p>
          <a:pPr algn="l"/>
          <a:endParaRPr kumimoji="1" lang="ja-JP" altLang="en-US" sz="1100">
            <a:solidFill>
              <a:sysClr val="windowText" lastClr="000000"/>
            </a:solidFill>
          </a:endParaRPr>
        </a:p>
      </xdr:txBody>
    </xdr:sp>
    <xdr:clientData/>
  </xdr:twoCellAnchor>
  <xdr:twoCellAnchor>
    <xdr:from>
      <xdr:col>7</xdr:col>
      <xdr:colOff>10582</xdr:colOff>
      <xdr:row>104</xdr:row>
      <xdr:rowOff>-1</xdr:rowOff>
    </xdr:from>
    <xdr:to>
      <xdr:col>10</xdr:col>
      <xdr:colOff>10582</xdr:colOff>
      <xdr:row>110</xdr:row>
      <xdr:rowOff>-1</xdr:rowOff>
    </xdr:to>
    <xdr:sp macro="" textlink="">
      <xdr:nvSpPr>
        <xdr:cNvPr id="92" name="正方形/長方形 91">
          <a:extLst>
            <a:ext uri="{FF2B5EF4-FFF2-40B4-BE49-F238E27FC236}">
              <a16:creationId xmlns:a16="http://schemas.microsoft.com/office/drawing/2014/main" id="{00000000-0008-0000-0200-00005C000000}"/>
            </a:ext>
          </a:extLst>
        </xdr:cNvPr>
        <xdr:cNvSpPr/>
      </xdr:nvSpPr>
      <xdr:spPr>
        <a:xfrm>
          <a:off x="4381499" y="17610666"/>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UX7000</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・製品倉庫の連携先</a:t>
          </a:r>
          <a:endParaRPr kumimoji="1" lang="en-US" altLang="ja-JP" sz="1100">
            <a:solidFill>
              <a:sysClr val="windowText" lastClr="000000"/>
            </a:solidFill>
          </a:endParaRPr>
        </a:p>
      </xdr:txBody>
    </xdr:sp>
    <xdr:clientData/>
  </xdr:twoCellAnchor>
  <xdr:twoCellAnchor>
    <xdr:from>
      <xdr:col>11</xdr:col>
      <xdr:colOff>10582</xdr:colOff>
      <xdr:row>104</xdr:row>
      <xdr:rowOff>-1</xdr:rowOff>
    </xdr:from>
    <xdr:to>
      <xdr:col>14</xdr:col>
      <xdr:colOff>10582</xdr:colOff>
      <xdr:row>110</xdr:row>
      <xdr:rowOff>-1</xdr:rowOff>
    </xdr:to>
    <xdr:sp macro="" textlink="">
      <xdr:nvSpPr>
        <xdr:cNvPr id="93" name="正方形/長方形 92">
          <a:extLst>
            <a:ext uri="{FF2B5EF4-FFF2-40B4-BE49-F238E27FC236}">
              <a16:creationId xmlns:a16="http://schemas.microsoft.com/office/drawing/2014/main" id="{00000000-0008-0000-0200-00005D000000}"/>
            </a:ext>
          </a:extLst>
        </xdr:cNvPr>
        <xdr:cNvSpPr/>
      </xdr:nvSpPr>
      <xdr:spPr>
        <a:xfrm>
          <a:off x="6879165" y="17610666"/>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運転制御サーバ</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3</xdr:col>
      <xdr:colOff>10582</xdr:colOff>
      <xdr:row>104</xdr:row>
      <xdr:rowOff>-1</xdr:rowOff>
    </xdr:from>
    <xdr:to>
      <xdr:col>6</xdr:col>
      <xdr:colOff>10582</xdr:colOff>
      <xdr:row>110</xdr:row>
      <xdr:rowOff>-1</xdr:rowOff>
    </xdr:to>
    <xdr:sp macro="" textlink="">
      <xdr:nvSpPr>
        <xdr:cNvPr id="94" name="正方形/長方形 93">
          <a:extLst>
            <a:ext uri="{FF2B5EF4-FFF2-40B4-BE49-F238E27FC236}">
              <a16:creationId xmlns:a16="http://schemas.microsoft.com/office/drawing/2014/main" id="{00000000-0008-0000-0200-00005E000000}"/>
            </a:ext>
          </a:extLst>
        </xdr:cNvPr>
        <xdr:cNvSpPr/>
      </xdr:nvSpPr>
      <xdr:spPr>
        <a:xfrm>
          <a:off x="1883832" y="17610666"/>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TCM</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・製品倉庫の連携先</a:t>
          </a:r>
        </a:p>
      </xdr:txBody>
    </xdr:sp>
    <xdr:clientData/>
  </xdr:twoCellAnchor>
  <xdr:twoCellAnchor>
    <xdr:from>
      <xdr:col>2</xdr:col>
      <xdr:colOff>353482</xdr:colOff>
      <xdr:row>70</xdr:row>
      <xdr:rowOff>0</xdr:rowOff>
    </xdr:from>
    <xdr:to>
      <xdr:col>2</xdr:col>
      <xdr:colOff>353482</xdr:colOff>
      <xdr:row>72</xdr:row>
      <xdr:rowOff>0</xdr:rowOff>
    </xdr:to>
    <xdr:cxnSp macro="">
      <xdr:nvCxnSpPr>
        <xdr:cNvPr id="95" name="直線コネクタ 94">
          <a:extLst>
            <a:ext uri="{FF2B5EF4-FFF2-40B4-BE49-F238E27FC236}">
              <a16:creationId xmlns:a16="http://schemas.microsoft.com/office/drawing/2014/main" id="{00000000-0008-0000-0200-00005F000000}"/>
            </a:ext>
          </a:extLst>
        </xdr:cNvPr>
        <xdr:cNvCxnSpPr>
          <a:stCxn id="91" idx="2"/>
          <a:endCxn id="90" idx="0"/>
        </xdr:cNvCxnSpPr>
      </xdr:nvCxnSpPr>
      <xdr:spPr>
        <a:xfrm>
          <a:off x="1602315" y="11853333"/>
          <a:ext cx="0" cy="338667"/>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320145</xdr:colOff>
      <xdr:row>78</xdr:row>
      <xdr:rowOff>0</xdr:rowOff>
    </xdr:from>
    <xdr:to>
      <xdr:col>5</xdr:col>
      <xdr:colOff>10582</xdr:colOff>
      <xdr:row>91</xdr:row>
      <xdr:rowOff>0</xdr:rowOff>
    </xdr:to>
    <xdr:cxnSp macro="">
      <xdr:nvCxnSpPr>
        <xdr:cNvPr id="96" name="カギ線コネクタ 95">
          <a:extLst>
            <a:ext uri="{FF2B5EF4-FFF2-40B4-BE49-F238E27FC236}">
              <a16:creationId xmlns:a16="http://schemas.microsoft.com/office/drawing/2014/main" id="{00000000-0008-0000-0200-000060000000}"/>
            </a:ext>
          </a:extLst>
        </xdr:cNvPr>
        <xdr:cNvCxnSpPr>
          <a:stCxn id="90" idx="2"/>
          <a:endCxn id="85" idx="1"/>
        </xdr:cNvCxnSpPr>
      </xdr:nvCxnSpPr>
      <xdr:spPr>
        <a:xfrm rot="16200000" flipH="1">
          <a:off x="1250155" y="13526823"/>
          <a:ext cx="2201333" cy="156368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353482</xdr:colOff>
      <xdr:row>70</xdr:row>
      <xdr:rowOff>0</xdr:rowOff>
    </xdr:from>
    <xdr:to>
      <xdr:col>6</xdr:col>
      <xdr:colOff>353482</xdr:colOff>
      <xdr:row>72</xdr:row>
      <xdr:rowOff>0</xdr:rowOff>
    </xdr:to>
    <xdr:cxnSp macro="">
      <xdr:nvCxnSpPr>
        <xdr:cNvPr id="97" name="直線コネクタ 96">
          <a:extLst>
            <a:ext uri="{FF2B5EF4-FFF2-40B4-BE49-F238E27FC236}">
              <a16:creationId xmlns:a16="http://schemas.microsoft.com/office/drawing/2014/main" id="{00000000-0008-0000-0200-000061000000}"/>
            </a:ext>
          </a:extLst>
        </xdr:cNvPr>
        <xdr:cNvCxnSpPr>
          <a:stCxn id="83" idx="2"/>
          <a:endCxn id="84" idx="0"/>
        </xdr:cNvCxnSpPr>
      </xdr:nvCxnSpPr>
      <xdr:spPr>
        <a:xfrm>
          <a:off x="4099982" y="11853333"/>
          <a:ext cx="0" cy="338667"/>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320145</xdr:colOff>
      <xdr:row>78</xdr:row>
      <xdr:rowOff>0</xdr:rowOff>
    </xdr:from>
    <xdr:to>
      <xdr:col>6</xdr:col>
      <xdr:colOff>320145</xdr:colOff>
      <xdr:row>88</xdr:row>
      <xdr:rowOff>0</xdr:rowOff>
    </xdr:to>
    <xdr:cxnSp macro="">
      <xdr:nvCxnSpPr>
        <xdr:cNvPr id="98" name="直線コネクタ 97">
          <a:extLst>
            <a:ext uri="{FF2B5EF4-FFF2-40B4-BE49-F238E27FC236}">
              <a16:creationId xmlns:a16="http://schemas.microsoft.com/office/drawing/2014/main" id="{00000000-0008-0000-0200-000062000000}"/>
            </a:ext>
          </a:extLst>
        </xdr:cNvPr>
        <xdr:cNvCxnSpPr>
          <a:stCxn id="84" idx="2"/>
          <a:endCxn id="85" idx="0"/>
        </xdr:cNvCxnSpPr>
      </xdr:nvCxnSpPr>
      <xdr:spPr>
        <a:xfrm>
          <a:off x="4066645" y="13208000"/>
          <a:ext cx="0" cy="1693333"/>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343957</xdr:colOff>
      <xdr:row>77</xdr:row>
      <xdr:rowOff>47623</xdr:rowOff>
    </xdr:from>
    <xdr:to>
      <xdr:col>10</xdr:col>
      <xdr:colOff>355864</xdr:colOff>
      <xdr:row>88</xdr:row>
      <xdr:rowOff>0</xdr:rowOff>
    </xdr:to>
    <xdr:cxnSp macro="">
      <xdr:nvCxnSpPr>
        <xdr:cNvPr id="99" name="カギ線コネクタ 98">
          <a:extLst>
            <a:ext uri="{FF2B5EF4-FFF2-40B4-BE49-F238E27FC236}">
              <a16:creationId xmlns:a16="http://schemas.microsoft.com/office/drawing/2014/main" id="{00000000-0008-0000-0200-000063000000}"/>
            </a:ext>
          </a:extLst>
        </xdr:cNvPr>
        <xdr:cNvCxnSpPr>
          <a:endCxn id="86" idx="0"/>
        </xdr:cNvCxnSpPr>
      </xdr:nvCxnSpPr>
      <xdr:spPr>
        <a:xfrm rot="16200000" flipH="1">
          <a:off x="5062139" y="13363441"/>
          <a:ext cx="1815043" cy="1260741"/>
        </a:xfrm>
        <a:prstGeom prst="bentConnector3">
          <a:avLst>
            <a:gd name="adj1" fmla="val 50000"/>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353482</xdr:colOff>
      <xdr:row>94</xdr:row>
      <xdr:rowOff>0</xdr:rowOff>
    </xdr:from>
    <xdr:to>
      <xdr:col>10</xdr:col>
      <xdr:colOff>353482</xdr:colOff>
      <xdr:row>96</xdr:row>
      <xdr:rowOff>0</xdr:rowOff>
    </xdr:to>
    <xdr:cxnSp macro="">
      <xdr:nvCxnSpPr>
        <xdr:cNvPr id="100" name="カギ線コネクタ 99">
          <a:extLst>
            <a:ext uri="{FF2B5EF4-FFF2-40B4-BE49-F238E27FC236}">
              <a16:creationId xmlns:a16="http://schemas.microsoft.com/office/drawing/2014/main" id="{00000000-0008-0000-0200-000064000000}"/>
            </a:ext>
          </a:extLst>
        </xdr:cNvPr>
        <xdr:cNvCxnSpPr>
          <a:stCxn id="86" idx="2"/>
          <a:endCxn id="87" idx="0"/>
        </xdr:cNvCxnSpPr>
      </xdr:nvCxnSpPr>
      <xdr:spPr>
        <a:xfrm rot="5400000">
          <a:off x="5803898" y="15462250"/>
          <a:ext cx="338667" cy="1248834"/>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353482</xdr:colOff>
      <xdr:row>94</xdr:row>
      <xdr:rowOff>0</xdr:rowOff>
    </xdr:from>
    <xdr:to>
      <xdr:col>7</xdr:col>
      <xdr:colOff>10582</xdr:colOff>
      <xdr:row>99</xdr:row>
      <xdr:rowOff>0</xdr:rowOff>
    </xdr:to>
    <xdr:cxnSp macro="">
      <xdr:nvCxnSpPr>
        <xdr:cNvPr id="101" name="カギ線コネクタ 100">
          <a:extLst>
            <a:ext uri="{FF2B5EF4-FFF2-40B4-BE49-F238E27FC236}">
              <a16:creationId xmlns:a16="http://schemas.microsoft.com/office/drawing/2014/main" id="{00000000-0008-0000-0200-000065000000}"/>
            </a:ext>
          </a:extLst>
        </xdr:cNvPr>
        <xdr:cNvCxnSpPr>
          <a:stCxn id="85" idx="2"/>
          <a:endCxn id="87" idx="1"/>
        </xdr:cNvCxnSpPr>
      </xdr:nvCxnSpPr>
      <xdr:spPr>
        <a:xfrm rot="16200000" flipH="1">
          <a:off x="3817407" y="16199908"/>
          <a:ext cx="846667" cy="28151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353482</xdr:colOff>
      <xdr:row>102</xdr:row>
      <xdr:rowOff>0</xdr:rowOff>
    </xdr:from>
    <xdr:to>
      <xdr:col>8</xdr:col>
      <xdr:colOff>353482</xdr:colOff>
      <xdr:row>104</xdr:row>
      <xdr:rowOff>-1</xdr:rowOff>
    </xdr:to>
    <xdr:cxnSp macro="">
      <xdr:nvCxnSpPr>
        <xdr:cNvPr id="102" name="カギ線コネクタ 101">
          <a:extLst>
            <a:ext uri="{FF2B5EF4-FFF2-40B4-BE49-F238E27FC236}">
              <a16:creationId xmlns:a16="http://schemas.microsoft.com/office/drawing/2014/main" id="{00000000-0008-0000-0200-000066000000}"/>
            </a:ext>
          </a:extLst>
        </xdr:cNvPr>
        <xdr:cNvCxnSpPr>
          <a:stCxn id="87" idx="2"/>
          <a:endCxn id="94" idx="0"/>
        </xdr:cNvCxnSpPr>
      </xdr:nvCxnSpPr>
      <xdr:spPr>
        <a:xfrm rot="5400000">
          <a:off x="3930649" y="16192500"/>
          <a:ext cx="338666" cy="2497666"/>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353482</xdr:colOff>
      <xdr:row>102</xdr:row>
      <xdr:rowOff>0</xdr:rowOff>
    </xdr:from>
    <xdr:to>
      <xdr:col>12</xdr:col>
      <xdr:colOff>353482</xdr:colOff>
      <xdr:row>104</xdr:row>
      <xdr:rowOff>-1</xdr:rowOff>
    </xdr:to>
    <xdr:cxnSp macro="">
      <xdr:nvCxnSpPr>
        <xdr:cNvPr id="103" name="カギ線コネクタ 102">
          <a:extLst>
            <a:ext uri="{FF2B5EF4-FFF2-40B4-BE49-F238E27FC236}">
              <a16:creationId xmlns:a16="http://schemas.microsoft.com/office/drawing/2014/main" id="{00000000-0008-0000-0200-000067000000}"/>
            </a:ext>
          </a:extLst>
        </xdr:cNvPr>
        <xdr:cNvCxnSpPr>
          <a:stCxn id="87" idx="2"/>
          <a:endCxn id="93" idx="0"/>
        </xdr:cNvCxnSpPr>
      </xdr:nvCxnSpPr>
      <xdr:spPr>
        <a:xfrm rot="16200000" flipH="1">
          <a:off x="6428316" y="16192499"/>
          <a:ext cx="338666" cy="2497667"/>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353482</xdr:colOff>
      <xdr:row>102</xdr:row>
      <xdr:rowOff>0</xdr:rowOff>
    </xdr:from>
    <xdr:to>
      <xdr:col>8</xdr:col>
      <xdr:colOff>353482</xdr:colOff>
      <xdr:row>104</xdr:row>
      <xdr:rowOff>-1</xdr:rowOff>
    </xdr:to>
    <xdr:cxnSp macro="">
      <xdr:nvCxnSpPr>
        <xdr:cNvPr id="104" name="直線コネクタ 103">
          <a:extLst>
            <a:ext uri="{FF2B5EF4-FFF2-40B4-BE49-F238E27FC236}">
              <a16:creationId xmlns:a16="http://schemas.microsoft.com/office/drawing/2014/main" id="{00000000-0008-0000-0200-000068000000}"/>
            </a:ext>
          </a:extLst>
        </xdr:cNvPr>
        <xdr:cNvCxnSpPr>
          <a:stCxn id="87" idx="2"/>
          <a:endCxn id="92" idx="0"/>
        </xdr:cNvCxnSpPr>
      </xdr:nvCxnSpPr>
      <xdr:spPr>
        <a:xfrm>
          <a:off x="5348815" y="17272000"/>
          <a:ext cx="0" cy="33866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10582</xdr:colOff>
      <xdr:row>73</xdr:row>
      <xdr:rowOff>9525</xdr:rowOff>
    </xdr:from>
    <xdr:to>
      <xdr:col>10</xdr:col>
      <xdr:colOff>29632</xdr:colOff>
      <xdr:row>73</xdr:row>
      <xdr:rowOff>9525</xdr:rowOff>
    </xdr:to>
    <xdr:cxnSp macro="">
      <xdr:nvCxnSpPr>
        <xdr:cNvPr id="105" name="直線コネクタ 104">
          <a:extLst>
            <a:ext uri="{FF2B5EF4-FFF2-40B4-BE49-F238E27FC236}">
              <a16:creationId xmlns:a16="http://schemas.microsoft.com/office/drawing/2014/main" id="{00000000-0008-0000-0200-000069000000}"/>
            </a:ext>
          </a:extLst>
        </xdr:cNvPr>
        <xdr:cNvCxnSpPr/>
      </xdr:nvCxnSpPr>
      <xdr:spPr>
        <a:xfrm>
          <a:off x="5005915" y="12370858"/>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34396</xdr:colOff>
      <xdr:row>96</xdr:row>
      <xdr:rowOff>0</xdr:rowOff>
    </xdr:from>
    <xdr:to>
      <xdr:col>17</xdr:col>
      <xdr:colOff>34395</xdr:colOff>
      <xdr:row>102</xdr:row>
      <xdr:rowOff>0</xdr:rowOff>
    </xdr:to>
    <xdr:sp macro="" textlink="">
      <xdr:nvSpPr>
        <xdr:cNvPr id="106" name="正方形/長方形 105">
          <a:extLst>
            <a:ext uri="{FF2B5EF4-FFF2-40B4-BE49-F238E27FC236}">
              <a16:creationId xmlns:a16="http://schemas.microsoft.com/office/drawing/2014/main" id="{00000000-0008-0000-0200-00006A000000}"/>
            </a:ext>
          </a:extLst>
        </xdr:cNvPr>
        <xdr:cNvSpPr/>
      </xdr:nvSpPr>
      <xdr:spPr>
        <a:xfrm>
          <a:off x="8776229" y="16256000"/>
          <a:ext cx="1873249"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PIMS</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PHX</a:t>
          </a:r>
          <a:r>
            <a:rPr kumimoji="1" lang="ja-JP" altLang="en-US" sz="1100">
              <a:solidFill>
                <a:sysClr val="windowText" lastClr="000000"/>
              </a:solidFill>
            </a:rPr>
            <a:t>データ取込元</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PHX</a:t>
          </a:r>
          <a:r>
            <a:rPr kumimoji="1" lang="ja-JP" altLang="en-US" sz="1100">
              <a:solidFill>
                <a:sysClr val="windowText" lastClr="000000"/>
              </a:solidFill>
            </a:rPr>
            <a:t>データ書込み先</a:t>
          </a:r>
        </a:p>
      </xdr:txBody>
    </xdr:sp>
    <xdr:clientData/>
  </xdr:twoCellAnchor>
  <xdr:twoCellAnchor>
    <xdr:from>
      <xdr:col>11</xdr:col>
      <xdr:colOff>333999</xdr:colOff>
      <xdr:row>93</xdr:row>
      <xdr:rowOff>146971</xdr:rowOff>
    </xdr:from>
    <xdr:to>
      <xdr:col>15</xdr:col>
      <xdr:colOff>376429</xdr:colOff>
      <xdr:row>96</xdr:row>
      <xdr:rowOff>0</xdr:rowOff>
    </xdr:to>
    <xdr:cxnSp macro="">
      <xdr:nvCxnSpPr>
        <xdr:cNvPr id="107" name="カギ線コネクタ 106">
          <a:extLst>
            <a:ext uri="{FF2B5EF4-FFF2-40B4-BE49-F238E27FC236}">
              <a16:creationId xmlns:a16="http://schemas.microsoft.com/office/drawing/2014/main" id="{00000000-0008-0000-0200-00006B000000}"/>
            </a:ext>
          </a:extLst>
        </xdr:cNvPr>
        <xdr:cNvCxnSpPr>
          <a:endCxn id="106" idx="0"/>
        </xdr:cNvCxnSpPr>
      </xdr:nvCxnSpPr>
      <xdr:spPr>
        <a:xfrm rot="16200000" flipH="1">
          <a:off x="8292116" y="14805437"/>
          <a:ext cx="361029" cy="2540097"/>
        </a:xfrm>
        <a:prstGeom prst="bentConnector3">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355862</xdr:colOff>
      <xdr:row>68</xdr:row>
      <xdr:rowOff>-1</xdr:rowOff>
    </xdr:from>
    <xdr:to>
      <xdr:col>17</xdr:col>
      <xdr:colOff>34394</xdr:colOff>
      <xdr:row>99</xdr:row>
      <xdr:rowOff>0</xdr:rowOff>
    </xdr:to>
    <xdr:cxnSp macro="">
      <xdr:nvCxnSpPr>
        <xdr:cNvPr id="108" name="カギ線コネクタ 107">
          <a:extLst>
            <a:ext uri="{FF2B5EF4-FFF2-40B4-BE49-F238E27FC236}">
              <a16:creationId xmlns:a16="http://schemas.microsoft.com/office/drawing/2014/main" id="{00000000-0008-0000-0200-00006C000000}"/>
            </a:ext>
          </a:extLst>
        </xdr:cNvPr>
        <xdr:cNvCxnSpPr>
          <a:stCxn id="110" idx="0"/>
          <a:endCxn id="106" idx="3"/>
        </xdr:cNvCxnSpPr>
      </xdr:nvCxnSpPr>
      <xdr:spPr>
        <a:xfrm rot="16200000" flipH="1">
          <a:off x="6312294" y="12426817"/>
          <a:ext cx="5249334" cy="3425032"/>
        </a:xfrm>
        <a:prstGeom prst="bentConnector4">
          <a:avLst>
            <a:gd name="adj1" fmla="val -3295"/>
            <a:gd name="adj2" fmla="val 105981"/>
          </a:avLst>
        </a:prstGeom>
        <a:ln w="57150">
          <a:solidFill>
            <a:srgbClr val="00B050"/>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5</xdr:col>
      <xdr:colOff>439206</xdr:colOff>
      <xdr:row>98</xdr:row>
      <xdr:rowOff>162982</xdr:rowOff>
    </xdr:from>
    <xdr:to>
      <xdr:col>15</xdr:col>
      <xdr:colOff>379677</xdr:colOff>
      <xdr:row>102</xdr:row>
      <xdr:rowOff>0</xdr:rowOff>
    </xdr:to>
    <xdr:cxnSp macro="">
      <xdr:nvCxnSpPr>
        <xdr:cNvPr id="109" name="カギ線コネクタ 108">
          <a:extLst>
            <a:ext uri="{FF2B5EF4-FFF2-40B4-BE49-F238E27FC236}">
              <a16:creationId xmlns:a16="http://schemas.microsoft.com/office/drawing/2014/main" id="{00000000-0008-0000-0200-00006D000000}"/>
            </a:ext>
          </a:extLst>
        </xdr:cNvPr>
        <xdr:cNvCxnSpPr>
          <a:endCxn id="106" idx="2"/>
        </xdr:cNvCxnSpPr>
      </xdr:nvCxnSpPr>
      <xdr:spPr>
        <a:xfrm>
          <a:off x="3561289" y="16757649"/>
          <a:ext cx="6184638" cy="514351"/>
        </a:xfrm>
        <a:prstGeom prst="bentConnector4">
          <a:avLst>
            <a:gd name="adj1" fmla="val -38608"/>
            <a:gd name="adj2" fmla="val 426666"/>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10582</xdr:colOff>
      <xdr:row>68</xdr:row>
      <xdr:rowOff>-1</xdr:rowOff>
    </xdr:from>
    <xdr:to>
      <xdr:col>13</xdr:col>
      <xdr:colOff>10582</xdr:colOff>
      <xdr:row>74</xdr:row>
      <xdr:rowOff>-1</xdr:rowOff>
    </xdr:to>
    <xdr:sp macro="" textlink="">
      <xdr:nvSpPr>
        <xdr:cNvPr id="110" name="正方形/長方形 109">
          <a:extLst>
            <a:ext uri="{FF2B5EF4-FFF2-40B4-BE49-F238E27FC236}">
              <a16:creationId xmlns:a16="http://schemas.microsoft.com/office/drawing/2014/main" id="{00000000-0008-0000-0200-00006E000000}"/>
            </a:ext>
          </a:extLst>
        </xdr:cNvPr>
        <xdr:cNvSpPr/>
      </xdr:nvSpPr>
      <xdr:spPr>
        <a:xfrm>
          <a:off x="6254749" y="1151466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kumimoji="1" lang="ja-JP" altLang="en-US" sz="1100">
              <a:solidFill>
                <a:sysClr val="windowText" lastClr="000000"/>
              </a:solidFill>
              <a:latin typeface="+mn-lt"/>
              <a:ea typeface="+mn-ea"/>
              <a:cs typeface="+mn-cs"/>
            </a:rPr>
            <a:t>新共通基盤</a:t>
          </a:r>
          <a:r>
            <a:rPr kumimoji="1" lang="en-US" altLang="ja-JP" sz="1100">
              <a:solidFill>
                <a:sysClr val="windowText" lastClr="000000"/>
              </a:solidFill>
              <a:latin typeface="+mn-lt"/>
              <a:ea typeface="+mn-ea"/>
              <a:cs typeface="+mn-cs"/>
            </a:rPr>
            <a:t>AP</a:t>
          </a:r>
          <a:r>
            <a:rPr kumimoji="1" lang="ja-JP" altLang="en-US" sz="1100">
              <a:solidFill>
                <a:sysClr val="windowText" lastClr="000000"/>
              </a:solidFill>
              <a:latin typeface="+mn-lt"/>
              <a:ea typeface="+mn-ea"/>
              <a:cs typeface="+mn-cs"/>
            </a:rPr>
            <a:t>サーバ</a:t>
          </a:r>
        </a:p>
        <a:p>
          <a:pPr marL="0" indent="0" algn="l"/>
          <a:r>
            <a:rPr kumimoji="1" lang="ja-JP" altLang="en-US" sz="800">
              <a:solidFill>
                <a:sysClr val="windowText" lastClr="000000"/>
              </a:solidFill>
              <a:latin typeface="+mn-lt"/>
              <a:ea typeface="+mn-ea"/>
              <a:cs typeface="+mn-cs"/>
            </a:rPr>
            <a:t>・品質管理システム</a:t>
          </a:r>
        </a:p>
        <a:p>
          <a:pPr marL="0" indent="0" algn="l"/>
          <a:r>
            <a:rPr kumimoji="1" lang="ja-JP" altLang="en-US" sz="800">
              <a:solidFill>
                <a:sysClr val="windowText" lastClr="000000"/>
              </a:solidFill>
              <a:latin typeface="+mn-lt"/>
              <a:ea typeface="+mn-ea"/>
              <a:cs typeface="+mn-cs"/>
            </a:rPr>
            <a:t>・包装システム</a:t>
          </a:r>
        </a:p>
        <a:p>
          <a:pPr marL="0" indent="0" algn="l"/>
          <a:r>
            <a:rPr kumimoji="1" lang="ja-JP" altLang="en-US" sz="800">
              <a:solidFill>
                <a:sysClr val="windowText" lastClr="000000"/>
              </a:solidFill>
              <a:latin typeface="+mn-lt"/>
              <a:ea typeface="+mn-ea"/>
              <a:cs typeface="+mn-cs"/>
            </a:rPr>
            <a:t>・数量確定システム</a:t>
          </a:r>
        </a:p>
        <a:p>
          <a:pPr marL="0" indent="0" algn="l"/>
          <a:r>
            <a:rPr kumimoji="1" lang="ja-JP" altLang="en-US" sz="800">
              <a:solidFill>
                <a:sysClr val="windowText" lastClr="000000"/>
              </a:solidFill>
              <a:latin typeface="+mn-lt"/>
              <a:ea typeface="+mn-ea"/>
              <a:cs typeface="+mn-cs"/>
            </a:rPr>
            <a:t>・用役管理システム</a:t>
          </a:r>
        </a:p>
      </xdr:txBody>
    </xdr:sp>
    <xdr:clientData/>
  </xdr:twoCellAnchor>
  <xdr:twoCellAnchor>
    <xdr:from>
      <xdr:col>13</xdr:col>
      <xdr:colOff>10582</xdr:colOff>
      <xdr:row>68</xdr:row>
      <xdr:rowOff>4231</xdr:rowOff>
    </xdr:from>
    <xdr:to>
      <xdr:col>16</xdr:col>
      <xdr:colOff>10582</xdr:colOff>
      <xdr:row>75</xdr:row>
      <xdr:rowOff>137583</xdr:rowOff>
    </xdr:to>
    <xdr:sp macro="" textlink="">
      <xdr:nvSpPr>
        <xdr:cNvPr id="111" name="正方形/長方形 110">
          <a:extLst>
            <a:ext uri="{FF2B5EF4-FFF2-40B4-BE49-F238E27FC236}">
              <a16:creationId xmlns:a16="http://schemas.microsoft.com/office/drawing/2014/main" id="{00000000-0008-0000-0200-00006F000000}"/>
            </a:ext>
          </a:extLst>
        </xdr:cNvPr>
        <xdr:cNvSpPr/>
      </xdr:nvSpPr>
      <xdr:spPr>
        <a:xfrm>
          <a:off x="7990415" y="11518898"/>
          <a:ext cx="1841500" cy="1318685"/>
        </a:xfrm>
        <a:prstGeom prst="rect">
          <a:avLst/>
        </a:prstGeom>
        <a:solidFill>
          <a:schemeClr val="accent6">
            <a:lumMod val="40000"/>
            <a:lumOff val="60000"/>
          </a:schemeClr>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工場集約</a:t>
          </a:r>
          <a:r>
            <a:rPr kumimoji="1" lang="en-US" altLang="ja-JP" sz="1100">
              <a:solidFill>
                <a:sysClr val="windowText" lastClr="000000"/>
              </a:solidFill>
            </a:rPr>
            <a:t>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p>
        <a:p>
          <a:pPr algn="l"/>
          <a:r>
            <a:rPr kumimoji="1" lang="ja-JP" altLang="en-US" sz="800">
              <a:solidFill>
                <a:sysClr val="windowText" lastClr="000000"/>
              </a:solidFill>
            </a:rPr>
            <a:t>・用役管理システム</a:t>
          </a:r>
          <a:endParaRPr kumimoji="1" lang="en-US" altLang="ja-JP" sz="800">
            <a:solidFill>
              <a:sysClr val="windowText" lastClr="000000"/>
            </a:solidFill>
          </a:endParaRPr>
        </a:p>
        <a:p>
          <a:pPr algn="l"/>
          <a:r>
            <a:rPr kumimoji="1" lang="ja-JP" altLang="en-US" sz="800">
              <a:solidFill>
                <a:sysClr val="windowText" lastClr="000000"/>
              </a:solidFill>
            </a:rPr>
            <a:t>・工場</a:t>
          </a:r>
          <a:r>
            <a:rPr kumimoji="1" lang="en-US" altLang="ja-JP" sz="800">
              <a:solidFill>
                <a:sysClr val="windowText" lastClr="000000"/>
              </a:solidFill>
            </a:rPr>
            <a:t>DB</a:t>
          </a:r>
          <a:endParaRPr kumimoji="1" lang="ja-JP" altLang="en-US" sz="800">
            <a:solidFill>
              <a:sysClr val="windowText" lastClr="000000"/>
            </a:solidFill>
          </a:endParaRPr>
        </a:p>
        <a:p>
          <a:pPr algn="l"/>
          <a:endParaRPr kumimoji="1" lang="ja-JP" altLang="en-US" sz="800">
            <a:solidFill>
              <a:sysClr val="windowText" lastClr="000000"/>
            </a:solidFill>
          </a:endParaRPr>
        </a:p>
      </xdr:txBody>
    </xdr:sp>
    <xdr:clientData/>
  </xdr:twoCellAnchor>
  <xdr:twoCellAnchor>
    <xdr:from>
      <xdr:col>11</xdr:col>
      <xdr:colOff>129648</xdr:colOff>
      <xdr:row>80</xdr:row>
      <xdr:rowOff>35718</xdr:rowOff>
    </xdr:from>
    <xdr:to>
      <xdr:col>12</xdr:col>
      <xdr:colOff>10586</xdr:colOff>
      <xdr:row>83</xdr:row>
      <xdr:rowOff>137584</xdr:rowOff>
    </xdr:to>
    <xdr:cxnSp macro="">
      <xdr:nvCxnSpPr>
        <xdr:cNvPr id="112" name="カギ線コネクタ 111">
          <a:extLst>
            <a:ext uri="{FF2B5EF4-FFF2-40B4-BE49-F238E27FC236}">
              <a16:creationId xmlns:a16="http://schemas.microsoft.com/office/drawing/2014/main" id="{00000000-0008-0000-0200-000070000000}"/>
            </a:ext>
          </a:extLst>
        </xdr:cNvPr>
        <xdr:cNvCxnSpPr>
          <a:stCxn id="113" idx="1"/>
        </xdr:cNvCxnSpPr>
      </xdr:nvCxnSpPr>
      <xdr:spPr>
        <a:xfrm rot="10800000">
          <a:off x="6998231" y="13582385"/>
          <a:ext cx="505355" cy="609866"/>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10585</xdr:colOff>
      <xdr:row>83</xdr:row>
      <xdr:rowOff>1</xdr:rowOff>
    </xdr:from>
    <xdr:to>
      <xdr:col>15</xdr:col>
      <xdr:colOff>116417</xdr:colOff>
      <xdr:row>84</xdr:row>
      <xdr:rowOff>105833</xdr:rowOff>
    </xdr:to>
    <xdr:sp macro="" textlink="">
      <xdr:nvSpPr>
        <xdr:cNvPr id="113" name="正方形/長方形 112">
          <a:extLst>
            <a:ext uri="{FF2B5EF4-FFF2-40B4-BE49-F238E27FC236}">
              <a16:creationId xmlns:a16="http://schemas.microsoft.com/office/drawing/2014/main" id="{00000000-0008-0000-0200-000071000000}"/>
            </a:ext>
          </a:extLst>
        </xdr:cNvPr>
        <xdr:cNvSpPr/>
      </xdr:nvSpPr>
      <xdr:spPr>
        <a:xfrm>
          <a:off x="7503585" y="14054668"/>
          <a:ext cx="1979082" cy="275165"/>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a:t>
          </a:r>
          <a:r>
            <a:rPr kumimoji="1" lang="en-US" altLang="ja-JP" sz="1100">
              <a:solidFill>
                <a:sysClr val="windowText" lastClr="000000"/>
              </a:solidFill>
            </a:rPr>
            <a:t>IRIS</a:t>
          </a:r>
          <a:r>
            <a:rPr kumimoji="1" lang="ja-JP" altLang="en-US" sz="1100">
              <a:solidFill>
                <a:sysClr val="windowText" lastClr="000000"/>
              </a:solidFill>
            </a:rPr>
            <a:t>操業品質管理</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xdr:txBody>
    </xdr:sp>
    <xdr:clientData/>
  </xdr:twoCellAnchor>
  <xdr:twoCellAnchor>
    <xdr:from>
      <xdr:col>2</xdr:col>
      <xdr:colOff>182032</xdr:colOff>
      <xdr:row>82</xdr:row>
      <xdr:rowOff>19050</xdr:rowOff>
    </xdr:from>
    <xdr:to>
      <xdr:col>2</xdr:col>
      <xdr:colOff>182032</xdr:colOff>
      <xdr:row>83</xdr:row>
      <xdr:rowOff>133350</xdr:rowOff>
    </xdr:to>
    <xdr:cxnSp macro="">
      <xdr:nvCxnSpPr>
        <xdr:cNvPr id="114" name="直線矢印コネクタ 113">
          <a:extLst>
            <a:ext uri="{FF2B5EF4-FFF2-40B4-BE49-F238E27FC236}">
              <a16:creationId xmlns:a16="http://schemas.microsoft.com/office/drawing/2014/main" id="{00000000-0008-0000-0200-000072000000}"/>
            </a:ext>
          </a:extLst>
        </xdr:cNvPr>
        <xdr:cNvCxnSpPr/>
      </xdr:nvCxnSpPr>
      <xdr:spPr>
        <a:xfrm flipV="1">
          <a:off x="1430865" y="13904383"/>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508263</xdr:colOff>
      <xdr:row>83</xdr:row>
      <xdr:rowOff>90487</xdr:rowOff>
    </xdr:from>
    <xdr:to>
      <xdr:col>9</xdr:col>
      <xdr:colOff>184413</xdr:colOff>
      <xdr:row>83</xdr:row>
      <xdr:rowOff>90488</xdr:rowOff>
    </xdr:to>
    <xdr:cxnSp macro="">
      <xdr:nvCxnSpPr>
        <xdr:cNvPr id="115" name="直線矢印コネクタ 114">
          <a:extLst>
            <a:ext uri="{FF2B5EF4-FFF2-40B4-BE49-F238E27FC236}">
              <a16:creationId xmlns:a16="http://schemas.microsoft.com/office/drawing/2014/main" id="{00000000-0008-0000-0200-000073000000}"/>
            </a:ext>
          </a:extLst>
        </xdr:cNvPr>
        <xdr:cNvCxnSpPr/>
      </xdr:nvCxnSpPr>
      <xdr:spPr>
        <a:xfrm flipH="1">
          <a:off x="5503596" y="14145154"/>
          <a:ext cx="300567"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210607</xdr:colOff>
      <xdr:row>95</xdr:row>
      <xdr:rowOff>28574</xdr:rowOff>
    </xdr:from>
    <xdr:to>
      <xdr:col>6</xdr:col>
      <xdr:colOff>210607</xdr:colOff>
      <xdr:row>96</xdr:row>
      <xdr:rowOff>142876</xdr:rowOff>
    </xdr:to>
    <xdr:cxnSp macro="">
      <xdr:nvCxnSpPr>
        <xdr:cNvPr id="116" name="直線矢印コネクタ 115">
          <a:extLst>
            <a:ext uri="{FF2B5EF4-FFF2-40B4-BE49-F238E27FC236}">
              <a16:creationId xmlns:a16="http://schemas.microsoft.com/office/drawing/2014/main" id="{00000000-0008-0000-0200-000074000000}"/>
            </a:ext>
          </a:extLst>
        </xdr:cNvPr>
        <xdr:cNvCxnSpPr/>
      </xdr:nvCxnSpPr>
      <xdr:spPr>
        <a:xfrm flipV="1">
          <a:off x="3957107" y="16115241"/>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20106</xdr:colOff>
      <xdr:row>82</xdr:row>
      <xdr:rowOff>14287</xdr:rowOff>
    </xdr:from>
    <xdr:to>
      <xdr:col>11</xdr:col>
      <xdr:colOff>20106</xdr:colOff>
      <xdr:row>83</xdr:row>
      <xdr:rowOff>133350</xdr:rowOff>
    </xdr:to>
    <xdr:cxnSp macro="">
      <xdr:nvCxnSpPr>
        <xdr:cNvPr id="117" name="直線矢印コネクタ 116">
          <a:extLst>
            <a:ext uri="{FF2B5EF4-FFF2-40B4-BE49-F238E27FC236}">
              <a16:creationId xmlns:a16="http://schemas.microsoft.com/office/drawing/2014/main" id="{00000000-0008-0000-0200-000075000000}"/>
            </a:ext>
          </a:extLst>
        </xdr:cNvPr>
        <xdr:cNvCxnSpPr/>
      </xdr:nvCxnSpPr>
      <xdr:spPr>
        <a:xfrm flipV="1">
          <a:off x="6888689" y="13899620"/>
          <a:ext cx="0" cy="288397"/>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508264</xdr:colOff>
      <xdr:row>94</xdr:row>
      <xdr:rowOff>76200</xdr:rowOff>
    </xdr:from>
    <xdr:to>
      <xdr:col>9</xdr:col>
      <xdr:colOff>184414</xdr:colOff>
      <xdr:row>94</xdr:row>
      <xdr:rowOff>76201</xdr:rowOff>
    </xdr:to>
    <xdr:cxnSp macro="">
      <xdr:nvCxnSpPr>
        <xdr:cNvPr id="118" name="直線矢印コネクタ 117">
          <a:extLst>
            <a:ext uri="{FF2B5EF4-FFF2-40B4-BE49-F238E27FC236}">
              <a16:creationId xmlns:a16="http://schemas.microsoft.com/office/drawing/2014/main" id="{00000000-0008-0000-0200-000076000000}"/>
            </a:ext>
          </a:extLst>
        </xdr:cNvPr>
        <xdr:cNvCxnSpPr/>
      </xdr:nvCxnSpPr>
      <xdr:spPr>
        <a:xfrm flipH="1">
          <a:off x="5503597" y="15993533"/>
          <a:ext cx="300567"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110594</xdr:colOff>
      <xdr:row>94</xdr:row>
      <xdr:rowOff>76200</xdr:rowOff>
    </xdr:from>
    <xdr:to>
      <xdr:col>12</xdr:col>
      <xdr:colOff>472544</xdr:colOff>
      <xdr:row>94</xdr:row>
      <xdr:rowOff>76201</xdr:rowOff>
    </xdr:to>
    <xdr:cxnSp macro="">
      <xdr:nvCxnSpPr>
        <xdr:cNvPr id="119" name="直線矢印コネクタ 118">
          <a:extLst>
            <a:ext uri="{FF2B5EF4-FFF2-40B4-BE49-F238E27FC236}">
              <a16:creationId xmlns:a16="http://schemas.microsoft.com/office/drawing/2014/main" id="{00000000-0008-0000-0200-000077000000}"/>
            </a:ext>
          </a:extLst>
        </xdr:cNvPr>
        <xdr:cNvCxnSpPr/>
      </xdr:nvCxnSpPr>
      <xdr:spPr>
        <a:xfrm flipH="1">
          <a:off x="7603594" y="15993533"/>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187228</xdr:colOff>
      <xdr:row>102</xdr:row>
      <xdr:rowOff>162792</xdr:rowOff>
    </xdr:from>
    <xdr:to>
      <xdr:col>15</xdr:col>
      <xdr:colOff>192423</xdr:colOff>
      <xdr:row>105</xdr:row>
      <xdr:rowOff>8659</xdr:rowOff>
    </xdr:to>
    <xdr:cxnSp macro="">
      <xdr:nvCxnSpPr>
        <xdr:cNvPr id="120" name="直線矢印コネクタ 119">
          <a:extLst>
            <a:ext uri="{FF2B5EF4-FFF2-40B4-BE49-F238E27FC236}">
              <a16:creationId xmlns:a16="http://schemas.microsoft.com/office/drawing/2014/main" id="{00000000-0008-0000-0200-000078000000}"/>
            </a:ext>
          </a:extLst>
        </xdr:cNvPr>
        <xdr:cNvCxnSpPr/>
      </xdr:nvCxnSpPr>
      <xdr:spPr>
        <a:xfrm flipH="1" flipV="1">
          <a:off x="9553478" y="17434792"/>
          <a:ext cx="5195" cy="353867"/>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201082</xdr:colOff>
      <xdr:row>82</xdr:row>
      <xdr:rowOff>19050</xdr:rowOff>
    </xdr:from>
    <xdr:to>
      <xdr:col>6</xdr:col>
      <xdr:colOff>201082</xdr:colOff>
      <xdr:row>83</xdr:row>
      <xdr:rowOff>133350</xdr:rowOff>
    </xdr:to>
    <xdr:cxnSp macro="">
      <xdr:nvCxnSpPr>
        <xdr:cNvPr id="121" name="直線矢印コネクタ 120">
          <a:extLst>
            <a:ext uri="{FF2B5EF4-FFF2-40B4-BE49-F238E27FC236}">
              <a16:creationId xmlns:a16="http://schemas.microsoft.com/office/drawing/2014/main" id="{00000000-0008-0000-0200-000079000000}"/>
            </a:ext>
          </a:extLst>
        </xdr:cNvPr>
        <xdr:cNvCxnSpPr/>
      </xdr:nvCxnSpPr>
      <xdr:spPr>
        <a:xfrm flipV="1">
          <a:off x="3947582" y="13904383"/>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343957</xdr:colOff>
      <xdr:row>66</xdr:row>
      <xdr:rowOff>76200</xdr:rowOff>
    </xdr:from>
    <xdr:to>
      <xdr:col>12</xdr:col>
      <xdr:colOff>20107</xdr:colOff>
      <xdr:row>66</xdr:row>
      <xdr:rowOff>76201</xdr:rowOff>
    </xdr:to>
    <xdr:cxnSp macro="">
      <xdr:nvCxnSpPr>
        <xdr:cNvPr id="122" name="直線矢印コネクタ 121">
          <a:extLst>
            <a:ext uri="{FF2B5EF4-FFF2-40B4-BE49-F238E27FC236}">
              <a16:creationId xmlns:a16="http://schemas.microsoft.com/office/drawing/2014/main" id="{00000000-0008-0000-0200-00007A000000}"/>
            </a:ext>
          </a:extLst>
        </xdr:cNvPr>
        <xdr:cNvCxnSpPr/>
      </xdr:nvCxnSpPr>
      <xdr:spPr>
        <a:xfrm flipH="1">
          <a:off x="7212540" y="11252200"/>
          <a:ext cx="300567"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10582</xdr:colOff>
      <xdr:row>76</xdr:row>
      <xdr:rowOff>0</xdr:rowOff>
    </xdr:from>
    <xdr:to>
      <xdr:col>10</xdr:col>
      <xdr:colOff>29632</xdr:colOff>
      <xdr:row>76</xdr:row>
      <xdr:rowOff>0</xdr:rowOff>
    </xdr:to>
    <xdr:cxnSp macro="">
      <xdr:nvCxnSpPr>
        <xdr:cNvPr id="123" name="直線コネクタ 122">
          <a:extLst>
            <a:ext uri="{FF2B5EF4-FFF2-40B4-BE49-F238E27FC236}">
              <a16:creationId xmlns:a16="http://schemas.microsoft.com/office/drawing/2014/main" id="{00000000-0008-0000-0200-00007B000000}"/>
            </a:ext>
          </a:extLst>
        </xdr:cNvPr>
        <xdr:cNvCxnSpPr/>
      </xdr:nvCxnSpPr>
      <xdr:spPr>
        <a:xfrm>
          <a:off x="5005915" y="12869333"/>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505882</xdr:colOff>
      <xdr:row>72</xdr:row>
      <xdr:rowOff>76200</xdr:rowOff>
    </xdr:from>
    <xdr:to>
      <xdr:col>9</xdr:col>
      <xdr:colOff>182032</xdr:colOff>
      <xdr:row>72</xdr:row>
      <xdr:rowOff>76201</xdr:rowOff>
    </xdr:to>
    <xdr:cxnSp macro="">
      <xdr:nvCxnSpPr>
        <xdr:cNvPr id="124" name="直線矢印コネクタ 123">
          <a:extLst>
            <a:ext uri="{FF2B5EF4-FFF2-40B4-BE49-F238E27FC236}">
              <a16:creationId xmlns:a16="http://schemas.microsoft.com/office/drawing/2014/main" id="{00000000-0008-0000-0200-00007C000000}"/>
            </a:ext>
          </a:extLst>
        </xdr:cNvPr>
        <xdr:cNvCxnSpPr/>
      </xdr:nvCxnSpPr>
      <xdr:spPr>
        <a:xfrm flipH="1">
          <a:off x="5501215" y="12268200"/>
          <a:ext cx="300567" cy="1"/>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505882</xdr:colOff>
      <xdr:row>76</xdr:row>
      <xdr:rowOff>95250</xdr:rowOff>
    </xdr:from>
    <xdr:to>
      <xdr:col>9</xdr:col>
      <xdr:colOff>182032</xdr:colOff>
      <xdr:row>76</xdr:row>
      <xdr:rowOff>95251</xdr:rowOff>
    </xdr:to>
    <xdr:cxnSp macro="">
      <xdr:nvCxnSpPr>
        <xdr:cNvPr id="125" name="直線矢印コネクタ 124">
          <a:extLst>
            <a:ext uri="{FF2B5EF4-FFF2-40B4-BE49-F238E27FC236}">
              <a16:creationId xmlns:a16="http://schemas.microsoft.com/office/drawing/2014/main" id="{00000000-0008-0000-0200-00007D000000}"/>
            </a:ext>
          </a:extLst>
        </xdr:cNvPr>
        <xdr:cNvCxnSpPr/>
      </xdr:nvCxnSpPr>
      <xdr:spPr>
        <a:xfrm flipH="1">
          <a:off x="5501215" y="12964583"/>
          <a:ext cx="300567" cy="1"/>
        </a:xfrm>
        <a:prstGeom prst="straightConnector1">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201082</xdr:colOff>
      <xdr:row>70</xdr:row>
      <xdr:rowOff>28575</xdr:rowOff>
    </xdr:from>
    <xdr:to>
      <xdr:col>6</xdr:col>
      <xdr:colOff>201082</xdr:colOff>
      <xdr:row>71</xdr:row>
      <xdr:rowOff>142875</xdr:rowOff>
    </xdr:to>
    <xdr:cxnSp macro="">
      <xdr:nvCxnSpPr>
        <xdr:cNvPr id="126" name="直線矢印コネクタ 125">
          <a:extLst>
            <a:ext uri="{FF2B5EF4-FFF2-40B4-BE49-F238E27FC236}">
              <a16:creationId xmlns:a16="http://schemas.microsoft.com/office/drawing/2014/main" id="{00000000-0008-0000-0200-00007E000000}"/>
            </a:ext>
          </a:extLst>
        </xdr:cNvPr>
        <xdr:cNvCxnSpPr/>
      </xdr:nvCxnSpPr>
      <xdr:spPr>
        <a:xfrm flipV="1">
          <a:off x="3947582" y="11881908"/>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182032</xdr:colOff>
      <xdr:row>70</xdr:row>
      <xdr:rowOff>19050</xdr:rowOff>
    </xdr:from>
    <xdr:to>
      <xdr:col>2</xdr:col>
      <xdr:colOff>182032</xdr:colOff>
      <xdr:row>71</xdr:row>
      <xdr:rowOff>133350</xdr:rowOff>
    </xdr:to>
    <xdr:cxnSp macro="">
      <xdr:nvCxnSpPr>
        <xdr:cNvPr id="127" name="直線矢印コネクタ 126">
          <a:extLst>
            <a:ext uri="{FF2B5EF4-FFF2-40B4-BE49-F238E27FC236}">
              <a16:creationId xmlns:a16="http://schemas.microsoft.com/office/drawing/2014/main" id="{00000000-0008-0000-0200-00007F000000}"/>
            </a:ext>
          </a:extLst>
        </xdr:cNvPr>
        <xdr:cNvCxnSpPr/>
      </xdr:nvCxnSpPr>
      <xdr:spPr>
        <a:xfrm flipV="1">
          <a:off x="1430865" y="11872383"/>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201082</xdr:colOff>
      <xdr:row>102</xdr:row>
      <xdr:rowOff>28575</xdr:rowOff>
    </xdr:from>
    <xdr:to>
      <xdr:col>8</xdr:col>
      <xdr:colOff>201082</xdr:colOff>
      <xdr:row>103</xdr:row>
      <xdr:rowOff>142876</xdr:rowOff>
    </xdr:to>
    <xdr:cxnSp macro="">
      <xdr:nvCxnSpPr>
        <xdr:cNvPr id="128" name="直線矢印コネクタ 127">
          <a:extLst>
            <a:ext uri="{FF2B5EF4-FFF2-40B4-BE49-F238E27FC236}">
              <a16:creationId xmlns:a16="http://schemas.microsoft.com/office/drawing/2014/main" id="{00000000-0008-0000-0200-000080000000}"/>
            </a:ext>
          </a:extLst>
        </xdr:cNvPr>
        <xdr:cNvCxnSpPr/>
      </xdr:nvCxnSpPr>
      <xdr:spPr>
        <a:xfrm flipV="1">
          <a:off x="5196415" y="17300575"/>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182032</xdr:colOff>
      <xdr:row>102</xdr:row>
      <xdr:rowOff>76200</xdr:rowOff>
    </xdr:from>
    <xdr:to>
      <xdr:col>6</xdr:col>
      <xdr:colOff>543982</xdr:colOff>
      <xdr:row>102</xdr:row>
      <xdr:rowOff>76201</xdr:rowOff>
    </xdr:to>
    <xdr:cxnSp macro="">
      <xdr:nvCxnSpPr>
        <xdr:cNvPr id="129" name="直線矢印コネクタ 128">
          <a:extLst>
            <a:ext uri="{FF2B5EF4-FFF2-40B4-BE49-F238E27FC236}">
              <a16:creationId xmlns:a16="http://schemas.microsoft.com/office/drawing/2014/main" id="{00000000-0008-0000-0200-000081000000}"/>
            </a:ext>
          </a:extLst>
        </xdr:cNvPr>
        <xdr:cNvCxnSpPr/>
      </xdr:nvCxnSpPr>
      <xdr:spPr>
        <a:xfrm flipH="1">
          <a:off x="3928532" y="17348200"/>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172507</xdr:colOff>
      <xdr:row>102</xdr:row>
      <xdr:rowOff>76200</xdr:rowOff>
    </xdr:from>
    <xdr:to>
      <xdr:col>10</xdr:col>
      <xdr:colOff>534457</xdr:colOff>
      <xdr:row>102</xdr:row>
      <xdr:rowOff>76201</xdr:rowOff>
    </xdr:to>
    <xdr:cxnSp macro="">
      <xdr:nvCxnSpPr>
        <xdr:cNvPr id="130" name="直線矢印コネクタ 129">
          <a:extLst>
            <a:ext uri="{FF2B5EF4-FFF2-40B4-BE49-F238E27FC236}">
              <a16:creationId xmlns:a16="http://schemas.microsoft.com/office/drawing/2014/main" id="{00000000-0008-0000-0200-000082000000}"/>
            </a:ext>
          </a:extLst>
        </xdr:cNvPr>
        <xdr:cNvCxnSpPr/>
      </xdr:nvCxnSpPr>
      <xdr:spPr>
        <a:xfrm flipH="1">
          <a:off x="6416674" y="17348200"/>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291569</xdr:colOff>
      <xdr:row>91</xdr:row>
      <xdr:rowOff>130969</xdr:rowOff>
    </xdr:from>
    <xdr:to>
      <xdr:col>8</xdr:col>
      <xdr:colOff>13228</xdr:colOff>
      <xdr:row>93</xdr:row>
      <xdr:rowOff>146971</xdr:rowOff>
    </xdr:to>
    <xdr:sp macro="" textlink="">
      <xdr:nvSpPr>
        <xdr:cNvPr id="131" name="円柱 130">
          <a:extLst>
            <a:ext uri="{FF2B5EF4-FFF2-40B4-BE49-F238E27FC236}">
              <a16:creationId xmlns:a16="http://schemas.microsoft.com/office/drawing/2014/main" id="{00000000-0008-0000-0200-000083000000}"/>
            </a:ext>
          </a:extLst>
        </xdr:cNvPr>
        <xdr:cNvSpPr/>
      </xdr:nvSpPr>
      <xdr:spPr>
        <a:xfrm>
          <a:off x="4662486" y="15540302"/>
          <a:ext cx="34607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15</xdr:col>
      <xdr:colOff>286807</xdr:colOff>
      <xdr:row>71</xdr:row>
      <xdr:rowOff>123824</xdr:rowOff>
    </xdr:from>
    <xdr:to>
      <xdr:col>16</xdr:col>
      <xdr:colOff>14815</xdr:colOff>
      <xdr:row>73</xdr:row>
      <xdr:rowOff>139827</xdr:rowOff>
    </xdr:to>
    <xdr:sp macro="" textlink="">
      <xdr:nvSpPr>
        <xdr:cNvPr id="132" name="円柱 131">
          <a:extLst>
            <a:ext uri="{FF2B5EF4-FFF2-40B4-BE49-F238E27FC236}">
              <a16:creationId xmlns:a16="http://schemas.microsoft.com/office/drawing/2014/main" id="{00000000-0008-0000-0200-000084000000}"/>
            </a:ext>
          </a:extLst>
        </xdr:cNvPr>
        <xdr:cNvSpPr/>
      </xdr:nvSpPr>
      <xdr:spPr>
        <a:xfrm>
          <a:off x="9653057" y="12146491"/>
          <a:ext cx="35242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11</xdr:col>
      <xdr:colOff>334432</xdr:colOff>
      <xdr:row>70</xdr:row>
      <xdr:rowOff>150813</xdr:rowOff>
    </xdr:from>
    <xdr:to>
      <xdr:col>16</xdr:col>
      <xdr:colOff>324907</xdr:colOff>
      <xdr:row>88</xdr:row>
      <xdr:rowOff>8659</xdr:rowOff>
    </xdr:to>
    <xdr:grpSp>
      <xdr:nvGrpSpPr>
        <xdr:cNvPr id="133" name="グループ化 132">
          <a:extLst>
            <a:ext uri="{FF2B5EF4-FFF2-40B4-BE49-F238E27FC236}">
              <a16:creationId xmlns:a16="http://schemas.microsoft.com/office/drawing/2014/main" id="{00000000-0008-0000-0200-000085000000}"/>
            </a:ext>
          </a:extLst>
        </xdr:cNvPr>
        <xdr:cNvGrpSpPr/>
      </xdr:nvGrpSpPr>
      <xdr:grpSpPr>
        <a:xfrm>
          <a:off x="7144807" y="11485563"/>
          <a:ext cx="3086100" cy="2772496"/>
          <a:chOff x="7867650" y="1350963"/>
          <a:chExt cx="3419475" cy="2945528"/>
        </a:xfrm>
      </xdr:grpSpPr>
      <xdr:cxnSp macro="">
        <xdr:nvCxnSpPr>
          <xdr:cNvPr id="134" name="直線コネクタ 133">
            <a:extLst>
              <a:ext uri="{FF2B5EF4-FFF2-40B4-BE49-F238E27FC236}">
                <a16:creationId xmlns:a16="http://schemas.microsoft.com/office/drawing/2014/main" id="{00000000-0008-0000-0200-000086000000}"/>
              </a:ext>
            </a:extLst>
          </xdr:cNvPr>
          <xdr:cNvCxnSpPr/>
        </xdr:nvCxnSpPr>
        <xdr:spPr>
          <a:xfrm>
            <a:off x="10926280" y="1371600"/>
            <a:ext cx="314325"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135" name="直線コネクタ 134">
            <a:extLst>
              <a:ext uri="{FF2B5EF4-FFF2-40B4-BE49-F238E27FC236}">
                <a16:creationId xmlns:a16="http://schemas.microsoft.com/office/drawing/2014/main" id="{00000000-0008-0000-0200-000087000000}"/>
              </a:ext>
            </a:extLst>
          </xdr:cNvPr>
          <xdr:cNvCxnSpPr/>
        </xdr:nvCxnSpPr>
        <xdr:spPr>
          <a:xfrm>
            <a:off x="11277600" y="1350963"/>
            <a:ext cx="0" cy="278765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136" name="直線コネクタ 135">
            <a:extLst>
              <a:ext uri="{FF2B5EF4-FFF2-40B4-BE49-F238E27FC236}">
                <a16:creationId xmlns:a16="http://schemas.microsoft.com/office/drawing/2014/main" id="{00000000-0008-0000-0200-000088000000}"/>
              </a:ext>
            </a:extLst>
          </xdr:cNvPr>
          <xdr:cNvCxnSpPr/>
        </xdr:nvCxnSpPr>
        <xdr:spPr>
          <a:xfrm flipH="1">
            <a:off x="7867650" y="4114800"/>
            <a:ext cx="3419475"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137" name="直線コネクタ 136">
            <a:extLst>
              <a:ext uri="{FF2B5EF4-FFF2-40B4-BE49-F238E27FC236}">
                <a16:creationId xmlns:a16="http://schemas.microsoft.com/office/drawing/2014/main" id="{00000000-0008-0000-0200-000089000000}"/>
              </a:ext>
            </a:extLst>
          </xdr:cNvPr>
          <xdr:cNvCxnSpPr/>
        </xdr:nvCxnSpPr>
        <xdr:spPr>
          <a:xfrm>
            <a:off x="7867650" y="4086225"/>
            <a:ext cx="0" cy="210266"/>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14</xdr:col>
      <xdr:colOff>172507</xdr:colOff>
      <xdr:row>86</xdr:row>
      <xdr:rowOff>66674</xdr:rowOff>
    </xdr:from>
    <xdr:to>
      <xdr:col>14</xdr:col>
      <xdr:colOff>534457</xdr:colOff>
      <xdr:row>86</xdr:row>
      <xdr:rowOff>66675</xdr:rowOff>
    </xdr:to>
    <xdr:cxnSp macro="">
      <xdr:nvCxnSpPr>
        <xdr:cNvPr id="138" name="直線矢印コネクタ 137">
          <a:extLst>
            <a:ext uri="{FF2B5EF4-FFF2-40B4-BE49-F238E27FC236}">
              <a16:creationId xmlns:a16="http://schemas.microsoft.com/office/drawing/2014/main" id="{00000000-0008-0000-0200-00008A000000}"/>
            </a:ext>
          </a:extLst>
        </xdr:cNvPr>
        <xdr:cNvCxnSpPr/>
      </xdr:nvCxnSpPr>
      <xdr:spPr>
        <a:xfrm flipH="1">
          <a:off x="8914340" y="14629341"/>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329672</xdr:colOff>
      <xdr:row>96</xdr:row>
      <xdr:rowOff>0</xdr:rowOff>
    </xdr:from>
    <xdr:to>
      <xdr:col>13</xdr:col>
      <xdr:colOff>332050</xdr:colOff>
      <xdr:row>101</xdr:row>
      <xdr:rowOff>154780</xdr:rowOff>
    </xdr:to>
    <xdr:sp macro="" textlink="">
      <xdr:nvSpPr>
        <xdr:cNvPr id="139" name="正方形/長方形 138">
          <a:extLst>
            <a:ext uri="{FF2B5EF4-FFF2-40B4-BE49-F238E27FC236}">
              <a16:creationId xmlns:a16="http://schemas.microsoft.com/office/drawing/2014/main" id="{00000000-0008-0000-0200-00008B000000}"/>
            </a:ext>
          </a:extLst>
        </xdr:cNvPr>
        <xdr:cNvSpPr/>
      </xdr:nvSpPr>
      <xdr:spPr>
        <a:xfrm>
          <a:off x="6573839" y="16256000"/>
          <a:ext cx="1875628" cy="1001447"/>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ETS-R EAI</a:t>
          </a:r>
        </a:p>
        <a:p>
          <a:pPr algn="l"/>
          <a:r>
            <a:rPr kumimoji="1" lang="ja-JP" altLang="en-US" sz="1100">
              <a:solidFill>
                <a:sysClr val="windowText" lastClr="000000"/>
              </a:solidFill>
            </a:rPr>
            <a:t>・オフラスとの連携用</a:t>
          </a:r>
          <a:endParaRPr kumimoji="1" lang="en-US" altLang="ja-JP" sz="1100">
            <a:solidFill>
              <a:sysClr val="windowText" lastClr="000000"/>
            </a:solidFill>
          </a:endParaRPr>
        </a:p>
      </xdr:txBody>
    </xdr:sp>
    <xdr:clientData/>
  </xdr:twoCellAnchor>
  <xdr:twoCellAnchor>
    <xdr:from>
      <xdr:col>11</xdr:col>
      <xdr:colOff>287673</xdr:colOff>
      <xdr:row>91</xdr:row>
      <xdr:rowOff>129887</xdr:rowOff>
    </xdr:from>
    <xdr:to>
      <xdr:col>12</xdr:col>
      <xdr:colOff>15681</xdr:colOff>
      <xdr:row>93</xdr:row>
      <xdr:rowOff>145889</xdr:rowOff>
    </xdr:to>
    <xdr:sp macro="" textlink="">
      <xdr:nvSpPr>
        <xdr:cNvPr id="140" name="円柱 139">
          <a:extLst>
            <a:ext uri="{FF2B5EF4-FFF2-40B4-BE49-F238E27FC236}">
              <a16:creationId xmlns:a16="http://schemas.microsoft.com/office/drawing/2014/main" id="{00000000-0008-0000-0200-00008C000000}"/>
            </a:ext>
          </a:extLst>
        </xdr:cNvPr>
        <xdr:cNvSpPr/>
      </xdr:nvSpPr>
      <xdr:spPr>
        <a:xfrm>
          <a:off x="7156256" y="15539220"/>
          <a:ext cx="35242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11</xdr:col>
      <xdr:colOff>46300</xdr:colOff>
      <xdr:row>94</xdr:row>
      <xdr:rowOff>0</xdr:rowOff>
    </xdr:from>
    <xdr:to>
      <xdr:col>11</xdr:col>
      <xdr:colOff>46300</xdr:colOff>
      <xdr:row>95</xdr:row>
      <xdr:rowOff>154780</xdr:rowOff>
    </xdr:to>
    <xdr:cxnSp macro="">
      <xdr:nvCxnSpPr>
        <xdr:cNvPr id="141" name="直線コネクタ 140">
          <a:extLst>
            <a:ext uri="{FF2B5EF4-FFF2-40B4-BE49-F238E27FC236}">
              <a16:creationId xmlns:a16="http://schemas.microsoft.com/office/drawing/2014/main" id="{00000000-0008-0000-0200-00008D000000}"/>
            </a:ext>
          </a:extLst>
        </xdr:cNvPr>
        <xdr:cNvCxnSpPr/>
      </xdr:nvCxnSpPr>
      <xdr:spPr>
        <a:xfrm>
          <a:off x="6914883" y="15917333"/>
          <a:ext cx="0" cy="32411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591607</xdr:colOff>
      <xdr:row>94</xdr:row>
      <xdr:rowOff>16671</xdr:rowOff>
    </xdr:from>
    <xdr:to>
      <xdr:col>10</xdr:col>
      <xdr:colOff>591607</xdr:colOff>
      <xdr:row>95</xdr:row>
      <xdr:rowOff>130971</xdr:rowOff>
    </xdr:to>
    <xdr:cxnSp macro="">
      <xdr:nvCxnSpPr>
        <xdr:cNvPr id="142" name="直線矢印コネクタ 141">
          <a:extLst>
            <a:ext uri="{FF2B5EF4-FFF2-40B4-BE49-F238E27FC236}">
              <a16:creationId xmlns:a16="http://schemas.microsoft.com/office/drawing/2014/main" id="{00000000-0008-0000-0200-00008E000000}"/>
            </a:ext>
          </a:extLst>
        </xdr:cNvPr>
        <xdr:cNvCxnSpPr/>
      </xdr:nvCxnSpPr>
      <xdr:spPr>
        <a:xfrm flipV="1">
          <a:off x="6835774" y="15934004"/>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427301</xdr:colOff>
      <xdr:row>93</xdr:row>
      <xdr:rowOff>154781</xdr:rowOff>
    </xdr:from>
    <xdr:to>
      <xdr:col>5</xdr:col>
      <xdr:colOff>427301</xdr:colOff>
      <xdr:row>99</xdr:row>
      <xdr:rowOff>0</xdr:rowOff>
    </xdr:to>
    <xdr:cxnSp macro="">
      <xdr:nvCxnSpPr>
        <xdr:cNvPr id="143" name="直線コネクタ 142">
          <a:extLst>
            <a:ext uri="{FF2B5EF4-FFF2-40B4-BE49-F238E27FC236}">
              <a16:creationId xmlns:a16="http://schemas.microsoft.com/office/drawing/2014/main" id="{00000000-0008-0000-0200-00008F000000}"/>
            </a:ext>
          </a:extLst>
        </xdr:cNvPr>
        <xdr:cNvCxnSpPr/>
      </xdr:nvCxnSpPr>
      <xdr:spPr>
        <a:xfrm>
          <a:off x="3549384" y="15902781"/>
          <a:ext cx="0" cy="861219"/>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13228</xdr:colOff>
      <xdr:row>77</xdr:row>
      <xdr:rowOff>64292</xdr:rowOff>
    </xdr:from>
    <xdr:to>
      <xdr:col>8</xdr:col>
      <xdr:colOff>355863</xdr:colOff>
      <xdr:row>77</xdr:row>
      <xdr:rowOff>64292</xdr:rowOff>
    </xdr:to>
    <xdr:cxnSp macro="">
      <xdr:nvCxnSpPr>
        <xdr:cNvPr id="144" name="直線コネクタ 143">
          <a:extLst>
            <a:ext uri="{FF2B5EF4-FFF2-40B4-BE49-F238E27FC236}">
              <a16:creationId xmlns:a16="http://schemas.microsoft.com/office/drawing/2014/main" id="{00000000-0008-0000-0200-000090000000}"/>
            </a:ext>
          </a:extLst>
        </xdr:cNvPr>
        <xdr:cNvCxnSpPr/>
      </xdr:nvCxnSpPr>
      <xdr:spPr>
        <a:xfrm>
          <a:off x="5008561" y="13102959"/>
          <a:ext cx="342635"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570175</xdr:colOff>
      <xdr:row>79</xdr:row>
      <xdr:rowOff>83343</xdr:rowOff>
    </xdr:from>
    <xdr:to>
      <xdr:col>5</xdr:col>
      <xdr:colOff>52917</xdr:colOff>
      <xdr:row>81</xdr:row>
      <xdr:rowOff>21167</xdr:rowOff>
    </xdr:to>
    <xdr:sp macro="" textlink="">
      <xdr:nvSpPr>
        <xdr:cNvPr id="145" name="正方形/長方形 144">
          <a:extLst>
            <a:ext uri="{FF2B5EF4-FFF2-40B4-BE49-F238E27FC236}">
              <a16:creationId xmlns:a16="http://schemas.microsoft.com/office/drawing/2014/main" id="{00000000-0008-0000-0200-000091000000}"/>
            </a:ext>
          </a:extLst>
        </xdr:cNvPr>
        <xdr:cNvSpPr/>
      </xdr:nvSpPr>
      <xdr:spPr>
        <a:xfrm>
          <a:off x="1819008" y="13460676"/>
          <a:ext cx="1355992" cy="27649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オフラスとの連携</a:t>
          </a:r>
          <a:endParaRPr kumimoji="1" lang="en-US" altLang="ja-JP" sz="1100">
            <a:solidFill>
              <a:sysClr val="windowText" lastClr="000000"/>
            </a:solidFill>
          </a:endParaRPr>
        </a:p>
      </xdr:txBody>
    </xdr:sp>
    <xdr:clientData/>
  </xdr:twoCellAnchor>
  <xdr:twoCellAnchor>
    <xdr:from>
      <xdr:col>4</xdr:col>
      <xdr:colOff>332052</xdr:colOff>
      <xdr:row>75</xdr:row>
      <xdr:rowOff>0</xdr:rowOff>
    </xdr:from>
    <xdr:to>
      <xdr:col>5</xdr:col>
      <xdr:colOff>10583</xdr:colOff>
      <xdr:row>79</xdr:row>
      <xdr:rowOff>83343</xdr:rowOff>
    </xdr:to>
    <xdr:cxnSp macro="">
      <xdr:nvCxnSpPr>
        <xdr:cNvPr id="146" name="カギ線コネクタ 145">
          <a:extLst>
            <a:ext uri="{FF2B5EF4-FFF2-40B4-BE49-F238E27FC236}">
              <a16:creationId xmlns:a16="http://schemas.microsoft.com/office/drawing/2014/main" id="{00000000-0008-0000-0200-000092000000}"/>
            </a:ext>
          </a:extLst>
        </xdr:cNvPr>
        <xdr:cNvCxnSpPr>
          <a:endCxn id="84" idx="1"/>
        </xdr:cNvCxnSpPr>
      </xdr:nvCxnSpPr>
      <xdr:spPr>
        <a:xfrm rot="5400000" flipH="1" flipV="1">
          <a:off x="2600855" y="12928864"/>
          <a:ext cx="760676" cy="30294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448732</xdr:colOff>
      <xdr:row>76</xdr:row>
      <xdr:rowOff>40482</xdr:rowOff>
    </xdr:from>
    <xdr:to>
      <xdr:col>4</xdr:col>
      <xdr:colOff>448732</xdr:colOff>
      <xdr:row>77</xdr:row>
      <xdr:rowOff>154782</xdr:rowOff>
    </xdr:to>
    <xdr:cxnSp macro="">
      <xdr:nvCxnSpPr>
        <xdr:cNvPr id="147" name="直線矢印コネクタ 146">
          <a:extLst>
            <a:ext uri="{FF2B5EF4-FFF2-40B4-BE49-F238E27FC236}">
              <a16:creationId xmlns:a16="http://schemas.microsoft.com/office/drawing/2014/main" id="{00000000-0008-0000-0200-000093000000}"/>
            </a:ext>
          </a:extLst>
        </xdr:cNvPr>
        <xdr:cNvCxnSpPr/>
      </xdr:nvCxnSpPr>
      <xdr:spPr>
        <a:xfrm flipV="1">
          <a:off x="2946399" y="12909815"/>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58</xdr:row>
      <xdr:rowOff>0</xdr:rowOff>
    </xdr:from>
    <xdr:to>
      <xdr:col>12</xdr:col>
      <xdr:colOff>613833</xdr:colOff>
      <xdr:row>60</xdr:row>
      <xdr:rowOff>148166</xdr:rowOff>
    </xdr:to>
    <xdr:sp macro="" textlink="">
      <xdr:nvSpPr>
        <xdr:cNvPr id="148" name="正方形/長方形 147">
          <a:extLst>
            <a:ext uri="{FF2B5EF4-FFF2-40B4-BE49-F238E27FC236}">
              <a16:creationId xmlns:a16="http://schemas.microsoft.com/office/drawing/2014/main" id="{00000000-0008-0000-0200-000094000000}"/>
            </a:ext>
          </a:extLst>
        </xdr:cNvPr>
        <xdr:cNvSpPr/>
      </xdr:nvSpPr>
      <xdr:spPr>
        <a:xfrm>
          <a:off x="624417" y="9821333"/>
          <a:ext cx="7482416" cy="486833"/>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chemeClr val="tx1"/>
              </a:solidFill>
            </a:rPr>
            <a:t>（１）次期アーキテクチャとして</a:t>
          </a:r>
          <a:r>
            <a:rPr kumimoji="1" lang="en-US" altLang="ja-JP" sz="2400">
              <a:solidFill>
                <a:schemeClr val="tx1"/>
              </a:solidFill>
            </a:rPr>
            <a:t>Azure</a:t>
          </a:r>
          <a:r>
            <a:rPr kumimoji="1" lang="ja-JP" altLang="en-US" sz="2400">
              <a:solidFill>
                <a:schemeClr val="tx1"/>
              </a:solidFill>
            </a:rPr>
            <a:t>環境に再構築</a:t>
          </a:r>
        </a:p>
      </xdr:txBody>
    </xdr:sp>
    <xdr:clientData/>
  </xdr:twoCellAnchor>
  <xdr:twoCellAnchor>
    <xdr:from>
      <xdr:col>0</xdr:col>
      <xdr:colOff>308251</xdr:colOff>
      <xdr:row>145</xdr:row>
      <xdr:rowOff>11907</xdr:rowOff>
    </xdr:from>
    <xdr:to>
      <xdr:col>16</xdr:col>
      <xdr:colOff>379689</xdr:colOff>
      <xdr:row>153</xdr:row>
      <xdr:rowOff>11906</xdr:rowOff>
    </xdr:to>
    <xdr:sp macro="" textlink="">
      <xdr:nvSpPr>
        <xdr:cNvPr id="150" name="正方形/長方形 149">
          <a:extLst>
            <a:ext uri="{FF2B5EF4-FFF2-40B4-BE49-F238E27FC236}">
              <a16:creationId xmlns:a16="http://schemas.microsoft.com/office/drawing/2014/main" id="{00000000-0008-0000-0200-000096000000}"/>
            </a:ext>
          </a:extLst>
        </xdr:cNvPr>
        <xdr:cNvSpPr/>
      </xdr:nvSpPr>
      <xdr:spPr>
        <a:xfrm>
          <a:off x="308251" y="24565240"/>
          <a:ext cx="10062105" cy="1354666"/>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296344</xdr:colOff>
      <xdr:row>144</xdr:row>
      <xdr:rowOff>162983</xdr:rowOff>
    </xdr:from>
    <xdr:to>
      <xdr:col>13</xdr:col>
      <xdr:colOff>486843</xdr:colOff>
      <xdr:row>169</xdr:row>
      <xdr:rowOff>11907</xdr:rowOff>
    </xdr:to>
    <xdr:sp macro="" textlink="">
      <xdr:nvSpPr>
        <xdr:cNvPr id="151" name="正方形/長方形 150">
          <a:extLst>
            <a:ext uri="{FF2B5EF4-FFF2-40B4-BE49-F238E27FC236}">
              <a16:creationId xmlns:a16="http://schemas.microsoft.com/office/drawing/2014/main" id="{00000000-0008-0000-0200-000097000000}"/>
            </a:ext>
          </a:extLst>
        </xdr:cNvPr>
        <xdr:cNvSpPr/>
      </xdr:nvSpPr>
      <xdr:spPr>
        <a:xfrm>
          <a:off x="296344" y="24546983"/>
          <a:ext cx="8307916" cy="4082257"/>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22500</xdr:colOff>
      <xdr:row>161</xdr:row>
      <xdr:rowOff>0</xdr:rowOff>
    </xdr:from>
    <xdr:to>
      <xdr:col>14</xdr:col>
      <xdr:colOff>367781</xdr:colOff>
      <xdr:row>169</xdr:row>
      <xdr:rowOff>1</xdr:rowOff>
    </xdr:to>
    <xdr:sp macro="" textlink="">
      <xdr:nvSpPr>
        <xdr:cNvPr id="152" name="正方形/長方形 151">
          <a:extLst>
            <a:ext uri="{FF2B5EF4-FFF2-40B4-BE49-F238E27FC236}">
              <a16:creationId xmlns:a16="http://schemas.microsoft.com/office/drawing/2014/main" id="{00000000-0008-0000-0200-000098000000}"/>
            </a:ext>
          </a:extLst>
        </xdr:cNvPr>
        <xdr:cNvSpPr/>
      </xdr:nvSpPr>
      <xdr:spPr>
        <a:xfrm>
          <a:off x="5642250" y="27262667"/>
          <a:ext cx="3467364" cy="1354667"/>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382068</xdr:colOff>
      <xdr:row>123</xdr:row>
      <xdr:rowOff>9525</xdr:rowOff>
    </xdr:from>
    <xdr:to>
      <xdr:col>16</xdr:col>
      <xdr:colOff>372543</xdr:colOff>
      <xdr:row>138</xdr:row>
      <xdr:rowOff>161924</xdr:rowOff>
    </xdr:to>
    <xdr:sp macro="" textlink="">
      <xdr:nvSpPr>
        <xdr:cNvPr id="154" name="正方形/長方形 153">
          <a:extLst>
            <a:ext uri="{FF2B5EF4-FFF2-40B4-BE49-F238E27FC236}">
              <a16:creationId xmlns:a16="http://schemas.microsoft.com/office/drawing/2014/main" id="{00000000-0008-0000-0200-00009A000000}"/>
            </a:ext>
          </a:extLst>
        </xdr:cNvPr>
        <xdr:cNvSpPr/>
      </xdr:nvSpPr>
      <xdr:spPr>
        <a:xfrm>
          <a:off x="6001818" y="20837525"/>
          <a:ext cx="4361392" cy="2692399"/>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縮小共通基盤</a:t>
          </a:r>
        </a:p>
      </xdr:txBody>
    </xdr:sp>
    <xdr:clientData/>
  </xdr:twoCellAnchor>
  <xdr:twoCellAnchor>
    <xdr:from>
      <xdr:col>5</xdr:col>
      <xdr:colOff>10594</xdr:colOff>
      <xdr:row>122</xdr:row>
      <xdr:rowOff>0</xdr:rowOff>
    </xdr:from>
    <xdr:to>
      <xdr:col>8</xdr:col>
      <xdr:colOff>10594</xdr:colOff>
      <xdr:row>128</xdr:row>
      <xdr:rowOff>0</xdr:rowOff>
    </xdr:to>
    <xdr:sp macro="" textlink="">
      <xdr:nvSpPr>
        <xdr:cNvPr id="155" name="正方形/長方形 154">
          <a:extLst>
            <a:ext uri="{FF2B5EF4-FFF2-40B4-BE49-F238E27FC236}">
              <a16:creationId xmlns:a16="http://schemas.microsoft.com/office/drawing/2014/main" id="{00000000-0008-0000-0200-00009B000000}"/>
            </a:ext>
          </a:extLst>
        </xdr:cNvPr>
        <xdr:cNvSpPr/>
      </xdr:nvSpPr>
      <xdr:spPr>
        <a:xfrm>
          <a:off x="3132677" y="20658667"/>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OneSAP</a:t>
          </a:r>
        </a:p>
        <a:p>
          <a:pPr algn="l"/>
          <a:endParaRPr kumimoji="1" lang="ja-JP" altLang="en-US" sz="1100">
            <a:solidFill>
              <a:sysClr val="windowText" lastClr="000000"/>
            </a:solidFill>
          </a:endParaRPr>
        </a:p>
      </xdr:txBody>
    </xdr:sp>
    <xdr:clientData/>
  </xdr:twoCellAnchor>
  <xdr:twoCellAnchor>
    <xdr:from>
      <xdr:col>5</xdr:col>
      <xdr:colOff>10594</xdr:colOff>
      <xdr:row>130</xdr:row>
      <xdr:rowOff>1</xdr:rowOff>
    </xdr:from>
    <xdr:to>
      <xdr:col>8</xdr:col>
      <xdr:colOff>10594</xdr:colOff>
      <xdr:row>136</xdr:row>
      <xdr:rowOff>1</xdr:rowOff>
    </xdr:to>
    <xdr:sp macro="" textlink="">
      <xdr:nvSpPr>
        <xdr:cNvPr id="156" name="正方形/長方形 155">
          <a:extLst>
            <a:ext uri="{FF2B5EF4-FFF2-40B4-BE49-F238E27FC236}">
              <a16:creationId xmlns:a16="http://schemas.microsoft.com/office/drawing/2014/main" id="{00000000-0008-0000-0200-00009C000000}"/>
            </a:ext>
          </a:extLst>
        </xdr:cNvPr>
        <xdr:cNvSpPr/>
      </xdr:nvSpPr>
      <xdr:spPr>
        <a:xfrm>
          <a:off x="3132677" y="22013334"/>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連携</a:t>
          </a:r>
          <a:r>
            <a:rPr kumimoji="1" lang="en-US" altLang="ja-JP" sz="1100">
              <a:solidFill>
                <a:sysClr val="windowText" lastClr="000000"/>
              </a:solidFill>
            </a:rPr>
            <a:t>NAS</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SAP</a:t>
          </a:r>
          <a:r>
            <a:rPr kumimoji="1" lang="ja-JP" altLang="ja-JP" sz="1100">
              <a:solidFill>
                <a:sysClr val="windowText" lastClr="000000"/>
              </a:solidFill>
              <a:effectLst/>
              <a:latin typeface="+mn-lt"/>
              <a:ea typeface="+mn-ea"/>
              <a:cs typeface="+mn-cs"/>
            </a:rPr>
            <a:t>とのファイル連携用</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5</xdr:col>
      <xdr:colOff>10594</xdr:colOff>
      <xdr:row>146</xdr:row>
      <xdr:rowOff>0</xdr:rowOff>
    </xdr:from>
    <xdr:to>
      <xdr:col>8</xdr:col>
      <xdr:colOff>10594</xdr:colOff>
      <xdr:row>152</xdr:row>
      <xdr:rowOff>0</xdr:rowOff>
    </xdr:to>
    <xdr:sp macro="" textlink="">
      <xdr:nvSpPr>
        <xdr:cNvPr id="157" name="正方形/長方形 156">
          <a:extLst>
            <a:ext uri="{FF2B5EF4-FFF2-40B4-BE49-F238E27FC236}">
              <a16:creationId xmlns:a16="http://schemas.microsoft.com/office/drawing/2014/main" id="{00000000-0008-0000-0200-00009D000000}"/>
            </a:ext>
          </a:extLst>
        </xdr:cNvPr>
        <xdr:cNvSpPr/>
      </xdr:nvSpPr>
      <xdr:spPr>
        <a:xfrm>
          <a:off x="3132677" y="24722667"/>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a:t>
          </a:r>
          <a:r>
            <a:rPr kumimoji="1" lang="en-US" altLang="ja-JP" sz="1100">
              <a:solidFill>
                <a:sysClr val="windowText" lastClr="000000"/>
              </a:solidFill>
            </a:rPr>
            <a:t>PRM AP/DB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・製品倉庫システム</a:t>
          </a:r>
          <a:endParaRPr kumimoji="1" lang="en-US" altLang="ja-JP" sz="800">
            <a:solidFill>
              <a:sysClr val="windowText" lastClr="000000"/>
            </a:solidFill>
          </a:endParaRPr>
        </a:p>
        <a:p>
          <a:pPr algn="l"/>
          <a:r>
            <a:rPr kumimoji="1" lang="ja-JP" altLang="en-US" sz="800">
              <a:solidFill>
                <a:sysClr val="windowText" lastClr="000000"/>
              </a:solidFill>
            </a:rPr>
            <a:t>・</a:t>
          </a:r>
          <a:r>
            <a:rPr kumimoji="1" lang="en-US" altLang="ja-JP" sz="800">
              <a:solidFill>
                <a:sysClr val="windowText" lastClr="000000"/>
              </a:solidFill>
            </a:rPr>
            <a:t>ABC</a:t>
          </a:r>
          <a:r>
            <a:rPr kumimoji="1" lang="ja-JP" altLang="en-US" sz="800">
              <a:solidFill>
                <a:sysClr val="windowText" lastClr="000000"/>
              </a:solidFill>
            </a:rPr>
            <a:t>数量実績</a:t>
          </a:r>
          <a:endParaRPr kumimoji="1" lang="en-US" altLang="ja-JP" sz="8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800">
              <a:solidFill>
                <a:sysClr val="windowText" lastClr="000000"/>
              </a:solidFill>
              <a:effectLst/>
              <a:latin typeface="+mn-lt"/>
              <a:ea typeface="+mn-ea"/>
              <a:cs typeface="+mn-cs"/>
            </a:rPr>
            <a:t>・数量確定ポリマー</a:t>
          </a:r>
          <a:endParaRPr lang="ja-JP" altLang="ja-JP" sz="800">
            <a:solidFill>
              <a:sysClr val="windowText" lastClr="000000"/>
            </a:solidFill>
            <a:effectLst/>
          </a:endParaRPr>
        </a:p>
        <a:p>
          <a:pPr algn="l"/>
          <a:endParaRPr kumimoji="1" lang="ja-JP" altLang="en-US" sz="1100">
            <a:solidFill>
              <a:sysClr val="windowText" lastClr="000000"/>
            </a:solidFill>
          </a:endParaRPr>
        </a:p>
      </xdr:txBody>
    </xdr:sp>
    <xdr:clientData/>
  </xdr:twoCellAnchor>
  <xdr:twoCellAnchor>
    <xdr:from>
      <xdr:col>9</xdr:col>
      <xdr:colOff>10594</xdr:colOff>
      <xdr:row>146</xdr:row>
      <xdr:rowOff>0</xdr:rowOff>
    </xdr:from>
    <xdr:to>
      <xdr:col>12</xdr:col>
      <xdr:colOff>10594</xdr:colOff>
      <xdr:row>152</xdr:row>
      <xdr:rowOff>0</xdr:rowOff>
    </xdr:to>
    <xdr:sp macro="" textlink="">
      <xdr:nvSpPr>
        <xdr:cNvPr id="158" name="正方形/長方形 157">
          <a:extLst>
            <a:ext uri="{FF2B5EF4-FFF2-40B4-BE49-F238E27FC236}">
              <a16:creationId xmlns:a16="http://schemas.microsoft.com/office/drawing/2014/main" id="{00000000-0008-0000-0200-00009E000000}"/>
            </a:ext>
          </a:extLst>
        </xdr:cNvPr>
        <xdr:cNvSpPr/>
      </xdr:nvSpPr>
      <xdr:spPr>
        <a:xfrm>
          <a:off x="5630344" y="24722667"/>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新千葉ヤード操業サーバ</a:t>
          </a:r>
          <a:endParaRPr kumimoji="1" lang="en-US" altLang="ja-JP" sz="1100">
            <a:solidFill>
              <a:sysClr val="windowText" lastClr="000000"/>
            </a:solidFill>
          </a:endParaRPr>
        </a:p>
        <a:p>
          <a:pPr algn="l"/>
          <a:r>
            <a:rPr kumimoji="1" lang="ja-JP" altLang="en-US" sz="1100">
              <a:solidFill>
                <a:sysClr val="windowText" lastClr="000000"/>
              </a:solidFill>
            </a:rPr>
            <a:t>・千葉ヤード操業</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PIMS</a:t>
          </a:r>
          <a:r>
            <a:rPr kumimoji="1" lang="ja-JP" altLang="en-US" sz="1100">
              <a:solidFill>
                <a:sysClr val="windowText" lastClr="000000"/>
              </a:solidFill>
            </a:rPr>
            <a:t>取込サービス</a:t>
          </a:r>
        </a:p>
      </xdr:txBody>
    </xdr:sp>
    <xdr:clientData/>
  </xdr:twoCellAnchor>
  <xdr:twoCellAnchor>
    <xdr:from>
      <xdr:col>7</xdr:col>
      <xdr:colOff>10594</xdr:colOff>
      <xdr:row>154</xdr:row>
      <xdr:rowOff>1</xdr:rowOff>
    </xdr:from>
    <xdr:to>
      <xdr:col>10</xdr:col>
      <xdr:colOff>10594</xdr:colOff>
      <xdr:row>160</xdr:row>
      <xdr:rowOff>1</xdr:rowOff>
    </xdr:to>
    <xdr:sp macro="" textlink="">
      <xdr:nvSpPr>
        <xdr:cNvPr id="159" name="正方形/長方形 158">
          <a:extLst>
            <a:ext uri="{FF2B5EF4-FFF2-40B4-BE49-F238E27FC236}">
              <a16:creationId xmlns:a16="http://schemas.microsoft.com/office/drawing/2014/main" id="{00000000-0008-0000-0200-00009F000000}"/>
            </a:ext>
          </a:extLst>
        </xdr:cNvPr>
        <xdr:cNvSpPr/>
      </xdr:nvSpPr>
      <xdr:spPr>
        <a:xfrm>
          <a:off x="4381511" y="26077334"/>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新千葉事業所</a:t>
          </a:r>
          <a:r>
            <a:rPr kumimoji="1" lang="en-US" altLang="ja-JP" sz="1100">
              <a:solidFill>
                <a:sysClr val="windowText" lastClr="000000"/>
              </a:solidFill>
            </a:rPr>
            <a:t>(</a:t>
          </a:r>
          <a:r>
            <a:rPr kumimoji="1" lang="ja-JP" altLang="en-US" sz="1100">
              <a:solidFill>
                <a:sysClr val="windowText" lastClr="000000"/>
              </a:solidFill>
            </a:rPr>
            <a:t>化学</a:t>
          </a:r>
          <a:r>
            <a:rPr kumimoji="1" lang="en-US" altLang="ja-JP" sz="1100">
              <a:solidFill>
                <a:sysClr val="windowText" lastClr="000000"/>
              </a:solidFill>
            </a:rPr>
            <a:t>)GW</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L3</a:t>
          </a:r>
          <a:r>
            <a:rPr kumimoji="1" lang="ja-JP" altLang="en-US" sz="1100">
              <a:solidFill>
                <a:sysClr val="windowText" lastClr="000000"/>
              </a:solidFill>
            </a:rPr>
            <a:t>層とのファイル連携用</a:t>
          </a:r>
          <a:endParaRPr kumimoji="1" lang="en-US" altLang="ja-JP" sz="1100">
            <a:solidFill>
              <a:sysClr val="windowText" lastClr="000000"/>
            </a:solidFill>
          </a:endParaRPr>
        </a:p>
      </xdr:txBody>
    </xdr:sp>
    <xdr:clientData/>
  </xdr:twoCellAnchor>
  <xdr:twoCellAnchor>
    <xdr:from>
      <xdr:col>10</xdr:col>
      <xdr:colOff>10594</xdr:colOff>
      <xdr:row>132</xdr:row>
      <xdr:rowOff>0</xdr:rowOff>
    </xdr:from>
    <xdr:to>
      <xdr:col>13</xdr:col>
      <xdr:colOff>10594</xdr:colOff>
      <xdr:row>138</xdr:row>
      <xdr:rowOff>0</xdr:rowOff>
    </xdr:to>
    <xdr:sp macro="" textlink="">
      <xdr:nvSpPr>
        <xdr:cNvPr id="160" name="正方形/長方形 159">
          <a:extLst>
            <a:ext uri="{FF2B5EF4-FFF2-40B4-BE49-F238E27FC236}">
              <a16:creationId xmlns:a16="http://schemas.microsoft.com/office/drawing/2014/main" id="{00000000-0008-0000-0200-0000A0000000}"/>
            </a:ext>
          </a:extLst>
        </xdr:cNvPr>
        <xdr:cNvSpPr/>
      </xdr:nvSpPr>
      <xdr:spPr>
        <a:xfrm>
          <a:off x="6254761" y="22352000"/>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バッチ基盤サーバ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p>
        <a:p>
          <a:pPr algn="l"/>
          <a:r>
            <a:rPr kumimoji="1" lang="ja-JP" altLang="en-US" sz="800">
              <a:solidFill>
                <a:sysClr val="windowText" lastClr="000000"/>
              </a:solidFill>
            </a:rPr>
            <a:t>・用役管理システム</a:t>
          </a:r>
          <a:endParaRPr kumimoji="1" lang="en-US" altLang="ja-JP" sz="800">
            <a:solidFill>
              <a:sysClr val="windowText" lastClr="000000"/>
            </a:solidFill>
          </a:endParaRPr>
        </a:p>
        <a:p>
          <a:pPr algn="l"/>
          <a:endParaRPr kumimoji="1" lang="ja-JP" altLang="en-US" sz="800">
            <a:solidFill>
              <a:sysClr val="windowText" lastClr="000000"/>
            </a:solidFill>
          </a:endParaRPr>
        </a:p>
      </xdr:txBody>
    </xdr:sp>
    <xdr:clientData/>
  </xdr:twoCellAnchor>
  <xdr:twoCellAnchor>
    <xdr:from>
      <xdr:col>13</xdr:col>
      <xdr:colOff>10594</xdr:colOff>
      <xdr:row>132</xdr:row>
      <xdr:rowOff>0</xdr:rowOff>
    </xdr:from>
    <xdr:to>
      <xdr:col>16</xdr:col>
      <xdr:colOff>10594</xdr:colOff>
      <xdr:row>138</xdr:row>
      <xdr:rowOff>0</xdr:rowOff>
    </xdr:to>
    <xdr:sp macro="" textlink="">
      <xdr:nvSpPr>
        <xdr:cNvPr id="161" name="正方形/長方形 160">
          <a:extLst>
            <a:ext uri="{FF2B5EF4-FFF2-40B4-BE49-F238E27FC236}">
              <a16:creationId xmlns:a16="http://schemas.microsoft.com/office/drawing/2014/main" id="{00000000-0008-0000-0200-0000A1000000}"/>
            </a:ext>
          </a:extLst>
        </xdr:cNvPr>
        <xdr:cNvSpPr/>
      </xdr:nvSpPr>
      <xdr:spPr>
        <a:xfrm>
          <a:off x="8128011" y="22352000"/>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共通基盤帳票サーバ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xdr:col>
      <xdr:colOff>10594</xdr:colOff>
      <xdr:row>130</xdr:row>
      <xdr:rowOff>1</xdr:rowOff>
    </xdr:from>
    <xdr:to>
      <xdr:col>4</xdr:col>
      <xdr:colOff>10594</xdr:colOff>
      <xdr:row>136</xdr:row>
      <xdr:rowOff>1</xdr:rowOff>
    </xdr:to>
    <xdr:sp macro="" textlink="">
      <xdr:nvSpPr>
        <xdr:cNvPr id="162" name="正方形/長方形 161">
          <a:extLst>
            <a:ext uri="{FF2B5EF4-FFF2-40B4-BE49-F238E27FC236}">
              <a16:creationId xmlns:a16="http://schemas.microsoft.com/office/drawing/2014/main" id="{00000000-0008-0000-0200-0000A2000000}"/>
            </a:ext>
          </a:extLst>
        </xdr:cNvPr>
        <xdr:cNvSpPr/>
      </xdr:nvSpPr>
      <xdr:spPr>
        <a:xfrm>
          <a:off x="635011" y="22013334"/>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HULFT</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10.180.0.54</a:t>
          </a:r>
        </a:p>
        <a:p>
          <a:pPr algn="l"/>
          <a:r>
            <a:rPr kumimoji="1" lang="ja-JP" altLang="en-US" sz="1100">
              <a:solidFill>
                <a:sysClr val="windowText" lastClr="000000"/>
              </a:solidFill>
            </a:rPr>
            <a:t>・</a:t>
          </a:r>
          <a:r>
            <a:rPr kumimoji="1" lang="en-US" altLang="ja-JP" sz="1100">
              <a:solidFill>
                <a:sysClr val="windowText" lastClr="000000"/>
              </a:solidFill>
            </a:rPr>
            <a:t>SAP</a:t>
          </a:r>
          <a:r>
            <a:rPr kumimoji="1" lang="ja-JP" altLang="en-US" sz="1100">
              <a:solidFill>
                <a:sysClr val="windowText" lastClr="000000"/>
              </a:solidFill>
            </a:rPr>
            <a:t>とのファイル連携用</a:t>
          </a:r>
        </a:p>
        <a:p>
          <a:pPr algn="l"/>
          <a:endParaRPr kumimoji="1" lang="ja-JP" altLang="en-US" sz="1100">
            <a:solidFill>
              <a:sysClr val="windowText" lastClr="000000"/>
            </a:solidFill>
          </a:endParaRPr>
        </a:p>
      </xdr:txBody>
    </xdr:sp>
    <xdr:clientData/>
  </xdr:twoCellAnchor>
  <xdr:twoCellAnchor>
    <xdr:from>
      <xdr:col>1</xdr:col>
      <xdr:colOff>10594</xdr:colOff>
      <xdr:row>122</xdr:row>
      <xdr:rowOff>0</xdr:rowOff>
    </xdr:from>
    <xdr:to>
      <xdr:col>4</xdr:col>
      <xdr:colOff>10594</xdr:colOff>
      <xdr:row>128</xdr:row>
      <xdr:rowOff>0</xdr:rowOff>
    </xdr:to>
    <xdr:sp macro="" textlink="">
      <xdr:nvSpPr>
        <xdr:cNvPr id="163" name="正方形/長方形 162">
          <a:extLst>
            <a:ext uri="{FF2B5EF4-FFF2-40B4-BE49-F238E27FC236}">
              <a16:creationId xmlns:a16="http://schemas.microsoft.com/office/drawing/2014/main" id="{00000000-0008-0000-0200-0000A3000000}"/>
            </a:ext>
          </a:extLst>
        </xdr:cNvPr>
        <xdr:cNvSpPr/>
      </xdr:nvSpPr>
      <xdr:spPr>
        <a:xfrm>
          <a:off x="635011" y="20658667"/>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OneSAP</a:t>
          </a:r>
        </a:p>
        <a:p>
          <a:pPr algn="l"/>
          <a:endParaRPr kumimoji="1" lang="ja-JP" altLang="en-US" sz="1100">
            <a:solidFill>
              <a:sysClr val="windowText" lastClr="000000"/>
            </a:solidFill>
          </a:endParaRPr>
        </a:p>
      </xdr:txBody>
    </xdr:sp>
    <xdr:clientData/>
  </xdr:twoCellAnchor>
  <xdr:twoCellAnchor>
    <xdr:from>
      <xdr:col>7</xdr:col>
      <xdr:colOff>10594</xdr:colOff>
      <xdr:row>162</xdr:row>
      <xdr:rowOff>0</xdr:rowOff>
    </xdr:from>
    <xdr:to>
      <xdr:col>10</xdr:col>
      <xdr:colOff>10594</xdr:colOff>
      <xdr:row>168</xdr:row>
      <xdr:rowOff>0</xdr:rowOff>
    </xdr:to>
    <xdr:sp macro="" textlink="">
      <xdr:nvSpPr>
        <xdr:cNvPr id="164" name="正方形/長方形 163">
          <a:extLst>
            <a:ext uri="{FF2B5EF4-FFF2-40B4-BE49-F238E27FC236}">
              <a16:creationId xmlns:a16="http://schemas.microsoft.com/office/drawing/2014/main" id="{00000000-0008-0000-0200-0000A4000000}"/>
            </a:ext>
          </a:extLst>
        </xdr:cNvPr>
        <xdr:cNvSpPr/>
      </xdr:nvSpPr>
      <xdr:spPr>
        <a:xfrm>
          <a:off x="4381511" y="27432000"/>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UX7000</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・製品倉庫の連携先</a:t>
          </a:r>
          <a:endParaRPr kumimoji="1" lang="en-US" altLang="ja-JP" sz="1100">
            <a:solidFill>
              <a:sysClr val="windowText" lastClr="000000"/>
            </a:solidFill>
          </a:endParaRPr>
        </a:p>
      </xdr:txBody>
    </xdr:sp>
    <xdr:clientData/>
  </xdr:twoCellAnchor>
  <xdr:twoCellAnchor>
    <xdr:from>
      <xdr:col>11</xdr:col>
      <xdr:colOff>10594</xdr:colOff>
      <xdr:row>162</xdr:row>
      <xdr:rowOff>0</xdr:rowOff>
    </xdr:from>
    <xdr:to>
      <xdr:col>14</xdr:col>
      <xdr:colOff>10594</xdr:colOff>
      <xdr:row>168</xdr:row>
      <xdr:rowOff>0</xdr:rowOff>
    </xdr:to>
    <xdr:sp macro="" textlink="">
      <xdr:nvSpPr>
        <xdr:cNvPr id="165" name="正方形/長方形 164">
          <a:extLst>
            <a:ext uri="{FF2B5EF4-FFF2-40B4-BE49-F238E27FC236}">
              <a16:creationId xmlns:a16="http://schemas.microsoft.com/office/drawing/2014/main" id="{00000000-0008-0000-0200-0000A5000000}"/>
            </a:ext>
          </a:extLst>
        </xdr:cNvPr>
        <xdr:cNvSpPr/>
      </xdr:nvSpPr>
      <xdr:spPr>
        <a:xfrm>
          <a:off x="6879177" y="27432000"/>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運転制御サーバ</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3</xdr:col>
      <xdr:colOff>10594</xdr:colOff>
      <xdr:row>162</xdr:row>
      <xdr:rowOff>0</xdr:rowOff>
    </xdr:from>
    <xdr:to>
      <xdr:col>6</xdr:col>
      <xdr:colOff>10594</xdr:colOff>
      <xdr:row>168</xdr:row>
      <xdr:rowOff>0</xdr:rowOff>
    </xdr:to>
    <xdr:sp macro="" textlink="">
      <xdr:nvSpPr>
        <xdr:cNvPr id="166" name="正方形/長方形 165">
          <a:extLst>
            <a:ext uri="{FF2B5EF4-FFF2-40B4-BE49-F238E27FC236}">
              <a16:creationId xmlns:a16="http://schemas.microsoft.com/office/drawing/2014/main" id="{00000000-0008-0000-0200-0000A6000000}"/>
            </a:ext>
          </a:extLst>
        </xdr:cNvPr>
        <xdr:cNvSpPr/>
      </xdr:nvSpPr>
      <xdr:spPr>
        <a:xfrm>
          <a:off x="1883844" y="27432000"/>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TCM</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・製品倉庫の連携先</a:t>
          </a:r>
        </a:p>
      </xdr:txBody>
    </xdr:sp>
    <xdr:clientData/>
  </xdr:twoCellAnchor>
  <xdr:twoCellAnchor>
    <xdr:from>
      <xdr:col>2</xdr:col>
      <xdr:colOff>353494</xdr:colOff>
      <xdr:row>128</xdr:row>
      <xdr:rowOff>0</xdr:rowOff>
    </xdr:from>
    <xdr:to>
      <xdr:col>2</xdr:col>
      <xdr:colOff>353494</xdr:colOff>
      <xdr:row>130</xdr:row>
      <xdr:rowOff>1</xdr:rowOff>
    </xdr:to>
    <xdr:cxnSp macro="">
      <xdr:nvCxnSpPr>
        <xdr:cNvPr id="167" name="直線コネクタ 166">
          <a:extLst>
            <a:ext uri="{FF2B5EF4-FFF2-40B4-BE49-F238E27FC236}">
              <a16:creationId xmlns:a16="http://schemas.microsoft.com/office/drawing/2014/main" id="{00000000-0008-0000-0200-0000A7000000}"/>
            </a:ext>
          </a:extLst>
        </xdr:cNvPr>
        <xdr:cNvCxnSpPr>
          <a:stCxn id="163" idx="2"/>
          <a:endCxn id="162" idx="0"/>
        </xdr:cNvCxnSpPr>
      </xdr:nvCxnSpPr>
      <xdr:spPr>
        <a:xfrm>
          <a:off x="1602327" y="21674667"/>
          <a:ext cx="0" cy="338667"/>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320157</xdr:colOff>
      <xdr:row>136</xdr:row>
      <xdr:rowOff>1</xdr:rowOff>
    </xdr:from>
    <xdr:to>
      <xdr:col>5</xdr:col>
      <xdr:colOff>10594</xdr:colOff>
      <xdr:row>149</xdr:row>
      <xdr:rowOff>0</xdr:rowOff>
    </xdr:to>
    <xdr:cxnSp macro="">
      <xdr:nvCxnSpPr>
        <xdr:cNvPr id="168" name="カギ線コネクタ 167">
          <a:extLst>
            <a:ext uri="{FF2B5EF4-FFF2-40B4-BE49-F238E27FC236}">
              <a16:creationId xmlns:a16="http://schemas.microsoft.com/office/drawing/2014/main" id="{00000000-0008-0000-0200-0000A8000000}"/>
            </a:ext>
          </a:extLst>
        </xdr:cNvPr>
        <xdr:cNvCxnSpPr>
          <a:stCxn id="162" idx="2"/>
          <a:endCxn id="157" idx="1"/>
        </xdr:cNvCxnSpPr>
      </xdr:nvCxnSpPr>
      <xdr:spPr>
        <a:xfrm rot="16200000" flipH="1">
          <a:off x="1250167" y="23348157"/>
          <a:ext cx="2201333" cy="156368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353494</xdr:colOff>
      <xdr:row>128</xdr:row>
      <xdr:rowOff>0</xdr:rowOff>
    </xdr:from>
    <xdr:to>
      <xdr:col>6</xdr:col>
      <xdr:colOff>353494</xdr:colOff>
      <xdr:row>130</xdr:row>
      <xdr:rowOff>1</xdr:rowOff>
    </xdr:to>
    <xdr:cxnSp macro="">
      <xdr:nvCxnSpPr>
        <xdr:cNvPr id="169" name="直線コネクタ 168">
          <a:extLst>
            <a:ext uri="{FF2B5EF4-FFF2-40B4-BE49-F238E27FC236}">
              <a16:creationId xmlns:a16="http://schemas.microsoft.com/office/drawing/2014/main" id="{00000000-0008-0000-0200-0000A9000000}"/>
            </a:ext>
          </a:extLst>
        </xdr:cNvPr>
        <xdr:cNvCxnSpPr>
          <a:stCxn id="155" idx="2"/>
          <a:endCxn id="156" idx="0"/>
        </xdr:cNvCxnSpPr>
      </xdr:nvCxnSpPr>
      <xdr:spPr>
        <a:xfrm>
          <a:off x="4099994" y="21674667"/>
          <a:ext cx="0" cy="338667"/>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320157</xdr:colOff>
      <xdr:row>136</xdr:row>
      <xdr:rowOff>1</xdr:rowOff>
    </xdr:from>
    <xdr:to>
      <xdr:col>6</xdr:col>
      <xdr:colOff>320157</xdr:colOff>
      <xdr:row>146</xdr:row>
      <xdr:rowOff>0</xdr:rowOff>
    </xdr:to>
    <xdr:cxnSp macro="">
      <xdr:nvCxnSpPr>
        <xdr:cNvPr id="170" name="直線コネクタ 169">
          <a:extLst>
            <a:ext uri="{FF2B5EF4-FFF2-40B4-BE49-F238E27FC236}">
              <a16:creationId xmlns:a16="http://schemas.microsoft.com/office/drawing/2014/main" id="{00000000-0008-0000-0200-0000AA000000}"/>
            </a:ext>
          </a:extLst>
        </xdr:cNvPr>
        <xdr:cNvCxnSpPr>
          <a:stCxn id="156" idx="2"/>
          <a:endCxn id="157" idx="0"/>
        </xdr:cNvCxnSpPr>
      </xdr:nvCxnSpPr>
      <xdr:spPr>
        <a:xfrm>
          <a:off x="4066657" y="23029334"/>
          <a:ext cx="0" cy="1693333"/>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343969</xdr:colOff>
      <xdr:row>135</xdr:row>
      <xdr:rowOff>47624</xdr:rowOff>
    </xdr:from>
    <xdr:to>
      <xdr:col>10</xdr:col>
      <xdr:colOff>355876</xdr:colOff>
      <xdr:row>146</xdr:row>
      <xdr:rowOff>0</xdr:rowOff>
    </xdr:to>
    <xdr:cxnSp macro="">
      <xdr:nvCxnSpPr>
        <xdr:cNvPr id="171" name="カギ線コネクタ 170">
          <a:extLst>
            <a:ext uri="{FF2B5EF4-FFF2-40B4-BE49-F238E27FC236}">
              <a16:creationId xmlns:a16="http://schemas.microsoft.com/office/drawing/2014/main" id="{00000000-0008-0000-0200-0000AB000000}"/>
            </a:ext>
          </a:extLst>
        </xdr:cNvPr>
        <xdr:cNvCxnSpPr>
          <a:endCxn id="158" idx="0"/>
        </xdr:cNvCxnSpPr>
      </xdr:nvCxnSpPr>
      <xdr:spPr>
        <a:xfrm rot="16200000" flipH="1">
          <a:off x="5062151" y="23184775"/>
          <a:ext cx="1815043" cy="1260741"/>
        </a:xfrm>
        <a:prstGeom prst="bentConnector3">
          <a:avLst>
            <a:gd name="adj1" fmla="val 50000"/>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353494</xdr:colOff>
      <xdr:row>152</xdr:row>
      <xdr:rowOff>0</xdr:rowOff>
    </xdr:from>
    <xdr:to>
      <xdr:col>10</xdr:col>
      <xdr:colOff>353494</xdr:colOff>
      <xdr:row>154</xdr:row>
      <xdr:rowOff>1</xdr:rowOff>
    </xdr:to>
    <xdr:cxnSp macro="">
      <xdr:nvCxnSpPr>
        <xdr:cNvPr id="172" name="カギ線コネクタ 171">
          <a:extLst>
            <a:ext uri="{FF2B5EF4-FFF2-40B4-BE49-F238E27FC236}">
              <a16:creationId xmlns:a16="http://schemas.microsoft.com/office/drawing/2014/main" id="{00000000-0008-0000-0200-0000AC000000}"/>
            </a:ext>
          </a:extLst>
        </xdr:cNvPr>
        <xdr:cNvCxnSpPr>
          <a:stCxn id="158" idx="2"/>
          <a:endCxn id="159" idx="0"/>
        </xdr:cNvCxnSpPr>
      </xdr:nvCxnSpPr>
      <xdr:spPr>
        <a:xfrm rot="5400000">
          <a:off x="5803910" y="25283584"/>
          <a:ext cx="338667" cy="1248834"/>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353494</xdr:colOff>
      <xdr:row>152</xdr:row>
      <xdr:rowOff>0</xdr:rowOff>
    </xdr:from>
    <xdr:to>
      <xdr:col>7</xdr:col>
      <xdr:colOff>10594</xdr:colOff>
      <xdr:row>157</xdr:row>
      <xdr:rowOff>1</xdr:rowOff>
    </xdr:to>
    <xdr:cxnSp macro="">
      <xdr:nvCxnSpPr>
        <xdr:cNvPr id="173" name="カギ線コネクタ 172">
          <a:extLst>
            <a:ext uri="{FF2B5EF4-FFF2-40B4-BE49-F238E27FC236}">
              <a16:creationId xmlns:a16="http://schemas.microsoft.com/office/drawing/2014/main" id="{00000000-0008-0000-0200-0000AD000000}"/>
            </a:ext>
          </a:extLst>
        </xdr:cNvPr>
        <xdr:cNvCxnSpPr>
          <a:stCxn id="157" idx="2"/>
          <a:endCxn id="159" idx="1"/>
        </xdr:cNvCxnSpPr>
      </xdr:nvCxnSpPr>
      <xdr:spPr>
        <a:xfrm rot="16200000" flipH="1">
          <a:off x="3817419" y="26021242"/>
          <a:ext cx="846667" cy="28151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353494</xdr:colOff>
      <xdr:row>160</xdr:row>
      <xdr:rowOff>1</xdr:rowOff>
    </xdr:from>
    <xdr:to>
      <xdr:col>8</xdr:col>
      <xdr:colOff>353494</xdr:colOff>
      <xdr:row>162</xdr:row>
      <xdr:rowOff>0</xdr:rowOff>
    </xdr:to>
    <xdr:cxnSp macro="">
      <xdr:nvCxnSpPr>
        <xdr:cNvPr id="174" name="カギ線コネクタ 173">
          <a:extLst>
            <a:ext uri="{FF2B5EF4-FFF2-40B4-BE49-F238E27FC236}">
              <a16:creationId xmlns:a16="http://schemas.microsoft.com/office/drawing/2014/main" id="{00000000-0008-0000-0200-0000AE000000}"/>
            </a:ext>
          </a:extLst>
        </xdr:cNvPr>
        <xdr:cNvCxnSpPr>
          <a:stCxn id="159" idx="2"/>
          <a:endCxn id="166" idx="0"/>
        </xdr:cNvCxnSpPr>
      </xdr:nvCxnSpPr>
      <xdr:spPr>
        <a:xfrm rot="5400000">
          <a:off x="3930661" y="26013834"/>
          <a:ext cx="338666" cy="2497666"/>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353494</xdr:colOff>
      <xdr:row>160</xdr:row>
      <xdr:rowOff>1</xdr:rowOff>
    </xdr:from>
    <xdr:to>
      <xdr:col>12</xdr:col>
      <xdr:colOff>353494</xdr:colOff>
      <xdr:row>162</xdr:row>
      <xdr:rowOff>0</xdr:rowOff>
    </xdr:to>
    <xdr:cxnSp macro="">
      <xdr:nvCxnSpPr>
        <xdr:cNvPr id="175" name="カギ線コネクタ 174">
          <a:extLst>
            <a:ext uri="{FF2B5EF4-FFF2-40B4-BE49-F238E27FC236}">
              <a16:creationId xmlns:a16="http://schemas.microsoft.com/office/drawing/2014/main" id="{00000000-0008-0000-0200-0000AF000000}"/>
            </a:ext>
          </a:extLst>
        </xdr:cNvPr>
        <xdr:cNvCxnSpPr>
          <a:stCxn id="159" idx="2"/>
          <a:endCxn id="165" idx="0"/>
        </xdr:cNvCxnSpPr>
      </xdr:nvCxnSpPr>
      <xdr:spPr>
        <a:xfrm rot="16200000" flipH="1">
          <a:off x="6428328" y="26013833"/>
          <a:ext cx="338666" cy="2497667"/>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353494</xdr:colOff>
      <xdr:row>160</xdr:row>
      <xdr:rowOff>1</xdr:rowOff>
    </xdr:from>
    <xdr:to>
      <xdr:col>8</xdr:col>
      <xdr:colOff>353494</xdr:colOff>
      <xdr:row>162</xdr:row>
      <xdr:rowOff>0</xdr:rowOff>
    </xdr:to>
    <xdr:cxnSp macro="">
      <xdr:nvCxnSpPr>
        <xdr:cNvPr id="176" name="直線コネクタ 175">
          <a:extLst>
            <a:ext uri="{FF2B5EF4-FFF2-40B4-BE49-F238E27FC236}">
              <a16:creationId xmlns:a16="http://schemas.microsoft.com/office/drawing/2014/main" id="{00000000-0008-0000-0200-0000B0000000}"/>
            </a:ext>
          </a:extLst>
        </xdr:cNvPr>
        <xdr:cNvCxnSpPr>
          <a:stCxn id="159" idx="2"/>
          <a:endCxn id="164" idx="0"/>
        </xdr:cNvCxnSpPr>
      </xdr:nvCxnSpPr>
      <xdr:spPr>
        <a:xfrm>
          <a:off x="5348827" y="27093334"/>
          <a:ext cx="0" cy="33866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10594</xdr:colOff>
      <xdr:row>131</xdr:row>
      <xdr:rowOff>9525</xdr:rowOff>
    </xdr:from>
    <xdr:to>
      <xdr:col>10</xdr:col>
      <xdr:colOff>29644</xdr:colOff>
      <xdr:row>131</xdr:row>
      <xdr:rowOff>9525</xdr:rowOff>
    </xdr:to>
    <xdr:cxnSp macro="">
      <xdr:nvCxnSpPr>
        <xdr:cNvPr id="177" name="直線コネクタ 176">
          <a:extLst>
            <a:ext uri="{FF2B5EF4-FFF2-40B4-BE49-F238E27FC236}">
              <a16:creationId xmlns:a16="http://schemas.microsoft.com/office/drawing/2014/main" id="{00000000-0008-0000-0200-0000B1000000}"/>
            </a:ext>
          </a:extLst>
        </xdr:cNvPr>
        <xdr:cNvCxnSpPr/>
      </xdr:nvCxnSpPr>
      <xdr:spPr>
        <a:xfrm>
          <a:off x="5005927" y="22192192"/>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34408</xdr:colOff>
      <xdr:row>154</xdr:row>
      <xdr:rowOff>1</xdr:rowOff>
    </xdr:from>
    <xdr:to>
      <xdr:col>17</xdr:col>
      <xdr:colOff>34407</xdr:colOff>
      <xdr:row>160</xdr:row>
      <xdr:rowOff>1</xdr:rowOff>
    </xdr:to>
    <xdr:sp macro="" textlink="">
      <xdr:nvSpPr>
        <xdr:cNvPr id="178" name="正方形/長方形 177">
          <a:extLst>
            <a:ext uri="{FF2B5EF4-FFF2-40B4-BE49-F238E27FC236}">
              <a16:creationId xmlns:a16="http://schemas.microsoft.com/office/drawing/2014/main" id="{00000000-0008-0000-0200-0000B2000000}"/>
            </a:ext>
          </a:extLst>
        </xdr:cNvPr>
        <xdr:cNvSpPr/>
      </xdr:nvSpPr>
      <xdr:spPr>
        <a:xfrm>
          <a:off x="8776241" y="26077334"/>
          <a:ext cx="1873249"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PIMS</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PHX</a:t>
          </a:r>
          <a:r>
            <a:rPr kumimoji="1" lang="ja-JP" altLang="en-US" sz="1100">
              <a:solidFill>
                <a:sysClr val="windowText" lastClr="000000"/>
              </a:solidFill>
            </a:rPr>
            <a:t>データ取込元</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PHX</a:t>
          </a:r>
          <a:r>
            <a:rPr kumimoji="1" lang="ja-JP" altLang="en-US" sz="1100">
              <a:solidFill>
                <a:sysClr val="windowText" lastClr="000000"/>
              </a:solidFill>
            </a:rPr>
            <a:t>データ書込み先</a:t>
          </a:r>
        </a:p>
      </xdr:txBody>
    </xdr:sp>
    <xdr:clientData/>
  </xdr:twoCellAnchor>
  <xdr:twoCellAnchor>
    <xdr:from>
      <xdr:col>11</xdr:col>
      <xdr:colOff>334011</xdr:colOff>
      <xdr:row>151</xdr:row>
      <xdr:rowOff>146972</xdr:rowOff>
    </xdr:from>
    <xdr:to>
      <xdr:col>15</xdr:col>
      <xdr:colOff>376441</xdr:colOff>
      <xdr:row>154</xdr:row>
      <xdr:rowOff>1</xdr:rowOff>
    </xdr:to>
    <xdr:cxnSp macro="">
      <xdr:nvCxnSpPr>
        <xdr:cNvPr id="179" name="カギ線コネクタ 178">
          <a:extLst>
            <a:ext uri="{FF2B5EF4-FFF2-40B4-BE49-F238E27FC236}">
              <a16:creationId xmlns:a16="http://schemas.microsoft.com/office/drawing/2014/main" id="{00000000-0008-0000-0200-0000B3000000}"/>
            </a:ext>
          </a:extLst>
        </xdr:cNvPr>
        <xdr:cNvCxnSpPr>
          <a:endCxn id="178" idx="0"/>
        </xdr:cNvCxnSpPr>
      </xdr:nvCxnSpPr>
      <xdr:spPr>
        <a:xfrm rot="16200000" flipH="1">
          <a:off x="8292128" y="24626771"/>
          <a:ext cx="361029" cy="2540097"/>
        </a:xfrm>
        <a:prstGeom prst="bentConnector3">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355874</xdr:colOff>
      <xdr:row>126</xdr:row>
      <xdr:rowOff>0</xdr:rowOff>
    </xdr:from>
    <xdr:to>
      <xdr:col>17</xdr:col>
      <xdr:colOff>34406</xdr:colOff>
      <xdr:row>157</xdr:row>
      <xdr:rowOff>1</xdr:rowOff>
    </xdr:to>
    <xdr:cxnSp macro="">
      <xdr:nvCxnSpPr>
        <xdr:cNvPr id="180" name="カギ線コネクタ 179">
          <a:extLst>
            <a:ext uri="{FF2B5EF4-FFF2-40B4-BE49-F238E27FC236}">
              <a16:creationId xmlns:a16="http://schemas.microsoft.com/office/drawing/2014/main" id="{00000000-0008-0000-0200-0000B4000000}"/>
            </a:ext>
          </a:extLst>
        </xdr:cNvPr>
        <xdr:cNvCxnSpPr>
          <a:stCxn id="182" idx="0"/>
          <a:endCxn id="178" idx="3"/>
        </xdr:cNvCxnSpPr>
      </xdr:nvCxnSpPr>
      <xdr:spPr>
        <a:xfrm rot="16200000" flipH="1">
          <a:off x="6312306" y="22248151"/>
          <a:ext cx="5249334" cy="3425032"/>
        </a:xfrm>
        <a:prstGeom prst="bentConnector4">
          <a:avLst>
            <a:gd name="adj1" fmla="val -3295"/>
            <a:gd name="adj2" fmla="val 105981"/>
          </a:avLst>
        </a:prstGeom>
        <a:ln w="57150">
          <a:solidFill>
            <a:srgbClr val="00B050"/>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5</xdr:col>
      <xdr:colOff>439218</xdr:colOff>
      <xdr:row>156</xdr:row>
      <xdr:rowOff>162983</xdr:rowOff>
    </xdr:from>
    <xdr:to>
      <xdr:col>15</xdr:col>
      <xdr:colOff>379689</xdr:colOff>
      <xdr:row>160</xdr:row>
      <xdr:rowOff>1</xdr:rowOff>
    </xdr:to>
    <xdr:cxnSp macro="">
      <xdr:nvCxnSpPr>
        <xdr:cNvPr id="181" name="カギ線コネクタ 180">
          <a:extLst>
            <a:ext uri="{FF2B5EF4-FFF2-40B4-BE49-F238E27FC236}">
              <a16:creationId xmlns:a16="http://schemas.microsoft.com/office/drawing/2014/main" id="{00000000-0008-0000-0200-0000B5000000}"/>
            </a:ext>
          </a:extLst>
        </xdr:cNvPr>
        <xdr:cNvCxnSpPr>
          <a:endCxn id="178" idx="2"/>
        </xdr:cNvCxnSpPr>
      </xdr:nvCxnSpPr>
      <xdr:spPr>
        <a:xfrm>
          <a:off x="3561301" y="26578983"/>
          <a:ext cx="6184638" cy="514351"/>
        </a:xfrm>
        <a:prstGeom prst="bentConnector4">
          <a:avLst>
            <a:gd name="adj1" fmla="val -38608"/>
            <a:gd name="adj2" fmla="val 426666"/>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10594</xdr:colOff>
      <xdr:row>126</xdr:row>
      <xdr:rowOff>0</xdr:rowOff>
    </xdr:from>
    <xdr:to>
      <xdr:col>13</xdr:col>
      <xdr:colOff>10594</xdr:colOff>
      <xdr:row>132</xdr:row>
      <xdr:rowOff>0</xdr:rowOff>
    </xdr:to>
    <xdr:sp macro="" textlink="">
      <xdr:nvSpPr>
        <xdr:cNvPr id="182" name="正方形/長方形 181">
          <a:extLst>
            <a:ext uri="{FF2B5EF4-FFF2-40B4-BE49-F238E27FC236}">
              <a16:creationId xmlns:a16="http://schemas.microsoft.com/office/drawing/2014/main" id="{00000000-0008-0000-0200-0000B6000000}"/>
            </a:ext>
          </a:extLst>
        </xdr:cNvPr>
        <xdr:cNvSpPr/>
      </xdr:nvSpPr>
      <xdr:spPr>
        <a:xfrm>
          <a:off x="6254761" y="21336000"/>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endParaRPr kumimoji="1" lang="en-US" altLang="ja-JP" sz="800">
            <a:solidFill>
              <a:sysClr val="windowText" lastClr="000000"/>
            </a:solidFill>
          </a:endParaRP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endParaRPr kumimoji="1" lang="en-US" altLang="ja-JP" sz="800">
            <a:solidFill>
              <a:sysClr val="windowText" lastClr="000000"/>
            </a:solidFill>
          </a:endParaRPr>
        </a:p>
        <a:p>
          <a:pPr algn="l"/>
          <a:r>
            <a:rPr kumimoji="1" lang="ja-JP" altLang="en-US" sz="800">
              <a:solidFill>
                <a:sysClr val="windowText" lastClr="000000"/>
              </a:solidFill>
            </a:rPr>
            <a:t>・用役管理システム</a:t>
          </a:r>
          <a:endParaRPr kumimoji="1" lang="en-US" altLang="ja-JP" sz="800">
            <a:solidFill>
              <a:sysClr val="windowText" lastClr="000000"/>
            </a:solidFill>
          </a:endParaRPr>
        </a:p>
      </xdr:txBody>
    </xdr:sp>
    <xdr:clientData/>
  </xdr:twoCellAnchor>
  <xdr:twoCellAnchor>
    <xdr:from>
      <xdr:col>13</xdr:col>
      <xdr:colOff>10594</xdr:colOff>
      <xdr:row>126</xdr:row>
      <xdr:rowOff>0</xdr:rowOff>
    </xdr:from>
    <xdr:to>
      <xdr:col>16</xdr:col>
      <xdr:colOff>10594</xdr:colOff>
      <xdr:row>132</xdr:row>
      <xdr:rowOff>0</xdr:rowOff>
    </xdr:to>
    <xdr:sp macro="" textlink="">
      <xdr:nvSpPr>
        <xdr:cNvPr id="183" name="正方形/長方形 182">
          <a:extLst>
            <a:ext uri="{FF2B5EF4-FFF2-40B4-BE49-F238E27FC236}">
              <a16:creationId xmlns:a16="http://schemas.microsoft.com/office/drawing/2014/main" id="{00000000-0008-0000-0200-0000B7000000}"/>
            </a:ext>
          </a:extLst>
        </xdr:cNvPr>
        <xdr:cNvSpPr/>
      </xdr:nvSpPr>
      <xdr:spPr>
        <a:xfrm>
          <a:off x="8128011" y="21336000"/>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p>
        <a:p>
          <a:pPr algn="l"/>
          <a:r>
            <a:rPr kumimoji="1" lang="ja-JP" altLang="en-US" sz="800">
              <a:solidFill>
                <a:sysClr val="windowText" lastClr="000000"/>
              </a:solidFill>
            </a:rPr>
            <a:t>・用役管理システム</a:t>
          </a:r>
        </a:p>
      </xdr:txBody>
    </xdr:sp>
    <xdr:clientData/>
  </xdr:twoCellAnchor>
  <xdr:twoCellAnchor>
    <xdr:from>
      <xdr:col>11</xdr:col>
      <xdr:colOff>129660</xdr:colOff>
      <xdr:row>138</xdr:row>
      <xdr:rowOff>35719</xdr:rowOff>
    </xdr:from>
    <xdr:to>
      <xdr:col>12</xdr:col>
      <xdr:colOff>10598</xdr:colOff>
      <xdr:row>141</xdr:row>
      <xdr:rowOff>142877</xdr:rowOff>
    </xdr:to>
    <xdr:cxnSp macro="">
      <xdr:nvCxnSpPr>
        <xdr:cNvPr id="184" name="カギ線コネクタ 183">
          <a:extLst>
            <a:ext uri="{FF2B5EF4-FFF2-40B4-BE49-F238E27FC236}">
              <a16:creationId xmlns:a16="http://schemas.microsoft.com/office/drawing/2014/main" id="{00000000-0008-0000-0200-0000B8000000}"/>
            </a:ext>
          </a:extLst>
        </xdr:cNvPr>
        <xdr:cNvCxnSpPr>
          <a:stCxn id="185" idx="1"/>
        </xdr:cNvCxnSpPr>
      </xdr:nvCxnSpPr>
      <xdr:spPr>
        <a:xfrm rot="10800000">
          <a:off x="6998243" y="23403719"/>
          <a:ext cx="505355" cy="615158"/>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10597</xdr:colOff>
      <xdr:row>141</xdr:row>
      <xdr:rowOff>3</xdr:rowOff>
    </xdr:from>
    <xdr:to>
      <xdr:col>15</xdr:col>
      <xdr:colOff>116417</xdr:colOff>
      <xdr:row>142</xdr:row>
      <xdr:rowOff>116418</xdr:rowOff>
    </xdr:to>
    <xdr:sp macro="" textlink="">
      <xdr:nvSpPr>
        <xdr:cNvPr id="185" name="正方形/長方形 184">
          <a:extLst>
            <a:ext uri="{FF2B5EF4-FFF2-40B4-BE49-F238E27FC236}">
              <a16:creationId xmlns:a16="http://schemas.microsoft.com/office/drawing/2014/main" id="{00000000-0008-0000-0200-0000B9000000}"/>
            </a:ext>
          </a:extLst>
        </xdr:cNvPr>
        <xdr:cNvSpPr/>
      </xdr:nvSpPr>
      <xdr:spPr>
        <a:xfrm>
          <a:off x="7503597" y="23876003"/>
          <a:ext cx="1979070" cy="285748"/>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a:t>
          </a:r>
          <a:r>
            <a:rPr kumimoji="1" lang="en-US" altLang="ja-JP" sz="1100">
              <a:solidFill>
                <a:sysClr val="windowText" lastClr="000000"/>
              </a:solidFill>
            </a:rPr>
            <a:t>IRIS</a:t>
          </a:r>
          <a:r>
            <a:rPr kumimoji="1" lang="ja-JP" altLang="en-US" sz="1100">
              <a:solidFill>
                <a:sysClr val="windowText" lastClr="000000"/>
              </a:solidFill>
            </a:rPr>
            <a:t>操業品質管理</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xdr:txBody>
    </xdr:sp>
    <xdr:clientData/>
  </xdr:twoCellAnchor>
  <xdr:twoCellAnchor>
    <xdr:from>
      <xdr:col>2</xdr:col>
      <xdr:colOff>182044</xdr:colOff>
      <xdr:row>140</xdr:row>
      <xdr:rowOff>19050</xdr:rowOff>
    </xdr:from>
    <xdr:to>
      <xdr:col>2</xdr:col>
      <xdr:colOff>182044</xdr:colOff>
      <xdr:row>141</xdr:row>
      <xdr:rowOff>133351</xdr:rowOff>
    </xdr:to>
    <xdr:cxnSp macro="">
      <xdr:nvCxnSpPr>
        <xdr:cNvPr id="186" name="直線矢印コネクタ 185">
          <a:extLst>
            <a:ext uri="{FF2B5EF4-FFF2-40B4-BE49-F238E27FC236}">
              <a16:creationId xmlns:a16="http://schemas.microsoft.com/office/drawing/2014/main" id="{00000000-0008-0000-0200-0000BA000000}"/>
            </a:ext>
          </a:extLst>
        </xdr:cNvPr>
        <xdr:cNvCxnSpPr/>
      </xdr:nvCxnSpPr>
      <xdr:spPr>
        <a:xfrm flipV="1">
          <a:off x="1430877" y="23725717"/>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508275</xdr:colOff>
      <xdr:row>141</xdr:row>
      <xdr:rowOff>90488</xdr:rowOff>
    </xdr:from>
    <xdr:to>
      <xdr:col>9</xdr:col>
      <xdr:colOff>184425</xdr:colOff>
      <xdr:row>141</xdr:row>
      <xdr:rowOff>90489</xdr:rowOff>
    </xdr:to>
    <xdr:cxnSp macro="">
      <xdr:nvCxnSpPr>
        <xdr:cNvPr id="187" name="直線矢印コネクタ 186">
          <a:extLst>
            <a:ext uri="{FF2B5EF4-FFF2-40B4-BE49-F238E27FC236}">
              <a16:creationId xmlns:a16="http://schemas.microsoft.com/office/drawing/2014/main" id="{00000000-0008-0000-0200-0000BB000000}"/>
            </a:ext>
          </a:extLst>
        </xdr:cNvPr>
        <xdr:cNvCxnSpPr/>
      </xdr:nvCxnSpPr>
      <xdr:spPr>
        <a:xfrm flipH="1">
          <a:off x="5503608" y="23966488"/>
          <a:ext cx="300567"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210619</xdr:colOff>
      <xdr:row>153</xdr:row>
      <xdr:rowOff>28575</xdr:rowOff>
    </xdr:from>
    <xdr:to>
      <xdr:col>6</xdr:col>
      <xdr:colOff>210619</xdr:colOff>
      <xdr:row>154</xdr:row>
      <xdr:rowOff>142877</xdr:rowOff>
    </xdr:to>
    <xdr:cxnSp macro="">
      <xdr:nvCxnSpPr>
        <xdr:cNvPr id="188" name="直線矢印コネクタ 187">
          <a:extLst>
            <a:ext uri="{FF2B5EF4-FFF2-40B4-BE49-F238E27FC236}">
              <a16:creationId xmlns:a16="http://schemas.microsoft.com/office/drawing/2014/main" id="{00000000-0008-0000-0200-0000BC000000}"/>
            </a:ext>
          </a:extLst>
        </xdr:cNvPr>
        <xdr:cNvCxnSpPr/>
      </xdr:nvCxnSpPr>
      <xdr:spPr>
        <a:xfrm flipV="1">
          <a:off x="3957119" y="25936575"/>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20118</xdr:colOff>
      <xdr:row>140</xdr:row>
      <xdr:rowOff>14287</xdr:rowOff>
    </xdr:from>
    <xdr:to>
      <xdr:col>11</xdr:col>
      <xdr:colOff>20118</xdr:colOff>
      <xdr:row>141</xdr:row>
      <xdr:rowOff>133351</xdr:rowOff>
    </xdr:to>
    <xdr:cxnSp macro="">
      <xdr:nvCxnSpPr>
        <xdr:cNvPr id="189" name="直線矢印コネクタ 188">
          <a:extLst>
            <a:ext uri="{FF2B5EF4-FFF2-40B4-BE49-F238E27FC236}">
              <a16:creationId xmlns:a16="http://schemas.microsoft.com/office/drawing/2014/main" id="{00000000-0008-0000-0200-0000BD000000}"/>
            </a:ext>
          </a:extLst>
        </xdr:cNvPr>
        <xdr:cNvCxnSpPr/>
      </xdr:nvCxnSpPr>
      <xdr:spPr>
        <a:xfrm flipV="1">
          <a:off x="6888701" y="23720954"/>
          <a:ext cx="0" cy="288397"/>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508276</xdr:colOff>
      <xdr:row>152</xdr:row>
      <xdr:rowOff>76200</xdr:rowOff>
    </xdr:from>
    <xdr:to>
      <xdr:col>9</xdr:col>
      <xdr:colOff>184426</xdr:colOff>
      <xdr:row>152</xdr:row>
      <xdr:rowOff>76201</xdr:rowOff>
    </xdr:to>
    <xdr:cxnSp macro="">
      <xdr:nvCxnSpPr>
        <xdr:cNvPr id="190" name="直線矢印コネクタ 189">
          <a:extLst>
            <a:ext uri="{FF2B5EF4-FFF2-40B4-BE49-F238E27FC236}">
              <a16:creationId xmlns:a16="http://schemas.microsoft.com/office/drawing/2014/main" id="{00000000-0008-0000-0200-0000BE000000}"/>
            </a:ext>
          </a:extLst>
        </xdr:cNvPr>
        <xdr:cNvCxnSpPr/>
      </xdr:nvCxnSpPr>
      <xdr:spPr>
        <a:xfrm flipH="1">
          <a:off x="5503609" y="25814867"/>
          <a:ext cx="300567"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110606</xdr:colOff>
      <xdr:row>152</xdr:row>
      <xdr:rowOff>76200</xdr:rowOff>
    </xdr:from>
    <xdr:to>
      <xdr:col>12</xdr:col>
      <xdr:colOff>472556</xdr:colOff>
      <xdr:row>152</xdr:row>
      <xdr:rowOff>76201</xdr:rowOff>
    </xdr:to>
    <xdr:cxnSp macro="">
      <xdr:nvCxnSpPr>
        <xdr:cNvPr id="191" name="直線矢印コネクタ 190">
          <a:extLst>
            <a:ext uri="{FF2B5EF4-FFF2-40B4-BE49-F238E27FC236}">
              <a16:creationId xmlns:a16="http://schemas.microsoft.com/office/drawing/2014/main" id="{00000000-0008-0000-0200-0000BF000000}"/>
            </a:ext>
          </a:extLst>
        </xdr:cNvPr>
        <xdr:cNvCxnSpPr/>
      </xdr:nvCxnSpPr>
      <xdr:spPr>
        <a:xfrm flipH="1">
          <a:off x="7603606" y="25814867"/>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187240</xdr:colOff>
      <xdr:row>160</xdr:row>
      <xdr:rowOff>162793</xdr:rowOff>
    </xdr:from>
    <xdr:to>
      <xdr:col>15</xdr:col>
      <xdr:colOff>192435</xdr:colOff>
      <xdr:row>163</xdr:row>
      <xdr:rowOff>8660</xdr:rowOff>
    </xdr:to>
    <xdr:cxnSp macro="">
      <xdr:nvCxnSpPr>
        <xdr:cNvPr id="192" name="直線矢印コネクタ 191">
          <a:extLst>
            <a:ext uri="{FF2B5EF4-FFF2-40B4-BE49-F238E27FC236}">
              <a16:creationId xmlns:a16="http://schemas.microsoft.com/office/drawing/2014/main" id="{00000000-0008-0000-0200-0000C0000000}"/>
            </a:ext>
          </a:extLst>
        </xdr:cNvPr>
        <xdr:cNvCxnSpPr/>
      </xdr:nvCxnSpPr>
      <xdr:spPr>
        <a:xfrm flipH="1" flipV="1">
          <a:off x="9553490" y="27256126"/>
          <a:ext cx="5195" cy="353867"/>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201094</xdr:colOff>
      <xdr:row>140</xdr:row>
      <xdr:rowOff>19050</xdr:rowOff>
    </xdr:from>
    <xdr:to>
      <xdr:col>6</xdr:col>
      <xdr:colOff>201094</xdr:colOff>
      <xdr:row>141</xdr:row>
      <xdr:rowOff>133351</xdr:rowOff>
    </xdr:to>
    <xdr:cxnSp macro="">
      <xdr:nvCxnSpPr>
        <xdr:cNvPr id="193" name="直線矢印コネクタ 192">
          <a:extLst>
            <a:ext uri="{FF2B5EF4-FFF2-40B4-BE49-F238E27FC236}">
              <a16:creationId xmlns:a16="http://schemas.microsoft.com/office/drawing/2014/main" id="{00000000-0008-0000-0200-0000C1000000}"/>
            </a:ext>
          </a:extLst>
        </xdr:cNvPr>
        <xdr:cNvCxnSpPr/>
      </xdr:nvCxnSpPr>
      <xdr:spPr>
        <a:xfrm flipV="1">
          <a:off x="3947594" y="23725717"/>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343969</xdr:colOff>
      <xdr:row>124</xdr:row>
      <xdr:rowOff>76201</xdr:rowOff>
    </xdr:from>
    <xdr:to>
      <xdr:col>12</xdr:col>
      <xdr:colOff>20119</xdr:colOff>
      <xdr:row>124</xdr:row>
      <xdr:rowOff>76202</xdr:rowOff>
    </xdr:to>
    <xdr:cxnSp macro="">
      <xdr:nvCxnSpPr>
        <xdr:cNvPr id="194" name="直線矢印コネクタ 193">
          <a:extLst>
            <a:ext uri="{FF2B5EF4-FFF2-40B4-BE49-F238E27FC236}">
              <a16:creationId xmlns:a16="http://schemas.microsoft.com/office/drawing/2014/main" id="{00000000-0008-0000-0200-0000C2000000}"/>
            </a:ext>
          </a:extLst>
        </xdr:cNvPr>
        <xdr:cNvCxnSpPr/>
      </xdr:nvCxnSpPr>
      <xdr:spPr>
        <a:xfrm flipH="1">
          <a:off x="7212552" y="21073534"/>
          <a:ext cx="300567"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10594</xdr:colOff>
      <xdr:row>134</xdr:row>
      <xdr:rowOff>0</xdr:rowOff>
    </xdr:from>
    <xdr:to>
      <xdr:col>10</xdr:col>
      <xdr:colOff>29644</xdr:colOff>
      <xdr:row>134</xdr:row>
      <xdr:rowOff>0</xdr:rowOff>
    </xdr:to>
    <xdr:cxnSp macro="">
      <xdr:nvCxnSpPr>
        <xdr:cNvPr id="195" name="直線コネクタ 194">
          <a:extLst>
            <a:ext uri="{FF2B5EF4-FFF2-40B4-BE49-F238E27FC236}">
              <a16:creationId xmlns:a16="http://schemas.microsoft.com/office/drawing/2014/main" id="{00000000-0008-0000-0200-0000C3000000}"/>
            </a:ext>
          </a:extLst>
        </xdr:cNvPr>
        <xdr:cNvCxnSpPr/>
      </xdr:nvCxnSpPr>
      <xdr:spPr>
        <a:xfrm>
          <a:off x="5005927" y="22690667"/>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505894</xdr:colOff>
      <xdr:row>130</xdr:row>
      <xdr:rowOff>76201</xdr:rowOff>
    </xdr:from>
    <xdr:to>
      <xdr:col>9</xdr:col>
      <xdr:colOff>182044</xdr:colOff>
      <xdr:row>130</xdr:row>
      <xdr:rowOff>76202</xdr:rowOff>
    </xdr:to>
    <xdr:cxnSp macro="">
      <xdr:nvCxnSpPr>
        <xdr:cNvPr id="196" name="直線矢印コネクタ 195">
          <a:extLst>
            <a:ext uri="{FF2B5EF4-FFF2-40B4-BE49-F238E27FC236}">
              <a16:creationId xmlns:a16="http://schemas.microsoft.com/office/drawing/2014/main" id="{00000000-0008-0000-0200-0000C4000000}"/>
            </a:ext>
          </a:extLst>
        </xdr:cNvPr>
        <xdr:cNvCxnSpPr/>
      </xdr:nvCxnSpPr>
      <xdr:spPr>
        <a:xfrm flipH="1">
          <a:off x="5501227" y="22089534"/>
          <a:ext cx="300567" cy="1"/>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505894</xdr:colOff>
      <xdr:row>134</xdr:row>
      <xdr:rowOff>95250</xdr:rowOff>
    </xdr:from>
    <xdr:to>
      <xdr:col>9</xdr:col>
      <xdr:colOff>182044</xdr:colOff>
      <xdr:row>134</xdr:row>
      <xdr:rowOff>95251</xdr:rowOff>
    </xdr:to>
    <xdr:cxnSp macro="">
      <xdr:nvCxnSpPr>
        <xdr:cNvPr id="197" name="直線矢印コネクタ 196">
          <a:extLst>
            <a:ext uri="{FF2B5EF4-FFF2-40B4-BE49-F238E27FC236}">
              <a16:creationId xmlns:a16="http://schemas.microsoft.com/office/drawing/2014/main" id="{00000000-0008-0000-0200-0000C5000000}"/>
            </a:ext>
          </a:extLst>
        </xdr:cNvPr>
        <xdr:cNvCxnSpPr/>
      </xdr:nvCxnSpPr>
      <xdr:spPr>
        <a:xfrm flipH="1">
          <a:off x="5501227" y="22785917"/>
          <a:ext cx="300567" cy="1"/>
        </a:xfrm>
        <a:prstGeom prst="straightConnector1">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201094</xdr:colOff>
      <xdr:row>128</xdr:row>
      <xdr:rowOff>28575</xdr:rowOff>
    </xdr:from>
    <xdr:to>
      <xdr:col>6</xdr:col>
      <xdr:colOff>201094</xdr:colOff>
      <xdr:row>129</xdr:row>
      <xdr:rowOff>142876</xdr:rowOff>
    </xdr:to>
    <xdr:cxnSp macro="">
      <xdr:nvCxnSpPr>
        <xdr:cNvPr id="198" name="直線矢印コネクタ 197">
          <a:extLst>
            <a:ext uri="{FF2B5EF4-FFF2-40B4-BE49-F238E27FC236}">
              <a16:creationId xmlns:a16="http://schemas.microsoft.com/office/drawing/2014/main" id="{00000000-0008-0000-0200-0000C6000000}"/>
            </a:ext>
          </a:extLst>
        </xdr:cNvPr>
        <xdr:cNvCxnSpPr/>
      </xdr:nvCxnSpPr>
      <xdr:spPr>
        <a:xfrm flipV="1">
          <a:off x="3947594" y="21703242"/>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182044</xdr:colOff>
      <xdr:row>128</xdr:row>
      <xdr:rowOff>19050</xdr:rowOff>
    </xdr:from>
    <xdr:to>
      <xdr:col>2</xdr:col>
      <xdr:colOff>182044</xdr:colOff>
      <xdr:row>129</xdr:row>
      <xdr:rowOff>133351</xdr:rowOff>
    </xdr:to>
    <xdr:cxnSp macro="">
      <xdr:nvCxnSpPr>
        <xdr:cNvPr id="199" name="直線矢印コネクタ 198">
          <a:extLst>
            <a:ext uri="{FF2B5EF4-FFF2-40B4-BE49-F238E27FC236}">
              <a16:creationId xmlns:a16="http://schemas.microsoft.com/office/drawing/2014/main" id="{00000000-0008-0000-0200-0000C7000000}"/>
            </a:ext>
          </a:extLst>
        </xdr:cNvPr>
        <xdr:cNvCxnSpPr/>
      </xdr:nvCxnSpPr>
      <xdr:spPr>
        <a:xfrm flipV="1">
          <a:off x="1430877" y="21693717"/>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201094</xdr:colOff>
      <xdr:row>160</xdr:row>
      <xdr:rowOff>28576</xdr:rowOff>
    </xdr:from>
    <xdr:to>
      <xdr:col>8</xdr:col>
      <xdr:colOff>201094</xdr:colOff>
      <xdr:row>161</xdr:row>
      <xdr:rowOff>142876</xdr:rowOff>
    </xdr:to>
    <xdr:cxnSp macro="">
      <xdr:nvCxnSpPr>
        <xdr:cNvPr id="200" name="直線矢印コネクタ 199">
          <a:extLst>
            <a:ext uri="{FF2B5EF4-FFF2-40B4-BE49-F238E27FC236}">
              <a16:creationId xmlns:a16="http://schemas.microsoft.com/office/drawing/2014/main" id="{00000000-0008-0000-0200-0000C8000000}"/>
            </a:ext>
          </a:extLst>
        </xdr:cNvPr>
        <xdr:cNvCxnSpPr/>
      </xdr:nvCxnSpPr>
      <xdr:spPr>
        <a:xfrm flipV="1">
          <a:off x="5196427" y="27121909"/>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182044</xdr:colOff>
      <xdr:row>160</xdr:row>
      <xdr:rowOff>76201</xdr:rowOff>
    </xdr:from>
    <xdr:to>
      <xdr:col>6</xdr:col>
      <xdr:colOff>543994</xdr:colOff>
      <xdr:row>160</xdr:row>
      <xdr:rowOff>76202</xdr:rowOff>
    </xdr:to>
    <xdr:cxnSp macro="">
      <xdr:nvCxnSpPr>
        <xdr:cNvPr id="201" name="直線矢印コネクタ 200">
          <a:extLst>
            <a:ext uri="{FF2B5EF4-FFF2-40B4-BE49-F238E27FC236}">
              <a16:creationId xmlns:a16="http://schemas.microsoft.com/office/drawing/2014/main" id="{00000000-0008-0000-0200-0000C9000000}"/>
            </a:ext>
          </a:extLst>
        </xdr:cNvPr>
        <xdr:cNvCxnSpPr/>
      </xdr:nvCxnSpPr>
      <xdr:spPr>
        <a:xfrm flipH="1">
          <a:off x="3928544" y="27169534"/>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172519</xdr:colOff>
      <xdr:row>160</xdr:row>
      <xdr:rowOff>76201</xdr:rowOff>
    </xdr:from>
    <xdr:to>
      <xdr:col>10</xdr:col>
      <xdr:colOff>534469</xdr:colOff>
      <xdr:row>160</xdr:row>
      <xdr:rowOff>76202</xdr:rowOff>
    </xdr:to>
    <xdr:cxnSp macro="">
      <xdr:nvCxnSpPr>
        <xdr:cNvPr id="202" name="直線矢印コネクタ 201">
          <a:extLst>
            <a:ext uri="{FF2B5EF4-FFF2-40B4-BE49-F238E27FC236}">
              <a16:creationId xmlns:a16="http://schemas.microsoft.com/office/drawing/2014/main" id="{00000000-0008-0000-0200-0000CA000000}"/>
            </a:ext>
          </a:extLst>
        </xdr:cNvPr>
        <xdr:cNvCxnSpPr/>
      </xdr:nvCxnSpPr>
      <xdr:spPr>
        <a:xfrm flipH="1">
          <a:off x="6416686" y="27169534"/>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291581</xdr:colOff>
      <xdr:row>149</xdr:row>
      <xdr:rowOff>130969</xdr:rowOff>
    </xdr:from>
    <xdr:to>
      <xdr:col>8</xdr:col>
      <xdr:colOff>13240</xdr:colOff>
      <xdr:row>151</xdr:row>
      <xdr:rowOff>146972</xdr:rowOff>
    </xdr:to>
    <xdr:sp macro="" textlink="">
      <xdr:nvSpPr>
        <xdr:cNvPr id="203" name="円柱 202">
          <a:extLst>
            <a:ext uri="{FF2B5EF4-FFF2-40B4-BE49-F238E27FC236}">
              <a16:creationId xmlns:a16="http://schemas.microsoft.com/office/drawing/2014/main" id="{00000000-0008-0000-0200-0000CB000000}"/>
            </a:ext>
          </a:extLst>
        </xdr:cNvPr>
        <xdr:cNvSpPr/>
      </xdr:nvSpPr>
      <xdr:spPr>
        <a:xfrm>
          <a:off x="4662498" y="25361636"/>
          <a:ext cx="34607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15</xdr:col>
      <xdr:colOff>286819</xdr:colOff>
      <xdr:row>129</xdr:row>
      <xdr:rowOff>123825</xdr:rowOff>
    </xdr:from>
    <xdr:to>
      <xdr:col>16</xdr:col>
      <xdr:colOff>14827</xdr:colOff>
      <xdr:row>131</xdr:row>
      <xdr:rowOff>139827</xdr:rowOff>
    </xdr:to>
    <xdr:sp macro="" textlink="">
      <xdr:nvSpPr>
        <xdr:cNvPr id="204" name="円柱 203">
          <a:extLst>
            <a:ext uri="{FF2B5EF4-FFF2-40B4-BE49-F238E27FC236}">
              <a16:creationId xmlns:a16="http://schemas.microsoft.com/office/drawing/2014/main" id="{00000000-0008-0000-0200-0000CC000000}"/>
            </a:ext>
          </a:extLst>
        </xdr:cNvPr>
        <xdr:cNvSpPr/>
      </xdr:nvSpPr>
      <xdr:spPr>
        <a:xfrm>
          <a:off x="9653069" y="21967825"/>
          <a:ext cx="352425" cy="354669"/>
        </a:xfrm>
        <a:prstGeom prst="can">
          <a:avLst/>
        </a:prstGeom>
        <a:gradFill>
          <a:gsLst>
            <a:gs pos="50000">
              <a:schemeClr val="bg1">
                <a:lumMod val="75000"/>
              </a:schemeClr>
            </a:gs>
            <a:gs pos="50000">
              <a:schemeClr val="bg1">
                <a:lumMod val="75000"/>
              </a:schemeClr>
            </a:gs>
            <a:gs pos="50000">
              <a:schemeClr val="accent6"/>
            </a:gs>
          </a:gsLst>
          <a:lin ang="2700000" scaled="1"/>
        </a:gra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11</xdr:col>
      <xdr:colOff>334444</xdr:colOff>
      <xdr:row>128</xdr:row>
      <xdr:rowOff>150813</xdr:rowOff>
    </xdr:from>
    <xdr:to>
      <xdr:col>16</xdr:col>
      <xdr:colOff>324919</xdr:colOff>
      <xdr:row>146</xdr:row>
      <xdr:rowOff>8659</xdr:rowOff>
    </xdr:to>
    <xdr:grpSp>
      <xdr:nvGrpSpPr>
        <xdr:cNvPr id="205" name="グループ化 204">
          <a:extLst>
            <a:ext uri="{FF2B5EF4-FFF2-40B4-BE49-F238E27FC236}">
              <a16:creationId xmlns:a16="http://schemas.microsoft.com/office/drawing/2014/main" id="{00000000-0008-0000-0200-0000CD000000}"/>
            </a:ext>
          </a:extLst>
        </xdr:cNvPr>
        <xdr:cNvGrpSpPr/>
      </xdr:nvGrpSpPr>
      <xdr:grpSpPr>
        <a:xfrm>
          <a:off x="7144819" y="20877213"/>
          <a:ext cx="3086100" cy="2772496"/>
          <a:chOff x="7867650" y="1350963"/>
          <a:chExt cx="3419475" cy="2945528"/>
        </a:xfrm>
      </xdr:grpSpPr>
      <xdr:cxnSp macro="">
        <xdr:nvCxnSpPr>
          <xdr:cNvPr id="206" name="直線コネクタ 205">
            <a:extLst>
              <a:ext uri="{FF2B5EF4-FFF2-40B4-BE49-F238E27FC236}">
                <a16:creationId xmlns:a16="http://schemas.microsoft.com/office/drawing/2014/main" id="{00000000-0008-0000-0200-0000CE000000}"/>
              </a:ext>
            </a:extLst>
          </xdr:cNvPr>
          <xdr:cNvCxnSpPr/>
        </xdr:nvCxnSpPr>
        <xdr:spPr>
          <a:xfrm>
            <a:off x="10926280" y="1371600"/>
            <a:ext cx="314325"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207" name="直線コネクタ 206">
            <a:extLst>
              <a:ext uri="{FF2B5EF4-FFF2-40B4-BE49-F238E27FC236}">
                <a16:creationId xmlns:a16="http://schemas.microsoft.com/office/drawing/2014/main" id="{00000000-0008-0000-0200-0000CF000000}"/>
              </a:ext>
            </a:extLst>
          </xdr:cNvPr>
          <xdr:cNvCxnSpPr/>
        </xdr:nvCxnSpPr>
        <xdr:spPr>
          <a:xfrm>
            <a:off x="11277600" y="1350963"/>
            <a:ext cx="0" cy="278765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208" name="直線コネクタ 207">
            <a:extLst>
              <a:ext uri="{FF2B5EF4-FFF2-40B4-BE49-F238E27FC236}">
                <a16:creationId xmlns:a16="http://schemas.microsoft.com/office/drawing/2014/main" id="{00000000-0008-0000-0200-0000D0000000}"/>
              </a:ext>
            </a:extLst>
          </xdr:cNvPr>
          <xdr:cNvCxnSpPr/>
        </xdr:nvCxnSpPr>
        <xdr:spPr>
          <a:xfrm flipH="1">
            <a:off x="7867650" y="4114800"/>
            <a:ext cx="3419475"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209" name="直線コネクタ 208">
            <a:extLst>
              <a:ext uri="{FF2B5EF4-FFF2-40B4-BE49-F238E27FC236}">
                <a16:creationId xmlns:a16="http://schemas.microsoft.com/office/drawing/2014/main" id="{00000000-0008-0000-0200-0000D1000000}"/>
              </a:ext>
            </a:extLst>
          </xdr:cNvPr>
          <xdr:cNvCxnSpPr/>
        </xdr:nvCxnSpPr>
        <xdr:spPr>
          <a:xfrm>
            <a:off x="7867650" y="4086225"/>
            <a:ext cx="0" cy="210266"/>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14</xdr:col>
      <xdr:colOff>172519</xdr:colOff>
      <xdr:row>144</xdr:row>
      <xdr:rowOff>66675</xdr:rowOff>
    </xdr:from>
    <xdr:to>
      <xdr:col>14</xdr:col>
      <xdr:colOff>534469</xdr:colOff>
      <xdr:row>144</xdr:row>
      <xdr:rowOff>66676</xdr:rowOff>
    </xdr:to>
    <xdr:cxnSp macro="">
      <xdr:nvCxnSpPr>
        <xdr:cNvPr id="210" name="直線矢印コネクタ 209">
          <a:extLst>
            <a:ext uri="{FF2B5EF4-FFF2-40B4-BE49-F238E27FC236}">
              <a16:creationId xmlns:a16="http://schemas.microsoft.com/office/drawing/2014/main" id="{00000000-0008-0000-0200-0000D2000000}"/>
            </a:ext>
          </a:extLst>
        </xdr:cNvPr>
        <xdr:cNvCxnSpPr/>
      </xdr:nvCxnSpPr>
      <xdr:spPr>
        <a:xfrm flipH="1">
          <a:off x="8914352" y="24450675"/>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329684</xdr:colOff>
      <xdr:row>154</xdr:row>
      <xdr:rowOff>1</xdr:rowOff>
    </xdr:from>
    <xdr:to>
      <xdr:col>13</xdr:col>
      <xdr:colOff>332062</xdr:colOff>
      <xdr:row>159</xdr:row>
      <xdr:rowOff>154781</xdr:rowOff>
    </xdr:to>
    <xdr:sp macro="" textlink="">
      <xdr:nvSpPr>
        <xdr:cNvPr id="211" name="正方形/長方形 210">
          <a:extLst>
            <a:ext uri="{FF2B5EF4-FFF2-40B4-BE49-F238E27FC236}">
              <a16:creationId xmlns:a16="http://schemas.microsoft.com/office/drawing/2014/main" id="{00000000-0008-0000-0200-0000D3000000}"/>
            </a:ext>
          </a:extLst>
        </xdr:cNvPr>
        <xdr:cNvSpPr/>
      </xdr:nvSpPr>
      <xdr:spPr>
        <a:xfrm>
          <a:off x="6573851" y="26077334"/>
          <a:ext cx="1875628" cy="1001447"/>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ETS-R EAI</a:t>
          </a:r>
        </a:p>
        <a:p>
          <a:pPr algn="l"/>
          <a:r>
            <a:rPr kumimoji="1" lang="ja-JP" altLang="en-US" sz="1100">
              <a:solidFill>
                <a:sysClr val="windowText" lastClr="000000"/>
              </a:solidFill>
            </a:rPr>
            <a:t>・オフラスとの連携用</a:t>
          </a:r>
          <a:endParaRPr kumimoji="1" lang="en-US" altLang="ja-JP" sz="1100">
            <a:solidFill>
              <a:sysClr val="windowText" lastClr="000000"/>
            </a:solidFill>
          </a:endParaRPr>
        </a:p>
      </xdr:txBody>
    </xdr:sp>
    <xdr:clientData/>
  </xdr:twoCellAnchor>
  <xdr:twoCellAnchor>
    <xdr:from>
      <xdr:col>11</xdr:col>
      <xdr:colOff>287685</xdr:colOff>
      <xdr:row>149</xdr:row>
      <xdr:rowOff>129887</xdr:rowOff>
    </xdr:from>
    <xdr:to>
      <xdr:col>12</xdr:col>
      <xdr:colOff>15693</xdr:colOff>
      <xdr:row>151</xdr:row>
      <xdr:rowOff>145890</xdr:rowOff>
    </xdr:to>
    <xdr:sp macro="" textlink="">
      <xdr:nvSpPr>
        <xdr:cNvPr id="212" name="円柱 211">
          <a:extLst>
            <a:ext uri="{FF2B5EF4-FFF2-40B4-BE49-F238E27FC236}">
              <a16:creationId xmlns:a16="http://schemas.microsoft.com/office/drawing/2014/main" id="{00000000-0008-0000-0200-0000D4000000}"/>
            </a:ext>
          </a:extLst>
        </xdr:cNvPr>
        <xdr:cNvSpPr/>
      </xdr:nvSpPr>
      <xdr:spPr>
        <a:xfrm>
          <a:off x="7156268" y="25360554"/>
          <a:ext cx="35242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11</xdr:col>
      <xdr:colOff>46312</xdr:colOff>
      <xdr:row>152</xdr:row>
      <xdr:rowOff>0</xdr:rowOff>
    </xdr:from>
    <xdr:to>
      <xdr:col>11</xdr:col>
      <xdr:colOff>46312</xdr:colOff>
      <xdr:row>153</xdr:row>
      <xdr:rowOff>154781</xdr:rowOff>
    </xdr:to>
    <xdr:cxnSp macro="">
      <xdr:nvCxnSpPr>
        <xdr:cNvPr id="213" name="直線コネクタ 212">
          <a:extLst>
            <a:ext uri="{FF2B5EF4-FFF2-40B4-BE49-F238E27FC236}">
              <a16:creationId xmlns:a16="http://schemas.microsoft.com/office/drawing/2014/main" id="{00000000-0008-0000-0200-0000D5000000}"/>
            </a:ext>
          </a:extLst>
        </xdr:cNvPr>
        <xdr:cNvCxnSpPr/>
      </xdr:nvCxnSpPr>
      <xdr:spPr>
        <a:xfrm>
          <a:off x="6914895" y="25738667"/>
          <a:ext cx="0" cy="32411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591619</xdr:colOff>
      <xdr:row>152</xdr:row>
      <xdr:rowOff>16671</xdr:rowOff>
    </xdr:from>
    <xdr:to>
      <xdr:col>10</xdr:col>
      <xdr:colOff>591619</xdr:colOff>
      <xdr:row>153</xdr:row>
      <xdr:rowOff>130972</xdr:rowOff>
    </xdr:to>
    <xdr:cxnSp macro="">
      <xdr:nvCxnSpPr>
        <xdr:cNvPr id="214" name="直線矢印コネクタ 213">
          <a:extLst>
            <a:ext uri="{FF2B5EF4-FFF2-40B4-BE49-F238E27FC236}">
              <a16:creationId xmlns:a16="http://schemas.microsoft.com/office/drawing/2014/main" id="{00000000-0008-0000-0200-0000D6000000}"/>
            </a:ext>
          </a:extLst>
        </xdr:cNvPr>
        <xdr:cNvCxnSpPr/>
      </xdr:nvCxnSpPr>
      <xdr:spPr>
        <a:xfrm flipV="1">
          <a:off x="6835786" y="25755338"/>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427313</xdr:colOff>
      <xdr:row>151</xdr:row>
      <xdr:rowOff>154782</xdr:rowOff>
    </xdr:from>
    <xdr:to>
      <xdr:col>5</xdr:col>
      <xdr:colOff>427313</xdr:colOff>
      <xdr:row>157</xdr:row>
      <xdr:rowOff>1</xdr:rowOff>
    </xdr:to>
    <xdr:cxnSp macro="">
      <xdr:nvCxnSpPr>
        <xdr:cNvPr id="215" name="直線コネクタ 214">
          <a:extLst>
            <a:ext uri="{FF2B5EF4-FFF2-40B4-BE49-F238E27FC236}">
              <a16:creationId xmlns:a16="http://schemas.microsoft.com/office/drawing/2014/main" id="{00000000-0008-0000-0200-0000D7000000}"/>
            </a:ext>
          </a:extLst>
        </xdr:cNvPr>
        <xdr:cNvCxnSpPr/>
      </xdr:nvCxnSpPr>
      <xdr:spPr>
        <a:xfrm>
          <a:off x="3549396" y="25724115"/>
          <a:ext cx="0" cy="861219"/>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13240</xdr:colOff>
      <xdr:row>135</xdr:row>
      <xdr:rowOff>64293</xdr:rowOff>
    </xdr:from>
    <xdr:to>
      <xdr:col>8</xdr:col>
      <xdr:colOff>355875</xdr:colOff>
      <xdr:row>135</xdr:row>
      <xdr:rowOff>64293</xdr:rowOff>
    </xdr:to>
    <xdr:cxnSp macro="">
      <xdr:nvCxnSpPr>
        <xdr:cNvPr id="216" name="直線コネクタ 215">
          <a:extLst>
            <a:ext uri="{FF2B5EF4-FFF2-40B4-BE49-F238E27FC236}">
              <a16:creationId xmlns:a16="http://schemas.microsoft.com/office/drawing/2014/main" id="{00000000-0008-0000-0200-0000D8000000}"/>
            </a:ext>
          </a:extLst>
        </xdr:cNvPr>
        <xdr:cNvCxnSpPr/>
      </xdr:nvCxnSpPr>
      <xdr:spPr>
        <a:xfrm>
          <a:off x="5008573" y="22924293"/>
          <a:ext cx="342635"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570187</xdr:colOff>
      <xdr:row>137</xdr:row>
      <xdr:rowOff>83343</xdr:rowOff>
    </xdr:from>
    <xdr:to>
      <xdr:col>5</xdr:col>
      <xdr:colOff>21167</xdr:colOff>
      <xdr:row>139</xdr:row>
      <xdr:rowOff>42334</xdr:rowOff>
    </xdr:to>
    <xdr:sp macro="" textlink="">
      <xdr:nvSpPr>
        <xdr:cNvPr id="217" name="正方形/長方形 216">
          <a:extLst>
            <a:ext uri="{FF2B5EF4-FFF2-40B4-BE49-F238E27FC236}">
              <a16:creationId xmlns:a16="http://schemas.microsoft.com/office/drawing/2014/main" id="{00000000-0008-0000-0200-0000D9000000}"/>
            </a:ext>
          </a:extLst>
        </xdr:cNvPr>
        <xdr:cNvSpPr/>
      </xdr:nvSpPr>
      <xdr:spPr>
        <a:xfrm>
          <a:off x="1819020" y="23282010"/>
          <a:ext cx="1324230" cy="297657"/>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オフラスとの連携</a:t>
          </a:r>
          <a:endParaRPr kumimoji="1" lang="en-US" altLang="ja-JP" sz="1100">
            <a:solidFill>
              <a:sysClr val="windowText" lastClr="000000"/>
            </a:solidFill>
          </a:endParaRPr>
        </a:p>
      </xdr:txBody>
    </xdr:sp>
    <xdr:clientData/>
  </xdr:twoCellAnchor>
  <xdr:twoCellAnchor>
    <xdr:from>
      <xdr:col>4</xdr:col>
      <xdr:colOff>332064</xdr:colOff>
      <xdr:row>133</xdr:row>
      <xdr:rowOff>1</xdr:rowOff>
    </xdr:from>
    <xdr:to>
      <xdr:col>5</xdr:col>
      <xdr:colOff>10595</xdr:colOff>
      <xdr:row>137</xdr:row>
      <xdr:rowOff>83343</xdr:rowOff>
    </xdr:to>
    <xdr:cxnSp macro="">
      <xdr:nvCxnSpPr>
        <xdr:cNvPr id="218" name="カギ線コネクタ 217">
          <a:extLst>
            <a:ext uri="{FF2B5EF4-FFF2-40B4-BE49-F238E27FC236}">
              <a16:creationId xmlns:a16="http://schemas.microsoft.com/office/drawing/2014/main" id="{00000000-0008-0000-0200-0000DA000000}"/>
            </a:ext>
          </a:extLst>
        </xdr:cNvPr>
        <xdr:cNvCxnSpPr>
          <a:endCxn id="156" idx="1"/>
        </xdr:cNvCxnSpPr>
      </xdr:nvCxnSpPr>
      <xdr:spPr>
        <a:xfrm rot="5400000" flipH="1" flipV="1">
          <a:off x="2600867" y="22750198"/>
          <a:ext cx="760676" cy="30294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448744</xdr:colOff>
      <xdr:row>134</xdr:row>
      <xdr:rowOff>40482</xdr:rowOff>
    </xdr:from>
    <xdr:to>
      <xdr:col>4</xdr:col>
      <xdr:colOff>448744</xdr:colOff>
      <xdr:row>135</xdr:row>
      <xdr:rowOff>154783</xdr:rowOff>
    </xdr:to>
    <xdr:cxnSp macro="">
      <xdr:nvCxnSpPr>
        <xdr:cNvPr id="219" name="直線矢印コネクタ 218">
          <a:extLst>
            <a:ext uri="{FF2B5EF4-FFF2-40B4-BE49-F238E27FC236}">
              <a16:creationId xmlns:a16="http://schemas.microsoft.com/office/drawing/2014/main" id="{00000000-0008-0000-0200-0000DB000000}"/>
            </a:ext>
          </a:extLst>
        </xdr:cNvPr>
        <xdr:cNvCxnSpPr/>
      </xdr:nvCxnSpPr>
      <xdr:spPr>
        <a:xfrm flipV="1">
          <a:off x="2946411" y="22731149"/>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12</xdr:colOff>
      <xdr:row>116</xdr:row>
      <xdr:rowOff>0</xdr:rowOff>
    </xdr:from>
    <xdr:to>
      <xdr:col>12</xdr:col>
      <xdr:colOff>613845</xdr:colOff>
      <xdr:row>118</xdr:row>
      <xdr:rowOff>148167</xdr:rowOff>
    </xdr:to>
    <xdr:sp macro="" textlink="">
      <xdr:nvSpPr>
        <xdr:cNvPr id="220" name="正方形/長方形 219">
          <a:extLst>
            <a:ext uri="{FF2B5EF4-FFF2-40B4-BE49-F238E27FC236}">
              <a16:creationId xmlns:a16="http://schemas.microsoft.com/office/drawing/2014/main" id="{00000000-0008-0000-0200-0000DC000000}"/>
            </a:ext>
          </a:extLst>
        </xdr:cNvPr>
        <xdr:cNvSpPr/>
      </xdr:nvSpPr>
      <xdr:spPr>
        <a:xfrm>
          <a:off x="624429" y="19642667"/>
          <a:ext cx="7482416" cy="486833"/>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chemeClr val="tx1"/>
              </a:solidFill>
            </a:rPr>
            <a:t>（２）</a:t>
          </a:r>
          <a:r>
            <a:rPr kumimoji="1" lang="en-US" altLang="ja-JP" sz="2400">
              <a:solidFill>
                <a:schemeClr val="tx1"/>
              </a:solidFill>
            </a:rPr>
            <a:t>Azure</a:t>
          </a:r>
          <a:r>
            <a:rPr kumimoji="1" lang="ja-JP" altLang="en-US" sz="2400">
              <a:solidFill>
                <a:schemeClr val="tx1"/>
              </a:solidFill>
            </a:rPr>
            <a:t>に構築される縮小版の共通基盤に移行</a:t>
          </a:r>
        </a:p>
      </xdr:txBody>
    </xdr:sp>
    <xdr:clientData/>
  </xdr:twoCellAnchor>
  <xdr:twoCellAnchor>
    <xdr:from>
      <xdr:col>14</xdr:col>
      <xdr:colOff>219075</xdr:colOff>
      <xdr:row>120</xdr:row>
      <xdr:rowOff>114300</xdr:rowOff>
    </xdr:from>
    <xdr:to>
      <xdr:col>18</xdr:col>
      <xdr:colOff>200025</xdr:colOff>
      <xdr:row>126</xdr:row>
      <xdr:rowOff>19050</xdr:rowOff>
    </xdr:to>
    <xdr:sp macro="" textlink="">
      <xdr:nvSpPr>
        <xdr:cNvPr id="75" name="四角形吹き出し 74">
          <a:extLst>
            <a:ext uri="{FF2B5EF4-FFF2-40B4-BE49-F238E27FC236}">
              <a16:creationId xmlns:a16="http://schemas.microsoft.com/office/drawing/2014/main" id="{00000000-0008-0000-0200-00004B000000}"/>
            </a:ext>
            <a:ext uri="{147F2762-F138-4A5C-976F-8EAC2B608ADB}">
              <a16:predDERef xmlns:a16="http://schemas.microsoft.com/office/drawing/2014/main" pred="{00000000-0008-0000-0200-0000DC000000}"/>
            </a:ext>
          </a:extLst>
        </xdr:cNvPr>
        <xdr:cNvSpPr/>
      </xdr:nvSpPr>
      <xdr:spPr>
        <a:xfrm>
          <a:off x="8886825" y="19545300"/>
          <a:ext cx="2457450" cy="876300"/>
        </a:xfrm>
        <a:prstGeom prst="wedgeRectCallout">
          <a:avLst/>
        </a:prstGeom>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ja-JP" altLang="en-US" sz="1100" b="0" i="0" u="none" strike="noStrike">
              <a:solidFill>
                <a:schemeClr val="lt1"/>
              </a:solidFill>
              <a:latin typeface="Calibri" panose="020F0502020204030204" pitchFamily="34" charset="0"/>
              <a:cs typeface="Calibri" panose="020F0502020204030204" pitchFamily="34" charset="0"/>
            </a:rPr>
            <a:t>個別で</a:t>
          </a:r>
          <a:r>
            <a:rPr lang="en-US" sz="1100" b="0" i="0" u="none" strike="noStrike">
              <a:solidFill>
                <a:schemeClr val="lt1"/>
              </a:solidFill>
              <a:latin typeface="Calibri" panose="020F0502020204030204" pitchFamily="34" charset="0"/>
              <a:cs typeface="Calibri" panose="020F0502020204030204" pitchFamily="34" charset="0"/>
            </a:rPr>
            <a:t>Oracle</a:t>
          </a:r>
          <a:r>
            <a:rPr lang="ja-JP" altLang="en-US" sz="1100" b="0" i="0" u="none" strike="noStrike">
              <a:solidFill>
                <a:schemeClr val="lt1"/>
              </a:solidFill>
              <a:latin typeface="Calibri" panose="020F0502020204030204" pitchFamily="34" charset="0"/>
              <a:cs typeface="Calibri" panose="020F0502020204030204" pitchFamily="34" charset="0"/>
            </a:rPr>
            <a:t>構築し、</a:t>
          </a:r>
        </a:p>
        <a:p>
          <a:pPr marL="0" indent="0" algn="l"/>
          <a:r>
            <a:rPr lang="en-US" sz="1100" b="0" i="0" u="none" strike="noStrike">
              <a:solidFill>
                <a:schemeClr val="lt1"/>
              </a:solidFill>
              <a:latin typeface="Calibri" panose="020F0502020204030204" pitchFamily="34" charset="0"/>
              <a:cs typeface="Calibri" panose="020F0502020204030204" pitchFamily="34" charset="0"/>
            </a:rPr>
            <a:t>DB</a:t>
          </a:r>
          <a:r>
            <a:rPr lang="ja-JP" altLang="en-US" sz="1100" b="0" i="0" u="none" strike="noStrike">
              <a:solidFill>
                <a:schemeClr val="lt1"/>
              </a:solidFill>
              <a:latin typeface="Calibri" panose="020F0502020204030204" pitchFamily="34" charset="0"/>
              <a:cs typeface="Calibri" panose="020F0502020204030204" pitchFamily="34" charset="0"/>
            </a:rPr>
            <a:t>のみ縮小共通基盤を利用しない</a:t>
          </a:r>
        </a:p>
        <a:p>
          <a:pPr marL="0" indent="0" algn="l"/>
          <a:r>
            <a:rPr lang="ja-JP" altLang="en-US" sz="1100" b="0" i="0" u="none" strike="noStrike">
              <a:solidFill>
                <a:schemeClr val="lt1"/>
              </a:solidFill>
              <a:latin typeface="Calibri" panose="020F0502020204030204" pitchFamily="34" charset="0"/>
              <a:cs typeface="Calibri" panose="020F0502020204030204" pitchFamily="34" charset="0"/>
            </a:rPr>
            <a:t>パターンも要検討</a:t>
          </a:r>
        </a:p>
      </xdr:txBody>
    </xdr:sp>
    <xdr:clientData/>
  </xdr:twoCellAnchor>
  <xdr:twoCellAnchor>
    <xdr:from>
      <xdr:col>18</xdr:col>
      <xdr:colOff>0</xdr:colOff>
      <xdr:row>16</xdr:row>
      <xdr:rowOff>1</xdr:rowOff>
    </xdr:from>
    <xdr:to>
      <xdr:col>21</xdr:col>
      <xdr:colOff>0</xdr:colOff>
      <xdr:row>22</xdr:row>
      <xdr:rowOff>1</xdr:rowOff>
    </xdr:to>
    <xdr:sp macro="" textlink="">
      <xdr:nvSpPr>
        <xdr:cNvPr id="226" name="正方形/長方形 225">
          <a:extLst>
            <a:ext uri="{FF2B5EF4-FFF2-40B4-BE49-F238E27FC236}">
              <a16:creationId xmlns:a16="http://schemas.microsoft.com/office/drawing/2014/main" id="{00000000-0008-0000-0200-0000E2000000}"/>
            </a:ext>
          </a:extLst>
        </xdr:cNvPr>
        <xdr:cNvSpPr/>
      </xdr:nvSpPr>
      <xdr:spPr>
        <a:xfrm>
          <a:off x="11049000" y="2709334"/>
          <a:ext cx="184150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千葉ヤード操業サーバ</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予備機</a:t>
          </a:r>
          <a:r>
            <a:rPr kumimoji="1" lang="en-US" altLang="ja-JP" sz="1100">
              <a:solidFill>
                <a:sysClr val="windowText" lastClr="000000"/>
              </a:solidFill>
            </a:rPr>
            <a:t>)</a:t>
          </a:r>
        </a:p>
        <a:p>
          <a:pPr algn="l"/>
          <a:r>
            <a:rPr kumimoji="1" lang="en-US" altLang="ja-JP" sz="1100">
              <a:solidFill>
                <a:sysClr val="windowText" lastClr="000000"/>
              </a:solidFill>
            </a:rPr>
            <a:t>10.240.2.92</a:t>
          </a:r>
        </a:p>
        <a:p>
          <a:pPr algn="l"/>
          <a:r>
            <a:rPr kumimoji="1" lang="ja-JP" altLang="en-US" sz="1100">
              <a:solidFill>
                <a:sysClr val="windowText" lastClr="000000"/>
              </a:solidFill>
            </a:rPr>
            <a:t>・千葉ヤード操業</a:t>
          </a:r>
          <a:endParaRPr kumimoji="1" lang="en-US" altLang="ja-JP" sz="1100">
            <a:solidFill>
              <a:sysClr val="windowText" lastClr="000000"/>
            </a:solidFill>
          </a:endParaRPr>
        </a:p>
      </xdr:txBody>
    </xdr:sp>
    <xdr:clientData/>
  </xdr:twoCellAnchor>
  <xdr:twoCellAnchor>
    <xdr:from>
      <xdr:col>18</xdr:col>
      <xdr:colOff>0</xdr:colOff>
      <xdr:row>74</xdr:row>
      <xdr:rowOff>84667</xdr:rowOff>
    </xdr:from>
    <xdr:to>
      <xdr:col>21</xdr:col>
      <xdr:colOff>0</xdr:colOff>
      <xdr:row>80</xdr:row>
      <xdr:rowOff>84667</xdr:rowOff>
    </xdr:to>
    <xdr:sp macro="" textlink="">
      <xdr:nvSpPr>
        <xdr:cNvPr id="227" name="正方形/長方形 226">
          <a:extLst>
            <a:ext uri="{FF2B5EF4-FFF2-40B4-BE49-F238E27FC236}">
              <a16:creationId xmlns:a16="http://schemas.microsoft.com/office/drawing/2014/main" id="{00000000-0008-0000-0200-0000E3000000}"/>
            </a:ext>
          </a:extLst>
        </xdr:cNvPr>
        <xdr:cNvSpPr/>
      </xdr:nvSpPr>
      <xdr:spPr>
        <a:xfrm>
          <a:off x="11049000" y="12615334"/>
          <a:ext cx="184150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千葉ヤード操業サーバ</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予備機</a:t>
          </a:r>
          <a:r>
            <a:rPr kumimoji="1" lang="en-US" altLang="ja-JP" sz="1100">
              <a:solidFill>
                <a:sysClr val="windowText" lastClr="000000"/>
              </a:solidFill>
            </a:rPr>
            <a:t>)</a:t>
          </a:r>
        </a:p>
        <a:p>
          <a:pPr algn="l"/>
          <a:r>
            <a:rPr kumimoji="1" lang="ja-JP" altLang="en-US" sz="1100">
              <a:solidFill>
                <a:sysClr val="windowText" lastClr="000000"/>
              </a:solidFill>
            </a:rPr>
            <a:t>・千葉ヤード操業</a:t>
          </a:r>
          <a:endParaRPr kumimoji="1" lang="en-US" altLang="ja-JP" sz="1100">
            <a:solidFill>
              <a:sysClr val="windowText" lastClr="000000"/>
            </a:solidFill>
          </a:endParaRPr>
        </a:p>
      </xdr:txBody>
    </xdr:sp>
    <xdr:clientData/>
  </xdr:twoCellAnchor>
  <xdr:twoCellAnchor>
    <xdr:from>
      <xdr:col>18</xdr:col>
      <xdr:colOff>0</xdr:colOff>
      <xdr:row>132</xdr:row>
      <xdr:rowOff>0</xdr:rowOff>
    </xdr:from>
    <xdr:to>
      <xdr:col>21</xdr:col>
      <xdr:colOff>0</xdr:colOff>
      <xdr:row>138</xdr:row>
      <xdr:rowOff>0</xdr:rowOff>
    </xdr:to>
    <xdr:sp macro="" textlink="">
      <xdr:nvSpPr>
        <xdr:cNvPr id="229" name="正方形/長方形 228">
          <a:extLst>
            <a:ext uri="{FF2B5EF4-FFF2-40B4-BE49-F238E27FC236}">
              <a16:creationId xmlns:a16="http://schemas.microsoft.com/office/drawing/2014/main" id="{00000000-0008-0000-0200-0000E5000000}"/>
            </a:ext>
          </a:extLst>
        </xdr:cNvPr>
        <xdr:cNvSpPr/>
      </xdr:nvSpPr>
      <xdr:spPr>
        <a:xfrm>
          <a:off x="11049000" y="22352000"/>
          <a:ext cx="184150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千葉ヤード操業サーバ</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予備機</a:t>
          </a:r>
          <a:r>
            <a:rPr kumimoji="1" lang="en-US" altLang="ja-JP" sz="1100">
              <a:solidFill>
                <a:sysClr val="windowText" lastClr="000000"/>
              </a:solidFill>
            </a:rPr>
            <a:t>)</a:t>
          </a:r>
        </a:p>
        <a:p>
          <a:pPr algn="l"/>
          <a:r>
            <a:rPr kumimoji="1" lang="ja-JP" altLang="en-US" sz="1100">
              <a:solidFill>
                <a:sysClr val="windowText" lastClr="000000"/>
              </a:solidFill>
            </a:rPr>
            <a:t>・千葉ヤード操業</a:t>
          </a:r>
          <a:endParaRPr kumimoji="1" lang="en-US" altLang="ja-JP" sz="1100">
            <a:solidFill>
              <a:sysClr val="windowText" lastClr="000000"/>
            </a:solidFill>
          </a:endParaRPr>
        </a:p>
      </xdr:txBody>
    </xdr:sp>
    <xdr:clientData/>
  </xdr:twoCellAnchor>
  <xdr:twoCellAnchor>
    <xdr:from>
      <xdr:col>20</xdr:col>
      <xdr:colOff>247650</xdr:colOff>
      <xdr:row>19</xdr:row>
      <xdr:rowOff>123825</xdr:rowOff>
    </xdr:from>
    <xdr:to>
      <xdr:col>20</xdr:col>
      <xdr:colOff>590550</xdr:colOff>
      <xdr:row>21</xdr:row>
      <xdr:rowOff>139827</xdr:rowOff>
    </xdr:to>
    <xdr:sp macro="" textlink="">
      <xdr:nvSpPr>
        <xdr:cNvPr id="82" name="Can 81">
          <a:extLst>
            <a:ext uri="{FF2B5EF4-FFF2-40B4-BE49-F238E27FC236}">
              <a16:creationId xmlns:a16="http://schemas.microsoft.com/office/drawing/2014/main" id="{5DB3981E-A136-4BFC-AEFE-44F92EDE149A}"/>
            </a:ext>
            <a:ext uri="{147F2762-F138-4A5C-976F-8EAC2B608ADB}">
              <a16:predDERef xmlns:a16="http://schemas.microsoft.com/office/drawing/2014/main" pred="{00000000-0008-0000-0200-0000E5000000}"/>
            </a:ext>
          </a:extLst>
        </xdr:cNvPr>
        <xdr:cNvSpPr/>
      </xdr:nvSpPr>
      <xdr:spPr>
        <a:xfrm>
          <a:off x="12630150" y="3200400"/>
          <a:ext cx="342900" cy="33985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ysClr val="windowText" lastClr="000000"/>
            </a:solidFill>
          </a:endParaRPr>
        </a:p>
      </xdr:txBody>
    </xdr:sp>
    <xdr:clientData/>
  </xdr:twoCellAnchor>
  <xdr:twoCellAnchor>
    <xdr:from>
      <xdr:col>20</xdr:col>
      <xdr:colOff>238125</xdr:colOff>
      <xdr:row>78</xdr:row>
      <xdr:rowOff>28575</xdr:rowOff>
    </xdr:from>
    <xdr:to>
      <xdr:col>20</xdr:col>
      <xdr:colOff>581025</xdr:colOff>
      <xdr:row>80</xdr:row>
      <xdr:rowOff>44577</xdr:rowOff>
    </xdr:to>
    <xdr:sp macro="" textlink="">
      <xdr:nvSpPr>
        <xdr:cNvPr id="149" name="Can 148">
          <a:extLst>
            <a:ext uri="{FF2B5EF4-FFF2-40B4-BE49-F238E27FC236}">
              <a16:creationId xmlns:a16="http://schemas.microsoft.com/office/drawing/2014/main" id="{B0F0C5DE-99D9-410B-B0DB-7698E982D8AB}"/>
            </a:ext>
            <a:ext uri="{147F2762-F138-4A5C-976F-8EAC2B608ADB}">
              <a16:predDERef xmlns:a16="http://schemas.microsoft.com/office/drawing/2014/main" pred="{5DB3981E-A136-4BFC-AEFE-44F92EDE149A}"/>
            </a:ext>
          </a:extLst>
        </xdr:cNvPr>
        <xdr:cNvSpPr/>
      </xdr:nvSpPr>
      <xdr:spPr>
        <a:xfrm>
          <a:off x="12620625" y="12658725"/>
          <a:ext cx="342900" cy="33985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ysClr val="windowText" lastClr="000000"/>
            </a:solidFill>
          </a:endParaRPr>
        </a:p>
      </xdr:txBody>
    </xdr:sp>
    <xdr:clientData/>
  </xdr:twoCellAnchor>
  <xdr:twoCellAnchor>
    <xdr:from>
      <xdr:col>20</xdr:col>
      <xdr:colOff>238125</xdr:colOff>
      <xdr:row>135</xdr:row>
      <xdr:rowOff>123825</xdr:rowOff>
    </xdr:from>
    <xdr:to>
      <xdr:col>20</xdr:col>
      <xdr:colOff>581025</xdr:colOff>
      <xdr:row>137</xdr:row>
      <xdr:rowOff>139827</xdr:rowOff>
    </xdr:to>
    <xdr:sp macro="" textlink="">
      <xdr:nvSpPr>
        <xdr:cNvPr id="153" name="Can 152">
          <a:extLst>
            <a:ext uri="{FF2B5EF4-FFF2-40B4-BE49-F238E27FC236}">
              <a16:creationId xmlns:a16="http://schemas.microsoft.com/office/drawing/2014/main" id="{D9FB2786-FC1F-4385-B25B-92A705A37BAC}"/>
            </a:ext>
            <a:ext uri="{147F2762-F138-4A5C-976F-8EAC2B608ADB}">
              <a16:predDERef xmlns:a16="http://schemas.microsoft.com/office/drawing/2014/main" pred="{B0F0C5DE-99D9-410B-B0DB-7698E982D8AB}"/>
            </a:ext>
          </a:extLst>
        </xdr:cNvPr>
        <xdr:cNvSpPr/>
      </xdr:nvSpPr>
      <xdr:spPr>
        <a:xfrm>
          <a:off x="12620625" y="21983700"/>
          <a:ext cx="342900" cy="33985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ysClr val="windowText" lastClr="00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345282</xdr:colOff>
      <xdr:row>58</xdr:row>
      <xdr:rowOff>0</xdr:rowOff>
    </xdr:from>
    <xdr:to>
      <xdr:col>22</xdr:col>
      <xdr:colOff>0</xdr:colOff>
      <xdr:row>82</xdr:row>
      <xdr:rowOff>2646</xdr:rowOff>
    </xdr:to>
    <xdr:sp macro="" textlink="">
      <xdr:nvSpPr>
        <xdr:cNvPr id="45" name="正方形/長方形 44">
          <a:extLst>
            <a:ext uri="{FF2B5EF4-FFF2-40B4-BE49-F238E27FC236}">
              <a16:creationId xmlns:a16="http://schemas.microsoft.com/office/drawing/2014/main" id="{00000000-0008-0000-0300-00002D000000}"/>
            </a:ext>
          </a:extLst>
        </xdr:cNvPr>
        <xdr:cNvSpPr/>
      </xdr:nvSpPr>
      <xdr:spPr>
        <a:xfrm>
          <a:off x="2800615" y="9821333"/>
          <a:ext cx="10703718" cy="4066646"/>
        </a:xfrm>
        <a:prstGeom prst="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391583</xdr:colOff>
      <xdr:row>69</xdr:row>
      <xdr:rowOff>84667</xdr:rowOff>
    </xdr:from>
    <xdr:to>
      <xdr:col>16</xdr:col>
      <xdr:colOff>148167</xdr:colOff>
      <xdr:row>76</xdr:row>
      <xdr:rowOff>80960</xdr:rowOff>
    </xdr:to>
    <xdr:sp macro="" textlink="">
      <xdr:nvSpPr>
        <xdr:cNvPr id="124" name="正方形/長方形 123">
          <a:extLst>
            <a:ext uri="{FF2B5EF4-FFF2-40B4-BE49-F238E27FC236}">
              <a16:creationId xmlns:a16="http://schemas.microsoft.com/office/drawing/2014/main" id="{00000000-0008-0000-0300-00007C000000}"/>
            </a:ext>
          </a:extLst>
        </xdr:cNvPr>
        <xdr:cNvSpPr/>
      </xdr:nvSpPr>
      <xdr:spPr>
        <a:xfrm>
          <a:off x="5916083" y="11768667"/>
          <a:ext cx="4053417" cy="1181626"/>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xdr:col>
      <xdr:colOff>345282</xdr:colOff>
      <xdr:row>27</xdr:row>
      <xdr:rowOff>11907</xdr:rowOff>
    </xdr:from>
    <xdr:to>
      <xdr:col>8</xdr:col>
      <xdr:colOff>333376</xdr:colOff>
      <xdr:row>42</xdr:row>
      <xdr:rowOff>23813</xdr:rowOff>
    </xdr:to>
    <xdr:sp macro="" textlink="">
      <xdr:nvSpPr>
        <xdr:cNvPr id="2" name="正方形/長方形 1">
          <a:extLst>
            <a:ext uri="{FF2B5EF4-FFF2-40B4-BE49-F238E27FC236}">
              <a16:creationId xmlns:a16="http://schemas.microsoft.com/office/drawing/2014/main" id="{00000000-0008-0000-0300-000002000000}"/>
            </a:ext>
          </a:extLst>
        </xdr:cNvPr>
        <xdr:cNvSpPr/>
      </xdr:nvSpPr>
      <xdr:spPr>
        <a:xfrm>
          <a:off x="2859882" y="4469607"/>
          <a:ext cx="2502694" cy="2488406"/>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xdr:colOff>
      <xdr:row>35</xdr:row>
      <xdr:rowOff>11904</xdr:rowOff>
    </xdr:from>
    <xdr:to>
      <xdr:col>8</xdr:col>
      <xdr:colOff>333375</xdr:colOff>
      <xdr:row>51</xdr:row>
      <xdr:rowOff>11905</xdr:rowOff>
    </xdr:to>
    <xdr:sp macro="" textlink="">
      <xdr:nvSpPr>
        <xdr:cNvPr id="3" name="正方形/長方形 2">
          <a:extLst>
            <a:ext uri="{FF2B5EF4-FFF2-40B4-BE49-F238E27FC236}">
              <a16:creationId xmlns:a16="http://schemas.microsoft.com/office/drawing/2014/main" id="{00000000-0008-0000-0300-000003000000}"/>
            </a:ext>
          </a:extLst>
        </xdr:cNvPr>
        <xdr:cNvSpPr/>
      </xdr:nvSpPr>
      <xdr:spPr>
        <a:xfrm>
          <a:off x="628649" y="5790404"/>
          <a:ext cx="4733926" cy="2641601"/>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345281</xdr:colOff>
      <xdr:row>2</xdr:row>
      <xdr:rowOff>166686</xdr:rowOff>
    </xdr:from>
    <xdr:to>
      <xdr:col>22</xdr:col>
      <xdr:colOff>21167</xdr:colOff>
      <xdr:row>26</xdr:row>
      <xdr:rowOff>162982</xdr:rowOff>
    </xdr:to>
    <xdr:sp macro="" textlink="">
      <xdr:nvSpPr>
        <xdr:cNvPr id="4" name="正方形/長方形 3">
          <a:extLst>
            <a:ext uri="{FF2B5EF4-FFF2-40B4-BE49-F238E27FC236}">
              <a16:creationId xmlns:a16="http://schemas.microsoft.com/office/drawing/2014/main" id="{00000000-0008-0000-0300-000004000000}"/>
            </a:ext>
          </a:extLst>
        </xdr:cNvPr>
        <xdr:cNvSpPr/>
      </xdr:nvSpPr>
      <xdr:spPr>
        <a:xfrm>
          <a:off x="2800614" y="505353"/>
          <a:ext cx="10724886" cy="4060296"/>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0</xdr:colOff>
      <xdr:row>4</xdr:row>
      <xdr:rowOff>0</xdr:rowOff>
    </xdr:from>
    <xdr:to>
      <xdr:col>8</xdr:col>
      <xdr:colOff>0</xdr:colOff>
      <xdr:row>10</xdr:row>
      <xdr:rowOff>0</xdr:rowOff>
    </xdr:to>
    <xdr:sp macro="" textlink="">
      <xdr:nvSpPr>
        <xdr:cNvPr id="5" name="正方形/長方形 4">
          <a:extLst>
            <a:ext uri="{FF2B5EF4-FFF2-40B4-BE49-F238E27FC236}">
              <a16:creationId xmlns:a16="http://schemas.microsoft.com/office/drawing/2014/main" id="{00000000-0008-0000-0300-000005000000}"/>
            </a:ext>
          </a:extLst>
        </xdr:cNvPr>
        <xdr:cNvSpPr/>
      </xdr:nvSpPr>
      <xdr:spPr>
        <a:xfrm>
          <a:off x="3143250" y="660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OneSAP</a:t>
          </a:r>
        </a:p>
        <a:p>
          <a:pPr algn="l"/>
          <a:endParaRPr kumimoji="1" lang="ja-JP" altLang="en-US" sz="1100">
            <a:solidFill>
              <a:sysClr val="windowText" lastClr="000000"/>
            </a:solidFill>
          </a:endParaRPr>
        </a:p>
      </xdr:txBody>
    </xdr:sp>
    <xdr:clientData/>
  </xdr:twoCellAnchor>
  <xdr:twoCellAnchor>
    <xdr:from>
      <xdr:col>5</xdr:col>
      <xdr:colOff>0</xdr:colOff>
      <xdr:row>12</xdr:row>
      <xdr:rowOff>0</xdr:rowOff>
    </xdr:from>
    <xdr:to>
      <xdr:col>8</xdr:col>
      <xdr:colOff>0</xdr:colOff>
      <xdr:row>18</xdr:row>
      <xdr:rowOff>0</xdr:rowOff>
    </xdr:to>
    <xdr:sp macro="" textlink="">
      <xdr:nvSpPr>
        <xdr:cNvPr id="6" name="正方形/長方形 5">
          <a:extLst>
            <a:ext uri="{FF2B5EF4-FFF2-40B4-BE49-F238E27FC236}">
              <a16:creationId xmlns:a16="http://schemas.microsoft.com/office/drawing/2014/main" id="{00000000-0008-0000-0300-000006000000}"/>
            </a:ext>
          </a:extLst>
        </xdr:cNvPr>
        <xdr:cNvSpPr/>
      </xdr:nvSpPr>
      <xdr:spPr>
        <a:xfrm>
          <a:off x="3143250" y="19812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連携</a:t>
          </a:r>
          <a:r>
            <a:rPr kumimoji="1" lang="en-US" altLang="ja-JP" sz="1100">
              <a:solidFill>
                <a:sysClr val="windowText" lastClr="000000"/>
              </a:solidFill>
            </a:rPr>
            <a:t>NAS</a:t>
          </a:r>
        </a:p>
        <a:p>
          <a:pPr algn="l"/>
          <a:r>
            <a:rPr kumimoji="1" lang="ja-JP" altLang="en-US" sz="1100">
              <a:solidFill>
                <a:sysClr val="windowText" lastClr="000000"/>
              </a:solidFill>
            </a:rPr>
            <a:t>・</a:t>
          </a:r>
          <a:r>
            <a:rPr kumimoji="1" lang="en-US" altLang="ja-JP" sz="1100">
              <a:solidFill>
                <a:sysClr val="windowText" lastClr="000000"/>
              </a:solidFill>
            </a:rPr>
            <a:t>SAP</a:t>
          </a:r>
          <a:r>
            <a:rPr kumimoji="1" lang="ja-JP" altLang="en-US" sz="1100">
              <a:solidFill>
                <a:sysClr val="windowText" lastClr="000000"/>
              </a:solidFill>
            </a:rPr>
            <a:t>とのファイル連携用</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5</xdr:col>
      <xdr:colOff>0</xdr:colOff>
      <xdr:row>28</xdr:row>
      <xdr:rowOff>0</xdr:rowOff>
    </xdr:from>
    <xdr:to>
      <xdr:col>8</xdr:col>
      <xdr:colOff>0</xdr:colOff>
      <xdr:row>34</xdr:row>
      <xdr:rowOff>0</xdr:rowOff>
    </xdr:to>
    <xdr:sp macro="" textlink="">
      <xdr:nvSpPr>
        <xdr:cNvPr id="7" name="正方形/長方形 6">
          <a:extLst>
            <a:ext uri="{FF2B5EF4-FFF2-40B4-BE49-F238E27FC236}">
              <a16:creationId xmlns:a16="http://schemas.microsoft.com/office/drawing/2014/main" id="{00000000-0008-0000-0300-000007000000}"/>
            </a:ext>
          </a:extLst>
        </xdr:cNvPr>
        <xdr:cNvSpPr/>
      </xdr:nvSpPr>
      <xdr:spPr>
        <a:xfrm>
          <a:off x="3143250" y="46228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徳山ヤード操業サーバ</a:t>
          </a:r>
          <a:endParaRPr kumimoji="1" lang="en-US" altLang="ja-JP" sz="1100">
            <a:solidFill>
              <a:sysClr val="windowText" lastClr="000000"/>
            </a:solidFill>
          </a:endParaRPr>
        </a:p>
        <a:p>
          <a:pPr algn="l"/>
          <a:r>
            <a:rPr kumimoji="1" lang="en-US" altLang="ja-JP" sz="1100">
              <a:solidFill>
                <a:sysClr val="windowText" lastClr="000000"/>
              </a:solidFill>
            </a:rPr>
            <a:t>150.92.61.16</a:t>
          </a: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PIMS</a:t>
          </a:r>
          <a:r>
            <a:rPr kumimoji="1" lang="ja-JP" altLang="en-US" sz="1100">
              <a:solidFill>
                <a:sysClr val="windowText" lastClr="000000"/>
              </a:solidFill>
            </a:rPr>
            <a:t>取込サービス</a:t>
          </a:r>
        </a:p>
      </xdr:txBody>
    </xdr:sp>
    <xdr:clientData/>
  </xdr:twoCellAnchor>
  <xdr:twoCellAnchor>
    <xdr:from>
      <xdr:col>5</xdr:col>
      <xdr:colOff>0</xdr:colOff>
      <xdr:row>36</xdr:row>
      <xdr:rowOff>0</xdr:rowOff>
    </xdr:from>
    <xdr:to>
      <xdr:col>8</xdr:col>
      <xdr:colOff>0</xdr:colOff>
      <xdr:row>42</xdr:row>
      <xdr:rowOff>0</xdr:rowOff>
    </xdr:to>
    <xdr:sp macro="" textlink="">
      <xdr:nvSpPr>
        <xdr:cNvPr id="8" name="正方形/長方形 7">
          <a:extLst>
            <a:ext uri="{FF2B5EF4-FFF2-40B4-BE49-F238E27FC236}">
              <a16:creationId xmlns:a16="http://schemas.microsoft.com/office/drawing/2014/main" id="{00000000-0008-0000-0300-000008000000}"/>
            </a:ext>
          </a:extLst>
        </xdr:cNvPr>
        <xdr:cNvSpPr/>
      </xdr:nvSpPr>
      <xdr:spPr>
        <a:xfrm>
          <a:off x="3143250" y="59436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徳山事業所</a:t>
          </a:r>
          <a:r>
            <a:rPr kumimoji="1" lang="en-US" altLang="ja-JP" sz="1100">
              <a:solidFill>
                <a:sysClr val="windowText" lastClr="000000"/>
              </a:solidFill>
            </a:rPr>
            <a:t>(</a:t>
          </a:r>
          <a:r>
            <a:rPr kumimoji="1" lang="ja-JP" altLang="en-US" sz="1100">
              <a:solidFill>
                <a:sysClr val="windowText" lastClr="000000"/>
              </a:solidFill>
            </a:rPr>
            <a:t>化学</a:t>
          </a:r>
          <a:r>
            <a:rPr kumimoji="1" lang="en-US" altLang="ja-JP" sz="1100">
              <a:solidFill>
                <a:sysClr val="windowText" lastClr="000000"/>
              </a:solidFill>
            </a:rPr>
            <a:t>)GW</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10.160.123.1</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L3</a:t>
          </a:r>
          <a:r>
            <a:rPr kumimoji="1" lang="ja-JP" altLang="ja-JP" sz="1100">
              <a:solidFill>
                <a:sysClr val="windowText" lastClr="000000"/>
              </a:solidFill>
              <a:effectLst/>
              <a:latin typeface="+mn-lt"/>
              <a:ea typeface="+mn-ea"/>
              <a:cs typeface="+mn-cs"/>
            </a:rPr>
            <a:t>層とのファイル連携用</a:t>
          </a:r>
          <a:endParaRPr lang="ja-JP" altLang="ja-JP">
            <a:solidFill>
              <a:sysClr val="windowText" lastClr="000000"/>
            </a:solidFill>
            <a:effectLst/>
          </a:endParaRPr>
        </a:p>
      </xdr:txBody>
    </xdr:sp>
    <xdr:clientData/>
  </xdr:twoCellAnchor>
  <xdr:twoCellAnchor>
    <xdr:from>
      <xdr:col>9</xdr:col>
      <xdr:colOff>0</xdr:colOff>
      <xdr:row>36</xdr:row>
      <xdr:rowOff>0</xdr:rowOff>
    </xdr:from>
    <xdr:to>
      <xdr:col>12</xdr:col>
      <xdr:colOff>0</xdr:colOff>
      <xdr:row>42</xdr:row>
      <xdr:rowOff>0</xdr:rowOff>
    </xdr:to>
    <xdr:sp macro="" textlink="">
      <xdr:nvSpPr>
        <xdr:cNvPr id="9" name="正方形/長方形 8">
          <a:extLst>
            <a:ext uri="{FF2B5EF4-FFF2-40B4-BE49-F238E27FC236}">
              <a16:creationId xmlns:a16="http://schemas.microsoft.com/office/drawing/2014/main" id="{00000000-0008-0000-0300-000009000000}"/>
            </a:ext>
          </a:extLst>
        </xdr:cNvPr>
        <xdr:cNvSpPr/>
      </xdr:nvSpPr>
      <xdr:spPr>
        <a:xfrm>
          <a:off x="5657850" y="59436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PIMS</a:t>
          </a:r>
          <a:r>
            <a:rPr kumimoji="1" lang="ja-JP" altLang="en-US" sz="1100">
              <a:solidFill>
                <a:sysClr val="windowText" lastClr="000000"/>
              </a:solidFill>
            </a:rPr>
            <a:t>サーバ</a:t>
          </a:r>
          <a:endParaRPr kumimoji="1" lang="en-US" altLang="ja-JP" sz="11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PHX</a:t>
          </a:r>
          <a:r>
            <a:rPr kumimoji="1" lang="ja-JP" altLang="ja-JP" sz="1100">
              <a:solidFill>
                <a:sysClr val="windowText" lastClr="000000"/>
              </a:solidFill>
              <a:effectLst/>
              <a:latin typeface="+mn-lt"/>
              <a:ea typeface="+mn-ea"/>
              <a:cs typeface="+mn-cs"/>
            </a:rPr>
            <a:t>データ取込元</a:t>
          </a:r>
          <a:endParaRPr lang="ja-JP" altLang="ja-JP">
            <a:solidFill>
              <a:sysClr val="windowText" lastClr="000000"/>
            </a:solidFill>
            <a:effectLst/>
          </a:endParaRPr>
        </a:p>
      </xdr:txBody>
    </xdr:sp>
    <xdr:clientData/>
  </xdr:twoCellAnchor>
  <xdr:twoCellAnchor>
    <xdr:from>
      <xdr:col>6</xdr:col>
      <xdr:colOff>345282</xdr:colOff>
      <xdr:row>18</xdr:row>
      <xdr:rowOff>0</xdr:rowOff>
    </xdr:from>
    <xdr:to>
      <xdr:col>6</xdr:col>
      <xdr:colOff>345282</xdr:colOff>
      <xdr:row>28</xdr:row>
      <xdr:rowOff>0</xdr:rowOff>
    </xdr:to>
    <xdr:cxnSp macro="">
      <xdr:nvCxnSpPr>
        <xdr:cNvPr id="10" name="直線コネクタ 9">
          <a:extLst>
            <a:ext uri="{FF2B5EF4-FFF2-40B4-BE49-F238E27FC236}">
              <a16:creationId xmlns:a16="http://schemas.microsoft.com/office/drawing/2014/main" id="{00000000-0008-0000-0300-00000A000000}"/>
            </a:ext>
          </a:extLst>
        </xdr:cNvPr>
        <xdr:cNvCxnSpPr>
          <a:stCxn id="6" idx="2"/>
          <a:endCxn id="7" idx="0"/>
        </xdr:cNvCxnSpPr>
      </xdr:nvCxnSpPr>
      <xdr:spPr>
        <a:xfrm>
          <a:off x="4117182" y="2971800"/>
          <a:ext cx="0" cy="16510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342900</xdr:colOff>
      <xdr:row>34</xdr:row>
      <xdr:rowOff>0</xdr:rowOff>
    </xdr:from>
    <xdr:to>
      <xdr:col>10</xdr:col>
      <xdr:colOff>342900</xdr:colOff>
      <xdr:row>36</xdr:row>
      <xdr:rowOff>0</xdr:rowOff>
    </xdr:to>
    <xdr:cxnSp macro="">
      <xdr:nvCxnSpPr>
        <xdr:cNvPr id="11" name="カギ線コネクタ 10">
          <a:extLst>
            <a:ext uri="{FF2B5EF4-FFF2-40B4-BE49-F238E27FC236}">
              <a16:creationId xmlns:a16="http://schemas.microsoft.com/office/drawing/2014/main" id="{00000000-0008-0000-0300-00000B000000}"/>
            </a:ext>
          </a:extLst>
        </xdr:cNvPr>
        <xdr:cNvCxnSpPr>
          <a:stCxn id="7" idx="2"/>
          <a:endCxn id="9" idx="0"/>
        </xdr:cNvCxnSpPr>
      </xdr:nvCxnSpPr>
      <xdr:spPr>
        <a:xfrm rot="16200000" flipH="1">
          <a:off x="5207000" y="4521200"/>
          <a:ext cx="330200" cy="2514600"/>
        </a:xfrm>
        <a:prstGeom prst="bentConnector3">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342900</xdr:colOff>
      <xdr:row>10</xdr:row>
      <xdr:rowOff>0</xdr:rowOff>
    </xdr:from>
    <xdr:to>
      <xdr:col>6</xdr:col>
      <xdr:colOff>342900</xdr:colOff>
      <xdr:row>12</xdr:row>
      <xdr:rowOff>0</xdr:rowOff>
    </xdr:to>
    <xdr:cxnSp macro="">
      <xdr:nvCxnSpPr>
        <xdr:cNvPr id="12" name="直線コネクタ 11">
          <a:extLst>
            <a:ext uri="{FF2B5EF4-FFF2-40B4-BE49-F238E27FC236}">
              <a16:creationId xmlns:a16="http://schemas.microsoft.com/office/drawing/2014/main" id="{00000000-0008-0000-0300-00000C000000}"/>
            </a:ext>
          </a:extLst>
        </xdr:cNvPr>
        <xdr:cNvCxnSpPr>
          <a:stCxn id="5" idx="2"/>
          <a:endCxn id="6" idx="0"/>
        </xdr:cNvCxnSpPr>
      </xdr:nvCxnSpPr>
      <xdr:spPr>
        <a:xfrm>
          <a:off x="4114800" y="1651000"/>
          <a:ext cx="0" cy="3302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228600</xdr:colOff>
      <xdr:row>34</xdr:row>
      <xdr:rowOff>0</xdr:rowOff>
    </xdr:from>
    <xdr:to>
      <xdr:col>6</xdr:col>
      <xdr:colOff>228600</xdr:colOff>
      <xdr:row>36</xdr:row>
      <xdr:rowOff>0</xdr:rowOff>
    </xdr:to>
    <xdr:cxnSp macro="">
      <xdr:nvCxnSpPr>
        <xdr:cNvPr id="13" name="直線コネクタ 12">
          <a:extLst>
            <a:ext uri="{FF2B5EF4-FFF2-40B4-BE49-F238E27FC236}">
              <a16:creationId xmlns:a16="http://schemas.microsoft.com/office/drawing/2014/main" id="{00000000-0008-0000-0300-00000D000000}"/>
            </a:ext>
          </a:extLst>
        </xdr:cNvPr>
        <xdr:cNvCxnSpPr/>
      </xdr:nvCxnSpPr>
      <xdr:spPr>
        <a:xfrm>
          <a:off x="4000500" y="5613400"/>
          <a:ext cx="0" cy="330200"/>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0</xdr:row>
      <xdr:rowOff>95250</xdr:rowOff>
    </xdr:from>
    <xdr:to>
      <xdr:col>2</xdr:col>
      <xdr:colOff>9525</xdr:colOff>
      <xdr:row>0</xdr:row>
      <xdr:rowOff>95250</xdr:rowOff>
    </xdr:to>
    <xdr:cxnSp macro="">
      <xdr:nvCxnSpPr>
        <xdr:cNvPr id="14" name="直線コネクタ 13">
          <a:extLst>
            <a:ext uri="{FF2B5EF4-FFF2-40B4-BE49-F238E27FC236}">
              <a16:creationId xmlns:a16="http://schemas.microsoft.com/office/drawing/2014/main" id="{00000000-0008-0000-0300-00000E000000}"/>
            </a:ext>
          </a:extLst>
        </xdr:cNvPr>
        <xdr:cNvCxnSpPr/>
      </xdr:nvCxnSpPr>
      <xdr:spPr>
        <a:xfrm>
          <a:off x="638175" y="95250"/>
          <a:ext cx="6286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1</xdr:row>
      <xdr:rowOff>95250</xdr:rowOff>
    </xdr:from>
    <xdr:to>
      <xdr:col>2</xdr:col>
      <xdr:colOff>9525</xdr:colOff>
      <xdr:row>1</xdr:row>
      <xdr:rowOff>95250</xdr:rowOff>
    </xdr:to>
    <xdr:cxnSp macro="">
      <xdr:nvCxnSpPr>
        <xdr:cNvPr id="15" name="直線コネクタ 14">
          <a:extLst>
            <a:ext uri="{FF2B5EF4-FFF2-40B4-BE49-F238E27FC236}">
              <a16:creationId xmlns:a16="http://schemas.microsoft.com/office/drawing/2014/main" id="{00000000-0008-0000-0300-00000F000000}"/>
            </a:ext>
          </a:extLst>
        </xdr:cNvPr>
        <xdr:cNvCxnSpPr/>
      </xdr:nvCxnSpPr>
      <xdr:spPr>
        <a:xfrm>
          <a:off x="638175" y="260350"/>
          <a:ext cx="628650"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44</xdr:row>
      <xdr:rowOff>0</xdr:rowOff>
    </xdr:from>
    <xdr:to>
      <xdr:col>8</xdr:col>
      <xdr:colOff>0</xdr:colOff>
      <xdr:row>50</xdr:row>
      <xdr:rowOff>0</xdr:rowOff>
    </xdr:to>
    <xdr:sp macro="" textlink="">
      <xdr:nvSpPr>
        <xdr:cNvPr id="16" name="正方形/長方形 15">
          <a:extLst>
            <a:ext uri="{FF2B5EF4-FFF2-40B4-BE49-F238E27FC236}">
              <a16:creationId xmlns:a16="http://schemas.microsoft.com/office/drawing/2014/main" id="{00000000-0008-0000-0300-000010000000}"/>
            </a:ext>
          </a:extLst>
        </xdr:cNvPr>
        <xdr:cNvSpPr/>
      </xdr:nvSpPr>
      <xdr:spPr>
        <a:xfrm>
          <a:off x="3143250" y="7264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運転制御サーバ</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6</xdr:col>
      <xdr:colOff>342900</xdr:colOff>
      <xdr:row>42</xdr:row>
      <xdr:rowOff>0</xdr:rowOff>
    </xdr:from>
    <xdr:to>
      <xdr:col>6</xdr:col>
      <xdr:colOff>342900</xdr:colOff>
      <xdr:row>44</xdr:row>
      <xdr:rowOff>0</xdr:rowOff>
    </xdr:to>
    <xdr:cxnSp macro="">
      <xdr:nvCxnSpPr>
        <xdr:cNvPr id="17" name="直線コネクタ 16">
          <a:extLst>
            <a:ext uri="{FF2B5EF4-FFF2-40B4-BE49-F238E27FC236}">
              <a16:creationId xmlns:a16="http://schemas.microsoft.com/office/drawing/2014/main" id="{00000000-0008-0000-0300-000011000000}"/>
            </a:ext>
          </a:extLst>
        </xdr:cNvPr>
        <xdr:cNvCxnSpPr>
          <a:stCxn id="8" idx="2"/>
          <a:endCxn id="16" idx="0"/>
        </xdr:cNvCxnSpPr>
      </xdr:nvCxnSpPr>
      <xdr:spPr>
        <a:xfrm>
          <a:off x="4114800" y="6934200"/>
          <a:ext cx="0" cy="330200"/>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95250</xdr:colOff>
      <xdr:row>34</xdr:row>
      <xdr:rowOff>28575</xdr:rowOff>
    </xdr:from>
    <xdr:to>
      <xdr:col>6</xdr:col>
      <xdr:colOff>95250</xdr:colOff>
      <xdr:row>35</xdr:row>
      <xdr:rowOff>142876</xdr:rowOff>
    </xdr:to>
    <xdr:cxnSp macro="">
      <xdr:nvCxnSpPr>
        <xdr:cNvPr id="18" name="直線矢印コネクタ 17">
          <a:extLst>
            <a:ext uri="{FF2B5EF4-FFF2-40B4-BE49-F238E27FC236}">
              <a16:creationId xmlns:a16="http://schemas.microsoft.com/office/drawing/2014/main" id="{00000000-0008-0000-0300-000012000000}"/>
            </a:ext>
          </a:extLst>
        </xdr:cNvPr>
        <xdr:cNvCxnSpPr/>
      </xdr:nvCxnSpPr>
      <xdr:spPr>
        <a:xfrm flipV="1">
          <a:off x="3867150" y="5641975"/>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473866</xdr:colOff>
      <xdr:row>42</xdr:row>
      <xdr:rowOff>28575</xdr:rowOff>
    </xdr:from>
    <xdr:to>
      <xdr:col>6</xdr:col>
      <xdr:colOff>473866</xdr:colOff>
      <xdr:row>43</xdr:row>
      <xdr:rowOff>142876</xdr:rowOff>
    </xdr:to>
    <xdr:cxnSp macro="">
      <xdr:nvCxnSpPr>
        <xdr:cNvPr id="19" name="直線矢印コネクタ 18">
          <a:extLst>
            <a:ext uri="{FF2B5EF4-FFF2-40B4-BE49-F238E27FC236}">
              <a16:creationId xmlns:a16="http://schemas.microsoft.com/office/drawing/2014/main" id="{00000000-0008-0000-0300-000013000000}"/>
            </a:ext>
          </a:extLst>
        </xdr:cNvPr>
        <xdr:cNvCxnSpPr/>
      </xdr:nvCxnSpPr>
      <xdr:spPr>
        <a:xfrm flipV="1">
          <a:off x="4245766" y="6962775"/>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188119</xdr:colOff>
      <xdr:row>22</xdr:row>
      <xdr:rowOff>76200</xdr:rowOff>
    </xdr:from>
    <xdr:to>
      <xdr:col>6</xdr:col>
      <xdr:colOff>188119</xdr:colOff>
      <xdr:row>24</xdr:row>
      <xdr:rowOff>23814</xdr:rowOff>
    </xdr:to>
    <xdr:cxnSp macro="">
      <xdr:nvCxnSpPr>
        <xdr:cNvPr id="20" name="直線矢印コネクタ 19">
          <a:extLst>
            <a:ext uri="{FF2B5EF4-FFF2-40B4-BE49-F238E27FC236}">
              <a16:creationId xmlns:a16="http://schemas.microsoft.com/office/drawing/2014/main" id="{00000000-0008-0000-0300-000014000000}"/>
            </a:ext>
          </a:extLst>
        </xdr:cNvPr>
        <xdr:cNvCxnSpPr/>
      </xdr:nvCxnSpPr>
      <xdr:spPr>
        <a:xfrm flipV="1">
          <a:off x="3960019" y="3708400"/>
          <a:ext cx="0" cy="27781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133350</xdr:colOff>
      <xdr:row>34</xdr:row>
      <xdr:rowOff>76200</xdr:rowOff>
    </xdr:from>
    <xdr:to>
      <xdr:col>8</xdr:col>
      <xdr:colOff>495300</xdr:colOff>
      <xdr:row>34</xdr:row>
      <xdr:rowOff>76201</xdr:rowOff>
    </xdr:to>
    <xdr:cxnSp macro="">
      <xdr:nvCxnSpPr>
        <xdr:cNvPr id="21" name="直線矢印コネクタ 20">
          <a:extLst>
            <a:ext uri="{FF2B5EF4-FFF2-40B4-BE49-F238E27FC236}">
              <a16:creationId xmlns:a16="http://schemas.microsoft.com/office/drawing/2014/main" id="{00000000-0008-0000-0300-000015000000}"/>
            </a:ext>
          </a:extLst>
        </xdr:cNvPr>
        <xdr:cNvCxnSpPr/>
      </xdr:nvCxnSpPr>
      <xdr:spPr>
        <a:xfrm flipH="1">
          <a:off x="5162550" y="5689600"/>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188119</xdr:colOff>
      <xdr:row>10</xdr:row>
      <xdr:rowOff>19050</xdr:rowOff>
    </xdr:from>
    <xdr:to>
      <xdr:col>6</xdr:col>
      <xdr:colOff>188119</xdr:colOff>
      <xdr:row>11</xdr:row>
      <xdr:rowOff>133351</xdr:rowOff>
    </xdr:to>
    <xdr:cxnSp macro="">
      <xdr:nvCxnSpPr>
        <xdr:cNvPr id="22" name="直線矢印コネクタ 21">
          <a:extLst>
            <a:ext uri="{FF2B5EF4-FFF2-40B4-BE49-F238E27FC236}">
              <a16:creationId xmlns:a16="http://schemas.microsoft.com/office/drawing/2014/main" id="{00000000-0008-0000-0300-000016000000}"/>
            </a:ext>
          </a:extLst>
        </xdr:cNvPr>
        <xdr:cNvCxnSpPr/>
      </xdr:nvCxnSpPr>
      <xdr:spPr>
        <a:xfrm flipV="1">
          <a:off x="3960019" y="1670050"/>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392906</xdr:colOff>
      <xdr:row>30</xdr:row>
      <xdr:rowOff>50007</xdr:rowOff>
    </xdr:from>
    <xdr:to>
      <xdr:col>10</xdr:col>
      <xdr:colOff>64294</xdr:colOff>
      <xdr:row>30</xdr:row>
      <xdr:rowOff>50008</xdr:rowOff>
    </xdr:to>
    <xdr:cxnSp macro="">
      <xdr:nvCxnSpPr>
        <xdr:cNvPr id="23" name="直線矢印コネクタ 22">
          <a:extLst>
            <a:ext uri="{FF2B5EF4-FFF2-40B4-BE49-F238E27FC236}">
              <a16:creationId xmlns:a16="http://schemas.microsoft.com/office/drawing/2014/main" id="{00000000-0008-0000-0300-000017000000}"/>
            </a:ext>
          </a:extLst>
        </xdr:cNvPr>
        <xdr:cNvCxnSpPr/>
      </xdr:nvCxnSpPr>
      <xdr:spPr>
        <a:xfrm flipH="1">
          <a:off x="6050756" y="5003007"/>
          <a:ext cx="300038"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277091</xdr:colOff>
      <xdr:row>31</xdr:row>
      <xdr:rowOff>133350</xdr:rowOff>
    </xdr:from>
    <xdr:to>
      <xdr:col>7</xdr:col>
      <xdr:colOff>648566</xdr:colOff>
      <xdr:row>33</xdr:row>
      <xdr:rowOff>149352</xdr:rowOff>
    </xdr:to>
    <xdr:sp macro="" textlink="">
      <xdr:nvSpPr>
        <xdr:cNvPr id="24" name="円柱 23">
          <a:extLst>
            <a:ext uri="{FF2B5EF4-FFF2-40B4-BE49-F238E27FC236}">
              <a16:creationId xmlns:a16="http://schemas.microsoft.com/office/drawing/2014/main" id="{00000000-0008-0000-0300-000018000000}"/>
            </a:ext>
          </a:extLst>
        </xdr:cNvPr>
        <xdr:cNvSpPr/>
      </xdr:nvSpPr>
      <xdr:spPr>
        <a:xfrm>
          <a:off x="4677641" y="5251450"/>
          <a:ext cx="352425" cy="34620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380999</xdr:colOff>
      <xdr:row>5</xdr:row>
      <xdr:rowOff>95250</xdr:rowOff>
    </xdr:from>
    <xdr:to>
      <xdr:col>16</xdr:col>
      <xdr:colOff>371474</xdr:colOff>
      <xdr:row>21</xdr:row>
      <xdr:rowOff>80961</xdr:rowOff>
    </xdr:to>
    <xdr:sp macro="" textlink="">
      <xdr:nvSpPr>
        <xdr:cNvPr id="25" name="正方形/長方形 24">
          <a:extLst>
            <a:ext uri="{FF2B5EF4-FFF2-40B4-BE49-F238E27FC236}">
              <a16:creationId xmlns:a16="http://schemas.microsoft.com/office/drawing/2014/main" id="{00000000-0008-0000-0300-000019000000}"/>
            </a:ext>
          </a:extLst>
        </xdr:cNvPr>
        <xdr:cNvSpPr/>
      </xdr:nvSpPr>
      <xdr:spPr>
        <a:xfrm>
          <a:off x="6038849" y="920750"/>
          <a:ext cx="4391025" cy="262731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p>
      </xdr:txBody>
    </xdr:sp>
    <xdr:clientData/>
  </xdr:twoCellAnchor>
  <xdr:twoCellAnchor>
    <xdr:from>
      <xdr:col>10</xdr:col>
      <xdr:colOff>9525</xdr:colOff>
      <xdr:row>14</xdr:row>
      <xdr:rowOff>85725</xdr:rowOff>
    </xdr:from>
    <xdr:to>
      <xdr:col>13</xdr:col>
      <xdr:colOff>9525</xdr:colOff>
      <xdr:row>20</xdr:row>
      <xdr:rowOff>85725</xdr:rowOff>
    </xdr:to>
    <xdr:sp macro="" textlink="">
      <xdr:nvSpPr>
        <xdr:cNvPr id="26" name="正方形/長方形 25">
          <a:extLst>
            <a:ext uri="{FF2B5EF4-FFF2-40B4-BE49-F238E27FC236}">
              <a16:creationId xmlns:a16="http://schemas.microsoft.com/office/drawing/2014/main" id="{00000000-0008-0000-0300-00001A000000}"/>
            </a:ext>
          </a:extLst>
        </xdr:cNvPr>
        <xdr:cNvSpPr/>
      </xdr:nvSpPr>
      <xdr:spPr>
        <a:xfrm>
          <a:off x="6296025" y="2397125"/>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バッチ基盤サーバ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13</xdr:col>
      <xdr:colOff>9525</xdr:colOff>
      <xdr:row>14</xdr:row>
      <xdr:rowOff>85725</xdr:rowOff>
    </xdr:from>
    <xdr:to>
      <xdr:col>16</xdr:col>
      <xdr:colOff>9525</xdr:colOff>
      <xdr:row>20</xdr:row>
      <xdr:rowOff>85725</xdr:rowOff>
    </xdr:to>
    <xdr:sp macro="" textlink="">
      <xdr:nvSpPr>
        <xdr:cNvPr id="27" name="正方形/長方形 26">
          <a:extLst>
            <a:ext uri="{FF2B5EF4-FFF2-40B4-BE49-F238E27FC236}">
              <a16:creationId xmlns:a16="http://schemas.microsoft.com/office/drawing/2014/main" id="{00000000-0008-0000-0300-00001B000000}"/>
            </a:ext>
          </a:extLst>
        </xdr:cNvPr>
        <xdr:cNvSpPr/>
      </xdr:nvSpPr>
      <xdr:spPr>
        <a:xfrm>
          <a:off x="8181975" y="2397125"/>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共通基盤帳票サーバ</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10</xdr:col>
      <xdr:colOff>9525</xdr:colOff>
      <xdr:row>8</xdr:row>
      <xdr:rowOff>85725</xdr:rowOff>
    </xdr:from>
    <xdr:to>
      <xdr:col>13</xdr:col>
      <xdr:colOff>9525</xdr:colOff>
      <xdr:row>14</xdr:row>
      <xdr:rowOff>85725</xdr:rowOff>
    </xdr:to>
    <xdr:sp macro="" textlink="">
      <xdr:nvSpPr>
        <xdr:cNvPr id="28" name="正方形/長方形 27">
          <a:extLst>
            <a:ext uri="{FF2B5EF4-FFF2-40B4-BE49-F238E27FC236}">
              <a16:creationId xmlns:a16="http://schemas.microsoft.com/office/drawing/2014/main" id="{00000000-0008-0000-0300-00001C000000}"/>
            </a:ext>
          </a:extLst>
        </xdr:cNvPr>
        <xdr:cNvSpPr/>
      </xdr:nvSpPr>
      <xdr:spPr>
        <a:xfrm>
          <a:off x="6296025" y="1406525"/>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endParaRPr kumimoji="1" lang="en-US" altLang="ja-JP" sz="1100">
            <a:solidFill>
              <a:sysClr val="windowText" lastClr="000000"/>
            </a:solidFill>
          </a:endParaRPr>
        </a:p>
        <a:p>
          <a:pPr algn="l"/>
          <a:r>
            <a:rPr kumimoji="1" lang="ja-JP" altLang="en-US" sz="1100">
              <a:solidFill>
                <a:sysClr val="windowText" lastClr="000000"/>
              </a:solidFill>
            </a:rPr>
            <a:t>・用役管理システム</a:t>
          </a:r>
          <a:endParaRPr kumimoji="1" lang="en-US" altLang="ja-JP" sz="1100">
            <a:solidFill>
              <a:sysClr val="windowText" lastClr="000000"/>
            </a:solidFill>
          </a:endParaRPr>
        </a:p>
      </xdr:txBody>
    </xdr:sp>
    <xdr:clientData/>
  </xdr:twoCellAnchor>
  <xdr:twoCellAnchor>
    <xdr:from>
      <xdr:col>13</xdr:col>
      <xdr:colOff>9525</xdr:colOff>
      <xdr:row>8</xdr:row>
      <xdr:rowOff>85725</xdr:rowOff>
    </xdr:from>
    <xdr:to>
      <xdr:col>16</xdr:col>
      <xdr:colOff>9525</xdr:colOff>
      <xdr:row>14</xdr:row>
      <xdr:rowOff>85725</xdr:rowOff>
    </xdr:to>
    <xdr:sp macro="" textlink="">
      <xdr:nvSpPr>
        <xdr:cNvPr id="29" name="正方形/長方形 28">
          <a:extLst>
            <a:ext uri="{FF2B5EF4-FFF2-40B4-BE49-F238E27FC236}">
              <a16:creationId xmlns:a16="http://schemas.microsoft.com/office/drawing/2014/main" id="{00000000-0008-0000-0300-00001D000000}"/>
            </a:ext>
          </a:extLst>
        </xdr:cNvPr>
        <xdr:cNvSpPr/>
      </xdr:nvSpPr>
      <xdr:spPr>
        <a:xfrm>
          <a:off x="8181975" y="1406525"/>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ja-JP" altLang="en-US" sz="1100">
            <a:solidFill>
              <a:sysClr val="windowText" lastClr="000000"/>
            </a:solidFill>
          </a:endParaRPr>
        </a:p>
      </xdr:txBody>
    </xdr:sp>
    <xdr:clientData/>
  </xdr:twoCellAnchor>
  <xdr:twoCellAnchor>
    <xdr:from>
      <xdr:col>15</xdr:col>
      <xdr:colOff>285750</xdr:colOff>
      <xdr:row>12</xdr:row>
      <xdr:rowOff>42863</xdr:rowOff>
    </xdr:from>
    <xdr:to>
      <xdr:col>15</xdr:col>
      <xdr:colOff>657225</xdr:colOff>
      <xdr:row>14</xdr:row>
      <xdr:rowOff>58865</xdr:rowOff>
    </xdr:to>
    <xdr:sp macro="" textlink="">
      <xdr:nvSpPr>
        <xdr:cNvPr id="30" name="円柱 29">
          <a:extLst>
            <a:ext uri="{FF2B5EF4-FFF2-40B4-BE49-F238E27FC236}">
              <a16:creationId xmlns:a16="http://schemas.microsoft.com/office/drawing/2014/main" id="{00000000-0008-0000-0300-00001E000000}"/>
            </a:ext>
          </a:extLst>
        </xdr:cNvPr>
        <xdr:cNvSpPr/>
      </xdr:nvSpPr>
      <xdr:spPr>
        <a:xfrm>
          <a:off x="9715500" y="2024063"/>
          <a:ext cx="339725" cy="346202"/>
        </a:xfrm>
        <a:prstGeom prst="can">
          <a:avLst/>
        </a:prstGeom>
        <a:gradFill>
          <a:gsLst>
            <a:gs pos="50000">
              <a:schemeClr val="bg1">
                <a:lumMod val="75000"/>
              </a:schemeClr>
            </a:gs>
            <a:gs pos="50000">
              <a:schemeClr val="bg1">
                <a:lumMod val="75000"/>
              </a:schemeClr>
            </a:gs>
            <a:gs pos="50000">
              <a:schemeClr val="accent6"/>
            </a:gs>
          </a:gsLst>
          <a:lin ang="2700000" scaled="1"/>
        </a:gra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8</xdr:col>
      <xdr:colOff>0</xdr:colOff>
      <xdr:row>13</xdr:row>
      <xdr:rowOff>64295</xdr:rowOff>
    </xdr:from>
    <xdr:to>
      <xdr:col>10</xdr:col>
      <xdr:colOff>19050</xdr:colOff>
      <xdr:row>13</xdr:row>
      <xdr:rowOff>64295</xdr:rowOff>
    </xdr:to>
    <xdr:cxnSp macro="">
      <xdr:nvCxnSpPr>
        <xdr:cNvPr id="31" name="直線コネクタ 30">
          <a:extLst>
            <a:ext uri="{FF2B5EF4-FFF2-40B4-BE49-F238E27FC236}">
              <a16:creationId xmlns:a16="http://schemas.microsoft.com/office/drawing/2014/main" id="{00000000-0008-0000-0300-00001F000000}"/>
            </a:ext>
          </a:extLst>
        </xdr:cNvPr>
        <xdr:cNvCxnSpPr/>
      </xdr:nvCxnSpPr>
      <xdr:spPr>
        <a:xfrm>
          <a:off x="5029200" y="2210595"/>
          <a:ext cx="12763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16</xdr:row>
      <xdr:rowOff>54770</xdr:rowOff>
    </xdr:from>
    <xdr:to>
      <xdr:col>10</xdr:col>
      <xdr:colOff>19050</xdr:colOff>
      <xdr:row>16</xdr:row>
      <xdr:rowOff>54770</xdr:rowOff>
    </xdr:to>
    <xdr:cxnSp macro="">
      <xdr:nvCxnSpPr>
        <xdr:cNvPr id="32" name="直線コネクタ 31">
          <a:extLst>
            <a:ext uri="{FF2B5EF4-FFF2-40B4-BE49-F238E27FC236}">
              <a16:creationId xmlns:a16="http://schemas.microsoft.com/office/drawing/2014/main" id="{00000000-0008-0000-0300-000020000000}"/>
            </a:ext>
          </a:extLst>
        </xdr:cNvPr>
        <xdr:cNvCxnSpPr/>
      </xdr:nvCxnSpPr>
      <xdr:spPr>
        <a:xfrm>
          <a:off x="5029200" y="2696370"/>
          <a:ext cx="12763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495300</xdr:colOff>
      <xdr:row>12</xdr:row>
      <xdr:rowOff>130970</xdr:rowOff>
    </xdr:from>
    <xdr:to>
      <xdr:col>9</xdr:col>
      <xdr:colOff>171450</xdr:colOff>
      <xdr:row>12</xdr:row>
      <xdr:rowOff>130971</xdr:rowOff>
    </xdr:to>
    <xdr:cxnSp macro="">
      <xdr:nvCxnSpPr>
        <xdr:cNvPr id="33" name="直線矢印コネクタ 32">
          <a:extLst>
            <a:ext uri="{FF2B5EF4-FFF2-40B4-BE49-F238E27FC236}">
              <a16:creationId xmlns:a16="http://schemas.microsoft.com/office/drawing/2014/main" id="{00000000-0008-0000-0300-000021000000}"/>
            </a:ext>
          </a:extLst>
        </xdr:cNvPr>
        <xdr:cNvCxnSpPr/>
      </xdr:nvCxnSpPr>
      <xdr:spPr>
        <a:xfrm flipH="1">
          <a:off x="5524500" y="2112170"/>
          <a:ext cx="304800" cy="1"/>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495300</xdr:colOff>
      <xdr:row>16</xdr:row>
      <xdr:rowOff>150020</xdr:rowOff>
    </xdr:from>
    <xdr:to>
      <xdr:col>9</xdr:col>
      <xdr:colOff>171450</xdr:colOff>
      <xdr:row>16</xdr:row>
      <xdr:rowOff>150021</xdr:rowOff>
    </xdr:to>
    <xdr:cxnSp macro="">
      <xdr:nvCxnSpPr>
        <xdr:cNvPr id="34" name="直線矢印コネクタ 33">
          <a:extLst>
            <a:ext uri="{FF2B5EF4-FFF2-40B4-BE49-F238E27FC236}">
              <a16:creationId xmlns:a16="http://schemas.microsoft.com/office/drawing/2014/main" id="{00000000-0008-0000-0300-000022000000}"/>
            </a:ext>
          </a:extLst>
        </xdr:cNvPr>
        <xdr:cNvCxnSpPr/>
      </xdr:nvCxnSpPr>
      <xdr:spPr>
        <a:xfrm flipH="1">
          <a:off x="5524500" y="2791620"/>
          <a:ext cx="304800" cy="1"/>
        </a:xfrm>
        <a:prstGeom prst="straightConnector1">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11906</xdr:colOff>
      <xdr:row>28</xdr:row>
      <xdr:rowOff>11907</xdr:rowOff>
    </xdr:from>
    <xdr:to>
      <xdr:col>4</xdr:col>
      <xdr:colOff>14285</xdr:colOff>
      <xdr:row>34</xdr:row>
      <xdr:rowOff>1</xdr:rowOff>
    </xdr:to>
    <xdr:sp macro="" textlink="">
      <xdr:nvSpPr>
        <xdr:cNvPr id="35" name="正方形/長方形 34">
          <a:extLst>
            <a:ext uri="{FF2B5EF4-FFF2-40B4-BE49-F238E27FC236}">
              <a16:creationId xmlns:a16="http://schemas.microsoft.com/office/drawing/2014/main" id="{00000000-0008-0000-0300-000023000000}"/>
            </a:ext>
          </a:extLst>
        </xdr:cNvPr>
        <xdr:cNvSpPr/>
      </xdr:nvSpPr>
      <xdr:spPr>
        <a:xfrm>
          <a:off x="640556" y="4634707"/>
          <a:ext cx="1888329" cy="978694"/>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ETS-R EAI</a:t>
          </a:r>
        </a:p>
        <a:p>
          <a:pPr algn="l"/>
          <a:r>
            <a:rPr kumimoji="1" lang="ja-JP" altLang="en-US" sz="1100">
              <a:solidFill>
                <a:sysClr val="windowText" lastClr="000000"/>
              </a:solidFill>
            </a:rPr>
            <a:t>・オフラスとの連携用</a:t>
          </a:r>
          <a:endParaRPr kumimoji="1" lang="en-US" altLang="ja-JP" sz="1100">
            <a:solidFill>
              <a:sysClr val="windowText" lastClr="000000"/>
            </a:solidFill>
          </a:endParaRPr>
        </a:p>
      </xdr:txBody>
    </xdr:sp>
    <xdr:clientData/>
  </xdr:twoCellAnchor>
  <xdr:twoCellAnchor>
    <xdr:from>
      <xdr:col>4</xdr:col>
      <xdr:colOff>14285</xdr:colOff>
      <xdr:row>31</xdr:row>
      <xdr:rowOff>0</xdr:rowOff>
    </xdr:from>
    <xdr:to>
      <xdr:col>5</xdr:col>
      <xdr:colOff>0</xdr:colOff>
      <xdr:row>31</xdr:row>
      <xdr:rowOff>5954</xdr:rowOff>
    </xdr:to>
    <xdr:cxnSp macro="">
      <xdr:nvCxnSpPr>
        <xdr:cNvPr id="36" name="直線コネクタ 35">
          <a:extLst>
            <a:ext uri="{FF2B5EF4-FFF2-40B4-BE49-F238E27FC236}">
              <a16:creationId xmlns:a16="http://schemas.microsoft.com/office/drawing/2014/main" id="{00000000-0008-0000-0300-000024000000}"/>
            </a:ext>
          </a:extLst>
        </xdr:cNvPr>
        <xdr:cNvCxnSpPr>
          <a:stCxn id="7" idx="1"/>
          <a:endCxn id="35" idx="3"/>
        </xdr:cNvCxnSpPr>
      </xdr:nvCxnSpPr>
      <xdr:spPr>
        <a:xfrm flipH="1">
          <a:off x="2528885" y="5118100"/>
          <a:ext cx="614365" cy="595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21</xdr:row>
      <xdr:rowOff>80961</xdr:rowOff>
    </xdr:from>
    <xdr:to>
      <xdr:col>13</xdr:col>
      <xdr:colOff>30955</xdr:colOff>
      <xdr:row>31</xdr:row>
      <xdr:rowOff>0</xdr:rowOff>
    </xdr:to>
    <xdr:cxnSp macro="">
      <xdr:nvCxnSpPr>
        <xdr:cNvPr id="37" name="カギ線コネクタ 36">
          <a:extLst>
            <a:ext uri="{FF2B5EF4-FFF2-40B4-BE49-F238E27FC236}">
              <a16:creationId xmlns:a16="http://schemas.microsoft.com/office/drawing/2014/main" id="{00000000-0008-0000-0300-000025000000}"/>
            </a:ext>
          </a:extLst>
        </xdr:cNvPr>
        <xdr:cNvCxnSpPr>
          <a:stCxn id="25" idx="2"/>
          <a:endCxn id="7" idx="3"/>
        </xdr:cNvCxnSpPr>
      </xdr:nvCxnSpPr>
      <xdr:spPr>
        <a:xfrm rot="5400000">
          <a:off x="5831283" y="2745978"/>
          <a:ext cx="1570039" cy="3174205"/>
        </a:xfrm>
        <a:prstGeom prst="bentConnector2">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440531</xdr:colOff>
      <xdr:row>44</xdr:row>
      <xdr:rowOff>0</xdr:rowOff>
    </xdr:from>
    <xdr:to>
      <xdr:col>4</xdr:col>
      <xdr:colOff>440531</xdr:colOff>
      <xdr:row>50</xdr:row>
      <xdr:rowOff>0</xdr:rowOff>
    </xdr:to>
    <xdr:sp macro="" textlink="">
      <xdr:nvSpPr>
        <xdr:cNvPr id="38" name="正方形/長方形 37">
          <a:extLst>
            <a:ext uri="{FF2B5EF4-FFF2-40B4-BE49-F238E27FC236}">
              <a16:creationId xmlns:a16="http://schemas.microsoft.com/office/drawing/2014/main" id="{00000000-0008-0000-0300-000026000000}"/>
            </a:ext>
          </a:extLst>
        </xdr:cNvPr>
        <xdr:cNvSpPr/>
      </xdr:nvSpPr>
      <xdr:spPr>
        <a:xfrm>
          <a:off x="1069181" y="7264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陸上出荷システム</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3</xdr:col>
      <xdr:colOff>95251</xdr:colOff>
      <xdr:row>42</xdr:row>
      <xdr:rowOff>0</xdr:rowOff>
    </xdr:from>
    <xdr:to>
      <xdr:col>6</xdr:col>
      <xdr:colOff>345283</xdr:colOff>
      <xdr:row>44</xdr:row>
      <xdr:rowOff>0</xdr:rowOff>
    </xdr:to>
    <xdr:cxnSp macro="">
      <xdr:nvCxnSpPr>
        <xdr:cNvPr id="39" name="カギ線コネクタ 38">
          <a:extLst>
            <a:ext uri="{FF2B5EF4-FFF2-40B4-BE49-F238E27FC236}">
              <a16:creationId xmlns:a16="http://schemas.microsoft.com/office/drawing/2014/main" id="{00000000-0008-0000-0300-000027000000}"/>
            </a:ext>
          </a:extLst>
        </xdr:cNvPr>
        <xdr:cNvCxnSpPr>
          <a:stCxn id="8" idx="2"/>
          <a:endCxn id="38" idx="0"/>
        </xdr:cNvCxnSpPr>
      </xdr:nvCxnSpPr>
      <xdr:spPr>
        <a:xfrm rot="5400000">
          <a:off x="2884092" y="6031309"/>
          <a:ext cx="330200" cy="2135982"/>
        </a:xfrm>
        <a:prstGeom prst="bentConnector3">
          <a:avLst>
            <a:gd name="adj1" fmla="val 50000"/>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130969</xdr:colOff>
      <xdr:row>42</xdr:row>
      <xdr:rowOff>71438</xdr:rowOff>
    </xdr:from>
    <xdr:to>
      <xdr:col>4</xdr:col>
      <xdr:colOff>492919</xdr:colOff>
      <xdr:row>42</xdr:row>
      <xdr:rowOff>71439</xdr:rowOff>
    </xdr:to>
    <xdr:cxnSp macro="">
      <xdr:nvCxnSpPr>
        <xdr:cNvPr id="40" name="直線矢印コネクタ 39">
          <a:extLst>
            <a:ext uri="{FF2B5EF4-FFF2-40B4-BE49-F238E27FC236}">
              <a16:creationId xmlns:a16="http://schemas.microsoft.com/office/drawing/2014/main" id="{00000000-0008-0000-0300-000028000000}"/>
            </a:ext>
          </a:extLst>
        </xdr:cNvPr>
        <xdr:cNvCxnSpPr/>
      </xdr:nvCxnSpPr>
      <xdr:spPr>
        <a:xfrm flipH="1">
          <a:off x="2645569" y="7005638"/>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178594</xdr:colOff>
      <xdr:row>30</xdr:row>
      <xdr:rowOff>47626</xdr:rowOff>
    </xdr:from>
    <xdr:to>
      <xdr:col>4</xdr:col>
      <xdr:colOff>540544</xdr:colOff>
      <xdr:row>30</xdr:row>
      <xdr:rowOff>47627</xdr:rowOff>
    </xdr:to>
    <xdr:cxnSp macro="">
      <xdr:nvCxnSpPr>
        <xdr:cNvPr id="41" name="直線矢印コネクタ 40">
          <a:extLst>
            <a:ext uri="{FF2B5EF4-FFF2-40B4-BE49-F238E27FC236}">
              <a16:creationId xmlns:a16="http://schemas.microsoft.com/office/drawing/2014/main" id="{00000000-0008-0000-0300-000029000000}"/>
            </a:ext>
          </a:extLst>
        </xdr:cNvPr>
        <xdr:cNvCxnSpPr/>
      </xdr:nvCxnSpPr>
      <xdr:spPr>
        <a:xfrm flipH="1">
          <a:off x="2693194" y="5000626"/>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4</xdr:row>
      <xdr:rowOff>0</xdr:rowOff>
    </xdr:from>
    <xdr:to>
      <xdr:col>2</xdr:col>
      <xdr:colOff>571500</xdr:colOff>
      <xdr:row>6</xdr:row>
      <xdr:rowOff>148166</xdr:rowOff>
    </xdr:to>
    <xdr:sp macro="" textlink="">
      <xdr:nvSpPr>
        <xdr:cNvPr id="42" name="正方形/長方形 41">
          <a:extLst>
            <a:ext uri="{FF2B5EF4-FFF2-40B4-BE49-F238E27FC236}">
              <a16:creationId xmlns:a16="http://schemas.microsoft.com/office/drawing/2014/main" id="{00000000-0008-0000-0300-00002A000000}"/>
            </a:ext>
          </a:extLst>
        </xdr:cNvPr>
        <xdr:cNvSpPr/>
      </xdr:nvSpPr>
      <xdr:spPr>
        <a:xfrm>
          <a:off x="624417" y="677333"/>
          <a:ext cx="1195916" cy="486833"/>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chemeClr val="tx1"/>
              </a:solidFill>
            </a:rPr>
            <a:t>更新前</a:t>
          </a:r>
        </a:p>
      </xdr:txBody>
    </xdr:sp>
    <xdr:clientData/>
  </xdr:twoCellAnchor>
  <xdr:twoCellAnchor>
    <xdr:from>
      <xdr:col>4</xdr:col>
      <xdr:colOff>345283</xdr:colOff>
      <xdr:row>82</xdr:row>
      <xdr:rowOff>14554</xdr:rowOff>
    </xdr:from>
    <xdr:to>
      <xdr:col>8</xdr:col>
      <xdr:colOff>333377</xdr:colOff>
      <xdr:row>97</xdr:row>
      <xdr:rowOff>26460</xdr:rowOff>
    </xdr:to>
    <xdr:sp macro="" textlink="">
      <xdr:nvSpPr>
        <xdr:cNvPr id="43" name="正方形/長方形 42">
          <a:extLst>
            <a:ext uri="{FF2B5EF4-FFF2-40B4-BE49-F238E27FC236}">
              <a16:creationId xmlns:a16="http://schemas.microsoft.com/office/drawing/2014/main" id="{00000000-0008-0000-0300-00002B000000}"/>
            </a:ext>
          </a:extLst>
        </xdr:cNvPr>
        <xdr:cNvSpPr/>
      </xdr:nvSpPr>
      <xdr:spPr>
        <a:xfrm>
          <a:off x="2842950" y="13561221"/>
          <a:ext cx="2485760" cy="2551906"/>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0</xdr:colOff>
      <xdr:row>90</xdr:row>
      <xdr:rowOff>14552</xdr:rowOff>
    </xdr:from>
    <xdr:to>
      <xdr:col>8</xdr:col>
      <xdr:colOff>333376</xdr:colOff>
      <xdr:row>106</xdr:row>
      <xdr:rowOff>14552</xdr:rowOff>
    </xdr:to>
    <xdr:sp macro="" textlink="">
      <xdr:nvSpPr>
        <xdr:cNvPr id="44" name="正方形/長方形 43">
          <a:extLst>
            <a:ext uri="{FF2B5EF4-FFF2-40B4-BE49-F238E27FC236}">
              <a16:creationId xmlns:a16="http://schemas.microsoft.com/office/drawing/2014/main" id="{00000000-0008-0000-0300-00002C000000}"/>
            </a:ext>
          </a:extLst>
        </xdr:cNvPr>
        <xdr:cNvSpPr/>
      </xdr:nvSpPr>
      <xdr:spPr>
        <a:xfrm>
          <a:off x="624417" y="14915885"/>
          <a:ext cx="4704292" cy="2709334"/>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xdr:colOff>
      <xdr:row>59</xdr:row>
      <xdr:rowOff>2647</xdr:rowOff>
    </xdr:from>
    <xdr:to>
      <xdr:col>8</xdr:col>
      <xdr:colOff>1</xdr:colOff>
      <xdr:row>65</xdr:row>
      <xdr:rowOff>2647</xdr:rowOff>
    </xdr:to>
    <xdr:sp macro="" textlink="">
      <xdr:nvSpPr>
        <xdr:cNvPr id="46" name="正方形/長方形 45">
          <a:extLst>
            <a:ext uri="{FF2B5EF4-FFF2-40B4-BE49-F238E27FC236}">
              <a16:creationId xmlns:a16="http://schemas.microsoft.com/office/drawing/2014/main" id="{00000000-0008-0000-0300-00002E000000}"/>
            </a:ext>
          </a:extLst>
        </xdr:cNvPr>
        <xdr:cNvSpPr/>
      </xdr:nvSpPr>
      <xdr:spPr>
        <a:xfrm>
          <a:off x="3122084" y="9654647"/>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OneSAP</a:t>
          </a:r>
        </a:p>
        <a:p>
          <a:pPr algn="l"/>
          <a:endParaRPr kumimoji="1" lang="ja-JP" altLang="en-US" sz="1100">
            <a:solidFill>
              <a:sysClr val="windowText" lastClr="000000"/>
            </a:solidFill>
          </a:endParaRPr>
        </a:p>
      </xdr:txBody>
    </xdr:sp>
    <xdr:clientData/>
  </xdr:twoCellAnchor>
  <xdr:twoCellAnchor>
    <xdr:from>
      <xdr:col>5</xdr:col>
      <xdr:colOff>1</xdr:colOff>
      <xdr:row>67</xdr:row>
      <xdr:rowOff>2647</xdr:rowOff>
    </xdr:from>
    <xdr:to>
      <xdr:col>8</xdr:col>
      <xdr:colOff>1</xdr:colOff>
      <xdr:row>73</xdr:row>
      <xdr:rowOff>2647</xdr:rowOff>
    </xdr:to>
    <xdr:sp macro="" textlink="">
      <xdr:nvSpPr>
        <xdr:cNvPr id="47" name="正方形/長方形 46">
          <a:extLst>
            <a:ext uri="{FF2B5EF4-FFF2-40B4-BE49-F238E27FC236}">
              <a16:creationId xmlns:a16="http://schemas.microsoft.com/office/drawing/2014/main" id="{00000000-0008-0000-0300-00002F000000}"/>
            </a:ext>
          </a:extLst>
        </xdr:cNvPr>
        <xdr:cNvSpPr/>
      </xdr:nvSpPr>
      <xdr:spPr>
        <a:xfrm>
          <a:off x="3122084" y="11009314"/>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連携</a:t>
          </a:r>
          <a:r>
            <a:rPr kumimoji="1" lang="en-US" altLang="ja-JP" sz="1100">
              <a:solidFill>
                <a:sysClr val="windowText" lastClr="000000"/>
              </a:solidFill>
            </a:rPr>
            <a:t>NAS</a:t>
          </a:r>
        </a:p>
        <a:p>
          <a:pPr algn="l"/>
          <a:r>
            <a:rPr kumimoji="1" lang="ja-JP" altLang="en-US" sz="1100">
              <a:solidFill>
                <a:sysClr val="windowText" lastClr="000000"/>
              </a:solidFill>
            </a:rPr>
            <a:t>・</a:t>
          </a:r>
          <a:r>
            <a:rPr kumimoji="1" lang="en-US" altLang="ja-JP" sz="1100">
              <a:solidFill>
                <a:sysClr val="windowText" lastClr="000000"/>
              </a:solidFill>
            </a:rPr>
            <a:t>SAP</a:t>
          </a:r>
          <a:r>
            <a:rPr kumimoji="1" lang="ja-JP" altLang="en-US" sz="1100">
              <a:solidFill>
                <a:sysClr val="windowText" lastClr="000000"/>
              </a:solidFill>
            </a:rPr>
            <a:t>とのファイル連携用</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5</xdr:col>
      <xdr:colOff>1</xdr:colOff>
      <xdr:row>83</xdr:row>
      <xdr:rowOff>2647</xdr:rowOff>
    </xdr:from>
    <xdr:to>
      <xdr:col>8</xdr:col>
      <xdr:colOff>1</xdr:colOff>
      <xdr:row>89</xdr:row>
      <xdr:rowOff>2647</xdr:rowOff>
    </xdr:to>
    <xdr:sp macro="" textlink="">
      <xdr:nvSpPr>
        <xdr:cNvPr id="48" name="正方形/長方形 47">
          <a:extLst>
            <a:ext uri="{FF2B5EF4-FFF2-40B4-BE49-F238E27FC236}">
              <a16:creationId xmlns:a16="http://schemas.microsoft.com/office/drawing/2014/main" id="{00000000-0008-0000-0300-000030000000}"/>
            </a:ext>
          </a:extLst>
        </xdr:cNvPr>
        <xdr:cNvSpPr/>
      </xdr:nvSpPr>
      <xdr:spPr>
        <a:xfrm>
          <a:off x="3122084" y="13718647"/>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新徳山ヤード操業サーバ</a:t>
          </a:r>
          <a:endParaRPr kumimoji="1" lang="en-US" altLang="ja-JP" sz="1100">
            <a:solidFill>
              <a:sysClr val="windowText" lastClr="000000"/>
            </a:solidFill>
          </a:endParaRP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PIMS</a:t>
          </a:r>
          <a:r>
            <a:rPr kumimoji="1" lang="ja-JP" altLang="en-US" sz="1100">
              <a:solidFill>
                <a:sysClr val="windowText" lastClr="000000"/>
              </a:solidFill>
            </a:rPr>
            <a:t>取込サービス</a:t>
          </a:r>
        </a:p>
      </xdr:txBody>
    </xdr:sp>
    <xdr:clientData/>
  </xdr:twoCellAnchor>
  <xdr:twoCellAnchor>
    <xdr:from>
      <xdr:col>5</xdr:col>
      <xdr:colOff>1</xdr:colOff>
      <xdr:row>91</xdr:row>
      <xdr:rowOff>2647</xdr:rowOff>
    </xdr:from>
    <xdr:to>
      <xdr:col>8</xdr:col>
      <xdr:colOff>1</xdr:colOff>
      <xdr:row>97</xdr:row>
      <xdr:rowOff>2647</xdr:rowOff>
    </xdr:to>
    <xdr:sp macro="" textlink="">
      <xdr:nvSpPr>
        <xdr:cNvPr id="49" name="正方形/長方形 48">
          <a:extLst>
            <a:ext uri="{FF2B5EF4-FFF2-40B4-BE49-F238E27FC236}">
              <a16:creationId xmlns:a16="http://schemas.microsoft.com/office/drawing/2014/main" id="{00000000-0008-0000-0300-000031000000}"/>
            </a:ext>
          </a:extLst>
        </xdr:cNvPr>
        <xdr:cNvSpPr/>
      </xdr:nvSpPr>
      <xdr:spPr>
        <a:xfrm>
          <a:off x="3122084" y="15073314"/>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新徳山事業所</a:t>
          </a:r>
          <a:r>
            <a:rPr kumimoji="1" lang="en-US" altLang="ja-JP" sz="1100">
              <a:solidFill>
                <a:sysClr val="windowText" lastClr="000000"/>
              </a:solidFill>
            </a:rPr>
            <a:t>(</a:t>
          </a:r>
          <a:r>
            <a:rPr kumimoji="1" lang="ja-JP" altLang="en-US" sz="1100">
              <a:solidFill>
                <a:sysClr val="windowText" lastClr="000000"/>
              </a:solidFill>
            </a:rPr>
            <a:t>化学</a:t>
          </a:r>
          <a:r>
            <a:rPr kumimoji="1" lang="en-US" altLang="ja-JP" sz="1100">
              <a:solidFill>
                <a:sysClr val="windowText" lastClr="000000"/>
              </a:solidFill>
            </a:rPr>
            <a:t>)GW</a:t>
          </a:r>
          <a:r>
            <a:rPr kumimoji="1" lang="ja-JP" altLang="en-US" sz="1100">
              <a:solidFill>
                <a:sysClr val="windowText" lastClr="000000"/>
              </a:solidFill>
            </a:rPr>
            <a:t>サーバ</a:t>
          </a:r>
          <a:endParaRPr kumimoji="1" lang="en-US" altLang="ja-JP" sz="11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L3</a:t>
          </a:r>
          <a:r>
            <a:rPr kumimoji="1" lang="ja-JP" altLang="ja-JP" sz="1100">
              <a:solidFill>
                <a:sysClr val="windowText" lastClr="000000"/>
              </a:solidFill>
              <a:effectLst/>
              <a:latin typeface="+mn-lt"/>
              <a:ea typeface="+mn-ea"/>
              <a:cs typeface="+mn-cs"/>
            </a:rPr>
            <a:t>層とのファイル連携用</a:t>
          </a:r>
          <a:endParaRPr lang="ja-JP" altLang="ja-JP">
            <a:solidFill>
              <a:sysClr val="windowText" lastClr="000000"/>
            </a:solidFill>
            <a:effectLst/>
          </a:endParaRPr>
        </a:p>
      </xdr:txBody>
    </xdr:sp>
    <xdr:clientData/>
  </xdr:twoCellAnchor>
  <xdr:twoCellAnchor>
    <xdr:from>
      <xdr:col>9</xdr:col>
      <xdr:colOff>1</xdr:colOff>
      <xdr:row>91</xdr:row>
      <xdr:rowOff>2647</xdr:rowOff>
    </xdr:from>
    <xdr:to>
      <xdr:col>12</xdr:col>
      <xdr:colOff>1</xdr:colOff>
      <xdr:row>97</xdr:row>
      <xdr:rowOff>2647</xdr:rowOff>
    </xdr:to>
    <xdr:sp macro="" textlink="">
      <xdr:nvSpPr>
        <xdr:cNvPr id="50" name="正方形/長方形 49">
          <a:extLst>
            <a:ext uri="{FF2B5EF4-FFF2-40B4-BE49-F238E27FC236}">
              <a16:creationId xmlns:a16="http://schemas.microsoft.com/office/drawing/2014/main" id="{00000000-0008-0000-0300-000032000000}"/>
            </a:ext>
          </a:extLst>
        </xdr:cNvPr>
        <xdr:cNvSpPr/>
      </xdr:nvSpPr>
      <xdr:spPr>
        <a:xfrm>
          <a:off x="5619751" y="15073314"/>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PIMS</a:t>
          </a:r>
          <a:r>
            <a:rPr kumimoji="1" lang="ja-JP" altLang="en-US" sz="1100">
              <a:solidFill>
                <a:sysClr val="windowText" lastClr="000000"/>
              </a:solidFill>
            </a:rPr>
            <a:t>サーバ</a:t>
          </a:r>
          <a:endParaRPr kumimoji="1" lang="en-US" altLang="ja-JP" sz="11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PHX</a:t>
          </a:r>
          <a:r>
            <a:rPr kumimoji="1" lang="ja-JP" altLang="ja-JP" sz="1100">
              <a:solidFill>
                <a:sysClr val="windowText" lastClr="000000"/>
              </a:solidFill>
              <a:effectLst/>
              <a:latin typeface="+mn-lt"/>
              <a:ea typeface="+mn-ea"/>
              <a:cs typeface="+mn-cs"/>
            </a:rPr>
            <a:t>データ取込元</a:t>
          </a:r>
          <a:endParaRPr lang="ja-JP" altLang="ja-JP">
            <a:solidFill>
              <a:sysClr val="windowText" lastClr="000000"/>
            </a:solidFill>
            <a:effectLst/>
          </a:endParaRPr>
        </a:p>
      </xdr:txBody>
    </xdr:sp>
    <xdr:clientData/>
  </xdr:twoCellAnchor>
  <xdr:twoCellAnchor>
    <xdr:from>
      <xdr:col>6</xdr:col>
      <xdr:colOff>345283</xdr:colOff>
      <xdr:row>73</xdr:row>
      <xdr:rowOff>2647</xdr:rowOff>
    </xdr:from>
    <xdr:to>
      <xdr:col>6</xdr:col>
      <xdr:colOff>345283</xdr:colOff>
      <xdr:row>83</xdr:row>
      <xdr:rowOff>2647</xdr:rowOff>
    </xdr:to>
    <xdr:cxnSp macro="">
      <xdr:nvCxnSpPr>
        <xdr:cNvPr id="51" name="直線コネクタ 50">
          <a:extLst>
            <a:ext uri="{FF2B5EF4-FFF2-40B4-BE49-F238E27FC236}">
              <a16:creationId xmlns:a16="http://schemas.microsoft.com/office/drawing/2014/main" id="{00000000-0008-0000-0300-000033000000}"/>
            </a:ext>
          </a:extLst>
        </xdr:cNvPr>
        <xdr:cNvCxnSpPr>
          <a:stCxn id="47" idx="2"/>
          <a:endCxn id="48" idx="0"/>
        </xdr:cNvCxnSpPr>
      </xdr:nvCxnSpPr>
      <xdr:spPr>
        <a:xfrm>
          <a:off x="4091783" y="12025314"/>
          <a:ext cx="0" cy="1693333"/>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342901</xdr:colOff>
      <xdr:row>89</xdr:row>
      <xdr:rowOff>2647</xdr:rowOff>
    </xdr:from>
    <xdr:to>
      <xdr:col>10</xdr:col>
      <xdr:colOff>342901</xdr:colOff>
      <xdr:row>91</xdr:row>
      <xdr:rowOff>2647</xdr:rowOff>
    </xdr:to>
    <xdr:cxnSp macro="">
      <xdr:nvCxnSpPr>
        <xdr:cNvPr id="52" name="カギ線コネクタ 51">
          <a:extLst>
            <a:ext uri="{FF2B5EF4-FFF2-40B4-BE49-F238E27FC236}">
              <a16:creationId xmlns:a16="http://schemas.microsoft.com/office/drawing/2014/main" id="{00000000-0008-0000-0300-000034000000}"/>
            </a:ext>
          </a:extLst>
        </xdr:cNvPr>
        <xdr:cNvCxnSpPr>
          <a:stCxn id="48" idx="2"/>
          <a:endCxn id="50" idx="0"/>
        </xdr:cNvCxnSpPr>
      </xdr:nvCxnSpPr>
      <xdr:spPr>
        <a:xfrm rot="16200000" flipH="1">
          <a:off x="5168901" y="13655147"/>
          <a:ext cx="338667" cy="2497667"/>
        </a:xfrm>
        <a:prstGeom prst="bentConnector3">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342901</xdr:colOff>
      <xdr:row>65</xdr:row>
      <xdr:rowOff>2647</xdr:rowOff>
    </xdr:from>
    <xdr:to>
      <xdr:col>6</xdr:col>
      <xdr:colOff>342901</xdr:colOff>
      <xdr:row>67</xdr:row>
      <xdr:rowOff>2647</xdr:rowOff>
    </xdr:to>
    <xdr:cxnSp macro="">
      <xdr:nvCxnSpPr>
        <xdr:cNvPr id="53" name="直線コネクタ 52">
          <a:extLst>
            <a:ext uri="{FF2B5EF4-FFF2-40B4-BE49-F238E27FC236}">
              <a16:creationId xmlns:a16="http://schemas.microsoft.com/office/drawing/2014/main" id="{00000000-0008-0000-0300-000035000000}"/>
            </a:ext>
          </a:extLst>
        </xdr:cNvPr>
        <xdr:cNvCxnSpPr>
          <a:stCxn id="46" idx="2"/>
          <a:endCxn id="47" idx="0"/>
        </xdr:cNvCxnSpPr>
      </xdr:nvCxnSpPr>
      <xdr:spPr>
        <a:xfrm>
          <a:off x="4089401" y="10670647"/>
          <a:ext cx="0" cy="338667"/>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228601</xdr:colOff>
      <xdr:row>89</xdr:row>
      <xdr:rowOff>2647</xdr:rowOff>
    </xdr:from>
    <xdr:to>
      <xdr:col>6</xdr:col>
      <xdr:colOff>228601</xdr:colOff>
      <xdr:row>91</xdr:row>
      <xdr:rowOff>2647</xdr:rowOff>
    </xdr:to>
    <xdr:cxnSp macro="">
      <xdr:nvCxnSpPr>
        <xdr:cNvPr id="54" name="直線コネクタ 53">
          <a:extLst>
            <a:ext uri="{FF2B5EF4-FFF2-40B4-BE49-F238E27FC236}">
              <a16:creationId xmlns:a16="http://schemas.microsoft.com/office/drawing/2014/main" id="{00000000-0008-0000-0300-000036000000}"/>
            </a:ext>
          </a:extLst>
        </xdr:cNvPr>
        <xdr:cNvCxnSpPr/>
      </xdr:nvCxnSpPr>
      <xdr:spPr>
        <a:xfrm>
          <a:off x="3975101" y="14734647"/>
          <a:ext cx="0" cy="338667"/>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xdr:colOff>
      <xdr:row>99</xdr:row>
      <xdr:rowOff>2648</xdr:rowOff>
    </xdr:from>
    <xdr:to>
      <xdr:col>8</xdr:col>
      <xdr:colOff>1</xdr:colOff>
      <xdr:row>105</xdr:row>
      <xdr:rowOff>2648</xdr:rowOff>
    </xdr:to>
    <xdr:sp macro="" textlink="">
      <xdr:nvSpPr>
        <xdr:cNvPr id="55" name="正方形/長方形 54">
          <a:extLst>
            <a:ext uri="{FF2B5EF4-FFF2-40B4-BE49-F238E27FC236}">
              <a16:creationId xmlns:a16="http://schemas.microsoft.com/office/drawing/2014/main" id="{00000000-0008-0000-0300-000037000000}"/>
            </a:ext>
          </a:extLst>
        </xdr:cNvPr>
        <xdr:cNvSpPr/>
      </xdr:nvSpPr>
      <xdr:spPr>
        <a:xfrm>
          <a:off x="3122084" y="16427981"/>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運転制御サーバ</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6</xdr:col>
      <xdr:colOff>342901</xdr:colOff>
      <xdr:row>97</xdr:row>
      <xdr:rowOff>2647</xdr:rowOff>
    </xdr:from>
    <xdr:to>
      <xdr:col>6</xdr:col>
      <xdr:colOff>342901</xdr:colOff>
      <xdr:row>99</xdr:row>
      <xdr:rowOff>2648</xdr:rowOff>
    </xdr:to>
    <xdr:cxnSp macro="">
      <xdr:nvCxnSpPr>
        <xdr:cNvPr id="56" name="直線コネクタ 55">
          <a:extLst>
            <a:ext uri="{FF2B5EF4-FFF2-40B4-BE49-F238E27FC236}">
              <a16:creationId xmlns:a16="http://schemas.microsoft.com/office/drawing/2014/main" id="{00000000-0008-0000-0300-000038000000}"/>
            </a:ext>
          </a:extLst>
        </xdr:cNvPr>
        <xdr:cNvCxnSpPr>
          <a:stCxn id="49" idx="2"/>
          <a:endCxn id="55" idx="0"/>
        </xdr:cNvCxnSpPr>
      </xdr:nvCxnSpPr>
      <xdr:spPr>
        <a:xfrm>
          <a:off x="4089401" y="16089314"/>
          <a:ext cx="0" cy="338667"/>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95251</xdr:colOff>
      <xdr:row>89</xdr:row>
      <xdr:rowOff>31222</xdr:rowOff>
    </xdr:from>
    <xdr:to>
      <xdr:col>6</xdr:col>
      <xdr:colOff>95251</xdr:colOff>
      <xdr:row>90</xdr:row>
      <xdr:rowOff>145524</xdr:rowOff>
    </xdr:to>
    <xdr:cxnSp macro="">
      <xdr:nvCxnSpPr>
        <xdr:cNvPr id="57" name="直線矢印コネクタ 56">
          <a:extLst>
            <a:ext uri="{FF2B5EF4-FFF2-40B4-BE49-F238E27FC236}">
              <a16:creationId xmlns:a16="http://schemas.microsoft.com/office/drawing/2014/main" id="{00000000-0008-0000-0300-000039000000}"/>
            </a:ext>
          </a:extLst>
        </xdr:cNvPr>
        <xdr:cNvCxnSpPr/>
      </xdr:nvCxnSpPr>
      <xdr:spPr>
        <a:xfrm flipV="1">
          <a:off x="3841751" y="14763222"/>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473867</xdr:colOff>
      <xdr:row>97</xdr:row>
      <xdr:rowOff>31222</xdr:rowOff>
    </xdr:from>
    <xdr:to>
      <xdr:col>6</xdr:col>
      <xdr:colOff>473867</xdr:colOff>
      <xdr:row>98</xdr:row>
      <xdr:rowOff>145523</xdr:rowOff>
    </xdr:to>
    <xdr:cxnSp macro="">
      <xdr:nvCxnSpPr>
        <xdr:cNvPr id="58" name="直線矢印コネクタ 57">
          <a:extLst>
            <a:ext uri="{FF2B5EF4-FFF2-40B4-BE49-F238E27FC236}">
              <a16:creationId xmlns:a16="http://schemas.microsoft.com/office/drawing/2014/main" id="{00000000-0008-0000-0300-00003A000000}"/>
            </a:ext>
          </a:extLst>
        </xdr:cNvPr>
        <xdr:cNvCxnSpPr/>
      </xdr:nvCxnSpPr>
      <xdr:spPr>
        <a:xfrm flipV="1">
          <a:off x="4220367" y="16117889"/>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188120</xdr:colOff>
      <xdr:row>77</xdr:row>
      <xdr:rowOff>78847</xdr:rowOff>
    </xdr:from>
    <xdr:to>
      <xdr:col>6</xdr:col>
      <xdr:colOff>188120</xdr:colOff>
      <xdr:row>79</xdr:row>
      <xdr:rowOff>26461</xdr:rowOff>
    </xdr:to>
    <xdr:cxnSp macro="">
      <xdr:nvCxnSpPr>
        <xdr:cNvPr id="59" name="直線矢印コネクタ 58">
          <a:extLst>
            <a:ext uri="{FF2B5EF4-FFF2-40B4-BE49-F238E27FC236}">
              <a16:creationId xmlns:a16="http://schemas.microsoft.com/office/drawing/2014/main" id="{00000000-0008-0000-0300-00003B000000}"/>
            </a:ext>
          </a:extLst>
        </xdr:cNvPr>
        <xdr:cNvCxnSpPr/>
      </xdr:nvCxnSpPr>
      <xdr:spPr>
        <a:xfrm flipV="1">
          <a:off x="3934620" y="12778847"/>
          <a:ext cx="0" cy="28628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133351</xdr:colOff>
      <xdr:row>89</xdr:row>
      <xdr:rowOff>78847</xdr:rowOff>
    </xdr:from>
    <xdr:to>
      <xdr:col>8</xdr:col>
      <xdr:colOff>495301</xdr:colOff>
      <xdr:row>89</xdr:row>
      <xdr:rowOff>78848</xdr:rowOff>
    </xdr:to>
    <xdr:cxnSp macro="">
      <xdr:nvCxnSpPr>
        <xdr:cNvPr id="60" name="直線矢印コネクタ 59">
          <a:extLst>
            <a:ext uri="{FF2B5EF4-FFF2-40B4-BE49-F238E27FC236}">
              <a16:creationId xmlns:a16="http://schemas.microsoft.com/office/drawing/2014/main" id="{00000000-0008-0000-0300-00003C000000}"/>
            </a:ext>
          </a:extLst>
        </xdr:cNvPr>
        <xdr:cNvCxnSpPr/>
      </xdr:nvCxnSpPr>
      <xdr:spPr>
        <a:xfrm flipH="1">
          <a:off x="5128684" y="14810847"/>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188120</xdr:colOff>
      <xdr:row>65</xdr:row>
      <xdr:rowOff>21697</xdr:rowOff>
    </xdr:from>
    <xdr:to>
      <xdr:col>6</xdr:col>
      <xdr:colOff>188120</xdr:colOff>
      <xdr:row>66</xdr:row>
      <xdr:rowOff>135999</xdr:rowOff>
    </xdr:to>
    <xdr:cxnSp macro="">
      <xdr:nvCxnSpPr>
        <xdr:cNvPr id="61" name="直線矢印コネクタ 60">
          <a:extLst>
            <a:ext uri="{FF2B5EF4-FFF2-40B4-BE49-F238E27FC236}">
              <a16:creationId xmlns:a16="http://schemas.microsoft.com/office/drawing/2014/main" id="{00000000-0008-0000-0300-00003D000000}"/>
            </a:ext>
          </a:extLst>
        </xdr:cNvPr>
        <xdr:cNvCxnSpPr/>
      </xdr:nvCxnSpPr>
      <xdr:spPr>
        <a:xfrm flipV="1">
          <a:off x="3934620" y="10689697"/>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392907</xdr:colOff>
      <xdr:row>85</xdr:row>
      <xdr:rowOff>52654</xdr:rowOff>
    </xdr:from>
    <xdr:to>
      <xdr:col>10</xdr:col>
      <xdr:colOff>64295</xdr:colOff>
      <xdr:row>85</xdr:row>
      <xdr:rowOff>52655</xdr:rowOff>
    </xdr:to>
    <xdr:cxnSp macro="">
      <xdr:nvCxnSpPr>
        <xdr:cNvPr id="62" name="直線矢印コネクタ 61">
          <a:extLst>
            <a:ext uri="{FF2B5EF4-FFF2-40B4-BE49-F238E27FC236}">
              <a16:creationId xmlns:a16="http://schemas.microsoft.com/office/drawing/2014/main" id="{00000000-0008-0000-0300-00003E000000}"/>
            </a:ext>
          </a:extLst>
        </xdr:cNvPr>
        <xdr:cNvCxnSpPr/>
      </xdr:nvCxnSpPr>
      <xdr:spPr>
        <a:xfrm flipH="1">
          <a:off x="6012657" y="14107321"/>
          <a:ext cx="295805"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277092</xdr:colOff>
      <xdr:row>86</xdr:row>
      <xdr:rowOff>135997</xdr:rowOff>
    </xdr:from>
    <xdr:to>
      <xdr:col>8</xdr:col>
      <xdr:colOff>5101</xdr:colOff>
      <xdr:row>88</xdr:row>
      <xdr:rowOff>151999</xdr:rowOff>
    </xdr:to>
    <xdr:sp macro="" textlink="">
      <xdr:nvSpPr>
        <xdr:cNvPr id="63" name="円柱 62">
          <a:extLst>
            <a:ext uri="{FF2B5EF4-FFF2-40B4-BE49-F238E27FC236}">
              <a16:creationId xmlns:a16="http://schemas.microsoft.com/office/drawing/2014/main" id="{00000000-0008-0000-0300-00003F000000}"/>
            </a:ext>
          </a:extLst>
        </xdr:cNvPr>
        <xdr:cNvSpPr/>
      </xdr:nvSpPr>
      <xdr:spPr>
        <a:xfrm>
          <a:off x="4648009" y="14359997"/>
          <a:ext cx="35242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381000</xdr:colOff>
      <xdr:row>60</xdr:row>
      <xdr:rowOff>97898</xdr:rowOff>
    </xdr:from>
    <xdr:to>
      <xdr:col>13</xdr:col>
      <xdr:colOff>10584</xdr:colOff>
      <xdr:row>76</xdr:row>
      <xdr:rowOff>83608</xdr:rowOff>
    </xdr:to>
    <xdr:sp macro="" textlink="">
      <xdr:nvSpPr>
        <xdr:cNvPr id="64" name="正方形/長方形 63">
          <a:extLst>
            <a:ext uri="{FF2B5EF4-FFF2-40B4-BE49-F238E27FC236}">
              <a16:creationId xmlns:a16="http://schemas.microsoft.com/office/drawing/2014/main" id="{00000000-0008-0000-0300-000040000000}"/>
            </a:ext>
          </a:extLst>
        </xdr:cNvPr>
        <xdr:cNvSpPr/>
      </xdr:nvSpPr>
      <xdr:spPr>
        <a:xfrm>
          <a:off x="5905500" y="10257898"/>
          <a:ext cx="2084917" cy="2695043"/>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新共通基盤</a:t>
          </a:r>
        </a:p>
      </xdr:txBody>
    </xdr:sp>
    <xdr:clientData/>
  </xdr:twoCellAnchor>
  <xdr:twoCellAnchor>
    <xdr:from>
      <xdr:col>10</xdr:col>
      <xdr:colOff>9526</xdr:colOff>
      <xdr:row>69</xdr:row>
      <xdr:rowOff>88373</xdr:rowOff>
    </xdr:from>
    <xdr:to>
      <xdr:col>13</xdr:col>
      <xdr:colOff>9526</xdr:colOff>
      <xdr:row>75</xdr:row>
      <xdr:rowOff>88373</xdr:rowOff>
    </xdr:to>
    <xdr:sp macro="" textlink="">
      <xdr:nvSpPr>
        <xdr:cNvPr id="65" name="正方形/長方形 64">
          <a:extLst>
            <a:ext uri="{FF2B5EF4-FFF2-40B4-BE49-F238E27FC236}">
              <a16:creationId xmlns:a16="http://schemas.microsoft.com/office/drawing/2014/main" id="{00000000-0008-0000-0300-000041000000}"/>
            </a:ext>
          </a:extLst>
        </xdr:cNvPr>
        <xdr:cNvSpPr/>
      </xdr:nvSpPr>
      <xdr:spPr>
        <a:xfrm>
          <a:off x="6253693" y="11433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バッチ基盤サーバ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13</xdr:col>
      <xdr:colOff>9526</xdr:colOff>
      <xdr:row>69</xdr:row>
      <xdr:rowOff>88373</xdr:rowOff>
    </xdr:from>
    <xdr:to>
      <xdr:col>16</xdr:col>
      <xdr:colOff>9526</xdr:colOff>
      <xdr:row>75</xdr:row>
      <xdr:rowOff>88373</xdr:rowOff>
    </xdr:to>
    <xdr:sp macro="" textlink="">
      <xdr:nvSpPr>
        <xdr:cNvPr id="66" name="正方形/長方形 65">
          <a:extLst>
            <a:ext uri="{FF2B5EF4-FFF2-40B4-BE49-F238E27FC236}">
              <a16:creationId xmlns:a16="http://schemas.microsoft.com/office/drawing/2014/main" id="{00000000-0008-0000-0300-000042000000}"/>
            </a:ext>
          </a:extLst>
        </xdr:cNvPr>
        <xdr:cNvSpPr/>
      </xdr:nvSpPr>
      <xdr:spPr>
        <a:xfrm>
          <a:off x="8126943" y="11433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共通基盤帳票サーバ</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10</xdr:col>
      <xdr:colOff>9526</xdr:colOff>
      <xdr:row>63</xdr:row>
      <xdr:rowOff>88373</xdr:rowOff>
    </xdr:from>
    <xdr:to>
      <xdr:col>13</xdr:col>
      <xdr:colOff>9526</xdr:colOff>
      <xdr:row>69</xdr:row>
      <xdr:rowOff>88373</xdr:rowOff>
    </xdr:to>
    <xdr:sp macro="" textlink="">
      <xdr:nvSpPr>
        <xdr:cNvPr id="67" name="正方形/長方形 66">
          <a:extLst>
            <a:ext uri="{FF2B5EF4-FFF2-40B4-BE49-F238E27FC236}">
              <a16:creationId xmlns:a16="http://schemas.microsoft.com/office/drawing/2014/main" id="{00000000-0008-0000-0300-000043000000}"/>
            </a:ext>
          </a:extLst>
        </xdr:cNvPr>
        <xdr:cNvSpPr/>
      </xdr:nvSpPr>
      <xdr:spPr>
        <a:xfrm>
          <a:off x="6253693" y="10417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endParaRPr kumimoji="1" lang="en-US" altLang="ja-JP" sz="1100">
            <a:solidFill>
              <a:sysClr val="windowText" lastClr="000000"/>
            </a:solidFill>
          </a:endParaRPr>
        </a:p>
        <a:p>
          <a:pPr algn="l"/>
          <a:r>
            <a:rPr kumimoji="1" lang="ja-JP" altLang="en-US" sz="1100">
              <a:solidFill>
                <a:sysClr val="windowText" lastClr="000000"/>
              </a:solidFill>
            </a:rPr>
            <a:t>・用役管理システム</a:t>
          </a:r>
          <a:endParaRPr kumimoji="1" lang="en-US" altLang="ja-JP" sz="1100">
            <a:solidFill>
              <a:sysClr val="windowText" lastClr="000000"/>
            </a:solidFill>
          </a:endParaRPr>
        </a:p>
      </xdr:txBody>
    </xdr:sp>
    <xdr:clientData/>
  </xdr:twoCellAnchor>
  <xdr:twoCellAnchor>
    <xdr:from>
      <xdr:col>13</xdr:col>
      <xdr:colOff>9526</xdr:colOff>
      <xdr:row>63</xdr:row>
      <xdr:rowOff>88373</xdr:rowOff>
    </xdr:from>
    <xdr:to>
      <xdr:col>16</xdr:col>
      <xdr:colOff>9526</xdr:colOff>
      <xdr:row>69</xdr:row>
      <xdr:rowOff>88373</xdr:rowOff>
    </xdr:to>
    <xdr:sp macro="" textlink="">
      <xdr:nvSpPr>
        <xdr:cNvPr id="68" name="正方形/長方形 67">
          <a:extLst>
            <a:ext uri="{FF2B5EF4-FFF2-40B4-BE49-F238E27FC236}">
              <a16:creationId xmlns:a16="http://schemas.microsoft.com/office/drawing/2014/main" id="{00000000-0008-0000-0300-000044000000}"/>
            </a:ext>
          </a:extLst>
        </xdr:cNvPr>
        <xdr:cNvSpPr/>
      </xdr:nvSpPr>
      <xdr:spPr>
        <a:xfrm>
          <a:off x="8126943" y="10417706"/>
          <a:ext cx="1873250" cy="1016000"/>
        </a:xfrm>
        <a:prstGeom prst="rect">
          <a:avLst/>
        </a:prstGeom>
        <a:solidFill>
          <a:schemeClr val="accent6">
            <a:lumMod val="40000"/>
            <a:lumOff val="60000"/>
          </a:schemeClr>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工場集約</a:t>
          </a:r>
          <a:r>
            <a:rPr kumimoji="1" lang="en-US" altLang="ja-JP" sz="1100">
              <a:solidFill>
                <a:sysClr val="windowText" lastClr="000000"/>
              </a:solidFill>
            </a:rPr>
            <a:t>DB</a:t>
          </a:r>
          <a:r>
            <a:rPr kumimoji="1" lang="ja-JP" altLang="en-US" sz="1100">
              <a:solidFill>
                <a:sysClr val="windowText" lastClr="000000"/>
              </a:solidFill>
            </a:rPr>
            <a:t>サーバ</a:t>
          </a: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ja-JP" altLang="en-US" sz="1100">
            <a:solidFill>
              <a:sysClr val="windowText" lastClr="000000"/>
            </a:solidFill>
          </a:endParaRPr>
        </a:p>
      </xdr:txBody>
    </xdr:sp>
    <xdr:clientData/>
  </xdr:twoCellAnchor>
  <xdr:twoCellAnchor>
    <xdr:from>
      <xdr:col>15</xdr:col>
      <xdr:colOff>285751</xdr:colOff>
      <xdr:row>67</xdr:row>
      <xdr:rowOff>45510</xdr:rowOff>
    </xdr:from>
    <xdr:to>
      <xdr:col>16</xdr:col>
      <xdr:colOff>1059</xdr:colOff>
      <xdr:row>69</xdr:row>
      <xdr:rowOff>61513</xdr:rowOff>
    </xdr:to>
    <xdr:sp macro="" textlink="">
      <xdr:nvSpPr>
        <xdr:cNvPr id="69" name="円柱 68">
          <a:extLst>
            <a:ext uri="{FF2B5EF4-FFF2-40B4-BE49-F238E27FC236}">
              <a16:creationId xmlns:a16="http://schemas.microsoft.com/office/drawing/2014/main" id="{00000000-0008-0000-0300-000045000000}"/>
            </a:ext>
          </a:extLst>
        </xdr:cNvPr>
        <xdr:cNvSpPr/>
      </xdr:nvSpPr>
      <xdr:spPr>
        <a:xfrm>
          <a:off x="9652001" y="11052177"/>
          <a:ext cx="33972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8</xdr:col>
      <xdr:colOff>1</xdr:colOff>
      <xdr:row>68</xdr:row>
      <xdr:rowOff>66942</xdr:rowOff>
    </xdr:from>
    <xdr:to>
      <xdr:col>10</xdr:col>
      <xdr:colOff>19051</xdr:colOff>
      <xdr:row>68</xdr:row>
      <xdr:rowOff>66942</xdr:rowOff>
    </xdr:to>
    <xdr:cxnSp macro="">
      <xdr:nvCxnSpPr>
        <xdr:cNvPr id="70" name="直線コネクタ 69">
          <a:extLst>
            <a:ext uri="{FF2B5EF4-FFF2-40B4-BE49-F238E27FC236}">
              <a16:creationId xmlns:a16="http://schemas.microsoft.com/office/drawing/2014/main" id="{00000000-0008-0000-0300-000046000000}"/>
            </a:ext>
          </a:extLst>
        </xdr:cNvPr>
        <xdr:cNvCxnSpPr/>
      </xdr:nvCxnSpPr>
      <xdr:spPr>
        <a:xfrm>
          <a:off x="4995334" y="11242942"/>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xdr:colOff>
      <xdr:row>71</xdr:row>
      <xdr:rowOff>57417</xdr:rowOff>
    </xdr:from>
    <xdr:to>
      <xdr:col>10</xdr:col>
      <xdr:colOff>19051</xdr:colOff>
      <xdr:row>71</xdr:row>
      <xdr:rowOff>57417</xdr:rowOff>
    </xdr:to>
    <xdr:cxnSp macro="">
      <xdr:nvCxnSpPr>
        <xdr:cNvPr id="71" name="直線コネクタ 70">
          <a:extLst>
            <a:ext uri="{FF2B5EF4-FFF2-40B4-BE49-F238E27FC236}">
              <a16:creationId xmlns:a16="http://schemas.microsoft.com/office/drawing/2014/main" id="{00000000-0008-0000-0300-000047000000}"/>
            </a:ext>
          </a:extLst>
        </xdr:cNvPr>
        <xdr:cNvCxnSpPr/>
      </xdr:nvCxnSpPr>
      <xdr:spPr>
        <a:xfrm>
          <a:off x="4995334" y="11741417"/>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495301</xdr:colOff>
      <xdr:row>67</xdr:row>
      <xdr:rowOff>133617</xdr:rowOff>
    </xdr:from>
    <xdr:to>
      <xdr:col>9</xdr:col>
      <xdr:colOff>171451</xdr:colOff>
      <xdr:row>67</xdr:row>
      <xdr:rowOff>133618</xdr:rowOff>
    </xdr:to>
    <xdr:cxnSp macro="">
      <xdr:nvCxnSpPr>
        <xdr:cNvPr id="72" name="直線矢印コネクタ 71">
          <a:extLst>
            <a:ext uri="{FF2B5EF4-FFF2-40B4-BE49-F238E27FC236}">
              <a16:creationId xmlns:a16="http://schemas.microsoft.com/office/drawing/2014/main" id="{00000000-0008-0000-0300-000048000000}"/>
            </a:ext>
          </a:extLst>
        </xdr:cNvPr>
        <xdr:cNvCxnSpPr/>
      </xdr:nvCxnSpPr>
      <xdr:spPr>
        <a:xfrm flipH="1">
          <a:off x="5490634" y="11140284"/>
          <a:ext cx="300567" cy="1"/>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495301</xdr:colOff>
      <xdr:row>71</xdr:row>
      <xdr:rowOff>152667</xdr:rowOff>
    </xdr:from>
    <xdr:to>
      <xdr:col>9</xdr:col>
      <xdr:colOff>171451</xdr:colOff>
      <xdr:row>71</xdr:row>
      <xdr:rowOff>152668</xdr:rowOff>
    </xdr:to>
    <xdr:cxnSp macro="">
      <xdr:nvCxnSpPr>
        <xdr:cNvPr id="73" name="直線矢印コネクタ 72">
          <a:extLst>
            <a:ext uri="{FF2B5EF4-FFF2-40B4-BE49-F238E27FC236}">
              <a16:creationId xmlns:a16="http://schemas.microsoft.com/office/drawing/2014/main" id="{00000000-0008-0000-0300-000049000000}"/>
            </a:ext>
          </a:extLst>
        </xdr:cNvPr>
        <xdr:cNvCxnSpPr/>
      </xdr:nvCxnSpPr>
      <xdr:spPr>
        <a:xfrm flipH="1">
          <a:off x="5490634" y="11836667"/>
          <a:ext cx="300567" cy="1"/>
        </a:xfrm>
        <a:prstGeom prst="straightConnector1">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11907</xdr:colOff>
      <xdr:row>83</xdr:row>
      <xdr:rowOff>14554</xdr:rowOff>
    </xdr:from>
    <xdr:to>
      <xdr:col>4</xdr:col>
      <xdr:colOff>14286</xdr:colOff>
      <xdr:row>89</xdr:row>
      <xdr:rowOff>2648</xdr:rowOff>
    </xdr:to>
    <xdr:sp macro="" textlink="">
      <xdr:nvSpPr>
        <xdr:cNvPr id="74" name="正方形/長方形 73">
          <a:extLst>
            <a:ext uri="{FF2B5EF4-FFF2-40B4-BE49-F238E27FC236}">
              <a16:creationId xmlns:a16="http://schemas.microsoft.com/office/drawing/2014/main" id="{00000000-0008-0000-0300-00004A000000}"/>
            </a:ext>
          </a:extLst>
        </xdr:cNvPr>
        <xdr:cNvSpPr/>
      </xdr:nvSpPr>
      <xdr:spPr>
        <a:xfrm>
          <a:off x="636324" y="13730554"/>
          <a:ext cx="1875629" cy="1004094"/>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ETS-R EAI</a:t>
          </a:r>
        </a:p>
        <a:p>
          <a:pPr algn="l"/>
          <a:r>
            <a:rPr kumimoji="1" lang="ja-JP" altLang="en-US" sz="1100">
              <a:solidFill>
                <a:sysClr val="windowText" lastClr="000000"/>
              </a:solidFill>
            </a:rPr>
            <a:t>・オフラスとの連携用</a:t>
          </a:r>
          <a:endParaRPr kumimoji="1" lang="en-US" altLang="ja-JP" sz="1100">
            <a:solidFill>
              <a:sysClr val="windowText" lastClr="000000"/>
            </a:solidFill>
          </a:endParaRPr>
        </a:p>
      </xdr:txBody>
    </xdr:sp>
    <xdr:clientData/>
  </xdr:twoCellAnchor>
  <xdr:twoCellAnchor>
    <xdr:from>
      <xdr:col>4</xdr:col>
      <xdr:colOff>14286</xdr:colOff>
      <xdr:row>86</xdr:row>
      <xdr:rowOff>2647</xdr:rowOff>
    </xdr:from>
    <xdr:to>
      <xdr:col>5</xdr:col>
      <xdr:colOff>1</xdr:colOff>
      <xdr:row>86</xdr:row>
      <xdr:rowOff>8601</xdr:rowOff>
    </xdr:to>
    <xdr:cxnSp macro="">
      <xdr:nvCxnSpPr>
        <xdr:cNvPr id="75" name="直線コネクタ 74">
          <a:extLst>
            <a:ext uri="{FF2B5EF4-FFF2-40B4-BE49-F238E27FC236}">
              <a16:creationId xmlns:a16="http://schemas.microsoft.com/office/drawing/2014/main" id="{00000000-0008-0000-0300-00004B000000}"/>
            </a:ext>
          </a:extLst>
        </xdr:cNvPr>
        <xdr:cNvCxnSpPr>
          <a:stCxn id="48" idx="1"/>
          <a:endCxn id="74" idx="3"/>
        </xdr:cNvCxnSpPr>
      </xdr:nvCxnSpPr>
      <xdr:spPr>
        <a:xfrm flipH="1">
          <a:off x="2511953" y="14226647"/>
          <a:ext cx="610131" cy="595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xdr:colOff>
      <xdr:row>76</xdr:row>
      <xdr:rowOff>83608</xdr:rowOff>
    </xdr:from>
    <xdr:to>
      <xdr:col>11</xdr:col>
      <xdr:colOff>195793</xdr:colOff>
      <xdr:row>86</xdr:row>
      <xdr:rowOff>2647</xdr:rowOff>
    </xdr:to>
    <xdr:cxnSp macro="">
      <xdr:nvCxnSpPr>
        <xdr:cNvPr id="76" name="カギ線コネクタ 75">
          <a:extLst>
            <a:ext uri="{FF2B5EF4-FFF2-40B4-BE49-F238E27FC236}">
              <a16:creationId xmlns:a16="http://schemas.microsoft.com/office/drawing/2014/main" id="{00000000-0008-0000-0300-00004C000000}"/>
            </a:ext>
          </a:extLst>
        </xdr:cNvPr>
        <xdr:cNvCxnSpPr>
          <a:stCxn id="64" idx="2"/>
          <a:endCxn id="48" idx="3"/>
        </xdr:cNvCxnSpPr>
      </xdr:nvCxnSpPr>
      <xdr:spPr>
        <a:xfrm rot="5400000">
          <a:off x="5123128" y="12740482"/>
          <a:ext cx="1612373" cy="2037291"/>
        </a:xfrm>
        <a:prstGeom prst="bentConnector2">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440532</xdr:colOff>
      <xdr:row>99</xdr:row>
      <xdr:rowOff>2648</xdr:rowOff>
    </xdr:from>
    <xdr:to>
      <xdr:col>4</xdr:col>
      <xdr:colOff>440532</xdr:colOff>
      <xdr:row>105</xdr:row>
      <xdr:rowOff>2648</xdr:rowOff>
    </xdr:to>
    <xdr:sp macro="" textlink="">
      <xdr:nvSpPr>
        <xdr:cNvPr id="77" name="正方形/長方形 76">
          <a:extLst>
            <a:ext uri="{FF2B5EF4-FFF2-40B4-BE49-F238E27FC236}">
              <a16:creationId xmlns:a16="http://schemas.microsoft.com/office/drawing/2014/main" id="{00000000-0008-0000-0300-00004D000000}"/>
            </a:ext>
          </a:extLst>
        </xdr:cNvPr>
        <xdr:cNvSpPr/>
      </xdr:nvSpPr>
      <xdr:spPr>
        <a:xfrm>
          <a:off x="1064949" y="16427981"/>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陸上出荷システム</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3</xdr:col>
      <xdr:colOff>95252</xdr:colOff>
      <xdr:row>97</xdr:row>
      <xdr:rowOff>2647</xdr:rowOff>
    </xdr:from>
    <xdr:to>
      <xdr:col>6</xdr:col>
      <xdr:colOff>345284</xdr:colOff>
      <xdr:row>99</xdr:row>
      <xdr:rowOff>2648</xdr:rowOff>
    </xdr:to>
    <xdr:cxnSp macro="">
      <xdr:nvCxnSpPr>
        <xdr:cNvPr id="78" name="カギ線コネクタ 77">
          <a:extLst>
            <a:ext uri="{FF2B5EF4-FFF2-40B4-BE49-F238E27FC236}">
              <a16:creationId xmlns:a16="http://schemas.microsoft.com/office/drawing/2014/main" id="{00000000-0008-0000-0300-00004E000000}"/>
            </a:ext>
          </a:extLst>
        </xdr:cNvPr>
        <xdr:cNvCxnSpPr>
          <a:stCxn id="49" idx="2"/>
          <a:endCxn id="77" idx="0"/>
        </xdr:cNvCxnSpPr>
      </xdr:nvCxnSpPr>
      <xdr:spPr>
        <a:xfrm rot="5400000">
          <a:off x="2860809" y="15197007"/>
          <a:ext cx="338667" cy="2123282"/>
        </a:xfrm>
        <a:prstGeom prst="bentConnector3">
          <a:avLst>
            <a:gd name="adj1" fmla="val 50000"/>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130970</xdr:colOff>
      <xdr:row>97</xdr:row>
      <xdr:rowOff>74085</xdr:rowOff>
    </xdr:from>
    <xdr:to>
      <xdr:col>4</xdr:col>
      <xdr:colOff>492920</xdr:colOff>
      <xdr:row>97</xdr:row>
      <xdr:rowOff>74086</xdr:rowOff>
    </xdr:to>
    <xdr:cxnSp macro="">
      <xdr:nvCxnSpPr>
        <xdr:cNvPr id="79" name="直線矢印コネクタ 78">
          <a:extLst>
            <a:ext uri="{FF2B5EF4-FFF2-40B4-BE49-F238E27FC236}">
              <a16:creationId xmlns:a16="http://schemas.microsoft.com/office/drawing/2014/main" id="{00000000-0008-0000-0300-00004F000000}"/>
            </a:ext>
          </a:extLst>
        </xdr:cNvPr>
        <xdr:cNvCxnSpPr/>
      </xdr:nvCxnSpPr>
      <xdr:spPr>
        <a:xfrm flipH="1">
          <a:off x="2628637" y="16160752"/>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178595</xdr:colOff>
      <xdr:row>85</xdr:row>
      <xdr:rowOff>50273</xdr:rowOff>
    </xdr:from>
    <xdr:to>
      <xdr:col>4</xdr:col>
      <xdr:colOff>540545</xdr:colOff>
      <xdr:row>85</xdr:row>
      <xdr:rowOff>50274</xdr:rowOff>
    </xdr:to>
    <xdr:cxnSp macro="">
      <xdr:nvCxnSpPr>
        <xdr:cNvPr id="80" name="直線矢印コネクタ 79">
          <a:extLst>
            <a:ext uri="{FF2B5EF4-FFF2-40B4-BE49-F238E27FC236}">
              <a16:creationId xmlns:a16="http://schemas.microsoft.com/office/drawing/2014/main" id="{00000000-0008-0000-0300-000050000000}"/>
            </a:ext>
          </a:extLst>
        </xdr:cNvPr>
        <xdr:cNvCxnSpPr/>
      </xdr:nvCxnSpPr>
      <xdr:spPr>
        <a:xfrm flipH="1">
          <a:off x="2676262" y="14104940"/>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54</xdr:row>
      <xdr:rowOff>0</xdr:rowOff>
    </xdr:from>
    <xdr:to>
      <xdr:col>12</xdr:col>
      <xdr:colOff>613833</xdr:colOff>
      <xdr:row>56</xdr:row>
      <xdr:rowOff>148166</xdr:rowOff>
    </xdr:to>
    <xdr:sp macro="" textlink="">
      <xdr:nvSpPr>
        <xdr:cNvPr id="84" name="正方形/長方形 83">
          <a:extLst>
            <a:ext uri="{FF2B5EF4-FFF2-40B4-BE49-F238E27FC236}">
              <a16:creationId xmlns:a16="http://schemas.microsoft.com/office/drawing/2014/main" id="{00000000-0008-0000-0300-000054000000}"/>
            </a:ext>
          </a:extLst>
        </xdr:cNvPr>
        <xdr:cNvSpPr/>
      </xdr:nvSpPr>
      <xdr:spPr>
        <a:xfrm>
          <a:off x="624417" y="9144000"/>
          <a:ext cx="7482416" cy="486833"/>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chemeClr val="tx1"/>
              </a:solidFill>
            </a:rPr>
            <a:t>（１）次期アーキテクチャとして</a:t>
          </a:r>
          <a:r>
            <a:rPr kumimoji="1" lang="en-US" altLang="ja-JP" sz="2400">
              <a:solidFill>
                <a:schemeClr val="tx1"/>
              </a:solidFill>
            </a:rPr>
            <a:t>Azure</a:t>
          </a:r>
          <a:r>
            <a:rPr kumimoji="1" lang="ja-JP" altLang="en-US" sz="2400">
              <a:solidFill>
                <a:schemeClr val="tx1"/>
              </a:solidFill>
            </a:rPr>
            <a:t>環境に再構築</a:t>
          </a:r>
        </a:p>
      </xdr:txBody>
    </xdr:sp>
    <xdr:clientData/>
  </xdr:twoCellAnchor>
  <xdr:twoCellAnchor>
    <xdr:from>
      <xdr:col>4</xdr:col>
      <xdr:colOff>345283</xdr:colOff>
      <xdr:row>137</xdr:row>
      <xdr:rowOff>14553</xdr:rowOff>
    </xdr:from>
    <xdr:to>
      <xdr:col>8</xdr:col>
      <xdr:colOff>333377</xdr:colOff>
      <xdr:row>152</xdr:row>
      <xdr:rowOff>26459</xdr:rowOff>
    </xdr:to>
    <xdr:sp macro="" textlink="">
      <xdr:nvSpPr>
        <xdr:cNvPr id="85" name="正方形/長方形 84">
          <a:extLst>
            <a:ext uri="{FF2B5EF4-FFF2-40B4-BE49-F238E27FC236}">
              <a16:creationId xmlns:a16="http://schemas.microsoft.com/office/drawing/2014/main" id="{00000000-0008-0000-0300-000055000000}"/>
            </a:ext>
          </a:extLst>
        </xdr:cNvPr>
        <xdr:cNvSpPr/>
      </xdr:nvSpPr>
      <xdr:spPr>
        <a:xfrm>
          <a:off x="2842950" y="23213220"/>
          <a:ext cx="2485760" cy="2551906"/>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0</xdr:colOff>
      <xdr:row>145</xdr:row>
      <xdr:rowOff>14552</xdr:rowOff>
    </xdr:from>
    <xdr:to>
      <xdr:col>8</xdr:col>
      <xdr:colOff>333376</xdr:colOff>
      <xdr:row>161</xdr:row>
      <xdr:rowOff>14551</xdr:rowOff>
    </xdr:to>
    <xdr:sp macro="" textlink="">
      <xdr:nvSpPr>
        <xdr:cNvPr id="86" name="正方形/長方形 85">
          <a:extLst>
            <a:ext uri="{FF2B5EF4-FFF2-40B4-BE49-F238E27FC236}">
              <a16:creationId xmlns:a16="http://schemas.microsoft.com/office/drawing/2014/main" id="{00000000-0008-0000-0300-000056000000}"/>
            </a:ext>
          </a:extLst>
        </xdr:cNvPr>
        <xdr:cNvSpPr/>
      </xdr:nvSpPr>
      <xdr:spPr>
        <a:xfrm>
          <a:off x="624417" y="24567885"/>
          <a:ext cx="4704292" cy="2709333"/>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345282</xdr:colOff>
      <xdr:row>113</xdr:row>
      <xdr:rowOff>-1</xdr:rowOff>
    </xdr:from>
    <xdr:to>
      <xdr:col>22</xdr:col>
      <xdr:colOff>21167</xdr:colOff>
      <xdr:row>137</xdr:row>
      <xdr:rowOff>2645</xdr:rowOff>
    </xdr:to>
    <xdr:sp macro="" textlink="">
      <xdr:nvSpPr>
        <xdr:cNvPr id="87" name="正方形/長方形 86">
          <a:extLst>
            <a:ext uri="{FF2B5EF4-FFF2-40B4-BE49-F238E27FC236}">
              <a16:creationId xmlns:a16="http://schemas.microsoft.com/office/drawing/2014/main" id="{00000000-0008-0000-0300-000057000000}"/>
            </a:ext>
          </a:extLst>
        </xdr:cNvPr>
        <xdr:cNvSpPr/>
      </xdr:nvSpPr>
      <xdr:spPr>
        <a:xfrm>
          <a:off x="2800615" y="19134666"/>
          <a:ext cx="10724885" cy="4066646"/>
        </a:xfrm>
        <a:prstGeom prst="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xdr:colOff>
      <xdr:row>114</xdr:row>
      <xdr:rowOff>2647</xdr:rowOff>
    </xdr:from>
    <xdr:to>
      <xdr:col>8</xdr:col>
      <xdr:colOff>1</xdr:colOff>
      <xdr:row>120</xdr:row>
      <xdr:rowOff>2647</xdr:rowOff>
    </xdr:to>
    <xdr:sp macro="" textlink="">
      <xdr:nvSpPr>
        <xdr:cNvPr id="88" name="正方形/長方形 87">
          <a:extLst>
            <a:ext uri="{FF2B5EF4-FFF2-40B4-BE49-F238E27FC236}">
              <a16:creationId xmlns:a16="http://schemas.microsoft.com/office/drawing/2014/main" id="{00000000-0008-0000-0300-000058000000}"/>
            </a:ext>
          </a:extLst>
        </xdr:cNvPr>
        <xdr:cNvSpPr/>
      </xdr:nvSpPr>
      <xdr:spPr>
        <a:xfrm>
          <a:off x="3122084" y="19306647"/>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OneSAP</a:t>
          </a:r>
        </a:p>
        <a:p>
          <a:pPr algn="l"/>
          <a:endParaRPr kumimoji="1" lang="ja-JP" altLang="en-US" sz="1100">
            <a:solidFill>
              <a:sysClr val="windowText" lastClr="000000"/>
            </a:solidFill>
          </a:endParaRPr>
        </a:p>
      </xdr:txBody>
    </xdr:sp>
    <xdr:clientData/>
  </xdr:twoCellAnchor>
  <xdr:twoCellAnchor>
    <xdr:from>
      <xdr:col>5</xdr:col>
      <xdr:colOff>1</xdr:colOff>
      <xdr:row>122</xdr:row>
      <xdr:rowOff>2646</xdr:rowOff>
    </xdr:from>
    <xdr:to>
      <xdr:col>8</xdr:col>
      <xdr:colOff>1</xdr:colOff>
      <xdr:row>128</xdr:row>
      <xdr:rowOff>2646</xdr:rowOff>
    </xdr:to>
    <xdr:sp macro="" textlink="">
      <xdr:nvSpPr>
        <xdr:cNvPr id="89" name="正方形/長方形 88">
          <a:extLst>
            <a:ext uri="{FF2B5EF4-FFF2-40B4-BE49-F238E27FC236}">
              <a16:creationId xmlns:a16="http://schemas.microsoft.com/office/drawing/2014/main" id="{00000000-0008-0000-0300-000059000000}"/>
            </a:ext>
          </a:extLst>
        </xdr:cNvPr>
        <xdr:cNvSpPr/>
      </xdr:nvSpPr>
      <xdr:spPr>
        <a:xfrm>
          <a:off x="3122084" y="20661313"/>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連携</a:t>
          </a:r>
          <a:r>
            <a:rPr kumimoji="1" lang="en-US" altLang="ja-JP" sz="1100">
              <a:solidFill>
                <a:sysClr val="windowText" lastClr="000000"/>
              </a:solidFill>
            </a:rPr>
            <a:t>NAS</a:t>
          </a:r>
        </a:p>
        <a:p>
          <a:pPr algn="l"/>
          <a:r>
            <a:rPr kumimoji="1" lang="ja-JP" altLang="en-US" sz="1100">
              <a:solidFill>
                <a:sysClr val="windowText" lastClr="000000"/>
              </a:solidFill>
            </a:rPr>
            <a:t>・</a:t>
          </a:r>
          <a:r>
            <a:rPr kumimoji="1" lang="en-US" altLang="ja-JP" sz="1100">
              <a:solidFill>
                <a:sysClr val="windowText" lastClr="000000"/>
              </a:solidFill>
            </a:rPr>
            <a:t>SAP</a:t>
          </a:r>
          <a:r>
            <a:rPr kumimoji="1" lang="ja-JP" altLang="en-US" sz="1100">
              <a:solidFill>
                <a:sysClr val="windowText" lastClr="000000"/>
              </a:solidFill>
            </a:rPr>
            <a:t>とのファイル連携用</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5</xdr:col>
      <xdr:colOff>1</xdr:colOff>
      <xdr:row>138</xdr:row>
      <xdr:rowOff>2647</xdr:rowOff>
    </xdr:from>
    <xdr:to>
      <xdr:col>8</xdr:col>
      <xdr:colOff>1</xdr:colOff>
      <xdr:row>144</xdr:row>
      <xdr:rowOff>2647</xdr:rowOff>
    </xdr:to>
    <xdr:sp macro="" textlink="">
      <xdr:nvSpPr>
        <xdr:cNvPr id="90" name="正方形/長方形 89">
          <a:extLst>
            <a:ext uri="{FF2B5EF4-FFF2-40B4-BE49-F238E27FC236}">
              <a16:creationId xmlns:a16="http://schemas.microsoft.com/office/drawing/2014/main" id="{00000000-0008-0000-0300-00005A000000}"/>
            </a:ext>
          </a:extLst>
        </xdr:cNvPr>
        <xdr:cNvSpPr/>
      </xdr:nvSpPr>
      <xdr:spPr>
        <a:xfrm>
          <a:off x="3122084" y="23370647"/>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徳山ヤード操業サーバ</a:t>
          </a:r>
          <a:endParaRPr kumimoji="1" lang="en-US" altLang="ja-JP" sz="1100">
            <a:solidFill>
              <a:sysClr val="windowText" lastClr="000000"/>
            </a:solidFill>
          </a:endParaRPr>
        </a:p>
        <a:p>
          <a:pPr algn="l"/>
          <a:r>
            <a:rPr kumimoji="1" lang="en-US" altLang="ja-JP" sz="1100">
              <a:solidFill>
                <a:sysClr val="windowText" lastClr="000000"/>
              </a:solidFill>
            </a:rPr>
            <a:t>150.92.61.16</a:t>
          </a: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PIMS</a:t>
          </a:r>
          <a:r>
            <a:rPr kumimoji="1" lang="ja-JP" altLang="en-US" sz="1100">
              <a:solidFill>
                <a:sysClr val="windowText" lastClr="000000"/>
              </a:solidFill>
            </a:rPr>
            <a:t>取込サービス</a:t>
          </a:r>
        </a:p>
      </xdr:txBody>
    </xdr:sp>
    <xdr:clientData/>
  </xdr:twoCellAnchor>
  <xdr:twoCellAnchor>
    <xdr:from>
      <xdr:col>5</xdr:col>
      <xdr:colOff>1</xdr:colOff>
      <xdr:row>146</xdr:row>
      <xdr:rowOff>2646</xdr:rowOff>
    </xdr:from>
    <xdr:to>
      <xdr:col>8</xdr:col>
      <xdr:colOff>1</xdr:colOff>
      <xdr:row>152</xdr:row>
      <xdr:rowOff>2646</xdr:rowOff>
    </xdr:to>
    <xdr:sp macro="" textlink="">
      <xdr:nvSpPr>
        <xdr:cNvPr id="91" name="正方形/長方形 90">
          <a:extLst>
            <a:ext uri="{FF2B5EF4-FFF2-40B4-BE49-F238E27FC236}">
              <a16:creationId xmlns:a16="http://schemas.microsoft.com/office/drawing/2014/main" id="{00000000-0008-0000-0300-00005B000000}"/>
            </a:ext>
          </a:extLst>
        </xdr:cNvPr>
        <xdr:cNvSpPr/>
      </xdr:nvSpPr>
      <xdr:spPr>
        <a:xfrm>
          <a:off x="3122084" y="24725313"/>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徳山事業所</a:t>
          </a:r>
          <a:r>
            <a:rPr kumimoji="1" lang="en-US" altLang="ja-JP" sz="1100">
              <a:solidFill>
                <a:sysClr val="windowText" lastClr="000000"/>
              </a:solidFill>
            </a:rPr>
            <a:t>(</a:t>
          </a:r>
          <a:r>
            <a:rPr kumimoji="1" lang="ja-JP" altLang="en-US" sz="1100">
              <a:solidFill>
                <a:sysClr val="windowText" lastClr="000000"/>
              </a:solidFill>
            </a:rPr>
            <a:t>化学</a:t>
          </a:r>
          <a:r>
            <a:rPr kumimoji="1" lang="en-US" altLang="ja-JP" sz="1100">
              <a:solidFill>
                <a:sysClr val="windowText" lastClr="000000"/>
              </a:solidFill>
            </a:rPr>
            <a:t>)GW</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10.160.123.1</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L3</a:t>
          </a:r>
          <a:r>
            <a:rPr kumimoji="1" lang="ja-JP" altLang="ja-JP" sz="1100">
              <a:solidFill>
                <a:sysClr val="windowText" lastClr="000000"/>
              </a:solidFill>
              <a:effectLst/>
              <a:latin typeface="+mn-lt"/>
              <a:ea typeface="+mn-ea"/>
              <a:cs typeface="+mn-cs"/>
            </a:rPr>
            <a:t>層とのファイル連携用</a:t>
          </a:r>
          <a:endParaRPr lang="ja-JP" altLang="ja-JP">
            <a:solidFill>
              <a:sysClr val="windowText" lastClr="000000"/>
            </a:solidFill>
            <a:effectLst/>
          </a:endParaRPr>
        </a:p>
      </xdr:txBody>
    </xdr:sp>
    <xdr:clientData/>
  </xdr:twoCellAnchor>
  <xdr:twoCellAnchor>
    <xdr:from>
      <xdr:col>9</xdr:col>
      <xdr:colOff>1</xdr:colOff>
      <xdr:row>146</xdr:row>
      <xdr:rowOff>2646</xdr:rowOff>
    </xdr:from>
    <xdr:to>
      <xdr:col>12</xdr:col>
      <xdr:colOff>1</xdr:colOff>
      <xdr:row>152</xdr:row>
      <xdr:rowOff>2646</xdr:rowOff>
    </xdr:to>
    <xdr:sp macro="" textlink="">
      <xdr:nvSpPr>
        <xdr:cNvPr id="92" name="正方形/長方形 91">
          <a:extLst>
            <a:ext uri="{FF2B5EF4-FFF2-40B4-BE49-F238E27FC236}">
              <a16:creationId xmlns:a16="http://schemas.microsoft.com/office/drawing/2014/main" id="{00000000-0008-0000-0300-00005C000000}"/>
            </a:ext>
          </a:extLst>
        </xdr:cNvPr>
        <xdr:cNvSpPr/>
      </xdr:nvSpPr>
      <xdr:spPr>
        <a:xfrm>
          <a:off x="5619751" y="24725313"/>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PIMS</a:t>
          </a:r>
          <a:r>
            <a:rPr kumimoji="1" lang="ja-JP" altLang="en-US" sz="1100">
              <a:solidFill>
                <a:sysClr val="windowText" lastClr="000000"/>
              </a:solidFill>
            </a:rPr>
            <a:t>サーバ</a:t>
          </a:r>
          <a:endParaRPr kumimoji="1" lang="en-US" altLang="ja-JP" sz="11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PHX</a:t>
          </a:r>
          <a:r>
            <a:rPr kumimoji="1" lang="ja-JP" altLang="ja-JP" sz="1100">
              <a:solidFill>
                <a:sysClr val="windowText" lastClr="000000"/>
              </a:solidFill>
              <a:effectLst/>
              <a:latin typeface="+mn-lt"/>
              <a:ea typeface="+mn-ea"/>
              <a:cs typeface="+mn-cs"/>
            </a:rPr>
            <a:t>データ取込元</a:t>
          </a:r>
          <a:endParaRPr lang="ja-JP" altLang="ja-JP">
            <a:solidFill>
              <a:sysClr val="windowText" lastClr="000000"/>
            </a:solidFill>
            <a:effectLst/>
          </a:endParaRPr>
        </a:p>
      </xdr:txBody>
    </xdr:sp>
    <xdr:clientData/>
  </xdr:twoCellAnchor>
  <xdr:twoCellAnchor>
    <xdr:from>
      <xdr:col>6</xdr:col>
      <xdr:colOff>345283</xdr:colOff>
      <xdr:row>128</xdr:row>
      <xdr:rowOff>2646</xdr:rowOff>
    </xdr:from>
    <xdr:to>
      <xdr:col>6</xdr:col>
      <xdr:colOff>345283</xdr:colOff>
      <xdr:row>138</xdr:row>
      <xdr:rowOff>2647</xdr:rowOff>
    </xdr:to>
    <xdr:cxnSp macro="">
      <xdr:nvCxnSpPr>
        <xdr:cNvPr id="93" name="直線コネクタ 92">
          <a:extLst>
            <a:ext uri="{FF2B5EF4-FFF2-40B4-BE49-F238E27FC236}">
              <a16:creationId xmlns:a16="http://schemas.microsoft.com/office/drawing/2014/main" id="{00000000-0008-0000-0300-00005D000000}"/>
            </a:ext>
          </a:extLst>
        </xdr:cNvPr>
        <xdr:cNvCxnSpPr>
          <a:stCxn id="89" idx="2"/>
          <a:endCxn id="90" idx="0"/>
        </xdr:cNvCxnSpPr>
      </xdr:nvCxnSpPr>
      <xdr:spPr>
        <a:xfrm>
          <a:off x="4091783" y="21677313"/>
          <a:ext cx="0" cy="169333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342901</xdr:colOff>
      <xdr:row>144</xdr:row>
      <xdr:rowOff>2647</xdr:rowOff>
    </xdr:from>
    <xdr:to>
      <xdr:col>10</xdr:col>
      <xdr:colOff>342901</xdr:colOff>
      <xdr:row>146</xdr:row>
      <xdr:rowOff>2646</xdr:rowOff>
    </xdr:to>
    <xdr:cxnSp macro="">
      <xdr:nvCxnSpPr>
        <xdr:cNvPr id="94" name="カギ線コネクタ 93">
          <a:extLst>
            <a:ext uri="{FF2B5EF4-FFF2-40B4-BE49-F238E27FC236}">
              <a16:creationId xmlns:a16="http://schemas.microsoft.com/office/drawing/2014/main" id="{00000000-0008-0000-0300-00005E000000}"/>
            </a:ext>
          </a:extLst>
        </xdr:cNvPr>
        <xdr:cNvCxnSpPr>
          <a:stCxn id="90" idx="2"/>
          <a:endCxn id="92" idx="0"/>
        </xdr:cNvCxnSpPr>
      </xdr:nvCxnSpPr>
      <xdr:spPr>
        <a:xfrm rot="16200000" flipH="1">
          <a:off x="5168902" y="23307146"/>
          <a:ext cx="338666" cy="2497667"/>
        </a:xfrm>
        <a:prstGeom prst="bentConnector3">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342901</xdr:colOff>
      <xdr:row>120</xdr:row>
      <xdr:rowOff>2647</xdr:rowOff>
    </xdr:from>
    <xdr:to>
      <xdr:col>6</xdr:col>
      <xdr:colOff>342901</xdr:colOff>
      <xdr:row>122</xdr:row>
      <xdr:rowOff>2646</xdr:rowOff>
    </xdr:to>
    <xdr:cxnSp macro="">
      <xdr:nvCxnSpPr>
        <xdr:cNvPr id="95" name="直線コネクタ 94">
          <a:extLst>
            <a:ext uri="{FF2B5EF4-FFF2-40B4-BE49-F238E27FC236}">
              <a16:creationId xmlns:a16="http://schemas.microsoft.com/office/drawing/2014/main" id="{00000000-0008-0000-0300-00005F000000}"/>
            </a:ext>
          </a:extLst>
        </xdr:cNvPr>
        <xdr:cNvCxnSpPr>
          <a:stCxn id="88" idx="2"/>
          <a:endCxn id="89" idx="0"/>
        </xdr:cNvCxnSpPr>
      </xdr:nvCxnSpPr>
      <xdr:spPr>
        <a:xfrm>
          <a:off x="4089401" y="20322647"/>
          <a:ext cx="0" cy="33866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228601</xdr:colOff>
      <xdr:row>144</xdr:row>
      <xdr:rowOff>2647</xdr:rowOff>
    </xdr:from>
    <xdr:to>
      <xdr:col>6</xdr:col>
      <xdr:colOff>228601</xdr:colOff>
      <xdr:row>146</xdr:row>
      <xdr:rowOff>2646</xdr:rowOff>
    </xdr:to>
    <xdr:cxnSp macro="">
      <xdr:nvCxnSpPr>
        <xdr:cNvPr id="96" name="直線コネクタ 95">
          <a:extLst>
            <a:ext uri="{FF2B5EF4-FFF2-40B4-BE49-F238E27FC236}">
              <a16:creationId xmlns:a16="http://schemas.microsoft.com/office/drawing/2014/main" id="{00000000-0008-0000-0300-000060000000}"/>
            </a:ext>
          </a:extLst>
        </xdr:cNvPr>
        <xdr:cNvCxnSpPr/>
      </xdr:nvCxnSpPr>
      <xdr:spPr>
        <a:xfrm>
          <a:off x="3975101" y="24386647"/>
          <a:ext cx="0" cy="338666"/>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xdr:colOff>
      <xdr:row>154</xdr:row>
      <xdr:rowOff>2648</xdr:rowOff>
    </xdr:from>
    <xdr:to>
      <xdr:col>8</xdr:col>
      <xdr:colOff>1</xdr:colOff>
      <xdr:row>160</xdr:row>
      <xdr:rowOff>2648</xdr:rowOff>
    </xdr:to>
    <xdr:sp macro="" textlink="">
      <xdr:nvSpPr>
        <xdr:cNvPr id="97" name="正方形/長方形 96">
          <a:extLst>
            <a:ext uri="{FF2B5EF4-FFF2-40B4-BE49-F238E27FC236}">
              <a16:creationId xmlns:a16="http://schemas.microsoft.com/office/drawing/2014/main" id="{00000000-0008-0000-0300-000061000000}"/>
            </a:ext>
          </a:extLst>
        </xdr:cNvPr>
        <xdr:cNvSpPr/>
      </xdr:nvSpPr>
      <xdr:spPr>
        <a:xfrm>
          <a:off x="3122084" y="26079981"/>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運転制御サーバ</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6</xdr:col>
      <xdr:colOff>342901</xdr:colOff>
      <xdr:row>152</xdr:row>
      <xdr:rowOff>2646</xdr:rowOff>
    </xdr:from>
    <xdr:to>
      <xdr:col>6</xdr:col>
      <xdr:colOff>342901</xdr:colOff>
      <xdr:row>154</xdr:row>
      <xdr:rowOff>2648</xdr:rowOff>
    </xdr:to>
    <xdr:cxnSp macro="">
      <xdr:nvCxnSpPr>
        <xdr:cNvPr id="98" name="直線コネクタ 97">
          <a:extLst>
            <a:ext uri="{FF2B5EF4-FFF2-40B4-BE49-F238E27FC236}">
              <a16:creationId xmlns:a16="http://schemas.microsoft.com/office/drawing/2014/main" id="{00000000-0008-0000-0300-000062000000}"/>
            </a:ext>
          </a:extLst>
        </xdr:cNvPr>
        <xdr:cNvCxnSpPr>
          <a:stCxn id="91" idx="2"/>
          <a:endCxn id="97" idx="0"/>
        </xdr:cNvCxnSpPr>
      </xdr:nvCxnSpPr>
      <xdr:spPr>
        <a:xfrm>
          <a:off x="4089401" y="25741313"/>
          <a:ext cx="0" cy="338668"/>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95251</xdr:colOff>
      <xdr:row>144</xdr:row>
      <xdr:rowOff>31222</xdr:rowOff>
    </xdr:from>
    <xdr:to>
      <xdr:col>6</xdr:col>
      <xdr:colOff>95251</xdr:colOff>
      <xdr:row>145</xdr:row>
      <xdr:rowOff>145524</xdr:rowOff>
    </xdr:to>
    <xdr:cxnSp macro="">
      <xdr:nvCxnSpPr>
        <xdr:cNvPr id="99" name="直線矢印コネクタ 98">
          <a:extLst>
            <a:ext uri="{FF2B5EF4-FFF2-40B4-BE49-F238E27FC236}">
              <a16:creationId xmlns:a16="http://schemas.microsoft.com/office/drawing/2014/main" id="{00000000-0008-0000-0300-000063000000}"/>
            </a:ext>
          </a:extLst>
        </xdr:cNvPr>
        <xdr:cNvCxnSpPr/>
      </xdr:nvCxnSpPr>
      <xdr:spPr>
        <a:xfrm flipV="1">
          <a:off x="3841751" y="24415222"/>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473867</xdr:colOff>
      <xdr:row>152</xdr:row>
      <xdr:rowOff>31221</xdr:rowOff>
    </xdr:from>
    <xdr:to>
      <xdr:col>6</xdr:col>
      <xdr:colOff>473867</xdr:colOff>
      <xdr:row>153</xdr:row>
      <xdr:rowOff>145523</xdr:rowOff>
    </xdr:to>
    <xdr:cxnSp macro="">
      <xdr:nvCxnSpPr>
        <xdr:cNvPr id="100" name="直線矢印コネクタ 99">
          <a:extLst>
            <a:ext uri="{FF2B5EF4-FFF2-40B4-BE49-F238E27FC236}">
              <a16:creationId xmlns:a16="http://schemas.microsoft.com/office/drawing/2014/main" id="{00000000-0008-0000-0300-000064000000}"/>
            </a:ext>
          </a:extLst>
        </xdr:cNvPr>
        <xdr:cNvCxnSpPr/>
      </xdr:nvCxnSpPr>
      <xdr:spPr>
        <a:xfrm flipV="1">
          <a:off x="4220367" y="25769888"/>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188120</xdr:colOff>
      <xdr:row>132</xdr:row>
      <xdr:rowOff>78847</xdr:rowOff>
    </xdr:from>
    <xdr:to>
      <xdr:col>6</xdr:col>
      <xdr:colOff>188120</xdr:colOff>
      <xdr:row>134</xdr:row>
      <xdr:rowOff>26460</xdr:rowOff>
    </xdr:to>
    <xdr:cxnSp macro="">
      <xdr:nvCxnSpPr>
        <xdr:cNvPr id="101" name="直線矢印コネクタ 100">
          <a:extLst>
            <a:ext uri="{FF2B5EF4-FFF2-40B4-BE49-F238E27FC236}">
              <a16:creationId xmlns:a16="http://schemas.microsoft.com/office/drawing/2014/main" id="{00000000-0008-0000-0300-000065000000}"/>
            </a:ext>
          </a:extLst>
        </xdr:cNvPr>
        <xdr:cNvCxnSpPr/>
      </xdr:nvCxnSpPr>
      <xdr:spPr>
        <a:xfrm flipV="1">
          <a:off x="3934620" y="22430847"/>
          <a:ext cx="0" cy="286280"/>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133351</xdr:colOff>
      <xdr:row>144</xdr:row>
      <xdr:rowOff>78847</xdr:rowOff>
    </xdr:from>
    <xdr:to>
      <xdr:col>8</xdr:col>
      <xdr:colOff>495301</xdr:colOff>
      <xdr:row>144</xdr:row>
      <xdr:rowOff>78848</xdr:rowOff>
    </xdr:to>
    <xdr:cxnSp macro="">
      <xdr:nvCxnSpPr>
        <xdr:cNvPr id="102" name="直線矢印コネクタ 101">
          <a:extLst>
            <a:ext uri="{FF2B5EF4-FFF2-40B4-BE49-F238E27FC236}">
              <a16:creationId xmlns:a16="http://schemas.microsoft.com/office/drawing/2014/main" id="{00000000-0008-0000-0300-000066000000}"/>
            </a:ext>
          </a:extLst>
        </xdr:cNvPr>
        <xdr:cNvCxnSpPr/>
      </xdr:nvCxnSpPr>
      <xdr:spPr>
        <a:xfrm flipH="1">
          <a:off x="5128684" y="24462847"/>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188120</xdr:colOff>
      <xdr:row>120</xdr:row>
      <xdr:rowOff>21697</xdr:rowOff>
    </xdr:from>
    <xdr:to>
      <xdr:col>6</xdr:col>
      <xdr:colOff>188120</xdr:colOff>
      <xdr:row>121</xdr:row>
      <xdr:rowOff>135999</xdr:rowOff>
    </xdr:to>
    <xdr:cxnSp macro="">
      <xdr:nvCxnSpPr>
        <xdr:cNvPr id="103" name="直線矢印コネクタ 102">
          <a:extLst>
            <a:ext uri="{FF2B5EF4-FFF2-40B4-BE49-F238E27FC236}">
              <a16:creationId xmlns:a16="http://schemas.microsoft.com/office/drawing/2014/main" id="{00000000-0008-0000-0300-000067000000}"/>
            </a:ext>
          </a:extLst>
        </xdr:cNvPr>
        <xdr:cNvCxnSpPr/>
      </xdr:nvCxnSpPr>
      <xdr:spPr>
        <a:xfrm flipV="1">
          <a:off x="3934620" y="20341697"/>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392907</xdr:colOff>
      <xdr:row>140</xdr:row>
      <xdr:rowOff>52653</xdr:rowOff>
    </xdr:from>
    <xdr:to>
      <xdr:col>10</xdr:col>
      <xdr:colOff>64295</xdr:colOff>
      <xdr:row>140</xdr:row>
      <xdr:rowOff>52654</xdr:rowOff>
    </xdr:to>
    <xdr:cxnSp macro="">
      <xdr:nvCxnSpPr>
        <xdr:cNvPr id="104" name="直線矢印コネクタ 103">
          <a:extLst>
            <a:ext uri="{FF2B5EF4-FFF2-40B4-BE49-F238E27FC236}">
              <a16:creationId xmlns:a16="http://schemas.microsoft.com/office/drawing/2014/main" id="{00000000-0008-0000-0300-000068000000}"/>
            </a:ext>
          </a:extLst>
        </xdr:cNvPr>
        <xdr:cNvCxnSpPr/>
      </xdr:nvCxnSpPr>
      <xdr:spPr>
        <a:xfrm flipH="1">
          <a:off x="6012657" y="23759320"/>
          <a:ext cx="295805"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277092</xdr:colOff>
      <xdr:row>141</xdr:row>
      <xdr:rowOff>135997</xdr:rowOff>
    </xdr:from>
    <xdr:to>
      <xdr:col>8</xdr:col>
      <xdr:colOff>5101</xdr:colOff>
      <xdr:row>143</xdr:row>
      <xdr:rowOff>151998</xdr:rowOff>
    </xdr:to>
    <xdr:sp macro="" textlink="">
      <xdr:nvSpPr>
        <xdr:cNvPr id="105" name="円柱 104">
          <a:extLst>
            <a:ext uri="{FF2B5EF4-FFF2-40B4-BE49-F238E27FC236}">
              <a16:creationId xmlns:a16="http://schemas.microsoft.com/office/drawing/2014/main" id="{00000000-0008-0000-0300-000069000000}"/>
            </a:ext>
          </a:extLst>
        </xdr:cNvPr>
        <xdr:cNvSpPr/>
      </xdr:nvSpPr>
      <xdr:spPr>
        <a:xfrm>
          <a:off x="4648009" y="24011997"/>
          <a:ext cx="352425" cy="354668"/>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381000</xdr:colOff>
      <xdr:row>115</xdr:row>
      <xdr:rowOff>97898</xdr:rowOff>
    </xdr:from>
    <xdr:to>
      <xdr:col>16</xdr:col>
      <xdr:colOff>371475</xdr:colOff>
      <xdr:row>131</xdr:row>
      <xdr:rowOff>83607</xdr:rowOff>
    </xdr:to>
    <xdr:sp macro="" textlink="">
      <xdr:nvSpPr>
        <xdr:cNvPr id="106" name="正方形/長方形 105">
          <a:extLst>
            <a:ext uri="{FF2B5EF4-FFF2-40B4-BE49-F238E27FC236}">
              <a16:creationId xmlns:a16="http://schemas.microsoft.com/office/drawing/2014/main" id="{00000000-0008-0000-0300-00006A000000}"/>
            </a:ext>
          </a:extLst>
        </xdr:cNvPr>
        <xdr:cNvSpPr/>
      </xdr:nvSpPr>
      <xdr:spPr>
        <a:xfrm>
          <a:off x="6000750" y="19571231"/>
          <a:ext cx="4361392" cy="2695043"/>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縮小共通基盤</a:t>
          </a:r>
        </a:p>
      </xdr:txBody>
    </xdr:sp>
    <xdr:clientData/>
  </xdr:twoCellAnchor>
  <xdr:twoCellAnchor>
    <xdr:from>
      <xdr:col>10</xdr:col>
      <xdr:colOff>9526</xdr:colOff>
      <xdr:row>124</xdr:row>
      <xdr:rowOff>88373</xdr:rowOff>
    </xdr:from>
    <xdr:to>
      <xdr:col>13</xdr:col>
      <xdr:colOff>9526</xdr:colOff>
      <xdr:row>130</xdr:row>
      <xdr:rowOff>88373</xdr:rowOff>
    </xdr:to>
    <xdr:sp macro="" textlink="">
      <xdr:nvSpPr>
        <xdr:cNvPr id="107" name="正方形/長方形 106">
          <a:extLst>
            <a:ext uri="{FF2B5EF4-FFF2-40B4-BE49-F238E27FC236}">
              <a16:creationId xmlns:a16="http://schemas.microsoft.com/office/drawing/2014/main" id="{00000000-0008-0000-0300-00006B000000}"/>
            </a:ext>
          </a:extLst>
        </xdr:cNvPr>
        <xdr:cNvSpPr/>
      </xdr:nvSpPr>
      <xdr:spPr>
        <a:xfrm>
          <a:off x="6253693" y="21085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バッチ基盤サーバ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13</xdr:col>
      <xdr:colOff>9526</xdr:colOff>
      <xdr:row>124</xdr:row>
      <xdr:rowOff>88373</xdr:rowOff>
    </xdr:from>
    <xdr:to>
      <xdr:col>16</xdr:col>
      <xdr:colOff>9526</xdr:colOff>
      <xdr:row>130</xdr:row>
      <xdr:rowOff>88373</xdr:rowOff>
    </xdr:to>
    <xdr:sp macro="" textlink="">
      <xdr:nvSpPr>
        <xdr:cNvPr id="108" name="正方形/長方形 107">
          <a:extLst>
            <a:ext uri="{FF2B5EF4-FFF2-40B4-BE49-F238E27FC236}">
              <a16:creationId xmlns:a16="http://schemas.microsoft.com/office/drawing/2014/main" id="{00000000-0008-0000-0300-00006C000000}"/>
            </a:ext>
          </a:extLst>
        </xdr:cNvPr>
        <xdr:cNvSpPr/>
      </xdr:nvSpPr>
      <xdr:spPr>
        <a:xfrm>
          <a:off x="8126943" y="21085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共通基盤帳票サーバ</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10</xdr:col>
      <xdr:colOff>9526</xdr:colOff>
      <xdr:row>118</xdr:row>
      <xdr:rowOff>88373</xdr:rowOff>
    </xdr:from>
    <xdr:to>
      <xdr:col>13</xdr:col>
      <xdr:colOff>9526</xdr:colOff>
      <xdr:row>124</xdr:row>
      <xdr:rowOff>88373</xdr:rowOff>
    </xdr:to>
    <xdr:sp macro="" textlink="">
      <xdr:nvSpPr>
        <xdr:cNvPr id="109" name="正方形/長方形 108">
          <a:extLst>
            <a:ext uri="{FF2B5EF4-FFF2-40B4-BE49-F238E27FC236}">
              <a16:creationId xmlns:a16="http://schemas.microsoft.com/office/drawing/2014/main" id="{00000000-0008-0000-0300-00006D000000}"/>
            </a:ext>
          </a:extLst>
        </xdr:cNvPr>
        <xdr:cNvSpPr/>
      </xdr:nvSpPr>
      <xdr:spPr>
        <a:xfrm>
          <a:off x="6253693" y="20069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endParaRPr kumimoji="1" lang="en-US" altLang="ja-JP" sz="1100">
            <a:solidFill>
              <a:sysClr val="windowText" lastClr="000000"/>
            </a:solidFill>
          </a:endParaRPr>
        </a:p>
        <a:p>
          <a:pPr algn="l"/>
          <a:r>
            <a:rPr kumimoji="1" lang="ja-JP" altLang="en-US" sz="1100">
              <a:solidFill>
                <a:sysClr val="windowText" lastClr="000000"/>
              </a:solidFill>
            </a:rPr>
            <a:t>・用役管理システム</a:t>
          </a:r>
          <a:endParaRPr kumimoji="1" lang="en-US" altLang="ja-JP" sz="1100">
            <a:solidFill>
              <a:sysClr val="windowText" lastClr="000000"/>
            </a:solidFill>
          </a:endParaRPr>
        </a:p>
      </xdr:txBody>
    </xdr:sp>
    <xdr:clientData/>
  </xdr:twoCellAnchor>
  <xdr:twoCellAnchor>
    <xdr:from>
      <xdr:col>13</xdr:col>
      <xdr:colOff>9526</xdr:colOff>
      <xdr:row>118</xdr:row>
      <xdr:rowOff>88373</xdr:rowOff>
    </xdr:from>
    <xdr:to>
      <xdr:col>16</xdr:col>
      <xdr:colOff>9526</xdr:colOff>
      <xdr:row>124</xdr:row>
      <xdr:rowOff>88373</xdr:rowOff>
    </xdr:to>
    <xdr:sp macro="" textlink="">
      <xdr:nvSpPr>
        <xdr:cNvPr id="110" name="正方形/長方形 109">
          <a:extLst>
            <a:ext uri="{FF2B5EF4-FFF2-40B4-BE49-F238E27FC236}">
              <a16:creationId xmlns:a16="http://schemas.microsoft.com/office/drawing/2014/main" id="{00000000-0008-0000-0300-00006E000000}"/>
            </a:ext>
          </a:extLst>
        </xdr:cNvPr>
        <xdr:cNvSpPr/>
      </xdr:nvSpPr>
      <xdr:spPr>
        <a:xfrm>
          <a:off x="8126943" y="20069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ja-JP" altLang="en-US" sz="1100">
            <a:solidFill>
              <a:sysClr val="windowText" lastClr="000000"/>
            </a:solidFill>
          </a:endParaRPr>
        </a:p>
      </xdr:txBody>
    </xdr:sp>
    <xdr:clientData/>
  </xdr:twoCellAnchor>
  <xdr:twoCellAnchor>
    <xdr:from>
      <xdr:col>15</xdr:col>
      <xdr:colOff>285751</xdr:colOff>
      <xdr:row>122</xdr:row>
      <xdr:rowOff>45509</xdr:rowOff>
    </xdr:from>
    <xdr:to>
      <xdr:col>16</xdr:col>
      <xdr:colOff>1059</xdr:colOff>
      <xdr:row>124</xdr:row>
      <xdr:rowOff>61513</xdr:rowOff>
    </xdr:to>
    <xdr:sp macro="" textlink="">
      <xdr:nvSpPr>
        <xdr:cNvPr id="111" name="円柱 110">
          <a:extLst>
            <a:ext uri="{FF2B5EF4-FFF2-40B4-BE49-F238E27FC236}">
              <a16:creationId xmlns:a16="http://schemas.microsoft.com/office/drawing/2014/main" id="{00000000-0008-0000-0300-00006F000000}"/>
            </a:ext>
          </a:extLst>
        </xdr:cNvPr>
        <xdr:cNvSpPr/>
      </xdr:nvSpPr>
      <xdr:spPr>
        <a:xfrm>
          <a:off x="9652001" y="20704176"/>
          <a:ext cx="339725" cy="354670"/>
        </a:xfrm>
        <a:prstGeom prst="can">
          <a:avLst/>
        </a:prstGeom>
        <a:gradFill>
          <a:gsLst>
            <a:gs pos="50000">
              <a:schemeClr val="bg1">
                <a:lumMod val="75000"/>
              </a:schemeClr>
            </a:gs>
            <a:gs pos="50000">
              <a:schemeClr val="bg1">
                <a:lumMod val="75000"/>
              </a:schemeClr>
            </a:gs>
            <a:gs pos="50000">
              <a:schemeClr val="accent6"/>
            </a:gs>
          </a:gsLst>
          <a:lin ang="2700000" scaled="1"/>
        </a:gra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8</xdr:col>
      <xdr:colOff>1</xdr:colOff>
      <xdr:row>123</xdr:row>
      <xdr:rowOff>66942</xdr:rowOff>
    </xdr:from>
    <xdr:to>
      <xdr:col>10</xdr:col>
      <xdr:colOff>19051</xdr:colOff>
      <xdr:row>123</xdr:row>
      <xdr:rowOff>66942</xdr:rowOff>
    </xdr:to>
    <xdr:cxnSp macro="">
      <xdr:nvCxnSpPr>
        <xdr:cNvPr id="112" name="直線コネクタ 111">
          <a:extLst>
            <a:ext uri="{FF2B5EF4-FFF2-40B4-BE49-F238E27FC236}">
              <a16:creationId xmlns:a16="http://schemas.microsoft.com/office/drawing/2014/main" id="{00000000-0008-0000-0300-000070000000}"/>
            </a:ext>
          </a:extLst>
        </xdr:cNvPr>
        <xdr:cNvCxnSpPr/>
      </xdr:nvCxnSpPr>
      <xdr:spPr>
        <a:xfrm>
          <a:off x="4995334" y="20894942"/>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xdr:colOff>
      <xdr:row>126</xdr:row>
      <xdr:rowOff>57417</xdr:rowOff>
    </xdr:from>
    <xdr:to>
      <xdr:col>10</xdr:col>
      <xdr:colOff>19051</xdr:colOff>
      <xdr:row>126</xdr:row>
      <xdr:rowOff>57417</xdr:rowOff>
    </xdr:to>
    <xdr:cxnSp macro="">
      <xdr:nvCxnSpPr>
        <xdr:cNvPr id="113" name="直線コネクタ 112">
          <a:extLst>
            <a:ext uri="{FF2B5EF4-FFF2-40B4-BE49-F238E27FC236}">
              <a16:creationId xmlns:a16="http://schemas.microsoft.com/office/drawing/2014/main" id="{00000000-0008-0000-0300-000071000000}"/>
            </a:ext>
          </a:extLst>
        </xdr:cNvPr>
        <xdr:cNvCxnSpPr/>
      </xdr:nvCxnSpPr>
      <xdr:spPr>
        <a:xfrm>
          <a:off x="4995334" y="21393417"/>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495301</xdr:colOff>
      <xdr:row>122</xdr:row>
      <xdr:rowOff>133616</xdr:rowOff>
    </xdr:from>
    <xdr:to>
      <xdr:col>9</xdr:col>
      <xdr:colOff>171451</xdr:colOff>
      <xdr:row>122</xdr:row>
      <xdr:rowOff>133617</xdr:rowOff>
    </xdr:to>
    <xdr:cxnSp macro="">
      <xdr:nvCxnSpPr>
        <xdr:cNvPr id="114" name="直線矢印コネクタ 113">
          <a:extLst>
            <a:ext uri="{FF2B5EF4-FFF2-40B4-BE49-F238E27FC236}">
              <a16:creationId xmlns:a16="http://schemas.microsoft.com/office/drawing/2014/main" id="{00000000-0008-0000-0300-000072000000}"/>
            </a:ext>
          </a:extLst>
        </xdr:cNvPr>
        <xdr:cNvCxnSpPr/>
      </xdr:nvCxnSpPr>
      <xdr:spPr>
        <a:xfrm flipH="1">
          <a:off x="5490634" y="20792283"/>
          <a:ext cx="300567" cy="1"/>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495301</xdr:colOff>
      <xdr:row>126</xdr:row>
      <xdr:rowOff>152667</xdr:rowOff>
    </xdr:from>
    <xdr:to>
      <xdr:col>9</xdr:col>
      <xdr:colOff>171451</xdr:colOff>
      <xdr:row>126</xdr:row>
      <xdr:rowOff>152668</xdr:rowOff>
    </xdr:to>
    <xdr:cxnSp macro="">
      <xdr:nvCxnSpPr>
        <xdr:cNvPr id="115" name="直線矢印コネクタ 114">
          <a:extLst>
            <a:ext uri="{FF2B5EF4-FFF2-40B4-BE49-F238E27FC236}">
              <a16:creationId xmlns:a16="http://schemas.microsoft.com/office/drawing/2014/main" id="{00000000-0008-0000-0300-000073000000}"/>
            </a:ext>
          </a:extLst>
        </xdr:cNvPr>
        <xdr:cNvCxnSpPr/>
      </xdr:nvCxnSpPr>
      <xdr:spPr>
        <a:xfrm flipH="1">
          <a:off x="5490634" y="21488667"/>
          <a:ext cx="300567" cy="1"/>
        </a:xfrm>
        <a:prstGeom prst="straightConnector1">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11907</xdr:colOff>
      <xdr:row>138</xdr:row>
      <xdr:rowOff>14554</xdr:rowOff>
    </xdr:from>
    <xdr:to>
      <xdr:col>4</xdr:col>
      <xdr:colOff>14286</xdr:colOff>
      <xdr:row>144</xdr:row>
      <xdr:rowOff>2648</xdr:rowOff>
    </xdr:to>
    <xdr:sp macro="" textlink="">
      <xdr:nvSpPr>
        <xdr:cNvPr id="116" name="正方形/長方形 115">
          <a:extLst>
            <a:ext uri="{FF2B5EF4-FFF2-40B4-BE49-F238E27FC236}">
              <a16:creationId xmlns:a16="http://schemas.microsoft.com/office/drawing/2014/main" id="{00000000-0008-0000-0300-000074000000}"/>
            </a:ext>
          </a:extLst>
        </xdr:cNvPr>
        <xdr:cNvSpPr/>
      </xdr:nvSpPr>
      <xdr:spPr>
        <a:xfrm>
          <a:off x="636324" y="23382554"/>
          <a:ext cx="1875629" cy="1004094"/>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ETS-R EAI</a:t>
          </a:r>
        </a:p>
        <a:p>
          <a:pPr algn="l"/>
          <a:r>
            <a:rPr kumimoji="1" lang="ja-JP" altLang="en-US" sz="1100">
              <a:solidFill>
                <a:sysClr val="windowText" lastClr="000000"/>
              </a:solidFill>
            </a:rPr>
            <a:t>・オフラスとの連携用</a:t>
          </a:r>
          <a:endParaRPr kumimoji="1" lang="en-US" altLang="ja-JP" sz="1100">
            <a:solidFill>
              <a:sysClr val="windowText" lastClr="000000"/>
            </a:solidFill>
          </a:endParaRPr>
        </a:p>
      </xdr:txBody>
    </xdr:sp>
    <xdr:clientData/>
  </xdr:twoCellAnchor>
  <xdr:twoCellAnchor>
    <xdr:from>
      <xdr:col>4</xdr:col>
      <xdr:colOff>14286</xdr:colOff>
      <xdr:row>141</xdr:row>
      <xdr:rowOff>2647</xdr:rowOff>
    </xdr:from>
    <xdr:to>
      <xdr:col>5</xdr:col>
      <xdr:colOff>1</xdr:colOff>
      <xdr:row>141</xdr:row>
      <xdr:rowOff>8601</xdr:rowOff>
    </xdr:to>
    <xdr:cxnSp macro="">
      <xdr:nvCxnSpPr>
        <xdr:cNvPr id="117" name="直線コネクタ 116">
          <a:extLst>
            <a:ext uri="{FF2B5EF4-FFF2-40B4-BE49-F238E27FC236}">
              <a16:creationId xmlns:a16="http://schemas.microsoft.com/office/drawing/2014/main" id="{00000000-0008-0000-0300-000075000000}"/>
            </a:ext>
          </a:extLst>
        </xdr:cNvPr>
        <xdr:cNvCxnSpPr>
          <a:stCxn id="90" idx="1"/>
          <a:endCxn id="116" idx="3"/>
        </xdr:cNvCxnSpPr>
      </xdr:nvCxnSpPr>
      <xdr:spPr>
        <a:xfrm flipH="1">
          <a:off x="2511953" y="23878647"/>
          <a:ext cx="610131" cy="595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xdr:colOff>
      <xdr:row>131</xdr:row>
      <xdr:rowOff>83607</xdr:rowOff>
    </xdr:from>
    <xdr:to>
      <xdr:col>13</xdr:col>
      <xdr:colOff>30956</xdr:colOff>
      <xdr:row>141</xdr:row>
      <xdr:rowOff>2647</xdr:rowOff>
    </xdr:to>
    <xdr:cxnSp macro="">
      <xdr:nvCxnSpPr>
        <xdr:cNvPr id="118" name="カギ線コネクタ 117">
          <a:extLst>
            <a:ext uri="{FF2B5EF4-FFF2-40B4-BE49-F238E27FC236}">
              <a16:creationId xmlns:a16="http://schemas.microsoft.com/office/drawing/2014/main" id="{00000000-0008-0000-0300-000076000000}"/>
            </a:ext>
          </a:extLst>
        </xdr:cNvPr>
        <xdr:cNvCxnSpPr>
          <a:stCxn id="106" idx="2"/>
          <a:endCxn id="90" idx="3"/>
        </xdr:cNvCxnSpPr>
      </xdr:nvCxnSpPr>
      <xdr:spPr>
        <a:xfrm rot="5400000">
          <a:off x="5765667" y="21495941"/>
          <a:ext cx="1612373" cy="3153039"/>
        </a:xfrm>
        <a:prstGeom prst="bentConnector2">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440532</xdr:colOff>
      <xdr:row>154</xdr:row>
      <xdr:rowOff>2648</xdr:rowOff>
    </xdr:from>
    <xdr:to>
      <xdr:col>4</xdr:col>
      <xdr:colOff>440532</xdr:colOff>
      <xdr:row>160</xdr:row>
      <xdr:rowOff>2648</xdr:rowOff>
    </xdr:to>
    <xdr:sp macro="" textlink="">
      <xdr:nvSpPr>
        <xdr:cNvPr id="119" name="正方形/長方形 118">
          <a:extLst>
            <a:ext uri="{FF2B5EF4-FFF2-40B4-BE49-F238E27FC236}">
              <a16:creationId xmlns:a16="http://schemas.microsoft.com/office/drawing/2014/main" id="{00000000-0008-0000-0300-000077000000}"/>
            </a:ext>
          </a:extLst>
        </xdr:cNvPr>
        <xdr:cNvSpPr/>
      </xdr:nvSpPr>
      <xdr:spPr>
        <a:xfrm>
          <a:off x="1064949" y="26079981"/>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陸上出荷システム</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3</xdr:col>
      <xdr:colOff>95252</xdr:colOff>
      <xdr:row>152</xdr:row>
      <xdr:rowOff>2646</xdr:rowOff>
    </xdr:from>
    <xdr:to>
      <xdr:col>6</xdr:col>
      <xdr:colOff>345284</xdr:colOff>
      <xdr:row>154</xdr:row>
      <xdr:rowOff>2648</xdr:rowOff>
    </xdr:to>
    <xdr:cxnSp macro="">
      <xdr:nvCxnSpPr>
        <xdr:cNvPr id="120" name="カギ線コネクタ 119">
          <a:extLst>
            <a:ext uri="{FF2B5EF4-FFF2-40B4-BE49-F238E27FC236}">
              <a16:creationId xmlns:a16="http://schemas.microsoft.com/office/drawing/2014/main" id="{00000000-0008-0000-0300-000078000000}"/>
            </a:ext>
          </a:extLst>
        </xdr:cNvPr>
        <xdr:cNvCxnSpPr>
          <a:stCxn id="91" idx="2"/>
          <a:endCxn id="119" idx="0"/>
        </xdr:cNvCxnSpPr>
      </xdr:nvCxnSpPr>
      <xdr:spPr>
        <a:xfrm rot="5400000">
          <a:off x="2860809" y="24849006"/>
          <a:ext cx="338668" cy="2123282"/>
        </a:xfrm>
        <a:prstGeom prst="bentConnector3">
          <a:avLst>
            <a:gd name="adj1" fmla="val 50000"/>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130970</xdr:colOff>
      <xdr:row>152</xdr:row>
      <xdr:rowOff>74084</xdr:rowOff>
    </xdr:from>
    <xdr:to>
      <xdr:col>4</xdr:col>
      <xdr:colOff>492920</xdr:colOff>
      <xdr:row>152</xdr:row>
      <xdr:rowOff>74085</xdr:rowOff>
    </xdr:to>
    <xdr:cxnSp macro="">
      <xdr:nvCxnSpPr>
        <xdr:cNvPr id="121" name="直線矢印コネクタ 120">
          <a:extLst>
            <a:ext uri="{FF2B5EF4-FFF2-40B4-BE49-F238E27FC236}">
              <a16:creationId xmlns:a16="http://schemas.microsoft.com/office/drawing/2014/main" id="{00000000-0008-0000-0300-000079000000}"/>
            </a:ext>
          </a:extLst>
        </xdr:cNvPr>
        <xdr:cNvCxnSpPr/>
      </xdr:nvCxnSpPr>
      <xdr:spPr>
        <a:xfrm flipH="1">
          <a:off x="2628637" y="25812751"/>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178595</xdr:colOff>
      <xdr:row>140</xdr:row>
      <xdr:rowOff>50272</xdr:rowOff>
    </xdr:from>
    <xdr:to>
      <xdr:col>4</xdr:col>
      <xdr:colOff>540545</xdr:colOff>
      <xdr:row>140</xdr:row>
      <xdr:rowOff>50273</xdr:rowOff>
    </xdr:to>
    <xdr:cxnSp macro="">
      <xdr:nvCxnSpPr>
        <xdr:cNvPr id="122" name="直線矢印コネクタ 121">
          <a:extLst>
            <a:ext uri="{FF2B5EF4-FFF2-40B4-BE49-F238E27FC236}">
              <a16:creationId xmlns:a16="http://schemas.microsoft.com/office/drawing/2014/main" id="{00000000-0008-0000-0300-00007A000000}"/>
            </a:ext>
          </a:extLst>
        </xdr:cNvPr>
        <xdr:cNvCxnSpPr/>
      </xdr:nvCxnSpPr>
      <xdr:spPr>
        <a:xfrm flipH="1">
          <a:off x="2676262" y="23756939"/>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109</xdr:row>
      <xdr:rowOff>0</xdr:rowOff>
    </xdr:from>
    <xdr:to>
      <xdr:col>12</xdr:col>
      <xdr:colOff>613833</xdr:colOff>
      <xdr:row>111</xdr:row>
      <xdr:rowOff>148166</xdr:rowOff>
    </xdr:to>
    <xdr:sp macro="" textlink="">
      <xdr:nvSpPr>
        <xdr:cNvPr id="123" name="正方形/長方形 122">
          <a:extLst>
            <a:ext uri="{FF2B5EF4-FFF2-40B4-BE49-F238E27FC236}">
              <a16:creationId xmlns:a16="http://schemas.microsoft.com/office/drawing/2014/main" id="{00000000-0008-0000-0300-00007B000000}"/>
            </a:ext>
          </a:extLst>
        </xdr:cNvPr>
        <xdr:cNvSpPr/>
      </xdr:nvSpPr>
      <xdr:spPr>
        <a:xfrm>
          <a:off x="624417" y="18457333"/>
          <a:ext cx="7482416" cy="486833"/>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chemeClr val="tx1"/>
              </a:solidFill>
            </a:rPr>
            <a:t>（２）</a:t>
          </a:r>
          <a:r>
            <a:rPr kumimoji="1" lang="en-US" altLang="ja-JP" sz="2400">
              <a:solidFill>
                <a:schemeClr val="tx1"/>
              </a:solidFill>
            </a:rPr>
            <a:t>Azure</a:t>
          </a:r>
          <a:r>
            <a:rPr kumimoji="1" lang="ja-JP" altLang="en-US" sz="2400">
              <a:solidFill>
                <a:schemeClr val="tx1"/>
              </a:solidFill>
            </a:rPr>
            <a:t>に構築される縮小版の共通基盤に移行</a:t>
          </a:r>
        </a:p>
      </xdr:txBody>
    </xdr:sp>
    <xdr:clientData/>
  </xdr:twoCellAnchor>
  <xdr:twoCellAnchor>
    <xdr:from>
      <xdr:col>13</xdr:col>
      <xdr:colOff>485775</xdr:colOff>
      <xdr:row>112</xdr:row>
      <xdr:rowOff>142875</xdr:rowOff>
    </xdr:from>
    <xdr:to>
      <xdr:col>17</xdr:col>
      <xdr:colOff>466725</xdr:colOff>
      <xdr:row>118</xdr:row>
      <xdr:rowOff>47625</xdr:rowOff>
    </xdr:to>
    <xdr:sp macro="" textlink="">
      <xdr:nvSpPr>
        <xdr:cNvPr id="81" name="四角形吹き出し 80">
          <a:extLst>
            <a:ext uri="{FF2B5EF4-FFF2-40B4-BE49-F238E27FC236}">
              <a16:creationId xmlns:a16="http://schemas.microsoft.com/office/drawing/2014/main" id="{00000000-0008-0000-0300-000051000000}"/>
            </a:ext>
            <a:ext uri="{147F2762-F138-4A5C-976F-8EAC2B608ADB}">
              <a16:predDERef xmlns:a16="http://schemas.microsoft.com/office/drawing/2014/main" pred="{00000000-0008-0000-0300-00007B000000}"/>
            </a:ext>
          </a:extLst>
        </xdr:cNvPr>
        <xdr:cNvSpPr/>
      </xdr:nvSpPr>
      <xdr:spPr>
        <a:xfrm>
          <a:off x="8534400" y="18278475"/>
          <a:ext cx="2457450" cy="876300"/>
        </a:xfrm>
        <a:prstGeom prst="wedgeRectCallou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ja-JP" altLang="en-US" sz="1100" b="0" i="0" u="none" strike="noStrike">
              <a:solidFill>
                <a:schemeClr val="lt1"/>
              </a:solidFill>
              <a:latin typeface="Calibri" panose="020F0502020204030204" pitchFamily="34" charset="0"/>
              <a:cs typeface="Calibri" panose="020F0502020204030204" pitchFamily="34" charset="0"/>
            </a:rPr>
            <a:t>個別で</a:t>
          </a:r>
          <a:r>
            <a:rPr lang="en-US" sz="1100" b="0" i="0" u="none" strike="noStrike">
              <a:solidFill>
                <a:schemeClr val="lt1"/>
              </a:solidFill>
              <a:latin typeface="Calibri" panose="020F0502020204030204" pitchFamily="34" charset="0"/>
              <a:cs typeface="Calibri" panose="020F0502020204030204" pitchFamily="34" charset="0"/>
            </a:rPr>
            <a:t>Oracle</a:t>
          </a:r>
          <a:r>
            <a:rPr lang="ja-JP" altLang="en-US" sz="1100" b="0" i="0" u="none" strike="noStrike">
              <a:solidFill>
                <a:schemeClr val="lt1"/>
              </a:solidFill>
              <a:latin typeface="Calibri" panose="020F0502020204030204" pitchFamily="34" charset="0"/>
              <a:cs typeface="Calibri" panose="020F0502020204030204" pitchFamily="34" charset="0"/>
            </a:rPr>
            <a:t>構築し、</a:t>
          </a:r>
        </a:p>
        <a:p>
          <a:pPr marL="0" indent="0" algn="l"/>
          <a:r>
            <a:rPr lang="en-US" sz="1100" b="0" i="0" u="none" strike="noStrike">
              <a:solidFill>
                <a:schemeClr val="lt1"/>
              </a:solidFill>
              <a:latin typeface="Calibri" panose="020F0502020204030204" pitchFamily="34" charset="0"/>
              <a:cs typeface="Calibri" panose="020F0502020204030204" pitchFamily="34" charset="0"/>
            </a:rPr>
            <a:t>DB</a:t>
          </a:r>
          <a:r>
            <a:rPr lang="ja-JP" altLang="en-US" sz="1100" b="0" i="0" u="none" strike="noStrike">
              <a:solidFill>
                <a:schemeClr val="lt1"/>
              </a:solidFill>
              <a:latin typeface="Calibri" panose="020F0502020204030204" pitchFamily="34" charset="0"/>
              <a:cs typeface="Calibri" panose="020F0502020204030204" pitchFamily="34" charset="0"/>
            </a:rPr>
            <a:t>のみ縮小共通基盤を利用しない</a:t>
          </a:r>
        </a:p>
        <a:p>
          <a:pPr marL="0" indent="0" algn="l"/>
          <a:r>
            <a:rPr lang="ja-JP" altLang="en-US" sz="1100" b="0" i="0" u="none" strike="noStrike">
              <a:solidFill>
                <a:schemeClr val="lt1"/>
              </a:solidFill>
              <a:latin typeface="Calibri" panose="020F0502020204030204" pitchFamily="34" charset="0"/>
              <a:cs typeface="Calibri" panose="020F0502020204030204" pitchFamily="34" charset="0"/>
            </a:rPr>
            <a:t>パターンも要検討</a:t>
          </a:r>
        </a:p>
      </xdr:txBody>
    </xdr:sp>
    <xdr:clientData/>
  </xdr:twoCellAnchor>
  <xdr:twoCellAnchor>
    <xdr:from>
      <xdr:col>18</xdr:col>
      <xdr:colOff>0</xdr:colOff>
      <xdr:row>14</xdr:row>
      <xdr:rowOff>0</xdr:rowOff>
    </xdr:from>
    <xdr:to>
      <xdr:col>21</xdr:col>
      <xdr:colOff>0</xdr:colOff>
      <xdr:row>20</xdr:row>
      <xdr:rowOff>0</xdr:rowOff>
    </xdr:to>
    <xdr:sp macro="" textlink="">
      <xdr:nvSpPr>
        <xdr:cNvPr id="126" name="正方形/長方形 125">
          <a:extLst>
            <a:ext uri="{FF2B5EF4-FFF2-40B4-BE49-F238E27FC236}">
              <a16:creationId xmlns:a16="http://schemas.microsoft.com/office/drawing/2014/main" id="{00000000-0008-0000-0300-00007E000000}"/>
            </a:ext>
          </a:extLst>
        </xdr:cNvPr>
        <xdr:cNvSpPr/>
      </xdr:nvSpPr>
      <xdr:spPr>
        <a:xfrm>
          <a:off x="11049000" y="2370667"/>
          <a:ext cx="184150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徳山ヤード操業サーバ</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予備機</a:t>
          </a:r>
          <a:r>
            <a:rPr kumimoji="1" lang="en-US" altLang="ja-JP" sz="1100">
              <a:solidFill>
                <a:sysClr val="windowText" lastClr="000000"/>
              </a:solidFill>
            </a:rPr>
            <a:t>)</a:t>
          </a:r>
        </a:p>
        <a:p>
          <a:pPr algn="l"/>
          <a:r>
            <a:rPr kumimoji="1" lang="en-US" altLang="ja-JP" sz="1100">
              <a:solidFill>
                <a:sysClr val="windowText" lastClr="000000"/>
              </a:solidFill>
            </a:rPr>
            <a:t>10.240.2.87</a:t>
          </a: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xdr:txBody>
    </xdr:sp>
    <xdr:clientData/>
  </xdr:twoCellAnchor>
  <xdr:twoCellAnchor>
    <xdr:from>
      <xdr:col>18</xdr:col>
      <xdr:colOff>0</xdr:colOff>
      <xdr:row>69</xdr:row>
      <xdr:rowOff>0</xdr:rowOff>
    </xdr:from>
    <xdr:to>
      <xdr:col>21</xdr:col>
      <xdr:colOff>0</xdr:colOff>
      <xdr:row>75</xdr:row>
      <xdr:rowOff>0</xdr:rowOff>
    </xdr:to>
    <xdr:sp macro="" textlink="">
      <xdr:nvSpPr>
        <xdr:cNvPr id="128" name="正方形/長方形 127">
          <a:extLst>
            <a:ext uri="{FF2B5EF4-FFF2-40B4-BE49-F238E27FC236}">
              <a16:creationId xmlns:a16="http://schemas.microsoft.com/office/drawing/2014/main" id="{00000000-0008-0000-0300-000080000000}"/>
            </a:ext>
          </a:extLst>
        </xdr:cNvPr>
        <xdr:cNvSpPr/>
      </xdr:nvSpPr>
      <xdr:spPr>
        <a:xfrm>
          <a:off x="11049000" y="11684000"/>
          <a:ext cx="184150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徳山ヤード操業サーバ</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予備機</a:t>
          </a:r>
          <a:r>
            <a:rPr kumimoji="1" lang="en-US" altLang="ja-JP" sz="1100">
              <a:solidFill>
                <a:sysClr val="windowText" lastClr="000000"/>
              </a:solidFill>
            </a:rPr>
            <a:t>)</a:t>
          </a: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xdr:txBody>
    </xdr:sp>
    <xdr:clientData/>
  </xdr:twoCellAnchor>
  <xdr:twoCellAnchor>
    <xdr:from>
      <xdr:col>18</xdr:col>
      <xdr:colOff>0</xdr:colOff>
      <xdr:row>124</xdr:row>
      <xdr:rowOff>0</xdr:rowOff>
    </xdr:from>
    <xdr:to>
      <xdr:col>21</xdr:col>
      <xdr:colOff>0</xdr:colOff>
      <xdr:row>130</xdr:row>
      <xdr:rowOff>0</xdr:rowOff>
    </xdr:to>
    <xdr:sp macro="" textlink="">
      <xdr:nvSpPr>
        <xdr:cNvPr id="130" name="正方形/長方形 129">
          <a:extLst>
            <a:ext uri="{FF2B5EF4-FFF2-40B4-BE49-F238E27FC236}">
              <a16:creationId xmlns:a16="http://schemas.microsoft.com/office/drawing/2014/main" id="{00000000-0008-0000-0300-000082000000}"/>
            </a:ext>
          </a:extLst>
        </xdr:cNvPr>
        <xdr:cNvSpPr/>
      </xdr:nvSpPr>
      <xdr:spPr>
        <a:xfrm>
          <a:off x="11049000" y="20997333"/>
          <a:ext cx="184150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徳山ヤード操業サーバ</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予備機</a:t>
          </a:r>
          <a:r>
            <a:rPr kumimoji="1" lang="en-US" altLang="ja-JP" sz="1100">
              <a:solidFill>
                <a:sysClr val="windowText" lastClr="000000"/>
              </a:solidFill>
            </a:rPr>
            <a:t>)</a:t>
          </a: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xdr:txBody>
    </xdr:sp>
    <xdr:clientData/>
  </xdr:twoCellAnchor>
  <xdr:twoCellAnchor>
    <xdr:from>
      <xdr:col>20</xdr:col>
      <xdr:colOff>257175</xdr:colOff>
      <xdr:row>17</xdr:row>
      <xdr:rowOff>123825</xdr:rowOff>
    </xdr:from>
    <xdr:to>
      <xdr:col>20</xdr:col>
      <xdr:colOff>600075</xdr:colOff>
      <xdr:row>19</xdr:row>
      <xdr:rowOff>139827</xdr:rowOff>
    </xdr:to>
    <xdr:sp macro="" textlink="">
      <xdr:nvSpPr>
        <xdr:cNvPr id="82" name="Can 81">
          <a:extLst>
            <a:ext uri="{FF2B5EF4-FFF2-40B4-BE49-F238E27FC236}">
              <a16:creationId xmlns:a16="http://schemas.microsoft.com/office/drawing/2014/main" id="{46113F12-8830-40B8-BEA4-E966581A8A08}"/>
            </a:ext>
            <a:ext uri="{147F2762-F138-4A5C-976F-8EAC2B608ADB}">
              <a16:predDERef xmlns:a16="http://schemas.microsoft.com/office/drawing/2014/main" pred="{00000000-0008-0000-0300-000082000000}"/>
            </a:ext>
          </a:extLst>
        </xdr:cNvPr>
        <xdr:cNvSpPr/>
      </xdr:nvSpPr>
      <xdr:spPr>
        <a:xfrm>
          <a:off x="12639675" y="2876550"/>
          <a:ext cx="342900" cy="33985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ysClr val="windowText" lastClr="000000"/>
            </a:solidFill>
          </a:endParaRPr>
        </a:p>
      </xdr:txBody>
    </xdr:sp>
    <xdr:clientData/>
  </xdr:twoCellAnchor>
  <xdr:twoCellAnchor>
    <xdr:from>
      <xdr:col>20</xdr:col>
      <xdr:colOff>247650</xdr:colOff>
      <xdr:row>72</xdr:row>
      <xdr:rowOff>104775</xdr:rowOff>
    </xdr:from>
    <xdr:to>
      <xdr:col>20</xdr:col>
      <xdr:colOff>590550</xdr:colOff>
      <xdr:row>74</xdr:row>
      <xdr:rowOff>120777</xdr:rowOff>
    </xdr:to>
    <xdr:sp macro="" textlink="">
      <xdr:nvSpPr>
        <xdr:cNvPr id="83" name="Can 82">
          <a:extLst>
            <a:ext uri="{FF2B5EF4-FFF2-40B4-BE49-F238E27FC236}">
              <a16:creationId xmlns:a16="http://schemas.microsoft.com/office/drawing/2014/main" id="{EC948A82-0E56-4C2B-BA00-C1D3AEDEFD12}"/>
            </a:ext>
            <a:ext uri="{147F2762-F138-4A5C-976F-8EAC2B608ADB}">
              <a16:predDERef xmlns:a16="http://schemas.microsoft.com/office/drawing/2014/main" pred="{46113F12-8830-40B8-BEA4-E966581A8A08}"/>
            </a:ext>
          </a:extLst>
        </xdr:cNvPr>
        <xdr:cNvSpPr/>
      </xdr:nvSpPr>
      <xdr:spPr>
        <a:xfrm>
          <a:off x="12630150" y="11763375"/>
          <a:ext cx="342900" cy="33985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ysClr val="windowText" lastClr="000000"/>
            </a:solidFill>
          </a:endParaRPr>
        </a:p>
      </xdr:txBody>
    </xdr:sp>
    <xdr:clientData/>
  </xdr:twoCellAnchor>
  <xdr:twoCellAnchor>
    <xdr:from>
      <xdr:col>20</xdr:col>
      <xdr:colOff>247650</xdr:colOff>
      <xdr:row>127</xdr:row>
      <xdr:rowOff>114300</xdr:rowOff>
    </xdr:from>
    <xdr:to>
      <xdr:col>20</xdr:col>
      <xdr:colOff>590550</xdr:colOff>
      <xdr:row>129</xdr:row>
      <xdr:rowOff>130302</xdr:rowOff>
    </xdr:to>
    <xdr:sp macro="" textlink="">
      <xdr:nvSpPr>
        <xdr:cNvPr id="125" name="Can 124">
          <a:extLst>
            <a:ext uri="{FF2B5EF4-FFF2-40B4-BE49-F238E27FC236}">
              <a16:creationId xmlns:a16="http://schemas.microsoft.com/office/drawing/2014/main" id="{E06EDFCD-9F7B-4937-87E9-2EDFEC660DA5}"/>
            </a:ext>
            <a:ext uri="{147F2762-F138-4A5C-976F-8EAC2B608ADB}">
              <a16:predDERef xmlns:a16="http://schemas.microsoft.com/office/drawing/2014/main" pred="{EC948A82-0E56-4C2B-BA00-C1D3AEDEFD12}"/>
            </a:ext>
          </a:extLst>
        </xdr:cNvPr>
        <xdr:cNvSpPr/>
      </xdr:nvSpPr>
      <xdr:spPr>
        <a:xfrm>
          <a:off x="12630150" y="20678775"/>
          <a:ext cx="342900" cy="33985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ysClr val="windowText" lastClr="000000"/>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0</xdr:colOff>
      <xdr:row>9</xdr:row>
      <xdr:rowOff>276225</xdr:rowOff>
    </xdr:from>
    <xdr:to>
      <xdr:col>7</xdr:col>
      <xdr:colOff>9525</xdr:colOff>
      <xdr:row>11</xdr:row>
      <xdr:rowOff>47625</xdr:rowOff>
    </xdr:to>
    <xdr:sp macro="" textlink="">
      <xdr:nvSpPr>
        <xdr:cNvPr id="2" name="五角形 1">
          <a:extLst>
            <a:ext uri="{FF2B5EF4-FFF2-40B4-BE49-F238E27FC236}">
              <a16:creationId xmlns:a16="http://schemas.microsoft.com/office/drawing/2014/main" id="{70AF411C-3854-F003-941C-4E77A505B272}"/>
            </a:ext>
          </a:extLst>
        </xdr:cNvPr>
        <xdr:cNvSpPr/>
      </xdr:nvSpPr>
      <xdr:spPr>
        <a:xfrm>
          <a:off x="3857625" y="2505075"/>
          <a:ext cx="1019175" cy="28575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要件定義</a:t>
          </a:r>
        </a:p>
      </xdr:txBody>
    </xdr:sp>
    <xdr:clientData/>
  </xdr:twoCellAnchor>
  <xdr:twoCellAnchor>
    <xdr:from>
      <xdr:col>7</xdr:col>
      <xdr:colOff>0</xdr:colOff>
      <xdr:row>10</xdr:row>
      <xdr:rowOff>0</xdr:rowOff>
    </xdr:from>
    <xdr:to>
      <xdr:col>8</xdr:col>
      <xdr:colOff>133350</xdr:colOff>
      <xdr:row>11</xdr:row>
      <xdr:rowOff>57150</xdr:rowOff>
    </xdr:to>
    <xdr:sp macro="" textlink="">
      <xdr:nvSpPr>
        <xdr:cNvPr id="3" name="五角形 2">
          <a:extLst>
            <a:ext uri="{FF2B5EF4-FFF2-40B4-BE49-F238E27FC236}">
              <a16:creationId xmlns:a16="http://schemas.microsoft.com/office/drawing/2014/main" id="{9D573665-713B-4807-B20C-56C69313ED11}"/>
            </a:ext>
            <a:ext uri="{147F2762-F138-4A5C-976F-8EAC2B608ADB}">
              <a16:predDERef xmlns:a16="http://schemas.microsoft.com/office/drawing/2014/main" pred="{70AF411C-3854-F003-941C-4E77A505B272}"/>
            </a:ext>
          </a:extLst>
        </xdr:cNvPr>
        <xdr:cNvSpPr/>
      </xdr:nvSpPr>
      <xdr:spPr>
        <a:xfrm>
          <a:off x="4867275" y="2514600"/>
          <a:ext cx="638175" cy="285750"/>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設計</a:t>
          </a:r>
        </a:p>
      </xdr:txBody>
    </xdr:sp>
    <xdr:clientData/>
  </xdr:twoCellAnchor>
  <xdr:twoCellAnchor>
    <xdr:from>
      <xdr:col>8</xdr:col>
      <xdr:colOff>142875</xdr:colOff>
      <xdr:row>10</xdr:row>
      <xdr:rowOff>0</xdr:rowOff>
    </xdr:from>
    <xdr:to>
      <xdr:col>9</xdr:col>
      <xdr:colOff>361950</xdr:colOff>
      <xdr:row>11</xdr:row>
      <xdr:rowOff>57150</xdr:rowOff>
    </xdr:to>
    <xdr:sp macro="" textlink="">
      <xdr:nvSpPr>
        <xdr:cNvPr id="4" name="五角形 3">
          <a:extLst>
            <a:ext uri="{FF2B5EF4-FFF2-40B4-BE49-F238E27FC236}">
              <a16:creationId xmlns:a16="http://schemas.microsoft.com/office/drawing/2014/main" id="{B4C191D8-17CE-40E1-A6E5-A4E26D64518A}"/>
            </a:ext>
            <a:ext uri="{147F2762-F138-4A5C-976F-8EAC2B608ADB}">
              <a16:predDERef xmlns:a16="http://schemas.microsoft.com/office/drawing/2014/main" pred="{9D573665-713B-4807-B20C-56C69313ED11}"/>
            </a:ext>
          </a:extLst>
        </xdr:cNvPr>
        <xdr:cNvSpPr/>
      </xdr:nvSpPr>
      <xdr:spPr>
        <a:xfrm>
          <a:off x="5514975" y="2514600"/>
          <a:ext cx="723900" cy="285750"/>
        </a:xfrm>
        <a:prstGeom prst="homePlate">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製造</a:t>
          </a:r>
        </a:p>
      </xdr:txBody>
    </xdr:sp>
    <xdr:clientData/>
  </xdr:twoCellAnchor>
  <xdr:twoCellAnchor>
    <xdr:from>
      <xdr:col>9</xdr:col>
      <xdr:colOff>390525</xdr:colOff>
      <xdr:row>10</xdr:row>
      <xdr:rowOff>0</xdr:rowOff>
    </xdr:from>
    <xdr:to>
      <xdr:col>12</xdr:col>
      <xdr:colOff>19050</xdr:colOff>
      <xdr:row>11</xdr:row>
      <xdr:rowOff>57150</xdr:rowOff>
    </xdr:to>
    <xdr:sp macro="" textlink="">
      <xdr:nvSpPr>
        <xdr:cNvPr id="5" name="五角形 4">
          <a:extLst>
            <a:ext uri="{FF2B5EF4-FFF2-40B4-BE49-F238E27FC236}">
              <a16:creationId xmlns:a16="http://schemas.microsoft.com/office/drawing/2014/main" id="{F162F262-D4F9-449D-9B8A-F6CE98DBD336}"/>
            </a:ext>
            <a:ext uri="{147F2762-F138-4A5C-976F-8EAC2B608ADB}">
              <a16:predDERef xmlns:a16="http://schemas.microsoft.com/office/drawing/2014/main" pred="{B4C191D8-17CE-40E1-A6E5-A4E26D64518A}"/>
            </a:ext>
          </a:extLst>
        </xdr:cNvPr>
        <xdr:cNvSpPr/>
      </xdr:nvSpPr>
      <xdr:spPr>
        <a:xfrm>
          <a:off x="6267450" y="2514600"/>
          <a:ext cx="1143000" cy="285750"/>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テスト</a:t>
          </a:r>
        </a:p>
      </xdr:txBody>
    </xdr:sp>
    <xdr:clientData/>
  </xdr:twoCellAnchor>
  <xdr:twoCellAnchor>
    <xdr:from>
      <xdr:col>12</xdr:col>
      <xdr:colOff>9525</xdr:colOff>
      <xdr:row>9</xdr:row>
      <xdr:rowOff>276225</xdr:rowOff>
    </xdr:from>
    <xdr:to>
      <xdr:col>14</xdr:col>
      <xdr:colOff>495300</xdr:colOff>
      <xdr:row>11</xdr:row>
      <xdr:rowOff>47625</xdr:rowOff>
    </xdr:to>
    <xdr:sp macro="" textlink="">
      <xdr:nvSpPr>
        <xdr:cNvPr id="6" name="五角形 5">
          <a:extLst>
            <a:ext uri="{FF2B5EF4-FFF2-40B4-BE49-F238E27FC236}">
              <a16:creationId xmlns:a16="http://schemas.microsoft.com/office/drawing/2014/main" id="{20713F6C-3BE1-4DFD-ABF2-FAFEAA474A54}"/>
            </a:ext>
            <a:ext uri="{147F2762-F138-4A5C-976F-8EAC2B608ADB}">
              <a16:predDERef xmlns:a16="http://schemas.microsoft.com/office/drawing/2014/main" pred="{F162F262-D4F9-449D-9B8A-F6CE98DBD336}"/>
            </a:ext>
          </a:extLst>
        </xdr:cNvPr>
        <xdr:cNvSpPr/>
      </xdr:nvSpPr>
      <xdr:spPr>
        <a:xfrm>
          <a:off x="7400925" y="2505075"/>
          <a:ext cx="1495425" cy="28575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本番移行・</a:t>
          </a:r>
        </a:p>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初期流動</a:t>
          </a:r>
        </a:p>
      </xdr:txBody>
    </xdr:sp>
    <xdr:clientData/>
  </xdr:twoCellAnchor>
  <xdr:twoCellAnchor>
    <xdr:from>
      <xdr:col>12</xdr:col>
      <xdr:colOff>495300</xdr:colOff>
      <xdr:row>7</xdr:row>
      <xdr:rowOff>0</xdr:rowOff>
    </xdr:from>
    <xdr:to>
      <xdr:col>14</xdr:col>
      <xdr:colOff>190500</xdr:colOff>
      <xdr:row>9</xdr:row>
      <xdr:rowOff>266700</xdr:rowOff>
    </xdr:to>
    <xdr:sp macro="" textlink="">
      <xdr:nvSpPr>
        <xdr:cNvPr id="7" name="五角形 6">
          <a:extLst>
            <a:ext uri="{FF2B5EF4-FFF2-40B4-BE49-F238E27FC236}">
              <a16:creationId xmlns:a16="http://schemas.microsoft.com/office/drawing/2014/main" id="{148C59BC-7928-4D5D-B4A1-5FBA8966A392}"/>
            </a:ext>
            <a:ext uri="{147F2762-F138-4A5C-976F-8EAC2B608ADB}">
              <a16:predDERef xmlns:a16="http://schemas.microsoft.com/office/drawing/2014/main" pred="{20713F6C-3BE1-4DFD-ABF2-FAFEAA474A54}"/>
            </a:ext>
          </a:extLst>
        </xdr:cNvPr>
        <xdr:cNvSpPr/>
      </xdr:nvSpPr>
      <xdr:spPr>
        <a:xfrm>
          <a:off x="7886700" y="1704975"/>
          <a:ext cx="704850" cy="790575"/>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a:t>
          </a:r>
        </a:p>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定義</a:t>
          </a:r>
        </a:p>
      </xdr:txBody>
    </xdr:sp>
    <xdr:clientData/>
  </xdr:twoCellAnchor>
  <xdr:twoCellAnchor>
    <xdr:from>
      <xdr:col>14</xdr:col>
      <xdr:colOff>209550</xdr:colOff>
      <xdr:row>7</xdr:row>
      <xdr:rowOff>0</xdr:rowOff>
    </xdr:from>
    <xdr:to>
      <xdr:col>15</xdr:col>
      <xdr:colOff>276225</xdr:colOff>
      <xdr:row>9</xdr:row>
      <xdr:rowOff>276225</xdr:rowOff>
    </xdr:to>
    <xdr:sp macro="" textlink="">
      <xdr:nvSpPr>
        <xdr:cNvPr id="8" name="五角形 7">
          <a:extLst>
            <a:ext uri="{FF2B5EF4-FFF2-40B4-BE49-F238E27FC236}">
              <a16:creationId xmlns:a16="http://schemas.microsoft.com/office/drawing/2014/main" id="{4D44EC08-BB0A-43B0-8CEE-78221D9406E2}"/>
            </a:ext>
            <a:ext uri="{147F2762-F138-4A5C-976F-8EAC2B608ADB}">
              <a16:predDERef xmlns:a16="http://schemas.microsoft.com/office/drawing/2014/main" pred="{148C59BC-7928-4D5D-B4A1-5FBA8966A392}"/>
            </a:ext>
          </a:extLst>
        </xdr:cNvPr>
        <xdr:cNvSpPr/>
      </xdr:nvSpPr>
      <xdr:spPr>
        <a:xfrm>
          <a:off x="8610600" y="1704975"/>
          <a:ext cx="571500" cy="800100"/>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設計</a:t>
          </a:r>
        </a:p>
      </xdr:txBody>
    </xdr:sp>
    <xdr:clientData/>
  </xdr:twoCellAnchor>
  <xdr:twoCellAnchor>
    <xdr:from>
      <xdr:col>15</xdr:col>
      <xdr:colOff>295275</xdr:colOff>
      <xdr:row>7</xdr:row>
      <xdr:rowOff>0</xdr:rowOff>
    </xdr:from>
    <xdr:to>
      <xdr:col>16</xdr:col>
      <xdr:colOff>266700</xdr:colOff>
      <xdr:row>10</xdr:row>
      <xdr:rowOff>0</xdr:rowOff>
    </xdr:to>
    <xdr:sp macro="" textlink="">
      <xdr:nvSpPr>
        <xdr:cNvPr id="9" name="五角形 8">
          <a:extLst>
            <a:ext uri="{FF2B5EF4-FFF2-40B4-BE49-F238E27FC236}">
              <a16:creationId xmlns:a16="http://schemas.microsoft.com/office/drawing/2014/main" id="{65A2E0FB-E68B-4B5E-860D-83874575ACD3}"/>
            </a:ext>
            <a:ext uri="{147F2762-F138-4A5C-976F-8EAC2B608ADB}">
              <a16:predDERef xmlns:a16="http://schemas.microsoft.com/office/drawing/2014/main" pred="{4D44EC08-BB0A-43B0-8CEE-78221D9406E2}"/>
            </a:ext>
          </a:extLst>
        </xdr:cNvPr>
        <xdr:cNvSpPr/>
      </xdr:nvSpPr>
      <xdr:spPr>
        <a:xfrm>
          <a:off x="9201150" y="1704975"/>
          <a:ext cx="476250" cy="809625"/>
        </a:xfrm>
        <a:prstGeom prst="homePlate">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製造</a:t>
          </a:r>
        </a:p>
      </xdr:txBody>
    </xdr:sp>
    <xdr:clientData/>
  </xdr:twoCellAnchor>
  <xdr:twoCellAnchor>
    <xdr:from>
      <xdr:col>16</xdr:col>
      <xdr:colOff>276225</xdr:colOff>
      <xdr:row>6</xdr:row>
      <xdr:rowOff>219075</xdr:rowOff>
    </xdr:from>
    <xdr:to>
      <xdr:col>18</xdr:col>
      <xdr:colOff>19050</xdr:colOff>
      <xdr:row>9</xdr:row>
      <xdr:rowOff>266700</xdr:rowOff>
    </xdr:to>
    <xdr:sp macro="" textlink="">
      <xdr:nvSpPr>
        <xdr:cNvPr id="10" name="五角形 9">
          <a:extLst>
            <a:ext uri="{FF2B5EF4-FFF2-40B4-BE49-F238E27FC236}">
              <a16:creationId xmlns:a16="http://schemas.microsoft.com/office/drawing/2014/main" id="{87A917E3-4DC5-4705-AE88-A8538D9D121C}"/>
            </a:ext>
            <a:ext uri="{147F2762-F138-4A5C-976F-8EAC2B608ADB}">
              <a16:predDERef xmlns:a16="http://schemas.microsoft.com/office/drawing/2014/main" pred="{65A2E0FB-E68B-4B5E-860D-83874575ACD3}"/>
            </a:ext>
          </a:extLst>
        </xdr:cNvPr>
        <xdr:cNvSpPr/>
      </xdr:nvSpPr>
      <xdr:spPr>
        <a:xfrm>
          <a:off x="9686925" y="1685925"/>
          <a:ext cx="752475" cy="809625"/>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テスト</a:t>
          </a:r>
        </a:p>
      </xdr:txBody>
    </xdr:sp>
    <xdr:clientData/>
  </xdr:twoCellAnchor>
  <xdr:twoCellAnchor>
    <xdr:from>
      <xdr:col>18</xdr:col>
      <xdr:colOff>9525</xdr:colOff>
      <xdr:row>7</xdr:row>
      <xdr:rowOff>0</xdr:rowOff>
    </xdr:from>
    <xdr:to>
      <xdr:col>20</xdr:col>
      <xdr:colOff>466725</xdr:colOff>
      <xdr:row>9</xdr:row>
      <xdr:rowOff>247650</xdr:rowOff>
    </xdr:to>
    <xdr:sp macro="" textlink="">
      <xdr:nvSpPr>
        <xdr:cNvPr id="11" name="五角形 10">
          <a:extLst>
            <a:ext uri="{FF2B5EF4-FFF2-40B4-BE49-F238E27FC236}">
              <a16:creationId xmlns:a16="http://schemas.microsoft.com/office/drawing/2014/main" id="{63BC0138-BFF7-4FFE-B709-2AD72F8C4073}"/>
            </a:ext>
            <a:ext uri="{147F2762-F138-4A5C-976F-8EAC2B608ADB}">
              <a16:predDERef xmlns:a16="http://schemas.microsoft.com/office/drawing/2014/main" pred="{87A917E3-4DC5-4705-AE88-A8538D9D121C}"/>
            </a:ext>
          </a:extLst>
        </xdr:cNvPr>
        <xdr:cNvSpPr/>
      </xdr:nvSpPr>
      <xdr:spPr>
        <a:xfrm>
          <a:off x="10429875" y="1704975"/>
          <a:ext cx="1466850" cy="771525"/>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本番移行・初期流動</a:t>
          </a:r>
        </a:p>
      </xdr:txBody>
    </xdr:sp>
    <xdr:clientData/>
  </xdr:twoCellAnchor>
  <xdr:twoCellAnchor>
    <xdr:from>
      <xdr:col>17</xdr:col>
      <xdr:colOff>495300</xdr:colOff>
      <xdr:row>5</xdr:row>
      <xdr:rowOff>0</xdr:rowOff>
    </xdr:from>
    <xdr:to>
      <xdr:col>19</xdr:col>
      <xdr:colOff>209550</xdr:colOff>
      <xdr:row>6</xdr:row>
      <xdr:rowOff>228600</xdr:rowOff>
    </xdr:to>
    <xdr:sp macro="" textlink="">
      <xdr:nvSpPr>
        <xdr:cNvPr id="12" name="五角形 11">
          <a:extLst>
            <a:ext uri="{FF2B5EF4-FFF2-40B4-BE49-F238E27FC236}">
              <a16:creationId xmlns:a16="http://schemas.microsoft.com/office/drawing/2014/main" id="{0203A819-6BB6-4BE5-A86F-DF158041F5C6}"/>
            </a:ext>
            <a:ext uri="{147F2762-F138-4A5C-976F-8EAC2B608ADB}">
              <a16:predDERef xmlns:a16="http://schemas.microsoft.com/office/drawing/2014/main" pred="{63BC0138-BFF7-4FFE-B709-2AD72F8C4073}"/>
            </a:ext>
          </a:extLst>
        </xdr:cNvPr>
        <xdr:cNvSpPr/>
      </xdr:nvSpPr>
      <xdr:spPr>
        <a:xfrm>
          <a:off x="10410825" y="1181100"/>
          <a:ext cx="723900" cy="51435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a:t>
          </a:r>
        </a:p>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定義</a:t>
          </a:r>
        </a:p>
      </xdr:txBody>
    </xdr:sp>
    <xdr:clientData/>
  </xdr:twoCellAnchor>
  <xdr:twoCellAnchor>
    <xdr:from>
      <xdr:col>19</xdr:col>
      <xdr:colOff>228600</xdr:colOff>
      <xdr:row>5</xdr:row>
      <xdr:rowOff>0</xdr:rowOff>
    </xdr:from>
    <xdr:to>
      <xdr:col>20</xdr:col>
      <xdr:colOff>304800</xdr:colOff>
      <xdr:row>7</xdr:row>
      <xdr:rowOff>9525</xdr:rowOff>
    </xdr:to>
    <xdr:sp macro="" textlink="">
      <xdr:nvSpPr>
        <xdr:cNvPr id="13" name="五角形 12">
          <a:extLst>
            <a:ext uri="{FF2B5EF4-FFF2-40B4-BE49-F238E27FC236}">
              <a16:creationId xmlns:a16="http://schemas.microsoft.com/office/drawing/2014/main" id="{6DABC63D-A0D5-49F1-AC95-5D03A9C596B7}"/>
            </a:ext>
            <a:ext uri="{147F2762-F138-4A5C-976F-8EAC2B608ADB}">
              <a16:predDERef xmlns:a16="http://schemas.microsoft.com/office/drawing/2014/main" pred="{0203A819-6BB6-4BE5-A86F-DF158041F5C6}"/>
            </a:ext>
          </a:extLst>
        </xdr:cNvPr>
        <xdr:cNvSpPr/>
      </xdr:nvSpPr>
      <xdr:spPr>
        <a:xfrm>
          <a:off x="11153775" y="1181100"/>
          <a:ext cx="581025" cy="533400"/>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設計</a:t>
          </a:r>
        </a:p>
      </xdr:txBody>
    </xdr:sp>
    <xdr:clientData/>
  </xdr:twoCellAnchor>
  <xdr:twoCellAnchor>
    <xdr:from>
      <xdr:col>20</xdr:col>
      <xdr:colOff>342900</xdr:colOff>
      <xdr:row>5</xdr:row>
      <xdr:rowOff>0</xdr:rowOff>
    </xdr:from>
    <xdr:to>
      <xdr:col>21</xdr:col>
      <xdr:colOff>476250</xdr:colOff>
      <xdr:row>6</xdr:row>
      <xdr:rowOff>219075</xdr:rowOff>
    </xdr:to>
    <xdr:sp macro="" textlink="">
      <xdr:nvSpPr>
        <xdr:cNvPr id="14" name="五角形 13">
          <a:extLst>
            <a:ext uri="{FF2B5EF4-FFF2-40B4-BE49-F238E27FC236}">
              <a16:creationId xmlns:a16="http://schemas.microsoft.com/office/drawing/2014/main" id="{E714C38A-E526-4458-AC91-D65AE4B34C6E}"/>
            </a:ext>
            <a:ext uri="{147F2762-F138-4A5C-976F-8EAC2B608ADB}">
              <a16:predDERef xmlns:a16="http://schemas.microsoft.com/office/drawing/2014/main" pred="{6DABC63D-A0D5-49F1-AC95-5D03A9C596B7}"/>
            </a:ext>
          </a:extLst>
        </xdr:cNvPr>
        <xdr:cNvSpPr/>
      </xdr:nvSpPr>
      <xdr:spPr>
        <a:xfrm>
          <a:off x="11772900" y="1181100"/>
          <a:ext cx="638175" cy="504825"/>
        </a:xfrm>
        <a:prstGeom prst="homePlate">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製造</a:t>
          </a:r>
        </a:p>
      </xdr:txBody>
    </xdr:sp>
    <xdr:clientData/>
  </xdr:twoCellAnchor>
  <xdr:twoCellAnchor>
    <xdr:from>
      <xdr:col>22</xdr:col>
      <xdr:colOff>0</xdr:colOff>
      <xdr:row>4</xdr:row>
      <xdr:rowOff>219075</xdr:rowOff>
    </xdr:from>
    <xdr:to>
      <xdr:col>24</xdr:col>
      <xdr:colOff>209550</xdr:colOff>
      <xdr:row>6</xdr:row>
      <xdr:rowOff>209550</xdr:rowOff>
    </xdr:to>
    <xdr:sp macro="" textlink="">
      <xdr:nvSpPr>
        <xdr:cNvPr id="15" name="五角形 14">
          <a:extLst>
            <a:ext uri="{FF2B5EF4-FFF2-40B4-BE49-F238E27FC236}">
              <a16:creationId xmlns:a16="http://schemas.microsoft.com/office/drawing/2014/main" id="{B7796909-B663-4DE8-A18D-0F48B3FD803B}"/>
            </a:ext>
            <a:ext uri="{147F2762-F138-4A5C-976F-8EAC2B608ADB}">
              <a16:predDERef xmlns:a16="http://schemas.microsoft.com/office/drawing/2014/main" pred="{E714C38A-E526-4458-AC91-D65AE4B34C6E}"/>
            </a:ext>
          </a:extLst>
        </xdr:cNvPr>
        <xdr:cNvSpPr/>
      </xdr:nvSpPr>
      <xdr:spPr>
        <a:xfrm>
          <a:off x="12439650" y="1171575"/>
          <a:ext cx="1219200" cy="504825"/>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テスト</a:t>
          </a:r>
        </a:p>
      </xdr:txBody>
    </xdr:sp>
    <xdr:clientData/>
  </xdr:twoCellAnchor>
  <xdr:twoCellAnchor>
    <xdr:from>
      <xdr:col>24</xdr:col>
      <xdr:colOff>209550</xdr:colOff>
      <xdr:row>5</xdr:row>
      <xdr:rowOff>0</xdr:rowOff>
    </xdr:from>
    <xdr:to>
      <xdr:col>26</xdr:col>
      <xdr:colOff>495300</xdr:colOff>
      <xdr:row>6</xdr:row>
      <xdr:rowOff>209550</xdr:rowOff>
    </xdr:to>
    <xdr:sp macro="" textlink="">
      <xdr:nvSpPr>
        <xdr:cNvPr id="16" name="五角形 15">
          <a:extLst>
            <a:ext uri="{FF2B5EF4-FFF2-40B4-BE49-F238E27FC236}">
              <a16:creationId xmlns:a16="http://schemas.microsoft.com/office/drawing/2014/main" id="{486F51C4-5FA0-4A19-B2C1-3FADEAFB7667}"/>
            </a:ext>
            <a:ext uri="{147F2762-F138-4A5C-976F-8EAC2B608ADB}">
              <a16:predDERef xmlns:a16="http://schemas.microsoft.com/office/drawing/2014/main" pred="{B7796909-B663-4DE8-A18D-0F48B3FD803B}"/>
            </a:ext>
          </a:extLst>
        </xdr:cNvPr>
        <xdr:cNvSpPr/>
      </xdr:nvSpPr>
      <xdr:spPr>
        <a:xfrm>
          <a:off x="13658850" y="1181100"/>
          <a:ext cx="1295400" cy="49530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本番移行・</a:t>
          </a:r>
        </a:p>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初期流動</a:t>
          </a:r>
        </a:p>
      </xdr:txBody>
    </xdr:sp>
    <xdr:clientData/>
  </xdr:twoCellAnchor>
  <xdr:twoCellAnchor>
    <xdr:from>
      <xdr:col>8</xdr:col>
      <xdr:colOff>0</xdr:colOff>
      <xdr:row>4</xdr:row>
      <xdr:rowOff>0</xdr:rowOff>
    </xdr:from>
    <xdr:to>
      <xdr:col>11</xdr:col>
      <xdr:colOff>457200</xdr:colOff>
      <xdr:row>5</xdr:row>
      <xdr:rowOff>9525</xdr:rowOff>
    </xdr:to>
    <xdr:sp macro="" textlink="">
      <xdr:nvSpPr>
        <xdr:cNvPr id="17" name="五角形 16">
          <a:extLst>
            <a:ext uri="{FF2B5EF4-FFF2-40B4-BE49-F238E27FC236}">
              <a16:creationId xmlns:a16="http://schemas.microsoft.com/office/drawing/2014/main" id="{DD2084AB-0EC7-4E02-9A9E-BB9F7E0ECD6C}"/>
            </a:ext>
            <a:ext uri="{147F2762-F138-4A5C-976F-8EAC2B608ADB}">
              <a16:predDERef xmlns:a16="http://schemas.microsoft.com/office/drawing/2014/main" pred="{486F51C4-5FA0-4A19-B2C1-3FADEAFB7667}"/>
            </a:ext>
          </a:extLst>
        </xdr:cNvPr>
        <xdr:cNvSpPr/>
      </xdr:nvSpPr>
      <xdr:spPr>
        <a:xfrm>
          <a:off x="5372100" y="952500"/>
          <a:ext cx="1971675" cy="238125"/>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要件定義</a:t>
          </a:r>
        </a:p>
      </xdr:txBody>
    </xdr:sp>
    <xdr:clientData/>
  </xdr:twoCellAnchor>
  <xdr:twoCellAnchor>
    <xdr:from>
      <xdr:col>12</xdr:col>
      <xdr:colOff>0</xdr:colOff>
      <xdr:row>4</xdr:row>
      <xdr:rowOff>0</xdr:rowOff>
    </xdr:from>
    <xdr:to>
      <xdr:col>15</xdr:col>
      <xdr:colOff>19050</xdr:colOff>
      <xdr:row>5</xdr:row>
      <xdr:rowOff>9525</xdr:rowOff>
    </xdr:to>
    <xdr:sp macro="" textlink="">
      <xdr:nvSpPr>
        <xdr:cNvPr id="18" name="五角形 17">
          <a:extLst>
            <a:ext uri="{FF2B5EF4-FFF2-40B4-BE49-F238E27FC236}">
              <a16:creationId xmlns:a16="http://schemas.microsoft.com/office/drawing/2014/main" id="{0532B231-F66D-47D9-ADD3-E808F97B280B}"/>
            </a:ext>
            <a:ext uri="{147F2762-F138-4A5C-976F-8EAC2B608ADB}">
              <a16:predDERef xmlns:a16="http://schemas.microsoft.com/office/drawing/2014/main" pred="{DD2084AB-0EC7-4E02-9A9E-BB9F7E0ECD6C}"/>
            </a:ext>
          </a:extLst>
        </xdr:cNvPr>
        <xdr:cNvSpPr/>
      </xdr:nvSpPr>
      <xdr:spPr>
        <a:xfrm>
          <a:off x="7391400" y="952500"/>
          <a:ext cx="1533525" cy="238125"/>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設計</a:t>
          </a:r>
        </a:p>
      </xdr:txBody>
    </xdr:sp>
    <xdr:clientData/>
  </xdr:twoCellAnchor>
  <xdr:twoCellAnchor>
    <xdr:from>
      <xdr:col>15</xdr:col>
      <xdr:colOff>9525</xdr:colOff>
      <xdr:row>3</xdr:row>
      <xdr:rowOff>228600</xdr:rowOff>
    </xdr:from>
    <xdr:to>
      <xdr:col>17</xdr:col>
      <xdr:colOff>495300</xdr:colOff>
      <xdr:row>5</xdr:row>
      <xdr:rowOff>9525</xdr:rowOff>
    </xdr:to>
    <xdr:sp macro="" textlink="">
      <xdr:nvSpPr>
        <xdr:cNvPr id="19" name="五角形 18">
          <a:extLst>
            <a:ext uri="{FF2B5EF4-FFF2-40B4-BE49-F238E27FC236}">
              <a16:creationId xmlns:a16="http://schemas.microsoft.com/office/drawing/2014/main" id="{E7372F33-7319-44E5-91B6-97313A9F7EEA}"/>
            </a:ext>
            <a:ext uri="{147F2762-F138-4A5C-976F-8EAC2B608ADB}">
              <a16:predDERef xmlns:a16="http://schemas.microsoft.com/office/drawing/2014/main" pred="{0532B231-F66D-47D9-ADD3-E808F97B280B}"/>
            </a:ext>
          </a:extLst>
        </xdr:cNvPr>
        <xdr:cNvSpPr/>
      </xdr:nvSpPr>
      <xdr:spPr>
        <a:xfrm>
          <a:off x="8915400" y="942975"/>
          <a:ext cx="1495425" cy="247650"/>
        </a:xfrm>
        <a:prstGeom prst="homePlate">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製造</a:t>
          </a:r>
        </a:p>
      </xdr:txBody>
    </xdr:sp>
    <xdr:clientData/>
  </xdr:twoCellAnchor>
  <xdr:twoCellAnchor>
    <xdr:from>
      <xdr:col>18</xdr:col>
      <xdr:colOff>0</xdr:colOff>
      <xdr:row>4</xdr:row>
      <xdr:rowOff>0</xdr:rowOff>
    </xdr:from>
    <xdr:to>
      <xdr:col>23</xdr:col>
      <xdr:colOff>476250</xdr:colOff>
      <xdr:row>5</xdr:row>
      <xdr:rowOff>9525</xdr:rowOff>
    </xdr:to>
    <xdr:sp macro="" textlink="">
      <xdr:nvSpPr>
        <xdr:cNvPr id="20" name="五角形 19">
          <a:extLst>
            <a:ext uri="{FF2B5EF4-FFF2-40B4-BE49-F238E27FC236}">
              <a16:creationId xmlns:a16="http://schemas.microsoft.com/office/drawing/2014/main" id="{B43E2107-52CE-458B-A0B3-894252F492F6}"/>
            </a:ext>
            <a:ext uri="{147F2762-F138-4A5C-976F-8EAC2B608ADB}">
              <a16:predDERef xmlns:a16="http://schemas.microsoft.com/office/drawing/2014/main" pred="{E7372F33-7319-44E5-91B6-97313A9F7EEA}"/>
            </a:ext>
          </a:extLst>
        </xdr:cNvPr>
        <xdr:cNvSpPr/>
      </xdr:nvSpPr>
      <xdr:spPr>
        <a:xfrm>
          <a:off x="10420350" y="952500"/>
          <a:ext cx="3000375" cy="238125"/>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テスト</a:t>
          </a:r>
        </a:p>
      </xdr:txBody>
    </xdr:sp>
    <xdr:clientData/>
  </xdr:twoCellAnchor>
  <xdr:twoCellAnchor>
    <xdr:from>
      <xdr:col>24</xdr:col>
      <xdr:colOff>0</xdr:colOff>
      <xdr:row>4</xdr:row>
      <xdr:rowOff>0</xdr:rowOff>
    </xdr:from>
    <xdr:to>
      <xdr:col>28</xdr:col>
      <xdr:colOff>485775</xdr:colOff>
      <xdr:row>5</xdr:row>
      <xdr:rowOff>9525</xdr:rowOff>
    </xdr:to>
    <xdr:sp macro="" textlink="">
      <xdr:nvSpPr>
        <xdr:cNvPr id="21" name="五角形 20">
          <a:extLst>
            <a:ext uri="{FF2B5EF4-FFF2-40B4-BE49-F238E27FC236}">
              <a16:creationId xmlns:a16="http://schemas.microsoft.com/office/drawing/2014/main" id="{2ED0E677-487D-4105-B3A7-71E0F4B8D0B2}"/>
            </a:ext>
            <a:ext uri="{147F2762-F138-4A5C-976F-8EAC2B608ADB}">
              <a16:predDERef xmlns:a16="http://schemas.microsoft.com/office/drawing/2014/main" pred="{B43E2107-52CE-458B-A0B3-894252F492F6}"/>
            </a:ext>
          </a:extLst>
        </xdr:cNvPr>
        <xdr:cNvSpPr/>
      </xdr:nvSpPr>
      <xdr:spPr>
        <a:xfrm>
          <a:off x="13449300" y="952500"/>
          <a:ext cx="2505075" cy="238125"/>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本番移行・初期流動</a:t>
          </a:r>
        </a:p>
      </xdr:txBody>
    </xdr:sp>
    <xdr:clientData/>
  </xdr:twoCellAnchor>
  <xdr:twoCellAnchor>
    <xdr:from>
      <xdr:col>27</xdr:col>
      <xdr:colOff>0</xdr:colOff>
      <xdr:row>11</xdr:row>
      <xdr:rowOff>0</xdr:rowOff>
    </xdr:from>
    <xdr:to>
      <xdr:col>29</xdr:col>
      <xdr:colOff>476250</xdr:colOff>
      <xdr:row>14</xdr:row>
      <xdr:rowOff>0</xdr:rowOff>
    </xdr:to>
    <xdr:sp macro="" textlink="">
      <xdr:nvSpPr>
        <xdr:cNvPr id="22" name="五角形 21">
          <a:extLst>
            <a:ext uri="{FF2B5EF4-FFF2-40B4-BE49-F238E27FC236}">
              <a16:creationId xmlns:a16="http://schemas.microsoft.com/office/drawing/2014/main" id="{DCD0FA00-438B-4F3B-B60D-568F39371084}"/>
            </a:ext>
            <a:ext uri="{147F2762-F138-4A5C-976F-8EAC2B608ADB}">
              <a16:predDERef xmlns:a16="http://schemas.microsoft.com/office/drawing/2014/main" pred="{2ED0E677-487D-4105-B3A7-71E0F4B8D0B2}"/>
            </a:ext>
          </a:extLst>
        </xdr:cNvPr>
        <xdr:cNvSpPr/>
      </xdr:nvSpPr>
      <xdr:spPr>
        <a:xfrm>
          <a:off x="14963775" y="2743200"/>
          <a:ext cx="1485900" cy="114300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a:t>
          </a:r>
        </a:p>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定義</a:t>
          </a:r>
        </a:p>
      </xdr:txBody>
    </xdr:sp>
    <xdr:clientData/>
  </xdr:twoCellAnchor>
  <xdr:twoCellAnchor>
    <xdr:from>
      <xdr:col>30</xdr:col>
      <xdr:colOff>0</xdr:colOff>
      <xdr:row>10</xdr:row>
      <xdr:rowOff>219075</xdr:rowOff>
    </xdr:from>
    <xdr:to>
      <xdr:col>31</xdr:col>
      <xdr:colOff>466725</xdr:colOff>
      <xdr:row>13</xdr:row>
      <xdr:rowOff>276225</xdr:rowOff>
    </xdr:to>
    <xdr:sp macro="" textlink="">
      <xdr:nvSpPr>
        <xdr:cNvPr id="24" name="五角形 23">
          <a:extLst>
            <a:ext uri="{FF2B5EF4-FFF2-40B4-BE49-F238E27FC236}">
              <a16:creationId xmlns:a16="http://schemas.microsoft.com/office/drawing/2014/main" id="{85C0FA77-C317-4B4B-ADAC-2906025B8A19}"/>
            </a:ext>
            <a:ext uri="{147F2762-F138-4A5C-976F-8EAC2B608ADB}">
              <a16:predDERef xmlns:a16="http://schemas.microsoft.com/office/drawing/2014/main" pred="{DCD0FA00-438B-4F3B-B60D-568F39371084}"/>
            </a:ext>
          </a:extLst>
        </xdr:cNvPr>
        <xdr:cNvSpPr/>
      </xdr:nvSpPr>
      <xdr:spPr>
        <a:xfrm>
          <a:off x="16478250" y="2733675"/>
          <a:ext cx="971550" cy="1143000"/>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設計</a:t>
          </a:r>
        </a:p>
      </xdr:txBody>
    </xdr:sp>
    <xdr:clientData/>
  </xdr:twoCellAnchor>
  <xdr:twoCellAnchor>
    <xdr:from>
      <xdr:col>32</xdr:col>
      <xdr:colOff>0</xdr:colOff>
      <xdr:row>11</xdr:row>
      <xdr:rowOff>0</xdr:rowOff>
    </xdr:from>
    <xdr:to>
      <xdr:col>34</xdr:col>
      <xdr:colOff>209550</xdr:colOff>
      <xdr:row>13</xdr:row>
      <xdr:rowOff>266700</xdr:rowOff>
    </xdr:to>
    <xdr:sp macro="" textlink="">
      <xdr:nvSpPr>
        <xdr:cNvPr id="25" name="五角形 24">
          <a:extLst>
            <a:ext uri="{FF2B5EF4-FFF2-40B4-BE49-F238E27FC236}">
              <a16:creationId xmlns:a16="http://schemas.microsoft.com/office/drawing/2014/main" id="{217976E8-218C-4C18-8600-D795A43A7F74}"/>
            </a:ext>
            <a:ext uri="{147F2762-F138-4A5C-976F-8EAC2B608ADB}">
              <a16:predDERef xmlns:a16="http://schemas.microsoft.com/office/drawing/2014/main" pred="{85C0FA77-C317-4B4B-ADAC-2906025B8A19}"/>
            </a:ext>
          </a:extLst>
        </xdr:cNvPr>
        <xdr:cNvSpPr/>
      </xdr:nvSpPr>
      <xdr:spPr>
        <a:xfrm>
          <a:off x="17487900" y="2743200"/>
          <a:ext cx="1219200" cy="1123950"/>
        </a:xfrm>
        <a:prstGeom prst="homePlate">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製造</a:t>
          </a:r>
        </a:p>
      </xdr:txBody>
    </xdr:sp>
    <xdr:clientData/>
  </xdr:twoCellAnchor>
  <xdr:twoCellAnchor>
    <xdr:from>
      <xdr:col>34</xdr:col>
      <xdr:colOff>219075</xdr:colOff>
      <xdr:row>11</xdr:row>
      <xdr:rowOff>0</xdr:rowOff>
    </xdr:from>
    <xdr:to>
      <xdr:col>37</xdr:col>
      <xdr:colOff>476250</xdr:colOff>
      <xdr:row>13</xdr:row>
      <xdr:rowOff>276225</xdr:rowOff>
    </xdr:to>
    <xdr:sp macro="" textlink="">
      <xdr:nvSpPr>
        <xdr:cNvPr id="26" name="五角形 25">
          <a:extLst>
            <a:ext uri="{FF2B5EF4-FFF2-40B4-BE49-F238E27FC236}">
              <a16:creationId xmlns:a16="http://schemas.microsoft.com/office/drawing/2014/main" id="{C95C4AAE-E55C-4332-B7C5-D1FBAEA0415C}"/>
            </a:ext>
            <a:ext uri="{147F2762-F138-4A5C-976F-8EAC2B608ADB}">
              <a16:predDERef xmlns:a16="http://schemas.microsoft.com/office/drawing/2014/main" pred="{217976E8-218C-4C18-8600-D795A43A7F74}"/>
            </a:ext>
          </a:extLst>
        </xdr:cNvPr>
        <xdr:cNvSpPr/>
      </xdr:nvSpPr>
      <xdr:spPr>
        <a:xfrm>
          <a:off x="18716625" y="2743200"/>
          <a:ext cx="1771650" cy="1133475"/>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テスト</a:t>
          </a:r>
        </a:p>
      </xdr:txBody>
    </xdr:sp>
    <xdr:clientData/>
  </xdr:twoCellAnchor>
  <xdr:twoCellAnchor>
    <xdr:from>
      <xdr:col>38</xdr:col>
      <xdr:colOff>9525</xdr:colOff>
      <xdr:row>10</xdr:row>
      <xdr:rowOff>209550</xdr:rowOff>
    </xdr:from>
    <xdr:to>
      <xdr:col>40</xdr:col>
      <xdr:colOff>485775</xdr:colOff>
      <xdr:row>13</xdr:row>
      <xdr:rowOff>247650</xdr:rowOff>
    </xdr:to>
    <xdr:sp macro="" textlink="">
      <xdr:nvSpPr>
        <xdr:cNvPr id="23" name="五角形 22">
          <a:extLst>
            <a:ext uri="{FF2B5EF4-FFF2-40B4-BE49-F238E27FC236}">
              <a16:creationId xmlns:a16="http://schemas.microsoft.com/office/drawing/2014/main" id="{236D222F-948C-4D61-B445-C8B89F217513}"/>
            </a:ext>
            <a:ext uri="{147F2762-F138-4A5C-976F-8EAC2B608ADB}">
              <a16:predDERef xmlns:a16="http://schemas.microsoft.com/office/drawing/2014/main" pred="{C95C4AAE-E55C-4332-B7C5-D1FBAEA0415C}"/>
            </a:ext>
          </a:extLst>
        </xdr:cNvPr>
        <xdr:cNvSpPr/>
      </xdr:nvSpPr>
      <xdr:spPr>
        <a:xfrm>
          <a:off x="20526375" y="2724150"/>
          <a:ext cx="1485900" cy="112395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本番移行・</a:t>
          </a:r>
        </a:p>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初期流動</a:t>
          </a:r>
        </a:p>
      </xdr:txBody>
    </xdr:sp>
    <xdr:clientData/>
  </xdr:twoCellAnchor>
  <xdr:twoCellAnchor>
    <xdr:from>
      <xdr:col>33</xdr:col>
      <xdr:colOff>200025</xdr:colOff>
      <xdr:row>13</xdr:row>
      <xdr:rowOff>276225</xdr:rowOff>
    </xdr:from>
    <xdr:to>
      <xdr:col>36</xdr:col>
      <xdr:colOff>457200</xdr:colOff>
      <xdr:row>15</xdr:row>
      <xdr:rowOff>9525</xdr:rowOff>
    </xdr:to>
    <xdr:sp macro="" textlink="">
      <xdr:nvSpPr>
        <xdr:cNvPr id="27" name="五角形 26">
          <a:extLst>
            <a:ext uri="{FF2B5EF4-FFF2-40B4-BE49-F238E27FC236}">
              <a16:creationId xmlns:a16="http://schemas.microsoft.com/office/drawing/2014/main" id="{7A4CC7A3-37C8-4389-8A73-8C18045C17D4}"/>
            </a:ext>
            <a:ext uri="{147F2762-F138-4A5C-976F-8EAC2B608ADB}">
              <a16:predDERef xmlns:a16="http://schemas.microsoft.com/office/drawing/2014/main" pred="{236D222F-948C-4D61-B445-C8B89F217513}"/>
            </a:ext>
          </a:extLst>
        </xdr:cNvPr>
        <xdr:cNvSpPr/>
      </xdr:nvSpPr>
      <xdr:spPr>
        <a:xfrm>
          <a:off x="18192750" y="3876675"/>
          <a:ext cx="1771650" cy="257175"/>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テスト</a:t>
          </a:r>
        </a:p>
      </xdr:txBody>
    </xdr:sp>
    <xdr:clientData/>
  </xdr:twoCellAnchor>
  <xdr:twoCellAnchor>
    <xdr:from>
      <xdr:col>32</xdr:col>
      <xdr:colOff>0</xdr:colOff>
      <xdr:row>14</xdr:row>
      <xdr:rowOff>0</xdr:rowOff>
    </xdr:from>
    <xdr:to>
      <xdr:col>33</xdr:col>
      <xdr:colOff>180975</xdr:colOff>
      <xdr:row>15</xdr:row>
      <xdr:rowOff>0</xdr:rowOff>
    </xdr:to>
    <xdr:sp macro="" textlink="">
      <xdr:nvSpPr>
        <xdr:cNvPr id="28" name="五角形 27">
          <a:extLst>
            <a:ext uri="{FF2B5EF4-FFF2-40B4-BE49-F238E27FC236}">
              <a16:creationId xmlns:a16="http://schemas.microsoft.com/office/drawing/2014/main" id="{93E79E9A-AC97-4026-A3D5-D377E9EF8D7E}"/>
            </a:ext>
            <a:ext uri="{147F2762-F138-4A5C-976F-8EAC2B608ADB}">
              <a16:predDERef xmlns:a16="http://schemas.microsoft.com/office/drawing/2014/main" pred="{7A4CC7A3-37C8-4389-8A73-8C18045C17D4}"/>
            </a:ext>
          </a:extLst>
        </xdr:cNvPr>
        <xdr:cNvSpPr/>
      </xdr:nvSpPr>
      <xdr:spPr>
        <a:xfrm>
          <a:off x="17487900" y="3886200"/>
          <a:ext cx="685800" cy="238125"/>
        </a:xfrm>
        <a:prstGeom prst="homePlate">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製造</a:t>
          </a:r>
        </a:p>
      </xdr:txBody>
    </xdr:sp>
    <xdr:clientData/>
  </xdr:twoCellAnchor>
  <xdr:twoCellAnchor>
    <xdr:from>
      <xdr:col>31</xdr:col>
      <xdr:colOff>28575</xdr:colOff>
      <xdr:row>14</xdr:row>
      <xdr:rowOff>0</xdr:rowOff>
    </xdr:from>
    <xdr:to>
      <xdr:col>32</xdr:col>
      <xdr:colOff>28575</xdr:colOff>
      <xdr:row>15</xdr:row>
      <xdr:rowOff>47625</xdr:rowOff>
    </xdr:to>
    <xdr:sp macro="" textlink="">
      <xdr:nvSpPr>
        <xdr:cNvPr id="30" name="五角形 29">
          <a:extLst>
            <a:ext uri="{FF2B5EF4-FFF2-40B4-BE49-F238E27FC236}">
              <a16:creationId xmlns:a16="http://schemas.microsoft.com/office/drawing/2014/main" id="{330ECDA5-6994-4B41-8DCB-40FE7BC4236C}"/>
            </a:ext>
            <a:ext uri="{147F2762-F138-4A5C-976F-8EAC2B608ADB}">
              <a16:predDERef xmlns:a16="http://schemas.microsoft.com/office/drawing/2014/main" pred="{93E79E9A-AC97-4026-A3D5-D377E9EF8D7E}"/>
            </a:ext>
          </a:extLst>
        </xdr:cNvPr>
        <xdr:cNvSpPr/>
      </xdr:nvSpPr>
      <xdr:spPr>
        <a:xfrm>
          <a:off x="17011650" y="3886200"/>
          <a:ext cx="504825" cy="285750"/>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設計</a:t>
          </a:r>
        </a:p>
      </xdr:txBody>
    </xdr:sp>
    <xdr:clientData/>
  </xdr:twoCellAnchor>
  <xdr:twoCellAnchor>
    <xdr:from>
      <xdr:col>30</xdr:col>
      <xdr:colOff>0</xdr:colOff>
      <xdr:row>14</xdr:row>
      <xdr:rowOff>0</xdr:rowOff>
    </xdr:from>
    <xdr:to>
      <xdr:col>31</xdr:col>
      <xdr:colOff>28575</xdr:colOff>
      <xdr:row>15</xdr:row>
      <xdr:rowOff>47625</xdr:rowOff>
    </xdr:to>
    <xdr:sp macro="" textlink="">
      <xdr:nvSpPr>
        <xdr:cNvPr id="31" name="五角形 30">
          <a:extLst>
            <a:ext uri="{FF2B5EF4-FFF2-40B4-BE49-F238E27FC236}">
              <a16:creationId xmlns:a16="http://schemas.microsoft.com/office/drawing/2014/main" id="{0FA1BF52-BF95-4C03-B9E3-F17E7F190481}"/>
            </a:ext>
            <a:ext uri="{147F2762-F138-4A5C-976F-8EAC2B608ADB}">
              <a16:predDERef xmlns:a16="http://schemas.microsoft.com/office/drawing/2014/main" pred="{330ECDA5-6994-4B41-8DCB-40FE7BC4236C}"/>
            </a:ext>
          </a:extLst>
        </xdr:cNvPr>
        <xdr:cNvSpPr/>
      </xdr:nvSpPr>
      <xdr:spPr>
        <a:xfrm>
          <a:off x="16478250" y="3886200"/>
          <a:ext cx="533400" cy="28575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要件定義</a:t>
          </a:r>
        </a:p>
      </xdr:txBody>
    </xdr:sp>
    <xdr:clientData/>
  </xdr:twoCellAnchor>
  <xdr:twoCellAnchor>
    <xdr:from>
      <xdr:col>36</xdr:col>
      <xdr:colOff>457200</xdr:colOff>
      <xdr:row>13</xdr:row>
      <xdr:rowOff>266700</xdr:rowOff>
    </xdr:from>
    <xdr:to>
      <xdr:col>40</xdr:col>
      <xdr:colOff>295275</xdr:colOff>
      <xdr:row>15</xdr:row>
      <xdr:rowOff>28575</xdr:rowOff>
    </xdr:to>
    <xdr:sp macro="" textlink="">
      <xdr:nvSpPr>
        <xdr:cNvPr id="32" name="五角形 31">
          <a:extLst>
            <a:ext uri="{FF2B5EF4-FFF2-40B4-BE49-F238E27FC236}">
              <a16:creationId xmlns:a16="http://schemas.microsoft.com/office/drawing/2014/main" id="{3D08BA9F-8F28-4AE6-BBA3-248A410DF1DB}"/>
            </a:ext>
            <a:ext uri="{147F2762-F138-4A5C-976F-8EAC2B608ADB}">
              <a16:predDERef xmlns:a16="http://schemas.microsoft.com/office/drawing/2014/main" pred="{0FA1BF52-BF95-4C03-B9E3-F17E7F190481}"/>
            </a:ext>
          </a:extLst>
        </xdr:cNvPr>
        <xdr:cNvSpPr/>
      </xdr:nvSpPr>
      <xdr:spPr>
        <a:xfrm>
          <a:off x="19964400" y="3867150"/>
          <a:ext cx="1857375" cy="28575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本番移行・</a:t>
          </a:r>
        </a:p>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初期流動</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J59"/>
  <sheetViews>
    <sheetView topLeftCell="A26" zoomScale="120" zoomScaleNormal="120" workbookViewId="0">
      <selection activeCell="H53" sqref="B53:H54"/>
    </sheetView>
  </sheetViews>
  <sheetFormatPr defaultColWidth="8.625" defaultRowHeight="18"/>
  <cols>
    <col min="1" max="1" width="4.125" style="21" customWidth="1"/>
    <col min="2" max="2" width="5" style="21" customWidth="1"/>
    <col min="3" max="16384" width="8.625" style="21"/>
  </cols>
  <sheetData>
    <row r="3" spans="2:10">
      <c r="B3" s="21" t="s">
        <v>0</v>
      </c>
    </row>
    <row r="4" spans="2:10">
      <c r="B4" s="21" t="s">
        <v>1</v>
      </c>
      <c r="I4" s="28"/>
    </row>
    <row r="5" spans="2:10">
      <c r="B5" s="21" t="s">
        <v>2</v>
      </c>
    </row>
    <row r="6" spans="2:10">
      <c r="B6" s="21" t="s">
        <v>3</v>
      </c>
    </row>
    <row r="7" spans="2:10">
      <c r="B7" s="21" t="s">
        <v>4</v>
      </c>
      <c r="I7" s="28"/>
    </row>
    <row r="8" spans="2:10">
      <c r="B8" s="21" t="s">
        <v>5</v>
      </c>
    </row>
    <row r="9" spans="2:10">
      <c r="B9" s="21" t="s">
        <v>6</v>
      </c>
    </row>
    <row r="12" spans="2:10">
      <c r="B12" s="21" t="s">
        <v>7</v>
      </c>
    </row>
    <row r="13" spans="2:10">
      <c r="B13" s="21" t="s">
        <v>8</v>
      </c>
      <c r="J13" s="28"/>
    </row>
    <row r="14" spans="2:10">
      <c r="B14" s="21" t="s">
        <v>9</v>
      </c>
    </row>
    <row r="15" spans="2:10">
      <c r="B15" s="21" t="s">
        <v>10</v>
      </c>
    </row>
    <row r="16" spans="2:10">
      <c r="B16" s="21" t="s">
        <v>3</v>
      </c>
    </row>
    <row r="17" spans="2:3">
      <c r="C17" s="21" t="s">
        <v>11</v>
      </c>
    </row>
    <row r="18" spans="2:3">
      <c r="C18" s="21" t="s">
        <v>12</v>
      </c>
    </row>
    <row r="19" spans="2:3">
      <c r="C19" s="21" t="s">
        <v>13</v>
      </c>
    </row>
    <row r="20" spans="2:3">
      <c r="C20" s="21" t="s">
        <v>14</v>
      </c>
    </row>
    <row r="21" spans="2:3">
      <c r="C21" s="21" t="s">
        <v>15</v>
      </c>
    </row>
    <row r="22" spans="2:3">
      <c r="C22" s="21" t="s">
        <v>16</v>
      </c>
    </row>
    <row r="23" spans="2:3">
      <c r="C23" s="21" t="s">
        <v>17</v>
      </c>
    </row>
    <row r="24" spans="2:3">
      <c r="C24" s="21" t="s">
        <v>18</v>
      </c>
    </row>
    <row r="25" spans="2:3">
      <c r="C25" s="21" t="s">
        <v>19</v>
      </c>
    </row>
    <row r="27" spans="2:3">
      <c r="B27" s="21" t="s">
        <v>20</v>
      </c>
    </row>
    <row r="28" spans="2:3">
      <c r="C28" s="21" t="s">
        <v>11</v>
      </c>
    </row>
    <row r="29" spans="2:3">
      <c r="C29" s="21" t="s">
        <v>21</v>
      </c>
    </row>
    <row r="30" spans="2:3">
      <c r="C30" s="21" t="s">
        <v>22</v>
      </c>
    </row>
    <row r="31" spans="2:3">
      <c r="C31" s="21" t="s">
        <v>23</v>
      </c>
    </row>
    <row r="43" spans="2:3">
      <c r="C43" s="21" t="s">
        <v>24</v>
      </c>
    </row>
    <row r="45" spans="2:3">
      <c r="B45" s="21" t="s">
        <v>25</v>
      </c>
    </row>
    <row r="46" spans="2:3">
      <c r="C46" s="21" t="s">
        <v>26</v>
      </c>
    </row>
    <row r="47" spans="2:3">
      <c r="C47" s="21" t="s">
        <v>27</v>
      </c>
    </row>
    <row r="48" spans="2:3">
      <c r="C48" s="21" t="s">
        <v>28</v>
      </c>
    </row>
    <row r="49" spans="2:10">
      <c r="C49" s="21" t="s">
        <v>29</v>
      </c>
    </row>
    <row r="50" spans="2:10">
      <c r="C50" s="21" t="s">
        <v>30</v>
      </c>
    </row>
    <row r="51" spans="2:10">
      <c r="C51" s="21" t="s">
        <v>31</v>
      </c>
    </row>
    <row r="52" spans="2:10">
      <c r="C52" s="21" t="s">
        <v>32</v>
      </c>
    </row>
    <row r="53" spans="2:10">
      <c r="C53" s="21" t="s">
        <v>33</v>
      </c>
    </row>
    <row r="54" spans="2:10">
      <c r="C54" s="21" t="s">
        <v>34</v>
      </c>
    </row>
    <row r="58" spans="2:10">
      <c r="B58" s="21" t="s">
        <v>35</v>
      </c>
    </row>
    <row r="59" spans="2:10">
      <c r="B59" s="21" t="s">
        <v>36</v>
      </c>
      <c r="J59" s="28"/>
    </row>
  </sheetData>
  <phoneticPr fontId="2"/>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8"/>
  <sheetViews>
    <sheetView workbookViewId="0"/>
  </sheetViews>
  <sheetFormatPr defaultRowHeight="18"/>
  <cols>
    <col min="1" max="1" width="3" customWidth="1"/>
  </cols>
  <sheetData>
    <row r="1" spans="1:2">
      <c r="A1" t="s">
        <v>37</v>
      </c>
    </row>
    <row r="2" spans="1:2">
      <c r="B2" t="s">
        <v>38</v>
      </c>
    </row>
    <row r="3" spans="1:2">
      <c r="B3" t="s">
        <v>39</v>
      </c>
    </row>
    <row r="4" spans="1:2">
      <c r="B4" t="s">
        <v>40</v>
      </c>
    </row>
    <row r="5" spans="1:2">
      <c r="B5" t="s">
        <v>41</v>
      </c>
    </row>
    <row r="6" spans="1:2">
      <c r="B6" t="s">
        <v>42</v>
      </c>
    </row>
    <row r="7" spans="1:2">
      <c r="B7" t="s">
        <v>43</v>
      </c>
    </row>
    <row r="10" spans="1:2">
      <c r="A10" t="s">
        <v>44</v>
      </c>
    </row>
    <row r="11" spans="1:2">
      <c r="A11" t="s">
        <v>45</v>
      </c>
    </row>
    <row r="12" spans="1:2">
      <c r="B12" t="s">
        <v>46</v>
      </c>
    </row>
    <row r="13" spans="1:2">
      <c r="B13" t="s">
        <v>47</v>
      </c>
    </row>
    <row r="14" spans="1:2">
      <c r="B14" t="s">
        <v>48</v>
      </c>
    </row>
    <row r="15" spans="1:2">
      <c r="B15" t="s">
        <v>49</v>
      </c>
    </row>
    <row r="16" spans="1:2">
      <c r="B16" t="s">
        <v>50</v>
      </c>
    </row>
    <row r="18" spans="1:5">
      <c r="A18" s="21" t="s">
        <v>3</v>
      </c>
      <c r="B18" s="21"/>
    </row>
    <row r="19" spans="1:5">
      <c r="B19" t="s">
        <v>51</v>
      </c>
      <c r="E19" t="s">
        <v>52</v>
      </c>
    </row>
    <row r="20" spans="1:5">
      <c r="B20" s="114" t="s">
        <v>53</v>
      </c>
    </row>
    <row r="21" spans="1:5">
      <c r="B21" t="s">
        <v>54</v>
      </c>
    </row>
    <row r="22" spans="1:5">
      <c r="B22" t="s">
        <v>55</v>
      </c>
    </row>
    <row r="23" spans="1:5">
      <c r="B23" t="s">
        <v>56</v>
      </c>
    </row>
    <row r="25" spans="1:5">
      <c r="A25" s="21" t="s">
        <v>4</v>
      </c>
      <c r="B25" s="21"/>
    </row>
    <row r="26" spans="1:5">
      <c r="A26" s="21"/>
      <c r="B26" t="s">
        <v>57</v>
      </c>
    </row>
    <row r="27" spans="1:5">
      <c r="A27" s="21"/>
      <c r="B27" t="s">
        <v>58</v>
      </c>
    </row>
    <row r="28" spans="1:5">
      <c r="A28" s="21"/>
      <c r="B28" t="s">
        <v>59</v>
      </c>
    </row>
    <row r="29" spans="1:5">
      <c r="A29" s="21"/>
      <c r="B29" t="s">
        <v>51</v>
      </c>
    </row>
    <row r="30" spans="1:5">
      <c r="A30" s="21"/>
      <c r="B30" t="s">
        <v>54</v>
      </c>
    </row>
    <row r="32" spans="1:5">
      <c r="A32" s="21" t="s">
        <v>25</v>
      </c>
      <c r="B32" s="21"/>
    </row>
    <row r="33" spans="2:2">
      <c r="B33" t="s">
        <v>60</v>
      </c>
    </row>
    <row r="34" spans="2:2">
      <c r="B34" t="s">
        <v>61</v>
      </c>
    </row>
    <row r="35" spans="2:2">
      <c r="B35" t="s">
        <v>62</v>
      </c>
    </row>
    <row r="36" spans="2:2">
      <c r="B36" t="s">
        <v>63</v>
      </c>
    </row>
    <row r="37" spans="2:2">
      <c r="B37" t="s">
        <v>64</v>
      </c>
    </row>
    <row r="38" spans="2:2">
      <c r="B38" t="s">
        <v>65</v>
      </c>
    </row>
  </sheetData>
  <phoneticPr fontId="2"/>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C1:O121"/>
  <sheetViews>
    <sheetView topLeftCell="A24" zoomScale="70" zoomScaleNormal="70" workbookViewId="0"/>
  </sheetViews>
  <sheetFormatPr defaultColWidth="8.125" defaultRowHeight="12.95"/>
  <cols>
    <col min="1" max="16384" width="8.125" style="32"/>
  </cols>
  <sheetData>
    <row r="1" spans="3:9">
      <c r="C1" s="32" t="s">
        <v>66</v>
      </c>
      <c r="E1" s="33"/>
      <c r="F1" s="32" t="s">
        <v>67</v>
      </c>
      <c r="H1" s="34"/>
      <c r="I1" s="32" t="s">
        <v>68</v>
      </c>
    </row>
    <row r="2" spans="3:9">
      <c r="C2" s="32" t="s">
        <v>69</v>
      </c>
      <c r="E2" s="35"/>
      <c r="F2" s="32" t="s">
        <v>70</v>
      </c>
      <c r="H2" s="36"/>
      <c r="I2" s="32" t="s">
        <v>71</v>
      </c>
    </row>
    <row r="17" spans="15:15">
      <c r="O17" s="37"/>
    </row>
    <row r="18" spans="15:15">
      <c r="O18" s="37"/>
    </row>
    <row r="63" spans="10:11">
      <c r="J63" s="52"/>
      <c r="K63" s="32" t="s">
        <v>72</v>
      </c>
    </row>
    <row r="121" spans="10:11">
      <c r="J121" s="52"/>
      <c r="K121" s="32" t="s">
        <v>72</v>
      </c>
    </row>
  </sheetData>
  <phoneticPr fontId="2"/>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114"/>
  <sheetViews>
    <sheetView topLeftCell="A12" zoomScale="60" zoomScaleNormal="60" workbookViewId="0"/>
  </sheetViews>
  <sheetFormatPr defaultColWidth="8.125" defaultRowHeight="12.95"/>
  <cols>
    <col min="1" max="16384" width="8.125" style="32"/>
  </cols>
  <sheetData>
    <row r="1" spans="3:9">
      <c r="C1" s="32" t="s">
        <v>66</v>
      </c>
      <c r="E1" s="33"/>
      <c r="F1" s="32" t="s">
        <v>67</v>
      </c>
      <c r="H1" s="34"/>
      <c r="I1" s="32" t="s">
        <v>68</v>
      </c>
    </row>
    <row r="2" spans="3:9">
      <c r="C2" s="32" t="s">
        <v>69</v>
      </c>
      <c r="E2" s="35"/>
      <c r="F2" s="32" t="s">
        <v>70</v>
      </c>
      <c r="H2" s="36"/>
      <c r="I2" s="32" t="s">
        <v>71</v>
      </c>
    </row>
    <row r="60" spans="2:3">
      <c r="B60" s="52"/>
      <c r="C60" s="32" t="s">
        <v>72</v>
      </c>
    </row>
    <row r="114" spans="2:3">
      <c r="B114" s="52"/>
      <c r="C114" s="32" t="s">
        <v>72</v>
      </c>
    </row>
  </sheetData>
  <phoneticPr fontId="2"/>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6"/>
  <sheetViews>
    <sheetView zoomScale="80" zoomScaleNormal="80" workbookViewId="0">
      <pane xSplit="2" ySplit="2" topLeftCell="N13" activePane="bottomRight" state="frozen"/>
      <selection pane="bottomRight" activeCell="Q17" sqref="Q17"/>
      <selection pane="bottomLeft" activeCell="A3" sqref="A3"/>
      <selection pane="topRight" activeCell="C1" sqref="C1"/>
    </sheetView>
  </sheetViews>
  <sheetFormatPr defaultRowHeight="18.75" customHeight="1" outlineLevelCol="1"/>
  <cols>
    <col min="1" max="1" width="15.625" style="12" bestFit="1" customWidth="1"/>
    <col min="2" max="2" width="35" style="12" customWidth="1"/>
    <col min="3" max="3" width="8.625" style="12" customWidth="1"/>
    <col min="4" max="5" width="20.625" style="12" customWidth="1"/>
    <col min="6" max="6" width="35.125" style="12" customWidth="1"/>
    <col min="7" max="7" width="20.625" style="12" customWidth="1" outlineLevel="1"/>
    <col min="8" max="12" width="17.625" style="12" customWidth="1" outlineLevel="1"/>
    <col min="13" max="13" width="29.875" style="12" customWidth="1" outlineLevel="1"/>
    <col min="14" max="19" width="8.625" style="12" customWidth="1"/>
    <col min="20" max="25" width="9" style="13"/>
  </cols>
  <sheetData>
    <row r="1" spans="1:26" ht="18">
      <c r="A1"/>
      <c r="B1"/>
      <c r="C1"/>
      <c r="D1"/>
      <c r="E1"/>
      <c r="F1" s="158" t="s">
        <v>73</v>
      </c>
      <c r="G1" s="159"/>
      <c r="H1" s="159"/>
      <c r="I1" s="159"/>
      <c r="J1" s="159"/>
      <c r="K1" s="159"/>
      <c r="L1" s="159"/>
      <c r="M1" s="54"/>
      <c r="N1" s="158" t="s">
        <v>74</v>
      </c>
      <c r="O1" s="159"/>
      <c r="P1" s="159"/>
      <c r="Q1" s="159"/>
      <c r="R1" s="159"/>
      <c r="S1" s="159"/>
      <c r="T1" s="158" t="s">
        <v>75</v>
      </c>
      <c r="U1" s="159"/>
      <c r="V1" s="159"/>
      <c r="W1" s="159"/>
      <c r="X1" s="159"/>
      <c r="Y1" s="159"/>
    </row>
    <row r="2" spans="1:26" ht="36">
      <c r="A2" s="7" t="s">
        <v>76</v>
      </c>
      <c r="B2" s="7" t="s">
        <v>77</v>
      </c>
      <c r="C2" s="7" t="s">
        <v>78</v>
      </c>
      <c r="D2" s="7" t="s">
        <v>79</v>
      </c>
      <c r="E2" s="7" t="s">
        <v>80</v>
      </c>
      <c r="F2" s="7" t="s">
        <v>81</v>
      </c>
      <c r="G2" s="7" t="s">
        <v>82</v>
      </c>
      <c r="H2" s="7" t="s">
        <v>83</v>
      </c>
      <c r="I2" s="7" t="s">
        <v>84</v>
      </c>
      <c r="J2" s="7" t="s">
        <v>85</v>
      </c>
      <c r="K2" s="7" t="s">
        <v>86</v>
      </c>
      <c r="L2" s="7" t="s">
        <v>87</v>
      </c>
      <c r="M2" s="7" t="s">
        <v>88</v>
      </c>
      <c r="N2" s="7" t="s">
        <v>89</v>
      </c>
      <c r="O2" s="7" t="s">
        <v>90</v>
      </c>
      <c r="P2" s="7" t="s">
        <v>91</v>
      </c>
      <c r="Q2" s="7" t="s">
        <v>92</v>
      </c>
      <c r="R2" s="7" t="s">
        <v>93</v>
      </c>
      <c r="S2" s="7" t="s">
        <v>87</v>
      </c>
      <c r="T2" s="7" t="s">
        <v>94</v>
      </c>
      <c r="U2" s="7" t="s">
        <v>95</v>
      </c>
      <c r="V2" s="7" t="s">
        <v>96</v>
      </c>
      <c r="W2" s="7" t="s">
        <v>97</v>
      </c>
      <c r="X2" s="7" t="s">
        <v>98</v>
      </c>
      <c r="Y2" s="7" t="s">
        <v>99</v>
      </c>
    </row>
    <row r="3" spans="1:26" ht="36" customHeight="1">
      <c r="A3" s="8" t="s">
        <v>100</v>
      </c>
      <c r="B3" s="8" t="s">
        <v>101</v>
      </c>
      <c r="C3" s="153" t="s">
        <v>102</v>
      </c>
      <c r="D3" s="153" t="s">
        <v>103</v>
      </c>
      <c r="E3" s="153" t="s">
        <v>104</v>
      </c>
      <c r="F3" s="153" t="s">
        <v>105</v>
      </c>
      <c r="G3" s="153" t="s">
        <v>106</v>
      </c>
      <c r="H3" s="153" t="s">
        <v>107</v>
      </c>
      <c r="I3" s="153" t="s">
        <v>108</v>
      </c>
      <c r="J3" s="153" t="s">
        <v>109</v>
      </c>
      <c r="K3" s="153" t="s">
        <v>110</v>
      </c>
      <c r="L3" s="153"/>
      <c r="M3" s="153" t="s">
        <v>111</v>
      </c>
      <c r="N3" s="152" t="s">
        <v>112</v>
      </c>
      <c r="O3" s="152" t="s">
        <v>113</v>
      </c>
      <c r="P3" s="153" t="s">
        <v>114</v>
      </c>
      <c r="Q3" s="152" t="s">
        <v>115</v>
      </c>
      <c r="R3" s="153" t="s">
        <v>116</v>
      </c>
      <c r="S3" s="153"/>
      <c r="T3" s="156" t="s">
        <v>117</v>
      </c>
      <c r="U3" s="156" t="s">
        <v>117</v>
      </c>
      <c r="V3" s="156" t="s">
        <v>117</v>
      </c>
      <c r="W3" s="156" t="s">
        <v>118</v>
      </c>
      <c r="X3" s="156" t="s">
        <v>117</v>
      </c>
      <c r="Y3" s="156" t="s">
        <v>117</v>
      </c>
      <c r="Z3" t="s">
        <v>119</v>
      </c>
    </row>
    <row r="4" spans="1:26" ht="36" customHeight="1">
      <c r="A4" s="8" t="s">
        <v>120</v>
      </c>
      <c r="B4" s="8" t="s">
        <v>121</v>
      </c>
      <c r="C4" s="155"/>
      <c r="D4" s="155"/>
      <c r="E4" s="155"/>
      <c r="F4" s="155"/>
      <c r="G4" s="155"/>
      <c r="H4" s="155"/>
      <c r="I4" s="155"/>
      <c r="J4" s="155"/>
      <c r="K4" s="155"/>
      <c r="L4" s="155"/>
      <c r="M4" s="155"/>
      <c r="N4" s="235"/>
      <c r="O4" s="235"/>
      <c r="P4" s="155"/>
      <c r="Q4" s="235"/>
      <c r="R4" s="155"/>
      <c r="S4" s="155"/>
      <c r="T4" s="157"/>
      <c r="U4" s="157"/>
      <c r="V4" s="157"/>
      <c r="W4" s="157"/>
      <c r="X4" s="157"/>
      <c r="Y4" s="157"/>
      <c r="Z4" t="s">
        <v>119</v>
      </c>
    </row>
    <row r="5" spans="1:26" ht="36" customHeight="1">
      <c r="A5" s="10" t="s">
        <v>122</v>
      </c>
      <c r="B5" s="10" t="s">
        <v>123</v>
      </c>
      <c r="C5" s="153" t="s">
        <v>102</v>
      </c>
      <c r="D5" s="153" t="s">
        <v>103</v>
      </c>
      <c r="E5" s="153" t="s">
        <v>104</v>
      </c>
      <c r="F5" s="153" t="s">
        <v>124</v>
      </c>
      <c r="G5" s="153" t="s">
        <v>106</v>
      </c>
      <c r="H5" s="153" t="s">
        <v>107</v>
      </c>
      <c r="I5" s="153" t="s">
        <v>108</v>
      </c>
      <c r="J5" s="153" t="s">
        <v>109</v>
      </c>
      <c r="K5" s="153" t="s">
        <v>125</v>
      </c>
      <c r="L5" s="153"/>
      <c r="M5" s="153" t="s">
        <v>111</v>
      </c>
      <c r="N5" s="152" t="s">
        <v>126</v>
      </c>
      <c r="O5" s="152" t="s">
        <v>127</v>
      </c>
      <c r="P5" s="153" t="s">
        <v>128</v>
      </c>
      <c r="Q5" s="152" t="s">
        <v>129</v>
      </c>
      <c r="R5" s="153" t="s">
        <v>130</v>
      </c>
      <c r="S5" s="153"/>
      <c r="T5" s="156" t="s">
        <v>117</v>
      </c>
      <c r="U5" s="156" t="s">
        <v>117</v>
      </c>
      <c r="V5" s="156" t="s">
        <v>117</v>
      </c>
      <c r="W5" s="156" t="s">
        <v>118</v>
      </c>
      <c r="X5" s="156" t="s">
        <v>117</v>
      </c>
      <c r="Y5" s="156" t="s">
        <v>117</v>
      </c>
      <c r="Z5" t="s">
        <v>119</v>
      </c>
    </row>
    <row r="6" spans="1:26" ht="36" customHeight="1">
      <c r="A6" s="8" t="s">
        <v>131</v>
      </c>
      <c r="B6" s="8" t="s">
        <v>132</v>
      </c>
      <c r="C6" s="155"/>
      <c r="D6" s="155"/>
      <c r="E6" s="155"/>
      <c r="F6" s="155"/>
      <c r="G6" s="155"/>
      <c r="H6" s="155"/>
      <c r="I6" s="155"/>
      <c r="J6" s="155"/>
      <c r="K6" s="155"/>
      <c r="L6" s="155"/>
      <c r="M6" s="155"/>
      <c r="N6" s="235"/>
      <c r="O6" s="235"/>
      <c r="P6" s="155"/>
      <c r="Q6" s="235"/>
      <c r="R6" s="155"/>
      <c r="S6" s="155"/>
      <c r="T6" s="157"/>
      <c r="U6" s="157"/>
      <c r="V6" s="157"/>
      <c r="W6" s="157"/>
      <c r="X6" s="157"/>
      <c r="Y6" s="157"/>
      <c r="Z6" t="s">
        <v>119</v>
      </c>
    </row>
    <row r="7" spans="1:26" ht="72">
      <c r="A7" s="10" t="s">
        <v>133</v>
      </c>
      <c r="B7" s="10" t="s">
        <v>134</v>
      </c>
      <c r="C7" s="10" t="s">
        <v>102</v>
      </c>
      <c r="D7" s="8" t="s">
        <v>103</v>
      </c>
      <c r="E7" s="8" t="s">
        <v>104</v>
      </c>
      <c r="F7" s="55" t="s">
        <v>135</v>
      </c>
      <c r="G7" s="8" t="s">
        <v>106</v>
      </c>
      <c r="H7" s="8" t="s">
        <v>136</v>
      </c>
      <c r="I7" s="8" t="s">
        <v>108</v>
      </c>
      <c r="J7" s="10" t="s">
        <v>109</v>
      </c>
      <c r="K7" s="10" t="s">
        <v>125</v>
      </c>
      <c r="L7" s="55" t="s">
        <v>137</v>
      </c>
      <c r="M7" s="55" t="s">
        <v>111</v>
      </c>
      <c r="N7" s="10">
        <v>83</v>
      </c>
      <c r="O7" s="10">
        <v>25</v>
      </c>
      <c r="P7" s="10">
        <v>5</v>
      </c>
      <c r="Q7" s="10">
        <v>4</v>
      </c>
      <c r="R7" s="10">
        <v>67</v>
      </c>
      <c r="S7" s="10"/>
      <c r="T7" s="11" t="s">
        <v>117</v>
      </c>
      <c r="U7" s="11" t="s">
        <v>117</v>
      </c>
      <c r="V7" s="11" t="s">
        <v>117</v>
      </c>
      <c r="W7" s="11" t="s">
        <v>117</v>
      </c>
      <c r="X7" s="11" t="s">
        <v>117</v>
      </c>
      <c r="Y7" s="11" t="s">
        <v>117</v>
      </c>
      <c r="Z7" t="s">
        <v>119</v>
      </c>
    </row>
    <row r="8" spans="1:26" ht="72">
      <c r="A8" s="8" t="s">
        <v>138</v>
      </c>
      <c r="B8" s="8" t="s">
        <v>139</v>
      </c>
      <c r="C8" s="8" t="s">
        <v>102</v>
      </c>
      <c r="D8" s="8" t="s">
        <v>103</v>
      </c>
      <c r="E8" s="8" t="s">
        <v>104</v>
      </c>
      <c r="F8" s="8" t="s">
        <v>140</v>
      </c>
      <c r="G8" s="8" t="s">
        <v>106</v>
      </c>
      <c r="H8" s="8" t="s">
        <v>136</v>
      </c>
      <c r="I8" s="8" t="s">
        <v>108</v>
      </c>
      <c r="J8" s="10" t="s">
        <v>109</v>
      </c>
      <c r="K8" s="10" t="s">
        <v>125</v>
      </c>
      <c r="L8" s="55" t="s">
        <v>137</v>
      </c>
      <c r="M8" s="8" t="s">
        <v>141</v>
      </c>
      <c r="N8" s="10">
        <v>17</v>
      </c>
      <c r="O8" s="10">
        <v>3</v>
      </c>
      <c r="P8" s="55">
        <v>1</v>
      </c>
      <c r="Q8" s="10">
        <v>3</v>
      </c>
      <c r="R8" s="55">
        <v>12</v>
      </c>
      <c r="S8" s="8"/>
      <c r="T8" s="9" t="s">
        <v>117</v>
      </c>
      <c r="U8" s="9" t="s">
        <v>117</v>
      </c>
      <c r="V8" s="9" t="s">
        <v>117</v>
      </c>
      <c r="W8" s="9" t="s">
        <v>117</v>
      </c>
      <c r="X8" s="9" t="s">
        <v>117</v>
      </c>
      <c r="Y8" s="9" t="s">
        <v>117</v>
      </c>
      <c r="Z8" t="s">
        <v>119</v>
      </c>
    </row>
    <row r="9" spans="1:26" ht="72">
      <c r="A9" s="8" t="s">
        <v>142</v>
      </c>
      <c r="B9" s="8" t="s">
        <v>143</v>
      </c>
      <c r="C9" s="8" t="s">
        <v>102</v>
      </c>
      <c r="D9" s="8" t="s">
        <v>144</v>
      </c>
      <c r="E9" s="8" t="s">
        <v>104</v>
      </c>
      <c r="F9" s="8" t="s">
        <v>145</v>
      </c>
      <c r="G9" s="8" t="s">
        <v>122</v>
      </c>
      <c r="H9" s="31" t="s">
        <v>146</v>
      </c>
      <c r="I9" s="8" t="s">
        <v>108</v>
      </c>
      <c r="J9" s="8" t="s">
        <v>122</v>
      </c>
      <c r="K9" s="8" t="s">
        <v>122</v>
      </c>
      <c r="L9" s="8"/>
      <c r="M9" s="8" t="s">
        <v>141</v>
      </c>
      <c r="N9" s="10">
        <v>0</v>
      </c>
      <c r="O9" s="10">
        <v>0</v>
      </c>
      <c r="P9" s="55">
        <v>0</v>
      </c>
      <c r="Q9" s="10">
        <v>0</v>
      </c>
      <c r="R9" s="55">
        <v>211</v>
      </c>
      <c r="S9" s="8"/>
      <c r="T9" s="9" t="s">
        <v>118</v>
      </c>
      <c r="U9" s="9" t="s">
        <v>117</v>
      </c>
      <c r="V9" s="9" t="s">
        <v>118</v>
      </c>
      <c r="W9" s="9" t="s">
        <v>118</v>
      </c>
      <c r="X9" s="9" t="s">
        <v>118</v>
      </c>
      <c r="Y9" s="9" t="s">
        <v>118</v>
      </c>
      <c r="Z9" t="s">
        <v>119</v>
      </c>
    </row>
    <row r="10" spans="1:26" ht="49.5" customHeight="1">
      <c r="A10" s="8" t="s">
        <v>147</v>
      </c>
      <c r="B10" s="8" t="s">
        <v>148</v>
      </c>
      <c r="C10" s="153" t="s">
        <v>102</v>
      </c>
      <c r="D10" s="153" t="s">
        <v>149</v>
      </c>
      <c r="E10" s="153" t="s">
        <v>150</v>
      </c>
      <c r="F10" s="153" t="s">
        <v>151</v>
      </c>
      <c r="G10" s="153" t="s">
        <v>152</v>
      </c>
      <c r="H10" s="153" t="s">
        <v>107</v>
      </c>
      <c r="I10" s="153" t="s">
        <v>153</v>
      </c>
      <c r="J10" s="152" t="s">
        <v>154</v>
      </c>
      <c r="K10" s="236" t="s">
        <v>125</v>
      </c>
      <c r="L10" s="236"/>
      <c r="M10" s="163" t="s">
        <v>155</v>
      </c>
      <c r="N10" s="236">
        <v>80</v>
      </c>
      <c r="O10" s="236">
        <v>20</v>
      </c>
      <c r="P10" s="152" t="s">
        <v>156</v>
      </c>
      <c r="Q10" s="152" t="s">
        <v>157</v>
      </c>
      <c r="R10" s="236">
        <v>75</v>
      </c>
      <c r="S10" s="236"/>
      <c r="T10" s="9" t="s">
        <v>118</v>
      </c>
      <c r="U10" s="9" t="s">
        <v>117</v>
      </c>
      <c r="V10" s="9" t="s">
        <v>117</v>
      </c>
      <c r="W10" s="9" t="s">
        <v>118</v>
      </c>
      <c r="X10" s="9" t="s">
        <v>118</v>
      </c>
      <c r="Y10" s="9" t="s">
        <v>118</v>
      </c>
      <c r="Z10" t="s">
        <v>119</v>
      </c>
    </row>
    <row r="11" spans="1:26" ht="49.5" customHeight="1">
      <c r="A11" s="8" t="s">
        <v>158</v>
      </c>
      <c r="B11" s="8" t="s">
        <v>159</v>
      </c>
      <c r="C11" s="155"/>
      <c r="D11" s="155"/>
      <c r="E11" s="155"/>
      <c r="F11" s="155"/>
      <c r="G11" s="155"/>
      <c r="H11" s="155"/>
      <c r="I11" s="155"/>
      <c r="J11" s="161"/>
      <c r="K11" s="235"/>
      <c r="L11" s="235"/>
      <c r="M11" s="164"/>
      <c r="N11" s="235"/>
      <c r="O11" s="235"/>
      <c r="P11" s="235"/>
      <c r="Q11" s="235"/>
      <c r="R11" s="235"/>
      <c r="S11" s="235"/>
      <c r="T11" s="9" t="s">
        <v>118</v>
      </c>
      <c r="U11" s="9" t="s">
        <v>117</v>
      </c>
      <c r="V11" s="9" t="s">
        <v>117</v>
      </c>
      <c r="W11" s="9" t="s">
        <v>118</v>
      </c>
      <c r="X11" s="9" t="s">
        <v>118</v>
      </c>
      <c r="Y11" s="9" t="s">
        <v>118</v>
      </c>
      <c r="Z11" t="s">
        <v>119</v>
      </c>
    </row>
    <row r="12" spans="1:26" ht="74.45" customHeight="1">
      <c r="A12" s="8" t="s">
        <v>160</v>
      </c>
      <c r="B12" s="8" t="s">
        <v>161</v>
      </c>
      <c r="C12" s="8" t="s">
        <v>102</v>
      </c>
      <c r="D12" s="8" t="s">
        <v>162</v>
      </c>
      <c r="E12" s="8" t="s">
        <v>150</v>
      </c>
      <c r="F12" s="8" t="s">
        <v>163</v>
      </c>
      <c r="G12" s="8" t="s">
        <v>152</v>
      </c>
      <c r="H12" s="8" t="s">
        <v>164</v>
      </c>
      <c r="I12" s="8" t="s">
        <v>165</v>
      </c>
      <c r="J12" s="55" t="s">
        <v>154</v>
      </c>
      <c r="K12" s="10"/>
      <c r="L12" s="8"/>
      <c r="M12" s="153" t="s">
        <v>166</v>
      </c>
      <c r="N12" s="10">
        <v>68</v>
      </c>
      <c r="O12" s="10">
        <v>43</v>
      </c>
      <c r="P12" s="55">
        <v>9</v>
      </c>
      <c r="Q12" s="10">
        <v>45</v>
      </c>
      <c r="R12" s="55">
        <v>205</v>
      </c>
      <c r="S12" s="8"/>
      <c r="T12" s="9" t="s">
        <v>118</v>
      </c>
      <c r="U12" s="9" t="s">
        <v>118</v>
      </c>
      <c r="V12" s="9" t="s">
        <v>117</v>
      </c>
      <c r="W12" s="9" t="s">
        <v>118</v>
      </c>
      <c r="X12" s="9" t="s">
        <v>118</v>
      </c>
      <c r="Y12" s="9" t="s">
        <v>118</v>
      </c>
      <c r="Z12" t="s">
        <v>119</v>
      </c>
    </row>
    <row r="13" spans="1:26" ht="74.45" customHeight="1">
      <c r="A13" s="8" t="s">
        <v>167</v>
      </c>
      <c r="B13" s="8" t="s">
        <v>168</v>
      </c>
      <c r="C13" s="8" t="s">
        <v>102</v>
      </c>
      <c r="D13" s="8" t="s">
        <v>169</v>
      </c>
      <c r="E13" s="8" t="s">
        <v>150</v>
      </c>
      <c r="F13" s="8" t="s">
        <v>170</v>
      </c>
      <c r="G13" s="8" t="s">
        <v>152</v>
      </c>
      <c r="H13" s="8" t="s">
        <v>171</v>
      </c>
      <c r="I13" s="8" t="s">
        <v>165</v>
      </c>
      <c r="J13" s="55" t="s">
        <v>154</v>
      </c>
      <c r="K13" s="10"/>
      <c r="L13" s="8"/>
      <c r="M13" s="154"/>
      <c r="N13" s="10">
        <v>20</v>
      </c>
      <c r="O13" s="10">
        <v>4</v>
      </c>
      <c r="P13" s="55">
        <v>2</v>
      </c>
      <c r="Q13" s="10">
        <v>2</v>
      </c>
      <c r="R13" s="55">
        <v>30</v>
      </c>
      <c r="S13" s="8"/>
      <c r="T13" s="9" t="s">
        <v>118</v>
      </c>
      <c r="U13" s="9" t="s">
        <v>118</v>
      </c>
      <c r="V13" s="9" t="s">
        <v>118</v>
      </c>
      <c r="W13" s="9" t="s">
        <v>118</v>
      </c>
      <c r="X13" s="9" t="s">
        <v>118</v>
      </c>
      <c r="Y13" s="9" t="s">
        <v>118</v>
      </c>
      <c r="Z13" t="s">
        <v>119</v>
      </c>
    </row>
    <row r="14" spans="1:26" ht="74.45" customHeight="1">
      <c r="A14" s="8" t="s">
        <v>172</v>
      </c>
      <c r="B14" s="8" t="s">
        <v>173</v>
      </c>
      <c r="C14" s="8" t="s">
        <v>102</v>
      </c>
      <c r="D14" s="8" t="s">
        <v>162</v>
      </c>
      <c r="E14" s="8" t="s">
        <v>150</v>
      </c>
      <c r="F14" s="8" t="s">
        <v>174</v>
      </c>
      <c r="G14" s="8" t="s">
        <v>152</v>
      </c>
      <c r="H14" s="8" t="s">
        <v>175</v>
      </c>
      <c r="I14" s="8" t="s">
        <v>165</v>
      </c>
      <c r="J14" s="55" t="s">
        <v>154</v>
      </c>
      <c r="K14" s="10"/>
      <c r="L14" s="8"/>
      <c r="M14" s="155"/>
      <c r="N14" s="10">
        <v>15</v>
      </c>
      <c r="O14" s="10">
        <v>0</v>
      </c>
      <c r="P14" s="55">
        <v>12</v>
      </c>
      <c r="Q14" s="10">
        <v>5</v>
      </c>
      <c r="R14" s="55">
        <v>24</v>
      </c>
      <c r="S14" s="8"/>
      <c r="T14" s="30" t="s">
        <v>118</v>
      </c>
      <c r="U14" s="9" t="s">
        <v>118</v>
      </c>
      <c r="V14" s="9" t="s">
        <v>118</v>
      </c>
      <c r="W14" s="9" t="s">
        <v>118</v>
      </c>
      <c r="X14" s="9" t="s">
        <v>118</v>
      </c>
      <c r="Y14" s="9" t="s">
        <v>118</v>
      </c>
      <c r="Z14" t="s">
        <v>119</v>
      </c>
    </row>
    <row r="15" spans="1:26" ht="39" customHeight="1">
      <c r="A15" s="10" t="s">
        <v>122</v>
      </c>
      <c r="B15" s="10" t="s">
        <v>176</v>
      </c>
      <c r="C15" s="160" t="s">
        <v>102</v>
      </c>
      <c r="D15" s="160" t="s">
        <v>162</v>
      </c>
      <c r="E15" s="160" t="s">
        <v>150</v>
      </c>
      <c r="F15" s="160" t="s">
        <v>177</v>
      </c>
      <c r="G15" s="160" t="s">
        <v>152</v>
      </c>
      <c r="H15" s="237" t="s">
        <v>122</v>
      </c>
      <c r="I15" s="237" t="s">
        <v>122</v>
      </c>
      <c r="J15" s="162" t="s">
        <v>154</v>
      </c>
      <c r="K15" s="237" t="s">
        <v>122</v>
      </c>
      <c r="L15" s="238"/>
      <c r="M15" s="162" t="s">
        <v>178</v>
      </c>
      <c r="N15" s="238">
        <v>0</v>
      </c>
      <c r="O15" s="238">
        <v>0</v>
      </c>
      <c r="P15" s="238">
        <v>2</v>
      </c>
      <c r="Q15" s="162" t="s">
        <v>179</v>
      </c>
      <c r="R15" s="238">
        <v>0</v>
      </c>
      <c r="S15" s="238"/>
      <c r="T15" s="30" t="s">
        <v>118</v>
      </c>
      <c r="U15" s="9" t="s">
        <v>118</v>
      </c>
      <c r="V15" s="9" t="s">
        <v>118</v>
      </c>
      <c r="W15" s="9" t="s">
        <v>118</v>
      </c>
      <c r="X15" s="9" t="s">
        <v>118</v>
      </c>
      <c r="Y15" s="9" t="s">
        <v>118</v>
      </c>
    </row>
    <row r="16" spans="1:26" ht="39" customHeight="1">
      <c r="A16" s="10" t="s">
        <v>122</v>
      </c>
      <c r="B16" s="10" t="s">
        <v>180</v>
      </c>
      <c r="C16" s="160"/>
      <c r="D16" s="160"/>
      <c r="E16" s="160"/>
      <c r="F16" s="160"/>
      <c r="G16" s="160"/>
      <c r="H16" s="238"/>
      <c r="I16" s="238"/>
      <c r="J16" s="162"/>
      <c r="K16" s="238"/>
      <c r="L16" s="238"/>
      <c r="M16" s="238"/>
      <c r="N16" s="238"/>
      <c r="O16" s="238"/>
      <c r="P16" s="238"/>
      <c r="Q16" s="238"/>
      <c r="R16" s="238"/>
      <c r="S16" s="238"/>
      <c r="T16" s="30" t="s">
        <v>118</v>
      </c>
      <c r="U16" s="9" t="s">
        <v>118</v>
      </c>
      <c r="V16" s="9" t="s">
        <v>118</v>
      </c>
      <c r="W16" s="9" t="s">
        <v>118</v>
      </c>
      <c r="X16" s="9" t="s">
        <v>118</v>
      </c>
      <c r="Y16" s="9" t="s">
        <v>118</v>
      </c>
    </row>
  </sheetData>
  <mergeCells count="84">
    <mergeCell ref="V5:V6"/>
    <mergeCell ref="W5:W6"/>
    <mergeCell ref="X5:X6"/>
    <mergeCell ref="M15:M16"/>
    <mergeCell ref="P5:P6"/>
    <mergeCell ref="O5:O6"/>
    <mergeCell ref="N5:N6"/>
    <mergeCell ref="R5:R6"/>
    <mergeCell ref="U5:U6"/>
    <mergeCell ref="M10:M11"/>
    <mergeCell ref="P15:P16"/>
    <mergeCell ref="Q15:Q16"/>
    <mergeCell ref="R10:R11"/>
    <mergeCell ref="S10:S11"/>
    <mergeCell ref="R15:R16"/>
    <mergeCell ref="S15:S16"/>
    <mergeCell ref="L10:L11"/>
    <mergeCell ref="N10:N11"/>
    <mergeCell ref="O10:O11"/>
    <mergeCell ref="P10:P11"/>
    <mergeCell ref="Q10:Q11"/>
    <mergeCell ref="L15:L16"/>
    <mergeCell ref="N15:N16"/>
    <mergeCell ref="O15:O16"/>
    <mergeCell ref="I15:I16"/>
    <mergeCell ref="J15:J16"/>
    <mergeCell ref="I10:I11"/>
    <mergeCell ref="J10:J11"/>
    <mergeCell ref="K10:K11"/>
    <mergeCell ref="K15:K16"/>
    <mergeCell ref="F10:F11"/>
    <mergeCell ref="F15:F16"/>
    <mergeCell ref="G10:G11"/>
    <mergeCell ref="G15:G16"/>
    <mergeCell ref="H10:H11"/>
    <mergeCell ref="H15:H16"/>
    <mergeCell ref="C10:C11"/>
    <mergeCell ref="D10:D11"/>
    <mergeCell ref="E10:E11"/>
    <mergeCell ref="C15:C16"/>
    <mergeCell ref="D15:D16"/>
    <mergeCell ref="E15:E16"/>
    <mergeCell ref="Y3:Y4"/>
    <mergeCell ref="C3:C4"/>
    <mergeCell ref="C5:C6"/>
    <mergeCell ref="D5:D6"/>
    <mergeCell ref="E5:E6"/>
    <mergeCell ref="F5:F6"/>
    <mergeCell ref="G5:G6"/>
    <mergeCell ref="H5:H6"/>
    <mergeCell ref="I5:I6"/>
    <mergeCell ref="J5:J6"/>
    <mergeCell ref="K5:K6"/>
    <mergeCell ref="L5:L6"/>
    <mergeCell ref="S5:S6"/>
    <mergeCell ref="M3:M4"/>
    <mergeCell ref="M5:M6"/>
    <mergeCell ref="Q5:Q6"/>
    <mergeCell ref="F1:L1"/>
    <mergeCell ref="D3:D4"/>
    <mergeCell ref="E3:E4"/>
    <mergeCell ref="F3:F4"/>
    <mergeCell ref="G3:G4"/>
    <mergeCell ref="H3:H4"/>
    <mergeCell ref="I3:I4"/>
    <mergeCell ref="J3:J4"/>
    <mergeCell ref="K3:K4"/>
    <mergeCell ref="L3:L4"/>
    <mergeCell ref="Q3:Q4"/>
    <mergeCell ref="M12:M14"/>
    <mergeCell ref="V3:V4"/>
    <mergeCell ref="N1:S1"/>
    <mergeCell ref="T1:Y1"/>
    <mergeCell ref="N3:N4"/>
    <mergeCell ref="O3:O4"/>
    <mergeCell ref="P3:P4"/>
    <mergeCell ref="T5:T6"/>
    <mergeCell ref="R3:R4"/>
    <mergeCell ref="S3:S4"/>
    <mergeCell ref="T3:T4"/>
    <mergeCell ref="U3:U4"/>
    <mergeCell ref="Y5:Y6"/>
    <mergeCell ref="W3:W4"/>
    <mergeCell ref="X3:X4"/>
  </mergeCells>
  <phoneticPr fontId="2"/>
  <dataValidations count="1">
    <dataValidation type="list" allowBlank="1" showInputMessage="1" showErrorMessage="1" sqref="T3:Y3 T7:Y16 T5:Y5" xr:uid="{00000000-0002-0000-0400-000000000000}">
      <formula1>"〇,×,不明,-"</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AN9"/>
  <sheetViews>
    <sheetView tabSelected="1" zoomScale="80" zoomScaleNormal="80" workbookViewId="0">
      <pane xSplit="3" ySplit="4" topLeftCell="AG5" activePane="bottomRight" state="frozen"/>
      <selection pane="bottomRight"/>
      <selection pane="bottomLeft"/>
      <selection pane="topRight"/>
    </sheetView>
  </sheetViews>
  <sheetFormatPr defaultColWidth="8.625" defaultRowHeight="18.75" customHeight="1" outlineLevelCol="1"/>
  <cols>
    <col min="1" max="1" width="2.625" style="58" customWidth="1"/>
    <col min="2" max="2" width="4.125" style="58" bestFit="1" customWidth="1"/>
    <col min="3" max="3" width="31.375" style="58" customWidth="1"/>
    <col min="4" max="4" width="17.375" style="58" hidden="1" customWidth="1" outlineLevel="1"/>
    <col min="5" max="9" width="14" style="58" hidden="1" customWidth="1" outlineLevel="1"/>
    <col min="10" max="10" width="14" style="58" customWidth="1" collapsed="1"/>
    <col min="11" max="11" width="15.25" style="58" bestFit="1" customWidth="1"/>
    <col min="12" max="12" width="14" style="58" customWidth="1"/>
    <col min="13" max="13" width="15.25" style="58" bestFit="1" customWidth="1"/>
    <col min="14" max="14" width="11.375" style="58" bestFit="1" customWidth="1"/>
    <col min="15" max="15" width="15.25" style="58" bestFit="1" customWidth="1"/>
    <col min="16" max="16" width="14.25" style="58" hidden="1" customWidth="1" outlineLevel="1"/>
    <col min="17" max="18" width="12.25" style="58" hidden="1" customWidth="1" outlineLevel="1"/>
    <col min="19" max="20" width="13.5" style="58" hidden="1" customWidth="1" outlineLevel="1"/>
    <col min="21" max="21" width="14" style="58" hidden="1" customWidth="1" outlineLevel="1"/>
    <col min="22" max="22" width="13.5" style="58" customWidth="1" collapsed="1"/>
    <col min="23" max="23" width="15.125" style="58" bestFit="1" customWidth="1"/>
    <col min="24" max="24" width="13.5" style="58" customWidth="1"/>
    <col min="25" max="25" width="13.5" style="58" bestFit="1" customWidth="1"/>
    <col min="26" max="26" width="13.5" style="58" customWidth="1"/>
    <col min="27" max="27" width="15.125" style="58" bestFit="1" customWidth="1"/>
    <col min="28" max="28" width="15.5" style="58" customWidth="1" outlineLevel="1"/>
    <col min="29" max="33" width="14" style="58" customWidth="1" outlineLevel="1"/>
    <col min="34" max="34" width="11.375" style="58" bestFit="1" customWidth="1"/>
    <col min="35" max="35" width="14.5" style="58" bestFit="1" customWidth="1"/>
    <col min="36" max="36" width="11.375" style="58" bestFit="1" customWidth="1"/>
    <col min="37" max="37" width="14.5" style="58" bestFit="1" customWidth="1"/>
    <col min="38" max="38" width="11.375" style="58" bestFit="1" customWidth="1"/>
    <col min="39" max="39" width="14.5" style="58" bestFit="1" customWidth="1"/>
    <col min="40" max="40" width="53.125" style="58" customWidth="1"/>
    <col min="41" max="16384" width="8.625" style="58"/>
  </cols>
  <sheetData>
    <row r="1" spans="2:40" ht="18"/>
    <row r="2" spans="2:40" ht="18">
      <c r="B2" s="59"/>
      <c r="C2" s="60" t="s">
        <v>181</v>
      </c>
      <c r="D2" s="176" t="s">
        <v>182</v>
      </c>
      <c r="E2" s="177"/>
      <c r="F2" s="177"/>
      <c r="G2" s="177"/>
      <c r="H2" s="177"/>
      <c r="I2" s="177"/>
      <c r="J2" s="177"/>
      <c r="K2" s="177"/>
      <c r="L2" s="178"/>
      <c r="M2" s="178"/>
      <c r="N2" s="177"/>
      <c r="O2" s="179"/>
      <c r="P2" s="183" t="s">
        <v>4</v>
      </c>
      <c r="Q2" s="183"/>
      <c r="R2" s="183"/>
      <c r="S2" s="183"/>
      <c r="T2" s="183"/>
      <c r="U2" s="183"/>
      <c r="V2" s="183"/>
      <c r="W2" s="183"/>
      <c r="X2" s="183"/>
      <c r="Y2" s="183"/>
      <c r="Z2" s="183"/>
      <c r="AA2" s="184"/>
      <c r="AB2" s="185" t="s">
        <v>183</v>
      </c>
      <c r="AC2" s="185"/>
      <c r="AD2" s="185"/>
      <c r="AE2" s="185"/>
      <c r="AF2" s="185"/>
      <c r="AG2" s="185"/>
      <c r="AH2" s="185"/>
      <c r="AI2" s="185"/>
      <c r="AJ2" s="186"/>
      <c r="AK2" s="186"/>
      <c r="AL2" s="185"/>
      <c r="AM2" s="187"/>
      <c r="AN2" s="173" t="s">
        <v>184</v>
      </c>
    </row>
    <row r="3" spans="2:40" ht="22.5" customHeight="1">
      <c r="B3" s="87"/>
      <c r="C3" s="88"/>
      <c r="D3" s="180" t="s">
        <v>185</v>
      </c>
      <c r="E3" s="181"/>
      <c r="F3" s="181"/>
      <c r="G3" s="181"/>
      <c r="H3" s="181"/>
      <c r="I3" s="181"/>
      <c r="J3" s="181"/>
      <c r="K3" s="181"/>
      <c r="L3" s="182" t="s">
        <v>186</v>
      </c>
      <c r="M3" s="182"/>
      <c r="N3" s="165" t="s">
        <v>187</v>
      </c>
      <c r="O3" s="166"/>
      <c r="P3" s="193" t="s">
        <v>185</v>
      </c>
      <c r="Q3" s="193"/>
      <c r="R3" s="193"/>
      <c r="S3" s="193"/>
      <c r="T3" s="193"/>
      <c r="U3" s="193"/>
      <c r="V3" s="193"/>
      <c r="W3" s="194"/>
      <c r="X3" s="191" t="s">
        <v>186</v>
      </c>
      <c r="Y3" s="194"/>
      <c r="Z3" s="191" t="s">
        <v>187</v>
      </c>
      <c r="AA3" s="192"/>
      <c r="AB3" s="188" t="s">
        <v>185</v>
      </c>
      <c r="AC3" s="188"/>
      <c r="AD3" s="188"/>
      <c r="AE3" s="188"/>
      <c r="AF3" s="188"/>
      <c r="AG3" s="188"/>
      <c r="AH3" s="188"/>
      <c r="AI3" s="188"/>
      <c r="AJ3" s="189" t="s">
        <v>186</v>
      </c>
      <c r="AK3" s="189"/>
      <c r="AL3" s="188" t="s">
        <v>187</v>
      </c>
      <c r="AM3" s="190"/>
      <c r="AN3" s="174"/>
    </row>
    <row r="4" spans="2:40" ht="18">
      <c r="B4" s="65" t="s">
        <v>188</v>
      </c>
      <c r="C4" s="66" t="s">
        <v>189</v>
      </c>
      <c r="D4" s="89" t="s">
        <v>190</v>
      </c>
      <c r="E4" s="90" t="s">
        <v>191</v>
      </c>
      <c r="F4" s="90" t="s">
        <v>192</v>
      </c>
      <c r="G4" s="90" t="s">
        <v>193</v>
      </c>
      <c r="H4" s="90" t="s">
        <v>194</v>
      </c>
      <c r="I4" s="90" t="s">
        <v>195</v>
      </c>
      <c r="J4" s="90" t="s">
        <v>196</v>
      </c>
      <c r="K4" s="91" t="s">
        <v>197</v>
      </c>
      <c r="L4" s="90" t="s">
        <v>196</v>
      </c>
      <c r="M4" s="91" t="s">
        <v>197</v>
      </c>
      <c r="N4" s="90" t="s">
        <v>196</v>
      </c>
      <c r="O4" s="92" t="s">
        <v>197</v>
      </c>
      <c r="P4" s="96" t="s">
        <v>190</v>
      </c>
      <c r="Q4" s="61" t="s">
        <v>191</v>
      </c>
      <c r="R4" s="61" t="s">
        <v>192</v>
      </c>
      <c r="S4" s="61" t="s">
        <v>193</v>
      </c>
      <c r="T4" s="61" t="s">
        <v>194</v>
      </c>
      <c r="U4" s="61" t="s">
        <v>195</v>
      </c>
      <c r="V4" s="61" t="s">
        <v>196</v>
      </c>
      <c r="W4" s="62" t="s">
        <v>197</v>
      </c>
      <c r="X4" s="61" t="s">
        <v>196</v>
      </c>
      <c r="Y4" s="62" t="s">
        <v>197</v>
      </c>
      <c r="Z4" s="61" t="s">
        <v>196</v>
      </c>
      <c r="AA4" s="107" t="s">
        <v>197</v>
      </c>
      <c r="AB4" s="103" t="s">
        <v>190</v>
      </c>
      <c r="AC4" s="63" t="s">
        <v>191</v>
      </c>
      <c r="AD4" s="63" t="s">
        <v>192</v>
      </c>
      <c r="AE4" s="63" t="s">
        <v>193</v>
      </c>
      <c r="AF4" s="63" t="s">
        <v>194</v>
      </c>
      <c r="AG4" s="63" t="s">
        <v>195</v>
      </c>
      <c r="AH4" s="63" t="s">
        <v>196</v>
      </c>
      <c r="AI4" s="102" t="s">
        <v>197</v>
      </c>
      <c r="AJ4" s="63" t="s">
        <v>196</v>
      </c>
      <c r="AK4" s="63" t="s">
        <v>197</v>
      </c>
      <c r="AL4" s="103" t="s">
        <v>196</v>
      </c>
      <c r="AM4" s="64" t="s">
        <v>197</v>
      </c>
      <c r="AN4" s="175"/>
    </row>
    <row r="5" spans="2:40" ht="18">
      <c r="B5" s="67">
        <v>10</v>
      </c>
      <c r="C5" s="68" t="s">
        <v>198</v>
      </c>
      <c r="D5" s="82"/>
      <c r="E5" s="83"/>
      <c r="F5" s="83"/>
      <c r="G5" s="83"/>
      <c r="H5" s="83"/>
      <c r="I5" s="83"/>
      <c r="J5" s="86"/>
      <c r="K5" s="56"/>
      <c r="L5" s="86"/>
      <c r="M5" s="56"/>
      <c r="N5" s="86"/>
      <c r="O5" s="80"/>
      <c r="P5" s="97"/>
      <c r="Q5" s="83"/>
      <c r="R5" s="83"/>
      <c r="S5" s="83"/>
      <c r="T5" s="83"/>
      <c r="U5" s="83"/>
      <c r="V5" s="86"/>
      <c r="W5" s="56"/>
      <c r="X5" s="86"/>
      <c r="Y5" s="56"/>
      <c r="Z5" s="86"/>
      <c r="AA5" s="80"/>
      <c r="AB5" s="97">
        <f>'見積（徳山L3.5）'!E4</f>
        <v>1.2</v>
      </c>
      <c r="AC5" s="83">
        <f>'見積（徳山L3.5）'!E7</f>
        <v>1</v>
      </c>
      <c r="AD5" s="83">
        <f>'見積（徳山L3.5）'!E10</f>
        <v>1.1000000000000001</v>
      </c>
      <c r="AE5" s="83">
        <f>'見積（徳山L3.5）'!E12</f>
        <v>2.8</v>
      </c>
      <c r="AF5" s="83">
        <f>'見積（徳山L3.5）'!E15</f>
        <v>3.6</v>
      </c>
      <c r="AG5" s="83">
        <f>'見積（徳山L3.5）'!E17</f>
        <v>3</v>
      </c>
      <c r="AH5" s="86">
        <f t="shared" ref="AH5" si="0">SUM(AB5:AG5)</f>
        <v>12.7</v>
      </c>
      <c r="AI5" s="56">
        <f t="shared" ref="AI5" si="1">SUM(AB5:AF5)*1000000+AG5*1400000</f>
        <v>13900000</v>
      </c>
      <c r="AJ5" s="86"/>
      <c r="AK5" s="101"/>
      <c r="AL5" s="104">
        <f>AH5+AJ5</f>
        <v>12.7</v>
      </c>
      <c r="AM5" s="80">
        <f>AI5+AK5</f>
        <v>13900000</v>
      </c>
      <c r="AN5" s="69" t="s">
        <v>199</v>
      </c>
    </row>
    <row r="6" spans="2:40" ht="18.600000000000001" thickBot="1">
      <c r="B6" s="146">
        <v>11</v>
      </c>
      <c r="C6" s="12" t="s">
        <v>200</v>
      </c>
      <c r="D6" s="147"/>
      <c r="E6" s="148"/>
      <c r="F6" s="148"/>
      <c r="G6" s="148"/>
      <c r="H6" s="148"/>
      <c r="I6" s="148"/>
      <c r="J6" s="105"/>
      <c r="K6" s="106"/>
      <c r="L6" s="105"/>
      <c r="M6" s="106"/>
      <c r="N6" s="105"/>
      <c r="O6" s="149"/>
      <c r="P6" s="150"/>
      <c r="Q6" s="148"/>
      <c r="R6" s="148"/>
      <c r="S6" s="148"/>
      <c r="T6" s="148"/>
      <c r="U6" s="148"/>
      <c r="V6" s="105"/>
      <c r="W6" s="106"/>
      <c r="X6" s="105"/>
      <c r="Y6" s="106"/>
      <c r="Z6" s="105"/>
      <c r="AA6" s="149"/>
      <c r="AB6" s="97">
        <f>'見積（千葉L3.5）'!E4</f>
        <v>1.2</v>
      </c>
      <c r="AC6" s="83">
        <f>'見積（千葉L3.5）'!E7</f>
        <v>1.2</v>
      </c>
      <c r="AD6" s="83">
        <f>'見積（千葉L3.5）'!E10</f>
        <v>1.3</v>
      </c>
      <c r="AE6" s="83">
        <f>'見積（千葉L3.5）'!E12</f>
        <v>3.9</v>
      </c>
      <c r="AF6" s="83">
        <f>'見積（千葉L3.5）'!E15</f>
        <v>3.6</v>
      </c>
      <c r="AG6" s="83">
        <f>'見積（千葉L3.5）'!E17</f>
        <v>2.95</v>
      </c>
      <c r="AH6" s="86">
        <f t="shared" ref="AH6" si="2">SUM(AB6:AG6)</f>
        <v>14.149999999999999</v>
      </c>
      <c r="AI6" s="56">
        <f t="shared" ref="AI6" si="3">SUM(AB6:AF6)*1000000+AG6*1400000</f>
        <v>15330000</v>
      </c>
      <c r="AJ6" s="86"/>
      <c r="AK6" s="101"/>
      <c r="AL6" s="104">
        <f>AH6+AJ6</f>
        <v>14.149999999999999</v>
      </c>
      <c r="AM6" s="80">
        <f>AI6+AK6</f>
        <v>15330000</v>
      </c>
      <c r="AN6" s="151"/>
    </row>
    <row r="7" spans="2:40" ht="18">
      <c r="B7" s="167" t="s">
        <v>201</v>
      </c>
      <c r="C7" s="168"/>
      <c r="D7" s="84">
        <f t="shared" ref="D7:I7" si="4">SUM(D5:D5)</f>
        <v>0</v>
      </c>
      <c r="E7" s="85">
        <f t="shared" si="4"/>
        <v>0</v>
      </c>
      <c r="F7" s="85">
        <f t="shared" si="4"/>
        <v>0</v>
      </c>
      <c r="G7" s="85">
        <f t="shared" si="4"/>
        <v>0</v>
      </c>
      <c r="H7" s="85">
        <f t="shared" si="4"/>
        <v>0</v>
      </c>
      <c r="I7" s="85">
        <f t="shared" si="4"/>
        <v>0</v>
      </c>
      <c r="J7" s="85">
        <f>SUM(D7:I7)</f>
        <v>0</v>
      </c>
      <c r="K7" s="57">
        <f t="shared" ref="K7:U7" si="5">SUM(K5:K5)</f>
        <v>0</v>
      </c>
      <c r="L7" s="85">
        <f t="shared" si="5"/>
        <v>0</v>
      </c>
      <c r="M7" s="57">
        <f t="shared" si="5"/>
        <v>0</v>
      </c>
      <c r="N7" s="85">
        <f t="shared" si="5"/>
        <v>0</v>
      </c>
      <c r="O7" s="93">
        <f t="shared" si="5"/>
        <v>0</v>
      </c>
      <c r="P7" s="98">
        <f t="shared" si="5"/>
        <v>0</v>
      </c>
      <c r="Q7" s="85">
        <f t="shared" si="5"/>
        <v>0</v>
      </c>
      <c r="R7" s="85">
        <f t="shared" si="5"/>
        <v>0</v>
      </c>
      <c r="S7" s="85">
        <f t="shared" si="5"/>
        <v>0</v>
      </c>
      <c r="T7" s="85">
        <f t="shared" si="5"/>
        <v>0</v>
      </c>
      <c r="U7" s="85">
        <f t="shared" si="5"/>
        <v>0</v>
      </c>
      <c r="V7" s="85">
        <f t="shared" ref="V7" si="6">SUM(P7:U7)</f>
        <v>0</v>
      </c>
      <c r="W7" s="57">
        <f t="shared" ref="W7:AA7" si="7">SUM(W5:W5)</f>
        <v>0</v>
      </c>
      <c r="X7" s="85">
        <f t="shared" si="7"/>
        <v>0</v>
      </c>
      <c r="Y7" s="57">
        <f t="shared" si="7"/>
        <v>0</v>
      </c>
      <c r="Z7" s="85">
        <f t="shared" si="7"/>
        <v>0</v>
      </c>
      <c r="AA7" s="93">
        <f t="shared" si="7"/>
        <v>0</v>
      </c>
      <c r="AB7" s="109">
        <f t="shared" ref="AB7:AG7" si="8">SUM(AB5:AB6)</f>
        <v>2.4</v>
      </c>
      <c r="AC7" s="105">
        <f t="shared" si="8"/>
        <v>2.2000000000000002</v>
      </c>
      <c r="AD7" s="105">
        <f t="shared" si="8"/>
        <v>2.4000000000000004</v>
      </c>
      <c r="AE7" s="105">
        <f t="shared" si="8"/>
        <v>6.6999999999999993</v>
      </c>
      <c r="AF7" s="105">
        <f t="shared" si="8"/>
        <v>7.2</v>
      </c>
      <c r="AG7" s="105">
        <f t="shared" si="8"/>
        <v>5.95</v>
      </c>
      <c r="AH7" s="105">
        <f>SUM(AB7:AG7)</f>
        <v>26.849999999999998</v>
      </c>
      <c r="AI7" s="106">
        <f>SUM(AI5:AI6)</f>
        <v>29230000</v>
      </c>
      <c r="AJ7" s="105">
        <f>SUM(AJ5:AJ6)</f>
        <v>0</v>
      </c>
      <c r="AK7" s="106">
        <f>SUM(AK5:AK6)</f>
        <v>0</v>
      </c>
      <c r="AL7" s="105">
        <f>SUM(AL5:AL6)</f>
        <v>26.849999999999998</v>
      </c>
      <c r="AM7" s="106">
        <f>SUM(AM5:AM6)</f>
        <v>29230000</v>
      </c>
      <c r="AN7" s="70"/>
    </row>
    <row r="8" spans="2:40" ht="18">
      <c r="B8" s="169" t="s">
        <v>202</v>
      </c>
      <c r="C8" s="170"/>
      <c r="D8" s="71">
        <v>1000000</v>
      </c>
      <c r="E8" s="72">
        <v>1000000</v>
      </c>
      <c r="F8" s="72">
        <v>1000000</v>
      </c>
      <c r="G8" s="72">
        <v>1000000</v>
      </c>
      <c r="H8" s="72">
        <v>1000000</v>
      </c>
      <c r="I8" s="72">
        <v>1400000</v>
      </c>
      <c r="J8" s="72"/>
      <c r="K8" s="73"/>
      <c r="L8" s="72"/>
      <c r="M8" s="73"/>
      <c r="N8" s="72"/>
      <c r="O8" s="94"/>
      <c r="P8" s="99">
        <v>1000000</v>
      </c>
      <c r="Q8" s="72">
        <v>1000000</v>
      </c>
      <c r="R8" s="72">
        <v>1000000</v>
      </c>
      <c r="S8" s="72">
        <v>1000000</v>
      </c>
      <c r="T8" s="72">
        <v>1000000</v>
      </c>
      <c r="U8" s="72">
        <v>1400000</v>
      </c>
      <c r="V8" s="72"/>
      <c r="W8" s="74"/>
      <c r="X8" s="72"/>
      <c r="Y8" s="74"/>
      <c r="Z8" s="72"/>
      <c r="AA8" s="108"/>
      <c r="AB8" s="99">
        <v>1000000</v>
      </c>
      <c r="AC8" s="72">
        <v>1000000</v>
      </c>
      <c r="AD8" s="72">
        <v>1000000</v>
      </c>
      <c r="AE8" s="72">
        <v>1000000</v>
      </c>
      <c r="AF8" s="72">
        <v>1000000</v>
      </c>
      <c r="AG8" s="72">
        <v>1400000</v>
      </c>
      <c r="AH8" s="72"/>
      <c r="AI8" s="74"/>
      <c r="AJ8" s="72"/>
      <c r="AK8" s="74"/>
      <c r="AL8" s="72"/>
      <c r="AM8" s="74"/>
      <c r="AN8" s="75"/>
    </row>
    <row r="9" spans="2:40" ht="18">
      <c r="B9" s="171" t="s">
        <v>197</v>
      </c>
      <c r="C9" s="172"/>
      <c r="D9" s="76">
        <f t="shared" ref="D9:I9" si="9">D7*D8</f>
        <v>0</v>
      </c>
      <c r="E9" s="77">
        <f t="shared" si="9"/>
        <v>0</v>
      </c>
      <c r="F9" s="77">
        <f t="shared" si="9"/>
        <v>0</v>
      </c>
      <c r="G9" s="77">
        <f t="shared" si="9"/>
        <v>0</v>
      </c>
      <c r="H9" s="77">
        <f t="shared" si="9"/>
        <v>0</v>
      </c>
      <c r="I9" s="77">
        <f t="shared" si="9"/>
        <v>0</v>
      </c>
      <c r="J9" s="77">
        <f>SUM(D9:I9)</f>
        <v>0</v>
      </c>
      <c r="K9" s="78"/>
      <c r="L9" s="77"/>
      <c r="M9" s="78"/>
      <c r="N9" s="77"/>
      <c r="O9" s="95"/>
      <c r="P9" s="100">
        <f t="shared" ref="P9:U9" si="10">P7*P8</f>
        <v>0</v>
      </c>
      <c r="Q9" s="77">
        <f t="shared" si="10"/>
        <v>0</v>
      </c>
      <c r="R9" s="77">
        <f t="shared" si="10"/>
        <v>0</v>
      </c>
      <c r="S9" s="77">
        <f t="shared" si="10"/>
        <v>0</v>
      </c>
      <c r="T9" s="77">
        <f t="shared" si="10"/>
        <v>0</v>
      </c>
      <c r="U9" s="77">
        <f t="shared" si="10"/>
        <v>0</v>
      </c>
      <c r="V9" s="77"/>
      <c r="W9" s="78"/>
      <c r="X9" s="77"/>
      <c r="Y9" s="78"/>
      <c r="Z9" s="77"/>
      <c r="AA9" s="95"/>
      <c r="AB9" s="100">
        <f t="shared" ref="AB9:AG9" si="11">AB7*AB8</f>
        <v>2400000</v>
      </c>
      <c r="AC9" s="77">
        <f t="shared" si="11"/>
        <v>2200000</v>
      </c>
      <c r="AD9" s="77">
        <f t="shared" si="11"/>
        <v>2400000.0000000005</v>
      </c>
      <c r="AE9" s="77">
        <f t="shared" si="11"/>
        <v>6699999.9999999991</v>
      </c>
      <c r="AF9" s="77">
        <f t="shared" si="11"/>
        <v>7200000</v>
      </c>
      <c r="AG9" s="77">
        <f t="shared" si="11"/>
        <v>8330000</v>
      </c>
      <c r="AH9" s="77"/>
      <c r="AI9" s="78"/>
      <c r="AJ9" s="77"/>
      <c r="AK9" s="78"/>
      <c r="AL9" s="77"/>
      <c r="AM9" s="78"/>
      <c r="AN9" s="79"/>
    </row>
  </sheetData>
  <autoFilter ref="B4:AS5" xr:uid="{00000000-0009-0000-0000-000005000000}"/>
  <mergeCells count="16">
    <mergeCell ref="N3:O3"/>
    <mergeCell ref="B7:C7"/>
    <mergeCell ref="B8:C8"/>
    <mergeCell ref="B9:C9"/>
    <mergeCell ref="AN2:AN4"/>
    <mergeCell ref="D2:O2"/>
    <mergeCell ref="D3:K3"/>
    <mergeCell ref="L3:M3"/>
    <mergeCell ref="P2:AA2"/>
    <mergeCell ref="AB2:AM2"/>
    <mergeCell ref="AB3:AI3"/>
    <mergeCell ref="AJ3:AK3"/>
    <mergeCell ref="AL3:AM3"/>
    <mergeCell ref="Z3:AA3"/>
    <mergeCell ref="P3:W3"/>
    <mergeCell ref="X3:Y3"/>
  </mergeCells>
  <phoneticPr fontId="2"/>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R31"/>
  <sheetViews>
    <sheetView topLeftCell="M1" workbookViewId="0">
      <selection activeCell="AE16" sqref="AE15:AL16"/>
    </sheetView>
  </sheetViews>
  <sheetFormatPr defaultRowHeight="18.75" customHeight="1"/>
  <cols>
    <col min="1" max="1" width="30.75" customWidth="1"/>
    <col min="2" max="2" width="21" customWidth="1"/>
    <col min="3" max="5" width="6.625" customWidth="1"/>
    <col min="6" max="8" width="8.5" bestFit="1" customWidth="1"/>
    <col min="9" max="43" width="6.625" customWidth="1"/>
    <col min="44" max="44" width="17.125" customWidth="1"/>
  </cols>
  <sheetData>
    <row r="1" spans="1:43" ht="18"/>
    <row r="2" spans="1:43" ht="18">
      <c r="A2" s="203" t="s">
        <v>203</v>
      </c>
      <c r="B2" s="203" t="s">
        <v>204</v>
      </c>
      <c r="C2" s="207" t="s">
        <v>205</v>
      </c>
      <c r="D2" s="207"/>
      <c r="E2" s="207"/>
      <c r="F2" s="207"/>
      <c r="G2" s="207"/>
      <c r="H2" s="207"/>
      <c r="I2" s="207"/>
      <c r="J2" s="207"/>
      <c r="K2" s="207"/>
      <c r="L2" s="207"/>
      <c r="M2" s="207"/>
      <c r="N2" s="207"/>
      <c r="O2" s="207" t="s">
        <v>206</v>
      </c>
      <c r="P2" s="207"/>
      <c r="Q2" s="207"/>
      <c r="R2" s="207"/>
      <c r="S2" s="207"/>
      <c r="T2" s="207"/>
      <c r="U2" s="207"/>
      <c r="V2" s="207"/>
      <c r="W2" s="207"/>
      <c r="X2" s="207"/>
      <c r="Y2" s="207"/>
      <c r="Z2" s="207"/>
      <c r="AA2" s="201" t="s">
        <v>207</v>
      </c>
      <c r="AB2" s="206"/>
      <c r="AC2" s="206"/>
      <c r="AD2" s="206"/>
      <c r="AE2" s="206"/>
      <c r="AF2" s="206"/>
      <c r="AG2" s="206"/>
      <c r="AH2" s="206"/>
      <c r="AI2" s="206"/>
      <c r="AJ2" s="206"/>
      <c r="AK2" s="206"/>
      <c r="AL2" s="206"/>
      <c r="AM2" s="239" t="s">
        <v>208</v>
      </c>
      <c r="AN2" s="239"/>
      <c r="AO2" s="239"/>
      <c r="AP2" s="239"/>
      <c r="AQ2" s="239"/>
    </row>
    <row r="3" spans="1:43" ht="18">
      <c r="A3" s="204"/>
      <c r="B3" s="204"/>
      <c r="C3" s="111" t="s">
        <v>209</v>
      </c>
      <c r="D3" s="111" t="s">
        <v>210</v>
      </c>
      <c r="E3" s="111" t="s">
        <v>211</v>
      </c>
      <c r="F3" s="111" t="s">
        <v>212</v>
      </c>
      <c r="G3" s="111" t="s">
        <v>213</v>
      </c>
      <c r="H3" s="111" t="s">
        <v>214</v>
      </c>
      <c r="I3" s="111" t="s">
        <v>215</v>
      </c>
      <c r="J3" s="111" t="s">
        <v>216</v>
      </c>
      <c r="K3" s="111" t="s">
        <v>217</v>
      </c>
      <c r="L3" s="111" t="s">
        <v>218</v>
      </c>
      <c r="M3" s="111" t="s">
        <v>219</v>
      </c>
      <c r="N3" s="111" t="s">
        <v>220</v>
      </c>
      <c r="O3" s="111" t="s">
        <v>209</v>
      </c>
      <c r="P3" s="111" t="s">
        <v>210</v>
      </c>
      <c r="Q3" s="111" t="s">
        <v>211</v>
      </c>
      <c r="R3" s="111" t="s">
        <v>212</v>
      </c>
      <c r="S3" s="111" t="s">
        <v>213</v>
      </c>
      <c r="T3" s="111" t="s">
        <v>214</v>
      </c>
      <c r="U3" s="111" t="s">
        <v>215</v>
      </c>
      <c r="V3" s="111" t="s">
        <v>216</v>
      </c>
      <c r="W3" s="111" t="s">
        <v>217</v>
      </c>
      <c r="X3" s="111" t="s">
        <v>218</v>
      </c>
      <c r="Y3" s="111" t="s">
        <v>219</v>
      </c>
      <c r="Z3" s="111" t="s">
        <v>220</v>
      </c>
      <c r="AA3" s="111" t="s">
        <v>209</v>
      </c>
      <c r="AB3" s="111" t="s">
        <v>210</v>
      </c>
      <c r="AC3" s="111" t="s">
        <v>211</v>
      </c>
      <c r="AD3" s="111" t="s">
        <v>212</v>
      </c>
      <c r="AE3" s="111" t="s">
        <v>213</v>
      </c>
      <c r="AF3" s="111" t="s">
        <v>214</v>
      </c>
      <c r="AG3" s="111" t="s">
        <v>215</v>
      </c>
      <c r="AH3" s="111" t="s">
        <v>216</v>
      </c>
      <c r="AI3" s="111" t="s">
        <v>217</v>
      </c>
      <c r="AJ3" s="111" t="s">
        <v>218</v>
      </c>
      <c r="AK3" s="111" t="s">
        <v>219</v>
      </c>
      <c r="AL3" s="117" t="s">
        <v>220</v>
      </c>
      <c r="AM3" s="118" t="s">
        <v>209</v>
      </c>
      <c r="AN3" s="118" t="s">
        <v>210</v>
      </c>
      <c r="AO3" s="118" t="s">
        <v>211</v>
      </c>
      <c r="AP3" s="118" t="s">
        <v>212</v>
      </c>
      <c r="AQ3" s="119" t="s">
        <v>213</v>
      </c>
    </row>
    <row r="4" spans="1:43" ht="18">
      <c r="A4" s="201" t="s">
        <v>221</v>
      </c>
      <c r="B4" s="202"/>
      <c r="C4" s="110"/>
      <c r="D4" s="110"/>
      <c r="E4" s="110"/>
      <c r="F4" s="110"/>
      <c r="G4" s="110"/>
      <c r="H4" s="110"/>
      <c r="I4" s="110"/>
      <c r="J4" s="110"/>
      <c r="K4" s="110" t="s">
        <v>222</v>
      </c>
      <c r="L4" s="110"/>
      <c r="M4" s="110"/>
      <c r="N4" s="110"/>
      <c r="O4" s="110"/>
      <c r="P4" s="110"/>
      <c r="Q4" s="110" t="s">
        <v>223</v>
      </c>
      <c r="R4" s="110"/>
      <c r="S4" s="110"/>
      <c r="T4" s="110"/>
      <c r="U4" s="110"/>
      <c r="V4" s="110"/>
      <c r="W4" s="110"/>
      <c r="X4" s="110"/>
      <c r="Y4" s="110"/>
      <c r="Z4" s="110"/>
      <c r="AA4" s="110"/>
      <c r="AB4" s="110"/>
      <c r="AC4" s="110" t="s">
        <v>224</v>
      </c>
      <c r="AD4" s="110"/>
      <c r="AE4" s="110"/>
      <c r="AF4" s="110"/>
      <c r="AG4" s="110"/>
      <c r="AH4" s="110"/>
      <c r="AI4" s="110"/>
      <c r="AJ4" s="110"/>
      <c r="AK4" s="110"/>
      <c r="AL4" s="115"/>
      <c r="AM4" s="14"/>
      <c r="AN4" s="14"/>
      <c r="AO4" s="14"/>
      <c r="AP4" s="14"/>
      <c r="AQ4" s="14"/>
    </row>
    <row r="5" spans="1:43" ht="18" customHeight="1">
      <c r="A5" s="111" t="s">
        <v>225</v>
      </c>
      <c r="B5" s="111" t="s">
        <v>226</v>
      </c>
      <c r="C5" s="110"/>
      <c r="D5" s="110"/>
      <c r="E5" s="110"/>
      <c r="F5" s="110"/>
      <c r="G5" s="110"/>
      <c r="H5" s="110"/>
      <c r="I5" s="198" t="s">
        <v>227</v>
      </c>
      <c r="J5" s="199"/>
      <c r="K5" s="199"/>
      <c r="L5" s="200"/>
      <c r="M5" s="198" t="s">
        <v>228</v>
      </c>
      <c r="N5" s="200"/>
      <c r="O5" s="198" t="s">
        <v>229</v>
      </c>
      <c r="P5" s="199"/>
      <c r="Q5" s="199"/>
      <c r="R5" s="200"/>
      <c r="S5" s="198" t="s">
        <v>230</v>
      </c>
      <c r="T5" s="200"/>
      <c r="U5" s="198" t="s">
        <v>231</v>
      </c>
      <c r="V5" s="199"/>
      <c r="W5" s="199"/>
      <c r="X5" s="200"/>
      <c r="Y5" s="198" t="s">
        <v>232</v>
      </c>
      <c r="Z5" s="200"/>
      <c r="AA5" s="198" t="s">
        <v>233</v>
      </c>
      <c r="AB5" s="199"/>
      <c r="AC5" s="200"/>
      <c r="AD5" s="110"/>
      <c r="AE5" s="110"/>
      <c r="AF5" s="110"/>
      <c r="AG5" s="110"/>
      <c r="AH5" s="110"/>
      <c r="AI5" s="110"/>
      <c r="AJ5" s="110"/>
      <c r="AK5" s="110"/>
      <c r="AL5" s="115"/>
      <c r="AM5" s="14"/>
      <c r="AN5" s="14"/>
      <c r="AO5" s="14"/>
      <c r="AP5" s="14"/>
      <c r="AQ5" s="14"/>
    </row>
    <row r="6" spans="1:43" ht="18">
      <c r="A6" s="112" t="s">
        <v>234</v>
      </c>
      <c r="B6" s="112" t="s">
        <v>235</v>
      </c>
      <c r="C6" s="110"/>
      <c r="D6" s="110"/>
      <c r="E6" s="110"/>
      <c r="F6" s="110"/>
      <c r="G6" s="110"/>
      <c r="H6" s="110"/>
      <c r="I6" s="110"/>
      <c r="J6" s="110"/>
      <c r="K6" s="110"/>
      <c r="L6" s="110"/>
      <c r="M6" s="110"/>
      <c r="N6" s="110"/>
      <c r="O6" s="110"/>
      <c r="P6" s="110"/>
      <c r="Q6" s="110"/>
      <c r="R6" s="110"/>
      <c r="S6" s="110"/>
      <c r="T6" s="110"/>
      <c r="U6" s="110"/>
      <c r="V6" s="110"/>
      <c r="W6" s="110"/>
      <c r="X6" s="110"/>
      <c r="Y6" s="110"/>
      <c r="Z6" s="110"/>
      <c r="AA6" s="110"/>
      <c r="AB6" s="110"/>
      <c r="AC6" s="110"/>
      <c r="AD6" s="110"/>
      <c r="AE6" s="110"/>
      <c r="AF6" s="110"/>
      <c r="AG6" s="110"/>
      <c r="AH6" s="110"/>
      <c r="AI6" s="110"/>
      <c r="AJ6" s="110"/>
      <c r="AK6" s="110"/>
      <c r="AL6" s="115"/>
      <c r="AM6" s="14"/>
      <c r="AN6" s="14"/>
      <c r="AO6" s="14"/>
      <c r="AP6" s="14"/>
      <c r="AQ6" s="14"/>
    </row>
    <row r="7" spans="1:43" ht="18">
      <c r="A7" s="113" t="s">
        <v>236</v>
      </c>
      <c r="B7" s="113" t="s">
        <v>235</v>
      </c>
      <c r="C7" s="110"/>
      <c r="D7" s="110"/>
      <c r="E7" s="110"/>
      <c r="F7" s="110"/>
      <c r="G7" s="110"/>
      <c r="H7" s="110"/>
      <c r="I7" s="110"/>
      <c r="J7" s="110"/>
      <c r="K7" s="110"/>
      <c r="L7" s="110"/>
      <c r="M7" s="110"/>
      <c r="N7" s="110"/>
      <c r="O7" s="110"/>
      <c r="P7" s="110"/>
      <c r="Q7" s="110"/>
      <c r="R7" s="110"/>
      <c r="S7" s="110"/>
      <c r="T7" s="110"/>
      <c r="U7" s="110"/>
      <c r="V7" s="110"/>
      <c r="W7" s="110"/>
      <c r="X7" s="110"/>
      <c r="Y7" s="110"/>
      <c r="Z7" s="110"/>
      <c r="AA7" s="110"/>
      <c r="AB7" s="110"/>
      <c r="AC7" s="110"/>
      <c r="AD7" s="110"/>
      <c r="AE7" s="110"/>
      <c r="AF7" s="110"/>
      <c r="AG7" s="110"/>
      <c r="AH7" s="110"/>
      <c r="AI7" s="110"/>
      <c r="AJ7" s="110"/>
      <c r="AK7" s="110"/>
      <c r="AL7" s="115"/>
      <c r="AM7" s="14"/>
      <c r="AN7" s="14"/>
      <c r="AO7" s="14"/>
      <c r="AP7" s="14"/>
      <c r="AQ7" s="14"/>
    </row>
    <row r="8" spans="1:43" ht="18">
      <c r="A8" s="113" t="s">
        <v>134</v>
      </c>
      <c r="B8" s="113" t="s">
        <v>235</v>
      </c>
      <c r="C8" s="110"/>
      <c r="D8" s="110"/>
      <c r="E8" s="110"/>
      <c r="F8" s="110"/>
      <c r="G8" s="110"/>
      <c r="H8" s="110"/>
      <c r="I8" s="110"/>
      <c r="J8" s="110"/>
      <c r="K8" s="110"/>
      <c r="L8" s="110"/>
      <c r="M8" s="110"/>
      <c r="N8" s="110"/>
      <c r="O8" s="110"/>
      <c r="P8" s="110"/>
      <c r="Q8" s="110"/>
      <c r="R8" s="110"/>
      <c r="S8" s="110"/>
      <c r="T8" s="110"/>
      <c r="U8" s="110"/>
      <c r="V8" s="110"/>
      <c r="W8" s="110"/>
      <c r="X8" s="110"/>
      <c r="Y8" s="110"/>
      <c r="Z8" s="110"/>
      <c r="AA8" s="110"/>
      <c r="AB8" s="110"/>
      <c r="AC8" s="110"/>
      <c r="AD8" s="110"/>
      <c r="AE8" s="110"/>
      <c r="AF8" s="110"/>
      <c r="AG8" s="110"/>
      <c r="AH8" s="110"/>
      <c r="AI8" s="110"/>
      <c r="AJ8" s="110"/>
      <c r="AK8" s="110"/>
      <c r="AL8" s="115"/>
      <c r="AM8" s="14"/>
      <c r="AN8" s="14"/>
      <c r="AO8" s="14"/>
      <c r="AP8" s="14"/>
      <c r="AQ8" s="14"/>
    </row>
    <row r="9" spans="1:43" ht="18">
      <c r="A9" s="112" t="s">
        <v>237</v>
      </c>
      <c r="B9" s="112" t="s">
        <v>235</v>
      </c>
      <c r="C9" s="110"/>
      <c r="D9" s="110"/>
      <c r="E9" s="110"/>
      <c r="F9" s="110"/>
      <c r="G9" s="110"/>
      <c r="H9" s="110"/>
      <c r="I9" s="110"/>
      <c r="J9" s="110"/>
      <c r="K9" s="110"/>
      <c r="L9" s="110"/>
      <c r="M9" s="110"/>
      <c r="N9" s="110"/>
      <c r="O9" s="110"/>
      <c r="P9" s="110"/>
      <c r="Q9" s="110"/>
      <c r="R9" s="110"/>
      <c r="S9" s="110"/>
      <c r="T9" s="110"/>
      <c r="U9" s="110"/>
      <c r="V9" s="110"/>
      <c r="W9" s="110"/>
      <c r="X9" s="110"/>
      <c r="Y9" s="110"/>
      <c r="Z9" s="110"/>
      <c r="AA9" s="110"/>
      <c r="AB9" s="110"/>
      <c r="AC9" s="110"/>
      <c r="AD9" s="110"/>
      <c r="AE9" s="110"/>
      <c r="AF9" s="110"/>
      <c r="AG9" s="110"/>
      <c r="AH9" s="110"/>
      <c r="AI9" s="110"/>
      <c r="AJ9" s="110"/>
      <c r="AK9" s="110"/>
      <c r="AL9" s="115"/>
      <c r="AM9" s="14"/>
      <c r="AN9" s="14"/>
      <c r="AO9" s="14"/>
      <c r="AP9" s="14"/>
      <c r="AQ9" s="14"/>
    </row>
    <row r="10" spans="1:43" ht="18">
      <c r="A10" s="112" t="s">
        <v>143</v>
      </c>
      <c r="B10" s="112" t="s">
        <v>235</v>
      </c>
      <c r="C10" s="110"/>
      <c r="D10" s="110"/>
      <c r="E10" s="110"/>
      <c r="F10" s="122"/>
      <c r="G10" s="122"/>
      <c r="H10" s="122"/>
      <c r="I10" s="122"/>
      <c r="J10" s="122"/>
      <c r="K10" s="122"/>
      <c r="L10" s="123"/>
      <c r="M10" s="123"/>
      <c r="N10" s="123"/>
      <c r="O10" s="123"/>
      <c r="P10" s="123"/>
      <c r="Q10" s="123"/>
      <c r="R10" s="110"/>
      <c r="S10" s="110"/>
      <c r="T10" s="110"/>
      <c r="U10" s="110"/>
      <c r="V10" s="110"/>
      <c r="W10" s="110"/>
      <c r="X10" s="110"/>
      <c r="Y10" s="110"/>
      <c r="Z10" s="110"/>
      <c r="AA10" s="110"/>
      <c r="AB10" s="110"/>
      <c r="AC10" s="110"/>
      <c r="AD10" s="110"/>
      <c r="AE10" s="110"/>
      <c r="AF10" s="110"/>
      <c r="AG10" s="110"/>
      <c r="AH10" s="110"/>
      <c r="AI10" s="110"/>
      <c r="AJ10" s="110"/>
      <c r="AK10" s="110"/>
      <c r="AL10" s="115"/>
      <c r="AM10" s="14"/>
      <c r="AN10" s="14"/>
      <c r="AO10" s="14"/>
      <c r="AP10" s="14"/>
      <c r="AQ10" s="14"/>
    </row>
    <row r="11" spans="1:43" ht="18" customHeight="1">
      <c r="A11" s="112" t="s">
        <v>238</v>
      </c>
      <c r="B11" s="112" t="s">
        <v>235</v>
      </c>
      <c r="C11" s="110"/>
      <c r="D11" s="110"/>
      <c r="E11" s="115"/>
      <c r="F11" s="120"/>
      <c r="G11" s="120"/>
      <c r="H11" s="120"/>
      <c r="I11" s="120"/>
      <c r="J11" s="120"/>
      <c r="K11" s="120"/>
      <c r="L11" s="120"/>
      <c r="M11" s="120"/>
      <c r="N11" s="120"/>
      <c r="O11" s="120"/>
      <c r="P11" s="120"/>
      <c r="Q11" s="120"/>
      <c r="R11" s="121"/>
      <c r="S11" s="110"/>
      <c r="T11" s="110"/>
      <c r="U11" s="110"/>
      <c r="V11" s="110"/>
      <c r="W11" s="110"/>
      <c r="X11" s="110"/>
      <c r="Y11" s="110"/>
      <c r="Z11" s="110"/>
      <c r="AA11" s="110"/>
      <c r="AB11" s="110"/>
      <c r="AC11" s="110"/>
      <c r="AD11" s="110"/>
      <c r="AE11" s="110"/>
      <c r="AF11" s="110"/>
      <c r="AG11" s="110"/>
      <c r="AH11" s="110"/>
      <c r="AI11" s="110"/>
      <c r="AJ11" s="110"/>
      <c r="AK11" s="110"/>
      <c r="AL11" s="115"/>
      <c r="AM11" s="14"/>
      <c r="AN11" s="14"/>
      <c r="AO11" s="14"/>
      <c r="AP11" s="14"/>
      <c r="AQ11" s="14"/>
    </row>
    <row r="12" spans="1:43" ht="18">
      <c r="A12" s="112" t="s">
        <v>239</v>
      </c>
      <c r="B12" s="112" t="s">
        <v>226</v>
      </c>
      <c r="C12" s="110"/>
      <c r="D12" s="110"/>
      <c r="E12" s="110"/>
      <c r="F12" s="124"/>
      <c r="G12" s="124"/>
      <c r="H12" s="124"/>
      <c r="I12" s="124"/>
      <c r="J12" s="124"/>
      <c r="K12" s="124"/>
      <c r="L12" s="124"/>
      <c r="M12" s="124"/>
      <c r="N12" s="124"/>
      <c r="O12" s="124"/>
      <c r="P12" s="124"/>
      <c r="Q12" s="124"/>
      <c r="R12" s="110"/>
      <c r="S12" s="110"/>
      <c r="T12" s="110"/>
      <c r="U12" s="110"/>
      <c r="V12" s="110"/>
      <c r="W12" s="110"/>
      <c r="X12" s="110"/>
      <c r="Y12" s="110"/>
      <c r="Z12" s="110"/>
      <c r="AA12" s="110"/>
      <c r="AB12" s="110"/>
      <c r="AC12" s="110"/>
      <c r="AD12" s="110"/>
      <c r="AE12" s="110"/>
      <c r="AF12" s="110"/>
      <c r="AG12" s="110"/>
      <c r="AH12" s="110"/>
      <c r="AI12" s="110"/>
      <c r="AJ12" s="110"/>
      <c r="AK12" s="110"/>
      <c r="AL12" s="115"/>
      <c r="AM12" s="14"/>
      <c r="AN12" s="14"/>
      <c r="AO12" s="14"/>
      <c r="AP12" s="14"/>
      <c r="AQ12" s="14"/>
    </row>
    <row r="13" spans="1:43" ht="36">
      <c r="A13" s="112" t="s">
        <v>240</v>
      </c>
      <c r="B13" s="112" t="s">
        <v>226</v>
      </c>
      <c r="C13" s="110"/>
      <c r="D13" s="110"/>
      <c r="E13" s="110"/>
      <c r="F13" s="110"/>
      <c r="G13" s="110"/>
      <c r="H13" s="110"/>
      <c r="I13" s="110"/>
      <c r="J13" s="110"/>
      <c r="K13" s="110"/>
      <c r="L13" s="110"/>
      <c r="M13" s="110"/>
      <c r="N13" s="110"/>
      <c r="O13" s="110"/>
      <c r="P13" s="110"/>
      <c r="Q13" s="110"/>
      <c r="R13" s="110"/>
      <c r="S13" s="110"/>
      <c r="T13" s="110"/>
      <c r="U13" s="110"/>
      <c r="V13" s="110"/>
      <c r="W13" s="110"/>
      <c r="X13" s="110"/>
      <c r="Y13" s="110"/>
      <c r="Z13" s="110"/>
      <c r="AA13" s="110"/>
      <c r="AB13" s="110"/>
      <c r="AC13" s="110"/>
      <c r="AD13" s="110"/>
      <c r="AE13" s="110"/>
      <c r="AF13" s="110"/>
      <c r="AG13" s="110"/>
      <c r="AH13" s="110"/>
      <c r="AI13" s="110"/>
      <c r="AJ13" s="110"/>
      <c r="AK13" s="110"/>
      <c r="AL13" s="115"/>
      <c r="AM13" s="14"/>
      <c r="AN13" s="14"/>
      <c r="AO13" s="14"/>
      <c r="AP13" s="14"/>
      <c r="AQ13" s="14"/>
    </row>
    <row r="14" spans="1:43" ht="18">
      <c r="A14" s="112" t="s">
        <v>241</v>
      </c>
      <c r="B14" s="112" t="s">
        <v>226</v>
      </c>
      <c r="C14" s="110"/>
      <c r="D14" s="110"/>
      <c r="E14" s="110"/>
      <c r="F14" s="110"/>
      <c r="G14" s="110"/>
      <c r="H14" s="110"/>
      <c r="I14" s="110"/>
      <c r="J14" s="110"/>
      <c r="K14" s="110"/>
      <c r="L14" s="110"/>
      <c r="M14" s="110"/>
      <c r="N14" s="110"/>
      <c r="O14" s="110"/>
      <c r="P14" s="110"/>
      <c r="Q14" s="110"/>
      <c r="R14" s="110"/>
      <c r="S14" s="110"/>
      <c r="T14" s="110"/>
      <c r="U14" s="110"/>
      <c r="V14" s="110"/>
      <c r="W14" s="110"/>
      <c r="X14" s="110"/>
      <c r="Y14" s="110"/>
      <c r="Z14" s="110"/>
      <c r="AA14" s="110"/>
      <c r="AB14" s="110"/>
      <c r="AC14" s="110"/>
      <c r="AD14" s="110"/>
      <c r="AE14" s="110"/>
      <c r="AF14" s="110"/>
      <c r="AG14" s="110"/>
      <c r="AH14" s="110"/>
      <c r="AI14" s="110"/>
      <c r="AJ14" s="110"/>
      <c r="AK14" s="110"/>
      <c r="AL14" s="115"/>
      <c r="AM14" s="14"/>
      <c r="AN14" s="14"/>
      <c r="AO14" s="14"/>
      <c r="AP14" s="14"/>
      <c r="AQ14" s="14"/>
    </row>
    <row r="15" spans="1:43" ht="18">
      <c r="A15" s="113" t="s">
        <v>242</v>
      </c>
      <c r="B15" s="113" t="s">
        <v>226</v>
      </c>
      <c r="C15" s="110"/>
      <c r="D15" s="110"/>
      <c r="E15" s="110"/>
      <c r="F15" s="110"/>
      <c r="G15" s="110"/>
      <c r="H15" s="110"/>
      <c r="I15" s="110"/>
      <c r="J15" s="110"/>
      <c r="K15" s="110"/>
      <c r="L15" s="110"/>
      <c r="M15" s="110"/>
      <c r="N15" s="110"/>
      <c r="O15" s="110"/>
      <c r="P15" s="110"/>
      <c r="Q15" s="110"/>
      <c r="R15" s="110"/>
      <c r="S15" s="110"/>
      <c r="T15" s="110"/>
      <c r="U15" s="110"/>
      <c r="V15" s="110"/>
      <c r="W15" s="110"/>
      <c r="X15" s="110"/>
      <c r="Y15" s="110"/>
      <c r="Z15" s="110"/>
      <c r="AA15" s="110"/>
      <c r="AB15" s="110"/>
      <c r="AC15" s="110"/>
      <c r="AD15" s="110"/>
      <c r="AE15" s="110"/>
      <c r="AF15" s="110"/>
      <c r="AG15" s="110"/>
      <c r="AH15" s="110"/>
      <c r="AI15" s="110"/>
      <c r="AJ15" s="110"/>
      <c r="AK15" s="110"/>
      <c r="AL15" s="110"/>
      <c r="AM15" s="110"/>
      <c r="AN15" s="115"/>
      <c r="AO15" s="14"/>
      <c r="AP15" s="14"/>
      <c r="AQ15" s="14"/>
    </row>
    <row r="16" spans="1:43" ht="18"/>
    <row r="17" spans="1:44" ht="18">
      <c r="A17" s="126" t="s">
        <v>243</v>
      </c>
      <c r="B17" s="126"/>
    </row>
    <row r="18" spans="1:44" ht="18">
      <c r="A18" s="111" t="s">
        <v>244</v>
      </c>
      <c r="B18" s="111" t="s">
        <v>235</v>
      </c>
      <c r="C18" s="110"/>
      <c r="D18" s="110"/>
      <c r="E18" s="110"/>
      <c r="F18" s="110"/>
      <c r="G18" s="110"/>
      <c r="H18" s="110"/>
      <c r="I18" s="110"/>
      <c r="J18" s="110"/>
      <c r="K18" s="110"/>
      <c r="L18" s="110"/>
      <c r="M18" s="110"/>
      <c r="N18" s="110"/>
      <c r="O18" s="110"/>
      <c r="P18" s="110"/>
      <c r="Q18" s="110"/>
      <c r="R18" s="110"/>
      <c r="S18" s="110">
        <v>2</v>
      </c>
      <c r="T18" s="110">
        <v>4</v>
      </c>
      <c r="U18" s="110">
        <v>4</v>
      </c>
      <c r="V18" s="110">
        <v>7</v>
      </c>
      <c r="W18" s="110">
        <v>7</v>
      </c>
      <c r="X18" s="110">
        <v>7</v>
      </c>
      <c r="Y18" s="110">
        <v>5</v>
      </c>
      <c r="Z18" s="110">
        <v>3</v>
      </c>
      <c r="AA18" s="110">
        <v>3</v>
      </c>
      <c r="AB18" s="110"/>
      <c r="AC18" s="110"/>
      <c r="AD18" s="110"/>
      <c r="AE18" s="110"/>
      <c r="AF18" s="110"/>
      <c r="AG18" s="110"/>
      <c r="AH18" s="110"/>
      <c r="AI18" s="110"/>
      <c r="AJ18" s="110"/>
      <c r="AK18" s="110"/>
      <c r="AL18" s="110"/>
      <c r="AM18" s="110"/>
      <c r="AN18" s="110"/>
      <c r="AO18" s="110"/>
      <c r="AP18" s="110"/>
      <c r="AQ18" s="110"/>
    </row>
    <row r="19" spans="1:44" ht="18.75" customHeight="1">
      <c r="A19" s="125" t="s">
        <v>245</v>
      </c>
      <c r="B19" s="125" t="s">
        <v>235</v>
      </c>
      <c r="C19" s="124"/>
      <c r="D19" s="124"/>
      <c r="E19" s="124"/>
      <c r="F19" s="124"/>
      <c r="G19" s="124"/>
      <c r="H19" s="124"/>
      <c r="I19" s="124"/>
      <c r="J19" s="124"/>
      <c r="K19" s="124"/>
      <c r="L19" s="124"/>
      <c r="M19" s="124"/>
      <c r="N19" s="124">
        <v>2</v>
      </c>
      <c r="O19" s="124">
        <v>4</v>
      </c>
      <c r="P19" s="124">
        <v>7</v>
      </c>
      <c r="Q19" s="124">
        <v>7</v>
      </c>
      <c r="R19" s="124">
        <v>7</v>
      </c>
      <c r="S19" s="124">
        <v>5</v>
      </c>
      <c r="T19" s="124">
        <v>3</v>
      </c>
      <c r="U19" s="124">
        <v>3</v>
      </c>
      <c r="V19" s="124"/>
      <c r="W19" s="124"/>
      <c r="X19" s="124"/>
      <c r="Y19" s="124"/>
      <c r="Z19" s="124"/>
      <c r="AA19" s="124"/>
      <c r="AB19" s="124"/>
      <c r="AC19" s="124"/>
      <c r="AD19" s="124"/>
      <c r="AE19" s="124"/>
      <c r="AF19" s="124"/>
      <c r="AG19" s="124"/>
      <c r="AH19" s="124"/>
      <c r="AI19" s="124"/>
      <c r="AJ19" s="124"/>
      <c r="AK19" s="124"/>
      <c r="AL19" s="124"/>
      <c r="AM19" s="124"/>
      <c r="AN19" s="124"/>
      <c r="AO19" s="124"/>
      <c r="AP19" s="124"/>
      <c r="AQ19" s="124"/>
    </row>
    <row r="20" spans="1:44" ht="18.75" customHeight="1">
      <c r="A20" s="127" t="s">
        <v>246</v>
      </c>
      <c r="B20" s="127" t="s">
        <v>235</v>
      </c>
      <c r="C20" s="123"/>
      <c r="D20" s="123"/>
      <c r="E20" s="123"/>
      <c r="F20" s="123">
        <v>2</v>
      </c>
      <c r="G20" s="123">
        <v>2</v>
      </c>
      <c r="H20" s="123">
        <v>5</v>
      </c>
      <c r="I20" s="123">
        <v>5</v>
      </c>
      <c r="J20" s="123">
        <v>5</v>
      </c>
      <c r="K20" s="123">
        <v>5</v>
      </c>
      <c r="L20" s="123">
        <v>5</v>
      </c>
      <c r="M20" s="123">
        <v>5</v>
      </c>
      <c r="N20" s="123">
        <v>5</v>
      </c>
      <c r="O20" s="123">
        <v>3</v>
      </c>
      <c r="P20" s="123"/>
      <c r="Q20" s="123"/>
      <c r="R20" s="123"/>
      <c r="S20" s="123"/>
      <c r="T20" s="123"/>
      <c r="U20" s="123"/>
      <c r="V20" s="123"/>
      <c r="W20" s="123"/>
      <c r="X20" s="123"/>
      <c r="Y20" s="123"/>
      <c r="Z20" s="123"/>
      <c r="AA20" s="123"/>
      <c r="AB20" s="123"/>
      <c r="AC20" s="123"/>
      <c r="AD20" s="123"/>
      <c r="AE20" s="123"/>
      <c r="AF20" s="123"/>
      <c r="AG20" s="123"/>
      <c r="AH20" s="123"/>
      <c r="AI20" s="123"/>
      <c r="AJ20" s="123"/>
      <c r="AK20" s="123"/>
      <c r="AL20" s="123"/>
      <c r="AM20" s="123"/>
      <c r="AN20" s="123"/>
      <c r="AO20" s="123"/>
      <c r="AP20" s="123"/>
      <c r="AQ20" s="123"/>
    </row>
    <row r="21" spans="1:44" ht="18.75" customHeight="1">
      <c r="A21" s="127" t="s">
        <v>247</v>
      </c>
      <c r="B21" s="127" t="s">
        <v>226</v>
      </c>
      <c r="C21" s="110"/>
      <c r="D21" s="110"/>
      <c r="E21" s="110"/>
      <c r="F21" s="110"/>
      <c r="G21" s="110"/>
      <c r="H21" s="110"/>
      <c r="I21" s="110"/>
      <c r="J21" s="110"/>
      <c r="K21" s="110"/>
      <c r="L21" s="110"/>
      <c r="M21" s="110"/>
      <c r="N21" s="110"/>
      <c r="O21" s="110"/>
      <c r="P21" s="110"/>
      <c r="Q21" s="110"/>
      <c r="R21" s="110"/>
      <c r="S21" s="110"/>
      <c r="T21" s="110"/>
      <c r="U21" s="110"/>
      <c r="V21" s="110"/>
      <c r="W21" s="110"/>
      <c r="X21" s="110"/>
      <c r="Y21" s="110"/>
      <c r="Z21" s="110"/>
      <c r="AA21" s="110"/>
      <c r="AB21" s="110">
        <v>5</v>
      </c>
      <c r="AC21" s="110">
        <v>5</v>
      </c>
      <c r="AD21" s="110">
        <v>5</v>
      </c>
      <c r="AE21" s="110">
        <v>5</v>
      </c>
      <c r="AF21" s="110">
        <v>5</v>
      </c>
      <c r="AG21" s="110">
        <v>5</v>
      </c>
      <c r="AH21" s="110">
        <v>5</v>
      </c>
      <c r="AI21" s="110">
        <v>5</v>
      </c>
      <c r="AJ21" s="110">
        <v>5</v>
      </c>
      <c r="AK21" s="110">
        <v>5</v>
      </c>
      <c r="AL21" s="110">
        <v>5</v>
      </c>
      <c r="AM21" s="110">
        <v>5</v>
      </c>
      <c r="AN21" s="110">
        <v>4</v>
      </c>
      <c r="AO21" s="110">
        <v>4</v>
      </c>
      <c r="AP21" s="110"/>
      <c r="AQ21" s="110"/>
    </row>
    <row r="22" spans="1:44" ht="18.75" customHeight="1">
      <c r="A22" s="127" t="s">
        <v>248</v>
      </c>
      <c r="B22" s="127" t="s">
        <v>226</v>
      </c>
      <c r="C22" s="123"/>
      <c r="D22" s="123"/>
      <c r="E22" s="123"/>
      <c r="F22" s="123"/>
      <c r="G22" s="123"/>
      <c r="H22" s="123"/>
      <c r="I22" s="123"/>
      <c r="J22" s="123"/>
      <c r="K22" s="123"/>
      <c r="L22" s="123"/>
      <c r="M22" s="123"/>
      <c r="N22" s="123"/>
      <c r="O22" s="123"/>
      <c r="P22" s="123"/>
      <c r="Q22" s="123"/>
      <c r="R22" s="123"/>
      <c r="S22" s="123"/>
      <c r="T22" s="123"/>
      <c r="U22" s="123"/>
      <c r="V22" s="123"/>
      <c r="W22" s="123"/>
      <c r="X22" s="123"/>
      <c r="Y22" s="123"/>
      <c r="Z22" s="123"/>
      <c r="AA22" s="123"/>
      <c r="AB22" s="123"/>
      <c r="AC22" s="123"/>
      <c r="AD22" s="123"/>
      <c r="AE22" s="123">
        <v>2</v>
      </c>
      <c r="AF22" s="123">
        <v>2</v>
      </c>
      <c r="AG22" s="123">
        <v>2</v>
      </c>
      <c r="AH22" s="123">
        <v>2</v>
      </c>
      <c r="AI22" s="123">
        <v>2</v>
      </c>
      <c r="AJ22" s="123">
        <v>2</v>
      </c>
      <c r="AK22" s="123">
        <v>2</v>
      </c>
      <c r="AL22" s="123">
        <v>2</v>
      </c>
      <c r="AM22" s="123">
        <v>2</v>
      </c>
      <c r="AN22" s="123">
        <v>2</v>
      </c>
      <c r="AO22" s="123">
        <v>2</v>
      </c>
      <c r="AP22" s="123"/>
      <c r="AQ22" s="123"/>
    </row>
    <row r="23" spans="1:44" ht="18.75" customHeight="1">
      <c r="A23" s="205" t="s">
        <v>249</v>
      </c>
      <c r="B23" s="205"/>
      <c r="C23" s="128">
        <f>SUM(C18:C22)</f>
        <v>0</v>
      </c>
      <c r="D23" s="120">
        <f t="shared" ref="D23:AQ23" si="0">SUM(D18:D22)</f>
        <v>0</v>
      </c>
      <c r="E23" s="120">
        <f t="shared" si="0"/>
        <v>0</v>
      </c>
      <c r="F23" s="120">
        <f t="shared" si="0"/>
        <v>2</v>
      </c>
      <c r="G23" s="120">
        <f t="shared" si="0"/>
        <v>2</v>
      </c>
      <c r="H23" s="120">
        <f t="shared" si="0"/>
        <v>5</v>
      </c>
      <c r="I23" s="120">
        <f t="shared" si="0"/>
        <v>5</v>
      </c>
      <c r="J23" s="120">
        <f t="shared" si="0"/>
        <v>5</v>
      </c>
      <c r="K23" s="120">
        <f t="shared" si="0"/>
        <v>5</v>
      </c>
      <c r="L23" s="120">
        <f t="shared" si="0"/>
        <v>5</v>
      </c>
      <c r="M23" s="120">
        <f t="shared" si="0"/>
        <v>5</v>
      </c>
      <c r="N23" s="120">
        <f t="shared" si="0"/>
        <v>7</v>
      </c>
      <c r="O23" s="120">
        <f t="shared" si="0"/>
        <v>7</v>
      </c>
      <c r="P23" s="120">
        <f t="shared" si="0"/>
        <v>7</v>
      </c>
      <c r="Q23" s="120">
        <f t="shared" si="0"/>
        <v>7</v>
      </c>
      <c r="R23" s="120">
        <f t="shared" si="0"/>
        <v>7</v>
      </c>
      <c r="S23" s="120">
        <f t="shared" si="0"/>
        <v>7</v>
      </c>
      <c r="T23" s="120">
        <f t="shared" si="0"/>
        <v>7</v>
      </c>
      <c r="U23" s="120">
        <f t="shared" si="0"/>
        <v>7</v>
      </c>
      <c r="V23" s="120">
        <f t="shared" si="0"/>
        <v>7</v>
      </c>
      <c r="W23" s="120">
        <f t="shared" si="0"/>
        <v>7</v>
      </c>
      <c r="X23" s="120">
        <f t="shared" si="0"/>
        <v>7</v>
      </c>
      <c r="Y23" s="120">
        <f t="shared" si="0"/>
        <v>5</v>
      </c>
      <c r="Z23" s="120">
        <f t="shared" si="0"/>
        <v>3</v>
      </c>
      <c r="AA23" s="120">
        <f t="shared" si="0"/>
        <v>3</v>
      </c>
      <c r="AB23" s="120">
        <f t="shared" si="0"/>
        <v>5</v>
      </c>
      <c r="AC23" s="120">
        <f t="shared" si="0"/>
        <v>5</v>
      </c>
      <c r="AD23" s="120">
        <f t="shared" si="0"/>
        <v>5</v>
      </c>
      <c r="AE23" s="120">
        <f t="shared" si="0"/>
        <v>7</v>
      </c>
      <c r="AF23" s="120">
        <f t="shared" si="0"/>
        <v>7</v>
      </c>
      <c r="AG23" s="120">
        <f t="shared" si="0"/>
        <v>7</v>
      </c>
      <c r="AH23" s="120">
        <f t="shared" si="0"/>
        <v>7</v>
      </c>
      <c r="AI23" s="120">
        <f t="shared" si="0"/>
        <v>7</v>
      </c>
      <c r="AJ23" s="120">
        <f t="shared" si="0"/>
        <v>7</v>
      </c>
      <c r="AK23" s="120">
        <f t="shared" si="0"/>
        <v>7</v>
      </c>
      <c r="AL23" s="120">
        <f t="shared" si="0"/>
        <v>7</v>
      </c>
      <c r="AM23" s="120">
        <f t="shared" si="0"/>
        <v>7</v>
      </c>
      <c r="AN23" s="120">
        <f t="shared" si="0"/>
        <v>6</v>
      </c>
      <c r="AO23" s="120">
        <f t="shared" si="0"/>
        <v>6</v>
      </c>
      <c r="AP23" s="120">
        <f t="shared" si="0"/>
        <v>0</v>
      </c>
      <c r="AQ23" s="120">
        <f t="shared" si="0"/>
        <v>0</v>
      </c>
    </row>
    <row r="24" spans="1:44" ht="18.75" customHeight="1">
      <c r="A24" s="196" t="s">
        <v>250</v>
      </c>
      <c r="B24" t="s">
        <v>251</v>
      </c>
      <c r="C24">
        <f>C23*1000000</f>
        <v>0</v>
      </c>
      <c r="D24">
        <f t="shared" ref="D24:AQ24" si="1">D23*1000000</f>
        <v>0</v>
      </c>
      <c r="E24">
        <f t="shared" si="1"/>
        <v>0</v>
      </c>
      <c r="F24">
        <f t="shared" si="1"/>
        <v>2000000</v>
      </c>
      <c r="G24">
        <f t="shared" si="1"/>
        <v>2000000</v>
      </c>
      <c r="H24">
        <f t="shared" si="1"/>
        <v>5000000</v>
      </c>
      <c r="I24">
        <f t="shared" si="1"/>
        <v>5000000</v>
      </c>
      <c r="J24">
        <f t="shared" si="1"/>
        <v>5000000</v>
      </c>
      <c r="K24">
        <f t="shared" si="1"/>
        <v>5000000</v>
      </c>
      <c r="L24">
        <f t="shared" si="1"/>
        <v>5000000</v>
      </c>
      <c r="M24">
        <f t="shared" si="1"/>
        <v>5000000</v>
      </c>
      <c r="N24">
        <f t="shared" si="1"/>
        <v>7000000</v>
      </c>
      <c r="O24">
        <f t="shared" si="1"/>
        <v>7000000</v>
      </c>
      <c r="P24">
        <f t="shared" si="1"/>
        <v>7000000</v>
      </c>
      <c r="Q24">
        <f t="shared" si="1"/>
        <v>7000000</v>
      </c>
      <c r="R24">
        <f t="shared" si="1"/>
        <v>7000000</v>
      </c>
      <c r="S24">
        <f t="shared" si="1"/>
        <v>7000000</v>
      </c>
      <c r="T24">
        <f t="shared" si="1"/>
        <v>7000000</v>
      </c>
      <c r="U24">
        <f t="shared" si="1"/>
        <v>7000000</v>
      </c>
      <c r="V24">
        <f t="shared" si="1"/>
        <v>7000000</v>
      </c>
      <c r="W24">
        <f t="shared" si="1"/>
        <v>7000000</v>
      </c>
      <c r="X24">
        <f t="shared" si="1"/>
        <v>7000000</v>
      </c>
      <c r="Y24">
        <f t="shared" si="1"/>
        <v>5000000</v>
      </c>
      <c r="Z24">
        <f t="shared" si="1"/>
        <v>3000000</v>
      </c>
      <c r="AA24">
        <f t="shared" si="1"/>
        <v>3000000</v>
      </c>
      <c r="AB24">
        <f t="shared" si="1"/>
        <v>5000000</v>
      </c>
      <c r="AC24">
        <f t="shared" si="1"/>
        <v>5000000</v>
      </c>
      <c r="AD24">
        <f t="shared" si="1"/>
        <v>5000000</v>
      </c>
      <c r="AE24">
        <f t="shared" si="1"/>
        <v>7000000</v>
      </c>
      <c r="AF24">
        <f t="shared" si="1"/>
        <v>7000000</v>
      </c>
      <c r="AG24">
        <f t="shared" si="1"/>
        <v>7000000</v>
      </c>
      <c r="AH24">
        <f t="shared" si="1"/>
        <v>7000000</v>
      </c>
      <c r="AI24">
        <f t="shared" si="1"/>
        <v>7000000</v>
      </c>
      <c r="AJ24">
        <f t="shared" si="1"/>
        <v>7000000</v>
      </c>
      <c r="AK24">
        <f t="shared" si="1"/>
        <v>7000000</v>
      </c>
      <c r="AL24">
        <f t="shared" si="1"/>
        <v>7000000</v>
      </c>
      <c r="AM24">
        <f t="shared" si="1"/>
        <v>7000000</v>
      </c>
      <c r="AN24">
        <f t="shared" si="1"/>
        <v>6000000</v>
      </c>
      <c r="AO24">
        <f t="shared" si="1"/>
        <v>6000000</v>
      </c>
      <c r="AP24">
        <f t="shared" si="1"/>
        <v>0</v>
      </c>
      <c r="AQ24">
        <f t="shared" si="1"/>
        <v>0</v>
      </c>
      <c r="AR24" s="129">
        <f>SUM(C24:AQ24)</f>
        <v>212000000</v>
      </c>
    </row>
    <row r="25" spans="1:44" ht="18.75" customHeight="1">
      <c r="A25" s="197"/>
      <c r="B25" t="s">
        <v>252</v>
      </c>
      <c r="C25">
        <f>C23*800000</f>
        <v>0</v>
      </c>
      <c r="D25">
        <f t="shared" ref="D25:AQ25" si="2">D23*800000</f>
        <v>0</v>
      </c>
      <c r="E25">
        <f t="shared" si="2"/>
        <v>0</v>
      </c>
      <c r="F25">
        <f t="shared" si="2"/>
        <v>1600000</v>
      </c>
      <c r="G25">
        <f t="shared" si="2"/>
        <v>1600000</v>
      </c>
      <c r="H25">
        <f t="shared" si="2"/>
        <v>4000000</v>
      </c>
      <c r="I25">
        <f t="shared" si="2"/>
        <v>4000000</v>
      </c>
      <c r="J25">
        <f t="shared" si="2"/>
        <v>4000000</v>
      </c>
      <c r="K25">
        <f t="shared" si="2"/>
        <v>4000000</v>
      </c>
      <c r="L25">
        <f t="shared" si="2"/>
        <v>4000000</v>
      </c>
      <c r="M25">
        <f t="shared" si="2"/>
        <v>4000000</v>
      </c>
      <c r="N25">
        <f t="shared" si="2"/>
        <v>5600000</v>
      </c>
      <c r="O25">
        <f t="shared" si="2"/>
        <v>5600000</v>
      </c>
      <c r="P25">
        <f t="shared" si="2"/>
        <v>5600000</v>
      </c>
      <c r="Q25">
        <f t="shared" si="2"/>
        <v>5600000</v>
      </c>
      <c r="R25">
        <f t="shared" si="2"/>
        <v>5600000</v>
      </c>
      <c r="S25">
        <f t="shared" si="2"/>
        <v>5600000</v>
      </c>
      <c r="T25">
        <f t="shared" si="2"/>
        <v>5600000</v>
      </c>
      <c r="U25">
        <f t="shared" si="2"/>
        <v>5600000</v>
      </c>
      <c r="V25">
        <f t="shared" si="2"/>
        <v>5600000</v>
      </c>
      <c r="W25">
        <f t="shared" si="2"/>
        <v>5600000</v>
      </c>
      <c r="X25">
        <f t="shared" si="2"/>
        <v>5600000</v>
      </c>
      <c r="Y25">
        <f t="shared" si="2"/>
        <v>4000000</v>
      </c>
      <c r="Z25">
        <f t="shared" si="2"/>
        <v>2400000</v>
      </c>
      <c r="AA25">
        <f t="shared" si="2"/>
        <v>2400000</v>
      </c>
      <c r="AB25">
        <f t="shared" si="2"/>
        <v>4000000</v>
      </c>
      <c r="AC25">
        <f t="shared" si="2"/>
        <v>4000000</v>
      </c>
      <c r="AD25">
        <f t="shared" si="2"/>
        <v>4000000</v>
      </c>
      <c r="AE25">
        <f t="shared" si="2"/>
        <v>5600000</v>
      </c>
      <c r="AF25">
        <f t="shared" si="2"/>
        <v>5600000</v>
      </c>
      <c r="AG25">
        <f t="shared" si="2"/>
        <v>5600000</v>
      </c>
      <c r="AH25">
        <f t="shared" si="2"/>
        <v>5600000</v>
      </c>
      <c r="AI25">
        <f t="shared" si="2"/>
        <v>5600000</v>
      </c>
      <c r="AJ25">
        <f t="shared" si="2"/>
        <v>5600000</v>
      </c>
      <c r="AK25">
        <f t="shared" si="2"/>
        <v>5600000</v>
      </c>
      <c r="AL25">
        <f t="shared" si="2"/>
        <v>5600000</v>
      </c>
      <c r="AM25">
        <f t="shared" si="2"/>
        <v>5600000</v>
      </c>
      <c r="AN25">
        <f t="shared" si="2"/>
        <v>4800000</v>
      </c>
      <c r="AO25">
        <f t="shared" si="2"/>
        <v>4800000</v>
      </c>
      <c r="AP25">
        <f t="shared" si="2"/>
        <v>0</v>
      </c>
      <c r="AQ25">
        <f t="shared" si="2"/>
        <v>0</v>
      </c>
      <c r="AR25" s="129">
        <f>SUM(C25:AQ25)</f>
        <v>169600000</v>
      </c>
    </row>
    <row r="26" spans="1:44" ht="18.75" customHeight="1">
      <c r="A26" s="197" t="s">
        <v>253</v>
      </c>
      <c r="B26" t="s">
        <v>254</v>
      </c>
      <c r="F26">
        <v>1400000</v>
      </c>
      <c r="G26">
        <v>1400000</v>
      </c>
      <c r="H26">
        <v>1400000</v>
      </c>
      <c r="I26">
        <v>1400000</v>
      </c>
      <c r="J26">
        <v>1400000</v>
      </c>
      <c r="K26">
        <v>1400000</v>
      </c>
      <c r="L26">
        <v>1400000</v>
      </c>
      <c r="M26">
        <v>1400000</v>
      </c>
      <c r="N26">
        <v>1400000</v>
      </c>
      <c r="O26">
        <v>1400000</v>
      </c>
      <c r="P26">
        <v>1400000</v>
      </c>
      <c r="Q26">
        <v>1400000</v>
      </c>
      <c r="R26">
        <v>1400000</v>
      </c>
      <c r="S26">
        <v>1400000</v>
      </c>
      <c r="T26">
        <v>1400000</v>
      </c>
      <c r="U26">
        <v>1400000</v>
      </c>
      <c r="V26">
        <v>1400000</v>
      </c>
      <c r="W26">
        <v>1400000</v>
      </c>
      <c r="X26">
        <v>1400000</v>
      </c>
      <c r="Y26">
        <v>1400000</v>
      </c>
      <c r="Z26">
        <v>1400000</v>
      </c>
      <c r="AA26">
        <v>1400000</v>
      </c>
      <c r="AB26">
        <v>1400000</v>
      </c>
      <c r="AC26">
        <v>1400000</v>
      </c>
      <c r="AD26">
        <v>1400000</v>
      </c>
      <c r="AE26">
        <v>1400000</v>
      </c>
      <c r="AF26">
        <v>1400000</v>
      </c>
      <c r="AG26">
        <v>1400000</v>
      </c>
      <c r="AH26">
        <v>1400000</v>
      </c>
      <c r="AI26">
        <v>1400000</v>
      </c>
      <c r="AJ26">
        <v>1400000</v>
      </c>
      <c r="AK26">
        <v>1400000</v>
      </c>
      <c r="AL26">
        <v>1400000</v>
      </c>
      <c r="AM26">
        <v>1400000</v>
      </c>
      <c r="AN26">
        <v>1400000</v>
      </c>
      <c r="AO26">
        <v>1400000</v>
      </c>
      <c r="AR26" s="129">
        <f>SUM(C26:AQ26)</f>
        <v>50400000</v>
      </c>
    </row>
    <row r="27" spans="1:44" ht="18.75" customHeight="1">
      <c r="A27" s="197"/>
      <c r="B27" t="s">
        <v>255</v>
      </c>
      <c r="F27">
        <v>1000000</v>
      </c>
      <c r="G27">
        <v>1000000</v>
      </c>
      <c r="H27">
        <v>1000000</v>
      </c>
      <c r="I27">
        <v>1000000</v>
      </c>
      <c r="J27">
        <v>1000000</v>
      </c>
      <c r="K27">
        <v>1000000</v>
      </c>
      <c r="L27">
        <v>1000000</v>
      </c>
      <c r="M27">
        <v>1000000</v>
      </c>
      <c r="N27">
        <v>1000000</v>
      </c>
      <c r="O27">
        <v>1000000</v>
      </c>
      <c r="P27">
        <v>1000000</v>
      </c>
      <c r="Q27">
        <v>1000000</v>
      </c>
      <c r="R27">
        <v>1000000</v>
      </c>
      <c r="S27">
        <v>1000000</v>
      </c>
      <c r="T27">
        <v>1000000</v>
      </c>
      <c r="U27">
        <v>1000000</v>
      </c>
      <c r="V27">
        <v>1000000</v>
      </c>
      <c r="W27">
        <v>1000000</v>
      </c>
      <c r="X27">
        <v>1000000</v>
      </c>
      <c r="Y27">
        <v>1000000</v>
      </c>
      <c r="Z27">
        <v>1000000</v>
      </c>
      <c r="AA27">
        <v>1000000</v>
      </c>
      <c r="AB27">
        <v>1000000</v>
      </c>
      <c r="AC27">
        <v>1000000</v>
      </c>
      <c r="AD27">
        <v>1000000</v>
      </c>
      <c r="AE27">
        <v>1000000</v>
      </c>
      <c r="AF27">
        <v>1000000</v>
      </c>
      <c r="AG27">
        <v>1000000</v>
      </c>
      <c r="AH27">
        <v>1000000</v>
      </c>
      <c r="AI27">
        <v>1000000</v>
      </c>
      <c r="AJ27">
        <v>1000000</v>
      </c>
      <c r="AK27">
        <v>1000000</v>
      </c>
      <c r="AL27">
        <v>1000000</v>
      </c>
      <c r="AM27">
        <v>1000000</v>
      </c>
      <c r="AN27">
        <v>1000000</v>
      </c>
      <c r="AO27">
        <v>1000000</v>
      </c>
      <c r="AR27" s="129">
        <f>SUM(C27:AQ27)</f>
        <v>36000000</v>
      </c>
    </row>
    <row r="28" spans="1:44" ht="18.75" customHeight="1">
      <c r="AP28" s="195" t="s">
        <v>256</v>
      </c>
      <c r="AQ28" s="195"/>
      <c r="AR28" s="130">
        <f>AR24+AR26</f>
        <v>262400000</v>
      </c>
    </row>
    <row r="29" spans="1:44" ht="18.75" customHeight="1">
      <c r="AP29" s="195" t="s">
        <v>257</v>
      </c>
      <c r="AQ29" s="195"/>
      <c r="AR29" s="130">
        <f>AR25+AR27</f>
        <v>205600000</v>
      </c>
    </row>
    <row r="30" spans="1:44" ht="18.75" customHeight="1">
      <c r="AP30" s="195" t="s">
        <v>258</v>
      </c>
      <c r="AQ30" s="195"/>
      <c r="AR30" s="130">
        <f>AR28-AR29</f>
        <v>56800000</v>
      </c>
    </row>
    <row r="31" spans="1:44" ht="18.75" customHeight="1">
      <c r="AP31" s="195" t="s">
        <v>259</v>
      </c>
      <c r="AQ31" s="195"/>
      <c r="AR31" s="131">
        <f>AR30/AR28</f>
        <v>0.21646341463414634</v>
      </c>
    </row>
  </sheetData>
  <mergeCells count="21">
    <mergeCell ref="A4:B4"/>
    <mergeCell ref="B2:B3"/>
    <mergeCell ref="A2:A3"/>
    <mergeCell ref="A23:B23"/>
    <mergeCell ref="AA2:AL2"/>
    <mergeCell ref="C2:N2"/>
    <mergeCell ref="O2:Z2"/>
    <mergeCell ref="AM2:AQ2"/>
    <mergeCell ref="I5:L5"/>
    <mergeCell ref="M5:N5"/>
    <mergeCell ref="O5:R5"/>
    <mergeCell ref="S5:T5"/>
    <mergeCell ref="U5:X5"/>
    <mergeCell ref="Y5:Z5"/>
    <mergeCell ref="AA5:AC5"/>
    <mergeCell ref="AP31:AQ31"/>
    <mergeCell ref="A24:A25"/>
    <mergeCell ref="A26:A27"/>
    <mergeCell ref="AP28:AQ28"/>
    <mergeCell ref="AP29:AQ29"/>
    <mergeCell ref="AP30:AQ30"/>
  </mergeCells>
  <phoneticPr fontId="2"/>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T19"/>
  <sheetViews>
    <sheetView topLeftCell="A4" zoomScale="80" zoomScaleNormal="80" workbookViewId="0">
      <selection activeCell="D8" sqref="D8"/>
    </sheetView>
  </sheetViews>
  <sheetFormatPr defaultColWidth="8.625" defaultRowHeight="18"/>
  <cols>
    <col min="1" max="1" width="2.625" style="21" customWidth="1"/>
    <col min="2" max="2" width="4.125" style="21" bestFit="1" customWidth="1"/>
    <col min="3" max="3" width="37.625" style="21" customWidth="1"/>
    <col min="4" max="4" width="44.625" style="21" customWidth="1"/>
    <col min="5" max="19" width="9.875" style="21" customWidth="1"/>
    <col min="20" max="20" width="53.125" style="21" customWidth="1"/>
    <col min="21" max="16384" width="8.625" style="21"/>
  </cols>
  <sheetData>
    <row r="1" spans="2:20" ht="18.600000000000001" thickBot="1">
      <c r="C1" s="21" t="s">
        <v>260</v>
      </c>
    </row>
    <row r="2" spans="2:20">
      <c r="D2" s="50" t="s">
        <v>181</v>
      </c>
      <c r="E2" s="211" t="s">
        <v>182</v>
      </c>
      <c r="F2" s="212"/>
      <c r="G2" s="212"/>
      <c r="H2" s="212"/>
      <c r="I2" s="213"/>
      <c r="J2" s="214" t="s">
        <v>4</v>
      </c>
      <c r="K2" s="212"/>
      <c r="L2" s="212"/>
      <c r="M2" s="212"/>
      <c r="N2" s="213"/>
      <c r="O2" s="214" t="s">
        <v>183</v>
      </c>
      <c r="P2" s="212"/>
      <c r="Q2" s="212"/>
      <c r="R2" s="212"/>
      <c r="S2" s="213"/>
    </row>
    <row r="3" spans="2:20">
      <c r="B3" s="19"/>
      <c r="C3" s="19"/>
      <c r="D3" s="20"/>
      <c r="E3" s="208" t="s">
        <v>261</v>
      </c>
      <c r="F3" s="209"/>
      <c r="G3" s="209"/>
      <c r="H3" s="210"/>
      <c r="I3" s="38"/>
      <c r="J3" s="208" t="s">
        <v>261</v>
      </c>
      <c r="K3" s="209"/>
      <c r="L3" s="209"/>
      <c r="M3" s="210"/>
      <c r="N3" s="38"/>
      <c r="O3" s="208" t="s">
        <v>261</v>
      </c>
      <c r="P3" s="209"/>
      <c r="Q3" s="209"/>
      <c r="R3" s="210"/>
      <c r="S3" s="38"/>
      <c r="T3" s="19"/>
    </row>
    <row r="4" spans="2:20" ht="39.75" customHeight="1">
      <c r="B4" s="22" t="s">
        <v>188</v>
      </c>
      <c r="C4" s="22" t="s">
        <v>262</v>
      </c>
      <c r="D4" s="22" t="s">
        <v>263</v>
      </c>
      <c r="E4" s="39" t="s">
        <v>264</v>
      </c>
      <c r="F4" s="23" t="s">
        <v>192</v>
      </c>
      <c r="G4" s="23" t="s">
        <v>265</v>
      </c>
      <c r="H4" s="23" t="s">
        <v>195</v>
      </c>
      <c r="I4" s="40" t="s">
        <v>266</v>
      </c>
      <c r="J4" s="39" t="s">
        <v>264</v>
      </c>
      <c r="K4" s="23" t="s">
        <v>192</v>
      </c>
      <c r="L4" s="23" t="s">
        <v>265</v>
      </c>
      <c r="M4" s="23" t="s">
        <v>195</v>
      </c>
      <c r="N4" s="40" t="s">
        <v>266</v>
      </c>
      <c r="O4" s="39" t="s">
        <v>264</v>
      </c>
      <c r="P4" s="23" t="s">
        <v>192</v>
      </c>
      <c r="Q4" s="23" t="s">
        <v>265</v>
      </c>
      <c r="R4" s="23" t="s">
        <v>195</v>
      </c>
      <c r="S4" s="40" t="s">
        <v>266</v>
      </c>
      <c r="T4" s="22" t="s">
        <v>184</v>
      </c>
    </row>
    <row r="5" spans="2:20" ht="36">
      <c r="B5" s="24">
        <v>1</v>
      </c>
      <c r="C5" s="24" t="s">
        <v>267</v>
      </c>
      <c r="D5" s="25" t="s">
        <v>268</v>
      </c>
      <c r="E5" s="41">
        <v>1</v>
      </c>
      <c r="F5" s="26">
        <v>0.5</v>
      </c>
      <c r="G5" s="26">
        <v>1</v>
      </c>
      <c r="H5" s="26">
        <f>SUM(E5:G5)*0.15</f>
        <v>0.375</v>
      </c>
      <c r="I5" s="42">
        <f>SUM(E5:H5)</f>
        <v>2.875</v>
      </c>
      <c r="J5" s="41">
        <v>1</v>
      </c>
      <c r="K5" s="26">
        <v>0.5</v>
      </c>
      <c r="L5" s="26">
        <v>1</v>
      </c>
      <c r="M5" s="26">
        <f>SUM(J5:L5)*0.15</f>
        <v>0.375</v>
      </c>
      <c r="N5" s="42">
        <f>SUM(J5:M5)</f>
        <v>2.875</v>
      </c>
      <c r="O5" s="41"/>
      <c r="P5" s="26"/>
      <c r="Q5" s="26"/>
      <c r="R5" s="26">
        <f>SUM(O5:Q5)*0.15</f>
        <v>0</v>
      </c>
      <c r="S5" s="42">
        <f>SUM(O5:R5)</f>
        <v>0</v>
      </c>
      <c r="T5" s="24"/>
    </row>
    <row r="6" spans="2:20">
      <c r="B6" s="24">
        <v>2</v>
      </c>
      <c r="C6" s="24" t="s">
        <v>267</v>
      </c>
      <c r="D6" s="25" t="s">
        <v>269</v>
      </c>
      <c r="E6" s="41">
        <v>1.25</v>
      </c>
      <c r="F6" s="26">
        <v>0.5</v>
      </c>
      <c r="G6" s="26">
        <v>1</v>
      </c>
      <c r="H6" s="26">
        <f t="shared" ref="H6:H14" si="0">SUM(E6:G6)*0.15</f>
        <v>0.41249999999999998</v>
      </c>
      <c r="I6" s="42">
        <f t="shared" ref="I6:I14" si="1">SUM(E6:H6)</f>
        <v>3.1625000000000001</v>
      </c>
      <c r="J6" s="41">
        <v>0.25</v>
      </c>
      <c r="K6" s="26">
        <v>0.25</v>
      </c>
      <c r="L6" s="26">
        <v>0.5</v>
      </c>
      <c r="M6" s="26">
        <f t="shared" ref="M6:M14" si="2">SUM(J6:L6)*0.15</f>
        <v>0.15</v>
      </c>
      <c r="N6" s="42">
        <f t="shared" ref="N6:N13" si="3">SUM(J6:M6)</f>
        <v>1.1499999999999999</v>
      </c>
      <c r="O6" s="41"/>
      <c r="P6" s="26"/>
      <c r="Q6" s="26"/>
      <c r="R6" s="26"/>
      <c r="S6" s="42"/>
      <c r="T6" s="24"/>
    </row>
    <row r="7" spans="2:20">
      <c r="B7" s="24">
        <v>3</v>
      </c>
      <c r="C7" s="24" t="s">
        <v>270</v>
      </c>
      <c r="D7" s="24" t="s">
        <v>271</v>
      </c>
      <c r="E7" s="41">
        <v>1</v>
      </c>
      <c r="F7" s="26">
        <v>1</v>
      </c>
      <c r="G7" s="26">
        <v>0.5</v>
      </c>
      <c r="H7" s="26">
        <f t="shared" si="0"/>
        <v>0.375</v>
      </c>
      <c r="I7" s="42">
        <f t="shared" si="1"/>
        <v>2.875</v>
      </c>
      <c r="J7" s="41">
        <v>0.5</v>
      </c>
      <c r="K7" s="26">
        <v>0.5</v>
      </c>
      <c r="L7" s="26">
        <v>0.5</v>
      </c>
      <c r="M7" s="26">
        <f t="shared" si="2"/>
        <v>0.22499999999999998</v>
      </c>
      <c r="N7" s="42">
        <f t="shared" si="3"/>
        <v>1.7250000000000001</v>
      </c>
      <c r="O7" s="41"/>
      <c r="P7" s="26"/>
      <c r="Q7" s="26"/>
      <c r="R7" s="26">
        <f t="shared" ref="R7" si="4">SUM(O7:Q7)*0.15</f>
        <v>0</v>
      </c>
      <c r="S7" s="42">
        <f t="shared" ref="S7" si="5">SUM(O7:R7)</f>
        <v>0</v>
      </c>
      <c r="T7" s="27"/>
    </row>
    <row r="8" spans="2:20">
      <c r="B8" s="24">
        <v>4</v>
      </c>
      <c r="C8" s="24" t="s">
        <v>272</v>
      </c>
      <c r="D8" s="25" t="s">
        <v>273</v>
      </c>
      <c r="E8" s="41">
        <v>0.25</v>
      </c>
      <c r="F8" s="26">
        <v>0.1</v>
      </c>
      <c r="G8" s="26">
        <v>0.1</v>
      </c>
      <c r="H8" s="26">
        <f t="shared" si="0"/>
        <v>6.7499999999999991E-2</v>
      </c>
      <c r="I8" s="42">
        <f t="shared" si="1"/>
        <v>0.51749999999999996</v>
      </c>
      <c r="J8" s="41">
        <v>0.1</v>
      </c>
      <c r="K8" s="51">
        <v>0.1</v>
      </c>
      <c r="L8" s="51">
        <v>0.25</v>
      </c>
      <c r="M8" s="26">
        <f t="shared" si="2"/>
        <v>6.7500000000000004E-2</v>
      </c>
      <c r="N8" s="42">
        <f t="shared" si="3"/>
        <v>0.51750000000000007</v>
      </c>
      <c r="O8" s="41"/>
      <c r="P8" s="26"/>
      <c r="Q8" s="26"/>
      <c r="R8" s="26">
        <f t="shared" ref="R8:R14" si="6">SUM(O8:Q8)*0.15</f>
        <v>0</v>
      </c>
      <c r="S8" s="42">
        <f t="shared" ref="S8:S14" si="7">SUM(O8:R8)</f>
        <v>0</v>
      </c>
      <c r="T8" s="27"/>
    </row>
    <row r="9" spans="2:20">
      <c r="B9" s="24">
        <v>5</v>
      </c>
      <c r="C9" s="24" t="s">
        <v>272</v>
      </c>
      <c r="D9" s="25" t="s">
        <v>274</v>
      </c>
      <c r="E9" s="41">
        <v>1.5</v>
      </c>
      <c r="F9" s="26">
        <v>1</v>
      </c>
      <c r="G9" s="26">
        <v>0.5</v>
      </c>
      <c r="H9" s="26">
        <f t="shared" si="0"/>
        <v>0.44999999999999996</v>
      </c>
      <c r="I9" s="42">
        <f t="shared" si="1"/>
        <v>3.45</v>
      </c>
      <c r="J9" s="41"/>
      <c r="K9" s="26"/>
      <c r="L9" s="26"/>
      <c r="M9" s="26">
        <f t="shared" si="2"/>
        <v>0</v>
      </c>
      <c r="N9" s="42">
        <f t="shared" si="3"/>
        <v>0</v>
      </c>
      <c r="O9" s="41"/>
      <c r="P9" s="26"/>
      <c r="Q9" s="26"/>
      <c r="R9" s="26"/>
      <c r="S9" s="42"/>
      <c r="T9" s="27"/>
    </row>
    <row r="10" spans="2:20" ht="36">
      <c r="B10" s="24">
        <v>6</v>
      </c>
      <c r="C10" s="24" t="s">
        <v>272</v>
      </c>
      <c r="D10" s="25" t="s">
        <v>275</v>
      </c>
      <c r="E10" s="41">
        <v>1</v>
      </c>
      <c r="F10" s="26">
        <v>1</v>
      </c>
      <c r="G10" s="26">
        <v>0.5</v>
      </c>
      <c r="H10" s="26">
        <f t="shared" si="0"/>
        <v>0.375</v>
      </c>
      <c r="I10" s="42">
        <f t="shared" si="1"/>
        <v>2.875</v>
      </c>
      <c r="J10" s="41"/>
      <c r="K10" s="26"/>
      <c r="L10" s="26"/>
      <c r="M10" s="26">
        <f t="shared" si="2"/>
        <v>0</v>
      </c>
      <c r="N10" s="42">
        <f t="shared" si="3"/>
        <v>0</v>
      </c>
      <c r="O10" s="41"/>
      <c r="P10" s="26"/>
      <c r="Q10" s="26"/>
      <c r="R10" s="26"/>
      <c r="S10" s="42"/>
      <c r="T10" s="27"/>
    </row>
    <row r="11" spans="2:20">
      <c r="B11" s="24">
        <v>7</v>
      </c>
      <c r="C11" s="24" t="s">
        <v>276</v>
      </c>
      <c r="D11" s="24" t="s">
        <v>277</v>
      </c>
      <c r="E11" s="41">
        <v>0.1</v>
      </c>
      <c r="F11" s="26">
        <v>0.1</v>
      </c>
      <c r="G11" s="26">
        <v>0.1</v>
      </c>
      <c r="H11" s="26">
        <f t="shared" si="0"/>
        <v>4.5000000000000005E-2</v>
      </c>
      <c r="I11" s="42">
        <f t="shared" si="1"/>
        <v>0.34500000000000003</v>
      </c>
      <c r="J11" s="41"/>
      <c r="K11" s="26"/>
      <c r="L11" s="26"/>
      <c r="M11" s="26">
        <f>SUM(J11:L11)*0.15</f>
        <v>0</v>
      </c>
      <c r="N11" s="42">
        <f>SUM(J11:M11)</f>
        <v>0</v>
      </c>
      <c r="O11" s="41"/>
      <c r="P11" s="26"/>
      <c r="Q11" s="26"/>
      <c r="R11" s="26">
        <f>SUM(O11:Q11)*0.15</f>
        <v>0</v>
      </c>
      <c r="S11" s="42">
        <f>SUM(O11:R11)</f>
        <v>0</v>
      </c>
      <c r="T11" s="27"/>
    </row>
    <row r="12" spans="2:20">
      <c r="B12" s="24">
        <v>8</v>
      </c>
      <c r="C12" s="24" t="s">
        <v>278</v>
      </c>
      <c r="D12" s="24" t="s">
        <v>279</v>
      </c>
      <c r="E12" s="41">
        <v>0.1</v>
      </c>
      <c r="F12" s="26">
        <v>0.1</v>
      </c>
      <c r="G12" s="26">
        <v>0.1</v>
      </c>
      <c r="H12" s="26">
        <f t="shared" si="0"/>
        <v>4.5000000000000005E-2</v>
      </c>
      <c r="I12" s="42">
        <f t="shared" si="1"/>
        <v>0.34500000000000003</v>
      </c>
      <c r="J12" s="41"/>
      <c r="K12" s="26"/>
      <c r="L12" s="26"/>
      <c r="M12" s="26">
        <f t="shared" si="2"/>
        <v>0</v>
      </c>
      <c r="N12" s="42">
        <f t="shared" si="3"/>
        <v>0</v>
      </c>
      <c r="O12" s="41"/>
      <c r="P12" s="26"/>
      <c r="Q12" s="26"/>
      <c r="R12" s="26">
        <f t="shared" si="6"/>
        <v>0</v>
      </c>
      <c r="S12" s="42">
        <f t="shared" si="7"/>
        <v>0</v>
      </c>
      <c r="T12" s="27"/>
    </row>
    <row r="13" spans="2:20">
      <c r="B13" s="24">
        <v>9</v>
      </c>
      <c r="C13" s="24" t="s">
        <v>280</v>
      </c>
      <c r="D13" s="25" t="s">
        <v>281</v>
      </c>
      <c r="E13" s="41">
        <v>0.1</v>
      </c>
      <c r="F13" s="26">
        <v>0.1</v>
      </c>
      <c r="G13" s="26">
        <v>0.1</v>
      </c>
      <c r="H13" s="26">
        <f t="shared" si="0"/>
        <v>4.5000000000000005E-2</v>
      </c>
      <c r="I13" s="42">
        <f t="shared" si="1"/>
        <v>0.34500000000000003</v>
      </c>
      <c r="J13" s="41"/>
      <c r="K13" s="26"/>
      <c r="L13" s="26"/>
      <c r="M13" s="26">
        <f t="shared" si="2"/>
        <v>0</v>
      </c>
      <c r="N13" s="42">
        <f t="shared" si="3"/>
        <v>0</v>
      </c>
      <c r="O13" s="41"/>
      <c r="P13" s="26"/>
      <c r="Q13" s="26"/>
      <c r="R13" s="26">
        <f t="shared" si="6"/>
        <v>0</v>
      </c>
      <c r="S13" s="42">
        <f t="shared" si="7"/>
        <v>0</v>
      </c>
      <c r="T13" s="27" t="s">
        <v>282</v>
      </c>
    </row>
    <row r="14" spans="2:20">
      <c r="B14" s="24">
        <v>10</v>
      </c>
      <c r="C14" s="24" t="s">
        <v>280</v>
      </c>
      <c r="D14" s="24" t="s">
        <v>283</v>
      </c>
      <c r="E14" s="26">
        <v>0.5</v>
      </c>
      <c r="F14" s="26">
        <v>0.25</v>
      </c>
      <c r="G14" s="26">
        <v>0.25</v>
      </c>
      <c r="H14" s="26">
        <f t="shared" si="0"/>
        <v>0.15</v>
      </c>
      <c r="I14" s="42">
        <f t="shared" si="1"/>
        <v>1.1499999999999999</v>
      </c>
      <c r="J14" s="41"/>
      <c r="K14" s="26"/>
      <c r="L14" s="26"/>
      <c r="M14" s="26">
        <f t="shared" si="2"/>
        <v>0</v>
      </c>
      <c r="N14" s="42">
        <f>SUM(J14:M14)</f>
        <v>0</v>
      </c>
      <c r="O14" s="41"/>
      <c r="P14" s="26"/>
      <c r="Q14" s="26"/>
      <c r="R14" s="26">
        <f t="shared" si="6"/>
        <v>0</v>
      </c>
      <c r="S14" s="42">
        <f t="shared" si="7"/>
        <v>0</v>
      </c>
      <c r="T14" s="27" t="s">
        <v>284</v>
      </c>
    </row>
    <row r="15" spans="2:20">
      <c r="E15" s="43"/>
      <c r="I15" s="44"/>
      <c r="J15" s="43"/>
      <c r="N15" s="44"/>
      <c r="O15" s="43"/>
      <c r="S15" s="44"/>
    </row>
    <row r="16" spans="2:20">
      <c r="D16" s="24" t="s">
        <v>285</v>
      </c>
      <c r="E16" s="41">
        <f t="shared" ref="E16:S16" si="8">SUM(E5:E14)</f>
        <v>6.7999999999999989</v>
      </c>
      <c r="F16" s="26">
        <f t="shared" si="8"/>
        <v>4.6499999999999986</v>
      </c>
      <c r="G16" s="26">
        <f t="shared" si="8"/>
        <v>4.1500000000000004</v>
      </c>
      <c r="H16" s="26">
        <f t="shared" si="8"/>
        <v>2.3399999999999994</v>
      </c>
      <c r="I16" s="42">
        <f t="shared" si="8"/>
        <v>17.939999999999994</v>
      </c>
      <c r="J16" s="41">
        <f t="shared" si="8"/>
        <v>1.85</v>
      </c>
      <c r="K16" s="26">
        <f t="shared" si="8"/>
        <v>1.35</v>
      </c>
      <c r="L16" s="26">
        <f t="shared" si="8"/>
        <v>2.25</v>
      </c>
      <c r="M16" s="26">
        <f t="shared" si="8"/>
        <v>0.8175</v>
      </c>
      <c r="N16" s="42">
        <f t="shared" si="8"/>
        <v>6.2675000000000001</v>
      </c>
      <c r="O16" s="41">
        <f t="shared" si="8"/>
        <v>0</v>
      </c>
      <c r="P16" s="26">
        <f t="shared" si="8"/>
        <v>0</v>
      </c>
      <c r="Q16" s="26">
        <f t="shared" si="8"/>
        <v>0</v>
      </c>
      <c r="R16" s="26">
        <f t="shared" si="8"/>
        <v>0</v>
      </c>
      <c r="S16" s="42">
        <f t="shared" si="8"/>
        <v>0</v>
      </c>
      <c r="T16" s="28"/>
    </row>
    <row r="17" spans="4:19">
      <c r="E17" s="43"/>
      <c r="I17" s="44"/>
      <c r="J17" s="43"/>
      <c r="N17" s="44"/>
      <c r="O17" s="43"/>
      <c r="S17" s="44"/>
    </row>
    <row r="18" spans="4:19">
      <c r="D18" s="24" t="s">
        <v>286</v>
      </c>
      <c r="E18" s="45">
        <v>1000</v>
      </c>
      <c r="F18" s="29">
        <v>1000</v>
      </c>
      <c r="G18" s="29">
        <v>1000</v>
      </c>
      <c r="H18" s="29">
        <v>1200</v>
      </c>
      <c r="I18" s="46">
        <f>AVERAGE(E18:H18)</f>
        <v>1050</v>
      </c>
      <c r="J18" s="45">
        <v>1000</v>
      </c>
      <c r="K18" s="29">
        <v>1000</v>
      </c>
      <c r="L18" s="29">
        <v>1000</v>
      </c>
      <c r="M18" s="29">
        <v>1200</v>
      </c>
      <c r="N18" s="46">
        <f>AVERAGE(J18:M18)</f>
        <v>1050</v>
      </c>
      <c r="O18" s="45">
        <v>1000</v>
      </c>
      <c r="P18" s="29">
        <v>1000</v>
      </c>
      <c r="Q18" s="29">
        <v>1000</v>
      </c>
      <c r="R18" s="29">
        <v>1200</v>
      </c>
      <c r="S18" s="46">
        <f>AVERAGE(O18:R18)</f>
        <v>1050</v>
      </c>
    </row>
    <row r="19" spans="4:19" ht="18.600000000000001" thickBot="1">
      <c r="D19" s="24" t="s">
        <v>287</v>
      </c>
      <c r="E19" s="47">
        <f>E16*E18</f>
        <v>6799.9999999999991</v>
      </c>
      <c r="F19" s="48">
        <f t="shared" ref="F19:G19" si="9">F16*F18</f>
        <v>4649.9999999999982</v>
      </c>
      <c r="G19" s="48">
        <f t="shared" si="9"/>
        <v>4150</v>
      </c>
      <c r="H19" s="48">
        <f>H16*H18</f>
        <v>2807.9999999999991</v>
      </c>
      <c r="I19" s="49">
        <f>SUM(E19:H19)</f>
        <v>18407.999999999996</v>
      </c>
      <c r="J19" s="47">
        <f>J16*J18</f>
        <v>1850</v>
      </c>
      <c r="K19" s="48">
        <f t="shared" ref="K19:L19" si="10">K16*K18</f>
        <v>1350</v>
      </c>
      <c r="L19" s="48">
        <f t="shared" si="10"/>
        <v>2250</v>
      </c>
      <c r="M19" s="48">
        <f>M16*M18</f>
        <v>981</v>
      </c>
      <c r="N19" s="49">
        <f>SUM(J19:M19)</f>
        <v>6431</v>
      </c>
      <c r="O19" s="47">
        <f>O16*O18</f>
        <v>0</v>
      </c>
      <c r="P19" s="48">
        <f t="shared" ref="P19:Q19" si="11">P16*P18</f>
        <v>0</v>
      </c>
      <c r="Q19" s="48">
        <f t="shared" si="11"/>
        <v>0</v>
      </c>
      <c r="R19" s="48">
        <f>R16*R18</f>
        <v>0</v>
      </c>
      <c r="S19" s="49">
        <f>SUM(O19:R19)</f>
        <v>0</v>
      </c>
    </row>
  </sheetData>
  <autoFilter ref="B4:Y14" xr:uid="{00000000-0009-0000-0000-000007000000}"/>
  <mergeCells count="6">
    <mergeCell ref="E3:H3"/>
    <mergeCell ref="E2:I2"/>
    <mergeCell ref="J2:N2"/>
    <mergeCell ref="O2:S2"/>
    <mergeCell ref="J3:M3"/>
    <mergeCell ref="O3:R3"/>
  </mergeCells>
  <phoneticPr fontId="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T36"/>
  <sheetViews>
    <sheetView zoomScale="80" zoomScaleNormal="80" workbookViewId="0">
      <selection activeCell="C1" sqref="C1"/>
    </sheetView>
  </sheetViews>
  <sheetFormatPr defaultColWidth="8.625" defaultRowHeight="18"/>
  <cols>
    <col min="1" max="1" width="2.625" style="21" customWidth="1"/>
    <col min="2" max="2" width="4.125" style="21" bestFit="1" customWidth="1"/>
    <col min="3" max="3" width="37.625" style="21" customWidth="1"/>
    <col min="4" max="4" width="44.625" style="21" customWidth="1"/>
    <col min="5" max="19" width="9.875" style="21" customWidth="1"/>
    <col min="20" max="20" width="53.125" style="21" customWidth="1"/>
    <col min="21" max="16384" width="8.625" style="21"/>
  </cols>
  <sheetData>
    <row r="1" spans="2:20" ht="18.600000000000001" thickBot="1">
      <c r="C1" s="21" t="s">
        <v>288</v>
      </c>
    </row>
    <row r="2" spans="2:20">
      <c r="D2" s="50" t="s">
        <v>181</v>
      </c>
      <c r="E2" s="211" t="s">
        <v>182</v>
      </c>
      <c r="F2" s="212"/>
      <c r="G2" s="212"/>
      <c r="H2" s="212"/>
      <c r="I2" s="213"/>
      <c r="J2" s="214" t="s">
        <v>4</v>
      </c>
      <c r="K2" s="212"/>
      <c r="L2" s="212"/>
      <c r="M2" s="212"/>
      <c r="N2" s="213"/>
      <c r="O2" s="214" t="s">
        <v>183</v>
      </c>
      <c r="P2" s="212"/>
      <c r="Q2" s="212"/>
      <c r="R2" s="212"/>
      <c r="S2" s="213"/>
    </row>
    <row r="3" spans="2:20">
      <c r="B3" s="19"/>
      <c r="C3" s="19"/>
      <c r="D3" s="20"/>
      <c r="E3" s="208" t="s">
        <v>261</v>
      </c>
      <c r="F3" s="209"/>
      <c r="G3" s="209"/>
      <c r="H3" s="210"/>
      <c r="I3" s="38"/>
      <c r="J3" s="208" t="s">
        <v>261</v>
      </c>
      <c r="K3" s="209"/>
      <c r="L3" s="209"/>
      <c r="M3" s="210"/>
      <c r="N3" s="38"/>
      <c r="O3" s="208" t="s">
        <v>261</v>
      </c>
      <c r="P3" s="209"/>
      <c r="Q3" s="209"/>
      <c r="R3" s="210"/>
      <c r="S3" s="38"/>
      <c r="T3" s="19"/>
    </row>
    <row r="4" spans="2:20" ht="39.75" customHeight="1">
      <c r="B4" s="22" t="s">
        <v>188</v>
      </c>
      <c r="C4" s="22" t="s">
        <v>262</v>
      </c>
      <c r="D4" s="22" t="s">
        <v>263</v>
      </c>
      <c r="E4" s="39" t="s">
        <v>264</v>
      </c>
      <c r="F4" s="23" t="s">
        <v>192</v>
      </c>
      <c r="G4" s="23" t="s">
        <v>265</v>
      </c>
      <c r="H4" s="23" t="s">
        <v>195</v>
      </c>
      <c r="I4" s="40" t="s">
        <v>266</v>
      </c>
      <c r="J4" s="39" t="s">
        <v>264</v>
      </c>
      <c r="K4" s="23" t="s">
        <v>192</v>
      </c>
      <c r="L4" s="23" t="s">
        <v>265</v>
      </c>
      <c r="M4" s="23" t="s">
        <v>195</v>
      </c>
      <c r="N4" s="40" t="s">
        <v>266</v>
      </c>
      <c r="O4" s="39" t="s">
        <v>264</v>
      </c>
      <c r="P4" s="23" t="s">
        <v>192</v>
      </c>
      <c r="Q4" s="23" t="s">
        <v>265</v>
      </c>
      <c r="R4" s="23" t="s">
        <v>195</v>
      </c>
      <c r="S4" s="40" t="s">
        <v>266</v>
      </c>
      <c r="T4" s="22" t="s">
        <v>184</v>
      </c>
    </row>
    <row r="5" spans="2:20" ht="36">
      <c r="B5" s="24">
        <v>1</v>
      </c>
      <c r="C5" s="24" t="s">
        <v>267</v>
      </c>
      <c r="D5" s="25" t="s">
        <v>289</v>
      </c>
      <c r="E5" s="41">
        <v>1</v>
      </c>
      <c r="F5" s="26">
        <v>0.5</v>
      </c>
      <c r="G5" s="26">
        <v>1</v>
      </c>
      <c r="H5" s="26">
        <f>SUM(E5:G5)*0.15</f>
        <v>0.375</v>
      </c>
      <c r="I5" s="42">
        <f>SUM(E5:H5)</f>
        <v>2.875</v>
      </c>
      <c r="J5" s="41">
        <v>1</v>
      </c>
      <c r="K5" s="26">
        <v>0.5</v>
      </c>
      <c r="L5" s="26">
        <v>1</v>
      </c>
      <c r="M5" s="26">
        <f>SUM(J5:L5)*0.15</f>
        <v>0.375</v>
      </c>
      <c r="N5" s="42">
        <f>SUM(J5:M5)</f>
        <v>2.875</v>
      </c>
      <c r="O5" s="41">
        <v>1</v>
      </c>
      <c r="P5" s="26">
        <v>0.5</v>
      </c>
      <c r="Q5" s="26">
        <v>1</v>
      </c>
      <c r="R5" s="26">
        <f>SUM(O5:Q5)*0.15</f>
        <v>0.375</v>
      </c>
      <c r="S5" s="42">
        <f>SUM(O5:R5)</f>
        <v>2.875</v>
      </c>
      <c r="T5" s="24" t="s">
        <v>290</v>
      </c>
    </row>
    <row r="6" spans="2:20" ht="36">
      <c r="B6" s="24">
        <v>2</v>
      </c>
      <c r="C6" s="24" t="s">
        <v>267</v>
      </c>
      <c r="D6" s="25" t="s">
        <v>291</v>
      </c>
      <c r="E6" s="41">
        <v>0.25</v>
      </c>
      <c r="F6" s="26">
        <v>0.5</v>
      </c>
      <c r="G6" s="26">
        <v>1</v>
      </c>
      <c r="H6" s="26">
        <f>SUM(E6:G6)*0.15</f>
        <v>0.26250000000000001</v>
      </c>
      <c r="I6" s="42">
        <f t="shared" ref="I6:I31" si="0">SUM(E6:H6)</f>
        <v>2.0125000000000002</v>
      </c>
      <c r="J6" s="41">
        <v>0.25</v>
      </c>
      <c r="K6" s="26">
        <v>0.5</v>
      </c>
      <c r="L6" s="26">
        <v>1</v>
      </c>
      <c r="M6" s="26">
        <f>SUM(J6:L6)*0.15</f>
        <v>0.26250000000000001</v>
      </c>
      <c r="N6" s="42">
        <f t="shared" ref="N6:N31" si="1">SUM(J6:M6)</f>
        <v>2.0125000000000002</v>
      </c>
      <c r="O6" s="41">
        <v>0.25</v>
      </c>
      <c r="P6" s="26">
        <v>0.5</v>
      </c>
      <c r="Q6" s="26">
        <v>1</v>
      </c>
      <c r="R6" s="26">
        <f>SUM(O6:Q6)*0.15</f>
        <v>0.26250000000000001</v>
      </c>
      <c r="S6" s="42">
        <f t="shared" ref="S6:S31" si="2">SUM(O6:R6)</f>
        <v>2.0125000000000002</v>
      </c>
      <c r="T6" s="24" t="s">
        <v>290</v>
      </c>
    </row>
    <row r="7" spans="2:20" ht="36">
      <c r="B7" s="24">
        <v>3</v>
      </c>
      <c r="C7" s="24" t="s">
        <v>267</v>
      </c>
      <c r="D7" s="25" t="s">
        <v>291</v>
      </c>
      <c r="E7" s="41">
        <v>1</v>
      </c>
      <c r="F7" s="26">
        <v>0.5</v>
      </c>
      <c r="G7" s="26">
        <v>1</v>
      </c>
      <c r="H7" s="26">
        <f>SUM(E7:G7)*0.15</f>
        <v>0.375</v>
      </c>
      <c r="I7" s="42">
        <f t="shared" si="0"/>
        <v>2.875</v>
      </c>
      <c r="J7" s="41">
        <v>1</v>
      </c>
      <c r="K7" s="26">
        <v>0.5</v>
      </c>
      <c r="L7" s="26">
        <v>1</v>
      </c>
      <c r="M7" s="26">
        <f>SUM(J7:L7)*0.15</f>
        <v>0.375</v>
      </c>
      <c r="N7" s="42">
        <f t="shared" si="1"/>
        <v>2.875</v>
      </c>
      <c r="O7" s="41">
        <v>1</v>
      </c>
      <c r="P7" s="26">
        <v>0.5</v>
      </c>
      <c r="Q7" s="26">
        <v>1</v>
      </c>
      <c r="R7" s="26">
        <f>SUM(O7:Q7)*0.15</f>
        <v>0.375</v>
      </c>
      <c r="S7" s="42">
        <f t="shared" si="2"/>
        <v>2.875</v>
      </c>
      <c r="T7" s="24" t="s">
        <v>290</v>
      </c>
    </row>
    <row r="8" spans="2:20" ht="36">
      <c r="B8" s="24">
        <v>4</v>
      </c>
      <c r="C8" s="24" t="s">
        <v>267</v>
      </c>
      <c r="D8" s="25" t="s">
        <v>291</v>
      </c>
      <c r="E8" s="41">
        <v>1</v>
      </c>
      <c r="F8" s="26">
        <v>0.5</v>
      </c>
      <c r="G8" s="26">
        <v>1</v>
      </c>
      <c r="H8" s="26">
        <f t="shared" ref="H8:H31" si="3">SUM(E8:G8)*0.15</f>
        <v>0.375</v>
      </c>
      <c r="I8" s="42">
        <f t="shared" si="0"/>
        <v>2.875</v>
      </c>
      <c r="J8" s="41">
        <v>1</v>
      </c>
      <c r="K8" s="26">
        <v>0.5</v>
      </c>
      <c r="L8" s="26">
        <v>1</v>
      </c>
      <c r="M8" s="26">
        <f t="shared" ref="M8:M31" si="4">SUM(J8:L8)*0.15</f>
        <v>0.375</v>
      </c>
      <c r="N8" s="42">
        <f t="shared" si="1"/>
        <v>2.875</v>
      </c>
      <c r="O8" s="41">
        <v>1</v>
      </c>
      <c r="P8" s="26">
        <v>0.5</v>
      </c>
      <c r="Q8" s="26">
        <v>1</v>
      </c>
      <c r="R8" s="26">
        <f t="shared" ref="R8:R31" si="5">SUM(O8:Q8)*0.15</f>
        <v>0.375</v>
      </c>
      <c r="S8" s="42">
        <f t="shared" si="2"/>
        <v>2.875</v>
      </c>
      <c r="T8" s="24" t="s">
        <v>290</v>
      </c>
    </row>
    <row r="9" spans="2:20" ht="36">
      <c r="B9" s="24">
        <v>5</v>
      </c>
      <c r="C9" s="24" t="s">
        <v>267</v>
      </c>
      <c r="D9" s="25" t="s">
        <v>289</v>
      </c>
      <c r="E9" s="41">
        <v>1</v>
      </c>
      <c r="F9" s="26">
        <v>0.5</v>
      </c>
      <c r="G9" s="26">
        <v>1</v>
      </c>
      <c r="H9" s="26">
        <f t="shared" si="3"/>
        <v>0.375</v>
      </c>
      <c r="I9" s="42">
        <f t="shared" si="0"/>
        <v>2.875</v>
      </c>
      <c r="J9" s="41">
        <v>1</v>
      </c>
      <c r="K9" s="26">
        <v>0.5</v>
      </c>
      <c r="L9" s="26">
        <v>1</v>
      </c>
      <c r="M9" s="26">
        <f t="shared" si="4"/>
        <v>0.375</v>
      </c>
      <c r="N9" s="42">
        <f t="shared" si="1"/>
        <v>2.875</v>
      </c>
      <c r="O9" s="41">
        <v>1</v>
      </c>
      <c r="P9" s="26">
        <v>0.5</v>
      </c>
      <c r="Q9" s="26">
        <v>1</v>
      </c>
      <c r="R9" s="26">
        <f t="shared" si="5"/>
        <v>0.375</v>
      </c>
      <c r="S9" s="42">
        <f t="shared" si="2"/>
        <v>2.875</v>
      </c>
      <c r="T9" s="24" t="s">
        <v>290</v>
      </c>
    </row>
    <row r="10" spans="2:20">
      <c r="B10" s="24">
        <v>6</v>
      </c>
      <c r="C10" s="24" t="s">
        <v>270</v>
      </c>
      <c r="D10" s="24" t="s">
        <v>292</v>
      </c>
      <c r="E10" s="41">
        <v>1</v>
      </c>
      <c r="F10" s="26">
        <v>0.25</v>
      </c>
      <c r="G10" s="26">
        <v>0.5</v>
      </c>
      <c r="H10" s="26">
        <f t="shared" si="3"/>
        <v>0.26250000000000001</v>
      </c>
      <c r="I10" s="42">
        <f t="shared" si="0"/>
        <v>2.0125000000000002</v>
      </c>
      <c r="J10" s="41">
        <v>1</v>
      </c>
      <c r="K10" s="26">
        <v>0.25</v>
      </c>
      <c r="L10" s="26">
        <v>0.5</v>
      </c>
      <c r="M10" s="26">
        <f t="shared" si="4"/>
        <v>0.26250000000000001</v>
      </c>
      <c r="N10" s="42">
        <f t="shared" si="1"/>
        <v>2.0125000000000002</v>
      </c>
      <c r="O10" s="41">
        <v>1</v>
      </c>
      <c r="P10" s="26">
        <v>0.25</v>
      </c>
      <c r="Q10" s="26">
        <v>0.5</v>
      </c>
      <c r="R10" s="26">
        <f t="shared" si="5"/>
        <v>0.26250000000000001</v>
      </c>
      <c r="S10" s="42">
        <f t="shared" si="2"/>
        <v>2.0125000000000002</v>
      </c>
      <c r="T10" s="27"/>
    </row>
    <row r="11" spans="2:20">
      <c r="B11" s="24">
        <v>7</v>
      </c>
      <c r="C11" s="24" t="s">
        <v>270</v>
      </c>
      <c r="D11" s="24" t="s">
        <v>292</v>
      </c>
      <c r="E11" s="41">
        <v>0.25</v>
      </c>
      <c r="F11" s="26">
        <v>0.25</v>
      </c>
      <c r="G11" s="26">
        <v>0.5</v>
      </c>
      <c r="H11" s="26">
        <f t="shared" si="3"/>
        <v>0.15</v>
      </c>
      <c r="I11" s="42">
        <f t="shared" si="0"/>
        <v>1.1499999999999999</v>
      </c>
      <c r="J11" s="41">
        <v>0.25</v>
      </c>
      <c r="K11" s="26">
        <v>0.25</v>
      </c>
      <c r="L11" s="26">
        <v>0.5</v>
      </c>
      <c r="M11" s="26">
        <f t="shared" si="4"/>
        <v>0.15</v>
      </c>
      <c r="N11" s="42">
        <f t="shared" si="1"/>
        <v>1.1499999999999999</v>
      </c>
      <c r="O11" s="41">
        <v>0.25</v>
      </c>
      <c r="P11" s="26">
        <v>0.25</v>
      </c>
      <c r="Q11" s="26">
        <v>0.5</v>
      </c>
      <c r="R11" s="26">
        <f t="shared" si="5"/>
        <v>0.15</v>
      </c>
      <c r="S11" s="42">
        <f t="shared" si="2"/>
        <v>1.1499999999999999</v>
      </c>
      <c r="T11" s="27"/>
    </row>
    <row r="12" spans="2:20">
      <c r="B12" s="24">
        <v>8</v>
      </c>
      <c r="C12" s="24" t="s">
        <v>293</v>
      </c>
      <c r="D12" s="24" t="s">
        <v>294</v>
      </c>
      <c r="E12" s="41">
        <v>0.5</v>
      </c>
      <c r="F12" s="26">
        <v>0.5</v>
      </c>
      <c r="G12" s="26">
        <v>1</v>
      </c>
      <c r="H12" s="26">
        <f t="shared" si="3"/>
        <v>0.3</v>
      </c>
      <c r="I12" s="42">
        <f t="shared" si="0"/>
        <v>2.2999999999999998</v>
      </c>
      <c r="J12" s="41">
        <v>0.5</v>
      </c>
      <c r="K12" s="26">
        <v>0.5</v>
      </c>
      <c r="L12" s="26">
        <v>1</v>
      </c>
      <c r="M12" s="26">
        <f t="shared" si="4"/>
        <v>0.3</v>
      </c>
      <c r="N12" s="42">
        <f t="shared" si="1"/>
        <v>2.2999999999999998</v>
      </c>
      <c r="O12" s="41">
        <v>0.5</v>
      </c>
      <c r="P12" s="26">
        <v>0.5</v>
      </c>
      <c r="Q12" s="26">
        <v>1</v>
      </c>
      <c r="R12" s="26">
        <f t="shared" si="5"/>
        <v>0.3</v>
      </c>
      <c r="S12" s="42">
        <f t="shared" si="2"/>
        <v>2.2999999999999998</v>
      </c>
      <c r="T12" s="27"/>
    </row>
    <row r="13" spans="2:20">
      <c r="B13" s="24">
        <v>9</v>
      </c>
      <c r="C13" s="24" t="s">
        <v>293</v>
      </c>
      <c r="D13" s="24" t="s">
        <v>294</v>
      </c>
      <c r="E13" s="41">
        <v>0.5</v>
      </c>
      <c r="F13" s="26">
        <v>0.25</v>
      </c>
      <c r="G13" s="26">
        <v>1</v>
      </c>
      <c r="H13" s="26">
        <f t="shared" si="3"/>
        <v>0.26250000000000001</v>
      </c>
      <c r="I13" s="42">
        <f t="shared" si="0"/>
        <v>2.0125000000000002</v>
      </c>
      <c r="J13" s="41">
        <v>0.5</v>
      </c>
      <c r="K13" s="26">
        <v>0.25</v>
      </c>
      <c r="L13" s="26">
        <v>1</v>
      </c>
      <c r="M13" s="26">
        <f t="shared" si="4"/>
        <v>0.26250000000000001</v>
      </c>
      <c r="N13" s="42">
        <f t="shared" si="1"/>
        <v>2.0125000000000002</v>
      </c>
      <c r="O13" s="41">
        <v>0.5</v>
      </c>
      <c r="P13" s="26">
        <v>0.25</v>
      </c>
      <c r="Q13" s="26">
        <v>1</v>
      </c>
      <c r="R13" s="26">
        <f t="shared" si="5"/>
        <v>0.26250000000000001</v>
      </c>
      <c r="S13" s="42">
        <f t="shared" si="2"/>
        <v>2.0125000000000002</v>
      </c>
      <c r="T13" s="27"/>
    </row>
    <row r="14" spans="2:20">
      <c r="B14" s="24">
        <v>10</v>
      </c>
      <c r="C14" s="24" t="s">
        <v>293</v>
      </c>
      <c r="D14" s="24" t="s">
        <v>294</v>
      </c>
      <c r="E14" s="41">
        <v>0.5</v>
      </c>
      <c r="F14" s="26">
        <v>0.25</v>
      </c>
      <c r="G14" s="26">
        <v>0.5</v>
      </c>
      <c r="H14" s="26">
        <f t="shared" si="3"/>
        <v>0.1875</v>
      </c>
      <c r="I14" s="42">
        <f t="shared" si="0"/>
        <v>1.4375</v>
      </c>
      <c r="J14" s="41">
        <v>0.5</v>
      </c>
      <c r="K14" s="26">
        <v>0.25</v>
      </c>
      <c r="L14" s="26">
        <v>0.5</v>
      </c>
      <c r="M14" s="26">
        <f t="shared" si="4"/>
        <v>0.1875</v>
      </c>
      <c r="N14" s="42">
        <f t="shared" si="1"/>
        <v>1.4375</v>
      </c>
      <c r="O14" s="41">
        <v>0.5</v>
      </c>
      <c r="P14" s="26">
        <v>0.25</v>
      </c>
      <c r="Q14" s="26">
        <v>0.5</v>
      </c>
      <c r="R14" s="26">
        <f t="shared" si="5"/>
        <v>0.1875</v>
      </c>
      <c r="S14" s="42">
        <f t="shared" si="2"/>
        <v>1.4375</v>
      </c>
      <c r="T14" s="27"/>
    </row>
    <row r="15" spans="2:20">
      <c r="B15" s="24">
        <v>11</v>
      </c>
      <c r="C15" s="24" t="s">
        <v>293</v>
      </c>
      <c r="D15" s="24" t="s">
        <v>294</v>
      </c>
      <c r="E15" s="41">
        <v>1</v>
      </c>
      <c r="F15" s="26">
        <v>1</v>
      </c>
      <c r="G15" s="26">
        <v>1</v>
      </c>
      <c r="H15" s="26">
        <f t="shared" si="3"/>
        <v>0.44999999999999996</v>
      </c>
      <c r="I15" s="42">
        <f t="shared" si="0"/>
        <v>3.45</v>
      </c>
      <c r="J15" s="41">
        <v>1</v>
      </c>
      <c r="K15" s="26">
        <v>1</v>
      </c>
      <c r="L15" s="26">
        <v>1</v>
      </c>
      <c r="M15" s="26">
        <f t="shared" si="4"/>
        <v>0.44999999999999996</v>
      </c>
      <c r="N15" s="42">
        <f t="shared" si="1"/>
        <v>3.45</v>
      </c>
      <c r="O15" s="41">
        <v>1</v>
      </c>
      <c r="P15" s="26">
        <v>1</v>
      </c>
      <c r="Q15" s="26">
        <v>1</v>
      </c>
      <c r="R15" s="26">
        <f t="shared" si="5"/>
        <v>0.44999999999999996</v>
      </c>
      <c r="S15" s="42">
        <f t="shared" si="2"/>
        <v>3.45</v>
      </c>
      <c r="T15" s="27"/>
    </row>
    <row r="16" spans="2:20">
      <c r="B16" s="24">
        <v>12</v>
      </c>
      <c r="C16" s="24" t="s">
        <v>293</v>
      </c>
      <c r="D16" s="24" t="s">
        <v>294</v>
      </c>
      <c r="E16" s="41" t="s">
        <v>122</v>
      </c>
      <c r="F16" s="26">
        <v>0.25</v>
      </c>
      <c r="G16" s="26">
        <v>0.5</v>
      </c>
      <c r="H16" s="26">
        <f t="shared" si="3"/>
        <v>0.11249999999999999</v>
      </c>
      <c r="I16" s="42">
        <f t="shared" si="0"/>
        <v>0.86250000000000004</v>
      </c>
      <c r="J16" s="41" t="s">
        <v>122</v>
      </c>
      <c r="K16" s="26">
        <v>0.25</v>
      </c>
      <c r="L16" s="26">
        <v>0.5</v>
      </c>
      <c r="M16" s="26">
        <f t="shared" si="4"/>
        <v>0.11249999999999999</v>
      </c>
      <c r="N16" s="42">
        <f t="shared" si="1"/>
        <v>0.86250000000000004</v>
      </c>
      <c r="O16" s="41" t="s">
        <v>122</v>
      </c>
      <c r="P16" s="26">
        <v>0.25</v>
      </c>
      <c r="Q16" s="26">
        <v>0.5</v>
      </c>
      <c r="R16" s="26">
        <f t="shared" si="5"/>
        <v>0.11249999999999999</v>
      </c>
      <c r="S16" s="42">
        <f t="shared" si="2"/>
        <v>0.86250000000000004</v>
      </c>
      <c r="T16" s="27"/>
    </row>
    <row r="17" spans="2:20">
      <c r="B17" s="24">
        <v>13</v>
      </c>
      <c r="C17" s="24" t="s">
        <v>276</v>
      </c>
      <c r="D17" s="24" t="s">
        <v>277</v>
      </c>
      <c r="E17" s="41">
        <v>0.1</v>
      </c>
      <c r="F17" s="26">
        <v>0.1</v>
      </c>
      <c r="G17" s="26">
        <v>0.1</v>
      </c>
      <c r="H17" s="26">
        <f t="shared" si="3"/>
        <v>4.5000000000000005E-2</v>
      </c>
      <c r="I17" s="42">
        <f t="shared" si="0"/>
        <v>0.34500000000000003</v>
      </c>
      <c r="J17" s="41">
        <v>0.1</v>
      </c>
      <c r="K17" s="26">
        <v>0.1</v>
      </c>
      <c r="L17" s="26">
        <v>0.1</v>
      </c>
      <c r="M17" s="26">
        <f t="shared" si="4"/>
        <v>4.5000000000000005E-2</v>
      </c>
      <c r="N17" s="42">
        <f t="shared" si="1"/>
        <v>0.34500000000000003</v>
      </c>
      <c r="O17" s="41">
        <v>0.1</v>
      </c>
      <c r="P17" s="26">
        <v>0.1</v>
      </c>
      <c r="Q17" s="26">
        <v>0.1</v>
      </c>
      <c r="R17" s="26">
        <f t="shared" si="5"/>
        <v>4.5000000000000005E-2</v>
      </c>
      <c r="S17" s="42">
        <f t="shared" si="2"/>
        <v>0.34500000000000003</v>
      </c>
      <c r="T17" s="27"/>
    </row>
    <row r="18" spans="2:20">
      <c r="B18" s="24">
        <v>14</v>
      </c>
      <c r="C18" s="24" t="s">
        <v>276</v>
      </c>
      <c r="D18" s="24" t="s">
        <v>277</v>
      </c>
      <c r="E18" s="41">
        <v>0.1</v>
      </c>
      <c r="F18" s="26">
        <v>0.1</v>
      </c>
      <c r="G18" s="26">
        <v>0.1</v>
      </c>
      <c r="H18" s="26">
        <f t="shared" si="3"/>
        <v>4.5000000000000005E-2</v>
      </c>
      <c r="I18" s="42">
        <f t="shared" si="0"/>
        <v>0.34500000000000003</v>
      </c>
      <c r="J18" s="41">
        <v>0.1</v>
      </c>
      <c r="K18" s="26">
        <v>0.1</v>
      </c>
      <c r="L18" s="26">
        <v>0.1</v>
      </c>
      <c r="M18" s="26">
        <f t="shared" si="4"/>
        <v>4.5000000000000005E-2</v>
      </c>
      <c r="N18" s="42">
        <f t="shared" si="1"/>
        <v>0.34500000000000003</v>
      </c>
      <c r="O18" s="41">
        <v>0.1</v>
      </c>
      <c r="P18" s="26">
        <v>0.1</v>
      </c>
      <c r="Q18" s="26">
        <v>0.1</v>
      </c>
      <c r="R18" s="26">
        <f t="shared" si="5"/>
        <v>4.5000000000000005E-2</v>
      </c>
      <c r="S18" s="42">
        <f t="shared" si="2"/>
        <v>0.34500000000000003</v>
      </c>
      <c r="T18" s="27"/>
    </row>
    <row r="19" spans="2:20">
      <c r="B19" s="24">
        <v>15</v>
      </c>
      <c r="C19" s="24" t="s">
        <v>276</v>
      </c>
      <c r="D19" s="24" t="s">
        <v>277</v>
      </c>
      <c r="E19" s="41">
        <v>0.1</v>
      </c>
      <c r="F19" s="26">
        <v>0.1</v>
      </c>
      <c r="G19" s="26">
        <v>0.1</v>
      </c>
      <c r="H19" s="26">
        <f t="shared" si="3"/>
        <v>4.5000000000000005E-2</v>
      </c>
      <c r="I19" s="42">
        <f t="shared" si="0"/>
        <v>0.34500000000000003</v>
      </c>
      <c r="J19" s="41">
        <v>0.1</v>
      </c>
      <c r="K19" s="26">
        <v>0.1</v>
      </c>
      <c r="L19" s="26">
        <v>0.1</v>
      </c>
      <c r="M19" s="26">
        <f t="shared" si="4"/>
        <v>4.5000000000000005E-2</v>
      </c>
      <c r="N19" s="42">
        <f t="shared" si="1"/>
        <v>0.34500000000000003</v>
      </c>
      <c r="O19" s="41">
        <v>0.1</v>
      </c>
      <c r="P19" s="26">
        <v>0.1</v>
      </c>
      <c r="Q19" s="26">
        <v>0.1</v>
      </c>
      <c r="R19" s="26">
        <f t="shared" si="5"/>
        <v>4.5000000000000005E-2</v>
      </c>
      <c r="S19" s="42">
        <f t="shared" si="2"/>
        <v>0.34500000000000003</v>
      </c>
      <c r="T19" s="27"/>
    </row>
    <row r="20" spans="2:20">
      <c r="B20" s="24">
        <v>16</v>
      </c>
      <c r="C20" s="24" t="s">
        <v>272</v>
      </c>
      <c r="D20" s="25" t="s">
        <v>295</v>
      </c>
      <c r="E20" s="41">
        <v>0.1</v>
      </c>
      <c r="F20" s="26">
        <v>0.1</v>
      </c>
      <c r="G20" s="26">
        <v>0.1</v>
      </c>
      <c r="H20" s="26">
        <f t="shared" si="3"/>
        <v>4.5000000000000005E-2</v>
      </c>
      <c r="I20" s="42">
        <f t="shared" si="0"/>
        <v>0.34500000000000003</v>
      </c>
      <c r="J20" s="41">
        <v>0.1</v>
      </c>
      <c r="K20" s="26">
        <v>0.1</v>
      </c>
      <c r="L20" s="26">
        <v>0.1</v>
      </c>
      <c r="M20" s="26">
        <f t="shared" si="4"/>
        <v>4.5000000000000005E-2</v>
      </c>
      <c r="N20" s="42">
        <f t="shared" si="1"/>
        <v>0.34500000000000003</v>
      </c>
      <c r="O20" s="41">
        <v>0.1</v>
      </c>
      <c r="P20" s="26">
        <v>0.1</v>
      </c>
      <c r="Q20" s="26">
        <v>0.1</v>
      </c>
      <c r="R20" s="26">
        <f t="shared" si="5"/>
        <v>4.5000000000000005E-2</v>
      </c>
      <c r="S20" s="42">
        <f t="shared" si="2"/>
        <v>0.34500000000000003</v>
      </c>
      <c r="T20" s="27"/>
    </row>
    <row r="21" spans="2:20">
      <c r="B21" s="24">
        <v>17</v>
      </c>
      <c r="C21" s="24" t="s">
        <v>272</v>
      </c>
      <c r="D21" s="25" t="s">
        <v>295</v>
      </c>
      <c r="E21" s="41">
        <v>0.1</v>
      </c>
      <c r="F21" s="26">
        <v>0.1</v>
      </c>
      <c r="G21" s="26">
        <v>0.1</v>
      </c>
      <c r="H21" s="26">
        <f t="shared" si="3"/>
        <v>4.5000000000000005E-2</v>
      </c>
      <c r="I21" s="42">
        <f t="shared" si="0"/>
        <v>0.34500000000000003</v>
      </c>
      <c r="J21" s="41">
        <v>0.1</v>
      </c>
      <c r="K21" s="26">
        <v>0.1</v>
      </c>
      <c r="L21" s="26">
        <v>0.1</v>
      </c>
      <c r="M21" s="26">
        <f t="shared" si="4"/>
        <v>4.5000000000000005E-2</v>
      </c>
      <c r="N21" s="42">
        <f t="shared" si="1"/>
        <v>0.34500000000000003</v>
      </c>
      <c r="O21" s="41">
        <v>0.1</v>
      </c>
      <c r="P21" s="26">
        <v>0.1</v>
      </c>
      <c r="Q21" s="26">
        <v>0.1</v>
      </c>
      <c r="R21" s="26">
        <f t="shared" si="5"/>
        <v>4.5000000000000005E-2</v>
      </c>
      <c r="S21" s="42">
        <f t="shared" si="2"/>
        <v>0.34500000000000003</v>
      </c>
      <c r="T21" s="27"/>
    </row>
    <row r="22" spans="2:20">
      <c r="B22" s="24">
        <v>18</v>
      </c>
      <c r="C22" s="24" t="s">
        <v>272</v>
      </c>
      <c r="D22" s="25" t="s">
        <v>295</v>
      </c>
      <c r="E22" s="41">
        <v>0.1</v>
      </c>
      <c r="F22" s="26">
        <v>0.1</v>
      </c>
      <c r="G22" s="26">
        <v>0.1</v>
      </c>
      <c r="H22" s="26">
        <f t="shared" si="3"/>
        <v>4.5000000000000005E-2</v>
      </c>
      <c r="I22" s="42">
        <f t="shared" si="0"/>
        <v>0.34500000000000003</v>
      </c>
      <c r="J22" s="41">
        <v>0.1</v>
      </c>
      <c r="K22" s="26">
        <v>0.1</v>
      </c>
      <c r="L22" s="26">
        <v>0.1</v>
      </c>
      <c r="M22" s="26">
        <f t="shared" si="4"/>
        <v>4.5000000000000005E-2</v>
      </c>
      <c r="N22" s="42">
        <f t="shared" si="1"/>
        <v>0.34500000000000003</v>
      </c>
      <c r="O22" s="41">
        <v>0.1</v>
      </c>
      <c r="P22" s="26">
        <v>0.1</v>
      </c>
      <c r="Q22" s="26">
        <v>0.1</v>
      </c>
      <c r="R22" s="26">
        <f t="shared" si="5"/>
        <v>4.5000000000000005E-2</v>
      </c>
      <c r="S22" s="42">
        <f t="shared" si="2"/>
        <v>0.34500000000000003</v>
      </c>
      <c r="T22" s="27"/>
    </row>
    <row r="23" spans="2:20">
      <c r="B23" s="24">
        <v>19</v>
      </c>
      <c r="C23" s="24" t="s">
        <v>272</v>
      </c>
      <c r="D23" s="25" t="s">
        <v>295</v>
      </c>
      <c r="E23" s="41">
        <v>0.1</v>
      </c>
      <c r="F23" s="26">
        <v>0.1</v>
      </c>
      <c r="G23" s="26">
        <v>0.1</v>
      </c>
      <c r="H23" s="26">
        <f t="shared" si="3"/>
        <v>4.5000000000000005E-2</v>
      </c>
      <c r="I23" s="42">
        <f t="shared" si="0"/>
        <v>0.34500000000000003</v>
      </c>
      <c r="J23" s="41">
        <v>0.1</v>
      </c>
      <c r="K23" s="26">
        <v>0.1</v>
      </c>
      <c r="L23" s="26">
        <v>0.1</v>
      </c>
      <c r="M23" s="26">
        <f t="shared" si="4"/>
        <v>4.5000000000000005E-2</v>
      </c>
      <c r="N23" s="42">
        <f t="shared" si="1"/>
        <v>0.34500000000000003</v>
      </c>
      <c r="O23" s="41">
        <v>0.1</v>
      </c>
      <c r="P23" s="26">
        <v>0.1</v>
      </c>
      <c r="Q23" s="26">
        <v>0.1</v>
      </c>
      <c r="R23" s="26">
        <f t="shared" si="5"/>
        <v>4.5000000000000005E-2</v>
      </c>
      <c r="S23" s="42">
        <f t="shared" si="2"/>
        <v>0.34500000000000003</v>
      </c>
      <c r="T23" s="27"/>
    </row>
    <row r="24" spans="2:20">
      <c r="B24" s="24">
        <v>20</v>
      </c>
      <c r="C24" s="24" t="s">
        <v>272</v>
      </c>
      <c r="D24" s="25" t="s">
        <v>295</v>
      </c>
      <c r="E24" s="41">
        <v>0.1</v>
      </c>
      <c r="F24" s="26">
        <v>0.1</v>
      </c>
      <c r="G24" s="26">
        <v>0.1</v>
      </c>
      <c r="H24" s="26">
        <f t="shared" si="3"/>
        <v>4.5000000000000005E-2</v>
      </c>
      <c r="I24" s="42">
        <f t="shared" si="0"/>
        <v>0.34500000000000003</v>
      </c>
      <c r="J24" s="41">
        <v>0.1</v>
      </c>
      <c r="K24" s="26">
        <v>0.1</v>
      </c>
      <c r="L24" s="26">
        <v>0.1</v>
      </c>
      <c r="M24" s="26">
        <f t="shared" si="4"/>
        <v>4.5000000000000005E-2</v>
      </c>
      <c r="N24" s="42">
        <f t="shared" si="1"/>
        <v>0.34500000000000003</v>
      </c>
      <c r="O24" s="41">
        <v>0.1</v>
      </c>
      <c r="P24" s="26">
        <v>0.1</v>
      </c>
      <c r="Q24" s="26">
        <v>0.1</v>
      </c>
      <c r="R24" s="26">
        <f t="shared" si="5"/>
        <v>4.5000000000000005E-2</v>
      </c>
      <c r="S24" s="42">
        <f t="shared" si="2"/>
        <v>0.34500000000000003</v>
      </c>
      <c r="T24" s="27"/>
    </row>
    <row r="25" spans="2:20">
      <c r="B25" s="24">
        <v>21</v>
      </c>
      <c r="C25" s="24" t="s">
        <v>278</v>
      </c>
      <c r="D25" s="24" t="s">
        <v>279</v>
      </c>
      <c r="E25" s="41">
        <v>0.1</v>
      </c>
      <c r="F25" s="26">
        <v>0.1</v>
      </c>
      <c r="G25" s="26">
        <v>0.1</v>
      </c>
      <c r="H25" s="26">
        <f t="shared" si="3"/>
        <v>4.5000000000000005E-2</v>
      </c>
      <c r="I25" s="42">
        <f t="shared" si="0"/>
        <v>0.34500000000000003</v>
      </c>
      <c r="J25" s="41">
        <v>0.1</v>
      </c>
      <c r="K25" s="26">
        <v>0.1</v>
      </c>
      <c r="L25" s="26">
        <v>0.1</v>
      </c>
      <c r="M25" s="26">
        <f t="shared" si="4"/>
        <v>4.5000000000000005E-2</v>
      </c>
      <c r="N25" s="42">
        <f t="shared" si="1"/>
        <v>0.34500000000000003</v>
      </c>
      <c r="O25" s="41">
        <v>0.1</v>
      </c>
      <c r="P25" s="26">
        <v>0.1</v>
      </c>
      <c r="Q25" s="26">
        <v>0.1</v>
      </c>
      <c r="R25" s="26">
        <f t="shared" si="5"/>
        <v>4.5000000000000005E-2</v>
      </c>
      <c r="S25" s="42">
        <f t="shared" si="2"/>
        <v>0.34500000000000003</v>
      </c>
      <c r="T25" s="27"/>
    </row>
    <row r="26" spans="2:20">
      <c r="B26" s="24">
        <v>22</v>
      </c>
      <c r="C26" s="24" t="s">
        <v>278</v>
      </c>
      <c r="D26" s="24" t="s">
        <v>279</v>
      </c>
      <c r="E26" s="41">
        <v>0.1</v>
      </c>
      <c r="F26" s="26">
        <v>0.1</v>
      </c>
      <c r="G26" s="26">
        <v>0.1</v>
      </c>
      <c r="H26" s="26">
        <f t="shared" si="3"/>
        <v>4.5000000000000005E-2</v>
      </c>
      <c r="I26" s="42">
        <f t="shared" si="0"/>
        <v>0.34500000000000003</v>
      </c>
      <c r="J26" s="41">
        <v>0.1</v>
      </c>
      <c r="K26" s="26">
        <v>0.1</v>
      </c>
      <c r="L26" s="26">
        <v>0.1</v>
      </c>
      <c r="M26" s="26">
        <f t="shared" si="4"/>
        <v>4.5000000000000005E-2</v>
      </c>
      <c r="N26" s="42">
        <f t="shared" si="1"/>
        <v>0.34500000000000003</v>
      </c>
      <c r="O26" s="41">
        <v>0.1</v>
      </c>
      <c r="P26" s="26">
        <v>0.1</v>
      </c>
      <c r="Q26" s="26">
        <v>0.1</v>
      </c>
      <c r="R26" s="26">
        <f t="shared" si="5"/>
        <v>4.5000000000000005E-2</v>
      </c>
      <c r="S26" s="42">
        <f t="shared" si="2"/>
        <v>0.34500000000000003</v>
      </c>
      <c r="T26" s="27"/>
    </row>
    <row r="27" spans="2:20">
      <c r="B27" s="24">
        <v>23</v>
      </c>
      <c r="C27" s="24" t="s">
        <v>278</v>
      </c>
      <c r="D27" s="24" t="s">
        <v>279</v>
      </c>
      <c r="E27" s="41">
        <v>0.1</v>
      </c>
      <c r="F27" s="26">
        <v>0.1</v>
      </c>
      <c r="G27" s="26">
        <v>0.1</v>
      </c>
      <c r="H27" s="26">
        <f t="shared" si="3"/>
        <v>4.5000000000000005E-2</v>
      </c>
      <c r="I27" s="42">
        <f t="shared" si="0"/>
        <v>0.34500000000000003</v>
      </c>
      <c r="J27" s="41">
        <v>0.1</v>
      </c>
      <c r="K27" s="26">
        <v>0.1</v>
      </c>
      <c r="L27" s="26">
        <v>0.1</v>
      </c>
      <c r="M27" s="26">
        <f t="shared" si="4"/>
        <v>4.5000000000000005E-2</v>
      </c>
      <c r="N27" s="42">
        <f t="shared" si="1"/>
        <v>0.34500000000000003</v>
      </c>
      <c r="O27" s="41">
        <v>0.1</v>
      </c>
      <c r="P27" s="26">
        <v>0.1</v>
      </c>
      <c r="Q27" s="26">
        <v>0.1</v>
      </c>
      <c r="R27" s="26">
        <f t="shared" si="5"/>
        <v>4.5000000000000005E-2</v>
      </c>
      <c r="S27" s="42">
        <f t="shared" si="2"/>
        <v>0.34500000000000003</v>
      </c>
      <c r="T27" s="27"/>
    </row>
    <row r="28" spans="2:20">
      <c r="B28" s="24">
        <v>24</v>
      </c>
      <c r="C28" s="24" t="s">
        <v>278</v>
      </c>
      <c r="D28" s="24" t="s">
        <v>279</v>
      </c>
      <c r="E28" s="41">
        <v>0.1</v>
      </c>
      <c r="F28" s="26">
        <v>0.1</v>
      </c>
      <c r="G28" s="26">
        <v>0.1</v>
      </c>
      <c r="H28" s="26">
        <f t="shared" si="3"/>
        <v>4.5000000000000005E-2</v>
      </c>
      <c r="I28" s="42">
        <f t="shared" si="0"/>
        <v>0.34500000000000003</v>
      </c>
      <c r="J28" s="41">
        <v>0.1</v>
      </c>
      <c r="K28" s="26">
        <v>0.1</v>
      </c>
      <c r="L28" s="26">
        <v>0.1</v>
      </c>
      <c r="M28" s="26">
        <f t="shared" si="4"/>
        <v>4.5000000000000005E-2</v>
      </c>
      <c r="N28" s="42">
        <f t="shared" si="1"/>
        <v>0.34500000000000003</v>
      </c>
      <c r="O28" s="41">
        <v>0.1</v>
      </c>
      <c r="P28" s="26">
        <v>0.1</v>
      </c>
      <c r="Q28" s="26">
        <v>0.1</v>
      </c>
      <c r="R28" s="26">
        <f t="shared" si="5"/>
        <v>4.5000000000000005E-2</v>
      </c>
      <c r="S28" s="42">
        <f t="shared" si="2"/>
        <v>0.34500000000000003</v>
      </c>
      <c r="T28" s="27"/>
    </row>
    <row r="29" spans="2:20">
      <c r="B29" s="24">
        <v>25</v>
      </c>
      <c r="C29" s="24" t="s">
        <v>280</v>
      </c>
      <c r="D29" s="25" t="s">
        <v>281</v>
      </c>
      <c r="E29" s="41">
        <v>0.1</v>
      </c>
      <c r="F29" s="26">
        <v>0.1</v>
      </c>
      <c r="G29" s="26">
        <v>0.1</v>
      </c>
      <c r="H29" s="26">
        <f t="shared" si="3"/>
        <v>4.5000000000000005E-2</v>
      </c>
      <c r="I29" s="42">
        <f t="shared" si="0"/>
        <v>0.34500000000000003</v>
      </c>
      <c r="J29" s="41">
        <v>0.1</v>
      </c>
      <c r="K29" s="26">
        <v>0.1</v>
      </c>
      <c r="L29" s="26">
        <v>0.1</v>
      </c>
      <c r="M29" s="26">
        <f t="shared" si="4"/>
        <v>4.5000000000000005E-2</v>
      </c>
      <c r="N29" s="42">
        <f t="shared" si="1"/>
        <v>0.34500000000000003</v>
      </c>
      <c r="O29" s="41">
        <v>0.1</v>
      </c>
      <c r="P29" s="26">
        <v>0.1</v>
      </c>
      <c r="Q29" s="26">
        <v>0.1</v>
      </c>
      <c r="R29" s="26">
        <f t="shared" si="5"/>
        <v>4.5000000000000005E-2</v>
      </c>
      <c r="S29" s="42">
        <f t="shared" si="2"/>
        <v>0.34500000000000003</v>
      </c>
      <c r="T29" s="27" t="s">
        <v>282</v>
      </c>
    </row>
    <row r="30" spans="2:20">
      <c r="B30" s="24">
        <v>26</v>
      </c>
      <c r="C30" s="24" t="s">
        <v>280</v>
      </c>
      <c r="D30" s="24" t="s">
        <v>283</v>
      </c>
      <c r="E30" s="41">
        <v>0.1</v>
      </c>
      <c r="F30" s="26">
        <v>0.1</v>
      </c>
      <c r="G30" s="26">
        <v>0.1</v>
      </c>
      <c r="H30" s="26">
        <f t="shared" si="3"/>
        <v>4.5000000000000005E-2</v>
      </c>
      <c r="I30" s="42">
        <f t="shared" si="0"/>
        <v>0.34500000000000003</v>
      </c>
      <c r="J30" s="41">
        <v>0.1</v>
      </c>
      <c r="K30" s="26">
        <v>0.1</v>
      </c>
      <c r="L30" s="26">
        <v>0.1</v>
      </c>
      <c r="M30" s="26">
        <f t="shared" si="4"/>
        <v>4.5000000000000005E-2</v>
      </c>
      <c r="N30" s="42">
        <f t="shared" si="1"/>
        <v>0.34500000000000003</v>
      </c>
      <c r="O30" s="41">
        <v>0.1</v>
      </c>
      <c r="P30" s="26">
        <v>0.1</v>
      </c>
      <c r="Q30" s="26">
        <v>0.1</v>
      </c>
      <c r="R30" s="26">
        <f t="shared" si="5"/>
        <v>4.5000000000000005E-2</v>
      </c>
      <c r="S30" s="42">
        <f t="shared" si="2"/>
        <v>0.34500000000000003</v>
      </c>
      <c r="T30" s="27" t="s">
        <v>284</v>
      </c>
    </row>
    <row r="31" spans="2:20">
      <c r="B31" s="24">
        <v>27</v>
      </c>
      <c r="C31" s="24" t="s">
        <v>280</v>
      </c>
      <c r="D31" s="24" t="s">
        <v>283</v>
      </c>
      <c r="E31" s="41">
        <v>0.1</v>
      </c>
      <c r="F31" s="26">
        <v>0.1</v>
      </c>
      <c r="G31" s="26">
        <v>0.1</v>
      </c>
      <c r="H31" s="26">
        <f t="shared" si="3"/>
        <v>4.5000000000000005E-2</v>
      </c>
      <c r="I31" s="42">
        <f t="shared" si="0"/>
        <v>0.34500000000000003</v>
      </c>
      <c r="J31" s="41">
        <v>0.1</v>
      </c>
      <c r="K31" s="26">
        <v>0.1</v>
      </c>
      <c r="L31" s="26">
        <v>0.1</v>
      </c>
      <c r="M31" s="26">
        <f t="shared" si="4"/>
        <v>4.5000000000000005E-2</v>
      </c>
      <c r="N31" s="42">
        <f t="shared" si="1"/>
        <v>0.34500000000000003</v>
      </c>
      <c r="O31" s="41">
        <v>0.1</v>
      </c>
      <c r="P31" s="26">
        <v>0.1</v>
      </c>
      <c r="Q31" s="26">
        <v>0.1</v>
      </c>
      <c r="R31" s="26">
        <f t="shared" si="5"/>
        <v>4.5000000000000005E-2</v>
      </c>
      <c r="S31" s="42">
        <f t="shared" si="2"/>
        <v>0.34500000000000003</v>
      </c>
      <c r="T31" s="27" t="s">
        <v>296</v>
      </c>
    </row>
    <row r="32" spans="2:20">
      <c r="E32" s="43"/>
      <c r="I32" s="44"/>
      <c r="J32" s="43"/>
      <c r="N32" s="44"/>
      <c r="O32" s="43"/>
      <c r="S32" s="44"/>
    </row>
    <row r="33" spans="4:20">
      <c r="D33" s="24" t="s">
        <v>285</v>
      </c>
      <c r="E33" s="41">
        <f t="shared" ref="E33:S33" si="6">SUM(E17:E31)</f>
        <v>1.5000000000000002</v>
      </c>
      <c r="F33" s="26">
        <f t="shared" si="6"/>
        <v>1.5000000000000002</v>
      </c>
      <c r="G33" s="26">
        <f t="shared" si="6"/>
        <v>1.5000000000000002</v>
      </c>
      <c r="H33" s="26">
        <f t="shared" si="6"/>
        <v>0.67500000000000004</v>
      </c>
      <c r="I33" s="42">
        <f t="shared" si="6"/>
        <v>5.1750000000000007</v>
      </c>
      <c r="J33" s="41">
        <f t="shared" si="6"/>
        <v>1.5000000000000002</v>
      </c>
      <c r="K33" s="26">
        <f t="shared" si="6"/>
        <v>1.5000000000000002</v>
      </c>
      <c r="L33" s="26">
        <f t="shared" si="6"/>
        <v>1.5000000000000002</v>
      </c>
      <c r="M33" s="26">
        <f t="shared" si="6"/>
        <v>0.67500000000000004</v>
      </c>
      <c r="N33" s="42">
        <f t="shared" si="6"/>
        <v>5.1750000000000007</v>
      </c>
      <c r="O33" s="41">
        <f t="shared" si="6"/>
        <v>1.5000000000000002</v>
      </c>
      <c r="P33" s="26">
        <f t="shared" si="6"/>
        <v>1.5000000000000002</v>
      </c>
      <c r="Q33" s="26">
        <f t="shared" si="6"/>
        <v>1.5000000000000002</v>
      </c>
      <c r="R33" s="26">
        <f t="shared" si="6"/>
        <v>0.67500000000000004</v>
      </c>
      <c r="S33" s="42">
        <f t="shared" si="6"/>
        <v>5.1750000000000007</v>
      </c>
      <c r="T33" s="28"/>
    </row>
    <row r="34" spans="4:20">
      <c r="E34" s="43"/>
      <c r="I34" s="44"/>
      <c r="J34" s="43"/>
      <c r="N34" s="44"/>
      <c r="O34" s="43"/>
      <c r="S34" s="44"/>
    </row>
    <row r="35" spans="4:20">
      <c r="D35" s="24" t="s">
        <v>286</v>
      </c>
      <c r="E35" s="45">
        <v>1000</v>
      </c>
      <c r="F35" s="29">
        <v>1000</v>
      </c>
      <c r="G35" s="29">
        <v>1000</v>
      </c>
      <c r="H35" s="29">
        <v>1200</v>
      </c>
      <c r="I35" s="46">
        <f>AVERAGE(E35:H35)</f>
        <v>1050</v>
      </c>
      <c r="J35" s="45">
        <v>1000</v>
      </c>
      <c r="K35" s="29">
        <v>1000</v>
      </c>
      <c r="L35" s="29">
        <v>1000</v>
      </c>
      <c r="M35" s="29">
        <v>1200</v>
      </c>
      <c r="N35" s="46">
        <f>AVERAGE(J35:M35)</f>
        <v>1050</v>
      </c>
      <c r="O35" s="45">
        <v>1000</v>
      </c>
      <c r="P35" s="29">
        <v>1000</v>
      </c>
      <c r="Q35" s="29">
        <v>1000</v>
      </c>
      <c r="R35" s="29">
        <v>1200</v>
      </c>
      <c r="S35" s="46">
        <f>AVERAGE(O35:R35)</f>
        <v>1050</v>
      </c>
    </row>
    <row r="36" spans="4:20" ht="18.600000000000001" thickBot="1">
      <c r="D36" s="24" t="s">
        <v>287</v>
      </c>
      <c r="E36" s="47">
        <f>E33*E35</f>
        <v>1500.0000000000002</v>
      </c>
      <c r="F36" s="48">
        <f t="shared" ref="F36:G36" si="7">F33*F35</f>
        <v>1500.0000000000002</v>
      </c>
      <c r="G36" s="48">
        <f t="shared" si="7"/>
        <v>1500.0000000000002</v>
      </c>
      <c r="H36" s="48">
        <f>H33*H35</f>
        <v>810</v>
      </c>
      <c r="I36" s="49">
        <f>SUM(E36:H36)</f>
        <v>5310.0000000000009</v>
      </c>
      <c r="J36" s="47">
        <f>J33*J35</f>
        <v>1500.0000000000002</v>
      </c>
      <c r="K36" s="48">
        <f t="shared" ref="K36:L36" si="8">K33*K35</f>
        <v>1500.0000000000002</v>
      </c>
      <c r="L36" s="48">
        <f t="shared" si="8"/>
        <v>1500.0000000000002</v>
      </c>
      <c r="M36" s="48">
        <f>M33*M35</f>
        <v>810</v>
      </c>
      <c r="N36" s="49">
        <f>SUM(J36:M36)</f>
        <v>5310.0000000000009</v>
      </c>
      <c r="O36" s="47">
        <f>O33*O35</f>
        <v>1500.0000000000002</v>
      </c>
      <c r="P36" s="48">
        <f t="shared" ref="P36:Q36" si="9">P33*P35</f>
        <v>1500.0000000000002</v>
      </c>
      <c r="Q36" s="48">
        <f t="shared" si="9"/>
        <v>1500.0000000000002</v>
      </c>
      <c r="R36" s="48">
        <f>R33*R35</f>
        <v>810</v>
      </c>
      <c r="S36" s="49">
        <f>SUM(O36:R36)</f>
        <v>5310.0000000000009</v>
      </c>
    </row>
  </sheetData>
  <autoFilter ref="B4:Y31" xr:uid="{00000000-0009-0000-0000-000008000000}"/>
  <mergeCells count="6">
    <mergeCell ref="E2:I2"/>
    <mergeCell ref="J2:N2"/>
    <mergeCell ref="O2:S2"/>
    <mergeCell ref="E3:H3"/>
    <mergeCell ref="J3:M3"/>
    <mergeCell ref="O3:R3"/>
  </mergeCells>
  <phoneticPr fontId="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I18"/>
  <sheetViews>
    <sheetView topLeftCell="A15" zoomScale="90" zoomScaleNormal="90" workbookViewId="0">
      <selection activeCell="E18" sqref="E18"/>
    </sheetView>
  </sheetViews>
  <sheetFormatPr defaultColWidth="8.625" defaultRowHeight="18.75" customHeight="1"/>
  <cols>
    <col min="1" max="1" width="2.625" style="53" customWidth="1"/>
    <col min="2" max="2" width="13.875" style="53" customWidth="1"/>
    <col min="3" max="3" width="37.625" style="53" customWidth="1"/>
    <col min="4" max="4" width="14" style="53" customWidth="1"/>
    <col min="5" max="5" width="9.875" style="53" customWidth="1"/>
    <col min="6" max="7" width="53.125" style="53" customWidth="1"/>
    <col min="8" max="16384" width="8.625" style="53"/>
  </cols>
  <sheetData>
    <row r="1" spans="2:9" ht="18">
      <c r="B1" s="53" t="s">
        <v>288</v>
      </c>
      <c r="C1" s="53" t="s">
        <v>297</v>
      </c>
    </row>
    <row r="2" spans="2:9" ht="18">
      <c r="B2" s="53" t="s">
        <v>298</v>
      </c>
      <c r="C2" s="53" t="s">
        <v>25</v>
      </c>
    </row>
    <row r="3" spans="2:9" ht="39.75" customHeight="1">
      <c r="B3" s="132" t="s">
        <v>299</v>
      </c>
      <c r="C3" s="132" t="s">
        <v>300</v>
      </c>
      <c r="D3" s="132" t="s">
        <v>301</v>
      </c>
      <c r="E3" s="133" t="s">
        <v>196</v>
      </c>
      <c r="F3" s="132" t="s">
        <v>302</v>
      </c>
      <c r="G3" s="132" t="s">
        <v>184</v>
      </c>
    </row>
    <row r="4" spans="2:9" ht="52.5" customHeight="1">
      <c r="B4" s="224" t="s">
        <v>190</v>
      </c>
      <c r="C4" s="135" t="s">
        <v>60</v>
      </c>
      <c r="D4" s="136">
        <v>0.3</v>
      </c>
      <c r="E4" s="227">
        <v>1.2</v>
      </c>
      <c r="F4" s="215" t="s">
        <v>303</v>
      </c>
      <c r="G4" s="137" t="s">
        <v>304</v>
      </c>
    </row>
    <row r="5" spans="2:9" ht="39" customHeight="1">
      <c r="B5" s="225"/>
      <c r="C5" s="135" t="s">
        <v>305</v>
      </c>
      <c r="D5" s="136">
        <v>0.3</v>
      </c>
      <c r="E5" s="228"/>
      <c r="F5" s="216"/>
      <c r="G5" s="137" t="s">
        <v>306</v>
      </c>
    </row>
    <row r="6" spans="2:9" ht="39" customHeight="1">
      <c r="B6" s="226"/>
      <c r="C6" s="135" t="s">
        <v>307</v>
      </c>
      <c r="D6" s="138">
        <v>0.6</v>
      </c>
      <c r="E6" s="229"/>
      <c r="F6" s="137"/>
      <c r="G6" s="137"/>
    </row>
    <row r="7" spans="2:9" ht="39" customHeight="1">
      <c r="B7" s="218" t="s">
        <v>191</v>
      </c>
      <c r="C7" s="135" t="s">
        <v>308</v>
      </c>
      <c r="D7" s="136">
        <v>0.6</v>
      </c>
      <c r="E7" s="220">
        <v>1</v>
      </c>
      <c r="F7" s="137" t="s">
        <v>309</v>
      </c>
      <c r="G7" s="137" t="s">
        <v>310</v>
      </c>
    </row>
    <row r="8" spans="2:9" ht="39" customHeight="1">
      <c r="B8" s="219"/>
      <c r="C8" s="135" t="s">
        <v>60</v>
      </c>
      <c r="D8" s="136">
        <v>0.3</v>
      </c>
      <c r="E8" s="221"/>
      <c r="F8" s="137" t="s">
        <v>311</v>
      </c>
      <c r="G8" s="137" t="s">
        <v>312</v>
      </c>
    </row>
    <row r="9" spans="2:9" ht="68.25" customHeight="1">
      <c r="B9" s="219"/>
      <c r="C9" s="135" t="s">
        <v>313</v>
      </c>
      <c r="D9" s="136">
        <v>0.1</v>
      </c>
      <c r="E9" s="221"/>
      <c r="F9" s="143" t="s">
        <v>314</v>
      </c>
      <c r="G9" s="137" t="s">
        <v>315</v>
      </c>
      <c r="H9" s="53">
        <f>15*0.2*3*1.2/8/20</f>
        <v>6.7499999999999991E-2</v>
      </c>
      <c r="I9" s="53">
        <f>68*0.2*1.2*3/8/20</f>
        <v>0.30599999999999999</v>
      </c>
    </row>
    <row r="10" spans="2:9" ht="71.25" customHeight="1">
      <c r="B10" s="218" t="s">
        <v>192</v>
      </c>
      <c r="C10" s="135" t="s">
        <v>49</v>
      </c>
      <c r="D10" s="136">
        <v>0.9</v>
      </c>
      <c r="E10" s="220">
        <v>1.1000000000000001</v>
      </c>
      <c r="F10" s="137"/>
      <c r="G10" s="137" t="s">
        <v>316</v>
      </c>
    </row>
    <row r="11" spans="2:9" ht="55.5" customHeight="1">
      <c r="B11" s="219"/>
      <c r="C11" s="135" t="s">
        <v>317</v>
      </c>
      <c r="D11" s="136">
        <v>0.2</v>
      </c>
      <c r="E11" s="221"/>
      <c r="F11" s="143" t="s">
        <v>318</v>
      </c>
      <c r="G11" s="137" t="s">
        <v>319</v>
      </c>
      <c r="H11" s="53">
        <f>15*0.2*5*1.2/8/20</f>
        <v>0.1125</v>
      </c>
      <c r="I11" s="53">
        <f>68*0.2*5*1.2/8/20</f>
        <v>0.51</v>
      </c>
    </row>
    <row r="12" spans="2:9" ht="82.5" customHeight="1">
      <c r="B12" s="218" t="s">
        <v>193</v>
      </c>
      <c r="C12" s="135" t="s">
        <v>320</v>
      </c>
      <c r="D12" s="136">
        <v>0.5</v>
      </c>
      <c r="E12" s="220">
        <v>2.8</v>
      </c>
      <c r="F12" s="215" t="s">
        <v>321</v>
      </c>
      <c r="G12" s="137" t="s">
        <v>322</v>
      </c>
      <c r="H12" s="53">
        <f>15*4*1.2/8/20</f>
        <v>0.45</v>
      </c>
      <c r="I12" s="53">
        <f>68*4*1.2/8/20</f>
        <v>2.04</v>
      </c>
    </row>
    <row r="13" spans="2:9" ht="39.75" customHeight="1">
      <c r="B13" s="219"/>
      <c r="C13" s="135" t="s">
        <v>323</v>
      </c>
      <c r="D13" s="136">
        <v>0.3</v>
      </c>
      <c r="E13" s="221"/>
      <c r="F13" s="217"/>
      <c r="G13" s="137" t="s">
        <v>324</v>
      </c>
    </row>
    <row r="14" spans="2:9" ht="135" customHeight="1">
      <c r="B14" s="219"/>
      <c r="C14" s="135" t="s">
        <v>325</v>
      </c>
      <c r="D14" s="136">
        <v>1.98</v>
      </c>
      <c r="E14" s="222"/>
      <c r="F14" s="216"/>
      <c r="G14" s="137" t="s">
        <v>326</v>
      </c>
    </row>
    <row r="15" spans="2:9" ht="54">
      <c r="B15" s="218" t="s">
        <v>194</v>
      </c>
      <c r="C15" s="135" t="s">
        <v>327</v>
      </c>
      <c r="D15" s="136">
        <v>1.2</v>
      </c>
      <c r="E15" s="220">
        <v>3.6</v>
      </c>
      <c r="F15" s="144" t="s">
        <v>328</v>
      </c>
      <c r="G15" s="137" t="s">
        <v>329</v>
      </c>
    </row>
    <row r="16" spans="2:9" ht="39.75" customHeight="1">
      <c r="B16" s="223"/>
      <c r="C16" s="135" t="s">
        <v>233</v>
      </c>
      <c r="D16" s="136">
        <v>2.4</v>
      </c>
      <c r="E16" s="222"/>
      <c r="F16" s="145" t="s">
        <v>330</v>
      </c>
      <c r="G16" s="140" t="s">
        <v>331</v>
      </c>
    </row>
    <row r="17" spans="2:7" ht="102" customHeight="1">
      <c r="B17" s="134" t="s">
        <v>195</v>
      </c>
      <c r="C17" s="141" t="s">
        <v>332</v>
      </c>
      <c r="D17" s="138">
        <v>3</v>
      </c>
      <c r="E17" s="139">
        <v>3</v>
      </c>
      <c r="F17" s="142" t="s">
        <v>333</v>
      </c>
      <c r="G17" s="142" t="s">
        <v>334</v>
      </c>
    </row>
    <row r="18" spans="2:7" ht="18">
      <c r="B18" s="230" t="s">
        <v>249</v>
      </c>
      <c r="C18" s="230"/>
      <c r="D18" s="230"/>
      <c r="E18" s="81">
        <f>SUM(E4:E17)</f>
        <v>12.7</v>
      </c>
      <c r="F18" s="116"/>
      <c r="G18" s="116"/>
    </row>
  </sheetData>
  <autoFilter ref="B3:G18" xr:uid="{00000000-0009-0000-0000-000009000000}"/>
  <mergeCells count="13">
    <mergeCell ref="B18:D18"/>
    <mergeCell ref="B7:B9"/>
    <mergeCell ref="E7:E9"/>
    <mergeCell ref="B10:B11"/>
    <mergeCell ref="E10:E11"/>
    <mergeCell ref="F4:F5"/>
    <mergeCell ref="F12:F14"/>
    <mergeCell ref="B12:B14"/>
    <mergeCell ref="E12:E14"/>
    <mergeCell ref="B15:B16"/>
    <mergeCell ref="E15:E16"/>
    <mergeCell ref="B4:B6"/>
    <mergeCell ref="E4:E6"/>
  </mergeCells>
  <phoneticPr fontId="2"/>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I18"/>
  <sheetViews>
    <sheetView zoomScale="80" zoomScaleNormal="80" workbookViewId="0"/>
  </sheetViews>
  <sheetFormatPr defaultColWidth="8.625" defaultRowHeight="18.75" customHeight="1"/>
  <cols>
    <col min="1" max="1" width="2.625" style="53" customWidth="1"/>
    <col min="2" max="2" width="13.875" style="53" customWidth="1"/>
    <col min="3" max="3" width="37.625" style="53" customWidth="1"/>
    <col min="4" max="4" width="14" style="53" customWidth="1"/>
    <col min="5" max="5" width="9.875" style="53" customWidth="1"/>
    <col min="6" max="7" width="53.125" style="53" customWidth="1"/>
    <col min="8" max="16384" width="8.625" style="53"/>
  </cols>
  <sheetData>
    <row r="1" spans="2:9" ht="18">
      <c r="B1" s="53" t="s">
        <v>288</v>
      </c>
      <c r="C1" s="53" t="s">
        <v>335</v>
      </c>
    </row>
    <row r="2" spans="2:9" ht="18">
      <c r="B2" s="53" t="s">
        <v>298</v>
      </c>
      <c r="C2" s="53" t="s">
        <v>25</v>
      </c>
    </row>
    <row r="3" spans="2:9" ht="39.75" customHeight="1">
      <c r="B3" s="132" t="s">
        <v>299</v>
      </c>
      <c r="C3" s="132" t="s">
        <v>300</v>
      </c>
      <c r="D3" s="132" t="s">
        <v>301</v>
      </c>
      <c r="E3" s="133" t="s">
        <v>196</v>
      </c>
      <c r="F3" s="132" t="s">
        <v>302</v>
      </c>
      <c r="G3" s="132" t="s">
        <v>184</v>
      </c>
    </row>
    <row r="4" spans="2:9" ht="52.5" customHeight="1">
      <c r="B4" s="224" t="s">
        <v>190</v>
      </c>
      <c r="C4" s="135" t="s">
        <v>60</v>
      </c>
      <c r="D4" s="136">
        <v>0.3</v>
      </c>
      <c r="E4" s="227">
        <v>1.2</v>
      </c>
      <c r="F4" s="215" t="s">
        <v>303</v>
      </c>
      <c r="G4" s="137" t="s">
        <v>304</v>
      </c>
    </row>
    <row r="5" spans="2:9" ht="39" customHeight="1">
      <c r="B5" s="225"/>
      <c r="C5" s="135" t="s">
        <v>305</v>
      </c>
      <c r="D5" s="136">
        <v>0.3</v>
      </c>
      <c r="E5" s="228"/>
      <c r="F5" s="216"/>
      <c r="G5" s="137" t="s">
        <v>306</v>
      </c>
    </row>
    <row r="6" spans="2:9" ht="39" customHeight="1">
      <c r="B6" s="226"/>
      <c r="C6" s="135" t="s">
        <v>307</v>
      </c>
      <c r="D6" s="138">
        <v>0.6</v>
      </c>
      <c r="E6" s="229"/>
      <c r="F6" s="137"/>
      <c r="G6" s="137"/>
    </row>
    <row r="7" spans="2:9" ht="39" customHeight="1">
      <c r="B7" s="218" t="s">
        <v>191</v>
      </c>
      <c r="C7" s="135" t="s">
        <v>308</v>
      </c>
      <c r="D7" s="136">
        <v>0.6</v>
      </c>
      <c r="E7" s="220">
        <v>1.2</v>
      </c>
      <c r="F7" s="137" t="s">
        <v>309</v>
      </c>
      <c r="G7" s="137" t="s">
        <v>310</v>
      </c>
    </row>
    <row r="8" spans="2:9" ht="39" customHeight="1">
      <c r="B8" s="219"/>
      <c r="C8" s="135" t="s">
        <v>60</v>
      </c>
      <c r="D8" s="136">
        <v>0.3</v>
      </c>
      <c r="E8" s="221"/>
      <c r="F8" s="137" t="s">
        <v>311</v>
      </c>
      <c r="G8" s="137" t="s">
        <v>312</v>
      </c>
    </row>
    <row r="9" spans="2:9" ht="68.25" customHeight="1">
      <c r="B9" s="219"/>
      <c r="C9" s="135" t="s">
        <v>313</v>
      </c>
      <c r="D9" s="136">
        <v>0.3</v>
      </c>
      <c r="E9" s="222"/>
      <c r="F9" s="143" t="s">
        <v>314</v>
      </c>
      <c r="G9" s="137" t="s">
        <v>336</v>
      </c>
      <c r="H9" s="53">
        <f>53*0.2*3*1.2/8/20</f>
        <v>0.23850000000000002</v>
      </c>
      <c r="I9" s="53">
        <f>68*0.2*1.2*3/8/20</f>
        <v>0.30599999999999999</v>
      </c>
    </row>
    <row r="10" spans="2:9" ht="71.25" customHeight="1">
      <c r="B10" s="218" t="s">
        <v>192</v>
      </c>
      <c r="C10" s="135" t="s">
        <v>49</v>
      </c>
      <c r="D10" s="136">
        <v>0.9</v>
      </c>
      <c r="E10" s="220">
        <v>1.3</v>
      </c>
      <c r="F10" s="137"/>
      <c r="G10" s="137" t="s">
        <v>316</v>
      </c>
    </row>
    <row r="11" spans="2:9" ht="55.5" customHeight="1">
      <c r="B11" s="223"/>
      <c r="C11" s="135" t="s">
        <v>317</v>
      </c>
      <c r="D11" s="136">
        <v>0.4</v>
      </c>
      <c r="E11" s="222"/>
      <c r="F11" s="143" t="s">
        <v>318</v>
      </c>
      <c r="G11" s="137" t="s">
        <v>337</v>
      </c>
      <c r="H11" s="53">
        <f>53*0.2*5*1.2/8/20</f>
        <v>0.39750000000000008</v>
      </c>
      <c r="I11" s="53">
        <f>68*0.2*5*1.2/8/20</f>
        <v>0.51</v>
      </c>
    </row>
    <row r="12" spans="2:9" ht="82.5" customHeight="1">
      <c r="B12" s="218" t="s">
        <v>193</v>
      </c>
      <c r="C12" s="135" t="s">
        <v>320</v>
      </c>
      <c r="D12" s="136">
        <v>1.6</v>
      </c>
      <c r="E12" s="220">
        <v>3.9</v>
      </c>
      <c r="F12" s="215" t="s">
        <v>321</v>
      </c>
      <c r="G12" s="137" t="s">
        <v>338</v>
      </c>
      <c r="H12" s="53">
        <f>53*4*1.2/8/20</f>
        <v>1.5899999999999999</v>
      </c>
      <c r="I12" s="53">
        <f>68*4*1.2/8/20</f>
        <v>2.04</v>
      </c>
    </row>
    <row r="13" spans="2:9" ht="39.75" customHeight="1">
      <c r="B13" s="219"/>
      <c r="C13" s="135" t="s">
        <v>323</v>
      </c>
      <c r="D13" s="136">
        <v>0.3</v>
      </c>
      <c r="E13" s="221"/>
      <c r="F13" s="217"/>
      <c r="G13" s="137" t="s">
        <v>324</v>
      </c>
    </row>
    <row r="14" spans="2:9" ht="135" customHeight="1">
      <c r="B14" s="219"/>
      <c r="C14" s="135" t="s">
        <v>325</v>
      </c>
      <c r="D14" s="136">
        <v>1.98</v>
      </c>
      <c r="E14" s="222"/>
      <c r="F14" s="216"/>
      <c r="G14" s="137" t="s">
        <v>339</v>
      </c>
    </row>
    <row r="15" spans="2:9" ht="54">
      <c r="B15" s="218" t="s">
        <v>194</v>
      </c>
      <c r="C15" s="135" t="s">
        <v>327</v>
      </c>
      <c r="D15" s="136">
        <v>1.2</v>
      </c>
      <c r="E15" s="220">
        <v>3.6</v>
      </c>
      <c r="F15" s="144" t="s">
        <v>328</v>
      </c>
      <c r="G15" s="137" t="s">
        <v>329</v>
      </c>
    </row>
    <row r="16" spans="2:9" ht="39.75" customHeight="1">
      <c r="B16" s="223"/>
      <c r="C16" s="135" t="s">
        <v>233</v>
      </c>
      <c r="D16" s="136">
        <v>2.4</v>
      </c>
      <c r="E16" s="222"/>
      <c r="F16" s="145" t="s">
        <v>330</v>
      </c>
      <c r="G16" s="140" t="s">
        <v>331</v>
      </c>
    </row>
    <row r="17" spans="2:7" ht="102" customHeight="1">
      <c r="B17" s="134" t="s">
        <v>195</v>
      </c>
      <c r="C17" s="141" t="s">
        <v>332</v>
      </c>
      <c r="D17" s="138">
        <v>2.95</v>
      </c>
      <c r="E17" s="139">
        <v>2.95</v>
      </c>
      <c r="F17" s="142" t="s">
        <v>333</v>
      </c>
      <c r="G17" s="142" t="s">
        <v>334</v>
      </c>
    </row>
    <row r="18" spans="2:7" ht="18">
      <c r="B18" s="230" t="s">
        <v>249</v>
      </c>
      <c r="C18" s="230"/>
      <c r="D18" s="230"/>
      <c r="E18" s="81">
        <f>SUM(E4:E17)</f>
        <v>14.149999999999999</v>
      </c>
      <c r="F18" s="116"/>
      <c r="G18" s="116"/>
    </row>
  </sheetData>
  <autoFilter ref="B3:G18" xr:uid="{00000000-0009-0000-0000-00000A000000}"/>
  <mergeCells count="13">
    <mergeCell ref="B18:D18"/>
    <mergeCell ref="B4:B6"/>
    <mergeCell ref="E4:E6"/>
    <mergeCell ref="F4:F5"/>
    <mergeCell ref="B7:B9"/>
    <mergeCell ref="E7:E9"/>
    <mergeCell ref="B10:B11"/>
    <mergeCell ref="E10:E11"/>
    <mergeCell ref="B12:B14"/>
    <mergeCell ref="E12:E14"/>
    <mergeCell ref="F12:F14"/>
    <mergeCell ref="B15:B16"/>
    <mergeCell ref="E15:E16"/>
  </mergeCells>
  <phoneticPr fontId="2"/>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J33"/>
  <sheetViews>
    <sheetView zoomScale="90" zoomScaleNormal="90" workbookViewId="0">
      <selection activeCell="F13" sqref="F13"/>
    </sheetView>
  </sheetViews>
  <sheetFormatPr defaultRowHeight="18"/>
  <cols>
    <col min="1" max="1" width="3.125" customWidth="1"/>
    <col min="2" max="2" width="3.625" bestFit="1" customWidth="1"/>
    <col min="3" max="4" width="13.625" customWidth="1"/>
    <col min="5" max="5" width="27.125" customWidth="1"/>
    <col min="6" max="6" width="11.625" customWidth="1"/>
    <col min="7" max="7" width="26.625" customWidth="1"/>
    <col min="8" max="8" width="25.625" customWidth="1"/>
    <col min="9" max="9" width="26.5" customWidth="1"/>
  </cols>
  <sheetData>
    <row r="2" spans="2:10">
      <c r="B2" s="1" t="s">
        <v>340</v>
      </c>
    </row>
    <row r="3" spans="2:10">
      <c r="C3" t="s">
        <v>341</v>
      </c>
    </row>
    <row r="4" spans="2:10">
      <c r="C4" t="s">
        <v>342</v>
      </c>
    </row>
    <row r="5" spans="2:10">
      <c r="C5" t="s">
        <v>343</v>
      </c>
    </row>
    <row r="8" spans="2:10">
      <c r="B8" s="1" t="s">
        <v>344</v>
      </c>
      <c r="C8" s="1"/>
      <c r="D8" s="1"/>
      <c r="E8" s="1"/>
    </row>
    <row r="9" spans="2:10">
      <c r="B9" s="2" t="s">
        <v>345</v>
      </c>
      <c r="C9" s="231" t="s">
        <v>346</v>
      </c>
      <c r="D9" s="231"/>
      <c r="E9" s="3" t="s">
        <v>347</v>
      </c>
      <c r="F9" s="3" t="s">
        <v>348</v>
      </c>
      <c r="G9" s="3" t="s">
        <v>349</v>
      </c>
      <c r="H9" s="3" t="s">
        <v>350</v>
      </c>
      <c r="I9" s="3" t="s">
        <v>351</v>
      </c>
    </row>
    <row r="10" spans="2:10" ht="89.45" customHeight="1">
      <c r="B10" s="4">
        <v>1</v>
      </c>
      <c r="C10" s="232" t="s">
        <v>352</v>
      </c>
      <c r="D10" s="232"/>
      <c r="E10" s="5" t="s">
        <v>353</v>
      </c>
      <c r="F10" s="17">
        <v>5.75</v>
      </c>
      <c r="G10" s="15" t="s">
        <v>354</v>
      </c>
      <c r="H10" s="15" t="s">
        <v>355</v>
      </c>
      <c r="I10" s="5" t="s">
        <v>356</v>
      </c>
      <c r="J10">
        <f>4
+0.5
+0.25
+0.5
+0.5</f>
        <v>5.75</v>
      </c>
    </row>
    <row r="11" spans="2:10" ht="89.45" customHeight="1">
      <c r="B11" s="4">
        <v>2</v>
      </c>
      <c r="C11" s="232" t="s">
        <v>357</v>
      </c>
      <c r="D11" s="232"/>
      <c r="E11" s="5" t="s">
        <v>353</v>
      </c>
      <c r="F11" s="17">
        <v>5.75</v>
      </c>
      <c r="G11" s="15" t="s">
        <v>354</v>
      </c>
      <c r="H11" s="15" t="s">
        <v>355</v>
      </c>
      <c r="I11" s="5" t="s">
        <v>356</v>
      </c>
      <c r="J11">
        <f>4
+0.5
+0.25
+0.5
+0.5</f>
        <v>5.75</v>
      </c>
    </row>
    <row r="12" spans="2:10" ht="87.6">
      <c r="B12" s="4">
        <v>3</v>
      </c>
      <c r="C12" s="232" t="s">
        <v>358</v>
      </c>
      <c r="D12" s="232"/>
      <c r="E12" s="6" t="s">
        <v>359</v>
      </c>
      <c r="F12" s="17">
        <v>8.5</v>
      </c>
      <c r="G12" s="15" t="s">
        <v>360</v>
      </c>
      <c r="H12" s="15" t="s">
        <v>361</v>
      </c>
      <c r="I12" s="5" t="s">
        <v>362</v>
      </c>
      <c r="J12" s="18">
        <f>4
+0.5*4
+0.25*4
+0.5*2
+0.5</f>
        <v>8.5</v>
      </c>
    </row>
    <row r="13" spans="2:10" ht="87.6">
      <c r="B13" s="4">
        <v>4</v>
      </c>
      <c r="C13" s="232" t="s">
        <v>363</v>
      </c>
      <c r="D13" s="232"/>
      <c r="E13" s="6" t="s">
        <v>364</v>
      </c>
      <c r="F13" s="17">
        <v>6.75</v>
      </c>
      <c r="G13" s="15" t="s">
        <v>365</v>
      </c>
      <c r="H13" s="15" t="s">
        <v>366</v>
      </c>
      <c r="I13" s="5" t="s">
        <v>362</v>
      </c>
      <c r="J13">
        <f>4
+0.5*2
+0.25*2
+0.5*2
+0.25</f>
        <v>6.75</v>
      </c>
    </row>
    <row r="14" spans="2:10" ht="35.1">
      <c r="B14" s="4">
        <v>5</v>
      </c>
      <c r="C14" s="233" t="s">
        <v>367</v>
      </c>
      <c r="D14" s="234"/>
      <c r="E14" s="6"/>
      <c r="F14" s="17">
        <v>0.5</v>
      </c>
      <c r="G14" s="15" t="s">
        <v>368</v>
      </c>
      <c r="H14" s="16">
        <v>0.5</v>
      </c>
      <c r="I14" s="5" t="s">
        <v>369</v>
      </c>
    </row>
    <row r="15" spans="2:10" ht="69.95">
      <c r="B15" s="4">
        <v>6</v>
      </c>
      <c r="C15" s="232" t="s">
        <v>370</v>
      </c>
      <c r="D15" s="232"/>
      <c r="E15" s="5" t="s">
        <v>371</v>
      </c>
      <c r="F15" s="17">
        <v>6.75</v>
      </c>
      <c r="G15" s="15" t="s">
        <v>372</v>
      </c>
      <c r="H15" s="15" t="s">
        <v>373</v>
      </c>
      <c r="I15" s="5" t="s">
        <v>374</v>
      </c>
      <c r="J15">
        <f>4
+0.5*3
+0.25*3
+0.5</f>
        <v>6.75</v>
      </c>
    </row>
    <row r="16" spans="2:10" ht="35.1">
      <c r="B16" s="4">
        <v>7</v>
      </c>
      <c r="C16" s="232" t="s">
        <v>375</v>
      </c>
      <c r="D16" s="232"/>
      <c r="E16" s="6" t="s">
        <v>376</v>
      </c>
      <c r="F16" s="15">
        <v>4</v>
      </c>
      <c r="G16" s="15" t="s">
        <v>377</v>
      </c>
      <c r="H16" s="15">
        <v>4</v>
      </c>
      <c r="I16" s="5" t="s">
        <v>378</v>
      </c>
    </row>
    <row r="17" spans="2:9" ht="35.1">
      <c r="B17" s="4">
        <v>8</v>
      </c>
      <c r="C17" s="232" t="s">
        <v>379</v>
      </c>
      <c r="D17" s="232"/>
      <c r="E17" s="6" t="s">
        <v>376</v>
      </c>
      <c r="F17" s="15">
        <v>4</v>
      </c>
      <c r="G17" s="15" t="s">
        <v>380</v>
      </c>
      <c r="H17" s="15">
        <v>4</v>
      </c>
      <c r="I17" s="5" t="s">
        <v>381</v>
      </c>
    </row>
    <row r="18" spans="2:9">
      <c r="B18" s="4">
        <v>9</v>
      </c>
      <c r="C18" s="232" t="s">
        <v>382</v>
      </c>
      <c r="D18" s="232"/>
      <c r="E18" s="6" t="s">
        <v>383</v>
      </c>
      <c r="F18" s="15"/>
      <c r="G18" s="15"/>
      <c r="H18" s="15"/>
      <c r="I18" s="6" t="s">
        <v>384</v>
      </c>
    </row>
    <row r="19" spans="2:9">
      <c r="B19" s="14"/>
      <c r="C19" s="232" t="s">
        <v>385</v>
      </c>
      <c r="D19" s="232"/>
      <c r="E19" s="14"/>
      <c r="F19" s="17">
        <v>3.35</v>
      </c>
      <c r="G19" s="15"/>
      <c r="H19" s="15"/>
      <c r="I19" s="5" t="s">
        <v>362</v>
      </c>
    </row>
    <row r="21" spans="2:9">
      <c r="F21" t="s">
        <v>386</v>
      </c>
    </row>
    <row r="22" spans="2:9">
      <c r="F22" t="s">
        <v>387</v>
      </c>
    </row>
    <row r="23" spans="2:9">
      <c r="F23" t="s">
        <v>388</v>
      </c>
    </row>
    <row r="24" spans="2:9">
      <c r="F24" t="s">
        <v>389</v>
      </c>
    </row>
    <row r="25" spans="2:9">
      <c r="F25" t="s">
        <v>390</v>
      </c>
    </row>
    <row r="26" spans="2:9">
      <c r="F26" t="s">
        <v>391</v>
      </c>
    </row>
    <row r="27" spans="2:9">
      <c r="H27">
        <f>350+50*4+20*4+50*2+50</f>
        <v>780</v>
      </c>
    </row>
    <row r="28" spans="2:9">
      <c r="F28">
        <f>14*5/8*(100/20)</f>
        <v>43.75</v>
      </c>
      <c r="H28">
        <f>350+50*3+20*3+80</f>
        <v>640</v>
      </c>
    </row>
    <row r="29" spans="2:9">
      <c r="F29">
        <f>12*5/8*(100/20)</f>
        <v>37.5</v>
      </c>
    </row>
    <row r="30" spans="2:9">
      <c r="F30">
        <f>19*5/8*(100/20)</f>
        <v>59.375</v>
      </c>
    </row>
    <row r="31" spans="2:9">
      <c r="F31">
        <f>6*5/8*(100/20)</f>
        <v>18.75</v>
      </c>
    </row>
    <row r="32" spans="2:9">
      <c r="F32">
        <f>24*5/8*(100/20)</f>
        <v>75</v>
      </c>
    </row>
    <row r="33" spans="6:6">
      <c r="F33">
        <f>3*5/8*(100/20)</f>
        <v>9.375</v>
      </c>
    </row>
  </sheetData>
  <mergeCells count="11">
    <mergeCell ref="C14:D14"/>
    <mergeCell ref="C16:D16"/>
    <mergeCell ref="C17:D17"/>
    <mergeCell ref="C19:D19"/>
    <mergeCell ref="C18:D18"/>
    <mergeCell ref="C15:D15"/>
    <mergeCell ref="C9:D9"/>
    <mergeCell ref="C10:D10"/>
    <mergeCell ref="C11:D11"/>
    <mergeCell ref="C12:D12"/>
    <mergeCell ref="C13:D13"/>
  </mergeCells>
  <phoneticPr fontId="2"/>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B207C222D4A704392DD812ABE7F848A" ma:contentTypeVersion="4" ma:contentTypeDescription="新しいドキュメントを作成します。" ma:contentTypeScope="" ma:versionID="8d136f6bca879cb90346a66279902dfa">
  <xsd:schema xmlns:xsd="http://www.w3.org/2001/XMLSchema" xmlns:xs="http://www.w3.org/2001/XMLSchema" xmlns:p="http://schemas.microsoft.com/office/2006/metadata/properties" xmlns:ns2="2fd442da-66a9-4fa6-ba31-eb0d54ad1381" targetNamespace="http://schemas.microsoft.com/office/2006/metadata/properties" ma:root="true" ma:fieldsID="5b8a779dc52d08a32251a6f3465a5e55" ns2:_="">
    <xsd:import namespace="2fd442da-66a9-4fa6-ba31-eb0d54ad13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442da-66a9-4fa6-ba31-eb0d54ad13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A864CA5-6A36-4D32-A246-460A558B2DC7}"/>
</file>

<file path=customXml/itemProps2.xml><?xml version="1.0" encoding="utf-8"?>
<ds:datastoreItem xmlns:ds="http://schemas.openxmlformats.org/officeDocument/2006/customXml" ds:itemID="{9BD6512D-A18B-4320-B63D-7ECD6E39B95B}"/>
</file>

<file path=customXml/itemProps3.xml><?xml version="1.0" encoding="utf-8"?>
<ds:datastoreItem xmlns:ds="http://schemas.openxmlformats.org/officeDocument/2006/customXml" ds:itemID="{D1DB29BB-E89A-4117-8E68-5ED918D8F1A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伊達 翔互</dc:creator>
  <cp:keywords/>
  <dc:description/>
  <cp:lastModifiedBy>野村康二</cp:lastModifiedBy>
  <cp:revision/>
  <dcterms:created xsi:type="dcterms:W3CDTF">2023-12-19T04:33:48Z</dcterms:created>
  <dcterms:modified xsi:type="dcterms:W3CDTF">2025-03-24T06:42:31Z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0x0101008B207C222D4A704392DD812ABE7F848A</vt:lpwstr>
  </property>
  <property fmtid="{D5CDD505-2E9C-101B-9397-08002B2CF9AE}" pid="3" name="MediaServiceImageTags">
    <vt:lpwstr/>
  </property>
</Properties>
</file>