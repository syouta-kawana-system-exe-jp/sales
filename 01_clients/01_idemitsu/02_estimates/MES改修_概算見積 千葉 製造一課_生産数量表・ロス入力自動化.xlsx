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26424/Shared Documents/05.見積レビュー/"/>
    </mc:Choice>
  </mc:AlternateContent>
  <xr:revisionPtr revIDLastSave="43" documentId="13_ncr:1_{D4D73361-1BA4-4DBF-971B-88CFA96244AE}" xr6:coauthVersionLast="47" xr6:coauthVersionMax="47" xr10:uidLastSave="{73E68592-3687-451B-8A6F-99E31E1DAAE4}"/>
  <bookViews>
    <workbookView xWindow="-28920" yWindow="-120" windowWidth="29040" windowHeight="15720" xr2:uid="{00000000-000D-0000-FFFF-FFFF00000000}"/>
  </bookViews>
  <sheets>
    <sheet name="MES_概算御見積（内部用）" sheetId="11" r:id="rId1"/>
    <sheet name="MES_概算御見積（顧客提出用）" sheetId="13" r:id="rId2"/>
    <sheet name="スケジュール概算" sheetId="14" r:id="rId3"/>
  </sheets>
  <definedNames>
    <definedName name="_xlnm.Print_Area" localSheetId="1">'MES_概算御見積（顧客提出用）'!$A$1:$J$19</definedName>
    <definedName name="_xlnm.Print_Titles" localSheetId="1">'MES_概算御見積（顧客提出用）'!$1:$3</definedName>
    <definedName name="_xlnm.Print_Titles" localSheetId="0">'MES_概算御見積（内部用）'!$1:$3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4" l="1"/>
  <c r="Q4" i="14"/>
  <c r="Q3" i="14"/>
  <c r="P5" i="14"/>
  <c r="P4" i="14"/>
  <c r="P3" i="14"/>
  <c r="D3" i="14"/>
  <c r="D4" i="14"/>
  <c r="D5" i="14"/>
  <c r="C4" i="14"/>
  <c r="C5" i="14"/>
  <c r="C3" i="14"/>
  <c r="B3" i="14"/>
  <c r="E4" i="14"/>
  <c r="E5" i="14"/>
  <c r="E3" i="14"/>
  <c r="AA4" i="11"/>
  <c r="C5" i="13"/>
  <c r="D5" i="13"/>
  <c r="E5" i="13"/>
  <c r="C6" i="13"/>
  <c r="D6" i="13"/>
  <c r="E6" i="13"/>
  <c r="Q4" i="11"/>
  <c r="AB4" i="11" l="1"/>
  <c r="G4" i="13"/>
  <c r="R2" i="14"/>
  <c r="G3" i="14"/>
  <c r="H3" i="14"/>
  <c r="I3" i="14"/>
  <c r="J3" i="14"/>
  <c r="K3" i="14"/>
  <c r="G4" i="14"/>
  <c r="H4" i="14"/>
  <c r="I4" i="14"/>
  <c r="J4" i="14"/>
  <c r="K4" i="14"/>
  <c r="G5" i="14"/>
  <c r="H5" i="14"/>
  <c r="I5" i="14"/>
  <c r="J5" i="14"/>
  <c r="K5" i="14"/>
  <c r="F4" i="14"/>
  <c r="F5" i="14"/>
  <c r="F3" i="14"/>
  <c r="E4" i="13"/>
  <c r="D4" i="13"/>
  <c r="C4" i="13"/>
  <c r="F5" i="13"/>
  <c r="X5" i="11" l="1"/>
  <c r="W5" i="11"/>
  <c r="V5" i="11"/>
  <c r="U5" i="11"/>
  <c r="T5" i="11"/>
  <c r="S5" i="11"/>
  <c r="Q5" i="11"/>
  <c r="Q6" i="11"/>
  <c r="AA6" i="11" s="1"/>
  <c r="S6" i="11"/>
  <c r="T6" i="11"/>
  <c r="U6" i="11"/>
  <c r="V6" i="11"/>
  <c r="W6" i="11"/>
  <c r="X6" i="11"/>
  <c r="S2" i="14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I2" i="14" s="1"/>
  <c r="AJ2" i="14" s="1"/>
  <c r="AK2" i="14" s="1"/>
  <c r="AL2" i="14" s="1"/>
  <c r="AM2" i="14" s="1"/>
  <c r="AN2" i="14" s="1"/>
  <c r="AO2" i="14" s="1"/>
  <c r="AP2" i="14" s="1"/>
  <c r="AQ2" i="14" s="1"/>
  <c r="AR2" i="14" s="1"/>
  <c r="AS2" i="14" s="1"/>
  <c r="AT2" i="14" s="1"/>
  <c r="AU2" i="14" s="1"/>
  <c r="AV2" i="14" s="1"/>
  <c r="AW2" i="14" s="1"/>
  <c r="AX2" i="14" s="1"/>
  <c r="AY2" i="14" s="1"/>
  <c r="AZ2" i="14" s="1"/>
  <c r="BA2" i="14" s="1"/>
  <c r="BB2" i="14" s="1"/>
  <c r="BC2" i="14" s="1"/>
  <c r="BD2" i="14" s="1"/>
  <c r="BE2" i="14" s="1"/>
  <c r="F4" i="13"/>
  <c r="F6" i="13"/>
  <c r="B4" i="13"/>
  <c r="G6" i="13" l="1"/>
  <c r="AC6" i="11"/>
  <c r="AD6" i="11" s="1"/>
  <c r="AB6" i="11"/>
  <c r="AE6" i="11" s="1"/>
  <c r="I6" i="13" s="1"/>
  <c r="H5" i="11"/>
  <c r="AA5" i="11"/>
  <c r="J6" i="11"/>
  <c r="Y6" i="11"/>
  <c r="AG6" i="11" s="1"/>
  <c r="L5" i="14"/>
  <c r="M5" i="14" s="1"/>
  <c r="N5" i="14" s="1"/>
  <c r="Y5" i="11"/>
  <c r="AG5" i="11" s="1"/>
  <c r="L4" i="14"/>
  <c r="M4" i="14" s="1"/>
  <c r="H6" i="11"/>
  <c r="AO4" i="11"/>
  <c r="AP4" i="11"/>
  <c r="AQ4" i="11"/>
  <c r="AR4" i="11"/>
  <c r="AN4" i="11"/>
  <c r="AM4" i="11"/>
  <c r="S4" i="11"/>
  <c r="X4" i="11"/>
  <c r="AZ4" i="11" s="1"/>
  <c r="W4" i="11"/>
  <c r="V4" i="11"/>
  <c r="U4" i="11"/>
  <c r="T4" i="11"/>
  <c r="AH5" i="11" l="1"/>
  <c r="AI5" i="11"/>
  <c r="AJ5" i="11" s="1"/>
  <c r="AI6" i="11"/>
  <c r="AJ6" i="11" s="1"/>
  <c r="AH6" i="11"/>
  <c r="AC5" i="11"/>
  <c r="G5" i="13"/>
  <c r="AB5" i="11"/>
  <c r="H6" i="13"/>
  <c r="Y4" i="11"/>
  <c r="AG4" i="11" s="1"/>
  <c r="L3" i="14"/>
  <c r="M3" i="14" s="1"/>
  <c r="AW4" i="11"/>
  <c r="AU4" i="11"/>
  <c r="AY4" i="11"/>
  <c r="AV4" i="11"/>
  <c r="AX4" i="11"/>
  <c r="AS4" i="11"/>
  <c r="H4" i="11"/>
  <c r="I4" i="11" s="1"/>
  <c r="AD5" i="11" l="1"/>
  <c r="J5" i="11"/>
  <c r="AE5" i="11"/>
  <c r="I5" i="13" s="1"/>
  <c r="H5" i="13"/>
  <c r="AK6" i="11"/>
  <c r="N4" i="14"/>
  <c r="AK5" i="11"/>
  <c r="BA4" i="11"/>
  <c r="AH4" i="11"/>
  <c r="AK4" i="11" s="1"/>
  <c r="AI4" i="11"/>
  <c r="AJ4" i="11" s="1"/>
  <c r="AC4" i="11" l="1"/>
  <c r="H4" i="13" s="1"/>
  <c r="AD4" i="11" l="1"/>
  <c r="AE4" i="11" s="1"/>
  <c r="I4" i="13" s="1"/>
  <c r="N3" i="14"/>
  <c r="J4" i="11"/>
</calcChain>
</file>

<file path=xl/sharedStrings.xml><?xml version="1.0" encoding="utf-8"?>
<sst xmlns="http://schemas.openxmlformats.org/spreadsheetml/2006/main" count="126" uniqueCount="66">
  <si>
    <t>人日</t>
    <rPh sb="0" eb="2">
      <t>ニンニチ</t>
    </rPh>
    <phoneticPr fontId="1"/>
  </si>
  <si>
    <t>人月</t>
    <rPh sb="0" eb="2">
      <t>ニンゲツ</t>
    </rPh>
    <phoneticPr fontId="1"/>
  </si>
  <si>
    <t>工程別作業工数合算</t>
    <rPh sb="0" eb="3">
      <t>コウテイベツ</t>
    </rPh>
    <rPh sb="3" eb="7">
      <t>サギョウコウスウ</t>
    </rPh>
    <rPh sb="7" eb="9">
      <t>ガッサン</t>
    </rPh>
    <phoneticPr fontId="1"/>
  </si>
  <si>
    <t>開発</t>
    <rPh sb="0" eb="2">
      <t>カイハツ</t>
    </rPh>
    <phoneticPr fontId="1"/>
  </si>
  <si>
    <t>管理</t>
    <rPh sb="0" eb="2">
      <t>カンリ</t>
    </rPh>
    <phoneticPr fontId="1"/>
  </si>
  <si>
    <t>No.</t>
    <phoneticPr fontId="1"/>
  </si>
  <si>
    <t>工場</t>
    <rPh sb="0" eb="2">
      <t>コウジョウ</t>
    </rPh>
    <phoneticPr fontId="1"/>
  </si>
  <si>
    <t>案件名</t>
    <rPh sb="0" eb="2">
      <t>アンケン</t>
    </rPh>
    <rPh sb="2" eb="3">
      <t>メイ</t>
    </rPh>
    <phoneticPr fontId="1"/>
  </si>
  <si>
    <t>開発目的</t>
    <rPh sb="0" eb="2">
      <t>カイハツ</t>
    </rPh>
    <rPh sb="2" eb="4">
      <t>モクテキ</t>
    </rPh>
    <phoneticPr fontId="1"/>
  </si>
  <si>
    <t>内容</t>
    <rPh sb="0" eb="2">
      <t>ナイヨウ</t>
    </rPh>
    <phoneticPr fontId="1"/>
  </si>
  <si>
    <t>改修内容</t>
    <rPh sb="0" eb="2">
      <t>カイシュウ</t>
    </rPh>
    <rPh sb="2" eb="4">
      <t>ナイヨウ</t>
    </rPh>
    <phoneticPr fontId="1"/>
  </si>
  <si>
    <t>概算工数
開発工数内訳（人日）</t>
    <rPh sb="0" eb="2">
      <t>ガイサン</t>
    </rPh>
    <rPh sb="2" eb="4">
      <t>コウスウ</t>
    </rPh>
    <rPh sb="5" eb="7">
      <t>カイハツ</t>
    </rPh>
    <rPh sb="7" eb="9">
      <t>コウスウ</t>
    </rPh>
    <rPh sb="9" eb="11">
      <t>ウチワケ</t>
    </rPh>
    <rPh sb="12" eb="14">
      <t>ニンニチ</t>
    </rPh>
    <phoneticPr fontId="1"/>
  </si>
  <si>
    <t>概算工数
開発工数（人日）</t>
    <rPh sb="0" eb="2">
      <t>ガイサン</t>
    </rPh>
    <rPh sb="2" eb="4">
      <t>コウスウ</t>
    </rPh>
    <rPh sb="5" eb="7">
      <t>カイハツ</t>
    </rPh>
    <rPh sb="7" eb="9">
      <t>コウスウ</t>
    </rPh>
    <rPh sb="10" eb="12">
      <t>ニンニチ</t>
    </rPh>
    <phoneticPr fontId="1"/>
  </si>
  <si>
    <t>調査・設計</t>
    <rPh sb="0" eb="2">
      <t>チョウサ</t>
    </rPh>
    <rPh sb="3" eb="5">
      <t>セッケイ</t>
    </rPh>
    <phoneticPr fontId="1"/>
  </si>
  <si>
    <t>PGPT</t>
    <phoneticPr fontId="1"/>
  </si>
  <si>
    <t>IT</t>
    <phoneticPr fontId="1"/>
  </si>
  <si>
    <t>ST</t>
    <phoneticPr fontId="1"/>
  </si>
  <si>
    <t>OT</t>
    <phoneticPr fontId="1"/>
  </si>
  <si>
    <t>リリース</t>
    <phoneticPr fontId="1"/>
  </si>
  <si>
    <t>合計</t>
    <rPh sb="0" eb="2">
      <t>ゴウケイ</t>
    </rPh>
    <phoneticPr fontId="1"/>
  </si>
  <si>
    <t>備考</t>
    <rPh sb="0" eb="2">
      <t>ビコウ</t>
    </rPh>
    <phoneticPr fontId="1"/>
  </si>
  <si>
    <t>金額</t>
    <rPh sb="0" eb="2">
      <t>キンガク</t>
    </rPh>
    <phoneticPr fontId="1"/>
  </si>
  <si>
    <t>合計金額</t>
    <rPh sb="0" eb="4">
      <t>ゴウケイキンガク</t>
    </rPh>
    <phoneticPr fontId="1"/>
  </si>
  <si>
    <t>御見積の前提条件</t>
    <rPh sb="0" eb="3">
      <t>オミツモリ</t>
    </rPh>
    <rPh sb="4" eb="6">
      <t>ゼンテイ</t>
    </rPh>
    <rPh sb="6" eb="8">
      <t>ジョウケン</t>
    </rPh>
    <phoneticPr fontId="1"/>
  </si>
  <si>
    <t>リリース工数、初期流動工数を含んでおります。</t>
    <rPh sb="4" eb="6">
      <t>コウスウ</t>
    </rPh>
    <rPh sb="7" eb="11">
      <t>ショキリュウドウ</t>
    </rPh>
    <rPh sb="11" eb="13">
      <t>コウスウ</t>
    </rPh>
    <rPh sb="14" eb="15">
      <t>フク</t>
    </rPh>
    <phoneticPr fontId="1"/>
  </si>
  <si>
    <t>費用は開発業務と管理業務で算出しております。</t>
    <phoneticPr fontId="1"/>
  </si>
  <si>
    <t>弊社千葉事業所（在宅勤務を含む）での作業を前提としております。現地等遠隔地での作業が発生する場合は、工数を変更する場合があります。</t>
    <rPh sb="8" eb="10">
      <t>ザイタク</t>
    </rPh>
    <rPh sb="10" eb="12">
      <t>キンム</t>
    </rPh>
    <rPh sb="13" eb="14">
      <t>フク</t>
    </rPh>
    <phoneticPr fontId="1"/>
  </si>
  <si>
    <t>現地等遠隔地での作業が発生した場合は、交通費・宿泊費等の必要経費を別途ご請求させて頂きます。</t>
  </si>
  <si>
    <t>御見積の工数には、ハードウェア・ミドルウェア等にかかる費用は含まれておりません。</t>
  </si>
  <si>
    <t>管理工数込み（人日）</t>
    <rPh sb="0" eb="5">
      <t>カンリコウスウコ</t>
    </rPh>
    <phoneticPr fontId="1"/>
  </si>
  <si>
    <t>PG</t>
    <phoneticPr fontId="1"/>
  </si>
  <si>
    <t>※リリース作業は2人対応とする</t>
    <phoneticPr fontId="1"/>
  </si>
  <si>
    <t>完成希望日</t>
    <phoneticPr fontId="1"/>
  </si>
  <si>
    <t>合計</t>
    <phoneticPr fontId="1"/>
  </si>
  <si>
    <t>体制</t>
    <rPh sb="0" eb="2">
      <t>タイセイ</t>
    </rPh>
    <phoneticPr fontId="1"/>
  </si>
  <si>
    <t>髙橋裕輔</t>
    <rPh sb="0" eb="4">
      <t>タカハシユウスケ</t>
    </rPh>
    <phoneticPr fontId="1"/>
  </si>
  <si>
    <t>森田泰博</t>
    <phoneticPr fontId="1"/>
  </si>
  <si>
    <t>小計</t>
    <rPh sb="0" eb="2">
      <t>ショウケイ</t>
    </rPh>
    <phoneticPr fontId="1"/>
  </si>
  <si>
    <t>内容</t>
    <phoneticPr fontId="1"/>
  </si>
  <si>
    <t>管理工数込み</t>
    <phoneticPr fontId="1"/>
  </si>
  <si>
    <t>着手</t>
    <rPh sb="0" eb="2">
      <t>チャクシュ</t>
    </rPh>
    <phoneticPr fontId="1"/>
  </si>
  <si>
    <t>(人日)</t>
    <rPh sb="1" eb="3">
      <t>ニンニチ</t>
    </rPh>
    <phoneticPr fontId="1"/>
  </si>
  <si>
    <t>調査
設計</t>
    <phoneticPr fontId="1"/>
  </si>
  <si>
    <t>リリ
ース</t>
    <phoneticPr fontId="1"/>
  </si>
  <si>
    <t>PM</t>
    <phoneticPr fontId="1"/>
  </si>
  <si>
    <t>SE</t>
    <phoneticPr fontId="1"/>
  </si>
  <si>
    <t>2025年度 MESシステム改修 御見積</t>
    <rPh sb="4" eb="6">
      <t>ネンド</t>
    </rPh>
    <rPh sb="14" eb="16">
      <t>カイシュウ</t>
    </rPh>
    <phoneticPr fontId="1"/>
  </si>
  <si>
    <t>関谷亮</t>
    <rPh sb="0" eb="2">
      <t>セキヤ</t>
    </rPh>
    <rPh sb="2" eb="3">
      <t>リョウ</t>
    </rPh>
    <phoneticPr fontId="1"/>
  </si>
  <si>
    <t>PL</t>
    <phoneticPr fontId="1"/>
  </si>
  <si>
    <t>カルテ、製造指示書、生産実績における原料品目数拡大</t>
  </si>
  <si>
    <t>製造指示書の印刷フォーマット改修と入力項目追加</t>
  </si>
  <si>
    <t>一次指示書の印刷フォーマット改修と入力項目追加</t>
  </si>
  <si>
    <t>現状の原料品目数（11品目）では原料品目数が足りず、試作品開発が出来ない。
試作品開発を行えるよう原料品目数を増やす改修を行う。</t>
  </si>
  <si>
    <t>製造指示書のフォーマットを原料品目数増加に伴い、改修をする。
一部の手書き箇所も入力、マスタ化にする。</t>
  </si>
  <si>
    <t>一次スリット指示書のフォーマットを改修をする。
一部の手書き箇所も入力、マスタ化にする。</t>
  </si>
  <si>
    <t xml:space="preserve">原料品目数を6品目追加し、合計17品目として多種多様な原料配合に対応できるようにする。
</t>
  </si>
  <si>
    <t>・原料品目数増加により、他項目の印刷位置等を見直す。
・備考欄が1項目のみで文字数制限がある。欄をを3～4項目に増やして、手書きをなくす。
・工程№の上に課内で使用しているFAの工程№を自動反映で印字させる。</t>
  </si>
  <si>
    <t xml:space="preserve">・備考欄が1項目のみで文字数制限がある。欄をを8項目に増やして、手書きをなくす。
・工程№の上に課内で使用しているFAの工程№を自動反映で印字させる。
</t>
  </si>
  <si>
    <t>■PG改修
・原料項目合計17品目表示対応。</t>
    <phoneticPr fontId="1"/>
  </si>
  <si>
    <t>■フォーマット改修
・工程Noの右にFAの行程Noを自動表示する。（工程Noが32411060の場合→FA工程No3411-06）
・備考項目の入力項目を10項目に増やす。
・サイズ項目の罫線を1行目移行削除する。
■PG改修
・FA工程No出力対応。
・注意事項項目の入力項目を10項目に増やす。（マスタからの選択項目を増やす。）</t>
    <rPh sb="16" eb="17">
      <t>ミギ</t>
    </rPh>
    <rPh sb="67" eb="69">
      <t>ビコウ</t>
    </rPh>
    <rPh sb="91" eb="93">
      <t>コウモク</t>
    </rPh>
    <rPh sb="94" eb="96">
      <t>ケイセン</t>
    </rPh>
    <rPh sb="98" eb="100">
      <t>ギョウメ</t>
    </rPh>
    <rPh sb="100" eb="102">
      <t>イコウ</t>
    </rPh>
    <rPh sb="102" eb="104">
      <t>サクジョ</t>
    </rPh>
    <rPh sb="121" eb="123">
      <t>シュツリョク</t>
    </rPh>
    <rPh sb="123" eb="125">
      <t>タイオウ</t>
    </rPh>
    <rPh sb="156" eb="160">
      <t>センタクコウモク</t>
    </rPh>
    <rPh sb="161" eb="162">
      <t>フ</t>
    </rPh>
    <phoneticPr fontId="1"/>
  </si>
  <si>
    <t>■フォーマット改修
・工程Noの上にFAの行程Noを自動表示する。（工程Noが32411060の場合→FA工程No3411-06）
・原料項目を追加し、合計17品目表示可能とする。
・フォーマット中段の課長押印欄削除。
・改訂理由項目の幅を狭める。
・注意事項項目の幅を広げる。
・注意事項項目の入力項目を3項目に増やす。
■PG改修
・FA工程No出力対応。
・原料項目合計17品目表示対応。
・注意事項項目の入力項目を3項目に増やす。（マスタからの選択項目を増やす。）</t>
    <rPh sb="7" eb="9">
      <t>カイシュウ</t>
    </rPh>
    <rPh sb="11" eb="13">
      <t>コウテイ</t>
    </rPh>
    <rPh sb="16" eb="17">
      <t>ウエ</t>
    </rPh>
    <rPh sb="21" eb="23">
      <t>コウテイ</t>
    </rPh>
    <rPh sb="26" eb="28">
      <t>ジドウ</t>
    </rPh>
    <rPh sb="28" eb="30">
      <t>ヒョウジ</t>
    </rPh>
    <rPh sb="34" eb="36">
      <t>コウテイ</t>
    </rPh>
    <rPh sb="48" eb="50">
      <t>バアイ</t>
    </rPh>
    <rPh sb="53" eb="55">
      <t>コウテイ</t>
    </rPh>
    <rPh sb="67" eb="71">
      <t>ゲンリョウコウモク</t>
    </rPh>
    <rPh sb="72" eb="74">
      <t>ツイカ</t>
    </rPh>
    <rPh sb="76" eb="78">
      <t>ゴウケイ</t>
    </rPh>
    <rPh sb="80" eb="82">
      <t>ヒンモク</t>
    </rPh>
    <rPh sb="82" eb="84">
      <t>ヒョウジ</t>
    </rPh>
    <rPh sb="84" eb="86">
      <t>カノウ</t>
    </rPh>
    <rPh sb="98" eb="100">
      <t>チュウダン</t>
    </rPh>
    <rPh sb="101" eb="106">
      <t>カチョウオウインラン</t>
    </rPh>
    <rPh sb="106" eb="108">
      <t>サクジョ</t>
    </rPh>
    <rPh sb="111" eb="115">
      <t>カイテイリユウ</t>
    </rPh>
    <rPh sb="115" eb="117">
      <t>コウモク</t>
    </rPh>
    <rPh sb="118" eb="119">
      <t>ハバ</t>
    </rPh>
    <rPh sb="120" eb="121">
      <t>セバ</t>
    </rPh>
    <rPh sb="126" eb="130">
      <t>チュウイジコウ</t>
    </rPh>
    <rPh sb="130" eb="132">
      <t>コウモク</t>
    </rPh>
    <rPh sb="133" eb="134">
      <t>ハバ</t>
    </rPh>
    <rPh sb="135" eb="136">
      <t>ヒロ</t>
    </rPh>
    <rPh sb="150" eb="152">
      <t>コウモク</t>
    </rPh>
    <rPh sb="154" eb="156">
      <t>コウモク</t>
    </rPh>
    <rPh sb="157" eb="158">
      <t>フ</t>
    </rPh>
    <rPh sb="165" eb="167">
      <t>カイシュウ</t>
    </rPh>
    <rPh sb="194" eb="196">
      <t>タイオウ</t>
    </rPh>
    <phoneticPr fontId="1"/>
  </si>
  <si>
    <t>千葉工場
製造一課</t>
    <rPh sb="0" eb="4">
      <t>チバコウジョウ</t>
    </rPh>
    <rPh sb="5" eb="9">
      <t>セイゾウイッカ</t>
    </rPh>
    <phoneticPr fontId="1"/>
  </si>
  <si>
    <t>開発概算工数
（人日）</t>
    <rPh sb="0" eb="2">
      <t>カイハツ</t>
    </rPh>
    <rPh sb="2" eb="4">
      <t>ガイサン</t>
    </rPh>
    <rPh sb="4" eb="6">
      <t>コウスウ</t>
    </rPh>
    <phoneticPr fontId="1"/>
  </si>
  <si>
    <t>管理工数込み
（人日）</t>
    <rPh sb="0" eb="2">
      <t>カンリ</t>
    </rPh>
    <rPh sb="2" eb="4">
      <t>コウスウ</t>
    </rPh>
    <rPh sb="4" eb="5">
      <t>コ</t>
    </rPh>
    <phoneticPr fontId="1"/>
  </si>
  <si>
    <t>納品物：設計書、結合テスト仕様書兼結果報告書、ソースコード、システムテスト仕様書兼結果報告書</t>
    <rPh sb="0" eb="3">
      <t>ノウヒンブツ</t>
    </rPh>
    <phoneticPr fontId="1"/>
  </si>
  <si>
    <t>（納品物が追加となる場合、工数が変動する場合がございます。）</t>
    <rPh sb="1" eb="4">
      <t>ノウヒンブツ</t>
    </rPh>
    <rPh sb="5" eb="7">
      <t>ツイカ</t>
    </rPh>
    <rPh sb="10" eb="12">
      <t>バアイ</t>
    </rPh>
    <rPh sb="13" eb="15">
      <t>コウスウ</t>
    </rPh>
    <rPh sb="16" eb="18">
      <t>ヘンドウ</t>
    </rPh>
    <rPh sb="20" eb="22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</si>
</sst>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,##0.0_ "/>
    <numFmt numFmtId="177" formatCode="0.0"/>
    <numFmt numFmtId="178" formatCode="&quot;¥&quot;#,##0_);[Red]\(&quot;¥&quot;#,##0\)"/>
    <numFmt numFmtId="179" formatCode="#,##0.00_ "/>
    <numFmt numFmtId="180" formatCode="m/d;@"/>
    <numFmt numFmtId="181" formatCode="#,##0_ 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6" fontId="6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176" fontId="0" fillId="0" borderId="0" xfId="0" applyNumberFormat="1" applyAlignment="1">
      <alignment vertical="top"/>
    </xf>
    <xf numFmtId="0" fontId="4" fillId="0" borderId="0" xfId="0" applyFont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vertical="top" wrapText="1"/>
    </xf>
    <xf numFmtId="176" fontId="0" fillId="0" borderId="7" xfId="0" applyNumberFormat="1" applyBorder="1" applyAlignment="1">
      <alignment vertical="top"/>
    </xf>
    <xf numFmtId="176" fontId="0" fillId="0" borderId="8" xfId="0" applyNumberFormat="1" applyBorder="1" applyAlignment="1">
      <alignment vertical="top"/>
    </xf>
    <xf numFmtId="176" fontId="0" fillId="0" borderId="9" xfId="0" applyNumberFormat="1" applyBorder="1" applyAlignment="1">
      <alignment vertical="top"/>
    </xf>
    <xf numFmtId="176" fontId="3" fillId="2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77" fontId="0" fillId="0" borderId="0" xfId="0" applyNumberFormat="1" applyAlignment="1">
      <alignment vertical="top"/>
    </xf>
    <xf numFmtId="0" fontId="0" fillId="0" borderId="1" xfId="0" applyBorder="1" applyAlignment="1">
      <alignment vertical="top"/>
    </xf>
    <xf numFmtId="176" fontId="3" fillId="2" borderId="12" xfId="0" applyNumberFormat="1" applyFont="1" applyFill="1" applyBorder="1" applyAlignment="1">
      <alignment horizontal="center" vertical="top" wrapText="1"/>
    </xf>
    <xf numFmtId="176" fontId="3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178" fontId="0" fillId="0" borderId="1" xfId="0" applyNumberForma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176" fontId="0" fillId="0" borderId="1" xfId="0" applyNumberFormat="1" applyBorder="1" applyAlignment="1">
      <alignment horizontal="right" vertical="top"/>
    </xf>
    <xf numFmtId="176" fontId="0" fillId="0" borderId="1" xfId="0" applyNumberFormat="1" applyBorder="1" applyAlignment="1">
      <alignment vertical="top"/>
    </xf>
    <xf numFmtId="176" fontId="0" fillId="0" borderId="11" xfId="0" applyNumberFormat="1" applyBorder="1" applyAlignment="1">
      <alignment horizontal="right" vertical="top"/>
    </xf>
    <xf numFmtId="49" fontId="0" fillId="0" borderId="0" xfId="0" applyNumberFormat="1" applyAlignment="1">
      <alignment horizontal="right" vertical="top"/>
    </xf>
    <xf numFmtId="179" fontId="0" fillId="0" borderId="1" xfId="0" applyNumberFormat="1" applyBorder="1" applyAlignment="1">
      <alignment horizontal="right" vertical="top"/>
    </xf>
    <xf numFmtId="0" fontId="0" fillId="0" borderId="11" xfId="0" applyBorder="1" applyAlignment="1">
      <alignment vertical="top" wrapText="1"/>
    </xf>
    <xf numFmtId="0" fontId="0" fillId="0" borderId="10" xfId="0" applyBorder="1" applyAlignment="1">
      <alignment horizontal="left" vertical="top"/>
    </xf>
    <xf numFmtId="14" fontId="0" fillId="0" borderId="10" xfId="0" applyNumberFormat="1" applyBorder="1" applyAlignment="1">
      <alignment vertical="top" wrapText="1"/>
    </xf>
    <xf numFmtId="176" fontId="0" fillId="0" borderId="0" xfId="0" applyNumberFormat="1">
      <alignment vertical="center"/>
    </xf>
    <xf numFmtId="177" fontId="0" fillId="0" borderId="10" xfId="0" applyNumberFormat="1" applyBorder="1" applyAlignment="1">
      <alignment vertical="top" wrapText="1"/>
    </xf>
    <xf numFmtId="14" fontId="0" fillId="0" borderId="11" xfId="0" applyNumberFormat="1" applyBorder="1" applyAlignment="1">
      <alignment vertical="top" wrapText="1"/>
    </xf>
    <xf numFmtId="0" fontId="2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177" fontId="0" fillId="0" borderId="0" xfId="0" applyNumberFormat="1" applyAlignment="1">
      <alignment vertical="top" wrapText="1"/>
    </xf>
    <xf numFmtId="180" fontId="3" fillId="2" borderId="1" xfId="0" applyNumberFormat="1" applyFont="1" applyFill="1" applyBorder="1" applyAlignment="1">
      <alignment vertical="top" wrapText="1"/>
    </xf>
    <xf numFmtId="177" fontId="0" fillId="0" borderId="1" xfId="0" applyNumberFormat="1" applyBorder="1" applyAlignment="1">
      <alignment vertical="top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6" fontId="0" fillId="0" borderId="1" xfId="2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6" fontId="0" fillId="0" borderId="1" xfId="2" applyFont="1" applyBorder="1" applyAlignment="1">
      <alignment horizontal="right" vertical="top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left" vertical="top"/>
    </xf>
    <xf numFmtId="14" fontId="0" fillId="0" borderId="14" xfId="0" applyNumberFormat="1" applyBorder="1" applyAlignment="1">
      <alignment vertical="top" wrapText="1"/>
    </xf>
    <xf numFmtId="14" fontId="0" fillId="0" borderId="15" xfId="0" applyNumberFormat="1" applyBorder="1" applyAlignment="1">
      <alignment vertical="top" wrapText="1"/>
    </xf>
    <xf numFmtId="14" fontId="0" fillId="0" borderId="16" xfId="0" applyNumberFormat="1" applyBorder="1" applyAlignment="1">
      <alignment vertical="top" wrapText="1"/>
    </xf>
    <xf numFmtId="181" fontId="0" fillId="0" borderId="0" xfId="0" applyNumberFormat="1" applyAlignment="1">
      <alignment vertical="top"/>
    </xf>
    <xf numFmtId="177" fontId="0" fillId="0" borderId="10" xfId="0" applyNumberFormat="1" applyBorder="1" applyAlignment="1">
      <alignment vertical="top"/>
    </xf>
    <xf numFmtId="177" fontId="0" fillId="0" borderId="13" xfId="0" applyNumberFormat="1" applyBorder="1" applyAlignment="1">
      <alignment vertical="top"/>
    </xf>
    <xf numFmtId="177" fontId="0" fillId="0" borderId="11" xfId="0" applyNumberFormat="1" applyBorder="1" applyAlignment="1">
      <alignment vertical="top"/>
    </xf>
    <xf numFmtId="0" fontId="5" fillId="4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4" borderId="1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5" fillId="3" borderId="1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176" fontId="0" fillId="0" borderId="10" xfId="0" applyNumberFormat="1" applyBorder="1" applyAlignment="1">
      <alignment vertical="top"/>
    </xf>
    <xf numFmtId="176" fontId="0" fillId="0" borderId="13" xfId="0" applyNumberFormat="1" applyBorder="1" applyAlignment="1">
      <alignment vertical="top"/>
    </xf>
    <xf numFmtId="176" fontId="0" fillId="0" borderId="11" xfId="0" applyNumberFormat="1" applyBorder="1" applyAlignment="1">
      <alignment vertical="top"/>
    </xf>
    <xf numFmtId="0" fontId="0" fillId="0" borderId="1" xfId="0" applyBorder="1" applyAlignment="1" applyProtection="1">
      <alignment vertical="center" wrapText="1"/>
      <protection locked="0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</cellXfs>
  <cellStyles count="3">
    <cellStyle name="通貨" xfId="2" builtinId="7"/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</xdr:colOff>
      <xdr:row>2</xdr:row>
      <xdr:rowOff>0</xdr:rowOff>
    </xdr:from>
    <xdr:to>
      <xdr:col>23</xdr:col>
      <xdr:colOff>1</xdr:colOff>
      <xdr:row>3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5556FA9-62FC-437D-E13C-6B95002CDAF9}"/>
            </a:ext>
          </a:extLst>
        </xdr:cNvPr>
        <xdr:cNvSpPr/>
      </xdr:nvSpPr>
      <xdr:spPr>
        <a:xfrm>
          <a:off x="15468601" y="685800"/>
          <a:ext cx="2914650" cy="1400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3</xdr:row>
      <xdr:rowOff>0</xdr:rowOff>
    </xdr:from>
    <xdr:to>
      <xdr:col>27</xdr:col>
      <xdr:colOff>1</xdr:colOff>
      <xdr:row>4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537B36F-CA65-1163-CC6D-C735A96AE0EC}"/>
            </a:ext>
          </a:extLst>
        </xdr:cNvPr>
        <xdr:cNvSpPr/>
      </xdr:nvSpPr>
      <xdr:spPr>
        <a:xfrm>
          <a:off x="16925925" y="2085975"/>
          <a:ext cx="3400426" cy="1400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</xdr:colOff>
      <xdr:row>4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E049C66-A536-9931-2552-F1AAAE0DC93A}"/>
            </a:ext>
          </a:extLst>
        </xdr:cNvPr>
        <xdr:cNvSpPr/>
      </xdr:nvSpPr>
      <xdr:spPr>
        <a:xfrm>
          <a:off x="18383251" y="3486150"/>
          <a:ext cx="3400424" cy="1400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8AF3-8481-4968-BD30-BC17825ED7D3}">
  <sheetPr>
    <pageSetUpPr fitToPage="1"/>
  </sheetPr>
  <dimension ref="A1:BB18"/>
  <sheetViews>
    <sheetView showGridLines="0" tabSelected="1" zoomScale="80" zoomScaleNormal="80" workbookViewId="0">
      <pane ySplit="3" topLeftCell="A4" activePane="bottomLeft" state="frozen"/>
      <selection activeCell="D1" sqref="D1"/>
      <selection pane="bottomLeft"/>
    </sheetView>
  </sheetViews>
  <sheetFormatPr defaultColWidth="9" defaultRowHeight="18" outlineLevelCol="1" x14ac:dyDescent="0.55000000000000004"/>
  <cols>
    <col min="1" max="1" width="4.33203125" style="3" bestFit="1" customWidth="1"/>
    <col min="2" max="2" width="9" style="1" bestFit="1" customWidth="1"/>
    <col min="3" max="4" width="17.58203125" style="2" customWidth="1"/>
    <col min="5" max="5" width="53.25" style="2" customWidth="1"/>
    <col min="6" max="6" width="80.25" style="2" customWidth="1"/>
    <col min="7" max="7" width="112.5" style="2" customWidth="1"/>
    <col min="8" max="10" width="9.58203125" style="7" customWidth="1"/>
    <col min="11" max="17" width="9.58203125" style="1" customWidth="1" outlineLevel="1"/>
    <col min="18" max="18" width="1.75" style="1" customWidth="1"/>
    <col min="19" max="25" width="9.58203125" style="1" customWidth="1" outlineLevel="1"/>
    <col min="26" max="26" width="13.83203125" style="1" customWidth="1"/>
    <col min="27" max="27" width="9.58203125" style="1" customWidth="1" outlineLevel="1"/>
    <col min="28" max="28" width="14.08203125" style="1" customWidth="1" outlineLevel="1"/>
    <col min="29" max="29" width="9.58203125" style="1" customWidth="1" outlineLevel="1"/>
    <col min="30" max="31" width="14.08203125" style="1" customWidth="1" outlineLevel="1"/>
    <col min="32" max="32" width="2.58203125" style="1" customWidth="1"/>
    <col min="33" max="33" width="9.58203125" style="1" customWidth="1" outlineLevel="1"/>
    <col min="34" max="34" width="14.08203125" style="1" customWidth="1" outlineLevel="1"/>
    <col min="35" max="35" width="9.58203125" style="1" customWidth="1" outlineLevel="1"/>
    <col min="36" max="37" width="14.08203125" style="1" customWidth="1" outlineLevel="1"/>
    <col min="38" max="38" width="5" style="1" customWidth="1"/>
    <col min="39" max="45" width="9.58203125" style="1" hidden="1" customWidth="1" outlineLevel="1"/>
    <col min="46" max="46" width="3.75" style="1" customWidth="1" collapsed="1"/>
    <col min="47" max="53" width="9" style="1" hidden="1" customWidth="1" outlineLevel="1"/>
    <col min="54" max="54" width="9" style="1" collapsed="1"/>
    <col min="55" max="16384" width="9" style="1"/>
  </cols>
  <sheetData>
    <row r="1" spans="1:53" ht="22.5" x14ac:dyDescent="0.55000000000000004">
      <c r="A1" s="8" t="s">
        <v>46</v>
      </c>
      <c r="AA1" s="59" t="s">
        <v>0</v>
      </c>
      <c r="AB1" s="59"/>
      <c r="AC1" s="59"/>
      <c r="AD1" s="59"/>
      <c r="AE1" s="59"/>
      <c r="AG1" s="60" t="s">
        <v>1</v>
      </c>
      <c r="AH1" s="60"/>
      <c r="AI1" s="60"/>
      <c r="AJ1" s="60"/>
      <c r="AK1" s="60"/>
      <c r="AM1" s="62" t="s">
        <v>2</v>
      </c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</row>
    <row r="2" spans="1:53" x14ac:dyDescent="0.55000000000000004">
      <c r="A2" s="3" t="s">
        <v>31</v>
      </c>
      <c r="K2" s="59" t="s">
        <v>0</v>
      </c>
      <c r="L2" s="59"/>
      <c r="M2" s="59"/>
      <c r="N2" s="59"/>
      <c r="O2" s="59"/>
      <c r="P2" s="59"/>
      <c r="Q2" s="59"/>
      <c r="S2" s="60" t="s">
        <v>1</v>
      </c>
      <c r="T2" s="60"/>
      <c r="U2" s="60"/>
      <c r="V2" s="60"/>
      <c r="W2" s="60"/>
      <c r="X2" s="60"/>
      <c r="Y2" s="60"/>
      <c r="AA2" s="23" t="s">
        <v>3</v>
      </c>
      <c r="AB2" s="27">
        <v>50000</v>
      </c>
      <c r="AC2" s="23" t="s">
        <v>4</v>
      </c>
      <c r="AD2" s="27">
        <v>70000</v>
      </c>
      <c r="AE2" s="23"/>
      <c r="AG2" s="23" t="s">
        <v>3</v>
      </c>
      <c r="AH2" s="27">
        <v>1000000</v>
      </c>
      <c r="AI2" s="23" t="s">
        <v>4</v>
      </c>
      <c r="AJ2" s="27">
        <v>1400000</v>
      </c>
      <c r="AK2" s="23"/>
      <c r="AM2" s="61" t="s">
        <v>0</v>
      </c>
      <c r="AN2" s="61"/>
      <c r="AO2" s="61"/>
      <c r="AP2" s="61"/>
      <c r="AQ2" s="61"/>
      <c r="AR2" s="61"/>
      <c r="AS2" s="61"/>
      <c r="AU2" s="63" t="s">
        <v>1</v>
      </c>
      <c r="AV2" s="63"/>
      <c r="AW2" s="63"/>
      <c r="AX2" s="63"/>
      <c r="AY2" s="63"/>
      <c r="AZ2" s="63"/>
      <c r="BA2" s="63"/>
    </row>
    <row r="3" spans="1:53" ht="72" x14ac:dyDescent="0.55000000000000004">
      <c r="A3" s="4" t="s">
        <v>5</v>
      </c>
      <c r="B3" s="5" t="s">
        <v>6</v>
      </c>
      <c r="C3" s="6" t="s">
        <v>7</v>
      </c>
      <c r="D3" s="6" t="s">
        <v>32</v>
      </c>
      <c r="E3" s="6" t="s">
        <v>8</v>
      </c>
      <c r="F3" s="6" t="s">
        <v>9</v>
      </c>
      <c r="G3" s="6" t="s">
        <v>10</v>
      </c>
      <c r="H3" s="19" t="s">
        <v>11</v>
      </c>
      <c r="I3" s="24" t="s">
        <v>12</v>
      </c>
      <c r="J3" s="24" t="s">
        <v>29</v>
      </c>
      <c r="K3" s="20" t="s">
        <v>13</v>
      </c>
      <c r="L3" s="23" t="s">
        <v>30</v>
      </c>
      <c r="M3" s="23" t="s">
        <v>15</v>
      </c>
      <c r="N3" s="23" t="s">
        <v>16</v>
      </c>
      <c r="O3" s="23" t="s">
        <v>17</v>
      </c>
      <c r="P3" s="23" t="s">
        <v>18</v>
      </c>
      <c r="Q3" s="23" t="s">
        <v>19</v>
      </c>
      <c r="S3" s="20" t="s">
        <v>13</v>
      </c>
      <c r="T3" s="23" t="s">
        <v>14</v>
      </c>
      <c r="U3" s="23" t="s">
        <v>15</v>
      </c>
      <c r="V3" s="23" t="s">
        <v>16</v>
      </c>
      <c r="W3" s="23" t="s">
        <v>17</v>
      </c>
      <c r="X3" s="23" t="s">
        <v>18</v>
      </c>
      <c r="Y3" s="23" t="s">
        <v>19</v>
      </c>
      <c r="Z3" s="26" t="s">
        <v>20</v>
      </c>
      <c r="AA3" s="19" t="s">
        <v>0</v>
      </c>
      <c r="AB3" s="19" t="s">
        <v>21</v>
      </c>
      <c r="AC3" s="19" t="s">
        <v>0</v>
      </c>
      <c r="AD3" s="19" t="s">
        <v>21</v>
      </c>
      <c r="AE3" s="19" t="s">
        <v>22</v>
      </c>
      <c r="AF3" s="25"/>
      <c r="AG3" s="19" t="s">
        <v>1</v>
      </c>
      <c r="AH3" s="19" t="s">
        <v>21</v>
      </c>
      <c r="AI3" s="19" t="s">
        <v>1</v>
      </c>
      <c r="AJ3" s="19" t="s">
        <v>21</v>
      </c>
      <c r="AK3" s="19" t="s">
        <v>22</v>
      </c>
      <c r="AM3" s="20" t="s">
        <v>13</v>
      </c>
      <c r="AN3" s="23" t="s">
        <v>14</v>
      </c>
      <c r="AO3" s="23" t="s">
        <v>15</v>
      </c>
      <c r="AP3" s="23" t="s">
        <v>16</v>
      </c>
      <c r="AQ3" s="23" t="s">
        <v>17</v>
      </c>
      <c r="AR3" s="23" t="s">
        <v>18</v>
      </c>
      <c r="AS3" s="23" t="s">
        <v>19</v>
      </c>
      <c r="AU3" s="20" t="s">
        <v>13</v>
      </c>
      <c r="AV3" s="23" t="s">
        <v>14</v>
      </c>
      <c r="AW3" s="23" t="s">
        <v>15</v>
      </c>
      <c r="AX3" s="23" t="s">
        <v>16</v>
      </c>
      <c r="AY3" s="23" t="s">
        <v>17</v>
      </c>
      <c r="AZ3" s="23" t="s">
        <v>18</v>
      </c>
      <c r="BA3" s="23" t="s">
        <v>19</v>
      </c>
    </row>
    <row r="4" spans="1:53" ht="54" x14ac:dyDescent="0.55000000000000004">
      <c r="A4" s="23">
        <v>1</v>
      </c>
      <c r="B4" s="64" t="s">
        <v>61</v>
      </c>
      <c r="C4" s="20" t="s">
        <v>49</v>
      </c>
      <c r="D4" s="50">
        <v>45838</v>
      </c>
      <c r="E4" s="20" t="s">
        <v>52</v>
      </c>
      <c r="F4" s="20" t="s">
        <v>55</v>
      </c>
      <c r="G4" s="21" t="s">
        <v>58</v>
      </c>
      <c r="H4" s="31">
        <f t="shared" ref="H4:H6" si="0">Q4</f>
        <v>20</v>
      </c>
      <c r="I4" s="65">
        <f>SUM(H4:H6)</f>
        <v>70</v>
      </c>
      <c r="J4" s="65">
        <f>AA4+AC4</f>
        <v>23</v>
      </c>
      <c r="K4" s="29">
        <v>2</v>
      </c>
      <c r="L4" s="29">
        <v>8</v>
      </c>
      <c r="M4" s="29">
        <v>3</v>
      </c>
      <c r="N4" s="29">
        <v>3</v>
      </c>
      <c r="O4" s="29">
        <v>2</v>
      </c>
      <c r="P4" s="29">
        <v>2</v>
      </c>
      <c r="Q4" s="29">
        <f t="shared" ref="Q4:Q6" si="1">SUM(K4:P4)</f>
        <v>20</v>
      </c>
      <c r="R4" s="22"/>
      <c r="S4" s="33">
        <f t="shared" ref="S4:S6" si="2">ROUNDUP(K4/20,3)</f>
        <v>0.1</v>
      </c>
      <c r="T4" s="33">
        <f>ROUNDUP(L4/20,3)</f>
        <v>0.4</v>
      </c>
      <c r="U4" s="33">
        <f>ROUNDUP(N4/20,3)</f>
        <v>0.15</v>
      </c>
      <c r="V4" s="33">
        <f t="shared" ref="V4:V6" si="3">ROUNDUP(N4/20,3)</f>
        <v>0.15</v>
      </c>
      <c r="W4" s="33">
        <f t="shared" ref="W4:W6" si="4">ROUNDUP(O4/20,3)</f>
        <v>0.1</v>
      </c>
      <c r="X4" s="33">
        <f t="shared" ref="X4:Y6" si="5">ROUNDUP(P4/20,3)</f>
        <v>0.1</v>
      </c>
      <c r="Y4" s="33">
        <f t="shared" ref="Y4:Y5" si="6">ROUNDUP(Q4/20,3)</f>
        <v>1</v>
      </c>
      <c r="Z4" s="32"/>
      <c r="AA4" s="30">
        <f>SUM(Q4)</f>
        <v>20</v>
      </c>
      <c r="AB4" s="47">
        <f>AA4*$AB$2</f>
        <v>1000000</v>
      </c>
      <c r="AC4" s="30">
        <f>ROUNDUP(AA4*0.15,2)</f>
        <v>3</v>
      </c>
      <c r="AD4" s="47">
        <f>AC4*$AD$2</f>
        <v>210000</v>
      </c>
      <c r="AE4" s="47">
        <f>ROUNDUP(SUM(AB4,AD4),-3)</f>
        <v>1210000</v>
      </c>
      <c r="AG4" s="30">
        <f>SUM(Y4)</f>
        <v>1</v>
      </c>
      <c r="AH4" s="47">
        <f>AG4*$AH$2</f>
        <v>1000000</v>
      </c>
      <c r="AI4" s="30">
        <f>ROUNDUP(AG4*0.15,3)</f>
        <v>0.15</v>
      </c>
      <c r="AJ4" s="47">
        <f>AI4*$AJ$2</f>
        <v>210000</v>
      </c>
      <c r="AK4" s="47">
        <f>ROUNDUP(SUM(AH4,AJ4),-3)</f>
        <v>1210000</v>
      </c>
      <c r="AM4" s="56">
        <f t="shared" ref="AM4:AS4" si="7">SUM(K4:K6)</f>
        <v>8</v>
      </c>
      <c r="AN4" s="56">
        <f t="shared" si="7"/>
        <v>28</v>
      </c>
      <c r="AO4" s="56">
        <f t="shared" si="7"/>
        <v>11</v>
      </c>
      <c r="AP4" s="56">
        <f t="shared" si="7"/>
        <v>11</v>
      </c>
      <c r="AQ4" s="56">
        <f t="shared" si="7"/>
        <v>6</v>
      </c>
      <c r="AR4" s="56">
        <f t="shared" si="7"/>
        <v>6</v>
      </c>
      <c r="AS4" s="56">
        <f t="shared" si="7"/>
        <v>70</v>
      </c>
      <c r="AU4" s="56">
        <f t="shared" ref="AU4:BA4" si="8">SUM(S4:S6)</f>
        <v>0.4</v>
      </c>
      <c r="AV4" s="56">
        <f t="shared" si="8"/>
        <v>1.4</v>
      </c>
      <c r="AW4" s="56">
        <f t="shared" si="8"/>
        <v>0.55000000000000004</v>
      </c>
      <c r="AX4" s="56">
        <f t="shared" si="8"/>
        <v>0.55000000000000004</v>
      </c>
      <c r="AY4" s="56">
        <f t="shared" si="8"/>
        <v>0.30000000000000004</v>
      </c>
      <c r="AZ4" s="56">
        <f t="shared" si="8"/>
        <v>0.30000000000000004</v>
      </c>
      <c r="BA4" s="56">
        <f t="shared" si="8"/>
        <v>3.5</v>
      </c>
    </row>
    <row r="5" spans="1:53" ht="198" x14ac:dyDescent="0.55000000000000004">
      <c r="A5" s="23">
        <v>2</v>
      </c>
      <c r="B5" s="64"/>
      <c r="C5" s="20" t="s">
        <v>50</v>
      </c>
      <c r="D5" s="50">
        <v>45838</v>
      </c>
      <c r="E5" s="20" t="s">
        <v>53</v>
      </c>
      <c r="F5" s="20" t="s">
        <v>56</v>
      </c>
      <c r="G5" s="21" t="s">
        <v>60</v>
      </c>
      <c r="H5" s="31">
        <f>Q5</f>
        <v>25</v>
      </c>
      <c r="I5" s="66"/>
      <c r="J5" s="66">
        <f t="shared" ref="J5:J6" si="9">AA5+AC5</f>
        <v>28.75</v>
      </c>
      <c r="K5" s="29">
        <v>3</v>
      </c>
      <c r="L5" s="29">
        <v>10</v>
      </c>
      <c r="M5" s="29">
        <v>4</v>
      </c>
      <c r="N5" s="29">
        <v>4</v>
      </c>
      <c r="O5" s="29">
        <v>2</v>
      </c>
      <c r="P5" s="29">
        <v>2</v>
      </c>
      <c r="Q5" s="29">
        <f t="shared" ref="Q5" si="10">SUM(K5:P5)</f>
        <v>25</v>
      </c>
      <c r="R5" s="22"/>
      <c r="S5" s="33">
        <f t="shared" ref="S5" si="11">ROUNDUP(K5/20,3)</f>
        <v>0.15</v>
      </c>
      <c r="T5" s="33">
        <f t="shared" ref="T5" si="12">ROUNDUP(L5/20,3)</f>
        <v>0.5</v>
      </c>
      <c r="U5" s="33">
        <f t="shared" ref="U5" si="13">ROUNDUP(M5/20,3)</f>
        <v>0.2</v>
      </c>
      <c r="V5" s="33">
        <f t="shared" ref="V5" si="14">ROUNDUP(N5/20,3)</f>
        <v>0.2</v>
      </c>
      <c r="W5" s="33">
        <f t="shared" ref="W5" si="15">ROUNDUP(O5/20,3)</f>
        <v>0.1</v>
      </c>
      <c r="X5" s="33">
        <f t="shared" ref="X5" si="16">ROUNDUP(P5/20,3)</f>
        <v>0.1</v>
      </c>
      <c r="Y5" s="33">
        <f t="shared" si="6"/>
        <v>1.25</v>
      </c>
      <c r="Z5" s="32"/>
      <c r="AA5" s="30">
        <f t="shared" ref="AA5:AA6" si="17">SUM(Q5)</f>
        <v>25</v>
      </c>
      <c r="AB5" s="47">
        <f t="shared" ref="AB5:AB6" si="18">AA5*$AB$2</f>
        <v>1250000</v>
      </c>
      <c r="AC5" s="30">
        <f t="shared" ref="AC5:AC6" si="19">ROUNDUP(AA5*0.15,2)</f>
        <v>3.75</v>
      </c>
      <c r="AD5" s="47">
        <f t="shared" ref="AD5:AD6" si="20">AC5*$AD$2</f>
        <v>262500</v>
      </c>
      <c r="AE5" s="47">
        <f t="shared" ref="AE5:AE6" si="21">ROUNDUP(SUM(AB5,AD5),-3)</f>
        <v>1513000</v>
      </c>
      <c r="AG5" s="30">
        <f t="shared" ref="AG5:AG6" si="22">SUM(Y5)</f>
        <v>1.25</v>
      </c>
      <c r="AH5" s="47">
        <f>AG5*$AH$2</f>
        <v>1250000</v>
      </c>
      <c r="AI5" s="30">
        <f t="shared" ref="AI5:AI6" si="23">ROUNDUP(AG5*0.15,3)</f>
        <v>0.188</v>
      </c>
      <c r="AJ5" s="47">
        <f t="shared" ref="AJ5:AJ6" si="24">AI5*$AJ$2</f>
        <v>263200</v>
      </c>
      <c r="AK5" s="47">
        <f t="shared" ref="AK5:AK6" si="25">ROUNDUP(SUM(AH5,AJ5),-3)</f>
        <v>1514000</v>
      </c>
      <c r="AM5" s="57"/>
      <c r="AN5" s="57"/>
      <c r="AO5" s="57"/>
      <c r="AP5" s="57"/>
      <c r="AQ5" s="57"/>
      <c r="AR5" s="57"/>
      <c r="AS5" s="57"/>
      <c r="AU5" s="57"/>
      <c r="AV5" s="57"/>
      <c r="AW5" s="57"/>
      <c r="AX5" s="57"/>
      <c r="AY5" s="57"/>
      <c r="AZ5" s="57"/>
      <c r="BA5" s="57"/>
    </row>
    <row r="6" spans="1:53" ht="126" x14ac:dyDescent="0.55000000000000004">
      <c r="A6" s="23">
        <v>3</v>
      </c>
      <c r="B6" s="64"/>
      <c r="C6" s="20" t="s">
        <v>51</v>
      </c>
      <c r="D6" s="39">
        <v>45838</v>
      </c>
      <c r="E6" s="20" t="s">
        <v>54</v>
      </c>
      <c r="F6" s="34" t="s">
        <v>57</v>
      </c>
      <c r="G6" s="21" t="s">
        <v>59</v>
      </c>
      <c r="H6" s="31">
        <f t="shared" si="0"/>
        <v>25</v>
      </c>
      <c r="I6" s="67"/>
      <c r="J6" s="67">
        <f t="shared" si="9"/>
        <v>28.75</v>
      </c>
      <c r="K6" s="29">
        <v>3</v>
      </c>
      <c r="L6" s="29">
        <v>10</v>
      </c>
      <c r="M6" s="29">
        <v>4</v>
      </c>
      <c r="N6" s="29">
        <v>4</v>
      </c>
      <c r="O6" s="29">
        <v>2</v>
      </c>
      <c r="P6" s="29">
        <v>2</v>
      </c>
      <c r="Q6" s="29">
        <f t="shared" si="1"/>
        <v>25</v>
      </c>
      <c r="R6" s="22"/>
      <c r="S6" s="33">
        <f t="shared" si="2"/>
        <v>0.15</v>
      </c>
      <c r="T6" s="33">
        <f t="shared" ref="T6" si="26">ROUNDUP(L6/20,3)</f>
        <v>0.5</v>
      </c>
      <c r="U6" s="33">
        <f t="shared" ref="U6" si="27">ROUNDUP(M6/20,3)</f>
        <v>0.2</v>
      </c>
      <c r="V6" s="33">
        <f t="shared" si="3"/>
        <v>0.2</v>
      </c>
      <c r="W6" s="33">
        <f t="shared" si="4"/>
        <v>0.1</v>
      </c>
      <c r="X6" s="33">
        <f t="shared" si="5"/>
        <v>0.1</v>
      </c>
      <c r="Y6" s="33">
        <f t="shared" si="5"/>
        <v>1.25</v>
      </c>
      <c r="Z6" s="32"/>
      <c r="AA6" s="30">
        <f t="shared" si="17"/>
        <v>25</v>
      </c>
      <c r="AB6" s="47">
        <f t="shared" si="18"/>
        <v>1250000</v>
      </c>
      <c r="AC6" s="30">
        <f t="shared" si="19"/>
        <v>3.75</v>
      </c>
      <c r="AD6" s="47">
        <f t="shared" si="20"/>
        <v>262500</v>
      </c>
      <c r="AE6" s="47">
        <f t="shared" si="21"/>
        <v>1513000</v>
      </c>
      <c r="AG6" s="30">
        <f t="shared" si="22"/>
        <v>1.25</v>
      </c>
      <c r="AH6" s="47">
        <f>AG6*$AH$2</f>
        <v>1250000</v>
      </c>
      <c r="AI6" s="30">
        <f t="shared" si="23"/>
        <v>0.188</v>
      </c>
      <c r="AJ6" s="47">
        <f t="shared" si="24"/>
        <v>263200</v>
      </c>
      <c r="AK6" s="47">
        <f t="shared" si="25"/>
        <v>1514000</v>
      </c>
      <c r="AM6" s="58"/>
      <c r="AN6" s="58"/>
      <c r="AO6" s="58"/>
      <c r="AP6" s="58"/>
      <c r="AQ6" s="58"/>
      <c r="AR6" s="58"/>
      <c r="AS6" s="58"/>
      <c r="AU6" s="58"/>
      <c r="AV6" s="58"/>
      <c r="AW6" s="58"/>
      <c r="AX6" s="58"/>
      <c r="AY6" s="58"/>
      <c r="AZ6" s="58"/>
      <c r="BA6" s="58"/>
    </row>
    <row r="9" spans="1:53" x14ac:dyDescent="0.55000000000000004">
      <c r="A9" s="9" t="s">
        <v>23</v>
      </c>
      <c r="B9" s="10"/>
      <c r="C9" s="11"/>
      <c r="D9" s="11"/>
      <c r="E9" s="11"/>
      <c r="F9" s="11"/>
      <c r="G9" s="11"/>
      <c r="H9" s="16"/>
      <c r="I9" s="16"/>
    </row>
    <row r="10" spans="1:53" x14ac:dyDescent="0.55000000000000004">
      <c r="A10" s="12"/>
      <c r="H10" s="17"/>
      <c r="I10" s="17"/>
    </row>
    <row r="11" spans="1:53" x14ac:dyDescent="0.55000000000000004">
      <c r="A11" s="12"/>
      <c r="B11" s="3" t="s">
        <v>24</v>
      </c>
      <c r="H11" s="17"/>
      <c r="I11" s="17"/>
    </row>
    <row r="12" spans="1:53" x14ac:dyDescent="0.55000000000000004">
      <c r="A12" s="12"/>
      <c r="B12" s="3" t="s">
        <v>25</v>
      </c>
      <c r="H12" s="17"/>
      <c r="I12" s="17"/>
    </row>
    <row r="13" spans="1:53" x14ac:dyDescent="0.55000000000000004">
      <c r="A13" s="12"/>
      <c r="B13" s="3" t="s">
        <v>26</v>
      </c>
      <c r="H13" s="17"/>
      <c r="I13" s="17"/>
    </row>
    <row r="14" spans="1:53" x14ac:dyDescent="0.55000000000000004">
      <c r="A14" s="12"/>
      <c r="B14" s="1" t="s">
        <v>27</v>
      </c>
      <c r="H14" s="17"/>
      <c r="I14" s="17"/>
    </row>
    <row r="15" spans="1:53" x14ac:dyDescent="0.55000000000000004">
      <c r="A15" s="12"/>
      <c r="B15" s="1" t="s">
        <v>28</v>
      </c>
      <c r="H15" s="17"/>
      <c r="I15" s="17"/>
    </row>
    <row r="16" spans="1:53" x14ac:dyDescent="0.55000000000000004">
      <c r="A16" s="12"/>
      <c r="B16" s="69" t="s">
        <v>64</v>
      </c>
      <c r="G16" s="17"/>
      <c r="J16" s="1"/>
    </row>
    <row r="17" spans="1:10" x14ac:dyDescent="0.55000000000000004">
      <c r="A17" s="12"/>
      <c r="B17" s="70" t="s">
        <v>65</v>
      </c>
      <c r="G17" s="17"/>
      <c r="J17" s="1"/>
    </row>
    <row r="18" spans="1:10" x14ac:dyDescent="0.55000000000000004">
      <c r="A18" s="13"/>
      <c r="B18" s="14"/>
      <c r="C18" s="15"/>
      <c r="D18" s="15"/>
      <c r="E18" s="15"/>
      <c r="F18" s="15"/>
      <c r="G18" s="15"/>
      <c r="H18" s="18"/>
      <c r="I18" s="18"/>
    </row>
  </sheetData>
  <mergeCells count="24">
    <mergeCell ref="K2:Q2"/>
    <mergeCell ref="AU2:BA2"/>
    <mergeCell ref="S2:Y2"/>
    <mergeCell ref="B4:B6"/>
    <mergeCell ref="AW4:AW6"/>
    <mergeCell ref="AX4:AX6"/>
    <mergeCell ref="AP4:AP6"/>
    <mergeCell ref="AQ4:AQ6"/>
    <mergeCell ref="AR4:AR6"/>
    <mergeCell ref="AS4:AS6"/>
    <mergeCell ref="AU4:AU6"/>
    <mergeCell ref="J4:J6"/>
    <mergeCell ref="I4:I6"/>
    <mergeCell ref="AM4:AM6"/>
    <mergeCell ref="AN4:AN6"/>
    <mergeCell ref="AO4:AO6"/>
    <mergeCell ref="BA4:BA6"/>
    <mergeCell ref="AY4:AY6"/>
    <mergeCell ref="AZ4:AZ6"/>
    <mergeCell ref="AV4:AV6"/>
    <mergeCell ref="AA1:AE1"/>
    <mergeCell ref="AG1:AK1"/>
    <mergeCell ref="AM2:AS2"/>
    <mergeCell ref="AM1:BA1"/>
  </mergeCells>
  <phoneticPr fontId="1"/>
  <pageMargins left="0.23622047244094491" right="0.23622047244094491" top="0.74803149606299213" bottom="0.74803149606299213" header="0.31496062992125984" footer="0.31496062992125984"/>
  <pageSetup paperSize="9" scale="59" fitToHeight="0" orientation="landscape" horizontalDpi="300" verticalDpi="300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1AE3-EFB2-47D0-B03F-6BE3BB1F703E}">
  <sheetPr>
    <pageSetUpPr fitToPage="1"/>
  </sheetPr>
  <dimension ref="A1:J19"/>
  <sheetViews>
    <sheetView showGridLines="0" zoomScale="80" zoomScaleNormal="80" workbookViewId="0">
      <pane ySplit="3" topLeftCell="A5" activePane="bottomLeft" state="frozen"/>
      <selection activeCell="D1" sqref="D1"/>
      <selection pane="bottomLeft"/>
    </sheetView>
  </sheetViews>
  <sheetFormatPr defaultColWidth="9" defaultRowHeight="18" x14ac:dyDescent="0.55000000000000004"/>
  <cols>
    <col min="1" max="1" width="4.33203125" style="3" bestFit="1" customWidth="1"/>
    <col min="2" max="2" width="9" style="1" customWidth="1"/>
    <col min="3" max="3" width="17.58203125" style="2" customWidth="1"/>
    <col min="4" max="4" width="53.25" style="2" customWidth="1"/>
    <col min="5" max="5" width="80.25" style="2" customWidth="1"/>
    <col min="6" max="6" width="112.5" style="2" bestFit="1" customWidth="1"/>
    <col min="7" max="9" width="16.58203125" style="7" customWidth="1"/>
    <col min="10" max="10" width="16.58203125" style="1" customWidth="1"/>
    <col min="11" max="16384" width="9" style="1"/>
  </cols>
  <sheetData>
    <row r="1" spans="1:10" ht="22.5" x14ac:dyDescent="0.55000000000000004">
      <c r="A1" s="8" t="s">
        <v>46</v>
      </c>
      <c r="I1" s="1"/>
    </row>
    <row r="2" spans="1:10" x14ac:dyDescent="0.55000000000000004">
      <c r="A2" s="3" t="s">
        <v>31</v>
      </c>
    </row>
    <row r="3" spans="1:10" ht="36" x14ac:dyDescent="0.55000000000000004">
      <c r="A3" s="4" t="s">
        <v>5</v>
      </c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24" t="s">
        <v>62</v>
      </c>
      <c r="H3" s="24" t="s">
        <v>63</v>
      </c>
      <c r="I3" s="19" t="s">
        <v>22</v>
      </c>
    </row>
    <row r="4" spans="1:10" ht="198" customHeight="1" x14ac:dyDescent="0.55000000000000004">
      <c r="A4" s="35">
        <v>1</v>
      </c>
      <c r="B4" s="64" t="str">
        <f>'MES_概算御見積（内部用）'!B4</f>
        <v>千葉工場
製造一課</v>
      </c>
      <c r="C4" s="46" t="str">
        <f>'MES_概算御見積（内部用）'!C4</f>
        <v>カルテ、製造指示書、生産実績における原料品目数拡大</v>
      </c>
      <c r="D4" s="46" t="str">
        <f>'MES_概算御見積（内部用）'!E4</f>
        <v>現状の原料品目数（11品目）では原料品目数が足りず、試作品開発が出来ない。
試作品開発を行えるよう原料品目数を増やす改修を行う。</v>
      </c>
      <c r="E4" s="46" t="str">
        <f>'MES_概算御見積（内部用）'!F4</f>
        <v xml:space="preserve">原料品目数を6品目追加し、合計17品目として多種多様な原料配合に対応できるようにする。
</v>
      </c>
      <c r="F4" s="28" t="str">
        <f>'MES_概算御見積（内部用）'!G4</f>
        <v>■PG改修
・原料項目合計17品目表示対応。</v>
      </c>
      <c r="G4" s="30">
        <f>'MES_概算御見積（内部用）'!AA4</f>
        <v>20</v>
      </c>
      <c r="H4" s="44">
        <f>'MES_概算御見積（内部用）'!AA4+'MES_概算御見積（内部用）'!AC4</f>
        <v>23</v>
      </c>
      <c r="I4" s="49">
        <f>'MES_概算御見積（内部用）'!AE4</f>
        <v>1210000</v>
      </c>
    </row>
    <row r="5" spans="1:10" ht="180" customHeight="1" x14ac:dyDescent="0.55000000000000004">
      <c r="A5" s="35">
        <v>2</v>
      </c>
      <c r="B5" s="64"/>
      <c r="C5" s="46" t="str">
        <f>'MES_概算御見積（内部用）'!C5</f>
        <v>製造指示書の印刷フォーマット改修と入力項目追加</v>
      </c>
      <c r="D5" s="46" t="str">
        <f>'MES_概算御見積（内部用）'!E5</f>
        <v>製造指示書のフォーマットを原料品目数増加に伴い、改修をする。
一部の手書き箇所も入力、マスタ化にする。</v>
      </c>
      <c r="E5" s="46" t="str">
        <f>'MES_概算御見積（内部用）'!F5</f>
        <v>・原料品目数増加により、他項目の印刷位置等を見直す。
・備考欄が1項目のみで文字数制限がある。欄をを3～4項目に増やして、手書きをなくす。
・工程№の上に課内で使用しているFAの工程№を自動反映で印字させる。</v>
      </c>
      <c r="F5" s="28" t="str">
        <f>'MES_概算御見積（内部用）'!G5</f>
        <v>■フォーマット改修
・工程Noの上にFAの行程Noを自動表示する。（工程Noが32411060の場合→FA工程No3411-06）
・原料項目を追加し、合計17品目表示可能とする。
・フォーマット中段の課長押印欄削除。
・改訂理由項目の幅を狭める。
・注意事項項目の幅を広げる。
・注意事項項目の入力項目を3項目に増やす。
■PG改修
・FA工程No出力対応。
・原料項目合計17品目表示対応。
・注意事項項目の入力項目を3項目に増やす。（マスタからの選択項目を増やす。）</v>
      </c>
      <c r="G5" s="30">
        <f>'MES_概算御見積（内部用）'!AA5</f>
        <v>25</v>
      </c>
      <c r="H5" s="44">
        <f>'MES_概算御見積（内部用）'!AA5+'MES_概算御見積（内部用）'!AC5</f>
        <v>28.75</v>
      </c>
      <c r="I5" s="49">
        <f>'MES_概算御見積（内部用）'!AE5</f>
        <v>1513000</v>
      </c>
    </row>
    <row r="6" spans="1:10" ht="126" x14ac:dyDescent="0.55000000000000004">
      <c r="A6" s="51">
        <v>3</v>
      </c>
      <c r="B6" s="64"/>
      <c r="C6" s="20" t="str">
        <f>'MES_概算御見積（内部用）'!C6</f>
        <v>一次指示書の印刷フォーマット改修と入力項目追加</v>
      </c>
      <c r="D6" s="20" t="str">
        <f>'MES_概算御見積（内部用）'!E6</f>
        <v>一次スリット指示書のフォーマットを改修をする。
一部の手書き箇所も入力、マスタ化にする。</v>
      </c>
      <c r="E6" s="20" t="str">
        <f>'MES_概算御見積（内部用）'!F6</f>
        <v xml:space="preserve">・備考欄が1項目のみで文字数制限がある。欄をを8項目に増やして、手書きをなくす。
・工程№の上に課内で使用しているFAの工程№を自動反映で印字させる。
</v>
      </c>
      <c r="F6" s="28" t="str">
        <f>'MES_概算御見積（内部用）'!G6</f>
        <v>■フォーマット改修
・工程Noの右にFAの行程Noを自動表示する。（工程Noが32411060の場合→FA工程No3411-06）
・備考項目の入力項目を10項目に増やす。
・サイズ項目の罫線を1行目移行削除する。
■PG改修
・FA工程No出力対応。
・注意事項項目の入力項目を10項目に増やす。（マスタからの選択項目を増やす。）</v>
      </c>
      <c r="G6" s="30">
        <f>'MES_概算御見積（内部用）'!AA6</f>
        <v>25</v>
      </c>
      <c r="H6" s="44">
        <f>'MES_概算御見積（内部用）'!AA6+'MES_概算御見積（内部用）'!AC6</f>
        <v>28.75</v>
      </c>
      <c r="I6" s="49">
        <f>'MES_概算御見積（内部用）'!AE6</f>
        <v>1513000</v>
      </c>
    </row>
    <row r="7" spans="1:10" ht="18" customHeight="1" x14ac:dyDescent="0.55000000000000004">
      <c r="B7" s="48"/>
      <c r="C7" s="48"/>
      <c r="D7" s="48"/>
      <c r="E7" s="48"/>
      <c r="H7" s="48"/>
      <c r="I7" s="55"/>
      <c r="J7" s="7"/>
    </row>
    <row r="8" spans="1:10" ht="18" customHeight="1" x14ac:dyDescent="0.55000000000000004">
      <c r="H8" s="2"/>
      <c r="J8" s="7"/>
    </row>
    <row r="10" spans="1:10" x14ac:dyDescent="0.55000000000000004">
      <c r="A10" s="9" t="s">
        <v>23</v>
      </c>
      <c r="B10" s="10"/>
      <c r="C10" s="11"/>
      <c r="D10" s="11"/>
      <c r="E10" s="11"/>
      <c r="F10" s="11"/>
      <c r="G10" s="16"/>
    </row>
    <row r="11" spans="1:10" x14ac:dyDescent="0.55000000000000004">
      <c r="A11" s="12"/>
      <c r="G11" s="17"/>
    </row>
    <row r="12" spans="1:10" x14ac:dyDescent="0.55000000000000004">
      <c r="A12" s="12"/>
      <c r="B12" s="3" t="s">
        <v>24</v>
      </c>
      <c r="G12" s="17"/>
    </row>
    <row r="13" spans="1:10" x14ac:dyDescent="0.55000000000000004">
      <c r="A13" s="12"/>
      <c r="B13" s="3" t="s">
        <v>25</v>
      </c>
      <c r="G13" s="17"/>
    </row>
    <row r="14" spans="1:10" x14ac:dyDescent="0.55000000000000004">
      <c r="A14" s="12"/>
      <c r="B14" s="3" t="s">
        <v>26</v>
      </c>
      <c r="G14" s="17"/>
    </row>
    <row r="15" spans="1:10" x14ac:dyDescent="0.55000000000000004">
      <c r="A15" s="12"/>
      <c r="B15" s="1" t="s">
        <v>27</v>
      </c>
      <c r="G15" s="17"/>
    </row>
    <row r="16" spans="1:10" x14ac:dyDescent="0.55000000000000004">
      <c r="A16" s="12"/>
      <c r="B16" s="1" t="s">
        <v>28</v>
      </c>
      <c r="G16" s="17"/>
    </row>
    <row r="17" spans="1:7" x14ac:dyDescent="0.55000000000000004">
      <c r="A17" s="12"/>
      <c r="B17" s="69" t="s">
        <v>64</v>
      </c>
      <c r="G17" s="17"/>
    </row>
    <row r="18" spans="1:7" x14ac:dyDescent="0.55000000000000004">
      <c r="A18" s="12"/>
      <c r="B18" s="70" t="s">
        <v>65</v>
      </c>
      <c r="G18" s="17"/>
    </row>
    <row r="19" spans="1:7" x14ac:dyDescent="0.55000000000000004">
      <c r="A19" s="13"/>
      <c r="B19" s="14"/>
      <c r="C19" s="15"/>
      <c r="D19" s="15"/>
      <c r="E19" s="15"/>
      <c r="F19" s="15"/>
      <c r="G19" s="18"/>
    </row>
  </sheetData>
  <mergeCells count="1">
    <mergeCell ref="B4:B6"/>
  </mergeCells>
  <phoneticPr fontId="1"/>
  <pageMargins left="0.23622047244094491" right="0.23622047244094491" top="0.74803149606299213" bottom="0.74803149606299213" header="0.31496062992125984" footer="0.31496062992125984"/>
  <pageSetup paperSize="9" scale="54" fitToHeight="0" orientation="landscape" horizontalDpi="300" verticalDpi="300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2F26-AF8A-4228-8EB0-CB0850D0D530}">
  <dimension ref="A1:BE23"/>
  <sheetViews>
    <sheetView showGridLines="0" workbookViewId="0">
      <pane xSplit="3" topLeftCell="D1" activePane="topRight" state="frozen"/>
      <selection pane="topRight"/>
    </sheetView>
  </sheetViews>
  <sheetFormatPr defaultRowHeight="18" x14ac:dyDescent="0.55000000000000004"/>
  <cols>
    <col min="1" max="1" width="4.33203125" style="3" bestFit="1" customWidth="1"/>
    <col min="2" max="2" width="9" style="1" bestFit="1" customWidth="1"/>
    <col min="3" max="3" width="46" style="2" customWidth="1"/>
    <col min="4" max="4" width="44.25" style="2" bestFit="1" customWidth="1"/>
    <col min="5" max="5" width="11.33203125" style="2" bestFit="1" customWidth="1"/>
    <col min="6" max="12" width="5.58203125" customWidth="1"/>
    <col min="13" max="13" width="8.6640625" customWidth="1"/>
    <col min="16" max="17" width="11.33203125" customWidth="1"/>
    <col min="18" max="57" width="6.33203125" customWidth="1"/>
  </cols>
  <sheetData>
    <row r="1" spans="1:57" x14ac:dyDescent="0.55000000000000004">
      <c r="N1" t="s">
        <v>41</v>
      </c>
      <c r="R1">
        <v>2025</v>
      </c>
    </row>
    <row r="2" spans="1:57" ht="36" x14ac:dyDescent="0.55000000000000004">
      <c r="A2" s="4" t="s">
        <v>5</v>
      </c>
      <c r="B2" s="5" t="s">
        <v>6</v>
      </c>
      <c r="C2" s="6" t="s">
        <v>7</v>
      </c>
      <c r="D2" s="6" t="s">
        <v>38</v>
      </c>
      <c r="E2" s="6" t="s">
        <v>32</v>
      </c>
      <c r="F2" s="6" t="s">
        <v>42</v>
      </c>
      <c r="G2" s="6" t="s">
        <v>30</v>
      </c>
      <c r="H2" s="6" t="s">
        <v>15</v>
      </c>
      <c r="I2" s="6" t="s">
        <v>16</v>
      </c>
      <c r="J2" s="6" t="s">
        <v>17</v>
      </c>
      <c r="K2" s="6" t="s">
        <v>43</v>
      </c>
      <c r="L2" s="6" t="s">
        <v>37</v>
      </c>
      <c r="M2" s="6" t="s">
        <v>33</v>
      </c>
      <c r="N2" s="6" t="s">
        <v>39</v>
      </c>
      <c r="P2" s="6" t="s">
        <v>40</v>
      </c>
      <c r="Q2" s="6" t="s">
        <v>18</v>
      </c>
      <c r="R2" s="43">
        <f>DATE(R1,4,7)</f>
        <v>45754</v>
      </c>
      <c r="S2" s="43">
        <f>R2+7</f>
        <v>45761</v>
      </c>
      <c r="T2" s="43">
        <f t="shared" ref="T2:BE2" si="0">S2+7</f>
        <v>45768</v>
      </c>
      <c r="U2" s="43">
        <f t="shared" si="0"/>
        <v>45775</v>
      </c>
      <c r="V2" s="43">
        <f t="shared" si="0"/>
        <v>45782</v>
      </c>
      <c r="W2" s="43">
        <f t="shared" si="0"/>
        <v>45789</v>
      </c>
      <c r="X2" s="43">
        <f t="shared" si="0"/>
        <v>45796</v>
      </c>
      <c r="Y2" s="43">
        <f t="shared" si="0"/>
        <v>45803</v>
      </c>
      <c r="Z2" s="43">
        <f t="shared" si="0"/>
        <v>45810</v>
      </c>
      <c r="AA2" s="43">
        <f t="shared" si="0"/>
        <v>45817</v>
      </c>
      <c r="AB2" s="43">
        <f t="shared" si="0"/>
        <v>45824</v>
      </c>
      <c r="AC2" s="43">
        <f t="shared" si="0"/>
        <v>45831</v>
      </c>
      <c r="AD2" s="43">
        <f t="shared" si="0"/>
        <v>45838</v>
      </c>
      <c r="AE2" s="43">
        <f t="shared" si="0"/>
        <v>45845</v>
      </c>
      <c r="AF2" s="43">
        <f t="shared" si="0"/>
        <v>45852</v>
      </c>
      <c r="AG2" s="43">
        <f t="shared" si="0"/>
        <v>45859</v>
      </c>
      <c r="AH2" s="43">
        <f t="shared" si="0"/>
        <v>45866</v>
      </c>
      <c r="AI2" s="43">
        <f t="shared" si="0"/>
        <v>45873</v>
      </c>
      <c r="AJ2" s="43">
        <f t="shared" si="0"/>
        <v>45880</v>
      </c>
      <c r="AK2" s="43">
        <f t="shared" si="0"/>
        <v>45887</v>
      </c>
      <c r="AL2" s="43">
        <f t="shared" si="0"/>
        <v>45894</v>
      </c>
      <c r="AM2" s="43">
        <f t="shared" si="0"/>
        <v>45901</v>
      </c>
      <c r="AN2" s="43">
        <f t="shared" si="0"/>
        <v>45908</v>
      </c>
      <c r="AO2" s="43">
        <f t="shared" si="0"/>
        <v>45915</v>
      </c>
      <c r="AP2" s="43">
        <f t="shared" si="0"/>
        <v>45922</v>
      </c>
      <c r="AQ2" s="43">
        <f t="shared" si="0"/>
        <v>45929</v>
      </c>
      <c r="AR2" s="43">
        <f t="shared" si="0"/>
        <v>45936</v>
      </c>
      <c r="AS2" s="43">
        <f t="shared" si="0"/>
        <v>45943</v>
      </c>
      <c r="AT2" s="43">
        <f t="shared" si="0"/>
        <v>45950</v>
      </c>
      <c r="AU2" s="43">
        <f t="shared" si="0"/>
        <v>45957</v>
      </c>
      <c r="AV2" s="43">
        <f t="shared" si="0"/>
        <v>45964</v>
      </c>
      <c r="AW2" s="43">
        <f t="shared" si="0"/>
        <v>45971</v>
      </c>
      <c r="AX2" s="43">
        <f t="shared" si="0"/>
        <v>45978</v>
      </c>
      <c r="AY2" s="43">
        <f t="shared" si="0"/>
        <v>45985</v>
      </c>
      <c r="AZ2" s="43">
        <f t="shared" si="0"/>
        <v>45992</v>
      </c>
      <c r="BA2" s="43">
        <f t="shared" si="0"/>
        <v>45999</v>
      </c>
      <c r="BB2" s="43">
        <f t="shared" si="0"/>
        <v>46006</v>
      </c>
      <c r="BC2" s="43">
        <f t="shared" si="0"/>
        <v>46013</v>
      </c>
      <c r="BD2" s="43">
        <f t="shared" si="0"/>
        <v>46020</v>
      </c>
      <c r="BE2" s="43">
        <f t="shared" si="0"/>
        <v>46027</v>
      </c>
    </row>
    <row r="3" spans="1:57" ht="110" customHeight="1" x14ac:dyDescent="0.55000000000000004">
      <c r="A3" s="45">
        <v>1</v>
      </c>
      <c r="B3" s="68" t="str">
        <f>'MES_概算御見積（内部用）'!B4</f>
        <v>千葉工場
製造一課</v>
      </c>
      <c r="C3" s="20" t="str">
        <f>'MES_概算御見積（内部用）'!C4</f>
        <v>カルテ、製造指示書、生産実績における原料品目数拡大</v>
      </c>
      <c r="D3" s="21" t="str">
        <f>'MES_概算御見積（内部用）'!F4</f>
        <v xml:space="preserve">原料品目数を6品目追加し、合計17品目として多種多様な原料配合に対応できるようにする。
</v>
      </c>
      <c r="E3" s="36">
        <f>'MES_概算御見積（内部用）'!D4</f>
        <v>45838</v>
      </c>
      <c r="F3" s="44">
        <f>'MES_概算御見積（内部用）'!K4</f>
        <v>2</v>
      </c>
      <c r="G3" s="44">
        <f>'MES_概算御見積（内部用）'!L4</f>
        <v>8</v>
      </c>
      <c r="H3" s="44">
        <f>'MES_概算御見積（内部用）'!M4</f>
        <v>3</v>
      </c>
      <c r="I3" s="44">
        <f>'MES_概算御見積（内部用）'!N4</f>
        <v>3</v>
      </c>
      <c r="J3" s="44">
        <f>'MES_概算御見積（内部用）'!O4</f>
        <v>2</v>
      </c>
      <c r="K3" s="44">
        <f>'MES_概算御見積（内部用）'!P4</f>
        <v>2</v>
      </c>
      <c r="L3" s="44">
        <f>'MES_概算御見積（内部用）'!Q4</f>
        <v>20</v>
      </c>
      <c r="M3" s="38">
        <f>L3</f>
        <v>20</v>
      </c>
      <c r="N3" s="44">
        <f>M3+'MES_概算御見積（内部用）'!AC4</f>
        <v>23</v>
      </c>
      <c r="P3" s="52">
        <f>R2</f>
        <v>45754</v>
      </c>
      <c r="Q3" s="52">
        <f>W2</f>
        <v>45789</v>
      </c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</row>
    <row r="4" spans="1:57" ht="110" customHeight="1" x14ac:dyDescent="0.55000000000000004">
      <c r="A4" s="45">
        <v>2</v>
      </c>
      <c r="B4" s="68"/>
      <c r="C4" s="20" t="str">
        <f>'MES_概算御見積（内部用）'!C5</f>
        <v>製造指示書の印刷フォーマット改修と入力項目追加</v>
      </c>
      <c r="D4" s="21" t="str">
        <f>'MES_概算御見積（内部用）'!F5</f>
        <v>・原料品目数増加により、他項目の印刷位置等を見直す。
・備考欄が1項目のみで文字数制限がある。欄をを3～4項目に増やして、手書きをなくす。
・工程№の上に課内で使用しているFAの工程№を自動反映で印字させる。</v>
      </c>
      <c r="E4" s="36">
        <f>'MES_概算御見積（内部用）'!D5</f>
        <v>45838</v>
      </c>
      <c r="F4" s="44">
        <f>'MES_概算御見積（内部用）'!K5</f>
        <v>3</v>
      </c>
      <c r="G4" s="44">
        <f>'MES_概算御見積（内部用）'!L5</f>
        <v>10</v>
      </c>
      <c r="H4" s="44">
        <f>'MES_概算御見積（内部用）'!M5</f>
        <v>4</v>
      </c>
      <c r="I4" s="44">
        <f>'MES_概算御見積（内部用）'!N5</f>
        <v>4</v>
      </c>
      <c r="J4" s="44">
        <f>'MES_概算御見積（内部用）'!O5</f>
        <v>2</v>
      </c>
      <c r="K4" s="44">
        <f>'MES_概算御見積（内部用）'!P5</f>
        <v>2</v>
      </c>
      <c r="L4" s="44">
        <f>'MES_概算御見積（内部用）'!Q5</f>
        <v>25</v>
      </c>
      <c r="M4" s="38">
        <f t="shared" ref="M4:M5" si="1">L4</f>
        <v>25</v>
      </c>
      <c r="N4" s="44">
        <f>M4+'MES_概算御見積（内部用）'!AC5</f>
        <v>28.75</v>
      </c>
      <c r="P4" s="53">
        <f>U2</f>
        <v>45775</v>
      </c>
      <c r="Q4" s="53">
        <f>AA2</f>
        <v>45817</v>
      </c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</row>
    <row r="5" spans="1:57" ht="110" customHeight="1" x14ac:dyDescent="0.55000000000000004">
      <c r="A5" s="23">
        <v>3</v>
      </c>
      <c r="B5" s="68"/>
      <c r="C5" s="20" t="str">
        <f>'MES_概算御見積（内部用）'!C6</f>
        <v>一次指示書の印刷フォーマット改修と入力項目追加</v>
      </c>
      <c r="D5" s="21" t="str">
        <f>'MES_概算御見積（内部用）'!F6</f>
        <v xml:space="preserve">・備考欄が1項目のみで文字数制限がある。欄をを8項目に増やして、手書きをなくす。
・工程№の上に課内で使用しているFAの工程№を自動反映で印字させる。
</v>
      </c>
      <c r="E5" s="50">
        <f>'MES_概算御見積（内部用）'!D6</f>
        <v>45838</v>
      </c>
      <c r="F5" s="44">
        <f>'MES_概算御見積（内部用）'!K6</f>
        <v>3</v>
      </c>
      <c r="G5" s="44">
        <f>'MES_概算御見積（内部用）'!L6</f>
        <v>10</v>
      </c>
      <c r="H5" s="44">
        <f>'MES_概算御見積（内部用）'!M6</f>
        <v>4</v>
      </c>
      <c r="I5" s="44">
        <f>'MES_概算御見積（内部用）'!N6</f>
        <v>4</v>
      </c>
      <c r="J5" s="44">
        <f>'MES_概算御見積（内部用）'!O6</f>
        <v>2</v>
      </c>
      <c r="K5" s="44">
        <f>'MES_概算御見積（内部用）'!P6</f>
        <v>2</v>
      </c>
      <c r="L5" s="44">
        <f>'MES_概算御見積（内部用）'!Q6</f>
        <v>25</v>
      </c>
      <c r="M5" s="44">
        <f t="shared" si="1"/>
        <v>25</v>
      </c>
      <c r="N5" s="44">
        <f>M5+'MES_概算御見積（内部用）'!AC6</f>
        <v>28.75</v>
      </c>
      <c r="P5" s="54">
        <f>X2</f>
        <v>45796</v>
      </c>
      <c r="Q5" s="54">
        <f>AD2</f>
        <v>45838</v>
      </c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</row>
    <row r="6" spans="1:57" x14ac:dyDescent="0.55000000000000004">
      <c r="A6" s="1"/>
      <c r="B6" s="2"/>
      <c r="D6" s="40"/>
      <c r="E6" s="41"/>
      <c r="F6" s="42"/>
      <c r="G6" s="42"/>
      <c r="H6" s="42"/>
      <c r="I6" s="42"/>
      <c r="J6" s="42"/>
      <c r="K6" s="42"/>
      <c r="L6" s="42"/>
      <c r="M6" s="42"/>
      <c r="N6" s="42"/>
    </row>
    <row r="7" spans="1:57" x14ac:dyDescent="0.55000000000000004">
      <c r="A7" s="3" t="s">
        <v>34</v>
      </c>
    </row>
    <row r="8" spans="1:57" x14ac:dyDescent="0.55000000000000004">
      <c r="B8" s="1" t="s">
        <v>44</v>
      </c>
      <c r="C8" s="1" t="s">
        <v>35</v>
      </c>
    </row>
    <row r="9" spans="1:57" x14ac:dyDescent="0.55000000000000004">
      <c r="B9" s="1" t="s">
        <v>48</v>
      </c>
      <c r="C9" s="2" t="s">
        <v>47</v>
      </c>
    </row>
    <row r="10" spans="1:57" x14ac:dyDescent="0.55000000000000004">
      <c r="B10" s="1" t="s">
        <v>45</v>
      </c>
      <c r="C10" s="1" t="s">
        <v>36</v>
      </c>
      <c r="F10" s="37"/>
      <c r="G10" s="37"/>
    </row>
    <row r="11" spans="1:57" x14ac:dyDescent="0.55000000000000004">
      <c r="F11" s="37"/>
      <c r="G11" s="37"/>
    </row>
    <row r="12" spans="1:57" x14ac:dyDescent="0.55000000000000004">
      <c r="F12" s="37"/>
      <c r="G12" s="37"/>
    </row>
    <row r="13" spans="1:57" x14ac:dyDescent="0.55000000000000004">
      <c r="F13" s="37"/>
      <c r="G13" s="37"/>
    </row>
    <row r="14" spans="1:57" x14ac:dyDescent="0.55000000000000004">
      <c r="F14" s="37"/>
      <c r="G14" s="37"/>
    </row>
    <row r="15" spans="1:57" x14ac:dyDescent="0.55000000000000004">
      <c r="F15" s="37"/>
      <c r="G15" s="37"/>
    </row>
    <row r="16" spans="1:57" x14ac:dyDescent="0.55000000000000004">
      <c r="F16" s="37"/>
      <c r="G16" s="37"/>
    </row>
    <row r="17" spans="6:7" x14ac:dyDescent="0.55000000000000004">
      <c r="F17" s="37"/>
      <c r="G17" s="37"/>
    </row>
    <row r="18" spans="6:7" x14ac:dyDescent="0.55000000000000004">
      <c r="F18" s="37"/>
      <c r="G18" s="37"/>
    </row>
    <row r="19" spans="6:7" x14ac:dyDescent="0.55000000000000004">
      <c r="F19" s="37"/>
      <c r="G19" s="37"/>
    </row>
    <row r="20" spans="6:7" x14ac:dyDescent="0.55000000000000004">
      <c r="F20" s="37"/>
      <c r="G20" s="37"/>
    </row>
    <row r="21" spans="6:7" x14ac:dyDescent="0.55000000000000004">
      <c r="F21" s="37"/>
      <c r="G21" s="37"/>
    </row>
    <row r="22" spans="6:7" x14ac:dyDescent="0.55000000000000004">
      <c r="F22" s="37"/>
      <c r="G22" s="37"/>
    </row>
    <row r="23" spans="6:7" x14ac:dyDescent="0.55000000000000004">
      <c r="F23" s="37"/>
      <c r="G23" s="37"/>
    </row>
  </sheetData>
  <mergeCells count="1">
    <mergeCell ref="B3:B5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E4E2CB-9C71-4604-8381-070D29A3834A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c3646003-1fe8-4c7b-b8fa-d7ba2835bde6"/>
    <ds:schemaRef ds:uri="187f30ad-8167-4588-9c3a-cb4f36143cd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5B6FB0D-85F6-4733-BA78-E1D5BD145F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A21DF1-F4DF-4F62-9163-34881194F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MES_概算御見積（内部用）</vt:lpstr>
      <vt:lpstr>MES_概算御見積（顧客提出用）</vt:lpstr>
      <vt:lpstr>スケジュール概算</vt:lpstr>
      <vt:lpstr>'MES_概算御見積（顧客提出用）'!Print_Area</vt:lpstr>
      <vt:lpstr>'MES_概算御見積（顧客提出用）'!Print_Titles</vt:lpstr>
      <vt:lpstr>'MES_概算御見積（内部用）'!Print_Titles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m-fukuda</dc:creator>
  <cp:keywords/>
  <dc:description/>
  <cp:lastModifiedBy>髙橋裕輔</cp:lastModifiedBy>
  <cp:revision/>
  <dcterms:created xsi:type="dcterms:W3CDTF">2019-12-18T08:19:30Z</dcterms:created>
  <dcterms:modified xsi:type="dcterms:W3CDTF">2024-11-15T01:33:57Z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