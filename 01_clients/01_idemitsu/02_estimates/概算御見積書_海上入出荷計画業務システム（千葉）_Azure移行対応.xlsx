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" documentId="13_ncr:1_{2D4A9F73-0E7E-48DA-BCC8-9B105D1AC99B}" xr6:coauthVersionLast="47" xr6:coauthVersionMax="47" xr10:uidLastSave="{30093465-A6E7-493B-BF49-7F3280846F17}"/>
  <bookViews>
    <workbookView xWindow="-110" yWindow="-110" windowWidth="19420" windowHeight="11020" xr2:uid="{00000000-000D-0000-FFFF-FFFF00000000}"/>
  </bookViews>
  <sheets>
    <sheet name="概算見積" sheetId="4" r:id="rId1"/>
    <sheet name="対応方針・スケジュール・作業詳細" sheetId="8" r:id="rId2"/>
    <sheet name="社員工数" sheetId="1" state="hidden" r:id="rId3"/>
    <sheet name="外注費・経費" sheetId="2" state="hidden" r:id="rId4"/>
    <sheet name="リストマスタ" sheetId="3" state="hidden" r:id="rId5"/>
  </sheets>
  <externalReferences>
    <externalReference r:id="rId6"/>
  </externalReferences>
  <definedNames>
    <definedName name="_xlnm.Print_Area" localSheetId="0">概算見積!$A$1:$AJ$120</definedName>
    <definedName name="_xlnm.Print_Area" localSheetId="1">対応方針・スケジュール・作業詳細!$A$1:$K$168</definedName>
    <definedName name="作業ステータス">[1]コード内訳!$A$125:$A$132</definedName>
    <definedName name="発生場所">[1]コード内訳!$A$115:$A$120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6" i="4" l="1"/>
  <c r="Y47" i="4" s="1"/>
  <c r="AE43" i="4"/>
  <c r="AE42" i="4"/>
  <c r="AE41" i="4"/>
  <c r="AE40" i="4"/>
  <c r="AE46" i="4" l="1"/>
  <c r="AE39" i="4" l="1"/>
  <c r="AE44" i="4" l="1"/>
  <c r="AE45" i="4"/>
  <c r="AE47" i="4" l="1"/>
  <c r="F11" i="4" s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<sst xmlns="http://schemas.openxmlformats.org/spreadsheetml/2006/main" count="218" uniqueCount="182">
  <si>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</si>
  <si>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</si>
  <si>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-</t>
    <phoneticPr fontId="3"/>
  </si>
  <si>
    <t>見積年月日</t>
    <rPh sb="0" eb="2">
      <t>ミツモリ</t>
    </rPh>
    <rPh sb="2" eb="5">
      <t>ネンガッピ</t>
    </rPh>
    <phoneticPr fontId="7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</si>
  <si>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</si>
  <si>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</si>
  <si>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</si>
  <si>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</si>
  <si>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</si>
  <si>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担当: 高木　義尚</t>
    <rPh sb="0" eb="2">
      <t>タントウ</t>
    </rPh>
    <rPh sb="4" eb="6">
      <t>タカギ</t>
    </rPh>
    <rPh sb="7" eb="9">
      <t>ヨシナオ</t>
    </rPh>
    <phoneticPr fontId="7"/>
  </si>
  <si>
    <t>MAIL: yoshinao.takagi＠system-exe.jp</t>
    <phoneticPr fontId="7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</si>
  <si>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</si>
  <si>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</si>
  <si>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請負契約</t>
  </si>
  <si>
    <t>作業場所</t>
    <rPh sb="0" eb="2">
      <t>サギョウ</t>
    </rPh>
    <rPh sb="2" eb="4">
      <t>バショ</t>
    </rPh>
    <phoneticPr fontId="18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</si>
  <si>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</si>
  <si>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作業期間</t>
    <rPh sb="0" eb="2">
      <t>サギョウ</t>
    </rPh>
    <rPh sb="2" eb="4">
      <t>キカン</t>
    </rPh>
    <phoneticPr fontId="18"/>
  </si>
  <si>
    <t>2025年9月8日 ～ 2025年11月28日</t>
    <rPh sb="4" eb="5">
      <t>ネン</t>
    </rPh>
    <rPh sb="6" eb="7">
      <t>ガツ</t>
    </rPh>
    <rPh sb="8" eb="9">
      <t>ニチ</t>
    </rPh>
    <rPh sb="16" eb="17">
      <t>ネン</t>
    </rPh>
    <rPh sb="19" eb="20">
      <t>ガツ</t>
    </rPh>
    <rPh sb="22" eb="23">
      <t>ニチ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</si>
  <si>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</si>
  <si>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No</t>
    <phoneticPr fontId="7"/>
  </si>
  <si>
    <t>項目</t>
    <rPh sb="0" eb="2">
      <t>コウモク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</si>
  <si>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</si>
  <si>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</si>
  <si>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単価</t>
    <rPh sb="0" eb="2">
      <t>タンカ</t>
    </rPh>
    <phoneticPr fontId="7"/>
  </si>
  <si>
    <t>DBサーバ環境構築</t>
    <rPh sb="5" eb="7">
      <t>カンキョウ</t>
    </rPh>
    <rPh sb="7" eb="9">
      <t>コウチク</t>
    </rPh>
    <phoneticPr fontId="7"/>
  </si>
  <si>
    <t>人月</t>
    <rPh sb="0" eb="2">
      <t>ニンゲツ</t>
    </rPh>
    <phoneticPr fontId="18"/>
  </si>
  <si>
    <t>APサーバ環境構築</t>
    <rPh sb="5" eb="7">
      <t>カンキョウ</t>
    </rPh>
    <rPh sb="7" eb="9">
      <t>コウチク</t>
    </rPh>
    <phoneticPr fontId="7"/>
  </si>
  <si>
    <t>システムテスト</t>
  </si>
  <si>
    <t>ユーザテスト</t>
    <phoneticPr fontId="7"/>
  </si>
  <si>
    <t>リリース前作業</t>
    <rPh sb="4" eb="5">
      <t>マエ</t>
    </rPh>
    <rPh sb="5" eb="7">
      <t>サギョウ</t>
    </rPh>
    <phoneticPr fontId="7"/>
  </si>
  <si>
    <t>リリース</t>
    <phoneticPr fontId="7"/>
  </si>
  <si>
    <t>初期流動</t>
    <phoneticPr fontId="7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</si>
  <si>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</si>
  <si>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</si>
  <si>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-</t>
    <phoneticPr fontId="18"/>
  </si>
  <si>
    <t>納品物</t>
    <rPh sb="0" eb="2">
      <t>ノウヒン</t>
    </rPh>
    <rPh sb="2" eb="3">
      <t>ブツ</t>
    </rPh>
    <phoneticPr fontId="7"/>
  </si>
  <si>
    <t>・</t>
    <phoneticPr fontId="18"/>
  </si>
  <si>
    <t>プログラム一式</t>
    <rPh sb="5" eb="7">
      <t>イッシキ</t>
    </rPh>
    <phoneticPr fontId="18"/>
  </si>
  <si>
    <t>システムテストエビデンス</t>
    <phoneticPr fontId="18"/>
  </si>
  <si>
    <t>DBサーバ環境構築エビデンス</t>
    <rPh sb="5" eb="7">
      <t>カンキョウ</t>
    </rPh>
    <rPh sb="7" eb="9">
      <t>コウチク</t>
    </rPh>
    <phoneticPr fontId="18"/>
  </si>
  <si>
    <t>切替作業手順書</t>
    <rPh sb="0" eb="1">
      <t>キ</t>
    </rPh>
    <rPh sb="1" eb="2">
      <t>カ</t>
    </rPh>
    <rPh sb="2" eb="4">
      <t>サギョウ</t>
    </rPh>
    <rPh sb="4" eb="7">
      <t>テジュンショ</t>
    </rPh>
    <phoneticPr fontId="18"/>
  </si>
  <si>
    <t>APサーバ環境構築エビデンス</t>
    <rPh sb="5" eb="7">
      <t>カンキョウ</t>
    </rPh>
    <rPh sb="7" eb="9">
      <t>コウチク</t>
    </rPh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</si>
  <si>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</si>
  <si>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</si>
  <si>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DBサーバ</t>
    <phoneticPr fontId="18"/>
  </si>
  <si>
    <t>DBサーバの環境構築を実施します。</t>
    <rPh sb="6" eb="8">
      <t>カンキョウ</t>
    </rPh>
    <rPh sb="8" eb="10">
      <t>コウチク</t>
    </rPh>
    <rPh sb="11" eb="13">
      <t>ジッシ</t>
    </rPh>
    <phoneticPr fontId="18"/>
  </si>
  <si>
    <t>環境構築</t>
  </si>
  <si>
    <t>DBMSはOracle Database 19cを想定しています。</t>
    <rPh sb="25" eb="27">
      <t>ソウテイ</t>
    </rPh>
    <phoneticPr fontId="18"/>
  </si>
  <si>
    <t>現行の本番機データを一度取り込みます。</t>
    <rPh sb="0" eb="2">
      <t>ゲンコウ</t>
    </rPh>
    <rPh sb="3" eb="6">
      <t>ホンバンキ</t>
    </rPh>
    <rPh sb="10" eb="12">
      <t>イチド</t>
    </rPh>
    <rPh sb="12" eb="13">
      <t>ト</t>
    </rPh>
    <rPh sb="14" eb="15">
      <t>コ</t>
    </rPh>
    <phoneticPr fontId="18"/>
  </si>
  <si>
    <t>APサーバ</t>
    <phoneticPr fontId="18"/>
  </si>
  <si>
    <t>APサーバの環境構築を実施します。</t>
    <rPh sb="6" eb="8">
      <t>カンキョウ</t>
    </rPh>
    <rPh sb="8" eb="10">
      <t>コウチク</t>
    </rPh>
    <rPh sb="11" eb="13">
      <t>ジッシ</t>
    </rPh>
    <phoneticPr fontId="18"/>
  </si>
  <si>
    <t>検証で利用中のサーバ（10.180.0.150、MATLAB64bit版）環境で不要な64bit版の機能を削除</t>
    <rPh sb="0" eb="2">
      <t>ケンショウ</t>
    </rPh>
    <rPh sb="3" eb="6">
      <t>リヨウチュウ</t>
    </rPh>
    <rPh sb="35" eb="36">
      <t>バン</t>
    </rPh>
    <rPh sb="37" eb="39">
      <t>カンキョウ</t>
    </rPh>
    <rPh sb="40" eb="42">
      <t>フヨウ</t>
    </rPh>
    <rPh sb="48" eb="49">
      <t>バン</t>
    </rPh>
    <rPh sb="50" eb="52">
      <t>キノウ</t>
    </rPh>
    <rPh sb="53" eb="55">
      <t>サクジョ</t>
    </rPh>
    <phoneticPr fontId="18"/>
  </si>
  <si>
    <t>します。</t>
    <phoneticPr fontId="18"/>
  </si>
  <si>
    <t>MATLABは32bit版を想定しています。</t>
    <rPh sb="12" eb="13">
      <t>バン</t>
    </rPh>
    <rPh sb="14" eb="16">
      <t>ソウテイ</t>
    </rPh>
    <phoneticPr fontId="18"/>
  </si>
  <si>
    <t>資源は現行本番機の資源を移行します。</t>
    <rPh sb="0" eb="2">
      <t>シゲン</t>
    </rPh>
    <rPh sb="3" eb="5">
      <t>ゲンコウ</t>
    </rPh>
    <rPh sb="5" eb="8">
      <t>ホンバンキ</t>
    </rPh>
    <rPh sb="9" eb="11">
      <t>シゲン</t>
    </rPh>
    <rPh sb="12" eb="14">
      <t>イコウ</t>
    </rPh>
    <phoneticPr fontId="18"/>
  </si>
  <si>
    <t>システムテスト</t>
    <phoneticPr fontId="18"/>
  </si>
  <si>
    <t>各機能について現新比較の検証を行います。</t>
    <rPh sb="0" eb="3">
      <t>カクキノウ</t>
    </rPh>
    <rPh sb="7" eb="8">
      <t>ゲン</t>
    </rPh>
    <rPh sb="8" eb="9">
      <t>シン</t>
    </rPh>
    <rPh sb="9" eb="11">
      <t>ヒカク</t>
    </rPh>
    <rPh sb="12" eb="14">
      <t>ケンショウ</t>
    </rPh>
    <rPh sb="15" eb="16">
      <t>オコナ</t>
    </rPh>
    <phoneticPr fontId="18"/>
  </si>
  <si>
    <t>オフラスからのオーダ情報取り込み処理を定周期で稼働させて検証します。</t>
    <rPh sb="10" eb="12">
      <t>ジョウホウ</t>
    </rPh>
    <rPh sb="12" eb="13">
      <t>ト</t>
    </rPh>
    <rPh sb="14" eb="15">
      <t>コ</t>
    </rPh>
    <rPh sb="16" eb="18">
      <t>ショリ</t>
    </rPh>
    <rPh sb="19" eb="22">
      <t>テイシュウキ</t>
    </rPh>
    <rPh sb="23" eb="25">
      <t>カドウ</t>
    </rPh>
    <rPh sb="28" eb="30">
      <t>ケンショウ</t>
    </rPh>
    <phoneticPr fontId="18"/>
  </si>
  <si>
    <t>ユーザテスト</t>
    <phoneticPr fontId="18"/>
  </si>
  <si>
    <t>千葉事業所業務課様にて新環境の検証をしていただきます。</t>
    <rPh sb="0" eb="2">
      <t>チバ</t>
    </rPh>
    <rPh sb="2" eb="5">
      <t>ジギョウショ</t>
    </rPh>
    <rPh sb="5" eb="8">
      <t>ギョウムカ</t>
    </rPh>
    <rPh sb="8" eb="9">
      <t>サマ</t>
    </rPh>
    <rPh sb="11" eb="14">
      <t>シンカンキョウ</t>
    </rPh>
    <rPh sb="15" eb="17">
      <t>ケンショウ</t>
    </rPh>
    <phoneticPr fontId="18"/>
  </si>
  <si>
    <t>5日間想定のテスト期間中のサポートや問い合わせ対応を行います。</t>
    <rPh sb="1" eb="2">
      <t>ニチ</t>
    </rPh>
    <rPh sb="2" eb="3">
      <t>カン</t>
    </rPh>
    <rPh sb="3" eb="5">
      <t>ソウテイ</t>
    </rPh>
    <rPh sb="9" eb="12">
      <t>キカンチュウ</t>
    </rPh>
    <rPh sb="18" eb="19">
      <t>ト</t>
    </rPh>
    <rPh sb="20" eb="21">
      <t>ア</t>
    </rPh>
    <rPh sb="23" eb="25">
      <t>タイオウ</t>
    </rPh>
    <rPh sb="26" eb="27">
      <t>オコナ</t>
    </rPh>
    <phoneticPr fontId="18"/>
  </si>
  <si>
    <t>リリース前作業</t>
    <rPh sb="4" eb="5">
      <t>マエ</t>
    </rPh>
    <rPh sb="5" eb="7">
      <t>サギョウ</t>
    </rPh>
    <phoneticPr fontId="18"/>
  </si>
  <si>
    <t>リリース作業の調整・準備を行います。</t>
    <rPh sb="4" eb="6">
      <t>サギョウ</t>
    </rPh>
    <rPh sb="7" eb="9">
      <t>チョウセイ</t>
    </rPh>
    <rPh sb="10" eb="12">
      <t>ジュンビ</t>
    </rPh>
    <rPh sb="13" eb="14">
      <t>オコナ</t>
    </rPh>
    <phoneticPr fontId="18"/>
  </si>
  <si>
    <t>切替作業手順書を作成します。</t>
    <rPh sb="2" eb="4">
      <t>サギョウ</t>
    </rPh>
    <rPh sb="8" eb="10">
      <t>サクセイ</t>
    </rPh>
    <phoneticPr fontId="18"/>
  </si>
  <si>
    <t>リリース</t>
    <phoneticPr fontId="18"/>
  </si>
  <si>
    <t>切替作業を実施します。</t>
    <rPh sb="0" eb="2">
      <t>キリカエ</t>
    </rPh>
    <rPh sb="2" eb="4">
      <t>サギョウ</t>
    </rPh>
    <rPh sb="5" eb="7">
      <t>ジッシ</t>
    </rPh>
    <phoneticPr fontId="18"/>
  </si>
  <si>
    <t>最新の現行の本番機データに更新します。</t>
    <rPh sb="0" eb="2">
      <t>サイシン</t>
    </rPh>
    <rPh sb="13" eb="15">
      <t>コウシン</t>
    </rPh>
    <phoneticPr fontId="18"/>
  </si>
  <si>
    <t>現行本番環境の定周期タスクを停止します。</t>
    <rPh sb="0" eb="2">
      <t>ゲンコウ</t>
    </rPh>
    <rPh sb="2" eb="4">
      <t>ホンバン</t>
    </rPh>
    <rPh sb="4" eb="6">
      <t>カンキョウ</t>
    </rPh>
    <rPh sb="7" eb="10">
      <t>テイシュウキ</t>
    </rPh>
    <rPh sb="14" eb="16">
      <t>テイシ</t>
    </rPh>
    <phoneticPr fontId="18"/>
  </si>
  <si>
    <t>初期流動</t>
    <rPh sb="0" eb="2">
      <t>ショキ</t>
    </rPh>
    <rPh sb="2" eb="4">
      <t>リュウドウ</t>
    </rPh>
    <phoneticPr fontId="18"/>
  </si>
  <si>
    <t>本番環境にて初期流動対応を実施します。</t>
    <rPh sb="0" eb="2">
      <t>ホンバン</t>
    </rPh>
    <rPh sb="2" eb="4">
      <t>カンキョウ</t>
    </rPh>
    <rPh sb="6" eb="8">
      <t>ショキ</t>
    </rPh>
    <rPh sb="8" eb="10">
      <t>リュウドウ</t>
    </rPh>
    <rPh sb="10" eb="12">
      <t>タイオウ</t>
    </rPh>
    <rPh sb="13" eb="15">
      <t>ジッシ</t>
    </rPh>
    <phoneticPr fontId="18"/>
  </si>
  <si>
    <t>ﾌﾟﾛｼﾞｪｸﾄ管理</t>
    <rPh sb="8" eb="10">
      <t>カンリ</t>
    </rPh>
    <phoneticPr fontId="18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</si>
  <si>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18"/>
  </si>
  <si>
    <t>※</t>
    <phoneticPr fontId="3"/>
  </si>
  <si>
    <t>Azureのサーバ環境は既存の検証環境や北海道・愛知の本番環境と同様のWindows Server 2019上での構築想定。</t>
    <rPh sb="9" eb="11">
      <t>カンキョウ</t>
    </rPh>
    <rPh sb="12" eb="14">
      <t>キゾン</t>
    </rPh>
    <rPh sb="15" eb="17">
      <t>ケンショウ</t>
    </rPh>
    <rPh sb="17" eb="19">
      <t>カンキョウ</t>
    </rPh>
    <rPh sb="20" eb="23">
      <t>ホッカイドウ</t>
    </rPh>
    <rPh sb="24" eb="26">
      <t>アイチ</t>
    </rPh>
    <rPh sb="27" eb="29">
      <t>ホンバン</t>
    </rPh>
    <rPh sb="29" eb="31">
      <t>カンキョウ</t>
    </rPh>
    <rPh sb="32" eb="34">
      <t>ドウヨウ</t>
    </rPh>
    <rPh sb="54" eb="55">
      <t>ジョウ</t>
    </rPh>
    <rPh sb="57" eb="59">
      <t>コウチク</t>
    </rPh>
    <rPh sb="59" eb="61">
      <t>ソウテイ</t>
    </rPh>
    <phoneticPr fontId="3"/>
  </si>
  <si>
    <t>Azureのライセンス、設定は対象外です。</t>
    <rPh sb="12" eb="14">
      <t>セッテイ</t>
    </rPh>
    <rPh sb="15" eb="18">
      <t>タイショウガイ</t>
    </rPh>
    <phoneticPr fontId="3"/>
  </si>
  <si>
    <t>データベース環境は既存の検証環境や北海道・愛知の本番環境と同様のOracle　Database上での構築想定。</t>
    <rPh sb="6" eb="8">
      <t>カンキョウ</t>
    </rPh>
    <rPh sb="9" eb="11">
      <t>キゾン</t>
    </rPh>
    <rPh sb="12" eb="14">
      <t>ケンショウ</t>
    </rPh>
    <rPh sb="14" eb="16">
      <t>カンキョウ</t>
    </rPh>
    <rPh sb="17" eb="20">
      <t>ホッカイドウ</t>
    </rPh>
    <rPh sb="21" eb="23">
      <t>アイチ</t>
    </rPh>
    <rPh sb="24" eb="26">
      <t>ホンバン</t>
    </rPh>
    <rPh sb="26" eb="28">
      <t>カンキョウ</t>
    </rPh>
    <rPh sb="29" eb="31">
      <t>ドウヨウ</t>
    </rPh>
    <rPh sb="47" eb="48">
      <t>ジョウ</t>
    </rPh>
    <rPh sb="50" eb="52">
      <t>コウチク</t>
    </rPh>
    <rPh sb="52" eb="54">
      <t>ソウテイ</t>
    </rPh>
    <phoneticPr fontId="3"/>
  </si>
  <si>
    <t>Oracle Datebaseのライセンス、インストール、インスタンス作成は対象外です。</t>
    <rPh sb="35" eb="37">
      <t>サクセイ</t>
    </rPh>
    <rPh sb="38" eb="41">
      <t>タイショウガイ</t>
    </rPh>
    <phoneticPr fontId="3"/>
  </si>
  <si>
    <t>※</t>
    <phoneticPr fontId="18"/>
  </si>
  <si>
    <t>リリース作業は2名体制で実施します。</t>
    <phoneticPr fontId="18"/>
  </si>
  <si>
    <t>現行本番環境について、定周期タスクの停止以外の作業は対象外です。</t>
    <rPh sb="20" eb="22">
      <t>イガイ</t>
    </rPh>
    <rPh sb="23" eb="25">
      <t>サギョウ</t>
    </rPh>
    <rPh sb="26" eb="29">
      <t>タイショウガイ</t>
    </rPh>
    <phoneticPr fontId="18"/>
  </si>
  <si>
    <t>スケジュール</t>
    <phoneticPr fontId="7"/>
  </si>
  <si>
    <t>スケジュールは別紙参照</t>
    <rPh sb="7" eb="9">
      <t>ベッシ</t>
    </rPh>
    <rPh sb="9" eb="11">
      <t>サンショウ</t>
    </rPh>
    <phoneticPr fontId="18"/>
  </si>
  <si>
    <t>体制</t>
    <rPh sb="0" eb="2">
      <t>タイセイ</t>
    </rPh>
    <phoneticPr fontId="18"/>
  </si>
  <si>
    <t>PM</t>
    <phoneticPr fontId="18"/>
  </si>
  <si>
    <t>：</t>
    <phoneticPr fontId="18"/>
  </si>
  <si>
    <t>プロジェクト管理を担当します。</t>
    <rPh sb="6" eb="8">
      <t>カンリ</t>
    </rPh>
    <rPh sb="9" eb="11">
      <t>タントウ</t>
    </rPh>
    <phoneticPr fontId="18"/>
  </si>
  <si>
    <t>開発リーダー</t>
    <rPh sb="0" eb="2">
      <t>カイハツ</t>
    </rPh>
    <phoneticPr fontId="18"/>
  </si>
  <si>
    <t>リリース前作業・リリース作業・初期流動を担当します。</t>
    <rPh sb="4" eb="5">
      <t>マエ</t>
    </rPh>
    <rPh sb="5" eb="7">
      <t>サギョウ</t>
    </rPh>
    <rPh sb="12" eb="14">
      <t>サギョウ</t>
    </rPh>
    <rPh sb="15" eb="17">
      <t>ショキ</t>
    </rPh>
    <rPh sb="17" eb="19">
      <t>リュウドウ</t>
    </rPh>
    <rPh sb="20" eb="22">
      <t>タントウ</t>
    </rPh>
    <phoneticPr fontId="18"/>
  </si>
  <si>
    <t>プログラマー</t>
    <phoneticPr fontId="18"/>
  </si>
  <si>
    <t>リリース前作業・リリース作業・初期流動を担当します。１名を想定します。</t>
    <rPh sb="4" eb="5">
      <t>マエ</t>
    </rPh>
    <rPh sb="5" eb="7">
      <t>サギョウ</t>
    </rPh>
    <rPh sb="12" eb="14">
      <t>サギョウ</t>
    </rPh>
    <rPh sb="15" eb="17">
      <t>ショキ</t>
    </rPh>
    <rPh sb="17" eb="19">
      <t>リュウドウ</t>
    </rPh>
    <rPh sb="20" eb="22">
      <t>タントウ</t>
    </rPh>
    <rPh sb="27" eb="28">
      <t>メイ</t>
    </rPh>
    <rPh sb="29" eb="31">
      <t>ソウテイ</t>
    </rPh>
    <phoneticPr fontId="18"/>
  </si>
  <si>
    <t>開発リーダーおよびプログラマーにつきましては、弊社の関連会社またはパートナー会社の要員にて対応</t>
    <rPh sb="0" eb="2">
      <t>カイハツ</t>
    </rPh>
    <rPh sb="23" eb="25">
      <t>ヘイシャ</t>
    </rPh>
    <rPh sb="26" eb="28">
      <t>カンレン</t>
    </rPh>
    <rPh sb="28" eb="30">
      <t>カイシャ</t>
    </rPh>
    <rPh sb="38" eb="40">
      <t>カイシャ</t>
    </rPh>
    <rPh sb="41" eb="43">
      <t>ヨウイン</t>
    </rPh>
    <rPh sb="45" eb="47">
      <t>タイオウ</t>
    </rPh>
    <phoneticPr fontId="18"/>
  </si>
  <si>
    <t>する場合がございます。弊社の関連会社またはパートナー会社の要員にて対応する場合は、弊社と機密保</t>
    <rPh sb="2" eb="4">
      <t>バアイ</t>
    </rPh>
    <rPh sb="11" eb="13">
      <t>ヘイシャ</t>
    </rPh>
    <rPh sb="14" eb="16">
      <t>カンレン</t>
    </rPh>
    <rPh sb="16" eb="18">
      <t>カイシャ</t>
    </rPh>
    <rPh sb="26" eb="28">
      <t>カイシャ</t>
    </rPh>
    <rPh sb="29" eb="31">
      <t>ヨウイン</t>
    </rPh>
    <rPh sb="33" eb="35">
      <t>タイオウ</t>
    </rPh>
    <rPh sb="37" eb="39">
      <t>バアイ</t>
    </rPh>
    <rPh sb="41" eb="43">
      <t>ヘイシャ</t>
    </rPh>
    <rPh sb="44" eb="46">
      <t>キミツ</t>
    </rPh>
    <rPh sb="46" eb="47">
      <t>ホ</t>
    </rPh>
    <phoneticPr fontId="18"/>
  </si>
  <si>
    <t>持契約を締結します。</t>
    <rPh sb="4" eb="6">
      <t>テイケツ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</si>
  <si>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</si>
  <si>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１．お見積範囲について</t>
    <rPh sb="3" eb="5">
      <t>ミツモリ</t>
    </rPh>
    <rPh sb="5" eb="7">
      <t>ハンイ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</si>
  <si>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</si>
  <si>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</si>
  <si>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</si>
  <si>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</si>
  <si>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</si>
  <si>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</si>
  <si>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上記以外での作業が発生した場合には交通費・宿泊費等を別途ご請求させて頂きます。</t>
    <rPh sb="0" eb="2">
      <t>ジョウキ</t>
    </rPh>
    <rPh sb="2" eb="4">
      <t>イガイ</t>
    </rPh>
    <phoneticPr fontId="7"/>
  </si>
  <si>
    <t>３．受入テストについて</t>
    <rPh sb="2" eb="4">
      <t>ウケイレ</t>
    </rPh>
    <phoneticPr fontId="18"/>
  </si>
  <si>
    <t>受入テストにつきましては、貴社にて実施をお願い致します。</t>
    <rPh sb="0" eb="2">
      <t>ウケイレ</t>
    </rPh>
    <rPh sb="13" eb="15">
      <t>キシャ</t>
    </rPh>
    <rPh sb="17" eb="19">
      <t>ジッシ</t>
    </rPh>
    <rPh sb="21" eb="22">
      <t>ネガイ</t>
    </rPh>
    <rPh sb="23" eb="24">
      <t>タ</t>
    </rPh>
    <phoneticPr fontId="18"/>
  </si>
  <si>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</si>
  <si>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</si>
  <si>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</si>
  <si>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</si>
  <si>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</si>
  <si>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</si>
  <si>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</si>
  <si>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</si>
  <si>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</si>
  <si>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</si>
  <si>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</si>
  <si>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</si>
  <si>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</si>
  <si>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</si>
  <si>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</si>
  <si>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</si>
  <si>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</si>
  <si>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</si>
  <si>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</si>
  <si>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</si>
  <si>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</si>
  <si>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</si>
  <si>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</si>
  <si>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</si>
  <si>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</si>
  <si>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</si>
  <si>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</si>
  <si>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</si>
  <si>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2021年度4Q</t>
  </si>
  <si>
    <t>2022年度1Q</t>
  </si>
  <si>
    <t>2022年度2Q</t>
  </si>
  <si>
    <t>2022年度3Q</t>
  </si>
  <si>
    <t>2022年度4Q</t>
  </si>
  <si>
    <t>2023年度1Q</t>
  </si>
  <si>
    <t>2023年度2Q</t>
  </si>
  <si>
    <t>2023年度3Q</t>
  </si>
  <si>
    <t>2023年度4Q</t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</si>
  <si>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</si>
  <si>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</si>
  <si>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</si>
  <si>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</si>
  <si>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</si>
  <si>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</si>
  <si>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</si>
  <si>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</si>
  <si>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</si>
  <si>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</si>
  <si>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</si>
  <si>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</si>
  <si>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</si>
  <si>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</si>
  <si>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</si>
  <si>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</si>
  <si>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</si>
  <si>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</si>
  <si>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</si>
  <si>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</si>
  <si>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</si>
  <si>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</si>
  <si>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</si>
  <si>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</si>
  <si>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</si>
  <si>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</si>
  <si>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</si>
  <si>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</si>
  <si>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</si>
  <si>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</si>
  <si>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</si>
  <si>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</si>
  <si>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</si>
  <si>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</si>
  <si>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</si>
  <si>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</si>
  <si>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</si>
  <si>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</si>
  <si>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</si>
  <si>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</si>
  <si>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海上入出荷計画業務システム（千葉）Azure移行対応</t>
    <rPh sb="22" eb="24">
      <t>イコウ</t>
    </rPh>
    <rPh sb="24" eb="26">
      <t>タイオウ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</si>
</sst>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5" xfId="4" applyFont="1" applyBorder="1" applyAlignment="1">
      <alignment horizontal="left" vertical="center"/>
    </xf>
    <xf numFmtId="0" fontId="15" fillId="0" borderId="27" xfId="4" applyFont="1" applyBorder="1" applyAlignment="1">
      <alignment horizontal="left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15" fillId="0" borderId="28" xfId="4" applyFont="1" applyBorder="1" applyAlignment="1">
      <alignment horizontal="centerContinuous" vertical="center"/>
    </xf>
    <xf numFmtId="0" fontId="15" fillId="0" borderId="29" xfId="4" applyFont="1" applyBorder="1" applyAlignment="1">
      <alignment horizontal="centerContinuous" vertical="center"/>
    </xf>
    <xf numFmtId="0" fontId="15" fillId="0" borderId="0" xfId="4" applyFont="1" applyAlignment="1">
      <alignment horizontal="centerContinuous" vertical="center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13" fillId="0" borderId="0" xfId="4" applyFont="1" applyAlignment="1">
      <alignment horizontal="lef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6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7844</xdr:rowOff>
    </xdr:from>
    <xdr:to>
      <xdr:col>11</xdr:col>
      <xdr:colOff>0</xdr:colOff>
      <xdr:row>39</xdr:row>
      <xdr:rowOff>69119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CB5FCD-F2D6-53D8-AD8B-2559F87E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4441299"/>
          <a:ext cx="6580909" cy="444854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</xdr:row>
      <xdr:rowOff>1</xdr:rowOff>
    </xdr:from>
    <xdr:to>
      <xdr:col>11</xdr:col>
      <xdr:colOff>12180</xdr:colOff>
      <xdr:row>19</xdr:row>
      <xdr:rowOff>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DD99987-687B-07AD-ECED-D81A17C18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115456"/>
          <a:ext cx="6593089" cy="40870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11</xdr:col>
      <xdr:colOff>5101</xdr:colOff>
      <xdr:row>102</xdr:row>
      <xdr:rowOff>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4572480-B37A-5A88-11EE-B7EE362CE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8472150"/>
          <a:ext cx="6609101" cy="45720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0</xdr:colOff>
      <xdr:row>59</xdr:row>
      <xdr:rowOff>41958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F85A236-DE2C-CD1E-743C-4F566D3F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9282545"/>
          <a:ext cx="6580909" cy="43368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11</xdr:col>
      <xdr:colOff>0</xdr:colOff>
      <xdr:row>113</xdr:row>
      <xdr:rowOff>22952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AE809AE-E620-B08D-CC2D-984F700C8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18426545"/>
          <a:ext cx="6580909" cy="21011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11</xdr:col>
      <xdr:colOff>0</xdr:colOff>
      <xdr:row>130</xdr:row>
      <xdr:rowOff>61387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37EA92BB-7BA6-5A93-0494-16DB72612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20735636"/>
          <a:ext cx="6580909" cy="37559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11</xdr:col>
      <xdr:colOff>0</xdr:colOff>
      <xdr:row>138</xdr:row>
      <xdr:rowOff>39927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A103DA5-79AA-A1D2-11DA-9721A3B5B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24661091"/>
          <a:ext cx="6580909" cy="16562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8</xdr:col>
      <xdr:colOff>67203</xdr:colOff>
      <xdr:row>158</xdr:row>
      <xdr:rowOff>127810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EE5CCCB-B0CD-3B58-1CF6-EA00947B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26508364"/>
          <a:ext cx="4673840" cy="45150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160</xdr:row>
      <xdr:rowOff>1084</xdr:rowOff>
    </xdr:from>
    <xdr:to>
      <xdr:col>11</xdr:col>
      <xdr:colOff>0</xdr:colOff>
      <xdr:row>165</xdr:row>
      <xdr:rowOff>225999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457FF3E-5819-B31E-4D58-38235AD4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31358539"/>
          <a:ext cx="6580909" cy="13794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11</xdr:col>
      <xdr:colOff>0</xdr:colOff>
      <xdr:row>81</xdr:row>
      <xdr:rowOff>146285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3DA4BC8-0108-4746-1B78-1E19438F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442950"/>
          <a:ext cx="6604000" cy="49468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C46-4005-46E9-9468-930B9CFAABC5}">
  <dimension ref="A1:AQ119"/>
  <sheetViews>
    <sheetView tabSelected="1" view="pageBreakPreview" topLeftCell="A106" zoomScaleNormal="100" zoomScaleSheetLayoutView="100" workbookViewId="0">
      <selection activeCell="B18" sqref="B18"/>
    </sheetView>
  </sheetViews>
  <sheetFormatPr defaultColWidth="2.58203125" defaultRowHeight="15" customHeight="1" x14ac:dyDescent="0.55000000000000004"/>
  <cols>
    <col min="1" max="1" width="2.58203125" style="30"/>
    <col min="2" max="16384" width="2.58203125" style="27"/>
  </cols>
  <sheetData>
    <row r="1" spans="1:37" s="25" customFormat="1" ht="15" customHeight="1" x14ac:dyDescent="0.55000000000000004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X1" s="26" t="s">
        <v>1</v>
      </c>
      <c r="Z1" s="26"/>
      <c r="AA1" s="26"/>
      <c r="AB1" s="26"/>
      <c r="AC1" s="26"/>
      <c r="AD1" s="26"/>
      <c r="AE1" s="26"/>
      <c r="AF1" s="86" t="s">
        <v>2</v>
      </c>
      <c r="AG1" s="87"/>
      <c r="AH1" s="87"/>
      <c r="AI1" s="87"/>
      <c r="AJ1" s="87"/>
      <c r="AK1" s="27"/>
    </row>
    <row r="2" spans="1:37" s="25" customFormat="1" ht="15" customHeight="1" x14ac:dyDescent="0.55000000000000004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X2" s="28" t="s">
        <v>3</v>
      </c>
      <c r="Y2" s="62"/>
      <c r="Z2" s="28"/>
      <c r="AA2" s="28"/>
      <c r="AB2" s="28"/>
      <c r="AC2" s="28"/>
      <c r="AD2" s="28"/>
      <c r="AE2" s="28"/>
      <c r="AF2" s="78">
        <v>45884</v>
      </c>
      <c r="AG2" s="79"/>
      <c r="AH2" s="79"/>
      <c r="AI2" s="79"/>
      <c r="AJ2" s="79"/>
      <c r="AK2" s="27"/>
    </row>
    <row r="3" spans="1:37" s="25" customFormat="1" ht="15" customHeight="1" x14ac:dyDescent="0.55000000000000004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 x14ac:dyDescent="0.55000000000000004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 x14ac:dyDescent="0.55000000000000004">
      <c r="A5" s="80" t="s">
        <v>4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 x14ac:dyDescent="0.55000000000000004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 x14ac:dyDescent="0.55000000000000004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 x14ac:dyDescent="0.55000000000000004">
      <c r="A8" s="29"/>
      <c r="X8" s="27" t="s">
        <v>5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 x14ac:dyDescent="0.55000000000000004">
      <c r="A9" s="29"/>
      <c r="X9" s="27" t="s">
        <v>6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 x14ac:dyDescent="0.55000000000000004">
      <c r="A10" s="29"/>
      <c r="X10" s="27" t="s">
        <v>7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 x14ac:dyDescent="0.55000000000000004">
      <c r="A11" s="82" t="s">
        <v>8</v>
      </c>
      <c r="B11" s="82"/>
      <c r="C11" s="82"/>
      <c r="D11" s="82"/>
      <c r="E11" s="82"/>
      <c r="F11" s="84">
        <f>AE47</f>
        <v>3872000</v>
      </c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X11" s="27" t="s">
        <v>9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 x14ac:dyDescent="0.55000000000000004">
      <c r="A12" s="83"/>
      <c r="B12" s="83"/>
      <c r="C12" s="83"/>
      <c r="D12" s="83"/>
      <c r="E12" s="8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X12" s="27" t="s">
        <v>10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 x14ac:dyDescent="0.55000000000000004">
      <c r="A13" s="29"/>
    </row>
    <row r="14" spans="1:37" s="25" customFormat="1" ht="15" customHeight="1" x14ac:dyDescent="0.55000000000000004">
      <c r="A14" s="29"/>
    </row>
    <row r="15" spans="1:37" s="25" customFormat="1" ht="15" customHeight="1" x14ac:dyDescent="0.55000000000000004">
      <c r="A15" s="29"/>
    </row>
    <row r="16" spans="1:37" ht="15" customHeight="1" x14ac:dyDescent="0.55000000000000004">
      <c r="A16" s="30" t="s">
        <v>11</v>
      </c>
    </row>
    <row r="18" spans="1:16" ht="15" customHeight="1" x14ac:dyDescent="0.55000000000000004">
      <c r="B18" s="27" t="s">
        <v>181</v>
      </c>
    </row>
    <row r="20" spans="1:16" ht="15" customHeight="1" x14ac:dyDescent="0.55000000000000004">
      <c r="A20" s="27"/>
    </row>
    <row r="21" spans="1:16" ht="15" customHeight="1" x14ac:dyDescent="0.55000000000000004">
      <c r="A21" s="30" t="s">
        <v>12</v>
      </c>
      <c r="P21" s="30"/>
    </row>
    <row r="22" spans="1:16" ht="15" customHeight="1" x14ac:dyDescent="0.55000000000000004">
      <c r="A22" s="27"/>
    </row>
    <row r="23" spans="1:16" ht="15" customHeight="1" x14ac:dyDescent="0.55000000000000004">
      <c r="A23" s="27"/>
      <c r="B23" s="27" t="s">
        <v>13</v>
      </c>
    </row>
    <row r="24" spans="1:16" ht="15" customHeight="1" x14ac:dyDescent="0.55000000000000004">
      <c r="A24" s="27"/>
    </row>
    <row r="25" spans="1:16" ht="15" customHeight="1" x14ac:dyDescent="0.55000000000000004">
      <c r="A25" s="27"/>
    </row>
    <row r="26" spans="1:16" ht="15" customHeight="1" x14ac:dyDescent="0.55000000000000004">
      <c r="A26" s="30" t="s">
        <v>14</v>
      </c>
    </row>
    <row r="27" spans="1:16" ht="15" customHeight="1" x14ac:dyDescent="0.55000000000000004">
      <c r="A27" s="27"/>
    </row>
    <row r="28" spans="1:16" ht="15" customHeight="1" x14ac:dyDescent="0.55000000000000004">
      <c r="A28" s="27"/>
      <c r="B28" s="27" t="s">
        <v>15</v>
      </c>
    </row>
    <row r="29" spans="1:16" ht="15" customHeight="1" x14ac:dyDescent="0.55000000000000004">
      <c r="A29" s="27"/>
    </row>
    <row r="30" spans="1:16" ht="15" customHeight="1" x14ac:dyDescent="0.55000000000000004">
      <c r="A30" s="27"/>
    </row>
    <row r="31" spans="1:16" ht="15" customHeight="1" x14ac:dyDescent="0.55000000000000004">
      <c r="A31" s="30" t="s">
        <v>16</v>
      </c>
    </row>
    <row r="33" spans="1:43" ht="15" customHeight="1" x14ac:dyDescent="0.55000000000000004">
      <c r="A33" s="27"/>
      <c r="B33" s="27" t="s">
        <v>17</v>
      </c>
    </row>
    <row r="34" spans="1:43" ht="15" customHeight="1" x14ac:dyDescent="0.55000000000000004">
      <c r="A34" s="27"/>
    </row>
    <row r="35" spans="1:43" ht="15" customHeight="1" x14ac:dyDescent="0.55000000000000004">
      <c r="A35" s="27"/>
    </row>
    <row r="36" spans="1:43" ht="15" customHeight="1" x14ac:dyDescent="0.55000000000000004">
      <c r="A36" s="30" t="s">
        <v>18</v>
      </c>
    </row>
    <row r="37" spans="1:43" ht="15" customHeight="1" x14ac:dyDescent="0.55000000000000004">
      <c r="A37" s="27"/>
    </row>
    <row r="38" spans="1:43" ht="15" customHeight="1" x14ac:dyDescent="0.55000000000000004">
      <c r="A38" s="27"/>
      <c r="B38" s="31" t="s">
        <v>19</v>
      </c>
      <c r="C38" s="32"/>
      <c r="D38" s="31" t="s">
        <v>20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21</v>
      </c>
      <c r="Z38" s="33"/>
      <c r="AA38" s="33"/>
      <c r="AB38" s="33"/>
      <c r="AC38" s="33"/>
      <c r="AD38" s="33"/>
      <c r="AE38" s="31" t="s">
        <v>22</v>
      </c>
      <c r="AF38" s="33"/>
      <c r="AG38" s="33"/>
      <c r="AH38" s="33"/>
      <c r="AI38" s="33"/>
      <c r="AJ38" s="32"/>
      <c r="AM38" s="31" t="s">
        <v>23</v>
      </c>
      <c r="AN38" s="33"/>
      <c r="AO38" s="33"/>
      <c r="AP38" s="33"/>
      <c r="AQ38" s="32"/>
    </row>
    <row r="39" spans="1:43" ht="15" customHeight="1" x14ac:dyDescent="0.55000000000000004">
      <c r="A39" s="27"/>
      <c r="B39" s="68">
        <v>1</v>
      </c>
      <c r="C39" s="69"/>
      <c r="D39" s="34" t="s">
        <v>24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3"/>
      <c r="U39" s="63"/>
      <c r="V39" s="63"/>
      <c r="W39" s="63"/>
      <c r="X39" s="64"/>
      <c r="Y39" s="70">
        <v>0.45</v>
      </c>
      <c r="Z39" s="71"/>
      <c r="AA39" s="71"/>
      <c r="AB39" s="71"/>
      <c r="AC39" s="72" t="s">
        <v>25</v>
      </c>
      <c r="AD39" s="73"/>
      <c r="AE39" s="74">
        <f t="shared" ref="AE39" si="0">AM39*Y39</f>
        <v>450000</v>
      </c>
      <c r="AF39" s="75"/>
      <c r="AG39" s="75"/>
      <c r="AH39" s="75"/>
      <c r="AI39" s="75"/>
      <c r="AJ39" s="76"/>
      <c r="AM39" s="74">
        <v>1000000</v>
      </c>
      <c r="AN39" s="75"/>
      <c r="AO39" s="75"/>
      <c r="AP39" s="75"/>
      <c r="AQ39" s="76"/>
    </row>
    <row r="40" spans="1:43" ht="15" customHeight="1" x14ac:dyDescent="0.55000000000000004">
      <c r="A40" s="27"/>
      <c r="B40" s="68">
        <v>2</v>
      </c>
      <c r="C40" s="69"/>
      <c r="D40" s="34" t="s">
        <v>26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3"/>
      <c r="U40" s="63"/>
      <c r="V40" s="63"/>
      <c r="W40" s="63"/>
      <c r="X40" s="64"/>
      <c r="Y40" s="70">
        <v>0.45</v>
      </c>
      <c r="Z40" s="71"/>
      <c r="AA40" s="71"/>
      <c r="AB40" s="71"/>
      <c r="AC40" s="72" t="s">
        <v>25</v>
      </c>
      <c r="AD40" s="73"/>
      <c r="AE40" s="74">
        <f t="shared" ref="AE40:AE43" si="1">AM40*Y40</f>
        <v>450000</v>
      </c>
      <c r="AF40" s="75"/>
      <c r="AG40" s="75"/>
      <c r="AH40" s="75"/>
      <c r="AI40" s="75"/>
      <c r="AJ40" s="76"/>
      <c r="AM40" s="74">
        <v>1000000</v>
      </c>
      <c r="AN40" s="75"/>
      <c r="AO40" s="75"/>
      <c r="AP40" s="75"/>
      <c r="AQ40" s="76"/>
    </row>
    <row r="41" spans="1:43" ht="15" customHeight="1" x14ac:dyDescent="0.55000000000000004">
      <c r="A41" s="27"/>
      <c r="B41" s="68">
        <v>3</v>
      </c>
      <c r="C41" s="69"/>
      <c r="D41" s="34" t="s">
        <v>27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3"/>
      <c r="U41" s="63"/>
      <c r="V41" s="63"/>
      <c r="W41" s="63"/>
      <c r="X41" s="64"/>
      <c r="Y41" s="70">
        <v>0.7</v>
      </c>
      <c r="Z41" s="71"/>
      <c r="AA41" s="71"/>
      <c r="AB41" s="71"/>
      <c r="AC41" s="72" t="s">
        <v>25</v>
      </c>
      <c r="AD41" s="73"/>
      <c r="AE41" s="74">
        <f t="shared" si="1"/>
        <v>700000</v>
      </c>
      <c r="AF41" s="75"/>
      <c r="AG41" s="75"/>
      <c r="AH41" s="75"/>
      <c r="AI41" s="75"/>
      <c r="AJ41" s="76"/>
      <c r="AM41" s="74">
        <v>1000000</v>
      </c>
      <c r="AN41" s="75"/>
      <c r="AO41" s="75"/>
      <c r="AP41" s="75"/>
      <c r="AQ41" s="76"/>
    </row>
    <row r="42" spans="1:43" ht="15" customHeight="1" x14ac:dyDescent="0.55000000000000004">
      <c r="A42" s="27"/>
      <c r="B42" s="68">
        <v>4</v>
      </c>
      <c r="C42" s="69"/>
      <c r="D42" s="34" t="s">
        <v>28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3"/>
      <c r="U42" s="63"/>
      <c r="V42" s="63"/>
      <c r="W42" s="63"/>
      <c r="X42" s="64"/>
      <c r="Y42" s="70">
        <v>0.3</v>
      </c>
      <c r="Z42" s="71"/>
      <c r="AA42" s="71"/>
      <c r="AB42" s="71"/>
      <c r="AC42" s="72" t="s">
        <v>25</v>
      </c>
      <c r="AD42" s="73"/>
      <c r="AE42" s="74">
        <f t="shared" si="1"/>
        <v>300000</v>
      </c>
      <c r="AF42" s="75"/>
      <c r="AG42" s="75"/>
      <c r="AH42" s="75"/>
      <c r="AI42" s="75"/>
      <c r="AJ42" s="76"/>
      <c r="AM42" s="74">
        <v>1000000</v>
      </c>
      <c r="AN42" s="75"/>
      <c r="AO42" s="75"/>
      <c r="AP42" s="75"/>
      <c r="AQ42" s="76"/>
    </row>
    <row r="43" spans="1:43" ht="15" customHeight="1" x14ac:dyDescent="0.55000000000000004">
      <c r="A43" s="27"/>
      <c r="B43" s="68">
        <v>5</v>
      </c>
      <c r="C43" s="69"/>
      <c r="D43" s="34" t="s">
        <v>29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63"/>
      <c r="U43" s="63"/>
      <c r="V43" s="63"/>
      <c r="W43" s="63"/>
      <c r="X43" s="64"/>
      <c r="Y43" s="70">
        <v>0.6</v>
      </c>
      <c r="Z43" s="71"/>
      <c r="AA43" s="71"/>
      <c r="AB43" s="71"/>
      <c r="AC43" s="72" t="s">
        <v>25</v>
      </c>
      <c r="AD43" s="73"/>
      <c r="AE43" s="74">
        <f t="shared" si="1"/>
        <v>600000</v>
      </c>
      <c r="AF43" s="75"/>
      <c r="AG43" s="75"/>
      <c r="AH43" s="75"/>
      <c r="AI43" s="75"/>
      <c r="AJ43" s="76"/>
      <c r="AM43" s="74">
        <v>1000000</v>
      </c>
      <c r="AN43" s="75"/>
      <c r="AO43" s="75"/>
      <c r="AP43" s="75"/>
      <c r="AQ43" s="76"/>
    </row>
    <row r="44" spans="1:43" ht="15" customHeight="1" x14ac:dyDescent="0.55000000000000004">
      <c r="A44" s="27"/>
      <c r="B44" s="68">
        <v>6</v>
      </c>
      <c r="C44" s="69"/>
      <c r="D44" s="34" t="s">
        <v>30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63"/>
      <c r="U44" s="63"/>
      <c r="V44" s="63"/>
      <c r="W44" s="63"/>
      <c r="X44" s="64"/>
      <c r="Y44" s="70">
        <v>0.4</v>
      </c>
      <c r="Z44" s="71"/>
      <c r="AA44" s="71"/>
      <c r="AB44" s="71"/>
      <c r="AC44" s="72" t="s">
        <v>25</v>
      </c>
      <c r="AD44" s="73"/>
      <c r="AE44" s="74">
        <f t="shared" ref="AE44:AE45" si="2">AM44*Y44</f>
        <v>400000</v>
      </c>
      <c r="AF44" s="75"/>
      <c r="AG44" s="75"/>
      <c r="AH44" s="75"/>
      <c r="AI44" s="75"/>
      <c r="AJ44" s="76"/>
      <c r="AM44" s="74">
        <v>1000000</v>
      </c>
      <c r="AN44" s="75"/>
      <c r="AO44" s="75"/>
      <c r="AP44" s="75"/>
      <c r="AQ44" s="76"/>
    </row>
    <row r="45" spans="1:43" ht="15" customHeight="1" x14ac:dyDescent="0.55000000000000004">
      <c r="A45" s="27"/>
      <c r="B45" s="68">
        <v>7</v>
      </c>
      <c r="C45" s="69"/>
      <c r="D45" s="34" t="s">
        <v>31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63"/>
      <c r="U45" s="63"/>
      <c r="V45" s="63"/>
      <c r="W45" s="63"/>
      <c r="X45" s="64"/>
      <c r="Y45" s="70">
        <v>0.3</v>
      </c>
      <c r="Z45" s="71"/>
      <c r="AA45" s="71"/>
      <c r="AB45" s="71"/>
      <c r="AC45" s="72" t="s">
        <v>25</v>
      </c>
      <c r="AD45" s="73"/>
      <c r="AE45" s="74">
        <f t="shared" si="2"/>
        <v>300000</v>
      </c>
      <c r="AF45" s="75"/>
      <c r="AG45" s="75"/>
      <c r="AH45" s="75"/>
      <c r="AI45" s="75"/>
      <c r="AJ45" s="76"/>
      <c r="AM45" s="74">
        <v>1000000</v>
      </c>
      <c r="AN45" s="75"/>
      <c r="AO45" s="75"/>
      <c r="AP45" s="75"/>
      <c r="AQ45" s="76"/>
    </row>
    <row r="46" spans="1:43" ht="15" customHeight="1" x14ac:dyDescent="0.55000000000000004">
      <c r="A46" s="27"/>
      <c r="B46" s="68">
        <v>8</v>
      </c>
      <c r="C46" s="69"/>
      <c r="D46" s="34" t="s">
        <v>32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63"/>
      <c r="U46" s="63"/>
      <c r="V46" s="63"/>
      <c r="W46" s="63"/>
      <c r="X46" s="64"/>
      <c r="Y46" s="70">
        <f>ROUNDUP(SUM(Y39:AB45)*0.15,2)</f>
        <v>0.48</v>
      </c>
      <c r="Z46" s="71"/>
      <c r="AA46" s="71"/>
      <c r="AB46" s="71"/>
      <c r="AC46" s="72" t="s">
        <v>25</v>
      </c>
      <c r="AD46" s="73"/>
      <c r="AE46" s="74">
        <f>AM46*Y46</f>
        <v>672000</v>
      </c>
      <c r="AF46" s="75"/>
      <c r="AG46" s="75"/>
      <c r="AH46" s="75"/>
      <c r="AI46" s="75"/>
      <c r="AJ46" s="76"/>
      <c r="AM46" s="74">
        <v>1400000</v>
      </c>
      <c r="AN46" s="75"/>
      <c r="AO46" s="75"/>
      <c r="AP46" s="75"/>
      <c r="AQ46" s="76"/>
    </row>
    <row r="47" spans="1:43" ht="15" customHeight="1" x14ac:dyDescent="0.55000000000000004">
      <c r="A47" s="27"/>
      <c r="B47" s="68"/>
      <c r="C47" s="69"/>
      <c r="D47" s="34" t="s">
        <v>33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63"/>
      <c r="U47" s="63"/>
      <c r="V47" s="63"/>
      <c r="W47" s="63"/>
      <c r="X47" s="64"/>
      <c r="Y47" s="70">
        <f>SUM(Y39:AB46)</f>
        <v>3.6799999999999997</v>
      </c>
      <c r="Z47" s="71"/>
      <c r="AA47" s="71"/>
      <c r="AB47" s="71"/>
      <c r="AC47" s="72" t="s">
        <v>25</v>
      </c>
      <c r="AD47" s="73"/>
      <c r="AE47" s="74">
        <f>SUM(AE39:AJ46)</f>
        <v>3872000</v>
      </c>
      <c r="AF47" s="75"/>
      <c r="AG47" s="75"/>
      <c r="AH47" s="75"/>
      <c r="AI47" s="75"/>
      <c r="AJ47" s="76"/>
      <c r="AM47" s="74" t="s">
        <v>34</v>
      </c>
      <c r="AN47" s="75"/>
      <c r="AO47" s="75"/>
      <c r="AP47" s="75"/>
      <c r="AQ47" s="76"/>
    </row>
    <row r="48" spans="1:43" ht="15" customHeight="1" x14ac:dyDescent="0.55000000000000004">
      <c r="A48" s="27"/>
    </row>
    <row r="49" spans="1:36" ht="15" customHeight="1" x14ac:dyDescent="0.55000000000000004">
      <c r="A49" s="27"/>
    </row>
    <row r="50" spans="1:36" ht="15" customHeight="1" x14ac:dyDescent="0.55000000000000004">
      <c r="A50" s="30" t="s">
        <v>35</v>
      </c>
      <c r="T50" s="48"/>
    </row>
    <row r="51" spans="1:36" ht="15" customHeight="1" x14ac:dyDescent="0.55000000000000004">
      <c r="A51" s="27"/>
      <c r="N51" s="36"/>
    </row>
    <row r="52" spans="1:36" ht="15" customHeight="1" x14ac:dyDescent="0.55000000000000004">
      <c r="A52" s="27"/>
      <c r="B52" s="36" t="s">
        <v>36</v>
      </c>
      <c r="C52" s="27" t="s">
        <v>37</v>
      </c>
      <c r="N52" s="36" t="s">
        <v>36</v>
      </c>
      <c r="O52" s="27" t="s">
        <v>38</v>
      </c>
      <c r="T52" s="36"/>
    </row>
    <row r="53" spans="1:36" ht="15" customHeight="1" x14ac:dyDescent="0.55000000000000004">
      <c r="A53" s="27"/>
      <c r="B53" s="36" t="s">
        <v>36</v>
      </c>
      <c r="C53" s="27" t="s">
        <v>39</v>
      </c>
      <c r="N53" s="36" t="s">
        <v>36</v>
      </c>
      <c r="O53" s="27" t="s">
        <v>40</v>
      </c>
      <c r="T53" s="48"/>
    </row>
    <row r="54" spans="1:36" ht="15" customHeight="1" x14ac:dyDescent="0.55000000000000004">
      <c r="A54" s="27"/>
      <c r="B54" s="36" t="s">
        <v>36</v>
      </c>
      <c r="C54" s="27" t="s">
        <v>41</v>
      </c>
      <c r="T54" s="48"/>
    </row>
    <row r="55" spans="1:36" ht="15" customHeight="1" x14ac:dyDescent="0.55000000000000004">
      <c r="A55" s="27"/>
      <c r="B55" s="37"/>
    </row>
    <row r="56" spans="1:36" ht="15" customHeight="1" x14ac:dyDescent="0.55000000000000004">
      <c r="A56" s="30" t="s">
        <v>42</v>
      </c>
    </row>
    <row r="57" spans="1:36" ht="15" customHeight="1" x14ac:dyDescent="0.55000000000000004">
      <c r="A57" s="27"/>
    </row>
    <row r="58" spans="1:36" ht="15" customHeight="1" x14ac:dyDescent="0.55000000000000004">
      <c r="A58" s="27"/>
      <c r="B58" s="38" t="s">
        <v>19</v>
      </c>
      <c r="C58" s="39"/>
      <c r="D58" s="38" t="s">
        <v>43</v>
      </c>
      <c r="E58" s="40"/>
      <c r="F58" s="40"/>
      <c r="G58" s="40"/>
      <c r="H58" s="40"/>
      <c r="I58" s="31" t="s">
        <v>42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2"/>
    </row>
    <row r="59" spans="1:36" ht="15" customHeight="1" x14ac:dyDescent="0.55000000000000004">
      <c r="A59" s="27"/>
      <c r="B59" s="41">
        <v>1</v>
      </c>
      <c r="C59" s="42"/>
      <c r="D59" s="43" t="s">
        <v>44</v>
      </c>
      <c r="E59" s="44"/>
      <c r="F59" s="44"/>
      <c r="G59" s="44"/>
      <c r="H59" s="44"/>
      <c r="I59" s="49" t="s">
        <v>45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1"/>
    </row>
    <row r="60" spans="1:36" ht="15" customHeight="1" x14ac:dyDescent="0.55000000000000004">
      <c r="A60" s="27"/>
      <c r="B60" s="65"/>
      <c r="C60" s="66"/>
      <c r="D60" s="47" t="s">
        <v>46</v>
      </c>
      <c r="E60" s="48"/>
      <c r="F60" s="48"/>
      <c r="G60" s="48"/>
      <c r="H60" s="48"/>
      <c r="I60" s="45" t="s">
        <v>47</v>
      </c>
      <c r="AJ60" s="46"/>
    </row>
    <row r="61" spans="1:36" ht="15" customHeight="1" x14ac:dyDescent="0.55000000000000004">
      <c r="A61" s="27"/>
      <c r="B61" s="52"/>
      <c r="C61" s="53"/>
      <c r="D61" s="54"/>
      <c r="E61" s="55"/>
      <c r="F61" s="55"/>
      <c r="G61" s="55"/>
      <c r="H61" s="55"/>
      <c r="I61" s="56" t="s">
        <v>48</v>
      </c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8"/>
    </row>
    <row r="62" spans="1:36" ht="15" customHeight="1" x14ac:dyDescent="0.55000000000000004">
      <c r="A62" s="27"/>
      <c r="B62" s="41">
        <v>2</v>
      </c>
      <c r="C62" s="42"/>
      <c r="D62" s="43" t="s">
        <v>49</v>
      </c>
      <c r="E62" s="44"/>
      <c r="F62" s="44"/>
      <c r="G62" s="44"/>
      <c r="H62" s="44"/>
      <c r="I62" s="49" t="s">
        <v>50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1"/>
    </row>
    <row r="63" spans="1:36" ht="15" customHeight="1" x14ac:dyDescent="0.55000000000000004">
      <c r="A63" s="27"/>
      <c r="B63" s="65"/>
      <c r="C63" s="66"/>
      <c r="D63" s="47" t="s">
        <v>46</v>
      </c>
      <c r="E63" s="48"/>
      <c r="F63" s="48"/>
      <c r="G63" s="48"/>
      <c r="H63" s="48"/>
      <c r="I63" s="45" t="s">
        <v>51</v>
      </c>
      <c r="AJ63" s="46"/>
    </row>
    <row r="64" spans="1:36" ht="15" customHeight="1" x14ac:dyDescent="0.55000000000000004">
      <c r="A64" s="27"/>
      <c r="B64" s="65"/>
      <c r="C64" s="66"/>
      <c r="D64" s="47"/>
      <c r="E64" s="48"/>
      <c r="F64" s="48"/>
      <c r="G64" s="48"/>
      <c r="H64" s="48"/>
      <c r="I64" s="45" t="s">
        <v>52</v>
      </c>
      <c r="AJ64" s="46"/>
    </row>
    <row r="65" spans="1:36" ht="15" customHeight="1" x14ac:dyDescent="0.55000000000000004">
      <c r="A65" s="27"/>
      <c r="B65" s="65"/>
      <c r="C65" s="66"/>
      <c r="D65" s="47"/>
      <c r="E65" s="48"/>
      <c r="F65" s="48"/>
      <c r="G65" s="48"/>
      <c r="H65" s="48"/>
      <c r="I65" s="45" t="s">
        <v>53</v>
      </c>
      <c r="AJ65" s="46"/>
    </row>
    <row r="66" spans="1:36" ht="15" customHeight="1" x14ac:dyDescent="0.55000000000000004">
      <c r="A66" s="27"/>
      <c r="B66" s="52"/>
      <c r="C66" s="53"/>
      <c r="D66" s="54"/>
      <c r="E66" s="55"/>
      <c r="F66" s="55"/>
      <c r="G66" s="55"/>
      <c r="H66" s="55"/>
      <c r="I66" s="56" t="s">
        <v>54</v>
      </c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8"/>
    </row>
    <row r="67" spans="1:36" ht="15" customHeight="1" x14ac:dyDescent="0.55000000000000004">
      <c r="A67" s="27"/>
      <c r="B67" s="41">
        <v>3</v>
      </c>
      <c r="C67" s="42"/>
      <c r="D67" s="43" t="s">
        <v>55</v>
      </c>
      <c r="E67" s="44"/>
      <c r="F67" s="44"/>
      <c r="G67" s="44"/>
      <c r="H67" s="44"/>
      <c r="I67" s="49" t="s">
        <v>56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1"/>
    </row>
    <row r="68" spans="1:36" ht="15" customHeight="1" x14ac:dyDescent="0.55000000000000004">
      <c r="A68" s="27"/>
      <c r="B68" s="52"/>
      <c r="C68" s="53"/>
      <c r="D68" s="54"/>
      <c r="E68" s="55"/>
      <c r="F68" s="55"/>
      <c r="G68" s="55"/>
      <c r="H68" s="55"/>
      <c r="I68" s="56" t="s">
        <v>57</v>
      </c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8"/>
    </row>
    <row r="69" spans="1:36" ht="15" customHeight="1" x14ac:dyDescent="0.55000000000000004">
      <c r="A69" s="27"/>
      <c r="B69" s="41">
        <v>4</v>
      </c>
      <c r="C69" s="42"/>
      <c r="D69" s="43" t="s">
        <v>58</v>
      </c>
      <c r="E69" s="44"/>
      <c r="F69" s="44"/>
      <c r="G69" s="44"/>
      <c r="H69" s="44"/>
      <c r="I69" s="49" t="s">
        <v>59</v>
      </c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1"/>
    </row>
    <row r="70" spans="1:36" ht="15" customHeight="1" x14ac:dyDescent="0.55000000000000004">
      <c r="A70" s="27"/>
      <c r="B70" s="52"/>
      <c r="C70" s="53"/>
      <c r="D70" s="54"/>
      <c r="E70" s="55"/>
      <c r="F70" s="55"/>
      <c r="G70" s="55"/>
      <c r="H70" s="55"/>
      <c r="I70" s="56" t="s">
        <v>60</v>
      </c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8"/>
    </row>
    <row r="71" spans="1:36" ht="15" customHeight="1" x14ac:dyDescent="0.55000000000000004">
      <c r="A71" s="27"/>
      <c r="B71" s="41">
        <v>5</v>
      </c>
      <c r="C71" s="42"/>
      <c r="D71" s="43" t="s">
        <v>61</v>
      </c>
      <c r="E71" s="44"/>
      <c r="F71" s="44"/>
      <c r="G71" s="44"/>
      <c r="H71" s="44"/>
      <c r="I71" s="49" t="s">
        <v>62</v>
      </c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1"/>
    </row>
    <row r="72" spans="1:36" ht="15" customHeight="1" x14ac:dyDescent="0.55000000000000004">
      <c r="A72" s="27"/>
      <c r="B72" s="52"/>
      <c r="C72" s="53"/>
      <c r="D72" s="54"/>
      <c r="E72" s="55"/>
      <c r="F72" s="55"/>
      <c r="G72" s="55"/>
      <c r="H72" s="55"/>
      <c r="I72" s="56" t="s">
        <v>63</v>
      </c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8"/>
    </row>
    <row r="73" spans="1:36" ht="15" customHeight="1" x14ac:dyDescent="0.55000000000000004">
      <c r="A73" s="27"/>
      <c r="B73" s="41">
        <v>6</v>
      </c>
      <c r="C73" s="42"/>
      <c r="D73" s="43" t="s">
        <v>64</v>
      </c>
      <c r="E73" s="44"/>
      <c r="F73" s="44"/>
      <c r="G73" s="44"/>
      <c r="H73" s="44"/>
      <c r="I73" s="49" t="s">
        <v>65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1"/>
    </row>
    <row r="74" spans="1:36" ht="15" customHeight="1" x14ac:dyDescent="0.55000000000000004">
      <c r="A74" s="27"/>
      <c r="B74" s="65"/>
      <c r="C74" s="66"/>
      <c r="D74" s="47"/>
      <c r="E74" s="48"/>
      <c r="F74" s="48"/>
      <c r="G74" s="48"/>
      <c r="H74" s="48"/>
      <c r="I74" s="45" t="s">
        <v>66</v>
      </c>
      <c r="AJ74" s="46"/>
    </row>
    <row r="75" spans="1:36" ht="15" customHeight="1" x14ac:dyDescent="0.55000000000000004">
      <c r="A75" s="27"/>
      <c r="B75" s="52"/>
      <c r="C75" s="53"/>
      <c r="D75" s="54"/>
      <c r="E75" s="55"/>
      <c r="F75" s="55"/>
      <c r="G75" s="55"/>
      <c r="H75" s="55"/>
      <c r="I75" s="56" t="s">
        <v>67</v>
      </c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8"/>
    </row>
    <row r="76" spans="1:36" ht="15" customHeight="1" x14ac:dyDescent="0.55000000000000004">
      <c r="A76" s="27"/>
      <c r="B76" s="41">
        <v>7</v>
      </c>
      <c r="C76" s="42"/>
      <c r="D76" s="43" t="s">
        <v>68</v>
      </c>
      <c r="E76" s="48"/>
      <c r="F76" s="48"/>
      <c r="G76" s="48"/>
      <c r="H76" s="48"/>
      <c r="I76" s="49" t="s">
        <v>69</v>
      </c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1"/>
    </row>
    <row r="77" spans="1:36" ht="15" customHeight="1" x14ac:dyDescent="0.55000000000000004">
      <c r="A77" s="27"/>
      <c r="B77" s="52"/>
      <c r="C77" s="53"/>
      <c r="D77" s="54"/>
      <c r="E77" s="55"/>
      <c r="F77" s="55"/>
      <c r="G77" s="55"/>
      <c r="H77" s="55"/>
      <c r="I77" s="56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8"/>
    </row>
    <row r="78" spans="1:36" ht="15" customHeight="1" x14ac:dyDescent="0.55000000000000004">
      <c r="A78" s="27"/>
      <c r="B78" s="41">
        <v>8</v>
      </c>
      <c r="C78" s="42"/>
      <c r="D78" s="43" t="s">
        <v>70</v>
      </c>
      <c r="E78" s="44"/>
      <c r="F78" s="44"/>
      <c r="G78" s="44"/>
      <c r="H78" s="44"/>
      <c r="I78" s="45" t="s">
        <v>71</v>
      </c>
      <c r="AJ78" s="46"/>
    </row>
    <row r="79" spans="1:36" ht="15" customHeight="1" x14ac:dyDescent="0.55000000000000004">
      <c r="A79" s="27"/>
      <c r="B79" s="52"/>
      <c r="C79" s="53"/>
      <c r="D79" s="54"/>
      <c r="E79" s="55"/>
      <c r="F79" s="55"/>
      <c r="G79" s="55"/>
      <c r="H79" s="55"/>
      <c r="I79" s="56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8"/>
    </row>
    <row r="80" spans="1:36" ht="15" customHeight="1" x14ac:dyDescent="0.55000000000000004">
      <c r="A80" s="27"/>
    </row>
    <row r="81" spans="1:35" ht="15" customHeight="1" x14ac:dyDescent="0.55000000000000004">
      <c r="A81" s="27"/>
      <c r="B81" s="27" t="s">
        <v>72</v>
      </c>
      <c r="D81" s="27" t="s">
        <v>73</v>
      </c>
    </row>
    <row r="82" spans="1:35" ht="15" customHeight="1" x14ac:dyDescent="0.55000000000000004">
      <c r="A82" s="27"/>
      <c r="B82" s="27" t="s">
        <v>72</v>
      </c>
      <c r="D82" s="27" t="s">
        <v>74</v>
      </c>
    </row>
    <row r="83" spans="1:35" ht="15" customHeight="1" x14ac:dyDescent="0.55000000000000004">
      <c r="A83" s="27"/>
      <c r="B83" s="27" t="s">
        <v>72</v>
      </c>
      <c r="D83" s="27" t="s">
        <v>75</v>
      </c>
    </row>
    <row r="84" spans="1:35" ht="15" customHeight="1" x14ac:dyDescent="0.55000000000000004">
      <c r="A84" s="27"/>
      <c r="B84" s="27" t="s">
        <v>72</v>
      </c>
      <c r="D84" s="27" t="s">
        <v>76</v>
      </c>
    </row>
    <row r="85" spans="1:35" ht="15" customHeight="1" x14ac:dyDescent="0.55000000000000004">
      <c r="A85" s="27"/>
      <c r="B85" s="27" t="s">
        <v>77</v>
      </c>
      <c r="D85" s="27" t="s">
        <v>78</v>
      </c>
    </row>
    <row r="86" spans="1:35" ht="15" customHeight="1" x14ac:dyDescent="0.55000000000000004">
      <c r="A86" s="27"/>
      <c r="B86" s="27" t="s">
        <v>77</v>
      </c>
      <c r="D86" s="27" t="s">
        <v>79</v>
      </c>
    </row>
    <row r="87" spans="1:35" ht="15" customHeight="1" x14ac:dyDescent="0.55000000000000004">
      <c r="A87" s="27"/>
    </row>
    <row r="88" spans="1:35" ht="15" customHeight="1" x14ac:dyDescent="0.55000000000000004">
      <c r="A88" s="30" t="s">
        <v>80</v>
      </c>
    </row>
    <row r="89" spans="1:35" ht="15" customHeight="1" x14ac:dyDescent="0.55000000000000004">
      <c r="B89" s="37"/>
    </row>
    <row r="90" spans="1:35" ht="15" customHeight="1" x14ac:dyDescent="0.55000000000000004">
      <c r="A90" s="27"/>
      <c r="B90" s="48" t="s">
        <v>81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</row>
    <row r="91" spans="1:35" ht="15" customHeight="1" x14ac:dyDescent="0.55000000000000004">
      <c r="A91" s="27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</row>
    <row r="92" spans="1:35" ht="15" customHeight="1" x14ac:dyDescent="0.55000000000000004">
      <c r="A92" s="30" t="s">
        <v>82</v>
      </c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</row>
    <row r="93" spans="1:35" ht="15" customHeight="1" x14ac:dyDescent="0.55000000000000004">
      <c r="A93" s="27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</row>
    <row r="94" spans="1:35" ht="15" customHeight="1" x14ac:dyDescent="0.55000000000000004">
      <c r="A94" s="27"/>
      <c r="B94" s="27" t="s">
        <v>83</v>
      </c>
      <c r="G94" s="27" t="s">
        <v>84</v>
      </c>
      <c r="H94" s="27" t="s">
        <v>85</v>
      </c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</row>
    <row r="95" spans="1:35" ht="15" customHeight="1" x14ac:dyDescent="0.55000000000000004">
      <c r="A95" s="27"/>
      <c r="B95" s="27" t="s">
        <v>86</v>
      </c>
      <c r="G95" s="27" t="s">
        <v>84</v>
      </c>
      <c r="H95" s="27" t="s">
        <v>87</v>
      </c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</row>
    <row r="96" spans="1:35" ht="15" customHeight="1" x14ac:dyDescent="0.55000000000000004">
      <c r="A96" s="27"/>
      <c r="B96" s="27" t="s">
        <v>88</v>
      </c>
      <c r="G96" s="27" t="s">
        <v>84</v>
      </c>
      <c r="H96" s="27" t="s">
        <v>89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</row>
    <row r="97" spans="1:33" ht="15" customHeight="1" x14ac:dyDescent="0.55000000000000004">
      <c r="A97" s="27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</row>
    <row r="98" spans="1:33" ht="15" customHeight="1" x14ac:dyDescent="0.55000000000000004">
      <c r="A98" s="27"/>
      <c r="B98" s="27" t="s">
        <v>90</v>
      </c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</row>
    <row r="99" spans="1:33" ht="15" customHeight="1" x14ac:dyDescent="0.55000000000000004">
      <c r="A99" s="27"/>
      <c r="B99" s="27" t="s">
        <v>91</v>
      </c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</row>
    <row r="100" spans="1:33" ht="15" customHeight="1" x14ac:dyDescent="0.55000000000000004">
      <c r="A100" s="27"/>
      <c r="B100" s="27" t="s">
        <v>92</v>
      </c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</row>
    <row r="101" spans="1:33" ht="15" customHeight="1" x14ac:dyDescent="0.55000000000000004">
      <c r="A101" s="27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</row>
    <row r="102" spans="1:33" ht="15" customHeight="1" x14ac:dyDescent="0.55000000000000004">
      <c r="A102" s="27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</row>
    <row r="103" spans="1:33" ht="15" customHeight="1" x14ac:dyDescent="0.55000000000000004">
      <c r="A103" s="30" t="s">
        <v>93</v>
      </c>
    </row>
    <row r="105" spans="1:33" ht="15" customHeight="1" x14ac:dyDescent="0.55000000000000004">
      <c r="B105" s="27" t="s">
        <v>94</v>
      </c>
    </row>
    <row r="106" spans="1:33" ht="15" customHeight="1" x14ac:dyDescent="0.55000000000000004">
      <c r="C106" s="27" t="s">
        <v>95</v>
      </c>
    </row>
    <row r="107" spans="1:33" ht="15" customHeight="1" x14ac:dyDescent="0.55000000000000004">
      <c r="C107" s="27" t="s">
        <v>96</v>
      </c>
    </row>
    <row r="108" spans="1:33" ht="15" customHeight="1" x14ac:dyDescent="0.55000000000000004">
      <c r="C108" s="27" t="s">
        <v>97</v>
      </c>
    </row>
    <row r="109" spans="1:33" ht="15" customHeight="1" x14ac:dyDescent="0.55000000000000004">
      <c r="B109" s="60" t="s">
        <v>98</v>
      </c>
      <c r="C109" s="61"/>
    </row>
    <row r="110" spans="1:33" ht="15" customHeight="1" x14ac:dyDescent="0.55000000000000004">
      <c r="B110" s="27" t="s">
        <v>99</v>
      </c>
      <c r="C110" s="60"/>
    </row>
    <row r="111" spans="1:33" ht="15" customHeight="1" x14ac:dyDescent="0.55000000000000004">
      <c r="C111" s="60" t="s">
        <v>100</v>
      </c>
    </row>
    <row r="112" spans="1:33" ht="15" customHeight="1" x14ac:dyDescent="0.55000000000000004">
      <c r="C112" s="27" t="s">
        <v>101</v>
      </c>
    </row>
    <row r="114" spans="1:3" ht="15" customHeight="1" x14ac:dyDescent="0.55000000000000004">
      <c r="A114" s="27"/>
      <c r="B114" s="27" t="s">
        <v>102</v>
      </c>
    </row>
    <row r="115" spans="1:3" ht="15" customHeight="1" x14ac:dyDescent="0.55000000000000004">
      <c r="A115" s="27"/>
      <c r="C115" s="27" t="s">
        <v>103</v>
      </c>
    </row>
    <row r="116" spans="1:3" ht="15" customHeight="1" x14ac:dyDescent="0.55000000000000004">
      <c r="A116" s="27"/>
    </row>
    <row r="117" spans="1:3" ht="15" customHeight="1" x14ac:dyDescent="0.55000000000000004">
      <c r="A117" s="27"/>
    </row>
    <row r="118" spans="1:3" ht="15" customHeight="1" x14ac:dyDescent="0.55000000000000004">
      <c r="A118" s="27"/>
    </row>
    <row r="119" spans="1:3" ht="15" customHeight="1" x14ac:dyDescent="0.55000000000000004">
      <c r="A119" s="27"/>
    </row>
  </sheetData>
  <mergeCells count="51">
    <mergeCell ref="AC39:AD39"/>
    <mergeCell ref="AE39:AJ39"/>
    <mergeCell ref="AM39:AQ39"/>
    <mergeCell ref="AM45:AQ45"/>
    <mergeCell ref="AM46:AQ46"/>
    <mergeCell ref="AE43:AJ43"/>
    <mergeCell ref="AM43:AQ43"/>
    <mergeCell ref="AM47:AQ47"/>
    <mergeCell ref="AM44:AQ44"/>
    <mergeCell ref="A1:Q2"/>
    <mergeCell ref="AF2:AJ2"/>
    <mergeCell ref="A5:Q6"/>
    <mergeCell ref="A11:E12"/>
    <mergeCell ref="F11:Q12"/>
    <mergeCell ref="AF1:AJ1"/>
    <mergeCell ref="Y44:AB44"/>
    <mergeCell ref="AC44:AD44"/>
    <mergeCell ref="AE44:AJ44"/>
    <mergeCell ref="Y45:AB45"/>
    <mergeCell ref="B39:C39"/>
    <mergeCell ref="Y39:AB39"/>
    <mergeCell ref="AE45:AJ45"/>
    <mergeCell ref="B47:C47"/>
    <mergeCell ref="Y47:AB47"/>
    <mergeCell ref="AC47:AD47"/>
    <mergeCell ref="AE47:AJ47"/>
    <mergeCell ref="B46:C46"/>
    <mergeCell ref="Y46:AB46"/>
    <mergeCell ref="AC46:AD46"/>
    <mergeCell ref="AE46:AJ46"/>
    <mergeCell ref="B40:C40"/>
    <mergeCell ref="Y40:AB40"/>
    <mergeCell ref="AC40:AD40"/>
    <mergeCell ref="AE40:AJ40"/>
    <mergeCell ref="AM40:AQ40"/>
    <mergeCell ref="B41:C41"/>
    <mergeCell ref="Y41:AB41"/>
    <mergeCell ref="AC41:AD41"/>
    <mergeCell ref="AE41:AJ41"/>
    <mergeCell ref="AM41:AQ41"/>
    <mergeCell ref="B42:C42"/>
    <mergeCell ref="Y42:AB42"/>
    <mergeCell ref="AC42:AD42"/>
    <mergeCell ref="AE42:AJ42"/>
    <mergeCell ref="AM42:AQ42"/>
    <mergeCell ref="B45:C45"/>
    <mergeCell ref="B44:C44"/>
    <mergeCell ref="B43:C43"/>
    <mergeCell ref="Y43:AB43"/>
    <mergeCell ref="AC43:AD43"/>
    <mergeCell ref="AC45:AD45"/>
  </mergeCells>
  <phoneticPr fontId="18"/>
  <printOptions horizontalCentered="1"/>
  <pageMargins left="0.39370078740157483" right="0.39370078740157483" top="0.78740157480314965" bottom="0.39370078740157483" header="0.31496062992125984" footer="0.31496062992125984"/>
  <pageSetup paperSize="9" scale="92" orientation="portrait" r:id="rId1"/>
  <headerFooter>
    <oddFooter>&amp;C&amp;10&amp;P / &amp;N</oddFooter>
  </headerFooter>
  <rowBreaks count="2" manualBreakCount="2">
    <brk id="49" max="35" man="1"/>
    <brk id="102" max="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38E6-EB15-4972-A808-4E8B755ADF8D}">
  <sheetPr>
    <pageSetUpPr fitToPage="1"/>
  </sheetPr>
  <dimension ref="A1:A55"/>
  <sheetViews>
    <sheetView view="pageBreakPreview" zoomScaleNormal="100" zoomScaleSheetLayoutView="100" workbookViewId="0">
      <selection activeCell="M86" sqref="M86"/>
    </sheetView>
  </sheetViews>
  <sheetFormatPr defaultRowHeight="18" x14ac:dyDescent="0.55000000000000004"/>
  <cols>
    <col min="1" max="1" width="2.75" customWidth="1"/>
    <col min="12" max="12" width="5.33203125" customWidth="1"/>
  </cols>
  <sheetData>
    <row r="1" ht="9" customHeight="1" x14ac:dyDescent="0.55000000000000004"/>
    <row r="18" ht="13" customHeight="1" x14ac:dyDescent="0.55000000000000004"/>
    <row r="55" customFormat="1" ht="10.5" customHeight="1" x14ac:dyDescent="0.55000000000000004"/>
  </sheetData>
  <phoneticPr fontId="3"/>
  <pageMargins left="0.70866141732283472" right="0.70866141732283472" top="0.74803149606299213" bottom="0.74803149606299213" header="0.31496062992125984" footer="0.31496062992125984"/>
  <pageSetup paperSize="9" scale="88" fitToHeight="0" orientation="portrait" r:id="rId1"/>
  <headerFooter>
    <oddHeader>&amp;A</oddHeader>
    <oddFooter>&amp;P / &amp;N ページ</oddFooter>
  </headerFooter>
  <rowBreaks count="4" manualBreakCount="4">
    <brk id="40" max="16383" man="1"/>
    <brk id="82" max="10" man="1"/>
    <brk id="103" max="10" man="1"/>
    <brk id="139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104</v>
      </c>
      <c r="D1" s="3"/>
    </row>
    <row r="2" spans="1:32" ht="5.25" customHeight="1" x14ac:dyDescent="0.55000000000000004">
      <c r="A2" s="1"/>
    </row>
    <row r="3" spans="1:32" x14ac:dyDescent="0.55000000000000004">
      <c r="A3" s="4" t="s">
        <v>105</v>
      </c>
      <c r="B3" s="105"/>
      <c r="C3" s="106"/>
      <c r="D3" s="5" t="s">
        <v>106</v>
      </c>
      <c r="E3" s="105"/>
      <c r="F3" s="107"/>
      <c r="G3" s="107"/>
      <c r="H3" s="107"/>
      <c r="I3" s="107"/>
      <c r="J3" s="107"/>
      <c r="K3" s="107"/>
      <c r="L3" s="107"/>
      <c r="M3" s="107"/>
      <c r="N3" s="107"/>
      <c r="O3" s="106"/>
    </row>
    <row r="4" spans="1:32" x14ac:dyDescent="0.55000000000000004">
      <c r="A4" s="5" t="s">
        <v>107</v>
      </c>
      <c r="B4" s="105" t="s">
        <v>108</v>
      </c>
      <c r="C4" s="106"/>
      <c r="D4" s="5" t="s">
        <v>109</v>
      </c>
      <c r="E4" s="108"/>
      <c r="F4" s="108"/>
      <c r="G4" s="5" t="s">
        <v>110</v>
      </c>
      <c r="H4" s="109">
        <f>AF59</f>
        <v>0</v>
      </c>
      <c r="I4" s="109"/>
      <c r="J4" s="5" t="s">
        <v>111</v>
      </c>
      <c r="K4" s="110">
        <f>外注費・経費!K4</f>
        <v>0</v>
      </c>
      <c r="L4" s="110"/>
      <c r="M4" s="5" t="s">
        <v>112</v>
      </c>
      <c r="N4" s="110">
        <v>0</v>
      </c>
      <c r="O4" s="110"/>
    </row>
    <row r="5" spans="1:32" ht="6" customHeight="1" x14ac:dyDescent="0.55000000000000004"/>
    <row r="6" spans="1:32" s="6" customFormat="1" x14ac:dyDescent="0.55000000000000004">
      <c r="A6" s="91" t="s">
        <v>113</v>
      </c>
      <c r="B6" s="94" t="s">
        <v>114</v>
      </c>
      <c r="C6" s="94" t="s">
        <v>115</v>
      </c>
      <c r="D6" s="97" t="s">
        <v>116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102" t="s">
        <v>117</v>
      </c>
    </row>
    <row r="7" spans="1:32" s="6" customFormat="1" ht="12" customHeight="1" x14ac:dyDescent="0.55000000000000004">
      <c r="A7" s="92"/>
      <c r="B7" s="95"/>
      <c r="C7" s="95"/>
      <c r="D7" s="98" t="s">
        <v>118</v>
      </c>
      <c r="E7" s="99"/>
      <c r="F7" s="100"/>
      <c r="G7" s="98" t="s">
        <v>119</v>
      </c>
      <c r="H7" s="99"/>
      <c r="I7" s="100"/>
      <c r="J7" s="98" t="s">
        <v>120</v>
      </c>
      <c r="K7" s="99"/>
      <c r="L7" s="100"/>
      <c r="M7" s="98" t="s">
        <v>121</v>
      </c>
      <c r="N7" s="99"/>
      <c r="O7" s="100"/>
      <c r="P7" s="98" t="s">
        <v>122</v>
      </c>
      <c r="Q7" s="99"/>
      <c r="R7" s="100"/>
      <c r="S7" s="98" t="s">
        <v>123</v>
      </c>
      <c r="T7" s="99"/>
      <c r="U7" s="100"/>
      <c r="V7" s="98" t="s">
        <v>124</v>
      </c>
      <c r="W7" s="99"/>
      <c r="X7" s="100"/>
      <c r="Y7" s="98" t="s">
        <v>125</v>
      </c>
      <c r="Z7" s="99"/>
      <c r="AA7" s="100"/>
      <c r="AB7" s="98" t="s">
        <v>126</v>
      </c>
      <c r="AC7" s="99"/>
      <c r="AD7" s="100"/>
      <c r="AE7" s="101" t="s">
        <v>127</v>
      </c>
      <c r="AF7" s="103"/>
    </row>
    <row r="8" spans="1:32" s="6" customFormat="1" x14ac:dyDescent="0.55000000000000004">
      <c r="A8" s="93"/>
      <c r="B8" s="96"/>
      <c r="C8" s="96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96"/>
      <c r="AF8" s="104"/>
    </row>
    <row r="9" spans="1:32" x14ac:dyDescent="0.55000000000000004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 x14ac:dyDescent="0.55000000000000004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 x14ac:dyDescent="0.55000000000000004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 x14ac:dyDescent="0.55000000000000004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 x14ac:dyDescent="0.55000000000000004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 x14ac:dyDescent="0.55000000000000004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 x14ac:dyDescent="0.55000000000000004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 x14ac:dyDescent="0.55000000000000004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 x14ac:dyDescent="0.55000000000000004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 x14ac:dyDescent="0.55000000000000004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 x14ac:dyDescent="0.55000000000000004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 x14ac:dyDescent="0.55000000000000004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 x14ac:dyDescent="0.55000000000000004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 x14ac:dyDescent="0.55000000000000004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 x14ac:dyDescent="0.55000000000000004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 x14ac:dyDescent="0.55000000000000004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 x14ac:dyDescent="0.55000000000000004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 x14ac:dyDescent="0.55000000000000004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 x14ac:dyDescent="0.55000000000000004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 x14ac:dyDescent="0.55000000000000004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 x14ac:dyDescent="0.55000000000000004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 x14ac:dyDescent="0.55000000000000004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 x14ac:dyDescent="0.55000000000000004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 x14ac:dyDescent="0.55000000000000004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 x14ac:dyDescent="0.55000000000000004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 x14ac:dyDescent="0.55000000000000004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 x14ac:dyDescent="0.55000000000000004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 x14ac:dyDescent="0.55000000000000004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 x14ac:dyDescent="0.55000000000000004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 x14ac:dyDescent="0.55000000000000004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 x14ac:dyDescent="0.55000000000000004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 x14ac:dyDescent="0.55000000000000004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 x14ac:dyDescent="0.55000000000000004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 x14ac:dyDescent="0.55000000000000004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 x14ac:dyDescent="0.55000000000000004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 x14ac:dyDescent="0.55000000000000004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 x14ac:dyDescent="0.5500000000000000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 x14ac:dyDescent="0.55000000000000004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 x14ac:dyDescent="0.55000000000000004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 x14ac:dyDescent="0.55000000000000004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 x14ac:dyDescent="0.55000000000000004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 x14ac:dyDescent="0.55000000000000004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 x14ac:dyDescent="0.55000000000000004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 x14ac:dyDescent="0.55000000000000004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 x14ac:dyDescent="0.55000000000000004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 x14ac:dyDescent="0.55000000000000004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 x14ac:dyDescent="0.55000000000000004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 x14ac:dyDescent="0.55000000000000004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 x14ac:dyDescent="0.55000000000000004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 x14ac:dyDescent="0.55000000000000004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 x14ac:dyDescent="0.55000000000000004">
      <c r="A59" s="88" t="s">
        <v>117</v>
      </c>
      <c r="B59" s="89"/>
      <c r="C59" s="90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128</v>
      </c>
    </row>
    <row r="2" spans="1:32" ht="5.25" customHeight="1" x14ac:dyDescent="0.55000000000000004">
      <c r="A2" s="1"/>
    </row>
    <row r="3" spans="1:32" x14ac:dyDescent="0.55000000000000004">
      <c r="A3" s="12" t="s">
        <v>105</v>
      </c>
      <c r="B3" s="105"/>
      <c r="C3" s="106"/>
      <c r="D3" s="13" t="s">
        <v>106</v>
      </c>
      <c r="E3" s="105">
        <f>社員工数!E3</f>
        <v>0</v>
      </c>
      <c r="F3" s="107"/>
      <c r="G3" s="107"/>
      <c r="H3" s="107"/>
      <c r="I3" s="107"/>
      <c r="J3" s="107"/>
      <c r="K3" s="107"/>
      <c r="L3" s="107"/>
      <c r="M3" s="107"/>
      <c r="N3" s="107"/>
      <c r="O3" s="106"/>
    </row>
    <row r="4" spans="1:32" x14ac:dyDescent="0.55000000000000004">
      <c r="A4" s="12" t="s">
        <v>107</v>
      </c>
      <c r="B4" s="105" t="s">
        <v>129</v>
      </c>
      <c r="C4" s="106"/>
      <c r="D4" s="14" t="s">
        <v>109</v>
      </c>
      <c r="E4" s="125">
        <f>社員工数!E4</f>
        <v>0</v>
      </c>
      <c r="F4" s="125"/>
      <c r="G4" s="14" t="s">
        <v>110</v>
      </c>
      <c r="H4" s="126">
        <f>社員工数!H4</f>
        <v>0</v>
      </c>
      <c r="I4" s="126"/>
      <c r="J4" s="14" t="s">
        <v>111</v>
      </c>
      <c r="K4" s="127">
        <f>AF59</f>
        <v>0</v>
      </c>
      <c r="L4" s="127"/>
      <c r="M4" s="14" t="s">
        <v>112</v>
      </c>
      <c r="N4" s="127">
        <f>SUMIF(A:A,"経費",AF:AF)</f>
        <v>0</v>
      </c>
      <c r="O4" s="127"/>
    </row>
    <row r="5" spans="1:32" ht="6" customHeight="1" x14ac:dyDescent="0.55000000000000004"/>
    <row r="6" spans="1:32" s="6" customFormat="1" x14ac:dyDescent="0.55000000000000004">
      <c r="A6" s="111" t="s">
        <v>113</v>
      </c>
      <c r="B6" s="114" t="s">
        <v>130</v>
      </c>
      <c r="C6" s="114" t="s">
        <v>115</v>
      </c>
      <c r="D6" s="117" t="s">
        <v>131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22" t="s">
        <v>117</v>
      </c>
    </row>
    <row r="7" spans="1:32" s="6" customFormat="1" ht="12" customHeight="1" x14ac:dyDescent="0.55000000000000004">
      <c r="A7" s="112"/>
      <c r="B7" s="115"/>
      <c r="C7" s="115"/>
      <c r="D7" s="118" t="s">
        <v>132</v>
      </c>
      <c r="E7" s="119"/>
      <c r="F7" s="120"/>
      <c r="G7" s="118" t="s">
        <v>133</v>
      </c>
      <c r="H7" s="119"/>
      <c r="I7" s="120"/>
      <c r="J7" s="118" t="s">
        <v>134</v>
      </c>
      <c r="K7" s="119"/>
      <c r="L7" s="120"/>
      <c r="M7" s="118" t="s">
        <v>135</v>
      </c>
      <c r="N7" s="119"/>
      <c r="O7" s="120"/>
      <c r="P7" s="118" t="s">
        <v>136</v>
      </c>
      <c r="Q7" s="119"/>
      <c r="R7" s="120"/>
      <c r="S7" s="118" t="s">
        <v>137</v>
      </c>
      <c r="T7" s="119"/>
      <c r="U7" s="120"/>
      <c r="V7" s="118" t="s">
        <v>138</v>
      </c>
      <c r="W7" s="119"/>
      <c r="X7" s="120"/>
      <c r="Y7" s="118" t="s">
        <v>139</v>
      </c>
      <c r="Z7" s="119"/>
      <c r="AA7" s="120"/>
      <c r="AB7" s="118" t="s">
        <v>140</v>
      </c>
      <c r="AC7" s="119"/>
      <c r="AD7" s="120"/>
      <c r="AE7" s="121" t="s">
        <v>127</v>
      </c>
      <c r="AF7" s="123"/>
    </row>
    <row r="8" spans="1:32" s="6" customFormat="1" x14ac:dyDescent="0.55000000000000004">
      <c r="A8" s="113"/>
      <c r="B8" s="116"/>
      <c r="C8" s="116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116"/>
      <c r="AF8" s="124"/>
    </row>
    <row r="9" spans="1:32" x14ac:dyDescent="0.55000000000000004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 x14ac:dyDescent="0.55000000000000004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 x14ac:dyDescent="0.55000000000000004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 x14ac:dyDescent="0.55000000000000004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 x14ac:dyDescent="0.55000000000000004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 x14ac:dyDescent="0.55000000000000004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 x14ac:dyDescent="0.55000000000000004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 x14ac:dyDescent="0.55000000000000004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 x14ac:dyDescent="0.55000000000000004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 x14ac:dyDescent="0.55000000000000004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 x14ac:dyDescent="0.55000000000000004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 x14ac:dyDescent="0.55000000000000004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 x14ac:dyDescent="0.55000000000000004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 x14ac:dyDescent="0.55000000000000004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 x14ac:dyDescent="0.55000000000000004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 x14ac:dyDescent="0.55000000000000004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 x14ac:dyDescent="0.55000000000000004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 x14ac:dyDescent="0.55000000000000004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 x14ac:dyDescent="0.55000000000000004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 x14ac:dyDescent="0.55000000000000004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 x14ac:dyDescent="0.55000000000000004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 x14ac:dyDescent="0.55000000000000004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 x14ac:dyDescent="0.55000000000000004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 x14ac:dyDescent="0.55000000000000004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 x14ac:dyDescent="0.55000000000000004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 x14ac:dyDescent="0.55000000000000004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 x14ac:dyDescent="0.5500000000000000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 x14ac:dyDescent="0.55000000000000004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 x14ac:dyDescent="0.55000000000000004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 x14ac:dyDescent="0.55000000000000004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 x14ac:dyDescent="0.55000000000000004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 x14ac:dyDescent="0.55000000000000004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 x14ac:dyDescent="0.55000000000000004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 x14ac:dyDescent="0.55000000000000004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 x14ac:dyDescent="0.55000000000000004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 x14ac:dyDescent="0.55000000000000004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 x14ac:dyDescent="0.55000000000000004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 x14ac:dyDescent="0.55000000000000004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 x14ac:dyDescent="0.55000000000000004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 x14ac:dyDescent="0.55000000000000004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 x14ac:dyDescent="0.55000000000000004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 x14ac:dyDescent="0.55000000000000004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 x14ac:dyDescent="0.55000000000000004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 x14ac:dyDescent="0.55000000000000004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 x14ac:dyDescent="0.55000000000000004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 x14ac:dyDescent="0.55000000000000004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 x14ac:dyDescent="0.55000000000000004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 x14ac:dyDescent="0.55000000000000004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 x14ac:dyDescent="0.55000000000000004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 x14ac:dyDescent="0.55000000000000004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 x14ac:dyDescent="0.55000000000000004">
      <c r="A59" s="88" t="s">
        <v>117</v>
      </c>
      <c r="B59" s="89"/>
      <c r="C59" s="90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 x14ac:dyDescent="0.55000000000000004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 x14ac:dyDescent="0.55000000000000004">
      <c r="A1" s="130" t="s">
        <v>19</v>
      </c>
      <c r="B1" s="20" t="s">
        <v>141</v>
      </c>
      <c r="C1" s="130" t="s">
        <v>142</v>
      </c>
      <c r="D1" s="130" t="s">
        <v>143</v>
      </c>
      <c r="E1" s="130" t="s">
        <v>144</v>
      </c>
      <c r="F1" s="130" t="s">
        <v>145</v>
      </c>
      <c r="G1" s="130" t="s">
        <v>146</v>
      </c>
      <c r="H1" s="128" t="s">
        <v>147</v>
      </c>
      <c r="I1" s="129"/>
      <c r="J1" s="130" t="s">
        <v>148</v>
      </c>
      <c r="K1" s="130" t="s">
        <v>149</v>
      </c>
      <c r="L1" s="130" t="s">
        <v>150</v>
      </c>
    </row>
    <row r="2" spans="1:12" x14ac:dyDescent="0.55000000000000004">
      <c r="A2" s="130"/>
      <c r="B2" s="20" t="s">
        <v>151</v>
      </c>
      <c r="C2" s="130"/>
      <c r="D2" s="130"/>
      <c r="E2" s="130"/>
      <c r="F2" s="130"/>
      <c r="G2" s="130"/>
      <c r="H2" s="20" t="s">
        <v>19</v>
      </c>
      <c r="I2" s="20" t="s">
        <v>152</v>
      </c>
      <c r="J2" s="130"/>
      <c r="K2" s="130"/>
      <c r="L2" s="130"/>
    </row>
    <row r="3" spans="1:12" x14ac:dyDescent="0.55000000000000004">
      <c r="A3" s="22">
        <v>1</v>
      </c>
      <c r="B3" s="23">
        <v>0.1</v>
      </c>
      <c r="C3" s="22" t="s">
        <v>153</v>
      </c>
      <c r="D3" s="22" t="s">
        <v>154</v>
      </c>
      <c r="E3" s="22" t="s">
        <v>155</v>
      </c>
      <c r="F3" s="22" t="s">
        <v>156</v>
      </c>
      <c r="G3" s="22" t="s">
        <v>157</v>
      </c>
      <c r="H3" s="22">
        <v>1</v>
      </c>
      <c r="I3" s="22" t="s">
        <v>158</v>
      </c>
      <c r="J3" s="22" t="s">
        <v>159</v>
      </c>
      <c r="K3" s="22" t="s">
        <v>160</v>
      </c>
      <c r="L3" s="22" t="s">
        <v>161</v>
      </c>
    </row>
    <row r="4" spans="1:12" x14ac:dyDescent="0.55000000000000004">
      <c r="A4" s="22">
        <v>2</v>
      </c>
      <c r="B4" s="23"/>
      <c r="C4" s="22"/>
      <c r="D4" s="22"/>
      <c r="E4" s="22" t="s">
        <v>162</v>
      </c>
      <c r="F4" s="22" t="s">
        <v>163</v>
      </c>
      <c r="G4" s="22" t="s">
        <v>164</v>
      </c>
      <c r="H4" s="22">
        <v>2</v>
      </c>
      <c r="I4" s="22" t="s">
        <v>165</v>
      </c>
      <c r="J4" s="22" t="s">
        <v>166</v>
      </c>
      <c r="K4" s="22" t="s">
        <v>167</v>
      </c>
      <c r="L4" s="22" t="s">
        <v>168</v>
      </c>
    </row>
    <row r="5" spans="1:12" x14ac:dyDescent="0.55000000000000004">
      <c r="A5" s="22">
        <v>3</v>
      </c>
      <c r="B5" s="22"/>
      <c r="C5" s="22"/>
      <c r="D5" s="22"/>
      <c r="E5" s="22"/>
      <c r="F5" s="22" t="s">
        <v>169</v>
      </c>
      <c r="G5" s="22" t="s">
        <v>170</v>
      </c>
      <c r="H5" s="22">
        <v>3</v>
      </c>
      <c r="I5" s="22" t="s">
        <v>171</v>
      </c>
      <c r="J5" s="22" t="s">
        <v>172</v>
      </c>
      <c r="K5" s="22" t="s">
        <v>173</v>
      </c>
      <c r="L5" s="22"/>
    </row>
    <row r="6" spans="1:12" x14ac:dyDescent="0.55000000000000004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174</v>
      </c>
      <c r="L6" s="22"/>
    </row>
    <row r="7" spans="1:12" x14ac:dyDescent="0.55000000000000004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175</v>
      </c>
      <c r="L7" s="22"/>
    </row>
    <row r="8" spans="1:12" x14ac:dyDescent="0.55000000000000004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176</v>
      </c>
      <c r="L8" s="22"/>
    </row>
    <row r="9" spans="1:12" x14ac:dyDescent="0.55000000000000004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177</v>
      </c>
      <c r="L9" s="22"/>
    </row>
    <row r="10" spans="1:12" x14ac:dyDescent="0.55000000000000004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178</v>
      </c>
      <c r="L10" s="22"/>
    </row>
    <row r="11" spans="1:12" x14ac:dyDescent="0.55000000000000004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179</v>
      </c>
      <c r="L11" s="22"/>
    </row>
    <row r="12" spans="1:12" x14ac:dyDescent="0.55000000000000004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180</v>
      </c>
      <c r="L12" s="22"/>
    </row>
    <row r="13" spans="1:12" x14ac:dyDescent="0.55000000000000004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4B01A1-F851-4DC1-B86B-3480D6CB2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64A065-A5D3-4DAE-95A5-EB303D171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CE913C-C223-419A-9E5E-B83989BF0BCE}">
  <ds:schemaRefs>
    <ds:schemaRef ds:uri="2fd442da-66a9-4fa6-ba31-eb0d54ad1381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概算見積</vt:lpstr>
      <vt:lpstr>対応方針・スケジュール・作業詳細</vt:lpstr>
      <vt:lpstr>社員工数</vt:lpstr>
      <vt:lpstr>外注費・経費</vt:lpstr>
      <vt:lpstr>リストマスタ</vt:lpstr>
      <vt:lpstr>概算見積!Print_Area</vt:lpstr>
      <vt:lpstr>対応方針・スケジュール・作業詳細!Print_Area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2025-09-16T06:08:51Z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