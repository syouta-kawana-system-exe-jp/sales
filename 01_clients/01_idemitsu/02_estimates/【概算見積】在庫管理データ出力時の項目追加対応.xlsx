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39" documentId="13_ncr:1_{02496305-5577-4950-B125-2DC3247F0BD6}" xr6:coauthVersionLast="47" xr6:coauthVersionMax="47" xr10:uidLastSave="{5ACC6207-6B9B-48A9-865D-3839E0728CC5}"/>
  <bookViews>
    <workbookView xWindow="-98" yWindow="-98" windowWidth="20715" windowHeight="13875" activeTab="1" xr2:uid="{00000000-000D-0000-FFFF-FFFF00000000}"/>
  </bookViews>
  <sheets>
    <sheet name="No.406_工数見積もり" sheetId="1" r:id="rId1"/>
    <sheet name="作業工数" sheetId="5" r:id="rId2"/>
    <sheet name="作業工数_old" sheetId="8" state="hidden" r:id="rId3"/>
    <sheet name="帳票の改修内容" sheetId="6" r:id="rId4"/>
    <sheet name="マスタ" sheetId="7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5" l="1"/>
  <c r="I18" i="5" s="1"/>
  <c r="H15" i="5"/>
  <c r="I15" i="5"/>
  <c r="B12" i="1"/>
  <c r="F19" i="5"/>
  <c r="E18" i="5" s="1"/>
  <c r="E10" i="5"/>
  <c r="G10" i="5" s="1"/>
  <c r="H10" i="5" s="1"/>
  <c r="I10" i="5" s="1"/>
  <c r="E15" i="8"/>
  <c r="G15" i="8" s="1"/>
  <c r="H15" i="8" s="1"/>
  <c r="I15" i="8" s="1"/>
  <c r="E12" i="8"/>
  <c r="G12" i="8" s="1"/>
  <c r="H12" i="8" s="1"/>
  <c r="I12" i="8" s="1"/>
  <c r="E10" i="8"/>
  <c r="G10" i="8" s="1"/>
  <c r="E15" i="5"/>
  <c r="G15" i="5" s="1"/>
  <c r="I20" i="5" l="1"/>
  <c r="H20" i="5"/>
  <c r="G18" i="5"/>
  <c r="G20" i="5" s="1"/>
  <c r="H10" i="8"/>
  <c r="G18" i="8"/>
  <c r="E18" i="8"/>
  <c r="E12" i="5"/>
  <c r="G12" i="5" s="1"/>
  <c r="J18" i="5" l="1"/>
  <c r="I10" i="8"/>
  <c r="I18" i="8" s="1"/>
  <c r="H18" i="8"/>
  <c r="H12" i="5"/>
  <c r="E20" i="5"/>
  <c r="I12" i="5" l="1"/>
</calcChain>
</file>

<file path=xl/sharedStrings.xml><?xml version="1.0" encoding="utf-8"?>
<sst xmlns="http://schemas.openxmlformats.org/spreadsheetml/2006/main" count="72" uniqueCount="46">
  <si>
    <t>No.406_工数見積もり</t>
    <phoneticPr fontId="3"/>
  </si>
  <si>
    <t>当初のご要望内容</t>
    <rPh sb="0" eb="2">
      <t>トウショ</t>
    </rPh>
    <rPh sb="4" eb="6">
      <t>ヨウボウ</t>
    </rPh>
    <rPh sb="6" eb="8">
      <t>ナイヨウ</t>
    </rPh>
    <phoneticPr fontId="3"/>
  </si>
  <si>
    <t>【東北支店からの確認事項（黒本ポータルのPDF化）】</t>
  </si>
  <si>
    <t>在庫管理を出力（印刷）する際、「日計増減率」を省かれないようにしたい</t>
  </si>
  <si>
    <t>ご確認事項</t>
    <rPh sb="1" eb="3">
      <t>カクニン</t>
    </rPh>
    <rPh sb="3" eb="5">
      <t>ジコウ</t>
    </rPh>
    <phoneticPr fontId="3"/>
  </si>
  <si>
    <t>在庫管理PDFは、すでに帳票幅一杯まで明細表示に使用しているため、「日計増減率」項目を追加するには各項目の幅を調整する(縮める)必要があります。よろしいでしょうか。</t>
    <rPh sb="0" eb="4">
      <t>ザイコカンリ</t>
    </rPh>
    <rPh sb="34" eb="39">
      <t>ニッケイゾウゲンリツ</t>
    </rPh>
    <rPh sb="40" eb="42">
      <t>コウモク</t>
    </rPh>
    <rPh sb="43" eb="45">
      <t>ツイカ</t>
    </rPh>
    <rPh sb="60" eb="61">
      <t>チヂ</t>
    </rPh>
    <rPh sb="64" eb="66">
      <t>ヒツヨウ</t>
    </rPh>
    <phoneticPr fontId="3"/>
  </si>
  <si>
    <t>お見積もり工数(人日)</t>
    <rPh sb="1" eb="3">
      <t>ミツ</t>
    </rPh>
    <rPh sb="5" eb="7">
      <t>コウスウ</t>
    </rPh>
    <rPh sb="8" eb="9">
      <t>ヒト</t>
    </rPh>
    <rPh sb="9" eb="10">
      <t>ニチ</t>
    </rPh>
    <phoneticPr fontId="3"/>
  </si>
  <si>
    <t>人日</t>
    <rPh sb="0" eb="1">
      <t>ヒト</t>
    </rPh>
    <rPh sb="1" eb="2">
      <t>ニチ</t>
    </rPh>
    <phoneticPr fontId="3"/>
  </si>
  <si>
    <t>詳細は下記参照ください。</t>
    <rPh sb="0" eb="2">
      <t>ショウサイ</t>
    </rPh>
    <rPh sb="3" eb="5">
      <t>カキ</t>
    </rPh>
    <rPh sb="5" eb="7">
      <t>サンショウ</t>
    </rPh>
    <phoneticPr fontId="3"/>
  </si>
  <si>
    <t>作業工数</t>
    <rPh sb="0" eb="4">
      <t>サギョウコウスウ</t>
    </rPh>
    <phoneticPr fontId="3"/>
  </si>
  <si>
    <t>前提</t>
    <rPh sb="0" eb="2">
      <t>ゼンテイ</t>
    </rPh>
    <phoneticPr fontId="3"/>
  </si>
  <si>
    <t>在庫管理画面の「日計増減率」項目は、在庫管理要注意判定「日計」にチェックが付いているSSの場合に表示されます。帳票においても、同様の条件で「日計増減率」の表示/非表示を切り替える想定です。</t>
    <phoneticPr fontId="3"/>
  </si>
  <si>
    <t>下記工数は開発者の作業工数となっています。</t>
    <rPh sb="0" eb="2">
      <t>カキ</t>
    </rPh>
    <rPh sb="2" eb="4">
      <t>コウスウ</t>
    </rPh>
    <rPh sb="5" eb="8">
      <t>カイハツシャ</t>
    </rPh>
    <rPh sb="9" eb="13">
      <t>サギョウコウスウ</t>
    </rPh>
    <phoneticPr fontId="3"/>
  </si>
  <si>
    <t>リリース作業工数については、No.394と同時対応を想定している関係上、本件個別での計上は行っておりません。</t>
    <rPh sb="4" eb="6">
      <t>サギョウ</t>
    </rPh>
    <rPh sb="6" eb="8">
      <t>コウスウ</t>
    </rPh>
    <rPh sb="32" eb="35">
      <t>カンケイジョウ</t>
    </rPh>
    <rPh sb="38" eb="40">
      <t>コベツ</t>
    </rPh>
    <rPh sb="42" eb="44">
      <t>ケイジョウ</t>
    </rPh>
    <rPh sb="45" eb="46">
      <t>オコナ</t>
    </rPh>
    <phoneticPr fontId="3"/>
  </si>
  <si>
    <t>工数</t>
    <rPh sb="0" eb="2">
      <t>コウスウ</t>
    </rPh>
    <phoneticPr fontId="3"/>
  </si>
  <si>
    <t>行程</t>
    <rPh sb="0" eb="2">
      <t>コウテイ</t>
    </rPh>
    <phoneticPr fontId="3"/>
  </si>
  <si>
    <t>工数
(人時)</t>
    <rPh sb="0" eb="2">
      <t>コウスウ</t>
    </rPh>
    <rPh sb="4" eb="5">
      <t>ヒト</t>
    </rPh>
    <rPh sb="5" eb="6">
      <t>ジ</t>
    </rPh>
    <phoneticPr fontId="3"/>
  </si>
  <si>
    <t>工数
(人日)</t>
    <rPh sb="0" eb="2">
      <t>コウスウ</t>
    </rPh>
    <rPh sb="4" eb="6">
      <t>ニンニチ</t>
    </rPh>
    <phoneticPr fontId="3"/>
  </si>
  <si>
    <t>工数
(人月)</t>
    <rPh sb="0" eb="2">
      <t>コウスウ</t>
    </rPh>
    <rPh sb="4" eb="6">
      <t>ニンゲツ</t>
    </rPh>
    <phoneticPr fontId="3"/>
  </si>
  <si>
    <t>金額</t>
    <rPh sb="0" eb="2">
      <t>キンガク</t>
    </rPh>
    <phoneticPr fontId="3"/>
  </si>
  <si>
    <t>メモ</t>
    <phoneticPr fontId="3"/>
  </si>
  <si>
    <t>設計</t>
    <rPh sb="0" eb="2">
      <t>セッケイ</t>
    </rPh>
    <phoneticPr fontId="3"/>
  </si>
  <si>
    <t>帳票仕様</t>
    <rPh sb="0" eb="2">
      <t>チョウヒョウ</t>
    </rPh>
    <rPh sb="2" eb="4">
      <t>シヨウ</t>
    </rPh>
    <phoneticPr fontId="3"/>
  </si>
  <si>
    <t>Box\apollostationポータル構築プロジェクト\42_黒本ポータル構築PJ（システムエグゼ様 × 出光）\04_設計・開発\01_ユーザインタフェース設計\B1UI-4_帳票設計(UI-12,13)\UI-13 帳票仕様(在庫管理_画面DW).xlsx
　「在庫管理帳票」シートにイメージを追加する</t>
    <rPh sb="151" eb="153">
      <t>ツイカ</t>
    </rPh>
    <phoneticPr fontId="3"/>
  </si>
  <si>
    <t>実装・単体テスト</t>
    <rPh sb="0" eb="2">
      <t>ジッソウ</t>
    </rPh>
    <rPh sb="3" eb="5">
      <t>タンタイ</t>
    </rPh>
    <phoneticPr fontId="3"/>
  </si>
  <si>
    <t>サーバ処理</t>
    <rPh sb="3" eb="5">
      <t>ショリ</t>
    </rPh>
    <phoneticPr fontId="3"/>
  </si>
  <si>
    <t>/kurohon-portal/src/main/java/com/idemitsu/apollostation/kurohon/domain/service/InventoryControlService.java
　exportCalcuratedInventory()にて、帳票を切替える処理を追加</t>
    <rPh sb="140" eb="142">
      <t>チョウヒョウ</t>
    </rPh>
    <rPh sb="143" eb="145">
      <t>キリカエ</t>
    </rPh>
    <rPh sb="147" eb="149">
      <t>ショリ</t>
    </rPh>
    <rPh sb="150" eb="152">
      <t>ツイカ</t>
    </rPh>
    <phoneticPr fontId="3"/>
  </si>
  <si>
    <t>帳票レイアウト(新規)</t>
    <rPh sb="0" eb="2">
      <t>チョウヒョウ</t>
    </rPh>
    <rPh sb="8" eb="10">
      <t>シンキ</t>
    </rPh>
    <phoneticPr fontId="3"/>
  </si>
  <si>
    <t>/kurohon-portal/src/main/resources/jasper/inventory_control.jrxmlを元に、「日計増減率」項目追加版を新規作成する</t>
    <rPh sb="66" eb="67">
      <t>モト</t>
    </rPh>
    <rPh sb="76" eb="78">
      <t>コウモク</t>
    </rPh>
    <rPh sb="78" eb="80">
      <t>ツイカ</t>
    </rPh>
    <rPh sb="80" eb="81">
      <t>バン</t>
    </rPh>
    <rPh sb="82" eb="84">
      <t>シンキ</t>
    </rPh>
    <rPh sb="84" eb="86">
      <t>サクセイ</t>
    </rPh>
    <phoneticPr fontId="3"/>
  </si>
  <si>
    <t>帳票の改修内容</t>
  </si>
  <si>
    <t>結合テスト</t>
    <rPh sb="0" eb="2">
      <t>ケツゴウ</t>
    </rPh>
    <phoneticPr fontId="3"/>
  </si>
  <si>
    <t>検証環境で実施</t>
    <rPh sb="0" eb="4">
      <t>ケンショウカンキョウ</t>
    </rPh>
    <rPh sb="5" eb="7">
      <t>ジッシ</t>
    </rPh>
    <phoneticPr fontId="3"/>
  </si>
  <si>
    <t>テスト仕様書</t>
    <rPh sb="3" eb="6">
      <t>シヨウショ</t>
    </rPh>
    <phoneticPr fontId="3"/>
  </si>
  <si>
    <t>項目作成(バッチ処理～Excelマクロ)、検証環境リリース
本番の「\\10.180.0.106\015hanbai\黒本ポータル利用実績」フォルダへのアクセスを実際に行うかは要相談</t>
    <rPh sb="0" eb="4">
      <t>コウモクサクセイ</t>
    </rPh>
    <rPh sb="8" eb="10">
      <t>ショリ</t>
    </rPh>
    <rPh sb="21" eb="23">
      <t>ケンショウ</t>
    </rPh>
    <rPh sb="23" eb="25">
      <t>カンキョウ</t>
    </rPh>
    <rPh sb="30" eb="32">
      <t>ホンバン</t>
    </rPh>
    <rPh sb="81" eb="83">
      <t>ジッサイ</t>
    </rPh>
    <rPh sb="84" eb="85">
      <t>オコナ</t>
    </rPh>
    <rPh sb="88" eb="91">
      <t>ヨウソウダン</t>
    </rPh>
    <phoneticPr fontId="3"/>
  </si>
  <si>
    <t>実施</t>
    <rPh sb="0" eb="2">
      <t>ジッシ</t>
    </rPh>
    <phoneticPr fontId="3"/>
  </si>
  <si>
    <t>管理工数</t>
    <rPh sb="0" eb="4">
      <t>カンリコウスウ</t>
    </rPh>
    <phoneticPr fontId="3"/>
  </si>
  <si>
    <t>PJ管理</t>
    <rPh sb="2" eb="4">
      <t>カンリ</t>
    </rPh>
    <phoneticPr fontId="3"/>
  </si>
  <si>
    <t>合計</t>
    <rPh sb="0" eb="2">
      <t>ゴウケイ</t>
    </rPh>
    <phoneticPr fontId="3"/>
  </si>
  <si>
    <t>下記工数は開発者の作業工数となっています。管理工数、レビュー工数は含めていません。</t>
    <rPh sb="0" eb="2">
      <t>カキ</t>
    </rPh>
    <rPh sb="2" eb="4">
      <t>コウスウ</t>
    </rPh>
    <rPh sb="5" eb="8">
      <t>カイハツシャ</t>
    </rPh>
    <rPh sb="9" eb="13">
      <t>サギョウコウスウ</t>
    </rPh>
    <rPh sb="21" eb="23">
      <t>カンリ</t>
    </rPh>
    <rPh sb="23" eb="25">
      <t>コウスウ</t>
    </rPh>
    <rPh sb="30" eb="32">
      <t>コウスウ</t>
    </rPh>
    <rPh sb="33" eb="34">
      <t>フク</t>
    </rPh>
    <phoneticPr fontId="3"/>
  </si>
  <si>
    <t>実装</t>
    <rPh sb="0" eb="2">
      <t>ジッソウ</t>
    </rPh>
    <phoneticPr fontId="3"/>
  </si>
  <si>
    <t>帳票の改修内容</t>
    <rPh sb="0" eb="2">
      <t>チョウヒョウ</t>
    </rPh>
    <rPh sb="3" eb="5">
      <t>カイシュウ</t>
    </rPh>
    <rPh sb="5" eb="7">
      <t>ナイヨウ</t>
    </rPh>
    <phoneticPr fontId="3"/>
  </si>
  <si>
    <t>「日計増減率」項目なし(在庫管理要注意判定「日計」にチェックなしの場合)</t>
    <rPh sb="7" eb="9">
      <t>コウモク</t>
    </rPh>
    <phoneticPr fontId="3"/>
  </si>
  <si>
    <t>「日計増減率」項目あり(在庫管理要注意判定「日計」にチェックありの場合)</t>
    <phoneticPr fontId="3"/>
  </si>
  <si>
    <t>■単価</t>
    <rPh sb="1" eb="3">
      <t>タンカ</t>
    </rPh>
    <phoneticPr fontId="3"/>
  </si>
  <si>
    <t>管理</t>
    <rPh sb="0" eb="2">
      <t>カンリ</t>
    </rPh>
    <phoneticPr fontId="3"/>
  </si>
  <si>
    <t>管理以外</t>
    <rPh sb="0" eb="4">
      <t>カンリイガイ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</si>
</sst>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7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theme="1"/>
      <name val="Segoe UI Symbol"/>
      <family val="2"/>
    </font>
    <font>
      <sz val="11"/>
      <color theme="1"/>
      <name val="Yu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38" fontId="6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0" xfId="0" applyFont="1" applyFill="1"/>
    <xf numFmtId="0" fontId="0" fillId="2" borderId="0" xfId="0" applyFill="1"/>
    <xf numFmtId="0" fontId="1" fillId="2" borderId="1" xfId="0" applyFont="1" applyFill="1" applyBorder="1"/>
    <xf numFmtId="0" fontId="4" fillId="0" borderId="0" xfId="1"/>
    <xf numFmtId="0" fontId="0" fillId="0" borderId="3" xfId="0" applyBorder="1"/>
    <xf numFmtId="0" fontId="1" fillId="0" borderId="2" xfId="0" applyFont="1" applyBorder="1"/>
    <xf numFmtId="0" fontId="1" fillId="2" borderId="2" xfId="0" applyFont="1" applyFill="1" applyBorder="1" applyAlignment="1">
      <alignment wrapText="1"/>
    </xf>
    <xf numFmtId="0" fontId="5" fillId="0" borderId="0" xfId="0" applyFont="1"/>
    <xf numFmtId="0" fontId="0" fillId="0" borderId="0" xfId="0" applyAlignment="1">
      <alignment wrapText="1"/>
    </xf>
    <xf numFmtId="0" fontId="1" fillId="3" borderId="2" xfId="0" applyFont="1" applyFill="1" applyBorder="1" applyAlignment="1">
      <alignment wrapText="1"/>
    </xf>
    <xf numFmtId="176" fontId="0" fillId="0" borderId="0" xfId="0" applyNumberFormat="1"/>
    <xf numFmtId="176" fontId="0" fillId="0" borderId="1" xfId="0" applyNumberFormat="1" applyBorder="1"/>
    <xf numFmtId="176" fontId="0" fillId="3" borderId="0" xfId="0" applyNumberFormat="1" applyFill="1"/>
    <xf numFmtId="38" fontId="0" fillId="0" borderId="0" xfId="2" applyFont="1" applyAlignment="1"/>
    <xf numFmtId="0" fontId="0" fillId="0" borderId="0" xfId="0" applyFill="1"/>
    <xf numFmtId="176" fontId="0" fillId="0" borderId="0" xfId="0" applyNumberFormat="1" applyFill="1"/>
  </cellXfs>
  <cellStyles count="3">
    <cellStyle name="ハイパーリンク" xfId="1" builtinId="8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676F15D-1946-1900-D660-82FBF442DD43}"/>
            </a:ext>
          </a:extLst>
        </xdr:cNvPr>
        <xdr:cNvSpPr>
          <a:spLocks noChangeAspect="1" noChangeArrowheads="1"/>
        </xdr:cNvSpPr>
      </xdr:nvSpPr>
      <xdr:spPr bwMode="auto">
        <a:xfrm>
          <a:off x="67056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76200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E4FF2155-CA17-9AFF-9DA3-4681ECDA78E6}"/>
            </a:ext>
          </a:extLst>
        </xdr:cNvPr>
        <xdr:cNvSpPr>
          <a:spLocks noChangeAspect="1" noChangeArrowheads="1"/>
        </xdr:cNvSpPr>
      </xdr:nvSpPr>
      <xdr:spPr bwMode="auto">
        <a:xfrm>
          <a:off x="67056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16</xdr:row>
      <xdr:rowOff>0</xdr:rowOff>
    </xdr:from>
    <xdr:to>
      <xdr:col>20</xdr:col>
      <xdr:colOff>477050</xdr:colOff>
      <xdr:row>51</xdr:row>
      <xdr:rowOff>163064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992F4060-F6AE-787E-2AEE-EF6FEE5A9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6700" y="3657600"/>
          <a:ext cx="5734850" cy="816406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21</xdr:col>
      <xdr:colOff>72337</xdr:colOff>
      <xdr:row>14</xdr:row>
      <xdr:rowOff>198151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820BAEC0-664D-437D-7166-D7BFE9F8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685800"/>
          <a:ext cx="5987362" cy="2712751"/>
        </a:xfrm>
        <a:prstGeom prst="rect">
          <a:avLst/>
        </a:prstGeom>
      </xdr:spPr>
    </xdr:pic>
    <xdr:clientData/>
  </xdr:twoCellAnchor>
  <xdr:twoCellAnchor>
    <xdr:from>
      <xdr:col>20</xdr:col>
      <xdr:colOff>254000</xdr:colOff>
      <xdr:row>20</xdr:row>
      <xdr:rowOff>139700</xdr:rowOff>
    </xdr:from>
    <xdr:to>
      <xdr:col>21</xdr:col>
      <xdr:colOff>34925</xdr:colOff>
      <xdr:row>49</xdr:row>
      <xdr:rowOff>120650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5B78804-B4B3-E297-4E40-A3866F55D2A6}"/>
            </a:ext>
          </a:extLst>
        </xdr:cNvPr>
        <xdr:cNvSpPr/>
      </xdr:nvSpPr>
      <xdr:spPr>
        <a:xfrm>
          <a:off x="13398500" y="4711700"/>
          <a:ext cx="438150" cy="66103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609600</xdr:colOff>
      <xdr:row>16</xdr:row>
      <xdr:rowOff>63500</xdr:rowOff>
    </xdr:from>
    <xdr:to>
      <xdr:col>23</xdr:col>
      <xdr:colOff>273050</xdr:colOff>
      <xdr:row>20</xdr:row>
      <xdr:rowOff>114300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C864129B-E8D5-FC6E-596D-99E6D3439811}"/>
            </a:ext>
          </a:extLst>
        </xdr:cNvPr>
        <xdr:cNvSpPr/>
      </xdr:nvSpPr>
      <xdr:spPr>
        <a:xfrm>
          <a:off x="13754100" y="3721100"/>
          <a:ext cx="1635125" cy="965200"/>
        </a:xfrm>
        <a:prstGeom prst="wedgeRectCallout">
          <a:avLst>
            <a:gd name="adj1" fmla="val -48505"/>
            <a:gd name="adj2" fmla="val 7141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「日計増減率」項目を追加する。</a:t>
          </a:r>
        </a:p>
      </xdr:txBody>
    </xdr:sp>
    <xdr:clientData/>
  </xdr:twoCellAnchor>
  <xdr:twoCellAnchor>
    <xdr:from>
      <xdr:col>20</xdr:col>
      <xdr:colOff>209550</xdr:colOff>
      <xdr:row>7</xdr:row>
      <xdr:rowOff>25400</xdr:rowOff>
    </xdr:from>
    <xdr:to>
      <xdr:col>21</xdr:col>
      <xdr:colOff>47625</xdr:colOff>
      <xdr:row>15</xdr:row>
      <xdr:rowOff>19050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5822DAD-FE26-4C7F-930A-A5AFAE84267E}"/>
            </a:ext>
          </a:extLst>
        </xdr:cNvPr>
        <xdr:cNvSpPr/>
      </xdr:nvSpPr>
      <xdr:spPr>
        <a:xfrm>
          <a:off x="13354050" y="1625600"/>
          <a:ext cx="495300" cy="18224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240747</xdr:colOff>
      <xdr:row>51</xdr:row>
      <xdr:rowOff>9111</xdr:rowOff>
    </xdr:from>
    <xdr:to>
      <xdr:col>20</xdr:col>
      <xdr:colOff>564597</xdr:colOff>
      <xdr:row>55</xdr:row>
      <xdr:rowOff>69436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EE3C2ED7-370A-44C8-8DC0-FB8D6381E5C6}"/>
            </a:ext>
          </a:extLst>
        </xdr:cNvPr>
        <xdr:cNvSpPr/>
      </xdr:nvSpPr>
      <xdr:spPr>
        <a:xfrm>
          <a:off x="12018617" y="11836676"/>
          <a:ext cx="1632502" cy="987977"/>
        </a:xfrm>
        <a:prstGeom prst="wedgeRectCallout">
          <a:avLst>
            <a:gd name="adj1" fmla="val 35048"/>
            <a:gd name="adj2" fmla="val -8835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月末計算は、月末の明細値を表示する。</a:t>
          </a:r>
        </a:p>
      </xdr:txBody>
    </xdr:sp>
    <xdr:clientData/>
  </xdr:twoCellAnchor>
  <xdr:twoCellAnchor>
    <xdr:from>
      <xdr:col>14</xdr:col>
      <xdr:colOff>158750</xdr:colOff>
      <xdr:row>25</xdr:row>
      <xdr:rowOff>15875</xdr:rowOff>
    </xdr:from>
    <xdr:to>
      <xdr:col>16</xdr:col>
      <xdr:colOff>485775</xdr:colOff>
      <xdr:row>29</xdr:row>
      <xdr:rowOff>200025</xdr:rowOff>
    </xdr:to>
    <xdr:sp macro="" textlink="">
      <xdr:nvSpPr>
        <xdr:cNvPr id="26" name="吹き出し: 四角形 25">
          <a:extLst>
            <a:ext uri="{FF2B5EF4-FFF2-40B4-BE49-F238E27FC236}">
              <a16:creationId xmlns:a16="http://schemas.microsoft.com/office/drawing/2014/main" id="{490E6195-A645-4374-9109-2F72A33CA7B4}"/>
            </a:ext>
          </a:extLst>
        </xdr:cNvPr>
        <xdr:cNvSpPr/>
      </xdr:nvSpPr>
      <xdr:spPr>
        <a:xfrm>
          <a:off x="9359900" y="5730875"/>
          <a:ext cx="1641475" cy="1098550"/>
        </a:xfrm>
        <a:prstGeom prst="wedgeRectCallout">
          <a:avLst>
            <a:gd name="adj1" fmla="val -65981"/>
            <a:gd name="adj2" fmla="val 37858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すでに帳票幅一杯まで明細表示に使用しているため、各項目の幅を調整する</a:t>
          </a:r>
          <a:r>
            <a:rPr kumimoji="1" lang="en-US" altLang="ja-JP" sz="1100">
              <a:solidFill>
                <a:srgbClr val="FF0000"/>
              </a:solidFill>
            </a:rPr>
            <a:t>(</a:t>
          </a:r>
          <a:r>
            <a:rPr kumimoji="1" lang="ja-JP" altLang="en-US" sz="1100">
              <a:solidFill>
                <a:srgbClr val="FF0000"/>
              </a:solidFill>
            </a:rPr>
            <a:t>縮める</a:t>
          </a:r>
          <a:r>
            <a:rPr kumimoji="1" lang="en-US" altLang="ja-JP" sz="1100">
              <a:solidFill>
                <a:srgbClr val="FF0000"/>
              </a:solidFill>
            </a:rPr>
            <a:t>)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11</xdr:col>
      <xdr:colOff>0</xdr:colOff>
      <xdr:row>15</xdr:row>
      <xdr:rowOff>46711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F9886652-03BB-7F30-1666-33575DD49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225" y="685800"/>
          <a:ext cx="6572250" cy="2789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9</xdr:col>
      <xdr:colOff>496103</xdr:colOff>
      <xdr:row>51</xdr:row>
      <xdr:rowOff>153538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8FB068A6-48AF-F7EA-3C09-95090B753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225" y="3657600"/>
          <a:ext cx="5753903" cy="81545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stemexe2021-my.sharepoint.com/personal/yuta_masui_system-exe_jp/Documents/Microsoft%20Teams%20&#12481;&#12515;&#12483;&#12488;%20&#12501;&#12449;&#12452;&#12523;/&#12304;&#27010;&#31639;&#35211;&#31309;&#12305;&#12300;&#22312;&#24235;&#22679;&#28187;&#30906;&#35469;&#12301;&#12398;&#23455;&#26045;&#29366;&#27841;&#30906;&#35469;&#20966;&#29702;&#36861;&#21152;&#23550;&#24540;.xlsx" TargetMode="External"/><Relationship Id="rId1" Type="http://schemas.openxmlformats.org/officeDocument/2006/relationships/externalLinkPath" Target="&#12304;&#27010;&#31639;&#35211;&#31309;&#12305;&#12300;&#22312;&#24235;&#22679;&#28187;&#30906;&#35469;&#12301;&#12398;&#23455;&#26045;&#29366;&#27841;&#30906;&#35469;&#20966;&#29702;&#36861;&#21152;&#23550;&#24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.394_工数見積もり"/>
      <sheetName val="マスタ"/>
      <sheetName val="作業工数"/>
      <sheetName val="Excelマクロツールの改修内容"/>
      <sheetName val="sql"/>
      <sheetName val="No.394_工数見積もり_old"/>
      <sheetName val="作業工数_old"/>
    </sheetNames>
    <sheetDataSet>
      <sheetData sheetId="0"/>
      <sheetData sheetId="1">
        <row r="3">
          <cell r="C3">
            <v>1200000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15"/>
  <sheetViews>
    <sheetView workbookViewId="0">
      <pane ySplit="1" topLeftCell="A2" activePane="bottomLeft" state="frozen"/>
      <selection pane="bottomLeft" activeCell="C13" sqref="C13"/>
    </sheetView>
  </sheetViews>
  <sheetFormatPr defaultRowHeight="17.649999999999999"/>
  <sheetData>
    <row r="1" spans="1:3" ht="22.9">
      <c r="A1" s="2" t="s">
        <v>0</v>
      </c>
    </row>
    <row r="2" spans="1:3">
      <c r="A2" s="1" t="s">
        <v>1</v>
      </c>
    </row>
    <row r="3" spans="1:3">
      <c r="B3" t="s">
        <v>2</v>
      </c>
    </row>
    <row r="4" spans="1:3">
      <c r="B4" t="s">
        <v>3</v>
      </c>
    </row>
    <row r="7" spans="1:3">
      <c r="A7" s="1" t="s">
        <v>4</v>
      </c>
    </row>
    <row r="8" spans="1:3">
      <c r="B8" t="s">
        <v>5</v>
      </c>
    </row>
    <row r="11" spans="1:3">
      <c r="A11" s="1" t="s">
        <v>6</v>
      </c>
    </row>
    <row r="12" spans="1:3" ht="18" thickBot="1">
      <c r="B12" s="9">
        <f>作業工数!G20</f>
        <v>8.4</v>
      </c>
      <c r="C12" s="9" t="s">
        <v>7</v>
      </c>
    </row>
    <row r="13" spans="1:3" ht="18" thickTop="1"/>
    <row r="14" spans="1:3">
      <c r="B14" t="s">
        <v>8</v>
      </c>
    </row>
    <row r="15" spans="1:3">
      <c r="C15" s="8" t="s">
        <v>9</v>
      </c>
    </row>
  </sheetData>
  <phoneticPr fontId="3"/>
  <hyperlinks>
    <hyperlink ref="C15" location="作業工数!A1" display="作業工数" xr:uid="{89BFE9D2-7AEA-49A7-A716-CA32D4AA5B50}"/>
  </hyperlink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2AF1-38A7-419F-92DB-5847C724E7C9}">
  <sheetPr codeName="Sheet1"/>
  <dimension ref="A1:K20"/>
  <sheetViews>
    <sheetView tabSelected="1" topLeftCell="A9" zoomScale="85" zoomScaleNormal="85" workbookViewId="0">
      <selection activeCell="H28" sqref="H28"/>
    </sheetView>
  </sheetViews>
  <sheetFormatPr defaultRowHeight="17.649999999999999"/>
  <cols>
    <col min="2" max="3" width="9" customWidth="1"/>
    <col min="4" max="4" width="31.25" bestFit="1" customWidth="1"/>
    <col min="5" max="8" width="6.75" customWidth="1"/>
    <col min="9" max="9" width="9.875" bestFit="1" customWidth="1"/>
    <col min="10" max="10" width="119.25" bestFit="1" customWidth="1"/>
  </cols>
  <sheetData>
    <row r="1" spans="1:11" ht="22.9">
      <c r="A1" s="2" t="s">
        <v>9</v>
      </c>
    </row>
    <row r="3" spans="1:11">
      <c r="A3" s="1" t="s">
        <v>10</v>
      </c>
    </row>
    <row r="4" spans="1:11">
      <c r="B4" t="s">
        <v>11</v>
      </c>
    </row>
    <row r="5" spans="1:11">
      <c r="B5" t="s">
        <v>12</v>
      </c>
    </row>
    <row r="6" spans="1:11">
      <c r="B6" t="s">
        <v>13</v>
      </c>
    </row>
    <row r="8" spans="1:11">
      <c r="A8" s="1" t="s">
        <v>14</v>
      </c>
    </row>
    <row r="9" spans="1:11" ht="35.25">
      <c r="B9" s="10" t="s">
        <v>15</v>
      </c>
      <c r="C9" s="10"/>
      <c r="D9" s="10"/>
      <c r="E9" s="11" t="s">
        <v>16</v>
      </c>
      <c r="F9" s="10"/>
      <c r="G9" s="11" t="s">
        <v>17</v>
      </c>
      <c r="H9" s="11" t="s">
        <v>18</v>
      </c>
      <c r="I9" s="14" t="s">
        <v>19</v>
      </c>
      <c r="J9" s="10" t="s">
        <v>20</v>
      </c>
    </row>
    <row r="10" spans="1:11">
      <c r="B10" s="1" t="s">
        <v>21</v>
      </c>
      <c r="E10" s="5">
        <f>SUM(F11:F11)</f>
        <v>12</v>
      </c>
      <c r="G10">
        <f>E10/8</f>
        <v>1.5</v>
      </c>
      <c r="H10">
        <f>G10/20</f>
        <v>7.4999999999999997E-2</v>
      </c>
      <c r="I10" s="15">
        <f>マスタ!$C$4*H10</f>
        <v>75000</v>
      </c>
    </row>
    <row r="11" spans="1:11" ht="52.9">
      <c r="B11" s="1"/>
      <c r="C11" t="s">
        <v>22</v>
      </c>
      <c r="E11" s="6"/>
      <c r="F11">
        <v>12</v>
      </c>
      <c r="J11" s="13" t="s">
        <v>23</v>
      </c>
    </row>
    <row r="12" spans="1:11">
      <c r="B12" s="1" t="s">
        <v>24</v>
      </c>
      <c r="E12" s="5">
        <f>SUM(F13:F14)</f>
        <v>24</v>
      </c>
      <c r="G12">
        <f>E12/8</f>
        <v>3</v>
      </c>
      <c r="H12">
        <f>G12/20</f>
        <v>0.15</v>
      </c>
      <c r="I12" s="15">
        <f>マスタ!$C$4*H12</f>
        <v>150000</v>
      </c>
    </row>
    <row r="13" spans="1:11" ht="35.25">
      <c r="B13" s="1"/>
      <c r="C13" t="s">
        <v>25</v>
      </c>
      <c r="E13" s="6"/>
      <c r="F13">
        <v>8</v>
      </c>
      <c r="J13" s="13" t="s">
        <v>26</v>
      </c>
    </row>
    <row r="14" spans="1:11">
      <c r="B14" s="1"/>
      <c r="C14" t="s">
        <v>27</v>
      </c>
      <c r="E14" s="6"/>
      <c r="F14">
        <v>16</v>
      </c>
      <c r="J14" t="s">
        <v>28</v>
      </c>
      <c r="K14" s="8" t="s">
        <v>29</v>
      </c>
    </row>
    <row r="15" spans="1:11">
      <c r="B15" s="1" t="s">
        <v>30</v>
      </c>
      <c r="E15" s="5">
        <f>SUM(F16:F17)</f>
        <v>20</v>
      </c>
      <c r="G15">
        <f>E15/8</f>
        <v>2.5</v>
      </c>
      <c r="H15">
        <f>G15/20</f>
        <v>0.125</v>
      </c>
      <c r="I15" s="15">
        <f>マスタ!$C$4*H15</f>
        <v>125000</v>
      </c>
      <c r="J15" t="s">
        <v>31</v>
      </c>
    </row>
    <row r="16" spans="1:11" ht="35.25">
      <c r="B16" s="1"/>
      <c r="C16" t="s">
        <v>32</v>
      </c>
      <c r="E16" s="6"/>
      <c r="F16">
        <v>12</v>
      </c>
      <c r="J16" s="13" t="s">
        <v>33</v>
      </c>
    </row>
    <row r="17" spans="2:10">
      <c r="B17" s="1"/>
      <c r="C17" t="s">
        <v>34</v>
      </c>
      <c r="E17" s="6"/>
      <c r="F17" s="12">
        <v>8</v>
      </c>
      <c r="G17" s="12"/>
      <c r="H17" s="12"/>
      <c r="I17" s="12"/>
    </row>
    <row r="18" spans="2:10">
      <c r="B18" s="1" t="s">
        <v>35</v>
      </c>
      <c r="E18" s="5">
        <f>SUM(F19)</f>
        <v>11.200000000000001</v>
      </c>
      <c r="G18">
        <f>E18/8</f>
        <v>1.4000000000000001</v>
      </c>
      <c r="H18" s="19">
        <f>G18/20</f>
        <v>7.0000000000000007E-2</v>
      </c>
      <c r="I18" s="20">
        <f>マスタ!$C$3*H18</f>
        <v>98000.000000000015</v>
      </c>
      <c r="J18" s="17">
        <f>[1]マスタ!$C$3*I18</f>
        <v>117600000000.00002</v>
      </c>
    </row>
    <row r="19" spans="2:10" ht="18" thickBot="1">
      <c r="B19" s="1"/>
      <c r="C19" t="s">
        <v>36</v>
      </c>
      <c r="E19" s="6"/>
      <c r="F19">
        <f>SUM(F11:F17)*0.2</f>
        <v>11.200000000000001</v>
      </c>
      <c r="H19" s="19"/>
      <c r="I19" s="19"/>
      <c r="J19" s="17"/>
    </row>
    <row r="20" spans="2:10" ht="18" thickTop="1">
      <c r="B20" s="3" t="s">
        <v>37</v>
      </c>
      <c r="C20" s="4"/>
      <c r="D20" s="4"/>
      <c r="E20" s="7">
        <f>SUM(E10:E17)</f>
        <v>56</v>
      </c>
      <c r="F20" s="4"/>
      <c r="G20" s="4">
        <f>SUM(G10:G18)</f>
        <v>8.4</v>
      </c>
      <c r="H20" s="4">
        <f>SUM(H10:H19)</f>
        <v>0.42</v>
      </c>
      <c r="I20" s="16">
        <f>SUM(I10:I19)</f>
        <v>448000</v>
      </c>
      <c r="J20" s="4"/>
    </row>
  </sheetData>
  <phoneticPr fontId="3"/>
  <hyperlinks>
    <hyperlink ref="K14" location="帳票の改修内容!A1" display="帳票の改修内容" xr:uid="{AEFF778B-2B84-414B-9A23-63D56D400B3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A95C-573E-4A1E-BCE5-28A2A4378FAD}">
  <dimension ref="A1:K18"/>
  <sheetViews>
    <sheetView workbookViewId="0"/>
  </sheetViews>
  <sheetFormatPr defaultRowHeight="17.649999999999999"/>
  <cols>
    <col min="2" max="3" width="9" customWidth="1"/>
    <col min="4" max="4" width="31.25" bestFit="1" customWidth="1"/>
    <col min="5" max="8" width="6.75" customWidth="1"/>
    <col min="9" max="9" width="9.625" bestFit="1" customWidth="1"/>
    <col min="10" max="10" width="119.25" bestFit="1" customWidth="1"/>
  </cols>
  <sheetData>
    <row r="1" spans="1:11" ht="22.9">
      <c r="A1" s="2" t="s">
        <v>9</v>
      </c>
    </row>
    <row r="3" spans="1:11">
      <c r="A3" s="1" t="s">
        <v>10</v>
      </c>
    </row>
    <row r="4" spans="1:11">
      <c r="B4" t="s">
        <v>11</v>
      </c>
    </row>
    <row r="5" spans="1:11">
      <c r="B5" t="s">
        <v>38</v>
      </c>
    </row>
    <row r="6" spans="1:11">
      <c r="B6" t="s">
        <v>13</v>
      </c>
    </row>
    <row r="8" spans="1:11">
      <c r="A8" s="1" t="s">
        <v>14</v>
      </c>
    </row>
    <row r="9" spans="1:11" ht="35.25">
      <c r="B9" s="10" t="s">
        <v>15</v>
      </c>
      <c r="C9" s="10"/>
      <c r="D9" s="10"/>
      <c r="E9" s="11" t="s">
        <v>16</v>
      </c>
      <c r="F9" s="10"/>
      <c r="G9" s="11" t="s">
        <v>17</v>
      </c>
      <c r="H9" s="11" t="s">
        <v>18</v>
      </c>
      <c r="I9" s="14" t="s">
        <v>19</v>
      </c>
      <c r="J9" s="10" t="s">
        <v>20</v>
      </c>
    </row>
    <row r="10" spans="1:11">
      <c r="B10" s="1" t="s">
        <v>21</v>
      </c>
      <c r="E10" s="5">
        <f>SUM(F11:F11)</f>
        <v>4</v>
      </c>
      <c r="G10">
        <f>E10/8</f>
        <v>0.5</v>
      </c>
      <c r="H10">
        <f>G10/20</f>
        <v>2.5000000000000001E-2</v>
      </c>
      <c r="I10" s="15">
        <f>マスタ!$C$4*H10</f>
        <v>25000</v>
      </c>
    </row>
    <row r="11" spans="1:11" ht="52.9">
      <c r="B11" s="1"/>
      <c r="C11" t="s">
        <v>22</v>
      </c>
      <c r="E11" s="6"/>
      <c r="F11">
        <v>4</v>
      </c>
      <c r="J11" s="13" t="s">
        <v>23</v>
      </c>
    </row>
    <row r="12" spans="1:11">
      <c r="B12" s="1" t="s">
        <v>39</v>
      </c>
      <c r="E12" s="5">
        <f>SUM(F13:F14)</f>
        <v>14</v>
      </c>
      <c r="G12">
        <f>E12/8</f>
        <v>1.75</v>
      </c>
      <c r="H12">
        <f>G12/20</f>
        <v>8.7499999999999994E-2</v>
      </c>
      <c r="I12" s="15">
        <f>マスタ!$C$4*H12</f>
        <v>87500</v>
      </c>
    </row>
    <row r="13" spans="1:11" ht="35.25">
      <c r="B13" s="1"/>
      <c r="C13" t="s">
        <v>25</v>
      </c>
      <c r="E13" s="6"/>
      <c r="F13">
        <v>6</v>
      </c>
      <c r="J13" s="13" t="s">
        <v>26</v>
      </c>
    </row>
    <row r="14" spans="1:11">
      <c r="B14" s="1"/>
      <c r="C14" t="s">
        <v>27</v>
      </c>
      <c r="E14" s="6"/>
      <c r="F14">
        <v>8</v>
      </c>
      <c r="J14" t="s">
        <v>28</v>
      </c>
      <c r="K14" s="8" t="s">
        <v>29</v>
      </c>
    </row>
    <row r="15" spans="1:11">
      <c r="B15" s="1" t="s">
        <v>30</v>
      </c>
      <c r="E15" s="5">
        <f>SUM(F16:F17)</f>
        <v>12</v>
      </c>
      <c r="G15">
        <f>E15/8</f>
        <v>1.5</v>
      </c>
      <c r="H15">
        <f>G15/20</f>
        <v>7.4999999999999997E-2</v>
      </c>
      <c r="I15" s="15">
        <f>マスタ!$C$4*H15</f>
        <v>75000</v>
      </c>
      <c r="J15" t="s">
        <v>31</v>
      </c>
    </row>
    <row r="16" spans="1:11" ht="35.25">
      <c r="B16" s="1"/>
      <c r="C16" t="s">
        <v>32</v>
      </c>
      <c r="E16" s="6"/>
      <c r="F16">
        <v>8</v>
      </c>
      <c r="J16" s="13" t="s">
        <v>33</v>
      </c>
    </row>
    <row r="17" spans="2:10" ht="18" thickBot="1">
      <c r="B17" s="1"/>
      <c r="C17" t="s">
        <v>34</v>
      </c>
      <c r="E17" s="6"/>
      <c r="F17" s="12">
        <v>4</v>
      </c>
      <c r="G17" s="12"/>
      <c r="H17" s="12"/>
      <c r="I17" s="12"/>
    </row>
    <row r="18" spans="2:10" ht="18" thickTop="1">
      <c r="B18" s="3" t="s">
        <v>37</v>
      </c>
      <c r="C18" s="4"/>
      <c r="D18" s="4"/>
      <c r="E18" s="7">
        <f>SUM(E10:E17)</f>
        <v>30</v>
      </c>
      <c r="F18" s="4"/>
      <c r="G18" s="4">
        <f>SUM(G10:G17)</f>
        <v>3.75</v>
      </c>
      <c r="H18" s="4">
        <f>SUM(H10:H17)</f>
        <v>0.1875</v>
      </c>
      <c r="I18" s="16">
        <f>SUM(I10:I17)</f>
        <v>187500</v>
      </c>
      <c r="J18" s="4"/>
    </row>
  </sheetData>
  <phoneticPr fontId="3"/>
  <hyperlinks>
    <hyperlink ref="K14" location="帳票の改修内容!A1" display="帳票の改修内容" xr:uid="{176B5F25-9E7A-4CEB-9AD7-CBB2B6433DD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DBBD-9A70-49DC-BAA4-9BFCC7009A07}">
  <sheetPr codeName="Sheet5"/>
  <dimension ref="A2:M3"/>
  <sheetViews>
    <sheetView zoomScale="115" zoomScaleNormal="115" workbookViewId="0"/>
  </sheetViews>
  <sheetFormatPr defaultRowHeight="17.649999999999999"/>
  <sheetData>
    <row r="2" spans="1:13">
      <c r="A2" s="1" t="s">
        <v>40</v>
      </c>
    </row>
    <row r="3" spans="1:13">
      <c r="B3" t="s">
        <v>41</v>
      </c>
      <c r="M3" t="s">
        <v>42</v>
      </c>
    </row>
  </sheetData>
  <phoneticPr fontId="3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D080-BC02-435E-9A9A-8E8C4CD5FB3D}">
  <dimension ref="A2:C4"/>
  <sheetViews>
    <sheetView workbookViewId="0">
      <selection activeCell="C3" sqref="C3"/>
    </sheetView>
  </sheetViews>
  <sheetFormatPr defaultRowHeight="17.649999999999999"/>
  <sheetData>
    <row r="2" spans="1:3">
      <c r="A2" t="s">
        <v>43</v>
      </c>
    </row>
    <row r="3" spans="1:3">
      <c r="B3" t="s">
        <v>44</v>
      </c>
      <c r="C3" s="18">
        <v>1400000</v>
      </c>
    </row>
    <row r="4" spans="1:3">
      <c r="B4" t="s">
        <v>45</v>
      </c>
      <c r="C4" s="18">
        <v>1000000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3F5C78-0072-4DB2-A37D-FA3FCD38CCCC}">
  <ds:schemaRefs>
    <ds:schemaRef ds:uri="2fd442da-66a9-4fa6-ba31-eb0d54ad1381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4204DA0-9D37-4F5A-AC3B-4F2F084B1B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0111A7-514E-4884-88A0-152799FECE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No.406_工数見積もり</vt:lpstr>
      <vt:lpstr>作業工数</vt:lpstr>
      <vt:lpstr>作業工数_old</vt:lpstr>
      <vt:lpstr>帳票の改修内容</vt:lpstr>
      <vt:lpstr>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髙浦祐朗</cp:lastModifiedBy>
  <cp:revision/>
  <dcterms:created xsi:type="dcterms:W3CDTF">2015-06-05T18:19:34Z</dcterms:created>
  <dcterms:modified xsi:type="dcterms:W3CDTF">2025-07-28T14:02:06Z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