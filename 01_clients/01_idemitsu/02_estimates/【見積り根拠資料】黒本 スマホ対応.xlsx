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0" documentId="13_ncr:1_{83B9E938-C4BA-46A8-9455-32DB3C12B399}" xr6:coauthVersionLast="47" xr6:coauthVersionMax="47" xr10:uidLastSave="{00000000-0000-0000-0000-000000000000}"/>
  <bookViews>
    <workbookView xWindow="-108" yWindow="-108" windowWidth="23256" windowHeight="12576" activeTab="1" xr2:uid="{00000000-000D-0000-FFFF-FFFF00000000}"/>
  </bookViews>
  <sheets>
    <sheet name="御見積について" sheetId="13" r:id="rId1"/>
    <sheet name="工数見積" sheetId="8" r:id="rId2"/>
    <sheet name="体制見積" sheetId="10" r:id="rId3"/>
    <sheet name="工数マスタ" sheetId="9" r:id="rId4"/>
    <sheet name="単価" sheetId="11" r:id="rId5"/>
  </sheets>
  <definedNames>
    <definedName name="_xlnm._FilterDatabase" localSheetId="1" hidden="1">工数見積!$B$7:$D$41</definedName>
    <definedName name="A">工数見積!$B:$B</definedName>
    <definedName name="_xlnm.Print_Area" localSheetId="1">工数見積!$A$1:$M$51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 i="8" l="1"/>
  <c r="K41" i="8"/>
  <c r="H16" i="10"/>
  <c r="H15" i="10"/>
  <c r="G23" i="10"/>
  <c r="G17" i="10"/>
  <c r="G16" i="10"/>
  <c r="G15" i="10"/>
  <c r="F17" i="10"/>
  <c r="F16" i="10"/>
  <c r="F15" i="10"/>
  <c r="E23" i="10"/>
  <c r="E16" i="10"/>
  <c r="E15" i="10"/>
  <c r="C16" i="10"/>
  <c r="C15" i="10"/>
  <c r="C23" i="10" s="1"/>
  <c r="J23" i="10" s="1"/>
  <c r="J43" i="8"/>
  <c r="I43" i="8"/>
  <c r="H43" i="8"/>
  <c r="G43" i="8"/>
  <c r="E43" i="8"/>
  <c r="G13" i="10"/>
  <c r="F13" i="10"/>
  <c r="E13" i="10"/>
  <c r="C13" i="10"/>
  <c r="H4" i="10"/>
  <c r="G4" i="10"/>
  <c r="F4" i="10"/>
  <c r="J42" i="8"/>
  <c r="I42" i="8"/>
  <c r="H42" i="8"/>
  <c r="G42" i="8"/>
  <c r="E42" i="8"/>
  <c r="M39" i="8"/>
  <c r="M38" i="8"/>
  <c r="M37" i="8"/>
  <c r="M36" i="8"/>
  <c r="M35" i="8"/>
  <c r="M34" i="8"/>
  <c r="M33" i="8"/>
  <c r="M32" i="8"/>
  <c r="M31" i="8"/>
  <c r="M30" i="8"/>
  <c r="M29" i="8"/>
  <c r="M28" i="8"/>
  <c r="M27" i="8"/>
  <c r="M26" i="8"/>
  <c r="M25" i="8"/>
  <c r="M24" i="8"/>
  <c r="M23" i="8"/>
  <c r="M22" i="8"/>
  <c r="M21" i="8"/>
  <c r="M20" i="8"/>
  <c r="M19" i="8"/>
  <c r="M18" i="8"/>
  <c r="M17" i="8"/>
  <c r="M16" i="8"/>
  <c r="M15" i="8"/>
  <c r="M14" i="8"/>
  <c r="M13" i="8"/>
  <c r="M12" i="8"/>
  <c r="M11" i="8"/>
  <c r="M10" i="8"/>
  <c r="M9" i="8"/>
  <c r="M8" i="8"/>
  <c r="M7" i="8"/>
  <c r="J41" i="8"/>
  <c r="I41" i="8"/>
  <c r="H41" i="8"/>
  <c r="G41" i="8"/>
  <c r="F41" i="8"/>
  <c r="F42" i="8" s="1"/>
  <c r="F43" i="8" s="1"/>
  <c r="E41" i="8"/>
  <c r="L39" i="8"/>
  <c r="K39" i="8"/>
  <c r="J6" i="10"/>
  <c r="J5" i="10"/>
  <c r="H13" i="10"/>
  <c r="E9" i="9"/>
  <c r="F9" i="9"/>
  <c r="D7" i="8" a="1"/>
  <c r="D7" i="8" s="1"/>
  <c r="D39" i="8" a="1"/>
  <c r="D39" i="8" s="1"/>
  <c r="D38" i="8" a="1"/>
  <c r="D38" i="8" s="1"/>
  <c r="D37" i="8" a="1"/>
  <c r="D37" i="8" s="1"/>
  <c r="D36" i="8" a="1"/>
  <c r="D36" i="8" s="1"/>
  <c r="D35" i="8" a="1"/>
  <c r="D35" i="8" s="1"/>
  <c r="D34" i="8" a="1"/>
  <c r="D34" i="8" s="1"/>
  <c r="D33" i="8" a="1"/>
  <c r="D33" i="8" s="1"/>
  <c r="D32" i="8" a="1"/>
  <c r="D32" i="8" s="1"/>
  <c r="D31" i="8" a="1"/>
  <c r="D31" i="8" s="1"/>
  <c r="D30" i="8" a="1"/>
  <c r="D30" i="8" s="1"/>
  <c r="D29" i="8" a="1"/>
  <c r="D29" i="8" s="1"/>
  <c r="D28" i="8" a="1"/>
  <c r="D28" i="8" s="1"/>
  <c r="D27" i="8" a="1"/>
  <c r="D27" i="8" s="1"/>
  <c r="D26" i="8" a="1"/>
  <c r="D26" i="8" s="1"/>
  <c r="D25" i="8" a="1"/>
  <c r="D25" i="8" s="1"/>
  <c r="D24" i="8" a="1"/>
  <c r="D24" i="8" s="1"/>
  <c r="D23" i="8" a="1"/>
  <c r="D23" i="8" s="1"/>
  <c r="D22" i="8" a="1"/>
  <c r="D22" i="8" s="1"/>
  <c r="D21" i="8" a="1"/>
  <c r="D21" i="8" s="1"/>
  <c r="D20" i="8" a="1"/>
  <c r="D20" i="8" s="1"/>
  <c r="D19" i="8" a="1"/>
  <c r="D19" i="8" s="1"/>
  <c r="D18" i="8" a="1"/>
  <c r="D18" i="8" s="1"/>
  <c r="D17" i="8" a="1"/>
  <c r="D17" i="8" s="1"/>
  <c r="D16" i="8" a="1"/>
  <c r="D16" i="8" s="1"/>
  <c r="D15" i="8" a="1"/>
  <c r="D15" i="8" s="1"/>
  <c r="D14" i="8" a="1"/>
  <c r="D14" i="8" s="1"/>
  <c r="D13" i="8" a="1"/>
  <c r="D13" i="8" s="1"/>
  <c r="D12" i="8" a="1"/>
  <c r="D12" i="8" s="1"/>
  <c r="D11" i="8" a="1"/>
  <c r="D11" i="8" s="1"/>
  <c r="D10" i="8" a="1"/>
  <c r="D10" i="8" s="1"/>
  <c r="D9" i="8" a="1"/>
  <c r="D9" i="8" s="1"/>
  <c r="D8" i="8" a="1"/>
  <c r="D8" i="8" s="1"/>
  <c r="F23" i="10" l="1"/>
  <c r="K42" i="8"/>
  <c r="K43" i="8" s="1"/>
  <c r="L43" i="8" s="1"/>
  <c r="L41" i="8"/>
  <c r="L40" i="8"/>
  <c r="M40" i="8" s="1"/>
  <c r="I4" i="10" s="1"/>
  <c r="J4" i="10" s="1"/>
  <c r="H24" i="8"/>
  <c r="G24" i="8"/>
  <c r="I24" i="8"/>
  <c r="E24" i="8"/>
  <c r="J24" i="8"/>
  <c r="F24" i="8"/>
  <c r="H36" i="8"/>
  <c r="G36" i="8"/>
  <c r="I36" i="8"/>
  <c r="E36" i="8"/>
  <c r="J36" i="8"/>
  <c r="F36" i="8"/>
  <c r="I9" i="8"/>
  <c r="E9" i="8"/>
  <c r="J9" i="8"/>
  <c r="F9" i="8"/>
  <c r="H9" i="8"/>
  <c r="G9" i="8"/>
  <c r="I13" i="8"/>
  <c r="E13" i="8"/>
  <c r="J13" i="8"/>
  <c r="F13" i="8"/>
  <c r="H13" i="8"/>
  <c r="G13" i="8"/>
  <c r="I17" i="8"/>
  <c r="E17" i="8"/>
  <c r="J17" i="8"/>
  <c r="F17" i="8"/>
  <c r="H17" i="8"/>
  <c r="G17" i="8"/>
  <c r="I21" i="8"/>
  <c r="E21" i="8"/>
  <c r="J21" i="8"/>
  <c r="F21" i="8"/>
  <c r="H21" i="8"/>
  <c r="G21" i="8"/>
  <c r="I25" i="8"/>
  <c r="E25" i="8"/>
  <c r="H25" i="8"/>
  <c r="J25" i="8"/>
  <c r="F25" i="8"/>
  <c r="G25" i="8"/>
  <c r="I29" i="8"/>
  <c r="E29" i="8"/>
  <c r="H29" i="8"/>
  <c r="J29" i="8"/>
  <c r="F29" i="8"/>
  <c r="G29" i="8"/>
  <c r="I33" i="8"/>
  <c r="E33" i="8"/>
  <c r="H33" i="8"/>
  <c r="J33" i="8"/>
  <c r="F33" i="8"/>
  <c r="G33" i="8"/>
  <c r="I37" i="8"/>
  <c r="E37" i="8"/>
  <c r="H37" i="8"/>
  <c r="J37" i="8"/>
  <c r="F37" i="8"/>
  <c r="G37" i="8"/>
  <c r="H8" i="8"/>
  <c r="I8" i="8"/>
  <c r="E8" i="8"/>
  <c r="G8" i="8"/>
  <c r="J8" i="8"/>
  <c r="F8" i="8"/>
  <c r="H16" i="8"/>
  <c r="I16" i="8"/>
  <c r="E16" i="8"/>
  <c r="G16" i="8"/>
  <c r="J16" i="8"/>
  <c r="F16" i="8"/>
  <c r="H32" i="8"/>
  <c r="G32" i="8"/>
  <c r="I32" i="8"/>
  <c r="E32" i="8"/>
  <c r="F32" i="8"/>
  <c r="J32" i="8"/>
  <c r="J10" i="8"/>
  <c r="F10" i="8"/>
  <c r="G10" i="8"/>
  <c r="I10" i="8"/>
  <c r="E10" i="8"/>
  <c r="H10" i="8"/>
  <c r="J14" i="8"/>
  <c r="F14" i="8"/>
  <c r="G14" i="8"/>
  <c r="I14" i="8"/>
  <c r="E14" i="8"/>
  <c r="H14" i="8"/>
  <c r="J18" i="8"/>
  <c r="F18" i="8"/>
  <c r="G18" i="8"/>
  <c r="I18" i="8"/>
  <c r="E18" i="8"/>
  <c r="H18" i="8"/>
  <c r="J22" i="8"/>
  <c r="F22" i="8"/>
  <c r="G22" i="8"/>
  <c r="I22" i="8"/>
  <c r="E22" i="8"/>
  <c r="H22" i="8"/>
  <c r="J26" i="8"/>
  <c r="F26" i="8"/>
  <c r="I26" i="8"/>
  <c r="E26" i="8"/>
  <c r="G26" i="8"/>
  <c r="H26" i="8"/>
  <c r="J30" i="8"/>
  <c r="F30" i="8"/>
  <c r="I30" i="8"/>
  <c r="E30" i="8"/>
  <c r="G30" i="8"/>
  <c r="H30" i="8"/>
  <c r="J34" i="8"/>
  <c r="F34" i="8"/>
  <c r="I34" i="8"/>
  <c r="E34" i="8"/>
  <c r="G34" i="8"/>
  <c r="H34" i="8"/>
  <c r="J38" i="8"/>
  <c r="F38" i="8"/>
  <c r="I38" i="8"/>
  <c r="E38" i="8"/>
  <c r="G38" i="8"/>
  <c r="H38" i="8"/>
  <c r="H12" i="8"/>
  <c r="I12" i="8"/>
  <c r="E12" i="8"/>
  <c r="G12" i="8"/>
  <c r="F12" i="8"/>
  <c r="J12" i="8"/>
  <c r="H20" i="8"/>
  <c r="I20" i="8"/>
  <c r="E20" i="8"/>
  <c r="G20" i="8"/>
  <c r="F20" i="8"/>
  <c r="J20" i="8"/>
  <c r="H28" i="8"/>
  <c r="G28" i="8"/>
  <c r="I28" i="8"/>
  <c r="E28" i="8"/>
  <c r="F28" i="8"/>
  <c r="J28" i="8"/>
  <c r="G11" i="8"/>
  <c r="H11" i="8"/>
  <c r="J11" i="8"/>
  <c r="F11" i="8"/>
  <c r="E11" i="8"/>
  <c r="I11" i="8"/>
  <c r="G15" i="8"/>
  <c r="H15" i="8"/>
  <c r="J15" i="8"/>
  <c r="F15" i="8"/>
  <c r="I15" i="8"/>
  <c r="E15" i="8"/>
  <c r="G19" i="8"/>
  <c r="H19" i="8"/>
  <c r="J19" i="8"/>
  <c r="F19" i="8"/>
  <c r="E19" i="8"/>
  <c r="I19" i="8"/>
  <c r="G23" i="8"/>
  <c r="H23" i="8"/>
  <c r="J23" i="8"/>
  <c r="F23" i="8"/>
  <c r="I23" i="8"/>
  <c r="E23" i="8"/>
  <c r="G27" i="8"/>
  <c r="J27" i="8"/>
  <c r="F27" i="8"/>
  <c r="H27" i="8"/>
  <c r="I27" i="8"/>
  <c r="E27" i="8"/>
  <c r="G31" i="8"/>
  <c r="J31" i="8"/>
  <c r="F31" i="8"/>
  <c r="H31" i="8"/>
  <c r="E31" i="8"/>
  <c r="I31" i="8"/>
  <c r="G35" i="8"/>
  <c r="J35" i="8"/>
  <c r="F35" i="8"/>
  <c r="H35" i="8"/>
  <c r="I35" i="8"/>
  <c r="E35" i="8"/>
  <c r="G39" i="8"/>
  <c r="F39" i="8"/>
  <c r="J39" i="8"/>
  <c r="I39" i="8"/>
  <c r="H39" i="8"/>
  <c r="E39" i="8"/>
  <c r="G7" i="8"/>
  <c r="H7" i="8"/>
  <c r="J7" i="8"/>
  <c r="I7" i="8"/>
  <c r="E7" i="8"/>
  <c r="F7" i="8"/>
  <c r="L42" i="8" l="1"/>
  <c r="K32" i="8"/>
  <c r="L32" i="8" s="1"/>
  <c r="K24" i="8"/>
  <c r="L24" i="8" s="1"/>
  <c r="L10" i="8"/>
  <c r="K15" i="8"/>
  <c r="L15" i="8" s="1"/>
  <c r="K38" i="8"/>
  <c r="L38" i="8" s="1"/>
  <c r="K30" i="8"/>
  <c r="L30" i="8"/>
  <c r="L28" i="8"/>
  <c r="L29" i="8"/>
  <c r="K31" i="8"/>
  <c r="L31" i="8" s="1"/>
  <c r="K20" i="8"/>
  <c r="L20" i="8" s="1"/>
  <c r="K18" i="8"/>
  <c r="L18" i="8" s="1"/>
  <c r="K10" i="8"/>
  <c r="K8" i="8"/>
  <c r="L8" i="8" s="1"/>
  <c r="K37" i="8"/>
  <c r="L37" i="8" s="1"/>
  <c r="K29" i="8"/>
  <c r="K21" i="8"/>
  <c r="L21" i="8" s="1"/>
  <c r="K13" i="8"/>
  <c r="L13" i="8" s="1"/>
  <c r="K35" i="8"/>
  <c r="L35" i="8" s="1"/>
  <c r="K27" i="8"/>
  <c r="L27" i="8" s="1"/>
  <c r="K28" i="8"/>
  <c r="K34" i="8"/>
  <c r="L34" i="8" s="1"/>
  <c r="K26" i="8"/>
  <c r="L26" i="8" s="1"/>
  <c r="K33" i="8"/>
  <c r="L33" i="8" s="1"/>
  <c r="K25" i="8"/>
  <c r="L25" i="8" s="1"/>
  <c r="K17" i="8"/>
  <c r="L17" i="8" s="1"/>
  <c r="K9" i="8"/>
  <c r="L9" i="8" s="1"/>
  <c r="K36" i="8"/>
  <c r="L36" i="8" s="1"/>
  <c r="K23" i="8"/>
  <c r="L23" i="8" s="1"/>
  <c r="K7" i="8"/>
  <c r="L7" i="8" s="1"/>
  <c r="K19" i="8"/>
  <c r="L19" i="8" s="1"/>
  <c r="K11" i="8"/>
  <c r="L11" i="8" s="1"/>
  <c r="K12" i="8"/>
  <c r="L12" i="8" s="1"/>
  <c r="K22" i="8"/>
  <c r="L22" i="8" s="1"/>
  <c r="K14" i="8"/>
  <c r="L14" i="8" s="1"/>
  <c r="K16" i="8"/>
  <c r="L16" i="8" s="1"/>
  <c r="J21" i="10"/>
  <c r="J11" i="10"/>
  <c r="J12" i="10"/>
  <c r="J10" i="10"/>
  <c r="J9" i="10"/>
  <c r="J8" i="10"/>
  <c r="J7" i="10"/>
  <c r="J7" i="9"/>
  <c r="J6" i="9"/>
  <c r="J5" i="9"/>
  <c r="J4" i="9"/>
  <c r="J3" i="9"/>
  <c r="D9" i="9"/>
  <c r="C9" i="9"/>
  <c r="B9" i="9"/>
  <c r="J15" i="10" l="1"/>
  <c r="J16" i="10"/>
  <c r="H23" i="10"/>
  <c r="J20" i="10"/>
  <c r="J13" i="10"/>
  <c r="J22" i="10"/>
  <c r="J19" i="10"/>
  <c r="J17" i="10"/>
  <c r="J18" i="10"/>
  <c r="D4" i="10" l="1"/>
  <c r="E4" i="10"/>
  <c r="C4" i="1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<sst xmlns="http://schemas.openxmlformats.org/spreadsheetml/2006/main" count="138" uniqueCount="105">
  <si>
    <t>画面名</t>
    <rPh sb="0" eb="2">
      <t>ガメン</t>
    </rPh>
    <rPh sb="2" eb="3">
      <t>メイ</t>
    </rPh>
    <phoneticPr fontId="2"/>
  </si>
  <si>
    <t>難易度</t>
    <rPh sb="0" eb="3">
      <t>ナンイド</t>
    </rPh>
    <phoneticPr fontId="2"/>
  </si>
  <si>
    <t>工程</t>
    <rPh sb="0" eb="2">
      <t>コウテイ</t>
    </rPh>
    <phoneticPr fontId="5"/>
  </si>
  <si>
    <t>合計
（人日）</t>
    <rPh sb="0" eb="2">
      <t>ゴウケイ</t>
    </rPh>
    <rPh sb="4" eb="5">
      <t>ニン</t>
    </rPh>
    <rPh sb="5" eb="6">
      <t>ニチ</t>
    </rPh>
    <phoneticPr fontId="2"/>
  </si>
  <si>
    <t>合計
（人月）</t>
    <rPh sb="0" eb="2">
      <t>ゴウケイ</t>
    </rPh>
    <rPh sb="4" eb="6">
      <t>ニンゲツ</t>
    </rPh>
    <phoneticPr fontId="2"/>
  </si>
  <si>
    <t>単体テスト</t>
    <rPh sb="0" eb="2">
      <t>タンタイ</t>
    </rPh>
    <phoneticPr fontId="2"/>
  </si>
  <si>
    <t>設計</t>
    <rPh sb="0" eb="2">
      <t>セッケイ</t>
    </rPh>
    <phoneticPr fontId="2"/>
  </si>
  <si>
    <t>結合テスト</t>
    <rPh sb="0" eb="2">
      <t>ケツゴウ</t>
    </rPh>
    <phoneticPr fontId="2"/>
  </si>
  <si>
    <t>受入テスト支援</t>
    <rPh sb="0" eb="2">
      <t>ウケイレ</t>
    </rPh>
    <rPh sb="5" eb="7">
      <t>シエン</t>
    </rPh>
    <phoneticPr fontId="2"/>
  </si>
  <si>
    <t>合計（人日）</t>
    <rPh sb="0" eb="2">
      <t>ゴウケイ</t>
    </rPh>
    <rPh sb="3" eb="4">
      <t>ニン</t>
    </rPh>
    <rPh sb="4" eb="5">
      <t>ニチ</t>
    </rPh>
    <phoneticPr fontId="2"/>
  </si>
  <si>
    <t>合計（人月）</t>
    <rPh sb="0" eb="2">
      <t>ゴウケイ</t>
    </rPh>
    <rPh sb="3" eb="5">
      <t>ニンゲツ</t>
    </rPh>
    <phoneticPr fontId="2"/>
  </si>
  <si>
    <t>特高</t>
    <rPh sb="0" eb="1">
      <t>トク</t>
    </rPh>
    <rPh sb="1" eb="2">
      <t>コウ</t>
    </rPh>
    <phoneticPr fontId="2"/>
  </si>
  <si>
    <t>高</t>
    <rPh sb="0" eb="1">
      <t>コウ</t>
    </rPh>
    <phoneticPr fontId="2"/>
  </si>
  <si>
    <t>中</t>
    <rPh sb="0" eb="1">
      <t>チュウ</t>
    </rPh>
    <phoneticPr fontId="2"/>
  </si>
  <si>
    <t>低</t>
    <rPh sb="0" eb="1">
      <t>テイ</t>
    </rPh>
    <phoneticPr fontId="2"/>
  </si>
  <si>
    <t>特低</t>
    <rPh sb="0" eb="1">
      <t>トク</t>
    </rPh>
    <rPh sb="1" eb="2">
      <t>テイ</t>
    </rPh>
    <phoneticPr fontId="2"/>
  </si>
  <si>
    <t>画面</t>
    <rPh sb="0" eb="2">
      <t>ガメン</t>
    </rPh>
    <phoneticPr fontId="2"/>
  </si>
  <si>
    <t>要件定義</t>
    <rPh sb="0" eb="4">
      <t>ヨウケンテイギ</t>
    </rPh>
    <phoneticPr fontId="2"/>
  </si>
  <si>
    <t>備考</t>
    <rPh sb="0" eb="2">
      <t>ビコウ</t>
    </rPh>
    <phoneticPr fontId="2"/>
  </si>
  <si>
    <t>LOOKUP用</t>
    <rPh sb="6" eb="7">
      <t>ヨウ</t>
    </rPh>
    <phoneticPr fontId="2"/>
  </si>
  <si>
    <t>5月</t>
    <rPh sb="1" eb="2">
      <t>ガツ</t>
    </rPh>
    <phoneticPr fontId="2"/>
  </si>
  <si>
    <t>要件定義</t>
    <rPh sb="0" eb="2">
      <t>ヨウケン</t>
    </rPh>
    <rPh sb="2" eb="4">
      <t>テイギ</t>
    </rPh>
    <phoneticPr fontId="2"/>
  </si>
  <si>
    <t>工程</t>
    <rPh sb="0" eb="2">
      <t>コウテイ</t>
    </rPh>
    <phoneticPr fontId="2"/>
  </si>
  <si>
    <t>2025年</t>
    <rPh sb="4" eb="5">
      <t>ネン</t>
    </rPh>
    <phoneticPr fontId="2"/>
  </si>
  <si>
    <t>工数合計</t>
    <rPh sb="0" eb="2">
      <t>コウスウ</t>
    </rPh>
    <rPh sb="2" eb="4">
      <t>ゴウケイ</t>
    </rPh>
    <phoneticPr fontId="2"/>
  </si>
  <si>
    <t>PM</t>
    <phoneticPr fontId="2"/>
  </si>
  <si>
    <t>PL</t>
    <phoneticPr fontId="2"/>
  </si>
  <si>
    <t>SE</t>
    <phoneticPr fontId="2"/>
  </si>
  <si>
    <t>【黒本】スマホ対応 工数見積もり</t>
    <rPh sb="1" eb="3">
      <t>クロホン</t>
    </rPh>
    <rPh sb="7" eb="9">
      <t>タイオウ</t>
    </rPh>
    <rPh sb="10" eb="12">
      <t>コウスウ</t>
    </rPh>
    <rPh sb="12" eb="14">
      <t>ミツ</t>
    </rPh>
    <phoneticPr fontId="5"/>
  </si>
  <si>
    <t>■前提条件</t>
    <rPh sb="1" eb="5">
      <t>ゼンテイジョウケン</t>
    </rPh>
    <phoneticPr fontId="2"/>
  </si>
  <si>
    <t>　・テスト対象はタブレット1端末（縦/横 画面）、スマートフォン1端末（縦/横 画面）とします。</t>
    <rPh sb="5" eb="7">
      <t>タイショウ</t>
    </rPh>
    <rPh sb="21" eb="23">
      <t>ガメン</t>
    </rPh>
    <phoneticPr fontId="2"/>
  </si>
  <si>
    <t>　・サーバ、及び画面ソースの改修（機能改修）は実施しません。</t>
    <rPh sb="6" eb="7">
      <t>オヨ</t>
    </rPh>
    <rPh sb="14" eb="16">
      <t>カイシュウ</t>
    </rPh>
    <rPh sb="17" eb="21">
      <t>キノウカイシュウ</t>
    </rPh>
    <rPh sb="23" eb="25">
      <t>ジッシ</t>
    </rPh>
    <phoneticPr fontId="2"/>
  </si>
  <si>
    <t>　・要件定義工程でスマートフォン対応が必要な画面の精査を行い、対応不要と判断した画面は設計工程から除外させていただきます。</t>
    <rPh sb="6" eb="8">
      <t>コウテイ</t>
    </rPh>
    <rPh sb="31" eb="35">
      <t>タイオウフヨウ</t>
    </rPh>
    <phoneticPr fontId="2"/>
  </si>
  <si>
    <t>　・テストは検証環境にアクセスできる端末が無いため、エミュレーターで実施させていただく想定です。</t>
    <rPh sb="21" eb="22">
      <t>ナ</t>
    </rPh>
    <phoneticPr fontId="2"/>
  </si>
  <si>
    <t>　 ※実機での確認は出光様にて受け入れ時にお願いいたします。</t>
    <phoneticPr fontId="2"/>
  </si>
  <si>
    <t>■成果物</t>
    <rPh sb="1" eb="4">
      <t>セイカブツ</t>
    </rPh>
    <phoneticPr fontId="2"/>
  </si>
  <si>
    <t>工程名</t>
    <rPh sb="0" eb="3">
      <t>コウテイメイ</t>
    </rPh>
    <phoneticPr fontId="2"/>
  </si>
  <si>
    <t>成果物</t>
    <rPh sb="0" eb="3">
      <t>セイカブツ</t>
    </rPh>
    <phoneticPr fontId="2"/>
  </si>
  <si>
    <t>要件定義</t>
  </si>
  <si>
    <t>画面一覧</t>
    <rPh sb="0" eb="4">
      <t>ガメンイチラン</t>
    </rPh>
    <phoneticPr fontId="2"/>
  </si>
  <si>
    <t>対応方針書</t>
    <rPh sb="0" eb="4">
      <t>タイオウホウシン</t>
    </rPh>
    <rPh sb="4" eb="5">
      <t>ショ</t>
    </rPh>
    <phoneticPr fontId="2"/>
  </si>
  <si>
    <t>画面項目定義書</t>
    <phoneticPr fontId="2"/>
  </si>
  <si>
    <t>設計書</t>
    <phoneticPr fontId="2"/>
  </si>
  <si>
    <t>マニュアル</t>
    <phoneticPr fontId="2"/>
  </si>
  <si>
    <t>既存ドキュメントの修正</t>
    <rPh sb="0" eb="2">
      <t>キゾン</t>
    </rPh>
    <rPh sb="9" eb="11">
      <t>シュウセイ</t>
    </rPh>
    <phoneticPr fontId="2"/>
  </si>
  <si>
    <t>製造</t>
    <phoneticPr fontId="2"/>
  </si>
  <si>
    <t>単体テスト</t>
    <phoneticPr fontId="2"/>
  </si>
  <si>
    <t>プログラム仕様書</t>
    <rPh sb="5" eb="8">
      <t>シヨウショ</t>
    </rPh>
    <phoneticPr fontId="2"/>
  </si>
  <si>
    <t>単体テスト仕様書</t>
  </si>
  <si>
    <t>結合テスト仕様書</t>
  </si>
  <si>
    <t>リリース</t>
    <phoneticPr fontId="2"/>
  </si>
  <si>
    <t>作業手順書</t>
    <rPh sb="0" eb="5">
      <t>サギョウテジュンショ</t>
    </rPh>
    <phoneticPr fontId="2"/>
  </si>
  <si>
    <t>プログラムソース一式</t>
    <rPh sb="8" eb="10">
      <t>イッシキ</t>
    </rPh>
    <phoneticPr fontId="2"/>
  </si>
  <si>
    <t>製造</t>
    <rPh sb="0" eb="2">
      <t>セイゾウ</t>
    </rPh>
    <phoneticPr fontId="2"/>
  </si>
  <si>
    <t>画面ステップ数</t>
    <rPh sb="0" eb="2">
      <t>ガメン</t>
    </rPh>
    <rPh sb="6" eb="7">
      <t>スウ</t>
    </rPh>
    <phoneticPr fontId="2"/>
  </si>
  <si>
    <t>ヘッダー</t>
  </si>
  <si>
    <t>メニュー</t>
  </si>
  <si>
    <t>システム利用権限エラー</t>
    <rPh sb="4" eb="8">
      <t>リヨウケンゲン</t>
    </rPh>
    <phoneticPr fontId="2"/>
  </si>
  <si>
    <t>毎日・毎週点検一覧</t>
    <rPh sb="0" eb="2">
      <t>マイニチ</t>
    </rPh>
    <rPh sb="3" eb="5">
      <t>マイシュウ</t>
    </rPh>
    <rPh sb="5" eb="7">
      <t>テンケン</t>
    </rPh>
    <rPh sb="7" eb="9">
      <t>イチラン</t>
    </rPh>
    <phoneticPr fontId="2"/>
  </si>
  <si>
    <t>毎日・毎週点検入力</t>
    <rPh sb="7" eb="9">
      <t>ニュウリョク</t>
    </rPh>
    <phoneticPr fontId="2"/>
  </si>
  <si>
    <t>毎日・毎週点検確認</t>
    <rPh sb="7" eb="9">
      <t>カクニン</t>
    </rPh>
    <phoneticPr fontId="2"/>
  </si>
  <si>
    <t>削除</t>
    <rPh sb="0" eb="2">
      <t>サクジョ</t>
    </rPh>
    <phoneticPr fontId="2"/>
  </si>
  <si>
    <t>6ヶ月点検</t>
    <rPh sb="2" eb="3">
      <t>ゲツ</t>
    </rPh>
    <rPh sb="3" eb="5">
      <t>テンケン</t>
    </rPh>
    <phoneticPr fontId="2"/>
  </si>
  <si>
    <t>在庫入力</t>
    <rPh sb="0" eb="2">
      <t>ザイコ</t>
    </rPh>
    <rPh sb="2" eb="4">
      <t>ニュウリョク</t>
    </rPh>
    <phoneticPr fontId="2"/>
  </si>
  <si>
    <t>アラート・リマインド通知マスタ</t>
    <rPh sb="10" eb="12">
      <t>ツウチ</t>
    </rPh>
    <phoneticPr fontId="2"/>
  </si>
  <si>
    <t>アラート・リマインド通知確認</t>
    <rPh sb="12" eb="14">
      <t>カクニン</t>
    </rPh>
    <phoneticPr fontId="2"/>
  </si>
  <si>
    <t>メール送信先登録</t>
    <rPh sb="3" eb="8">
      <t>ソウシンサキトウロク</t>
    </rPh>
    <phoneticPr fontId="2"/>
  </si>
  <si>
    <t>メール送信先マスタ</t>
  </si>
  <si>
    <t>メール送信先マスタ確認</t>
    <rPh sb="9" eb="11">
      <t>カクニン</t>
    </rPh>
    <phoneticPr fontId="2"/>
  </si>
  <si>
    <t>マスタ管理</t>
    <rPh sb="3" eb="5">
      <t>カンリ</t>
    </rPh>
    <phoneticPr fontId="2"/>
  </si>
  <si>
    <t>毎月点検</t>
    <rPh sb="0" eb="4">
      <t>マイツキテンケン</t>
    </rPh>
    <phoneticPr fontId="2"/>
  </si>
  <si>
    <t>月間累計推移表</t>
    <rPh sb="0" eb="7">
      <t>ゲッカンルイケイスイイヒョウ</t>
    </rPh>
    <phoneticPr fontId="2"/>
  </si>
  <si>
    <t>点検結果・在庫状況</t>
    <rPh sb="0" eb="4">
      <t>テンケンケッカ</t>
    </rPh>
    <rPh sb="5" eb="9">
      <t>ザイコジョウキョウ</t>
    </rPh>
    <phoneticPr fontId="2"/>
  </si>
  <si>
    <t>タンクマスタ登録</t>
    <rPh sb="6" eb="8">
      <t>トウロク</t>
    </rPh>
    <phoneticPr fontId="2"/>
  </si>
  <si>
    <t>タンクマスタ</t>
  </si>
  <si>
    <t>タンクマスタ登録確認</t>
    <rPh sb="8" eb="10">
      <t>カクニン</t>
    </rPh>
    <phoneticPr fontId="2"/>
  </si>
  <si>
    <t>トップ画面</t>
    <rPh sb="3" eb="5">
      <t>ガメン</t>
    </rPh>
    <phoneticPr fontId="2"/>
  </si>
  <si>
    <t>地下タンク検水表</t>
    <rPh sb="0" eb="2">
      <t>チカ</t>
    </rPh>
    <rPh sb="5" eb="8">
      <t>ケンスイヒョウ</t>
    </rPh>
    <phoneticPr fontId="2"/>
  </si>
  <si>
    <t>点検・確認者マスタ登録</t>
    <rPh sb="0" eb="2">
      <t>テンケン</t>
    </rPh>
    <rPh sb="3" eb="6">
      <t>カクニンシャ</t>
    </rPh>
    <rPh sb="9" eb="11">
      <t>トウロク</t>
    </rPh>
    <phoneticPr fontId="2"/>
  </si>
  <si>
    <t>点検・確認者マスタ</t>
    <rPh sb="0" eb="2">
      <t>テンケン</t>
    </rPh>
    <rPh sb="3" eb="6">
      <t>カクニンシャ</t>
    </rPh>
    <phoneticPr fontId="2"/>
  </si>
  <si>
    <t>法定年１回点検</t>
    <rPh sb="0" eb="2">
      <t>ホウテイ</t>
    </rPh>
    <rPh sb="2" eb="3">
      <t>ネン</t>
    </rPh>
    <rPh sb="4" eb="5">
      <t>カイ</t>
    </rPh>
    <rPh sb="5" eb="7">
      <t>テンケン</t>
    </rPh>
    <phoneticPr fontId="2"/>
  </si>
  <si>
    <t>製造所等定期点検記録表</t>
  </si>
  <si>
    <t>給油取扱所（屋内）点検表</t>
  </si>
  <si>
    <t>給油取扱所（屋外）点検表</t>
  </si>
  <si>
    <t>セルフ用泡消火設備点検表</t>
  </si>
  <si>
    <t>顧客に自ら給油等をさせる給油取扱所（屋内）点検表</t>
  </si>
  <si>
    <t>顧客に自ら給油等をさせる給油取扱所（屋外）点検表</t>
  </si>
  <si>
    <t>在庫管理表一覧</t>
    <rPh sb="0" eb="4">
      <t>ザイコカンリ</t>
    </rPh>
    <rPh sb="4" eb="5">
      <t>ヒョウ</t>
    </rPh>
    <rPh sb="5" eb="7">
      <t>イチラン</t>
    </rPh>
    <phoneticPr fontId="2"/>
  </si>
  <si>
    <t>以上</t>
    <rPh sb="0" eb="2">
      <t>イジョウ</t>
    </rPh>
    <phoneticPr fontId="2"/>
  </si>
  <si>
    <t>以下</t>
    <rPh sb="0" eb="2">
      <t>イカ</t>
    </rPh>
    <phoneticPr fontId="2"/>
  </si>
  <si>
    <t>桝井</t>
    <rPh sb="0" eb="2">
      <t>マスイ</t>
    </rPh>
    <phoneticPr fontId="2"/>
  </si>
  <si>
    <t>見積工数（人月）</t>
    <rPh sb="0" eb="2">
      <t>ミツモリ</t>
    </rPh>
    <rPh sb="2" eb="4">
      <t>コウスウ</t>
    </rPh>
    <rPh sb="5" eb="7">
      <t>ニンゲツ</t>
    </rPh>
    <phoneticPr fontId="2"/>
  </si>
  <si>
    <t>工数合計（人月）</t>
    <rPh sb="0" eb="2">
      <t>コウスウ</t>
    </rPh>
    <rPh sb="2" eb="4">
      <t>ゴウケイ</t>
    </rPh>
    <rPh sb="5" eb="7">
      <t>ニンゲツ</t>
    </rPh>
    <phoneticPr fontId="2"/>
  </si>
  <si>
    <t>（未定）</t>
    <rPh sb="1" eb="3">
      <t>ミテイ</t>
    </rPh>
    <phoneticPr fontId="2"/>
  </si>
  <si>
    <t>プロジェクト管理工数(20%)</t>
    <phoneticPr fontId="2"/>
  </si>
  <si>
    <t>リリース作業（準備含む）</t>
    <rPh sb="4" eb="6">
      <t>サギョウ</t>
    </rPh>
    <rPh sb="7" eb="10">
      <t>ジュンビフク</t>
    </rPh>
    <phoneticPr fontId="2"/>
  </si>
  <si>
    <t>金額</t>
    <rPh sb="0" eb="2">
      <t>キンガク</t>
    </rPh>
    <phoneticPr fontId="2"/>
  </si>
  <si>
    <t>　 なお、機能改修は実施しないため、システムテストは見積対象外としています。</t>
    <rPh sb="10" eb="12">
      <t>ジッシ</t>
    </rPh>
    <phoneticPr fontId="2"/>
  </si>
  <si>
    <t>　・改修対象画面を現在のレイアウトをスマートフォン用に修正する想定で御見積を算出しています。</t>
    <rPh sb="2" eb="4">
      <t>カイシュウ</t>
    </rPh>
    <rPh sb="4" eb="6">
      <t>タイショウ</t>
    </rPh>
    <rPh sb="6" eb="8">
      <t>ガメン</t>
    </rPh>
    <rPh sb="9" eb="11">
      <t>ゲンザイ</t>
    </rPh>
    <rPh sb="25" eb="26">
      <t>ヨウ</t>
    </rPh>
    <rPh sb="27" eb="29">
      <t>シュウセイ</t>
    </rPh>
    <rPh sb="31" eb="33">
      <t>ソウテイ</t>
    </rPh>
    <rPh sb="34" eb="37">
      <t>オミツモリ</t>
    </rPh>
    <rPh sb="38" eb="40">
      <t>サンシュツ</t>
    </rPh>
    <phoneticPr fontId="2"/>
  </si>
  <si>
    <t>　・改修対象は全画面とします。（パワポに書くときは画面一覧のスライド名にする）</t>
    <rPh sb="2" eb="4">
      <t>カイシュウ</t>
    </rPh>
    <rPh sb="7" eb="8">
      <t>ゼン</t>
    </rPh>
    <rPh sb="20" eb="21">
      <t>カ</t>
    </rPh>
    <rPh sb="25" eb="29">
      <t>ガメンイチラン</t>
    </rPh>
    <rPh sb="34" eb="35">
      <t>メイ</t>
    </rPh>
    <phoneticPr fontId="2"/>
  </si>
  <si>
    <t>　　※新たにスマートフォン用のレイアウトを作成する場合はご相談させていただきたく存じます。</t>
    <rPh sb="3" eb="4">
      <t>アラ</t>
    </rPh>
    <rPh sb="13" eb="14">
      <t>ヨウ</t>
    </rPh>
    <rPh sb="21" eb="23">
      <t>サクセイ</t>
    </rPh>
    <rPh sb="25" eb="27">
      <t>バアイ</t>
    </rPh>
    <rPh sb="29" eb="31">
      <t>ソウダン</t>
    </rPh>
    <rPh sb="40" eb="41">
      <t>ゾン</t>
    </rPh>
    <phoneticPr fontId="2"/>
  </si>
  <si>
    <t>6月</t>
    <phoneticPr fontId="2"/>
  </si>
  <si>
    <t>7月</t>
    <phoneticPr fontId="2"/>
  </si>
  <si>
    <t>8月</t>
    <phoneticPr fontId="2"/>
  </si>
  <si>
    <t>9月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</si>
</sst>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 "/>
    <numFmt numFmtId="177" formatCode="0.000_);[Red]\(0.000\)"/>
    <numFmt numFmtId="178" formatCode="&quot;¥&quot;#,##0_);[Red]\(&quot;¥&quot;#,##0\)"/>
  </numFmts>
  <fonts count="10" x14ac:knownFonts="1">
    <font>
      <sz val="11"/>
      <color theme="1"/>
      <name val="ＭＳ Ｐゴシック"/>
      <family val="2"/>
      <charset val="128"/>
      <scheme val="minor"/>
    </font>
    <font>
      <sz val="11"/>
      <color theme="1"/>
      <name val="ＭＳ Ｐゴシック"/>
      <family val="2"/>
      <charset val="128"/>
    </font>
    <font>
      <sz val="6"/>
      <name val="ＭＳ Ｐゴシック"/>
      <family val="2"/>
      <charset val="128"/>
      <scheme val="minor"/>
    </font>
    <font>
      <sz val="11"/>
      <color theme="1"/>
      <name val="ＭＳ Ｐゴシック"/>
      <family val="2"/>
      <charset val="128"/>
      <scheme val="minor"/>
    </font>
    <font>
      <sz val="11"/>
      <color theme="1"/>
      <name val="Meiryo UI"/>
      <family val="2"/>
      <charset val="128"/>
    </font>
    <font>
      <sz val="6"/>
      <name val="ＭＳ Ｐゴシック"/>
      <family val="3"/>
      <charset val="128"/>
    </font>
    <font>
      <b/>
      <sz val="12"/>
      <color theme="1"/>
      <name val="Meiryo UI"/>
      <family val="3"/>
      <charset val="128"/>
    </font>
    <font>
      <sz val="12"/>
      <color theme="1"/>
      <name val="Meiryo UI"/>
      <family val="3"/>
      <charset val="128"/>
    </font>
    <font>
      <sz val="11"/>
      <color theme="1"/>
      <name val="Meiryo UI"/>
      <family val="3"/>
      <charset val="128"/>
    </font>
    <font>
      <sz val="12"/>
      <color theme="0"/>
      <name val="Meiryo UI"/>
      <family val="3"/>
      <charset val="128"/>
    </font>
  </fonts>
  <fills count="8">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s>
  <cellStyleXfs count="5">
    <xf numFmtId="0" fontId="0" fillId="0" borderId="0">
      <alignment vertical="center"/>
    </xf>
    <xf numFmtId="0" fontId="1" fillId="0" borderId="0">
      <alignment vertical="center"/>
    </xf>
    <xf numFmtId="0" fontId="4" fillId="0" borderId="0">
      <alignment vertical="center"/>
    </xf>
    <xf numFmtId="0" fontId="3" fillId="0" borderId="0">
      <alignment vertical="center"/>
    </xf>
    <xf numFmtId="38" fontId="3" fillId="0" borderId="0" applyFont="0" applyFill="0" applyBorder="0" applyAlignment="0" applyProtection="0">
      <alignment vertical="center"/>
    </xf>
  </cellStyleXfs>
  <cellXfs count="83">
    <xf numFmtId="0" fontId="0" fillId="0" borderId="0" xfId="0">
      <alignment vertical="center"/>
    </xf>
    <xf numFmtId="176" fontId="7" fillId="0" borderId="0" xfId="3" applyNumberFormat="1" applyFont="1" applyAlignment="1">
      <alignment horizontal="right" vertical="center"/>
    </xf>
    <xf numFmtId="176" fontId="7" fillId="0" borderId="0" xfId="3" applyNumberFormat="1" applyFont="1">
      <alignment vertical="center"/>
    </xf>
    <xf numFmtId="176" fontId="7" fillId="0" borderId="0" xfId="3" applyNumberFormat="1" applyFont="1" applyAlignment="1">
      <alignment horizontal="center" vertical="center"/>
    </xf>
    <xf numFmtId="0" fontId="7" fillId="0" borderId="0" xfId="0" applyFont="1">
      <alignment vertical="center"/>
    </xf>
    <xf numFmtId="0" fontId="7" fillId="0" borderId="5" xfId="0" applyFont="1" applyBorder="1">
      <alignment vertical="center"/>
    </xf>
    <xf numFmtId="0" fontId="7" fillId="0" borderId="1" xfId="0" applyFont="1" applyBorder="1">
      <alignment vertical="center"/>
    </xf>
    <xf numFmtId="0" fontId="7" fillId="0" borderId="7" xfId="0" applyFont="1" applyBorder="1">
      <alignment vertical="center"/>
    </xf>
    <xf numFmtId="0" fontId="7" fillId="0" borderId="8" xfId="0" applyFont="1" applyBorder="1">
      <alignment vertical="center"/>
    </xf>
    <xf numFmtId="176" fontId="6" fillId="0" borderId="0" xfId="3" applyNumberFormat="1" applyFont="1" applyAlignment="1">
      <alignment horizontal="left" vertical="center"/>
    </xf>
    <xf numFmtId="177" fontId="6" fillId="2" borderId="15" xfId="3" applyNumberFormat="1" applyFont="1" applyFill="1" applyBorder="1" applyAlignment="1">
      <alignment horizontal="right" vertical="center"/>
    </xf>
    <xf numFmtId="176" fontId="6" fillId="4" borderId="1" xfId="3" applyNumberFormat="1" applyFont="1" applyFill="1" applyBorder="1" applyAlignment="1">
      <alignment vertical="center" wrapText="1"/>
    </xf>
    <xf numFmtId="176" fontId="6" fillId="4" borderId="1" xfId="3" applyNumberFormat="1" applyFont="1" applyFill="1" applyBorder="1">
      <alignment vertical="center"/>
    </xf>
    <xf numFmtId="0" fontId="8" fillId="0" borderId="1" xfId="0" applyFont="1" applyBorder="1">
      <alignment vertical="center"/>
    </xf>
    <xf numFmtId="0" fontId="8" fillId="0" borderId="0" xfId="0" applyFont="1">
      <alignment vertical="center"/>
    </xf>
    <xf numFmtId="38" fontId="8" fillId="0" borderId="0" xfId="4" applyFont="1">
      <alignment vertical="center"/>
    </xf>
    <xf numFmtId="0" fontId="8" fillId="4" borderId="1" xfId="0" applyFont="1" applyFill="1" applyBorder="1" applyAlignment="1">
      <alignment horizontal="center" vertical="center"/>
    </xf>
    <xf numFmtId="176" fontId="8" fillId="0" borderId="0" xfId="0" applyNumberFormat="1" applyFont="1">
      <alignment vertical="center"/>
    </xf>
    <xf numFmtId="0" fontId="8" fillId="5" borderId="1" xfId="0" applyFont="1" applyFill="1" applyBorder="1">
      <alignment vertical="center"/>
    </xf>
    <xf numFmtId="178" fontId="8" fillId="0" borderId="1" xfId="0" applyNumberFormat="1" applyFont="1" applyBorder="1">
      <alignment vertical="center"/>
    </xf>
    <xf numFmtId="0" fontId="7" fillId="6" borderId="1" xfId="0" applyFont="1" applyFill="1" applyBorder="1">
      <alignment vertical="center"/>
    </xf>
    <xf numFmtId="0" fontId="9" fillId="7" borderId="19" xfId="0" applyFont="1" applyFill="1" applyBorder="1">
      <alignment vertical="center"/>
    </xf>
    <xf numFmtId="0" fontId="9" fillId="7" borderId="20" xfId="0" applyFont="1" applyFill="1" applyBorder="1">
      <alignment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0" fontId="8" fillId="4" borderId="25" xfId="0" applyFont="1" applyFill="1" applyBorder="1" applyAlignment="1">
      <alignment horizontal="center" vertical="center"/>
    </xf>
    <xf numFmtId="0" fontId="8" fillId="0" borderId="26" xfId="0" applyFont="1" applyBorder="1" applyAlignment="1">
      <alignment horizontal="center" vertical="center"/>
    </xf>
    <xf numFmtId="0" fontId="7" fillId="0" borderId="27" xfId="0" applyFont="1" applyBorder="1" applyAlignment="1">
      <alignment horizontal="center" vertical="center"/>
    </xf>
    <xf numFmtId="0" fontId="7" fillId="0" borderId="25" xfId="0" applyFont="1" applyBorder="1">
      <alignment vertical="center"/>
    </xf>
    <xf numFmtId="177" fontId="6" fillId="2" borderId="17" xfId="3" applyNumberFormat="1" applyFont="1" applyFill="1" applyBorder="1" applyAlignment="1">
      <alignment horizontal="right" vertical="center"/>
    </xf>
    <xf numFmtId="0" fontId="7" fillId="0" borderId="1" xfId="0" applyFont="1" applyBorder="1" applyAlignment="1">
      <alignment horizontal="center" vertical="center"/>
    </xf>
    <xf numFmtId="0" fontId="7" fillId="0" borderId="10" xfId="0" applyFont="1" applyBorder="1">
      <alignment vertical="center"/>
    </xf>
    <xf numFmtId="0" fontId="7" fillId="0" borderId="10" xfId="0" applyFont="1" applyBorder="1" applyAlignment="1">
      <alignment horizontal="center" vertical="center"/>
    </xf>
    <xf numFmtId="0" fontId="8" fillId="0" borderId="25" xfId="0" applyFont="1" applyBorder="1">
      <alignment vertical="center"/>
    </xf>
    <xf numFmtId="178" fontId="6" fillId="2" borderId="15" xfId="3" applyNumberFormat="1" applyFont="1" applyFill="1" applyBorder="1" applyAlignment="1">
      <alignment horizontal="right" vertical="center"/>
    </xf>
    <xf numFmtId="176" fontId="6" fillId="4" borderId="3" xfId="3" applyNumberFormat="1" applyFont="1" applyFill="1" applyBorder="1" applyAlignment="1">
      <alignment horizontal="center" vertical="center" wrapText="1"/>
    </xf>
    <xf numFmtId="176" fontId="6" fillId="4" borderId="1" xfId="3" applyNumberFormat="1" applyFont="1" applyFill="1" applyBorder="1" applyAlignment="1">
      <alignment horizontal="center" vertical="center" wrapText="1"/>
    </xf>
    <xf numFmtId="176" fontId="6" fillId="4" borderId="10" xfId="3" applyNumberFormat="1" applyFont="1" applyFill="1" applyBorder="1" applyAlignment="1">
      <alignment horizontal="center" vertical="center" wrapText="1"/>
    </xf>
    <xf numFmtId="176" fontId="6" fillId="2" borderId="16" xfId="3" applyNumberFormat="1" applyFont="1" applyFill="1" applyBorder="1" applyAlignment="1">
      <alignment horizontal="right" vertical="center"/>
    </xf>
    <xf numFmtId="176" fontId="6" fillId="2" borderId="17" xfId="3" applyNumberFormat="1" applyFont="1" applyFill="1" applyBorder="1" applyAlignment="1">
      <alignment horizontal="right" vertical="center"/>
    </xf>
    <xf numFmtId="176" fontId="6" fillId="2" borderId="29" xfId="3" applyNumberFormat="1" applyFont="1" applyFill="1" applyBorder="1" applyAlignment="1">
      <alignment horizontal="right" vertical="center"/>
    </xf>
    <xf numFmtId="176" fontId="6" fillId="2" borderId="9" xfId="3" applyNumberFormat="1" applyFont="1" applyFill="1" applyBorder="1" applyAlignment="1">
      <alignment horizontal="right" vertical="center"/>
    </xf>
    <xf numFmtId="176" fontId="6" fillId="2" borderId="15" xfId="3" applyNumberFormat="1" applyFont="1" applyFill="1" applyBorder="1" applyAlignment="1">
      <alignment horizontal="right" vertical="center"/>
    </xf>
    <xf numFmtId="176" fontId="6" fillId="2" borderId="11" xfId="3" applyNumberFormat="1" applyFont="1" applyFill="1" applyBorder="1" applyAlignment="1">
      <alignment horizontal="right" vertical="center"/>
    </xf>
    <xf numFmtId="178" fontId="6" fillId="2" borderId="22" xfId="3" applyNumberFormat="1" applyFont="1" applyFill="1" applyBorder="1" applyAlignment="1">
      <alignment horizontal="right" vertical="center"/>
    </xf>
    <xf numFmtId="178" fontId="6" fillId="2" borderId="28" xfId="3" applyNumberFormat="1" applyFont="1" applyFill="1" applyBorder="1" applyAlignment="1">
      <alignment horizontal="right" vertical="center"/>
    </xf>
    <xf numFmtId="176" fontId="6" fillId="2" borderId="18" xfId="3" applyNumberFormat="1" applyFont="1" applyFill="1" applyBorder="1" applyAlignment="1">
      <alignment horizontal="right" vertical="center"/>
    </xf>
    <xf numFmtId="0" fontId="6" fillId="4" borderId="3"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0" xfId="0" applyFont="1" applyFill="1" applyBorder="1" applyAlignment="1">
      <alignment horizontal="center" vertical="center" wrapText="1"/>
    </xf>
    <xf numFmtId="176" fontId="6" fillId="4" borderId="23" xfId="3" applyNumberFormat="1" applyFont="1" applyFill="1" applyBorder="1" applyAlignment="1">
      <alignment horizontal="center" vertical="center" wrapText="1"/>
    </xf>
    <xf numFmtId="176" fontId="6" fillId="4" borderId="24" xfId="3" applyNumberFormat="1" applyFont="1" applyFill="1" applyBorder="1" applyAlignment="1">
      <alignment horizontal="center" vertical="center" wrapText="1"/>
    </xf>
    <xf numFmtId="177" fontId="6" fillId="2" borderId="22" xfId="3" applyNumberFormat="1" applyFont="1" applyFill="1" applyBorder="1" applyAlignment="1">
      <alignment horizontal="right" vertical="center"/>
    </xf>
    <xf numFmtId="177" fontId="6" fillId="2" borderId="28" xfId="3" applyNumberFormat="1" applyFont="1" applyFill="1" applyBorder="1" applyAlignment="1">
      <alignment horizontal="right" vertical="center"/>
    </xf>
    <xf numFmtId="0" fontId="6" fillId="4" borderId="21" xfId="0" applyFont="1" applyFill="1" applyBorder="1" applyAlignment="1">
      <alignment horizontal="center" vertical="center"/>
    </xf>
    <xf numFmtId="0" fontId="6" fillId="4" borderId="20" xfId="0" applyFont="1" applyFill="1" applyBorder="1" applyAlignment="1">
      <alignment horizontal="center" vertical="center"/>
    </xf>
    <xf numFmtId="0" fontId="6" fillId="4" borderId="22"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9" xfId="0" applyFont="1" applyFill="1" applyBorder="1" applyAlignment="1">
      <alignment horizontal="center" vertical="center"/>
    </xf>
    <xf numFmtId="176" fontId="6" fillId="4" borderId="4" xfId="3" applyNumberFormat="1" applyFont="1" applyFill="1" applyBorder="1" applyAlignment="1">
      <alignment horizontal="center" vertical="center" wrapText="1"/>
    </xf>
    <xf numFmtId="176" fontId="6" fillId="4" borderId="6" xfId="3" applyNumberFormat="1" applyFont="1" applyFill="1" applyBorder="1" applyAlignment="1">
      <alignment horizontal="center" vertical="center" wrapText="1"/>
    </xf>
    <xf numFmtId="176" fontId="6" fillId="4" borderId="11" xfId="3" applyNumberFormat="1" applyFont="1" applyFill="1" applyBorder="1" applyAlignment="1">
      <alignment horizontal="center" vertical="center" wrapText="1"/>
    </xf>
    <xf numFmtId="176" fontId="6" fillId="4" borderId="1" xfId="3" applyNumberFormat="1" applyFont="1" applyFill="1" applyBorder="1" applyAlignment="1">
      <alignment horizontal="center" vertical="center"/>
    </xf>
    <xf numFmtId="176" fontId="6" fillId="4" borderId="10" xfId="3" applyNumberFormat="1" applyFont="1" applyFill="1" applyBorder="1" applyAlignment="1">
      <alignment horizontal="center" vertical="center"/>
    </xf>
    <xf numFmtId="0" fontId="6" fillId="3" borderId="12" xfId="0" applyFont="1" applyFill="1" applyBorder="1" applyAlignment="1">
      <alignment horizontal="left" vertical="center"/>
    </xf>
    <xf numFmtId="0" fontId="6" fillId="3" borderId="0" xfId="0" applyFont="1" applyFill="1" applyAlignment="1">
      <alignment horizontal="left" vertical="center"/>
    </xf>
    <xf numFmtId="0" fontId="6" fillId="3" borderId="13" xfId="0" applyFont="1" applyFill="1" applyBorder="1" applyAlignment="1">
      <alignment horizontal="left" vertical="center"/>
    </xf>
    <xf numFmtId="177" fontId="6" fillId="2" borderId="19" xfId="3" applyNumberFormat="1" applyFont="1" applyFill="1" applyBorder="1" applyAlignment="1">
      <alignment horizontal="right" vertical="center"/>
    </xf>
    <xf numFmtId="177" fontId="6" fillId="2" borderId="18" xfId="3" applyNumberFormat="1" applyFont="1" applyFill="1" applyBorder="1" applyAlignment="1">
      <alignment horizontal="right" vertical="center"/>
    </xf>
    <xf numFmtId="178" fontId="8" fillId="0" borderId="25" xfId="0" applyNumberFormat="1" applyFont="1" applyBorder="1" applyAlignment="1">
      <alignment horizontal="center" vertical="center"/>
    </xf>
    <xf numFmtId="178" fontId="8" fillId="0" borderId="14" xfId="0" applyNumberFormat="1" applyFont="1" applyBorder="1" applyAlignment="1">
      <alignment horizontal="center" vertical="center"/>
    </xf>
    <xf numFmtId="178" fontId="8" fillId="0" borderId="26" xfId="0" applyNumberFormat="1" applyFont="1" applyBorder="1" applyAlignment="1">
      <alignment horizontal="center" vertical="center"/>
    </xf>
    <xf numFmtId="0" fontId="8" fillId="0" borderId="25" xfId="0" applyFont="1" applyBorder="1" applyAlignment="1">
      <alignment horizontal="center" vertical="center"/>
    </xf>
    <xf numFmtId="0" fontId="8" fillId="0" borderId="14" xfId="0" applyFont="1" applyBorder="1" applyAlignment="1">
      <alignment horizontal="center" vertical="center"/>
    </xf>
    <xf numFmtId="0" fontId="8" fillId="0" borderId="26" xfId="0" applyFont="1" applyBorder="1" applyAlignment="1">
      <alignment horizontal="center" vertical="center"/>
    </xf>
    <xf numFmtId="0" fontId="8" fillId="4" borderId="1" xfId="0" applyFont="1" applyFill="1" applyBorder="1" applyAlignment="1">
      <alignment horizontal="center" vertical="center"/>
    </xf>
    <xf numFmtId="0" fontId="8" fillId="4" borderId="25" xfId="0" applyFont="1" applyFill="1" applyBorder="1" applyAlignment="1">
      <alignment horizontal="center" vertical="center"/>
    </xf>
    <xf numFmtId="0" fontId="8" fillId="4" borderId="14" xfId="0" applyFont="1" applyFill="1" applyBorder="1" applyAlignment="1">
      <alignment horizontal="center" vertical="center"/>
    </xf>
    <xf numFmtId="0" fontId="8" fillId="5" borderId="1" xfId="0" applyFont="1" applyFill="1" applyBorder="1" applyAlignment="1">
      <alignment horizontal="right" vertical="center"/>
    </xf>
    <xf numFmtId="0" fontId="8" fillId="0" borderId="1" xfId="0" applyFont="1" applyBorder="1" applyAlignment="1">
      <alignment horizontal="center" vertical="center"/>
    </xf>
    <xf numFmtId="0" fontId="8" fillId="0" borderId="7" xfId="0" applyFont="1" applyBorder="1" applyAlignment="1">
      <alignment horizontal="center" vertical="center"/>
    </xf>
    <xf numFmtId="178" fontId="8" fillId="0" borderId="1" xfId="0" applyNumberFormat="1" applyFont="1" applyBorder="1" applyAlignment="1">
      <alignment vertical="center"/>
    </xf>
  </cellXfs>
  <cellStyles count="5">
    <cellStyle name="桁区切り" xfId="4" builtinId="6"/>
    <cellStyle name="標準" xfId="0" builtinId="0"/>
    <cellStyle name="標準 2" xfId="1" xr:uid="{00000000-0005-0000-0000-000001000000}"/>
    <cellStyle name="標準 3" xfId="2" xr:uid="{00000000-0005-0000-0000-000002000000}"/>
    <cellStyle name="標準 3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1EF3E-5AB7-48B5-9108-21A2AFE5F27D}">
  <dimension ref="B2:D30"/>
  <sheetViews>
    <sheetView zoomScale="80" zoomScaleNormal="80" workbookViewId="0"/>
  </sheetViews>
  <sheetFormatPr defaultRowHeight="16.2" x14ac:dyDescent="0.2"/>
  <cols>
    <col min="1" max="1" width="4.44140625" style="4" customWidth="1"/>
    <col min="2" max="2" width="16.6640625" style="4" customWidth="1"/>
    <col min="3" max="3" width="22.21875" style="4" customWidth="1"/>
    <col min="4" max="4" width="33.33203125" style="4" customWidth="1"/>
    <col min="5" max="16384" width="8.88671875" style="4"/>
  </cols>
  <sheetData>
    <row r="2" spans="2:4" x14ac:dyDescent="0.2">
      <c r="B2" s="4" t="s">
        <v>35</v>
      </c>
    </row>
    <row r="3" spans="2:4" x14ac:dyDescent="0.2">
      <c r="B3" s="20" t="s">
        <v>36</v>
      </c>
      <c r="C3" s="20" t="s">
        <v>37</v>
      </c>
      <c r="D3" s="20" t="s">
        <v>18</v>
      </c>
    </row>
    <row r="4" spans="2:4" x14ac:dyDescent="0.2">
      <c r="B4" s="7" t="s">
        <v>38</v>
      </c>
      <c r="C4" s="6" t="s">
        <v>39</v>
      </c>
      <c r="D4" s="6"/>
    </row>
    <row r="5" spans="2:4" x14ac:dyDescent="0.2">
      <c r="B5" s="21" t="s">
        <v>38</v>
      </c>
      <c r="C5" s="6" t="s">
        <v>40</v>
      </c>
      <c r="D5" s="6"/>
    </row>
    <row r="6" spans="2:4" x14ac:dyDescent="0.2">
      <c r="B6" s="7" t="s">
        <v>6</v>
      </c>
      <c r="C6" s="6" t="s">
        <v>41</v>
      </c>
      <c r="D6" s="6" t="s">
        <v>44</v>
      </c>
    </row>
    <row r="7" spans="2:4" x14ac:dyDescent="0.2">
      <c r="B7" s="22" t="s">
        <v>6</v>
      </c>
      <c r="C7" s="6" t="s">
        <v>42</v>
      </c>
      <c r="D7" s="6" t="s">
        <v>44</v>
      </c>
    </row>
    <row r="8" spans="2:4" x14ac:dyDescent="0.2">
      <c r="B8" s="21" t="s">
        <v>6</v>
      </c>
      <c r="C8" s="6" t="s">
        <v>43</v>
      </c>
      <c r="D8" s="6" t="s">
        <v>44</v>
      </c>
    </row>
    <row r="9" spans="2:4" x14ac:dyDescent="0.2">
      <c r="B9" s="7" t="s">
        <v>45</v>
      </c>
      <c r="C9" s="6" t="s">
        <v>47</v>
      </c>
      <c r="D9" s="6"/>
    </row>
    <row r="10" spans="2:4" x14ac:dyDescent="0.2">
      <c r="B10" s="21" t="s">
        <v>45</v>
      </c>
      <c r="C10" s="6" t="s">
        <v>52</v>
      </c>
      <c r="D10" s="6"/>
    </row>
    <row r="11" spans="2:4" x14ac:dyDescent="0.2">
      <c r="B11" s="6" t="s">
        <v>46</v>
      </c>
      <c r="C11" s="6" t="s">
        <v>48</v>
      </c>
      <c r="D11" s="6"/>
    </row>
    <row r="12" spans="2:4" x14ac:dyDescent="0.2">
      <c r="B12" s="6" t="s">
        <v>7</v>
      </c>
      <c r="C12" s="6" t="s">
        <v>49</v>
      </c>
      <c r="D12" s="6"/>
    </row>
    <row r="13" spans="2:4" x14ac:dyDescent="0.2">
      <c r="B13" s="6" t="s">
        <v>8</v>
      </c>
      <c r="C13" s="6"/>
      <c r="D13" s="6"/>
    </row>
    <row r="14" spans="2:4" x14ac:dyDescent="0.2">
      <c r="B14" s="6" t="s">
        <v>50</v>
      </c>
      <c r="C14" s="6" t="s">
        <v>51</v>
      </c>
      <c r="D14" s="6"/>
    </row>
    <row r="16" spans="2:4" x14ac:dyDescent="0.2">
      <c r="B16" s="4" t="s">
        <v>29</v>
      </c>
    </row>
    <row r="17" spans="2:2" x14ac:dyDescent="0.2">
      <c r="B17" s="4" t="s">
        <v>99</v>
      </c>
    </row>
    <row r="19" spans="2:2" x14ac:dyDescent="0.2">
      <c r="B19" s="4" t="s">
        <v>31</v>
      </c>
    </row>
    <row r="21" spans="2:2" x14ac:dyDescent="0.2">
      <c r="B21" s="4" t="s">
        <v>30</v>
      </c>
    </row>
    <row r="22" spans="2:2" x14ac:dyDescent="0.2">
      <c r="B22" s="4" t="s">
        <v>97</v>
      </c>
    </row>
    <row r="24" spans="2:2" x14ac:dyDescent="0.2">
      <c r="B24" s="4" t="s">
        <v>33</v>
      </c>
    </row>
    <row r="25" spans="2:2" x14ac:dyDescent="0.2">
      <c r="B25" s="4" t="s">
        <v>34</v>
      </c>
    </row>
    <row r="27" spans="2:2" x14ac:dyDescent="0.2">
      <c r="B27" s="4" t="s">
        <v>32</v>
      </c>
    </row>
    <row r="29" spans="2:2" x14ac:dyDescent="0.2">
      <c r="B29" s="4" t="s">
        <v>98</v>
      </c>
    </row>
    <row r="30" spans="2:2" x14ac:dyDescent="0.2">
      <c r="B30" s="4" t="s">
        <v>100</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3"/>
  <sheetViews>
    <sheetView tabSelected="1" view="pageBreakPreview" zoomScale="90" zoomScaleSheetLayoutView="90" workbookViewId="0"/>
  </sheetViews>
  <sheetFormatPr defaultColWidth="9" defaultRowHeight="16.2" x14ac:dyDescent="0.2"/>
  <cols>
    <col min="1" max="1" width="3.33203125" style="4" customWidth="1"/>
    <col min="2" max="2" width="53.33203125" style="4" customWidth="1"/>
    <col min="3" max="3" width="15.5546875" style="4" customWidth="1"/>
    <col min="4" max="4" width="8.33203125" style="4" customWidth="1"/>
    <col min="5" max="10" width="16.109375" style="4" customWidth="1"/>
    <col min="11" max="11" width="18.33203125" style="4" customWidth="1"/>
    <col min="12" max="13" width="13.33203125" style="4" customWidth="1"/>
    <col min="14" max="16384" width="9" style="4"/>
  </cols>
  <sheetData>
    <row r="1" spans="1:13" s="2" customFormat="1" x14ac:dyDescent="0.2">
      <c r="A1" s="9" t="s">
        <v>28</v>
      </c>
      <c r="C1" s="9"/>
      <c r="D1" s="1"/>
      <c r="E1" s="1"/>
      <c r="F1" s="1"/>
      <c r="G1" s="1"/>
      <c r="H1" s="1"/>
      <c r="I1" s="1"/>
      <c r="J1" s="1"/>
      <c r="K1" s="1"/>
    </row>
    <row r="2" spans="1:13" s="3" customFormat="1" ht="16.5" customHeight="1" thickBot="1" x14ac:dyDescent="0.25"/>
    <row r="3" spans="1:13" s="3" customFormat="1" x14ac:dyDescent="0.2">
      <c r="B3" s="57" t="s">
        <v>0</v>
      </c>
      <c r="C3" s="47" t="s">
        <v>54</v>
      </c>
      <c r="D3" s="54" t="s">
        <v>1</v>
      </c>
      <c r="E3" s="50" t="s">
        <v>2</v>
      </c>
      <c r="F3" s="51"/>
      <c r="G3" s="51"/>
      <c r="H3" s="51"/>
      <c r="I3" s="51"/>
      <c r="J3" s="51"/>
      <c r="K3" s="35" t="s">
        <v>94</v>
      </c>
      <c r="L3" s="35" t="s">
        <v>3</v>
      </c>
      <c r="M3" s="60" t="s">
        <v>4</v>
      </c>
    </row>
    <row r="4" spans="1:13" s="3" customFormat="1" x14ac:dyDescent="0.2">
      <c r="B4" s="58"/>
      <c r="C4" s="48"/>
      <c r="D4" s="55"/>
      <c r="E4" s="63" t="s">
        <v>17</v>
      </c>
      <c r="F4" s="63" t="s">
        <v>6</v>
      </c>
      <c r="G4" s="36" t="s">
        <v>53</v>
      </c>
      <c r="H4" s="36" t="s">
        <v>5</v>
      </c>
      <c r="I4" s="36" t="s">
        <v>7</v>
      </c>
      <c r="J4" s="36" t="s">
        <v>8</v>
      </c>
      <c r="K4" s="36"/>
      <c r="L4" s="36"/>
      <c r="M4" s="61"/>
    </row>
    <row r="5" spans="1:13" ht="16.8" thickBot="1" x14ac:dyDescent="0.25">
      <c r="B5" s="59"/>
      <c r="C5" s="49"/>
      <c r="D5" s="56"/>
      <c r="E5" s="64"/>
      <c r="F5" s="64"/>
      <c r="G5" s="37"/>
      <c r="H5" s="37"/>
      <c r="I5" s="37"/>
      <c r="J5" s="37"/>
      <c r="K5" s="37"/>
      <c r="L5" s="37"/>
      <c r="M5" s="62"/>
    </row>
    <row r="6" spans="1:13" ht="15.75" customHeight="1" x14ac:dyDescent="0.2">
      <c r="B6" s="65" t="s">
        <v>16</v>
      </c>
      <c r="C6" s="66"/>
      <c r="D6" s="66"/>
      <c r="E6" s="66"/>
      <c r="F6" s="66"/>
      <c r="G6" s="66"/>
      <c r="H6" s="66"/>
      <c r="I6" s="66"/>
      <c r="J6" s="66"/>
      <c r="K6" s="66"/>
      <c r="L6" s="66"/>
      <c r="M6" s="67"/>
    </row>
    <row r="7" spans="1:13" x14ac:dyDescent="0.2">
      <c r="B7" s="5" t="s">
        <v>55</v>
      </c>
      <c r="C7" s="6">
        <v>221</v>
      </c>
      <c r="D7" s="6" t="str" cm="1">
        <f t="array" ref="D7">_xlfn.IFS(C7&lt;=工数マスタ!$F$11,"特低",AND(C7&gt;=工数マスタ!$E$10,C7&lt;=工数マスタ!$E$11),"低",AND(C7&gt;=工数マスタ!$D$10,C7&lt;=工数マスタ!$D$11),"中",AND(C7&gt;=工数マスタ!$C$10,C7&lt;=工数マスタ!$C$11),"高",C7&gt;=工数マスタ!$B$10,"特高")</f>
        <v>低</v>
      </c>
      <c r="E7" s="7">
        <f>SUMPRODUCT(VLOOKUP(E$4,工数マスタ!$A$2:$F$8,MATCH($D7,工数マスタ!$A$2:$F$2,0),FALSE))</f>
        <v>0.3</v>
      </c>
      <c r="F7" s="7">
        <f>SUMPRODUCT(VLOOKUP(F$4,工数マスタ!$A$2:$F$8,MATCH($D7,工数マスタ!$A$2:$F$2,0),FALSE))</f>
        <v>0.3</v>
      </c>
      <c r="G7" s="7">
        <f>SUMPRODUCT(VLOOKUP(G$4,工数マスタ!$A$2:$F$8,MATCH($D7,工数マスタ!$A$2:$F$2,0),FALSE))</f>
        <v>0.8</v>
      </c>
      <c r="H7" s="7">
        <f>SUMPRODUCT(VLOOKUP(H$4,工数マスタ!$A$2:$F$8,MATCH($D7,工数マスタ!$A$2:$F$2,0),FALSE))</f>
        <v>0.3</v>
      </c>
      <c r="I7" s="7">
        <f>SUMPRODUCT(VLOOKUP(I$4,工数マスタ!$A$2:$F$8,MATCH($D7,工数マスタ!$A$2:$F$2,0),FALSE))</f>
        <v>1.5</v>
      </c>
      <c r="J7" s="7">
        <f>SUMPRODUCT(VLOOKUP(J$4,工数マスタ!$A$2:$F$8,MATCH($D7,工数マスタ!$A$2:$F$2,0),FALSE))</f>
        <v>0.3</v>
      </c>
      <c r="K7" s="27">
        <f t="shared" ref="K7:K40" si="0">SUM(E7:J7)*0.2</f>
        <v>0.70000000000000007</v>
      </c>
      <c r="L7" s="8">
        <f t="shared" ref="L7:L39" si="1">SUM(E7:J7)+K7</f>
        <v>4.2</v>
      </c>
      <c r="M7" s="8">
        <f>ROUNDUP(L7/20,2)</f>
        <v>0.21</v>
      </c>
    </row>
    <row r="8" spans="1:13" x14ac:dyDescent="0.2">
      <c r="B8" s="5" t="s">
        <v>56</v>
      </c>
      <c r="C8" s="6">
        <v>89</v>
      </c>
      <c r="D8" s="6" t="str" cm="1">
        <f t="array" ref="D8">_xlfn.IFS(C8&lt;=工数マスタ!$F$11,"特低",AND(C8&gt;=工数マスタ!$E$10,C8&lt;=工数マスタ!$E$11),"低",AND(C8&gt;=工数マスタ!$D$10,C8&lt;=工数マスタ!$D$11),"中",AND(C8&gt;=工数マスタ!$C$10,C8&lt;=工数マスタ!$C$11),"高",C8&gt;=工数マスタ!$B$10,"特高")</f>
        <v>特低</v>
      </c>
      <c r="E8" s="7">
        <f>SUMPRODUCT(VLOOKUP(E$4,工数マスタ!$A$2:$F$8,MATCH($D8,工数マスタ!$A$2:$F$2,0),FALSE))</f>
        <v>0.2</v>
      </c>
      <c r="F8" s="7">
        <f>SUMPRODUCT(VLOOKUP(F$4,工数マスタ!$A$2:$F$8,MATCH($D8,工数マスタ!$A$2:$F$2,0),FALSE))</f>
        <v>0.2</v>
      </c>
      <c r="G8" s="7">
        <f>SUMPRODUCT(VLOOKUP(G$4,工数マスタ!$A$2:$F$8,MATCH($D8,工数マスタ!$A$2:$F$2,0),FALSE))</f>
        <v>0.5</v>
      </c>
      <c r="H8" s="7">
        <f>SUMPRODUCT(VLOOKUP(H$4,工数マスタ!$A$2:$F$8,MATCH($D8,工数マスタ!$A$2:$F$2,0),FALSE))</f>
        <v>0.2</v>
      </c>
      <c r="I8" s="7">
        <f>SUMPRODUCT(VLOOKUP(I$4,工数マスタ!$A$2:$F$8,MATCH($D8,工数マスタ!$A$2:$F$2,0),FALSE))</f>
        <v>1</v>
      </c>
      <c r="J8" s="7">
        <f>SUMPRODUCT(VLOOKUP(J$4,工数マスタ!$A$2:$F$8,MATCH($D8,工数マスタ!$A$2:$F$2,0),FALSE))</f>
        <v>0.2</v>
      </c>
      <c r="K8" s="27">
        <f t="shared" si="0"/>
        <v>0.46000000000000008</v>
      </c>
      <c r="L8" s="8">
        <f t="shared" si="1"/>
        <v>2.7600000000000002</v>
      </c>
      <c r="M8" s="8">
        <f t="shared" ref="M8:M40" si="2">ROUNDUP(L8/20,2)</f>
        <v>0.14000000000000001</v>
      </c>
    </row>
    <row r="9" spans="1:13" x14ac:dyDescent="0.2">
      <c r="B9" s="5" t="s">
        <v>57</v>
      </c>
      <c r="C9" s="6">
        <v>18</v>
      </c>
      <c r="D9" s="6" t="str" cm="1">
        <f t="array" ref="D9">_xlfn.IFS(C9&lt;=工数マスタ!$F$11,"特低",AND(C9&gt;=工数マスタ!$E$10,C9&lt;=工数マスタ!$E$11),"低",AND(C9&gt;=工数マスタ!$D$10,C9&lt;=工数マスタ!$D$11),"中",AND(C9&gt;=工数マスタ!$C$10,C9&lt;=工数マスタ!$C$11),"高",C9&gt;=工数マスタ!$B$10,"特高")</f>
        <v>特低</v>
      </c>
      <c r="E9" s="7">
        <f>SUMPRODUCT(VLOOKUP(E$4,工数マスタ!$A$2:$F$8,MATCH($D9,工数マスタ!$A$2:$F$2,0),FALSE))</f>
        <v>0.2</v>
      </c>
      <c r="F9" s="7">
        <f>SUMPRODUCT(VLOOKUP(F$4,工数マスタ!$A$2:$F$8,MATCH($D9,工数マスタ!$A$2:$F$2,0),FALSE))</f>
        <v>0.2</v>
      </c>
      <c r="G9" s="7">
        <f>SUMPRODUCT(VLOOKUP(G$4,工数マスタ!$A$2:$F$8,MATCH($D9,工数マスタ!$A$2:$F$2,0),FALSE))</f>
        <v>0.5</v>
      </c>
      <c r="H9" s="7">
        <f>SUMPRODUCT(VLOOKUP(H$4,工数マスタ!$A$2:$F$8,MATCH($D9,工数マスタ!$A$2:$F$2,0),FALSE))</f>
        <v>0.2</v>
      </c>
      <c r="I9" s="7">
        <f>SUMPRODUCT(VLOOKUP(I$4,工数マスタ!$A$2:$F$8,MATCH($D9,工数マスタ!$A$2:$F$2,0),FALSE))</f>
        <v>1</v>
      </c>
      <c r="J9" s="7">
        <f>SUMPRODUCT(VLOOKUP(J$4,工数マスタ!$A$2:$F$8,MATCH($D9,工数マスタ!$A$2:$F$2,0),FALSE))</f>
        <v>0.2</v>
      </c>
      <c r="K9" s="27">
        <f t="shared" si="0"/>
        <v>0.46000000000000008</v>
      </c>
      <c r="L9" s="8">
        <f t="shared" si="1"/>
        <v>2.7600000000000002</v>
      </c>
      <c r="M9" s="8">
        <f t="shared" si="2"/>
        <v>0.14000000000000001</v>
      </c>
    </row>
    <row r="10" spans="1:13" x14ac:dyDescent="0.2">
      <c r="B10" s="5" t="s">
        <v>58</v>
      </c>
      <c r="C10" s="6">
        <v>1381</v>
      </c>
      <c r="D10" s="6" t="str" cm="1">
        <f t="array" ref="D10">_xlfn.IFS(C10&lt;=工数マスタ!$F$11,"特低",AND(C10&gt;=工数マスタ!$E$10,C10&lt;=工数マスタ!$E$11),"低",AND(C10&gt;=工数マスタ!$D$10,C10&lt;=工数マスタ!$D$11),"中",AND(C10&gt;=工数マスタ!$C$10,C10&lt;=工数マスタ!$C$11),"高",C10&gt;=工数マスタ!$B$10,"特高")</f>
        <v>高</v>
      </c>
      <c r="E10" s="7">
        <f>SUMPRODUCT(VLOOKUP(E$4,工数マスタ!$A$2:$F$8,MATCH($D10,工数マスタ!$A$2:$F$2,0),FALSE))</f>
        <v>0.7</v>
      </c>
      <c r="F10" s="7">
        <f>SUMPRODUCT(VLOOKUP(F$4,工数マスタ!$A$2:$F$8,MATCH($D10,工数マスタ!$A$2:$F$2,0),FALSE))</f>
        <v>0.7</v>
      </c>
      <c r="G10" s="7">
        <f>SUMPRODUCT(VLOOKUP(G$4,工数マスタ!$A$2:$F$8,MATCH($D10,工数マスタ!$A$2:$F$2,0),FALSE))</f>
        <v>1.3</v>
      </c>
      <c r="H10" s="7">
        <f>SUMPRODUCT(VLOOKUP(H$4,工数マスタ!$A$2:$F$8,MATCH($D10,工数マスタ!$A$2:$F$2,0),FALSE))</f>
        <v>0.7</v>
      </c>
      <c r="I10" s="7">
        <f>SUMPRODUCT(VLOOKUP(I$4,工数マスタ!$A$2:$F$8,MATCH($D10,工数マスタ!$A$2:$F$2,0),FALSE))</f>
        <v>2.5</v>
      </c>
      <c r="J10" s="7">
        <f>SUMPRODUCT(VLOOKUP(J$4,工数マスタ!$A$2:$F$8,MATCH($D10,工数マスタ!$A$2:$F$2,0),FALSE))</f>
        <v>0.7</v>
      </c>
      <c r="K10" s="27">
        <f t="shared" si="0"/>
        <v>1.3200000000000003</v>
      </c>
      <c r="L10" s="8">
        <f t="shared" si="1"/>
        <v>7.9200000000000008</v>
      </c>
      <c r="M10" s="8">
        <f t="shared" si="2"/>
        <v>0.4</v>
      </c>
    </row>
    <row r="11" spans="1:13" x14ac:dyDescent="0.2">
      <c r="B11" s="5" t="s">
        <v>59</v>
      </c>
      <c r="C11" s="6">
        <v>112</v>
      </c>
      <c r="D11" s="6" t="str" cm="1">
        <f t="array" ref="D11">_xlfn.IFS(C11&lt;=工数マスタ!$F$11,"特低",AND(C11&gt;=工数マスタ!$E$10,C11&lt;=工数マスタ!$E$11),"低",AND(C11&gt;=工数マスタ!$D$10,C11&lt;=工数マスタ!$D$11),"中",AND(C11&gt;=工数マスタ!$C$10,C11&lt;=工数マスタ!$C$11),"高",C11&gt;=工数マスタ!$B$10,"特高")</f>
        <v>特低</v>
      </c>
      <c r="E11" s="7">
        <f>SUMPRODUCT(VLOOKUP(E$4,工数マスタ!$A$2:$F$8,MATCH($D11,工数マスタ!$A$2:$F$2,0),FALSE))</f>
        <v>0.2</v>
      </c>
      <c r="F11" s="7">
        <f>SUMPRODUCT(VLOOKUP(F$4,工数マスタ!$A$2:$F$8,MATCH($D11,工数マスタ!$A$2:$F$2,0),FALSE))</f>
        <v>0.2</v>
      </c>
      <c r="G11" s="7">
        <f>SUMPRODUCT(VLOOKUP(G$4,工数マスタ!$A$2:$F$8,MATCH($D11,工数マスタ!$A$2:$F$2,0),FALSE))</f>
        <v>0.5</v>
      </c>
      <c r="H11" s="7">
        <f>SUMPRODUCT(VLOOKUP(H$4,工数マスタ!$A$2:$F$8,MATCH($D11,工数マスタ!$A$2:$F$2,0),FALSE))</f>
        <v>0.2</v>
      </c>
      <c r="I11" s="7">
        <f>SUMPRODUCT(VLOOKUP(I$4,工数マスタ!$A$2:$F$8,MATCH($D11,工数マスタ!$A$2:$F$2,0),FALSE))</f>
        <v>1</v>
      </c>
      <c r="J11" s="7">
        <f>SUMPRODUCT(VLOOKUP(J$4,工数マスタ!$A$2:$F$8,MATCH($D11,工数マスタ!$A$2:$F$2,0),FALSE))</f>
        <v>0.2</v>
      </c>
      <c r="K11" s="27">
        <f t="shared" si="0"/>
        <v>0.46000000000000008</v>
      </c>
      <c r="L11" s="8">
        <f t="shared" si="1"/>
        <v>2.7600000000000002</v>
      </c>
      <c r="M11" s="8">
        <f t="shared" si="2"/>
        <v>0.14000000000000001</v>
      </c>
    </row>
    <row r="12" spans="1:13" x14ac:dyDescent="0.2">
      <c r="B12" s="5" t="s">
        <v>60</v>
      </c>
      <c r="C12" s="6">
        <v>76</v>
      </c>
      <c r="D12" s="6" t="str" cm="1">
        <f t="array" ref="D12">_xlfn.IFS(C12&lt;=工数マスタ!$F$11,"特低",AND(C12&gt;=工数マスタ!$E$10,C12&lt;=工数マスタ!$E$11),"低",AND(C12&gt;=工数マスタ!$D$10,C12&lt;=工数マスタ!$D$11),"中",AND(C12&gt;=工数マスタ!$C$10,C12&lt;=工数マスタ!$C$11),"高",C12&gt;=工数マスタ!$B$10,"特高")</f>
        <v>特低</v>
      </c>
      <c r="E12" s="7">
        <f>SUMPRODUCT(VLOOKUP(E$4,工数マスタ!$A$2:$F$8,MATCH($D12,工数マスタ!$A$2:$F$2,0),FALSE))</f>
        <v>0.2</v>
      </c>
      <c r="F12" s="7">
        <f>SUMPRODUCT(VLOOKUP(F$4,工数マスタ!$A$2:$F$8,MATCH($D12,工数マスタ!$A$2:$F$2,0),FALSE))</f>
        <v>0.2</v>
      </c>
      <c r="G12" s="7">
        <f>SUMPRODUCT(VLOOKUP(G$4,工数マスタ!$A$2:$F$8,MATCH($D12,工数マスタ!$A$2:$F$2,0),FALSE))</f>
        <v>0.5</v>
      </c>
      <c r="H12" s="7">
        <f>SUMPRODUCT(VLOOKUP(H$4,工数マスタ!$A$2:$F$8,MATCH($D12,工数マスタ!$A$2:$F$2,0),FALSE))</f>
        <v>0.2</v>
      </c>
      <c r="I12" s="7">
        <f>SUMPRODUCT(VLOOKUP(I$4,工数マスタ!$A$2:$F$8,MATCH($D12,工数マスタ!$A$2:$F$2,0),FALSE))</f>
        <v>1</v>
      </c>
      <c r="J12" s="7">
        <f>SUMPRODUCT(VLOOKUP(J$4,工数マスタ!$A$2:$F$8,MATCH($D12,工数マスタ!$A$2:$F$2,0),FALSE))</f>
        <v>0.2</v>
      </c>
      <c r="K12" s="27">
        <f t="shared" si="0"/>
        <v>0.46000000000000008</v>
      </c>
      <c r="L12" s="8">
        <f t="shared" si="1"/>
        <v>2.7600000000000002</v>
      </c>
      <c r="M12" s="8">
        <f t="shared" si="2"/>
        <v>0.14000000000000001</v>
      </c>
    </row>
    <row r="13" spans="1:13" x14ac:dyDescent="0.2">
      <c r="B13" s="5" t="s">
        <v>61</v>
      </c>
      <c r="C13" s="6">
        <v>75</v>
      </c>
      <c r="D13" s="6" t="str" cm="1">
        <f t="array" ref="D13">_xlfn.IFS(C13&lt;=工数マスタ!$F$11,"特低",AND(C13&gt;=工数マスタ!$E$10,C13&lt;=工数マスタ!$E$11),"低",AND(C13&gt;=工数マスタ!$D$10,C13&lt;=工数マスタ!$D$11),"中",AND(C13&gt;=工数マスタ!$C$10,C13&lt;=工数マスタ!$C$11),"高",C13&gt;=工数マスタ!$B$10,"特高")</f>
        <v>特低</v>
      </c>
      <c r="E13" s="7">
        <f>SUMPRODUCT(VLOOKUP(E$4,工数マスタ!$A$2:$F$8,MATCH($D13,工数マスタ!$A$2:$F$2,0),FALSE))</f>
        <v>0.2</v>
      </c>
      <c r="F13" s="7">
        <f>SUMPRODUCT(VLOOKUP(F$4,工数マスタ!$A$2:$F$8,MATCH($D13,工数マスタ!$A$2:$F$2,0),FALSE))</f>
        <v>0.2</v>
      </c>
      <c r="G13" s="7">
        <f>SUMPRODUCT(VLOOKUP(G$4,工数マスタ!$A$2:$F$8,MATCH($D13,工数マスタ!$A$2:$F$2,0),FALSE))</f>
        <v>0.5</v>
      </c>
      <c r="H13" s="7">
        <f>SUMPRODUCT(VLOOKUP(H$4,工数マスタ!$A$2:$F$8,MATCH($D13,工数マスタ!$A$2:$F$2,0),FALSE))</f>
        <v>0.2</v>
      </c>
      <c r="I13" s="7">
        <f>SUMPRODUCT(VLOOKUP(I$4,工数マスタ!$A$2:$F$8,MATCH($D13,工数マスタ!$A$2:$F$2,0),FALSE))</f>
        <v>1</v>
      </c>
      <c r="J13" s="7">
        <f>SUMPRODUCT(VLOOKUP(J$4,工数マスタ!$A$2:$F$8,MATCH($D13,工数マスタ!$A$2:$F$2,0),FALSE))</f>
        <v>0.2</v>
      </c>
      <c r="K13" s="27">
        <f t="shared" si="0"/>
        <v>0.46000000000000008</v>
      </c>
      <c r="L13" s="8">
        <f t="shared" si="1"/>
        <v>2.7600000000000002</v>
      </c>
      <c r="M13" s="8">
        <f t="shared" si="2"/>
        <v>0.14000000000000001</v>
      </c>
    </row>
    <row r="14" spans="1:13" x14ac:dyDescent="0.2">
      <c r="B14" s="5" t="s">
        <v>62</v>
      </c>
      <c r="C14" s="6">
        <v>840</v>
      </c>
      <c r="D14" s="6" t="str" cm="1">
        <f t="array" ref="D14">_xlfn.IFS(C14&lt;=工数マスタ!$F$11,"特低",AND(C14&gt;=工数マスタ!$E$10,C14&lt;=工数マスタ!$E$11),"低",AND(C14&gt;=工数マスタ!$D$10,C14&lt;=工数マスタ!$D$11),"中",AND(C14&gt;=工数マスタ!$C$10,C14&lt;=工数マスタ!$C$11),"高",C14&gt;=工数マスタ!$B$10,"特高")</f>
        <v>中</v>
      </c>
      <c r="E14" s="7">
        <f>SUMPRODUCT(VLOOKUP(E$4,工数マスタ!$A$2:$F$8,MATCH($D14,工数マスタ!$A$2:$F$2,0),FALSE))</f>
        <v>0.5</v>
      </c>
      <c r="F14" s="7">
        <f>SUMPRODUCT(VLOOKUP(F$4,工数マスタ!$A$2:$F$8,MATCH($D14,工数マスタ!$A$2:$F$2,0),FALSE))</f>
        <v>0.5</v>
      </c>
      <c r="G14" s="7">
        <f>SUMPRODUCT(VLOOKUP(G$4,工数マスタ!$A$2:$F$8,MATCH($D14,工数マスタ!$A$2:$F$2,0),FALSE))</f>
        <v>1</v>
      </c>
      <c r="H14" s="7">
        <f>SUMPRODUCT(VLOOKUP(H$4,工数マスタ!$A$2:$F$8,MATCH($D14,工数マスタ!$A$2:$F$2,0),FALSE))</f>
        <v>0.5</v>
      </c>
      <c r="I14" s="7">
        <f>SUMPRODUCT(VLOOKUP(I$4,工数マスタ!$A$2:$F$8,MATCH($D14,工数マスタ!$A$2:$F$2,0),FALSE))</f>
        <v>2</v>
      </c>
      <c r="J14" s="7">
        <f>SUMPRODUCT(VLOOKUP(J$4,工数マスタ!$A$2:$F$8,MATCH($D14,工数マスタ!$A$2:$F$2,0),FALSE))</f>
        <v>0.5</v>
      </c>
      <c r="K14" s="27">
        <f t="shared" si="0"/>
        <v>1</v>
      </c>
      <c r="L14" s="8">
        <f t="shared" si="1"/>
        <v>6</v>
      </c>
      <c r="M14" s="8">
        <f t="shared" si="2"/>
        <v>0.3</v>
      </c>
    </row>
    <row r="15" spans="1:13" x14ac:dyDescent="0.2">
      <c r="B15" s="5" t="s">
        <v>87</v>
      </c>
      <c r="C15" s="6">
        <v>1418</v>
      </c>
      <c r="D15" s="6" t="str" cm="1">
        <f t="array" ref="D15">_xlfn.IFS(C15&lt;=工数マスタ!$F$11,"特低",AND(C15&gt;=工数マスタ!$E$10,C15&lt;=工数マスタ!$E$11),"低",AND(C15&gt;=工数マスタ!$D$10,C15&lt;=工数マスタ!$D$11),"中",AND(C15&gt;=工数マスタ!$C$10,C15&lt;=工数マスタ!$C$11),"高",C15&gt;=工数マスタ!$B$10,"特高")</f>
        <v>高</v>
      </c>
      <c r="E15" s="7">
        <f>SUMPRODUCT(VLOOKUP(E$4,工数マスタ!$A$2:$F$8,MATCH($D15,工数マスタ!$A$2:$F$2,0),FALSE))</f>
        <v>0.7</v>
      </c>
      <c r="F15" s="7">
        <f>SUMPRODUCT(VLOOKUP(F$4,工数マスタ!$A$2:$F$8,MATCH($D15,工数マスタ!$A$2:$F$2,0),FALSE))</f>
        <v>0.7</v>
      </c>
      <c r="G15" s="7">
        <f>SUMPRODUCT(VLOOKUP(G$4,工数マスタ!$A$2:$F$8,MATCH($D15,工数マスタ!$A$2:$F$2,0),FALSE))</f>
        <v>1.3</v>
      </c>
      <c r="H15" s="7">
        <f>SUMPRODUCT(VLOOKUP(H$4,工数マスタ!$A$2:$F$8,MATCH($D15,工数マスタ!$A$2:$F$2,0),FALSE))</f>
        <v>0.7</v>
      </c>
      <c r="I15" s="7">
        <f>SUMPRODUCT(VLOOKUP(I$4,工数マスタ!$A$2:$F$8,MATCH($D15,工数マスタ!$A$2:$F$2,0),FALSE))</f>
        <v>2.5</v>
      </c>
      <c r="J15" s="7">
        <f>SUMPRODUCT(VLOOKUP(J$4,工数マスタ!$A$2:$F$8,MATCH($D15,工数マスタ!$A$2:$F$2,0),FALSE))</f>
        <v>0.7</v>
      </c>
      <c r="K15" s="27">
        <f t="shared" si="0"/>
        <v>1.3200000000000003</v>
      </c>
      <c r="L15" s="8">
        <f t="shared" si="1"/>
        <v>7.9200000000000008</v>
      </c>
      <c r="M15" s="8">
        <f t="shared" si="2"/>
        <v>0.4</v>
      </c>
    </row>
    <row r="16" spans="1:13" x14ac:dyDescent="0.2">
      <c r="B16" s="5" t="s">
        <v>63</v>
      </c>
      <c r="C16" s="6">
        <v>110</v>
      </c>
      <c r="D16" s="6" t="str" cm="1">
        <f t="array" ref="D16">_xlfn.IFS(C16&lt;=工数マスタ!$F$11,"特低",AND(C16&gt;=工数マスタ!$E$10,C16&lt;=工数マスタ!$E$11),"低",AND(C16&gt;=工数マスタ!$D$10,C16&lt;=工数マスタ!$D$11),"中",AND(C16&gt;=工数マスタ!$C$10,C16&lt;=工数マスタ!$C$11),"高",C16&gt;=工数マスタ!$B$10,"特高")</f>
        <v>特低</v>
      </c>
      <c r="E16" s="7">
        <f>SUMPRODUCT(VLOOKUP(E$4,工数マスタ!$A$2:$F$8,MATCH($D16,工数マスタ!$A$2:$F$2,0),FALSE))</f>
        <v>0.2</v>
      </c>
      <c r="F16" s="7">
        <f>SUMPRODUCT(VLOOKUP(F$4,工数マスタ!$A$2:$F$8,MATCH($D16,工数マスタ!$A$2:$F$2,0),FALSE))</f>
        <v>0.2</v>
      </c>
      <c r="G16" s="7">
        <f>SUMPRODUCT(VLOOKUP(G$4,工数マスタ!$A$2:$F$8,MATCH($D16,工数マスタ!$A$2:$F$2,0),FALSE))</f>
        <v>0.5</v>
      </c>
      <c r="H16" s="7">
        <f>SUMPRODUCT(VLOOKUP(H$4,工数マスタ!$A$2:$F$8,MATCH($D16,工数マスタ!$A$2:$F$2,0),FALSE))</f>
        <v>0.2</v>
      </c>
      <c r="I16" s="7">
        <f>SUMPRODUCT(VLOOKUP(I$4,工数マスタ!$A$2:$F$8,MATCH($D16,工数マスタ!$A$2:$F$2,0),FALSE))</f>
        <v>1</v>
      </c>
      <c r="J16" s="7">
        <f>SUMPRODUCT(VLOOKUP(J$4,工数マスタ!$A$2:$F$8,MATCH($D16,工数マスタ!$A$2:$F$2,0),FALSE))</f>
        <v>0.2</v>
      </c>
      <c r="K16" s="27">
        <f t="shared" si="0"/>
        <v>0.46000000000000008</v>
      </c>
      <c r="L16" s="8">
        <f t="shared" si="1"/>
        <v>2.7600000000000002</v>
      </c>
      <c r="M16" s="8">
        <f t="shared" si="2"/>
        <v>0.14000000000000001</v>
      </c>
    </row>
    <row r="17" spans="2:13" x14ac:dyDescent="0.2">
      <c r="B17" s="5" t="s">
        <v>64</v>
      </c>
      <c r="C17" s="6">
        <v>567</v>
      </c>
      <c r="D17" s="6" t="str" cm="1">
        <f t="array" ref="D17">_xlfn.IFS(C17&lt;=工数マスタ!$F$11,"特低",AND(C17&gt;=工数マスタ!$E$10,C17&lt;=工数マスタ!$E$11),"低",AND(C17&gt;=工数マスタ!$D$10,C17&lt;=工数マスタ!$D$11),"中",AND(C17&gt;=工数マスタ!$C$10,C17&lt;=工数マスタ!$C$11),"高",C17&gt;=工数マスタ!$B$10,"特高")</f>
        <v>中</v>
      </c>
      <c r="E17" s="7">
        <f>SUMPRODUCT(VLOOKUP(E$4,工数マスタ!$A$2:$F$8,MATCH($D17,工数マスタ!$A$2:$F$2,0),FALSE))</f>
        <v>0.5</v>
      </c>
      <c r="F17" s="7">
        <f>SUMPRODUCT(VLOOKUP(F$4,工数マスタ!$A$2:$F$8,MATCH($D17,工数マスタ!$A$2:$F$2,0),FALSE))</f>
        <v>0.5</v>
      </c>
      <c r="G17" s="7">
        <f>SUMPRODUCT(VLOOKUP(G$4,工数マスタ!$A$2:$F$8,MATCH($D17,工数マスタ!$A$2:$F$2,0),FALSE))</f>
        <v>1</v>
      </c>
      <c r="H17" s="7">
        <f>SUMPRODUCT(VLOOKUP(H$4,工数マスタ!$A$2:$F$8,MATCH($D17,工数マスタ!$A$2:$F$2,0),FALSE))</f>
        <v>0.5</v>
      </c>
      <c r="I17" s="7">
        <f>SUMPRODUCT(VLOOKUP(I$4,工数マスタ!$A$2:$F$8,MATCH($D17,工数マスタ!$A$2:$F$2,0),FALSE))</f>
        <v>2</v>
      </c>
      <c r="J17" s="7">
        <f>SUMPRODUCT(VLOOKUP(J$4,工数マスタ!$A$2:$F$8,MATCH($D17,工数マスタ!$A$2:$F$2,0),FALSE))</f>
        <v>0.5</v>
      </c>
      <c r="K17" s="27">
        <f t="shared" si="0"/>
        <v>1</v>
      </c>
      <c r="L17" s="8">
        <f t="shared" si="1"/>
        <v>6</v>
      </c>
      <c r="M17" s="8">
        <f t="shared" si="2"/>
        <v>0.3</v>
      </c>
    </row>
    <row r="18" spans="2:13" x14ac:dyDescent="0.2">
      <c r="B18" s="5" t="s">
        <v>65</v>
      </c>
      <c r="C18" s="6">
        <v>75</v>
      </c>
      <c r="D18" s="6" t="str" cm="1">
        <f t="array" ref="D18">_xlfn.IFS(C18&lt;=工数マスタ!$F$11,"特低",AND(C18&gt;=工数マスタ!$E$10,C18&lt;=工数マスタ!$E$11),"低",AND(C18&gt;=工数マスタ!$D$10,C18&lt;=工数マスタ!$D$11),"中",AND(C18&gt;=工数マスタ!$C$10,C18&lt;=工数マスタ!$C$11),"高",C18&gt;=工数マスタ!$B$10,"特高")</f>
        <v>特低</v>
      </c>
      <c r="E18" s="7">
        <f>SUMPRODUCT(VLOOKUP(E$4,工数マスタ!$A$2:$F$8,MATCH($D18,工数マスタ!$A$2:$F$2,0),FALSE))</f>
        <v>0.2</v>
      </c>
      <c r="F18" s="7">
        <f>SUMPRODUCT(VLOOKUP(F$4,工数マスタ!$A$2:$F$8,MATCH($D18,工数マスタ!$A$2:$F$2,0),FALSE))</f>
        <v>0.2</v>
      </c>
      <c r="G18" s="7">
        <f>SUMPRODUCT(VLOOKUP(G$4,工数マスタ!$A$2:$F$8,MATCH($D18,工数マスタ!$A$2:$F$2,0),FALSE))</f>
        <v>0.5</v>
      </c>
      <c r="H18" s="7">
        <f>SUMPRODUCT(VLOOKUP(H$4,工数マスタ!$A$2:$F$8,MATCH($D18,工数マスタ!$A$2:$F$2,0),FALSE))</f>
        <v>0.2</v>
      </c>
      <c r="I18" s="7">
        <f>SUMPRODUCT(VLOOKUP(I$4,工数マスタ!$A$2:$F$8,MATCH($D18,工数マスタ!$A$2:$F$2,0),FALSE))</f>
        <v>1</v>
      </c>
      <c r="J18" s="7">
        <f>SUMPRODUCT(VLOOKUP(J$4,工数マスタ!$A$2:$F$8,MATCH($D18,工数マスタ!$A$2:$F$2,0),FALSE))</f>
        <v>0.2</v>
      </c>
      <c r="K18" s="27">
        <f t="shared" si="0"/>
        <v>0.46000000000000008</v>
      </c>
      <c r="L18" s="8">
        <f t="shared" si="1"/>
        <v>2.7600000000000002</v>
      </c>
      <c r="M18" s="8">
        <f t="shared" si="2"/>
        <v>0.14000000000000001</v>
      </c>
    </row>
    <row r="19" spans="2:13" x14ac:dyDescent="0.2">
      <c r="B19" s="5" t="s">
        <v>66</v>
      </c>
      <c r="C19" s="6">
        <v>309</v>
      </c>
      <c r="D19" s="6" t="str" cm="1">
        <f t="array" ref="D19">_xlfn.IFS(C19&lt;=工数マスタ!$F$11,"特低",AND(C19&gt;=工数マスタ!$E$10,C19&lt;=工数マスタ!$E$11),"低",AND(C19&gt;=工数マスタ!$D$10,C19&lt;=工数マスタ!$D$11),"中",AND(C19&gt;=工数マスタ!$C$10,C19&lt;=工数マスタ!$C$11),"高",C19&gt;=工数マスタ!$B$10,"特高")</f>
        <v>低</v>
      </c>
      <c r="E19" s="7">
        <f>SUMPRODUCT(VLOOKUP(E$4,工数マスタ!$A$2:$F$8,MATCH($D19,工数マスタ!$A$2:$F$2,0),FALSE))</f>
        <v>0.3</v>
      </c>
      <c r="F19" s="7">
        <f>SUMPRODUCT(VLOOKUP(F$4,工数マスタ!$A$2:$F$8,MATCH($D19,工数マスタ!$A$2:$F$2,0),FALSE))</f>
        <v>0.3</v>
      </c>
      <c r="G19" s="7">
        <f>SUMPRODUCT(VLOOKUP(G$4,工数マスタ!$A$2:$F$8,MATCH($D19,工数マスタ!$A$2:$F$2,0),FALSE))</f>
        <v>0.8</v>
      </c>
      <c r="H19" s="7">
        <f>SUMPRODUCT(VLOOKUP(H$4,工数マスタ!$A$2:$F$8,MATCH($D19,工数マスタ!$A$2:$F$2,0),FALSE))</f>
        <v>0.3</v>
      </c>
      <c r="I19" s="7">
        <f>SUMPRODUCT(VLOOKUP(I$4,工数マスタ!$A$2:$F$8,MATCH($D19,工数マスタ!$A$2:$F$2,0),FALSE))</f>
        <v>1.5</v>
      </c>
      <c r="J19" s="7">
        <f>SUMPRODUCT(VLOOKUP(J$4,工数マスタ!$A$2:$F$8,MATCH($D19,工数マスタ!$A$2:$F$2,0),FALSE))</f>
        <v>0.3</v>
      </c>
      <c r="K19" s="27">
        <f t="shared" si="0"/>
        <v>0.70000000000000007</v>
      </c>
      <c r="L19" s="8">
        <f t="shared" si="1"/>
        <v>4.2</v>
      </c>
      <c r="M19" s="8">
        <f t="shared" si="2"/>
        <v>0.21</v>
      </c>
    </row>
    <row r="20" spans="2:13" x14ac:dyDescent="0.2">
      <c r="B20" s="5" t="s">
        <v>67</v>
      </c>
      <c r="C20" s="6">
        <v>253</v>
      </c>
      <c r="D20" s="6" t="str" cm="1">
        <f t="array" ref="D20">_xlfn.IFS(C20&lt;=工数マスタ!$F$11,"特低",AND(C20&gt;=工数マスタ!$E$10,C20&lt;=工数マスタ!$E$11),"低",AND(C20&gt;=工数マスタ!$D$10,C20&lt;=工数マスタ!$D$11),"中",AND(C20&gt;=工数マスタ!$C$10,C20&lt;=工数マスタ!$C$11),"高",C20&gt;=工数マスタ!$B$10,"特高")</f>
        <v>低</v>
      </c>
      <c r="E20" s="7">
        <f>SUMPRODUCT(VLOOKUP(E$4,工数マスタ!$A$2:$F$8,MATCH($D20,工数マスタ!$A$2:$F$2,0),FALSE))</f>
        <v>0.3</v>
      </c>
      <c r="F20" s="7">
        <f>SUMPRODUCT(VLOOKUP(F$4,工数マスタ!$A$2:$F$8,MATCH($D20,工数マスタ!$A$2:$F$2,0),FALSE))</f>
        <v>0.3</v>
      </c>
      <c r="G20" s="7">
        <f>SUMPRODUCT(VLOOKUP(G$4,工数マスタ!$A$2:$F$8,MATCH($D20,工数マスタ!$A$2:$F$2,0),FALSE))</f>
        <v>0.8</v>
      </c>
      <c r="H20" s="7">
        <f>SUMPRODUCT(VLOOKUP(H$4,工数マスタ!$A$2:$F$8,MATCH($D20,工数マスタ!$A$2:$F$2,0),FALSE))</f>
        <v>0.3</v>
      </c>
      <c r="I20" s="7">
        <f>SUMPRODUCT(VLOOKUP(I$4,工数マスタ!$A$2:$F$8,MATCH($D20,工数マスタ!$A$2:$F$2,0),FALSE))</f>
        <v>1.5</v>
      </c>
      <c r="J20" s="7">
        <f>SUMPRODUCT(VLOOKUP(J$4,工数マスタ!$A$2:$F$8,MATCH($D20,工数マスタ!$A$2:$F$2,0),FALSE))</f>
        <v>0.3</v>
      </c>
      <c r="K20" s="27">
        <f t="shared" si="0"/>
        <v>0.70000000000000007</v>
      </c>
      <c r="L20" s="8">
        <f t="shared" si="1"/>
        <v>4.2</v>
      </c>
      <c r="M20" s="8">
        <f t="shared" si="2"/>
        <v>0.21</v>
      </c>
    </row>
    <row r="21" spans="2:13" x14ac:dyDescent="0.2">
      <c r="B21" s="5" t="s">
        <v>68</v>
      </c>
      <c r="C21" s="6">
        <v>75</v>
      </c>
      <c r="D21" s="6" t="str" cm="1">
        <f t="array" ref="D21">_xlfn.IFS(C21&lt;=工数マスタ!$F$11,"特低",AND(C21&gt;=工数マスタ!$E$10,C21&lt;=工数マスタ!$E$11),"低",AND(C21&gt;=工数マスタ!$D$10,C21&lt;=工数マスタ!$D$11),"中",AND(C21&gt;=工数マスタ!$C$10,C21&lt;=工数マスタ!$C$11),"高",C21&gt;=工数マスタ!$B$10,"特高")</f>
        <v>特低</v>
      </c>
      <c r="E21" s="7">
        <f>SUMPRODUCT(VLOOKUP(E$4,工数マスタ!$A$2:$F$8,MATCH($D21,工数マスタ!$A$2:$F$2,0),FALSE))</f>
        <v>0.2</v>
      </c>
      <c r="F21" s="7">
        <f>SUMPRODUCT(VLOOKUP(F$4,工数マスタ!$A$2:$F$8,MATCH($D21,工数マスタ!$A$2:$F$2,0),FALSE))</f>
        <v>0.2</v>
      </c>
      <c r="G21" s="7">
        <f>SUMPRODUCT(VLOOKUP(G$4,工数マスタ!$A$2:$F$8,MATCH($D21,工数マスタ!$A$2:$F$2,0),FALSE))</f>
        <v>0.5</v>
      </c>
      <c r="H21" s="7">
        <f>SUMPRODUCT(VLOOKUP(H$4,工数マスタ!$A$2:$F$8,MATCH($D21,工数マスタ!$A$2:$F$2,0),FALSE))</f>
        <v>0.2</v>
      </c>
      <c r="I21" s="7">
        <f>SUMPRODUCT(VLOOKUP(I$4,工数マスタ!$A$2:$F$8,MATCH($D21,工数マスタ!$A$2:$F$2,0),FALSE))</f>
        <v>1</v>
      </c>
      <c r="J21" s="7">
        <f>SUMPRODUCT(VLOOKUP(J$4,工数マスタ!$A$2:$F$8,MATCH($D21,工数マスタ!$A$2:$F$2,0),FALSE))</f>
        <v>0.2</v>
      </c>
      <c r="K21" s="27">
        <f t="shared" si="0"/>
        <v>0.46000000000000008</v>
      </c>
      <c r="L21" s="8">
        <f t="shared" si="1"/>
        <v>2.7600000000000002</v>
      </c>
      <c r="M21" s="8">
        <f t="shared" si="2"/>
        <v>0.14000000000000001</v>
      </c>
    </row>
    <row r="22" spans="2:13" x14ac:dyDescent="0.2">
      <c r="B22" s="5" t="s">
        <v>69</v>
      </c>
      <c r="C22" s="6">
        <v>61</v>
      </c>
      <c r="D22" s="6" t="str" cm="1">
        <f t="array" ref="D22">_xlfn.IFS(C22&lt;=工数マスタ!$F$11,"特低",AND(C22&gt;=工数マスタ!$E$10,C22&lt;=工数マスタ!$E$11),"低",AND(C22&gt;=工数マスタ!$D$10,C22&lt;=工数マスタ!$D$11),"中",AND(C22&gt;=工数マスタ!$C$10,C22&lt;=工数マスタ!$C$11),"高",C22&gt;=工数マスタ!$B$10,"特高")</f>
        <v>特低</v>
      </c>
      <c r="E22" s="7">
        <f>SUMPRODUCT(VLOOKUP(E$4,工数マスタ!$A$2:$F$8,MATCH($D22,工数マスタ!$A$2:$F$2,0),FALSE))</f>
        <v>0.2</v>
      </c>
      <c r="F22" s="7">
        <f>SUMPRODUCT(VLOOKUP(F$4,工数マスタ!$A$2:$F$8,MATCH($D22,工数マスタ!$A$2:$F$2,0),FALSE))</f>
        <v>0.2</v>
      </c>
      <c r="G22" s="7">
        <f>SUMPRODUCT(VLOOKUP(G$4,工数マスタ!$A$2:$F$8,MATCH($D22,工数マスタ!$A$2:$F$2,0),FALSE))</f>
        <v>0.5</v>
      </c>
      <c r="H22" s="7">
        <f>SUMPRODUCT(VLOOKUP(H$4,工数マスタ!$A$2:$F$8,MATCH($D22,工数マスタ!$A$2:$F$2,0),FALSE))</f>
        <v>0.2</v>
      </c>
      <c r="I22" s="7">
        <f>SUMPRODUCT(VLOOKUP(I$4,工数マスタ!$A$2:$F$8,MATCH($D22,工数マスタ!$A$2:$F$2,0),FALSE))</f>
        <v>1</v>
      </c>
      <c r="J22" s="7">
        <f>SUMPRODUCT(VLOOKUP(J$4,工数マスタ!$A$2:$F$8,MATCH($D22,工数マスタ!$A$2:$F$2,0),FALSE))</f>
        <v>0.2</v>
      </c>
      <c r="K22" s="27">
        <f t="shared" si="0"/>
        <v>0.46000000000000008</v>
      </c>
      <c r="L22" s="8">
        <f t="shared" si="1"/>
        <v>2.7600000000000002</v>
      </c>
      <c r="M22" s="8">
        <f t="shared" si="2"/>
        <v>0.14000000000000001</v>
      </c>
    </row>
    <row r="23" spans="2:13" x14ac:dyDescent="0.2">
      <c r="B23" s="5" t="s">
        <v>70</v>
      </c>
      <c r="C23" s="6">
        <v>984</v>
      </c>
      <c r="D23" s="6" t="str" cm="1">
        <f t="array" ref="D23">_xlfn.IFS(C23&lt;=工数マスタ!$F$11,"特低",AND(C23&gt;=工数マスタ!$E$10,C23&lt;=工数マスタ!$E$11),"低",AND(C23&gt;=工数マスタ!$D$10,C23&lt;=工数マスタ!$D$11),"中",AND(C23&gt;=工数マスタ!$C$10,C23&lt;=工数マスタ!$C$11),"高",C23&gt;=工数マスタ!$B$10,"特高")</f>
        <v>中</v>
      </c>
      <c r="E23" s="7">
        <f>SUMPRODUCT(VLOOKUP(E$4,工数マスタ!$A$2:$F$8,MATCH($D23,工数マスタ!$A$2:$F$2,0),FALSE))</f>
        <v>0.5</v>
      </c>
      <c r="F23" s="7">
        <f>SUMPRODUCT(VLOOKUP(F$4,工数マスタ!$A$2:$F$8,MATCH($D23,工数マスタ!$A$2:$F$2,0),FALSE))</f>
        <v>0.5</v>
      </c>
      <c r="G23" s="7">
        <f>SUMPRODUCT(VLOOKUP(G$4,工数マスタ!$A$2:$F$8,MATCH($D23,工数マスタ!$A$2:$F$2,0),FALSE))</f>
        <v>1</v>
      </c>
      <c r="H23" s="7">
        <f>SUMPRODUCT(VLOOKUP(H$4,工数マスタ!$A$2:$F$8,MATCH($D23,工数マスタ!$A$2:$F$2,0),FALSE))</f>
        <v>0.5</v>
      </c>
      <c r="I23" s="7">
        <f>SUMPRODUCT(VLOOKUP(I$4,工数マスタ!$A$2:$F$8,MATCH($D23,工数マスタ!$A$2:$F$2,0),FALSE))</f>
        <v>2</v>
      </c>
      <c r="J23" s="7">
        <f>SUMPRODUCT(VLOOKUP(J$4,工数マスタ!$A$2:$F$8,MATCH($D23,工数マスタ!$A$2:$F$2,0),FALSE))</f>
        <v>0.5</v>
      </c>
      <c r="K23" s="27">
        <f t="shared" si="0"/>
        <v>1</v>
      </c>
      <c r="L23" s="8">
        <f t="shared" si="1"/>
        <v>6</v>
      </c>
      <c r="M23" s="8">
        <f t="shared" si="2"/>
        <v>0.3</v>
      </c>
    </row>
    <row r="24" spans="2:13" x14ac:dyDescent="0.2">
      <c r="B24" s="5" t="s">
        <v>71</v>
      </c>
      <c r="C24" s="6">
        <v>501</v>
      </c>
      <c r="D24" s="6" t="str" cm="1">
        <f t="array" ref="D24">_xlfn.IFS(C24&lt;=工数マスタ!$F$11,"特低",AND(C24&gt;=工数マスタ!$E$10,C24&lt;=工数マスタ!$E$11),"低",AND(C24&gt;=工数マスタ!$D$10,C24&lt;=工数マスタ!$D$11),"中",AND(C24&gt;=工数マスタ!$C$10,C24&lt;=工数マスタ!$C$11),"高",C24&gt;=工数マスタ!$B$10,"特高")</f>
        <v>中</v>
      </c>
      <c r="E24" s="7">
        <f>SUMPRODUCT(VLOOKUP(E$4,工数マスタ!$A$2:$F$8,MATCH($D24,工数マスタ!$A$2:$F$2,0),FALSE))</f>
        <v>0.5</v>
      </c>
      <c r="F24" s="7">
        <f>SUMPRODUCT(VLOOKUP(F$4,工数マスタ!$A$2:$F$8,MATCH($D24,工数マスタ!$A$2:$F$2,0),FALSE))</f>
        <v>0.5</v>
      </c>
      <c r="G24" s="7">
        <f>SUMPRODUCT(VLOOKUP(G$4,工数マスタ!$A$2:$F$8,MATCH($D24,工数マスタ!$A$2:$F$2,0),FALSE))</f>
        <v>1</v>
      </c>
      <c r="H24" s="7">
        <f>SUMPRODUCT(VLOOKUP(H$4,工数マスタ!$A$2:$F$8,MATCH($D24,工数マスタ!$A$2:$F$2,0),FALSE))</f>
        <v>0.5</v>
      </c>
      <c r="I24" s="7">
        <f>SUMPRODUCT(VLOOKUP(I$4,工数マスタ!$A$2:$F$8,MATCH($D24,工数マスタ!$A$2:$F$2,0),FALSE))</f>
        <v>2</v>
      </c>
      <c r="J24" s="7">
        <f>SUMPRODUCT(VLOOKUP(J$4,工数マスタ!$A$2:$F$8,MATCH($D24,工数マスタ!$A$2:$F$2,0),FALSE))</f>
        <v>0.5</v>
      </c>
      <c r="K24" s="27">
        <f t="shared" si="0"/>
        <v>1</v>
      </c>
      <c r="L24" s="8">
        <f t="shared" si="1"/>
        <v>6</v>
      </c>
      <c r="M24" s="8">
        <f t="shared" si="2"/>
        <v>0.3</v>
      </c>
    </row>
    <row r="25" spans="2:13" x14ac:dyDescent="0.2">
      <c r="B25" s="5" t="s">
        <v>72</v>
      </c>
      <c r="C25" s="6">
        <v>414</v>
      </c>
      <c r="D25" s="6" t="str" cm="1">
        <f t="array" ref="D25">_xlfn.IFS(C25&lt;=工数マスタ!$F$11,"特低",AND(C25&gt;=工数マスタ!$E$10,C25&lt;=工数マスタ!$E$11),"低",AND(C25&gt;=工数マスタ!$D$10,C25&lt;=工数マスタ!$D$11),"中",AND(C25&gt;=工数マスタ!$C$10,C25&lt;=工数マスタ!$C$11),"高",C25&gt;=工数マスタ!$B$10,"特高")</f>
        <v>低</v>
      </c>
      <c r="E25" s="7">
        <f>SUMPRODUCT(VLOOKUP(E$4,工数マスタ!$A$2:$F$8,MATCH($D25,工数マスタ!$A$2:$F$2,0),FALSE))</f>
        <v>0.3</v>
      </c>
      <c r="F25" s="7">
        <f>SUMPRODUCT(VLOOKUP(F$4,工数マスタ!$A$2:$F$8,MATCH($D25,工数マスタ!$A$2:$F$2,0),FALSE))</f>
        <v>0.3</v>
      </c>
      <c r="G25" s="7">
        <f>SUMPRODUCT(VLOOKUP(G$4,工数マスタ!$A$2:$F$8,MATCH($D25,工数マスタ!$A$2:$F$2,0),FALSE))</f>
        <v>0.8</v>
      </c>
      <c r="H25" s="7">
        <f>SUMPRODUCT(VLOOKUP(H$4,工数マスタ!$A$2:$F$8,MATCH($D25,工数マスタ!$A$2:$F$2,0),FALSE))</f>
        <v>0.3</v>
      </c>
      <c r="I25" s="7">
        <f>SUMPRODUCT(VLOOKUP(I$4,工数マスタ!$A$2:$F$8,MATCH($D25,工数マスタ!$A$2:$F$2,0),FALSE))</f>
        <v>1.5</v>
      </c>
      <c r="J25" s="7">
        <f>SUMPRODUCT(VLOOKUP(J$4,工数マスタ!$A$2:$F$8,MATCH($D25,工数マスタ!$A$2:$F$2,0),FALSE))</f>
        <v>0.3</v>
      </c>
      <c r="K25" s="27">
        <f t="shared" si="0"/>
        <v>0.70000000000000007</v>
      </c>
      <c r="L25" s="8">
        <f t="shared" si="1"/>
        <v>4.2</v>
      </c>
      <c r="M25" s="8">
        <f t="shared" si="2"/>
        <v>0.21</v>
      </c>
    </row>
    <row r="26" spans="2:13" x14ac:dyDescent="0.2">
      <c r="B26" s="5" t="s">
        <v>73</v>
      </c>
      <c r="C26" s="6">
        <v>489</v>
      </c>
      <c r="D26" s="6" t="str" cm="1">
        <f t="array" ref="D26">_xlfn.IFS(C26&lt;=工数マスタ!$F$11,"特低",AND(C26&gt;=工数マスタ!$E$10,C26&lt;=工数マスタ!$E$11),"低",AND(C26&gt;=工数マスタ!$D$10,C26&lt;=工数マスタ!$D$11),"中",AND(C26&gt;=工数マスタ!$C$10,C26&lt;=工数マスタ!$C$11),"高",C26&gt;=工数マスタ!$B$10,"特高")</f>
        <v>低</v>
      </c>
      <c r="E26" s="7">
        <f>SUMPRODUCT(VLOOKUP(E$4,工数マスタ!$A$2:$F$8,MATCH($D26,工数マスタ!$A$2:$F$2,0),FALSE))</f>
        <v>0.3</v>
      </c>
      <c r="F26" s="7">
        <f>SUMPRODUCT(VLOOKUP(F$4,工数マスタ!$A$2:$F$8,MATCH($D26,工数マスタ!$A$2:$F$2,0),FALSE))</f>
        <v>0.3</v>
      </c>
      <c r="G26" s="7">
        <f>SUMPRODUCT(VLOOKUP(G$4,工数マスタ!$A$2:$F$8,MATCH($D26,工数マスタ!$A$2:$F$2,0),FALSE))</f>
        <v>0.8</v>
      </c>
      <c r="H26" s="7">
        <f>SUMPRODUCT(VLOOKUP(H$4,工数マスタ!$A$2:$F$8,MATCH($D26,工数マスタ!$A$2:$F$2,0),FALSE))</f>
        <v>0.3</v>
      </c>
      <c r="I26" s="7">
        <f>SUMPRODUCT(VLOOKUP(I$4,工数マスタ!$A$2:$F$8,MATCH($D26,工数マスタ!$A$2:$F$2,0),FALSE))</f>
        <v>1.5</v>
      </c>
      <c r="J26" s="7">
        <f>SUMPRODUCT(VLOOKUP(J$4,工数マスタ!$A$2:$F$8,MATCH($D26,工数マスタ!$A$2:$F$2,0),FALSE))</f>
        <v>0.3</v>
      </c>
      <c r="K26" s="27">
        <f t="shared" si="0"/>
        <v>0.70000000000000007</v>
      </c>
      <c r="L26" s="8">
        <f t="shared" si="1"/>
        <v>4.2</v>
      </c>
      <c r="M26" s="8">
        <f t="shared" si="2"/>
        <v>0.21</v>
      </c>
    </row>
    <row r="27" spans="2:13" x14ac:dyDescent="0.2">
      <c r="B27" s="5" t="s">
        <v>74</v>
      </c>
      <c r="C27" s="6">
        <v>377</v>
      </c>
      <c r="D27" s="6" t="str" cm="1">
        <f t="array" ref="D27">_xlfn.IFS(C27&lt;=工数マスタ!$F$11,"特低",AND(C27&gt;=工数マスタ!$E$10,C27&lt;=工数マスタ!$E$11),"低",AND(C27&gt;=工数マスタ!$D$10,C27&lt;=工数マスタ!$D$11),"中",AND(C27&gt;=工数マスタ!$C$10,C27&lt;=工数マスタ!$C$11),"高",C27&gt;=工数マスタ!$B$10,"特高")</f>
        <v>低</v>
      </c>
      <c r="E27" s="7">
        <f>SUMPRODUCT(VLOOKUP(E$4,工数マスタ!$A$2:$F$8,MATCH($D27,工数マスタ!$A$2:$F$2,0),FALSE))</f>
        <v>0.3</v>
      </c>
      <c r="F27" s="7">
        <f>SUMPRODUCT(VLOOKUP(F$4,工数マスタ!$A$2:$F$8,MATCH($D27,工数マスタ!$A$2:$F$2,0),FALSE))</f>
        <v>0.3</v>
      </c>
      <c r="G27" s="7">
        <f>SUMPRODUCT(VLOOKUP(G$4,工数マスタ!$A$2:$F$8,MATCH($D27,工数マスタ!$A$2:$F$2,0),FALSE))</f>
        <v>0.8</v>
      </c>
      <c r="H27" s="7">
        <f>SUMPRODUCT(VLOOKUP(H$4,工数マスタ!$A$2:$F$8,MATCH($D27,工数マスタ!$A$2:$F$2,0),FALSE))</f>
        <v>0.3</v>
      </c>
      <c r="I27" s="7">
        <f>SUMPRODUCT(VLOOKUP(I$4,工数マスタ!$A$2:$F$8,MATCH($D27,工数マスタ!$A$2:$F$2,0),FALSE))</f>
        <v>1.5</v>
      </c>
      <c r="J27" s="7">
        <f>SUMPRODUCT(VLOOKUP(J$4,工数マスタ!$A$2:$F$8,MATCH($D27,工数マスタ!$A$2:$F$2,0),FALSE))</f>
        <v>0.3</v>
      </c>
      <c r="K27" s="27">
        <f t="shared" si="0"/>
        <v>0.70000000000000007</v>
      </c>
      <c r="L27" s="8">
        <f t="shared" si="1"/>
        <v>4.2</v>
      </c>
      <c r="M27" s="8">
        <f t="shared" si="2"/>
        <v>0.21</v>
      </c>
    </row>
    <row r="28" spans="2:13" x14ac:dyDescent="0.2">
      <c r="B28" s="5" t="s">
        <v>75</v>
      </c>
      <c r="C28" s="6">
        <v>75</v>
      </c>
      <c r="D28" s="6" t="str" cm="1">
        <f t="array" ref="D28">_xlfn.IFS(C28&lt;=工数マスタ!$F$11,"特低",AND(C28&gt;=工数マスタ!$E$10,C28&lt;=工数マスタ!$E$11),"低",AND(C28&gt;=工数マスタ!$D$10,C28&lt;=工数マスタ!$D$11),"中",AND(C28&gt;=工数マスタ!$C$10,C28&lt;=工数マスタ!$C$11),"高",C28&gt;=工数マスタ!$B$10,"特高")</f>
        <v>特低</v>
      </c>
      <c r="E28" s="7">
        <f>SUMPRODUCT(VLOOKUP(E$4,工数マスタ!$A$2:$F$8,MATCH($D28,工数マスタ!$A$2:$F$2,0),FALSE))</f>
        <v>0.2</v>
      </c>
      <c r="F28" s="7">
        <f>SUMPRODUCT(VLOOKUP(F$4,工数マスタ!$A$2:$F$8,MATCH($D28,工数マスタ!$A$2:$F$2,0),FALSE))</f>
        <v>0.2</v>
      </c>
      <c r="G28" s="7">
        <f>SUMPRODUCT(VLOOKUP(G$4,工数マスタ!$A$2:$F$8,MATCH($D28,工数マスタ!$A$2:$F$2,0),FALSE))</f>
        <v>0.5</v>
      </c>
      <c r="H28" s="7">
        <f>SUMPRODUCT(VLOOKUP(H$4,工数マスタ!$A$2:$F$8,MATCH($D28,工数マスタ!$A$2:$F$2,0),FALSE))</f>
        <v>0.2</v>
      </c>
      <c r="I28" s="7">
        <f>SUMPRODUCT(VLOOKUP(I$4,工数マスタ!$A$2:$F$8,MATCH($D28,工数マスタ!$A$2:$F$2,0),FALSE))</f>
        <v>1</v>
      </c>
      <c r="J28" s="7">
        <f>SUMPRODUCT(VLOOKUP(J$4,工数マスタ!$A$2:$F$8,MATCH($D28,工数マスタ!$A$2:$F$2,0),FALSE))</f>
        <v>0.2</v>
      </c>
      <c r="K28" s="27">
        <f t="shared" si="0"/>
        <v>0.46000000000000008</v>
      </c>
      <c r="L28" s="8">
        <f t="shared" si="1"/>
        <v>2.7600000000000002</v>
      </c>
      <c r="M28" s="8">
        <f t="shared" si="2"/>
        <v>0.14000000000000001</v>
      </c>
    </row>
    <row r="29" spans="2:13" x14ac:dyDescent="0.2">
      <c r="B29" s="5" t="s">
        <v>76</v>
      </c>
      <c r="C29" s="6">
        <v>124</v>
      </c>
      <c r="D29" s="6" t="str" cm="1">
        <f t="array" ref="D29">_xlfn.IFS(C29&lt;=工数マスタ!$F$11,"特低",AND(C29&gt;=工数マスタ!$E$10,C29&lt;=工数マスタ!$E$11),"低",AND(C29&gt;=工数マスタ!$D$10,C29&lt;=工数マスタ!$D$11),"中",AND(C29&gt;=工数マスタ!$C$10,C29&lt;=工数マスタ!$C$11),"高",C29&gt;=工数マスタ!$B$10,"特高")</f>
        <v>特低</v>
      </c>
      <c r="E29" s="7">
        <f>SUMPRODUCT(VLOOKUP(E$4,工数マスタ!$A$2:$F$8,MATCH($D29,工数マスタ!$A$2:$F$2,0),FALSE))</f>
        <v>0.2</v>
      </c>
      <c r="F29" s="7">
        <f>SUMPRODUCT(VLOOKUP(F$4,工数マスタ!$A$2:$F$8,MATCH($D29,工数マスタ!$A$2:$F$2,0),FALSE))</f>
        <v>0.2</v>
      </c>
      <c r="G29" s="7">
        <f>SUMPRODUCT(VLOOKUP(G$4,工数マスタ!$A$2:$F$8,MATCH($D29,工数マスタ!$A$2:$F$2,0),FALSE))</f>
        <v>0.5</v>
      </c>
      <c r="H29" s="7">
        <f>SUMPRODUCT(VLOOKUP(H$4,工数マスタ!$A$2:$F$8,MATCH($D29,工数マスタ!$A$2:$F$2,0),FALSE))</f>
        <v>0.2</v>
      </c>
      <c r="I29" s="7">
        <f>SUMPRODUCT(VLOOKUP(I$4,工数マスタ!$A$2:$F$8,MATCH($D29,工数マスタ!$A$2:$F$2,0),FALSE))</f>
        <v>1</v>
      </c>
      <c r="J29" s="7">
        <f>SUMPRODUCT(VLOOKUP(J$4,工数マスタ!$A$2:$F$8,MATCH($D29,工数マスタ!$A$2:$F$2,0),FALSE))</f>
        <v>0.2</v>
      </c>
      <c r="K29" s="27">
        <f t="shared" si="0"/>
        <v>0.46000000000000008</v>
      </c>
      <c r="L29" s="8">
        <f t="shared" si="1"/>
        <v>2.7600000000000002</v>
      </c>
      <c r="M29" s="8">
        <f t="shared" si="2"/>
        <v>0.14000000000000001</v>
      </c>
    </row>
    <row r="30" spans="2:13" x14ac:dyDescent="0.2">
      <c r="B30" s="5" t="s">
        <v>77</v>
      </c>
      <c r="C30" s="6">
        <v>370</v>
      </c>
      <c r="D30" s="6" t="str" cm="1">
        <f t="array" ref="D30">_xlfn.IFS(C30&lt;=工数マスタ!$F$11,"特低",AND(C30&gt;=工数マスタ!$E$10,C30&lt;=工数マスタ!$E$11),"低",AND(C30&gt;=工数マスタ!$D$10,C30&lt;=工数マスタ!$D$11),"中",AND(C30&gt;=工数マスタ!$C$10,C30&lt;=工数マスタ!$C$11),"高",C30&gt;=工数マスタ!$B$10,"特高")</f>
        <v>低</v>
      </c>
      <c r="E30" s="7">
        <f>SUMPRODUCT(VLOOKUP(E$4,工数マスタ!$A$2:$F$8,MATCH($D30,工数マスタ!$A$2:$F$2,0),FALSE))</f>
        <v>0.3</v>
      </c>
      <c r="F30" s="7">
        <f>SUMPRODUCT(VLOOKUP(F$4,工数マスタ!$A$2:$F$8,MATCH($D30,工数マスタ!$A$2:$F$2,0),FALSE))</f>
        <v>0.3</v>
      </c>
      <c r="G30" s="7">
        <f>SUMPRODUCT(VLOOKUP(G$4,工数マスタ!$A$2:$F$8,MATCH($D30,工数マスタ!$A$2:$F$2,0),FALSE))</f>
        <v>0.8</v>
      </c>
      <c r="H30" s="7">
        <f>SUMPRODUCT(VLOOKUP(H$4,工数マスタ!$A$2:$F$8,MATCH($D30,工数マスタ!$A$2:$F$2,0),FALSE))</f>
        <v>0.3</v>
      </c>
      <c r="I30" s="7">
        <f>SUMPRODUCT(VLOOKUP(I$4,工数マスタ!$A$2:$F$8,MATCH($D30,工数マスタ!$A$2:$F$2,0),FALSE))</f>
        <v>1.5</v>
      </c>
      <c r="J30" s="7">
        <f>SUMPRODUCT(VLOOKUP(J$4,工数マスタ!$A$2:$F$8,MATCH($D30,工数マスタ!$A$2:$F$2,0),FALSE))</f>
        <v>0.3</v>
      </c>
      <c r="K30" s="27">
        <f t="shared" si="0"/>
        <v>0.70000000000000007</v>
      </c>
      <c r="L30" s="8">
        <f t="shared" si="1"/>
        <v>4.2</v>
      </c>
      <c r="M30" s="8">
        <f t="shared" si="2"/>
        <v>0.21</v>
      </c>
    </row>
    <row r="31" spans="2:13" x14ac:dyDescent="0.2">
      <c r="B31" s="5" t="s">
        <v>78</v>
      </c>
      <c r="C31" s="6">
        <v>199</v>
      </c>
      <c r="D31" s="6" t="str" cm="1">
        <f t="array" ref="D31">_xlfn.IFS(C31&lt;=工数マスタ!$F$11,"特低",AND(C31&gt;=工数マスタ!$E$10,C31&lt;=工数マスタ!$E$11),"低",AND(C31&gt;=工数マスタ!$D$10,C31&lt;=工数マスタ!$D$11),"中",AND(C31&gt;=工数マスタ!$C$10,C31&lt;=工数マスタ!$C$11),"高",C31&gt;=工数マスタ!$B$10,"特高")</f>
        <v>特低</v>
      </c>
      <c r="E31" s="7">
        <f>SUMPRODUCT(VLOOKUP(E$4,工数マスタ!$A$2:$F$8,MATCH($D31,工数マスタ!$A$2:$F$2,0),FALSE))</f>
        <v>0.2</v>
      </c>
      <c r="F31" s="7">
        <f>SUMPRODUCT(VLOOKUP(F$4,工数マスタ!$A$2:$F$8,MATCH($D31,工数マスタ!$A$2:$F$2,0),FALSE))</f>
        <v>0.2</v>
      </c>
      <c r="G31" s="7">
        <f>SUMPRODUCT(VLOOKUP(G$4,工数マスタ!$A$2:$F$8,MATCH($D31,工数マスタ!$A$2:$F$2,0),FALSE))</f>
        <v>0.5</v>
      </c>
      <c r="H31" s="7">
        <f>SUMPRODUCT(VLOOKUP(H$4,工数マスタ!$A$2:$F$8,MATCH($D31,工数マスタ!$A$2:$F$2,0),FALSE))</f>
        <v>0.2</v>
      </c>
      <c r="I31" s="7">
        <f>SUMPRODUCT(VLOOKUP(I$4,工数マスタ!$A$2:$F$8,MATCH($D31,工数マスタ!$A$2:$F$2,0),FALSE))</f>
        <v>1</v>
      </c>
      <c r="J31" s="7">
        <f>SUMPRODUCT(VLOOKUP(J$4,工数マスタ!$A$2:$F$8,MATCH($D31,工数マスタ!$A$2:$F$2,0),FALSE))</f>
        <v>0.2</v>
      </c>
      <c r="K31" s="27">
        <f t="shared" si="0"/>
        <v>0.46000000000000008</v>
      </c>
      <c r="L31" s="8">
        <f t="shared" si="1"/>
        <v>2.7600000000000002</v>
      </c>
      <c r="M31" s="8">
        <f t="shared" si="2"/>
        <v>0.14000000000000001</v>
      </c>
    </row>
    <row r="32" spans="2:13" x14ac:dyDescent="0.2">
      <c r="B32" s="5" t="s">
        <v>79</v>
      </c>
      <c r="C32" s="6">
        <v>341</v>
      </c>
      <c r="D32" s="6" t="str" cm="1">
        <f t="array" ref="D32">_xlfn.IFS(C32&lt;=工数マスタ!$F$11,"特低",AND(C32&gt;=工数マスタ!$E$10,C32&lt;=工数マスタ!$E$11),"低",AND(C32&gt;=工数マスタ!$D$10,C32&lt;=工数マスタ!$D$11),"中",AND(C32&gt;=工数マスタ!$C$10,C32&lt;=工数マスタ!$C$11),"高",C32&gt;=工数マスタ!$B$10,"特高")</f>
        <v>低</v>
      </c>
      <c r="E32" s="7">
        <f>SUMPRODUCT(VLOOKUP(E$4,工数マスタ!$A$2:$F$8,MATCH($D32,工数マスタ!$A$2:$F$2,0),FALSE))</f>
        <v>0.3</v>
      </c>
      <c r="F32" s="7">
        <f>SUMPRODUCT(VLOOKUP(F$4,工数マスタ!$A$2:$F$8,MATCH($D32,工数マスタ!$A$2:$F$2,0),FALSE))</f>
        <v>0.3</v>
      </c>
      <c r="G32" s="7">
        <f>SUMPRODUCT(VLOOKUP(G$4,工数マスタ!$A$2:$F$8,MATCH($D32,工数マスタ!$A$2:$F$2,0),FALSE))</f>
        <v>0.8</v>
      </c>
      <c r="H32" s="7">
        <f>SUMPRODUCT(VLOOKUP(H$4,工数マスタ!$A$2:$F$8,MATCH($D32,工数マスタ!$A$2:$F$2,0),FALSE))</f>
        <v>0.3</v>
      </c>
      <c r="I32" s="7">
        <f>SUMPRODUCT(VLOOKUP(I$4,工数マスタ!$A$2:$F$8,MATCH($D32,工数マスタ!$A$2:$F$2,0),FALSE))</f>
        <v>1.5</v>
      </c>
      <c r="J32" s="7">
        <f>SUMPRODUCT(VLOOKUP(J$4,工数マスタ!$A$2:$F$8,MATCH($D32,工数マスタ!$A$2:$F$2,0),FALSE))</f>
        <v>0.3</v>
      </c>
      <c r="K32" s="27">
        <f t="shared" si="0"/>
        <v>0.70000000000000007</v>
      </c>
      <c r="L32" s="8">
        <f t="shared" si="1"/>
        <v>4.2</v>
      </c>
      <c r="M32" s="8">
        <f t="shared" si="2"/>
        <v>0.21</v>
      </c>
    </row>
    <row r="33" spans="2:13" x14ac:dyDescent="0.2">
      <c r="B33" s="5" t="s">
        <v>80</v>
      </c>
      <c r="C33" s="6">
        <v>311</v>
      </c>
      <c r="D33" s="6" t="str" cm="1">
        <f t="array" ref="D33">_xlfn.IFS(C33&lt;=工数マスタ!$F$11,"特低",AND(C33&gt;=工数マスタ!$E$10,C33&lt;=工数マスタ!$E$11),"低",AND(C33&gt;=工数マスタ!$D$10,C33&lt;=工数マスタ!$D$11),"中",AND(C33&gt;=工数マスタ!$C$10,C33&lt;=工数マスタ!$C$11),"高",C33&gt;=工数マスタ!$B$10,"特高")</f>
        <v>低</v>
      </c>
      <c r="E33" s="7">
        <f>SUMPRODUCT(VLOOKUP(E$4,工数マスタ!$A$2:$F$8,MATCH($D33,工数マスタ!$A$2:$F$2,0),FALSE))</f>
        <v>0.3</v>
      </c>
      <c r="F33" s="7">
        <f>SUMPRODUCT(VLOOKUP(F$4,工数マスタ!$A$2:$F$8,MATCH($D33,工数マスタ!$A$2:$F$2,0),FALSE))</f>
        <v>0.3</v>
      </c>
      <c r="G33" s="7">
        <f>SUMPRODUCT(VLOOKUP(G$4,工数マスタ!$A$2:$F$8,MATCH($D33,工数マスタ!$A$2:$F$2,0),FALSE))</f>
        <v>0.8</v>
      </c>
      <c r="H33" s="7">
        <f>SUMPRODUCT(VLOOKUP(H$4,工数マスタ!$A$2:$F$8,MATCH($D33,工数マスタ!$A$2:$F$2,0),FALSE))</f>
        <v>0.3</v>
      </c>
      <c r="I33" s="7">
        <f>SUMPRODUCT(VLOOKUP(I$4,工数マスタ!$A$2:$F$8,MATCH($D33,工数マスタ!$A$2:$F$2,0),FALSE))</f>
        <v>1.5</v>
      </c>
      <c r="J33" s="7">
        <f>SUMPRODUCT(VLOOKUP(J$4,工数マスタ!$A$2:$F$8,MATCH($D33,工数マスタ!$A$2:$F$2,0),FALSE))</f>
        <v>0.3</v>
      </c>
      <c r="K33" s="27">
        <f t="shared" si="0"/>
        <v>0.70000000000000007</v>
      </c>
      <c r="L33" s="8">
        <f t="shared" si="1"/>
        <v>4.2</v>
      </c>
      <c r="M33" s="8">
        <f t="shared" si="2"/>
        <v>0.21</v>
      </c>
    </row>
    <row r="34" spans="2:13" x14ac:dyDescent="0.2">
      <c r="B34" s="5" t="s">
        <v>81</v>
      </c>
      <c r="C34" s="6">
        <v>723</v>
      </c>
      <c r="D34" s="6" t="str" cm="1">
        <f t="array" ref="D34">_xlfn.IFS(C34&lt;=工数マスタ!$F$11,"特低",AND(C34&gt;=工数マスタ!$E$10,C34&lt;=工数マスタ!$E$11),"低",AND(C34&gt;=工数マスタ!$D$10,C34&lt;=工数マスタ!$D$11),"中",AND(C34&gt;=工数マスタ!$C$10,C34&lt;=工数マスタ!$C$11),"高",C34&gt;=工数マスタ!$B$10,"特高")</f>
        <v>中</v>
      </c>
      <c r="E34" s="7">
        <f>SUMPRODUCT(VLOOKUP(E$4,工数マスタ!$A$2:$F$8,MATCH($D34,工数マスタ!$A$2:$F$2,0),FALSE))</f>
        <v>0.5</v>
      </c>
      <c r="F34" s="7">
        <f>SUMPRODUCT(VLOOKUP(F$4,工数マスタ!$A$2:$F$8,MATCH($D34,工数マスタ!$A$2:$F$2,0),FALSE))</f>
        <v>0.5</v>
      </c>
      <c r="G34" s="7">
        <f>SUMPRODUCT(VLOOKUP(G$4,工数マスタ!$A$2:$F$8,MATCH($D34,工数マスタ!$A$2:$F$2,0),FALSE))</f>
        <v>1</v>
      </c>
      <c r="H34" s="7">
        <f>SUMPRODUCT(VLOOKUP(H$4,工数マスタ!$A$2:$F$8,MATCH($D34,工数マスタ!$A$2:$F$2,0),FALSE))</f>
        <v>0.5</v>
      </c>
      <c r="I34" s="7">
        <f>SUMPRODUCT(VLOOKUP(I$4,工数マスタ!$A$2:$F$8,MATCH($D34,工数マスタ!$A$2:$F$2,0),FALSE))</f>
        <v>2</v>
      </c>
      <c r="J34" s="7">
        <f>SUMPRODUCT(VLOOKUP(J$4,工数マスタ!$A$2:$F$8,MATCH($D34,工数マスタ!$A$2:$F$2,0),FALSE))</f>
        <v>0.5</v>
      </c>
      <c r="K34" s="27">
        <f t="shared" si="0"/>
        <v>1</v>
      </c>
      <c r="L34" s="8">
        <f t="shared" si="1"/>
        <v>6</v>
      </c>
      <c r="M34" s="8">
        <f t="shared" si="2"/>
        <v>0.3</v>
      </c>
    </row>
    <row r="35" spans="2:13" x14ac:dyDescent="0.2">
      <c r="B35" s="5" t="s">
        <v>82</v>
      </c>
      <c r="C35" s="6">
        <v>2383</v>
      </c>
      <c r="D35" s="6" t="str" cm="1">
        <f t="array" ref="D35">_xlfn.IFS(C35&lt;=工数マスタ!$F$11,"特低",AND(C35&gt;=工数マスタ!$E$10,C35&lt;=工数マスタ!$E$11),"低",AND(C35&gt;=工数マスタ!$D$10,C35&lt;=工数マスタ!$D$11),"中",AND(C35&gt;=工数マスタ!$C$10,C35&lt;=工数マスタ!$C$11),"高",C35&gt;=工数マスタ!$B$10,"特高")</f>
        <v>特高</v>
      </c>
      <c r="E35" s="7">
        <f>SUMPRODUCT(VLOOKUP(E$4,工数マスタ!$A$2:$F$8,MATCH($D35,工数マスタ!$A$2:$F$2,0),FALSE))</f>
        <v>1</v>
      </c>
      <c r="F35" s="7">
        <f>SUMPRODUCT(VLOOKUP(F$4,工数マスタ!$A$2:$F$8,MATCH($D35,工数マスタ!$A$2:$F$2,0),FALSE))</f>
        <v>1</v>
      </c>
      <c r="G35" s="7">
        <f>SUMPRODUCT(VLOOKUP(G$4,工数マスタ!$A$2:$F$8,MATCH($D35,工数マスタ!$A$2:$F$2,0),FALSE))</f>
        <v>1.5</v>
      </c>
      <c r="H35" s="7">
        <f>SUMPRODUCT(VLOOKUP(H$4,工数マスタ!$A$2:$F$8,MATCH($D35,工数マスタ!$A$2:$F$2,0),FALSE))</f>
        <v>1</v>
      </c>
      <c r="I35" s="7">
        <f>SUMPRODUCT(VLOOKUP(I$4,工数マスタ!$A$2:$F$8,MATCH($D35,工数マスタ!$A$2:$F$2,0),FALSE))</f>
        <v>3</v>
      </c>
      <c r="J35" s="7">
        <f>SUMPRODUCT(VLOOKUP(J$4,工数マスタ!$A$2:$F$8,MATCH($D35,工数マスタ!$A$2:$F$2,0),FALSE))</f>
        <v>1</v>
      </c>
      <c r="K35" s="27">
        <f t="shared" si="0"/>
        <v>1.7000000000000002</v>
      </c>
      <c r="L35" s="8">
        <f t="shared" si="1"/>
        <v>10.199999999999999</v>
      </c>
      <c r="M35" s="8">
        <f t="shared" si="2"/>
        <v>0.51</v>
      </c>
    </row>
    <row r="36" spans="2:13" x14ac:dyDescent="0.2">
      <c r="B36" s="5" t="s">
        <v>83</v>
      </c>
      <c r="C36" s="6">
        <v>2238</v>
      </c>
      <c r="D36" s="6" t="str" cm="1">
        <f t="array" ref="D36">_xlfn.IFS(C36&lt;=工数マスタ!$F$11,"特低",AND(C36&gt;=工数マスタ!$E$10,C36&lt;=工数マスタ!$E$11),"低",AND(C36&gt;=工数マスタ!$D$10,C36&lt;=工数マスタ!$D$11),"中",AND(C36&gt;=工数マスタ!$C$10,C36&lt;=工数マスタ!$C$11),"高",C36&gt;=工数マスタ!$B$10,"特高")</f>
        <v>特高</v>
      </c>
      <c r="E36" s="7">
        <f>SUMPRODUCT(VLOOKUP(E$4,工数マスタ!$A$2:$F$8,MATCH($D36,工数マスタ!$A$2:$F$2,0),FALSE))</f>
        <v>1</v>
      </c>
      <c r="F36" s="7">
        <f>SUMPRODUCT(VLOOKUP(F$4,工数マスタ!$A$2:$F$8,MATCH($D36,工数マスタ!$A$2:$F$2,0),FALSE))</f>
        <v>1</v>
      </c>
      <c r="G36" s="7">
        <f>SUMPRODUCT(VLOOKUP(G$4,工数マスタ!$A$2:$F$8,MATCH($D36,工数マスタ!$A$2:$F$2,0),FALSE))</f>
        <v>1.5</v>
      </c>
      <c r="H36" s="7">
        <f>SUMPRODUCT(VLOOKUP(H$4,工数マスタ!$A$2:$F$8,MATCH($D36,工数マスタ!$A$2:$F$2,0),FALSE))</f>
        <v>1</v>
      </c>
      <c r="I36" s="7">
        <f>SUMPRODUCT(VLOOKUP(I$4,工数マスタ!$A$2:$F$8,MATCH($D36,工数マスタ!$A$2:$F$2,0),FALSE))</f>
        <v>3</v>
      </c>
      <c r="J36" s="7">
        <f>SUMPRODUCT(VLOOKUP(J$4,工数マスタ!$A$2:$F$8,MATCH($D36,工数マスタ!$A$2:$F$2,0),FALSE))</f>
        <v>1</v>
      </c>
      <c r="K36" s="27">
        <f t="shared" si="0"/>
        <v>1.7000000000000002</v>
      </c>
      <c r="L36" s="8">
        <f t="shared" si="1"/>
        <v>10.199999999999999</v>
      </c>
      <c r="M36" s="8">
        <f t="shared" si="2"/>
        <v>0.51</v>
      </c>
    </row>
    <row r="37" spans="2:13" x14ac:dyDescent="0.2">
      <c r="B37" s="5" t="s">
        <v>84</v>
      </c>
      <c r="C37" s="6">
        <v>1118</v>
      </c>
      <c r="D37" s="6" t="str" cm="1">
        <f t="array" ref="D37">_xlfn.IFS(C37&lt;=工数マスタ!$F$11,"特低",AND(C37&gt;=工数マスタ!$E$10,C37&lt;=工数マスタ!$E$11),"低",AND(C37&gt;=工数マスタ!$D$10,C37&lt;=工数マスタ!$D$11),"中",AND(C37&gt;=工数マスタ!$C$10,C37&lt;=工数マスタ!$C$11),"高",C37&gt;=工数マスタ!$B$10,"特高")</f>
        <v>高</v>
      </c>
      <c r="E37" s="7">
        <f>SUMPRODUCT(VLOOKUP(E$4,工数マスタ!$A$2:$F$8,MATCH($D37,工数マスタ!$A$2:$F$2,0),FALSE))</f>
        <v>0.7</v>
      </c>
      <c r="F37" s="7">
        <f>SUMPRODUCT(VLOOKUP(F$4,工数マスタ!$A$2:$F$8,MATCH($D37,工数マスタ!$A$2:$F$2,0),FALSE))</f>
        <v>0.7</v>
      </c>
      <c r="G37" s="7">
        <f>SUMPRODUCT(VLOOKUP(G$4,工数マスタ!$A$2:$F$8,MATCH($D37,工数マスタ!$A$2:$F$2,0),FALSE))</f>
        <v>1.3</v>
      </c>
      <c r="H37" s="7">
        <f>SUMPRODUCT(VLOOKUP(H$4,工数マスタ!$A$2:$F$8,MATCH($D37,工数マスタ!$A$2:$F$2,0),FALSE))</f>
        <v>0.7</v>
      </c>
      <c r="I37" s="7">
        <f>SUMPRODUCT(VLOOKUP(I$4,工数マスタ!$A$2:$F$8,MATCH($D37,工数マスタ!$A$2:$F$2,0),FALSE))</f>
        <v>2.5</v>
      </c>
      <c r="J37" s="7">
        <f>SUMPRODUCT(VLOOKUP(J$4,工数マスタ!$A$2:$F$8,MATCH($D37,工数マスタ!$A$2:$F$2,0),FALSE))</f>
        <v>0.7</v>
      </c>
      <c r="K37" s="27">
        <f t="shared" si="0"/>
        <v>1.3200000000000003</v>
      </c>
      <c r="L37" s="8">
        <f t="shared" si="1"/>
        <v>7.9200000000000008</v>
      </c>
      <c r="M37" s="8">
        <f t="shared" si="2"/>
        <v>0.4</v>
      </c>
    </row>
    <row r="38" spans="2:13" x14ac:dyDescent="0.2">
      <c r="B38" s="5" t="s">
        <v>85</v>
      </c>
      <c r="C38" s="6">
        <v>2805</v>
      </c>
      <c r="D38" s="6" t="str" cm="1">
        <f t="array" ref="D38">_xlfn.IFS(C38&lt;=工数マスタ!$F$11,"特低",AND(C38&gt;=工数マスタ!$E$10,C38&lt;=工数マスタ!$E$11),"低",AND(C38&gt;=工数マスタ!$D$10,C38&lt;=工数マスタ!$D$11),"中",AND(C38&gt;=工数マスタ!$C$10,C38&lt;=工数マスタ!$C$11),"高",C38&gt;=工数マスタ!$B$10,"特高")</f>
        <v>特高</v>
      </c>
      <c r="E38" s="7">
        <f>SUMPRODUCT(VLOOKUP(E$4,工数マスタ!$A$2:$F$8,MATCH($D38,工数マスタ!$A$2:$F$2,0),FALSE))</f>
        <v>1</v>
      </c>
      <c r="F38" s="7">
        <f>SUMPRODUCT(VLOOKUP(F$4,工数マスタ!$A$2:$F$8,MATCH($D38,工数マスタ!$A$2:$F$2,0),FALSE))</f>
        <v>1</v>
      </c>
      <c r="G38" s="7">
        <f>SUMPRODUCT(VLOOKUP(G$4,工数マスタ!$A$2:$F$8,MATCH($D38,工数マスタ!$A$2:$F$2,0),FALSE))</f>
        <v>1.5</v>
      </c>
      <c r="H38" s="7">
        <f>SUMPRODUCT(VLOOKUP(H$4,工数マスタ!$A$2:$F$8,MATCH($D38,工数マスタ!$A$2:$F$2,0),FALSE))</f>
        <v>1</v>
      </c>
      <c r="I38" s="7">
        <f>SUMPRODUCT(VLOOKUP(I$4,工数マスタ!$A$2:$F$8,MATCH($D38,工数マスタ!$A$2:$F$2,0),FALSE))</f>
        <v>3</v>
      </c>
      <c r="J38" s="7">
        <f>SUMPRODUCT(VLOOKUP(J$4,工数マスタ!$A$2:$F$8,MATCH($D38,工数マスタ!$A$2:$F$2,0),FALSE))</f>
        <v>1</v>
      </c>
      <c r="K38" s="27">
        <f t="shared" si="0"/>
        <v>1.7000000000000002</v>
      </c>
      <c r="L38" s="8">
        <f t="shared" si="1"/>
        <v>10.199999999999999</v>
      </c>
      <c r="M38" s="8">
        <f t="shared" si="2"/>
        <v>0.51</v>
      </c>
    </row>
    <row r="39" spans="2:13" x14ac:dyDescent="0.2">
      <c r="B39" s="5" t="s">
        <v>86</v>
      </c>
      <c r="C39" s="6">
        <v>2660</v>
      </c>
      <c r="D39" s="28" t="str" cm="1">
        <f t="array" ref="D39">_xlfn.IFS(C39&lt;=工数マスタ!$F$11,"特低",AND(C39&gt;=工数マスタ!$E$10,C39&lt;=工数マスタ!$E$11),"低",AND(C39&gt;=工数マスタ!$D$10,C39&lt;=工数マスタ!$D$11),"中",AND(C39&gt;=工数マスタ!$C$10,C39&lt;=工数マスタ!$C$11),"高",C39&gt;=工数マスタ!$B$10,"特高")</f>
        <v>特高</v>
      </c>
      <c r="E39" s="6">
        <f>SUMPRODUCT(VLOOKUP(E$4,工数マスタ!$A$2:$F$8,MATCH($D39,工数マスタ!$A$2:$F$2,0),FALSE))</f>
        <v>1</v>
      </c>
      <c r="F39" s="6">
        <f>SUMPRODUCT(VLOOKUP(F$4,工数マスタ!$A$2:$F$8,MATCH($D39,工数マスタ!$A$2:$F$2,0),FALSE))</f>
        <v>1</v>
      </c>
      <c r="G39" s="6">
        <f>SUMPRODUCT(VLOOKUP(G$4,工数マスタ!$A$2:$F$8,MATCH($D39,工数マスタ!$A$2:$F$2,0),FALSE))</f>
        <v>1.5</v>
      </c>
      <c r="H39" s="6">
        <f>SUMPRODUCT(VLOOKUP(H$4,工数マスタ!$A$2:$F$8,MATCH($D39,工数マスタ!$A$2:$F$2,0),FALSE))</f>
        <v>1</v>
      </c>
      <c r="I39" s="6">
        <f>SUMPRODUCT(VLOOKUP(I$4,工数マスタ!$A$2:$F$8,MATCH($D39,工数マスタ!$A$2:$F$2,0),FALSE))</f>
        <v>3</v>
      </c>
      <c r="J39" s="6">
        <f>SUMPRODUCT(VLOOKUP(J$4,工数マスタ!$A$2:$F$8,MATCH($D39,工数マスタ!$A$2:$F$2,0),FALSE))</f>
        <v>1</v>
      </c>
      <c r="K39" s="30">
        <f t="shared" si="0"/>
        <v>1.7000000000000002</v>
      </c>
      <c r="L39" s="6">
        <f t="shared" si="1"/>
        <v>10.199999999999999</v>
      </c>
      <c r="M39" s="6">
        <f t="shared" si="2"/>
        <v>0.51</v>
      </c>
    </row>
    <row r="40" spans="2:13" ht="16.8" thickBot="1" x14ac:dyDescent="0.25">
      <c r="B40" s="38" t="s">
        <v>95</v>
      </c>
      <c r="C40" s="39"/>
      <c r="D40" s="40"/>
      <c r="E40" s="31"/>
      <c r="F40" s="31">
        <v>3</v>
      </c>
      <c r="G40" s="31"/>
      <c r="H40" s="31"/>
      <c r="I40" s="31"/>
      <c r="J40" s="31"/>
      <c r="K40" s="32">
        <f t="shared" si="0"/>
        <v>0.60000000000000009</v>
      </c>
      <c r="L40" s="31">
        <f t="shared" ref="L40" si="3">SUM(E40:J40)+K40</f>
        <v>3.6</v>
      </c>
      <c r="M40" s="31">
        <f t="shared" si="2"/>
        <v>0.18</v>
      </c>
    </row>
    <row r="41" spans="2:13" s="2" customFormat="1" x14ac:dyDescent="0.2">
      <c r="B41" s="38" t="s">
        <v>9</v>
      </c>
      <c r="C41" s="39"/>
      <c r="D41" s="46"/>
      <c r="E41" s="29">
        <f t="shared" ref="E41:K41" si="4">SUBTOTAL(9,E6:E40)</f>
        <v>13.700000000000001</v>
      </c>
      <c r="F41" s="29">
        <f t="shared" si="4"/>
        <v>16.700000000000003</v>
      </c>
      <c r="G41" s="29">
        <f t="shared" si="4"/>
        <v>28.100000000000005</v>
      </c>
      <c r="H41" s="29">
        <f t="shared" si="4"/>
        <v>13.700000000000001</v>
      </c>
      <c r="I41" s="29">
        <f t="shared" si="4"/>
        <v>55</v>
      </c>
      <c r="J41" s="29">
        <f t="shared" si="4"/>
        <v>13.700000000000001</v>
      </c>
      <c r="K41" s="29">
        <f t="shared" si="4"/>
        <v>28.18</v>
      </c>
      <c r="L41" s="68">
        <f>SUM(E41:K41)</f>
        <v>169.08</v>
      </c>
      <c r="M41" s="69"/>
    </row>
    <row r="42" spans="2:13" s="2" customFormat="1" ht="16.8" thickBot="1" x14ac:dyDescent="0.25">
      <c r="B42" s="41" t="s">
        <v>10</v>
      </c>
      <c r="C42" s="42"/>
      <c r="D42" s="43"/>
      <c r="E42" s="10">
        <f>ROUNDUP(SUM(E41:E41)/20,2)</f>
        <v>0.69000000000000006</v>
      </c>
      <c r="F42" s="10">
        <f t="shared" ref="F42:K42" si="5">ROUNDUP(SUM(F41:F41)/20,2)</f>
        <v>0.84</v>
      </c>
      <c r="G42" s="10">
        <f t="shared" si="5"/>
        <v>1.41</v>
      </c>
      <c r="H42" s="10">
        <f t="shared" si="5"/>
        <v>0.69000000000000006</v>
      </c>
      <c r="I42" s="10">
        <f t="shared" si="5"/>
        <v>2.75</v>
      </c>
      <c r="J42" s="10">
        <f t="shared" si="5"/>
        <v>0.69000000000000006</v>
      </c>
      <c r="K42" s="10">
        <f t="shared" si="5"/>
        <v>1.41</v>
      </c>
      <c r="L42" s="52">
        <f>SUM(E42:K42)</f>
        <v>8.48</v>
      </c>
      <c r="M42" s="53"/>
    </row>
    <row r="43" spans="2:13" ht="16.8" thickBot="1" x14ac:dyDescent="0.25">
      <c r="B43" s="41" t="s">
        <v>96</v>
      </c>
      <c r="C43" s="42"/>
      <c r="D43" s="43"/>
      <c r="E43" s="34">
        <f>E42*1000000</f>
        <v>690000</v>
      </c>
      <c r="F43" s="34">
        <f t="shared" ref="F43:J43" si="6">F42*1000000</f>
        <v>840000</v>
      </c>
      <c r="G43" s="34">
        <f t="shared" si="6"/>
        <v>1410000</v>
      </c>
      <c r="H43" s="34">
        <f t="shared" si="6"/>
        <v>690000</v>
      </c>
      <c r="I43" s="34">
        <f t="shared" si="6"/>
        <v>2750000</v>
      </c>
      <c r="J43" s="34">
        <f t="shared" si="6"/>
        <v>690000</v>
      </c>
      <c r="K43" s="34">
        <f>K42*1400000</f>
        <v>1974000</v>
      </c>
      <c r="L43" s="44">
        <f>SUM(E43:K43)</f>
        <v>9044000</v>
      </c>
      <c r="M43" s="45"/>
    </row>
  </sheetData>
  <mergeCells count="21">
    <mergeCell ref="I4:I5"/>
    <mergeCell ref="J4:J5"/>
    <mergeCell ref="B6:M6"/>
    <mergeCell ref="L41:M41"/>
    <mergeCell ref="F4:F5"/>
    <mergeCell ref="K3:K5"/>
    <mergeCell ref="B40:D40"/>
    <mergeCell ref="B43:D43"/>
    <mergeCell ref="L43:M43"/>
    <mergeCell ref="B41:D41"/>
    <mergeCell ref="C3:C5"/>
    <mergeCell ref="E3:J3"/>
    <mergeCell ref="B42:D42"/>
    <mergeCell ref="L42:M42"/>
    <mergeCell ref="D3:D5"/>
    <mergeCell ref="B3:B5"/>
    <mergeCell ref="L3:L5"/>
    <mergeCell ref="M3:M5"/>
    <mergeCell ref="E4:E5"/>
    <mergeCell ref="G4:G5"/>
    <mergeCell ref="H4:H5"/>
  </mergeCells>
  <phoneticPr fontId="2"/>
  <pageMargins left="0.70866141732283472" right="0.70866141732283472" top="0.74803149606299213" bottom="0.74803149606299213" header="0.31496062992125984" footer="0.31496062992125984"/>
  <pageSetup paperSize="8" scale="88" fitToHeight="100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530EC-41CF-446D-A2DD-E405E9DF255D}">
  <dimension ref="A1:J26"/>
  <sheetViews>
    <sheetView zoomScale="115" zoomScaleNormal="115" workbookViewId="0"/>
  </sheetViews>
  <sheetFormatPr defaultColWidth="9" defaultRowHeight="15" x14ac:dyDescent="0.2"/>
  <cols>
    <col min="1" max="2" width="9" style="14"/>
    <col min="3" max="3" width="14.109375" style="14" bestFit="1" customWidth="1"/>
    <col min="4" max="4" width="13.109375" style="14" bestFit="1" customWidth="1"/>
    <col min="5" max="8" width="14.109375" style="14" bestFit="1" customWidth="1"/>
    <col min="9" max="9" width="13.109375" style="14" bestFit="1" customWidth="1"/>
    <col min="10" max="10" width="15.6640625" style="14" bestFit="1" customWidth="1"/>
    <col min="11" max="16384" width="9" style="14"/>
  </cols>
  <sheetData>
    <row r="1" spans="1:10" x14ac:dyDescent="0.2">
      <c r="B1" s="80"/>
      <c r="C1" s="76" t="s">
        <v>23</v>
      </c>
      <c r="D1" s="76"/>
      <c r="E1" s="76"/>
      <c r="F1" s="76"/>
      <c r="G1" s="76"/>
      <c r="H1" s="76"/>
      <c r="I1" s="76"/>
      <c r="J1" s="16"/>
    </row>
    <row r="2" spans="1:10" x14ac:dyDescent="0.2">
      <c r="B2" s="81"/>
      <c r="C2" s="77" t="s">
        <v>20</v>
      </c>
      <c r="D2" s="78"/>
      <c r="E2" s="16" t="s">
        <v>101</v>
      </c>
      <c r="F2" s="16" t="s">
        <v>102</v>
      </c>
      <c r="G2" s="16" t="s">
        <v>103</v>
      </c>
      <c r="H2" s="77" t="s">
        <v>104</v>
      </c>
      <c r="I2" s="78"/>
      <c r="J2" s="16"/>
    </row>
    <row r="3" spans="1:10" x14ac:dyDescent="0.2">
      <c r="A3" s="79" t="s">
        <v>22</v>
      </c>
      <c r="B3" s="79"/>
      <c r="C3" s="16" t="s">
        <v>21</v>
      </c>
      <c r="D3" s="16" t="s">
        <v>6</v>
      </c>
      <c r="E3" s="25" t="s">
        <v>53</v>
      </c>
      <c r="F3" s="16" t="s">
        <v>5</v>
      </c>
      <c r="G3" s="25" t="s">
        <v>7</v>
      </c>
      <c r="H3" s="16" t="s">
        <v>8</v>
      </c>
      <c r="I3" s="16" t="s">
        <v>50</v>
      </c>
      <c r="J3" s="16" t="s">
        <v>24</v>
      </c>
    </row>
    <row r="4" spans="1:10" x14ac:dyDescent="0.2">
      <c r="A4" s="79" t="s">
        <v>91</v>
      </c>
      <c r="B4" s="79"/>
      <c r="C4" s="23">
        <f>工数見積!E42</f>
        <v>0.69000000000000006</v>
      </c>
      <c r="D4" s="23">
        <f>工数見積!F42</f>
        <v>0.84</v>
      </c>
      <c r="E4" s="24">
        <f>工数見積!G42</f>
        <v>1.41</v>
      </c>
      <c r="F4" s="23">
        <f>工数見積!H42</f>
        <v>0.69000000000000006</v>
      </c>
      <c r="G4" s="23">
        <f>工数見積!I42</f>
        <v>2.75</v>
      </c>
      <c r="H4" s="24">
        <f>工数見積!J42</f>
        <v>0.69000000000000006</v>
      </c>
      <c r="I4" s="26">
        <f>工数見積!M40</f>
        <v>0.18</v>
      </c>
      <c r="J4" s="13">
        <f>SUM(C4:I4)</f>
        <v>7.25</v>
      </c>
    </row>
    <row r="5" spans="1:10" x14ac:dyDescent="0.2">
      <c r="A5" s="18" t="s">
        <v>90</v>
      </c>
      <c r="B5" s="18" t="s">
        <v>25</v>
      </c>
      <c r="C5" s="73">
        <v>0.2</v>
      </c>
      <c r="D5" s="74"/>
      <c r="E5" s="13">
        <v>0.2</v>
      </c>
      <c r="F5" s="13">
        <v>0.2</v>
      </c>
      <c r="G5" s="13">
        <v>0.5</v>
      </c>
      <c r="H5" s="73">
        <v>0.2</v>
      </c>
      <c r="I5" s="74"/>
      <c r="J5" s="13">
        <f>SUM(C5:I5)</f>
        <v>1.3</v>
      </c>
    </row>
    <row r="6" spans="1:10" x14ac:dyDescent="0.2">
      <c r="A6" s="18" t="s">
        <v>93</v>
      </c>
      <c r="B6" s="18" t="s">
        <v>27</v>
      </c>
      <c r="C6" s="73">
        <v>1</v>
      </c>
      <c r="D6" s="74"/>
      <c r="E6" s="13">
        <v>1</v>
      </c>
      <c r="F6" s="13">
        <v>1</v>
      </c>
      <c r="G6" s="13">
        <v>1</v>
      </c>
      <c r="H6" s="73">
        <v>1</v>
      </c>
      <c r="I6" s="74"/>
      <c r="J6" s="13">
        <f>SUM(C6:I6)</f>
        <v>5</v>
      </c>
    </row>
    <row r="7" spans="1:10" x14ac:dyDescent="0.2">
      <c r="A7" s="18" t="s">
        <v>93</v>
      </c>
      <c r="B7" s="18" t="s">
        <v>27</v>
      </c>
      <c r="C7" s="13"/>
      <c r="D7" s="13"/>
      <c r="E7" s="13"/>
      <c r="F7" s="13">
        <v>1</v>
      </c>
      <c r="G7" s="13">
        <v>1</v>
      </c>
      <c r="H7" s="13"/>
      <c r="I7" s="13"/>
      <c r="J7" s="13">
        <f>SUM(C7:I7)</f>
        <v>2</v>
      </c>
    </row>
    <row r="8" spans="1:10" x14ac:dyDescent="0.2">
      <c r="A8" s="18"/>
      <c r="B8" s="18"/>
      <c r="C8" s="13"/>
      <c r="D8" s="13"/>
      <c r="E8" s="13"/>
      <c r="F8" s="13"/>
      <c r="G8" s="13"/>
      <c r="H8" s="13"/>
      <c r="I8" s="13"/>
      <c r="J8" s="13">
        <f>SUM(C8:I8)</f>
        <v>0</v>
      </c>
    </row>
    <row r="9" spans="1:10" x14ac:dyDescent="0.2">
      <c r="A9" s="18"/>
      <c r="B9" s="18"/>
      <c r="C9" s="13"/>
      <c r="D9" s="13"/>
      <c r="E9" s="13"/>
      <c r="F9" s="13"/>
      <c r="G9" s="13"/>
      <c r="H9" s="13"/>
      <c r="I9" s="13"/>
      <c r="J9" s="13">
        <f>SUM(C9:I9)</f>
        <v>0</v>
      </c>
    </row>
    <row r="10" spans="1:10" x14ac:dyDescent="0.2">
      <c r="A10" s="18"/>
      <c r="B10" s="18"/>
      <c r="C10" s="13"/>
      <c r="D10" s="13"/>
      <c r="E10" s="13"/>
      <c r="F10" s="13"/>
      <c r="G10" s="13"/>
      <c r="H10" s="13"/>
      <c r="I10" s="13"/>
      <c r="J10" s="13">
        <f>SUM(C10:I10)</f>
        <v>0</v>
      </c>
    </row>
    <row r="11" spans="1:10" x14ac:dyDescent="0.2">
      <c r="A11" s="18"/>
      <c r="B11" s="18"/>
      <c r="C11" s="13"/>
      <c r="D11" s="13"/>
      <c r="E11" s="13"/>
      <c r="F11" s="13"/>
      <c r="G11" s="13"/>
      <c r="H11" s="13"/>
      <c r="I11" s="13"/>
      <c r="J11" s="13">
        <f>SUM(C11:I11)</f>
        <v>0</v>
      </c>
    </row>
    <row r="12" spans="1:10" x14ac:dyDescent="0.2">
      <c r="A12" s="18"/>
      <c r="B12" s="18"/>
      <c r="C12" s="13"/>
      <c r="D12" s="13"/>
      <c r="E12" s="13"/>
      <c r="F12" s="13"/>
      <c r="G12" s="13"/>
      <c r="H12" s="13"/>
      <c r="I12" s="13"/>
      <c r="J12" s="13">
        <f>SUM(C12:I12)</f>
        <v>0</v>
      </c>
    </row>
    <row r="13" spans="1:10" x14ac:dyDescent="0.2">
      <c r="A13" s="79" t="s">
        <v>92</v>
      </c>
      <c r="B13" s="79"/>
      <c r="C13" s="73">
        <f>SUM(C5:C12)</f>
        <v>1.2</v>
      </c>
      <c r="D13" s="74"/>
      <c r="E13" s="33">
        <f>SUM(E5:E12)</f>
        <v>1.2</v>
      </c>
      <c r="F13" s="33">
        <f>SUM(F5:F12)</f>
        <v>2.2000000000000002</v>
      </c>
      <c r="G13" s="13">
        <f>SUM(G5:G12)</f>
        <v>2.5</v>
      </c>
      <c r="H13" s="73">
        <f>SUM(H5:I12)</f>
        <v>1.2</v>
      </c>
      <c r="I13" s="75"/>
      <c r="J13" s="13">
        <f>SUM(C13:I13)</f>
        <v>8.2999999999999989</v>
      </c>
    </row>
    <row r="15" spans="1:10" x14ac:dyDescent="0.2">
      <c r="A15" s="18" t="s">
        <v>90</v>
      </c>
      <c r="B15" s="18" t="s">
        <v>25</v>
      </c>
      <c r="C15" s="70">
        <f>VLOOKUP($B15,単価!$A$2:$B$5,2,FALSE)*C5</f>
        <v>280000</v>
      </c>
      <c r="D15" s="71"/>
      <c r="E15" s="19">
        <f>VLOOKUP($B15,単価!$A$2:$B$5,2,FALSE)*E5</f>
        <v>280000</v>
      </c>
      <c r="F15" s="19">
        <f>VLOOKUP($B15,単価!$A$2:$B$5,2,FALSE)*F5</f>
        <v>280000</v>
      </c>
      <c r="G15" s="19">
        <f>VLOOKUP($B15,単価!$A$2:$B$5,2,FALSE)*G5</f>
        <v>700000</v>
      </c>
      <c r="H15" s="70">
        <f>VLOOKUP($B15,単価!$A$2:$B$5,2,FALSE)*H5</f>
        <v>280000</v>
      </c>
      <c r="I15" s="71"/>
      <c r="J15" s="19">
        <f>SUM(C15:I15)</f>
        <v>1820000</v>
      </c>
    </row>
    <row r="16" spans="1:10" x14ac:dyDescent="0.2">
      <c r="A16" s="18" t="s">
        <v>93</v>
      </c>
      <c r="B16" s="18" t="s">
        <v>27</v>
      </c>
      <c r="C16" s="70">
        <f>VLOOKUP($B16,単価!$A$2:$B$5,2,FALSE)*C6</f>
        <v>1000000</v>
      </c>
      <c r="D16" s="71"/>
      <c r="E16" s="19">
        <f>VLOOKUP($B16,単価!$A$2:$B$5,2,FALSE)*E6</f>
        <v>1000000</v>
      </c>
      <c r="F16" s="19">
        <f>VLOOKUP($B16,単価!$A$2:$B$5,2,FALSE)*F6</f>
        <v>1000000</v>
      </c>
      <c r="G16" s="19">
        <f>VLOOKUP($B16,単価!$A$2:$B$5,2,FALSE)*G6</f>
        <v>1000000</v>
      </c>
      <c r="H16" s="70">
        <f>VLOOKUP($B16,単価!$A$2:$B$5,2,FALSE)*H6</f>
        <v>1000000</v>
      </c>
      <c r="I16" s="71"/>
      <c r="J16" s="19">
        <f>SUM(C16:I16)</f>
        <v>5000000</v>
      </c>
    </row>
    <row r="17" spans="1:10" x14ac:dyDescent="0.2">
      <c r="A17" s="18" t="s">
        <v>93</v>
      </c>
      <c r="B17" s="18" t="s">
        <v>27</v>
      </c>
      <c r="C17" s="19"/>
      <c r="D17" s="19"/>
      <c r="E17" s="19"/>
      <c r="F17" s="19">
        <f>VLOOKUP($B17,単価!$A$2:$B$5,2,FALSE)*F7</f>
        <v>1000000</v>
      </c>
      <c r="G17" s="19">
        <f>VLOOKUP($B17,単価!$A$2:$B$5,2,FALSE)*G7</f>
        <v>1000000</v>
      </c>
      <c r="H17" s="19"/>
      <c r="I17" s="19"/>
      <c r="J17" s="19">
        <f>SUM(C17:I17)</f>
        <v>2000000</v>
      </c>
    </row>
    <row r="18" spans="1:10" x14ac:dyDescent="0.2">
      <c r="A18" s="18"/>
      <c r="B18" s="18"/>
      <c r="C18" s="19"/>
      <c r="D18" s="19"/>
      <c r="E18" s="19"/>
      <c r="F18" s="19"/>
      <c r="G18" s="19"/>
      <c r="H18" s="19"/>
      <c r="I18" s="19"/>
      <c r="J18" s="19">
        <f>SUM(C18:I18)</f>
        <v>0</v>
      </c>
    </row>
    <row r="19" spans="1:10" x14ac:dyDescent="0.2">
      <c r="A19" s="18"/>
      <c r="B19" s="18"/>
      <c r="C19" s="19"/>
      <c r="D19" s="19"/>
      <c r="E19" s="19"/>
      <c r="F19" s="19"/>
      <c r="G19" s="19"/>
      <c r="H19" s="19"/>
      <c r="I19" s="19"/>
      <c r="J19" s="19">
        <f>SUM(C19:I19)</f>
        <v>0</v>
      </c>
    </row>
    <row r="20" spans="1:10" x14ac:dyDescent="0.2">
      <c r="A20" s="18"/>
      <c r="B20" s="18"/>
      <c r="C20" s="19"/>
      <c r="D20" s="19"/>
      <c r="E20" s="19"/>
      <c r="F20" s="19"/>
      <c r="G20" s="19"/>
      <c r="H20" s="19"/>
      <c r="I20" s="19"/>
      <c r="J20" s="19">
        <f>SUM(C20:I20)</f>
        <v>0</v>
      </c>
    </row>
    <row r="21" spans="1:10" x14ac:dyDescent="0.2">
      <c r="A21" s="18"/>
      <c r="B21" s="18"/>
      <c r="C21" s="19"/>
      <c r="D21" s="19"/>
      <c r="E21" s="19"/>
      <c r="F21" s="19"/>
      <c r="G21" s="19"/>
      <c r="H21" s="19"/>
      <c r="I21" s="19"/>
      <c r="J21" s="19">
        <f>SUM(C21:I21)</f>
        <v>0</v>
      </c>
    </row>
    <row r="22" spans="1:10" x14ac:dyDescent="0.2">
      <c r="A22" s="18"/>
      <c r="B22" s="18"/>
      <c r="C22" s="19"/>
      <c r="D22" s="19"/>
      <c r="E22" s="19"/>
      <c r="F22" s="19"/>
      <c r="G22" s="19"/>
      <c r="H22" s="19"/>
      <c r="I22" s="19"/>
      <c r="J22" s="19">
        <f>SUM(C22:I22)</f>
        <v>0</v>
      </c>
    </row>
    <row r="23" spans="1:10" x14ac:dyDescent="0.2">
      <c r="A23" s="79" t="s">
        <v>24</v>
      </c>
      <c r="B23" s="79"/>
      <c r="C23" s="70">
        <f>SUM(C15:C22)</f>
        <v>1280000</v>
      </c>
      <c r="D23" s="71"/>
      <c r="E23" s="82">
        <f>SUM(E15:E22)</f>
        <v>1280000</v>
      </c>
      <c r="F23" s="82">
        <f>SUM(F15:F22)</f>
        <v>2280000</v>
      </c>
      <c r="G23" s="19">
        <f>SUM(G15:G22)</f>
        <v>2700000</v>
      </c>
      <c r="H23" s="70">
        <f>SUM(H15:I22)</f>
        <v>1280000</v>
      </c>
      <c r="I23" s="72"/>
      <c r="J23" s="19">
        <f>SUM(C23:I23)</f>
        <v>8820000</v>
      </c>
    </row>
    <row r="24" spans="1:10" x14ac:dyDescent="0.2">
      <c r="D24" s="15"/>
      <c r="E24" s="15"/>
    </row>
    <row r="25" spans="1:10" x14ac:dyDescent="0.2">
      <c r="D25" s="15"/>
      <c r="E25" s="15"/>
    </row>
    <row r="26" spans="1:10" x14ac:dyDescent="0.2">
      <c r="D26" s="15"/>
      <c r="E26" s="15"/>
    </row>
  </sheetData>
  <mergeCells count="20">
    <mergeCell ref="C13:D13"/>
    <mergeCell ref="A13:B13"/>
    <mergeCell ref="A23:B23"/>
    <mergeCell ref="B1:B2"/>
    <mergeCell ref="A3:B3"/>
    <mergeCell ref="A4:B4"/>
    <mergeCell ref="C16:D16"/>
    <mergeCell ref="C15:D15"/>
    <mergeCell ref="C23:D23"/>
    <mergeCell ref="C1:I1"/>
    <mergeCell ref="C2:D2"/>
    <mergeCell ref="H2:I2"/>
    <mergeCell ref="C6:D6"/>
    <mergeCell ref="C5:D5"/>
    <mergeCell ref="H23:I23"/>
    <mergeCell ref="H6:I6"/>
    <mergeCell ref="H5:I5"/>
    <mergeCell ref="H13:I13"/>
    <mergeCell ref="H16:I16"/>
    <mergeCell ref="H15:I15"/>
  </mergeCells>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4435B-94DF-400D-AE82-F7582FA49350}">
  <dimension ref="A1:K11"/>
  <sheetViews>
    <sheetView zoomScale="115" zoomScaleNormal="115" workbookViewId="0"/>
  </sheetViews>
  <sheetFormatPr defaultColWidth="9" defaultRowHeight="15" x14ac:dyDescent="0.2"/>
  <cols>
    <col min="1" max="1" width="16.44140625" style="14" bestFit="1" customWidth="1"/>
    <col min="2" max="5" width="7.109375" style="14" bestFit="1" customWidth="1"/>
    <col min="6" max="6" width="6" style="14" bestFit="1" customWidth="1"/>
    <col min="7" max="7" width="5.6640625" style="14" bestFit="1" customWidth="1"/>
    <col min="8" max="16384" width="9" style="14"/>
  </cols>
  <sheetData>
    <row r="1" spans="1:11" x14ac:dyDescent="0.2">
      <c r="J1" s="14" t="s">
        <v>19</v>
      </c>
    </row>
    <row r="2" spans="1:11" ht="16.2" x14ac:dyDescent="0.2">
      <c r="B2" s="2" t="s">
        <v>11</v>
      </c>
      <c r="C2" s="2" t="s">
        <v>12</v>
      </c>
      <c r="D2" s="2" t="s">
        <v>13</v>
      </c>
      <c r="E2" s="2" t="s">
        <v>14</v>
      </c>
      <c r="F2" s="2" t="s">
        <v>15</v>
      </c>
      <c r="J2" s="17"/>
      <c r="K2" s="17"/>
    </row>
    <row r="3" spans="1:11" ht="16.2" x14ac:dyDescent="0.2">
      <c r="A3" s="12" t="s">
        <v>17</v>
      </c>
      <c r="B3" s="3">
        <v>1</v>
      </c>
      <c r="C3" s="3">
        <v>0.7</v>
      </c>
      <c r="D3" s="3">
        <v>0.5</v>
      </c>
      <c r="E3" s="3">
        <v>0.3</v>
      </c>
      <c r="F3" s="3">
        <v>0.2</v>
      </c>
      <c r="J3" s="17" t="str">
        <f>A3&amp;$B2</f>
        <v>要件定義特高</v>
      </c>
      <c r="K3" s="17"/>
    </row>
    <row r="4" spans="1:11" ht="16.2" x14ac:dyDescent="0.2">
      <c r="A4" s="11" t="s">
        <v>6</v>
      </c>
      <c r="B4" s="3">
        <v>1</v>
      </c>
      <c r="C4" s="3">
        <v>0.7</v>
      </c>
      <c r="D4" s="3">
        <v>0.5</v>
      </c>
      <c r="E4" s="3">
        <v>0.3</v>
      </c>
      <c r="F4" s="3">
        <v>0.2</v>
      </c>
      <c r="J4" s="17" t="str">
        <f>A3&amp;C2</f>
        <v>要件定義高</v>
      </c>
    </row>
    <row r="5" spans="1:11" ht="16.2" x14ac:dyDescent="0.2">
      <c r="A5" s="12" t="s">
        <v>53</v>
      </c>
      <c r="B5" s="3">
        <v>1.5</v>
      </c>
      <c r="C5" s="3">
        <v>1.3</v>
      </c>
      <c r="D5" s="3">
        <v>1</v>
      </c>
      <c r="E5" s="3">
        <v>0.8</v>
      </c>
      <c r="F5" s="3">
        <v>0.5</v>
      </c>
      <c r="J5" s="17" t="str">
        <f>A3&amp;D2</f>
        <v>要件定義中</v>
      </c>
    </row>
    <row r="6" spans="1:11" ht="17.25" customHeight="1" x14ac:dyDescent="0.2">
      <c r="A6" s="11" t="s">
        <v>5</v>
      </c>
      <c r="B6" s="3">
        <v>1</v>
      </c>
      <c r="C6" s="3">
        <v>0.7</v>
      </c>
      <c r="D6" s="3">
        <v>0.5</v>
      </c>
      <c r="E6" s="3">
        <v>0.3</v>
      </c>
      <c r="F6" s="3">
        <v>0.2</v>
      </c>
      <c r="J6" s="17" t="str">
        <f>A3&amp;E2</f>
        <v>要件定義低</v>
      </c>
    </row>
    <row r="7" spans="1:11" ht="17.25" customHeight="1" x14ac:dyDescent="0.2">
      <c r="A7" s="11" t="s">
        <v>7</v>
      </c>
      <c r="B7" s="3">
        <v>3</v>
      </c>
      <c r="C7" s="3">
        <v>2.5</v>
      </c>
      <c r="D7" s="3">
        <v>2</v>
      </c>
      <c r="E7" s="3">
        <v>1.5</v>
      </c>
      <c r="F7" s="3">
        <v>1</v>
      </c>
      <c r="J7" s="17" t="str">
        <f>A3&amp;F2</f>
        <v>要件定義特低</v>
      </c>
    </row>
    <row r="8" spans="1:11" ht="17.25" customHeight="1" x14ac:dyDescent="0.2">
      <c r="A8" s="11" t="s">
        <v>8</v>
      </c>
      <c r="B8" s="3">
        <v>1</v>
      </c>
      <c r="C8" s="3">
        <v>0.7</v>
      </c>
      <c r="D8" s="3">
        <v>0.5</v>
      </c>
      <c r="E8" s="3">
        <v>0.3</v>
      </c>
      <c r="F8" s="3">
        <v>0.2</v>
      </c>
    </row>
    <row r="9" spans="1:11" ht="16.2" x14ac:dyDescent="0.2">
      <c r="B9" s="3">
        <f>SUM(B3:B8)</f>
        <v>8.5</v>
      </c>
      <c r="C9" s="3">
        <f>SUM(C3:C8)</f>
        <v>6.6000000000000005</v>
      </c>
      <c r="D9" s="3">
        <f>SUM(D3:D8)</f>
        <v>5</v>
      </c>
      <c r="E9" s="3">
        <f>SUM(E3:E8)</f>
        <v>3.5</v>
      </c>
      <c r="F9" s="3">
        <f>SUM(F3:F8)</f>
        <v>2.3000000000000003</v>
      </c>
    </row>
    <row r="10" spans="1:11" x14ac:dyDescent="0.2">
      <c r="A10" s="14" t="s">
        <v>54</v>
      </c>
      <c r="B10" s="14">
        <v>1501</v>
      </c>
      <c r="C10" s="14">
        <v>1001</v>
      </c>
      <c r="D10" s="14">
        <v>501</v>
      </c>
      <c r="E10" s="14">
        <v>201</v>
      </c>
      <c r="G10" s="14" t="s">
        <v>88</v>
      </c>
    </row>
    <row r="11" spans="1:11" x14ac:dyDescent="0.2">
      <c r="C11" s="14">
        <v>1500</v>
      </c>
      <c r="D11" s="14">
        <v>1000</v>
      </c>
      <c r="E11" s="14">
        <v>500</v>
      </c>
      <c r="F11" s="14">
        <v>200</v>
      </c>
      <c r="G11" s="14" t="s">
        <v>89</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3B0A-D6A0-4840-91ED-264253CD2F82}">
  <dimension ref="A2:B4"/>
  <sheetViews>
    <sheetView zoomScale="145" zoomScaleNormal="145" workbookViewId="0"/>
  </sheetViews>
  <sheetFormatPr defaultRowHeight="13.2" x14ac:dyDescent="0.2"/>
  <sheetData>
    <row r="2" spans="1:2" x14ac:dyDescent="0.2">
      <c r="A2" t="s">
        <v>25</v>
      </c>
      <c r="B2">
        <v>1400000</v>
      </c>
    </row>
    <row r="3" spans="1:2" x14ac:dyDescent="0.2">
      <c r="A3" t="s">
        <v>26</v>
      </c>
      <c r="B3">
        <v>1200000</v>
      </c>
    </row>
    <row r="4" spans="1:2" x14ac:dyDescent="0.2">
      <c r="A4" t="s">
        <v>27</v>
      </c>
      <c r="B4">
        <v>1000000</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4DFC314-BA49-4E6E-AC1F-80ABA4E4B1B9}"/>
</file>

<file path=customXml/itemProps2.xml><?xml version="1.0" encoding="utf-8"?>
<ds:datastoreItem xmlns:ds="http://schemas.openxmlformats.org/officeDocument/2006/customXml" ds:itemID="{CBA52469-08C2-4137-BF91-AFAD69345EF4}"/>
</file>

<file path=customXml/itemProps3.xml><?xml version="1.0" encoding="utf-8"?>
<ds:datastoreItem xmlns:ds="http://schemas.openxmlformats.org/officeDocument/2006/customXml" ds:itemID="{B27907D3-9E38-4912-AEE5-09162DB71CF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御見積について</vt:lpstr>
      <vt:lpstr>工数見積</vt:lpstr>
      <vt:lpstr>体制見積</vt:lpstr>
      <vt:lpstr>工数マスタ</vt:lpstr>
      <vt:lpstr>単価</vt:lpstr>
      <vt:lpstr>A</vt:lpstr>
      <vt:lpstr>工数見積!Print_Area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2025-03-26T08:08:15Z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