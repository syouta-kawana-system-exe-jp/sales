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XE_SVN\千葉運転管理システム\71_二次開発\制御システム通信サーバ更新対応（2027）\"/>
    </mc:Choice>
  </mc:AlternateContent>
  <bookViews>
    <workbookView xWindow="0" yWindow="0" windowWidth="28800" windowHeight="12288" tabRatio="727"/>
  </bookViews>
  <sheets>
    <sheet name="サマリ" sheetId="19" r:id="rId1"/>
    <sheet name="積算基準" sheetId="17" r:id="rId2"/>
    <sheet name="工数算出" sheetId="18" r:id="rId3"/>
    <sheet name="画面一覧" sheetId="44" r:id="rId4"/>
    <sheet name="src一覧" sheetId="43" r:id="rId5"/>
    <sheet name="帳票一覧" sheetId="45" r:id="rId6"/>
    <sheet name="バッチ一覧" sheetId="46" r:id="rId7"/>
    <sheet name="IF一覧" sheetId="47" r:id="rId8"/>
    <sheet name="JOB一覧" sheetId="48" r:id="rId9"/>
  </sheets>
  <definedNames>
    <definedName name="_xlnm._FilterDatabase" localSheetId="2" hidden="1">工数算出!$A$7:$X$450</definedName>
    <definedName name="_xlnm._FilterDatabase" localSheetId="5" hidden="1">帳票一覧!$A$1:$G$1</definedName>
    <definedName name="その他係数">積算基準!$L$35</definedName>
    <definedName name="バッチ係数">積算基準!$F$29</definedName>
    <definedName name="移行切替係数">積算基準!$K$35</definedName>
    <definedName name="画面係数">積算基準!$D$29</definedName>
    <definedName name="基本設計係数">積算基準!$E$35</definedName>
    <definedName name="結合テスト係数">積算基準!$H$35</definedName>
    <definedName name="高係数">積算基準!$E$41</definedName>
    <definedName name="参照上限高">積算基準!$E$17</definedName>
    <definedName name="参照上限中">積算基準!$F$17</definedName>
    <definedName name="参照上限低">積算基準!$G$17</definedName>
    <definedName name="参照上限特高">積算基準!$D$17</definedName>
    <definedName name="参照上限特低">積算基準!$H$17</definedName>
    <definedName name="受入支援係数">積算基準!$J$35</definedName>
    <definedName name="詳細設計係数">積算基準!$F$35</definedName>
    <definedName name="製作係数">積算基準!$G$35</definedName>
    <definedName name="総合テスト係数">積算基準!$I$35</definedName>
    <definedName name="中係数">積算基準!$F$41</definedName>
    <definedName name="帳票係数">積算基準!$E$29</definedName>
    <definedName name="低係数">積算基準!$G$41</definedName>
    <definedName name="登録上限高">積算基準!$E$16</definedName>
    <definedName name="登録上限中">積算基準!$F$16</definedName>
    <definedName name="登録上限低">積算基準!$G$16</definedName>
    <definedName name="登録上限特高">積算基準!$D$16</definedName>
    <definedName name="登録上限特低">積算基準!$H$16</definedName>
    <definedName name="特高係数">積算基準!$D$41</definedName>
    <definedName name="特低係数">積算基準!$H$41</definedName>
    <definedName name="要件定義係数">積算基準!$D$35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9" l="1"/>
  <c r="A302" i="18" l="1"/>
  <c r="A301" i="18"/>
  <c r="A300" i="18"/>
  <c r="A299" i="18"/>
  <c r="A298" i="18"/>
  <c r="A297" i="18"/>
  <c r="A296" i="18"/>
  <c r="A195" i="18" l="1"/>
  <c r="A194" i="18"/>
  <c r="A449" i="18" l="1"/>
  <c r="A448" i="18"/>
  <c r="A447" i="18"/>
  <c r="A446" i="18"/>
  <c r="A445" i="18"/>
  <c r="A444" i="18"/>
  <c r="A443" i="18"/>
  <c r="A442" i="18"/>
  <c r="A441" i="18"/>
  <c r="A440" i="18"/>
  <c r="A439" i="18"/>
  <c r="A438" i="18"/>
  <c r="A437" i="18"/>
  <c r="A436" i="18"/>
  <c r="A435" i="18"/>
  <c r="A434" i="18"/>
  <c r="A433" i="18"/>
  <c r="A432" i="18"/>
  <c r="A431" i="18"/>
  <c r="A430" i="18"/>
  <c r="A429" i="18"/>
  <c r="A428" i="18"/>
  <c r="A427" i="18"/>
  <c r="A426" i="18"/>
  <c r="A425" i="18"/>
  <c r="A424" i="18"/>
  <c r="A423" i="18"/>
  <c r="A422" i="18"/>
  <c r="A421" i="18"/>
  <c r="A420" i="18"/>
  <c r="A419" i="18"/>
  <c r="A418" i="18"/>
  <c r="A417" i="18"/>
  <c r="A416" i="18"/>
  <c r="A415" i="18"/>
  <c r="A414" i="18"/>
  <c r="A413" i="18"/>
  <c r="A412" i="18"/>
  <c r="A411" i="18"/>
  <c r="A410" i="18"/>
  <c r="A409" i="18"/>
  <c r="A408" i="18"/>
  <c r="A407" i="18"/>
  <c r="A406" i="18"/>
  <c r="A405" i="18"/>
  <c r="A404" i="18"/>
  <c r="A403" i="18"/>
  <c r="A402" i="18"/>
  <c r="A401" i="18"/>
  <c r="A400" i="18"/>
  <c r="A399" i="18"/>
  <c r="A398" i="18"/>
  <c r="A397" i="18"/>
  <c r="A396" i="18"/>
  <c r="A395" i="18"/>
  <c r="A394" i="18"/>
  <c r="A393" i="18"/>
  <c r="A392" i="18"/>
  <c r="A391" i="18"/>
  <c r="A390" i="18"/>
  <c r="A389" i="18"/>
  <c r="A388" i="18"/>
  <c r="A387" i="18"/>
  <c r="A386" i="18"/>
  <c r="A385" i="18"/>
  <c r="A384" i="18"/>
  <c r="A383" i="18"/>
  <c r="A382" i="18"/>
  <c r="A381" i="18"/>
  <c r="A380" i="18"/>
  <c r="A379" i="18"/>
  <c r="A378" i="18"/>
  <c r="A377" i="18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63" i="18" l="1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98" i="18"/>
  <c r="A97" i="18"/>
  <c r="A96" i="18"/>
  <c r="A95" i="18"/>
  <c r="A94" i="18"/>
  <c r="A93" i="18"/>
  <c r="A92" i="18"/>
  <c r="A91" i="18"/>
  <c r="A90" i="18"/>
  <c r="A107" i="18"/>
  <c r="A106" i="18"/>
  <c r="A105" i="18"/>
  <c r="A104" i="18"/>
  <c r="A103" i="18"/>
  <c r="A102" i="18"/>
  <c r="A101" i="18"/>
  <c r="A100" i="18"/>
  <c r="A99" i="18"/>
  <c r="A116" i="18" l="1"/>
  <c r="N17" i="19" l="1"/>
  <c r="P17" i="19" s="1"/>
  <c r="P18" i="19"/>
  <c r="I18" i="19" l="1"/>
  <c r="A115" i="18" l="1"/>
  <c r="A114" i="18"/>
  <c r="A113" i="18"/>
  <c r="A112" i="18"/>
  <c r="A111" i="18"/>
  <c r="A110" i="18"/>
  <c r="A109" i="18"/>
  <c r="A108" i="18"/>
  <c r="A11" i="18"/>
  <c r="A10" i="18"/>
  <c r="A450" i="18"/>
  <c r="K8" i="18" l="1"/>
  <c r="J8" i="18"/>
  <c r="J299" i="18" l="1"/>
  <c r="J300" i="18"/>
  <c r="J296" i="18"/>
  <c r="J301" i="18"/>
  <c r="J297" i="18"/>
  <c r="J302" i="18"/>
  <c r="J298" i="18"/>
  <c r="K300" i="18"/>
  <c r="K296" i="18"/>
  <c r="K301" i="18"/>
  <c r="K297" i="18"/>
  <c r="K298" i="18"/>
  <c r="K299" i="18"/>
  <c r="K302" i="18"/>
  <c r="J194" i="18"/>
  <c r="J195" i="18"/>
  <c r="K194" i="18"/>
  <c r="K195" i="18"/>
  <c r="J447" i="18"/>
  <c r="J443" i="18"/>
  <c r="J448" i="18"/>
  <c r="J444" i="18"/>
  <c r="J440" i="18"/>
  <c r="J436" i="18"/>
  <c r="J432" i="18"/>
  <c r="J428" i="18"/>
  <c r="J424" i="18"/>
  <c r="J420" i="18"/>
  <c r="J416" i="18"/>
  <c r="J412" i="18"/>
  <c r="J408" i="18"/>
  <c r="J404" i="18"/>
  <c r="J449" i="18"/>
  <c r="J445" i="18"/>
  <c r="J441" i="18"/>
  <c r="J437" i="18"/>
  <c r="J433" i="18"/>
  <c r="J429" i="18"/>
  <c r="J425" i="18"/>
  <c r="J421" i="18"/>
  <c r="J417" i="18"/>
  <c r="J413" i="18"/>
  <c r="J409" i="18"/>
  <c r="J405" i="18"/>
  <c r="J438" i="18"/>
  <c r="J435" i="18"/>
  <c r="J422" i="18"/>
  <c r="J419" i="18"/>
  <c r="J406" i="18"/>
  <c r="J403" i="18"/>
  <c r="J398" i="18"/>
  <c r="J394" i="18"/>
  <c r="J390" i="18"/>
  <c r="J446" i="18"/>
  <c r="J434" i="18"/>
  <c r="J431" i="18"/>
  <c r="J418" i="18"/>
  <c r="J415" i="18"/>
  <c r="J402" i="18"/>
  <c r="J399" i="18"/>
  <c r="J395" i="18"/>
  <c r="J391" i="18"/>
  <c r="J387" i="18"/>
  <c r="J430" i="18"/>
  <c r="J427" i="18"/>
  <c r="J414" i="18"/>
  <c r="J411" i="18"/>
  <c r="J400" i="18"/>
  <c r="J396" i="18"/>
  <c r="J426" i="18"/>
  <c r="J442" i="18"/>
  <c r="J382" i="18"/>
  <c r="J378" i="18"/>
  <c r="J374" i="18"/>
  <c r="J370" i="18"/>
  <c r="J366" i="18"/>
  <c r="J362" i="18"/>
  <c r="J358" i="18"/>
  <c r="J354" i="18"/>
  <c r="J350" i="18"/>
  <c r="J423" i="18"/>
  <c r="J439" i="18"/>
  <c r="J392" i="18"/>
  <c r="J383" i="18"/>
  <c r="J397" i="18"/>
  <c r="J381" i="18"/>
  <c r="J380" i="18"/>
  <c r="J367" i="18"/>
  <c r="J349" i="18"/>
  <c r="J345" i="18"/>
  <c r="J341" i="18"/>
  <c r="J337" i="18"/>
  <c r="J333" i="18"/>
  <c r="J329" i="18"/>
  <c r="J325" i="18"/>
  <c r="J379" i="18"/>
  <c r="J361" i="18"/>
  <c r="J360" i="18"/>
  <c r="J410" i="18"/>
  <c r="J373" i="18"/>
  <c r="J372" i="18"/>
  <c r="J359" i="18"/>
  <c r="J346" i="18"/>
  <c r="J342" i="18"/>
  <c r="J338" i="18"/>
  <c r="J334" i="18"/>
  <c r="J330" i="18"/>
  <c r="J326" i="18"/>
  <c r="J322" i="18"/>
  <c r="J376" i="18"/>
  <c r="J348" i="18"/>
  <c r="J347" i="18"/>
  <c r="J340" i="18"/>
  <c r="J339" i="18"/>
  <c r="J332" i="18"/>
  <c r="J331" i="18"/>
  <c r="J324" i="18"/>
  <c r="J407" i="18"/>
  <c r="J384" i="18"/>
  <c r="J368" i="18"/>
  <c r="J364" i="18"/>
  <c r="J355" i="18"/>
  <c r="J351" i="18"/>
  <c r="J323" i="18"/>
  <c r="J321" i="18"/>
  <c r="J317" i="18"/>
  <c r="J313" i="18"/>
  <c r="J309" i="18"/>
  <c r="J305" i="18"/>
  <c r="J385" i="18"/>
  <c r="J377" i="18"/>
  <c r="J369" i="18"/>
  <c r="J356" i="18"/>
  <c r="J352" i="18"/>
  <c r="J318" i="18"/>
  <c r="J314" i="18"/>
  <c r="J310" i="18"/>
  <c r="J401" i="18"/>
  <c r="J389" i="18"/>
  <c r="J365" i="18"/>
  <c r="J344" i="18"/>
  <c r="J343" i="18"/>
  <c r="J336" i="18"/>
  <c r="J335" i="18"/>
  <c r="J328" i="18"/>
  <c r="J327" i="18"/>
  <c r="J371" i="18"/>
  <c r="J319" i="18"/>
  <c r="J386" i="18"/>
  <c r="J375" i="18"/>
  <c r="J357" i="18"/>
  <c r="J320" i="18"/>
  <c r="J295" i="18"/>
  <c r="J291" i="18"/>
  <c r="J287" i="18"/>
  <c r="J283" i="18"/>
  <c r="J279" i="18"/>
  <c r="J275" i="18"/>
  <c r="J271" i="18"/>
  <c r="J267" i="18"/>
  <c r="J263" i="18"/>
  <c r="J259" i="18"/>
  <c r="J255" i="18"/>
  <c r="J251" i="18"/>
  <c r="J247" i="18"/>
  <c r="J363" i="18"/>
  <c r="J292" i="18"/>
  <c r="J288" i="18"/>
  <c r="J284" i="18"/>
  <c r="J280" i="18"/>
  <c r="J276" i="18"/>
  <c r="J272" i="18"/>
  <c r="J268" i="18"/>
  <c r="J264" i="18"/>
  <c r="J260" i="18"/>
  <c r="J256" i="18"/>
  <c r="J252" i="18"/>
  <c r="J248" i="18"/>
  <c r="J244" i="18"/>
  <c r="J393" i="18"/>
  <c r="J388" i="18"/>
  <c r="J308" i="18"/>
  <c r="J315" i="18"/>
  <c r="J257" i="18"/>
  <c r="J254" i="18"/>
  <c r="J241" i="18"/>
  <c r="J237" i="18"/>
  <c r="J233" i="18"/>
  <c r="J229" i="18"/>
  <c r="J225" i="18"/>
  <c r="J221" i="18"/>
  <c r="J217" i="18"/>
  <c r="J213" i="18"/>
  <c r="J209" i="18"/>
  <c r="J205" i="18"/>
  <c r="J201" i="18"/>
  <c r="J197" i="18"/>
  <c r="J191" i="18"/>
  <c r="J187" i="18"/>
  <c r="J311" i="18"/>
  <c r="J353" i="18"/>
  <c r="J304" i="18"/>
  <c r="J303" i="18"/>
  <c r="J290" i="18"/>
  <c r="J289" i="18"/>
  <c r="J282" i="18"/>
  <c r="J281" i="18"/>
  <c r="J274" i="18"/>
  <c r="J273" i="18"/>
  <c r="J266" i="18"/>
  <c r="J265" i="18"/>
  <c r="J253" i="18"/>
  <c r="J250" i="18"/>
  <c r="J242" i="18"/>
  <c r="J238" i="18"/>
  <c r="J234" i="18"/>
  <c r="J230" i="18"/>
  <c r="J226" i="18"/>
  <c r="J222" i="18"/>
  <c r="J218" i="18"/>
  <c r="J214" i="18"/>
  <c r="J210" i="18"/>
  <c r="J206" i="18"/>
  <c r="J202" i="18"/>
  <c r="J306" i="18"/>
  <c r="J316" i="18"/>
  <c r="J249" i="18"/>
  <c r="J246" i="18"/>
  <c r="J243" i="18"/>
  <c r="J239" i="18"/>
  <c r="J235" i="18"/>
  <c r="J231" i="18"/>
  <c r="J227" i="18"/>
  <c r="J223" i="18"/>
  <c r="J219" i="18"/>
  <c r="J215" i="18"/>
  <c r="J286" i="18"/>
  <c r="J240" i="18"/>
  <c r="J192" i="18"/>
  <c r="J312" i="18"/>
  <c r="J278" i="18"/>
  <c r="J258" i="18"/>
  <c r="J236" i="18"/>
  <c r="J200" i="18"/>
  <c r="J181" i="18"/>
  <c r="J177" i="18"/>
  <c r="J170" i="18"/>
  <c r="J166" i="18"/>
  <c r="J162" i="18"/>
  <c r="J158" i="18"/>
  <c r="J293" i="18"/>
  <c r="J270" i="18"/>
  <c r="J232" i="18"/>
  <c r="J199" i="18"/>
  <c r="J184" i="18"/>
  <c r="J307" i="18"/>
  <c r="J285" i="18"/>
  <c r="J262" i="18"/>
  <c r="J277" i="18"/>
  <c r="J245" i="18"/>
  <c r="J224" i="18"/>
  <c r="J189" i="18"/>
  <c r="J132" i="18"/>
  <c r="J124" i="18"/>
  <c r="J120" i="18"/>
  <c r="J269" i="18"/>
  <c r="J220" i="18"/>
  <c r="J188" i="18"/>
  <c r="J179" i="18"/>
  <c r="J175" i="18"/>
  <c r="J172" i="18"/>
  <c r="J168" i="18"/>
  <c r="J164" i="18"/>
  <c r="J160" i="18"/>
  <c r="J156" i="18"/>
  <c r="J152" i="18"/>
  <c r="J148" i="18"/>
  <c r="J144" i="18"/>
  <c r="J140" i="18"/>
  <c r="J136" i="18"/>
  <c r="J128" i="18"/>
  <c r="J211" i="18"/>
  <c r="J203" i="18"/>
  <c r="J193" i="18"/>
  <c r="J149" i="18"/>
  <c r="J130" i="18"/>
  <c r="J123" i="18"/>
  <c r="J117" i="18"/>
  <c r="J204" i="18"/>
  <c r="J125" i="18"/>
  <c r="J176" i="18"/>
  <c r="J142" i="18"/>
  <c r="J135" i="18"/>
  <c r="J129" i="18"/>
  <c r="J122" i="18"/>
  <c r="J121" i="18"/>
  <c r="J138" i="18"/>
  <c r="J143" i="18"/>
  <c r="J228" i="18"/>
  <c r="J208" i="18"/>
  <c r="J182" i="18"/>
  <c r="J178" i="18"/>
  <c r="J174" i="18"/>
  <c r="J171" i="18"/>
  <c r="J167" i="18"/>
  <c r="J163" i="18"/>
  <c r="J159" i="18"/>
  <c r="J155" i="18"/>
  <c r="J154" i="18"/>
  <c r="J147" i="18"/>
  <c r="J141" i="18"/>
  <c r="J261" i="18"/>
  <c r="J212" i="18"/>
  <c r="J186" i="18"/>
  <c r="J169" i="18"/>
  <c r="J161" i="18"/>
  <c r="J198" i="18"/>
  <c r="J153" i="18"/>
  <c r="J134" i="18"/>
  <c r="J127" i="18"/>
  <c r="J294" i="18"/>
  <c r="J207" i="18"/>
  <c r="J196" i="18"/>
  <c r="J185" i="18"/>
  <c r="J146" i="18"/>
  <c r="J139" i="18"/>
  <c r="J133" i="18"/>
  <c r="J216" i="18"/>
  <c r="J131" i="18"/>
  <c r="J150" i="18"/>
  <c r="J118" i="18"/>
  <c r="J190" i="18"/>
  <c r="J183" i="18"/>
  <c r="J151" i="18"/>
  <c r="J145" i="18"/>
  <c r="J126" i="18"/>
  <c r="J119" i="18"/>
  <c r="J180" i="18"/>
  <c r="J173" i="18"/>
  <c r="J165" i="18"/>
  <c r="J157" i="18"/>
  <c r="J137" i="18"/>
  <c r="K448" i="18"/>
  <c r="K449" i="18"/>
  <c r="K447" i="18"/>
  <c r="K438" i="18"/>
  <c r="K435" i="18"/>
  <c r="K432" i="18"/>
  <c r="K422" i="18"/>
  <c r="K419" i="18"/>
  <c r="K416" i="18"/>
  <c r="K406" i="18"/>
  <c r="K403" i="18"/>
  <c r="K398" i="18"/>
  <c r="K394" i="18"/>
  <c r="K390" i="18"/>
  <c r="K386" i="18"/>
  <c r="K441" i="18"/>
  <c r="K425" i="18"/>
  <c r="K409" i="18"/>
  <c r="K446" i="18"/>
  <c r="K434" i="18"/>
  <c r="K431" i="18"/>
  <c r="K428" i="18"/>
  <c r="K418" i="18"/>
  <c r="K415" i="18"/>
  <c r="K412" i="18"/>
  <c r="K402" i="18"/>
  <c r="K399" i="18"/>
  <c r="K395" i="18"/>
  <c r="K391" i="18"/>
  <c r="K445" i="18"/>
  <c r="K437" i="18"/>
  <c r="K421" i="18"/>
  <c r="K405" i="18"/>
  <c r="K444" i="18"/>
  <c r="K440" i="18"/>
  <c r="K430" i="18"/>
  <c r="K427" i="18"/>
  <c r="K424" i="18"/>
  <c r="K414" i="18"/>
  <c r="K411" i="18"/>
  <c r="K408" i="18"/>
  <c r="K400" i="18"/>
  <c r="K396" i="18"/>
  <c r="K392" i="18"/>
  <c r="K388" i="18"/>
  <c r="K443" i="18"/>
  <c r="K433" i="18"/>
  <c r="K417" i="18"/>
  <c r="K442" i="18"/>
  <c r="K423" i="18"/>
  <c r="K404" i="18"/>
  <c r="K385" i="18"/>
  <c r="K379" i="18"/>
  <c r="K375" i="18"/>
  <c r="K371" i="18"/>
  <c r="K367" i="18"/>
  <c r="K363" i="18"/>
  <c r="K359" i="18"/>
  <c r="K355" i="18"/>
  <c r="K351" i="18"/>
  <c r="K420" i="18"/>
  <c r="K410" i="18"/>
  <c r="K401" i="18"/>
  <c r="K380" i="18"/>
  <c r="K376" i="18"/>
  <c r="K372" i="18"/>
  <c r="K368" i="18"/>
  <c r="K364" i="18"/>
  <c r="K360" i="18"/>
  <c r="K356" i="18"/>
  <c r="K352" i="18"/>
  <c r="K374" i="18"/>
  <c r="K361" i="18"/>
  <c r="K429" i="18"/>
  <c r="K373" i="18"/>
  <c r="K354" i="18"/>
  <c r="K346" i="18"/>
  <c r="K342" i="18"/>
  <c r="K338" i="18"/>
  <c r="K334" i="18"/>
  <c r="K330" i="18"/>
  <c r="K326" i="18"/>
  <c r="K413" i="18"/>
  <c r="K366" i="18"/>
  <c r="K353" i="18"/>
  <c r="K436" i="18"/>
  <c r="K407" i="18"/>
  <c r="K384" i="18"/>
  <c r="K350" i="18"/>
  <c r="K323" i="18"/>
  <c r="K321" i="18"/>
  <c r="K317" i="18"/>
  <c r="K313" i="18"/>
  <c r="K309" i="18"/>
  <c r="K305" i="18"/>
  <c r="K381" i="18"/>
  <c r="K387" i="18"/>
  <c r="K377" i="18"/>
  <c r="K369" i="18"/>
  <c r="K345" i="18"/>
  <c r="K337" i="18"/>
  <c r="K329" i="18"/>
  <c r="K318" i="18"/>
  <c r="K314" i="18"/>
  <c r="K310" i="18"/>
  <c r="K389" i="18"/>
  <c r="K382" i="18"/>
  <c r="K365" i="18"/>
  <c r="K344" i="18"/>
  <c r="K343" i="18"/>
  <c r="K336" i="18"/>
  <c r="K335" i="18"/>
  <c r="K328" i="18"/>
  <c r="K327" i="18"/>
  <c r="K322" i="18"/>
  <c r="K439" i="18"/>
  <c r="K378" i="18"/>
  <c r="K370" i="18"/>
  <c r="K319" i="18"/>
  <c r="K315" i="18"/>
  <c r="K311" i="18"/>
  <c r="K307" i="18"/>
  <c r="K383" i="18"/>
  <c r="K357" i="18"/>
  <c r="K358" i="18"/>
  <c r="K340" i="18"/>
  <c r="K332" i="18"/>
  <c r="K426" i="18"/>
  <c r="K347" i="18"/>
  <c r="K324" i="18"/>
  <c r="K316" i="18"/>
  <c r="K312" i="18"/>
  <c r="K393" i="18"/>
  <c r="K349" i="18"/>
  <c r="K331" i="18"/>
  <c r="K341" i="18"/>
  <c r="K308" i="18"/>
  <c r="K303" i="18"/>
  <c r="K293" i="18"/>
  <c r="K289" i="18"/>
  <c r="K285" i="18"/>
  <c r="K281" i="18"/>
  <c r="K277" i="18"/>
  <c r="K273" i="18"/>
  <c r="K269" i="18"/>
  <c r="K265" i="18"/>
  <c r="K261" i="18"/>
  <c r="K397" i="18"/>
  <c r="K292" i="18"/>
  <c r="K284" i="18"/>
  <c r="K276" i="18"/>
  <c r="K268" i="18"/>
  <c r="K257" i="18"/>
  <c r="K254" i="18"/>
  <c r="K251" i="18"/>
  <c r="K241" i="18"/>
  <c r="K237" i="18"/>
  <c r="K233" i="18"/>
  <c r="K229" i="18"/>
  <c r="K225" i="18"/>
  <c r="K221" i="18"/>
  <c r="K217" i="18"/>
  <c r="K213" i="18"/>
  <c r="K209" i="18"/>
  <c r="K205" i="18"/>
  <c r="K201" i="18"/>
  <c r="K197" i="18"/>
  <c r="K191" i="18"/>
  <c r="K187" i="18"/>
  <c r="K183" i="18"/>
  <c r="K320" i="18"/>
  <c r="K260" i="18"/>
  <c r="K244" i="18"/>
  <c r="K304" i="18"/>
  <c r="K291" i="18"/>
  <c r="K290" i="18"/>
  <c r="K283" i="18"/>
  <c r="K282" i="18"/>
  <c r="K275" i="18"/>
  <c r="K274" i="18"/>
  <c r="K267" i="18"/>
  <c r="K266" i="18"/>
  <c r="K253" i="18"/>
  <c r="K250" i="18"/>
  <c r="K247" i="18"/>
  <c r="K242" i="18"/>
  <c r="K238" i="18"/>
  <c r="K234" i="18"/>
  <c r="K230" i="18"/>
  <c r="K226" i="18"/>
  <c r="K222" i="18"/>
  <c r="K218" i="18"/>
  <c r="K214" i="18"/>
  <c r="K210" i="18"/>
  <c r="K206" i="18"/>
  <c r="K202" i="18"/>
  <c r="K339" i="18"/>
  <c r="K306" i="18"/>
  <c r="K256" i="18"/>
  <c r="K348" i="18"/>
  <c r="K288" i="18"/>
  <c r="K280" i="18"/>
  <c r="K272" i="18"/>
  <c r="K264" i="18"/>
  <c r="K259" i="18"/>
  <c r="K249" i="18"/>
  <c r="K246" i="18"/>
  <c r="K243" i="18"/>
  <c r="K239" i="18"/>
  <c r="K235" i="18"/>
  <c r="K231" i="18"/>
  <c r="K227" i="18"/>
  <c r="K223" i="18"/>
  <c r="K219" i="18"/>
  <c r="K215" i="18"/>
  <c r="K211" i="18"/>
  <c r="K207" i="18"/>
  <c r="K203" i="18"/>
  <c r="K199" i="18"/>
  <c r="K193" i="18"/>
  <c r="K189" i="18"/>
  <c r="K325" i="18"/>
  <c r="K252" i="18"/>
  <c r="K278" i="18"/>
  <c r="K263" i="18"/>
  <c r="K258" i="18"/>
  <c r="K236" i="18"/>
  <c r="K200" i="18"/>
  <c r="K181" i="18"/>
  <c r="K177" i="18"/>
  <c r="K170" i="18"/>
  <c r="K166" i="18"/>
  <c r="K162" i="18"/>
  <c r="K158" i="18"/>
  <c r="K154" i="18"/>
  <c r="K270" i="18"/>
  <c r="K232" i="18"/>
  <c r="K184" i="18"/>
  <c r="K262" i="18"/>
  <c r="K248" i="18"/>
  <c r="K228" i="18"/>
  <c r="K198" i="18"/>
  <c r="K190" i="18"/>
  <c r="K186" i="18"/>
  <c r="K182" i="18"/>
  <c r="K178" i="18"/>
  <c r="K174" i="18"/>
  <c r="K171" i="18"/>
  <c r="K167" i="18"/>
  <c r="K163" i="18"/>
  <c r="K159" i="18"/>
  <c r="K155" i="18"/>
  <c r="K151" i="18"/>
  <c r="K147" i="18"/>
  <c r="K143" i="18"/>
  <c r="K139" i="18"/>
  <c r="K135" i="18"/>
  <c r="K131" i="18"/>
  <c r="K127" i="18"/>
  <c r="K123" i="18"/>
  <c r="K119" i="18"/>
  <c r="K362" i="18"/>
  <c r="K295" i="18"/>
  <c r="K220" i="18"/>
  <c r="K188" i="18"/>
  <c r="K179" i="18"/>
  <c r="K175" i="18"/>
  <c r="K172" i="18"/>
  <c r="K168" i="18"/>
  <c r="K164" i="18"/>
  <c r="K160" i="18"/>
  <c r="K156" i="18"/>
  <c r="K152" i="18"/>
  <c r="K148" i="18"/>
  <c r="K144" i="18"/>
  <c r="K140" i="18"/>
  <c r="K136" i="18"/>
  <c r="K132" i="18"/>
  <c r="K128" i="18"/>
  <c r="K124" i="18"/>
  <c r="K120" i="18"/>
  <c r="K333" i="18"/>
  <c r="K287" i="18"/>
  <c r="K216" i="18"/>
  <c r="K208" i="18"/>
  <c r="K204" i="18"/>
  <c r="K196" i="18"/>
  <c r="K185" i="18"/>
  <c r="K142" i="18"/>
  <c r="K129" i="18"/>
  <c r="K121" i="18"/>
  <c r="K169" i="18"/>
  <c r="K149" i="18"/>
  <c r="K141" i="18"/>
  <c r="K122" i="18"/>
  <c r="K271" i="18"/>
  <c r="K240" i="18"/>
  <c r="K130" i="18"/>
  <c r="K279" i="18"/>
  <c r="K255" i="18"/>
  <c r="K224" i="18"/>
  <c r="K153" i="18"/>
  <c r="K134" i="18"/>
  <c r="K180" i="18"/>
  <c r="K165" i="18"/>
  <c r="K117" i="18"/>
  <c r="K294" i="18"/>
  <c r="K146" i="18"/>
  <c r="K133" i="18"/>
  <c r="K173" i="18"/>
  <c r="K157" i="18"/>
  <c r="K150" i="18"/>
  <c r="K286" i="18"/>
  <c r="K245" i="18"/>
  <c r="K192" i="18"/>
  <c r="K145" i="18"/>
  <c r="K126" i="18"/>
  <c r="K176" i="18"/>
  <c r="K161" i="18"/>
  <c r="K137" i="18"/>
  <c r="K212" i="18"/>
  <c r="K138" i="18"/>
  <c r="K125" i="18"/>
  <c r="K118" i="18"/>
  <c r="J62" i="18"/>
  <c r="J58" i="18"/>
  <c r="J54" i="18"/>
  <c r="J50" i="18"/>
  <c r="J46" i="18"/>
  <c r="J42" i="18"/>
  <c r="J38" i="18"/>
  <c r="J34" i="18"/>
  <c r="J30" i="18"/>
  <c r="J26" i="18"/>
  <c r="J22" i="18"/>
  <c r="J18" i="18"/>
  <c r="J63" i="18"/>
  <c r="J59" i="18"/>
  <c r="J55" i="18"/>
  <c r="J51" i="18"/>
  <c r="J47" i="18"/>
  <c r="J43" i="18"/>
  <c r="J39" i="18"/>
  <c r="J35" i="18"/>
  <c r="J31" i="18"/>
  <c r="J27" i="18"/>
  <c r="J60" i="18"/>
  <c r="J56" i="18"/>
  <c r="J52" i="18"/>
  <c r="J48" i="18"/>
  <c r="J44" i="18"/>
  <c r="J40" i="18"/>
  <c r="J36" i="18"/>
  <c r="J32" i="18"/>
  <c r="J28" i="18"/>
  <c r="J24" i="18"/>
  <c r="J20" i="18"/>
  <c r="J61" i="18"/>
  <c r="J29" i="18"/>
  <c r="J57" i="18"/>
  <c r="J33" i="18"/>
  <c r="J21" i="18"/>
  <c r="J17" i="18"/>
  <c r="J15" i="18"/>
  <c r="J49" i="18"/>
  <c r="J25" i="18"/>
  <c r="J37" i="18"/>
  <c r="J41" i="18"/>
  <c r="J19" i="18"/>
  <c r="J12" i="18"/>
  <c r="J53" i="18"/>
  <c r="J23" i="18"/>
  <c r="J45" i="18"/>
  <c r="J16" i="18"/>
  <c r="J13" i="18"/>
  <c r="J14" i="18"/>
  <c r="K62" i="18"/>
  <c r="K58" i="18"/>
  <c r="K54" i="18"/>
  <c r="K50" i="18"/>
  <c r="K46" i="18"/>
  <c r="K42" i="18"/>
  <c r="K38" i="18"/>
  <c r="K34" i="18"/>
  <c r="K30" i="18"/>
  <c r="K26" i="18"/>
  <c r="K22" i="18"/>
  <c r="K18" i="18"/>
  <c r="K60" i="18"/>
  <c r="K56" i="18"/>
  <c r="K52" i="18"/>
  <c r="K48" i="18"/>
  <c r="K44" i="18"/>
  <c r="K40" i="18"/>
  <c r="K36" i="18"/>
  <c r="K32" i="18"/>
  <c r="K28" i="18"/>
  <c r="K47" i="18"/>
  <c r="K33" i="18"/>
  <c r="K21" i="18"/>
  <c r="K17" i="18"/>
  <c r="K15" i="18"/>
  <c r="K51" i="18"/>
  <c r="K37" i="18"/>
  <c r="K53" i="18"/>
  <c r="K23" i="18"/>
  <c r="K61" i="18"/>
  <c r="K55" i="18"/>
  <c r="K41" i="18"/>
  <c r="K20" i="18"/>
  <c r="K19" i="18"/>
  <c r="K12" i="18"/>
  <c r="K57" i="18"/>
  <c r="K39" i="18"/>
  <c r="K24" i="18"/>
  <c r="K29" i="18"/>
  <c r="K59" i="18"/>
  <c r="K45" i="18"/>
  <c r="K27" i="18"/>
  <c r="K16" i="18"/>
  <c r="K35" i="18"/>
  <c r="K25" i="18"/>
  <c r="K43" i="18"/>
  <c r="K63" i="18"/>
  <c r="K49" i="18"/>
  <c r="K31" i="18"/>
  <c r="K13" i="18"/>
  <c r="K14" i="18"/>
  <c r="J71" i="18"/>
  <c r="J88" i="18"/>
  <c r="J84" i="18"/>
  <c r="J80" i="18"/>
  <c r="J76" i="18"/>
  <c r="J72" i="18"/>
  <c r="J68" i="18"/>
  <c r="J64" i="18"/>
  <c r="J75" i="18"/>
  <c r="J79" i="18"/>
  <c r="J89" i="18"/>
  <c r="J85" i="18"/>
  <c r="J81" i="18"/>
  <c r="J77" i="18"/>
  <c r="J73" i="18"/>
  <c r="J69" i="18"/>
  <c r="J65" i="18"/>
  <c r="J86" i="18"/>
  <c r="J82" i="18"/>
  <c r="J78" i="18"/>
  <c r="J74" i="18"/>
  <c r="J70" i="18"/>
  <c r="J66" i="18"/>
  <c r="J83" i="18"/>
  <c r="J87" i="18"/>
  <c r="J67" i="18"/>
  <c r="K68" i="18"/>
  <c r="K88" i="18"/>
  <c r="K84" i="18"/>
  <c r="K86" i="18"/>
  <c r="K89" i="18"/>
  <c r="K85" i="18"/>
  <c r="K81" i="18"/>
  <c r="K77" i="18"/>
  <c r="K73" i="18"/>
  <c r="K69" i="18"/>
  <c r="K65" i="18"/>
  <c r="K82" i="18"/>
  <c r="K78" i="18"/>
  <c r="K74" i="18"/>
  <c r="K70" i="18"/>
  <c r="K66" i="18"/>
  <c r="K80" i="18"/>
  <c r="K76" i="18"/>
  <c r="K72" i="18"/>
  <c r="K87" i="18"/>
  <c r="K83" i="18"/>
  <c r="K79" i="18"/>
  <c r="K75" i="18"/>
  <c r="K71" i="18"/>
  <c r="K67" i="18"/>
  <c r="K64" i="18"/>
  <c r="J97" i="18"/>
  <c r="J93" i="18"/>
  <c r="J96" i="18"/>
  <c r="J98" i="18"/>
  <c r="J94" i="18"/>
  <c r="J90" i="18"/>
  <c r="J95" i="18"/>
  <c r="J91" i="18"/>
  <c r="J92" i="18"/>
  <c r="K97" i="18"/>
  <c r="K93" i="18"/>
  <c r="K98" i="18"/>
  <c r="K90" i="18"/>
  <c r="K91" i="18"/>
  <c r="K94" i="18"/>
  <c r="K92" i="18"/>
  <c r="K95" i="18"/>
  <c r="K96" i="18"/>
  <c r="J116" i="18"/>
  <c r="J105" i="18"/>
  <c r="J101" i="18"/>
  <c r="J99" i="18"/>
  <c r="J100" i="18"/>
  <c r="J106" i="18"/>
  <c r="J102" i="18"/>
  <c r="J103" i="18"/>
  <c r="J104" i="18"/>
  <c r="J107" i="18"/>
  <c r="K116" i="18"/>
  <c r="K102" i="18"/>
  <c r="K106" i="18"/>
  <c r="K103" i="18"/>
  <c r="K104" i="18"/>
  <c r="K107" i="18"/>
  <c r="K99" i="18"/>
  <c r="K100" i="18"/>
  <c r="K105" i="18"/>
  <c r="K101" i="18"/>
  <c r="J114" i="18"/>
  <c r="J115" i="18"/>
  <c r="J111" i="18"/>
  <c r="J112" i="18"/>
  <c r="J11" i="18"/>
  <c r="J108" i="18"/>
  <c r="J113" i="18"/>
  <c r="J10" i="18"/>
  <c r="J109" i="18"/>
  <c r="J110" i="18"/>
  <c r="K114" i="18"/>
  <c r="K112" i="18"/>
  <c r="K115" i="18"/>
  <c r="K108" i="18"/>
  <c r="K113" i="18"/>
  <c r="K109" i="18"/>
  <c r="K10" i="18"/>
  <c r="K111" i="18"/>
  <c r="K11" i="18"/>
  <c r="K110" i="18"/>
  <c r="J450" i="18"/>
  <c r="K450" i="18"/>
  <c r="S2" i="18" l="1"/>
  <c r="K9" i="18" l="1"/>
  <c r="O8" i="18" l="1"/>
  <c r="N8" i="18"/>
  <c r="N297" i="18" l="1"/>
  <c r="N302" i="18"/>
  <c r="N298" i="18"/>
  <c r="N299" i="18"/>
  <c r="N300" i="18"/>
  <c r="N296" i="18"/>
  <c r="N301" i="18"/>
  <c r="O302" i="18"/>
  <c r="O298" i="18"/>
  <c r="O297" i="18"/>
  <c r="O296" i="18"/>
  <c r="O301" i="18"/>
  <c r="O299" i="18"/>
  <c r="O300" i="18"/>
  <c r="N195" i="18"/>
  <c r="N194" i="18"/>
  <c r="O194" i="18"/>
  <c r="O195" i="18"/>
  <c r="N449" i="18"/>
  <c r="N445" i="18"/>
  <c r="N446" i="18"/>
  <c r="N442" i="18"/>
  <c r="N438" i="18"/>
  <c r="N434" i="18"/>
  <c r="N430" i="18"/>
  <c r="N426" i="18"/>
  <c r="N422" i="18"/>
  <c r="N418" i="18"/>
  <c r="N414" i="18"/>
  <c r="N447" i="18"/>
  <c r="N443" i="18"/>
  <c r="N439" i="18"/>
  <c r="N435" i="18"/>
  <c r="N431" i="18"/>
  <c r="N427" i="18"/>
  <c r="N423" i="18"/>
  <c r="N419" i="18"/>
  <c r="N415" i="18"/>
  <c r="N440" i="18"/>
  <c r="N437" i="18"/>
  <c r="N424" i="18"/>
  <c r="N421" i="18"/>
  <c r="N388" i="18"/>
  <c r="N444" i="18"/>
  <c r="N436" i="18"/>
  <c r="N433" i="18"/>
  <c r="N420" i="18"/>
  <c r="N417" i="18"/>
  <c r="N389" i="18"/>
  <c r="N448" i="18"/>
  <c r="N432" i="18"/>
  <c r="N429" i="18"/>
  <c r="N416" i="18"/>
  <c r="N413" i="18"/>
  <c r="N428" i="18"/>
  <c r="N391" i="18"/>
  <c r="N383" i="18"/>
  <c r="N380" i="18"/>
  <c r="N376" i="18"/>
  <c r="N372" i="18"/>
  <c r="N368" i="18"/>
  <c r="N364" i="18"/>
  <c r="N360" i="18"/>
  <c r="N356" i="18"/>
  <c r="N352" i="18"/>
  <c r="N425" i="18"/>
  <c r="N441" i="18"/>
  <c r="N386" i="18"/>
  <c r="N384" i="18"/>
  <c r="N378" i="18"/>
  <c r="N359" i="18"/>
  <c r="N353" i="18"/>
  <c r="N347" i="18"/>
  <c r="N343" i="18"/>
  <c r="N339" i="18"/>
  <c r="N335" i="18"/>
  <c r="N331" i="18"/>
  <c r="N327" i="18"/>
  <c r="N323" i="18"/>
  <c r="N371" i="18"/>
  <c r="N365" i="18"/>
  <c r="N358" i="18"/>
  <c r="N385" i="18"/>
  <c r="N377" i="18"/>
  <c r="N370" i="18"/>
  <c r="N351" i="18"/>
  <c r="N348" i="18"/>
  <c r="N344" i="18"/>
  <c r="N340" i="18"/>
  <c r="N336" i="18"/>
  <c r="N332" i="18"/>
  <c r="N328" i="18"/>
  <c r="N324" i="18"/>
  <c r="N382" i="18"/>
  <c r="N369" i="18"/>
  <c r="N387" i="18"/>
  <c r="N322" i="18"/>
  <c r="N319" i="18"/>
  <c r="N315" i="18"/>
  <c r="N311" i="18"/>
  <c r="N307" i="18"/>
  <c r="N374" i="18"/>
  <c r="N373" i="18"/>
  <c r="N362" i="18"/>
  <c r="N361" i="18"/>
  <c r="N357" i="18"/>
  <c r="N342" i="18"/>
  <c r="N341" i="18"/>
  <c r="N334" i="18"/>
  <c r="N333" i="18"/>
  <c r="N326" i="18"/>
  <c r="N325" i="18"/>
  <c r="N320" i="18"/>
  <c r="N316" i="18"/>
  <c r="N312" i="18"/>
  <c r="N375" i="18"/>
  <c r="N349" i="18"/>
  <c r="N379" i="18"/>
  <c r="N366" i="18"/>
  <c r="N363" i="18"/>
  <c r="N350" i="18"/>
  <c r="N321" i="18"/>
  <c r="N317" i="18"/>
  <c r="N354" i="18"/>
  <c r="N345" i="18"/>
  <c r="N390" i="18"/>
  <c r="N337" i="18"/>
  <c r="N381" i="18"/>
  <c r="N367" i="18"/>
  <c r="N329" i="18"/>
  <c r="N313" i="18"/>
  <c r="N309" i="18"/>
  <c r="N303" i="18"/>
  <c r="N293" i="18"/>
  <c r="N289" i="18"/>
  <c r="N285" i="18"/>
  <c r="N281" i="18"/>
  <c r="N277" i="18"/>
  <c r="N273" i="18"/>
  <c r="N269" i="18"/>
  <c r="N265" i="18"/>
  <c r="N261" i="18"/>
  <c r="N257" i="18"/>
  <c r="N253" i="18"/>
  <c r="N249" i="18"/>
  <c r="N245" i="18"/>
  <c r="N304" i="18"/>
  <c r="N294" i="18"/>
  <c r="N290" i="18"/>
  <c r="N286" i="18"/>
  <c r="N282" i="18"/>
  <c r="N278" i="18"/>
  <c r="N274" i="18"/>
  <c r="N270" i="18"/>
  <c r="N266" i="18"/>
  <c r="N262" i="18"/>
  <c r="N258" i="18"/>
  <c r="N254" i="18"/>
  <c r="N250" i="18"/>
  <c r="N246" i="18"/>
  <c r="N346" i="18"/>
  <c r="N314" i="18"/>
  <c r="N310" i="18"/>
  <c r="N355" i="18"/>
  <c r="N305" i="18"/>
  <c r="N259" i="18"/>
  <c r="N256" i="18"/>
  <c r="N243" i="18"/>
  <c r="N239" i="18"/>
  <c r="N235" i="18"/>
  <c r="N231" i="18"/>
  <c r="N227" i="18"/>
  <c r="N223" i="18"/>
  <c r="N219" i="18"/>
  <c r="N215" i="18"/>
  <c r="N211" i="18"/>
  <c r="N207" i="18"/>
  <c r="N203" i="18"/>
  <c r="N199" i="18"/>
  <c r="N193" i="18"/>
  <c r="N189" i="18"/>
  <c r="N185" i="18"/>
  <c r="N306" i="18"/>
  <c r="N288" i="18"/>
  <c r="N280" i="18"/>
  <c r="N272" i="18"/>
  <c r="N264" i="18"/>
  <c r="N295" i="18"/>
  <c r="N287" i="18"/>
  <c r="N279" i="18"/>
  <c r="N271" i="18"/>
  <c r="N263" i="18"/>
  <c r="N255" i="18"/>
  <c r="N252" i="18"/>
  <c r="N240" i="18"/>
  <c r="N236" i="18"/>
  <c r="N232" i="18"/>
  <c r="N228" i="18"/>
  <c r="N224" i="18"/>
  <c r="N220" i="18"/>
  <c r="N216" i="18"/>
  <c r="N212" i="18"/>
  <c r="N208" i="18"/>
  <c r="N204" i="18"/>
  <c r="N330" i="18"/>
  <c r="N338" i="18"/>
  <c r="N251" i="18"/>
  <c r="N248" i="18"/>
  <c r="N241" i="18"/>
  <c r="N237" i="18"/>
  <c r="N233" i="18"/>
  <c r="N229" i="18"/>
  <c r="N225" i="18"/>
  <c r="N221" i="18"/>
  <c r="N217" i="18"/>
  <c r="N213" i="18"/>
  <c r="N291" i="18"/>
  <c r="N234" i="18"/>
  <c r="N210" i="18"/>
  <c r="N206" i="18"/>
  <c r="N202" i="18"/>
  <c r="N190" i="18"/>
  <c r="N308" i="18"/>
  <c r="N283" i="18"/>
  <c r="N260" i="18"/>
  <c r="N230" i="18"/>
  <c r="N198" i="18"/>
  <c r="N179" i="18"/>
  <c r="N175" i="18"/>
  <c r="N172" i="18"/>
  <c r="N168" i="18"/>
  <c r="N164" i="18"/>
  <c r="N160" i="18"/>
  <c r="N156" i="18"/>
  <c r="N275" i="18"/>
  <c r="N226" i="18"/>
  <c r="N197" i="18"/>
  <c r="N267" i="18"/>
  <c r="N292" i="18"/>
  <c r="N218" i="18"/>
  <c r="N126" i="18"/>
  <c r="N122" i="18"/>
  <c r="N284" i="18"/>
  <c r="N247" i="18"/>
  <c r="N214" i="18"/>
  <c r="N209" i="18"/>
  <c r="N205" i="18"/>
  <c r="N201" i="18"/>
  <c r="N187" i="18"/>
  <c r="N181" i="18"/>
  <c r="N177" i="18"/>
  <c r="N170" i="18"/>
  <c r="N166" i="18"/>
  <c r="N162" i="18"/>
  <c r="N158" i="18"/>
  <c r="N154" i="18"/>
  <c r="N150" i="18"/>
  <c r="N146" i="18"/>
  <c r="N142" i="18"/>
  <c r="N138" i="18"/>
  <c r="N134" i="18"/>
  <c r="N130" i="18"/>
  <c r="N118" i="18"/>
  <c r="N191" i="18"/>
  <c r="N184" i="18"/>
  <c r="N141" i="18"/>
  <c r="N128" i="18"/>
  <c r="N127" i="18"/>
  <c r="N120" i="18"/>
  <c r="N186" i="18"/>
  <c r="N149" i="18"/>
  <c r="N244" i="18"/>
  <c r="N222" i="18"/>
  <c r="N182" i="18"/>
  <c r="N178" i="18"/>
  <c r="N174" i="18"/>
  <c r="N171" i="18"/>
  <c r="N167" i="18"/>
  <c r="N163" i="18"/>
  <c r="N159" i="18"/>
  <c r="N155" i="18"/>
  <c r="N153" i="18"/>
  <c r="N140" i="18"/>
  <c r="N139" i="18"/>
  <c r="N121" i="18"/>
  <c r="N133" i="18"/>
  <c r="N119" i="18"/>
  <c r="N117" i="18"/>
  <c r="N242" i="18"/>
  <c r="N200" i="18"/>
  <c r="N152" i="18"/>
  <c r="N151" i="18"/>
  <c r="N136" i="18"/>
  <c r="N148" i="18"/>
  <c r="N129" i="18"/>
  <c r="N268" i="18"/>
  <c r="N196" i="18"/>
  <c r="N192" i="18"/>
  <c r="N145" i="18"/>
  <c r="N132" i="18"/>
  <c r="N131" i="18"/>
  <c r="N276" i="18"/>
  <c r="N147" i="18"/>
  <c r="N318" i="18"/>
  <c r="N238" i="18"/>
  <c r="N183" i="18"/>
  <c r="N144" i="18"/>
  <c r="N143" i="18"/>
  <c r="N125" i="18"/>
  <c r="N188" i="18"/>
  <c r="N180" i="18"/>
  <c r="N176" i="18"/>
  <c r="N173" i="18"/>
  <c r="N169" i="18"/>
  <c r="N165" i="18"/>
  <c r="N161" i="18"/>
  <c r="N157" i="18"/>
  <c r="N137" i="18"/>
  <c r="N124" i="18"/>
  <c r="N123" i="18"/>
  <c r="N135" i="18"/>
  <c r="O449" i="18"/>
  <c r="O446" i="18"/>
  <c r="O440" i="18"/>
  <c r="O437" i="18"/>
  <c r="O434" i="18"/>
  <c r="O424" i="18"/>
  <c r="O421" i="18"/>
  <c r="O418" i="18"/>
  <c r="O447" i="18"/>
  <c r="O445" i="18"/>
  <c r="O444" i="18"/>
  <c r="O427" i="18"/>
  <c r="O443" i="18"/>
  <c r="O436" i="18"/>
  <c r="O433" i="18"/>
  <c r="O430" i="18"/>
  <c r="O420" i="18"/>
  <c r="O417" i="18"/>
  <c r="O414" i="18"/>
  <c r="O439" i="18"/>
  <c r="O423" i="18"/>
  <c r="O448" i="18"/>
  <c r="O442" i="18"/>
  <c r="O432" i="18"/>
  <c r="O429" i="18"/>
  <c r="O426" i="18"/>
  <c r="O416" i="18"/>
  <c r="O413" i="18"/>
  <c r="O435" i="18"/>
  <c r="O419" i="18"/>
  <c r="O428" i="18"/>
  <c r="O425" i="18"/>
  <c r="O422" i="18"/>
  <c r="O415" i="18"/>
  <c r="O438" i="18"/>
  <c r="O441" i="18"/>
  <c r="O391" i="18"/>
  <c r="O311" i="18"/>
  <c r="O307" i="18"/>
  <c r="O312" i="18"/>
  <c r="O309" i="18"/>
  <c r="O308" i="18"/>
  <c r="O310" i="18"/>
  <c r="O306" i="18"/>
  <c r="O295" i="18"/>
  <c r="O291" i="18"/>
  <c r="O287" i="18"/>
  <c r="O283" i="18"/>
  <c r="O279" i="18"/>
  <c r="O275" i="18"/>
  <c r="O271" i="18"/>
  <c r="O267" i="18"/>
  <c r="O263" i="18"/>
  <c r="O305" i="18"/>
  <c r="O304" i="18"/>
  <c r="O290" i="18"/>
  <c r="O282" i="18"/>
  <c r="O274" i="18"/>
  <c r="O266" i="18"/>
  <c r="O259" i="18"/>
  <c r="O256" i="18"/>
  <c r="O253" i="18"/>
  <c r="O243" i="18"/>
  <c r="O239" i="18"/>
  <c r="O235" i="18"/>
  <c r="O231" i="18"/>
  <c r="O227" i="18"/>
  <c r="O223" i="18"/>
  <c r="O219" i="18"/>
  <c r="O215" i="18"/>
  <c r="O211" i="18"/>
  <c r="O207" i="18"/>
  <c r="O203" i="18"/>
  <c r="O199" i="18"/>
  <c r="O193" i="18"/>
  <c r="O189" i="18"/>
  <c r="O185" i="18"/>
  <c r="O303" i="18"/>
  <c r="O289" i="18"/>
  <c r="O288" i="18"/>
  <c r="O281" i="18"/>
  <c r="O280" i="18"/>
  <c r="O273" i="18"/>
  <c r="O272" i="18"/>
  <c r="O265" i="18"/>
  <c r="O264" i="18"/>
  <c r="O246" i="18"/>
  <c r="O431" i="18"/>
  <c r="O255" i="18"/>
  <c r="O252" i="18"/>
  <c r="O249" i="18"/>
  <c r="O240" i="18"/>
  <c r="O236" i="18"/>
  <c r="O232" i="18"/>
  <c r="O228" i="18"/>
  <c r="O224" i="18"/>
  <c r="O220" i="18"/>
  <c r="O216" i="18"/>
  <c r="O212" i="18"/>
  <c r="O208" i="18"/>
  <c r="O204" i="18"/>
  <c r="O258" i="18"/>
  <c r="O294" i="18"/>
  <c r="O286" i="18"/>
  <c r="O278" i="18"/>
  <c r="O270" i="18"/>
  <c r="O262" i="18"/>
  <c r="O251" i="18"/>
  <c r="O248" i="18"/>
  <c r="O245" i="18"/>
  <c r="O241" i="18"/>
  <c r="O237" i="18"/>
  <c r="O233" i="18"/>
  <c r="O229" i="18"/>
  <c r="O225" i="18"/>
  <c r="O221" i="18"/>
  <c r="O217" i="18"/>
  <c r="O213" i="18"/>
  <c r="O209" i="18"/>
  <c r="O205" i="18"/>
  <c r="O201" i="18"/>
  <c r="O197" i="18"/>
  <c r="O191" i="18"/>
  <c r="O293" i="18"/>
  <c r="O292" i="18"/>
  <c r="O285" i="18"/>
  <c r="O284" i="18"/>
  <c r="O277" i="18"/>
  <c r="O276" i="18"/>
  <c r="O269" i="18"/>
  <c r="O268" i="18"/>
  <c r="O261" i="18"/>
  <c r="O254" i="18"/>
  <c r="O260" i="18"/>
  <c r="O230" i="18"/>
  <c r="O198" i="18"/>
  <c r="O179" i="18"/>
  <c r="O175" i="18"/>
  <c r="O172" i="18"/>
  <c r="O168" i="18"/>
  <c r="O164" i="18"/>
  <c r="O160" i="18"/>
  <c r="O156" i="18"/>
  <c r="O226" i="18"/>
  <c r="O222" i="18"/>
  <c r="O196" i="18"/>
  <c r="O188" i="18"/>
  <c r="O183" i="18"/>
  <c r="O180" i="18"/>
  <c r="O176" i="18"/>
  <c r="O173" i="18"/>
  <c r="O169" i="18"/>
  <c r="O165" i="18"/>
  <c r="O161" i="18"/>
  <c r="O157" i="18"/>
  <c r="O153" i="18"/>
  <c r="O149" i="18"/>
  <c r="O145" i="18"/>
  <c r="O141" i="18"/>
  <c r="O137" i="18"/>
  <c r="O133" i="18"/>
  <c r="O129" i="18"/>
  <c r="O125" i="18"/>
  <c r="O121" i="18"/>
  <c r="O117" i="18"/>
  <c r="O247" i="18"/>
  <c r="O214" i="18"/>
  <c r="O187" i="18"/>
  <c r="O181" i="18"/>
  <c r="O177" i="18"/>
  <c r="O170" i="18"/>
  <c r="O166" i="18"/>
  <c r="O162" i="18"/>
  <c r="O158" i="18"/>
  <c r="O154" i="18"/>
  <c r="O150" i="18"/>
  <c r="O146" i="18"/>
  <c r="O142" i="18"/>
  <c r="O138" i="18"/>
  <c r="O134" i="18"/>
  <c r="O130" i="18"/>
  <c r="O126" i="18"/>
  <c r="O122" i="18"/>
  <c r="O118" i="18"/>
  <c r="O242" i="18"/>
  <c r="O200" i="18"/>
  <c r="O192" i="18"/>
  <c r="O218" i="18"/>
  <c r="O182" i="18"/>
  <c r="O178" i="18"/>
  <c r="O174" i="18"/>
  <c r="O171" i="18"/>
  <c r="O167" i="18"/>
  <c r="O163" i="18"/>
  <c r="O159" i="18"/>
  <c r="O155" i="18"/>
  <c r="O140" i="18"/>
  <c r="O139" i="18"/>
  <c r="O120" i="18"/>
  <c r="O132" i="18"/>
  <c r="O244" i="18"/>
  <c r="O152" i="18"/>
  <c r="O151" i="18"/>
  <c r="O119" i="18"/>
  <c r="O131" i="18"/>
  <c r="O148" i="18"/>
  <c r="O147" i="18"/>
  <c r="O238" i="18"/>
  <c r="O210" i="18"/>
  <c r="O202" i="18"/>
  <c r="O144" i="18"/>
  <c r="O143" i="18"/>
  <c r="O234" i="18"/>
  <c r="O184" i="18"/>
  <c r="O128" i="18"/>
  <c r="O250" i="18"/>
  <c r="O190" i="18"/>
  <c r="O124" i="18"/>
  <c r="O123" i="18"/>
  <c r="O257" i="18"/>
  <c r="O186" i="18"/>
  <c r="O136" i="18"/>
  <c r="O135" i="18"/>
  <c r="O206" i="18"/>
  <c r="O127" i="18"/>
  <c r="N60" i="18"/>
  <c r="N56" i="18"/>
  <c r="N52" i="18"/>
  <c r="N48" i="18"/>
  <c r="N44" i="18"/>
  <c r="N40" i="18"/>
  <c r="N36" i="18"/>
  <c r="N32" i="18"/>
  <c r="N28" i="18"/>
  <c r="N24" i="18"/>
  <c r="N20" i="18"/>
  <c r="N16" i="18"/>
  <c r="N61" i="18"/>
  <c r="N57" i="18"/>
  <c r="N53" i="18"/>
  <c r="N49" i="18"/>
  <c r="N45" i="18"/>
  <c r="N41" i="18"/>
  <c r="N37" i="18"/>
  <c r="N33" i="18"/>
  <c r="N29" i="18"/>
  <c r="N25" i="18"/>
  <c r="N62" i="18"/>
  <c r="N58" i="18"/>
  <c r="N54" i="18"/>
  <c r="N50" i="18"/>
  <c r="N46" i="18"/>
  <c r="N42" i="18"/>
  <c r="N38" i="18"/>
  <c r="N34" i="18"/>
  <c r="N30" i="18"/>
  <c r="N26" i="18"/>
  <c r="N22" i="18"/>
  <c r="N51" i="18"/>
  <c r="N21" i="18"/>
  <c r="N55" i="18"/>
  <c r="N19" i="18"/>
  <c r="N13" i="18"/>
  <c r="N17" i="18"/>
  <c r="N47" i="18"/>
  <c r="N59" i="18"/>
  <c r="N27" i="18"/>
  <c r="N39" i="18"/>
  <c r="N12" i="18"/>
  <c r="N63" i="18"/>
  <c r="N31" i="18"/>
  <c r="N18" i="18"/>
  <c r="N14" i="18"/>
  <c r="N35" i="18"/>
  <c r="N23" i="18"/>
  <c r="N15" i="18"/>
  <c r="N43" i="18"/>
  <c r="O60" i="18"/>
  <c r="O56" i="18"/>
  <c r="O52" i="18"/>
  <c r="O48" i="18"/>
  <c r="O44" i="18"/>
  <c r="O40" i="18"/>
  <c r="O36" i="18"/>
  <c r="O32" i="18"/>
  <c r="O28" i="18"/>
  <c r="O24" i="18"/>
  <c r="O20" i="18"/>
  <c r="O16" i="18"/>
  <c r="O62" i="18"/>
  <c r="O58" i="18"/>
  <c r="O54" i="18"/>
  <c r="O50" i="18"/>
  <c r="O46" i="18"/>
  <c r="O42" i="18"/>
  <c r="O38" i="18"/>
  <c r="O34" i="18"/>
  <c r="O30" i="18"/>
  <c r="O26" i="18"/>
  <c r="O55" i="18"/>
  <c r="O37" i="18"/>
  <c r="O19" i="18"/>
  <c r="O13" i="18"/>
  <c r="O43" i="18"/>
  <c r="O25" i="18"/>
  <c r="O29" i="18"/>
  <c r="O59" i="18"/>
  <c r="O41" i="18"/>
  <c r="O27" i="18"/>
  <c r="O22" i="18"/>
  <c r="O61" i="18"/>
  <c r="O63" i="18"/>
  <c r="O45" i="18"/>
  <c r="O31" i="18"/>
  <c r="O18" i="18"/>
  <c r="O14" i="18"/>
  <c r="O57" i="18"/>
  <c r="O47" i="18"/>
  <c r="O49" i="18"/>
  <c r="O35" i="18"/>
  <c r="O21" i="18"/>
  <c r="O51" i="18"/>
  <c r="O33" i="18"/>
  <c r="O53" i="18"/>
  <c r="O39" i="18"/>
  <c r="O23" i="18"/>
  <c r="O17" i="18"/>
  <c r="O15" i="18"/>
  <c r="O12" i="18"/>
  <c r="N86" i="18"/>
  <c r="N82" i="18"/>
  <c r="N78" i="18"/>
  <c r="N74" i="18"/>
  <c r="N70" i="18"/>
  <c r="N66" i="18"/>
  <c r="N69" i="18"/>
  <c r="N87" i="18"/>
  <c r="N83" i="18"/>
  <c r="N79" i="18"/>
  <c r="N75" i="18"/>
  <c r="N71" i="18"/>
  <c r="N67" i="18"/>
  <c r="N88" i="18"/>
  <c r="N84" i="18"/>
  <c r="N80" i="18"/>
  <c r="N76" i="18"/>
  <c r="N72" i="18"/>
  <c r="N68" i="18"/>
  <c r="N64" i="18"/>
  <c r="N89" i="18"/>
  <c r="N77" i="18"/>
  <c r="N73" i="18"/>
  <c r="N65" i="18"/>
  <c r="N85" i="18"/>
  <c r="N81" i="18"/>
  <c r="O78" i="18"/>
  <c r="O86" i="18"/>
  <c r="O74" i="18"/>
  <c r="O88" i="18"/>
  <c r="O84" i="18"/>
  <c r="O87" i="18"/>
  <c r="O83" i="18"/>
  <c r="O79" i="18"/>
  <c r="O75" i="18"/>
  <c r="O71" i="18"/>
  <c r="O67" i="18"/>
  <c r="O80" i="18"/>
  <c r="O76" i="18"/>
  <c r="O72" i="18"/>
  <c r="O68" i="18"/>
  <c r="O64" i="18"/>
  <c r="O82" i="18"/>
  <c r="O70" i="18"/>
  <c r="O66" i="18"/>
  <c r="O89" i="18"/>
  <c r="O85" i="18"/>
  <c r="O81" i="18"/>
  <c r="O77" i="18"/>
  <c r="O73" i="18"/>
  <c r="O69" i="18"/>
  <c r="O65" i="18"/>
  <c r="N95" i="18"/>
  <c r="N91" i="18"/>
  <c r="N96" i="18"/>
  <c r="N92" i="18"/>
  <c r="N94" i="18"/>
  <c r="N90" i="18"/>
  <c r="N97" i="18"/>
  <c r="N93" i="18"/>
  <c r="N98" i="18"/>
  <c r="O95" i="18"/>
  <c r="O91" i="18"/>
  <c r="O92" i="18"/>
  <c r="O90" i="18"/>
  <c r="O96" i="18"/>
  <c r="O97" i="18"/>
  <c r="O93" i="18"/>
  <c r="O98" i="18"/>
  <c r="O94" i="18"/>
  <c r="N116" i="18"/>
  <c r="N107" i="18"/>
  <c r="N103" i="18"/>
  <c r="N99" i="18"/>
  <c r="N101" i="18"/>
  <c r="N102" i="18"/>
  <c r="N104" i="18"/>
  <c r="N100" i="18"/>
  <c r="N106" i="18"/>
  <c r="N105" i="18"/>
  <c r="O116" i="18"/>
  <c r="O100" i="18"/>
  <c r="O105" i="18"/>
  <c r="O99" i="18"/>
  <c r="O104" i="18"/>
  <c r="O101" i="18"/>
  <c r="O106" i="18"/>
  <c r="O103" i="18"/>
  <c r="O102" i="18"/>
  <c r="O107" i="18"/>
  <c r="N112" i="18"/>
  <c r="N113" i="18"/>
  <c r="N108" i="18"/>
  <c r="N109" i="18"/>
  <c r="N114" i="18"/>
  <c r="N10" i="18"/>
  <c r="N115" i="18"/>
  <c r="N111" i="18"/>
  <c r="N110" i="18"/>
  <c r="N11" i="18"/>
  <c r="O112" i="18"/>
  <c r="O109" i="18"/>
  <c r="O114" i="18"/>
  <c r="O108" i="18"/>
  <c r="O113" i="18"/>
  <c r="O10" i="18"/>
  <c r="O111" i="18"/>
  <c r="O115" i="18"/>
  <c r="O110" i="18"/>
  <c r="O11" i="18"/>
  <c r="N450" i="18"/>
  <c r="O450" i="18"/>
  <c r="C28" i="19" l="1"/>
  <c r="T9" i="18" l="1"/>
  <c r="S9" i="18"/>
  <c r="R9" i="18"/>
  <c r="Q9" i="18"/>
  <c r="P9" i="18"/>
  <c r="O9" i="18"/>
  <c r="N9" i="18"/>
  <c r="M9" i="18"/>
  <c r="L9" i="18"/>
  <c r="J9" i="18"/>
  <c r="T8" i="18"/>
  <c r="S8" i="18"/>
  <c r="R8" i="18"/>
  <c r="Q8" i="18"/>
  <c r="P8" i="18"/>
  <c r="M8" i="18"/>
  <c r="L8" i="18"/>
  <c r="P299" i="18" l="1"/>
  <c r="P300" i="18"/>
  <c r="P296" i="18"/>
  <c r="P301" i="18"/>
  <c r="P298" i="18"/>
  <c r="P297" i="18"/>
  <c r="P302" i="18"/>
  <c r="Q299" i="18"/>
  <c r="Q298" i="18"/>
  <c r="Q300" i="18"/>
  <c r="Q296" i="18"/>
  <c r="Q301" i="18"/>
  <c r="Q297" i="18"/>
  <c r="Q302" i="18"/>
  <c r="R298" i="18"/>
  <c r="R300" i="18"/>
  <c r="R296" i="18"/>
  <c r="R301" i="18"/>
  <c r="R297" i="18"/>
  <c r="R302" i="18"/>
  <c r="R299" i="18"/>
  <c r="M301" i="18"/>
  <c r="M297" i="18"/>
  <c r="M300" i="18"/>
  <c r="M302" i="18"/>
  <c r="M298" i="18"/>
  <c r="M299" i="18"/>
  <c r="M296" i="18"/>
  <c r="L300" i="18"/>
  <c r="L301" i="18"/>
  <c r="T301" i="18" s="1"/>
  <c r="W301" i="18" s="1"/>
  <c r="L297" i="18"/>
  <c r="L302" i="18"/>
  <c r="L298" i="18"/>
  <c r="T298" i="18" s="1"/>
  <c r="L299" i="18"/>
  <c r="L296" i="18"/>
  <c r="M195" i="18"/>
  <c r="M194" i="18"/>
  <c r="P194" i="18"/>
  <c r="P195" i="18"/>
  <c r="Q194" i="18"/>
  <c r="Q195" i="18"/>
  <c r="R194" i="18"/>
  <c r="R195" i="18"/>
  <c r="L194" i="18"/>
  <c r="L195" i="18"/>
  <c r="M449" i="18"/>
  <c r="M448" i="18"/>
  <c r="M441" i="18"/>
  <c r="M431" i="18"/>
  <c r="M428" i="18"/>
  <c r="M425" i="18"/>
  <c r="M415" i="18"/>
  <c r="M412" i="18"/>
  <c r="M409" i="18"/>
  <c r="M399" i="18"/>
  <c r="M395" i="18"/>
  <c r="M391" i="18"/>
  <c r="M387" i="18"/>
  <c r="M383" i="18"/>
  <c r="M446" i="18"/>
  <c r="M434" i="18"/>
  <c r="M418" i="18"/>
  <c r="M402" i="18"/>
  <c r="M447" i="18"/>
  <c r="M445" i="18"/>
  <c r="M440" i="18"/>
  <c r="M437" i="18"/>
  <c r="M427" i="18"/>
  <c r="T427" i="18" s="1"/>
  <c r="W427" i="18" s="1"/>
  <c r="M424" i="18"/>
  <c r="M421" i="18"/>
  <c r="M411" i="18"/>
  <c r="M408" i="18"/>
  <c r="M405" i="18"/>
  <c r="M400" i="18"/>
  <c r="M396" i="18"/>
  <c r="M392" i="18"/>
  <c r="M444" i="18"/>
  <c r="M443" i="18"/>
  <c r="M430" i="18"/>
  <c r="M414" i="18"/>
  <c r="M439" i="18"/>
  <c r="M436" i="18"/>
  <c r="M433" i="18"/>
  <c r="M423" i="18"/>
  <c r="T423" i="18" s="1"/>
  <c r="M420" i="18"/>
  <c r="M417" i="18"/>
  <c r="M407" i="18"/>
  <c r="M404" i="18"/>
  <c r="M401" i="18"/>
  <c r="M397" i="18"/>
  <c r="M393" i="18"/>
  <c r="M389" i="18"/>
  <c r="M442" i="18"/>
  <c r="M426" i="18"/>
  <c r="M410" i="18"/>
  <c r="M438" i="18"/>
  <c r="M435" i="18"/>
  <c r="M394" i="18"/>
  <c r="M432" i="18"/>
  <c r="M413" i="18"/>
  <c r="M380" i="18"/>
  <c r="M376" i="18"/>
  <c r="M372" i="18"/>
  <c r="M368" i="18"/>
  <c r="M364" i="18"/>
  <c r="M360" i="18"/>
  <c r="M356" i="18"/>
  <c r="M352" i="18"/>
  <c r="M429" i="18"/>
  <c r="M403" i="18"/>
  <c r="M381" i="18"/>
  <c r="M377" i="18"/>
  <c r="M373" i="18"/>
  <c r="M369" i="18"/>
  <c r="M365" i="18"/>
  <c r="M361" i="18"/>
  <c r="M357" i="18"/>
  <c r="M353" i="18"/>
  <c r="M349" i="18"/>
  <c r="M379" i="18"/>
  <c r="M366" i="18"/>
  <c r="M378" i="18"/>
  <c r="M359" i="18"/>
  <c r="M347" i="18"/>
  <c r="M343" i="18"/>
  <c r="M339" i="18"/>
  <c r="M335" i="18"/>
  <c r="M331" i="18"/>
  <c r="M327" i="18"/>
  <c r="M388" i="18"/>
  <c r="M371" i="18"/>
  <c r="M358" i="18"/>
  <c r="M355" i="18"/>
  <c r="M351" i="18"/>
  <c r="M346" i="18"/>
  <c r="M345" i="18"/>
  <c r="M338" i="18"/>
  <c r="M337" i="18"/>
  <c r="M330" i="18"/>
  <c r="M329" i="18"/>
  <c r="M318" i="18"/>
  <c r="M314" i="18"/>
  <c r="M419" i="18"/>
  <c r="M385" i="18"/>
  <c r="M382" i="18"/>
  <c r="M344" i="18"/>
  <c r="M336" i="18"/>
  <c r="M328" i="18"/>
  <c r="M370" i="18"/>
  <c r="M322" i="18"/>
  <c r="M319" i="18"/>
  <c r="M315" i="18"/>
  <c r="M406" i="18"/>
  <c r="M398" i="18"/>
  <c r="M374" i="18"/>
  <c r="M422" i="18"/>
  <c r="M386" i="18"/>
  <c r="M362" i="18"/>
  <c r="M342" i="18"/>
  <c r="M341" i="18"/>
  <c r="M334" i="18"/>
  <c r="M333" i="18"/>
  <c r="M326" i="18"/>
  <c r="M325" i="18"/>
  <c r="M320" i="18"/>
  <c r="M316" i="18"/>
  <c r="M312" i="18"/>
  <c r="M375" i="18"/>
  <c r="M348" i="18"/>
  <c r="M340" i="18"/>
  <c r="M332" i="18"/>
  <c r="M324" i="18"/>
  <c r="M354" i="18"/>
  <c r="M350" i="18"/>
  <c r="M390" i="18"/>
  <c r="M321" i="18"/>
  <c r="M323" i="18"/>
  <c r="M317" i="18"/>
  <c r="M294" i="18"/>
  <c r="M290" i="18"/>
  <c r="M286" i="18"/>
  <c r="M282" i="18"/>
  <c r="M278" i="18"/>
  <c r="M274" i="18"/>
  <c r="M270" i="18"/>
  <c r="M266" i="18"/>
  <c r="M262" i="18"/>
  <c r="M313" i="18"/>
  <c r="M291" i="18"/>
  <c r="M283" i="18"/>
  <c r="M275" i="18"/>
  <c r="M267" i="18"/>
  <c r="M260" i="18"/>
  <c r="M250" i="18"/>
  <c r="M247" i="18"/>
  <c r="M244" i="18"/>
  <c r="M242" i="18"/>
  <c r="M238" i="18"/>
  <c r="M234" i="18"/>
  <c r="M230" i="18"/>
  <c r="M226" i="18"/>
  <c r="M222" i="18"/>
  <c r="M218" i="18"/>
  <c r="M214" i="18"/>
  <c r="M210" i="18"/>
  <c r="M206" i="18"/>
  <c r="M202" i="18"/>
  <c r="M198" i="18"/>
  <c r="M192" i="18"/>
  <c r="M188" i="18"/>
  <c r="M184" i="18"/>
  <c r="M309" i="18"/>
  <c r="M253" i="18"/>
  <c r="M416" i="18"/>
  <c r="M289" i="18"/>
  <c r="M281" i="18"/>
  <c r="M273" i="18"/>
  <c r="M265" i="18"/>
  <c r="M259" i="18"/>
  <c r="M256" i="18"/>
  <c r="M246" i="18"/>
  <c r="M243" i="18"/>
  <c r="M239" i="18"/>
  <c r="M235" i="18"/>
  <c r="M231" i="18"/>
  <c r="M227" i="18"/>
  <c r="M223" i="18"/>
  <c r="M219" i="18"/>
  <c r="M215" i="18"/>
  <c r="M211" i="18"/>
  <c r="M207" i="18"/>
  <c r="M203" i="18"/>
  <c r="M288" i="18"/>
  <c r="M280" i="18"/>
  <c r="M272" i="18"/>
  <c r="M264" i="18"/>
  <c r="M249" i="18"/>
  <c r="T249" i="18" s="1"/>
  <c r="W249" i="18" s="1"/>
  <c r="M295" i="18"/>
  <c r="M287" i="18"/>
  <c r="M279" i="18"/>
  <c r="M271" i="18"/>
  <c r="M263" i="18"/>
  <c r="M258" i="18"/>
  <c r="M255" i="18"/>
  <c r="M252" i="18"/>
  <c r="M240" i="18"/>
  <c r="M236" i="18"/>
  <c r="M232" i="18"/>
  <c r="M228" i="18"/>
  <c r="M224" i="18"/>
  <c r="M220" i="18"/>
  <c r="M216" i="18"/>
  <c r="M212" i="18"/>
  <c r="M208" i="18"/>
  <c r="M204" i="18"/>
  <c r="M200" i="18"/>
  <c r="M196" i="18"/>
  <c r="M190" i="18"/>
  <c r="M363" i="18"/>
  <c r="M245" i="18"/>
  <c r="M268" i="18"/>
  <c r="M217" i="18"/>
  <c r="M199" i="18"/>
  <c r="M191" i="18"/>
  <c r="M186" i="18"/>
  <c r="M182" i="18"/>
  <c r="M178" i="18"/>
  <c r="M174" i="18"/>
  <c r="M171" i="18"/>
  <c r="M167" i="18"/>
  <c r="M163" i="18"/>
  <c r="M159" i="18"/>
  <c r="M155" i="18"/>
  <c r="M293" i="18"/>
  <c r="M248" i="18"/>
  <c r="M213" i="18"/>
  <c r="M384" i="18"/>
  <c r="M285" i="18"/>
  <c r="M241" i="18"/>
  <c r="M189" i="18"/>
  <c r="M179" i="18"/>
  <c r="M175" i="18"/>
  <c r="M172" i="18"/>
  <c r="M168" i="18"/>
  <c r="M164" i="18"/>
  <c r="M160" i="18"/>
  <c r="M156" i="18"/>
  <c r="M152" i="18"/>
  <c r="M148" i="18"/>
  <c r="M144" i="18"/>
  <c r="M140" i="18"/>
  <c r="M136" i="18"/>
  <c r="M132" i="18"/>
  <c r="M128" i="18"/>
  <c r="M124" i="18"/>
  <c r="M120" i="18"/>
  <c r="M277" i="18"/>
  <c r="M269" i="18"/>
  <c r="M257" i="18"/>
  <c r="M233" i="18"/>
  <c r="M183" i="18"/>
  <c r="M180" i="18"/>
  <c r="M176" i="18"/>
  <c r="M173" i="18"/>
  <c r="M169" i="18"/>
  <c r="M165" i="18"/>
  <c r="M161" i="18"/>
  <c r="M157" i="18"/>
  <c r="M153" i="18"/>
  <c r="M149" i="18"/>
  <c r="M145" i="18"/>
  <c r="M141" i="18"/>
  <c r="M137" i="18"/>
  <c r="M133" i="18"/>
  <c r="M129" i="18"/>
  <c r="M125" i="18"/>
  <c r="M121" i="18"/>
  <c r="M117" i="18"/>
  <c r="M367" i="18"/>
  <c r="M292" i="18"/>
  <c r="M261" i="18"/>
  <c r="M254" i="18"/>
  <c r="M229" i="18"/>
  <c r="M193" i="18"/>
  <c r="M154" i="18"/>
  <c r="M147" i="18"/>
  <c r="M134" i="18"/>
  <c r="M118" i="18"/>
  <c r="M142" i="18"/>
  <c r="M276" i="18"/>
  <c r="M197" i="18"/>
  <c r="M170" i="18"/>
  <c r="M162" i="18"/>
  <c r="M187" i="18"/>
  <c r="M146" i="18"/>
  <c r="M127" i="18"/>
  <c r="M126" i="18"/>
  <c r="M201" i="18"/>
  <c r="M181" i="18"/>
  <c r="M166" i="18"/>
  <c r="M158" i="18"/>
  <c r="M135" i="18"/>
  <c r="M284" i="18"/>
  <c r="M251" i="18"/>
  <c r="M221" i="18"/>
  <c r="M205" i="18"/>
  <c r="M139" i="18"/>
  <c r="M119" i="18"/>
  <c r="M237" i="18"/>
  <c r="M225" i="18"/>
  <c r="M177" i="18"/>
  <c r="M185" i="18"/>
  <c r="M151" i="18"/>
  <c r="M138" i="18"/>
  <c r="M209" i="18"/>
  <c r="M150" i="18"/>
  <c r="M131" i="18"/>
  <c r="M122" i="18"/>
  <c r="M143" i="18"/>
  <c r="M130" i="18"/>
  <c r="M123" i="18"/>
  <c r="L448" i="18"/>
  <c r="L444" i="18"/>
  <c r="L449" i="18"/>
  <c r="L445" i="18"/>
  <c r="L441" i="18"/>
  <c r="L437" i="18"/>
  <c r="L433" i="18"/>
  <c r="L429" i="18"/>
  <c r="L425" i="18"/>
  <c r="L421" i="18"/>
  <c r="L417" i="18"/>
  <c r="L413" i="18"/>
  <c r="L409" i="18"/>
  <c r="L405" i="18"/>
  <c r="L446" i="18"/>
  <c r="L442" i="18"/>
  <c r="L438" i="18"/>
  <c r="L434" i="18"/>
  <c r="L430" i="18"/>
  <c r="L426" i="18"/>
  <c r="L422" i="18"/>
  <c r="L418" i="18"/>
  <c r="L414" i="18"/>
  <c r="L410" i="18"/>
  <c r="L406" i="18"/>
  <c r="L402" i="18"/>
  <c r="L431" i="18"/>
  <c r="L428" i="18"/>
  <c r="L415" i="18"/>
  <c r="L412" i="18"/>
  <c r="L399" i="18"/>
  <c r="L395" i="18"/>
  <c r="L391" i="18"/>
  <c r="L387" i="18"/>
  <c r="L447" i="18"/>
  <c r="L440" i="18"/>
  <c r="T440" i="18" s="1"/>
  <c r="W440" i="18" s="1"/>
  <c r="L427" i="18"/>
  <c r="L424" i="18"/>
  <c r="L411" i="18"/>
  <c r="L408" i="18"/>
  <c r="L400" i="18"/>
  <c r="L396" i="18"/>
  <c r="L392" i="18"/>
  <c r="L388" i="18"/>
  <c r="T388" i="18" s="1"/>
  <c r="L443" i="18"/>
  <c r="L439" i="18"/>
  <c r="L436" i="18"/>
  <c r="L423" i="18"/>
  <c r="L420" i="18"/>
  <c r="L407" i="18"/>
  <c r="L404" i="18"/>
  <c r="L401" i="18"/>
  <c r="L397" i="18"/>
  <c r="L393" i="18"/>
  <c r="L435" i="18"/>
  <c r="L416" i="18"/>
  <c r="L398" i="18"/>
  <c r="L385" i="18"/>
  <c r="L379" i="18"/>
  <c r="L375" i="18"/>
  <c r="L371" i="18"/>
  <c r="L367" i="18"/>
  <c r="L363" i="18"/>
  <c r="L359" i="18"/>
  <c r="L355" i="18"/>
  <c r="L351" i="18"/>
  <c r="L394" i="18"/>
  <c r="L383" i="18"/>
  <c r="L390" i="18"/>
  <c r="L373" i="18"/>
  <c r="L360" i="18"/>
  <c r="L354" i="18"/>
  <c r="L346" i="18"/>
  <c r="L342" i="18"/>
  <c r="L338" i="18"/>
  <c r="L334" i="18"/>
  <c r="L330" i="18"/>
  <c r="L326" i="18"/>
  <c r="L322" i="18"/>
  <c r="L372" i="18"/>
  <c r="L366" i="18"/>
  <c r="L353" i="18"/>
  <c r="L432" i="18"/>
  <c r="L378" i="18"/>
  <c r="L365" i="18"/>
  <c r="L352" i="18"/>
  <c r="L347" i="18"/>
  <c r="L343" i="18"/>
  <c r="L339" i="18"/>
  <c r="L335" i="18"/>
  <c r="L331" i="18"/>
  <c r="L327" i="18"/>
  <c r="L323" i="18"/>
  <c r="L403" i="18"/>
  <c r="L381" i="18"/>
  <c r="L368" i="18"/>
  <c r="L364" i="18"/>
  <c r="L377" i="18"/>
  <c r="L369" i="18"/>
  <c r="L345" i="18"/>
  <c r="L337" i="18"/>
  <c r="L329" i="18"/>
  <c r="L318" i="18"/>
  <c r="L314" i="18"/>
  <c r="L310" i="18"/>
  <c r="L306" i="18"/>
  <c r="L419" i="18"/>
  <c r="L389" i="18"/>
  <c r="L382" i="18"/>
  <c r="L356" i="18"/>
  <c r="L344" i="18"/>
  <c r="L336" i="18"/>
  <c r="L328" i="18"/>
  <c r="L370" i="18"/>
  <c r="L319" i="18"/>
  <c r="L315" i="18"/>
  <c r="L311" i="18"/>
  <c r="L374" i="18"/>
  <c r="L361" i="18"/>
  <c r="L357" i="18"/>
  <c r="L386" i="18"/>
  <c r="L362" i="18"/>
  <c r="L349" i="18"/>
  <c r="L341" i="18"/>
  <c r="L333" i="18"/>
  <c r="L325" i="18"/>
  <c r="L320" i="18"/>
  <c r="L316" i="18"/>
  <c r="L332" i="18"/>
  <c r="L350" i="18"/>
  <c r="L305" i="18"/>
  <c r="L292" i="18"/>
  <c r="L288" i="18"/>
  <c r="L284" i="18"/>
  <c r="L280" i="18"/>
  <c r="L276" i="18"/>
  <c r="L272" i="18"/>
  <c r="L268" i="18"/>
  <c r="L264" i="18"/>
  <c r="L260" i="18"/>
  <c r="L256" i="18"/>
  <c r="L252" i="18"/>
  <c r="L248" i="18"/>
  <c r="L244" i="18"/>
  <c r="L384" i="18"/>
  <c r="L313" i="18"/>
  <c r="L309" i="18"/>
  <c r="L308" i="18"/>
  <c r="L303" i="18"/>
  <c r="L293" i="18"/>
  <c r="L289" i="18"/>
  <c r="L285" i="18"/>
  <c r="L281" i="18"/>
  <c r="L277" i="18"/>
  <c r="L273" i="18"/>
  <c r="L269" i="18"/>
  <c r="L265" i="18"/>
  <c r="L261" i="18"/>
  <c r="L257" i="18"/>
  <c r="L253" i="18"/>
  <c r="L249" i="18"/>
  <c r="L245" i="18"/>
  <c r="L380" i="18"/>
  <c r="L321" i="18"/>
  <c r="L376" i="18"/>
  <c r="L340" i="18"/>
  <c r="L317" i="18"/>
  <c r="L304" i="18"/>
  <c r="L291" i="18"/>
  <c r="L290" i="18"/>
  <c r="L283" i="18"/>
  <c r="L282" i="18"/>
  <c r="L275" i="18"/>
  <c r="L274" i="18"/>
  <c r="L267" i="18"/>
  <c r="L266" i="18"/>
  <c r="L250" i="18"/>
  <c r="L247" i="18"/>
  <c r="L242" i="18"/>
  <c r="L238" i="18"/>
  <c r="L234" i="18"/>
  <c r="L230" i="18"/>
  <c r="L226" i="18"/>
  <c r="L222" i="18"/>
  <c r="L218" i="18"/>
  <c r="L214" i="18"/>
  <c r="L210" i="18"/>
  <c r="L206" i="18"/>
  <c r="L202" i="18"/>
  <c r="L198" i="18"/>
  <c r="L192" i="18"/>
  <c r="L188" i="18"/>
  <c r="L348" i="18"/>
  <c r="L259" i="18"/>
  <c r="L246" i="18"/>
  <c r="L243" i="18"/>
  <c r="L239" i="18"/>
  <c r="L235" i="18"/>
  <c r="L231" i="18"/>
  <c r="L227" i="18"/>
  <c r="L223" i="18"/>
  <c r="L219" i="18"/>
  <c r="L215" i="18"/>
  <c r="L211" i="18"/>
  <c r="L207" i="18"/>
  <c r="L203" i="18"/>
  <c r="L358" i="18"/>
  <c r="L312" i="18"/>
  <c r="L307" i="18"/>
  <c r="L295" i="18"/>
  <c r="L294" i="18"/>
  <c r="L287" i="18"/>
  <c r="L286" i="18"/>
  <c r="L279" i="18"/>
  <c r="L278" i="18"/>
  <c r="L271" i="18"/>
  <c r="L270" i="18"/>
  <c r="L263" i="18"/>
  <c r="L262" i="18"/>
  <c r="L258" i="18"/>
  <c r="T258" i="18" s="1"/>
  <c r="W258" i="18" s="1"/>
  <c r="L255" i="18"/>
  <c r="L240" i="18"/>
  <c r="L236" i="18"/>
  <c r="L232" i="18"/>
  <c r="L228" i="18"/>
  <c r="L224" i="18"/>
  <c r="L220" i="18"/>
  <c r="L216" i="18"/>
  <c r="L212" i="18"/>
  <c r="L251" i="18"/>
  <c r="L221" i="18"/>
  <c r="L184" i="18"/>
  <c r="L217" i="18"/>
  <c r="L199" i="18"/>
  <c r="L191" i="18"/>
  <c r="L190" i="18"/>
  <c r="L186" i="18"/>
  <c r="L182" i="18"/>
  <c r="L178" i="18"/>
  <c r="L174" i="18"/>
  <c r="L171" i="18"/>
  <c r="L167" i="18"/>
  <c r="L163" i="18"/>
  <c r="L159" i="18"/>
  <c r="L155" i="18"/>
  <c r="L213" i="18"/>
  <c r="L237" i="18"/>
  <c r="L208" i="18"/>
  <c r="L204" i="18"/>
  <c r="L197" i="18"/>
  <c r="L196" i="18"/>
  <c r="L185" i="18"/>
  <c r="L125" i="18"/>
  <c r="L121" i="18"/>
  <c r="L233" i="18"/>
  <c r="L183" i="18"/>
  <c r="L180" i="18"/>
  <c r="L176" i="18"/>
  <c r="L173" i="18"/>
  <c r="L169" i="18"/>
  <c r="L165" i="18"/>
  <c r="L161" i="18"/>
  <c r="L157" i="18"/>
  <c r="L153" i="18"/>
  <c r="L149" i="18"/>
  <c r="L145" i="18"/>
  <c r="L141" i="18"/>
  <c r="L137" i="18"/>
  <c r="L133" i="18"/>
  <c r="L129" i="18"/>
  <c r="L117" i="18"/>
  <c r="L229" i="18"/>
  <c r="L225" i="18"/>
  <c r="L181" i="18"/>
  <c r="L177" i="18"/>
  <c r="L170" i="18"/>
  <c r="L166" i="18"/>
  <c r="L162" i="18"/>
  <c r="L158" i="18"/>
  <c r="L148" i="18"/>
  <c r="L135" i="18"/>
  <c r="L122" i="18"/>
  <c r="L127" i="18"/>
  <c r="L130" i="18"/>
  <c r="L189" i="18"/>
  <c r="L154" i="18"/>
  <c r="L147" i="18"/>
  <c r="L134" i="18"/>
  <c r="L128" i="18"/>
  <c r="L209" i="18"/>
  <c r="L187" i="18"/>
  <c r="L146" i="18"/>
  <c r="L140" i="18"/>
  <c r="L119" i="18"/>
  <c r="L142" i="18"/>
  <c r="L136" i="18"/>
  <c r="L123" i="18"/>
  <c r="L205" i="18"/>
  <c r="L200" i="18"/>
  <c r="L152" i="18"/>
  <c r="L139" i="18"/>
  <c r="L126" i="18"/>
  <c r="L120" i="18"/>
  <c r="L193" i="18"/>
  <c r="L254" i="18"/>
  <c r="L241" i="18"/>
  <c r="L179" i="18"/>
  <c r="L175" i="18"/>
  <c r="L172" i="18"/>
  <c r="L168" i="18"/>
  <c r="L164" i="18"/>
  <c r="L160" i="18"/>
  <c r="L156" i="18"/>
  <c r="L151" i="18"/>
  <c r="L138" i="18"/>
  <c r="L132" i="18"/>
  <c r="L143" i="18"/>
  <c r="L124" i="18"/>
  <c r="L201" i="18"/>
  <c r="L324" i="18"/>
  <c r="L150" i="18"/>
  <c r="L144" i="18"/>
  <c r="L131" i="18"/>
  <c r="L118" i="18"/>
  <c r="P446" i="18"/>
  <c r="P447" i="18"/>
  <c r="P443" i="18"/>
  <c r="P439" i="18"/>
  <c r="P435" i="18"/>
  <c r="P431" i="18"/>
  <c r="P427" i="18"/>
  <c r="P423" i="18"/>
  <c r="P419" i="18"/>
  <c r="P415" i="18"/>
  <c r="P411" i="18"/>
  <c r="P407" i="18"/>
  <c r="P403" i="18"/>
  <c r="P448" i="18"/>
  <c r="P444" i="18"/>
  <c r="P440" i="18"/>
  <c r="P436" i="18"/>
  <c r="P432" i="18"/>
  <c r="P428" i="18"/>
  <c r="P424" i="18"/>
  <c r="P420" i="18"/>
  <c r="P416" i="18"/>
  <c r="P412" i="18"/>
  <c r="P408" i="18"/>
  <c r="P404" i="18"/>
  <c r="P445" i="18"/>
  <c r="P449" i="18"/>
  <c r="P433" i="18"/>
  <c r="P430" i="18"/>
  <c r="P417" i="18"/>
  <c r="P414" i="18"/>
  <c r="P401" i="18"/>
  <c r="P397" i="18"/>
  <c r="P393" i="18"/>
  <c r="P389" i="18"/>
  <c r="P442" i="18"/>
  <c r="P429" i="18"/>
  <c r="P426" i="18"/>
  <c r="P413" i="18"/>
  <c r="P410" i="18"/>
  <c r="P398" i="18"/>
  <c r="P394" i="18"/>
  <c r="P390" i="18"/>
  <c r="P386" i="18"/>
  <c r="P441" i="18"/>
  <c r="P438" i="18"/>
  <c r="P425" i="18"/>
  <c r="P422" i="18"/>
  <c r="P409" i="18"/>
  <c r="P406" i="18"/>
  <c r="P399" i="18"/>
  <c r="P395" i="18"/>
  <c r="P396" i="18"/>
  <c r="P381" i="18"/>
  <c r="P377" i="18"/>
  <c r="P373" i="18"/>
  <c r="P369" i="18"/>
  <c r="P365" i="18"/>
  <c r="P361" i="18"/>
  <c r="P357" i="18"/>
  <c r="P353" i="18"/>
  <c r="P349" i="18"/>
  <c r="P437" i="18"/>
  <c r="P418" i="18"/>
  <c r="P434" i="18"/>
  <c r="P421" i="18"/>
  <c r="P402" i="18"/>
  <c r="P385" i="18"/>
  <c r="P358" i="18"/>
  <c r="P352" i="18"/>
  <c r="P351" i="18"/>
  <c r="P348" i="18"/>
  <c r="P344" i="18"/>
  <c r="P340" i="18"/>
  <c r="P336" i="18"/>
  <c r="P332" i="18"/>
  <c r="P328" i="18"/>
  <c r="P324" i="18"/>
  <c r="P405" i="18"/>
  <c r="P391" i="18"/>
  <c r="P388" i="18"/>
  <c r="P370" i="18"/>
  <c r="P364" i="18"/>
  <c r="P363" i="18"/>
  <c r="P384" i="18"/>
  <c r="P382" i="18"/>
  <c r="P376" i="18"/>
  <c r="P375" i="18"/>
  <c r="P350" i="18"/>
  <c r="P345" i="18"/>
  <c r="P341" i="18"/>
  <c r="P337" i="18"/>
  <c r="P333" i="18"/>
  <c r="P329" i="18"/>
  <c r="P325" i="18"/>
  <c r="P387" i="18"/>
  <c r="P356" i="18"/>
  <c r="P392" i="18"/>
  <c r="P374" i="18"/>
  <c r="P360" i="18"/>
  <c r="P343" i="18"/>
  <c r="P342" i="18"/>
  <c r="P335" i="18"/>
  <c r="P334" i="18"/>
  <c r="P327" i="18"/>
  <c r="P326" i="18"/>
  <c r="P320" i="18"/>
  <c r="P316" i="18"/>
  <c r="P312" i="18"/>
  <c r="P308" i="18"/>
  <c r="P362" i="18"/>
  <c r="P383" i="18"/>
  <c r="P379" i="18"/>
  <c r="P378" i="18"/>
  <c r="P321" i="18"/>
  <c r="P317" i="18"/>
  <c r="P313" i="18"/>
  <c r="P309" i="18"/>
  <c r="P371" i="18"/>
  <c r="P367" i="18"/>
  <c r="P366" i="18"/>
  <c r="P380" i="18"/>
  <c r="P355" i="18"/>
  <c r="P354" i="18"/>
  <c r="P347" i="18"/>
  <c r="P346" i="18"/>
  <c r="P339" i="18"/>
  <c r="P338" i="18"/>
  <c r="P331" i="18"/>
  <c r="P330" i="18"/>
  <c r="P323" i="18"/>
  <c r="P318" i="18"/>
  <c r="P304" i="18"/>
  <c r="P294" i="18"/>
  <c r="P290" i="18"/>
  <c r="P286" i="18"/>
  <c r="P282" i="18"/>
  <c r="P278" i="18"/>
  <c r="P274" i="18"/>
  <c r="P270" i="18"/>
  <c r="P266" i="18"/>
  <c r="P262" i="18"/>
  <c r="P258" i="18"/>
  <c r="P254" i="18"/>
  <c r="P250" i="18"/>
  <c r="P246" i="18"/>
  <c r="P307" i="18"/>
  <c r="P306" i="18"/>
  <c r="P295" i="18"/>
  <c r="P291" i="18"/>
  <c r="P287" i="18"/>
  <c r="P283" i="18"/>
  <c r="P279" i="18"/>
  <c r="P275" i="18"/>
  <c r="P271" i="18"/>
  <c r="P267" i="18"/>
  <c r="P263" i="18"/>
  <c r="P259" i="18"/>
  <c r="P255" i="18"/>
  <c r="P251" i="18"/>
  <c r="P247" i="18"/>
  <c r="P243" i="18"/>
  <c r="P359" i="18"/>
  <c r="P319" i="18"/>
  <c r="P372" i="18"/>
  <c r="P315" i="18"/>
  <c r="P303" i="18"/>
  <c r="P289" i="18"/>
  <c r="P288" i="18"/>
  <c r="P281" i="18"/>
  <c r="P280" i="18"/>
  <c r="P273" i="18"/>
  <c r="P272" i="18"/>
  <c r="P265" i="18"/>
  <c r="P264" i="18"/>
  <c r="P311" i="18"/>
  <c r="P252" i="18"/>
  <c r="P249" i="18"/>
  <c r="P240" i="18"/>
  <c r="P236" i="18"/>
  <c r="P232" i="18"/>
  <c r="P228" i="18"/>
  <c r="P224" i="18"/>
  <c r="P220" i="18"/>
  <c r="P216" i="18"/>
  <c r="P212" i="18"/>
  <c r="P208" i="18"/>
  <c r="P204" i="18"/>
  <c r="P200" i="18"/>
  <c r="P196" i="18"/>
  <c r="P190" i="18"/>
  <c r="P186" i="18"/>
  <c r="P322" i="18"/>
  <c r="P314" i="18"/>
  <c r="P248" i="18"/>
  <c r="P245" i="18"/>
  <c r="P241" i="18"/>
  <c r="P237" i="18"/>
  <c r="P233" i="18"/>
  <c r="P229" i="18"/>
  <c r="P225" i="18"/>
  <c r="P221" i="18"/>
  <c r="P217" i="18"/>
  <c r="P213" i="18"/>
  <c r="P209" i="18"/>
  <c r="P205" i="18"/>
  <c r="P201" i="18"/>
  <c r="P400" i="18"/>
  <c r="P310" i="18"/>
  <c r="P293" i="18"/>
  <c r="P292" i="18"/>
  <c r="P285" i="18"/>
  <c r="P284" i="18"/>
  <c r="P277" i="18"/>
  <c r="P276" i="18"/>
  <c r="P269" i="18"/>
  <c r="P268" i="18"/>
  <c r="P261" i="18"/>
  <c r="P368" i="18"/>
  <c r="P260" i="18"/>
  <c r="P257" i="18"/>
  <c r="P244" i="18"/>
  <c r="P242" i="18"/>
  <c r="P238" i="18"/>
  <c r="P234" i="18"/>
  <c r="P230" i="18"/>
  <c r="P226" i="18"/>
  <c r="P222" i="18"/>
  <c r="P218" i="18"/>
  <c r="P214" i="18"/>
  <c r="P219" i="18"/>
  <c r="P253" i="18"/>
  <c r="P215" i="18"/>
  <c r="P197" i="18"/>
  <c r="P189" i="18"/>
  <c r="P188" i="18"/>
  <c r="P183" i="18"/>
  <c r="P180" i="18"/>
  <c r="P176" i="18"/>
  <c r="P173" i="18"/>
  <c r="P169" i="18"/>
  <c r="P165" i="18"/>
  <c r="P161" i="18"/>
  <c r="P157" i="18"/>
  <c r="P211" i="18"/>
  <c r="P207" i="18"/>
  <c r="P203" i="18"/>
  <c r="P185" i="18"/>
  <c r="P235" i="18"/>
  <c r="P193" i="18"/>
  <c r="P192" i="18"/>
  <c r="P127" i="18"/>
  <c r="P231" i="18"/>
  <c r="P184" i="18"/>
  <c r="P182" i="18"/>
  <c r="P178" i="18"/>
  <c r="P174" i="18"/>
  <c r="P171" i="18"/>
  <c r="P167" i="18"/>
  <c r="P163" i="18"/>
  <c r="P159" i="18"/>
  <c r="P155" i="18"/>
  <c r="P151" i="18"/>
  <c r="P147" i="18"/>
  <c r="P143" i="18"/>
  <c r="P139" i="18"/>
  <c r="P135" i="18"/>
  <c r="P131" i="18"/>
  <c r="P123" i="18"/>
  <c r="P119" i="18"/>
  <c r="P256" i="18"/>
  <c r="P187" i="18"/>
  <c r="P153" i="18"/>
  <c r="P152" i="18"/>
  <c r="P146" i="18"/>
  <c r="P121" i="18"/>
  <c r="P120" i="18"/>
  <c r="P138" i="18"/>
  <c r="P125" i="18"/>
  <c r="P118" i="18"/>
  <c r="P177" i="18"/>
  <c r="P154" i="18"/>
  <c r="P239" i="18"/>
  <c r="P133" i="18"/>
  <c r="P132" i="18"/>
  <c r="P126" i="18"/>
  <c r="P166" i="18"/>
  <c r="P158" i="18"/>
  <c r="P191" i="18"/>
  <c r="P210" i="18"/>
  <c r="P202" i="18"/>
  <c r="P198" i="18"/>
  <c r="P145" i="18"/>
  <c r="P144" i="18"/>
  <c r="P124" i="18"/>
  <c r="P129" i="18"/>
  <c r="P122" i="18"/>
  <c r="P199" i="18"/>
  <c r="P179" i="18"/>
  <c r="P175" i="18"/>
  <c r="P172" i="18"/>
  <c r="P168" i="18"/>
  <c r="P164" i="18"/>
  <c r="P160" i="18"/>
  <c r="P156" i="18"/>
  <c r="P150" i="18"/>
  <c r="P181" i="18"/>
  <c r="P140" i="18"/>
  <c r="P134" i="18"/>
  <c r="P305" i="18"/>
  <c r="P227" i="18"/>
  <c r="P137" i="18"/>
  <c r="P136" i="18"/>
  <c r="P130" i="18"/>
  <c r="P223" i="18"/>
  <c r="P149" i="18"/>
  <c r="P148" i="18"/>
  <c r="P142" i="18"/>
  <c r="P117" i="18"/>
  <c r="P206" i="18"/>
  <c r="P170" i="18"/>
  <c r="P162" i="18"/>
  <c r="P128" i="18"/>
  <c r="P141" i="18"/>
  <c r="Q447" i="18"/>
  <c r="Q448" i="18"/>
  <c r="Q446" i="18"/>
  <c r="Q449" i="18"/>
  <c r="Q444" i="18"/>
  <c r="Q433" i="18"/>
  <c r="Q430" i="18"/>
  <c r="Q427" i="18"/>
  <c r="Q417" i="18"/>
  <c r="Q414" i="18"/>
  <c r="Q411" i="18"/>
  <c r="Q401" i="18"/>
  <c r="Q397" i="18"/>
  <c r="Q393" i="18"/>
  <c r="Q389" i="18"/>
  <c r="Q385" i="18"/>
  <c r="Q443" i="18"/>
  <c r="Q436" i="18"/>
  <c r="Q420" i="18"/>
  <c r="Q404" i="18"/>
  <c r="Q442" i="18"/>
  <c r="Q439" i="18"/>
  <c r="Q429" i="18"/>
  <c r="Q426" i="18"/>
  <c r="Q423" i="18"/>
  <c r="Q413" i="18"/>
  <c r="Q410" i="18"/>
  <c r="Q407" i="18"/>
  <c r="Q398" i="18"/>
  <c r="Q394" i="18"/>
  <c r="Q390" i="18"/>
  <c r="Q432" i="18"/>
  <c r="Q416" i="18"/>
  <c r="Q441" i="18"/>
  <c r="Q438" i="18"/>
  <c r="Q435" i="18"/>
  <c r="Q425" i="18"/>
  <c r="Q422" i="18"/>
  <c r="Q419" i="18"/>
  <c r="Q409" i="18"/>
  <c r="Q406" i="18"/>
  <c r="Q403" i="18"/>
  <c r="Q399" i="18"/>
  <c r="Q395" i="18"/>
  <c r="Q391" i="18"/>
  <c r="Q387" i="18"/>
  <c r="Q428" i="18"/>
  <c r="Q412" i="18"/>
  <c r="Q445" i="18"/>
  <c r="Q440" i="18"/>
  <c r="Q437" i="18"/>
  <c r="Q418" i="18"/>
  <c r="Q392" i="18"/>
  <c r="Q384" i="18"/>
  <c r="Q382" i="18"/>
  <c r="Q378" i="18"/>
  <c r="Q374" i="18"/>
  <c r="Q370" i="18"/>
  <c r="Q366" i="18"/>
  <c r="Q362" i="18"/>
  <c r="Q358" i="18"/>
  <c r="Q354" i="18"/>
  <c r="Q350" i="18"/>
  <c r="Q388" i="18"/>
  <c r="Q379" i="18"/>
  <c r="Q375" i="18"/>
  <c r="Q371" i="18"/>
  <c r="Q367" i="18"/>
  <c r="Q363" i="18"/>
  <c r="Q359" i="18"/>
  <c r="Q355" i="18"/>
  <c r="Q351" i="18"/>
  <c r="Q434" i="18"/>
  <c r="Q405" i="18"/>
  <c r="Q365" i="18"/>
  <c r="Q364" i="18"/>
  <c r="Q377" i="18"/>
  <c r="Q376" i="18"/>
  <c r="Q345" i="18"/>
  <c r="Q341" i="18"/>
  <c r="Q337" i="18"/>
  <c r="Q333" i="18"/>
  <c r="Q329" i="18"/>
  <c r="Q325" i="18"/>
  <c r="Q424" i="18"/>
  <c r="Q396" i="18"/>
  <c r="Q386" i="18"/>
  <c r="Q383" i="18"/>
  <c r="Q357" i="18"/>
  <c r="Q356" i="18"/>
  <c r="Q415" i="18"/>
  <c r="Q360" i="18"/>
  <c r="Q344" i="18"/>
  <c r="Q343" i="18"/>
  <c r="Q342" i="18"/>
  <c r="Q336" i="18"/>
  <c r="Q335" i="18"/>
  <c r="Q334" i="18"/>
  <c r="Q328" i="18"/>
  <c r="Q327" i="18"/>
  <c r="Q326" i="18"/>
  <c r="Q320" i="18"/>
  <c r="Q316" i="18"/>
  <c r="Q312" i="18"/>
  <c r="Q308" i="18"/>
  <c r="Q373" i="18"/>
  <c r="Q402" i="18"/>
  <c r="Q361" i="18"/>
  <c r="Q352" i="18"/>
  <c r="Q321" i="18"/>
  <c r="Q317" i="18"/>
  <c r="Q313" i="18"/>
  <c r="Q309" i="18"/>
  <c r="Q349" i="18"/>
  <c r="Q380" i="18"/>
  <c r="Q348" i="18"/>
  <c r="Q347" i="18"/>
  <c r="Q346" i="18"/>
  <c r="Q340" i="18"/>
  <c r="Q339" i="18"/>
  <c r="Q338" i="18"/>
  <c r="Q332" i="18"/>
  <c r="Q331" i="18"/>
  <c r="Q330" i="18"/>
  <c r="Q324" i="18"/>
  <c r="Q323" i="18"/>
  <c r="Q318" i="18"/>
  <c r="Q314" i="18"/>
  <c r="Q310" i="18"/>
  <c r="Q306" i="18"/>
  <c r="Q368" i="18"/>
  <c r="Q353" i="18"/>
  <c r="Q421" i="18"/>
  <c r="Q408" i="18"/>
  <c r="Q381" i="18"/>
  <c r="Q431" i="18"/>
  <c r="Q400" i="18"/>
  <c r="Q319" i="18"/>
  <c r="Q369" i="18"/>
  <c r="Q305" i="18"/>
  <c r="Q292" i="18"/>
  <c r="Q288" i="18"/>
  <c r="Q284" i="18"/>
  <c r="Q280" i="18"/>
  <c r="Q276" i="18"/>
  <c r="Q272" i="18"/>
  <c r="Q268" i="18"/>
  <c r="Q264" i="18"/>
  <c r="Q311" i="18"/>
  <c r="Q252" i="18"/>
  <c r="Q249" i="18"/>
  <c r="Q246" i="18"/>
  <c r="Q240" i="18"/>
  <c r="Q236" i="18"/>
  <c r="Q232" i="18"/>
  <c r="Q228" i="18"/>
  <c r="T228" i="18" s="1"/>
  <c r="Q224" i="18"/>
  <c r="Q220" i="18"/>
  <c r="Q216" i="18"/>
  <c r="Q212" i="18"/>
  <c r="Q208" i="18"/>
  <c r="Q204" i="18"/>
  <c r="Q200" i="18"/>
  <c r="Q196" i="18"/>
  <c r="Q190" i="18"/>
  <c r="Q186" i="18"/>
  <c r="Q182" i="18"/>
  <c r="Q255" i="18"/>
  <c r="Q322" i="18"/>
  <c r="Q295" i="18"/>
  <c r="Q287" i="18"/>
  <c r="Q279" i="18"/>
  <c r="Q271" i="18"/>
  <c r="Q263" i="18"/>
  <c r="Q258" i="18"/>
  <c r="Q248" i="18"/>
  <c r="Q245" i="18"/>
  <c r="Q241" i="18"/>
  <c r="Q237" i="18"/>
  <c r="Q233" i="18"/>
  <c r="Q229" i="18"/>
  <c r="Q225" i="18"/>
  <c r="Q221" i="18"/>
  <c r="Q217" i="18"/>
  <c r="Q213" i="18"/>
  <c r="Q209" i="18"/>
  <c r="Q205" i="18"/>
  <c r="Q201" i="18"/>
  <c r="Q294" i="18"/>
  <c r="Q293" i="18"/>
  <c r="Q286" i="18"/>
  <c r="Q285" i="18"/>
  <c r="Q278" i="18"/>
  <c r="Q277" i="18"/>
  <c r="Q270" i="18"/>
  <c r="Q269" i="18"/>
  <c r="Q262" i="18"/>
  <c r="Q261" i="18"/>
  <c r="Q251" i="18"/>
  <c r="Q307" i="18"/>
  <c r="Q260" i="18"/>
  <c r="Q257" i="18"/>
  <c r="Q254" i="18"/>
  <c r="Q244" i="18"/>
  <c r="Q242" i="18"/>
  <c r="Q238" i="18"/>
  <c r="Q234" i="18"/>
  <c r="Q230" i="18"/>
  <c r="Q226" i="18"/>
  <c r="Q222" i="18"/>
  <c r="Q218" i="18"/>
  <c r="Q214" i="18"/>
  <c r="Q210" i="18"/>
  <c r="Q206" i="18"/>
  <c r="Q202" i="18"/>
  <c r="Q198" i="18"/>
  <c r="Q192" i="18"/>
  <c r="Q188" i="18"/>
  <c r="Q247" i="18"/>
  <c r="Q372" i="18"/>
  <c r="Q283" i="18"/>
  <c r="Q273" i="18"/>
  <c r="Q253" i="18"/>
  <c r="Q215" i="18"/>
  <c r="Q197" i="18"/>
  <c r="Q189" i="18"/>
  <c r="Q183" i="18"/>
  <c r="Q180" i="18"/>
  <c r="Q176" i="18"/>
  <c r="Q173" i="18"/>
  <c r="Q169" i="18"/>
  <c r="Q165" i="18"/>
  <c r="Q161" i="18"/>
  <c r="Q157" i="18"/>
  <c r="Q275" i="18"/>
  <c r="Q265" i="18"/>
  <c r="Q211" i="18"/>
  <c r="Q207" i="18"/>
  <c r="Q203" i="18"/>
  <c r="Q185" i="18"/>
  <c r="Q304" i="18"/>
  <c r="Q267" i="18"/>
  <c r="Q250" i="18"/>
  <c r="Q243" i="18"/>
  <c r="Q239" i="18"/>
  <c r="Q187" i="18"/>
  <c r="Q181" i="18"/>
  <c r="Q177" i="18"/>
  <c r="Q170" i="18"/>
  <c r="Q166" i="18"/>
  <c r="Q162" i="18"/>
  <c r="Q158" i="18"/>
  <c r="Q154" i="18"/>
  <c r="Q150" i="18"/>
  <c r="Q146" i="18"/>
  <c r="Q142" i="18"/>
  <c r="Q138" i="18"/>
  <c r="Q134" i="18"/>
  <c r="Q130" i="18"/>
  <c r="Q126" i="18"/>
  <c r="Q122" i="18"/>
  <c r="Q118" i="18"/>
  <c r="Q315" i="18"/>
  <c r="Q290" i="18"/>
  <c r="Q282" i="18"/>
  <c r="Q259" i="18"/>
  <c r="Q231" i="18"/>
  <c r="Q184" i="18"/>
  <c r="Q178" i="18"/>
  <c r="Q174" i="18"/>
  <c r="Q171" i="18"/>
  <c r="Q167" i="18"/>
  <c r="Q163" i="18"/>
  <c r="Q159" i="18"/>
  <c r="Q155" i="18"/>
  <c r="Q151" i="18"/>
  <c r="Q147" i="18"/>
  <c r="Q143" i="18"/>
  <c r="Q139" i="18"/>
  <c r="Q135" i="18"/>
  <c r="Q131" i="18"/>
  <c r="Q127" i="18"/>
  <c r="Q123" i="18"/>
  <c r="Q119" i="18"/>
  <c r="Q303" i="18"/>
  <c r="Q274" i="18"/>
  <c r="Q227" i="18"/>
  <c r="Q191" i="18"/>
  <c r="Q291" i="18"/>
  <c r="Q133" i="18"/>
  <c r="Q132" i="18"/>
  <c r="Q125" i="18"/>
  <c r="Q121" i="18"/>
  <c r="Q145" i="18"/>
  <c r="Q144" i="18"/>
  <c r="Q124" i="18"/>
  <c r="Q117" i="18"/>
  <c r="Q219" i="18"/>
  <c r="Q179" i="18"/>
  <c r="Q175" i="18"/>
  <c r="Q172" i="18"/>
  <c r="Q168" i="18"/>
  <c r="Q164" i="18"/>
  <c r="Q160" i="18"/>
  <c r="Q156" i="18"/>
  <c r="Q141" i="18"/>
  <c r="Q256" i="18"/>
  <c r="Q153" i="18"/>
  <c r="Q289" i="18"/>
  <c r="Q235" i="18"/>
  <c r="Q137" i="18"/>
  <c r="Q136" i="18"/>
  <c r="Q193" i="18"/>
  <c r="Q152" i="18"/>
  <c r="Q120" i="18"/>
  <c r="Q223" i="18"/>
  <c r="Q149" i="18"/>
  <c r="Q148" i="18"/>
  <c r="Q199" i="18"/>
  <c r="Q281" i="18"/>
  <c r="Q129" i="18"/>
  <c r="Q128" i="18"/>
  <c r="Q266" i="18"/>
  <c r="Q140" i="18"/>
  <c r="R447" i="18"/>
  <c r="R443" i="18"/>
  <c r="R448" i="18"/>
  <c r="R444" i="18"/>
  <c r="R440" i="18"/>
  <c r="R436" i="18"/>
  <c r="R432" i="18"/>
  <c r="R428" i="18"/>
  <c r="R424" i="18"/>
  <c r="R420" i="18"/>
  <c r="R416" i="18"/>
  <c r="R412" i="18"/>
  <c r="R408" i="18"/>
  <c r="R404" i="18"/>
  <c r="R449" i="18"/>
  <c r="R445" i="18"/>
  <c r="R441" i="18"/>
  <c r="R437" i="18"/>
  <c r="R433" i="18"/>
  <c r="R429" i="18"/>
  <c r="R425" i="18"/>
  <c r="R421" i="18"/>
  <c r="R417" i="18"/>
  <c r="R413" i="18"/>
  <c r="T413" i="18" s="1"/>
  <c r="W413" i="18" s="1"/>
  <c r="R409" i="18"/>
  <c r="T409" i="18" s="1"/>
  <c r="W409" i="18" s="1"/>
  <c r="R405" i="18"/>
  <c r="R401" i="18"/>
  <c r="R442" i="18"/>
  <c r="R439" i="18"/>
  <c r="R426" i="18"/>
  <c r="R423" i="18"/>
  <c r="R410" i="18"/>
  <c r="T410" i="18" s="1"/>
  <c r="R407" i="18"/>
  <c r="R398" i="18"/>
  <c r="R394" i="18"/>
  <c r="R390" i="18"/>
  <c r="R386" i="18"/>
  <c r="R438" i="18"/>
  <c r="R435" i="18"/>
  <c r="R422" i="18"/>
  <c r="R419" i="18"/>
  <c r="R406" i="18"/>
  <c r="R403" i="18"/>
  <c r="R399" i="18"/>
  <c r="R395" i="18"/>
  <c r="R391" i="18"/>
  <c r="R387" i="18"/>
  <c r="R434" i="18"/>
  <c r="R431" i="18"/>
  <c r="R418" i="18"/>
  <c r="R415" i="18"/>
  <c r="R402" i="18"/>
  <c r="R400" i="18"/>
  <c r="R396" i="18"/>
  <c r="R430" i="18"/>
  <c r="R411" i="18"/>
  <c r="T411" i="18" s="1"/>
  <c r="R392" i="18"/>
  <c r="R384" i="18"/>
  <c r="R382" i="18"/>
  <c r="R378" i="18"/>
  <c r="R374" i="18"/>
  <c r="R370" i="18"/>
  <c r="R366" i="18"/>
  <c r="R362" i="18"/>
  <c r="R358" i="18"/>
  <c r="R354" i="18"/>
  <c r="R350" i="18"/>
  <c r="R446" i="18"/>
  <c r="R397" i="18"/>
  <c r="R389" i="18"/>
  <c r="R385" i="18"/>
  <c r="R414" i="18"/>
  <c r="T414" i="18" s="1"/>
  <c r="R388" i="18"/>
  <c r="R377" i="18"/>
  <c r="R376" i="18"/>
  <c r="R363" i="18"/>
  <c r="R345" i="18"/>
  <c r="R341" i="18"/>
  <c r="R337" i="18"/>
  <c r="R333" i="18"/>
  <c r="R329" i="18"/>
  <c r="R325" i="18"/>
  <c r="R383" i="18"/>
  <c r="R375" i="18"/>
  <c r="R357" i="18"/>
  <c r="R356" i="18"/>
  <c r="R393" i="18"/>
  <c r="R369" i="18"/>
  <c r="R368" i="18"/>
  <c r="R355" i="18"/>
  <c r="R346" i="18"/>
  <c r="R342" i="18"/>
  <c r="R338" i="18"/>
  <c r="R334" i="18"/>
  <c r="R330" i="18"/>
  <c r="R326" i="18"/>
  <c r="R322" i="18"/>
  <c r="R373" i="18"/>
  <c r="R361" i="18"/>
  <c r="R352" i="18"/>
  <c r="R321" i="18"/>
  <c r="R317" i="18"/>
  <c r="R313" i="18"/>
  <c r="R309" i="18"/>
  <c r="R305" i="18"/>
  <c r="R379" i="18"/>
  <c r="R365" i="18"/>
  <c r="R349" i="18"/>
  <c r="R380" i="18"/>
  <c r="R371" i="18"/>
  <c r="R367" i="18"/>
  <c r="R348" i="18"/>
  <c r="R347" i="18"/>
  <c r="R340" i="18"/>
  <c r="R339" i="18"/>
  <c r="R332" i="18"/>
  <c r="R331" i="18"/>
  <c r="R324" i="18"/>
  <c r="R323" i="18"/>
  <c r="R318" i="18"/>
  <c r="R314" i="18"/>
  <c r="R310" i="18"/>
  <c r="R427" i="18"/>
  <c r="R353" i="18"/>
  <c r="R381" i="18"/>
  <c r="R372" i="18"/>
  <c r="R319" i="18"/>
  <c r="R327" i="18"/>
  <c r="R364" i="18"/>
  <c r="R360" i="18"/>
  <c r="R307" i="18"/>
  <c r="R295" i="18"/>
  <c r="R291" i="18"/>
  <c r="R287" i="18"/>
  <c r="R283" i="18"/>
  <c r="R279" i="18"/>
  <c r="T279" i="18" s="1"/>
  <c r="R275" i="18"/>
  <c r="R271" i="18"/>
  <c r="R267" i="18"/>
  <c r="R263" i="18"/>
  <c r="R259" i="18"/>
  <c r="R255" i="18"/>
  <c r="R251" i="18"/>
  <c r="R247" i="18"/>
  <c r="R243" i="18"/>
  <c r="R359" i="18"/>
  <c r="R336" i="18"/>
  <c r="R292" i="18"/>
  <c r="R288" i="18"/>
  <c r="R284" i="18"/>
  <c r="R280" i="18"/>
  <c r="R276" i="18"/>
  <c r="R272" i="18"/>
  <c r="R268" i="18"/>
  <c r="R264" i="18"/>
  <c r="R260" i="18"/>
  <c r="R256" i="18"/>
  <c r="R252" i="18"/>
  <c r="R248" i="18"/>
  <c r="R244" i="18"/>
  <c r="R328" i="18"/>
  <c r="R315" i="18"/>
  <c r="R311" i="18"/>
  <c r="R320" i="18"/>
  <c r="R306" i="18"/>
  <c r="R258" i="18"/>
  <c r="R245" i="18"/>
  <c r="R241" i="18"/>
  <c r="R237" i="18"/>
  <c r="R233" i="18"/>
  <c r="R229" i="18"/>
  <c r="R225" i="18"/>
  <c r="R221" i="18"/>
  <c r="R217" i="18"/>
  <c r="R213" i="18"/>
  <c r="R209" i="18"/>
  <c r="R205" i="18"/>
  <c r="R201" i="18"/>
  <c r="R197" i="18"/>
  <c r="R191" i="18"/>
  <c r="R187" i="18"/>
  <c r="R344" i="18"/>
  <c r="R294" i="18"/>
  <c r="R293" i="18"/>
  <c r="R286" i="18"/>
  <c r="R285" i="18"/>
  <c r="R278" i="18"/>
  <c r="R277" i="18"/>
  <c r="R270" i="18"/>
  <c r="R269" i="18"/>
  <c r="R262" i="18"/>
  <c r="R261" i="18"/>
  <c r="R335" i="18"/>
  <c r="R257" i="18"/>
  <c r="R254" i="18"/>
  <c r="R242" i="18"/>
  <c r="R238" i="18"/>
  <c r="R234" i="18"/>
  <c r="R230" i="18"/>
  <c r="R226" i="18"/>
  <c r="R222" i="18"/>
  <c r="R218" i="18"/>
  <c r="R214" i="18"/>
  <c r="R210" i="18"/>
  <c r="R206" i="18"/>
  <c r="R202" i="18"/>
  <c r="R343" i="18"/>
  <c r="R316" i="18"/>
  <c r="R312" i="18"/>
  <c r="R253" i="18"/>
  <c r="R250" i="18"/>
  <c r="R239" i="18"/>
  <c r="R235" i="18"/>
  <c r="R231" i="18"/>
  <c r="R227" i="18"/>
  <c r="R223" i="18"/>
  <c r="R219" i="18"/>
  <c r="R215" i="18"/>
  <c r="R211" i="18"/>
  <c r="R308" i="18"/>
  <c r="R265" i="18"/>
  <c r="R246" i="18"/>
  <c r="R232" i="18"/>
  <c r="R207" i="18"/>
  <c r="R203" i="18"/>
  <c r="R188" i="18"/>
  <c r="R185" i="18"/>
  <c r="R351" i="18"/>
  <c r="R304" i="18"/>
  <c r="R228" i="18"/>
  <c r="R196" i="18"/>
  <c r="R181" i="18"/>
  <c r="R177" i="18"/>
  <c r="R170" i="18"/>
  <c r="R166" i="18"/>
  <c r="R162" i="18"/>
  <c r="R158" i="18"/>
  <c r="R290" i="18"/>
  <c r="R224" i="18"/>
  <c r="R193" i="18"/>
  <c r="R282" i="18"/>
  <c r="R303" i="18"/>
  <c r="R274" i="18"/>
  <c r="R216" i="18"/>
  <c r="R200" i="18"/>
  <c r="R182" i="18"/>
  <c r="R128" i="18"/>
  <c r="R289" i="18"/>
  <c r="T289" i="18" s="1"/>
  <c r="R266" i="18"/>
  <c r="R212" i="18"/>
  <c r="R199" i="18"/>
  <c r="R186" i="18"/>
  <c r="R179" i="18"/>
  <c r="R175" i="18"/>
  <c r="R172" i="18"/>
  <c r="R168" i="18"/>
  <c r="R164" i="18"/>
  <c r="R160" i="18"/>
  <c r="R156" i="18"/>
  <c r="R152" i="18"/>
  <c r="R148" i="18"/>
  <c r="R144" i="18"/>
  <c r="R140" i="18"/>
  <c r="R136" i="18"/>
  <c r="R132" i="18"/>
  <c r="R124" i="18"/>
  <c r="R120" i="18"/>
  <c r="R189" i="18"/>
  <c r="R151" i="18"/>
  <c r="R145" i="18"/>
  <c r="R126" i="18"/>
  <c r="R119" i="18"/>
  <c r="R117" i="18"/>
  <c r="R154" i="18"/>
  <c r="R134" i="18"/>
  <c r="R236" i="18"/>
  <c r="R208" i="18"/>
  <c r="R198" i="18"/>
  <c r="R138" i="18"/>
  <c r="R131" i="18"/>
  <c r="R125" i="18"/>
  <c r="R123" i="18"/>
  <c r="R192" i="18"/>
  <c r="R150" i="18"/>
  <c r="R143" i="18"/>
  <c r="R137" i="18"/>
  <c r="R118" i="18"/>
  <c r="R273" i="18"/>
  <c r="R190" i="18"/>
  <c r="R183" i="18"/>
  <c r="R149" i="18"/>
  <c r="R130" i="18"/>
  <c r="R249" i="18"/>
  <c r="R127" i="18"/>
  <c r="R121" i="18"/>
  <c r="R174" i="18"/>
  <c r="R167" i="18"/>
  <c r="R159" i="18"/>
  <c r="R220" i="18"/>
  <c r="R180" i="18"/>
  <c r="R176" i="18"/>
  <c r="R173" i="18"/>
  <c r="R169" i="18"/>
  <c r="R165" i="18"/>
  <c r="R161" i="18"/>
  <c r="R157" i="18"/>
  <c r="R142" i="18"/>
  <c r="R135" i="18"/>
  <c r="R129" i="18"/>
  <c r="R281" i="18"/>
  <c r="R240" i="18"/>
  <c r="R184" i="18"/>
  <c r="R178" i="18"/>
  <c r="R171" i="18"/>
  <c r="R163" i="18"/>
  <c r="R155" i="18"/>
  <c r="R139" i="18"/>
  <c r="R133" i="18"/>
  <c r="R204" i="18"/>
  <c r="T204" i="18" s="1"/>
  <c r="W204" i="18" s="1"/>
  <c r="R147" i="18"/>
  <c r="T147" i="18" s="1"/>
  <c r="R141" i="18"/>
  <c r="R122" i="18"/>
  <c r="R153" i="18"/>
  <c r="R146" i="18"/>
  <c r="T403" i="18"/>
  <c r="W403" i="18" s="1"/>
  <c r="T441" i="18"/>
  <c r="W441" i="18" s="1"/>
  <c r="T402" i="18"/>
  <c r="L63" i="18"/>
  <c r="L59" i="18"/>
  <c r="L55" i="18"/>
  <c r="L51" i="18"/>
  <c r="L47" i="18"/>
  <c r="L43" i="18"/>
  <c r="L39" i="18"/>
  <c r="L35" i="18"/>
  <c r="L31" i="18"/>
  <c r="L27" i="18"/>
  <c r="L23" i="18"/>
  <c r="L19" i="18"/>
  <c r="L60" i="18"/>
  <c r="L56" i="18"/>
  <c r="L52" i="18"/>
  <c r="L48" i="18"/>
  <c r="L44" i="18"/>
  <c r="L40" i="18"/>
  <c r="L36" i="18"/>
  <c r="L32" i="18"/>
  <c r="L28" i="18"/>
  <c r="L24" i="18"/>
  <c r="L61" i="18"/>
  <c r="L57" i="18"/>
  <c r="L53" i="18"/>
  <c r="L49" i="18"/>
  <c r="L45" i="18"/>
  <c r="L41" i="18"/>
  <c r="L37" i="18"/>
  <c r="L33" i="18"/>
  <c r="L29" i="18"/>
  <c r="L25" i="18"/>
  <c r="L21" i="18"/>
  <c r="L54" i="18"/>
  <c r="L58" i="18"/>
  <c r="L26" i="18"/>
  <c r="L20" i="18"/>
  <c r="L12" i="18"/>
  <c r="L46" i="18"/>
  <c r="L62" i="18"/>
  <c r="L30" i="18"/>
  <c r="L16" i="18"/>
  <c r="L50" i="18"/>
  <c r="L22" i="18"/>
  <c r="L15" i="18"/>
  <c r="L34" i="18"/>
  <c r="L13" i="18"/>
  <c r="L18" i="18"/>
  <c r="L14" i="18"/>
  <c r="L38" i="18"/>
  <c r="L42" i="18"/>
  <c r="L17" i="18"/>
  <c r="P61" i="18"/>
  <c r="P57" i="18"/>
  <c r="P53" i="18"/>
  <c r="P49" i="18"/>
  <c r="P45" i="18"/>
  <c r="P41" i="18"/>
  <c r="P37" i="18"/>
  <c r="P33" i="18"/>
  <c r="P29" i="18"/>
  <c r="P25" i="18"/>
  <c r="P21" i="18"/>
  <c r="P17" i="18"/>
  <c r="P62" i="18"/>
  <c r="P58" i="18"/>
  <c r="P54" i="18"/>
  <c r="P50" i="18"/>
  <c r="P46" i="18"/>
  <c r="P42" i="18"/>
  <c r="P38" i="18"/>
  <c r="P34" i="18"/>
  <c r="P30" i="18"/>
  <c r="P26" i="18"/>
  <c r="P63" i="18"/>
  <c r="P59" i="18"/>
  <c r="P55" i="18"/>
  <c r="P51" i="18"/>
  <c r="P47" i="18"/>
  <c r="P43" i="18"/>
  <c r="P39" i="18"/>
  <c r="P35" i="18"/>
  <c r="P31" i="18"/>
  <c r="P27" i="18"/>
  <c r="P23" i="18"/>
  <c r="P19" i="18"/>
  <c r="P44" i="18"/>
  <c r="P16" i="18"/>
  <c r="P12" i="18"/>
  <c r="P40" i="18"/>
  <c r="P20" i="18"/>
  <c r="P48" i="18"/>
  <c r="P18" i="18"/>
  <c r="P14" i="18"/>
  <c r="P52" i="18"/>
  <c r="P32" i="18"/>
  <c r="P56" i="18"/>
  <c r="P15" i="18"/>
  <c r="P13" i="18"/>
  <c r="P60" i="18"/>
  <c r="P28" i="18"/>
  <c r="P24" i="18"/>
  <c r="P22" i="18"/>
  <c r="P36" i="18"/>
  <c r="Q61" i="18"/>
  <c r="Q57" i="18"/>
  <c r="Q53" i="18"/>
  <c r="Q49" i="18"/>
  <c r="Q45" i="18"/>
  <c r="Q41" i="18"/>
  <c r="Q37" i="18"/>
  <c r="Q33" i="18"/>
  <c r="Q29" i="18"/>
  <c r="Q25" i="18"/>
  <c r="Q21" i="18"/>
  <c r="Q17" i="18"/>
  <c r="Q63" i="18"/>
  <c r="Q59" i="18"/>
  <c r="Q55" i="18"/>
  <c r="Q51" i="18"/>
  <c r="Q47" i="18"/>
  <c r="Q43" i="18"/>
  <c r="Q39" i="18"/>
  <c r="Q35" i="18"/>
  <c r="Q31" i="18"/>
  <c r="Q27" i="18"/>
  <c r="Q62" i="18"/>
  <c r="Q48" i="18"/>
  <c r="Q30" i="18"/>
  <c r="Q18" i="18"/>
  <c r="Q14" i="18"/>
  <c r="Q16" i="18"/>
  <c r="Q52" i="18"/>
  <c r="Q34" i="18"/>
  <c r="Q36" i="18"/>
  <c r="Q56" i="18"/>
  <c r="Q38" i="18"/>
  <c r="Q15" i="18"/>
  <c r="Q54" i="18"/>
  <c r="Q13" i="18"/>
  <c r="Q58" i="18"/>
  <c r="Q44" i="18"/>
  <c r="Q60" i="18"/>
  <c r="Q42" i="18"/>
  <c r="Q28" i="18"/>
  <c r="Q24" i="18"/>
  <c r="Q23" i="18"/>
  <c r="Q22" i="18"/>
  <c r="Q50" i="18"/>
  <c r="Q40" i="18"/>
  <c r="Q20" i="18"/>
  <c r="Q19" i="18"/>
  <c r="Q46" i="18"/>
  <c r="Q32" i="18"/>
  <c r="Q12" i="18"/>
  <c r="Q26" i="18"/>
  <c r="R62" i="18"/>
  <c r="R58" i="18"/>
  <c r="R54" i="18"/>
  <c r="R50" i="18"/>
  <c r="R46" i="18"/>
  <c r="R42" i="18"/>
  <c r="R38" i="18"/>
  <c r="R34" i="18"/>
  <c r="R30" i="18"/>
  <c r="R26" i="18"/>
  <c r="R22" i="18"/>
  <c r="R18" i="18"/>
  <c r="R63" i="18"/>
  <c r="R59" i="18"/>
  <c r="R55" i="18"/>
  <c r="R51" i="18"/>
  <c r="R47" i="18"/>
  <c r="R43" i="18"/>
  <c r="R39" i="18"/>
  <c r="R35" i="18"/>
  <c r="R31" i="18"/>
  <c r="R27" i="18"/>
  <c r="R60" i="18"/>
  <c r="R56" i="18"/>
  <c r="R52" i="18"/>
  <c r="R48" i="18"/>
  <c r="R44" i="18"/>
  <c r="R40" i="18"/>
  <c r="R36" i="18"/>
  <c r="R32" i="18"/>
  <c r="R28" i="18"/>
  <c r="R24" i="18"/>
  <c r="R20" i="18"/>
  <c r="R41" i="18"/>
  <c r="R16" i="18"/>
  <c r="R45" i="18"/>
  <c r="R15" i="18"/>
  <c r="R29" i="18"/>
  <c r="R13" i="18"/>
  <c r="R33" i="18"/>
  <c r="R14" i="18"/>
  <c r="R49" i="18"/>
  <c r="R23" i="18"/>
  <c r="R19" i="18"/>
  <c r="R37" i="18"/>
  <c r="R53" i="18"/>
  <c r="R17" i="18"/>
  <c r="R12" i="18"/>
  <c r="R57" i="18"/>
  <c r="R25" i="18"/>
  <c r="R21" i="18"/>
  <c r="R61" i="18"/>
  <c r="M63" i="18"/>
  <c r="M59" i="18"/>
  <c r="M55" i="18"/>
  <c r="M51" i="18"/>
  <c r="M47" i="18"/>
  <c r="M43" i="18"/>
  <c r="M39" i="18"/>
  <c r="M35" i="18"/>
  <c r="M31" i="18"/>
  <c r="M27" i="18"/>
  <c r="M23" i="18"/>
  <c r="M19" i="18"/>
  <c r="M61" i="18"/>
  <c r="M57" i="18"/>
  <c r="M53" i="18"/>
  <c r="M49" i="18"/>
  <c r="M45" i="18"/>
  <c r="M41" i="18"/>
  <c r="M37" i="18"/>
  <c r="M33" i="18"/>
  <c r="M29" i="18"/>
  <c r="M25" i="18"/>
  <c r="M58" i="18"/>
  <c r="M40" i="18"/>
  <c r="M26" i="18"/>
  <c r="M20" i="18"/>
  <c r="M12" i="18"/>
  <c r="M60" i="18"/>
  <c r="M62" i="18"/>
  <c r="M44" i="18"/>
  <c r="M30" i="18"/>
  <c r="M16" i="18"/>
  <c r="M15" i="18"/>
  <c r="M48" i="18"/>
  <c r="M34" i="18"/>
  <c r="M13" i="18"/>
  <c r="M24" i="18"/>
  <c r="M32" i="18"/>
  <c r="M54" i="18"/>
  <c r="M52" i="18"/>
  <c r="M38" i="18"/>
  <c r="M46" i="18"/>
  <c r="M28" i="18"/>
  <c r="M17" i="18"/>
  <c r="M56" i="18"/>
  <c r="M42" i="18"/>
  <c r="M18" i="18"/>
  <c r="M14" i="18"/>
  <c r="M50" i="18"/>
  <c r="M22" i="18"/>
  <c r="M36" i="18"/>
  <c r="M21" i="18"/>
  <c r="P86" i="18"/>
  <c r="P87" i="18"/>
  <c r="P83" i="18"/>
  <c r="P79" i="18"/>
  <c r="P75" i="18"/>
  <c r="P71" i="18"/>
  <c r="P67" i="18"/>
  <c r="P66" i="18"/>
  <c r="P88" i="18"/>
  <c r="P84" i="18"/>
  <c r="P80" i="18"/>
  <c r="P76" i="18"/>
  <c r="P72" i="18"/>
  <c r="P68" i="18"/>
  <c r="P64" i="18"/>
  <c r="P74" i="18"/>
  <c r="P70" i="18"/>
  <c r="P89" i="18"/>
  <c r="P85" i="18"/>
  <c r="P81" i="18"/>
  <c r="P77" i="18"/>
  <c r="P73" i="18"/>
  <c r="P69" i="18"/>
  <c r="P65" i="18"/>
  <c r="P82" i="18"/>
  <c r="P78" i="18"/>
  <c r="Q87" i="18"/>
  <c r="Q83" i="18"/>
  <c r="Q79" i="18"/>
  <c r="Q81" i="18"/>
  <c r="Q73" i="18"/>
  <c r="Q65" i="18"/>
  <c r="Q88" i="18"/>
  <c r="Q84" i="18"/>
  <c r="Q80" i="18"/>
  <c r="Q76" i="18"/>
  <c r="Q72" i="18"/>
  <c r="Q68" i="18"/>
  <c r="Q64" i="18"/>
  <c r="Q89" i="18"/>
  <c r="Q85" i="18"/>
  <c r="Q77" i="18"/>
  <c r="Q69" i="18"/>
  <c r="Q86" i="18"/>
  <c r="Q82" i="18"/>
  <c r="Q78" i="18"/>
  <c r="Q74" i="18"/>
  <c r="Q70" i="18"/>
  <c r="Q66" i="18"/>
  <c r="Q75" i="18"/>
  <c r="Q71" i="18"/>
  <c r="Q67" i="18"/>
  <c r="M89" i="18"/>
  <c r="M85" i="18"/>
  <c r="M77" i="18"/>
  <c r="M65" i="18"/>
  <c r="M75" i="18"/>
  <c r="M67" i="18"/>
  <c r="M73" i="18"/>
  <c r="M86" i="18"/>
  <c r="M82" i="18"/>
  <c r="M78" i="18"/>
  <c r="M74" i="18"/>
  <c r="M70" i="18"/>
  <c r="M66" i="18"/>
  <c r="M69" i="18"/>
  <c r="M87" i="18"/>
  <c r="M83" i="18"/>
  <c r="M79" i="18"/>
  <c r="M71" i="18"/>
  <c r="M88" i="18"/>
  <c r="M84" i="18"/>
  <c r="M80" i="18"/>
  <c r="M76" i="18"/>
  <c r="M72" i="18"/>
  <c r="M68" i="18"/>
  <c r="M64" i="18"/>
  <c r="M81" i="18"/>
  <c r="R83" i="18"/>
  <c r="R88" i="18"/>
  <c r="R84" i="18"/>
  <c r="R80" i="18"/>
  <c r="R76" i="18"/>
  <c r="R72" i="18"/>
  <c r="R68" i="18"/>
  <c r="R64" i="18"/>
  <c r="R89" i="18"/>
  <c r="R85" i="18"/>
  <c r="R81" i="18"/>
  <c r="R77" i="18"/>
  <c r="R73" i="18"/>
  <c r="R69" i="18"/>
  <c r="R65" i="18"/>
  <c r="R79" i="18"/>
  <c r="R67" i="18"/>
  <c r="R86" i="18"/>
  <c r="R82" i="18"/>
  <c r="R78" i="18"/>
  <c r="R74" i="18"/>
  <c r="R70" i="18"/>
  <c r="R66" i="18"/>
  <c r="R87" i="18"/>
  <c r="R75" i="18"/>
  <c r="R71" i="18"/>
  <c r="L88" i="18"/>
  <c r="L80" i="18"/>
  <c r="L89" i="18"/>
  <c r="L85" i="18"/>
  <c r="L81" i="18"/>
  <c r="L77" i="18"/>
  <c r="L73" i="18"/>
  <c r="L69" i="18"/>
  <c r="L65" i="18"/>
  <c r="L72" i="18"/>
  <c r="L86" i="18"/>
  <c r="L82" i="18"/>
  <c r="L78" i="18"/>
  <c r="L74" i="18"/>
  <c r="L70" i="18"/>
  <c r="L66" i="18"/>
  <c r="L87" i="18"/>
  <c r="L83" i="18"/>
  <c r="L79" i="18"/>
  <c r="L75" i="18"/>
  <c r="L71" i="18"/>
  <c r="L67" i="18"/>
  <c r="L68" i="18"/>
  <c r="L84" i="18"/>
  <c r="L76" i="18"/>
  <c r="L64" i="18"/>
  <c r="M98" i="18"/>
  <c r="M94" i="18"/>
  <c r="M90" i="18"/>
  <c r="M95" i="18"/>
  <c r="M91" i="18"/>
  <c r="M92" i="18"/>
  <c r="M96" i="18"/>
  <c r="M97" i="18"/>
  <c r="M93" i="18"/>
  <c r="P96" i="18"/>
  <c r="P92" i="18"/>
  <c r="P97" i="18"/>
  <c r="P93" i="18"/>
  <c r="P95" i="18"/>
  <c r="P98" i="18"/>
  <c r="P94" i="18"/>
  <c r="P90" i="18"/>
  <c r="P91" i="18"/>
  <c r="Q96" i="18"/>
  <c r="Q92" i="18"/>
  <c r="Q93" i="18"/>
  <c r="Q94" i="18"/>
  <c r="Q97" i="18"/>
  <c r="Q98" i="18"/>
  <c r="Q90" i="18"/>
  <c r="Q91" i="18"/>
  <c r="Q95" i="18"/>
  <c r="R97" i="18"/>
  <c r="R93" i="18"/>
  <c r="R98" i="18"/>
  <c r="R94" i="18"/>
  <c r="R90" i="18"/>
  <c r="R96" i="18"/>
  <c r="R92" i="18"/>
  <c r="R95" i="18"/>
  <c r="R91" i="18"/>
  <c r="L93" i="18"/>
  <c r="L98" i="18"/>
  <c r="L94" i="18"/>
  <c r="L90" i="18"/>
  <c r="L97" i="18"/>
  <c r="L95" i="18"/>
  <c r="L91" i="18"/>
  <c r="L96" i="18"/>
  <c r="L92" i="18"/>
  <c r="P116" i="18"/>
  <c r="P104" i="18"/>
  <c r="P100" i="18"/>
  <c r="P107" i="18"/>
  <c r="P99" i="18"/>
  <c r="P105" i="18"/>
  <c r="P101" i="18"/>
  <c r="P106" i="18"/>
  <c r="P102" i="18"/>
  <c r="P103" i="18"/>
  <c r="M116" i="18"/>
  <c r="M99" i="18"/>
  <c r="M106" i="18"/>
  <c r="M102" i="18"/>
  <c r="M107" i="18"/>
  <c r="M103" i="18"/>
  <c r="M104" i="18"/>
  <c r="M101" i="18"/>
  <c r="M100" i="18"/>
  <c r="M105" i="18"/>
  <c r="Q116" i="18"/>
  <c r="Q104" i="18"/>
  <c r="Q105" i="18"/>
  <c r="Q101" i="18"/>
  <c r="Q106" i="18"/>
  <c r="Q102" i="18"/>
  <c r="Q107" i="18"/>
  <c r="Q103" i="18"/>
  <c r="Q100" i="18"/>
  <c r="Q99" i="18"/>
  <c r="R116" i="18"/>
  <c r="R105" i="18"/>
  <c r="R101" i="18"/>
  <c r="R104" i="18"/>
  <c r="R103" i="18"/>
  <c r="R106" i="18"/>
  <c r="R102" i="18"/>
  <c r="R107" i="18"/>
  <c r="R99" i="18"/>
  <c r="R100" i="18"/>
  <c r="L116" i="18"/>
  <c r="L106" i="18"/>
  <c r="L102" i="18"/>
  <c r="L100" i="18"/>
  <c r="L107" i="18"/>
  <c r="L103" i="18"/>
  <c r="L99" i="18"/>
  <c r="L101" i="18"/>
  <c r="L104" i="18"/>
  <c r="L105" i="18"/>
  <c r="M115" i="18"/>
  <c r="M111" i="18"/>
  <c r="M10" i="18"/>
  <c r="M113" i="18"/>
  <c r="M108" i="18"/>
  <c r="M112" i="18"/>
  <c r="M114" i="18"/>
  <c r="M109" i="18"/>
  <c r="M110" i="18"/>
  <c r="M11" i="18"/>
  <c r="P113" i="18"/>
  <c r="P108" i="18"/>
  <c r="P114" i="18"/>
  <c r="P115" i="18"/>
  <c r="P111" i="18"/>
  <c r="P112" i="18"/>
  <c r="P10" i="18"/>
  <c r="P109" i="18"/>
  <c r="P11" i="18"/>
  <c r="P110" i="18"/>
  <c r="Q113" i="18"/>
  <c r="Q115" i="18"/>
  <c r="Q111" i="18"/>
  <c r="Q10" i="18"/>
  <c r="Q114" i="18"/>
  <c r="Q112" i="18"/>
  <c r="Q110" i="18"/>
  <c r="Q11" i="18"/>
  <c r="Q108" i="18"/>
  <c r="Q109" i="18"/>
  <c r="R114" i="18"/>
  <c r="R115" i="18"/>
  <c r="R111" i="18"/>
  <c r="R112" i="18"/>
  <c r="R108" i="18"/>
  <c r="R10" i="18"/>
  <c r="R113" i="18"/>
  <c r="R11" i="18"/>
  <c r="R109" i="18"/>
  <c r="R110" i="18"/>
  <c r="L115" i="18"/>
  <c r="L111" i="18"/>
  <c r="L112" i="18"/>
  <c r="L113" i="18"/>
  <c r="L108" i="18"/>
  <c r="L109" i="18"/>
  <c r="L10" i="18"/>
  <c r="L114" i="18"/>
  <c r="L11" i="18"/>
  <c r="L110" i="18"/>
  <c r="M450" i="18"/>
  <c r="P450" i="18"/>
  <c r="Q450" i="18"/>
  <c r="R450" i="18"/>
  <c r="L450" i="18"/>
  <c r="T437" i="18" l="1"/>
  <c r="W437" i="18" s="1"/>
  <c r="T438" i="18"/>
  <c r="T299" i="18"/>
  <c r="T353" i="18"/>
  <c r="W353" i="18" s="1"/>
  <c r="T375" i="18"/>
  <c r="W375" i="18" s="1"/>
  <c r="T304" i="18"/>
  <c r="W304" i="18" s="1"/>
  <c r="T169" i="18"/>
  <c r="W169" i="18" s="1"/>
  <c r="T250" i="18"/>
  <c r="W250" i="18" s="1"/>
  <c r="T302" i="18"/>
  <c r="U302" i="18" s="1"/>
  <c r="V302" i="18" s="1"/>
  <c r="T367" i="18"/>
  <c r="W367" i="18" s="1"/>
  <c r="T325" i="18"/>
  <c r="W325" i="18" s="1"/>
  <c r="T418" i="18"/>
  <c r="W418" i="18" s="1"/>
  <c r="T297" i="18"/>
  <c r="W297" i="18" s="1"/>
  <c r="T178" i="18"/>
  <c r="W178" i="18" s="1"/>
  <c r="T117" i="18"/>
  <c r="T266" i="18"/>
  <c r="W266" i="18" s="1"/>
  <c r="T286" i="18"/>
  <c r="U299" i="18"/>
  <c r="V299" i="18" s="1"/>
  <c r="T265" i="18"/>
  <c r="W265" i="18" s="1"/>
  <c r="T372" i="18"/>
  <c r="W372" i="18" s="1"/>
  <c r="T358" i="18"/>
  <c r="W358" i="18" s="1"/>
  <c r="T425" i="18"/>
  <c r="W425" i="18" s="1"/>
  <c r="T397" i="18"/>
  <c r="W397" i="18" s="1"/>
  <c r="T444" i="18"/>
  <c r="U444" i="18" s="1"/>
  <c r="V444" i="18" s="1"/>
  <c r="T330" i="18"/>
  <c r="W330" i="18" s="1"/>
  <c r="T415" i="18"/>
  <c r="W415" i="18" s="1"/>
  <c r="T322" i="18"/>
  <c r="W322" i="18" s="1"/>
  <c r="T435" i="18"/>
  <c r="W435" i="18" s="1"/>
  <c r="T436" i="18"/>
  <c r="W436" i="18" s="1"/>
  <c r="T401" i="18"/>
  <c r="W401" i="18" s="1"/>
  <c r="T391" i="18"/>
  <c r="W391" i="18" s="1"/>
  <c r="W299" i="18"/>
  <c r="U298" i="18"/>
  <c r="V298" i="18" s="1"/>
  <c r="U296" i="18"/>
  <c r="V296" i="18" s="1"/>
  <c r="U297" i="18"/>
  <c r="V297" i="18" s="1"/>
  <c r="U301" i="18"/>
  <c r="V301" i="18" s="1"/>
  <c r="T296" i="18"/>
  <c r="W296" i="18" s="1"/>
  <c r="U300" i="18"/>
  <c r="V300" i="18" s="1"/>
  <c r="W298" i="18"/>
  <c r="T300" i="18"/>
  <c r="W300" i="18" s="1"/>
  <c r="T421" i="18"/>
  <c r="W421" i="18" s="1"/>
  <c r="T187" i="18"/>
  <c r="W187" i="18" s="1"/>
  <c r="T293" i="18"/>
  <c r="W293" i="18" s="1"/>
  <c r="T389" i="18"/>
  <c r="W389" i="18" s="1"/>
  <c r="T179" i="18"/>
  <c r="W179" i="18" s="1"/>
  <c r="T407" i="18"/>
  <c r="T276" i="18"/>
  <c r="W276" i="18" s="1"/>
  <c r="T446" i="18"/>
  <c r="W446" i="18" s="1"/>
  <c r="T378" i="18"/>
  <c r="T154" i="18"/>
  <c r="W154" i="18" s="1"/>
  <c r="T365" i="18"/>
  <c r="W365" i="18" s="1"/>
  <c r="T361" i="18"/>
  <c r="W361" i="18" s="1"/>
  <c r="T207" i="18"/>
  <c r="W207" i="18" s="1"/>
  <c r="T240" i="18"/>
  <c r="U240" i="18" s="1"/>
  <c r="V240" i="18" s="1"/>
  <c r="T227" i="18"/>
  <c r="W227" i="18" s="1"/>
  <c r="T251" i="18"/>
  <c r="W251" i="18" s="1"/>
  <c r="T287" i="18"/>
  <c r="W287" i="18" s="1"/>
  <c r="T238" i="18"/>
  <c r="W238" i="18" s="1"/>
  <c r="T152" i="18"/>
  <c r="W152" i="18" s="1"/>
  <c r="T202" i="18"/>
  <c r="W202" i="18" s="1"/>
  <c r="T234" i="18"/>
  <c r="W234" i="18" s="1"/>
  <c r="T260" i="18"/>
  <c r="W260" i="18" s="1"/>
  <c r="T195" i="18"/>
  <c r="U195" i="18" s="1"/>
  <c r="V195" i="18" s="1"/>
  <c r="T220" i="18"/>
  <c r="T285" i="18"/>
  <c r="U285" i="18" s="1"/>
  <c r="V285" i="18" s="1"/>
  <c r="T212" i="18"/>
  <c r="T335" i="18"/>
  <c r="W335" i="18" s="1"/>
  <c r="T445" i="18"/>
  <c r="W423" i="18"/>
  <c r="T443" i="18"/>
  <c r="W443" i="18" s="1"/>
  <c r="T231" i="18"/>
  <c r="W231" i="18" s="1"/>
  <c r="T183" i="18"/>
  <c r="W183" i="18" s="1"/>
  <c r="T218" i="18"/>
  <c r="W218" i="18" s="1"/>
  <c r="T257" i="18"/>
  <c r="T262" i="18"/>
  <c r="W262" i="18" s="1"/>
  <c r="T329" i="18"/>
  <c r="W329" i="18" s="1"/>
  <c r="T382" i="18"/>
  <c r="W382" i="18" s="1"/>
  <c r="W438" i="18"/>
  <c r="T426" i="18"/>
  <c r="W426" i="18" s="1"/>
  <c r="T416" i="18"/>
  <c r="W416" i="18" s="1"/>
  <c r="T448" i="18"/>
  <c r="U448" i="18" s="1"/>
  <c r="V448" i="18" s="1"/>
  <c r="T181" i="18"/>
  <c r="T419" i="18"/>
  <c r="W419" i="18" s="1"/>
  <c r="T432" i="18"/>
  <c r="T430" i="18"/>
  <c r="W430" i="18" s="1"/>
  <c r="T417" i="18"/>
  <c r="W417" i="18" s="1"/>
  <c r="T449" i="18"/>
  <c r="W449" i="18" s="1"/>
  <c r="T233" i="18"/>
  <c r="W233" i="18" s="1"/>
  <c r="T429" i="18"/>
  <c r="W429" i="18" s="1"/>
  <c r="T420" i="18"/>
  <c r="W420" i="18" s="1"/>
  <c r="T194" i="18"/>
  <c r="U194" i="18" s="1"/>
  <c r="V194" i="18" s="1"/>
  <c r="T383" i="18"/>
  <c r="W383" i="18" s="1"/>
  <c r="T341" i="18"/>
  <c r="W341" i="18" s="1"/>
  <c r="T141" i="18"/>
  <c r="W141" i="18" s="1"/>
  <c r="T188" i="18"/>
  <c r="W188" i="18" s="1"/>
  <c r="W407" i="18"/>
  <c r="T405" i="18"/>
  <c r="W405" i="18" s="1"/>
  <c r="W402" i="18"/>
  <c r="T400" i="18"/>
  <c r="W400" i="18" s="1"/>
  <c r="T406" i="18"/>
  <c r="U406" i="18" s="1"/>
  <c r="V406" i="18" s="1"/>
  <c r="T404" i="18"/>
  <c r="W404" i="18" s="1"/>
  <c r="T392" i="18"/>
  <c r="W392" i="18" s="1"/>
  <c r="T412" i="18"/>
  <c r="U412" i="18" s="1"/>
  <c r="V412" i="18" s="1"/>
  <c r="T398" i="18"/>
  <c r="W398" i="18" s="1"/>
  <c r="W388" i="18"/>
  <c r="T340" i="18"/>
  <c r="W340" i="18" s="1"/>
  <c r="T344" i="18"/>
  <c r="W344" i="18" s="1"/>
  <c r="T351" i="18"/>
  <c r="W351" i="18" s="1"/>
  <c r="T345" i="18"/>
  <c r="W345" i="18" s="1"/>
  <c r="T314" i="18"/>
  <c r="W314" i="18" s="1"/>
  <c r="T350" i="18"/>
  <c r="W350" i="18" s="1"/>
  <c r="T317" i="18"/>
  <c r="W317" i="18" s="1"/>
  <c r="T328" i="18"/>
  <c r="W328" i="18" s="1"/>
  <c r="T364" i="18"/>
  <c r="W364" i="18" s="1"/>
  <c r="T339" i="18"/>
  <c r="W339" i="18" s="1"/>
  <c r="T366" i="18"/>
  <c r="W366" i="18" s="1"/>
  <c r="T371" i="18"/>
  <c r="W371" i="18" s="1"/>
  <c r="T356" i="18"/>
  <c r="W356" i="18" s="1"/>
  <c r="T347" i="18"/>
  <c r="W347" i="18" s="1"/>
  <c r="T373" i="18"/>
  <c r="W373" i="18" s="1"/>
  <c r="T334" i="18"/>
  <c r="W334" i="18" s="1"/>
  <c r="T370" i="18"/>
  <c r="W370" i="18" s="1"/>
  <c r="T362" i="18"/>
  <c r="W362" i="18" s="1"/>
  <c r="T377" i="18"/>
  <c r="W377" i="18" s="1"/>
  <c r="T349" i="18"/>
  <c r="W349" i="18" s="1"/>
  <c r="T331" i="18"/>
  <c r="W331" i="18" s="1"/>
  <c r="T338" i="18"/>
  <c r="W338" i="18" s="1"/>
  <c r="T343" i="18"/>
  <c r="W343" i="18" s="1"/>
  <c r="T357" i="18"/>
  <c r="W357" i="18" s="1"/>
  <c r="T380" i="18"/>
  <c r="W380" i="18" s="1"/>
  <c r="T342" i="18"/>
  <c r="W342" i="18" s="1"/>
  <c r="T352" i="18"/>
  <c r="W352" i="18" s="1"/>
  <c r="T319" i="18"/>
  <c r="U319" i="18" s="1"/>
  <c r="V319" i="18" s="1"/>
  <c r="T374" i="18"/>
  <c r="W374" i="18" s="1"/>
  <c r="T381" i="18"/>
  <c r="W381" i="18" s="1"/>
  <c r="T294" i="18"/>
  <c r="U294" i="18" s="1"/>
  <c r="V294" i="18" s="1"/>
  <c r="T288" i="18"/>
  <c r="W288" i="18" s="1"/>
  <c r="T274" i="18"/>
  <c r="W274" i="18" s="1"/>
  <c r="T272" i="18"/>
  <c r="U272" i="18" s="1"/>
  <c r="V272" i="18" s="1"/>
  <c r="T263" i="18"/>
  <c r="W263" i="18" s="1"/>
  <c r="T277" i="18"/>
  <c r="W277" i="18" s="1"/>
  <c r="T275" i="18"/>
  <c r="W275" i="18" s="1"/>
  <c r="T261" i="18"/>
  <c r="W261" i="18" s="1"/>
  <c r="T269" i="18"/>
  <c r="W269" i="18" s="1"/>
  <c r="T273" i="18"/>
  <c r="W273" i="18" s="1"/>
  <c r="T255" i="18"/>
  <c r="T256" i="18"/>
  <c r="U256" i="18" s="1"/>
  <c r="V256" i="18" s="1"/>
  <c r="T253" i="18"/>
  <c r="W253" i="18" s="1"/>
  <c r="T252" i="18"/>
  <c r="W252" i="18" s="1"/>
  <c r="T244" i="18"/>
  <c r="W244" i="18" s="1"/>
  <c r="T221" i="18"/>
  <c r="W221" i="18" s="1"/>
  <c r="T206" i="18"/>
  <c r="W206" i="18" s="1"/>
  <c r="T223" i="18"/>
  <c r="W223" i="18" s="1"/>
  <c r="T243" i="18"/>
  <c r="W243" i="18" s="1"/>
  <c r="T236" i="18"/>
  <c r="W236" i="18" s="1"/>
  <c r="T201" i="18"/>
  <c r="W201" i="18" s="1"/>
  <c r="T200" i="18"/>
  <c r="W200" i="18" s="1"/>
  <c r="T308" i="18"/>
  <c r="U308" i="18" s="1"/>
  <c r="V308" i="18" s="1"/>
  <c r="T305" i="18"/>
  <c r="W305" i="18" s="1"/>
  <c r="T303" i="18"/>
  <c r="W303" i="18" s="1"/>
  <c r="T295" i="18"/>
  <c r="W295" i="18" s="1"/>
  <c r="T241" i="18"/>
  <c r="W241" i="18" s="1"/>
  <c r="T209" i="18"/>
  <c r="W209" i="18" s="1"/>
  <c r="T214" i="18"/>
  <c r="U214" i="18" s="1"/>
  <c r="V214" i="18" s="1"/>
  <c r="T246" i="18"/>
  <c r="W246" i="18" s="1"/>
  <c r="T235" i="18"/>
  <c r="W235" i="18" s="1"/>
  <c r="T203" i="18"/>
  <c r="U203" i="18" s="1"/>
  <c r="V203" i="18" s="1"/>
  <c r="T222" i="18"/>
  <c r="W222" i="18" s="1"/>
  <c r="T237" i="18"/>
  <c r="W237" i="18" s="1"/>
  <c r="W228" i="18"/>
  <c r="T197" i="18"/>
  <c r="W197" i="18" s="1"/>
  <c r="T118" i="18"/>
  <c r="W118" i="18" s="1"/>
  <c r="T121" i="18"/>
  <c r="W121" i="18" s="1"/>
  <c r="T120" i="18"/>
  <c r="W120" i="18" s="1"/>
  <c r="T123" i="18"/>
  <c r="W123" i="18" s="1"/>
  <c r="T122" i="18"/>
  <c r="T47" i="18"/>
  <c r="W47" i="18" s="1"/>
  <c r="T171" i="18"/>
  <c r="W171" i="18" s="1"/>
  <c r="T156" i="18"/>
  <c r="W156" i="18" s="1"/>
  <c r="T128" i="18"/>
  <c r="W128" i="18" s="1"/>
  <c r="W117" i="18"/>
  <c r="T189" i="18"/>
  <c r="W189" i="18" s="1"/>
  <c r="T173" i="18"/>
  <c r="W173" i="18" s="1"/>
  <c r="T175" i="18"/>
  <c r="U175" i="18" s="1"/>
  <c r="V175" i="18" s="1"/>
  <c r="T139" i="18"/>
  <c r="W139" i="18" s="1"/>
  <c r="T129" i="18"/>
  <c r="W129" i="18" s="1"/>
  <c r="T143" i="18"/>
  <c r="W143" i="18" s="1"/>
  <c r="T186" i="18"/>
  <c r="W186" i="18" s="1"/>
  <c r="T138" i="18"/>
  <c r="W138" i="18" s="1"/>
  <c r="T155" i="18"/>
  <c r="U155" i="18" s="1"/>
  <c r="V155" i="18" s="1"/>
  <c r="T191" i="18"/>
  <c r="W191" i="18" s="1"/>
  <c r="T185" i="18"/>
  <c r="T182" i="18"/>
  <c r="T164" i="18"/>
  <c r="W164" i="18" s="1"/>
  <c r="T168" i="18"/>
  <c r="W168" i="18" s="1"/>
  <c r="T159" i="18"/>
  <c r="U159" i="18" s="1"/>
  <c r="V159" i="18" s="1"/>
  <c r="T142" i="18"/>
  <c r="W142" i="18" s="1"/>
  <c r="T144" i="18"/>
  <c r="T170" i="18"/>
  <c r="W170" i="18" s="1"/>
  <c r="T136" i="18"/>
  <c r="W136" i="18" s="1"/>
  <c r="T161" i="18"/>
  <c r="U161" i="18" s="1"/>
  <c r="V161" i="18" s="1"/>
  <c r="T148" i="18"/>
  <c r="W148" i="18" s="1"/>
  <c r="T127" i="18"/>
  <c r="W127" i="18" s="1"/>
  <c r="T137" i="18"/>
  <c r="U137" i="18" s="1"/>
  <c r="V137" i="18" s="1"/>
  <c r="W378" i="18"/>
  <c r="T124" i="18"/>
  <c r="W124" i="18" s="1"/>
  <c r="T264" i="18"/>
  <c r="W264" i="18" s="1"/>
  <c r="T163" i="18"/>
  <c r="W163" i="18" s="1"/>
  <c r="T166" i="18"/>
  <c r="W166" i="18" s="1"/>
  <c r="T215" i="18"/>
  <c r="W215" i="18" s="1"/>
  <c r="T268" i="18"/>
  <c r="W268" i="18" s="1"/>
  <c r="T278" i="18"/>
  <c r="W278" i="18" s="1"/>
  <c r="T336" i="18"/>
  <c r="U336" i="18" s="1"/>
  <c r="V336" i="18" s="1"/>
  <c r="T399" i="18"/>
  <c r="U399" i="18" s="1"/>
  <c r="V399" i="18" s="1"/>
  <c r="W122" i="18"/>
  <c r="W144" i="18"/>
  <c r="W185" i="18"/>
  <c r="T259" i="18"/>
  <c r="W259" i="18" s="1"/>
  <c r="T307" i="18"/>
  <c r="W307" i="18" s="1"/>
  <c r="T313" i="18"/>
  <c r="W313" i="18" s="1"/>
  <c r="T219" i="18"/>
  <c r="W219" i="18" s="1"/>
  <c r="W286" i="18"/>
  <c r="T205" i="18"/>
  <c r="U205" i="18" s="1"/>
  <c r="V205" i="18" s="1"/>
  <c r="W272" i="18"/>
  <c r="T310" i="18"/>
  <c r="W310" i="18" s="1"/>
  <c r="T379" i="18"/>
  <c r="W379" i="18" s="1"/>
  <c r="T355" i="18"/>
  <c r="W355" i="18" s="1"/>
  <c r="T239" i="18"/>
  <c r="W239" i="18" s="1"/>
  <c r="T146" i="18"/>
  <c r="W146" i="18" s="1"/>
  <c r="T135" i="18"/>
  <c r="W135" i="18" s="1"/>
  <c r="T167" i="18"/>
  <c r="W167" i="18" s="1"/>
  <c r="T226" i="18"/>
  <c r="W226" i="18" s="1"/>
  <c r="T292" i="18"/>
  <c r="W292" i="18" s="1"/>
  <c r="T217" i="18"/>
  <c r="W217" i="18" s="1"/>
  <c r="T248" i="18"/>
  <c r="U248" i="18" s="1"/>
  <c r="V248" i="18" s="1"/>
  <c r="T208" i="18"/>
  <c r="W208" i="18" s="1"/>
  <c r="W319" i="18"/>
  <c r="T267" i="18"/>
  <c r="W267" i="18" s="1"/>
  <c r="T270" i="18"/>
  <c r="W270" i="18" s="1"/>
  <c r="T318" i="18"/>
  <c r="W318" i="18" s="1"/>
  <c r="T354" i="18"/>
  <c r="U354" i="18" s="1"/>
  <c r="V354" i="18" s="1"/>
  <c r="T316" i="18"/>
  <c r="T360" i="18"/>
  <c r="W360" i="18" s="1"/>
  <c r="T337" i="18"/>
  <c r="W337" i="18" s="1"/>
  <c r="T363" i="18"/>
  <c r="U363" i="18" s="1"/>
  <c r="V363" i="18" s="1"/>
  <c r="T395" i="18"/>
  <c r="U395" i="18" s="1"/>
  <c r="V395" i="18" s="1"/>
  <c r="T386" i="18"/>
  <c r="W386" i="18" s="1"/>
  <c r="T442" i="18"/>
  <c r="U442" i="18" s="1"/>
  <c r="V442" i="18" s="1"/>
  <c r="W432" i="18"/>
  <c r="W257" i="18"/>
  <c r="T157" i="18"/>
  <c r="W157" i="18" s="1"/>
  <c r="T132" i="18"/>
  <c r="W132" i="18" s="1"/>
  <c r="T172" i="18"/>
  <c r="W172" i="18" s="1"/>
  <c r="T177" i="18"/>
  <c r="W177" i="18" s="1"/>
  <c r="T282" i="18"/>
  <c r="W282" i="18" s="1"/>
  <c r="T284" i="18"/>
  <c r="W284" i="18" s="1"/>
  <c r="T315" i="18"/>
  <c r="W315" i="18" s="1"/>
  <c r="T390" i="18"/>
  <c r="W390" i="18" s="1"/>
  <c r="W147" i="18"/>
  <c r="T165" i="18"/>
  <c r="W165" i="18" s="1"/>
  <c r="T174" i="18"/>
  <c r="U174" i="18" s="1"/>
  <c r="V174" i="18" s="1"/>
  <c r="T211" i="18"/>
  <c r="W211" i="18" s="1"/>
  <c r="T176" i="18"/>
  <c r="W176" i="18" s="1"/>
  <c r="T283" i="18"/>
  <c r="W283" i="18" s="1"/>
  <c r="T242" i="18"/>
  <c r="U242" i="18" s="1"/>
  <c r="V242" i="18" s="1"/>
  <c r="T229" i="18"/>
  <c r="W229" i="18" s="1"/>
  <c r="T271" i="18"/>
  <c r="U271" i="18" s="1"/>
  <c r="V271" i="18" s="1"/>
  <c r="T190" i="18"/>
  <c r="T224" i="18"/>
  <c r="W224" i="18" s="1"/>
  <c r="T311" i="18"/>
  <c r="W311" i="18" s="1"/>
  <c r="T408" i="18"/>
  <c r="U408" i="18" s="1"/>
  <c r="V408" i="18" s="1"/>
  <c r="T346" i="18"/>
  <c r="W346" i="18" s="1"/>
  <c r="T321" i="18"/>
  <c r="W321" i="18" s="1"/>
  <c r="T320" i="18"/>
  <c r="W320" i="18" s="1"/>
  <c r="T396" i="18"/>
  <c r="U396" i="18" s="1"/>
  <c r="V396" i="18" s="1"/>
  <c r="T376" i="18"/>
  <c r="W376" i="18" s="1"/>
  <c r="T359" i="18"/>
  <c r="U359" i="18" s="1"/>
  <c r="V359" i="18" s="1"/>
  <c r="T387" i="18"/>
  <c r="W387" i="18" s="1"/>
  <c r="T422" i="18"/>
  <c r="T393" i="18"/>
  <c r="W393" i="18" s="1"/>
  <c r="T162" i="18"/>
  <c r="W162" i="18" s="1"/>
  <c r="T130" i="18"/>
  <c r="W130" i="18" s="1"/>
  <c r="T150" i="18"/>
  <c r="U150" i="18" s="1"/>
  <c r="V150" i="18" s="1"/>
  <c r="T21" i="18"/>
  <c r="U21" i="18" s="1"/>
  <c r="V21" i="18" s="1"/>
  <c r="W181" i="18"/>
  <c r="T291" i="18"/>
  <c r="W291" i="18" s="1"/>
  <c r="T312" i="18"/>
  <c r="W312" i="18" s="1"/>
  <c r="T254" i="18"/>
  <c r="W254" i="18" s="1"/>
  <c r="T431" i="18"/>
  <c r="W431" i="18" s="1"/>
  <c r="T447" i="18"/>
  <c r="W447" i="18" s="1"/>
  <c r="T230" i="18"/>
  <c r="U230" i="18" s="1"/>
  <c r="V230" i="18" s="1"/>
  <c r="T213" i="18"/>
  <c r="W213" i="18" s="1"/>
  <c r="W248" i="18"/>
  <c r="T280" i="18"/>
  <c r="U280" i="18" s="1"/>
  <c r="V280" i="18" s="1"/>
  <c r="T348" i="18"/>
  <c r="U348" i="18" s="1"/>
  <c r="V348" i="18" s="1"/>
  <c r="T309" i="18"/>
  <c r="T369" i="18"/>
  <c r="U369" i="18" s="1"/>
  <c r="V369" i="18" s="1"/>
  <c r="T333" i="18"/>
  <c r="W333" i="18" s="1"/>
  <c r="T434" i="18"/>
  <c r="W434" i="18" s="1"/>
  <c r="W445" i="18"/>
  <c r="T140" i="18"/>
  <c r="W140" i="18" s="1"/>
  <c r="T153" i="18"/>
  <c r="U153" i="18" s="1"/>
  <c r="V153" i="18" s="1"/>
  <c r="T125" i="18"/>
  <c r="W125" i="18" s="1"/>
  <c r="T184" i="18"/>
  <c r="W184" i="18" s="1"/>
  <c r="T126" i="18"/>
  <c r="U126" i="18" s="1"/>
  <c r="V126" i="18" s="1"/>
  <c r="W255" i="18"/>
  <c r="W220" i="18"/>
  <c r="T216" i="18"/>
  <c r="W216" i="18" s="1"/>
  <c r="T198" i="18"/>
  <c r="U198" i="18" s="1"/>
  <c r="V198" i="18" s="1"/>
  <c r="T145" i="18"/>
  <c r="U145" i="18" s="1"/>
  <c r="V145" i="18" s="1"/>
  <c r="W182" i="18"/>
  <c r="T133" i="18"/>
  <c r="W133" i="18" s="1"/>
  <c r="W212" i="18"/>
  <c r="U136" i="18"/>
  <c r="V136" i="18" s="1"/>
  <c r="U204" i="18"/>
  <c r="V204" i="18" s="1"/>
  <c r="U228" i="18"/>
  <c r="V228" i="18" s="1"/>
  <c r="U223" i="18"/>
  <c r="V223" i="18" s="1"/>
  <c r="U249" i="18"/>
  <c r="V249" i="18" s="1"/>
  <c r="U350" i="18"/>
  <c r="V350" i="18" s="1"/>
  <c r="U353" i="18"/>
  <c r="V353" i="18" s="1"/>
  <c r="U351" i="18"/>
  <c r="V351" i="18" s="1"/>
  <c r="U407" i="18"/>
  <c r="V407" i="18" s="1"/>
  <c r="U402" i="18"/>
  <c r="V402" i="18" s="1"/>
  <c r="U434" i="18"/>
  <c r="V434" i="18" s="1"/>
  <c r="T232" i="18"/>
  <c r="W232" i="18" s="1"/>
  <c r="T119" i="18"/>
  <c r="U119" i="18" s="1"/>
  <c r="V119" i="18" s="1"/>
  <c r="T151" i="18"/>
  <c r="W151" i="18" s="1"/>
  <c r="T193" i="18"/>
  <c r="W193" i="18" s="1"/>
  <c r="T245" i="18"/>
  <c r="U245" i="18" s="1"/>
  <c r="V245" i="18" s="1"/>
  <c r="T332" i="18"/>
  <c r="U332" i="18" s="1"/>
  <c r="V332" i="18" s="1"/>
  <c r="T433" i="18"/>
  <c r="W433" i="18" s="1"/>
  <c r="U201" i="18"/>
  <c r="V201" i="18" s="1"/>
  <c r="U147" i="18"/>
  <c r="V147" i="18" s="1"/>
  <c r="U183" i="18"/>
  <c r="V183" i="18" s="1"/>
  <c r="U188" i="18"/>
  <c r="V188" i="18" s="1"/>
  <c r="U304" i="18"/>
  <c r="V304" i="18" s="1"/>
  <c r="U253" i="18"/>
  <c r="V253" i="18" s="1"/>
  <c r="U276" i="18"/>
  <c r="V276" i="18" s="1"/>
  <c r="U366" i="18"/>
  <c r="V366" i="18" s="1"/>
  <c r="U420" i="18"/>
  <c r="V420" i="18" s="1"/>
  <c r="U391" i="18"/>
  <c r="V391" i="18" s="1"/>
  <c r="U438" i="18"/>
  <c r="V438" i="18" s="1"/>
  <c r="U425" i="18"/>
  <c r="V425" i="18" s="1"/>
  <c r="T116" i="18"/>
  <c r="W116" i="18" s="1"/>
  <c r="W410" i="18"/>
  <c r="W422" i="18"/>
  <c r="W289" i="18"/>
  <c r="T192" i="18"/>
  <c r="W192" i="18" s="1"/>
  <c r="T196" i="18"/>
  <c r="W196" i="18" s="1"/>
  <c r="T199" i="18"/>
  <c r="W199" i="18" s="1"/>
  <c r="T210" i="18"/>
  <c r="W210" i="18" s="1"/>
  <c r="U124" i="18"/>
  <c r="V124" i="18" s="1"/>
  <c r="U154" i="18"/>
  <c r="V154" i="18" s="1"/>
  <c r="U117" i="18"/>
  <c r="V117" i="18" s="1"/>
  <c r="U233" i="18"/>
  <c r="V233" i="18" s="1"/>
  <c r="U178" i="18"/>
  <c r="V178" i="18" s="1"/>
  <c r="U221" i="18"/>
  <c r="V221" i="18" s="1"/>
  <c r="U278" i="18"/>
  <c r="V278" i="18" s="1"/>
  <c r="U358" i="18"/>
  <c r="V358" i="18" s="1"/>
  <c r="U257" i="18"/>
  <c r="V257" i="18" s="1"/>
  <c r="U289" i="18"/>
  <c r="V289" i="18" s="1"/>
  <c r="U316" i="18"/>
  <c r="V316" i="18" s="1"/>
  <c r="U372" i="18"/>
  <c r="V372" i="18" s="1"/>
  <c r="U416" i="18"/>
  <c r="V416" i="18" s="1"/>
  <c r="U423" i="18"/>
  <c r="V423" i="18" s="1"/>
  <c r="U410" i="18"/>
  <c r="V410" i="18" s="1"/>
  <c r="W309" i="18"/>
  <c r="W150" i="18"/>
  <c r="T158" i="18"/>
  <c r="U158" i="18" s="1"/>
  <c r="V158" i="18" s="1"/>
  <c r="T281" i="18"/>
  <c r="W281" i="18" s="1"/>
  <c r="T306" i="18"/>
  <c r="W306" i="18" s="1"/>
  <c r="T424" i="18"/>
  <c r="W424" i="18" s="1"/>
  <c r="T394" i="18"/>
  <c r="U394" i="18" s="1"/>
  <c r="V394" i="18" s="1"/>
  <c r="U143" i="18"/>
  <c r="V143" i="18" s="1"/>
  <c r="U172" i="18"/>
  <c r="V172" i="18" s="1"/>
  <c r="U139" i="18"/>
  <c r="V139" i="18" s="1"/>
  <c r="U129" i="18"/>
  <c r="V129" i="18" s="1"/>
  <c r="U182" i="18"/>
  <c r="V182" i="18" s="1"/>
  <c r="U251" i="18"/>
  <c r="V251" i="18" s="1"/>
  <c r="U279" i="18"/>
  <c r="V279" i="18" s="1"/>
  <c r="U274" i="18"/>
  <c r="V274" i="18" s="1"/>
  <c r="U284" i="18"/>
  <c r="V284" i="18" s="1"/>
  <c r="U347" i="18"/>
  <c r="V347" i="18" s="1"/>
  <c r="U322" i="18"/>
  <c r="V322" i="18" s="1"/>
  <c r="U435" i="18"/>
  <c r="V435" i="18" s="1"/>
  <c r="U436" i="18"/>
  <c r="V436" i="18" s="1"/>
  <c r="U411" i="18"/>
  <c r="V411" i="18" s="1"/>
  <c r="U414" i="18"/>
  <c r="V414" i="18" s="1"/>
  <c r="W174" i="18"/>
  <c r="W279" i="18"/>
  <c r="W190" i="18"/>
  <c r="W442" i="18"/>
  <c r="T160" i="18"/>
  <c r="W160" i="18" s="1"/>
  <c r="T131" i="18"/>
  <c r="U131" i="18" s="1"/>
  <c r="V131" i="18" s="1"/>
  <c r="T290" i="18"/>
  <c r="U290" i="18" s="1"/>
  <c r="V290" i="18" s="1"/>
  <c r="T225" i="18"/>
  <c r="W225" i="18" s="1"/>
  <c r="T327" i="18"/>
  <c r="W327" i="18" s="1"/>
  <c r="T326" i="18"/>
  <c r="U326" i="18" s="1"/>
  <c r="V326" i="18" s="1"/>
  <c r="T384" i="18"/>
  <c r="U384" i="18" s="1"/>
  <c r="V384" i="18" s="1"/>
  <c r="T439" i="18"/>
  <c r="W439" i="18" s="1"/>
  <c r="U146" i="18"/>
  <c r="V146" i="18" s="1"/>
  <c r="U130" i="18"/>
  <c r="V130" i="18" s="1"/>
  <c r="U170" i="18"/>
  <c r="V170" i="18" s="1"/>
  <c r="U212" i="18"/>
  <c r="V212" i="18" s="1"/>
  <c r="U255" i="18"/>
  <c r="V255" i="18" s="1"/>
  <c r="U286" i="18"/>
  <c r="V286" i="18" s="1"/>
  <c r="U207" i="18"/>
  <c r="V207" i="18" s="1"/>
  <c r="U202" i="18"/>
  <c r="V202" i="18" s="1"/>
  <c r="U234" i="18"/>
  <c r="V234" i="18" s="1"/>
  <c r="U265" i="18"/>
  <c r="V265" i="18" s="1"/>
  <c r="U288" i="18"/>
  <c r="V288" i="18" s="1"/>
  <c r="U325" i="18"/>
  <c r="V325" i="18" s="1"/>
  <c r="U329" i="18"/>
  <c r="V329" i="18" s="1"/>
  <c r="U403" i="18"/>
  <c r="V403" i="18" s="1"/>
  <c r="U367" i="18"/>
  <c r="V367" i="18" s="1"/>
  <c r="U418" i="18"/>
  <c r="V418" i="18" s="1"/>
  <c r="U405" i="18"/>
  <c r="V405" i="18" s="1"/>
  <c r="U437" i="18"/>
  <c r="V437" i="18" s="1"/>
  <c r="T63" i="18"/>
  <c r="U63" i="18" s="1"/>
  <c r="V63" i="18" s="1"/>
  <c r="W414" i="18"/>
  <c r="W411" i="18"/>
  <c r="W316" i="18"/>
  <c r="T134" i="18"/>
  <c r="U134" i="18" s="1"/>
  <c r="V134" i="18" s="1"/>
  <c r="T180" i="18"/>
  <c r="W180" i="18" s="1"/>
  <c r="T247" i="18"/>
  <c r="W247" i="18" s="1"/>
  <c r="T385" i="18"/>
  <c r="U385" i="18" s="1"/>
  <c r="V385" i="18" s="1"/>
  <c r="T368" i="18"/>
  <c r="U368" i="18" s="1"/>
  <c r="V368" i="18" s="1"/>
  <c r="T428" i="18"/>
  <c r="W428" i="18" s="1"/>
  <c r="U179" i="18"/>
  <c r="V179" i="18" s="1"/>
  <c r="U187" i="18"/>
  <c r="V187" i="18" s="1"/>
  <c r="U169" i="18"/>
  <c r="V169" i="18" s="1"/>
  <c r="U185" i="18"/>
  <c r="V185" i="18" s="1"/>
  <c r="U190" i="18"/>
  <c r="V190" i="18" s="1"/>
  <c r="U258" i="18"/>
  <c r="V258" i="18" s="1"/>
  <c r="U243" i="18"/>
  <c r="V243" i="18" s="1"/>
  <c r="U238" i="18"/>
  <c r="V238" i="18" s="1"/>
  <c r="U282" i="18"/>
  <c r="V282" i="18" s="1"/>
  <c r="U382" i="18"/>
  <c r="V382" i="18" s="1"/>
  <c r="U337" i="18"/>
  <c r="V337" i="18" s="1"/>
  <c r="U365" i="18"/>
  <c r="V365" i="18" s="1"/>
  <c r="U397" i="18"/>
  <c r="V397" i="18" s="1"/>
  <c r="U443" i="18"/>
  <c r="V443" i="18" s="1"/>
  <c r="U427" i="18"/>
  <c r="V427" i="18" s="1"/>
  <c r="U415" i="18"/>
  <c r="V415" i="18" s="1"/>
  <c r="U422" i="18"/>
  <c r="V422" i="18" s="1"/>
  <c r="U409" i="18"/>
  <c r="V409" i="18" s="1"/>
  <c r="U441" i="18"/>
  <c r="V441" i="18" s="1"/>
  <c r="T43" i="18"/>
  <c r="W43" i="18" s="1"/>
  <c r="T62" i="18"/>
  <c r="W62" i="18" s="1"/>
  <c r="T323" i="18"/>
  <c r="U323" i="18" s="1"/>
  <c r="V323" i="18" s="1"/>
  <c r="U144" i="18"/>
  <c r="V144" i="18" s="1"/>
  <c r="U209" i="18"/>
  <c r="V209" i="18" s="1"/>
  <c r="U122" i="18"/>
  <c r="V122" i="18" s="1"/>
  <c r="U173" i="18"/>
  <c r="V173" i="18" s="1"/>
  <c r="U220" i="18"/>
  <c r="V220" i="18" s="1"/>
  <c r="U246" i="18"/>
  <c r="V246" i="18" s="1"/>
  <c r="U380" i="18"/>
  <c r="V380" i="18" s="1"/>
  <c r="U309" i="18"/>
  <c r="V309" i="18" s="1"/>
  <c r="U389" i="18"/>
  <c r="V389" i="18" s="1"/>
  <c r="U378" i="18"/>
  <c r="V378" i="18" s="1"/>
  <c r="U383" i="18"/>
  <c r="V383" i="18" s="1"/>
  <c r="U375" i="18"/>
  <c r="V375" i="18" s="1"/>
  <c r="U401" i="18"/>
  <c r="V401" i="18" s="1"/>
  <c r="U388" i="18"/>
  <c r="V388" i="18" s="1"/>
  <c r="U440" i="18"/>
  <c r="V440" i="18" s="1"/>
  <c r="U413" i="18"/>
  <c r="V413" i="18" s="1"/>
  <c r="U445" i="18"/>
  <c r="V445" i="18" s="1"/>
  <c r="T149" i="18"/>
  <c r="U149" i="18" s="1"/>
  <c r="V149" i="18" s="1"/>
  <c r="T324" i="18"/>
  <c r="W324" i="18" s="1"/>
  <c r="U156" i="18"/>
  <c r="V156" i="18" s="1"/>
  <c r="U254" i="18"/>
  <c r="V254" i="18" s="1"/>
  <c r="U123" i="18"/>
  <c r="V123" i="18" s="1"/>
  <c r="U135" i="18"/>
  <c r="V135" i="18" s="1"/>
  <c r="U181" i="18"/>
  <c r="V181" i="18" s="1"/>
  <c r="U176" i="18"/>
  <c r="V176" i="18" s="1"/>
  <c r="U263" i="18"/>
  <c r="V263" i="18" s="1"/>
  <c r="U268" i="18"/>
  <c r="V268" i="18" s="1"/>
  <c r="U349" i="18"/>
  <c r="V349" i="18" s="1"/>
  <c r="U432" i="18"/>
  <c r="V432" i="18" s="1"/>
  <c r="U338" i="18"/>
  <c r="V338" i="18" s="1"/>
  <c r="U447" i="18"/>
  <c r="V447" i="18" s="1"/>
  <c r="U431" i="18"/>
  <c r="V431" i="18" s="1"/>
  <c r="U430" i="18"/>
  <c r="V430" i="18" s="1"/>
  <c r="T53" i="18"/>
  <c r="U53" i="18" s="1"/>
  <c r="V53" i="18" s="1"/>
  <c r="T52" i="18"/>
  <c r="U52" i="18" s="1"/>
  <c r="V52" i="18" s="1"/>
  <c r="T68" i="18"/>
  <c r="T13" i="18"/>
  <c r="U13" i="18" s="1"/>
  <c r="V13" i="18" s="1"/>
  <c r="T36" i="18"/>
  <c r="W36" i="18" s="1"/>
  <c r="T24" i="18"/>
  <c r="W24" i="18" s="1"/>
  <c r="T35" i="18"/>
  <c r="U35" i="18" s="1"/>
  <c r="V35" i="18" s="1"/>
  <c r="T101" i="18"/>
  <c r="W101" i="18" s="1"/>
  <c r="T61" i="18"/>
  <c r="W61" i="18" s="1"/>
  <c r="T48" i="18"/>
  <c r="U48" i="18" s="1"/>
  <c r="V48" i="18" s="1"/>
  <c r="T50" i="18"/>
  <c r="U50" i="18" s="1"/>
  <c r="V50" i="18" s="1"/>
  <c r="T55" i="18"/>
  <c r="W55" i="18" s="1"/>
  <c r="T45" i="18"/>
  <c r="U45" i="18" s="1"/>
  <c r="V45" i="18" s="1"/>
  <c r="T44" i="18"/>
  <c r="W44" i="18" s="1"/>
  <c r="T88" i="18"/>
  <c r="W88" i="18" s="1"/>
  <c r="T59" i="18"/>
  <c r="W59" i="18" s="1"/>
  <c r="T56" i="18"/>
  <c r="U56" i="18" s="1"/>
  <c r="V56" i="18" s="1"/>
  <c r="T74" i="18"/>
  <c r="W74" i="18" s="1"/>
  <c r="T46" i="18"/>
  <c r="U46" i="18" s="1"/>
  <c r="V46" i="18" s="1"/>
  <c r="T57" i="18"/>
  <c r="U57" i="18" s="1"/>
  <c r="V57" i="18" s="1"/>
  <c r="T67" i="18"/>
  <c r="W67" i="18" s="1"/>
  <c r="T89" i="18"/>
  <c r="U89" i="18" s="1"/>
  <c r="V89" i="18" s="1"/>
  <c r="T58" i="18"/>
  <c r="U58" i="18" s="1"/>
  <c r="V58" i="18" s="1"/>
  <c r="T23" i="18"/>
  <c r="U23" i="18" s="1"/>
  <c r="V23" i="18" s="1"/>
  <c r="T18" i="18"/>
  <c r="U18" i="18" s="1"/>
  <c r="V18" i="18" s="1"/>
  <c r="T42" i="18"/>
  <c r="U42" i="18" s="1"/>
  <c r="V42" i="18" s="1"/>
  <c r="T27" i="18"/>
  <c r="W27" i="18" s="1"/>
  <c r="T12" i="18"/>
  <c r="W12" i="18" s="1"/>
  <c r="T19" i="18"/>
  <c r="W19" i="18" s="1"/>
  <c r="T14" i="18"/>
  <c r="W14" i="18" s="1"/>
  <c r="T37" i="18"/>
  <c r="U37" i="18" s="1"/>
  <c r="V37" i="18" s="1"/>
  <c r="T39" i="18"/>
  <c r="W39" i="18" s="1"/>
  <c r="T33" i="18"/>
  <c r="W33" i="18" s="1"/>
  <c r="T34" i="18"/>
  <c r="W34" i="18" s="1"/>
  <c r="T28" i="18"/>
  <c r="W28" i="18" s="1"/>
  <c r="T31" i="18"/>
  <c r="U31" i="18" s="1"/>
  <c r="V31" i="18" s="1"/>
  <c r="T29" i="18"/>
  <c r="W29" i="18" s="1"/>
  <c r="T30" i="18"/>
  <c r="W30" i="18" s="1"/>
  <c r="T25" i="18"/>
  <c r="W25" i="18" s="1"/>
  <c r="T20" i="18"/>
  <c r="W20" i="18" s="1"/>
  <c r="T15" i="18"/>
  <c r="U15" i="18" s="1"/>
  <c r="V15" i="18" s="1"/>
  <c r="T66" i="18"/>
  <c r="W66" i="18" s="1"/>
  <c r="T51" i="18"/>
  <c r="W51" i="18" s="1"/>
  <c r="T38" i="18"/>
  <c r="W38" i="18" s="1"/>
  <c r="T17" i="18"/>
  <c r="W17" i="18" s="1"/>
  <c r="T60" i="18"/>
  <c r="U60" i="18" s="1"/>
  <c r="V60" i="18" s="1"/>
  <c r="T71" i="18"/>
  <c r="U71" i="18" s="1"/>
  <c r="V71" i="18" s="1"/>
  <c r="T78" i="18"/>
  <c r="U78" i="18" s="1"/>
  <c r="V78" i="18" s="1"/>
  <c r="T81" i="18"/>
  <c r="U81" i="18" s="1"/>
  <c r="V81" i="18" s="1"/>
  <c r="T49" i="18"/>
  <c r="U49" i="18" s="1"/>
  <c r="V49" i="18" s="1"/>
  <c r="T32" i="18"/>
  <c r="U32" i="18" s="1"/>
  <c r="V32" i="18" s="1"/>
  <c r="T22" i="18"/>
  <c r="U22" i="18" s="1"/>
  <c r="V22" i="18" s="1"/>
  <c r="T54" i="18"/>
  <c r="U54" i="18" s="1"/>
  <c r="V54" i="18" s="1"/>
  <c r="T40" i="18"/>
  <c r="U40" i="18" s="1"/>
  <c r="V40" i="18" s="1"/>
  <c r="T26" i="18"/>
  <c r="U26" i="18" s="1"/>
  <c r="V26" i="18" s="1"/>
  <c r="W53" i="18"/>
  <c r="T90" i="18"/>
  <c r="W90" i="18" s="1"/>
  <c r="T64" i="18"/>
  <c r="W64" i="18" s="1"/>
  <c r="T83" i="18"/>
  <c r="W83" i="18" s="1"/>
  <c r="T16" i="18"/>
  <c r="W16" i="18" s="1"/>
  <c r="T41" i="18"/>
  <c r="U41" i="18" s="1"/>
  <c r="V41" i="18" s="1"/>
  <c r="T97" i="18"/>
  <c r="U97" i="18" s="1"/>
  <c r="V97" i="18" s="1"/>
  <c r="T84" i="18"/>
  <c r="W84" i="18" s="1"/>
  <c r="T85" i="18"/>
  <c r="W85" i="18" s="1"/>
  <c r="T86" i="18"/>
  <c r="W86" i="18" s="1"/>
  <c r="T76" i="18"/>
  <c r="W76" i="18" s="1"/>
  <c r="T72" i="18"/>
  <c r="U72" i="18" s="1"/>
  <c r="V72" i="18" s="1"/>
  <c r="T75" i="18"/>
  <c r="W75" i="18" s="1"/>
  <c r="T65" i="18"/>
  <c r="W65" i="18" s="1"/>
  <c r="T80" i="18"/>
  <c r="U80" i="18" s="1"/>
  <c r="V80" i="18" s="1"/>
  <c r="U68" i="18"/>
  <c r="V68" i="18" s="1"/>
  <c r="W68" i="18"/>
  <c r="T79" i="18"/>
  <c r="U79" i="18" s="1"/>
  <c r="V79" i="18" s="1"/>
  <c r="T69" i="18"/>
  <c r="U69" i="18" s="1"/>
  <c r="V69" i="18" s="1"/>
  <c r="T70" i="18"/>
  <c r="U70" i="18" s="1"/>
  <c r="V70" i="18" s="1"/>
  <c r="T107" i="18"/>
  <c r="W107" i="18" s="1"/>
  <c r="T73" i="18"/>
  <c r="U73" i="18" s="1"/>
  <c r="V73" i="18" s="1"/>
  <c r="W71" i="18"/>
  <c r="T87" i="18"/>
  <c r="U87" i="18" s="1"/>
  <c r="V87" i="18" s="1"/>
  <c r="T77" i="18"/>
  <c r="U77" i="18" s="1"/>
  <c r="V77" i="18" s="1"/>
  <c r="T82" i="18"/>
  <c r="W82" i="18" s="1"/>
  <c r="T94" i="18"/>
  <c r="U94" i="18" s="1"/>
  <c r="V94" i="18" s="1"/>
  <c r="T93" i="18"/>
  <c r="U93" i="18" s="1"/>
  <c r="V93" i="18" s="1"/>
  <c r="T96" i="18"/>
  <c r="W96" i="18" s="1"/>
  <c r="T91" i="18"/>
  <c r="W91" i="18" s="1"/>
  <c r="T105" i="18"/>
  <c r="W105" i="18" s="1"/>
  <c r="T95" i="18"/>
  <c r="W95" i="18" s="1"/>
  <c r="T98" i="18"/>
  <c r="U98" i="18" s="1"/>
  <c r="V98" i="18" s="1"/>
  <c r="T92" i="18"/>
  <c r="W92" i="18" s="1"/>
  <c r="T99" i="18"/>
  <c r="U99" i="18" s="1"/>
  <c r="V99" i="18" s="1"/>
  <c r="T102" i="18"/>
  <c r="W102" i="18" s="1"/>
  <c r="T106" i="18"/>
  <c r="W106" i="18" s="1"/>
  <c r="T100" i="18"/>
  <c r="W100" i="18" s="1"/>
  <c r="T104" i="18"/>
  <c r="W104" i="18" s="1"/>
  <c r="T103" i="18"/>
  <c r="W103" i="18" s="1"/>
  <c r="T108" i="18"/>
  <c r="W108" i="18" s="1"/>
  <c r="T10" i="18"/>
  <c r="U10" i="18" s="1"/>
  <c r="V10" i="18" s="1"/>
  <c r="T111" i="18"/>
  <c r="U111" i="18" s="1"/>
  <c r="V111" i="18" s="1"/>
  <c r="T112" i="18"/>
  <c r="W112" i="18" s="1"/>
  <c r="T115" i="18"/>
  <c r="U115" i="18" s="1"/>
  <c r="V115" i="18" s="1"/>
  <c r="T110" i="18"/>
  <c r="W110" i="18" s="1"/>
  <c r="T109" i="18"/>
  <c r="W109" i="18" s="1"/>
  <c r="T11" i="18"/>
  <c r="W11" i="18" s="1"/>
  <c r="T113" i="18"/>
  <c r="W113" i="18" s="1"/>
  <c r="T114" i="18"/>
  <c r="U114" i="18" s="1"/>
  <c r="V114" i="18" s="1"/>
  <c r="T450" i="18"/>
  <c r="W450" i="18" s="1"/>
  <c r="U361" i="18" l="1"/>
  <c r="V361" i="18" s="1"/>
  <c r="U140" i="18"/>
  <c r="V140" i="18" s="1"/>
  <c r="U335" i="18"/>
  <c r="V335" i="18" s="1"/>
  <c r="U171" i="18"/>
  <c r="V171" i="18" s="1"/>
  <c r="W256" i="18"/>
  <c r="W126" i="18"/>
  <c r="U339" i="18"/>
  <c r="V339" i="18" s="1"/>
  <c r="U164" i="18"/>
  <c r="V164" i="18" s="1"/>
  <c r="U362" i="18"/>
  <c r="V362" i="18" s="1"/>
  <c r="U419" i="18"/>
  <c r="V419" i="18" s="1"/>
  <c r="U262" i="18"/>
  <c r="V262" i="18" s="1"/>
  <c r="W302" i="18"/>
  <c r="W161" i="18"/>
  <c r="U196" i="18"/>
  <c r="V196" i="18" s="1"/>
  <c r="U152" i="18"/>
  <c r="V152" i="18" s="1"/>
  <c r="U266" i="18"/>
  <c r="V266" i="18" s="1"/>
  <c r="U250" i="18"/>
  <c r="V250" i="18" s="1"/>
  <c r="U224" i="18"/>
  <c r="V224" i="18" s="1"/>
  <c r="U342" i="18"/>
  <c r="V342" i="18" s="1"/>
  <c r="U392" i="18"/>
  <c r="V392" i="18" s="1"/>
  <c r="U277" i="18"/>
  <c r="V277" i="18" s="1"/>
  <c r="U128" i="18"/>
  <c r="V128" i="18" s="1"/>
  <c r="U345" i="18"/>
  <c r="V345" i="18" s="1"/>
  <c r="U374" i="18"/>
  <c r="V374" i="18" s="1"/>
  <c r="U121" i="18"/>
  <c r="V121" i="18" s="1"/>
  <c r="U227" i="18"/>
  <c r="V227" i="18" s="1"/>
  <c r="W214" i="18"/>
  <c r="W240" i="18"/>
  <c r="U404" i="18"/>
  <c r="V404" i="18" s="1"/>
  <c r="U426" i="18"/>
  <c r="V426" i="18" s="1"/>
  <c r="U330" i="18"/>
  <c r="V330" i="18" s="1"/>
  <c r="U446" i="18"/>
  <c r="V446" i="18" s="1"/>
  <c r="U341" i="18"/>
  <c r="V341" i="18" s="1"/>
  <c r="U118" i="18"/>
  <c r="V118" i="18" s="1"/>
  <c r="U252" i="18"/>
  <c r="V252" i="18" s="1"/>
  <c r="U231" i="18"/>
  <c r="V231" i="18" s="1"/>
  <c r="W444" i="18"/>
  <c r="W395" i="18"/>
  <c r="U449" i="18"/>
  <c r="V449" i="18" s="1"/>
  <c r="U141" i="18"/>
  <c r="V141" i="18" s="1"/>
  <c r="U166" i="18"/>
  <c r="V166" i="18" s="1"/>
  <c r="U244" i="18"/>
  <c r="V244" i="18" s="1"/>
  <c r="U417" i="18"/>
  <c r="V417" i="18" s="1"/>
  <c r="U167" i="18"/>
  <c r="V167" i="18" s="1"/>
  <c r="U186" i="18"/>
  <c r="V186" i="18" s="1"/>
  <c r="W396" i="18"/>
  <c r="U356" i="18"/>
  <c r="V356" i="18" s="1"/>
  <c r="U260" i="18"/>
  <c r="V260" i="18" s="1"/>
  <c r="U275" i="18"/>
  <c r="V275" i="18" s="1"/>
  <c r="U165" i="18"/>
  <c r="V165" i="18" s="1"/>
  <c r="U314" i="18"/>
  <c r="V314" i="18" s="1"/>
  <c r="U421" i="18"/>
  <c r="V421" i="18" s="1"/>
  <c r="U138" i="18"/>
  <c r="V138" i="18" s="1"/>
  <c r="W242" i="18"/>
  <c r="U120" i="18"/>
  <c r="V120" i="18" s="1"/>
  <c r="U218" i="18"/>
  <c r="V218" i="18" s="1"/>
  <c r="W294" i="18"/>
  <c r="W63" i="18"/>
  <c r="U287" i="18"/>
  <c r="V287" i="18" s="1"/>
  <c r="U293" i="18"/>
  <c r="V293" i="18" s="1"/>
  <c r="U429" i="18"/>
  <c r="V429" i="18" s="1"/>
  <c r="W285" i="18"/>
  <c r="W399" i="18"/>
  <c r="U360" i="18"/>
  <c r="V360" i="18" s="1"/>
  <c r="U189" i="18"/>
  <c r="V189" i="18" s="1"/>
  <c r="W448" i="18"/>
  <c r="U269" i="18"/>
  <c r="V269" i="18" s="1"/>
  <c r="W52" i="18"/>
  <c r="U315" i="18"/>
  <c r="V315" i="18" s="1"/>
  <c r="U433" i="18"/>
  <c r="V433" i="18" s="1"/>
  <c r="U312" i="18"/>
  <c r="V312" i="18" s="1"/>
  <c r="U74" i="18"/>
  <c r="V74" i="18" s="1"/>
  <c r="U163" i="18"/>
  <c r="V163" i="18" s="1"/>
  <c r="U303" i="18"/>
  <c r="V303" i="18" s="1"/>
  <c r="W46" i="18"/>
  <c r="U206" i="18"/>
  <c r="V206" i="18" s="1"/>
  <c r="W195" i="18"/>
  <c r="U428" i="18"/>
  <c r="V428" i="18" s="1"/>
  <c r="W194" i="18"/>
  <c r="U424" i="18"/>
  <c r="V424" i="18" s="1"/>
  <c r="W290" i="18"/>
  <c r="W412" i="18"/>
  <c r="U398" i="18"/>
  <c r="V398" i="18" s="1"/>
  <c r="U393" i="18"/>
  <c r="V393" i="18" s="1"/>
  <c r="W408" i="18"/>
  <c r="W406" i="18"/>
  <c r="U400" i="18"/>
  <c r="V400" i="18" s="1"/>
  <c r="U307" i="18"/>
  <c r="V307" i="18" s="1"/>
  <c r="W308" i="18"/>
  <c r="U331" i="18"/>
  <c r="V331" i="18" s="1"/>
  <c r="U344" i="18"/>
  <c r="V344" i="18" s="1"/>
  <c r="U343" i="18"/>
  <c r="V343" i="18" s="1"/>
  <c r="U373" i="18"/>
  <c r="V373" i="18" s="1"/>
  <c r="W363" i="18"/>
  <c r="U370" i="18"/>
  <c r="V370" i="18" s="1"/>
  <c r="U357" i="18"/>
  <c r="V357" i="18" s="1"/>
  <c r="W359" i="18"/>
  <c r="U340" i="18"/>
  <c r="V340" i="18" s="1"/>
  <c r="U379" i="18"/>
  <c r="V379" i="18" s="1"/>
  <c r="U321" i="18"/>
  <c r="V321" i="18" s="1"/>
  <c r="U381" i="18"/>
  <c r="V381" i="18" s="1"/>
  <c r="U334" i="18"/>
  <c r="V334" i="18" s="1"/>
  <c r="W369" i="18"/>
  <c r="U328" i="18"/>
  <c r="V328" i="18" s="1"/>
  <c r="U364" i="18"/>
  <c r="V364" i="18" s="1"/>
  <c r="U327" i="18"/>
  <c r="V327" i="18" s="1"/>
  <c r="W348" i="18"/>
  <c r="U317" i="18"/>
  <c r="V317" i="18" s="1"/>
  <c r="W354" i="18"/>
  <c r="U386" i="18"/>
  <c r="V386" i="18" s="1"/>
  <c r="U377" i="18"/>
  <c r="V377" i="18" s="1"/>
  <c r="W368" i="18"/>
  <c r="U371" i="18"/>
  <c r="V371" i="18" s="1"/>
  <c r="U318" i="18"/>
  <c r="V318" i="18" s="1"/>
  <c r="U355" i="18"/>
  <c r="V355" i="18" s="1"/>
  <c r="U320" i="18"/>
  <c r="V320" i="18" s="1"/>
  <c r="U352" i="18"/>
  <c r="V352" i="18" s="1"/>
  <c r="U313" i="18"/>
  <c r="V313" i="18" s="1"/>
  <c r="U295" i="18"/>
  <c r="V295" i="18" s="1"/>
  <c r="U291" i="18"/>
  <c r="V291" i="18" s="1"/>
  <c r="U264" i="18"/>
  <c r="V264" i="18" s="1"/>
  <c r="U273" i="18"/>
  <c r="V273" i="18" s="1"/>
  <c r="W271" i="18"/>
  <c r="U261" i="18"/>
  <c r="V261" i="18" s="1"/>
  <c r="U267" i="18"/>
  <c r="V267" i="18" s="1"/>
  <c r="U241" i="18"/>
  <c r="V241" i="18" s="1"/>
  <c r="W205" i="18"/>
  <c r="U235" i="18"/>
  <c r="V235" i="18" s="1"/>
  <c r="W203" i="18"/>
  <c r="U208" i="18"/>
  <c r="V208" i="18" s="1"/>
  <c r="U213" i="18"/>
  <c r="V213" i="18" s="1"/>
  <c r="U216" i="18"/>
  <c r="V216" i="18" s="1"/>
  <c r="U237" i="18"/>
  <c r="V237" i="18" s="1"/>
  <c r="U236" i="18"/>
  <c r="V236" i="18" s="1"/>
  <c r="U215" i="18"/>
  <c r="V215" i="18" s="1"/>
  <c r="U200" i="18"/>
  <c r="V200" i="18" s="1"/>
  <c r="W198" i="18"/>
  <c r="U197" i="18"/>
  <c r="V197" i="18" s="1"/>
  <c r="U305" i="18"/>
  <c r="V305" i="18" s="1"/>
  <c r="U281" i="18"/>
  <c r="V281" i="18" s="1"/>
  <c r="U270" i="18"/>
  <c r="V270" i="18" s="1"/>
  <c r="U210" i="18"/>
  <c r="V210" i="18" s="1"/>
  <c r="U211" i="18"/>
  <c r="V211" i="18" s="1"/>
  <c r="U226" i="18"/>
  <c r="V226" i="18" s="1"/>
  <c r="U232" i="18"/>
  <c r="V232" i="18" s="1"/>
  <c r="U239" i="18"/>
  <c r="V239" i="18" s="1"/>
  <c r="U199" i="18"/>
  <c r="V199" i="18" s="1"/>
  <c r="U217" i="18"/>
  <c r="V217" i="18" s="1"/>
  <c r="U219" i="18"/>
  <c r="V219" i="18" s="1"/>
  <c r="U222" i="18"/>
  <c r="V222" i="18" s="1"/>
  <c r="U229" i="18"/>
  <c r="V229" i="18" s="1"/>
  <c r="U59" i="18"/>
  <c r="V59" i="18" s="1"/>
  <c r="W50" i="18"/>
  <c r="U192" i="18"/>
  <c r="V192" i="18" s="1"/>
  <c r="U177" i="18"/>
  <c r="V177" i="18" s="1"/>
  <c r="W175" i="18"/>
  <c r="U38" i="18"/>
  <c r="V38" i="18" s="1"/>
  <c r="W35" i="18"/>
  <c r="U101" i="18"/>
  <c r="V101" i="18" s="1"/>
  <c r="W48" i="18"/>
  <c r="W56" i="18"/>
  <c r="U47" i="18"/>
  <c r="V47" i="18" s="1"/>
  <c r="U62" i="18"/>
  <c r="V62" i="18" s="1"/>
  <c r="W23" i="18"/>
  <c r="W13" i="18"/>
  <c r="U191" i="18"/>
  <c r="V191" i="18" s="1"/>
  <c r="W42" i="18"/>
  <c r="U55" i="18"/>
  <c r="V55" i="18" s="1"/>
  <c r="U148" i="18"/>
  <c r="V148" i="18" s="1"/>
  <c r="U127" i="18"/>
  <c r="V127" i="18" s="1"/>
  <c r="W155" i="18"/>
  <c r="U162" i="18"/>
  <c r="V162" i="18" s="1"/>
  <c r="W131" i="18"/>
  <c r="U33" i="18"/>
  <c r="V33" i="18" s="1"/>
  <c r="U168" i="18"/>
  <c r="V168" i="18" s="1"/>
  <c r="W153" i="18"/>
  <c r="W137" i="18"/>
  <c r="W159" i="18"/>
  <c r="U125" i="18"/>
  <c r="V125" i="18" s="1"/>
  <c r="U132" i="18"/>
  <c r="V132" i="18" s="1"/>
  <c r="U157" i="18"/>
  <c r="V157" i="18" s="1"/>
  <c r="U142" i="18"/>
  <c r="V142" i="18" s="1"/>
  <c r="U133" i="18"/>
  <c r="V133" i="18" s="1"/>
  <c r="W18" i="18"/>
  <c r="W21" i="18"/>
  <c r="W280" i="18"/>
  <c r="U311" i="18"/>
  <c r="V311" i="18" s="1"/>
  <c r="U376" i="18"/>
  <c r="V376" i="18" s="1"/>
  <c r="W332" i="18"/>
  <c r="U116" i="18"/>
  <c r="V116" i="18" s="1"/>
  <c r="U66" i="18"/>
  <c r="V66" i="18" s="1"/>
  <c r="U259" i="18"/>
  <c r="V259" i="18" s="1"/>
  <c r="U333" i="18"/>
  <c r="V333" i="18" s="1"/>
  <c r="W145" i="18"/>
  <c r="U184" i="18"/>
  <c r="V184" i="18" s="1"/>
  <c r="U387" i="18"/>
  <c r="V387" i="18" s="1"/>
  <c r="W394" i="18"/>
  <c r="W336" i="18"/>
  <c r="U20" i="18"/>
  <c r="V20" i="18" s="1"/>
  <c r="U292" i="18"/>
  <c r="V292" i="18" s="1"/>
  <c r="U310" i="18"/>
  <c r="V310" i="18" s="1"/>
  <c r="U225" i="18"/>
  <c r="V225" i="18" s="1"/>
  <c r="W245" i="18"/>
  <c r="U283" i="18"/>
  <c r="V283" i="18" s="1"/>
  <c r="U390" i="18"/>
  <c r="V390" i="18" s="1"/>
  <c r="W230" i="18"/>
  <c r="W134" i="18"/>
  <c r="U346" i="18"/>
  <c r="V346" i="18" s="1"/>
  <c r="W385" i="18"/>
  <c r="W22" i="18"/>
  <c r="U151" i="18"/>
  <c r="V151" i="18" s="1"/>
  <c r="U306" i="18"/>
  <c r="V306" i="18" s="1"/>
  <c r="W323" i="18"/>
  <c r="W149" i="18"/>
  <c r="U44" i="18"/>
  <c r="V44" i="18" s="1"/>
  <c r="U36" i="18"/>
  <c r="V36" i="18" s="1"/>
  <c r="U439" i="18"/>
  <c r="V439" i="18" s="1"/>
  <c r="U193" i="18"/>
  <c r="V193" i="18" s="1"/>
  <c r="W158" i="18"/>
  <c r="W326" i="18"/>
  <c r="U43" i="18"/>
  <c r="V43" i="18" s="1"/>
  <c r="U61" i="18"/>
  <c r="V61" i="18" s="1"/>
  <c r="W58" i="18"/>
  <c r="U14" i="18"/>
  <c r="V14" i="18" s="1"/>
  <c r="U247" i="18"/>
  <c r="V247" i="18" s="1"/>
  <c r="U160" i="18"/>
  <c r="V160" i="18" s="1"/>
  <c r="W119" i="18"/>
  <c r="W45" i="18"/>
  <c r="U180" i="18"/>
  <c r="V180" i="18" s="1"/>
  <c r="U324" i="18"/>
  <c r="V324" i="18" s="1"/>
  <c r="U24" i="18"/>
  <c r="V24" i="18" s="1"/>
  <c r="W384" i="18"/>
  <c r="W89" i="18"/>
  <c r="U29" i="18"/>
  <c r="V29" i="18" s="1"/>
  <c r="W97" i="18"/>
  <c r="U88" i="18"/>
  <c r="V88" i="18" s="1"/>
  <c r="U64" i="18"/>
  <c r="V64" i="18" s="1"/>
  <c r="U28" i="18"/>
  <c r="V28" i="18" s="1"/>
  <c r="W73" i="18"/>
  <c r="U12" i="18"/>
  <c r="V12" i="18" s="1"/>
  <c r="W94" i="18"/>
  <c r="U67" i="18"/>
  <c r="V67" i="18" s="1"/>
  <c r="W57" i="18"/>
  <c r="W78" i="18"/>
  <c r="W77" i="18"/>
  <c r="W54" i="18"/>
  <c r="U51" i="18"/>
  <c r="V51" i="18" s="1"/>
  <c r="W80" i="18"/>
  <c r="U19" i="18"/>
  <c r="V19" i="18" s="1"/>
  <c r="U17" i="18"/>
  <c r="V17" i="18" s="1"/>
  <c r="W37" i="18"/>
  <c r="W41" i="18"/>
  <c r="U27" i="18"/>
  <c r="V27" i="18" s="1"/>
  <c r="U34" i="18"/>
  <c r="V34" i="18" s="1"/>
  <c r="W31" i="18"/>
  <c r="W15" i="18"/>
  <c r="U39" i="18"/>
  <c r="V39" i="18" s="1"/>
  <c r="U30" i="18"/>
  <c r="V30" i="18" s="1"/>
  <c r="W32" i="18"/>
  <c r="U25" i="18"/>
  <c r="V25" i="18" s="1"/>
  <c r="U90" i="18"/>
  <c r="V90" i="18" s="1"/>
  <c r="U83" i="18"/>
  <c r="V83" i="18" s="1"/>
  <c r="W26" i="18"/>
  <c r="W40" i="18"/>
  <c r="W79" i="18"/>
  <c r="W81" i="18"/>
  <c r="U16" i="18"/>
  <c r="V16" i="18" s="1"/>
  <c r="W93" i="18"/>
  <c r="W69" i="18"/>
  <c r="W72" i="18"/>
  <c r="W49" i="18"/>
  <c r="W60" i="18"/>
  <c r="W70" i="18"/>
  <c r="W98" i="18"/>
  <c r="U85" i="18"/>
  <c r="V85" i="18" s="1"/>
  <c r="U106" i="18"/>
  <c r="V106" i="18" s="1"/>
  <c r="U82" i="18"/>
  <c r="V82" i="18" s="1"/>
  <c r="U105" i="18"/>
  <c r="V105" i="18" s="1"/>
  <c r="U65" i="18"/>
  <c r="V65" i="18" s="1"/>
  <c r="U86" i="18"/>
  <c r="V86" i="18" s="1"/>
  <c r="U75" i="18"/>
  <c r="V75" i="18" s="1"/>
  <c r="U91" i="18"/>
  <c r="V91" i="18" s="1"/>
  <c r="W87" i="18"/>
  <c r="U84" i="18"/>
  <c r="V84" i="18" s="1"/>
  <c r="U76" i="18"/>
  <c r="V76" i="18" s="1"/>
  <c r="U107" i="18"/>
  <c r="V107" i="18" s="1"/>
  <c r="U95" i="18"/>
  <c r="V95" i="18" s="1"/>
  <c r="U92" i="18"/>
  <c r="V92" i="18" s="1"/>
  <c r="U102" i="18"/>
  <c r="V102" i="18" s="1"/>
  <c r="U104" i="18"/>
  <c r="V104" i="18" s="1"/>
  <c r="U103" i="18"/>
  <c r="V103" i="18" s="1"/>
  <c r="U96" i="18"/>
  <c r="V96" i="18" s="1"/>
  <c r="W99" i="18"/>
  <c r="U100" i="18"/>
  <c r="V100" i="18" s="1"/>
  <c r="U108" i="18"/>
  <c r="V108" i="18" s="1"/>
  <c r="U11" i="18"/>
  <c r="V11" i="18" s="1"/>
  <c r="U110" i="18"/>
  <c r="V110" i="18" s="1"/>
  <c r="W10" i="18"/>
  <c r="W111" i="18"/>
  <c r="U109" i="18"/>
  <c r="V109" i="18" s="1"/>
  <c r="W115" i="18"/>
  <c r="U112" i="18"/>
  <c r="V112" i="18" s="1"/>
  <c r="U113" i="18"/>
  <c r="V113" i="18" s="1"/>
  <c r="W114" i="18"/>
  <c r="U450" i="18"/>
  <c r="V450" i="18" s="1"/>
  <c r="Q34" i="17"/>
  <c r="U34" i="17"/>
  <c r="T34" i="17"/>
  <c r="S34" i="17"/>
  <c r="R34" i="17"/>
  <c r="U23" i="17"/>
  <c r="P34" i="17" l="1"/>
  <c r="V34" i="17"/>
  <c r="Y34" i="17" l="1"/>
  <c r="U35" i="17" s="1"/>
  <c r="T35" i="17" l="1"/>
  <c r="Q35" i="17"/>
  <c r="W35" i="17"/>
  <c r="R35" i="17"/>
  <c r="S35" i="17"/>
  <c r="V35" i="17"/>
  <c r="X35" i="17"/>
  <c r="P35" i="17"/>
  <c r="A1" i="18"/>
  <c r="Y35" i="17" l="1"/>
  <c r="F29" i="17" l="1"/>
  <c r="E29" i="17"/>
  <c r="D29" i="17"/>
  <c r="S3" i="18"/>
  <c r="S4" i="18" s="1"/>
  <c r="S5" i="18" s="1"/>
  <c r="I23" i="17"/>
  <c r="E34" i="17"/>
  <c r="F34" i="17"/>
  <c r="G34" i="17"/>
  <c r="H34" i="17"/>
  <c r="I34" i="17"/>
  <c r="H29" i="17" l="1"/>
  <c r="D34" i="17"/>
  <c r="J34" i="17"/>
  <c r="M34" i="17" l="1"/>
  <c r="E35" i="17" s="1"/>
  <c r="K35" i="17" l="1"/>
  <c r="J35" i="17"/>
  <c r="D35" i="17"/>
  <c r="F35" i="17"/>
  <c r="G35" i="17"/>
  <c r="H35" i="17"/>
  <c r="I35" i="17"/>
  <c r="L35" i="17"/>
  <c r="K2" i="18" l="1"/>
  <c r="M35" i="17"/>
  <c r="J2" i="18" l="1"/>
  <c r="J3" i="18" s="1"/>
  <c r="O2" i="18"/>
  <c r="O3" i="18" s="1"/>
  <c r="N2" i="18"/>
  <c r="N3" i="18" s="1"/>
  <c r="Q2" i="18"/>
  <c r="Q3" i="18" s="1"/>
  <c r="P2" i="18"/>
  <c r="P3" i="18" s="1"/>
  <c r="R2" i="18"/>
  <c r="R3" i="18" s="1"/>
  <c r="R4" i="18" s="1"/>
  <c r="G17" i="19" s="1"/>
  <c r="L2" i="18"/>
  <c r="L3" i="18" s="1"/>
  <c r="M2" i="18"/>
  <c r="M3" i="18" s="1"/>
  <c r="K3" i="18"/>
  <c r="T2" i="18" l="1"/>
  <c r="P4" i="18"/>
  <c r="Q4" i="18"/>
  <c r="R5" i="18"/>
  <c r="L4" i="18"/>
  <c r="K4" i="18"/>
  <c r="O4" i="18"/>
  <c r="N4" i="18"/>
  <c r="M4" i="18"/>
  <c r="J4" i="18"/>
  <c r="G13" i="19" l="1"/>
  <c r="G16" i="19"/>
  <c r="G10" i="19"/>
  <c r="G11" i="19"/>
  <c r="G15" i="19"/>
  <c r="G12" i="19"/>
  <c r="G14" i="19"/>
  <c r="P14" i="19" s="1"/>
  <c r="I17" i="19"/>
  <c r="P5" i="18"/>
  <c r="Q5" i="18"/>
  <c r="M5" i="18"/>
  <c r="L5" i="18"/>
  <c r="O5" i="18"/>
  <c r="N5" i="18"/>
  <c r="K5" i="18"/>
  <c r="T4" i="18"/>
  <c r="G19" i="19" s="1"/>
  <c r="U2" i="18"/>
  <c r="T3" i="18"/>
  <c r="U3" i="18" s="1"/>
  <c r="J5" i="18"/>
  <c r="I9" i="19" l="1"/>
  <c r="P19" i="19"/>
  <c r="P12" i="19"/>
  <c r="I10" i="19"/>
  <c r="P15" i="19"/>
  <c r="P16" i="19"/>
  <c r="I11" i="19"/>
  <c r="I13" i="19"/>
  <c r="I16" i="19"/>
  <c r="I12" i="19"/>
  <c r="I15" i="19"/>
  <c r="I19" i="19"/>
  <c r="I14" i="19"/>
  <c r="T5" i="18"/>
  <c r="U4" i="18"/>
  <c r="P13" i="19" l="1"/>
  <c r="P10" i="19"/>
  <c r="P11" i="19"/>
  <c r="P9" i="19"/>
  <c r="F5" i="19"/>
  <c r="C5" i="19"/>
  <c r="C16" i="19" s="1"/>
  <c r="U5" i="18"/>
  <c r="M5" i="19" l="1"/>
  <c r="D4" i="18"/>
  <c r="C12" i="19"/>
  <c r="C15" i="19"/>
  <c r="C14" i="19"/>
  <c r="C10" i="19"/>
  <c r="C13" i="19"/>
  <c r="C11" i="19"/>
  <c r="C9" i="19"/>
</calcChain>
</file>

<file path=xl/comments1.xml><?xml version="1.0" encoding="utf-8"?>
<comments xmlns="http://schemas.openxmlformats.org/spreadsheetml/2006/main">
  <authors>
    <author>福田 一希</author>
  </authors>
  <commentList>
    <comment ref="N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既設システムの再構築のため、
業務ヒアリングは不要
主な作業はWeb化にあたるシステムアーキテクチャや性能、セキュリティなどの非機能要件がメイン
※前回更新時に断捨離は実施
➡元々の３０人月は不要
</t>
        </r>
      </text>
    </comment>
    <comment ref="N1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既存設計書をある程度、流用可能
.Net→Javaの違いによる部分は変更が必要
※厳密にはもっと減らせる余地あり
</t>
        </r>
      </text>
    </comment>
    <comment ref="N1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テスト仕様書もある程度流用可能
※厳密には減らせるがあまり減らしたくはない
</t>
        </r>
      </text>
    </comment>
  </commentList>
</comments>
</file>

<file path=xl/sharedStrings.xml><?xml version="1.0" encoding="utf-8"?>
<sst xmlns="http://schemas.openxmlformats.org/spreadsheetml/2006/main" count="8956" uniqueCount="2177">
  <si>
    <t>合計（人日）</t>
    <rPh sb="0" eb="2">
      <t>ゴウケイ</t>
    </rPh>
    <rPh sb="3" eb="4">
      <t>ニン</t>
    </rPh>
    <rPh sb="4" eb="5">
      <t>ニチ</t>
    </rPh>
    <phoneticPr fontId="1"/>
  </si>
  <si>
    <t>合計（人月）</t>
    <rPh sb="0" eb="2">
      <t>ゴウケイ</t>
    </rPh>
    <rPh sb="3" eb="5">
      <t>ニンゲツ</t>
    </rPh>
    <phoneticPr fontId="1"/>
  </si>
  <si>
    <t>難易度</t>
    <rPh sb="0" eb="3">
      <t>ナンイド</t>
    </rPh>
    <phoneticPr fontId="1"/>
  </si>
  <si>
    <t>特高</t>
    <rPh sb="0" eb="1">
      <t>トク</t>
    </rPh>
    <rPh sb="1" eb="2">
      <t>コウ</t>
    </rPh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</si>
  <si>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</si>
  <si>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</si>
  <si>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低</t>
    <rPh sb="0" eb="1">
      <t>テイ</t>
    </rPh>
    <phoneticPr fontId="1"/>
  </si>
  <si>
    <t>結合テスト</t>
    <rPh sb="0" eb="2">
      <t>ケツゴウ</t>
    </rPh>
    <phoneticPr fontId="1"/>
  </si>
  <si>
    <t>特低</t>
    <rPh sb="0" eb="1">
      <t>トク</t>
    </rPh>
    <rPh sb="1" eb="2">
      <t>テイ</t>
    </rPh>
    <phoneticPr fontId="1"/>
  </si>
  <si>
    <t>備考</t>
    <rPh sb="0" eb="2">
      <t>ビコウ</t>
    </rPh>
    <phoneticPr fontId="1"/>
  </si>
  <si>
    <t>登録</t>
    <rPh sb="0" eb="2">
      <t>トウロク</t>
    </rPh>
    <phoneticPr fontId="1"/>
  </si>
  <si>
    <t>参照</t>
    <rPh sb="0" eb="2">
      <t>サンショウ</t>
    </rPh>
    <phoneticPr fontId="1"/>
  </si>
  <si>
    <t>項目数</t>
    <rPh sb="0" eb="3">
      <t>コウモクスウ</t>
    </rPh>
    <phoneticPr fontId="1"/>
  </si>
  <si>
    <t>金額</t>
    <rPh sb="0" eb="2">
      <t>キンガク</t>
    </rPh>
    <phoneticPr fontId="1"/>
  </si>
  <si>
    <t>総合テスト</t>
    <rPh sb="0" eb="2">
      <t>ソウゴウ</t>
    </rPh>
    <phoneticPr fontId="1"/>
  </si>
  <si>
    <t>その他</t>
    <rPh sb="2" eb="3">
      <t>タ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</si>
  <si>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</si>
  <si>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</si>
  <si>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</si>
  <si>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分類</t>
    <rPh sb="0" eb="2">
      <t>ブンルイ</t>
    </rPh>
    <phoneticPr fontId="1"/>
  </si>
  <si>
    <t>項目</t>
    <rPh sb="0" eb="2">
      <t>コウモク</t>
    </rPh>
    <phoneticPr fontId="1"/>
  </si>
  <si>
    <t>No,</t>
    <phoneticPr fontId="1"/>
  </si>
  <si>
    <t>工程</t>
    <rPh sb="0" eb="2">
      <t>コウテイ</t>
    </rPh>
    <phoneticPr fontId="1"/>
  </si>
  <si>
    <t>製作</t>
    <rPh sb="0" eb="2">
      <t>セイサク</t>
    </rPh>
    <phoneticPr fontId="1"/>
  </si>
  <si>
    <t>移行切替</t>
    <rPh sb="0" eb="2">
      <t>イコウ</t>
    </rPh>
    <rPh sb="2" eb="4">
      <t>キリカエ</t>
    </rPh>
    <phoneticPr fontId="1"/>
  </si>
  <si>
    <t>計</t>
    <rPh sb="0" eb="1">
      <t>ケイ</t>
    </rPh>
    <phoneticPr fontId="1"/>
  </si>
  <si>
    <t>5工程基準</t>
    <rPh sb="1" eb="3">
      <t>コウテイ</t>
    </rPh>
    <rPh sb="3" eb="5">
      <t>キジュン</t>
    </rPh>
    <phoneticPr fontId="1"/>
  </si>
  <si>
    <t>全体比率</t>
    <rPh sb="0" eb="2">
      <t>ゼンタイ</t>
    </rPh>
    <rPh sb="2" eb="4">
      <t>ヒリツ</t>
    </rPh>
    <phoneticPr fontId="1"/>
  </si>
  <si>
    <t>画面</t>
    <rPh sb="0" eb="2">
      <t>ガメン</t>
    </rPh>
    <phoneticPr fontId="1"/>
  </si>
  <si>
    <t>帳票</t>
    <rPh sb="0" eb="2">
      <t>チョウヒョウ</t>
    </rPh>
    <phoneticPr fontId="1"/>
  </si>
  <si>
    <t>バッチ</t>
    <phoneticPr fontId="1"/>
  </si>
  <si>
    <t>工数比率</t>
    <rPh sb="0" eb="2">
      <t>コウスウ</t>
    </rPh>
    <rPh sb="2" eb="4">
      <t>ヒリツ</t>
    </rPh>
    <phoneticPr fontId="1"/>
  </si>
  <si>
    <t>調整</t>
    <rPh sb="0" eb="2">
      <t>チョウセイ</t>
    </rPh>
    <phoneticPr fontId="1"/>
  </si>
  <si>
    <t>種別</t>
    <rPh sb="0" eb="2">
      <t>シュベツ</t>
    </rPh>
    <phoneticPr fontId="1"/>
  </si>
  <si>
    <t>積算基準</t>
    <rPh sb="0" eb="2">
      <t>セキサン</t>
    </rPh>
    <rPh sb="2" eb="4">
      <t>キジュン</t>
    </rPh>
    <phoneticPr fontId="1"/>
  </si>
  <si>
    <t>２．難易度の判断基準は、項目数により、区別する。</t>
    <rPh sb="2" eb="5">
      <t>ナンイド</t>
    </rPh>
    <rPh sb="6" eb="8">
      <t>ハンダン</t>
    </rPh>
    <rPh sb="8" eb="10">
      <t>キジュン</t>
    </rPh>
    <rPh sb="12" eb="14">
      <t>コウモク</t>
    </rPh>
    <rPh sb="14" eb="15">
      <t>スウ</t>
    </rPh>
    <rPh sb="19" eb="21">
      <t>クベツ</t>
    </rPh>
    <phoneticPr fontId="1"/>
  </si>
  <si>
    <t>難易度判定：基準項目数</t>
    <rPh sb="0" eb="3">
      <t>ナンイド</t>
    </rPh>
    <rPh sb="3" eb="5">
      <t>ハンテイ</t>
    </rPh>
    <rPh sb="6" eb="8">
      <t>キジュン</t>
    </rPh>
    <rPh sb="8" eb="11">
      <t>コウモクスウ</t>
    </rPh>
    <phoneticPr fontId="1"/>
  </si>
  <si>
    <t>３．IPA発行「ソフトウェア開発データ白書」に基づく、各工程の工数比率を使用する。</t>
    <rPh sb="5" eb="7">
      <t>ハッコウ</t>
    </rPh>
    <rPh sb="14" eb="16">
      <t>カイハツ</t>
    </rPh>
    <rPh sb="19" eb="21">
      <t>ハクショ</t>
    </rPh>
    <rPh sb="23" eb="24">
      <t>モト</t>
    </rPh>
    <rPh sb="27" eb="28">
      <t>カク</t>
    </rPh>
    <rPh sb="28" eb="30">
      <t>コウテイ</t>
    </rPh>
    <rPh sb="31" eb="33">
      <t>コウスウ</t>
    </rPh>
    <rPh sb="33" eb="35">
      <t>ヒリツ</t>
    </rPh>
    <rPh sb="36" eb="38">
      <t>シヨウ</t>
    </rPh>
    <phoneticPr fontId="1"/>
  </si>
  <si>
    <t>４．難易度「中」の基本設計～システムテストまでの標準工数を以下とする。</t>
    <rPh sb="2" eb="5">
      <t>ナンイド</t>
    </rPh>
    <rPh sb="6" eb="7">
      <t>チュウ</t>
    </rPh>
    <rPh sb="9" eb="11">
      <t>キホン</t>
    </rPh>
    <rPh sb="11" eb="13">
      <t>セッケイ</t>
    </rPh>
    <rPh sb="29" eb="31">
      <t>イカ</t>
    </rPh>
    <phoneticPr fontId="1"/>
  </si>
  <si>
    <t>標準工数（JUASソフトウェアメトリックス調査より）</t>
    <rPh sb="0" eb="2">
      <t>ヒョウジュン</t>
    </rPh>
    <rPh sb="2" eb="4">
      <t>コウスウ</t>
    </rPh>
    <rPh sb="21" eb="23">
      <t>チョウサ</t>
    </rPh>
    <phoneticPr fontId="1"/>
  </si>
  <si>
    <t>５．他の工程の工数を下記の基準により算出する。</t>
    <rPh sb="2" eb="3">
      <t>タ</t>
    </rPh>
    <rPh sb="4" eb="6">
      <t>コウテイ</t>
    </rPh>
    <rPh sb="7" eb="9">
      <t>コウスウ</t>
    </rPh>
    <rPh sb="10" eb="12">
      <t>カキ</t>
    </rPh>
    <rPh sb="13" eb="15">
      <t>キジュン</t>
    </rPh>
    <rPh sb="18" eb="20">
      <t>サンシュツ</t>
    </rPh>
    <phoneticPr fontId="1"/>
  </si>
  <si>
    <t>６．他の難易度の工数は、下記の係数に基づき、積算する。</t>
    <rPh sb="2" eb="3">
      <t>タ</t>
    </rPh>
    <rPh sb="4" eb="7">
      <t>ナンイド</t>
    </rPh>
    <rPh sb="8" eb="10">
      <t>コウスウ</t>
    </rPh>
    <rPh sb="12" eb="14">
      <t>カキ</t>
    </rPh>
    <rPh sb="15" eb="17">
      <t>ケイスウ</t>
    </rPh>
    <rPh sb="18" eb="19">
      <t>モト</t>
    </rPh>
    <rPh sb="22" eb="24">
      <t>セキサン</t>
    </rPh>
    <phoneticPr fontId="1"/>
  </si>
  <si>
    <t>難易度別の工数係数</t>
    <rPh sb="0" eb="3">
      <t>ナンイド</t>
    </rPh>
    <rPh sb="3" eb="4">
      <t>ベツ</t>
    </rPh>
    <rPh sb="5" eb="7">
      <t>コウスウ</t>
    </rPh>
    <rPh sb="7" eb="9">
      <t>ケイスウ</t>
    </rPh>
    <phoneticPr fontId="1"/>
  </si>
  <si>
    <t>１．難易度を「特高」～「特低」までの５段階に分類する。</t>
    <rPh sb="2" eb="5">
      <t>ナンイド</t>
    </rPh>
    <rPh sb="7" eb="8">
      <t>トク</t>
    </rPh>
    <rPh sb="8" eb="9">
      <t>コウ</t>
    </rPh>
    <rPh sb="12" eb="13">
      <t>トク</t>
    </rPh>
    <rPh sb="13" eb="14">
      <t>テイ</t>
    </rPh>
    <rPh sb="19" eb="21">
      <t>ダンカイ</t>
    </rPh>
    <rPh sb="22" eb="24">
      <t>ブンルイ</t>
    </rPh>
    <phoneticPr fontId="1"/>
  </si>
  <si>
    <t>合計</t>
    <rPh sb="0" eb="2">
      <t>ゴウケイ</t>
    </rPh>
    <phoneticPr fontId="1"/>
  </si>
  <si>
    <t>工数（人日）</t>
    <rPh sb="0" eb="2">
      <t>コウスウ</t>
    </rPh>
    <rPh sb="3" eb="4">
      <t>ニン</t>
    </rPh>
    <rPh sb="4" eb="5">
      <t>ニチ</t>
    </rPh>
    <phoneticPr fontId="1"/>
  </si>
  <si>
    <t>工数（人月）</t>
    <rPh sb="0" eb="2">
      <t>コウスウ</t>
    </rPh>
    <rPh sb="3" eb="4">
      <t>ニン</t>
    </rPh>
    <rPh sb="4" eb="5">
      <t>ゲツ</t>
    </rPh>
    <phoneticPr fontId="1"/>
  </si>
  <si>
    <t>金額</t>
    <rPh sb="0" eb="2">
      <t>キンガク</t>
    </rPh>
    <phoneticPr fontId="1"/>
  </si>
  <si>
    <t>SA</t>
    <phoneticPr fontId="1"/>
  </si>
  <si>
    <t>UI</t>
    <phoneticPr fontId="1"/>
  </si>
  <si>
    <t>SS</t>
    <phoneticPr fontId="1"/>
  </si>
  <si>
    <t>PS/PG/PT</t>
    <phoneticPr fontId="1"/>
  </si>
  <si>
    <t>IT</t>
    <phoneticPr fontId="1"/>
  </si>
  <si>
    <t>ST</t>
    <phoneticPr fontId="1"/>
  </si>
  <si>
    <t>OT</t>
    <phoneticPr fontId="1"/>
  </si>
  <si>
    <t>RL</t>
    <phoneticPr fontId="1"/>
  </si>
  <si>
    <t>PM</t>
    <phoneticPr fontId="1"/>
  </si>
  <si>
    <t>調整後工数（人月）</t>
    <rPh sb="0" eb="2">
      <t>チョウセイ</t>
    </rPh>
    <rPh sb="2" eb="3">
      <t>ゴ</t>
    </rPh>
    <rPh sb="3" eb="5">
      <t>コウスウ</t>
    </rPh>
    <rPh sb="6" eb="8">
      <t>ニンゲツ</t>
    </rPh>
    <phoneticPr fontId="1"/>
  </si>
  <si>
    <t>見積金額</t>
    <rPh sb="0" eb="2">
      <t>ミツモリ</t>
    </rPh>
    <rPh sb="2" eb="4">
      <t>キンガク</t>
    </rPh>
    <phoneticPr fontId="1"/>
  </si>
  <si>
    <t>見積金額合計</t>
    <rPh sb="0" eb="2">
      <t>ミツモリ</t>
    </rPh>
    <rPh sb="2" eb="4">
      <t>キンガク</t>
    </rPh>
    <rPh sb="4" eb="6">
      <t>ゴウケイ</t>
    </rPh>
    <phoneticPr fontId="1"/>
  </si>
  <si>
    <t>■最適工期</t>
    <rPh sb="1" eb="3">
      <t>サイテキ</t>
    </rPh>
    <rPh sb="3" eb="5">
      <t>コウキ</t>
    </rPh>
    <phoneticPr fontId="1"/>
  </si>
  <si>
    <t>-</t>
    <phoneticPr fontId="1"/>
  </si>
  <si>
    <t>全体工期</t>
    <rPh sb="0" eb="2">
      <t>ゼンタイ</t>
    </rPh>
    <rPh sb="2" eb="4">
      <t>コウキ</t>
    </rPh>
    <phoneticPr fontId="1"/>
  </si>
  <si>
    <t>工期比率</t>
    <rPh sb="0" eb="2">
      <t>コウキ</t>
    </rPh>
    <rPh sb="2" eb="4">
      <t>ヒリツ</t>
    </rPh>
    <phoneticPr fontId="1"/>
  </si>
  <si>
    <t>-</t>
    <phoneticPr fontId="1"/>
  </si>
  <si>
    <t>要件定義（SA）</t>
    <rPh sb="0" eb="2">
      <t>ヨウケン</t>
    </rPh>
    <rPh sb="2" eb="4">
      <t>テイギ</t>
    </rPh>
    <phoneticPr fontId="1"/>
  </si>
  <si>
    <t>基本設計（UI）</t>
    <rPh sb="0" eb="2">
      <t>キホン</t>
    </rPh>
    <rPh sb="2" eb="4">
      <t>セッケイ</t>
    </rPh>
    <phoneticPr fontId="1"/>
  </si>
  <si>
    <t>詳細設計（SS）</t>
    <rPh sb="0" eb="2">
      <t>ショウサイ</t>
    </rPh>
    <rPh sb="2" eb="4">
      <t>セッケイ</t>
    </rPh>
    <phoneticPr fontId="1"/>
  </si>
  <si>
    <t>開発（PS/PG/PT）</t>
    <rPh sb="0" eb="2">
      <t>カイハツ</t>
    </rPh>
    <phoneticPr fontId="1"/>
  </si>
  <si>
    <t>結合テスト（IT）</t>
    <rPh sb="0" eb="2">
      <t>ケツゴウ</t>
    </rPh>
    <phoneticPr fontId="1"/>
  </si>
  <si>
    <t>システムテスト（ST）</t>
    <phoneticPr fontId="1"/>
  </si>
  <si>
    <t>運用テスト（OT）</t>
    <rPh sb="0" eb="2">
      <t>ウンヨウ</t>
    </rPh>
    <phoneticPr fontId="1"/>
  </si>
  <si>
    <t>本番移行・初期流動（RL）</t>
    <rPh sb="0" eb="2">
      <t>ホンバン</t>
    </rPh>
    <rPh sb="2" eb="4">
      <t>イコウ</t>
    </rPh>
    <rPh sb="5" eb="7">
      <t>ショキ</t>
    </rPh>
    <rPh sb="7" eb="9">
      <t>リュウドウ</t>
    </rPh>
    <phoneticPr fontId="1"/>
  </si>
  <si>
    <t>プロジェクト管理（PM）</t>
    <rPh sb="6" eb="8">
      <t>カンリ</t>
    </rPh>
    <phoneticPr fontId="1"/>
  </si>
  <si>
    <t>単価</t>
    <rPh sb="0" eb="2">
      <t>タンカ</t>
    </rPh>
    <phoneticPr fontId="1"/>
  </si>
  <si>
    <t>-</t>
    <phoneticPr fontId="1"/>
  </si>
  <si>
    <t>運用テスト</t>
    <rPh sb="0" eb="2">
      <t>ウンヨウ</t>
    </rPh>
    <phoneticPr fontId="1"/>
  </si>
  <si>
    <t>金額</t>
    <rPh sb="0" eb="2">
      <t>キンガク</t>
    </rPh>
    <phoneticPr fontId="1"/>
  </si>
  <si>
    <t>工程</t>
    <rPh sb="0" eb="2">
      <t>コウテイ</t>
    </rPh>
    <phoneticPr fontId="1"/>
  </si>
  <si>
    <t>工期</t>
    <rPh sb="0" eb="2">
      <t>コウキ</t>
    </rPh>
    <phoneticPr fontId="1"/>
  </si>
  <si>
    <t>工数</t>
    <rPh sb="0" eb="2">
      <t>コウスウ</t>
    </rPh>
    <phoneticPr fontId="1"/>
  </si>
  <si>
    <t>STEP数</t>
    <rPh sb="4" eb="5">
      <t>スウ</t>
    </rPh>
    <phoneticPr fontId="1"/>
  </si>
  <si>
    <t>参考：STEP数からの見積工数</t>
    <rPh sb="0" eb="2">
      <t>サンコウ</t>
    </rPh>
    <rPh sb="7" eb="8">
      <t>スウ</t>
    </rPh>
    <rPh sb="11" eb="13">
      <t>ミツモリ</t>
    </rPh>
    <rPh sb="13" eb="15">
      <t>コウスウ</t>
    </rPh>
    <phoneticPr fontId="1"/>
  </si>
  <si>
    <t>工数＝ステップ数÷開発生産性</t>
    <phoneticPr fontId="1"/>
  </si>
  <si>
    <t>開発生産性（STEP数/月）</t>
    <rPh sb="0" eb="2">
      <t>カイハツ</t>
    </rPh>
    <rPh sb="2" eb="5">
      <t>セイサンセイ</t>
    </rPh>
    <rPh sb="10" eb="11">
      <t>スウ</t>
    </rPh>
    <rPh sb="12" eb="13">
      <t>ツキ</t>
    </rPh>
    <phoneticPr fontId="1"/>
  </si>
  <si>
    <t>工数</t>
    <phoneticPr fontId="1"/>
  </si>
  <si>
    <t>工期比率（IPA　ソフトウェア開発データ白書 2018-2019より）</t>
    <rPh sb="0" eb="2">
      <t>コウキ</t>
    </rPh>
    <rPh sb="2" eb="4">
      <t>ヒリツ</t>
    </rPh>
    <phoneticPr fontId="1"/>
  </si>
  <si>
    <t>工数比率（IPA　ソフトウェア開発データ白書 2018-2019より）</t>
    <rPh sb="0" eb="2">
      <t>コウスウ</t>
    </rPh>
    <rPh sb="2" eb="4">
      <t>ヒリツ</t>
    </rPh>
    <phoneticPr fontId="1"/>
  </si>
  <si>
    <t>■御見積金額(全工程の場合)</t>
    <rPh sb="1" eb="4">
      <t>オミツモリ</t>
    </rPh>
    <rPh sb="4" eb="6">
      <t>キンガク</t>
    </rPh>
    <rPh sb="7" eb="10">
      <t>ゼンコウテイ</t>
    </rPh>
    <rPh sb="11" eb="13">
      <t>バアイ</t>
    </rPh>
    <phoneticPr fontId="1"/>
  </si>
  <si>
    <t>その他</t>
  </si>
  <si>
    <t>タンクマスタ</t>
  </si>
  <si>
    <t>■御見積金額(全工程の場合)　：工数丸め</t>
    <rPh sb="1" eb="4">
      <t>オミツモリ</t>
    </rPh>
    <rPh sb="4" eb="6">
      <t>キンガク</t>
    </rPh>
    <rPh sb="7" eb="10">
      <t>ゼンコウテイ</t>
    </rPh>
    <rPh sb="11" eb="13">
      <t>バアイ</t>
    </rPh>
    <rPh sb="16" eb="18">
      <t>コウスウ</t>
    </rPh>
    <rPh sb="18" eb="19">
      <t>マル</t>
    </rPh>
    <phoneticPr fontId="1"/>
  </si>
  <si>
    <t>Javaに作り直し</t>
    <rPh sb="5" eb="6">
      <t>ツク</t>
    </rPh>
    <phoneticPr fontId="1"/>
  </si>
  <si>
    <t>各所ごとをやめる</t>
    <rPh sb="0" eb="2">
      <t>カクショ</t>
    </rPh>
    <phoneticPr fontId="1"/>
  </si>
  <si>
    <t>入荷実績（ロット付）情報</t>
  </si>
  <si>
    <t>入荷実績（ロットなし）情報</t>
  </si>
  <si>
    <t>在庫情報送信</t>
  </si>
  <si>
    <t>受注情報</t>
  </si>
  <si>
    <t>ブレンダマスタ</t>
  </si>
  <si>
    <t>取引先マスタ</t>
  </si>
  <si>
    <t>発注先マスタ</t>
  </si>
  <si>
    <t>品番マスタ</t>
  </si>
  <si>
    <t>品番マスタ２</t>
  </si>
  <si>
    <t>品名マスタ</t>
  </si>
  <si>
    <t>製造配合比マスタ</t>
  </si>
  <si>
    <t>製造工程マスタ</t>
  </si>
  <si>
    <t>製造方法（レシピ）マスタ</t>
  </si>
  <si>
    <t>油種マスタ</t>
  </si>
  <si>
    <t>添加剤詰品テーブル</t>
  </si>
  <si>
    <t>添加剤詰品入荷実績テーブル</t>
  </si>
  <si>
    <t>添加剤詰品投入明細指図／実績テーブル</t>
  </si>
  <si>
    <t>本伝票明細テーブル</t>
  </si>
  <si>
    <t>添加剤調合指図／実績テーブル</t>
  </si>
  <si>
    <t>添加剤受入計画テーブル</t>
  </si>
  <si>
    <t>製造工程明細テーブル</t>
  </si>
  <si>
    <t>製造計画テーブル</t>
  </si>
  <si>
    <t>製造計画フラグテーブル</t>
  </si>
  <si>
    <t>製造指図／実績テーブル</t>
  </si>
  <si>
    <t>基材使用実績テーブル</t>
  </si>
  <si>
    <t>基材使用予定テーブル</t>
  </si>
  <si>
    <t>ロット台帳（２）履歴テーブル</t>
  </si>
  <si>
    <t>ケース充填指図／実績テーブル</t>
  </si>
  <si>
    <t>ドラム充填指図／実績テーブル</t>
  </si>
  <si>
    <t>LUB21.sln</t>
  </si>
  <si>
    <t>0.共通</t>
  </si>
  <si>
    <t>LUB21Menu</t>
  </si>
  <si>
    <t>LUB21Deploy.pfx</t>
  </si>
  <si>
    <t>LUB21Menu.vbproj.user</t>
  </si>
  <si>
    <t>Class</t>
  </si>
  <si>
    <t>BasMenu.vb</t>
  </si>
  <si>
    <t>Form</t>
  </si>
  <si>
    <t>FrmBOMenu.Designer.vb</t>
  </si>
  <si>
    <t>FrmBOMenu.vb</t>
  </si>
  <si>
    <t>FrmKANRIMenu.Designer.vb</t>
  </si>
  <si>
    <t>FrmKANRIMenu.vb</t>
  </si>
  <si>
    <t>FrmMenu.Designer.vb</t>
  </si>
  <si>
    <t>FrmMenu.vb</t>
  </si>
  <si>
    <t>FrmMMenu.Designer.vb</t>
  </si>
  <si>
    <t>FrmMMenu.vb</t>
  </si>
  <si>
    <t>FrmPMMenu.Designer.vb</t>
  </si>
  <si>
    <t>FrmPMMenu.vb</t>
  </si>
  <si>
    <t>FrmPOMenu.Designer.vb</t>
  </si>
  <si>
    <t>FrmPOMenu.vb</t>
  </si>
  <si>
    <t>FrmQUMenu.Designer.vb</t>
  </si>
  <si>
    <t>FrmQUMenu.vb</t>
  </si>
  <si>
    <t>FrmSHMenu.Designer.vb</t>
  </si>
  <si>
    <t>FrmSHMenu.vb</t>
  </si>
  <si>
    <t>FrmTOOLMenu.Designer.vb</t>
  </si>
  <si>
    <t>FrmTOOLMenu.vb</t>
  </si>
  <si>
    <t>Resource</t>
  </si>
  <si>
    <t>ModuleCopy.bat</t>
  </si>
  <si>
    <t>AK_添加剤ロット番号管理</t>
  </si>
  <si>
    <t>AK01002D</t>
  </si>
  <si>
    <t>BasDispPakAdtForLot.vb</t>
  </si>
  <si>
    <t>MdlHachuCustList.vb</t>
  </si>
  <si>
    <t>MdlInputLot.vb</t>
  </si>
  <si>
    <t>MdlMain.vb</t>
  </si>
  <si>
    <t>MdlNyukaCntSelect.vb</t>
  </si>
  <si>
    <t>MdlPntRptNyuka.vb</t>
  </si>
  <si>
    <t>FrmDispPakAdtForLot.Designer.vb</t>
  </si>
  <si>
    <t>FrmDispPakAdtForLot.vb</t>
  </si>
  <si>
    <t>FrmHachuCustList.Designer.vb</t>
  </si>
  <si>
    <t>FrmHachuCustList.vb</t>
  </si>
  <si>
    <t>FrmInputLot.Designer.vb</t>
  </si>
  <si>
    <t>FrmInputLot.vb</t>
  </si>
  <si>
    <t>FrmNyukaCntSelect.Designer.vb</t>
  </si>
  <si>
    <t>FrmNyukaCntSelect.vb</t>
  </si>
  <si>
    <t>FrmPntRptNyuka.Designer.vb</t>
  </si>
  <si>
    <t>FrmPntRptNyuka.vb</t>
  </si>
  <si>
    <t>SpreadDispPakAdtForLot.vb</t>
  </si>
  <si>
    <t>SpreadDispPakAdtForLot.xml</t>
  </si>
  <si>
    <t>SpreadHachuCustList.vb</t>
  </si>
  <si>
    <t>SpreadHachuCustList.xml</t>
  </si>
  <si>
    <t>SpreadInputLot_ロット台帳受入履歴一覧.vb</t>
  </si>
  <si>
    <t>SpreadInputLot_ロット台帳受入履歴一覧.xml</t>
  </si>
  <si>
    <t>SpreadInputLot_ロット台帳受入履歴入力.vb</t>
  </si>
  <si>
    <t>SpreadInputLot_ロット台帳受入履歴入力.xml</t>
  </si>
  <si>
    <t>SpreadNyukaCntSelect.vb</t>
  </si>
  <si>
    <t>SpreadNyukaCntSelect.xml</t>
  </si>
  <si>
    <t>SpreadPntRptNyuka.vb</t>
  </si>
  <si>
    <t>SpreadPntRptNyuka.xml</t>
  </si>
  <si>
    <t>AK01005R</t>
  </si>
  <si>
    <t>MdlMakeReport.vb</t>
  </si>
  <si>
    <t>BO_BO荷繰／シフト計画</t>
  </si>
  <si>
    <t>BO00100D</t>
  </si>
  <si>
    <t>FrmTlLbl.Designer.vb</t>
  </si>
  <si>
    <t>FrmTlLbl.vb</t>
  </si>
  <si>
    <t>BO00101D</t>
  </si>
  <si>
    <t>ClsBO.vb</t>
  </si>
  <si>
    <t>ClsChargeRD.vb</t>
  </si>
  <si>
    <t>ClsDevicePlan.vb</t>
  </si>
  <si>
    <t>ClsSuryoMeisai.vb</t>
  </si>
  <si>
    <t>FrmDevicePlanEdit.Designer.vb</t>
  </si>
  <si>
    <t>FrmDevicePlanEdit.vb</t>
  </si>
  <si>
    <t>FrmNumdetails.Designer.vb</t>
  </si>
  <si>
    <t>FrmNumdetails.vb</t>
  </si>
  <si>
    <t>Frmタンク荷繰り入力.Designer.vb</t>
  </si>
  <si>
    <t>Frmタンク荷繰り入力.vb</t>
  </si>
  <si>
    <t>SpreadCharge.vb</t>
  </si>
  <si>
    <t>SpreadCharge.xml</t>
  </si>
  <si>
    <t>SpreadDevicePlan.vb</t>
  </si>
  <si>
    <t>SpreadDevicePlan.xml</t>
  </si>
  <si>
    <t>SpreadDevicePlan_FrmDevicePlanEdit.vb</t>
  </si>
  <si>
    <t>SpreadDevicePlan_FrmDevicePlanEdit.xml</t>
  </si>
  <si>
    <t>SpreadDevicePlan_FrmNumdetails.vb</t>
  </si>
  <si>
    <t>SpreadDevicePlan_FrmNumdetails.xml</t>
  </si>
  <si>
    <t>SpreadDryPln.vb</t>
  </si>
  <si>
    <t>SpreadDryPln.xml</t>
  </si>
  <si>
    <t>BO00110D</t>
  </si>
  <si>
    <t>BasMonProCorr.vb</t>
  </si>
  <si>
    <t>SprConstants.vb</t>
  </si>
  <si>
    <t>FrmMHCCOTbl.Designer.vb</t>
  </si>
  <si>
    <t>FrmMHCCOTbl.vb</t>
  </si>
  <si>
    <t>FrmMonProCorr.Designer.vb</t>
  </si>
  <si>
    <t>FrmMonProCorr.vb</t>
  </si>
  <si>
    <t>SprHccoTbl.vb</t>
  </si>
  <si>
    <t>SprHccoTbl.xml</t>
  </si>
  <si>
    <t>SprMonProCorr.vb</t>
  </si>
  <si>
    <t>SprMonProCorr.xml</t>
  </si>
  <si>
    <t>BO00120D</t>
  </si>
  <si>
    <t>BasMonProGet.vb</t>
  </si>
  <si>
    <t>BO00200D</t>
  </si>
  <si>
    <t>FrmWekProPrint.Designer.vb</t>
  </si>
  <si>
    <t>FrmWekProPrint.vb</t>
  </si>
  <si>
    <t>BO00201D</t>
  </si>
  <si>
    <t>Clsタンク入力.vb</t>
  </si>
  <si>
    <t>Clsタンク入力日別データ.vb</t>
  </si>
  <si>
    <t>Clsタンク入力油種別データ.vb</t>
  </si>
  <si>
    <t>Frmベースオイル使用予定タンク入力.Designer.vb</t>
  </si>
  <si>
    <t>Frmベースオイル使用予定タンク入力.vb</t>
  </si>
  <si>
    <t>Spreadベースオイル使用予定タンク入力.vb</t>
  </si>
  <si>
    <t>Spreadベースオイル使用予定タンク入力.xml</t>
  </si>
  <si>
    <t>BO00300D</t>
  </si>
  <si>
    <t>SprCharge.vb</t>
  </si>
  <si>
    <t>SprCharge.xml</t>
  </si>
  <si>
    <t>SprDevicePlan.vb</t>
  </si>
  <si>
    <t>SprDevicePlan.xml</t>
  </si>
  <si>
    <t>SprDevicePlan2.vb</t>
  </si>
  <si>
    <t>SprDevicePlan2.xml</t>
  </si>
  <si>
    <t>SprDryPln.vb</t>
  </si>
  <si>
    <t>SprDryPln.xml</t>
  </si>
  <si>
    <t>SprRD.vb</t>
  </si>
  <si>
    <t>SprRD.xml</t>
  </si>
  <si>
    <t>BO00301D</t>
  </si>
  <si>
    <t>ClsBO在庫タンク別Data.vb</t>
  </si>
  <si>
    <t>ClsBO在庫日別Data.vb</t>
  </si>
  <si>
    <t>ClsBO在庫照会.vb</t>
  </si>
  <si>
    <t>Frmベースオイル在庫照会.Designer.vb</t>
  </si>
  <si>
    <t>Frmベースオイル在庫照会.vb</t>
  </si>
  <si>
    <t>Frmベースオイル在庫照会日別.Designer.vb</t>
  </si>
  <si>
    <t>Frmベースオイル在庫照会日別.vb</t>
  </si>
  <si>
    <t>Frm色ヘルプ.Designer.vb</t>
  </si>
  <si>
    <t>Frm色ヘルプ.vb</t>
  </si>
  <si>
    <t>SprBoTouzanList.vb</t>
  </si>
  <si>
    <t>SprBoTouzanList.xml</t>
  </si>
  <si>
    <t>SprBoZaikoDay.vb</t>
  </si>
  <si>
    <t>SprBoZaikoDay.xml</t>
  </si>
  <si>
    <t>SprBoZaikoList.vb</t>
  </si>
  <si>
    <t>SprBoZaikoList.xml</t>
  </si>
  <si>
    <t>SprCaseFillPlan.vb</t>
  </si>
  <si>
    <t>SprCaseFillPlan.xml</t>
  </si>
  <si>
    <t>SprDaySelect.vb</t>
  </si>
  <si>
    <t>SprDaySelect.xml</t>
  </si>
  <si>
    <t>BO00400D</t>
  </si>
  <si>
    <t>FrmSoutiUntenKeikaku.Designer.vb</t>
  </si>
  <si>
    <t>FrmSoutiUntenKeikaku.vb</t>
  </si>
  <si>
    <t>SpreadDryDate.vb</t>
  </si>
  <si>
    <t>SpreadDryDate.xml</t>
  </si>
  <si>
    <t>SpreadDryDateAf.vb</t>
  </si>
  <si>
    <t>SpreadDryDateAf.xml</t>
  </si>
  <si>
    <t>SpreadDryDateBf.vb</t>
  </si>
  <si>
    <t>SpreadDryDateBf.xml</t>
  </si>
  <si>
    <t>BO00401D</t>
  </si>
  <si>
    <t>Frm印刷指示.Designer.vb</t>
  </si>
  <si>
    <t>Frm印刷指示.vb</t>
  </si>
  <si>
    <t>BO00500D</t>
  </si>
  <si>
    <t>BO00600D</t>
  </si>
  <si>
    <t>BasSftMainUD.vb</t>
  </si>
  <si>
    <t>BasSftSasizuIchiran.vb</t>
  </si>
  <si>
    <t>FrmSftSasizuIchiran.Designer.vb</t>
  </si>
  <si>
    <t>FrmSftSasizuIchiran.vb</t>
  </si>
  <si>
    <t>SpreadFrmSftSasizuIchiran.vb</t>
  </si>
  <si>
    <t>SpreadFrmSftSasizuIchiran.xml</t>
  </si>
  <si>
    <t>BO00800D</t>
  </si>
  <si>
    <t>BasWekProPrint.vb</t>
  </si>
  <si>
    <t>ZI06001D</t>
  </si>
  <si>
    <t>BasSftMainNw.vb</t>
  </si>
  <si>
    <t>BasSftPlnInput.vb</t>
  </si>
  <si>
    <t>FrmSftPlnInput.Designer.vb</t>
  </si>
  <si>
    <t>FrmSftPlnInput.vb</t>
  </si>
  <si>
    <t>Module</t>
  </si>
  <si>
    <t>ZI06002D</t>
  </si>
  <si>
    <t>SpreadSftSasizuIchiran.vb</t>
  </si>
  <si>
    <t>SpreadSftSasizuIchiran.xml</t>
  </si>
  <si>
    <t>ZI06801D</t>
  </si>
  <si>
    <t>BasSftMainResIn.vb</t>
  </si>
  <si>
    <t>BasSftResInput.vb</t>
  </si>
  <si>
    <t>FrmSftResInput.Designer.vb</t>
  </si>
  <si>
    <t>FrmSftResInput.vb</t>
  </si>
  <si>
    <t>SpreadSftResInput.vb</t>
  </si>
  <si>
    <t>SpreadSftResInput.xml</t>
  </si>
  <si>
    <t>BO_BO荷繰／シフト計画【帳票】</t>
  </si>
  <si>
    <t>BO00200R</t>
  </si>
  <si>
    <t>BO00200RExcel.vb</t>
  </si>
  <si>
    <t>Main.vb</t>
  </si>
  <si>
    <t>BO00301R</t>
  </si>
  <si>
    <t>BO00302R</t>
  </si>
  <si>
    <t>BO00401R</t>
  </si>
  <si>
    <t>Mdlタンク使用予定表.vb</t>
  </si>
  <si>
    <t>BO00500R</t>
  </si>
  <si>
    <t>BO00501R</t>
  </si>
  <si>
    <t>BO00800R</t>
  </si>
  <si>
    <t>CO_マスタメンテナンス</t>
  </si>
  <si>
    <t>CO00101D</t>
  </si>
  <si>
    <t>FrmMSouti.designer.vb</t>
  </si>
  <si>
    <t>FrmMSouti.vb</t>
  </si>
  <si>
    <t>SpreadDevices.vb</t>
  </si>
  <si>
    <t>SpreadDevices.xml</t>
  </si>
  <si>
    <t>CO00102D</t>
  </si>
  <si>
    <t>FrmMSoutiUkeharai.Designer.vb</t>
  </si>
  <si>
    <t>FrmMSoutiUkeharai.vb</t>
  </si>
  <si>
    <t>SpreadCHG.vb</t>
  </si>
  <si>
    <t>SpreadCHG.xml</t>
  </si>
  <si>
    <t>SpreadRD.vb</t>
  </si>
  <si>
    <t>SpreadRD.xml</t>
  </si>
  <si>
    <t>Resources</t>
  </si>
  <si>
    <t>FIND.BMP</t>
  </si>
  <si>
    <t>CO00103D</t>
  </si>
  <si>
    <t>FrmMSoutiUHTank.Designer.vb</t>
  </si>
  <si>
    <t>FrmMSoutiUHTank.vb</t>
  </si>
  <si>
    <t>SpreadUHTank.vb</t>
  </si>
  <si>
    <t>SpreadUHTank.xml</t>
  </si>
  <si>
    <t>CO00104D</t>
  </si>
  <si>
    <t>FrmMKoteiComnt.Designer.vb</t>
  </si>
  <si>
    <t>FrmMKoteiComnt.vb</t>
  </si>
  <si>
    <t>SpreadKoteiComnt.vb</t>
  </si>
  <si>
    <t>SpreadKoteiComnt.xml</t>
  </si>
  <si>
    <t>CO00105D</t>
  </si>
  <si>
    <t>FrmMSyukanKoteiPrint.Designer.vb</t>
  </si>
  <si>
    <t>FrmMSyukanKoteiPrint.vb</t>
  </si>
  <si>
    <t>CO00106D</t>
  </si>
  <si>
    <t>FrmMKeikakubiComnt.Designer.vb</t>
  </si>
  <si>
    <t>FrmMKeikakubiComnt.vb</t>
  </si>
  <si>
    <t>CO00107D</t>
  </si>
  <si>
    <t>CO00107D.vbproj.user</t>
  </si>
  <si>
    <t>FrmMTank.Designer.vb</t>
  </si>
  <si>
    <t>FrmMTank.vb</t>
  </si>
  <si>
    <t>CO00108D</t>
  </si>
  <si>
    <t>CO00108D.vbproj.user</t>
  </si>
  <si>
    <t>FrmMYushu.designer.vb</t>
  </si>
  <si>
    <t>FrmMYushu.vb</t>
  </si>
  <si>
    <t>CO00109D</t>
  </si>
  <si>
    <t>FrmMHinban.Designer.vb</t>
  </si>
  <si>
    <t>FrmMHinban.vb</t>
  </si>
  <si>
    <t>FrmMSrchHinban.Designer.vb</t>
  </si>
  <si>
    <t>FrmMSrchHinban.vb</t>
  </si>
  <si>
    <t>SpreadMSrchHinban.vb</t>
  </si>
  <si>
    <t>SpreadMSrchHinban.xml</t>
  </si>
  <si>
    <t>CO00110D</t>
  </si>
  <si>
    <t>FrmMTenkaYouki.Designer.vb</t>
  </si>
  <si>
    <t>FrmMTenkaYouki.vb</t>
  </si>
  <si>
    <t>SpreadTY.vb</t>
  </si>
  <si>
    <t>SpreadTY.xml</t>
  </si>
  <si>
    <t>CO00111D</t>
  </si>
  <si>
    <t>FrmMSrchSeihin.Designer.vb</t>
  </si>
  <si>
    <t>FrmMSrchSeihin.vb</t>
  </si>
  <si>
    <t>SpreadMSrchSeihin.vb</t>
  </si>
  <si>
    <t>SpreadMSrchSeihin.xml</t>
  </si>
  <si>
    <t>CO00112D</t>
  </si>
  <si>
    <t>FrmMSeihin.Designer.vb</t>
  </si>
  <si>
    <t>FrmMSeihin.vb</t>
  </si>
  <si>
    <t>CO00113D</t>
  </si>
  <si>
    <t>FrmMHinmei.Designer.vb</t>
  </si>
  <si>
    <t>FrmMHinmei.vb</t>
  </si>
  <si>
    <t>CO00114D</t>
  </si>
  <si>
    <t>FrmMRecipe.Designer.vb</t>
  </si>
  <si>
    <t>FrmMRecipe.vb</t>
  </si>
  <si>
    <t>SpreadMRecipe.vb</t>
  </si>
  <si>
    <t>SpreadMRecipe.xml</t>
  </si>
  <si>
    <t>CO00115D</t>
  </si>
  <si>
    <t>FrmMKoutei.Designer.vb</t>
  </si>
  <si>
    <t>FrmMKoutei.vb</t>
  </si>
  <si>
    <t>SpreadHaigouhi.vb</t>
  </si>
  <si>
    <t>SpreadHaigouhi.xml</t>
  </si>
  <si>
    <t>find.bmp</t>
  </si>
  <si>
    <t>CO00116D</t>
  </si>
  <si>
    <t>FrmMBlender.Designer.vb</t>
  </si>
  <si>
    <t>FrmMBlender.vb</t>
  </si>
  <si>
    <t>CO00118D</t>
  </si>
  <si>
    <t>FrmMBLSeizou.Designer.vb</t>
  </si>
  <si>
    <t>FrmMBLSeizou.vb</t>
  </si>
  <si>
    <t>SpreadSeizou.vb</t>
  </si>
  <si>
    <t>SpreadSeizou.xml</t>
  </si>
  <si>
    <t>CO00119D</t>
  </si>
  <si>
    <t>FrmMBLKisei.Designer.vb</t>
  </si>
  <si>
    <t>FrmMBLKisei.vb</t>
  </si>
  <si>
    <t>SpreadKiseiyu.vb</t>
  </si>
  <si>
    <t>SpreadKiseiyu.xml</t>
  </si>
  <si>
    <t>CO00120D</t>
  </si>
  <si>
    <t>FrmMJyuten.Designer.vb</t>
  </si>
  <si>
    <t>FrmMJyuten.vb</t>
  </si>
  <si>
    <t>CO00121D</t>
  </si>
  <si>
    <t>FrmM20LHeaderTank.Designer.vb</t>
  </si>
  <si>
    <t>FrmM20LHeaderTank.vb</t>
  </si>
  <si>
    <t>Spread20LHTank.vb</t>
  </si>
  <si>
    <t>Spread20LHTank.xml</t>
  </si>
  <si>
    <t>CO00122D</t>
  </si>
  <si>
    <t>FrmMJyutenTankDm.Designer.vb</t>
  </si>
  <si>
    <t>FrmMJyutenTankDm.vb</t>
  </si>
  <si>
    <t>SpreadTankDm.vb</t>
  </si>
  <si>
    <t>SpreadTankDm.xml</t>
  </si>
  <si>
    <t>FIND1.BMP</t>
  </si>
  <si>
    <t>CO00123D</t>
  </si>
  <si>
    <t>FrmMJyutenTank.designer.vb</t>
  </si>
  <si>
    <t>FrmMJyutenTank.vb</t>
  </si>
  <si>
    <t>SpreadTank.vb</t>
  </si>
  <si>
    <t>SpreadTank.xml</t>
  </si>
  <si>
    <t>CO00124D</t>
  </si>
  <si>
    <t>FrmMDrmHdSPurge.Designer.vb</t>
  </si>
  <si>
    <t>FrmMDrmHdSPurge.vb</t>
  </si>
  <si>
    <t>CO00125D</t>
  </si>
  <si>
    <t>FrmMNisugata.Designer.vb</t>
  </si>
  <si>
    <t>FrmMNisugata.vb</t>
  </si>
  <si>
    <t>CO00126D</t>
  </si>
  <si>
    <t>FrmMHiKadoubi.Designer.vb</t>
  </si>
  <si>
    <t>FrmMHiKadoubi.vb</t>
  </si>
  <si>
    <t>CO00127D</t>
  </si>
  <si>
    <t>FrmHoliday.Designer.vb</t>
  </si>
  <si>
    <t>FrmHoliday.vb</t>
  </si>
  <si>
    <t>CO00128D</t>
  </si>
  <si>
    <t>FrmZaiko.Designer.vb</t>
  </si>
  <si>
    <t>FrmZaiko.vb</t>
  </si>
  <si>
    <t>CO00129D</t>
  </si>
  <si>
    <t>Class1.vb</t>
  </si>
  <si>
    <t>FrmMSeiyaku.Designer.vb</t>
  </si>
  <si>
    <t>FrmMSeiyaku.vb</t>
  </si>
  <si>
    <t>SprSeiyaku.vb</t>
  </si>
  <si>
    <t>SprSeiyaku.xml</t>
  </si>
  <si>
    <t>CO00134D</t>
  </si>
  <si>
    <t>FrmMFlSenjoKijun.Designer.vb</t>
  </si>
  <si>
    <t>FrmMFlSenjoKijun.vb</t>
  </si>
  <si>
    <t>CO00135D</t>
  </si>
  <si>
    <t>FrmMSensya.Designer.vb</t>
  </si>
  <si>
    <t>FrmMSensya.vb</t>
  </si>
  <si>
    <t>CO00136D</t>
  </si>
  <si>
    <t>FrmMNonyu_Tenpu.Designer.vb</t>
  </si>
  <si>
    <t>FrmMNonyu_Tenpu.vb</t>
  </si>
  <si>
    <t>CO00137D</t>
  </si>
  <si>
    <t>FrmMLorrySenjyoKijyun.Designer.vb</t>
  </si>
  <si>
    <t>FrmMLorrySenjyoKijyun.vb</t>
  </si>
  <si>
    <t>CO00138D</t>
  </si>
  <si>
    <t>FrmMLorryMaeyu.Designer.vb</t>
  </si>
  <si>
    <t>FrmMLorryMaeyu.vb</t>
  </si>
  <si>
    <t>SpreadMLorryMaeyu.vb</t>
  </si>
  <si>
    <t>SpreadMLorryMaeyu.xml</t>
  </si>
  <si>
    <t>CO00139D</t>
  </si>
  <si>
    <t>FrmMTankerSenjyoKijyun.Designer.vb</t>
  </si>
  <si>
    <t>FrmMTankerSenjyoKijyun.vb</t>
  </si>
  <si>
    <t>CO00140D</t>
  </si>
  <si>
    <t>FrmMTankerZenkouyu.Designer.vb</t>
  </si>
  <si>
    <t>FrmMTankerZenkouyu.vb</t>
  </si>
  <si>
    <t>SpreadMTankerSenjyoKijyun.vb</t>
  </si>
  <si>
    <t>SpreadMTankerSenjyoKijyun.xml</t>
  </si>
  <si>
    <t>CO00141D</t>
  </si>
  <si>
    <t>FrmMNyuSyukaSeiyaku.Designer.vb</t>
  </si>
  <si>
    <t>FrmMNyuSyukaSeiyaku.vb</t>
  </si>
  <si>
    <t>CO00142D</t>
  </si>
  <si>
    <t>FrmMSencyuBlend.Designer.vb</t>
  </si>
  <si>
    <t>FrmMSencyuBlend.vb</t>
  </si>
  <si>
    <t>SpreadSencyu.vb</t>
  </si>
  <si>
    <t>SpreadSencyu.xml</t>
  </si>
  <si>
    <t>CO00143D</t>
  </si>
  <si>
    <t>FrmMTorihiki.Designer.vb</t>
  </si>
  <si>
    <t>FrmMTorihiki.vb</t>
  </si>
  <si>
    <t>CO00144D</t>
  </si>
  <si>
    <t>FrmMHachuFooter.Designer.vb</t>
  </si>
  <si>
    <t>FrmMHachuFooter.vb</t>
  </si>
  <si>
    <t>CO00145D</t>
  </si>
  <si>
    <t>FrmMUriage.Designer.vb</t>
  </si>
  <si>
    <t>FrmMUriage.vb</t>
  </si>
  <si>
    <t>CO00146D</t>
  </si>
  <si>
    <t>FrmMNonyusaki.Designer.vb</t>
  </si>
  <si>
    <t>FrmMNonyusaki.vb</t>
  </si>
  <si>
    <t>CO00147D</t>
  </si>
  <si>
    <t>FrmMTantouten.Designer.vb</t>
  </si>
  <si>
    <t>FrmMTantouten.vb</t>
  </si>
  <si>
    <t>CO00148D</t>
  </si>
  <si>
    <t>FrmMEmp.Designer.vb</t>
  </si>
  <si>
    <t>FrmMEmp.vb</t>
  </si>
  <si>
    <t>CO00307D</t>
  </si>
  <si>
    <t>FrmMSrchRecipe.Designer.vb</t>
  </si>
  <si>
    <t>FrmMSrchRecipe.vb</t>
  </si>
  <si>
    <t>SpreadSearchRecipe.vb</t>
  </si>
  <si>
    <t>SpreadSearchRecipe.xml</t>
  </si>
  <si>
    <t>CO07102B</t>
  </si>
  <si>
    <t>BasMain.vb</t>
  </si>
  <si>
    <t>FrmSplash.Designer.vb</t>
  </si>
  <si>
    <t>FrmSplash.vb</t>
  </si>
  <si>
    <t>IV_在庫管理【帳票】</t>
  </si>
  <si>
    <t>IV00101R</t>
  </si>
  <si>
    <t>IV00401R</t>
  </si>
  <si>
    <t>LUB21_Conf</t>
  </si>
  <si>
    <t>APP</t>
  </si>
  <si>
    <t>EXCEL</t>
  </si>
  <si>
    <t>コンセントバッチ製造実績表.xlsm</t>
  </si>
  <si>
    <t>タンカー出荷実績表.xlsm</t>
  </si>
  <si>
    <t>出荷実績表.xlsm</t>
  </si>
  <si>
    <t>Conf</t>
  </si>
  <si>
    <t>BatchInfo.xml</t>
  </si>
  <si>
    <t>BO_ERROR.csv</t>
  </si>
  <si>
    <t>CO_ERROR.csv</t>
  </si>
  <si>
    <t>IV_ERROR.csv</t>
  </si>
  <si>
    <t>lub21.ini</t>
  </si>
  <si>
    <t>PC_ERROR.csv</t>
  </si>
  <si>
    <t>PO_ERROR.csv</t>
  </si>
  <si>
    <t>QU_ERROR.csv</t>
  </si>
  <si>
    <t>SH_ERROR.csv</t>
  </si>
  <si>
    <t>template</t>
  </si>
  <si>
    <t>AK01001R.xlsm</t>
  </si>
  <si>
    <t>AK01003R.xlsm</t>
  </si>
  <si>
    <t>AK01004R.xlsm</t>
  </si>
  <si>
    <t>AK01005R.xlsm</t>
  </si>
  <si>
    <t>BO00301R.xlsm</t>
  </si>
  <si>
    <t>BO00302R.xlsm</t>
  </si>
  <si>
    <t>BO00401R.xlsm</t>
  </si>
  <si>
    <t>BO00500R.xlsm</t>
  </si>
  <si>
    <t>BO00501R.xlsm</t>
  </si>
  <si>
    <t>BO週間工程表レイアウト.xlsm</t>
  </si>
  <si>
    <t>IV00101R.xlsm</t>
  </si>
  <si>
    <t>IV00401R.xlsm</t>
  </si>
  <si>
    <t>LT12101R.xlsm</t>
  </si>
  <si>
    <t>LT21101R.xlsm</t>
  </si>
  <si>
    <t>PC00301R.xlsm</t>
  </si>
  <si>
    <t>PC00302R.xlsm</t>
  </si>
  <si>
    <t>PC00303R.xlsm</t>
  </si>
  <si>
    <t>PC00304R.xlsm</t>
  </si>
  <si>
    <t>PC00305R.xlsm</t>
  </si>
  <si>
    <t>PO30203R.xlsm</t>
  </si>
  <si>
    <t>PO30401R.xlsm</t>
  </si>
  <si>
    <t>PO30602R.xlsm</t>
  </si>
  <si>
    <t>PO30603R.xlsm</t>
  </si>
  <si>
    <t>PO30604R.xlsm</t>
  </si>
  <si>
    <t>PO31101R.xlsm</t>
  </si>
  <si>
    <t>PO31102R.xlsm</t>
  </si>
  <si>
    <t>PO34103R.xlsm</t>
  </si>
  <si>
    <t>PO34201R.xlsm</t>
  </si>
  <si>
    <t>PO34403R.xlsm</t>
  </si>
  <si>
    <t>PO34404R.xlsm</t>
  </si>
  <si>
    <t>PO34405R.xlsm</t>
  </si>
  <si>
    <t>PO40102R.xlsm</t>
  </si>
  <si>
    <t>PO40201R.xlsm</t>
  </si>
  <si>
    <t>PO40301R.xlsm</t>
  </si>
  <si>
    <t>PO40311R.xlsm</t>
  </si>
  <si>
    <t>PO40401R.xlsm</t>
  </si>
  <si>
    <t>PO40501R.xlsm</t>
  </si>
  <si>
    <t>PO40601R.xlsm</t>
  </si>
  <si>
    <t>PO50801R.xlsm</t>
  </si>
  <si>
    <t>PO51001R.xlsm</t>
  </si>
  <si>
    <t>QU00101R.xlsm</t>
  </si>
  <si>
    <t>QU00301R.xlsm</t>
  </si>
  <si>
    <t>QU00420R.xlsm</t>
  </si>
  <si>
    <t>SH00901R.xlsm</t>
  </si>
  <si>
    <t>SH01001R.xlsm</t>
  </si>
  <si>
    <t>SH01801R.xlsm</t>
  </si>
  <si>
    <t>SH02001R.xlsm</t>
  </si>
  <si>
    <t>SH02002R.xlsm</t>
  </si>
  <si>
    <t>SH02504R.xlsm</t>
  </si>
  <si>
    <t>SH02901R.xlsm</t>
  </si>
  <si>
    <t>SH03001R.xlsm</t>
  </si>
  <si>
    <t>SO01001R.xlsm</t>
  </si>
  <si>
    <t>SO01002R.xlsm</t>
  </si>
  <si>
    <t>PC_商品管理</t>
  </si>
  <si>
    <t>DC06901D</t>
  </si>
  <si>
    <t>BasDcRcvSnd.vb</t>
  </si>
  <si>
    <t>BasDcRcvTkStock.vb</t>
  </si>
  <si>
    <t>FrmDcRcvTkStock.Designer.vb</t>
  </si>
  <si>
    <t>FrmDcRcvTkStock.vb</t>
  </si>
  <si>
    <t>SpreadSprEveningJ.vb</t>
  </si>
  <si>
    <t>SpreadSprEveningJ.xml</t>
  </si>
  <si>
    <t>SpreadSprMorningJ.vb</t>
  </si>
  <si>
    <t>SpreadSprMorningJ.xml</t>
  </si>
  <si>
    <t>SpreadSprMorningS.vb</t>
  </si>
  <si>
    <t>SpreadSprMorningS.xml</t>
  </si>
  <si>
    <t>DC09001D</t>
  </si>
  <si>
    <t>BasTlSeisekiReq.vb</t>
  </si>
  <si>
    <t>FrmTlSeisekiReq.Designer.vb</t>
  </si>
  <si>
    <t>FrmTlSeisekiReq.vb</t>
  </si>
  <si>
    <t>OS00901D</t>
  </si>
  <si>
    <t>MdChunk.vb</t>
  </si>
  <si>
    <t>Frm詳細表示.Designer.vb</t>
  </si>
  <si>
    <t>Frm詳細表示.vb</t>
  </si>
  <si>
    <t>Frm送信履歴.Designer.vb</t>
  </si>
  <si>
    <t>Frm送信履歴.vb</t>
  </si>
  <si>
    <t>SpreadSendHistory.vb</t>
  </si>
  <si>
    <t>SpreadSendHistory.xml</t>
  </si>
  <si>
    <t>Spread詳細表示.vb</t>
  </si>
  <si>
    <t>Spread詳細表示.xml</t>
  </si>
  <si>
    <t>Spread送信履歴.vb</t>
  </si>
  <si>
    <t>Spread送信履歴.xml</t>
  </si>
  <si>
    <t>PC00101D</t>
  </si>
  <si>
    <t>cls伝票入力.vb</t>
  </si>
  <si>
    <t>cls伝票明細データ.vb</t>
  </si>
  <si>
    <t>cls伝票種類データ.vb</t>
  </si>
  <si>
    <t>cls取引先一覧.vb</t>
  </si>
  <si>
    <t>cls品名一覧.vb</t>
  </si>
  <si>
    <t>cls船車一覧.vb</t>
  </si>
  <si>
    <t>Frm予定入力.Designer.vb</t>
  </si>
  <si>
    <t>Frm予定入力.vb</t>
  </si>
  <si>
    <t>Frm伝票入力.Designer.vb</t>
  </si>
  <si>
    <t>Frm伝票入力.vb</t>
  </si>
  <si>
    <t>Frm実績入力.Designer.vb</t>
  </si>
  <si>
    <t>Frm実績入力.vb</t>
  </si>
  <si>
    <t>mdlR3.vb</t>
  </si>
  <si>
    <t>Spread予定入力.vb</t>
  </si>
  <si>
    <t>Spread予定入力.xml</t>
  </si>
  <si>
    <t>Spread伝票入力.vb</t>
  </si>
  <si>
    <t>Spread伝票入力.xml</t>
  </si>
  <si>
    <t>Spread実績入力.vb</t>
  </si>
  <si>
    <t>Spread実績入力.xml</t>
  </si>
  <si>
    <t>PC00201D</t>
  </si>
  <si>
    <t>Spread伝票削除.vb</t>
  </si>
  <si>
    <t>Spread伝票削除.xml</t>
  </si>
  <si>
    <t>Frm伝票削除.Designer.vb</t>
  </si>
  <si>
    <t>Frm伝票削除.vb</t>
  </si>
  <si>
    <t>PC00301D</t>
  </si>
  <si>
    <t>Frm充填伝票チェックリスト.Designer.vb</t>
  </si>
  <si>
    <t>Frm充填伝票チェックリスト.vb</t>
  </si>
  <si>
    <t>PC00302D</t>
  </si>
  <si>
    <t>Frm出荷伝票チェックリスト.Designer.vb</t>
  </si>
  <si>
    <t>Frm出荷伝票チェックリスト.vb</t>
  </si>
  <si>
    <t>PC00303D</t>
  </si>
  <si>
    <t>Frm添加剤調合伝票チェックリスト.Designer.vb</t>
  </si>
  <si>
    <t>Frm添加剤調合伝票チェックリスト.vb</t>
  </si>
  <si>
    <t>PC00304D</t>
  </si>
  <si>
    <t>入荷伝票の作成＆チェックリスト（容器以外）.Designer.vb</t>
  </si>
  <si>
    <t>入荷伝票の作成＆チェックリスト（容器以外）.vb</t>
  </si>
  <si>
    <t>PC00305D</t>
  </si>
  <si>
    <t>Mdl容器入荷伝票チェックリスト.vb</t>
  </si>
  <si>
    <t>Frm容器入荷伝票チェックリスト.Designer.vb</t>
  </si>
  <si>
    <t>Frm容器入荷伝票チェックリスト.vb</t>
  </si>
  <si>
    <t>SO01001D</t>
  </si>
  <si>
    <t>FrmPrd.Designer.vb</t>
  </si>
  <si>
    <t>FrmPrd.vb</t>
  </si>
  <si>
    <t>PC_商品管理【帳票】</t>
  </si>
  <si>
    <t>PC00302R</t>
  </si>
  <si>
    <t>PC00304R</t>
  </si>
  <si>
    <t>PO_生産計画・発注</t>
  </si>
  <si>
    <t>CO00201D</t>
  </si>
  <si>
    <t>BasTivSeihinZan.vb</t>
  </si>
  <si>
    <t>FrmSeihinZan.Designer.vb</t>
  </si>
  <si>
    <t>FrmSeihinZan.vb</t>
  </si>
  <si>
    <t>SpreadZaikoZan.vb</t>
  </si>
  <si>
    <t>SpreadZaikoZan.xml</t>
  </si>
  <si>
    <t>CO00202D</t>
  </si>
  <si>
    <t>CLass</t>
  </si>
  <si>
    <t>BasTivAdtZan.vb</t>
  </si>
  <si>
    <t>FrmAdtZan.Designer.vb</t>
  </si>
  <si>
    <t>FrmAdtZan.vb</t>
  </si>
  <si>
    <t>CO00203D</t>
  </si>
  <si>
    <t>BasTivTkZan.vb</t>
  </si>
  <si>
    <t>FrmTkZan.Designer.vb</t>
  </si>
  <si>
    <t>FrmTkZan.vb</t>
  </si>
  <si>
    <t>CO00204D</t>
  </si>
  <si>
    <t>BasTivVesZan.vb</t>
  </si>
  <si>
    <t>FrmVesZan.Designer.vb</t>
  </si>
  <si>
    <t>FrmVesZan.vb</t>
  </si>
  <si>
    <t>SpreadVesZan.vb</t>
  </si>
  <si>
    <t>SpreadVesZan.xml</t>
  </si>
  <si>
    <t>DC06101D</t>
  </si>
  <si>
    <t>BasDcHeatList.vb</t>
  </si>
  <si>
    <t>From</t>
  </si>
  <si>
    <t>FrmDcHeatList.Designer.vb</t>
  </si>
  <si>
    <t>FrmDcHeatList.vb</t>
  </si>
  <si>
    <t>SprDate.vb</t>
  </si>
  <si>
    <t>SprDate.xml</t>
  </si>
  <si>
    <t>DC06401D</t>
  </si>
  <si>
    <t>DC06401D.vbproj.user</t>
  </si>
  <si>
    <t>BasDcUpdInp.vb</t>
  </si>
  <si>
    <t>FrmDcUpdInp.Designer.vb</t>
  </si>
  <si>
    <t>FrmDcUpdInp.vb</t>
  </si>
  <si>
    <t>FrmDcUpdTop.Designer.vb</t>
  </si>
  <si>
    <t>FrmDcUpdTop.vb</t>
  </si>
  <si>
    <t>SpreadDcUpdInp.vb</t>
  </si>
  <si>
    <t>SpreadDcUpdInp.xml</t>
  </si>
  <si>
    <t>IV00101D</t>
  </si>
  <si>
    <t>IV00401D</t>
  </si>
  <si>
    <t>Mdl製品詰品在庫一覧表印刷.vb</t>
  </si>
  <si>
    <t>IV00501D</t>
  </si>
  <si>
    <t>Cls詰品在庫品番別Data.vb</t>
  </si>
  <si>
    <t>Cls詰品在庫庫照会.vb</t>
  </si>
  <si>
    <t>Cls詰品在庫日別Data.vb</t>
  </si>
  <si>
    <t>Frm詰品在庫照会.Designer.vb</t>
  </si>
  <si>
    <t>Frm詰品在庫照会.vb</t>
  </si>
  <si>
    <t>Spread詰品在庫照会.vb</t>
  </si>
  <si>
    <t>Spread詰品在庫照会.xml</t>
  </si>
  <si>
    <t>JU00101D</t>
  </si>
  <si>
    <t>Mdl充填管理指図未送信ファイル作成.vb</t>
  </si>
  <si>
    <t>Frm充填管理指図未送信ファイル作成.Designer.vb</t>
  </si>
  <si>
    <t>Frm充填管理指図未送信ファイル作成.vb</t>
  </si>
  <si>
    <t>JU00102D</t>
  </si>
  <si>
    <t>JU00201D</t>
  </si>
  <si>
    <t>Mdl計画手配データ作成.vb</t>
  </si>
  <si>
    <t>Frm計画手配データ作成.Designer.vb</t>
  </si>
  <si>
    <t>Frm計画手配データ作成.vb</t>
  </si>
  <si>
    <t>PO00101D</t>
  </si>
  <si>
    <t>Mdl生産指図.vb</t>
  </si>
  <si>
    <t>Frm生産指図.Designer.vb</t>
  </si>
  <si>
    <t>Frm生産指図.vb</t>
  </si>
  <si>
    <t>PO30101D</t>
  </si>
  <si>
    <t>clsケース充填計画入力.vb</t>
  </si>
  <si>
    <t>clsケース充填計画制約.vb</t>
  </si>
  <si>
    <t>clsケース充填計画項目データ.vb</t>
  </si>
  <si>
    <t>mdlMain.vb</t>
  </si>
  <si>
    <t>mdlケース充填計画一覧.vb</t>
  </si>
  <si>
    <t>SprPlanInput.vb</t>
  </si>
  <si>
    <t>SprPlanInput.xml</t>
  </si>
  <si>
    <t>ケース充填計画入力.designer.vb</t>
  </si>
  <si>
    <t>ケース充填計画入力.vb</t>
  </si>
  <si>
    <t>制約詳細.designer.vb</t>
  </si>
  <si>
    <t>制約詳細.vb</t>
  </si>
  <si>
    <t>PO30102D</t>
  </si>
  <si>
    <t>Cls日別充填個数.vb</t>
  </si>
  <si>
    <t>Cls日別充填個数データ.vb</t>
  </si>
  <si>
    <t>Mdl日別充填個数.vb</t>
  </si>
  <si>
    <t>Frmケース日別充填個数照会.Designer.vb</t>
  </si>
  <si>
    <t>Frmケース日別充填個数照会.vb</t>
  </si>
  <si>
    <t>SpreadDateList.vb</t>
  </si>
  <si>
    <t>SpreadDateList.xml</t>
  </si>
  <si>
    <t>PO30203D</t>
  </si>
  <si>
    <t>Frmケース充填予定.Designer.vb</t>
  </si>
  <si>
    <t>Frmケース充填予定.vb</t>
  </si>
  <si>
    <t>PO30204D</t>
  </si>
  <si>
    <t>Cls充填機情報.vb</t>
  </si>
  <si>
    <t>Cls充填順序決定一覧.vb</t>
  </si>
  <si>
    <t>Cls充填順序決定表示.vb</t>
  </si>
  <si>
    <t>Cls充填順序決定項目.vb</t>
  </si>
  <si>
    <t>Frmケース充填順序決定.Designer.vb</t>
  </si>
  <si>
    <t>Frmケース充填順序決定.vb</t>
  </si>
  <si>
    <t>SpreadSeqDeci.vb</t>
  </si>
  <si>
    <t>SpreadSeqDeci.xml</t>
  </si>
  <si>
    <t>Spreadケース充填順序決定.vb</t>
  </si>
  <si>
    <t>Spreadケース充填順序決定.xml</t>
  </si>
  <si>
    <t>PO30301D</t>
  </si>
  <si>
    <t>Mdlケース発注残照会.vb</t>
  </si>
  <si>
    <t>Frmケース発注残照会.Designer.vb</t>
  </si>
  <si>
    <t>Frmケース発注残照会.vb</t>
  </si>
  <si>
    <t>SpreadCaseHacchuZan.vb</t>
  </si>
  <si>
    <t>SpreadCaseHacchuZan.xml</t>
  </si>
  <si>
    <t>PO30401D</t>
  </si>
  <si>
    <t>Mdlケース発注.vb</t>
  </si>
  <si>
    <t>Frmケース発注.Designer.vb</t>
  </si>
  <si>
    <t>Frmケース発注.vb</t>
  </si>
  <si>
    <t>PO30602D</t>
  </si>
  <si>
    <t>Frmケース充填計画.Designer.vb</t>
  </si>
  <si>
    <t>Frmケース充填計画.vb</t>
  </si>
  <si>
    <t>PO30901D</t>
  </si>
  <si>
    <t>Cls過去実績データ.vb</t>
  </si>
  <si>
    <t>Cls過去実績入力.vb</t>
  </si>
  <si>
    <t>Cls過去実績月別データ.vb</t>
  </si>
  <si>
    <t>Mdl過去実績照会.vb</t>
  </si>
  <si>
    <t>Frmドラム過去実績照会.Designer.vb</t>
  </si>
  <si>
    <t>Frmドラム過去実績照会.vb</t>
  </si>
  <si>
    <t>SpreadCaseFillPlan.vb</t>
  </si>
  <si>
    <t>SpreadCaseFillPlan.xml</t>
  </si>
  <si>
    <t>PO31101D</t>
  </si>
  <si>
    <t>Clsケース発注.vb</t>
  </si>
  <si>
    <t>Clsケース発注一覧.vb</t>
  </si>
  <si>
    <t>Cls空ドラム発注.vb</t>
  </si>
  <si>
    <t>Cls空ドラム発注一覧.vb</t>
  </si>
  <si>
    <t>Frm注文書再印刷.Designer.vb</t>
  </si>
  <si>
    <t>Frm注文書再印刷.vb</t>
  </si>
  <si>
    <t>Spreadケース発注.vb</t>
  </si>
  <si>
    <t>Spreadケース発注.xml</t>
  </si>
  <si>
    <t>Spread空ドラム発注.vb</t>
  </si>
  <si>
    <t>Spread空ドラム発注.xml</t>
  </si>
  <si>
    <t>PO32002D</t>
  </si>
  <si>
    <t>Clsケース充填実績データ.vb</t>
  </si>
  <si>
    <t>Clsケース充填実績入力.vb</t>
  </si>
  <si>
    <t>Mdlケース充填実績.vb</t>
  </si>
  <si>
    <t>Mdl製造発注.vb</t>
  </si>
  <si>
    <t>Frmケース充填実績.Designer.vb</t>
  </si>
  <si>
    <t>Frmケース充填実績.vb</t>
  </si>
  <si>
    <t>Spreadケース充填実績.vb</t>
  </si>
  <si>
    <t>Spreadケース充填実績.xml</t>
  </si>
  <si>
    <t>PO34001D</t>
  </si>
  <si>
    <t>Clsドラム充填計画タンク別データ.vb</t>
  </si>
  <si>
    <t>Clsドラム充填計画入力.vb</t>
  </si>
  <si>
    <t>Clsドラム充填計画制約.vb</t>
  </si>
  <si>
    <t>Clsドラム充填計画品別データ.vb</t>
  </si>
  <si>
    <t>Clsドラム充填計画日別データ.vb</t>
  </si>
  <si>
    <t>Cls当残.vb</t>
  </si>
  <si>
    <t>mdlドラム充填計画一覧.vb</t>
  </si>
  <si>
    <t>frmドラム充填計画入力.Designer.vb</t>
  </si>
  <si>
    <t>frmドラム充填計画入力.vb</t>
  </si>
  <si>
    <t>frmドラム充填計画色説明.Designer.vb</t>
  </si>
  <si>
    <t>frmドラム充填計画色説明.vb</t>
  </si>
  <si>
    <t>Frm制約詳細.Designer.vb</t>
  </si>
  <si>
    <t>Frm制約詳細.vb</t>
  </si>
  <si>
    <t>Spreadドラム充填計画入力_ドラム充填計画入力.vb</t>
  </si>
  <si>
    <t>Spreadドラム充填計画入力_ドラム充填計画入力.xml</t>
  </si>
  <si>
    <t>Spreadドラム充填計画入力_充填数一覧.vb</t>
  </si>
  <si>
    <t>Spreadドラム充填計画入力_充填数一覧.xml</t>
  </si>
  <si>
    <t>Spreadドラム充填計画入力_詰品在庫一覧.vb</t>
  </si>
  <si>
    <t>Spreadドラム充填計画入力_詰品在庫一覧.xml</t>
  </si>
  <si>
    <t>Spreadドラム充填計画色説明.vb</t>
  </si>
  <si>
    <t>Spreadドラム充填計画色説明.xml</t>
  </si>
  <si>
    <t>Spread制約詳細.vb</t>
  </si>
  <si>
    <t>Spread制約詳細.xml</t>
  </si>
  <si>
    <t>PO34103D</t>
  </si>
  <si>
    <t>Frmドラム充填予定表.Designer.vb</t>
  </si>
  <si>
    <t>Frmドラム充填予定表.vb</t>
  </si>
  <si>
    <t>PO34104D</t>
  </si>
  <si>
    <t>Cls決定データ.vb</t>
  </si>
  <si>
    <t>Cls決定充填口データ.vb</t>
  </si>
  <si>
    <t>Cls決定入力.vb</t>
  </si>
  <si>
    <t>Cls決定済データ.vb</t>
  </si>
  <si>
    <t>Cls決定済充填数データ.vb</t>
  </si>
  <si>
    <t>Cls決定済入力.vb</t>
  </si>
  <si>
    <t>Mdlドラム充填口決定.vb</t>
  </si>
  <si>
    <t>Frmドラム充填口決定.Designer.vb</t>
  </si>
  <si>
    <t>Frmドラム充填口決定.vb</t>
  </si>
  <si>
    <t>Frmドラム品名別明細一覧.Designer.vb</t>
  </si>
  <si>
    <t>Frmドラム品名別明細一覧.vb</t>
  </si>
  <si>
    <t>Frm充填口の充填数上限メンテナンス.Designer.vb</t>
  </si>
  <si>
    <t>Frm充填口の充填数上限メンテナンス.vb</t>
  </si>
  <si>
    <t>Spreadドラム充填口決定_sprCaseFillPlan.vb</t>
  </si>
  <si>
    <t>Spreadドラム充填口決定_sprCaseFillPlan.xml</t>
  </si>
  <si>
    <t>Spreadドラム充填口決定_vaSpread1.vb</t>
  </si>
  <si>
    <t>Spreadドラム充填口決定_vaSpread1.xml</t>
  </si>
  <si>
    <t>Spreadドラム品名別明細一覧.vb</t>
  </si>
  <si>
    <t>Spreadドラム品名別明細一覧.xml</t>
  </si>
  <si>
    <t>PO34201D</t>
  </si>
  <si>
    <t>Cls発注データ.vb</t>
  </si>
  <si>
    <t>Cls発注メーカーデータ.vb</t>
  </si>
  <si>
    <t>Cls発注メーカー入力.vb</t>
  </si>
  <si>
    <t>Cls発注メーカー別データ.vb</t>
  </si>
  <si>
    <t>Cls発注入力.vb</t>
  </si>
  <si>
    <t>Mdl空ドラム発注計画.vb</t>
  </si>
  <si>
    <t>Frm空ドラム発注計画入力.Designer.vb</t>
  </si>
  <si>
    <t>Frm空ドラム発注計画入力.vb</t>
  </si>
  <si>
    <t>SpreadVA.vb</t>
  </si>
  <si>
    <t>SpreadVA.xml</t>
  </si>
  <si>
    <t>Spread空ドラム発注計画入力.vb</t>
  </si>
  <si>
    <t>Spread空ドラム発注計画入力.xml</t>
  </si>
  <si>
    <t>PO34301D</t>
  </si>
  <si>
    <t>Cls発注先別数量入力.vb</t>
  </si>
  <si>
    <t>Cls発注先別数量入力データ.vb</t>
  </si>
  <si>
    <t>Frm発注先別月間購入数量メンテナンス.Designer.vb</t>
  </si>
  <si>
    <t>Frm発注先別月間購入数量メンテナンス.vb</t>
  </si>
  <si>
    <t>Spread発注先別月間購入数量メンテナンス.vb</t>
  </si>
  <si>
    <t>Spread発注先別月間購入数量メンテナンス.xml</t>
  </si>
  <si>
    <t>PO34402D</t>
  </si>
  <si>
    <t>Frmドラム充填計画表.Designer.vb</t>
  </si>
  <si>
    <t>Frmドラム充填計画表.vb</t>
  </si>
  <si>
    <t>PO36002D</t>
  </si>
  <si>
    <t>Clsドラム充填実績データ.vb</t>
  </si>
  <si>
    <t>Clsドラム充填実績入力.vb</t>
  </si>
  <si>
    <t>Mdlドラム充填実績.vb</t>
  </si>
  <si>
    <t>Frmドラム充填実績.Designer.vb</t>
  </si>
  <si>
    <t>Frmドラム充填実績.vb</t>
  </si>
  <si>
    <t>Spreadドラム充填実績.vb</t>
  </si>
  <si>
    <t>Spreadドラム充填実績.xml</t>
  </si>
  <si>
    <t>PO40101D</t>
  </si>
  <si>
    <t>cls制約詳細構造体.vb</t>
  </si>
  <si>
    <t>cls製造計画タンク別Data.vb</t>
  </si>
  <si>
    <t>cls製造計画入力.vb</t>
  </si>
  <si>
    <t>cls製造計画日別Data.vb</t>
  </si>
  <si>
    <t>cls製造配合比.vb</t>
  </si>
  <si>
    <t>cls製造配合比Data.vb</t>
  </si>
  <si>
    <t>Frm製造計画入力.Designer.vb</t>
  </si>
  <si>
    <t>Frm製造計画入力.vb</t>
  </si>
  <si>
    <t>Frm製造項目入力.Designer.vb</t>
  </si>
  <si>
    <t>Frm製造項目入力.vb</t>
  </si>
  <si>
    <t>Frm配合比照会.Designer.vb</t>
  </si>
  <si>
    <t>Frm配合比照会.vb</t>
  </si>
  <si>
    <t>Frm配合比選択.designer.vb</t>
  </si>
  <si>
    <t>Frm配合比選択.vb</t>
  </si>
  <si>
    <t>SprBlendList.vb</t>
  </si>
  <si>
    <t>SprBlendList.xml</t>
  </si>
  <si>
    <t>SprCB.vb</t>
  </si>
  <si>
    <t>SprCB.xml</t>
  </si>
  <si>
    <t>SprHaigouhi.vb</t>
  </si>
  <si>
    <t>SprHaigouhi.xml</t>
  </si>
  <si>
    <t>SprInput.vb</t>
  </si>
  <si>
    <t>SprInput.xml</t>
  </si>
  <si>
    <t>SprSelectDay.vb</t>
  </si>
  <si>
    <t>SprSelectDay.xml</t>
  </si>
  <si>
    <t>SprTotal.vb</t>
  </si>
  <si>
    <t>SprTotal.xml</t>
  </si>
  <si>
    <t>PO40201D</t>
  </si>
  <si>
    <t>Frm予定表印刷.Designer.vb</t>
  </si>
  <si>
    <t>Frm予定表印刷.vb</t>
  </si>
  <si>
    <t>PO40202D</t>
  </si>
  <si>
    <t>PO40202D.vbproj.user</t>
  </si>
  <si>
    <t>Cls製造順序入力.vb</t>
  </si>
  <si>
    <t>Cls製造順序入力Data.vb</t>
  </si>
  <si>
    <t>Frm製造順序入力.Designer.vb</t>
  </si>
  <si>
    <t>Frm製造順序入力.vb</t>
  </si>
  <si>
    <t>Spread製造順序入力.vb</t>
  </si>
  <si>
    <t>Spread製造順序入力.xml</t>
  </si>
  <si>
    <t>PO40301D</t>
  </si>
  <si>
    <t>PO40301D.vbproj.user</t>
  </si>
  <si>
    <t>Clsフラグ修正.vb</t>
  </si>
  <si>
    <t>Clsフラグ修正Data.vb</t>
  </si>
  <si>
    <t>Frmフラグ修正.Designer.vb</t>
  </si>
  <si>
    <t>Frmフラグ修正.vb</t>
  </si>
  <si>
    <t>SpreadFlagList.vb</t>
  </si>
  <si>
    <t>SpreadFlagList.xml</t>
  </si>
  <si>
    <t>PO40401D</t>
  </si>
  <si>
    <t>Frm計画表印刷.Designer.vb</t>
  </si>
  <si>
    <t>Frm計画表印刷.vb</t>
  </si>
  <si>
    <t>Spreadド帳票印刷.vb</t>
  </si>
  <si>
    <t>Spread帳票印刷.xml</t>
  </si>
  <si>
    <t>PO40501D</t>
  </si>
  <si>
    <t>Frmサンプルラベル.Designer.vb</t>
  </si>
  <si>
    <t>Frmサンプルラベル.vb</t>
  </si>
  <si>
    <t>SprPrintStart.vb</t>
  </si>
  <si>
    <t>SprPrintStart.xml</t>
  </si>
  <si>
    <t>PO40801D</t>
  </si>
  <si>
    <t>Cls基材使用実績.vb</t>
  </si>
  <si>
    <t>Cls基材別Data.vb</t>
  </si>
  <si>
    <t>Cls製造実績.vb</t>
  </si>
  <si>
    <t>Cls製造実績別Data.vb</t>
  </si>
  <si>
    <t>Frm基材使用実績.Designer.vb</t>
  </si>
  <si>
    <t>Frm基材使用実績.vb</t>
  </si>
  <si>
    <t>Frm製造実績修正.Designer.vb</t>
  </si>
  <si>
    <t>Frm製造実績修正.vb</t>
  </si>
  <si>
    <t>Spread基材使用実績一覧.vb</t>
  </si>
  <si>
    <t>Spread基材使用実績一覧.xml</t>
  </si>
  <si>
    <t>Spread製品実績.vb</t>
  </si>
  <si>
    <t>Spread製品実績.xml</t>
  </si>
  <si>
    <t>Spread製造実績一覧.vb</t>
  </si>
  <si>
    <t>Spread製造実績一覧.xml</t>
  </si>
  <si>
    <t>PO50101D</t>
  </si>
  <si>
    <t>Cls使用先照会操作.vb</t>
  </si>
  <si>
    <t>Cls制約詳細構造体.vb</t>
  </si>
  <si>
    <t>Cls日別実績照会操作.vb</t>
  </si>
  <si>
    <t>Cls日別実績照会構造体.vb</t>
  </si>
  <si>
    <t>Cls計画入力操作.vb</t>
  </si>
  <si>
    <t>Cls計画入力構造体日付別.vb</t>
  </si>
  <si>
    <t>Cls計画入力構造体日付配列.vb</t>
  </si>
  <si>
    <t>Cls計画入力構造体油種別.vb</t>
  </si>
  <si>
    <t>Cls計画入力構造体項目入力.vb</t>
  </si>
  <si>
    <t>Cls計画入力項目操作.vb</t>
  </si>
  <si>
    <t>Mdl計画入力定数.vb</t>
  </si>
  <si>
    <t>Frm添加剤使途先照会.Designer.vb</t>
  </si>
  <si>
    <t>Frm添加剤使途先照会.vb</t>
  </si>
  <si>
    <t>Frm添加剤受入計画.Designer.vb</t>
  </si>
  <si>
    <t>Frm添加剤受入計画.vb</t>
  </si>
  <si>
    <t>Frm添加剤受入計画色説明（タンク）.Designer.vb</t>
  </si>
  <si>
    <t>Frm添加剤受入計画色説明（タンク）.vb</t>
  </si>
  <si>
    <t>Frm添加剤日別実績照会.Designer.vb</t>
  </si>
  <si>
    <t>Frm添加剤日別実績照会.vb</t>
  </si>
  <si>
    <t>Frm添加剤項目入力.Designer.vb</t>
  </si>
  <si>
    <t>Frm添加剤項目入力.vb</t>
  </si>
  <si>
    <t>SprDairyJisseki.vb</t>
  </si>
  <si>
    <t>SprDairyJisseki.xml</t>
  </si>
  <si>
    <t>SprDateList.vb</t>
  </si>
  <si>
    <t>SprDateList.xml</t>
  </si>
  <si>
    <t>SprMast.vb</t>
  </si>
  <si>
    <t>SprMast.xml</t>
  </si>
  <si>
    <t>SprPlan.vb</t>
  </si>
  <si>
    <t>SprPlan.xml</t>
  </si>
  <si>
    <t>SprSiyousakiList.vb</t>
  </si>
  <si>
    <t>SprSiyousakiList.xml</t>
  </si>
  <si>
    <t>SprTran.vb</t>
  </si>
  <si>
    <t>SprTran.xml</t>
  </si>
  <si>
    <t>PO50301D</t>
  </si>
  <si>
    <t>Cls過去実績照会操作.vb</t>
  </si>
  <si>
    <t>Cls過去実績照会操作Data.vb</t>
  </si>
  <si>
    <t>Frm添加剤過去実績照会.Designer.vb</t>
  </si>
  <si>
    <t>Frm添加剤過去実績照会.vb</t>
  </si>
  <si>
    <t>Spread添加剤過去実績照会.vb</t>
  </si>
  <si>
    <t>Spread添加剤過去実績照会.xml</t>
  </si>
  <si>
    <t>PO50402D</t>
  </si>
  <si>
    <t>Cls棚卸入力操作.vb</t>
  </si>
  <si>
    <t>Cls棚卸入力構造体.vb</t>
  </si>
  <si>
    <t>Frm添加剤棚卸入力.Designer.vb</t>
  </si>
  <si>
    <t>Frm添加剤棚卸入力.vb</t>
  </si>
  <si>
    <t>SprTanaorosi.vb</t>
  </si>
  <si>
    <t>SprTanaorosi.xml</t>
  </si>
  <si>
    <t>PO50801D</t>
  </si>
  <si>
    <t>Cls発注処理操作.vb</t>
  </si>
  <si>
    <t>Cls発注処理構造体.vb</t>
  </si>
  <si>
    <t>Frm発注処理.Designer.vb</t>
  </si>
  <si>
    <t>Frm発注処理.vb</t>
  </si>
  <si>
    <t>Spreadメーカー確認処理.vb</t>
  </si>
  <si>
    <t>Spreadメーカー確認処理.xml</t>
  </si>
  <si>
    <t>Spread再発行処理.vb</t>
  </si>
  <si>
    <t>Spread再発行処理.xml</t>
  </si>
  <si>
    <t>Spread発注処理.vb</t>
  </si>
  <si>
    <t>Spread発注処理.xml</t>
  </si>
  <si>
    <t>PO51001D</t>
  </si>
  <si>
    <t>Spread印刷開始位置.vb</t>
  </si>
  <si>
    <t>Spread印刷開始位置.xml</t>
  </si>
  <si>
    <t>PO51101D</t>
  </si>
  <si>
    <t>Clsローリー実績入力操作.vb</t>
  </si>
  <si>
    <t>Clsローリー実績入力構造体.vb</t>
  </si>
  <si>
    <t>FrmChngTkNo.Designer.vb</t>
  </si>
  <si>
    <t>FrmChngTkNo.vb</t>
  </si>
  <si>
    <t>Frmローリー実績数量入力.Designer.vb</t>
  </si>
  <si>
    <t>Frmローリー実績数量入力.vb</t>
  </si>
  <si>
    <t>SpreadRoly.vb</t>
  </si>
  <si>
    <t>SpreadRoly.xml</t>
  </si>
  <si>
    <t>FIND.bmp</t>
  </si>
  <si>
    <t>PO51201D</t>
  </si>
  <si>
    <t>cls調合指図基材操作.vb</t>
  </si>
  <si>
    <t>cls調合指図基材構造体.vb</t>
  </si>
  <si>
    <t>cls調合指図実績操作.vb</t>
  </si>
  <si>
    <t>cls調合指図実績構造体.vb</t>
  </si>
  <si>
    <t>Frm調合指図基材.Designer.vb</t>
  </si>
  <si>
    <t>Frm調合指図基材.vb</t>
  </si>
  <si>
    <t>Frm調合指図実績.Designer.vb</t>
  </si>
  <si>
    <t>Frm調合指図実績.vb</t>
  </si>
  <si>
    <t>SprBaseList.vb</t>
  </si>
  <si>
    <t>SprBaseList.xml</t>
  </si>
  <si>
    <t>SprJisseki.vb</t>
  </si>
  <si>
    <t>SprJisseki.xml</t>
  </si>
  <si>
    <t>SprSasizu.vb</t>
  </si>
  <si>
    <t>SprSasizu.xml</t>
  </si>
  <si>
    <t>PO90101D</t>
  </si>
  <si>
    <t>Classs</t>
  </si>
  <si>
    <t>FrmPO90101D.Designer.vb</t>
  </si>
  <si>
    <t>FrmPO90101D.vb</t>
  </si>
  <si>
    <t>PO_生産計画・発注【帳票】</t>
  </si>
  <si>
    <t>PO30203R</t>
  </si>
  <si>
    <t>PO30203R.vbproj.user</t>
  </si>
  <si>
    <t>PO30401R</t>
  </si>
  <si>
    <t>PO30602R</t>
  </si>
  <si>
    <t>PO30603R</t>
  </si>
  <si>
    <t>PO30604R</t>
  </si>
  <si>
    <t>PO31101R</t>
  </si>
  <si>
    <t>PO31102R</t>
  </si>
  <si>
    <t>PO34103R</t>
  </si>
  <si>
    <t>PO34103R.vbproj.user</t>
  </si>
  <si>
    <t>PO34201R</t>
  </si>
  <si>
    <t>PO34403R</t>
  </si>
  <si>
    <t>PO34404R</t>
  </si>
  <si>
    <t>PO34405R</t>
  </si>
  <si>
    <t>PO40102R</t>
  </si>
  <si>
    <t>PO40201R</t>
  </si>
  <si>
    <t>PO40301R</t>
  </si>
  <si>
    <t>PO40311R</t>
  </si>
  <si>
    <t>PO40401R</t>
  </si>
  <si>
    <t>PO40501R</t>
  </si>
  <si>
    <t>PO40601R</t>
  </si>
  <si>
    <t>PO50801R</t>
  </si>
  <si>
    <t>PO51001R</t>
  </si>
  <si>
    <t>QU_品質管理</t>
  </si>
  <si>
    <t>QU00101D</t>
  </si>
  <si>
    <t>Cls製品ロット台帳Data.vb</t>
  </si>
  <si>
    <t>Cls製品ロット台帳操作.vb</t>
  </si>
  <si>
    <t>Frm製品ベースオイルロット台帳入力照会.Designer.vb</t>
  </si>
  <si>
    <t>Frm製品ベースオイルロット台帳入力照会.vb</t>
  </si>
  <si>
    <t>Spread製品ベースオイルロット台帳入力照会.vb</t>
  </si>
  <si>
    <t>Spread製品ベースオイルロット台帳入力照会.xml</t>
  </si>
  <si>
    <t>Spread製品ベースオイルロット台帳入力照会_ロット台帳一覧.vb</t>
  </si>
  <si>
    <t>Spread製品ベースオイルロット台帳入力照会_ロット台帳一覧.xml</t>
  </si>
  <si>
    <t>QU00201D</t>
  </si>
  <si>
    <t>Clsロット合否データ.vb</t>
  </si>
  <si>
    <t>Clsロット合否入力.vb</t>
  </si>
  <si>
    <t>MdlFunction.vb</t>
  </si>
  <si>
    <t>Frmロット合否入力.Designer.vb</t>
  </si>
  <si>
    <t>Frmロット合否入力.vb</t>
  </si>
  <si>
    <t>Spreadロット合否入力.vb</t>
  </si>
  <si>
    <t>Spreadロット合否入力.xml</t>
  </si>
  <si>
    <t>QU00301D</t>
  </si>
  <si>
    <t>Cls添加剤ロット合否操作.vb</t>
  </si>
  <si>
    <t>Cls添加剤選択.vb</t>
  </si>
  <si>
    <t>Frmロット合否.Designer.vb</t>
  </si>
  <si>
    <t>Frmロット合否.vb</t>
  </si>
  <si>
    <t>Frm品名選択.Designer.vb</t>
  </si>
  <si>
    <t>Frm品名選択.vb</t>
  </si>
  <si>
    <t>SpreadLotGouhi.vb</t>
  </si>
  <si>
    <t>SpreadLotGouhi.xml</t>
  </si>
  <si>
    <t>SpreadLotInput.vb</t>
  </si>
  <si>
    <t>SpreadLotInput.xml</t>
  </si>
  <si>
    <t>Spread品名選択.vb</t>
  </si>
  <si>
    <t>Spread品名選択.xml</t>
  </si>
  <si>
    <t>QU00430D</t>
  </si>
  <si>
    <t>BasLotResRcvErrLst.vb</t>
  </si>
  <si>
    <t>Frmロット合否エラーリスト印刷.Designer.vb</t>
  </si>
  <si>
    <t>Frmロット合否エラーリスト印刷.vb</t>
  </si>
  <si>
    <t>QU00601D</t>
  </si>
  <si>
    <t>Mdlロット試験依頼.vb</t>
  </si>
  <si>
    <t>Frmロット試験依頼.Designer.vb</t>
  </si>
  <si>
    <t>Frmロット試験依頼.vb</t>
  </si>
  <si>
    <t>QU00701D</t>
  </si>
  <si>
    <t>Mdl品転品ロット実績.vb</t>
  </si>
  <si>
    <t>Frm品転品ロット実績.Designer.vb</t>
  </si>
  <si>
    <t>Frm品転品ロット実績.vb</t>
  </si>
  <si>
    <t>QU_品質管理【帳票】</t>
  </si>
  <si>
    <t>AK01001R</t>
  </si>
  <si>
    <t>AK01003R</t>
  </si>
  <si>
    <t>AK01004R</t>
  </si>
  <si>
    <t>PC00301R</t>
  </si>
  <si>
    <t>PC00303R</t>
  </si>
  <si>
    <t>PC00305R</t>
  </si>
  <si>
    <t>QU00101R</t>
  </si>
  <si>
    <t>QU00301R</t>
  </si>
  <si>
    <t>QU00420R</t>
  </si>
  <si>
    <t>SH_受注入出荷</t>
  </si>
  <si>
    <t>CO00010D</t>
  </si>
  <si>
    <t>FrmTkrOrdAdd.Designer.vb</t>
  </si>
  <si>
    <t>FrmTkrOrdAdd.vb</t>
  </si>
  <si>
    <t>Image1.png</t>
  </si>
  <si>
    <t>CO00011D</t>
  </si>
  <si>
    <t>FrmTkrOrdEdit.Designer.vb</t>
  </si>
  <si>
    <t>FrmTkrOrdEdit.vb</t>
  </si>
  <si>
    <t>CO00020D</t>
  </si>
  <si>
    <t>FrmTlOrdAdd.Designer.vb</t>
  </si>
  <si>
    <t>FrmTlOrdAdd.vb</t>
  </si>
  <si>
    <t>CO00021D</t>
  </si>
  <si>
    <t>FrmTlOrdEdit.Designer.vb</t>
  </si>
  <si>
    <t>FrmTlOrdEdit.vb</t>
  </si>
  <si>
    <t>DC06201D</t>
  </si>
  <si>
    <t>BasDcSndSasizu.vb</t>
  </si>
  <si>
    <t>BasDcSndSasizuDetail.vb</t>
  </si>
  <si>
    <t>BasDcSndSasizuRefer.vb</t>
  </si>
  <si>
    <t>BasDcSndSasizuVar.vb</t>
  </si>
  <si>
    <t>FrmDcSndPoSasizuDetail.Designer.vb</t>
  </si>
  <si>
    <t>FrmDcSndPoSasizuDetail.vb</t>
  </si>
  <si>
    <t>FrmDcSndPoSasizuRefer.Designer.vb</t>
  </si>
  <si>
    <t>FrmDcSndPoSasizuRefer.vb</t>
  </si>
  <si>
    <t>FrmDcSndSasizu.Designer.vb</t>
  </si>
  <si>
    <t>FrmDcSndSasizu.vb</t>
  </si>
  <si>
    <t>FrmDcSndShSasizuDetail.Designer.vb</t>
  </si>
  <si>
    <t>FrmDcSndShSasizuDetail.vb</t>
  </si>
  <si>
    <t>FrmDcSndShSasizuRefer.Designer.vb</t>
  </si>
  <si>
    <t>FrmDcSndShSasizuRefer.vb</t>
  </si>
  <si>
    <t>SprPoNonSndRefer.vb</t>
  </si>
  <si>
    <t>SprPoNonSndRefer.xml</t>
  </si>
  <si>
    <t>SprPoSasizu.vb</t>
  </si>
  <si>
    <t>SprPoSasizu.xml</t>
  </si>
  <si>
    <t>SprPoSasizuDetail.vb</t>
  </si>
  <si>
    <t>SprPoSasizuDetail.xml</t>
  </si>
  <si>
    <t>SprShNonSndRefer.vb</t>
  </si>
  <si>
    <t>SprShNonSndRefer.xml</t>
  </si>
  <si>
    <t>SprShSasizu.vb</t>
  </si>
  <si>
    <t>SprShSasizu.xml</t>
  </si>
  <si>
    <t>SprShSasizuDetail.vb</t>
  </si>
  <si>
    <t>SprShSasizuDetail.xml</t>
  </si>
  <si>
    <t>LT12101D</t>
  </si>
  <si>
    <t>BasChkSzKan.vb</t>
  </si>
  <si>
    <t>BasSftSzKtMain.vb</t>
  </si>
  <si>
    <t>StringUtils.vb</t>
  </si>
  <si>
    <t>FrmChkSzKan.Designer.vb</t>
  </si>
  <si>
    <t>FrmChkSzKan.vb</t>
  </si>
  <si>
    <t>FrmHinRoTuika.Designer.vb</t>
  </si>
  <si>
    <t>FrmHinRoTuika.vb</t>
  </si>
  <si>
    <t>FrmHuiSyuList.Designer.vb</t>
  </si>
  <si>
    <t>FrmHuiSyuList.vb</t>
  </si>
  <si>
    <t>SprHuiList.vb</t>
  </si>
  <si>
    <t>SprHuiList.xml</t>
  </si>
  <si>
    <t>LT12401D</t>
  </si>
  <si>
    <t>BasOdIn修正.vb</t>
  </si>
  <si>
    <t>FrmSendJisseki.Designer.vb</t>
  </si>
  <si>
    <t>FrmSendJisseki.vb</t>
  </si>
  <si>
    <t>LT21101D</t>
  </si>
  <si>
    <t>Frm車載端末IDラベル印刷.Designer.vb</t>
  </si>
  <si>
    <t>Frm車載端末IDラベル印刷.vb</t>
  </si>
  <si>
    <t>OS00210D</t>
  </si>
  <si>
    <t>FrmOrdRcv.Designer.vb</t>
  </si>
  <si>
    <t>FrmOrdRcv.vb</t>
  </si>
  <si>
    <t>SpreadOrdRcv.vb</t>
  </si>
  <si>
    <t>SpreadOrdRcv.xml</t>
  </si>
  <si>
    <t>OS00220D</t>
  </si>
  <si>
    <t>FrmErrLog.Designer.vb</t>
  </si>
  <si>
    <t>FrmErrLog.vb</t>
  </si>
  <si>
    <t>FrmErrLst.Designer.vb</t>
  </si>
  <si>
    <t>FrmErrLst.vb</t>
  </si>
  <si>
    <t>FrmRcvDat.Designer.vb</t>
  </si>
  <si>
    <t>FrmRcvDat.vb</t>
  </si>
  <si>
    <t>SpreadErrLog.vb</t>
  </si>
  <si>
    <t>SpreadErrLog.xml</t>
  </si>
  <si>
    <t>SpreadErrLst.vb</t>
  </si>
  <si>
    <t>SpreadErrLst.xml</t>
  </si>
  <si>
    <t>SpreadRcvDat.vb</t>
  </si>
  <si>
    <t>SpreadRcvDat.xml</t>
  </si>
  <si>
    <t>SH00101D</t>
  </si>
  <si>
    <t>BasOdInput.vb</t>
  </si>
  <si>
    <t>BasOdInputDTO.vb</t>
  </si>
  <si>
    <t>BasOdInputMain.vb</t>
  </si>
  <si>
    <t>BasOdRestDtl.vb</t>
  </si>
  <si>
    <t>BasOdRestDtlDTO.vb</t>
  </si>
  <si>
    <t>BasOdTkTmpDetail.vb</t>
  </si>
  <si>
    <t>BasOdTkTmpList.vb</t>
  </si>
  <si>
    <t>FrmOdInput.Designer.vb</t>
  </si>
  <si>
    <t>FrmOdInput.vb</t>
  </si>
  <si>
    <t>FrmOdRestDtl.Designer.vb</t>
  </si>
  <si>
    <t>FrmOdRestDtl.vb</t>
  </si>
  <si>
    <t>FrmOdTkTmpDetail.Designer.vb</t>
  </si>
  <si>
    <t>FrmOdTkTmpDetail.vb</t>
  </si>
  <si>
    <t>FrmOdTkTmpLst.Designer.vb</t>
  </si>
  <si>
    <t>FrmOdTkTmpLst.vb</t>
  </si>
  <si>
    <t>SpreadOdInput.vb</t>
  </si>
  <si>
    <t>SpreadOdInput.xml</t>
  </si>
  <si>
    <t>SpreadOdRestDtl.vb</t>
  </si>
  <si>
    <t>SpreadOdRestDtl.xml</t>
  </si>
  <si>
    <t>SpreadOdTkTmpDetail.vb</t>
  </si>
  <si>
    <t>SpreadOdTkTmpDetail.xml</t>
  </si>
  <si>
    <t>SpreadOdTkTmpLst.vb</t>
  </si>
  <si>
    <t>SpreadOdTkTmpLst.xml</t>
  </si>
  <si>
    <t>SH00101S</t>
  </si>
  <si>
    <t>SH00102D</t>
  </si>
  <si>
    <t>FrmOdIchiran.Designer.vb</t>
  </si>
  <si>
    <t>FrmOdIchiran.vb</t>
  </si>
  <si>
    <t>SpreadOdIchiran.vb</t>
  </si>
  <si>
    <t>SpreadOdIchiran.xml</t>
  </si>
  <si>
    <t>SH00103D</t>
  </si>
  <si>
    <t>BasOdDtlLst.vb</t>
  </si>
  <si>
    <t>FrmOdDtlLst.Designer.vb</t>
  </si>
  <si>
    <t>FrmOdDtlLst.vb</t>
  </si>
  <si>
    <t>SpreadOdDtlLst.vb</t>
  </si>
  <si>
    <t>SpreadOdDtlLst.xml</t>
  </si>
  <si>
    <t>SH00201D</t>
  </si>
  <si>
    <t>FrmShPlnInput.Designer.vb</t>
  </si>
  <si>
    <t>FrmShPlnInput.vb</t>
  </si>
  <si>
    <t>FrmShPlnMaeyu.Designer.vb</t>
  </si>
  <si>
    <t>FrmShPlnMaeyu.vb</t>
  </si>
  <si>
    <t>SpreadShPlnInput.vb</t>
  </si>
  <si>
    <t>SpreadShPlnInput.xml</t>
  </si>
  <si>
    <t>SpreadShPlnMaeyu.vb</t>
  </si>
  <si>
    <t>SpreadShPlnMaeyu.xml</t>
  </si>
  <si>
    <t>SH00401D</t>
  </si>
  <si>
    <t>basShSasizuKyou.vb</t>
  </si>
  <si>
    <t>basShSasizuNew.vb</t>
  </si>
  <si>
    <t>FrmShSasizuKyLnHst.Designer.vb</t>
  </si>
  <si>
    <t>FrmShSasizuKyLnHst.vb</t>
  </si>
  <si>
    <t>FrmShSzNew.Designer.vb</t>
  </si>
  <si>
    <t>FrmShSzNew.vb</t>
  </si>
  <si>
    <t>SpreadKyLnHstLst.vb</t>
  </si>
  <si>
    <t>SpreadKyLnHstLst.xml</t>
  </si>
  <si>
    <t>SpreadOrdLst.vb</t>
  </si>
  <si>
    <t>SpreadOrdLst.xml</t>
  </si>
  <si>
    <t>SH00501D</t>
  </si>
  <si>
    <t>BasShSasizuUpd.vb</t>
  </si>
  <si>
    <t>BasShSasizuUpdDel.vb</t>
  </si>
  <si>
    <t>BasShSzMainUD.vb</t>
  </si>
  <si>
    <t>FrmShSasizuUpd.Designer.vb</t>
  </si>
  <si>
    <t>FrmShSasizuUpd.vb</t>
  </si>
  <si>
    <t>FrmShSasizuUpdDel.Designer.vb</t>
  </si>
  <si>
    <t>FrmShSasizuUpdDel.vb</t>
  </si>
  <si>
    <t>SpreadShSasizuUpdDel.vb</t>
  </si>
  <si>
    <t>SpreadShSasizuUpdDel.xml</t>
  </si>
  <si>
    <t>SH00901D</t>
  </si>
  <si>
    <t>FrmShPrtPln.Designer.vb</t>
  </si>
  <si>
    <t>FrmShPrtPln.vb</t>
  </si>
  <si>
    <t>SH01001D</t>
  </si>
  <si>
    <t>BasDcStaEndDisp.vb</t>
  </si>
  <si>
    <t>BasDcStaEndUnmatch.vb</t>
  </si>
  <si>
    <t>FrmDcStaEndDisp.Designer.vb</t>
  </si>
  <si>
    <t>FrmDcStaEndDisp.vb</t>
  </si>
  <si>
    <t>FrmDcStaEndUnmatch.Designer.vb</t>
  </si>
  <si>
    <t>FrmDcStaEndUnmatch.vb</t>
  </si>
  <si>
    <t>SpreadDcStaEndDisp.vb</t>
  </si>
  <si>
    <t>SpreadDcStaEndDisp.xml</t>
  </si>
  <si>
    <t>SpreadDcStaEndUnmatch.vb</t>
  </si>
  <si>
    <t>SpreadDcStaEndUnmatch.xml</t>
  </si>
  <si>
    <t>SH01101D</t>
  </si>
  <si>
    <t>FrmShResEdit.Designer.vb</t>
  </si>
  <si>
    <t>FrmShResEdit.vb</t>
  </si>
  <si>
    <t>FrmShResInput.Designer.vb</t>
  </si>
  <si>
    <t>FrmShResInput.vb</t>
  </si>
  <si>
    <t>SpreadShResEdit.vb</t>
  </si>
  <si>
    <t>SpreadShResEdit.xml</t>
  </si>
  <si>
    <t>SpreadShResInput.vb</t>
  </si>
  <si>
    <t>SpreadShResInput.xml</t>
  </si>
  <si>
    <t>SH01301D</t>
  </si>
  <si>
    <t>BasTlPlnInput.vb</t>
  </si>
  <si>
    <t>BasTlPlnMaeyu.vb</t>
  </si>
  <si>
    <t>BasTlPlnMainIn.vb</t>
  </si>
  <si>
    <t>FrmTlPlnInput.Designer.vb</t>
  </si>
  <si>
    <t>FrmTlPlnInput.vb</t>
  </si>
  <si>
    <t>FrmTlPlnMaeyu.Designer.vb</t>
  </si>
  <si>
    <t>FrmTlPlnMaeyu.vb</t>
  </si>
  <si>
    <t>SpreadMaeyuLst.vb</t>
  </si>
  <si>
    <t>SpreadMaeyuLst.xml</t>
  </si>
  <si>
    <t>maeyuBtn.bmp</t>
  </si>
  <si>
    <t>SH01501D</t>
  </si>
  <si>
    <t>SH01601D</t>
  </si>
  <si>
    <t>BasTlSasizuNew.vb</t>
  </si>
  <si>
    <t>BasTlSzMainNw.vb</t>
  </si>
  <si>
    <t>FrmTlSasizuNew.Designer.vb</t>
  </si>
  <si>
    <t>FrmTlSasizuNew.vb</t>
  </si>
  <si>
    <t>SH01701D</t>
  </si>
  <si>
    <t>BasTlSasizuUpd.vb</t>
  </si>
  <si>
    <t>BasTlSasizuUpdDel.vb</t>
  </si>
  <si>
    <t>BasTlSzMainUD.vb</t>
  </si>
  <si>
    <t>FrmTlSasizuUpd.Designer.vb</t>
  </si>
  <si>
    <t>FrmTlSasizuUpd.vb</t>
  </si>
  <si>
    <t>FrmTlSasizuUpdDel.Designer.vb</t>
  </si>
  <si>
    <t>FrmTlSasizuUpdDel.vb</t>
  </si>
  <si>
    <t>SprOrdLst.vb</t>
  </si>
  <si>
    <t>SprOrdLst.xml</t>
  </si>
  <si>
    <t>SH01801D</t>
  </si>
  <si>
    <t>BasTlPlnLst.vb</t>
  </si>
  <si>
    <t>FrmTlPlnLst.Designer.vb</t>
  </si>
  <si>
    <t>FrmTlPlnLst.vb</t>
  </si>
  <si>
    <t>SH02001D</t>
  </si>
  <si>
    <t>SH02002D</t>
  </si>
  <si>
    <t>BasSampleLbl.vb</t>
  </si>
  <si>
    <t>FrmSampleLbl.Designer.vb</t>
  </si>
  <si>
    <t>FrmSampleLbl.vb</t>
  </si>
  <si>
    <t>SH02901D</t>
  </si>
  <si>
    <t>BasPakSasizu.vb</t>
  </si>
  <si>
    <t>FrmPakSasizu.Designer.vb</t>
  </si>
  <si>
    <t>FrmPakSasizu.vb</t>
  </si>
  <si>
    <t>SH03301D</t>
  </si>
  <si>
    <t>FrmPakRes.Designer.vb</t>
  </si>
  <si>
    <t>FrmPakRes.vb</t>
  </si>
  <si>
    <t>SpreadPakResHden.vb</t>
  </si>
  <si>
    <t>SpreadPakResHden.xml</t>
  </si>
  <si>
    <t>SH03801D</t>
  </si>
  <si>
    <t>BasPthSasizuUpd.vb</t>
  </si>
  <si>
    <t>BasPthSasizuUpdDel.vb</t>
  </si>
  <si>
    <t>FrmPthSasizuUpd.Designer.vb</t>
  </si>
  <si>
    <t>FrmPthSasizuUpd.vb</t>
  </si>
  <si>
    <t>FrmPthSasizuUpdDel.Designer.vb</t>
  </si>
  <si>
    <t>FrmPthSasizuUpdDel.vb</t>
  </si>
  <si>
    <t>SO01003D</t>
  </si>
  <si>
    <t>SH_受注入出荷【帳票】</t>
  </si>
  <si>
    <t>LT12101R</t>
  </si>
  <si>
    <t>LT21101R</t>
  </si>
  <si>
    <t>SH00901R</t>
  </si>
  <si>
    <t>SH01001R</t>
  </si>
  <si>
    <t>SH01801R</t>
  </si>
  <si>
    <t>SH02001R</t>
  </si>
  <si>
    <t>SH02002R</t>
  </si>
  <si>
    <t>SH02504R</t>
  </si>
  <si>
    <t>SH02901R</t>
  </si>
  <si>
    <t>SH03001R</t>
  </si>
  <si>
    <t>SO_自動倉庫</t>
  </si>
  <si>
    <t>SO01002D</t>
  </si>
  <si>
    <t>SO_自動倉庫【帳票】</t>
  </si>
  <si>
    <t>SO01001R</t>
  </si>
  <si>
    <t>SO01002R</t>
  </si>
  <si>
    <t>UT_ユーティリティ</t>
  </si>
  <si>
    <t>UT00001D</t>
  </si>
  <si>
    <t>FrmCopyTool.Designer.vb</t>
  </si>
  <si>
    <t>FrmCopyTool.vb</t>
  </si>
  <si>
    <t>画面ID</t>
    <rPh sb="0" eb="2">
      <t>ガメン</t>
    </rPh>
    <phoneticPr fontId="1"/>
  </si>
  <si>
    <t>画面名</t>
    <rPh sb="0" eb="2">
      <t>ガメン</t>
    </rPh>
    <rPh sb="2" eb="3">
      <t>メイ</t>
    </rPh>
    <phoneticPr fontId="1"/>
  </si>
  <si>
    <t>業務名</t>
    <rPh sb="0" eb="2">
      <t>ギョウム</t>
    </rPh>
    <rPh sb="2" eb="3">
      <t>メイ</t>
    </rPh>
    <phoneticPr fontId="1"/>
  </si>
  <si>
    <t>CO00000D</t>
    <phoneticPr fontId="1"/>
  </si>
  <si>
    <t>メインメニュー</t>
    <phoneticPr fontId="1"/>
  </si>
  <si>
    <t>メニュー</t>
    <phoneticPr fontId="1"/>
  </si>
  <si>
    <t>CO00001D</t>
    <phoneticPr fontId="1"/>
  </si>
  <si>
    <t>受注・入出荷メニュー</t>
    <phoneticPr fontId="1"/>
  </si>
  <si>
    <t>CO00002D</t>
  </si>
  <si>
    <t>BO荷繰／シフト計画メニュー</t>
    <phoneticPr fontId="1"/>
  </si>
  <si>
    <t>CO00003D</t>
  </si>
  <si>
    <t>生産計画・発注メニュー</t>
    <phoneticPr fontId="1"/>
  </si>
  <si>
    <t>CO00004D</t>
  </si>
  <si>
    <t>商品管理メニュー</t>
    <phoneticPr fontId="1"/>
  </si>
  <si>
    <t>CO00005D</t>
  </si>
  <si>
    <t>品質管理メニュー</t>
    <phoneticPr fontId="1"/>
  </si>
  <si>
    <t>CO00006D</t>
    <phoneticPr fontId="1"/>
  </si>
  <si>
    <t>マスタデータ保守メニュー</t>
    <rPh sb="6" eb="8">
      <t>ホシュ</t>
    </rPh>
    <phoneticPr fontId="1"/>
  </si>
  <si>
    <t>CO00007D</t>
    <phoneticPr fontId="1"/>
  </si>
  <si>
    <t>検索／管理資料メニュー</t>
    <phoneticPr fontId="1"/>
  </si>
  <si>
    <t>CO00008D</t>
    <phoneticPr fontId="1"/>
  </si>
  <si>
    <t>ユーティリティ</t>
    <phoneticPr fontId="1"/>
  </si>
  <si>
    <t>OS00210D</t>
    <phoneticPr fontId="1"/>
  </si>
  <si>
    <t>入出荷予定受信</t>
    <phoneticPr fontId="1"/>
  </si>
  <si>
    <t>受注・入出荷／オーダー入力</t>
    <rPh sb="0" eb="2">
      <t>ジュチュウ</t>
    </rPh>
    <rPh sb="3" eb="6">
      <t>ニュウシュッカ</t>
    </rPh>
    <rPh sb="11" eb="13">
      <t>ニュウリョク</t>
    </rPh>
    <phoneticPr fontId="1"/>
  </si>
  <si>
    <t>入出荷予定再登録</t>
    <phoneticPr fontId="1"/>
  </si>
  <si>
    <t>SH00101D</t>
    <phoneticPr fontId="1"/>
  </si>
  <si>
    <t>オーダー新規入力</t>
    <phoneticPr fontId="1"/>
  </si>
  <si>
    <t>SH00102D</t>
    <phoneticPr fontId="1"/>
  </si>
  <si>
    <t>オーダー変更入力（一覧表）</t>
    <phoneticPr fontId="1"/>
  </si>
  <si>
    <t>オーダー明細表</t>
    <phoneticPr fontId="1"/>
  </si>
  <si>
    <t>サンプル出荷用ラベル印刷</t>
    <phoneticPr fontId="1"/>
  </si>
  <si>
    <t>タンカー着桟順序・前油入力</t>
    <phoneticPr fontId="1"/>
  </si>
  <si>
    <t>受注・入出荷／タンカー入出荷</t>
    <rPh sb="11" eb="14">
      <t>ニュウシュッカ</t>
    </rPh>
    <phoneticPr fontId="1"/>
  </si>
  <si>
    <t>タンカー・直送・シフト指図作成</t>
    <phoneticPr fontId="1"/>
  </si>
  <si>
    <t>SH00501D</t>
    <phoneticPr fontId="1"/>
  </si>
  <si>
    <t>タンカー入出荷指図変更／削除</t>
    <phoneticPr fontId="1"/>
  </si>
  <si>
    <t>タンカー・直送・シフト計画表印刷</t>
    <phoneticPr fontId="1"/>
  </si>
  <si>
    <t>SH01101D</t>
    <phoneticPr fontId="1"/>
  </si>
  <si>
    <t>バラ品入出荷実績変更</t>
    <phoneticPr fontId="1"/>
  </si>
  <si>
    <t>CO00010D</t>
    <phoneticPr fontId="1"/>
  </si>
  <si>
    <t>タンカーオーダー追加フロー</t>
    <phoneticPr fontId="1"/>
  </si>
  <si>
    <t>CO00011D</t>
    <phoneticPr fontId="1"/>
  </si>
  <si>
    <t>タンカーオーダー変更/削除フロー</t>
    <phoneticPr fontId="1"/>
  </si>
  <si>
    <t>SH01301D</t>
    <phoneticPr fontId="1"/>
  </si>
  <si>
    <t>ローリー回次・前油入力</t>
    <phoneticPr fontId="1"/>
  </si>
  <si>
    <t>受注・入出荷／ローリー出荷</t>
    <rPh sb="11" eb="13">
      <t>シュッカ</t>
    </rPh>
    <phoneticPr fontId="1"/>
  </si>
  <si>
    <t>SH01601D</t>
    <phoneticPr fontId="1"/>
  </si>
  <si>
    <t>ローリー出荷指図作成</t>
    <phoneticPr fontId="1"/>
  </si>
  <si>
    <t>SH01701D</t>
    <phoneticPr fontId="1"/>
  </si>
  <si>
    <t>ローリー出荷指図変更／削除</t>
    <phoneticPr fontId="1"/>
  </si>
  <si>
    <t>受注・入出荷／ローリー出荷</t>
    <rPh sb="0" eb="2">
      <t>ジュチュウ</t>
    </rPh>
    <rPh sb="3" eb="6">
      <t>ニュウシュッカ</t>
    </rPh>
    <rPh sb="11" eb="13">
      <t>シュッカ</t>
    </rPh>
    <phoneticPr fontId="1"/>
  </si>
  <si>
    <t>SH01801D</t>
    <phoneticPr fontId="1"/>
  </si>
  <si>
    <t>ローリー出荷計画表印刷</t>
    <phoneticPr fontId="1"/>
  </si>
  <si>
    <t>ローリーサンプルラベル印刷</t>
    <phoneticPr fontId="1"/>
  </si>
  <si>
    <t>SH01501D</t>
    <phoneticPr fontId="1"/>
  </si>
  <si>
    <t>ローリー成績表依頼作成</t>
    <rPh sb="7" eb="9">
      <t>イライ</t>
    </rPh>
    <phoneticPr fontId="1"/>
  </si>
  <si>
    <t>CO00020D</t>
    <phoneticPr fontId="1"/>
  </si>
  <si>
    <t>ローリーオーダー追加フロー</t>
    <phoneticPr fontId="1"/>
  </si>
  <si>
    <t>CO00021D</t>
    <phoneticPr fontId="1"/>
  </si>
  <si>
    <t>ローリーオーダー変更/削除フロー</t>
    <phoneticPr fontId="1"/>
  </si>
  <si>
    <t>詰品出荷指図作成指図書印刷指図送信</t>
    <phoneticPr fontId="1"/>
  </si>
  <si>
    <t>受注・入出荷／詰品出荷</t>
    <rPh sb="7" eb="8">
      <t>ツメ</t>
    </rPh>
    <rPh sb="8" eb="9">
      <t>ヒン</t>
    </rPh>
    <rPh sb="9" eb="11">
      <t>シュッカ</t>
    </rPh>
    <phoneticPr fontId="1"/>
  </si>
  <si>
    <t>出荷指図完了チェック</t>
    <phoneticPr fontId="1"/>
  </si>
  <si>
    <t>SH03301D</t>
    <phoneticPr fontId="1"/>
  </si>
  <si>
    <t>詰品出荷実績入力</t>
    <phoneticPr fontId="1"/>
  </si>
  <si>
    <t>出荷実績訂正</t>
    <phoneticPr fontId="1"/>
  </si>
  <si>
    <t>詰品出庫指図未送信ファイル作成</t>
    <phoneticPr fontId="1"/>
  </si>
  <si>
    <t>車載端末IDラベル印刷</t>
    <phoneticPr fontId="1"/>
  </si>
  <si>
    <t>SH03801D</t>
    <phoneticPr fontId="1"/>
  </si>
  <si>
    <t>ライン直送出荷指図変更／削除</t>
    <phoneticPr fontId="1"/>
  </si>
  <si>
    <t>受注・入出荷／ライン直送</t>
    <phoneticPr fontId="1"/>
  </si>
  <si>
    <t>DC06201D</t>
    <phoneticPr fontId="1"/>
  </si>
  <si>
    <t>指図データ送信</t>
    <phoneticPr fontId="1"/>
  </si>
  <si>
    <t>受注・入出荷／指図確定・送信</t>
    <phoneticPr fontId="1"/>
  </si>
  <si>
    <t>SH01001D</t>
    <phoneticPr fontId="1"/>
  </si>
  <si>
    <t>指図進捗確認</t>
    <phoneticPr fontId="1"/>
  </si>
  <si>
    <t>月間工程表CSVファイル取込</t>
    <phoneticPr fontId="1"/>
  </si>
  <si>
    <t>BO荷繰・シフト計画／装置運転計画</t>
    <phoneticPr fontId="1"/>
  </si>
  <si>
    <t>月間工程表データ修正入力</t>
    <phoneticPr fontId="1"/>
  </si>
  <si>
    <t>ラフカットタンク繰り作成</t>
    <phoneticPr fontId="1"/>
  </si>
  <si>
    <t>ラフカット週間工程表作成（EXCEL）</t>
    <phoneticPr fontId="1"/>
  </si>
  <si>
    <t>ラフカットタンク繰り入力</t>
    <phoneticPr fontId="1"/>
  </si>
  <si>
    <t>ラフカット在庫照会</t>
    <phoneticPr fontId="1"/>
  </si>
  <si>
    <t>ラフカットタンク繰り確定処理</t>
    <phoneticPr fontId="1"/>
  </si>
  <si>
    <t>装置運転計画タンク繰り入力</t>
    <phoneticPr fontId="1"/>
  </si>
  <si>
    <t>週間工程表作成（EXCEL）</t>
    <phoneticPr fontId="1"/>
  </si>
  <si>
    <t>シフト計画入力</t>
    <phoneticPr fontId="1"/>
  </si>
  <si>
    <t>BO荷繰・シフト計画／シフト指図</t>
    <phoneticPr fontId="1"/>
  </si>
  <si>
    <t>シフト指図変更/削除</t>
    <phoneticPr fontId="1"/>
  </si>
  <si>
    <t>シフト指図実績入力</t>
    <phoneticPr fontId="1"/>
  </si>
  <si>
    <t>BO在庫照会</t>
    <phoneticPr fontId="1"/>
  </si>
  <si>
    <t>BO荷繰・シフト計画／BO在庫照会</t>
    <phoneticPr fontId="1"/>
  </si>
  <si>
    <t>BO使用予定タンク入力</t>
    <phoneticPr fontId="1"/>
  </si>
  <si>
    <t>BO荷繰・シフト計画／BO使用予定タンク</t>
    <phoneticPr fontId="1"/>
  </si>
  <si>
    <t>BO00401D</t>
    <phoneticPr fontId="1"/>
  </si>
  <si>
    <t>業務課タンク予定印刷</t>
    <phoneticPr fontId="1"/>
  </si>
  <si>
    <t>製造計画入力</t>
    <phoneticPr fontId="1"/>
  </si>
  <si>
    <t>生産計画・発注／製造</t>
    <rPh sb="8" eb="10">
      <t>セイゾウ</t>
    </rPh>
    <phoneticPr fontId="1"/>
  </si>
  <si>
    <t>PO40201D</t>
    <phoneticPr fontId="1"/>
  </si>
  <si>
    <t>製造／添加剤予定表印刷（順序決定）</t>
    <phoneticPr fontId="1"/>
  </si>
  <si>
    <t>製造順序入力</t>
    <phoneticPr fontId="1"/>
  </si>
  <si>
    <t>製造／添加剤フラグ修正（指図確定後）</t>
    <phoneticPr fontId="1"/>
  </si>
  <si>
    <t>PO40401D</t>
    <phoneticPr fontId="1"/>
  </si>
  <si>
    <t>製造／添加剤計画表、コンセントバッチ調合指図書印刷</t>
    <phoneticPr fontId="1"/>
  </si>
  <si>
    <t>PO51001D</t>
    <phoneticPr fontId="1"/>
  </si>
  <si>
    <t>製品／添加剤（及びB/Oローリー）サンプルラベル作成</t>
    <phoneticPr fontId="1"/>
  </si>
  <si>
    <t>PO40501D</t>
    <phoneticPr fontId="1"/>
  </si>
  <si>
    <t>ベースオイル（ローリーを除く）サンプルラベル作成</t>
    <phoneticPr fontId="1"/>
  </si>
  <si>
    <t>製造実績修正入力</t>
    <phoneticPr fontId="1"/>
  </si>
  <si>
    <t>ドラム充填計画入力</t>
    <phoneticPr fontId="1"/>
  </si>
  <si>
    <t>生産計画・発注／ドラム充填</t>
    <rPh sb="11" eb="13">
      <t>ジュウテン</t>
    </rPh>
    <phoneticPr fontId="1"/>
  </si>
  <si>
    <t>PO34103D</t>
    <phoneticPr fontId="1"/>
  </si>
  <si>
    <t>ドラム充填予定表印刷</t>
    <phoneticPr fontId="1"/>
  </si>
  <si>
    <t>ドラム充填口割付入力</t>
    <phoneticPr fontId="1"/>
  </si>
  <si>
    <t>空ドラム発注入力</t>
    <phoneticPr fontId="1"/>
  </si>
  <si>
    <t>PO34402D</t>
    <phoneticPr fontId="1"/>
  </si>
  <si>
    <t>ドラム充填計画表／指図書／外観検査記録印刷</t>
    <phoneticPr fontId="1"/>
  </si>
  <si>
    <t>ドラム充填実績入力</t>
    <phoneticPr fontId="1"/>
  </si>
  <si>
    <t>発注先別購入計画</t>
    <phoneticPr fontId="1"/>
  </si>
  <si>
    <t>ケース充填計画入力</t>
    <phoneticPr fontId="1"/>
  </si>
  <si>
    <t>生産計画・発注／ケース充填</t>
    <phoneticPr fontId="1"/>
  </si>
  <si>
    <t>日別充填個数照会</t>
    <phoneticPr fontId="1"/>
  </si>
  <si>
    <t>ケース発注残照会</t>
    <phoneticPr fontId="1"/>
  </si>
  <si>
    <t>ケース発注</t>
    <phoneticPr fontId="1"/>
  </si>
  <si>
    <t>PO30203D</t>
    <phoneticPr fontId="1"/>
  </si>
  <si>
    <t>ケース充填予定表印刷</t>
    <phoneticPr fontId="1"/>
  </si>
  <si>
    <t>ケース充填機割付・充填順序入力</t>
    <phoneticPr fontId="1"/>
  </si>
  <si>
    <t>PO30602D</t>
    <phoneticPr fontId="1"/>
  </si>
  <si>
    <t>ケース充填計画表／指図書／外観検査記録印刷</t>
    <phoneticPr fontId="1"/>
  </si>
  <si>
    <t>ケース充填実績入力</t>
    <phoneticPr fontId="1"/>
  </si>
  <si>
    <t>過去出荷実績照会</t>
    <phoneticPr fontId="1"/>
  </si>
  <si>
    <t>添加剤受入計画入力</t>
    <phoneticPr fontId="1"/>
  </si>
  <si>
    <t>生産計画・発注／添加剤</t>
    <rPh sb="8" eb="11">
      <t>テンカザイ</t>
    </rPh>
    <phoneticPr fontId="1"/>
  </si>
  <si>
    <t>添加剤発注</t>
    <phoneticPr fontId="1"/>
  </si>
  <si>
    <t>ローリー受入実績入力（添加剤・B/O・製品）</t>
    <phoneticPr fontId="1"/>
  </si>
  <si>
    <t>添加剤調合実績修正入力</t>
    <phoneticPr fontId="1"/>
  </si>
  <si>
    <t>PO90101D</t>
    <phoneticPr fontId="1"/>
  </si>
  <si>
    <t>添加剤入荷過去実績作成</t>
    <phoneticPr fontId="1"/>
  </si>
  <si>
    <t>PO50402D</t>
    <phoneticPr fontId="1"/>
  </si>
  <si>
    <t>添加剤詰品棚卸入力</t>
    <phoneticPr fontId="1"/>
  </si>
  <si>
    <t>PO00101D</t>
    <phoneticPr fontId="1"/>
  </si>
  <si>
    <t>BO・製造・充填・添加剤Gr指図確定</t>
    <phoneticPr fontId="1"/>
  </si>
  <si>
    <t>生産計画・発注／指図確定・送信</t>
    <rPh sb="8" eb="10">
      <t>サシズ</t>
    </rPh>
    <rPh sb="10" eb="12">
      <t>カクテイ</t>
    </rPh>
    <rPh sb="13" eb="15">
      <t>ソウシン</t>
    </rPh>
    <phoneticPr fontId="1"/>
  </si>
  <si>
    <t>PO00102D</t>
    <phoneticPr fontId="1"/>
  </si>
  <si>
    <t>BO・製造・充填・添加剤Gr指図送信</t>
    <phoneticPr fontId="1"/>
  </si>
  <si>
    <t>充填管理指図未送信ファイル作成</t>
    <phoneticPr fontId="1"/>
  </si>
  <si>
    <t>指図送信ファイル変更</t>
    <phoneticPr fontId="1"/>
  </si>
  <si>
    <t>指図送信ファイル変更（充填管理指図）</t>
    <phoneticPr fontId="1"/>
  </si>
  <si>
    <t>加温タンクリスト送信</t>
    <phoneticPr fontId="1"/>
  </si>
  <si>
    <t>IV00401D</t>
    <phoneticPr fontId="1"/>
  </si>
  <si>
    <t>製品詰品在庫一覧表</t>
    <phoneticPr fontId="1"/>
  </si>
  <si>
    <t>生産計画・発注／在庫管理</t>
    <rPh sb="8" eb="10">
      <t>ザイコ</t>
    </rPh>
    <rPh sb="10" eb="12">
      <t>カンリ</t>
    </rPh>
    <phoneticPr fontId="1"/>
  </si>
  <si>
    <t>IV00101D</t>
    <phoneticPr fontId="1"/>
  </si>
  <si>
    <t>詰品在庫調査表</t>
    <phoneticPr fontId="1"/>
  </si>
  <si>
    <t>製品詰品在庫照会</t>
    <phoneticPr fontId="1"/>
  </si>
  <si>
    <t>製品（詰品）在庫残高メンテナンス</t>
    <phoneticPr fontId="1"/>
  </si>
  <si>
    <t>添加剤在庫残高メンテナンス</t>
    <phoneticPr fontId="1"/>
  </si>
  <si>
    <t>タンク在庫残高メンテナンス</t>
    <phoneticPr fontId="1"/>
  </si>
  <si>
    <t>容器在庫残高メンテナンス</t>
    <phoneticPr fontId="1"/>
  </si>
  <si>
    <t>SO01002D</t>
    <phoneticPr fontId="1"/>
  </si>
  <si>
    <t>製品詰品在庫（突合せ）表印刷</t>
    <phoneticPr fontId="1"/>
  </si>
  <si>
    <t>伝票データ入力</t>
    <phoneticPr fontId="1"/>
  </si>
  <si>
    <t>商品管理／伝票実績</t>
    <rPh sb="0" eb="2">
      <t>ショウヒン</t>
    </rPh>
    <rPh sb="2" eb="4">
      <t>カンリ</t>
    </rPh>
    <rPh sb="5" eb="7">
      <t>デンピョウ</t>
    </rPh>
    <rPh sb="7" eb="9">
      <t>ジッセキ</t>
    </rPh>
    <phoneticPr fontId="1"/>
  </si>
  <si>
    <t>PC00304D</t>
    <phoneticPr fontId="1"/>
  </si>
  <si>
    <t>入荷伝票の作成＆チェックリスト（容器以外）</t>
    <phoneticPr fontId="1"/>
  </si>
  <si>
    <t>PC00305D</t>
    <phoneticPr fontId="1"/>
  </si>
  <si>
    <t>容器入荷の伝票作成＆チェックリスト</t>
    <phoneticPr fontId="1"/>
  </si>
  <si>
    <t>PC00303D</t>
    <phoneticPr fontId="1"/>
  </si>
  <si>
    <t>製造／添加剤調合／シフトの伝票作成＆チェックリスト</t>
    <phoneticPr fontId="1"/>
  </si>
  <si>
    <t>PC00301D</t>
    <phoneticPr fontId="1"/>
  </si>
  <si>
    <t>充填の伝票作成＆チェックリスト</t>
    <phoneticPr fontId="1"/>
  </si>
  <si>
    <t>PC00302D</t>
    <phoneticPr fontId="1"/>
  </si>
  <si>
    <t>出荷の実績作成＆チェックリスト</t>
    <phoneticPr fontId="1"/>
  </si>
  <si>
    <t>伝票データ削除</t>
    <phoneticPr fontId="1"/>
  </si>
  <si>
    <t>タンク在庫送受信</t>
    <phoneticPr fontId="1"/>
  </si>
  <si>
    <t>商品管理／在庫送受信</t>
    <rPh sb="0" eb="2">
      <t>ショウヒン</t>
    </rPh>
    <rPh sb="2" eb="4">
      <t>カンリ</t>
    </rPh>
    <rPh sb="5" eb="7">
      <t>ザイコ</t>
    </rPh>
    <rPh sb="7" eb="10">
      <t>ソウジュシン</t>
    </rPh>
    <phoneticPr fontId="1"/>
  </si>
  <si>
    <t>詰品在庫更新</t>
    <phoneticPr fontId="1"/>
  </si>
  <si>
    <t>SO01001D</t>
    <phoneticPr fontId="1"/>
  </si>
  <si>
    <t>製品詰品出荷実績不突合い表印刷</t>
    <phoneticPr fontId="1"/>
  </si>
  <si>
    <t>OS00901B</t>
    <phoneticPr fontId="1"/>
  </si>
  <si>
    <t>OneSAP送信履歴照会</t>
    <phoneticPr fontId="1"/>
  </si>
  <si>
    <t>商品管理／OneSAP送信</t>
    <rPh sb="0" eb="2">
      <t>ショウヒン</t>
    </rPh>
    <rPh sb="2" eb="4">
      <t>カンリ</t>
    </rPh>
    <rPh sb="11" eb="13">
      <t>ソウシン</t>
    </rPh>
    <phoneticPr fontId="1"/>
  </si>
  <si>
    <t>製品／ベースオイルロット台帳入力／照会</t>
    <phoneticPr fontId="1"/>
  </si>
  <si>
    <t>品質管理／ロット台帳</t>
    <rPh sb="0" eb="2">
      <t>ヒンシツ</t>
    </rPh>
    <rPh sb="2" eb="4">
      <t>カンリ</t>
    </rPh>
    <rPh sb="8" eb="10">
      <t>ダイチョウ</t>
    </rPh>
    <phoneticPr fontId="1"/>
  </si>
  <si>
    <t>添加剤ロット台帳入力／合否入力</t>
    <phoneticPr fontId="1"/>
  </si>
  <si>
    <t>添加剤詰品納品受付（添加剤詰品社外入荷）</t>
    <phoneticPr fontId="1"/>
  </si>
  <si>
    <t>製品／ベースオイルロット合否入力</t>
    <phoneticPr fontId="1"/>
  </si>
  <si>
    <t>品質管理／ロット試験</t>
    <rPh sb="0" eb="2">
      <t>ヒンシツ</t>
    </rPh>
    <rPh sb="2" eb="4">
      <t>カンリ</t>
    </rPh>
    <rPh sb="8" eb="10">
      <t>シケン</t>
    </rPh>
    <phoneticPr fontId="1"/>
  </si>
  <si>
    <t>ロット試験依頼</t>
    <phoneticPr fontId="1"/>
  </si>
  <si>
    <t>品転品ロット実績</t>
    <phoneticPr fontId="1"/>
  </si>
  <si>
    <t>CO00101D</t>
    <phoneticPr fontId="1"/>
  </si>
  <si>
    <t>装置マスタ</t>
    <phoneticPr fontId="1"/>
  </si>
  <si>
    <t>マスタメンテナンス／BO担当</t>
    <rPh sb="12" eb="14">
      <t>タントウ</t>
    </rPh>
    <phoneticPr fontId="1"/>
  </si>
  <si>
    <t>CO00102D</t>
    <phoneticPr fontId="1"/>
  </si>
  <si>
    <t>装置受払マスタ</t>
    <phoneticPr fontId="1"/>
  </si>
  <si>
    <t>装置受払タンクマスタ</t>
    <phoneticPr fontId="1"/>
  </si>
  <si>
    <t>週間工程表コメントマスタ</t>
    <phoneticPr fontId="1"/>
  </si>
  <si>
    <t>週間工程表印字マスタ</t>
    <phoneticPr fontId="1"/>
  </si>
  <si>
    <t>充填・入出荷・装置計画日コメントマスタ</t>
    <phoneticPr fontId="1"/>
  </si>
  <si>
    <t>タンクマスタ</t>
    <phoneticPr fontId="1"/>
  </si>
  <si>
    <t>マスタメンテナンス／製造・充填計画担当</t>
    <rPh sb="10" eb="12">
      <t>セイゾウ</t>
    </rPh>
    <rPh sb="13" eb="15">
      <t>ジュウテン</t>
    </rPh>
    <rPh sb="15" eb="17">
      <t>ケイカク</t>
    </rPh>
    <rPh sb="17" eb="19">
      <t>タントウ</t>
    </rPh>
    <phoneticPr fontId="1"/>
  </si>
  <si>
    <t>油種マスタ</t>
    <phoneticPr fontId="1"/>
  </si>
  <si>
    <t>CO00109D</t>
    <phoneticPr fontId="1"/>
  </si>
  <si>
    <t>品番マスタ</t>
    <phoneticPr fontId="1"/>
  </si>
  <si>
    <t>添加剤／容器発注先マスタ</t>
    <phoneticPr fontId="1"/>
  </si>
  <si>
    <t>製品（詰品）マスタ一覧</t>
    <phoneticPr fontId="1"/>
  </si>
  <si>
    <t>製品（詰品）マスタ</t>
    <phoneticPr fontId="1"/>
  </si>
  <si>
    <t>品名／荷姿適用マスタ</t>
    <phoneticPr fontId="1"/>
  </si>
  <si>
    <t>製造方法（レシピ）マスタ</t>
    <phoneticPr fontId="1"/>
  </si>
  <si>
    <t>製造工程マスタ</t>
    <phoneticPr fontId="1"/>
  </si>
  <si>
    <t>ブレンダマスタ</t>
    <phoneticPr fontId="1"/>
  </si>
  <si>
    <t>ブレンダ製造タンクマスタ</t>
    <phoneticPr fontId="1"/>
  </si>
  <si>
    <t>ブレンダ規制（禁止油）マスタ</t>
    <phoneticPr fontId="1"/>
  </si>
  <si>
    <t>充填口／充填口タンク／20Lヘッダータンクマスタ</t>
    <phoneticPr fontId="1"/>
  </si>
  <si>
    <t>20Lヘッダタンク・充填口タンクマスタ</t>
    <phoneticPr fontId="1"/>
  </si>
  <si>
    <t>充填口タンクマスタ（ドラム）</t>
    <phoneticPr fontId="1"/>
  </si>
  <si>
    <t>充填口タンクマスタ</t>
    <phoneticPr fontId="1"/>
  </si>
  <si>
    <t>ドラムヘッダーパージマスタ</t>
    <phoneticPr fontId="1"/>
  </si>
  <si>
    <t>荷姿マスタ</t>
    <phoneticPr fontId="1"/>
  </si>
  <si>
    <t>非稼動日マスタ</t>
    <phoneticPr fontId="1"/>
  </si>
  <si>
    <t>マスタメンテナンス／製造・充填計画担当</t>
    <rPh sb="9" eb="19">
      <t>・セイゾウ・ジュウテンケイカクタントウ</t>
    </rPh>
    <phoneticPr fontId="1"/>
  </si>
  <si>
    <t>生産系指図作成不可日マスタ</t>
    <phoneticPr fontId="1"/>
  </si>
  <si>
    <t>月末在庫締め日テーブル</t>
    <phoneticPr fontId="1"/>
  </si>
  <si>
    <t>CO00129D</t>
    <phoneticPr fontId="1"/>
  </si>
  <si>
    <t>油種制約テーブル</t>
    <rPh sb="0" eb="2">
      <t>ユシュ</t>
    </rPh>
    <rPh sb="2" eb="4">
      <t>セイヤク</t>
    </rPh>
    <phoneticPr fontId="1"/>
  </si>
  <si>
    <t>CO00130D</t>
  </si>
  <si>
    <t>装置設備制約テーブル</t>
    <rPh sb="0" eb="2">
      <t>ソウチ</t>
    </rPh>
    <rPh sb="2" eb="4">
      <t>セツビ</t>
    </rPh>
    <rPh sb="4" eb="6">
      <t>セイヤク</t>
    </rPh>
    <phoneticPr fontId="1"/>
  </si>
  <si>
    <t>CO00131D</t>
    <phoneticPr fontId="1"/>
  </si>
  <si>
    <t>タンク設備制約テーブル</t>
    <rPh sb="3" eb="5">
      <t>セツビ</t>
    </rPh>
    <rPh sb="5" eb="7">
      <t>セイヤク</t>
    </rPh>
    <phoneticPr fontId="1"/>
  </si>
  <si>
    <t>CO00132D</t>
  </si>
  <si>
    <t>ブレンダ設備制約テーブル</t>
    <rPh sb="4" eb="6">
      <t>セツビ</t>
    </rPh>
    <rPh sb="6" eb="8">
      <t>セイヤク</t>
    </rPh>
    <phoneticPr fontId="1"/>
  </si>
  <si>
    <t>CO00133D</t>
    <phoneticPr fontId="1"/>
  </si>
  <si>
    <t>充填口設備制約テーブル</t>
    <rPh sb="0" eb="2">
      <t>ジュウテン</t>
    </rPh>
    <rPh sb="2" eb="3">
      <t>コウ</t>
    </rPh>
    <rPh sb="3" eb="5">
      <t>セツビ</t>
    </rPh>
    <rPh sb="5" eb="7">
      <t>セイヤク</t>
    </rPh>
    <phoneticPr fontId="1"/>
  </si>
  <si>
    <t>CO00134D</t>
    <phoneticPr fontId="1"/>
  </si>
  <si>
    <t>充填洗浄基準マスタ</t>
    <phoneticPr fontId="1"/>
  </si>
  <si>
    <t>船車マスタ</t>
  </si>
  <si>
    <t>マスタメンテナンス／出荷計画担当</t>
    <rPh sb="10" eb="12">
      <t>シュッカ</t>
    </rPh>
    <rPh sb="12" eb="14">
      <t>ケイカク</t>
    </rPh>
    <rPh sb="14" eb="16">
      <t>タントウ</t>
    </rPh>
    <phoneticPr fontId="1"/>
  </si>
  <si>
    <t>納入添付表マスタ</t>
  </si>
  <si>
    <t>ローリー洗浄基準マスタ</t>
  </si>
  <si>
    <t>ローリー前油マスタ</t>
  </si>
  <si>
    <t>タンカー洗浄基準マスタ</t>
  </si>
  <si>
    <t>タンカー前航油マスタ</t>
  </si>
  <si>
    <t>入出荷制約マスタ</t>
  </si>
  <si>
    <t>船中ブレンドマスタ</t>
  </si>
  <si>
    <t>マスタメンテナンス／出荷・受入計画担当</t>
    <rPh sb="10" eb="12">
      <t>シュッカ</t>
    </rPh>
    <rPh sb="13" eb="15">
      <t>ウケイレ</t>
    </rPh>
    <rPh sb="15" eb="17">
      <t>ケイカク</t>
    </rPh>
    <rPh sb="17" eb="19">
      <t>タントウ</t>
    </rPh>
    <phoneticPr fontId="1"/>
  </si>
  <si>
    <t>注文書文言マスタ</t>
  </si>
  <si>
    <t>CO00145D</t>
    <phoneticPr fontId="1"/>
  </si>
  <si>
    <t>取引先（No1）マスタ</t>
  </si>
  <si>
    <t>CO00146D</t>
    <phoneticPr fontId="1"/>
  </si>
  <si>
    <t>取引先（No2）マスタ</t>
  </si>
  <si>
    <t>CO00147D</t>
    <phoneticPr fontId="1"/>
  </si>
  <si>
    <t>担当店マスタ</t>
  </si>
  <si>
    <t>CO00148D</t>
    <phoneticPr fontId="1"/>
  </si>
  <si>
    <t>社員マスタ</t>
  </si>
  <si>
    <t>マスタメンテナンス／システム管理担当</t>
    <rPh sb="14" eb="16">
      <t>カンリ</t>
    </rPh>
    <rPh sb="16" eb="18">
      <t>タントウ</t>
    </rPh>
    <phoneticPr fontId="1"/>
  </si>
  <si>
    <t>検索・管理資料／参照</t>
    <rPh sb="8" eb="10">
      <t>サンショウ</t>
    </rPh>
    <phoneticPr fontId="1"/>
  </si>
  <si>
    <t>PO40102D</t>
    <phoneticPr fontId="1"/>
  </si>
  <si>
    <t>製品タンク在庫照会（製造計画入力）</t>
    <phoneticPr fontId="1"/>
  </si>
  <si>
    <t>PO50102D</t>
    <phoneticPr fontId="1"/>
  </si>
  <si>
    <t>添加剤在庫照会（添加剤受入計画入力）</t>
    <phoneticPr fontId="1"/>
  </si>
  <si>
    <t>任意検索</t>
    <rPh sb="0" eb="2">
      <t>ニンイ</t>
    </rPh>
    <rPh sb="2" eb="4">
      <t>ケンサク</t>
    </rPh>
    <phoneticPr fontId="1"/>
  </si>
  <si>
    <t>検索・管理資料／データ検索</t>
    <rPh sb="11" eb="13">
      <t>ケンサク</t>
    </rPh>
    <phoneticPr fontId="1"/>
  </si>
  <si>
    <t>SH00101S</t>
    <phoneticPr fontId="1"/>
  </si>
  <si>
    <t>オーダー照会</t>
    <rPh sb="4" eb="6">
      <t>ショウカイ</t>
    </rPh>
    <phoneticPr fontId="1"/>
  </si>
  <si>
    <t>タンク切替画面</t>
    <phoneticPr fontId="1"/>
  </si>
  <si>
    <t>容器注文書再印刷画面</t>
    <phoneticPr fontId="1"/>
  </si>
  <si>
    <t>ロット合否エラーリスト出力</t>
    <phoneticPr fontId="1"/>
  </si>
  <si>
    <t>OneSAP</t>
    <phoneticPr fontId="1"/>
  </si>
  <si>
    <t>添加剤タンク受払在庫表</t>
    <phoneticPr fontId="1"/>
  </si>
  <si>
    <t>在庫管理</t>
    <rPh sb="0" eb="2">
      <t>ザイコ</t>
    </rPh>
    <rPh sb="2" eb="4">
      <t>カンリ</t>
    </rPh>
    <phoneticPr fontId="1"/>
  </si>
  <si>
    <t>製品タンク受払在庫表</t>
    <phoneticPr fontId="1"/>
  </si>
  <si>
    <t>生産発注</t>
    <rPh sb="0" eb="2">
      <t>セイサン</t>
    </rPh>
    <rPh sb="2" eb="4">
      <t>ハッチュウ</t>
    </rPh>
    <phoneticPr fontId="1"/>
  </si>
  <si>
    <t>TCカットタンクリスト</t>
    <phoneticPr fontId="1"/>
  </si>
  <si>
    <t>PO50301D</t>
    <phoneticPr fontId="1"/>
  </si>
  <si>
    <t>過去入荷実績照会</t>
    <phoneticPr fontId="1"/>
  </si>
  <si>
    <t>CO00301D</t>
    <phoneticPr fontId="1"/>
  </si>
  <si>
    <t>品番選択</t>
    <phoneticPr fontId="1"/>
  </si>
  <si>
    <t>コード検索</t>
    <rPh sb="3" eb="5">
      <t>ケンサク</t>
    </rPh>
    <phoneticPr fontId="1"/>
  </si>
  <si>
    <t>CO00302D</t>
    <phoneticPr fontId="1"/>
  </si>
  <si>
    <t>荷姿選択</t>
  </si>
  <si>
    <t>CO00303D</t>
    <phoneticPr fontId="1"/>
  </si>
  <si>
    <t>充填口選択</t>
  </si>
  <si>
    <t>CO00304D</t>
    <phoneticPr fontId="1"/>
  </si>
  <si>
    <t>備考入力</t>
  </si>
  <si>
    <t>CO00305D</t>
    <phoneticPr fontId="1"/>
  </si>
  <si>
    <t>充填洗浄基準選択</t>
  </si>
  <si>
    <t>CO00306D</t>
    <phoneticPr fontId="1"/>
  </si>
  <si>
    <t>油種マスタ選択</t>
    <phoneticPr fontId="1"/>
  </si>
  <si>
    <t>CO00307D</t>
    <phoneticPr fontId="1"/>
  </si>
  <si>
    <t>製造方法マスタ選択</t>
  </si>
  <si>
    <t>CO00308D</t>
    <phoneticPr fontId="1"/>
  </si>
  <si>
    <t>汎用マスタ選択</t>
  </si>
  <si>
    <t>CO00309D</t>
    <phoneticPr fontId="1"/>
  </si>
  <si>
    <t>入出荷制約（シフト・パージ）選択</t>
    <phoneticPr fontId="1"/>
  </si>
  <si>
    <t>CO00310D</t>
    <phoneticPr fontId="1"/>
  </si>
  <si>
    <t>取引先選択</t>
    <rPh sb="0" eb="2">
      <t>トリヒキ</t>
    </rPh>
    <rPh sb="2" eb="3">
      <t>サキ</t>
    </rPh>
    <rPh sb="3" eb="5">
      <t>センタク</t>
    </rPh>
    <phoneticPr fontId="1"/>
  </si>
  <si>
    <t>CO00311D</t>
    <phoneticPr fontId="1"/>
  </si>
  <si>
    <t>船車選択</t>
    <rPh sb="2" eb="4">
      <t>センタク</t>
    </rPh>
    <phoneticPr fontId="1"/>
  </si>
  <si>
    <t>CO00312D</t>
    <phoneticPr fontId="1"/>
  </si>
  <si>
    <t>品名選択</t>
    <rPh sb="0" eb="2">
      <t>ヒンメイ</t>
    </rPh>
    <rPh sb="2" eb="4">
      <t>センタク</t>
    </rPh>
    <phoneticPr fontId="1"/>
  </si>
  <si>
    <t>CO00313D</t>
  </si>
  <si>
    <t>品番マスタ検索</t>
    <rPh sb="0" eb="2">
      <t>ヒンバン</t>
    </rPh>
    <rPh sb="5" eb="7">
      <t>ケンサク</t>
    </rPh>
    <phoneticPr fontId="1"/>
  </si>
  <si>
    <t>UT00001D</t>
    <phoneticPr fontId="1"/>
  </si>
  <si>
    <t>コピーツール</t>
    <phoneticPr fontId="1"/>
  </si>
  <si>
    <t>JU00201D</t>
    <phoneticPr fontId="1"/>
  </si>
  <si>
    <t>計画手配データ作成</t>
    <phoneticPr fontId="1"/>
  </si>
  <si>
    <t>帳票ID</t>
    <rPh sb="0" eb="2">
      <t>チョウヒョウ</t>
    </rPh>
    <phoneticPr fontId="1"/>
  </si>
  <si>
    <t>帳票名</t>
    <rPh sb="0" eb="2">
      <t>チョウヒョウ</t>
    </rPh>
    <rPh sb="2" eb="3">
      <t>メイ</t>
    </rPh>
    <phoneticPr fontId="1"/>
  </si>
  <si>
    <t>作成条件</t>
    <rPh sb="0" eb="2">
      <t>サクセイ</t>
    </rPh>
    <rPh sb="2" eb="4">
      <t>ジョウケン</t>
    </rPh>
    <phoneticPr fontId="1"/>
  </si>
  <si>
    <t>用紙
ｻｲｽﾞ</t>
    <rPh sb="0" eb="2">
      <t>ヨウシ</t>
    </rPh>
    <phoneticPr fontId="1"/>
  </si>
  <si>
    <t>出力
方式</t>
    <rPh sb="0" eb="2">
      <t>シュツリョク</t>
    </rPh>
    <rPh sb="3" eb="5">
      <t>ホウシキ</t>
    </rPh>
    <phoneticPr fontId="1"/>
  </si>
  <si>
    <t>BO00200R</t>
    <phoneticPr fontId="1"/>
  </si>
  <si>
    <t>ラフカット週間工程表</t>
    <phoneticPr fontId="1"/>
  </si>
  <si>
    <t>BO荷繰り</t>
    <phoneticPr fontId="1"/>
  </si>
  <si>
    <t>手動</t>
    <rPh sb="0" eb="2">
      <t>シュドウ</t>
    </rPh>
    <phoneticPr fontId="1"/>
  </si>
  <si>
    <t>A3横</t>
    <rPh sb="2" eb="3">
      <t>ヨコ</t>
    </rPh>
    <phoneticPr fontId="1"/>
  </si>
  <si>
    <t>BO00301R</t>
    <phoneticPr fontId="1"/>
  </si>
  <si>
    <t>ベースオイル在庫一覧</t>
    <phoneticPr fontId="1"/>
  </si>
  <si>
    <t>横</t>
    <rPh sb="0" eb="1">
      <t>ヨコ</t>
    </rPh>
    <phoneticPr fontId="1"/>
  </si>
  <si>
    <t>紙面</t>
  </si>
  <si>
    <t>BO00302R</t>
    <phoneticPr fontId="1"/>
  </si>
  <si>
    <t>ベースオイル在庫当残一覧</t>
    <phoneticPr fontId="1"/>
  </si>
  <si>
    <t>BO00401R</t>
    <phoneticPr fontId="1"/>
  </si>
  <si>
    <t>タンク使用予定表</t>
    <phoneticPr fontId="1"/>
  </si>
  <si>
    <t>A4横</t>
    <rPh sb="2" eb="3">
      <t>ヨコ</t>
    </rPh>
    <phoneticPr fontId="1"/>
  </si>
  <si>
    <t>BO00500R</t>
    <phoneticPr fontId="1"/>
  </si>
  <si>
    <t>ラフカット・ベースオイル在庫一覧</t>
    <phoneticPr fontId="1"/>
  </si>
  <si>
    <t>BO00501R</t>
    <phoneticPr fontId="1"/>
  </si>
  <si>
    <t>ラフカット・ベースオイル在庫当残一覧</t>
    <phoneticPr fontId="1"/>
  </si>
  <si>
    <t>BO00800R</t>
    <phoneticPr fontId="1"/>
  </si>
  <si>
    <t>ベースオイル週間工程表</t>
    <phoneticPr fontId="1"/>
  </si>
  <si>
    <t>OS00211R</t>
    <phoneticPr fontId="1"/>
  </si>
  <si>
    <t>入出荷指図受信明細</t>
    <phoneticPr fontId="1"/>
  </si>
  <si>
    <t>OS00212R</t>
  </si>
  <si>
    <t>入出荷指図受信エラーリスト</t>
    <phoneticPr fontId="1"/>
  </si>
  <si>
    <t>OS00213R</t>
  </si>
  <si>
    <t>入出荷指図変更明細</t>
    <phoneticPr fontId="1"/>
  </si>
  <si>
    <t>OS00214R</t>
  </si>
  <si>
    <t>入出荷指図ワーニングリスト</t>
    <phoneticPr fontId="1"/>
  </si>
  <si>
    <t>OS00215R</t>
  </si>
  <si>
    <t>入出荷指図設備制約リスト</t>
    <phoneticPr fontId="1"/>
  </si>
  <si>
    <t>紙面</t>
    <phoneticPr fontId="1"/>
  </si>
  <si>
    <t>B4横</t>
    <rPh sb="2" eb="3">
      <t>ヨコ</t>
    </rPh>
    <phoneticPr fontId="1"/>
  </si>
  <si>
    <t>A4縦</t>
    <rPh sb="2" eb="3">
      <t>タテ</t>
    </rPh>
    <phoneticPr fontId="1"/>
  </si>
  <si>
    <t>PO60103E</t>
    <phoneticPr fontId="1"/>
  </si>
  <si>
    <t>コンセントバッチ製造実績表</t>
    <phoneticPr fontId="1"/>
  </si>
  <si>
    <t>受注入出荷</t>
    <phoneticPr fontId="1"/>
  </si>
  <si>
    <t>SH04001E</t>
    <phoneticPr fontId="1"/>
  </si>
  <si>
    <t>タンカー出荷実績表</t>
    <phoneticPr fontId="1"/>
  </si>
  <si>
    <t>SH04002E</t>
    <phoneticPr fontId="1"/>
  </si>
  <si>
    <t>品名別出荷実績表</t>
    <phoneticPr fontId="1"/>
  </si>
  <si>
    <t>LT12101R</t>
    <phoneticPr fontId="1"/>
  </si>
  <si>
    <t>出荷指図不一致リスト</t>
    <phoneticPr fontId="1"/>
  </si>
  <si>
    <t>紙面</t>
    <rPh sb="0" eb="2">
      <t>シメン</t>
    </rPh>
    <phoneticPr fontId="1"/>
  </si>
  <si>
    <t>LT21101R</t>
    <phoneticPr fontId="1"/>
  </si>
  <si>
    <t>車載端末IDラベル</t>
    <phoneticPr fontId="1"/>
  </si>
  <si>
    <t>ラベル</t>
    <phoneticPr fontId="1"/>
  </si>
  <si>
    <t>SH00901R</t>
    <phoneticPr fontId="1"/>
  </si>
  <si>
    <t>タンカー・ライン直送・シフト計画表</t>
    <phoneticPr fontId="1"/>
  </si>
  <si>
    <t>SH01801R</t>
    <phoneticPr fontId="1"/>
  </si>
  <si>
    <t>ローリー出荷計画表</t>
    <phoneticPr fontId="1"/>
  </si>
  <si>
    <t>SH02001R</t>
    <phoneticPr fontId="1"/>
  </si>
  <si>
    <t>ローリーサンプルラベル</t>
    <phoneticPr fontId="1"/>
  </si>
  <si>
    <t>SH02002R</t>
    <phoneticPr fontId="1"/>
  </si>
  <si>
    <t>サンプル出荷ラベル</t>
    <phoneticPr fontId="1"/>
  </si>
  <si>
    <t>SH02501R</t>
    <phoneticPr fontId="1"/>
  </si>
  <si>
    <t>受注オーダー受信</t>
    <phoneticPr fontId="1"/>
  </si>
  <si>
    <t>SH02901R</t>
    <phoneticPr fontId="1"/>
  </si>
  <si>
    <t>貨物船出荷指図書</t>
    <phoneticPr fontId="1"/>
  </si>
  <si>
    <t>B5横</t>
    <rPh sb="2" eb="3">
      <t>ヨコ</t>
    </rPh>
    <phoneticPr fontId="1"/>
  </si>
  <si>
    <t>SH03001R</t>
    <phoneticPr fontId="1"/>
  </si>
  <si>
    <t>詰品出荷指図書</t>
    <phoneticPr fontId="1"/>
  </si>
  <si>
    <t>QU00101R</t>
    <phoneticPr fontId="1"/>
  </si>
  <si>
    <t>ロット台帳一覧</t>
    <phoneticPr fontId="1"/>
  </si>
  <si>
    <t>品質管理</t>
    <phoneticPr fontId="1"/>
  </si>
  <si>
    <t>QU00301R</t>
    <phoneticPr fontId="1"/>
  </si>
  <si>
    <t>ロット台帳受入履歴一覧</t>
    <phoneticPr fontId="1"/>
  </si>
  <si>
    <t>QU00420R</t>
    <phoneticPr fontId="1"/>
  </si>
  <si>
    <t>ロット合否エラーリスト</t>
    <phoneticPr fontId="1"/>
  </si>
  <si>
    <t>PC00301R</t>
    <phoneticPr fontId="1"/>
  </si>
  <si>
    <t>充填伝票チェックリスト</t>
    <phoneticPr fontId="1"/>
  </si>
  <si>
    <t>商品管理</t>
    <rPh sb="0" eb="2">
      <t>ショウヒン</t>
    </rPh>
    <rPh sb="2" eb="4">
      <t>カンリ</t>
    </rPh>
    <phoneticPr fontId="1"/>
  </si>
  <si>
    <t>PC00302R</t>
    <phoneticPr fontId="1"/>
  </si>
  <si>
    <t>出荷伝票チェックリスト</t>
    <phoneticPr fontId="1"/>
  </si>
  <si>
    <t>PC00303R</t>
    <phoneticPr fontId="1"/>
  </si>
  <si>
    <t>添加剤調合伝票チェックリスト</t>
    <phoneticPr fontId="1"/>
  </si>
  <si>
    <t>PC00304R</t>
    <phoneticPr fontId="1"/>
  </si>
  <si>
    <t>添加剤入荷の伝票チェックリスト</t>
    <phoneticPr fontId="1"/>
  </si>
  <si>
    <t>PC00305R</t>
    <phoneticPr fontId="1"/>
  </si>
  <si>
    <t>容器入荷の伝票チェックリスト</t>
    <phoneticPr fontId="1"/>
  </si>
  <si>
    <t>IV00101R</t>
    <phoneticPr fontId="1"/>
  </si>
  <si>
    <t>IV00401R</t>
    <phoneticPr fontId="1"/>
  </si>
  <si>
    <t>PO30203R</t>
    <phoneticPr fontId="1"/>
  </si>
  <si>
    <t>ケース充填予定表（新充填所）</t>
    <phoneticPr fontId="1"/>
  </si>
  <si>
    <t>PO30401R</t>
    <phoneticPr fontId="1"/>
  </si>
  <si>
    <t>ケース発注書</t>
    <phoneticPr fontId="1"/>
  </si>
  <si>
    <t>PO30602R</t>
    <phoneticPr fontId="1"/>
  </si>
  <si>
    <t>ケース充填指図書（新充填所）</t>
    <phoneticPr fontId="1"/>
  </si>
  <si>
    <t>PO30603R</t>
    <phoneticPr fontId="1"/>
  </si>
  <si>
    <t>ケース充填計画表（新充填所）</t>
    <phoneticPr fontId="1"/>
  </si>
  <si>
    <t>PO30604R</t>
    <phoneticPr fontId="1"/>
  </si>
  <si>
    <t>ケース充填外観検査記録新（充填所）</t>
    <phoneticPr fontId="1"/>
  </si>
  <si>
    <t>PO31101R</t>
    <phoneticPr fontId="1"/>
  </si>
  <si>
    <t>PO31102R</t>
    <phoneticPr fontId="1"/>
  </si>
  <si>
    <t>空ドラム発注書</t>
    <phoneticPr fontId="1"/>
  </si>
  <si>
    <t>PO34103R</t>
    <phoneticPr fontId="1"/>
  </si>
  <si>
    <t>ドラム充填予定表印刷（新充填所）</t>
    <phoneticPr fontId="1"/>
  </si>
  <si>
    <t>PO34201R</t>
    <phoneticPr fontId="1"/>
  </si>
  <si>
    <t>PO34403R</t>
    <phoneticPr fontId="1"/>
  </si>
  <si>
    <t>ドラム充填指図書（新充填所）</t>
    <phoneticPr fontId="1"/>
  </si>
  <si>
    <t>PO34404R</t>
    <phoneticPr fontId="1"/>
  </si>
  <si>
    <t>ドラム充填計画表（新充填所）</t>
    <phoneticPr fontId="1"/>
  </si>
  <si>
    <t>PO34405R</t>
    <phoneticPr fontId="1"/>
  </si>
  <si>
    <t>ドラム充填外観検査記録（新充填所）</t>
    <phoneticPr fontId="1"/>
  </si>
  <si>
    <t>PO40201R</t>
    <phoneticPr fontId="1"/>
  </si>
  <si>
    <t>製造予定表</t>
    <phoneticPr fontId="1"/>
  </si>
  <si>
    <t>PO40301R</t>
    <phoneticPr fontId="1"/>
  </si>
  <si>
    <t>添加剤予定表</t>
    <phoneticPr fontId="1"/>
  </si>
  <si>
    <t>PO40401R</t>
    <phoneticPr fontId="1"/>
  </si>
  <si>
    <t>コンセントバッチ調合指図書</t>
    <phoneticPr fontId="1"/>
  </si>
  <si>
    <t>B4縦</t>
    <rPh sb="2" eb="3">
      <t>タテ</t>
    </rPh>
    <phoneticPr fontId="1"/>
  </si>
  <si>
    <t>PO40601R</t>
    <phoneticPr fontId="1"/>
  </si>
  <si>
    <t>製造計画表</t>
    <phoneticPr fontId="1"/>
  </si>
  <si>
    <t>PO40311R</t>
    <phoneticPr fontId="1"/>
  </si>
  <si>
    <t>添加剤計画表</t>
    <phoneticPr fontId="1"/>
  </si>
  <si>
    <t>PO40501R</t>
    <phoneticPr fontId="1"/>
  </si>
  <si>
    <t>BOサンプルラベル</t>
    <phoneticPr fontId="1"/>
  </si>
  <si>
    <t>PO40701R</t>
    <phoneticPr fontId="1"/>
  </si>
  <si>
    <t>タンク在庫チェックリスト</t>
    <phoneticPr fontId="1"/>
  </si>
  <si>
    <t>自動</t>
    <rPh sb="0" eb="2">
      <t>ジドウ</t>
    </rPh>
    <phoneticPr fontId="1"/>
  </si>
  <si>
    <t>IV00201R</t>
    <phoneticPr fontId="1"/>
  </si>
  <si>
    <t>IV00301R</t>
    <phoneticPr fontId="1"/>
  </si>
  <si>
    <t>PO40702R</t>
    <phoneticPr fontId="1"/>
  </si>
  <si>
    <t>PO40703R</t>
    <phoneticPr fontId="1"/>
  </si>
  <si>
    <t>ローリー受入確認書</t>
    <phoneticPr fontId="1"/>
  </si>
  <si>
    <t>PO50801D</t>
    <phoneticPr fontId="1"/>
  </si>
  <si>
    <t>添加剤注文書</t>
    <phoneticPr fontId="1"/>
  </si>
  <si>
    <t>PO51001R</t>
    <phoneticPr fontId="1"/>
  </si>
  <si>
    <t>詰品サンプルラベル</t>
    <phoneticPr fontId="1"/>
  </si>
  <si>
    <t>SO01001R</t>
    <phoneticPr fontId="1"/>
  </si>
  <si>
    <t>製品詰品出荷実績不突き合い表</t>
    <phoneticPr fontId="1"/>
  </si>
  <si>
    <t>自動倉庫</t>
    <rPh sb="0" eb="2">
      <t>ジドウ</t>
    </rPh>
    <rPh sb="2" eb="4">
      <t>ソウコ</t>
    </rPh>
    <phoneticPr fontId="1"/>
  </si>
  <si>
    <t>SO01002R</t>
    <phoneticPr fontId="1"/>
  </si>
  <si>
    <t>製品詰品在庫（突き合せ）表</t>
    <phoneticPr fontId="1"/>
  </si>
  <si>
    <t>SH02504R</t>
    <phoneticPr fontId="1"/>
  </si>
  <si>
    <t>オーダー明細一覧表</t>
    <rPh sb="4" eb="6">
      <t>メイサイ</t>
    </rPh>
    <rPh sb="6" eb="8">
      <t>イチラン</t>
    </rPh>
    <rPh sb="8" eb="9">
      <t>ヒョウ</t>
    </rPh>
    <phoneticPr fontId="1"/>
  </si>
  <si>
    <t>SH01001R</t>
    <phoneticPr fontId="1"/>
  </si>
  <si>
    <t>計画実績不突合一覧表</t>
    <rPh sb="0" eb="2">
      <t>ケイカク</t>
    </rPh>
    <rPh sb="2" eb="4">
      <t>ジッセキ</t>
    </rPh>
    <rPh sb="4" eb="7">
      <t>フトツゴウ</t>
    </rPh>
    <rPh sb="7" eb="9">
      <t>イチラン</t>
    </rPh>
    <rPh sb="9" eb="10">
      <t>ヒョウ</t>
    </rPh>
    <phoneticPr fontId="1"/>
  </si>
  <si>
    <t>PO40102R</t>
    <phoneticPr fontId="1"/>
  </si>
  <si>
    <t>製品タンク在庫表</t>
    <phoneticPr fontId="1"/>
  </si>
  <si>
    <t>AK01001R</t>
    <phoneticPr fontId="1"/>
  </si>
  <si>
    <t>添加剤バーコードラベル印刷</t>
    <phoneticPr fontId="1"/>
  </si>
  <si>
    <t>AK01003R</t>
    <phoneticPr fontId="1"/>
  </si>
  <si>
    <t>添加剤詰品卸し指図書印刷</t>
    <phoneticPr fontId="1"/>
  </si>
  <si>
    <t>AK01004R</t>
    <phoneticPr fontId="1"/>
  </si>
  <si>
    <t>添加剤サンプリング依頼書印刷</t>
    <phoneticPr fontId="1"/>
  </si>
  <si>
    <t>AK01005R</t>
    <phoneticPr fontId="1"/>
  </si>
  <si>
    <t>製造記録表</t>
    <rPh sb="0" eb="2">
      <t>セイゾウ</t>
    </rPh>
    <rPh sb="2" eb="5">
      <t>キロクヒョウ</t>
    </rPh>
    <phoneticPr fontId="1"/>
  </si>
  <si>
    <t>商品管理</t>
    <rPh sb="0" eb="4">
      <t>ショウヒンカンリ</t>
    </rPh>
    <phoneticPr fontId="1"/>
  </si>
  <si>
    <t>PC00501R</t>
    <phoneticPr fontId="1"/>
  </si>
  <si>
    <t>定期タスクチェックリスト</t>
    <phoneticPr fontId="1"/>
  </si>
  <si>
    <t>メインメニュー</t>
  </si>
  <si>
    <t>メニュー</t>
  </si>
  <si>
    <t>受注・入出荷メニュー</t>
  </si>
  <si>
    <t>BO荷繰／シフト計画メニュー</t>
  </si>
  <si>
    <t>生産計画・発注メニュー</t>
  </si>
  <si>
    <t>商品管理メニュー</t>
  </si>
  <si>
    <t>品質管理メニュー</t>
  </si>
  <si>
    <t>検索／管理資料メニュー</t>
  </si>
  <si>
    <t>ユーティリティ</t>
  </si>
  <si>
    <t>入出荷予定受信</t>
  </si>
  <si>
    <t>入出荷予定再登録</t>
  </si>
  <si>
    <t>オーダー新規入力</t>
  </si>
  <si>
    <t>オーダー変更入力（一覧表）</t>
  </si>
  <si>
    <t>オーダー明細表</t>
  </si>
  <si>
    <t>サンプル出荷用ラベル印刷</t>
  </si>
  <si>
    <t>タンカー着桟順序・前油入力</t>
  </si>
  <si>
    <t>タンカー・直送・シフト指図作成</t>
  </si>
  <si>
    <t>タンカー入出荷指図変更／削除</t>
  </si>
  <si>
    <t>タンカー・直送・シフト計画表印刷</t>
  </si>
  <si>
    <t>バラ品入出荷実績変更</t>
  </si>
  <si>
    <t>タンカーオーダー追加フロー</t>
  </si>
  <si>
    <t>タンカーオーダー変更/削除フロー</t>
  </si>
  <si>
    <t>ローリー回次・前油入力</t>
  </si>
  <si>
    <t>ローリー出荷指図作成</t>
  </si>
  <si>
    <t>ローリー出荷指図変更／削除</t>
  </si>
  <si>
    <t>ローリー出荷計画表印刷</t>
  </si>
  <si>
    <t>ローリーサンプルラベル印刷</t>
  </si>
  <si>
    <t>ローリーオーダー追加フロー</t>
  </si>
  <si>
    <t>ローリーオーダー変更/削除フロー</t>
  </si>
  <si>
    <t>詰品出荷指図作成指図書印刷指図送信</t>
  </si>
  <si>
    <t>出荷指図完了チェック</t>
  </si>
  <si>
    <t>詰品出荷実績入力</t>
  </si>
  <si>
    <t>出荷実績訂正</t>
  </si>
  <si>
    <t>詰品出庫指図未送信ファイル作成</t>
  </si>
  <si>
    <t>車載端末IDラベル印刷</t>
  </si>
  <si>
    <t>ライン直送出荷指図変更／削除</t>
  </si>
  <si>
    <t>受注・入出荷／ライン直送</t>
  </si>
  <si>
    <t>指図データ送信</t>
  </si>
  <si>
    <t>受注・入出荷／指図確定・送信</t>
  </si>
  <si>
    <t>指図進捗確認</t>
  </si>
  <si>
    <t>月間工程表CSVファイル取込</t>
  </si>
  <si>
    <t>BO荷繰・シフト計画／装置運転計画</t>
  </si>
  <si>
    <t>月間工程表データ修正入力</t>
  </si>
  <si>
    <t>ラフカットタンク繰り作成</t>
  </si>
  <si>
    <t>ラフカット週間工程表作成（EXCEL）</t>
  </si>
  <si>
    <t>ラフカットタンク繰り入力</t>
  </si>
  <si>
    <t>ラフカット在庫照会</t>
  </si>
  <si>
    <t>ラフカットタンク繰り確定処理</t>
  </si>
  <si>
    <t>装置運転計画タンク繰り入力</t>
  </si>
  <si>
    <t>週間工程表作成（EXCEL）</t>
  </si>
  <si>
    <t>シフト計画入力</t>
  </si>
  <si>
    <t>BO荷繰・シフト計画／シフト指図</t>
  </si>
  <si>
    <t>シフト指図変更/削除</t>
  </si>
  <si>
    <t>シフト指図実績入力</t>
  </si>
  <si>
    <t>BO在庫照会</t>
  </si>
  <si>
    <t>BO荷繰・シフト計画／BO在庫照会</t>
  </si>
  <si>
    <t>BO使用予定タンク入力</t>
  </si>
  <si>
    <t>BO荷繰・シフト計画／BO使用予定タンク</t>
  </si>
  <si>
    <t>業務課タンク予定印刷</t>
  </si>
  <si>
    <t>製造計画入力</t>
  </si>
  <si>
    <t>製造／添加剤予定表印刷（順序決定）</t>
  </si>
  <si>
    <t>製造順序入力</t>
  </si>
  <si>
    <t>製造／添加剤フラグ修正（指図確定後）</t>
  </si>
  <si>
    <t>製造／添加剤計画表、コンセントバッチ調合指図書印刷</t>
  </si>
  <si>
    <t>製品／添加剤（及びB/Oローリー）サンプルラベル作成</t>
  </si>
  <si>
    <t>ベースオイル（ローリーを除く）サンプルラベル作成</t>
  </si>
  <si>
    <t>製造実績修正入力</t>
  </si>
  <si>
    <t>ドラム充填計画入力</t>
  </si>
  <si>
    <t>ドラム充填予定表印刷</t>
  </si>
  <si>
    <t>ドラム充填口割付入力</t>
  </si>
  <si>
    <t>空ドラム発注入力</t>
  </si>
  <si>
    <t>ドラム充填計画表／指図書／外観検査記録印刷</t>
  </si>
  <si>
    <t>ドラム充填実績入力</t>
  </si>
  <si>
    <t>発注先別購入計画</t>
  </si>
  <si>
    <t>ケース充填計画入力</t>
  </si>
  <si>
    <t>生産計画・発注／ケース充填</t>
  </si>
  <si>
    <t>日別充填個数照会</t>
  </si>
  <si>
    <t>ケース発注残照会</t>
  </si>
  <si>
    <t>ケース発注</t>
  </si>
  <si>
    <t>ケース充填予定表印刷</t>
  </si>
  <si>
    <t>ケース充填機割付・充填順序入力</t>
  </si>
  <si>
    <t>ケース充填計画表／指図書／外観検査記録印刷</t>
  </si>
  <si>
    <t>ケース充填実績入力</t>
  </si>
  <si>
    <t>過去出荷実績照会</t>
  </si>
  <si>
    <t>添加剤受入計画入力</t>
  </si>
  <si>
    <t>添加剤発注</t>
  </si>
  <si>
    <t>ローリー受入実績入力（添加剤・B/O・製品）</t>
  </si>
  <si>
    <t>添加剤調合実績修正入力</t>
  </si>
  <si>
    <t>添加剤入荷過去実績作成</t>
  </si>
  <si>
    <t>添加剤詰品棚卸入力</t>
  </si>
  <si>
    <t>BO・製造・充填・添加剤Gr指図確定</t>
  </si>
  <si>
    <t>BO・製造・充填・添加剤Gr指図送信</t>
  </si>
  <si>
    <t>充填管理指図未送信ファイル作成</t>
  </si>
  <si>
    <t>指図送信ファイル変更</t>
  </si>
  <si>
    <t>指図送信ファイル変更（充填管理指図）</t>
  </si>
  <si>
    <t>加温タンクリスト送信</t>
  </si>
  <si>
    <t>製品詰品在庫一覧表</t>
  </si>
  <si>
    <t>詰品在庫調査表</t>
  </si>
  <si>
    <t>製品詰品在庫照会</t>
  </si>
  <si>
    <t>製品（詰品）在庫残高メンテナンス</t>
  </si>
  <si>
    <t>添加剤在庫残高メンテナンス</t>
  </si>
  <si>
    <t>タンク在庫残高メンテナンス</t>
  </si>
  <si>
    <t>容器在庫残高メンテナンス</t>
  </si>
  <si>
    <t>製品詰品在庫（突合せ）表印刷</t>
  </si>
  <si>
    <t>伝票データ入力</t>
  </si>
  <si>
    <t>入荷伝票の作成＆チェックリスト（容器以外）</t>
  </si>
  <si>
    <t>容器入荷の伝票作成＆チェックリスト</t>
  </si>
  <si>
    <t>製造／添加剤調合／シフトの伝票作成＆チェックリスト</t>
  </si>
  <si>
    <t>充填の伝票作成＆チェックリスト</t>
  </si>
  <si>
    <t>出荷の実績作成＆チェックリスト</t>
  </si>
  <si>
    <t>伝票データ削除</t>
  </si>
  <si>
    <t>タンク在庫送受信</t>
  </si>
  <si>
    <t>詰品在庫更新</t>
  </si>
  <si>
    <t>製品詰品出荷実績不突合い表印刷</t>
  </si>
  <si>
    <t>OneSAP送信履歴照会</t>
  </si>
  <si>
    <t>製品／ベースオイルロット台帳入力／照会</t>
  </si>
  <si>
    <t>添加剤ロット台帳入力／合否入力</t>
  </si>
  <si>
    <t>添加剤詰品納品受付（添加剤詰品社外入荷）</t>
  </si>
  <si>
    <t>製品／ベースオイルロット合否入力</t>
  </si>
  <si>
    <t>ロット試験依頼</t>
  </si>
  <si>
    <t>品転品ロット実績</t>
  </si>
  <si>
    <t>装置マスタ</t>
  </si>
  <si>
    <t>装置受払マスタ</t>
  </si>
  <si>
    <t>装置受払タンクマスタ</t>
  </si>
  <si>
    <t>週間工程表コメントマスタ</t>
  </si>
  <si>
    <t>週間工程表印字マスタ</t>
  </si>
  <si>
    <t>充填・入出荷・装置計画日コメントマスタ</t>
  </si>
  <si>
    <t>添加剤／容器発注先マスタ</t>
  </si>
  <si>
    <t>製品（詰品）マスタ一覧</t>
  </si>
  <si>
    <t>製品（詰品）マスタ</t>
  </si>
  <si>
    <t>品名／荷姿適用マスタ</t>
  </si>
  <si>
    <t>ブレンダ製造タンクマスタ</t>
  </si>
  <si>
    <t>ブレンダ規制（禁止油）マスタ</t>
  </si>
  <si>
    <t>充填口／充填口タンク／20Lヘッダータンクマスタ</t>
  </si>
  <si>
    <t>20Lヘッダタンク・充填口タンクマスタ</t>
  </si>
  <si>
    <t>充填口タンクマスタ（ドラム）</t>
  </si>
  <si>
    <t>充填口タンクマスタ</t>
  </si>
  <si>
    <t>ドラムヘッダーパージマスタ</t>
  </si>
  <si>
    <t>荷姿マスタ</t>
  </si>
  <si>
    <t>非稼動日マスタ</t>
  </si>
  <si>
    <t>生産系指図作成不可日マスタ</t>
  </si>
  <si>
    <t>月末在庫締め日テーブル</t>
  </si>
  <si>
    <t>充填洗浄基準マスタ</t>
  </si>
  <si>
    <t>製品タンク在庫照会（製造計画入力）</t>
  </si>
  <si>
    <t>添加剤在庫照会（添加剤受入計画入力）</t>
  </si>
  <si>
    <t>タンク切替画面</t>
  </si>
  <si>
    <t>容器注文書再印刷画面</t>
  </si>
  <si>
    <t>ロット合否エラーリスト出力</t>
  </si>
  <si>
    <t>過去入荷実績照会</t>
  </si>
  <si>
    <t>品番選択</t>
  </si>
  <si>
    <t>油種マスタ選択</t>
  </si>
  <si>
    <t>入出荷制約（シフト・パージ）選択</t>
  </si>
  <si>
    <t>コピーツール</t>
  </si>
  <si>
    <t>計画手配データ作成</t>
  </si>
  <si>
    <t>メニュー</t>
    <phoneticPr fontId="1"/>
  </si>
  <si>
    <t>業務画面</t>
    <rPh sb="0" eb="2">
      <t>ギョウム</t>
    </rPh>
    <rPh sb="2" eb="4">
      <t>ガメン</t>
    </rPh>
    <phoneticPr fontId="1"/>
  </si>
  <si>
    <t>マスタメンテ</t>
    <phoneticPr fontId="1"/>
  </si>
  <si>
    <t>業務画面</t>
    <rPh sb="0" eb="4">
      <t>ギョウ</t>
    </rPh>
    <phoneticPr fontId="1"/>
  </si>
  <si>
    <t>サブ画面</t>
    <rPh sb="2" eb="4">
      <t>ガメン</t>
    </rPh>
    <phoneticPr fontId="1"/>
  </si>
  <si>
    <t>中</t>
    <rPh sb="0" eb="1">
      <t>チュウ</t>
    </rPh>
    <phoneticPr fontId="1"/>
  </si>
  <si>
    <t>低</t>
    <rPh sb="0" eb="1">
      <t>テイ</t>
    </rPh>
    <phoneticPr fontId="1"/>
  </si>
  <si>
    <t>画面</t>
    <phoneticPr fontId="1"/>
  </si>
  <si>
    <t>高</t>
    <rPh sb="0" eb="1">
      <t>コウ</t>
    </rPh>
    <phoneticPr fontId="1"/>
  </si>
  <si>
    <t>帳票</t>
    <phoneticPr fontId="1"/>
  </si>
  <si>
    <t>batch</t>
  </si>
  <si>
    <t>DeleteFile.bat</t>
  </si>
  <si>
    <t>DeleteFileList.csv</t>
  </si>
  <si>
    <t>JSS_Training_Clean.bat</t>
  </si>
  <si>
    <t>JSS_Training_Clean.sql</t>
  </si>
  <si>
    <t>LogOutINFO.XML</t>
  </si>
  <si>
    <t>LogOutPut.exe</t>
  </si>
  <si>
    <t>RCV_SOKO_ZAIKO.bat</t>
  </si>
  <si>
    <t>RCV_SOKO_ZAIKO.sql</t>
  </si>
  <si>
    <t>bin</t>
  </si>
  <si>
    <t>B2001001.exe</t>
  </si>
  <si>
    <t>BATCommon.dll</t>
  </si>
  <si>
    <t>ComUtil.dll</t>
  </si>
  <si>
    <t>DBCommon.dll</t>
  </si>
  <si>
    <t>DBUtil.dll</t>
  </si>
  <si>
    <t>DC07001B.exe</t>
  </si>
  <si>
    <t>DC07002B.exe</t>
  </si>
  <si>
    <t>FTPSend.dll</t>
  </si>
  <si>
    <t>IV00101B.exe</t>
  </si>
  <si>
    <t>IV00201R.exe</t>
  </si>
  <si>
    <t>IV00301R.exe</t>
  </si>
  <si>
    <t>LogOutput.dll</t>
  </si>
  <si>
    <t>Message.dll</t>
  </si>
  <si>
    <t>OF06902B.exe</t>
  </si>
  <si>
    <t>OS00210B.exe</t>
  </si>
  <si>
    <t>OS00211R.exe</t>
  </si>
  <si>
    <t>OS00212R.exe</t>
  </si>
  <si>
    <t>OS00213R.exe</t>
  </si>
  <si>
    <t>OS00214R.exe</t>
  </si>
  <si>
    <t>OS00215R.exe</t>
  </si>
  <si>
    <t>OS00901B.exe</t>
  </si>
  <si>
    <t>PC00501B.exe</t>
  </si>
  <si>
    <t>PC00501R.exe</t>
  </si>
  <si>
    <t>PL00901B.exe</t>
  </si>
  <si>
    <t>PO40701R.exe</t>
  </si>
  <si>
    <t>PO40702R.exe</t>
  </si>
  <si>
    <t>PO40703R.exe</t>
  </si>
  <si>
    <t>QU00410B.exe</t>
  </si>
  <si>
    <t>SH02501B.exe</t>
  </si>
  <si>
    <t>SH04302B.exe</t>
  </si>
  <si>
    <t>SO01001R.exe</t>
  </si>
  <si>
    <t>SO07001B.exe</t>
  </si>
  <si>
    <t>SO07002B.exe</t>
  </si>
  <si>
    <t>SVRPrint.dll</t>
  </si>
  <si>
    <t>TypeConst.dll</t>
  </si>
  <si>
    <t>conf</t>
  </si>
  <si>
    <t>B2001001.ini</t>
  </si>
  <si>
    <t>PalantirInfo.xml</t>
  </si>
  <si>
    <t>バッチ</t>
  </si>
  <si>
    <t>バッチ</t>
    <phoneticPr fontId="1"/>
  </si>
  <si>
    <t>共通</t>
    <rPh sb="0" eb="2">
      <t>キョウツウ</t>
    </rPh>
    <phoneticPr fontId="1"/>
  </si>
  <si>
    <t>設定ファイル</t>
    <rPh sb="0" eb="2">
      <t>セッテイ</t>
    </rPh>
    <phoneticPr fontId="1"/>
  </si>
  <si>
    <t>特低</t>
    <rPh sb="0" eb="1">
      <t>トク</t>
    </rPh>
    <rPh sb="1" eb="2">
      <t>テイ</t>
    </rPh>
    <phoneticPr fontId="1"/>
  </si>
  <si>
    <t>ブレンダ規制(禁止)油マスタ</t>
  </si>
  <si>
    <t>充填口タンクマスタ</t>
    <rPh sb="0" eb="2">
      <t>ジュウテン</t>
    </rPh>
    <rPh sb="2" eb="3">
      <t>クチ</t>
    </rPh>
    <phoneticPr fontId="18"/>
  </si>
  <si>
    <t>製造方法(レシピ)マスタ</t>
  </si>
  <si>
    <t>指図連携</t>
  </si>
  <si>
    <t>ロット合否</t>
  </si>
  <si>
    <t>ローリー実績数量</t>
  </si>
  <si>
    <t>加温タンクリスト</t>
  </si>
  <si>
    <t>タンク在庫</t>
    <phoneticPr fontId="1"/>
  </si>
  <si>
    <t>運転実績</t>
    <rPh sb="0" eb="2">
      <t>ウンテン</t>
    </rPh>
    <rPh sb="2" eb="4">
      <t>ジッセキ</t>
    </rPh>
    <phoneticPr fontId="18"/>
  </si>
  <si>
    <t>運転開始/終了通知</t>
    <rPh sb="0" eb="4">
      <t>ウンテンカイシ</t>
    </rPh>
    <rPh sb="5" eb="7">
      <t>シュウリョウ</t>
    </rPh>
    <rPh sb="7" eb="9">
      <t>ツウチ</t>
    </rPh>
    <phoneticPr fontId="18"/>
  </si>
  <si>
    <t>在庫情報送信</t>
    <phoneticPr fontId="18"/>
  </si>
  <si>
    <t>入荷実績（ロット付）情報</t>
    <phoneticPr fontId="18"/>
  </si>
  <si>
    <t>入荷実績（ロットなし）情報</t>
    <phoneticPr fontId="18"/>
  </si>
  <si>
    <t>出荷実績（ロット付）情報
※トラックのみ</t>
    <rPh sb="0" eb="2">
      <t>シュッカ</t>
    </rPh>
    <phoneticPr fontId="18"/>
  </si>
  <si>
    <t>出荷実績（ロット付）情報
※BO/製品タンカー出荷実績送信</t>
    <rPh sb="0" eb="2">
      <t>シュッカ</t>
    </rPh>
    <phoneticPr fontId="18"/>
  </si>
  <si>
    <t>出荷実績（ロット付）情報
※制御システム通信サービスでの送信</t>
    <rPh sb="0" eb="2">
      <t>シュッカ</t>
    </rPh>
    <phoneticPr fontId="18"/>
  </si>
  <si>
    <t>発注情報</t>
    <rPh sb="0" eb="2">
      <t>ハッチュウ</t>
    </rPh>
    <rPh sb="2" eb="4">
      <t>ジョウホウ</t>
    </rPh>
    <phoneticPr fontId="18"/>
  </si>
  <si>
    <t>受注情報</t>
    <phoneticPr fontId="18"/>
  </si>
  <si>
    <t>転送予定（出荷）情報</t>
    <rPh sb="0" eb="2">
      <t>テンソウ</t>
    </rPh>
    <rPh sb="2" eb="4">
      <t>ヨテイ</t>
    </rPh>
    <rPh sb="5" eb="7">
      <t>シュッカ</t>
    </rPh>
    <rPh sb="8" eb="10">
      <t>ジョウホウ</t>
    </rPh>
    <phoneticPr fontId="18"/>
  </si>
  <si>
    <t>転送予定（入荷）情報</t>
    <rPh sb="0" eb="2">
      <t>テンソウ</t>
    </rPh>
    <rPh sb="2" eb="4">
      <t>ヨテイ</t>
    </rPh>
    <rPh sb="5" eb="7">
      <t>ニュウカ</t>
    </rPh>
    <rPh sb="8" eb="10">
      <t>ジョウホウ</t>
    </rPh>
    <phoneticPr fontId="18"/>
  </si>
  <si>
    <t>転送予定（ロット付）情報</t>
    <rPh sb="0" eb="2">
      <t>テンソウ</t>
    </rPh>
    <rPh sb="2" eb="4">
      <t>ヨテイ</t>
    </rPh>
    <rPh sb="8" eb="9">
      <t>ツキ</t>
    </rPh>
    <rPh sb="10" eb="12">
      <t>ジョウホウ</t>
    </rPh>
    <phoneticPr fontId="18"/>
  </si>
  <si>
    <t>入荷予定（ロットなし）情報</t>
    <rPh sb="0" eb="2">
      <t>ニュウカ</t>
    </rPh>
    <rPh sb="2" eb="4">
      <t>ヨテイ</t>
    </rPh>
    <rPh sb="11" eb="13">
      <t>ジョウホウ</t>
    </rPh>
    <phoneticPr fontId="18"/>
  </si>
  <si>
    <t>出荷指図（FIFOロット）情報</t>
    <rPh sb="0" eb="2">
      <t>シュッカ</t>
    </rPh>
    <rPh sb="2" eb="4">
      <t>サシズ</t>
    </rPh>
    <rPh sb="13" eb="15">
      <t>ジョウホウ</t>
    </rPh>
    <phoneticPr fontId="18"/>
  </si>
  <si>
    <t>調合実績（指図入庫）</t>
    <rPh sb="0" eb="2">
      <t>チョウゴウ</t>
    </rPh>
    <rPh sb="2" eb="4">
      <t>ジッセキ</t>
    </rPh>
    <rPh sb="5" eb="7">
      <t>サシズ</t>
    </rPh>
    <rPh sb="7" eb="9">
      <t>ニュウコ</t>
    </rPh>
    <phoneticPr fontId="18"/>
  </si>
  <si>
    <t>調合指図</t>
    <rPh sb="0" eb="2">
      <t>チョウゴウ</t>
    </rPh>
    <rPh sb="2" eb="4">
      <t>サシズ</t>
    </rPh>
    <phoneticPr fontId="18"/>
  </si>
  <si>
    <t>充填指図</t>
    <rPh sb="0" eb="2">
      <t>ジュウテン</t>
    </rPh>
    <rPh sb="2" eb="4">
      <t>サシズ</t>
    </rPh>
    <phoneticPr fontId="18"/>
  </si>
  <si>
    <t>調合実績（指図払出）</t>
    <rPh sb="0" eb="4">
      <t>チョウゴウジッセキ</t>
    </rPh>
    <rPh sb="5" eb="7">
      <t>サシズ</t>
    </rPh>
    <rPh sb="7" eb="9">
      <t>ハライダシ</t>
    </rPh>
    <phoneticPr fontId="18"/>
  </si>
  <si>
    <t>充填実績（指図入庫）</t>
    <rPh sb="0" eb="2">
      <t>ジュウテン</t>
    </rPh>
    <rPh sb="2" eb="4">
      <t>ジッセキ</t>
    </rPh>
    <rPh sb="5" eb="7">
      <t>サシズ</t>
    </rPh>
    <rPh sb="7" eb="9">
      <t>ニュウコ</t>
    </rPh>
    <phoneticPr fontId="18"/>
  </si>
  <si>
    <t>品位転換実績</t>
    <rPh sb="0" eb="2">
      <t>ヒンイ</t>
    </rPh>
    <rPh sb="2" eb="4">
      <t>テンカン</t>
    </rPh>
    <rPh sb="4" eb="6">
      <t>ジッセキ</t>
    </rPh>
    <phoneticPr fontId="18"/>
  </si>
  <si>
    <t>荷解転換実績</t>
    <rPh sb="0" eb="2">
      <t>ニホド</t>
    </rPh>
    <rPh sb="2" eb="4">
      <t>テンカン</t>
    </rPh>
    <rPh sb="4" eb="6">
      <t>ジッセキ</t>
    </rPh>
    <phoneticPr fontId="18"/>
  </si>
  <si>
    <t>品位転換予定</t>
    <rPh sb="0" eb="2">
      <t>ヒンイ</t>
    </rPh>
    <rPh sb="2" eb="4">
      <t>テンカン</t>
    </rPh>
    <rPh sb="4" eb="6">
      <t>ヨテイ</t>
    </rPh>
    <phoneticPr fontId="18"/>
  </si>
  <si>
    <t>荷解転換予定</t>
    <rPh sb="0" eb="2">
      <t>ニホド</t>
    </rPh>
    <rPh sb="2" eb="4">
      <t>テンカン</t>
    </rPh>
    <rPh sb="4" eb="6">
      <t>ヨテイ</t>
    </rPh>
    <phoneticPr fontId="18"/>
  </si>
  <si>
    <t>ロット振替</t>
    <rPh sb="3" eb="5">
      <t>フリカエ</t>
    </rPh>
    <phoneticPr fontId="18"/>
  </si>
  <si>
    <t>品位転換実績
※BO/製品タンカー出荷実績送信</t>
    <rPh sb="0" eb="2">
      <t>ヒンイ</t>
    </rPh>
    <rPh sb="2" eb="4">
      <t>テンカン</t>
    </rPh>
    <rPh sb="4" eb="6">
      <t>ジッセキ</t>
    </rPh>
    <phoneticPr fontId="18"/>
  </si>
  <si>
    <t>品位転換予定
※BO/製品タンカー出荷実績送信</t>
    <rPh sb="0" eb="2">
      <t>ヒンイ</t>
    </rPh>
    <rPh sb="2" eb="4">
      <t>テンカン</t>
    </rPh>
    <rPh sb="4" eb="6">
      <t>ヨテイ</t>
    </rPh>
    <phoneticPr fontId="18"/>
  </si>
  <si>
    <t>ロット振替
※BO/製品タンカー出荷実績送信</t>
    <rPh sb="3" eb="5">
      <t>フリカエ</t>
    </rPh>
    <rPh sb="10" eb="12">
      <t>セイヒン</t>
    </rPh>
    <rPh sb="16" eb="18">
      <t>シュッカ</t>
    </rPh>
    <rPh sb="18" eb="20">
      <t>ジッセキ</t>
    </rPh>
    <rPh sb="20" eb="22">
      <t>ソウシン</t>
    </rPh>
    <phoneticPr fontId="18"/>
  </si>
  <si>
    <t>ロット振替
※制御システム通信サービスでの送信</t>
    <rPh sb="3" eb="5">
      <t>フリカエ</t>
    </rPh>
    <rPh sb="7" eb="9">
      <t>セイギョ</t>
    </rPh>
    <rPh sb="13" eb="15">
      <t>ツウシン</t>
    </rPh>
    <rPh sb="21" eb="23">
      <t>ソウシン</t>
    </rPh>
    <phoneticPr fontId="18"/>
  </si>
  <si>
    <t>充填実績（指図払出）</t>
    <rPh sb="0" eb="2">
      <t>ジュウテン</t>
    </rPh>
    <rPh sb="2" eb="4">
      <t>ジッセキ</t>
    </rPh>
    <rPh sb="5" eb="7">
      <t>サシズ</t>
    </rPh>
    <rPh sb="7" eb="9">
      <t>ハライダシ</t>
    </rPh>
    <phoneticPr fontId="1"/>
  </si>
  <si>
    <t>タンク在庫</t>
    <rPh sb="3" eb="5">
      <t>ザイコ</t>
    </rPh>
    <phoneticPr fontId="18"/>
  </si>
  <si>
    <t>ロット試験依頼</t>
    <rPh sb="3" eb="5">
      <t>シケン</t>
    </rPh>
    <rPh sb="5" eb="7">
      <t>イライ</t>
    </rPh>
    <phoneticPr fontId="18"/>
  </si>
  <si>
    <t>品転品ロット実績</t>
    <rPh sb="0" eb="1">
      <t>ヒン</t>
    </rPh>
    <rPh sb="1" eb="2">
      <t>テン</t>
    </rPh>
    <rPh sb="2" eb="3">
      <t>ヒン</t>
    </rPh>
    <rPh sb="6" eb="8">
      <t>ジッセキ</t>
    </rPh>
    <phoneticPr fontId="18"/>
  </si>
  <si>
    <t>ローリー成績表</t>
    <rPh sb="4" eb="6">
      <t>セイセキ</t>
    </rPh>
    <rPh sb="6" eb="7">
      <t>ヒョウ</t>
    </rPh>
    <phoneticPr fontId="18"/>
  </si>
  <si>
    <t>ロット合否データ</t>
    <rPh sb="3" eb="5">
      <t>ゴウヒ</t>
    </rPh>
    <phoneticPr fontId="18"/>
  </si>
  <si>
    <t>千葉運転制御システム</t>
    <rPh sb="0" eb="2">
      <t>チバ</t>
    </rPh>
    <rPh sb="2" eb="6">
      <t>ウンテンセイギョ</t>
    </rPh>
    <phoneticPr fontId="18"/>
  </si>
  <si>
    <t>OneSAP</t>
    <phoneticPr fontId="18"/>
  </si>
  <si>
    <t>オフラス運転管理（ETS-R）</t>
    <rPh sb="4" eb="6">
      <t>ウンテン</t>
    </rPh>
    <rPh sb="6" eb="8">
      <t>カンリ</t>
    </rPh>
    <phoneticPr fontId="18"/>
  </si>
  <si>
    <t>オフラス試験管理（Lab-Aid）</t>
    <rPh sb="4" eb="6">
      <t>シケン</t>
    </rPh>
    <rPh sb="6" eb="8">
      <t>カンリ</t>
    </rPh>
    <phoneticPr fontId="18"/>
  </si>
  <si>
    <t>OneSAP</t>
  </si>
  <si>
    <t>Alteryx</t>
  </si>
  <si>
    <t>Alteryx</t>
    <phoneticPr fontId="18"/>
  </si>
  <si>
    <t>タンク在庫</t>
  </si>
  <si>
    <t>IF</t>
    <phoneticPr fontId="1"/>
  </si>
  <si>
    <t>その他</t>
    <phoneticPr fontId="1"/>
  </si>
  <si>
    <t>千葉運転管理システム（制御通信サーバ）</t>
    <rPh sb="0" eb="2">
      <t>チバ</t>
    </rPh>
    <rPh sb="2" eb="6">
      <t>ウン</t>
    </rPh>
    <rPh sb="11" eb="13">
      <t>セイギョ</t>
    </rPh>
    <rPh sb="13" eb="18">
      <t>ツウ</t>
    </rPh>
    <phoneticPr fontId="1"/>
  </si>
  <si>
    <t>タンク在庫送信</t>
    <phoneticPr fontId="18"/>
  </si>
  <si>
    <t>1.オフラス向けタンク在庫送信</t>
    <rPh sb="6" eb="7">
      <t>ム</t>
    </rPh>
    <phoneticPr fontId="18"/>
  </si>
  <si>
    <t>2.OneSAP向けタンク在庫送信（タンク在庫）</t>
    <rPh sb="21" eb="23">
      <t>ザイコ</t>
    </rPh>
    <phoneticPr fontId="18"/>
  </si>
  <si>
    <t>オフラス向けホスト送受信</t>
    <rPh sb="4" eb="5">
      <t>ム</t>
    </rPh>
    <rPh sb="9" eb="12">
      <t>ソウジュシン</t>
    </rPh>
    <phoneticPr fontId="18"/>
  </si>
  <si>
    <t>入出荷指図受信</t>
  </si>
  <si>
    <t>朝帳票作成</t>
  </si>
  <si>
    <t>自動倉庫トレーニング用データ削除</t>
  </si>
  <si>
    <t>(自動倉庫)在庫データ受信</t>
  </si>
  <si>
    <t>充填管理システム受信用通信サービス起動</t>
    <rPh sb="0" eb="4">
      <t>ジュウテn</t>
    </rPh>
    <rPh sb="17" eb="19">
      <t>キドウ</t>
    </rPh>
    <phoneticPr fontId="18"/>
  </si>
  <si>
    <t>充填管理システム受信用通信サービス停止</t>
    <rPh sb="0" eb="4">
      <t>ジュウ</t>
    </rPh>
    <rPh sb="17" eb="19">
      <t>テイシ</t>
    </rPh>
    <phoneticPr fontId="18"/>
  </si>
  <si>
    <t>自動倉庫システム受信用通信サービス起動</t>
    <rPh sb="17" eb="19">
      <t>キドウ</t>
    </rPh>
    <phoneticPr fontId="18"/>
  </si>
  <si>
    <t>自動倉庫システム受信用通信サービス停止</t>
    <rPh sb="17" eb="19">
      <t>テイシ</t>
    </rPh>
    <phoneticPr fontId="18"/>
  </si>
  <si>
    <t>不要ファイル削除</t>
  </si>
  <si>
    <t>OneSAP向けファイル送信（バッチモード）</t>
    <rPh sb="12" eb="14">
      <t>ソウシン</t>
    </rPh>
    <phoneticPr fontId="18"/>
  </si>
  <si>
    <t>業務ファイル転送</t>
    <rPh sb="0" eb="8">
      <t>ギョウム</t>
    </rPh>
    <phoneticPr fontId="18"/>
  </si>
  <si>
    <t>昼の定期バッチ</t>
    <rPh sb="0" eb="1">
      <t>ヒル</t>
    </rPh>
    <rPh sb="2" eb="4">
      <t>テイキ</t>
    </rPh>
    <phoneticPr fontId="18"/>
  </si>
  <si>
    <t>出荷過去実績作成</t>
    <rPh sb="0" eb="2">
      <t>シュッカ</t>
    </rPh>
    <rPh sb="2" eb="4">
      <t>カコ</t>
    </rPh>
    <rPh sb="4" eb="6">
      <t>ジッセキ</t>
    </rPh>
    <rPh sb="6" eb="8">
      <t>サクセイ</t>
    </rPh>
    <phoneticPr fontId="18"/>
  </si>
  <si>
    <t>送信ファイル作成（Palantir）</t>
  </si>
  <si>
    <t>マスタデータ作成/送信（運転制御）</t>
  </si>
  <si>
    <t>運転データ作成/送信（運転制御</t>
  </si>
  <si>
    <t>運転データ受信（fromDCS）</t>
  </si>
  <si>
    <t>送信ファイル作成（Alteryx）</t>
    <phoneticPr fontId="18"/>
  </si>
  <si>
    <t>NO</t>
    <phoneticPr fontId="1"/>
  </si>
  <si>
    <t>JOB</t>
    <phoneticPr fontId="1"/>
  </si>
  <si>
    <t>その他</t>
    <phoneticPr fontId="1"/>
  </si>
  <si>
    <t>No.</t>
    <phoneticPr fontId="1"/>
  </si>
  <si>
    <t>中</t>
    <rPh sb="0" eb="1">
      <t>チュウ</t>
    </rPh>
    <phoneticPr fontId="1"/>
  </si>
  <si>
    <t>SO00102B</t>
  </si>
  <si>
    <t>SO00101B</t>
  </si>
  <si>
    <t>PL00902B</t>
  </si>
  <si>
    <t>PL00901B</t>
  </si>
  <si>
    <t>OS00903B</t>
  </si>
  <si>
    <t>OS00902B</t>
  </si>
  <si>
    <t>OF00902B</t>
  </si>
  <si>
    <t>DC07002B</t>
  </si>
  <si>
    <t>DC07001B</t>
  </si>
  <si>
    <t>CO00902B</t>
  </si>
  <si>
    <t>B1004003</t>
  </si>
  <si>
    <t>B1004001</t>
  </si>
  <si>
    <t>B1003002</t>
  </si>
  <si>
    <t>B1003001</t>
  </si>
  <si>
    <t>B1002002</t>
  </si>
  <si>
    <t>B1001001</t>
  </si>
  <si>
    <t>運転実績受信</t>
  </si>
  <si>
    <t>マスタデータ作成（運転制御）</t>
  </si>
  <si>
    <t>運転データ作成（運転制御）</t>
  </si>
  <si>
    <t>自動倉庫システム受信用通信サービス停止</t>
  </si>
  <si>
    <t>自動倉庫システム受信用通信サービス起動</t>
  </si>
  <si>
    <t>出荷過去実績作成</t>
  </si>
  <si>
    <t>オフラス向けホスト送受信</t>
  </si>
  <si>
    <t>ロット合否取込</t>
  </si>
  <si>
    <t>Palantirファイル送信（toDS）</t>
  </si>
  <si>
    <t>昼の定期バッチ</t>
  </si>
  <si>
    <t>OneSAPファイル受信（fromNAS）</t>
  </si>
  <si>
    <t>OneSAPファイル送信（toNAS）</t>
  </si>
  <si>
    <t>送信ファイル作成（OneSAP）</t>
  </si>
  <si>
    <t>タンク在庫送信</t>
  </si>
  <si>
    <t>オフラスファイル送信（toEAI）</t>
  </si>
  <si>
    <t>朝帳票作成バッチ</t>
  </si>
  <si>
    <t>運転制御システム受信用通信サービス停止</t>
  </si>
  <si>
    <t>運転制御システム受信用通信サービス起動</t>
  </si>
  <si>
    <t>保守用ファイル送信（toファイルサーバ）</t>
  </si>
  <si>
    <t>業務ファイル送受信</t>
  </si>
  <si>
    <t>RMANバックアップ</t>
  </si>
  <si>
    <t>_INDEX再構築(在庫テーブル)</t>
  </si>
  <si>
    <t>テーブルクリーニング</t>
  </si>
  <si>
    <t>LUB21_USERの過去データ削除</t>
  </si>
  <si>
    <t>LUB21_USERの統計量取得</t>
  </si>
  <si>
    <t>運転データ送信（toDCS）</t>
  </si>
  <si>
    <t>充填管理システム受信用通信サービス起動</t>
  </si>
  <si>
    <t>充填管理システム受信用通信サービス停止</t>
  </si>
  <si>
    <t>DBバックアップ</t>
    <phoneticPr fontId="1"/>
  </si>
  <si>
    <t>朝帳票印刷１</t>
    <rPh sb="3" eb="5">
      <t>インサツ</t>
    </rPh>
    <phoneticPr fontId="1"/>
  </si>
  <si>
    <t>朝帳票印刷２</t>
    <rPh sb="3" eb="5">
      <t>インサツ</t>
    </rPh>
    <phoneticPr fontId="1"/>
  </si>
  <si>
    <t>SAP帳票印刷１</t>
    <rPh sb="3" eb="5">
      <t>チョウヒョウ</t>
    </rPh>
    <rPh sb="5" eb="7">
      <t>イン</t>
    </rPh>
    <phoneticPr fontId="1"/>
  </si>
  <si>
    <t>SAP帳票印刷２</t>
    <rPh sb="3" eb="5">
      <t>チョウヒョウ</t>
    </rPh>
    <rPh sb="5" eb="7">
      <t>イン</t>
    </rPh>
    <phoneticPr fontId="1"/>
  </si>
  <si>
    <t>SAP帳票印刷３</t>
    <rPh sb="3" eb="5">
      <t>チョウヒョウ</t>
    </rPh>
    <rPh sb="5" eb="7">
      <t>イン</t>
    </rPh>
    <phoneticPr fontId="1"/>
  </si>
  <si>
    <t>SAP帳票印刷４</t>
    <rPh sb="3" eb="5">
      <t>チョウヒョウ</t>
    </rPh>
    <rPh sb="5" eb="7">
      <t>イン</t>
    </rPh>
    <phoneticPr fontId="1"/>
  </si>
  <si>
    <t>SAP帳票印刷５</t>
    <rPh sb="3" eb="5">
      <t>チョウヒョウ</t>
    </rPh>
    <rPh sb="5" eb="7">
      <t>イン</t>
    </rPh>
    <phoneticPr fontId="1"/>
  </si>
  <si>
    <t>DC02002B.exe</t>
  </si>
  <si>
    <t>DC02002B.exe</t>
    <phoneticPr fontId="1"/>
  </si>
  <si>
    <t>DC01001B.exe</t>
  </si>
  <si>
    <t>DC01001B.exe</t>
    <phoneticPr fontId="1"/>
  </si>
  <si>
    <t>DC01002B.exe</t>
  </si>
  <si>
    <t>DC01002B.exe</t>
    <phoneticPr fontId="1"/>
  </si>
  <si>
    <t>DC01003B.exe</t>
  </si>
  <si>
    <t>DC01003B.exe</t>
    <phoneticPr fontId="1"/>
  </si>
  <si>
    <t>DC01004B.exe</t>
  </si>
  <si>
    <t>DC01004B.exe</t>
    <phoneticPr fontId="1"/>
  </si>
  <si>
    <t>JU07001B.exe</t>
  </si>
  <si>
    <t>JU07001B.exe</t>
    <phoneticPr fontId="1"/>
  </si>
  <si>
    <t>JU07002B.exe</t>
  </si>
  <si>
    <t>JU07002B.exe</t>
    <phoneticPr fontId="1"/>
  </si>
  <si>
    <t>昼帳票1</t>
    <rPh sb="1" eb="3">
      <t>チョウヒョウ</t>
    </rPh>
    <phoneticPr fontId="1"/>
  </si>
  <si>
    <t>昼帳票2</t>
    <rPh sb="1" eb="3">
      <t>チョウヒョウ</t>
    </rPh>
    <phoneticPr fontId="1"/>
  </si>
  <si>
    <t>昼帳票3</t>
    <rPh sb="1" eb="3">
      <t>チョウヒョウ</t>
    </rPh>
    <phoneticPr fontId="1"/>
  </si>
  <si>
    <t>昼帳票4</t>
    <rPh sb="1" eb="3">
      <t>チョウヒョウ</t>
    </rPh>
    <phoneticPr fontId="1"/>
  </si>
  <si>
    <t>製品詰品出荷実績不突き合い表</t>
  </si>
  <si>
    <t>製品詰品出荷実績不突き合い表</t>
    <phoneticPr fontId="1"/>
  </si>
  <si>
    <t>自動倉庫システム受信用通信サービス起動</t>
    <rPh sb="0" eb="4">
      <t>ジドウ</t>
    </rPh>
    <phoneticPr fontId="1"/>
  </si>
  <si>
    <t>自動倉庫システム受信用通信サービス停止</t>
    <rPh sb="0" eb="4">
      <t>ジ</t>
    </rPh>
    <phoneticPr fontId="1"/>
  </si>
  <si>
    <t>ログ出力</t>
    <rPh sb="2" eb="4">
      <t>シュツリョク</t>
    </rPh>
    <phoneticPr fontId="1"/>
  </si>
  <si>
    <t>ログ出力※通信サーバ次第</t>
    <rPh sb="2" eb="4">
      <t>シュツリョク</t>
    </rPh>
    <rPh sb="5" eb="10">
      <t>ツウ</t>
    </rPh>
    <rPh sb="10" eb="12">
      <t>シダイ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</si>
</sst>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76" formatCode="0.0_ "/>
    <numFmt numFmtId="177" formatCode="0.00_);[Red]\(0.00\)"/>
    <numFmt numFmtId="178" formatCode="0.00_ "/>
    <numFmt numFmtId="179" formatCode="&quot;¥&quot;#,##0_);[Red]\(&quot;¥&quot;#,##0\)"/>
    <numFmt numFmtId="180" formatCode="0_ "/>
    <numFmt numFmtId="181" formatCode="0.000_);[Red]\(0.000\)"/>
    <numFmt numFmtId="182" formatCode="0.0_);[Red]\(0.0\)"/>
    <numFmt numFmtId="183" formatCode="#,##0.0_);[Red]\(#,##0.0\)"/>
    <numFmt numFmtId="184" formatCode="0.000_ "/>
    <numFmt numFmtId="185" formatCode="#,##0.000_ "/>
    <numFmt numFmtId="186" formatCode="#,##0.0_ ;[Red]\-#,##0.0\ "/>
    <numFmt numFmtId="187" formatCode="0.00\ &quot;ヶ&quot;&quot;月&quot;"/>
    <numFmt numFmtId="188" formatCode="0_);[Red]\(0\)"/>
    <numFmt numFmtId="189" formatCode="&quot;¥&quot;#,##0.0;&quot;¥&quot;\-#,##0.0"/>
  </numFmts>
  <fonts count="2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0" tint="-0.499984740745262"/>
      <name val="ＭＳ 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10"/>
      <color theme="0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sz val="10"/>
      <color rgb="FFFF0000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176" fontId="0" fillId="0" borderId="0" xfId="0" applyNumberFormat="1" applyBorder="1" applyAlignment="1">
      <alignment horizontal="right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left" vertical="center"/>
    </xf>
    <xf numFmtId="49" fontId="0" fillId="0" borderId="0" xfId="0" applyNumberFormat="1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179" fontId="0" fillId="0" borderId="0" xfId="0" applyNumberFormat="1" applyBorder="1" applyAlignment="1">
      <alignment horizontal="right" vertical="center"/>
    </xf>
    <xf numFmtId="176" fontId="0" fillId="0" borderId="0" xfId="0" applyNumberFormat="1" applyBorder="1" applyAlignme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3" applyFont="1">
      <alignment vertical="center"/>
    </xf>
    <xf numFmtId="0" fontId="7" fillId="4" borderId="1" xfId="3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6" fillId="0" borderId="0" xfId="3" applyNumberFormat="1" applyFont="1" applyFill="1" applyBorder="1">
      <alignment vertical="center"/>
    </xf>
    <xf numFmtId="0" fontId="6" fillId="4" borderId="1" xfId="0" applyFont="1" applyFill="1" applyBorder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180" fontId="6" fillId="0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184" fontId="6" fillId="0" borderId="1" xfId="0" applyNumberFormat="1" applyFont="1" applyBorder="1">
      <alignment vertical="center"/>
    </xf>
    <xf numFmtId="184" fontId="6" fillId="3" borderId="1" xfId="0" applyNumberFormat="1" applyFont="1" applyFill="1" applyBorder="1">
      <alignment vertical="center"/>
    </xf>
    <xf numFmtId="0" fontId="6" fillId="0" borderId="0" xfId="0" applyFont="1" applyBorder="1">
      <alignment vertical="center"/>
    </xf>
    <xf numFmtId="0" fontId="6" fillId="2" borderId="12" xfId="0" applyFont="1" applyFill="1" applyBorder="1" applyAlignment="1">
      <alignment horizontal="center" vertical="center"/>
    </xf>
    <xf numFmtId="184" fontId="8" fillId="3" borderId="5" xfId="0" applyNumberFormat="1" applyFont="1" applyFill="1" applyBorder="1">
      <alignment vertical="center"/>
    </xf>
    <xf numFmtId="184" fontId="8" fillId="3" borderId="2" xfId="0" applyNumberFormat="1" applyFont="1" applyFill="1" applyBorder="1">
      <alignment vertical="center"/>
    </xf>
    <xf numFmtId="184" fontId="8" fillId="3" borderId="3" xfId="0" applyNumberFormat="1" applyFont="1" applyFill="1" applyBorder="1">
      <alignment vertical="center"/>
    </xf>
    <xf numFmtId="184" fontId="8" fillId="3" borderId="9" xfId="0" applyNumberFormat="1" applyFont="1" applyFill="1" applyBorder="1">
      <alignment vertical="center"/>
    </xf>
    <xf numFmtId="184" fontId="8" fillId="3" borderId="4" xfId="0" applyNumberFormat="1" applyFont="1" applyFill="1" applyBorder="1">
      <alignment vertical="center"/>
    </xf>
    <xf numFmtId="184" fontId="8" fillId="3" borderId="1" xfId="0" applyNumberFormat="1" applyFont="1" applyFill="1" applyBorder="1">
      <alignment vertical="center"/>
    </xf>
    <xf numFmtId="185" fontId="6" fillId="3" borderId="1" xfId="0" applyNumberFormat="1" applyFont="1" applyFill="1" applyBorder="1">
      <alignment vertical="center"/>
    </xf>
    <xf numFmtId="185" fontId="6" fillId="3" borderId="6" xfId="0" applyNumberFormat="1" applyFont="1" applyFill="1" applyBorder="1">
      <alignment vertical="center"/>
    </xf>
    <xf numFmtId="184" fontId="6" fillId="0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left" vertical="center"/>
    </xf>
    <xf numFmtId="49" fontId="9" fillId="2" borderId="2" xfId="0" applyNumberFormat="1" applyFont="1" applyFill="1" applyBorder="1" applyAlignment="1">
      <alignment horizontal="left" vertical="center"/>
    </xf>
    <xf numFmtId="0" fontId="9" fillId="0" borderId="14" xfId="0" applyNumberFormat="1" applyFont="1" applyBorder="1" applyAlignment="1">
      <alignment horizontal="left" vertical="top"/>
    </xf>
    <xf numFmtId="187" fontId="9" fillId="5" borderId="9" xfId="0" applyNumberFormat="1" applyFont="1" applyFill="1" applyBorder="1" applyAlignment="1">
      <alignment vertical="center"/>
    </xf>
    <xf numFmtId="187" fontId="2" fillId="5" borderId="1" xfId="0" applyNumberFormat="1" applyFont="1" applyFill="1" applyBorder="1" applyAlignment="1">
      <alignment horizontal="right" vertical="center"/>
    </xf>
    <xf numFmtId="179" fontId="11" fillId="5" borderId="1" xfId="0" applyNumberFormat="1" applyFont="1" applyFill="1" applyBorder="1" applyAlignment="1">
      <alignment horizontal="right" vertical="center"/>
    </xf>
    <xf numFmtId="0" fontId="0" fillId="0" borderId="0" xfId="0">
      <alignment vertical="center"/>
    </xf>
    <xf numFmtId="9" fontId="11" fillId="0" borderId="1" xfId="4" applyFont="1" applyFill="1" applyBorder="1" applyAlignment="1">
      <alignment horizontal="right" vertical="center"/>
    </xf>
    <xf numFmtId="9" fontId="11" fillId="5" borderId="1" xfId="4" applyFont="1" applyFill="1" applyBorder="1" applyAlignment="1">
      <alignment horizontal="right" vertical="center"/>
    </xf>
    <xf numFmtId="179" fontId="11" fillId="0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Border="1" applyAlignment="1">
      <alignment horizontal="right" vertical="center"/>
    </xf>
    <xf numFmtId="181" fontId="15" fillId="4" borderId="1" xfId="0" applyNumberFormat="1" applyFont="1" applyFill="1" applyBorder="1" applyAlignment="1">
      <alignment horizontal="right" vertical="center"/>
    </xf>
    <xf numFmtId="178" fontId="15" fillId="0" borderId="1" xfId="0" applyNumberFormat="1" applyFont="1" applyBorder="1" applyAlignment="1">
      <alignment horizontal="right" vertical="center"/>
    </xf>
    <xf numFmtId="179" fontId="15" fillId="4" borderId="1" xfId="0" applyNumberFormat="1" applyFont="1" applyFill="1" applyBorder="1" applyAlignment="1">
      <alignment horizontal="right" vertical="center"/>
    </xf>
    <xf numFmtId="179" fontId="15" fillId="0" borderId="1" xfId="0" applyNumberFormat="1" applyFont="1" applyBorder="1" applyAlignment="1">
      <alignment horizontal="right" vertical="center"/>
    </xf>
    <xf numFmtId="49" fontId="16" fillId="2" borderId="1" xfId="0" applyNumberFormat="1" applyFont="1" applyFill="1" applyBorder="1" applyAlignment="1">
      <alignment horizontal="center" vertical="center"/>
    </xf>
    <xf numFmtId="176" fontId="16" fillId="2" borderId="1" xfId="0" applyNumberFormat="1" applyFont="1" applyFill="1" applyBorder="1" applyAlignment="1">
      <alignment horizontal="center" vertical="center"/>
    </xf>
    <xf numFmtId="180" fontId="16" fillId="2" borderId="1" xfId="0" applyNumberFormat="1" applyFont="1" applyFill="1" applyBorder="1" applyAlignment="1">
      <alignment horizontal="center" vertical="center"/>
    </xf>
    <xf numFmtId="179" fontId="16" fillId="2" borderId="1" xfId="0" applyNumberFormat="1" applyFont="1" applyFill="1" applyBorder="1" applyAlignment="1">
      <alignment horizontal="center" vertical="center"/>
    </xf>
    <xf numFmtId="176" fontId="13" fillId="0" borderId="0" xfId="0" applyNumberFormat="1" applyFont="1" applyBorder="1" applyAlignment="1">
      <alignment horizontal="center" vertical="center"/>
    </xf>
    <xf numFmtId="49" fontId="16" fillId="5" borderId="1" xfId="0" applyNumberFormat="1" applyFont="1" applyFill="1" applyBorder="1" applyAlignment="1">
      <alignment horizontal="center" vertical="center"/>
    </xf>
    <xf numFmtId="176" fontId="16" fillId="5" borderId="1" xfId="0" applyNumberFormat="1" applyFont="1" applyFill="1" applyBorder="1" applyAlignment="1">
      <alignment horizontal="left" vertical="center"/>
    </xf>
    <xf numFmtId="176" fontId="16" fillId="5" borderId="1" xfId="0" applyNumberFormat="1" applyFont="1" applyFill="1" applyBorder="1" applyAlignment="1">
      <alignment horizontal="center" vertical="center"/>
    </xf>
    <xf numFmtId="180" fontId="16" fillId="5" borderId="1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9" fontId="13" fillId="0" borderId="1" xfId="0" applyNumberFormat="1" applyFont="1" applyFill="1" applyBorder="1" applyAlignment="1">
      <alignment horizontal="right" vertical="center"/>
    </xf>
    <xf numFmtId="9" fontId="13" fillId="5" borderId="1" xfId="0" applyNumberFormat="1" applyFont="1" applyFill="1" applyBorder="1" applyAlignment="1">
      <alignment horizontal="right" vertical="center"/>
    </xf>
    <xf numFmtId="177" fontId="13" fillId="5" borderId="1" xfId="0" applyNumberFormat="1" applyFont="1" applyFill="1" applyBorder="1" applyAlignment="1">
      <alignment horizontal="right" vertical="center"/>
    </xf>
    <xf numFmtId="179" fontId="13" fillId="5" borderId="1" xfId="0" applyNumberFormat="1" applyFont="1" applyFill="1" applyBorder="1" applyAlignment="1">
      <alignment horizontal="right" vertical="center"/>
    </xf>
    <xf numFmtId="177" fontId="13" fillId="5" borderId="1" xfId="0" applyNumberFormat="1" applyFont="1" applyFill="1" applyBorder="1" applyAlignment="1">
      <alignment horizontal="left" vertical="center"/>
    </xf>
    <xf numFmtId="49" fontId="16" fillId="5" borderId="13" xfId="0" applyNumberFormat="1" applyFont="1" applyFill="1" applyBorder="1" applyAlignment="1">
      <alignment horizontal="center" vertical="center"/>
    </xf>
    <xf numFmtId="176" fontId="16" fillId="5" borderId="13" xfId="0" applyNumberFormat="1" applyFont="1" applyFill="1" applyBorder="1" applyAlignment="1">
      <alignment horizontal="left" vertical="center"/>
    </xf>
    <xf numFmtId="176" fontId="16" fillId="5" borderId="13" xfId="0" applyNumberFormat="1" applyFont="1" applyFill="1" applyBorder="1" applyAlignment="1">
      <alignment horizontal="center" vertical="center"/>
    </xf>
    <xf numFmtId="180" fontId="16" fillId="5" borderId="13" xfId="0" applyNumberFormat="1" applyFont="1" applyFill="1" applyBorder="1" applyAlignment="1">
      <alignment horizontal="center" vertical="center"/>
    </xf>
    <xf numFmtId="176" fontId="13" fillId="5" borderId="13" xfId="0" applyNumberFormat="1" applyFont="1" applyFill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right" vertical="center"/>
    </xf>
    <xf numFmtId="177" fontId="13" fillId="5" borderId="13" xfId="0" applyNumberFormat="1" applyFont="1" applyFill="1" applyBorder="1" applyAlignment="1">
      <alignment horizontal="right" vertical="center"/>
    </xf>
    <xf numFmtId="179" fontId="13" fillId="5" borderId="13" xfId="0" applyNumberFormat="1" applyFont="1" applyFill="1" applyBorder="1" applyAlignment="1">
      <alignment horizontal="right" vertical="center"/>
    </xf>
    <xf numFmtId="177" fontId="13" fillId="5" borderId="13" xfId="0" applyNumberFormat="1" applyFont="1" applyFill="1" applyBorder="1" applyAlignment="1">
      <alignment horizontal="left" vertical="center"/>
    </xf>
    <xf numFmtId="188" fontId="13" fillId="0" borderId="6" xfId="0" applyNumberFormat="1" applyFont="1" applyFill="1" applyBorder="1" applyAlignment="1">
      <alignment horizontal="center" vertical="center"/>
    </xf>
    <xf numFmtId="176" fontId="13" fillId="0" borderId="6" xfId="0" applyNumberFormat="1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vertical="center"/>
    </xf>
    <xf numFmtId="176" fontId="13" fillId="0" borderId="1" xfId="0" applyNumberFormat="1" applyFont="1" applyFill="1" applyBorder="1" applyAlignment="1">
      <alignment vertical="center"/>
    </xf>
    <xf numFmtId="186" fontId="13" fillId="0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180" fontId="13" fillId="0" borderId="1" xfId="0" applyNumberFormat="1" applyFont="1" applyFill="1" applyBorder="1" applyAlignment="1">
      <alignment horizontal="center" vertical="center"/>
    </xf>
    <xf numFmtId="176" fontId="13" fillId="0" borderId="0" xfId="0" applyNumberFormat="1" applyFont="1" applyBorder="1" applyAlignment="1">
      <alignment vertical="center"/>
    </xf>
    <xf numFmtId="49" fontId="13" fillId="0" borderId="0" xfId="0" applyNumberFormat="1" applyFont="1" applyBorder="1" applyAlignment="1">
      <alignment horizontal="center" vertical="center"/>
    </xf>
    <xf numFmtId="180" fontId="13" fillId="0" borderId="0" xfId="0" applyNumberFormat="1" applyFont="1" applyBorder="1" applyAlignment="1">
      <alignment horizontal="center" vertical="center"/>
    </xf>
    <xf numFmtId="176" fontId="13" fillId="0" borderId="0" xfId="0" applyNumberFormat="1" applyFont="1" applyBorder="1" applyAlignment="1">
      <alignment horizontal="right" vertical="center"/>
    </xf>
    <xf numFmtId="179" fontId="13" fillId="0" borderId="0" xfId="0" applyNumberFormat="1" applyFont="1" applyBorder="1" applyAlignment="1">
      <alignment horizontal="right" vertical="center"/>
    </xf>
    <xf numFmtId="176" fontId="13" fillId="0" borderId="0" xfId="0" applyNumberFormat="1" applyFont="1" applyBorder="1" applyAlignment="1">
      <alignment horizontal="left" vertical="center"/>
    </xf>
    <xf numFmtId="179" fontId="0" fillId="5" borderId="1" xfId="0" applyNumberFormat="1" applyFill="1" applyBorder="1">
      <alignment vertical="center"/>
    </xf>
    <xf numFmtId="0" fontId="17" fillId="6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NumberFormat="1" applyFont="1" applyBorder="1" applyAlignment="1">
      <alignment vertical="top"/>
    </xf>
    <xf numFmtId="0" fontId="0" fillId="0" borderId="0" xfId="0">
      <alignment vertical="center"/>
    </xf>
    <xf numFmtId="179" fontId="0" fillId="0" borderId="0" xfId="0" applyNumberFormat="1">
      <alignment vertical="center"/>
    </xf>
    <xf numFmtId="177" fontId="0" fillId="0" borderId="0" xfId="4" applyNumberFormat="1" applyFont="1">
      <alignment vertical="center"/>
    </xf>
    <xf numFmtId="177" fontId="2" fillId="0" borderId="0" xfId="4" applyNumberFormat="1" applyFont="1">
      <alignment vertical="center"/>
    </xf>
    <xf numFmtId="177" fontId="11" fillId="0" borderId="1" xfId="4" applyNumberFormat="1" applyFont="1" applyFill="1" applyBorder="1" applyAlignment="1">
      <alignment horizontal="right" vertical="center"/>
    </xf>
    <xf numFmtId="177" fontId="11" fillId="5" borderId="1" xfId="4" applyNumberFormat="1" applyFont="1" applyFill="1" applyBorder="1" applyAlignment="1">
      <alignment horizontal="right" vertical="center"/>
    </xf>
    <xf numFmtId="184" fontId="6" fillId="0" borderId="0" xfId="0" applyNumberFormat="1" applyFont="1">
      <alignment vertical="center"/>
    </xf>
    <xf numFmtId="0" fontId="0" fillId="0" borderId="0" xfId="0">
      <alignment vertical="center"/>
    </xf>
    <xf numFmtId="189" fontId="13" fillId="0" borderId="1" xfId="0" applyNumberFormat="1" applyFont="1" applyFill="1" applyBorder="1" applyAlignment="1">
      <alignment vertical="center" shrinkToFit="1"/>
    </xf>
    <xf numFmtId="176" fontId="13" fillId="0" borderId="1" xfId="0" applyNumberFormat="1" applyFont="1" applyFill="1" applyBorder="1" applyAlignment="1">
      <alignment vertical="center" shrinkToFit="1"/>
    </xf>
    <xf numFmtId="0" fontId="0" fillId="0" borderId="0" xfId="0">
      <alignment vertical="center"/>
    </xf>
    <xf numFmtId="183" fontId="13" fillId="0" borderId="1" xfId="0" applyNumberFormat="1" applyFont="1" applyFill="1" applyBorder="1" applyAlignment="1">
      <alignment horizontal="right" vertical="center"/>
    </xf>
    <xf numFmtId="181" fontId="13" fillId="0" borderId="1" xfId="0" applyNumberFormat="1" applyFont="1" applyFill="1" applyBorder="1" applyAlignment="1">
      <alignment horizontal="right" vertical="center"/>
    </xf>
    <xf numFmtId="179" fontId="13" fillId="0" borderId="1" xfId="0" applyNumberFormat="1" applyFont="1" applyFill="1" applyBorder="1" applyAlignment="1">
      <alignment horizontal="right" vertical="center"/>
    </xf>
    <xf numFmtId="177" fontId="13" fillId="0" borderId="6" xfId="0" applyNumberFormat="1" applyFont="1" applyFill="1" applyBorder="1" applyAlignment="1">
      <alignment horizontal="left" vertical="center"/>
    </xf>
    <xf numFmtId="0" fontId="12" fillId="0" borderId="24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 applyAlignment="1">
      <alignment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2" fillId="0" borderId="1" xfId="0" applyFont="1" applyFill="1" applyBorder="1" applyAlignment="1">
      <alignment vertical="center"/>
    </xf>
    <xf numFmtId="0" fontId="22" fillId="0" borderId="5" xfId="0" applyFont="1" applyFill="1" applyBorder="1" applyAlignment="1">
      <alignment vertical="center"/>
    </xf>
    <xf numFmtId="0" fontId="22" fillId="0" borderId="1" xfId="0" applyFont="1" applyFill="1" applyBorder="1" applyAlignment="1">
      <alignment vertical="center" wrapText="1"/>
    </xf>
    <xf numFmtId="0" fontId="22" fillId="0" borderId="5" xfId="0" applyFont="1" applyFill="1" applyBorder="1" applyAlignment="1">
      <alignment vertical="center" wrapText="1"/>
    </xf>
    <xf numFmtId="0" fontId="22" fillId="0" borderId="5" xfId="0" applyFont="1" applyFill="1" applyBorder="1" applyAlignment="1">
      <alignment vertical="center" shrinkToFit="1"/>
    </xf>
    <xf numFmtId="0" fontId="22" fillId="8" borderId="1" xfId="0" applyFont="1" applyFill="1" applyBorder="1" applyAlignment="1">
      <alignment horizontal="left" vertical="center" shrinkToFit="1"/>
    </xf>
    <xf numFmtId="0" fontId="22" fillId="0" borderId="1" xfId="0" applyFont="1" applyBorder="1" applyAlignment="1">
      <alignment horizontal="left" vertical="center" wrapText="1" shrinkToFit="1"/>
    </xf>
    <xf numFmtId="0" fontId="22" fillId="0" borderId="1" xfId="0" applyFont="1" applyBorder="1" applyAlignment="1">
      <alignment horizontal="left" vertical="center" shrinkToFit="1"/>
    </xf>
    <xf numFmtId="0" fontId="22" fillId="0" borderId="5" xfId="0" applyFont="1" applyBorder="1" applyAlignment="1">
      <alignment horizontal="left" vertical="center" shrinkToFit="1"/>
    </xf>
    <xf numFmtId="0" fontId="22" fillId="0" borderId="5" xfId="0" applyFont="1" applyFill="1" applyBorder="1" applyAlignment="1">
      <alignment horizontal="left" vertical="center" shrinkToFit="1"/>
    </xf>
    <xf numFmtId="0" fontId="21" fillId="7" borderId="23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 wrapText="1"/>
    </xf>
    <xf numFmtId="49" fontId="22" fillId="0" borderId="26" xfId="1" applyNumberFormat="1" applyFont="1" applyFill="1" applyBorder="1" applyAlignment="1">
      <alignment vertical="top" wrapText="1"/>
    </xf>
    <xf numFmtId="49" fontId="22" fillId="0" borderId="26" xfId="1" applyNumberFormat="1" applyFont="1" applyBorder="1" applyAlignment="1">
      <alignment vertical="top" wrapText="1"/>
    </xf>
    <xf numFmtId="49" fontId="22" fillId="0" borderId="6" xfId="1" applyNumberFormat="1" applyFont="1" applyFill="1" applyBorder="1" applyAlignment="1">
      <alignment vertical="top" wrapText="1"/>
    </xf>
    <xf numFmtId="49" fontId="22" fillId="0" borderId="27" xfId="1" applyNumberFormat="1" applyFont="1" applyFill="1" applyBorder="1" applyAlignment="1">
      <alignment vertical="top" wrapText="1"/>
    </xf>
    <xf numFmtId="0" fontId="6" fillId="0" borderId="28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26" xfId="0" applyFont="1" applyBorder="1">
      <alignment vertical="center"/>
    </xf>
    <xf numFmtId="0" fontId="6" fillId="0" borderId="26" xfId="0" applyFont="1" applyBorder="1" applyAlignment="1">
      <alignment vertical="center" wrapText="1"/>
    </xf>
    <xf numFmtId="0" fontId="6" fillId="0" borderId="27" xfId="0" applyFont="1" applyBorder="1">
      <alignment vertical="center"/>
    </xf>
    <xf numFmtId="0" fontId="6" fillId="0" borderId="31" xfId="0" applyFont="1" applyBorder="1">
      <alignment vertical="center"/>
    </xf>
    <xf numFmtId="0" fontId="6" fillId="0" borderId="6" xfId="0" applyFont="1" applyBorder="1">
      <alignment vertical="center"/>
    </xf>
    <xf numFmtId="49" fontId="22" fillId="0" borderId="29" xfId="1" applyNumberFormat="1" applyFont="1" applyFill="1" applyBorder="1" applyAlignment="1">
      <alignment vertical="top" wrapText="1"/>
    </xf>
    <xf numFmtId="49" fontId="22" fillId="0" borderId="30" xfId="1" applyNumberFormat="1" applyFont="1" applyFill="1" applyBorder="1" applyAlignment="1">
      <alignment vertical="top" wrapText="1"/>
    </xf>
    <xf numFmtId="49" fontId="22" fillId="0" borderId="28" xfId="1" applyNumberFormat="1" applyFont="1" applyFill="1" applyBorder="1" applyAlignment="1">
      <alignment vertical="top" wrapText="1"/>
    </xf>
    <xf numFmtId="0" fontId="12" fillId="0" borderId="0" xfId="0" applyFont="1">
      <alignment vertical="center"/>
    </xf>
    <xf numFmtId="49" fontId="22" fillId="0" borderId="12" xfId="1" applyNumberFormat="1" applyFont="1" applyFill="1" applyBorder="1" applyAlignment="1">
      <alignment vertical="top" shrinkToFit="1"/>
    </xf>
    <xf numFmtId="49" fontId="22" fillId="0" borderId="31" xfId="1" applyNumberFormat="1" applyFont="1" applyFill="1" applyBorder="1" applyAlignment="1">
      <alignment vertical="top" shrinkToFit="1"/>
    </xf>
    <xf numFmtId="49" fontId="22" fillId="0" borderId="6" xfId="1" applyNumberFormat="1" applyFont="1" applyFill="1" applyBorder="1" applyAlignment="1">
      <alignment vertical="top" shrinkToFit="1"/>
    </xf>
    <xf numFmtId="49" fontId="22" fillId="0" borderId="1" xfId="1" applyNumberFormat="1" applyFont="1" applyFill="1" applyBorder="1" applyAlignment="1">
      <alignment vertical="top" shrinkToFit="1"/>
    </xf>
    <xf numFmtId="49" fontId="22" fillId="0" borderId="31" xfId="1" applyNumberFormat="1" applyFont="1" applyFill="1" applyBorder="1" applyAlignment="1">
      <alignment vertical="top" wrapText="1" shrinkToFit="1"/>
    </xf>
    <xf numFmtId="0" fontId="0" fillId="0" borderId="5" xfId="0" applyFont="1" applyFill="1" applyBorder="1" applyAlignment="1">
      <alignment vertical="center"/>
    </xf>
    <xf numFmtId="0" fontId="0" fillId="0" borderId="32" xfId="0" applyFont="1" applyFill="1" applyBorder="1" applyAlignment="1">
      <alignment vertical="center"/>
    </xf>
    <xf numFmtId="0" fontId="23" fillId="0" borderId="32" xfId="0" applyFont="1" applyFill="1" applyBorder="1" applyAlignment="1">
      <alignment vertical="center"/>
    </xf>
    <xf numFmtId="0" fontId="0" fillId="0" borderId="32" xfId="0" applyBorder="1">
      <alignment vertical="center"/>
    </xf>
    <xf numFmtId="0" fontId="0" fillId="0" borderId="4" xfId="0" applyBorder="1">
      <alignment vertical="center"/>
    </xf>
    <xf numFmtId="0" fontId="4" fillId="0" borderId="5" xfId="0" applyFont="1" applyFill="1" applyBorder="1" applyAlignment="1">
      <alignment vertical="center"/>
    </xf>
    <xf numFmtId="0" fontId="25" fillId="0" borderId="5" xfId="0" applyFont="1" applyFill="1" applyBorder="1" applyAlignment="1">
      <alignment vertical="center"/>
    </xf>
    <xf numFmtId="177" fontId="11" fillId="9" borderId="1" xfId="4" applyNumberFormat="1" applyFont="1" applyFill="1" applyBorder="1" applyAlignment="1">
      <alignment horizontal="right" vertical="center"/>
    </xf>
    <xf numFmtId="0" fontId="22" fillId="0" borderId="1" xfId="0" applyFont="1" applyFill="1" applyBorder="1" applyAlignment="1">
      <alignment horizontal="left" vertical="center" shrinkToFit="1"/>
    </xf>
    <xf numFmtId="0" fontId="0" fillId="0" borderId="0" xfId="0" applyFill="1">
      <alignment vertical="center"/>
    </xf>
    <xf numFmtId="0" fontId="22" fillId="0" borderId="12" xfId="0" applyFont="1" applyFill="1" applyBorder="1" applyAlignment="1">
      <alignment horizontal="left" vertical="center" shrinkToFit="1"/>
    </xf>
    <xf numFmtId="0" fontId="22" fillId="0" borderId="1" xfId="0" applyNumberFormat="1" applyFont="1" applyBorder="1" applyAlignment="1">
      <alignment horizontal="center" vertical="center"/>
    </xf>
    <xf numFmtId="0" fontId="22" fillId="0" borderId="5" xfId="0" applyNumberFormat="1" applyFont="1" applyBorder="1" applyAlignment="1">
      <alignment horizontal="center" vertical="center"/>
    </xf>
    <xf numFmtId="49" fontId="21" fillId="7" borderId="23" xfId="0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25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179" fontId="9" fillId="5" borderId="16" xfId="0" applyNumberFormat="1" applyFont="1" applyFill="1" applyBorder="1" applyAlignment="1">
      <alignment horizontal="right" vertical="center"/>
    </xf>
    <xf numFmtId="179" fontId="9" fillId="5" borderId="15" xfId="0" applyNumberFormat="1" applyFont="1" applyFill="1" applyBorder="1" applyAlignment="1">
      <alignment horizontal="right" vertical="center"/>
    </xf>
    <xf numFmtId="179" fontId="9" fillId="5" borderId="17" xfId="0" applyNumberFormat="1" applyFont="1" applyFill="1" applyBorder="1" applyAlignment="1">
      <alignment horizontal="right" vertical="center"/>
    </xf>
    <xf numFmtId="0" fontId="17" fillId="6" borderId="5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0" borderId="0" xfId="0" applyFont="1">
      <alignment vertical="center"/>
    </xf>
    <xf numFmtId="179" fontId="9" fillId="0" borderId="7" xfId="0" applyNumberFormat="1" applyFont="1" applyBorder="1" applyAlignment="1">
      <alignment vertical="center"/>
    </xf>
    <xf numFmtId="179" fontId="9" fillId="0" borderId="8" xfId="0" applyNumberFormat="1" applyFont="1" applyBorder="1" applyAlignment="1">
      <alignment vertical="center"/>
    </xf>
    <xf numFmtId="179" fontId="9" fillId="0" borderId="10" xfId="0" applyNumberFormat="1" applyFont="1" applyBorder="1" applyAlignment="1">
      <alignment vertical="center"/>
    </xf>
    <xf numFmtId="179" fontId="9" fillId="0" borderId="11" xfId="0" applyNumberFormat="1" applyFont="1" applyBorder="1" applyAlignment="1">
      <alignment vertical="center"/>
    </xf>
    <xf numFmtId="0" fontId="9" fillId="0" borderId="0" xfId="0" applyNumberFormat="1" applyFont="1" applyBorder="1" applyAlignment="1">
      <alignment horizontal="left" vertical="top"/>
    </xf>
    <xf numFmtId="180" fontId="0" fillId="2" borderId="1" xfId="0" applyNumberFormat="1" applyFill="1" applyBorder="1" applyAlignment="1">
      <alignment horizontal="center" vertical="center"/>
    </xf>
    <xf numFmtId="180" fontId="14" fillId="5" borderId="1" xfId="0" applyNumberFormat="1" applyFont="1" applyFill="1" applyBorder="1" applyAlignment="1">
      <alignment horizontal="left" vertical="center"/>
    </xf>
    <xf numFmtId="49" fontId="9" fillId="2" borderId="18" xfId="0" applyNumberFormat="1" applyFont="1" applyFill="1" applyBorder="1" applyAlignment="1">
      <alignment horizontal="center" vertical="center"/>
    </xf>
    <xf numFmtId="49" fontId="9" fillId="2" borderId="19" xfId="0" applyNumberFormat="1" applyFont="1" applyFill="1" applyBorder="1" applyAlignment="1">
      <alignment horizontal="center" vertical="center"/>
    </xf>
    <xf numFmtId="49" fontId="9" fillId="2" borderId="20" xfId="0" applyNumberFormat="1" applyFont="1" applyFill="1" applyBorder="1" applyAlignment="1">
      <alignment horizontal="center" vertical="center"/>
    </xf>
    <xf numFmtId="49" fontId="9" fillId="2" borderId="21" xfId="0" applyNumberFormat="1" applyFont="1" applyFill="1" applyBorder="1" applyAlignment="1">
      <alignment horizontal="center" vertical="center"/>
    </xf>
    <xf numFmtId="49" fontId="9" fillId="2" borderId="14" xfId="0" applyNumberFormat="1" applyFont="1" applyFill="1" applyBorder="1" applyAlignment="1">
      <alignment horizontal="center" vertical="center"/>
    </xf>
    <xf numFmtId="49" fontId="9" fillId="2" borderId="22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7" borderId="25" xfId="0" applyFont="1" applyFill="1" applyBorder="1" applyAlignment="1">
      <alignment horizontal="center" vertical="center"/>
    </xf>
  </cellXfs>
  <cellStyles count="5">
    <cellStyle name="パーセント" xfId="4" builtinId="5"/>
    <cellStyle name="標準" xfId="0" builtinId="0"/>
    <cellStyle name="標準 2" xfId="1"/>
    <cellStyle name="標準 2 2" xfId="2"/>
    <cellStyle name="標準 6" xfId="3"/>
  </cellStyles>
  <dxfs count="0"/>
  <tableStyles count="0" defaultTableStyle="TableStyleMedium2" defaultPivotStyle="PivotStyleLight16"/>
  <colors>
    <mruColors>
      <color rgb="FFFF7D7D"/>
      <color rgb="FFFFC8C8"/>
      <color rgb="FFC8C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227704</xdr:colOff>
      <xdr:row>4</xdr:row>
      <xdr:rowOff>8965</xdr:rowOff>
    </xdr:from>
    <xdr:to>
      <xdr:col>16</xdr:col>
      <xdr:colOff>17931</xdr:colOff>
      <xdr:row>19</xdr:row>
      <xdr:rowOff>17929</xdr:rowOff>
    </xdr:to>
    <xdr:sp macro="" textlink="">
      <xdr:nvSpPr>
        <xdr:cNvPr id="2" name="正方形/長方形 1"/>
        <xdr:cNvSpPr/>
      </xdr:nvSpPr>
      <xdr:spPr>
        <a:xfrm>
          <a:off x="9129657" y="851647"/>
          <a:ext cx="5007686" cy="5244353"/>
        </a:xfrm>
        <a:prstGeom prst="rect">
          <a:avLst/>
        </a:prstGeom>
        <a:noFill/>
        <a:ln w="38100">
          <a:solidFill>
            <a:srgbClr val="FF7D7D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452</xdr:row>
      <xdr:rowOff>0</xdr:rowOff>
    </xdr:from>
    <xdr:to>
      <xdr:col>1</xdr:col>
      <xdr:colOff>726142</xdr:colOff>
      <xdr:row>456</xdr:row>
      <xdr:rowOff>107575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0" y="24715694"/>
          <a:ext cx="1246095" cy="10399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</a:t>
          </a:r>
          <a:r>
            <a:rPr kumimoji="1" lang="ja-JP" altLang="en-US" sz="1100"/>
            <a:t>セル</a:t>
          </a:r>
          <a:endParaRPr kumimoji="1" lang="en-US" altLang="ja-JP" sz="1100"/>
        </a:p>
        <a:p>
          <a:r>
            <a:rPr kumimoji="1" lang="ja-JP" altLang="en-US" sz="1100"/>
            <a:t>　・黄色：確認済</a:t>
          </a:r>
          <a:endParaRPr kumimoji="1" lang="en-US" altLang="ja-JP" sz="1100"/>
        </a:p>
        <a:p>
          <a:r>
            <a:rPr kumimoji="1" lang="ja-JP" altLang="en-US" sz="1100"/>
            <a:t>　・赤色：追加</a:t>
          </a:r>
          <a:endParaRPr kumimoji="1" lang="en-US" altLang="ja-JP" sz="1100"/>
        </a:p>
        <a:p>
          <a:r>
            <a:rPr kumimoji="1" lang="ja-JP" altLang="en-US" sz="1100"/>
            <a:t>　・灰色：廃止</a:t>
          </a:r>
          <a:endParaRPr kumimoji="1" lang="en-US" altLang="ja-JP" sz="1100"/>
        </a:p>
        <a:p>
          <a:r>
            <a:rPr kumimoji="1" lang="ja-JP" altLang="en-US" sz="1100"/>
            <a:t>　・白色：不明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ctr" anchorCtr="0"/>
      <a:lstStyle>
        <a:defPPr algn="l">
          <a:defRPr kumimoji="1" sz="1100"/>
        </a:defPPr>
      </a:lstStyle>
      <a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V28"/>
  <sheetViews>
    <sheetView tabSelected="1" zoomScale="85" zoomScaleNormal="85" workbookViewId="0">
      <selection activeCell="B1" sqref="B1:C1"/>
    </sheetView>
  </sheetViews>
  <sheetFormatPr defaultRowHeight="15" customHeight="1"/>
  <cols>
    <col min="1" max="1" width="2.44140625" customWidth="1"/>
    <col min="2" max="2" width="25" bestFit="1" customWidth="1"/>
    <col min="3" max="3" width="25" customWidth="1"/>
    <col min="4" max="4" width="2.21875" customWidth="1"/>
    <col min="5" max="5" width="25" bestFit="1" customWidth="1"/>
    <col min="6" max="6" width="6.6640625" style="39" customWidth="1"/>
    <col min="7" max="7" width="11" style="92" customWidth="1"/>
    <col min="8" max="8" width="12.21875" style="39" customWidth="1"/>
    <col min="9" max="9" width="17.77734375" customWidth="1"/>
    <col min="10" max="10" width="2.44140625" customWidth="1"/>
    <col min="11" max="11" width="3.44140625" customWidth="1"/>
    <col min="12" max="12" width="25" style="100" bestFit="1" customWidth="1"/>
    <col min="13" max="13" width="6.6640625" style="100" customWidth="1"/>
    <col min="14" max="14" width="11" style="92" customWidth="1"/>
    <col min="15" max="15" width="12.21875" style="100" customWidth="1"/>
    <col min="16" max="16" width="17.77734375" style="100" customWidth="1"/>
    <col min="20" max="20" width="6" customWidth="1"/>
    <col min="22" max="22" width="11.6640625" bestFit="1" customWidth="1"/>
  </cols>
  <sheetData>
    <row r="1" spans="2:22" ht="22.5" customHeight="1">
      <c r="B1" s="172" t="s">
        <v>2073</v>
      </c>
      <c r="C1" s="172"/>
    </row>
    <row r="2" spans="2:22" ht="15" customHeight="1">
      <c r="E2" s="171"/>
      <c r="F2" s="171"/>
      <c r="G2" s="171"/>
      <c r="H2" s="171"/>
      <c r="I2" s="171"/>
      <c r="L2" s="171"/>
      <c r="M2" s="171"/>
      <c r="N2" s="171"/>
      <c r="O2" s="171"/>
      <c r="P2" s="171"/>
    </row>
    <row r="3" spans="2:22" ht="15" customHeight="1">
      <c r="B3" s="8" t="s">
        <v>60</v>
      </c>
      <c r="E3" s="8" t="s">
        <v>88</v>
      </c>
      <c r="F3" s="8"/>
      <c r="G3" s="93"/>
      <c r="H3" s="8"/>
      <c r="L3" s="8" t="s">
        <v>91</v>
      </c>
      <c r="M3" s="8"/>
      <c r="N3" s="93"/>
      <c r="O3" s="8"/>
    </row>
    <row r="4" spans="2:22" ht="15" customHeight="1" thickBot="1"/>
    <row r="5" spans="2:22" ht="30" customHeight="1" thickBot="1">
      <c r="B5" s="34" t="s">
        <v>62</v>
      </c>
      <c r="C5" s="36">
        <f>(工数算出!U4^(1/3))*2.69</f>
        <v>18.353419977945716</v>
      </c>
      <c r="E5" s="34" t="s">
        <v>59</v>
      </c>
      <c r="F5" s="166">
        <f>SUM(I9:I19)</f>
        <v>347991000</v>
      </c>
      <c r="G5" s="167"/>
      <c r="H5" s="167"/>
      <c r="I5" s="168"/>
      <c r="L5" s="34" t="s">
        <v>59</v>
      </c>
      <c r="M5" s="166">
        <f>SUM(P9:P19)</f>
        <v>339150000</v>
      </c>
      <c r="N5" s="167"/>
      <c r="O5" s="167"/>
      <c r="P5" s="168"/>
    </row>
    <row r="7" spans="2:22" ht="15" customHeight="1">
      <c r="E7" s="8"/>
      <c r="F7" s="8"/>
      <c r="G7" s="93"/>
      <c r="H7" s="8"/>
      <c r="L7" s="8"/>
      <c r="M7" s="8"/>
      <c r="N7" s="93"/>
      <c r="O7" s="8"/>
    </row>
    <row r="8" spans="2:22" s="88" customFormat="1" ht="18" customHeight="1">
      <c r="B8" s="87" t="s">
        <v>78</v>
      </c>
      <c r="C8" s="87" t="s">
        <v>79</v>
      </c>
      <c r="E8" s="87" t="s">
        <v>78</v>
      </c>
      <c r="F8" s="169" t="s">
        <v>80</v>
      </c>
      <c r="G8" s="170"/>
      <c r="H8" s="87" t="s">
        <v>74</v>
      </c>
      <c r="I8" s="87" t="s">
        <v>77</v>
      </c>
      <c r="L8" s="87" t="s">
        <v>22</v>
      </c>
      <c r="M8" s="169" t="s">
        <v>80</v>
      </c>
      <c r="N8" s="170"/>
      <c r="O8" s="87" t="s">
        <v>74</v>
      </c>
      <c r="P8" s="87" t="s">
        <v>13</v>
      </c>
    </row>
    <row r="9" spans="2:22" ht="30" customHeight="1">
      <c r="B9" s="33" t="s">
        <v>65</v>
      </c>
      <c r="C9" s="37">
        <f>C5*積算基準!P35</f>
        <v>2.0392688864384132</v>
      </c>
      <c r="E9" s="33" t="s">
        <v>65</v>
      </c>
      <c r="F9" s="40">
        <v>1</v>
      </c>
      <c r="G9" s="94">
        <f>工数算出!$J4</f>
        <v>30.75</v>
      </c>
      <c r="H9" s="42">
        <v>1050000</v>
      </c>
      <c r="I9" s="86">
        <f>G9*H9</f>
        <v>32287500</v>
      </c>
      <c r="L9" s="33" t="s">
        <v>65</v>
      </c>
      <c r="M9" s="40">
        <v>1</v>
      </c>
      <c r="N9" s="155">
        <v>15</v>
      </c>
      <c r="O9" s="42">
        <v>1050000</v>
      </c>
      <c r="P9" s="86">
        <f>N9*O9</f>
        <v>15750000</v>
      </c>
      <c r="R9" s="108"/>
    </row>
    <row r="10" spans="2:22" ht="30" customHeight="1">
      <c r="B10" s="33" t="s">
        <v>66</v>
      </c>
      <c r="C10" s="37">
        <f>C5*積算基準!Q35</f>
        <v>2.8141910632850102</v>
      </c>
      <c r="E10" s="33" t="s">
        <v>66</v>
      </c>
      <c r="F10" s="40">
        <v>1</v>
      </c>
      <c r="G10" s="94">
        <f>工数算出!$K4</f>
        <v>34.589999999999996</v>
      </c>
      <c r="H10" s="42">
        <v>1050000</v>
      </c>
      <c r="I10" s="86">
        <f t="shared" ref="I10:I19" si="0">G10*H10</f>
        <v>36319499.999999993</v>
      </c>
      <c r="K10" s="97"/>
      <c r="L10" s="33" t="s">
        <v>66</v>
      </c>
      <c r="M10" s="40">
        <v>1</v>
      </c>
      <c r="N10" s="155">
        <v>35</v>
      </c>
      <c r="O10" s="42">
        <v>1050000</v>
      </c>
      <c r="P10" s="86">
        <f t="shared" ref="P10:P15" si="1">N10*O10</f>
        <v>36750000</v>
      </c>
      <c r="R10" s="108"/>
      <c r="S10" s="107"/>
      <c r="U10" s="109"/>
      <c r="V10" s="91"/>
    </row>
    <row r="11" spans="2:22" ht="30" customHeight="1">
      <c r="B11" s="33" t="s">
        <v>67</v>
      </c>
      <c r="C11" s="37">
        <f>C5*積算基準!R35</f>
        <v>2.3791470341781484</v>
      </c>
      <c r="E11" s="33" t="s">
        <v>67</v>
      </c>
      <c r="F11" s="40">
        <v>1</v>
      </c>
      <c r="G11" s="94">
        <f>工数算出!$L4</f>
        <v>35.769999999999996</v>
      </c>
      <c r="H11" s="42">
        <v>1050000</v>
      </c>
      <c r="I11" s="86">
        <f t="shared" si="0"/>
        <v>37558499.999999993</v>
      </c>
      <c r="L11" s="33" t="s">
        <v>67</v>
      </c>
      <c r="M11" s="40">
        <v>1</v>
      </c>
      <c r="N11" s="155">
        <v>36</v>
      </c>
      <c r="O11" s="42">
        <v>1050000</v>
      </c>
      <c r="P11" s="86">
        <f t="shared" si="1"/>
        <v>37800000</v>
      </c>
      <c r="R11" s="108"/>
      <c r="S11" s="107"/>
      <c r="U11" s="109"/>
    </row>
    <row r="12" spans="2:22" ht="30" customHeight="1">
      <c r="B12" s="33" t="s">
        <v>68</v>
      </c>
      <c r="C12" s="37">
        <f>C5*積算基準!S35</f>
        <v>3.385186351487766</v>
      </c>
      <c r="E12" s="33" t="s">
        <v>68</v>
      </c>
      <c r="F12" s="40">
        <v>1</v>
      </c>
      <c r="G12" s="94">
        <f>工数算出!$M4</f>
        <v>65.28</v>
      </c>
      <c r="H12" s="42">
        <v>1050000</v>
      </c>
      <c r="I12" s="86">
        <f t="shared" si="0"/>
        <v>68544000</v>
      </c>
      <c r="L12" s="33" t="s">
        <v>68</v>
      </c>
      <c r="M12" s="40">
        <v>1</v>
      </c>
      <c r="N12" s="94">
        <v>65</v>
      </c>
      <c r="O12" s="42">
        <v>1050000</v>
      </c>
      <c r="P12" s="86">
        <f t="shared" si="1"/>
        <v>68250000</v>
      </c>
      <c r="R12" s="108"/>
      <c r="S12" s="107"/>
      <c r="U12" s="109"/>
    </row>
    <row r="13" spans="2:22" ht="30" customHeight="1">
      <c r="B13" s="33" t="s">
        <v>69</v>
      </c>
      <c r="C13" s="37">
        <f>C5*積算基準!T35</f>
        <v>2.6238593005507584</v>
      </c>
      <c r="E13" s="33" t="s">
        <v>69</v>
      </c>
      <c r="F13" s="40">
        <v>1</v>
      </c>
      <c r="G13" s="94">
        <f>工数算出!$N4</f>
        <v>40.65</v>
      </c>
      <c r="H13" s="42">
        <v>1050000</v>
      </c>
      <c r="I13" s="86">
        <f t="shared" si="0"/>
        <v>42682500</v>
      </c>
      <c r="K13" s="97"/>
      <c r="L13" s="33" t="s">
        <v>69</v>
      </c>
      <c r="M13" s="40">
        <v>1</v>
      </c>
      <c r="N13" s="155">
        <v>40</v>
      </c>
      <c r="O13" s="42">
        <v>1050000</v>
      </c>
      <c r="P13" s="86">
        <f t="shared" si="1"/>
        <v>42000000</v>
      </c>
      <c r="R13" s="108"/>
      <c r="S13" s="107"/>
      <c r="U13" s="109"/>
      <c r="V13" s="91"/>
    </row>
    <row r="14" spans="2:22" ht="30" customHeight="1">
      <c r="B14" s="33" t="s">
        <v>70</v>
      </c>
      <c r="C14" s="37">
        <f>C5*積算基準!U35</f>
        <v>2.3927421600877379</v>
      </c>
      <c r="E14" s="33" t="s">
        <v>70</v>
      </c>
      <c r="F14" s="40">
        <v>1</v>
      </c>
      <c r="G14" s="94">
        <f>工数算出!$O4</f>
        <v>27.32</v>
      </c>
      <c r="H14" s="42">
        <v>1050000</v>
      </c>
      <c r="I14" s="86">
        <f t="shared" si="0"/>
        <v>28686000</v>
      </c>
      <c r="L14" s="33" t="s">
        <v>70</v>
      </c>
      <c r="M14" s="40">
        <v>1</v>
      </c>
      <c r="N14" s="94">
        <v>30</v>
      </c>
      <c r="O14" s="42">
        <v>1050000</v>
      </c>
      <c r="P14" s="86">
        <f t="shared" si="1"/>
        <v>31500000</v>
      </c>
      <c r="R14" s="108"/>
      <c r="S14" s="107"/>
      <c r="U14" s="109"/>
    </row>
    <row r="15" spans="2:22" ht="30" customHeight="1">
      <c r="B15" s="33" t="s">
        <v>71</v>
      </c>
      <c r="C15" s="37">
        <f>C5*積算基準!V35</f>
        <v>0.67975629547947103</v>
      </c>
      <c r="E15" s="33" t="s">
        <v>71</v>
      </c>
      <c r="F15" s="40">
        <v>1</v>
      </c>
      <c r="G15" s="94">
        <f>工数算出!$P4</f>
        <v>11.07</v>
      </c>
      <c r="H15" s="42">
        <v>1050000</v>
      </c>
      <c r="I15" s="86">
        <f t="shared" si="0"/>
        <v>11623500</v>
      </c>
      <c r="L15" s="33" t="s">
        <v>71</v>
      </c>
      <c r="M15" s="40">
        <v>1</v>
      </c>
      <c r="N15" s="94">
        <v>12</v>
      </c>
      <c r="O15" s="42">
        <v>1050000</v>
      </c>
      <c r="P15" s="86">
        <f t="shared" si="1"/>
        <v>12600000</v>
      </c>
      <c r="R15" s="108"/>
      <c r="S15" s="107"/>
      <c r="U15" s="109"/>
    </row>
    <row r="16" spans="2:22" ht="30" customHeight="1">
      <c r="B16" s="33" t="s">
        <v>72</v>
      </c>
      <c r="C16" s="37">
        <f>サマリ!C5*積算基準!W35</f>
        <v>2.0392688864384132</v>
      </c>
      <c r="E16" s="33" t="s">
        <v>72</v>
      </c>
      <c r="F16" s="40">
        <v>1</v>
      </c>
      <c r="G16" s="94">
        <f>工数算出!$Q4</f>
        <v>30.75</v>
      </c>
      <c r="H16" s="42">
        <v>1050000</v>
      </c>
      <c r="I16" s="86">
        <f t="shared" si="0"/>
        <v>32287500</v>
      </c>
      <c r="K16" s="105"/>
      <c r="L16" s="33" t="s">
        <v>72</v>
      </c>
      <c r="M16" s="40">
        <v>1</v>
      </c>
      <c r="N16" s="94">
        <v>30</v>
      </c>
      <c r="O16" s="42">
        <v>1050000</v>
      </c>
      <c r="P16" s="86">
        <f t="shared" ref="P16:P19" si="2">N16*O16</f>
        <v>31500000</v>
      </c>
      <c r="Q16" s="106"/>
      <c r="R16" s="108"/>
      <c r="S16" s="107"/>
      <c r="T16" s="106"/>
      <c r="U16" s="110"/>
      <c r="V16" s="91"/>
    </row>
    <row r="17" spans="2:19" ht="30" customHeight="1">
      <c r="B17" s="33" t="s">
        <v>15</v>
      </c>
      <c r="C17" s="37" t="s">
        <v>64</v>
      </c>
      <c r="E17" s="33" t="s">
        <v>15</v>
      </c>
      <c r="F17" s="40">
        <v>1</v>
      </c>
      <c r="G17" s="94">
        <f>工数算出!R4</f>
        <v>0</v>
      </c>
      <c r="H17" s="42">
        <v>1050000</v>
      </c>
      <c r="I17" s="86">
        <f t="shared" si="0"/>
        <v>0</v>
      </c>
      <c r="L17" s="33" t="s">
        <v>15</v>
      </c>
      <c r="M17" s="40">
        <v>1</v>
      </c>
      <c r="N17" s="94">
        <f>工数算出!AD4</f>
        <v>0</v>
      </c>
      <c r="O17" s="42">
        <v>1050000</v>
      </c>
      <c r="P17" s="86">
        <f t="shared" si="2"/>
        <v>0</v>
      </c>
      <c r="R17" s="108"/>
      <c r="S17" s="108"/>
    </row>
    <row r="18" spans="2:19" ht="30" customHeight="1">
      <c r="B18" s="33" t="s">
        <v>32</v>
      </c>
      <c r="C18" s="38" t="s">
        <v>61</v>
      </c>
      <c r="E18" s="33" t="s">
        <v>32</v>
      </c>
      <c r="F18" s="41" t="s">
        <v>75</v>
      </c>
      <c r="G18" s="95"/>
      <c r="H18" s="42">
        <v>1050000</v>
      </c>
      <c r="I18" s="86">
        <f t="shared" si="0"/>
        <v>0</v>
      </c>
      <c r="L18" s="33" t="s">
        <v>32</v>
      </c>
      <c r="M18" s="41" t="s">
        <v>61</v>
      </c>
      <c r="N18" s="95"/>
      <c r="O18" s="42">
        <v>1050000</v>
      </c>
      <c r="P18" s="86">
        <f t="shared" si="2"/>
        <v>0</v>
      </c>
    </row>
    <row r="19" spans="2:19" ht="30" customHeight="1">
      <c r="B19" s="33" t="s">
        <v>73</v>
      </c>
      <c r="C19" s="38" t="s">
        <v>61</v>
      </c>
      <c r="E19" s="33" t="s">
        <v>73</v>
      </c>
      <c r="F19" s="40">
        <v>0.15</v>
      </c>
      <c r="G19" s="94">
        <f>工数算出!T4</f>
        <v>41.43</v>
      </c>
      <c r="H19" s="42">
        <v>1400000</v>
      </c>
      <c r="I19" s="86">
        <f t="shared" si="0"/>
        <v>58002000</v>
      </c>
      <c r="L19" s="33" t="s">
        <v>73</v>
      </c>
      <c r="M19" s="40">
        <v>0.15</v>
      </c>
      <c r="N19" s="94">
        <v>45</v>
      </c>
      <c r="O19" s="42">
        <v>1400000</v>
      </c>
      <c r="P19" s="86">
        <f t="shared" si="2"/>
        <v>63000000</v>
      </c>
    </row>
    <row r="23" spans="2:19" ht="15" customHeight="1">
      <c r="B23" t="s">
        <v>82</v>
      </c>
    </row>
    <row r="25" spans="2:19" ht="15" customHeight="1">
      <c r="B25" s="90" t="s">
        <v>83</v>
      </c>
    </row>
    <row r="26" spans="2:19" ht="15" customHeight="1">
      <c r="B26" t="s">
        <v>81</v>
      </c>
      <c r="C26">
        <v>557000</v>
      </c>
    </row>
    <row r="27" spans="2:19" ht="15" customHeight="1">
      <c r="B27" t="s">
        <v>84</v>
      </c>
      <c r="C27">
        <v>1000</v>
      </c>
      <c r="E27" s="90"/>
    </row>
    <row r="28" spans="2:19" ht="15" customHeight="1">
      <c r="B28" t="s">
        <v>85</v>
      </c>
      <c r="C28">
        <f>C26/C27</f>
        <v>557</v>
      </c>
    </row>
  </sheetData>
  <mergeCells count="7">
    <mergeCell ref="M5:P5"/>
    <mergeCell ref="M8:N8"/>
    <mergeCell ref="L2:P2"/>
    <mergeCell ref="E2:I2"/>
    <mergeCell ref="B1:C1"/>
    <mergeCell ref="F5:I5"/>
    <mergeCell ref="F8:G8"/>
  </mergeCells>
  <phoneticPr fontId="1"/>
  <printOptions horizontalCentered="1"/>
  <pageMargins left="0.39370078740157483" right="0.39370078740157483" top="0.59055118110236227" bottom="0.39370078740157483" header="0.31496062992125984" footer="0.31496062992125984"/>
  <pageSetup paperSize="9" scale="92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Views>
    <sheetView zoomScaleNormal="100" workbookViewId="0">
      <selection activeCell="S40" sqref="S40"/>
    </sheetView>
  </sheetViews>
  <sheetFormatPr defaultColWidth="9" defaultRowHeight="15" customHeight="1"/>
  <cols>
    <col min="1" max="2" width="3.77734375" style="9" customWidth="1"/>
    <col min="3" max="16384" width="9" style="9"/>
  </cols>
  <sheetData>
    <row r="1" spans="1:8" ht="15" customHeight="1">
      <c r="A1" s="31" t="s">
        <v>34</v>
      </c>
    </row>
    <row r="3" spans="1:8" ht="15" customHeight="1">
      <c r="B3" s="10" t="s">
        <v>43</v>
      </c>
      <c r="C3" s="10"/>
    </row>
    <row r="4" spans="1:8" ht="15" customHeight="1">
      <c r="B4" s="10"/>
      <c r="C4" s="10"/>
    </row>
    <row r="5" spans="1:8" ht="15" customHeight="1">
      <c r="B5" s="10"/>
      <c r="C5" s="11" t="s">
        <v>2</v>
      </c>
    </row>
    <row r="6" spans="1:8" ht="15" customHeight="1">
      <c r="B6" s="10"/>
      <c r="C6" s="12" t="s">
        <v>3</v>
      </c>
    </row>
    <row r="7" spans="1:8" ht="15" customHeight="1">
      <c r="B7" s="10"/>
      <c r="C7" s="12" t="s">
        <v>4</v>
      </c>
    </row>
    <row r="8" spans="1:8" ht="15" customHeight="1">
      <c r="B8" s="10"/>
      <c r="C8" s="12" t="s">
        <v>5</v>
      </c>
    </row>
    <row r="9" spans="1:8" ht="15" customHeight="1">
      <c r="B9" s="10"/>
      <c r="C9" s="12" t="s">
        <v>6</v>
      </c>
    </row>
    <row r="10" spans="1:8" ht="15" customHeight="1">
      <c r="B10" s="10"/>
      <c r="C10" s="12" t="s">
        <v>8</v>
      </c>
    </row>
    <row r="12" spans="1:8" ht="15" customHeight="1">
      <c r="B12" s="10" t="s">
        <v>35</v>
      </c>
    </row>
    <row r="14" spans="1:8" ht="15" customHeight="1">
      <c r="C14" s="13" t="s">
        <v>36</v>
      </c>
    </row>
    <row r="15" spans="1:8" ht="15" customHeight="1">
      <c r="C15" s="14" t="s">
        <v>2</v>
      </c>
      <c r="D15" s="15" t="s">
        <v>3</v>
      </c>
      <c r="E15" s="15" t="s">
        <v>4</v>
      </c>
      <c r="F15" s="15" t="s">
        <v>5</v>
      </c>
      <c r="G15" s="15" t="s">
        <v>6</v>
      </c>
      <c r="H15" s="15" t="s">
        <v>8</v>
      </c>
    </row>
    <row r="16" spans="1:8" ht="15" customHeight="1">
      <c r="C16" s="14" t="s">
        <v>10</v>
      </c>
      <c r="D16" s="16">
        <v>50</v>
      </c>
      <c r="E16" s="16">
        <v>40</v>
      </c>
      <c r="F16" s="16">
        <v>30</v>
      </c>
      <c r="G16" s="16">
        <v>20</v>
      </c>
      <c r="H16" s="16">
        <v>0</v>
      </c>
    </row>
    <row r="17" spans="2:21" ht="15" customHeight="1">
      <c r="C17" s="14" t="s">
        <v>11</v>
      </c>
      <c r="D17" s="16">
        <v>60</v>
      </c>
      <c r="E17" s="16">
        <v>48</v>
      </c>
      <c r="F17" s="16">
        <v>36</v>
      </c>
      <c r="G17" s="16">
        <v>24</v>
      </c>
      <c r="H17" s="16">
        <v>12</v>
      </c>
    </row>
    <row r="19" spans="2:21" ht="15" customHeight="1">
      <c r="B19" s="10" t="s">
        <v>37</v>
      </c>
    </row>
    <row r="21" spans="2:21" ht="15" customHeight="1">
      <c r="C21" s="10" t="s">
        <v>87</v>
      </c>
      <c r="O21" s="10" t="s">
        <v>86</v>
      </c>
    </row>
    <row r="22" spans="2:21" ht="15" customHeight="1">
      <c r="C22" s="14" t="s">
        <v>22</v>
      </c>
      <c r="D22" s="17" t="s">
        <v>17</v>
      </c>
      <c r="E22" s="17" t="s">
        <v>18</v>
      </c>
      <c r="F22" s="17" t="s">
        <v>23</v>
      </c>
      <c r="G22" s="17" t="s">
        <v>7</v>
      </c>
      <c r="H22" s="17" t="s">
        <v>14</v>
      </c>
      <c r="I22" s="17" t="s">
        <v>25</v>
      </c>
      <c r="O22" s="14" t="s">
        <v>22</v>
      </c>
      <c r="P22" s="17" t="s">
        <v>17</v>
      </c>
      <c r="Q22" s="17" t="s">
        <v>18</v>
      </c>
      <c r="R22" s="17" t="s">
        <v>23</v>
      </c>
      <c r="S22" s="17" t="s">
        <v>7</v>
      </c>
      <c r="T22" s="17" t="s">
        <v>14</v>
      </c>
      <c r="U22" s="17" t="s">
        <v>25</v>
      </c>
    </row>
    <row r="23" spans="2:21" ht="15" customHeight="1">
      <c r="C23" s="14" t="s">
        <v>31</v>
      </c>
      <c r="D23" s="18">
        <v>0.16900000000000001</v>
      </c>
      <c r="E23" s="18">
        <v>0.17499999999999999</v>
      </c>
      <c r="F23" s="18">
        <v>0.32600000000000001</v>
      </c>
      <c r="G23" s="18">
        <v>0.2</v>
      </c>
      <c r="H23" s="18">
        <v>0.13</v>
      </c>
      <c r="I23" s="19">
        <f>SUM(D23:H23)</f>
        <v>0.99999999999999989</v>
      </c>
      <c r="O23" s="14" t="s">
        <v>63</v>
      </c>
      <c r="P23" s="18">
        <v>0.20699999999999999</v>
      </c>
      <c r="Q23" s="18">
        <v>0.17499999999999999</v>
      </c>
      <c r="R23" s="18">
        <v>0.249</v>
      </c>
      <c r="S23" s="18">
        <v>0.193</v>
      </c>
      <c r="T23" s="18">
        <v>0.17599999999999999</v>
      </c>
      <c r="U23" s="19">
        <f>SUM(P23:T23)</f>
        <v>1</v>
      </c>
    </row>
    <row r="25" spans="2:21" ht="15" customHeight="1">
      <c r="B25" s="10" t="s">
        <v>38</v>
      </c>
      <c r="C25" s="10"/>
    </row>
    <row r="26" spans="2:21" ht="15" customHeight="1">
      <c r="B26" s="10"/>
      <c r="C26" s="10"/>
    </row>
    <row r="27" spans="2:21" ht="15" customHeight="1">
      <c r="B27" s="10"/>
      <c r="C27" s="10" t="s">
        <v>39</v>
      </c>
    </row>
    <row r="28" spans="2:21" ht="15" customHeight="1">
      <c r="C28" s="14" t="s">
        <v>33</v>
      </c>
      <c r="D28" s="17" t="s">
        <v>28</v>
      </c>
      <c r="E28" s="17" t="s">
        <v>29</v>
      </c>
      <c r="F28" s="17" t="s">
        <v>30</v>
      </c>
    </row>
    <row r="29" spans="2:21" ht="15" customHeight="1">
      <c r="C29" s="14" t="s">
        <v>10</v>
      </c>
      <c r="D29" s="18">
        <f>0.97*20</f>
        <v>19.399999999999999</v>
      </c>
      <c r="E29" s="18">
        <f>0.97*0.7*20</f>
        <v>13.579999999999998</v>
      </c>
      <c r="F29" s="18">
        <f>0.26*20</f>
        <v>5.2</v>
      </c>
      <c r="H29" s="96">
        <f>SUM(D29:E29)</f>
        <v>32.979999999999997</v>
      </c>
    </row>
    <row r="31" spans="2:21" ht="15" customHeight="1">
      <c r="B31" s="10" t="s">
        <v>40</v>
      </c>
      <c r="C31" s="10"/>
    </row>
    <row r="32" spans="2:21" ht="15" customHeight="1">
      <c r="B32" s="10"/>
      <c r="C32" s="10"/>
      <c r="D32" s="20"/>
      <c r="E32" s="20"/>
      <c r="F32" s="20"/>
    </row>
    <row r="33" spans="2:25" ht="15" customHeight="1" thickBot="1">
      <c r="B33" s="10"/>
      <c r="C33" s="14" t="s">
        <v>22</v>
      </c>
      <c r="D33" s="17" t="s">
        <v>16</v>
      </c>
      <c r="E33" s="21" t="s">
        <v>17</v>
      </c>
      <c r="F33" s="21" t="s">
        <v>18</v>
      </c>
      <c r="G33" s="21" t="s">
        <v>23</v>
      </c>
      <c r="H33" s="21" t="s">
        <v>7</v>
      </c>
      <c r="I33" s="21" t="s">
        <v>14</v>
      </c>
      <c r="J33" s="17" t="s">
        <v>76</v>
      </c>
      <c r="K33" s="17" t="s">
        <v>24</v>
      </c>
      <c r="L33" s="17" t="s">
        <v>15</v>
      </c>
      <c r="M33" s="17" t="s">
        <v>25</v>
      </c>
      <c r="O33" s="14" t="s">
        <v>22</v>
      </c>
      <c r="P33" s="17" t="s">
        <v>16</v>
      </c>
      <c r="Q33" s="21" t="s">
        <v>17</v>
      </c>
      <c r="R33" s="21" t="s">
        <v>18</v>
      </c>
      <c r="S33" s="21" t="s">
        <v>23</v>
      </c>
      <c r="T33" s="21" t="s">
        <v>7</v>
      </c>
      <c r="U33" s="21" t="s">
        <v>14</v>
      </c>
      <c r="V33" s="17" t="s">
        <v>76</v>
      </c>
      <c r="W33" s="17" t="s">
        <v>24</v>
      </c>
      <c r="X33" s="17" t="s">
        <v>15</v>
      </c>
      <c r="Y33" s="17" t="s">
        <v>25</v>
      </c>
    </row>
    <row r="34" spans="2:25" ht="15" customHeight="1" thickBot="1">
      <c r="C34" s="14" t="s">
        <v>26</v>
      </c>
      <c r="D34" s="22">
        <f>SUM(E34:I34)*0.15</f>
        <v>0.14999999999999997</v>
      </c>
      <c r="E34" s="23">
        <f>D23</f>
        <v>0.16900000000000001</v>
      </c>
      <c r="F34" s="24">
        <f>E23</f>
        <v>0.17499999999999999</v>
      </c>
      <c r="G34" s="24">
        <f>F23</f>
        <v>0.32600000000000001</v>
      </c>
      <c r="H34" s="24">
        <f>G23</f>
        <v>0.2</v>
      </c>
      <c r="I34" s="25">
        <f>H23</f>
        <v>0.13</v>
      </c>
      <c r="J34" s="26">
        <f>SUM(E34:I34)*0.05</f>
        <v>4.9999999999999996E-2</v>
      </c>
      <c r="K34" s="27">
        <v>0.15</v>
      </c>
      <c r="L34" s="27">
        <v>0</v>
      </c>
      <c r="M34" s="27">
        <f>SUM(D34:L34)</f>
        <v>1.3499999999999999</v>
      </c>
      <c r="O34" s="14" t="s">
        <v>26</v>
      </c>
      <c r="P34" s="22">
        <f>SUM(Q34:U34)*0.15</f>
        <v>0.15</v>
      </c>
      <c r="Q34" s="23">
        <f>P23</f>
        <v>0.20699999999999999</v>
      </c>
      <c r="R34" s="24">
        <f>Q23</f>
        <v>0.17499999999999999</v>
      </c>
      <c r="S34" s="24">
        <f>R23</f>
        <v>0.249</v>
      </c>
      <c r="T34" s="24">
        <f>S23</f>
        <v>0.193</v>
      </c>
      <c r="U34" s="25">
        <f>T23</f>
        <v>0.17599999999999999</v>
      </c>
      <c r="V34" s="26">
        <f>SUM(Q34:U34)*0.05</f>
        <v>0.05</v>
      </c>
      <c r="W34" s="27">
        <v>0.15</v>
      </c>
      <c r="X34" s="27">
        <v>0</v>
      </c>
      <c r="Y34" s="27">
        <f>SUM(P34:X34)</f>
        <v>1.3499999999999999</v>
      </c>
    </row>
    <row r="35" spans="2:25" ht="15" customHeight="1">
      <c r="C35" s="14" t="s">
        <v>27</v>
      </c>
      <c r="D35" s="28">
        <f t="shared" ref="D35:L35" si="0">D34/$M34</f>
        <v>0.11111111111111109</v>
      </c>
      <c r="E35" s="29">
        <f t="shared" si="0"/>
        <v>0.1251851851851852</v>
      </c>
      <c r="F35" s="29">
        <f t="shared" si="0"/>
        <v>0.12962962962962962</v>
      </c>
      <c r="G35" s="29">
        <f t="shared" si="0"/>
        <v>0.24148148148148152</v>
      </c>
      <c r="H35" s="29">
        <f t="shared" si="0"/>
        <v>0.14814814814814817</v>
      </c>
      <c r="I35" s="29">
        <f t="shared" si="0"/>
        <v>9.629629629629631E-2</v>
      </c>
      <c r="J35" s="28">
        <f t="shared" si="0"/>
        <v>3.7037037037037035E-2</v>
      </c>
      <c r="K35" s="28">
        <f t="shared" si="0"/>
        <v>0.11111111111111112</v>
      </c>
      <c r="L35" s="28">
        <f t="shared" si="0"/>
        <v>0</v>
      </c>
      <c r="M35" s="19">
        <f>SUM(D35:L35)</f>
        <v>1</v>
      </c>
      <c r="O35" s="14" t="s">
        <v>27</v>
      </c>
      <c r="P35" s="28">
        <f>P34/$Y34</f>
        <v>0.11111111111111112</v>
      </c>
      <c r="Q35" s="28">
        <f t="shared" ref="Q35:X35" si="1">Q34/$Y34</f>
        <v>0.15333333333333335</v>
      </c>
      <c r="R35" s="28">
        <f t="shared" si="1"/>
        <v>0.12962962962962962</v>
      </c>
      <c r="S35" s="28">
        <f t="shared" si="1"/>
        <v>0.18444444444444447</v>
      </c>
      <c r="T35" s="28">
        <f t="shared" si="1"/>
        <v>0.14296296296296299</v>
      </c>
      <c r="U35" s="28">
        <f t="shared" si="1"/>
        <v>0.13037037037037039</v>
      </c>
      <c r="V35" s="28">
        <f t="shared" si="1"/>
        <v>3.7037037037037042E-2</v>
      </c>
      <c r="W35" s="28">
        <f t="shared" si="1"/>
        <v>0.11111111111111112</v>
      </c>
      <c r="X35" s="28">
        <f t="shared" si="1"/>
        <v>0</v>
      </c>
      <c r="Y35" s="19">
        <f>SUM(P35:X35)</f>
        <v>1.0000000000000002</v>
      </c>
    </row>
    <row r="37" spans="2:25" ht="15" customHeight="1">
      <c r="B37" s="10" t="s">
        <v>41</v>
      </c>
    </row>
    <row r="39" spans="2:25" ht="15" customHeight="1">
      <c r="C39" s="13" t="s">
        <v>42</v>
      </c>
    </row>
    <row r="40" spans="2:25" ht="15" customHeight="1">
      <c r="C40" s="14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8</v>
      </c>
    </row>
    <row r="41" spans="2:25" ht="15" customHeight="1">
      <c r="C41" s="14" t="s">
        <v>31</v>
      </c>
      <c r="D41" s="30">
        <v>3</v>
      </c>
      <c r="E41" s="30">
        <v>1.4</v>
      </c>
      <c r="F41" s="30">
        <v>1</v>
      </c>
      <c r="G41" s="30">
        <v>0.6</v>
      </c>
      <c r="H41" s="30">
        <v>0.2</v>
      </c>
    </row>
    <row r="42" spans="2:25" s="20" customFormat="1" ht="15" customHeight="1"/>
    <row r="43" spans="2:25" s="20" customFormat="1" ht="15" customHeight="1"/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X450"/>
  <sheetViews>
    <sheetView zoomScale="85" zoomScaleNormal="85" workbookViewId="0">
      <pane ySplit="9" topLeftCell="A320" activePane="bottomLeft" state="frozen"/>
      <selection pane="bottomLeft" activeCell="I293" sqref="I293"/>
    </sheetView>
  </sheetViews>
  <sheetFormatPr defaultColWidth="9" defaultRowHeight="18.75" customHeight="1"/>
  <cols>
    <col min="1" max="1" width="7.5546875" style="81" customWidth="1"/>
    <col min="2" max="2" width="12.6640625" style="80" customWidth="1"/>
    <col min="3" max="3" width="27.88671875" style="80" customWidth="1"/>
    <col min="4" max="4" width="27.77734375" style="80" customWidth="1"/>
    <col min="5" max="5" width="7.33203125" style="53" bestFit="1" customWidth="1"/>
    <col min="6" max="6" width="8.109375" style="53" customWidth="1"/>
    <col min="7" max="7" width="8" style="82" bestFit="1" customWidth="1"/>
    <col min="8" max="8" width="8" style="82" customWidth="1"/>
    <col min="9" max="9" width="8" style="53" bestFit="1" customWidth="1"/>
    <col min="10" max="20" width="11.21875" style="83" customWidth="1"/>
    <col min="21" max="21" width="12" style="83" customWidth="1"/>
    <col min="22" max="22" width="11.109375" style="83" customWidth="1"/>
    <col min="23" max="23" width="11.109375" style="84" customWidth="1"/>
    <col min="24" max="24" width="31.33203125" style="85" customWidth="1"/>
    <col min="25" max="26" width="8.21875" style="80" customWidth="1"/>
    <col min="27" max="31" width="8.77734375" style="80" customWidth="1"/>
    <col min="32" max="16384" width="9" style="80"/>
  </cols>
  <sheetData>
    <row r="1" spans="1:24" s="7" customFormat="1" ht="24" customHeight="1">
      <c r="A1" s="177" t="str">
        <f>サマリ!B1</f>
        <v>千葉運転管理システム（制御通信サーバ）</v>
      </c>
      <c r="B1" s="177"/>
      <c r="C1" s="177"/>
      <c r="D1" s="177"/>
      <c r="E1" s="177"/>
      <c r="F1" s="2"/>
      <c r="G1" s="178"/>
      <c r="H1" s="178"/>
      <c r="I1" s="178"/>
      <c r="J1" s="32" t="s">
        <v>48</v>
      </c>
      <c r="K1" s="32" t="s">
        <v>49</v>
      </c>
      <c r="L1" s="32" t="s">
        <v>50</v>
      </c>
      <c r="M1" s="32" t="s">
        <v>51</v>
      </c>
      <c r="N1" s="32" t="s">
        <v>52</v>
      </c>
      <c r="O1" s="32" t="s">
        <v>53</v>
      </c>
      <c r="P1" s="32" t="s">
        <v>54</v>
      </c>
      <c r="Q1" s="32" t="s">
        <v>55</v>
      </c>
      <c r="R1" s="32" t="s">
        <v>15</v>
      </c>
      <c r="S1" s="32" t="s">
        <v>32</v>
      </c>
      <c r="T1" s="32" t="s">
        <v>56</v>
      </c>
      <c r="U1" s="32" t="s">
        <v>44</v>
      </c>
      <c r="V1" s="6"/>
      <c r="W1" s="6"/>
      <c r="X1" s="3"/>
    </row>
    <row r="2" spans="1:24" s="7" customFormat="1" ht="18.600000000000001" customHeight="1">
      <c r="A2" s="89"/>
      <c r="B2" s="89"/>
      <c r="C2" s="89"/>
      <c r="D2" s="89"/>
      <c r="E2" s="89"/>
      <c r="F2" s="2"/>
      <c r="G2" s="179" t="s">
        <v>45</v>
      </c>
      <c r="H2" s="179"/>
      <c r="I2" s="179"/>
      <c r="J2" s="43">
        <f t="shared" ref="J2:T2" si="0">SUM(J10:J450)</f>
        <v>614.9</v>
      </c>
      <c r="K2" s="43">
        <f t="shared" si="0"/>
        <v>691.79999999999882</v>
      </c>
      <c r="L2" s="43">
        <f t="shared" si="0"/>
        <v>715.300000000002</v>
      </c>
      <c r="M2" s="43">
        <f t="shared" si="0"/>
        <v>1305.599999999997</v>
      </c>
      <c r="N2" s="43">
        <f t="shared" si="0"/>
        <v>812.89999999999861</v>
      </c>
      <c r="O2" s="43">
        <f t="shared" si="0"/>
        <v>546.39999999999827</v>
      </c>
      <c r="P2" s="43">
        <f t="shared" si="0"/>
        <v>221.30000000000089</v>
      </c>
      <c r="Q2" s="43">
        <f t="shared" si="0"/>
        <v>614.9</v>
      </c>
      <c r="R2" s="43">
        <f t="shared" si="0"/>
        <v>0</v>
      </c>
      <c r="S2" s="43">
        <f t="shared" si="0"/>
        <v>0</v>
      </c>
      <c r="T2" s="43">
        <f t="shared" si="0"/>
        <v>850.10000000000321</v>
      </c>
      <c r="U2" s="44">
        <f>SUM(J2:T2)</f>
        <v>6373.199999999998</v>
      </c>
      <c r="V2" s="1"/>
      <c r="W2" s="6"/>
      <c r="X2" s="3"/>
    </row>
    <row r="3" spans="1:24" s="7" customFormat="1" ht="18.75" customHeight="1" thickBot="1">
      <c r="A3" s="35"/>
      <c r="B3" s="35"/>
      <c r="C3" s="35"/>
      <c r="D3" s="35"/>
      <c r="E3" s="35"/>
      <c r="F3" s="2"/>
      <c r="G3" s="179" t="s">
        <v>46</v>
      </c>
      <c r="H3" s="179"/>
      <c r="I3" s="179"/>
      <c r="J3" s="45">
        <f>J2/20</f>
        <v>30.744999999999997</v>
      </c>
      <c r="K3" s="45">
        <f t="shared" ref="K3:T3" si="1">K2/20</f>
        <v>34.589999999999939</v>
      </c>
      <c r="L3" s="45">
        <f t="shared" si="1"/>
        <v>35.7650000000001</v>
      </c>
      <c r="M3" s="45">
        <f t="shared" si="1"/>
        <v>65.279999999999845</v>
      </c>
      <c r="N3" s="45">
        <f t="shared" si="1"/>
        <v>40.644999999999932</v>
      </c>
      <c r="O3" s="45">
        <f t="shared" si="1"/>
        <v>27.319999999999915</v>
      </c>
      <c r="P3" s="45">
        <f t="shared" si="1"/>
        <v>11.065000000000044</v>
      </c>
      <c r="Q3" s="45">
        <f t="shared" si="1"/>
        <v>30.744999999999997</v>
      </c>
      <c r="R3" s="45">
        <f t="shared" si="1"/>
        <v>0</v>
      </c>
      <c r="S3" s="45">
        <f t="shared" si="1"/>
        <v>0</v>
      </c>
      <c r="T3" s="45">
        <f t="shared" si="1"/>
        <v>42.505000000000159</v>
      </c>
      <c r="U3" s="46">
        <f>SUM(J3:T3)</f>
        <v>318.65999999999991</v>
      </c>
      <c r="V3" s="1"/>
      <c r="W3" s="6"/>
      <c r="X3" s="3"/>
    </row>
    <row r="4" spans="1:24" s="7" customFormat="1" ht="18.75" customHeight="1">
      <c r="A4" s="180" t="s">
        <v>58</v>
      </c>
      <c r="B4" s="181"/>
      <c r="C4" s="182"/>
      <c r="D4" s="173">
        <f>U5</f>
        <v>347991000</v>
      </c>
      <c r="E4" s="174"/>
      <c r="F4" s="2"/>
      <c r="G4" s="179" t="s">
        <v>57</v>
      </c>
      <c r="H4" s="179"/>
      <c r="I4" s="179"/>
      <c r="J4" s="45">
        <f>ROUNDUP(J3,2)</f>
        <v>30.75</v>
      </c>
      <c r="K4" s="45">
        <f t="shared" ref="K4:S4" si="2">ROUNDUP(K3,2)</f>
        <v>34.589999999999996</v>
      </c>
      <c r="L4" s="45">
        <f t="shared" si="2"/>
        <v>35.769999999999996</v>
      </c>
      <c r="M4" s="45">
        <f t="shared" si="2"/>
        <v>65.28</v>
      </c>
      <c r="N4" s="45">
        <f t="shared" si="2"/>
        <v>40.65</v>
      </c>
      <c r="O4" s="45">
        <f t="shared" si="2"/>
        <v>27.32</v>
      </c>
      <c r="P4" s="45">
        <f t="shared" si="2"/>
        <v>11.07</v>
      </c>
      <c r="Q4" s="45">
        <f t="shared" si="2"/>
        <v>30.75</v>
      </c>
      <c r="R4" s="45">
        <f t="shared" si="2"/>
        <v>0</v>
      </c>
      <c r="S4" s="45">
        <f t="shared" si="2"/>
        <v>0</v>
      </c>
      <c r="T4" s="45">
        <f>ROUNDUP(SUM(J4:S4)*T8,2)</f>
        <v>41.43</v>
      </c>
      <c r="U4" s="46">
        <f>SUM(J4:T4)</f>
        <v>317.60999999999996</v>
      </c>
      <c r="V4" s="1"/>
      <c r="W4" s="6"/>
      <c r="X4" s="3"/>
    </row>
    <row r="5" spans="1:24" s="7" customFormat="1" ht="18.75" customHeight="1" thickBot="1">
      <c r="A5" s="183"/>
      <c r="B5" s="184"/>
      <c r="C5" s="185"/>
      <c r="D5" s="175"/>
      <c r="E5" s="176"/>
      <c r="F5" s="2"/>
      <c r="G5" s="179" t="s">
        <v>47</v>
      </c>
      <c r="H5" s="179"/>
      <c r="I5" s="179"/>
      <c r="J5" s="47">
        <f>J4*J9</f>
        <v>32287500</v>
      </c>
      <c r="K5" s="47">
        <f t="shared" ref="K5:S5" si="3">K4*K9</f>
        <v>36319499.999999993</v>
      </c>
      <c r="L5" s="47">
        <f t="shared" si="3"/>
        <v>37558499.999999993</v>
      </c>
      <c r="M5" s="47">
        <f t="shared" si="3"/>
        <v>68544000</v>
      </c>
      <c r="N5" s="47">
        <f t="shared" si="3"/>
        <v>42682500</v>
      </c>
      <c r="O5" s="47">
        <f t="shared" si="3"/>
        <v>28686000</v>
      </c>
      <c r="P5" s="47">
        <f t="shared" si="3"/>
        <v>11623500</v>
      </c>
      <c r="Q5" s="47">
        <f t="shared" si="3"/>
        <v>32287500</v>
      </c>
      <c r="R5" s="47">
        <f t="shared" si="3"/>
        <v>0</v>
      </c>
      <c r="S5" s="47">
        <f t="shared" si="3"/>
        <v>0</v>
      </c>
      <c r="T5" s="47">
        <f>T4*T9</f>
        <v>58002000</v>
      </c>
      <c r="U5" s="48">
        <f>SUM(J5:T5)</f>
        <v>347991000</v>
      </c>
      <c r="V5" s="1"/>
      <c r="W5" s="6"/>
      <c r="X5" s="3"/>
    </row>
    <row r="6" spans="1:24" s="7" customFormat="1" ht="12" customHeight="1">
      <c r="A6" s="4"/>
      <c r="E6" s="2"/>
      <c r="F6" s="2"/>
      <c r="G6" s="5"/>
      <c r="H6" s="5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6"/>
      <c r="X6" s="3"/>
    </row>
    <row r="7" spans="1:24" s="53" customFormat="1" ht="18.75" customHeight="1">
      <c r="A7" s="49" t="s">
        <v>21</v>
      </c>
      <c r="B7" s="50" t="s">
        <v>19</v>
      </c>
      <c r="C7" s="50"/>
      <c r="D7" s="50" t="s">
        <v>20</v>
      </c>
      <c r="E7" s="50" t="s">
        <v>33</v>
      </c>
      <c r="F7" s="50" t="s">
        <v>10</v>
      </c>
      <c r="G7" s="51" t="s">
        <v>12</v>
      </c>
      <c r="H7" s="51" t="s">
        <v>81</v>
      </c>
      <c r="I7" s="50" t="s">
        <v>2</v>
      </c>
      <c r="J7" s="50" t="s">
        <v>48</v>
      </c>
      <c r="K7" s="50" t="s">
        <v>49</v>
      </c>
      <c r="L7" s="50" t="s">
        <v>50</v>
      </c>
      <c r="M7" s="50" t="s">
        <v>51</v>
      </c>
      <c r="N7" s="50" t="s">
        <v>52</v>
      </c>
      <c r="O7" s="50" t="s">
        <v>53</v>
      </c>
      <c r="P7" s="50" t="s">
        <v>54</v>
      </c>
      <c r="Q7" s="50" t="s">
        <v>55</v>
      </c>
      <c r="R7" s="50" t="s">
        <v>15</v>
      </c>
      <c r="S7" s="50" t="s">
        <v>32</v>
      </c>
      <c r="T7" s="50" t="s">
        <v>56</v>
      </c>
      <c r="U7" s="50" t="s">
        <v>0</v>
      </c>
      <c r="V7" s="50" t="s">
        <v>1</v>
      </c>
      <c r="W7" s="52" t="s">
        <v>13</v>
      </c>
      <c r="X7" s="50" t="s">
        <v>9</v>
      </c>
    </row>
    <row r="8" spans="1:24" s="53" customFormat="1" ht="18.75" customHeight="1">
      <c r="A8" s="54"/>
      <c r="B8" s="55"/>
      <c r="C8" s="55"/>
      <c r="D8" s="55"/>
      <c r="E8" s="56"/>
      <c r="F8" s="56"/>
      <c r="G8" s="57"/>
      <c r="H8" s="57"/>
      <c r="I8" s="58"/>
      <c r="J8" s="59">
        <f>サマリ!F9</f>
        <v>1</v>
      </c>
      <c r="K8" s="59">
        <f>サマリ!F10</f>
        <v>1</v>
      </c>
      <c r="L8" s="59">
        <f>サマリ!F11</f>
        <v>1</v>
      </c>
      <c r="M8" s="59">
        <f>サマリ!F12</f>
        <v>1</v>
      </c>
      <c r="N8" s="59">
        <f>サマリ!F13</f>
        <v>1</v>
      </c>
      <c r="O8" s="59">
        <f>サマリ!F14</f>
        <v>1</v>
      </c>
      <c r="P8" s="59">
        <f>サマリ!F15</f>
        <v>1</v>
      </c>
      <c r="Q8" s="59">
        <f>サマリ!F16</f>
        <v>1</v>
      </c>
      <c r="R8" s="59">
        <f>サマリ!F17</f>
        <v>1</v>
      </c>
      <c r="S8" s="60" t="str">
        <f>サマリ!F18</f>
        <v>-</v>
      </c>
      <c r="T8" s="59">
        <f>サマリ!F19</f>
        <v>0.15</v>
      </c>
      <c r="U8" s="61"/>
      <c r="V8" s="61"/>
      <c r="W8" s="62"/>
      <c r="X8" s="63"/>
    </row>
    <row r="9" spans="1:24" s="53" customFormat="1" ht="18.75" customHeight="1" thickBot="1">
      <c r="A9" s="64"/>
      <c r="B9" s="65"/>
      <c r="C9" s="65"/>
      <c r="D9" s="65"/>
      <c r="E9" s="66"/>
      <c r="F9" s="66"/>
      <c r="G9" s="67"/>
      <c r="H9" s="67"/>
      <c r="I9" s="68"/>
      <c r="J9" s="69">
        <f>サマリ!H9</f>
        <v>1050000</v>
      </c>
      <c r="K9" s="69">
        <f>サマリ!H10</f>
        <v>1050000</v>
      </c>
      <c r="L9" s="69">
        <f>サマリ!H11</f>
        <v>1050000</v>
      </c>
      <c r="M9" s="69">
        <f>サマリ!H12</f>
        <v>1050000</v>
      </c>
      <c r="N9" s="69">
        <f>サマリ!H13</f>
        <v>1050000</v>
      </c>
      <c r="O9" s="69">
        <f>サマリ!H14</f>
        <v>1050000</v>
      </c>
      <c r="P9" s="69">
        <f>サマリ!H15</f>
        <v>1050000</v>
      </c>
      <c r="Q9" s="69">
        <f>サマリ!H16</f>
        <v>1050000</v>
      </c>
      <c r="R9" s="69">
        <f>サマリ!H17</f>
        <v>1050000</v>
      </c>
      <c r="S9" s="69">
        <f>サマリ!H18</f>
        <v>1050000</v>
      </c>
      <c r="T9" s="69">
        <f>サマリ!H19</f>
        <v>1400000</v>
      </c>
      <c r="U9" s="70"/>
      <c r="V9" s="70"/>
      <c r="W9" s="71"/>
      <c r="X9" s="72"/>
    </row>
    <row r="10" spans="1:24" s="75" customFormat="1" ht="12.6" thickTop="1">
      <c r="A10" s="73">
        <f t="shared" ref="A10:A116" si="4">ROW()-9</f>
        <v>1</v>
      </c>
      <c r="B10" s="76" t="s">
        <v>1957</v>
      </c>
      <c r="C10" s="98" t="s">
        <v>1803</v>
      </c>
      <c r="D10" s="99" t="s">
        <v>1804</v>
      </c>
      <c r="E10" s="78" t="s">
        <v>1964</v>
      </c>
      <c r="F10" s="74"/>
      <c r="G10" s="79"/>
      <c r="H10" s="79"/>
      <c r="I10" s="78" t="s">
        <v>6</v>
      </c>
      <c r="J10" s="101">
        <f t="shared" ref="J10:R116" si="5">ROUNDUP(IF($E10="画面",画面係数,IF($E10="帳票",帳票係数,IF($E10="バッチ",バッチ係数,0))) *
 IF($I10="特高",特高係数,IF($I10="高",高係数,IF($I10="中",中係数,IF($I10="低",低係数,IF($I10="特低",特低係数,0)))))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1.3</v>
      </c>
      <c r="K10" s="101">
        <f t="shared" si="5"/>
        <v>1.5</v>
      </c>
      <c r="L10" s="101">
        <f t="shared" si="5"/>
        <v>1.6</v>
      </c>
      <c r="M10" s="101">
        <f t="shared" si="5"/>
        <v>2.9</v>
      </c>
      <c r="N10" s="101">
        <f t="shared" si="5"/>
        <v>1.8</v>
      </c>
      <c r="O10" s="101">
        <f t="shared" si="5"/>
        <v>1.2000000000000002</v>
      </c>
      <c r="P10" s="101">
        <f t="shared" si="5"/>
        <v>0.5</v>
      </c>
      <c r="Q10" s="101">
        <f t="shared" si="5"/>
        <v>1.3</v>
      </c>
      <c r="R10" s="101">
        <f t="shared" si="5"/>
        <v>0</v>
      </c>
      <c r="S10" s="77"/>
      <c r="T10" s="101">
        <f t="shared" ref="T10:T115" si="6">ROUNDUP(SUM(J10:S10)*T$8,1)</f>
        <v>1.9000000000000001</v>
      </c>
      <c r="U10" s="101">
        <f t="shared" ref="U10:U115" si="7">SUM(J10:T10)</f>
        <v>14.000000000000002</v>
      </c>
      <c r="V10" s="102">
        <f t="shared" ref="V10:V115" si="8">U10/20</f>
        <v>0.70000000000000007</v>
      </c>
      <c r="W10" s="103">
        <f t="shared" ref="W10:W115" si="9">((J10*J$9) + (K10*K$9) + (L10*L$9) + (M10*M$9) + (N10*N$9) + (O10*O$9) + (P10*P$9) + (Q10*Q$9) + (R10*R$9) + (S10*S$9) + (T10*T$9))/20</f>
        <v>768250</v>
      </c>
      <c r="X10" s="104" t="s">
        <v>92</v>
      </c>
    </row>
    <row r="11" spans="1:24" s="75" customFormat="1" ht="12">
      <c r="A11" s="73">
        <f t="shared" si="4"/>
        <v>2</v>
      </c>
      <c r="B11" s="76" t="s">
        <v>1957</v>
      </c>
      <c r="C11" s="98" t="s">
        <v>1805</v>
      </c>
      <c r="D11" s="99" t="s">
        <v>1804</v>
      </c>
      <c r="E11" s="78" t="s">
        <v>1964</v>
      </c>
      <c r="F11" s="78"/>
      <c r="G11" s="79"/>
      <c r="H11" s="79"/>
      <c r="I11" s="78" t="s">
        <v>1963</v>
      </c>
      <c r="J11" s="101">
        <f t="shared" si="5"/>
        <v>1.3</v>
      </c>
      <c r="K11" s="101">
        <f t="shared" si="5"/>
        <v>1.5</v>
      </c>
      <c r="L11" s="101">
        <f t="shared" si="5"/>
        <v>1.6</v>
      </c>
      <c r="M11" s="101">
        <f t="shared" si="5"/>
        <v>2.9</v>
      </c>
      <c r="N11" s="101">
        <f t="shared" si="5"/>
        <v>1.8</v>
      </c>
      <c r="O11" s="101">
        <f t="shared" si="5"/>
        <v>1.2000000000000002</v>
      </c>
      <c r="P11" s="101">
        <f t="shared" si="5"/>
        <v>0.5</v>
      </c>
      <c r="Q11" s="101">
        <f t="shared" si="5"/>
        <v>1.3</v>
      </c>
      <c r="R11" s="101">
        <f t="shared" si="5"/>
        <v>0</v>
      </c>
      <c r="S11" s="77"/>
      <c r="T11" s="101">
        <f t="shared" si="6"/>
        <v>1.9000000000000001</v>
      </c>
      <c r="U11" s="101">
        <f t="shared" si="7"/>
        <v>14.000000000000002</v>
      </c>
      <c r="V11" s="102">
        <f t="shared" si="8"/>
        <v>0.70000000000000007</v>
      </c>
      <c r="W11" s="103">
        <f t="shared" si="9"/>
        <v>768250</v>
      </c>
      <c r="X11" s="104" t="s">
        <v>92</v>
      </c>
    </row>
    <row r="12" spans="1:24" s="75" customFormat="1" ht="12">
      <c r="A12" s="73">
        <f t="shared" si="4"/>
        <v>3</v>
      </c>
      <c r="B12" s="76" t="s">
        <v>1957</v>
      </c>
      <c r="C12" s="98" t="s">
        <v>1806</v>
      </c>
      <c r="D12" s="99" t="s">
        <v>1804</v>
      </c>
      <c r="E12" s="78" t="s">
        <v>1964</v>
      </c>
      <c r="F12" s="78"/>
      <c r="G12" s="79"/>
      <c r="H12" s="79"/>
      <c r="I12" s="78" t="s">
        <v>1963</v>
      </c>
      <c r="J12" s="101">
        <f t="shared" ref="J12:R27" si="10">ROUNDUP(IF($E12="画面",画面係数,IF($E12="帳票",帳票係数,IF($E12="バッチ",バッチ係数,0))) *
 IF($I12="特高",特高係数,IF($I12="高",高係数,IF($I12="中",中係数,IF($I12="低",低係数,IF($I12="特低",特低係数,0)))))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1.3</v>
      </c>
      <c r="K12" s="101">
        <f t="shared" si="10"/>
        <v>1.5</v>
      </c>
      <c r="L12" s="101">
        <f t="shared" si="10"/>
        <v>1.6</v>
      </c>
      <c r="M12" s="101">
        <f t="shared" si="10"/>
        <v>2.9</v>
      </c>
      <c r="N12" s="101">
        <f t="shared" si="10"/>
        <v>1.8</v>
      </c>
      <c r="O12" s="101">
        <f t="shared" si="10"/>
        <v>1.2000000000000002</v>
      </c>
      <c r="P12" s="101">
        <f t="shared" si="10"/>
        <v>0.5</v>
      </c>
      <c r="Q12" s="101">
        <f t="shared" si="10"/>
        <v>1.3</v>
      </c>
      <c r="R12" s="101">
        <f t="shared" si="10"/>
        <v>0</v>
      </c>
      <c r="S12" s="77"/>
      <c r="T12" s="101">
        <f t="shared" si="6"/>
        <v>1.9000000000000001</v>
      </c>
      <c r="U12" s="101">
        <f t="shared" si="7"/>
        <v>14.000000000000002</v>
      </c>
      <c r="V12" s="102">
        <f t="shared" si="8"/>
        <v>0.70000000000000007</v>
      </c>
      <c r="W12" s="103">
        <f t="shared" si="9"/>
        <v>768250</v>
      </c>
      <c r="X12" s="104" t="s">
        <v>92</v>
      </c>
    </row>
    <row r="13" spans="1:24" s="75" customFormat="1" ht="12">
      <c r="A13" s="73">
        <f t="shared" si="4"/>
        <v>4</v>
      </c>
      <c r="B13" s="76" t="s">
        <v>1957</v>
      </c>
      <c r="C13" s="98" t="s">
        <v>1807</v>
      </c>
      <c r="D13" s="99" t="s">
        <v>1804</v>
      </c>
      <c r="E13" s="78" t="s">
        <v>1964</v>
      </c>
      <c r="F13" s="78"/>
      <c r="G13" s="79"/>
      <c r="H13" s="79"/>
      <c r="I13" s="78" t="s">
        <v>1963</v>
      </c>
      <c r="J13" s="101">
        <f t="shared" si="10"/>
        <v>1.3</v>
      </c>
      <c r="K13" s="101">
        <f t="shared" si="10"/>
        <v>1.5</v>
      </c>
      <c r="L13" s="101">
        <f t="shared" si="10"/>
        <v>1.6</v>
      </c>
      <c r="M13" s="101">
        <f t="shared" si="10"/>
        <v>2.9</v>
      </c>
      <c r="N13" s="101">
        <f t="shared" si="10"/>
        <v>1.8</v>
      </c>
      <c r="O13" s="101">
        <f t="shared" si="10"/>
        <v>1.2000000000000002</v>
      </c>
      <c r="P13" s="101">
        <f t="shared" si="10"/>
        <v>0.5</v>
      </c>
      <c r="Q13" s="101">
        <f t="shared" si="10"/>
        <v>1.3</v>
      </c>
      <c r="R13" s="101">
        <f t="shared" si="10"/>
        <v>0</v>
      </c>
      <c r="S13" s="77"/>
      <c r="T13" s="101">
        <f t="shared" si="6"/>
        <v>1.9000000000000001</v>
      </c>
      <c r="U13" s="101">
        <f t="shared" si="7"/>
        <v>14.000000000000002</v>
      </c>
      <c r="V13" s="102">
        <f t="shared" si="8"/>
        <v>0.70000000000000007</v>
      </c>
      <c r="W13" s="103">
        <f t="shared" si="9"/>
        <v>768250</v>
      </c>
      <c r="X13" s="104" t="s">
        <v>92</v>
      </c>
    </row>
    <row r="14" spans="1:24" s="75" customFormat="1" ht="12">
      <c r="A14" s="73">
        <f t="shared" si="4"/>
        <v>5</v>
      </c>
      <c r="B14" s="76" t="s">
        <v>1957</v>
      </c>
      <c r="C14" s="98" t="s">
        <v>1808</v>
      </c>
      <c r="D14" s="99" t="s">
        <v>1804</v>
      </c>
      <c r="E14" s="78" t="s">
        <v>1964</v>
      </c>
      <c r="F14" s="78"/>
      <c r="G14" s="79"/>
      <c r="H14" s="79"/>
      <c r="I14" s="78" t="s">
        <v>1963</v>
      </c>
      <c r="J14" s="101">
        <f t="shared" si="10"/>
        <v>1.3</v>
      </c>
      <c r="K14" s="101">
        <f t="shared" si="10"/>
        <v>1.5</v>
      </c>
      <c r="L14" s="101">
        <f t="shared" si="10"/>
        <v>1.6</v>
      </c>
      <c r="M14" s="101">
        <f t="shared" si="10"/>
        <v>2.9</v>
      </c>
      <c r="N14" s="101">
        <f t="shared" si="10"/>
        <v>1.8</v>
      </c>
      <c r="O14" s="101">
        <f t="shared" si="10"/>
        <v>1.2000000000000002</v>
      </c>
      <c r="P14" s="101">
        <f t="shared" si="10"/>
        <v>0.5</v>
      </c>
      <c r="Q14" s="101">
        <f t="shared" si="10"/>
        <v>1.3</v>
      </c>
      <c r="R14" s="101">
        <f t="shared" si="10"/>
        <v>0</v>
      </c>
      <c r="S14" s="77"/>
      <c r="T14" s="101">
        <f t="shared" si="6"/>
        <v>1.9000000000000001</v>
      </c>
      <c r="U14" s="101">
        <f t="shared" si="7"/>
        <v>14.000000000000002</v>
      </c>
      <c r="V14" s="102">
        <f t="shared" si="8"/>
        <v>0.70000000000000007</v>
      </c>
      <c r="W14" s="103">
        <f t="shared" si="9"/>
        <v>768250</v>
      </c>
      <c r="X14" s="104" t="s">
        <v>92</v>
      </c>
    </row>
    <row r="15" spans="1:24" s="75" customFormat="1" ht="12">
      <c r="A15" s="73">
        <f t="shared" si="4"/>
        <v>6</v>
      </c>
      <c r="B15" s="76" t="s">
        <v>1957</v>
      </c>
      <c r="C15" s="98" t="s">
        <v>1809</v>
      </c>
      <c r="D15" s="99" t="s">
        <v>1804</v>
      </c>
      <c r="E15" s="78" t="s">
        <v>1964</v>
      </c>
      <c r="F15" s="74"/>
      <c r="G15" s="79"/>
      <c r="H15" s="79"/>
      <c r="I15" s="78" t="s">
        <v>1963</v>
      </c>
      <c r="J15" s="101">
        <f t="shared" si="10"/>
        <v>1.3</v>
      </c>
      <c r="K15" s="101">
        <f t="shared" si="10"/>
        <v>1.5</v>
      </c>
      <c r="L15" s="101">
        <f t="shared" si="10"/>
        <v>1.6</v>
      </c>
      <c r="M15" s="101">
        <f t="shared" si="10"/>
        <v>2.9</v>
      </c>
      <c r="N15" s="101">
        <f t="shared" si="10"/>
        <v>1.8</v>
      </c>
      <c r="O15" s="101">
        <f t="shared" si="10"/>
        <v>1.2000000000000002</v>
      </c>
      <c r="P15" s="101">
        <f t="shared" si="10"/>
        <v>0.5</v>
      </c>
      <c r="Q15" s="101">
        <f t="shared" si="10"/>
        <v>1.3</v>
      </c>
      <c r="R15" s="101">
        <f t="shared" si="10"/>
        <v>0</v>
      </c>
      <c r="S15" s="77"/>
      <c r="T15" s="101">
        <f t="shared" si="6"/>
        <v>1.9000000000000001</v>
      </c>
      <c r="U15" s="101">
        <f t="shared" si="7"/>
        <v>14.000000000000002</v>
      </c>
      <c r="V15" s="102">
        <f t="shared" si="8"/>
        <v>0.70000000000000007</v>
      </c>
      <c r="W15" s="103">
        <f t="shared" si="9"/>
        <v>768250</v>
      </c>
      <c r="X15" s="104" t="s">
        <v>92</v>
      </c>
    </row>
    <row r="16" spans="1:24" s="75" customFormat="1" ht="12">
      <c r="A16" s="73">
        <f t="shared" si="4"/>
        <v>7</v>
      </c>
      <c r="B16" s="76" t="s">
        <v>1957</v>
      </c>
      <c r="C16" s="98" t="s">
        <v>1358</v>
      </c>
      <c r="D16" s="99" t="s">
        <v>1804</v>
      </c>
      <c r="E16" s="78" t="s">
        <v>1964</v>
      </c>
      <c r="F16" s="74"/>
      <c r="G16" s="79"/>
      <c r="H16" s="79"/>
      <c r="I16" s="78" t="s">
        <v>1963</v>
      </c>
      <c r="J16" s="101">
        <f t="shared" si="10"/>
        <v>1.3</v>
      </c>
      <c r="K16" s="101">
        <f t="shared" si="10"/>
        <v>1.5</v>
      </c>
      <c r="L16" s="101">
        <f t="shared" si="10"/>
        <v>1.6</v>
      </c>
      <c r="M16" s="101">
        <f t="shared" si="10"/>
        <v>2.9</v>
      </c>
      <c r="N16" s="101">
        <f t="shared" si="10"/>
        <v>1.8</v>
      </c>
      <c r="O16" s="101">
        <f t="shared" si="10"/>
        <v>1.2000000000000002</v>
      </c>
      <c r="P16" s="101">
        <f t="shared" si="10"/>
        <v>0.5</v>
      </c>
      <c r="Q16" s="101">
        <f t="shared" si="10"/>
        <v>1.3</v>
      </c>
      <c r="R16" s="101">
        <f t="shared" si="10"/>
        <v>0</v>
      </c>
      <c r="S16" s="77"/>
      <c r="T16" s="101">
        <f t="shared" si="6"/>
        <v>1.9000000000000001</v>
      </c>
      <c r="U16" s="101">
        <f t="shared" si="7"/>
        <v>14.000000000000002</v>
      </c>
      <c r="V16" s="102">
        <f t="shared" si="8"/>
        <v>0.70000000000000007</v>
      </c>
      <c r="W16" s="103">
        <f t="shared" si="9"/>
        <v>768250</v>
      </c>
      <c r="X16" s="104" t="s">
        <v>92</v>
      </c>
    </row>
    <row r="17" spans="1:24" s="75" customFormat="1" ht="12">
      <c r="A17" s="73">
        <f t="shared" si="4"/>
        <v>8</v>
      </c>
      <c r="B17" s="76" t="s">
        <v>1957</v>
      </c>
      <c r="C17" s="98" t="s">
        <v>1810</v>
      </c>
      <c r="D17" s="99" t="s">
        <v>1804</v>
      </c>
      <c r="E17" s="78" t="s">
        <v>1964</v>
      </c>
      <c r="F17" s="74"/>
      <c r="G17" s="79"/>
      <c r="H17" s="79"/>
      <c r="I17" s="78" t="s">
        <v>1963</v>
      </c>
      <c r="J17" s="101">
        <f t="shared" si="10"/>
        <v>1.3</v>
      </c>
      <c r="K17" s="101">
        <f t="shared" si="10"/>
        <v>1.5</v>
      </c>
      <c r="L17" s="101">
        <f t="shared" si="10"/>
        <v>1.6</v>
      </c>
      <c r="M17" s="101">
        <f t="shared" si="10"/>
        <v>2.9</v>
      </c>
      <c r="N17" s="101">
        <f t="shared" si="10"/>
        <v>1.8</v>
      </c>
      <c r="O17" s="101">
        <f t="shared" si="10"/>
        <v>1.2000000000000002</v>
      </c>
      <c r="P17" s="101">
        <f t="shared" si="10"/>
        <v>0.5</v>
      </c>
      <c r="Q17" s="101">
        <f t="shared" si="10"/>
        <v>1.3</v>
      </c>
      <c r="R17" s="101">
        <f t="shared" si="10"/>
        <v>0</v>
      </c>
      <c r="S17" s="77"/>
      <c r="T17" s="101">
        <f t="shared" si="6"/>
        <v>1.9000000000000001</v>
      </c>
      <c r="U17" s="101">
        <f t="shared" si="7"/>
        <v>14.000000000000002</v>
      </c>
      <c r="V17" s="102">
        <f t="shared" si="8"/>
        <v>0.70000000000000007</v>
      </c>
      <c r="W17" s="103">
        <f t="shared" si="9"/>
        <v>768250</v>
      </c>
      <c r="X17" s="104" t="s">
        <v>92</v>
      </c>
    </row>
    <row r="18" spans="1:24" s="75" customFormat="1" ht="12">
      <c r="A18" s="73">
        <f t="shared" si="4"/>
        <v>9</v>
      </c>
      <c r="B18" s="76" t="s">
        <v>1957</v>
      </c>
      <c r="C18" s="98" t="s">
        <v>1811</v>
      </c>
      <c r="D18" s="99" t="s">
        <v>1804</v>
      </c>
      <c r="E18" s="78" t="s">
        <v>1964</v>
      </c>
      <c r="F18" s="74"/>
      <c r="G18" s="79"/>
      <c r="H18" s="79"/>
      <c r="I18" s="78" t="s">
        <v>1963</v>
      </c>
      <c r="J18" s="101">
        <f t="shared" si="10"/>
        <v>1.3</v>
      </c>
      <c r="K18" s="101">
        <f t="shared" si="10"/>
        <v>1.5</v>
      </c>
      <c r="L18" s="101">
        <f t="shared" si="10"/>
        <v>1.6</v>
      </c>
      <c r="M18" s="101">
        <f t="shared" si="10"/>
        <v>2.9</v>
      </c>
      <c r="N18" s="101">
        <f t="shared" si="10"/>
        <v>1.8</v>
      </c>
      <c r="O18" s="101">
        <f t="shared" si="10"/>
        <v>1.2000000000000002</v>
      </c>
      <c r="P18" s="101">
        <f t="shared" si="10"/>
        <v>0.5</v>
      </c>
      <c r="Q18" s="101">
        <f t="shared" si="10"/>
        <v>1.3</v>
      </c>
      <c r="R18" s="101">
        <f t="shared" si="10"/>
        <v>0</v>
      </c>
      <c r="S18" s="77"/>
      <c r="T18" s="101">
        <f t="shared" si="6"/>
        <v>1.9000000000000001</v>
      </c>
      <c r="U18" s="101">
        <f t="shared" si="7"/>
        <v>14.000000000000002</v>
      </c>
      <c r="V18" s="102">
        <f t="shared" si="8"/>
        <v>0.70000000000000007</v>
      </c>
      <c r="W18" s="103">
        <f t="shared" si="9"/>
        <v>768250</v>
      </c>
      <c r="X18" s="104" t="s">
        <v>92</v>
      </c>
    </row>
    <row r="19" spans="1:24" s="75" customFormat="1" ht="12">
      <c r="A19" s="73">
        <f t="shared" si="4"/>
        <v>10</v>
      </c>
      <c r="B19" s="76" t="s">
        <v>1958</v>
      </c>
      <c r="C19" s="98" t="s">
        <v>1812</v>
      </c>
      <c r="D19" s="99" t="s">
        <v>1365</v>
      </c>
      <c r="E19" s="78" t="s">
        <v>1964</v>
      </c>
      <c r="F19" s="74"/>
      <c r="G19" s="79"/>
      <c r="H19" s="79"/>
      <c r="I19" s="78" t="s">
        <v>1962</v>
      </c>
      <c r="J19" s="101">
        <f t="shared" si="10"/>
        <v>2.2000000000000002</v>
      </c>
      <c r="K19" s="101">
        <f t="shared" si="10"/>
        <v>2.5</v>
      </c>
      <c r="L19" s="101">
        <f t="shared" si="10"/>
        <v>2.6</v>
      </c>
      <c r="M19" s="101">
        <f t="shared" si="10"/>
        <v>4.6999999999999993</v>
      </c>
      <c r="N19" s="101">
        <f t="shared" si="10"/>
        <v>2.9</v>
      </c>
      <c r="O19" s="101">
        <f t="shared" si="10"/>
        <v>1.9000000000000001</v>
      </c>
      <c r="P19" s="101">
        <f t="shared" si="10"/>
        <v>0.79999999999999993</v>
      </c>
      <c r="Q19" s="101">
        <f t="shared" si="10"/>
        <v>2.2000000000000002</v>
      </c>
      <c r="R19" s="101">
        <f t="shared" si="10"/>
        <v>0</v>
      </c>
      <c r="S19" s="77"/>
      <c r="T19" s="101">
        <f t="shared" si="6"/>
        <v>3</v>
      </c>
      <c r="U19" s="101">
        <f t="shared" si="7"/>
        <v>22.8</v>
      </c>
      <c r="V19" s="102">
        <f t="shared" si="8"/>
        <v>1.1400000000000001</v>
      </c>
      <c r="W19" s="103">
        <f t="shared" si="9"/>
        <v>1249500</v>
      </c>
      <c r="X19" s="104" t="s">
        <v>92</v>
      </c>
    </row>
    <row r="20" spans="1:24" s="75" customFormat="1" ht="12">
      <c r="A20" s="73">
        <f t="shared" si="4"/>
        <v>11</v>
      </c>
      <c r="B20" s="76" t="s">
        <v>1958</v>
      </c>
      <c r="C20" s="98" t="s">
        <v>1813</v>
      </c>
      <c r="D20" s="99" t="s">
        <v>1365</v>
      </c>
      <c r="E20" s="78" t="s">
        <v>1964</v>
      </c>
      <c r="F20" s="74"/>
      <c r="G20" s="79"/>
      <c r="H20" s="79"/>
      <c r="I20" s="78" t="s">
        <v>1962</v>
      </c>
      <c r="J20" s="101">
        <f t="shared" si="10"/>
        <v>2.2000000000000002</v>
      </c>
      <c r="K20" s="101">
        <f t="shared" si="10"/>
        <v>2.5</v>
      </c>
      <c r="L20" s="101">
        <f t="shared" si="10"/>
        <v>2.6</v>
      </c>
      <c r="M20" s="101">
        <f t="shared" si="10"/>
        <v>4.6999999999999993</v>
      </c>
      <c r="N20" s="101">
        <f t="shared" si="10"/>
        <v>2.9</v>
      </c>
      <c r="O20" s="101">
        <f t="shared" si="10"/>
        <v>1.9000000000000001</v>
      </c>
      <c r="P20" s="101">
        <f t="shared" si="10"/>
        <v>0.79999999999999993</v>
      </c>
      <c r="Q20" s="101">
        <f t="shared" si="10"/>
        <v>2.2000000000000002</v>
      </c>
      <c r="R20" s="101">
        <f t="shared" si="10"/>
        <v>0</v>
      </c>
      <c r="S20" s="77"/>
      <c r="T20" s="101">
        <f t="shared" ref="T20" si="11">ROUNDUP(SUM(J20:S20)*T$8,1)</f>
        <v>3</v>
      </c>
      <c r="U20" s="101">
        <f t="shared" si="7"/>
        <v>22.8</v>
      </c>
      <c r="V20" s="102">
        <f t="shared" si="8"/>
        <v>1.1400000000000001</v>
      </c>
      <c r="W20" s="103">
        <f t="shared" si="9"/>
        <v>1249500</v>
      </c>
      <c r="X20" s="104" t="s">
        <v>92</v>
      </c>
    </row>
    <row r="21" spans="1:24" s="75" customFormat="1" ht="12">
      <c r="A21" s="73">
        <f t="shared" si="4"/>
        <v>12</v>
      </c>
      <c r="B21" s="76" t="s">
        <v>1958</v>
      </c>
      <c r="C21" s="98" t="s">
        <v>1814</v>
      </c>
      <c r="D21" s="99" t="s">
        <v>1365</v>
      </c>
      <c r="E21" s="78" t="s">
        <v>1964</v>
      </c>
      <c r="F21" s="78"/>
      <c r="G21" s="79"/>
      <c r="H21" s="79"/>
      <c r="I21" s="78" t="s">
        <v>1965</v>
      </c>
      <c r="J21" s="101">
        <f t="shared" si="10"/>
        <v>3.1</v>
      </c>
      <c r="K21" s="101">
        <f t="shared" si="10"/>
        <v>3.5</v>
      </c>
      <c r="L21" s="101">
        <f t="shared" si="10"/>
        <v>3.6</v>
      </c>
      <c r="M21" s="101">
        <f t="shared" si="10"/>
        <v>6.6</v>
      </c>
      <c r="N21" s="101">
        <f t="shared" si="10"/>
        <v>4.0999999999999996</v>
      </c>
      <c r="O21" s="101">
        <f t="shared" si="10"/>
        <v>2.7</v>
      </c>
      <c r="P21" s="101">
        <f t="shared" si="10"/>
        <v>1.1000000000000001</v>
      </c>
      <c r="Q21" s="101">
        <f t="shared" si="10"/>
        <v>3.1</v>
      </c>
      <c r="R21" s="101">
        <f t="shared" si="10"/>
        <v>0</v>
      </c>
      <c r="S21" s="77"/>
      <c r="T21" s="101">
        <f t="shared" ref="T21:T28" si="12">ROUNDUP(SUM(J21:S21)*T$8,1)</f>
        <v>4.1999999999999993</v>
      </c>
      <c r="U21" s="101">
        <f t="shared" si="7"/>
        <v>32</v>
      </c>
      <c r="V21" s="102">
        <f t="shared" si="8"/>
        <v>1.6</v>
      </c>
      <c r="W21" s="103">
        <f t="shared" si="9"/>
        <v>1753500</v>
      </c>
      <c r="X21" s="104" t="s">
        <v>92</v>
      </c>
    </row>
    <row r="22" spans="1:24" s="75" customFormat="1" ht="12">
      <c r="A22" s="73">
        <f t="shared" si="4"/>
        <v>13</v>
      </c>
      <c r="B22" s="76" t="s">
        <v>1958</v>
      </c>
      <c r="C22" s="98" t="s">
        <v>1815</v>
      </c>
      <c r="D22" s="99" t="s">
        <v>1365</v>
      </c>
      <c r="E22" s="78" t="s">
        <v>1964</v>
      </c>
      <c r="F22" s="78"/>
      <c r="G22" s="79"/>
      <c r="H22" s="79"/>
      <c r="I22" s="78" t="s">
        <v>1965</v>
      </c>
      <c r="J22" s="101">
        <f t="shared" si="10"/>
        <v>3.1</v>
      </c>
      <c r="K22" s="101">
        <f t="shared" si="10"/>
        <v>3.5</v>
      </c>
      <c r="L22" s="101">
        <f t="shared" si="10"/>
        <v>3.6</v>
      </c>
      <c r="M22" s="101">
        <f t="shared" si="10"/>
        <v>6.6</v>
      </c>
      <c r="N22" s="101">
        <f t="shared" si="10"/>
        <v>4.0999999999999996</v>
      </c>
      <c r="O22" s="101">
        <f t="shared" si="10"/>
        <v>2.7</v>
      </c>
      <c r="P22" s="101">
        <f t="shared" si="10"/>
        <v>1.1000000000000001</v>
      </c>
      <c r="Q22" s="101">
        <f t="shared" si="10"/>
        <v>3.1</v>
      </c>
      <c r="R22" s="101">
        <f t="shared" si="10"/>
        <v>0</v>
      </c>
      <c r="S22" s="77"/>
      <c r="T22" s="101">
        <f t="shared" si="12"/>
        <v>4.1999999999999993</v>
      </c>
      <c r="U22" s="101">
        <f t="shared" si="7"/>
        <v>32</v>
      </c>
      <c r="V22" s="102">
        <f t="shared" si="8"/>
        <v>1.6</v>
      </c>
      <c r="W22" s="103">
        <f t="shared" si="9"/>
        <v>1753500</v>
      </c>
      <c r="X22" s="104" t="s">
        <v>92</v>
      </c>
    </row>
    <row r="23" spans="1:24" s="75" customFormat="1" ht="12">
      <c r="A23" s="73">
        <f t="shared" si="4"/>
        <v>14</v>
      </c>
      <c r="B23" s="76" t="s">
        <v>1958</v>
      </c>
      <c r="C23" s="98" t="s">
        <v>1816</v>
      </c>
      <c r="D23" s="99" t="s">
        <v>1365</v>
      </c>
      <c r="E23" s="78" t="s">
        <v>1964</v>
      </c>
      <c r="F23" s="78"/>
      <c r="G23" s="79"/>
      <c r="H23" s="79"/>
      <c r="I23" s="78" t="s">
        <v>1965</v>
      </c>
      <c r="J23" s="101">
        <f t="shared" si="10"/>
        <v>3.1</v>
      </c>
      <c r="K23" s="101">
        <f t="shared" si="10"/>
        <v>3.5</v>
      </c>
      <c r="L23" s="101">
        <f t="shared" si="10"/>
        <v>3.6</v>
      </c>
      <c r="M23" s="101">
        <f t="shared" si="10"/>
        <v>6.6</v>
      </c>
      <c r="N23" s="101">
        <f t="shared" si="10"/>
        <v>4.0999999999999996</v>
      </c>
      <c r="O23" s="101">
        <f t="shared" si="10"/>
        <v>2.7</v>
      </c>
      <c r="P23" s="101">
        <f t="shared" si="10"/>
        <v>1.1000000000000001</v>
      </c>
      <c r="Q23" s="101">
        <f t="shared" si="10"/>
        <v>3.1</v>
      </c>
      <c r="R23" s="101">
        <f t="shared" si="10"/>
        <v>0</v>
      </c>
      <c r="S23" s="77"/>
      <c r="T23" s="101">
        <f t="shared" si="12"/>
        <v>4.1999999999999993</v>
      </c>
      <c r="U23" s="101">
        <f t="shared" si="7"/>
        <v>32</v>
      </c>
      <c r="V23" s="102">
        <f t="shared" si="8"/>
        <v>1.6</v>
      </c>
      <c r="W23" s="103">
        <f t="shared" si="9"/>
        <v>1753500</v>
      </c>
      <c r="X23" s="104" t="s">
        <v>92</v>
      </c>
    </row>
    <row r="24" spans="1:24" s="75" customFormat="1" ht="12">
      <c r="A24" s="73">
        <f t="shared" si="4"/>
        <v>15</v>
      </c>
      <c r="B24" s="76" t="s">
        <v>1958</v>
      </c>
      <c r="C24" s="98" t="s">
        <v>1817</v>
      </c>
      <c r="D24" s="99" t="s">
        <v>1365</v>
      </c>
      <c r="E24" s="78" t="s">
        <v>1964</v>
      </c>
      <c r="F24" s="74"/>
      <c r="G24" s="79"/>
      <c r="H24" s="79"/>
      <c r="I24" s="78" t="s">
        <v>1962</v>
      </c>
      <c r="J24" s="101">
        <f t="shared" si="10"/>
        <v>2.2000000000000002</v>
      </c>
      <c r="K24" s="101">
        <f t="shared" si="10"/>
        <v>2.5</v>
      </c>
      <c r="L24" s="101">
        <f t="shared" si="10"/>
        <v>2.6</v>
      </c>
      <c r="M24" s="101">
        <f t="shared" si="10"/>
        <v>4.6999999999999993</v>
      </c>
      <c r="N24" s="101">
        <f t="shared" si="10"/>
        <v>2.9</v>
      </c>
      <c r="O24" s="101">
        <f t="shared" si="10"/>
        <v>1.9000000000000001</v>
      </c>
      <c r="P24" s="101">
        <f t="shared" si="10"/>
        <v>0.79999999999999993</v>
      </c>
      <c r="Q24" s="101">
        <f t="shared" si="10"/>
        <v>2.2000000000000002</v>
      </c>
      <c r="R24" s="101">
        <f t="shared" si="10"/>
        <v>0</v>
      </c>
      <c r="S24" s="77"/>
      <c r="T24" s="101">
        <f t="shared" si="12"/>
        <v>3</v>
      </c>
      <c r="U24" s="101">
        <f t="shared" si="7"/>
        <v>22.8</v>
      </c>
      <c r="V24" s="102">
        <f t="shared" si="8"/>
        <v>1.1400000000000001</v>
      </c>
      <c r="W24" s="103">
        <f t="shared" si="9"/>
        <v>1249500</v>
      </c>
      <c r="X24" s="104" t="s">
        <v>92</v>
      </c>
    </row>
    <row r="25" spans="1:24" s="75" customFormat="1" ht="12">
      <c r="A25" s="73">
        <f t="shared" si="4"/>
        <v>16</v>
      </c>
      <c r="B25" s="76" t="s">
        <v>1958</v>
      </c>
      <c r="C25" s="98" t="s">
        <v>1818</v>
      </c>
      <c r="D25" s="99" t="s">
        <v>1374</v>
      </c>
      <c r="E25" s="78" t="s">
        <v>1964</v>
      </c>
      <c r="F25" s="74"/>
      <c r="G25" s="79"/>
      <c r="H25" s="79"/>
      <c r="I25" s="78" t="s">
        <v>1965</v>
      </c>
      <c r="J25" s="101">
        <f t="shared" si="10"/>
        <v>3.1</v>
      </c>
      <c r="K25" s="101">
        <f t="shared" si="10"/>
        <v>3.5</v>
      </c>
      <c r="L25" s="101">
        <f t="shared" si="10"/>
        <v>3.6</v>
      </c>
      <c r="M25" s="101">
        <f t="shared" si="10"/>
        <v>6.6</v>
      </c>
      <c r="N25" s="101">
        <f t="shared" si="10"/>
        <v>4.0999999999999996</v>
      </c>
      <c r="O25" s="101">
        <f t="shared" si="10"/>
        <v>2.7</v>
      </c>
      <c r="P25" s="101">
        <f t="shared" si="10"/>
        <v>1.1000000000000001</v>
      </c>
      <c r="Q25" s="101">
        <f t="shared" si="10"/>
        <v>3.1</v>
      </c>
      <c r="R25" s="101">
        <f t="shared" si="10"/>
        <v>0</v>
      </c>
      <c r="S25" s="77"/>
      <c r="T25" s="101">
        <f t="shared" si="12"/>
        <v>4.1999999999999993</v>
      </c>
      <c r="U25" s="101">
        <f t="shared" si="7"/>
        <v>32</v>
      </c>
      <c r="V25" s="102">
        <f t="shared" si="8"/>
        <v>1.6</v>
      </c>
      <c r="W25" s="103">
        <f t="shared" si="9"/>
        <v>1753500</v>
      </c>
      <c r="X25" s="104" t="s">
        <v>92</v>
      </c>
    </row>
    <row r="26" spans="1:24" s="75" customFormat="1" ht="12">
      <c r="A26" s="73">
        <f t="shared" si="4"/>
        <v>17</v>
      </c>
      <c r="B26" s="76" t="s">
        <v>1958</v>
      </c>
      <c r="C26" s="98" t="s">
        <v>1819</v>
      </c>
      <c r="D26" s="99" t="s">
        <v>1374</v>
      </c>
      <c r="E26" s="78" t="s">
        <v>1964</v>
      </c>
      <c r="F26" s="74"/>
      <c r="G26" s="79"/>
      <c r="H26" s="79"/>
      <c r="I26" s="78" t="s">
        <v>1965</v>
      </c>
      <c r="J26" s="101">
        <f t="shared" si="10"/>
        <v>3.1</v>
      </c>
      <c r="K26" s="101">
        <f t="shared" si="10"/>
        <v>3.5</v>
      </c>
      <c r="L26" s="101">
        <f t="shared" si="10"/>
        <v>3.6</v>
      </c>
      <c r="M26" s="101">
        <f t="shared" si="10"/>
        <v>6.6</v>
      </c>
      <c r="N26" s="101">
        <f t="shared" si="10"/>
        <v>4.0999999999999996</v>
      </c>
      <c r="O26" s="101">
        <f t="shared" si="10"/>
        <v>2.7</v>
      </c>
      <c r="P26" s="101">
        <f t="shared" si="10"/>
        <v>1.1000000000000001</v>
      </c>
      <c r="Q26" s="101">
        <f t="shared" si="10"/>
        <v>3.1</v>
      </c>
      <c r="R26" s="101">
        <f t="shared" si="10"/>
        <v>0</v>
      </c>
      <c r="S26" s="77"/>
      <c r="T26" s="101">
        <f t="shared" si="12"/>
        <v>4.1999999999999993</v>
      </c>
      <c r="U26" s="101">
        <f t="shared" si="7"/>
        <v>32</v>
      </c>
      <c r="V26" s="102">
        <f t="shared" si="8"/>
        <v>1.6</v>
      </c>
      <c r="W26" s="103">
        <f t="shared" si="9"/>
        <v>1753500</v>
      </c>
      <c r="X26" s="104" t="s">
        <v>92</v>
      </c>
    </row>
    <row r="27" spans="1:24" s="75" customFormat="1" ht="12">
      <c r="A27" s="73">
        <f t="shared" si="4"/>
        <v>18</v>
      </c>
      <c r="B27" s="76" t="s">
        <v>1958</v>
      </c>
      <c r="C27" s="98" t="s">
        <v>1820</v>
      </c>
      <c r="D27" s="99" t="s">
        <v>1374</v>
      </c>
      <c r="E27" s="78" t="s">
        <v>1964</v>
      </c>
      <c r="F27" s="74"/>
      <c r="G27" s="79"/>
      <c r="H27" s="79"/>
      <c r="I27" s="78" t="s">
        <v>1962</v>
      </c>
      <c r="J27" s="101">
        <f t="shared" si="10"/>
        <v>2.2000000000000002</v>
      </c>
      <c r="K27" s="101">
        <f t="shared" si="10"/>
        <v>2.5</v>
      </c>
      <c r="L27" s="101">
        <f t="shared" si="10"/>
        <v>2.6</v>
      </c>
      <c r="M27" s="101">
        <f t="shared" si="10"/>
        <v>4.6999999999999993</v>
      </c>
      <c r="N27" s="101">
        <f t="shared" si="10"/>
        <v>2.9</v>
      </c>
      <c r="O27" s="101">
        <f t="shared" si="10"/>
        <v>1.9000000000000001</v>
      </c>
      <c r="P27" s="101">
        <f t="shared" si="10"/>
        <v>0.79999999999999993</v>
      </c>
      <c r="Q27" s="101">
        <f t="shared" si="10"/>
        <v>2.2000000000000002</v>
      </c>
      <c r="R27" s="101">
        <f t="shared" si="10"/>
        <v>0</v>
      </c>
      <c r="S27" s="77"/>
      <c r="T27" s="101">
        <f t="shared" si="12"/>
        <v>3</v>
      </c>
      <c r="U27" s="101">
        <f t="shared" si="7"/>
        <v>22.8</v>
      </c>
      <c r="V27" s="102">
        <f t="shared" si="8"/>
        <v>1.1400000000000001</v>
      </c>
      <c r="W27" s="103">
        <f t="shared" si="9"/>
        <v>1249500</v>
      </c>
      <c r="X27" s="104" t="s">
        <v>92</v>
      </c>
    </row>
    <row r="28" spans="1:24" s="75" customFormat="1" ht="12">
      <c r="A28" s="73">
        <f t="shared" si="4"/>
        <v>19</v>
      </c>
      <c r="B28" s="76" t="s">
        <v>1958</v>
      </c>
      <c r="C28" s="98" t="s">
        <v>1821</v>
      </c>
      <c r="D28" s="99" t="s">
        <v>1374</v>
      </c>
      <c r="E28" s="78" t="s">
        <v>1964</v>
      </c>
      <c r="F28" s="74"/>
      <c r="G28" s="79"/>
      <c r="H28" s="79"/>
      <c r="I28" s="78" t="s">
        <v>1962</v>
      </c>
      <c r="J28" s="101">
        <f t="shared" ref="J28:R43" si="13">ROUNDUP(IF($E28="画面",画面係数,IF($E28="帳票",帳票係数,IF($E28="バッチ",バッチ係数,0))) *
 IF($I28="特高",特高係数,IF($I28="高",高係数,IF($I28="中",中係数,IF($I28="低",低係数,IF($I28="特低",特低係数,0)))))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2.2000000000000002</v>
      </c>
      <c r="K28" s="101">
        <f t="shared" si="13"/>
        <v>2.5</v>
      </c>
      <c r="L28" s="101">
        <f t="shared" si="13"/>
        <v>2.6</v>
      </c>
      <c r="M28" s="101">
        <f t="shared" si="13"/>
        <v>4.6999999999999993</v>
      </c>
      <c r="N28" s="101">
        <f t="shared" si="13"/>
        <v>2.9</v>
      </c>
      <c r="O28" s="101">
        <f t="shared" si="13"/>
        <v>1.9000000000000001</v>
      </c>
      <c r="P28" s="101">
        <f t="shared" si="13"/>
        <v>0.79999999999999993</v>
      </c>
      <c r="Q28" s="101">
        <f t="shared" si="13"/>
        <v>2.2000000000000002</v>
      </c>
      <c r="R28" s="101">
        <f t="shared" si="13"/>
        <v>0</v>
      </c>
      <c r="S28" s="77"/>
      <c r="T28" s="101">
        <f t="shared" si="12"/>
        <v>3</v>
      </c>
      <c r="U28" s="101">
        <f t="shared" si="7"/>
        <v>22.8</v>
      </c>
      <c r="V28" s="102">
        <f t="shared" si="8"/>
        <v>1.1400000000000001</v>
      </c>
      <c r="W28" s="103">
        <f t="shared" si="9"/>
        <v>1249500</v>
      </c>
      <c r="X28" s="104" t="s">
        <v>92</v>
      </c>
    </row>
    <row r="29" spans="1:24" s="75" customFormat="1" ht="12">
      <c r="A29" s="73">
        <f t="shared" si="4"/>
        <v>20</v>
      </c>
      <c r="B29" s="76" t="s">
        <v>1958</v>
      </c>
      <c r="C29" s="98" t="s">
        <v>1822</v>
      </c>
      <c r="D29" s="99" t="s">
        <v>1374</v>
      </c>
      <c r="E29" s="78" t="s">
        <v>1964</v>
      </c>
      <c r="F29" s="74"/>
      <c r="G29" s="79"/>
      <c r="H29" s="79"/>
      <c r="I29" s="78" t="s">
        <v>1965</v>
      </c>
      <c r="J29" s="101">
        <f t="shared" si="13"/>
        <v>3.1</v>
      </c>
      <c r="K29" s="101">
        <f t="shared" si="13"/>
        <v>3.5</v>
      </c>
      <c r="L29" s="101">
        <f t="shared" si="13"/>
        <v>3.6</v>
      </c>
      <c r="M29" s="101">
        <f t="shared" si="13"/>
        <v>6.6</v>
      </c>
      <c r="N29" s="101">
        <f t="shared" si="13"/>
        <v>4.0999999999999996</v>
      </c>
      <c r="O29" s="101">
        <f t="shared" si="13"/>
        <v>2.7</v>
      </c>
      <c r="P29" s="101">
        <f t="shared" si="13"/>
        <v>1.1000000000000001</v>
      </c>
      <c r="Q29" s="101">
        <f t="shared" si="13"/>
        <v>3.1</v>
      </c>
      <c r="R29" s="101">
        <f t="shared" si="13"/>
        <v>0</v>
      </c>
      <c r="S29" s="77"/>
      <c r="T29" s="101">
        <f t="shared" ref="T29" si="14">ROUNDUP(SUM(J29:S29)*T$8,1)</f>
        <v>4.1999999999999993</v>
      </c>
      <c r="U29" s="101">
        <f t="shared" si="7"/>
        <v>32</v>
      </c>
      <c r="V29" s="102">
        <f t="shared" si="8"/>
        <v>1.6</v>
      </c>
      <c r="W29" s="103">
        <f t="shared" si="9"/>
        <v>1753500</v>
      </c>
      <c r="X29" s="104" t="s">
        <v>92</v>
      </c>
    </row>
    <row r="30" spans="1:24" s="75" customFormat="1" ht="12">
      <c r="A30" s="73">
        <f t="shared" si="4"/>
        <v>21</v>
      </c>
      <c r="B30" s="76" t="s">
        <v>1958</v>
      </c>
      <c r="C30" s="98" t="s">
        <v>1823</v>
      </c>
      <c r="D30" s="99" t="s">
        <v>1374</v>
      </c>
      <c r="E30" s="78" t="s">
        <v>1964</v>
      </c>
      <c r="F30" s="78"/>
      <c r="G30" s="79"/>
      <c r="H30" s="79"/>
      <c r="I30" s="78" t="s">
        <v>1962</v>
      </c>
      <c r="J30" s="101">
        <f t="shared" si="13"/>
        <v>2.2000000000000002</v>
      </c>
      <c r="K30" s="101">
        <f t="shared" si="13"/>
        <v>2.5</v>
      </c>
      <c r="L30" s="101">
        <f t="shared" si="13"/>
        <v>2.6</v>
      </c>
      <c r="M30" s="101">
        <f t="shared" si="13"/>
        <v>4.6999999999999993</v>
      </c>
      <c r="N30" s="101">
        <f t="shared" si="13"/>
        <v>2.9</v>
      </c>
      <c r="O30" s="101">
        <f t="shared" si="13"/>
        <v>1.9000000000000001</v>
      </c>
      <c r="P30" s="101">
        <f t="shared" si="13"/>
        <v>0.79999999999999993</v>
      </c>
      <c r="Q30" s="101">
        <f t="shared" si="13"/>
        <v>2.2000000000000002</v>
      </c>
      <c r="R30" s="101">
        <f t="shared" si="13"/>
        <v>0</v>
      </c>
      <c r="S30" s="77"/>
      <c r="T30" s="101">
        <f t="shared" ref="T30:T45" si="15">ROUNDUP(SUM(J30:S30)*T$8,1)</f>
        <v>3</v>
      </c>
      <c r="U30" s="101">
        <f t="shared" si="7"/>
        <v>22.8</v>
      </c>
      <c r="V30" s="102">
        <f t="shared" si="8"/>
        <v>1.1400000000000001</v>
      </c>
      <c r="W30" s="103">
        <f t="shared" si="9"/>
        <v>1249500</v>
      </c>
      <c r="X30" s="104" t="s">
        <v>92</v>
      </c>
    </row>
    <row r="31" spans="1:24" s="75" customFormat="1" ht="12">
      <c r="A31" s="73">
        <f t="shared" si="4"/>
        <v>22</v>
      </c>
      <c r="B31" s="76" t="s">
        <v>1958</v>
      </c>
      <c r="C31" s="98" t="s">
        <v>1824</v>
      </c>
      <c r="D31" s="99" t="s">
        <v>1374</v>
      </c>
      <c r="E31" s="78" t="s">
        <v>1964</v>
      </c>
      <c r="F31" s="78"/>
      <c r="G31" s="79"/>
      <c r="H31" s="79"/>
      <c r="I31" s="78" t="s">
        <v>1962</v>
      </c>
      <c r="J31" s="101">
        <f t="shared" si="13"/>
        <v>2.2000000000000002</v>
      </c>
      <c r="K31" s="101">
        <f t="shared" si="13"/>
        <v>2.5</v>
      </c>
      <c r="L31" s="101">
        <f t="shared" si="13"/>
        <v>2.6</v>
      </c>
      <c r="M31" s="101">
        <f t="shared" si="13"/>
        <v>4.6999999999999993</v>
      </c>
      <c r="N31" s="101">
        <f t="shared" si="13"/>
        <v>2.9</v>
      </c>
      <c r="O31" s="101">
        <f t="shared" si="13"/>
        <v>1.9000000000000001</v>
      </c>
      <c r="P31" s="101">
        <f t="shared" si="13"/>
        <v>0.79999999999999993</v>
      </c>
      <c r="Q31" s="101">
        <f t="shared" si="13"/>
        <v>2.2000000000000002</v>
      </c>
      <c r="R31" s="101">
        <f t="shared" si="13"/>
        <v>0</v>
      </c>
      <c r="S31" s="77"/>
      <c r="T31" s="101">
        <f t="shared" si="15"/>
        <v>3</v>
      </c>
      <c r="U31" s="101">
        <f t="shared" si="7"/>
        <v>22.8</v>
      </c>
      <c r="V31" s="102">
        <f t="shared" si="8"/>
        <v>1.1400000000000001</v>
      </c>
      <c r="W31" s="103">
        <f t="shared" si="9"/>
        <v>1249500</v>
      </c>
      <c r="X31" s="104" t="s">
        <v>92</v>
      </c>
    </row>
    <row r="32" spans="1:24" s="75" customFormat="1" ht="12">
      <c r="A32" s="73">
        <f t="shared" si="4"/>
        <v>23</v>
      </c>
      <c r="B32" s="76" t="s">
        <v>1958</v>
      </c>
      <c r="C32" s="98" t="s">
        <v>1825</v>
      </c>
      <c r="D32" s="99" t="s">
        <v>1387</v>
      </c>
      <c r="E32" s="78" t="s">
        <v>1964</v>
      </c>
      <c r="F32" s="78"/>
      <c r="G32" s="79"/>
      <c r="H32" s="79"/>
      <c r="I32" s="78" t="s">
        <v>1965</v>
      </c>
      <c r="J32" s="101">
        <f t="shared" si="13"/>
        <v>3.1</v>
      </c>
      <c r="K32" s="101">
        <f t="shared" si="13"/>
        <v>3.5</v>
      </c>
      <c r="L32" s="101">
        <f t="shared" si="13"/>
        <v>3.6</v>
      </c>
      <c r="M32" s="101">
        <f t="shared" si="13"/>
        <v>6.6</v>
      </c>
      <c r="N32" s="101">
        <f t="shared" si="13"/>
        <v>4.0999999999999996</v>
      </c>
      <c r="O32" s="101">
        <f t="shared" si="13"/>
        <v>2.7</v>
      </c>
      <c r="P32" s="101">
        <f t="shared" si="13"/>
        <v>1.1000000000000001</v>
      </c>
      <c r="Q32" s="101">
        <f t="shared" si="13"/>
        <v>3.1</v>
      </c>
      <c r="R32" s="101">
        <f t="shared" si="13"/>
        <v>0</v>
      </c>
      <c r="S32" s="77"/>
      <c r="T32" s="101">
        <f t="shared" si="15"/>
        <v>4.1999999999999993</v>
      </c>
      <c r="U32" s="101">
        <f t="shared" si="7"/>
        <v>32</v>
      </c>
      <c r="V32" s="102">
        <f t="shared" si="8"/>
        <v>1.6</v>
      </c>
      <c r="W32" s="103">
        <f t="shared" si="9"/>
        <v>1753500</v>
      </c>
      <c r="X32" s="104" t="s">
        <v>92</v>
      </c>
    </row>
    <row r="33" spans="1:24" s="75" customFormat="1" ht="12">
      <c r="A33" s="73">
        <f t="shared" si="4"/>
        <v>24</v>
      </c>
      <c r="B33" s="76" t="s">
        <v>1958</v>
      </c>
      <c r="C33" s="98" t="s">
        <v>1826</v>
      </c>
      <c r="D33" s="99" t="s">
        <v>1387</v>
      </c>
      <c r="E33" s="78" t="s">
        <v>1964</v>
      </c>
      <c r="F33" s="74"/>
      <c r="G33" s="79"/>
      <c r="H33" s="79"/>
      <c r="I33" s="78" t="s">
        <v>1965</v>
      </c>
      <c r="J33" s="101">
        <f t="shared" si="13"/>
        <v>3.1</v>
      </c>
      <c r="K33" s="101">
        <f t="shared" si="13"/>
        <v>3.5</v>
      </c>
      <c r="L33" s="101">
        <f t="shared" si="13"/>
        <v>3.6</v>
      </c>
      <c r="M33" s="101">
        <f t="shared" si="13"/>
        <v>6.6</v>
      </c>
      <c r="N33" s="101">
        <f t="shared" si="13"/>
        <v>4.0999999999999996</v>
      </c>
      <c r="O33" s="101">
        <f t="shared" si="13"/>
        <v>2.7</v>
      </c>
      <c r="P33" s="101">
        <f t="shared" si="13"/>
        <v>1.1000000000000001</v>
      </c>
      <c r="Q33" s="101">
        <f t="shared" si="13"/>
        <v>3.1</v>
      </c>
      <c r="R33" s="101">
        <f t="shared" si="13"/>
        <v>0</v>
      </c>
      <c r="S33" s="77"/>
      <c r="T33" s="101">
        <f t="shared" si="15"/>
        <v>4.1999999999999993</v>
      </c>
      <c r="U33" s="101">
        <f t="shared" si="7"/>
        <v>32</v>
      </c>
      <c r="V33" s="102">
        <f t="shared" si="8"/>
        <v>1.6</v>
      </c>
      <c r="W33" s="103">
        <f t="shared" si="9"/>
        <v>1753500</v>
      </c>
      <c r="X33" s="104" t="s">
        <v>92</v>
      </c>
    </row>
    <row r="34" spans="1:24" s="75" customFormat="1" ht="12">
      <c r="A34" s="73">
        <f t="shared" si="4"/>
        <v>25</v>
      </c>
      <c r="B34" s="76" t="s">
        <v>1958</v>
      </c>
      <c r="C34" s="98" t="s">
        <v>1827</v>
      </c>
      <c r="D34" s="99" t="s">
        <v>1392</v>
      </c>
      <c r="E34" s="78" t="s">
        <v>1964</v>
      </c>
      <c r="F34" s="74"/>
      <c r="G34" s="79"/>
      <c r="H34" s="79"/>
      <c r="I34" s="78" t="s">
        <v>1965</v>
      </c>
      <c r="J34" s="101">
        <f t="shared" si="13"/>
        <v>3.1</v>
      </c>
      <c r="K34" s="101">
        <f t="shared" si="13"/>
        <v>3.5</v>
      </c>
      <c r="L34" s="101">
        <f t="shared" si="13"/>
        <v>3.6</v>
      </c>
      <c r="M34" s="101">
        <f t="shared" si="13"/>
        <v>6.6</v>
      </c>
      <c r="N34" s="101">
        <f t="shared" si="13"/>
        <v>4.0999999999999996</v>
      </c>
      <c r="O34" s="101">
        <f t="shared" si="13"/>
        <v>2.7</v>
      </c>
      <c r="P34" s="101">
        <f t="shared" si="13"/>
        <v>1.1000000000000001</v>
      </c>
      <c r="Q34" s="101">
        <f t="shared" si="13"/>
        <v>3.1</v>
      </c>
      <c r="R34" s="101">
        <f t="shared" si="13"/>
        <v>0</v>
      </c>
      <c r="S34" s="77"/>
      <c r="T34" s="101">
        <f t="shared" si="15"/>
        <v>4.1999999999999993</v>
      </c>
      <c r="U34" s="101">
        <f t="shared" si="7"/>
        <v>32</v>
      </c>
      <c r="V34" s="102">
        <f t="shared" si="8"/>
        <v>1.6</v>
      </c>
      <c r="W34" s="103">
        <f t="shared" si="9"/>
        <v>1753500</v>
      </c>
      <c r="X34" s="104" t="s">
        <v>92</v>
      </c>
    </row>
    <row r="35" spans="1:24" s="75" customFormat="1" ht="12">
      <c r="A35" s="73">
        <f t="shared" si="4"/>
        <v>26</v>
      </c>
      <c r="B35" s="76" t="s">
        <v>1958</v>
      </c>
      <c r="C35" s="98" t="s">
        <v>1828</v>
      </c>
      <c r="D35" s="99" t="s">
        <v>1387</v>
      </c>
      <c r="E35" s="78" t="s">
        <v>1964</v>
      </c>
      <c r="F35" s="74"/>
      <c r="G35" s="79"/>
      <c r="H35" s="79"/>
      <c r="I35" s="78" t="s">
        <v>1962</v>
      </c>
      <c r="J35" s="101">
        <f t="shared" si="13"/>
        <v>2.2000000000000002</v>
      </c>
      <c r="K35" s="101">
        <f t="shared" si="13"/>
        <v>2.5</v>
      </c>
      <c r="L35" s="101">
        <f t="shared" si="13"/>
        <v>2.6</v>
      </c>
      <c r="M35" s="101">
        <f t="shared" si="13"/>
        <v>4.6999999999999993</v>
      </c>
      <c r="N35" s="101">
        <f t="shared" si="13"/>
        <v>2.9</v>
      </c>
      <c r="O35" s="101">
        <f t="shared" si="13"/>
        <v>1.9000000000000001</v>
      </c>
      <c r="P35" s="101">
        <f t="shared" si="13"/>
        <v>0.79999999999999993</v>
      </c>
      <c r="Q35" s="101">
        <f t="shared" si="13"/>
        <v>2.2000000000000002</v>
      </c>
      <c r="R35" s="101">
        <f t="shared" si="13"/>
        <v>0</v>
      </c>
      <c r="S35" s="77"/>
      <c r="T35" s="101">
        <f t="shared" si="15"/>
        <v>3</v>
      </c>
      <c r="U35" s="101">
        <f t="shared" si="7"/>
        <v>22.8</v>
      </c>
      <c r="V35" s="102">
        <f t="shared" si="8"/>
        <v>1.1400000000000001</v>
      </c>
      <c r="W35" s="103">
        <f t="shared" si="9"/>
        <v>1249500</v>
      </c>
      <c r="X35" s="104" t="s">
        <v>92</v>
      </c>
    </row>
    <row r="36" spans="1:24" s="75" customFormat="1" ht="12">
      <c r="A36" s="73">
        <f t="shared" si="4"/>
        <v>27</v>
      </c>
      <c r="B36" s="76" t="s">
        <v>1958</v>
      </c>
      <c r="C36" s="98" t="s">
        <v>1829</v>
      </c>
      <c r="D36" s="99" t="s">
        <v>1387</v>
      </c>
      <c r="E36" s="78" t="s">
        <v>1964</v>
      </c>
      <c r="F36" s="74"/>
      <c r="G36" s="79"/>
      <c r="H36" s="79"/>
      <c r="I36" s="78" t="s">
        <v>1962</v>
      </c>
      <c r="J36" s="101">
        <f t="shared" si="13"/>
        <v>2.2000000000000002</v>
      </c>
      <c r="K36" s="101">
        <f t="shared" si="13"/>
        <v>2.5</v>
      </c>
      <c r="L36" s="101">
        <f t="shared" si="13"/>
        <v>2.6</v>
      </c>
      <c r="M36" s="101">
        <f t="shared" si="13"/>
        <v>4.6999999999999993</v>
      </c>
      <c r="N36" s="101">
        <f t="shared" si="13"/>
        <v>2.9</v>
      </c>
      <c r="O36" s="101">
        <f t="shared" si="13"/>
        <v>1.9000000000000001</v>
      </c>
      <c r="P36" s="101">
        <f t="shared" si="13"/>
        <v>0.79999999999999993</v>
      </c>
      <c r="Q36" s="101">
        <f t="shared" si="13"/>
        <v>2.2000000000000002</v>
      </c>
      <c r="R36" s="101">
        <f t="shared" si="13"/>
        <v>0</v>
      </c>
      <c r="S36" s="77"/>
      <c r="T36" s="101">
        <f t="shared" si="15"/>
        <v>3</v>
      </c>
      <c r="U36" s="101">
        <f t="shared" si="7"/>
        <v>22.8</v>
      </c>
      <c r="V36" s="102">
        <f t="shared" si="8"/>
        <v>1.1400000000000001</v>
      </c>
      <c r="W36" s="103">
        <f t="shared" si="9"/>
        <v>1249500</v>
      </c>
      <c r="X36" s="104" t="s">
        <v>92</v>
      </c>
    </row>
    <row r="37" spans="1:24" s="75" customFormat="1" ht="12">
      <c r="A37" s="73">
        <f t="shared" si="4"/>
        <v>28</v>
      </c>
      <c r="B37" s="76" t="s">
        <v>1958</v>
      </c>
      <c r="C37" s="98" t="s">
        <v>1397</v>
      </c>
      <c r="D37" s="99" t="s">
        <v>1387</v>
      </c>
      <c r="E37" s="78" t="s">
        <v>1964</v>
      </c>
      <c r="F37" s="74"/>
      <c r="G37" s="79"/>
      <c r="H37" s="79"/>
      <c r="I37" s="78" t="s">
        <v>1965</v>
      </c>
      <c r="J37" s="101">
        <f t="shared" si="13"/>
        <v>3.1</v>
      </c>
      <c r="K37" s="101">
        <f t="shared" si="13"/>
        <v>3.5</v>
      </c>
      <c r="L37" s="101">
        <f t="shared" si="13"/>
        <v>3.6</v>
      </c>
      <c r="M37" s="101">
        <f t="shared" si="13"/>
        <v>6.6</v>
      </c>
      <c r="N37" s="101">
        <f t="shared" si="13"/>
        <v>4.0999999999999996</v>
      </c>
      <c r="O37" s="101">
        <f t="shared" si="13"/>
        <v>2.7</v>
      </c>
      <c r="P37" s="101">
        <f t="shared" si="13"/>
        <v>1.1000000000000001</v>
      </c>
      <c r="Q37" s="101">
        <f t="shared" si="13"/>
        <v>3.1</v>
      </c>
      <c r="R37" s="101">
        <f t="shared" si="13"/>
        <v>0</v>
      </c>
      <c r="S37" s="77"/>
      <c r="T37" s="101">
        <f t="shared" si="15"/>
        <v>4.1999999999999993</v>
      </c>
      <c r="U37" s="101">
        <f t="shared" si="7"/>
        <v>32</v>
      </c>
      <c r="V37" s="102">
        <f t="shared" si="8"/>
        <v>1.6</v>
      </c>
      <c r="W37" s="103">
        <f t="shared" si="9"/>
        <v>1753500</v>
      </c>
      <c r="X37" s="104" t="s">
        <v>92</v>
      </c>
    </row>
    <row r="38" spans="1:24" s="75" customFormat="1" ht="12">
      <c r="A38" s="73">
        <f t="shared" si="4"/>
        <v>29</v>
      </c>
      <c r="B38" s="76" t="s">
        <v>1958</v>
      </c>
      <c r="C38" s="98" t="s">
        <v>1830</v>
      </c>
      <c r="D38" s="99" t="s">
        <v>1387</v>
      </c>
      <c r="E38" s="78" t="s">
        <v>1964</v>
      </c>
      <c r="F38" s="78"/>
      <c r="G38" s="79"/>
      <c r="H38" s="79"/>
      <c r="I38" s="78" t="s">
        <v>1962</v>
      </c>
      <c r="J38" s="101">
        <f t="shared" si="13"/>
        <v>2.2000000000000002</v>
      </c>
      <c r="K38" s="101">
        <f t="shared" si="13"/>
        <v>2.5</v>
      </c>
      <c r="L38" s="101">
        <f t="shared" si="13"/>
        <v>2.6</v>
      </c>
      <c r="M38" s="101">
        <f t="shared" si="13"/>
        <v>4.6999999999999993</v>
      </c>
      <c r="N38" s="101">
        <f t="shared" si="13"/>
        <v>2.9</v>
      </c>
      <c r="O38" s="101">
        <f t="shared" si="13"/>
        <v>1.9000000000000001</v>
      </c>
      <c r="P38" s="101">
        <f t="shared" si="13"/>
        <v>0.79999999999999993</v>
      </c>
      <c r="Q38" s="101">
        <f t="shared" si="13"/>
        <v>2.2000000000000002</v>
      </c>
      <c r="R38" s="101">
        <f t="shared" si="13"/>
        <v>0</v>
      </c>
      <c r="S38" s="77"/>
      <c r="T38" s="101">
        <f t="shared" si="15"/>
        <v>3</v>
      </c>
      <c r="U38" s="101">
        <f t="shared" ref="U38:U63" si="16">SUM(J38:T38)</f>
        <v>22.8</v>
      </c>
      <c r="V38" s="102">
        <f t="shared" ref="V38:V63" si="17">U38/20</f>
        <v>1.1400000000000001</v>
      </c>
      <c r="W38" s="103">
        <f t="shared" ref="W38:W63" si="18">((J38*J$9) + (K38*K$9) + (L38*L$9) + (M38*M$9) + (N38*N$9) + (O38*O$9) + (P38*P$9) + (Q38*Q$9) + (R38*R$9) + (S38*S$9) + (T38*T$9))/20</f>
        <v>1249500</v>
      </c>
      <c r="X38" s="104" t="s">
        <v>92</v>
      </c>
    </row>
    <row r="39" spans="1:24" s="75" customFormat="1" ht="12">
      <c r="A39" s="73">
        <f t="shared" si="4"/>
        <v>30</v>
      </c>
      <c r="B39" s="76" t="s">
        <v>1958</v>
      </c>
      <c r="C39" s="98" t="s">
        <v>1831</v>
      </c>
      <c r="D39" s="99" t="s">
        <v>1387</v>
      </c>
      <c r="E39" s="78" t="s">
        <v>1964</v>
      </c>
      <c r="F39" s="78"/>
      <c r="G39" s="79"/>
      <c r="H39" s="79"/>
      <c r="I39" s="78" t="s">
        <v>1962</v>
      </c>
      <c r="J39" s="101">
        <f t="shared" si="13"/>
        <v>2.2000000000000002</v>
      </c>
      <c r="K39" s="101">
        <f t="shared" si="13"/>
        <v>2.5</v>
      </c>
      <c r="L39" s="101">
        <f t="shared" si="13"/>
        <v>2.6</v>
      </c>
      <c r="M39" s="101">
        <f t="shared" si="13"/>
        <v>4.6999999999999993</v>
      </c>
      <c r="N39" s="101">
        <f t="shared" si="13"/>
        <v>2.9</v>
      </c>
      <c r="O39" s="101">
        <f t="shared" si="13"/>
        <v>1.9000000000000001</v>
      </c>
      <c r="P39" s="101">
        <f t="shared" si="13"/>
        <v>0.79999999999999993</v>
      </c>
      <c r="Q39" s="101">
        <f t="shared" si="13"/>
        <v>2.2000000000000002</v>
      </c>
      <c r="R39" s="101">
        <f t="shared" si="13"/>
        <v>0</v>
      </c>
      <c r="S39" s="77"/>
      <c r="T39" s="101">
        <f t="shared" si="15"/>
        <v>3</v>
      </c>
      <c r="U39" s="101">
        <f t="shared" si="16"/>
        <v>22.8</v>
      </c>
      <c r="V39" s="102">
        <f t="shared" si="17"/>
        <v>1.1400000000000001</v>
      </c>
      <c r="W39" s="103">
        <f t="shared" si="18"/>
        <v>1249500</v>
      </c>
      <c r="X39" s="104" t="s">
        <v>92</v>
      </c>
    </row>
    <row r="40" spans="1:24" s="75" customFormat="1" ht="12">
      <c r="A40" s="73">
        <f t="shared" si="4"/>
        <v>31</v>
      </c>
      <c r="B40" s="76" t="s">
        <v>1958</v>
      </c>
      <c r="C40" s="98" t="s">
        <v>1832</v>
      </c>
      <c r="D40" s="99" t="s">
        <v>1403</v>
      </c>
      <c r="E40" s="78" t="s">
        <v>1964</v>
      </c>
      <c r="F40" s="78"/>
      <c r="G40" s="79"/>
      <c r="H40" s="79"/>
      <c r="I40" s="78" t="s">
        <v>1965</v>
      </c>
      <c r="J40" s="101">
        <f t="shared" si="13"/>
        <v>3.1</v>
      </c>
      <c r="K40" s="101">
        <f t="shared" si="13"/>
        <v>3.5</v>
      </c>
      <c r="L40" s="101">
        <f t="shared" si="13"/>
        <v>3.6</v>
      </c>
      <c r="M40" s="101">
        <f t="shared" si="13"/>
        <v>6.6</v>
      </c>
      <c r="N40" s="101">
        <f t="shared" si="13"/>
        <v>4.0999999999999996</v>
      </c>
      <c r="O40" s="101">
        <f t="shared" si="13"/>
        <v>2.7</v>
      </c>
      <c r="P40" s="101">
        <f t="shared" si="13"/>
        <v>1.1000000000000001</v>
      </c>
      <c r="Q40" s="101">
        <f t="shared" si="13"/>
        <v>3.1</v>
      </c>
      <c r="R40" s="101">
        <f t="shared" si="13"/>
        <v>0</v>
      </c>
      <c r="S40" s="77"/>
      <c r="T40" s="101">
        <f t="shared" si="15"/>
        <v>4.1999999999999993</v>
      </c>
      <c r="U40" s="101">
        <f t="shared" si="16"/>
        <v>32</v>
      </c>
      <c r="V40" s="102">
        <f t="shared" si="17"/>
        <v>1.6</v>
      </c>
      <c r="W40" s="103">
        <f t="shared" si="18"/>
        <v>1753500</v>
      </c>
      <c r="X40" s="104" t="s">
        <v>92</v>
      </c>
    </row>
    <row r="41" spans="1:24" s="75" customFormat="1" ht="12">
      <c r="A41" s="73">
        <f t="shared" si="4"/>
        <v>32</v>
      </c>
      <c r="B41" s="76" t="s">
        <v>1958</v>
      </c>
      <c r="C41" s="98" t="s">
        <v>1833</v>
      </c>
      <c r="D41" s="99" t="s">
        <v>1403</v>
      </c>
      <c r="E41" s="78" t="s">
        <v>1964</v>
      </c>
      <c r="F41" s="74"/>
      <c r="G41" s="79"/>
      <c r="H41" s="79"/>
      <c r="I41" s="78" t="s">
        <v>1965</v>
      </c>
      <c r="J41" s="101">
        <f t="shared" si="13"/>
        <v>3.1</v>
      </c>
      <c r="K41" s="101">
        <f t="shared" si="13"/>
        <v>3.5</v>
      </c>
      <c r="L41" s="101">
        <f t="shared" si="13"/>
        <v>3.6</v>
      </c>
      <c r="M41" s="101">
        <f t="shared" si="13"/>
        <v>6.6</v>
      </c>
      <c r="N41" s="101">
        <f t="shared" si="13"/>
        <v>4.0999999999999996</v>
      </c>
      <c r="O41" s="101">
        <f t="shared" si="13"/>
        <v>2.7</v>
      </c>
      <c r="P41" s="101">
        <f t="shared" si="13"/>
        <v>1.1000000000000001</v>
      </c>
      <c r="Q41" s="101">
        <f t="shared" si="13"/>
        <v>3.1</v>
      </c>
      <c r="R41" s="101">
        <f t="shared" si="13"/>
        <v>0</v>
      </c>
      <c r="S41" s="77"/>
      <c r="T41" s="101">
        <f t="shared" si="15"/>
        <v>4.1999999999999993</v>
      </c>
      <c r="U41" s="101">
        <f t="shared" si="16"/>
        <v>32</v>
      </c>
      <c r="V41" s="102">
        <f t="shared" si="17"/>
        <v>1.6</v>
      </c>
      <c r="W41" s="103">
        <f t="shared" si="18"/>
        <v>1753500</v>
      </c>
      <c r="X41" s="104" t="s">
        <v>92</v>
      </c>
    </row>
    <row r="42" spans="1:24" s="75" customFormat="1" ht="12">
      <c r="A42" s="73">
        <f t="shared" si="4"/>
        <v>33</v>
      </c>
      <c r="B42" s="76" t="s">
        <v>1958</v>
      </c>
      <c r="C42" s="98" t="s">
        <v>1834</v>
      </c>
      <c r="D42" s="99" t="s">
        <v>1403</v>
      </c>
      <c r="E42" s="78" t="s">
        <v>1964</v>
      </c>
      <c r="F42" s="74"/>
      <c r="G42" s="79"/>
      <c r="H42" s="79"/>
      <c r="I42" s="78" t="s">
        <v>1965</v>
      </c>
      <c r="J42" s="101">
        <f t="shared" si="13"/>
        <v>3.1</v>
      </c>
      <c r="K42" s="101">
        <f t="shared" si="13"/>
        <v>3.5</v>
      </c>
      <c r="L42" s="101">
        <f t="shared" si="13"/>
        <v>3.6</v>
      </c>
      <c r="M42" s="101">
        <f t="shared" si="13"/>
        <v>6.6</v>
      </c>
      <c r="N42" s="101">
        <f t="shared" si="13"/>
        <v>4.0999999999999996</v>
      </c>
      <c r="O42" s="101">
        <f t="shared" si="13"/>
        <v>2.7</v>
      </c>
      <c r="P42" s="101">
        <f t="shared" si="13"/>
        <v>1.1000000000000001</v>
      </c>
      <c r="Q42" s="101">
        <f t="shared" si="13"/>
        <v>3.1</v>
      </c>
      <c r="R42" s="101">
        <f t="shared" si="13"/>
        <v>0</v>
      </c>
      <c r="S42" s="77"/>
      <c r="T42" s="101">
        <f t="shared" si="15"/>
        <v>4.1999999999999993</v>
      </c>
      <c r="U42" s="101">
        <f t="shared" si="16"/>
        <v>32</v>
      </c>
      <c r="V42" s="102">
        <f t="shared" si="17"/>
        <v>1.6</v>
      </c>
      <c r="W42" s="103">
        <f t="shared" si="18"/>
        <v>1753500</v>
      </c>
      <c r="X42" s="104" t="s">
        <v>92</v>
      </c>
    </row>
    <row r="43" spans="1:24" s="75" customFormat="1" ht="12">
      <c r="A43" s="73">
        <f t="shared" si="4"/>
        <v>34</v>
      </c>
      <c r="B43" s="76" t="s">
        <v>1958</v>
      </c>
      <c r="C43" s="98" t="s">
        <v>1835</v>
      </c>
      <c r="D43" s="99" t="s">
        <v>1403</v>
      </c>
      <c r="E43" s="78" t="s">
        <v>1964</v>
      </c>
      <c r="F43" s="74"/>
      <c r="G43" s="79"/>
      <c r="H43" s="79"/>
      <c r="I43" s="78" t="s">
        <v>1965</v>
      </c>
      <c r="J43" s="101">
        <f t="shared" si="13"/>
        <v>3.1</v>
      </c>
      <c r="K43" s="101">
        <f t="shared" si="13"/>
        <v>3.5</v>
      </c>
      <c r="L43" s="101">
        <f t="shared" si="13"/>
        <v>3.6</v>
      </c>
      <c r="M43" s="101">
        <f t="shared" si="13"/>
        <v>6.6</v>
      </c>
      <c r="N43" s="101">
        <f t="shared" si="13"/>
        <v>4.0999999999999996</v>
      </c>
      <c r="O43" s="101">
        <f t="shared" si="13"/>
        <v>2.7</v>
      </c>
      <c r="P43" s="101">
        <f t="shared" si="13"/>
        <v>1.1000000000000001</v>
      </c>
      <c r="Q43" s="101">
        <f t="shared" si="13"/>
        <v>3.1</v>
      </c>
      <c r="R43" s="101">
        <f t="shared" si="13"/>
        <v>0</v>
      </c>
      <c r="S43" s="77"/>
      <c r="T43" s="101">
        <f t="shared" si="15"/>
        <v>4.1999999999999993</v>
      </c>
      <c r="U43" s="101">
        <f t="shared" si="16"/>
        <v>32</v>
      </c>
      <c r="V43" s="102">
        <f t="shared" si="17"/>
        <v>1.6</v>
      </c>
      <c r="W43" s="103">
        <f t="shared" si="18"/>
        <v>1753500</v>
      </c>
      <c r="X43" s="104" t="s">
        <v>92</v>
      </c>
    </row>
    <row r="44" spans="1:24" s="75" customFormat="1" ht="12">
      <c r="A44" s="73">
        <f t="shared" si="4"/>
        <v>35</v>
      </c>
      <c r="B44" s="76" t="s">
        <v>1958</v>
      </c>
      <c r="C44" s="98" t="s">
        <v>1836</v>
      </c>
      <c r="D44" s="99" t="s">
        <v>1403</v>
      </c>
      <c r="E44" s="78" t="s">
        <v>1964</v>
      </c>
      <c r="F44" s="74"/>
      <c r="G44" s="79"/>
      <c r="H44" s="79"/>
      <c r="I44" s="78" t="s">
        <v>1965</v>
      </c>
      <c r="J44" s="101">
        <f t="shared" ref="J44:R59" si="19">ROUNDUP(IF($E44="画面",画面係数,IF($E44="帳票",帳票係数,IF($E44="バッチ",バッチ係数,0))) *
 IF($I44="特高",特高係数,IF($I44="高",高係数,IF($I44="中",中係数,IF($I44="低",低係数,IF($I44="特低",特低係数,0)))))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3.1</v>
      </c>
      <c r="K44" s="101">
        <f t="shared" si="19"/>
        <v>3.5</v>
      </c>
      <c r="L44" s="101">
        <f t="shared" si="19"/>
        <v>3.6</v>
      </c>
      <c r="M44" s="101">
        <f t="shared" si="19"/>
        <v>6.6</v>
      </c>
      <c r="N44" s="101">
        <f t="shared" si="19"/>
        <v>4.0999999999999996</v>
      </c>
      <c r="O44" s="101">
        <f t="shared" si="19"/>
        <v>2.7</v>
      </c>
      <c r="P44" s="101">
        <f t="shared" si="19"/>
        <v>1.1000000000000001</v>
      </c>
      <c r="Q44" s="101">
        <f t="shared" si="19"/>
        <v>3.1</v>
      </c>
      <c r="R44" s="101">
        <f t="shared" si="19"/>
        <v>0</v>
      </c>
      <c r="S44" s="77"/>
      <c r="T44" s="101">
        <f t="shared" si="15"/>
        <v>4.1999999999999993</v>
      </c>
      <c r="U44" s="101">
        <f t="shared" si="16"/>
        <v>32</v>
      </c>
      <c r="V44" s="102">
        <f t="shared" si="17"/>
        <v>1.6</v>
      </c>
      <c r="W44" s="103">
        <f t="shared" si="18"/>
        <v>1753500</v>
      </c>
      <c r="X44" s="104" t="s">
        <v>92</v>
      </c>
    </row>
    <row r="45" spans="1:24" s="75" customFormat="1" ht="12">
      <c r="A45" s="73">
        <f t="shared" si="4"/>
        <v>36</v>
      </c>
      <c r="B45" s="76" t="s">
        <v>1958</v>
      </c>
      <c r="C45" s="98" t="s">
        <v>1837</v>
      </c>
      <c r="D45" s="99" t="s">
        <v>1403</v>
      </c>
      <c r="E45" s="78" t="s">
        <v>1964</v>
      </c>
      <c r="F45" s="74"/>
      <c r="G45" s="79"/>
      <c r="H45" s="79"/>
      <c r="I45" s="78" t="s">
        <v>1962</v>
      </c>
      <c r="J45" s="101">
        <f t="shared" si="19"/>
        <v>2.2000000000000002</v>
      </c>
      <c r="K45" s="101">
        <f t="shared" si="19"/>
        <v>2.5</v>
      </c>
      <c r="L45" s="101">
        <f t="shared" si="19"/>
        <v>2.6</v>
      </c>
      <c r="M45" s="101">
        <f t="shared" si="19"/>
        <v>4.6999999999999993</v>
      </c>
      <c r="N45" s="101">
        <f t="shared" si="19"/>
        <v>2.9</v>
      </c>
      <c r="O45" s="101">
        <f t="shared" si="19"/>
        <v>1.9000000000000001</v>
      </c>
      <c r="P45" s="101">
        <f t="shared" si="19"/>
        <v>0.79999999999999993</v>
      </c>
      <c r="Q45" s="101">
        <f t="shared" si="19"/>
        <v>2.2000000000000002</v>
      </c>
      <c r="R45" s="101">
        <f t="shared" si="19"/>
        <v>0</v>
      </c>
      <c r="S45" s="77"/>
      <c r="T45" s="101">
        <f t="shared" si="15"/>
        <v>3</v>
      </c>
      <c r="U45" s="101">
        <f t="shared" si="16"/>
        <v>22.8</v>
      </c>
      <c r="V45" s="102">
        <f t="shared" si="17"/>
        <v>1.1400000000000001</v>
      </c>
      <c r="W45" s="103">
        <f t="shared" si="18"/>
        <v>1249500</v>
      </c>
      <c r="X45" s="104" t="s">
        <v>92</v>
      </c>
    </row>
    <row r="46" spans="1:24" s="75" customFormat="1" ht="12">
      <c r="A46" s="73">
        <f t="shared" si="4"/>
        <v>37</v>
      </c>
      <c r="B46" s="76" t="s">
        <v>1958</v>
      </c>
      <c r="C46" s="98" t="s">
        <v>1838</v>
      </c>
      <c r="D46" s="99" t="s">
        <v>1839</v>
      </c>
      <c r="E46" s="78" t="s">
        <v>1964</v>
      </c>
      <c r="F46" s="74"/>
      <c r="G46" s="79"/>
      <c r="H46" s="79"/>
      <c r="I46" s="78" t="s">
        <v>1965</v>
      </c>
      <c r="J46" s="101">
        <f t="shared" si="19"/>
        <v>3.1</v>
      </c>
      <c r="K46" s="101">
        <f t="shared" si="19"/>
        <v>3.5</v>
      </c>
      <c r="L46" s="101">
        <f t="shared" si="19"/>
        <v>3.6</v>
      </c>
      <c r="M46" s="101">
        <f t="shared" si="19"/>
        <v>6.6</v>
      </c>
      <c r="N46" s="101">
        <f t="shared" si="19"/>
        <v>4.0999999999999996</v>
      </c>
      <c r="O46" s="101">
        <f t="shared" si="19"/>
        <v>2.7</v>
      </c>
      <c r="P46" s="101">
        <f t="shared" si="19"/>
        <v>1.1000000000000001</v>
      </c>
      <c r="Q46" s="101">
        <f t="shared" si="19"/>
        <v>3.1</v>
      </c>
      <c r="R46" s="101">
        <f t="shared" si="19"/>
        <v>0</v>
      </c>
      <c r="S46" s="77"/>
      <c r="T46" s="101">
        <f t="shared" ref="T46" si="20">ROUNDUP(SUM(J46:S46)*T$8,1)</f>
        <v>4.1999999999999993</v>
      </c>
      <c r="U46" s="101">
        <f t="shared" si="16"/>
        <v>32</v>
      </c>
      <c r="V46" s="102">
        <f t="shared" si="17"/>
        <v>1.6</v>
      </c>
      <c r="W46" s="103">
        <f t="shared" si="18"/>
        <v>1753500</v>
      </c>
      <c r="X46" s="104" t="s">
        <v>92</v>
      </c>
    </row>
    <row r="47" spans="1:24" s="75" customFormat="1" ht="12">
      <c r="A47" s="73">
        <f t="shared" si="4"/>
        <v>38</v>
      </c>
      <c r="B47" s="76" t="s">
        <v>1958</v>
      </c>
      <c r="C47" s="98" t="s">
        <v>1840</v>
      </c>
      <c r="D47" s="99" t="s">
        <v>1841</v>
      </c>
      <c r="E47" s="78" t="s">
        <v>1964</v>
      </c>
      <c r="F47" s="78"/>
      <c r="G47" s="79"/>
      <c r="H47" s="79"/>
      <c r="I47" s="78" t="s">
        <v>1965</v>
      </c>
      <c r="J47" s="101">
        <f t="shared" si="19"/>
        <v>3.1</v>
      </c>
      <c r="K47" s="101">
        <f t="shared" si="19"/>
        <v>3.5</v>
      </c>
      <c r="L47" s="101">
        <f t="shared" si="19"/>
        <v>3.6</v>
      </c>
      <c r="M47" s="101">
        <f t="shared" si="19"/>
        <v>6.6</v>
      </c>
      <c r="N47" s="101">
        <f t="shared" si="19"/>
        <v>4.0999999999999996</v>
      </c>
      <c r="O47" s="101">
        <f t="shared" si="19"/>
        <v>2.7</v>
      </c>
      <c r="P47" s="101">
        <f t="shared" si="19"/>
        <v>1.1000000000000001</v>
      </c>
      <c r="Q47" s="101">
        <f t="shared" si="19"/>
        <v>3.1</v>
      </c>
      <c r="R47" s="101">
        <f t="shared" si="19"/>
        <v>0</v>
      </c>
      <c r="S47" s="77"/>
      <c r="T47" s="101">
        <f t="shared" ref="T47:T54" si="21">ROUNDUP(SUM(J47:S47)*T$8,1)</f>
        <v>4.1999999999999993</v>
      </c>
      <c r="U47" s="101">
        <f t="shared" si="16"/>
        <v>32</v>
      </c>
      <c r="V47" s="102">
        <f t="shared" si="17"/>
        <v>1.6</v>
      </c>
      <c r="W47" s="103">
        <f t="shared" si="18"/>
        <v>1753500</v>
      </c>
      <c r="X47" s="104" t="s">
        <v>92</v>
      </c>
    </row>
    <row r="48" spans="1:24" s="75" customFormat="1" ht="12">
      <c r="A48" s="73">
        <f t="shared" si="4"/>
        <v>39</v>
      </c>
      <c r="B48" s="76" t="s">
        <v>1958</v>
      </c>
      <c r="C48" s="98" t="s">
        <v>1842</v>
      </c>
      <c r="D48" s="99" t="s">
        <v>1841</v>
      </c>
      <c r="E48" s="78" t="s">
        <v>1964</v>
      </c>
      <c r="F48" s="78"/>
      <c r="G48" s="79"/>
      <c r="H48" s="79"/>
      <c r="I48" s="78" t="s">
        <v>1965</v>
      </c>
      <c r="J48" s="101">
        <f t="shared" si="19"/>
        <v>3.1</v>
      </c>
      <c r="K48" s="101">
        <f t="shared" si="19"/>
        <v>3.5</v>
      </c>
      <c r="L48" s="101">
        <f t="shared" si="19"/>
        <v>3.6</v>
      </c>
      <c r="M48" s="101">
        <f t="shared" si="19"/>
        <v>6.6</v>
      </c>
      <c r="N48" s="101">
        <f t="shared" si="19"/>
        <v>4.0999999999999996</v>
      </c>
      <c r="O48" s="101">
        <f t="shared" si="19"/>
        <v>2.7</v>
      </c>
      <c r="P48" s="101">
        <f t="shared" si="19"/>
        <v>1.1000000000000001</v>
      </c>
      <c r="Q48" s="101">
        <f t="shared" si="19"/>
        <v>3.1</v>
      </c>
      <c r="R48" s="101">
        <f t="shared" si="19"/>
        <v>0</v>
      </c>
      <c r="S48" s="77"/>
      <c r="T48" s="101">
        <f t="shared" si="21"/>
        <v>4.1999999999999993</v>
      </c>
      <c r="U48" s="101">
        <f t="shared" si="16"/>
        <v>32</v>
      </c>
      <c r="V48" s="102">
        <f t="shared" si="17"/>
        <v>1.6</v>
      </c>
      <c r="W48" s="103">
        <f t="shared" si="18"/>
        <v>1753500</v>
      </c>
      <c r="X48" s="104" t="s">
        <v>92</v>
      </c>
    </row>
    <row r="49" spans="1:24" s="75" customFormat="1" ht="12">
      <c r="A49" s="73">
        <f t="shared" si="4"/>
        <v>40</v>
      </c>
      <c r="B49" s="76" t="s">
        <v>1958</v>
      </c>
      <c r="C49" s="98" t="s">
        <v>1843</v>
      </c>
      <c r="D49" s="99" t="s">
        <v>1844</v>
      </c>
      <c r="E49" s="78" t="s">
        <v>1964</v>
      </c>
      <c r="F49" s="78"/>
      <c r="G49" s="79"/>
      <c r="H49" s="79"/>
      <c r="I49" s="78" t="s">
        <v>1962</v>
      </c>
      <c r="J49" s="101">
        <f t="shared" si="19"/>
        <v>2.2000000000000002</v>
      </c>
      <c r="K49" s="101">
        <f t="shared" si="19"/>
        <v>2.5</v>
      </c>
      <c r="L49" s="101">
        <f t="shared" si="19"/>
        <v>2.6</v>
      </c>
      <c r="M49" s="101">
        <f t="shared" si="19"/>
        <v>4.6999999999999993</v>
      </c>
      <c r="N49" s="101">
        <f t="shared" si="19"/>
        <v>2.9</v>
      </c>
      <c r="O49" s="101">
        <f t="shared" si="19"/>
        <v>1.9000000000000001</v>
      </c>
      <c r="P49" s="101">
        <f t="shared" si="19"/>
        <v>0.79999999999999993</v>
      </c>
      <c r="Q49" s="101">
        <f t="shared" si="19"/>
        <v>2.2000000000000002</v>
      </c>
      <c r="R49" s="101">
        <f t="shared" si="19"/>
        <v>0</v>
      </c>
      <c r="S49" s="77"/>
      <c r="T49" s="101">
        <f t="shared" si="21"/>
        <v>3</v>
      </c>
      <c r="U49" s="101">
        <f t="shared" si="16"/>
        <v>22.8</v>
      </c>
      <c r="V49" s="102">
        <f t="shared" si="17"/>
        <v>1.1400000000000001</v>
      </c>
      <c r="W49" s="103">
        <f t="shared" si="18"/>
        <v>1249500</v>
      </c>
      <c r="X49" s="104" t="s">
        <v>92</v>
      </c>
    </row>
    <row r="50" spans="1:24" s="75" customFormat="1" ht="12">
      <c r="A50" s="73">
        <f t="shared" si="4"/>
        <v>41</v>
      </c>
      <c r="B50" s="76" t="s">
        <v>1958</v>
      </c>
      <c r="C50" s="98" t="s">
        <v>1845</v>
      </c>
      <c r="D50" s="99" t="s">
        <v>1844</v>
      </c>
      <c r="E50" s="78" t="s">
        <v>1964</v>
      </c>
      <c r="F50" s="74"/>
      <c r="G50" s="79"/>
      <c r="H50" s="79"/>
      <c r="I50" s="78" t="s">
        <v>1965</v>
      </c>
      <c r="J50" s="101">
        <f t="shared" si="19"/>
        <v>3.1</v>
      </c>
      <c r="K50" s="101">
        <f t="shared" si="19"/>
        <v>3.5</v>
      </c>
      <c r="L50" s="101">
        <f t="shared" si="19"/>
        <v>3.6</v>
      </c>
      <c r="M50" s="101">
        <f t="shared" si="19"/>
        <v>6.6</v>
      </c>
      <c r="N50" s="101">
        <f t="shared" si="19"/>
        <v>4.0999999999999996</v>
      </c>
      <c r="O50" s="101">
        <f t="shared" si="19"/>
        <v>2.7</v>
      </c>
      <c r="P50" s="101">
        <f t="shared" si="19"/>
        <v>1.1000000000000001</v>
      </c>
      <c r="Q50" s="101">
        <f t="shared" si="19"/>
        <v>3.1</v>
      </c>
      <c r="R50" s="101">
        <f t="shared" si="19"/>
        <v>0</v>
      </c>
      <c r="S50" s="77"/>
      <c r="T50" s="101">
        <f t="shared" si="21"/>
        <v>4.1999999999999993</v>
      </c>
      <c r="U50" s="101">
        <f t="shared" si="16"/>
        <v>32</v>
      </c>
      <c r="V50" s="102">
        <f t="shared" si="17"/>
        <v>1.6</v>
      </c>
      <c r="W50" s="103">
        <f t="shared" si="18"/>
        <v>1753500</v>
      </c>
      <c r="X50" s="104" t="s">
        <v>92</v>
      </c>
    </row>
    <row r="51" spans="1:24" s="75" customFormat="1" ht="12">
      <c r="A51" s="73">
        <f t="shared" si="4"/>
        <v>42</v>
      </c>
      <c r="B51" s="76" t="s">
        <v>1958</v>
      </c>
      <c r="C51" s="98" t="s">
        <v>1846</v>
      </c>
      <c r="D51" s="99" t="s">
        <v>1844</v>
      </c>
      <c r="E51" s="78" t="s">
        <v>1964</v>
      </c>
      <c r="F51" s="74"/>
      <c r="G51" s="79"/>
      <c r="H51" s="79"/>
      <c r="I51" s="78" t="s">
        <v>1965</v>
      </c>
      <c r="J51" s="101">
        <f t="shared" si="19"/>
        <v>3.1</v>
      </c>
      <c r="K51" s="101">
        <f t="shared" si="19"/>
        <v>3.5</v>
      </c>
      <c r="L51" s="101">
        <f t="shared" si="19"/>
        <v>3.6</v>
      </c>
      <c r="M51" s="101">
        <f t="shared" si="19"/>
        <v>6.6</v>
      </c>
      <c r="N51" s="101">
        <f t="shared" si="19"/>
        <v>4.0999999999999996</v>
      </c>
      <c r="O51" s="101">
        <f t="shared" si="19"/>
        <v>2.7</v>
      </c>
      <c r="P51" s="101">
        <f t="shared" si="19"/>
        <v>1.1000000000000001</v>
      </c>
      <c r="Q51" s="101">
        <f t="shared" si="19"/>
        <v>3.1</v>
      </c>
      <c r="R51" s="101">
        <f t="shared" si="19"/>
        <v>0</v>
      </c>
      <c r="S51" s="77"/>
      <c r="T51" s="101">
        <f t="shared" si="21"/>
        <v>4.1999999999999993</v>
      </c>
      <c r="U51" s="101">
        <f t="shared" si="16"/>
        <v>32</v>
      </c>
      <c r="V51" s="102">
        <f t="shared" si="17"/>
        <v>1.6</v>
      </c>
      <c r="W51" s="103">
        <f t="shared" si="18"/>
        <v>1753500</v>
      </c>
      <c r="X51" s="104" t="s">
        <v>92</v>
      </c>
    </row>
    <row r="52" spans="1:24" s="75" customFormat="1" ht="12">
      <c r="A52" s="73">
        <f t="shared" si="4"/>
        <v>43</v>
      </c>
      <c r="B52" s="76" t="s">
        <v>1958</v>
      </c>
      <c r="C52" s="98" t="s">
        <v>1847</v>
      </c>
      <c r="D52" s="99" t="s">
        <v>1844</v>
      </c>
      <c r="E52" s="78" t="s">
        <v>1964</v>
      </c>
      <c r="F52" s="74"/>
      <c r="G52" s="79"/>
      <c r="H52" s="79"/>
      <c r="I52" s="78" t="s">
        <v>1965</v>
      </c>
      <c r="J52" s="101">
        <f t="shared" si="19"/>
        <v>3.1</v>
      </c>
      <c r="K52" s="101">
        <f t="shared" si="19"/>
        <v>3.5</v>
      </c>
      <c r="L52" s="101">
        <f t="shared" si="19"/>
        <v>3.6</v>
      </c>
      <c r="M52" s="101">
        <f t="shared" si="19"/>
        <v>6.6</v>
      </c>
      <c r="N52" s="101">
        <f t="shared" si="19"/>
        <v>4.0999999999999996</v>
      </c>
      <c r="O52" s="101">
        <f t="shared" si="19"/>
        <v>2.7</v>
      </c>
      <c r="P52" s="101">
        <f t="shared" si="19"/>
        <v>1.1000000000000001</v>
      </c>
      <c r="Q52" s="101">
        <f t="shared" si="19"/>
        <v>3.1</v>
      </c>
      <c r="R52" s="101">
        <f t="shared" si="19"/>
        <v>0</v>
      </c>
      <c r="S52" s="77"/>
      <c r="T52" s="101">
        <f t="shared" si="21"/>
        <v>4.1999999999999993</v>
      </c>
      <c r="U52" s="101">
        <f t="shared" si="16"/>
        <v>32</v>
      </c>
      <c r="V52" s="102">
        <f t="shared" si="17"/>
        <v>1.6</v>
      </c>
      <c r="W52" s="103">
        <f t="shared" si="18"/>
        <v>1753500</v>
      </c>
      <c r="X52" s="104" t="s">
        <v>92</v>
      </c>
    </row>
    <row r="53" spans="1:24" s="75" customFormat="1" ht="12">
      <c r="A53" s="73">
        <f t="shared" si="4"/>
        <v>44</v>
      </c>
      <c r="B53" s="76" t="s">
        <v>1958</v>
      </c>
      <c r="C53" s="98" t="s">
        <v>1848</v>
      </c>
      <c r="D53" s="99" t="s">
        <v>1844</v>
      </c>
      <c r="E53" s="78" t="s">
        <v>1964</v>
      </c>
      <c r="F53" s="74"/>
      <c r="G53" s="79"/>
      <c r="H53" s="79"/>
      <c r="I53" s="78" t="s">
        <v>1965</v>
      </c>
      <c r="J53" s="101">
        <f t="shared" si="19"/>
        <v>3.1</v>
      </c>
      <c r="K53" s="101">
        <f t="shared" si="19"/>
        <v>3.5</v>
      </c>
      <c r="L53" s="101">
        <f t="shared" si="19"/>
        <v>3.6</v>
      </c>
      <c r="M53" s="101">
        <f t="shared" si="19"/>
        <v>6.6</v>
      </c>
      <c r="N53" s="101">
        <f t="shared" si="19"/>
        <v>4.0999999999999996</v>
      </c>
      <c r="O53" s="101">
        <f t="shared" si="19"/>
        <v>2.7</v>
      </c>
      <c r="P53" s="101">
        <f t="shared" si="19"/>
        <v>1.1000000000000001</v>
      </c>
      <c r="Q53" s="101">
        <f t="shared" si="19"/>
        <v>3.1</v>
      </c>
      <c r="R53" s="101">
        <f t="shared" si="19"/>
        <v>0</v>
      </c>
      <c r="S53" s="77"/>
      <c r="T53" s="101">
        <f t="shared" si="21"/>
        <v>4.1999999999999993</v>
      </c>
      <c r="U53" s="101">
        <f t="shared" si="16"/>
        <v>32</v>
      </c>
      <c r="V53" s="102">
        <f t="shared" si="17"/>
        <v>1.6</v>
      </c>
      <c r="W53" s="103">
        <f t="shared" si="18"/>
        <v>1753500</v>
      </c>
      <c r="X53" s="104" t="s">
        <v>92</v>
      </c>
    </row>
    <row r="54" spans="1:24" s="75" customFormat="1" ht="12">
      <c r="A54" s="73">
        <f t="shared" si="4"/>
        <v>45</v>
      </c>
      <c r="B54" s="76" t="s">
        <v>1958</v>
      </c>
      <c r="C54" s="98" t="s">
        <v>1849</v>
      </c>
      <c r="D54" s="99" t="s">
        <v>1844</v>
      </c>
      <c r="E54" s="78" t="s">
        <v>1964</v>
      </c>
      <c r="F54" s="74"/>
      <c r="G54" s="79"/>
      <c r="H54" s="79"/>
      <c r="I54" s="78" t="s">
        <v>1965</v>
      </c>
      <c r="J54" s="101">
        <f t="shared" si="19"/>
        <v>3.1</v>
      </c>
      <c r="K54" s="101">
        <f t="shared" si="19"/>
        <v>3.5</v>
      </c>
      <c r="L54" s="101">
        <f t="shared" si="19"/>
        <v>3.6</v>
      </c>
      <c r="M54" s="101">
        <f t="shared" si="19"/>
        <v>6.6</v>
      </c>
      <c r="N54" s="101">
        <f t="shared" si="19"/>
        <v>4.0999999999999996</v>
      </c>
      <c r="O54" s="101">
        <f t="shared" si="19"/>
        <v>2.7</v>
      </c>
      <c r="P54" s="101">
        <f t="shared" si="19"/>
        <v>1.1000000000000001</v>
      </c>
      <c r="Q54" s="101">
        <f t="shared" si="19"/>
        <v>3.1</v>
      </c>
      <c r="R54" s="101">
        <f t="shared" si="19"/>
        <v>0</v>
      </c>
      <c r="S54" s="77"/>
      <c r="T54" s="101">
        <f t="shared" si="21"/>
        <v>4.1999999999999993</v>
      </c>
      <c r="U54" s="101">
        <f t="shared" si="16"/>
        <v>32</v>
      </c>
      <c r="V54" s="102">
        <f t="shared" si="17"/>
        <v>1.6</v>
      </c>
      <c r="W54" s="103">
        <f t="shared" si="18"/>
        <v>1753500</v>
      </c>
      <c r="X54" s="104" t="s">
        <v>92</v>
      </c>
    </row>
    <row r="55" spans="1:24" s="75" customFormat="1" ht="12">
      <c r="A55" s="73">
        <f t="shared" si="4"/>
        <v>46</v>
      </c>
      <c r="B55" s="76" t="s">
        <v>1958</v>
      </c>
      <c r="C55" s="98" t="s">
        <v>1850</v>
      </c>
      <c r="D55" s="99" t="s">
        <v>1844</v>
      </c>
      <c r="E55" s="78" t="s">
        <v>1964</v>
      </c>
      <c r="F55" s="74"/>
      <c r="G55" s="79"/>
      <c r="H55" s="79"/>
      <c r="I55" s="78" t="s">
        <v>1965</v>
      </c>
      <c r="J55" s="101">
        <f t="shared" si="19"/>
        <v>3.1</v>
      </c>
      <c r="K55" s="101">
        <f t="shared" si="19"/>
        <v>3.5</v>
      </c>
      <c r="L55" s="101">
        <f t="shared" si="19"/>
        <v>3.6</v>
      </c>
      <c r="M55" s="101">
        <f t="shared" si="19"/>
        <v>6.6</v>
      </c>
      <c r="N55" s="101">
        <f t="shared" si="19"/>
        <v>4.0999999999999996</v>
      </c>
      <c r="O55" s="101">
        <f t="shared" si="19"/>
        <v>2.7</v>
      </c>
      <c r="P55" s="101">
        <f t="shared" si="19"/>
        <v>1.1000000000000001</v>
      </c>
      <c r="Q55" s="101">
        <f t="shared" si="19"/>
        <v>3.1</v>
      </c>
      <c r="R55" s="101">
        <f t="shared" si="19"/>
        <v>0</v>
      </c>
      <c r="S55" s="77"/>
      <c r="T55" s="101">
        <f t="shared" ref="T55" si="22">ROUNDUP(SUM(J55:S55)*T$8,1)</f>
        <v>4.1999999999999993</v>
      </c>
      <c r="U55" s="101">
        <f t="shared" si="16"/>
        <v>32</v>
      </c>
      <c r="V55" s="102">
        <f t="shared" si="17"/>
        <v>1.6</v>
      </c>
      <c r="W55" s="103">
        <f t="shared" si="18"/>
        <v>1753500</v>
      </c>
      <c r="X55" s="104" t="s">
        <v>92</v>
      </c>
    </row>
    <row r="56" spans="1:24" s="75" customFormat="1" ht="12">
      <c r="A56" s="73">
        <f t="shared" si="4"/>
        <v>47</v>
      </c>
      <c r="B56" s="76" t="s">
        <v>1958</v>
      </c>
      <c r="C56" s="98" t="s">
        <v>1851</v>
      </c>
      <c r="D56" s="99" t="s">
        <v>1844</v>
      </c>
      <c r="E56" s="78" t="s">
        <v>1964</v>
      </c>
      <c r="F56" s="78"/>
      <c r="G56" s="79"/>
      <c r="H56" s="79"/>
      <c r="I56" s="78" t="s">
        <v>1965</v>
      </c>
      <c r="J56" s="101">
        <f t="shared" si="19"/>
        <v>3.1</v>
      </c>
      <c r="K56" s="101">
        <f t="shared" si="19"/>
        <v>3.5</v>
      </c>
      <c r="L56" s="101">
        <f t="shared" si="19"/>
        <v>3.6</v>
      </c>
      <c r="M56" s="101">
        <f t="shared" si="19"/>
        <v>6.6</v>
      </c>
      <c r="N56" s="101">
        <f t="shared" si="19"/>
        <v>4.0999999999999996</v>
      </c>
      <c r="O56" s="101">
        <f t="shared" si="19"/>
        <v>2.7</v>
      </c>
      <c r="P56" s="101">
        <f t="shared" si="19"/>
        <v>1.1000000000000001</v>
      </c>
      <c r="Q56" s="101">
        <f t="shared" si="19"/>
        <v>3.1</v>
      </c>
      <c r="R56" s="101">
        <f t="shared" si="19"/>
        <v>0</v>
      </c>
      <c r="S56" s="77"/>
      <c r="T56" s="101">
        <f t="shared" ref="T56:T63" si="23">ROUNDUP(SUM(J56:S56)*T$8,1)</f>
        <v>4.1999999999999993</v>
      </c>
      <c r="U56" s="101">
        <f t="shared" si="16"/>
        <v>32</v>
      </c>
      <c r="V56" s="102">
        <f t="shared" si="17"/>
        <v>1.6</v>
      </c>
      <c r="W56" s="103">
        <f t="shared" si="18"/>
        <v>1753500</v>
      </c>
      <c r="X56" s="104" t="s">
        <v>92</v>
      </c>
    </row>
    <row r="57" spans="1:24" s="75" customFormat="1" ht="12">
      <c r="A57" s="73">
        <f t="shared" si="4"/>
        <v>48</v>
      </c>
      <c r="B57" s="76" t="s">
        <v>1958</v>
      </c>
      <c r="C57" s="98" t="s">
        <v>1852</v>
      </c>
      <c r="D57" s="99" t="s">
        <v>1844</v>
      </c>
      <c r="E57" s="78" t="s">
        <v>1964</v>
      </c>
      <c r="F57" s="78"/>
      <c r="G57" s="79"/>
      <c r="H57" s="79"/>
      <c r="I57" s="78" t="s">
        <v>1965</v>
      </c>
      <c r="J57" s="101">
        <f t="shared" si="19"/>
        <v>3.1</v>
      </c>
      <c r="K57" s="101">
        <f t="shared" si="19"/>
        <v>3.5</v>
      </c>
      <c r="L57" s="101">
        <f t="shared" si="19"/>
        <v>3.6</v>
      </c>
      <c r="M57" s="101">
        <f t="shared" si="19"/>
        <v>6.6</v>
      </c>
      <c r="N57" s="101">
        <f t="shared" si="19"/>
        <v>4.0999999999999996</v>
      </c>
      <c r="O57" s="101">
        <f t="shared" si="19"/>
        <v>2.7</v>
      </c>
      <c r="P57" s="101">
        <f t="shared" si="19"/>
        <v>1.1000000000000001</v>
      </c>
      <c r="Q57" s="101">
        <f t="shared" si="19"/>
        <v>3.1</v>
      </c>
      <c r="R57" s="101">
        <f t="shared" si="19"/>
        <v>0</v>
      </c>
      <c r="S57" s="77"/>
      <c r="T57" s="101">
        <f t="shared" si="23"/>
        <v>4.1999999999999993</v>
      </c>
      <c r="U57" s="101">
        <f t="shared" si="16"/>
        <v>32</v>
      </c>
      <c r="V57" s="102">
        <f t="shared" si="17"/>
        <v>1.6</v>
      </c>
      <c r="W57" s="103">
        <f t="shared" si="18"/>
        <v>1753500</v>
      </c>
      <c r="X57" s="104" t="s">
        <v>92</v>
      </c>
    </row>
    <row r="58" spans="1:24" s="75" customFormat="1" ht="12">
      <c r="A58" s="73">
        <f t="shared" si="4"/>
        <v>49</v>
      </c>
      <c r="B58" s="76" t="s">
        <v>1958</v>
      </c>
      <c r="C58" s="98" t="s">
        <v>1853</v>
      </c>
      <c r="D58" s="99" t="s">
        <v>1854</v>
      </c>
      <c r="E58" s="78" t="s">
        <v>1964</v>
      </c>
      <c r="F58" s="78"/>
      <c r="G58" s="79"/>
      <c r="H58" s="79"/>
      <c r="I58" s="78" t="s">
        <v>1965</v>
      </c>
      <c r="J58" s="101">
        <f t="shared" si="19"/>
        <v>3.1</v>
      </c>
      <c r="K58" s="101">
        <f t="shared" si="19"/>
        <v>3.5</v>
      </c>
      <c r="L58" s="101">
        <f t="shared" si="19"/>
        <v>3.6</v>
      </c>
      <c r="M58" s="101">
        <f t="shared" si="19"/>
        <v>6.6</v>
      </c>
      <c r="N58" s="101">
        <f t="shared" si="19"/>
        <v>4.0999999999999996</v>
      </c>
      <c r="O58" s="101">
        <f t="shared" si="19"/>
        <v>2.7</v>
      </c>
      <c r="P58" s="101">
        <f t="shared" si="19"/>
        <v>1.1000000000000001</v>
      </c>
      <c r="Q58" s="101">
        <f t="shared" si="19"/>
        <v>3.1</v>
      </c>
      <c r="R58" s="101">
        <f t="shared" si="19"/>
        <v>0</v>
      </c>
      <c r="S58" s="77"/>
      <c r="T58" s="101">
        <f t="shared" si="23"/>
        <v>4.1999999999999993</v>
      </c>
      <c r="U58" s="101">
        <f t="shared" si="16"/>
        <v>32</v>
      </c>
      <c r="V58" s="102">
        <f t="shared" si="17"/>
        <v>1.6</v>
      </c>
      <c r="W58" s="103">
        <f t="shared" si="18"/>
        <v>1753500</v>
      </c>
      <c r="X58" s="104" t="s">
        <v>92</v>
      </c>
    </row>
    <row r="59" spans="1:24" s="75" customFormat="1" ht="12">
      <c r="A59" s="73">
        <f t="shared" si="4"/>
        <v>50</v>
      </c>
      <c r="B59" s="76" t="s">
        <v>1958</v>
      </c>
      <c r="C59" s="98" t="s">
        <v>1855</v>
      </c>
      <c r="D59" s="99" t="s">
        <v>1854</v>
      </c>
      <c r="E59" s="78" t="s">
        <v>1964</v>
      </c>
      <c r="F59" s="74"/>
      <c r="G59" s="79"/>
      <c r="H59" s="79"/>
      <c r="I59" s="78" t="s">
        <v>1965</v>
      </c>
      <c r="J59" s="101">
        <f t="shared" si="19"/>
        <v>3.1</v>
      </c>
      <c r="K59" s="101">
        <f t="shared" si="19"/>
        <v>3.5</v>
      </c>
      <c r="L59" s="101">
        <f t="shared" si="19"/>
        <v>3.6</v>
      </c>
      <c r="M59" s="101">
        <f t="shared" si="19"/>
        <v>6.6</v>
      </c>
      <c r="N59" s="101">
        <f t="shared" si="19"/>
        <v>4.0999999999999996</v>
      </c>
      <c r="O59" s="101">
        <f t="shared" si="19"/>
        <v>2.7</v>
      </c>
      <c r="P59" s="101">
        <f t="shared" si="19"/>
        <v>1.1000000000000001</v>
      </c>
      <c r="Q59" s="101">
        <f t="shared" si="19"/>
        <v>3.1</v>
      </c>
      <c r="R59" s="101">
        <f t="shared" si="19"/>
        <v>0</v>
      </c>
      <c r="S59" s="77"/>
      <c r="T59" s="101">
        <f t="shared" si="23"/>
        <v>4.1999999999999993</v>
      </c>
      <c r="U59" s="101">
        <f t="shared" si="16"/>
        <v>32</v>
      </c>
      <c r="V59" s="102">
        <f t="shared" si="17"/>
        <v>1.6</v>
      </c>
      <c r="W59" s="103">
        <f t="shared" si="18"/>
        <v>1753500</v>
      </c>
      <c r="X59" s="104" t="s">
        <v>92</v>
      </c>
    </row>
    <row r="60" spans="1:24" s="75" customFormat="1" ht="12">
      <c r="A60" s="73">
        <f t="shared" si="4"/>
        <v>51</v>
      </c>
      <c r="B60" s="76" t="s">
        <v>1958</v>
      </c>
      <c r="C60" s="98" t="s">
        <v>1856</v>
      </c>
      <c r="D60" s="99" t="s">
        <v>1854</v>
      </c>
      <c r="E60" s="78" t="s">
        <v>1964</v>
      </c>
      <c r="F60" s="74"/>
      <c r="G60" s="79"/>
      <c r="H60" s="79"/>
      <c r="I60" s="78" t="s">
        <v>1965</v>
      </c>
      <c r="J60" s="101">
        <f t="shared" ref="J60:R63" si="24">ROUNDUP(IF($E60="画面",画面係数,IF($E60="帳票",帳票係数,IF($E60="バッチ",バッチ係数,0))) *
 IF($I60="特高",特高係数,IF($I60="高",高係数,IF($I60="中",中係数,IF($I60="低",低係数,IF($I60="特低",特低係数,0)))))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3.1</v>
      </c>
      <c r="K60" s="101">
        <f t="shared" si="24"/>
        <v>3.5</v>
      </c>
      <c r="L60" s="101">
        <f t="shared" si="24"/>
        <v>3.6</v>
      </c>
      <c r="M60" s="101">
        <f t="shared" si="24"/>
        <v>6.6</v>
      </c>
      <c r="N60" s="101">
        <f t="shared" si="24"/>
        <v>4.0999999999999996</v>
      </c>
      <c r="O60" s="101">
        <f t="shared" si="24"/>
        <v>2.7</v>
      </c>
      <c r="P60" s="101">
        <f t="shared" si="24"/>
        <v>1.1000000000000001</v>
      </c>
      <c r="Q60" s="101">
        <f t="shared" si="24"/>
        <v>3.1</v>
      </c>
      <c r="R60" s="101">
        <f t="shared" si="24"/>
        <v>0</v>
      </c>
      <c r="S60" s="77"/>
      <c r="T60" s="101">
        <f t="shared" si="23"/>
        <v>4.1999999999999993</v>
      </c>
      <c r="U60" s="101">
        <f t="shared" si="16"/>
        <v>32</v>
      </c>
      <c r="V60" s="102">
        <f t="shared" si="17"/>
        <v>1.6</v>
      </c>
      <c r="W60" s="103">
        <f t="shared" si="18"/>
        <v>1753500</v>
      </c>
      <c r="X60" s="104" t="s">
        <v>92</v>
      </c>
    </row>
    <row r="61" spans="1:24" s="75" customFormat="1" ht="12">
      <c r="A61" s="73">
        <f t="shared" si="4"/>
        <v>52</v>
      </c>
      <c r="B61" s="76" t="s">
        <v>1958</v>
      </c>
      <c r="C61" s="98" t="s">
        <v>1857</v>
      </c>
      <c r="D61" s="99" t="s">
        <v>1858</v>
      </c>
      <c r="E61" s="78" t="s">
        <v>1964</v>
      </c>
      <c r="F61" s="74"/>
      <c r="G61" s="79"/>
      <c r="H61" s="79"/>
      <c r="I61" s="78" t="s">
        <v>1965</v>
      </c>
      <c r="J61" s="101">
        <f t="shared" si="24"/>
        <v>3.1</v>
      </c>
      <c r="K61" s="101">
        <f t="shared" si="24"/>
        <v>3.5</v>
      </c>
      <c r="L61" s="101">
        <f t="shared" si="24"/>
        <v>3.6</v>
      </c>
      <c r="M61" s="101">
        <f t="shared" si="24"/>
        <v>6.6</v>
      </c>
      <c r="N61" s="101">
        <f t="shared" si="24"/>
        <v>4.0999999999999996</v>
      </c>
      <c r="O61" s="101">
        <f t="shared" si="24"/>
        <v>2.7</v>
      </c>
      <c r="P61" s="101">
        <f t="shared" si="24"/>
        <v>1.1000000000000001</v>
      </c>
      <c r="Q61" s="101">
        <f t="shared" si="24"/>
        <v>3.1</v>
      </c>
      <c r="R61" s="101">
        <f t="shared" si="24"/>
        <v>0</v>
      </c>
      <c r="S61" s="77"/>
      <c r="T61" s="101">
        <f t="shared" si="23"/>
        <v>4.1999999999999993</v>
      </c>
      <c r="U61" s="101">
        <f t="shared" si="16"/>
        <v>32</v>
      </c>
      <c r="V61" s="102">
        <f t="shared" si="17"/>
        <v>1.6</v>
      </c>
      <c r="W61" s="103">
        <f t="shared" si="18"/>
        <v>1753500</v>
      </c>
      <c r="X61" s="104" t="s">
        <v>92</v>
      </c>
    </row>
    <row r="62" spans="1:24" s="75" customFormat="1" ht="12">
      <c r="A62" s="73">
        <f t="shared" si="4"/>
        <v>53</v>
      </c>
      <c r="B62" s="76" t="s">
        <v>1958</v>
      </c>
      <c r="C62" s="98" t="s">
        <v>1859</v>
      </c>
      <c r="D62" s="99" t="s">
        <v>1860</v>
      </c>
      <c r="E62" s="78" t="s">
        <v>1964</v>
      </c>
      <c r="F62" s="74"/>
      <c r="G62" s="79"/>
      <c r="H62" s="79"/>
      <c r="I62" s="78" t="s">
        <v>1965</v>
      </c>
      <c r="J62" s="101">
        <f t="shared" si="24"/>
        <v>3.1</v>
      </c>
      <c r="K62" s="101">
        <f t="shared" si="24"/>
        <v>3.5</v>
      </c>
      <c r="L62" s="101">
        <f t="shared" si="24"/>
        <v>3.6</v>
      </c>
      <c r="M62" s="101">
        <f t="shared" si="24"/>
        <v>6.6</v>
      </c>
      <c r="N62" s="101">
        <f t="shared" si="24"/>
        <v>4.0999999999999996</v>
      </c>
      <c r="O62" s="101">
        <f t="shared" si="24"/>
        <v>2.7</v>
      </c>
      <c r="P62" s="101">
        <f t="shared" si="24"/>
        <v>1.1000000000000001</v>
      </c>
      <c r="Q62" s="101">
        <f t="shared" si="24"/>
        <v>3.1</v>
      </c>
      <c r="R62" s="101">
        <f t="shared" si="24"/>
        <v>0</v>
      </c>
      <c r="S62" s="77"/>
      <c r="T62" s="101">
        <f t="shared" si="23"/>
        <v>4.1999999999999993</v>
      </c>
      <c r="U62" s="101">
        <f t="shared" si="16"/>
        <v>32</v>
      </c>
      <c r="V62" s="102">
        <f t="shared" si="17"/>
        <v>1.6</v>
      </c>
      <c r="W62" s="103">
        <f t="shared" si="18"/>
        <v>1753500</v>
      </c>
      <c r="X62" s="104" t="s">
        <v>92</v>
      </c>
    </row>
    <row r="63" spans="1:24" s="75" customFormat="1" ht="12">
      <c r="A63" s="73">
        <f t="shared" si="4"/>
        <v>54</v>
      </c>
      <c r="B63" s="76" t="s">
        <v>1958</v>
      </c>
      <c r="C63" s="98" t="s">
        <v>1861</v>
      </c>
      <c r="D63" s="99" t="s">
        <v>1860</v>
      </c>
      <c r="E63" s="78" t="s">
        <v>1964</v>
      </c>
      <c r="F63" s="74"/>
      <c r="G63" s="79"/>
      <c r="H63" s="79"/>
      <c r="I63" s="78" t="s">
        <v>1962</v>
      </c>
      <c r="J63" s="101">
        <f t="shared" si="24"/>
        <v>2.2000000000000002</v>
      </c>
      <c r="K63" s="101">
        <f t="shared" si="24"/>
        <v>2.5</v>
      </c>
      <c r="L63" s="101">
        <f t="shared" si="24"/>
        <v>2.6</v>
      </c>
      <c r="M63" s="101">
        <f t="shared" si="24"/>
        <v>4.6999999999999993</v>
      </c>
      <c r="N63" s="101">
        <f t="shared" si="24"/>
        <v>2.9</v>
      </c>
      <c r="O63" s="101">
        <f t="shared" si="24"/>
        <v>1.9000000000000001</v>
      </c>
      <c r="P63" s="101">
        <f t="shared" si="24"/>
        <v>0.79999999999999993</v>
      </c>
      <c r="Q63" s="101">
        <f t="shared" si="24"/>
        <v>2.2000000000000002</v>
      </c>
      <c r="R63" s="101">
        <f t="shared" si="24"/>
        <v>0</v>
      </c>
      <c r="S63" s="77"/>
      <c r="T63" s="101">
        <f t="shared" si="23"/>
        <v>3</v>
      </c>
      <c r="U63" s="101">
        <f t="shared" si="16"/>
        <v>22.8</v>
      </c>
      <c r="V63" s="102">
        <f t="shared" si="17"/>
        <v>1.1400000000000001</v>
      </c>
      <c r="W63" s="103">
        <f t="shared" si="18"/>
        <v>1249500</v>
      </c>
      <c r="X63" s="104" t="s">
        <v>92</v>
      </c>
    </row>
    <row r="64" spans="1:24" s="75" customFormat="1" ht="12">
      <c r="A64" s="73">
        <f t="shared" si="4"/>
        <v>55</v>
      </c>
      <c r="B64" s="76" t="s">
        <v>1958</v>
      </c>
      <c r="C64" s="98" t="s">
        <v>1862</v>
      </c>
      <c r="D64" s="99" t="s">
        <v>1439</v>
      </c>
      <c r="E64" s="78" t="s">
        <v>1964</v>
      </c>
      <c r="F64" s="78"/>
      <c r="G64" s="79"/>
      <c r="H64" s="79"/>
      <c r="I64" s="78" t="s">
        <v>1965</v>
      </c>
      <c r="J64" s="101">
        <f t="shared" ref="J64:R79" si="25">ROUNDUP(IF($E64="画面",画面係数,IF($E64="帳票",帳票係数,IF($E64="バッチ",バッチ係数,0))) *
 IF($I64="特高",特高係数,IF($I64="高",高係数,IF($I64="中",中係数,IF($I64="低",低係数,IF($I64="特低",特低係数,0)))))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3.1</v>
      </c>
      <c r="K64" s="101">
        <f t="shared" si="25"/>
        <v>3.5</v>
      </c>
      <c r="L64" s="101">
        <f t="shared" si="25"/>
        <v>3.6</v>
      </c>
      <c r="M64" s="101">
        <f t="shared" si="25"/>
        <v>6.6</v>
      </c>
      <c r="N64" s="101">
        <f t="shared" si="25"/>
        <v>4.0999999999999996</v>
      </c>
      <c r="O64" s="101">
        <f t="shared" si="25"/>
        <v>2.7</v>
      </c>
      <c r="P64" s="101">
        <f t="shared" si="25"/>
        <v>1.1000000000000001</v>
      </c>
      <c r="Q64" s="101">
        <f t="shared" si="25"/>
        <v>3.1</v>
      </c>
      <c r="R64" s="101">
        <f t="shared" si="25"/>
        <v>0</v>
      </c>
      <c r="S64" s="77"/>
      <c r="T64" s="101">
        <f t="shared" ref="T64:T71" si="26">ROUNDUP(SUM(J64:S64)*T$8,1)</f>
        <v>4.1999999999999993</v>
      </c>
      <c r="U64" s="101">
        <f t="shared" ref="U64:U89" si="27">SUM(J64:T64)</f>
        <v>32</v>
      </c>
      <c r="V64" s="102">
        <f t="shared" ref="V64:V89" si="28">U64/20</f>
        <v>1.6</v>
      </c>
      <c r="W64" s="103">
        <f t="shared" ref="W64:W89" si="29">((J64*J$9) + (K64*K$9) + (L64*L$9) + (M64*M$9) + (N64*N$9) + (O64*O$9) + (P64*P$9) + (Q64*Q$9) + (R64*R$9) + (S64*S$9) + (T64*T$9))/20</f>
        <v>1753500</v>
      </c>
      <c r="X64" s="104" t="s">
        <v>92</v>
      </c>
    </row>
    <row r="65" spans="1:24" s="75" customFormat="1" ht="12">
      <c r="A65" s="73">
        <f t="shared" si="4"/>
        <v>56</v>
      </c>
      <c r="B65" s="76" t="s">
        <v>1958</v>
      </c>
      <c r="C65" s="98" t="s">
        <v>1863</v>
      </c>
      <c r="D65" s="99" t="s">
        <v>1439</v>
      </c>
      <c r="E65" s="78" t="s">
        <v>1964</v>
      </c>
      <c r="F65" s="78"/>
      <c r="G65" s="79"/>
      <c r="H65" s="79"/>
      <c r="I65" s="78" t="s">
        <v>1962</v>
      </c>
      <c r="J65" s="101">
        <f t="shared" si="25"/>
        <v>2.2000000000000002</v>
      </c>
      <c r="K65" s="101">
        <f t="shared" si="25"/>
        <v>2.5</v>
      </c>
      <c r="L65" s="101">
        <f t="shared" si="25"/>
        <v>2.6</v>
      </c>
      <c r="M65" s="101">
        <f t="shared" si="25"/>
        <v>4.6999999999999993</v>
      </c>
      <c r="N65" s="101">
        <f t="shared" si="25"/>
        <v>2.9</v>
      </c>
      <c r="O65" s="101">
        <f t="shared" si="25"/>
        <v>1.9000000000000001</v>
      </c>
      <c r="P65" s="101">
        <f t="shared" si="25"/>
        <v>0.79999999999999993</v>
      </c>
      <c r="Q65" s="101">
        <f t="shared" si="25"/>
        <v>2.2000000000000002</v>
      </c>
      <c r="R65" s="101">
        <f t="shared" si="25"/>
        <v>0</v>
      </c>
      <c r="S65" s="77"/>
      <c r="T65" s="101">
        <f t="shared" si="26"/>
        <v>3</v>
      </c>
      <c r="U65" s="101">
        <f t="shared" si="27"/>
        <v>22.8</v>
      </c>
      <c r="V65" s="102">
        <f t="shared" si="28"/>
        <v>1.1400000000000001</v>
      </c>
      <c r="W65" s="103">
        <f t="shared" si="29"/>
        <v>1249500</v>
      </c>
      <c r="X65" s="104" t="s">
        <v>92</v>
      </c>
    </row>
    <row r="66" spans="1:24" s="75" customFormat="1" ht="12">
      <c r="A66" s="73">
        <f t="shared" si="4"/>
        <v>57</v>
      </c>
      <c r="B66" s="76" t="s">
        <v>1958</v>
      </c>
      <c r="C66" s="98" t="s">
        <v>1864</v>
      </c>
      <c r="D66" s="99" t="s">
        <v>1439</v>
      </c>
      <c r="E66" s="78" t="s">
        <v>1964</v>
      </c>
      <c r="F66" s="78"/>
      <c r="G66" s="79"/>
      <c r="H66" s="79"/>
      <c r="I66" s="78" t="s">
        <v>1965</v>
      </c>
      <c r="J66" s="101">
        <f t="shared" si="25"/>
        <v>3.1</v>
      </c>
      <c r="K66" s="101">
        <f t="shared" si="25"/>
        <v>3.5</v>
      </c>
      <c r="L66" s="101">
        <f t="shared" si="25"/>
        <v>3.6</v>
      </c>
      <c r="M66" s="101">
        <f t="shared" si="25"/>
        <v>6.6</v>
      </c>
      <c r="N66" s="101">
        <f t="shared" si="25"/>
        <v>4.0999999999999996</v>
      </c>
      <c r="O66" s="101">
        <f t="shared" si="25"/>
        <v>2.7</v>
      </c>
      <c r="P66" s="101">
        <f t="shared" si="25"/>
        <v>1.1000000000000001</v>
      </c>
      <c r="Q66" s="101">
        <f t="shared" si="25"/>
        <v>3.1</v>
      </c>
      <c r="R66" s="101">
        <f t="shared" si="25"/>
        <v>0</v>
      </c>
      <c r="S66" s="77"/>
      <c r="T66" s="101">
        <f t="shared" si="26"/>
        <v>4.1999999999999993</v>
      </c>
      <c r="U66" s="101">
        <f t="shared" si="27"/>
        <v>32</v>
      </c>
      <c r="V66" s="102">
        <f t="shared" si="28"/>
        <v>1.6</v>
      </c>
      <c r="W66" s="103">
        <f t="shared" si="29"/>
        <v>1753500</v>
      </c>
      <c r="X66" s="104" t="s">
        <v>92</v>
      </c>
    </row>
    <row r="67" spans="1:24" s="75" customFormat="1" ht="12">
      <c r="A67" s="73">
        <f t="shared" si="4"/>
        <v>58</v>
      </c>
      <c r="B67" s="76" t="s">
        <v>1958</v>
      </c>
      <c r="C67" s="98" t="s">
        <v>1865</v>
      </c>
      <c r="D67" s="99" t="s">
        <v>1439</v>
      </c>
      <c r="E67" s="78" t="s">
        <v>1964</v>
      </c>
      <c r="F67" s="74"/>
      <c r="G67" s="79"/>
      <c r="H67" s="79"/>
      <c r="I67" s="78" t="s">
        <v>1965</v>
      </c>
      <c r="J67" s="101">
        <f t="shared" si="25"/>
        <v>3.1</v>
      </c>
      <c r="K67" s="101">
        <f t="shared" si="25"/>
        <v>3.5</v>
      </c>
      <c r="L67" s="101">
        <f t="shared" si="25"/>
        <v>3.6</v>
      </c>
      <c r="M67" s="101">
        <f t="shared" si="25"/>
        <v>6.6</v>
      </c>
      <c r="N67" s="101">
        <f t="shared" si="25"/>
        <v>4.0999999999999996</v>
      </c>
      <c r="O67" s="101">
        <f t="shared" si="25"/>
        <v>2.7</v>
      </c>
      <c r="P67" s="101">
        <f t="shared" si="25"/>
        <v>1.1000000000000001</v>
      </c>
      <c r="Q67" s="101">
        <f t="shared" si="25"/>
        <v>3.1</v>
      </c>
      <c r="R67" s="101">
        <f t="shared" si="25"/>
        <v>0</v>
      </c>
      <c r="S67" s="77"/>
      <c r="T67" s="101">
        <f t="shared" si="26"/>
        <v>4.1999999999999993</v>
      </c>
      <c r="U67" s="101">
        <f t="shared" si="27"/>
        <v>32</v>
      </c>
      <c r="V67" s="102">
        <f t="shared" si="28"/>
        <v>1.6</v>
      </c>
      <c r="W67" s="103">
        <f t="shared" si="29"/>
        <v>1753500</v>
      </c>
      <c r="X67" s="104" t="s">
        <v>92</v>
      </c>
    </row>
    <row r="68" spans="1:24" s="75" customFormat="1" ht="12">
      <c r="A68" s="73">
        <f t="shared" si="4"/>
        <v>59</v>
      </c>
      <c r="B68" s="76" t="s">
        <v>1958</v>
      </c>
      <c r="C68" s="98" t="s">
        <v>1866</v>
      </c>
      <c r="D68" s="99" t="s">
        <v>1439</v>
      </c>
      <c r="E68" s="78" t="s">
        <v>1964</v>
      </c>
      <c r="F68" s="74"/>
      <c r="G68" s="79"/>
      <c r="H68" s="79"/>
      <c r="I68" s="78" t="s">
        <v>1962</v>
      </c>
      <c r="J68" s="101">
        <f t="shared" si="25"/>
        <v>2.2000000000000002</v>
      </c>
      <c r="K68" s="101">
        <f t="shared" si="25"/>
        <v>2.5</v>
      </c>
      <c r="L68" s="101">
        <f t="shared" si="25"/>
        <v>2.6</v>
      </c>
      <c r="M68" s="101">
        <f t="shared" si="25"/>
        <v>4.6999999999999993</v>
      </c>
      <c r="N68" s="101">
        <f t="shared" si="25"/>
        <v>2.9</v>
      </c>
      <c r="O68" s="101">
        <f t="shared" si="25"/>
        <v>1.9000000000000001</v>
      </c>
      <c r="P68" s="101">
        <f t="shared" si="25"/>
        <v>0.79999999999999993</v>
      </c>
      <c r="Q68" s="101">
        <f t="shared" si="25"/>
        <v>2.2000000000000002</v>
      </c>
      <c r="R68" s="101">
        <f t="shared" si="25"/>
        <v>0</v>
      </c>
      <c r="S68" s="77"/>
      <c r="T68" s="101">
        <f t="shared" si="26"/>
        <v>3</v>
      </c>
      <c r="U68" s="101">
        <f t="shared" si="27"/>
        <v>22.8</v>
      </c>
      <c r="V68" s="102">
        <f t="shared" si="28"/>
        <v>1.1400000000000001</v>
      </c>
      <c r="W68" s="103">
        <f t="shared" si="29"/>
        <v>1249500</v>
      </c>
      <c r="X68" s="104" t="s">
        <v>92</v>
      </c>
    </row>
    <row r="69" spans="1:24" s="75" customFormat="1" ht="12">
      <c r="A69" s="73">
        <f t="shared" si="4"/>
        <v>60</v>
      </c>
      <c r="B69" s="76" t="s">
        <v>1958</v>
      </c>
      <c r="C69" s="98" t="s">
        <v>1867</v>
      </c>
      <c r="D69" s="99" t="s">
        <v>1439</v>
      </c>
      <c r="E69" s="78" t="s">
        <v>1964</v>
      </c>
      <c r="F69" s="74"/>
      <c r="G69" s="79"/>
      <c r="H69" s="79"/>
      <c r="I69" s="78" t="s">
        <v>1965</v>
      </c>
      <c r="J69" s="101">
        <f t="shared" si="25"/>
        <v>3.1</v>
      </c>
      <c r="K69" s="101">
        <f t="shared" si="25"/>
        <v>3.5</v>
      </c>
      <c r="L69" s="101">
        <f t="shared" si="25"/>
        <v>3.6</v>
      </c>
      <c r="M69" s="101">
        <f t="shared" si="25"/>
        <v>6.6</v>
      </c>
      <c r="N69" s="101">
        <f t="shared" si="25"/>
        <v>4.0999999999999996</v>
      </c>
      <c r="O69" s="101">
        <f t="shared" si="25"/>
        <v>2.7</v>
      </c>
      <c r="P69" s="101">
        <f t="shared" si="25"/>
        <v>1.1000000000000001</v>
      </c>
      <c r="Q69" s="101">
        <f t="shared" si="25"/>
        <v>3.1</v>
      </c>
      <c r="R69" s="101">
        <f t="shared" si="25"/>
        <v>0</v>
      </c>
      <c r="S69" s="77"/>
      <c r="T69" s="101">
        <f t="shared" si="26"/>
        <v>4.1999999999999993</v>
      </c>
      <c r="U69" s="101">
        <f t="shared" si="27"/>
        <v>32</v>
      </c>
      <c r="V69" s="102">
        <f t="shared" si="28"/>
        <v>1.6</v>
      </c>
      <c r="W69" s="103">
        <f t="shared" si="29"/>
        <v>1753500</v>
      </c>
      <c r="X69" s="104" t="s">
        <v>92</v>
      </c>
    </row>
    <row r="70" spans="1:24" s="75" customFormat="1" ht="12">
      <c r="A70" s="73">
        <f t="shared" si="4"/>
        <v>61</v>
      </c>
      <c r="B70" s="76" t="s">
        <v>1958</v>
      </c>
      <c r="C70" s="98" t="s">
        <v>1868</v>
      </c>
      <c r="D70" s="99" t="s">
        <v>1439</v>
      </c>
      <c r="E70" s="78" t="s">
        <v>1964</v>
      </c>
      <c r="F70" s="74"/>
      <c r="G70" s="79"/>
      <c r="H70" s="79"/>
      <c r="I70" s="78" t="s">
        <v>1965</v>
      </c>
      <c r="J70" s="101">
        <f t="shared" si="25"/>
        <v>3.1</v>
      </c>
      <c r="K70" s="101">
        <f t="shared" si="25"/>
        <v>3.5</v>
      </c>
      <c r="L70" s="101">
        <f t="shared" si="25"/>
        <v>3.6</v>
      </c>
      <c r="M70" s="101">
        <f t="shared" si="25"/>
        <v>6.6</v>
      </c>
      <c r="N70" s="101">
        <f t="shared" si="25"/>
        <v>4.0999999999999996</v>
      </c>
      <c r="O70" s="101">
        <f t="shared" si="25"/>
        <v>2.7</v>
      </c>
      <c r="P70" s="101">
        <f t="shared" si="25"/>
        <v>1.1000000000000001</v>
      </c>
      <c r="Q70" s="101">
        <f t="shared" si="25"/>
        <v>3.1</v>
      </c>
      <c r="R70" s="101">
        <f t="shared" si="25"/>
        <v>0</v>
      </c>
      <c r="S70" s="77"/>
      <c r="T70" s="101">
        <f t="shared" si="26"/>
        <v>4.1999999999999993</v>
      </c>
      <c r="U70" s="101">
        <f t="shared" si="27"/>
        <v>32</v>
      </c>
      <c r="V70" s="102">
        <f t="shared" si="28"/>
        <v>1.6</v>
      </c>
      <c r="W70" s="103">
        <f t="shared" si="29"/>
        <v>1753500</v>
      </c>
      <c r="X70" s="104" t="s">
        <v>92</v>
      </c>
    </row>
    <row r="71" spans="1:24" s="75" customFormat="1" ht="12">
      <c r="A71" s="73">
        <f t="shared" si="4"/>
        <v>62</v>
      </c>
      <c r="B71" s="76" t="s">
        <v>1958</v>
      </c>
      <c r="C71" s="98" t="s">
        <v>1869</v>
      </c>
      <c r="D71" s="99" t="s">
        <v>1439</v>
      </c>
      <c r="E71" s="78" t="s">
        <v>1964</v>
      </c>
      <c r="F71" s="74"/>
      <c r="G71" s="79"/>
      <c r="H71" s="79"/>
      <c r="I71" s="78" t="s">
        <v>1965</v>
      </c>
      <c r="J71" s="101">
        <f t="shared" si="25"/>
        <v>3.1</v>
      </c>
      <c r="K71" s="101">
        <f t="shared" si="25"/>
        <v>3.5</v>
      </c>
      <c r="L71" s="101">
        <f t="shared" si="25"/>
        <v>3.6</v>
      </c>
      <c r="M71" s="101">
        <f t="shared" si="25"/>
        <v>6.6</v>
      </c>
      <c r="N71" s="101">
        <f t="shared" si="25"/>
        <v>4.0999999999999996</v>
      </c>
      <c r="O71" s="101">
        <f t="shared" si="25"/>
        <v>2.7</v>
      </c>
      <c r="P71" s="101">
        <f t="shared" si="25"/>
        <v>1.1000000000000001</v>
      </c>
      <c r="Q71" s="101">
        <f t="shared" si="25"/>
        <v>3.1</v>
      </c>
      <c r="R71" s="101">
        <f t="shared" si="25"/>
        <v>0</v>
      </c>
      <c r="S71" s="77"/>
      <c r="T71" s="101">
        <f t="shared" si="26"/>
        <v>4.1999999999999993</v>
      </c>
      <c r="U71" s="101">
        <f t="shared" si="27"/>
        <v>32</v>
      </c>
      <c r="V71" s="102">
        <f t="shared" si="28"/>
        <v>1.6</v>
      </c>
      <c r="W71" s="103">
        <f t="shared" si="29"/>
        <v>1753500</v>
      </c>
      <c r="X71" s="104" t="s">
        <v>92</v>
      </c>
    </row>
    <row r="72" spans="1:24" s="75" customFormat="1" ht="12">
      <c r="A72" s="73">
        <f t="shared" si="4"/>
        <v>63</v>
      </c>
      <c r="B72" s="76" t="s">
        <v>1958</v>
      </c>
      <c r="C72" s="98" t="s">
        <v>1870</v>
      </c>
      <c r="D72" s="99" t="s">
        <v>1452</v>
      </c>
      <c r="E72" s="78" t="s">
        <v>1964</v>
      </c>
      <c r="F72" s="74"/>
      <c r="G72" s="79"/>
      <c r="H72" s="79"/>
      <c r="I72" s="78" t="s">
        <v>1965</v>
      </c>
      <c r="J72" s="101">
        <f t="shared" si="25"/>
        <v>3.1</v>
      </c>
      <c r="K72" s="101">
        <f t="shared" si="25"/>
        <v>3.5</v>
      </c>
      <c r="L72" s="101">
        <f t="shared" si="25"/>
        <v>3.6</v>
      </c>
      <c r="M72" s="101">
        <f t="shared" si="25"/>
        <v>6.6</v>
      </c>
      <c r="N72" s="101">
        <f t="shared" si="25"/>
        <v>4.0999999999999996</v>
      </c>
      <c r="O72" s="101">
        <f t="shared" si="25"/>
        <v>2.7</v>
      </c>
      <c r="P72" s="101">
        <f t="shared" si="25"/>
        <v>1.1000000000000001</v>
      </c>
      <c r="Q72" s="101">
        <f t="shared" si="25"/>
        <v>3.1</v>
      </c>
      <c r="R72" s="101">
        <f t="shared" si="25"/>
        <v>0</v>
      </c>
      <c r="S72" s="77"/>
      <c r="T72" s="101">
        <f t="shared" ref="T72" si="30">ROUNDUP(SUM(J72:S72)*T$8,1)</f>
        <v>4.1999999999999993</v>
      </c>
      <c r="U72" s="101">
        <f t="shared" si="27"/>
        <v>32</v>
      </c>
      <c r="V72" s="102">
        <f t="shared" si="28"/>
        <v>1.6</v>
      </c>
      <c r="W72" s="103">
        <f t="shared" si="29"/>
        <v>1753500</v>
      </c>
      <c r="X72" s="104" t="s">
        <v>92</v>
      </c>
    </row>
    <row r="73" spans="1:24" s="75" customFormat="1" ht="12">
      <c r="A73" s="73">
        <f t="shared" si="4"/>
        <v>64</v>
      </c>
      <c r="B73" s="76" t="s">
        <v>1958</v>
      </c>
      <c r="C73" s="98" t="s">
        <v>1871</v>
      </c>
      <c r="D73" s="99" t="s">
        <v>1452</v>
      </c>
      <c r="E73" s="78" t="s">
        <v>1964</v>
      </c>
      <c r="F73" s="78"/>
      <c r="G73" s="79"/>
      <c r="H73" s="79"/>
      <c r="I73" s="78" t="s">
        <v>1962</v>
      </c>
      <c r="J73" s="101">
        <f t="shared" si="25"/>
        <v>2.2000000000000002</v>
      </c>
      <c r="K73" s="101">
        <f t="shared" si="25"/>
        <v>2.5</v>
      </c>
      <c r="L73" s="101">
        <f t="shared" si="25"/>
        <v>2.6</v>
      </c>
      <c r="M73" s="101">
        <f t="shared" si="25"/>
        <v>4.6999999999999993</v>
      </c>
      <c r="N73" s="101">
        <f t="shared" si="25"/>
        <v>2.9</v>
      </c>
      <c r="O73" s="101">
        <f t="shared" si="25"/>
        <v>1.9000000000000001</v>
      </c>
      <c r="P73" s="101">
        <f t="shared" si="25"/>
        <v>0.79999999999999993</v>
      </c>
      <c r="Q73" s="101">
        <f t="shared" si="25"/>
        <v>2.2000000000000002</v>
      </c>
      <c r="R73" s="101">
        <f t="shared" si="25"/>
        <v>0</v>
      </c>
      <c r="S73" s="77"/>
      <c r="T73" s="101">
        <f t="shared" ref="T73:T80" si="31">ROUNDUP(SUM(J73:S73)*T$8,1)</f>
        <v>3</v>
      </c>
      <c r="U73" s="101">
        <f t="shared" si="27"/>
        <v>22.8</v>
      </c>
      <c r="V73" s="102">
        <f t="shared" si="28"/>
        <v>1.1400000000000001</v>
      </c>
      <c r="W73" s="103">
        <f t="shared" si="29"/>
        <v>1249500</v>
      </c>
      <c r="X73" s="104" t="s">
        <v>92</v>
      </c>
    </row>
    <row r="74" spans="1:24" s="75" customFormat="1" ht="12">
      <c r="A74" s="73">
        <f t="shared" si="4"/>
        <v>65</v>
      </c>
      <c r="B74" s="76" t="s">
        <v>1958</v>
      </c>
      <c r="C74" s="98" t="s">
        <v>1872</v>
      </c>
      <c r="D74" s="99" t="s">
        <v>1452</v>
      </c>
      <c r="E74" s="78" t="s">
        <v>1964</v>
      </c>
      <c r="F74" s="78"/>
      <c r="G74" s="79"/>
      <c r="H74" s="79"/>
      <c r="I74" s="78" t="s">
        <v>1965</v>
      </c>
      <c r="J74" s="101">
        <f t="shared" si="25"/>
        <v>3.1</v>
      </c>
      <c r="K74" s="101">
        <f t="shared" si="25"/>
        <v>3.5</v>
      </c>
      <c r="L74" s="101">
        <f t="shared" si="25"/>
        <v>3.6</v>
      </c>
      <c r="M74" s="101">
        <f t="shared" si="25"/>
        <v>6.6</v>
      </c>
      <c r="N74" s="101">
        <f t="shared" si="25"/>
        <v>4.0999999999999996</v>
      </c>
      <c r="O74" s="101">
        <f t="shared" si="25"/>
        <v>2.7</v>
      </c>
      <c r="P74" s="101">
        <f t="shared" si="25"/>
        <v>1.1000000000000001</v>
      </c>
      <c r="Q74" s="101">
        <f t="shared" si="25"/>
        <v>3.1</v>
      </c>
      <c r="R74" s="101">
        <f t="shared" si="25"/>
        <v>0</v>
      </c>
      <c r="S74" s="77"/>
      <c r="T74" s="101">
        <f t="shared" si="31"/>
        <v>4.1999999999999993</v>
      </c>
      <c r="U74" s="101">
        <f t="shared" si="27"/>
        <v>32</v>
      </c>
      <c r="V74" s="102">
        <f t="shared" si="28"/>
        <v>1.6</v>
      </c>
      <c r="W74" s="103">
        <f t="shared" si="29"/>
        <v>1753500</v>
      </c>
      <c r="X74" s="104" t="s">
        <v>92</v>
      </c>
    </row>
    <row r="75" spans="1:24" s="75" customFormat="1" ht="12">
      <c r="A75" s="73">
        <f t="shared" si="4"/>
        <v>66</v>
      </c>
      <c r="B75" s="76" t="s">
        <v>1958</v>
      </c>
      <c r="C75" s="98" t="s">
        <v>1873</v>
      </c>
      <c r="D75" s="99" t="s">
        <v>1452</v>
      </c>
      <c r="E75" s="78" t="s">
        <v>1964</v>
      </c>
      <c r="F75" s="78"/>
      <c r="G75" s="79"/>
      <c r="H75" s="79"/>
      <c r="I75" s="78" t="s">
        <v>1965</v>
      </c>
      <c r="J75" s="101">
        <f t="shared" si="25"/>
        <v>3.1</v>
      </c>
      <c r="K75" s="101">
        <f t="shared" si="25"/>
        <v>3.5</v>
      </c>
      <c r="L75" s="101">
        <f t="shared" si="25"/>
        <v>3.6</v>
      </c>
      <c r="M75" s="101">
        <f t="shared" si="25"/>
        <v>6.6</v>
      </c>
      <c r="N75" s="101">
        <f t="shared" si="25"/>
        <v>4.0999999999999996</v>
      </c>
      <c r="O75" s="101">
        <f t="shared" si="25"/>
        <v>2.7</v>
      </c>
      <c r="P75" s="101">
        <f t="shared" si="25"/>
        <v>1.1000000000000001</v>
      </c>
      <c r="Q75" s="101">
        <f t="shared" si="25"/>
        <v>3.1</v>
      </c>
      <c r="R75" s="101">
        <f t="shared" si="25"/>
        <v>0</v>
      </c>
      <c r="S75" s="77"/>
      <c r="T75" s="101">
        <f t="shared" si="31"/>
        <v>4.1999999999999993</v>
      </c>
      <c r="U75" s="101">
        <f t="shared" si="27"/>
        <v>32</v>
      </c>
      <c r="V75" s="102">
        <f t="shared" si="28"/>
        <v>1.6</v>
      </c>
      <c r="W75" s="103">
        <f t="shared" si="29"/>
        <v>1753500</v>
      </c>
      <c r="X75" s="104" t="s">
        <v>92</v>
      </c>
    </row>
    <row r="76" spans="1:24" s="75" customFormat="1" ht="12">
      <c r="A76" s="73">
        <f t="shared" si="4"/>
        <v>67</v>
      </c>
      <c r="B76" s="76" t="s">
        <v>1958</v>
      </c>
      <c r="C76" s="98" t="s">
        <v>1874</v>
      </c>
      <c r="D76" s="99" t="s">
        <v>1452</v>
      </c>
      <c r="E76" s="78" t="s">
        <v>1964</v>
      </c>
      <c r="F76" s="74"/>
      <c r="G76" s="79"/>
      <c r="H76" s="79"/>
      <c r="I76" s="78" t="s">
        <v>1965</v>
      </c>
      <c r="J76" s="101">
        <f t="shared" si="25"/>
        <v>3.1</v>
      </c>
      <c r="K76" s="101">
        <f t="shared" si="25"/>
        <v>3.5</v>
      </c>
      <c r="L76" s="101">
        <f t="shared" si="25"/>
        <v>3.6</v>
      </c>
      <c r="M76" s="101">
        <f t="shared" si="25"/>
        <v>6.6</v>
      </c>
      <c r="N76" s="101">
        <f t="shared" si="25"/>
        <v>4.0999999999999996</v>
      </c>
      <c r="O76" s="101">
        <f t="shared" si="25"/>
        <v>2.7</v>
      </c>
      <c r="P76" s="101">
        <f t="shared" si="25"/>
        <v>1.1000000000000001</v>
      </c>
      <c r="Q76" s="101">
        <f t="shared" si="25"/>
        <v>3.1</v>
      </c>
      <c r="R76" s="101">
        <f t="shared" si="25"/>
        <v>0</v>
      </c>
      <c r="S76" s="77"/>
      <c r="T76" s="101">
        <f t="shared" si="31"/>
        <v>4.1999999999999993</v>
      </c>
      <c r="U76" s="101">
        <f t="shared" si="27"/>
        <v>32</v>
      </c>
      <c r="V76" s="102">
        <f t="shared" si="28"/>
        <v>1.6</v>
      </c>
      <c r="W76" s="103">
        <f t="shared" si="29"/>
        <v>1753500</v>
      </c>
      <c r="X76" s="104" t="s">
        <v>92</v>
      </c>
    </row>
    <row r="77" spans="1:24" s="75" customFormat="1" ht="12">
      <c r="A77" s="73">
        <f t="shared" si="4"/>
        <v>68</v>
      </c>
      <c r="B77" s="76" t="s">
        <v>1958</v>
      </c>
      <c r="C77" s="98" t="s">
        <v>1875</v>
      </c>
      <c r="D77" s="99" t="s">
        <v>1452</v>
      </c>
      <c r="E77" s="78" t="s">
        <v>1964</v>
      </c>
      <c r="F77" s="74"/>
      <c r="G77" s="79"/>
      <c r="H77" s="79"/>
      <c r="I77" s="78" t="s">
        <v>1965</v>
      </c>
      <c r="J77" s="101">
        <f t="shared" si="25"/>
        <v>3.1</v>
      </c>
      <c r="K77" s="101">
        <f t="shared" si="25"/>
        <v>3.5</v>
      </c>
      <c r="L77" s="101">
        <f t="shared" si="25"/>
        <v>3.6</v>
      </c>
      <c r="M77" s="101">
        <f t="shared" si="25"/>
        <v>6.6</v>
      </c>
      <c r="N77" s="101">
        <f t="shared" si="25"/>
        <v>4.0999999999999996</v>
      </c>
      <c r="O77" s="101">
        <f t="shared" si="25"/>
        <v>2.7</v>
      </c>
      <c r="P77" s="101">
        <f t="shared" si="25"/>
        <v>1.1000000000000001</v>
      </c>
      <c r="Q77" s="101">
        <f t="shared" si="25"/>
        <v>3.1</v>
      </c>
      <c r="R77" s="101">
        <f t="shared" si="25"/>
        <v>0</v>
      </c>
      <c r="S77" s="77"/>
      <c r="T77" s="101">
        <f t="shared" si="31"/>
        <v>4.1999999999999993</v>
      </c>
      <c r="U77" s="101">
        <f t="shared" si="27"/>
        <v>32</v>
      </c>
      <c r="V77" s="102">
        <f t="shared" si="28"/>
        <v>1.6</v>
      </c>
      <c r="W77" s="103">
        <f t="shared" si="29"/>
        <v>1753500</v>
      </c>
      <c r="X77" s="104" t="s">
        <v>92</v>
      </c>
    </row>
    <row r="78" spans="1:24" s="75" customFormat="1" ht="12">
      <c r="A78" s="73">
        <f t="shared" si="4"/>
        <v>69</v>
      </c>
      <c r="B78" s="76" t="s">
        <v>1958</v>
      </c>
      <c r="C78" s="98" t="s">
        <v>1876</v>
      </c>
      <c r="D78" s="99" t="s">
        <v>1452</v>
      </c>
      <c r="E78" s="78" t="s">
        <v>1964</v>
      </c>
      <c r="F78" s="74"/>
      <c r="G78" s="79"/>
      <c r="H78" s="79"/>
      <c r="I78" s="78" t="s">
        <v>1965</v>
      </c>
      <c r="J78" s="101">
        <f t="shared" si="25"/>
        <v>3.1</v>
      </c>
      <c r="K78" s="101">
        <f t="shared" si="25"/>
        <v>3.5</v>
      </c>
      <c r="L78" s="101">
        <f t="shared" si="25"/>
        <v>3.6</v>
      </c>
      <c r="M78" s="101">
        <f t="shared" si="25"/>
        <v>6.6</v>
      </c>
      <c r="N78" s="101">
        <f t="shared" si="25"/>
        <v>4.0999999999999996</v>
      </c>
      <c r="O78" s="101">
        <f t="shared" si="25"/>
        <v>2.7</v>
      </c>
      <c r="P78" s="101">
        <f t="shared" si="25"/>
        <v>1.1000000000000001</v>
      </c>
      <c r="Q78" s="101">
        <f t="shared" si="25"/>
        <v>3.1</v>
      </c>
      <c r="R78" s="101">
        <f t="shared" si="25"/>
        <v>0</v>
      </c>
      <c r="S78" s="77"/>
      <c r="T78" s="101">
        <f t="shared" si="31"/>
        <v>4.1999999999999993</v>
      </c>
      <c r="U78" s="101">
        <f t="shared" si="27"/>
        <v>32</v>
      </c>
      <c r="V78" s="102">
        <f t="shared" si="28"/>
        <v>1.6</v>
      </c>
      <c r="W78" s="103">
        <f t="shared" si="29"/>
        <v>1753500</v>
      </c>
      <c r="X78" s="104" t="s">
        <v>92</v>
      </c>
    </row>
    <row r="79" spans="1:24" s="75" customFormat="1" ht="12">
      <c r="A79" s="73">
        <f t="shared" si="4"/>
        <v>70</v>
      </c>
      <c r="B79" s="76" t="s">
        <v>1958</v>
      </c>
      <c r="C79" s="98" t="s">
        <v>1877</v>
      </c>
      <c r="D79" s="99" t="s">
        <v>1878</v>
      </c>
      <c r="E79" s="78" t="s">
        <v>1964</v>
      </c>
      <c r="F79" s="74"/>
      <c r="G79" s="79"/>
      <c r="H79" s="79"/>
      <c r="I79" s="78" t="s">
        <v>1965</v>
      </c>
      <c r="J79" s="101">
        <f t="shared" si="25"/>
        <v>3.1</v>
      </c>
      <c r="K79" s="101">
        <f t="shared" si="25"/>
        <v>3.5</v>
      </c>
      <c r="L79" s="101">
        <f t="shared" si="25"/>
        <v>3.6</v>
      </c>
      <c r="M79" s="101">
        <f t="shared" si="25"/>
        <v>6.6</v>
      </c>
      <c r="N79" s="101">
        <f t="shared" si="25"/>
        <v>4.0999999999999996</v>
      </c>
      <c r="O79" s="101">
        <f t="shared" si="25"/>
        <v>2.7</v>
      </c>
      <c r="P79" s="101">
        <f t="shared" si="25"/>
        <v>1.1000000000000001</v>
      </c>
      <c r="Q79" s="101">
        <f t="shared" si="25"/>
        <v>3.1</v>
      </c>
      <c r="R79" s="101">
        <f t="shared" si="25"/>
        <v>0</v>
      </c>
      <c r="S79" s="77"/>
      <c r="T79" s="101">
        <f t="shared" si="31"/>
        <v>4.1999999999999993</v>
      </c>
      <c r="U79" s="101">
        <f t="shared" si="27"/>
        <v>32</v>
      </c>
      <c r="V79" s="102">
        <f t="shared" si="28"/>
        <v>1.6</v>
      </c>
      <c r="W79" s="103">
        <f t="shared" si="29"/>
        <v>1753500</v>
      </c>
      <c r="X79" s="104" t="s">
        <v>92</v>
      </c>
    </row>
    <row r="80" spans="1:24" s="75" customFormat="1" ht="12">
      <c r="A80" s="73">
        <f t="shared" si="4"/>
        <v>71</v>
      </c>
      <c r="B80" s="76" t="s">
        <v>1958</v>
      </c>
      <c r="C80" s="98" t="s">
        <v>1879</v>
      </c>
      <c r="D80" s="99" t="s">
        <v>1878</v>
      </c>
      <c r="E80" s="78" t="s">
        <v>1964</v>
      </c>
      <c r="F80" s="74"/>
      <c r="G80" s="79"/>
      <c r="H80" s="79"/>
      <c r="I80" s="78" t="s">
        <v>1965</v>
      </c>
      <c r="J80" s="101">
        <f t="shared" ref="J80:R89" si="32">ROUNDUP(IF($E80="画面",画面係数,IF($E80="帳票",帳票係数,IF($E80="バッチ",バッチ係数,0))) *
 IF($I80="特高",特高係数,IF($I80="高",高係数,IF($I80="中",中係数,IF($I80="低",低係数,IF($I80="特低",特低係数,0)))))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3.1</v>
      </c>
      <c r="K80" s="101">
        <f t="shared" si="32"/>
        <v>3.5</v>
      </c>
      <c r="L80" s="101">
        <f t="shared" si="32"/>
        <v>3.6</v>
      </c>
      <c r="M80" s="101">
        <f t="shared" si="32"/>
        <v>6.6</v>
      </c>
      <c r="N80" s="101">
        <f t="shared" si="32"/>
        <v>4.0999999999999996</v>
      </c>
      <c r="O80" s="101">
        <f t="shared" si="32"/>
        <v>2.7</v>
      </c>
      <c r="P80" s="101">
        <f t="shared" si="32"/>
        <v>1.1000000000000001</v>
      </c>
      <c r="Q80" s="101">
        <f t="shared" si="32"/>
        <v>3.1</v>
      </c>
      <c r="R80" s="101">
        <f t="shared" si="32"/>
        <v>0</v>
      </c>
      <c r="S80" s="77"/>
      <c r="T80" s="101">
        <f t="shared" si="31"/>
        <v>4.1999999999999993</v>
      </c>
      <c r="U80" s="101">
        <f t="shared" si="27"/>
        <v>32</v>
      </c>
      <c r="V80" s="102">
        <f t="shared" si="28"/>
        <v>1.6</v>
      </c>
      <c r="W80" s="103">
        <f t="shared" si="29"/>
        <v>1753500</v>
      </c>
      <c r="X80" s="104" t="s">
        <v>92</v>
      </c>
    </row>
    <row r="81" spans="1:24" s="75" customFormat="1" ht="12">
      <c r="A81" s="73">
        <f t="shared" si="4"/>
        <v>72</v>
      </c>
      <c r="B81" s="76" t="s">
        <v>1958</v>
      </c>
      <c r="C81" s="98" t="s">
        <v>1880</v>
      </c>
      <c r="D81" s="99" t="s">
        <v>1878</v>
      </c>
      <c r="E81" s="78" t="s">
        <v>1964</v>
      </c>
      <c r="F81" s="74"/>
      <c r="G81" s="79"/>
      <c r="H81" s="79"/>
      <c r="I81" s="78" t="s">
        <v>1965</v>
      </c>
      <c r="J81" s="101">
        <f t="shared" si="32"/>
        <v>3.1</v>
      </c>
      <c r="K81" s="101">
        <f t="shared" si="32"/>
        <v>3.5</v>
      </c>
      <c r="L81" s="101">
        <f t="shared" si="32"/>
        <v>3.6</v>
      </c>
      <c r="M81" s="101">
        <f t="shared" si="32"/>
        <v>6.6</v>
      </c>
      <c r="N81" s="101">
        <f t="shared" si="32"/>
        <v>4.0999999999999996</v>
      </c>
      <c r="O81" s="101">
        <f t="shared" si="32"/>
        <v>2.7</v>
      </c>
      <c r="P81" s="101">
        <f t="shared" si="32"/>
        <v>1.1000000000000001</v>
      </c>
      <c r="Q81" s="101">
        <f t="shared" si="32"/>
        <v>3.1</v>
      </c>
      <c r="R81" s="101">
        <f t="shared" si="32"/>
        <v>0</v>
      </c>
      <c r="S81" s="77"/>
      <c r="T81" s="101">
        <f t="shared" ref="T81" si="33">ROUNDUP(SUM(J81:S81)*T$8,1)</f>
        <v>4.1999999999999993</v>
      </c>
      <c r="U81" s="101">
        <f t="shared" si="27"/>
        <v>32</v>
      </c>
      <c r="V81" s="102">
        <f t="shared" si="28"/>
        <v>1.6</v>
      </c>
      <c r="W81" s="103">
        <f t="shared" si="29"/>
        <v>1753500</v>
      </c>
      <c r="X81" s="104" t="s">
        <v>92</v>
      </c>
    </row>
    <row r="82" spans="1:24" s="75" customFormat="1" ht="12">
      <c r="A82" s="73">
        <f t="shared" si="4"/>
        <v>73</v>
      </c>
      <c r="B82" s="76" t="s">
        <v>1958</v>
      </c>
      <c r="C82" s="98" t="s">
        <v>1881</v>
      </c>
      <c r="D82" s="99" t="s">
        <v>1878</v>
      </c>
      <c r="E82" s="78" t="s">
        <v>1964</v>
      </c>
      <c r="F82" s="78"/>
      <c r="G82" s="79"/>
      <c r="H82" s="79"/>
      <c r="I82" s="78" t="s">
        <v>1965</v>
      </c>
      <c r="J82" s="101">
        <f t="shared" si="32"/>
        <v>3.1</v>
      </c>
      <c r="K82" s="101">
        <f t="shared" si="32"/>
        <v>3.5</v>
      </c>
      <c r="L82" s="101">
        <f t="shared" si="32"/>
        <v>3.6</v>
      </c>
      <c r="M82" s="101">
        <f t="shared" si="32"/>
        <v>6.6</v>
      </c>
      <c r="N82" s="101">
        <f t="shared" si="32"/>
        <v>4.0999999999999996</v>
      </c>
      <c r="O82" s="101">
        <f t="shared" si="32"/>
        <v>2.7</v>
      </c>
      <c r="P82" s="101">
        <f t="shared" si="32"/>
        <v>1.1000000000000001</v>
      </c>
      <c r="Q82" s="101">
        <f t="shared" si="32"/>
        <v>3.1</v>
      </c>
      <c r="R82" s="101">
        <f t="shared" si="32"/>
        <v>0</v>
      </c>
      <c r="S82" s="77"/>
      <c r="T82" s="101">
        <f t="shared" ref="T82:T89" si="34">ROUNDUP(SUM(J82:S82)*T$8,1)</f>
        <v>4.1999999999999993</v>
      </c>
      <c r="U82" s="101">
        <f t="shared" si="27"/>
        <v>32</v>
      </c>
      <c r="V82" s="102">
        <f t="shared" si="28"/>
        <v>1.6</v>
      </c>
      <c r="W82" s="103">
        <f t="shared" si="29"/>
        <v>1753500</v>
      </c>
      <c r="X82" s="104" t="s">
        <v>92</v>
      </c>
    </row>
    <row r="83" spans="1:24" s="75" customFormat="1" ht="12">
      <c r="A83" s="73">
        <f t="shared" si="4"/>
        <v>74</v>
      </c>
      <c r="B83" s="76" t="s">
        <v>1958</v>
      </c>
      <c r="C83" s="98" t="s">
        <v>1882</v>
      </c>
      <c r="D83" s="99" t="s">
        <v>1878</v>
      </c>
      <c r="E83" s="78" t="s">
        <v>1964</v>
      </c>
      <c r="F83" s="78"/>
      <c r="G83" s="79"/>
      <c r="H83" s="79"/>
      <c r="I83" s="78" t="s">
        <v>1962</v>
      </c>
      <c r="J83" s="101">
        <f t="shared" si="32"/>
        <v>2.2000000000000002</v>
      </c>
      <c r="K83" s="101">
        <f t="shared" si="32"/>
        <v>2.5</v>
      </c>
      <c r="L83" s="101">
        <f t="shared" si="32"/>
        <v>2.6</v>
      </c>
      <c r="M83" s="101">
        <f t="shared" si="32"/>
        <v>4.6999999999999993</v>
      </c>
      <c r="N83" s="101">
        <f t="shared" si="32"/>
        <v>2.9</v>
      </c>
      <c r="O83" s="101">
        <f t="shared" si="32"/>
        <v>1.9000000000000001</v>
      </c>
      <c r="P83" s="101">
        <f t="shared" si="32"/>
        <v>0.79999999999999993</v>
      </c>
      <c r="Q83" s="101">
        <f t="shared" si="32"/>
        <v>2.2000000000000002</v>
      </c>
      <c r="R83" s="101">
        <f t="shared" si="32"/>
        <v>0</v>
      </c>
      <c r="S83" s="77"/>
      <c r="T83" s="101">
        <f t="shared" si="34"/>
        <v>3</v>
      </c>
      <c r="U83" s="101">
        <f t="shared" si="27"/>
        <v>22.8</v>
      </c>
      <c r="V83" s="102">
        <f t="shared" si="28"/>
        <v>1.1400000000000001</v>
      </c>
      <c r="W83" s="103">
        <f t="shared" si="29"/>
        <v>1249500</v>
      </c>
      <c r="X83" s="104" t="s">
        <v>92</v>
      </c>
    </row>
    <row r="84" spans="1:24" s="75" customFormat="1" ht="12">
      <c r="A84" s="73">
        <f t="shared" si="4"/>
        <v>75</v>
      </c>
      <c r="B84" s="76" t="s">
        <v>1958</v>
      </c>
      <c r="C84" s="98" t="s">
        <v>1883</v>
      </c>
      <c r="D84" s="99" t="s">
        <v>1878</v>
      </c>
      <c r="E84" s="78" t="s">
        <v>1964</v>
      </c>
      <c r="F84" s="78"/>
      <c r="G84" s="79"/>
      <c r="H84" s="79"/>
      <c r="I84" s="78" t="s">
        <v>1965</v>
      </c>
      <c r="J84" s="101">
        <f t="shared" si="32"/>
        <v>3.1</v>
      </c>
      <c r="K84" s="101">
        <f t="shared" si="32"/>
        <v>3.5</v>
      </c>
      <c r="L84" s="101">
        <f t="shared" si="32"/>
        <v>3.6</v>
      </c>
      <c r="M84" s="101">
        <f t="shared" si="32"/>
        <v>6.6</v>
      </c>
      <c r="N84" s="101">
        <f t="shared" si="32"/>
        <v>4.0999999999999996</v>
      </c>
      <c r="O84" s="101">
        <f t="shared" si="32"/>
        <v>2.7</v>
      </c>
      <c r="P84" s="101">
        <f t="shared" si="32"/>
        <v>1.1000000000000001</v>
      </c>
      <c r="Q84" s="101">
        <f t="shared" si="32"/>
        <v>3.1</v>
      </c>
      <c r="R84" s="101">
        <f t="shared" si="32"/>
        <v>0</v>
      </c>
      <c r="S84" s="77"/>
      <c r="T84" s="101">
        <f t="shared" si="34"/>
        <v>4.1999999999999993</v>
      </c>
      <c r="U84" s="101">
        <f t="shared" si="27"/>
        <v>32</v>
      </c>
      <c r="V84" s="102">
        <f t="shared" si="28"/>
        <v>1.6</v>
      </c>
      <c r="W84" s="103">
        <f t="shared" si="29"/>
        <v>1753500</v>
      </c>
      <c r="X84" s="104" t="s">
        <v>92</v>
      </c>
    </row>
    <row r="85" spans="1:24" s="75" customFormat="1" ht="12">
      <c r="A85" s="73">
        <f t="shared" si="4"/>
        <v>76</v>
      </c>
      <c r="B85" s="76" t="s">
        <v>1958</v>
      </c>
      <c r="C85" s="98" t="s">
        <v>1884</v>
      </c>
      <c r="D85" s="99" t="s">
        <v>1878</v>
      </c>
      <c r="E85" s="78" t="s">
        <v>1964</v>
      </c>
      <c r="F85" s="74"/>
      <c r="G85" s="79"/>
      <c r="H85" s="79"/>
      <c r="I85" s="78" t="s">
        <v>1965</v>
      </c>
      <c r="J85" s="101">
        <f t="shared" si="32"/>
        <v>3.1</v>
      </c>
      <c r="K85" s="101">
        <f t="shared" si="32"/>
        <v>3.5</v>
      </c>
      <c r="L85" s="101">
        <f t="shared" si="32"/>
        <v>3.6</v>
      </c>
      <c r="M85" s="101">
        <f t="shared" si="32"/>
        <v>6.6</v>
      </c>
      <c r="N85" s="101">
        <f t="shared" si="32"/>
        <v>4.0999999999999996</v>
      </c>
      <c r="O85" s="101">
        <f t="shared" si="32"/>
        <v>2.7</v>
      </c>
      <c r="P85" s="101">
        <f t="shared" si="32"/>
        <v>1.1000000000000001</v>
      </c>
      <c r="Q85" s="101">
        <f t="shared" si="32"/>
        <v>3.1</v>
      </c>
      <c r="R85" s="101">
        <f t="shared" si="32"/>
        <v>0</v>
      </c>
      <c r="S85" s="77"/>
      <c r="T85" s="101">
        <f t="shared" si="34"/>
        <v>4.1999999999999993</v>
      </c>
      <c r="U85" s="101">
        <f t="shared" si="27"/>
        <v>32</v>
      </c>
      <c r="V85" s="102">
        <f t="shared" si="28"/>
        <v>1.6</v>
      </c>
      <c r="W85" s="103">
        <f t="shared" si="29"/>
        <v>1753500</v>
      </c>
      <c r="X85" s="104" t="s">
        <v>92</v>
      </c>
    </row>
    <row r="86" spans="1:24" s="75" customFormat="1" ht="12">
      <c r="A86" s="73">
        <f t="shared" si="4"/>
        <v>77</v>
      </c>
      <c r="B86" s="76" t="s">
        <v>1958</v>
      </c>
      <c r="C86" s="98" t="s">
        <v>1885</v>
      </c>
      <c r="D86" s="99" t="s">
        <v>1878</v>
      </c>
      <c r="E86" s="78" t="s">
        <v>1964</v>
      </c>
      <c r="F86" s="74"/>
      <c r="G86" s="79"/>
      <c r="H86" s="79"/>
      <c r="I86" s="78" t="s">
        <v>1965</v>
      </c>
      <c r="J86" s="101">
        <f t="shared" si="32"/>
        <v>3.1</v>
      </c>
      <c r="K86" s="101">
        <f t="shared" si="32"/>
        <v>3.5</v>
      </c>
      <c r="L86" s="101">
        <f t="shared" si="32"/>
        <v>3.6</v>
      </c>
      <c r="M86" s="101">
        <f t="shared" si="32"/>
        <v>6.6</v>
      </c>
      <c r="N86" s="101">
        <f t="shared" si="32"/>
        <v>4.0999999999999996</v>
      </c>
      <c r="O86" s="101">
        <f t="shared" si="32"/>
        <v>2.7</v>
      </c>
      <c r="P86" s="101">
        <f t="shared" si="32"/>
        <v>1.1000000000000001</v>
      </c>
      <c r="Q86" s="101">
        <f t="shared" si="32"/>
        <v>3.1</v>
      </c>
      <c r="R86" s="101">
        <f t="shared" si="32"/>
        <v>0</v>
      </c>
      <c r="S86" s="77"/>
      <c r="T86" s="101">
        <f t="shared" si="34"/>
        <v>4.1999999999999993</v>
      </c>
      <c r="U86" s="101">
        <f t="shared" si="27"/>
        <v>32</v>
      </c>
      <c r="V86" s="102">
        <f t="shared" si="28"/>
        <v>1.6</v>
      </c>
      <c r="W86" s="103">
        <f t="shared" si="29"/>
        <v>1753500</v>
      </c>
      <c r="X86" s="104" t="s">
        <v>92</v>
      </c>
    </row>
    <row r="87" spans="1:24" s="75" customFormat="1" ht="12">
      <c r="A87" s="73">
        <f t="shared" si="4"/>
        <v>78</v>
      </c>
      <c r="B87" s="76" t="s">
        <v>1958</v>
      </c>
      <c r="C87" s="98" t="s">
        <v>1886</v>
      </c>
      <c r="D87" s="99" t="s">
        <v>1878</v>
      </c>
      <c r="E87" s="78" t="s">
        <v>1964</v>
      </c>
      <c r="F87" s="74"/>
      <c r="G87" s="79"/>
      <c r="H87" s="79"/>
      <c r="I87" s="78" t="s">
        <v>1965</v>
      </c>
      <c r="J87" s="101">
        <f t="shared" si="32"/>
        <v>3.1</v>
      </c>
      <c r="K87" s="101">
        <f t="shared" si="32"/>
        <v>3.5</v>
      </c>
      <c r="L87" s="101">
        <f t="shared" si="32"/>
        <v>3.6</v>
      </c>
      <c r="M87" s="101">
        <f t="shared" si="32"/>
        <v>6.6</v>
      </c>
      <c r="N87" s="101">
        <f t="shared" si="32"/>
        <v>4.0999999999999996</v>
      </c>
      <c r="O87" s="101">
        <f t="shared" si="32"/>
        <v>2.7</v>
      </c>
      <c r="P87" s="101">
        <f t="shared" si="32"/>
        <v>1.1000000000000001</v>
      </c>
      <c r="Q87" s="101">
        <f t="shared" si="32"/>
        <v>3.1</v>
      </c>
      <c r="R87" s="101">
        <f t="shared" si="32"/>
        <v>0</v>
      </c>
      <c r="S87" s="77"/>
      <c r="T87" s="101">
        <f t="shared" si="34"/>
        <v>4.1999999999999993</v>
      </c>
      <c r="U87" s="101">
        <f t="shared" si="27"/>
        <v>32</v>
      </c>
      <c r="V87" s="102">
        <f t="shared" si="28"/>
        <v>1.6</v>
      </c>
      <c r="W87" s="103">
        <f t="shared" si="29"/>
        <v>1753500</v>
      </c>
      <c r="X87" s="104" t="s">
        <v>92</v>
      </c>
    </row>
    <row r="88" spans="1:24" s="75" customFormat="1" ht="12">
      <c r="A88" s="73">
        <f t="shared" si="4"/>
        <v>79</v>
      </c>
      <c r="B88" s="76" t="s">
        <v>1958</v>
      </c>
      <c r="C88" s="98" t="s">
        <v>1887</v>
      </c>
      <c r="D88" s="99" t="s">
        <v>1474</v>
      </c>
      <c r="E88" s="78" t="s">
        <v>1964</v>
      </c>
      <c r="F88" s="74"/>
      <c r="G88" s="79"/>
      <c r="H88" s="79"/>
      <c r="I88" s="78" t="s">
        <v>1965</v>
      </c>
      <c r="J88" s="101">
        <f t="shared" si="32"/>
        <v>3.1</v>
      </c>
      <c r="K88" s="101">
        <f t="shared" si="32"/>
        <v>3.5</v>
      </c>
      <c r="L88" s="101">
        <f t="shared" si="32"/>
        <v>3.6</v>
      </c>
      <c r="M88" s="101">
        <f t="shared" si="32"/>
        <v>6.6</v>
      </c>
      <c r="N88" s="101">
        <f t="shared" si="32"/>
        <v>4.0999999999999996</v>
      </c>
      <c r="O88" s="101">
        <f t="shared" si="32"/>
        <v>2.7</v>
      </c>
      <c r="P88" s="101">
        <f t="shared" si="32"/>
        <v>1.1000000000000001</v>
      </c>
      <c r="Q88" s="101">
        <f t="shared" si="32"/>
        <v>3.1</v>
      </c>
      <c r="R88" s="101">
        <f t="shared" si="32"/>
        <v>0</v>
      </c>
      <c r="S88" s="77"/>
      <c r="T88" s="101">
        <f t="shared" si="34"/>
        <v>4.1999999999999993</v>
      </c>
      <c r="U88" s="101">
        <f t="shared" si="27"/>
        <v>32</v>
      </c>
      <c r="V88" s="102">
        <f t="shared" si="28"/>
        <v>1.6</v>
      </c>
      <c r="W88" s="103">
        <f t="shared" si="29"/>
        <v>1753500</v>
      </c>
      <c r="X88" s="104" t="s">
        <v>92</v>
      </c>
    </row>
    <row r="89" spans="1:24" s="75" customFormat="1" ht="12">
      <c r="A89" s="73">
        <f t="shared" si="4"/>
        <v>80</v>
      </c>
      <c r="B89" s="76" t="s">
        <v>1958</v>
      </c>
      <c r="C89" s="98" t="s">
        <v>1888</v>
      </c>
      <c r="D89" s="99" t="s">
        <v>1474</v>
      </c>
      <c r="E89" s="78" t="s">
        <v>1964</v>
      </c>
      <c r="F89" s="74"/>
      <c r="G89" s="79"/>
      <c r="H89" s="79"/>
      <c r="I89" s="78" t="s">
        <v>1965</v>
      </c>
      <c r="J89" s="101">
        <f t="shared" si="32"/>
        <v>3.1</v>
      </c>
      <c r="K89" s="101">
        <f t="shared" si="32"/>
        <v>3.5</v>
      </c>
      <c r="L89" s="101">
        <f t="shared" si="32"/>
        <v>3.6</v>
      </c>
      <c r="M89" s="101">
        <f t="shared" si="32"/>
        <v>6.6</v>
      </c>
      <c r="N89" s="101">
        <f t="shared" si="32"/>
        <v>4.0999999999999996</v>
      </c>
      <c r="O89" s="101">
        <f t="shared" si="32"/>
        <v>2.7</v>
      </c>
      <c r="P89" s="101">
        <f t="shared" si="32"/>
        <v>1.1000000000000001</v>
      </c>
      <c r="Q89" s="101">
        <f t="shared" si="32"/>
        <v>3.1</v>
      </c>
      <c r="R89" s="101">
        <f t="shared" si="32"/>
        <v>0</v>
      </c>
      <c r="S89" s="77"/>
      <c r="T89" s="101">
        <f t="shared" si="34"/>
        <v>4.1999999999999993</v>
      </c>
      <c r="U89" s="101">
        <f t="shared" si="27"/>
        <v>32</v>
      </c>
      <c r="V89" s="102">
        <f t="shared" si="28"/>
        <v>1.6</v>
      </c>
      <c r="W89" s="103">
        <f t="shared" si="29"/>
        <v>1753500</v>
      </c>
      <c r="X89" s="104" t="s">
        <v>92</v>
      </c>
    </row>
    <row r="90" spans="1:24" s="75" customFormat="1" ht="12">
      <c r="A90" s="73">
        <f t="shared" si="4"/>
        <v>81</v>
      </c>
      <c r="B90" s="76" t="s">
        <v>1958</v>
      </c>
      <c r="C90" s="98" t="s">
        <v>1889</v>
      </c>
      <c r="D90" s="99" t="s">
        <v>1474</v>
      </c>
      <c r="E90" s="78" t="s">
        <v>1964</v>
      </c>
      <c r="F90" s="78"/>
      <c r="G90" s="79"/>
      <c r="H90" s="79"/>
      <c r="I90" s="78" t="s">
        <v>1965</v>
      </c>
      <c r="J90" s="101">
        <f t="shared" ref="J90:R98" si="35">ROUNDUP(IF($E90="画面",画面係数,IF($E90="帳票",帳票係数,IF($E90="バッチ",バッチ係数,0))) *
 IF($I90="特高",特高係数,IF($I90="高",高係数,IF($I90="中",中係数,IF($I90="低",低係数,IF($I90="特低",特低係数,0)))))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3.1</v>
      </c>
      <c r="K90" s="101">
        <f t="shared" si="35"/>
        <v>3.5</v>
      </c>
      <c r="L90" s="101">
        <f t="shared" si="35"/>
        <v>3.6</v>
      </c>
      <c r="M90" s="101">
        <f t="shared" si="35"/>
        <v>6.6</v>
      </c>
      <c r="N90" s="101">
        <f t="shared" si="35"/>
        <v>4.0999999999999996</v>
      </c>
      <c r="O90" s="101">
        <f t="shared" si="35"/>
        <v>2.7</v>
      </c>
      <c r="P90" s="101">
        <f t="shared" si="35"/>
        <v>1.1000000000000001</v>
      </c>
      <c r="Q90" s="101">
        <f t="shared" si="35"/>
        <v>3.1</v>
      </c>
      <c r="R90" s="101">
        <f t="shared" si="35"/>
        <v>0</v>
      </c>
      <c r="S90" s="77"/>
      <c r="T90" s="101">
        <f t="shared" si="6"/>
        <v>4.1999999999999993</v>
      </c>
      <c r="U90" s="101">
        <f t="shared" si="7"/>
        <v>32</v>
      </c>
      <c r="V90" s="102">
        <f t="shared" si="8"/>
        <v>1.6</v>
      </c>
      <c r="W90" s="103">
        <f t="shared" si="9"/>
        <v>1753500</v>
      </c>
      <c r="X90" s="104" t="s">
        <v>92</v>
      </c>
    </row>
    <row r="91" spans="1:24" s="75" customFormat="1" ht="12">
      <c r="A91" s="73">
        <f t="shared" si="4"/>
        <v>82</v>
      </c>
      <c r="B91" s="76" t="s">
        <v>1958</v>
      </c>
      <c r="C91" s="98" t="s">
        <v>1890</v>
      </c>
      <c r="D91" s="99" t="s">
        <v>1474</v>
      </c>
      <c r="E91" s="78" t="s">
        <v>1964</v>
      </c>
      <c r="F91" s="78"/>
      <c r="G91" s="79"/>
      <c r="H91" s="79"/>
      <c r="I91" s="78" t="s">
        <v>1965</v>
      </c>
      <c r="J91" s="101">
        <f t="shared" si="35"/>
        <v>3.1</v>
      </c>
      <c r="K91" s="101">
        <f t="shared" si="35"/>
        <v>3.5</v>
      </c>
      <c r="L91" s="101">
        <f t="shared" si="35"/>
        <v>3.6</v>
      </c>
      <c r="M91" s="101">
        <f t="shared" si="35"/>
        <v>6.6</v>
      </c>
      <c r="N91" s="101">
        <f t="shared" si="35"/>
        <v>4.0999999999999996</v>
      </c>
      <c r="O91" s="101">
        <f t="shared" si="35"/>
        <v>2.7</v>
      </c>
      <c r="P91" s="101">
        <f t="shared" si="35"/>
        <v>1.1000000000000001</v>
      </c>
      <c r="Q91" s="101">
        <f t="shared" si="35"/>
        <v>3.1</v>
      </c>
      <c r="R91" s="101">
        <f t="shared" si="35"/>
        <v>0</v>
      </c>
      <c r="S91" s="77"/>
      <c r="T91" s="101">
        <f t="shared" si="6"/>
        <v>4.1999999999999993</v>
      </c>
      <c r="U91" s="101">
        <f t="shared" si="7"/>
        <v>32</v>
      </c>
      <c r="V91" s="102">
        <f t="shared" si="8"/>
        <v>1.6</v>
      </c>
      <c r="W91" s="103">
        <f t="shared" si="9"/>
        <v>1753500</v>
      </c>
      <c r="X91" s="104" t="s">
        <v>92</v>
      </c>
    </row>
    <row r="92" spans="1:24" s="75" customFormat="1" ht="12">
      <c r="A92" s="73">
        <f t="shared" si="4"/>
        <v>83</v>
      </c>
      <c r="B92" s="76" t="s">
        <v>1958</v>
      </c>
      <c r="C92" s="98" t="s">
        <v>1891</v>
      </c>
      <c r="D92" s="99" t="s">
        <v>1474</v>
      </c>
      <c r="E92" s="78" t="s">
        <v>1964</v>
      </c>
      <c r="F92" s="78"/>
      <c r="G92" s="79"/>
      <c r="H92" s="79"/>
      <c r="I92" s="78" t="s">
        <v>1965</v>
      </c>
      <c r="J92" s="101">
        <f t="shared" si="35"/>
        <v>3.1</v>
      </c>
      <c r="K92" s="101">
        <f t="shared" si="35"/>
        <v>3.5</v>
      </c>
      <c r="L92" s="101">
        <f t="shared" si="35"/>
        <v>3.6</v>
      </c>
      <c r="M92" s="101">
        <f t="shared" si="35"/>
        <v>6.6</v>
      </c>
      <c r="N92" s="101">
        <f t="shared" si="35"/>
        <v>4.0999999999999996</v>
      </c>
      <c r="O92" s="101">
        <f t="shared" si="35"/>
        <v>2.7</v>
      </c>
      <c r="P92" s="101">
        <f t="shared" si="35"/>
        <v>1.1000000000000001</v>
      </c>
      <c r="Q92" s="101">
        <f t="shared" si="35"/>
        <v>3.1</v>
      </c>
      <c r="R92" s="101">
        <f t="shared" si="35"/>
        <v>0</v>
      </c>
      <c r="S92" s="77"/>
      <c r="T92" s="101">
        <f t="shared" si="6"/>
        <v>4.1999999999999993</v>
      </c>
      <c r="U92" s="101">
        <f t="shared" si="7"/>
        <v>32</v>
      </c>
      <c r="V92" s="102">
        <f t="shared" si="8"/>
        <v>1.6</v>
      </c>
      <c r="W92" s="103">
        <f t="shared" si="9"/>
        <v>1753500</v>
      </c>
      <c r="X92" s="104" t="s">
        <v>92</v>
      </c>
    </row>
    <row r="93" spans="1:24" s="75" customFormat="1" ht="12">
      <c r="A93" s="73">
        <f t="shared" si="4"/>
        <v>84</v>
      </c>
      <c r="B93" s="76" t="s">
        <v>1958</v>
      </c>
      <c r="C93" s="98" t="s">
        <v>1892</v>
      </c>
      <c r="D93" s="99" t="s">
        <v>1474</v>
      </c>
      <c r="E93" s="78" t="s">
        <v>1964</v>
      </c>
      <c r="F93" s="74"/>
      <c r="G93" s="79"/>
      <c r="H93" s="79"/>
      <c r="I93" s="78" t="s">
        <v>1965</v>
      </c>
      <c r="J93" s="101">
        <f t="shared" si="35"/>
        <v>3.1</v>
      </c>
      <c r="K93" s="101">
        <f t="shared" si="35"/>
        <v>3.5</v>
      </c>
      <c r="L93" s="101">
        <f t="shared" si="35"/>
        <v>3.6</v>
      </c>
      <c r="M93" s="101">
        <f t="shared" si="35"/>
        <v>6.6</v>
      </c>
      <c r="N93" s="101">
        <f t="shared" si="35"/>
        <v>4.0999999999999996</v>
      </c>
      <c r="O93" s="101">
        <f t="shared" si="35"/>
        <v>2.7</v>
      </c>
      <c r="P93" s="101">
        <f t="shared" si="35"/>
        <v>1.1000000000000001</v>
      </c>
      <c r="Q93" s="101">
        <f t="shared" si="35"/>
        <v>3.1</v>
      </c>
      <c r="R93" s="101">
        <f t="shared" si="35"/>
        <v>0</v>
      </c>
      <c r="S93" s="77"/>
      <c r="T93" s="101">
        <f t="shared" si="6"/>
        <v>4.1999999999999993</v>
      </c>
      <c r="U93" s="101">
        <f t="shared" si="7"/>
        <v>32</v>
      </c>
      <c r="V93" s="102">
        <f t="shared" si="8"/>
        <v>1.6</v>
      </c>
      <c r="W93" s="103">
        <f t="shared" si="9"/>
        <v>1753500</v>
      </c>
      <c r="X93" s="104" t="s">
        <v>92</v>
      </c>
    </row>
    <row r="94" spans="1:24" s="75" customFormat="1" ht="12">
      <c r="A94" s="73">
        <f t="shared" si="4"/>
        <v>85</v>
      </c>
      <c r="B94" s="76" t="s">
        <v>1958</v>
      </c>
      <c r="C94" s="98" t="s">
        <v>1893</v>
      </c>
      <c r="D94" s="99" t="s">
        <v>1484</v>
      </c>
      <c r="E94" s="78" t="s">
        <v>1964</v>
      </c>
      <c r="F94" s="74"/>
      <c r="G94" s="79"/>
      <c r="H94" s="79"/>
      <c r="I94" s="78" t="s">
        <v>1965</v>
      </c>
      <c r="J94" s="101">
        <f t="shared" si="35"/>
        <v>3.1</v>
      </c>
      <c r="K94" s="101">
        <f t="shared" si="35"/>
        <v>3.5</v>
      </c>
      <c r="L94" s="101">
        <f t="shared" si="35"/>
        <v>3.6</v>
      </c>
      <c r="M94" s="101">
        <f t="shared" si="35"/>
        <v>6.6</v>
      </c>
      <c r="N94" s="101">
        <f t="shared" si="35"/>
        <v>4.0999999999999996</v>
      </c>
      <c r="O94" s="101">
        <f t="shared" si="35"/>
        <v>2.7</v>
      </c>
      <c r="P94" s="101">
        <f t="shared" si="35"/>
        <v>1.1000000000000001</v>
      </c>
      <c r="Q94" s="101">
        <f t="shared" si="35"/>
        <v>3.1</v>
      </c>
      <c r="R94" s="101">
        <f t="shared" si="35"/>
        <v>0</v>
      </c>
      <c r="S94" s="77"/>
      <c r="T94" s="101">
        <f t="shared" si="6"/>
        <v>4.1999999999999993</v>
      </c>
      <c r="U94" s="101">
        <f t="shared" si="7"/>
        <v>32</v>
      </c>
      <c r="V94" s="102">
        <f t="shared" si="8"/>
        <v>1.6</v>
      </c>
      <c r="W94" s="103">
        <f t="shared" si="9"/>
        <v>1753500</v>
      </c>
      <c r="X94" s="104" t="s">
        <v>92</v>
      </c>
    </row>
    <row r="95" spans="1:24" s="75" customFormat="1" ht="12">
      <c r="A95" s="73">
        <f t="shared" si="4"/>
        <v>86</v>
      </c>
      <c r="B95" s="76" t="s">
        <v>1958</v>
      </c>
      <c r="C95" s="98" t="s">
        <v>1894</v>
      </c>
      <c r="D95" s="99" t="s">
        <v>1484</v>
      </c>
      <c r="E95" s="78" t="s">
        <v>1964</v>
      </c>
      <c r="F95" s="74"/>
      <c r="G95" s="79"/>
      <c r="H95" s="79"/>
      <c r="I95" s="78" t="s">
        <v>1965</v>
      </c>
      <c r="J95" s="101">
        <f t="shared" si="35"/>
        <v>3.1</v>
      </c>
      <c r="K95" s="101">
        <f t="shared" si="35"/>
        <v>3.5</v>
      </c>
      <c r="L95" s="101">
        <f t="shared" si="35"/>
        <v>3.6</v>
      </c>
      <c r="M95" s="101">
        <f t="shared" si="35"/>
        <v>6.6</v>
      </c>
      <c r="N95" s="101">
        <f t="shared" si="35"/>
        <v>4.0999999999999996</v>
      </c>
      <c r="O95" s="101">
        <f t="shared" si="35"/>
        <v>2.7</v>
      </c>
      <c r="P95" s="101">
        <f t="shared" si="35"/>
        <v>1.1000000000000001</v>
      </c>
      <c r="Q95" s="101">
        <f t="shared" si="35"/>
        <v>3.1</v>
      </c>
      <c r="R95" s="101">
        <f t="shared" si="35"/>
        <v>0</v>
      </c>
      <c r="S95" s="77"/>
      <c r="T95" s="101">
        <f t="shared" si="6"/>
        <v>4.1999999999999993</v>
      </c>
      <c r="U95" s="101">
        <f t="shared" si="7"/>
        <v>32</v>
      </c>
      <c r="V95" s="102">
        <f t="shared" si="8"/>
        <v>1.6</v>
      </c>
      <c r="W95" s="103">
        <f t="shared" si="9"/>
        <v>1753500</v>
      </c>
      <c r="X95" s="104" t="s">
        <v>92</v>
      </c>
    </row>
    <row r="96" spans="1:24" s="75" customFormat="1" ht="12">
      <c r="A96" s="73">
        <f t="shared" si="4"/>
        <v>87</v>
      </c>
      <c r="B96" s="76" t="s">
        <v>1958</v>
      </c>
      <c r="C96" s="98" t="s">
        <v>1895</v>
      </c>
      <c r="D96" s="99" t="s">
        <v>1484</v>
      </c>
      <c r="E96" s="78" t="s">
        <v>1964</v>
      </c>
      <c r="F96" s="74"/>
      <c r="G96" s="79"/>
      <c r="H96" s="79"/>
      <c r="I96" s="78" t="s">
        <v>1965</v>
      </c>
      <c r="J96" s="101">
        <f t="shared" si="35"/>
        <v>3.1</v>
      </c>
      <c r="K96" s="101">
        <f t="shared" si="35"/>
        <v>3.5</v>
      </c>
      <c r="L96" s="101">
        <f t="shared" si="35"/>
        <v>3.6</v>
      </c>
      <c r="M96" s="101">
        <f t="shared" si="35"/>
        <v>6.6</v>
      </c>
      <c r="N96" s="101">
        <f t="shared" si="35"/>
        <v>4.0999999999999996</v>
      </c>
      <c r="O96" s="101">
        <f t="shared" si="35"/>
        <v>2.7</v>
      </c>
      <c r="P96" s="101">
        <f t="shared" si="35"/>
        <v>1.1000000000000001</v>
      </c>
      <c r="Q96" s="101">
        <f t="shared" si="35"/>
        <v>3.1</v>
      </c>
      <c r="R96" s="101">
        <f t="shared" si="35"/>
        <v>0</v>
      </c>
      <c r="S96" s="77"/>
      <c r="T96" s="101">
        <f t="shared" si="6"/>
        <v>4.1999999999999993</v>
      </c>
      <c r="U96" s="101">
        <f t="shared" si="7"/>
        <v>32</v>
      </c>
      <c r="V96" s="102">
        <f t="shared" si="8"/>
        <v>1.6</v>
      </c>
      <c r="W96" s="103">
        <f t="shared" si="9"/>
        <v>1753500</v>
      </c>
      <c r="X96" s="104" t="s">
        <v>92</v>
      </c>
    </row>
    <row r="97" spans="1:24" s="75" customFormat="1" ht="12">
      <c r="A97" s="73">
        <f t="shared" si="4"/>
        <v>88</v>
      </c>
      <c r="B97" s="76" t="s">
        <v>1958</v>
      </c>
      <c r="C97" s="98" t="s">
        <v>1896</v>
      </c>
      <c r="D97" s="99" t="s">
        <v>1484</v>
      </c>
      <c r="E97" s="78" t="s">
        <v>1964</v>
      </c>
      <c r="F97" s="74"/>
      <c r="G97" s="79"/>
      <c r="H97" s="79"/>
      <c r="I97" s="78" t="s">
        <v>1965</v>
      </c>
      <c r="J97" s="101">
        <f t="shared" si="35"/>
        <v>3.1</v>
      </c>
      <c r="K97" s="101">
        <f t="shared" si="35"/>
        <v>3.5</v>
      </c>
      <c r="L97" s="101">
        <f t="shared" si="35"/>
        <v>3.6</v>
      </c>
      <c r="M97" s="101">
        <f t="shared" si="35"/>
        <v>6.6</v>
      </c>
      <c r="N97" s="101">
        <f t="shared" si="35"/>
        <v>4.0999999999999996</v>
      </c>
      <c r="O97" s="101">
        <f t="shared" si="35"/>
        <v>2.7</v>
      </c>
      <c r="P97" s="101">
        <f t="shared" si="35"/>
        <v>1.1000000000000001</v>
      </c>
      <c r="Q97" s="101">
        <f t="shared" si="35"/>
        <v>3.1</v>
      </c>
      <c r="R97" s="101">
        <f t="shared" si="35"/>
        <v>0</v>
      </c>
      <c r="S97" s="77"/>
      <c r="T97" s="101">
        <f t="shared" si="6"/>
        <v>4.1999999999999993</v>
      </c>
      <c r="U97" s="101">
        <f t="shared" si="7"/>
        <v>32</v>
      </c>
      <c r="V97" s="102">
        <f t="shared" si="8"/>
        <v>1.6</v>
      </c>
      <c r="W97" s="103">
        <f t="shared" si="9"/>
        <v>1753500</v>
      </c>
      <c r="X97" s="104" t="s">
        <v>92</v>
      </c>
    </row>
    <row r="98" spans="1:24" s="75" customFormat="1" ht="12">
      <c r="A98" s="73">
        <f t="shared" si="4"/>
        <v>89</v>
      </c>
      <c r="B98" s="76" t="s">
        <v>1958</v>
      </c>
      <c r="C98" s="98" t="s">
        <v>1897</v>
      </c>
      <c r="D98" s="99" t="s">
        <v>1484</v>
      </c>
      <c r="E98" s="78" t="s">
        <v>1964</v>
      </c>
      <c r="F98" s="74"/>
      <c r="G98" s="79"/>
      <c r="H98" s="79"/>
      <c r="I98" s="78" t="s">
        <v>1965</v>
      </c>
      <c r="J98" s="101">
        <f t="shared" si="35"/>
        <v>3.1</v>
      </c>
      <c r="K98" s="101">
        <f t="shared" si="35"/>
        <v>3.5</v>
      </c>
      <c r="L98" s="101">
        <f t="shared" si="35"/>
        <v>3.6</v>
      </c>
      <c r="M98" s="101">
        <f t="shared" si="35"/>
        <v>6.6</v>
      </c>
      <c r="N98" s="101">
        <f t="shared" si="35"/>
        <v>4.0999999999999996</v>
      </c>
      <c r="O98" s="101">
        <f t="shared" si="35"/>
        <v>2.7</v>
      </c>
      <c r="P98" s="101">
        <f t="shared" si="35"/>
        <v>1.1000000000000001</v>
      </c>
      <c r="Q98" s="101">
        <f t="shared" si="35"/>
        <v>3.1</v>
      </c>
      <c r="R98" s="101">
        <f t="shared" si="35"/>
        <v>0</v>
      </c>
      <c r="S98" s="77"/>
      <c r="T98" s="101">
        <f t="shared" ref="T98" si="36">ROUNDUP(SUM(J98:S98)*T$8,1)</f>
        <v>4.1999999999999993</v>
      </c>
      <c r="U98" s="101">
        <f t="shared" si="7"/>
        <v>32</v>
      </c>
      <c r="V98" s="102">
        <f t="shared" si="8"/>
        <v>1.6</v>
      </c>
      <c r="W98" s="103">
        <f t="shared" si="9"/>
        <v>1753500</v>
      </c>
      <c r="X98" s="104" t="s">
        <v>92</v>
      </c>
    </row>
    <row r="99" spans="1:24" s="75" customFormat="1" ht="12">
      <c r="A99" s="73">
        <f t="shared" si="4"/>
        <v>90</v>
      </c>
      <c r="B99" s="76" t="s">
        <v>1958</v>
      </c>
      <c r="C99" s="98" t="s">
        <v>1898</v>
      </c>
      <c r="D99" s="99" t="s">
        <v>1484</v>
      </c>
      <c r="E99" s="78" t="s">
        <v>1964</v>
      </c>
      <c r="F99" s="74"/>
      <c r="G99" s="79"/>
      <c r="H99" s="79"/>
      <c r="I99" s="78" t="s">
        <v>1965</v>
      </c>
      <c r="J99" s="101">
        <f t="shared" si="5"/>
        <v>3.1</v>
      </c>
      <c r="K99" s="101">
        <f t="shared" si="5"/>
        <v>3.5</v>
      </c>
      <c r="L99" s="101">
        <f t="shared" si="5"/>
        <v>3.6</v>
      </c>
      <c r="M99" s="101">
        <f t="shared" si="5"/>
        <v>6.6</v>
      </c>
      <c r="N99" s="101">
        <f t="shared" si="5"/>
        <v>4.0999999999999996</v>
      </c>
      <c r="O99" s="101">
        <f t="shared" si="5"/>
        <v>2.7</v>
      </c>
      <c r="P99" s="101">
        <f t="shared" si="5"/>
        <v>1.1000000000000001</v>
      </c>
      <c r="Q99" s="101">
        <f t="shared" si="5"/>
        <v>3.1</v>
      </c>
      <c r="R99" s="101">
        <f t="shared" si="5"/>
        <v>0</v>
      </c>
      <c r="S99" s="77"/>
      <c r="T99" s="101">
        <f t="shared" ref="T99:T106" si="37">ROUNDUP(SUM(J99:S99)*T$8,1)</f>
        <v>4.1999999999999993</v>
      </c>
      <c r="U99" s="101">
        <f t="shared" ref="U99:U107" si="38">SUM(J99:T99)</f>
        <v>32</v>
      </c>
      <c r="V99" s="102">
        <f t="shared" ref="V99:V107" si="39">U99/20</f>
        <v>1.6</v>
      </c>
      <c r="W99" s="103">
        <f t="shared" ref="W99:W107" si="40">((J99*J$9) + (K99*K$9) + (L99*L$9) + (M99*M$9) + (N99*N$9) + (O99*O$9) + (P99*P$9) + (Q99*Q$9) + (R99*R$9) + (S99*S$9) + (T99*T$9))/20</f>
        <v>1753500</v>
      </c>
      <c r="X99" s="104" t="s">
        <v>92</v>
      </c>
    </row>
    <row r="100" spans="1:24" s="75" customFormat="1" ht="12">
      <c r="A100" s="73">
        <f t="shared" si="4"/>
        <v>91</v>
      </c>
      <c r="B100" s="76" t="s">
        <v>1958</v>
      </c>
      <c r="C100" s="98" t="s">
        <v>1899</v>
      </c>
      <c r="D100" s="99" t="s">
        <v>1493</v>
      </c>
      <c r="E100" s="78" t="s">
        <v>1964</v>
      </c>
      <c r="F100" s="74"/>
      <c r="G100" s="79"/>
      <c r="H100" s="79"/>
      <c r="I100" s="78" t="s">
        <v>1965</v>
      </c>
      <c r="J100" s="101">
        <f t="shared" si="5"/>
        <v>3.1</v>
      </c>
      <c r="K100" s="101">
        <f t="shared" si="5"/>
        <v>3.5</v>
      </c>
      <c r="L100" s="101">
        <f t="shared" si="5"/>
        <v>3.6</v>
      </c>
      <c r="M100" s="101">
        <f t="shared" si="5"/>
        <v>6.6</v>
      </c>
      <c r="N100" s="101">
        <f t="shared" si="5"/>
        <v>4.0999999999999996</v>
      </c>
      <c r="O100" s="101">
        <f t="shared" si="5"/>
        <v>2.7</v>
      </c>
      <c r="P100" s="101">
        <f t="shared" si="5"/>
        <v>1.1000000000000001</v>
      </c>
      <c r="Q100" s="101">
        <f t="shared" si="5"/>
        <v>3.1</v>
      </c>
      <c r="R100" s="101">
        <f t="shared" si="5"/>
        <v>0</v>
      </c>
      <c r="S100" s="77"/>
      <c r="T100" s="101">
        <f t="shared" si="37"/>
        <v>4.1999999999999993</v>
      </c>
      <c r="U100" s="101">
        <f t="shared" si="38"/>
        <v>32</v>
      </c>
      <c r="V100" s="102">
        <f t="shared" si="39"/>
        <v>1.6</v>
      </c>
      <c r="W100" s="103">
        <f t="shared" si="40"/>
        <v>1753500</v>
      </c>
      <c r="X100" s="104" t="s">
        <v>92</v>
      </c>
    </row>
    <row r="101" spans="1:24" s="75" customFormat="1" ht="12">
      <c r="A101" s="73">
        <f t="shared" si="4"/>
        <v>92</v>
      </c>
      <c r="B101" s="76" t="s">
        <v>1958</v>
      </c>
      <c r="C101" s="98" t="s">
        <v>1900</v>
      </c>
      <c r="D101" s="99" t="s">
        <v>1493</v>
      </c>
      <c r="E101" s="78" t="s">
        <v>1964</v>
      </c>
      <c r="F101" s="74"/>
      <c r="G101" s="79"/>
      <c r="H101" s="79"/>
      <c r="I101" s="78" t="s">
        <v>1965</v>
      </c>
      <c r="J101" s="101">
        <f t="shared" si="5"/>
        <v>3.1</v>
      </c>
      <c r="K101" s="101">
        <f t="shared" si="5"/>
        <v>3.5</v>
      </c>
      <c r="L101" s="101">
        <f t="shared" si="5"/>
        <v>3.6</v>
      </c>
      <c r="M101" s="101">
        <f t="shared" si="5"/>
        <v>6.6</v>
      </c>
      <c r="N101" s="101">
        <f t="shared" si="5"/>
        <v>4.0999999999999996</v>
      </c>
      <c r="O101" s="101">
        <f t="shared" si="5"/>
        <v>2.7</v>
      </c>
      <c r="P101" s="101">
        <f t="shared" si="5"/>
        <v>1.1000000000000001</v>
      </c>
      <c r="Q101" s="101">
        <f t="shared" si="5"/>
        <v>3.1</v>
      </c>
      <c r="R101" s="101">
        <f t="shared" si="5"/>
        <v>0</v>
      </c>
      <c r="S101" s="77"/>
      <c r="T101" s="101">
        <f t="shared" si="37"/>
        <v>4.1999999999999993</v>
      </c>
      <c r="U101" s="101">
        <f t="shared" si="38"/>
        <v>32</v>
      </c>
      <c r="V101" s="102">
        <f t="shared" si="39"/>
        <v>1.6</v>
      </c>
      <c r="W101" s="103">
        <f t="shared" si="40"/>
        <v>1753500</v>
      </c>
      <c r="X101" s="104" t="s">
        <v>92</v>
      </c>
    </row>
    <row r="102" spans="1:24" s="75" customFormat="1" ht="12">
      <c r="A102" s="73">
        <f t="shared" si="4"/>
        <v>93</v>
      </c>
      <c r="B102" s="76" t="s">
        <v>1958</v>
      </c>
      <c r="C102" s="98" t="s">
        <v>1901</v>
      </c>
      <c r="D102" s="99" t="s">
        <v>1493</v>
      </c>
      <c r="E102" s="78" t="s">
        <v>1964</v>
      </c>
      <c r="F102" s="74"/>
      <c r="G102" s="79"/>
      <c r="H102" s="79"/>
      <c r="I102" s="78" t="s">
        <v>1965</v>
      </c>
      <c r="J102" s="101">
        <f t="shared" si="5"/>
        <v>3.1</v>
      </c>
      <c r="K102" s="101">
        <f t="shared" si="5"/>
        <v>3.5</v>
      </c>
      <c r="L102" s="101">
        <f t="shared" si="5"/>
        <v>3.6</v>
      </c>
      <c r="M102" s="101">
        <f t="shared" si="5"/>
        <v>6.6</v>
      </c>
      <c r="N102" s="101">
        <f t="shared" si="5"/>
        <v>4.0999999999999996</v>
      </c>
      <c r="O102" s="101">
        <f t="shared" si="5"/>
        <v>2.7</v>
      </c>
      <c r="P102" s="101">
        <f t="shared" si="5"/>
        <v>1.1000000000000001</v>
      </c>
      <c r="Q102" s="101">
        <f t="shared" si="5"/>
        <v>3.1</v>
      </c>
      <c r="R102" s="101">
        <f t="shared" si="5"/>
        <v>0</v>
      </c>
      <c r="S102" s="77"/>
      <c r="T102" s="101">
        <f t="shared" si="37"/>
        <v>4.1999999999999993</v>
      </c>
      <c r="U102" s="101">
        <f t="shared" si="38"/>
        <v>32</v>
      </c>
      <c r="V102" s="102">
        <f t="shared" si="39"/>
        <v>1.6</v>
      </c>
      <c r="W102" s="103">
        <f t="shared" si="40"/>
        <v>1753500</v>
      </c>
      <c r="X102" s="104" t="s">
        <v>92</v>
      </c>
    </row>
    <row r="103" spans="1:24" s="75" customFormat="1" ht="12">
      <c r="A103" s="73">
        <f t="shared" si="4"/>
        <v>94</v>
      </c>
      <c r="B103" s="76" t="s">
        <v>1959</v>
      </c>
      <c r="C103" s="98" t="s">
        <v>1902</v>
      </c>
      <c r="D103" s="99" t="s">
        <v>1493</v>
      </c>
      <c r="E103" s="78" t="s">
        <v>1964</v>
      </c>
      <c r="F103" s="74"/>
      <c r="G103" s="79"/>
      <c r="H103" s="79"/>
      <c r="I103" s="78" t="s">
        <v>1962</v>
      </c>
      <c r="J103" s="101">
        <f t="shared" si="5"/>
        <v>2.2000000000000002</v>
      </c>
      <c r="K103" s="101">
        <f t="shared" si="5"/>
        <v>2.5</v>
      </c>
      <c r="L103" s="101">
        <f t="shared" si="5"/>
        <v>2.6</v>
      </c>
      <c r="M103" s="101">
        <f t="shared" si="5"/>
        <v>4.6999999999999993</v>
      </c>
      <c r="N103" s="101">
        <f t="shared" si="5"/>
        <v>2.9</v>
      </c>
      <c r="O103" s="101">
        <f t="shared" si="5"/>
        <v>1.9000000000000001</v>
      </c>
      <c r="P103" s="101">
        <f t="shared" si="5"/>
        <v>0.79999999999999993</v>
      </c>
      <c r="Q103" s="101">
        <f t="shared" si="5"/>
        <v>2.2000000000000002</v>
      </c>
      <c r="R103" s="101">
        <f t="shared" si="5"/>
        <v>0</v>
      </c>
      <c r="S103" s="77"/>
      <c r="T103" s="101">
        <f t="shared" si="37"/>
        <v>3</v>
      </c>
      <c r="U103" s="101">
        <f t="shared" si="38"/>
        <v>22.8</v>
      </c>
      <c r="V103" s="102">
        <f t="shared" si="39"/>
        <v>1.1400000000000001</v>
      </c>
      <c r="W103" s="103">
        <f t="shared" si="40"/>
        <v>1249500</v>
      </c>
      <c r="X103" s="104" t="s">
        <v>92</v>
      </c>
    </row>
    <row r="104" spans="1:24" s="75" customFormat="1" ht="12">
      <c r="A104" s="73">
        <f t="shared" si="4"/>
        <v>95</v>
      </c>
      <c r="B104" s="76" t="s">
        <v>1959</v>
      </c>
      <c r="C104" s="98" t="s">
        <v>1903</v>
      </c>
      <c r="D104" s="99" t="s">
        <v>1493</v>
      </c>
      <c r="E104" s="78" t="s">
        <v>1964</v>
      </c>
      <c r="F104" s="74"/>
      <c r="G104" s="79"/>
      <c r="H104" s="79"/>
      <c r="I104" s="78" t="s">
        <v>1962</v>
      </c>
      <c r="J104" s="101">
        <f t="shared" si="5"/>
        <v>2.2000000000000002</v>
      </c>
      <c r="K104" s="101">
        <f t="shared" si="5"/>
        <v>2.5</v>
      </c>
      <c r="L104" s="101">
        <f t="shared" si="5"/>
        <v>2.6</v>
      </c>
      <c r="M104" s="101">
        <f t="shared" si="5"/>
        <v>4.6999999999999993</v>
      </c>
      <c r="N104" s="101">
        <f t="shared" si="5"/>
        <v>2.9</v>
      </c>
      <c r="O104" s="101">
        <f t="shared" si="5"/>
        <v>1.9000000000000001</v>
      </c>
      <c r="P104" s="101">
        <f t="shared" si="5"/>
        <v>0.79999999999999993</v>
      </c>
      <c r="Q104" s="101">
        <f t="shared" si="5"/>
        <v>2.2000000000000002</v>
      </c>
      <c r="R104" s="101">
        <f t="shared" si="5"/>
        <v>0</v>
      </c>
      <c r="S104" s="77"/>
      <c r="T104" s="101">
        <f t="shared" si="37"/>
        <v>3</v>
      </c>
      <c r="U104" s="101">
        <f t="shared" si="38"/>
        <v>22.8</v>
      </c>
      <c r="V104" s="102">
        <f t="shared" si="39"/>
        <v>1.1400000000000001</v>
      </c>
      <c r="W104" s="103">
        <f t="shared" si="40"/>
        <v>1249500</v>
      </c>
      <c r="X104" s="104" t="s">
        <v>92</v>
      </c>
    </row>
    <row r="105" spans="1:24" s="75" customFormat="1" ht="12">
      <c r="A105" s="73">
        <f t="shared" si="4"/>
        <v>96</v>
      </c>
      <c r="B105" s="76" t="s">
        <v>1959</v>
      </c>
      <c r="C105" s="98" t="s">
        <v>1904</v>
      </c>
      <c r="D105" s="99" t="s">
        <v>1493</v>
      </c>
      <c r="E105" s="78" t="s">
        <v>1964</v>
      </c>
      <c r="F105" s="74"/>
      <c r="G105" s="79"/>
      <c r="H105" s="79"/>
      <c r="I105" s="78" t="s">
        <v>1962</v>
      </c>
      <c r="J105" s="101">
        <f t="shared" si="5"/>
        <v>2.2000000000000002</v>
      </c>
      <c r="K105" s="101">
        <f t="shared" si="5"/>
        <v>2.5</v>
      </c>
      <c r="L105" s="101">
        <f t="shared" si="5"/>
        <v>2.6</v>
      </c>
      <c r="M105" s="101">
        <f t="shared" si="5"/>
        <v>4.6999999999999993</v>
      </c>
      <c r="N105" s="101">
        <f t="shared" si="5"/>
        <v>2.9</v>
      </c>
      <c r="O105" s="101">
        <f t="shared" si="5"/>
        <v>1.9000000000000001</v>
      </c>
      <c r="P105" s="101">
        <f t="shared" si="5"/>
        <v>0.79999999999999993</v>
      </c>
      <c r="Q105" s="101">
        <f t="shared" si="5"/>
        <v>2.2000000000000002</v>
      </c>
      <c r="R105" s="101">
        <f t="shared" si="5"/>
        <v>0</v>
      </c>
      <c r="S105" s="77"/>
      <c r="T105" s="101">
        <f t="shared" si="37"/>
        <v>3</v>
      </c>
      <c r="U105" s="101">
        <f t="shared" si="38"/>
        <v>22.8</v>
      </c>
      <c r="V105" s="102">
        <f t="shared" si="39"/>
        <v>1.1400000000000001</v>
      </c>
      <c r="W105" s="103">
        <f t="shared" si="40"/>
        <v>1249500</v>
      </c>
      <c r="X105" s="104" t="s">
        <v>92</v>
      </c>
    </row>
    <row r="106" spans="1:24" s="75" customFormat="1" ht="12">
      <c r="A106" s="73">
        <f t="shared" si="4"/>
        <v>97</v>
      </c>
      <c r="B106" s="76" t="s">
        <v>1959</v>
      </c>
      <c r="C106" s="98" t="s">
        <v>1905</v>
      </c>
      <c r="D106" s="99" t="s">
        <v>1493</v>
      </c>
      <c r="E106" s="78" t="s">
        <v>1964</v>
      </c>
      <c r="F106" s="74"/>
      <c r="G106" s="79"/>
      <c r="H106" s="79"/>
      <c r="I106" s="78" t="s">
        <v>1962</v>
      </c>
      <c r="J106" s="101">
        <f t="shared" si="5"/>
        <v>2.2000000000000002</v>
      </c>
      <c r="K106" s="101">
        <f t="shared" si="5"/>
        <v>2.5</v>
      </c>
      <c r="L106" s="101">
        <f t="shared" si="5"/>
        <v>2.6</v>
      </c>
      <c r="M106" s="101">
        <f t="shared" si="5"/>
        <v>4.6999999999999993</v>
      </c>
      <c r="N106" s="101">
        <f t="shared" ref="J106:R107" si="41">ROUNDUP(IF($E106="画面",画面係数,IF($E106="帳票",帳票係数,IF($E106="バッチ",バッチ係数,0))) *
 IF($I106="特高",特高係数,IF($I106="高",高係数,IF($I106="中",中係数,IF($I106="低",低係数,IF($I106="特低",特低係数,0))))) *
 IF(N$7="SA",要件定義係数,IF(N$7="UI",基本設計係数,IF(N$7="SS",詳細設計係数,IF(N$7="PS/PG/PT",製作係数,IF(N$7="IT",結合テスト係数,IF(N$7="ST",総合テスト係数,IF(N$7="OT",受入支援係数,IF(N$7="RL",移行切替係数,IF(N$7="その他",その他係数,0))))))))) *
 N$8,1)</f>
        <v>2.9</v>
      </c>
      <c r="O106" s="101">
        <f t="shared" si="41"/>
        <v>1.9000000000000001</v>
      </c>
      <c r="P106" s="101">
        <f t="shared" si="41"/>
        <v>0.79999999999999993</v>
      </c>
      <c r="Q106" s="101">
        <f t="shared" si="41"/>
        <v>2.2000000000000002</v>
      </c>
      <c r="R106" s="101">
        <f t="shared" si="41"/>
        <v>0</v>
      </c>
      <c r="S106" s="77"/>
      <c r="T106" s="101">
        <f t="shared" si="37"/>
        <v>3</v>
      </c>
      <c r="U106" s="101">
        <f t="shared" si="38"/>
        <v>22.8</v>
      </c>
      <c r="V106" s="102">
        <f t="shared" si="39"/>
        <v>1.1400000000000001</v>
      </c>
      <c r="W106" s="103">
        <f t="shared" si="40"/>
        <v>1249500</v>
      </c>
      <c r="X106" s="104" t="s">
        <v>92</v>
      </c>
    </row>
    <row r="107" spans="1:24" s="75" customFormat="1" ht="12">
      <c r="A107" s="73">
        <f t="shared" si="4"/>
        <v>98</v>
      </c>
      <c r="B107" s="76" t="s">
        <v>1958</v>
      </c>
      <c r="C107" s="98" t="s">
        <v>1906</v>
      </c>
      <c r="D107" s="99" t="s">
        <v>1493</v>
      </c>
      <c r="E107" s="78" t="s">
        <v>1964</v>
      </c>
      <c r="F107" s="74"/>
      <c r="G107" s="79"/>
      <c r="H107" s="79"/>
      <c r="I107" s="78" t="s">
        <v>1962</v>
      </c>
      <c r="J107" s="101">
        <f t="shared" si="41"/>
        <v>2.2000000000000002</v>
      </c>
      <c r="K107" s="101">
        <f t="shared" si="41"/>
        <v>2.5</v>
      </c>
      <c r="L107" s="101">
        <f t="shared" si="41"/>
        <v>2.6</v>
      </c>
      <c r="M107" s="101">
        <f t="shared" si="41"/>
        <v>4.6999999999999993</v>
      </c>
      <c r="N107" s="101">
        <f t="shared" si="41"/>
        <v>2.9</v>
      </c>
      <c r="O107" s="101">
        <f t="shared" si="41"/>
        <v>1.9000000000000001</v>
      </c>
      <c r="P107" s="101">
        <f t="shared" si="41"/>
        <v>0.79999999999999993</v>
      </c>
      <c r="Q107" s="101">
        <f t="shared" si="41"/>
        <v>2.2000000000000002</v>
      </c>
      <c r="R107" s="101">
        <f t="shared" si="41"/>
        <v>0</v>
      </c>
      <c r="S107" s="77"/>
      <c r="T107" s="101">
        <f t="shared" ref="T107" si="42">ROUNDUP(SUM(J107:S107)*T$8,1)</f>
        <v>3</v>
      </c>
      <c r="U107" s="101">
        <f t="shared" si="38"/>
        <v>22.8</v>
      </c>
      <c r="V107" s="102">
        <f t="shared" si="39"/>
        <v>1.1400000000000001</v>
      </c>
      <c r="W107" s="103">
        <f t="shared" si="40"/>
        <v>1249500</v>
      </c>
      <c r="X107" s="104" t="s">
        <v>92</v>
      </c>
    </row>
    <row r="108" spans="1:24" s="75" customFormat="1" ht="12">
      <c r="A108" s="73">
        <f t="shared" si="4"/>
        <v>99</v>
      </c>
      <c r="B108" s="76" t="s">
        <v>1958</v>
      </c>
      <c r="C108" s="98" t="s">
        <v>1907</v>
      </c>
      <c r="D108" s="99" t="s">
        <v>1504</v>
      </c>
      <c r="E108" s="78" t="s">
        <v>1964</v>
      </c>
      <c r="F108" s="78"/>
      <c r="G108" s="79"/>
      <c r="H108" s="79"/>
      <c r="I108" s="78" t="s">
        <v>1965</v>
      </c>
      <c r="J108" s="101">
        <f t="shared" si="5"/>
        <v>3.1</v>
      </c>
      <c r="K108" s="101">
        <f t="shared" si="5"/>
        <v>3.5</v>
      </c>
      <c r="L108" s="101">
        <f t="shared" si="5"/>
        <v>3.6</v>
      </c>
      <c r="M108" s="101">
        <f t="shared" si="5"/>
        <v>6.6</v>
      </c>
      <c r="N108" s="101">
        <f t="shared" si="5"/>
        <v>4.0999999999999996</v>
      </c>
      <c r="O108" s="101">
        <f t="shared" si="5"/>
        <v>2.7</v>
      </c>
      <c r="P108" s="101">
        <f t="shared" si="5"/>
        <v>1.1000000000000001</v>
      </c>
      <c r="Q108" s="101">
        <f t="shared" si="5"/>
        <v>3.1</v>
      </c>
      <c r="R108" s="101">
        <f t="shared" si="5"/>
        <v>0</v>
      </c>
      <c r="S108" s="77"/>
      <c r="T108" s="101">
        <f t="shared" si="6"/>
        <v>4.1999999999999993</v>
      </c>
      <c r="U108" s="101">
        <f t="shared" si="7"/>
        <v>32</v>
      </c>
      <c r="V108" s="102">
        <f t="shared" si="8"/>
        <v>1.6</v>
      </c>
      <c r="W108" s="103">
        <f t="shared" si="9"/>
        <v>1753500</v>
      </c>
      <c r="X108" s="104" t="s">
        <v>92</v>
      </c>
    </row>
    <row r="109" spans="1:24" s="75" customFormat="1" ht="12">
      <c r="A109" s="73">
        <f t="shared" si="4"/>
        <v>100</v>
      </c>
      <c r="B109" s="76" t="s">
        <v>1958</v>
      </c>
      <c r="C109" s="98" t="s">
        <v>1908</v>
      </c>
      <c r="D109" s="99" t="s">
        <v>1504</v>
      </c>
      <c r="E109" s="78" t="s">
        <v>1964</v>
      </c>
      <c r="F109" s="78"/>
      <c r="G109" s="79"/>
      <c r="H109" s="79"/>
      <c r="I109" s="78" t="s">
        <v>1965</v>
      </c>
      <c r="J109" s="101">
        <f t="shared" si="5"/>
        <v>3.1</v>
      </c>
      <c r="K109" s="101">
        <f t="shared" si="5"/>
        <v>3.5</v>
      </c>
      <c r="L109" s="101">
        <f t="shared" si="5"/>
        <v>3.6</v>
      </c>
      <c r="M109" s="101">
        <f t="shared" si="5"/>
        <v>6.6</v>
      </c>
      <c r="N109" s="101">
        <f t="shared" si="5"/>
        <v>4.0999999999999996</v>
      </c>
      <c r="O109" s="101">
        <f t="shared" si="5"/>
        <v>2.7</v>
      </c>
      <c r="P109" s="101">
        <f t="shared" si="5"/>
        <v>1.1000000000000001</v>
      </c>
      <c r="Q109" s="101">
        <f t="shared" si="5"/>
        <v>3.1</v>
      </c>
      <c r="R109" s="101">
        <f t="shared" si="5"/>
        <v>0</v>
      </c>
      <c r="S109" s="77"/>
      <c r="T109" s="101">
        <f t="shared" si="6"/>
        <v>4.1999999999999993</v>
      </c>
      <c r="U109" s="101">
        <f t="shared" si="7"/>
        <v>32</v>
      </c>
      <c r="V109" s="102">
        <f t="shared" si="8"/>
        <v>1.6</v>
      </c>
      <c r="W109" s="103">
        <f t="shared" si="9"/>
        <v>1753500</v>
      </c>
      <c r="X109" s="104" t="s">
        <v>92</v>
      </c>
    </row>
    <row r="110" spans="1:24" s="75" customFormat="1" ht="12">
      <c r="A110" s="73">
        <f t="shared" si="4"/>
        <v>101</v>
      </c>
      <c r="B110" s="76" t="s">
        <v>1958</v>
      </c>
      <c r="C110" s="98" t="s">
        <v>1909</v>
      </c>
      <c r="D110" s="99" t="s">
        <v>1504</v>
      </c>
      <c r="E110" s="78" t="s">
        <v>1964</v>
      </c>
      <c r="F110" s="78"/>
      <c r="G110" s="79"/>
      <c r="H110" s="79"/>
      <c r="I110" s="78" t="s">
        <v>1965</v>
      </c>
      <c r="J110" s="101">
        <f t="shared" si="5"/>
        <v>3.1</v>
      </c>
      <c r="K110" s="101">
        <f t="shared" si="5"/>
        <v>3.5</v>
      </c>
      <c r="L110" s="101">
        <f t="shared" si="5"/>
        <v>3.6</v>
      </c>
      <c r="M110" s="101">
        <f t="shared" si="5"/>
        <v>6.6</v>
      </c>
      <c r="N110" s="101">
        <f t="shared" si="5"/>
        <v>4.0999999999999996</v>
      </c>
      <c r="O110" s="101">
        <f t="shared" si="5"/>
        <v>2.7</v>
      </c>
      <c r="P110" s="101">
        <f t="shared" si="5"/>
        <v>1.1000000000000001</v>
      </c>
      <c r="Q110" s="101">
        <f t="shared" si="5"/>
        <v>3.1</v>
      </c>
      <c r="R110" s="101">
        <f t="shared" si="5"/>
        <v>0</v>
      </c>
      <c r="S110" s="77"/>
      <c r="T110" s="101">
        <f t="shared" si="6"/>
        <v>4.1999999999999993</v>
      </c>
      <c r="U110" s="101">
        <f t="shared" si="7"/>
        <v>32</v>
      </c>
      <c r="V110" s="102">
        <f t="shared" si="8"/>
        <v>1.6</v>
      </c>
      <c r="W110" s="103">
        <f t="shared" si="9"/>
        <v>1753500</v>
      </c>
      <c r="X110" s="104" t="s">
        <v>92</v>
      </c>
    </row>
    <row r="111" spans="1:24" s="75" customFormat="1" ht="12">
      <c r="A111" s="73">
        <f t="shared" si="4"/>
        <v>102</v>
      </c>
      <c r="B111" s="76" t="s">
        <v>1958</v>
      </c>
      <c r="C111" s="98" t="s">
        <v>1910</v>
      </c>
      <c r="D111" s="99" t="s">
        <v>1504</v>
      </c>
      <c r="E111" s="78" t="s">
        <v>1964</v>
      </c>
      <c r="F111" s="74"/>
      <c r="G111" s="79"/>
      <c r="H111" s="79"/>
      <c r="I111" s="78" t="s">
        <v>1965</v>
      </c>
      <c r="J111" s="101">
        <f t="shared" si="5"/>
        <v>3.1</v>
      </c>
      <c r="K111" s="101">
        <f t="shared" si="5"/>
        <v>3.5</v>
      </c>
      <c r="L111" s="101">
        <f t="shared" si="5"/>
        <v>3.6</v>
      </c>
      <c r="M111" s="101">
        <f t="shared" si="5"/>
        <v>6.6</v>
      </c>
      <c r="N111" s="101">
        <f t="shared" si="5"/>
        <v>4.0999999999999996</v>
      </c>
      <c r="O111" s="101">
        <f t="shared" si="5"/>
        <v>2.7</v>
      </c>
      <c r="P111" s="101">
        <f t="shared" si="5"/>
        <v>1.1000000000000001</v>
      </c>
      <c r="Q111" s="101">
        <f t="shared" si="5"/>
        <v>3.1</v>
      </c>
      <c r="R111" s="101">
        <f t="shared" si="5"/>
        <v>0</v>
      </c>
      <c r="S111" s="77"/>
      <c r="T111" s="101">
        <f t="shared" si="6"/>
        <v>4.1999999999999993</v>
      </c>
      <c r="U111" s="101">
        <f t="shared" si="7"/>
        <v>32</v>
      </c>
      <c r="V111" s="102">
        <f t="shared" si="8"/>
        <v>1.6</v>
      </c>
      <c r="W111" s="103">
        <f t="shared" si="9"/>
        <v>1753500</v>
      </c>
      <c r="X111" s="104" t="s">
        <v>92</v>
      </c>
    </row>
    <row r="112" spans="1:24" s="75" customFormat="1" ht="12">
      <c r="A112" s="73">
        <f t="shared" si="4"/>
        <v>103</v>
      </c>
      <c r="B112" s="76" t="s">
        <v>1958</v>
      </c>
      <c r="C112" s="98" t="s">
        <v>1911</v>
      </c>
      <c r="D112" s="99" t="s">
        <v>1504</v>
      </c>
      <c r="E112" s="78" t="s">
        <v>1964</v>
      </c>
      <c r="F112" s="74"/>
      <c r="G112" s="79"/>
      <c r="H112" s="79"/>
      <c r="I112" s="78" t="s">
        <v>1965</v>
      </c>
      <c r="J112" s="101">
        <f t="shared" si="5"/>
        <v>3.1</v>
      </c>
      <c r="K112" s="101">
        <f t="shared" si="5"/>
        <v>3.5</v>
      </c>
      <c r="L112" s="101">
        <f t="shared" si="5"/>
        <v>3.6</v>
      </c>
      <c r="M112" s="101">
        <f t="shared" si="5"/>
        <v>6.6</v>
      </c>
      <c r="N112" s="101">
        <f t="shared" si="5"/>
        <v>4.0999999999999996</v>
      </c>
      <c r="O112" s="101">
        <f t="shared" si="5"/>
        <v>2.7</v>
      </c>
      <c r="P112" s="101">
        <f t="shared" si="5"/>
        <v>1.1000000000000001</v>
      </c>
      <c r="Q112" s="101">
        <f t="shared" si="5"/>
        <v>3.1</v>
      </c>
      <c r="R112" s="101">
        <f t="shared" si="5"/>
        <v>0</v>
      </c>
      <c r="S112" s="77"/>
      <c r="T112" s="101">
        <f t="shared" si="6"/>
        <v>4.1999999999999993</v>
      </c>
      <c r="U112" s="101">
        <f t="shared" si="7"/>
        <v>32</v>
      </c>
      <c r="V112" s="102">
        <f t="shared" si="8"/>
        <v>1.6</v>
      </c>
      <c r="W112" s="103">
        <f t="shared" si="9"/>
        <v>1753500</v>
      </c>
      <c r="X112" s="104" t="s">
        <v>92</v>
      </c>
    </row>
    <row r="113" spans="1:24" s="75" customFormat="1" ht="12">
      <c r="A113" s="73">
        <f t="shared" si="4"/>
        <v>104</v>
      </c>
      <c r="B113" s="76" t="s">
        <v>1958</v>
      </c>
      <c r="C113" s="98" t="s">
        <v>1912</v>
      </c>
      <c r="D113" s="99" t="s">
        <v>1504</v>
      </c>
      <c r="E113" s="78" t="s">
        <v>1964</v>
      </c>
      <c r="F113" s="74"/>
      <c r="G113" s="79"/>
      <c r="H113" s="79"/>
      <c r="I113" s="78" t="s">
        <v>1965</v>
      </c>
      <c r="J113" s="101">
        <f t="shared" si="5"/>
        <v>3.1</v>
      </c>
      <c r="K113" s="101">
        <f t="shared" si="5"/>
        <v>3.5</v>
      </c>
      <c r="L113" s="101">
        <f t="shared" si="5"/>
        <v>3.6</v>
      </c>
      <c r="M113" s="101">
        <f t="shared" si="5"/>
        <v>6.6</v>
      </c>
      <c r="N113" s="101">
        <f t="shared" si="5"/>
        <v>4.0999999999999996</v>
      </c>
      <c r="O113" s="101">
        <f t="shared" si="5"/>
        <v>2.7</v>
      </c>
      <c r="P113" s="101">
        <f t="shared" si="5"/>
        <v>1.1000000000000001</v>
      </c>
      <c r="Q113" s="101">
        <f t="shared" si="5"/>
        <v>3.1</v>
      </c>
      <c r="R113" s="101">
        <f t="shared" si="5"/>
        <v>0</v>
      </c>
      <c r="S113" s="77"/>
      <c r="T113" s="101">
        <f t="shared" si="6"/>
        <v>4.1999999999999993</v>
      </c>
      <c r="U113" s="101">
        <f t="shared" si="7"/>
        <v>32</v>
      </c>
      <c r="V113" s="102">
        <f t="shared" si="8"/>
        <v>1.6</v>
      </c>
      <c r="W113" s="103">
        <f t="shared" si="9"/>
        <v>1753500</v>
      </c>
      <c r="X113" s="104" t="s">
        <v>92</v>
      </c>
    </row>
    <row r="114" spans="1:24" s="75" customFormat="1" ht="12">
      <c r="A114" s="73">
        <f t="shared" si="4"/>
        <v>105</v>
      </c>
      <c r="B114" s="76" t="s">
        <v>1958</v>
      </c>
      <c r="C114" s="98" t="s">
        <v>1913</v>
      </c>
      <c r="D114" s="99" t="s">
        <v>1504</v>
      </c>
      <c r="E114" s="78" t="s">
        <v>1964</v>
      </c>
      <c r="F114" s="74"/>
      <c r="G114" s="79"/>
      <c r="H114" s="79"/>
      <c r="I114" s="78" t="s">
        <v>1965</v>
      </c>
      <c r="J114" s="101">
        <f t="shared" si="5"/>
        <v>3.1</v>
      </c>
      <c r="K114" s="101">
        <f t="shared" si="5"/>
        <v>3.5</v>
      </c>
      <c r="L114" s="101">
        <f t="shared" si="5"/>
        <v>3.6</v>
      </c>
      <c r="M114" s="101">
        <f t="shared" si="5"/>
        <v>6.6</v>
      </c>
      <c r="N114" s="101">
        <f t="shared" si="5"/>
        <v>4.0999999999999996</v>
      </c>
      <c r="O114" s="101">
        <f t="shared" si="5"/>
        <v>2.7</v>
      </c>
      <c r="P114" s="101">
        <f t="shared" si="5"/>
        <v>1.1000000000000001</v>
      </c>
      <c r="Q114" s="101">
        <f t="shared" si="5"/>
        <v>3.1</v>
      </c>
      <c r="R114" s="101">
        <f t="shared" si="5"/>
        <v>0</v>
      </c>
      <c r="S114" s="77"/>
      <c r="T114" s="101">
        <f t="shared" si="6"/>
        <v>4.1999999999999993</v>
      </c>
      <c r="U114" s="101">
        <f t="shared" si="7"/>
        <v>32</v>
      </c>
      <c r="V114" s="102">
        <f t="shared" si="8"/>
        <v>1.6</v>
      </c>
      <c r="W114" s="103">
        <f t="shared" si="9"/>
        <v>1753500</v>
      </c>
      <c r="X114" s="104" t="s">
        <v>92</v>
      </c>
    </row>
    <row r="115" spans="1:24" s="75" customFormat="1" ht="12">
      <c r="A115" s="73">
        <f t="shared" si="4"/>
        <v>106</v>
      </c>
      <c r="B115" s="76" t="s">
        <v>1958</v>
      </c>
      <c r="C115" s="98" t="s">
        <v>1914</v>
      </c>
      <c r="D115" s="99" t="s">
        <v>1517</v>
      </c>
      <c r="E115" s="78" t="s">
        <v>1964</v>
      </c>
      <c r="F115" s="74"/>
      <c r="G115" s="79"/>
      <c r="H115" s="79"/>
      <c r="I115" s="78" t="s">
        <v>1965</v>
      </c>
      <c r="J115" s="101">
        <f t="shared" si="5"/>
        <v>3.1</v>
      </c>
      <c r="K115" s="101">
        <f t="shared" si="5"/>
        <v>3.5</v>
      </c>
      <c r="L115" s="101">
        <f t="shared" si="5"/>
        <v>3.6</v>
      </c>
      <c r="M115" s="101">
        <f t="shared" si="5"/>
        <v>6.6</v>
      </c>
      <c r="N115" s="101">
        <f t="shared" si="5"/>
        <v>4.0999999999999996</v>
      </c>
      <c r="O115" s="101">
        <f t="shared" si="5"/>
        <v>2.7</v>
      </c>
      <c r="P115" s="101">
        <f t="shared" si="5"/>
        <v>1.1000000000000001</v>
      </c>
      <c r="Q115" s="101">
        <f t="shared" si="5"/>
        <v>3.1</v>
      </c>
      <c r="R115" s="101">
        <f t="shared" si="5"/>
        <v>0</v>
      </c>
      <c r="S115" s="77"/>
      <c r="T115" s="101">
        <f t="shared" si="6"/>
        <v>4.1999999999999993</v>
      </c>
      <c r="U115" s="101">
        <f t="shared" si="7"/>
        <v>32</v>
      </c>
      <c r="V115" s="102">
        <f t="shared" si="8"/>
        <v>1.6</v>
      </c>
      <c r="W115" s="103">
        <f t="shared" si="9"/>
        <v>1753500</v>
      </c>
      <c r="X115" s="104" t="s">
        <v>92</v>
      </c>
    </row>
    <row r="116" spans="1:24" s="75" customFormat="1" ht="12">
      <c r="A116" s="73">
        <f t="shared" si="4"/>
        <v>107</v>
      </c>
      <c r="B116" s="76" t="s">
        <v>1958</v>
      </c>
      <c r="C116" s="98" t="s">
        <v>1915</v>
      </c>
      <c r="D116" s="99" t="s">
        <v>1517</v>
      </c>
      <c r="E116" s="78" t="s">
        <v>1964</v>
      </c>
      <c r="F116" s="74"/>
      <c r="G116" s="79"/>
      <c r="H116" s="79"/>
      <c r="I116" s="78" t="s">
        <v>1965</v>
      </c>
      <c r="J116" s="101">
        <f t="shared" si="5"/>
        <v>3.1</v>
      </c>
      <c r="K116" s="101">
        <f t="shared" si="5"/>
        <v>3.5</v>
      </c>
      <c r="L116" s="101">
        <f t="shared" si="5"/>
        <v>3.6</v>
      </c>
      <c r="M116" s="101">
        <f t="shared" si="5"/>
        <v>6.6</v>
      </c>
      <c r="N116" s="101">
        <f t="shared" si="5"/>
        <v>4.0999999999999996</v>
      </c>
      <c r="O116" s="101">
        <f t="shared" si="5"/>
        <v>2.7</v>
      </c>
      <c r="P116" s="101">
        <f t="shared" si="5"/>
        <v>1.1000000000000001</v>
      </c>
      <c r="Q116" s="101">
        <f t="shared" si="5"/>
        <v>3.1</v>
      </c>
      <c r="R116" s="101">
        <f t="shared" si="5"/>
        <v>0</v>
      </c>
      <c r="S116" s="77"/>
      <c r="T116" s="101">
        <f t="shared" ref="T116" si="43">ROUNDUP(SUM(J116:S116)*T$8,1)</f>
        <v>4.1999999999999993</v>
      </c>
      <c r="U116" s="101">
        <f t="shared" ref="U116" si="44">SUM(J116:T116)</f>
        <v>32</v>
      </c>
      <c r="V116" s="102">
        <f t="shared" ref="V116:V178" si="45">U116/20</f>
        <v>1.6</v>
      </c>
      <c r="W116" s="103">
        <f t="shared" ref="W116:W178" si="46">((J116*J$9) + (K116*K$9) + (L116*L$9) + (M116*M$9) + (N116*N$9) + (O116*O$9) + (P116*P$9) + (Q116*Q$9) + (R116*R$9) + (S116*S$9) + (T116*T$9))/20</f>
        <v>1753500</v>
      </c>
      <c r="X116" s="104" t="s">
        <v>92</v>
      </c>
    </row>
    <row r="117" spans="1:24" s="75" customFormat="1" ht="12">
      <c r="A117" s="73">
        <f t="shared" ref="A117:A179" si="47">ROW()-9</f>
        <v>108</v>
      </c>
      <c r="B117" s="76" t="s">
        <v>1958</v>
      </c>
      <c r="C117" s="98" t="s">
        <v>1916</v>
      </c>
      <c r="D117" s="99" t="s">
        <v>1517</v>
      </c>
      <c r="E117" s="78" t="s">
        <v>1964</v>
      </c>
      <c r="F117" s="74"/>
      <c r="G117" s="79"/>
      <c r="H117" s="79"/>
      <c r="I117" s="74" t="s">
        <v>1962</v>
      </c>
      <c r="J117" s="101">
        <f t="shared" ref="J117:R145" si="48">ROUNDUP(IF($E117="画面",画面係数,IF($E117="帳票",帳票係数,IF($E117="バッチ",バッチ係数,0))) *
 IF($I117="特高",特高係数,IF($I117="高",高係数,IF($I117="中",中係数,IF($I117="低",低係数,IF($I117="特低",特低係数,0)))))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2.2000000000000002</v>
      </c>
      <c r="K117" s="101">
        <f t="shared" si="48"/>
        <v>2.5</v>
      </c>
      <c r="L117" s="101">
        <f t="shared" si="48"/>
        <v>2.6</v>
      </c>
      <c r="M117" s="101">
        <f t="shared" si="48"/>
        <v>4.6999999999999993</v>
      </c>
      <c r="N117" s="101">
        <f t="shared" si="48"/>
        <v>2.9</v>
      </c>
      <c r="O117" s="101">
        <f t="shared" si="48"/>
        <v>1.9000000000000001</v>
      </c>
      <c r="P117" s="101">
        <f t="shared" si="48"/>
        <v>0.79999999999999993</v>
      </c>
      <c r="Q117" s="101">
        <f t="shared" si="48"/>
        <v>2.2000000000000002</v>
      </c>
      <c r="R117" s="101">
        <f t="shared" si="48"/>
        <v>0</v>
      </c>
      <c r="S117" s="77"/>
      <c r="T117" s="101">
        <f t="shared" ref="T117:T179" si="49">ROUNDUP(SUM(J117:S117)*T$8,1)</f>
        <v>3</v>
      </c>
      <c r="U117" s="101">
        <f t="shared" ref="U117:U179" si="50">SUM(J117:T117)</f>
        <v>22.8</v>
      </c>
      <c r="V117" s="102">
        <f t="shared" si="45"/>
        <v>1.1400000000000001</v>
      </c>
      <c r="W117" s="103">
        <f t="shared" si="46"/>
        <v>1249500</v>
      </c>
      <c r="X117" s="104" t="s">
        <v>93</v>
      </c>
    </row>
    <row r="118" spans="1:24" s="75" customFormat="1" ht="12">
      <c r="A118" s="73">
        <f t="shared" si="47"/>
        <v>109</v>
      </c>
      <c r="B118" s="76" t="s">
        <v>1958</v>
      </c>
      <c r="C118" s="98" t="s">
        <v>1917</v>
      </c>
      <c r="D118" s="99" t="s">
        <v>1523</v>
      </c>
      <c r="E118" s="78" t="s">
        <v>1964</v>
      </c>
      <c r="F118" s="74"/>
      <c r="G118" s="79"/>
      <c r="H118" s="79"/>
      <c r="I118" s="74" t="s">
        <v>1965</v>
      </c>
      <c r="J118" s="101">
        <f t="shared" si="48"/>
        <v>3.1</v>
      </c>
      <c r="K118" s="101">
        <f t="shared" si="48"/>
        <v>3.5</v>
      </c>
      <c r="L118" s="101">
        <f t="shared" si="48"/>
        <v>3.6</v>
      </c>
      <c r="M118" s="101">
        <f t="shared" si="48"/>
        <v>6.6</v>
      </c>
      <c r="N118" s="101">
        <f t="shared" si="48"/>
        <v>4.0999999999999996</v>
      </c>
      <c r="O118" s="101">
        <f t="shared" si="48"/>
        <v>2.7</v>
      </c>
      <c r="P118" s="101">
        <f t="shared" si="48"/>
        <v>1.1000000000000001</v>
      </c>
      <c r="Q118" s="101">
        <f t="shared" si="48"/>
        <v>3.1</v>
      </c>
      <c r="R118" s="101">
        <f t="shared" si="48"/>
        <v>0</v>
      </c>
      <c r="S118" s="77"/>
      <c r="T118" s="101">
        <f t="shared" si="49"/>
        <v>4.1999999999999993</v>
      </c>
      <c r="U118" s="101">
        <f t="shared" si="50"/>
        <v>32</v>
      </c>
      <c r="V118" s="102">
        <f t="shared" si="45"/>
        <v>1.6</v>
      </c>
      <c r="W118" s="103">
        <f t="shared" si="46"/>
        <v>1753500</v>
      </c>
      <c r="X118" s="104" t="s">
        <v>93</v>
      </c>
    </row>
    <row r="119" spans="1:24" s="75" customFormat="1" ht="12">
      <c r="A119" s="73">
        <f t="shared" si="47"/>
        <v>110</v>
      </c>
      <c r="B119" s="76" t="s">
        <v>1958</v>
      </c>
      <c r="C119" s="98" t="s">
        <v>1918</v>
      </c>
      <c r="D119" s="99" t="s">
        <v>1525</v>
      </c>
      <c r="E119" s="78" t="s">
        <v>1964</v>
      </c>
      <c r="F119" s="74"/>
      <c r="G119" s="79"/>
      <c r="H119" s="79"/>
      <c r="I119" s="74" t="s">
        <v>1965</v>
      </c>
      <c r="J119" s="101">
        <f t="shared" si="48"/>
        <v>3.1</v>
      </c>
      <c r="K119" s="101">
        <f t="shared" si="48"/>
        <v>3.5</v>
      </c>
      <c r="L119" s="101">
        <f t="shared" si="48"/>
        <v>3.6</v>
      </c>
      <c r="M119" s="101">
        <f t="shared" si="48"/>
        <v>6.6</v>
      </c>
      <c r="N119" s="101">
        <f t="shared" si="48"/>
        <v>4.0999999999999996</v>
      </c>
      <c r="O119" s="101">
        <f t="shared" si="48"/>
        <v>2.7</v>
      </c>
      <c r="P119" s="101">
        <f t="shared" si="48"/>
        <v>1.1000000000000001</v>
      </c>
      <c r="Q119" s="101">
        <f t="shared" si="48"/>
        <v>3.1</v>
      </c>
      <c r="R119" s="101">
        <f t="shared" si="48"/>
        <v>0</v>
      </c>
      <c r="S119" s="77"/>
      <c r="T119" s="101">
        <f t="shared" si="49"/>
        <v>4.1999999999999993</v>
      </c>
      <c r="U119" s="101">
        <f t="shared" si="50"/>
        <v>32</v>
      </c>
      <c r="V119" s="102">
        <f t="shared" si="45"/>
        <v>1.6</v>
      </c>
      <c r="W119" s="103">
        <f t="shared" si="46"/>
        <v>1753500</v>
      </c>
      <c r="X119" s="104" t="s">
        <v>93</v>
      </c>
    </row>
    <row r="120" spans="1:24" s="75" customFormat="1" ht="12">
      <c r="A120" s="73">
        <f t="shared" si="47"/>
        <v>111</v>
      </c>
      <c r="B120" s="76" t="s">
        <v>1958</v>
      </c>
      <c r="C120" s="98" t="s">
        <v>1919</v>
      </c>
      <c r="D120" s="99" t="s">
        <v>1525</v>
      </c>
      <c r="E120" s="78" t="s">
        <v>1964</v>
      </c>
      <c r="F120" s="74"/>
      <c r="G120" s="79"/>
      <c r="H120" s="79"/>
      <c r="I120" s="74" t="s">
        <v>1965</v>
      </c>
      <c r="J120" s="101">
        <f t="shared" si="48"/>
        <v>3.1</v>
      </c>
      <c r="K120" s="101">
        <f t="shared" si="48"/>
        <v>3.5</v>
      </c>
      <c r="L120" s="101">
        <f t="shared" si="48"/>
        <v>3.6</v>
      </c>
      <c r="M120" s="101">
        <f t="shared" si="48"/>
        <v>6.6</v>
      </c>
      <c r="N120" s="101">
        <f t="shared" si="48"/>
        <v>4.0999999999999996</v>
      </c>
      <c r="O120" s="101">
        <f t="shared" si="48"/>
        <v>2.7</v>
      </c>
      <c r="P120" s="101">
        <f t="shared" si="48"/>
        <v>1.1000000000000001</v>
      </c>
      <c r="Q120" s="101">
        <f t="shared" si="48"/>
        <v>3.1</v>
      </c>
      <c r="R120" s="101">
        <f t="shared" si="48"/>
        <v>0</v>
      </c>
      <c r="S120" s="77"/>
      <c r="T120" s="101">
        <f t="shared" si="49"/>
        <v>4.1999999999999993</v>
      </c>
      <c r="U120" s="101">
        <f t="shared" si="50"/>
        <v>32</v>
      </c>
      <c r="V120" s="102">
        <f t="shared" si="45"/>
        <v>1.6</v>
      </c>
      <c r="W120" s="103">
        <f t="shared" si="46"/>
        <v>1753500</v>
      </c>
      <c r="X120" s="104" t="s">
        <v>93</v>
      </c>
    </row>
    <row r="121" spans="1:24" s="75" customFormat="1" ht="12">
      <c r="A121" s="73">
        <f t="shared" si="47"/>
        <v>112</v>
      </c>
      <c r="B121" s="76" t="s">
        <v>1958</v>
      </c>
      <c r="C121" s="98" t="s">
        <v>1920</v>
      </c>
      <c r="D121" s="99" t="s">
        <v>1525</v>
      </c>
      <c r="E121" s="78" t="s">
        <v>1964</v>
      </c>
      <c r="F121" s="74"/>
      <c r="G121" s="79"/>
      <c r="H121" s="79"/>
      <c r="I121" s="74" t="s">
        <v>1965</v>
      </c>
      <c r="J121" s="101">
        <f t="shared" si="48"/>
        <v>3.1</v>
      </c>
      <c r="K121" s="101">
        <f t="shared" si="48"/>
        <v>3.5</v>
      </c>
      <c r="L121" s="101">
        <f t="shared" si="48"/>
        <v>3.6</v>
      </c>
      <c r="M121" s="101">
        <f t="shared" si="48"/>
        <v>6.6</v>
      </c>
      <c r="N121" s="101">
        <f t="shared" si="48"/>
        <v>4.0999999999999996</v>
      </c>
      <c r="O121" s="101">
        <f t="shared" si="48"/>
        <v>2.7</v>
      </c>
      <c r="P121" s="101">
        <f t="shared" si="48"/>
        <v>1.1000000000000001</v>
      </c>
      <c r="Q121" s="101">
        <f t="shared" si="48"/>
        <v>3.1</v>
      </c>
      <c r="R121" s="101">
        <f t="shared" si="48"/>
        <v>0</v>
      </c>
      <c r="S121" s="77"/>
      <c r="T121" s="101">
        <f t="shared" si="49"/>
        <v>4.1999999999999993</v>
      </c>
      <c r="U121" s="101">
        <f t="shared" si="50"/>
        <v>32</v>
      </c>
      <c r="V121" s="102">
        <f t="shared" si="45"/>
        <v>1.6</v>
      </c>
      <c r="W121" s="103">
        <f t="shared" si="46"/>
        <v>1753500</v>
      </c>
      <c r="X121" s="104" t="s">
        <v>93</v>
      </c>
    </row>
    <row r="122" spans="1:24" s="75" customFormat="1" ht="12">
      <c r="A122" s="73">
        <f t="shared" si="47"/>
        <v>113</v>
      </c>
      <c r="B122" s="76" t="s">
        <v>1958</v>
      </c>
      <c r="C122" s="98" t="s">
        <v>1921</v>
      </c>
      <c r="D122" s="99" t="s">
        <v>1529</v>
      </c>
      <c r="E122" s="78" t="s">
        <v>1964</v>
      </c>
      <c r="F122" s="74"/>
      <c r="G122" s="79"/>
      <c r="H122" s="79"/>
      <c r="I122" s="74" t="s">
        <v>1965</v>
      </c>
      <c r="J122" s="101">
        <f t="shared" si="48"/>
        <v>3.1</v>
      </c>
      <c r="K122" s="101">
        <f t="shared" si="48"/>
        <v>3.5</v>
      </c>
      <c r="L122" s="101">
        <f t="shared" si="48"/>
        <v>3.6</v>
      </c>
      <c r="M122" s="101">
        <f t="shared" si="48"/>
        <v>6.6</v>
      </c>
      <c r="N122" s="101">
        <f t="shared" si="48"/>
        <v>4.0999999999999996</v>
      </c>
      <c r="O122" s="101">
        <f t="shared" si="48"/>
        <v>2.7</v>
      </c>
      <c r="P122" s="101">
        <f t="shared" si="48"/>
        <v>1.1000000000000001</v>
      </c>
      <c r="Q122" s="101">
        <f t="shared" si="48"/>
        <v>3.1</v>
      </c>
      <c r="R122" s="101">
        <f t="shared" si="48"/>
        <v>0</v>
      </c>
      <c r="S122" s="77"/>
      <c r="T122" s="101">
        <f t="shared" si="49"/>
        <v>4.1999999999999993</v>
      </c>
      <c r="U122" s="101">
        <f t="shared" si="50"/>
        <v>32</v>
      </c>
      <c r="V122" s="102">
        <f t="shared" si="45"/>
        <v>1.6</v>
      </c>
      <c r="W122" s="103">
        <f t="shared" si="46"/>
        <v>1753500</v>
      </c>
      <c r="X122" s="104" t="s">
        <v>93</v>
      </c>
    </row>
    <row r="123" spans="1:24" s="75" customFormat="1" ht="12">
      <c r="A123" s="73">
        <f t="shared" si="47"/>
        <v>114</v>
      </c>
      <c r="B123" s="76" t="s">
        <v>1958</v>
      </c>
      <c r="C123" s="98" t="s">
        <v>1922</v>
      </c>
      <c r="D123" s="99" t="s">
        <v>1529</v>
      </c>
      <c r="E123" s="78" t="s">
        <v>1964</v>
      </c>
      <c r="F123" s="74"/>
      <c r="G123" s="79"/>
      <c r="H123" s="79"/>
      <c r="I123" s="74" t="s">
        <v>1965</v>
      </c>
      <c r="J123" s="101">
        <f t="shared" si="48"/>
        <v>3.1</v>
      </c>
      <c r="K123" s="101">
        <f t="shared" si="48"/>
        <v>3.5</v>
      </c>
      <c r="L123" s="101">
        <f t="shared" si="48"/>
        <v>3.6</v>
      </c>
      <c r="M123" s="101">
        <f t="shared" si="48"/>
        <v>6.6</v>
      </c>
      <c r="N123" s="101">
        <f t="shared" si="48"/>
        <v>4.0999999999999996</v>
      </c>
      <c r="O123" s="101">
        <f t="shared" si="48"/>
        <v>2.7</v>
      </c>
      <c r="P123" s="101">
        <f t="shared" si="48"/>
        <v>1.1000000000000001</v>
      </c>
      <c r="Q123" s="101">
        <f t="shared" si="48"/>
        <v>3.1</v>
      </c>
      <c r="R123" s="101">
        <f t="shared" si="48"/>
        <v>0</v>
      </c>
      <c r="S123" s="77"/>
      <c r="T123" s="101">
        <f t="shared" si="49"/>
        <v>4.1999999999999993</v>
      </c>
      <c r="U123" s="101">
        <f t="shared" si="50"/>
        <v>32</v>
      </c>
      <c r="V123" s="102">
        <f t="shared" si="45"/>
        <v>1.6</v>
      </c>
      <c r="W123" s="103">
        <f t="shared" si="46"/>
        <v>1753500</v>
      </c>
      <c r="X123" s="104" t="s">
        <v>93</v>
      </c>
    </row>
    <row r="124" spans="1:24" s="75" customFormat="1" ht="12">
      <c r="A124" s="73">
        <f t="shared" si="47"/>
        <v>115</v>
      </c>
      <c r="B124" s="76" t="s">
        <v>1958</v>
      </c>
      <c r="C124" s="98" t="s">
        <v>1923</v>
      </c>
      <c r="D124" s="99" t="s">
        <v>1529</v>
      </c>
      <c r="E124" s="78" t="s">
        <v>1964</v>
      </c>
      <c r="F124" s="74"/>
      <c r="G124" s="79"/>
      <c r="H124" s="79"/>
      <c r="I124" s="74" t="s">
        <v>1965</v>
      </c>
      <c r="J124" s="101">
        <f t="shared" si="48"/>
        <v>3.1</v>
      </c>
      <c r="K124" s="101">
        <f t="shared" si="48"/>
        <v>3.5</v>
      </c>
      <c r="L124" s="101">
        <f t="shared" si="48"/>
        <v>3.6</v>
      </c>
      <c r="M124" s="101">
        <f t="shared" si="48"/>
        <v>6.6</v>
      </c>
      <c r="N124" s="101">
        <f t="shared" si="48"/>
        <v>4.0999999999999996</v>
      </c>
      <c r="O124" s="101">
        <f t="shared" si="48"/>
        <v>2.7</v>
      </c>
      <c r="P124" s="101">
        <f t="shared" si="48"/>
        <v>1.1000000000000001</v>
      </c>
      <c r="Q124" s="101">
        <f t="shared" si="48"/>
        <v>3.1</v>
      </c>
      <c r="R124" s="101">
        <f t="shared" si="48"/>
        <v>0</v>
      </c>
      <c r="S124" s="77"/>
      <c r="T124" s="101">
        <f t="shared" si="49"/>
        <v>4.1999999999999993</v>
      </c>
      <c r="U124" s="101">
        <f t="shared" si="50"/>
        <v>32</v>
      </c>
      <c r="V124" s="102">
        <f t="shared" si="45"/>
        <v>1.6</v>
      </c>
      <c r="W124" s="103">
        <f t="shared" si="46"/>
        <v>1753500</v>
      </c>
      <c r="X124" s="104" t="s">
        <v>93</v>
      </c>
    </row>
    <row r="125" spans="1:24" s="75" customFormat="1" ht="12">
      <c r="A125" s="73">
        <f t="shared" si="47"/>
        <v>116</v>
      </c>
      <c r="B125" s="76" t="s">
        <v>1959</v>
      </c>
      <c r="C125" s="98" t="s">
        <v>1924</v>
      </c>
      <c r="D125" s="99" t="s">
        <v>1534</v>
      </c>
      <c r="E125" s="78" t="s">
        <v>1964</v>
      </c>
      <c r="F125" s="74"/>
      <c r="G125" s="79"/>
      <c r="H125" s="79"/>
      <c r="I125" s="74" t="s">
        <v>1962</v>
      </c>
      <c r="J125" s="101">
        <f t="shared" si="48"/>
        <v>2.2000000000000002</v>
      </c>
      <c r="K125" s="101">
        <f t="shared" si="48"/>
        <v>2.5</v>
      </c>
      <c r="L125" s="101">
        <f t="shared" si="48"/>
        <v>2.6</v>
      </c>
      <c r="M125" s="101">
        <f t="shared" si="48"/>
        <v>4.6999999999999993</v>
      </c>
      <c r="N125" s="101">
        <f t="shared" si="48"/>
        <v>2.9</v>
      </c>
      <c r="O125" s="101">
        <f t="shared" si="48"/>
        <v>1.9000000000000001</v>
      </c>
      <c r="P125" s="101">
        <f t="shared" si="48"/>
        <v>0.79999999999999993</v>
      </c>
      <c r="Q125" s="101">
        <f t="shared" si="48"/>
        <v>2.2000000000000002</v>
      </c>
      <c r="R125" s="101">
        <f t="shared" si="48"/>
        <v>0</v>
      </c>
      <c r="S125" s="77"/>
      <c r="T125" s="101">
        <f t="shared" si="49"/>
        <v>3</v>
      </c>
      <c r="U125" s="101">
        <f t="shared" si="50"/>
        <v>22.8</v>
      </c>
      <c r="V125" s="102">
        <f t="shared" si="45"/>
        <v>1.1400000000000001</v>
      </c>
      <c r="W125" s="103">
        <f t="shared" si="46"/>
        <v>1249500</v>
      </c>
      <c r="X125" s="104" t="s">
        <v>93</v>
      </c>
    </row>
    <row r="126" spans="1:24" s="75" customFormat="1" ht="12">
      <c r="A126" s="73">
        <f t="shared" si="47"/>
        <v>117</v>
      </c>
      <c r="B126" s="76" t="s">
        <v>1959</v>
      </c>
      <c r="C126" s="98" t="s">
        <v>1925</v>
      </c>
      <c r="D126" s="99" t="s">
        <v>1534</v>
      </c>
      <c r="E126" s="78" t="s">
        <v>1964</v>
      </c>
      <c r="F126" s="74"/>
      <c r="G126" s="79"/>
      <c r="H126" s="79"/>
      <c r="I126" s="74" t="s">
        <v>1962</v>
      </c>
      <c r="J126" s="101">
        <f t="shared" si="48"/>
        <v>2.2000000000000002</v>
      </c>
      <c r="K126" s="101">
        <f t="shared" si="48"/>
        <v>2.5</v>
      </c>
      <c r="L126" s="101">
        <f t="shared" si="48"/>
        <v>2.6</v>
      </c>
      <c r="M126" s="101">
        <f t="shared" si="48"/>
        <v>4.6999999999999993</v>
      </c>
      <c r="N126" s="101">
        <f t="shared" si="48"/>
        <v>2.9</v>
      </c>
      <c r="O126" s="101">
        <f t="shared" si="48"/>
        <v>1.9000000000000001</v>
      </c>
      <c r="P126" s="101">
        <f t="shared" si="48"/>
        <v>0.79999999999999993</v>
      </c>
      <c r="Q126" s="101">
        <f t="shared" si="48"/>
        <v>2.2000000000000002</v>
      </c>
      <c r="R126" s="101">
        <f t="shared" si="48"/>
        <v>0</v>
      </c>
      <c r="S126" s="77"/>
      <c r="T126" s="101">
        <f t="shared" si="49"/>
        <v>3</v>
      </c>
      <c r="U126" s="101">
        <f t="shared" si="50"/>
        <v>22.8</v>
      </c>
      <c r="V126" s="102">
        <f t="shared" si="45"/>
        <v>1.1400000000000001</v>
      </c>
      <c r="W126" s="103">
        <f t="shared" si="46"/>
        <v>1249500</v>
      </c>
      <c r="X126" s="104" t="s">
        <v>93</v>
      </c>
    </row>
    <row r="127" spans="1:24" s="75" customFormat="1" ht="12">
      <c r="A127" s="73">
        <f t="shared" si="47"/>
        <v>118</v>
      </c>
      <c r="B127" s="76" t="s">
        <v>1959</v>
      </c>
      <c r="C127" s="98" t="s">
        <v>1926</v>
      </c>
      <c r="D127" s="99" t="s">
        <v>1534</v>
      </c>
      <c r="E127" s="78" t="s">
        <v>1964</v>
      </c>
      <c r="F127" s="74"/>
      <c r="G127" s="79"/>
      <c r="H127" s="79"/>
      <c r="I127" s="74" t="s">
        <v>1962</v>
      </c>
      <c r="J127" s="101">
        <f t="shared" si="48"/>
        <v>2.2000000000000002</v>
      </c>
      <c r="K127" s="101">
        <f t="shared" si="48"/>
        <v>2.5</v>
      </c>
      <c r="L127" s="101">
        <f t="shared" si="48"/>
        <v>2.6</v>
      </c>
      <c r="M127" s="101">
        <f t="shared" si="48"/>
        <v>4.6999999999999993</v>
      </c>
      <c r="N127" s="101">
        <f t="shared" si="48"/>
        <v>2.9</v>
      </c>
      <c r="O127" s="101">
        <f t="shared" si="48"/>
        <v>1.9000000000000001</v>
      </c>
      <c r="P127" s="101">
        <f t="shared" si="48"/>
        <v>0.79999999999999993</v>
      </c>
      <c r="Q127" s="101">
        <f t="shared" si="48"/>
        <v>2.2000000000000002</v>
      </c>
      <c r="R127" s="101">
        <f t="shared" si="48"/>
        <v>0</v>
      </c>
      <c r="S127" s="77"/>
      <c r="T127" s="101">
        <f t="shared" si="49"/>
        <v>3</v>
      </c>
      <c r="U127" s="101">
        <f t="shared" si="50"/>
        <v>22.8</v>
      </c>
      <c r="V127" s="102">
        <f t="shared" si="45"/>
        <v>1.1400000000000001</v>
      </c>
      <c r="W127" s="103">
        <f t="shared" si="46"/>
        <v>1249500</v>
      </c>
      <c r="X127" s="104" t="s">
        <v>93</v>
      </c>
    </row>
    <row r="128" spans="1:24" s="75" customFormat="1" ht="12">
      <c r="A128" s="73">
        <f t="shared" si="47"/>
        <v>119</v>
      </c>
      <c r="B128" s="76" t="s">
        <v>1959</v>
      </c>
      <c r="C128" s="98" t="s">
        <v>1927</v>
      </c>
      <c r="D128" s="99" t="s">
        <v>1534</v>
      </c>
      <c r="E128" s="78" t="s">
        <v>1964</v>
      </c>
      <c r="F128" s="74"/>
      <c r="G128" s="79"/>
      <c r="H128" s="79"/>
      <c r="I128" s="74" t="s">
        <v>1962</v>
      </c>
      <c r="J128" s="101">
        <f t="shared" si="48"/>
        <v>2.2000000000000002</v>
      </c>
      <c r="K128" s="101">
        <f t="shared" si="48"/>
        <v>2.5</v>
      </c>
      <c r="L128" s="101">
        <f t="shared" si="48"/>
        <v>2.6</v>
      </c>
      <c r="M128" s="101">
        <f t="shared" si="48"/>
        <v>4.6999999999999993</v>
      </c>
      <c r="N128" s="101">
        <f t="shared" si="48"/>
        <v>2.9</v>
      </c>
      <c r="O128" s="101">
        <f t="shared" si="48"/>
        <v>1.9000000000000001</v>
      </c>
      <c r="P128" s="101">
        <f t="shared" si="48"/>
        <v>0.79999999999999993</v>
      </c>
      <c r="Q128" s="101">
        <f t="shared" si="48"/>
        <v>2.2000000000000002</v>
      </c>
      <c r="R128" s="101">
        <f t="shared" si="48"/>
        <v>0</v>
      </c>
      <c r="S128" s="77"/>
      <c r="T128" s="101">
        <f t="shared" si="49"/>
        <v>3</v>
      </c>
      <c r="U128" s="101">
        <f t="shared" si="50"/>
        <v>22.8</v>
      </c>
      <c r="V128" s="102">
        <f t="shared" si="45"/>
        <v>1.1400000000000001</v>
      </c>
      <c r="W128" s="103">
        <f t="shared" si="46"/>
        <v>1249500</v>
      </c>
      <c r="X128" s="104" t="s">
        <v>93</v>
      </c>
    </row>
    <row r="129" spans="1:24" s="75" customFormat="1" ht="12">
      <c r="A129" s="73">
        <f t="shared" si="47"/>
        <v>120</v>
      </c>
      <c r="B129" s="76" t="s">
        <v>1959</v>
      </c>
      <c r="C129" s="98" t="s">
        <v>1928</v>
      </c>
      <c r="D129" s="99" t="s">
        <v>1534</v>
      </c>
      <c r="E129" s="78" t="s">
        <v>1964</v>
      </c>
      <c r="F129" s="74"/>
      <c r="G129" s="79"/>
      <c r="H129" s="79"/>
      <c r="I129" s="74" t="s">
        <v>1962</v>
      </c>
      <c r="J129" s="101">
        <f t="shared" si="48"/>
        <v>2.2000000000000002</v>
      </c>
      <c r="K129" s="101">
        <f t="shared" si="48"/>
        <v>2.5</v>
      </c>
      <c r="L129" s="101">
        <f t="shared" si="48"/>
        <v>2.6</v>
      </c>
      <c r="M129" s="101">
        <f t="shared" si="48"/>
        <v>4.6999999999999993</v>
      </c>
      <c r="N129" s="101">
        <f t="shared" si="48"/>
        <v>2.9</v>
      </c>
      <c r="O129" s="101">
        <f t="shared" si="48"/>
        <v>1.9000000000000001</v>
      </c>
      <c r="P129" s="101">
        <f t="shared" si="48"/>
        <v>0.79999999999999993</v>
      </c>
      <c r="Q129" s="101">
        <f t="shared" si="48"/>
        <v>2.2000000000000002</v>
      </c>
      <c r="R129" s="101">
        <f t="shared" si="48"/>
        <v>0</v>
      </c>
      <c r="S129" s="77"/>
      <c r="T129" s="101">
        <f t="shared" si="49"/>
        <v>3</v>
      </c>
      <c r="U129" s="101">
        <f t="shared" si="50"/>
        <v>22.8</v>
      </c>
      <c r="V129" s="102">
        <f t="shared" si="45"/>
        <v>1.1400000000000001</v>
      </c>
      <c r="W129" s="103">
        <f t="shared" si="46"/>
        <v>1249500</v>
      </c>
      <c r="X129" s="104" t="s">
        <v>93</v>
      </c>
    </row>
    <row r="130" spans="1:24" s="75" customFormat="1" ht="12">
      <c r="A130" s="73">
        <f t="shared" si="47"/>
        <v>121</v>
      </c>
      <c r="B130" s="76" t="s">
        <v>1959</v>
      </c>
      <c r="C130" s="98" t="s">
        <v>1929</v>
      </c>
      <c r="D130" s="99" t="s">
        <v>1534</v>
      </c>
      <c r="E130" s="78" t="s">
        <v>1964</v>
      </c>
      <c r="F130" s="74"/>
      <c r="G130" s="79"/>
      <c r="H130" s="79"/>
      <c r="I130" s="74" t="s">
        <v>1962</v>
      </c>
      <c r="J130" s="101">
        <f t="shared" si="48"/>
        <v>2.2000000000000002</v>
      </c>
      <c r="K130" s="101">
        <f t="shared" si="48"/>
        <v>2.5</v>
      </c>
      <c r="L130" s="101">
        <f t="shared" si="48"/>
        <v>2.6</v>
      </c>
      <c r="M130" s="101">
        <f t="shared" si="48"/>
        <v>4.6999999999999993</v>
      </c>
      <c r="N130" s="101">
        <f t="shared" si="48"/>
        <v>2.9</v>
      </c>
      <c r="O130" s="101">
        <f t="shared" si="48"/>
        <v>1.9000000000000001</v>
      </c>
      <c r="P130" s="101">
        <f t="shared" si="48"/>
        <v>0.79999999999999993</v>
      </c>
      <c r="Q130" s="101">
        <f t="shared" si="48"/>
        <v>2.2000000000000002</v>
      </c>
      <c r="R130" s="101">
        <f t="shared" si="48"/>
        <v>0</v>
      </c>
      <c r="S130" s="77"/>
      <c r="T130" s="101">
        <f t="shared" si="49"/>
        <v>3</v>
      </c>
      <c r="U130" s="101">
        <f t="shared" si="50"/>
        <v>22.8</v>
      </c>
      <c r="V130" s="102">
        <f t="shared" si="45"/>
        <v>1.1400000000000001</v>
      </c>
      <c r="W130" s="103">
        <f t="shared" si="46"/>
        <v>1249500</v>
      </c>
      <c r="X130" s="104" t="s">
        <v>93</v>
      </c>
    </row>
    <row r="131" spans="1:24" s="75" customFormat="1" ht="12">
      <c r="A131" s="73">
        <f t="shared" si="47"/>
        <v>122</v>
      </c>
      <c r="B131" s="76" t="s">
        <v>1959</v>
      </c>
      <c r="C131" s="98" t="s">
        <v>90</v>
      </c>
      <c r="D131" s="99" t="s">
        <v>1542</v>
      </c>
      <c r="E131" s="78" t="s">
        <v>1964</v>
      </c>
      <c r="F131" s="74"/>
      <c r="G131" s="79"/>
      <c r="H131" s="79"/>
      <c r="I131" s="74" t="s">
        <v>1962</v>
      </c>
      <c r="J131" s="101">
        <f t="shared" si="48"/>
        <v>2.2000000000000002</v>
      </c>
      <c r="K131" s="101">
        <f t="shared" si="48"/>
        <v>2.5</v>
      </c>
      <c r="L131" s="101">
        <f t="shared" si="48"/>
        <v>2.6</v>
      </c>
      <c r="M131" s="101">
        <f t="shared" si="48"/>
        <v>4.6999999999999993</v>
      </c>
      <c r="N131" s="101">
        <f t="shared" si="48"/>
        <v>2.9</v>
      </c>
      <c r="O131" s="101">
        <f t="shared" si="48"/>
        <v>1.9000000000000001</v>
      </c>
      <c r="P131" s="101">
        <f t="shared" si="48"/>
        <v>0.79999999999999993</v>
      </c>
      <c r="Q131" s="101">
        <f t="shared" si="48"/>
        <v>2.2000000000000002</v>
      </c>
      <c r="R131" s="101">
        <f t="shared" si="48"/>
        <v>0</v>
      </c>
      <c r="S131" s="77"/>
      <c r="T131" s="101">
        <f t="shared" si="49"/>
        <v>3</v>
      </c>
      <c r="U131" s="101">
        <f t="shared" si="50"/>
        <v>22.8</v>
      </c>
      <c r="V131" s="102">
        <f t="shared" si="45"/>
        <v>1.1400000000000001</v>
      </c>
      <c r="W131" s="103">
        <f t="shared" si="46"/>
        <v>1249500</v>
      </c>
      <c r="X131" s="104" t="s">
        <v>93</v>
      </c>
    </row>
    <row r="132" spans="1:24" s="75" customFormat="1" ht="12">
      <c r="A132" s="73">
        <f t="shared" si="47"/>
        <v>123</v>
      </c>
      <c r="B132" s="76" t="s">
        <v>1959</v>
      </c>
      <c r="C132" s="98" t="s">
        <v>107</v>
      </c>
      <c r="D132" s="99" t="s">
        <v>1542</v>
      </c>
      <c r="E132" s="78" t="s">
        <v>1964</v>
      </c>
      <c r="F132" s="74"/>
      <c r="G132" s="79"/>
      <c r="H132" s="79"/>
      <c r="I132" s="74" t="s">
        <v>1962</v>
      </c>
      <c r="J132" s="101">
        <f t="shared" si="48"/>
        <v>2.2000000000000002</v>
      </c>
      <c r="K132" s="101">
        <f t="shared" si="48"/>
        <v>2.5</v>
      </c>
      <c r="L132" s="101">
        <f t="shared" si="48"/>
        <v>2.6</v>
      </c>
      <c r="M132" s="101">
        <f t="shared" si="48"/>
        <v>4.6999999999999993</v>
      </c>
      <c r="N132" s="101">
        <f t="shared" si="48"/>
        <v>2.9</v>
      </c>
      <c r="O132" s="101">
        <f t="shared" si="48"/>
        <v>1.9000000000000001</v>
      </c>
      <c r="P132" s="101">
        <f t="shared" si="48"/>
        <v>0.79999999999999993</v>
      </c>
      <c r="Q132" s="101">
        <f t="shared" si="48"/>
        <v>2.2000000000000002</v>
      </c>
      <c r="R132" s="101">
        <f t="shared" si="48"/>
        <v>0</v>
      </c>
      <c r="S132" s="77"/>
      <c r="T132" s="101">
        <f t="shared" si="49"/>
        <v>3</v>
      </c>
      <c r="U132" s="101">
        <f t="shared" si="50"/>
        <v>22.8</v>
      </c>
      <c r="V132" s="102">
        <f t="shared" si="45"/>
        <v>1.1400000000000001</v>
      </c>
      <c r="W132" s="103">
        <f t="shared" si="46"/>
        <v>1249500</v>
      </c>
      <c r="X132" s="104" t="s">
        <v>93</v>
      </c>
    </row>
    <row r="133" spans="1:24" s="75" customFormat="1" ht="12">
      <c r="A133" s="73">
        <f t="shared" si="47"/>
        <v>124</v>
      </c>
      <c r="B133" s="76" t="s">
        <v>1959</v>
      </c>
      <c r="C133" s="98" t="s">
        <v>101</v>
      </c>
      <c r="D133" s="99" t="s">
        <v>1542</v>
      </c>
      <c r="E133" s="78" t="s">
        <v>1964</v>
      </c>
      <c r="F133" s="74"/>
      <c r="G133" s="79"/>
      <c r="H133" s="79"/>
      <c r="I133" s="74" t="s">
        <v>1962</v>
      </c>
      <c r="J133" s="101">
        <f t="shared" si="48"/>
        <v>2.2000000000000002</v>
      </c>
      <c r="K133" s="101">
        <f t="shared" si="48"/>
        <v>2.5</v>
      </c>
      <c r="L133" s="101">
        <f t="shared" si="48"/>
        <v>2.6</v>
      </c>
      <c r="M133" s="101">
        <f t="shared" si="48"/>
        <v>4.6999999999999993</v>
      </c>
      <c r="N133" s="101">
        <f t="shared" si="48"/>
        <v>2.9</v>
      </c>
      <c r="O133" s="101">
        <f t="shared" si="48"/>
        <v>1.9000000000000001</v>
      </c>
      <c r="P133" s="101">
        <f t="shared" si="48"/>
        <v>0.79999999999999993</v>
      </c>
      <c r="Q133" s="101">
        <f t="shared" si="48"/>
        <v>2.2000000000000002</v>
      </c>
      <c r="R133" s="101">
        <f t="shared" si="48"/>
        <v>0</v>
      </c>
      <c r="S133" s="77"/>
      <c r="T133" s="101">
        <f t="shared" si="49"/>
        <v>3</v>
      </c>
      <c r="U133" s="101">
        <f t="shared" si="50"/>
        <v>22.8</v>
      </c>
      <c r="V133" s="102">
        <f t="shared" si="45"/>
        <v>1.1400000000000001</v>
      </c>
      <c r="W133" s="103">
        <f t="shared" si="46"/>
        <v>1249500</v>
      </c>
      <c r="X133" s="104" t="s">
        <v>93</v>
      </c>
    </row>
    <row r="134" spans="1:24" s="75" customFormat="1" ht="12">
      <c r="A134" s="73">
        <f t="shared" si="47"/>
        <v>125</v>
      </c>
      <c r="B134" s="76" t="s">
        <v>1959</v>
      </c>
      <c r="C134" s="98" t="s">
        <v>1930</v>
      </c>
      <c r="D134" s="99" t="s">
        <v>1542</v>
      </c>
      <c r="E134" s="78" t="s">
        <v>1964</v>
      </c>
      <c r="F134" s="74"/>
      <c r="G134" s="79"/>
      <c r="H134" s="79"/>
      <c r="I134" s="74" t="s">
        <v>1962</v>
      </c>
      <c r="J134" s="101">
        <f t="shared" si="48"/>
        <v>2.2000000000000002</v>
      </c>
      <c r="K134" s="101">
        <f t="shared" si="48"/>
        <v>2.5</v>
      </c>
      <c r="L134" s="101">
        <f t="shared" si="48"/>
        <v>2.6</v>
      </c>
      <c r="M134" s="101">
        <f t="shared" si="48"/>
        <v>4.6999999999999993</v>
      </c>
      <c r="N134" s="101">
        <f t="shared" si="48"/>
        <v>2.9</v>
      </c>
      <c r="O134" s="101">
        <f t="shared" si="48"/>
        <v>1.9000000000000001</v>
      </c>
      <c r="P134" s="101">
        <f t="shared" si="48"/>
        <v>0.79999999999999993</v>
      </c>
      <c r="Q134" s="101">
        <f t="shared" si="48"/>
        <v>2.2000000000000002</v>
      </c>
      <c r="R134" s="101">
        <f t="shared" si="48"/>
        <v>0</v>
      </c>
      <c r="S134" s="77"/>
      <c r="T134" s="101">
        <f t="shared" si="49"/>
        <v>3</v>
      </c>
      <c r="U134" s="101">
        <f t="shared" si="50"/>
        <v>22.8</v>
      </c>
      <c r="V134" s="102">
        <f t="shared" si="45"/>
        <v>1.1400000000000001</v>
      </c>
      <c r="W134" s="103">
        <f t="shared" si="46"/>
        <v>1249500</v>
      </c>
      <c r="X134" s="104" t="s">
        <v>93</v>
      </c>
    </row>
    <row r="135" spans="1:24" s="75" customFormat="1" ht="12">
      <c r="A135" s="73">
        <f t="shared" si="47"/>
        <v>126</v>
      </c>
      <c r="B135" s="76" t="s">
        <v>1959</v>
      </c>
      <c r="C135" s="98" t="s">
        <v>1931</v>
      </c>
      <c r="D135" s="99" t="s">
        <v>1542</v>
      </c>
      <c r="E135" s="78" t="s">
        <v>1964</v>
      </c>
      <c r="F135" s="74"/>
      <c r="G135" s="79"/>
      <c r="H135" s="79"/>
      <c r="I135" s="74" t="s">
        <v>1962</v>
      </c>
      <c r="J135" s="101">
        <f t="shared" si="48"/>
        <v>2.2000000000000002</v>
      </c>
      <c r="K135" s="101">
        <f t="shared" si="48"/>
        <v>2.5</v>
      </c>
      <c r="L135" s="101">
        <f t="shared" si="48"/>
        <v>2.6</v>
      </c>
      <c r="M135" s="101">
        <f t="shared" si="48"/>
        <v>4.6999999999999993</v>
      </c>
      <c r="N135" s="101">
        <f t="shared" si="48"/>
        <v>2.9</v>
      </c>
      <c r="O135" s="101">
        <f t="shared" si="48"/>
        <v>1.9000000000000001</v>
      </c>
      <c r="P135" s="101">
        <f t="shared" si="48"/>
        <v>0.79999999999999993</v>
      </c>
      <c r="Q135" s="101">
        <f t="shared" si="48"/>
        <v>2.2000000000000002</v>
      </c>
      <c r="R135" s="101">
        <f t="shared" si="48"/>
        <v>0</v>
      </c>
      <c r="S135" s="77"/>
      <c r="T135" s="101">
        <f t="shared" si="49"/>
        <v>3</v>
      </c>
      <c r="U135" s="101">
        <f t="shared" si="50"/>
        <v>22.8</v>
      </c>
      <c r="V135" s="102">
        <f t="shared" si="45"/>
        <v>1.1400000000000001</v>
      </c>
      <c r="W135" s="103">
        <f t="shared" si="46"/>
        <v>1249500</v>
      </c>
      <c r="X135" s="104" t="s">
        <v>93</v>
      </c>
    </row>
    <row r="136" spans="1:24" s="75" customFormat="1" ht="12">
      <c r="A136" s="73">
        <f t="shared" si="47"/>
        <v>127</v>
      </c>
      <c r="B136" s="76" t="s">
        <v>1959</v>
      </c>
      <c r="C136" s="98" t="s">
        <v>1932</v>
      </c>
      <c r="D136" s="99" t="s">
        <v>1542</v>
      </c>
      <c r="E136" s="78" t="s">
        <v>1964</v>
      </c>
      <c r="F136" s="74"/>
      <c r="G136" s="79"/>
      <c r="H136" s="79"/>
      <c r="I136" s="74" t="s">
        <v>1962</v>
      </c>
      <c r="J136" s="101">
        <f t="shared" si="48"/>
        <v>2.2000000000000002</v>
      </c>
      <c r="K136" s="101">
        <f t="shared" si="48"/>
        <v>2.5</v>
      </c>
      <c r="L136" s="101">
        <f t="shared" si="48"/>
        <v>2.6</v>
      </c>
      <c r="M136" s="101">
        <f t="shared" si="48"/>
        <v>4.6999999999999993</v>
      </c>
      <c r="N136" s="101">
        <f t="shared" si="48"/>
        <v>2.9</v>
      </c>
      <c r="O136" s="101">
        <f t="shared" si="48"/>
        <v>1.9000000000000001</v>
      </c>
      <c r="P136" s="101">
        <f t="shared" si="48"/>
        <v>0.79999999999999993</v>
      </c>
      <c r="Q136" s="101">
        <f t="shared" si="48"/>
        <v>2.2000000000000002</v>
      </c>
      <c r="R136" s="101">
        <f t="shared" si="48"/>
        <v>0</v>
      </c>
      <c r="S136" s="77"/>
      <c r="T136" s="101">
        <f t="shared" si="49"/>
        <v>3</v>
      </c>
      <c r="U136" s="101">
        <f t="shared" si="50"/>
        <v>22.8</v>
      </c>
      <c r="V136" s="102">
        <f t="shared" si="45"/>
        <v>1.1400000000000001</v>
      </c>
      <c r="W136" s="103">
        <f t="shared" si="46"/>
        <v>1249500</v>
      </c>
      <c r="X136" s="104" t="s">
        <v>93</v>
      </c>
    </row>
    <row r="137" spans="1:24" s="75" customFormat="1" ht="12">
      <c r="A137" s="73">
        <f t="shared" si="47"/>
        <v>128</v>
      </c>
      <c r="B137" s="76" t="s">
        <v>1959</v>
      </c>
      <c r="C137" s="98" t="s">
        <v>1933</v>
      </c>
      <c r="D137" s="99" t="s">
        <v>1542</v>
      </c>
      <c r="E137" s="78" t="s">
        <v>1964</v>
      </c>
      <c r="F137" s="74"/>
      <c r="G137" s="79"/>
      <c r="H137" s="79"/>
      <c r="I137" s="74" t="s">
        <v>1962</v>
      </c>
      <c r="J137" s="101">
        <f t="shared" si="48"/>
        <v>2.2000000000000002</v>
      </c>
      <c r="K137" s="101">
        <f t="shared" si="48"/>
        <v>2.5</v>
      </c>
      <c r="L137" s="101">
        <f t="shared" si="48"/>
        <v>2.6</v>
      </c>
      <c r="M137" s="101">
        <f t="shared" si="48"/>
        <v>4.6999999999999993</v>
      </c>
      <c r="N137" s="101">
        <f t="shared" si="48"/>
        <v>2.9</v>
      </c>
      <c r="O137" s="101">
        <f t="shared" si="48"/>
        <v>1.9000000000000001</v>
      </c>
      <c r="P137" s="101">
        <f t="shared" si="48"/>
        <v>0.79999999999999993</v>
      </c>
      <c r="Q137" s="101">
        <f t="shared" si="48"/>
        <v>2.2000000000000002</v>
      </c>
      <c r="R137" s="101">
        <f t="shared" si="48"/>
        <v>0</v>
      </c>
      <c r="S137" s="77"/>
      <c r="T137" s="101">
        <f t="shared" si="49"/>
        <v>3</v>
      </c>
      <c r="U137" s="101">
        <f t="shared" si="50"/>
        <v>22.8</v>
      </c>
      <c r="V137" s="102">
        <f t="shared" si="45"/>
        <v>1.1400000000000001</v>
      </c>
      <c r="W137" s="103">
        <f t="shared" si="46"/>
        <v>1249500</v>
      </c>
      <c r="X137" s="104" t="s">
        <v>93</v>
      </c>
    </row>
    <row r="138" spans="1:24" s="75" customFormat="1" ht="12">
      <c r="A138" s="73">
        <f t="shared" si="47"/>
        <v>129</v>
      </c>
      <c r="B138" s="76" t="s">
        <v>1959</v>
      </c>
      <c r="C138" s="98" t="s">
        <v>106</v>
      </c>
      <c r="D138" s="99" t="s">
        <v>1542</v>
      </c>
      <c r="E138" s="78" t="s">
        <v>1964</v>
      </c>
      <c r="F138" s="74"/>
      <c r="G138" s="79"/>
      <c r="H138" s="79"/>
      <c r="I138" s="74" t="s">
        <v>1962</v>
      </c>
      <c r="J138" s="101">
        <f t="shared" si="48"/>
        <v>2.2000000000000002</v>
      </c>
      <c r="K138" s="101">
        <f t="shared" si="48"/>
        <v>2.5</v>
      </c>
      <c r="L138" s="101">
        <f t="shared" si="48"/>
        <v>2.6</v>
      </c>
      <c r="M138" s="101">
        <f t="shared" si="48"/>
        <v>4.6999999999999993</v>
      </c>
      <c r="N138" s="101">
        <f t="shared" si="48"/>
        <v>2.9</v>
      </c>
      <c r="O138" s="101">
        <f t="shared" si="48"/>
        <v>1.9000000000000001</v>
      </c>
      <c r="P138" s="101">
        <f t="shared" si="48"/>
        <v>0.79999999999999993</v>
      </c>
      <c r="Q138" s="101">
        <f t="shared" si="48"/>
        <v>2.2000000000000002</v>
      </c>
      <c r="R138" s="101">
        <f t="shared" si="48"/>
        <v>0</v>
      </c>
      <c r="S138" s="77"/>
      <c r="T138" s="101">
        <f t="shared" si="49"/>
        <v>3</v>
      </c>
      <c r="U138" s="101">
        <f t="shared" si="50"/>
        <v>22.8</v>
      </c>
      <c r="V138" s="102">
        <f t="shared" si="45"/>
        <v>1.1400000000000001</v>
      </c>
      <c r="W138" s="103">
        <f t="shared" si="46"/>
        <v>1249500</v>
      </c>
      <c r="X138" s="104" t="s">
        <v>93</v>
      </c>
    </row>
    <row r="139" spans="1:24" s="75" customFormat="1" ht="12">
      <c r="A139" s="73">
        <f t="shared" si="47"/>
        <v>130</v>
      </c>
      <c r="B139" s="76" t="s">
        <v>1959</v>
      </c>
      <c r="C139" s="98" t="s">
        <v>105</v>
      </c>
      <c r="D139" s="99" t="s">
        <v>1542</v>
      </c>
      <c r="E139" s="78" t="s">
        <v>1964</v>
      </c>
      <c r="F139" s="74"/>
      <c r="G139" s="79"/>
      <c r="H139" s="79"/>
      <c r="I139" s="74" t="s">
        <v>1962</v>
      </c>
      <c r="J139" s="101">
        <f t="shared" si="48"/>
        <v>2.2000000000000002</v>
      </c>
      <c r="K139" s="101">
        <f t="shared" si="48"/>
        <v>2.5</v>
      </c>
      <c r="L139" s="101">
        <f t="shared" si="48"/>
        <v>2.6</v>
      </c>
      <c r="M139" s="101">
        <f t="shared" si="48"/>
        <v>4.6999999999999993</v>
      </c>
      <c r="N139" s="101">
        <f t="shared" si="48"/>
        <v>2.9</v>
      </c>
      <c r="O139" s="101">
        <f t="shared" si="48"/>
        <v>1.9000000000000001</v>
      </c>
      <c r="P139" s="101">
        <f t="shared" si="48"/>
        <v>0.79999999999999993</v>
      </c>
      <c r="Q139" s="101">
        <f t="shared" si="48"/>
        <v>2.2000000000000002</v>
      </c>
      <c r="R139" s="101">
        <f t="shared" si="48"/>
        <v>0</v>
      </c>
      <c r="S139" s="77"/>
      <c r="T139" s="101">
        <f t="shared" si="49"/>
        <v>3</v>
      </c>
      <c r="U139" s="101">
        <f t="shared" si="50"/>
        <v>22.8</v>
      </c>
      <c r="V139" s="102">
        <f t="shared" si="45"/>
        <v>1.1400000000000001</v>
      </c>
      <c r="W139" s="103">
        <f t="shared" si="46"/>
        <v>1249500</v>
      </c>
      <c r="X139" s="104" t="s">
        <v>93</v>
      </c>
    </row>
    <row r="140" spans="1:24" s="75" customFormat="1" ht="12">
      <c r="A140" s="73">
        <f t="shared" si="47"/>
        <v>131</v>
      </c>
      <c r="B140" s="76" t="s">
        <v>1959</v>
      </c>
      <c r="C140" s="98" t="s">
        <v>98</v>
      </c>
      <c r="D140" s="99" t="s">
        <v>1542</v>
      </c>
      <c r="E140" s="78" t="s">
        <v>1964</v>
      </c>
      <c r="F140" s="74"/>
      <c r="G140" s="79"/>
      <c r="H140" s="79"/>
      <c r="I140" s="74" t="s">
        <v>1962</v>
      </c>
      <c r="J140" s="101">
        <f t="shared" si="48"/>
        <v>2.2000000000000002</v>
      </c>
      <c r="K140" s="101">
        <f t="shared" si="48"/>
        <v>2.5</v>
      </c>
      <c r="L140" s="101">
        <f t="shared" si="48"/>
        <v>2.6</v>
      </c>
      <c r="M140" s="101">
        <f t="shared" si="48"/>
        <v>4.6999999999999993</v>
      </c>
      <c r="N140" s="101">
        <f t="shared" si="48"/>
        <v>2.9</v>
      </c>
      <c r="O140" s="101">
        <f t="shared" si="48"/>
        <v>1.9000000000000001</v>
      </c>
      <c r="P140" s="101">
        <f t="shared" si="48"/>
        <v>0.79999999999999993</v>
      </c>
      <c r="Q140" s="101">
        <f t="shared" si="48"/>
        <v>2.2000000000000002</v>
      </c>
      <c r="R140" s="101">
        <f t="shared" si="48"/>
        <v>0</v>
      </c>
      <c r="S140" s="77"/>
      <c r="T140" s="101">
        <f t="shared" si="49"/>
        <v>3</v>
      </c>
      <c r="U140" s="101">
        <f t="shared" si="50"/>
        <v>22.8</v>
      </c>
      <c r="V140" s="102">
        <f t="shared" si="45"/>
        <v>1.1400000000000001</v>
      </c>
      <c r="W140" s="103">
        <f t="shared" si="46"/>
        <v>1249500</v>
      </c>
      <c r="X140" s="104" t="s">
        <v>93</v>
      </c>
    </row>
    <row r="141" spans="1:24" s="75" customFormat="1" ht="12">
      <c r="A141" s="73">
        <f t="shared" si="47"/>
        <v>132</v>
      </c>
      <c r="B141" s="76" t="s">
        <v>1959</v>
      </c>
      <c r="C141" s="98" t="s">
        <v>1934</v>
      </c>
      <c r="D141" s="99" t="s">
        <v>1542</v>
      </c>
      <c r="E141" s="78" t="s">
        <v>1964</v>
      </c>
      <c r="F141" s="74"/>
      <c r="G141" s="79"/>
      <c r="H141" s="79"/>
      <c r="I141" s="74" t="s">
        <v>1962</v>
      </c>
      <c r="J141" s="101">
        <f t="shared" si="48"/>
        <v>2.2000000000000002</v>
      </c>
      <c r="K141" s="101">
        <f t="shared" si="48"/>
        <v>2.5</v>
      </c>
      <c r="L141" s="101">
        <f t="shared" si="48"/>
        <v>2.6</v>
      </c>
      <c r="M141" s="101">
        <f t="shared" si="48"/>
        <v>4.6999999999999993</v>
      </c>
      <c r="N141" s="101">
        <f t="shared" si="48"/>
        <v>2.9</v>
      </c>
      <c r="O141" s="101">
        <f t="shared" si="48"/>
        <v>1.9000000000000001</v>
      </c>
      <c r="P141" s="101">
        <f t="shared" si="48"/>
        <v>0.79999999999999993</v>
      </c>
      <c r="Q141" s="101">
        <f t="shared" si="48"/>
        <v>2.2000000000000002</v>
      </c>
      <c r="R141" s="101">
        <f t="shared" si="48"/>
        <v>0</v>
      </c>
      <c r="S141" s="77"/>
      <c r="T141" s="101">
        <f t="shared" si="49"/>
        <v>3</v>
      </c>
      <c r="U141" s="101">
        <f t="shared" si="50"/>
        <v>22.8</v>
      </c>
      <c r="V141" s="102">
        <f t="shared" si="45"/>
        <v>1.1400000000000001</v>
      </c>
      <c r="W141" s="103">
        <f t="shared" si="46"/>
        <v>1249500</v>
      </c>
      <c r="X141" s="104" t="s">
        <v>93</v>
      </c>
    </row>
    <row r="142" spans="1:24" s="75" customFormat="1" ht="12">
      <c r="A142" s="73">
        <f t="shared" si="47"/>
        <v>133</v>
      </c>
      <c r="B142" s="76" t="s">
        <v>1959</v>
      </c>
      <c r="C142" s="98" t="s">
        <v>1935</v>
      </c>
      <c r="D142" s="99" t="s">
        <v>1542</v>
      </c>
      <c r="E142" s="78" t="s">
        <v>1964</v>
      </c>
      <c r="F142" s="74"/>
      <c r="G142" s="79"/>
      <c r="H142" s="79"/>
      <c r="I142" s="74" t="s">
        <v>1962</v>
      </c>
      <c r="J142" s="101">
        <f t="shared" si="48"/>
        <v>2.2000000000000002</v>
      </c>
      <c r="K142" s="101">
        <f t="shared" si="48"/>
        <v>2.5</v>
      </c>
      <c r="L142" s="101">
        <f t="shared" si="48"/>
        <v>2.6</v>
      </c>
      <c r="M142" s="101">
        <f t="shared" si="48"/>
        <v>4.6999999999999993</v>
      </c>
      <c r="N142" s="101">
        <f t="shared" si="48"/>
        <v>2.9</v>
      </c>
      <c r="O142" s="101">
        <f t="shared" si="48"/>
        <v>1.9000000000000001</v>
      </c>
      <c r="P142" s="101">
        <f t="shared" si="48"/>
        <v>0.79999999999999993</v>
      </c>
      <c r="Q142" s="101">
        <f t="shared" si="48"/>
        <v>2.2000000000000002</v>
      </c>
      <c r="R142" s="101">
        <f t="shared" si="48"/>
        <v>0</v>
      </c>
      <c r="S142" s="77"/>
      <c r="T142" s="101">
        <f t="shared" si="49"/>
        <v>3</v>
      </c>
      <c r="U142" s="101">
        <f t="shared" si="50"/>
        <v>22.8</v>
      </c>
      <c r="V142" s="102">
        <f t="shared" si="45"/>
        <v>1.1400000000000001</v>
      </c>
      <c r="W142" s="103">
        <f t="shared" si="46"/>
        <v>1249500</v>
      </c>
      <c r="X142" s="104" t="s">
        <v>93</v>
      </c>
    </row>
    <row r="143" spans="1:24" s="75" customFormat="1" ht="12">
      <c r="A143" s="73">
        <f t="shared" si="47"/>
        <v>134</v>
      </c>
      <c r="B143" s="76" t="s">
        <v>1959</v>
      </c>
      <c r="C143" s="98" t="s">
        <v>1936</v>
      </c>
      <c r="D143" s="99" t="s">
        <v>1542</v>
      </c>
      <c r="E143" s="78" t="s">
        <v>1964</v>
      </c>
      <c r="F143" s="74"/>
      <c r="G143" s="79"/>
      <c r="H143" s="79"/>
      <c r="I143" s="74" t="s">
        <v>1962</v>
      </c>
      <c r="J143" s="101">
        <f t="shared" si="48"/>
        <v>2.2000000000000002</v>
      </c>
      <c r="K143" s="101">
        <f t="shared" si="48"/>
        <v>2.5</v>
      </c>
      <c r="L143" s="101">
        <f t="shared" si="48"/>
        <v>2.6</v>
      </c>
      <c r="M143" s="101">
        <f t="shared" si="48"/>
        <v>4.6999999999999993</v>
      </c>
      <c r="N143" s="101">
        <f t="shared" si="48"/>
        <v>2.9</v>
      </c>
      <c r="O143" s="101">
        <f t="shared" si="48"/>
        <v>1.9000000000000001</v>
      </c>
      <c r="P143" s="101">
        <f t="shared" si="48"/>
        <v>0.79999999999999993</v>
      </c>
      <c r="Q143" s="101">
        <f t="shared" si="48"/>
        <v>2.2000000000000002</v>
      </c>
      <c r="R143" s="101">
        <f t="shared" si="48"/>
        <v>0</v>
      </c>
      <c r="S143" s="77"/>
      <c r="T143" s="101">
        <f t="shared" si="49"/>
        <v>3</v>
      </c>
      <c r="U143" s="101">
        <f t="shared" si="50"/>
        <v>22.8</v>
      </c>
      <c r="V143" s="102">
        <f t="shared" si="45"/>
        <v>1.1400000000000001</v>
      </c>
      <c r="W143" s="103">
        <f t="shared" si="46"/>
        <v>1249500</v>
      </c>
      <c r="X143" s="104" t="s">
        <v>93</v>
      </c>
    </row>
    <row r="144" spans="1:24" s="75" customFormat="1" ht="12">
      <c r="A144" s="73">
        <f t="shared" si="47"/>
        <v>135</v>
      </c>
      <c r="B144" s="76" t="s">
        <v>1959</v>
      </c>
      <c r="C144" s="98" t="s">
        <v>1937</v>
      </c>
      <c r="D144" s="99" t="s">
        <v>1542</v>
      </c>
      <c r="E144" s="78" t="s">
        <v>1964</v>
      </c>
      <c r="F144" s="74"/>
      <c r="G144" s="79"/>
      <c r="H144" s="79"/>
      <c r="I144" s="74" t="s">
        <v>1962</v>
      </c>
      <c r="J144" s="101">
        <f t="shared" si="48"/>
        <v>2.2000000000000002</v>
      </c>
      <c r="K144" s="101">
        <f t="shared" si="48"/>
        <v>2.5</v>
      </c>
      <c r="L144" s="101">
        <f t="shared" si="48"/>
        <v>2.6</v>
      </c>
      <c r="M144" s="101">
        <f t="shared" si="48"/>
        <v>4.6999999999999993</v>
      </c>
      <c r="N144" s="101">
        <f t="shared" si="48"/>
        <v>2.9</v>
      </c>
      <c r="O144" s="101">
        <f t="shared" si="48"/>
        <v>1.9000000000000001</v>
      </c>
      <c r="P144" s="101">
        <f t="shared" si="48"/>
        <v>0.79999999999999993</v>
      </c>
      <c r="Q144" s="101">
        <f t="shared" si="48"/>
        <v>2.2000000000000002</v>
      </c>
      <c r="R144" s="101">
        <f t="shared" si="48"/>
        <v>0</v>
      </c>
      <c r="S144" s="77"/>
      <c r="T144" s="101">
        <f t="shared" si="49"/>
        <v>3</v>
      </c>
      <c r="U144" s="101">
        <f t="shared" si="50"/>
        <v>22.8</v>
      </c>
      <c r="V144" s="102">
        <f t="shared" si="45"/>
        <v>1.1400000000000001</v>
      </c>
      <c r="W144" s="103">
        <f t="shared" si="46"/>
        <v>1249500</v>
      </c>
      <c r="X144" s="104" t="s">
        <v>93</v>
      </c>
    </row>
    <row r="145" spans="1:24" s="75" customFormat="1" ht="12">
      <c r="A145" s="73">
        <f t="shared" si="47"/>
        <v>136</v>
      </c>
      <c r="B145" s="76" t="s">
        <v>1959</v>
      </c>
      <c r="C145" s="98" t="s">
        <v>1938</v>
      </c>
      <c r="D145" s="99" t="s">
        <v>1542</v>
      </c>
      <c r="E145" s="78" t="s">
        <v>1964</v>
      </c>
      <c r="F145" s="74"/>
      <c r="G145" s="79"/>
      <c r="H145" s="79"/>
      <c r="I145" s="74" t="s">
        <v>1962</v>
      </c>
      <c r="J145" s="101">
        <f t="shared" si="48"/>
        <v>2.2000000000000002</v>
      </c>
      <c r="K145" s="101">
        <f t="shared" si="48"/>
        <v>2.5</v>
      </c>
      <c r="L145" s="101">
        <f t="shared" si="48"/>
        <v>2.6</v>
      </c>
      <c r="M145" s="101">
        <f t="shared" ref="J145:R173" si="51">ROUNDUP(IF($E145="画面",画面係数,IF($E145="帳票",帳票係数,IF($E145="バッチ",バッチ係数,0))) *
 IF($I145="特高",特高係数,IF($I145="高",高係数,IF($I145="中",中係数,IF($I145="低",低係数,IF($I145="特低",特低係数,0))))) *
 IF(M$7="SA",要件定義係数,IF(M$7="UI",基本設計係数,IF(M$7="SS",詳細設計係数,IF(M$7="PS/PG/PT",製作係数,IF(M$7="IT",結合テスト係数,IF(M$7="ST",総合テスト係数,IF(M$7="OT",受入支援係数,IF(M$7="RL",移行切替係数,IF(M$7="その他",その他係数,0))))))))) *
 M$8,1)</f>
        <v>4.6999999999999993</v>
      </c>
      <c r="N145" s="101">
        <f t="shared" si="51"/>
        <v>2.9</v>
      </c>
      <c r="O145" s="101">
        <f t="shared" si="51"/>
        <v>1.9000000000000001</v>
      </c>
      <c r="P145" s="101">
        <f t="shared" si="51"/>
        <v>0.79999999999999993</v>
      </c>
      <c r="Q145" s="101">
        <f t="shared" si="51"/>
        <v>2.2000000000000002</v>
      </c>
      <c r="R145" s="101">
        <f t="shared" si="51"/>
        <v>0</v>
      </c>
      <c r="S145" s="77"/>
      <c r="T145" s="101">
        <f t="shared" si="49"/>
        <v>3</v>
      </c>
      <c r="U145" s="101">
        <f t="shared" si="50"/>
        <v>22.8</v>
      </c>
      <c r="V145" s="102">
        <f t="shared" si="45"/>
        <v>1.1400000000000001</v>
      </c>
      <c r="W145" s="103">
        <f t="shared" si="46"/>
        <v>1249500</v>
      </c>
      <c r="X145" s="104" t="s">
        <v>93</v>
      </c>
    </row>
    <row r="146" spans="1:24" s="75" customFormat="1" ht="12">
      <c r="A146" s="73">
        <f t="shared" si="47"/>
        <v>137</v>
      </c>
      <c r="B146" s="76" t="s">
        <v>1959</v>
      </c>
      <c r="C146" s="98" t="s">
        <v>1939</v>
      </c>
      <c r="D146" s="99" t="s">
        <v>1542</v>
      </c>
      <c r="E146" s="78" t="s">
        <v>1964</v>
      </c>
      <c r="F146" s="74"/>
      <c r="G146" s="79"/>
      <c r="H146" s="79"/>
      <c r="I146" s="74" t="s">
        <v>1962</v>
      </c>
      <c r="J146" s="101">
        <f t="shared" si="51"/>
        <v>2.2000000000000002</v>
      </c>
      <c r="K146" s="101">
        <f t="shared" si="51"/>
        <v>2.5</v>
      </c>
      <c r="L146" s="101">
        <f t="shared" si="51"/>
        <v>2.6</v>
      </c>
      <c r="M146" s="101">
        <f t="shared" si="51"/>
        <v>4.6999999999999993</v>
      </c>
      <c r="N146" s="101">
        <f t="shared" si="51"/>
        <v>2.9</v>
      </c>
      <c r="O146" s="101">
        <f t="shared" si="51"/>
        <v>1.9000000000000001</v>
      </c>
      <c r="P146" s="101">
        <f t="shared" si="51"/>
        <v>0.79999999999999993</v>
      </c>
      <c r="Q146" s="101">
        <f t="shared" si="51"/>
        <v>2.2000000000000002</v>
      </c>
      <c r="R146" s="101">
        <f t="shared" si="51"/>
        <v>0</v>
      </c>
      <c r="S146" s="77"/>
      <c r="T146" s="101">
        <f t="shared" si="49"/>
        <v>3</v>
      </c>
      <c r="U146" s="101">
        <f t="shared" si="50"/>
        <v>22.8</v>
      </c>
      <c r="V146" s="102">
        <f t="shared" si="45"/>
        <v>1.1400000000000001</v>
      </c>
      <c r="W146" s="103">
        <f t="shared" si="46"/>
        <v>1249500</v>
      </c>
      <c r="X146" s="104" t="s">
        <v>93</v>
      </c>
    </row>
    <row r="147" spans="1:24" s="75" customFormat="1" ht="12">
      <c r="A147" s="73">
        <f t="shared" si="47"/>
        <v>138</v>
      </c>
      <c r="B147" s="76" t="s">
        <v>1959</v>
      </c>
      <c r="C147" s="98" t="s">
        <v>1940</v>
      </c>
      <c r="D147" s="99" t="s">
        <v>1542</v>
      </c>
      <c r="E147" s="78" t="s">
        <v>1964</v>
      </c>
      <c r="F147" s="74"/>
      <c r="G147" s="79"/>
      <c r="H147" s="79"/>
      <c r="I147" s="74" t="s">
        <v>1962</v>
      </c>
      <c r="J147" s="101">
        <f t="shared" si="51"/>
        <v>2.2000000000000002</v>
      </c>
      <c r="K147" s="101">
        <f t="shared" si="51"/>
        <v>2.5</v>
      </c>
      <c r="L147" s="101">
        <f t="shared" si="51"/>
        <v>2.6</v>
      </c>
      <c r="M147" s="101">
        <f t="shared" si="51"/>
        <v>4.6999999999999993</v>
      </c>
      <c r="N147" s="101">
        <f t="shared" si="51"/>
        <v>2.9</v>
      </c>
      <c r="O147" s="101">
        <f t="shared" si="51"/>
        <v>1.9000000000000001</v>
      </c>
      <c r="P147" s="101">
        <f t="shared" si="51"/>
        <v>0.79999999999999993</v>
      </c>
      <c r="Q147" s="101">
        <f t="shared" si="51"/>
        <v>2.2000000000000002</v>
      </c>
      <c r="R147" s="101">
        <f t="shared" si="51"/>
        <v>0</v>
      </c>
      <c r="S147" s="77"/>
      <c r="T147" s="101">
        <f t="shared" si="49"/>
        <v>3</v>
      </c>
      <c r="U147" s="101">
        <f t="shared" si="50"/>
        <v>22.8</v>
      </c>
      <c r="V147" s="102">
        <f t="shared" si="45"/>
        <v>1.1400000000000001</v>
      </c>
      <c r="W147" s="103">
        <f t="shared" si="46"/>
        <v>1249500</v>
      </c>
      <c r="X147" s="104" t="s">
        <v>93</v>
      </c>
    </row>
    <row r="148" spans="1:24" s="75" customFormat="1" ht="12">
      <c r="A148" s="73">
        <f t="shared" si="47"/>
        <v>139</v>
      </c>
      <c r="B148" s="76" t="s">
        <v>1959</v>
      </c>
      <c r="C148" s="98" t="s">
        <v>1941</v>
      </c>
      <c r="D148" s="99" t="s">
        <v>1542</v>
      </c>
      <c r="E148" s="78" t="s">
        <v>1964</v>
      </c>
      <c r="F148" s="74"/>
      <c r="G148" s="79"/>
      <c r="H148" s="79"/>
      <c r="I148" s="74" t="s">
        <v>1962</v>
      </c>
      <c r="J148" s="101">
        <f t="shared" si="51"/>
        <v>2.2000000000000002</v>
      </c>
      <c r="K148" s="101">
        <f t="shared" si="51"/>
        <v>2.5</v>
      </c>
      <c r="L148" s="101">
        <f t="shared" si="51"/>
        <v>2.6</v>
      </c>
      <c r="M148" s="101">
        <f t="shared" si="51"/>
        <v>4.6999999999999993</v>
      </c>
      <c r="N148" s="101">
        <f t="shared" si="51"/>
        <v>2.9</v>
      </c>
      <c r="O148" s="101">
        <f t="shared" si="51"/>
        <v>1.9000000000000001</v>
      </c>
      <c r="P148" s="101">
        <f t="shared" si="51"/>
        <v>0.79999999999999993</v>
      </c>
      <c r="Q148" s="101">
        <f t="shared" si="51"/>
        <v>2.2000000000000002</v>
      </c>
      <c r="R148" s="101">
        <f t="shared" si="51"/>
        <v>0</v>
      </c>
      <c r="S148" s="77"/>
      <c r="T148" s="101">
        <f t="shared" si="49"/>
        <v>3</v>
      </c>
      <c r="U148" s="101">
        <f t="shared" si="50"/>
        <v>22.8</v>
      </c>
      <c r="V148" s="102">
        <f t="shared" si="45"/>
        <v>1.1400000000000001</v>
      </c>
      <c r="W148" s="103">
        <f t="shared" si="46"/>
        <v>1249500</v>
      </c>
      <c r="X148" s="104" t="s">
        <v>93</v>
      </c>
    </row>
    <row r="149" spans="1:24" s="75" customFormat="1" ht="12">
      <c r="A149" s="73">
        <f t="shared" si="47"/>
        <v>140</v>
      </c>
      <c r="B149" s="76" t="s">
        <v>1959</v>
      </c>
      <c r="C149" s="98" t="s">
        <v>1942</v>
      </c>
      <c r="D149" s="99" t="s">
        <v>1562</v>
      </c>
      <c r="E149" s="78" t="s">
        <v>1964</v>
      </c>
      <c r="F149" s="74"/>
      <c r="G149" s="79"/>
      <c r="H149" s="79"/>
      <c r="I149" s="74" t="s">
        <v>1962</v>
      </c>
      <c r="J149" s="101">
        <f t="shared" si="51"/>
        <v>2.2000000000000002</v>
      </c>
      <c r="K149" s="101">
        <f t="shared" si="51"/>
        <v>2.5</v>
      </c>
      <c r="L149" s="101">
        <f t="shared" si="51"/>
        <v>2.6</v>
      </c>
      <c r="M149" s="101">
        <f t="shared" si="51"/>
        <v>4.6999999999999993</v>
      </c>
      <c r="N149" s="101">
        <f t="shared" si="51"/>
        <v>2.9</v>
      </c>
      <c r="O149" s="101">
        <f t="shared" si="51"/>
        <v>1.9000000000000001</v>
      </c>
      <c r="P149" s="101">
        <f t="shared" si="51"/>
        <v>0.79999999999999993</v>
      </c>
      <c r="Q149" s="101">
        <f t="shared" si="51"/>
        <v>2.2000000000000002</v>
      </c>
      <c r="R149" s="101">
        <f t="shared" si="51"/>
        <v>0</v>
      </c>
      <c r="S149" s="77"/>
      <c r="T149" s="101">
        <f t="shared" si="49"/>
        <v>3</v>
      </c>
      <c r="U149" s="101">
        <f t="shared" si="50"/>
        <v>22.8</v>
      </c>
      <c r="V149" s="102">
        <f t="shared" si="45"/>
        <v>1.1400000000000001</v>
      </c>
      <c r="W149" s="103">
        <f t="shared" si="46"/>
        <v>1249500</v>
      </c>
      <c r="X149" s="104" t="s">
        <v>93</v>
      </c>
    </row>
    <row r="150" spans="1:24" s="75" customFormat="1" ht="12">
      <c r="A150" s="73">
        <f t="shared" si="47"/>
        <v>141</v>
      </c>
      <c r="B150" s="76" t="s">
        <v>1959</v>
      </c>
      <c r="C150" s="98" t="s">
        <v>1943</v>
      </c>
      <c r="D150" s="99" t="s">
        <v>1562</v>
      </c>
      <c r="E150" s="78" t="s">
        <v>1964</v>
      </c>
      <c r="F150" s="74"/>
      <c r="G150" s="79"/>
      <c r="H150" s="79"/>
      <c r="I150" s="74" t="s">
        <v>1962</v>
      </c>
      <c r="J150" s="101">
        <f t="shared" si="51"/>
        <v>2.2000000000000002</v>
      </c>
      <c r="K150" s="101">
        <f t="shared" si="51"/>
        <v>2.5</v>
      </c>
      <c r="L150" s="101">
        <f t="shared" si="51"/>
        <v>2.6</v>
      </c>
      <c r="M150" s="101">
        <f t="shared" si="51"/>
        <v>4.6999999999999993</v>
      </c>
      <c r="N150" s="101">
        <f t="shared" si="51"/>
        <v>2.9</v>
      </c>
      <c r="O150" s="101">
        <f t="shared" si="51"/>
        <v>1.9000000000000001</v>
      </c>
      <c r="P150" s="101">
        <f t="shared" si="51"/>
        <v>0.79999999999999993</v>
      </c>
      <c r="Q150" s="101">
        <f t="shared" si="51"/>
        <v>2.2000000000000002</v>
      </c>
      <c r="R150" s="101">
        <f t="shared" si="51"/>
        <v>0</v>
      </c>
      <c r="S150" s="77"/>
      <c r="T150" s="101">
        <f t="shared" si="49"/>
        <v>3</v>
      </c>
      <c r="U150" s="101">
        <f t="shared" si="50"/>
        <v>22.8</v>
      </c>
      <c r="V150" s="102">
        <f t="shared" si="45"/>
        <v>1.1400000000000001</v>
      </c>
      <c r="W150" s="103">
        <f t="shared" si="46"/>
        <v>1249500</v>
      </c>
      <c r="X150" s="104" t="s">
        <v>93</v>
      </c>
    </row>
    <row r="151" spans="1:24" s="75" customFormat="1" ht="12">
      <c r="A151" s="73">
        <f t="shared" si="47"/>
        <v>142</v>
      </c>
      <c r="B151" s="76" t="s">
        <v>1959</v>
      </c>
      <c r="C151" s="98" t="s">
        <v>1944</v>
      </c>
      <c r="D151" s="99" t="s">
        <v>1562</v>
      </c>
      <c r="E151" s="78" t="s">
        <v>1964</v>
      </c>
      <c r="F151" s="74"/>
      <c r="G151" s="79"/>
      <c r="H151" s="79"/>
      <c r="I151" s="74" t="s">
        <v>1962</v>
      </c>
      <c r="J151" s="101">
        <f t="shared" si="51"/>
        <v>2.2000000000000002</v>
      </c>
      <c r="K151" s="101">
        <f t="shared" si="51"/>
        <v>2.5</v>
      </c>
      <c r="L151" s="101">
        <f t="shared" si="51"/>
        <v>2.6</v>
      </c>
      <c r="M151" s="101">
        <f t="shared" si="51"/>
        <v>4.6999999999999993</v>
      </c>
      <c r="N151" s="101">
        <f t="shared" si="51"/>
        <v>2.9</v>
      </c>
      <c r="O151" s="101">
        <f t="shared" si="51"/>
        <v>1.9000000000000001</v>
      </c>
      <c r="P151" s="101">
        <f t="shared" si="51"/>
        <v>0.79999999999999993</v>
      </c>
      <c r="Q151" s="101">
        <f t="shared" si="51"/>
        <v>2.2000000000000002</v>
      </c>
      <c r="R151" s="101">
        <f t="shared" si="51"/>
        <v>0</v>
      </c>
      <c r="S151" s="77"/>
      <c r="T151" s="101">
        <f t="shared" si="49"/>
        <v>3</v>
      </c>
      <c r="U151" s="101">
        <f t="shared" si="50"/>
        <v>22.8</v>
      </c>
      <c r="V151" s="102">
        <f t="shared" si="45"/>
        <v>1.1400000000000001</v>
      </c>
      <c r="W151" s="103">
        <f t="shared" si="46"/>
        <v>1249500</v>
      </c>
      <c r="X151" s="104" t="s">
        <v>93</v>
      </c>
    </row>
    <row r="152" spans="1:24" s="75" customFormat="1" ht="12">
      <c r="A152" s="73">
        <f t="shared" si="47"/>
        <v>143</v>
      </c>
      <c r="B152" s="76" t="s">
        <v>1959</v>
      </c>
      <c r="C152" s="98" t="s">
        <v>1566</v>
      </c>
      <c r="D152" s="99" t="s">
        <v>1562</v>
      </c>
      <c r="E152" s="78" t="s">
        <v>1964</v>
      </c>
      <c r="F152" s="74"/>
      <c r="G152" s="79"/>
      <c r="H152" s="79"/>
      <c r="I152" s="74" t="s">
        <v>1962</v>
      </c>
      <c r="J152" s="101">
        <f t="shared" si="51"/>
        <v>2.2000000000000002</v>
      </c>
      <c r="K152" s="101">
        <f t="shared" si="51"/>
        <v>2.5</v>
      </c>
      <c r="L152" s="101">
        <f t="shared" si="51"/>
        <v>2.6</v>
      </c>
      <c r="M152" s="101">
        <f t="shared" si="51"/>
        <v>4.6999999999999993</v>
      </c>
      <c r="N152" s="101">
        <f t="shared" si="51"/>
        <v>2.9</v>
      </c>
      <c r="O152" s="101">
        <f t="shared" si="51"/>
        <v>1.9000000000000001</v>
      </c>
      <c r="P152" s="101">
        <f t="shared" si="51"/>
        <v>0.79999999999999993</v>
      </c>
      <c r="Q152" s="101">
        <f t="shared" si="51"/>
        <v>2.2000000000000002</v>
      </c>
      <c r="R152" s="101">
        <f t="shared" si="51"/>
        <v>0</v>
      </c>
      <c r="S152" s="77"/>
      <c r="T152" s="101">
        <f t="shared" si="49"/>
        <v>3</v>
      </c>
      <c r="U152" s="101">
        <f t="shared" si="50"/>
        <v>22.8</v>
      </c>
      <c r="V152" s="102">
        <f t="shared" si="45"/>
        <v>1.1400000000000001</v>
      </c>
      <c r="W152" s="103">
        <f t="shared" si="46"/>
        <v>1249500</v>
      </c>
      <c r="X152" s="104" t="s">
        <v>93</v>
      </c>
    </row>
    <row r="153" spans="1:24" s="75" customFormat="1" ht="12">
      <c r="A153" s="73">
        <f t="shared" si="47"/>
        <v>144</v>
      </c>
      <c r="B153" s="76" t="s">
        <v>1959</v>
      </c>
      <c r="C153" s="98" t="s">
        <v>1568</v>
      </c>
      <c r="D153" s="99" t="s">
        <v>1562</v>
      </c>
      <c r="E153" s="78" t="s">
        <v>1964</v>
      </c>
      <c r="F153" s="74"/>
      <c r="G153" s="79"/>
      <c r="H153" s="79"/>
      <c r="I153" s="74" t="s">
        <v>1962</v>
      </c>
      <c r="J153" s="101">
        <f t="shared" si="51"/>
        <v>2.2000000000000002</v>
      </c>
      <c r="K153" s="101">
        <f t="shared" si="51"/>
        <v>2.5</v>
      </c>
      <c r="L153" s="101">
        <f t="shared" si="51"/>
        <v>2.6</v>
      </c>
      <c r="M153" s="101">
        <f t="shared" si="51"/>
        <v>4.6999999999999993</v>
      </c>
      <c r="N153" s="101">
        <f t="shared" si="51"/>
        <v>2.9</v>
      </c>
      <c r="O153" s="101">
        <f t="shared" si="51"/>
        <v>1.9000000000000001</v>
      </c>
      <c r="P153" s="101">
        <f t="shared" si="51"/>
        <v>0.79999999999999993</v>
      </c>
      <c r="Q153" s="101">
        <f t="shared" si="51"/>
        <v>2.2000000000000002</v>
      </c>
      <c r="R153" s="101">
        <f t="shared" si="51"/>
        <v>0</v>
      </c>
      <c r="S153" s="77"/>
      <c r="T153" s="101">
        <f t="shared" si="49"/>
        <v>3</v>
      </c>
      <c r="U153" s="101">
        <f t="shared" si="50"/>
        <v>22.8</v>
      </c>
      <c r="V153" s="102">
        <f t="shared" si="45"/>
        <v>1.1400000000000001</v>
      </c>
      <c r="W153" s="103">
        <f t="shared" si="46"/>
        <v>1249500</v>
      </c>
      <c r="X153" s="104" t="s">
        <v>93</v>
      </c>
    </row>
    <row r="154" spans="1:24" s="75" customFormat="1" ht="12">
      <c r="A154" s="73">
        <f t="shared" si="47"/>
        <v>145</v>
      </c>
      <c r="B154" s="76" t="s">
        <v>1959</v>
      </c>
      <c r="C154" s="98" t="s">
        <v>1570</v>
      </c>
      <c r="D154" s="99" t="s">
        <v>1562</v>
      </c>
      <c r="E154" s="78" t="s">
        <v>1964</v>
      </c>
      <c r="F154" s="74"/>
      <c r="G154" s="79"/>
      <c r="H154" s="79"/>
      <c r="I154" s="74" t="s">
        <v>1962</v>
      </c>
      <c r="J154" s="101">
        <f t="shared" si="51"/>
        <v>2.2000000000000002</v>
      </c>
      <c r="K154" s="101">
        <f t="shared" si="51"/>
        <v>2.5</v>
      </c>
      <c r="L154" s="101">
        <f t="shared" si="51"/>
        <v>2.6</v>
      </c>
      <c r="M154" s="101">
        <f t="shared" si="51"/>
        <v>4.6999999999999993</v>
      </c>
      <c r="N154" s="101">
        <f t="shared" si="51"/>
        <v>2.9</v>
      </c>
      <c r="O154" s="101">
        <f t="shared" si="51"/>
        <v>1.9000000000000001</v>
      </c>
      <c r="P154" s="101">
        <f t="shared" si="51"/>
        <v>0.79999999999999993</v>
      </c>
      <c r="Q154" s="101">
        <f t="shared" si="51"/>
        <v>2.2000000000000002</v>
      </c>
      <c r="R154" s="101">
        <f t="shared" si="51"/>
        <v>0</v>
      </c>
      <c r="S154" s="77"/>
      <c r="T154" s="101">
        <f t="shared" si="49"/>
        <v>3</v>
      </c>
      <c r="U154" s="101">
        <f t="shared" si="50"/>
        <v>22.8</v>
      </c>
      <c r="V154" s="102">
        <f t="shared" si="45"/>
        <v>1.1400000000000001</v>
      </c>
      <c r="W154" s="103">
        <f t="shared" si="46"/>
        <v>1249500</v>
      </c>
      <c r="X154" s="104" t="s">
        <v>93</v>
      </c>
    </row>
    <row r="155" spans="1:24" s="75" customFormat="1" ht="12">
      <c r="A155" s="73">
        <f t="shared" si="47"/>
        <v>146</v>
      </c>
      <c r="B155" s="76" t="s">
        <v>1959</v>
      </c>
      <c r="C155" s="98" t="s">
        <v>1572</v>
      </c>
      <c r="D155" s="99" t="s">
        <v>1562</v>
      </c>
      <c r="E155" s="78" t="s">
        <v>1964</v>
      </c>
      <c r="F155" s="74"/>
      <c r="G155" s="79"/>
      <c r="H155" s="79"/>
      <c r="I155" s="74" t="s">
        <v>1962</v>
      </c>
      <c r="J155" s="101">
        <f t="shared" si="51"/>
        <v>2.2000000000000002</v>
      </c>
      <c r="K155" s="101">
        <f t="shared" si="51"/>
        <v>2.5</v>
      </c>
      <c r="L155" s="101">
        <f t="shared" si="51"/>
        <v>2.6</v>
      </c>
      <c r="M155" s="101">
        <f t="shared" si="51"/>
        <v>4.6999999999999993</v>
      </c>
      <c r="N155" s="101">
        <f t="shared" si="51"/>
        <v>2.9</v>
      </c>
      <c r="O155" s="101">
        <f t="shared" si="51"/>
        <v>1.9000000000000001</v>
      </c>
      <c r="P155" s="101">
        <f t="shared" si="51"/>
        <v>0.79999999999999993</v>
      </c>
      <c r="Q155" s="101">
        <f t="shared" si="51"/>
        <v>2.2000000000000002</v>
      </c>
      <c r="R155" s="101">
        <f t="shared" si="51"/>
        <v>0</v>
      </c>
      <c r="S155" s="77"/>
      <c r="T155" s="101">
        <f t="shared" si="49"/>
        <v>3</v>
      </c>
      <c r="U155" s="101">
        <f t="shared" si="50"/>
        <v>22.8</v>
      </c>
      <c r="V155" s="102">
        <f t="shared" si="45"/>
        <v>1.1400000000000001</v>
      </c>
      <c r="W155" s="103">
        <f t="shared" si="46"/>
        <v>1249500</v>
      </c>
      <c r="X155" s="104" t="s">
        <v>93</v>
      </c>
    </row>
    <row r="156" spans="1:24" s="75" customFormat="1" ht="12">
      <c r="A156" s="73">
        <f t="shared" si="47"/>
        <v>147</v>
      </c>
      <c r="B156" s="76" t="s">
        <v>1959</v>
      </c>
      <c r="C156" s="98" t="s">
        <v>1574</v>
      </c>
      <c r="D156" s="99" t="s">
        <v>1562</v>
      </c>
      <c r="E156" s="78" t="s">
        <v>1964</v>
      </c>
      <c r="F156" s="74"/>
      <c r="G156" s="79"/>
      <c r="H156" s="79"/>
      <c r="I156" s="74" t="s">
        <v>1962</v>
      </c>
      <c r="J156" s="101">
        <f t="shared" si="51"/>
        <v>2.2000000000000002</v>
      </c>
      <c r="K156" s="101">
        <f t="shared" si="51"/>
        <v>2.5</v>
      </c>
      <c r="L156" s="101">
        <f t="shared" si="51"/>
        <v>2.6</v>
      </c>
      <c r="M156" s="101">
        <f t="shared" si="51"/>
        <v>4.6999999999999993</v>
      </c>
      <c r="N156" s="101">
        <f t="shared" si="51"/>
        <v>2.9</v>
      </c>
      <c r="O156" s="101">
        <f t="shared" si="51"/>
        <v>1.9000000000000001</v>
      </c>
      <c r="P156" s="101">
        <f t="shared" si="51"/>
        <v>0.79999999999999993</v>
      </c>
      <c r="Q156" s="101">
        <f t="shared" si="51"/>
        <v>2.2000000000000002</v>
      </c>
      <c r="R156" s="101">
        <f t="shared" si="51"/>
        <v>0</v>
      </c>
      <c r="S156" s="77"/>
      <c r="T156" s="101">
        <f t="shared" si="49"/>
        <v>3</v>
      </c>
      <c r="U156" s="101">
        <f t="shared" si="50"/>
        <v>22.8</v>
      </c>
      <c r="V156" s="102">
        <f t="shared" si="45"/>
        <v>1.1400000000000001</v>
      </c>
      <c r="W156" s="103">
        <f t="shared" si="46"/>
        <v>1249500</v>
      </c>
      <c r="X156" s="104" t="s">
        <v>93</v>
      </c>
    </row>
    <row r="157" spans="1:24" s="75" customFormat="1" ht="12">
      <c r="A157" s="73">
        <f t="shared" si="47"/>
        <v>148</v>
      </c>
      <c r="B157" s="76" t="s">
        <v>1959</v>
      </c>
      <c r="C157" s="98" t="s">
        <v>1945</v>
      </c>
      <c r="D157" s="99" t="s">
        <v>1562</v>
      </c>
      <c r="E157" s="78" t="s">
        <v>1964</v>
      </c>
      <c r="F157" s="74"/>
      <c r="G157" s="79"/>
      <c r="H157" s="79"/>
      <c r="I157" s="74" t="s">
        <v>1962</v>
      </c>
      <c r="J157" s="101">
        <f t="shared" si="51"/>
        <v>2.2000000000000002</v>
      </c>
      <c r="K157" s="101">
        <f t="shared" si="51"/>
        <v>2.5</v>
      </c>
      <c r="L157" s="101">
        <f t="shared" si="51"/>
        <v>2.6</v>
      </c>
      <c r="M157" s="101">
        <f t="shared" si="51"/>
        <v>4.6999999999999993</v>
      </c>
      <c r="N157" s="101">
        <f t="shared" si="51"/>
        <v>2.9</v>
      </c>
      <c r="O157" s="101">
        <f t="shared" si="51"/>
        <v>1.9000000000000001</v>
      </c>
      <c r="P157" s="101">
        <f t="shared" si="51"/>
        <v>0.79999999999999993</v>
      </c>
      <c r="Q157" s="101">
        <f t="shared" si="51"/>
        <v>2.2000000000000002</v>
      </c>
      <c r="R157" s="101">
        <f t="shared" si="51"/>
        <v>0</v>
      </c>
      <c r="S157" s="77"/>
      <c r="T157" s="101">
        <f t="shared" si="49"/>
        <v>3</v>
      </c>
      <c r="U157" s="101">
        <f t="shared" si="50"/>
        <v>22.8</v>
      </c>
      <c r="V157" s="102">
        <f t="shared" si="45"/>
        <v>1.1400000000000001</v>
      </c>
      <c r="W157" s="103">
        <f t="shared" si="46"/>
        <v>1249500</v>
      </c>
      <c r="X157" s="104" t="s">
        <v>93</v>
      </c>
    </row>
    <row r="158" spans="1:24" s="75" customFormat="1" ht="12">
      <c r="A158" s="73">
        <f t="shared" si="47"/>
        <v>149</v>
      </c>
      <c r="B158" s="76" t="s">
        <v>1959</v>
      </c>
      <c r="C158" s="98" t="s">
        <v>1577</v>
      </c>
      <c r="D158" s="99" t="s">
        <v>1578</v>
      </c>
      <c r="E158" s="78" t="s">
        <v>1964</v>
      </c>
      <c r="F158" s="74"/>
      <c r="G158" s="79"/>
      <c r="H158" s="79"/>
      <c r="I158" s="74" t="s">
        <v>1962</v>
      </c>
      <c r="J158" s="101">
        <f t="shared" si="51"/>
        <v>2.2000000000000002</v>
      </c>
      <c r="K158" s="101">
        <f t="shared" si="51"/>
        <v>2.5</v>
      </c>
      <c r="L158" s="101">
        <f t="shared" si="51"/>
        <v>2.6</v>
      </c>
      <c r="M158" s="101">
        <f t="shared" si="51"/>
        <v>4.6999999999999993</v>
      </c>
      <c r="N158" s="101">
        <f t="shared" si="51"/>
        <v>2.9</v>
      </c>
      <c r="O158" s="101">
        <f t="shared" si="51"/>
        <v>1.9000000000000001</v>
      </c>
      <c r="P158" s="101">
        <f t="shared" si="51"/>
        <v>0.79999999999999993</v>
      </c>
      <c r="Q158" s="101">
        <f t="shared" si="51"/>
        <v>2.2000000000000002</v>
      </c>
      <c r="R158" s="101">
        <f t="shared" si="51"/>
        <v>0</v>
      </c>
      <c r="S158" s="77"/>
      <c r="T158" s="101">
        <f t="shared" si="49"/>
        <v>3</v>
      </c>
      <c r="U158" s="101">
        <f t="shared" si="50"/>
        <v>22.8</v>
      </c>
      <c r="V158" s="102">
        <f t="shared" si="45"/>
        <v>1.1400000000000001</v>
      </c>
      <c r="W158" s="103">
        <f t="shared" si="46"/>
        <v>1249500</v>
      </c>
      <c r="X158" s="104" t="s">
        <v>93</v>
      </c>
    </row>
    <row r="159" spans="1:24" s="75" customFormat="1" ht="12">
      <c r="A159" s="73">
        <f t="shared" si="47"/>
        <v>150</v>
      </c>
      <c r="B159" s="76" t="s">
        <v>1959</v>
      </c>
      <c r="C159" s="98" t="s">
        <v>1579</v>
      </c>
      <c r="D159" s="99" t="s">
        <v>1578</v>
      </c>
      <c r="E159" s="78" t="s">
        <v>1964</v>
      </c>
      <c r="F159" s="74"/>
      <c r="G159" s="79"/>
      <c r="H159" s="79"/>
      <c r="I159" s="74" t="s">
        <v>1962</v>
      </c>
      <c r="J159" s="101">
        <f t="shared" si="51"/>
        <v>2.2000000000000002</v>
      </c>
      <c r="K159" s="101">
        <f t="shared" si="51"/>
        <v>2.5</v>
      </c>
      <c r="L159" s="101">
        <f t="shared" si="51"/>
        <v>2.6</v>
      </c>
      <c r="M159" s="101">
        <f t="shared" si="51"/>
        <v>4.6999999999999993</v>
      </c>
      <c r="N159" s="101">
        <f t="shared" si="51"/>
        <v>2.9</v>
      </c>
      <c r="O159" s="101">
        <f t="shared" si="51"/>
        <v>1.9000000000000001</v>
      </c>
      <c r="P159" s="101">
        <f t="shared" si="51"/>
        <v>0.79999999999999993</v>
      </c>
      <c r="Q159" s="101">
        <f t="shared" si="51"/>
        <v>2.2000000000000002</v>
      </c>
      <c r="R159" s="101">
        <f t="shared" si="51"/>
        <v>0</v>
      </c>
      <c r="S159" s="77"/>
      <c r="T159" s="101">
        <f t="shared" si="49"/>
        <v>3</v>
      </c>
      <c r="U159" s="101">
        <f t="shared" si="50"/>
        <v>22.8</v>
      </c>
      <c r="V159" s="102">
        <f t="shared" si="45"/>
        <v>1.1400000000000001</v>
      </c>
      <c r="W159" s="103">
        <f t="shared" si="46"/>
        <v>1249500</v>
      </c>
      <c r="X159" s="104" t="s">
        <v>93</v>
      </c>
    </row>
    <row r="160" spans="1:24" s="75" customFormat="1" ht="12">
      <c r="A160" s="73">
        <f t="shared" si="47"/>
        <v>151</v>
      </c>
      <c r="B160" s="76" t="s">
        <v>1959</v>
      </c>
      <c r="C160" s="98" t="s">
        <v>1580</v>
      </c>
      <c r="D160" s="99" t="s">
        <v>1578</v>
      </c>
      <c r="E160" s="78" t="s">
        <v>1964</v>
      </c>
      <c r="F160" s="74"/>
      <c r="G160" s="79"/>
      <c r="H160" s="79"/>
      <c r="I160" s="74" t="s">
        <v>1962</v>
      </c>
      <c r="J160" s="101">
        <f t="shared" si="51"/>
        <v>2.2000000000000002</v>
      </c>
      <c r="K160" s="101">
        <f t="shared" si="51"/>
        <v>2.5</v>
      </c>
      <c r="L160" s="101">
        <f t="shared" si="51"/>
        <v>2.6</v>
      </c>
      <c r="M160" s="101">
        <f t="shared" si="51"/>
        <v>4.6999999999999993</v>
      </c>
      <c r="N160" s="101">
        <f t="shared" si="51"/>
        <v>2.9</v>
      </c>
      <c r="O160" s="101">
        <f t="shared" si="51"/>
        <v>1.9000000000000001</v>
      </c>
      <c r="P160" s="101">
        <f t="shared" si="51"/>
        <v>0.79999999999999993</v>
      </c>
      <c r="Q160" s="101">
        <f t="shared" si="51"/>
        <v>2.2000000000000002</v>
      </c>
      <c r="R160" s="101">
        <f t="shared" si="51"/>
        <v>0</v>
      </c>
      <c r="S160" s="77"/>
      <c r="T160" s="101">
        <f t="shared" si="49"/>
        <v>3</v>
      </c>
      <c r="U160" s="101">
        <f t="shared" si="50"/>
        <v>22.8</v>
      </c>
      <c r="V160" s="102">
        <f t="shared" si="45"/>
        <v>1.1400000000000001</v>
      </c>
      <c r="W160" s="103">
        <f t="shared" si="46"/>
        <v>1249500</v>
      </c>
      <c r="X160" s="104" t="s">
        <v>93</v>
      </c>
    </row>
    <row r="161" spans="1:24" s="75" customFormat="1" ht="12">
      <c r="A161" s="73">
        <f t="shared" si="47"/>
        <v>152</v>
      </c>
      <c r="B161" s="76" t="s">
        <v>1959</v>
      </c>
      <c r="C161" s="98" t="s">
        <v>1581</v>
      </c>
      <c r="D161" s="99" t="s">
        <v>1578</v>
      </c>
      <c r="E161" s="78" t="s">
        <v>1964</v>
      </c>
      <c r="F161" s="74"/>
      <c r="G161" s="79"/>
      <c r="H161" s="79"/>
      <c r="I161" s="74" t="s">
        <v>1962</v>
      </c>
      <c r="J161" s="101">
        <f t="shared" si="51"/>
        <v>2.2000000000000002</v>
      </c>
      <c r="K161" s="101">
        <f t="shared" si="51"/>
        <v>2.5</v>
      </c>
      <c r="L161" s="101">
        <f t="shared" si="51"/>
        <v>2.6</v>
      </c>
      <c r="M161" s="101">
        <f t="shared" si="51"/>
        <v>4.6999999999999993</v>
      </c>
      <c r="N161" s="101">
        <f t="shared" si="51"/>
        <v>2.9</v>
      </c>
      <c r="O161" s="101">
        <f t="shared" si="51"/>
        <v>1.9000000000000001</v>
      </c>
      <c r="P161" s="101">
        <f t="shared" si="51"/>
        <v>0.79999999999999993</v>
      </c>
      <c r="Q161" s="101">
        <f t="shared" si="51"/>
        <v>2.2000000000000002</v>
      </c>
      <c r="R161" s="101">
        <f t="shared" si="51"/>
        <v>0</v>
      </c>
      <c r="S161" s="77"/>
      <c r="T161" s="101">
        <f t="shared" si="49"/>
        <v>3</v>
      </c>
      <c r="U161" s="101">
        <f t="shared" si="50"/>
        <v>22.8</v>
      </c>
      <c r="V161" s="102">
        <f t="shared" si="45"/>
        <v>1.1400000000000001</v>
      </c>
      <c r="W161" s="103">
        <f t="shared" si="46"/>
        <v>1249500</v>
      </c>
      <c r="X161" s="104" t="s">
        <v>93</v>
      </c>
    </row>
    <row r="162" spans="1:24" s="75" customFormat="1" ht="12">
      <c r="A162" s="73">
        <f t="shared" si="47"/>
        <v>153</v>
      </c>
      <c r="B162" s="76" t="s">
        <v>1959</v>
      </c>
      <c r="C162" s="98" t="s">
        <v>1582</v>
      </c>
      <c r="D162" s="99" t="s">
        <v>1578</v>
      </c>
      <c r="E162" s="78" t="s">
        <v>1964</v>
      </c>
      <c r="F162" s="74"/>
      <c r="G162" s="79"/>
      <c r="H162" s="79"/>
      <c r="I162" s="74" t="s">
        <v>1962</v>
      </c>
      <c r="J162" s="101">
        <f t="shared" si="51"/>
        <v>2.2000000000000002</v>
      </c>
      <c r="K162" s="101">
        <f t="shared" si="51"/>
        <v>2.5</v>
      </c>
      <c r="L162" s="101">
        <f t="shared" si="51"/>
        <v>2.6</v>
      </c>
      <c r="M162" s="101">
        <f t="shared" si="51"/>
        <v>4.6999999999999993</v>
      </c>
      <c r="N162" s="101">
        <f t="shared" si="51"/>
        <v>2.9</v>
      </c>
      <c r="O162" s="101">
        <f t="shared" si="51"/>
        <v>1.9000000000000001</v>
      </c>
      <c r="P162" s="101">
        <f t="shared" si="51"/>
        <v>0.79999999999999993</v>
      </c>
      <c r="Q162" s="101">
        <f t="shared" si="51"/>
        <v>2.2000000000000002</v>
      </c>
      <c r="R162" s="101">
        <f t="shared" si="51"/>
        <v>0</v>
      </c>
      <c r="S162" s="77"/>
      <c r="T162" s="101">
        <f t="shared" si="49"/>
        <v>3</v>
      </c>
      <c r="U162" s="101">
        <f t="shared" si="50"/>
        <v>22.8</v>
      </c>
      <c r="V162" s="102">
        <f t="shared" si="45"/>
        <v>1.1400000000000001</v>
      </c>
      <c r="W162" s="103">
        <f t="shared" si="46"/>
        <v>1249500</v>
      </c>
      <c r="X162" s="104" t="s">
        <v>93</v>
      </c>
    </row>
    <row r="163" spans="1:24" s="75" customFormat="1" ht="12">
      <c r="A163" s="73">
        <f t="shared" si="47"/>
        <v>154</v>
      </c>
      <c r="B163" s="76" t="s">
        <v>1959</v>
      </c>
      <c r="C163" s="98" t="s">
        <v>1583</v>
      </c>
      <c r="D163" s="99" t="s">
        <v>1578</v>
      </c>
      <c r="E163" s="78" t="s">
        <v>1964</v>
      </c>
      <c r="F163" s="74"/>
      <c r="G163" s="79"/>
      <c r="H163" s="79"/>
      <c r="I163" s="74" t="s">
        <v>1962</v>
      </c>
      <c r="J163" s="101">
        <f t="shared" si="51"/>
        <v>2.2000000000000002</v>
      </c>
      <c r="K163" s="101">
        <f t="shared" si="51"/>
        <v>2.5</v>
      </c>
      <c r="L163" s="101">
        <f t="shared" si="51"/>
        <v>2.6</v>
      </c>
      <c r="M163" s="101">
        <f t="shared" si="51"/>
        <v>4.6999999999999993</v>
      </c>
      <c r="N163" s="101">
        <f t="shared" si="51"/>
        <v>2.9</v>
      </c>
      <c r="O163" s="101">
        <f t="shared" si="51"/>
        <v>1.9000000000000001</v>
      </c>
      <c r="P163" s="101">
        <f t="shared" si="51"/>
        <v>0.79999999999999993</v>
      </c>
      <c r="Q163" s="101">
        <f t="shared" si="51"/>
        <v>2.2000000000000002</v>
      </c>
      <c r="R163" s="101">
        <f t="shared" si="51"/>
        <v>0</v>
      </c>
      <c r="S163" s="77"/>
      <c r="T163" s="101">
        <f t="shared" si="49"/>
        <v>3</v>
      </c>
      <c r="U163" s="101">
        <f t="shared" si="50"/>
        <v>22.8</v>
      </c>
      <c r="V163" s="102">
        <f t="shared" si="45"/>
        <v>1.1400000000000001</v>
      </c>
      <c r="W163" s="103">
        <f t="shared" si="46"/>
        <v>1249500</v>
      </c>
      <c r="X163" s="104" t="s">
        <v>93</v>
      </c>
    </row>
    <row r="164" spans="1:24" s="75" customFormat="1" ht="12">
      <c r="A164" s="73">
        <f t="shared" si="47"/>
        <v>155</v>
      </c>
      <c r="B164" s="76" t="s">
        <v>1959</v>
      </c>
      <c r="C164" s="98" t="s">
        <v>1584</v>
      </c>
      <c r="D164" s="99" t="s">
        <v>1578</v>
      </c>
      <c r="E164" s="78" t="s">
        <v>1964</v>
      </c>
      <c r="F164" s="74"/>
      <c r="G164" s="79"/>
      <c r="H164" s="79"/>
      <c r="I164" s="74" t="s">
        <v>1962</v>
      </c>
      <c r="J164" s="101">
        <f t="shared" si="51"/>
        <v>2.2000000000000002</v>
      </c>
      <c r="K164" s="101">
        <f t="shared" si="51"/>
        <v>2.5</v>
      </c>
      <c r="L164" s="101">
        <f t="shared" si="51"/>
        <v>2.6</v>
      </c>
      <c r="M164" s="101">
        <f t="shared" si="51"/>
        <v>4.6999999999999993</v>
      </c>
      <c r="N164" s="101">
        <f t="shared" si="51"/>
        <v>2.9</v>
      </c>
      <c r="O164" s="101">
        <f t="shared" si="51"/>
        <v>1.9000000000000001</v>
      </c>
      <c r="P164" s="101">
        <f t="shared" si="51"/>
        <v>0.79999999999999993</v>
      </c>
      <c r="Q164" s="101">
        <f t="shared" si="51"/>
        <v>2.2000000000000002</v>
      </c>
      <c r="R164" s="101">
        <f t="shared" si="51"/>
        <v>0</v>
      </c>
      <c r="S164" s="77"/>
      <c r="T164" s="101">
        <f t="shared" si="49"/>
        <v>3</v>
      </c>
      <c r="U164" s="101">
        <f t="shared" si="50"/>
        <v>22.8</v>
      </c>
      <c r="V164" s="102">
        <f t="shared" si="45"/>
        <v>1.1400000000000001</v>
      </c>
      <c r="W164" s="103">
        <f t="shared" si="46"/>
        <v>1249500</v>
      </c>
      <c r="X164" s="104" t="s">
        <v>93</v>
      </c>
    </row>
    <row r="165" spans="1:24" s="75" customFormat="1" ht="12">
      <c r="A165" s="73">
        <f t="shared" si="47"/>
        <v>156</v>
      </c>
      <c r="B165" s="76" t="s">
        <v>1959</v>
      </c>
      <c r="C165" s="98" t="s">
        <v>1585</v>
      </c>
      <c r="D165" s="99" t="s">
        <v>1578</v>
      </c>
      <c r="E165" s="78" t="s">
        <v>1964</v>
      </c>
      <c r="F165" s="74"/>
      <c r="G165" s="79"/>
      <c r="H165" s="79"/>
      <c r="I165" s="74" t="s">
        <v>1962</v>
      </c>
      <c r="J165" s="101">
        <f t="shared" si="51"/>
        <v>2.2000000000000002</v>
      </c>
      <c r="K165" s="101">
        <f t="shared" si="51"/>
        <v>2.5</v>
      </c>
      <c r="L165" s="101">
        <f t="shared" si="51"/>
        <v>2.6</v>
      </c>
      <c r="M165" s="101">
        <f t="shared" si="51"/>
        <v>4.6999999999999993</v>
      </c>
      <c r="N165" s="101">
        <f t="shared" si="51"/>
        <v>2.9</v>
      </c>
      <c r="O165" s="101">
        <f t="shared" si="51"/>
        <v>1.9000000000000001</v>
      </c>
      <c r="P165" s="101">
        <f t="shared" si="51"/>
        <v>0.79999999999999993</v>
      </c>
      <c r="Q165" s="101">
        <f t="shared" si="51"/>
        <v>2.2000000000000002</v>
      </c>
      <c r="R165" s="101">
        <f t="shared" si="51"/>
        <v>0</v>
      </c>
      <c r="S165" s="77"/>
      <c r="T165" s="101">
        <f t="shared" si="49"/>
        <v>3</v>
      </c>
      <c r="U165" s="101">
        <f t="shared" si="50"/>
        <v>22.8</v>
      </c>
      <c r="V165" s="102">
        <f t="shared" si="45"/>
        <v>1.1400000000000001</v>
      </c>
      <c r="W165" s="103">
        <f t="shared" si="46"/>
        <v>1249500</v>
      </c>
      <c r="X165" s="104" t="s">
        <v>93</v>
      </c>
    </row>
    <row r="166" spans="1:24" s="75" customFormat="1" ht="12">
      <c r="A166" s="73">
        <f t="shared" si="47"/>
        <v>157</v>
      </c>
      <c r="B166" s="76" t="s">
        <v>1959</v>
      </c>
      <c r="C166" s="98" t="s">
        <v>99</v>
      </c>
      <c r="D166" s="99" t="s">
        <v>1586</v>
      </c>
      <c r="E166" s="78" t="s">
        <v>1964</v>
      </c>
      <c r="F166" s="74"/>
      <c r="G166" s="79"/>
      <c r="H166" s="79"/>
      <c r="I166" s="74" t="s">
        <v>1962</v>
      </c>
      <c r="J166" s="101">
        <f t="shared" si="51"/>
        <v>2.2000000000000002</v>
      </c>
      <c r="K166" s="101">
        <f t="shared" si="51"/>
        <v>2.5</v>
      </c>
      <c r="L166" s="101">
        <f t="shared" si="51"/>
        <v>2.6</v>
      </c>
      <c r="M166" s="101">
        <f t="shared" si="51"/>
        <v>4.6999999999999993</v>
      </c>
      <c r="N166" s="101">
        <f t="shared" si="51"/>
        <v>2.9</v>
      </c>
      <c r="O166" s="101">
        <f t="shared" si="51"/>
        <v>1.9000000000000001</v>
      </c>
      <c r="P166" s="101">
        <f t="shared" si="51"/>
        <v>0.79999999999999993</v>
      </c>
      <c r="Q166" s="101">
        <f t="shared" si="51"/>
        <v>2.2000000000000002</v>
      </c>
      <c r="R166" s="101">
        <f t="shared" si="51"/>
        <v>0</v>
      </c>
      <c r="S166" s="77"/>
      <c r="T166" s="101">
        <f t="shared" si="49"/>
        <v>3</v>
      </c>
      <c r="U166" s="101">
        <f t="shared" si="50"/>
        <v>22.8</v>
      </c>
      <c r="V166" s="102">
        <f t="shared" si="45"/>
        <v>1.1400000000000001</v>
      </c>
      <c r="W166" s="103">
        <f t="shared" si="46"/>
        <v>1249500</v>
      </c>
      <c r="X166" s="104" t="s">
        <v>93</v>
      </c>
    </row>
    <row r="167" spans="1:24" s="75" customFormat="1" ht="12">
      <c r="A167" s="73">
        <f t="shared" si="47"/>
        <v>158</v>
      </c>
      <c r="B167" s="76" t="s">
        <v>1959</v>
      </c>
      <c r="C167" s="98" t="s">
        <v>1587</v>
      </c>
      <c r="D167" s="99" t="s">
        <v>1586</v>
      </c>
      <c r="E167" s="78" t="s">
        <v>1964</v>
      </c>
      <c r="F167" s="74"/>
      <c r="G167" s="79"/>
      <c r="H167" s="79"/>
      <c r="I167" s="74" t="s">
        <v>1962</v>
      </c>
      <c r="J167" s="101">
        <f t="shared" si="51"/>
        <v>2.2000000000000002</v>
      </c>
      <c r="K167" s="101">
        <f t="shared" si="51"/>
        <v>2.5</v>
      </c>
      <c r="L167" s="101">
        <f t="shared" si="51"/>
        <v>2.6</v>
      </c>
      <c r="M167" s="101">
        <f t="shared" si="51"/>
        <v>4.6999999999999993</v>
      </c>
      <c r="N167" s="101">
        <f t="shared" si="51"/>
        <v>2.9</v>
      </c>
      <c r="O167" s="101">
        <f t="shared" si="51"/>
        <v>1.9000000000000001</v>
      </c>
      <c r="P167" s="101">
        <f t="shared" si="51"/>
        <v>0.79999999999999993</v>
      </c>
      <c r="Q167" s="101">
        <f t="shared" si="51"/>
        <v>2.2000000000000002</v>
      </c>
      <c r="R167" s="101">
        <f t="shared" si="51"/>
        <v>0</v>
      </c>
      <c r="S167" s="77"/>
      <c r="T167" s="101">
        <f t="shared" si="49"/>
        <v>3</v>
      </c>
      <c r="U167" s="101">
        <f t="shared" si="50"/>
        <v>22.8</v>
      </c>
      <c r="V167" s="102">
        <f t="shared" si="45"/>
        <v>1.1400000000000001</v>
      </c>
      <c r="W167" s="103">
        <f t="shared" si="46"/>
        <v>1249500</v>
      </c>
      <c r="X167" s="104" t="s">
        <v>93</v>
      </c>
    </row>
    <row r="168" spans="1:24" s="75" customFormat="1" ht="12">
      <c r="A168" s="73">
        <f t="shared" si="47"/>
        <v>159</v>
      </c>
      <c r="B168" s="76" t="s">
        <v>1959</v>
      </c>
      <c r="C168" s="98" t="s">
        <v>1589</v>
      </c>
      <c r="D168" s="99" t="s">
        <v>1586</v>
      </c>
      <c r="E168" s="78" t="s">
        <v>1964</v>
      </c>
      <c r="F168" s="74"/>
      <c r="G168" s="79"/>
      <c r="H168" s="79"/>
      <c r="I168" s="74" t="s">
        <v>1962</v>
      </c>
      <c r="J168" s="101">
        <f t="shared" si="51"/>
        <v>2.2000000000000002</v>
      </c>
      <c r="K168" s="101">
        <f t="shared" si="51"/>
        <v>2.5</v>
      </c>
      <c r="L168" s="101">
        <f t="shared" si="51"/>
        <v>2.6</v>
      </c>
      <c r="M168" s="101">
        <f t="shared" si="51"/>
        <v>4.6999999999999993</v>
      </c>
      <c r="N168" s="101">
        <f t="shared" si="51"/>
        <v>2.9</v>
      </c>
      <c r="O168" s="101">
        <f t="shared" si="51"/>
        <v>1.9000000000000001</v>
      </c>
      <c r="P168" s="101">
        <f t="shared" si="51"/>
        <v>0.79999999999999993</v>
      </c>
      <c r="Q168" s="101">
        <f t="shared" si="51"/>
        <v>2.2000000000000002</v>
      </c>
      <c r="R168" s="101">
        <f t="shared" si="51"/>
        <v>0</v>
      </c>
      <c r="S168" s="77"/>
      <c r="T168" s="101">
        <f t="shared" si="49"/>
        <v>3</v>
      </c>
      <c r="U168" s="101">
        <f t="shared" si="50"/>
        <v>22.8</v>
      </c>
      <c r="V168" s="102">
        <f t="shared" si="45"/>
        <v>1.1400000000000001</v>
      </c>
      <c r="W168" s="103">
        <f t="shared" si="46"/>
        <v>1249500</v>
      </c>
      <c r="X168" s="104" t="s">
        <v>93</v>
      </c>
    </row>
    <row r="169" spans="1:24" s="75" customFormat="1" ht="12">
      <c r="A169" s="73">
        <f t="shared" si="47"/>
        <v>160</v>
      </c>
      <c r="B169" s="76" t="s">
        <v>1959</v>
      </c>
      <c r="C169" s="98" t="s">
        <v>1591</v>
      </c>
      <c r="D169" s="99" t="s">
        <v>1586</v>
      </c>
      <c r="E169" s="78" t="s">
        <v>1964</v>
      </c>
      <c r="F169" s="74"/>
      <c r="G169" s="79"/>
      <c r="H169" s="79"/>
      <c r="I169" s="74" t="s">
        <v>1962</v>
      </c>
      <c r="J169" s="101">
        <f t="shared" si="51"/>
        <v>2.2000000000000002</v>
      </c>
      <c r="K169" s="101">
        <f t="shared" si="51"/>
        <v>2.5</v>
      </c>
      <c r="L169" s="101">
        <f t="shared" si="51"/>
        <v>2.6</v>
      </c>
      <c r="M169" s="101">
        <f t="shared" si="51"/>
        <v>4.6999999999999993</v>
      </c>
      <c r="N169" s="101">
        <f t="shared" si="51"/>
        <v>2.9</v>
      </c>
      <c r="O169" s="101">
        <f t="shared" si="51"/>
        <v>1.9000000000000001</v>
      </c>
      <c r="P169" s="101">
        <f t="shared" si="51"/>
        <v>0.79999999999999993</v>
      </c>
      <c r="Q169" s="101">
        <f t="shared" si="51"/>
        <v>2.2000000000000002</v>
      </c>
      <c r="R169" s="101">
        <f t="shared" si="51"/>
        <v>0</v>
      </c>
      <c r="S169" s="77"/>
      <c r="T169" s="101">
        <f t="shared" si="49"/>
        <v>3</v>
      </c>
      <c r="U169" s="101">
        <f t="shared" si="50"/>
        <v>22.8</v>
      </c>
      <c r="V169" s="102">
        <f t="shared" si="45"/>
        <v>1.1400000000000001</v>
      </c>
      <c r="W169" s="103">
        <f t="shared" si="46"/>
        <v>1249500</v>
      </c>
      <c r="X169" s="104" t="s">
        <v>93</v>
      </c>
    </row>
    <row r="170" spans="1:24" s="75" customFormat="1" ht="12">
      <c r="A170" s="73">
        <f t="shared" si="47"/>
        <v>161</v>
      </c>
      <c r="B170" s="76" t="s">
        <v>1959</v>
      </c>
      <c r="C170" s="98" t="s">
        <v>1593</v>
      </c>
      <c r="D170" s="99" t="s">
        <v>1586</v>
      </c>
      <c r="E170" s="78" t="s">
        <v>1964</v>
      </c>
      <c r="F170" s="74"/>
      <c r="G170" s="79"/>
      <c r="H170" s="79"/>
      <c r="I170" s="74" t="s">
        <v>1962</v>
      </c>
      <c r="J170" s="101">
        <f t="shared" si="51"/>
        <v>2.2000000000000002</v>
      </c>
      <c r="K170" s="101">
        <f t="shared" si="51"/>
        <v>2.5</v>
      </c>
      <c r="L170" s="101">
        <f t="shared" si="51"/>
        <v>2.6</v>
      </c>
      <c r="M170" s="101">
        <f t="shared" si="51"/>
        <v>4.6999999999999993</v>
      </c>
      <c r="N170" s="101">
        <f t="shared" si="51"/>
        <v>2.9</v>
      </c>
      <c r="O170" s="101">
        <f t="shared" si="51"/>
        <v>1.9000000000000001</v>
      </c>
      <c r="P170" s="101">
        <f t="shared" si="51"/>
        <v>0.79999999999999993</v>
      </c>
      <c r="Q170" s="101">
        <f t="shared" si="51"/>
        <v>2.2000000000000002</v>
      </c>
      <c r="R170" s="101">
        <f t="shared" si="51"/>
        <v>0</v>
      </c>
      <c r="S170" s="77"/>
      <c r="T170" s="101">
        <f t="shared" si="49"/>
        <v>3</v>
      </c>
      <c r="U170" s="101">
        <f t="shared" si="50"/>
        <v>22.8</v>
      </c>
      <c r="V170" s="102">
        <f t="shared" si="45"/>
        <v>1.1400000000000001</v>
      </c>
      <c r="W170" s="103">
        <f t="shared" si="46"/>
        <v>1249500</v>
      </c>
      <c r="X170" s="104" t="s">
        <v>93</v>
      </c>
    </row>
    <row r="171" spans="1:24" s="75" customFormat="1" ht="12">
      <c r="A171" s="73">
        <f t="shared" si="47"/>
        <v>162</v>
      </c>
      <c r="B171" s="76" t="s">
        <v>1959</v>
      </c>
      <c r="C171" s="98" t="s">
        <v>1595</v>
      </c>
      <c r="D171" s="99" t="s">
        <v>1596</v>
      </c>
      <c r="E171" s="78" t="s">
        <v>1964</v>
      </c>
      <c r="F171" s="74"/>
      <c r="G171" s="79"/>
      <c r="H171" s="79"/>
      <c r="I171" s="74" t="s">
        <v>1962</v>
      </c>
      <c r="J171" s="101">
        <f t="shared" si="51"/>
        <v>2.2000000000000002</v>
      </c>
      <c r="K171" s="101">
        <f t="shared" si="51"/>
        <v>2.5</v>
      </c>
      <c r="L171" s="101">
        <f t="shared" si="51"/>
        <v>2.6</v>
      </c>
      <c r="M171" s="101">
        <f t="shared" si="51"/>
        <v>4.6999999999999993</v>
      </c>
      <c r="N171" s="101">
        <f t="shared" si="51"/>
        <v>2.9</v>
      </c>
      <c r="O171" s="101">
        <f t="shared" si="51"/>
        <v>1.9000000000000001</v>
      </c>
      <c r="P171" s="101">
        <f t="shared" si="51"/>
        <v>0.79999999999999993</v>
      </c>
      <c r="Q171" s="101">
        <f t="shared" si="51"/>
        <v>2.2000000000000002</v>
      </c>
      <c r="R171" s="101">
        <f t="shared" si="51"/>
        <v>0</v>
      </c>
      <c r="S171" s="77"/>
      <c r="T171" s="101">
        <f t="shared" si="49"/>
        <v>3</v>
      </c>
      <c r="U171" s="101">
        <f t="shared" si="50"/>
        <v>22.8</v>
      </c>
      <c r="V171" s="102">
        <f t="shared" si="45"/>
        <v>1.1400000000000001</v>
      </c>
      <c r="W171" s="103">
        <f t="shared" si="46"/>
        <v>1249500</v>
      </c>
      <c r="X171" s="104" t="s">
        <v>93</v>
      </c>
    </row>
    <row r="172" spans="1:24" s="75" customFormat="1" ht="12">
      <c r="A172" s="73">
        <f t="shared" si="47"/>
        <v>163</v>
      </c>
      <c r="B172" s="76" t="s">
        <v>1960</v>
      </c>
      <c r="C172" s="98" t="s">
        <v>1946</v>
      </c>
      <c r="D172" s="99" t="s">
        <v>1597</v>
      </c>
      <c r="E172" s="78" t="s">
        <v>1964</v>
      </c>
      <c r="F172" s="74"/>
      <c r="G172" s="79"/>
      <c r="H172" s="79"/>
      <c r="I172" s="74" t="s">
        <v>1962</v>
      </c>
      <c r="J172" s="101">
        <f t="shared" si="51"/>
        <v>2.2000000000000002</v>
      </c>
      <c r="K172" s="101">
        <f t="shared" si="51"/>
        <v>2.5</v>
      </c>
      <c r="L172" s="101">
        <f t="shared" si="51"/>
        <v>2.6</v>
      </c>
      <c r="M172" s="101">
        <f t="shared" si="51"/>
        <v>4.6999999999999993</v>
      </c>
      <c r="N172" s="101">
        <f t="shared" si="51"/>
        <v>2.9</v>
      </c>
      <c r="O172" s="101">
        <f t="shared" si="51"/>
        <v>1.9000000000000001</v>
      </c>
      <c r="P172" s="101">
        <f t="shared" si="51"/>
        <v>0.79999999999999993</v>
      </c>
      <c r="Q172" s="101">
        <f t="shared" si="51"/>
        <v>2.2000000000000002</v>
      </c>
      <c r="R172" s="101">
        <f t="shared" si="51"/>
        <v>0</v>
      </c>
      <c r="S172" s="77"/>
      <c r="T172" s="101">
        <f t="shared" si="49"/>
        <v>3</v>
      </c>
      <c r="U172" s="101">
        <f t="shared" si="50"/>
        <v>22.8</v>
      </c>
      <c r="V172" s="102">
        <f t="shared" si="45"/>
        <v>1.1400000000000001</v>
      </c>
      <c r="W172" s="103">
        <f t="shared" si="46"/>
        <v>1249500</v>
      </c>
      <c r="X172" s="104" t="s">
        <v>93</v>
      </c>
    </row>
    <row r="173" spans="1:24" s="75" customFormat="1" ht="12">
      <c r="A173" s="73">
        <f t="shared" si="47"/>
        <v>164</v>
      </c>
      <c r="B173" s="76" t="s">
        <v>1960</v>
      </c>
      <c r="C173" s="98" t="s">
        <v>1947</v>
      </c>
      <c r="D173" s="99" t="s">
        <v>1597</v>
      </c>
      <c r="E173" s="78" t="s">
        <v>1964</v>
      </c>
      <c r="F173" s="74"/>
      <c r="G173" s="79"/>
      <c r="H173" s="79"/>
      <c r="I173" s="74" t="s">
        <v>1962</v>
      </c>
      <c r="J173" s="101">
        <f t="shared" si="51"/>
        <v>2.2000000000000002</v>
      </c>
      <c r="K173" s="101">
        <f t="shared" si="51"/>
        <v>2.5</v>
      </c>
      <c r="L173" s="101">
        <f t="shared" si="51"/>
        <v>2.6</v>
      </c>
      <c r="M173" s="101">
        <f t="shared" si="51"/>
        <v>4.6999999999999993</v>
      </c>
      <c r="N173" s="101">
        <f t="shared" si="51"/>
        <v>2.9</v>
      </c>
      <c r="O173" s="101">
        <f t="shared" si="51"/>
        <v>1.9000000000000001</v>
      </c>
      <c r="P173" s="101">
        <f t="shared" ref="J173:R202" si="52">ROUNDUP(IF($E173="画面",画面係数,IF($E173="帳票",帳票係数,IF($E173="バッチ",バッチ係数,0))) *
 IF($I173="特高",特高係数,IF($I173="高",高係数,IF($I173="中",中係数,IF($I173="低",低係数,IF($I173="特低",特低係数,0))))) *
 IF(P$7="SA",要件定義係数,IF(P$7="UI",基本設計係数,IF(P$7="SS",詳細設計係数,IF(P$7="PS/PG/PT",製作係数,IF(P$7="IT",結合テスト係数,IF(P$7="ST",総合テスト係数,IF(P$7="OT",受入支援係数,IF(P$7="RL",移行切替係数,IF(P$7="その他",その他係数,0))))))))) *
 P$8,1)</f>
        <v>0.79999999999999993</v>
      </c>
      <c r="Q173" s="101">
        <f t="shared" si="52"/>
        <v>2.2000000000000002</v>
      </c>
      <c r="R173" s="101">
        <f t="shared" si="52"/>
        <v>0</v>
      </c>
      <c r="S173" s="77"/>
      <c r="T173" s="101">
        <f t="shared" si="49"/>
        <v>3</v>
      </c>
      <c r="U173" s="101">
        <f t="shared" si="50"/>
        <v>22.8</v>
      </c>
      <c r="V173" s="102">
        <f t="shared" si="45"/>
        <v>1.1400000000000001</v>
      </c>
      <c r="W173" s="103">
        <f t="shared" si="46"/>
        <v>1249500</v>
      </c>
      <c r="X173" s="104" t="s">
        <v>93</v>
      </c>
    </row>
    <row r="174" spans="1:24" s="75" customFormat="1" ht="12">
      <c r="A174" s="73">
        <f t="shared" si="47"/>
        <v>165</v>
      </c>
      <c r="B174" s="76" t="s">
        <v>1960</v>
      </c>
      <c r="C174" s="98" t="s">
        <v>1602</v>
      </c>
      <c r="D174" s="99" t="s">
        <v>1603</v>
      </c>
      <c r="E174" s="78" t="s">
        <v>1964</v>
      </c>
      <c r="F174" s="74"/>
      <c r="G174" s="79"/>
      <c r="H174" s="79"/>
      <c r="I174" s="74" t="s">
        <v>1962</v>
      </c>
      <c r="J174" s="101">
        <f t="shared" si="52"/>
        <v>2.2000000000000002</v>
      </c>
      <c r="K174" s="101">
        <f t="shared" si="52"/>
        <v>2.5</v>
      </c>
      <c r="L174" s="101">
        <f t="shared" si="52"/>
        <v>2.6</v>
      </c>
      <c r="M174" s="101">
        <f t="shared" si="52"/>
        <v>4.6999999999999993</v>
      </c>
      <c r="N174" s="101">
        <f t="shared" si="52"/>
        <v>2.9</v>
      </c>
      <c r="O174" s="101">
        <f t="shared" si="52"/>
        <v>1.9000000000000001</v>
      </c>
      <c r="P174" s="101">
        <f t="shared" si="52"/>
        <v>0.79999999999999993</v>
      </c>
      <c r="Q174" s="101">
        <f t="shared" si="52"/>
        <v>2.2000000000000002</v>
      </c>
      <c r="R174" s="101">
        <f t="shared" si="52"/>
        <v>0</v>
      </c>
      <c r="S174" s="77"/>
      <c r="T174" s="101">
        <f t="shared" si="49"/>
        <v>3</v>
      </c>
      <c r="U174" s="101">
        <f t="shared" si="50"/>
        <v>22.8</v>
      </c>
      <c r="V174" s="102">
        <f t="shared" si="45"/>
        <v>1.1400000000000001</v>
      </c>
      <c r="W174" s="103">
        <f t="shared" si="46"/>
        <v>1249500</v>
      </c>
      <c r="X174" s="104" t="s">
        <v>93</v>
      </c>
    </row>
    <row r="175" spans="1:24" s="75" customFormat="1" ht="12">
      <c r="A175" s="73">
        <f t="shared" si="47"/>
        <v>166</v>
      </c>
      <c r="B175" s="76" t="s">
        <v>1960</v>
      </c>
      <c r="C175" s="98" t="s">
        <v>1605</v>
      </c>
      <c r="D175" s="99" t="s">
        <v>1365</v>
      </c>
      <c r="E175" s="78" t="s">
        <v>1964</v>
      </c>
      <c r="F175" s="74"/>
      <c r="G175" s="79"/>
      <c r="H175" s="79"/>
      <c r="I175" s="74" t="s">
        <v>1962</v>
      </c>
      <c r="J175" s="101">
        <f t="shared" si="52"/>
        <v>2.2000000000000002</v>
      </c>
      <c r="K175" s="101">
        <f t="shared" si="52"/>
        <v>2.5</v>
      </c>
      <c r="L175" s="101">
        <f t="shared" si="52"/>
        <v>2.6</v>
      </c>
      <c r="M175" s="101">
        <f t="shared" si="52"/>
        <v>4.6999999999999993</v>
      </c>
      <c r="N175" s="101">
        <f t="shared" si="52"/>
        <v>2.9</v>
      </c>
      <c r="O175" s="101">
        <f t="shared" si="52"/>
        <v>1.9000000000000001</v>
      </c>
      <c r="P175" s="101">
        <f t="shared" si="52"/>
        <v>0.79999999999999993</v>
      </c>
      <c r="Q175" s="101">
        <f t="shared" si="52"/>
        <v>2.2000000000000002</v>
      </c>
      <c r="R175" s="101">
        <f t="shared" si="52"/>
        <v>0</v>
      </c>
      <c r="S175" s="77"/>
      <c r="T175" s="101">
        <f t="shared" si="49"/>
        <v>3</v>
      </c>
      <c r="U175" s="101">
        <f t="shared" si="50"/>
        <v>22.8</v>
      </c>
      <c r="V175" s="102">
        <f t="shared" si="45"/>
        <v>1.1400000000000001</v>
      </c>
      <c r="W175" s="103">
        <f t="shared" si="46"/>
        <v>1249500</v>
      </c>
      <c r="X175" s="104" t="s">
        <v>93</v>
      </c>
    </row>
    <row r="176" spans="1:24" s="75" customFormat="1" ht="12">
      <c r="A176" s="73">
        <f t="shared" si="47"/>
        <v>167</v>
      </c>
      <c r="B176" s="76" t="s">
        <v>1960</v>
      </c>
      <c r="C176" s="98" t="s">
        <v>1948</v>
      </c>
      <c r="D176" s="99" t="s">
        <v>1858</v>
      </c>
      <c r="E176" s="78" t="s">
        <v>1964</v>
      </c>
      <c r="F176" s="74"/>
      <c r="G176" s="79"/>
      <c r="H176" s="79"/>
      <c r="I176" s="74" t="s">
        <v>1962</v>
      </c>
      <c r="J176" s="101">
        <f t="shared" si="52"/>
        <v>2.2000000000000002</v>
      </c>
      <c r="K176" s="101">
        <f t="shared" si="52"/>
        <v>2.5</v>
      </c>
      <c r="L176" s="101">
        <f t="shared" si="52"/>
        <v>2.6</v>
      </c>
      <c r="M176" s="101">
        <f t="shared" si="52"/>
        <v>4.6999999999999993</v>
      </c>
      <c r="N176" s="101">
        <f t="shared" si="52"/>
        <v>2.9</v>
      </c>
      <c r="O176" s="101">
        <f t="shared" si="52"/>
        <v>1.9000000000000001</v>
      </c>
      <c r="P176" s="101">
        <f t="shared" si="52"/>
        <v>0.79999999999999993</v>
      </c>
      <c r="Q176" s="101">
        <f t="shared" si="52"/>
        <v>2.2000000000000002</v>
      </c>
      <c r="R176" s="101">
        <f t="shared" si="52"/>
        <v>0</v>
      </c>
      <c r="S176" s="77"/>
      <c r="T176" s="101">
        <f t="shared" si="49"/>
        <v>3</v>
      </c>
      <c r="U176" s="101">
        <f t="shared" si="50"/>
        <v>22.8</v>
      </c>
      <c r="V176" s="102">
        <f t="shared" si="45"/>
        <v>1.1400000000000001</v>
      </c>
      <c r="W176" s="103">
        <f t="shared" si="46"/>
        <v>1249500</v>
      </c>
      <c r="X176" s="104" t="s">
        <v>93</v>
      </c>
    </row>
    <row r="177" spans="1:24" s="75" customFormat="1" ht="12">
      <c r="A177" s="73">
        <f t="shared" si="47"/>
        <v>168</v>
      </c>
      <c r="B177" s="76" t="s">
        <v>1960</v>
      </c>
      <c r="C177" s="98" t="s">
        <v>1949</v>
      </c>
      <c r="D177" s="99" t="s">
        <v>1878</v>
      </c>
      <c r="E177" s="78" t="s">
        <v>1964</v>
      </c>
      <c r="F177" s="74"/>
      <c r="G177" s="79"/>
      <c r="H177" s="79"/>
      <c r="I177" s="74" t="s">
        <v>1962</v>
      </c>
      <c r="J177" s="101">
        <f t="shared" si="52"/>
        <v>2.2000000000000002</v>
      </c>
      <c r="K177" s="101">
        <f t="shared" si="52"/>
        <v>2.5</v>
      </c>
      <c r="L177" s="101">
        <f t="shared" si="52"/>
        <v>2.6</v>
      </c>
      <c r="M177" s="101">
        <f t="shared" si="52"/>
        <v>4.6999999999999993</v>
      </c>
      <c r="N177" s="101">
        <f t="shared" si="52"/>
        <v>2.9</v>
      </c>
      <c r="O177" s="101">
        <f t="shared" si="52"/>
        <v>1.9000000000000001</v>
      </c>
      <c r="P177" s="101">
        <f t="shared" si="52"/>
        <v>0.79999999999999993</v>
      </c>
      <c r="Q177" s="101">
        <f t="shared" si="52"/>
        <v>2.2000000000000002</v>
      </c>
      <c r="R177" s="101">
        <f t="shared" si="52"/>
        <v>0</v>
      </c>
      <c r="S177" s="77"/>
      <c r="T177" s="101">
        <f t="shared" si="49"/>
        <v>3</v>
      </c>
      <c r="U177" s="101">
        <f t="shared" si="50"/>
        <v>22.8</v>
      </c>
      <c r="V177" s="102">
        <f t="shared" si="45"/>
        <v>1.1400000000000001</v>
      </c>
      <c r="W177" s="103">
        <f t="shared" si="46"/>
        <v>1249500</v>
      </c>
      <c r="X177" s="104" t="s">
        <v>93</v>
      </c>
    </row>
    <row r="178" spans="1:24" s="75" customFormat="1" ht="12">
      <c r="A178" s="73">
        <f t="shared" si="47"/>
        <v>169</v>
      </c>
      <c r="B178" s="76" t="s">
        <v>1960</v>
      </c>
      <c r="C178" s="98" t="s">
        <v>1950</v>
      </c>
      <c r="D178" s="99" t="s">
        <v>1529</v>
      </c>
      <c r="E178" s="78" t="s">
        <v>1964</v>
      </c>
      <c r="F178" s="74"/>
      <c r="G178" s="79"/>
      <c r="H178" s="79"/>
      <c r="I178" s="74" t="s">
        <v>1962</v>
      </c>
      <c r="J178" s="101">
        <f t="shared" si="52"/>
        <v>2.2000000000000002</v>
      </c>
      <c r="K178" s="101">
        <f t="shared" si="52"/>
        <v>2.5</v>
      </c>
      <c r="L178" s="101">
        <f t="shared" si="52"/>
        <v>2.6</v>
      </c>
      <c r="M178" s="101">
        <f t="shared" si="52"/>
        <v>4.6999999999999993</v>
      </c>
      <c r="N178" s="101">
        <f t="shared" si="52"/>
        <v>2.9</v>
      </c>
      <c r="O178" s="101">
        <f t="shared" si="52"/>
        <v>1.9000000000000001</v>
      </c>
      <c r="P178" s="101">
        <f t="shared" si="52"/>
        <v>0.79999999999999993</v>
      </c>
      <c r="Q178" s="101">
        <f t="shared" si="52"/>
        <v>2.2000000000000002</v>
      </c>
      <c r="R178" s="101">
        <f t="shared" si="52"/>
        <v>0</v>
      </c>
      <c r="S178" s="77"/>
      <c r="T178" s="101">
        <f t="shared" si="49"/>
        <v>3</v>
      </c>
      <c r="U178" s="101">
        <f t="shared" si="50"/>
        <v>22.8</v>
      </c>
      <c r="V178" s="102">
        <f t="shared" si="45"/>
        <v>1.1400000000000001</v>
      </c>
      <c r="W178" s="103">
        <f t="shared" si="46"/>
        <v>1249500</v>
      </c>
      <c r="X178" s="104" t="s">
        <v>93</v>
      </c>
    </row>
    <row r="179" spans="1:24" s="75" customFormat="1" ht="12">
      <c r="A179" s="73">
        <f t="shared" si="47"/>
        <v>170</v>
      </c>
      <c r="B179" s="76" t="s">
        <v>1961</v>
      </c>
      <c r="C179" s="98" t="s">
        <v>1951</v>
      </c>
      <c r="D179" s="99" t="s">
        <v>1613</v>
      </c>
      <c r="E179" s="78" t="s">
        <v>1964</v>
      </c>
      <c r="F179" s="74"/>
      <c r="G179" s="79"/>
      <c r="H179" s="79"/>
      <c r="I179" s="74" t="s">
        <v>1963</v>
      </c>
      <c r="J179" s="101">
        <f t="shared" si="52"/>
        <v>1.3</v>
      </c>
      <c r="K179" s="101">
        <f t="shared" si="52"/>
        <v>1.5</v>
      </c>
      <c r="L179" s="101">
        <f t="shared" si="52"/>
        <v>1.6</v>
      </c>
      <c r="M179" s="101">
        <f t="shared" si="52"/>
        <v>2.9</v>
      </c>
      <c r="N179" s="101">
        <f t="shared" si="52"/>
        <v>1.8</v>
      </c>
      <c r="O179" s="101">
        <f t="shared" si="52"/>
        <v>1.2000000000000002</v>
      </c>
      <c r="P179" s="101">
        <f t="shared" si="52"/>
        <v>0.5</v>
      </c>
      <c r="Q179" s="101">
        <f t="shared" si="52"/>
        <v>1.3</v>
      </c>
      <c r="R179" s="101">
        <f t="shared" si="52"/>
        <v>0</v>
      </c>
      <c r="S179" s="77"/>
      <c r="T179" s="101">
        <f t="shared" si="49"/>
        <v>1.9000000000000001</v>
      </c>
      <c r="U179" s="101">
        <f t="shared" si="50"/>
        <v>14.000000000000002</v>
      </c>
      <c r="V179" s="102">
        <f t="shared" ref="V179:V244" si="53">U179/20</f>
        <v>0.70000000000000007</v>
      </c>
      <c r="W179" s="103">
        <f t="shared" ref="W179:W244" si="54">((J179*J$9) + (K179*K$9) + (L179*L$9) + (M179*M$9) + (N179*N$9) + (O179*O$9) + (P179*P$9) + (Q179*Q$9) + (R179*R$9) + (S179*S$9) + (T179*T$9))/20</f>
        <v>768250</v>
      </c>
      <c r="X179" s="104" t="s">
        <v>93</v>
      </c>
    </row>
    <row r="180" spans="1:24" s="75" customFormat="1" ht="12">
      <c r="A180" s="73">
        <f t="shared" ref="A180:A245" si="55">ROW()-9</f>
        <v>171</v>
      </c>
      <c r="B180" s="76" t="s">
        <v>1961</v>
      </c>
      <c r="C180" s="98" t="s">
        <v>1952</v>
      </c>
      <c r="D180" s="99" t="s">
        <v>1619</v>
      </c>
      <c r="E180" s="78" t="s">
        <v>1964</v>
      </c>
      <c r="F180" s="74"/>
      <c r="G180" s="79"/>
      <c r="H180" s="79"/>
      <c r="I180" s="74" t="s">
        <v>1963</v>
      </c>
      <c r="J180" s="101">
        <f t="shared" si="52"/>
        <v>1.3</v>
      </c>
      <c r="K180" s="101">
        <f t="shared" si="52"/>
        <v>1.5</v>
      </c>
      <c r="L180" s="101">
        <f t="shared" si="52"/>
        <v>1.6</v>
      </c>
      <c r="M180" s="101">
        <f t="shared" si="52"/>
        <v>2.9</v>
      </c>
      <c r="N180" s="101">
        <f t="shared" si="52"/>
        <v>1.8</v>
      </c>
      <c r="O180" s="101">
        <f t="shared" si="52"/>
        <v>1.2000000000000002</v>
      </c>
      <c r="P180" s="101">
        <f t="shared" si="52"/>
        <v>0.5</v>
      </c>
      <c r="Q180" s="101">
        <f t="shared" si="52"/>
        <v>1.3</v>
      </c>
      <c r="R180" s="101">
        <f t="shared" si="52"/>
        <v>0</v>
      </c>
      <c r="S180" s="77"/>
      <c r="T180" s="101">
        <f t="shared" ref="T180:T245" si="56">ROUNDUP(SUM(J180:S180)*T$8,1)</f>
        <v>1.9000000000000001</v>
      </c>
      <c r="U180" s="101">
        <f t="shared" ref="U180:U245" si="57">SUM(J180:T180)</f>
        <v>14.000000000000002</v>
      </c>
      <c r="V180" s="102">
        <f t="shared" si="53"/>
        <v>0.70000000000000007</v>
      </c>
      <c r="W180" s="103">
        <f t="shared" si="54"/>
        <v>768250</v>
      </c>
      <c r="X180" s="104" t="s">
        <v>93</v>
      </c>
    </row>
    <row r="181" spans="1:24" s="75" customFormat="1" ht="12">
      <c r="A181" s="73">
        <f t="shared" si="55"/>
        <v>172</v>
      </c>
      <c r="B181" s="76" t="s">
        <v>1961</v>
      </c>
      <c r="C181" s="98" t="s">
        <v>1621</v>
      </c>
      <c r="D181" s="99" t="s">
        <v>1619</v>
      </c>
      <c r="E181" s="78" t="s">
        <v>1964</v>
      </c>
      <c r="F181" s="74"/>
      <c r="G181" s="79"/>
      <c r="H181" s="79"/>
      <c r="I181" s="74" t="s">
        <v>1963</v>
      </c>
      <c r="J181" s="101">
        <f t="shared" si="52"/>
        <v>1.3</v>
      </c>
      <c r="K181" s="101">
        <f t="shared" si="52"/>
        <v>1.5</v>
      </c>
      <c r="L181" s="101">
        <f t="shared" si="52"/>
        <v>1.6</v>
      </c>
      <c r="M181" s="101">
        <f t="shared" si="52"/>
        <v>2.9</v>
      </c>
      <c r="N181" s="101">
        <f t="shared" si="52"/>
        <v>1.8</v>
      </c>
      <c r="O181" s="101">
        <f t="shared" si="52"/>
        <v>1.2000000000000002</v>
      </c>
      <c r="P181" s="101">
        <f t="shared" si="52"/>
        <v>0.5</v>
      </c>
      <c r="Q181" s="101">
        <f t="shared" si="52"/>
        <v>1.3</v>
      </c>
      <c r="R181" s="101">
        <f t="shared" si="52"/>
        <v>0</v>
      </c>
      <c r="S181" s="77"/>
      <c r="T181" s="101">
        <f t="shared" si="56"/>
        <v>1.9000000000000001</v>
      </c>
      <c r="U181" s="101">
        <f t="shared" si="57"/>
        <v>14.000000000000002</v>
      </c>
      <c r="V181" s="102">
        <f t="shared" si="53"/>
        <v>0.70000000000000007</v>
      </c>
      <c r="W181" s="103">
        <f t="shared" si="54"/>
        <v>768250</v>
      </c>
      <c r="X181" s="104" t="s">
        <v>93</v>
      </c>
    </row>
    <row r="182" spans="1:24" s="75" customFormat="1" ht="12">
      <c r="A182" s="73">
        <f t="shared" si="55"/>
        <v>173</v>
      </c>
      <c r="B182" s="76" t="s">
        <v>1961</v>
      </c>
      <c r="C182" s="98" t="s">
        <v>1623</v>
      </c>
      <c r="D182" s="99" t="s">
        <v>1619</v>
      </c>
      <c r="E182" s="78" t="s">
        <v>1964</v>
      </c>
      <c r="F182" s="74"/>
      <c r="G182" s="79"/>
      <c r="H182" s="79"/>
      <c r="I182" s="74" t="s">
        <v>1963</v>
      </c>
      <c r="J182" s="101">
        <f t="shared" si="52"/>
        <v>1.3</v>
      </c>
      <c r="K182" s="101">
        <f t="shared" si="52"/>
        <v>1.5</v>
      </c>
      <c r="L182" s="101">
        <f t="shared" si="52"/>
        <v>1.6</v>
      </c>
      <c r="M182" s="101">
        <f t="shared" si="52"/>
        <v>2.9</v>
      </c>
      <c r="N182" s="101">
        <f t="shared" si="52"/>
        <v>1.8</v>
      </c>
      <c r="O182" s="101">
        <f t="shared" si="52"/>
        <v>1.2000000000000002</v>
      </c>
      <c r="P182" s="101">
        <f t="shared" si="52"/>
        <v>0.5</v>
      </c>
      <c r="Q182" s="101">
        <f t="shared" si="52"/>
        <v>1.3</v>
      </c>
      <c r="R182" s="101">
        <f t="shared" si="52"/>
        <v>0</v>
      </c>
      <c r="S182" s="77"/>
      <c r="T182" s="101">
        <f t="shared" si="56"/>
        <v>1.9000000000000001</v>
      </c>
      <c r="U182" s="101">
        <f t="shared" si="57"/>
        <v>14.000000000000002</v>
      </c>
      <c r="V182" s="102">
        <f t="shared" si="53"/>
        <v>0.70000000000000007</v>
      </c>
      <c r="W182" s="103">
        <f t="shared" si="54"/>
        <v>768250</v>
      </c>
      <c r="X182" s="104" t="s">
        <v>93</v>
      </c>
    </row>
    <row r="183" spans="1:24" s="75" customFormat="1" ht="12">
      <c r="A183" s="73">
        <f t="shared" si="55"/>
        <v>174</v>
      </c>
      <c r="B183" s="76" t="s">
        <v>1961</v>
      </c>
      <c r="C183" s="98" t="s">
        <v>1625</v>
      </c>
      <c r="D183" s="99" t="s">
        <v>1619</v>
      </c>
      <c r="E183" s="78" t="s">
        <v>1964</v>
      </c>
      <c r="F183" s="74"/>
      <c r="G183" s="79"/>
      <c r="H183" s="79"/>
      <c r="I183" s="74" t="s">
        <v>1963</v>
      </c>
      <c r="J183" s="101">
        <f t="shared" si="52"/>
        <v>1.3</v>
      </c>
      <c r="K183" s="101">
        <f t="shared" si="52"/>
        <v>1.5</v>
      </c>
      <c r="L183" s="101">
        <f t="shared" si="52"/>
        <v>1.6</v>
      </c>
      <c r="M183" s="101">
        <f t="shared" si="52"/>
        <v>2.9</v>
      </c>
      <c r="N183" s="101">
        <f t="shared" si="52"/>
        <v>1.8</v>
      </c>
      <c r="O183" s="101">
        <f t="shared" si="52"/>
        <v>1.2000000000000002</v>
      </c>
      <c r="P183" s="101">
        <f t="shared" si="52"/>
        <v>0.5</v>
      </c>
      <c r="Q183" s="101">
        <f t="shared" si="52"/>
        <v>1.3</v>
      </c>
      <c r="R183" s="101">
        <f t="shared" si="52"/>
        <v>0</v>
      </c>
      <c r="S183" s="77"/>
      <c r="T183" s="101">
        <f t="shared" si="56"/>
        <v>1.9000000000000001</v>
      </c>
      <c r="U183" s="101">
        <f t="shared" si="57"/>
        <v>14.000000000000002</v>
      </c>
      <c r="V183" s="102">
        <f t="shared" si="53"/>
        <v>0.70000000000000007</v>
      </c>
      <c r="W183" s="103">
        <f t="shared" si="54"/>
        <v>768250</v>
      </c>
      <c r="X183" s="104" t="s">
        <v>93</v>
      </c>
    </row>
    <row r="184" spans="1:24" s="75" customFormat="1" ht="12">
      <c r="A184" s="73">
        <f t="shared" si="55"/>
        <v>175</v>
      </c>
      <c r="B184" s="76" t="s">
        <v>1961</v>
      </c>
      <c r="C184" s="98" t="s">
        <v>1627</v>
      </c>
      <c r="D184" s="99" t="s">
        <v>1619</v>
      </c>
      <c r="E184" s="78" t="s">
        <v>1964</v>
      </c>
      <c r="F184" s="74"/>
      <c r="G184" s="79"/>
      <c r="H184" s="79"/>
      <c r="I184" s="74" t="s">
        <v>1963</v>
      </c>
      <c r="J184" s="101">
        <f t="shared" si="52"/>
        <v>1.3</v>
      </c>
      <c r="K184" s="101">
        <f t="shared" si="52"/>
        <v>1.5</v>
      </c>
      <c r="L184" s="101">
        <f t="shared" si="52"/>
        <v>1.6</v>
      </c>
      <c r="M184" s="101">
        <f t="shared" si="52"/>
        <v>2.9</v>
      </c>
      <c r="N184" s="101">
        <f t="shared" si="52"/>
        <v>1.8</v>
      </c>
      <c r="O184" s="101">
        <f t="shared" si="52"/>
        <v>1.2000000000000002</v>
      </c>
      <c r="P184" s="101">
        <f t="shared" si="52"/>
        <v>0.5</v>
      </c>
      <c r="Q184" s="101">
        <f t="shared" si="52"/>
        <v>1.3</v>
      </c>
      <c r="R184" s="101">
        <f t="shared" si="52"/>
        <v>0</v>
      </c>
      <c r="S184" s="77"/>
      <c r="T184" s="101">
        <f t="shared" si="56"/>
        <v>1.9000000000000001</v>
      </c>
      <c r="U184" s="101">
        <f t="shared" si="57"/>
        <v>14.000000000000002</v>
      </c>
      <c r="V184" s="102">
        <f t="shared" si="53"/>
        <v>0.70000000000000007</v>
      </c>
      <c r="W184" s="103">
        <f t="shared" si="54"/>
        <v>768250</v>
      </c>
      <c r="X184" s="104" t="s">
        <v>93</v>
      </c>
    </row>
    <row r="185" spans="1:24" s="75" customFormat="1" ht="12">
      <c r="A185" s="73">
        <f t="shared" si="55"/>
        <v>176</v>
      </c>
      <c r="B185" s="76" t="s">
        <v>1961</v>
      </c>
      <c r="C185" s="98" t="s">
        <v>1953</v>
      </c>
      <c r="D185" s="99" t="s">
        <v>1619</v>
      </c>
      <c r="E185" s="78" t="s">
        <v>1964</v>
      </c>
      <c r="F185" s="74"/>
      <c r="G185" s="79"/>
      <c r="H185" s="79"/>
      <c r="I185" s="74" t="s">
        <v>1963</v>
      </c>
      <c r="J185" s="101">
        <f t="shared" si="52"/>
        <v>1.3</v>
      </c>
      <c r="K185" s="101">
        <f t="shared" si="52"/>
        <v>1.5</v>
      </c>
      <c r="L185" s="101">
        <f t="shared" si="52"/>
        <v>1.6</v>
      </c>
      <c r="M185" s="101">
        <f t="shared" si="52"/>
        <v>2.9</v>
      </c>
      <c r="N185" s="101">
        <f t="shared" si="52"/>
        <v>1.8</v>
      </c>
      <c r="O185" s="101">
        <f t="shared" si="52"/>
        <v>1.2000000000000002</v>
      </c>
      <c r="P185" s="101">
        <f t="shared" si="52"/>
        <v>0.5</v>
      </c>
      <c r="Q185" s="101">
        <f t="shared" si="52"/>
        <v>1.3</v>
      </c>
      <c r="R185" s="101">
        <f t="shared" si="52"/>
        <v>0</v>
      </c>
      <c r="S185" s="77"/>
      <c r="T185" s="101">
        <f t="shared" si="56"/>
        <v>1.9000000000000001</v>
      </c>
      <c r="U185" s="101">
        <f t="shared" si="57"/>
        <v>14.000000000000002</v>
      </c>
      <c r="V185" s="102">
        <f t="shared" si="53"/>
        <v>0.70000000000000007</v>
      </c>
      <c r="W185" s="103">
        <f t="shared" si="54"/>
        <v>768250</v>
      </c>
      <c r="X185" s="104" t="s">
        <v>93</v>
      </c>
    </row>
    <row r="186" spans="1:24" s="75" customFormat="1" ht="12">
      <c r="A186" s="73">
        <f t="shared" si="55"/>
        <v>177</v>
      </c>
      <c r="B186" s="76" t="s">
        <v>1961</v>
      </c>
      <c r="C186" s="98" t="s">
        <v>1631</v>
      </c>
      <c r="D186" s="99" t="s">
        <v>1619</v>
      </c>
      <c r="E186" s="78" t="s">
        <v>1964</v>
      </c>
      <c r="F186" s="74"/>
      <c r="G186" s="79"/>
      <c r="H186" s="79"/>
      <c r="I186" s="74" t="s">
        <v>1963</v>
      </c>
      <c r="J186" s="101">
        <f t="shared" si="52"/>
        <v>1.3</v>
      </c>
      <c r="K186" s="101">
        <f t="shared" si="52"/>
        <v>1.5</v>
      </c>
      <c r="L186" s="101">
        <f t="shared" si="52"/>
        <v>1.6</v>
      </c>
      <c r="M186" s="101">
        <f t="shared" si="52"/>
        <v>2.9</v>
      </c>
      <c r="N186" s="101">
        <f t="shared" si="52"/>
        <v>1.8</v>
      </c>
      <c r="O186" s="101">
        <f t="shared" si="52"/>
        <v>1.2000000000000002</v>
      </c>
      <c r="P186" s="101">
        <f t="shared" si="52"/>
        <v>0.5</v>
      </c>
      <c r="Q186" s="101">
        <f t="shared" si="52"/>
        <v>1.3</v>
      </c>
      <c r="R186" s="101">
        <f t="shared" si="52"/>
        <v>0</v>
      </c>
      <c r="S186" s="77"/>
      <c r="T186" s="101">
        <f t="shared" si="56"/>
        <v>1.9000000000000001</v>
      </c>
      <c r="U186" s="101">
        <f t="shared" si="57"/>
        <v>14.000000000000002</v>
      </c>
      <c r="V186" s="102">
        <f t="shared" si="53"/>
        <v>0.70000000000000007</v>
      </c>
      <c r="W186" s="103">
        <f t="shared" si="54"/>
        <v>768250</v>
      </c>
      <c r="X186" s="104" t="s">
        <v>93</v>
      </c>
    </row>
    <row r="187" spans="1:24" s="75" customFormat="1" ht="12">
      <c r="A187" s="73">
        <f t="shared" si="55"/>
        <v>178</v>
      </c>
      <c r="B187" s="76" t="s">
        <v>1961</v>
      </c>
      <c r="C187" s="98" t="s">
        <v>1633</v>
      </c>
      <c r="D187" s="99" t="s">
        <v>1619</v>
      </c>
      <c r="E187" s="78" t="s">
        <v>1964</v>
      </c>
      <c r="F187" s="74"/>
      <c r="G187" s="79"/>
      <c r="H187" s="79"/>
      <c r="I187" s="74" t="s">
        <v>1963</v>
      </c>
      <c r="J187" s="101">
        <f t="shared" si="52"/>
        <v>1.3</v>
      </c>
      <c r="K187" s="101">
        <f t="shared" si="52"/>
        <v>1.5</v>
      </c>
      <c r="L187" s="101">
        <f t="shared" si="52"/>
        <v>1.6</v>
      </c>
      <c r="M187" s="101">
        <f t="shared" si="52"/>
        <v>2.9</v>
      </c>
      <c r="N187" s="101">
        <f t="shared" si="52"/>
        <v>1.8</v>
      </c>
      <c r="O187" s="101">
        <f t="shared" si="52"/>
        <v>1.2000000000000002</v>
      </c>
      <c r="P187" s="101">
        <f t="shared" si="52"/>
        <v>0.5</v>
      </c>
      <c r="Q187" s="101">
        <f t="shared" si="52"/>
        <v>1.3</v>
      </c>
      <c r="R187" s="101">
        <f t="shared" si="52"/>
        <v>0</v>
      </c>
      <c r="S187" s="77"/>
      <c r="T187" s="101">
        <f t="shared" si="56"/>
        <v>1.9000000000000001</v>
      </c>
      <c r="U187" s="101">
        <f t="shared" si="57"/>
        <v>14.000000000000002</v>
      </c>
      <c r="V187" s="102">
        <f t="shared" si="53"/>
        <v>0.70000000000000007</v>
      </c>
      <c r="W187" s="103">
        <f t="shared" si="54"/>
        <v>768250</v>
      </c>
      <c r="X187" s="104" t="s">
        <v>93</v>
      </c>
    </row>
    <row r="188" spans="1:24" s="75" customFormat="1" ht="12">
      <c r="A188" s="73">
        <f t="shared" si="55"/>
        <v>179</v>
      </c>
      <c r="B188" s="76" t="s">
        <v>1961</v>
      </c>
      <c r="C188" s="98" t="s">
        <v>1954</v>
      </c>
      <c r="D188" s="99" t="s">
        <v>1619</v>
      </c>
      <c r="E188" s="78" t="s">
        <v>1964</v>
      </c>
      <c r="F188" s="74"/>
      <c r="G188" s="79"/>
      <c r="H188" s="79"/>
      <c r="I188" s="74" t="s">
        <v>1963</v>
      </c>
      <c r="J188" s="101">
        <f t="shared" si="52"/>
        <v>1.3</v>
      </c>
      <c r="K188" s="101">
        <f t="shared" si="52"/>
        <v>1.5</v>
      </c>
      <c r="L188" s="101">
        <f t="shared" si="52"/>
        <v>1.6</v>
      </c>
      <c r="M188" s="101">
        <f t="shared" si="52"/>
        <v>2.9</v>
      </c>
      <c r="N188" s="101">
        <f t="shared" si="52"/>
        <v>1.8</v>
      </c>
      <c r="O188" s="101">
        <f t="shared" si="52"/>
        <v>1.2000000000000002</v>
      </c>
      <c r="P188" s="101">
        <f t="shared" si="52"/>
        <v>0.5</v>
      </c>
      <c r="Q188" s="101">
        <f t="shared" si="52"/>
        <v>1.3</v>
      </c>
      <c r="R188" s="101">
        <f t="shared" si="52"/>
        <v>0</v>
      </c>
      <c r="S188" s="77"/>
      <c r="T188" s="101">
        <f t="shared" si="56"/>
        <v>1.9000000000000001</v>
      </c>
      <c r="U188" s="101">
        <f t="shared" si="57"/>
        <v>14.000000000000002</v>
      </c>
      <c r="V188" s="102">
        <f t="shared" si="53"/>
        <v>0.70000000000000007</v>
      </c>
      <c r="W188" s="103">
        <f t="shared" si="54"/>
        <v>768250</v>
      </c>
      <c r="X188" s="104" t="s">
        <v>93</v>
      </c>
    </row>
    <row r="189" spans="1:24" s="75" customFormat="1" ht="12">
      <c r="A189" s="73">
        <f t="shared" si="55"/>
        <v>180</v>
      </c>
      <c r="B189" s="76" t="s">
        <v>1961</v>
      </c>
      <c r="C189" s="98" t="s">
        <v>1637</v>
      </c>
      <c r="D189" s="99" t="s">
        <v>1619</v>
      </c>
      <c r="E189" s="78" t="s">
        <v>1964</v>
      </c>
      <c r="F189" s="74"/>
      <c r="G189" s="79"/>
      <c r="H189" s="79"/>
      <c r="I189" s="74" t="s">
        <v>1963</v>
      </c>
      <c r="J189" s="101">
        <f t="shared" si="52"/>
        <v>1.3</v>
      </c>
      <c r="K189" s="101">
        <f t="shared" si="52"/>
        <v>1.5</v>
      </c>
      <c r="L189" s="101">
        <f t="shared" si="52"/>
        <v>1.6</v>
      </c>
      <c r="M189" s="101">
        <f t="shared" si="52"/>
        <v>2.9</v>
      </c>
      <c r="N189" s="101">
        <f t="shared" si="52"/>
        <v>1.8</v>
      </c>
      <c r="O189" s="101">
        <f t="shared" si="52"/>
        <v>1.2000000000000002</v>
      </c>
      <c r="P189" s="101">
        <f t="shared" si="52"/>
        <v>0.5</v>
      </c>
      <c r="Q189" s="101">
        <f t="shared" si="52"/>
        <v>1.3</v>
      </c>
      <c r="R189" s="101">
        <f t="shared" si="52"/>
        <v>0</v>
      </c>
      <c r="S189" s="77"/>
      <c r="T189" s="101">
        <f t="shared" si="56"/>
        <v>1.9000000000000001</v>
      </c>
      <c r="U189" s="101">
        <f t="shared" si="57"/>
        <v>14.000000000000002</v>
      </c>
      <c r="V189" s="102">
        <f t="shared" si="53"/>
        <v>0.70000000000000007</v>
      </c>
      <c r="W189" s="103">
        <f t="shared" si="54"/>
        <v>768250</v>
      </c>
      <c r="X189" s="104" t="s">
        <v>93</v>
      </c>
    </row>
    <row r="190" spans="1:24" s="75" customFormat="1" ht="12">
      <c r="A190" s="73">
        <f t="shared" si="55"/>
        <v>181</v>
      </c>
      <c r="B190" s="76" t="s">
        <v>1961</v>
      </c>
      <c r="C190" s="98" t="s">
        <v>1639</v>
      </c>
      <c r="D190" s="99" t="s">
        <v>1619</v>
      </c>
      <c r="E190" s="78" t="s">
        <v>1964</v>
      </c>
      <c r="F190" s="74"/>
      <c r="G190" s="79"/>
      <c r="H190" s="79"/>
      <c r="I190" s="74" t="s">
        <v>1963</v>
      </c>
      <c r="J190" s="101">
        <f t="shared" si="52"/>
        <v>1.3</v>
      </c>
      <c r="K190" s="101">
        <f t="shared" si="52"/>
        <v>1.5</v>
      </c>
      <c r="L190" s="101">
        <f t="shared" si="52"/>
        <v>1.6</v>
      </c>
      <c r="M190" s="101">
        <f t="shared" si="52"/>
        <v>2.9</v>
      </c>
      <c r="N190" s="101">
        <f t="shared" si="52"/>
        <v>1.8</v>
      </c>
      <c r="O190" s="101">
        <f t="shared" si="52"/>
        <v>1.2000000000000002</v>
      </c>
      <c r="P190" s="101">
        <f t="shared" si="52"/>
        <v>0.5</v>
      </c>
      <c r="Q190" s="101">
        <f t="shared" si="52"/>
        <v>1.3</v>
      </c>
      <c r="R190" s="101">
        <f t="shared" si="52"/>
        <v>0</v>
      </c>
      <c r="S190" s="77"/>
      <c r="T190" s="101">
        <f t="shared" si="56"/>
        <v>1.9000000000000001</v>
      </c>
      <c r="U190" s="101">
        <f t="shared" si="57"/>
        <v>14.000000000000002</v>
      </c>
      <c r="V190" s="102">
        <f t="shared" si="53"/>
        <v>0.70000000000000007</v>
      </c>
      <c r="W190" s="103">
        <f t="shared" si="54"/>
        <v>768250</v>
      </c>
      <c r="X190" s="104" t="s">
        <v>93</v>
      </c>
    </row>
    <row r="191" spans="1:24" s="75" customFormat="1" ht="12">
      <c r="A191" s="73">
        <f t="shared" si="55"/>
        <v>182</v>
      </c>
      <c r="B191" s="76" t="s">
        <v>1961</v>
      </c>
      <c r="C191" s="98" t="s">
        <v>1641</v>
      </c>
      <c r="D191" s="99" t="s">
        <v>1619</v>
      </c>
      <c r="E191" s="78" t="s">
        <v>1964</v>
      </c>
      <c r="F191" s="74"/>
      <c r="G191" s="79"/>
      <c r="H191" s="79"/>
      <c r="I191" s="74" t="s">
        <v>1963</v>
      </c>
      <c r="J191" s="101">
        <f t="shared" si="52"/>
        <v>1.3</v>
      </c>
      <c r="K191" s="101">
        <f t="shared" si="52"/>
        <v>1.5</v>
      </c>
      <c r="L191" s="101">
        <f t="shared" si="52"/>
        <v>1.6</v>
      </c>
      <c r="M191" s="101">
        <f t="shared" si="52"/>
        <v>2.9</v>
      </c>
      <c r="N191" s="101">
        <f t="shared" si="52"/>
        <v>1.8</v>
      </c>
      <c r="O191" s="101">
        <f t="shared" si="52"/>
        <v>1.2000000000000002</v>
      </c>
      <c r="P191" s="101">
        <f t="shared" si="52"/>
        <v>0.5</v>
      </c>
      <c r="Q191" s="101">
        <f t="shared" si="52"/>
        <v>1.3</v>
      </c>
      <c r="R191" s="101">
        <f t="shared" si="52"/>
        <v>0</v>
      </c>
      <c r="S191" s="77"/>
      <c r="T191" s="101">
        <f t="shared" si="56"/>
        <v>1.9000000000000001</v>
      </c>
      <c r="U191" s="101">
        <f t="shared" si="57"/>
        <v>14.000000000000002</v>
      </c>
      <c r="V191" s="102">
        <f t="shared" si="53"/>
        <v>0.70000000000000007</v>
      </c>
      <c r="W191" s="103">
        <f t="shared" si="54"/>
        <v>768250</v>
      </c>
      <c r="X191" s="104" t="s">
        <v>93</v>
      </c>
    </row>
    <row r="192" spans="1:24" s="75" customFormat="1" ht="12">
      <c r="A192" s="73">
        <f t="shared" si="55"/>
        <v>183</v>
      </c>
      <c r="B192" s="76" t="s">
        <v>1961</v>
      </c>
      <c r="C192" s="98" t="s">
        <v>1643</v>
      </c>
      <c r="D192" s="99" t="s">
        <v>1619</v>
      </c>
      <c r="E192" s="78" t="s">
        <v>1964</v>
      </c>
      <c r="F192" s="74"/>
      <c r="G192" s="79"/>
      <c r="H192" s="79"/>
      <c r="I192" s="74" t="s">
        <v>6</v>
      </c>
      <c r="J192" s="101">
        <f t="shared" si="52"/>
        <v>1.3</v>
      </c>
      <c r="K192" s="101">
        <f t="shared" si="52"/>
        <v>1.5</v>
      </c>
      <c r="L192" s="101">
        <f t="shared" si="52"/>
        <v>1.6</v>
      </c>
      <c r="M192" s="101">
        <f t="shared" si="52"/>
        <v>2.9</v>
      </c>
      <c r="N192" s="101">
        <f t="shared" si="52"/>
        <v>1.8</v>
      </c>
      <c r="O192" s="101">
        <f t="shared" si="52"/>
        <v>1.2000000000000002</v>
      </c>
      <c r="P192" s="101">
        <f t="shared" si="52"/>
        <v>0.5</v>
      </c>
      <c r="Q192" s="101">
        <f t="shared" si="52"/>
        <v>1.3</v>
      </c>
      <c r="R192" s="101">
        <f t="shared" si="52"/>
        <v>0</v>
      </c>
      <c r="S192" s="77"/>
      <c r="T192" s="101">
        <f t="shared" si="56"/>
        <v>1.9000000000000001</v>
      </c>
      <c r="U192" s="101">
        <f t="shared" si="57"/>
        <v>14.000000000000002</v>
      </c>
      <c r="V192" s="102">
        <f t="shared" si="53"/>
        <v>0.70000000000000007</v>
      </c>
      <c r="W192" s="103">
        <f t="shared" si="54"/>
        <v>768250</v>
      </c>
      <c r="X192" s="104" t="s">
        <v>93</v>
      </c>
    </row>
    <row r="193" spans="1:24" s="75" customFormat="1" ht="12">
      <c r="A193" s="73">
        <f t="shared" si="55"/>
        <v>184</v>
      </c>
      <c r="B193" s="76" t="s">
        <v>1960</v>
      </c>
      <c r="C193" s="98" t="s">
        <v>1955</v>
      </c>
      <c r="D193" s="99" t="s">
        <v>1811</v>
      </c>
      <c r="E193" s="78" t="s">
        <v>1964</v>
      </c>
      <c r="F193" s="74"/>
      <c r="G193" s="79"/>
      <c r="H193" s="79"/>
      <c r="I193" s="74" t="s">
        <v>2100</v>
      </c>
      <c r="J193" s="101">
        <f t="shared" si="52"/>
        <v>2.2000000000000002</v>
      </c>
      <c r="K193" s="101">
        <f t="shared" si="52"/>
        <v>2.5</v>
      </c>
      <c r="L193" s="101">
        <f t="shared" si="52"/>
        <v>2.6</v>
      </c>
      <c r="M193" s="101">
        <f t="shared" si="52"/>
        <v>4.6999999999999993</v>
      </c>
      <c r="N193" s="101">
        <f t="shared" si="52"/>
        <v>2.9</v>
      </c>
      <c r="O193" s="101">
        <f t="shared" si="52"/>
        <v>1.9000000000000001</v>
      </c>
      <c r="P193" s="101">
        <f t="shared" si="52"/>
        <v>0.79999999999999993</v>
      </c>
      <c r="Q193" s="101">
        <f t="shared" si="52"/>
        <v>2.2000000000000002</v>
      </c>
      <c r="R193" s="101">
        <f t="shared" si="52"/>
        <v>0</v>
      </c>
      <c r="S193" s="77"/>
      <c r="T193" s="101">
        <f t="shared" si="56"/>
        <v>3</v>
      </c>
      <c r="U193" s="101">
        <f t="shared" si="57"/>
        <v>22.8</v>
      </c>
      <c r="V193" s="102">
        <f t="shared" si="53"/>
        <v>1.1400000000000001</v>
      </c>
      <c r="W193" s="103">
        <f t="shared" si="54"/>
        <v>1249500</v>
      </c>
      <c r="X193" s="104" t="s">
        <v>93</v>
      </c>
    </row>
    <row r="194" spans="1:24" s="75" customFormat="1" ht="12">
      <c r="A194" s="73">
        <f t="shared" si="55"/>
        <v>185</v>
      </c>
      <c r="B194" s="76" t="s">
        <v>1960</v>
      </c>
      <c r="C194" s="98" t="s">
        <v>1956</v>
      </c>
      <c r="D194" s="99" t="s">
        <v>1484</v>
      </c>
      <c r="E194" s="78" t="s">
        <v>1964</v>
      </c>
      <c r="F194" s="74"/>
      <c r="G194" s="79"/>
      <c r="H194" s="79"/>
      <c r="I194" s="74" t="s">
        <v>5</v>
      </c>
      <c r="J194" s="101">
        <f t="shared" si="52"/>
        <v>2.2000000000000002</v>
      </c>
      <c r="K194" s="101">
        <f t="shared" si="52"/>
        <v>2.5</v>
      </c>
      <c r="L194" s="101">
        <f t="shared" si="52"/>
        <v>2.6</v>
      </c>
      <c r="M194" s="101">
        <f t="shared" si="52"/>
        <v>4.6999999999999993</v>
      </c>
      <c r="N194" s="101">
        <f t="shared" si="52"/>
        <v>2.9</v>
      </c>
      <c r="O194" s="101">
        <f t="shared" si="52"/>
        <v>1.9000000000000001</v>
      </c>
      <c r="P194" s="101">
        <f t="shared" si="52"/>
        <v>0.79999999999999993</v>
      </c>
      <c r="Q194" s="101">
        <f t="shared" si="52"/>
        <v>2.2000000000000002</v>
      </c>
      <c r="R194" s="101">
        <f t="shared" si="52"/>
        <v>0</v>
      </c>
      <c r="S194" s="77"/>
      <c r="T194" s="101">
        <f t="shared" ref="T194:T195" si="58">ROUNDUP(SUM(J194:S194)*T$8,1)</f>
        <v>3</v>
      </c>
      <c r="U194" s="101">
        <f t="shared" ref="U194:U195" si="59">SUM(J194:T194)</f>
        <v>22.8</v>
      </c>
      <c r="V194" s="102">
        <f t="shared" ref="V194:V195" si="60">U194/20</f>
        <v>1.1400000000000001</v>
      </c>
      <c r="W194" s="103">
        <f t="shared" ref="W194:W195" si="61">((J194*J$9) + (K194*K$9) + (L194*L$9) + (M194*M$9) + (N194*N$9) + (O194*O$9) + (P194*P$9) + (Q194*Q$9) + (R194*R$9) + (S194*S$9) + (T194*T$9))/20</f>
        <v>1249500</v>
      </c>
      <c r="X194" s="104" t="s">
        <v>93</v>
      </c>
    </row>
    <row r="195" spans="1:24" s="75" customFormat="1" ht="12">
      <c r="A195" s="73">
        <f t="shared" si="55"/>
        <v>186</v>
      </c>
      <c r="B195" s="76"/>
      <c r="C195" s="98"/>
      <c r="D195" s="99"/>
      <c r="E195" s="78"/>
      <c r="F195" s="74"/>
      <c r="G195" s="79"/>
      <c r="H195" s="79"/>
      <c r="I195" s="74"/>
      <c r="J195" s="101">
        <f t="shared" ref="J195:R195" si="62">ROUNDUP(IF($E195="画面",画面係数,IF($E195="帳票",帳票係数,IF($E195="バッチ",バッチ係数,0))) *
 IF($I195="特高",特高係数,IF($I195="高",高係数,IF($I195="中",中係数,IF($I195="低",低係数,IF($I195="特低",特低係数,0)))))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</v>
      </c>
      <c r="K195" s="101">
        <f t="shared" si="62"/>
        <v>0</v>
      </c>
      <c r="L195" s="101">
        <f t="shared" si="62"/>
        <v>0</v>
      </c>
      <c r="M195" s="101">
        <f t="shared" si="62"/>
        <v>0</v>
      </c>
      <c r="N195" s="101">
        <f t="shared" si="62"/>
        <v>0</v>
      </c>
      <c r="O195" s="101">
        <f t="shared" si="62"/>
        <v>0</v>
      </c>
      <c r="P195" s="101">
        <f t="shared" si="62"/>
        <v>0</v>
      </c>
      <c r="Q195" s="101">
        <f t="shared" si="62"/>
        <v>0</v>
      </c>
      <c r="R195" s="101">
        <f t="shared" si="62"/>
        <v>0</v>
      </c>
      <c r="S195" s="77"/>
      <c r="T195" s="101">
        <f t="shared" si="58"/>
        <v>0</v>
      </c>
      <c r="U195" s="101">
        <f t="shared" si="59"/>
        <v>0</v>
      </c>
      <c r="V195" s="102">
        <f t="shared" si="60"/>
        <v>0</v>
      </c>
      <c r="W195" s="103">
        <f t="shared" si="61"/>
        <v>0</v>
      </c>
      <c r="X195" s="104" t="s">
        <v>93</v>
      </c>
    </row>
    <row r="196" spans="1:24" s="75" customFormat="1" ht="12">
      <c r="A196" s="73">
        <f t="shared" si="55"/>
        <v>187</v>
      </c>
      <c r="B196" s="76"/>
      <c r="C196" s="98"/>
      <c r="D196" s="99"/>
      <c r="E196" s="78"/>
      <c r="F196" s="74"/>
      <c r="G196" s="79"/>
      <c r="H196" s="79"/>
      <c r="I196" s="74"/>
      <c r="J196" s="101">
        <f t="shared" si="52"/>
        <v>0</v>
      </c>
      <c r="K196" s="101">
        <f t="shared" si="52"/>
        <v>0</v>
      </c>
      <c r="L196" s="101">
        <f t="shared" si="52"/>
        <v>0</v>
      </c>
      <c r="M196" s="101">
        <f t="shared" si="52"/>
        <v>0</v>
      </c>
      <c r="N196" s="101">
        <f t="shared" si="52"/>
        <v>0</v>
      </c>
      <c r="O196" s="101">
        <f t="shared" si="52"/>
        <v>0</v>
      </c>
      <c r="P196" s="101">
        <f t="shared" si="52"/>
        <v>0</v>
      </c>
      <c r="Q196" s="101">
        <f t="shared" si="52"/>
        <v>0</v>
      </c>
      <c r="R196" s="101">
        <f t="shared" si="52"/>
        <v>0</v>
      </c>
      <c r="S196" s="77"/>
      <c r="T196" s="101">
        <f t="shared" si="56"/>
        <v>0</v>
      </c>
      <c r="U196" s="101">
        <f t="shared" si="57"/>
        <v>0</v>
      </c>
      <c r="V196" s="102">
        <f t="shared" si="53"/>
        <v>0</v>
      </c>
      <c r="W196" s="103">
        <f t="shared" si="54"/>
        <v>0</v>
      </c>
      <c r="X196" s="104" t="s">
        <v>93</v>
      </c>
    </row>
    <row r="197" spans="1:24" s="75" customFormat="1" ht="12">
      <c r="A197" s="73">
        <f t="shared" si="55"/>
        <v>188</v>
      </c>
      <c r="B197" s="121" t="s">
        <v>1661</v>
      </c>
      <c r="C197" s="121" t="s">
        <v>1659</v>
      </c>
      <c r="D197" s="121" t="s">
        <v>1655</v>
      </c>
      <c r="E197" s="78" t="s">
        <v>1966</v>
      </c>
      <c r="F197" s="74"/>
      <c r="G197" s="79"/>
      <c r="H197" s="79"/>
      <c r="I197" s="74" t="s">
        <v>1965</v>
      </c>
      <c r="J197" s="101">
        <f t="shared" si="52"/>
        <v>2.2000000000000002</v>
      </c>
      <c r="K197" s="101">
        <f t="shared" si="52"/>
        <v>2.4</v>
      </c>
      <c r="L197" s="101">
        <f t="shared" si="52"/>
        <v>2.5</v>
      </c>
      <c r="M197" s="101">
        <f t="shared" si="52"/>
        <v>4.5999999999999996</v>
      </c>
      <c r="N197" s="101">
        <f t="shared" si="52"/>
        <v>2.9</v>
      </c>
      <c r="O197" s="101">
        <f t="shared" si="52"/>
        <v>1.9000000000000001</v>
      </c>
      <c r="P197" s="101">
        <f t="shared" si="52"/>
        <v>0.79999999999999993</v>
      </c>
      <c r="Q197" s="101">
        <f t="shared" si="52"/>
        <v>2.2000000000000002</v>
      </c>
      <c r="R197" s="101">
        <f t="shared" si="52"/>
        <v>0</v>
      </c>
      <c r="S197" s="77"/>
      <c r="T197" s="101">
        <f t="shared" si="56"/>
        <v>3</v>
      </c>
      <c r="U197" s="101">
        <f t="shared" si="57"/>
        <v>22.5</v>
      </c>
      <c r="V197" s="102">
        <f t="shared" si="53"/>
        <v>1.125</v>
      </c>
      <c r="W197" s="103">
        <f t="shared" si="54"/>
        <v>1233750</v>
      </c>
      <c r="X197" s="104" t="s">
        <v>93</v>
      </c>
    </row>
    <row r="198" spans="1:24" s="75" customFormat="1" ht="12">
      <c r="A198" s="73">
        <f t="shared" si="55"/>
        <v>189</v>
      </c>
      <c r="B198" s="121" t="s">
        <v>1661</v>
      </c>
      <c r="C198" s="121" t="s">
        <v>1663</v>
      </c>
      <c r="D198" s="121" t="s">
        <v>1655</v>
      </c>
      <c r="E198" s="78" t="s">
        <v>1966</v>
      </c>
      <c r="F198" s="74"/>
      <c r="G198" s="79"/>
      <c r="H198" s="79"/>
      <c r="I198" s="74" t="s">
        <v>1965</v>
      </c>
      <c r="J198" s="101">
        <f t="shared" si="52"/>
        <v>2.2000000000000002</v>
      </c>
      <c r="K198" s="101">
        <f t="shared" si="52"/>
        <v>2.4</v>
      </c>
      <c r="L198" s="101">
        <f t="shared" si="52"/>
        <v>2.5</v>
      </c>
      <c r="M198" s="101">
        <f t="shared" si="52"/>
        <v>4.5999999999999996</v>
      </c>
      <c r="N198" s="101">
        <f t="shared" si="52"/>
        <v>2.9</v>
      </c>
      <c r="O198" s="101">
        <f t="shared" si="52"/>
        <v>1.9000000000000001</v>
      </c>
      <c r="P198" s="101">
        <f t="shared" si="52"/>
        <v>0.79999999999999993</v>
      </c>
      <c r="Q198" s="101">
        <f t="shared" si="52"/>
        <v>2.2000000000000002</v>
      </c>
      <c r="R198" s="101">
        <f t="shared" si="52"/>
        <v>0</v>
      </c>
      <c r="S198" s="77"/>
      <c r="T198" s="101">
        <f t="shared" si="56"/>
        <v>3</v>
      </c>
      <c r="U198" s="101">
        <f t="shared" si="57"/>
        <v>22.5</v>
      </c>
      <c r="V198" s="102">
        <f t="shared" si="53"/>
        <v>1.125</v>
      </c>
      <c r="W198" s="103">
        <f t="shared" si="54"/>
        <v>1233750</v>
      </c>
      <c r="X198" s="104" t="s">
        <v>93</v>
      </c>
    </row>
    <row r="199" spans="1:24" s="75" customFormat="1" ht="12">
      <c r="A199" s="73">
        <f t="shared" si="55"/>
        <v>190</v>
      </c>
      <c r="B199" s="121" t="s">
        <v>1661</v>
      </c>
      <c r="C199" s="121" t="s">
        <v>1668</v>
      </c>
      <c r="D199" s="121" t="s">
        <v>1655</v>
      </c>
      <c r="E199" s="78" t="s">
        <v>1966</v>
      </c>
      <c r="F199" s="74"/>
      <c r="G199" s="79"/>
      <c r="H199" s="79"/>
      <c r="I199" s="74" t="s">
        <v>1965</v>
      </c>
      <c r="J199" s="101">
        <f t="shared" si="52"/>
        <v>2.2000000000000002</v>
      </c>
      <c r="K199" s="101">
        <f t="shared" si="52"/>
        <v>2.4</v>
      </c>
      <c r="L199" s="101">
        <f t="shared" si="52"/>
        <v>2.5</v>
      </c>
      <c r="M199" s="101">
        <f t="shared" si="52"/>
        <v>4.5999999999999996</v>
      </c>
      <c r="N199" s="101">
        <f t="shared" si="52"/>
        <v>2.9</v>
      </c>
      <c r="O199" s="101">
        <f t="shared" si="52"/>
        <v>1.9000000000000001</v>
      </c>
      <c r="P199" s="101">
        <f t="shared" si="52"/>
        <v>0.79999999999999993</v>
      </c>
      <c r="Q199" s="101">
        <f t="shared" si="52"/>
        <v>2.2000000000000002</v>
      </c>
      <c r="R199" s="101">
        <f t="shared" si="52"/>
        <v>0</v>
      </c>
      <c r="S199" s="77"/>
      <c r="T199" s="101">
        <f t="shared" si="56"/>
        <v>3</v>
      </c>
      <c r="U199" s="101">
        <f t="shared" si="57"/>
        <v>22.5</v>
      </c>
      <c r="V199" s="102">
        <f t="shared" si="53"/>
        <v>1.125</v>
      </c>
      <c r="W199" s="103">
        <f t="shared" si="54"/>
        <v>1233750</v>
      </c>
      <c r="X199" s="104" t="s">
        <v>93</v>
      </c>
    </row>
    <row r="200" spans="1:24" s="75" customFormat="1" ht="12">
      <c r="A200" s="73">
        <f t="shared" si="55"/>
        <v>191</v>
      </c>
      <c r="B200" s="121" t="s">
        <v>1661</v>
      </c>
      <c r="C200" s="121" t="s">
        <v>1670</v>
      </c>
      <c r="D200" s="121" t="s">
        <v>1655</v>
      </c>
      <c r="E200" s="78" t="s">
        <v>1966</v>
      </c>
      <c r="F200" s="74"/>
      <c r="G200" s="79"/>
      <c r="H200" s="79"/>
      <c r="I200" s="74" t="s">
        <v>1965</v>
      </c>
      <c r="J200" s="101">
        <f t="shared" si="52"/>
        <v>2.2000000000000002</v>
      </c>
      <c r="K200" s="101">
        <f t="shared" si="52"/>
        <v>2.4</v>
      </c>
      <c r="L200" s="101">
        <f t="shared" si="52"/>
        <v>2.5</v>
      </c>
      <c r="M200" s="101">
        <f t="shared" si="52"/>
        <v>4.5999999999999996</v>
      </c>
      <c r="N200" s="101">
        <f t="shared" si="52"/>
        <v>2.9</v>
      </c>
      <c r="O200" s="101">
        <f t="shared" si="52"/>
        <v>1.9000000000000001</v>
      </c>
      <c r="P200" s="101">
        <f t="shared" si="52"/>
        <v>0.79999999999999993</v>
      </c>
      <c r="Q200" s="101">
        <f t="shared" si="52"/>
        <v>2.2000000000000002</v>
      </c>
      <c r="R200" s="101">
        <f t="shared" si="52"/>
        <v>0</v>
      </c>
      <c r="S200" s="77"/>
      <c r="T200" s="101">
        <f t="shared" si="56"/>
        <v>3</v>
      </c>
      <c r="U200" s="101">
        <f t="shared" si="57"/>
        <v>22.5</v>
      </c>
      <c r="V200" s="102">
        <f t="shared" si="53"/>
        <v>1.125</v>
      </c>
      <c r="W200" s="103">
        <f t="shared" si="54"/>
        <v>1233750</v>
      </c>
      <c r="X200" s="104" t="s">
        <v>93</v>
      </c>
    </row>
    <row r="201" spans="1:24" s="75" customFormat="1" ht="12">
      <c r="A201" s="73">
        <f t="shared" si="55"/>
        <v>192</v>
      </c>
      <c r="B201" s="121" t="s">
        <v>1661</v>
      </c>
      <c r="C201" s="121" t="s">
        <v>1700</v>
      </c>
      <c r="D201" s="121" t="s">
        <v>1688</v>
      </c>
      <c r="E201" s="78" t="s">
        <v>1966</v>
      </c>
      <c r="F201" s="74"/>
      <c r="G201" s="79"/>
      <c r="H201" s="79"/>
      <c r="I201" s="74" t="s">
        <v>1965</v>
      </c>
      <c r="J201" s="101">
        <f t="shared" si="52"/>
        <v>2.2000000000000002</v>
      </c>
      <c r="K201" s="101">
        <f t="shared" si="52"/>
        <v>2.4</v>
      </c>
      <c r="L201" s="101">
        <f t="shared" si="52"/>
        <v>2.5</v>
      </c>
      <c r="M201" s="101">
        <f t="shared" si="52"/>
        <v>4.5999999999999996</v>
      </c>
      <c r="N201" s="101">
        <f t="shared" si="52"/>
        <v>2.9</v>
      </c>
      <c r="O201" s="101">
        <f t="shared" si="52"/>
        <v>1.9000000000000001</v>
      </c>
      <c r="P201" s="101">
        <f t="shared" si="52"/>
        <v>0.79999999999999993</v>
      </c>
      <c r="Q201" s="101">
        <f t="shared" si="52"/>
        <v>2.2000000000000002</v>
      </c>
      <c r="R201" s="101">
        <f t="shared" si="52"/>
        <v>0</v>
      </c>
      <c r="S201" s="77"/>
      <c r="T201" s="101">
        <f t="shared" si="56"/>
        <v>3</v>
      </c>
      <c r="U201" s="101">
        <f t="shared" si="57"/>
        <v>22.5</v>
      </c>
      <c r="V201" s="102">
        <f t="shared" si="53"/>
        <v>1.125</v>
      </c>
      <c r="W201" s="103">
        <f t="shared" si="54"/>
        <v>1233750</v>
      </c>
      <c r="X201" s="104" t="s">
        <v>93</v>
      </c>
    </row>
    <row r="202" spans="1:24" s="75" customFormat="1" ht="12">
      <c r="A202" s="73">
        <f t="shared" si="55"/>
        <v>193</v>
      </c>
      <c r="B202" s="121" t="s">
        <v>1683</v>
      </c>
      <c r="C202" s="121" t="s">
        <v>1702</v>
      </c>
      <c r="D202" s="121" t="s">
        <v>1688</v>
      </c>
      <c r="E202" s="78" t="s">
        <v>1966</v>
      </c>
      <c r="F202" s="74"/>
      <c r="G202" s="79"/>
      <c r="H202" s="79"/>
      <c r="I202" s="74" t="s">
        <v>1965</v>
      </c>
      <c r="J202" s="101">
        <f t="shared" si="52"/>
        <v>2.2000000000000002</v>
      </c>
      <c r="K202" s="101">
        <f t="shared" si="52"/>
        <v>2.4</v>
      </c>
      <c r="L202" s="101">
        <f t="shared" si="52"/>
        <v>2.5</v>
      </c>
      <c r="M202" s="101">
        <f t="shared" si="52"/>
        <v>4.5999999999999996</v>
      </c>
      <c r="N202" s="101">
        <f t="shared" si="52"/>
        <v>2.9</v>
      </c>
      <c r="O202" s="101">
        <f t="shared" si="52"/>
        <v>1.9000000000000001</v>
      </c>
      <c r="P202" s="101">
        <f t="shared" si="52"/>
        <v>0.79999999999999993</v>
      </c>
      <c r="Q202" s="101">
        <f t="shared" si="52"/>
        <v>2.2000000000000002</v>
      </c>
      <c r="R202" s="101">
        <f t="shared" si="52"/>
        <v>0</v>
      </c>
      <c r="S202" s="77"/>
      <c r="T202" s="101">
        <f t="shared" si="56"/>
        <v>3</v>
      </c>
      <c r="U202" s="101">
        <f t="shared" si="57"/>
        <v>22.5</v>
      </c>
      <c r="V202" s="102">
        <f t="shared" si="53"/>
        <v>1.125</v>
      </c>
      <c r="W202" s="103">
        <f t="shared" si="54"/>
        <v>1233750</v>
      </c>
      <c r="X202" s="104" t="s">
        <v>93</v>
      </c>
    </row>
    <row r="203" spans="1:24" s="75" customFormat="1" ht="12">
      <c r="A203" s="73">
        <f t="shared" si="55"/>
        <v>194</v>
      </c>
      <c r="B203" s="121" t="s">
        <v>1683</v>
      </c>
      <c r="C203" s="121" t="s">
        <v>1704</v>
      </c>
      <c r="D203" s="121" t="s">
        <v>1688</v>
      </c>
      <c r="E203" s="78" t="s">
        <v>1966</v>
      </c>
      <c r="F203" s="74"/>
      <c r="G203" s="79"/>
      <c r="H203" s="79"/>
      <c r="I203" s="74" t="s">
        <v>1965</v>
      </c>
      <c r="J203" s="101">
        <f t="shared" ref="J203:R231" si="63">ROUNDUP(IF($E203="画面",画面係数,IF($E203="帳票",帳票係数,IF($E203="バッチ",バッチ係数,0))) *
 IF($I203="特高",特高係数,IF($I203="高",高係数,IF($I203="中",中係数,IF($I203="低",低係数,IF($I203="特低",特低係数,0)))))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2.2000000000000002</v>
      </c>
      <c r="K203" s="101">
        <f t="shared" si="63"/>
        <v>2.4</v>
      </c>
      <c r="L203" s="101">
        <f t="shared" si="63"/>
        <v>2.5</v>
      </c>
      <c r="M203" s="101">
        <f t="shared" si="63"/>
        <v>4.5999999999999996</v>
      </c>
      <c r="N203" s="101">
        <f t="shared" si="63"/>
        <v>2.9</v>
      </c>
      <c r="O203" s="101">
        <f t="shared" si="63"/>
        <v>1.9000000000000001</v>
      </c>
      <c r="P203" s="101">
        <f t="shared" si="63"/>
        <v>0.79999999999999993</v>
      </c>
      <c r="Q203" s="101">
        <f t="shared" si="63"/>
        <v>2.2000000000000002</v>
      </c>
      <c r="R203" s="101">
        <f t="shared" si="63"/>
        <v>0</v>
      </c>
      <c r="S203" s="77"/>
      <c r="T203" s="101">
        <f t="shared" si="56"/>
        <v>3</v>
      </c>
      <c r="U203" s="101">
        <f t="shared" si="57"/>
        <v>22.5</v>
      </c>
      <c r="V203" s="102">
        <f t="shared" si="53"/>
        <v>1.125</v>
      </c>
      <c r="W203" s="103">
        <f t="shared" si="54"/>
        <v>1233750</v>
      </c>
      <c r="X203" s="104" t="s">
        <v>93</v>
      </c>
    </row>
    <row r="204" spans="1:24" s="75" customFormat="1" ht="12">
      <c r="A204" s="73">
        <f t="shared" si="55"/>
        <v>195</v>
      </c>
      <c r="B204" s="122" t="s">
        <v>1683</v>
      </c>
      <c r="C204" s="121" t="s">
        <v>1706</v>
      </c>
      <c r="D204" s="121" t="s">
        <v>1688</v>
      </c>
      <c r="E204" s="78" t="s">
        <v>1966</v>
      </c>
      <c r="F204" s="74"/>
      <c r="G204" s="79"/>
      <c r="H204" s="79"/>
      <c r="I204" s="74" t="s">
        <v>1965</v>
      </c>
      <c r="J204" s="101">
        <f t="shared" si="63"/>
        <v>2.2000000000000002</v>
      </c>
      <c r="K204" s="101">
        <f t="shared" si="63"/>
        <v>2.4</v>
      </c>
      <c r="L204" s="101">
        <f t="shared" si="63"/>
        <v>2.5</v>
      </c>
      <c r="M204" s="101">
        <f t="shared" si="63"/>
        <v>4.5999999999999996</v>
      </c>
      <c r="N204" s="101">
        <f t="shared" si="63"/>
        <v>2.9</v>
      </c>
      <c r="O204" s="101">
        <f t="shared" si="63"/>
        <v>1.9000000000000001</v>
      </c>
      <c r="P204" s="101">
        <f t="shared" si="63"/>
        <v>0.79999999999999993</v>
      </c>
      <c r="Q204" s="101">
        <f t="shared" si="63"/>
        <v>2.2000000000000002</v>
      </c>
      <c r="R204" s="101">
        <f t="shared" si="63"/>
        <v>0</v>
      </c>
      <c r="S204" s="77"/>
      <c r="T204" s="101">
        <f t="shared" si="56"/>
        <v>3</v>
      </c>
      <c r="U204" s="101">
        <f t="shared" si="57"/>
        <v>22.5</v>
      </c>
      <c r="V204" s="102">
        <f t="shared" si="53"/>
        <v>1.125</v>
      </c>
      <c r="W204" s="103">
        <f t="shared" si="54"/>
        <v>1233750</v>
      </c>
      <c r="X204" s="104" t="s">
        <v>93</v>
      </c>
    </row>
    <row r="205" spans="1:24" s="75" customFormat="1" ht="12">
      <c r="A205" s="73">
        <f t="shared" si="55"/>
        <v>196</v>
      </c>
      <c r="B205" s="122" t="s">
        <v>1661</v>
      </c>
      <c r="C205" s="121" t="s">
        <v>1785</v>
      </c>
      <c r="D205" s="121" t="s">
        <v>1783</v>
      </c>
      <c r="E205" s="78" t="s">
        <v>1966</v>
      </c>
      <c r="F205" s="74"/>
      <c r="G205" s="79"/>
      <c r="H205" s="79"/>
      <c r="I205" s="74" t="s">
        <v>1965</v>
      </c>
      <c r="J205" s="101">
        <f t="shared" si="63"/>
        <v>2.2000000000000002</v>
      </c>
      <c r="K205" s="101">
        <f t="shared" si="63"/>
        <v>2.4</v>
      </c>
      <c r="L205" s="101">
        <f t="shared" si="63"/>
        <v>2.5</v>
      </c>
      <c r="M205" s="101">
        <f t="shared" si="63"/>
        <v>4.5999999999999996</v>
      </c>
      <c r="N205" s="101">
        <f t="shared" si="63"/>
        <v>2.9</v>
      </c>
      <c r="O205" s="101">
        <f t="shared" si="63"/>
        <v>1.9000000000000001</v>
      </c>
      <c r="P205" s="101">
        <f t="shared" si="63"/>
        <v>0.79999999999999993</v>
      </c>
      <c r="Q205" s="101">
        <f t="shared" si="63"/>
        <v>2.2000000000000002</v>
      </c>
      <c r="R205" s="101">
        <f t="shared" si="63"/>
        <v>0</v>
      </c>
      <c r="S205" s="77"/>
      <c r="T205" s="101">
        <f t="shared" si="56"/>
        <v>3</v>
      </c>
      <c r="U205" s="101">
        <f t="shared" si="57"/>
        <v>22.5</v>
      </c>
      <c r="V205" s="102">
        <f t="shared" si="53"/>
        <v>1.125</v>
      </c>
      <c r="W205" s="103">
        <f t="shared" si="54"/>
        <v>1233750</v>
      </c>
      <c r="X205" s="104" t="s">
        <v>93</v>
      </c>
    </row>
    <row r="206" spans="1:24" s="75" customFormat="1" ht="12">
      <c r="A206" s="73">
        <f t="shared" si="55"/>
        <v>197</v>
      </c>
      <c r="B206" s="121" t="s">
        <v>1695</v>
      </c>
      <c r="C206" s="121" t="s">
        <v>1694</v>
      </c>
      <c r="D206" s="121" t="s">
        <v>1688</v>
      </c>
      <c r="E206" s="78" t="s">
        <v>1966</v>
      </c>
      <c r="F206" s="74"/>
      <c r="G206" s="79"/>
      <c r="H206" s="79"/>
      <c r="I206" s="74" t="s">
        <v>1965</v>
      </c>
      <c r="J206" s="101">
        <f t="shared" si="63"/>
        <v>2.2000000000000002</v>
      </c>
      <c r="K206" s="101">
        <f t="shared" si="63"/>
        <v>2.4</v>
      </c>
      <c r="L206" s="101">
        <f t="shared" si="63"/>
        <v>2.5</v>
      </c>
      <c r="M206" s="101">
        <f t="shared" si="63"/>
        <v>4.5999999999999996</v>
      </c>
      <c r="N206" s="101">
        <f t="shared" si="63"/>
        <v>2.9</v>
      </c>
      <c r="O206" s="101">
        <f t="shared" si="63"/>
        <v>1.9000000000000001</v>
      </c>
      <c r="P206" s="101">
        <f t="shared" si="63"/>
        <v>0.79999999999999993</v>
      </c>
      <c r="Q206" s="101">
        <f t="shared" si="63"/>
        <v>2.2000000000000002</v>
      </c>
      <c r="R206" s="101">
        <f t="shared" si="63"/>
        <v>0</v>
      </c>
      <c r="S206" s="77"/>
      <c r="T206" s="101">
        <f t="shared" si="56"/>
        <v>3</v>
      </c>
      <c r="U206" s="101">
        <f t="shared" si="57"/>
        <v>22.5</v>
      </c>
      <c r="V206" s="102">
        <f t="shared" si="53"/>
        <v>1.125</v>
      </c>
      <c r="W206" s="103">
        <f t="shared" si="54"/>
        <v>1233750</v>
      </c>
      <c r="X206" s="104" t="s">
        <v>93</v>
      </c>
    </row>
    <row r="207" spans="1:24" s="75" customFormat="1" ht="12">
      <c r="A207" s="73">
        <f t="shared" si="55"/>
        <v>198</v>
      </c>
      <c r="B207" s="121" t="s">
        <v>1695</v>
      </c>
      <c r="C207" s="121" t="s">
        <v>1708</v>
      </c>
      <c r="D207" s="121" t="s">
        <v>1688</v>
      </c>
      <c r="E207" s="78" t="s">
        <v>1966</v>
      </c>
      <c r="F207" s="74"/>
      <c r="G207" s="79"/>
      <c r="H207" s="79"/>
      <c r="I207" s="74" t="s">
        <v>1965</v>
      </c>
      <c r="J207" s="101">
        <f t="shared" si="63"/>
        <v>2.2000000000000002</v>
      </c>
      <c r="K207" s="101">
        <f t="shared" si="63"/>
        <v>2.4</v>
      </c>
      <c r="L207" s="101">
        <f t="shared" si="63"/>
        <v>2.5</v>
      </c>
      <c r="M207" s="101">
        <f t="shared" si="63"/>
        <v>4.5999999999999996</v>
      </c>
      <c r="N207" s="101">
        <f t="shared" si="63"/>
        <v>2.9</v>
      </c>
      <c r="O207" s="101">
        <f t="shared" si="63"/>
        <v>1.9000000000000001</v>
      </c>
      <c r="P207" s="101">
        <f t="shared" si="63"/>
        <v>0.79999999999999993</v>
      </c>
      <c r="Q207" s="101">
        <f t="shared" si="63"/>
        <v>2.2000000000000002</v>
      </c>
      <c r="R207" s="101">
        <f t="shared" si="63"/>
        <v>0</v>
      </c>
      <c r="S207" s="77"/>
      <c r="T207" s="101">
        <f t="shared" si="56"/>
        <v>3</v>
      </c>
      <c r="U207" s="101">
        <f t="shared" si="57"/>
        <v>22.5</v>
      </c>
      <c r="V207" s="102">
        <f t="shared" si="53"/>
        <v>1.125</v>
      </c>
      <c r="W207" s="103">
        <f t="shared" si="54"/>
        <v>1233750</v>
      </c>
      <c r="X207" s="104" t="s">
        <v>93</v>
      </c>
    </row>
    <row r="208" spans="1:24" s="75" customFormat="1" ht="12">
      <c r="A208" s="73">
        <f t="shared" si="55"/>
        <v>199</v>
      </c>
      <c r="B208" s="121" t="s">
        <v>1695</v>
      </c>
      <c r="C208" s="121" t="s">
        <v>1710</v>
      </c>
      <c r="D208" s="121" t="s">
        <v>1688</v>
      </c>
      <c r="E208" s="78" t="s">
        <v>1966</v>
      </c>
      <c r="F208" s="74"/>
      <c r="G208" s="79"/>
      <c r="H208" s="79"/>
      <c r="I208" s="74" t="s">
        <v>1965</v>
      </c>
      <c r="J208" s="101">
        <f t="shared" si="63"/>
        <v>2.2000000000000002</v>
      </c>
      <c r="K208" s="101">
        <f t="shared" si="63"/>
        <v>2.4</v>
      </c>
      <c r="L208" s="101">
        <f t="shared" si="63"/>
        <v>2.5</v>
      </c>
      <c r="M208" s="101">
        <f t="shared" si="63"/>
        <v>4.5999999999999996</v>
      </c>
      <c r="N208" s="101">
        <f t="shared" si="63"/>
        <v>2.9</v>
      </c>
      <c r="O208" s="101">
        <f t="shared" si="63"/>
        <v>1.9000000000000001</v>
      </c>
      <c r="P208" s="101">
        <f t="shared" si="63"/>
        <v>0.79999999999999993</v>
      </c>
      <c r="Q208" s="101">
        <f t="shared" si="63"/>
        <v>2.2000000000000002</v>
      </c>
      <c r="R208" s="101">
        <f t="shared" si="63"/>
        <v>0</v>
      </c>
      <c r="S208" s="77"/>
      <c r="T208" s="101">
        <f t="shared" si="56"/>
        <v>3</v>
      </c>
      <c r="U208" s="101">
        <f t="shared" si="57"/>
        <v>22.5</v>
      </c>
      <c r="V208" s="102">
        <f t="shared" si="53"/>
        <v>1.125</v>
      </c>
      <c r="W208" s="103">
        <f t="shared" si="54"/>
        <v>1233750</v>
      </c>
      <c r="X208" s="104" t="s">
        <v>93</v>
      </c>
    </row>
    <row r="209" spans="1:24" s="75" customFormat="1" ht="12">
      <c r="A209" s="73">
        <f t="shared" si="55"/>
        <v>200</v>
      </c>
      <c r="B209" s="121" t="s">
        <v>1695</v>
      </c>
      <c r="C209" s="121" t="s">
        <v>1713</v>
      </c>
      <c r="D209" s="121" t="s">
        <v>1688</v>
      </c>
      <c r="E209" s="78" t="s">
        <v>1966</v>
      </c>
      <c r="F209" s="74"/>
      <c r="G209" s="79"/>
      <c r="H209" s="79"/>
      <c r="I209" s="74" t="s">
        <v>1965</v>
      </c>
      <c r="J209" s="101">
        <f t="shared" si="63"/>
        <v>2.2000000000000002</v>
      </c>
      <c r="K209" s="101">
        <f t="shared" si="63"/>
        <v>2.4</v>
      </c>
      <c r="L209" s="101">
        <f t="shared" si="63"/>
        <v>2.5</v>
      </c>
      <c r="M209" s="101">
        <f t="shared" si="63"/>
        <v>4.5999999999999996</v>
      </c>
      <c r="N209" s="101">
        <f t="shared" si="63"/>
        <v>2.9</v>
      </c>
      <c r="O209" s="101">
        <f t="shared" si="63"/>
        <v>1.9000000000000001</v>
      </c>
      <c r="P209" s="101">
        <f t="shared" si="63"/>
        <v>0.79999999999999993</v>
      </c>
      <c r="Q209" s="101">
        <f t="shared" si="63"/>
        <v>2.2000000000000002</v>
      </c>
      <c r="R209" s="101">
        <f t="shared" si="63"/>
        <v>0</v>
      </c>
      <c r="S209" s="77"/>
      <c r="T209" s="101">
        <f t="shared" si="56"/>
        <v>3</v>
      </c>
      <c r="U209" s="101">
        <f t="shared" si="57"/>
        <v>22.5</v>
      </c>
      <c r="V209" s="102">
        <f t="shared" si="53"/>
        <v>1.125</v>
      </c>
      <c r="W209" s="103">
        <f t="shared" si="54"/>
        <v>1233750</v>
      </c>
      <c r="X209" s="104" t="s">
        <v>93</v>
      </c>
    </row>
    <row r="210" spans="1:24" s="75" customFormat="1" ht="12">
      <c r="A210" s="73">
        <f t="shared" si="55"/>
        <v>201</v>
      </c>
      <c r="B210" s="121" t="s">
        <v>1695</v>
      </c>
      <c r="C210" s="121" t="s">
        <v>1715</v>
      </c>
      <c r="D210" s="121" t="s">
        <v>1716</v>
      </c>
      <c r="E210" s="78" t="s">
        <v>1966</v>
      </c>
      <c r="F210" s="74"/>
      <c r="G210" s="79"/>
      <c r="H210" s="79"/>
      <c r="I210" s="74" t="s">
        <v>1965</v>
      </c>
      <c r="J210" s="101">
        <f t="shared" si="63"/>
        <v>2.2000000000000002</v>
      </c>
      <c r="K210" s="101">
        <f t="shared" si="63"/>
        <v>2.4</v>
      </c>
      <c r="L210" s="101">
        <f t="shared" si="63"/>
        <v>2.5</v>
      </c>
      <c r="M210" s="101">
        <f t="shared" si="63"/>
        <v>4.5999999999999996</v>
      </c>
      <c r="N210" s="101">
        <f t="shared" si="63"/>
        <v>2.9</v>
      </c>
      <c r="O210" s="101">
        <f t="shared" si="63"/>
        <v>1.9000000000000001</v>
      </c>
      <c r="P210" s="101">
        <f t="shared" si="63"/>
        <v>0.79999999999999993</v>
      </c>
      <c r="Q210" s="101">
        <f t="shared" si="63"/>
        <v>2.2000000000000002</v>
      </c>
      <c r="R210" s="101">
        <f t="shared" si="63"/>
        <v>0</v>
      </c>
      <c r="S210" s="77"/>
      <c r="T210" s="101">
        <f t="shared" si="56"/>
        <v>3</v>
      </c>
      <c r="U210" s="101">
        <f t="shared" si="57"/>
        <v>22.5</v>
      </c>
      <c r="V210" s="102">
        <f t="shared" si="53"/>
        <v>1.125</v>
      </c>
      <c r="W210" s="103">
        <f t="shared" si="54"/>
        <v>1233750</v>
      </c>
      <c r="X210" s="104" t="s">
        <v>93</v>
      </c>
    </row>
    <row r="211" spans="1:24" s="75" customFormat="1" ht="12">
      <c r="A211" s="73">
        <f t="shared" si="55"/>
        <v>202</v>
      </c>
      <c r="B211" s="121" t="s">
        <v>1695</v>
      </c>
      <c r="C211" s="121" t="s">
        <v>1718</v>
      </c>
      <c r="D211" s="121" t="s">
        <v>1716</v>
      </c>
      <c r="E211" s="78" t="s">
        <v>1966</v>
      </c>
      <c r="F211" s="74"/>
      <c r="G211" s="79"/>
      <c r="H211" s="79"/>
      <c r="I211" s="74" t="s">
        <v>1965</v>
      </c>
      <c r="J211" s="101">
        <f t="shared" si="63"/>
        <v>2.2000000000000002</v>
      </c>
      <c r="K211" s="101">
        <f t="shared" si="63"/>
        <v>2.4</v>
      </c>
      <c r="L211" s="101">
        <f t="shared" si="63"/>
        <v>2.5</v>
      </c>
      <c r="M211" s="101">
        <f t="shared" si="63"/>
        <v>4.5999999999999996</v>
      </c>
      <c r="N211" s="101">
        <f t="shared" si="63"/>
        <v>2.9</v>
      </c>
      <c r="O211" s="101">
        <f t="shared" si="63"/>
        <v>1.9000000000000001</v>
      </c>
      <c r="P211" s="101">
        <f t="shared" si="63"/>
        <v>0.79999999999999993</v>
      </c>
      <c r="Q211" s="101">
        <f t="shared" si="63"/>
        <v>2.2000000000000002</v>
      </c>
      <c r="R211" s="101">
        <f t="shared" si="63"/>
        <v>0</v>
      </c>
      <c r="S211" s="77"/>
      <c r="T211" s="101">
        <f t="shared" si="56"/>
        <v>3</v>
      </c>
      <c r="U211" s="101">
        <f t="shared" si="57"/>
        <v>22.5</v>
      </c>
      <c r="V211" s="102">
        <f t="shared" si="53"/>
        <v>1.125</v>
      </c>
      <c r="W211" s="103">
        <f t="shared" si="54"/>
        <v>1233750</v>
      </c>
      <c r="X211" s="104" t="s">
        <v>93</v>
      </c>
    </row>
    <row r="212" spans="1:24" s="75" customFormat="1" ht="12">
      <c r="A212" s="73">
        <f t="shared" si="55"/>
        <v>203</v>
      </c>
      <c r="B212" s="121" t="s">
        <v>1695</v>
      </c>
      <c r="C212" s="121" t="s">
        <v>1720</v>
      </c>
      <c r="D212" s="121" t="s">
        <v>1716</v>
      </c>
      <c r="E212" s="78" t="s">
        <v>1966</v>
      </c>
      <c r="F212" s="74"/>
      <c r="G212" s="79"/>
      <c r="H212" s="79"/>
      <c r="I212" s="74" t="s">
        <v>1965</v>
      </c>
      <c r="J212" s="101">
        <f t="shared" si="63"/>
        <v>2.2000000000000002</v>
      </c>
      <c r="K212" s="101">
        <f t="shared" si="63"/>
        <v>2.4</v>
      </c>
      <c r="L212" s="101">
        <f t="shared" si="63"/>
        <v>2.5</v>
      </c>
      <c r="M212" s="101">
        <f t="shared" si="63"/>
        <v>4.5999999999999996</v>
      </c>
      <c r="N212" s="101">
        <f t="shared" si="63"/>
        <v>2.9</v>
      </c>
      <c r="O212" s="101">
        <f t="shared" si="63"/>
        <v>1.9000000000000001</v>
      </c>
      <c r="P212" s="101">
        <f t="shared" si="63"/>
        <v>0.79999999999999993</v>
      </c>
      <c r="Q212" s="101">
        <f t="shared" si="63"/>
        <v>2.2000000000000002</v>
      </c>
      <c r="R212" s="101">
        <f t="shared" si="63"/>
        <v>0</v>
      </c>
      <c r="S212" s="77"/>
      <c r="T212" s="101">
        <f t="shared" si="56"/>
        <v>3</v>
      </c>
      <c r="U212" s="101">
        <f t="shared" si="57"/>
        <v>22.5</v>
      </c>
      <c r="V212" s="102">
        <f t="shared" si="53"/>
        <v>1.125</v>
      </c>
      <c r="W212" s="103">
        <f t="shared" si="54"/>
        <v>1233750</v>
      </c>
      <c r="X212" s="104" t="s">
        <v>93</v>
      </c>
    </row>
    <row r="213" spans="1:24" s="75" customFormat="1" ht="12">
      <c r="A213" s="73">
        <f t="shared" si="55"/>
        <v>204</v>
      </c>
      <c r="B213" s="121" t="s">
        <v>1695</v>
      </c>
      <c r="C213" s="121" t="s">
        <v>1722</v>
      </c>
      <c r="D213" s="121" t="s">
        <v>1723</v>
      </c>
      <c r="E213" s="78" t="s">
        <v>1966</v>
      </c>
      <c r="F213" s="74"/>
      <c r="G213" s="79"/>
      <c r="H213" s="79"/>
      <c r="I213" s="74" t="s">
        <v>1965</v>
      </c>
      <c r="J213" s="101">
        <f t="shared" si="63"/>
        <v>2.2000000000000002</v>
      </c>
      <c r="K213" s="101">
        <f t="shared" si="63"/>
        <v>2.4</v>
      </c>
      <c r="L213" s="101">
        <f t="shared" si="63"/>
        <v>2.5</v>
      </c>
      <c r="M213" s="101">
        <f t="shared" si="63"/>
        <v>4.5999999999999996</v>
      </c>
      <c r="N213" s="101">
        <f t="shared" si="63"/>
        <v>2.9</v>
      </c>
      <c r="O213" s="101">
        <f t="shared" si="63"/>
        <v>1.9000000000000001</v>
      </c>
      <c r="P213" s="101">
        <f t="shared" si="63"/>
        <v>0.79999999999999993</v>
      </c>
      <c r="Q213" s="101">
        <f t="shared" si="63"/>
        <v>2.2000000000000002</v>
      </c>
      <c r="R213" s="101">
        <f t="shared" si="63"/>
        <v>0</v>
      </c>
      <c r="S213" s="77"/>
      <c r="T213" s="101">
        <f t="shared" si="56"/>
        <v>3</v>
      </c>
      <c r="U213" s="101">
        <f t="shared" si="57"/>
        <v>22.5</v>
      </c>
      <c r="V213" s="102">
        <f t="shared" si="53"/>
        <v>1.125</v>
      </c>
      <c r="W213" s="103">
        <f t="shared" si="54"/>
        <v>1233750</v>
      </c>
      <c r="X213" s="104" t="s">
        <v>93</v>
      </c>
    </row>
    <row r="214" spans="1:24" s="75" customFormat="1" ht="12">
      <c r="A214" s="73">
        <f t="shared" si="55"/>
        <v>205</v>
      </c>
      <c r="B214" s="121" t="s">
        <v>1695</v>
      </c>
      <c r="C214" s="121" t="s">
        <v>1725</v>
      </c>
      <c r="D214" s="121" t="s">
        <v>1723</v>
      </c>
      <c r="E214" s="78" t="s">
        <v>1966</v>
      </c>
      <c r="F214" s="74"/>
      <c r="G214" s="79"/>
      <c r="H214" s="79"/>
      <c r="I214" s="74" t="s">
        <v>1965</v>
      </c>
      <c r="J214" s="101">
        <f t="shared" si="63"/>
        <v>2.2000000000000002</v>
      </c>
      <c r="K214" s="101">
        <f t="shared" si="63"/>
        <v>2.4</v>
      </c>
      <c r="L214" s="101">
        <f t="shared" si="63"/>
        <v>2.5</v>
      </c>
      <c r="M214" s="101">
        <f t="shared" si="63"/>
        <v>4.5999999999999996</v>
      </c>
      <c r="N214" s="101">
        <f t="shared" si="63"/>
        <v>2.9</v>
      </c>
      <c r="O214" s="101">
        <f t="shared" si="63"/>
        <v>1.9000000000000001</v>
      </c>
      <c r="P214" s="101">
        <f t="shared" si="63"/>
        <v>0.79999999999999993</v>
      </c>
      <c r="Q214" s="101">
        <f t="shared" si="63"/>
        <v>2.2000000000000002</v>
      </c>
      <c r="R214" s="101">
        <f t="shared" si="63"/>
        <v>0</v>
      </c>
      <c r="S214" s="77"/>
      <c r="T214" s="101">
        <f t="shared" si="56"/>
        <v>3</v>
      </c>
      <c r="U214" s="101">
        <f t="shared" si="57"/>
        <v>22.5</v>
      </c>
      <c r="V214" s="102">
        <f t="shared" si="53"/>
        <v>1.125</v>
      </c>
      <c r="W214" s="103">
        <f t="shared" si="54"/>
        <v>1233750</v>
      </c>
      <c r="X214" s="104" t="s">
        <v>93</v>
      </c>
    </row>
    <row r="215" spans="1:24" s="75" customFormat="1" ht="12">
      <c r="A215" s="73">
        <f t="shared" si="55"/>
        <v>206</v>
      </c>
      <c r="B215" s="121" t="s">
        <v>1695</v>
      </c>
      <c r="C215" s="121" t="s">
        <v>1727</v>
      </c>
      <c r="D215" s="121" t="s">
        <v>1723</v>
      </c>
      <c r="E215" s="78" t="s">
        <v>1966</v>
      </c>
      <c r="F215" s="74"/>
      <c r="G215" s="79"/>
      <c r="H215" s="79"/>
      <c r="I215" s="74" t="s">
        <v>1965</v>
      </c>
      <c r="J215" s="101">
        <f t="shared" si="63"/>
        <v>2.2000000000000002</v>
      </c>
      <c r="K215" s="101">
        <f t="shared" si="63"/>
        <v>2.4</v>
      </c>
      <c r="L215" s="101">
        <f t="shared" si="63"/>
        <v>2.5</v>
      </c>
      <c r="M215" s="101">
        <f t="shared" si="63"/>
        <v>4.5999999999999996</v>
      </c>
      <c r="N215" s="101">
        <f t="shared" si="63"/>
        <v>2.9</v>
      </c>
      <c r="O215" s="101">
        <f t="shared" si="63"/>
        <v>1.9000000000000001</v>
      </c>
      <c r="P215" s="101">
        <f t="shared" si="63"/>
        <v>0.79999999999999993</v>
      </c>
      <c r="Q215" s="101">
        <f t="shared" si="63"/>
        <v>2.2000000000000002</v>
      </c>
      <c r="R215" s="101">
        <f t="shared" si="63"/>
        <v>0</v>
      </c>
      <c r="S215" s="77"/>
      <c r="T215" s="101">
        <f t="shared" si="56"/>
        <v>3</v>
      </c>
      <c r="U215" s="101">
        <f t="shared" si="57"/>
        <v>22.5</v>
      </c>
      <c r="V215" s="102">
        <f t="shared" si="53"/>
        <v>1.125</v>
      </c>
      <c r="W215" s="103">
        <f t="shared" si="54"/>
        <v>1233750</v>
      </c>
      <c r="X215" s="104" t="s">
        <v>93</v>
      </c>
    </row>
    <row r="216" spans="1:24" s="75" customFormat="1" ht="12">
      <c r="A216" s="73">
        <f t="shared" si="55"/>
        <v>207</v>
      </c>
      <c r="B216" s="121" t="s">
        <v>1695</v>
      </c>
      <c r="C216" s="121" t="s">
        <v>1729</v>
      </c>
      <c r="D216" s="121" t="s">
        <v>1723</v>
      </c>
      <c r="E216" s="78" t="s">
        <v>1966</v>
      </c>
      <c r="F216" s="74"/>
      <c r="G216" s="79"/>
      <c r="H216" s="79"/>
      <c r="I216" s="74" t="s">
        <v>1965</v>
      </c>
      <c r="J216" s="101">
        <f t="shared" si="63"/>
        <v>2.2000000000000002</v>
      </c>
      <c r="K216" s="101">
        <f t="shared" si="63"/>
        <v>2.4</v>
      </c>
      <c r="L216" s="101">
        <f t="shared" si="63"/>
        <v>2.5</v>
      </c>
      <c r="M216" s="101">
        <f t="shared" si="63"/>
        <v>4.5999999999999996</v>
      </c>
      <c r="N216" s="101">
        <f t="shared" si="63"/>
        <v>2.9</v>
      </c>
      <c r="O216" s="101">
        <f t="shared" si="63"/>
        <v>1.9000000000000001</v>
      </c>
      <c r="P216" s="101">
        <f t="shared" si="63"/>
        <v>0.79999999999999993</v>
      </c>
      <c r="Q216" s="101">
        <f t="shared" si="63"/>
        <v>2.2000000000000002</v>
      </c>
      <c r="R216" s="101">
        <f t="shared" si="63"/>
        <v>0</v>
      </c>
      <c r="S216" s="77"/>
      <c r="T216" s="101">
        <f t="shared" si="56"/>
        <v>3</v>
      </c>
      <c r="U216" s="101">
        <f t="shared" si="57"/>
        <v>22.5</v>
      </c>
      <c r="V216" s="102">
        <f t="shared" si="53"/>
        <v>1.125</v>
      </c>
      <c r="W216" s="103">
        <f t="shared" si="54"/>
        <v>1233750</v>
      </c>
      <c r="X216" s="104" t="s">
        <v>93</v>
      </c>
    </row>
    <row r="217" spans="1:24" s="75" customFormat="1" ht="12">
      <c r="A217" s="73">
        <f t="shared" si="55"/>
        <v>208</v>
      </c>
      <c r="B217" s="121" t="s">
        <v>1695</v>
      </c>
      <c r="C217" s="121" t="s">
        <v>1731</v>
      </c>
      <c r="D217" s="121" t="s">
        <v>1723</v>
      </c>
      <c r="E217" s="78" t="s">
        <v>1966</v>
      </c>
      <c r="F217" s="74"/>
      <c r="G217" s="79"/>
      <c r="H217" s="79"/>
      <c r="I217" s="74" t="s">
        <v>1965</v>
      </c>
      <c r="J217" s="101">
        <f t="shared" si="63"/>
        <v>2.2000000000000002</v>
      </c>
      <c r="K217" s="101">
        <f t="shared" si="63"/>
        <v>2.4</v>
      </c>
      <c r="L217" s="101">
        <f t="shared" si="63"/>
        <v>2.5</v>
      </c>
      <c r="M217" s="101">
        <f t="shared" si="63"/>
        <v>4.5999999999999996</v>
      </c>
      <c r="N217" s="101">
        <f t="shared" si="63"/>
        <v>2.9</v>
      </c>
      <c r="O217" s="101">
        <f t="shared" si="63"/>
        <v>1.9000000000000001</v>
      </c>
      <c r="P217" s="101">
        <f t="shared" si="63"/>
        <v>0.79999999999999993</v>
      </c>
      <c r="Q217" s="101">
        <f t="shared" si="63"/>
        <v>2.2000000000000002</v>
      </c>
      <c r="R217" s="101">
        <f t="shared" si="63"/>
        <v>0</v>
      </c>
      <c r="S217" s="77"/>
      <c r="T217" s="101">
        <f t="shared" si="56"/>
        <v>3</v>
      </c>
      <c r="U217" s="101">
        <f t="shared" si="57"/>
        <v>22.5</v>
      </c>
      <c r="V217" s="102">
        <f t="shared" si="53"/>
        <v>1.125</v>
      </c>
      <c r="W217" s="103">
        <f t="shared" si="54"/>
        <v>1233750</v>
      </c>
      <c r="X217" s="104" t="s">
        <v>93</v>
      </c>
    </row>
    <row r="218" spans="1:24" s="75" customFormat="1" ht="12">
      <c r="A218" s="73">
        <f t="shared" si="55"/>
        <v>209</v>
      </c>
      <c r="B218" s="121" t="s">
        <v>1695</v>
      </c>
      <c r="C218" s="121" t="s">
        <v>1495</v>
      </c>
      <c r="D218" s="121" t="s">
        <v>1611</v>
      </c>
      <c r="E218" s="78" t="s">
        <v>1966</v>
      </c>
      <c r="F218" s="74"/>
      <c r="G218" s="79"/>
      <c r="H218" s="79"/>
      <c r="I218" s="74" t="s">
        <v>1965</v>
      </c>
      <c r="J218" s="101">
        <f t="shared" si="63"/>
        <v>2.2000000000000002</v>
      </c>
      <c r="K218" s="101">
        <f t="shared" si="63"/>
        <v>2.4</v>
      </c>
      <c r="L218" s="101">
        <f t="shared" si="63"/>
        <v>2.5</v>
      </c>
      <c r="M218" s="101">
        <f t="shared" si="63"/>
        <v>4.5999999999999996</v>
      </c>
      <c r="N218" s="101">
        <f t="shared" si="63"/>
        <v>2.9</v>
      </c>
      <c r="O218" s="101">
        <f t="shared" si="63"/>
        <v>1.9000000000000001</v>
      </c>
      <c r="P218" s="101">
        <f t="shared" si="63"/>
        <v>0.79999999999999993</v>
      </c>
      <c r="Q218" s="101">
        <f t="shared" si="63"/>
        <v>2.2000000000000002</v>
      </c>
      <c r="R218" s="101">
        <f t="shared" si="63"/>
        <v>0</v>
      </c>
      <c r="S218" s="77"/>
      <c r="T218" s="101">
        <f t="shared" si="56"/>
        <v>3</v>
      </c>
      <c r="U218" s="101">
        <f t="shared" si="57"/>
        <v>22.5</v>
      </c>
      <c r="V218" s="102">
        <f t="shared" si="53"/>
        <v>1.125</v>
      </c>
      <c r="W218" s="103">
        <f t="shared" si="54"/>
        <v>1233750</v>
      </c>
      <c r="X218" s="104" t="s">
        <v>93</v>
      </c>
    </row>
    <row r="219" spans="1:24" s="75" customFormat="1" ht="12">
      <c r="A219" s="73">
        <f t="shared" si="55"/>
        <v>210</v>
      </c>
      <c r="B219" s="121" t="s">
        <v>1695</v>
      </c>
      <c r="C219" s="121" t="s">
        <v>1735</v>
      </c>
      <c r="D219" s="121" t="s">
        <v>1613</v>
      </c>
      <c r="E219" s="78" t="s">
        <v>1966</v>
      </c>
      <c r="F219" s="74"/>
      <c r="G219" s="79"/>
      <c r="H219" s="79"/>
      <c r="I219" s="74" t="s">
        <v>1965</v>
      </c>
      <c r="J219" s="101">
        <f t="shared" si="63"/>
        <v>2.2000000000000002</v>
      </c>
      <c r="K219" s="101">
        <f t="shared" si="63"/>
        <v>2.4</v>
      </c>
      <c r="L219" s="101">
        <f t="shared" si="63"/>
        <v>2.5</v>
      </c>
      <c r="M219" s="101">
        <f t="shared" si="63"/>
        <v>4.5999999999999996</v>
      </c>
      <c r="N219" s="101">
        <f t="shared" si="63"/>
        <v>2.9</v>
      </c>
      <c r="O219" s="101">
        <f t="shared" si="63"/>
        <v>1.9000000000000001</v>
      </c>
      <c r="P219" s="101">
        <f t="shared" si="63"/>
        <v>0.79999999999999993</v>
      </c>
      <c r="Q219" s="101">
        <f t="shared" si="63"/>
        <v>2.2000000000000002</v>
      </c>
      <c r="R219" s="101">
        <f t="shared" si="63"/>
        <v>0</v>
      </c>
      <c r="S219" s="77"/>
      <c r="T219" s="101">
        <f t="shared" si="56"/>
        <v>3</v>
      </c>
      <c r="U219" s="101">
        <f t="shared" si="57"/>
        <v>22.5</v>
      </c>
      <c r="V219" s="102">
        <f t="shared" si="53"/>
        <v>1.125</v>
      </c>
      <c r="W219" s="103">
        <f t="shared" si="54"/>
        <v>1233750</v>
      </c>
      <c r="X219" s="104" t="s">
        <v>93</v>
      </c>
    </row>
    <row r="220" spans="1:24" s="75" customFormat="1" ht="12">
      <c r="A220" s="73">
        <f t="shared" si="55"/>
        <v>211</v>
      </c>
      <c r="B220" s="121" t="s">
        <v>1695</v>
      </c>
      <c r="C220" s="121" t="s">
        <v>1737</v>
      </c>
      <c r="D220" s="121" t="s">
        <v>1613</v>
      </c>
      <c r="E220" s="78" t="s">
        <v>1966</v>
      </c>
      <c r="F220" s="74"/>
      <c r="G220" s="79"/>
      <c r="H220" s="79"/>
      <c r="I220" s="74" t="s">
        <v>1965</v>
      </c>
      <c r="J220" s="101">
        <f t="shared" si="63"/>
        <v>2.2000000000000002</v>
      </c>
      <c r="K220" s="101">
        <f t="shared" si="63"/>
        <v>2.4</v>
      </c>
      <c r="L220" s="101">
        <f t="shared" si="63"/>
        <v>2.5</v>
      </c>
      <c r="M220" s="101">
        <f t="shared" si="63"/>
        <v>4.5999999999999996</v>
      </c>
      <c r="N220" s="101">
        <f t="shared" si="63"/>
        <v>2.9</v>
      </c>
      <c r="O220" s="101">
        <f t="shared" si="63"/>
        <v>1.9000000000000001</v>
      </c>
      <c r="P220" s="101">
        <f t="shared" si="63"/>
        <v>0.79999999999999993</v>
      </c>
      <c r="Q220" s="101">
        <f t="shared" si="63"/>
        <v>2.2000000000000002</v>
      </c>
      <c r="R220" s="101">
        <f t="shared" si="63"/>
        <v>0</v>
      </c>
      <c r="S220" s="77"/>
      <c r="T220" s="101">
        <f t="shared" si="56"/>
        <v>3</v>
      </c>
      <c r="U220" s="101">
        <f t="shared" si="57"/>
        <v>22.5</v>
      </c>
      <c r="V220" s="102">
        <f t="shared" si="53"/>
        <v>1.125</v>
      </c>
      <c r="W220" s="103">
        <f t="shared" si="54"/>
        <v>1233750</v>
      </c>
      <c r="X220" s="104" t="s">
        <v>93</v>
      </c>
    </row>
    <row r="221" spans="1:24" s="75" customFormat="1" ht="12">
      <c r="A221" s="73">
        <f t="shared" si="55"/>
        <v>212</v>
      </c>
      <c r="B221" s="121" t="s">
        <v>1695</v>
      </c>
      <c r="C221" s="121" t="s">
        <v>1739</v>
      </c>
      <c r="D221" s="121" t="s">
        <v>1613</v>
      </c>
      <c r="E221" s="78" t="s">
        <v>1966</v>
      </c>
      <c r="F221" s="74"/>
      <c r="G221" s="79"/>
      <c r="H221" s="79"/>
      <c r="I221" s="74" t="s">
        <v>1965</v>
      </c>
      <c r="J221" s="101">
        <f t="shared" si="63"/>
        <v>2.2000000000000002</v>
      </c>
      <c r="K221" s="101">
        <f t="shared" si="63"/>
        <v>2.4</v>
      </c>
      <c r="L221" s="101">
        <f t="shared" si="63"/>
        <v>2.5</v>
      </c>
      <c r="M221" s="101">
        <f t="shared" si="63"/>
        <v>4.5999999999999996</v>
      </c>
      <c r="N221" s="101">
        <f t="shared" si="63"/>
        <v>2.9</v>
      </c>
      <c r="O221" s="101">
        <f t="shared" si="63"/>
        <v>1.9000000000000001</v>
      </c>
      <c r="P221" s="101">
        <f t="shared" si="63"/>
        <v>0.79999999999999993</v>
      </c>
      <c r="Q221" s="101">
        <f t="shared" si="63"/>
        <v>2.2000000000000002</v>
      </c>
      <c r="R221" s="101">
        <f t="shared" si="63"/>
        <v>0</v>
      </c>
      <c r="S221" s="77"/>
      <c r="T221" s="101">
        <f t="shared" si="56"/>
        <v>3</v>
      </c>
      <c r="U221" s="101">
        <f t="shared" si="57"/>
        <v>22.5</v>
      </c>
      <c r="V221" s="102">
        <f t="shared" si="53"/>
        <v>1.125</v>
      </c>
      <c r="W221" s="103">
        <f t="shared" si="54"/>
        <v>1233750</v>
      </c>
      <c r="X221" s="104" t="s">
        <v>93</v>
      </c>
    </row>
    <row r="222" spans="1:24" s="75" customFormat="1" ht="12">
      <c r="A222" s="73">
        <f t="shared" si="55"/>
        <v>213</v>
      </c>
      <c r="B222" s="121" t="s">
        <v>1695</v>
      </c>
      <c r="C222" s="121" t="s">
        <v>1741</v>
      </c>
      <c r="D222" s="121" t="s">
        <v>1613</v>
      </c>
      <c r="E222" s="78" t="s">
        <v>1966</v>
      </c>
      <c r="F222" s="74"/>
      <c r="G222" s="79"/>
      <c r="H222" s="79"/>
      <c r="I222" s="74" t="s">
        <v>1965</v>
      </c>
      <c r="J222" s="101">
        <f t="shared" si="63"/>
        <v>2.2000000000000002</v>
      </c>
      <c r="K222" s="101">
        <f t="shared" si="63"/>
        <v>2.4</v>
      </c>
      <c r="L222" s="101">
        <f t="shared" si="63"/>
        <v>2.5</v>
      </c>
      <c r="M222" s="101">
        <f t="shared" si="63"/>
        <v>4.5999999999999996</v>
      </c>
      <c r="N222" s="101">
        <f t="shared" si="63"/>
        <v>2.9</v>
      </c>
      <c r="O222" s="101">
        <f t="shared" si="63"/>
        <v>1.9000000000000001</v>
      </c>
      <c r="P222" s="101">
        <f t="shared" si="63"/>
        <v>0.79999999999999993</v>
      </c>
      <c r="Q222" s="101">
        <f t="shared" si="63"/>
        <v>2.2000000000000002</v>
      </c>
      <c r="R222" s="101">
        <f t="shared" si="63"/>
        <v>0</v>
      </c>
      <c r="S222" s="77"/>
      <c r="T222" s="101">
        <f t="shared" si="56"/>
        <v>3</v>
      </c>
      <c r="U222" s="101">
        <f t="shared" si="57"/>
        <v>22.5</v>
      </c>
      <c r="V222" s="102">
        <f t="shared" si="53"/>
        <v>1.125</v>
      </c>
      <c r="W222" s="103">
        <f t="shared" si="54"/>
        <v>1233750</v>
      </c>
      <c r="X222" s="104" t="s">
        <v>93</v>
      </c>
    </row>
    <row r="223" spans="1:24" s="75" customFormat="1" ht="12">
      <c r="A223" s="73">
        <f t="shared" si="55"/>
        <v>214</v>
      </c>
      <c r="B223" s="121" t="s">
        <v>1695</v>
      </c>
      <c r="C223" s="121" t="s">
        <v>1743</v>
      </c>
      <c r="D223" s="121" t="s">
        <v>1613</v>
      </c>
      <c r="E223" s="78" t="s">
        <v>1966</v>
      </c>
      <c r="F223" s="74"/>
      <c r="G223" s="79"/>
      <c r="H223" s="79"/>
      <c r="I223" s="74" t="s">
        <v>1965</v>
      </c>
      <c r="J223" s="101">
        <f t="shared" si="63"/>
        <v>2.2000000000000002</v>
      </c>
      <c r="K223" s="101">
        <f t="shared" si="63"/>
        <v>2.4</v>
      </c>
      <c r="L223" s="101">
        <f t="shared" si="63"/>
        <v>2.5</v>
      </c>
      <c r="M223" s="101">
        <f t="shared" si="63"/>
        <v>4.5999999999999996</v>
      </c>
      <c r="N223" s="101">
        <f t="shared" si="63"/>
        <v>2.9</v>
      </c>
      <c r="O223" s="101">
        <f t="shared" si="63"/>
        <v>1.9000000000000001</v>
      </c>
      <c r="P223" s="101">
        <f t="shared" si="63"/>
        <v>0.79999999999999993</v>
      </c>
      <c r="Q223" s="101">
        <f t="shared" si="63"/>
        <v>2.2000000000000002</v>
      </c>
      <c r="R223" s="101">
        <f t="shared" si="63"/>
        <v>0</v>
      </c>
      <c r="S223" s="77"/>
      <c r="T223" s="101">
        <f t="shared" si="56"/>
        <v>3</v>
      </c>
      <c r="U223" s="101">
        <f t="shared" si="57"/>
        <v>22.5</v>
      </c>
      <c r="V223" s="102">
        <f t="shared" si="53"/>
        <v>1.125</v>
      </c>
      <c r="W223" s="103">
        <f t="shared" si="54"/>
        <v>1233750</v>
      </c>
      <c r="X223" s="104" t="s">
        <v>93</v>
      </c>
    </row>
    <row r="224" spans="1:24" s="75" customFormat="1" ht="12">
      <c r="A224" s="73">
        <f t="shared" si="55"/>
        <v>215</v>
      </c>
      <c r="B224" s="121" t="s">
        <v>1695</v>
      </c>
      <c r="C224" s="121" t="s">
        <v>1737</v>
      </c>
      <c r="D224" s="121" t="s">
        <v>1613</v>
      </c>
      <c r="E224" s="78" t="s">
        <v>1966</v>
      </c>
      <c r="F224" s="74"/>
      <c r="G224" s="79"/>
      <c r="H224" s="79"/>
      <c r="I224" s="74" t="s">
        <v>1965</v>
      </c>
      <c r="J224" s="101">
        <f t="shared" si="63"/>
        <v>2.2000000000000002</v>
      </c>
      <c r="K224" s="101">
        <f t="shared" si="63"/>
        <v>2.4</v>
      </c>
      <c r="L224" s="101">
        <f t="shared" si="63"/>
        <v>2.5</v>
      </c>
      <c r="M224" s="101">
        <f t="shared" si="63"/>
        <v>4.5999999999999996</v>
      </c>
      <c r="N224" s="101">
        <f t="shared" si="63"/>
        <v>2.9</v>
      </c>
      <c r="O224" s="101">
        <f t="shared" si="63"/>
        <v>1.9000000000000001</v>
      </c>
      <c r="P224" s="101">
        <f t="shared" si="63"/>
        <v>0.79999999999999993</v>
      </c>
      <c r="Q224" s="101">
        <f t="shared" si="63"/>
        <v>2.2000000000000002</v>
      </c>
      <c r="R224" s="101">
        <f t="shared" si="63"/>
        <v>0</v>
      </c>
      <c r="S224" s="77"/>
      <c r="T224" s="101">
        <f t="shared" si="56"/>
        <v>3</v>
      </c>
      <c r="U224" s="101">
        <f t="shared" si="57"/>
        <v>22.5</v>
      </c>
      <c r="V224" s="102">
        <f t="shared" si="53"/>
        <v>1.125</v>
      </c>
      <c r="W224" s="103">
        <f t="shared" si="54"/>
        <v>1233750</v>
      </c>
      <c r="X224" s="104" t="s">
        <v>93</v>
      </c>
    </row>
    <row r="225" spans="1:24" s="75" customFormat="1" ht="12">
      <c r="A225" s="73">
        <f t="shared" si="55"/>
        <v>216</v>
      </c>
      <c r="B225" s="121" t="s">
        <v>1695</v>
      </c>
      <c r="C225" s="120" t="s">
        <v>1746</v>
      </c>
      <c r="D225" s="121" t="s">
        <v>1613</v>
      </c>
      <c r="E225" s="78" t="s">
        <v>1966</v>
      </c>
      <c r="F225" s="74"/>
      <c r="G225" s="79"/>
      <c r="H225" s="79"/>
      <c r="I225" s="74" t="s">
        <v>1965</v>
      </c>
      <c r="J225" s="101">
        <f t="shared" si="63"/>
        <v>2.2000000000000002</v>
      </c>
      <c r="K225" s="101">
        <f t="shared" si="63"/>
        <v>2.4</v>
      </c>
      <c r="L225" s="101">
        <f t="shared" si="63"/>
        <v>2.5</v>
      </c>
      <c r="M225" s="101">
        <f t="shared" si="63"/>
        <v>4.5999999999999996</v>
      </c>
      <c r="N225" s="101">
        <f t="shared" si="63"/>
        <v>2.9</v>
      </c>
      <c r="O225" s="101">
        <f t="shared" si="63"/>
        <v>1.9000000000000001</v>
      </c>
      <c r="P225" s="101">
        <f t="shared" si="63"/>
        <v>0.79999999999999993</v>
      </c>
      <c r="Q225" s="101">
        <f t="shared" si="63"/>
        <v>2.2000000000000002</v>
      </c>
      <c r="R225" s="101">
        <f t="shared" si="63"/>
        <v>0</v>
      </c>
      <c r="S225" s="77"/>
      <c r="T225" s="101">
        <f t="shared" si="56"/>
        <v>3</v>
      </c>
      <c r="U225" s="101">
        <f t="shared" si="57"/>
        <v>22.5</v>
      </c>
      <c r="V225" s="102">
        <f t="shared" si="53"/>
        <v>1.125</v>
      </c>
      <c r="W225" s="103">
        <f t="shared" si="54"/>
        <v>1233750</v>
      </c>
      <c r="X225" s="104" t="s">
        <v>93</v>
      </c>
    </row>
    <row r="226" spans="1:24" s="75" customFormat="1" ht="12">
      <c r="A226" s="73">
        <f t="shared" si="55"/>
        <v>217</v>
      </c>
      <c r="B226" s="121" t="s">
        <v>1695</v>
      </c>
      <c r="C226" s="121" t="s">
        <v>1748</v>
      </c>
      <c r="D226" s="121" t="s">
        <v>1613</v>
      </c>
      <c r="E226" s="78" t="s">
        <v>1966</v>
      </c>
      <c r="F226" s="74"/>
      <c r="G226" s="79"/>
      <c r="H226" s="79"/>
      <c r="I226" s="74" t="s">
        <v>1965</v>
      </c>
      <c r="J226" s="101">
        <f t="shared" si="63"/>
        <v>2.2000000000000002</v>
      </c>
      <c r="K226" s="101">
        <f t="shared" si="63"/>
        <v>2.4</v>
      </c>
      <c r="L226" s="101">
        <f t="shared" si="63"/>
        <v>2.5</v>
      </c>
      <c r="M226" s="101">
        <f t="shared" si="63"/>
        <v>4.5999999999999996</v>
      </c>
      <c r="N226" s="101">
        <f t="shared" si="63"/>
        <v>2.9</v>
      </c>
      <c r="O226" s="101">
        <f t="shared" si="63"/>
        <v>1.9000000000000001</v>
      </c>
      <c r="P226" s="101">
        <f t="shared" si="63"/>
        <v>0.79999999999999993</v>
      </c>
      <c r="Q226" s="101">
        <f t="shared" si="63"/>
        <v>2.2000000000000002</v>
      </c>
      <c r="R226" s="101">
        <f t="shared" si="63"/>
        <v>0</v>
      </c>
      <c r="S226" s="77"/>
      <c r="T226" s="101">
        <f t="shared" si="56"/>
        <v>3</v>
      </c>
      <c r="U226" s="101">
        <f t="shared" si="57"/>
        <v>22.5</v>
      </c>
      <c r="V226" s="102">
        <f t="shared" si="53"/>
        <v>1.125</v>
      </c>
      <c r="W226" s="103">
        <f t="shared" si="54"/>
        <v>1233750</v>
      </c>
      <c r="X226" s="104" t="s">
        <v>93</v>
      </c>
    </row>
    <row r="227" spans="1:24" s="75" customFormat="1" ht="12">
      <c r="A227" s="73">
        <f t="shared" si="55"/>
        <v>218</v>
      </c>
      <c r="B227" s="121" t="s">
        <v>1695</v>
      </c>
      <c r="C227" s="121" t="s">
        <v>1746</v>
      </c>
      <c r="D227" s="121" t="s">
        <v>1613</v>
      </c>
      <c r="E227" s="78" t="s">
        <v>1966</v>
      </c>
      <c r="F227" s="74"/>
      <c r="G227" s="79"/>
      <c r="H227" s="79"/>
      <c r="I227" s="74" t="s">
        <v>1965</v>
      </c>
      <c r="J227" s="101">
        <f t="shared" si="63"/>
        <v>2.2000000000000002</v>
      </c>
      <c r="K227" s="101">
        <f t="shared" si="63"/>
        <v>2.4</v>
      </c>
      <c r="L227" s="101">
        <f t="shared" si="63"/>
        <v>2.5</v>
      </c>
      <c r="M227" s="101">
        <f t="shared" si="63"/>
        <v>4.5999999999999996</v>
      </c>
      <c r="N227" s="101">
        <f t="shared" si="63"/>
        <v>2.9</v>
      </c>
      <c r="O227" s="101">
        <f t="shared" si="63"/>
        <v>1.9000000000000001</v>
      </c>
      <c r="P227" s="101">
        <f t="shared" si="63"/>
        <v>0.79999999999999993</v>
      </c>
      <c r="Q227" s="101">
        <f t="shared" si="63"/>
        <v>2.2000000000000002</v>
      </c>
      <c r="R227" s="101">
        <f t="shared" si="63"/>
        <v>0</v>
      </c>
      <c r="S227" s="77"/>
      <c r="T227" s="101">
        <f t="shared" si="56"/>
        <v>3</v>
      </c>
      <c r="U227" s="101">
        <f t="shared" si="57"/>
        <v>22.5</v>
      </c>
      <c r="V227" s="102">
        <f t="shared" si="53"/>
        <v>1.125</v>
      </c>
      <c r="W227" s="103">
        <f t="shared" si="54"/>
        <v>1233750</v>
      </c>
      <c r="X227" s="104" t="s">
        <v>93</v>
      </c>
    </row>
    <row r="228" spans="1:24" s="75" customFormat="1" ht="12">
      <c r="A228" s="73">
        <f t="shared" si="55"/>
        <v>219</v>
      </c>
      <c r="B228" s="121" t="s">
        <v>1695</v>
      </c>
      <c r="C228" s="121" t="s">
        <v>1751</v>
      </c>
      <c r="D228" s="121" t="s">
        <v>1613</v>
      </c>
      <c r="E228" s="78" t="s">
        <v>1966</v>
      </c>
      <c r="F228" s="74"/>
      <c r="G228" s="79"/>
      <c r="H228" s="79"/>
      <c r="I228" s="74" t="s">
        <v>1965</v>
      </c>
      <c r="J228" s="101">
        <f t="shared" si="63"/>
        <v>2.2000000000000002</v>
      </c>
      <c r="K228" s="101">
        <f t="shared" si="63"/>
        <v>2.4</v>
      </c>
      <c r="L228" s="101">
        <f t="shared" si="63"/>
        <v>2.5</v>
      </c>
      <c r="M228" s="101">
        <f t="shared" si="63"/>
        <v>4.5999999999999996</v>
      </c>
      <c r="N228" s="101">
        <f t="shared" si="63"/>
        <v>2.9</v>
      </c>
      <c r="O228" s="101">
        <f t="shared" si="63"/>
        <v>1.9000000000000001</v>
      </c>
      <c r="P228" s="101">
        <f t="shared" si="63"/>
        <v>0.79999999999999993</v>
      </c>
      <c r="Q228" s="101">
        <f t="shared" si="63"/>
        <v>2.2000000000000002</v>
      </c>
      <c r="R228" s="101">
        <f t="shared" si="63"/>
        <v>0</v>
      </c>
      <c r="S228" s="77"/>
      <c r="T228" s="101">
        <f t="shared" si="56"/>
        <v>3</v>
      </c>
      <c r="U228" s="101">
        <f t="shared" si="57"/>
        <v>22.5</v>
      </c>
      <c r="V228" s="102">
        <f t="shared" si="53"/>
        <v>1.125</v>
      </c>
      <c r="W228" s="103">
        <f t="shared" si="54"/>
        <v>1233750</v>
      </c>
      <c r="X228" s="104" t="s">
        <v>93</v>
      </c>
    </row>
    <row r="229" spans="1:24" s="75" customFormat="1" ht="12">
      <c r="A229" s="73">
        <f t="shared" si="55"/>
        <v>220</v>
      </c>
      <c r="B229" s="121" t="s">
        <v>1695</v>
      </c>
      <c r="C229" s="121" t="s">
        <v>1753</v>
      </c>
      <c r="D229" s="121" t="s">
        <v>1613</v>
      </c>
      <c r="E229" s="78" t="s">
        <v>1966</v>
      </c>
      <c r="F229" s="74"/>
      <c r="G229" s="79"/>
      <c r="H229" s="79"/>
      <c r="I229" s="74" t="s">
        <v>1965</v>
      </c>
      <c r="J229" s="101">
        <f t="shared" si="63"/>
        <v>2.2000000000000002</v>
      </c>
      <c r="K229" s="101">
        <f t="shared" si="63"/>
        <v>2.4</v>
      </c>
      <c r="L229" s="101">
        <f t="shared" si="63"/>
        <v>2.5</v>
      </c>
      <c r="M229" s="101">
        <f t="shared" si="63"/>
        <v>4.5999999999999996</v>
      </c>
      <c r="N229" s="101">
        <f t="shared" si="63"/>
        <v>2.9</v>
      </c>
      <c r="O229" s="101">
        <f t="shared" si="63"/>
        <v>1.9000000000000001</v>
      </c>
      <c r="P229" s="101">
        <f t="shared" si="63"/>
        <v>0.79999999999999993</v>
      </c>
      <c r="Q229" s="101">
        <f t="shared" si="63"/>
        <v>2.2000000000000002</v>
      </c>
      <c r="R229" s="101">
        <f t="shared" si="63"/>
        <v>0</v>
      </c>
      <c r="S229" s="77"/>
      <c r="T229" s="101">
        <f t="shared" si="56"/>
        <v>3</v>
      </c>
      <c r="U229" s="101">
        <f t="shared" si="57"/>
        <v>22.5</v>
      </c>
      <c r="V229" s="102">
        <f t="shared" si="53"/>
        <v>1.125</v>
      </c>
      <c r="W229" s="103">
        <f t="shared" si="54"/>
        <v>1233750</v>
      </c>
      <c r="X229" s="104" t="s">
        <v>93</v>
      </c>
    </row>
    <row r="230" spans="1:24" s="75" customFormat="1" ht="12">
      <c r="A230" s="73">
        <f t="shared" si="55"/>
        <v>221</v>
      </c>
      <c r="B230" s="121" t="s">
        <v>1695</v>
      </c>
      <c r="C230" s="121" t="s">
        <v>1755</v>
      </c>
      <c r="D230" s="121" t="s">
        <v>1613</v>
      </c>
      <c r="E230" s="78" t="s">
        <v>1966</v>
      </c>
      <c r="F230" s="74"/>
      <c r="G230" s="79"/>
      <c r="H230" s="79"/>
      <c r="I230" s="74" t="s">
        <v>1965</v>
      </c>
      <c r="J230" s="101">
        <f t="shared" si="63"/>
        <v>2.2000000000000002</v>
      </c>
      <c r="K230" s="101">
        <f t="shared" si="63"/>
        <v>2.4</v>
      </c>
      <c r="L230" s="101">
        <f t="shared" si="63"/>
        <v>2.5</v>
      </c>
      <c r="M230" s="101">
        <f t="shared" si="63"/>
        <v>4.5999999999999996</v>
      </c>
      <c r="N230" s="101">
        <f t="shared" si="63"/>
        <v>2.9</v>
      </c>
      <c r="O230" s="101">
        <f t="shared" si="63"/>
        <v>1.9000000000000001</v>
      </c>
      <c r="P230" s="101">
        <f t="shared" si="63"/>
        <v>0.79999999999999993</v>
      </c>
      <c r="Q230" s="101">
        <f t="shared" si="63"/>
        <v>2.2000000000000002</v>
      </c>
      <c r="R230" s="101">
        <f t="shared" si="63"/>
        <v>0</v>
      </c>
      <c r="S230" s="77"/>
      <c r="T230" s="101">
        <f t="shared" si="56"/>
        <v>3</v>
      </c>
      <c r="U230" s="101">
        <f t="shared" si="57"/>
        <v>22.5</v>
      </c>
      <c r="V230" s="102">
        <f t="shared" si="53"/>
        <v>1.125</v>
      </c>
      <c r="W230" s="103">
        <f t="shared" si="54"/>
        <v>1233750</v>
      </c>
      <c r="X230" s="104" t="s">
        <v>93</v>
      </c>
    </row>
    <row r="231" spans="1:24" s="75" customFormat="1" ht="12">
      <c r="A231" s="73">
        <f t="shared" si="55"/>
        <v>222</v>
      </c>
      <c r="B231" s="121" t="s">
        <v>1695</v>
      </c>
      <c r="C231" s="121" t="s">
        <v>1761</v>
      </c>
      <c r="D231" s="121" t="s">
        <v>1613</v>
      </c>
      <c r="E231" s="78" t="s">
        <v>1966</v>
      </c>
      <c r="F231" s="74"/>
      <c r="G231" s="79"/>
      <c r="H231" s="79"/>
      <c r="I231" s="74" t="s">
        <v>1965</v>
      </c>
      <c r="J231" s="101">
        <f t="shared" si="63"/>
        <v>2.2000000000000002</v>
      </c>
      <c r="K231" s="101">
        <f t="shared" si="63"/>
        <v>2.4</v>
      </c>
      <c r="L231" s="101">
        <f t="shared" si="63"/>
        <v>2.5</v>
      </c>
      <c r="M231" s="101">
        <f t="shared" ref="J231:R259" si="64">ROUNDUP(IF($E231="画面",画面係数,IF($E231="帳票",帳票係数,IF($E231="バッチ",バッチ係数,0))) *
 IF($I231="特高",特高係数,IF($I231="高",高係数,IF($I231="中",中係数,IF($I231="低",低係数,IF($I231="特低",特低係数,0))))) *
 IF(M$7="SA",要件定義係数,IF(M$7="UI",基本設計係数,IF(M$7="SS",詳細設計係数,IF(M$7="PS/PG/PT",製作係数,IF(M$7="IT",結合テスト係数,IF(M$7="ST",総合テスト係数,IF(M$7="OT",受入支援係数,IF(M$7="RL",移行切替係数,IF(M$7="その他",その他係数,0))))))))) *
 M$8,1)</f>
        <v>4.5999999999999996</v>
      </c>
      <c r="N231" s="101">
        <f t="shared" si="64"/>
        <v>2.9</v>
      </c>
      <c r="O231" s="101">
        <f t="shared" si="64"/>
        <v>1.9000000000000001</v>
      </c>
      <c r="P231" s="101">
        <f t="shared" si="64"/>
        <v>0.79999999999999993</v>
      </c>
      <c r="Q231" s="101">
        <f t="shared" si="64"/>
        <v>2.2000000000000002</v>
      </c>
      <c r="R231" s="101">
        <f t="shared" si="64"/>
        <v>0</v>
      </c>
      <c r="S231" s="77"/>
      <c r="T231" s="101">
        <f t="shared" si="56"/>
        <v>3</v>
      </c>
      <c r="U231" s="101">
        <f t="shared" si="57"/>
        <v>22.5</v>
      </c>
      <c r="V231" s="102">
        <f t="shared" si="53"/>
        <v>1.125</v>
      </c>
      <c r="W231" s="103">
        <f t="shared" si="54"/>
        <v>1233750</v>
      </c>
      <c r="X231" s="104" t="s">
        <v>93</v>
      </c>
    </row>
    <row r="232" spans="1:24" s="75" customFormat="1" ht="12">
      <c r="A232" s="73">
        <f t="shared" si="55"/>
        <v>223</v>
      </c>
      <c r="B232" s="121" t="s">
        <v>1695</v>
      </c>
      <c r="C232" s="121" t="s">
        <v>1764</v>
      </c>
      <c r="D232" s="121" t="s">
        <v>1613</v>
      </c>
      <c r="E232" s="78" t="s">
        <v>1966</v>
      </c>
      <c r="F232" s="74"/>
      <c r="G232" s="79"/>
      <c r="H232" s="79"/>
      <c r="I232" s="74" t="s">
        <v>1965</v>
      </c>
      <c r="J232" s="101">
        <f t="shared" si="64"/>
        <v>2.2000000000000002</v>
      </c>
      <c r="K232" s="101">
        <f t="shared" si="64"/>
        <v>2.4</v>
      </c>
      <c r="L232" s="101">
        <f t="shared" si="64"/>
        <v>2.5</v>
      </c>
      <c r="M232" s="101">
        <f t="shared" si="64"/>
        <v>4.5999999999999996</v>
      </c>
      <c r="N232" s="101">
        <f t="shared" si="64"/>
        <v>2.9</v>
      </c>
      <c r="O232" s="101">
        <f t="shared" si="64"/>
        <v>1.9000000000000001</v>
      </c>
      <c r="P232" s="101">
        <f t="shared" si="64"/>
        <v>0.79999999999999993</v>
      </c>
      <c r="Q232" s="101">
        <f t="shared" si="64"/>
        <v>2.2000000000000002</v>
      </c>
      <c r="R232" s="101">
        <f t="shared" si="64"/>
        <v>0</v>
      </c>
      <c r="S232" s="77"/>
      <c r="T232" s="101">
        <f t="shared" si="56"/>
        <v>3</v>
      </c>
      <c r="U232" s="101">
        <f t="shared" si="57"/>
        <v>22.5</v>
      </c>
      <c r="V232" s="102">
        <f t="shared" si="53"/>
        <v>1.125</v>
      </c>
      <c r="W232" s="103">
        <f t="shared" si="54"/>
        <v>1233750</v>
      </c>
      <c r="X232" s="104" t="s">
        <v>93</v>
      </c>
    </row>
    <row r="233" spans="1:24" s="75" customFormat="1" ht="12">
      <c r="A233" s="73">
        <f t="shared" si="55"/>
        <v>224</v>
      </c>
      <c r="B233" s="121" t="s">
        <v>1695</v>
      </c>
      <c r="C233" s="121" t="s">
        <v>1766</v>
      </c>
      <c r="D233" s="121" t="s">
        <v>1613</v>
      </c>
      <c r="E233" s="78" t="s">
        <v>1966</v>
      </c>
      <c r="F233" s="74"/>
      <c r="G233" s="79"/>
      <c r="H233" s="79"/>
      <c r="I233" s="74" t="s">
        <v>1965</v>
      </c>
      <c r="J233" s="101">
        <f t="shared" si="64"/>
        <v>2.2000000000000002</v>
      </c>
      <c r="K233" s="101">
        <f t="shared" si="64"/>
        <v>2.4</v>
      </c>
      <c r="L233" s="101">
        <f t="shared" si="64"/>
        <v>2.5</v>
      </c>
      <c r="M233" s="101">
        <f t="shared" si="64"/>
        <v>4.5999999999999996</v>
      </c>
      <c r="N233" s="101">
        <f t="shared" si="64"/>
        <v>2.9</v>
      </c>
      <c r="O233" s="101">
        <f t="shared" si="64"/>
        <v>1.9000000000000001</v>
      </c>
      <c r="P233" s="101">
        <f t="shared" si="64"/>
        <v>0.79999999999999993</v>
      </c>
      <c r="Q233" s="101">
        <f t="shared" si="64"/>
        <v>2.2000000000000002</v>
      </c>
      <c r="R233" s="101">
        <f t="shared" si="64"/>
        <v>0</v>
      </c>
      <c r="S233" s="77"/>
      <c r="T233" s="101">
        <f t="shared" si="56"/>
        <v>3</v>
      </c>
      <c r="U233" s="101">
        <f t="shared" si="57"/>
        <v>22.5</v>
      </c>
      <c r="V233" s="102">
        <f t="shared" si="53"/>
        <v>1.125</v>
      </c>
      <c r="W233" s="103">
        <f t="shared" si="54"/>
        <v>1233750</v>
      </c>
      <c r="X233" s="104" t="s">
        <v>93</v>
      </c>
    </row>
    <row r="234" spans="1:24" s="75" customFormat="1" ht="12">
      <c r="A234" s="73">
        <f t="shared" si="55"/>
        <v>225</v>
      </c>
      <c r="B234" s="121" t="s">
        <v>1695</v>
      </c>
      <c r="C234" s="121" t="s">
        <v>1768</v>
      </c>
      <c r="D234" s="121" t="s">
        <v>1613</v>
      </c>
      <c r="E234" s="78" t="s">
        <v>1966</v>
      </c>
      <c r="F234" s="74"/>
      <c r="G234" s="79"/>
      <c r="H234" s="79"/>
      <c r="I234" s="74" t="s">
        <v>1965</v>
      </c>
      <c r="J234" s="101">
        <f t="shared" si="64"/>
        <v>2.2000000000000002</v>
      </c>
      <c r="K234" s="101">
        <f t="shared" si="64"/>
        <v>2.4</v>
      </c>
      <c r="L234" s="101">
        <f t="shared" si="64"/>
        <v>2.5</v>
      </c>
      <c r="M234" s="101">
        <f t="shared" si="64"/>
        <v>4.5999999999999996</v>
      </c>
      <c r="N234" s="101">
        <f t="shared" si="64"/>
        <v>2.9</v>
      </c>
      <c r="O234" s="101">
        <f t="shared" si="64"/>
        <v>1.9000000000000001</v>
      </c>
      <c r="P234" s="101">
        <f t="shared" si="64"/>
        <v>0.79999999999999993</v>
      </c>
      <c r="Q234" s="101">
        <f t="shared" si="64"/>
        <v>2.2000000000000002</v>
      </c>
      <c r="R234" s="101">
        <f t="shared" si="64"/>
        <v>0</v>
      </c>
      <c r="S234" s="77"/>
      <c r="T234" s="101">
        <f t="shared" si="56"/>
        <v>3</v>
      </c>
      <c r="U234" s="101">
        <f t="shared" si="57"/>
        <v>22.5</v>
      </c>
      <c r="V234" s="102">
        <f t="shared" si="53"/>
        <v>1.125</v>
      </c>
      <c r="W234" s="103">
        <f t="shared" si="54"/>
        <v>1233750</v>
      </c>
      <c r="X234" s="104" t="s">
        <v>93</v>
      </c>
    </row>
    <row r="235" spans="1:24" s="75" customFormat="1" ht="12">
      <c r="A235" s="73">
        <f t="shared" si="55"/>
        <v>226</v>
      </c>
      <c r="B235" s="121" t="s">
        <v>1695</v>
      </c>
      <c r="C235" s="121" t="s">
        <v>1778</v>
      </c>
      <c r="D235" s="121" t="s">
        <v>1613</v>
      </c>
      <c r="E235" s="78" t="s">
        <v>1966</v>
      </c>
      <c r="F235" s="74"/>
      <c r="G235" s="79"/>
      <c r="H235" s="79"/>
      <c r="I235" s="74" t="s">
        <v>1965</v>
      </c>
      <c r="J235" s="101">
        <f t="shared" si="64"/>
        <v>2.2000000000000002</v>
      </c>
      <c r="K235" s="101">
        <f t="shared" si="64"/>
        <v>2.4</v>
      </c>
      <c r="L235" s="101">
        <f t="shared" si="64"/>
        <v>2.5</v>
      </c>
      <c r="M235" s="101">
        <f t="shared" si="64"/>
        <v>4.5999999999999996</v>
      </c>
      <c r="N235" s="101">
        <f t="shared" si="64"/>
        <v>2.9</v>
      </c>
      <c r="O235" s="101">
        <f t="shared" si="64"/>
        <v>1.9000000000000001</v>
      </c>
      <c r="P235" s="101">
        <f t="shared" si="64"/>
        <v>0.79999999999999993</v>
      </c>
      <c r="Q235" s="101">
        <f t="shared" si="64"/>
        <v>2.2000000000000002</v>
      </c>
      <c r="R235" s="101">
        <f t="shared" si="64"/>
        <v>0</v>
      </c>
      <c r="S235" s="77"/>
      <c r="T235" s="101">
        <f t="shared" si="56"/>
        <v>3</v>
      </c>
      <c r="U235" s="101">
        <f t="shared" si="57"/>
        <v>22.5</v>
      </c>
      <c r="V235" s="102">
        <f t="shared" si="53"/>
        <v>1.125</v>
      </c>
      <c r="W235" s="103">
        <f t="shared" si="54"/>
        <v>1233750</v>
      </c>
      <c r="X235" s="104" t="s">
        <v>93</v>
      </c>
    </row>
    <row r="236" spans="1:24" s="75" customFormat="1" ht="12">
      <c r="A236" s="73">
        <f t="shared" si="55"/>
        <v>227</v>
      </c>
      <c r="B236" s="121" t="s">
        <v>1695</v>
      </c>
      <c r="C236" s="121" t="s">
        <v>1780</v>
      </c>
      <c r="D236" s="121" t="s">
        <v>1613</v>
      </c>
      <c r="E236" s="78" t="s">
        <v>1966</v>
      </c>
      <c r="F236" s="74"/>
      <c r="G236" s="79"/>
      <c r="H236" s="79"/>
      <c r="I236" s="74" t="s">
        <v>1965</v>
      </c>
      <c r="J236" s="101">
        <f t="shared" si="64"/>
        <v>2.2000000000000002</v>
      </c>
      <c r="K236" s="101">
        <f t="shared" si="64"/>
        <v>2.4</v>
      </c>
      <c r="L236" s="101">
        <f t="shared" si="64"/>
        <v>2.5</v>
      </c>
      <c r="M236" s="101">
        <f t="shared" si="64"/>
        <v>4.5999999999999996</v>
      </c>
      <c r="N236" s="101">
        <f t="shared" si="64"/>
        <v>2.9</v>
      </c>
      <c r="O236" s="101">
        <f t="shared" si="64"/>
        <v>1.9000000000000001</v>
      </c>
      <c r="P236" s="101">
        <f t="shared" si="64"/>
        <v>0.79999999999999993</v>
      </c>
      <c r="Q236" s="101">
        <f t="shared" si="64"/>
        <v>2.2000000000000002</v>
      </c>
      <c r="R236" s="101">
        <f t="shared" si="64"/>
        <v>0</v>
      </c>
      <c r="S236" s="77"/>
      <c r="T236" s="101">
        <f t="shared" si="56"/>
        <v>3</v>
      </c>
      <c r="U236" s="101">
        <f t="shared" si="57"/>
        <v>22.5</v>
      </c>
      <c r="V236" s="102">
        <f t="shared" si="53"/>
        <v>1.125</v>
      </c>
      <c r="W236" s="103">
        <f t="shared" si="54"/>
        <v>1233750</v>
      </c>
      <c r="X236" s="104" t="s">
        <v>93</v>
      </c>
    </row>
    <row r="237" spans="1:24" s="75" customFormat="1" ht="12">
      <c r="A237" s="73">
        <f t="shared" si="55"/>
        <v>228</v>
      </c>
      <c r="B237" s="121" t="s">
        <v>1695</v>
      </c>
      <c r="C237" s="121" t="s">
        <v>1787</v>
      </c>
      <c r="D237" s="121" t="s">
        <v>1688</v>
      </c>
      <c r="E237" s="78" t="s">
        <v>1966</v>
      </c>
      <c r="F237" s="74"/>
      <c r="G237" s="79"/>
      <c r="H237" s="79"/>
      <c r="I237" s="74" t="s">
        <v>1965</v>
      </c>
      <c r="J237" s="101">
        <f t="shared" si="64"/>
        <v>2.2000000000000002</v>
      </c>
      <c r="K237" s="101">
        <f t="shared" si="64"/>
        <v>2.4</v>
      </c>
      <c r="L237" s="101">
        <f t="shared" si="64"/>
        <v>2.5</v>
      </c>
      <c r="M237" s="101">
        <f t="shared" si="64"/>
        <v>4.5999999999999996</v>
      </c>
      <c r="N237" s="101">
        <f t="shared" si="64"/>
        <v>2.9</v>
      </c>
      <c r="O237" s="101">
        <f t="shared" si="64"/>
        <v>1.9000000000000001</v>
      </c>
      <c r="P237" s="101">
        <f t="shared" si="64"/>
        <v>0.79999999999999993</v>
      </c>
      <c r="Q237" s="101">
        <f t="shared" si="64"/>
        <v>2.2000000000000002</v>
      </c>
      <c r="R237" s="101">
        <f t="shared" si="64"/>
        <v>0</v>
      </c>
      <c r="S237" s="77"/>
      <c r="T237" s="101">
        <f t="shared" si="56"/>
        <v>3</v>
      </c>
      <c r="U237" s="101">
        <f t="shared" si="57"/>
        <v>22.5</v>
      </c>
      <c r="V237" s="102">
        <f t="shared" si="53"/>
        <v>1.125</v>
      </c>
      <c r="W237" s="103">
        <f t="shared" si="54"/>
        <v>1233750</v>
      </c>
      <c r="X237" s="104" t="s">
        <v>93</v>
      </c>
    </row>
    <row r="238" spans="1:24" s="75" customFormat="1" ht="12">
      <c r="A238" s="73">
        <f t="shared" si="55"/>
        <v>229</v>
      </c>
      <c r="B238" s="121" t="s">
        <v>1695</v>
      </c>
      <c r="C238" s="121" t="s">
        <v>1789</v>
      </c>
      <c r="D238" s="121" t="s">
        <v>1688</v>
      </c>
      <c r="E238" s="78" t="s">
        <v>1966</v>
      </c>
      <c r="F238" s="74"/>
      <c r="G238" s="79"/>
      <c r="H238" s="79"/>
      <c r="I238" s="74" t="s">
        <v>1965</v>
      </c>
      <c r="J238" s="101">
        <f t="shared" si="64"/>
        <v>2.2000000000000002</v>
      </c>
      <c r="K238" s="101">
        <f t="shared" si="64"/>
        <v>2.4</v>
      </c>
      <c r="L238" s="101">
        <f t="shared" si="64"/>
        <v>2.5</v>
      </c>
      <c r="M238" s="101">
        <f t="shared" si="64"/>
        <v>4.5999999999999996</v>
      </c>
      <c r="N238" s="101">
        <f t="shared" si="64"/>
        <v>2.9</v>
      </c>
      <c r="O238" s="101">
        <f t="shared" si="64"/>
        <v>1.9000000000000001</v>
      </c>
      <c r="P238" s="101">
        <f t="shared" si="64"/>
        <v>0.79999999999999993</v>
      </c>
      <c r="Q238" s="101">
        <f t="shared" si="64"/>
        <v>2.2000000000000002</v>
      </c>
      <c r="R238" s="101">
        <f t="shared" si="64"/>
        <v>0</v>
      </c>
      <c r="S238" s="77"/>
      <c r="T238" s="101">
        <f t="shared" si="56"/>
        <v>3</v>
      </c>
      <c r="U238" s="101">
        <f t="shared" si="57"/>
        <v>22.5</v>
      </c>
      <c r="V238" s="102">
        <f t="shared" si="53"/>
        <v>1.125</v>
      </c>
      <c r="W238" s="103">
        <f t="shared" si="54"/>
        <v>1233750</v>
      </c>
      <c r="X238" s="104" t="s">
        <v>93</v>
      </c>
    </row>
    <row r="239" spans="1:24" s="75" customFormat="1" ht="12">
      <c r="A239" s="73">
        <f t="shared" si="55"/>
        <v>230</v>
      </c>
      <c r="B239" s="121" t="s">
        <v>1695</v>
      </c>
      <c r="C239" s="121" t="s">
        <v>1791</v>
      </c>
      <c r="D239" s="121" t="s">
        <v>1613</v>
      </c>
      <c r="E239" s="78" t="s">
        <v>1966</v>
      </c>
      <c r="F239" s="74"/>
      <c r="G239" s="79"/>
      <c r="H239" s="79"/>
      <c r="I239" s="74" t="s">
        <v>1965</v>
      </c>
      <c r="J239" s="101">
        <f t="shared" si="64"/>
        <v>2.2000000000000002</v>
      </c>
      <c r="K239" s="101">
        <f t="shared" si="64"/>
        <v>2.4</v>
      </c>
      <c r="L239" s="101">
        <f t="shared" si="64"/>
        <v>2.5</v>
      </c>
      <c r="M239" s="101">
        <f t="shared" si="64"/>
        <v>4.5999999999999996</v>
      </c>
      <c r="N239" s="101">
        <f t="shared" si="64"/>
        <v>2.9</v>
      </c>
      <c r="O239" s="101">
        <f t="shared" si="64"/>
        <v>1.9000000000000001</v>
      </c>
      <c r="P239" s="101">
        <f t="shared" si="64"/>
        <v>0.79999999999999993</v>
      </c>
      <c r="Q239" s="101">
        <f t="shared" si="64"/>
        <v>2.2000000000000002</v>
      </c>
      <c r="R239" s="101">
        <f t="shared" si="64"/>
        <v>0</v>
      </c>
      <c r="S239" s="77"/>
      <c r="T239" s="101">
        <f t="shared" si="56"/>
        <v>3</v>
      </c>
      <c r="U239" s="101">
        <f t="shared" si="57"/>
        <v>22.5</v>
      </c>
      <c r="V239" s="102">
        <f t="shared" si="53"/>
        <v>1.125</v>
      </c>
      <c r="W239" s="103">
        <f t="shared" si="54"/>
        <v>1233750</v>
      </c>
      <c r="X239" s="104" t="s">
        <v>93</v>
      </c>
    </row>
    <row r="240" spans="1:24" s="75" customFormat="1" ht="12">
      <c r="A240" s="73">
        <f t="shared" si="55"/>
        <v>231</v>
      </c>
      <c r="B240" s="121" t="s">
        <v>1695</v>
      </c>
      <c r="C240" s="121" t="s">
        <v>1793</v>
      </c>
      <c r="D240" s="121" t="s">
        <v>1716</v>
      </c>
      <c r="E240" s="78" t="s">
        <v>1966</v>
      </c>
      <c r="F240" s="74"/>
      <c r="G240" s="79"/>
      <c r="H240" s="79"/>
      <c r="I240" s="74" t="s">
        <v>1965</v>
      </c>
      <c r="J240" s="101">
        <f t="shared" si="64"/>
        <v>2.2000000000000002</v>
      </c>
      <c r="K240" s="101">
        <f t="shared" si="64"/>
        <v>2.4</v>
      </c>
      <c r="L240" s="101">
        <f t="shared" si="64"/>
        <v>2.5</v>
      </c>
      <c r="M240" s="101">
        <f t="shared" si="64"/>
        <v>4.5999999999999996</v>
      </c>
      <c r="N240" s="101">
        <f t="shared" si="64"/>
        <v>2.9</v>
      </c>
      <c r="O240" s="101">
        <f t="shared" si="64"/>
        <v>1.9000000000000001</v>
      </c>
      <c r="P240" s="101">
        <f t="shared" si="64"/>
        <v>0.79999999999999993</v>
      </c>
      <c r="Q240" s="101">
        <f t="shared" si="64"/>
        <v>2.2000000000000002</v>
      </c>
      <c r="R240" s="101">
        <f t="shared" si="64"/>
        <v>0</v>
      </c>
      <c r="S240" s="77"/>
      <c r="T240" s="101">
        <f t="shared" si="56"/>
        <v>3</v>
      </c>
      <c r="U240" s="101">
        <f t="shared" si="57"/>
        <v>22.5</v>
      </c>
      <c r="V240" s="102">
        <f t="shared" si="53"/>
        <v>1.125</v>
      </c>
      <c r="W240" s="103">
        <f t="shared" si="54"/>
        <v>1233750</v>
      </c>
      <c r="X240" s="104" t="s">
        <v>93</v>
      </c>
    </row>
    <row r="241" spans="1:24" s="75" customFormat="1" ht="12">
      <c r="A241" s="73">
        <f t="shared" si="55"/>
        <v>232</v>
      </c>
      <c r="B241" s="121" t="s">
        <v>1695</v>
      </c>
      <c r="C241" s="121" t="s">
        <v>1795</v>
      </c>
      <c r="D241" s="121" t="s">
        <v>1716</v>
      </c>
      <c r="E241" s="78" t="s">
        <v>1966</v>
      </c>
      <c r="F241" s="74"/>
      <c r="G241" s="79"/>
      <c r="H241" s="79"/>
      <c r="I241" s="74" t="s">
        <v>1965</v>
      </c>
      <c r="J241" s="101">
        <f t="shared" si="64"/>
        <v>2.2000000000000002</v>
      </c>
      <c r="K241" s="101">
        <f t="shared" si="64"/>
        <v>2.4</v>
      </c>
      <c r="L241" s="101">
        <f t="shared" si="64"/>
        <v>2.5</v>
      </c>
      <c r="M241" s="101">
        <f t="shared" si="64"/>
        <v>4.5999999999999996</v>
      </c>
      <c r="N241" s="101">
        <f t="shared" si="64"/>
        <v>2.9</v>
      </c>
      <c r="O241" s="101">
        <f t="shared" si="64"/>
        <v>1.9000000000000001</v>
      </c>
      <c r="P241" s="101">
        <f t="shared" si="64"/>
        <v>0.79999999999999993</v>
      </c>
      <c r="Q241" s="101">
        <f t="shared" si="64"/>
        <v>2.2000000000000002</v>
      </c>
      <c r="R241" s="101">
        <f t="shared" si="64"/>
        <v>0</v>
      </c>
      <c r="S241" s="77"/>
      <c r="T241" s="101">
        <f t="shared" si="56"/>
        <v>3</v>
      </c>
      <c r="U241" s="101">
        <f t="shared" si="57"/>
        <v>22.5</v>
      </c>
      <c r="V241" s="102">
        <f t="shared" si="53"/>
        <v>1.125</v>
      </c>
      <c r="W241" s="103">
        <f t="shared" si="54"/>
        <v>1233750</v>
      </c>
      <c r="X241" s="104" t="s">
        <v>93</v>
      </c>
    </row>
    <row r="242" spans="1:24" s="75" customFormat="1" ht="12">
      <c r="A242" s="73">
        <f t="shared" si="55"/>
        <v>233</v>
      </c>
      <c r="B242" s="121" t="s">
        <v>1695</v>
      </c>
      <c r="C242" s="121" t="s">
        <v>1797</v>
      </c>
      <c r="D242" s="121" t="s">
        <v>1716</v>
      </c>
      <c r="E242" s="78" t="s">
        <v>1966</v>
      </c>
      <c r="F242" s="74"/>
      <c r="G242" s="79"/>
      <c r="H242" s="79"/>
      <c r="I242" s="74" t="s">
        <v>1965</v>
      </c>
      <c r="J242" s="101">
        <f t="shared" si="64"/>
        <v>2.2000000000000002</v>
      </c>
      <c r="K242" s="101">
        <f t="shared" si="64"/>
        <v>2.4</v>
      </c>
      <c r="L242" s="101">
        <f t="shared" si="64"/>
        <v>2.5</v>
      </c>
      <c r="M242" s="101">
        <f t="shared" si="64"/>
        <v>4.5999999999999996</v>
      </c>
      <c r="N242" s="101">
        <f t="shared" si="64"/>
        <v>2.9</v>
      </c>
      <c r="O242" s="101">
        <f t="shared" si="64"/>
        <v>1.9000000000000001</v>
      </c>
      <c r="P242" s="101">
        <f t="shared" si="64"/>
        <v>0.79999999999999993</v>
      </c>
      <c r="Q242" s="101">
        <f t="shared" si="64"/>
        <v>2.2000000000000002</v>
      </c>
      <c r="R242" s="101">
        <f t="shared" si="64"/>
        <v>0</v>
      </c>
      <c r="S242" s="77"/>
      <c r="T242" s="101">
        <f t="shared" si="56"/>
        <v>3</v>
      </c>
      <c r="U242" s="101">
        <f t="shared" si="57"/>
        <v>22.5</v>
      </c>
      <c r="V242" s="102">
        <f t="shared" si="53"/>
        <v>1.125</v>
      </c>
      <c r="W242" s="103">
        <f t="shared" si="54"/>
        <v>1233750</v>
      </c>
      <c r="X242" s="104" t="s">
        <v>93</v>
      </c>
    </row>
    <row r="243" spans="1:24" s="75" customFormat="1" ht="12">
      <c r="A243" s="73">
        <f t="shared" si="55"/>
        <v>234</v>
      </c>
      <c r="B243" s="121" t="s">
        <v>1695</v>
      </c>
      <c r="C243" s="121" t="s">
        <v>1799</v>
      </c>
      <c r="D243" s="121" t="s">
        <v>1800</v>
      </c>
      <c r="E243" s="78" t="s">
        <v>1966</v>
      </c>
      <c r="F243" s="74"/>
      <c r="G243" s="79"/>
      <c r="H243" s="79"/>
      <c r="I243" s="74" t="s">
        <v>1965</v>
      </c>
      <c r="J243" s="101">
        <f t="shared" si="64"/>
        <v>2.2000000000000002</v>
      </c>
      <c r="K243" s="101">
        <f t="shared" si="64"/>
        <v>2.4</v>
      </c>
      <c r="L243" s="101">
        <f t="shared" si="64"/>
        <v>2.5</v>
      </c>
      <c r="M243" s="101">
        <f t="shared" si="64"/>
        <v>4.5999999999999996</v>
      </c>
      <c r="N243" s="101">
        <f t="shared" si="64"/>
        <v>2.9</v>
      </c>
      <c r="O243" s="101">
        <f t="shared" si="64"/>
        <v>1.9000000000000001</v>
      </c>
      <c r="P243" s="101">
        <f t="shared" si="64"/>
        <v>0.79999999999999993</v>
      </c>
      <c r="Q243" s="101">
        <f t="shared" si="64"/>
        <v>2.2000000000000002</v>
      </c>
      <c r="R243" s="101">
        <f t="shared" si="64"/>
        <v>0</v>
      </c>
      <c r="S243" s="77"/>
      <c r="T243" s="101">
        <f t="shared" si="56"/>
        <v>3</v>
      </c>
      <c r="U243" s="101">
        <f t="shared" si="57"/>
        <v>22.5</v>
      </c>
      <c r="V243" s="102">
        <f t="shared" si="53"/>
        <v>1.125</v>
      </c>
      <c r="W243" s="103">
        <f t="shared" si="54"/>
        <v>1233750</v>
      </c>
      <c r="X243" s="104" t="s">
        <v>93</v>
      </c>
    </row>
    <row r="244" spans="1:24" s="75" customFormat="1" ht="12">
      <c r="A244" s="73">
        <f t="shared" si="55"/>
        <v>235</v>
      </c>
      <c r="B244" s="121" t="s">
        <v>503</v>
      </c>
      <c r="C244" s="120" t="s">
        <v>1654</v>
      </c>
      <c r="D244" s="121" t="s">
        <v>1655</v>
      </c>
      <c r="E244" s="78" t="s">
        <v>1966</v>
      </c>
      <c r="F244" s="74"/>
      <c r="G244" s="79"/>
      <c r="H244" s="79"/>
      <c r="I244" s="74" t="s">
        <v>1962</v>
      </c>
      <c r="J244" s="101">
        <f t="shared" si="64"/>
        <v>1.6</v>
      </c>
      <c r="K244" s="101">
        <f t="shared" si="64"/>
        <v>1.8</v>
      </c>
      <c r="L244" s="101">
        <f t="shared" si="64"/>
        <v>1.8</v>
      </c>
      <c r="M244" s="101">
        <f t="shared" si="64"/>
        <v>3.3000000000000003</v>
      </c>
      <c r="N244" s="101">
        <f t="shared" si="64"/>
        <v>2.1</v>
      </c>
      <c r="O244" s="101">
        <f t="shared" si="64"/>
        <v>1.4000000000000001</v>
      </c>
      <c r="P244" s="101">
        <f t="shared" si="64"/>
        <v>0.6</v>
      </c>
      <c r="Q244" s="101">
        <f t="shared" si="64"/>
        <v>1.6</v>
      </c>
      <c r="R244" s="101">
        <f t="shared" si="64"/>
        <v>0</v>
      </c>
      <c r="S244" s="77"/>
      <c r="T244" s="101">
        <f t="shared" si="56"/>
        <v>2.2000000000000002</v>
      </c>
      <c r="U244" s="101">
        <f t="shared" si="57"/>
        <v>16.399999999999999</v>
      </c>
      <c r="V244" s="102">
        <f t="shared" si="53"/>
        <v>0.82</v>
      </c>
      <c r="W244" s="103">
        <f t="shared" si="54"/>
        <v>899500</v>
      </c>
      <c r="X244" s="104" t="s">
        <v>93</v>
      </c>
    </row>
    <row r="245" spans="1:24" s="75" customFormat="1" ht="12">
      <c r="A245" s="73">
        <f t="shared" si="55"/>
        <v>236</v>
      </c>
      <c r="B245" s="121" t="s">
        <v>503</v>
      </c>
      <c r="C245" s="122" t="s">
        <v>1672</v>
      </c>
      <c r="D245" s="121" t="s">
        <v>1655</v>
      </c>
      <c r="E245" s="78" t="s">
        <v>1966</v>
      </c>
      <c r="F245" s="74"/>
      <c r="G245" s="79"/>
      <c r="H245" s="79"/>
      <c r="I245" s="74" t="s">
        <v>1962</v>
      </c>
      <c r="J245" s="101">
        <f t="shared" si="64"/>
        <v>1.6</v>
      </c>
      <c r="K245" s="101">
        <f t="shared" si="64"/>
        <v>1.8</v>
      </c>
      <c r="L245" s="101">
        <f t="shared" si="64"/>
        <v>1.8</v>
      </c>
      <c r="M245" s="101">
        <f t="shared" si="64"/>
        <v>3.3000000000000003</v>
      </c>
      <c r="N245" s="101">
        <f t="shared" si="64"/>
        <v>2.1</v>
      </c>
      <c r="O245" s="101">
        <f t="shared" si="64"/>
        <v>1.4000000000000001</v>
      </c>
      <c r="P245" s="101">
        <f t="shared" si="64"/>
        <v>0.6</v>
      </c>
      <c r="Q245" s="101">
        <f t="shared" si="64"/>
        <v>1.6</v>
      </c>
      <c r="R245" s="101">
        <f t="shared" si="64"/>
        <v>0</v>
      </c>
      <c r="S245" s="77"/>
      <c r="T245" s="101">
        <f t="shared" si="56"/>
        <v>2.2000000000000002</v>
      </c>
      <c r="U245" s="101">
        <f t="shared" si="57"/>
        <v>16.399999999999999</v>
      </c>
      <c r="V245" s="102">
        <f t="shared" ref="V245:V314" si="65">U245/20</f>
        <v>0.82</v>
      </c>
      <c r="W245" s="103">
        <f t="shared" ref="W245:W314" si="66">((J245*J$9) + (K245*K$9) + (L245*L$9) + (M245*M$9) + (N245*N$9) + (O245*O$9) + (P245*P$9) + (Q245*Q$9) + (R245*R$9) + (S245*S$9) + (T245*T$9))/20</f>
        <v>899500</v>
      </c>
      <c r="X245" s="104" t="s">
        <v>93</v>
      </c>
    </row>
    <row r="246" spans="1:24" s="75" customFormat="1" ht="12">
      <c r="A246" s="73">
        <f t="shared" ref="A246:A315" si="67">ROW()-9</f>
        <v>237</v>
      </c>
      <c r="B246" s="121" t="s">
        <v>503</v>
      </c>
      <c r="C246" s="121" t="s">
        <v>1687</v>
      </c>
      <c r="D246" s="121" t="s">
        <v>1688</v>
      </c>
      <c r="E246" s="78" t="s">
        <v>1966</v>
      </c>
      <c r="F246" s="74"/>
      <c r="G246" s="79"/>
      <c r="H246" s="79"/>
      <c r="I246" s="74" t="s">
        <v>1962</v>
      </c>
      <c r="J246" s="101">
        <f t="shared" si="64"/>
        <v>1.6</v>
      </c>
      <c r="K246" s="101">
        <f t="shared" si="64"/>
        <v>1.8</v>
      </c>
      <c r="L246" s="101">
        <f t="shared" si="64"/>
        <v>1.8</v>
      </c>
      <c r="M246" s="101">
        <f t="shared" si="64"/>
        <v>3.3000000000000003</v>
      </c>
      <c r="N246" s="101">
        <f t="shared" si="64"/>
        <v>2.1</v>
      </c>
      <c r="O246" s="101">
        <f t="shared" si="64"/>
        <v>1.4000000000000001</v>
      </c>
      <c r="P246" s="101">
        <f t="shared" si="64"/>
        <v>0.6</v>
      </c>
      <c r="Q246" s="101">
        <f t="shared" si="64"/>
        <v>1.6</v>
      </c>
      <c r="R246" s="101">
        <f t="shared" si="64"/>
        <v>0</v>
      </c>
      <c r="S246" s="77"/>
      <c r="T246" s="101">
        <f t="shared" ref="T246:T315" si="68">ROUNDUP(SUM(J246:S246)*T$8,1)</f>
        <v>2.2000000000000002</v>
      </c>
      <c r="U246" s="101">
        <f t="shared" ref="U246:U315" si="69">SUM(J246:T246)</f>
        <v>16.399999999999999</v>
      </c>
      <c r="V246" s="102">
        <f t="shared" si="65"/>
        <v>0.82</v>
      </c>
      <c r="W246" s="103">
        <f t="shared" si="66"/>
        <v>899500</v>
      </c>
      <c r="X246" s="104" t="s">
        <v>93</v>
      </c>
    </row>
    <row r="247" spans="1:24" s="75" customFormat="1" ht="12">
      <c r="A247" s="73">
        <f t="shared" si="67"/>
        <v>238</v>
      </c>
      <c r="B247" s="121" t="s">
        <v>503</v>
      </c>
      <c r="C247" s="121" t="s">
        <v>1690</v>
      </c>
      <c r="D247" s="121" t="s">
        <v>1688</v>
      </c>
      <c r="E247" s="78" t="s">
        <v>1966</v>
      </c>
      <c r="F247" s="74"/>
      <c r="G247" s="79"/>
      <c r="H247" s="79"/>
      <c r="I247" s="74" t="s">
        <v>1962</v>
      </c>
      <c r="J247" s="101">
        <f t="shared" si="64"/>
        <v>1.6</v>
      </c>
      <c r="K247" s="101">
        <f t="shared" si="64"/>
        <v>1.8</v>
      </c>
      <c r="L247" s="101">
        <f t="shared" si="64"/>
        <v>1.8</v>
      </c>
      <c r="M247" s="101">
        <f t="shared" si="64"/>
        <v>3.3000000000000003</v>
      </c>
      <c r="N247" s="101">
        <f t="shared" si="64"/>
        <v>2.1</v>
      </c>
      <c r="O247" s="101">
        <f t="shared" si="64"/>
        <v>1.4000000000000001</v>
      </c>
      <c r="P247" s="101">
        <f t="shared" si="64"/>
        <v>0.6</v>
      </c>
      <c r="Q247" s="101">
        <f t="shared" si="64"/>
        <v>1.6</v>
      </c>
      <c r="R247" s="101">
        <f t="shared" si="64"/>
        <v>0</v>
      </c>
      <c r="S247" s="77"/>
      <c r="T247" s="101">
        <f t="shared" si="68"/>
        <v>2.2000000000000002</v>
      </c>
      <c r="U247" s="101">
        <f t="shared" si="69"/>
        <v>16.399999999999999</v>
      </c>
      <c r="V247" s="102">
        <f t="shared" si="65"/>
        <v>0.82</v>
      </c>
      <c r="W247" s="103">
        <f t="shared" si="66"/>
        <v>899500</v>
      </c>
      <c r="X247" s="104" t="s">
        <v>93</v>
      </c>
    </row>
    <row r="248" spans="1:24" s="75" customFormat="1" ht="12">
      <c r="A248" s="73">
        <f t="shared" si="67"/>
        <v>239</v>
      </c>
      <c r="B248" s="121" t="s">
        <v>503</v>
      </c>
      <c r="C248" s="121" t="s">
        <v>1692</v>
      </c>
      <c r="D248" s="122" t="s">
        <v>1688</v>
      </c>
      <c r="E248" s="78" t="s">
        <v>1966</v>
      </c>
      <c r="F248" s="74"/>
      <c r="G248" s="79"/>
      <c r="H248" s="79"/>
      <c r="I248" s="74" t="s">
        <v>1962</v>
      </c>
      <c r="J248" s="101">
        <f t="shared" si="64"/>
        <v>1.6</v>
      </c>
      <c r="K248" s="101">
        <f t="shared" si="64"/>
        <v>1.8</v>
      </c>
      <c r="L248" s="101">
        <f t="shared" si="64"/>
        <v>1.8</v>
      </c>
      <c r="M248" s="101">
        <f t="shared" si="64"/>
        <v>3.3000000000000003</v>
      </c>
      <c r="N248" s="101">
        <f t="shared" si="64"/>
        <v>2.1</v>
      </c>
      <c r="O248" s="101">
        <f t="shared" si="64"/>
        <v>1.4000000000000001</v>
      </c>
      <c r="P248" s="101">
        <f t="shared" si="64"/>
        <v>0.6</v>
      </c>
      <c r="Q248" s="101">
        <f t="shared" si="64"/>
        <v>1.6</v>
      </c>
      <c r="R248" s="101">
        <f t="shared" si="64"/>
        <v>0</v>
      </c>
      <c r="S248" s="77"/>
      <c r="T248" s="101">
        <f t="shared" si="68"/>
        <v>2.2000000000000002</v>
      </c>
      <c r="U248" s="101">
        <f t="shared" si="69"/>
        <v>16.399999999999999</v>
      </c>
      <c r="V248" s="102">
        <f t="shared" si="65"/>
        <v>0.82</v>
      </c>
      <c r="W248" s="103">
        <f t="shared" si="66"/>
        <v>899500</v>
      </c>
      <c r="X248" s="104" t="s">
        <v>93</v>
      </c>
    </row>
    <row r="249" spans="1:24" s="75" customFormat="1" ht="12">
      <c r="A249" s="73">
        <f t="shared" si="67"/>
        <v>240</v>
      </c>
      <c r="B249" s="121" t="s">
        <v>503</v>
      </c>
      <c r="C249" s="121" t="s">
        <v>1492</v>
      </c>
      <c r="D249" s="122" t="s">
        <v>1611</v>
      </c>
      <c r="E249" s="78" t="s">
        <v>1966</v>
      </c>
      <c r="F249" s="74"/>
      <c r="G249" s="79"/>
      <c r="H249" s="79"/>
      <c r="I249" s="74" t="s">
        <v>1962</v>
      </c>
      <c r="J249" s="101">
        <f t="shared" si="64"/>
        <v>1.6</v>
      </c>
      <c r="K249" s="101">
        <f t="shared" si="64"/>
        <v>1.8</v>
      </c>
      <c r="L249" s="101">
        <f t="shared" si="64"/>
        <v>1.8</v>
      </c>
      <c r="M249" s="101">
        <f t="shared" si="64"/>
        <v>3.3000000000000003</v>
      </c>
      <c r="N249" s="101">
        <f t="shared" si="64"/>
        <v>2.1</v>
      </c>
      <c r="O249" s="101">
        <f t="shared" si="64"/>
        <v>1.4000000000000001</v>
      </c>
      <c r="P249" s="101">
        <f t="shared" si="64"/>
        <v>0.6</v>
      </c>
      <c r="Q249" s="101">
        <f t="shared" si="64"/>
        <v>1.6</v>
      </c>
      <c r="R249" s="101">
        <f t="shared" si="64"/>
        <v>0</v>
      </c>
      <c r="S249" s="77"/>
      <c r="T249" s="101">
        <f t="shared" si="68"/>
        <v>2.2000000000000002</v>
      </c>
      <c r="U249" s="101">
        <f t="shared" si="69"/>
        <v>16.399999999999999</v>
      </c>
      <c r="V249" s="102">
        <f t="shared" si="65"/>
        <v>0.82</v>
      </c>
      <c r="W249" s="103">
        <f t="shared" si="66"/>
        <v>899500</v>
      </c>
      <c r="X249" s="104" t="s">
        <v>93</v>
      </c>
    </row>
    <row r="250" spans="1:24" s="75" customFormat="1" ht="12">
      <c r="A250" s="73">
        <f t="shared" si="67"/>
        <v>241</v>
      </c>
      <c r="B250" s="121" t="s">
        <v>503</v>
      </c>
      <c r="C250" s="121" t="s">
        <v>1757</v>
      </c>
      <c r="D250" s="122" t="s">
        <v>1613</v>
      </c>
      <c r="E250" s="78" t="s">
        <v>1966</v>
      </c>
      <c r="F250" s="74"/>
      <c r="G250" s="79"/>
      <c r="H250" s="79"/>
      <c r="I250" s="74" t="s">
        <v>1962</v>
      </c>
      <c r="J250" s="101">
        <f t="shared" si="64"/>
        <v>1.6</v>
      </c>
      <c r="K250" s="101">
        <f t="shared" si="64"/>
        <v>1.8</v>
      </c>
      <c r="L250" s="101">
        <f t="shared" si="64"/>
        <v>1.8</v>
      </c>
      <c r="M250" s="101">
        <f t="shared" si="64"/>
        <v>3.3000000000000003</v>
      </c>
      <c r="N250" s="101">
        <f t="shared" si="64"/>
        <v>2.1</v>
      </c>
      <c r="O250" s="101">
        <f t="shared" si="64"/>
        <v>1.4000000000000001</v>
      </c>
      <c r="P250" s="101">
        <f t="shared" si="64"/>
        <v>0.6</v>
      </c>
      <c r="Q250" s="101">
        <f t="shared" si="64"/>
        <v>1.6</v>
      </c>
      <c r="R250" s="101">
        <f t="shared" si="64"/>
        <v>0</v>
      </c>
      <c r="S250" s="77"/>
      <c r="T250" s="101">
        <f t="shared" si="68"/>
        <v>2.2000000000000002</v>
      </c>
      <c r="U250" s="101">
        <f t="shared" si="69"/>
        <v>16.399999999999999</v>
      </c>
      <c r="V250" s="102">
        <f t="shared" si="65"/>
        <v>0.82</v>
      </c>
      <c r="W250" s="103">
        <f t="shared" si="66"/>
        <v>899500</v>
      </c>
      <c r="X250" s="104" t="s">
        <v>93</v>
      </c>
    </row>
    <row r="251" spans="1:24" s="75" customFormat="1" ht="12">
      <c r="A251" s="73">
        <f t="shared" si="67"/>
        <v>242</v>
      </c>
      <c r="B251" s="121" t="s">
        <v>503</v>
      </c>
      <c r="C251" s="121" t="s">
        <v>1759</v>
      </c>
      <c r="D251" s="121" t="s">
        <v>1613</v>
      </c>
      <c r="E251" s="78" t="s">
        <v>1966</v>
      </c>
      <c r="F251" s="74"/>
      <c r="G251" s="79"/>
      <c r="H251" s="79"/>
      <c r="I251" s="74" t="s">
        <v>1962</v>
      </c>
      <c r="J251" s="101">
        <f t="shared" si="64"/>
        <v>1.6</v>
      </c>
      <c r="K251" s="101">
        <f t="shared" si="64"/>
        <v>1.8</v>
      </c>
      <c r="L251" s="101">
        <f t="shared" si="64"/>
        <v>1.8</v>
      </c>
      <c r="M251" s="101">
        <f t="shared" si="64"/>
        <v>3.3000000000000003</v>
      </c>
      <c r="N251" s="101">
        <f t="shared" si="64"/>
        <v>2.1</v>
      </c>
      <c r="O251" s="101">
        <f t="shared" si="64"/>
        <v>1.4000000000000001</v>
      </c>
      <c r="P251" s="101">
        <f t="shared" si="64"/>
        <v>0.6</v>
      </c>
      <c r="Q251" s="101">
        <f t="shared" si="64"/>
        <v>1.6</v>
      </c>
      <c r="R251" s="101">
        <f t="shared" si="64"/>
        <v>0</v>
      </c>
      <c r="S251" s="77"/>
      <c r="T251" s="101">
        <f t="shared" si="68"/>
        <v>2.2000000000000002</v>
      </c>
      <c r="U251" s="101">
        <f t="shared" si="69"/>
        <v>16.399999999999999</v>
      </c>
      <c r="V251" s="102">
        <f t="shared" si="65"/>
        <v>0.82</v>
      </c>
      <c r="W251" s="103">
        <f t="shared" si="66"/>
        <v>899500</v>
      </c>
      <c r="X251" s="104" t="s">
        <v>93</v>
      </c>
    </row>
    <row r="252" spans="1:24" s="75" customFormat="1" ht="12">
      <c r="A252" s="73">
        <f t="shared" si="67"/>
        <v>243</v>
      </c>
      <c r="B252" s="121" t="s">
        <v>89</v>
      </c>
      <c r="C252" s="121" t="s">
        <v>1665</v>
      </c>
      <c r="D252" s="121" t="s">
        <v>1655</v>
      </c>
      <c r="E252" s="78" t="s">
        <v>1966</v>
      </c>
      <c r="F252" s="74"/>
      <c r="G252" s="79"/>
      <c r="H252" s="79"/>
      <c r="I252" s="74" t="s">
        <v>1962</v>
      </c>
      <c r="J252" s="101">
        <f t="shared" si="64"/>
        <v>1.6</v>
      </c>
      <c r="K252" s="101">
        <f t="shared" si="64"/>
        <v>1.8</v>
      </c>
      <c r="L252" s="101">
        <f t="shared" si="64"/>
        <v>1.8</v>
      </c>
      <c r="M252" s="101">
        <f t="shared" si="64"/>
        <v>3.3000000000000003</v>
      </c>
      <c r="N252" s="101">
        <f t="shared" si="64"/>
        <v>2.1</v>
      </c>
      <c r="O252" s="101">
        <f t="shared" si="64"/>
        <v>1.4000000000000001</v>
      </c>
      <c r="P252" s="101">
        <f t="shared" si="64"/>
        <v>0.6</v>
      </c>
      <c r="Q252" s="101">
        <f t="shared" si="64"/>
        <v>1.6</v>
      </c>
      <c r="R252" s="101">
        <f t="shared" si="64"/>
        <v>0</v>
      </c>
      <c r="S252" s="77"/>
      <c r="T252" s="101">
        <f t="shared" si="68"/>
        <v>2.2000000000000002</v>
      </c>
      <c r="U252" s="101">
        <f t="shared" si="69"/>
        <v>16.399999999999999</v>
      </c>
      <c r="V252" s="102">
        <f t="shared" si="65"/>
        <v>0.82</v>
      </c>
      <c r="W252" s="103">
        <f t="shared" si="66"/>
        <v>899500</v>
      </c>
      <c r="X252" s="104" t="s">
        <v>93</v>
      </c>
    </row>
    <row r="253" spans="1:24" s="75" customFormat="1" ht="12">
      <c r="A253" s="73">
        <f t="shared" si="67"/>
        <v>244</v>
      </c>
      <c r="B253" s="121" t="s">
        <v>89</v>
      </c>
      <c r="C253" s="121" t="s">
        <v>1697</v>
      </c>
      <c r="D253" s="121" t="s">
        <v>1688</v>
      </c>
      <c r="E253" s="78" t="s">
        <v>1966</v>
      </c>
      <c r="F253" s="74"/>
      <c r="G253" s="79"/>
      <c r="H253" s="79"/>
      <c r="I253" s="74" t="s">
        <v>1962</v>
      </c>
      <c r="J253" s="101">
        <f t="shared" si="64"/>
        <v>1.6</v>
      </c>
      <c r="K253" s="101">
        <f t="shared" si="64"/>
        <v>1.8</v>
      </c>
      <c r="L253" s="101">
        <f t="shared" si="64"/>
        <v>1.8</v>
      </c>
      <c r="M253" s="101">
        <f t="shared" si="64"/>
        <v>3.3000000000000003</v>
      </c>
      <c r="N253" s="101">
        <f t="shared" si="64"/>
        <v>2.1</v>
      </c>
      <c r="O253" s="101">
        <f t="shared" si="64"/>
        <v>1.4000000000000001</v>
      </c>
      <c r="P253" s="101">
        <f t="shared" si="64"/>
        <v>0.6</v>
      </c>
      <c r="Q253" s="101">
        <f t="shared" si="64"/>
        <v>1.6</v>
      </c>
      <c r="R253" s="101">
        <f t="shared" si="64"/>
        <v>0</v>
      </c>
      <c r="S253" s="77"/>
      <c r="T253" s="101">
        <f t="shared" si="68"/>
        <v>2.2000000000000002</v>
      </c>
      <c r="U253" s="101">
        <f t="shared" si="69"/>
        <v>16.399999999999999</v>
      </c>
      <c r="V253" s="102">
        <f t="shared" si="65"/>
        <v>0.82</v>
      </c>
      <c r="W253" s="103">
        <f t="shared" si="66"/>
        <v>899500</v>
      </c>
      <c r="X253" s="104" t="s">
        <v>93</v>
      </c>
    </row>
    <row r="254" spans="1:24" s="75" customFormat="1" ht="12">
      <c r="A254" s="73">
        <f t="shared" si="67"/>
        <v>245</v>
      </c>
      <c r="B254" s="76"/>
      <c r="C254" s="98"/>
      <c r="D254" s="99"/>
      <c r="E254" s="78"/>
      <c r="F254" s="74"/>
      <c r="G254" s="79"/>
      <c r="H254" s="79"/>
      <c r="I254" s="74"/>
      <c r="J254" s="101">
        <f t="shared" si="64"/>
        <v>0</v>
      </c>
      <c r="K254" s="101">
        <f t="shared" si="64"/>
        <v>0</v>
      </c>
      <c r="L254" s="101">
        <f t="shared" si="64"/>
        <v>0</v>
      </c>
      <c r="M254" s="101">
        <f t="shared" si="64"/>
        <v>0</v>
      </c>
      <c r="N254" s="101">
        <f t="shared" si="64"/>
        <v>0</v>
      </c>
      <c r="O254" s="101">
        <f t="shared" si="64"/>
        <v>0</v>
      </c>
      <c r="P254" s="101">
        <f t="shared" si="64"/>
        <v>0</v>
      </c>
      <c r="Q254" s="101">
        <f t="shared" si="64"/>
        <v>0</v>
      </c>
      <c r="R254" s="101">
        <f t="shared" si="64"/>
        <v>0</v>
      </c>
      <c r="S254" s="77"/>
      <c r="T254" s="101">
        <f t="shared" si="68"/>
        <v>0</v>
      </c>
      <c r="U254" s="101">
        <f t="shared" si="69"/>
        <v>0</v>
      </c>
      <c r="V254" s="102">
        <f t="shared" si="65"/>
        <v>0</v>
      </c>
      <c r="W254" s="103">
        <f t="shared" si="66"/>
        <v>0</v>
      </c>
      <c r="X254" s="104" t="s">
        <v>93</v>
      </c>
    </row>
    <row r="255" spans="1:24" s="75" customFormat="1" ht="12">
      <c r="A255" s="73">
        <f t="shared" si="67"/>
        <v>246</v>
      </c>
      <c r="B255" s="76" t="s">
        <v>2016</v>
      </c>
      <c r="C255" s="98" t="s">
        <v>1968</v>
      </c>
      <c r="D255" s="99" t="s">
        <v>2086</v>
      </c>
      <c r="E255" s="78" t="s">
        <v>2015</v>
      </c>
      <c r="F255" s="74"/>
      <c r="G255" s="79"/>
      <c r="H255" s="79"/>
      <c r="I255" s="74" t="s">
        <v>1963</v>
      </c>
      <c r="J255" s="101">
        <f t="shared" si="64"/>
        <v>0.4</v>
      </c>
      <c r="K255" s="101">
        <f t="shared" si="64"/>
        <v>0.4</v>
      </c>
      <c r="L255" s="101">
        <f t="shared" si="64"/>
        <v>0.5</v>
      </c>
      <c r="M255" s="101">
        <f t="shared" si="64"/>
        <v>0.79999999999999993</v>
      </c>
      <c r="N255" s="101">
        <f t="shared" si="64"/>
        <v>0.5</v>
      </c>
      <c r="O255" s="101">
        <f t="shared" si="64"/>
        <v>0.4</v>
      </c>
      <c r="P255" s="101">
        <f t="shared" si="64"/>
        <v>0.2</v>
      </c>
      <c r="Q255" s="101">
        <f t="shared" si="64"/>
        <v>0.4</v>
      </c>
      <c r="R255" s="101">
        <f t="shared" si="64"/>
        <v>0</v>
      </c>
      <c r="S255" s="77"/>
      <c r="T255" s="101">
        <f t="shared" si="68"/>
        <v>0.6</v>
      </c>
      <c r="U255" s="101">
        <f t="shared" si="69"/>
        <v>4.2</v>
      </c>
      <c r="V255" s="102">
        <f t="shared" si="65"/>
        <v>0.21000000000000002</v>
      </c>
      <c r="W255" s="103">
        <f t="shared" si="66"/>
        <v>231000</v>
      </c>
      <c r="X255" s="104" t="s">
        <v>93</v>
      </c>
    </row>
    <row r="256" spans="1:24" s="75" customFormat="1" ht="12">
      <c r="A256" s="73">
        <f t="shared" si="67"/>
        <v>247</v>
      </c>
      <c r="B256" s="76" t="s">
        <v>2016</v>
      </c>
      <c r="C256" s="98" t="s">
        <v>1970</v>
      </c>
      <c r="D256" s="99" t="s">
        <v>2080</v>
      </c>
      <c r="E256" s="78" t="s">
        <v>2015</v>
      </c>
      <c r="F256" s="74"/>
      <c r="G256" s="79"/>
      <c r="H256" s="79"/>
      <c r="I256" s="74" t="s">
        <v>1963</v>
      </c>
      <c r="J256" s="101">
        <f t="shared" si="64"/>
        <v>0.4</v>
      </c>
      <c r="K256" s="101">
        <f t="shared" si="64"/>
        <v>0.4</v>
      </c>
      <c r="L256" s="101">
        <f t="shared" si="64"/>
        <v>0.5</v>
      </c>
      <c r="M256" s="101">
        <f t="shared" si="64"/>
        <v>0.79999999999999993</v>
      </c>
      <c r="N256" s="101">
        <f t="shared" si="64"/>
        <v>0.5</v>
      </c>
      <c r="O256" s="101">
        <f t="shared" si="64"/>
        <v>0.4</v>
      </c>
      <c r="P256" s="101">
        <f t="shared" si="64"/>
        <v>0.2</v>
      </c>
      <c r="Q256" s="101">
        <f t="shared" si="64"/>
        <v>0.4</v>
      </c>
      <c r="R256" s="101">
        <f t="shared" si="64"/>
        <v>0</v>
      </c>
      <c r="S256" s="77"/>
      <c r="T256" s="101">
        <f t="shared" si="68"/>
        <v>0.6</v>
      </c>
      <c r="U256" s="101">
        <f t="shared" si="69"/>
        <v>4.2</v>
      </c>
      <c r="V256" s="102">
        <f t="shared" si="65"/>
        <v>0.21000000000000002</v>
      </c>
      <c r="W256" s="103">
        <f t="shared" si="66"/>
        <v>231000</v>
      </c>
      <c r="X256" s="104" t="s">
        <v>93</v>
      </c>
    </row>
    <row r="257" spans="1:24" s="75" customFormat="1" ht="12">
      <c r="A257" s="73">
        <f t="shared" si="67"/>
        <v>248</v>
      </c>
      <c r="B257" s="76" t="s">
        <v>2016</v>
      </c>
      <c r="C257" s="98" t="s">
        <v>1974</v>
      </c>
      <c r="D257" s="99" t="s">
        <v>2081</v>
      </c>
      <c r="E257" s="78" t="s">
        <v>2015</v>
      </c>
      <c r="F257" s="74"/>
      <c r="G257" s="79"/>
      <c r="H257" s="79"/>
      <c r="I257" s="74" t="s">
        <v>1963</v>
      </c>
      <c r="J257" s="101">
        <f t="shared" si="64"/>
        <v>0.4</v>
      </c>
      <c r="K257" s="101">
        <f t="shared" si="64"/>
        <v>0.4</v>
      </c>
      <c r="L257" s="101">
        <f t="shared" si="64"/>
        <v>0.5</v>
      </c>
      <c r="M257" s="101">
        <f t="shared" si="64"/>
        <v>0.79999999999999993</v>
      </c>
      <c r="N257" s="101">
        <f t="shared" si="64"/>
        <v>0.5</v>
      </c>
      <c r="O257" s="101">
        <f t="shared" si="64"/>
        <v>0.4</v>
      </c>
      <c r="P257" s="101">
        <f t="shared" si="64"/>
        <v>0.2</v>
      </c>
      <c r="Q257" s="101">
        <f t="shared" si="64"/>
        <v>0.4</v>
      </c>
      <c r="R257" s="101">
        <f t="shared" si="64"/>
        <v>0</v>
      </c>
      <c r="S257" s="77"/>
      <c r="T257" s="101">
        <f t="shared" si="68"/>
        <v>0.6</v>
      </c>
      <c r="U257" s="101">
        <f t="shared" si="69"/>
        <v>4.2</v>
      </c>
      <c r="V257" s="102">
        <f t="shared" si="65"/>
        <v>0.21000000000000002</v>
      </c>
      <c r="W257" s="103">
        <f t="shared" si="66"/>
        <v>231000</v>
      </c>
      <c r="X257" s="104" t="s">
        <v>93</v>
      </c>
    </row>
    <row r="258" spans="1:24" s="75" customFormat="1" ht="12">
      <c r="A258" s="73">
        <f t="shared" si="67"/>
        <v>249</v>
      </c>
      <c r="B258" s="76"/>
      <c r="C258" s="98"/>
      <c r="D258" s="99"/>
      <c r="E258" s="78"/>
      <c r="F258" s="74"/>
      <c r="G258" s="79"/>
      <c r="H258" s="79"/>
      <c r="I258" s="74"/>
      <c r="J258" s="101">
        <f t="shared" si="64"/>
        <v>0</v>
      </c>
      <c r="K258" s="101">
        <f t="shared" si="64"/>
        <v>0</v>
      </c>
      <c r="L258" s="101">
        <f t="shared" si="64"/>
        <v>0</v>
      </c>
      <c r="M258" s="101">
        <f t="shared" si="64"/>
        <v>0</v>
      </c>
      <c r="N258" s="101">
        <f t="shared" si="64"/>
        <v>0</v>
      </c>
      <c r="O258" s="101">
        <f t="shared" si="64"/>
        <v>0</v>
      </c>
      <c r="P258" s="101">
        <f t="shared" si="64"/>
        <v>0</v>
      </c>
      <c r="Q258" s="101">
        <f t="shared" si="64"/>
        <v>0</v>
      </c>
      <c r="R258" s="101">
        <f t="shared" si="64"/>
        <v>0</v>
      </c>
      <c r="S258" s="77"/>
      <c r="T258" s="101">
        <f t="shared" si="68"/>
        <v>0</v>
      </c>
      <c r="U258" s="101">
        <f t="shared" si="69"/>
        <v>0</v>
      </c>
      <c r="V258" s="102">
        <f t="shared" si="65"/>
        <v>0</v>
      </c>
      <c r="W258" s="103">
        <f t="shared" si="66"/>
        <v>0</v>
      </c>
      <c r="X258" s="104" t="s">
        <v>93</v>
      </c>
    </row>
    <row r="259" spans="1:24" s="75" customFormat="1" ht="12">
      <c r="A259" s="73">
        <f t="shared" si="67"/>
        <v>250</v>
      </c>
      <c r="B259" s="76" t="s">
        <v>2016</v>
      </c>
      <c r="C259" s="98" t="s">
        <v>1977</v>
      </c>
      <c r="D259" s="99" t="s">
        <v>2136</v>
      </c>
      <c r="E259" s="78" t="s">
        <v>2015</v>
      </c>
      <c r="F259" s="74"/>
      <c r="G259" s="79"/>
      <c r="H259" s="79"/>
      <c r="I259" s="74" t="s">
        <v>1965</v>
      </c>
      <c r="J259" s="101">
        <f t="shared" si="64"/>
        <v>0.9</v>
      </c>
      <c r="K259" s="101">
        <f t="shared" si="64"/>
        <v>1</v>
      </c>
      <c r="L259" s="101">
        <f t="shared" si="64"/>
        <v>1</v>
      </c>
      <c r="M259" s="101">
        <f t="shared" si="64"/>
        <v>1.8</v>
      </c>
      <c r="N259" s="101">
        <f t="shared" si="64"/>
        <v>1.1000000000000001</v>
      </c>
      <c r="O259" s="101">
        <f t="shared" si="64"/>
        <v>0.79999999999999993</v>
      </c>
      <c r="P259" s="101">
        <f t="shared" ref="J259:R287" si="70">ROUNDUP(IF($E259="画面",画面係数,IF($E259="帳票",帳票係数,IF($E259="バッチ",バッチ係数,0))) *
 IF($I259="特高",特高係数,IF($I259="高",高係数,IF($I259="中",中係数,IF($I259="低",低係数,IF($I259="特低",特低係数,0))))) *
 IF(P$7="SA",要件定義係数,IF(P$7="UI",基本設計係数,IF(P$7="SS",詳細設計係数,IF(P$7="PS/PG/PT",製作係数,IF(P$7="IT",結合テスト係数,IF(P$7="ST",総合テスト係数,IF(P$7="OT",受入支援係数,IF(P$7="RL",移行切替係数,IF(P$7="その他",その他係数,0))))))))) *
 P$8,1)</f>
        <v>0.30000000000000004</v>
      </c>
      <c r="Q259" s="101">
        <f t="shared" si="70"/>
        <v>0.9</v>
      </c>
      <c r="R259" s="101">
        <f t="shared" si="70"/>
        <v>0</v>
      </c>
      <c r="S259" s="77"/>
      <c r="T259" s="101">
        <f t="shared" si="68"/>
        <v>1.2000000000000002</v>
      </c>
      <c r="U259" s="101">
        <f t="shared" si="69"/>
        <v>9</v>
      </c>
      <c r="V259" s="102">
        <f t="shared" si="65"/>
        <v>0.45</v>
      </c>
      <c r="W259" s="103">
        <f t="shared" si="66"/>
        <v>493500</v>
      </c>
      <c r="X259" s="104" t="s">
        <v>93</v>
      </c>
    </row>
    <row r="260" spans="1:24" s="75" customFormat="1" ht="12">
      <c r="A260" s="73">
        <f t="shared" si="67"/>
        <v>251</v>
      </c>
      <c r="B260" s="76" t="s">
        <v>2016</v>
      </c>
      <c r="C260" s="98" t="s">
        <v>1982</v>
      </c>
      <c r="D260" s="99" t="s">
        <v>2121</v>
      </c>
      <c r="E260" s="78" t="s">
        <v>2015</v>
      </c>
      <c r="F260" s="74"/>
      <c r="G260" s="79"/>
      <c r="H260" s="79"/>
      <c r="I260" s="74" t="s">
        <v>1965</v>
      </c>
      <c r="J260" s="101">
        <f t="shared" si="70"/>
        <v>0.9</v>
      </c>
      <c r="K260" s="101">
        <f t="shared" si="70"/>
        <v>1</v>
      </c>
      <c r="L260" s="101">
        <f t="shared" si="70"/>
        <v>1</v>
      </c>
      <c r="M260" s="101">
        <f t="shared" si="70"/>
        <v>1.8</v>
      </c>
      <c r="N260" s="101">
        <f t="shared" si="70"/>
        <v>1.1000000000000001</v>
      </c>
      <c r="O260" s="101">
        <f t="shared" si="70"/>
        <v>0.79999999999999993</v>
      </c>
      <c r="P260" s="101">
        <f t="shared" si="70"/>
        <v>0.30000000000000004</v>
      </c>
      <c r="Q260" s="101">
        <f t="shared" si="70"/>
        <v>0.9</v>
      </c>
      <c r="R260" s="101">
        <f t="shared" si="70"/>
        <v>0</v>
      </c>
      <c r="S260" s="77"/>
      <c r="T260" s="101">
        <f t="shared" si="68"/>
        <v>1.2000000000000002</v>
      </c>
      <c r="U260" s="101">
        <f t="shared" si="69"/>
        <v>9</v>
      </c>
      <c r="V260" s="102">
        <f t="shared" si="65"/>
        <v>0.45</v>
      </c>
      <c r="W260" s="103">
        <f t="shared" si="66"/>
        <v>493500</v>
      </c>
      <c r="X260" s="104" t="s">
        <v>93</v>
      </c>
    </row>
    <row r="261" spans="1:24" s="75" customFormat="1" ht="12">
      <c r="A261" s="73">
        <f t="shared" si="67"/>
        <v>252</v>
      </c>
      <c r="B261" s="76" t="s">
        <v>2016</v>
      </c>
      <c r="C261" s="98" t="s">
        <v>1983</v>
      </c>
      <c r="D261" s="99" t="s">
        <v>2120</v>
      </c>
      <c r="E261" s="78" t="s">
        <v>2015</v>
      </c>
      <c r="F261" s="74"/>
      <c r="G261" s="79"/>
      <c r="H261" s="79"/>
      <c r="I261" s="74" t="s">
        <v>1965</v>
      </c>
      <c r="J261" s="101">
        <f t="shared" si="70"/>
        <v>0.9</v>
      </c>
      <c r="K261" s="101">
        <f t="shared" si="70"/>
        <v>1</v>
      </c>
      <c r="L261" s="101">
        <f t="shared" si="70"/>
        <v>1</v>
      </c>
      <c r="M261" s="101">
        <f t="shared" si="70"/>
        <v>1.8</v>
      </c>
      <c r="N261" s="101">
        <f t="shared" si="70"/>
        <v>1.1000000000000001</v>
      </c>
      <c r="O261" s="101">
        <f t="shared" si="70"/>
        <v>0.79999999999999993</v>
      </c>
      <c r="P261" s="101">
        <f t="shared" si="70"/>
        <v>0.30000000000000004</v>
      </c>
      <c r="Q261" s="101">
        <f t="shared" si="70"/>
        <v>0.9</v>
      </c>
      <c r="R261" s="101">
        <f t="shared" si="70"/>
        <v>0</v>
      </c>
      <c r="S261" s="77"/>
      <c r="T261" s="101">
        <f t="shared" si="68"/>
        <v>1.2000000000000002</v>
      </c>
      <c r="U261" s="101">
        <f t="shared" si="69"/>
        <v>9</v>
      </c>
      <c r="V261" s="102">
        <f t="shared" si="65"/>
        <v>0.45</v>
      </c>
      <c r="W261" s="103">
        <f t="shared" si="66"/>
        <v>493500</v>
      </c>
      <c r="X261" s="104" t="s">
        <v>93</v>
      </c>
    </row>
    <row r="262" spans="1:24" s="75" customFormat="1" ht="12">
      <c r="A262" s="73">
        <f t="shared" si="67"/>
        <v>253</v>
      </c>
      <c r="B262" s="76" t="s">
        <v>2016</v>
      </c>
      <c r="C262" s="98" t="s">
        <v>1985</v>
      </c>
      <c r="D262" s="99" t="s">
        <v>2132</v>
      </c>
      <c r="E262" s="78" t="s">
        <v>2015</v>
      </c>
      <c r="F262" s="74"/>
      <c r="G262" s="79"/>
      <c r="H262" s="79"/>
      <c r="I262" s="74" t="s">
        <v>1965</v>
      </c>
      <c r="J262" s="101">
        <f t="shared" si="70"/>
        <v>0.9</v>
      </c>
      <c r="K262" s="101">
        <f t="shared" si="70"/>
        <v>1</v>
      </c>
      <c r="L262" s="101">
        <f t="shared" si="70"/>
        <v>1</v>
      </c>
      <c r="M262" s="101">
        <f t="shared" si="70"/>
        <v>1.8</v>
      </c>
      <c r="N262" s="101">
        <f t="shared" si="70"/>
        <v>1.1000000000000001</v>
      </c>
      <c r="O262" s="101">
        <f t="shared" si="70"/>
        <v>0.79999999999999993</v>
      </c>
      <c r="P262" s="101">
        <f t="shared" si="70"/>
        <v>0.30000000000000004</v>
      </c>
      <c r="Q262" s="101">
        <f t="shared" si="70"/>
        <v>0.9</v>
      </c>
      <c r="R262" s="101">
        <f t="shared" si="70"/>
        <v>0</v>
      </c>
      <c r="S262" s="77"/>
      <c r="T262" s="101">
        <f t="shared" si="68"/>
        <v>1.2000000000000002</v>
      </c>
      <c r="U262" s="101">
        <f t="shared" si="69"/>
        <v>9</v>
      </c>
      <c r="V262" s="102">
        <f t="shared" si="65"/>
        <v>0.45</v>
      </c>
      <c r="W262" s="103">
        <f t="shared" si="66"/>
        <v>493500</v>
      </c>
      <c r="X262" s="104" t="s">
        <v>93</v>
      </c>
    </row>
    <row r="263" spans="1:24" s="75" customFormat="1" ht="12">
      <c r="A263" s="73">
        <f t="shared" si="67"/>
        <v>254</v>
      </c>
      <c r="B263" s="76" t="s">
        <v>2016</v>
      </c>
      <c r="C263" s="98" t="s">
        <v>1986</v>
      </c>
      <c r="D263" s="99" t="s">
        <v>2146</v>
      </c>
      <c r="E263" s="78" t="s">
        <v>2015</v>
      </c>
      <c r="F263" s="74"/>
      <c r="G263" s="79"/>
      <c r="H263" s="79"/>
      <c r="I263" s="74" t="s">
        <v>1965</v>
      </c>
      <c r="J263" s="101">
        <f t="shared" si="70"/>
        <v>0.9</v>
      </c>
      <c r="K263" s="101">
        <f t="shared" si="70"/>
        <v>1</v>
      </c>
      <c r="L263" s="101">
        <f t="shared" si="70"/>
        <v>1</v>
      </c>
      <c r="M263" s="101">
        <f t="shared" si="70"/>
        <v>1.8</v>
      </c>
      <c r="N263" s="101">
        <f t="shared" si="70"/>
        <v>1.1000000000000001</v>
      </c>
      <c r="O263" s="101">
        <f t="shared" si="70"/>
        <v>0.79999999999999993</v>
      </c>
      <c r="P263" s="101">
        <f t="shared" si="70"/>
        <v>0.30000000000000004</v>
      </c>
      <c r="Q263" s="101">
        <f t="shared" si="70"/>
        <v>0.9</v>
      </c>
      <c r="R263" s="101">
        <f t="shared" si="70"/>
        <v>0</v>
      </c>
      <c r="S263" s="77"/>
      <c r="T263" s="101">
        <f t="shared" si="68"/>
        <v>1.2000000000000002</v>
      </c>
      <c r="U263" s="101">
        <f t="shared" si="69"/>
        <v>9</v>
      </c>
      <c r="V263" s="102">
        <f t="shared" si="65"/>
        <v>0.45</v>
      </c>
      <c r="W263" s="103">
        <f t="shared" si="66"/>
        <v>493500</v>
      </c>
      <c r="X263" s="104" t="s">
        <v>93</v>
      </c>
    </row>
    <row r="264" spans="1:24" s="75" customFormat="1" ht="12">
      <c r="A264" s="73">
        <f t="shared" si="67"/>
        <v>255</v>
      </c>
      <c r="B264" s="76" t="s">
        <v>2016</v>
      </c>
      <c r="C264" s="98" t="s">
        <v>1987</v>
      </c>
      <c r="D264" s="99" t="s">
        <v>2147</v>
      </c>
      <c r="E264" s="78" t="s">
        <v>2015</v>
      </c>
      <c r="F264" s="74"/>
      <c r="G264" s="79"/>
      <c r="H264" s="79"/>
      <c r="I264" s="74" t="s">
        <v>1965</v>
      </c>
      <c r="J264" s="101">
        <f t="shared" si="70"/>
        <v>0.9</v>
      </c>
      <c r="K264" s="101">
        <f t="shared" si="70"/>
        <v>1</v>
      </c>
      <c r="L264" s="101">
        <f t="shared" si="70"/>
        <v>1</v>
      </c>
      <c r="M264" s="101">
        <f t="shared" si="70"/>
        <v>1.8</v>
      </c>
      <c r="N264" s="101">
        <f t="shared" si="70"/>
        <v>1.1000000000000001</v>
      </c>
      <c r="O264" s="101">
        <f t="shared" si="70"/>
        <v>0.79999999999999993</v>
      </c>
      <c r="P264" s="101">
        <f t="shared" si="70"/>
        <v>0.30000000000000004</v>
      </c>
      <c r="Q264" s="101">
        <f t="shared" si="70"/>
        <v>0.9</v>
      </c>
      <c r="R264" s="101">
        <f t="shared" si="70"/>
        <v>0</v>
      </c>
      <c r="S264" s="77"/>
      <c r="T264" s="101">
        <f t="shared" si="68"/>
        <v>1.2000000000000002</v>
      </c>
      <c r="U264" s="101">
        <f t="shared" si="69"/>
        <v>9</v>
      </c>
      <c r="V264" s="102">
        <f t="shared" si="65"/>
        <v>0.45</v>
      </c>
      <c r="W264" s="103">
        <f t="shared" si="66"/>
        <v>493500</v>
      </c>
      <c r="X264" s="104" t="s">
        <v>93</v>
      </c>
    </row>
    <row r="265" spans="1:24" s="75" customFormat="1" ht="12">
      <c r="A265" s="73">
        <f t="shared" si="67"/>
        <v>256</v>
      </c>
      <c r="B265" s="76" t="s">
        <v>2016</v>
      </c>
      <c r="C265" s="98" t="s">
        <v>1990</v>
      </c>
      <c r="D265" s="99" t="s">
        <v>2130</v>
      </c>
      <c r="E265" s="78" t="s">
        <v>2015</v>
      </c>
      <c r="F265" s="74"/>
      <c r="G265" s="79"/>
      <c r="H265" s="79"/>
      <c r="I265" s="74" t="s">
        <v>1965</v>
      </c>
      <c r="J265" s="101">
        <f t="shared" si="70"/>
        <v>0.9</v>
      </c>
      <c r="K265" s="101">
        <f t="shared" si="70"/>
        <v>1</v>
      </c>
      <c r="L265" s="101">
        <f t="shared" si="70"/>
        <v>1</v>
      </c>
      <c r="M265" s="101">
        <f t="shared" si="70"/>
        <v>1.8</v>
      </c>
      <c r="N265" s="101">
        <f t="shared" si="70"/>
        <v>1.1000000000000001</v>
      </c>
      <c r="O265" s="101">
        <f t="shared" si="70"/>
        <v>0.79999999999999993</v>
      </c>
      <c r="P265" s="101">
        <f t="shared" si="70"/>
        <v>0.30000000000000004</v>
      </c>
      <c r="Q265" s="101">
        <f t="shared" si="70"/>
        <v>0.9</v>
      </c>
      <c r="R265" s="101">
        <f t="shared" si="70"/>
        <v>0</v>
      </c>
      <c r="S265" s="77"/>
      <c r="T265" s="101">
        <f t="shared" si="68"/>
        <v>1.2000000000000002</v>
      </c>
      <c r="U265" s="101">
        <f t="shared" si="69"/>
        <v>9</v>
      </c>
      <c r="V265" s="102">
        <f t="shared" si="65"/>
        <v>0.45</v>
      </c>
      <c r="W265" s="103">
        <f t="shared" si="66"/>
        <v>493500</v>
      </c>
      <c r="X265" s="104" t="s">
        <v>93</v>
      </c>
    </row>
    <row r="266" spans="1:24" s="75" customFormat="1" ht="12">
      <c r="A266" s="73">
        <f t="shared" si="67"/>
        <v>257</v>
      </c>
      <c r="B266" s="76" t="s">
        <v>2016</v>
      </c>
      <c r="C266" s="98" t="s">
        <v>1991</v>
      </c>
      <c r="D266" s="99" t="s">
        <v>2078</v>
      </c>
      <c r="E266" s="78" t="s">
        <v>2015</v>
      </c>
      <c r="F266" s="74"/>
      <c r="G266" s="79"/>
      <c r="H266" s="79"/>
      <c r="I266" s="74" t="s">
        <v>1965</v>
      </c>
      <c r="J266" s="101">
        <f t="shared" si="70"/>
        <v>0.9</v>
      </c>
      <c r="K266" s="101">
        <f t="shared" si="70"/>
        <v>1</v>
      </c>
      <c r="L266" s="101">
        <f t="shared" si="70"/>
        <v>1</v>
      </c>
      <c r="M266" s="101">
        <f t="shared" si="70"/>
        <v>1.8</v>
      </c>
      <c r="N266" s="101">
        <f t="shared" si="70"/>
        <v>1.1000000000000001</v>
      </c>
      <c r="O266" s="101">
        <f t="shared" si="70"/>
        <v>0.79999999999999993</v>
      </c>
      <c r="P266" s="101">
        <f t="shared" si="70"/>
        <v>0.30000000000000004</v>
      </c>
      <c r="Q266" s="101">
        <f t="shared" si="70"/>
        <v>0.9</v>
      </c>
      <c r="R266" s="101">
        <f t="shared" si="70"/>
        <v>0</v>
      </c>
      <c r="S266" s="77"/>
      <c r="T266" s="101">
        <f t="shared" si="68"/>
        <v>1.2000000000000002</v>
      </c>
      <c r="U266" s="101">
        <f t="shared" si="69"/>
        <v>9</v>
      </c>
      <c r="V266" s="102">
        <f t="shared" si="65"/>
        <v>0.45</v>
      </c>
      <c r="W266" s="103">
        <f t="shared" si="66"/>
        <v>493500</v>
      </c>
      <c r="X266" s="104" t="s">
        <v>93</v>
      </c>
    </row>
    <row r="267" spans="1:24" s="75" customFormat="1" ht="12">
      <c r="A267" s="73">
        <f t="shared" si="67"/>
        <v>258</v>
      </c>
      <c r="B267" s="76" t="s">
        <v>2016</v>
      </c>
      <c r="C267" s="98" t="s">
        <v>1992</v>
      </c>
      <c r="D267" s="99" t="s">
        <v>2148</v>
      </c>
      <c r="E267" s="78" t="s">
        <v>2015</v>
      </c>
      <c r="F267" s="74"/>
      <c r="G267" s="79"/>
      <c r="H267" s="79"/>
      <c r="I267" s="74" t="s">
        <v>1965</v>
      </c>
      <c r="J267" s="101">
        <f t="shared" si="70"/>
        <v>0.9</v>
      </c>
      <c r="K267" s="101">
        <f t="shared" si="70"/>
        <v>1</v>
      </c>
      <c r="L267" s="101">
        <f t="shared" si="70"/>
        <v>1</v>
      </c>
      <c r="M267" s="101">
        <f t="shared" si="70"/>
        <v>1.8</v>
      </c>
      <c r="N267" s="101">
        <f t="shared" si="70"/>
        <v>1.1000000000000001</v>
      </c>
      <c r="O267" s="101">
        <f t="shared" si="70"/>
        <v>0.79999999999999993</v>
      </c>
      <c r="P267" s="101">
        <f t="shared" si="70"/>
        <v>0.30000000000000004</v>
      </c>
      <c r="Q267" s="101">
        <f t="shared" si="70"/>
        <v>0.9</v>
      </c>
      <c r="R267" s="101">
        <f t="shared" si="70"/>
        <v>0</v>
      </c>
      <c r="S267" s="77"/>
      <c r="T267" s="101">
        <f t="shared" si="68"/>
        <v>1.2000000000000002</v>
      </c>
      <c r="U267" s="101">
        <f t="shared" si="69"/>
        <v>9</v>
      </c>
      <c r="V267" s="102">
        <f t="shared" si="65"/>
        <v>0.45</v>
      </c>
      <c r="W267" s="103">
        <f t="shared" si="66"/>
        <v>493500</v>
      </c>
      <c r="X267" s="104" t="s">
        <v>93</v>
      </c>
    </row>
    <row r="268" spans="1:24" s="75" customFormat="1" ht="12">
      <c r="A268" s="73">
        <f t="shared" si="67"/>
        <v>259</v>
      </c>
      <c r="B268" s="76" t="s">
        <v>2016</v>
      </c>
      <c r="C268" s="98" t="s">
        <v>1993</v>
      </c>
      <c r="D268" s="99" t="s">
        <v>2149</v>
      </c>
      <c r="E268" s="78" t="s">
        <v>2015</v>
      </c>
      <c r="F268" s="74"/>
      <c r="G268" s="79"/>
      <c r="H268" s="79"/>
      <c r="I268" s="74" t="s">
        <v>1965</v>
      </c>
      <c r="J268" s="101">
        <f t="shared" si="70"/>
        <v>0.9</v>
      </c>
      <c r="K268" s="101">
        <f t="shared" si="70"/>
        <v>1</v>
      </c>
      <c r="L268" s="101">
        <f t="shared" si="70"/>
        <v>1</v>
      </c>
      <c r="M268" s="101">
        <f t="shared" si="70"/>
        <v>1.8</v>
      </c>
      <c r="N268" s="101">
        <f t="shared" si="70"/>
        <v>1.1000000000000001</v>
      </c>
      <c r="O268" s="101">
        <f t="shared" si="70"/>
        <v>0.79999999999999993</v>
      </c>
      <c r="P268" s="101">
        <f t="shared" si="70"/>
        <v>0.30000000000000004</v>
      </c>
      <c r="Q268" s="101">
        <f t="shared" si="70"/>
        <v>0.9</v>
      </c>
      <c r="R268" s="101">
        <f t="shared" si="70"/>
        <v>0</v>
      </c>
      <c r="S268" s="77"/>
      <c r="T268" s="101">
        <f t="shared" si="68"/>
        <v>1.2000000000000002</v>
      </c>
      <c r="U268" s="101">
        <f t="shared" si="69"/>
        <v>9</v>
      </c>
      <c r="V268" s="102">
        <f t="shared" si="65"/>
        <v>0.45</v>
      </c>
      <c r="W268" s="103">
        <f t="shared" si="66"/>
        <v>493500</v>
      </c>
      <c r="X268" s="104" t="s">
        <v>93</v>
      </c>
    </row>
    <row r="269" spans="1:24" s="75" customFormat="1" ht="12">
      <c r="A269" s="73">
        <f t="shared" si="67"/>
        <v>260</v>
      </c>
      <c r="B269" s="76" t="s">
        <v>2016</v>
      </c>
      <c r="C269" s="98" t="s">
        <v>1994</v>
      </c>
      <c r="D269" s="99" t="s">
        <v>2150</v>
      </c>
      <c r="E269" s="78" t="s">
        <v>2015</v>
      </c>
      <c r="F269" s="74"/>
      <c r="G269" s="79"/>
      <c r="H269" s="79"/>
      <c r="I269" s="74" t="s">
        <v>1965</v>
      </c>
      <c r="J269" s="101">
        <f t="shared" si="70"/>
        <v>0.9</v>
      </c>
      <c r="K269" s="101">
        <f t="shared" si="70"/>
        <v>1</v>
      </c>
      <c r="L269" s="101">
        <f t="shared" si="70"/>
        <v>1</v>
      </c>
      <c r="M269" s="101">
        <f t="shared" si="70"/>
        <v>1.8</v>
      </c>
      <c r="N269" s="101">
        <f t="shared" si="70"/>
        <v>1.1000000000000001</v>
      </c>
      <c r="O269" s="101">
        <f t="shared" si="70"/>
        <v>0.79999999999999993</v>
      </c>
      <c r="P269" s="101">
        <f t="shared" si="70"/>
        <v>0.30000000000000004</v>
      </c>
      <c r="Q269" s="101">
        <f t="shared" si="70"/>
        <v>0.9</v>
      </c>
      <c r="R269" s="101">
        <f t="shared" si="70"/>
        <v>0</v>
      </c>
      <c r="S269" s="77"/>
      <c r="T269" s="101">
        <f t="shared" si="68"/>
        <v>1.2000000000000002</v>
      </c>
      <c r="U269" s="101">
        <f t="shared" si="69"/>
        <v>9</v>
      </c>
      <c r="V269" s="102">
        <f t="shared" si="65"/>
        <v>0.45</v>
      </c>
      <c r="W269" s="103">
        <f t="shared" si="66"/>
        <v>493500</v>
      </c>
      <c r="X269" s="104" t="s">
        <v>93</v>
      </c>
    </row>
    <row r="270" spans="1:24" s="75" customFormat="1" ht="12">
      <c r="A270" s="73">
        <f t="shared" si="67"/>
        <v>261</v>
      </c>
      <c r="B270" s="76" t="s">
        <v>2016</v>
      </c>
      <c r="C270" s="98" t="s">
        <v>1995</v>
      </c>
      <c r="D270" s="99" t="s">
        <v>2151</v>
      </c>
      <c r="E270" s="78" t="s">
        <v>2015</v>
      </c>
      <c r="F270" s="74"/>
      <c r="G270" s="79"/>
      <c r="H270" s="79"/>
      <c r="I270" s="74" t="s">
        <v>1965</v>
      </c>
      <c r="J270" s="101">
        <f t="shared" si="70"/>
        <v>0.9</v>
      </c>
      <c r="K270" s="101">
        <f t="shared" si="70"/>
        <v>1</v>
      </c>
      <c r="L270" s="101">
        <f t="shared" si="70"/>
        <v>1</v>
      </c>
      <c r="M270" s="101">
        <f t="shared" si="70"/>
        <v>1.8</v>
      </c>
      <c r="N270" s="101">
        <f t="shared" si="70"/>
        <v>1.1000000000000001</v>
      </c>
      <c r="O270" s="101">
        <f t="shared" si="70"/>
        <v>0.79999999999999993</v>
      </c>
      <c r="P270" s="101">
        <f t="shared" si="70"/>
        <v>0.30000000000000004</v>
      </c>
      <c r="Q270" s="101">
        <f t="shared" si="70"/>
        <v>0.9</v>
      </c>
      <c r="R270" s="101">
        <f t="shared" si="70"/>
        <v>0</v>
      </c>
      <c r="S270" s="77"/>
      <c r="T270" s="101">
        <f t="shared" si="68"/>
        <v>1.2000000000000002</v>
      </c>
      <c r="U270" s="101">
        <f t="shared" si="69"/>
        <v>9</v>
      </c>
      <c r="V270" s="102">
        <f t="shared" si="65"/>
        <v>0.45</v>
      </c>
      <c r="W270" s="103">
        <f t="shared" si="66"/>
        <v>493500</v>
      </c>
      <c r="X270" s="104" t="s">
        <v>93</v>
      </c>
    </row>
    <row r="271" spans="1:24" s="75" customFormat="1" ht="12">
      <c r="A271" s="73">
        <f t="shared" si="67"/>
        <v>262</v>
      </c>
      <c r="B271" s="76" t="s">
        <v>2016</v>
      </c>
      <c r="C271" s="98" t="s">
        <v>1996</v>
      </c>
      <c r="D271" s="99" t="s">
        <v>2152</v>
      </c>
      <c r="E271" s="78" t="s">
        <v>2015</v>
      </c>
      <c r="F271" s="74"/>
      <c r="G271" s="79"/>
      <c r="H271" s="79"/>
      <c r="I271" s="74" t="s">
        <v>1965</v>
      </c>
      <c r="J271" s="101">
        <f t="shared" si="70"/>
        <v>0.9</v>
      </c>
      <c r="K271" s="101">
        <f t="shared" si="70"/>
        <v>1</v>
      </c>
      <c r="L271" s="101">
        <f t="shared" si="70"/>
        <v>1</v>
      </c>
      <c r="M271" s="101">
        <f t="shared" si="70"/>
        <v>1.8</v>
      </c>
      <c r="N271" s="101">
        <f t="shared" si="70"/>
        <v>1.1000000000000001</v>
      </c>
      <c r="O271" s="101">
        <f t="shared" si="70"/>
        <v>0.79999999999999993</v>
      </c>
      <c r="P271" s="101">
        <f t="shared" si="70"/>
        <v>0.30000000000000004</v>
      </c>
      <c r="Q271" s="101">
        <f t="shared" si="70"/>
        <v>0.9</v>
      </c>
      <c r="R271" s="101">
        <f t="shared" si="70"/>
        <v>0</v>
      </c>
      <c r="S271" s="77"/>
      <c r="T271" s="101">
        <f t="shared" si="68"/>
        <v>1.2000000000000002</v>
      </c>
      <c r="U271" s="101">
        <f t="shared" si="69"/>
        <v>9</v>
      </c>
      <c r="V271" s="102">
        <f t="shared" si="65"/>
        <v>0.45</v>
      </c>
      <c r="W271" s="103">
        <f t="shared" si="66"/>
        <v>493500</v>
      </c>
      <c r="X271" s="104" t="s">
        <v>93</v>
      </c>
    </row>
    <row r="272" spans="1:24" s="75" customFormat="1" ht="12">
      <c r="A272" s="73">
        <f t="shared" si="67"/>
        <v>263</v>
      </c>
      <c r="B272" s="76" t="s">
        <v>2016</v>
      </c>
      <c r="C272" s="98" t="s">
        <v>1997</v>
      </c>
      <c r="D272" s="99" t="s">
        <v>2129</v>
      </c>
      <c r="E272" s="78" t="s">
        <v>2015</v>
      </c>
      <c r="F272" s="74"/>
      <c r="G272" s="79"/>
      <c r="H272" s="79"/>
      <c r="I272" s="74" t="s">
        <v>1965</v>
      </c>
      <c r="J272" s="101">
        <f t="shared" si="70"/>
        <v>0.9</v>
      </c>
      <c r="K272" s="101">
        <f t="shared" si="70"/>
        <v>1</v>
      </c>
      <c r="L272" s="101">
        <f t="shared" si="70"/>
        <v>1</v>
      </c>
      <c r="M272" s="101">
        <f t="shared" si="70"/>
        <v>1.8</v>
      </c>
      <c r="N272" s="101">
        <f t="shared" si="70"/>
        <v>1.1000000000000001</v>
      </c>
      <c r="O272" s="101">
        <f t="shared" si="70"/>
        <v>0.79999999999999993</v>
      </c>
      <c r="P272" s="101">
        <f t="shared" si="70"/>
        <v>0.30000000000000004</v>
      </c>
      <c r="Q272" s="101">
        <f t="shared" si="70"/>
        <v>0.9</v>
      </c>
      <c r="R272" s="101">
        <f t="shared" si="70"/>
        <v>0</v>
      </c>
      <c r="S272" s="77"/>
      <c r="T272" s="101">
        <f t="shared" si="68"/>
        <v>1.2000000000000002</v>
      </c>
      <c r="U272" s="101">
        <f t="shared" si="69"/>
        <v>9</v>
      </c>
      <c r="V272" s="102">
        <f t="shared" si="65"/>
        <v>0.45</v>
      </c>
      <c r="W272" s="103">
        <f t="shared" si="66"/>
        <v>493500</v>
      </c>
      <c r="X272" s="104" t="s">
        <v>93</v>
      </c>
    </row>
    <row r="273" spans="1:24" s="75" customFormat="1" ht="12">
      <c r="A273" s="73">
        <f t="shared" si="67"/>
        <v>264</v>
      </c>
      <c r="B273" s="76" t="s">
        <v>2016</v>
      </c>
      <c r="C273" s="98" t="s">
        <v>1998</v>
      </c>
      <c r="D273" s="99" t="s">
        <v>2126</v>
      </c>
      <c r="E273" s="78" t="s">
        <v>2015</v>
      </c>
      <c r="F273" s="74"/>
      <c r="G273" s="79"/>
      <c r="H273" s="79"/>
      <c r="I273" s="74" t="s">
        <v>1965</v>
      </c>
      <c r="J273" s="101">
        <f t="shared" si="70"/>
        <v>0.9</v>
      </c>
      <c r="K273" s="101">
        <f t="shared" si="70"/>
        <v>1</v>
      </c>
      <c r="L273" s="101">
        <f t="shared" si="70"/>
        <v>1</v>
      </c>
      <c r="M273" s="101">
        <f t="shared" si="70"/>
        <v>1.8</v>
      </c>
      <c r="N273" s="101">
        <f t="shared" si="70"/>
        <v>1.1000000000000001</v>
      </c>
      <c r="O273" s="101">
        <f t="shared" si="70"/>
        <v>0.79999999999999993</v>
      </c>
      <c r="P273" s="101">
        <f t="shared" si="70"/>
        <v>0.30000000000000004</v>
      </c>
      <c r="Q273" s="101">
        <f t="shared" si="70"/>
        <v>0.9</v>
      </c>
      <c r="R273" s="101">
        <f t="shared" si="70"/>
        <v>0</v>
      </c>
      <c r="S273" s="77"/>
      <c r="T273" s="101">
        <f t="shared" si="68"/>
        <v>1.2000000000000002</v>
      </c>
      <c r="U273" s="101">
        <f t="shared" si="69"/>
        <v>9</v>
      </c>
      <c r="V273" s="102">
        <f t="shared" si="65"/>
        <v>0.45</v>
      </c>
      <c r="W273" s="103">
        <f t="shared" si="66"/>
        <v>493500</v>
      </c>
      <c r="X273" s="104" t="s">
        <v>93</v>
      </c>
    </row>
    <row r="274" spans="1:24" s="75" customFormat="1" ht="12">
      <c r="A274" s="73">
        <f t="shared" si="67"/>
        <v>265</v>
      </c>
      <c r="B274" s="76" t="s">
        <v>2016</v>
      </c>
      <c r="C274" s="98" t="s">
        <v>1999</v>
      </c>
      <c r="D274" s="99" t="s">
        <v>2167</v>
      </c>
      <c r="E274" s="78" t="s">
        <v>2015</v>
      </c>
      <c r="F274" s="74"/>
      <c r="G274" s="79"/>
      <c r="H274" s="79"/>
      <c r="I274" s="74" t="s">
        <v>1965</v>
      </c>
      <c r="J274" s="101">
        <f t="shared" si="70"/>
        <v>0.9</v>
      </c>
      <c r="K274" s="101">
        <f t="shared" si="70"/>
        <v>1</v>
      </c>
      <c r="L274" s="101">
        <f t="shared" si="70"/>
        <v>1</v>
      </c>
      <c r="M274" s="101">
        <f t="shared" si="70"/>
        <v>1.8</v>
      </c>
      <c r="N274" s="101">
        <f t="shared" si="70"/>
        <v>1.1000000000000001</v>
      </c>
      <c r="O274" s="101">
        <f t="shared" si="70"/>
        <v>0.79999999999999993</v>
      </c>
      <c r="P274" s="101">
        <f t="shared" si="70"/>
        <v>0.30000000000000004</v>
      </c>
      <c r="Q274" s="101">
        <f t="shared" si="70"/>
        <v>0.9</v>
      </c>
      <c r="R274" s="101">
        <f t="shared" si="70"/>
        <v>0</v>
      </c>
      <c r="S274" s="77"/>
      <c r="T274" s="101">
        <f t="shared" si="68"/>
        <v>1.2000000000000002</v>
      </c>
      <c r="U274" s="101">
        <f t="shared" si="69"/>
        <v>9</v>
      </c>
      <c r="V274" s="102">
        <f t="shared" si="65"/>
        <v>0.45</v>
      </c>
      <c r="W274" s="103">
        <f t="shared" si="66"/>
        <v>493500</v>
      </c>
      <c r="X274" s="104" t="s">
        <v>93</v>
      </c>
    </row>
    <row r="275" spans="1:24" s="75" customFormat="1" ht="12">
      <c r="A275" s="73">
        <f t="shared" si="67"/>
        <v>266</v>
      </c>
      <c r="B275" s="76" t="s">
        <v>2016</v>
      </c>
      <c r="C275" s="98" t="s">
        <v>2001</v>
      </c>
      <c r="D275" s="99" t="s">
        <v>2168</v>
      </c>
      <c r="E275" s="78" t="s">
        <v>2015</v>
      </c>
      <c r="F275" s="74"/>
      <c r="G275" s="79"/>
      <c r="H275" s="79"/>
      <c r="I275" s="74" t="s">
        <v>1965</v>
      </c>
      <c r="J275" s="101">
        <f t="shared" si="70"/>
        <v>0.9</v>
      </c>
      <c r="K275" s="101">
        <f t="shared" si="70"/>
        <v>1</v>
      </c>
      <c r="L275" s="101">
        <f t="shared" si="70"/>
        <v>1</v>
      </c>
      <c r="M275" s="101">
        <f t="shared" si="70"/>
        <v>1.8</v>
      </c>
      <c r="N275" s="101">
        <f t="shared" si="70"/>
        <v>1.1000000000000001</v>
      </c>
      <c r="O275" s="101">
        <f t="shared" si="70"/>
        <v>0.79999999999999993</v>
      </c>
      <c r="P275" s="101">
        <f t="shared" si="70"/>
        <v>0.30000000000000004</v>
      </c>
      <c r="Q275" s="101">
        <f t="shared" si="70"/>
        <v>0.9</v>
      </c>
      <c r="R275" s="101">
        <f t="shared" si="70"/>
        <v>0</v>
      </c>
      <c r="S275" s="77"/>
      <c r="T275" s="101">
        <f t="shared" si="68"/>
        <v>1.2000000000000002</v>
      </c>
      <c r="U275" s="101">
        <f t="shared" si="69"/>
        <v>9</v>
      </c>
      <c r="V275" s="102">
        <f t="shared" si="65"/>
        <v>0.45</v>
      </c>
      <c r="W275" s="103">
        <f t="shared" si="66"/>
        <v>493500</v>
      </c>
      <c r="X275" s="104" t="s">
        <v>93</v>
      </c>
    </row>
    <row r="276" spans="1:24" s="75" customFormat="1" ht="12">
      <c r="A276" s="73">
        <f t="shared" si="67"/>
        <v>267</v>
      </c>
      <c r="B276" s="76" t="s">
        <v>2016</v>
      </c>
      <c r="C276" s="98" t="s">
        <v>2002</v>
      </c>
      <c r="D276" s="99" t="s">
        <v>2169</v>
      </c>
      <c r="E276" s="78" t="s">
        <v>2015</v>
      </c>
      <c r="F276" s="74"/>
      <c r="G276" s="79"/>
      <c r="H276" s="79"/>
      <c r="I276" s="74" t="s">
        <v>1965</v>
      </c>
      <c r="J276" s="101">
        <f t="shared" si="70"/>
        <v>0.9</v>
      </c>
      <c r="K276" s="101">
        <f t="shared" si="70"/>
        <v>1</v>
      </c>
      <c r="L276" s="101">
        <f t="shared" si="70"/>
        <v>1</v>
      </c>
      <c r="M276" s="101">
        <f t="shared" si="70"/>
        <v>1.8</v>
      </c>
      <c r="N276" s="101">
        <f t="shared" si="70"/>
        <v>1.1000000000000001</v>
      </c>
      <c r="O276" s="101">
        <f t="shared" si="70"/>
        <v>0.79999999999999993</v>
      </c>
      <c r="P276" s="101">
        <f t="shared" si="70"/>
        <v>0.30000000000000004</v>
      </c>
      <c r="Q276" s="101">
        <f t="shared" si="70"/>
        <v>0.9</v>
      </c>
      <c r="R276" s="101">
        <f t="shared" si="70"/>
        <v>0</v>
      </c>
      <c r="S276" s="77"/>
      <c r="T276" s="101">
        <f t="shared" si="68"/>
        <v>1.2000000000000002</v>
      </c>
      <c r="U276" s="101">
        <f t="shared" si="69"/>
        <v>9</v>
      </c>
      <c r="V276" s="102">
        <f t="shared" si="65"/>
        <v>0.45</v>
      </c>
      <c r="W276" s="103">
        <f t="shared" si="66"/>
        <v>493500</v>
      </c>
      <c r="X276" s="104" t="s">
        <v>93</v>
      </c>
    </row>
    <row r="277" spans="1:24" s="75" customFormat="1" ht="12">
      <c r="A277" s="73">
        <f t="shared" si="67"/>
        <v>268</v>
      </c>
      <c r="B277" s="76" t="s">
        <v>2016</v>
      </c>
      <c r="C277" s="98" t="s">
        <v>2003</v>
      </c>
      <c r="D277" s="99" t="s">
        <v>2170</v>
      </c>
      <c r="E277" s="78" t="s">
        <v>2015</v>
      </c>
      <c r="F277" s="74"/>
      <c r="G277" s="79"/>
      <c r="H277" s="79"/>
      <c r="I277" s="74" t="s">
        <v>1965</v>
      </c>
      <c r="J277" s="101">
        <f t="shared" si="70"/>
        <v>0.9</v>
      </c>
      <c r="K277" s="101">
        <f t="shared" si="70"/>
        <v>1</v>
      </c>
      <c r="L277" s="101">
        <f t="shared" si="70"/>
        <v>1</v>
      </c>
      <c r="M277" s="101">
        <f t="shared" si="70"/>
        <v>1.8</v>
      </c>
      <c r="N277" s="101">
        <f t="shared" si="70"/>
        <v>1.1000000000000001</v>
      </c>
      <c r="O277" s="101">
        <f t="shared" si="70"/>
        <v>0.79999999999999993</v>
      </c>
      <c r="P277" s="101">
        <f t="shared" si="70"/>
        <v>0.30000000000000004</v>
      </c>
      <c r="Q277" s="101">
        <f t="shared" si="70"/>
        <v>0.9</v>
      </c>
      <c r="R277" s="101">
        <f t="shared" si="70"/>
        <v>0</v>
      </c>
      <c r="S277" s="77"/>
      <c r="T277" s="101">
        <f t="shared" si="68"/>
        <v>1.2000000000000002</v>
      </c>
      <c r="U277" s="101">
        <f t="shared" si="69"/>
        <v>9</v>
      </c>
      <c r="V277" s="102">
        <f t="shared" si="65"/>
        <v>0.45</v>
      </c>
      <c r="W277" s="103">
        <f t="shared" si="66"/>
        <v>493500</v>
      </c>
      <c r="X277" s="104" t="s">
        <v>93</v>
      </c>
    </row>
    <row r="278" spans="1:24" s="75" customFormat="1" ht="12">
      <c r="A278" s="73">
        <f t="shared" si="67"/>
        <v>269</v>
      </c>
      <c r="B278" s="76" t="s">
        <v>2016</v>
      </c>
      <c r="C278" s="98" t="s">
        <v>2004</v>
      </c>
      <c r="D278" s="99" t="s">
        <v>2124</v>
      </c>
      <c r="E278" s="78" t="s">
        <v>2015</v>
      </c>
      <c r="F278" s="74"/>
      <c r="G278" s="79"/>
      <c r="H278" s="79"/>
      <c r="I278" s="74" t="s">
        <v>1965</v>
      </c>
      <c r="J278" s="101">
        <f t="shared" si="70"/>
        <v>0.9</v>
      </c>
      <c r="K278" s="101">
        <f t="shared" si="70"/>
        <v>1</v>
      </c>
      <c r="L278" s="101">
        <f t="shared" si="70"/>
        <v>1</v>
      </c>
      <c r="M278" s="101">
        <f t="shared" si="70"/>
        <v>1.8</v>
      </c>
      <c r="N278" s="101">
        <f t="shared" si="70"/>
        <v>1.1000000000000001</v>
      </c>
      <c r="O278" s="101">
        <f t="shared" si="70"/>
        <v>0.79999999999999993</v>
      </c>
      <c r="P278" s="101">
        <f t="shared" si="70"/>
        <v>0.30000000000000004</v>
      </c>
      <c r="Q278" s="101">
        <f t="shared" si="70"/>
        <v>0.9</v>
      </c>
      <c r="R278" s="101">
        <f t="shared" si="70"/>
        <v>0</v>
      </c>
      <c r="S278" s="77"/>
      <c r="T278" s="101">
        <f t="shared" si="68"/>
        <v>1.2000000000000002</v>
      </c>
      <c r="U278" s="101">
        <f t="shared" si="69"/>
        <v>9</v>
      </c>
      <c r="V278" s="102">
        <f t="shared" si="65"/>
        <v>0.45</v>
      </c>
      <c r="W278" s="103">
        <f t="shared" si="66"/>
        <v>493500</v>
      </c>
      <c r="X278" s="104" t="s">
        <v>93</v>
      </c>
    </row>
    <row r="279" spans="1:24" s="75" customFormat="1" ht="12">
      <c r="A279" s="73">
        <f t="shared" si="67"/>
        <v>270</v>
      </c>
      <c r="B279" s="76" t="s">
        <v>2016</v>
      </c>
      <c r="C279" s="98" t="s">
        <v>2005</v>
      </c>
      <c r="D279" s="99" t="s">
        <v>2123</v>
      </c>
      <c r="E279" s="78" t="s">
        <v>2015</v>
      </c>
      <c r="F279" s="74"/>
      <c r="G279" s="79"/>
      <c r="H279" s="79"/>
      <c r="I279" s="74" t="s">
        <v>1965</v>
      </c>
      <c r="J279" s="101">
        <f t="shared" si="70"/>
        <v>0.9</v>
      </c>
      <c r="K279" s="101">
        <f t="shared" si="70"/>
        <v>1</v>
      </c>
      <c r="L279" s="101">
        <f t="shared" si="70"/>
        <v>1</v>
      </c>
      <c r="M279" s="101">
        <f t="shared" si="70"/>
        <v>1.8</v>
      </c>
      <c r="N279" s="101">
        <f t="shared" si="70"/>
        <v>1.1000000000000001</v>
      </c>
      <c r="O279" s="101">
        <f t="shared" si="70"/>
        <v>0.79999999999999993</v>
      </c>
      <c r="P279" s="101">
        <f t="shared" si="70"/>
        <v>0.30000000000000004</v>
      </c>
      <c r="Q279" s="101">
        <f t="shared" si="70"/>
        <v>0.9</v>
      </c>
      <c r="R279" s="101">
        <f t="shared" si="70"/>
        <v>0</v>
      </c>
      <c r="S279" s="77"/>
      <c r="T279" s="101">
        <f t="shared" si="68"/>
        <v>1.2000000000000002</v>
      </c>
      <c r="U279" s="101">
        <f t="shared" si="69"/>
        <v>9</v>
      </c>
      <c r="V279" s="102">
        <f t="shared" si="65"/>
        <v>0.45</v>
      </c>
      <c r="W279" s="103">
        <f t="shared" si="66"/>
        <v>493500</v>
      </c>
      <c r="X279" s="104" t="s">
        <v>93</v>
      </c>
    </row>
    <row r="280" spans="1:24" s="75" customFormat="1" ht="12">
      <c r="A280" s="73">
        <f t="shared" si="67"/>
        <v>271</v>
      </c>
      <c r="B280" s="76" t="s">
        <v>2016</v>
      </c>
      <c r="C280" s="98" t="s">
        <v>2006</v>
      </c>
      <c r="D280" s="99" t="s">
        <v>2122</v>
      </c>
      <c r="E280" s="78" t="s">
        <v>2015</v>
      </c>
      <c r="F280" s="74"/>
      <c r="G280" s="79"/>
      <c r="H280" s="79"/>
      <c r="I280" s="74" t="s">
        <v>1965</v>
      </c>
      <c r="J280" s="101">
        <f t="shared" si="70"/>
        <v>0.9</v>
      </c>
      <c r="K280" s="101">
        <f t="shared" si="70"/>
        <v>1</v>
      </c>
      <c r="L280" s="101">
        <f t="shared" si="70"/>
        <v>1</v>
      </c>
      <c r="M280" s="101">
        <f t="shared" si="70"/>
        <v>1.8</v>
      </c>
      <c r="N280" s="101">
        <f t="shared" si="70"/>
        <v>1.1000000000000001</v>
      </c>
      <c r="O280" s="101">
        <f t="shared" si="70"/>
        <v>0.79999999999999993</v>
      </c>
      <c r="P280" s="101">
        <f t="shared" si="70"/>
        <v>0.30000000000000004</v>
      </c>
      <c r="Q280" s="101">
        <f t="shared" si="70"/>
        <v>0.9</v>
      </c>
      <c r="R280" s="101">
        <f t="shared" si="70"/>
        <v>0</v>
      </c>
      <c r="S280" s="77"/>
      <c r="T280" s="101">
        <f t="shared" si="68"/>
        <v>1.2000000000000002</v>
      </c>
      <c r="U280" s="101">
        <f t="shared" si="69"/>
        <v>9</v>
      </c>
      <c r="V280" s="102">
        <f t="shared" si="65"/>
        <v>0.45</v>
      </c>
      <c r="W280" s="103">
        <f t="shared" si="66"/>
        <v>493500</v>
      </c>
      <c r="X280" s="104" t="s">
        <v>93</v>
      </c>
    </row>
    <row r="281" spans="1:24" s="75" customFormat="1" ht="12">
      <c r="A281" s="73">
        <f t="shared" si="67"/>
        <v>272</v>
      </c>
      <c r="B281" s="76" t="s">
        <v>2016</v>
      </c>
      <c r="C281" s="98" t="s">
        <v>2007</v>
      </c>
      <c r="D281" s="99" t="s">
        <v>2171</v>
      </c>
      <c r="E281" s="78" t="s">
        <v>2015</v>
      </c>
      <c r="F281" s="74"/>
      <c r="G281" s="79"/>
      <c r="H281" s="79"/>
      <c r="I281" s="74" t="s">
        <v>1965</v>
      </c>
      <c r="J281" s="101">
        <f t="shared" si="70"/>
        <v>0.9</v>
      </c>
      <c r="K281" s="101">
        <f t="shared" si="70"/>
        <v>1</v>
      </c>
      <c r="L281" s="101">
        <f t="shared" si="70"/>
        <v>1</v>
      </c>
      <c r="M281" s="101">
        <f t="shared" si="70"/>
        <v>1.8</v>
      </c>
      <c r="N281" s="101">
        <f t="shared" si="70"/>
        <v>1.1000000000000001</v>
      </c>
      <c r="O281" s="101">
        <f t="shared" si="70"/>
        <v>0.79999999999999993</v>
      </c>
      <c r="P281" s="101">
        <f t="shared" si="70"/>
        <v>0.30000000000000004</v>
      </c>
      <c r="Q281" s="101">
        <f t="shared" si="70"/>
        <v>0.9</v>
      </c>
      <c r="R281" s="101">
        <f t="shared" si="70"/>
        <v>0</v>
      </c>
      <c r="S281" s="77"/>
      <c r="T281" s="101">
        <f t="shared" si="68"/>
        <v>1.2000000000000002</v>
      </c>
      <c r="U281" s="101">
        <f t="shared" si="69"/>
        <v>9</v>
      </c>
      <c r="V281" s="102">
        <f t="shared" si="65"/>
        <v>0.45</v>
      </c>
      <c r="W281" s="103">
        <f t="shared" si="66"/>
        <v>493500</v>
      </c>
      <c r="X281" s="104" t="s">
        <v>93</v>
      </c>
    </row>
    <row r="282" spans="1:24" s="75" customFormat="1" ht="12">
      <c r="A282" s="73">
        <f t="shared" si="67"/>
        <v>273</v>
      </c>
      <c r="B282" s="76" t="s">
        <v>2016</v>
      </c>
      <c r="C282" s="98" t="s">
        <v>2008</v>
      </c>
      <c r="D282" s="99" t="s">
        <v>2173</v>
      </c>
      <c r="E282" s="78" t="s">
        <v>2015</v>
      </c>
      <c r="F282" s="74"/>
      <c r="G282" s="79"/>
      <c r="H282" s="79"/>
      <c r="I282" s="74" t="s">
        <v>1965</v>
      </c>
      <c r="J282" s="101">
        <f t="shared" si="70"/>
        <v>0.9</v>
      </c>
      <c r="K282" s="101">
        <f t="shared" si="70"/>
        <v>1</v>
      </c>
      <c r="L282" s="101">
        <f t="shared" si="70"/>
        <v>1</v>
      </c>
      <c r="M282" s="101">
        <f t="shared" si="70"/>
        <v>1.8</v>
      </c>
      <c r="N282" s="101">
        <f t="shared" si="70"/>
        <v>1.1000000000000001</v>
      </c>
      <c r="O282" s="101">
        <f t="shared" si="70"/>
        <v>0.79999999999999993</v>
      </c>
      <c r="P282" s="101">
        <f t="shared" si="70"/>
        <v>0.30000000000000004</v>
      </c>
      <c r="Q282" s="101">
        <f t="shared" si="70"/>
        <v>0.9</v>
      </c>
      <c r="R282" s="101">
        <f t="shared" si="70"/>
        <v>0</v>
      </c>
      <c r="S282" s="77"/>
      <c r="T282" s="101">
        <f t="shared" si="68"/>
        <v>1.2000000000000002</v>
      </c>
      <c r="U282" s="101">
        <f t="shared" si="69"/>
        <v>9</v>
      </c>
      <c r="V282" s="102">
        <f t="shared" si="65"/>
        <v>0.45</v>
      </c>
      <c r="W282" s="103">
        <f t="shared" si="66"/>
        <v>493500</v>
      </c>
      <c r="X282" s="104" t="s">
        <v>93</v>
      </c>
    </row>
    <row r="283" spans="1:24" s="75" customFormat="1" ht="12">
      <c r="A283" s="73">
        <f t="shared" si="67"/>
        <v>274</v>
      </c>
      <c r="B283" s="76" t="s">
        <v>2016</v>
      </c>
      <c r="C283" s="98" t="s">
        <v>2009</v>
      </c>
      <c r="D283" s="99" t="s">
        <v>2174</v>
      </c>
      <c r="E283" s="78" t="s">
        <v>2015</v>
      </c>
      <c r="F283" s="74"/>
      <c r="G283" s="79"/>
      <c r="H283" s="79"/>
      <c r="I283" s="74" t="s">
        <v>1965</v>
      </c>
      <c r="J283" s="101">
        <f t="shared" si="70"/>
        <v>0.9</v>
      </c>
      <c r="K283" s="101">
        <f t="shared" si="70"/>
        <v>1</v>
      </c>
      <c r="L283" s="101">
        <f t="shared" si="70"/>
        <v>1</v>
      </c>
      <c r="M283" s="101">
        <f t="shared" si="70"/>
        <v>1.8</v>
      </c>
      <c r="N283" s="101">
        <f t="shared" si="70"/>
        <v>1.1000000000000001</v>
      </c>
      <c r="O283" s="101">
        <f t="shared" si="70"/>
        <v>0.79999999999999993</v>
      </c>
      <c r="P283" s="101">
        <f t="shared" si="70"/>
        <v>0.30000000000000004</v>
      </c>
      <c r="Q283" s="101">
        <f t="shared" si="70"/>
        <v>0.9</v>
      </c>
      <c r="R283" s="101">
        <f t="shared" si="70"/>
        <v>0</v>
      </c>
      <c r="S283" s="77"/>
      <c r="T283" s="101">
        <f t="shared" si="68"/>
        <v>1.2000000000000002</v>
      </c>
      <c r="U283" s="101">
        <f t="shared" si="69"/>
        <v>9</v>
      </c>
      <c r="V283" s="102">
        <f t="shared" si="65"/>
        <v>0.45</v>
      </c>
      <c r="W283" s="103">
        <f t="shared" si="66"/>
        <v>493500</v>
      </c>
      <c r="X283" s="104" t="s">
        <v>93</v>
      </c>
    </row>
    <row r="284" spans="1:24" s="75" customFormat="1" ht="12">
      <c r="A284" s="73">
        <f t="shared" si="67"/>
        <v>275</v>
      </c>
      <c r="B284" s="76" t="s">
        <v>2016</v>
      </c>
      <c r="C284" s="98" t="s">
        <v>1973</v>
      </c>
      <c r="D284" s="99" t="s">
        <v>2176</v>
      </c>
      <c r="E284" s="78"/>
      <c r="F284" s="74"/>
      <c r="G284" s="79"/>
      <c r="H284" s="79"/>
      <c r="I284" s="74"/>
      <c r="J284" s="101">
        <f t="shared" si="70"/>
        <v>0</v>
      </c>
      <c r="K284" s="101">
        <f t="shared" si="70"/>
        <v>0</v>
      </c>
      <c r="L284" s="101">
        <f t="shared" si="70"/>
        <v>0</v>
      </c>
      <c r="M284" s="101">
        <f t="shared" si="70"/>
        <v>0</v>
      </c>
      <c r="N284" s="101">
        <f t="shared" si="70"/>
        <v>0</v>
      </c>
      <c r="O284" s="101">
        <f t="shared" si="70"/>
        <v>0</v>
      </c>
      <c r="P284" s="101">
        <f t="shared" si="70"/>
        <v>0</v>
      </c>
      <c r="Q284" s="101">
        <f t="shared" si="70"/>
        <v>0</v>
      </c>
      <c r="R284" s="101">
        <f t="shared" si="70"/>
        <v>0</v>
      </c>
      <c r="S284" s="77"/>
      <c r="T284" s="101">
        <f t="shared" si="68"/>
        <v>0</v>
      </c>
      <c r="U284" s="101">
        <f t="shared" si="69"/>
        <v>0</v>
      </c>
      <c r="V284" s="102">
        <f t="shared" si="65"/>
        <v>0</v>
      </c>
      <c r="W284" s="103">
        <f t="shared" si="66"/>
        <v>0</v>
      </c>
      <c r="X284" s="104" t="s">
        <v>93</v>
      </c>
    </row>
    <row r="285" spans="1:24" s="75" customFormat="1" ht="12">
      <c r="A285" s="73">
        <f t="shared" si="67"/>
        <v>276</v>
      </c>
      <c r="B285" s="76" t="s">
        <v>2016</v>
      </c>
      <c r="C285" s="98" t="s">
        <v>2153</v>
      </c>
      <c r="D285" s="99" t="s">
        <v>2117</v>
      </c>
      <c r="E285" s="78" t="s">
        <v>2015</v>
      </c>
      <c r="F285" s="74"/>
      <c r="G285" s="79"/>
      <c r="H285" s="79"/>
      <c r="I285" s="74" t="s">
        <v>1965</v>
      </c>
      <c r="J285" s="101">
        <f t="shared" si="70"/>
        <v>0.9</v>
      </c>
      <c r="K285" s="101">
        <f t="shared" si="70"/>
        <v>1</v>
      </c>
      <c r="L285" s="101">
        <f t="shared" si="70"/>
        <v>1</v>
      </c>
      <c r="M285" s="101">
        <f t="shared" si="70"/>
        <v>1.8</v>
      </c>
      <c r="N285" s="101">
        <f t="shared" si="70"/>
        <v>1.1000000000000001</v>
      </c>
      <c r="O285" s="101">
        <f t="shared" si="70"/>
        <v>0.79999999999999993</v>
      </c>
      <c r="P285" s="101">
        <f t="shared" si="70"/>
        <v>0.30000000000000004</v>
      </c>
      <c r="Q285" s="101">
        <f t="shared" si="70"/>
        <v>0.9</v>
      </c>
      <c r="R285" s="101">
        <f t="shared" si="70"/>
        <v>0</v>
      </c>
      <c r="S285" s="77"/>
      <c r="T285" s="101">
        <f t="shared" si="68"/>
        <v>1.2000000000000002</v>
      </c>
      <c r="U285" s="101">
        <f t="shared" si="69"/>
        <v>9</v>
      </c>
      <c r="V285" s="102">
        <f t="shared" si="65"/>
        <v>0.45</v>
      </c>
      <c r="W285" s="103">
        <f t="shared" si="66"/>
        <v>493500</v>
      </c>
      <c r="X285" s="104" t="s">
        <v>93</v>
      </c>
    </row>
    <row r="286" spans="1:24" s="75" customFormat="1" ht="12">
      <c r="A286" s="73">
        <f t="shared" si="67"/>
        <v>277</v>
      </c>
      <c r="B286" s="76" t="s">
        <v>30</v>
      </c>
      <c r="C286" s="98" t="s">
        <v>2155</v>
      </c>
      <c r="D286" s="99" t="s">
        <v>2118</v>
      </c>
      <c r="E286" s="78" t="s">
        <v>2015</v>
      </c>
      <c r="F286" s="74"/>
      <c r="G286" s="79"/>
      <c r="H286" s="79"/>
      <c r="I286" s="74" t="s">
        <v>4</v>
      </c>
      <c r="J286" s="101">
        <f t="shared" si="70"/>
        <v>0.9</v>
      </c>
      <c r="K286" s="101">
        <f t="shared" si="70"/>
        <v>1</v>
      </c>
      <c r="L286" s="101">
        <f t="shared" si="70"/>
        <v>1</v>
      </c>
      <c r="M286" s="101">
        <f t="shared" si="70"/>
        <v>1.8</v>
      </c>
      <c r="N286" s="101">
        <f t="shared" si="70"/>
        <v>1.1000000000000001</v>
      </c>
      <c r="O286" s="101">
        <f t="shared" si="70"/>
        <v>0.79999999999999993</v>
      </c>
      <c r="P286" s="101">
        <f t="shared" si="70"/>
        <v>0.30000000000000004</v>
      </c>
      <c r="Q286" s="101">
        <f t="shared" si="70"/>
        <v>0.9</v>
      </c>
      <c r="R286" s="101">
        <f t="shared" si="70"/>
        <v>0</v>
      </c>
      <c r="S286" s="77"/>
      <c r="T286" s="101">
        <f t="shared" si="68"/>
        <v>1.2000000000000002</v>
      </c>
      <c r="U286" s="101">
        <f t="shared" si="69"/>
        <v>9</v>
      </c>
      <c r="V286" s="102">
        <f t="shared" si="65"/>
        <v>0.45</v>
      </c>
      <c r="W286" s="103">
        <f t="shared" si="66"/>
        <v>493500</v>
      </c>
      <c r="X286" s="104" t="s">
        <v>93</v>
      </c>
    </row>
    <row r="287" spans="1:24" s="75" customFormat="1" ht="12">
      <c r="A287" s="73">
        <f t="shared" si="67"/>
        <v>278</v>
      </c>
      <c r="B287" s="76" t="s">
        <v>2017</v>
      </c>
      <c r="C287" s="98" t="s">
        <v>2157</v>
      </c>
      <c r="D287" s="99" t="s">
        <v>2119</v>
      </c>
      <c r="E287" s="78" t="s">
        <v>2015</v>
      </c>
      <c r="F287" s="74"/>
      <c r="G287" s="79"/>
      <c r="H287" s="79"/>
      <c r="I287" s="74" t="s">
        <v>1965</v>
      </c>
      <c r="J287" s="101">
        <f t="shared" si="70"/>
        <v>0.9</v>
      </c>
      <c r="K287" s="101">
        <f t="shared" si="70"/>
        <v>1</v>
      </c>
      <c r="L287" s="101">
        <f t="shared" si="70"/>
        <v>1</v>
      </c>
      <c r="M287" s="101">
        <f t="shared" si="70"/>
        <v>1.8</v>
      </c>
      <c r="N287" s="101">
        <f t="shared" si="70"/>
        <v>1.1000000000000001</v>
      </c>
      <c r="O287" s="101">
        <f t="shared" si="70"/>
        <v>0.79999999999999993</v>
      </c>
      <c r="P287" s="101">
        <f t="shared" si="70"/>
        <v>0.30000000000000004</v>
      </c>
      <c r="Q287" s="101">
        <f t="shared" si="70"/>
        <v>0.9</v>
      </c>
      <c r="R287" s="101">
        <f t="shared" si="70"/>
        <v>0</v>
      </c>
      <c r="S287" s="77"/>
      <c r="T287" s="101">
        <f t="shared" si="68"/>
        <v>1.2000000000000002</v>
      </c>
      <c r="U287" s="101">
        <f t="shared" si="69"/>
        <v>9</v>
      </c>
      <c r="V287" s="102">
        <f t="shared" si="65"/>
        <v>0.45</v>
      </c>
      <c r="W287" s="103">
        <f t="shared" si="66"/>
        <v>493500</v>
      </c>
      <c r="X287" s="104" t="s">
        <v>93</v>
      </c>
    </row>
    <row r="288" spans="1:24" s="75" customFormat="1" ht="12">
      <c r="A288" s="73">
        <f t="shared" si="67"/>
        <v>279</v>
      </c>
      <c r="B288" s="76" t="s">
        <v>2017</v>
      </c>
      <c r="C288" s="98" t="s">
        <v>2159</v>
      </c>
      <c r="D288" s="99" t="s">
        <v>2142</v>
      </c>
      <c r="E288" s="78" t="s">
        <v>2015</v>
      </c>
      <c r="F288" s="74"/>
      <c r="G288" s="79"/>
      <c r="H288" s="79"/>
      <c r="I288" s="74" t="s">
        <v>1965</v>
      </c>
      <c r="J288" s="101">
        <f t="shared" ref="J288:R322" si="71">ROUNDUP(IF($E288="画面",画面係数,IF($E288="帳票",帳票係数,IF($E288="バッチ",バッチ係数,0))) *
 IF($I288="特高",特高係数,IF($I288="高",高係数,IF($I288="中",中係数,IF($I288="低",低係数,IF($I288="特低",特低係数,0)))))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0.9</v>
      </c>
      <c r="K288" s="101">
        <f t="shared" si="71"/>
        <v>1</v>
      </c>
      <c r="L288" s="101">
        <f t="shared" si="71"/>
        <v>1</v>
      </c>
      <c r="M288" s="101">
        <f t="shared" si="71"/>
        <v>1.8</v>
      </c>
      <c r="N288" s="101">
        <f t="shared" si="71"/>
        <v>1.1000000000000001</v>
      </c>
      <c r="O288" s="101">
        <f t="shared" si="71"/>
        <v>0.79999999999999993</v>
      </c>
      <c r="P288" s="101">
        <f t="shared" si="71"/>
        <v>0.30000000000000004</v>
      </c>
      <c r="Q288" s="101">
        <f t="shared" si="71"/>
        <v>0.9</v>
      </c>
      <c r="R288" s="101">
        <f t="shared" si="71"/>
        <v>0</v>
      </c>
      <c r="S288" s="77"/>
      <c r="T288" s="101">
        <f t="shared" si="68"/>
        <v>1.2000000000000002</v>
      </c>
      <c r="U288" s="101">
        <f t="shared" si="69"/>
        <v>9</v>
      </c>
      <c r="V288" s="102">
        <f t="shared" si="65"/>
        <v>0.45</v>
      </c>
      <c r="W288" s="103">
        <f t="shared" si="66"/>
        <v>493500</v>
      </c>
      <c r="X288" s="104" t="s">
        <v>93</v>
      </c>
    </row>
    <row r="289" spans="1:24" s="75" customFormat="1" ht="12">
      <c r="A289" s="73">
        <f t="shared" si="67"/>
        <v>280</v>
      </c>
      <c r="B289" s="76" t="s">
        <v>2017</v>
      </c>
      <c r="C289" s="98" t="s">
        <v>2161</v>
      </c>
      <c r="D289" s="99" t="s">
        <v>2094</v>
      </c>
      <c r="E289" s="78" t="s">
        <v>2015</v>
      </c>
      <c r="F289" s="74"/>
      <c r="G289" s="79"/>
      <c r="H289" s="79"/>
      <c r="I289" s="74" t="s">
        <v>1965</v>
      </c>
      <c r="J289" s="101">
        <f t="shared" si="71"/>
        <v>0.9</v>
      </c>
      <c r="K289" s="101">
        <f t="shared" si="71"/>
        <v>1</v>
      </c>
      <c r="L289" s="101">
        <f t="shared" si="71"/>
        <v>1</v>
      </c>
      <c r="M289" s="101">
        <f t="shared" si="71"/>
        <v>1.8</v>
      </c>
      <c r="N289" s="101">
        <f t="shared" si="71"/>
        <v>1.1000000000000001</v>
      </c>
      <c r="O289" s="101">
        <f t="shared" si="71"/>
        <v>0.79999999999999993</v>
      </c>
      <c r="P289" s="101">
        <f t="shared" si="71"/>
        <v>0.30000000000000004</v>
      </c>
      <c r="Q289" s="101">
        <f t="shared" si="71"/>
        <v>0.9</v>
      </c>
      <c r="R289" s="101">
        <f t="shared" si="71"/>
        <v>0</v>
      </c>
      <c r="S289" s="77"/>
      <c r="T289" s="101">
        <f t="shared" si="68"/>
        <v>1.2000000000000002</v>
      </c>
      <c r="U289" s="101">
        <f t="shared" si="69"/>
        <v>9</v>
      </c>
      <c r="V289" s="102">
        <f t="shared" si="65"/>
        <v>0.45</v>
      </c>
      <c r="W289" s="103">
        <f t="shared" si="66"/>
        <v>493500</v>
      </c>
      <c r="X289" s="104" t="s">
        <v>93</v>
      </c>
    </row>
    <row r="290" spans="1:24" s="75" customFormat="1" ht="12">
      <c r="A290" s="73">
        <f t="shared" si="67"/>
        <v>281</v>
      </c>
      <c r="B290" s="76" t="s">
        <v>2017</v>
      </c>
      <c r="C290" s="98" t="s">
        <v>2163</v>
      </c>
      <c r="D290" s="99" t="s">
        <v>2143</v>
      </c>
      <c r="E290" s="78" t="s">
        <v>2015</v>
      </c>
      <c r="F290" s="74"/>
      <c r="G290" s="79"/>
      <c r="H290" s="79"/>
      <c r="I290" s="74" t="s">
        <v>1965</v>
      </c>
      <c r="J290" s="101">
        <f t="shared" si="71"/>
        <v>0.9</v>
      </c>
      <c r="K290" s="101">
        <f t="shared" si="71"/>
        <v>1</v>
      </c>
      <c r="L290" s="101">
        <f t="shared" si="71"/>
        <v>1</v>
      </c>
      <c r="M290" s="101">
        <f t="shared" si="71"/>
        <v>1.8</v>
      </c>
      <c r="N290" s="101">
        <f t="shared" si="71"/>
        <v>1.1000000000000001</v>
      </c>
      <c r="O290" s="101">
        <f t="shared" si="71"/>
        <v>0.79999999999999993</v>
      </c>
      <c r="P290" s="101">
        <f t="shared" si="71"/>
        <v>0.30000000000000004</v>
      </c>
      <c r="Q290" s="101">
        <f t="shared" si="71"/>
        <v>0.9</v>
      </c>
      <c r="R290" s="101">
        <f t="shared" si="71"/>
        <v>0</v>
      </c>
      <c r="S290" s="77"/>
      <c r="T290" s="101">
        <f t="shared" si="68"/>
        <v>1.2000000000000002</v>
      </c>
      <c r="U290" s="101">
        <f t="shared" si="69"/>
        <v>9</v>
      </c>
      <c r="V290" s="102">
        <f t="shared" si="65"/>
        <v>0.45</v>
      </c>
      <c r="W290" s="103">
        <f t="shared" si="66"/>
        <v>493500</v>
      </c>
      <c r="X290" s="104" t="s">
        <v>93</v>
      </c>
    </row>
    <row r="291" spans="1:24" s="75" customFormat="1" ht="12">
      <c r="A291" s="73">
        <f t="shared" si="67"/>
        <v>282</v>
      </c>
      <c r="B291" s="76" t="s">
        <v>2017</v>
      </c>
      <c r="C291" s="98" t="s">
        <v>2165</v>
      </c>
      <c r="D291" s="99" t="s">
        <v>2144</v>
      </c>
      <c r="E291" s="78" t="s">
        <v>2015</v>
      </c>
      <c r="F291" s="74"/>
      <c r="G291" s="79"/>
      <c r="H291" s="79"/>
      <c r="I291" s="74" t="s">
        <v>1965</v>
      </c>
      <c r="J291" s="101">
        <f t="shared" si="71"/>
        <v>0.9</v>
      </c>
      <c r="K291" s="101">
        <f t="shared" si="71"/>
        <v>1</v>
      </c>
      <c r="L291" s="101">
        <f t="shared" si="71"/>
        <v>1</v>
      </c>
      <c r="M291" s="101">
        <f t="shared" si="71"/>
        <v>1.8</v>
      </c>
      <c r="N291" s="101">
        <f t="shared" si="71"/>
        <v>1.1000000000000001</v>
      </c>
      <c r="O291" s="101">
        <f t="shared" si="71"/>
        <v>0.79999999999999993</v>
      </c>
      <c r="P291" s="101">
        <f t="shared" si="71"/>
        <v>0.30000000000000004</v>
      </c>
      <c r="Q291" s="101">
        <f t="shared" si="71"/>
        <v>0.9</v>
      </c>
      <c r="R291" s="101">
        <f t="shared" si="71"/>
        <v>0</v>
      </c>
      <c r="S291" s="77"/>
      <c r="T291" s="101">
        <f t="shared" si="68"/>
        <v>1.2000000000000002</v>
      </c>
      <c r="U291" s="101">
        <f t="shared" si="69"/>
        <v>9</v>
      </c>
      <c r="V291" s="102">
        <f t="shared" si="65"/>
        <v>0.45</v>
      </c>
      <c r="W291" s="103">
        <f t="shared" si="66"/>
        <v>493500</v>
      </c>
      <c r="X291" s="104" t="s">
        <v>93</v>
      </c>
    </row>
    <row r="292" spans="1:24" s="75" customFormat="1" ht="12">
      <c r="A292" s="73">
        <f t="shared" si="67"/>
        <v>283</v>
      </c>
      <c r="B292" s="76"/>
      <c r="C292" s="98"/>
      <c r="D292" s="99"/>
      <c r="E292" s="78"/>
      <c r="F292" s="74"/>
      <c r="G292" s="79"/>
      <c r="H292" s="79"/>
      <c r="I292" s="74"/>
      <c r="J292" s="101">
        <f t="shared" si="71"/>
        <v>0</v>
      </c>
      <c r="K292" s="101">
        <f t="shared" si="71"/>
        <v>0</v>
      </c>
      <c r="L292" s="101">
        <f t="shared" si="71"/>
        <v>0</v>
      </c>
      <c r="M292" s="101">
        <f t="shared" si="71"/>
        <v>0</v>
      </c>
      <c r="N292" s="101">
        <f t="shared" si="71"/>
        <v>0</v>
      </c>
      <c r="O292" s="101">
        <f t="shared" si="71"/>
        <v>0</v>
      </c>
      <c r="P292" s="101">
        <f t="shared" si="71"/>
        <v>0</v>
      </c>
      <c r="Q292" s="101">
        <f t="shared" si="71"/>
        <v>0</v>
      </c>
      <c r="R292" s="101">
        <f t="shared" si="71"/>
        <v>0</v>
      </c>
      <c r="S292" s="77"/>
      <c r="T292" s="101">
        <f t="shared" si="68"/>
        <v>0</v>
      </c>
      <c r="U292" s="101">
        <f t="shared" si="69"/>
        <v>0</v>
      </c>
      <c r="V292" s="102">
        <f t="shared" si="65"/>
        <v>0</v>
      </c>
      <c r="W292" s="103">
        <f t="shared" si="66"/>
        <v>0</v>
      </c>
      <c r="X292" s="104" t="s">
        <v>93</v>
      </c>
    </row>
    <row r="293" spans="1:24" s="75" customFormat="1" ht="12">
      <c r="A293" s="73">
        <f t="shared" si="67"/>
        <v>284</v>
      </c>
      <c r="B293" s="76" t="s">
        <v>2017</v>
      </c>
      <c r="C293" s="98" t="s">
        <v>1978</v>
      </c>
      <c r="D293" s="99"/>
      <c r="E293" s="78" t="s">
        <v>2015</v>
      </c>
      <c r="F293" s="74"/>
      <c r="G293" s="79"/>
      <c r="H293" s="79"/>
      <c r="I293" s="74" t="s">
        <v>5</v>
      </c>
      <c r="J293" s="101">
        <f t="shared" si="71"/>
        <v>0.6</v>
      </c>
      <c r="K293" s="101">
        <f t="shared" si="71"/>
        <v>0.7</v>
      </c>
      <c r="L293" s="101">
        <f t="shared" si="71"/>
        <v>0.7</v>
      </c>
      <c r="M293" s="101">
        <f t="shared" si="71"/>
        <v>1.3</v>
      </c>
      <c r="N293" s="101">
        <f t="shared" si="71"/>
        <v>0.79999999999999993</v>
      </c>
      <c r="O293" s="101">
        <f t="shared" si="71"/>
        <v>0.6</v>
      </c>
      <c r="P293" s="101">
        <f t="shared" si="71"/>
        <v>0.2</v>
      </c>
      <c r="Q293" s="101">
        <f t="shared" si="71"/>
        <v>0.6</v>
      </c>
      <c r="R293" s="101">
        <f t="shared" si="71"/>
        <v>0</v>
      </c>
      <c r="S293" s="77"/>
      <c r="T293" s="101">
        <f t="shared" si="68"/>
        <v>0.9</v>
      </c>
      <c r="U293" s="101">
        <f t="shared" si="69"/>
        <v>6.3999999999999995</v>
      </c>
      <c r="V293" s="102">
        <f t="shared" si="65"/>
        <v>0.31999999999999995</v>
      </c>
      <c r="W293" s="103">
        <f t="shared" si="66"/>
        <v>351750</v>
      </c>
      <c r="X293" s="104" t="s">
        <v>93</v>
      </c>
    </row>
    <row r="294" spans="1:24" s="75" customFormat="1" ht="12">
      <c r="A294" s="73">
        <f t="shared" si="67"/>
        <v>285</v>
      </c>
      <c r="B294" s="76" t="s">
        <v>2017</v>
      </c>
      <c r="C294" s="98" t="s">
        <v>1979</v>
      </c>
      <c r="D294" s="99"/>
      <c r="E294" s="78" t="s">
        <v>2015</v>
      </c>
      <c r="F294" s="74"/>
      <c r="G294" s="79"/>
      <c r="H294" s="79"/>
      <c r="I294" s="74" t="s">
        <v>5</v>
      </c>
      <c r="J294" s="101">
        <f t="shared" si="71"/>
        <v>0.6</v>
      </c>
      <c r="K294" s="101">
        <f t="shared" si="71"/>
        <v>0.7</v>
      </c>
      <c r="L294" s="101">
        <f t="shared" si="71"/>
        <v>0.7</v>
      </c>
      <c r="M294" s="101">
        <f t="shared" si="71"/>
        <v>1.3</v>
      </c>
      <c r="N294" s="101">
        <f t="shared" si="71"/>
        <v>0.79999999999999993</v>
      </c>
      <c r="O294" s="101">
        <f t="shared" si="71"/>
        <v>0.6</v>
      </c>
      <c r="P294" s="101">
        <f t="shared" si="71"/>
        <v>0.2</v>
      </c>
      <c r="Q294" s="101">
        <f t="shared" si="71"/>
        <v>0.6</v>
      </c>
      <c r="R294" s="101">
        <f t="shared" si="71"/>
        <v>0</v>
      </c>
      <c r="S294" s="77"/>
      <c r="T294" s="101">
        <f t="shared" si="68"/>
        <v>0.9</v>
      </c>
      <c r="U294" s="101">
        <f t="shared" si="69"/>
        <v>6.3999999999999995</v>
      </c>
      <c r="V294" s="102">
        <f t="shared" si="65"/>
        <v>0.31999999999999995</v>
      </c>
      <c r="W294" s="103">
        <f t="shared" si="66"/>
        <v>351750</v>
      </c>
      <c r="X294" s="104" t="s">
        <v>93</v>
      </c>
    </row>
    <row r="295" spans="1:24" s="75" customFormat="1" ht="12">
      <c r="A295" s="73">
        <f t="shared" si="67"/>
        <v>286</v>
      </c>
      <c r="B295" s="76" t="s">
        <v>2017</v>
      </c>
      <c r="C295" s="98" t="s">
        <v>1980</v>
      </c>
      <c r="D295" s="99"/>
      <c r="E295" s="78" t="s">
        <v>2015</v>
      </c>
      <c r="F295" s="74"/>
      <c r="G295" s="79"/>
      <c r="H295" s="79"/>
      <c r="I295" s="74" t="s">
        <v>5</v>
      </c>
      <c r="J295" s="101">
        <f t="shared" si="71"/>
        <v>0.6</v>
      </c>
      <c r="K295" s="101">
        <f t="shared" si="71"/>
        <v>0.7</v>
      </c>
      <c r="L295" s="101">
        <f t="shared" si="71"/>
        <v>0.7</v>
      </c>
      <c r="M295" s="101">
        <f t="shared" si="71"/>
        <v>1.3</v>
      </c>
      <c r="N295" s="101">
        <f t="shared" si="71"/>
        <v>0.79999999999999993</v>
      </c>
      <c r="O295" s="101">
        <f t="shared" si="71"/>
        <v>0.6</v>
      </c>
      <c r="P295" s="101">
        <f t="shared" si="71"/>
        <v>0.2</v>
      </c>
      <c r="Q295" s="101">
        <f t="shared" si="71"/>
        <v>0.6</v>
      </c>
      <c r="R295" s="101">
        <f t="shared" si="71"/>
        <v>0</v>
      </c>
      <c r="S295" s="77"/>
      <c r="T295" s="101">
        <f t="shared" si="68"/>
        <v>0.9</v>
      </c>
      <c r="U295" s="101">
        <f t="shared" si="69"/>
        <v>6.3999999999999995</v>
      </c>
      <c r="V295" s="102">
        <f t="shared" si="65"/>
        <v>0.31999999999999995</v>
      </c>
      <c r="W295" s="103">
        <f t="shared" si="66"/>
        <v>351750</v>
      </c>
      <c r="X295" s="104" t="s">
        <v>93</v>
      </c>
    </row>
    <row r="296" spans="1:24" s="75" customFormat="1" ht="12">
      <c r="A296" s="73">
        <f t="shared" si="67"/>
        <v>287</v>
      </c>
      <c r="B296" s="76" t="s">
        <v>2017</v>
      </c>
      <c r="C296" s="98" t="s">
        <v>1981</v>
      </c>
      <c r="D296" s="99"/>
      <c r="E296" s="78" t="s">
        <v>2015</v>
      </c>
      <c r="F296" s="74"/>
      <c r="G296" s="79"/>
      <c r="H296" s="79"/>
      <c r="I296" s="74" t="s">
        <v>5</v>
      </c>
      <c r="J296" s="101">
        <f t="shared" si="71"/>
        <v>0.6</v>
      </c>
      <c r="K296" s="101">
        <f t="shared" si="71"/>
        <v>0.7</v>
      </c>
      <c r="L296" s="101">
        <f t="shared" si="71"/>
        <v>0.7</v>
      </c>
      <c r="M296" s="101">
        <f t="shared" si="71"/>
        <v>1.3</v>
      </c>
      <c r="N296" s="101">
        <f t="shared" si="71"/>
        <v>0.79999999999999993</v>
      </c>
      <c r="O296" s="101">
        <f t="shared" si="71"/>
        <v>0.6</v>
      </c>
      <c r="P296" s="101">
        <f t="shared" si="71"/>
        <v>0.2</v>
      </c>
      <c r="Q296" s="101">
        <f t="shared" si="71"/>
        <v>0.6</v>
      </c>
      <c r="R296" s="101">
        <f t="shared" si="71"/>
        <v>0</v>
      </c>
      <c r="S296" s="77"/>
      <c r="T296" s="101">
        <f t="shared" ref="T296:T302" si="72">ROUNDUP(SUM(J296:S296)*T$8,1)</f>
        <v>0.9</v>
      </c>
      <c r="U296" s="101">
        <f t="shared" ref="U296:U302" si="73">SUM(J296:T296)</f>
        <v>6.3999999999999995</v>
      </c>
      <c r="V296" s="102">
        <f t="shared" ref="V296:V302" si="74">U296/20</f>
        <v>0.31999999999999995</v>
      </c>
      <c r="W296" s="103">
        <f t="shared" ref="W296:W302" si="75">((J296*J$9) + (K296*K$9) + (L296*L$9) + (M296*M$9) + (N296*N$9) + (O296*O$9) + (P296*P$9) + (Q296*Q$9) + (R296*R$9) + (S296*S$9) + (T296*T$9))/20</f>
        <v>351750</v>
      </c>
      <c r="X296" s="104" t="s">
        <v>93</v>
      </c>
    </row>
    <row r="297" spans="1:24" s="75" customFormat="1" ht="12">
      <c r="A297" s="73">
        <f t="shared" si="67"/>
        <v>288</v>
      </c>
      <c r="B297" s="76" t="s">
        <v>2017</v>
      </c>
      <c r="C297" s="98" t="s">
        <v>1984</v>
      </c>
      <c r="D297" s="99"/>
      <c r="E297" s="78" t="s">
        <v>2015</v>
      </c>
      <c r="F297" s="74"/>
      <c r="G297" s="79"/>
      <c r="H297" s="79"/>
      <c r="I297" s="74" t="s">
        <v>5</v>
      </c>
      <c r="J297" s="101">
        <f t="shared" si="71"/>
        <v>0.6</v>
      </c>
      <c r="K297" s="101">
        <f t="shared" si="71"/>
        <v>0.7</v>
      </c>
      <c r="L297" s="101">
        <f t="shared" si="71"/>
        <v>0.7</v>
      </c>
      <c r="M297" s="101">
        <f t="shared" si="71"/>
        <v>1.3</v>
      </c>
      <c r="N297" s="101">
        <f t="shared" si="71"/>
        <v>0.79999999999999993</v>
      </c>
      <c r="O297" s="101">
        <f t="shared" si="71"/>
        <v>0.6</v>
      </c>
      <c r="P297" s="101">
        <f t="shared" si="71"/>
        <v>0.2</v>
      </c>
      <c r="Q297" s="101">
        <f t="shared" si="71"/>
        <v>0.6</v>
      </c>
      <c r="R297" s="101">
        <f t="shared" ref="J297:R302" si="76">ROUNDUP(IF($E297="画面",画面係数,IF($E297="帳票",帳票係数,IF($E297="バッチ",バッチ係数,0))) *
 IF($I297="特高",特高係数,IF($I297="高",高係数,IF($I297="中",中係数,IF($I297="低",低係数,IF($I297="特低",特低係数,0))))) *
 IF(R$7="SA",要件定義係数,IF(R$7="UI",基本設計係数,IF(R$7="SS",詳細設計係数,IF(R$7="PS/PG/PT",製作係数,IF(R$7="IT",結合テスト係数,IF(R$7="ST",総合テスト係数,IF(R$7="OT",受入支援係数,IF(R$7="RL",移行切替係数,IF(R$7="その他",その他係数,0))))))))) *
 R$8,1)</f>
        <v>0</v>
      </c>
      <c r="S297" s="77"/>
      <c r="T297" s="101">
        <f t="shared" si="72"/>
        <v>0.9</v>
      </c>
      <c r="U297" s="101">
        <f t="shared" si="73"/>
        <v>6.3999999999999995</v>
      </c>
      <c r="V297" s="102">
        <f t="shared" si="74"/>
        <v>0.31999999999999995</v>
      </c>
      <c r="W297" s="103">
        <f t="shared" si="75"/>
        <v>351750</v>
      </c>
      <c r="X297" s="104" t="s">
        <v>93</v>
      </c>
    </row>
    <row r="298" spans="1:24" s="75" customFormat="1" ht="12">
      <c r="A298" s="73">
        <f t="shared" si="67"/>
        <v>289</v>
      </c>
      <c r="B298" s="76" t="s">
        <v>2017</v>
      </c>
      <c r="C298" s="98" t="s">
        <v>1988</v>
      </c>
      <c r="D298" s="99"/>
      <c r="E298" s="78" t="s">
        <v>2015</v>
      </c>
      <c r="F298" s="74"/>
      <c r="G298" s="79"/>
      <c r="H298" s="79"/>
      <c r="I298" s="74" t="s">
        <v>5</v>
      </c>
      <c r="J298" s="101">
        <f t="shared" si="76"/>
        <v>0.6</v>
      </c>
      <c r="K298" s="101">
        <f t="shared" si="76"/>
        <v>0.7</v>
      </c>
      <c r="L298" s="101">
        <f t="shared" si="76"/>
        <v>0.7</v>
      </c>
      <c r="M298" s="101">
        <f t="shared" si="76"/>
        <v>1.3</v>
      </c>
      <c r="N298" s="101">
        <f t="shared" si="76"/>
        <v>0.79999999999999993</v>
      </c>
      <c r="O298" s="101">
        <f t="shared" si="76"/>
        <v>0.6</v>
      </c>
      <c r="P298" s="101">
        <f t="shared" si="76"/>
        <v>0.2</v>
      </c>
      <c r="Q298" s="101">
        <f t="shared" si="76"/>
        <v>0.6</v>
      </c>
      <c r="R298" s="101">
        <f t="shared" si="76"/>
        <v>0</v>
      </c>
      <c r="S298" s="77"/>
      <c r="T298" s="101">
        <f t="shared" si="72"/>
        <v>0.9</v>
      </c>
      <c r="U298" s="101">
        <f t="shared" si="73"/>
        <v>6.3999999999999995</v>
      </c>
      <c r="V298" s="102">
        <f t="shared" si="74"/>
        <v>0.31999999999999995</v>
      </c>
      <c r="W298" s="103">
        <f t="shared" si="75"/>
        <v>351750</v>
      </c>
      <c r="X298" s="104" t="s">
        <v>93</v>
      </c>
    </row>
    <row r="299" spans="1:24" s="75" customFormat="1" ht="12">
      <c r="A299" s="73">
        <f t="shared" si="67"/>
        <v>290</v>
      </c>
      <c r="B299" s="76" t="s">
        <v>2017</v>
      </c>
      <c r="C299" s="98" t="s">
        <v>1989</v>
      </c>
      <c r="D299" s="99"/>
      <c r="E299" s="78" t="s">
        <v>2015</v>
      </c>
      <c r="F299" s="74"/>
      <c r="G299" s="79"/>
      <c r="H299" s="79"/>
      <c r="I299" s="74" t="s">
        <v>5</v>
      </c>
      <c r="J299" s="101">
        <f t="shared" si="76"/>
        <v>0.6</v>
      </c>
      <c r="K299" s="101">
        <f t="shared" si="76"/>
        <v>0.7</v>
      </c>
      <c r="L299" s="101">
        <f t="shared" si="76"/>
        <v>0.7</v>
      </c>
      <c r="M299" s="101">
        <f t="shared" si="76"/>
        <v>1.3</v>
      </c>
      <c r="N299" s="101">
        <f t="shared" si="76"/>
        <v>0.79999999999999993</v>
      </c>
      <c r="O299" s="101">
        <f t="shared" si="76"/>
        <v>0.6</v>
      </c>
      <c r="P299" s="101">
        <f t="shared" si="76"/>
        <v>0.2</v>
      </c>
      <c r="Q299" s="101">
        <f t="shared" si="76"/>
        <v>0.6</v>
      </c>
      <c r="R299" s="101">
        <f t="shared" si="76"/>
        <v>0</v>
      </c>
      <c r="S299" s="77"/>
      <c r="T299" s="101">
        <f t="shared" si="72"/>
        <v>0.9</v>
      </c>
      <c r="U299" s="101">
        <f t="shared" si="73"/>
        <v>6.3999999999999995</v>
      </c>
      <c r="V299" s="102">
        <f t="shared" si="74"/>
        <v>0.31999999999999995</v>
      </c>
      <c r="W299" s="103">
        <f t="shared" si="75"/>
        <v>351750</v>
      </c>
      <c r="X299" s="104" t="s">
        <v>93</v>
      </c>
    </row>
    <row r="300" spans="1:24" s="75" customFormat="1" ht="12">
      <c r="A300" s="73">
        <f t="shared" si="67"/>
        <v>291</v>
      </c>
      <c r="B300" s="76" t="s">
        <v>2017</v>
      </c>
      <c r="C300" s="98" t="s">
        <v>2010</v>
      </c>
      <c r="D300" s="99"/>
      <c r="E300" s="78" t="s">
        <v>2015</v>
      </c>
      <c r="F300" s="74"/>
      <c r="G300" s="79"/>
      <c r="H300" s="79"/>
      <c r="I300" s="74" t="s">
        <v>5</v>
      </c>
      <c r="J300" s="101">
        <f t="shared" si="76"/>
        <v>0.6</v>
      </c>
      <c r="K300" s="101">
        <f t="shared" si="76"/>
        <v>0.7</v>
      </c>
      <c r="L300" s="101">
        <f t="shared" si="76"/>
        <v>0.7</v>
      </c>
      <c r="M300" s="101">
        <f t="shared" si="76"/>
        <v>1.3</v>
      </c>
      <c r="N300" s="101">
        <f t="shared" si="76"/>
        <v>0.79999999999999993</v>
      </c>
      <c r="O300" s="101">
        <f t="shared" si="76"/>
        <v>0.6</v>
      </c>
      <c r="P300" s="101">
        <f t="shared" si="76"/>
        <v>0.2</v>
      </c>
      <c r="Q300" s="101">
        <f t="shared" si="76"/>
        <v>0.6</v>
      </c>
      <c r="R300" s="101">
        <f t="shared" si="76"/>
        <v>0</v>
      </c>
      <c r="S300" s="77"/>
      <c r="T300" s="101">
        <f t="shared" si="72"/>
        <v>0.9</v>
      </c>
      <c r="U300" s="101">
        <f t="shared" si="73"/>
        <v>6.3999999999999995</v>
      </c>
      <c r="V300" s="102">
        <f t="shared" si="74"/>
        <v>0.31999999999999995</v>
      </c>
      <c r="W300" s="103">
        <f t="shared" si="75"/>
        <v>351750</v>
      </c>
      <c r="X300" s="104" t="s">
        <v>93</v>
      </c>
    </row>
    <row r="301" spans="1:24" s="75" customFormat="1" ht="12">
      <c r="A301" s="73">
        <f t="shared" si="67"/>
        <v>292</v>
      </c>
      <c r="B301" s="76" t="s">
        <v>2017</v>
      </c>
      <c r="C301" s="98" t="s">
        <v>2011</v>
      </c>
      <c r="D301" s="99"/>
      <c r="E301" s="78" t="s">
        <v>2015</v>
      </c>
      <c r="F301" s="74"/>
      <c r="G301" s="79"/>
      <c r="H301" s="79"/>
      <c r="I301" s="74" t="s">
        <v>5</v>
      </c>
      <c r="J301" s="101">
        <f t="shared" si="76"/>
        <v>0.6</v>
      </c>
      <c r="K301" s="101">
        <f t="shared" si="76"/>
        <v>0.7</v>
      </c>
      <c r="L301" s="101">
        <f t="shared" si="76"/>
        <v>0.7</v>
      </c>
      <c r="M301" s="101">
        <f t="shared" si="76"/>
        <v>1.3</v>
      </c>
      <c r="N301" s="101">
        <f t="shared" si="76"/>
        <v>0.79999999999999993</v>
      </c>
      <c r="O301" s="101">
        <f t="shared" si="76"/>
        <v>0.6</v>
      </c>
      <c r="P301" s="101">
        <f t="shared" si="76"/>
        <v>0.2</v>
      </c>
      <c r="Q301" s="101">
        <f t="shared" si="76"/>
        <v>0.6</v>
      </c>
      <c r="R301" s="101">
        <f t="shared" si="76"/>
        <v>0</v>
      </c>
      <c r="S301" s="77"/>
      <c r="T301" s="101">
        <f t="shared" si="72"/>
        <v>0.9</v>
      </c>
      <c r="U301" s="101">
        <f t="shared" si="73"/>
        <v>6.3999999999999995</v>
      </c>
      <c r="V301" s="102">
        <f t="shared" si="74"/>
        <v>0.31999999999999995</v>
      </c>
      <c r="W301" s="103">
        <f t="shared" si="75"/>
        <v>351750</v>
      </c>
      <c r="X301" s="104" t="s">
        <v>93</v>
      </c>
    </row>
    <row r="302" spans="1:24" s="75" customFormat="1" ht="12">
      <c r="A302" s="73">
        <f t="shared" si="67"/>
        <v>293</v>
      </c>
      <c r="B302" s="76"/>
      <c r="C302" s="98"/>
      <c r="D302" s="99"/>
      <c r="E302" s="78"/>
      <c r="F302" s="74"/>
      <c r="G302" s="79"/>
      <c r="H302" s="79"/>
      <c r="I302" s="74"/>
      <c r="J302" s="101">
        <f t="shared" si="76"/>
        <v>0</v>
      </c>
      <c r="K302" s="101">
        <f t="shared" si="76"/>
        <v>0</v>
      </c>
      <c r="L302" s="101">
        <f t="shared" si="76"/>
        <v>0</v>
      </c>
      <c r="M302" s="101">
        <f t="shared" si="76"/>
        <v>0</v>
      </c>
      <c r="N302" s="101">
        <f t="shared" si="76"/>
        <v>0</v>
      </c>
      <c r="O302" s="101">
        <f t="shared" si="76"/>
        <v>0</v>
      </c>
      <c r="P302" s="101">
        <f t="shared" si="76"/>
        <v>0</v>
      </c>
      <c r="Q302" s="101">
        <f t="shared" si="76"/>
        <v>0</v>
      </c>
      <c r="R302" s="101">
        <f t="shared" si="76"/>
        <v>0</v>
      </c>
      <c r="S302" s="77"/>
      <c r="T302" s="101">
        <f t="shared" si="72"/>
        <v>0</v>
      </c>
      <c r="U302" s="101">
        <f t="shared" si="73"/>
        <v>0</v>
      </c>
      <c r="V302" s="102">
        <f t="shared" si="74"/>
        <v>0</v>
      </c>
      <c r="W302" s="103">
        <f t="shared" si="75"/>
        <v>0</v>
      </c>
      <c r="X302" s="104" t="s">
        <v>93</v>
      </c>
    </row>
    <row r="303" spans="1:24" s="75" customFormat="1" ht="12">
      <c r="A303" s="73">
        <f t="shared" si="67"/>
        <v>294</v>
      </c>
      <c r="B303" s="76" t="s">
        <v>2018</v>
      </c>
      <c r="C303" s="98" t="s">
        <v>1969</v>
      </c>
      <c r="D303" s="99"/>
      <c r="E303" s="78" t="s">
        <v>89</v>
      </c>
      <c r="F303" s="74"/>
      <c r="G303" s="79"/>
      <c r="H303" s="79"/>
      <c r="I303" s="74" t="s">
        <v>2019</v>
      </c>
      <c r="J303" s="101">
        <f t="shared" si="71"/>
        <v>0</v>
      </c>
      <c r="K303" s="101">
        <f t="shared" si="71"/>
        <v>0</v>
      </c>
      <c r="L303" s="101">
        <f t="shared" si="71"/>
        <v>0</v>
      </c>
      <c r="M303" s="101">
        <v>0.1</v>
      </c>
      <c r="N303" s="101">
        <f t="shared" si="71"/>
        <v>0</v>
      </c>
      <c r="O303" s="101">
        <f t="shared" si="71"/>
        <v>0</v>
      </c>
      <c r="P303" s="101">
        <f t="shared" si="71"/>
        <v>0</v>
      </c>
      <c r="Q303" s="101">
        <f t="shared" si="71"/>
        <v>0</v>
      </c>
      <c r="R303" s="101">
        <f t="shared" si="71"/>
        <v>0</v>
      </c>
      <c r="S303" s="77"/>
      <c r="T303" s="101">
        <f t="shared" si="68"/>
        <v>0.1</v>
      </c>
      <c r="U303" s="101">
        <f t="shared" si="69"/>
        <v>0.2</v>
      </c>
      <c r="V303" s="102">
        <f t="shared" si="65"/>
        <v>0.01</v>
      </c>
      <c r="W303" s="103">
        <f t="shared" si="66"/>
        <v>12250</v>
      </c>
      <c r="X303" s="104" t="s">
        <v>93</v>
      </c>
    </row>
    <row r="304" spans="1:24" s="75" customFormat="1" ht="12">
      <c r="A304" s="73">
        <f t="shared" si="67"/>
        <v>295</v>
      </c>
      <c r="B304" s="76" t="s">
        <v>2018</v>
      </c>
      <c r="C304" s="98" t="s">
        <v>1972</v>
      </c>
      <c r="D304" s="99"/>
      <c r="E304" s="78" t="s">
        <v>89</v>
      </c>
      <c r="F304" s="74"/>
      <c r="G304" s="79"/>
      <c r="H304" s="79"/>
      <c r="I304" s="74" t="s">
        <v>2019</v>
      </c>
      <c r="J304" s="101">
        <f t="shared" si="71"/>
        <v>0</v>
      </c>
      <c r="K304" s="101">
        <f t="shared" si="71"/>
        <v>0</v>
      </c>
      <c r="L304" s="101">
        <f t="shared" si="71"/>
        <v>0</v>
      </c>
      <c r="M304" s="101">
        <v>0.1</v>
      </c>
      <c r="N304" s="101">
        <f t="shared" si="71"/>
        <v>0</v>
      </c>
      <c r="O304" s="101">
        <f t="shared" si="71"/>
        <v>0</v>
      </c>
      <c r="P304" s="101">
        <f t="shared" si="71"/>
        <v>0</v>
      </c>
      <c r="Q304" s="101">
        <f t="shared" si="71"/>
        <v>0</v>
      </c>
      <c r="R304" s="101">
        <f t="shared" si="71"/>
        <v>0</v>
      </c>
      <c r="S304" s="77"/>
      <c r="T304" s="101">
        <f t="shared" si="68"/>
        <v>0.1</v>
      </c>
      <c r="U304" s="101">
        <f t="shared" si="69"/>
        <v>0.2</v>
      </c>
      <c r="V304" s="102">
        <f t="shared" si="65"/>
        <v>0.01</v>
      </c>
      <c r="W304" s="103">
        <f t="shared" si="66"/>
        <v>12250</v>
      </c>
      <c r="X304" s="104" t="s">
        <v>93</v>
      </c>
    </row>
    <row r="305" spans="1:24" s="75" customFormat="1" ht="12">
      <c r="A305" s="73">
        <f t="shared" si="67"/>
        <v>296</v>
      </c>
      <c r="B305" s="76" t="s">
        <v>2018</v>
      </c>
      <c r="C305" s="98" t="s">
        <v>2013</v>
      </c>
      <c r="D305" s="99"/>
      <c r="E305" s="78" t="s">
        <v>89</v>
      </c>
      <c r="F305" s="74"/>
      <c r="G305" s="79"/>
      <c r="H305" s="79"/>
      <c r="I305" s="74" t="s">
        <v>2019</v>
      </c>
      <c r="J305" s="101">
        <f t="shared" si="71"/>
        <v>0</v>
      </c>
      <c r="K305" s="101">
        <f t="shared" si="71"/>
        <v>0</v>
      </c>
      <c r="L305" s="101">
        <f t="shared" si="71"/>
        <v>0</v>
      </c>
      <c r="M305" s="101">
        <v>0.1</v>
      </c>
      <c r="N305" s="101">
        <f t="shared" si="71"/>
        <v>0</v>
      </c>
      <c r="O305" s="101">
        <f t="shared" si="71"/>
        <v>0</v>
      </c>
      <c r="P305" s="101">
        <f t="shared" si="71"/>
        <v>0</v>
      </c>
      <c r="Q305" s="101">
        <f t="shared" si="71"/>
        <v>0</v>
      </c>
      <c r="R305" s="101">
        <f t="shared" si="71"/>
        <v>0</v>
      </c>
      <c r="S305" s="77"/>
      <c r="T305" s="101">
        <f t="shared" si="68"/>
        <v>0.1</v>
      </c>
      <c r="U305" s="101">
        <f t="shared" si="69"/>
        <v>0.2</v>
      </c>
      <c r="V305" s="102">
        <f t="shared" si="65"/>
        <v>0.01</v>
      </c>
      <c r="W305" s="103">
        <f t="shared" si="66"/>
        <v>12250</v>
      </c>
      <c r="X305" s="104" t="s">
        <v>93</v>
      </c>
    </row>
    <row r="306" spans="1:24" s="75" customFormat="1" ht="12">
      <c r="A306" s="73">
        <f t="shared" si="67"/>
        <v>297</v>
      </c>
      <c r="B306" s="76" t="s">
        <v>2018</v>
      </c>
      <c r="C306" s="98" t="s">
        <v>508</v>
      </c>
      <c r="D306" s="99"/>
      <c r="E306" s="78" t="s">
        <v>89</v>
      </c>
      <c r="F306" s="74"/>
      <c r="G306" s="79"/>
      <c r="H306" s="79"/>
      <c r="I306" s="74" t="s">
        <v>2019</v>
      </c>
      <c r="J306" s="101">
        <f t="shared" si="71"/>
        <v>0</v>
      </c>
      <c r="K306" s="101">
        <f t="shared" si="71"/>
        <v>0</v>
      </c>
      <c r="L306" s="101">
        <f t="shared" si="71"/>
        <v>0</v>
      </c>
      <c r="M306" s="101">
        <v>0.1</v>
      </c>
      <c r="N306" s="101">
        <f t="shared" si="71"/>
        <v>0</v>
      </c>
      <c r="O306" s="101">
        <f t="shared" si="71"/>
        <v>0</v>
      </c>
      <c r="P306" s="101">
        <f t="shared" si="71"/>
        <v>0</v>
      </c>
      <c r="Q306" s="101">
        <f t="shared" si="71"/>
        <v>0</v>
      </c>
      <c r="R306" s="101">
        <f t="shared" si="71"/>
        <v>0</v>
      </c>
      <c r="S306" s="77"/>
      <c r="T306" s="101">
        <f t="shared" si="68"/>
        <v>0.1</v>
      </c>
      <c r="U306" s="101">
        <f t="shared" si="69"/>
        <v>0.2</v>
      </c>
      <c r="V306" s="102">
        <f t="shared" si="65"/>
        <v>0.01</v>
      </c>
      <c r="W306" s="103">
        <f t="shared" si="66"/>
        <v>12250</v>
      </c>
      <c r="X306" s="104" t="s">
        <v>93</v>
      </c>
    </row>
    <row r="307" spans="1:24" s="75" customFormat="1" ht="12">
      <c r="A307" s="73">
        <f t="shared" si="67"/>
        <v>298</v>
      </c>
      <c r="B307" s="76" t="s">
        <v>2018</v>
      </c>
      <c r="C307" s="98" t="s">
        <v>512</v>
      </c>
      <c r="D307" s="99"/>
      <c r="E307" s="78" t="s">
        <v>89</v>
      </c>
      <c r="F307" s="74"/>
      <c r="G307" s="79"/>
      <c r="H307" s="79"/>
      <c r="I307" s="74" t="s">
        <v>2019</v>
      </c>
      <c r="J307" s="101">
        <f t="shared" si="71"/>
        <v>0</v>
      </c>
      <c r="K307" s="101">
        <f t="shared" si="71"/>
        <v>0</v>
      </c>
      <c r="L307" s="101">
        <f t="shared" si="71"/>
        <v>0</v>
      </c>
      <c r="M307" s="101">
        <v>0.1</v>
      </c>
      <c r="N307" s="101">
        <f t="shared" si="71"/>
        <v>0</v>
      </c>
      <c r="O307" s="101">
        <f t="shared" si="71"/>
        <v>0</v>
      </c>
      <c r="P307" s="101">
        <f t="shared" si="71"/>
        <v>0</v>
      </c>
      <c r="Q307" s="101">
        <f t="shared" si="71"/>
        <v>0</v>
      </c>
      <c r="R307" s="101">
        <f t="shared" si="71"/>
        <v>0</v>
      </c>
      <c r="S307" s="77"/>
      <c r="T307" s="101">
        <f t="shared" si="68"/>
        <v>0.1</v>
      </c>
      <c r="U307" s="101">
        <f t="shared" si="69"/>
        <v>0.2</v>
      </c>
      <c r="V307" s="102">
        <f t="shared" si="65"/>
        <v>0.01</v>
      </c>
      <c r="W307" s="103">
        <f t="shared" si="66"/>
        <v>12250</v>
      </c>
      <c r="X307" s="104" t="s">
        <v>93</v>
      </c>
    </row>
    <row r="308" spans="1:24" s="75" customFormat="1" ht="12">
      <c r="A308" s="73">
        <f t="shared" si="67"/>
        <v>299</v>
      </c>
      <c r="B308" s="76" t="s">
        <v>2018</v>
      </c>
      <c r="C308" s="98" t="s">
        <v>2014</v>
      </c>
      <c r="D308" s="99"/>
      <c r="E308" s="78" t="s">
        <v>89</v>
      </c>
      <c r="F308" s="74"/>
      <c r="G308" s="79"/>
      <c r="H308" s="79"/>
      <c r="I308" s="74" t="s">
        <v>2019</v>
      </c>
      <c r="J308" s="101">
        <f t="shared" si="71"/>
        <v>0</v>
      </c>
      <c r="K308" s="101">
        <f t="shared" si="71"/>
        <v>0</v>
      </c>
      <c r="L308" s="101">
        <f t="shared" si="71"/>
        <v>0</v>
      </c>
      <c r="M308" s="101">
        <v>0.1</v>
      </c>
      <c r="N308" s="101">
        <f t="shared" si="71"/>
        <v>0</v>
      </c>
      <c r="O308" s="101">
        <f t="shared" si="71"/>
        <v>0</v>
      </c>
      <c r="P308" s="101">
        <f t="shared" si="71"/>
        <v>0</v>
      </c>
      <c r="Q308" s="101">
        <f t="shared" si="71"/>
        <v>0</v>
      </c>
      <c r="R308" s="101">
        <f t="shared" si="71"/>
        <v>0</v>
      </c>
      <c r="S308" s="77"/>
      <c r="T308" s="101">
        <f t="shared" si="68"/>
        <v>0.1</v>
      </c>
      <c r="U308" s="101">
        <f t="shared" si="69"/>
        <v>0.2</v>
      </c>
      <c r="V308" s="102">
        <f t="shared" si="65"/>
        <v>0.01</v>
      </c>
      <c r="W308" s="103">
        <f t="shared" si="66"/>
        <v>12250</v>
      </c>
      <c r="X308" s="104" t="s">
        <v>93</v>
      </c>
    </row>
    <row r="309" spans="1:24" s="75" customFormat="1" ht="12">
      <c r="A309" s="73">
        <f t="shared" si="67"/>
        <v>300</v>
      </c>
      <c r="B309" s="76"/>
      <c r="C309" s="98"/>
      <c r="D309" s="99"/>
      <c r="E309" s="78"/>
      <c r="F309" s="74"/>
      <c r="G309" s="79"/>
      <c r="H309" s="79"/>
      <c r="I309" s="74"/>
      <c r="J309" s="101">
        <f t="shared" si="71"/>
        <v>0</v>
      </c>
      <c r="K309" s="101">
        <f t="shared" si="71"/>
        <v>0</v>
      </c>
      <c r="L309" s="101">
        <f t="shared" si="71"/>
        <v>0</v>
      </c>
      <c r="M309" s="101">
        <f t="shared" si="71"/>
        <v>0</v>
      </c>
      <c r="N309" s="101">
        <f t="shared" si="71"/>
        <v>0</v>
      </c>
      <c r="O309" s="101">
        <f t="shared" si="71"/>
        <v>0</v>
      </c>
      <c r="P309" s="101">
        <f t="shared" si="71"/>
        <v>0</v>
      </c>
      <c r="Q309" s="101">
        <f t="shared" si="71"/>
        <v>0</v>
      </c>
      <c r="R309" s="101">
        <f t="shared" si="71"/>
        <v>0</v>
      </c>
      <c r="S309" s="77"/>
      <c r="T309" s="101">
        <f t="shared" si="68"/>
        <v>0</v>
      </c>
      <c r="U309" s="101">
        <f t="shared" si="69"/>
        <v>0</v>
      </c>
      <c r="V309" s="102">
        <f t="shared" si="65"/>
        <v>0</v>
      </c>
      <c r="W309" s="103">
        <f t="shared" si="66"/>
        <v>0</v>
      </c>
      <c r="X309" s="104" t="s">
        <v>93</v>
      </c>
    </row>
    <row r="310" spans="1:24" s="75" customFormat="1" ht="12">
      <c r="A310" s="73">
        <f t="shared" si="67"/>
        <v>301</v>
      </c>
      <c r="B310" s="76" t="s">
        <v>2018</v>
      </c>
      <c r="C310" s="98" t="s">
        <v>1971</v>
      </c>
      <c r="D310" s="99"/>
      <c r="E310" s="78" t="s">
        <v>89</v>
      </c>
      <c r="F310" s="74"/>
      <c r="G310" s="79"/>
      <c r="H310" s="79"/>
      <c r="I310" s="74" t="s">
        <v>2019</v>
      </c>
      <c r="J310" s="101">
        <f t="shared" si="71"/>
        <v>0</v>
      </c>
      <c r="K310" s="101">
        <f t="shared" si="71"/>
        <v>0</v>
      </c>
      <c r="L310" s="101">
        <f t="shared" si="71"/>
        <v>0</v>
      </c>
      <c r="M310" s="101">
        <v>0.1</v>
      </c>
      <c r="N310" s="101">
        <f t="shared" si="71"/>
        <v>0</v>
      </c>
      <c r="O310" s="101">
        <f t="shared" si="71"/>
        <v>0</v>
      </c>
      <c r="P310" s="101">
        <f t="shared" si="71"/>
        <v>0</v>
      </c>
      <c r="Q310" s="101">
        <f t="shared" si="71"/>
        <v>0</v>
      </c>
      <c r="R310" s="101">
        <f t="shared" si="71"/>
        <v>0</v>
      </c>
      <c r="S310" s="77"/>
      <c r="T310" s="101">
        <f t="shared" si="68"/>
        <v>0.1</v>
      </c>
      <c r="U310" s="101">
        <f t="shared" si="69"/>
        <v>0.2</v>
      </c>
      <c r="V310" s="102">
        <f t="shared" si="65"/>
        <v>0.01</v>
      </c>
      <c r="W310" s="103">
        <f t="shared" si="66"/>
        <v>12250</v>
      </c>
      <c r="X310" s="104" t="s">
        <v>93</v>
      </c>
    </row>
    <row r="311" spans="1:24" s="75" customFormat="1" ht="12">
      <c r="A311" s="73">
        <f t="shared" si="67"/>
        <v>302</v>
      </c>
      <c r="B311" s="76" t="s">
        <v>2018</v>
      </c>
      <c r="C311" s="98" t="s">
        <v>1975</v>
      </c>
      <c r="D311" s="99"/>
      <c r="E311" s="78" t="s">
        <v>89</v>
      </c>
      <c r="F311" s="74"/>
      <c r="G311" s="79"/>
      <c r="H311" s="79"/>
      <c r="I311" s="74" t="s">
        <v>2019</v>
      </c>
      <c r="J311" s="101">
        <f t="shared" si="71"/>
        <v>0</v>
      </c>
      <c r="K311" s="101">
        <f t="shared" si="71"/>
        <v>0</v>
      </c>
      <c r="L311" s="101">
        <f t="shared" si="71"/>
        <v>0</v>
      </c>
      <c r="M311" s="101">
        <v>0.1</v>
      </c>
      <c r="N311" s="101">
        <f t="shared" si="71"/>
        <v>0</v>
      </c>
      <c r="O311" s="101">
        <f t="shared" si="71"/>
        <v>0</v>
      </c>
      <c r="P311" s="101">
        <f t="shared" si="71"/>
        <v>0</v>
      </c>
      <c r="Q311" s="101">
        <f t="shared" si="71"/>
        <v>0</v>
      </c>
      <c r="R311" s="101">
        <f t="shared" si="71"/>
        <v>0</v>
      </c>
      <c r="S311" s="77"/>
      <c r="T311" s="101">
        <f t="shared" si="68"/>
        <v>0.1</v>
      </c>
      <c r="U311" s="101">
        <f t="shared" si="69"/>
        <v>0.2</v>
      </c>
      <c r="V311" s="102">
        <f t="shared" si="65"/>
        <v>0.01</v>
      </c>
      <c r="W311" s="103">
        <f t="shared" si="66"/>
        <v>12250</v>
      </c>
      <c r="X311" s="104" t="s">
        <v>93</v>
      </c>
    </row>
    <row r="312" spans="1:24" s="75" customFormat="1" ht="12">
      <c r="A312" s="73">
        <f t="shared" si="67"/>
        <v>303</v>
      </c>
      <c r="B312" s="76"/>
      <c r="C312" s="98"/>
      <c r="D312" s="99"/>
      <c r="E312" s="78"/>
      <c r="F312" s="74"/>
      <c r="G312" s="79"/>
      <c r="H312" s="79"/>
      <c r="I312" s="74"/>
      <c r="J312" s="101">
        <f t="shared" si="71"/>
        <v>0</v>
      </c>
      <c r="K312" s="101">
        <f t="shared" si="71"/>
        <v>0</v>
      </c>
      <c r="L312" s="101">
        <f t="shared" si="71"/>
        <v>0</v>
      </c>
      <c r="M312" s="101">
        <f t="shared" si="71"/>
        <v>0</v>
      </c>
      <c r="N312" s="101">
        <f t="shared" si="71"/>
        <v>0</v>
      </c>
      <c r="O312" s="101">
        <f t="shared" si="71"/>
        <v>0</v>
      </c>
      <c r="P312" s="101">
        <f t="shared" si="71"/>
        <v>0</v>
      </c>
      <c r="Q312" s="101">
        <f t="shared" si="71"/>
        <v>0</v>
      </c>
      <c r="R312" s="101">
        <f t="shared" si="71"/>
        <v>0</v>
      </c>
      <c r="S312" s="77"/>
      <c r="T312" s="101">
        <f t="shared" si="68"/>
        <v>0</v>
      </c>
      <c r="U312" s="101">
        <f t="shared" si="69"/>
        <v>0</v>
      </c>
      <c r="V312" s="102">
        <f t="shared" si="65"/>
        <v>0</v>
      </c>
      <c r="W312" s="103">
        <f t="shared" si="66"/>
        <v>0</v>
      </c>
      <c r="X312" s="104" t="s">
        <v>93</v>
      </c>
    </row>
    <row r="313" spans="1:24" s="75" customFormat="1" ht="12">
      <c r="A313" s="73">
        <f t="shared" si="67"/>
        <v>304</v>
      </c>
      <c r="B313" s="76" t="s">
        <v>2071</v>
      </c>
      <c r="C313" s="98" t="s">
        <v>90</v>
      </c>
      <c r="D313" s="99" t="s">
        <v>2063</v>
      </c>
      <c r="E313" s="78" t="s">
        <v>2072</v>
      </c>
      <c r="F313" s="74"/>
      <c r="G313" s="79"/>
      <c r="H313" s="79"/>
      <c r="I313" s="74" t="s">
        <v>2019</v>
      </c>
      <c r="J313" s="101">
        <f t="shared" si="71"/>
        <v>0</v>
      </c>
      <c r="K313" s="101">
        <f t="shared" si="71"/>
        <v>0</v>
      </c>
      <c r="L313" s="101">
        <f t="shared" si="71"/>
        <v>0</v>
      </c>
      <c r="M313" s="101">
        <f t="shared" si="71"/>
        <v>0</v>
      </c>
      <c r="N313" s="101">
        <f t="shared" si="71"/>
        <v>0</v>
      </c>
      <c r="O313" s="101">
        <v>0.1</v>
      </c>
      <c r="P313" s="101">
        <f t="shared" si="71"/>
        <v>0</v>
      </c>
      <c r="Q313" s="101">
        <f t="shared" si="71"/>
        <v>0</v>
      </c>
      <c r="R313" s="101">
        <f t="shared" si="71"/>
        <v>0</v>
      </c>
      <c r="S313" s="77"/>
      <c r="T313" s="101">
        <f t="shared" si="68"/>
        <v>0.1</v>
      </c>
      <c r="U313" s="101">
        <f t="shared" si="69"/>
        <v>0.2</v>
      </c>
      <c r="V313" s="102">
        <f t="shared" si="65"/>
        <v>0.01</v>
      </c>
      <c r="W313" s="103">
        <f t="shared" si="66"/>
        <v>12250</v>
      </c>
      <c r="X313" s="104" t="s">
        <v>93</v>
      </c>
    </row>
    <row r="314" spans="1:24" s="75" customFormat="1" ht="12">
      <c r="A314" s="73">
        <f t="shared" si="67"/>
        <v>305</v>
      </c>
      <c r="B314" s="76" t="s">
        <v>2071</v>
      </c>
      <c r="C314" s="98" t="s">
        <v>98</v>
      </c>
      <c r="D314" s="99" t="s">
        <v>2063</v>
      </c>
      <c r="E314" s="78" t="s">
        <v>2072</v>
      </c>
      <c r="F314" s="74"/>
      <c r="G314" s="79"/>
      <c r="H314" s="79"/>
      <c r="I314" s="74" t="s">
        <v>2019</v>
      </c>
      <c r="J314" s="101">
        <f t="shared" si="71"/>
        <v>0</v>
      </c>
      <c r="K314" s="101">
        <f t="shared" si="71"/>
        <v>0</v>
      </c>
      <c r="L314" s="101">
        <f t="shared" si="71"/>
        <v>0</v>
      </c>
      <c r="M314" s="101">
        <f t="shared" si="71"/>
        <v>0</v>
      </c>
      <c r="N314" s="101">
        <f t="shared" si="71"/>
        <v>0</v>
      </c>
      <c r="O314" s="101">
        <v>0.1</v>
      </c>
      <c r="P314" s="101">
        <f t="shared" si="71"/>
        <v>0</v>
      </c>
      <c r="Q314" s="101">
        <f t="shared" si="71"/>
        <v>0</v>
      </c>
      <c r="R314" s="101">
        <f t="shared" si="71"/>
        <v>0</v>
      </c>
      <c r="S314" s="77"/>
      <c r="T314" s="101">
        <f t="shared" si="68"/>
        <v>0.1</v>
      </c>
      <c r="U314" s="101">
        <f t="shared" si="69"/>
        <v>0.2</v>
      </c>
      <c r="V314" s="102">
        <f t="shared" si="65"/>
        <v>0.01</v>
      </c>
      <c r="W314" s="103">
        <f t="shared" si="66"/>
        <v>12250</v>
      </c>
      <c r="X314" s="104" t="s">
        <v>93</v>
      </c>
    </row>
    <row r="315" spans="1:24" s="75" customFormat="1" ht="12">
      <c r="A315" s="73">
        <f t="shared" si="67"/>
        <v>306</v>
      </c>
      <c r="B315" s="76" t="s">
        <v>2071</v>
      </c>
      <c r="C315" s="98" t="s">
        <v>2020</v>
      </c>
      <c r="D315" s="99" t="s">
        <v>2063</v>
      </c>
      <c r="E315" s="78" t="s">
        <v>2072</v>
      </c>
      <c r="F315" s="74"/>
      <c r="G315" s="79"/>
      <c r="H315" s="79"/>
      <c r="I315" s="74" t="s">
        <v>2019</v>
      </c>
      <c r="J315" s="101">
        <f t="shared" si="71"/>
        <v>0</v>
      </c>
      <c r="K315" s="101">
        <f t="shared" si="71"/>
        <v>0</v>
      </c>
      <c r="L315" s="101">
        <f t="shared" si="71"/>
        <v>0</v>
      </c>
      <c r="M315" s="101">
        <f t="shared" si="71"/>
        <v>0</v>
      </c>
      <c r="N315" s="101">
        <f t="shared" si="71"/>
        <v>0</v>
      </c>
      <c r="O315" s="101">
        <v>0.1</v>
      </c>
      <c r="P315" s="101">
        <f t="shared" si="71"/>
        <v>0</v>
      </c>
      <c r="Q315" s="101">
        <f t="shared" si="71"/>
        <v>0</v>
      </c>
      <c r="R315" s="101">
        <f t="shared" si="71"/>
        <v>0</v>
      </c>
      <c r="S315" s="77"/>
      <c r="T315" s="101">
        <f t="shared" si="68"/>
        <v>0.1</v>
      </c>
      <c r="U315" s="101">
        <f t="shared" si="69"/>
        <v>0.2</v>
      </c>
      <c r="V315" s="102">
        <f t="shared" ref="V315:V378" si="77">U315/20</f>
        <v>0.01</v>
      </c>
      <c r="W315" s="103">
        <f t="shared" ref="W315:W378" si="78">((J315*J$9) + (K315*K$9) + (L315*L$9) + (M315*M$9) + (N315*N$9) + (O315*O$9) + (P315*P$9) + (Q315*Q$9) + (R315*R$9) + (S315*S$9) + (T315*T$9))/20</f>
        <v>12250</v>
      </c>
      <c r="X315" s="104" t="s">
        <v>93</v>
      </c>
    </row>
    <row r="316" spans="1:24" s="75" customFormat="1" ht="12">
      <c r="A316" s="73">
        <f t="shared" ref="A316:A379" si="79">ROW()-9</f>
        <v>307</v>
      </c>
      <c r="B316" s="76" t="s">
        <v>2071</v>
      </c>
      <c r="C316" s="98" t="s">
        <v>1934</v>
      </c>
      <c r="D316" s="99" t="s">
        <v>2063</v>
      </c>
      <c r="E316" s="78" t="s">
        <v>2072</v>
      </c>
      <c r="F316" s="74"/>
      <c r="G316" s="79"/>
      <c r="H316" s="79"/>
      <c r="I316" s="74" t="s">
        <v>2019</v>
      </c>
      <c r="J316" s="101">
        <f t="shared" si="71"/>
        <v>0</v>
      </c>
      <c r="K316" s="101">
        <f t="shared" si="71"/>
        <v>0</v>
      </c>
      <c r="L316" s="101">
        <f t="shared" si="71"/>
        <v>0</v>
      </c>
      <c r="M316" s="101">
        <f t="shared" si="71"/>
        <v>0</v>
      </c>
      <c r="N316" s="101">
        <f t="shared" si="71"/>
        <v>0</v>
      </c>
      <c r="O316" s="101">
        <v>0.1</v>
      </c>
      <c r="P316" s="101">
        <f t="shared" si="71"/>
        <v>0</v>
      </c>
      <c r="Q316" s="101">
        <f t="shared" si="71"/>
        <v>0</v>
      </c>
      <c r="R316" s="101">
        <f t="shared" si="71"/>
        <v>0</v>
      </c>
      <c r="S316" s="77"/>
      <c r="T316" s="101">
        <f t="shared" ref="T316:T379" si="80">ROUNDUP(SUM(J316:S316)*T$8,1)</f>
        <v>0.1</v>
      </c>
      <c r="U316" s="101">
        <f t="shared" ref="U316:U379" si="81">SUM(J316:T316)</f>
        <v>0.2</v>
      </c>
      <c r="V316" s="102">
        <f t="shared" si="77"/>
        <v>0.01</v>
      </c>
      <c r="W316" s="103">
        <f t="shared" si="78"/>
        <v>12250</v>
      </c>
      <c r="X316" s="104" t="s">
        <v>93</v>
      </c>
    </row>
    <row r="317" spans="1:24" s="75" customFormat="1" ht="12">
      <c r="A317" s="73">
        <f t="shared" si="79"/>
        <v>308</v>
      </c>
      <c r="B317" s="76" t="s">
        <v>2071</v>
      </c>
      <c r="C317" s="98" t="s">
        <v>2021</v>
      </c>
      <c r="D317" s="99" t="s">
        <v>2063</v>
      </c>
      <c r="E317" s="78" t="s">
        <v>2072</v>
      </c>
      <c r="F317" s="74"/>
      <c r="G317" s="79"/>
      <c r="H317" s="79"/>
      <c r="I317" s="74" t="s">
        <v>2019</v>
      </c>
      <c r="J317" s="101">
        <f t="shared" si="71"/>
        <v>0</v>
      </c>
      <c r="K317" s="101">
        <f t="shared" si="71"/>
        <v>0</v>
      </c>
      <c r="L317" s="101">
        <f t="shared" si="71"/>
        <v>0</v>
      </c>
      <c r="M317" s="101">
        <f t="shared" si="71"/>
        <v>0</v>
      </c>
      <c r="N317" s="101">
        <f t="shared" si="71"/>
        <v>0</v>
      </c>
      <c r="O317" s="101">
        <v>0.1</v>
      </c>
      <c r="P317" s="101">
        <f t="shared" si="71"/>
        <v>0</v>
      </c>
      <c r="Q317" s="101">
        <f t="shared" si="71"/>
        <v>0</v>
      </c>
      <c r="R317" s="101">
        <f t="shared" si="71"/>
        <v>0</v>
      </c>
      <c r="S317" s="77"/>
      <c r="T317" s="101">
        <f t="shared" si="80"/>
        <v>0.1</v>
      </c>
      <c r="U317" s="101">
        <f t="shared" si="81"/>
        <v>0.2</v>
      </c>
      <c r="V317" s="102">
        <f t="shared" si="77"/>
        <v>0.01</v>
      </c>
      <c r="W317" s="103">
        <f t="shared" si="78"/>
        <v>12250</v>
      </c>
      <c r="X317" s="104" t="s">
        <v>93</v>
      </c>
    </row>
    <row r="318" spans="1:24" s="75" customFormat="1" ht="12">
      <c r="A318" s="73">
        <f t="shared" si="79"/>
        <v>309</v>
      </c>
      <c r="B318" s="76" t="s">
        <v>2071</v>
      </c>
      <c r="C318" s="98" t="s">
        <v>105</v>
      </c>
      <c r="D318" s="99" t="s">
        <v>2063</v>
      </c>
      <c r="E318" s="78" t="s">
        <v>2072</v>
      </c>
      <c r="F318" s="74"/>
      <c r="G318" s="79"/>
      <c r="H318" s="79"/>
      <c r="I318" s="74" t="s">
        <v>2019</v>
      </c>
      <c r="J318" s="101">
        <f t="shared" si="71"/>
        <v>0</v>
      </c>
      <c r="K318" s="101">
        <f t="shared" si="71"/>
        <v>0</v>
      </c>
      <c r="L318" s="101">
        <f t="shared" si="71"/>
        <v>0</v>
      </c>
      <c r="M318" s="101">
        <f t="shared" si="71"/>
        <v>0</v>
      </c>
      <c r="N318" s="101">
        <f t="shared" si="71"/>
        <v>0</v>
      </c>
      <c r="O318" s="101">
        <v>0.1</v>
      </c>
      <c r="P318" s="101">
        <f t="shared" si="71"/>
        <v>0</v>
      </c>
      <c r="Q318" s="101">
        <f t="shared" si="71"/>
        <v>0</v>
      </c>
      <c r="R318" s="101">
        <f t="shared" si="71"/>
        <v>0</v>
      </c>
      <c r="S318" s="77"/>
      <c r="T318" s="101">
        <f t="shared" si="80"/>
        <v>0.1</v>
      </c>
      <c r="U318" s="101">
        <f t="shared" si="81"/>
        <v>0.2</v>
      </c>
      <c r="V318" s="102">
        <f t="shared" si="77"/>
        <v>0.01</v>
      </c>
      <c r="W318" s="103">
        <f t="shared" si="78"/>
        <v>12250</v>
      </c>
      <c r="X318" s="104" t="s">
        <v>93</v>
      </c>
    </row>
    <row r="319" spans="1:24" s="75" customFormat="1" ht="12">
      <c r="A319" s="73">
        <f t="shared" si="79"/>
        <v>310</v>
      </c>
      <c r="B319" s="76" t="s">
        <v>2071</v>
      </c>
      <c r="C319" s="98" t="s">
        <v>2022</v>
      </c>
      <c r="D319" s="99" t="s">
        <v>2063</v>
      </c>
      <c r="E319" s="78" t="s">
        <v>2072</v>
      </c>
      <c r="F319" s="74"/>
      <c r="G319" s="79"/>
      <c r="H319" s="79"/>
      <c r="I319" s="74" t="s">
        <v>2019</v>
      </c>
      <c r="J319" s="101">
        <f t="shared" si="71"/>
        <v>0</v>
      </c>
      <c r="K319" s="101">
        <f t="shared" si="71"/>
        <v>0</v>
      </c>
      <c r="L319" s="101">
        <f t="shared" si="71"/>
        <v>0</v>
      </c>
      <c r="M319" s="101">
        <f t="shared" si="71"/>
        <v>0</v>
      </c>
      <c r="N319" s="101">
        <f t="shared" si="71"/>
        <v>0</v>
      </c>
      <c r="O319" s="101">
        <v>0.1</v>
      </c>
      <c r="P319" s="101">
        <f t="shared" si="71"/>
        <v>0</v>
      </c>
      <c r="Q319" s="101">
        <f t="shared" si="71"/>
        <v>0</v>
      </c>
      <c r="R319" s="101">
        <f t="shared" si="71"/>
        <v>0</v>
      </c>
      <c r="S319" s="77"/>
      <c r="T319" s="101">
        <f t="shared" si="80"/>
        <v>0.1</v>
      </c>
      <c r="U319" s="101">
        <f t="shared" si="81"/>
        <v>0.2</v>
      </c>
      <c r="V319" s="102">
        <f t="shared" si="77"/>
        <v>0.01</v>
      </c>
      <c r="W319" s="103">
        <f t="shared" si="78"/>
        <v>12250</v>
      </c>
      <c r="X319" s="104" t="s">
        <v>93</v>
      </c>
    </row>
    <row r="320" spans="1:24" s="75" customFormat="1" ht="12">
      <c r="A320" s="73">
        <f t="shared" si="79"/>
        <v>311</v>
      </c>
      <c r="B320" s="76" t="s">
        <v>2071</v>
      </c>
      <c r="C320" s="98" t="s">
        <v>1924</v>
      </c>
      <c r="D320" s="99" t="s">
        <v>2063</v>
      </c>
      <c r="E320" s="78" t="s">
        <v>2072</v>
      </c>
      <c r="F320" s="74"/>
      <c r="G320" s="79"/>
      <c r="H320" s="79"/>
      <c r="I320" s="74" t="s">
        <v>2019</v>
      </c>
      <c r="J320" s="101">
        <f t="shared" si="71"/>
        <v>0</v>
      </c>
      <c r="K320" s="101">
        <f t="shared" si="71"/>
        <v>0</v>
      </c>
      <c r="L320" s="101">
        <f t="shared" si="71"/>
        <v>0</v>
      </c>
      <c r="M320" s="101">
        <f t="shared" si="71"/>
        <v>0</v>
      </c>
      <c r="N320" s="101">
        <f t="shared" si="71"/>
        <v>0</v>
      </c>
      <c r="O320" s="101">
        <v>0.1</v>
      </c>
      <c r="P320" s="101">
        <f t="shared" si="71"/>
        <v>0</v>
      </c>
      <c r="Q320" s="101">
        <f t="shared" si="71"/>
        <v>0</v>
      </c>
      <c r="R320" s="101">
        <f t="shared" si="71"/>
        <v>0</v>
      </c>
      <c r="S320" s="77"/>
      <c r="T320" s="101">
        <f t="shared" si="80"/>
        <v>0.1</v>
      </c>
      <c r="U320" s="101">
        <f t="shared" si="81"/>
        <v>0.2</v>
      </c>
      <c r="V320" s="102">
        <f t="shared" si="77"/>
        <v>0.01</v>
      </c>
      <c r="W320" s="103">
        <f t="shared" si="78"/>
        <v>12250</v>
      </c>
      <c r="X320" s="104" t="s">
        <v>93</v>
      </c>
    </row>
    <row r="321" spans="1:24" s="75" customFormat="1" ht="12">
      <c r="A321" s="73">
        <f t="shared" si="79"/>
        <v>312</v>
      </c>
      <c r="B321" s="76" t="s">
        <v>2071</v>
      </c>
      <c r="C321" s="98" t="s">
        <v>101</v>
      </c>
      <c r="D321" s="99" t="s">
        <v>2063</v>
      </c>
      <c r="E321" s="78" t="s">
        <v>2072</v>
      </c>
      <c r="F321" s="74"/>
      <c r="G321" s="79"/>
      <c r="H321" s="79"/>
      <c r="I321" s="74" t="s">
        <v>2019</v>
      </c>
      <c r="J321" s="101">
        <f t="shared" si="71"/>
        <v>0</v>
      </c>
      <c r="K321" s="101">
        <f t="shared" si="71"/>
        <v>0</v>
      </c>
      <c r="L321" s="101">
        <f t="shared" si="71"/>
        <v>0</v>
      </c>
      <c r="M321" s="101">
        <f t="shared" si="71"/>
        <v>0</v>
      </c>
      <c r="N321" s="101">
        <f t="shared" si="71"/>
        <v>0</v>
      </c>
      <c r="O321" s="101">
        <v>0.1</v>
      </c>
      <c r="P321" s="101">
        <f t="shared" si="71"/>
        <v>0</v>
      </c>
      <c r="Q321" s="101">
        <f t="shared" si="71"/>
        <v>0</v>
      </c>
      <c r="R321" s="101">
        <f t="shared" si="71"/>
        <v>0</v>
      </c>
      <c r="S321" s="77"/>
      <c r="T321" s="101">
        <f t="shared" si="80"/>
        <v>0.1</v>
      </c>
      <c r="U321" s="101">
        <f t="shared" si="81"/>
        <v>0.2</v>
      </c>
      <c r="V321" s="102">
        <f t="shared" si="77"/>
        <v>0.01</v>
      </c>
      <c r="W321" s="103">
        <f t="shared" si="78"/>
        <v>12250</v>
      </c>
      <c r="X321" s="104" t="s">
        <v>93</v>
      </c>
    </row>
    <row r="322" spans="1:24" s="75" customFormat="1" ht="12">
      <c r="A322" s="73">
        <f t="shared" si="79"/>
        <v>313</v>
      </c>
      <c r="B322" s="76" t="s">
        <v>2071</v>
      </c>
      <c r="C322" s="98" t="s">
        <v>103</v>
      </c>
      <c r="D322" s="99" t="s">
        <v>2063</v>
      </c>
      <c r="E322" s="78" t="s">
        <v>2072</v>
      </c>
      <c r="F322" s="74"/>
      <c r="G322" s="79"/>
      <c r="H322" s="79"/>
      <c r="I322" s="74" t="s">
        <v>2019</v>
      </c>
      <c r="J322" s="101">
        <f t="shared" si="71"/>
        <v>0</v>
      </c>
      <c r="K322" s="101">
        <f t="shared" si="71"/>
        <v>0</v>
      </c>
      <c r="L322" s="101">
        <f t="shared" si="71"/>
        <v>0</v>
      </c>
      <c r="M322" s="101">
        <f t="shared" ref="J322:R350" si="82">ROUNDUP(IF($E322="画面",画面係数,IF($E322="帳票",帳票係数,IF($E322="バッチ",バッチ係数,0))) *
 IF($I322="特高",特高係数,IF($I322="高",高係数,IF($I322="中",中係数,IF($I322="低",低係数,IF($I322="特低",特低係数,0))))) *
 IF(M$7="SA",要件定義係数,IF(M$7="UI",基本設計係数,IF(M$7="SS",詳細設計係数,IF(M$7="PS/PG/PT",製作係数,IF(M$7="IT",結合テスト係数,IF(M$7="ST",総合テスト係数,IF(M$7="OT",受入支援係数,IF(M$7="RL",移行切替係数,IF(M$7="その他",その他係数,0))))))))) *
 M$8,1)</f>
        <v>0</v>
      </c>
      <c r="N322" s="101">
        <f t="shared" si="82"/>
        <v>0</v>
      </c>
      <c r="O322" s="101">
        <v>0.1</v>
      </c>
      <c r="P322" s="101">
        <f t="shared" si="82"/>
        <v>0</v>
      </c>
      <c r="Q322" s="101">
        <f t="shared" si="82"/>
        <v>0</v>
      </c>
      <c r="R322" s="101">
        <f t="shared" si="82"/>
        <v>0</v>
      </c>
      <c r="S322" s="77"/>
      <c r="T322" s="101">
        <f t="shared" si="80"/>
        <v>0.1</v>
      </c>
      <c r="U322" s="101">
        <f t="shared" si="81"/>
        <v>0.2</v>
      </c>
      <c r="V322" s="102">
        <f t="shared" si="77"/>
        <v>0.01</v>
      </c>
      <c r="W322" s="103">
        <f t="shared" si="78"/>
        <v>12250</v>
      </c>
      <c r="X322" s="104" t="s">
        <v>93</v>
      </c>
    </row>
    <row r="323" spans="1:24" s="75" customFormat="1" ht="12">
      <c r="A323" s="73">
        <f t="shared" si="79"/>
        <v>314</v>
      </c>
      <c r="B323" s="76" t="s">
        <v>2071</v>
      </c>
      <c r="C323" s="98" t="s">
        <v>107</v>
      </c>
      <c r="D323" s="99" t="s">
        <v>2063</v>
      </c>
      <c r="E323" s="78" t="s">
        <v>2072</v>
      </c>
      <c r="F323" s="74"/>
      <c r="G323" s="79"/>
      <c r="H323" s="79"/>
      <c r="I323" s="74" t="s">
        <v>2019</v>
      </c>
      <c r="J323" s="101">
        <f t="shared" si="82"/>
        <v>0</v>
      </c>
      <c r="K323" s="101">
        <f t="shared" si="82"/>
        <v>0</v>
      </c>
      <c r="L323" s="101">
        <f t="shared" si="82"/>
        <v>0</v>
      </c>
      <c r="M323" s="101">
        <f t="shared" si="82"/>
        <v>0</v>
      </c>
      <c r="N323" s="101">
        <f t="shared" si="82"/>
        <v>0</v>
      </c>
      <c r="O323" s="101">
        <v>0.1</v>
      </c>
      <c r="P323" s="101">
        <f t="shared" si="82"/>
        <v>0</v>
      </c>
      <c r="Q323" s="101">
        <f t="shared" si="82"/>
        <v>0</v>
      </c>
      <c r="R323" s="101">
        <f t="shared" si="82"/>
        <v>0</v>
      </c>
      <c r="S323" s="77"/>
      <c r="T323" s="101">
        <f t="shared" si="80"/>
        <v>0.1</v>
      </c>
      <c r="U323" s="101">
        <f t="shared" si="81"/>
        <v>0.2</v>
      </c>
      <c r="V323" s="102">
        <f t="shared" si="77"/>
        <v>0.01</v>
      </c>
      <c r="W323" s="103">
        <f t="shared" si="78"/>
        <v>12250</v>
      </c>
      <c r="X323" s="104" t="s">
        <v>93</v>
      </c>
    </row>
    <row r="324" spans="1:24" s="75" customFormat="1" ht="12">
      <c r="A324" s="73">
        <f t="shared" si="79"/>
        <v>315</v>
      </c>
      <c r="B324" s="76" t="s">
        <v>2071</v>
      </c>
      <c r="C324" s="98" t="s">
        <v>2023</v>
      </c>
      <c r="D324" s="99" t="s">
        <v>2063</v>
      </c>
      <c r="E324" s="78" t="s">
        <v>2072</v>
      </c>
      <c r="F324" s="74"/>
      <c r="G324" s="79"/>
      <c r="H324" s="79"/>
      <c r="I324" s="74" t="s">
        <v>2019</v>
      </c>
      <c r="J324" s="101">
        <f t="shared" si="82"/>
        <v>0</v>
      </c>
      <c r="K324" s="101">
        <f t="shared" si="82"/>
        <v>0</v>
      </c>
      <c r="L324" s="101">
        <f t="shared" si="82"/>
        <v>0</v>
      </c>
      <c r="M324" s="101">
        <f t="shared" si="82"/>
        <v>0</v>
      </c>
      <c r="N324" s="101">
        <f t="shared" si="82"/>
        <v>0</v>
      </c>
      <c r="O324" s="101">
        <v>0.1</v>
      </c>
      <c r="P324" s="101">
        <f t="shared" si="82"/>
        <v>0</v>
      </c>
      <c r="Q324" s="101">
        <f t="shared" si="82"/>
        <v>0</v>
      </c>
      <c r="R324" s="101">
        <f t="shared" si="82"/>
        <v>0</v>
      </c>
      <c r="S324" s="77"/>
      <c r="T324" s="101">
        <f t="shared" si="80"/>
        <v>0.1</v>
      </c>
      <c r="U324" s="101">
        <f t="shared" si="81"/>
        <v>0.2</v>
      </c>
      <c r="V324" s="102">
        <f t="shared" si="77"/>
        <v>0.01</v>
      </c>
      <c r="W324" s="103">
        <f t="shared" si="78"/>
        <v>12250</v>
      </c>
      <c r="X324" s="104" t="s">
        <v>93</v>
      </c>
    </row>
    <row r="325" spans="1:24" s="75" customFormat="1" ht="12">
      <c r="A325" s="73">
        <f t="shared" si="79"/>
        <v>316</v>
      </c>
      <c r="B325" s="76" t="s">
        <v>2071</v>
      </c>
      <c r="C325" s="98" t="s">
        <v>2024</v>
      </c>
      <c r="D325" s="99" t="s">
        <v>2063</v>
      </c>
      <c r="E325" s="78" t="s">
        <v>2072</v>
      </c>
      <c r="F325" s="74"/>
      <c r="G325" s="79"/>
      <c r="H325" s="79"/>
      <c r="I325" s="74" t="s">
        <v>2019</v>
      </c>
      <c r="J325" s="101">
        <f t="shared" si="82"/>
        <v>0</v>
      </c>
      <c r="K325" s="101">
        <f t="shared" si="82"/>
        <v>0</v>
      </c>
      <c r="L325" s="101">
        <f t="shared" si="82"/>
        <v>0</v>
      </c>
      <c r="M325" s="101">
        <f t="shared" si="82"/>
        <v>0</v>
      </c>
      <c r="N325" s="101">
        <f t="shared" si="82"/>
        <v>0</v>
      </c>
      <c r="O325" s="101">
        <v>0.1</v>
      </c>
      <c r="P325" s="101">
        <f t="shared" si="82"/>
        <v>0</v>
      </c>
      <c r="Q325" s="101">
        <f t="shared" si="82"/>
        <v>0</v>
      </c>
      <c r="R325" s="101">
        <f t="shared" si="82"/>
        <v>0</v>
      </c>
      <c r="S325" s="77"/>
      <c r="T325" s="101">
        <f t="shared" si="80"/>
        <v>0.1</v>
      </c>
      <c r="U325" s="101">
        <f t="shared" si="81"/>
        <v>0.2</v>
      </c>
      <c r="V325" s="102">
        <f t="shared" si="77"/>
        <v>0.01</v>
      </c>
      <c r="W325" s="103">
        <f t="shared" si="78"/>
        <v>12250</v>
      </c>
      <c r="X325" s="104" t="s">
        <v>93</v>
      </c>
    </row>
    <row r="326" spans="1:24" s="75" customFormat="1" ht="12">
      <c r="A326" s="73">
        <f t="shared" si="79"/>
        <v>317</v>
      </c>
      <c r="B326" s="76" t="s">
        <v>2071</v>
      </c>
      <c r="C326" s="98" t="s">
        <v>2025</v>
      </c>
      <c r="D326" s="99" t="s">
        <v>2063</v>
      </c>
      <c r="E326" s="78" t="s">
        <v>2072</v>
      </c>
      <c r="F326" s="74"/>
      <c r="G326" s="79"/>
      <c r="H326" s="79"/>
      <c r="I326" s="74" t="s">
        <v>2019</v>
      </c>
      <c r="J326" s="101">
        <f t="shared" si="82"/>
        <v>0</v>
      </c>
      <c r="K326" s="101">
        <f t="shared" si="82"/>
        <v>0</v>
      </c>
      <c r="L326" s="101">
        <f t="shared" si="82"/>
        <v>0</v>
      </c>
      <c r="M326" s="101">
        <f t="shared" si="82"/>
        <v>0</v>
      </c>
      <c r="N326" s="101">
        <f t="shared" si="82"/>
        <v>0</v>
      </c>
      <c r="O326" s="101">
        <v>0.1</v>
      </c>
      <c r="P326" s="101">
        <f t="shared" si="82"/>
        <v>0</v>
      </c>
      <c r="Q326" s="101">
        <f t="shared" si="82"/>
        <v>0</v>
      </c>
      <c r="R326" s="101">
        <f t="shared" si="82"/>
        <v>0</v>
      </c>
      <c r="S326" s="77"/>
      <c r="T326" s="101">
        <f t="shared" si="80"/>
        <v>0.1</v>
      </c>
      <c r="U326" s="101">
        <f t="shared" si="81"/>
        <v>0.2</v>
      </c>
      <c r="V326" s="102">
        <f t="shared" si="77"/>
        <v>0.01</v>
      </c>
      <c r="W326" s="103">
        <f t="shared" si="78"/>
        <v>12250</v>
      </c>
      <c r="X326" s="104" t="s">
        <v>93</v>
      </c>
    </row>
    <row r="327" spans="1:24" s="75" customFormat="1" ht="12">
      <c r="A327" s="73">
        <f t="shared" si="79"/>
        <v>318</v>
      </c>
      <c r="B327" s="76" t="s">
        <v>2071</v>
      </c>
      <c r="C327" s="98" t="s">
        <v>2026</v>
      </c>
      <c r="D327" s="99" t="s">
        <v>2063</v>
      </c>
      <c r="E327" s="78" t="s">
        <v>2072</v>
      </c>
      <c r="F327" s="74"/>
      <c r="G327" s="79"/>
      <c r="H327" s="79"/>
      <c r="I327" s="74" t="s">
        <v>2019</v>
      </c>
      <c r="J327" s="101">
        <f t="shared" si="82"/>
        <v>0</v>
      </c>
      <c r="K327" s="101">
        <f t="shared" si="82"/>
        <v>0</v>
      </c>
      <c r="L327" s="101">
        <f t="shared" si="82"/>
        <v>0</v>
      </c>
      <c r="M327" s="101">
        <f t="shared" si="82"/>
        <v>0</v>
      </c>
      <c r="N327" s="101">
        <f t="shared" si="82"/>
        <v>0</v>
      </c>
      <c r="O327" s="101">
        <v>0.1</v>
      </c>
      <c r="P327" s="101">
        <f t="shared" si="82"/>
        <v>0</v>
      </c>
      <c r="Q327" s="101">
        <f t="shared" si="82"/>
        <v>0</v>
      </c>
      <c r="R327" s="101">
        <f t="shared" si="82"/>
        <v>0</v>
      </c>
      <c r="S327" s="77"/>
      <c r="T327" s="101">
        <f t="shared" si="80"/>
        <v>0.1</v>
      </c>
      <c r="U327" s="101">
        <f t="shared" si="81"/>
        <v>0.2</v>
      </c>
      <c r="V327" s="102">
        <f t="shared" si="77"/>
        <v>0.01</v>
      </c>
      <c r="W327" s="103">
        <f t="shared" si="78"/>
        <v>12250</v>
      </c>
      <c r="X327" s="104" t="s">
        <v>93</v>
      </c>
    </row>
    <row r="328" spans="1:24" s="75" customFormat="1" ht="12">
      <c r="A328" s="73">
        <f t="shared" si="79"/>
        <v>319</v>
      </c>
      <c r="B328" s="76" t="s">
        <v>2071</v>
      </c>
      <c r="C328" s="98" t="s">
        <v>2070</v>
      </c>
      <c r="D328" s="99" t="s">
        <v>2063</v>
      </c>
      <c r="E328" s="78" t="s">
        <v>2072</v>
      </c>
      <c r="F328" s="74"/>
      <c r="G328" s="79"/>
      <c r="H328" s="79"/>
      <c r="I328" s="74" t="s">
        <v>2019</v>
      </c>
      <c r="J328" s="101">
        <f t="shared" si="82"/>
        <v>0</v>
      </c>
      <c r="K328" s="101">
        <f t="shared" si="82"/>
        <v>0</v>
      </c>
      <c r="L328" s="101">
        <f t="shared" si="82"/>
        <v>0</v>
      </c>
      <c r="M328" s="101">
        <f t="shared" si="82"/>
        <v>0</v>
      </c>
      <c r="N328" s="101">
        <f t="shared" si="82"/>
        <v>0</v>
      </c>
      <c r="O328" s="101">
        <v>0.1</v>
      </c>
      <c r="P328" s="101">
        <f t="shared" si="82"/>
        <v>0</v>
      </c>
      <c r="Q328" s="101">
        <f t="shared" si="82"/>
        <v>0</v>
      </c>
      <c r="R328" s="101">
        <f t="shared" si="82"/>
        <v>0</v>
      </c>
      <c r="S328" s="77"/>
      <c r="T328" s="101">
        <f t="shared" si="80"/>
        <v>0.1</v>
      </c>
      <c r="U328" s="101">
        <f t="shared" si="81"/>
        <v>0.2</v>
      </c>
      <c r="V328" s="102">
        <f t="shared" si="77"/>
        <v>0.01</v>
      </c>
      <c r="W328" s="103">
        <f t="shared" si="78"/>
        <v>12250</v>
      </c>
      <c r="X328" s="104" t="s">
        <v>93</v>
      </c>
    </row>
    <row r="329" spans="1:24" s="75" customFormat="1" ht="12">
      <c r="A329" s="73">
        <f t="shared" si="79"/>
        <v>320</v>
      </c>
      <c r="B329" s="76" t="s">
        <v>2071</v>
      </c>
      <c r="C329" s="98" t="s">
        <v>2028</v>
      </c>
      <c r="D329" s="99" t="s">
        <v>2063</v>
      </c>
      <c r="E329" s="78" t="s">
        <v>2072</v>
      </c>
      <c r="F329" s="74"/>
      <c r="G329" s="79"/>
      <c r="H329" s="79"/>
      <c r="I329" s="74" t="s">
        <v>2019</v>
      </c>
      <c r="J329" s="101">
        <f t="shared" si="82"/>
        <v>0</v>
      </c>
      <c r="K329" s="101">
        <f t="shared" si="82"/>
        <v>0</v>
      </c>
      <c r="L329" s="101">
        <f t="shared" si="82"/>
        <v>0</v>
      </c>
      <c r="M329" s="101">
        <f t="shared" si="82"/>
        <v>0</v>
      </c>
      <c r="N329" s="101">
        <f t="shared" si="82"/>
        <v>0</v>
      </c>
      <c r="O329" s="101">
        <v>0.1</v>
      </c>
      <c r="P329" s="101">
        <f t="shared" si="82"/>
        <v>0</v>
      </c>
      <c r="Q329" s="101">
        <f t="shared" si="82"/>
        <v>0</v>
      </c>
      <c r="R329" s="101">
        <f t="shared" si="82"/>
        <v>0</v>
      </c>
      <c r="S329" s="77"/>
      <c r="T329" s="101">
        <f t="shared" si="80"/>
        <v>0.1</v>
      </c>
      <c r="U329" s="101">
        <f t="shared" si="81"/>
        <v>0.2</v>
      </c>
      <c r="V329" s="102">
        <f t="shared" si="77"/>
        <v>0.01</v>
      </c>
      <c r="W329" s="103">
        <f t="shared" si="78"/>
        <v>12250</v>
      </c>
      <c r="X329" s="104" t="s">
        <v>93</v>
      </c>
    </row>
    <row r="330" spans="1:24" s="75" customFormat="1" ht="12">
      <c r="A330" s="73">
        <f t="shared" si="79"/>
        <v>321</v>
      </c>
      <c r="B330" s="76" t="s">
        <v>2071</v>
      </c>
      <c r="C330" s="98" t="s">
        <v>2029</v>
      </c>
      <c r="D330" s="99" t="s">
        <v>2063</v>
      </c>
      <c r="E330" s="78" t="s">
        <v>2072</v>
      </c>
      <c r="F330" s="74"/>
      <c r="G330" s="79"/>
      <c r="H330" s="79"/>
      <c r="I330" s="74" t="s">
        <v>2019</v>
      </c>
      <c r="J330" s="101">
        <f t="shared" si="82"/>
        <v>0</v>
      </c>
      <c r="K330" s="101">
        <f t="shared" si="82"/>
        <v>0</v>
      </c>
      <c r="L330" s="101">
        <f t="shared" si="82"/>
        <v>0</v>
      </c>
      <c r="M330" s="101">
        <f t="shared" si="82"/>
        <v>0</v>
      </c>
      <c r="N330" s="101">
        <f t="shared" si="82"/>
        <v>0</v>
      </c>
      <c r="O330" s="101">
        <v>0.1</v>
      </c>
      <c r="P330" s="101">
        <f t="shared" si="82"/>
        <v>0</v>
      </c>
      <c r="Q330" s="101">
        <f t="shared" si="82"/>
        <v>0</v>
      </c>
      <c r="R330" s="101">
        <f t="shared" si="82"/>
        <v>0</v>
      </c>
      <c r="S330" s="77"/>
      <c r="T330" s="101">
        <f t="shared" si="80"/>
        <v>0.1</v>
      </c>
      <c r="U330" s="101">
        <f t="shared" si="81"/>
        <v>0.2</v>
      </c>
      <c r="V330" s="102">
        <f t="shared" si="77"/>
        <v>0.01</v>
      </c>
      <c r="W330" s="103">
        <f t="shared" si="78"/>
        <v>12250</v>
      </c>
      <c r="X330" s="104" t="s">
        <v>93</v>
      </c>
    </row>
    <row r="331" spans="1:24" s="75" customFormat="1" ht="12">
      <c r="A331" s="73">
        <f t="shared" si="79"/>
        <v>322</v>
      </c>
      <c r="B331" s="76" t="s">
        <v>2071</v>
      </c>
      <c r="C331" s="98" t="s">
        <v>96</v>
      </c>
      <c r="D331" s="99" t="s">
        <v>2067</v>
      </c>
      <c r="E331" s="78" t="s">
        <v>2072</v>
      </c>
      <c r="F331" s="74"/>
      <c r="G331" s="79"/>
      <c r="H331" s="79"/>
      <c r="I331" s="74" t="s">
        <v>2019</v>
      </c>
      <c r="J331" s="101">
        <f t="shared" si="82"/>
        <v>0</v>
      </c>
      <c r="K331" s="101">
        <f t="shared" si="82"/>
        <v>0</v>
      </c>
      <c r="L331" s="101">
        <f t="shared" si="82"/>
        <v>0</v>
      </c>
      <c r="M331" s="101">
        <f t="shared" si="82"/>
        <v>0</v>
      </c>
      <c r="N331" s="101">
        <f t="shared" si="82"/>
        <v>0</v>
      </c>
      <c r="O331" s="101">
        <v>0.1</v>
      </c>
      <c r="P331" s="101">
        <f t="shared" si="82"/>
        <v>0</v>
      </c>
      <c r="Q331" s="101">
        <f t="shared" si="82"/>
        <v>0</v>
      </c>
      <c r="R331" s="101">
        <f t="shared" si="82"/>
        <v>0</v>
      </c>
      <c r="S331" s="77"/>
      <c r="T331" s="101">
        <f t="shared" si="80"/>
        <v>0.1</v>
      </c>
      <c r="U331" s="101">
        <f t="shared" si="81"/>
        <v>0.2</v>
      </c>
      <c r="V331" s="102">
        <f t="shared" si="77"/>
        <v>0.01</v>
      </c>
      <c r="W331" s="103">
        <f t="shared" si="78"/>
        <v>12250</v>
      </c>
      <c r="X331" s="104" t="s">
        <v>93</v>
      </c>
    </row>
    <row r="332" spans="1:24" s="75" customFormat="1" ht="12">
      <c r="A332" s="73">
        <f t="shared" si="79"/>
        <v>323</v>
      </c>
      <c r="B332" s="76" t="s">
        <v>2071</v>
      </c>
      <c r="C332" s="98" t="s">
        <v>96</v>
      </c>
      <c r="D332" s="99" t="s">
        <v>2067</v>
      </c>
      <c r="E332" s="78" t="s">
        <v>2072</v>
      </c>
      <c r="F332" s="74"/>
      <c r="G332" s="79"/>
      <c r="H332" s="79"/>
      <c r="I332" s="74" t="s">
        <v>2019</v>
      </c>
      <c r="J332" s="101">
        <f t="shared" si="82"/>
        <v>0</v>
      </c>
      <c r="K332" s="101">
        <f t="shared" si="82"/>
        <v>0</v>
      </c>
      <c r="L332" s="101">
        <f t="shared" si="82"/>
        <v>0</v>
      </c>
      <c r="M332" s="101">
        <f t="shared" si="82"/>
        <v>0</v>
      </c>
      <c r="N332" s="101">
        <f t="shared" si="82"/>
        <v>0</v>
      </c>
      <c r="O332" s="101">
        <v>0.1</v>
      </c>
      <c r="P332" s="101">
        <f t="shared" si="82"/>
        <v>0</v>
      </c>
      <c r="Q332" s="101">
        <f t="shared" si="82"/>
        <v>0</v>
      </c>
      <c r="R332" s="101">
        <f t="shared" si="82"/>
        <v>0</v>
      </c>
      <c r="S332" s="77"/>
      <c r="T332" s="101">
        <f t="shared" si="80"/>
        <v>0.1</v>
      </c>
      <c r="U332" s="101">
        <f t="shared" si="81"/>
        <v>0.2</v>
      </c>
      <c r="V332" s="102">
        <f t="shared" si="77"/>
        <v>0.01</v>
      </c>
      <c r="W332" s="103">
        <f t="shared" si="78"/>
        <v>12250</v>
      </c>
      <c r="X332" s="104" t="s">
        <v>93</v>
      </c>
    </row>
    <row r="333" spans="1:24" s="75" customFormat="1" ht="12">
      <c r="A333" s="73">
        <f t="shared" si="79"/>
        <v>324</v>
      </c>
      <c r="B333" s="76" t="s">
        <v>2071</v>
      </c>
      <c r="C333" s="98" t="s">
        <v>94</v>
      </c>
      <c r="D333" s="99" t="s">
        <v>2067</v>
      </c>
      <c r="E333" s="78" t="s">
        <v>2072</v>
      </c>
      <c r="F333" s="74"/>
      <c r="G333" s="79"/>
      <c r="H333" s="79"/>
      <c r="I333" s="74" t="s">
        <v>2019</v>
      </c>
      <c r="J333" s="101">
        <f t="shared" si="82"/>
        <v>0</v>
      </c>
      <c r="K333" s="101">
        <f t="shared" si="82"/>
        <v>0</v>
      </c>
      <c r="L333" s="101">
        <f t="shared" si="82"/>
        <v>0</v>
      </c>
      <c r="M333" s="101">
        <f t="shared" si="82"/>
        <v>0</v>
      </c>
      <c r="N333" s="101">
        <f t="shared" si="82"/>
        <v>0</v>
      </c>
      <c r="O333" s="101">
        <v>0.1</v>
      </c>
      <c r="P333" s="101">
        <f t="shared" si="82"/>
        <v>0</v>
      </c>
      <c r="Q333" s="101">
        <f t="shared" si="82"/>
        <v>0</v>
      </c>
      <c r="R333" s="101">
        <f t="shared" si="82"/>
        <v>0</v>
      </c>
      <c r="S333" s="77"/>
      <c r="T333" s="101">
        <f t="shared" si="80"/>
        <v>0.1</v>
      </c>
      <c r="U333" s="101">
        <f t="shared" si="81"/>
        <v>0.2</v>
      </c>
      <c r="V333" s="102">
        <f t="shared" si="77"/>
        <v>0.01</v>
      </c>
      <c r="W333" s="103">
        <f t="shared" si="78"/>
        <v>12250</v>
      </c>
      <c r="X333" s="104" t="s">
        <v>93</v>
      </c>
    </row>
    <row r="334" spans="1:24" s="75" customFormat="1" ht="12">
      <c r="A334" s="73">
        <f t="shared" si="79"/>
        <v>325</v>
      </c>
      <c r="B334" s="76" t="s">
        <v>2071</v>
      </c>
      <c r="C334" s="98" t="s">
        <v>95</v>
      </c>
      <c r="D334" s="99" t="s">
        <v>2067</v>
      </c>
      <c r="E334" s="78" t="s">
        <v>2072</v>
      </c>
      <c r="F334" s="74"/>
      <c r="G334" s="79"/>
      <c r="H334" s="79"/>
      <c r="I334" s="74" t="s">
        <v>2019</v>
      </c>
      <c r="J334" s="101">
        <f t="shared" si="82"/>
        <v>0</v>
      </c>
      <c r="K334" s="101">
        <f t="shared" si="82"/>
        <v>0</v>
      </c>
      <c r="L334" s="101">
        <f t="shared" si="82"/>
        <v>0</v>
      </c>
      <c r="M334" s="101">
        <f t="shared" si="82"/>
        <v>0</v>
      </c>
      <c r="N334" s="101">
        <f t="shared" si="82"/>
        <v>0</v>
      </c>
      <c r="O334" s="101">
        <v>0.1</v>
      </c>
      <c r="P334" s="101">
        <f t="shared" si="82"/>
        <v>0</v>
      </c>
      <c r="Q334" s="101">
        <f t="shared" si="82"/>
        <v>0</v>
      </c>
      <c r="R334" s="101">
        <f t="shared" si="82"/>
        <v>0</v>
      </c>
      <c r="S334" s="77"/>
      <c r="T334" s="101">
        <f t="shared" si="80"/>
        <v>0.1</v>
      </c>
      <c r="U334" s="101">
        <f t="shared" si="81"/>
        <v>0.2</v>
      </c>
      <c r="V334" s="102">
        <f t="shared" si="77"/>
        <v>0.01</v>
      </c>
      <c r="W334" s="103">
        <f t="shared" si="78"/>
        <v>12250</v>
      </c>
      <c r="X334" s="104" t="s">
        <v>93</v>
      </c>
    </row>
    <row r="335" spans="1:24" s="75" customFormat="1" ht="12">
      <c r="A335" s="73">
        <f t="shared" si="79"/>
        <v>326</v>
      </c>
      <c r="B335" s="76" t="s">
        <v>2071</v>
      </c>
      <c r="C335" s="98" t="s">
        <v>2033</v>
      </c>
      <c r="D335" s="99" t="s">
        <v>2067</v>
      </c>
      <c r="E335" s="78" t="s">
        <v>2072</v>
      </c>
      <c r="F335" s="74"/>
      <c r="G335" s="79"/>
      <c r="H335" s="79"/>
      <c r="I335" s="74" t="s">
        <v>2019</v>
      </c>
      <c r="J335" s="101">
        <f t="shared" si="82"/>
        <v>0</v>
      </c>
      <c r="K335" s="101">
        <f t="shared" si="82"/>
        <v>0</v>
      </c>
      <c r="L335" s="101">
        <f t="shared" si="82"/>
        <v>0</v>
      </c>
      <c r="M335" s="101">
        <f t="shared" si="82"/>
        <v>0</v>
      </c>
      <c r="N335" s="101">
        <f t="shared" si="82"/>
        <v>0</v>
      </c>
      <c r="O335" s="101">
        <v>0.1</v>
      </c>
      <c r="P335" s="101">
        <f t="shared" si="82"/>
        <v>0</v>
      </c>
      <c r="Q335" s="101">
        <f t="shared" si="82"/>
        <v>0</v>
      </c>
      <c r="R335" s="101">
        <f t="shared" si="82"/>
        <v>0</v>
      </c>
      <c r="S335" s="77"/>
      <c r="T335" s="101">
        <f t="shared" si="80"/>
        <v>0.1</v>
      </c>
      <c r="U335" s="101">
        <f t="shared" si="81"/>
        <v>0.2</v>
      </c>
      <c r="V335" s="102">
        <f t="shared" si="77"/>
        <v>0.01</v>
      </c>
      <c r="W335" s="103">
        <f t="shared" si="78"/>
        <v>12250</v>
      </c>
      <c r="X335" s="104" t="s">
        <v>93</v>
      </c>
    </row>
    <row r="336" spans="1:24" s="75" customFormat="1" ht="12">
      <c r="A336" s="73">
        <f t="shared" si="79"/>
        <v>327</v>
      </c>
      <c r="B336" s="76" t="s">
        <v>2071</v>
      </c>
      <c r="C336" s="98" t="s">
        <v>2034</v>
      </c>
      <c r="D336" s="99" t="s">
        <v>2067</v>
      </c>
      <c r="E336" s="78" t="s">
        <v>2072</v>
      </c>
      <c r="F336" s="74"/>
      <c r="G336" s="79"/>
      <c r="H336" s="79"/>
      <c r="I336" s="74" t="s">
        <v>2019</v>
      </c>
      <c r="J336" s="101">
        <f t="shared" si="82"/>
        <v>0</v>
      </c>
      <c r="K336" s="101">
        <f t="shared" si="82"/>
        <v>0</v>
      </c>
      <c r="L336" s="101">
        <f t="shared" si="82"/>
        <v>0</v>
      </c>
      <c r="M336" s="101">
        <f t="shared" si="82"/>
        <v>0</v>
      </c>
      <c r="N336" s="101">
        <f t="shared" si="82"/>
        <v>0</v>
      </c>
      <c r="O336" s="101">
        <v>0.1</v>
      </c>
      <c r="P336" s="101">
        <f t="shared" si="82"/>
        <v>0</v>
      </c>
      <c r="Q336" s="101">
        <f t="shared" si="82"/>
        <v>0</v>
      </c>
      <c r="R336" s="101">
        <f t="shared" si="82"/>
        <v>0</v>
      </c>
      <c r="S336" s="77"/>
      <c r="T336" s="101">
        <f t="shared" si="80"/>
        <v>0.1</v>
      </c>
      <c r="U336" s="101">
        <f t="shared" si="81"/>
        <v>0.2</v>
      </c>
      <c r="V336" s="102">
        <f t="shared" si="77"/>
        <v>0.01</v>
      </c>
      <c r="W336" s="103">
        <f t="shared" si="78"/>
        <v>12250</v>
      </c>
      <c r="X336" s="104" t="s">
        <v>93</v>
      </c>
    </row>
    <row r="337" spans="1:24" s="75" customFormat="1" ht="12">
      <c r="A337" s="73">
        <f t="shared" si="79"/>
        <v>328</v>
      </c>
      <c r="B337" s="76" t="s">
        <v>2071</v>
      </c>
      <c r="C337" s="98" t="s">
        <v>2035</v>
      </c>
      <c r="D337" s="99" t="s">
        <v>2067</v>
      </c>
      <c r="E337" s="78" t="s">
        <v>2072</v>
      </c>
      <c r="F337" s="74"/>
      <c r="G337" s="79"/>
      <c r="H337" s="79"/>
      <c r="I337" s="74" t="s">
        <v>2019</v>
      </c>
      <c r="J337" s="101">
        <f t="shared" si="82"/>
        <v>0</v>
      </c>
      <c r="K337" s="101">
        <f t="shared" si="82"/>
        <v>0</v>
      </c>
      <c r="L337" s="101">
        <f t="shared" si="82"/>
        <v>0</v>
      </c>
      <c r="M337" s="101">
        <f t="shared" si="82"/>
        <v>0</v>
      </c>
      <c r="N337" s="101">
        <f t="shared" si="82"/>
        <v>0</v>
      </c>
      <c r="O337" s="101">
        <v>0.1</v>
      </c>
      <c r="P337" s="101">
        <f t="shared" si="82"/>
        <v>0</v>
      </c>
      <c r="Q337" s="101">
        <f t="shared" si="82"/>
        <v>0</v>
      </c>
      <c r="R337" s="101">
        <f t="shared" si="82"/>
        <v>0</v>
      </c>
      <c r="S337" s="77"/>
      <c r="T337" s="101">
        <f t="shared" si="80"/>
        <v>0.1</v>
      </c>
      <c r="U337" s="101">
        <f t="shared" si="81"/>
        <v>0.2</v>
      </c>
      <c r="V337" s="102">
        <f t="shared" si="77"/>
        <v>0.01</v>
      </c>
      <c r="W337" s="103">
        <f t="shared" si="78"/>
        <v>12250</v>
      </c>
      <c r="X337" s="104" t="s">
        <v>93</v>
      </c>
    </row>
    <row r="338" spans="1:24" s="75" customFormat="1" ht="12">
      <c r="A338" s="73">
        <f t="shared" si="79"/>
        <v>329</v>
      </c>
      <c r="B338" s="76" t="s">
        <v>2071</v>
      </c>
      <c r="C338" s="98" t="s">
        <v>2036</v>
      </c>
      <c r="D338" s="99" t="s">
        <v>2067</v>
      </c>
      <c r="E338" s="78" t="s">
        <v>2072</v>
      </c>
      <c r="F338" s="74"/>
      <c r="G338" s="79"/>
      <c r="H338" s="79"/>
      <c r="I338" s="74" t="s">
        <v>2019</v>
      </c>
      <c r="J338" s="101">
        <f t="shared" si="82"/>
        <v>0</v>
      </c>
      <c r="K338" s="101">
        <f t="shared" si="82"/>
        <v>0</v>
      </c>
      <c r="L338" s="101">
        <f t="shared" si="82"/>
        <v>0</v>
      </c>
      <c r="M338" s="101">
        <f t="shared" si="82"/>
        <v>0</v>
      </c>
      <c r="N338" s="101">
        <f t="shared" si="82"/>
        <v>0</v>
      </c>
      <c r="O338" s="101">
        <v>0.1</v>
      </c>
      <c r="P338" s="101">
        <f t="shared" si="82"/>
        <v>0</v>
      </c>
      <c r="Q338" s="101">
        <f t="shared" si="82"/>
        <v>0</v>
      </c>
      <c r="R338" s="101">
        <f t="shared" si="82"/>
        <v>0</v>
      </c>
      <c r="S338" s="77"/>
      <c r="T338" s="101">
        <f t="shared" si="80"/>
        <v>0.1</v>
      </c>
      <c r="U338" s="101">
        <f t="shared" si="81"/>
        <v>0.2</v>
      </c>
      <c r="V338" s="102">
        <f t="shared" si="77"/>
        <v>0.01</v>
      </c>
      <c r="W338" s="103">
        <f t="shared" si="78"/>
        <v>12250</v>
      </c>
      <c r="X338" s="104" t="s">
        <v>93</v>
      </c>
    </row>
    <row r="339" spans="1:24" s="75" customFormat="1" ht="12">
      <c r="A339" s="73">
        <f t="shared" si="79"/>
        <v>330</v>
      </c>
      <c r="B339" s="76" t="s">
        <v>2071</v>
      </c>
      <c r="C339" s="98" t="s">
        <v>97</v>
      </c>
      <c r="D339" s="99" t="s">
        <v>2067</v>
      </c>
      <c r="E339" s="78" t="s">
        <v>2072</v>
      </c>
      <c r="F339" s="74"/>
      <c r="G339" s="79"/>
      <c r="H339" s="79"/>
      <c r="I339" s="74" t="s">
        <v>2019</v>
      </c>
      <c r="J339" s="101">
        <f t="shared" si="82"/>
        <v>0</v>
      </c>
      <c r="K339" s="101">
        <f t="shared" si="82"/>
        <v>0</v>
      </c>
      <c r="L339" s="101">
        <f t="shared" si="82"/>
        <v>0</v>
      </c>
      <c r="M339" s="101">
        <f t="shared" si="82"/>
        <v>0</v>
      </c>
      <c r="N339" s="101">
        <f t="shared" si="82"/>
        <v>0</v>
      </c>
      <c r="O339" s="101">
        <v>0.1</v>
      </c>
      <c r="P339" s="101">
        <f t="shared" si="82"/>
        <v>0</v>
      </c>
      <c r="Q339" s="101">
        <f t="shared" si="82"/>
        <v>0</v>
      </c>
      <c r="R339" s="101">
        <f t="shared" si="82"/>
        <v>0</v>
      </c>
      <c r="S339" s="77"/>
      <c r="T339" s="101">
        <f t="shared" si="80"/>
        <v>0.1</v>
      </c>
      <c r="U339" s="101">
        <f t="shared" si="81"/>
        <v>0.2</v>
      </c>
      <c r="V339" s="102">
        <f t="shared" si="77"/>
        <v>0.01</v>
      </c>
      <c r="W339" s="103">
        <f t="shared" si="78"/>
        <v>12250</v>
      </c>
      <c r="X339" s="104" t="s">
        <v>93</v>
      </c>
    </row>
    <row r="340" spans="1:24" s="75" customFormat="1" ht="12">
      <c r="A340" s="73">
        <f t="shared" si="79"/>
        <v>331</v>
      </c>
      <c r="B340" s="76" t="s">
        <v>2071</v>
      </c>
      <c r="C340" s="98" t="s">
        <v>2038</v>
      </c>
      <c r="D340" s="99" t="s">
        <v>2067</v>
      </c>
      <c r="E340" s="78" t="s">
        <v>2072</v>
      </c>
      <c r="F340" s="74"/>
      <c r="G340" s="79"/>
      <c r="H340" s="79"/>
      <c r="I340" s="74" t="s">
        <v>2019</v>
      </c>
      <c r="J340" s="101">
        <f t="shared" si="82"/>
        <v>0</v>
      </c>
      <c r="K340" s="101">
        <f t="shared" si="82"/>
        <v>0</v>
      </c>
      <c r="L340" s="101">
        <f t="shared" si="82"/>
        <v>0</v>
      </c>
      <c r="M340" s="101">
        <f t="shared" si="82"/>
        <v>0</v>
      </c>
      <c r="N340" s="101">
        <f t="shared" si="82"/>
        <v>0</v>
      </c>
      <c r="O340" s="101">
        <v>0.1</v>
      </c>
      <c r="P340" s="101">
        <f t="shared" si="82"/>
        <v>0</v>
      </c>
      <c r="Q340" s="101">
        <f t="shared" si="82"/>
        <v>0</v>
      </c>
      <c r="R340" s="101">
        <f t="shared" si="82"/>
        <v>0</v>
      </c>
      <c r="S340" s="77"/>
      <c r="T340" s="101">
        <f t="shared" si="80"/>
        <v>0.1</v>
      </c>
      <c r="U340" s="101">
        <f t="shared" si="81"/>
        <v>0.2</v>
      </c>
      <c r="V340" s="102">
        <f t="shared" si="77"/>
        <v>0.01</v>
      </c>
      <c r="W340" s="103">
        <f t="shared" si="78"/>
        <v>12250</v>
      </c>
      <c r="X340" s="104" t="s">
        <v>93</v>
      </c>
    </row>
    <row r="341" spans="1:24" s="75" customFormat="1" ht="12">
      <c r="A341" s="73">
        <f t="shared" si="79"/>
        <v>332</v>
      </c>
      <c r="B341" s="76" t="s">
        <v>2071</v>
      </c>
      <c r="C341" s="98" t="s">
        <v>2039</v>
      </c>
      <c r="D341" s="99" t="s">
        <v>2067</v>
      </c>
      <c r="E341" s="78" t="s">
        <v>2072</v>
      </c>
      <c r="F341" s="74"/>
      <c r="G341" s="79"/>
      <c r="H341" s="79"/>
      <c r="I341" s="74" t="s">
        <v>2019</v>
      </c>
      <c r="J341" s="101">
        <f t="shared" si="82"/>
        <v>0</v>
      </c>
      <c r="K341" s="101">
        <f t="shared" si="82"/>
        <v>0</v>
      </c>
      <c r="L341" s="101">
        <f t="shared" si="82"/>
        <v>0</v>
      </c>
      <c r="M341" s="101">
        <f t="shared" si="82"/>
        <v>0</v>
      </c>
      <c r="N341" s="101">
        <f t="shared" si="82"/>
        <v>0</v>
      </c>
      <c r="O341" s="101">
        <v>0.1</v>
      </c>
      <c r="P341" s="101">
        <f t="shared" si="82"/>
        <v>0</v>
      </c>
      <c r="Q341" s="101">
        <f t="shared" si="82"/>
        <v>0</v>
      </c>
      <c r="R341" s="101">
        <f t="shared" si="82"/>
        <v>0</v>
      </c>
      <c r="S341" s="77"/>
      <c r="T341" s="101">
        <f t="shared" si="80"/>
        <v>0.1</v>
      </c>
      <c r="U341" s="101">
        <f t="shared" si="81"/>
        <v>0.2</v>
      </c>
      <c r="V341" s="102">
        <f t="shared" si="77"/>
        <v>0.01</v>
      </c>
      <c r="W341" s="103">
        <f t="shared" si="78"/>
        <v>12250</v>
      </c>
      <c r="X341" s="104" t="s">
        <v>93</v>
      </c>
    </row>
    <row r="342" spans="1:24" s="75" customFormat="1" ht="12">
      <c r="A342" s="73">
        <f t="shared" si="79"/>
        <v>333</v>
      </c>
      <c r="B342" s="76" t="s">
        <v>2071</v>
      </c>
      <c r="C342" s="98" t="s">
        <v>2040</v>
      </c>
      <c r="D342" s="99" t="s">
        <v>2067</v>
      </c>
      <c r="E342" s="78" t="s">
        <v>2072</v>
      </c>
      <c r="F342" s="74"/>
      <c r="G342" s="79"/>
      <c r="H342" s="79"/>
      <c r="I342" s="74" t="s">
        <v>2019</v>
      </c>
      <c r="J342" s="101">
        <f t="shared" si="82"/>
        <v>0</v>
      </c>
      <c r="K342" s="101">
        <f t="shared" si="82"/>
        <v>0</v>
      </c>
      <c r="L342" s="101">
        <f t="shared" si="82"/>
        <v>0</v>
      </c>
      <c r="M342" s="101">
        <f t="shared" si="82"/>
        <v>0</v>
      </c>
      <c r="N342" s="101">
        <f t="shared" si="82"/>
        <v>0</v>
      </c>
      <c r="O342" s="101">
        <v>0.1</v>
      </c>
      <c r="P342" s="101">
        <f t="shared" si="82"/>
        <v>0</v>
      </c>
      <c r="Q342" s="101">
        <f t="shared" si="82"/>
        <v>0</v>
      </c>
      <c r="R342" s="101">
        <f t="shared" si="82"/>
        <v>0</v>
      </c>
      <c r="S342" s="77"/>
      <c r="T342" s="101">
        <f t="shared" si="80"/>
        <v>0.1</v>
      </c>
      <c r="U342" s="101">
        <f t="shared" si="81"/>
        <v>0.2</v>
      </c>
      <c r="V342" s="102">
        <f t="shared" si="77"/>
        <v>0.01</v>
      </c>
      <c r="W342" s="103">
        <f t="shared" si="78"/>
        <v>12250</v>
      </c>
      <c r="X342" s="104" t="s">
        <v>93</v>
      </c>
    </row>
    <row r="343" spans="1:24" s="75" customFormat="1" ht="12">
      <c r="A343" s="73">
        <f t="shared" si="79"/>
        <v>334</v>
      </c>
      <c r="B343" s="76" t="s">
        <v>2071</v>
      </c>
      <c r="C343" s="98" t="s">
        <v>2041</v>
      </c>
      <c r="D343" s="99" t="s">
        <v>2067</v>
      </c>
      <c r="E343" s="78" t="s">
        <v>2072</v>
      </c>
      <c r="F343" s="74"/>
      <c r="G343" s="79"/>
      <c r="H343" s="79"/>
      <c r="I343" s="74" t="s">
        <v>2019</v>
      </c>
      <c r="J343" s="101">
        <f t="shared" si="82"/>
        <v>0</v>
      </c>
      <c r="K343" s="101">
        <f t="shared" si="82"/>
        <v>0</v>
      </c>
      <c r="L343" s="101">
        <f t="shared" si="82"/>
        <v>0</v>
      </c>
      <c r="M343" s="101">
        <f t="shared" si="82"/>
        <v>0</v>
      </c>
      <c r="N343" s="101">
        <f t="shared" si="82"/>
        <v>0</v>
      </c>
      <c r="O343" s="101">
        <v>0.1</v>
      </c>
      <c r="P343" s="101">
        <f t="shared" si="82"/>
        <v>0</v>
      </c>
      <c r="Q343" s="101">
        <f t="shared" si="82"/>
        <v>0</v>
      </c>
      <c r="R343" s="101">
        <f t="shared" si="82"/>
        <v>0</v>
      </c>
      <c r="S343" s="77"/>
      <c r="T343" s="101">
        <f t="shared" si="80"/>
        <v>0.1</v>
      </c>
      <c r="U343" s="101">
        <f t="shared" si="81"/>
        <v>0.2</v>
      </c>
      <c r="V343" s="102">
        <f t="shared" si="77"/>
        <v>0.01</v>
      </c>
      <c r="W343" s="103">
        <f t="shared" si="78"/>
        <v>12250</v>
      </c>
      <c r="X343" s="104" t="s">
        <v>93</v>
      </c>
    </row>
    <row r="344" spans="1:24" s="75" customFormat="1" ht="12">
      <c r="A344" s="73">
        <f t="shared" si="79"/>
        <v>335</v>
      </c>
      <c r="B344" s="76" t="s">
        <v>2071</v>
      </c>
      <c r="C344" s="98" t="s">
        <v>2042</v>
      </c>
      <c r="D344" s="99" t="s">
        <v>2067</v>
      </c>
      <c r="E344" s="78" t="s">
        <v>2072</v>
      </c>
      <c r="F344" s="74"/>
      <c r="G344" s="79"/>
      <c r="H344" s="79"/>
      <c r="I344" s="74" t="s">
        <v>2019</v>
      </c>
      <c r="J344" s="101">
        <f t="shared" si="82"/>
        <v>0</v>
      </c>
      <c r="K344" s="101">
        <f t="shared" si="82"/>
        <v>0</v>
      </c>
      <c r="L344" s="101">
        <f t="shared" si="82"/>
        <v>0</v>
      </c>
      <c r="M344" s="101">
        <f t="shared" si="82"/>
        <v>0</v>
      </c>
      <c r="N344" s="101">
        <f t="shared" si="82"/>
        <v>0</v>
      </c>
      <c r="O344" s="101">
        <v>0.1</v>
      </c>
      <c r="P344" s="101">
        <f t="shared" si="82"/>
        <v>0</v>
      </c>
      <c r="Q344" s="101">
        <f t="shared" si="82"/>
        <v>0</v>
      </c>
      <c r="R344" s="101">
        <f t="shared" si="82"/>
        <v>0</v>
      </c>
      <c r="S344" s="77"/>
      <c r="T344" s="101">
        <f t="shared" si="80"/>
        <v>0.1</v>
      </c>
      <c r="U344" s="101">
        <f t="shared" si="81"/>
        <v>0.2</v>
      </c>
      <c r="V344" s="102">
        <f t="shared" si="77"/>
        <v>0.01</v>
      </c>
      <c r="W344" s="103">
        <f t="shared" si="78"/>
        <v>12250</v>
      </c>
      <c r="X344" s="104" t="s">
        <v>93</v>
      </c>
    </row>
    <row r="345" spans="1:24" s="75" customFormat="1" ht="12">
      <c r="A345" s="73">
        <f t="shared" si="79"/>
        <v>336</v>
      </c>
      <c r="B345" s="76" t="s">
        <v>2071</v>
      </c>
      <c r="C345" s="98" t="s">
        <v>2043</v>
      </c>
      <c r="D345" s="99" t="s">
        <v>2067</v>
      </c>
      <c r="E345" s="78" t="s">
        <v>2072</v>
      </c>
      <c r="F345" s="74"/>
      <c r="G345" s="79"/>
      <c r="H345" s="79"/>
      <c r="I345" s="74" t="s">
        <v>2019</v>
      </c>
      <c r="J345" s="101">
        <f t="shared" si="82"/>
        <v>0</v>
      </c>
      <c r="K345" s="101">
        <f t="shared" si="82"/>
        <v>0</v>
      </c>
      <c r="L345" s="101">
        <f t="shared" si="82"/>
        <v>0</v>
      </c>
      <c r="M345" s="101">
        <f t="shared" si="82"/>
        <v>0</v>
      </c>
      <c r="N345" s="101">
        <f t="shared" si="82"/>
        <v>0</v>
      </c>
      <c r="O345" s="101">
        <v>0.1</v>
      </c>
      <c r="P345" s="101">
        <f t="shared" si="82"/>
        <v>0</v>
      </c>
      <c r="Q345" s="101">
        <f t="shared" si="82"/>
        <v>0</v>
      </c>
      <c r="R345" s="101">
        <f t="shared" si="82"/>
        <v>0</v>
      </c>
      <c r="S345" s="77"/>
      <c r="T345" s="101">
        <f t="shared" si="80"/>
        <v>0.1</v>
      </c>
      <c r="U345" s="101">
        <f t="shared" si="81"/>
        <v>0.2</v>
      </c>
      <c r="V345" s="102">
        <f t="shared" si="77"/>
        <v>0.01</v>
      </c>
      <c r="W345" s="103">
        <f t="shared" si="78"/>
        <v>12250</v>
      </c>
      <c r="X345" s="104" t="s">
        <v>93</v>
      </c>
    </row>
    <row r="346" spans="1:24" s="75" customFormat="1" ht="12">
      <c r="A346" s="73">
        <f t="shared" si="79"/>
        <v>337</v>
      </c>
      <c r="B346" s="76" t="s">
        <v>2071</v>
      </c>
      <c r="C346" s="98" t="s">
        <v>2044</v>
      </c>
      <c r="D346" s="99" t="s">
        <v>2067</v>
      </c>
      <c r="E346" s="78" t="s">
        <v>2072</v>
      </c>
      <c r="F346" s="74"/>
      <c r="G346" s="79"/>
      <c r="H346" s="79"/>
      <c r="I346" s="74" t="s">
        <v>2019</v>
      </c>
      <c r="J346" s="101">
        <f t="shared" si="82"/>
        <v>0</v>
      </c>
      <c r="K346" s="101">
        <f t="shared" si="82"/>
        <v>0</v>
      </c>
      <c r="L346" s="101">
        <f t="shared" si="82"/>
        <v>0</v>
      </c>
      <c r="M346" s="101">
        <f t="shared" si="82"/>
        <v>0</v>
      </c>
      <c r="N346" s="101">
        <f t="shared" si="82"/>
        <v>0</v>
      </c>
      <c r="O346" s="101">
        <v>0.1</v>
      </c>
      <c r="P346" s="101">
        <f t="shared" si="82"/>
        <v>0</v>
      </c>
      <c r="Q346" s="101">
        <f t="shared" si="82"/>
        <v>0</v>
      </c>
      <c r="R346" s="101">
        <f t="shared" si="82"/>
        <v>0</v>
      </c>
      <c r="S346" s="77"/>
      <c r="T346" s="101">
        <f t="shared" si="80"/>
        <v>0.1</v>
      </c>
      <c r="U346" s="101">
        <f t="shared" si="81"/>
        <v>0.2</v>
      </c>
      <c r="V346" s="102">
        <f t="shared" si="77"/>
        <v>0.01</v>
      </c>
      <c r="W346" s="103">
        <f t="shared" si="78"/>
        <v>12250</v>
      </c>
      <c r="X346" s="104" t="s">
        <v>93</v>
      </c>
    </row>
    <row r="347" spans="1:24" s="75" customFormat="1" ht="12">
      <c r="A347" s="73">
        <f t="shared" si="79"/>
        <v>338</v>
      </c>
      <c r="B347" s="76" t="s">
        <v>2071</v>
      </c>
      <c r="C347" s="98" t="s">
        <v>2045</v>
      </c>
      <c r="D347" s="99" t="s">
        <v>2067</v>
      </c>
      <c r="E347" s="78" t="s">
        <v>2072</v>
      </c>
      <c r="F347" s="74"/>
      <c r="G347" s="79"/>
      <c r="H347" s="79"/>
      <c r="I347" s="74" t="s">
        <v>2019</v>
      </c>
      <c r="J347" s="101">
        <f t="shared" si="82"/>
        <v>0</v>
      </c>
      <c r="K347" s="101">
        <f t="shared" si="82"/>
        <v>0</v>
      </c>
      <c r="L347" s="101">
        <f t="shared" si="82"/>
        <v>0</v>
      </c>
      <c r="M347" s="101">
        <f t="shared" si="82"/>
        <v>0</v>
      </c>
      <c r="N347" s="101">
        <f t="shared" si="82"/>
        <v>0</v>
      </c>
      <c r="O347" s="101">
        <v>0.1</v>
      </c>
      <c r="P347" s="101">
        <f t="shared" si="82"/>
        <v>0</v>
      </c>
      <c r="Q347" s="101">
        <f t="shared" si="82"/>
        <v>0</v>
      </c>
      <c r="R347" s="101">
        <f t="shared" si="82"/>
        <v>0</v>
      </c>
      <c r="S347" s="77"/>
      <c r="T347" s="101">
        <f t="shared" si="80"/>
        <v>0.1</v>
      </c>
      <c r="U347" s="101">
        <f t="shared" si="81"/>
        <v>0.2</v>
      </c>
      <c r="V347" s="102">
        <f t="shared" si="77"/>
        <v>0.01</v>
      </c>
      <c r="W347" s="103">
        <f t="shared" si="78"/>
        <v>12250</v>
      </c>
      <c r="X347" s="104" t="s">
        <v>93</v>
      </c>
    </row>
    <row r="348" spans="1:24" s="75" customFormat="1" ht="12">
      <c r="A348" s="73">
        <f t="shared" si="79"/>
        <v>339</v>
      </c>
      <c r="B348" s="76" t="s">
        <v>2071</v>
      </c>
      <c r="C348" s="98" t="s">
        <v>2046</v>
      </c>
      <c r="D348" s="99" t="s">
        <v>2067</v>
      </c>
      <c r="E348" s="78" t="s">
        <v>2072</v>
      </c>
      <c r="F348" s="74"/>
      <c r="G348" s="79"/>
      <c r="H348" s="79"/>
      <c r="I348" s="74" t="s">
        <v>2019</v>
      </c>
      <c r="J348" s="101">
        <f t="shared" si="82"/>
        <v>0</v>
      </c>
      <c r="K348" s="101">
        <f t="shared" si="82"/>
        <v>0</v>
      </c>
      <c r="L348" s="101">
        <f t="shared" si="82"/>
        <v>0</v>
      </c>
      <c r="M348" s="101">
        <f t="shared" si="82"/>
        <v>0</v>
      </c>
      <c r="N348" s="101">
        <f t="shared" si="82"/>
        <v>0</v>
      </c>
      <c r="O348" s="101">
        <v>0.1</v>
      </c>
      <c r="P348" s="101">
        <f t="shared" si="82"/>
        <v>0</v>
      </c>
      <c r="Q348" s="101">
        <f t="shared" si="82"/>
        <v>0</v>
      </c>
      <c r="R348" s="101">
        <f t="shared" si="82"/>
        <v>0</v>
      </c>
      <c r="S348" s="77"/>
      <c r="T348" s="101">
        <f t="shared" si="80"/>
        <v>0.1</v>
      </c>
      <c r="U348" s="101">
        <f t="shared" si="81"/>
        <v>0.2</v>
      </c>
      <c r="V348" s="102">
        <f t="shared" si="77"/>
        <v>0.01</v>
      </c>
      <c r="W348" s="103">
        <f t="shared" si="78"/>
        <v>12250</v>
      </c>
      <c r="X348" s="104" t="s">
        <v>93</v>
      </c>
    </row>
    <row r="349" spans="1:24" s="75" customFormat="1" ht="12">
      <c r="A349" s="73">
        <f t="shared" si="79"/>
        <v>340</v>
      </c>
      <c r="B349" s="76" t="s">
        <v>2071</v>
      </c>
      <c r="C349" s="98" t="s">
        <v>2047</v>
      </c>
      <c r="D349" s="99" t="s">
        <v>2067</v>
      </c>
      <c r="E349" s="78" t="s">
        <v>2072</v>
      </c>
      <c r="F349" s="74"/>
      <c r="G349" s="79"/>
      <c r="H349" s="79"/>
      <c r="I349" s="74" t="s">
        <v>2019</v>
      </c>
      <c r="J349" s="101">
        <f t="shared" si="82"/>
        <v>0</v>
      </c>
      <c r="K349" s="101">
        <f t="shared" si="82"/>
        <v>0</v>
      </c>
      <c r="L349" s="101">
        <f t="shared" si="82"/>
        <v>0</v>
      </c>
      <c r="M349" s="101">
        <f t="shared" si="82"/>
        <v>0</v>
      </c>
      <c r="N349" s="101">
        <f t="shared" si="82"/>
        <v>0</v>
      </c>
      <c r="O349" s="101">
        <v>0.1</v>
      </c>
      <c r="P349" s="101">
        <f t="shared" si="82"/>
        <v>0</v>
      </c>
      <c r="Q349" s="101">
        <f t="shared" si="82"/>
        <v>0</v>
      </c>
      <c r="R349" s="101">
        <f t="shared" si="82"/>
        <v>0</v>
      </c>
      <c r="S349" s="77"/>
      <c r="T349" s="101">
        <f t="shared" si="80"/>
        <v>0.1</v>
      </c>
      <c r="U349" s="101">
        <f t="shared" si="81"/>
        <v>0.2</v>
      </c>
      <c r="V349" s="102">
        <f t="shared" si="77"/>
        <v>0.01</v>
      </c>
      <c r="W349" s="103">
        <f t="shared" si="78"/>
        <v>12250</v>
      </c>
      <c r="X349" s="104" t="s">
        <v>93</v>
      </c>
    </row>
    <row r="350" spans="1:24" s="75" customFormat="1" ht="12">
      <c r="A350" s="73">
        <f t="shared" si="79"/>
        <v>341</v>
      </c>
      <c r="B350" s="76" t="s">
        <v>2071</v>
      </c>
      <c r="C350" s="98" t="s">
        <v>2048</v>
      </c>
      <c r="D350" s="99" t="s">
        <v>2067</v>
      </c>
      <c r="E350" s="78" t="s">
        <v>2072</v>
      </c>
      <c r="F350" s="74"/>
      <c r="G350" s="79"/>
      <c r="H350" s="79"/>
      <c r="I350" s="74" t="s">
        <v>2019</v>
      </c>
      <c r="J350" s="101">
        <f t="shared" si="82"/>
        <v>0</v>
      </c>
      <c r="K350" s="101">
        <f t="shared" si="82"/>
        <v>0</v>
      </c>
      <c r="L350" s="101">
        <f t="shared" si="82"/>
        <v>0</v>
      </c>
      <c r="M350" s="101">
        <f t="shared" si="82"/>
        <v>0</v>
      </c>
      <c r="N350" s="101">
        <f t="shared" si="82"/>
        <v>0</v>
      </c>
      <c r="O350" s="101">
        <v>0.1</v>
      </c>
      <c r="P350" s="101">
        <f t="shared" ref="J350:R378" si="83">ROUNDUP(IF($E350="画面",画面係数,IF($E350="帳票",帳票係数,IF($E350="バッチ",バッチ係数,0))) *
 IF($I350="特高",特高係数,IF($I350="高",高係数,IF($I350="中",中係数,IF($I350="低",低係数,IF($I350="特低",特低係数,0))))) *
 IF(P$7="SA",要件定義係数,IF(P$7="UI",基本設計係数,IF(P$7="SS",詳細設計係数,IF(P$7="PS/PG/PT",製作係数,IF(P$7="IT",結合テスト係数,IF(P$7="ST",総合テスト係数,IF(P$7="OT",受入支援係数,IF(P$7="RL",移行切替係数,IF(P$7="その他",その他係数,0))))))))) *
 P$8,1)</f>
        <v>0</v>
      </c>
      <c r="Q350" s="101">
        <f t="shared" si="83"/>
        <v>0</v>
      </c>
      <c r="R350" s="101">
        <f t="shared" si="83"/>
        <v>0</v>
      </c>
      <c r="S350" s="77"/>
      <c r="T350" s="101">
        <f t="shared" si="80"/>
        <v>0.1</v>
      </c>
      <c r="U350" s="101">
        <f t="shared" si="81"/>
        <v>0.2</v>
      </c>
      <c r="V350" s="102">
        <f t="shared" si="77"/>
        <v>0.01</v>
      </c>
      <c r="W350" s="103">
        <f t="shared" si="78"/>
        <v>12250</v>
      </c>
      <c r="X350" s="104" t="s">
        <v>93</v>
      </c>
    </row>
    <row r="351" spans="1:24" s="75" customFormat="1" ht="12">
      <c r="A351" s="73">
        <f t="shared" si="79"/>
        <v>342</v>
      </c>
      <c r="B351" s="76" t="s">
        <v>2071</v>
      </c>
      <c r="C351" s="98" t="s">
        <v>2049</v>
      </c>
      <c r="D351" s="99" t="s">
        <v>2067</v>
      </c>
      <c r="E351" s="78" t="s">
        <v>2072</v>
      </c>
      <c r="F351" s="74"/>
      <c r="G351" s="79"/>
      <c r="H351" s="79"/>
      <c r="I351" s="74" t="s">
        <v>2019</v>
      </c>
      <c r="J351" s="101">
        <f t="shared" si="83"/>
        <v>0</v>
      </c>
      <c r="K351" s="101">
        <f t="shared" si="83"/>
        <v>0</v>
      </c>
      <c r="L351" s="101">
        <f t="shared" si="83"/>
        <v>0</v>
      </c>
      <c r="M351" s="101">
        <f t="shared" si="83"/>
        <v>0</v>
      </c>
      <c r="N351" s="101">
        <f t="shared" si="83"/>
        <v>0</v>
      </c>
      <c r="O351" s="101">
        <v>0.1</v>
      </c>
      <c r="P351" s="101">
        <f t="shared" si="83"/>
        <v>0</v>
      </c>
      <c r="Q351" s="101">
        <f t="shared" si="83"/>
        <v>0</v>
      </c>
      <c r="R351" s="101">
        <f t="shared" si="83"/>
        <v>0</v>
      </c>
      <c r="S351" s="77"/>
      <c r="T351" s="101">
        <f t="shared" si="80"/>
        <v>0.1</v>
      </c>
      <c r="U351" s="101">
        <f t="shared" si="81"/>
        <v>0.2</v>
      </c>
      <c r="V351" s="102">
        <f t="shared" si="77"/>
        <v>0.01</v>
      </c>
      <c r="W351" s="103">
        <f t="shared" si="78"/>
        <v>12250</v>
      </c>
      <c r="X351" s="104" t="s">
        <v>93</v>
      </c>
    </row>
    <row r="352" spans="1:24" s="75" customFormat="1" ht="12">
      <c r="A352" s="73">
        <f t="shared" si="79"/>
        <v>343</v>
      </c>
      <c r="B352" s="76" t="s">
        <v>2071</v>
      </c>
      <c r="C352" s="98" t="s">
        <v>2050</v>
      </c>
      <c r="D352" s="99" t="s">
        <v>2067</v>
      </c>
      <c r="E352" s="78" t="s">
        <v>2072</v>
      </c>
      <c r="F352" s="74"/>
      <c r="G352" s="79"/>
      <c r="H352" s="79"/>
      <c r="I352" s="74" t="s">
        <v>2019</v>
      </c>
      <c r="J352" s="101">
        <f t="shared" si="83"/>
        <v>0</v>
      </c>
      <c r="K352" s="101">
        <f t="shared" si="83"/>
        <v>0</v>
      </c>
      <c r="L352" s="101">
        <f t="shared" si="83"/>
        <v>0</v>
      </c>
      <c r="M352" s="101">
        <f t="shared" si="83"/>
        <v>0</v>
      </c>
      <c r="N352" s="101">
        <f t="shared" si="83"/>
        <v>0</v>
      </c>
      <c r="O352" s="101">
        <v>0.1</v>
      </c>
      <c r="P352" s="101">
        <f t="shared" si="83"/>
        <v>0</v>
      </c>
      <c r="Q352" s="101">
        <f t="shared" si="83"/>
        <v>0</v>
      </c>
      <c r="R352" s="101">
        <f t="shared" si="83"/>
        <v>0</v>
      </c>
      <c r="S352" s="77"/>
      <c r="T352" s="101">
        <f t="shared" si="80"/>
        <v>0.1</v>
      </c>
      <c r="U352" s="101">
        <f t="shared" si="81"/>
        <v>0.2</v>
      </c>
      <c r="V352" s="102">
        <f t="shared" si="77"/>
        <v>0.01</v>
      </c>
      <c r="W352" s="103">
        <f t="shared" si="78"/>
        <v>12250</v>
      </c>
      <c r="X352" s="104" t="s">
        <v>93</v>
      </c>
    </row>
    <row r="353" spans="1:24" s="75" customFormat="1" ht="12">
      <c r="A353" s="73">
        <f t="shared" si="79"/>
        <v>344</v>
      </c>
      <c r="B353" s="76" t="s">
        <v>2071</v>
      </c>
      <c r="C353" s="98" t="s">
        <v>2051</v>
      </c>
      <c r="D353" s="99" t="s">
        <v>2067</v>
      </c>
      <c r="E353" s="78" t="s">
        <v>2072</v>
      </c>
      <c r="F353" s="74"/>
      <c r="G353" s="79"/>
      <c r="H353" s="79"/>
      <c r="I353" s="74" t="s">
        <v>2019</v>
      </c>
      <c r="J353" s="101">
        <f t="shared" si="83"/>
        <v>0</v>
      </c>
      <c r="K353" s="101">
        <f t="shared" si="83"/>
        <v>0</v>
      </c>
      <c r="L353" s="101">
        <f t="shared" si="83"/>
        <v>0</v>
      </c>
      <c r="M353" s="101">
        <f t="shared" si="83"/>
        <v>0</v>
      </c>
      <c r="N353" s="101">
        <f t="shared" si="83"/>
        <v>0</v>
      </c>
      <c r="O353" s="101">
        <v>0.1</v>
      </c>
      <c r="P353" s="101">
        <f t="shared" si="83"/>
        <v>0</v>
      </c>
      <c r="Q353" s="101">
        <f t="shared" si="83"/>
        <v>0</v>
      </c>
      <c r="R353" s="101">
        <f t="shared" si="83"/>
        <v>0</v>
      </c>
      <c r="S353" s="77"/>
      <c r="T353" s="101">
        <f t="shared" si="80"/>
        <v>0.1</v>
      </c>
      <c r="U353" s="101">
        <f t="shared" si="81"/>
        <v>0.2</v>
      </c>
      <c r="V353" s="102">
        <f t="shared" si="77"/>
        <v>0.01</v>
      </c>
      <c r="W353" s="103">
        <f t="shared" si="78"/>
        <v>12250</v>
      </c>
      <c r="X353" s="104" t="s">
        <v>93</v>
      </c>
    </row>
    <row r="354" spans="1:24" s="75" customFormat="1" ht="12">
      <c r="A354" s="73">
        <f t="shared" si="79"/>
        <v>345</v>
      </c>
      <c r="B354" s="76" t="s">
        <v>2071</v>
      </c>
      <c r="C354" s="98" t="s">
        <v>2052</v>
      </c>
      <c r="D354" s="99" t="s">
        <v>2067</v>
      </c>
      <c r="E354" s="78" t="s">
        <v>2072</v>
      </c>
      <c r="F354" s="74"/>
      <c r="G354" s="79"/>
      <c r="H354" s="79"/>
      <c r="I354" s="74" t="s">
        <v>2019</v>
      </c>
      <c r="J354" s="101">
        <f t="shared" si="83"/>
        <v>0</v>
      </c>
      <c r="K354" s="101">
        <f t="shared" si="83"/>
        <v>0</v>
      </c>
      <c r="L354" s="101">
        <f t="shared" si="83"/>
        <v>0</v>
      </c>
      <c r="M354" s="101">
        <f t="shared" si="83"/>
        <v>0</v>
      </c>
      <c r="N354" s="101">
        <f t="shared" si="83"/>
        <v>0</v>
      </c>
      <c r="O354" s="101">
        <v>0.1</v>
      </c>
      <c r="P354" s="101">
        <f t="shared" si="83"/>
        <v>0</v>
      </c>
      <c r="Q354" s="101">
        <f t="shared" si="83"/>
        <v>0</v>
      </c>
      <c r="R354" s="101">
        <f t="shared" si="83"/>
        <v>0</v>
      </c>
      <c r="S354" s="77"/>
      <c r="T354" s="101">
        <f t="shared" si="80"/>
        <v>0.1</v>
      </c>
      <c r="U354" s="101">
        <f t="shared" si="81"/>
        <v>0.2</v>
      </c>
      <c r="V354" s="102">
        <f t="shared" si="77"/>
        <v>0.01</v>
      </c>
      <c r="W354" s="103">
        <f t="shared" si="78"/>
        <v>12250</v>
      </c>
      <c r="X354" s="104" t="s">
        <v>93</v>
      </c>
    </row>
    <row r="355" spans="1:24" s="75" customFormat="1" ht="12">
      <c r="A355" s="73">
        <f t="shared" si="79"/>
        <v>346</v>
      </c>
      <c r="B355" s="76" t="s">
        <v>2071</v>
      </c>
      <c r="C355" s="98" t="s">
        <v>2053</v>
      </c>
      <c r="D355" s="99" t="s">
        <v>2067</v>
      </c>
      <c r="E355" s="78" t="s">
        <v>2072</v>
      </c>
      <c r="F355" s="74"/>
      <c r="G355" s="79"/>
      <c r="H355" s="79"/>
      <c r="I355" s="74" t="s">
        <v>2019</v>
      </c>
      <c r="J355" s="101">
        <f t="shared" si="83"/>
        <v>0</v>
      </c>
      <c r="K355" s="101">
        <f t="shared" si="83"/>
        <v>0</v>
      </c>
      <c r="L355" s="101">
        <f t="shared" si="83"/>
        <v>0</v>
      </c>
      <c r="M355" s="101">
        <f t="shared" si="83"/>
        <v>0</v>
      </c>
      <c r="N355" s="101">
        <f t="shared" si="83"/>
        <v>0</v>
      </c>
      <c r="O355" s="101">
        <v>0.1</v>
      </c>
      <c r="P355" s="101">
        <f t="shared" si="83"/>
        <v>0</v>
      </c>
      <c r="Q355" s="101">
        <f t="shared" si="83"/>
        <v>0</v>
      </c>
      <c r="R355" s="101">
        <f t="shared" si="83"/>
        <v>0</v>
      </c>
      <c r="S355" s="77"/>
      <c r="T355" s="101">
        <f t="shared" si="80"/>
        <v>0.1</v>
      </c>
      <c r="U355" s="101">
        <f t="shared" si="81"/>
        <v>0.2</v>
      </c>
      <c r="V355" s="102">
        <f t="shared" si="77"/>
        <v>0.01</v>
      </c>
      <c r="W355" s="103">
        <f t="shared" si="78"/>
        <v>12250</v>
      </c>
      <c r="X355" s="104" t="s">
        <v>93</v>
      </c>
    </row>
    <row r="356" spans="1:24" s="75" customFormat="1" ht="12">
      <c r="A356" s="73">
        <f t="shared" si="79"/>
        <v>347</v>
      </c>
      <c r="B356" s="76" t="s">
        <v>2071</v>
      </c>
      <c r="C356" s="98" t="s">
        <v>2054</v>
      </c>
      <c r="D356" s="99" t="s">
        <v>2067</v>
      </c>
      <c r="E356" s="78" t="s">
        <v>2072</v>
      </c>
      <c r="F356" s="74"/>
      <c r="G356" s="79"/>
      <c r="H356" s="79"/>
      <c r="I356" s="74" t="s">
        <v>2019</v>
      </c>
      <c r="J356" s="101">
        <f t="shared" si="83"/>
        <v>0</v>
      </c>
      <c r="K356" s="101">
        <f t="shared" si="83"/>
        <v>0</v>
      </c>
      <c r="L356" s="101">
        <f t="shared" si="83"/>
        <v>0</v>
      </c>
      <c r="M356" s="101">
        <f t="shared" si="83"/>
        <v>0</v>
      </c>
      <c r="N356" s="101">
        <f t="shared" si="83"/>
        <v>0</v>
      </c>
      <c r="O356" s="101">
        <v>0.1</v>
      </c>
      <c r="P356" s="101">
        <f t="shared" si="83"/>
        <v>0</v>
      </c>
      <c r="Q356" s="101">
        <f t="shared" si="83"/>
        <v>0</v>
      </c>
      <c r="R356" s="101">
        <f t="shared" si="83"/>
        <v>0</v>
      </c>
      <c r="S356" s="77"/>
      <c r="T356" s="101">
        <f t="shared" si="80"/>
        <v>0.1</v>
      </c>
      <c r="U356" s="101">
        <f t="shared" si="81"/>
        <v>0.2</v>
      </c>
      <c r="V356" s="102">
        <f t="shared" si="77"/>
        <v>0.01</v>
      </c>
      <c r="W356" s="103">
        <f t="shared" si="78"/>
        <v>12250</v>
      </c>
      <c r="X356" s="104" t="s">
        <v>93</v>
      </c>
    </row>
    <row r="357" spans="1:24" s="75" customFormat="1" ht="12">
      <c r="A357" s="73">
        <f t="shared" si="79"/>
        <v>348</v>
      </c>
      <c r="B357" s="76" t="s">
        <v>2071</v>
      </c>
      <c r="C357" s="98" t="s">
        <v>2055</v>
      </c>
      <c r="D357" s="99" t="s">
        <v>2067</v>
      </c>
      <c r="E357" s="78" t="s">
        <v>2072</v>
      </c>
      <c r="F357" s="74"/>
      <c r="G357" s="79"/>
      <c r="H357" s="79"/>
      <c r="I357" s="74" t="s">
        <v>2019</v>
      </c>
      <c r="J357" s="101">
        <f t="shared" si="83"/>
        <v>0</v>
      </c>
      <c r="K357" s="101">
        <f t="shared" si="83"/>
        <v>0</v>
      </c>
      <c r="L357" s="101">
        <f t="shared" si="83"/>
        <v>0</v>
      </c>
      <c r="M357" s="101">
        <f t="shared" si="83"/>
        <v>0</v>
      </c>
      <c r="N357" s="101">
        <f t="shared" si="83"/>
        <v>0</v>
      </c>
      <c r="O357" s="101">
        <v>0.1</v>
      </c>
      <c r="P357" s="101">
        <f t="shared" si="83"/>
        <v>0</v>
      </c>
      <c r="Q357" s="101">
        <f t="shared" si="83"/>
        <v>0</v>
      </c>
      <c r="R357" s="101">
        <f t="shared" si="83"/>
        <v>0</v>
      </c>
      <c r="S357" s="77"/>
      <c r="T357" s="101">
        <f t="shared" si="80"/>
        <v>0.1</v>
      </c>
      <c r="U357" s="101">
        <f t="shared" si="81"/>
        <v>0.2</v>
      </c>
      <c r="V357" s="102">
        <f t="shared" si="77"/>
        <v>0.01</v>
      </c>
      <c r="W357" s="103">
        <f t="shared" si="78"/>
        <v>12250</v>
      </c>
      <c r="X357" s="104" t="s">
        <v>93</v>
      </c>
    </row>
    <row r="358" spans="1:24" s="75" customFormat="1" ht="12">
      <c r="A358" s="73">
        <f t="shared" si="79"/>
        <v>349</v>
      </c>
      <c r="B358" s="76" t="s">
        <v>2071</v>
      </c>
      <c r="C358" s="98" t="s">
        <v>2056</v>
      </c>
      <c r="D358" s="99" t="s">
        <v>2067</v>
      </c>
      <c r="E358" s="78" t="s">
        <v>2072</v>
      </c>
      <c r="F358" s="74"/>
      <c r="G358" s="79"/>
      <c r="H358" s="79"/>
      <c r="I358" s="74" t="s">
        <v>2019</v>
      </c>
      <c r="J358" s="101">
        <f t="shared" si="83"/>
        <v>0</v>
      </c>
      <c r="K358" s="101">
        <f t="shared" si="83"/>
        <v>0</v>
      </c>
      <c r="L358" s="101">
        <f t="shared" si="83"/>
        <v>0</v>
      </c>
      <c r="M358" s="101">
        <f t="shared" si="83"/>
        <v>0</v>
      </c>
      <c r="N358" s="101">
        <f t="shared" si="83"/>
        <v>0</v>
      </c>
      <c r="O358" s="101">
        <v>0.1</v>
      </c>
      <c r="P358" s="101">
        <f t="shared" si="83"/>
        <v>0</v>
      </c>
      <c r="Q358" s="101">
        <f t="shared" si="83"/>
        <v>0</v>
      </c>
      <c r="R358" s="101">
        <f t="shared" si="83"/>
        <v>0</v>
      </c>
      <c r="S358" s="77"/>
      <c r="T358" s="101">
        <f t="shared" si="80"/>
        <v>0.1</v>
      </c>
      <c r="U358" s="101">
        <f t="shared" si="81"/>
        <v>0.2</v>
      </c>
      <c r="V358" s="102">
        <f t="shared" si="77"/>
        <v>0.01</v>
      </c>
      <c r="W358" s="103">
        <f t="shared" si="78"/>
        <v>12250</v>
      </c>
      <c r="X358" s="104" t="s">
        <v>93</v>
      </c>
    </row>
    <row r="359" spans="1:24" s="75" customFormat="1" ht="12">
      <c r="A359" s="73">
        <f t="shared" si="79"/>
        <v>350</v>
      </c>
      <c r="B359" s="76" t="s">
        <v>2071</v>
      </c>
      <c r="C359" s="98" t="s">
        <v>2057</v>
      </c>
      <c r="D359" s="99" t="s">
        <v>2067</v>
      </c>
      <c r="E359" s="78" t="s">
        <v>2072</v>
      </c>
      <c r="F359" s="74"/>
      <c r="G359" s="79"/>
      <c r="H359" s="79"/>
      <c r="I359" s="74" t="s">
        <v>2019</v>
      </c>
      <c r="J359" s="101">
        <f t="shared" si="83"/>
        <v>0</v>
      </c>
      <c r="K359" s="101">
        <f t="shared" si="83"/>
        <v>0</v>
      </c>
      <c r="L359" s="101">
        <f t="shared" si="83"/>
        <v>0</v>
      </c>
      <c r="M359" s="101">
        <f t="shared" si="83"/>
        <v>0</v>
      </c>
      <c r="N359" s="101">
        <f t="shared" si="83"/>
        <v>0</v>
      </c>
      <c r="O359" s="101">
        <v>0.1</v>
      </c>
      <c r="P359" s="101">
        <f t="shared" si="83"/>
        <v>0</v>
      </c>
      <c r="Q359" s="101">
        <f t="shared" si="83"/>
        <v>0</v>
      </c>
      <c r="R359" s="101">
        <f t="shared" si="83"/>
        <v>0</v>
      </c>
      <c r="S359" s="77"/>
      <c r="T359" s="101">
        <f t="shared" si="80"/>
        <v>0.1</v>
      </c>
      <c r="U359" s="101">
        <f t="shared" si="81"/>
        <v>0.2</v>
      </c>
      <c r="V359" s="102">
        <f t="shared" si="77"/>
        <v>0.01</v>
      </c>
      <c r="W359" s="103">
        <f t="shared" si="78"/>
        <v>12250</v>
      </c>
      <c r="X359" s="104" t="s">
        <v>93</v>
      </c>
    </row>
    <row r="360" spans="1:24" s="75" customFormat="1" ht="12">
      <c r="A360" s="73">
        <f t="shared" si="79"/>
        <v>351</v>
      </c>
      <c r="B360" s="76" t="s">
        <v>2071</v>
      </c>
      <c r="C360" s="98" t="s">
        <v>2058</v>
      </c>
      <c r="D360" s="99" t="s">
        <v>2065</v>
      </c>
      <c r="E360" s="78" t="s">
        <v>2072</v>
      </c>
      <c r="F360" s="74"/>
      <c r="G360" s="79"/>
      <c r="H360" s="79"/>
      <c r="I360" s="74" t="s">
        <v>2019</v>
      </c>
      <c r="J360" s="101">
        <f t="shared" si="83"/>
        <v>0</v>
      </c>
      <c r="K360" s="101">
        <f t="shared" si="83"/>
        <v>0</v>
      </c>
      <c r="L360" s="101">
        <f t="shared" si="83"/>
        <v>0</v>
      </c>
      <c r="M360" s="101">
        <f t="shared" si="83"/>
        <v>0</v>
      </c>
      <c r="N360" s="101">
        <f t="shared" si="83"/>
        <v>0</v>
      </c>
      <c r="O360" s="101">
        <v>0.1</v>
      </c>
      <c r="P360" s="101">
        <f t="shared" si="83"/>
        <v>0</v>
      </c>
      <c r="Q360" s="101">
        <f t="shared" si="83"/>
        <v>0</v>
      </c>
      <c r="R360" s="101">
        <f t="shared" si="83"/>
        <v>0</v>
      </c>
      <c r="S360" s="77"/>
      <c r="T360" s="101">
        <f t="shared" si="80"/>
        <v>0.1</v>
      </c>
      <c r="U360" s="101">
        <f t="shared" si="81"/>
        <v>0.2</v>
      </c>
      <c r="V360" s="102">
        <f t="shared" si="77"/>
        <v>0.01</v>
      </c>
      <c r="W360" s="103">
        <f t="shared" si="78"/>
        <v>12250</v>
      </c>
      <c r="X360" s="104" t="s">
        <v>93</v>
      </c>
    </row>
    <row r="361" spans="1:24" s="75" customFormat="1" ht="12">
      <c r="A361" s="73">
        <f t="shared" si="79"/>
        <v>352</v>
      </c>
      <c r="B361" s="76" t="s">
        <v>2071</v>
      </c>
      <c r="C361" s="98" t="s">
        <v>2059</v>
      </c>
      <c r="D361" s="99" t="s">
        <v>2066</v>
      </c>
      <c r="E361" s="78" t="s">
        <v>2072</v>
      </c>
      <c r="F361" s="74"/>
      <c r="G361" s="79"/>
      <c r="H361" s="79"/>
      <c r="I361" s="74" t="s">
        <v>2019</v>
      </c>
      <c r="J361" s="101">
        <f t="shared" si="83"/>
        <v>0</v>
      </c>
      <c r="K361" s="101">
        <f t="shared" si="83"/>
        <v>0</v>
      </c>
      <c r="L361" s="101">
        <f t="shared" si="83"/>
        <v>0</v>
      </c>
      <c r="M361" s="101">
        <f t="shared" si="83"/>
        <v>0</v>
      </c>
      <c r="N361" s="101">
        <f t="shared" si="83"/>
        <v>0</v>
      </c>
      <c r="O361" s="101">
        <v>0.1</v>
      </c>
      <c r="P361" s="101">
        <f t="shared" si="83"/>
        <v>0</v>
      </c>
      <c r="Q361" s="101">
        <f t="shared" si="83"/>
        <v>0</v>
      </c>
      <c r="R361" s="101">
        <f t="shared" si="83"/>
        <v>0</v>
      </c>
      <c r="S361" s="77"/>
      <c r="T361" s="101">
        <f t="shared" si="80"/>
        <v>0.1</v>
      </c>
      <c r="U361" s="101">
        <f t="shared" si="81"/>
        <v>0.2</v>
      </c>
      <c r="V361" s="102">
        <f t="shared" si="77"/>
        <v>0.01</v>
      </c>
      <c r="W361" s="103">
        <f t="shared" si="78"/>
        <v>12250</v>
      </c>
      <c r="X361" s="104" t="s">
        <v>93</v>
      </c>
    </row>
    <row r="362" spans="1:24" s="75" customFormat="1" ht="12">
      <c r="A362" s="73">
        <f t="shared" si="79"/>
        <v>353</v>
      </c>
      <c r="B362" s="76" t="s">
        <v>2071</v>
      </c>
      <c r="C362" s="98" t="s">
        <v>2060</v>
      </c>
      <c r="D362" s="99" t="s">
        <v>2066</v>
      </c>
      <c r="E362" s="78" t="s">
        <v>2072</v>
      </c>
      <c r="F362" s="74"/>
      <c r="G362" s="79"/>
      <c r="H362" s="79"/>
      <c r="I362" s="74" t="s">
        <v>2019</v>
      </c>
      <c r="J362" s="101">
        <f t="shared" si="83"/>
        <v>0</v>
      </c>
      <c r="K362" s="101">
        <f t="shared" si="83"/>
        <v>0</v>
      </c>
      <c r="L362" s="101">
        <f t="shared" si="83"/>
        <v>0</v>
      </c>
      <c r="M362" s="101">
        <f t="shared" si="83"/>
        <v>0</v>
      </c>
      <c r="N362" s="101">
        <f t="shared" si="83"/>
        <v>0</v>
      </c>
      <c r="O362" s="101">
        <v>0.1</v>
      </c>
      <c r="P362" s="101">
        <f t="shared" si="83"/>
        <v>0</v>
      </c>
      <c r="Q362" s="101">
        <f t="shared" si="83"/>
        <v>0</v>
      </c>
      <c r="R362" s="101">
        <f t="shared" si="83"/>
        <v>0</v>
      </c>
      <c r="S362" s="77"/>
      <c r="T362" s="101">
        <f t="shared" si="80"/>
        <v>0.1</v>
      </c>
      <c r="U362" s="101">
        <f t="shared" si="81"/>
        <v>0.2</v>
      </c>
      <c r="V362" s="102">
        <f t="shared" si="77"/>
        <v>0.01</v>
      </c>
      <c r="W362" s="103">
        <f t="shared" si="78"/>
        <v>12250</v>
      </c>
      <c r="X362" s="104" t="s">
        <v>93</v>
      </c>
    </row>
    <row r="363" spans="1:24" s="75" customFormat="1" ht="12">
      <c r="A363" s="73">
        <f t="shared" si="79"/>
        <v>354</v>
      </c>
      <c r="B363" s="76" t="s">
        <v>2071</v>
      </c>
      <c r="C363" s="98" t="s">
        <v>2061</v>
      </c>
      <c r="D363" s="99" t="s">
        <v>2066</v>
      </c>
      <c r="E363" s="78" t="s">
        <v>2072</v>
      </c>
      <c r="F363" s="74"/>
      <c r="G363" s="79"/>
      <c r="H363" s="79"/>
      <c r="I363" s="74" t="s">
        <v>2019</v>
      </c>
      <c r="J363" s="101">
        <f t="shared" si="83"/>
        <v>0</v>
      </c>
      <c r="K363" s="101">
        <f t="shared" si="83"/>
        <v>0</v>
      </c>
      <c r="L363" s="101">
        <f t="shared" si="83"/>
        <v>0</v>
      </c>
      <c r="M363" s="101">
        <f t="shared" si="83"/>
        <v>0</v>
      </c>
      <c r="N363" s="101">
        <f t="shared" si="83"/>
        <v>0</v>
      </c>
      <c r="O363" s="101">
        <v>0.1</v>
      </c>
      <c r="P363" s="101">
        <f t="shared" si="83"/>
        <v>0</v>
      </c>
      <c r="Q363" s="101">
        <f t="shared" si="83"/>
        <v>0</v>
      </c>
      <c r="R363" s="101">
        <f t="shared" si="83"/>
        <v>0</v>
      </c>
      <c r="S363" s="77"/>
      <c r="T363" s="101">
        <f t="shared" si="80"/>
        <v>0.1</v>
      </c>
      <c r="U363" s="101">
        <f t="shared" si="81"/>
        <v>0.2</v>
      </c>
      <c r="V363" s="102">
        <f t="shared" si="77"/>
        <v>0.01</v>
      </c>
      <c r="W363" s="103">
        <f t="shared" si="78"/>
        <v>12250</v>
      </c>
      <c r="X363" s="104" t="s">
        <v>93</v>
      </c>
    </row>
    <row r="364" spans="1:24" s="75" customFormat="1" ht="12">
      <c r="A364" s="73">
        <f t="shared" si="79"/>
        <v>355</v>
      </c>
      <c r="B364" s="76" t="s">
        <v>2071</v>
      </c>
      <c r="C364" s="98" t="s">
        <v>2062</v>
      </c>
      <c r="D364" s="99" t="s">
        <v>2066</v>
      </c>
      <c r="E364" s="78" t="s">
        <v>2072</v>
      </c>
      <c r="F364" s="74"/>
      <c r="G364" s="79"/>
      <c r="H364" s="79"/>
      <c r="I364" s="74" t="s">
        <v>2019</v>
      </c>
      <c r="J364" s="101">
        <f t="shared" si="83"/>
        <v>0</v>
      </c>
      <c r="K364" s="101">
        <f t="shared" si="83"/>
        <v>0</v>
      </c>
      <c r="L364" s="101">
        <f t="shared" si="83"/>
        <v>0</v>
      </c>
      <c r="M364" s="101">
        <f t="shared" si="83"/>
        <v>0</v>
      </c>
      <c r="N364" s="101">
        <f t="shared" si="83"/>
        <v>0</v>
      </c>
      <c r="O364" s="101">
        <v>0.1</v>
      </c>
      <c r="P364" s="101">
        <f t="shared" si="83"/>
        <v>0</v>
      </c>
      <c r="Q364" s="101">
        <f t="shared" si="83"/>
        <v>0</v>
      </c>
      <c r="R364" s="101">
        <f t="shared" si="83"/>
        <v>0</v>
      </c>
      <c r="S364" s="77"/>
      <c r="T364" s="101">
        <f t="shared" si="80"/>
        <v>0.1</v>
      </c>
      <c r="U364" s="101">
        <f t="shared" si="81"/>
        <v>0.2</v>
      </c>
      <c r="V364" s="102">
        <f t="shared" si="77"/>
        <v>0.01</v>
      </c>
      <c r="W364" s="103">
        <f t="shared" si="78"/>
        <v>12250</v>
      </c>
      <c r="X364" s="104" t="s">
        <v>93</v>
      </c>
    </row>
    <row r="365" spans="1:24" s="75" customFormat="1" ht="12">
      <c r="A365" s="73">
        <f t="shared" si="79"/>
        <v>356</v>
      </c>
      <c r="B365" s="76" t="s">
        <v>2071</v>
      </c>
      <c r="C365" s="98" t="s">
        <v>98</v>
      </c>
      <c r="D365" s="99" t="s">
        <v>2068</v>
      </c>
      <c r="E365" s="78" t="s">
        <v>2072</v>
      </c>
      <c r="F365" s="74"/>
      <c r="G365" s="79"/>
      <c r="H365" s="79"/>
      <c r="I365" s="74" t="s">
        <v>2019</v>
      </c>
      <c r="J365" s="101">
        <f t="shared" si="83"/>
        <v>0</v>
      </c>
      <c r="K365" s="101">
        <f t="shared" si="83"/>
        <v>0</v>
      </c>
      <c r="L365" s="101">
        <f t="shared" si="83"/>
        <v>0</v>
      </c>
      <c r="M365" s="101">
        <f t="shared" si="83"/>
        <v>0</v>
      </c>
      <c r="N365" s="101">
        <f t="shared" si="83"/>
        <v>0</v>
      </c>
      <c r="O365" s="101">
        <v>0.1</v>
      </c>
      <c r="P365" s="101">
        <f t="shared" si="83"/>
        <v>0</v>
      </c>
      <c r="Q365" s="101">
        <f t="shared" si="83"/>
        <v>0</v>
      </c>
      <c r="R365" s="101">
        <f t="shared" si="83"/>
        <v>0</v>
      </c>
      <c r="S365" s="77"/>
      <c r="T365" s="101">
        <f t="shared" si="80"/>
        <v>0.1</v>
      </c>
      <c r="U365" s="101">
        <f t="shared" si="81"/>
        <v>0.2</v>
      </c>
      <c r="V365" s="102">
        <f t="shared" si="77"/>
        <v>0.01</v>
      </c>
      <c r="W365" s="103">
        <f t="shared" si="78"/>
        <v>12250</v>
      </c>
      <c r="X365" s="104" t="s">
        <v>93</v>
      </c>
    </row>
    <row r="366" spans="1:24" s="75" customFormat="1" ht="12">
      <c r="A366" s="73">
        <f t="shared" si="79"/>
        <v>357</v>
      </c>
      <c r="B366" s="76" t="s">
        <v>2071</v>
      </c>
      <c r="C366" s="98" t="s">
        <v>99</v>
      </c>
      <c r="D366" s="99" t="s">
        <v>2068</v>
      </c>
      <c r="E366" s="78" t="s">
        <v>2072</v>
      </c>
      <c r="F366" s="74"/>
      <c r="G366" s="79"/>
      <c r="H366" s="79"/>
      <c r="I366" s="74" t="s">
        <v>2019</v>
      </c>
      <c r="J366" s="101">
        <f t="shared" si="83"/>
        <v>0</v>
      </c>
      <c r="K366" s="101">
        <f t="shared" si="83"/>
        <v>0</v>
      </c>
      <c r="L366" s="101">
        <f t="shared" si="83"/>
        <v>0</v>
      </c>
      <c r="M366" s="101">
        <f t="shared" si="83"/>
        <v>0</v>
      </c>
      <c r="N366" s="101">
        <f t="shared" si="83"/>
        <v>0</v>
      </c>
      <c r="O366" s="101">
        <v>0.1</v>
      </c>
      <c r="P366" s="101">
        <f t="shared" si="83"/>
        <v>0</v>
      </c>
      <c r="Q366" s="101">
        <f t="shared" si="83"/>
        <v>0</v>
      </c>
      <c r="R366" s="101">
        <f t="shared" si="83"/>
        <v>0</v>
      </c>
      <c r="S366" s="77"/>
      <c r="T366" s="101">
        <f t="shared" si="80"/>
        <v>0.1</v>
      </c>
      <c r="U366" s="101">
        <f t="shared" si="81"/>
        <v>0.2</v>
      </c>
      <c r="V366" s="102">
        <f t="shared" si="77"/>
        <v>0.01</v>
      </c>
      <c r="W366" s="103">
        <f t="shared" si="78"/>
        <v>12250</v>
      </c>
      <c r="X366" s="104" t="s">
        <v>93</v>
      </c>
    </row>
    <row r="367" spans="1:24" s="75" customFormat="1" ht="12">
      <c r="A367" s="73">
        <f t="shared" si="79"/>
        <v>358</v>
      </c>
      <c r="B367" s="76" t="s">
        <v>2071</v>
      </c>
      <c r="C367" s="98" t="s">
        <v>100</v>
      </c>
      <c r="D367" s="99" t="s">
        <v>2068</v>
      </c>
      <c r="E367" s="78" t="s">
        <v>2072</v>
      </c>
      <c r="F367" s="74"/>
      <c r="G367" s="79"/>
      <c r="H367" s="79"/>
      <c r="I367" s="74" t="s">
        <v>2019</v>
      </c>
      <c r="J367" s="101">
        <f t="shared" si="83"/>
        <v>0</v>
      </c>
      <c r="K367" s="101">
        <f t="shared" si="83"/>
        <v>0</v>
      </c>
      <c r="L367" s="101">
        <f t="shared" si="83"/>
        <v>0</v>
      </c>
      <c r="M367" s="101">
        <f t="shared" si="83"/>
        <v>0</v>
      </c>
      <c r="N367" s="101">
        <f t="shared" si="83"/>
        <v>0</v>
      </c>
      <c r="O367" s="101">
        <v>0.1</v>
      </c>
      <c r="P367" s="101">
        <f t="shared" si="83"/>
        <v>0</v>
      </c>
      <c r="Q367" s="101">
        <f t="shared" si="83"/>
        <v>0</v>
      </c>
      <c r="R367" s="101">
        <f t="shared" si="83"/>
        <v>0</v>
      </c>
      <c r="S367" s="77"/>
      <c r="T367" s="101">
        <f t="shared" si="80"/>
        <v>0.1</v>
      </c>
      <c r="U367" s="101">
        <f t="shared" si="81"/>
        <v>0.2</v>
      </c>
      <c r="V367" s="102">
        <f t="shared" si="77"/>
        <v>0.01</v>
      </c>
      <c r="W367" s="103">
        <f t="shared" si="78"/>
        <v>12250</v>
      </c>
      <c r="X367" s="104" t="s">
        <v>93</v>
      </c>
    </row>
    <row r="368" spans="1:24" s="75" customFormat="1" ht="12">
      <c r="A368" s="73">
        <f t="shared" si="79"/>
        <v>359</v>
      </c>
      <c r="B368" s="76" t="s">
        <v>2071</v>
      </c>
      <c r="C368" s="98" t="s">
        <v>101</v>
      </c>
      <c r="D368" s="99" t="s">
        <v>2068</v>
      </c>
      <c r="E368" s="78" t="s">
        <v>2072</v>
      </c>
      <c r="F368" s="74"/>
      <c r="G368" s="79"/>
      <c r="H368" s="79"/>
      <c r="I368" s="74" t="s">
        <v>2019</v>
      </c>
      <c r="J368" s="101">
        <f t="shared" si="83"/>
        <v>0</v>
      </c>
      <c r="K368" s="101">
        <f t="shared" si="83"/>
        <v>0</v>
      </c>
      <c r="L368" s="101">
        <f t="shared" si="83"/>
        <v>0</v>
      </c>
      <c r="M368" s="101">
        <f t="shared" si="83"/>
        <v>0</v>
      </c>
      <c r="N368" s="101">
        <f t="shared" si="83"/>
        <v>0</v>
      </c>
      <c r="O368" s="101">
        <v>0.1</v>
      </c>
      <c r="P368" s="101">
        <f t="shared" si="83"/>
        <v>0</v>
      </c>
      <c r="Q368" s="101">
        <f t="shared" si="83"/>
        <v>0</v>
      </c>
      <c r="R368" s="101">
        <f t="shared" si="83"/>
        <v>0</v>
      </c>
      <c r="S368" s="77"/>
      <c r="T368" s="101">
        <f t="shared" si="80"/>
        <v>0.1</v>
      </c>
      <c r="U368" s="101">
        <f t="shared" si="81"/>
        <v>0.2</v>
      </c>
      <c r="V368" s="102">
        <f t="shared" si="77"/>
        <v>0.01</v>
      </c>
      <c r="W368" s="103">
        <f t="shared" si="78"/>
        <v>12250</v>
      </c>
      <c r="X368" s="104" t="s">
        <v>93</v>
      </c>
    </row>
    <row r="369" spans="1:24" s="75" customFormat="1" ht="12">
      <c r="A369" s="73">
        <f t="shared" si="79"/>
        <v>360</v>
      </c>
      <c r="B369" s="76" t="s">
        <v>2071</v>
      </c>
      <c r="C369" s="98" t="s">
        <v>102</v>
      </c>
      <c r="D369" s="99" t="s">
        <v>2068</v>
      </c>
      <c r="E369" s="78" t="s">
        <v>2072</v>
      </c>
      <c r="F369" s="74"/>
      <c r="G369" s="79"/>
      <c r="H369" s="79"/>
      <c r="I369" s="74" t="s">
        <v>2019</v>
      </c>
      <c r="J369" s="101">
        <f t="shared" si="83"/>
        <v>0</v>
      </c>
      <c r="K369" s="101">
        <f t="shared" si="83"/>
        <v>0</v>
      </c>
      <c r="L369" s="101">
        <f t="shared" si="83"/>
        <v>0</v>
      </c>
      <c r="M369" s="101">
        <f t="shared" si="83"/>
        <v>0</v>
      </c>
      <c r="N369" s="101">
        <f t="shared" si="83"/>
        <v>0</v>
      </c>
      <c r="O369" s="101">
        <v>0.1</v>
      </c>
      <c r="P369" s="101">
        <f t="shared" si="83"/>
        <v>0</v>
      </c>
      <c r="Q369" s="101">
        <f t="shared" si="83"/>
        <v>0</v>
      </c>
      <c r="R369" s="101">
        <f t="shared" si="83"/>
        <v>0</v>
      </c>
      <c r="S369" s="77"/>
      <c r="T369" s="101">
        <f t="shared" si="80"/>
        <v>0.1</v>
      </c>
      <c r="U369" s="101">
        <f t="shared" si="81"/>
        <v>0.2</v>
      </c>
      <c r="V369" s="102">
        <f t="shared" si="77"/>
        <v>0.01</v>
      </c>
      <c r="W369" s="103">
        <f t="shared" si="78"/>
        <v>12250</v>
      </c>
      <c r="X369" s="104" t="s">
        <v>93</v>
      </c>
    </row>
    <row r="370" spans="1:24" s="75" customFormat="1" ht="12">
      <c r="A370" s="73">
        <f t="shared" si="79"/>
        <v>361</v>
      </c>
      <c r="B370" s="76" t="s">
        <v>2071</v>
      </c>
      <c r="C370" s="98" t="s">
        <v>103</v>
      </c>
      <c r="D370" s="99" t="s">
        <v>2068</v>
      </c>
      <c r="E370" s="78" t="s">
        <v>2072</v>
      </c>
      <c r="F370" s="74"/>
      <c r="G370" s="79"/>
      <c r="H370" s="79"/>
      <c r="I370" s="74" t="s">
        <v>2019</v>
      </c>
      <c r="J370" s="101">
        <f t="shared" si="83"/>
        <v>0</v>
      </c>
      <c r="K370" s="101">
        <f t="shared" si="83"/>
        <v>0</v>
      </c>
      <c r="L370" s="101">
        <f t="shared" si="83"/>
        <v>0</v>
      </c>
      <c r="M370" s="101">
        <f t="shared" si="83"/>
        <v>0</v>
      </c>
      <c r="N370" s="101">
        <f t="shared" si="83"/>
        <v>0</v>
      </c>
      <c r="O370" s="101">
        <v>0.1</v>
      </c>
      <c r="P370" s="101">
        <f t="shared" si="83"/>
        <v>0</v>
      </c>
      <c r="Q370" s="101">
        <f t="shared" si="83"/>
        <v>0</v>
      </c>
      <c r="R370" s="101">
        <f t="shared" si="83"/>
        <v>0</v>
      </c>
      <c r="S370" s="77"/>
      <c r="T370" s="101">
        <f t="shared" si="80"/>
        <v>0.1</v>
      </c>
      <c r="U370" s="101">
        <f t="shared" si="81"/>
        <v>0.2</v>
      </c>
      <c r="V370" s="102">
        <f t="shared" si="77"/>
        <v>0.01</v>
      </c>
      <c r="W370" s="103">
        <f t="shared" si="78"/>
        <v>12250</v>
      </c>
      <c r="X370" s="104" t="s">
        <v>93</v>
      </c>
    </row>
    <row r="371" spans="1:24" s="75" customFormat="1" ht="12">
      <c r="A371" s="73">
        <f t="shared" si="79"/>
        <v>362</v>
      </c>
      <c r="B371" s="76" t="s">
        <v>2071</v>
      </c>
      <c r="C371" s="98" t="s">
        <v>104</v>
      </c>
      <c r="D371" s="99" t="s">
        <v>2068</v>
      </c>
      <c r="E371" s="78" t="s">
        <v>2072</v>
      </c>
      <c r="F371" s="74"/>
      <c r="G371" s="79"/>
      <c r="H371" s="79"/>
      <c r="I371" s="74" t="s">
        <v>2019</v>
      </c>
      <c r="J371" s="101">
        <f t="shared" si="83"/>
        <v>0</v>
      </c>
      <c r="K371" s="101">
        <f t="shared" si="83"/>
        <v>0</v>
      </c>
      <c r="L371" s="101">
        <f t="shared" si="83"/>
        <v>0</v>
      </c>
      <c r="M371" s="101">
        <f t="shared" si="83"/>
        <v>0</v>
      </c>
      <c r="N371" s="101">
        <f t="shared" si="83"/>
        <v>0</v>
      </c>
      <c r="O371" s="101">
        <v>0.1</v>
      </c>
      <c r="P371" s="101">
        <f t="shared" si="83"/>
        <v>0</v>
      </c>
      <c r="Q371" s="101">
        <f t="shared" si="83"/>
        <v>0</v>
      </c>
      <c r="R371" s="101">
        <f t="shared" si="83"/>
        <v>0</v>
      </c>
      <c r="S371" s="77"/>
      <c r="T371" s="101">
        <f t="shared" si="80"/>
        <v>0.1</v>
      </c>
      <c r="U371" s="101">
        <f t="shared" si="81"/>
        <v>0.2</v>
      </c>
      <c r="V371" s="102">
        <f t="shared" si="77"/>
        <v>0.01</v>
      </c>
      <c r="W371" s="103">
        <f t="shared" si="78"/>
        <v>12250</v>
      </c>
      <c r="X371" s="104" t="s">
        <v>93</v>
      </c>
    </row>
    <row r="372" spans="1:24" s="75" customFormat="1" ht="12">
      <c r="A372" s="73">
        <f t="shared" si="79"/>
        <v>363</v>
      </c>
      <c r="B372" s="76" t="s">
        <v>2071</v>
      </c>
      <c r="C372" s="98" t="s">
        <v>105</v>
      </c>
      <c r="D372" s="99" t="s">
        <v>2068</v>
      </c>
      <c r="E372" s="78" t="s">
        <v>2072</v>
      </c>
      <c r="F372" s="74"/>
      <c r="G372" s="79"/>
      <c r="H372" s="79"/>
      <c r="I372" s="74" t="s">
        <v>2019</v>
      </c>
      <c r="J372" s="101">
        <f t="shared" si="83"/>
        <v>0</v>
      </c>
      <c r="K372" s="101">
        <f t="shared" si="83"/>
        <v>0</v>
      </c>
      <c r="L372" s="101">
        <f t="shared" si="83"/>
        <v>0</v>
      </c>
      <c r="M372" s="101">
        <f t="shared" si="83"/>
        <v>0</v>
      </c>
      <c r="N372" s="101">
        <f t="shared" si="83"/>
        <v>0</v>
      </c>
      <c r="O372" s="101">
        <v>0.1</v>
      </c>
      <c r="P372" s="101">
        <f t="shared" si="83"/>
        <v>0</v>
      </c>
      <c r="Q372" s="101">
        <f t="shared" si="83"/>
        <v>0</v>
      </c>
      <c r="R372" s="101">
        <f t="shared" si="83"/>
        <v>0</v>
      </c>
      <c r="S372" s="77"/>
      <c r="T372" s="101">
        <f t="shared" si="80"/>
        <v>0.1</v>
      </c>
      <c r="U372" s="101">
        <f t="shared" si="81"/>
        <v>0.2</v>
      </c>
      <c r="V372" s="102">
        <f t="shared" si="77"/>
        <v>0.01</v>
      </c>
      <c r="W372" s="103">
        <f t="shared" si="78"/>
        <v>12250</v>
      </c>
      <c r="X372" s="104" t="s">
        <v>93</v>
      </c>
    </row>
    <row r="373" spans="1:24" s="75" customFormat="1" ht="12">
      <c r="A373" s="73">
        <f t="shared" si="79"/>
        <v>364</v>
      </c>
      <c r="B373" s="76" t="s">
        <v>2071</v>
      </c>
      <c r="C373" s="98" t="s">
        <v>106</v>
      </c>
      <c r="D373" s="99" t="s">
        <v>2068</v>
      </c>
      <c r="E373" s="78" t="s">
        <v>2072</v>
      </c>
      <c r="F373" s="74"/>
      <c r="G373" s="79"/>
      <c r="H373" s="79"/>
      <c r="I373" s="74" t="s">
        <v>2019</v>
      </c>
      <c r="J373" s="101">
        <f t="shared" si="83"/>
        <v>0</v>
      </c>
      <c r="K373" s="101">
        <f t="shared" si="83"/>
        <v>0</v>
      </c>
      <c r="L373" s="101">
        <f t="shared" si="83"/>
        <v>0</v>
      </c>
      <c r="M373" s="101">
        <f t="shared" si="83"/>
        <v>0</v>
      </c>
      <c r="N373" s="101">
        <f t="shared" si="83"/>
        <v>0</v>
      </c>
      <c r="O373" s="101">
        <v>0.1</v>
      </c>
      <c r="P373" s="101">
        <f t="shared" si="83"/>
        <v>0</v>
      </c>
      <c r="Q373" s="101">
        <f t="shared" si="83"/>
        <v>0</v>
      </c>
      <c r="R373" s="101">
        <f t="shared" si="83"/>
        <v>0</v>
      </c>
      <c r="S373" s="77"/>
      <c r="T373" s="101">
        <f t="shared" si="80"/>
        <v>0.1</v>
      </c>
      <c r="U373" s="101">
        <f t="shared" si="81"/>
        <v>0.2</v>
      </c>
      <c r="V373" s="102">
        <f t="shared" si="77"/>
        <v>0.01</v>
      </c>
      <c r="W373" s="103">
        <f t="shared" si="78"/>
        <v>12250</v>
      </c>
      <c r="X373" s="104" t="s">
        <v>93</v>
      </c>
    </row>
    <row r="374" spans="1:24" s="75" customFormat="1" ht="12">
      <c r="A374" s="73">
        <f t="shared" si="79"/>
        <v>365</v>
      </c>
      <c r="B374" s="76" t="s">
        <v>2071</v>
      </c>
      <c r="C374" s="98" t="s">
        <v>90</v>
      </c>
      <c r="D374" s="99" t="s">
        <v>2068</v>
      </c>
      <c r="E374" s="78" t="s">
        <v>2072</v>
      </c>
      <c r="F374" s="74"/>
      <c r="G374" s="79"/>
      <c r="H374" s="79"/>
      <c r="I374" s="74" t="s">
        <v>2019</v>
      </c>
      <c r="J374" s="101">
        <f t="shared" si="83"/>
        <v>0</v>
      </c>
      <c r="K374" s="101">
        <f t="shared" si="83"/>
        <v>0</v>
      </c>
      <c r="L374" s="101">
        <f t="shared" si="83"/>
        <v>0</v>
      </c>
      <c r="M374" s="101">
        <f t="shared" si="83"/>
        <v>0</v>
      </c>
      <c r="N374" s="101">
        <f t="shared" si="83"/>
        <v>0</v>
      </c>
      <c r="O374" s="101">
        <v>0.1</v>
      </c>
      <c r="P374" s="101">
        <f t="shared" si="83"/>
        <v>0</v>
      </c>
      <c r="Q374" s="101">
        <f t="shared" si="83"/>
        <v>0</v>
      </c>
      <c r="R374" s="101">
        <f t="shared" si="83"/>
        <v>0</v>
      </c>
      <c r="S374" s="77"/>
      <c r="T374" s="101">
        <f t="shared" si="80"/>
        <v>0.1</v>
      </c>
      <c r="U374" s="101">
        <f t="shared" si="81"/>
        <v>0.2</v>
      </c>
      <c r="V374" s="102">
        <f t="shared" si="77"/>
        <v>0.01</v>
      </c>
      <c r="W374" s="103">
        <f t="shared" si="78"/>
        <v>12250</v>
      </c>
      <c r="X374" s="104" t="s">
        <v>93</v>
      </c>
    </row>
    <row r="375" spans="1:24" s="75" customFormat="1" ht="12">
      <c r="A375" s="73">
        <f t="shared" si="79"/>
        <v>366</v>
      </c>
      <c r="B375" s="76" t="s">
        <v>2071</v>
      </c>
      <c r="C375" s="98" t="s">
        <v>107</v>
      </c>
      <c r="D375" s="99" t="s">
        <v>2068</v>
      </c>
      <c r="E375" s="78" t="s">
        <v>2072</v>
      </c>
      <c r="F375" s="74"/>
      <c r="G375" s="79"/>
      <c r="H375" s="79"/>
      <c r="I375" s="74" t="s">
        <v>2019</v>
      </c>
      <c r="J375" s="101">
        <f t="shared" si="83"/>
        <v>0</v>
      </c>
      <c r="K375" s="101">
        <f t="shared" si="83"/>
        <v>0</v>
      </c>
      <c r="L375" s="101">
        <f t="shared" si="83"/>
        <v>0</v>
      </c>
      <c r="M375" s="101">
        <f t="shared" si="83"/>
        <v>0</v>
      </c>
      <c r="N375" s="101">
        <f t="shared" si="83"/>
        <v>0</v>
      </c>
      <c r="O375" s="101">
        <v>0.1</v>
      </c>
      <c r="P375" s="101">
        <f t="shared" si="83"/>
        <v>0</v>
      </c>
      <c r="Q375" s="101">
        <f t="shared" si="83"/>
        <v>0</v>
      </c>
      <c r="R375" s="101">
        <f t="shared" si="83"/>
        <v>0</v>
      </c>
      <c r="S375" s="77"/>
      <c r="T375" s="101">
        <f t="shared" si="80"/>
        <v>0.1</v>
      </c>
      <c r="U375" s="101">
        <f t="shared" si="81"/>
        <v>0.2</v>
      </c>
      <c r="V375" s="102">
        <f t="shared" si="77"/>
        <v>0.01</v>
      </c>
      <c r="W375" s="103">
        <f t="shared" si="78"/>
        <v>12250</v>
      </c>
      <c r="X375" s="104" t="s">
        <v>93</v>
      </c>
    </row>
    <row r="376" spans="1:24" s="75" customFormat="1" ht="12">
      <c r="A376" s="73">
        <f t="shared" si="79"/>
        <v>367</v>
      </c>
      <c r="B376" s="76" t="s">
        <v>2071</v>
      </c>
      <c r="C376" s="98" t="s">
        <v>108</v>
      </c>
      <c r="D376" s="99" t="s">
        <v>2068</v>
      </c>
      <c r="E376" s="78" t="s">
        <v>2072</v>
      </c>
      <c r="F376" s="74"/>
      <c r="G376" s="79"/>
      <c r="H376" s="79"/>
      <c r="I376" s="74" t="s">
        <v>2019</v>
      </c>
      <c r="J376" s="101">
        <f t="shared" si="83"/>
        <v>0</v>
      </c>
      <c r="K376" s="101">
        <f t="shared" si="83"/>
        <v>0</v>
      </c>
      <c r="L376" s="101">
        <f t="shared" si="83"/>
        <v>0</v>
      </c>
      <c r="M376" s="101">
        <f t="shared" si="83"/>
        <v>0</v>
      </c>
      <c r="N376" s="101">
        <f t="shared" si="83"/>
        <v>0</v>
      </c>
      <c r="O376" s="101">
        <v>0.1</v>
      </c>
      <c r="P376" s="101">
        <f t="shared" si="83"/>
        <v>0</v>
      </c>
      <c r="Q376" s="101">
        <f t="shared" si="83"/>
        <v>0</v>
      </c>
      <c r="R376" s="101">
        <f t="shared" si="83"/>
        <v>0</v>
      </c>
      <c r="S376" s="77"/>
      <c r="T376" s="101">
        <f t="shared" si="80"/>
        <v>0.1</v>
      </c>
      <c r="U376" s="101">
        <f t="shared" si="81"/>
        <v>0.2</v>
      </c>
      <c r="V376" s="102">
        <f t="shared" si="77"/>
        <v>0.01</v>
      </c>
      <c r="W376" s="103">
        <f t="shared" si="78"/>
        <v>12250</v>
      </c>
      <c r="X376" s="104" t="s">
        <v>93</v>
      </c>
    </row>
    <row r="377" spans="1:24" s="75" customFormat="1" ht="12">
      <c r="A377" s="73">
        <f t="shared" si="79"/>
        <v>368</v>
      </c>
      <c r="B377" s="76" t="s">
        <v>2071</v>
      </c>
      <c r="C377" s="98" t="s">
        <v>109</v>
      </c>
      <c r="D377" s="99" t="s">
        <v>2068</v>
      </c>
      <c r="E377" s="78" t="s">
        <v>2072</v>
      </c>
      <c r="F377" s="74"/>
      <c r="G377" s="79"/>
      <c r="H377" s="79"/>
      <c r="I377" s="74" t="s">
        <v>2019</v>
      </c>
      <c r="J377" s="101">
        <f t="shared" si="83"/>
        <v>0</v>
      </c>
      <c r="K377" s="101">
        <f t="shared" si="83"/>
        <v>0</v>
      </c>
      <c r="L377" s="101">
        <f t="shared" si="83"/>
        <v>0</v>
      </c>
      <c r="M377" s="101">
        <f t="shared" si="83"/>
        <v>0</v>
      </c>
      <c r="N377" s="101">
        <f t="shared" si="83"/>
        <v>0</v>
      </c>
      <c r="O377" s="101">
        <v>0.1</v>
      </c>
      <c r="P377" s="101">
        <f t="shared" si="83"/>
        <v>0</v>
      </c>
      <c r="Q377" s="101">
        <f t="shared" si="83"/>
        <v>0</v>
      </c>
      <c r="R377" s="101">
        <f t="shared" si="83"/>
        <v>0</v>
      </c>
      <c r="S377" s="77"/>
      <c r="T377" s="101">
        <f t="shared" si="80"/>
        <v>0.1</v>
      </c>
      <c r="U377" s="101">
        <f t="shared" si="81"/>
        <v>0.2</v>
      </c>
      <c r="V377" s="102">
        <f t="shared" si="77"/>
        <v>0.01</v>
      </c>
      <c r="W377" s="103">
        <f t="shared" si="78"/>
        <v>12250</v>
      </c>
      <c r="X377" s="104" t="s">
        <v>93</v>
      </c>
    </row>
    <row r="378" spans="1:24" s="75" customFormat="1" ht="12">
      <c r="A378" s="73">
        <f t="shared" si="79"/>
        <v>369</v>
      </c>
      <c r="B378" s="76" t="s">
        <v>2071</v>
      </c>
      <c r="C378" s="98" t="s">
        <v>110</v>
      </c>
      <c r="D378" s="99" t="s">
        <v>2068</v>
      </c>
      <c r="E378" s="78" t="s">
        <v>2072</v>
      </c>
      <c r="F378" s="74"/>
      <c r="G378" s="79"/>
      <c r="H378" s="79"/>
      <c r="I378" s="74" t="s">
        <v>2019</v>
      </c>
      <c r="J378" s="101">
        <f t="shared" si="83"/>
        <v>0</v>
      </c>
      <c r="K378" s="101">
        <f t="shared" si="83"/>
        <v>0</v>
      </c>
      <c r="L378" s="101">
        <f t="shared" si="83"/>
        <v>0</v>
      </c>
      <c r="M378" s="101">
        <f t="shared" si="83"/>
        <v>0</v>
      </c>
      <c r="N378" s="101">
        <f t="shared" si="83"/>
        <v>0</v>
      </c>
      <c r="O378" s="101">
        <v>0.1</v>
      </c>
      <c r="P378" s="101">
        <f t="shared" si="83"/>
        <v>0</v>
      </c>
      <c r="Q378" s="101">
        <f t="shared" si="83"/>
        <v>0</v>
      </c>
      <c r="R378" s="101">
        <f t="shared" si="83"/>
        <v>0</v>
      </c>
      <c r="S378" s="77"/>
      <c r="T378" s="101">
        <f t="shared" si="80"/>
        <v>0.1</v>
      </c>
      <c r="U378" s="101">
        <f t="shared" si="81"/>
        <v>0.2</v>
      </c>
      <c r="V378" s="102">
        <f t="shared" si="77"/>
        <v>0.01</v>
      </c>
      <c r="W378" s="103">
        <f t="shared" si="78"/>
        <v>12250</v>
      </c>
      <c r="X378" s="104" t="s">
        <v>93</v>
      </c>
    </row>
    <row r="379" spans="1:24" s="75" customFormat="1" ht="12">
      <c r="A379" s="73">
        <f t="shared" si="79"/>
        <v>370</v>
      </c>
      <c r="B379" s="76" t="s">
        <v>2071</v>
      </c>
      <c r="C379" s="98" t="s">
        <v>111</v>
      </c>
      <c r="D379" s="99" t="s">
        <v>2068</v>
      </c>
      <c r="E379" s="78" t="s">
        <v>2072</v>
      </c>
      <c r="F379" s="74"/>
      <c r="G379" s="79"/>
      <c r="H379" s="79"/>
      <c r="I379" s="74" t="s">
        <v>2019</v>
      </c>
      <c r="J379" s="101">
        <f t="shared" ref="J379:R407" si="84">ROUNDUP(IF($E379="画面",画面係数,IF($E379="帳票",帳票係数,IF($E379="バッチ",バッチ係数,0))) *
 IF($I379="特高",特高係数,IF($I379="高",高係数,IF($I379="中",中係数,IF($I379="低",低係数,IF($I379="特低",特低係数,0)))))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</v>
      </c>
      <c r="K379" s="101">
        <f t="shared" si="84"/>
        <v>0</v>
      </c>
      <c r="L379" s="101">
        <f t="shared" si="84"/>
        <v>0</v>
      </c>
      <c r="M379" s="101">
        <f t="shared" si="84"/>
        <v>0</v>
      </c>
      <c r="N379" s="101">
        <f t="shared" si="84"/>
        <v>0</v>
      </c>
      <c r="O379" s="101">
        <v>0.1</v>
      </c>
      <c r="P379" s="101">
        <f t="shared" si="84"/>
        <v>0</v>
      </c>
      <c r="Q379" s="101">
        <f t="shared" si="84"/>
        <v>0</v>
      </c>
      <c r="R379" s="101">
        <f t="shared" si="84"/>
        <v>0</v>
      </c>
      <c r="S379" s="77"/>
      <c r="T379" s="101">
        <f t="shared" si="80"/>
        <v>0.1</v>
      </c>
      <c r="U379" s="101">
        <f t="shared" si="81"/>
        <v>0.2</v>
      </c>
      <c r="V379" s="102">
        <f t="shared" ref="V379:V442" si="85">U379/20</f>
        <v>0.01</v>
      </c>
      <c r="W379" s="103">
        <f t="shared" ref="W379:W442" si="86">((J379*J$9) + (K379*K$9) + (L379*L$9) + (M379*M$9) + (N379*N$9) + (O379*O$9) + (P379*P$9) + (Q379*Q$9) + (R379*R$9) + (S379*S$9) + (T379*T$9))/20</f>
        <v>12250</v>
      </c>
      <c r="X379" s="104" t="s">
        <v>93</v>
      </c>
    </row>
    <row r="380" spans="1:24" s="75" customFormat="1" ht="12">
      <c r="A380" s="73">
        <f t="shared" ref="A380:A443" si="87">ROW()-9</f>
        <v>371</v>
      </c>
      <c r="B380" s="76" t="s">
        <v>2071</v>
      </c>
      <c r="C380" s="98" t="s">
        <v>112</v>
      </c>
      <c r="D380" s="99" t="s">
        <v>2068</v>
      </c>
      <c r="E380" s="78" t="s">
        <v>2072</v>
      </c>
      <c r="F380" s="74"/>
      <c r="G380" s="79"/>
      <c r="H380" s="79"/>
      <c r="I380" s="74" t="s">
        <v>2019</v>
      </c>
      <c r="J380" s="101">
        <f t="shared" si="84"/>
        <v>0</v>
      </c>
      <c r="K380" s="101">
        <f t="shared" si="84"/>
        <v>0</v>
      </c>
      <c r="L380" s="101">
        <f t="shared" si="84"/>
        <v>0</v>
      </c>
      <c r="M380" s="101">
        <f t="shared" si="84"/>
        <v>0</v>
      </c>
      <c r="N380" s="101">
        <f t="shared" si="84"/>
        <v>0</v>
      </c>
      <c r="O380" s="101">
        <v>0.1</v>
      </c>
      <c r="P380" s="101">
        <f t="shared" si="84"/>
        <v>0</v>
      </c>
      <c r="Q380" s="101">
        <f t="shared" si="84"/>
        <v>0</v>
      </c>
      <c r="R380" s="101">
        <f t="shared" si="84"/>
        <v>0</v>
      </c>
      <c r="S380" s="77"/>
      <c r="T380" s="101">
        <f t="shared" ref="T380:T443" si="88">ROUNDUP(SUM(J380:S380)*T$8,1)</f>
        <v>0.1</v>
      </c>
      <c r="U380" s="101">
        <f t="shared" ref="U380:U443" si="89">SUM(J380:T380)</f>
        <v>0.2</v>
      </c>
      <c r="V380" s="102">
        <f t="shared" si="85"/>
        <v>0.01</v>
      </c>
      <c r="W380" s="103">
        <f t="shared" si="86"/>
        <v>12250</v>
      </c>
      <c r="X380" s="104" t="s">
        <v>93</v>
      </c>
    </row>
    <row r="381" spans="1:24" s="75" customFormat="1" ht="12">
      <c r="A381" s="73">
        <f t="shared" si="87"/>
        <v>372</v>
      </c>
      <c r="B381" s="76" t="s">
        <v>2071</v>
      </c>
      <c r="C381" s="98" t="s">
        <v>113</v>
      </c>
      <c r="D381" s="99" t="s">
        <v>2068</v>
      </c>
      <c r="E381" s="78" t="s">
        <v>2072</v>
      </c>
      <c r="F381" s="74"/>
      <c r="G381" s="79"/>
      <c r="H381" s="79"/>
      <c r="I381" s="74" t="s">
        <v>2019</v>
      </c>
      <c r="J381" s="101">
        <f t="shared" si="84"/>
        <v>0</v>
      </c>
      <c r="K381" s="101">
        <f t="shared" si="84"/>
        <v>0</v>
      </c>
      <c r="L381" s="101">
        <f t="shared" si="84"/>
        <v>0</v>
      </c>
      <c r="M381" s="101">
        <f t="shared" si="84"/>
        <v>0</v>
      </c>
      <c r="N381" s="101">
        <f t="shared" si="84"/>
        <v>0</v>
      </c>
      <c r="O381" s="101">
        <v>0.1</v>
      </c>
      <c r="P381" s="101">
        <f t="shared" si="84"/>
        <v>0</v>
      </c>
      <c r="Q381" s="101">
        <f t="shared" si="84"/>
        <v>0</v>
      </c>
      <c r="R381" s="101">
        <f t="shared" si="84"/>
        <v>0</v>
      </c>
      <c r="S381" s="77"/>
      <c r="T381" s="101">
        <f t="shared" si="88"/>
        <v>0.1</v>
      </c>
      <c r="U381" s="101">
        <f t="shared" si="89"/>
        <v>0.2</v>
      </c>
      <c r="V381" s="102">
        <f t="shared" si="85"/>
        <v>0.01</v>
      </c>
      <c r="W381" s="103">
        <f t="shared" si="86"/>
        <v>12250</v>
      </c>
      <c r="X381" s="104" t="s">
        <v>93</v>
      </c>
    </row>
    <row r="382" spans="1:24" s="75" customFormat="1" ht="12">
      <c r="A382" s="73">
        <f t="shared" si="87"/>
        <v>373</v>
      </c>
      <c r="B382" s="76" t="s">
        <v>2071</v>
      </c>
      <c r="C382" s="98" t="s">
        <v>114</v>
      </c>
      <c r="D382" s="99" t="s">
        <v>2068</v>
      </c>
      <c r="E382" s="78" t="s">
        <v>2072</v>
      </c>
      <c r="F382" s="74"/>
      <c r="G382" s="79"/>
      <c r="H382" s="79"/>
      <c r="I382" s="74" t="s">
        <v>2019</v>
      </c>
      <c r="J382" s="101">
        <f t="shared" si="84"/>
        <v>0</v>
      </c>
      <c r="K382" s="101">
        <f t="shared" si="84"/>
        <v>0</v>
      </c>
      <c r="L382" s="101">
        <f t="shared" si="84"/>
        <v>0</v>
      </c>
      <c r="M382" s="101">
        <f t="shared" si="84"/>
        <v>0</v>
      </c>
      <c r="N382" s="101">
        <f t="shared" si="84"/>
        <v>0</v>
      </c>
      <c r="O382" s="101">
        <v>0.1</v>
      </c>
      <c r="P382" s="101">
        <f t="shared" si="84"/>
        <v>0</v>
      </c>
      <c r="Q382" s="101">
        <f t="shared" si="84"/>
        <v>0</v>
      </c>
      <c r="R382" s="101">
        <f t="shared" si="84"/>
        <v>0</v>
      </c>
      <c r="S382" s="77"/>
      <c r="T382" s="101">
        <f t="shared" si="88"/>
        <v>0.1</v>
      </c>
      <c r="U382" s="101">
        <f t="shared" si="89"/>
        <v>0.2</v>
      </c>
      <c r="V382" s="102">
        <f t="shared" si="85"/>
        <v>0.01</v>
      </c>
      <c r="W382" s="103">
        <f t="shared" si="86"/>
        <v>12250</v>
      </c>
      <c r="X382" s="104" t="s">
        <v>93</v>
      </c>
    </row>
    <row r="383" spans="1:24" s="75" customFormat="1" ht="12">
      <c r="A383" s="73">
        <f t="shared" si="87"/>
        <v>374</v>
      </c>
      <c r="B383" s="76" t="s">
        <v>2071</v>
      </c>
      <c r="C383" s="98" t="s">
        <v>115</v>
      </c>
      <c r="D383" s="99" t="s">
        <v>2068</v>
      </c>
      <c r="E383" s="78" t="s">
        <v>2072</v>
      </c>
      <c r="F383" s="74"/>
      <c r="G383" s="79"/>
      <c r="H383" s="79"/>
      <c r="I383" s="74" t="s">
        <v>2019</v>
      </c>
      <c r="J383" s="101">
        <f t="shared" si="84"/>
        <v>0</v>
      </c>
      <c r="K383" s="101">
        <f t="shared" si="84"/>
        <v>0</v>
      </c>
      <c r="L383" s="101">
        <f t="shared" si="84"/>
        <v>0</v>
      </c>
      <c r="M383" s="101">
        <f t="shared" si="84"/>
        <v>0</v>
      </c>
      <c r="N383" s="101">
        <f t="shared" si="84"/>
        <v>0</v>
      </c>
      <c r="O383" s="101">
        <v>0.1</v>
      </c>
      <c r="P383" s="101">
        <f t="shared" si="84"/>
        <v>0</v>
      </c>
      <c r="Q383" s="101">
        <f t="shared" si="84"/>
        <v>0</v>
      </c>
      <c r="R383" s="101">
        <f t="shared" si="84"/>
        <v>0</v>
      </c>
      <c r="S383" s="77"/>
      <c r="T383" s="101">
        <f t="shared" si="88"/>
        <v>0.1</v>
      </c>
      <c r="U383" s="101">
        <f t="shared" si="89"/>
        <v>0.2</v>
      </c>
      <c r="V383" s="102">
        <f t="shared" si="85"/>
        <v>0.01</v>
      </c>
      <c r="W383" s="103">
        <f t="shared" si="86"/>
        <v>12250</v>
      </c>
      <c r="X383" s="104" t="s">
        <v>93</v>
      </c>
    </row>
    <row r="384" spans="1:24" s="75" customFormat="1" ht="12">
      <c r="A384" s="73">
        <f t="shared" si="87"/>
        <v>375</v>
      </c>
      <c r="B384" s="76" t="s">
        <v>2071</v>
      </c>
      <c r="C384" s="98" t="s">
        <v>116</v>
      </c>
      <c r="D384" s="99" t="s">
        <v>2068</v>
      </c>
      <c r="E384" s="78" t="s">
        <v>2072</v>
      </c>
      <c r="F384" s="74"/>
      <c r="G384" s="79"/>
      <c r="H384" s="79"/>
      <c r="I384" s="74" t="s">
        <v>2019</v>
      </c>
      <c r="J384" s="101">
        <f t="shared" si="84"/>
        <v>0</v>
      </c>
      <c r="K384" s="101">
        <f t="shared" si="84"/>
        <v>0</v>
      </c>
      <c r="L384" s="101">
        <f t="shared" si="84"/>
        <v>0</v>
      </c>
      <c r="M384" s="101">
        <f t="shared" si="84"/>
        <v>0</v>
      </c>
      <c r="N384" s="101">
        <f t="shared" si="84"/>
        <v>0</v>
      </c>
      <c r="O384" s="101">
        <v>0.1</v>
      </c>
      <c r="P384" s="101">
        <f t="shared" si="84"/>
        <v>0</v>
      </c>
      <c r="Q384" s="101">
        <f t="shared" si="84"/>
        <v>0</v>
      </c>
      <c r="R384" s="101">
        <f t="shared" si="84"/>
        <v>0</v>
      </c>
      <c r="S384" s="77"/>
      <c r="T384" s="101">
        <f t="shared" si="88"/>
        <v>0.1</v>
      </c>
      <c r="U384" s="101">
        <f t="shared" si="89"/>
        <v>0.2</v>
      </c>
      <c r="V384" s="102">
        <f t="shared" si="85"/>
        <v>0.01</v>
      </c>
      <c r="W384" s="103">
        <f t="shared" si="86"/>
        <v>12250</v>
      </c>
      <c r="X384" s="104" t="s">
        <v>93</v>
      </c>
    </row>
    <row r="385" spans="1:24" s="75" customFormat="1" ht="12">
      <c r="A385" s="73">
        <f t="shared" si="87"/>
        <v>376</v>
      </c>
      <c r="B385" s="76" t="s">
        <v>2071</v>
      </c>
      <c r="C385" s="98" t="s">
        <v>117</v>
      </c>
      <c r="D385" s="99" t="s">
        <v>2068</v>
      </c>
      <c r="E385" s="78" t="s">
        <v>2072</v>
      </c>
      <c r="F385" s="74"/>
      <c r="G385" s="79"/>
      <c r="H385" s="79"/>
      <c r="I385" s="74" t="s">
        <v>2019</v>
      </c>
      <c r="J385" s="101">
        <f t="shared" si="84"/>
        <v>0</v>
      </c>
      <c r="K385" s="101">
        <f t="shared" si="84"/>
        <v>0</v>
      </c>
      <c r="L385" s="101">
        <f t="shared" si="84"/>
        <v>0</v>
      </c>
      <c r="M385" s="101">
        <f t="shared" si="84"/>
        <v>0</v>
      </c>
      <c r="N385" s="101">
        <f t="shared" si="84"/>
        <v>0</v>
      </c>
      <c r="O385" s="101">
        <v>0.1</v>
      </c>
      <c r="P385" s="101">
        <f t="shared" si="84"/>
        <v>0</v>
      </c>
      <c r="Q385" s="101">
        <f t="shared" si="84"/>
        <v>0</v>
      </c>
      <c r="R385" s="101">
        <f t="shared" si="84"/>
        <v>0</v>
      </c>
      <c r="S385" s="77"/>
      <c r="T385" s="101">
        <f t="shared" si="88"/>
        <v>0.1</v>
      </c>
      <c r="U385" s="101">
        <f t="shared" si="89"/>
        <v>0.2</v>
      </c>
      <c r="V385" s="102">
        <f t="shared" si="85"/>
        <v>0.01</v>
      </c>
      <c r="W385" s="103">
        <f t="shared" si="86"/>
        <v>12250</v>
      </c>
      <c r="X385" s="104" t="s">
        <v>93</v>
      </c>
    </row>
    <row r="386" spans="1:24" s="75" customFormat="1" ht="12">
      <c r="A386" s="73">
        <f t="shared" si="87"/>
        <v>377</v>
      </c>
      <c r="B386" s="76" t="s">
        <v>2071</v>
      </c>
      <c r="C386" s="98" t="s">
        <v>118</v>
      </c>
      <c r="D386" s="99" t="s">
        <v>2068</v>
      </c>
      <c r="E386" s="78" t="s">
        <v>2072</v>
      </c>
      <c r="F386" s="74"/>
      <c r="G386" s="79"/>
      <c r="H386" s="79"/>
      <c r="I386" s="74" t="s">
        <v>2019</v>
      </c>
      <c r="J386" s="101">
        <f t="shared" si="84"/>
        <v>0</v>
      </c>
      <c r="K386" s="101">
        <f t="shared" si="84"/>
        <v>0</v>
      </c>
      <c r="L386" s="101">
        <f t="shared" si="84"/>
        <v>0</v>
      </c>
      <c r="M386" s="101">
        <f t="shared" si="84"/>
        <v>0</v>
      </c>
      <c r="N386" s="101">
        <f t="shared" si="84"/>
        <v>0</v>
      </c>
      <c r="O386" s="101">
        <v>0.1</v>
      </c>
      <c r="P386" s="101">
        <f t="shared" si="84"/>
        <v>0</v>
      </c>
      <c r="Q386" s="101">
        <f t="shared" si="84"/>
        <v>0</v>
      </c>
      <c r="R386" s="101">
        <f t="shared" si="84"/>
        <v>0</v>
      </c>
      <c r="S386" s="77"/>
      <c r="T386" s="101">
        <f t="shared" si="88"/>
        <v>0.1</v>
      </c>
      <c r="U386" s="101">
        <f t="shared" si="89"/>
        <v>0.2</v>
      </c>
      <c r="V386" s="102">
        <f t="shared" si="85"/>
        <v>0.01</v>
      </c>
      <c r="W386" s="103">
        <f t="shared" si="86"/>
        <v>12250</v>
      </c>
      <c r="X386" s="104" t="s">
        <v>93</v>
      </c>
    </row>
    <row r="387" spans="1:24" s="75" customFormat="1" ht="12">
      <c r="A387" s="73">
        <f t="shared" si="87"/>
        <v>378</v>
      </c>
      <c r="B387" s="76" t="s">
        <v>2071</v>
      </c>
      <c r="C387" s="98" t="s">
        <v>119</v>
      </c>
      <c r="D387" s="99" t="s">
        <v>2068</v>
      </c>
      <c r="E387" s="78" t="s">
        <v>2072</v>
      </c>
      <c r="F387" s="74"/>
      <c r="G387" s="79"/>
      <c r="H387" s="79"/>
      <c r="I387" s="74" t="s">
        <v>2019</v>
      </c>
      <c r="J387" s="101">
        <f t="shared" si="84"/>
        <v>0</v>
      </c>
      <c r="K387" s="101">
        <f t="shared" si="84"/>
        <v>0</v>
      </c>
      <c r="L387" s="101">
        <f t="shared" si="84"/>
        <v>0</v>
      </c>
      <c r="M387" s="101">
        <f t="shared" si="84"/>
        <v>0</v>
      </c>
      <c r="N387" s="101">
        <f t="shared" si="84"/>
        <v>0</v>
      </c>
      <c r="O387" s="101">
        <v>0.1</v>
      </c>
      <c r="P387" s="101">
        <f t="shared" si="84"/>
        <v>0</v>
      </c>
      <c r="Q387" s="101">
        <f t="shared" si="84"/>
        <v>0</v>
      </c>
      <c r="R387" s="101">
        <f t="shared" si="84"/>
        <v>0</v>
      </c>
      <c r="S387" s="77"/>
      <c r="T387" s="101">
        <f t="shared" si="88"/>
        <v>0.1</v>
      </c>
      <c r="U387" s="101">
        <f t="shared" si="89"/>
        <v>0.2</v>
      </c>
      <c r="V387" s="102">
        <f t="shared" si="85"/>
        <v>0.01</v>
      </c>
      <c r="W387" s="103">
        <f t="shared" si="86"/>
        <v>12250</v>
      </c>
      <c r="X387" s="104" t="s">
        <v>93</v>
      </c>
    </row>
    <row r="388" spans="1:24" s="75" customFormat="1" ht="12">
      <c r="A388" s="73">
        <f t="shared" si="87"/>
        <v>379</v>
      </c>
      <c r="B388" s="76" t="s">
        <v>2071</v>
      </c>
      <c r="C388" s="98" t="s">
        <v>120</v>
      </c>
      <c r="D388" s="99" t="s">
        <v>2068</v>
      </c>
      <c r="E388" s="78" t="s">
        <v>2072</v>
      </c>
      <c r="F388" s="74"/>
      <c r="G388" s="79"/>
      <c r="H388" s="79"/>
      <c r="I388" s="74" t="s">
        <v>2019</v>
      </c>
      <c r="J388" s="101">
        <f t="shared" si="84"/>
        <v>0</v>
      </c>
      <c r="K388" s="101">
        <f t="shared" si="84"/>
        <v>0</v>
      </c>
      <c r="L388" s="101">
        <f t="shared" si="84"/>
        <v>0</v>
      </c>
      <c r="M388" s="101">
        <f t="shared" si="84"/>
        <v>0</v>
      </c>
      <c r="N388" s="101">
        <f t="shared" si="84"/>
        <v>0</v>
      </c>
      <c r="O388" s="101">
        <v>0.1</v>
      </c>
      <c r="P388" s="101">
        <f t="shared" si="84"/>
        <v>0</v>
      </c>
      <c r="Q388" s="101">
        <f t="shared" si="84"/>
        <v>0</v>
      </c>
      <c r="R388" s="101">
        <f t="shared" si="84"/>
        <v>0</v>
      </c>
      <c r="S388" s="77"/>
      <c r="T388" s="101">
        <f t="shared" si="88"/>
        <v>0.1</v>
      </c>
      <c r="U388" s="101">
        <f t="shared" si="89"/>
        <v>0.2</v>
      </c>
      <c r="V388" s="102">
        <f t="shared" si="85"/>
        <v>0.01</v>
      </c>
      <c r="W388" s="103">
        <f t="shared" si="86"/>
        <v>12250</v>
      </c>
      <c r="X388" s="104" t="s">
        <v>93</v>
      </c>
    </row>
    <row r="389" spans="1:24" s="75" customFormat="1" ht="12">
      <c r="A389" s="73">
        <f t="shared" si="87"/>
        <v>380</v>
      </c>
      <c r="B389" s="76" t="s">
        <v>2071</v>
      </c>
      <c r="C389" s="98" t="s">
        <v>121</v>
      </c>
      <c r="D389" s="99" t="s">
        <v>2068</v>
      </c>
      <c r="E389" s="78" t="s">
        <v>2072</v>
      </c>
      <c r="F389" s="74"/>
      <c r="G389" s="79"/>
      <c r="H389" s="79"/>
      <c r="I389" s="74" t="s">
        <v>2019</v>
      </c>
      <c r="J389" s="101">
        <f t="shared" si="84"/>
        <v>0</v>
      </c>
      <c r="K389" s="101">
        <f t="shared" si="84"/>
        <v>0</v>
      </c>
      <c r="L389" s="101">
        <f t="shared" si="84"/>
        <v>0</v>
      </c>
      <c r="M389" s="101">
        <f t="shared" si="84"/>
        <v>0</v>
      </c>
      <c r="N389" s="101">
        <f t="shared" si="84"/>
        <v>0</v>
      </c>
      <c r="O389" s="101">
        <v>0.1</v>
      </c>
      <c r="P389" s="101">
        <f t="shared" si="84"/>
        <v>0</v>
      </c>
      <c r="Q389" s="101">
        <f t="shared" si="84"/>
        <v>0</v>
      </c>
      <c r="R389" s="101">
        <f t="shared" si="84"/>
        <v>0</v>
      </c>
      <c r="S389" s="77"/>
      <c r="T389" s="101">
        <f t="shared" si="88"/>
        <v>0.1</v>
      </c>
      <c r="U389" s="101">
        <f t="shared" si="89"/>
        <v>0.2</v>
      </c>
      <c r="V389" s="102">
        <f t="shared" si="85"/>
        <v>0.01</v>
      </c>
      <c r="W389" s="103">
        <f t="shared" si="86"/>
        <v>12250</v>
      </c>
      <c r="X389" s="104" t="s">
        <v>93</v>
      </c>
    </row>
    <row r="390" spans="1:24" s="75" customFormat="1" ht="12">
      <c r="A390" s="73">
        <f t="shared" si="87"/>
        <v>381</v>
      </c>
      <c r="B390" s="76" t="s">
        <v>2071</v>
      </c>
      <c r="C390" s="98" t="s">
        <v>122</v>
      </c>
      <c r="D390" s="99" t="s">
        <v>2068</v>
      </c>
      <c r="E390" s="78" t="s">
        <v>2072</v>
      </c>
      <c r="F390" s="74"/>
      <c r="G390" s="79"/>
      <c r="H390" s="79"/>
      <c r="I390" s="74" t="s">
        <v>2019</v>
      </c>
      <c r="J390" s="101">
        <f t="shared" si="84"/>
        <v>0</v>
      </c>
      <c r="K390" s="101">
        <f t="shared" si="84"/>
        <v>0</v>
      </c>
      <c r="L390" s="101">
        <f t="shared" si="84"/>
        <v>0</v>
      </c>
      <c r="M390" s="101">
        <f t="shared" si="84"/>
        <v>0</v>
      </c>
      <c r="N390" s="101">
        <f t="shared" si="84"/>
        <v>0</v>
      </c>
      <c r="O390" s="101">
        <v>0.1</v>
      </c>
      <c r="P390" s="101">
        <f t="shared" si="84"/>
        <v>0</v>
      </c>
      <c r="Q390" s="101">
        <f t="shared" si="84"/>
        <v>0</v>
      </c>
      <c r="R390" s="101">
        <f t="shared" si="84"/>
        <v>0</v>
      </c>
      <c r="S390" s="77"/>
      <c r="T390" s="101">
        <f t="shared" si="88"/>
        <v>0.1</v>
      </c>
      <c r="U390" s="101">
        <f t="shared" si="89"/>
        <v>0.2</v>
      </c>
      <c r="V390" s="102">
        <f t="shared" si="85"/>
        <v>0.01</v>
      </c>
      <c r="W390" s="103">
        <f t="shared" si="86"/>
        <v>12250</v>
      </c>
      <c r="X390" s="104" t="s">
        <v>93</v>
      </c>
    </row>
    <row r="391" spans="1:24" s="75" customFormat="1" ht="12">
      <c r="A391" s="73">
        <f t="shared" si="87"/>
        <v>382</v>
      </c>
      <c r="B391" s="76"/>
      <c r="C391" s="98"/>
      <c r="D391" s="99"/>
      <c r="E391" s="78"/>
      <c r="F391" s="74"/>
      <c r="G391" s="79"/>
      <c r="H391" s="79"/>
      <c r="I391" s="74"/>
      <c r="J391" s="101">
        <f t="shared" si="84"/>
        <v>0</v>
      </c>
      <c r="K391" s="101">
        <f t="shared" si="84"/>
        <v>0</v>
      </c>
      <c r="L391" s="101">
        <f t="shared" si="84"/>
        <v>0</v>
      </c>
      <c r="M391" s="101">
        <f t="shared" si="84"/>
        <v>0</v>
      </c>
      <c r="N391" s="101">
        <f t="shared" si="84"/>
        <v>0</v>
      </c>
      <c r="O391" s="101">
        <f t="shared" si="84"/>
        <v>0</v>
      </c>
      <c r="P391" s="101">
        <f t="shared" si="84"/>
        <v>0</v>
      </c>
      <c r="Q391" s="101">
        <f t="shared" si="84"/>
        <v>0</v>
      </c>
      <c r="R391" s="101">
        <f t="shared" si="84"/>
        <v>0</v>
      </c>
      <c r="S391" s="77"/>
      <c r="T391" s="101">
        <f t="shared" si="88"/>
        <v>0</v>
      </c>
      <c r="U391" s="101">
        <f t="shared" si="89"/>
        <v>0</v>
      </c>
      <c r="V391" s="102">
        <f t="shared" si="85"/>
        <v>0</v>
      </c>
      <c r="W391" s="103">
        <f t="shared" si="86"/>
        <v>0</v>
      </c>
      <c r="X391" s="104" t="s">
        <v>93</v>
      </c>
    </row>
    <row r="392" spans="1:24" s="75" customFormat="1" ht="13.2">
      <c r="A392" s="73">
        <f t="shared" si="87"/>
        <v>383</v>
      </c>
      <c r="B392" s="76" t="s">
        <v>2097</v>
      </c>
      <c r="C392" s="149" t="s">
        <v>2075</v>
      </c>
      <c r="D392" s="99"/>
      <c r="E392" s="78" t="s">
        <v>2098</v>
      </c>
      <c r="F392" s="74"/>
      <c r="G392" s="79"/>
      <c r="H392" s="79"/>
      <c r="I392" s="74"/>
      <c r="J392" s="101">
        <f t="shared" si="84"/>
        <v>0</v>
      </c>
      <c r="K392" s="101">
        <f t="shared" si="84"/>
        <v>0</v>
      </c>
      <c r="L392" s="101">
        <f t="shared" si="84"/>
        <v>0</v>
      </c>
      <c r="M392" s="101">
        <f t="shared" si="84"/>
        <v>0</v>
      </c>
      <c r="N392" s="101">
        <v>0.1</v>
      </c>
      <c r="O392" s="101">
        <v>0.1</v>
      </c>
      <c r="P392" s="101">
        <f t="shared" si="84"/>
        <v>0</v>
      </c>
      <c r="Q392" s="101">
        <f t="shared" si="84"/>
        <v>0</v>
      </c>
      <c r="R392" s="101">
        <f t="shared" si="84"/>
        <v>0</v>
      </c>
      <c r="S392" s="77"/>
      <c r="T392" s="101">
        <f t="shared" si="88"/>
        <v>0.1</v>
      </c>
      <c r="U392" s="101">
        <f t="shared" si="89"/>
        <v>0.30000000000000004</v>
      </c>
      <c r="V392" s="102">
        <f t="shared" si="85"/>
        <v>1.5000000000000003E-2</v>
      </c>
      <c r="W392" s="103">
        <f t="shared" si="86"/>
        <v>17500</v>
      </c>
      <c r="X392" s="104" t="s">
        <v>93</v>
      </c>
    </row>
    <row r="393" spans="1:24" s="75" customFormat="1" ht="13.2">
      <c r="A393" s="73">
        <f t="shared" si="87"/>
        <v>384</v>
      </c>
      <c r="B393" s="76" t="s">
        <v>2097</v>
      </c>
      <c r="C393" s="149" t="s">
        <v>2076</v>
      </c>
      <c r="D393" s="99"/>
      <c r="E393" s="78" t="s">
        <v>2098</v>
      </c>
      <c r="F393" s="74"/>
      <c r="G393" s="79"/>
      <c r="H393" s="79"/>
      <c r="I393" s="74"/>
      <c r="J393" s="101">
        <f t="shared" si="84"/>
        <v>0</v>
      </c>
      <c r="K393" s="101">
        <f t="shared" si="84"/>
        <v>0</v>
      </c>
      <c r="L393" s="101">
        <f t="shared" si="84"/>
        <v>0</v>
      </c>
      <c r="M393" s="101">
        <f t="shared" si="84"/>
        <v>0</v>
      </c>
      <c r="N393" s="101">
        <v>0.1</v>
      </c>
      <c r="O393" s="101">
        <v>0.1</v>
      </c>
      <c r="P393" s="101">
        <f t="shared" si="84"/>
        <v>0</v>
      </c>
      <c r="Q393" s="101">
        <f t="shared" si="84"/>
        <v>0</v>
      </c>
      <c r="R393" s="101">
        <f t="shared" si="84"/>
        <v>0</v>
      </c>
      <c r="S393" s="77"/>
      <c r="T393" s="101">
        <f t="shared" si="88"/>
        <v>0.1</v>
      </c>
      <c r="U393" s="101">
        <f t="shared" si="89"/>
        <v>0.30000000000000004</v>
      </c>
      <c r="V393" s="102">
        <f t="shared" si="85"/>
        <v>1.5000000000000003E-2</v>
      </c>
      <c r="W393" s="103">
        <f t="shared" si="86"/>
        <v>17500</v>
      </c>
      <c r="X393" s="104" t="s">
        <v>93</v>
      </c>
    </row>
    <row r="394" spans="1:24" s="75" customFormat="1" ht="13.2">
      <c r="A394" s="73">
        <f t="shared" si="87"/>
        <v>385</v>
      </c>
      <c r="B394" s="76" t="s">
        <v>2097</v>
      </c>
      <c r="C394" s="148" t="s">
        <v>2077</v>
      </c>
      <c r="D394" s="99"/>
      <c r="E394" s="78" t="s">
        <v>2098</v>
      </c>
      <c r="F394" s="74"/>
      <c r="G394" s="79"/>
      <c r="H394" s="79"/>
      <c r="I394" s="74"/>
      <c r="J394" s="101">
        <f t="shared" si="84"/>
        <v>0</v>
      </c>
      <c r="K394" s="101">
        <f t="shared" si="84"/>
        <v>0</v>
      </c>
      <c r="L394" s="101">
        <f t="shared" si="84"/>
        <v>0</v>
      </c>
      <c r="M394" s="101">
        <f t="shared" si="84"/>
        <v>0</v>
      </c>
      <c r="N394" s="101">
        <v>0.1</v>
      </c>
      <c r="O394" s="101">
        <v>0.1</v>
      </c>
      <c r="P394" s="101">
        <f t="shared" si="84"/>
        <v>0</v>
      </c>
      <c r="Q394" s="101">
        <f t="shared" si="84"/>
        <v>0</v>
      </c>
      <c r="R394" s="101">
        <f t="shared" si="84"/>
        <v>0</v>
      </c>
      <c r="S394" s="77"/>
      <c r="T394" s="101">
        <f t="shared" si="88"/>
        <v>0.1</v>
      </c>
      <c r="U394" s="101">
        <f t="shared" si="89"/>
        <v>0.30000000000000004</v>
      </c>
      <c r="V394" s="102">
        <f t="shared" si="85"/>
        <v>1.5000000000000003E-2</v>
      </c>
      <c r="W394" s="103">
        <f t="shared" si="86"/>
        <v>17500</v>
      </c>
      <c r="X394" s="104" t="s">
        <v>93</v>
      </c>
    </row>
    <row r="395" spans="1:24" s="75" customFormat="1" ht="13.2">
      <c r="A395" s="73">
        <f t="shared" si="87"/>
        <v>386</v>
      </c>
      <c r="B395" s="76" t="s">
        <v>2097</v>
      </c>
      <c r="C395" s="148" t="s">
        <v>2078</v>
      </c>
      <c r="D395" s="99"/>
      <c r="E395" s="78" t="s">
        <v>2098</v>
      </c>
      <c r="F395" s="74"/>
      <c r="G395" s="79"/>
      <c r="H395" s="79"/>
      <c r="I395" s="74"/>
      <c r="J395" s="101">
        <f t="shared" si="84"/>
        <v>0</v>
      </c>
      <c r="K395" s="101">
        <f t="shared" si="84"/>
        <v>0</v>
      </c>
      <c r="L395" s="101">
        <f t="shared" si="84"/>
        <v>0</v>
      </c>
      <c r="M395" s="101">
        <f t="shared" si="84"/>
        <v>0</v>
      </c>
      <c r="N395" s="101">
        <v>0.1</v>
      </c>
      <c r="O395" s="101">
        <v>0.1</v>
      </c>
      <c r="P395" s="101">
        <f t="shared" si="84"/>
        <v>0</v>
      </c>
      <c r="Q395" s="101">
        <f t="shared" si="84"/>
        <v>0</v>
      </c>
      <c r="R395" s="101">
        <f t="shared" si="84"/>
        <v>0</v>
      </c>
      <c r="S395" s="77"/>
      <c r="T395" s="101">
        <f t="shared" si="88"/>
        <v>0.1</v>
      </c>
      <c r="U395" s="101">
        <f t="shared" si="89"/>
        <v>0.30000000000000004</v>
      </c>
      <c r="V395" s="102">
        <f t="shared" si="85"/>
        <v>1.5000000000000003E-2</v>
      </c>
      <c r="W395" s="103">
        <f t="shared" si="86"/>
        <v>17500</v>
      </c>
      <c r="X395" s="104" t="s">
        <v>93</v>
      </c>
    </row>
    <row r="396" spans="1:24" s="75" customFormat="1" ht="13.2">
      <c r="A396" s="73">
        <f t="shared" si="87"/>
        <v>387</v>
      </c>
      <c r="B396" s="76" t="s">
        <v>2097</v>
      </c>
      <c r="C396" s="148" t="s">
        <v>2079</v>
      </c>
      <c r="D396" s="99"/>
      <c r="E396" s="78" t="s">
        <v>2098</v>
      </c>
      <c r="F396" s="74"/>
      <c r="G396" s="79"/>
      <c r="H396" s="79"/>
      <c r="I396" s="74"/>
      <c r="J396" s="101">
        <f t="shared" si="84"/>
        <v>0</v>
      </c>
      <c r="K396" s="101">
        <f t="shared" si="84"/>
        <v>0</v>
      </c>
      <c r="L396" s="101">
        <f t="shared" si="84"/>
        <v>0</v>
      </c>
      <c r="M396" s="101">
        <f t="shared" si="84"/>
        <v>0</v>
      </c>
      <c r="N396" s="101">
        <v>0.1</v>
      </c>
      <c r="O396" s="101">
        <v>0.1</v>
      </c>
      <c r="P396" s="101">
        <f t="shared" si="84"/>
        <v>0</v>
      </c>
      <c r="Q396" s="101">
        <f t="shared" si="84"/>
        <v>0</v>
      </c>
      <c r="R396" s="101">
        <f t="shared" si="84"/>
        <v>0</v>
      </c>
      <c r="S396" s="77"/>
      <c r="T396" s="101">
        <f t="shared" si="88"/>
        <v>0.1</v>
      </c>
      <c r="U396" s="101">
        <f t="shared" si="89"/>
        <v>0.30000000000000004</v>
      </c>
      <c r="V396" s="102">
        <f t="shared" si="85"/>
        <v>1.5000000000000003E-2</v>
      </c>
      <c r="W396" s="103">
        <f t="shared" si="86"/>
        <v>17500</v>
      </c>
      <c r="X396" s="104" t="s">
        <v>93</v>
      </c>
    </row>
    <row r="397" spans="1:24" s="75" customFormat="1" ht="13.2">
      <c r="A397" s="73">
        <f t="shared" si="87"/>
        <v>388</v>
      </c>
      <c r="B397" s="76" t="s">
        <v>2097</v>
      </c>
      <c r="C397" s="148" t="s">
        <v>2080</v>
      </c>
      <c r="D397" s="99"/>
      <c r="E397" s="78" t="s">
        <v>2098</v>
      </c>
      <c r="F397" s="74"/>
      <c r="G397" s="79"/>
      <c r="H397" s="79"/>
      <c r="I397" s="74"/>
      <c r="J397" s="101">
        <f t="shared" si="84"/>
        <v>0</v>
      </c>
      <c r="K397" s="101">
        <f t="shared" si="84"/>
        <v>0</v>
      </c>
      <c r="L397" s="101">
        <f t="shared" si="84"/>
        <v>0</v>
      </c>
      <c r="M397" s="101">
        <f t="shared" si="84"/>
        <v>0</v>
      </c>
      <c r="N397" s="101">
        <v>0.1</v>
      </c>
      <c r="O397" s="101">
        <v>0.1</v>
      </c>
      <c r="P397" s="101">
        <f t="shared" si="84"/>
        <v>0</v>
      </c>
      <c r="Q397" s="101">
        <f t="shared" si="84"/>
        <v>0</v>
      </c>
      <c r="R397" s="101">
        <f t="shared" si="84"/>
        <v>0</v>
      </c>
      <c r="S397" s="77"/>
      <c r="T397" s="101">
        <f t="shared" si="88"/>
        <v>0.1</v>
      </c>
      <c r="U397" s="101">
        <f t="shared" si="89"/>
        <v>0.30000000000000004</v>
      </c>
      <c r="V397" s="102">
        <f t="shared" si="85"/>
        <v>1.5000000000000003E-2</v>
      </c>
      <c r="W397" s="103">
        <f t="shared" si="86"/>
        <v>17500</v>
      </c>
      <c r="X397" s="104" t="s">
        <v>93</v>
      </c>
    </row>
    <row r="398" spans="1:24" s="75" customFormat="1" ht="13.2">
      <c r="A398" s="73">
        <f t="shared" si="87"/>
        <v>389</v>
      </c>
      <c r="B398" s="76" t="s">
        <v>2097</v>
      </c>
      <c r="C398" s="148" t="s">
        <v>2081</v>
      </c>
      <c r="D398" s="99"/>
      <c r="E398" s="78" t="s">
        <v>2098</v>
      </c>
      <c r="F398" s="74"/>
      <c r="G398" s="79"/>
      <c r="H398" s="79"/>
      <c r="I398" s="74"/>
      <c r="J398" s="101">
        <f t="shared" si="84"/>
        <v>0</v>
      </c>
      <c r="K398" s="101">
        <f t="shared" si="84"/>
        <v>0</v>
      </c>
      <c r="L398" s="101">
        <f t="shared" si="84"/>
        <v>0</v>
      </c>
      <c r="M398" s="101">
        <f t="shared" si="84"/>
        <v>0</v>
      </c>
      <c r="N398" s="101">
        <v>0.1</v>
      </c>
      <c r="O398" s="101">
        <v>0.1</v>
      </c>
      <c r="P398" s="101">
        <f t="shared" si="84"/>
        <v>0</v>
      </c>
      <c r="Q398" s="101">
        <f t="shared" si="84"/>
        <v>0</v>
      </c>
      <c r="R398" s="101">
        <f t="shared" si="84"/>
        <v>0</v>
      </c>
      <c r="S398" s="77"/>
      <c r="T398" s="101">
        <f t="shared" si="88"/>
        <v>0.1</v>
      </c>
      <c r="U398" s="101">
        <f t="shared" si="89"/>
        <v>0.30000000000000004</v>
      </c>
      <c r="V398" s="102">
        <f t="shared" si="85"/>
        <v>1.5000000000000003E-2</v>
      </c>
      <c r="W398" s="103">
        <f t="shared" si="86"/>
        <v>17500</v>
      </c>
      <c r="X398" s="104" t="s">
        <v>93</v>
      </c>
    </row>
    <row r="399" spans="1:24" s="75" customFormat="1" ht="13.2">
      <c r="A399" s="73">
        <f t="shared" si="87"/>
        <v>390</v>
      </c>
      <c r="B399" s="76" t="s">
        <v>2097</v>
      </c>
      <c r="C399" s="153" t="s">
        <v>2082</v>
      </c>
      <c r="D399" s="99"/>
      <c r="E399" s="78" t="s">
        <v>2098</v>
      </c>
      <c r="F399" s="74"/>
      <c r="G399" s="79"/>
      <c r="H399" s="79"/>
      <c r="I399" s="74"/>
      <c r="J399" s="101">
        <f t="shared" si="84"/>
        <v>0</v>
      </c>
      <c r="K399" s="101">
        <f t="shared" si="84"/>
        <v>0</v>
      </c>
      <c r="L399" s="101">
        <f t="shared" si="84"/>
        <v>0</v>
      </c>
      <c r="M399" s="101">
        <f t="shared" si="84"/>
        <v>0</v>
      </c>
      <c r="N399" s="101">
        <v>0.1</v>
      </c>
      <c r="O399" s="101">
        <v>0.1</v>
      </c>
      <c r="P399" s="101">
        <f t="shared" si="84"/>
        <v>0</v>
      </c>
      <c r="Q399" s="101">
        <f t="shared" si="84"/>
        <v>0</v>
      </c>
      <c r="R399" s="101">
        <f t="shared" si="84"/>
        <v>0</v>
      </c>
      <c r="S399" s="77"/>
      <c r="T399" s="101">
        <f t="shared" si="88"/>
        <v>0.1</v>
      </c>
      <c r="U399" s="101">
        <f t="shared" si="89"/>
        <v>0.30000000000000004</v>
      </c>
      <c r="V399" s="102">
        <f t="shared" si="85"/>
        <v>1.5000000000000003E-2</v>
      </c>
      <c r="W399" s="103">
        <f t="shared" si="86"/>
        <v>17500</v>
      </c>
      <c r="X399" s="104" t="s">
        <v>93</v>
      </c>
    </row>
    <row r="400" spans="1:24" s="75" customFormat="1" ht="13.2">
      <c r="A400" s="73">
        <f t="shared" si="87"/>
        <v>391</v>
      </c>
      <c r="B400" s="76" t="s">
        <v>2097</v>
      </c>
      <c r="C400" s="153" t="s">
        <v>2083</v>
      </c>
      <c r="D400" s="99"/>
      <c r="E400" s="78" t="s">
        <v>2098</v>
      </c>
      <c r="F400" s="74"/>
      <c r="G400" s="79"/>
      <c r="H400" s="79"/>
      <c r="I400" s="74"/>
      <c r="J400" s="101">
        <f t="shared" si="84"/>
        <v>0</v>
      </c>
      <c r="K400" s="101">
        <f t="shared" si="84"/>
        <v>0</v>
      </c>
      <c r="L400" s="101">
        <f t="shared" si="84"/>
        <v>0</v>
      </c>
      <c r="M400" s="101">
        <f t="shared" si="84"/>
        <v>0</v>
      </c>
      <c r="N400" s="101">
        <v>0.1</v>
      </c>
      <c r="O400" s="101">
        <v>0.1</v>
      </c>
      <c r="P400" s="101">
        <f t="shared" si="84"/>
        <v>0</v>
      </c>
      <c r="Q400" s="101">
        <f t="shared" si="84"/>
        <v>0</v>
      </c>
      <c r="R400" s="101">
        <f t="shared" si="84"/>
        <v>0</v>
      </c>
      <c r="S400" s="77"/>
      <c r="T400" s="101">
        <f t="shared" si="88"/>
        <v>0.1</v>
      </c>
      <c r="U400" s="101">
        <f t="shared" si="89"/>
        <v>0.30000000000000004</v>
      </c>
      <c r="V400" s="102">
        <f t="shared" si="85"/>
        <v>1.5000000000000003E-2</v>
      </c>
      <c r="W400" s="103">
        <f t="shared" si="86"/>
        <v>17500</v>
      </c>
      <c r="X400" s="104" t="s">
        <v>93</v>
      </c>
    </row>
    <row r="401" spans="1:24" s="75" customFormat="1" ht="13.2">
      <c r="A401" s="73">
        <f t="shared" si="87"/>
        <v>392</v>
      </c>
      <c r="B401" s="76" t="s">
        <v>2097</v>
      </c>
      <c r="C401" s="154" t="s">
        <v>2084</v>
      </c>
      <c r="D401" s="99"/>
      <c r="E401" s="78" t="s">
        <v>2098</v>
      </c>
      <c r="F401" s="74"/>
      <c r="G401" s="79"/>
      <c r="H401" s="79"/>
      <c r="I401" s="74"/>
      <c r="J401" s="101">
        <f t="shared" si="84"/>
        <v>0</v>
      </c>
      <c r="K401" s="101">
        <f t="shared" si="84"/>
        <v>0</v>
      </c>
      <c r="L401" s="101">
        <f t="shared" si="84"/>
        <v>0</v>
      </c>
      <c r="M401" s="101">
        <f t="shared" si="84"/>
        <v>0</v>
      </c>
      <c r="N401" s="101">
        <v>0.1</v>
      </c>
      <c r="O401" s="101">
        <v>0.1</v>
      </c>
      <c r="P401" s="101">
        <f t="shared" si="84"/>
        <v>0</v>
      </c>
      <c r="Q401" s="101">
        <f t="shared" si="84"/>
        <v>0</v>
      </c>
      <c r="R401" s="101">
        <f t="shared" si="84"/>
        <v>0</v>
      </c>
      <c r="S401" s="77"/>
      <c r="T401" s="101">
        <f t="shared" si="88"/>
        <v>0.1</v>
      </c>
      <c r="U401" s="101">
        <f t="shared" si="89"/>
        <v>0.30000000000000004</v>
      </c>
      <c r="V401" s="102">
        <f t="shared" si="85"/>
        <v>1.5000000000000003E-2</v>
      </c>
      <c r="W401" s="103">
        <f t="shared" si="86"/>
        <v>17500</v>
      </c>
      <c r="X401" s="104" t="s">
        <v>93</v>
      </c>
    </row>
    <row r="402" spans="1:24" s="75" customFormat="1" ht="13.2">
      <c r="A402" s="73">
        <f t="shared" si="87"/>
        <v>393</v>
      </c>
      <c r="B402" s="76" t="s">
        <v>2097</v>
      </c>
      <c r="C402" s="154" t="s">
        <v>2085</v>
      </c>
      <c r="D402" s="99"/>
      <c r="E402" s="78" t="s">
        <v>2098</v>
      </c>
      <c r="F402" s="74"/>
      <c r="G402" s="79"/>
      <c r="H402" s="79"/>
      <c r="I402" s="74"/>
      <c r="J402" s="101">
        <f t="shared" si="84"/>
        <v>0</v>
      </c>
      <c r="K402" s="101">
        <f t="shared" si="84"/>
        <v>0</v>
      </c>
      <c r="L402" s="101">
        <f t="shared" si="84"/>
        <v>0</v>
      </c>
      <c r="M402" s="101">
        <f t="shared" si="84"/>
        <v>0</v>
      </c>
      <c r="N402" s="101">
        <v>0.1</v>
      </c>
      <c r="O402" s="101">
        <v>0.1</v>
      </c>
      <c r="P402" s="101">
        <f t="shared" si="84"/>
        <v>0</v>
      </c>
      <c r="Q402" s="101">
        <f t="shared" si="84"/>
        <v>0</v>
      </c>
      <c r="R402" s="101">
        <f t="shared" si="84"/>
        <v>0</v>
      </c>
      <c r="S402" s="77"/>
      <c r="T402" s="101">
        <f t="shared" si="88"/>
        <v>0.1</v>
      </c>
      <c r="U402" s="101">
        <f t="shared" si="89"/>
        <v>0.30000000000000004</v>
      </c>
      <c r="V402" s="102">
        <f t="shared" si="85"/>
        <v>1.5000000000000003E-2</v>
      </c>
      <c r="W402" s="103">
        <f t="shared" si="86"/>
        <v>17500</v>
      </c>
      <c r="X402" s="104" t="s">
        <v>93</v>
      </c>
    </row>
    <row r="403" spans="1:24" s="75" customFormat="1" ht="13.2">
      <c r="A403" s="73">
        <f t="shared" si="87"/>
        <v>394</v>
      </c>
      <c r="B403" s="76" t="s">
        <v>2097</v>
      </c>
      <c r="C403" s="154" t="s">
        <v>2086</v>
      </c>
      <c r="D403" s="99"/>
      <c r="E403" s="78" t="s">
        <v>2098</v>
      </c>
      <c r="F403" s="74"/>
      <c r="G403" s="79"/>
      <c r="H403" s="79"/>
      <c r="I403" s="74"/>
      <c r="J403" s="101">
        <f t="shared" si="84"/>
        <v>0</v>
      </c>
      <c r="K403" s="101">
        <f t="shared" si="84"/>
        <v>0</v>
      </c>
      <c r="L403" s="101">
        <f t="shared" si="84"/>
        <v>0</v>
      </c>
      <c r="M403" s="101">
        <f t="shared" si="84"/>
        <v>0</v>
      </c>
      <c r="N403" s="101">
        <v>0.1</v>
      </c>
      <c r="O403" s="101">
        <v>0.1</v>
      </c>
      <c r="P403" s="101">
        <f t="shared" si="84"/>
        <v>0</v>
      </c>
      <c r="Q403" s="101">
        <f t="shared" si="84"/>
        <v>0</v>
      </c>
      <c r="R403" s="101">
        <f t="shared" si="84"/>
        <v>0</v>
      </c>
      <c r="S403" s="77"/>
      <c r="T403" s="101">
        <f t="shared" si="88"/>
        <v>0.1</v>
      </c>
      <c r="U403" s="101">
        <f t="shared" si="89"/>
        <v>0.30000000000000004</v>
      </c>
      <c r="V403" s="102">
        <f t="shared" si="85"/>
        <v>1.5000000000000003E-2</v>
      </c>
      <c r="W403" s="103">
        <f t="shared" si="86"/>
        <v>17500</v>
      </c>
      <c r="X403" s="104" t="s">
        <v>93</v>
      </c>
    </row>
    <row r="404" spans="1:24" s="75" customFormat="1" ht="13.2">
      <c r="A404" s="73">
        <f t="shared" si="87"/>
        <v>395</v>
      </c>
      <c r="B404" s="76" t="s">
        <v>2097</v>
      </c>
      <c r="C404" s="154" t="s">
        <v>2087</v>
      </c>
      <c r="D404" s="99"/>
      <c r="E404" s="78" t="s">
        <v>2098</v>
      </c>
      <c r="F404" s="74"/>
      <c r="G404" s="79"/>
      <c r="H404" s="79"/>
      <c r="I404" s="74"/>
      <c r="J404" s="101">
        <f t="shared" si="84"/>
        <v>0</v>
      </c>
      <c r="K404" s="101">
        <f t="shared" si="84"/>
        <v>0</v>
      </c>
      <c r="L404" s="101">
        <f t="shared" si="84"/>
        <v>0</v>
      </c>
      <c r="M404" s="101">
        <f t="shared" si="84"/>
        <v>0</v>
      </c>
      <c r="N404" s="101">
        <v>0.1</v>
      </c>
      <c r="O404" s="101">
        <v>0.1</v>
      </c>
      <c r="P404" s="101">
        <f t="shared" si="84"/>
        <v>0</v>
      </c>
      <c r="Q404" s="101">
        <f t="shared" si="84"/>
        <v>0</v>
      </c>
      <c r="R404" s="101">
        <f t="shared" si="84"/>
        <v>0</v>
      </c>
      <c r="S404" s="77"/>
      <c r="T404" s="101">
        <f t="shared" si="88"/>
        <v>0.1</v>
      </c>
      <c r="U404" s="101">
        <f t="shared" si="89"/>
        <v>0.30000000000000004</v>
      </c>
      <c r="V404" s="102">
        <f t="shared" si="85"/>
        <v>1.5000000000000003E-2</v>
      </c>
      <c r="W404" s="103">
        <f t="shared" si="86"/>
        <v>17500</v>
      </c>
      <c r="X404" s="104" t="s">
        <v>93</v>
      </c>
    </row>
    <row r="405" spans="1:24" s="75" customFormat="1" ht="13.2">
      <c r="A405" s="73">
        <f t="shared" si="87"/>
        <v>396</v>
      </c>
      <c r="B405" s="76" t="s">
        <v>2097</v>
      </c>
      <c r="C405" s="154" t="s">
        <v>2088</v>
      </c>
      <c r="D405" s="99"/>
      <c r="E405" s="78" t="s">
        <v>2098</v>
      </c>
      <c r="F405" s="74"/>
      <c r="G405" s="79"/>
      <c r="H405" s="79"/>
      <c r="I405" s="74"/>
      <c r="J405" s="101">
        <f t="shared" si="84"/>
        <v>0</v>
      </c>
      <c r="K405" s="101">
        <f t="shared" si="84"/>
        <v>0</v>
      </c>
      <c r="L405" s="101">
        <f t="shared" si="84"/>
        <v>0</v>
      </c>
      <c r="M405" s="101">
        <f t="shared" si="84"/>
        <v>0</v>
      </c>
      <c r="N405" s="101">
        <v>0.1</v>
      </c>
      <c r="O405" s="101">
        <v>0.1</v>
      </c>
      <c r="P405" s="101">
        <f t="shared" si="84"/>
        <v>0</v>
      </c>
      <c r="Q405" s="101">
        <f t="shared" si="84"/>
        <v>0</v>
      </c>
      <c r="R405" s="101">
        <f t="shared" si="84"/>
        <v>0</v>
      </c>
      <c r="S405" s="77"/>
      <c r="T405" s="101">
        <f t="shared" si="88"/>
        <v>0.1</v>
      </c>
      <c r="U405" s="101">
        <f t="shared" si="89"/>
        <v>0.30000000000000004</v>
      </c>
      <c r="V405" s="102">
        <f t="shared" si="85"/>
        <v>1.5000000000000003E-2</v>
      </c>
      <c r="W405" s="103">
        <f t="shared" si="86"/>
        <v>17500</v>
      </c>
      <c r="X405" s="104" t="s">
        <v>93</v>
      </c>
    </row>
    <row r="406" spans="1:24" s="75" customFormat="1" ht="13.2">
      <c r="A406" s="73">
        <f t="shared" si="87"/>
        <v>397</v>
      </c>
      <c r="B406" s="76" t="s">
        <v>2097</v>
      </c>
      <c r="C406" s="154" t="s">
        <v>2089</v>
      </c>
      <c r="D406" s="99"/>
      <c r="E406" s="78" t="s">
        <v>2098</v>
      </c>
      <c r="F406" s="74"/>
      <c r="G406" s="79"/>
      <c r="H406" s="79"/>
      <c r="I406" s="74"/>
      <c r="J406" s="101">
        <f t="shared" si="84"/>
        <v>0</v>
      </c>
      <c r="K406" s="101">
        <f t="shared" si="84"/>
        <v>0</v>
      </c>
      <c r="L406" s="101">
        <f t="shared" si="84"/>
        <v>0</v>
      </c>
      <c r="M406" s="101">
        <f t="shared" si="84"/>
        <v>0</v>
      </c>
      <c r="N406" s="101">
        <v>0.1</v>
      </c>
      <c r="O406" s="101">
        <v>0.1</v>
      </c>
      <c r="P406" s="101">
        <f t="shared" si="84"/>
        <v>0</v>
      </c>
      <c r="Q406" s="101">
        <f t="shared" si="84"/>
        <v>0</v>
      </c>
      <c r="R406" s="101">
        <f t="shared" si="84"/>
        <v>0</v>
      </c>
      <c r="S406" s="77"/>
      <c r="T406" s="101">
        <f t="shared" si="88"/>
        <v>0.1</v>
      </c>
      <c r="U406" s="101">
        <f t="shared" si="89"/>
        <v>0.30000000000000004</v>
      </c>
      <c r="V406" s="102">
        <f t="shared" si="85"/>
        <v>1.5000000000000003E-2</v>
      </c>
      <c r="W406" s="103">
        <f t="shared" si="86"/>
        <v>17500</v>
      </c>
      <c r="X406" s="104" t="s">
        <v>93</v>
      </c>
    </row>
    <row r="407" spans="1:24" s="75" customFormat="1" ht="13.2">
      <c r="A407" s="73">
        <f t="shared" si="87"/>
        <v>398</v>
      </c>
      <c r="B407" s="76" t="s">
        <v>2097</v>
      </c>
      <c r="C407" s="154" t="s">
        <v>2090</v>
      </c>
      <c r="D407" s="99"/>
      <c r="E407" s="78" t="s">
        <v>2098</v>
      </c>
      <c r="F407" s="74"/>
      <c r="G407" s="79"/>
      <c r="H407" s="79"/>
      <c r="I407" s="74"/>
      <c r="J407" s="101">
        <f t="shared" si="84"/>
        <v>0</v>
      </c>
      <c r="K407" s="101">
        <f t="shared" si="84"/>
        <v>0</v>
      </c>
      <c r="L407" s="101">
        <f t="shared" si="84"/>
        <v>0</v>
      </c>
      <c r="M407" s="101">
        <f t="shared" ref="J407:R435" si="90">ROUNDUP(IF($E407="画面",画面係数,IF($E407="帳票",帳票係数,IF($E407="バッチ",バッチ係数,0))) *
 IF($I407="特高",特高係数,IF($I407="高",高係数,IF($I407="中",中係数,IF($I407="低",低係数,IF($I407="特低",特低係数,0))))) *
 IF(M$7="SA",要件定義係数,IF(M$7="UI",基本設計係数,IF(M$7="SS",詳細設計係数,IF(M$7="PS/PG/PT",製作係数,IF(M$7="IT",結合テスト係数,IF(M$7="ST",総合テスト係数,IF(M$7="OT",受入支援係数,IF(M$7="RL",移行切替係数,IF(M$7="その他",その他係数,0))))))))) *
 M$8,1)</f>
        <v>0</v>
      </c>
      <c r="N407" s="101">
        <v>0.1</v>
      </c>
      <c r="O407" s="101">
        <v>0.1</v>
      </c>
      <c r="P407" s="101">
        <f t="shared" si="90"/>
        <v>0</v>
      </c>
      <c r="Q407" s="101">
        <f t="shared" si="90"/>
        <v>0</v>
      </c>
      <c r="R407" s="101">
        <f t="shared" si="90"/>
        <v>0</v>
      </c>
      <c r="S407" s="77"/>
      <c r="T407" s="101">
        <f t="shared" si="88"/>
        <v>0.1</v>
      </c>
      <c r="U407" s="101">
        <f t="shared" si="89"/>
        <v>0.30000000000000004</v>
      </c>
      <c r="V407" s="102">
        <f t="shared" si="85"/>
        <v>1.5000000000000003E-2</v>
      </c>
      <c r="W407" s="103">
        <f t="shared" si="86"/>
        <v>17500</v>
      </c>
      <c r="X407" s="104" t="s">
        <v>93</v>
      </c>
    </row>
    <row r="408" spans="1:24" s="75" customFormat="1" ht="13.2">
      <c r="A408" s="73">
        <f t="shared" si="87"/>
        <v>399</v>
      </c>
      <c r="B408" s="76" t="s">
        <v>2097</v>
      </c>
      <c r="C408" s="154" t="s">
        <v>2091</v>
      </c>
      <c r="D408" s="99"/>
      <c r="E408" s="78" t="s">
        <v>2098</v>
      </c>
      <c r="F408" s="74"/>
      <c r="G408" s="79"/>
      <c r="H408" s="79"/>
      <c r="I408" s="74"/>
      <c r="J408" s="101">
        <f t="shared" si="90"/>
        <v>0</v>
      </c>
      <c r="K408" s="101">
        <f t="shared" si="90"/>
        <v>0</v>
      </c>
      <c r="L408" s="101">
        <f t="shared" si="90"/>
        <v>0</v>
      </c>
      <c r="M408" s="101">
        <f t="shared" si="90"/>
        <v>0</v>
      </c>
      <c r="N408" s="101">
        <v>0.1</v>
      </c>
      <c r="O408" s="101">
        <v>0.1</v>
      </c>
      <c r="P408" s="101">
        <f t="shared" si="90"/>
        <v>0</v>
      </c>
      <c r="Q408" s="101">
        <f t="shared" si="90"/>
        <v>0</v>
      </c>
      <c r="R408" s="101">
        <f t="shared" si="90"/>
        <v>0</v>
      </c>
      <c r="S408" s="77"/>
      <c r="T408" s="101">
        <f t="shared" si="88"/>
        <v>0.1</v>
      </c>
      <c r="U408" s="101">
        <f t="shared" si="89"/>
        <v>0.30000000000000004</v>
      </c>
      <c r="V408" s="102">
        <f t="shared" si="85"/>
        <v>1.5000000000000003E-2</v>
      </c>
      <c r="W408" s="103">
        <f t="shared" si="86"/>
        <v>17500</v>
      </c>
      <c r="X408" s="104" t="s">
        <v>93</v>
      </c>
    </row>
    <row r="409" spans="1:24" s="75" customFormat="1" ht="13.2">
      <c r="A409" s="73">
        <f t="shared" si="87"/>
        <v>400</v>
      </c>
      <c r="B409" s="76" t="s">
        <v>2097</v>
      </c>
      <c r="C409" s="153" t="s">
        <v>2092</v>
      </c>
      <c r="D409" s="99"/>
      <c r="E409" s="78" t="s">
        <v>2098</v>
      </c>
      <c r="F409" s="74"/>
      <c r="G409" s="79"/>
      <c r="H409" s="79"/>
      <c r="I409" s="74"/>
      <c r="J409" s="101">
        <f t="shared" si="90"/>
        <v>0</v>
      </c>
      <c r="K409" s="101">
        <f t="shared" si="90"/>
        <v>0</v>
      </c>
      <c r="L409" s="101">
        <f t="shared" si="90"/>
        <v>0</v>
      </c>
      <c r="M409" s="101">
        <f t="shared" si="90"/>
        <v>0</v>
      </c>
      <c r="N409" s="101">
        <v>0.1</v>
      </c>
      <c r="O409" s="101">
        <v>0.1</v>
      </c>
      <c r="P409" s="101">
        <f t="shared" si="90"/>
        <v>0</v>
      </c>
      <c r="Q409" s="101">
        <f t="shared" si="90"/>
        <v>0</v>
      </c>
      <c r="R409" s="101">
        <f t="shared" si="90"/>
        <v>0</v>
      </c>
      <c r="S409" s="77"/>
      <c r="T409" s="101">
        <f t="shared" si="88"/>
        <v>0.1</v>
      </c>
      <c r="U409" s="101">
        <f t="shared" si="89"/>
        <v>0.30000000000000004</v>
      </c>
      <c r="V409" s="102">
        <f t="shared" si="85"/>
        <v>1.5000000000000003E-2</v>
      </c>
      <c r="W409" s="103">
        <f t="shared" si="86"/>
        <v>17500</v>
      </c>
      <c r="X409" s="104" t="s">
        <v>93</v>
      </c>
    </row>
    <row r="410" spans="1:24" s="75" customFormat="1" ht="13.2">
      <c r="A410" s="73">
        <f t="shared" si="87"/>
        <v>401</v>
      </c>
      <c r="B410" s="76" t="s">
        <v>2097</v>
      </c>
      <c r="C410" s="153" t="s">
        <v>2093</v>
      </c>
      <c r="D410" s="99"/>
      <c r="E410" s="78" t="s">
        <v>2098</v>
      </c>
      <c r="F410" s="74"/>
      <c r="G410" s="79"/>
      <c r="H410" s="79"/>
      <c r="I410" s="74"/>
      <c r="J410" s="101">
        <f t="shared" si="90"/>
        <v>0</v>
      </c>
      <c r="K410" s="101">
        <f t="shared" si="90"/>
        <v>0</v>
      </c>
      <c r="L410" s="101">
        <f t="shared" si="90"/>
        <v>0</v>
      </c>
      <c r="M410" s="101">
        <f t="shared" si="90"/>
        <v>0</v>
      </c>
      <c r="N410" s="101">
        <v>0.1</v>
      </c>
      <c r="O410" s="101">
        <v>0.1</v>
      </c>
      <c r="P410" s="101">
        <f t="shared" si="90"/>
        <v>0</v>
      </c>
      <c r="Q410" s="101">
        <f t="shared" si="90"/>
        <v>0</v>
      </c>
      <c r="R410" s="101">
        <f t="shared" si="90"/>
        <v>0</v>
      </c>
      <c r="S410" s="77"/>
      <c r="T410" s="101">
        <f t="shared" si="88"/>
        <v>0.1</v>
      </c>
      <c r="U410" s="101">
        <f t="shared" si="89"/>
        <v>0.30000000000000004</v>
      </c>
      <c r="V410" s="102">
        <f t="shared" si="85"/>
        <v>1.5000000000000003E-2</v>
      </c>
      <c r="W410" s="103">
        <f t="shared" si="86"/>
        <v>17500</v>
      </c>
      <c r="X410" s="104" t="s">
        <v>93</v>
      </c>
    </row>
    <row r="411" spans="1:24" s="75" customFormat="1" ht="13.2">
      <c r="A411" s="73">
        <f t="shared" si="87"/>
        <v>402</v>
      </c>
      <c r="B411" s="76" t="s">
        <v>2097</v>
      </c>
      <c r="C411" s="153" t="s">
        <v>2094</v>
      </c>
      <c r="D411" s="99"/>
      <c r="E411" s="78" t="s">
        <v>2098</v>
      </c>
      <c r="F411" s="74"/>
      <c r="G411" s="79"/>
      <c r="H411" s="79"/>
      <c r="I411" s="74"/>
      <c r="J411" s="101">
        <f t="shared" si="90"/>
        <v>0</v>
      </c>
      <c r="K411" s="101">
        <f t="shared" si="90"/>
        <v>0</v>
      </c>
      <c r="L411" s="101">
        <f t="shared" si="90"/>
        <v>0</v>
      </c>
      <c r="M411" s="101">
        <f t="shared" si="90"/>
        <v>0</v>
      </c>
      <c r="N411" s="101">
        <v>0.1</v>
      </c>
      <c r="O411" s="101">
        <v>0.1</v>
      </c>
      <c r="P411" s="101">
        <f t="shared" si="90"/>
        <v>0</v>
      </c>
      <c r="Q411" s="101">
        <f t="shared" si="90"/>
        <v>0</v>
      </c>
      <c r="R411" s="101">
        <f t="shared" si="90"/>
        <v>0</v>
      </c>
      <c r="S411" s="77"/>
      <c r="T411" s="101">
        <f t="shared" si="88"/>
        <v>0.1</v>
      </c>
      <c r="U411" s="101">
        <f t="shared" si="89"/>
        <v>0.30000000000000004</v>
      </c>
      <c r="V411" s="102">
        <f t="shared" si="85"/>
        <v>1.5000000000000003E-2</v>
      </c>
      <c r="W411" s="103">
        <f t="shared" si="86"/>
        <v>17500</v>
      </c>
      <c r="X411" s="104" t="s">
        <v>93</v>
      </c>
    </row>
    <row r="412" spans="1:24" s="75" customFormat="1" ht="13.2">
      <c r="A412" s="73">
        <f t="shared" si="87"/>
        <v>403</v>
      </c>
      <c r="B412" s="76" t="s">
        <v>2097</v>
      </c>
      <c r="C412" s="153" t="s">
        <v>2095</v>
      </c>
      <c r="D412" s="99"/>
      <c r="E412" s="78" t="s">
        <v>2098</v>
      </c>
      <c r="F412" s="74"/>
      <c r="G412" s="79"/>
      <c r="H412" s="79"/>
      <c r="I412" s="74"/>
      <c r="J412" s="101">
        <f t="shared" si="90"/>
        <v>0</v>
      </c>
      <c r="K412" s="101">
        <f t="shared" si="90"/>
        <v>0</v>
      </c>
      <c r="L412" s="101">
        <f t="shared" si="90"/>
        <v>0</v>
      </c>
      <c r="M412" s="101">
        <f t="shared" si="90"/>
        <v>0</v>
      </c>
      <c r="N412" s="101">
        <v>0.1</v>
      </c>
      <c r="O412" s="101">
        <v>0.1</v>
      </c>
      <c r="P412" s="101">
        <f t="shared" si="90"/>
        <v>0</v>
      </c>
      <c r="Q412" s="101">
        <f t="shared" si="90"/>
        <v>0</v>
      </c>
      <c r="R412" s="101">
        <f t="shared" si="90"/>
        <v>0</v>
      </c>
      <c r="S412" s="77"/>
      <c r="T412" s="101">
        <f t="shared" si="88"/>
        <v>0.1</v>
      </c>
      <c r="U412" s="101">
        <f t="shared" si="89"/>
        <v>0.30000000000000004</v>
      </c>
      <c r="V412" s="102">
        <f t="shared" si="85"/>
        <v>1.5000000000000003E-2</v>
      </c>
      <c r="W412" s="103">
        <f t="shared" si="86"/>
        <v>17500</v>
      </c>
      <c r="X412" s="104" t="s">
        <v>93</v>
      </c>
    </row>
    <row r="413" spans="1:24" s="75" customFormat="1" ht="12">
      <c r="A413" s="73">
        <f t="shared" si="87"/>
        <v>404</v>
      </c>
      <c r="B413" s="76"/>
      <c r="C413" s="98"/>
      <c r="D413" s="99"/>
      <c r="E413" s="78"/>
      <c r="F413" s="74"/>
      <c r="G413" s="79"/>
      <c r="H413" s="79"/>
      <c r="I413" s="74"/>
      <c r="J413" s="101">
        <f t="shared" si="90"/>
        <v>0</v>
      </c>
      <c r="K413" s="101">
        <f t="shared" si="90"/>
        <v>0</v>
      </c>
      <c r="L413" s="101">
        <f t="shared" si="90"/>
        <v>0</v>
      </c>
      <c r="M413" s="101">
        <f t="shared" si="90"/>
        <v>0</v>
      </c>
      <c r="N413" s="101">
        <f t="shared" si="90"/>
        <v>0</v>
      </c>
      <c r="O413" s="101">
        <f t="shared" si="90"/>
        <v>0</v>
      </c>
      <c r="P413" s="101">
        <f t="shared" si="90"/>
        <v>0</v>
      </c>
      <c r="Q413" s="101">
        <f t="shared" si="90"/>
        <v>0</v>
      </c>
      <c r="R413" s="101">
        <f t="shared" si="90"/>
        <v>0</v>
      </c>
      <c r="S413" s="77"/>
      <c r="T413" s="101">
        <f t="shared" si="88"/>
        <v>0</v>
      </c>
      <c r="U413" s="101">
        <f t="shared" si="89"/>
        <v>0</v>
      </c>
      <c r="V413" s="102">
        <f t="shared" si="85"/>
        <v>0</v>
      </c>
      <c r="W413" s="103">
        <f t="shared" si="86"/>
        <v>0</v>
      </c>
      <c r="X413" s="104" t="s">
        <v>93</v>
      </c>
    </row>
    <row r="414" spans="1:24" s="75" customFormat="1" ht="12">
      <c r="A414" s="73">
        <f t="shared" si="87"/>
        <v>405</v>
      </c>
      <c r="B414" s="76"/>
      <c r="C414" s="98"/>
      <c r="D414" s="99"/>
      <c r="E414" s="78"/>
      <c r="F414" s="74"/>
      <c r="G414" s="79"/>
      <c r="H414" s="79"/>
      <c r="I414" s="74"/>
      <c r="J414" s="101">
        <f t="shared" si="90"/>
        <v>0</v>
      </c>
      <c r="K414" s="101">
        <f t="shared" si="90"/>
        <v>0</v>
      </c>
      <c r="L414" s="101">
        <f t="shared" si="90"/>
        <v>0</v>
      </c>
      <c r="M414" s="101">
        <f t="shared" si="90"/>
        <v>0</v>
      </c>
      <c r="N414" s="101">
        <f t="shared" si="90"/>
        <v>0</v>
      </c>
      <c r="O414" s="101">
        <f t="shared" si="90"/>
        <v>0</v>
      </c>
      <c r="P414" s="101">
        <f t="shared" si="90"/>
        <v>0</v>
      </c>
      <c r="Q414" s="101">
        <f t="shared" si="90"/>
        <v>0</v>
      </c>
      <c r="R414" s="101">
        <f t="shared" si="90"/>
        <v>0</v>
      </c>
      <c r="S414" s="77"/>
      <c r="T414" s="101">
        <f t="shared" si="88"/>
        <v>0</v>
      </c>
      <c r="U414" s="101">
        <f t="shared" si="89"/>
        <v>0</v>
      </c>
      <c r="V414" s="102">
        <f t="shared" si="85"/>
        <v>0</v>
      </c>
      <c r="W414" s="103">
        <f t="shared" si="86"/>
        <v>0</v>
      </c>
      <c r="X414" s="104" t="s">
        <v>93</v>
      </c>
    </row>
    <row r="415" spans="1:24" s="75" customFormat="1" ht="12">
      <c r="A415" s="73">
        <f t="shared" si="87"/>
        <v>406</v>
      </c>
      <c r="B415" s="76"/>
      <c r="C415" s="98"/>
      <c r="D415" s="99"/>
      <c r="E415" s="78"/>
      <c r="F415" s="74"/>
      <c r="G415" s="79"/>
      <c r="H415" s="79"/>
      <c r="I415" s="74"/>
      <c r="J415" s="101">
        <f t="shared" si="90"/>
        <v>0</v>
      </c>
      <c r="K415" s="101">
        <f t="shared" si="90"/>
        <v>0</v>
      </c>
      <c r="L415" s="101">
        <f t="shared" si="90"/>
        <v>0</v>
      </c>
      <c r="M415" s="101">
        <f t="shared" si="90"/>
        <v>0</v>
      </c>
      <c r="N415" s="101">
        <f t="shared" si="90"/>
        <v>0</v>
      </c>
      <c r="O415" s="101">
        <f t="shared" si="90"/>
        <v>0</v>
      </c>
      <c r="P415" s="101">
        <f t="shared" si="90"/>
        <v>0</v>
      </c>
      <c r="Q415" s="101">
        <f t="shared" si="90"/>
        <v>0</v>
      </c>
      <c r="R415" s="101">
        <f t="shared" si="90"/>
        <v>0</v>
      </c>
      <c r="S415" s="77"/>
      <c r="T415" s="101">
        <f t="shared" si="88"/>
        <v>0</v>
      </c>
      <c r="U415" s="101">
        <f t="shared" si="89"/>
        <v>0</v>
      </c>
      <c r="V415" s="102">
        <f t="shared" si="85"/>
        <v>0</v>
      </c>
      <c r="W415" s="103">
        <f t="shared" si="86"/>
        <v>0</v>
      </c>
      <c r="X415" s="104" t="s">
        <v>93</v>
      </c>
    </row>
    <row r="416" spans="1:24" s="75" customFormat="1" ht="12">
      <c r="A416" s="73">
        <f t="shared" si="87"/>
        <v>407</v>
      </c>
      <c r="B416" s="76"/>
      <c r="C416" s="98"/>
      <c r="D416" s="99"/>
      <c r="E416" s="78"/>
      <c r="F416" s="74"/>
      <c r="G416" s="79"/>
      <c r="H416" s="79"/>
      <c r="I416" s="74"/>
      <c r="J416" s="101">
        <f t="shared" si="90"/>
        <v>0</v>
      </c>
      <c r="K416" s="101">
        <f t="shared" si="90"/>
        <v>0</v>
      </c>
      <c r="L416" s="101">
        <f t="shared" si="90"/>
        <v>0</v>
      </c>
      <c r="M416" s="101">
        <f t="shared" si="90"/>
        <v>0</v>
      </c>
      <c r="N416" s="101">
        <f t="shared" si="90"/>
        <v>0</v>
      </c>
      <c r="O416" s="101">
        <f t="shared" si="90"/>
        <v>0</v>
      </c>
      <c r="P416" s="101">
        <f t="shared" si="90"/>
        <v>0</v>
      </c>
      <c r="Q416" s="101">
        <f t="shared" si="90"/>
        <v>0</v>
      </c>
      <c r="R416" s="101">
        <f t="shared" si="90"/>
        <v>0</v>
      </c>
      <c r="S416" s="77"/>
      <c r="T416" s="101">
        <f t="shared" si="88"/>
        <v>0</v>
      </c>
      <c r="U416" s="101">
        <f t="shared" si="89"/>
        <v>0</v>
      </c>
      <c r="V416" s="102">
        <f t="shared" si="85"/>
        <v>0</v>
      </c>
      <c r="W416" s="103">
        <f t="shared" si="86"/>
        <v>0</v>
      </c>
      <c r="X416" s="104" t="s">
        <v>93</v>
      </c>
    </row>
    <row r="417" spans="1:24" s="75" customFormat="1" ht="12">
      <c r="A417" s="73">
        <f t="shared" si="87"/>
        <v>408</v>
      </c>
      <c r="B417" s="76"/>
      <c r="C417" s="98"/>
      <c r="D417" s="99"/>
      <c r="E417" s="78"/>
      <c r="F417" s="74"/>
      <c r="G417" s="79"/>
      <c r="H417" s="79"/>
      <c r="I417" s="74"/>
      <c r="J417" s="101">
        <f t="shared" si="90"/>
        <v>0</v>
      </c>
      <c r="K417" s="101">
        <f t="shared" si="90"/>
        <v>0</v>
      </c>
      <c r="L417" s="101">
        <f t="shared" si="90"/>
        <v>0</v>
      </c>
      <c r="M417" s="101">
        <f t="shared" si="90"/>
        <v>0</v>
      </c>
      <c r="N417" s="101">
        <f t="shared" si="90"/>
        <v>0</v>
      </c>
      <c r="O417" s="101">
        <f t="shared" si="90"/>
        <v>0</v>
      </c>
      <c r="P417" s="101">
        <f t="shared" si="90"/>
        <v>0</v>
      </c>
      <c r="Q417" s="101">
        <f t="shared" si="90"/>
        <v>0</v>
      </c>
      <c r="R417" s="101">
        <f t="shared" si="90"/>
        <v>0</v>
      </c>
      <c r="S417" s="77"/>
      <c r="T417" s="101">
        <f t="shared" si="88"/>
        <v>0</v>
      </c>
      <c r="U417" s="101">
        <f t="shared" si="89"/>
        <v>0</v>
      </c>
      <c r="V417" s="102">
        <f t="shared" si="85"/>
        <v>0</v>
      </c>
      <c r="W417" s="103">
        <f t="shared" si="86"/>
        <v>0</v>
      </c>
      <c r="X417" s="104" t="s">
        <v>93</v>
      </c>
    </row>
    <row r="418" spans="1:24" s="75" customFormat="1" ht="12">
      <c r="A418" s="73">
        <f t="shared" si="87"/>
        <v>409</v>
      </c>
      <c r="B418" s="76"/>
      <c r="C418" s="98"/>
      <c r="D418" s="99"/>
      <c r="E418" s="78"/>
      <c r="F418" s="74"/>
      <c r="G418" s="79"/>
      <c r="H418" s="79"/>
      <c r="I418" s="74"/>
      <c r="J418" s="101">
        <f t="shared" si="90"/>
        <v>0</v>
      </c>
      <c r="K418" s="101">
        <f t="shared" si="90"/>
        <v>0</v>
      </c>
      <c r="L418" s="101">
        <f t="shared" si="90"/>
        <v>0</v>
      </c>
      <c r="M418" s="101">
        <f t="shared" si="90"/>
        <v>0</v>
      </c>
      <c r="N418" s="101">
        <f t="shared" si="90"/>
        <v>0</v>
      </c>
      <c r="O418" s="101">
        <f t="shared" si="90"/>
        <v>0</v>
      </c>
      <c r="P418" s="101">
        <f t="shared" si="90"/>
        <v>0</v>
      </c>
      <c r="Q418" s="101">
        <f t="shared" si="90"/>
        <v>0</v>
      </c>
      <c r="R418" s="101">
        <f t="shared" si="90"/>
        <v>0</v>
      </c>
      <c r="S418" s="77"/>
      <c r="T418" s="101">
        <f t="shared" si="88"/>
        <v>0</v>
      </c>
      <c r="U418" s="101">
        <f t="shared" si="89"/>
        <v>0</v>
      </c>
      <c r="V418" s="102">
        <f t="shared" si="85"/>
        <v>0</v>
      </c>
      <c r="W418" s="103">
        <f t="shared" si="86"/>
        <v>0</v>
      </c>
      <c r="X418" s="104" t="s">
        <v>93</v>
      </c>
    </row>
    <row r="419" spans="1:24" s="75" customFormat="1" ht="12">
      <c r="A419" s="73">
        <f t="shared" si="87"/>
        <v>410</v>
      </c>
      <c r="B419" s="76"/>
      <c r="C419" s="98"/>
      <c r="D419" s="99"/>
      <c r="E419" s="78"/>
      <c r="F419" s="74"/>
      <c r="G419" s="79"/>
      <c r="H419" s="79"/>
      <c r="I419" s="74"/>
      <c r="J419" s="101">
        <f t="shared" si="90"/>
        <v>0</v>
      </c>
      <c r="K419" s="101">
        <f t="shared" si="90"/>
        <v>0</v>
      </c>
      <c r="L419" s="101">
        <f t="shared" si="90"/>
        <v>0</v>
      </c>
      <c r="M419" s="101">
        <f t="shared" si="90"/>
        <v>0</v>
      </c>
      <c r="N419" s="101">
        <f t="shared" si="90"/>
        <v>0</v>
      </c>
      <c r="O419" s="101">
        <f t="shared" si="90"/>
        <v>0</v>
      </c>
      <c r="P419" s="101">
        <f t="shared" si="90"/>
        <v>0</v>
      </c>
      <c r="Q419" s="101">
        <f t="shared" si="90"/>
        <v>0</v>
      </c>
      <c r="R419" s="101">
        <f t="shared" si="90"/>
        <v>0</v>
      </c>
      <c r="S419" s="77"/>
      <c r="T419" s="101">
        <f t="shared" si="88"/>
        <v>0</v>
      </c>
      <c r="U419" s="101">
        <f t="shared" si="89"/>
        <v>0</v>
      </c>
      <c r="V419" s="102">
        <f t="shared" si="85"/>
        <v>0</v>
      </c>
      <c r="W419" s="103">
        <f t="shared" si="86"/>
        <v>0</v>
      </c>
      <c r="X419" s="104" t="s">
        <v>93</v>
      </c>
    </row>
    <row r="420" spans="1:24" s="75" customFormat="1" ht="12">
      <c r="A420" s="73">
        <f t="shared" si="87"/>
        <v>411</v>
      </c>
      <c r="B420" s="76"/>
      <c r="C420" s="98"/>
      <c r="D420" s="99"/>
      <c r="E420" s="78"/>
      <c r="F420" s="74"/>
      <c r="G420" s="79"/>
      <c r="H420" s="79"/>
      <c r="I420" s="74"/>
      <c r="J420" s="101">
        <f t="shared" si="90"/>
        <v>0</v>
      </c>
      <c r="K420" s="101">
        <f t="shared" si="90"/>
        <v>0</v>
      </c>
      <c r="L420" s="101">
        <f t="shared" si="90"/>
        <v>0</v>
      </c>
      <c r="M420" s="101">
        <f t="shared" si="90"/>
        <v>0</v>
      </c>
      <c r="N420" s="101">
        <f t="shared" si="90"/>
        <v>0</v>
      </c>
      <c r="O420" s="101">
        <f t="shared" si="90"/>
        <v>0</v>
      </c>
      <c r="P420" s="101">
        <f t="shared" si="90"/>
        <v>0</v>
      </c>
      <c r="Q420" s="101">
        <f t="shared" si="90"/>
        <v>0</v>
      </c>
      <c r="R420" s="101">
        <f t="shared" si="90"/>
        <v>0</v>
      </c>
      <c r="S420" s="77"/>
      <c r="T420" s="101">
        <f t="shared" si="88"/>
        <v>0</v>
      </c>
      <c r="U420" s="101">
        <f t="shared" si="89"/>
        <v>0</v>
      </c>
      <c r="V420" s="102">
        <f t="shared" si="85"/>
        <v>0</v>
      </c>
      <c r="W420" s="103">
        <f t="shared" si="86"/>
        <v>0</v>
      </c>
      <c r="X420" s="104" t="s">
        <v>93</v>
      </c>
    </row>
    <row r="421" spans="1:24" s="75" customFormat="1" ht="12">
      <c r="A421" s="73">
        <f t="shared" si="87"/>
        <v>412</v>
      </c>
      <c r="B421" s="76"/>
      <c r="C421" s="98"/>
      <c r="D421" s="99"/>
      <c r="E421" s="78"/>
      <c r="F421" s="74"/>
      <c r="G421" s="79"/>
      <c r="H421" s="79"/>
      <c r="I421" s="74"/>
      <c r="J421" s="101">
        <f t="shared" si="90"/>
        <v>0</v>
      </c>
      <c r="K421" s="101">
        <f t="shared" si="90"/>
        <v>0</v>
      </c>
      <c r="L421" s="101">
        <f t="shared" si="90"/>
        <v>0</v>
      </c>
      <c r="M421" s="101">
        <f t="shared" si="90"/>
        <v>0</v>
      </c>
      <c r="N421" s="101">
        <f t="shared" si="90"/>
        <v>0</v>
      </c>
      <c r="O421" s="101">
        <f t="shared" si="90"/>
        <v>0</v>
      </c>
      <c r="P421" s="101">
        <f t="shared" si="90"/>
        <v>0</v>
      </c>
      <c r="Q421" s="101">
        <f t="shared" si="90"/>
        <v>0</v>
      </c>
      <c r="R421" s="101">
        <f t="shared" si="90"/>
        <v>0</v>
      </c>
      <c r="S421" s="77"/>
      <c r="T421" s="101">
        <f t="shared" si="88"/>
        <v>0</v>
      </c>
      <c r="U421" s="101">
        <f t="shared" si="89"/>
        <v>0</v>
      </c>
      <c r="V421" s="102">
        <f t="shared" si="85"/>
        <v>0</v>
      </c>
      <c r="W421" s="103">
        <f t="shared" si="86"/>
        <v>0</v>
      </c>
      <c r="X421" s="104" t="s">
        <v>93</v>
      </c>
    </row>
    <row r="422" spans="1:24" s="75" customFormat="1" ht="12">
      <c r="A422" s="73">
        <f t="shared" si="87"/>
        <v>413</v>
      </c>
      <c r="B422" s="76"/>
      <c r="C422" s="98"/>
      <c r="D422" s="99"/>
      <c r="E422" s="78"/>
      <c r="F422" s="74"/>
      <c r="G422" s="79"/>
      <c r="H422" s="79"/>
      <c r="I422" s="74"/>
      <c r="J422" s="101">
        <f t="shared" si="90"/>
        <v>0</v>
      </c>
      <c r="K422" s="101">
        <f t="shared" si="90"/>
        <v>0</v>
      </c>
      <c r="L422" s="101">
        <f t="shared" si="90"/>
        <v>0</v>
      </c>
      <c r="M422" s="101">
        <f t="shared" si="90"/>
        <v>0</v>
      </c>
      <c r="N422" s="101">
        <f t="shared" si="90"/>
        <v>0</v>
      </c>
      <c r="O422" s="101">
        <f t="shared" si="90"/>
        <v>0</v>
      </c>
      <c r="P422" s="101">
        <f t="shared" si="90"/>
        <v>0</v>
      </c>
      <c r="Q422" s="101">
        <f t="shared" si="90"/>
        <v>0</v>
      </c>
      <c r="R422" s="101">
        <f t="shared" si="90"/>
        <v>0</v>
      </c>
      <c r="S422" s="77"/>
      <c r="T422" s="101">
        <f t="shared" si="88"/>
        <v>0</v>
      </c>
      <c r="U422" s="101">
        <f t="shared" si="89"/>
        <v>0</v>
      </c>
      <c r="V422" s="102">
        <f t="shared" si="85"/>
        <v>0</v>
      </c>
      <c r="W422" s="103">
        <f t="shared" si="86"/>
        <v>0</v>
      </c>
      <c r="X422" s="104" t="s">
        <v>93</v>
      </c>
    </row>
    <row r="423" spans="1:24" s="75" customFormat="1" ht="12">
      <c r="A423" s="73">
        <f t="shared" si="87"/>
        <v>414</v>
      </c>
      <c r="B423" s="76"/>
      <c r="C423" s="98"/>
      <c r="D423" s="99"/>
      <c r="E423" s="78"/>
      <c r="F423" s="74"/>
      <c r="G423" s="79"/>
      <c r="H423" s="79"/>
      <c r="I423" s="74"/>
      <c r="J423" s="101">
        <f t="shared" si="90"/>
        <v>0</v>
      </c>
      <c r="K423" s="101">
        <f t="shared" si="90"/>
        <v>0</v>
      </c>
      <c r="L423" s="101">
        <f t="shared" si="90"/>
        <v>0</v>
      </c>
      <c r="M423" s="101">
        <f t="shared" si="90"/>
        <v>0</v>
      </c>
      <c r="N423" s="101">
        <f t="shared" si="90"/>
        <v>0</v>
      </c>
      <c r="O423" s="101">
        <f t="shared" si="90"/>
        <v>0</v>
      </c>
      <c r="P423" s="101">
        <f t="shared" si="90"/>
        <v>0</v>
      </c>
      <c r="Q423" s="101">
        <f t="shared" si="90"/>
        <v>0</v>
      </c>
      <c r="R423" s="101">
        <f t="shared" si="90"/>
        <v>0</v>
      </c>
      <c r="S423" s="77"/>
      <c r="T423" s="101">
        <f t="shared" si="88"/>
        <v>0</v>
      </c>
      <c r="U423" s="101">
        <f t="shared" si="89"/>
        <v>0</v>
      </c>
      <c r="V423" s="102">
        <f t="shared" si="85"/>
        <v>0</v>
      </c>
      <c r="W423" s="103">
        <f t="shared" si="86"/>
        <v>0</v>
      </c>
      <c r="X423" s="104" t="s">
        <v>93</v>
      </c>
    </row>
    <row r="424" spans="1:24" s="75" customFormat="1" ht="12">
      <c r="A424" s="73">
        <f t="shared" si="87"/>
        <v>415</v>
      </c>
      <c r="B424" s="76"/>
      <c r="C424" s="98"/>
      <c r="D424" s="99"/>
      <c r="E424" s="78"/>
      <c r="F424" s="74"/>
      <c r="G424" s="79"/>
      <c r="H424" s="79"/>
      <c r="I424" s="74"/>
      <c r="J424" s="101">
        <f t="shared" si="90"/>
        <v>0</v>
      </c>
      <c r="K424" s="101">
        <f t="shared" si="90"/>
        <v>0</v>
      </c>
      <c r="L424" s="101">
        <f t="shared" si="90"/>
        <v>0</v>
      </c>
      <c r="M424" s="101">
        <f t="shared" si="90"/>
        <v>0</v>
      </c>
      <c r="N424" s="101">
        <f t="shared" si="90"/>
        <v>0</v>
      </c>
      <c r="O424" s="101">
        <f t="shared" si="90"/>
        <v>0</v>
      </c>
      <c r="P424" s="101">
        <f t="shared" si="90"/>
        <v>0</v>
      </c>
      <c r="Q424" s="101">
        <f t="shared" si="90"/>
        <v>0</v>
      </c>
      <c r="R424" s="101">
        <f t="shared" si="90"/>
        <v>0</v>
      </c>
      <c r="S424" s="77"/>
      <c r="T424" s="101">
        <f t="shared" si="88"/>
        <v>0</v>
      </c>
      <c r="U424" s="101">
        <f t="shared" si="89"/>
        <v>0</v>
      </c>
      <c r="V424" s="102">
        <f t="shared" si="85"/>
        <v>0</v>
      </c>
      <c r="W424" s="103">
        <f t="shared" si="86"/>
        <v>0</v>
      </c>
      <c r="X424" s="104" t="s">
        <v>93</v>
      </c>
    </row>
    <row r="425" spans="1:24" s="75" customFormat="1" ht="12">
      <c r="A425" s="73">
        <f t="shared" si="87"/>
        <v>416</v>
      </c>
      <c r="B425" s="76"/>
      <c r="C425" s="98"/>
      <c r="D425" s="99"/>
      <c r="E425" s="78"/>
      <c r="F425" s="74"/>
      <c r="G425" s="79"/>
      <c r="H425" s="79"/>
      <c r="I425" s="74"/>
      <c r="J425" s="101">
        <f t="shared" si="90"/>
        <v>0</v>
      </c>
      <c r="K425" s="101">
        <f t="shared" si="90"/>
        <v>0</v>
      </c>
      <c r="L425" s="101">
        <f t="shared" si="90"/>
        <v>0</v>
      </c>
      <c r="M425" s="101">
        <f t="shared" si="90"/>
        <v>0</v>
      </c>
      <c r="N425" s="101">
        <f t="shared" si="90"/>
        <v>0</v>
      </c>
      <c r="O425" s="101">
        <f t="shared" si="90"/>
        <v>0</v>
      </c>
      <c r="P425" s="101">
        <f t="shared" si="90"/>
        <v>0</v>
      </c>
      <c r="Q425" s="101">
        <f t="shared" si="90"/>
        <v>0</v>
      </c>
      <c r="R425" s="101">
        <f t="shared" si="90"/>
        <v>0</v>
      </c>
      <c r="S425" s="77"/>
      <c r="T425" s="101">
        <f t="shared" si="88"/>
        <v>0</v>
      </c>
      <c r="U425" s="101">
        <f t="shared" si="89"/>
        <v>0</v>
      </c>
      <c r="V425" s="102">
        <f t="shared" si="85"/>
        <v>0</v>
      </c>
      <c r="W425" s="103">
        <f t="shared" si="86"/>
        <v>0</v>
      </c>
      <c r="X425" s="104" t="s">
        <v>93</v>
      </c>
    </row>
    <row r="426" spans="1:24" s="75" customFormat="1" ht="12">
      <c r="A426" s="73">
        <f t="shared" si="87"/>
        <v>417</v>
      </c>
      <c r="B426" s="76"/>
      <c r="C426" s="98"/>
      <c r="D426" s="99"/>
      <c r="E426" s="78"/>
      <c r="F426" s="74"/>
      <c r="G426" s="79"/>
      <c r="H426" s="79"/>
      <c r="I426" s="74"/>
      <c r="J426" s="101">
        <f t="shared" si="90"/>
        <v>0</v>
      </c>
      <c r="K426" s="101">
        <f t="shared" si="90"/>
        <v>0</v>
      </c>
      <c r="L426" s="101">
        <f t="shared" si="90"/>
        <v>0</v>
      </c>
      <c r="M426" s="101">
        <f t="shared" si="90"/>
        <v>0</v>
      </c>
      <c r="N426" s="101">
        <f t="shared" si="90"/>
        <v>0</v>
      </c>
      <c r="O426" s="101">
        <f t="shared" si="90"/>
        <v>0</v>
      </c>
      <c r="P426" s="101">
        <f t="shared" si="90"/>
        <v>0</v>
      </c>
      <c r="Q426" s="101">
        <f t="shared" si="90"/>
        <v>0</v>
      </c>
      <c r="R426" s="101">
        <f t="shared" si="90"/>
        <v>0</v>
      </c>
      <c r="S426" s="77"/>
      <c r="T426" s="101">
        <f t="shared" si="88"/>
        <v>0</v>
      </c>
      <c r="U426" s="101">
        <f t="shared" si="89"/>
        <v>0</v>
      </c>
      <c r="V426" s="102">
        <f t="shared" si="85"/>
        <v>0</v>
      </c>
      <c r="W426" s="103">
        <f t="shared" si="86"/>
        <v>0</v>
      </c>
      <c r="X426" s="104" t="s">
        <v>93</v>
      </c>
    </row>
    <row r="427" spans="1:24" s="75" customFormat="1" ht="12">
      <c r="A427" s="73">
        <f t="shared" si="87"/>
        <v>418</v>
      </c>
      <c r="B427" s="76"/>
      <c r="C427" s="98"/>
      <c r="D427" s="99"/>
      <c r="E427" s="78"/>
      <c r="F427" s="74"/>
      <c r="G427" s="79"/>
      <c r="H427" s="79"/>
      <c r="I427" s="74"/>
      <c r="J427" s="101">
        <f t="shared" si="90"/>
        <v>0</v>
      </c>
      <c r="K427" s="101">
        <f t="shared" si="90"/>
        <v>0</v>
      </c>
      <c r="L427" s="101">
        <f t="shared" si="90"/>
        <v>0</v>
      </c>
      <c r="M427" s="101">
        <f t="shared" si="90"/>
        <v>0</v>
      </c>
      <c r="N427" s="101">
        <f t="shared" si="90"/>
        <v>0</v>
      </c>
      <c r="O427" s="101">
        <f t="shared" si="90"/>
        <v>0</v>
      </c>
      <c r="P427" s="101">
        <f t="shared" si="90"/>
        <v>0</v>
      </c>
      <c r="Q427" s="101">
        <f t="shared" si="90"/>
        <v>0</v>
      </c>
      <c r="R427" s="101">
        <f t="shared" si="90"/>
        <v>0</v>
      </c>
      <c r="S427" s="77"/>
      <c r="T427" s="101">
        <f t="shared" si="88"/>
        <v>0</v>
      </c>
      <c r="U427" s="101">
        <f t="shared" si="89"/>
        <v>0</v>
      </c>
      <c r="V427" s="102">
        <f t="shared" si="85"/>
        <v>0</v>
      </c>
      <c r="W427" s="103">
        <f t="shared" si="86"/>
        <v>0</v>
      </c>
      <c r="X427" s="104" t="s">
        <v>93</v>
      </c>
    </row>
    <row r="428" spans="1:24" s="75" customFormat="1" ht="12">
      <c r="A428" s="73">
        <f t="shared" si="87"/>
        <v>419</v>
      </c>
      <c r="B428" s="76"/>
      <c r="C428" s="98"/>
      <c r="D428" s="99"/>
      <c r="E428" s="78"/>
      <c r="F428" s="74"/>
      <c r="G428" s="79"/>
      <c r="H428" s="79"/>
      <c r="I428" s="74"/>
      <c r="J428" s="101">
        <f t="shared" si="90"/>
        <v>0</v>
      </c>
      <c r="K428" s="101">
        <f t="shared" si="90"/>
        <v>0</v>
      </c>
      <c r="L428" s="101">
        <f t="shared" si="90"/>
        <v>0</v>
      </c>
      <c r="M428" s="101">
        <f t="shared" si="90"/>
        <v>0</v>
      </c>
      <c r="N428" s="101">
        <f t="shared" si="90"/>
        <v>0</v>
      </c>
      <c r="O428" s="101">
        <f t="shared" si="90"/>
        <v>0</v>
      </c>
      <c r="P428" s="101">
        <f t="shared" si="90"/>
        <v>0</v>
      </c>
      <c r="Q428" s="101">
        <f t="shared" si="90"/>
        <v>0</v>
      </c>
      <c r="R428" s="101">
        <f t="shared" si="90"/>
        <v>0</v>
      </c>
      <c r="S428" s="77"/>
      <c r="T428" s="101">
        <f t="shared" si="88"/>
        <v>0</v>
      </c>
      <c r="U428" s="101">
        <f t="shared" si="89"/>
        <v>0</v>
      </c>
      <c r="V428" s="102">
        <f t="shared" si="85"/>
        <v>0</v>
      </c>
      <c r="W428" s="103">
        <f t="shared" si="86"/>
        <v>0</v>
      </c>
      <c r="X428" s="104" t="s">
        <v>93</v>
      </c>
    </row>
    <row r="429" spans="1:24" s="75" customFormat="1" ht="12">
      <c r="A429" s="73">
        <f t="shared" si="87"/>
        <v>420</v>
      </c>
      <c r="B429" s="76"/>
      <c r="C429" s="98"/>
      <c r="D429" s="99"/>
      <c r="E429" s="78"/>
      <c r="F429" s="74"/>
      <c r="G429" s="79"/>
      <c r="H429" s="79"/>
      <c r="I429" s="74"/>
      <c r="J429" s="101">
        <f t="shared" si="90"/>
        <v>0</v>
      </c>
      <c r="K429" s="101">
        <f t="shared" si="90"/>
        <v>0</v>
      </c>
      <c r="L429" s="101">
        <f t="shared" si="90"/>
        <v>0</v>
      </c>
      <c r="M429" s="101">
        <f t="shared" si="90"/>
        <v>0</v>
      </c>
      <c r="N429" s="101">
        <f t="shared" si="90"/>
        <v>0</v>
      </c>
      <c r="O429" s="101">
        <f t="shared" si="90"/>
        <v>0</v>
      </c>
      <c r="P429" s="101">
        <f t="shared" si="90"/>
        <v>0</v>
      </c>
      <c r="Q429" s="101">
        <f t="shared" si="90"/>
        <v>0</v>
      </c>
      <c r="R429" s="101">
        <f t="shared" si="90"/>
        <v>0</v>
      </c>
      <c r="S429" s="77"/>
      <c r="T429" s="101">
        <f t="shared" si="88"/>
        <v>0</v>
      </c>
      <c r="U429" s="101">
        <f t="shared" si="89"/>
        <v>0</v>
      </c>
      <c r="V429" s="102">
        <f t="shared" si="85"/>
        <v>0</v>
      </c>
      <c r="W429" s="103">
        <f t="shared" si="86"/>
        <v>0</v>
      </c>
      <c r="X429" s="104" t="s">
        <v>93</v>
      </c>
    </row>
    <row r="430" spans="1:24" s="75" customFormat="1" ht="12">
      <c r="A430" s="73">
        <f t="shared" si="87"/>
        <v>421</v>
      </c>
      <c r="B430" s="76"/>
      <c r="C430" s="98"/>
      <c r="D430" s="99"/>
      <c r="E430" s="78"/>
      <c r="F430" s="74"/>
      <c r="G430" s="79"/>
      <c r="H430" s="79"/>
      <c r="I430" s="74"/>
      <c r="J430" s="101">
        <f t="shared" si="90"/>
        <v>0</v>
      </c>
      <c r="K430" s="101">
        <f t="shared" si="90"/>
        <v>0</v>
      </c>
      <c r="L430" s="101">
        <f t="shared" si="90"/>
        <v>0</v>
      </c>
      <c r="M430" s="101">
        <f t="shared" si="90"/>
        <v>0</v>
      </c>
      <c r="N430" s="101">
        <f t="shared" si="90"/>
        <v>0</v>
      </c>
      <c r="O430" s="101">
        <f t="shared" si="90"/>
        <v>0</v>
      </c>
      <c r="P430" s="101">
        <f t="shared" si="90"/>
        <v>0</v>
      </c>
      <c r="Q430" s="101">
        <f t="shared" si="90"/>
        <v>0</v>
      </c>
      <c r="R430" s="101">
        <f t="shared" si="90"/>
        <v>0</v>
      </c>
      <c r="S430" s="77"/>
      <c r="T430" s="101">
        <f t="shared" si="88"/>
        <v>0</v>
      </c>
      <c r="U430" s="101">
        <f t="shared" si="89"/>
        <v>0</v>
      </c>
      <c r="V430" s="102">
        <f t="shared" si="85"/>
        <v>0</v>
      </c>
      <c r="W430" s="103">
        <f t="shared" si="86"/>
        <v>0</v>
      </c>
      <c r="X430" s="104" t="s">
        <v>93</v>
      </c>
    </row>
    <row r="431" spans="1:24" s="75" customFormat="1" ht="12">
      <c r="A431" s="73">
        <f t="shared" si="87"/>
        <v>422</v>
      </c>
      <c r="B431" s="76"/>
      <c r="C431" s="98"/>
      <c r="D431" s="99"/>
      <c r="E431" s="78"/>
      <c r="F431" s="74"/>
      <c r="G431" s="79"/>
      <c r="H431" s="79"/>
      <c r="I431" s="74"/>
      <c r="J431" s="101">
        <f t="shared" si="90"/>
        <v>0</v>
      </c>
      <c r="K431" s="101">
        <f t="shared" si="90"/>
        <v>0</v>
      </c>
      <c r="L431" s="101">
        <f t="shared" si="90"/>
        <v>0</v>
      </c>
      <c r="M431" s="101">
        <f t="shared" si="90"/>
        <v>0</v>
      </c>
      <c r="N431" s="101">
        <f t="shared" si="90"/>
        <v>0</v>
      </c>
      <c r="O431" s="101">
        <f t="shared" si="90"/>
        <v>0</v>
      </c>
      <c r="P431" s="101">
        <f t="shared" si="90"/>
        <v>0</v>
      </c>
      <c r="Q431" s="101">
        <f t="shared" si="90"/>
        <v>0</v>
      </c>
      <c r="R431" s="101">
        <f t="shared" si="90"/>
        <v>0</v>
      </c>
      <c r="S431" s="77"/>
      <c r="T431" s="101">
        <f t="shared" si="88"/>
        <v>0</v>
      </c>
      <c r="U431" s="101">
        <f t="shared" si="89"/>
        <v>0</v>
      </c>
      <c r="V431" s="102">
        <f t="shared" si="85"/>
        <v>0</v>
      </c>
      <c r="W431" s="103">
        <f t="shared" si="86"/>
        <v>0</v>
      </c>
      <c r="X431" s="104" t="s">
        <v>93</v>
      </c>
    </row>
    <row r="432" spans="1:24" s="75" customFormat="1" ht="12">
      <c r="A432" s="73">
        <f t="shared" si="87"/>
        <v>423</v>
      </c>
      <c r="B432" s="76"/>
      <c r="C432" s="98"/>
      <c r="D432" s="99"/>
      <c r="E432" s="78"/>
      <c r="F432" s="74"/>
      <c r="G432" s="79"/>
      <c r="H432" s="79"/>
      <c r="I432" s="74"/>
      <c r="J432" s="101">
        <f t="shared" si="90"/>
        <v>0</v>
      </c>
      <c r="K432" s="101">
        <f t="shared" si="90"/>
        <v>0</v>
      </c>
      <c r="L432" s="101">
        <f t="shared" si="90"/>
        <v>0</v>
      </c>
      <c r="M432" s="101">
        <f t="shared" si="90"/>
        <v>0</v>
      </c>
      <c r="N432" s="101">
        <f t="shared" si="90"/>
        <v>0</v>
      </c>
      <c r="O432" s="101">
        <f t="shared" si="90"/>
        <v>0</v>
      </c>
      <c r="P432" s="101">
        <f t="shared" si="90"/>
        <v>0</v>
      </c>
      <c r="Q432" s="101">
        <f t="shared" si="90"/>
        <v>0</v>
      </c>
      <c r="R432" s="101">
        <f t="shared" si="90"/>
        <v>0</v>
      </c>
      <c r="S432" s="77"/>
      <c r="T432" s="101">
        <f t="shared" si="88"/>
        <v>0</v>
      </c>
      <c r="U432" s="101">
        <f t="shared" si="89"/>
        <v>0</v>
      </c>
      <c r="V432" s="102">
        <f t="shared" si="85"/>
        <v>0</v>
      </c>
      <c r="W432" s="103">
        <f t="shared" si="86"/>
        <v>0</v>
      </c>
      <c r="X432" s="104" t="s">
        <v>93</v>
      </c>
    </row>
    <row r="433" spans="1:24" s="75" customFormat="1" ht="12">
      <c r="A433" s="73">
        <f t="shared" si="87"/>
        <v>424</v>
      </c>
      <c r="B433" s="76"/>
      <c r="C433" s="98"/>
      <c r="D433" s="99"/>
      <c r="E433" s="78"/>
      <c r="F433" s="74"/>
      <c r="G433" s="79"/>
      <c r="H433" s="79"/>
      <c r="I433" s="74"/>
      <c r="J433" s="101">
        <f t="shared" si="90"/>
        <v>0</v>
      </c>
      <c r="K433" s="101">
        <f t="shared" si="90"/>
        <v>0</v>
      </c>
      <c r="L433" s="101">
        <f t="shared" si="90"/>
        <v>0</v>
      </c>
      <c r="M433" s="101">
        <f t="shared" si="90"/>
        <v>0</v>
      </c>
      <c r="N433" s="101">
        <f t="shared" si="90"/>
        <v>0</v>
      </c>
      <c r="O433" s="101">
        <f t="shared" si="90"/>
        <v>0</v>
      </c>
      <c r="P433" s="101">
        <f t="shared" si="90"/>
        <v>0</v>
      </c>
      <c r="Q433" s="101">
        <f t="shared" si="90"/>
        <v>0</v>
      </c>
      <c r="R433" s="101">
        <f t="shared" si="90"/>
        <v>0</v>
      </c>
      <c r="S433" s="77"/>
      <c r="T433" s="101">
        <f t="shared" si="88"/>
        <v>0</v>
      </c>
      <c r="U433" s="101">
        <f t="shared" si="89"/>
        <v>0</v>
      </c>
      <c r="V433" s="102">
        <f t="shared" si="85"/>
        <v>0</v>
      </c>
      <c r="W433" s="103">
        <f t="shared" si="86"/>
        <v>0</v>
      </c>
      <c r="X433" s="104" t="s">
        <v>93</v>
      </c>
    </row>
    <row r="434" spans="1:24" s="75" customFormat="1" ht="12">
      <c r="A434" s="73">
        <f t="shared" si="87"/>
        <v>425</v>
      </c>
      <c r="B434" s="76"/>
      <c r="C434" s="98"/>
      <c r="D434" s="99"/>
      <c r="E434" s="78"/>
      <c r="F434" s="74"/>
      <c r="G434" s="79"/>
      <c r="H434" s="79"/>
      <c r="I434" s="74"/>
      <c r="J434" s="101">
        <f t="shared" si="90"/>
        <v>0</v>
      </c>
      <c r="K434" s="101">
        <f t="shared" si="90"/>
        <v>0</v>
      </c>
      <c r="L434" s="101">
        <f t="shared" si="90"/>
        <v>0</v>
      </c>
      <c r="M434" s="101">
        <f t="shared" si="90"/>
        <v>0</v>
      </c>
      <c r="N434" s="101">
        <f t="shared" si="90"/>
        <v>0</v>
      </c>
      <c r="O434" s="101">
        <f t="shared" si="90"/>
        <v>0</v>
      </c>
      <c r="P434" s="101">
        <f t="shared" si="90"/>
        <v>0</v>
      </c>
      <c r="Q434" s="101">
        <f t="shared" si="90"/>
        <v>0</v>
      </c>
      <c r="R434" s="101">
        <f t="shared" si="90"/>
        <v>0</v>
      </c>
      <c r="S434" s="77"/>
      <c r="T434" s="101">
        <f t="shared" si="88"/>
        <v>0</v>
      </c>
      <c r="U434" s="101">
        <f t="shared" si="89"/>
        <v>0</v>
      </c>
      <c r="V434" s="102">
        <f t="shared" si="85"/>
        <v>0</v>
      </c>
      <c r="W434" s="103">
        <f t="shared" si="86"/>
        <v>0</v>
      </c>
      <c r="X434" s="104" t="s">
        <v>93</v>
      </c>
    </row>
    <row r="435" spans="1:24" s="75" customFormat="1" ht="12">
      <c r="A435" s="73">
        <f t="shared" si="87"/>
        <v>426</v>
      </c>
      <c r="B435" s="76"/>
      <c r="C435" s="98"/>
      <c r="D435" s="99"/>
      <c r="E435" s="78"/>
      <c r="F435" s="74"/>
      <c r="G435" s="79"/>
      <c r="H435" s="79"/>
      <c r="I435" s="74"/>
      <c r="J435" s="101">
        <f t="shared" si="90"/>
        <v>0</v>
      </c>
      <c r="K435" s="101">
        <f t="shared" si="90"/>
        <v>0</v>
      </c>
      <c r="L435" s="101">
        <f t="shared" si="90"/>
        <v>0</v>
      </c>
      <c r="M435" s="101">
        <f t="shared" si="90"/>
        <v>0</v>
      </c>
      <c r="N435" s="101">
        <f t="shared" si="90"/>
        <v>0</v>
      </c>
      <c r="O435" s="101">
        <f t="shared" si="90"/>
        <v>0</v>
      </c>
      <c r="P435" s="101">
        <f t="shared" ref="J435:R449" si="91">ROUNDUP(IF($E435="画面",画面係数,IF($E435="帳票",帳票係数,IF($E435="バッチ",バッチ係数,0))) *
 IF($I435="特高",特高係数,IF($I435="高",高係数,IF($I435="中",中係数,IF($I435="低",低係数,IF($I435="特低",特低係数,0))))) *
 IF(P$7="SA",要件定義係数,IF(P$7="UI",基本設計係数,IF(P$7="SS",詳細設計係数,IF(P$7="PS/PG/PT",製作係数,IF(P$7="IT",結合テスト係数,IF(P$7="ST",総合テスト係数,IF(P$7="OT",受入支援係数,IF(P$7="RL",移行切替係数,IF(P$7="その他",その他係数,0))))))))) *
 P$8,1)</f>
        <v>0</v>
      </c>
      <c r="Q435" s="101">
        <f t="shared" si="91"/>
        <v>0</v>
      </c>
      <c r="R435" s="101">
        <f t="shared" si="91"/>
        <v>0</v>
      </c>
      <c r="S435" s="77"/>
      <c r="T435" s="101">
        <f t="shared" si="88"/>
        <v>0</v>
      </c>
      <c r="U435" s="101">
        <f t="shared" si="89"/>
        <v>0</v>
      </c>
      <c r="V435" s="102">
        <f t="shared" si="85"/>
        <v>0</v>
      </c>
      <c r="W435" s="103">
        <f t="shared" si="86"/>
        <v>0</v>
      </c>
      <c r="X435" s="104" t="s">
        <v>93</v>
      </c>
    </row>
    <row r="436" spans="1:24" s="75" customFormat="1" ht="12">
      <c r="A436" s="73">
        <f t="shared" si="87"/>
        <v>427</v>
      </c>
      <c r="B436" s="76"/>
      <c r="C436" s="98"/>
      <c r="D436" s="99"/>
      <c r="E436" s="78"/>
      <c r="F436" s="74"/>
      <c r="G436" s="79"/>
      <c r="H436" s="79"/>
      <c r="I436" s="74"/>
      <c r="J436" s="101">
        <f t="shared" si="91"/>
        <v>0</v>
      </c>
      <c r="K436" s="101">
        <f t="shared" si="91"/>
        <v>0</v>
      </c>
      <c r="L436" s="101">
        <f t="shared" si="91"/>
        <v>0</v>
      </c>
      <c r="M436" s="101">
        <f t="shared" si="91"/>
        <v>0</v>
      </c>
      <c r="N436" s="101">
        <f t="shared" si="91"/>
        <v>0</v>
      </c>
      <c r="O436" s="101">
        <f t="shared" si="91"/>
        <v>0</v>
      </c>
      <c r="P436" s="101">
        <f t="shared" si="91"/>
        <v>0</v>
      </c>
      <c r="Q436" s="101">
        <f t="shared" si="91"/>
        <v>0</v>
      </c>
      <c r="R436" s="101">
        <f t="shared" si="91"/>
        <v>0</v>
      </c>
      <c r="S436" s="77"/>
      <c r="T436" s="101">
        <f t="shared" si="88"/>
        <v>0</v>
      </c>
      <c r="U436" s="101">
        <f t="shared" si="89"/>
        <v>0</v>
      </c>
      <c r="V436" s="102">
        <f t="shared" si="85"/>
        <v>0</v>
      </c>
      <c r="W436" s="103">
        <f t="shared" si="86"/>
        <v>0</v>
      </c>
      <c r="X436" s="104" t="s">
        <v>93</v>
      </c>
    </row>
    <row r="437" spans="1:24" s="75" customFormat="1" ht="12">
      <c r="A437" s="73">
        <f t="shared" si="87"/>
        <v>428</v>
      </c>
      <c r="B437" s="76"/>
      <c r="C437" s="98"/>
      <c r="D437" s="99"/>
      <c r="E437" s="78"/>
      <c r="F437" s="74"/>
      <c r="G437" s="79"/>
      <c r="H437" s="79"/>
      <c r="I437" s="74"/>
      <c r="J437" s="101">
        <f t="shared" si="91"/>
        <v>0</v>
      </c>
      <c r="K437" s="101">
        <f t="shared" si="91"/>
        <v>0</v>
      </c>
      <c r="L437" s="101">
        <f t="shared" si="91"/>
        <v>0</v>
      </c>
      <c r="M437" s="101">
        <f t="shared" si="91"/>
        <v>0</v>
      </c>
      <c r="N437" s="101">
        <f t="shared" si="91"/>
        <v>0</v>
      </c>
      <c r="O437" s="101">
        <f t="shared" si="91"/>
        <v>0</v>
      </c>
      <c r="P437" s="101">
        <f t="shared" si="91"/>
        <v>0</v>
      </c>
      <c r="Q437" s="101">
        <f t="shared" si="91"/>
        <v>0</v>
      </c>
      <c r="R437" s="101">
        <f t="shared" si="91"/>
        <v>0</v>
      </c>
      <c r="S437" s="77"/>
      <c r="T437" s="101">
        <f t="shared" si="88"/>
        <v>0</v>
      </c>
      <c r="U437" s="101">
        <f t="shared" si="89"/>
        <v>0</v>
      </c>
      <c r="V437" s="102">
        <f t="shared" si="85"/>
        <v>0</v>
      </c>
      <c r="W437" s="103">
        <f t="shared" si="86"/>
        <v>0</v>
      </c>
      <c r="X437" s="104" t="s">
        <v>93</v>
      </c>
    </row>
    <row r="438" spans="1:24" s="75" customFormat="1" ht="12">
      <c r="A438" s="73">
        <f t="shared" si="87"/>
        <v>429</v>
      </c>
      <c r="B438" s="76"/>
      <c r="C438" s="98"/>
      <c r="D438" s="99"/>
      <c r="E438" s="78"/>
      <c r="F438" s="74"/>
      <c r="G438" s="79"/>
      <c r="H438" s="79"/>
      <c r="I438" s="74"/>
      <c r="J438" s="101">
        <f t="shared" si="91"/>
        <v>0</v>
      </c>
      <c r="K438" s="101">
        <f t="shared" si="91"/>
        <v>0</v>
      </c>
      <c r="L438" s="101">
        <f t="shared" si="91"/>
        <v>0</v>
      </c>
      <c r="M438" s="101">
        <f t="shared" si="91"/>
        <v>0</v>
      </c>
      <c r="N438" s="101">
        <f t="shared" si="91"/>
        <v>0</v>
      </c>
      <c r="O438" s="101">
        <f t="shared" si="91"/>
        <v>0</v>
      </c>
      <c r="P438" s="101">
        <f t="shared" si="91"/>
        <v>0</v>
      </c>
      <c r="Q438" s="101">
        <f t="shared" si="91"/>
        <v>0</v>
      </c>
      <c r="R438" s="101">
        <f t="shared" si="91"/>
        <v>0</v>
      </c>
      <c r="S438" s="77"/>
      <c r="T438" s="101">
        <f t="shared" si="88"/>
        <v>0</v>
      </c>
      <c r="U438" s="101">
        <f t="shared" si="89"/>
        <v>0</v>
      </c>
      <c r="V438" s="102">
        <f t="shared" si="85"/>
        <v>0</v>
      </c>
      <c r="W438" s="103">
        <f t="shared" si="86"/>
        <v>0</v>
      </c>
      <c r="X438" s="104" t="s">
        <v>93</v>
      </c>
    </row>
    <row r="439" spans="1:24" s="75" customFormat="1" ht="12">
      <c r="A439" s="73">
        <f t="shared" si="87"/>
        <v>430</v>
      </c>
      <c r="B439" s="76"/>
      <c r="C439" s="98"/>
      <c r="D439" s="99"/>
      <c r="E439" s="78"/>
      <c r="F439" s="74"/>
      <c r="G439" s="79"/>
      <c r="H439" s="79"/>
      <c r="I439" s="74"/>
      <c r="J439" s="101">
        <f t="shared" si="91"/>
        <v>0</v>
      </c>
      <c r="K439" s="101">
        <f t="shared" si="91"/>
        <v>0</v>
      </c>
      <c r="L439" s="101">
        <f t="shared" si="91"/>
        <v>0</v>
      </c>
      <c r="M439" s="101">
        <f t="shared" si="91"/>
        <v>0</v>
      </c>
      <c r="N439" s="101">
        <f t="shared" si="91"/>
        <v>0</v>
      </c>
      <c r="O439" s="101">
        <f t="shared" si="91"/>
        <v>0</v>
      </c>
      <c r="P439" s="101">
        <f t="shared" si="91"/>
        <v>0</v>
      </c>
      <c r="Q439" s="101">
        <f t="shared" si="91"/>
        <v>0</v>
      </c>
      <c r="R439" s="101">
        <f t="shared" si="91"/>
        <v>0</v>
      </c>
      <c r="S439" s="77"/>
      <c r="T439" s="101">
        <f t="shared" si="88"/>
        <v>0</v>
      </c>
      <c r="U439" s="101">
        <f t="shared" si="89"/>
        <v>0</v>
      </c>
      <c r="V439" s="102">
        <f t="shared" si="85"/>
        <v>0</v>
      </c>
      <c r="W439" s="103">
        <f t="shared" si="86"/>
        <v>0</v>
      </c>
      <c r="X439" s="104" t="s">
        <v>93</v>
      </c>
    </row>
    <row r="440" spans="1:24" s="75" customFormat="1" ht="12">
      <c r="A440" s="73">
        <f t="shared" si="87"/>
        <v>431</v>
      </c>
      <c r="B440" s="76"/>
      <c r="C440" s="98"/>
      <c r="D440" s="99"/>
      <c r="E440" s="78"/>
      <c r="F440" s="74"/>
      <c r="G440" s="79"/>
      <c r="H440" s="79"/>
      <c r="I440" s="74"/>
      <c r="J440" s="101">
        <f t="shared" si="91"/>
        <v>0</v>
      </c>
      <c r="K440" s="101">
        <f t="shared" si="91"/>
        <v>0</v>
      </c>
      <c r="L440" s="101">
        <f t="shared" si="91"/>
        <v>0</v>
      </c>
      <c r="M440" s="101">
        <f t="shared" si="91"/>
        <v>0</v>
      </c>
      <c r="N440" s="101">
        <f t="shared" si="91"/>
        <v>0</v>
      </c>
      <c r="O440" s="101">
        <f t="shared" si="91"/>
        <v>0</v>
      </c>
      <c r="P440" s="101">
        <f t="shared" si="91"/>
        <v>0</v>
      </c>
      <c r="Q440" s="101">
        <f t="shared" si="91"/>
        <v>0</v>
      </c>
      <c r="R440" s="101">
        <f t="shared" si="91"/>
        <v>0</v>
      </c>
      <c r="S440" s="77"/>
      <c r="T440" s="101">
        <f t="shared" si="88"/>
        <v>0</v>
      </c>
      <c r="U440" s="101">
        <f t="shared" si="89"/>
        <v>0</v>
      </c>
      <c r="V440" s="102">
        <f t="shared" si="85"/>
        <v>0</v>
      </c>
      <c r="W440" s="103">
        <f t="shared" si="86"/>
        <v>0</v>
      </c>
      <c r="X440" s="104" t="s">
        <v>93</v>
      </c>
    </row>
    <row r="441" spans="1:24" s="75" customFormat="1" ht="12">
      <c r="A441" s="73">
        <f t="shared" si="87"/>
        <v>432</v>
      </c>
      <c r="B441" s="76"/>
      <c r="C441" s="98"/>
      <c r="D441" s="99"/>
      <c r="E441" s="78"/>
      <c r="F441" s="74"/>
      <c r="G441" s="79"/>
      <c r="H441" s="79"/>
      <c r="I441" s="74"/>
      <c r="J441" s="101">
        <f t="shared" si="91"/>
        <v>0</v>
      </c>
      <c r="K441" s="101">
        <f t="shared" si="91"/>
        <v>0</v>
      </c>
      <c r="L441" s="101">
        <f t="shared" si="91"/>
        <v>0</v>
      </c>
      <c r="M441" s="101">
        <f t="shared" si="91"/>
        <v>0</v>
      </c>
      <c r="N441" s="101">
        <f t="shared" si="91"/>
        <v>0</v>
      </c>
      <c r="O441" s="101">
        <f t="shared" si="91"/>
        <v>0</v>
      </c>
      <c r="P441" s="101">
        <f t="shared" si="91"/>
        <v>0</v>
      </c>
      <c r="Q441" s="101">
        <f t="shared" si="91"/>
        <v>0</v>
      </c>
      <c r="R441" s="101">
        <f t="shared" si="91"/>
        <v>0</v>
      </c>
      <c r="S441" s="77"/>
      <c r="T441" s="101">
        <f t="shared" si="88"/>
        <v>0</v>
      </c>
      <c r="U441" s="101">
        <f t="shared" si="89"/>
        <v>0</v>
      </c>
      <c r="V441" s="102">
        <f t="shared" si="85"/>
        <v>0</v>
      </c>
      <c r="W441" s="103">
        <f t="shared" si="86"/>
        <v>0</v>
      </c>
      <c r="X441" s="104" t="s">
        <v>93</v>
      </c>
    </row>
    <row r="442" spans="1:24" s="75" customFormat="1" ht="12">
      <c r="A442" s="73">
        <f t="shared" si="87"/>
        <v>433</v>
      </c>
      <c r="B442" s="76"/>
      <c r="C442" s="98"/>
      <c r="D442" s="99"/>
      <c r="E442" s="78"/>
      <c r="F442" s="74"/>
      <c r="G442" s="79"/>
      <c r="H442" s="79"/>
      <c r="I442" s="74"/>
      <c r="J442" s="101">
        <f t="shared" si="91"/>
        <v>0</v>
      </c>
      <c r="K442" s="101">
        <f t="shared" si="91"/>
        <v>0</v>
      </c>
      <c r="L442" s="101">
        <f t="shared" si="91"/>
        <v>0</v>
      </c>
      <c r="M442" s="101">
        <f t="shared" si="91"/>
        <v>0</v>
      </c>
      <c r="N442" s="101">
        <f t="shared" si="91"/>
        <v>0</v>
      </c>
      <c r="O442" s="101">
        <f t="shared" si="91"/>
        <v>0</v>
      </c>
      <c r="P442" s="101">
        <f t="shared" si="91"/>
        <v>0</v>
      </c>
      <c r="Q442" s="101">
        <f t="shared" si="91"/>
        <v>0</v>
      </c>
      <c r="R442" s="101">
        <f t="shared" si="91"/>
        <v>0</v>
      </c>
      <c r="S442" s="77"/>
      <c r="T442" s="101">
        <f t="shared" si="88"/>
        <v>0</v>
      </c>
      <c r="U442" s="101">
        <f t="shared" si="89"/>
        <v>0</v>
      </c>
      <c r="V442" s="102">
        <f t="shared" si="85"/>
        <v>0</v>
      </c>
      <c r="W442" s="103">
        <f t="shared" si="86"/>
        <v>0</v>
      </c>
      <c r="X442" s="104" t="s">
        <v>93</v>
      </c>
    </row>
    <row r="443" spans="1:24" s="75" customFormat="1" ht="12">
      <c r="A443" s="73">
        <f t="shared" si="87"/>
        <v>434</v>
      </c>
      <c r="B443" s="76"/>
      <c r="C443" s="98"/>
      <c r="D443" s="99"/>
      <c r="E443" s="78"/>
      <c r="F443" s="74"/>
      <c r="G443" s="79"/>
      <c r="H443" s="79"/>
      <c r="I443" s="74"/>
      <c r="J443" s="101">
        <f t="shared" si="91"/>
        <v>0</v>
      </c>
      <c r="K443" s="101">
        <f t="shared" si="91"/>
        <v>0</v>
      </c>
      <c r="L443" s="101">
        <f t="shared" si="91"/>
        <v>0</v>
      </c>
      <c r="M443" s="101">
        <f t="shared" si="91"/>
        <v>0</v>
      </c>
      <c r="N443" s="101">
        <f t="shared" si="91"/>
        <v>0</v>
      </c>
      <c r="O443" s="101">
        <f t="shared" si="91"/>
        <v>0</v>
      </c>
      <c r="P443" s="101">
        <f t="shared" si="91"/>
        <v>0</v>
      </c>
      <c r="Q443" s="101">
        <f t="shared" si="91"/>
        <v>0</v>
      </c>
      <c r="R443" s="101">
        <f t="shared" si="91"/>
        <v>0</v>
      </c>
      <c r="S443" s="77"/>
      <c r="T443" s="101">
        <f t="shared" si="88"/>
        <v>0</v>
      </c>
      <c r="U443" s="101">
        <f t="shared" si="89"/>
        <v>0</v>
      </c>
      <c r="V443" s="102">
        <f t="shared" ref="V443:V449" si="92">U443/20</f>
        <v>0</v>
      </c>
      <c r="W443" s="103">
        <f t="shared" ref="W443:W449" si="93">((J443*J$9) + (K443*K$9) + (L443*L$9) + (M443*M$9) + (N443*N$9) + (O443*O$9) + (P443*P$9) + (Q443*Q$9) + (R443*R$9) + (S443*S$9) + (T443*T$9))/20</f>
        <v>0</v>
      </c>
      <c r="X443" s="104" t="s">
        <v>93</v>
      </c>
    </row>
    <row r="444" spans="1:24" s="75" customFormat="1" ht="12">
      <c r="A444" s="73">
        <f t="shared" ref="A444:A449" si="94">ROW()-9</f>
        <v>435</v>
      </c>
      <c r="B444" s="76"/>
      <c r="C444" s="98"/>
      <c r="D444" s="99"/>
      <c r="E444" s="78"/>
      <c r="F444" s="74"/>
      <c r="G444" s="79"/>
      <c r="H444" s="79"/>
      <c r="I444" s="74"/>
      <c r="J444" s="101">
        <f t="shared" si="91"/>
        <v>0</v>
      </c>
      <c r="K444" s="101">
        <f t="shared" si="91"/>
        <v>0</v>
      </c>
      <c r="L444" s="101">
        <f t="shared" si="91"/>
        <v>0</v>
      </c>
      <c r="M444" s="101">
        <f t="shared" si="91"/>
        <v>0</v>
      </c>
      <c r="N444" s="101">
        <f t="shared" si="91"/>
        <v>0</v>
      </c>
      <c r="O444" s="101">
        <f t="shared" si="91"/>
        <v>0</v>
      </c>
      <c r="P444" s="101">
        <f t="shared" si="91"/>
        <v>0</v>
      </c>
      <c r="Q444" s="101">
        <f t="shared" si="91"/>
        <v>0</v>
      </c>
      <c r="R444" s="101">
        <f t="shared" si="91"/>
        <v>0</v>
      </c>
      <c r="S444" s="77"/>
      <c r="T444" s="101">
        <f t="shared" ref="T444:T449" si="95">ROUNDUP(SUM(J444:S444)*T$8,1)</f>
        <v>0</v>
      </c>
      <c r="U444" s="101">
        <f t="shared" ref="U444:U449" si="96">SUM(J444:T444)</f>
        <v>0</v>
      </c>
      <c r="V444" s="102">
        <f t="shared" si="92"/>
        <v>0</v>
      </c>
      <c r="W444" s="103">
        <f t="shared" si="93"/>
        <v>0</v>
      </c>
      <c r="X444" s="104" t="s">
        <v>93</v>
      </c>
    </row>
    <row r="445" spans="1:24" s="75" customFormat="1" ht="12">
      <c r="A445" s="73">
        <f t="shared" si="94"/>
        <v>436</v>
      </c>
      <c r="B445" s="76"/>
      <c r="C445" s="98"/>
      <c r="D445" s="99"/>
      <c r="E445" s="78"/>
      <c r="F445" s="74"/>
      <c r="G445" s="79"/>
      <c r="H445" s="79"/>
      <c r="I445" s="74"/>
      <c r="J445" s="101">
        <f t="shared" si="91"/>
        <v>0</v>
      </c>
      <c r="K445" s="101">
        <f t="shared" si="91"/>
        <v>0</v>
      </c>
      <c r="L445" s="101">
        <f t="shared" si="91"/>
        <v>0</v>
      </c>
      <c r="M445" s="101">
        <f t="shared" si="91"/>
        <v>0</v>
      </c>
      <c r="N445" s="101">
        <f t="shared" si="91"/>
        <v>0</v>
      </c>
      <c r="O445" s="101">
        <f t="shared" si="91"/>
        <v>0</v>
      </c>
      <c r="P445" s="101">
        <f t="shared" si="91"/>
        <v>0</v>
      </c>
      <c r="Q445" s="101">
        <f t="shared" si="91"/>
        <v>0</v>
      </c>
      <c r="R445" s="101">
        <f t="shared" si="91"/>
        <v>0</v>
      </c>
      <c r="S445" s="77"/>
      <c r="T445" s="101">
        <f t="shared" si="95"/>
        <v>0</v>
      </c>
      <c r="U445" s="101">
        <f t="shared" si="96"/>
        <v>0</v>
      </c>
      <c r="V445" s="102">
        <f t="shared" si="92"/>
        <v>0</v>
      </c>
      <c r="W445" s="103">
        <f t="shared" si="93"/>
        <v>0</v>
      </c>
      <c r="X445" s="104" t="s">
        <v>93</v>
      </c>
    </row>
    <row r="446" spans="1:24" s="75" customFormat="1" ht="12">
      <c r="A446" s="73">
        <f t="shared" si="94"/>
        <v>437</v>
      </c>
      <c r="B446" s="76"/>
      <c r="C446" s="98"/>
      <c r="D446" s="99"/>
      <c r="E446" s="78"/>
      <c r="F446" s="74"/>
      <c r="G446" s="79"/>
      <c r="H446" s="79"/>
      <c r="I446" s="74"/>
      <c r="J446" s="101">
        <f t="shared" si="91"/>
        <v>0</v>
      </c>
      <c r="K446" s="101">
        <f t="shared" si="91"/>
        <v>0</v>
      </c>
      <c r="L446" s="101">
        <f t="shared" si="91"/>
        <v>0</v>
      </c>
      <c r="M446" s="101">
        <f t="shared" si="91"/>
        <v>0</v>
      </c>
      <c r="N446" s="101">
        <f t="shared" si="91"/>
        <v>0</v>
      </c>
      <c r="O446" s="101">
        <f t="shared" si="91"/>
        <v>0</v>
      </c>
      <c r="P446" s="101">
        <f t="shared" si="91"/>
        <v>0</v>
      </c>
      <c r="Q446" s="101">
        <f t="shared" si="91"/>
        <v>0</v>
      </c>
      <c r="R446" s="101">
        <f t="shared" si="91"/>
        <v>0</v>
      </c>
      <c r="S446" s="77"/>
      <c r="T446" s="101">
        <f t="shared" si="95"/>
        <v>0</v>
      </c>
      <c r="U446" s="101">
        <f t="shared" si="96"/>
        <v>0</v>
      </c>
      <c r="V446" s="102">
        <f t="shared" si="92"/>
        <v>0</v>
      </c>
      <c r="W446" s="103">
        <f t="shared" si="93"/>
        <v>0</v>
      </c>
      <c r="X446" s="104" t="s">
        <v>93</v>
      </c>
    </row>
    <row r="447" spans="1:24" s="75" customFormat="1" ht="12">
      <c r="A447" s="73">
        <f t="shared" si="94"/>
        <v>438</v>
      </c>
      <c r="B447" s="76"/>
      <c r="C447" s="98"/>
      <c r="D447" s="99"/>
      <c r="E447" s="78"/>
      <c r="F447" s="74"/>
      <c r="G447" s="79"/>
      <c r="H447" s="79"/>
      <c r="I447" s="74"/>
      <c r="J447" s="101">
        <f t="shared" si="91"/>
        <v>0</v>
      </c>
      <c r="K447" s="101">
        <f t="shared" si="91"/>
        <v>0</v>
      </c>
      <c r="L447" s="101">
        <f t="shared" si="91"/>
        <v>0</v>
      </c>
      <c r="M447" s="101">
        <f t="shared" si="91"/>
        <v>0</v>
      </c>
      <c r="N447" s="101">
        <f t="shared" si="91"/>
        <v>0</v>
      </c>
      <c r="O447" s="101">
        <f t="shared" si="91"/>
        <v>0</v>
      </c>
      <c r="P447" s="101">
        <f t="shared" si="91"/>
        <v>0</v>
      </c>
      <c r="Q447" s="101">
        <f t="shared" si="91"/>
        <v>0</v>
      </c>
      <c r="R447" s="101">
        <f t="shared" si="91"/>
        <v>0</v>
      </c>
      <c r="S447" s="77"/>
      <c r="T447" s="101">
        <f t="shared" si="95"/>
        <v>0</v>
      </c>
      <c r="U447" s="101">
        <f t="shared" si="96"/>
        <v>0</v>
      </c>
      <c r="V447" s="102">
        <f t="shared" si="92"/>
        <v>0</v>
      </c>
      <c r="W447" s="103">
        <f t="shared" si="93"/>
        <v>0</v>
      </c>
      <c r="X447" s="104" t="s">
        <v>93</v>
      </c>
    </row>
    <row r="448" spans="1:24" s="75" customFormat="1" ht="12">
      <c r="A448" s="73">
        <f t="shared" si="94"/>
        <v>439</v>
      </c>
      <c r="B448" s="76"/>
      <c r="C448" s="98"/>
      <c r="D448" s="99"/>
      <c r="E448" s="78"/>
      <c r="F448" s="74"/>
      <c r="G448" s="79"/>
      <c r="H448" s="79"/>
      <c r="I448" s="74"/>
      <c r="J448" s="101">
        <f t="shared" si="91"/>
        <v>0</v>
      </c>
      <c r="K448" s="101">
        <f t="shared" si="91"/>
        <v>0</v>
      </c>
      <c r="L448" s="101">
        <f t="shared" si="91"/>
        <v>0</v>
      </c>
      <c r="M448" s="101">
        <f t="shared" si="91"/>
        <v>0</v>
      </c>
      <c r="N448" s="101">
        <f t="shared" si="91"/>
        <v>0</v>
      </c>
      <c r="O448" s="101">
        <f t="shared" si="91"/>
        <v>0</v>
      </c>
      <c r="P448" s="101">
        <f t="shared" si="91"/>
        <v>0</v>
      </c>
      <c r="Q448" s="101">
        <f t="shared" si="91"/>
        <v>0</v>
      </c>
      <c r="R448" s="101">
        <f t="shared" si="91"/>
        <v>0</v>
      </c>
      <c r="S448" s="77"/>
      <c r="T448" s="101">
        <f t="shared" si="95"/>
        <v>0</v>
      </c>
      <c r="U448" s="101">
        <f t="shared" si="96"/>
        <v>0</v>
      </c>
      <c r="V448" s="102">
        <f t="shared" si="92"/>
        <v>0</v>
      </c>
      <c r="W448" s="103">
        <f t="shared" si="93"/>
        <v>0</v>
      </c>
      <c r="X448" s="104" t="s">
        <v>93</v>
      </c>
    </row>
    <row r="449" spans="1:24" s="75" customFormat="1" ht="12">
      <c r="A449" s="73">
        <f t="shared" si="94"/>
        <v>440</v>
      </c>
      <c r="B449" s="76"/>
      <c r="C449" s="98"/>
      <c r="D449" s="99"/>
      <c r="E449" s="78"/>
      <c r="F449" s="74"/>
      <c r="G449" s="79"/>
      <c r="H449" s="79"/>
      <c r="I449" s="74"/>
      <c r="J449" s="101">
        <f t="shared" si="91"/>
        <v>0</v>
      </c>
      <c r="K449" s="101">
        <f t="shared" si="91"/>
        <v>0</v>
      </c>
      <c r="L449" s="101">
        <f t="shared" si="91"/>
        <v>0</v>
      </c>
      <c r="M449" s="101">
        <f t="shared" si="91"/>
        <v>0</v>
      </c>
      <c r="N449" s="101">
        <f t="shared" si="91"/>
        <v>0</v>
      </c>
      <c r="O449" s="101">
        <f t="shared" si="91"/>
        <v>0</v>
      </c>
      <c r="P449" s="101">
        <f t="shared" si="91"/>
        <v>0</v>
      </c>
      <c r="Q449" s="101">
        <f t="shared" si="91"/>
        <v>0</v>
      </c>
      <c r="R449" s="101">
        <f t="shared" si="91"/>
        <v>0</v>
      </c>
      <c r="S449" s="77"/>
      <c r="T449" s="101">
        <f t="shared" si="95"/>
        <v>0</v>
      </c>
      <c r="U449" s="101">
        <f t="shared" si="96"/>
        <v>0</v>
      </c>
      <c r="V449" s="102">
        <f t="shared" si="92"/>
        <v>0</v>
      </c>
      <c r="W449" s="103">
        <f t="shared" si="93"/>
        <v>0</v>
      </c>
      <c r="X449" s="104" t="s">
        <v>93</v>
      </c>
    </row>
    <row r="450" spans="1:24" s="75" customFormat="1" ht="12">
      <c r="A450" s="73">
        <f t="shared" ref="A450" si="97">ROW()-9</f>
        <v>441</v>
      </c>
      <c r="B450" s="76"/>
      <c r="C450" s="98"/>
      <c r="D450" s="99"/>
      <c r="E450" s="78"/>
      <c r="F450" s="74"/>
      <c r="G450" s="79"/>
      <c r="H450" s="79"/>
      <c r="I450" s="74"/>
      <c r="J450" s="101">
        <f t="shared" ref="J450:R450" si="98">ROUNDUP(IF($E450="画面",画面係数,IF($E450="帳票",帳票係数,IF($E450="バッチ",バッチ係数,0))) *
 IF($I450="特高",特高係数,IF($I450="高",高係数,IF($I450="中",中係数,IF($I450="低",低係数,IF($I450="特低",特低係数,0)))))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</v>
      </c>
      <c r="K450" s="101">
        <f t="shared" si="98"/>
        <v>0</v>
      </c>
      <c r="L450" s="101">
        <f t="shared" si="98"/>
        <v>0</v>
      </c>
      <c r="M450" s="101">
        <f t="shared" si="98"/>
        <v>0</v>
      </c>
      <c r="N450" s="101">
        <f t="shared" si="98"/>
        <v>0</v>
      </c>
      <c r="O450" s="101">
        <f t="shared" si="98"/>
        <v>0</v>
      </c>
      <c r="P450" s="101">
        <f t="shared" si="98"/>
        <v>0</v>
      </c>
      <c r="Q450" s="101">
        <f t="shared" si="98"/>
        <v>0</v>
      </c>
      <c r="R450" s="101">
        <f t="shared" si="98"/>
        <v>0</v>
      </c>
      <c r="S450" s="77"/>
      <c r="T450" s="101">
        <f t="shared" ref="T450" si="99">ROUNDUP(SUM(J450:S450)*T$8,1)</f>
        <v>0</v>
      </c>
      <c r="U450" s="101">
        <f t="shared" ref="U450" si="100">SUM(J450:T450)</f>
        <v>0</v>
      </c>
      <c r="V450" s="102">
        <f t="shared" ref="V450" si="101">U450/20</f>
        <v>0</v>
      </c>
      <c r="W450" s="103">
        <f t="shared" ref="W450" si="102">((J450*J$9) + (K450*K$9) + (L450*L$9) + (M450*M$9) + (N450*N$9) + (O450*O$9) + (P450*P$9) + (Q450*Q$9) + (R450*R$9) + (S450*S$9) + (T450*T$9))/20</f>
        <v>0</v>
      </c>
      <c r="X450" s="104" t="s">
        <v>93</v>
      </c>
    </row>
  </sheetData>
  <autoFilter ref="A7:X450"/>
  <mergeCells count="8">
    <mergeCell ref="D4:E5"/>
    <mergeCell ref="A1:E1"/>
    <mergeCell ref="G1:I1"/>
    <mergeCell ref="G2:I2"/>
    <mergeCell ref="G3:I3"/>
    <mergeCell ref="G4:I4"/>
    <mergeCell ref="G5:I5"/>
    <mergeCell ref="A4:C5"/>
  </mergeCells>
  <phoneticPr fontId="1"/>
  <dataValidations count="3">
    <dataValidation type="list" allowBlank="1" showInputMessage="1" showErrorMessage="1" sqref="I7">
      <formula1>"特高,高,中,低,特低"</formula1>
    </dataValidation>
    <dataValidation type="list" allowBlank="1" showInputMessage="1" showErrorMessage="1" sqref="F10:F450">
      <formula1>"有,無"</formula1>
    </dataValidation>
    <dataValidation type="list" allowBlank="1" showInputMessage="1" showErrorMessage="1" sqref="E10:E450">
      <formula1>"画面,帳票,バッチ,その他"</formula1>
    </dataValidation>
  </dataValidations>
  <printOptions horizontalCentered="1"/>
  <pageMargins left="0.19685039370078741" right="0.19685039370078741" top="0.39370078740157483" bottom="0.19685039370078741" header="0.31496062992125984" footer="0.31496062992125984"/>
  <pageSetup paperSize="9" scale="54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"/>
  <sheetViews>
    <sheetView workbookViewId="0">
      <selection sqref="A1:A2"/>
    </sheetView>
  </sheetViews>
  <sheetFormatPr defaultRowHeight="13.2"/>
  <cols>
    <col min="1" max="1" width="9.5546875" bestFit="1" customWidth="1"/>
    <col min="2" max="2" width="55.5546875" bestFit="1" customWidth="1"/>
    <col min="3" max="3" width="42.44140625" bestFit="1" customWidth="1"/>
  </cols>
  <sheetData>
    <row r="1" spans="1:3">
      <c r="A1" s="186" t="s">
        <v>1341</v>
      </c>
      <c r="B1" s="186" t="s">
        <v>1342</v>
      </c>
      <c r="C1" s="187" t="s">
        <v>1343</v>
      </c>
    </row>
    <row r="2" spans="1:3">
      <c r="A2" s="186"/>
      <c r="B2" s="186"/>
      <c r="C2" s="188"/>
    </row>
    <row r="3" spans="1:3" ht="13.2" customHeight="1">
      <c r="A3" s="114" t="s">
        <v>1344</v>
      </c>
      <c r="B3" s="116" t="s">
        <v>1345</v>
      </c>
      <c r="C3" s="118" t="s">
        <v>1346</v>
      </c>
    </row>
    <row r="4" spans="1:3" ht="13.2" customHeight="1">
      <c r="A4" s="114" t="s">
        <v>1347</v>
      </c>
      <c r="B4" s="116" t="s">
        <v>1348</v>
      </c>
      <c r="C4" s="118" t="s">
        <v>1346</v>
      </c>
    </row>
    <row r="5" spans="1:3" ht="13.2" customHeight="1">
      <c r="A5" s="114" t="s">
        <v>1349</v>
      </c>
      <c r="B5" s="116" t="s">
        <v>1350</v>
      </c>
      <c r="C5" s="118" t="s">
        <v>1346</v>
      </c>
    </row>
    <row r="6" spans="1:3" ht="13.2" customHeight="1">
      <c r="A6" s="114" t="s">
        <v>1351</v>
      </c>
      <c r="B6" s="116" t="s">
        <v>1352</v>
      </c>
      <c r="C6" s="118" t="s">
        <v>1346</v>
      </c>
    </row>
    <row r="7" spans="1:3" ht="13.2" customHeight="1">
      <c r="A7" s="114" t="s">
        <v>1353</v>
      </c>
      <c r="B7" s="116" t="s">
        <v>1354</v>
      </c>
      <c r="C7" s="118" t="s">
        <v>1346</v>
      </c>
    </row>
    <row r="8" spans="1:3" ht="13.2" customHeight="1">
      <c r="A8" s="114" t="s">
        <v>1355</v>
      </c>
      <c r="B8" s="116" t="s">
        <v>1356</v>
      </c>
      <c r="C8" s="118" t="s">
        <v>1346</v>
      </c>
    </row>
    <row r="9" spans="1:3" ht="13.2" customHeight="1">
      <c r="A9" s="114" t="s">
        <v>1357</v>
      </c>
      <c r="B9" s="116" t="s">
        <v>1358</v>
      </c>
      <c r="C9" s="118" t="s">
        <v>1346</v>
      </c>
    </row>
    <row r="10" spans="1:3" ht="13.2" customHeight="1">
      <c r="A10" s="114" t="s">
        <v>1359</v>
      </c>
      <c r="B10" s="116" t="s">
        <v>1360</v>
      </c>
      <c r="C10" s="118" t="s">
        <v>1346</v>
      </c>
    </row>
    <row r="11" spans="1:3" ht="13.2" customHeight="1">
      <c r="A11" s="114" t="s">
        <v>1361</v>
      </c>
      <c r="B11" s="116" t="s">
        <v>1362</v>
      </c>
      <c r="C11" s="118" t="s">
        <v>1346</v>
      </c>
    </row>
    <row r="12" spans="1:3" ht="13.2" customHeight="1">
      <c r="A12" s="114" t="s">
        <v>1363</v>
      </c>
      <c r="B12" s="116" t="s">
        <v>1364</v>
      </c>
      <c r="C12" s="118" t="s">
        <v>1365</v>
      </c>
    </row>
    <row r="13" spans="1:3" ht="13.2" customHeight="1">
      <c r="A13" s="114" t="s">
        <v>1166</v>
      </c>
      <c r="B13" s="116" t="s">
        <v>1366</v>
      </c>
      <c r="C13" s="118" t="s">
        <v>1365</v>
      </c>
    </row>
    <row r="14" spans="1:3" ht="13.2" customHeight="1">
      <c r="A14" s="114" t="s">
        <v>1367</v>
      </c>
      <c r="B14" s="116" t="s">
        <v>1368</v>
      </c>
      <c r="C14" s="118" t="s">
        <v>1365</v>
      </c>
    </row>
    <row r="15" spans="1:3" ht="13.2" customHeight="1">
      <c r="A15" s="114" t="s">
        <v>1369</v>
      </c>
      <c r="B15" s="116" t="s">
        <v>1370</v>
      </c>
      <c r="C15" s="118" t="s">
        <v>1365</v>
      </c>
    </row>
    <row r="16" spans="1:3" ht="13.2" customHeight="1">
      <c r="A16" s="114" t="s">
        <v>1209</v>
      </c>
      <c r="B16" s="116" t="s">
        <v>1371</v>
      </c>
      <c r="C16" s="118" t="s">
        <v>1365</v>
      </c>
    </row>
    <row r="17" spans="1:3" ht="13.2" customHeight="1">
      <c r="A17" s="114" t="s">
        <v>1300</v>
      </c>
      <c r="B17" s="116" t="s">
        <v>1372</v>
      </c>
      <c r="C17" s="118" t="s">
        <v>1365</v>
      </c>
    </row>
    <row r="18" spans="1:3" ht="13.2" customHeight="1">
      <c r="A18" s="114" t="s">
        <v>1215</v>
      </c>
      <c r="B18" s="116" t="s">
        <v>1373</v>
      </c>
      <c r="C18" s="118" t="s">
        <v>1374</v>
      </c>
    </row>
    <row r="19" spans="1:3" ht="13.2" customHeight="1">
      <c r="A19" s="114" t="s">
        <v>1224</v>
      </c>
      <c r="B19" s="116" t="s">
        <v>1375</v>
      </c>
      <c r="C19" s="118" t="s">
        <v>1374</v>
      </c>
    </row>
    <row r="20" spans="1:3" ht="13.2" customHeight="1">
      <c r="A20" s="114" t="s">
        <v>1376</v>
      </c>
      <c r="B20" s="116" t="s">
        <v>1377</v>
      </c>
      <c r="C20" s="115" t="s">
        <v>1374</v>
      </c>
    </row>
    <row r="21" spans="1:3" ht="13.2" customHeight="1">
      <c r="A21" s="114" t="s">
        <v>1245</v>
      </c>
      <c r="B21" s="116" t="s">
        <v>1378</v>
      </c>
      <c r="C21" s="118" t="s">
        <v>1374</v>
      </c>
    </row>
    <row r="22" spans="1:3" ht="13.2" customHeight="1">
      <c r="A22" s="114" t="s">
        <v>1379</v>
      </c>
      <c r="B22" s="116" t="s">
        <v>1380</v>
      </c>
      <c r="C22" s="118" t="s">
        <v>1374</v>
      </c>
    </row>
    <row r="23" spans="1:3" ht="13.2" customHeight="1">
      <c r="A23" s="114" t="s">
        <v>1381</v>
      </c>
      <c r="B23" s="116" t="s">
        <v>1382</v>
      </c>
      <c r="C23" s="118" t="s">
        <v>1374</v>
      </c>
    </row>
    <row r="24" spans="1:3" ht="13.2" customHeight="1">
      <c r="A24" s="114" t="s">
        <v>1383</v>
      </c>
      <c r="B24" s="116" t="s">
        <v>1384</v>
      </c>
      <c r="C24" s="118" t="s">
        <v>1374</v>
      </c>
    </row>
    <row r="25" spans="1:3" ht="13.2" customHeight="1">
      <c r="A25" s="114" t="s">
        <v>1385</v>
      </c>
      <c r="B25" s="116" t="s">
        <v>1386</v>
      </c>
      <c r="C25" s="118" t="s">
        <v>1387</v>
      </c>
    </row>
    <row r="26" spans="1:3" ht="13.2" customHeight="1">
      <c r="A26" s="114" t="s">
        <v>1388</v>
      </c>
      <c r="B26" s="116" t="s">
        <v>1389</v>
      </c>
      <c r="C26" s="118" t="s">
        <v>1387</v>
      </c>
    </row>
    <row r="27" spans="1:3" ht="13.2" customHeight="1">
      <c r="A27" s="114" t="s">
        <v>1390</v>
      </c>
      <c r="B27" s="116" t="s">
        <v>1391</v>
      </c>
      <c r="C27" s="115" t="s">
        <v>1392</v>
      </c>
    </row>
    <row r="28" spans="1:3" ht="13.2" customHeight="1">
      <c r="A28" s="114" t="s">
        <v>1393</v>
      </c>
      <c r="B28" s="116" t="s">
        <v>1394</v>
      </c>
      <c r="C28" s="118" t="s">
        <v>1387</v>
      </c>
    </row>
    <row r="29" spans="1:3" ht="13.2" customHeight="1">
      <c r="A29" s="114" t="s">
        <v>1299</v>
      </c>
      <c r="B29" s="116" t="s">
        <v>1395</v>
      </c>
      <c r="C29" s="118" t="s">
        <v>1387</v>
      </c>
    </row>
    <row r="30" spans="1:3" ht="13.2" customHeight="1">
      <c r="A30" s="114" t="s">
        <v>1396</v>
      </c>
      <c r="B30" s="116" t="s">
        <v>1397</v>
      </c>
      <c r="C30" s="118" t="s">
        <v>1387</v>
      </c>
    </row>
    <row r="31" spans="1:3" ht="13.2" customHeight="1">
      <c r="A31" s="114" t="s">
        <v>1398</v>
      </c>
      <c r="B31" s="116" t="s">
        <v>1399</v>
      </c>
      <c r="C31" s="118" t="s">
        <v>1387</v>
      </c>
    </row>
    <row r="32" spans="1:3" ht="13.2" customHeight="1">
      <c r="A32" s="114" t="s">
        <v>1400</v>
      </c>
      <c r="B32" s="116" t="s">
        <v>1401</v>
      </c>
      <c r="C32" s="118" t="s">
        <v>1387</v>
      </c>
    </row>
    <row r="33" spans="1:3" ht="13.2" customHeight="1">
      <c r="A33" s="114" t="s">
        <v>1304</v>
      </c>
      <c r="B33" s="116" t="s">
        <v>1402</v>
      </c>
      <c r="C33" s="118" t="s">
        <v>1403</v>
      </c>
    </row>
    <row r="34" spans="1:3" ht="13.2" customHeight="1">
      <c r="A34" s="114" t="s">
        <v>1142</v>
      </c>
      <c r="B34" s="116" t="s">
        <v>1404</v>
      </c>
      <c r="C34" s="118" t="s">
        <v>1403</v>
      </c>
    </row>
    <row r="35" spans="1:3" ht="13.2" customHeight="1">
      <c r="A35" s="114" t="s">
        <v>1405</v>
      </c>
      <c r="B35" s="116" t="s">
        <v>1406</v>
      </c>
      <c r="C35" s="118" t="s">
        <v>1403</v>
      </c>
    </row>
    <row r="36" spans="1:3" ht="13.2" customHeight="1">
      <c r="A36" s="114" t="s">
        <v>1154</v>
      </c>
      <c r="B36" s="116" t="s">
        <v>1407</v>
      </c>
      <c r="C36" s="118" t="s">
        <v>1403</v>
      </c>
    </row>
    <row r="37" spans="1:3" ht="13.2" customHeight="1">
      <c r="A37" s="114" t="s">
        <v>1320</v>
      </c>
      <c r="B37" s="116" t="s">
        <v>1408</v>
      </c>
      <c r="C37" s="118" t="s">
        <v>1403</v>
      </c>
    </row>
    <row r="38" spans="1:3" ht="13.2" customHeight="1">
      <c r="A38" s="114" t="s">
        <v>1158</v>
      </c>
      <c r="B38" s="116" t="s">
        <v>1409</v>
      </c>
      <c r="C38" s="118" t="s">
        <v>1403</v>
      </c>
    </row>
    <row r="39" spans="1:3" ht="13.2" customHeight="1">
      <c r="A39" s="114" t="s">
        <v>1410</v>
      </c>
      <c r="B39" s="116" t="s">
        <v>1411</v>
      </c>
      <c r="C39" s="118" t="s">
        <v>1412</v>
      </c>
    </row>
    <row r="40" spans="1:3" ht="13.2" customHeight="1">
      <c r="A40" s="114" t="s">
        <v>1413</v>
      </c>
      <c r="B40" s="116" t="s">
        <v>1414</v>
      </c>
      <c r="C40" s="118" t="s">
        <v>1415</v>
      </c>
    </row>
    <row r="41" spans="1:3" ht="13.2" customHeight="1">
      <c r="A41" s="114" t="s">
        <v>1416</v>
      </c>
      <c r="B41" s="116" t="s">
        <v>1417</v>
      </c>
      <c r="C41" s="118" t="s">
        <v>1415</v>
      </c>
    </row>
    <row r="42" spans="1:3" ht="13.2" customHeight="1">
      <c r="A42" s="114" t="s">
        <v>184</v>
      </c>
      <c r="B42" s="116" t="s">
        <v>1418</v>
      </c>
      <c r="C42" s="118" t="s">
        <v>1419</v>
      </c>
    </row>
    <row r="43" spans="1:3" ht="13.2" customHeight="1">
      <c r="A43" s="114" t="s">
        <v>208</v>
      </c>
      <c r="B43" s="116" t="s">
        <v>1420</v>
      </c>
      <c r="C43" s="118" t="s">
        <v>1419</v>
      </c>
    </row>
    <row r="44" spans="1:3" ht="13.2" customHeight="1">
      <c r="A44" s="114" t="s">
        <v>219</v>
      </c>
      <c r="B44" s="116" t="s">
        <v>1421</v>
      </c>
      <c r="C44" s="118" t="s">
        <v>1419</v>
      </c>
    </row>
    <row r="45" spans="1:3" ht="13.2" customHeight="1">
      <c r="A45" s="114" t="s">
        <v>221</v>
      </c>
      <c r="B45" s="116" t="s">
        <v>1422</v>
      </c>
      <c r="C45" s="118" t="s">
        <v>1419</v>
      </c>
    </row>
    <row r="46" spans="1:3" ht="13.2" customHeight="1">
      <c r="A46" s="114" t="s">
        <v>232</v>
      </c>
      <c r="B46" s="116" t="s">
        <v>1423</v>
      </c>
      <c r="C46" s="118" t="s">
        <v>1419</v>
      </c>
    </row>
    <row r="47" spans="1:3" ht="13.2" customHeight="1">
      <c r="A47" s="114" t="s">
        <v>275</v>
      </c>
      <c r="B47" s="116" t="s">
        <v>1424</v>
      </c>
      <c r="C47" s="118" t="s">
        <v>1419</v>
      </c>
    </row>
    <row r="48" spans="1:3" ht="13.2" customHeight="1">
      <c r="A48" s="114" t="s">
        <v>276</v>
      </c>
      <c r="B48" s="116" t="s">
        <v>1425</v>
      </c>
      <c r="C48" s="118" t="s">
        <v>1419</v>
      </c>
    </row>
    <row r="49" spans="1:3" ht="13.2" customHeight="1">
      <c r="A49" s="114" t="s">
        <v>187</v>
      </c>
      <c r="B49" s="116" t="s">
        <v>1426</v>
      </c>
      <c r="C49" s="118" t="s">
        <v>1419</v>
      </c>
    </row>
    <row r="50" spans="1:3" ht="13.2" customHeight="1">
      <c r="A50" s="114" t="s">
        <v>283</v>
      </c>
      <c r="B50" s="116" t="s">
        <v>1427</v>
      </c>
      <c r="C50" s="118" t="s">
        <v>1419</v>
      </c>
    </row>
    <row r="51" spans="1:3" ht="13.2" customHeight="1">
      <c r="A51" s="114" t="s">
        <v>285</v>
      </c>
      <c r="B51" s="116" t="s">
        <v>1428</v>
      </c>
      <c r="C51" s="118" t="s">
        <v>1429</v>
      </c>
    </row>
    <row r="52" spans="1:3" ht="13.2" customHeight="1">
      <c r="A52" s="114" t="s">
        <v>291</v>
      </c>
      <c r="B52" s="116" t="s">
        <v>1430</v>
      </c>
      <c r="C52" s="118" t="s">
        <v>1429</v>
      </c>
    </row>
    <row r="53" spans="1:3" ht="13.2" customHeight="1">
      <c r="A53" s="114" t="s">
        <v>294</v>
      </c>
      <c r="B53" s="116" t="s">
        <v>1431</v>
      </c>
      <c r="C53" s="118" t="s">
        <v>1429</v>
      </c>
    </row>
    <row r="54" spans="1:3" ht="13.2" customHeight="1">
      <c r="A54" s="114" t="s">
        <v>243</v>
      </c>
      <c r="B54" s="116" t="s">
        <v>1432</v>
      </c>
      <c r="C54" s="118" t="s">
        <v>1433</v>
      </c>
    </row>
    <row r="55" spans="1:3" ht="13.2" customHeight="1">
      <c r="A55" s="114" t="s">
        <v>224</v>
      </c>
      <c r="B55" s="116" t="s">
        <v>1434</v>
      </c>
      <c r="C55" s="118" t="s">
        <v>1435</v>
      </c>
    </row>
    <row r="56" spans="1:3" ht="13.2" customHeight="1">
      <c r="A56" s="114" t="s">
        <v>1436</v>
      </c>
      <c r="B56" s="116" t="s">
        <v>1437</v>
      </c>
      <c r="C56" s="118" t="s">
        <v>1435</v>
      </c>
    </row>
    <row r="57" spans="1:3" ht="13.2" customHeight="1">
      <c r="A57" s="114" t="s">
        <v>862</v>
      </c>
      <c r="B57" s="116" t="s">
        <v>1438</v>
      </c>
      <c r="C57" s="118" t="s">
        <v>1439</v>
      </c>
    </row>
    <row r="58" spans="1:3" ht="13.2" customHeight="1">
      <c r="A58" s="114" t="s">
        <v>1440</v>
      </c>
      <c r="B58" s="116" t="s">
        <v>1441</v>
      </c>
      <c r="C58" s="118" t="s">
        <v>1439</v>
      </c>
    </row>
    <row r="59" spans="1:3" ht="13.2" customHeight="1">
      <c r="A59" s="114" t="s">
        <v>892</v>
      </c>
      <c r="B59" s="116" t="s">
        <v>1442</v>
      </c>
      <c r="C59" s="118" t="s">
        <v>1439</v>
      </c>
    </row>
    <row r="60" spans="1:3" ht="13.2" customHeight="1">
      <c r="A60" s="114" t="s">
        <v>900</v>
      </c>
      <c r="B60" s="116" t="s">
        <v>1443</v>
      </c>
      <c r="C60" s="118" t="s">
        <v>1439</v>
      </c>
    </row>
    <row r="61" spans="1:3" ht="13.2" customHeight="1">
      <c r="A61" s="114" t="s">
        <v>1444</v>
      </c>
      <c r="B61" s="116" t="s">
        <v>1445</v>
      </c>
      <c r="C61" s="118" t="s">
        <v>1439</v>
      </c>
    </row>
    <row r="62" spans="1:3" ht="13.2" customHeight="1">
      <c r="A62" s="114" t="s">
        <v>1446</v>
      </c>
      <c r="B62" s="116" t="s">
        <v>1447</v>
      </c>
      <c r="C62" s="118" t="s">
        <v>1439</v>
      </c>
    </row>
    <row r="63" spans="1:3" ht="13.2" customHeight="1">
      <c r="A63" s="114" t="s">
        <v>1448</v>
      </c>
      <c r="B63" s="116" t="s">
        <v>1449</v>
      </c>
      <c r="C63" s="118" t="s">
        <v>1439</v>
      </c>
    </row>
    <row r="64" spans="1:3" ht="13.2" customHeight="1">
      <c r="A64" s="114" t="s">
        <v>918</v>
      </c>
      <c r="B64" s="116" t="s">
        <v>1450</v>
      </c>
      <c r="C64" s="118" t="s">
        <v>1439</v>
      </c>
    </row>
    <row r="65" spans="1:3" ht="13.2" customHeight="1">
      <c r="A65" s="114" t="s">
        <v>784</v>
      </c>
      <c r="B65" s="116" t="s">
        <v>1451</v>
      </c>
      <c r="C65" s="118" t="s">
        <v>1452</v>
      </c>
    </row>
    <row r="66" spans="1:3" ht="13.2" customHeight="1">
      <c r="A66" s="114" t="s">
        <v>1453</v>
      </c>
      <c r="B66" s="116" t="s">
        <v>1454</v>
      </c>
      <c r="C66" s="118" t="s">
        <v>1452</v>
      </c>
    </row>
    <row r="67" spans="1:3" ht="13.2" customHeight="1">
      <c r="A67" s="114" t="s">
        <v>811</v>
      </c>
      <c r="B67" s="116" t="s">
        <v>1455</v>
      </c>
      <c r="C67" s="118" t="s">
        <v>1452</v>
      </c>
    </row>
    <row r="68" spans="1:3" ht="13.2" customHeight="1">
      <c r="A68" s="114" t="s">
        <v>831</v>
      </c>
      <c r="B68" s="116" t="s">
        <v>1456</v>
      </c>
      <c r="C68" s="118" t="s">
        <v>1452</v>
      </c>
    </row>
    <row r="69" spans="1:3" ht="13.2" customHeight="1">
      <c r="A69" s="114" t="s">
        <v>1457</v>
      </c>
      <c r="B69" s="116" t="s">
        <v>1458</v>
      </c>
      <c r="C69" s="118" t="s">
        <v>1452</v>
      </c>
    </row>
    <row r="70" spans="1:3" ht="13.2" customHeight="1">
      <c r="A70" s="114" t="s">
        <v>854</v>
      </c>
      <c r="B70" s="116" t="s">
        <v>1459</v>
      </c>
      <c r="C70" s="118" t="s">
        <v>1452</v>
      </c>
    </row>
    <row r="71" spans="1:3" ht="13.2" customHeight="1">
      <c r="A71" s="114" t="s">
        <v>844</v>
      </c>
      <c r="B71" s="116" t="s">
        <v>1460</v>
      </c>
      <c r="C71" s="118" t="s">
        <v>1452</v>
      </c>
    </row>
    <row r="72" spans="1:3" ht="13.2" customHeight="1">
      <c r="A72" s="114" t="s">
        <v>708</v>
      </c>
      <c r="B72" s="116" t="s">
        <v>1461</v>
      </c>
      <c r="C72" s="118" t="s">
        <v>1462</v>
      </c>
    </row>
    <row r="73" spans="1:3" ht="13.2" customHeight="1">
      <c r="A73" s="114" t="s">
        <v>720</v>
      </c>
      <c r="B73" s="116" t="s">
        <v>1463</v>
      </c>
      <c r="C73" s="118" t="s">
        <v>1462</v>
      </c>
    </row>
    <row r="74" spans="1:3" ht="13.2" customHeight="1">
      <c r="A74" s="114" t="s">
        <v>742</v>
      </c>
      <c r="B74" s="116" t="s">
        <v>1464</v>
      </c>
      <c r="C74" s="118" t="s">
        <v>1462</v>
      </c>
    </row>
    <row r="75" spans="1:3" ht="13.2" customHeight="1">
      <c r="A75" s="114" t="s">
        <v>748</v>
      </c>
      <c r="B75" s="116" t="s">
        <v>1465</v>
      </c>
      <c r="C75" s="118" t="s">
        <v>1462</v>
      </c>
    </row>
    <row r="76" spans="1:3" ht="13.2" customHeight="1">
      <c r="A76" s="114" t="s">
        <v>1466</v>
      </c>
      <c r="B76" s="116" t="s">
        <v>1467</v>
      </c>
      <c r="C76" s="118" t="s">
        <v>1462</v>
      </c>
    </row>
    <row r="77" spans="1:3" ht="13.2" customHeight="1">
      <c r="A77" s="114" t="s">
        <v>731</v>
      </c>
      <c r="B77" s="116" t="s">
        <v>1468</v>
      </c>
      <c r="C77" s="118" t="s">
        <v>1462</v>
      </c>
    </row>
    <row r="78" spans="1:3" ht="13.2" customHeight="1">
      <c r="A78" s="114" t="s">
        <v>1469</v>
      </c>
      <c r="B78" s="116" t="s">
        <v>1470</v>
      </c>
      <c r="C78" s="118" t="s">
        <v>1462</v>
      </c>
    </row>
    <row r="79" spans="1:3" ht="13.2" customHeight="1">
      <c r="A79" s="114" t="s">
        <v>775</v>
      </c>
      <c r="B79" s="116" t="s">
        <v>1471</v>
      </c>
      <c r="C79" s="118" t="s">
        <v>1462</v>
      </c>
    </row>
    <row r="80" spans="1:3" ht="13.2" customHeight="1">
      <c r="A80" s="114" t="s">
        <v>755</v>
      </c>
      <c r="B80" s="116" t="s">
        <v>1472</v>
      </c>
      <c r="C80" s="118" t="s">
        <v>1462</v>
      </c>
    </row>
    <row r="81" spans="1:3" ht="13.2" customHeight="1">
      <c r="A81" s="114" t="s">
        <v>933</v>
      </c>
      <c r="B81" s="116" t="s">
        <v>1473</v>
      </c>
      <c r="C81" s="118" t="s">
        <v>1474</v>
      </c>
    </row>
    <row r="82" spans="1:3" ht="13.2" customHeight="1">
      <c r="A82" s="114" t="s">
        <v>981</v>
      </c>
      <c r="B82" s="116" t="s">
        <v>1475</v>
      </c>
      <c r="C82" s="118" t="s">
        <v>1474</v>
      </c>
    </row>
    <row r="83" spans="1:3" ht="13.2" customHeight="1">
      <c r="A83" s="114" t="s">
        <v>995</v>
      </c>
      <c r="B83" s="116" t="s">
        <v>1476</v>
      </c>
      <c r="C83" s="118" t="s">
        <v>1474</v>
      </c>
    </row>
    <row r="84" spans="1:3" ht="13.2" customHeight="1">
      <c r="A84" s="114" t="s">
        <v>1005</v>
      </c>
      <c r="B84" s="116" t="s">
        <v>1477</v>
      </c>
      <c r="C84" s="118" t="s">
        <v>1474</v>
      </c>
    </row>
    <row r="85" spans="1:3" ht="13.2" customHeight="1">
      <c r="A85" s="114" t="s">
        <v>1478</v>
      </c>
      <c r="B85" s="116" t="s">
        <v>1479</v>
      </c>
      <c r="C85" s="118" t="s">
        <v>1474</v>
      </c>
    </row>
    <row r="86" spans="1:3" ht="13.2" customHeight="1">
      <c r="A86" s="114" t="s">
        <v>1480</v>
      </c>
      <c r="B86" s="116" t="s">
        <v>1481</v>
      </c>
      <c r="C86" s="118" t="s">
        <v>1474</v>
      </c>
    </row>
    <row r="87" spans="1:3" ht="13.2" customHeight="1">
      <c r="A87" s="114" t="s">
        <v>1482</v>
      </c>
      <c r="B87" s="116" t="s">
        <v>1483</v>
      </c>
      <c r="C87" s="118" t="s">
        <v>1484</v>
      </c>
    </row>
    <row r="88" spans="1:3" ht="13.2" customHeight="1">
      <c r="A88" s="114" t="s">
        <v>1485</v>
      </c>
      <c r="B88" s="116" t="s">
        <v>1486</v>
      </c>
      <c r="C88" s="118" t="s">
        <v>1484</v>
      </c>
    </row>
    <row r="89" spans="1:3" ht="13.2" customHeight="1">
      <c r="A89" s="114" t="s">
        <v>695</v>
      </c>
      <c r="B89" s="116" t="s">
        <v>1487</v>
      </c>
      <c r="C89" s="118" t="s">
        <v>1484</v>
      </c>
    </row>
    <row r="90" spans="1:3" ht="13.2" customHeight="1">
      <c r="A90" s="114" t="s">
        <v>675</v>
      </c>
      <c r="B90" s="116" t="s">
        <v>1488</v>
      </c>
      <c r="C90" s="118" t="s">
        <v>1484</v>
      </c>
    </row>
    <row r="91" spans="1:3" ht="13.2" customHeight="1">
      <c r="A91" s="114" t="s">
        <v>699</v>
      </c>
      <c r="B91" s="116" t="s">
        <v>1489</v>
      </c>
      <c r="C91" s="118" t="s">
        <v>1484</v>
      </c>
    </row>
    <row r="92" spans="1:3" ht="13.2" customHeight="1">
      <c r="A92" s="114" t="s">
        <v>668</v>
      </c>
      <c r="B92" s="116" t="s">
        <v>1490</v>
      </c>
      <c r="C92" s="118" t="s">
        <v>1484</v>
      </c>
    </row>
    <row r="93" spans="1:3" ht="13.2" customHeight="1">
      <c r="A93" s="114" t="s">
        <v>1491</v>
      </c>
      <c r="B93" s="116" t="s">
        <v>1492</v>
      </c>
      <c r="C93" s="118" t="s">
        <v>1493</v>
      </c>
    </row>
    <row r="94" spans="1:3" ht="13.2" customHeight="1">
      <c r="A94" s="114" t="s">
        <v>1494</v>
      </c>
      <c r="B94" s="116" t="s">
        <v>1495</v>
      </c>
      <c r="C94" s="118" t="s">
        <v>1493</v>
      </c>
    </row>
    <row r="95" spans="1:3" ht="13.2" customHeight="1">
      <c r="A95" s="114" t="s">
        <v>687</v>
      </c>
      <c r="B95" s="116" t="s">
        <v>1496</v>
      </c>
      <c r="C95" s="118" t="s">
        <v>1493</v>
      </c>
    </row>
    <row r="96" spans="1:3" ht="13.2" customHeight="1">
      <c r="A96" s="114" t="s">
        <v>647</v>
      </c>
      <c r="B96" s="116" t="s">
        <v>1497</v>
      </c>
      <c r="C96" s="118" t="s">
        <v>1493</v>
      </c>
    </row>
    <row r="97" spans="1:3" ht="13.2" customHeight="1">
      <c r="A97" s="114" t="s">
        <v>653</v>
      </c>
      <c r="B97" s="116" t="s">
        <v>1498</v>
      </c>
      <c r="C97" s="118" t="s">
        <v>1493</v>
      </c>
    </row>
    <row r="98" spans="1:3" ht="13.2" customHeight="1">
      <c r="A98" s="114" t="s">
        <v>658</v>
      </c>
      <c r="B98" s="116" t="s">
        <v>1499</v>
      </c>
      <c r="C98" s="118" t="s">
        <v>1493</v>
      </c>
    </row>
    <row r="99" spans="1:3" ht="13.2" customHeight="1">
      <c r="A99" s="114" t="s">
        <v>662</v>
      </c>
      <c r="B99" s="116" t="s">
        <v>1500</v>
      </c>
      <c r="C99" s="118" t="s">
        <v>1493</v>
      </c>
    </row>
    <row r="100" spans="1:3" ht="13.2" customHeight="1">
      <c r="A100" s="114" t="s">
        <v>1501</v>
      </c>
      <c r="B100" s="116" t="s">
        <v>1502</v>
      </c>
      <c r="C100" s="118" t="s">
        <v>1493</v>
      </c>
    </row>
    <row r="101" spans="1:3" ht="13.2" customHeight="1">
      <c r="A101" s="114" t="s">
        <v>599</v>
      </c>
      <c r="B101" s="116" t="s">
        <v>1503</v>
      </c>
      <c r="C101" s="118" t="s">
        <v>1504</v>
      </c>
    </row>
    <row r="102" spans="1:3" ht="13.2" customHeight="1">
      <c r="A102" s="114" t="s">
        <v>1505</v>
      </c>
      <c r="B102" s="116" t="s">
        <v>1506</v>
      </c>
      <c r="C102" s="118" t="s">
        <v>1504</v>
      </c>
    </row>
    <row r="103" spans="1:3" ht="13.2" customHeight="1">
      <c r="A103" s="114" t="s">
        <v>1507</v>
      </c>
      <c r="B103" s="116" t="s">
        <v>1508</v>
      </c>
      <c r="C103" s="118" t="s">
        <v>1504</v>
      </c>
    </row>
    <row r="104" spans="1:3" ht="13.2" customHeight="1">
      <c r="A104" s="114" t="s">
        <v>1509</v>
      </c>
      <c r="B104" s="116" t="s">
        <v>1510</v>
      </c>
      <c r="C104" s="118" t="s">
        <v>1504</v>
      </c>
    </row>
    <row r="105" spans="1:3" ht="13.2" customHeight="1">
      <c r="A105" s="114" t="s">
        <v>1511</v>
      </c>
      <c r="B105" s="116" t="s">
        <v>1512</v>
      </c>
      <c r="C105" s="118" t="s">
        <v>1504</v>
      </c>
    </row>
    <row r="106" spans="1:3" ht="13.2" customHeight="1">
      <c r="A106" s="114" t="s">
        <v>1513</v>
      </c>
      <c r="B106" s="116" t="s">
        <v>1514</v>
      </c>
      <c r="C106" s="118" t="s">
        <v>1504</v>
      </c>
    </row>
    <row r="107" spans="1:3" ht="13.2" customHeight="1">
      <c r="A107" s="114" t="s">
        <v>619</v>
      </c>
      <c r="B107" s="116" t="s">
        <v>1515</v>
      </c>
      <c r="C107" s="118" t="s">
        <v>1504</v>
      </c>
    </row>
    <row r="108" spans="1:3" ht="13.2" customHeight="1">
      <c r="A108" s="114" t="s">
        <v>572</v>
      </c>
      <c r="B108" s="116" t="s">
        <v>1516</v>
      </c>
      <c r="C108" s="118" t="s">
        <v>1517</v>
      </c>
    </row>
    <row r="109" spans="1:3" ht="13.2" customHeight="1">
      <c r="A109" s="114" t="s">
        <v>583</v>
      </c>
      <c r="B109" s="116" t="s">
        <v>1518</v>
      </c>
      <c r="C109" s="118" t="s">
        <v>1517</v>
      </c>
    </row>
    <row r="110" spans="1:3" ht="13.2" customHeight="1">
      <c r="A110" s="114" t="s">
        <v>1519</v>
      </c>
      <c r="B110" s="116" t="s">
        <v>1520</v>
      </c>
      <c r="C110" s="118" t="s">
        <v>1517</v>
      </c>
    </row>
    <row r="111" spans="1:3" ht="13.2" customHeight="1">
      <c r="A111" s="114" t="s">
        <v>1521</v>
      </c>
      <c r="B111" s="116" t="s">
        <v>1522</v>
      </c>
      <c r="C111" s="118" t="s">
        <v>1523</v>
      </c>
    </row>
    <row r="112" spans="1:3" ht="13.2" customHeight="1">
      <c r="A112" s="114" t="s">
        <v>1049</v>
      </c>
      <c r="B112" s="116" t="s">
        <v>1524</v>
      </c>
      <c r="C112" s="118" t="s">
        <v>1525</v>
      </c>
    </row>
    <row r="113" spans="1:3" ht="13.2" customHeight="1">
      <c r="A113" s="114" t="s">
        <v>1066</v>
      </c>
      <c r="B113" s="116" t="s">
        <v>1526</v>
      </c>
      <c r="C113" s="118" t="s">
        <v>1525</v>
      </c>
    </row>
    <row r="114" spans="1:3" ht="13.2" customHeight="1">
      <c r="A114" s="114" t="s">
        <v>152</v>
      </c>
      <c r="B114" s="116" t="s">
        <v>1527</v>
      </c>
      <c r="C114" s="118" t="s">
        <v>1525</v>
      </c>
    </row>
    <row r="115" spans="1:3" ht="13.2" customHeight="1">
      <c r="A115" s="114" t="s">
        <v>1058</v>
      </c>
      <c r="B115" s="116" t="s">
        <v>1528</v>
      </c>
      <c r="C115" s="118" t="s">
        <v>1529</v>
      </c>
    </row>
    <row r="116" spans="1:3" ht="13.2" customHeight="1">
      <c r="A116" s="114" t="s">
        <v>1083</v>
      </c>
      <c r="B116" s="116" t="s">
        <v>1530</v>
      </c>
      <c r="C116" s="118" t="s">
        <v>1529</v>
      </c>
    </row>
    <row r="117" spans="1:3" ht="13.2" customHeight="1">
      <c r="A117" s="114" t="s">
        <v>1087</v>
      </c>
      <c r="B117" s="116" t="s">
        <v>1531</v>
      </c>
      <c r="C117" s="118" t="s">
        <v>1529</v>
      </c>
    </row>
    <row r="118" spans="1:3" ht="13.2" customHeight="1">
      <c r="A118" s="114" t="s">
        <v>1532</v>
      </c>
      <c r="B118" s="116" t="s">
        <v>1533</v>
      </c>
      <c r="C118" s="118" t="s">
        <v>1534</v>
      </c>
    </row>
    <row r="119" spans="1:3" ht="13.2" customHeight="1">
      <c r="A119" s="115" t="s">
        <v>1535</v>
      </c>
      <c r="B119" s="116" t="s">
        <v>1536</v>
      </c>
      <c r="C119" s="118" t="s">
        <v>1534</v>
      </c>
    </row>
    <row r="120" spans="1:3" ht="13.2" customHeight="1">
      <c r="A120" s="115" t="s">
        <v>327</v>
      </c>
      <c r="B120" s="116" t="s">
        <v>1537</v>
      </c>
      <c r="C120" s="118" t="s">
        <v>1534</v>
      </c>
    </row>
    <row r="121" spans="1:3" ht="13.2" customHeight="1">
      <c r="A121" s="115" t="s">
        <v>332</v>
      </c>
      <c r="B121" s="116" t="s">
        <v>1538</v>
      </c>
      <c r="C121" s="118" t="s">
        <v>1534</v>
      </c>
    </row>
    <row r="122" spans="1:3" ht="13.2" customHeight="1">
      <c r="A122" s="115" t="s">
        <v>337</v>
      </c>
      <c r="B122" s="116" t="s">
        <v>1539</v>
      </c>
      <c r="C122" s="118" t="s">
        <v>1534</v>
      </c>
    </row>
    <row r="123" spans="1:3" ht="13.2" customHeight="1">
      <c r="A123" s="115" t="s">
        <v>340</v>
      </c>
      <c r="B123" s="116" t="s">
        <v>1540</v>
      </c>
      <c r="C123" s="118" t="s">
        <v>1534</v>
      </c>
    </row>
    <row r="124" spans="1:3" ht="13.2" customHeight="1">
      <c r="A124" s="115" t="s">
        <v>343</v>
      </c>
      <c r="B124" s="116" t="s">
        <v>1541</v>
      </c>
      <c r="C124" s="118" t="s">
        <v>1542</v>
      </c>
    </row>
    <row r="125" spans="1:3" ht="13.2" customHeight="1">
      <c r="A125" s="115" t="s">
        <v>347</v>
      </c>
      <c r="B125" s="116" t="s">
        <v>1543</v>
      </c>
      <c r="C125" s="118" t="s">
        <v>1542</v>
      </c>
    </row>
    <row r="126" spans="1:3" ht="13.2" customHeight="1">
      <c r="A126" s="115" t="s">
        <v>1544</v>
      </c>
      <c r="B126" s="116" t="s">
        <v>1545</v>
      </c>
      <c r="C126" s="118" t="s">
        <v>1542</v>
      </c>
    </row>
    <row r="127" spans="1:3" ht="13.2" customHeight="1">
      <c r="A127" s="115" t="s">
        <v>358</v>
      </c>
      <c r="B127" s="116" t="s">
        <v>1546</v>
      </c>
      <c r="C127" s="118" t="s">
        <v>1542</v>
      </c>
    </row>
    <row r="128" spans="1:3" ht="13.2" customHeight="1">
      <c r="A128" s="115" t="s">
        <v>363</v>
      </c>
      <c r="B128" s="116" t="s">
        <v>1547</v>
      </c>
      <c r="C128" s="118" t="s">
        <v>1542</v>
      </c>
    </row>
    <row r="129" spans="1:3" ht="13.2" customHeight="1">
      <c r="A129" s="115" t="s">
        <v>368</v>
      </c>
      <c r="B129" s="116" t="s">
        <v>1548</v>
      </c>
      <c r="C129" s="118" t="s">
        <v>1542</v>
      </c>
    </row>
    <row r="130" spans="1:3" ht="13.2" customHeight="1">
      <c r="A130" s="115" t="s">
        <v>371</v>
      </c>
      <c r="B130" s="116" t="s">
        <v>1549</v>
      </c>
      <c r="C130" s="118" t="s">
        <v>1542</v>
      </c>
    </row>
    <row r="131" spans="1:3" ht="13.2" customHeight="1">
      <c r="A131" s="115" t="s">
        <v>374</v>
      </c>
      <c r="B131" s="116" t="s">
        <v>1550</v>
      </c>
      <c r="C131" s="118" t="s">
        <v>1542</v>
      </c>
    </row>
    <row r="132" spans="1:3" ht="13.2" customHeight="1">
      <c r="A132" s="115" t="s">
        <v>379</v>
      </c>
      <c r="B132" s="116" t="s">
        <v>1551</v>
      </c>
      <c r="C132" s="118" t="s">
        <v>1542</v>
      </c>
    </row>
    <row r="133" spans="1:3" ht="13.2" customHeight="1">
      <c r="A133" s="115" t="s">
        <v>385</v>
      </c>
      <c r="B133" s="116" t="s">
        <v>1552</v>
      </c>
      <c r="C133" s="118" t="s">
        <v>1542</v>
      </c>
    </row>
    <row r="134" spans="1:3" ht="13.2" customHeight="1">
      <c r="A134" s="115" t="s">
        <v>388</v>
      </c>
      <c r="B134" s="116" t="s">
        <v>1553</v>
      </c>
      <c r="C134" s="118" t="s">
        <v>1542</v>
      </c>
    </row>
    <row r="135" spans="1:3" ht="13.2" customHeight="1">
      <c r="A135" s="115" t="s">
        <v>393</v>
      </c>
      <c r="B135" s="116" t="s">
        <v>1554</v>
      </c>
      <c r="C135" s="118" t="s">
        <v>1542</v>
      </c>
    </row>
    <row r="136" spans="1:3" ht="13.2" customHeight="1">
      <c r="A136" s="115" t="s">
        <v>398</v>
      </c>
      <c r="B136" s="116" t="s">
        <v>1555</v>
      </c>
      <c r="C136" s="118" t="s">
        <v>1542</v>
      </c>
    </row>
    <row r="137" spans="1:3" ht="13.2" customHeight="1">
      <c r="A137" s="115" t="s">
        <v>401</v>
      </c>
      <c r="B137" s="116" t="s">
        <v>1556</v>
      </c>
      <c r="C137" s="118" t="s">
        <v>1542</v>
      </c>
    </row>
    <row r="138" spans="1:3" ht="13.2" customHeight="1">
      <c r="A138" s="115" t="s">
        <v>406</v>
      </c>
      <c r="B138" s="116" t="s">
        <v>1557</v>
      </c>
      <c r="C138" s="118" t="s">
        <v>1542</v>
      </c>
    </row>
    <row r="139" spans="1:3" ht="13.2" customHeight="1">
      <c r="A139" s="115" t="s">
        <v>412</v>
      </c>
      <c r="B139" s="116" t="s">
        <v>1558</v>
      </c>
      <c r="C139" s="118" t="s">
        <v>1542</v>
      </c>
    </row>
    <row r="140" spans="1:3" ht="13.2" customHeight="1">
      <c r="A140" s="115" t="s">
        <v>417</v>
      </c>
      <c r="B140" s="116" t="s">
        <v>1559</v>
      </c>
      <c r="C140" s="118" t="s">
        <v>1542</v>
      </c>
    </row>
    <row r="141" spans="1:3" ht="13.2" customHeight="1">
      <c r="A141" s="115" t="s">
        <v>420</v>
      </c>
      <c r="B141" s="116" t="s">
        <v>1560</v>
      </c>
      <c r="C141" s="118" t="s">
        <v>1542</v>
      </c>
    </row>
    <row r="142" spans="1:3" ht="13.2" customHeight="1">
      <c r="A142" s="115" t="s">
        <v>423</v>
      </c>
      <c r="B142" s="116" t="s">
        <v>1561</v>
      </c>
      <c r="C142" s="118" t="s">
        <v>1562</v>
      </c>
    </row>
    <row r="143" spans="1:3" ht="13.2" customHeight="1">
      <c r="A143" s="115" t="s">
        <v>426</v>
      </c>
      <c r="B143" s="116" t="s">
        <v>1563</v>
      </c>
      <c r="C143" s="118" t="s">
        <v>1562</v>
      </c>
    </row>
    <row r="144" spans="1:3" ht="13.2" customHeight="1">
      <c r="A144" s="115" t="s">
        <v>429</v>
      </c>
      <c r="B144" s="116" t="s">
        <v>1564</v>
      </c>
      <c r="C144" s="118" t="s">
        <v>1562</v>
      </c>
    </row>
    <row r="145" spans="1:3" ht="13.2" customHeight="1">
      <c r="A145" s="115" t="s">
        <v>1565</v>
      </c>
      <c r="B145" s="116" t="s">
        <v>1566</v>
      </c>
      <c r="C145" s="118" t="s">
        <v>1562</v>
      </c>
    </row>
    <row r="146" spans="1:3" ht="13.2" customHeight="1">
      <c r="A146" s="115" t="s">
        <v>1567</v>
      </c>
      <c r="B146" s="116" t="s">
        <v>1568</v>
      </c>
      <c r="C146" s="118" t="s">
        <v>1562</v>
      </c>
    </row>
    <row r="147" spans="1:3" ht="13.2" customHeight="1">
      <c r="A147" s="115" t="s">
        <v>1569</v>
      </c>
      <c r="B147" s="116" t="s">
        <v>1570</v>
      </c>
      <c r="C147" s="118" t="s">
        <v>1562</v>
      </c>
    </row>
    <row r="148" spans="1:3" ht="13.2" customHeight="1">
      <c r="A148" s="115" t="s">
        <v>1571</v>
      </c>
      <c r="B148" s="116" t="s">
        <v>1572</v>
      </c>
      <c r="C148" s="118" t="s">
        <v>1562</v>
      </c>
    </row>
    <row r="149" spans="1:3" ht="13.2" customHeight="1">
      <c r="A149" s="115" t="s">
        <v>1573</v>
      </c>
      <c r="B149" s="116" t="s">
        <v>1574</v>
      </c>
      <c r="C149" s="118" t="s">
        <v>1562</v>
      </c>
    </row>
    <row r="150" spans="1:3" ht="13.2" customHeight="1">
      <c r="A150" s="115" t="s">
        <v>1575</v>
      </c>
      <c r="B150" s="116" t="s">
        <v>1576</v>
      </c>
      <c r="C150" s="118" t="s">
        <v>1562</v>
      </c>
    </row>
    <row r="151" spans="1:3" ht="13.2" customHeight="1">
      <c r="A151" s="115" t="s">
        <v>441</v>
      </c>
      <c r="B151" s="116" t="s">
        <v>1577</v>
      </c>
      <c r="C151" s="118" t="s">
        <v>1578</v>
      </c>
    </row>
    <row r="152" spans="1:3" ht="13.2" customHeight="1">
      <c r="A152" s="115" t="s">
        <v>444</v>
      </c>
      <c r="B152" s="116" t="s">
        <v>1579</v>
      </c>
      <c r="C152" s="118" t="s">
        <v>1578</v>
      </c>
    </row>
    <row r="153" spans="1:3" ht="13.2" customHeight="1">
      <c r="A153" s="115" t="s">
        <v>447</v>
      </c>
      <c r="B153" s="116" t="s">
        <v>1580</v>
      </c>
      <c r="C153" s="118" t="s">
        <v>1578</v>
      </c>
    </row>
    <row r="154" spans="1:3" ht="13.2" customHeight="1">
      <c r="A154" s="115" t="s">
        <v>450</v>
      </c>
      <c r="B154" s="116" t="s">
        <v>1581</v>
      </c>
      <c r="C154" s="118" t="s">
        <v>1578</v>
      </c>
    </row>
    <row r="155" spans="1:3" ht="13.2" customHeight="1">
      <c r="A155" s="115" t="s">
        <v>455</v>
      </c>
      <c r="B155" s="116" t="s">
        <v>1582</v>
      </c>
      <c r="C155" s="118" t="s">
        <v>1578</v>
      </c>
    </row>
    <row r="156" spans="1:3" ht="13.2" customHeight="1">
      <c r="A156" s="115" t="s">
        <v>458</v>
      </c>
      <c r="B156" s="116" t="s">
        <v>1583</v>
      </c>
      <c r="C156" s="118" t="s">
        <v>1578</v>
      </c>
    </row>
    <row r="157" spans="1:3" ht="13.2" customHeight="1">
      <c r="A157" s="115" t="s">
        <v>463</v>
      </c>
      <c r="B157" s="116" t="s">
        <v>1584</v>
      </c>
      <c r="C157" s="118" t="s">
        <v>1578</v>
      </c>
    </row>
    <row r="158" spans="1:3" ht="13.2" customHeight="1">
      <c r="A158" s="115" t="s">
        <v>466</v>
      </c>
      <c r="B158" s="116" t="s">
        <v>1585</v>
      </c>
      <c r="C158" s="118" t="s">
        <v>1578</v>
      </c>
    </row>
    <row r="159" spans="1:3" ht="13.2" customHeight="1">
      <c r="A159" s="115" t="s">
        <v>471</v>
      </c>
      <c r="B159" s="116" t="s">
        <v>99</v>
      </c>
      <c r="C159" s="118" t="s">
        <v>1586</v>
      </c>
    </row>
    <row r="160" spans="1:3" ht="13.2" customHeight="1">
      <c r="A160" s="115" t="s">
        <v>474</v>
      </c>
      <c r="B160" s="116" t="s">
        <v>1587</v>
      </c>
      <c r="C160" s="118" t="s">
        <v>1586</v>
      </c>
    </row>
    <row r="161" spans="1:3" ht="13.2" customHeight="1">
      <c r="A161" s="115" t="s">
        <v>1588</v>
      </c>
      <c r="B161" s="116" t="s">
        <v>1589</v>
      </c>
      <c r="C161" s="118" t="s">
        <v>1586</v>
      </c>
    </row>
    <row r="162" spans="1:3" ht="13.2" customHeight="1">
      <c r="A162" s="115" t="s">
        <v>1590</v>
      </c>
      <c r="B162" s="116" t="s">
        <v>1591</v>
      </c>
      <c r="C162" s="118" t="s">
        <v>1586</v>
      </c>
    </row>
    <row r="163" spans="1:3" ht="13.2" customHeight="1">
      <c r="A163" s="115" t="s">
        <v>1592</v>
      </c>
      <c r="B163" s="116" t="s">
        <v>1593</v>
      </c>
      <c r="C163" s="118" t="s">
        <v>1586</v>
      </c>
    </row>
    <row r="164" spans="1:3" ht="13.2" customHeight="1">
      <c r="A164" s="115" t="s">
        <v>1594</v>
      </c>
      <c r="B164" s="116" t="s">
        <v>1595</v>
      </c>
      <c r="C164" s="118" t="s">
        <v>1596</v>
      </c>
    </row>
    <row r="165" spans="1:3" ht="13.2" customHeight="1">
      <c r="A165" s="114" t="s">
        <v>1598</v>
      </c>
      <c r="B165" s="116" t="s">
        <v>1599</v>
      </c>
      <c r="C165" s="118" t="s">
        <v>1597</v>
      </c>
    </row>
    <row r="166" spans="1:3" ht="13.2" customHeight="1">
      <c r="A166" s="114" t="s">
        <v>1600</v>
      </c>
      <c r="B166" s="116" t="s">
        <v>1601</v>
      </c>
      <c r="C166" s="118" t="s">
        <v>1597</v>
      </c>
    </row>
    <row r="167" spans="1:3">
      <c r="A167" s="114" t="s">
        <v>494</v>
      </c>
      <c r="B167" s="116" t="s">
        <v>1602</v>
      </c>
      <c r="C167" s="118" t="s">
        <v>1603</v>
      </c>
    </row>
    <row r="168" spans="1:3" ht="13.2" customHeight="1">
      <c r="A168" s="115" t="s">
        <v>1604</v>
      </c>
      <c r="B168" s="117" t="s">
        <v>1605</v>
      </c>
      <c r="C168" s="118" t="s">
        <v>1365</v>
      </c>
    </row>
    <row r="169" spans="1:3" ht="13.2" customHeight="1">
      <c r="A169" s="115" t="s">
        <v>263</v>
      </c>
      <c r="B169" s="117" t="s">
        <v>1606</v>
      </c>
      <c r="C169" s="118" t="s">
        <v>1433</v>
      </c>
    </row>
    <row r="170" spans="1:3" ht="13.2" customHeight="1">
      <c r="A170" s="114" t="s">
        <v>764</v>
      </c>
      <c r="B170" s="116" t="s">
        <v>1607</v>
      </c>
      <c r="C170" s="118" t="s">
        <v>1462</v>
      </c>
    </row>
    <row r="171" spans="1:3" ht="13.2" customHeight="1">
      <c r="A171" s="114" t="s">
        <v>1079</v>
      </c>
      <c r="B171" s="116" t="s">
        <v>1608</v>
      </c>
      <c r="C171" s="118" t="s">
        <v>1529</v>
      </c>
    </row>
    <row r="172" spans="1:3" ht="13.2" customHeight="1">
      <c r="A172" s="114" t="s">
        <v>1615</v>
      </c>
      <c r="B172" s="116" t="s">
        <v>1616</v>
      </c>
      <c r="C172" s="118" t="s">
        <v>1613</v>
      </c>
    </row>
    <row r="173" spans="1:3">
      <c r="A173" s="116" t="s">
        <v>1617</v>
      </c>
      <c r="B173" s="116" t="s">
        <v>1618</v>
      </c>
      <c r="C173" s="118" t="s">
        <v>1619</v>
      </c>
    </row>
    <row r="174" spans="1:3">
      <c r="A174" s="116" t="s">
        <v>1620</v>
      </c>
      <c r="B174" s="116" t="s">
        <v>1621</v>
      </c>
      <c r="C174" s="118" t="s">
        <v>1619</v>
      </c>
    </row>
    <row r="175" spans="1:3" ht="13.2" customHeight="1">
      <c r="A175" s="116" t="s">
        <v>1622</v>
      </c>
      <c r="B175" s="116" t="s">
        <v>1623</v>
      </c>
      <c r="C175" s="118" t="s">
        <v>1619</v>
      </c>
    </row>
    <row r="176" spans="1:3">
      <c r="A176" s="116" t="s">
        <v>1624</v>
      </c>
      <c r="B176" s="116" t="s">
        <v>1625</v>
      </c>
      <c r="C176" s="118" t="s">
        <v>1619</v>
      </c>
    </row>
    <row r="177" spans="1:3" ht="13.2" customHeight="1">
      <c r="A177" s="116" t="s">
        <v>1626</v>
      </c>
      <c r="B177" s="116" t="s">
        <v>1627</v>
      </c>
      <c r="C177" s="118" t="s">
        <v>1619</v>
      </c>
    </row>
    <row r="178" spans="1:3" ht="13.2" customHeight="1">
      <c r="A178" s="116" t="s">
        <v>1628</v>
      </c>
      <c r="B178" s="116" t="s">
        <v>1629</v>
      </c>
      <c r="C178" s="118" t="s">
        <v>1619</v>
      </c>
    </row>
    <row r="179" spans="1:3" ht="13.2" customHeight="1">
      <c r="A179" s="116" t="s">
        <v>1630</v>
      </c>
      <c r="B179" s="116" t="s">
        <v>1631</v>
      </c>
      <c r="C179" s="118" t="s">
        <v>1619</v>
      </c>
    </row>
    <row r="180" spans="1:3" ht="13.2" customHeight="1">
      <c r="A180" s="116" t="s">
        <v>1632</v>
      </c>
      <c r="B180" s="116" t="s">
        <v>1633</v>
      </c>
      <c r="C180" s="118" t="s">
        <v>1619</v>
      </c>
    </row>
    <row r="181" spans="1:3" ht="13.2" customHeight="1">
      <c r="A181" s="116" t="s">
        <v>1634</v>
      </c>
      <c r="B181" s="116" t="s">
        <v>1635</v>
      </c>
      <c r="C181" s="118" t="s">
        <v>1619</v>
      </c>
    </row>
    <row r="182" spans="1:3" ht="13.2" customHeight="1">
      <c r="A182" s="116" t="s">
        <v>1636</v>
      </c>
      <c r="B182" s="116" t="s">
        <v>1637</v>
      </c>
      <c r="C182" s="118" t="s">
        <v>1619</v>
      </c>
    </row>
    <row r="183" spans="1:3">
      <c r="A183" s="116" t="s">
        <v>1638</v>
      </c>
      <c r="B183" s="116" t="s">
        <v>1639</v>
      </c>
      <c r="C183" s="118" t="s">
        <v>1619</v>
      </c>
    </row>
    <row r="184" spans="1:3">
      <c r="A184" s="116" t="s">
        <v>1640</v>
      </c>
      <c r="B184" s="116" t="s">
        <v>1641</v>
      </c>
      <c r="C184" s="118" t="s">
        <v>1619</v>
      </c>
    </row>
    <row r="185" spans="1:3" ht="13.2" customHeight="1">
      <c r="A185" s="116" t="s">
        <v>1642</v>
      </c>
      <c r="B185" s="116" t="s">
        <v>1643</v>
      </c>
      <c r="C185" s="118" t="s">
        <v>1619</v>
      </c>
    </row>
    <row r="186" spans="1:3" ht="13.2" customHeight="1">
      <c r="A186" s="116" t="s">
        <v>1644</v>
      </c>
      <c r="B186" s="116" t="s">
        <v>1645</v>
      </c>
      <c r="C186" s="118" t="s">
        <v>1362</v>
      </c>
    </row>
    <row r="187" spans="1:3" ht="13.2" customHeight="1">
      <c r="A187" s="115" t="s">
        <v>1646</v>
      </c>
      <c r="B187" s="117" t="s">
        <v>1647</v>
      </c>
      <c r="C187" s="118" t="s">
        <v>1484</v>
      </c>
    </row>
  </sheetData>
  <mergeCells count="3">
    <mergeCell ref="A1:A2"/>
    <mergeCell ref="B1:B2"/>
    <mergeCell ref="C1:C2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2"/>
  <sheetViews>
    <sheetView topLeftCell="A194" workbookViewId="0">
      <selection activeCell="B2" sqref="B2"/>
    </sheetView>
  </sheetViews>
  <sheetFormatPr defaultRowHeight="13.2"/>
  <cols>
    <col min="1" max="1" width="29.88671875" bestFit="1" customWidth="1"/>
    <col min="2" max="2" width="11.88671875" bestFit="1" customWidth="1"/>
    <col min="3" max="3" width="28.21875" bestFit="1" customWidth="1"/>
    <col min="4" max="4" width="59.88671875" bestFit="1" customWidth="1"/>
    <col min="5" max="5" width="50.21875" bestFit="1" customWidth="1"/>
    <col min="6" max="6" width="24.88671875" bestFit="1" customWidth="1"/>
  </cols>
  <sheetData>
    <row r="1" spans="1:4">
      <c r="A1" s="113" t="s">
        <v>123</v>
      </c>
    </row>
    <row r="2" spans="1:4">
      <c r="A2" s="113" t="s">
        <v>124</v>
      </c>
      <c r="B2" s="113" t="s">
        <v>125</v>
      </c>
      <c r="D2" s="113" t="s">
        <v>126</v>
      </c>
    </row>
    <row r="3" spans="1:4">
      <c r="A3" s="113" t="s">
        <v>124</v>
      </c>
      <c r="B3" s="113" t="s">
        <v>125</v>
      </c>
      <c r="D3" s="113" t="s">
        <v>127</v>
      </c>
    </row>
    <row r="4" spans="1:4">
      <c r="A4" s="113" t="s">
        <v>124</v>
      </c>
      <c r="B4" s="113" t="s">
        <v>125</v>
      </c>
      <c r="C4" s="113" t="s">
        <v>128</v>
      </c>
      <c r="D4" s="113" t="s">
        <v>129</v>
      </c>
    </row>
    <row r="5" spans="1:4">
      <c r="A5" s="113" t="s">
        <v>124</v>
      </c>
      <c r="B5" s="113" t="s">
        <v>125</v>
      </c>
      <c r="C5" s="113" t="s">
        <v>130</v>
      </c>
      <c r="D5" s="113" t="s">
        <v>131</v>
      </c>
    </row>
    <row r="6" spans="1:4">
      <c r="A6" s="113" t="s">
        <v>124</v>
      </c>
      <c r="B6" s="113" t="s">
        <v>125</v>
      </c>
      <c r="C6" s="113" t="s">
        <v>130</v>
      </c>
      <c r="D6" s="113" t="s">
        <v>132</v>
      </c>
    </row>
    <row r="7" spans="1:4">
      <c r="A7" s="113" t="s">
        <v>124</v>
      </c>
      <c r="B7" s="113" t="s">
        <v>125</v>
      </c>
      <c r="C7" s="113" t="s">
        <v>130</v>
      </c>
      <c r="D7" s="113" t="s">
        <v>133</v>
      </c>
    </row>
    <row r="8" spans="1:4">
      <c r="A8" s="113" t="s">
        <v>124</v>
      </c>
      <c r="B8" s="113" t="s">
        <v>125</v>
      </c>
      <c r="C8" s="113" t="s">
        <v>130</v>
      </c>
      <c r="D8" s="113" t="s">
        <v>134</v>
      </c>
    </row>
    <row r="9" spans="1:4">
      <c r="A9" s="113" t="s">
        <v>124</v>
      </c>
      <c r="B9" s="113" t="s">
        <v>125</v>
      </c>
      <c r="C9" s="113" t="s">
        <v>130</v>
      </c>
      <c r="D9" s="113" t="s">
        <v>135</v>
      </c>
    </row>
    <row r="10" spans="1:4">
      <c r="A10" s="113" t="s">
        <v>124</v>
      </c>
      <c r="B10" s="113" t="s">
        <v>125</v>
      </c>
      <c r="C10" s="113" t="s">
        <v>130</v>
      </c>
      <c r="D10" s="113" t="s">
        <v>136</v>
      </c>
    </row>
    <row r="11" spans="1:4">
      <c r="A11" s="113" t="s">
        <v>124</v>
      </c>
      <c r="B11" s="113" t="s">
        <v>125</v>
      </c>
      <c r="C11" s="113" t="s">
        <v>130</v>
      </c>
      <c r="D11" s="113" t="s">
        <v>137</v>
      </c>
    </row>
    <row r="12" spans="1:4">
      <c r="A12" s="113" t="s">
        <v>124</v>
      </c>
      <c r="B12" s="113" t="s">
        <v>125</v>
      </c>
      <c r="C12" s="113" t="s">
        <v>130</v>
      </c>
      <c r="D12" s="113" t="s">
        <v>138</v>
      </c>
    </row>
    <row r="13" spans="1:4">
      <c r="A13" s="113" t="s">
        <v>124</v>
      </c>
      <c r="B13" s="113" t="s">
        <v>125</v>
      </c>
      <c r="C13" s="113" t="s">
        <v>130</v>
      </c>
      <c r="D13" s="113" t="s">
        <v>139</v>
      </c>
    </row>
    <row r="14" spans="1:4">
      <c r="A14" s="113" t="s">
        <v>124</v>
      </c>
      <c r="B14" s="113" t="s">
        <v>125</v>
      </c>
      <c r="C14" s="113" t="s">
        <v>130</v>
      </c>
      <c r="D14" s="113" t="s">
        <v>140</v>
      </c>
    </row>
    <row r="15" spans="1:4">
      <c r="A15" s="113" t="s">
        <v>124</v>
      </c>
      <c r="B15" s="113" t="s">
        <v>125</v>
      </c>
      <c r="C15" s="113" t="s">
        <v>130</v>
      </c>
      <c r="D15" s="113" t="s">
        <v>141</v>
      </c>
    </row>
    <row r="16" spans="1:4">
      <c r="A16" s="113" t="s">
        <v>124</v>
      </c>
      <c r="B16" s="113" t="s">
        <v>125</v>
      </c>
      <c r="C16" s="113" t="s">
        <v>130</v>
      </c>
      <c r="D16" s="113" t="s">
        <v>142</v>
      </c>
    </row>
    <row r="17" spans="1:4">
      <c r="A17" s="113" t="s">
        <v>124</v>
      </c>
      <c r="B17" s="113" t="s">
        <v>125</v>
      </c>
      <c r="C17" s="113" t="s">
        <v>130</v>
      </c>
      <c r="D17" s="113" t="s">
        <v>143</v>
      </c>
    </row>
    <row r="18" spans="1:4">
      <c r="A18" s="113" t="s">
        <v>124</v>
      </c>
      <c r="B18" s="113" t="s">
        <v>125</v>
      </c>
      <c r="C18" s="113" t="s">
        <v>130</v>
      </c>
      <c r="D18" s="113" t="s">
        <v>144</v>
      </c>
    </row>
    <row r="19" spans="1:4">
      <c r="A19" s="113" t="s">
        <v>124</v>
      </c>
      <c r="B19" s="113" t="s">
        <v>125</v>
      </c>
      <c r="C19" s="113" t="s">
        <v>130</v>
      </c>
      <c r="D19" s="113" t="s">
        <v>145</v>
      </c>
    </row>
    <row r="20" spans="1:4">
      <c r="A20" s="113" t="s">
        <v>124</v>
      </c>
      <c r="B20" s="113" t="s">
        <v>125</v>
      </c>
      <c r="C20" s="113" t="s">
        <v>130</v>
      </c>
      <c r="D20" s="113" t="s">
        <v>146</v>
      </c>
    </row>
    <row r="21" spans="1:4">
      <c r="A21" s="113" t="s">
        <v>124</v>
      </c>
      <c r="B21" s="113" t="s">
        <v>125</v>
      </c>
      <c r="C21" s="113" t="s">
        <v>130</v>
      </c>
      <c r="D21" s="113" t="s">
        <v>147</v>
      </c>
    </row>
    <row r="22" spans="1:4">
      <c r="A22" s="113" t="s">
        <v>124</v>
      </c>
      <c r="B22" s="113" t="s">
        <v>125</v>
      </c>
      <c r="C22" s="113" t="s">
        <v>130</v>
      </c>
      <c r="D22" s="113" t="s">
        <v>148</v>
      </c>
    </row>
    <row r="23" spans="1:4">
      <c r="A23" s="113" t="s">
        <v>124</v>
      </c>
      <c r="B23" s="113" t="s">
        <v>125</v>
      </c>
      <c r="C23" s="113" t="s">
        <v>149</v>
      </c>
      <c r="D23" s="113" t="s">
        <v>150</v>
      </c>
    </row>
    <row r="24" spans="1:4">
      <c r="A24" s="113" t="s">
        <v>151</v>
      </c>
      <c r="B24" s="113" t="s">
        <v>152</v>
      </c>
      <c r="C24" s="113" t="s">
        <v>128</v>
      </c>
      <c r="D24" s="113" t="s">
        <v>153</v>
      </c>
    </row>
    <row r="25" spans="1:4">
      <c r="A25" s="113" t="s">
        <v>151</v>
      </c>
      <c r="B25" s="113" t="s">
        <v>152</v>
      </c>
      <c r="C25" s="113" t="s">
        <v>128</v>
      </c>
      <c r="D25" s="113" t="s">
        <v>154</v>
      </c>
    </row>
    <row r="26" spans="1:4">
      <c r="A26" s="113" t="s">
        <v>151</v>
      </c>
      <c r="B26" s="113" t="s">
        <v>152</v>
      </c>
      <c r="C26" s="113" t="s">
        <v>128</v>
      </c>
      <c r="D26" s="113" t="s">
        <v>155</v>
      </c>
    </row>
    <row r="27" spans="1:4">
      <c r="A27" s="113" t="s">
        <v>151</v>
      </c>
      <c r="B27" s="113" t="s">
        <v>152</v>
      </c>
      <c r="C27" s="113" t="s">
        <v>128</v>
      </c>
      <c r="D27" s="113" t="s">
        <v>156</v>
      </c>
    </row>
    <row r="28" spans="1:4">
      <c r="A28" s="113" t="s">
        <v>151</v>
      </c>
      <c r="B28" s="113" t="s">
        <v>152</v>
      </c>
      <c r="C28" s="113" t="s">
        <v>128</v>
      </c>
      <c r="D28" s="113" t="s">
        <v>157</v>
      </c>
    </row>
    <row r="29" spans="1:4">
      <c r="A29" s="113" t="s">
        <v>151</v>
      </c>
      <c r="B29" s="113" t="s">
        <v>152</v>
      </c>
      <c r="C29" s="113" t="s">
        <v>128</v>
      </c>
      <c r="D29" s="113" t="s">
        <v>158</v>
      </c>
    </row>
    <row r="30" spans="1:4">
      <c r="A30" s="113" t="s">
        <v>151</v>
      </c>
      <c r="B30" s="113" t="s">
        <v>152</v>
      </c>
      <c r="C30" s="113" t="s">
        <v>130</v>
      </c>
      <c r="D30" s="113" t="s">
        <v>159</v>
      </c>
    </row>
    <row r="31" spans="1:4">
      <c r="A31" s="113" t="s">
        <v>151</v>
      </c>
      <c r="B31" s="113" t="s">
        <v>152</v>
      </c>
      <c r="C31" s="113" t="s">
        <v>130</v>
      </c>
      <c r="D31" s="113" t="s">
        <v>160</v>
      </c>
    </row>
    <row r="32" spans="1:4">
      <c r="A32" s="113" t="s">
        <v>151</v>
      </c>
      <c r="B32" s="113" t="s">
        <v>152</v>
      </c>
      <c r="C32" s="113" t="s">
        <v>130</v>
      </c>
      <c r="D32" s="113" t="s">
        <v>161</v>
      </c>
    </row>
    <row r="33" spans="1:4">
      <c r="A33" s="113" t="s">
        <v>151</v>
      </c>
      <c r="B33" s="113" t="s">
        <v>152</v>
      </c>
      <c r="C33" s="113" t="s">
        <v>130</v>
      </c>
      <c r="D33" s="113" t="s">
        <v>162</v>
      </c>
    </row>
    <row r="34" spans="1:4">
      <c r="A34" s="113" t="s">
        <v>151</v>
      </c>
      <c r="B34" s="113" t="s">
        <v>152</v>
      </c>
      <c r="C34" s="113" t="s">
        <v>130</v>
      </c>
      <c r="D34" s="113" t="s">
        <v>163</v>
      </c>
    </row>
    <row r="35" spans="1:4">
      <c r="A35" s="113" t="s">
        <v>151</v>
      </c>
      <c r="B35" s="113" t="s">
        <v>152</v>
      </c>
      <c r="C35" s="113" t="s">
        <v>130</v>
      </c>
      <c r="D35" s="113" t="s">
        <v>164</v>
      </c>
    </row>
    <row r="36" spans="1:4">
      <c r="A36" s="113" t="s">
        <v>151</v>
      </c>
      <c r="B36" s="113" t="s">
        <v>152</v>
      </c>
      <c r="C36" s="113" t="s">
        <v>130</v>
      </c>
      <c r="D36" s="113" t="s">
        <v>165</v>
      </c>
    </row>
    <row r="37" spans="1:4">
      <c r="A37" s="113" t="s">
        <v>151</v>
      </c>
      <c r="B37" s="113" t="s">
        <v>152</v>
      </c>
      <c r="C37" s="113" t="s">
        <v>130</v>
      </c>
      <c r="D37" s="113" t="s">
        <v>166</v>
      </c>
    </row>
    <row r="38" spans="1:4">
      <c r="A38" s="113" t="s">
        <v>151</v>
      </c>
      <c r="B38" s="113" t="s">
        <v>152</v>
      </c>
      <c r="C38" s="113" t="s">
        <v>130</v>
      </c>
      <c r="D38" s="113" t="s">
        <v>167</v>
      </c>
    </row>
    <row r="39" spans="1:4">
      <c r="A39" s="113" t="s">
        <v>151</v>
      </c>
      <c r="B39" s="113" t="s">
        <v>152</v>
      </c>
      <c r="C39" s="113" t="s">
        <v>130</v>
      </c>
      <c r="D39" s="113" t="s">
        <v>168</v>
      </c>
    </row>
    <row r="40" spans="1:4">
      <c r="A40" s="113" t="s">
        <v>151</v>
      </c>
      <c r="B40" s="113" t="s">
        <v>152</v>
      </c>
      <c r="C40" s="113" t="s">
        <v>130</v>
      </c>
      <c r="D40" s="113" t="s">
        <v>169</v>
      </c>
    </row>
    <row r="41" spans="1:4">
      <c r="A41" s="113" t="s">
        <v>151</v>
      </c>
      <c r="B41" s="113" t="s">
        <v>152</v>
      </c>
      <c r="C41" s="113" t="s">
        <v>130</v>
      </c>
      <c r="D41" s="113" t="s">
        <v>170</v>
      </c>
    </row>
    <row r="42" spans="1:4">
      <c r="A42" s="113" t="s">
        <v>151</v>
      </c>
      <c r="B42" s="113" t="s">
        <v>152</v>
      </c>
      <c r="C42" s="113" t="s">
        <v>130</v>
      </c>
      <c r="D42" s="113" t="s">
        <v>171</v>
      </c>
    </row>
    <row r="43" spans="1:4">
      <c r="A43" s="113" t="s">
        <v>151</v>
      </c>
      <c r="B43" s="113" t="s">
        <v>152</v>
      </c>
      <c r="C43" s="113" t="s">
        <v>130</v>
      </c>
      <c r="D43" s="113" t="s">
        <v>172</v>
      </c>
    </row>
    <row r="44" spans="1:4">
      <c r="A44" s="113" t="s">
        <v>151</v>
      </c>
      <c r="B44" s="113" t="s">
        <v>152</v>
      </c>
      <c r="C44" s="113" t="s">
        <v>130</v>
      </c>
      <c r="D44" s="113" t="s">
        <v>173</v>
      </c>
    </row>
    <row r="45" spans="1:4">
      <c r="A45" s="113" t="s">
        <v>151</v>
      </c>
      <c r="B45" s="113" t="s">
        <v>152</v>
      </c>
      <c r="C45" s="113" t="s">
        <v>130</v>
      </c>
      <c r="D45" s="113" t="s">
        <v>174</v>
      </c>
    </row>
    <row r="46" spans="1:4">
      <c r="A46" s="113" t="s">
        <v>151</v>
      </c>
      <c r="B46" s="113" t="s">
        <v>152</v>
      </c>
      <c r="C46" s="113" t="s">
        <v>130</v>
      </c>
      <c r="D46" s="113" t="s">
        <v>175</v>
      </c>
    </row>
    <row r="47" spans="1:4">
      <c r="A47" s="113" t="s">
        <v>151</v>
      </c>
      <c r="B47" s="113" t="s">
        <v>152</v>
      </c>
      <c r="C47" s="113" t="s">
        <v>130</v>
      </c>
      <c r="D47" s="113" t="s">
        <v>176</v>
      </c>
    </row>
    <row r="48" spans="1:4">
      <c r="A48" s="113" t="s">
        <v>151</v>
      </c>
      <c r="B48" s="113" t="s">
        <v>152</v>
      </c>
      <c r="C48" s="113" t="s">
        <v>130</v>
      </c>
      <c r="D48" s="113" t="s">
        <v>177</v>
      </c>
    </row>
    <row r="49" spans="1:4">
      <c r="A49" s="113" t="s">
        <v>151</v>
      </c>
      <c r="B49" s="113" t="s">
        <v>152</v>
      </c>
      <c r="C49" s="113" t="s">
        <v>130</v>
      </c>
      <c r="D49" s="113" t="s">
        <v>178</v>
      </c>
    </row>
    <row r="50" spans="1:4">
      <c r="A50" s="113" t="s">
        <v>151</v>
      </c>
      <c r="B50" s="113" t="s">
        <v>152</v>
      </c>
      <c r="C50" s="113" t="s">
        <v>130</v>
      </c>
      <c r="D50" s="113" t="s">
        <v>179</v>
      </c>
    </row>
    <row r="51" spans="1:4">
      <c r="A51" s="113" t="s">
        <v>151</v>
      </c>
      <c r="B51" s="113" t="s">
        <v>152</v>
      </c>
      <c r="C51" s="113" t="s">
        <v>130</v>
      </c>
      <c r="D51" s="113" t="s">
        <v>180</v>
      </c>
    </row>
    <row r="52" spans="1:4">
      <c r="A52" s="113" t="s">
        <v>151</v>
      </c>
      <c r="B52" s="113" t="s">
        <v>181</v>
      </c>
      <c r="C52" s="113" t="s">
        <v>128</v>
      </c>
      <c r="D52" s="113" t="s">
        <v>182</v>
      </c>
    </row>
    <row r="53" spans="1:4">
      <c r="A53" s="113" t="s">
        <v>183</v>
      </c>
      <c r="B53" s="113" t="s">
        <v>184</v>
      </c>
      <c r="C53" s="113" t="s">
        <v>128</v>
      </c>
      <c r="D53" s="113" t="s">
        <v>156</v>
      </c>
    </row>
    <row r="54" spans="1:4">
      <c r="A54" s="113" t="s">
        <v>183</v>
      </c>
      <c r="B54" s="113" t="s">
        <v>184</v>
      </c>
      <c r="C54" s="113" t="s">
        <v>130</v>
      </c>
      <c r="D54" s="113" t="s">
        <v>185</v>
      </c>
    </row>
    <row r="55" spans="1:4">
      <c r="A55" s="113" t="s">
        <v>183</v>
      </c>
      <c r="B55" s="113" t="s">
        <v>184</v>
      </c>
      <c r="C55" s="113" t="s">
        <v>130</v>
      </c>
      <c r="D55" s="113" t="s">
        <v>186</v>
      </c>
    </row>
    <row r="56" spans="1:4">
      <c r="A56" s="113" t="s">
        <v>183</v>
      </c>
      <c r="B56" s="113" t="s">
        <v>187</v>
      </c>
      <c r="C56" s="113" t="s">
        <v>128</v>
      </c>
      <c r="D56" s="113" t="s">
        <v>188</v>
      </c>
    </row>
    <row r="57" spans="1:4">
      <c r="A57" s="113" t="s">
        <v>183</v>
      </c>
      <c r="B57" s="113" t="s">
        <v>187</v>
      </c>
      <c r="C57" s="113" t="s">
        <v>128</v>
      </c>
      <c r="D57" s="113" t="s">
        <v>189</v>
      </c>
    </row>
    <row r="58" spans="1:4">
      <c r="A58" s="113" t="s">
        <v>183</v>
      </c>
      <c r="B58" s="113" t="s">
        <v>187</v>
      </c>
      <c r="C58" s="113" t="s">
        <v>128</v>
      </c>
      <c r="D58" s="113" t="s">
        <v>190</v>
      </c>
    </row>
    <row r="59" spans="1:4">
      <c r="A59" s="113" t="s">
        <v>183</v>
      </c>
      <c r="B59" s="113" t="s">
        <v>187</v>
      </c>
      <c r="C59" s="113" t="s">
        <v>128</v>
      </c>
      <c r="D59" s="113" t="s">
        <v>191</v>
      </c>
    </row>
    <row r="60" spans="1:4">
      <c r="A60" s="113" t="s">
        <v>183</v>
      </c>
      <c r="B60" s="113" t="s">
        <v>187</v>
      </c>
      <c r="C60" s="113" t="s">
        <v>128</v>
      </c>
      <c r="D60" s="113" t="s">
        <v>156</v>
      </c>
    </row>
    <row r="61" spans="1:4">
      <c r="A61" s="113" t="s">
        <v>183</v>
      </c>
      <c r="B61" s="113" t="s">
        <v>187</v>
      </c>
      <c r="C61" s="113" t="s">
        <v>130</v>
      </c>
      <c r="D61" s="113" t="s">
        <v>192</v>
      </c>
    </row>
    <row r="62" spans="1:4">
      <c r="A62" s="113" t="s">
        <v>183</v>
      </c>
      <c r="B62" s="113" t="s">
        <v>187</v>
      </c>
      <c r="C62" s="113" t="s">
        <v>130</v>
      </c>
      <c r="D62" s="113" t="s">
        <v>193</v>
      </c>
    </row>
    <row r="63" spans="1:4">
      <c r="A63" s="113" t="s">
        <v>183</v>
      </c>
      <c r="B63" s="113" t="s">
        <v>187</v>
      </c>
      <c r="C63" s="113" t="s">
        <v>130</v>
      </c>
      <c r="D63" s="113" t="s">
        <v>194</v>
      </c>
    </row>
    <row r="64" spans="1:4">
      <c r="A64" s="113" t="s">
        <v>183</v>
      </c>
      <c r="B64" s="113" t="s">
        <v>187</v>
      </c>
      <c r="C64" s="113" t="s">
        <v>130</v>
      </c>
      <c r="D64" s="113" t="s">
        <v>195</v>
      </c>
    </row>
    <row r="65" spans="1:4">
      <c r="A65" s="113" t="s">
        <v>183</v>
      </c>
      <c r="B65" s="113" t="s">
        <v>187</v>
      </c>
      <c r="C65" s="113" t="s">
        <v>130</v>
      </c>
      <c r="D65" s="113" t="s">
        <v>196</v>
      </c>
    </row>
    <row r="66" spans="1:4">
      <c r="A66" s="113" t="s">
        <v>183</v>
      </c>
      <c r="B66" s="113" t="s">
        <v>187</v>
      </c>
      <c r="C66" s="113" t="s">
        <v>130</v>
      </c>
      <c r="D66" s="113" t="s">
        <v>197</v>
      </c>
    </row>
    <row r="67" spans="1:4">
      <c r="A67" s="113" t="s">
        <v>183</v>
      </c>
      <c r="B67" s="113" t="s">
        <v>187</v>
      </c>
      <c r="C67" s="113" t="s">
        <v>130</v>
      </c>
      <c r="D67" s="113" t="s">
        <v>198</v>
      </c>
    </row>
    <row r="68" spans="1:4">
      <c r="A68" s="113" t="s">
        <v>183</v>
      </c>
      <c r="B68" s="113" t="s">
        <v>187</v>
      </c>
      <c r="C68" s="113" t="s">
        <v>130</v>
      </c>
      <c r="D68" s="113" t="s">
        <v>199</v>
      </c>
    </row>
    <row r="69" spans="1:4">
      <c r="A69" s="113" t="s">
        <v>183</v>
      </c>
      <c r="B69" s="113" t="s">
        <v>187</v>
      </c>
      <c r="C69" s="113" t="s">
        <v>130</v>
      </c>
      <c r="D69" s="113" t="s">
        <v>200</v>
      </c>
    </row>
    <row r="70" spans="1:4">
      <c r="A70" s="113" t="s">
        <v>183</v>
      </c>
      <c r="B70" s="113" t="s">
        <v>187</v>
      </c>
      <c r="C70" s="113" t="s">
        <v>130</v>
      </c>
      <c r="D70" s="113" t="s">
        <v>201</v>
      </c>
    </row>
    <row r="71" spans="1:4">
      <c r="A71" s="113" t="s">
        <v>183</v>
      </c>
      <c r="B71" s="113" t="s">
        <v>187</v>
      </c>
      <c r="C71" s="113" t="s">
        <v>130</v>
      </c>
      <c r="D71" s="113" t="s">
        <v>202</v>
      </c>
    </row>
    <row r="72" spans="1:4">
      <c r="A72" s="113" t="s">
        <v>183</v>
      </c>
      <c r="B72" s="113" t="s">
        <v>187</v>
      </c>
      <c r="C72" s="113" t="s">
        <v>130</v>
      </c>
      <c r="D72" s="113" t="s">
        <v>203</v>
      </c>
    </row>
    <row r="73" spans="1:4">
      <c r="A73" s="113" t="s">
        <v>183</v>
      </c>
      <c r="B73" s="113" t="s">
        <v>187</v>
      </c>
      <c r="C73" s="113" t="s">
        <v>130</v>
      </c>
      <c r="D73" s="113" t="s">
        <v>204</v>
      </c>
    </row>
    <row r="74" spans="1:4">
      <c r="A74" s="113" t="s">
        <v>183</v>
      </c>
      <c r="B74" s="113" t="s">
        <v>187</v>
      </c>
      <c r="C74" s="113" t="s">
        <v>130</v>
      </c>
      <c r="D74" s="113" t="s">
        <v>205</v>
      </c>
    </row>
    <row r="75" spans="1:4">
      <c r="A75" s="113" t="s">
        <v>183</v>
      </c>
      <c r="B75" s="113" t="s">
        <v>187</v>
      </c>
      <c r="C75" s="113" t="s">
        <v>130</v>
      </c>
      <c r="D75" s="113" t="s">
        <v>206</v>
      </c>
    </row>
    <row r="76" spans="1:4">
      <c r="A76" s="113" t="s">
        <v>183</v>
      </c>
      <c r="B76" s="113" t="s">
        <v>187</v>
      </c>
      <c r="C76" s="113" t="s">
        <v>130</v>
      </c>
      <c r="D76" s="113" t="s">
        <v>207</v>
      </c>
    </row>
    <row r="77" spans="1:4">
      <c r="A77" s="113" t="s">
        <v>183</v>
      </c>
      <c r="B77" s="113" t="s">
        <v>208</v>
      </c>
      <c r="C77" s="113" t="s">
        <v>128</v>
      </c>
      <c r="D77" s="113" t="s">
        <v>209</v>
      </c>
    </row>
    <row r="78" spans="1:4">
      <c r="A78" s="113" t="s">
        <v>183</v>
      </c>
      <c r="B78" s="113" t="s">
        <v>208</v>
      </c>
      <c r="C78" s="113" t="s">
        <v>128</v>
      </c>
      <c r="D78" s="113" t="s">
        <v>210</v>
      </c>
    </row>
    <row r="79" spans="1:4">
      <c r="A79" s="113" t="s">
        <v>183</v>
      </c>
      <c r="B79" s="113" t="s">
        <v>208</v>
      </c>
      <c r="C79" s="113" t="s">
        <v>130</v>
      </c>
      <c r="D79" s="113" t="s">
        <v>211</v>
      </c>
    </row>
    <row r="80" spans="1:4">
      <c r="A80" s="113" t="s">
        <v>183</v>
      </c>
      <c r="B80" s="113" t="s">
        <v>208</v>
      </c>
      <c r="C80" s="113" t="s">
        <v>130</v>
      </c>
      <c r="D80" s="113" t="s">
        <v>212</v>
      </c>
    </row>
    <row r="81" spans="1:4">
      <c r="A81" s="113" t="s">
        <v>183</v>
      </c>
      <c r="B81" s="113" t="s">
        <v>208</v>
      </c>
      <c r="C81" s="113" t="s">
        <v>130</v>
      </c>
      <c r="D81" s="113" t="s">
        <v>213</v>
      </c>
    </row>
    <row r="82" spans="1:4">
      <c r="A82" s="113" t="s">
        <v>183</v>
      </c>
      <c r="B82" s="113" t="s">
        <v>208</v>
      </c>
      <c r="C82" s="113" t="s">
        <v>130</v>
      </c>
      <c r="D82" s="113" t="s">
        <v>214</v>
      </c>
    </row>
    <row r="83" spans="1:4">
      <c r="A83" s="113" t="s">
        <v>183</v>
      </c>
      <c r="B83" s="113" t="s">
        <v>208</v>
      </c>
      <c r="C83" s="113" t="s">
        <v>130</v>
      </c>
      <c r="D83" s="113" t="s">
        <v>215</v>
      </c>
    </row>
    <row r="84" spans="1:4">
      <c r="A84" s="113" t="s">
        <v>183</v>
      </c>
      <c r="B84" s="113" t="s">
        <v>208</v>
      </c>
      <c r="C84" s="113" t="s">
        <v>130</v>
      </c>
      <c r="D84" s="113" t="s">
        <v>216</v>
      </c>
    </row>
    <row r="85" spans="1:4">
      <c r="A85" s="113" t="s">
        <v>183</v>
      </c>
      <c r="B85" s="113" t="s">
        <v>208</v>
      </c>
      <c r="C85" s="113" t="s">
        <v>130</v>
      </c>
      <c r="D85" s="113" t="s">
        <v>217</v>
      </c>
    </row>
    <row r="86" spans="1:4">
      <c r="A86" s="113" t="s">
        <v>183</v>
      </c>
      <c r="B86" s="113" t="s">
        <v>208</v>
      </c>
      <c r="C86" s="113" t="s">
        <v>130</v>
      </c>
      <c r="D86" s="113" t="s">
        <v>218</v>
      </c>
    </row>
    <row r="87" spans="1:4">
      <c r="A87" s="113" t="s">
        <v>183</v>
      </c>
      <c r="B87" s="113" t="s">
        <v>219</v>
      </c>
      <c r="C87" s="113" t="s">
        <v>128</v>
      </c>
      <c r="D87" s="113" t="s">
        <v>220</v>
      </c>
    </row>
    <row r="88" spans="1:4">
      <c r="A88" s="113" t="s">
        <v>183</v>
      </c>
      <c r="B88" s="113" t="s">
        <v>219</v>
      </c>
      <c r="C88" s="113" t="s">
        <v>130</v>
      </c>
      <c r="D88" s="113" t="s">
        <v>185</v>
      </c>
    </row>
    <row r="89" spans="1:4">
      <c r="A89" s="113" t="s">
        <v>183</v>
      </c>
      <c r="B89" s="113" t="s">
        <v>219</v>
      </c>
      <c r="C89" s="113" t="s">
        <v>130</v>
      </c>
      <c r="D89" s="113" t="s">
        <v>186</v>
      </c>
    </row>
    <row r="90" spans="1:4">
      <c r="A90" s="113" t="s">
        <v>183</v>
      </c>
      <c r="B90" s="113" t="s">
        <v>221</v>
      </c>
      <c r="C90" s="113" t="s">
        <v>128</v>
      </c>
      <c r="D90" s="113" t="s">
        <v>156</v>
      </c>
    </row>
    <row r="91" spans="1:4">
      <c r="A91" s="113" t="s">
        <v>183</v>
      </c>
      <c r="B91" s="113" t="s">
        <v>221</v>
      </c>
      <c r="C91" s="113" t="s">
        <v>130</v>
      </c>
      <c r="D91" s="113" t="s">
        <v>222</v>
      </c>
    </row>
    <row r="92" spans="1:4">
      <c r="A92" s="113" t="s">
        <v>183</v>
      </c>
      <c r="B92" s="113" t="s">
        <v>221</v>
      </c>
      <c r="C92" s="113" t="s">
        <v>130</v>
      </c>
      <c r="D92" s="113" t="s">
        <v>223</v>
      </c>
    </row>
    <row r="93" spans="1:4">
      <c r="A93" s="113" t="s">
        <v>183</v>
      </c>
      <c r="B93" s="113" t="s">
        <v>224</v>
      </c>
      <c r="C93" s="113" t="s">
        <v>128</v>
      </c>
      <c r="D93" s="113" t="s">
        <v>225</v>
      </c>
    </row>
    <row r="94" spans="1:4">
      <c r="A94" s="113" t="s">
        <v>183</v>
      </c>
      <c r="B94" s="113" t="s">
        <v>224</v>
      </c>
      <c r="C94" s="113" t="s">
        <v>128</v>
      </c>
      <c r="D94" s="113" t="s">
        <v>226</v>
      </c>
    </row>
    <row r="95" spans="1:4">
      <c r="A95" s="113" t="s">
        <v>183</v>
      </c>
      <c r="B95" s="113" t="s">
        <v>224</v>
      </c>
      <c r="C95" s="113" t="s">
        <v>128</v>
      </c>
      <c r="D95" s="113" t="s">
        <v>227</v>
      </c>
    </row>
    <row r="96" spans="1:4">
      <c r="A96" s="113" t="s">
        <v>183</v>
      </c>
      <c r="B96" s="113" t="s">
        <v>224</v>
      </c>
      <c r="C96" s="113" t="s">
        <v>128</v>
      </c>
      <c r="D96" s="113" t="s">
        <v>156</v>
      </c>
    </row>
    <row r="97" spans="1:4">
      <c r="A97" s="113" t="s">
        <v>183</v>
      </c>
      <c r="B97" s="113" t="s">
        <v>224</v>
      </c>
      <c r="C97" s="113" t="s">
        <v>130</v>
      </c>
      <c r="D97" s="113" t="s">
        <v>228</v>
      </c>
    </row>
    <row r="98" spans="1:4">
      <c r="A98" s="113" t="s">
        <v>183</v>
      </c>
      <c r="B98" s="113" t="s">
        <v>224</v>
      </c>
      <c r="C98" s="113" t="s">
        <v>130</v>
      </c>
      <c r="D98" s="113" t="s">
        <v>229</v>
      </c>
    </row>
    <row r="99" spans="1:4">
      <c r="A99" s="113" t="s">
        <v>183</v>
      </c>
      <c r="B99" s="113" t="s">
        <v>224</v>
      </c>
      <c r="C99" s="113" t="s">
        <v>130</v>
      </c>
      <c r="D99" s="113" t="s">
        <v>230</v>
      </c>
    </row>
    <row r="100" spans="1:4">
      <c r="A100" s="113" t="s">
        <v>183</v>
      </c>
      <c r="B100" s="113" t="s">
        <v>224</v>
      </c>
      <c r="C100" s="113" t="s">
        <v>130</v>
      </c>
      <c r="D100" s="113" t="s">
        <v>231</v>
      </c>
    </row>
    <row r="101" spans="1:4">
      <c r="A101" s="113" t="s">
        <v>183</v>
      </c>
      <c r="B101" s="113" t="s">
        <v>232</v>
      </c>
      <c r="C101" s="113" t="s">
        <v>128</v>
      </c>
      <c r="D101" s="113" t="s">
        <v>188</v>
      </c>
    </row>
    <row r="102" spans="1:4">
      <c r="A102" s="113" t="s">
        <v>183</v>
      </c>
      <c r="B102" s="113" t="s">
        <v>232</v>
      </c>
      <c r="C102" s="113" t="s">
        <v>128</v>
      </c>
      <c r="D102" s="113" t="s">
        <v>189</v>
      </c>
    </row>
    <row r="103" spans="1:4">
      <c r="A103" s="113" t="s">
        <v>183</v>
      </c>
      <c r="B103" s="113" t="s">
        <v>232</v>
      </c>
      <c r="C103" s="113" t="s">
        <v>128</v>
      </c>
      <c r="D103" s="113" t="s">
        <v>190</v>
      </c>
    </row>
    <row r="104" spans="1:4">
      <c r="A104" s="113" t="s">
        <v>183</v>
      </c>
      <c r="B104" s="113" t="s">
        <v>232</v>
      </c>
      <c r="C104" s="113" t="s">
        <v>128</v>
      </c>
      <c r="D104" s="113" t="s">
        <v>191</v>
      </c>
    </row>
    <row r="105" spans="1:4">
      <c r="A105" s="113" t="s">
        <v>183</v>
      </c>
      <c r="B105" s="113" t="s">
        <v>232</v>
      </c>
      <c r="C105" s="113" t="s">
        <v>128</v>
      </c>
      <c r="D105" s="113" t="s">
        <v>156</v>
      </c>
    </row>
    <row r="106" spans="1:4">
      <c r="A106" s="113" t="s">
        <v>183</v>
      </c>
      <c r="B106" s="113" t="s">
        <v>232</v>
      </c>
      <c r="C106" s="113" t="s">
        <v>130</v>
      </c>
      <c r="D106" s="113" t="s">
        <v>194</v>
      </c>
    </row>
    <row r="107" spans="1:4">
      <c r="A107" s="113" t="s">
        <v>183</v>
      </c>
      <c r="B107" s="113" t="s">
        <v>232</v>
      </c>
      <c r="C107" s="113" t="s">
        <v>130</v>
      </c>
      <c r="D107" s="113" t="s">
        <v>195</v>
      </c>
    </row>
    <row r="108" spans="1:4">
      <c r="A108" s="113" t="s">
        <v>183</v>
      </c>
      <c r="B108" s="113" t="s">
        <v>232</v>
      </c>
      <c r="C108" s="113" t="s">
        <v>130</v>
      </c>
      <c r="D108" s="113" t="s">
        <v>196</v>
      </c>
    </row>
    <row r="109" spans="1:4">
      <c r="A109" s="113" t="s">
        <v>183</v>
      </c>
      <c r="B109" s="113" t="s">
        <v>232</v>
      </c>
      <c r="C109" s="113" t="s">
        <v>130</v>
      </c>
      <c r="D109" s="113" t="s">
        <v>197</v>
      </c>
    </row>
    <row r="110" spans="1:4">
      <c r="A110" s="113" t="s">
        <v>183</v>
      </c>
      <c r="B110" s="113" t="s">
        <v>232</v>
      </c>
      <c r="C110" s="113" t="s">
        <v>130</v>
      </c>
      <c r="D110" s="113" t="s">
        <v>233</v>
      </c>
    </row>
    <row r="111" spans="1:4">
      <c r="A111" s="113" t="s">
        <v>183</v>
      </c>
      <c r="B111" s="113" t="s">
        <v>232</v>
      </c>
      <c r="C111" s="113" t="s">
        <v>130</v>
      </c>
      <c r="D111" s="113" t="s">
        <v>234</v>
      </c>
    </row>
    <row r="112" spans="1:4">
      <c r="A112" s="113" t="s">
        <v>183</v>
      </c>
      <c r="B112" s="113" t="s">
        <v>232</v>
      </c>
      <c r="C112" s="113" t="s">
        <v>130</v>
      </c>
      <c r="D112" s="113" t="s">
        <v>235</v>
      </c>
    </row>
    <row r="113" spans="1:4">
      <c r="A113" s="113" t="s">
        <v>183</v>
      </c>
      <c r="B113" s="113" t="s">
        <v>232</v>
      </c>
      <c r="C113" s="113" t="s">
        <v>130</v>
      </c>
      <c r="D113" s="113" t="s">
        <v>236</v>
      </c>
    </row>
    <row r="114" spans="1:4">
      <c r="A114" s="113" t="s">
        <v>183</v>
      </c>
      <c r="B114" s="113" t="s">
        <v>232</v>
      </c>
      <c r="C114" s="113" t="s">
        <v>130</v>
      </c>
      <c r="D114" s="113" t="s">
        <v>237</v>
      </c>
    </row>
    <row r="115" spans="1:4">
      <c r="A115" s="113" t="s">
        <v>183</v>
      </c>
      <c r="B115" s="113" t="s">
        <v>232</v>
      </c>
      <c r="C115" s="113" t="s">
        <v>130</v>
      </c>
      <c r="D115" s="113" t="s">
        <v>238</v>
      </c>
    </row>
    <row r="116" spans="1:4">
      <c r="A116" s="113" t="s">
        <v>183</v>
      </c>
      <c r="B116" s="113" t="s">
        <v>232</v>
      </c>
      <c r="C116" s="113" t="s">
        <v>130</v>
      </c>
      <c r="D116" s="113" t="s">
        <v>239</v>
      </c>
    </row>
    <row r="117" spans="1:4">
      <c r="A117" s="113" t="s">
        <v>183</v>
      </c>
      <c r="B117" s="113" t="s">
        <v>232</v>
      </c>
      <c r="C117" s="113" t="s">
        <v>130</v>
      </c>
      <c r="D117" s="113" t="s">
        <v>240</v>
      </c>
    </row>
    <row r="118" spans="1:4">
      <c r="A118" s="113" t="s">
        <v>183</v>
      </c>
      <c r="B118" s="113" t="s">
        <v>232</v>
      </c>
      <c r="C118" s="113" t="s">
        <v>130</v>
      </c>
      <c r="D118" s="113" t="s">
        <v>241</v>
      </c>
    </row>
    <row r="119" spans="1:4">
      <c r="A119" s="113" t="s">
        <v>183</v>
      </c>
      <c r="B119" s="113" t="s">
        <v>232</v>
      </c>
      <c r="C119" s="113" t="s">
        <v>130</v>
      </c>
      <c r="D119" s="113" t="s">
        <v>242</v>
      </c>
    </row>
    <row r="120" spans="1:4">
      <c r="A120" s="113" t="s">
        <v>183</v>
      </c>
      <c r="B120" s="113" t="s">
        <v>243</v>
      </c>
      <c r="C120" s="113" t="s">
        <v>128</v>
      </c>
      <c r="D120" s="113" t="s">
        <v>244</v>
      </c>
    </row>
    <row r="121" spans="1:4">
      <c r="A121" s="113" t="s">
        <v>183</v>
      </c>
      <c r="B121" s="113" t="s">
        <v>243</v>
      </c>
      <c r="C121" s="113" t="s">
        <v>128</v>
      </c>
      <c r="D121" s="113" t="s">
        <v>245</v>
      </c>
    </row>
    <row r="122" spans="1:4">
      <c r="A122" s="113" t="s">
        <v>183</v>
      </c>
      <c r="B122" s="113" t="s">
        <v>243</v>
      </c>
      <c r="C122" s="113" t="s">
        <v>128</v>
      </c>
      <c r="D122" s="113" t="s">
        <v>246</v>
      </c>
    </row>
    <row r="123" spans="1:4">
      <c r="A123" s="113" t="s">
        <v>183</v>
      </c>
      <c r="B123" s="113" t="s">
        <v>243</v>
      </c>
      <c r="C123" s="113" t="s">
        <v>128</v>
      </c>
      <c r="D123" s="113" t="s">
        <v>156</v>
      </c>
    </row>
    <row r="124" spans="1:4">
      <c r="A124" s="113" t="s">
        <v>183</v>
      </c>
      <c r="B124" s="113" t="s">
        <v>243</v>
      </c>
      <c r="C124" s="113" t="s">
        <v>130</v>
      </c>
      <c r="D124" s="113" t="s">
        <v>247</v>
      </c>
    </row>
    <row r="125" spans="1:4">
      <c r="A125" s="113" t="s">
        <v>183</v>
      </c>
      <c r="B125" s="113" t="s">
        <v>243</v>
      </c>
      <c r="C125" s="113" t="s">
        <v>130</v>
      </c>
      <c r="D125" s="113" t="s">
        <v>248</v>
      </c>
    </row>
    <row r="126" spans="1:4">
      <c r="A126" s="113" t="s">
        <v>183</v>
      </c>
      <c r="B126" s="113" t="s">
        <v>243</v>
      </c>
      <c r="C126" s="113" t="s">
        <v>130</v>
      </c>
      <c r="D126" s="113" t="s">
        <v>249</v>
      </c>
    </row>
    <row r="127" spans="1:4">
      <c r="A127" s="113" t="s">
        <v>183</v>
      </c>
      <c r="B127" s="113" t="s">
        <v>243</v>
      </c>
      <c r="C127" s="113" t="s">
        <v>130</v>
      </c>
      <c r="D127" s="113" t="s">
        <v>250</v>
      </c>
    </row>
    <row r="128" spans="1:4">
      <c r="A128" s="113" t="s">
        <v>183</v>
      </c>
      <c r="B128" s="113" t="s">
        <v>243</v>
      </c>
      <c r="C128" s="113" t="s">
        <v>130</v>
      </c>
      <c r="D128" s="113" t="s">
        <v>251</v>
      </c>
    </row>
    <row r="129" spans="1:4">
      <c r="A129" s="113" t="s">
        <v>183</v>
      </c>
      <c r="B129" s="113" t="s">
        <v>243</v>
      </c>
      <c r="C129" s="113" t="s">
        <v>130</v>
      </c>
      <c r="D129" s="113" t="s">
        <v>252</v>
      </c>
    </row>
    <row r="130" spans="1:4">
      <c r="A130" s="113" t="s">
        <v>183</v>
      </c>
      <c r="B130" s="113" t="s">
        <v>243</v>
      </c>
      <c r="C130" s="113" t="s">
        <v>130</v>
      </c>
      <c r="D130" s="113" t="s">
        <v>253</v>
      </c>
    </row>
    <row r="131" spans="1:4">
      <c r="A131" s="113" t="s">
        <v>183</v>
      </c>
      <c r="B131" s="113" t="s">
        <v>243</v>
      </c>
      <c r="C131" s="113" t="s">
        <v>130</v>
      </c>
      <c r="D131" s="113" t="s">
        <v>254</v>
      </c>
    </row>
    <row r="132" spans="1:4">
      <c r="A132" s="113" t="s">
        <v>183</v>
      </c>
      <c r="B132" s="113" t="s">
        <v>243</v>
      </c>
      <c r="C132" s="113" t="s">
        <v>130</v>
      </c>
      <c r="D132" s="113" t="s">
        <v>255</v>
      </c>
    </row>
    <row r="133" spans="1:4">
      <c r="A133" s="113" t="s">
        <v>183</v>
      </c>
      <c r="B133" s="113" t="s">
        <v>243</v>
      </c>
      <c r="C133" s="113" t="s">
        <v>130</v>
      </c>
      <c r="D133" s="113" t="s">
        <v>256</v>
      </c>
    </row>
    <row r="134" spans="1:4">
      <c r="A134" s="113" t="s">
        <v>183</v>
      </c>
      <c r="B134" s="113" t="s">
        <v>243</v>
      </c>
      <c r="C134" s="113" t="s">
        <v>130</v>
      </c>
      <c r="D134" s="113" t="s">
        <v>257</v>
      </c>
    </row>
    <row r="135" spans="1:4">
      <c r="A135" s="113" t="s">
        <v>183</v>
      </c>
      <c r="B135" s="113" t="s">
        <v>243</v>
      </c>
      <c r="C135" s="113" t="s">
        <v>130</v>
      </c>
      <c r="D135" s="113" t="s">
        <v>258</v>
      </c>
    </row>
    <row r="136" spans="1:4">
      <c r="A136" s="113" t="s">
        <v>183</v>
      </c>
      <c r="B136" s="113" t="s">
        <v>243</v>
      </c>
      <c r="C136" s="113" t="s">
        <v>130</v>
      </c>
      <c r="D136" s="113" t="s">
        <v>259</v>
      </c>
    </row>
    <row r="137" spans="1:4">
      <c r="A137" s="113" t="s">
        <v>183</v>
      </c>
      <c r="B137" s="113" t="s">
        <v>243</v>
      </c>
      <c r="C137" s="113" t="s">
        <v>130</v>
      </c>
      <c r="D137" s="113" t="s">
        <v>260</v>
      </c>
    </row>
    <row r="138" spans="1:4">
      <c r="A138" s="113" t="s">
        <v>183</v>
      </c>
      <c r="B138" s="113" t="s">
        <v>243</v>
      </c>
      <c r="C138" s="113" t="s">
        <v>130</v>
      </c>
      <c r="D138" s="113" t="s">
        <v>261</v>
      </c>
    </row>
    <row r="139" spans="1:4">
      <c r="A139" s="113" t="s">
        <v>183</v>
      </c>
      <c r="B139" s="113" t="s">
        <v>243</v>
      </c>
      <c r="C139" s="113" t="s">
        <v>130</v>
      </c>
      <c r="D139" s="113" t="s">
        <v>262</v>
      </c>
    </row>
    <row r="140" spans="1:4">
      <c r="A140" s="113" t="s">
        <v>183</v>
      </c>
      <c r="B140" s="113" t="s">
        <v>263</v>
      </c>
      <c r="C140" s="113" t="s">
        <v>128</v>
      </c>
      <c r="D140" s="113" t="s">
        <v>156</v>
      </c>
    </row>
    <row r="141" spans="1:4">
      <c r="A141" s="113" t="s">
        <v>183</v>
      </c>
      <c r="B141" s="113" t="s">
        <v>263</v>
      </c>
      <c r="C141" s="113" t="s">
        <v>130</v>
      </c>
      <c r="D141" s="113" t="s">
        <v>264</v>
      </c>
    </row>
    <row r="142" spans="1:4">
      <c r="A142" s="113" t="s">
        <v>183</v>
      </c>
      <c r="B142" s="113" t="s">
        <v>263</v>
      </c>
      <c r="C142" s="113" t="s">
        <v>130</v>
      </c>
      <c r="D142" s="113" t="s">
        <v>265</v>
      </c>
    </row>
    <row r="143" spans="1:4">
      <c r="A143" s="113" t="s">
        <v>183</v>
      </c>
      <c r="B143" s="113" t="s">
        <v>263</v>
      </c>
      <c r="C143" s="113" t="s">
        <v>130</v>
      </c>
      <c r="D143" s="113" t="s">
        <v>266</v>
      </c>
    </row>
    <row r="144" spans="1:4">
      <c r="A144" s="113" t="s">
        <v>183</v>
      </c>
      <c r="B144" s="113" t="s">
        <v>263</v>
      </c>
      <c r="C144" s="113" t="s">
        <v>130</v>
      </c>
      <c r="D144" s="113" t="s">
        <v>267</v>
      </c>
    </row>
    <row r="145" spans="1:4">
      <c r="A145" s="113" t="s">
        <v>183</v>
      </c>
      <c r="B145" s="113" t="s">
        <v>263</v>
      </c>
      <c r="C145" s="113" t="s">
        <v>130</v>
      </c>
      <c r="D145" s="113" t="s">
        <v>268</v>
      </c>
    </row>
    <row r="146" spans="1:4">
      <c r="A146" s="113" t="s">
        <v>183</v>
      </c>
      <c r="B146" s="113" t="s">
        <v>263</v>
      </c>
      <c r="C146" s="113" t="s">
        <v>130</v>
      </c>
      <c r="D146" s="113" t="s">
        <v>269</v>
      </c>
    </row>
    <row r="147" spans="1:4">
      <c r="A147" s="113" t="s">
        <v>183</v>
      </c>
      <c r="B147" s="113" t="s">
        <v>263</v>
      </c>
      <c r="C147" s="113" t="s">
        <v>130</v>
      </c>
      <c r="D147" s="113" t="s">
        <v>270</v>
      </c>
    </row>
    <row r="148" spans="1:4">
      <c r="A148" s="113" t="s">
        <v>183</v>
      </c>
      <c r="B148" s="113" t="s">
        <v>263</v>
      </c>
      <c r="C148" s="113" t="s">
        <v>130</v>
      </c>
      <c r="D148" s="113" t="s">
        <v>271</v>
      </c>
    </row>
    <row r="149" spans="1:4">
      <c r="A149" s="113" t="s">
        <v>183</v>
      </c>
      <c r="B149" s="113" t="s">
        <v>272</v>
      </c>
      <c r="C149" s="113" t="s">
        <v>128</v>
      </c>
      <c r="D149" s="113" t="s">
        <v>156</v>
      </c>
    </row>
    <row r="150" spans="1:4">
      <c r="A150" s="113" t="s">
        <v>183</v>
      </c>
      <c r="B150" s="113" t="s">
        <v>272</v>
      </c>
      <c r="C150" s="113" t="s">
        <v>130</v>
      </c>
      <c r="D150" s="113" t="s">
        <v>273</v>
      </c>
    </row>
    <row r="151" spans="1:4">
      <c r="A151" s="113" t="s">
        <v>183</v>
      </c>
      <c r="B151" s="113" t="s">
        <v>272</v>
      </c>
      <c r="C151" s="113" t="s">
        <v>130</v>
      </c>
      <c r="D151" s="113" t="s">
        <v>274</v>
      </c>
    </row>
    <row r="152" spans="1:4">
      <c r="A152" s="113" t="s">
        <v>183</v>
      </c>
      <c r="B152" s="113" t="s">
        <v>275</v>
      </c>
      <c r="C152" s="113" t="s">
        <v>128</v>
      </c>
      <c r="D152" s="113" t="s">
        <v>244</v>
      </c>
    </row>
    <row r="153" spans="1:4">
      <c r="A153" s="113" t="s">
        <v>183</v>
      </c>
      <c r="B153" s="113" t="s">
        <v>275</v>
      </c>
      <c r="C153" s="113" t="s">
        <v>128</v>
      </c>
      <c r="D153" s="113" t="s">
        <v>245</v>
      </c>
    </row>
    <row r="154" spans="1:4">
      <c r="A154" s="113" t="s">
        <v>183</v>
      </c>
      <c r="B154" s="113" t="s">
        <v>275</v>
      </c>
      <c r="C154" s="113" t="s">
        <v>128</v>
      </c>
      <c r="D154" s="113" t="s">
        <v>246</v>
      </c>
    </row>
    <row r="155" spans="1:4">
      <c r="A155" s="113" t="s">
        <v>183</v>
      </c>
      <c r="B155" s="113" t="s">
        <v>275</v>
      </c>
      <c r="C155" s="113" t="s">
        <v>128</v>
      </c>
      <c r="D155" s="113" t="s">
        <v>156</v>
      </c>
    </row>
    <row r="156" spans="1:4">
      <c r="A156" s="113" t="s">
        <v>183</v>
      </c>
      <c r="B156" s="113" t="s">
        <v>275</v>
      </c>
      <c r="C156" s="113" t="s">
        <v>130</v>
      </c>
      <c r="D156" s="113" t="s">
        <v>247</v>
      </c>
    </row>
    <row r="157" spans="1:4">
      <c r="A157" s="113" t="s">
        <v>183</v>
      </c>
      <c r="B157" s="113" t="s">
        <v>275</v>
      </c>
      <c r="C157" s="113" t="s">
        <v>130</v>
      </c>
      <c r="D157" s="113" t="s">
        <v>248</v>
      </c>
    </row>
    <row r="158" spans="1:4">
      <c r="A158" s="113" t="s">
        <v>183</v>
      </c>
      <c r="B158" s="113" t="s">
        <v>275</v>
      </c>
      <c r="C158" s="113" t="s">
        <v>130</v>
      </c>
      <c r="D158" s="113" t="s">
        <v>249</v>
      </c>
    </row>
    <row r="159" spans="1:4">
      <c r="A159" s="113" t="s">
        <v>183</v>
      </c>
      <c r="B159" s="113" t="s">
        <v>275</v>
      </c>
      <c r="C159" s="113" t="s">
        <v>130</v>
      </c>
      <c r="D159" s="113" t="s">
        <v>250</v>
      </c>
    </row>
    <row r="160" spans="1:4">
      <c r="A160" s="113" t="s">
        <v>183</v>
      </c>
      <c r="B160" s="113" t="s">
        <v>275</v>
      </c>
      <c r="C160" s="113" t="s">
        <v>130</v>
      </c>
      <c r="D160" s="113" t="s">
        <v>251</v>
      </c>
    </row>
    <row r="161" spans="1:4">
      <c r="A161" s="113" t="s">
        <v>183</v>
      </c>
      <c r="B161" s="113" t="s">
        <v>275</v>
      </c>
      <c r="C161" s="113" t="s">
        <v>130</v>
      </c>
      <c r="D161" s="113" t="s">
        <v>252</v>
      </c>
    </row>
    <row r="162" spans="1:4">
      <c r="A162" s="113" t="s">
        <v>183</v>
      </c>
      <c r="B162" s="113" t="s">
        <v>275</v>
      </c>
      <c r="C162" s="113" t="s">
        <v>130</v>
      </c>
      <c r="D162" s="113" t="s">
        <v>253</v>
      </c>
    </row>
    <row r="163" spans="1:4">
      <c r="A163" s="113" t="s">
        <v>183</v>
      </c>
      <c r="B163" s="113" t="s">
        <v>275</v>
      </c>
      <c r="C163" s="113" t="s">
        <v>130</v>
      </c>
      <c r="D163" s="113" t="s">
        <v>254</v>
      </c>
    </row>
    <row r="164" spans="1:4">
      <c r="A164" s="113" t="s">
        <v>183</v>
      </c>
      <c r="B164" s="113" t="s">
        <v>275</v>
      </c>
      <c r="C164" s="113" t="s">
        <v>130</v>
      </c>
      <c r="D164" s="113" t="s">
        <v>255</v>
      </c>
    </row>
    <row r="165" spans="1:4">
      <c r="A165" s="113" t="s">
        <v>183</v>
      </c>
      <c r="B165" s="113" t="s">
        <v>275</v>
      </c>
      <c r="C165" s="113" t="s">
        <v>130</v>
      </c>
      <c r="D165" s="113" t="s">
        <v>256</v>
      </c>
    </row>
    <row r="166" spans="1:4">
      <c r="A166" s="113" t="s">
        <v>183</v>
      </c>
      <c r="B166" s="113" t="s">
        <v>275</v>
      </c>
      <c r="C166" s="113" t="s">
        <v>130</v>
      </c>
      <c r="D166" s="113" t="s">
        <v>257</v>
      </c>
    </row>
    <row r="167" spans="1:4">
      <c r="A167" s="113" t="s">
        <v>183</v>
      </c>
      <c r="B167" s="113" t="s">
        <v>275</v>
      </c>
      <c r="C167" s="113" t="s">
        <v>130</v>
      </c>
      <c r="D167" s="113" t="s">
        <v>258</v>
      </c>
    </row>
    <row r="168" spans="1:4">
      <c r="A168" s="113" t="s">
        <v>183</v>
      </c>
      <c r="B168" s="113" t="s">
        <v>275</v>
      </c>
      <c r="C168" s="113" t="s">
        <v>130</v>
      </c>
      <c r="D168" s="113" t="s">
        <v>259</v>
      </c>
    </row>
    <row r="169" spans="1:4">
      <c r="A169" s="113" t="s">
        <v>183</v>
      </c>
      <c r="B169" s="113" t="s">
        <v>275</v>
      </c>
      <c r="C169" s="113" t="s">
        <v>130</v>
      </c>
      <c r="D169" s="113" t="s">
        <v>260</v>
      </c>
    </row>
    <row r="170" spans="1:4">
      <c r="A170" s="113" t="s">
        <v>183</v>
      </c>
      <c r="B170" s="113" t="s">
        <v>275</v>
      </c>
      <c r="C170" s="113" t="s">
        <v>130</v>
      </c>
      <c r="D170" s="113" t="s">
        <v>261</v>
      </c>
    </row>
    <row r="171" spans="1:4">
      <c r="A171" s="113" t="s">
        <v>183</v>
      </c>
      <c r="B171" s="113" t="s">
        <v>275</v>
      </c>
      <c r="C171" s="113" t="s">
        <v>130</v>
      </c>
      <c r="D171" s="113" t="s">
        <v>262</v>
      </c>
    </row>
    <row r="172" spans="1:4">
      <c r="A172" s="113" t="s">
        <v>183</v>
      </c>
      <c r="B172" s="113" t="s">
        <v>276</v>
      </c>
      <c r="C172" s="113" t="s">
        <v>128</v>
      </c>
      <c r="D172" s="113" t="s">
        <v>277</v>
      </c>
    </row>
    <row r="173" spans="1:4">
      <c r="A173" s="113" t="s">
        <v>183</v>
      </c>
      <c r="B173" s="113" t="s">
        <v>276</v>
      </c>
      <c r="C173" s="113" t="s">
        <v>128</v>
      </c>
      <c r="D173" s="113" t="s">
        <v>278</v>
      </c>
    </row>
    <row r="174" spans="1:4">
      <c r="A174" s="113" t="s">
        <v>183</v>
      </c>
      <c r="B174" s="113" t="s">
        <v>276</v>
      </c>
      <c r="C174" s="113" t="s">
        <v>130</v>
      </c>
      <c r="D174" s="113" t="s">
        <v>279</v>
      </c>
    </row>
    <row r="175" spans="1:4">
      <c r="A175" s="113" t="s">
        <v>183</v>
      </c>
      <c r="B175" s="113" t="s">
        <v>276</v>
      </c>
      <c r="C175" s="113" t="s">
        <v>130</v>
      </c>
      <c r="D175" s="113" t="s">
        <v>280</v>
      </c>
    </row>
    <row r="176" spans="1:4">
      <c r="A176" s="113" t="s">
        <v>183</v>
      </c>
      <c r="B176" s="113" t="s">
        <v>276</v>
      </c>
      <c r="C176" s="113" t="s">
        <v>130</v>
      </c>
      <c r="D176" s="113" t="s">
        <v>281</v>
      </c>
    </row>
    <row r="177" spans="1:4">
      <c r="A177" s="113" t="s">
        <v>183</v>
      </c>
      <c r="B177" s="113" t="s">
        <v>276</v>
      </c>
      <c r="C177" s="113" t="s">
        <v>130</v>
      </c>
      <c r="D177" s="113" t="s">
        <v>282</v>
      </c>
    </row>
    <row r="178" spans="1:4">
      <c r="A178" s="113" t="s">
        <v>183</v>
      </c>
      <c r="B178" s="113" t="s">
        <v>283</v>
      </c>
      <c r="C178" s="113" t="s">
        <v>128</v>
      </c>
      <c r="D178" s="113" t="s">
        <v>284</v>
      </c>
    </row>
    <row r="179" spans="1:4">
      <c r="A179" s="113" t="s">
        <v>183</v>
      </c>
      <c r="B179" s="113" t="s">
        <v>283</v>
      </c>
      <c r="C179" s="113" t="s">
        <v>130</v>
      </c>
      <c r="D179" s="113" t="s">
        <v>222</v>
      </c>
    </row>
    <row r="180" spans="1:4">
      <c r="A180" s="113" t="s">
        <v>183</v>
      </c>
      <c r="B180" s="113" t="s">
        <v>283</v>
      </c>
      <c r="C180" s="113" t="s">
        <v>130</v>
      </c>
      <c r="D180" s="113" t="s">
        <v>223</v>
      </c>
    </row>
    <row r="181" spans="1:4">
      <c r="A181" s="113" t="s">
        <v>183</v>
      </c>
      <c r="B181" s="113" t="s">
        <v>285</v>
      </c>
      <c r="C181" s="113" t="s">
        <v>128</v>
      </c>
      <c r="D181" s="113" t="s">
        <v>286</v>
      </c>
    </row>
    <row r="182" spans="1:4">
      <c r="A182" s="113" t="s">
        <v>183</v>
      </c>
      <c r="B182" s="113" t="s">
        <v>285</v>
      </c>
      <c r="C182" s="113" t="s">
        <v>128</v>
      </c>
      <c r="D182" s="113" t="s">
        <v>287</v>
      </c>
    </row>
    <row r="183" spans="1:4">
      <c r="A183" s="113" t="s">
        <v>183</v>
      </c>
      <c r="B183" s="113" t="s">
        <v>285</v>
      </c>
      <c r="C183" s="113" t="s">
        <v>130</v>
      </c>
      <c r="D183" s="113" t="s">
        <v>288</v>
      </c>
    </row>
    <row r="184" spans="1:4">
      <c r="A184" s="113" t="s">
        <v>183</v>
      </c>
      <c r="B184" s="113" t="s">
        <v>285</v>
      </c>
      <c r="C184" s="113" t="s">
        <v>130</v>
      </c>
      <c r="D184" s="113" t="s">
        <v>289</v>
      </c>
    </row>
    <row r="185" spans="1:4">
      <c r="A185" s="113" t="s">
        <v>183</v>
      </c>
      <c r="B185" s="113" t="s">
        <v>285</v>
      </c>
      <c r="C185" s="113" t="s">
        <v>290</v>
      </c>
      <c r="D185" s="113" t="s">
        <v>288</v>
      </c>
    </row>
    <row r="186" spans="1:4">
      <c r="A186" s="113" t="s">
        <v>183</v>
      </c>
      <c r="B186" s="113" t="s">
        <v>285</v>
      </c>
      <c r="C186" s="113" t="s">
        <v>290</v>
      </c>
      <c r="D186" s="113" t="s">
        <v>289</v>
      </c>
    </row>
    <row r="187" spans="1:4">
      <c r="A187" s="113" t="s">
        <v>183</v>
      </c>
      <c r="B187" s="113" t="s">
        <v>291</v>
      </c>
      <c r="C187" s="113" t="s">
        <v>128</v>
      </c>
      <c r="D187" s="113" t="s">
        <v>277</v>
      </c>
    </row>
    <row r="188" spans="1:4">
      <c r="A188" s="113" t="s">
        <v>183</v>
      </c>
      <c r="B188" s="113" t="s">
        <v>291</v>
      </c>
      <c r="C188" s="113" t="s">
        <v>128</v>
      </c>
      <c r="D188" s="113" t="s">
        <v>278</v>
      </c>
    </row>
    <row r="189" spans="1:4">
      <c r="A189" s="113" t="s">
        <v>183</v>
      </c>
      <c r="B189" s="113" t="s">
        <v>291</v>
      </c>
      <c r="C189" s="113" t="s">
        <v>130</v>
      </c>
      <c r="D189" s="113" t="s">
        <v>279</v>
      </c>
    </row>
    <row r="190" spans="1:4">
      <c r="A190" s="113" t="s">
        <v>183</v>
      </c>
      <c r="B190" s="113" t="s">
        <v>291</v>
      </c>
      <c r="C190" s="113" t="s">
        <v>130</v>
      </c>
      <c r="D190" s="113" t="s">
        <v>280</v>
      </c>
    </row>
    <row r="191" spans="1:4">
      <c r="A191" s="113" t="s">
        <v>183</v>
      </c>
      <c r="B191" s="113" t="s">
        <v>291</v>
      </c>
      <c r="C191" s="113" t="s">
        <v>130</v>
      </c>
      <c r="D191" s="113" t="s">
        <v>292</v>
      </c>
    </row>
    <row r="192" spans="1:4">
      <c r="A192" s="113" t="s">
        <v>183</v>
      </c>
      <c r="B192" s="113" t="s">
        <v>291</v>
      </c>
      <c r="C192" s="113" t="s">
        <v>130</v>
      </c>
      <c r="D192" s="113" t="s">
        <v>293</v>
      </c>
    </row>
    <row r="193" spans="1:4">
      <c r="A193" s="113" t="s">
        <v>183</v>
      </c>
      <c r="B193" s="113" t="s">
        <v>294</v>
      </c>
      <c r="C193" s="113" t="s">
        <v>128</v>
      </c>
      <c r="D193" s="113" t="s">
        <v>295</v>
      </c>
    </row>
    <row r="194" spans="1:4">
      <c r="A194" s="113" t="s">
        <v>183</v>
      </c>
      <c r="B194" s="113" t="s">
        <v>294</v>
      </c>
      <c r="C194" s="113" t="s">
        <v>128</v>
      </c>
      <c r="D194" s="113" t="s">
        <v>296</v>
      </c>
    </row>
    <row r="195" spans="1:4">
      <c r="A195" s="113" t="s">
        <v>183</v>
      </c>
      <c r="B195" s="113" t="s">
        <v>294</v>
      </c>
      <c r="C195" s="113" t="s">
        <v>130</v>
      </c>
      <c r="D195" s="113" t="s">
        <v>297</v>
      </c>
    </row>
    <row r="196" spans="1:4">
      <c r="A196" s="113" t="s">
        <v>183</v>
      </c>
      <c r="B196" s="113" t="s">
        <v>294</v>
      </c>
      <c r="C196" s="113" t="s">
        <v>130</v>
      </c>
      <c r="D196" s="113" t="s">
        <v>298</v>
      </c>
    </row>
    <row r="197" spans="1:4">
      <c r="A197" s="113" t="s">
        <v>183</v>
      </c>
      <c r="B197" s="113" t="s">
        <v>294</v>
      </c>
      <c r="C197" s="113" t="s">
        <v>130</v>
      </c>
      <c r="D197" s="113" t="s">
        <v>299</v>
      </c>
    </row>
    <row r="198" spans="1:4">
      <c r="A198" s="113" t="s">
        <v>183</v>
      </c>
      <c r="B198" s="113" t="s">
        <v>294</v>
      </c>
      <c r="C198" s="113" t="s">
        <v>130</v>
      </c>
      <c r="D198" s="113" t="s">
        <v>300</v>
      </c>
    </row>
    <row r="199" spans="1:4">
      <c r="A199" s="113" t="s">
        <v>301</v>
      </c>
      <c r="B199" s="113" t="s">
        <v>302</v>
      </c>
      <c r="D199" s="113" t="s">
        <v>303</v>
      </c>
    </row>
    <row r="200" spans="1:4">
      <c r="A200" s="113" t="s">
        <v>301</v>
      </c>
      <c r="B200" s="113" t="s">
        <v>302</v>
      </c>
      <c r="D200" s="113" t="s">
        <v>304</v>
      </c>
    </row>
    <row r="201" spans="1:4">
      <c r="A201" s="113" t="s">
        <v>301</v>
      </c>
      <c r="B201" s="113" t="s">
        <v>305</v>
      </c>
      <c r="C201" s="113" t="s">
        <v>128</v>
      </c>
      <c r="D201" s="113" t="s">
        <v>182</v>
      </c>
    </row>
    <row r="202" spans="1:4">
      <c r="A202" s="113" t="s">
        <v>301</v>
      </c>
      <c r="B202" s="113" t="s">
        <v>306</v>
      </c>
      <c r="C202" s="113" t="s">
        <v>128</v>
      </c>
      <c r="D202" s="113" t="s">
        <v>182</v>
      </c>
    </row>
    <row r="203" spans="1:4">
      <c r="A203" s="113" t="s">
        <v>301</v>
      </c>
      <c r="B203" s="113" t="s">
        <v>307</v>
      </c>
      <c r="C203" s="113" t="s">
        <v>128</v>
      </c>
      <c r="D203" s="113" t="s">
        <v>308</v>
      </c>
    </row>
    <row r="204" spans="1:4">
      <c r="A204" s="113" t="s">
        <v>301</v>
      </c>
      <c r="B204" s="113" t="s">
        <v>309</v>
      </c>
      <c r="C204" s="113" t="s">
        <v>128</v>
      </c>
      <c r="D204" s="113" t="s">
        <v>182</v>
      </c>
    </row>
    <row r="205" spans="1:4">
      <c r="A205" s="113" t="s">
        <v>301</v>
      </c>
      <c r="B205" s="113" t="s">
        <v>310</v>
      </c>
      <c r="C205" s="113" t="s">
        <v>128</v>
      </c>
      <c r="D205" s="113" t="s">
        <v>182</v>
      </c>
    </row>
    <row r="206" spans="1:4">
      <c r="A206" s="113" t="s">
        <v>301</v>
      </c>
      <c r="B206" s="113" t="s">
        <v>311</v>
      </c>
      <c r="C206" s="113" t="s">
        <v>128</v>
      </c>
      <c r="D206" s="113" t="s">
        <v>304</v>
      </c>
    </row>
    <row r="207" spans="1:4">
      <c r="A207" s="113" t="s">
        <v>312</v>
      </c>
      <c r="B207" s="113" t="s">
        <v>313</v>
      </c>
      <c r="C207" s="113" t="s">
        <v>128</v>
      </c>
      <c r="D207" s="113" t="s">
        <v>156</v>
      </c>
    </row>
    <row r="208" spans="1:4">
      <c r="A208" s="113" t="s">
        <v>312</v>
      </c>
      <c r="B208" s="113" t="s">
        <v>313</v>
      </c>
      <c r="C208" s="113" t="s">
        <v>130</v>
      </c>
      <c r="D208" s="113" t="s">
        <v>314</v>
      </c>
    </row>
    <row r="209" spans="1:4">
      <c r="A209" s="113" t="s">
        <v>312</v>
      </c>
      <c r="B209" s="113" t="s">
        <v>313</v>
      </c>
      <c r="C209" s="113" t="s">
        <v>130</v>
      </c>
      <c r="D209" s="113" t="s">
        <v>315</v>
      </c>
    </row>
    <row r="210" spans="1:4">
      <c r="A210" s="113" t="s">
        <v>312</v>
      </c>
      <c r="B210" s="113" t="s">
        <v>313</v>
      </c>
      <c r="C210" s="113" t="s">
        <v>130</v>
      </c>
      <c r="D210" s="113" t="s">
        <v>316</v>
      </c>
    </row>
    <row r="211" spans="1:4">
      <c r="A211" s="113" t="s">
        <v>312</v>
      </c>
      <c r="B211" s="113" t="s">
        <v>313</v>
      </c>
      <c r="C211" s="113" t="s">
        <v>130</v>
      </c>
      <c r="D211" s="113" t="s">
        <v>317</v>
      </c>
    </row>
    <row r="212" spans="1:4">
      <c r="A212" s="113" t="s">
        <v>312</v>
      </c>
      <c r="B212" s="113" t="s">
        <v>318</v>
      </c>
      <c r="C212" s="113" t="s">
        <v>128</v>
      </c>
      <c r="D212" s="113" t="s">
        <v>156</v>
      </c>
    </row>
    <row r="213" spans="1:4">
      <c r="A213" s="113" t="s">
        <v>312</v>
      </c>
      <c r="B213" s="113" t="s">
        <v>318</v>
      </c>
      <c r="C213" s="113" t="s">
        <v>130</v>
      </c>
      <c r="D213" s="113" t="s">
        <v>319</v>
      </c>
    </row>
    <row r="214" spans="1:4">
      <c r="A214" s="113" t="s">
        <v>312</v>
      </c>
      <c r="B214" s="113" t="s">
        <v>318</v>
      </c>
      <c r="C214" s="113" t="s">
        <v>130</v>
      </c>
      <c r="D214" s="113" t="s">
        <v>320</v>
      </c>
    </row>
    <row r="215" spans="1:4">
      <c r="A215" s="113" t="s">
        <v>312</v>
      </c>
      <c r="B215" s="113" t="s">
        <v>318</v>
      </c>
      <c r="C215" s="113" t="s">
        <v>130</v>
      </c>
      <c r="D215" s="113" t="s">
        <v>321</v>
      </c>
    </row>
    <row r="216" spans="1:4">
      <c r="A216" s="113" t="s">
        <v>312</v>
      </c>
      <c r="B216" s="113" t="s">
        <v>318</v>
      </c>
      <c r="C216" s="113" t="s">
        <v>130</v>
      </c>
      <c r="D216" s="113" t="s">
        <v>322</v>
      </c>
    </row>
    <row r="217" spans="1:4">
      <c r="A217" s="113" t="s">
        <v>312</v>
      </c>
      <c r="B217" s="113" t="s">
        <v>318</v>
      </c>
      <c r="C217" s="113" t="s">
        <v>130</v>
      </c>
      <c r="D217" s="113" t="s">
        <v>323</v>
      </c>
    </row>
    <row r="218" spans="1:4">
      <c r="A218" s="113" t="s">
        <v>312</v>
      </c>
      <c r="B218" s="113" t="s">
        <v>318</v>
      </c>
      <c r="C218" s="113" t="s">
        <v>130</v>
      </c>
      <c r="D218" s="113" t="s">
        <v>324</v>
      </c>
    </row>
    <row r="219" spans="1:4">
      <c r="A219" s="113" t="s">
        <v>312</v>
      </c>
      <c r="B219" s="113" t="s">
        <v>318</v>
      </c>
      <c r="C219" s="113" t="s">
        <v>325</v>
      </c>
      <c r="D219" s="113" t="s">
        <v>326</v>
      </c>
    </row>
    <row r="220" spans="1:4">
      <c r="A220" s="113" t="s">
        <v>312</v>
      </c>
      <c r="B220" s="113" t="s">
        <v>327</v>
      </c>
      <c r="C220" s="113" t="s">
        <v>128</v>
      </c>
      <c r="D220" s="113" t="s">
        <v>156</v>
      </c>
    </row>
    <row r="221" spans="1:4">
      <c r="A221" s="113" t="s">
        <v>312</v>
      </c>
      <c r="B221" s="113" t="s">
        <v>327</v>
      </c>
      <c r="C221" s="113" t="s">
        <v>130</v>
      </c>
      <c r="D221" s="113" t="s">
        <v>328</v>
      </c>
    </row>
    <row r="222" spans="1:4">
      <c r="A222" s="113" t="s">
        <v>312</v>
      </c>
      <c r="B222" s="113" t="s">
        <v>327</v>
      </c>
      <c r="C222" s="113" t="s">
        <v>130</v>
      </c>
      <c r="D222" s="113" t="s">
        <v>329</v>
      </c>
    </row>
    <row r="223" spans="1:4">
      <c r="A223" s="113" t="s">
        <v>312</v>
      </c>
      <c r="B223" s="113" t="s">
        <v>327</v>
      </c>
      <c r="C223" s="113" t="s">
        <v>130</v>
      </c>
      <c r="D223" s="113" t="s">
        <v>330</v>
      </c>
    </row>
    <row r="224" spans="1:4">
      <c r="A224" s="113" t="s">
        <v>312</v>
      </c>
      <c r="B224" s="113" t="s">
        <v>327</v>
      </c>
      <c r="C224" s="113" t="s">
        <v>130</v>
      </c>
      <c r="D224" s="113" t="s">
        <v>331</v>
      </c>
    </row>
    <row r="225" spans="1:4">
      <c r="A225" s="113" t="s">
        <v>312</v>
      </c>
      <c r="B225" s="113" t="s">
        <v>332</v>
      </c>
      <c r="C225" s="113" t="s">
        <v>128</v>
      </c>
      <c r="D225" s="113" t="s">
        <v>156</v>
      </c>
    </row>
    <row r="226" spans="1:4">
      <c r="A226" s="113" t="s">
        <v>312</v>
      </c>
      <c r="B226" s="113" t="s">
        <v>332</v>
      </c>
      <c r="C226" s="113" t="s">
        <v>130</v>
      </c>
      <c r="D226" s="113" t="s">
        <v>333</v>
      </c>
    </row>
    <row r="227" spans="1:4">
      <c r="A227" s="113" t="s">
        <v>312</v>
      </c>
      <c r="B227" s="113" t="s">
        <v>332</v>
      </c>
      <c r="C227" s="113" t="s">
        <v>130</v>
      </c>
      <c r="D227" s="113" t="s">
        <v>334</v>
      </c>
    </row>
    <row r="228" spans="1:4">
      <c r="A228" s="113" t="s">
        <v>312</v>
      </c>
      <c r="B228" s="113" t="s">
        <v>332</v>
      </c>
      <c r="C228" s="113" t="s">
        <v>130</v>
      </c>
      <c r="D228" s="113" t="s">
        <v>335</v>
      </c>
    </row>
    <row r="229" spans="1:4">
      <c r="A229" s="113" t="s">
        <v>312</v>
      </c>
      <c r="B229" s="113" t="s">
        <v>332</v>
      </c>
      <c r="C229" s="113" t="s">
        <v>130</v>
      </c>
      <c r="D229" s="113" t="s">
        <v>336</v>
      </c>
    </row>
    <row r="230" spans="1:4">
      <c r="A230" s="113" t="s">
        <v>312</v>
      </c>
      <c r="B230" s="113" t="s">
        <v>337</v>
      </c>
      <c r="C230" s="113" t="s">
        <v>128</v>
      </c>
      <c r="D230" s="113" t="s">
        <v>156</v>
      </c>
    </row>
    <row r="231" spans="1:4">
      <c r="A231" s="113" t="s">
        <v>312</v>
      </c>
      <c r="B231" s="113" t="s">
        <v>337</v>
      </c>
      <c r="C231" s="113" t="s">
        <v>130</v>
      </c>
      <c r="D231" s="113" t="s">
        <v>338</v>
      </c>
    </row>
    <row r="232" spans="1:4">
      <c r="A232" s="113" t="s">
        <v>312</v>
      </c>
      <c r="B232" s="113" t="s">
        <v>337</v>
      </c>
      <c r="C232" s="113" t="s">
        <v>130</v>
      </c>
      <c r="D232" s="113" t="s">
        <v>339</v>
      </c>
    </row>
    <row r="233" spans="1:4">
      <c r="A233" s="113" t="s">
        <v>312</v>
      </c>
      <c r="B233" s="113" t="s">
        <v>340</v>
      </c>
      <c r="C233" s="113" t="s">
        <v>128</v>
      </c>
      <c r="D233" s="113" t="s">
        <v>156</v>
      </c>
    </row>
    <row r="234" spans="1:4">
      <c r="A234" s="113" t="s">
        <v>312</v>
      </c>
      <c r="B234" s="113" t="s">
        <v>340</v>
      </c>
      <c r="C234" s="113" t="s">
        <v>130</v>
      </c>
      <c r="D234" s="113" t="s">
        <v>341</v>
      </c>
    </row>
    <row r="235" spans="1:4">
      <c r="A235" s="113" t="s">
        <v>312</v>
      </c>
      <c r="B235" s="113" t="s">
        <v>340</v>
      </c>
      <c r="C235" s="113" t="s">
        <v>130</v>
      </c>
      <c r="D235" s="113" t="s">
        <v>342</v>
      </c>
    </row>
    <row r="236" spans="1:4">
      <c r="A236" s="113" t="s">
        <v>312</v>
      </c>
      <c r="B236" s="113" t="s">
        <v>343</v>
      </c>
      <c r="D236" s="113" t="s">
        <v>344</v>
      </c>
    </row>
    <row r="237" spans="1:4">
      <c r="A237" s="113" t="s">
        <v>312</v>
      </c>
      <c r="B237" s="113" t="s">
        <v>343</v>
      </c>
      <c r="C237" s="113" t="s">
        <v>128</v>
      </c>
      <c r="D237" s="113" t="s">
        <v>156</v>
      </c>
    </row>
    <row r="238" spans="1:4">
      <c r="A238" s="113" t="s">
        <v>312</v>
      </c>
      <c r="B238" s="113" t="s">
        <v>343</v>
      </c>
      <c r="C238" s="113" t="s">
        <v>130</v>
      </c>
      <c r="D238" s="113" t="s">
        <v>345</v>
      </c>
    </row>
    <row r="239" spans="1:4">
      <c r="A239" s="113" t="s">
        <v>312</v>
      </c>
      <c r="B239" s="113" t="s">
        <v>343</v>
      </c>
      <c r="C239" s="113" t="s">
        <v>130</v>
      </c>
      <c r="D239" s="113" t="s">
        <v>346</v>
      </c>
    </row>
    <row r="240" spans="1:4">
      <c r="A240" s="113" t="s">
        <v>312</v>
      </c>
      <c r="B240" s="113" t="s">
        <v>347</v>
      </c>
      <c r="D240" s="113" t="s">
        <v>348</v>
      </c>
    </row>
    <row r="241" spans="1:4">
      <c r="A241" s="113" t="s">
        <v>312</v>
      </c>
      <c r="B241" s="113" t="s">
        <v>347</v>
      </c>
      <c r="C241" s="113" t="s">
        <v>128</v>
      </c>
      <c r="D241" s="113" t="s">
        <v>156</v>
      </c>
    </row>
    <row r="242" spans="1:4">
      <c r="A242" s="113" t="s">
        <v>312</v>
      </c>
      <c r="B242" s="113" t="s">
        <v>347</v>
      </c>
      <c r="C242" s="113" t="s">
        <v>130</v>
      </c>
      <c r="D242" s="113" t="s">
        <v>349</v>
      </c>
    </row>
    <row r="243" spans="1:4">
      <c r="A243" s="113" t="s">
        <v>312</v>
      </c>
      <c r="B243" s="113" t="s">
        <v>347</v>
      </c>
      <c r="C243" s="113" t="s">
        <v>130</v>
      </c>
      <c r="D243" s="113" t="s">
        <v>350</v>
      </c>
    </row>
    <row r="244" spans="1:4">
      <c r="A244" s="113" t="s">
        <v>312</v>
      </c>
      <c r="B244" s="113" t="s">
        <v>351</v>
      </c>
      <c r="C244" s="113" t="s">
        <v>128</v>
      </c>
      <c r="D244" s="113" t="s">
        <v>156</v>
      </c>
    </row>
    <row r="245" spans="1:4">
      <c r="A245" s="113" t="s">
        <v>312</v>
      </c>
      <c r="B245" s="113" t="s">
        <v>351</v>
      </c>
      <c r="C245" s="113" t="s">
        <v>130</v>
      </c>
      <c r="D245" s="113" t="s">
        <v>352</v>
      </c>
    </row>
    <row r="246" spans="1:4">
      <c r="A246" s="113" t="s">
        <v>312</v>
      </c>
      <c r="B246" s="113" t="s">
        <v>351</v>
      </c>
      <c r="C246" s="113" t="s">
        <v>130</v>
      </c>
      <c r="D246" s="113" t="s">
        <v>353</v>
      </c>
    </row>
    <row r="247" spans="1:4">
      <c r="A247" s="113" t="s">
        <v>312</v>
      </c>
      <c r="B247" s="113" t="s">
        <v>351</v>
      </c>
      <c r="C247" s="113" t="s">
        <v>130</v>
      </c>
      <c r="D247" s="113" t="s">
        <v>354</v>
      </c>
    </row>
    <row r="248" spans="1:4">
      <c r="A248" s="113" t="s">
        <v>312</v>
      </c>
      <c r="B248" s="113" t="s">
        <v>351</v>
      </c>
      <c r="C248" s="113" t="s">
        <v>130</v>
      </c>
      <c r="D248" s="113" t="s">
        <v>355</v>
      </c>
    </row>
    <row r="249" spans="1:4">
      <c r="A249" s="113" t="s">
        <v>312</v>
      </c>
      <c r="B249" s="113" t="s">
        <v>351</v>
      </c>
      <c r="C249" s="113" t="s">
        <v>130</v>
      </c>
      <c r="D249" s="113" t="s">
        <v>356</v>
      </c>
    </row>
    <row r="250" spans="1:4">
      <c r="A250" s="113" t="s">
        <v>312</v>
      </c>
      <c r="B250" s="113" t="s">
        <v>351</v>
      </c>
      <c r="C250" s="113" t="s">
        <v>130</v>
      </c>
      <c r="D250" s="113" t="s">
        <v>357</v>
      </c>
    </row>
    <row r="251" spans="1:4">
      <c r="A251" s="113" t="s">
        <v>312</v>
      </c>
      <c r="B251" s="113" t="s">
        <v>358</v>
      </c>
      <c r="C251" s="113" t="s">
        <v>128</v>
      </c>
      <c r="D251" s="113" t="s">
        <v>156</v>
      </c>
    </row>
    <row r="252" spans="1:4">
      <c r="A252" s="113" t="s">
        <v>312</v>
      </c>
      <c r="B252" s="113" t="s">
        <v>358</v>
      </c>
      <c r="C252" s="113" t="s">
        <v>130</v>
      </c>
      <c r="D252" s="113" t="s">
        <v>359</v>
      </c>
    </row>
    <row r="253" spans="1:4">
      <c r="A253" s="113" t="s">
        <v>312</v>
      </c>
      <c r="B253" s="113" t="s">
        <v>358</v>
      </c>
      <c r="C253" s="113" t="s">
        <v>130</v>
      </c>
      <c r="D253" s="113" t="s">
        <v>360</v>
      </c>
    </row>
    <row r="254" spans="1:4">
      <c r="A254" s="113" t="s">
        <v>312</v>
      </c>
      <c r="B254" s="113" t="s">
        <v>358</v>
      </c>
      <c r="C254" s="113" t="s">
        <v>130</v>
      </c>
      <c r="D254" s="113" t="s">
        <v>361</v>
      </c>
    </row>
    <row r="255" spans="1:4">
      <c r="A255" s="113" t="s">
        <v>312</v>
      </c>
      <c r="B255" s="113" t="s">
        <v>358</v>
      </c>
      <c r="C255" s="113" t="s">
        <v>130</v>
      </c>
      <c r="D255" s="113" t="s">
        <v>362</v>
      </c>
    </row>
    <row r="256" spans="1:4">
      <c r="A256" s="113" t="s">
        <v>312</v>
      </c>
      <c r="B256" s="113" t="s">
        <v>358</v>
      </c>
      <c r="C256" s="113" t="s">
        <v>325</v>
      </c>
      <c r="D256" s="113" t="s">
        <v>326</v>
      </c>
    </row>
    <row r="257" spans="1:4">
      <c r="A257" s="113" t="s">
        <v>312</v>
      </c>
      <c r="B257" s="113" t="s">
        <v>363</v>
      </c>
      <c r="C257" s="113" t="s">
        <v>128</v>
      </c>
      <c r="D257" s="113" t="s">
        <v>156</v>
      </c>
    </row>
    <row r="258" spans="1:4">
      <c r="A258" s="113" t="s">
        <v>312</v>
      </c>
      <c r="B258" s="113" t="s">
        <v>363</v>
      </c>
      <c r="C258" s="113" t="s">
        <v>130</v>
      </c>
      <c r="D258" s="113" t="s">
        <v>364</v>
      </c>
    </row>
    <row r="259" spans="1:4">
      <c r="A259" s="113" t="s">
        <v>312</v>
      </c>
      <c r="B259" s="113" t="s">
        <v>363</v>
      </c>
      <c r="C259" s="113" t="s">
        <v>130</v>
      </c>
      <c r="D259" s="113" t="s">
        <v>365</v>
      </c>
    </row>
    <row r="260" spans="1:4">
      <c r="A260" s="113" t="s">
        <v>312</v>
      </c>
      <c r="B260" s="113" t="s">
        <v>363</v>
      </c>
      <c r="C260" s="113" t="s">
        <v>130</v>
      </c>
      <c r="D260" s="113" t="s">
        <v>366</v>
      </c>
    </row>
    <row r="261" spans="1:4">
      <c r="A261" s="113" t="s">
        <v>312</v>
      </c>
      <c r="B261" s="113" t="s">
        <v>363</v>
      </c>
      <c r="C261" s="113" t="s">
        <v>130</v>
      </c>
      <c r="D261" s="113" t="s">
        <v>367</v>
      </c>
    </row>
    <row r="262" spans="1:4">
      <c r="A262" s="113" t="s">
        <v>312</v>
      </c>
      <c r="B262" s="113" t="s">
        <v>368</v>
      </c>
      <c r="C262" s="113" t="s">
        <v>128</v>
      </c>
      <c r="D262" s="113" t="s">
        <v>156</v>
      </c>
    </row>
    <row r="263" spans="1:4">
      <c r="A263" s="113" t="s">
        <v>312</v>
      </c>
      <c r="B263" s="113" t="s">
        <v>368</v>
      </c>
      <c r="C263" s="113" t="s">
        <v>130</v>
      </c>
      <c r="D263" s="113" t="s">
        <v>369</v>
      </c>
    </row>
    <row r="264" spans="1:4">
      <c r="A264" s="113" t="s">
        <v>312</v>
      </c>
      <c r="B264" s="113" t="s">
        <v>368</v>
      </c>
      <c r="C264" s="113" t="s">
        <v>130</v>
      </c>
      <c r="D264" s="113" t="s">
        <v>370</v>
      </c>
    </row>
    <row r="265" spans="1:4">
      <c r="A265" s="113" t="s">
        <v>312</v>
      </c>
      <c r="B265" s="113" t="s">
        <v>371</v>
      </c>
      <c r="C265" s="113" t="s">
        <v>128</v>
      </c>
      <c r="D265" s="113" t="s">
        <v>156</v>
      </c>
    </row>
    <row r="266" spans="1:4">
      <c r="A266" s="113" t="s">
        <v>312</v>
      </c>
      <c r="B266" s="113" t="s">
        <v>371</v>
      </c>
      <c r="C266" s="113" t="s">
        <v>130</v>
      </c>
      <c r="D266" s="113" t="s">
        <v>372</v>
      </c>
    </row>
    <row r="267" spans="1:4">
      <c r="A267" s="113" t="s">
        <v>312</v>
      </c>
      <c r="B267" s="113" t="s">
        <v>371</v>
      </c>
      <c r="C267" s="113" t="s">
        <v>130</v>
      </c>
      <c r="D267" s="113" t="s">
        <v>373</v>
      </c>
    </row>
    <row r="268" spans="1:4">
      <c r="A268" s="113" t="s">
        <v>312</v>
      </c>
      <c r="B268" s="113" t="s">
        <v>374</v>
      </c>
      <c r="C268" s="113" t="s">
        <v>128</v>
      </c>
      <c r="D268" s="113" t="s">
        <v>156</v>
      </c>
    </row>
    <row r="269" spans="1:4">
      <c r="A269" s="113" t="s">
        <v>312</v>
      </c>
      <c r="B269" s="113" t="s">
        <v>374</v>
      </c>
      <c r="C269" s="113" t="s">
        <v>130</v>
      </c>
      <c r="D269" s="113" t="s">
        <v>375</v>
      </c>
    </row>
    <row r="270" spans="1:4">
      <c r="A270" s="113" t="s">
        <v>312</v>
      </c>
      <c r="B270" s="113" t="s">
        <v>374</v>
      </c>
      <c r="C270" s="113" t="s">
        <v>130</v>
      </c>
      <c r="D270" s="113" t="s">
        <v>376</v>
      </c>
    </row>
    <row r="271" spans="1:4">
      <c r="A271" s="113" t="s">
        <v>312</v>
      </c>
      <c r="B271" s="113" t="s">
        <v>374</v>
      </c>
      <c r="C271" s="113" t="s">
        <v>130</v>
      </c>
      <c r="D271" s="113" t="s">
        <v>377</v>
      </c>
    </row>
    <row r="272" spans="1:4">
      <c r="A272" s="113" t="s">
        <v>312</v>
      </c>
      <c r="B272" s="113" t="s">
        <v>374</v>
      </c>
      <c r="C272" s="113" t="s">
        <v>130</v>
      </c>
      <c r="D272" s="113" t="s">
        <v>378</v>
      </c>
    </row>
    <row r="273" spans="1:4">
      <c r="A273" s="113" t="s">
        <v>312</v>
      </c>
      <c r="B273" s="113" t="s">
        <v>379</v>
      </c>
      <c r="C273" s="113" t="s">
        <v>128</v>
      </c>
      <c r="D273" s="113" t="s">
        <v>156</v>
      </c>
    </row>
    <row r="274" spans="1:4">
      <c r="A274" s="113" t="s">
        <v>312</v>
      </c>
      <c r="B274" s="113" t="s">
        <v>379</v>
      </c>
      <c r="C274" s="113" t="s">
        <v>130</v>
      </c>
      <c r="D274" s="113" t="s">
        <v>380</v>
      </c>
    </row>
    <row r="275" spans="1:4">
      <c r="A275" s="113" t="s">
        <v>312</v>
      </c>
      <c r="B275" s="113" t="s">
        <v>379</v>
      </c>
      <c r="C275" s="113" t="s">
        <v>130</v>
      </c>
      <c r="D275" s="113" t="s">
        <v>381</v>
      </c>
    </row>
    <row r="276" spans="1:4">
      <c r="A276" s="113" t="s">
        <v>312</v>
      </c>
      <c r="B276" s="113" t="s">
        <v>379</v>
      </c>
      <c r="C276" s="113" t="s">
        <v>130</v>
      </c>
      <c r="D276" s="113" t="s">
        <v>382</v>
      </c>
    </row>
    <row r="277" spans="1:4">
      <c r="A277" s="113" t="s">
        <v>312</v>
      </c>
      <c r="B277" s="113" t="s">
        <v>379</v>
      </c>
      <c r="C277" s="113" t="s">
        <v>130</v>
      </c>
      <c r="D277" s="113" t="s">
        <v>383</v>
      </c>
    </row>
    <row r="278" spans="1:4">
      <c r="A278" s="113" t="s">
        <v>312</v>
      </c>
      <c r="B278" s="113" t="s">
        <v>379</v>
      </c>
      <c r="C278" s="113" t="s">
        <v>325</v>
      </c>
      <c r="D278" s="113" t="s">
        <v>384</v>
      </c>
    </row>
    <row r="279" spans="1:4">
      <c r="A279" s="113" t="s">
        <v>312</v>
      </c>
      <c r="B279" s="113" t="s">
        <v>385</v>
      </c>
      <c r="C279" s="113" t="s">
        <v>128</v>
      </c>
      <c r="D279" s="113" t="s">
        <v>156</v>
      </c>
    </row>
    <row r="280" spans="1:4">
      <c r="A280" s="113" t="s">
        <v>312</v>
      </c>
      <c r="B280" s="113" t="s">
        <v>385</v>
      </c>
      <c r="C280" s="113" t="s">
        <v>130</v>
      </c>
      <c r="D280" s="113" t="s">
        <v>386</v>
      </c>
    </row>
    <row r="281" spans="1:4">
      <c r="A281" s="113" t="s">
        <v>312</v>
      </c>
      <c r="B281" s="113" t="s">
        <v>385</v>
      </c>
      <c r="C281" s="113" t="s">
        <v>130</v>
      </c>
      <c r="D281" s="113" t="s">
        <v>387</v>
      </c>
    </row>
    <row r="282" spans="1:4">
      <c r="A282" s="113" t="s">
        <v>312</v>
      </c>
      <c r="B282" s="113" t="s">
        <v>388</v>
      </c>
      <c r="C282" s="113" t="s">
        <v>128</v>
      </c>
      <c r="D282" s="113" t="s">
        <v>156</v>
      </c>
    </row>
    <row r="283" spans="1:4">
      <c r="A283" s="113" t="s">
        <v>312</v>
      </c>
      <c r="B283" s="113" t="s">
        <v>388</v>
      </c>
      <c r="C283" s="113" t="s">
        <v>130</v>
      </c>
      <c r="D283" s="113" t="s">
        <v>389</v>
      </c>
    </row>
    <row r="284" spans="1:4">
      <c r="A284" s="113" t="s">
        <v>312</v>
      </c>
      <c r="B284" s="113" t="s">
        <v>388</v>
      </c>
      <c r="C284" s="113" t="s">
        <v>130</v>
      </c>
      <c r="D284" s="113" t="s">
        <v>390</v>
      </c>
    </row>
    <row r="285" spans="1:4">
      <c r="A285" s="113" t="s">
        <v>312</v>
      </c>
      <c r="B285" s="113" t="s">
        <v>388</v>
      </c>
      <c r="C285" s="113" t="s">
        <v>130</v>
      </c>
      <c r="D285" s="113" t="s">
        <v>391</v>
      </c>
    </row>
    <row r="286" spans="1:4">
      <c r="A286" s="113" t="s">
        <v>312</v>
      </c>
      <c r="B286" s="113" t="s">
        <v>388</v>
      </c>
      <c r="C286" s="113" t="s">
        <v>130</v>
      </c>
      <c r="D286" s="113" t="s">
        <v>392</v>
      </c>
    </row>
    <row r="287" spans="1:4">
      <c r="A287" s="113" t="s">
        <v>312</v>
      </c>
      <c r="B287" s="113" t="s">
        <v>388</v>
      </c>
      <c r="C287" s="113" t="s">
        <v>325</v>
      </c>
      <c r="D287" s="113" t="s">
        <v>326</v>
      </c>
    </row>
    <row r="288" spans="1:4">
      <c r="A288" s="113" t="s">
        <v>312</v>
      </c>
      <c r="B288" s="113" t="s">
        <v>393</v>
      </c>
      <c r="C288" s="113" t="s">
        <v>128</v>
      </c>
      <c r="D288" s="113" t="s">
        <v>156</v>
      </c>
    </row>
    <row r="289" spans="1:4">
      <c r="A289" s="113" t="s">
        <v>312</v>
      </c>
      <c r="B289" s="113" t="s">
        <v>393</v>
      </c>
      <c r="C289" s="113" t="s">
        <v>130</v>
      </c>
      <c r="D289" s="113" t="s">
        <v>394</v>
      </c>
    </row>
    <row r="290" spans="1:4">
      <c r="A290" s="113" t="s">
        <v>312</v>
      </c>
      <c r="B290" s="113" t="s">
        <v>393</v>
      </c>
      <c r="C290" s="113" t="s">
        <v>130</v>
      </c>
      <c r="D290" s="113" t="s">
        <v>395</v>
      </c>
    </row>
    <row r="291" spans="1:4">
      <c r="A291" s="113" t="s">
        <v>312</v>
      </c>
      <c r="B291" s="113" t="s">
        <v>393</v>
      </c>
      <c r="C291" s="113" t="s">
        <v>130</v>
      </c>
      <c r="D291" s="113" t="s">
        <v>396</v>
      </c>
    </row>
    <row r="292" spans="1:4">
      <c r="A292" s="113" t="s">
        <v>312</v>
      </c>
      <c r="B292" s="113" t="s">
        <v>393</v>
      </c>
      <c r="C292" s="113" t="s">
        <v>130</v>
      </c>
      <c r="D292" s="113" t="s">
        <v>397</v>
      </c>
    </row>
    <row r="293" spans="1:4">
      <c r="A293" s="113" t="s">
        <v>312</v>
      </c>
      <c r="B293" s="113" t="s">
        <v>393</v>
      </c>
      <c r="C293" s="113" t="s">
        <v>325</v>
      </c>
      <c r="D293" s="113" t="s">
        <v>326</v>
      </c>
    </row>
    <row r="294" spans="1:4">
      <c r="A294" s="113" t="s">
        <v>312</v>
      </c>
      <c r="B294" s="113" t="s">
        <v>398</v>
      </c>
      <c r="C294" s="113" t="s">
        <v>128</v>
      </c>
      <c r="D294" s="113" t="s">
        <v>156</v>
      </c>
    </row>
    <row r="295" spans="1:4">
      <c r="A295" s="113" t="s">
        <v>312</v>
      </c>
      <c r="B295" s="113" t="s">
        <v>398</v>
      </c>
      <c r="C295" s="113" t="s">
        <v>130</v>
      </c>
      <c r="D295" s="113" t="s">
        <v>399</v>
      </c>
    </row>
    <row r="296" spans="1:4">
      <c r="A296" s="113" t="s">
        <v>312</v>
      </c>
      <c r="B296" s="113" t="s">
        <v>398</v>
      </c>
      <c r="C296" s="113" t="s">
        <v>130</v>
      </c>
      <c r="D296" s="113" t="s">
        <v>400</v>
      </c>
    </row>
    <row r="297" spans="1:4">
      <c r="A297" s="113" t="s">
        <v>312</v>
      </c>
      <c r="B297" s="113" t="s">
        <v>401</v>
      </c>
      <c r="C297" s="113" t="s">
        <v>128</v>
      </c>
      <c r="D297" s="113" t="s">
        <v>156</v>
      </c>
    </row>
    <row r="298" spans="1:4">
      <c r="A298" s="113" t="s">
        <v>312</v>
      </c>
      <c r="B298" s="113" t="s">
        <v>401</v>
      </c>
      <c r="C298" s="113" t="s">
        <v>130</v>
      </c>
      <c r="D298" s="113" t="s">
        <v>402</v>
      </c>
    </row>
    <row r="299" spans="1:4">
      <c r="A299" s="113" t="s">
        <v>312</v>
      </c>
      <c r="B299" s="113" t="s">
        <v>401</v>
      </c>
      <c r="C299" s="113" t="s">
        <v>130</v>
      </c>
      <c r="D299" s="113" t="s">
        <v>403</v>
      </c>
    </row>
    <row r="300" spans="1:4">
      <c r="A300" s="113" t="s">
        <v>312</v>
      </c>
      <c r="B300" s="113" t="s">
        <v>401</v>
      </c>
      <c r="C300" s="113" t="s">
        <v>130</v>
      </c>
      <c r="D300" s="113" t="s">
        <v>404</v>
      </c>
    </row>
    <row r="301" spans="1:4">
      <c r="A301" s="113" t="s">
        <v>312</v>
      </c>
      <c r="B301" s="113" t="s">
        <v>401</v>
      </c>
      <c r="C301" s="113" t="s">
        <v>130</v>
      </c>
      <c r="D301" s="113" t="s">
        <v>405</v>
      </c>
    </row>
    <row r="302" spans="1:4">
      <c r="A302" s="113" t="s">
        <v>312</v>
      </c>
      <c r="B302" s="113" t="s">
        <v>406</v>
      </c>
      <c r="C302" s="113" t="s">
        <v>128</v>
      </c>
      <c r="D302" s="113" t="s">
        <v>156</v>
      </c>
    </row>
    <row r="303" spans="1:4">
      <c r="A303" s="113" t="s">
        <v>312</v>
      </c>
      <c r="B303" s="113" t="s">
        <v>406</v>
      </c>
      <c r="C303" s="113" t="s">
        <v>130</v>
      </c>
      <c r="D303" s="113" t="s">
        <v>407</v>
      </c>
    </row>
    <row r="304" spans="1:4">
      <c r="A304" s="113" t="s">
        <v>312</v>
      </c>
      <c r="B304" s="113" t="s">
        <v>406</v>
      </c>
      <c r="C304" s="113" t="s">
        <v>130</v>
      </c>
      <c r="D304" s="113" t="s">
        <v>408</v>
      </c>
    </row>
    <row r="305" spans="1:4">
      <c r="A305" s="113" t="s">
        <v>312</v>
      </c>
      <c r="B305" s="113" t="s">
        <v>406</v>
      </c>
      <c r="C305" s="113" t="s">
        <v>130</v>
      </c>
      <c r="D305" s="113" t="s">
        <v>409</v>
      </c>
    </row>
    <row r="306" spans="1:4">
      <c r="A306" s="113" t="s">
        <v>312</v>
      </c>
      <c r="B306" s="113" t="s">
        <v>406</v>
      </c>
      <c r="C306" s="113" t="s">
        <v>130</v>
      </c>
      <c r="D306" s="113" t="s">
        <v>410</v>
      </c>
    </row>
    <row r="307" spans="1:4">
      <c r="A307" s="113" t="s">
        <v>312</v>
      </c>
      <c r="B307" s="113" t="s">
        <v>406</v>
      </c>
      <c r="C307" s="113" t="s">
        <v>325</v>
      </c>
      <c r="D307" s="113" t="s">
        <v>411</v>
      </c>
    </row>
    <row r="308" spans="1:4">
      <c r="A308" s="113" t="s">
        <v>312</v>
      </c>
      <c r="B308" s="113" t="s">
        <v>412</v>
      </c>
      <c r="C308" s="113" t="s">
        <v>128</v>
      </c>
      <c r="D308" s="113" t="s">
        <v>156</v>
      </c>
    </row>
    <row r="309" spans="1:4">
      <c r="A309" s="113" t="s">
        <v>312</v>
      </c>
      <c r="B309" s="113" t="s">
        <v>412</v>
      </c>
      <c r="C309" s="113" t="s">
        <v>130</v>
      </c>
      <c r="D309" s="113" t="s">
        <v>413</v>
      </c>
    </row>
    <row r="310" spans="1:4">
      <c r="A310" s="113" t="s">
        <v>312</v>
      </c>
      <c r="B310" s="113" t="s">
        <v>412</v>
      </c>
      <c r="C310" s="113" t="s">
        <v>130</v>
      </c>
      <c r="D310" s="113" t="s">
        <v>414</v>
      </c>
    </row>
    <row r="311" spans="1:4">
      <c r="A311" s="113" t="s">
        <v>312</v>
      </c>
      <c r="B311" s="113" t="s">
        <v>412</v>
      </c>
      <c r="C311" s="113" t="s">
        <v>130</v>
      </c>
      <c r="D311" s="113" t="s">
        <v>415</v>
      </c>
    </row>
    <row r="312" spans="1:4">
      <c r="A312" s="113" t="s">
        <v>312</v>
      </c>
      <c r="B312" s="113" t="s">
        <v>412</v>
      </c>
      <c r="C312" s="113" t="s">
        <v>130</v>
      </c>
      <c r="D312" s="113" t="s">
        <v>416</v>
      </c>
    </row>
    <row r="313" spans="1:4">
      <c r="A313" s="113" t="s">
        <v>312</v>
      </c>
      <c r="B313" s="113" t="s">
        <v>412</v>
      </c>
      <c r="C313" s="113" t="s">
        <v>325</v>
      </c>
      <c r="D313" s="113" t="s">
        <v>326</v>
      </c>
    </row>
    <row r="314" spans="1:4">
      <c r="A314" s="113" t="s">
        <v>312</v>
      </c>
      <c r="B314" s="113" t="s">
        <v>417</v>
      </c>
      <c r="C314" s="113" t="s">
        <v>128</v>
      </c>
      <c r="D314" s="113" t="s">
        <v>156</v>
      </c>
    </row>
    <row r="315" spans="1:4">
      <c r="A315" s="113" t="s">
        <v>312</v>
      </c>
      <c r="B315" s="113" t="s">
        <v>417</v>
      </c>
      <c r="C315" s="113" t="s">
        <v>130</v>
      </c>
      <c r="D315" s="113" t="s">
        <v>418</v>
      </c>
    </row>
    <row r="316" spans="1:4">
      <c r="A316" s="113" t="s">
        <v>312</v>
      </c>
      <c r="B316" s="113" t="s">
        <v>417</v>
      </c>
      <c r="C316" s="113" t="s">
        <v>130</v>
      </c>
      <c r="D316" s="113" t="s">
        <v>419</v>
      </c>
    </row>
    <row r="317" spans="1:4">
      <c r="A317" s="113" t="s">
        <v>312</v>
      </c>
      <c r="B317" s="113" t="s">
        <v>420</v>
      </c>
      <c r="C317" s="113" t="s">
        <v>128</v>
      </c>
      <c r="D317" s="113" t="s">
        <v>156</v>
      </c>
    </row>
    <row r="318" spans="1:4">
      <c r="A318" s="113" t="s">
        <v>312</v>
      </c>
      <c r="B318" s="113" t="s">
        <v>420</v>
      </c>
      <c r="C318" s="113" t="s">
        <v>130</v>
      </c>
      <c r="D318" s="113" t="s">
        <v>421</v>
      </c>
    </row>
    <row r="319" spans="1:4">
      <c r="A319" s="113" t="s">
        <v>312</v>
      </c>
      <c r="B319" s="113" t="s">
        <v>420</v>
      </c>
      <c r="C319" s="113" t="s">
        <v>130</v>
      </c>
      <c r="D319" s="113" t="s">
        <v>422</v>
      </c>
    </row>
    <row r="320" spans="1:4">
      <c r="A320" s="113" t="s">
        <v>312</v>
      </c>
      <c r="B320" s="113" t="s">
        <v>423</v>
      </c>
      <c r="C320" s="113" t="s">
        <v>128</v>
      </c>
      <c r="D320" s="113" t="s">
        <v>156</v>
      </c>
    </row>
    <row r="321" spans="1:4">
      <c r="A321" s="113" t="s">
        <v>312</v>
      </c>
      <c r="B321" s="113" t="s">
        <v>423</v>
      </c>
      <c r="C321" s="113" t="s">
        <v>130</v>
      </c>
      <c r="D321" s="113" t="s">
        <v>424</v>
      </c>
    </row>
    <row r="322" spans="1:4">
      <c r="A322" s="113" t="s">
        <v>312</v>
      </c>
      <c r="B322" s="113" t="s">
        <v>423</v>
      </c>
      <c r="C322" s="113" t="s">
        <v>130</v>
      </c>
      <c r="D322" s="113" t="s">
        <v>425</v>
      </c>
    </row>
    <row r="323" spans="1:4">
      <c r="A323" s="113" t="s">
        <v>312</v>
      </c>
      <c r="B323" s="113" t="s">
        <v>426</v>
      </c>
      <c r="C323" s="113" t="s">
        <v>128</v>
      </c>
      <c r="D323" s="113" t="s">
        <v>156</v>
      </c>
    </row>
    <row r="324" spans="1:4">
      <c r="A324" s="113" t="s">
        <v>312</v>
      </c>
      <c r="B324" s="113" t="s">
        <v>426</v>
      </c>
      <c r="C324" s="113" t="s">
        <v>130</v>
      </c>
      <c r="D324" s="113" t="s">
        <v>427</v>
      </c>
    </row>
    <row r="325" spans="1:4">
      <c r="A325" s="113" t="s">
        <v>312</v>
      </c>
      <c r="B325" s="113" t="s">
        <v>426</v>
      </c>
      <c r="C325" s="113" t="s">
        <v>130</v>
      </c>
      <c r="D325" s="113" t="s">
        <v>428</v>
      </c>
    </row>
    <row r="326" spans="1:4">
      <c r="A326" s="113" t="s">
        <v>312</v>
      </c>
      <c r="B326" s="113" t="s">
        <v>429</v>
      </c>
      <c r="C326" s="113" t="s">
        <v>128</v>
      </c>
      <c r="D326" s="113" t="s">
        <v>156</v>
      </c>
    </row>
    <row r="327" spans="1:4">
      <c r="A327" s="113" t="s">
        <v>312</v>
      </c>
      <c r="B327" s="113" t="s">
        <v>429</v>
      </c>
      <c r="C327" s="113" t="s">
        <v>130</v>
      </c>
      <c r="D327" s="113" t="s">
        <v>430</v>
      </c>
    </row>
    <row r="328" spans="1:4">
      <c r="A328" s="113" t="s">
        <v>312</v>
      </c>
      <c r="B328" s="113" t="s">
        <v>429</v>
      </c>
      <c r="C328" s="113" t="s">
        <v>130</v>
      </c>
      <c r="D328" s="113" t="s">
        <v>431</v>
      </c>
    </row>
    <row r="329" spans="1:4">
      <c r="A329" s="113" t="s">
        <v>312</v>
      </c>
      <c r="B329" s="113" t="s">
        <v>432</v>
      </c>
      <c r="D329" s="113" t="s">
        <v>433</v>
      </c>
    </row>
    <row r="330" spans="1:4">
      <c r="A330" s="113" t="s">
        <v>312</v>
      </c>
      <c r="B330" s="113" t="s">
        <v>432</v>
      </c>
      <c r="C330" s="113" t="s">
        <v>128</v>
      </c>
      <c r="D330" s="113" t="s">
        <v>156</v>
      </c>
    </row>
    <row r="331" spans="1:4">
      <c r="A331" s="113" t="s">
        <v>312</v>
      </c>
      <c r="B331" s="113" t="s">
        <v>432</v>
      </c>
      <c r="C331" s="113" t="s">
        <v>130</v>
      </c>
      <c r="D331" s="113" t="s">
        <v>434</v>
      </c>
    </row>
    <row r="332" spans="1:4">
      <c r="A332" s="113" t="s">
        <v>312</v>
      </c>
      <c r="B332" s="113" t="s">
        <v>432</v>
      </c>
      <c r="C332" s="113" t="s">
        <v>130</v>
      </c>
      <c r="D332" s="113" t="s">
        <v>435</v>
      </c>
    </row>
    <row r="333" spans="1:4">
      <c r="A333" s="113" t="s">
        <v>312</v>
      </c>
      <c r="B333" s="113" t="s">
        <v>432</v>
      </c>
      <c r="C333" s="113" t="s">
        <v>130</v>
      </c>
      <c r="D333" s="113" t="s">
        <v>436</v>
      </c>
    </row>
    <row r="334" spans="1:4">
      <c r="A334" s="113" t="s">
        <v>312</v>
      </c>
      <c r="B334" s="113" t="s">
        <v>432</v>
      </c>
      <c r="C334" s="113" t="s">
        <v>130</v>
      </c>
      <c r="D334" s="113" t="s">
        <v>437</v>
      </c>
    </row>
    <row r="335" spans="1:4">
      <c r="A335" s="113" t="s">
        <v>312</v>
      </c>
      <c r="B335" s="113" t="s">
        <v>438</v>
      </c>
      <c r="C335" s="113" t="s">
        <v>128</v>
      </c>
      <c r="D335" s="113" t="s">
        <v>156</v>
      </c>
    </row>
    <row r="336" spans="1:4">
      <c r="A336" s="113" t="s">
        <v>312</v>
      </c>
      <c r="B336" s="113" t="s">
        <v>438</v>
      </c>
      <c r="C336" s="113" t="s">
        <v>130</v>
      </c>
      <c r="D336" s="113" t="s">
        <v>439</v>
      </c>
    </row>
    <row r="337" spans="1:4">
      <c r="A337" s="113" t="s">
        <v>312</v>
      </c>
      <c r="B337" s="113" t="s">
        <v>438</v>
      </c>
      <c r="C337" s="113" t="s">
        <v>130</v>
      </c>
      <c r="D337" s="113" t="s">
        <v>440</v>
      </c>
    </row>
    <row r="338" spans="1:4">
      <c r="A338" s="113" t="s">
        <v>312</v>
      </c>
      <c r="B338" s="113" t="s">
        <v>441</v>
      </c>
      <c r="C338" s="113" t="s">
        <v>128</v>
      </c>
      <c r="D338" s="113" t="s">
        <v>156</v>
      </c>
    </row>
    <row r="339" spans="1:4">
      <c r="A339" s="113" t="s">
        <v>312</v>
      </c>
      <c r="B339" s="113" t="s">
        <v>441</v>
      </c>
      <c r="C339" s="113" t="s">
        <v>130</v>
      </c>
      <c r="D339" s="113" t="s">
        <v>442</v>
      </c>
    </row>
    <row r="340" spans="1:4">
      <c r="A340" s="113" t="s">
        <v>312</v>
      </c>
      <c r="B340" s="113" t="s">
        <v>441</v>
      </c>
      <c r="C340" s="113" t="s">
        <v>130</v>
      </c>
      <c r="D340" s="113" t="s">
        <v>443</v>
      </c>
    </row>
    <row r="341" spans="1:4">
      <c r="A341" s="113" t="s">
        <v>312</v>
      </c>
      <c r="B341" s="113" t="s">
        <v>444</v>
      </c>
      <c r="C341" s="113" t="s">
        <v>128</v>
      </c>
      <c r="D341" s="113" t="s">
        <v>156</v>
      </c>
    </row>
    <row r="342" spans="1:4">
      <c r="A342" s="113" t="s">
        <v>312</v>
      </c>
      <c r="B342" s="113" t="s">
        <v>444</v>
      </c>
      <c r="C342" s="113" t="s">
        <v>130</v>
      </c>
      <c r="D342" s="113" t="s">
        <v>445</v>
      </c>
    </row>
    <row r="343" spans="1:4">
      <c r="A343" s="113" t="s">
        <v>312</v>
      </c>
      <c r="B343" s="113" t="s">
        <v>444</v>
      </c>
      <c r="C343" s="113" t="s">
        <v>130</v>
      </c>
      <c r="D343" s="113" t="s">
        <v>446</v>
      </c>
    </row>
    <row r="344" spans="1:4">
      <c r="A344" s="113" t="s">
        <v>312</v>
      </c>
      <c r="B344" s="113" t="s">
        <v>447</v>
      </c>
      <c r="C344" s="113" t="s">
        <v>128</v>
      </c>
      <c r="D344" s="113" t="s">
        <v>156</v>
      </c>
    </row>
    <row r="345" spans="1:4">
      <c r="A345" s="113" t="s">
        <v>312</v>
      </c>
      <c r="B345" s="113" t="s">
        <v>447</v>
      </c>
      <c r="C345" s="113" t="s">
        <v>130</v>
      </c>
      <c r="D345" s="113" t="s">
        <v>448</v>
      </c>
    </row>
    <row r="346" spans="1:4">
      <c r="A346" s="113" t="s">
        <v>312</v>
      </c>
      <c r="B346" s="113" t="s">
        <v>447</v>
      </c>
      <c r="C346" s="113" t="s">
        <v>130</v>
      </c>
      <c r="D346" s="113" t="s">
        <v>449</v>
      </c>
    </row>
    <row r="347" spans="1:4">
      <c r="A347" s="113" t="s">
        <v>312</v>
      </c>
      <c r="B347" s="113" t="s">
        <v>450</v>
      </c>
      <c r="C347" s="113" t="s">
        <v>128</v>
      </c>
      <c r="D347" s="113" t="s">
        <v>156</v>
      </c>
    </row>
    <row r="348" spans="1:4">
      <c r="A348" s="113" t="s">
        <v>312</v>
      </c>
      <c r="B348" s="113" t="s">
        <v>450</v>
      </c>
      <c r="C348" s="113" t="s">
        <v>130</v>
      </c>
      <c r="D348" s="113" t="s">
        <v>451</v>
      </c>
    </row>
    <row r="349" spans="1:4">
      <c r="A349" s="113" t="s">
        <v>312</v>
      </c>
      <c r="B349" s="113" t="s">
        <v>450</v>
      </c>
      <c r="C349" s="113" t="s">
        <v>130</v>
      </c>
      <c r="D349" s="113" t="s">
        <v>452</v>
      </c>
    </row>
    <row r="350" spans="1:4">
      <c r="A350" s="113" t="s">
        <v>312</v>
      </c>
      <c r="B350" s="113" t="s">
        <v>450</v>
      </c>
      <c r="C350" s="113" t="s">
        <v>130</v>
      </c>
      <c r="D350" s="113" t="s">
        <v>453</v>
      </c>
    </row>
    <row r="351" spans="1:4">
      <c r="A351" s="113" t="s">
        <v>312</v>
      </c>
      <c r="B351" s="113" t="s">
        <v>450</v>
      </c>
      <c r="C351" s="113" t="s">
        <v>130</v>
      </c>
      <c r="D351" s="113" t="s">
        <v>454</v>
      </c>
    </row>
    <row r="352" spans="1:4">
      <c r="A352" s="113" t="s">
        <v>312</v>
      </c>
      <c r="B352" s="113" t="s">
        <v>455</v>
      </c>
      <c r="C352" s="113" t="s">
        <v>128</v>
      </c>
      <c r="D352" s="113" t="s">
        <v>156</v>
      </c>
    </row>
    <row r="353" spans="1:4">
      <c r="A353" s="113" t="s">
        <v>312</v>
      </c>
      <c r="B353" s="113" t="s">
        <v>455</v>
      </c>
      <c r="C353" s="113" t="s">
        <v>130</v>
      </c>
      <c r="D353" s="113" t="s">
        <v>456</v>
      </c>
    </row>
    <row r="354" spans="1:4">
      <c r="A354" s="113" t="s">
        <v>312</v>
      </c>
      <c r="B354" s="113" t="s">
        <v>455</v>
      </c>
      <c r="C354" s="113" t="s">
        <v>130</v>
      </c>
      <c r="D354" s="113" t="s">
        <v>457</v>
      </c>
    </row>
    <row r="355" spans="1:4">
      <c r="A355" s="113" t="s">
        <v>312</v>
      </c>
      <c r="B355" s="113" t="s">
        <v>458</v>
      </c>
      <c r="C355" s="113" t="s">
        <v>128</v>
      </c>
      <c r="D355" s="113" t="s">
        <v>156</v>
      </c>
    </row>
    <row r="356" spans="1:4">
      <c r="A356" s="113" t="s">
        <v>312</v>
      </c>
      <c r="B356" s="113" t="s">
        <v>458</v>
      </c>
      <c r="C356" s="113" t="s">
        <v>130</v>
      </c>
      <c r="D356" s="113" t="s">
        <v>459</v>
      </c>
    </row>
    <row r="357" spans="1:4">
      <c r="A357" s="113" t="s">
        <v>312</v>
      </c>
      <c r="B357" s="113" t="s">
        <v>458</v>
      </c>
      <c r="C357" s="113" t="s">
        <v>130</v>
      </c>
      <c r="D357" s="113" t="s">
        <v>460</v>
      </c>
    </row>
    <row r="358" spans="1:4">
      <c r="A358" s="113" t="s">
        <v>312</v>
      </c>
      <c r="B358" s="113" t="s">
        <v>458</v>
      </c>
      <c r="C358" s="113" t="s">
        <v>130</v>
      </c>
      <c r="D358" s="113" t="s">
        <v>461</v>
      </c>
    </row>
    <row r="359" spans="1:4">
      <c r="A359" s="113" t="s">
        <v>312</v>
      </c>
      <c r="B359" s="113" t="s">
        <v>458</v>
      </c>
      <c r="C359" s="113" t="s">
        <v>130</v>
      </c>
      <c r="D359" s="113" t="s">
        <v>462</v>
      </c>
    </row>
    <row r="360" spans="1:4">
      <c r="A360" s="113" t="s">
        <v>312</v>
      </c>
      <c r="B360" s="113" t="s">
        <v>463</v>
      </c>
      <c r="C360" s="113" t="s">
        <v>128</v>
      </c>
      <c r="D360" s="113" t="s">
        <v>156</v>
      </c>
    </row>
    <row r="361" spans="1:4">
      <c r="A361" s="113" t="s">
        <v>312</v>
      </c>
      <c r="B361" s="113" t="s">
        <v>463</v>
      </c>
      <c r="C361" s="113" t="s">
        <v>130</v>
      </c>
      <c r="D361" s="113" t="s">
        <v>464</v>
      </c>
    </row>
    <row r="362" spans="1:4">
      <c r="A362" s="113" t="s">
        <v>312</v>
      </c>
      <c r="B362" s="113" t="s">
        <v>463</v>
      </c>
      <c r="C362" s="113" t="s">
        <v>130</v>
      </c>
      <c r="D362" s="113" t="s">
        <v>465</v>
      </c>
    </row>
    <row r="363" spans="1:4">
      <c r="A363" s="113" t="s">
        <v>312</v>
      </c>
      <c r="B363" s="113" t="s">
        <v>466</v>
      </c>
      <c r="C363" s="113" t="s">
        <v>128</v>
      </c>
      <c r="D363" s="113" t="s">
        <v>156</v>
      </c>
    </row>
    <row r="364" spans="1:4">
      <c r="A364" s="113" t="s">
        <v>312</v>
      </c>
      <c r="B364" s="113" t="s">
        <v>466</v>
      </c>
      <c r="C364" s="113" t="s">
        <v>130</v>
      </c>
      <c r="D364" s="113" t="s">
        <v>467</v>
      </c>
    </row>
    <row r="365" spans="1:4">
      <c r="A365" s="113" t="s">
        <v>312</v>
      </c>
      <c r="B365" s="113" t="s">
        <v>466</v>
      </c>
      <c r="C365" s="113" t="s">
        <v>130</v>
      </c>
      <c r="D365" s="113" t="s">
        <v>468</v>
      </c>
    </row>
    <row r="366" spans="1:4">
      <c r="A366" s="113" t="s">
        <v>312</v>
      </c>
      <c r="B366" s="113" t="s">
        <v>466</v>
      </c>
      <c r="C366" s="113" t="s">
        <v>130</v>
      </c>
      <c r="D366" s="113" t="s">
        <v>469</v>
      </c>
    </row>
    <row r="367" spans="1:4">
      <c r="A367" s="113" t="s">
        <v>312</v>
      </c>
      <c r="B367" s="113" t="s">
        <v>466</v>
      </c>
      <c r="C367" s="113" t="s">
        <v>130</v>
      </c>
      <c r="D367" s="113" t="s">
        <v>470</v>
      </c>
    </row>
    <row r="368" spans="1:4">
      <c r="A368" s="113" t="s">
        <v>312</v>
      </c>
      <c r="B368" s="113" t="s">
        <v>466</v>
      </c>
      <c r="C368" s="113" t="s">
        <v>325</v>
      </c>
      <c r="D368" s="113" t="s">
        <v>326</v>
      </c>
    </row>
    <row r="369" spans="1:4">
      <c r="A369" s="113" t="s">
        <v>312</v>
      </c>
      <c r="B369" s="113" t="s">
        <v>471</v>
      </c>
      <c r="C369" s="113" t="s">
        <v>128</v>
      </c>
      <c r="D369" s="113" t="s">
        <v>156</v>
      </c>
    </row>
    <row r="370" spans="1:4">
      <c r="A370" s="113" t="s">
        <v>312</v>
      </c>
      <c r="B370" s="113" t="s">
        <v>471</v>
      </c>
      <c r="C370" s="113" t="s">
        <v>130</v>
      </c>
      <c r="D370" s="113" t="s">
        <v>472</v>
      </c>
    </row>
    <row r="371" spans="1:4">
      <c r="A371" s="113" t="s">
        <v>312</v>
      </c>
      <c r="B371" s="113" t="s">
        <v>471</v>
      </c>
      <c r="C371" s="113" t="s">
        <v>130</v>
      </c>
      <c r="D371" s="113" t="s">
        <v>473</v>
      </c>
    </row>
    <row r="372" spans="1:4">
      <c r="A372" s="113" t="s">
        <v>312</v>
      </c>
      <c r="B372" s="113" t="s">
        <v>474</v>
      </c>
      <c r="C372" s="113" t="s">
        <v>128</v>
      </c>
      <c r="D372" s="113" t="s">
        <v>156</v>
      </c>
    </row>
    <row r="373" spans="1:4">
      <c r="A373" s="113" t="s">
        <v>312</v>
      </c>
      <c r="B373" s="113" t="s">
        <v>474</v>
      </c>
      <c r="C373" s="113" t="s">
        <v>130</v>
      </c>
      <c r="D373" s="113" t="s">
        <v>475</v>
      </c>
    </row>
    <row r="374" spans="1:4">
      <c r="A374" s="113" t="s">
        <v>312</v>
      </c>
      <c r="B374" s="113" t="s">
        <v>474</v>
      </c>
      <c r="C374" s="113" t="s">
        <v>130</v>
      </c>
      <c r="D374" s="113" t="s">
        <v>476</v>
      </c>
    </row>
    <row r="375" spans="1:4">
      <c r="A375" s="113" t="s">
        <v>312</v>
      </c>
      <c r="B375" s="113" t="s">
        <v>477</v>
      </c>
      <c r="C375" s="113" t="s">
        <v>128</v>
      </c>
      <c r="D375" s="113" t="s">
        <v>156</v>
      </c>
    </row>
    <row r="376" spans="1:4">
      <c r="A376" s="113" t="s">
        <v>312</v>
      </c>
      <c r="B376" s="113" t="s">
        <v>477</v>
      </c>
      <c r="C376" s="113" t="s">
        <v>130</v>
      </c>
      <c r="D376" s="113" t="s">
        <v>478</v>
      </c>
    </row>
    <row r="377" spans="1:4">
      <c r="A377" s="113" t="s">
        <v>312</v>
      </c>
      <c r="B377" s="113" t="s">
        <v>477</v>
      </c>
      <c r="C377" s="113" t="s">
        <v>130</v>
      </c>
      <c r="D377" s="113" t="s">
        <v>479</v>
      </c>
    </row>
    <row r="378" spans="1:4">
      <c r="A378" s="113" t="s">
        <v>312</v>
      </c>
      <c r="B378" s="113" t="s">
        <v>480</v>
      </c>
      <c r="C378" s="113" t="s">
        <v>128</v>
      </c>
      <c r="D378" s="113" t="s">
        <v>156</v>
      </c>
    </row>
    <row r="379" spans="1:4">
      <c r="A379" s="113" t="s">
        <v>312</v>
      </c>
      <c r="B379" s="113" t="s">
        <v>480</v>
      </c>
      <c r="C379" s="113" t="s">
        <v>130</v>
      </c>
      <c r="D379" s="113" t="s">
        <v>481</v>
      </c>
    </row>
    <row r="380" spans="1:4">
      <c r="A380" s="113" t="s">
        <v>312</v>
      </c>
      <c r="B380" s="113" t="s">
        <v>480</v>
      </c>
      <c r="C380" s="113" t="s">
        <v>130</v>
      </c>
      <c r="D380" s="113" t="s">
        <v>482</v>
      </c>
    </row>
    <row r="381" spans="1:4">
      <c r="A381" s="113" t="s">
        <v>312</v>
      </c>
      <c r="B381" s="113" t="s">
        <v>483</v>
      </c>
      <c r="C381" s="113" t="s">
        <v>128</v>
      </c>
      <c r="D381" s="113" t="s">
        <v>156</v>
      </c>
    </row>
    <row r="382" spans="1:4">
      <c r="A382" s="113" t="s">
        <v>312</v>
      </c>
      <c r="B382" s="113" t="s">
        <v>483</v>
      </c>
      <c r="C382" s="113" t="s">
        <v>130</v>
      </c>
      <c r="D382" s="113" t="s">
        <v>484</v>
      </c>
    </row>
    <row r="383" spans="1:4">
      <c r="A383" s="113" t="s">
        <v>312</v>
      </c>
      <c r="B383" s="113" t="s">
        <v>483</v>
      </c>
      <c r="C383" s="113" t="s">
        <v>130</v>
      </c>
      <c r="D383" s="113" t="s">
        <v>485</v>
      </c>
    </row>
    <row r="384" spans="1:4">
      <c r="A384" s="113" t="s">
        <v>312</v>
      </c>
      <c r="B384" s="113" t="s">
        <v>486</v>
      </c>
      <c r="C384" s="113" t="s">
        <v>128</v>
      </c>
      <c r="D384" s="113" t="s">
        <v>156</v>
      </c>
    </row>
    <row r="385" spans="1:4">
      <c r="A385" s="113" t="s">
        <v>312</v>
      </c>
      <c r="B385" s="113" t="s">
        <v>486</v>
      </c>
      <c r="C385" s="113" t="s">
        <v>130</v>
      </c>
      <c r="D385" s="113" t="s">
        <v>487</v>
      </c>
    </row>
    <row r="386" spans="1:4">
      <c r="A386" s="113" t="s">
        <v>312</v>
      </c>
      <c r="B386" s="113" t="s">
        <v>486</v>
      </c>
      <c r="C386" s="113" t="s">
        <v>130</v>
      </c>
      <c r="D386" s="113" t="s">
        <v>488</v>
      </c>
    </row>
    <row r="387" spans="1:4">
      <c r="A387" s="113" t="s">
        <v>312</v>
      </c>
      <c r="B387" s="113" t="s">
        <v>489</v>
      </c>
      <c r="C387" s="113" t="s">
        <v>128</v>
      </c>
      <c r="D387" s="113" t="s">
        <v>156</v>
      </c>
    </row>
    <row r="388" spans="1:4">
      <c r="A388" s="113" t="s">
        <v>312</v>
      </c>
      <c r="B388" s="113" t="s">
        <v>489</v>
      </c>
      <c r="C388" s="113" t="s">
        <v>130</v>
      </c>
      <c r="D388" s="113" t="s">
        <v>490</v>
      </c>
    </row>
    <row r="389" spans="1:4">
      <c r="A389" s="113" t="s">
        <v>312</v>
      </c>
      <c r="B389" s="113" t="s">
        <v>489</v>
      </c>
      <c r="C389" s="113" t="s">
        <v>130</v>
      </c>
      <c r="D389" s="113" t="s">
        <v>491</v>
      </c>
    </row>
    <row r="390" spans="1:4">
      <c r="A390" s="113" t="s">
        <v>312</v>
      </c>
      <c r="B390" s="113" t="s">
        <v>489</v>
      </c>
      <c r="C390" s="113" t="s">
        <v>130</v>
      </c>
      <c r="D390" s="113" t="s">
        <v>492</v>
      </c>
    </row>
    <row r="391" spans="1:4">
      <c r="A391" s="113" t="s">
        <v>312</v>
      </c>
      <c r="B391" s="113" t="s">
        <v>489</v>
      </c>
      <c r="C391" s="113" t="s">
        <v>130</v>
      </c>
      <c r="D391" s="113" t="s">
        <v>493</v>
      </c>
    </row>
    <row r="392" spans="1:4">
      <c r="A392" s="113" t="s">
        <v>312</v>
      </c>
      <c r="B392" s="113" t="s">
        <v>494</v>
      </c>
      <c r="C392" s="113" t="s">
        <v>128</v>
      </c>
      <c r="D392" s="113" t="s">
        <v>495</v>
      </c>
    </row>
    <row r="393" spans="1:4">
      <c r="A393" s="113" t="s">
        <v>312</v>
      </c>
      <c r="B393" s="113" t="s">
        <v>494</v>
      </c>
      <c r="C393" s="113" t="s">
        <v>130</v>
      </c>
      <c r="D393" s="113" t="s">
        <v>496</v>
      </c>
    </row>
    <row r="394" spans="1:4">
      <c r="A394" s="113" t="s">
        <v>312</v>
      </c>
      <c r="B394" s="113" t="s">
        <v>494</v>
      </c>
      <c r="C394" s="113" t="s">
        <v>130</v>
      </c>
      <c r="D394" s="113" t="s">
        <v>497</v>
      </c>
    </row>
    <row r="395" spans="1:4">
      <c r="A395" s="113" t="s">
        <v>498</v>
      </c>
      <c r="B395" s="113" t="s">
        <v>499</v>
      </c>
      <c r="C395" s="113" t="s">
        <v>128</v>
      </c>
      <c r="D395" s="113" t="s">
        <v>182</v>
      </c>
    </row>
    <row r="396" spans="1:4">
      <c r="A396" s="113" t="s">
        <v>498</v>
      </c>
      <c r="B396" s="113" t="s">
        <v>500</v>
      </c>
      <c r="C396" s="113" t="s">
        <v>128</v>
      </c>
      <c r="D396" s="113" t="s">
        <v>182</v>
      </c>
    </row>
    <row r="397" spans="1:4">
      <c r="A397" s="113" t="s">
        <v>501</v>
      </c>
      <c r="B397" s="113" t="s">
        <v>502</v>
      </c>
      <c r="C397" s="113" t="s">
        <v>503</v>
      </c>
      <c r="D397" s="113" t="s">
        <v>504</v>
      </c>
    </row>
    <row r="398" spans="1:4">
      <c r="A398" s="113" t="s">
        <v>501</v>
      </c>
      <c r="B398" s="113" t="s">
        <v>502</v>
      </c>
      <c r="C398" s="113" t="s">
        <v>503</v>
      </c>
      <c r="D398" s="113" t="s">
        <v>505</v>
      </c>
    </row>
    <row r="399" spans="1:4">
      <c r="A399" s="113" t="s">
        <v>501</v>
      </c>
      <c r="B399" s="113" t="s">
        <v>502</v>
      </c>
      <c r="C399" s="113" t="s">
        <v>503</v>
      </c>
      <c r="D399" s="113" t="s">
        <v>506</v>
      </c>
    </row>
    <row r="400" spans="1:4">
      <c r="A400" s="113" t="s">
        <v>501</v>
      </c>
      <c r="B400" s="113" t="s">
        <v>507</v>
      </c>
      <c r="D400" s="113" t="s">
        <v>508</v>
      </c>
    </row>
    <row r="401" spans="1:4">
      <c r="A401" s="113" t="s">
        <v>501</v>
      </c>
      <c r="B401" s="113" t="s">
        <v>507</v>
      </c>
      <c r="D401" s="113" t="s">
        <v>509</v>
      </c>
    </row>
    <row r="402" spans="1:4">
      <c r="A402" s="113" t="s">
        <v>501</v>
      </c>
      <c r="B402" s="113" t="s">
        <v>507</v>
      </c>
      <c r="D402" s="113" t="s">
        <v>510</v>
      </c>
    </row>
    <row r="403" spans="1:4">
      <c r="A403" s="113" t="s">
        <v>501</v>
      </c>
      <c r="B403" s="113" t="s">
        <v>507</v>
      </c>
      <c r="D403" s="113" t="s">
        <v>511</v>
      </c>
    </row>
    <row r="404" spans="1:4">
      <c r="A404" s="113" t="s">
        <v>501</v>
      </c>
      <c r="B404" s="113" t="s">
        <v>507</v>
      </c>
      <c r="D404" s="113" t="s">
        <v>512</v>
      </c>
    </row>
    <row r="405" spans="1:4">
      <c r="A405" s="113" t="s">
        <v>501</v>
      </c>
      <c r="B405" s="113" t="s">
        <v>507</v>
      </c>
      <c r="D405" s="113" t="s">
        <v>513</v>
      </c>
    </row>
    <row r="406" spans="1:4">
      <c r="A406" s="113" t="s">
        <v>501</v>
      </c>
      <c r="B406" s="113" t="s">
        <v>507</v>
      </c>
      <c r="D406" s="113" t="s">
        <v>514</v>
      </c>
    </row>
    <row r="407" spans="1:4">
      <c r="A407" s="113" t="s">
        <v>501</v>
      </c>
      <c r="B407" s="113" t="s">
        <v>507</v>
      </c>
      <c r="D407" s="113" t="s">
        <v>515</v>
      </c>
    </row>
    <row r="408" spans="1:4">
      <c r="A408" s="113" t="s">
        <v>501</v>
      </c>
      <c r="B408" s="113" t="s">
        <v>507</v>
      </c>
      <c r="D408" s="113" t="s">
        <v>516</v>
      </c>
    </row>
    <row r="409" spans="1:4">
      <c r="A409" s="113" t="s">
        <v>501</v>
      </c>
      <c r="B409" s="113" t="s">
        <v>517</v>
      </c>
      <c r="D409" s="113" t="s">
        <v>518</v>
      </c>
    </row>
    <row r="410" spans="1:4">
      <c r="A410" s="113" t="s">
        <v>501</v>
      </c>
      <c r="B410" s="113" t="s">
        <v>517</v>
      </c>
      <c r="D410" s="113" t="s">
        <v>519</v>
      </c>
    </row>
    <row r="411" spans="1:4">
      <c r="A411" s="113" t="s">
        <v>501</v>
      </c>
      <c r="B411" s="113" t="s">
        <v>517</v>
      </c>
      <c r="D411" s="113" t="s">
        <v>520</v>
      </c>
    </row>
    <row r="412" spans="1:4">
      <c r="A412" s="113" t="s">
        <v>501</v>
      </c>
      <c r="B412" s="113" t="s">
        <v>517</v>
      </c>
      <c r="D412" s="113" t="s">
        <v>521</v>
      </c>
    </row>
    <row r="413" spans="1:4">
      <c r="A413" s="113" t="s">
        <v>501</v>
      </c>
      <c r="B413" s="113" t="s">
        <v>517</v>
      </c>
      <c r="D413" s="113" t="s">
        <v>522</v>
      </c>
    </row>
    <row r="414" spans="1:4">
      <c r="A414" s="113" t="s">
        <v>501</v>
      </c>
      <c r="B414" s="113" t="s">
        <v>517</v>
      </c>
      <c r="D414" s="113" t="s">
        <v>523</v>
      </c>
    </row>
    <row r="415" spans="1:4">
      <c r="A415" s="113" t="s">
        <v>501</v>
      </c>
      <c r="B415" s="113" t="s">
        <v>517</v>
      </c>
      <c r="D415" s="113" t="s">
        <v>524</v>
      </c>
    </row>
    <row r="416" spans="1:4">
      <c r="A416" s="113" t="s">
        <v>501</v>
      </c>
      <c r="B416" s="113" t="s">
        <v>517</v>
      </c>
      <c r="D416" s="113" t="s">
        <v>525</v>
      </c>
    </row>
    <row r="417" spans="1:4">
      <c r="A417" s="113" t="s">
        <v>501</v>
      </c>
      <c r="B417" s="113" t="s">
        <v>517</v>
      </c>
      <c r="D417" s="113" t="s">
        <v>526</v>
      </c>
    </row>
    <row r="418" spans="1:4">
      <c r="A418" s="113" t="s">
        <v>501</v>
      </c>
      <c r="B418" s="113" t="s">
        <v>517</v>
      </c>
      <c r="D418" s="113" t="s">
        <v>527</v>
      </c>
    </row>
    <row r="419" spans="1:4">
      <c r="A419" s="113" t="s">
        <v>501</v>
      </c>
      <c r="B419" s="113" t="s">
        <v>517</v>
      </c>
      <c r="D419" s="113" t="s">
        <v>528</v>
      </c>
    </row>
    <row r="420" spans="1:4">
      <c r="A420" s="113" t="s">
        <v>501</v>
      </c>
      <c r="B420" s="113" t="s">
        <v>517</v>
      </c>
      <c r="D420" s="113" t="s">
        <v>529</v>
      </c>
    </row>
    <row r="421" spans="1:4">
      <c r="A421" s="113" t="s">
        <v>501</v>
      </c>
      <c r="B421" s="113" t="s">
        <v>517</v>
      </c>
      <c r="D421" s="113" t="s">
        <v>530</v>
      </c>
    </row>
    <row r="422" spans="1:4">
      <c r="A422" s="113" t="s">
        <v>501</v>
      </c>
      <c r="B422" s="113" t="s">
        <v>517</v>
      </c>
      <c r="D422" s="113" t="s">
        <v>531</v>
      </c>
    </row>
    <row r="423" spans="1:4">
      <c r="A423" s="113" t="s">
        <v>501</v>
      </c>
      <c r="B423" s="113" t="s">
        <v>517</v>
      </c>
      <c r="D423" s="113" t="s">
        <v>532</v>
      </c>
    </row>
    <row r="424" spans="1:4">
      <c r="A424" s="113" t="s">
        <v>501</v>
      </c>
      <c r="B424" s="113" t="s">
        <v>517</v>
      </c>
      <c r="D424" s="113" t="s">
        <v>533</v>
      </c>
    </row>
    <row r="425" spans="1:4">
      <c r="A425" s="113" t="s">
        <v>501</v>
      </c>
      <c r="B425" s="113" t="s">
        <v>517</v>
      </c>
      <c r="D425" s="113" t="s">
        <v>534</v>
      </c>
    </row>
    <row r="426" spans="1:4">
      <c r="A426" s="113" t="s">
        <v>501</v>
      </c>
      <c r="B426" s="113" t="s">
        <v>517</v>
      </c>
      <c r="D426" s="113" t="s">
        <v>535</v>
      </c>
    </row>
    <row r="427" spans="1:4">
      <c r="A427" s="113" t="s">
        <v>501</v>
      </c>
      <c r="B427" s="113" t="s">
        <v>517</v>
      </c>
      <c r="D427" s="113" t="s">
        <v>536</v>
      </c>
    </row>
    <row r="428" spans="1:4">
      <c r="A428" s="113" t="s">
        <v>501</v>
      </c>
      <c r="B428" s="113" t="s">
        <v>517</v>
      </c>
      <c r="D428" s="113" t="s">
        <v>537</v>
      </c>
    </row>
    <row r="429" spans="1:4">
      <c r="A429" s="113" t="s">
        <v>501</v>
      </c>
      <c r="B429" s="113" t="s">
        <v>517</v>
      </c>
      <c r="D429" s="113" t="s">
        <v>538</v>
      </c>
    </row>
    <row r="430" spans="1:4">
      <c r="A430" s="113" t="s">
        <v>501</v>
      </c>
      <c r="B430" s="113" t="s">
        <v>517</v>
      </c>
      <c r="D430" s="113" t="s">
        <v>539</v>
      </c>
    </row>
    <row r="431" spans="1:4">
      <c r="A431" s="113" t="s">
        <v>501</v>
      </c>
      <c r="B431" s="113" t="s">
        <v>517</v>
      </c>
      <c r="D431" s="113" t="s">
        <v>540</v>
      </c>
    </row>
    <row r="432" spans="1:4">
      <c r="A432" s="113" t="s">
        <v>501</v>
      </c>
      <c r="B432" s="113" t="s">
        <v>517</v>
      </c>
      <c r="D432" s="113" t="s">
        <v>541</v>
      </c>
    </row>
    <row r="433" spans="1:4">
      <c r="A433" s="113" t="s">
        <v>501</v>
      </c>
      <c r="B433" s="113" t="s">
        <v>517</v>
      </c>
      <c r="D433" s="113" t="s">
        <v>542</v>
      </c>
    </row>
    <row r="434" spans="1:4">
      <c r="A434" s="113" t="s">
        <v>501</v>
      </c>
      <c r="B434" s="113" t="s">
        <v>517</v>
      </c>
      <c r="D434" s="113" t="s">
        <v>543</v>
      </c>
    </row>
    <row r="435" spans="1:4">
      <c r="A435" s="113" t="s">
        <v>501</v>
      </c>
      <c r="B435" s="113" t="s">
        <v>517</v>
      </c>
      <c r="D435" s="113" t="s">
        <v>544</v>
      </c>
    </row>
    <row r="436" spans="1:4">
      <c r="A436" s="113" t="s">
        <v>501</v>
      </c>
      <c r="B436" s="113" t="s">
        <v>517</v>
      </c>
      <c r="D436" s="113" t="s">
        <v>545</v>
      </c>
    </row>
    <row r="437" spans="1:4">
      <c r="A437" s="113" t="s">
        <v>501</v>
      </c>
      <c r="B437" s="113" t="s">
        <v>517</v>
      </c>
      <c r="D437" s="113" t="s">
        <v>546</v>
      </c>
    </row>
    <row r="438" spans="1:4">
      <c r="A438" s="113" t="s">
        <v>501</v>
      </c>
      <c r="B438" s="113" t="s">
        <v>517</v>
      </c>
      <c r="D438" s="113" t="s">
        <v>547</v>
      </c>
    </row>
    <row r="439" spans="1:4">
      <c r="A439" s="113" t="s">
        <v>501</v>
      </c>
      <c r="B439" s="113" t="s">
        <v>517</v>
      </c>
      <c r="D439" s="113" t="s">
        <v>548</v>
      </c>
    </row>
    <row r="440" spans="1:4">
      <c r="A440" s="113" t="s">
        <v>501</v>
      </c>
      <c r="B440" s="113" t="s">
        <v>517</v>
      </c>
      <c r="D440" s="113" t="s">
        <v>549</v>
      </c>
    </row>
    <row r="441" spans="1:4">
      <c r="A441" s="113" t="s">
        <v>501</v>
      </c>
      <c r="B441" s="113" t="s">
        <v>517</v>
      </c>
      <c r="D441" s="113" t="s">
        <v>550</v>
      </c>
    </row>
    <row r="442" spans="1:4">
      <c r="A442" s="113" t="s">
        <v>501</v>
      </c>
      <c r="B442" s="113" t="s">
        <v>517</v>
      </c>
      <c r="D442" s="113" t="s">
        <v>551</v>
      </c>
    </row>
    <row r="443" spans="1:4">
      <c r="A443" s="113" t="s">
        <v>501</v>
      </c>
      <c r="B443" s="113" t="s">
        <v>517</v>
      </c>
      <c r="D443" s="113" t="s">
        <v>552</v>
      </c>
    </row>
    <row r="444" spans="1:4">
      <c r="A444" s="113" t="s">
        <v>501</v>
      </c>
      <c r="B444" s="113" t="s">
        <v>517</v>
      </c>
      <c r="D444" s="113" t="s">
        <v>553</v>
      </c>
    </row>
    <row r="445" spans="1:4">
      <c r="A445" s="113" t="s">
        <v>501</v>
      </c>
      <c r="B445" s="113" t="s">
        <v>517</v>
      </c>
      <c r="D445" s="113" t="s">
        <v>554</v>
      </c>
    </row>
    <row r="446" spans="1:4">
      <c r="A446" s="113" t="s">
        <v>501</v>
      </c>
      <c r="B446" s="113" t="s">
        <v>517</v>
      </c>
      <c r="D446" s="113" t="s">
        <v>555</v>
      </c>
    </row>
    <row r="447" spans="1:4">
      <c r="A447" s="113" t="s">
        <v>501</v>
      </c>
      <c r="B447" s="113" t="s">
        <v>517</v>
      </c>
      <c r="D447" s="113" t="s">
        <v>556</v>
      </c>
    </row>
    <row r="448" spans="1:4">
      <c r="A448" s="113" t="s">
        <v>501</v>
      </c>
      <c r="B448" s="113" t="s">
        <v>517</v>
      </c>
      <c r="D448" s="113" t="s">
        <v>557</v>
      </c>
    </row>
    <row r="449" spans="1:4">
      <c r="A449" s="113" t="s">
        <v>501</v>
      </c>
      <c r="B449" s="113" t="s">
        <v>517</v>
      </c>
      <c r="D449" s="113" t="s">
        <v>558</v>
      </c>
    </row>
    <row r="450" spans="1:4">
      <c r="A450" s="113" t="s">
        <v>501</v>
      </c>
      <c r="B450" s="113" t="s">
        <v>517</v>
      </c>
      <c r="D450" s="113" t="s">
        <v>559</v>
      </c>
    </row>
    <row r="451" spans="1:4">
      <c r="A451" s="113" t="s">
        <v>501</v>
      </c>
      <c r="B451" s="113" t="s">
        <v>517</v>
      </c>
      <c r="D451" s="113" t="s">
        <v>560</v>
      </c>
    </row>
    <row r="452" spans="1:4">
      <c r="A452" s="113" t="s">
        <v>501</v>
      </c>
      <c r="B452" s="113" t="s">
        <v>517</v>
      </c>
      <c r="D452" s="113" t="s">
        <v>561</v>
      </c>
    </row>
    <row r="453" spans="1:4">
      <c r="A453" s="113" t="s">
        <v>501</v>
      </c>
      <c r="B453" s="113" t="s">
        <v>517</v>
      </c>
      <c r="D453" s="113" t="s">
        <v>562</v>
      </c>
    </row>
    <row r="454" spans="1:4">
      <c r="A454" s="113" t="s">
        <v>501</v>
      </c>
      <c r="B454" s="113" t="s">
        <v>517</v>
      </c>
      <c r="D454" s="113" t="s">
        <v>563</v>
      </c>
    </row>
    <row r="455" spans="1:4">
      <c r="A455" s="113" t="s">
        <v>501</v>
      </c>
      <c r="B455" s="113" t="s">
        <v>517</v>
      </c>
      <c r="D455" s="113" t="s">
        <v>564</v>
      </c>
    </row>
    <row r="456" spans="1:4">
      <c r="A456" s="113" t="s">
        <v>501</v>
      </c>
      <c r="B456" s="113" t="s">
        <v>517</v>
      </c>
      <c r="D456" s="113" t="s">
        <v>565</v>
      </c>
    </row>
    <row r="457" spans="1:4">
      <c r="A457" s="113" t="s">
        <v>501</v>
      </c>
      <c r="B457" s="113" t="s">
        <v>517</v>
      </c>
      <c r="D457" s="113" t="s">
        <v>566</v>
      </c>
    </row>
    <row r="458" spans="1:4">
      <c r="A458" s="113" t="s">
        <v>501</v>
      </c>
      <c r="B458" s="113" t="s">
        <v>517</v>
      </c>
      <c r="D458" s="113" t="s">
        <v>567</v>
      </c>
    </row>
    <row r="459" spans="1:4">
      <c r="A459" s="113" t="s">
        <v>501</v>
      </c>
      <c r="B459" s="113" t="s">
        <v>517</v>
      </c>
      <c r="D459" s="113" t="s">
        <v>568</v>
      </c>
    </row>
    <row r="460" spans="1:4">
      <c r="A460" s="113" t="s">
        <v>501</v>
      </c>
      <c r="B460" s="113" t="s">
        <v>517</v>
      </c>
      <c r="D460" s="113" t="s">
        <v>569</v>
      </c>
    </row>
    <row r="461" spans="1:4">
      <c r="A461" s="113" t="s">
        <v>501</v>
      </c>
      <c r="B461" s="113" t="s">
        <v>517</v>
      </c>
      <c r="D461" s="113" t="s">
        <v>570</v>
      </c>
    </row>
    <row r="462" spans="1:4">
      <c r="A462" s="113" t="s">
        <v>571</v>
      </c>
      <c r="B462" s="113" t="s">
        <v>572</v>
      </c>
      <c r="C462" s="113" t="s">
        <v>128</v>
      </c>
      <c r="D462" s="113" t="s">
        <v>573</v>
      </c>
    </row>
    <row r="463" spans="1:4">
      <c r="A463" s="113" t="s">
        <v>571</v>
      </c>
      <c r="B463" s="113" t="s">
        <v>572</v>
      </c>
      <c r="C463" s="113" t="s">
        <v>128</v>
      </c>
      <c r="D463" s="113" t="s">
        <v>574</v>
      </c>
    </row>
    <row r="464" spans="1:4">
      <c r="A464" s="113" t="s">
        <v>571</v>
      </c>
      <c r="B464" s="113" t="s">
        <v>572</v>
      </c>
      <c r="C464" s="113" t="s">
        <v>128</v>
      </c>
      <c r="D464" s="113" t="s">
        <v>156</v>
      </c>
    </row>
    <row r="465" spans="1:4">
      <c r="A465" s="113" t="s">
        <v>571</v>
      </c>
      <c r="B465" s="113" t="s">
        <v>572</v>
      </c>
      <c r="C465" s="113" t="s">
        <v>130</v>
      </c>
      <c r="D465" s="113" t="s">
        <v>575</v>
      </c>
    </row>
    <row r="466" spans="1:4">
      <c r="A466" s="113" t="s">
        <v>571</v>
      </c>
      <c r="B466" s="113" t="s">
        <v>572</v>
      </c>
      <c r="C466" s="113" t="s">
        <v>130</v>
      </c>
      <c r="D466" s="113" t="s">
        <v>576</v>
      </c>
    </row>
    <row r="467" spans="1:4">
      <c r="A467" s="113" t="s">
        <v>571</v>
      </c>
      <c r="B467" s="113" t="s">
        <v>572</v>
      </c>
      <c r="C467" s="113" t="s">
        <v>130</v>
      </c>
      <c r="D467" s="113" t="s">
        <v>577</v>
      </c>
    </row>
    <row r="468" spans="1:4">
      <c r="A468" s="113" t="s">
        <v>571</v>
      </c>
      <c r="B468" s="113" t="s">
        <v>572</v>
      </c>
      <c r="C468" s="113" t="s">
        <v>130</v>
      </c>
      <c r="D468" s="113" t="s">
        <v>578</v>
      </c>
    </row>
    <row r="469" spans="1:4">
      <c r="A469" s="113" t="s">
        <v>571</v>
      </c>
      <c r="B469" s="113" t="s">
        <v>572</v>
      </c>
      <c r="C469" s="113" t="s">
        <v>130</v>
      </c>
      <c r="D469" s="113" t="s">
        <v>579</v>
      </c>
    </row>
    <row r="470" spans="1:4">
      <c r="A470" s="113" t="s">
        <v>571</v>
      </c>
      <c r="B470" s="113" t="s">
        <v>572</v>
      </c>
      <c r="C470" s="113" t="s">
        <v>130</v>
      </c>
      <c r="D470" s="113" t="s">
        <v>580</v>
      </c>
    </row>
    <row r="471" spans="1:4">
      <c r="A471" s="113" t="s">
        <v>571</v>
      </c>
      <c r="B471" s="113" t="s">
        <v>572</v>
      </c>
      <c r="C471" s="113" t="s">
        <v>130</v>
      </c>
      <c r="D471" s="113" t="s">
        <v>581</v>
      </c>
    </row>
    <row r="472" spans="1:4">
      <c r="A472" s="113" t="s">
        <v>571</v>
      </c>
      <c r="B472" s="113" t="s">
        <v>572</v>
      </c>
      <c r="C472" s="113" t="s">
        <v>130</v>
      </c>
      <c r="D472" s="113" t="s">
        <v>582</v>
      </c>
    </row>
    <row r="473" spans="1:4">
      <c r="A473" s="113" t="s">
        <v>571</v>
      </c>
      <c r="B473" s="113" t="s">
        <v>583</v>
      </c>
      <c r="C473" s="113" t="s">
        <v>128</v>
      </c>
      <c r="D473" s="113" t="s">
        <v>584</v>
      </c>
    </row>
    <row r="474" spans="1:4">
      <c r="A474" s="113" t="s">
        <v>571</v>
      </c>
      <c r="B474" s="113" t="s">
        <v>583</v>
      </c>
      <c r="C474" s="113" t="s">
        <v>128</v>
      </c>
      <c r="D474" s="113" t="s">
        <v>156</v>
      </c>
    </row>
    <row r="475" spans="1:4">
      <c r="A475" s="113" t="s">
        <v>571</v>
      </c>
      <c r="B475" s="113" t="s">
        <v>583</v>
      </c>
      <c r="C475" s="113" t="s">
        <v>130</v>
      </c>
      <c r="D475" s="113" t="s">
        <v>585</v>
      </c>
    </row>
    <row r="476" spans="1:4">
      <c r="A476" s="113" t="s">
        <v>571</v>
      </c>
      <c r="B476" s="113" t="s">
        <v>583</v>
      </c>
      <c r="C476" s="113" t="s">
        <v>130</v>
      </c>
      <c r="D476" s="113" t="s">
        <v>586</v>
      </c>
    </row>
    <row r="477" spans="1:4">
      <c r="A477" s="113" t="s">
        <v>571</v>
      </c>
      <c r="B477" s="113" t="s">
        <v>587</v>
      </c>
      <c r="C477" s="113" t="s">
        <v>128</v>
      </c>
      <c r="D477" s="113" t="s">
        <v>588</v>
      </c>
    </row>
    <row r="478" spans="1:4">
      <c r="A478" s="113" t="s">
        <v>571</v>
      </c>
      <c r="B478" s="113" t="s">
        <v>587</v>
      </c>
      <c r="C478" s="113" t="s">
        <v>128</v>
      </c>
      <c r="D478" s="113" t="s">
        <v>156</v>
      </c>
    </row>
    <row r="479" spans="1:4">
      <c r="A479" s="113" t="s">
        <v>571</v>
      </c>
      <c r="B479" s="113" t="s">
        <v>587</v>
      </c>
      <c r="C479" s="113" t="s">
        <v>130</v>
      </c>
      <c r="D479" s="113" t="s">
        <v>589</v>
      </c>
    </row>
    <row r="480" spans="1:4">
      <c r="A480" s="113" t="s">
        <v>571</v>
      </c>
      <c r="B480" s="113" t="s">
        <v>587</v>
      </c>
      <c r="C480" s="113" t="s">
        <v>130</v>
      </c>
      <c r="D480" s="113" t="s">
        <v>590</v>
      </c>
    </row>
    <row r="481" spans="1:4">
      <c r="A481" s="113" t="s">
        <v>571</v>
      </c>
      <c r="B481" s="113" t="s">
        <v>587</v>
      </c>
      <c r="C481" s="113" t="s">
        <v>130</v>
      </c>
      <c r="D481" s="113" t="s">
        <v>591</v>
      </c>
    </row>
    <row r="482" spans="1:4">
      <c r="A482" s="113" t="s">
        <v>571</v>
      </c>
      <c r="B482" s="113" t="s">
        <v>587</v>
      </c>
      <c r="C482" s="113" t="s">
        <v>130</v>
      </c>
      <c r="D482" s="113" t="s">
        <v>592</v>
      </c>
    </row>
    <row r="483" spans="1:4">
      <c r="A483" s="113" t="s">
        <v>571</v>
      </c>
      <c r="B483" s="113" t="s">
        <v>587</v>
      </c>
      <c r="C483" s="113" t="s">
        <v>130</v>
      </c>
      <c r="D483" s="113" t="s">
        <v>593</v>
      </c>
    </row>
    <row r="484" spans="1:4">
      <c r="A484" s="113" t="s">
        <v>571</v>
      </c>
      <c r="B484" s="113" t="s">
        <v>587</v>
      </c>
      <c r="C484" s="113" t="s">
        <v>130</v>
      </c>
      <c r="D484" s="113" t="s">
        <v>594</v>
      </c>
    </row>
    <row r="485" spans="1:4">
      <c r="A485" s="113" t="s">
        <v>571</v>
      </c>
      <c r="B485" s="113" t="s">
        <v>587</v>
      </c>
      <c r="C485" s="113" t="s">
        <v>130</v>
      </c>
      <c r="D485" s="113" t="s">
        <v>595</v>
      </c>
    </row>
    <row r="486" spans="1:4">
      <c r="A486" s="113" t="s">
        <v>571</v>
      </c>
      <c r="B486" s="113" t="s">
        <v>587</v>
      </c>
      <c r="C486" s="113" t="s">
        <v>130</v>
      </c>
      <c r="D486" s="113" t="s">
        <v>596</v>
      </c>
    </row>
    <row r="487" spans="1:4">
      <c r="A487" s="113" t="s">
        <v>571</v>
      </c>
      <c r="B487" s="113" t="s">
        <v>587</v>
      </c>
      <c r="C487" s="113" t="s">
        <v>130</v>
      </c>
      <c r="D487" s="113" t="s">
        <v>597</v>
      </c>
    </row>
    <row r="488" spans="1:4">
      <c r="A488" s="113" t="s">
        <v>571</v>
      </c>
      <c r="B488" s="113" t="s">
        <v>587</v>
      </c>
      <c r="C488" s="113" t="s">
        <v>130</v>
      </c>
      <c r="D488" s="113" t="s">
        <v>598</v>
      </c>
    </row>
    <row r="489" spans="1:4">
      <c r="A489" s="113" t="s">
        <v>571</v>
      </c>
      <c r="B489" s="113" t="s">
        <v>599</v>
      </c>
      <c r="C489" s="113" t="s">
        <v>128</v>
      </c>
      <c r="D489" s="113" t="s">
        <v>600</v>
      </c>
    </row>
    <row r="490" spans="1:4">
      <c r="A490" s="113" t="s">
        <v>571</v>
      </c>
      <c r="B490" s="113" t="s">
        <v>599</v>
      </c>
      <c r="C490" s="113" t="s">
        <v>128</v>
      </c>
      <c r="D490" s="113" t="s">
        <v>601</v>
      </c>
    </row>
    <row r="491" spans="1:4">
      <c r="A491" s="113" t="s">
        <v>571</v>
      </c>
      <c r="B491" s="113" t="s">
        <v>599</v>
      </c>
      <c r="C491" s="113" t="s">
        <v>128</v>
      </c>
      <c r="D491" s="113" t="s">
        <v>602</v>
      </c>
    </row>
    <row r="492" spans="1:4">
      <c r="A492" s="113" t="s">
        <v>571</v>
      </c>
      <c r="B492" s="113" t="s">
        <v>599</v>
      </c>
      <c r="C492" s="113" t="s">
        <v>128</v>
      </c>
      <c r="D492" s="113" t="s">
        <v>603</v>
      </c>
    </row>
    <row r="493" spans="1:4">
      <c r="A493" s="113" t="s">
        <v>571</v>
      </c>
      <c r="B493" s="113" t="s">
        <v>599</v>
      </c>
      <c r="C493" s="113" t="s">
        <v>128</v>
      </c>
      <c r="D493" s="113" t="s">
        <v>604</v>
      </c>
    </row>
    <row r="494" spans="1:4">
      <c r="A494" s="113" t="s">
        <v>571</v>
      </c>
      <c r="B494" s="113" t="s">
        <v>599</v>
      </c>
      <c r="C494" s="113" t="s">
        <v>128</v>
      </c>
      <c r="D494" s="113" t="s">
        <v>605</v>
      </c>
    </row>
    <row r="495" spans="1:4">
      <c r="A495" s="113" t="s">
        <v>571</v>
      </c>
      <c r="B495" s="113" t="s">
        <v>599</v>
      </c>
      <c r="C495" s="113" t="s">
        <v>128</v>
      </c>
      <c r="D495" s="113" t="s">
        <v>156</v>
      </c>
    </row>
    <row r="496" spans="1:4">
      <c r="A496" s="113" t="s">
        <v>571</v>
      </c>
      <c r="B496" s="113" t="s">
        <v>599</v>
      </c>
      <c r="C496" s="113" t="s">
        <v>130</v>
      </c>
      <c r="D496" s="113" t="s">
        <v>606</v>
      </c>
    </row>
    <row r="497" spans="1:4">
      <c r="A497" s="113" t="s">
        <v>571</v>
      </c>
      <c r="B497" s="113" t="s">
        <v>599</v>
      </c>
      <c r="C497" s="113" t="s">
        <v>130</v>
      </c>
      <c r="D497" s="113" t="s">
        <v>607</v>
      </c>
    </row>
    <row r="498" spans="1:4">
      <c r="A498" s="113" t="s">
        <v>571</v>
      </c>
      <c r="B498" s="113" t="s">
        <v>599</v>
      </c>
      <c r="C498" s="113" t="s">
        <v>130</v>
      </c>
      <c r="D498" s="113" t="s">
        <v>608</v>
      </c>
    </row>
    <row r="499" spans="1:4">
      <c r="A499" s="113" t="s">
        <v>571</v>
      </c>
      <c r="B499" s="113" t="s">
        <v>599</v>
      </c>
      <c r="C499" s="113" t="s">
        <v>130</v>
      </c>
      <c r="D499" s="113" t="s">
        <v>609</v>
      </c>
    </row>
    <row r="500" spans="1:4">
      <c r="A500" s="113" t="s">
        <v>571</v>
      </c>
      <c r="B500" s="113" t="s">
        <v>599</v>
      </c>
      <c r="C500" s="113" t="s">
        <v>130</v>
      </c>
      <c r="D500" s="113" t="s">
        <v>610</v>
      </c>
    </row>
    <row r="501" spans="1:4">
      <c r="A501" s="113" t="s">
        <v>571</v>
      </c>
      <c r="B501" s="113" t="s">
        <v>599</v>
      </c>
      <c r="C501" s="113" t="s">
        <v>130</v>
      </c>
      <c r="D501" s="113" t="s">
        <v>611</v>
      </c>
    </row>
    <row r="502" spans="1:4">
      <c r="A502" s="113" t="s">
        <v>571</v>
      </c>
      <c r="B502" s="113" t="s">
        <v>599</v>
      </c>
      <c r="C502" s="113" t="s">
        <v>130</v>
      </c>
      <c r="D502" s="113" t="s">
        <v>612</v>
      </c>
    </row>
    <row r="503" spans="1:4">
      <c r="A503" s="113" t="s">
        <v>571</v>
      </c>
      <c r="B503" s="113" t="s">
        <v>599</v>
      </c>
      <c r="C503" s="113" t="s">
        <v>130</v>
      </c>
      <c r="D503" s="113" t="s">
        <v>613</v>
      </c>
    </row>
    <row r="504" spans="1:4">
      <c r="A504" s="113" t="s">
        <v>571</v>
      </c>
      <c r="B504" s="113" t="s">
        <v>599</v>
      </c>
      <c r="C504" s="113" t="s">
        <v>130</v>
      </c>
      <c r="D504" s="113" t="s">
        <v>614</v>
      </c>
    </row>
    <row r="505" spans="1:4">
      <c r="A505" s="113" t="s">
        <v>571</v>
      </c>
      <c r="B505" s="113" t="s">
        <v>599</v>
      </c>
      <c r="C505" s="113" t="s">
        <v>130</v>
      </c>
      <c r="D505" s="113" t="s">
        <v>615</v>
      </c>
    </row>
    <row r="506" spans="1:4">
      <c r="A506" s="113" t="s">
        <v>571</v>
      </c>
      <c r="B506" s="113" t="s">
        <v>599</v>
      </c>
      <c r="C506" s="113" t="s">
        <v>130</v>
      </c>
      <c r="D506" s="113" t="s">
        <v>616</v>
      </c>
    </row>
    <row r="507" spans="1:4">
      <c r="A507" s="113" t="s">
        <v>571</v>
      </c>
      <c r="B507" s="113" t="s">
        <v>599</v>
      </c>
      <c r="C507" s="113" t="s">
        <v>130</v>
      </c>
      <c r="D507" s="113" t="s">
        <v>617</v>
      </c>
    </row>
    <row r="508" spans="1:4">
      <c r="A508" s="113" t="s">
        <v>571</v>
      </c>
      <c r="B508" s="113" t="s">
        <v>599</v>
      </c>
      <c r="C508" s="113" t="s">
        <v>130</v>
      </c>
      <c r="D508" s="113" t="s">
        <v>618</v>
      </c>
    </row>
    <row r="509" spans="1:4">
      <c r="A509" s="113" t="s">
        <v>571</v>
      </c>
      <c r="B509" s="113" t="s">
        <v>619</v>
      </c>
      <c r="D509" s="113" t="s">
        <v>620</v>
      </c>
    </row>
    <row r="510" spans="1:4">
      <c r="A510" s="113" t="s">
        <v>571</v>
      </c>
      <c r="B510" s="113" t="s">
        <v>619</v>
      </c>
      <c r="D510" s="113" t="s">
        <v>621</v>
      </c>
    </row>
    <row r="511" spans="1:4">
      <c r="A511" s="113" t="s">
        <v>571</v>
      </c>
      <c r="B511" s="113" t="s">
        <v>619</v>
      </c>
      <c r="C511" s="113" t="s">
        <v>128</v>
      </c>
      <c r="D511" s="113" t="s">
        <v>156</v>
      </c>
    </row>
    <row r="512" spans="1:4">
      <c r="A512" s="113" t="s">
        <v>571</v>
      </c>
      <c r="B512" s="113" t="s">
        <v>619</v>
      </c>
      <c r="C512" s="113" t="s">
        <v>130</v>
      </c>
      <c r="D512" s="113" t="s">
        <v>622</v>
      </c>
    </row>
    <row r="513" spans="1:4">
      <c r="A513" s="113" t="s">
        <v>571</v>
      </c>
      <c r="B513" s="113" t="s">
        <v>619</v>
      </c>
      <c r="C513" s="113" t="s">
        <v>130</v>
      </c>
      <c r="D513" s="113" t="s">
        <v>623</v>
      </c>
    </row>
    <row r="514" spans="1:4">
      <c r="A514" s="113" t="s">
        <v>571</v>
      </c>
      <c r="B514" s="113" t="s">
        <v>619</v>
      </c>
      <c r="C514" s="113" t="s">
        <v>130</v>
      </c>
      <c r="D514" s="113" t="s">
        <v>620</v>
      </c>
    </row>
    <row r="515" spans="1:4">
      <c r="A515" s="113" t="s">
        <v>571</v>
      </c>
      <c r="B515" s="113" t="s">
        <v>619</v>
      </c>
      <c r="C515" s="113" t="s">
        <v>130</v>
      </c>
      <c r="D515" s="113" t="s">
        <v>621</v>
      </c>
    </row>
    <row r="516" spans="1:4">
      <c r="A516" s="113" t="s">
        <v>571</v>
      </c>
      <c r="B516" s="113" t="s">
        <v>624</v>
      </c>
      <c r="C516" s="113" t="s">
        <v>128</v>
      </c>
      <c r="D516" s="113" t="s">
        <v>156</v>
      </c>
    </row>
    <row r="517" spans="1:4">
      <c r="A517" s="113" t="s">
        <v>571</v>
      </c>
      <c r="B517" s="113" t="s">
        <v>624</v>
      </c>
      <c r="C517" s="113" t="s">
        <v>130</v>
      </c>
      <c r="D517" s="113" t="s">
        <v>625</v>
      </c>
    </row>
    <row r="518" spans="1:4">
      <c r="A518" s="113" t="s">
        <v>571</v>
      </c>
      <c r="B518" s="113" t="s">
        <v>624</v>
      </c>
      <c r="C518" s="113" t="s">
        <v>130</v>
      </c>
      <c r="D518" s="113" t="s">
        <v>626</v>
      </c>
    </row>
    <row r="519" spans="1:4">
      <c r="A519" s="113" t="s">
        <v>571</v>
      </c>
      <c r="B519" s="113" t="s">
        <v>627</v>
      </c>
      <c r="C519" s="113" t="s">
        <v>128</v>
      </c>
      <c r="D519" s="113" t="s">
        <v>156</v>
      </c>
    </row>
    <row r="520" spans="1:4">
      <c r="A520" s="113" t="s">
        <v>571</v>
      </c>
      <c r="B520" s="113" t="s">
        <v>627</v>
      </c>
      <c r="C520" s="113" t="s">
        <v>130</v>
      </c>
      <c r="D520" s="113" t="s">
        <v>628</v>
      </c>
    </row>
    <row r="521" spans="1:4">
      <c r="A521" s="113" t="s">
        <v>571</v>
      </c>
      <c r="B521" s="113" t="s">
        <v>627</v>
      </c>
      <c r="C521" s="113" t="s">
        <v>130</v>
      </c>
      <c r="D521" s="113" t="s">
        <v>629</v>
      </c>
    </row>
    <row r="522" spans="1:4">
      <c r="A522" s="113" t="s">
        <v>571</v>
      </c>
      <c r="B522" s="113" t="s">
        <v>630</v>
      </c>
      <c r="C522" s="113" t="s">
        <v>128</v>
      </c>
      <c r="D522" s="113" t="s">
        <v>156</v>
      </c>
    </row>
    <row r="523" spans="1:4">
      <c r="A523" s="113" t="s">
        <v>571</v>
      </c>
      <c r="B523" s="113" t="s">
        <v>630</v>
      </c>
      <c r="C523" s="113" t="s">
        <v>130</v>
      </c>
      <c r="D523" s="113" t="s">
        <v>631</v>
      </c>
    </row>
    <row r="524" spans="1:4">
      <c r="A524" s="113" t="s">
        <v>571</v>
      </c>
      <c r="B524" s="113" t="s">
        <v>630</v>
      </c>
      <c r="C524" s="113" t="s">
        <v>130</v>
      </c>
      <c r="D524" s="113" t="s">
        <v>632</v>
      </c>
    </row>
    <row r="525" spans="1:4">
      <c r="A525" s="113" t="s">
        <v>571</v>
      </c>
      <c r="B525" s="113" t="s">
        <v>633</v>
      </c>
      <c r="C525" s="113" t="s">
        <v>128</v>
      </c>
      <c r="D525" s="113" t="s">
        <v>156</v>
      </c>
    </row>
    <row r="526" spans="1:4">
      <c r="A526" s="113" t="s">
        <v>571</v>
      </c>
      <c r="B526" s="113" t="s">
        <v>633</v>
      </c>
      <c r="C526" s="113" t="s">
        <v>130</v>
      </c>
      <c r="D526" s="113" t="s">
        <v>634</v>
      </c>
    </row>
    <row r="527" spans="1:4">
      <c r="A527" s="113" t="s">
        <v>571</v>
      </c>
      <c r="B527" s="113" t="s">
        <v>633</v>
      </c>
      <c r="C527" s="113" t="s">
        <v>130</v>
      </c>
      <c r="D527" s="113" t="s">
        <v>635</v>
      </c>
    </row>
    <row r="528" spans="1:4">
      <c r="A528" s="113" t="s">
        <v>571</v>
      </c>
      <c r="B528" s="113" t="s">
        <v>636</v>
      </c>
      <c r="C528" s="113" t="s">
        <v>128</v>
      </c>
      <c r="D528" s="113" t="s">
        <v>156</v>
      </c>
    </row>
    <row r="529" spans="1:4">
      <c r="A529" s="113" t="s">
        <v>571</v>
      </c>
      <c r="B529" s="113" t="s">
        <v>636</v>
      </c>
      <c r="C529" s="113" t="s">
        <v>128</v>
      </c>
      <c r="D529" s="113" t="s">
        <v>637</v>
      </c>
    </row>
    <row r="530" spans="1:4">
      <c r="A530" s="113" t="s">
        <v>571</v>
      </c>
      <c r="B530" s="113" t="s">
        <v>636</v>
      </c>
      <c r="C530" s="113" t="s">
        <v>130</v>
      </c>
      <c r="D530" s="113" t="s">
        <v>638</v>
      </c>
    </row>
    <row r="531" spans="1:4">
      <c r="A531" s="113" t="s">
        <v>571</v>
      </c>
      <c r="B531" s="113" t="s">
        <v>636</v>
      </c>
      <c r="C531" s="113" t="s">
        <v>130</v>
      </c>
      <c r="D531" s="113" t="s">
        <v>639</v>
      </c>
    </row>
    <row r="532" spans="1:4">
      <c r="A532" s="113" t="s">
        <v>571</v>
      </c>
      <c r="B532" s="113" t="s">
        <v>640</v>
      </c>
      <c r="C532" s="113" t="s">
        <v>128</v>
      </c>
      <c r="D532" s="113" t="s">
        <v>156</v>
      </c>
    </row>
    <row r="533" spans="1:4">
      <c r="A533" s="113" t="s">
        <v>571</v>
      </c>
      <c r="B533" s="113" t="s">
        <v>640</v>
      </c>
      <c r="C533" s="113" t="s">
        <v>130</v>
      </c>
      <c r="D533" s="113" t="s">
        <v>641</v>
      </c>
    </row>
    <row r="534" spans="1:4">
      <c r="A534" s="113" t="s">
        <v>571</v>
      </c>
      <c r="B534" s="113" t="s">
        <v>640</v>
      </c>
      <c r="C534" s="113" t="s">
        <v>130</v>
      </c>
      <c r="D534" s="113" t="s">
        <v>642</v>
      </c>
    </row>
    <row r="535" spans="1:4">
      <c r="A535" s="113" t="s">
        <v>643</v>
      </c>
      <c r="B535" s="113" t="s">
        <v>644</v>
      </c>
      <c r="C535" s="113" t="s">
        <v>128</v>
      </c>
      <c r="D535" s="113" t="s">
        <v>182</v>
      </c>
    </row>
    <row r="536" spans="1:4">
      <c r="A536" s="113" t="s">
        <v>643</v>
      </c>
      <c r="B536" s="113" t="s">
        <v>645</v>
      </c>
      <c r="C536" s="113" t="s">
        <v>128</v>
      </c>
      <c r="D536" s="113" t="s">
        <v>182</v>
      </c>
    </row>
    <row r="537" spans="1:4">
      <c r="A537" s="113" t="s">
        <v>646</v>
      </c>
      <c r="B537" s="113" t="s">
        <v>647</v>
      </c>
      <c r="C537" s="113" t="s">
        <v>128</v>
      </c>
      <c r="D537" s="113" t="s">
        <v>648</v>
      </c>
    </row>
    <row r="538" spans="1:4">
      <c r="A538" s="113" t="s">
        <v>646</v>
      </c>
      <c r="B538" s="113" t="s">
        <v>647</v>
      </c>
      <c r="C538" s="113" t="s">
        <v>130</v>
      </c>
      <c r="D538" s="113" t="s">
        <v>649</v>
      </c>
    </row>
    <row r="539" spans="1:4">
      <c r="A539" s="113" t="s">
        <v>646</v>
      </c>
      <c r="B539" s="113" t="s">
        <v>647</v>
      </c>
      <c r="C539" s="113" t="s">
        <v>130</v>
      </c>
      <c r="D539" s="113" t="s">
        <v>650</v>
      </c>
    </row>
    <row r="540" spans="1:4">
      <c r="A540" s="113" t="s">
        <v>646</v>
      </c>
      <c r="B540" s="113" t="s">
        <v>647</v>
      </c>
      <c r="C540" s="113" t="s">
        <v>130</v>
      </c>
      <c r="D540" s="113" t="s">
        <v>651</v>
      </c>
    </row>
    <row r="541" spans="1:4">
      <c r="A541" s="113" t="s">
        <v>646</v>
      </c>
      <c r="B541" s="113" t="s">
        <v>647</v>
      </c>
      <c r="C541" s="113" t="s">
        <v>130</v>
      </c>
      <c r="D541" s="113" t="s">
        <v>652</v>
      </c>
    </row>
    <row r="542" spans="1:4">
      <c r="A542" s="113" t="s">
        <v>646</v>
      </c>
      <c r="B542" s="113" t="s">
        <v>653</v>
      </c>
      <c r="C542" s="113" t="s">
        <v>654</v>
      </c>
      <c r="D542" s="113" t="s">
        <v>655</v>
      </c>
    </row>
    <row r="543" spans="1:4">
      <c r="A543" s="113" t="s">
        <v>646</v>
      </c>
      <c r="B543" s="113" t="s">
        <v>653</v>
      </c>
      <c r="C543" s="113" t="s">
        <v>130</v>
      </c>
      <c r="D543" s="113" t="s">
        <v>656</v>
      </c>
    </row>
    <row r="544" spans="1:4">
      <c r="A544" s="113" t="s">
        <v>646</v>
      </c>
      <c r="B544" s="113" t="s">
        <v>653</v>
      </c>
      <c r="C544" s="113" t="s">
        <v>130</v>
      </c>
      <c r="D544" s="113" t="s">
        <v>657</v>
      </c>
    </row>
    <row r="545" spans="1:4">
      <c r="A545" s="113" t="s">
        <v>646</v>
      </c>
      <c r="B545" s="113" t="s">
        <v>653</v>
      </c>
      <c r="C545" s="113" t="s">
        <v>130</v>
      </c>
      <c r="D545" s="113" t="s">
        <v>651</v>
      </c>
    </row>
    <row r="546" spans="1:4">
      <c r="A546" s="113" t="s">
        <v>646</v>
      </c>
      <c r="B546" s="113" t="s">
        <v>653</v>
      </c>
      <c r="C546" s="113" t="s">
        <v>130</v>
      </c>
      <c r="D546" s="113" t="s">
        <v>652</v>
      </c>
    </row>
    <row r="547" spans="1:4">
      <c r="A547" s="113" t="s">
        <v>646</v>
      </c>
      <c r="B547" s="113" t="s">
        <v>658</v>
      </c>
      <c r="C547" s="113" t="s">
        <v>128</v>
      </c>
      <c r="D547" s="113" t="s">
        <v>659</v>
      </c>
    </row>
    <row r="548" spans="1:4">
      <c r="A548" s="113" t="s">
        <v>646</v>
      </c>
      <c r="B548" s="113" t="s">
        <v>658</v>
      </c>
      <c r="C548" s="113" t="s">
        <v>130</v>
      </c>
      <c r="D548" s="113" t="s">
        <v>660</v>
      </c>
    </row>
    <row r="549" spans="1:4">
      <c r="A549" s="113" t="s">
        <v>646</v>
      </c>
      <c r="B549" s="113" t="s">
        <v>658</v>
      </c>
      <c r="C549" s="113" t="s">
        <v>130</v>
      </c>
      <c r="D549" s="113" t="s">
        <v>661</v>
      </c>
    </row>
    <row r="550" spans="1:4">
      <c r="A550" s="113" t="s">
        <v>646</v>
      </c>
      <c r="B550" s="113" t="s">
        <v>658</v>
      </c>
      <c r="C550" s="113" t="s">
        <v>130</v>
      </c>
      <c r="D550" s="113" t="s">
        <v>651</v>
      </c>
    </row>
    <row r="551" spans="1:4">
      <c r="A551" s="113" t="s">
        <v>646</v>
      </c>
      <c r="B551" s="113" t="s">
        <v>658</v>
      </c>
      <c r="C551" s="113" t="s">
        <v>130</v>
      </c>
      <c r="D551" s="113" t="s">
        <v>652</v>
      </c>
    </row>
    <row r="552" spans="1:4">
      <c r="A552" s="113" t="s">
        <v>646</v>
      </c>
      <c r="B552" s="113" t="s">
        <v>662</v>
      </c>
      <c r="C552" s="113" t="s">
        <v>128</v>
      </c>
      <c r="D552" s="113" t="s">
        <v>663</v>
      </c>
    </row>
    <row r="553" spans="1:4">
      <c r="A553" s="113" t="s">
        <v>646</v>
      </c>
      <c r="B553" s="113" t="s">
        <v>662</v>
      </c>
      <c r="C553" s="113" t="s">
        <v>130</v>
      </c>
      <c r="D553" s="113" t="s">
        <v>664</v>
      </c>
    </row>
    <row r="554" spans="1:4">
      <c r="A554" s="113" t="s">
        <v>646</v>
      </c>
      <c r="B554" s="113" t="s">
        <v>662</v>
      </c>
      <c r="C554" s="113" t="s">
        <v>130</v>
      </c>
      <c r="D554" s="113" t="s">
        <v>665</v>
      </c>
    </row>
    <row r="555" spans="1:4">
      <c r="A555" s="113" t="s">
        <v>646</v>
      </c>
      <c r="B555" s="113" t="s">
        <v>662</v>
      </c>
      <c r="C555" s="113" t="s">
        <v>130</v>
      </c>
      <c r="D555" s="113" t="s">
        <v>666</v>
      </c>
    </row>
    <row r="556" spans="1:4">
      <c r="A556" s="113" t="s">
        <v>646</v>
      </c>
      <c r="B556" s="113" t="s">
        <v>662</v>
      </c>
      <c r="C556" s="113" t="s">
        <v>130</v>
      </c>
      <c r="D556" s="113" t="s">
        <v>667</v>
      </c>
    </row>
    <row r="557" spans="1:4">
      <c r="A557" s="113" t="s">
        <v>646</v>
      </c>
      <c r="B557" s="113" t="s">
        <v>668</v>
      </c>
      <c r="C557" s="113" t="s">
        <v>128</v>
      </c>
      <c r="D557" s="113" t="s">
        <v>669</v>
      </c>
    </row>
    <row r="558" spans="1:4">
      <c r="A558" s="113" t="s">
        <v>646</v>
      </c>
      <c r="B558" s="113" t="s">
        <v>668</v>
      </c>
      <c r="C558" s="113" t="s">
        <v>670</v>
      </c>
      <c r="D558" s="113" t="s">
        <v>671</v>
      </c>
    </row>
    <row r="559" spans="1:4">
      <c r="A559" s="113" t="s">
        <v>646</v>
      </c>
      <c r="B559" s="113" t="s">
        <v>668</v>
      </c>
      <c r="C559" s="113" t="s">
        <v>670</v>
      </c>
      <c r="D559" s="113" t="s">
        <v>672</v>
      </c>
    </row>
    <row r="560" spans="1:4">
      <c r="A560" s="113" t="s">
        <v>646</v>
      </c>
      <c r="B560" s="113" t="s">
        <v>668</v>
      </c>
      <c r="C560" s="113" t="s">
        <v>670</v>
      </c>
      <c r="D560" s="113" t="s">
        <v>673</v>
      </c>
    </row>
    <row r="561" spans="1:4">
      <c r="A561" s="113" t="s">
        <v>646</v>
      </c>
      <c r="B561" s="113" t="s">
        <v>668</v>
      </c>
      <c r="C561" s="113" t="s">
        <v>670</v>
      </c>
      <c r="D561" s="113" t="s">
        <v>674</v>
      </c>
    </row>
    <row r="562" spans="1:4">
      <c r="A562" s="113" t="s">
        <v>646</v>
      </c>
      <c r="B562" s="113" t="s">
        <v>675</v>
      </c>
      <c r="D562" s="113" t="s">
        <v>676</v>
      </c>
    </row>
    <row r="563" spans="1:4">
      <c r="A563" s="113" t="s">
        <v>646</v>
      </c>
      <c r="B563" s="113" t="s">
        <v>675</v>
      </c>
      <c r="C563" s="113" t="s">
        <v>128</v>
      </c>
      <c r="D563" s="113" t="s">
        <v>677</v>
      </c>
    </row>
    <row r="564" spans="1:4">
      <c r="A564" s="113" t="s">
        <v>646</v>
      </c>
      <c r="B564" s="113" t="s">
        <v>675</v>
      </c>
      <c r="C564" s="113" t="s">
        <v>130</v>
      </c>
      <c r="D564" s="113" t="s">
        <v>678</v>
      </c>
    </row>
    <row r="565" spans="1:4">
      <c r="A565" s="113" t="s">
        <v>646</v>
      </c>
      <c r="B565" s="113" t="s">
        <v>675</v>
      </c>
      <c r="C565" s="113" t="s">
        <v>130</v>
      </c>
      <c r="D565" s="113" t="s">
        <v>679</v>
      </c>
    </row>
    <row r="566" spans="1:4">
      <c r="A566" s="113" t="s">
        <v>646</v>
      </c>
      <c r="B566" s="113" t="s">
        <v>675</v>
      </c>
      <c r="C566" s="113" t="s">
        <v>130</v>
      </c>
      <c r="D566" s="113" t="s">
        <v>680</v>
      </c>
    </row>
    <row r="567" spans="1:4">
      <c r="A567" s="113" t="s">
        <v>646</v>
      </c>
      <c r="B567" s="113" t="s">
        <v>675</v>
      </c>
      <c r="C567" s="113" t="s">
        <v>130</v>
      </c>
      <c r="D567" s="113" t="s">
        <v>681</v>
      </c>
    </row>
    <row r="568" spans="1:4">
      <c r="A568" s="113" t="s">
        <v>646</v>
      </c>
      <c r="B568" s="113" t="s">
        <v>675</v>
      </c>
      <c r="C568" s="113" t="s">
        <v>130</v>
      </c>
      <c r="D568" s="113" t="s">
        <v>682</v>
      </c>
    </row>
    <row r="569" spans="1:4">
      <c r="A569" s="113" t="s">
        <v>646</v>
      </c>
      <c r="B569" s="113" t="s">
        <v>675</v>
      </c>
      <c r="C569" s="113" t="s">
        <v>130</v>
      </c>
      <c r="D569" s="113" t="s">
        <v>683</v>
      </c>
    </row>
    <row r="570" spans="1:4">
      <c r="A570" s="113" t="s">
        <v>646</v>
      </c>
      <c r="B570" s="113" t="s">
        <v>684</v>
      </c>
      <c r="C570" s="113" t="s">
        <v>128</v>
      </c>
      <c r="D570" s="113" t="s">
        <v>156</v>
      </c>
    </row>
    <row r="571" spans="1:4">
      <c r="A571" s="113" t="s">
        <v>646</v>
      </c>
      <c r="B571" s="113" t="s">
        <v>684</v>
      </c>
      <c r="C571" s="113" t="s">
        <v>130</v>
      </c>
      <c r="D571" s="113" t="s">
        <v>273</v>
      </c>
    </row>
    <row r="572" spans="1:4">
      <c r="A572" s="113" t="s">
        <v>646</v>
      </c>
      <c r="B572" s="113" t="s">
        <v>684</v>
      </c>
      <c r="C572" s="113" t="s">
        <v>130</v>
      </c>
      <c r="D572" s="113" t="s">
        <v>274</v>
      </c>
    </row>
    <row r="573" spans="1:4">
      <c r="A573" s="113" t="s">
        <v>646</v>
      </c>
      <c r="B573" s="113" t="s">
        <v>685</v>
      </c>
      <c r="C573" s="113" t="s">
        <v>128</v>
      </c>
      <c r="D573" s="113" t="s">
        <v>156</v>
      </c>
    </row>
    <row r="574" spans="1:4">
      <c r="A574" s="113" t="s">
        <v>646</v>
      </c>
      <c r="B574" s="113" t="s">
        <v>685</v>
      </c>
      <c r="C574" s="113" t="s">
        <v>128</v>
      </c>
      <c r="D574" s="113" t="s">
        <v>686</v>
      </c>
    </row>
    <row r="575" spans="1:4">
      <c r="A575" s="113" t="s">
        <v>646</v>
      </c>
      <c r="B575" s="113" t="s">
        <v>685</v>
      </c>
      <c r="C575" s="113" t="s">
        <v>130</v>
      </c>
      <c r="D575" s="113" t="s">
        <v>273</v>
      </c>
    </row>
    <row r="576" spans="1:4">
      <c r="A576" s="113" t="s">
        <v>646</v>
      </c>
      <c r="B576" s="113" t="s">
        <v>685</v>
      </c>
      <c r="C576" s="113" t="s">
        <v>130</v>
      </c>
      <c r="D576" s="113" t="s">
        <v>274</v>
      </c>
    </row>
    <row r="577" spans="1:4">
      <c r="A577" s="113" t="s">
        <v>646</v>
      </c>
      <c r="B577" s="113" t="s">
        <v>687</v>
      </c>
      <c r="C577" s="113" t="s">
        <v>128</v>
      </c>
      <c r="D577" s="113" t="s">
        <v>688</v>
      </c>
    </row>
    <row r="578" spans="1:4">
      <c r="A578" s="113" t="s">
        <v>646</v>
      </c>
      <c r="B578" s="113" t="s">
        <v>687</v>
      </c>
      <c r="C578" s="113" t="s">
        <v>128</v>
      </c>
      <c r="D578" s="113" t="s">
        <v>689</v>
      </c>
    </row>
    <row r="579" spans="1:4">
      <c r="A579" s="113" t="s">
        <v>646</v>
      </c>
      <c r="B579" s="113" t="s">
        <v>687</v>
      </c>
      <c r="C579" s="113" t="s">
        <v>128</v>
      </c>
      <c r="D579" s="113" t="s">
        <v>690</v>
      </c>
    </row>
    <row r="580" spans="1:4">
      <c r="A580" s="113" t="s">
        <v>646</v>
      </c>
      <c r="B580" s="113" t="s">
        <v>687</v>
      </c>
      <c r="C580" s="113" t="s">
        <v>128</v>
      </c>
      <c r="D580" s="113" t="s">
        <v>156</v>
      </c>
    </row>
    <row r="581" spans="1:4">
      <c r="A581" s="113" t="s">
        <v>646</v>
      </c>
      <c r="B581" s="113" t="s">
        <v>687</v>
      </c>
      <c r="C581" s="113" t="s">
        <v>130</v>
      </c>
      <c r="D581" s="113" t="s">
        <v>691</v>
      </c>
    </row>
    <row r="582" spans="1:4">
      <c r="A582" s="113" t="s">
        <v>646</v>
      </c>
      <c r="B582" s="113" t="s">
        <v>687</v>
      </c>
      <c r="C582" s="113" t="s">
        <v>130</v>
      </c>
      <c r="D582" s="113" t="s">
        <v>692</v>
      </c>
    </row>
    <row r="583" spans="1:4">
      <c r="A583" s="113" t="s">
        <v>646</v>
      </c>
      <c r="B583" s="113" t="s">
        <v>687</v>
      </c>
      <c r="C583" s="113" t="s">
        <v>130</v>
      </c>
      <c r="D583" s="113" t="s">
        <v>693</v>
      </c>
    </row>
    <row r="584" spans="1:4">
      <c r="A584" s="113" t="s">
        <v>646</v>
      </c>
      <c r="B584" s="113" t="s">
        <v>687</v>
      </c>
      <c r="C584" s="113" t="s">
        <v>130</v>
      </c>
      <c r="D584" s="113" t="s">
        <v>694</v>
      </c>
    </row>
    <row r="585" spans="1:4">
      <c r="A585" s="113" t="s">
        <v>646</v>
      </c>
      <c r="B585" s="113" t="s">
        <v>695</v>
      </c>
      <c r="C585" s="113" t="s">
        <v>128</v>
      </c>
      <c r="D585" s="113" t="s">
        <v>156</v>
      </c>
    </row>
    <row r="586" spans="1:4">
      <c r="A586" s="113" t="s">
        <v>646</v>
      </c>
      <c r="B586" s="113" t="s">
        <v>695</v>
      </c>
      <c r="C586" s="113" t="s">
        <v>128</v>
      </c>
      <c r="D586" s="113" t="s">
        <v>696</v>
      </c>
    </row>
    <row r="587" spans="1:4">
      <c r="A587" s="113" t="s">
        <v>646</v>
      </c>
      <c r="B587" s="113" t="s">
        <v>695</v>
      </c>
      <c r="C587" s="113" t="s">
        <v>130</v>
      </c>
      <c r="D587" s="113" t="s">
        <v>697</v>
      </c>
    </row>
    <row r="588" spans="1:4">
      <c r="A588" s="113" t="s">
        <v>646</v>
      </c>
      <c r="B588" s="113" t="s">
        <v>695</v>
      </c>
      <c r="C588" s="113" t="s">
        <v>130</v>
      </c>
      <c r="D588" s="113" t="s">
        <v>698</v>
      </c>
    </row>
    <row r="589" spans="1:4">
      <c r="A589" s="113" t="s">
        <v>646</v>
      </c>
      <c r="B589" s="113" t="s">
        <v>699</v>
      </c>
      <c r="C589" s="113" t="s">
        <v>128</v>
      </c>
      <c r="D589" s="113" t="s">
        <v>677</v>
      </c>
    </row>
    <row r="590" spans="1:4">
      <c r="A590" s="113" t="s">
        <v>646</v>
      </c>
      <c r="B590" s="113" t="s">
        <v>699</v>
      </c>
      <c r="C590" s="113" t="s">
        <v>130</v>
      </c>
      <c r="D590" s="113" t="s">
        <v>678</v>
      </c>
    </row>
    <row r="591" spans="1:4">
      <c r="A591" s="113" t="s">
        <v>646</v>
      </c>
      <c r="B591" s="113" t="s">
        <v>699</v>
      </c>
      <c r="C591" s="113" t="s">
        <v>130</v>
      </c>
      <c r="D591" s="113" t="s">
        <v>679</v>
      </c>
    </row>
    <row r="592" spans="1:4">
      <c r="A592" s="113" t="s">
        <v>646</v>
      </c>
      <c r="B592" s="113" t="s">
        <v>699</v>
      </c>
      <c r="C592" s="113" t="s">
        <v>130</v>
      </c>
      <c r="D592" s="113" t="s">
        <v>680</v>
      </c>
    </row>
    <row r="593" spans="1:4">
      <c r="A593" s="113" t="s">
        <v>646</v>
      </c>
      <c r="B593" s="113" t="s">
        <v>699</v>
      </c>
      <c r="C593" s="113" t="s">
        <v>130</v>
      </c>
      <c r="D593" s="113" t="s">
        <v>681</v>
      </c>
    </row>
    <row r="594" spans="1:4">
      <c r="A594" s="113" t="s">
        <v>646</v>
      </c>
      <c r="B594" s="113" t="s">
        <v>700</v>
      </c>
      <c r="C594" s="113" t="s">
        <v>128</v>
      </c>
      <c r="D594" s="113" t="s">
        <v>156</v>
      </c>
    </row>
    <row r="595" spans="1:4">
      <c r="A595" s="113" t="s">
        <v>646</v>
      </c>
      <c r="B595" s="113" t="s">
        <v>700</v>
      </c>
      <c r="C595" s="113" t="s">
        <v>128</v>
      </c>
      <c r="D595" s="113" t="s">
        <v>701</v>
      </c>
    </row>
    <row r="596" spans="1:4">
      <c r="A596" s="113" t="s">
        <v>646</v>
      </c>
      <c r="B596" s="113" t="s">
        <v>700</v>
      </c>
      <c r="C596" s="113" t="s">
        <v>130</v>
      </c>
      <c r="D596" s="113" t="s">
        <v>702</v>
      </c>
    </row>
    <row r="597" spans="1:4">
      <c r="A597" s="113" t="s">
        <v>646</v>
      </c>
      <c r="B597" s="113" t="s">
        <v>700</v>
      </c>
      <c r="C597" s="113" t="s">
        <v>130</v>
      </c>
      <c r="D597" s="113" t="s">
        <v>703</v>
      </c>
    </row>
    <row r="598" spans="1:4">
      <c r="A598" s="113" t="s">
        <v>646</v>
      </c>
      <c r="B598" s="113" t="s">
        <v>704</v>
      </c>
      <c r="C598" s="113" t="s">
        <v>128</v>
      </c>
      <c r="D598" s="113" t="s">
        <v>156</v>
      </c>
    </row>
    <row r="599" spans="1:4">
      <c r="A599" s="113" t="s">
        <v>646</v>
      </c>
      <c r="B599" s="113" t="s">
        <v>704</v>
      </c>
      <c r="C599" s="113" t="s">
        <v>128</v>
      </c>
      <c r="D599" s="113" t="s">
        <v>705</v>
      </c>
    </row>
    <row r="600" spans="1:4">
      <c r="A600" s="113" t="s">
        <v>646</v>
      </c>
      <c r="B600" s="113" t="s">
        <v>704</v>
      </c>
      <c r="C600" s="113" t="s">
        <v>130</v>
      </c>
      <c r="D600" s="113" t="s">
        <v>706</v>
      </c>
    </row>
    <row r="601" spans="1:4">
      <c r="A601" s="113" t="s">
        <v>646</v>
      </c>
      <c r="B601" s="113" t="s">
        <v>704</v>
      </c>
      <c r="C601" s="113" t="s">
        <v>130</v>
      </c>
      <c r="D601" s="113" t="s">
        <v>707</v>
      </c>
    </row>
    <row r="602" spans="1:4">
      <c r="A602" s="113" t="s">
        <v>646</v>
      </c>
      <c r="B602" s="113" t="s">
        <v>708</v>
      </c>
      <c r="C602" s="113" t="s">
        <v>128</v>
      </c>
      <c r="D602" s="113" t="s">
        <v>709</v>
      </c>
    </row>
    <row r="603" spans="1:4">
      <c r="A603" s="113" t="s">
        <v>646</v>
      </c>
      <c r="B603" s="113" t="s">
        <v>708</v>
      </c>
      <c r="C603" s="113" t="s">
        <v>128</v>
      </c>
      <c r="D603" s="113" t="s">
        <v>710</v>
      </c>
    </row>
    <row r="604" spans="1:4">
      <c r="A604" s="113" t="s">
        <v>646</v>
      </c>
      <c r="B604" s="113" t="s">
        <v>708</v>
      </c>
      <c r="C604" s="113" t="s">
        <v>128</v>
      </c>
      <c r="D604" s="113" t="s">
        <v>711</v>
      </c>
    </row>
    <row r="605" spans="1:4">
      <c r="A605" s="113" t="s">
        <v>646</v>
      </c>
      <c r="B605" s="113" t="s">
        <v>708</v>
      </c>
      <c r="C605" s="113" t="s">
        <v>128</v>
      </c>
      <c r="D605" s="113" t="s">
        <v>712</v>
      </c>
    </row>
    <row r="606" spans="1:4">
      <c r="A606" s="113" t="s">
        <v>646</v>
      </c>
      <c r="B606" s="113" t="s">
        <v>708</v>
      </c>
      <c r="C606" s="113" t="s">
        <v>128</v>
      </c>
      <c r="D606" s="113" t="s">
        <v>713</v>
      </c>
    </row>
    <row r="607" spans="1:4">
      <c r="A607" s="113" t="s">
        <v>646</v>
      </c>
      <c r="B607" s="113" t="s">
        <v>708</v>
      </c>
      <c r="C607" s="113" t="s">
        <v>130</v>
      </c>
      <c r="D607" s="113" t="s">
        <v>259</v>
      </c>
    </row>
    <row r="608" spans="1:4">
      <c r="A608" s="113" t="s">
        <v>646</v>
      </c>
      <c r="B608" s="113" t="s">
        <v>708</v>
      </c>
      <c r="C608" s="113" t="s">
        <v>130</v>
      </c>
      <c r="D608" s="113" t="s">
        <v>260</v>
      </c>
    </row>
    <row r="609" spans="1:4">
      <c r="A609" s="113" t="s">
        <v>646</v>
      </c>
      <c r="B609" s="113" t="s">
        <v>708</v>
      </c>
      <c r="C609" s="113" t="s">
        <v>130</v>
      </c>
      <c r="D609" s="113" t="s">
        <v>714</v>
      </c>
    </row>
    <row r="610" spans="1:4">
      <c r="A610" s="113" t="s">
        <v>646</v>
      </c>
      <c r="B610" s="113" t="s">
        <v>708</v>
      </c>
      <c r="C610" s="113" t="s">
        <v>130</v>
      </c>
      <c r="D610" s="113" t="s">
        <v>715</v>
      </c>
    </row>
    <row r="611" spans="1:4">
      <c r="A611" s="113" t="s">
        <v>646</v>
      </c>
      <c r="B611" s="113" t="s">
        <v>708</v>
      </c>
      <c r="C611" s="113" t="s">
        <v>130</v>
      </c>
      <c r="D611" s="113" t="s">
        <v>436</v>
      </c>
    </row>
    <row r="612" spans="1:4">
      <c r="A612" s="113" t="s">
        <v>646</v>
      </c>
      <c r="B612" s="113" t="s">
        <v>708</v>
      </c>
      <c r="C612" s="113" t="s">
        <v>130</v>
      </c>
      <c r="D612" s="113" t="s">
        <v>437</v>
      </c>
    </row>
    <row r="613" spans="1:4">
      <c r="A613" s="113" t="s">
        <v>646</v>
      </c>
      <c r="B613" s="113" t="s">
        <v>708</v>
      </c>
      <c r="C613" s="113" t="s">
        <v>130</v>
      </c>
      <c r="D613" s="113" t="s">
        <v>716</v>
      </c>
    </row>
    <row r="614" spans="1:4">
      <c r="A614" s="113" t="s">
        <v>646</v>
      </c>
      <c r="B614" s="113" t="s">
        <v>708</v>
      </c>
      <c r="C614" s="113" t="s">
        <v>130</v>
      </c>
      <c r="D614" s="113" t="s">
        <v>717</v>
      </c>
    </row>
    <row r="615" spans="1:4">
      <c r="A615" s="113" t="s">
        <v>646</v>
      </c>
      <c r="B615" s="113" t="s">
        <v>708</v>
      </c>
      <c r="C615" s="113" t="s">
        <v>130</v>
      </c>
      <c r="D615" s="113" t="s">
        <v>718</v>
      </c>
    </row>
    <row r="616" spans="1:4">
      <c r="A616" s="113" t="s">
        <v>646</v>
      </c>
      <c r="B616" s="113" t="s">
        <v>708</v>
      </c>
      <c r="C616" s="113" t="s">
        <v>130</v>
      </c>
      <c r="D616" s="113" t="s">
        <v>719</v>
      </c>
    </row>
    <row r="617" spans="1:4">
      <c r="A617" s="113" t="s">
        <v>646</v>
      </c>
      <c r="B617" s="113" t="s">
        <v>720</v>
      </c>
      <c r="C617" s="113" t="s">
        <v>128</v>
      </c>
      <c r="D617" s="113" t="s">
        <v>721</v>
      </c>
    </row>
    <row r="618" spans="1:4">
      <c r="A618" s="113" t="s">
        <v>646</v>
      </c>
      <c r="B618" s="113" t="s">
        <v>720</v>
      </c>
      <c r="C618" s="113" t="s">
        <v>128</v>
      </c>
      <c r="D618" s="113" t="s">
        <v>722</v>
      </c>
    </row>
    <row r="619" spans="1:4">
      <c r="A619" s="113" t="s">
        <v>646</v>
      </c>
      <c r="B619" s="113" t="s">
        <v>720</v>
      </c>
      <c r="C619" s="113" t="s">
        <v>128</v>
      </c>
      <c r="D619" s="113" t="s">
        <v>156</v>
      </c>
    </row>
    <row r="620" spans="1:4">
      <c r="A620" s="113" t="s">
        <v>646</v>
      </c>
      <c r="B620" s="113" t="s">
        <v>720</v>
      </c>
      <c r="C620" s="113" t="s">
        <v>128</v>
      </c>
      <c r="D620" s="113" t="s">
        <v>723</v>
      </c>
    </row>
    <row r="621" spans="1:4">
      <c r="A621" s="113" t="s">
        <v>646</v>
      </c>
      <c r="B621" s="113" t="s">
        <v>720</v>
      </c>
      <c r="C621" s="113" t="s">
        <v>130</v>
      </c>
      <c r="D621" s="113" t="s">
        <v>724</v>
      </c>
    </row>
    <row r="622" spans="1:4">
      <c r="A622" s="113" t="s">
        <v>646</v>
      </c>
      <c r="B622" s="113" t="s">
        <v>720</v>
      </c>
      <c r="C622" s="113" t="s">
        <v>130</v>
      </c>
      <c r="D622" s="113" t="s">
        <v>725</v>
      </c>
    </row>
    <row r="623" spans="1:4">
      <c r="A623" s="113" t="s">
        <v>646</v>
      </c>
      <c r="B623" s="113" t="s">
        <v>720</v>
      </c>
      <c r="C623" s="113" t="s">
        <v>130</v>
      </c>
      <c r="D623" s="113" t="s">
        <v>726</v>
      </c>
    </row>
    <row r="624" spans="1:4">
      <c r="A624" s="113" t="s">
        <v>646</v>
      </c>
      <c r="B624" s="113" t="s">
        <v>720</v>
      </c>
      <c r="C624" s="113" t="s">
        <v>130</v>
      </c>
      <c r="D624" s="113" t="s">
        <v>727</v>
      </c>
    </row>
    <row r="625" spans="1:4">
      <c r="A625" s="113" t="s">
        <v>646</v>
      </c>
      <c r="B625" s="113" t="s">
        <v>728</v>
      </c>
      <c r="C625" s="113" t="s">
        <v>128</v>
      </c>
      <c r="D625" s="113" t="s">
        <v>156</v>
      </c>
    </row>
    <row r="626" spans="1:4">
      <c r="A626" s="113" t="s">
        <v>646</v>
      </c>
      <c r="B626" s="113" t="s">
        <v>728</v>
      </c>
      <c r="C626" s="113" t="s">
        <v>130</v>
      </c>
      <c r="D626" s="113" t="s">
        <v>729</v>
      </c>
    </row>
    <row r="627" spans="1:4">
      <c r="A627" s="113" t="s">
        <v>646</v>
      </c>
      <c r="B627" s="113" t="s">
        <v>728</v>
      </c>
      <c r="C627" s="113" t="s">
        <v>130</v>
      </c>
      <c r="D627" s="113" t="s">
        <v>730</v>
      </c>
    </row>
    <row r="628" spans="1:4">
      <c r="A628" s="113" t="s">
        <v>646</v>
      </c>
      <c r="B628" s="113" t="s">
        <v>731</v>
      </c>
      <c r="C628" s="113" t="s">
        <v>128</v>
      </c>
      <c r="D628" s="113" t="s">
        <v>732</v>
      </c>
    </row>
    <row r="629" spans="1:4">
      <c r="A629" s="113" t="s">
        <v>646</v>
      </c>
      <c r="B629" s="113" t="s">
        <v>731</v>
      </c>
      <c r="C629" s="113" t="s">
        <v>128</v>
      </c>
      <c r="D629" s="113" t="s">
        <v>733</v>
      </c>
    </row>
    <row r="630" spans="1:4">
      <c r="A630" s="113" t="s">
        <v>646</v>
      </c>
      <c r="B630" s="113" t="s">
        <v>731</v>
      </c>
      <c r="C630" s="113" t="s">
        <v>128</v>
      </c>
      <c r="D630" s="113" t="s">
        <v>734</v>
      </c>
    </row>
    <row r="631" spans="1:4">
      <c r="A631" s="113" t="s">
        <v>646</v>
      </c>
      <c r="B631" s="113" t="s">
        <v>731</v>
      </c>
      <c r="C631" s="113" t="s">
        <v>128</v>
      </c>
      <c r="D631" s="113" t="s">
        <v>735</v>
      </c>
    </row>
    <row r="632" spans="1:4">
      <c r="A632" s="113" t="s">
        <v>646</v>
      </c>
      <c r="B632" s="113" t="s">
        <v>731</v>
      </c>
      <c r="C632" s="113" t="s">
        <v>128</v>
      </c>
      <c r="D632" s="113" t="s">
        <v>156</v>
      </c>
    </row>
    <row r="633" spans="1:4">
      <c r="A633" s="113" t="s">
        <v>646</v>
      </c>
      <c r="B633" s="113" t="s">
        <v>731</v>
      </c>
      <c r="C633" s="113" t="s">
        <v>130</v>
      </c>
      <c r="D633" s="113" t="s">
        <v>736</v>
      </c>
    </row>
    <row r="634" spans="1:4">
      <c r="A634" s="113" t="s">
        <v>646</v>
      </c>
      <c r="B634" s="113" t="s">
        <v>731</v>
      </c>
      <c r="C634" s="113" t="s">
        <v>130</v>
      </c>
      <c r="D634" s="113" t="s">
        <v>737</v>
      </c>
    </row>
    <row r="635" spans="1:4">
      <c r="A635" s="113" t="s">
        <v>646</v>
      </c>
      <c r="B635" s="113" t="s">
        <v>731</v>
      </c>
      <c r="C635" s="113" t="s">
        <v>130</v>
      </c>
      <c r="D635" s="113" t="s">
        <v>738</v>
      </c>
    </row>
    <row r="636" spans="1:4">
      <c r="A636" s="113" t="s">
        <v>646</v>
      </c>
      <c r="B636" s="113" t="s">
        <v>731</v>
      </c>
      <c r="C636" s="113" t="s">
        <v>130</v>
      </c>
      <c r="D636" s="113" t="s">
        <v>739</v>
      </c>
    </row>
    <row r="637" spans="1:4">
      <c r="A637" s="113" t="s">
        <v>646</v>
      </c>
      <c r="B637" s="113" t="s">
        <v>731</v>
      </c>
      <c r="C637" s="113" t="s">
        <v>130</v>
      </c>
      <c r="D637" s="113" t="s">
        <v>740</v>
      </c>
    </row>
    <row r="638" spans="1:4">
      <c r="A638" s="113" t="s">
        <v>646</v>
      </c>
      <c r="B638" s="113" t="s">
        <v>731</v>
      </c>
      <c r="C638" s="113" t="s">
        <v>130</v>
      </c>
      <c r="D638" s="113" t="s">
        <v>741</v>
      </c>
    </row>
    <row r="639" spans="1:4">
      <c r="A639" s="113" t="s">
        <v>646</v>
      </c>
      <c r="B639" s="113" t="s">
        <v>742</v>
      </c>
      <c r="C639" s="113" t="s">
        <v>128</v>
      </c>
      <c r="D639" s="113" t="s">
        <v>156</v>
      </c>
    </row>
    <row r="640" spans="1:4">
      <c r="A640" s="113" t="s">
        <v>646</v>
      </c>
      <c r="B640" s="113" t="s">
        <v>742</v>
      </c>
      <c r="C640" s="113" t="s">
        <v>128</v>
      </c>
      <c r="D640" s="113" t="s">
        <v>743</v>
      </c>
    </row>
    <row r="641" spans="1:4">
      <c r="A641" s="113" t="s">
        <v>646</v>
      </c>
      <c r="B641" s="113" t="s">
        <v>742</v>
      </c>
      <c r="C641" s="113" t="s">
        <v>130</v>
      </c>
      <c r="D641" s="113" t="s">
        <v>744</v>
      </c>
    </row>
    <row r="642" spans="1:4">
      <c r="A642" s="113" t="s">
        <v>646</v>
      </c>
      <c r="B642" s="113" t="s">
        <v>742</v>
      </c>
      <c r="C642" s="113" t="s">
        <v>130</v>
      </c>
      <c r="D642" s="113" t="s">
        <v>745</v>
      </c>
    </row>
    <row r="643" spans="1:4">
      <c r="A643" s="113" t="s">
        <v>646</v>
      </c>
      <c r="B643" s="113" t="s">
        <v>742</v>
      </c>
      <c r="C643" s="113" t="s">
        <v>130</v>
      </c>
      <c r="D643" s="113" t="s">
        <v>746</v>
      </c>
    </row>
    <row r="644" spans="1:4">
      <c r="A644" s="113" t="s">
        <v>646</v>
      </c>
      <c r="B644" s="113" t="s">
        <v>742</v>
      </c>
      <c r="C644" s="113" t="s">
        <v>130</v>
      </c>
      <c r="D644" s="113" t="s">
        <v>747</v>
      </c>
    </row>
    <row r="645" spans="1:4">
      <c r="A645" s="113" t="s">
        <v>646</v>
      </c>
      <c r="B645" s="113" t="s">
        <v>748</v>
      </c>
      <c r="C645" s="113" t="s">
        <v>128</v>
      </c>
      <c r="D645" s="113" t="s">
        <v>156</v>
      </c>
    </row>
    <row r="646" spans="1:4">
      <c r="A646" s="113" t="s">
        <v>646</v>
      </c>
      <c r="B646" s="113" t="s">
        <v>748</v>
      </c>
      <c r="C646" s="113" t="s">
        <v>128</v>
      </c>
      <c r="D646" s="113" t="s">
        <v>749</v>
      </c>
    </row>
    <row r="647" spans="1:4">
      <c r="A647" s="113" t="s">
        <v>646</v>
      </c>
      <c r="B647" s="113" t="s">
        <v>748</v>
      </c>
      <c r="C647" s="113" t="s">
        <v>130</v>
      </c>
      <c r="D647" s="113" t="s">
        <v>750</v>
      </c>
    </row>
    <row r="648" spans="1:4">
      <c r="A648" s="113" t="s">
        <v>646</v>
      </c>
      <c r="B648" s="113" t="s">
        <v>748</v>
      </c>
      <c r="C648" s="113" t="s">
        <v>130</v>
      </c>
      <c r="D648" s="113" t="s">
        <v>751</v>
      </c>
    </row>
    <row r="649" spans="1:4">
      <c r="A649" s="113" t="s">
        <v>646</v>
      </c>
      <c r="B649" s="113" t="s">
        <v>752</v>
      </c>
      <c r="C649" s="113" t="s">
        <v>128</v>
      </c>
      <c r="D649" s="113" t="s">
        <v>156</v>
      </c>
    </row>
    <row r="650" spans="1:4">
      <c r="A650" s="113" t="s">
        <v>646</v>
      </c>
      <c r="B650" s="113" t="s">
        <v>752</v>
      </c>
      <c r="C650" s="113" t="s">
        <v>130</v>
      </c>
      <c r="D650" s="113" t="s">
        <v>753</v>
      </c>
    </row>
    <row r="651" spans="1:4">
      <c r="A651" s="113" t="s">
        <v>646</v>
      </c>
      <c r="B651" s="113" t="s">
        <v>752</v>
      </c>
      <c r="C651" s="113" t="s">
        <v>130</v>
      </c>
      <c r="D651" s="113" t="s">
        <v>754</v>
      </c>
    </row>
    <row r="652" spans="1:4">
      <c r="A652" s="113" t="s">
        <v>646</v>
      </c>
      <c r="B652" s="113" t="s">
        <v>755</v>
      </c>
      <c r="C652" s="113" t="s">
        <v>128</v>
      </c>
      <c r="D652" s="113" t="s">
        <v>756</v>
      </c>
    </row>
    <row r="653" spans="1:4">
      <c r="A653" s="113" t="s">
        <v>646</v>
      </c>
      <c r="B653" s="113" t="s">
        <v>755</v>
      </c>
      <c r="C653" s="113" t="s">
        <v>128</v>
      </c>
      <c r="D653" s="113" t="s">
        <v>757</v>
      </c>
    </row>
    <row r="654" spans="1:4">
      <c r="A654" s="113" t="s">
        <v>646</v>
      </c>
      <c r="B654" s="113" t="s">
        <v>755</v>
      </c>
      <c r="C654" s="113" t="s">
        <v>128</v>
      </c>
      <c r="D654" s="113" t="s">
        <v>758</v>
      </c>
    </row>
    <row r="655" spans="1:4">
      <c r="A655" s="113" t="s">
        <v>646</v>
      </c>
      <c r="B655" s="113" t="s">
        <v>755</v>
      </c>
      <c r="C655" s="113" t="s">
        <v>128</v>
      </c>
      <c r="D655" s="113" t="s">
        <v>156</v>
      </c>
    </row>
    <row r="656" spans="1:4">
      <c r="A656" s="113" t="s">
        <v>646</v>
      </c>
      <c r="B656" s="113" t="s">
        <v>755</v>
      </c>
      <c r="C656" s="113" t="s">
        <v>128</v>
      </c>
      <c r="D656" s="113" t="s">
        <v>759</v>
      </c>
    </row>
    <row r="657" spans="1:4">
      <c r="A657" s="113" t="s">
        <v>646</v>
      </c>
      <c r="B657" s="113" t="s">
        <v>755</v>
      </c>
      <c r="C657" s="113" t="s">
        <v>130</v>
      </c>
      <c r="D657" s="113" t="s">
        <v>760</v>
      </c>
    </row>
    <row r="658" spans="1:4">
      <c r="A658" s="113" t="s">
        <v>646</v>
      </c>
      <c r="B658" s="113" t="s">
        <v>755</v>
      </c>
      <c r="C658" s="113" t="s">
        <v>130</v>
      </c>
      <c r="D658" s="113" t="s">
        <v>761</v>
      </c>
    </row>
    <row r="659" spans="1:4">
      <c r="A659" s="113" t="s">
        <v>646</v>
      </c>
      <c r="B659" s="113" t="s">
        <v>755</v>
      </c>
      <c r="C659" s="113" t="s">
        <v>130</v>
      </c>
      <c r="D659" s="113" t="s">
        <v>762</v>
      </c>
    </row>
    <row r="660" spans="1:4">
      <c r="A660" s="113" t="s">
        <v>646</v>
      </c>
      <c r="B660" s="113" t="s">
        <v>755</v>
      </c>
      <c r="C660" s="113" t="s">
        <v>130</v>
      </c>
      <c r="D660" s="113" t="s">
        <v>763</v>
      </c>
    </row>
    <row r="661" spans="1:4">
      <c r="A661" s="113" t="s">
        <v>646</v>
      </c>
      <c r="B661" s="113" t="s">
        <v>764</v>
      </c>
      <c r="C661" s="113" t="s">
        <v>128</v>
      </c>
      <c r="D661" s="113" t="s">
        <v>765</v>
      </c>
    </row>
    <row r="662" spans="1:4">
      <c r="A662" s="113" t="s">
        <v>646</v>
      </c>
      <c r="B662" s="113" t="s">
        <v>764</v>
      </c>
      <c r="C662" s="113" t="s">
        <v>128</v>
      </c>
      <c r="D662" s="113" t="s">
        <v>766</v>
      </c>
    </row>
    <row r="663" spans="1:4">
      <c r="A663" s="113" t="s">
        <v>646</v>
      </c>
      <c r="B663" s="113" t="s">
        <v>764</v>
      </c>
      <c r="C663" s="113" t="s">
        <v>128</v>
      </c>
      <c r="D663" s="113" t="s">
        <v>767</v>
      </c>
    </row>
    <row r="664" spans="1:4">
      <c r="A664" s="113" t="s">
        <v>646</v>
      </c>
      <c r="B664" s="113" t="s">
        <v>764</v>
      </c>
      <c r="C664" s="113" t="s">
        <v>128</v>
      </c>
      <c r="D664" s="113" t="s">
        <v>768</v>
      </c>
    </row>
    <row r="665" spans="1:4">
      <c r="A665" s="113" t="s">
        <v>646</v>
      </c>
      <c r="B665" s="113" t="s">
        <v>764</v>
      </c>
      <c r="C665" s="113" t="s">
        <v>128</v>
      </c>
      <c r="D665" s="113" t="s">
        <v>156</v>
      </c>
    </row>
    <row r="666" spans="1:4">
      <c r="A666" s="113" t="s">
        <v>646</v>
      </c>
      <c r="B666" s="113" t="s">
        <v>764</v>
      </c>
      <c r="C666" s="113" t="s">
        <v>130</v>
      </c>
      <c r="D666" s="113" t="s">
        <v>769</v>
      </c>
    </row>
    <row r="667" spans="1:4">
      <c r="A667" s="113" t="s">
        <v>646</v>
      </c>
      <c r="B667" s="113" t="s">
        <v>764</v>
      </c>
      <c r="C667" s="113" t="s">
        <v>130</v>
      </c>
      <c r="D667" s="113" t="s">
        <v>770</v>
      </c>
    </row>
    <row r="668" spans="1:4">
      <c r="A668" s="113" t="s">
        <v>646</v>
      </c>
      <c r="B668" s="113" t="s">
        <v>764</v>
      </c>
      <c r="C668" s="113" t="s">
        <v>130</v>
      </c>
      <c r="D668" s="113" t="s">
        <v>771</v>
      </c>
    </row>
    <row r="669" spans="1:4">
      <c r="A669" s="113" t="s">
        <v>646</v>
      </c>
      <c r="B669" s="113" t="s">
        <v>764</v>
      </c>
      <c r="C669" s="113" t="s">
        <v>130</v>
      </c>
      <c r="D669" s="113" t="s">
        <v>772</v>
      </c>
    </row>
    <row r="670" spans="1:4">
      <c r="A670" s="113" t="s">
        <v>646</v>
      </c>
      <c r="B670" s="113" t="s">
        <v>764</v>
      </c>
      <c r="C670" s="113" t="s">
        <v>130</v>
      </c>
      <c r="D670" s="113" t="s">
        <v>773</v>
      </c>
    </row>
    <row r="671" spans="1:4">
      <c r="A671" s="113" t="s">
        <v>646</v>
      </c>
      <c r="B671" s="113" t="s">
        <v>764</v>
      </c>
      <c r="C671" s="113" t="s">
        <v>130</v>
      </c>
      <c r="D671" s="113" t="s">
        <v>774</v>
      </c>
    </row>
    <row r="672" spans="1:4">
      <c r="A672" s="113" t="s">
        <v>646</v>
      </c>
      <c r="B672" s="113" t="s">
        <v>775</v>
      </c>
      <c r="C672" s="113" t="s">
        <v>128</v>
      </c>
      <c r="D672" s="113" t="s">
        <v>776</v>
      </c>
    </row>
    <row r="673" spans="1:4">
      <c r="A673" s="113" t="s">
        <v>646</v>
      </c>
      <c r="B673" s="113" t="s">
        <v>775</v>
      </c>
      <c r="C673" s="113" t="s">
        <v>128</v>
      </c>
      <c r="D673" s="113" t="s">
        <v>777</v>
      </c>
    </row>
    <row r="674" spans="1:4">
      <c r="A674" s="113" t="s">
        <v>646</v>
      </c>
      <c r="B674" s="113" t="s">
        <v>775</v>
      </c>
      <c r="C674" s="113" t="s">
        <v>128</v>
      </c>
      <c r="D674" s="113" t="s">
        <v>156</v>
      </c>
    </row>
    <row r="675" spans="1:4">
      <c r="A675" s="113" t="s">
        <v>646</v>
      </c>
      <c r="B675" s="113" t="s">
        <v>775</v>
      </c>
      <c r="C675" s="113" t="s">
        <v>128</v>
      </c>
      <c r="D675" s="113" t="s">
        <v>778</v>
      </c>
    </row>
    <row r="676" spans="1:4">
      <c r="A676" s="113" t="s">
        <v>646</v>
      </c>
      <c r="B676" s="113" t="s">
        <v>775</v>
      </c>
      <c r="C676" s="113" t="s">
        <v>128</v>
      </c>
      <c r="D676" s="113" t="s">
        <v>779</v>
      </c>
    </row>
    <row r="677" spans="1:4">
      <c r="A677" s="113" t="s">
        <v>646</v>
      </c>
      <c r="B677" s="113" t="s">
        <v>775</v>
      </c>
      <c r="C677" s="113" t="s">
        <v>130</v>
      </c>
      <c r="D677" s="113" t="s">
        <v>780</v>
      </c>
    </row>
    <row r="678" spans="1:4">
      <c r="A678" s="113" t="s">
        <v>646</v>
      </c>
      <c r="B678" s="113" t="s">
        <v>775</v>
      </c>
      <c r="C678" s="113" t="s">
        <v>130</v>
      </c>
      <c r="D678" s="113" t="s">
        <v>781</v>
      </c>
    </row>
    <row r="679" spans="1:4">
      <c r="A679" s="113" t="s">
        <v>646</v>
      </c>
      <c r="B679" s="113" t="s">
        <v>775</v>
      </c>
      <c r="C679" s="113" t="s">
        <v>130</v>
      </c>
      <c r="D679" s="113" t="s">
        <v>782</v>
      </c>
    </row>
    <row r="680" spans="1:4">
      <c r="A680" s="113" t="s">
        <v>646</v>
      </c>
      <c r="B680" s="113" t="s">
        <v>775</v>
      </c>
      <c r="C680" s="113" t="s">
        <v>130</v>
      </c>
      <c r="D680" s="113" t="s">
        <v>783</v>
      </c>
    </row>
    <row r="681" spans="1:4">
      <c r="A681" s="113" t="s">
        <v>646</v>
      </c>
      <c r="B681" s="113" t="s">
        <v>784</v>
      </c>
      <c r="C681" s="113" t="s">
        <v>128</v>
      </c>
      <c r="D681" s="113" t="s">
        <v>785</v>
      </c>
    </row>
    <row r="682" spans="1:4">
      <c r="A682" s="113" t="s">
        <v>646</v>
      </c>
      <c r="B682" s="113" t="s">
        <v>784</v>
      </c>
      <c r="C682" s="113" t="s">
        <v>128</v>
      </c>
      <c r="D682" s="113" t="s">
        <v>786</v>
      </c>
    </row>
    <row r="683" spans="1:4">
      <c r="A683" s="113" t="s">
        <v>646</v>
      </c>
      <c r="B683" s="113" t="s">
        <v>784</v>
      </c>
      <c r="C683" s="113" t="s">
        <v>128</v>
      </c>
      <c r="D683" s="113" t="s">
        <v>787</v>
      </c>
    </row>
    <row r="684" spans="1:4">
      <c r="A684" s="113" t="s">
        <v>646</v>
      </c>
      <c r="B684" s="113" t="s">
        <v>784</v>
      </c>
      <c r="C684" s="113" t="s">
        <v>128</v>
      </c>
      <c r="D684" s="113" t="s">
        <v>788</v>
      </c>
    </row>
    <row r="685" spans="1:4">
      <c r="A685" s="113" t="s">
        <v>646</v>
      </c>
      <c r="B685" s="113" t="s">
        <v>784</v>
      </c>
      <c r="C685" s="113" t="s">
        <v>128</v>
      </c>
      <c r="D685" s="113" t="s">
        <v>789</v>
      </c>
    </row>
    <row r="686" spans="1:4">
      <c r="A686" s="113" t="s">
        <v>646</v>
      </c>
      <c r="B686" s="113" t="s">
        <v>784</v>
      </c>
      <c r="C686" s="113" t="s">
        <v>128</v>
      </c>
      <c r="D686" s="113" t="s">
        <v>790</v>
      </c>
    </row>
    <row r="687" spans="1:4">
      <c r="A687" s="113" t="s">
        <v>646</v>
      </c>
      <c r="B687" s="113" t="s">
        <v>784</v>
      </c>
      <c r="C687" s="113" t="s">
        <v>128</v>
      </c>
      <c r="D687" s="113" t="s">
        <v>156</v>
      </c>
    </row>
    <row r="688" spans="1:4">
      <c r="A688" s="113" t="s">
        <v>646</v>
      </c>
      <c r="B688" s="113" t="s">
        <v>784</v>
      </c>
      <c r="C688" s="113" t="s">
        <v>128</v>
      </c>
      <c r="D688" s="113" t="s">
        <v>791</v>
      </c>
    </row>
    <row r="689" spans="1:4">
      <c r="A689" s="113" t="s">
        <v>646</v>
      </c>
      <c r="B689" s="113" t="s">
        <v>784</v>
      </c>
      <c r="C689" s="113" t="s">
        <v>130</v>
      </c>
      <c r="D689" s="113" t="s">
        <v>792</v>
      </c>
    </row>
    <row r="690" spans="1:4">
      <c r="A690" s="113" t="s">
        <v>646</v>
      </c>
      <c r="B690" s="113" t="s">
        <v>784</v>
      </c>
      <c r="C690" s="113" t="s">
        <v>130</v>
      </c>
      <c r="D690" s="113" t="s">
        <v>793</v>
      </c>
    </row>
    <row r="691" spans="1:4">
      <c r="A691" s="113" t="s">
        <v>646</v>
      </c>
      <c r="B691" s="113" t="s">
        <v>784</v>
      </c>
      <c r="C691" s="113" t="s">
        <v>130</v>
      </c>
      <c r="D691" s="113" t="s">
        <v>794</v>
      </c>
    </row>
    <row r="692" spans="1:4">
      <c r="A692" s="113" t="s">
        <v>646</v>
      </c>
      <c r="B692" s="113" t="s">
        <v>784</v>
      </c>
      <c r="C692" s="113" t="s">
        <v>130</v>
      </c>
      <c r="D692" s="113" t="s">
        <v>795</v>
      </c>
    </row>
    <row r="693" spans="1:4">
      <c r="A693" s="113" t="s">
        <v>646</v>
      </c>
      <c r="B693" s="113" t="s">
        <v>784</v>
      </c>
      <c r="C693" s="113" t="s">
        <v>130</v>
      </c>
      <c r="D693" s="113" t="s">
        <v>796</v>
      </c>
    </row>
    <row r="694" spans="1:4">
      <c r="A694" s="113" t="s">
        <v>646</v>
      </c>
      <c r="B694" s="113" t="s">
        <v>784</v>
      </c>
      <c r="C694" s="113" t="s">
        <v>130</v>
      </c>
      <c r="D694" s="113" t="s">
        <v>797</v>
      </c>
    </row>
    <row r="695" spans="1:4">
      <c r="A695" s="113" t="s">
        <v>646</v>
      </c>
      <c r="B695" s="113" t="s">
        <v>784</v>
      </c>
      <c r="C695" s="113" t="s">
        <v>130</v>
      </c>
      <c r="D695" s="113" t="s">
        <v>798</v>
      </c>
    </row>
    <row r="696" spans="1:4">
      <c r="A696" s="113" t="s">
        <v>646</v>
      </c>
      <c r="B696" s="113" t="s">
        <v>784</v>
      </c>
      <c r="C696" s="113" t="s">
        <v>130</v>
      </c>
      <c r="D696" s="113" t="s">
        <v>799</v>
      </c>
    </row>
    <row r="697" spans="1:4">
      <c r="A697" s="113" t="s">
        <v>646</v>
      </c>
      <c r="B697" s="113" t="s">
        <v>784</v>
      </c>
      <c r="C697" s="113" t="s">
        <v>130</v>
      </c>
      <c r="D697" s="113" t="s">
        <v>800</v>
      </c>
    </row>
    <row r="698" spans="1:4">
      <c r="A698" s="113" t="s">
        <v>646</v>
      </c>
      <c r="B698" s="113" t="s">
        <v>784</v>
      </c>
      <c r="C698" s="113" t="s">
        <v>130</v>
      </c>
      <c r="D698" s="113" t="s">
        <v>801</v>
      </c>
    </row>
    <row r="699" spans="1:4">
      <c r="A699" s="113" t="s">
        <v>646</v>
      </c>
      <c r="B699" s="113" t="s">
        <v>784</v>
      </c>
      <c r="C699" s="113" t="s">
        <v>130</v>
      </c>
      <c r="D699" s="113" t="s">
        <v>802</v>
      </c>
    </row>
    <row r="700" spans="1:4">
      <c r="A700" s="113" t="s">
        <v>646</v>
      </c>
      <c r="B700" s="113" t="s">
        <v>784</v>
      </c>
      <c r="C700" s="113" t="s">
        <v>130</v>
      </c>
      <c r="D700" s="113" t="s">
        <v>803</v>
      </c>
    </row>
    <row r="701" spans="1:4">
      <c r="A701" s="113" t="s">
        <v>646</v>
      </c>
      <c r="B701" s="113" t="s">
        <v>784</v>
      </c>
      <c r="C701" s="113" t="s">
        <v>130</v>
      </c>
      <c r="D701" s="113" t="s">
        <v>804</v>
      </c>
    </row>
    <row r="702" spans="1:4">
      <c r="A702" s="113" t="s">
        <v>646</v>
      </c>
      <c r="B702" s="113" t="s">
        <v>784</v>
      </c>
      <c r="C702" s="113" t="s">
        <v>130</v>
      </c>
      <c r="D702" s="113" t="s">
        <v>805</v>
      </c>
    </row>
    <row r="703" spans="1:4">
      <c r="A703" s="113" t="s">
        <v>646</v>
      </c>
      <c r="B703" s="113" t="s">
        <v>784</v>
      </c>
      <c r="C703" s="113" t="s">
        <v>130</v>
      </c>
      <c r="D703" s="113" t="s">
        <v>806</v>
      </c>
    </row>
    <row r="704" spans="1:4">
      <c r="A704" s="113" t="s">
        <v>646</v>
      </c>
      <c r="B704" s="113" t="s">
        <v>784</v>
      </c>
      <c r="C704" s="113" t="s">
        <v>130</v>
      </c>
      <c r="D704" s="113" t="s">
        <v>807</v>
      </c>
    </row>
    <row r="705" spans="1:4">
      <c r="A705" s="113" t="s">
        <v>646</v>
      </c>
      <c r="B705" s="113" t="s">
        <v>808</v>
      </c>
      <c r="D705" s="113" t="s">
        <v>712</v>
      </c>
    </row>
    <row r="706" spans="1:4">
      <c r="A706" s="113" t="s">
        <v>646</v>
      </c>
      <c r="B706" s="113" t="s">
        <v>808</v>
      </c>
      <c r="C706" s="113" t="s">
        <v>130</v>
      </c>
      <c r="D706" s="113" t="s">
        <v>809</v>
      </c>
    </row>
    <row r="707" spans="1:4">
      <c r="A707" s="113" t="s">
        <v>646</v>
      </c>
      <c r="B707" s="113" t="s">
        <v>808</v>
      </c>
      <c r="C707" s="113" t="s">
        <v>130</v>
      </c>
      <c r="D707" s="113" t="s">
        <v>810</v>
      </c>
    </row>
    <row r="708" spans="1:4">
      <c r="A708" s="113" t="s">
        <v>646</v>
      </c>
      <c r="B708" s="113" t="s">
        <v>811</v>
      </c>
      <c r="C708" s="113" t="s">
        <v>128</v>
      </c>
      <c r="D708" s="113" t="s">
        <v>812</v>
      </c>
    </row>
    <row r="709" spans="1:4">
      <c r="A709" s="113" t="s">
        <v>646</v>
      </c>
      <c r="B709" s="113" t="s">
        <v>811</v>
      </c>
      <c r="C709" s="113" t="s">
        <v>128</v>
      </c>
      <c r="D709" s="113" t="s">
        <v>813</v>
      </c>
    </row>
    <row r="710" spans="1:4">
      <c r="A710" s="113" t="s">
        <v>646</v>
      </c>
      <c r="B710" s="113" t="s">
        <v>811</v>
      </c>
      <c r="C710" s="113" t="s">
        <v>128</v>
      </c>
      <c r="D710" s="113" t="s">
        <v>814</v>
      </c>
    </row>
    <row r="711" spans="1:4">
      <c r="A711" s="113" t="s">
        <v>646</v>
      </c>
      <c r="B711" s="113" t="s">
        <v>811</v>
      </c>
      <c r="C711" s="113" t="s">
        <v>128</v>
      </c>
      <c r="D711" s="113" t="s">
        <v>815</v>
      </c>
    </row>
    <row r="712" spans="1:4">
      <c r="A712" s="113" t="s">
        <v>646</v>
      </c>
      <c r="B712" s="113" t="s">
        <v>811</v>
      </c>
      <c r="C712" s="113" t="s">
        <v>128</v>
      </c>
      <c r="D712" s="113" t="s">
        <v>816</v>
      </c>
    </row>
    <row r="713" spans="1:4">
      <c r="A713" s="113" t="s">
        <v>646</v>
      </c>
      <c r="B713" s="113" t="s">
        <v>811</v>
      </c>
      <c r="C713" s="113" t="s">
        <v>128</v>
      </c>
      <c r="D713" s="113" t="s">
        <v>817</v>
      </c>
    </row>
    <row r="714" spans="1:4">
      <c r="A714" s="113" t="s">
        <v>646</v>
      </c>
      <c r="B714" s="113" t="s">
        <v>811</v>
      </c>
      <c r="C714" s="113" t="s">
        <v>128</v>
      </c>
      <c r="D714" s="113" t="s">
        <v>156</v>
      </c>
    </row>
    <row r="715" spans="1:4">
      <c r="A715" s="113" t="s">
        <v>646</v>
      </c>
      <c r="B715" s="113" t="s">
        <v>811</v>
      </c>
      <c r="C715" s="113" t="s">
        <v>128</v>
      </c>
      <c r="D715" s="113" t="s">
        <v>818</v>
      </c>
    </row>
    <row r="716" spans="1:4">
      <c r="A716" s="113" t="s">
        <v>646</v>
      </c>
      <c r="B716" s="113" t="s">
        <v>811</v>
      </c>
      <c r="C716" s="113" t="s">
        <v>130</v>
      </c>
      <c r="D716" s="113" t="s">
        <v>819</v>
      </c>
    </row>
    <row r="717" spans="1:4">
      <c r="A717" s="113" t="s">
        <v>646</v>
      </c>
      <c r="B717" s="113" t="s">
        <v>811</v>
      </c>
      <c r="C717" s="113" t="s">
        <v>130</v>
      </c>
      <c r="D717" s="113" t="s">
        <v>820</v>
      </c>
    </row>
    <row r="718" spans="1:4">
      <c r="A718" s="113" t="s">
        <v>646</v>
      </c>
      <c r="B718" s="113" t="s">
        <v>811</v>
      </c>
      <c r="C718" s="113" t="s">
        <v>130</v>
      </c>
      <c r="D718" s="113" t="s">
        <v>821</v>
      </c>
    </row>
    <row r="719" spans="1:4">
      <c r="A719" s="113" t="s">
        <v>646</v>
      </c>
      <c r="B719" s="113" t="s">
        <v>811</v>
      </c>
      <c r="C719" s="113" t="s">
        <v>130</v>
      </c>
      <c r="D719" s="113" t="s">
        <v>822</v>
      </c>
    </row>
    <row r="720" spans="1:4">
      <c r="A720" s="113" t="s">
        <v>646</v>
      </c>
      <c r="B720" s="113" t="s">
        <v>811</v>
      </c>
      <c r="C720" s="113" t="s">
        <v>130</v>
      </c>
      <c r="D720" s="113" t="s">
        <v>823</v>
      </c>
    </row>
    <row r="721" spans="1:4">
      <c r="A721" s="113" t="s">
        <v>646</v>
      </c>
      <c r="B721" s="113" t="s">
        <v>811</v>
      </c>
      <c r="C721" s="113" t="s">
        <v>130</v>
      </c>
      <c r="D721" s="113" t="s">
        <v>824</v>
      </c>
    </row>
    <row r="722" spans="1:4">
      <c r="A722" s="113" t="s">
        <v>646</v>
      </c>
      <c r="B722" s="113" t="s">
        <v>811</v>
      </c>
      <c r="C722" s="113" t="s">
        <v>130</v>
      </c>
      <c r="D722" s="113" t="s">
        <v>825</v>
      </c>
    </row>
    <row r="723" spans="1:4">
      <c r="A723" s="113" t="s">
        <v>646</v>
      </c>
      <c r="B723" s="113" t="s">
        <v>811</v>
      </c>
      <c r="C723" s="113" t="s">
        <v>130</v>
      </c>
      <c r="D723" s="113" t="s">
        <v>826</v>
      </c>
    </row>
    <row r="724" spans="1:4">
      <c r="A724" s="113" t="s">
        <v>646</v>
      </c>
      <c r="B724" s="113" t="s">
        <v>811</v>
      </c>
      <c r="C724" s="113" t="s">
        <v>130</v>
      </c>
      <c r="D724" s="113" t="s">
        <v>827</v>
      </c>
    </row>
    <row r="725" spans="1:4">
      <c r="A725" s="113" t="s">
        <v>646</v>
      </c>
      <c r="B725" s="113" t="s">
        <v>811</v>
      </c>
      <c r="C725" s="113" t="s">
        <v>130</v>
      </c>
      <c r="D725" s="113" t="s">
        <v>828</v>
      </c>
    </row>
    <row r="726" spans="1:4">
      <c r="A726" s="113" t="s">
        <v>646</v>
      </c>
      <c r="B726" s="113" t="s">
        <v>811</v>
      </c>
      <c r="C726" s="113" t="s">
        <v>130</v>
      </c>
      <c r="D726" s="113" t="s">
        <v>829</v>
      </c>
    </row>
    <row r="727" spans="1:4">
      <c r="A727" s="113" t="s">
        <v>646</v>
      </c>
      <c r="B727" s="113" t="s">
        <v>811</v>
      </c>
      <c r="C727" s="113" t="s">
        <v>130</v>
      </c>
      <c r="D727" s="113" t="s">
        <v>830</v>
      </c>
    </row>
    <row r="728" spans="1:4">
      <c r="A728" s="113" t="s">
        <v>646</v>
      </c>
      <c r="B728" s="113" t="s">
        <v>831</v>
      </c>
      <c r="C728" s="113" t="s">
        <v>128</v>
      </c>
      <c r="D728" s="113" t="s">
        <v>832</v>
      </c>
    </row>
    <row r="729" spans="1:4">
      <c r="A729" s="113" t="s">
        <v>646</v>
      </c>
      <c r="B729" s="113" t="s">
        <v>831</v>
      </c>
      <c r="C729" s="113" t="s">
        <v>128</v>
      </c>
      <c r="D729" s="113" t="s">
        <v>833</v>
      </c>
    </row>
    <row r="730" spans="1:4">
      <c r="A730" s="113" t="s">
        <v>646</v>
      </c>
      <c r="B730" s="113" t="s">
        <v>831</v>
      </c>
      <c r="C730" s="113" t="s">
        <v>128</v>
      </c>
      <c r="D730" s="113" t="s">
        <v>834</v>
      </c>
    </row>
    <row r="731" spans="1:4">
      <c r="A731" s="113" t="s">
        <v>646</v>
      </c>
      <c r="B731" s="113" t="s">
        <v>831</v>
      </c>
      <c r="C731" s="113" t="s">
        <v>128</v>
      </c>
      <c r="D731" s="113" t="s">
        <v>835</v>
      </c>
    </row>
    <row r="732" spans="1:4">
      <c r="A732" s="113" t="s">
        <v>646</v>
      </c>
      <c r="B732" s="113" t="s">
        <v>831</v>
      </c>
      <c r="C732" s="113" t="s">
        <v>128</v>
      </c>
      <c r="D732" s="113" t="s">
        <v>836</v>
      </c>
    </row>
    <row r="733" spans="1:4">
      <c r="A733" s="113" t="s">
        <v>646</v>
      </c>
      <c r="B733" s="113" t="s">
        <v>831</v>
      </c>
      <c r="C733" s="113" t="s">
        <v>128</v>
      </c>
      <c r="D733" s="113" t="s">
        <v>156</v>
      </c>
    </row>
    <row r="734" spans="1:4">
      <c r="A734" s="113" t="s">
        <v>646</v>
      </c>
      <c r="B734" s="113" t="s">
        <v>831</v>
      </c>
      <c r="C734" s="113" t="s">
        <v>128</v>
      </c>
      <c r="D734" s="113" t="s">
        <v>837</v>
      </c>
    </row>
    <row r="735" spans="1:4">
      <c r="A735" s="113" t="s">
        <v>646</v>
      </c>
      <c r="B735" s="113" t="s">
        <v>831</v>
      </c>
      <c r="C735" s="113" t="s">
        <v>130</v>
      </c>
      <c r="D735" s="113" t="s">
        <v>838</v>
      </c>
    </row>
    <row r="736" spans="1:4">
      <c r="A736" s="113" t="s">
        <v>646</v>
      </c>
      <c r="B736" s="113" t="s">
        <v>831</v>
      </c>
      <c r="C736" s="113" t="s">
        <v>130</v>
      </c>
      <c r="D736" s="113" t="s">
        <v>839</v>
      </c>
    </row>
    <row r="737" spans="1:4">
      <c r="A737" s="113" t="s">
        <v>646</v>
      </c>
      <c r="B737" s="113" t="s">
        <v>831</v>
      </c>
      <c r="C737" s="113" t="s">
        <v>130</v>
      </c>
      <c r="D737" s="113" t="s">
        <v>840</v>
      </c>
    </row>
    <row r="738" spans="1:4">
      <c r="A738" s="113" t="s">
        <v>646</v>
      </c>
      <c r="B738" s="113" t="s">
        <v>831</v>
      </c>
      <c r="C738" s="113" t="s">
        <v>130</v>
      </c>
      <c r="D738" s="113" t="s">
        <v>841</v>
      </c>
    </row>
    <row r="739" spans="1:4">
      <c r="A739" s="113" t="s">
        <v>646</v>
      </c>
      <c r="B739" s="113" t="s">
        <v>831</v>
      </c>
      <c r="C739" s="113" t="s">
        <v>130</v>
      </c>
      <c r="D739" s="113" t="s">
        <v>842</v>
      </c>
    </row>
    <row r="740" spans="1:4">
      <c r="A740" s="113" t="s">
        <v>646</v>
      </c>
      <c r="B740" s="113" t="s">
        <v>831</v>
      </c>
      <c r="C740" s="113" t="s">
        <v>130</v>
      </c>
      <c r="D740" s="113" t="s">
        <v>843</v>
      </c>
    </row>
    <row r="741" spans="1:4">
      <c r="A741" s="113" t="s">
        <v>646</v>
      </c>
      <c r="B741" s="113" t="s">
        <v>844</v>
      </c>
      <c r="C741" s="113" t="s">
        <v>128</v>
      </c>
      <c r="D741" s="113" t="s">
        <v>845</v>
      </c>
    </row>
    <row r="742" spans="1:4">
      <c r="A742" s="113" t="s">
        <v>646</v>
      </c>
      <c r="B742" s="113" t="s">
        <v>844</v>
      </c>
      <c r="C742" s="113" t="s">
        <v>128</v>
      </c>
      <c r="D742" s="113" t="s">
        <v>846</v>
      </c>
    </row>
    <row r="743" spans="1:4">
      <c r="A743" s="113" t="s">
        <v>646</v>
      </c>
      <c r="B743" s="113" t="s">
        <v>844</v>
      </c>
      <c r="C743" s="113" t="s">
        <v>128</v>
      </c>
      <c r="D743" s="113" t="s">
        <v>156</v>
      </c>
    </row>
    <row r="744" spans="1:4">
      <c r="A744" s="113" t="s">
        <v>646</v>
      </c>
      <c r="B744" s="113" t="s">
        <v>844</v>
      </c>
      <c r="C744" s="113" t="s">
        <v>130</v>
      </c>
      <c r="D744" s="113" t="s">
        <v>847</v>
      </c>
    </row>
    <row r="745" spans="1:4">
      <c r="A745" s="113" t="s">
        <v>646</v>
      </c>
      <c r="B745" s="113" t="s">
        <v>844</v>
      </c>
      <c r="C745" s="113" t="s">
        <v>130</v>
      </c>
      <c r="D745" s="113" t="s">
        <v>848</v>
      </c>
    </row>
    <row r="746" spans="1:4">
      <c r="A746" s="113" t="s">
        <v>646</v>
      </c>
      <c r="B746" s="113" t="s">
        <v>844</v>
      </c>
      <c r="C746" s="113" t="s">
        <v>130</v>
      </c>
      <c r="D746" s="113" t="s">
        <v>849</v>
      </c>
    </row>
    <row r="747" spans="1:4">
      <c r="A747" s="113" t="s">
        <v>646</v>
      </c>
      <c r="B747" s="113" t="s">
        <v>844</v>
      </c>
      <c r="C747" s="113" t="s">
        <v>130</v>
      </c>
      <c r="D747" s="113" t="s">
        <v>850</v>
      </c>
    </row>
    <row r="748" spans="1:4">
      <c r="A748" s="113" t="s">
        <v>646</v>
      </c>
      <c r="B748" s="113" t="s">
        <v>851</v>
      </c>
      <c r="C748" s="113" t="s">
        <v>128</v>
      </c>
      <c r="D748" s="113" t="s">
        <v>156</v>
      </c>
    </row>
    <row r="749" spans="1:4">
      <c r="A749" s="113" t="s">
        <v>646</v>
      </c>
      <c r="B749" s="113" t="s">
        <v>851</v>
      </c>
      <c r="C749" s="113" t="s">
        <v>130</v>
      </c>
      <c r="D749" s="113" t="s">
        <v>852</v>
      </c>
    </row>
    <row r="750" spans="1:4">
      <c r="A750" s="113" t="s">
        <v>646</v>
      </c>
      <c r="B750" s="113" t="s">
        <v>851</v>
      </c>
      <c r="C750" s="113" t="s">
        <v>130</v>
      </c>
      <c r="D750" s="113" t="s">
        <v>853</v>
      </c>
    </row>
    <row r="751" spans="1:4">
      <c r="A751" s="113" t="s">
        <v>646</v>
      </c>
      <c r="B751" s="113" t="s">
        <v>854</v>
      </c>
      <c r="C751" s="113" t="s">
        <v>128</v>
      </c>
      <c r="D751" s="113" t="s">
        <v>855</v>
      </c>
    </row>
    <row r="752" spans="1:4">
      <c r="A752" s="113" t="s">
        <v>646</v>
      </c>
      <c r="B752" s="113" t="s">
        <v>854</v>
      </c>
      <c r="C752" s="113" t="s">
        <v>128</v>
      </c>
      <c r="D752" s="113" t="s">
        <v>856</v>
      </c>
    </row>
    <row r="753" spans="1:4">
      <c r="A753" s="113" t="s">
        <v>646</v>
      </c>
      <c r="B753" s="113" t="s">
        <v>854</v>
      </c>
      <c r="C753" s="113" t="s">
        <v>128</v>
      </c>
      <c r="D753" s="113" t="s">
        <v>156</v>
      </c>
    </row>
    <row r="754" spans="1:4">
      <c r="A754" s="113" t="s">
        <v>646</v>
      </c>
      <c r="B754" s="113" t="s">
        <v>854</v>
      </c>
      <c r="C754" s="113" t="s">
        <v>128</v>
      </c>
      <c r="D754" s="113" t="s">
        <v>857</v>
      </c>
    </row>
    <row r="755" spans="1:4">
      <c r="A755" s="113" t="s">
        <v>646</v>
      </c>
      <c r="B755" s="113" t="s">
        <v>854</v>
      </c>
      <c r="C755" s="113" t="s">
        <v>128</v>
      </c>
      <c r="D755" s="113" t="s">
        <v>779</v>
      </c>
    </row>
    <row r="756" spans="1:4">
      <c r="A756" s="113" t="s">
        <v>646</v>
      </c>
      <c r="B756" s="113" t="s">
        <v>854</v>
      </c>
      <c r="C756" s="113" t="s">
        <v>130</v>
      </c>
      <c r="D756" s="113" t="s">
        <v>858</v>
      </c>
    </row>
    <row r="757" spans="1:4">
      <c r="A757" s="113" t="s">
        <v>646</v>
      </c>
      <c r="B757" s="113" t="s">
        <v>854</v>
      </c>
      <c r="C757" s="113" t="s">
        <v>130</v>
      </c>
      <c r="D757" s="113" t="s">
        <v>859</v>
      </c>
    </row>
    <row r="758" spans="1:4">
      <c r="A758" s="113" t="s">
        <v>646</v>
      </c>
      <c r="B758" s="113" t="s">
        <v>854</v>
      </c>
      <c r="C758" s="113" t="s">
        <v>130</v>
      </c>
      <c r="D758" s="113" t="s">
        <v>860</v>
      </c>
    </row>
    <row r="759" spans="1:4">
      <c r="A759" s="113" t="s">
        <v>646</v>
      </c>
      <c r="B759" s="113" t="s">
        <v>854</v>
      </c>
      <c r="C759" s="113" t="s">
        <v>130</v>
      </c>
      <c r="D759" s="113" t="s">
        <v>861</v>
      </c>
    </row>
    <row r="760" spans="1:4">
      <c r="A760" s="113" t="s">
        <v>646</v>
      </c>
      <c r="B760" s="113" t="s">
        <v>862</v>
      </c>
      <c r="C760" s="113" t="s">
        <v>128</v>
      </c>
      <c r="D760" s="113" t="s">
        <v>863</v>
      </c>
    </row>
    <row r="761" spans="1:4">
      <c r="A761" s="113" t="s">
        <v>646</v>
      </c>
      <c r="B761" s="113" t="s">
        <v>862</v>
      </c>
      <c r="C761" s="113" t="s">
        <v>128</v>
      </c>
      <c r="D761" s="113" t="s">
        <v>864</v>
      </c>
    </row>
    <row r="762" spans="1:4">
      <c r="A762" s="113" t="s">
        <v>646</v>
      </c>
      <c r="B762" s="113" t="s">
        <v>862</v>
      </c>
      <c r="C762" s="113" t="s">
        <v>128</v>
      </c>
      <c r="D762" s="113" t="s">
        <v>865</v>
      </c>
    </row>
    <row r="763" spans="1:4">
      <c r="A763" s="113" t="s">
        <v>646</v>
      </c>
      <c r="B763" s="113" t="s">
        <v>862</v>
      </c>
      <c r="C763" s="113" t="s">
        <v>128</v>
      </c>
      <c r="D763" s="113" t="s">
        <v>866</v>
      </c>
    </row>
    <row r="764" spans="1:4">
      <c r="A764" s="113" t="s">
        <v>646</v>
      </c>
      <c r="B764" s="113" t="s">
        <v>862</v>
      </c>
      <c r="C764" s="113" t="s">
        <v>128</v>
      </c>
      <c r="D764" s="113" t="s">
        <v>867</v>
      </c>
    </row>
    <row r="765" spans="1:4">
      <c r="A765" s="113" t="s">
        <v>646</v>
      </c>
      <c r="B765" s="113" t="s">
        <v>862</v>
      </c>
      <c r="C765" s="113" t="s">
        <v>128</v>
      </c>
      <c r="D765" s="113" t="s">
        <v>868</v>
      </c>
    </row>
    <row r="766" spans="1:4">
      <c r="A766" s="113" t="s">
        <v>646</v>
      </c>
      <c r="B766" s="113" t="s">
        <v>862</v>
      </c>
      <c r="C766" s="113" t="s">
        <v>128</v>
      </c>
      <c r="D766" s="113" t="s">
        <v>156</v>
      </c>
    </row>
    <row r="767" spans="1:4">
      <c r="A767" s="113" t="s">
        <v>646</v>
      </c>
      <c r="B767" s="113" t="s">
        <v>862</v>
      </c>
      <c r="C767" s="113" t="s">
        <v>130</v>
      </c>
      <c r="D767" s="113" t="s">
        <v>796</v>
      </c>
    </row>
    <row r="768" spans="1:4">
      <c r="A768" s="113" t="s">
        <v>646</v>
      </c>
      <c r="B768" s="113" t="s">
        <v>862</v>
      </c>
      <c r="C768" s="113" t="s">
        <v>130</v>
      </c>
      <c r="D768" s="113" t="s">
        <v>797</v>
      </c>
    </row>
    <row r="769" spans="1:4">
      <c r="A769" s="113" t="s">
        <v>646</v>
      </c>
      <c r="B769" s="113" t="s">
        <v>862</v>
      </c>
      <c r="C769" s="113" t="s">
        <v>130</v>
      </c>
      <c r="D769" s="113" t="s">
        <v>251</v>
      </c>
    </row>
    <row r="770" spans="1:4">
      <c r="A770" s="113" t="s">
        <v>646</v>
      </c>
      <c r="B770" s="113" t="s">
        <v>862</v>
      </c>
      <c r="C770" s="113" t="s">
        <v>130</v>
      </c>
      <c r="D770" s="113" t="s">
        <v>252</v>
      </c>
    </row>
    <row r="771" spans="1:4">
      <c r="A771" s="113" t="s">
        <v>646</v>
      </c>
      <c r="B771" s="113" t="s">
        <v>862</v>
      </c>
      <c r="C771" s="113" t="s">
        <v>130</v>
      </c>
      <c r="D771" s="113" t="s">
        <v>869</v>
      </c>
    </row>
    <row r="772" spans="1:4">
      <c r="A772" s="113" t="s">
        <v>646</v>
      </c>
      <c r="B772" s="113" t="s">
        <v>862</v>
      </c>
      <c r="C772" s="113" t="s">
        <v>130</v>
      </c>
      <c r="D772" s="113" t="s">
        <v>870</v>
      </c>
    </row>
    <row r="773" spans="1:4">
      <c r="A773" s="113" t="s">
        <v>646</v>
      </c>
      <c r="B773" s="113" t="s">
        <v>862</v>
      </c>
      <c r="C773" s="113" t="s">
        <v>130</v>
      </c>
      <c r="D773" s="113" t="s">
        <v>871</v>
      </c>
    </row>
    <row r="774" spans="1:4">
      <c r="A774" s="113" t="s">
        <v>646</v>
      </c>
      <c r="B774" s="113" t="s">
        <v>862</v>
      </c>
      <c r="C774" s="113" t="s">
        <v>130</v>
      </c>
      <c r="D774" s="113" t="s">
        <v>872</v>
      </c>
    </row>
    <row r="775" spans="1:4">
      <c r="A775" s="113" t="s">
        <v>646</v>
      </c>
      <c r="B775" s="113" t="s">
        <v>862</v>
      </c>
      <c r="C775" s="113" t="s">
        <v>130</v>
      </c>
      <c r="D775" s="113" t="s">
        <v>873</v>
      </c>
    </row>
    <row r="776" spans="1:4">
      <c r="A776" s="113" t="s">
        <v>646</v>
      </c>
      <c r="B776" s="113" t="s">
        <v>862</v>
      </c>
      <c r="C776" s="113" t="s">
        <v>130</v>
      </c>
      <c r="D776" s="113" t="s">
        <v>874</v>
      </c>
    </row>
    <row r="777" spans="1:4">
      <c r="A777" s="113" t="s">
        <v>646</v>
      </c>
      <c r="B777" s="113" t="s">
        <v>862</v>
      </c>
      <c r="C777" s="113" t="s">
        <v>130</v>
      </c>
      <c r="D777" s="113" t="s">
        <v>875</v>
      </c>
    </row>
    <row r="778" spans="1:4">
      <c r="A778" s="113" t="s">
        <v>646</v>
      </c>
      <c r="B778" s="113" t="s">
        <v>862</v>
      </c>
      <c r="C778" s="113" t="s">
        <v>130</v>
      </c>
      <c r="D778" s="113" t="s">
        <v>876</v>
      </c>
    </row>
    <row r="779" spans="1:4">
      <c r="A779" s="113" t="s">
        <v>646</v>
      </c>
      <c r="B779" s="113" t="s">
        <v>862</v>
      </c>
      <c r="C779" s="113" t="s">
        <v>130</v>
      </c>
      <c r="D779" s="113" t="s">
        <v>877</v>
      </c>
    </row>
    <row r="780" spans="1:4">
      <c r="A780" s="113" t="s">
        <v>646</v>
      </c>
      <c r="B780" s="113" t="s">
        <v>862</v>
      </c>
      <c r="C780" s="113" t="s">
        <v>130</v>
      </c>
      <c r="D780" s="113" t="s">
        <v>878</v>
      </c>
    </row>
    <row r="781" spans="1:4">
      <c r="A781" s="113" t="s">
        <v>646</v>
      </c>
      <c r="B781" s="113" t="s">
        <v>862</v>
      </c>
      <c r="C781" s="113" t="s">
        <v>130</v>
      </c>
      <c r="D781" s="113" t="s">
        <v>259</v>
      </c>
    </row>
    <row r="782" spans="1:4">
      <c r="A782" s="113" t="s">
        <v>646</v>
      </c>
      <c r="B782" s="113" t="s">
        <v>862</v>
      </c>
      <c r="C782" s="113" t="s">
        <v>130</v>
      </c>
      <c r="D782" s="113" t="s">
        <v>260</v>
      </c>
    </row>
    <row r="783" spans="1:4">
      <c r="A783" s="113" t="s">
        <v>646</v>
      </c>
      <c r="B783" s="113" t="s">
        <v>862</v>
      </c>
      <c r="C783" s="113" t="s">
        <v>130</v>
      </c>
      <c r="D783" s="113" t="s">
        <v>879</v>
      </c>
    </row>
    <row r="784" spans="1:4">
      <c r="A784" s="113" t="s">
        <v>646</v>
      </c>
      <c r="B784" s="113" t="s">
        <v>862</v>
      </c>
      <c r="C784" s="113" t="s">
        <v>130</v>
      </c>
      <c r="D784" s="113" t="s">
        <v>880</v>
      </c>
    </row>
    <row r="785" spans="1:4">
      <c r="A785" s="113" t="s">
        <v>646</v>
      </c>
      <c r="B785" s="113" t="s">
        <v>862</v>
      </c>
      <c r="C785" s="113" t="s">
        <v>130</v>
      </c>
      <c r="D785" s="113" t="s">
        <v>881</v>
      </c>
    </row>
    <row r="786" spans="1:4">
      <c r="A786" s="113" t="s">
        <v>646</v>
      </c>
      <c r="B786" s="113" t="s">
        <v>862</v>
      </c>
      <c r="C786" s="113" t="s">
        <v>130</v>
      </c>
      <c r="D786" s="113" t="s">
        <v>882</v>
      </c>
    </row>
    <row r="787" spans="1:4">
      <c r="A787" s="113" t="s">
        <v>646</v>
      </c>
      <c r="B787" s="113" t="s">
        <v>862</v>
      </c>
      <c r="C787" s="113" t="s">
        <v>130</v>
      </c>
      <c r="D787" s="113" t="s">
        <v>883</v>
      </c>
    </row>
    <row r="788" spans="1:4">
      <c r="A788" s="113" t="s">
        <v>646</v>
      </c>
      <c r="B788" s="113" t="s">
        <v>862</v>
      </c>
      <c r="C788" s="113" t="s">
        <v>130</v>
      </c>
      <c r="D788" s="113" t="s">
        <v>884</v>
      </c>
    </row>
    <row r="789" spans="1:4">
      <c r="A789" s="113" t="s">
        <v>646</v>
      </c>
      <c r="B789" s="113" t="s">
        <v>862</v>
      </c>
      <c r="C789" s="113" t="s">
        <v>130</v>
      </c>
      <c r="D789" s="113" t="s">
        <v>436</v>
      </c>
    </row>
    <row r="790" spans="1:4">
      <c r="A790" s="113" t="s">
        <v>646</v>
      </c>
      <c r="B790" s="113" t="s">
        <v>862</v>
      </c>
      <c r="C790" s="113" t="s">
        <v>130</v>
      </c>
      <c r="D790" s="113" t="s">
        <v>437</v>
      </c>
    </row>
    <row r="791" spans="1:4">
      <c r="A791" s="113" t="s">
        <v>646</v>
      </c>
      <c r="B791" s="113" t="s">
        <v>862</v>
      </c>
      <c r="C791" s="113" t="s">
        <v>130</v>
      </c>
      <c r="D791" s="113" t="s">
        <v>885</v>
      </c>
    </row>
    <row r="792" spans="1:4">
      <c r="A792" s="113" t="s">
        <v>646</v>
      </c>
      <c r="B792" s="113" t="s">
        <v>862</v>
      </c>
      <c r="C792" s="113" t="s">
        <v>130</v>
      </c>
      <c r="D792" s="113" t="s">
        <v>886</v>
      </c>
    </row>
    <row r="793" spans="1:4">
      <c r="A793" s="113" t="s">
        <v>646</v>
      </c>
      <c r="B793" s="113" t="s">
        <v>862</v>
      </c>
      <c r="C793" s="113" t="s">
        <v>130</v>
      </c>
      <c r="D793" s="113" t="s">
        <v>887</v>
      </c>
    </row>
    <row r="794" spans="1:4">
      <c r="A794" s="113" t="s">
        <v>646</v>
      </c>
      <c r="B794" s="113" t="s">
        <v>862</v>
      </c>
      <c r="C794" s="113" t="s">
        <v>130</v>
      </c>
      <c r="D794" s="113" t="s">
        <v>888</v>
      </c>
    </row>
    <row r="795" spans="1:4">
      <c r="A795" s="113" t="s">
        <v>646</v>
      </c>
      <c r="B795" s="113" t="s">
        <v>889</v>
      </c>
      <c r="C795" s="113" t="s">
        <v>128</v>
      </c>
      <c r="D795" s="113" t="s">
        <v>712</v>
      </c>
    </row>
    <row r="796" spans="1:4">
      <c r="A796" s="113" t="s">
        <v>646</v>
      </c>
      <c r="B796" s="113" t="s">
        <v>889</v>
      </c>
      <c r="C796" s="113" t="s">
        <v>130</v>
      </c>
      <c r="D796" s="113" t="s">
        <v>890</v>
      </c>
    </row>
    <row r="797" spans="1:4">
      <c r="A797" s="113" t="s">
        <v>646</v>
      </c>
      <c r="B797" s="113" t="s">
        <v>889</v>
      </c>
      <c r="C797" s="113" t="s">
        <v>130</v>
      </c>
      <c r="D797" s="113" t="s">
        <v>891</v>
      </c>
    </row>
    <row r="798" spans="1:4">
      <c r="A798" s="113" t="s">
        <v>646</v>
      </c>
      <c r="B798" s="113" t="s">
        <v>892</v>
      </c>
      <c r="D798" s="113" t="s">
        <v>893</v>
      </c>
    </row>
    <row r="799" spans="1:4">
      <c r="A799" s="113" t="s">
        <v>646</v>
      </c>
      <c r="B799" s="113" t="s">
        <v>892</v>
      </c>
      <c r="C799" s="113" t="s">
        <v>128</v>
      </c>
      <c r="D799" s="113" t="s">
        <v>894</v>
      </c>
    </row>
    <row r="800" spans="1:4">
      <c r="A800" s="113" t="s">
        <v>646</v>
      </c>
      <c r="B800" s="113" t="s">
        <v>892</v>
      </c>
      <c r="C800" s="113" t="s">
        <v>128</v>
      </c>
      <c r="D800" s="113" t="s">
        <v>895</v>
      </c>
    </row>
    <row r="801" spans="1:4">
      <c r="A801" s="113" t="s">
        <v>646</v>
      </c>
      <c r="B801" s="113" t="s">
        <v>892</v>
      </c>
      <c r="C801" s="113" t="s">
        <v>128</v>
      </c>
      <c r="D801" s="113" t="s">
        <v>156</v>
      </c>
    </row>
    <row r="802" spans="1:4">
      <c r="A802" s="113" t="s">
        <v>646</v>
      </c>
      <c r="B802" s="113" t="s">
        <v>892</v>
      </c>
      <c r="C802" s="113" t="s">
        <v>130</v>
      </c>
      <c r="D802" s="113" t="s">
        <v>896</v>
      </c>
    </row>
    <row r="803" spans="1:4">
      <c r="A803" s="113" t="s">
        <v>646</v>
      </c>
      <c r="B803" s="113" t="s">
        <v>892</v>
      </c>
      <c r="C803" s="113" t="s">
        <v>130</v>
      </c>
      <c r="D803" s="113" t="s">
        <v>897</v>
      </c>
    </row>
    <row r="804" spans="1:4">
      <c r="A804" s="113" t="s">
        <v>646</v>
      </c>
      <c r="B804" s="113" t="s">
        <v>892</v>
      </c>
      <c r="C804" s="113" t="s">
        <v>130</v>
      </c>
      <c r="D804" s="113" t="s">
        <v>898</v>
      </c>
    </row>
    <row r="805" spans="1:4">
      <c r="A805" s="113" t="s">
        <v>646</v>
      </c>
      <c r="B805" s="113" t="s">
        <v>892</v>
      </c>
      <c r="C805" s="113" t="s">
        <v>130</v>
      </c>
      <c r="D805" s="113" t="s">
        <v>899</v>
      </c>
    </row>
    <row r="806" spans="1:4">
      <c r="A806" s="113" t="s">
        <v>646</v>
      </c>
      <c r="B806" s="113" t="s">
        <v>900</v>
      </c>
      <c r="D806" s="113" t="s">
        <v>901</v>
      </c>
    </row>
    <row r="807" spans="1:4">
      <c r="A807" s="113" t="s">
        <v>646</v>
      </c>
      <c r="B807" s="113" t="s">
        <v>900</v>
      </c>
      <c r="C807" s="113" t="s">
        <v>128</v>
      </c>
      <c r="D807" s="113" t="s">
        <v>902</v>
      </c>
    </row>
    <row r="808" spans="1:4">
      <c r="A808" s="113" t="s">
        <v>646</v>
      </c>
      <c r="B808" s="113" t="s">
        <v>900</v>
      </c>
      <c r="C808" s="113" t="s">
        <v>128</v>
      </c>
      <c r="D808" s="113" t="s">
        <v>903</v>
      </c>
    </row>
    <row r="809" spans="1:4">
      <c r="A809" s="113" t="s">
        <v>646</v>
      </c>
      <c r="B809" s="113" t="s">
        <v>900</v>
      </c>
      <c r="C809" s="113" t="s">
        <v>128</v>
      </c>
      <c r="D809" s="113" t="s">
        <v>156</v>
      </c>
    </row>
    <row r="810" spans="1:4">
      <c r="A810" s="113" t="s">
        <v>646</v>
      </c>
      <c r="B810" s="113" t="s">
        <v>900</v>
      </c>
      <c r="C810" s="113" t="s">
        <v>130</v>
      </c>
      <c r="D810" s="113" t="s">
        <v>904</v>
      </c>
    </row>
    <row r="811" spans="1:4">
      <c r="A811" s="113" t="s">
        <v>646</v>
      </c>
      <c r="B811" s="113" t="s">
        <v>900</v>
      </c>
      <c r="C811" s="113" t="s">
        <v>130</v>
      </c>
      <c r="D811" s="113" t="s">
        <v>905</v>
      </c>
    </row>
    <row r="812" spans="1:4">
      <c r="A812" s="113" t="s">
        <v>646</v>
      </c>
      <c r="B812" s="113" t="s">
        <v>900</v>
      </c>
      <c r="C812" s="113" t="s">
        <v>130</v>
      </c>
      <c r="D812" s="113" t="s">
        <v>906</v>
      </c>
    </row>
    <row r="813" spans="1:4">
      <c r="A813" s="113" t="s">
        <v>646</v>
      </c>
      <c r="B813" s="113" t="s">
        <v>900</v>
      </c>
      <c r="C813" s="113" t="s">
        <v>130</v>
      </c>
      <c r="D813" s="113" t="s">
        <v>907</v>
      </c>
    </row>
    <row r="814" spans="1:4">
      <c r="A814" s="113" t="s">
        <v>646</v>
      </c>
      <c r="B814" s="113" t="s">
        <v>908</v>
      </c>
      <c r="C814" s="113" t="s">
        <v>128</v>
      </c>
      <c r="D814" s="113" t="s">
        <v>156</v>
      </c>
    </row>
    <row r="815" spans="1:4">
      <c r="A815" s="113" t="s">
        <v>646</v>
      </c>
      <c r="B815" s="113" t="s">
        <v>908</v>
      </c>
      <c r="C815" s="113" t="s">
        <v>130</v>
      </c>
      <c r="D815" s="113" t="s">
        <v>909</v>
      </c>
    </row>
    <row r="816" spans="1:4">
      <c r="A816" s="113" t="s">
        <v>646</v>
      </c>
      <c r="B816" s="113" t="s">
        <v>908</v>
      </c>
      <c r="C816" s="113" t="s">
        <v>130</v>
      </c>
      <c r="D816" s="113" t="s">
        <v>910</v>
      </c>
    </row>
    <row r="817" spans="1:4">
      <c r="A817" s="113" t="s">
        <v>646</v>
      </c>
      <c r="B817" s="113" t="s">
        <v>908</v>
      </c>
      <c r="C817" s="113" t="s">
        <v>130</v>
      </c>
      <c r="D817" s="113" t="s">
        <v>911</v>
      </c>
    </row>
    <row r="818" spans="1:4">
      <c r="A818" s="113" t="s">
        <v>646</v>
      </c>
      <c r="B818" s="113" t="s">
        <v>908</v>
      </c>
      <c r="C818" s="113" t="s">
        <v>130</v>
      </c>
      <c r="D818" s="113" t="s">
        <v>912</v>
      </c>
    </row>
    <row r="819" spans="1:4">
      <c r="A819" s="113" t="s">
        <v>646</v>
      </c>
      <c r="B819" s="113" t="s">
        <v>913</v>
      </c>
      <c r="C819" s="113" t="s">
        <v>128</v>
      </c>
      <c r="D819" s="113" t="s">
        <v>156</v>
      </c>
    </row>
    <row r="820" spans="1:4">
      <c r="A820" s="113" t="s">
        <v>646</v>
      </c>
      <c r="B820" s="113" t="s">
        <v>913</v>
      </c>
      <c r="C820" s="113" t="s">
        <v>130</v>
      </c>
      <c r="D820" s="113" t="s">
        <v>914</v>
      </c>
    </row>
    <row r="821" spans="1:4">
      <c r="A821" s="113" t="s">
        <v>646</v>
      </c>
      <c r="B821" s="113" t="s">
        <v>913</v>
      </c>
      <c r="C821" s="113" t="s">
        <v>130</v>
      </c>
      <c r="D821" s="113" t="s">
        <v>915</v>
      </c>
    </row>
    <row r="822" spans="1:4">
      <c r="A822" s="113" t="s">
        <v>646</v>
      </c>
      <c r="B822" s="113" t="s">
        <v>913</v>
      </c>
      <c r="C822" s="113" t="s">
        <v>130</v>
      </c>
      <c r="D822" s="113" t="s">
        <v>916</v>
      </c>
    </row>
    <row r="823" spans="1:4">
      <c r="A823" s="113" t="s">
        <v>646</v>
      </c>
      <c r="B823" s="113" t="s">
        <v>913</v>
      </c>
      <c r="C823" s="113" t="s">
        <v>130</v>
      </c>
      <c r="D823" s="113" t="s">
        <v>917</v>
      </c>
    </row>
    <row r="824" spans="1:4">
      <c r="A824" s="113" t="s">
        <v>646</v>
      </c>
      <c r="B824" s="113" t="s">
        <v>918</v>
      </c>
      <c r="C824" s="113" t="s">
        <v>128</v>
      </c>
      <c r="D824" s="113" t="s">
        <v>919</v>
      </c>
    </row>
    <row r="825" spans="1:4">
      <c r="A825" s="113" t="s">
        <v>646</v>
      </c>
      <c r="B825" s="113" t="s">
        <v>918</v>
      </c>
      <c r="C825" s="113" t="s">
        <v>128</v>
      </c>
      <c r="D825" s="113" t="s">
        <v>920</v>
      </c>
    </row>
    <row r="826" spans="1:4">
      <c r="A826" s="113" t="s">
        <v>646</v>
      </c>
      <c r="B826" s="113" t="s">
        <v>918</v>
      </c>
      <c r="C826" s="113" t="s">
        <v>128</v>
      </c>
      <c r="D826" s="113" t="s">
        <v>921</v>
      </c>
    </row>
    <row r="827" spans="1:4">
      <c r="A827" s="113" t="s">
        <v>646</v>
      </c>
      <c r="B827" s="113" t="s">
        <v>918</v>
      </c>
      <c r="C827" s="113" t="s">
        <v>128</v>
      </c>
      <c r="D827" s="113" t="s">
        <v>922</v>
      </c>
    </row>
    <row r="828" spans="1:4">
      <c r="A828" s="113" t="s">
        <v>646</v>
      </c>
      <c r="B828" s="113" t="s">
        <v>918</v>
      </c>
      <c r="C828" s="113" t="s">
        <v>128</v>
      </c>
      <c r="D828" s="113" t="s">
        <v>156</v>
      </c>
    </row>
    <row r="829" spans="1:4">
      <c r="A829" s="113" t="s">
        <v>646</v>
      </c>
      <c r="B829" s="113" t="s">
        <v>918</v>
      </c>
      <c r="C829" s="113" t="s">
        <v>130</v>
      </c>
      <c r="D829" s="113" t="s">
        <v>923</v>
      </c>
    </row>
    <row r="830" spans="1:4">
      <c r="A830" s="113" t="s">
        <v>646</v>
      </c>
      <c r="B830" s="113" t="s">
        <v>918</v>
      </c>
      <c r="C830" s="113" t="s">
        <v>130</v>
      </c>
      <c r="D830" s="113" t="s">
        <v>924</v>
      </c>
    </row>
    <row r="831" spans="1:4">
      <c r="A831" s="113" t="s">
        <v>646</v>
      </c>
      <c r="B831" s="113" t="s">
        <v>918</v>
      </c>
      <c r="C831" s="113" t="s">
        <v>130</v>
      </c>
      <c r="D831" s="113" t="s">
        <v>925</v>
      </c>
    </row>
    <row r="832" spans="1:4">
      <c r="A832" s="113" t="s">
        <v>646</v>
      </c>
      <c r="B832" s="113" t="s">
        <v>918</v>
      </c>
      <c r="C832" s="113" t="s">
        <v>130</v>
      </c>
      <c r="D832" s="113" t="s">
        <v>926</v>
      </c>
    </row>
    <row r="833" spans="1:4">
      <c r="A833" s="113" t="s">
        <v>646</v>
      </c>
      <c r="B833" s="113" t="s">
        <v>918</v>
      </c>
      <c r="C833" s="113" t="s">
        <v>130</v>
      </c>
      <c r="D833" s="113" t="s">
        <v>927</v>
      </c>
    </row>
    <row r="834" spans="1:4">
      <c r="A834" s="113" t="s">
        <v>646</v>
      </c>
      <c r="B834" s="113" t="s">
        <v>918</v>
      </c>
      <c r="C834" s="113" t="s">
        <v>130</v>
      </c>
      <c r="D834" s="113" t="s">
        <v>928</v>
      </c>
    </row>
    <row r="835" spans="1:4">
      <c r="A835" s="113" t="s">
        <v>646</v>
      </c>
      <c r="B835" s="113" t="s">
        <v>918</v>
      </c>
      <c r="C835" s="113" t="s">
        <v>130</v>
      </c>
      <c r="D835" s="113" t="s">
        <v>929</v>
      </c>
    </row>
    <row r="836" spans="1:4">
      <c r="A836" s="113" t="s">
        <v>646</v>
      </c>
      <c r="B836" s="113" t="s">
        <v>918</v>
      </c>
      <c r="C836" s="113" t="s">
        <v>130</v>
      </c>
      <c r="D836" s="113" t="s">
        <v>930</v>
      </c>
    </row>
    <row r="837" spans="1:4">
      <c r="A837" s="113" t="s">
        <v>646</v>
      </c>
      <c r="B837" s="113" t="s">
        <v>918</v>
      </c>
      <c r="C837" s="113" t="s">
        <v>130</v>
      </c>
      <c r="D837" s="113" t="s">
        <v>931</v>
      </c>
    </row>
    <row r="838" spans="1:4">
      <c r="A838" s="113" t="s">
        <v>646</v>
      </c>
      <c r="B838" s="113" t="s">
        <v>918</v>
      </c>
      <c r="C838" s="113" t="s">
        <v>130</v>
      </c>
      <c r="D838" s="113" t="s">
        <v>932</v>
      </c>
    </row>
    <row r="839" spans="1:4">
      <c r="A839" s="113" t="s">
        <v>646</v>
      </c>
      <c r="B839" s="113" t="s">
        <v>933</v>
      </c>
      <c r="C839" s="113" t="s">
        <v>128</v>
      </c>
      <c r="D839" s="113" t="s">
        <v>934</v>
      </c>
    </row>
    <row r="840" spans="1:4">
      <c r="A840" s="113" t="s">
        <v>646</v>
      </c>
      <c r="B840" s="113" t="s">
        <v>933</v>
      </c>
      <c r="C840" s="113" t="s">
        <v>128</v>
      </c>
      <c r="D840" s="113" t="s">
        <v>935</v>
      </c>
    </row>
    <row r="841" spans="1:4">
      <c r="A841" s="113" t="s">
        <v>646</v>
      </c>
      <c r="B841" s="113" t="s">
        <v>933</v>
      </c>
      <c r="C841" s="113" t="s">
        <v>128</v>
      </c>
      <c r="D841" s="113" t="s">
        <v>936</v>
      </c>
    </row>
    <row r="842" spans="1:4">
      <c r="A842" s="113" t="s">
        <v>646</v>
      </c>
      <c r="B842" s="113" t="s">
        <v>933</v>
      </c>
      <c r="C842" s="113" t="s">
        <v>128</v>
      </c>
      <c r="D842" s="113" t="s">
        <v>937</v>
      </c>
    </row>
    <row r="843" spans="1:4">
      <c r="A843" s="113" t="s">
        <v>646</v>
      </c>
      <c r="B843" s="113" t="s">
        <v>933</v>
      </c>
      <c r="C843" s="113" t="s">
        <v>128</v>
      </c>
      <c r="D843" s="113" t="s">
        <v>938</v>
      </c>
    </row>
    <row r="844" spans="1:4">
      <c r="A844" s="113" t="s">
        <v>646</v>
      </c>
      <c r="B844" s="113" t="s">
        <v>933</v>
      </c>
      <c r="C844" s="113" t="s">
        <v>128</v>
      </c>
      <c r="D844" s="113" t="s">
        <v>939</v>
      </c>
    </row>
    <row r="845" spans="1:4">
      <c r="A845" s="113" t="s">
        <v>646</v>
      </c>
      <c r="B845" s="113" t="s">
        <v>933</v>
      </c>
      <c r="C845" s="113" t="s">
        <v>128</v>
      </c>
      <c r="D845" s="113" t="s">
        <v>940</v>
      </c>
    </row>
    <row r="846" spans="1:4">
      <c r="A846" s="113" t="s">
        <v>646</v>
      </c>
      <c r="B846" s="113" t="s">
        <v>933</v>
      </c>
      <c r="C846" s="113" t="s">
        <v>128</v>
      </c>
      <c r="D846" s="113" t="s">
        <v>941</v>
      </c>
    </row>
    <row r="847" spans="1:4">
      <c r="A847" s="113" t="s">
        <v>646</v>
      </c>
      <c r="B847" s="113" t="s">
        <v>933</v>
      </c>
      <c r="C847" s="113" t="s">
        <v>128</v>
      </c>
      <c r="D847" s="113" t="s">
        <v>942</v>
      </c>
    </row>
    <row r="848" spans="1:4">
      <c r="A848" s="113" t="s">
        <v>646</v>
      </c>
      <c r="B848" s="113" t="s">
        <v>933</v>
      </c>
      <c r="C848" s="113" t="s">
        <v>128</v>
      </c>
      <c r="D848" s="113" t="s">
        <v>943</v>
      </c>
    </row>
    <row r="849" spans="1:4">
      <c r="A849" s="113" t="s">
        <v>646</v>
      </c>
      <c r="B849" s="113" t="s">
        <v>933</v>
      </c>
      <c r="C849" s="113" t="s">
        <v>128</v>
      </c>
      <c r="D849" s="113" t="s">
        <v>156</v>
      </c>
    </row>
    <row r="850" spans="1:4">
      <c r="A850" s="113" t="s">
        <v>646</v>
      </c>
      <c r="B850" s="113" t="s">
        <v>933</v>
      </c>
      <c r="C850" s="113" t="s">
        <v>128</v>
      </c>
      <c r="D850" s="113" t="s">
        <v>944</v>
      </c>
    </row>
    <row r="851" spans="1:4">
      <c r="A851" s="113" t="s">
        <v>646</v>
      </c>
      <c r="B851" s="113" t="s">
        <v>933</v>
      </c>
      <c r="C851" s="113" t="s">
        <v>130</v>
      </c>
      <c r="D851" s="113" t="s">
        <v>796</v>
      </c>
    </row>
    <row r="852" spans="1:4">
      <c r="A852" s="113" t="s">
        <v>646</v>
      </c>
      <c r="B852" s="113" t="s">
        <v>933</v>
      </c>
      <c r="C852" s="113" t="s">
        <v>130</v>
      </c>
      <c r="D852" s="113" t="s">
        <v>797</v>
      </c>
    </row>
    <row r="853" spans="1:4">
      <c r="A853" s="113" t="s">
        <v>646</v>
      </c>
      <c r="B853" s="113" t="s">
        <v>933</v>
      </c>
      <c r="C853" s="113" t="s">
        <v>130</v>
      </c>
      <c r="D853" s="113" t="s">
        <v>945</v>
      </c>
    </row>
    <row r="854" spans="1:4">
      <c r="A854" s="113" t="s">
        <v>646</v>
      </c>
      <c r="B854" s="113" t="s">
        <v>933</v>
      </c>
      <c r="C854" s="113" t="s">
        <v>130</v>
      </c>
      <c r="D854" s="113" t="s">
        <v>946</v>
      </c>
    </row>
    <row r="855" spans="1:4">
      <c r="A855" s="113" t="s">
        <v>646</v>
      </c>
      <c r="B855" s="113" t="s">
        <v>933</v>
      </c>
      <c r="C855" s="113" t="s">
        <v>130</v>
      </c>
      <c r="D855" s="113" t="s">
        <v>947</v>
      </c>
    </row>
    <row r="856" spans="1:4">
      <c r="A856" s="113" t="s">
        <v>646</v>
      </c>
      <c r="B856" s="113" t="s">
        <v>933</v>
      </c>
      <c r="C856" s="113" t="s">
        <v>130</v>
      </c>
      <c r="D856" s="113" t="s">
        <v>948</v>
      </c>
    </row>
    <row r="857" spans="1:4">
      <c r="A857" s="113" t="s">
        <v>646</v>
      </c>
      <c r="B857" s="113" t="s">
        <v>933</v>
      </c>
      <c r="C857" s="113" t="s">
        <v>130</v>
      </c>
      <c r="D857" s="113" t="s">
        <v>949</v>
      </c>
    </row>
    <row r="858" spans="1:4">
      <c r="A858" s="113" t="s">
        <v>646</v>
      </c>
      <c r="B858" s="113" t="s">
        <v>933</v>
      </c>
      <c r="C858" s="113" t="s">
        <v>130</v>
      </c>
      <c r="D858" s="113" t="s">
        <v>950</v>
      </c>
    </row>
    <row r="859" spans="1:4">
      <c r="A859" s="113" t="s">
        <v>646</v>
      </c>
      <c r="B859" s="113" t="s">
        <v>933</v>
      </c>
      <c r="C859" s="113" t="s">
        <v>130</v>
      </c>
      <c r="D859" s="113" t="s">
        <v>951</v>
      </c>
    </row>
    <row r="860" spans="1:4">
      <c r="A860" s="113" t="s">
        <v>646</v>
      </c>
      <c r="B860" s="113" t="s">
        <v>933</v>
      </c>
      <c r="C860" s="113" t="s">
        <v>130</v>
      </c>
      <c r="D860" s="113" t="s">
        <v>952</v>
      </c>
    </row>
    <row r="861" spans="1:4">
      <c r="A861" s="113" t="s">
        <v>646</v>
      </c>
      <c r="B861" s="113" t="s">
        <v>933</v>
      </c>
      <c r="C861" s="113" t="s">
        <v>130</v>
      </c>
      <c r="D861" s="113" t="s">
        <v>953</v>
      </c>
    </row>
    <row r="862" spans="1:4">
      <c r="A862" s="113" t="s">
        <v>646</v>
      </c>
      <c r="B862" s="113" t="s">
        <v>933</v>
      </c>
      <c r="C862" s="113" t="s">
        <v>130</v>
      </c>
      <c r="D862" s="113" t="s">
        <v>954</v>
      </c>
    </row>
    <row r="863" spans="1:4">
      <c r="A863" s="113" t="s">
        <v>646</v>
      </c>
      <c r="B863" s="113" t="s">
        <v>933</v>
      </c>
      <c r="C863" s="113" t="s">
        <v>130</v>
      </c>
      <c r="D863" s="113" t="s">
        <v>877</v>
      </c>
    </row>
    <row r="864" spans="1:4">
      <c r="A864" s="113" t="s">
        <v>646</v>
      </c>
      <c r="B864" s="113" t="s">
        <v>933</v>
      </c>
      <c r="C864" s="113" t="s">
        <v>130</v>
      </c>
      <c r="D864" s="113" t="s">
        <v>878</v>
      </c>
    </row>
    <row r="865" spans="1:4">
      <c r="A865" s="113" t="s">
        <v>646</v>
      </c>
      <c r="B865" s="113" t="s">
        <v>933</v>
      </c>
      <c r="C865" s="113" t="s">
        <v>130</v>
      </c>
      <c r="D865" s="113" t="s">
        <v>259</v>
      </c>
    </row>
    <row r="866" spans="1:4">
      <c r="A866" s="113" t="s">
        <v>646</v>
      </c>
      <c r="B866" s="113" t="s">
        <v>933</v>
      </c>
      <c r="C866" s="113" t="s">
        <v>130</v>
      </c>
      <c r="D866" s="113" t="s">
        <v>260</v>
      </c>
    </row>
    <row r="867" spans="1:4">
      <c r="A867" s="113" t="s">
        <v>646</v>
      </c>
      <c r="B867" s="113" t="s">
        <v>933</v>
      </c>
      <c r="C867" s="113" t="s">
        <v>130</v>
      </c>
      <c r="D867" s="113" t="s">
        <v>879</v>
      </c>
    </row>
    <row r="868" spans="1:4">
      <c r="A868" s="113" t="s">
        <v>646</v>
      </c>
      <c r="B868" s="113" t="s">
        <v>933</v>
      </c>
      <c r="C868" s="113" t="s">
        <v>130</v>
      </c>
      <c r="D868" s="113" t="s">
        <v>880</v>
      </c>
    </row>
    <row r="869" spans="1:4">
      <c r="A869" s="113" t="s">
        <v>646</v>
      </c>
      <c r="B869" s="113" t="s">
        <v>933</v>
      </c>
      <c r="C869" s="113" t="s">
        <v>130</v>
      </c>
      <c r="D869" s="113" t="s">
        <v>955</v>
      </c>
    </row>
    <row r="870" spans="1:4">
      <c r="A870" s="113" t="s">
        <v>646</v>
      </c>
      <c r="B870" s="113" t="s">
        <v>933</v>
      </c>
      <c r="C870" s="113" t="s">
        <v>130</v>
      </c>
      <c r="D870" s="113" t="s">
        <v>956</v>
      </c>
    </row>
    <row r="871" spans="1:4">
      <c r="A871" s="113" t="s">
        <v>646</v>
      </c>
      <c r="B871" s="113" t="s">
        <v>933</v>
      </c>
      <c r="C871" s="113" t="s">
        <v>130</v>
      </c>
      <c r="D871" s="113" t="s">
        <v>673</v>
      </c>
    </row>
    <row r="872" spans="1:4">
      <c r="A872" s="113" t="s">
        <v>646</v>
      </c>
      <c r="B872" s="113" t="s">
        <v>933</v>
      </c>
      <c r="C872" s="113" t="s">
        <v>130</v>
      </c>
      <c r="D872" s="113" t="s">
        <v>674</v>
      </c>
    </row>
    <row r="873" spans="1:4">
      <c r="A873" s="113" t="s">
        <v>646</v>
      </c>
      <c r="B873" s="113" t="s">
        <v>933</v>
      </c>
      <c r="C873" s="113" t="s">
        <v>130</v>
      </c>
      <c r="D873" s="113" t="s">
        <v>957</v>
      </c>
    </row>
    <row r="874" spans="1:4">
      <c r="A874" s="113" t="s">
        <v>646</v>
      </c>
      <c r="B874" s="113" t="s">
        <v>933</v>
      </c>
      <c r="C874" s="113" t="s">
        <v>130</v>
      </c>
      <c r="D874" s="113" t="s">
        <v>958</v>
      </c>
    </row>
    <row r="875" spans="1:4">
      <c r="A875" s="113" t="s">
        <v>646</v>
      </c>
      <c r="B875" s="113" t="s">
        <v>933</v>
      </c>
      <c r="C875" s="113" t="s">
        <v>130</v>
      </c>
      <c r="D875" s="113" t="s">
        <v>959</v>
      </c>
    </row>
    <row r="876" spans="1:4">
      <c r="A876" s="113" t="s">
        <v>646</v>
      </c>
      <c r="B876" s="113" t="s">
        <v>933</v>
      </c>
      <c r="C876" s="113" t="s">
        <v>130</v>
      </c>
      <c r="D876" s="113" t="s">
        <v>960</v>
      </c>
    </row>
    <row r="877" spans="1:4">
      <c r="A877" s="113" t="s">
        <v>646</v>
      </c>
      <c r="B877" s="113" t="s">
        <v>933</v>
      </c>
      <c r="C877" s="113" t="s">
        <v>130</v>
      </c>
      <c r="D877" s="113" t="s">
        <v>961</v>
      </c>
    </row>
    <row r="878" spans="1:4">
      <c r="A878" s="113" t="s">
        <v>646</v>
      </c>
      <c r="B878" s="113" t="s">
        <v>933</v>
      </c>
      <c r="C878" s="113" t="s">
        <v>130</v>
      </c>
      <c r="D878" s="113" t="s">
        <v>962</v>
      </c>
    </row>
    <row r="879" spans="1:4">
      <c r="A879" s="113" t="s">
        <v>646</v>
      </c>
      <c r="B879" s="113" t="s">
        <v>933</v>
      </c>
      <c r="C879" s="113" t="s">
        <v>130</v>
      </c>
      <c r="D879" s="113" t="s">
        <v>436</v>
      </c>
    </row>
    <row r="880" spans="1:4">
      <c r="A880" s="113" t="s">
        <v>646</v>
      </c>
      <c r="B880" s="113" t="s">
        <v>933</v>
      </c>
      <c r="C880" s="113" t="s">
        <v>130</v>
      </c>
      <c r="D880" s="113" t="s">
        <v>437</v>
      </c>
    </row>
    <row r="881" spans="1:4">
      <c r="A881" s="113" t="s">
        <v>646</v>
      </c>
      <c r="B881" s="113" t="s">
        <v>933</v>
      </c>
      <c r="C881" s="113" t="s">
        <v>130</v>
      </c>
      <c r="D881" s="113" t="s">
        <v>963</v>
      </c>
    </row>
    <row r="882" spans="1:4">
      <c r="A882" s="113" t="s">
        <v>646</v>
      </c>
      <c r="B882" s="113" t="s">
        <v>933</v>
      </c>
      <c r="C882" s="113" t="s">
        <v>130</v>
      </c>
      <c r="D882" s="113" t="s">
        <v>964</v>
      </c>
    </row>
    <row r="883" spans="1:4">
      <c r="A883" s="113" t="s">
        <v>646</v>
      </c>
      <c r="B883" s="113" t="s">
        <v>933</v>
      </c>
      <c r="C883" s="113" t="s">
        <v>130</v>
      </c>
      <c r="D883" s="113" t="s">
        <v>887</v>
      </c>
    </row>
    <row r="884" spans="1:4">
      <c r="A884" s="113" t="s">
        <v>646</v>
      </c>
      <c r="B884" s="113" t="s">
        <v>933</v>
      </c>
      <c r="C884" s="113" t="s">
        <v>130</v>
      </c>
      <c r="D884" s="113" t="s">
        <v>888</v>
      </c>
    </row>
    <row r="885" spans="1:4">
      <c r="A885" s="113" t="s">
        <v>646</v>
      </c>
      <c r="B885" s="113" t="s">
        <v>933</v>
      </c>
      <c r="C885" s="113" t="s">
        <v>130</v>
      </c>
      <c r="D885" s="113" t="s">
        <v>965</v>
      </c>
    </row>
    <row r="886" spans="1:4">
      <c r="A886" s="113" t="s">
        <v>646</v>
      </c>
      <c r="B886" s="113" t="s">
        <v>933</v>
      </c>
      <c r="C886" s="113" t="s">
        <v>130</v>
      </c>
      <c r="D886" s="113" t="s">
        <v>966</v>
      </c>
    </row>
    <row r="887" spans="1:4">
      <c r="A887" s="113" t="s">
        <v>646</v>
      </c>
      <c r="B887" s="113" t="s">
        <v>967</v>
      </c>
      <c r="C887" s="113" t="s">
        <v>128</v>
      </c>
      <c r="D887" s="113" t="s">
        <v>968</v>
      </c>
    </row>
    <row r="888" spans="1:4">
      <c r="A888" s="113" t="s">
        <v>646</v>
      </c>
      <c r="B888" s="113" t="s">
        <v>967</v>
      </c>
      <c r="C888" s="113" t="s">
        <v>128</v>
      </c>
      <c r="D888" s="113" t="s">
        <v>969</v>
      </c>
    </row>
    <row r="889" spans="1:4">
      <c r="A889" s="113" t="s">
        <v>646</v>
      </c>
      <c r="B889" s="113" t="s">
        <v>967</v>
      </c>
      <c r="C889" s="113" t="s">
        <v>128</v>
      </c>
      <c r="D889" s="113" t="s">
        <v>156</v>
      </c>
    </row>
    <row r="890" spans="1:4">
      <c r="A890" s="113" t="s">
        <v>646</v>
      </c>
      <c r="B890" s="113" t="s">
        <v>967</v>
      </c>
      <c r="C890" s="113" t="s">
        <v>130</v>
      </c>
      <c r="D890" s="113" t="s">
        <v>970</v>
      </c>
    </row>
    <row r="891" spans="1:4">
      <c r="A891" s="113" t="s">
        <v>646</v>
      </c>
      <c r="B891" s="113" t="s">
        <v>967</v>
      </c>
      <c r="C891" s="113" t="s">
        <v>130</v>
      </c>
      <c r="D891" s="113" t="s">
        <v>971</v>
      </c>
    </row>
    <row r="892" spans="1:4">
      <c r="A892" s="113" t="s">
        <v>646</v>
      </c>
      <c r="B892" s="113" t="s">
        <v>967</v>
      </c>
      <c r="C892" s="113" t="s">
        <v>130</v>
      </c>
      <c r="D892" s="113" t="s">
        <v>972</v>
      </c>
    </row>
    <row r="893" spans="1:4">
      <c r="A893" s="113" t="s">
        <v>646</v>
      </c>
      <c r="B893" s="113" t="s">
        <v>967</v>
      </c>
      <c r="C893" s="113" t="s">
        <v>130</v>
      </c>
      <c r="D893" s="113" t="s">
        <v>973</v>
      </c>
    </row>
    <row r="894" spans="1:4">
      <c r="A894" s="113" t="s">
        <v>646</v>
      </c>
      <c r="B894" s="113" t="s">
        <v>974</v>
      </c>
      <c r="C894" s="113" t="s">
        <v>128</v>
      </c>
      <c r="D894" s="113" t="s">
        <v>975</v>
      </c>
    </row>
    <row r="895" spans="1:4">
      <c r="A895" s="113" t="s">
        <v>646</v>
      </c>
      <c r="B895" s="113" t="s">
        <v>974</v>
      </c>
      <c r="C895" s="113" t="s">
        <v>128</v>
      </c>
      <c r="D895" s="113" t="s">
        <v>976</v>
      </c>
    </row>
    <row r="896" spans="1:4">
      <c r="A896" s="113" t="s">
        <v>646</v>
      </c>
      <c r="B896" s="113" t="s">
        <v>974</v>
      </c>
      <c r="C896" s="113" t="s">
        <v>128</v>
      </c>
      <c r="D896" s="113" t="s">
        <v>156</v>
      </c>
    </row>
    <row r="897" spans="1:4">
      <c r="A897" s="113" t="s">
        <v>646</v>
      </c>
      <c r="B897" s="113" t="s">
        <v>974</v>
      </c>
      <c r="C897" s="113" t="s">
        <v>130</v>
      </c>
      <c r="D897" s="113" t="s">
        <v>977</v>
      </c>
    </row>
    <row r="898" spans="1:4">
      <c r="A898" s="113" t="s">
        <v>646</v>
      </c>
      <c r="B898" s="113" t="s">
        <v>974</v>
      </c>
      <c r="C898" s="113" t="s">
        <v>130</v>
      </c>
      <c r="D898" s="113" t="s">
        <v>978</v>
      </c>
    </row>
    <row r="899" spans="1:4">
      <c r="A899" s="113" t="s">
        <v>646</v>
      </c>
      <c r="B899" s="113" t="s">
        <v>974</v>
      </c>
      <c r="C899" s="113" t="s">
        <v>130</v>
      </c>
      <c r="D899" s="113" t="s">
        <v>979</v>
      </c>
    </row>
    <row r="900" spans="1:4">
      <c r="A900" s="113" t="s">
        <v>646</v>
      </c>
      <c r="B900" s="113" t="s">
        <v>974</v>
      </c>
      <c r="C900" s="113" t="s">
        <v>130</v>
      </c>
      <c r="D900" s="113" t="s">
        <v>980</v>
      </c>
    </row>
    <row r="901" spans="1:4">
      <c r="A901" s="113" t="s">
        <v>646</v>
      </c>
      <c r="B901" s="113" t="s">
        <v>981</v>
      </c>
      <c r="C901" s="113" t="s">
        <v>128</v>
      </c>
      <c r="D901" s="113" t="s">
        <v>982</v>
      </c>
    </row>
    <row r="902" spans="1:4">
      <c r="A902" s="113" t="s">
        <v>646</v>
      </c>
      <c r="B902" s="113" t="s">
        <v>981</v>
      </c>
      <c r="C902" s="113" t="s">
        <v>128</v>
      </c>
      <c r="D902" s="113" t="s">
        <v>983</v>
      </c>
    </row>
    <row r="903" spans="1:4">
      <c r="A903" s="113" t="s">
        <v>646</v>
      </c>
      <c r="B903" s="113" t="s">
        <v>981</v>
      </c>
      <c r="C903" s="113" t="s">
        <v>128</v>
      </c>
      <c r="D903" s="113" t="s">
        <v>156</v>
      </c>
    </row>
    <row r="904" spans="1:4">
      <c r="A904" s="113" t="s">
        <v>646</v>
      </c>
      <c r="B904" s="113" t="s">
        <v>981</v>
      </c>
      <c r="C904" s="113" t="s">
        <v>130</v>
      </c>
      <c r="D904" s="113" t="s">
        <v>984</v>
      </c>
    </row>
    <row r="905" spans="1:4">
      <c r="A905" s="113" t="s">
        <v>646</v>
      </c>
      <c r="B905" s="113" t="s">
        <v>981</v>
      </c>
      <c r="C905" s="113" t="s">
        <v>130</v>
      </c>
      <c r="D905" s="113" t="s">
        <v>985</v>
      </c>
    </row>
    <row r="906" spans="1:4">
      <c r="A906" s="113" t="s">
        <v>646</v>
      </c>
      <c r="B906" s="113" t="s">
        <v>981</v>
      </c>
      <c r="C906" s="113" t="s">
        <v>130</v>
      </c>
      <c r="D906" s="113" t="s">
        <v>986</v>
      </c>
    </row>
    <row r="907" spans="1:4">
      <c r="A907" s="113" t="s">
        <v>646</v>
      </c>
      <c r="B907" s="113" t="s">
        <v>981</v>
      </c>
      <c r="C907" s="113" t="s">
        <v>130</v>
      </c>
      <c r="D907" s="113" t="s">
        <v>987</v>
      </c>
    </row>
    <row r="908" spans="1:4">
      <c r="A908" s="113" t="s">
        <v>646</v>
      </c>
      <c r="B908" s="113" t="s">
        <v>981</v>
      </c>
      <c r="C908" s="113" t="s">
        <v>130</v>
      </c>
      <c r="D908" s="113" t="s">
        <v>988</v>
      </c>
    </row>
    <row r="909" spans="1:4">
      <c r="A909" s="113" t="s">
        <v>646</v>
      </c>
      <c r="B909" s="113" t="s">
        <v>981</v>
      </c>
      <c r="C909" s="113" t="s">
        <v>130</v>
      </c>
      <c r="D909" s="113" t="s">
        <v>989</v>
      </c>
    </row>
    <row r="910" spans="1:4">
      <c r="A910" s="113" t="s">
        <v>646</v>
      </c>
      <c r="B910" s="113" t="s">
        <v>981</v>
      </c>
      <c r="C910" s="113" t="s">
        <v>130</v>
      </c>
      <c r="D910" s="113" t="s">
        <v>990</v>
      </c>
    </row>
    <row r="911" spans="1:4">
      <c r="A911" s="113" t="s">
        <v>646</v>
      </c>
      <c r="B911" s="113" t="s">
        <v>981</v>
      </c>
      <c r="C911" s="113" t="s">
        <v>130</v>
      </c>
      <c r="D911" s="113" t="s">
        <v>991</v>
      </c>
    </row>
    <row r="912" spans="1:4">
      <c r="A912" s="113" t="s">
        <v>646</v>
      </c>
      <c r="B912" s="113" t="s">
        <v>992</v>
      </c>
      <c r="C912" s="113" t="s">
        <v>128</v>
      </c>
      <c r="D912" s="113" t="s">
        <v>156</v>
      </c>
    </row>
    <row r="913" spans="1:4">
      <c r="A913" s="113" t="s">
        <v>646</v>
      </c>
      <c r="B913" s="113" t="s">
        <v>992</v>
      </c>
      <c r="C913" s="113" t="s">
        <v>130</v>
      </c>
      <c r="D913" s="113" t="s">
        <v>909</v>
      </c>
    </row>
    <row r="914" spans="1:4">
      <c r="A914" s="113" t="s">
        <v>646</v>
      </c>
      <c r="B914" s="113" t="s">
        <v>992</v>
      </c>
      <c r="C914" s="113" t="s">
        <v>130</v>
      </c>
      <c r="D914" s="113" t="s">
        <v>910</v>
      </c>
    </row>
    <row r="915" spans="1:4">
      <c r="A915" s="113" t="s">
        <v>646</v>
      </c>
      <c r="B915" s="113" t="s">
        <v>992</v>
      </c>
      <c r="C915" s="113" t="s">
        <v>130</v>
      </c>
      <c r="D915" s="113" t="s">
        <v>993</v>
      </c>
    </row>
    <row r="916" spans="1:4">
      <c r="A916" s="113" t="s">
        <v>646</v>
      </c>
      <c r="B916" s="113" t="s">
        <v>992</v>
      </c>
      <c r="C916" s="113" t="s">
        <v>130</v>
      </c>
      <c r="D916" s="113" t="s">
        <v>994</v>
      </c>
    </row>
    <row r="917" spans="1:4">
      <c r="A917" s="113" t="s">
        <v>646</v>
      </c>
      <c r="B917" s="113" t="s">
        <v>995</v>
      </c>
      <c r="C917" s="113" t="s">
        <v>128</v>
      </c>
      <c r="D917" s="113" t="s">
        <v>996</v>
      </c>
    </row>
    <row r="918" spans="1:4">
      <c r="A918" s="113" t="s">
        <v>646</v>
      </c>
      <c r="B918" s="113" t="s">
        <v>995</v>
      </c>
      <c r="C918" s="113" t="s">
        <v>128</v>
      </c>
      <c r="D918" s="113" t="s">
        <v>997</v>
      </c>
    </row>
    <row r="919" spans="1:4">
      <c r="A919" s="113" t="s">
        <v>646</v>
      </c>
      <c r="B919" s="113" t="s">
        <v>995</v>
      </c>
      <c r="C919" s="113" t="s">
        <v>128</v>
      </c>
      <c r="D919" s="113" t="s">
        <v>156</v>
      </c>
    </row>
    <row r="920" spans="1:4">
      <c r="A920" s="113" t="s">
        <v>646</v>
      </c>
      <c r="B920" s="113" t="s">
        <v>995</v>
      </c>
      <c r="C920" s="113" t="s">
        <v>130</v>
      </c>
      <c r="D920" s="113" t="s">
        <v>998</v>
      </c>
    </row>
    <row r="921" spans="1:4">
      <c r="A921" s="113" t="s">
        <v>646</v>
      </c>
      <c r="B921" s="113" t="s">
        <v>995</v>
      </c>
      <c r="C921" s="113" t="s">
        <v>130</v>
      </c>
      <c r="D921" s="113" t="s">
        <v>999</v>
      </c>
    </row>
    <row r="922" spans="1:4">
      <c r="A922" s="113" t="s">
        <v>646</v>
      </c>
      <c r="B922" s="113" t="s">
        <v>995</v>
      </c>
      <c r="C922" s="113" t="s">
        <v>130</v>
      </c>
      <c r="D922" s="113" t="s">
        <v>1000</v>
      </c>
    </row>
    <row r="923" spans="1:4">
      <c r="A923" s="113" t="s">
        <v>646</v>
      </c>
      <c r="B923" s="113" t="s">
        <v>995</v>
      </c>
      <c r="C923" s="113" t="s">
        <v>130</v>
      </c>
      <c r="D923" s="113" t="s">
        <v>1001</v>
      </c>
    </row>
    <row r="924" spans="1:4">
      <c r="A924" s="113" t="s">
        <v>646</v>
      </c>
      <c r="B924" s="113" t="s">
        <v>995</v>
      </c>
      <c r="C924" s="113" t="s">
        <v>130</v>
      </c>
      <c r="D924" s="113" t="s">
        <v>1002</v>
      </c>
    </row>
    <row r="925" spans="1:4">
      <c r="A925" s="113" t="s">
        <v>646</v>
      </c>
      <c r="B925" s="113" t="s">
        <v>995</v>
      </c>
      <c r="C925" s="113" t="s">
        <v>130</v>
      </c>
      <c r="D925" s="113" t="s">
        <v>1003</v>
      </c>
    </row>
    <row r="926" spans="1:4">
      <c r="A926" s="113" t="s">
        <v>646</v>
      </c>
      <c r="B926" s="113" t="s">
        <v>995</v>
      </c>
      <c r="C926" s="113" t="s">
        <v>325</v>
      </c>
      <c r="D926" s="113" t="s">
        <v>1004</v>
      </c>
    </row>
    <row r="927" spans="1:4">
      <c r="A927" s="113" t="s">
        <v>646</v>
      </c>
      <c r="B927" s="113" t="s">
        <v>1005</v>
      </c>
      <c r="C927" s="113" t="s">
        <v>128</v>
      </c>
      <c r="D927" s="113" t="s">
        <v>1006</v>
      </c>
    </row>
    <row r="928" spans="1:4">
      <c r="A928" s="113" t="s">
        <v>646</v>
      </c>
      <c r="B928" s="113" t="s">
        <v>1005</v>
      </c>
      <c r="C928" s="113" t="s">
        <v>128</v>
      </c>
      <c r="D928" s="113" t="s">
        <v>1007</v>
      </c>
    </row>
    <row r="929" spans="1:4">
      <c r="A929" s="113" t="s">
        <v>646</v>
      </c>
      <c r="B929" s="113" t="s">
        <v>1005</v>
      </c>
      <c r="C929" s="113" t="s">
        <v>128</v>
      </c>
      <c r="D929" s="113" t="s">
        <v>1008</v>
      </c>
    </row>
    <row r="930" spans="1:4">
      <c r="A930" s="113" t="s">
        <v>646</v>
      </c>
      <c r="B930" s="113" t="s">
        <v>1005</v>
      </c>
      <c r="C930" s="113" t="s">
        <v>128</v>
      </c>
      <c r="D930" s="113" t="s">
        <v>1009</v>
      </c>
    </row>
    <row r="931" spans="1:4">
      <c r="A931" s="113" t="s">
        <v>646</v>
      </c>
      <c r="B931" s="113" t="s">
        <v>1005</v>
      </c>
      <c r="C931" s="113" t="s">
        <v>128</v>
      </c>
      <c r="D931" s="113" t="s">
        <v>156</v>
      </c>
    </row>
    <row r="932" spans="1:4">
      <c r="A932" s="113" t="s">
        <v>646</v>
      </c>
      <c r="B932" s="113" t="s">
        <v>1005</v>
      </c>
      <c r="C932" s="113" t="s">
        <v>128</v>
      </c>
      <c r="D932" s="113" t="s">
        <v>779</v>
      </c>
    </row>
    <row r="933" spans="1:4">
      <c r="A933" s="113" t="s">
        <v>646</v>
      </c>
      <c r="B933" s="113" t="s">
        <v>1005</v>
      </c>
      <c r="C933" s="113" t="s">
        <v>130</v>
      </c>
      <c r="D933" s="113" t="s">
        <v>1010</v>
      </c>
    </row>
    <row r="934" spans="1:4">
      <c r="A934" s="113" t="s">
        <v>646</v>
      </c>
      <c r="B934" s="113" t="s">
        <v>1005</v>
      </c>
      <c r="C934" s="113" t="s">
        <v>130</v>
      </c>
      <c r="D934" s="113" t="s">
        <v>1011</v>
      </c>
    </row>
    <row r="935" spans="1:4">
      <c r="A935" s="113" t="s">
        <v>646</v>
      </c>
      <c r="B935" s="113" t="s">
        <v>1005</v>
      </c>
      <c r="C935" s="113" t="s">
        <v>130</v>
      </c>
      <c r="D935" s="113" t="s">
        <v>1012</v>
      </c>
    </row>
    <row r="936" spans="1:4">
      <c r="A936" s="113" t="s">
        <v>646</v>
      </c>
      <c r="B936" s="113" t="s">
        <v>1005</v>
      </c>
      <c r="C936" s="113" t="s">
        <v>130</v>
      </c>
      <c r="D936" s="113" t="s">
        <v>1013</v>
      </c>
    </row>
    <row r="937" spans="1:4">
      <c r="A937" s="113" t="s">
        <v>646</v>
      </c>
      <c r="B937" s="113" t="s">
        <v>1005</v>
      </c>
      <c r="C937" s="113" t="s">
        <v>130</v>
      </c>
      <c r="D937" s="113" t="s">
        <v>1014</v>
      </c>
    </row>
    <row r="938" spans="1:4">
      <c r="A938" s="113" t="s">
        <v>646</v>
      </c>
      <c r="B938" s="113" t="s">
        <v>1005</v>
      </c>
      <c r="C938" s="113" t="s">
        <v>130</v>
      </c>
      <c r="D938" s="113" t="s">
        <v>1015</v>
      </c>
    </row>
    <row r="939" spans="1:4">
      <c r="A939" s="113" t="s">
        <v>646</v>
      </c>
      <c r="B939" s="113" t="s">
        <v>1005</v>
      </c>
      <c r="C939" s="113" t="s">
        <v>130</v>
      </c>
      <c r="D939" s="113" t="s">
        <v>1016</v>
      </c>
    </row>
    <row r="940" spans="1:4">
      <c r="A940" s="113" t="s">
        <v>646</v>
      </c>
      <c r="B940" s="113" t="s">
        <v>1005</v>
      </c>
      <c r="C940" s="113" t="s">
        <v>130</v>
      </c>
      <c r="D940" s="113" t="s">
        <v>1017</v>
      </c>
    </row>
    <row r="941" spans="1:4">
      <c r="A941" s="113" t="s">
        <v>646</v>
      </c>
      <c r="B941" s="113" t="s">
        <v>1005</v>
      </c>
      <c r="C941" s="113" t="s">
        <v>130</v>
      </c>
      <c r="D941" s="113" t="s">
        <v>1018</v>
      </c>
    </row>
    <row r="942" spans="1:4">
      <c r="A942" s="113" t="s">
        <v>646</v>
      </c>
      <c r="B942" s="113" t="s">
        <v>1005</v>
      </c>
      <c r="C942" s="113" t="s">
        <v>130</v>
      </c>
      <c r="D942" s="113" t="s">
        <v>1019</v>
      </c>
    </row>
    <row r="943" spans="1:4">
      <c r="A943" s="113" t="s">
        <v>646</v>
      </c>
      <c r="B943" s="113" t="s">
        <v>1020</v>
      </c>
      <c r="C943" s="113" t="s">
        <v>1021</v>
      </c>
      <c r="D943" s="113" t="s">
        <v>156</v>
      </c>
    </row>
    <row r="944" spans="1:4">
      <c r="A944" s="113" t="s">
        <v>646</v>
      </c>
      <c r="B944" s="113" t="s">
        <v>1020</v>
      </c>
      <c r="C944" s="113" t="s">
        <v>130</v>
      </c>
      <c r="D944" s="113" t="s">
        <v>1022</v>
      </c>
    </row>
    <row r="945" spans="1:4">
      <c r="A945" s="113" t="s">
        <v>646</v>
      </c>
      <c r="B945" s="113" t="s">
        <v>1020</v>
      </c>
      <c r="C945" s="113" t="s">
        <v>130</v>
      </c>
      <c r="D945" s="113" t="s">
        <v>1023</v>
      </c>
    </row>
    <row r="946" spans="1:4">
      <c r="A946" s="113" t="s">
        <v>1024</v>
      </c>
      <c r="B946" s="113" t="s">
        <v>1025</v>
      </c>
      <c r="D946" s="113" t="s">
        <v>1026</v>
      </c>
    </row>
    <row r="947" spans="1:4">
      <c r="A947" s="113" t="s">
        <v>1024</v>
      </c>
      <c r="B947" s="113" t="s">
        <v>1025</v>
      </c>
      <c r="C947" s="113" t="s">
        <v>128</v>
      </c>
      <c r="D947" s="113" t="s">
        <v>182</v>
      </c>
    </row>
    <row r="948" spans="1:4">
      <c r="A948" s="113" t="s">
        <v>1024</v>
      </c>
      <c r="B948" s="113" t="s">
        <v>1027</v>
      </c>
      <c r="C948" s="113" t="s">
        <v>128</v>
      </c>
      <c r="D948" s="113" t="s">
        <v>182</v>
      </c>
    </row>
    <row r="949" spans="1:4">
      <c r="A949" s="113" t="s">
        <v>1024</v>
      </c>
      <c r="B949" s="113" t="s">
        <v>1028</v>
      </c>
      <c r="C949" s="113" t="s">
        <v>128</v>
      </c>
      <c r="D949" s="113" t="s">
        <v>182</v>
      </c>
    </row>
    <row r="950" spans="1:4">
      <c r="A950" s="113" t="s">
        <v>1024</v>
      </c>
      <c r="B950" s="113" t="s">
        <v>1029</v>
      </c>
      <c r="C950" s="113" t="s">
        <v>128</v>
      </c>
      <c r="D950" s="113" t="s">
        <v>182</v>
      </c>
    </row>
    <row r="951" spans="1:4">
      <c r="A951" s="113" t="s">
        <v>1024</v>
      </c>
      <c r="B951" s="113" t="s">
        <v>1030</v>
      </c>
      <c r="C951" s="113" t="s">
        <v>128</v>
      </c>
      <c r="D951" s="113" t="s">
        <v>182</v>
      </c>
    </row>
    <row r="952" spans="1:4">
      <c r="A952" s="113" t="s">
        <v>1024</v>
      </c>
      <c r="B952" s="113" t="s">
        <v>1031</v>
      </c>
      <c r="C952" s="113" t="s">
        <v>128</v>
      </c>
      <c r="D952" s="113" t="s">
        <v>182</v>
      </c>
    </row>
    <row r="953" spans="1:4">
      <c r="A953" s="113" t="s">
        <v>1024</v>
      </c>
      <c r="B953" s="113" t="s">
        <v>1032</v>
      </c>
      <c r="C953" s="113" t="s">
        <v>128</v>
      </c>
      <c r="D953" s="113" t="s">
        <v>182</v>
      </c>
    </row>
    <row r="954" spans="1:4">
      <c r="A954" s="113" t="s">
        <v>1024</v>
      </c>
      <c r="B954" s="113" t="s">
        <v>1033</v>
      </c>
      <c r="D954" s="113" t="s">
        <v>1034</v>
      </c>
    </row>
    <row r="955" spans="1:4">
      <c r="A955" s="113" t="s">
        <v>1024</v>
      </c>
      <c r="B955" s="113" t="s">
        <v>1033</v>
      </c>
      <c r="C955" s="113" t="s">
        <v>128</v>
      </c>
      <c r="D955" s="113" t="s">
        <v>182</v>
      </c>
    </row>
    <row r="956" spans="1:4">
      <c r="A956" s="113" t="s">
        <v>1024</v>
      </c>
      <c r="B956" s="113" t="s">
        <v>1035</v>
      </c>
      <c r="C956" s="113" t="s">
        <v>128</v>
      </c>
      <c r="D956" s="113" t="s">
        <v>182</v>
      </c>
    </row>
    <row r="957" spans="1:4">
      <c r="A957" s="113" t="s">
        <v>1024</v>
      </c>
      <c r="B957" s="113" t="s">
        <v>1036</v>
      </c>
      <c r="C957" s="113" t="s">
        <v>128</v>
      </c>
      <c r="D957" s="113" t="s">
        <v>182</v>
      </c>
    </row>
    <row r="958" spans="1:4">
      <c r="A958" s="113" t="s">
        <v>1024</v>
      </c>
      <c r="B958" s="113" t="s">
        <v>1037</v>
      </c>
      <c r="C958" s="113" t="s">
        <v>128</v>
      </c>
      <c r="D958" s="113" t="s">
        <v>182</v>
      </c>
    </row>
    <row r="959" spans="1:4">
      <c r="A959" s="113" t="s">
        <v>1024</v>
      </c>
      <c r="B959" s="113" t="s">
        <v>1038</v>
      </c>
      <c r="C959" s="113" t="s">
        <v>128</v>
      </c>
      <c r="D959" s="113" t="s">
        <v>182</v>
      </c>
    </row>
    <row r="960" spans="1:4">
      <c r="A960" s="113" t="s">
        <v>1024</v>
      </c>
      <c r="B960" s="113" t="s">
        <v>1039</v>
      </c>
      <c r="C960" s="113" t="s">
        <v>128</v>
      </c>
      <c r="D960" s="113" t="s">
        <v>182</v>
      </c>
    </row>
    <row r="961" spans="1:4">
      <c r="A961" s="113" t="s">
        <v>1024</v>
      </c>
      <c r="B961" s="113" t="s">
        <v>1040</v>
      </c>
      <c r="C961" s="113" t="s">
        <v>128</v>
      </c>
      <c r="D961" s="113" t="s">
        <v>182</v>
      </c>
    </row>
    <row r="962" spans="1:4">
      <c r="A962" s="113" t="s">
        <v>1024</v>
      </c>
      <c r="B962" s="113" t="s">
        <v>1041</v>
      </c>
      <c r="C962" s="113" t="s">
        <v>128</v>
      </c>
      <c r="D962" s="113" t="s">
        <v>182</v>
      </c>
    </row>
    <row r="963" spans="1:4">
      <c r="A963" s="113" t="s">
        <v>1024</v>
      </c>
      <c r="B963" s="113" t="s">
        <v>1042</v>
      </c>
      <c r="C963" s="113" t="s">
        <v>128</v>
      </c>
      <c r="D963" s="113" t="s">
        <v>182</v>
      </c>
    </row>
    <row r="964" spans="1:4">
      <c r="A964" s="113" t="s">
        <v>1024</v>
      </c>
      <c r="B964" s="113" t="s">
        <v>1043</v>
      </c>
      <c r="C964" s="113" t="s">
        <v>128</v>
      </c>
      <c r="D964" s="113" t="s">
        <v>182</v>
      </c>
    </row>
    <row r="965" spans="1:4">
      <c r="A965" s="113" t="s">
        <v>1024</v>
      </c>
      <c r="B965" s="113" t="s">
        <v>1044</v>
      </c>
      <c r="C965" s="113" t="s">
        <v>128</v>
      </c>
      <c r="D965" s="113" t="s">
        <v>182</v>
      </c>
    </row>
    <row r="966" spans="1:4">
      <c r="A966" s="113" t="s">
        <v>1024</v>
      </c>
      <c r="B966" s="113" t="s">
        <v>1045</v>
      </c>
      <c r="C966" s="113" t="s">
        <v>128</v>
      </c>
      <c r="D966" s="113" t="s">
        <v>182</v>
      </c>
    </row>
    <row r="967" spans="1:4">
      <c r="A967" s="113" t="s">
        <v>1024</v>
      </c>
      <c r="B967" s="113" t="s">
        <v>1046</v>
      </c>
      <c r="C967" s="113" t="s">
        <v>128</v>
      </c>
      <c r="D967" s="113" t="s">
        <v>182</v>
      </c>
    </row>
    <row r="968" spans="1:4">
      <c r="A968" s="113" t="s">
        <v>1024</v>
      </c>
      <c r="B968" s="113" t="s">
        <v>1047</v>
      </c>
      <c r="C968" s="113" t="s">
        <v>128</v>
      </c>
      <c r="D968" s="113" t="s">
        <v>182</v>
      </c>
    </row>
    <row r="969" spans="1:4">
      <c r="A969" s="113" t="s">
        <v>1048</v>
      </c>
      <c r="B969" s="113" t="s">
        <v>1049</v>
      </c>
      <c r="C969" s="113" t="s">
        <v>128</v>
      </c>
      <c r="D969" s="113" t="s">
        <v>1050</v>
      </c>
    </row>
    <row r="970" spans="1:4">
      <c r="A970" s="113" t="s">
        <v>1048</v>
      </c>
      <c r="B970" s="113" t="s">
        <v>1049</v>
      </c>
      <c r="C970" s="113" t="s">
        <v>128</v>
      </c>
      <c r="D970" s="113" t="s">
        <v>1051</v>
      </c>
    </row>
    <row r="971" spans="1:4">
      <c r="A971" s="113" t="s">
        <v>1048</v>
      </c>
      <c r="B971" s="113" t="s">
        <v>1049</v>
      </c>
      <c r="C971" s="113" t="s">
        <v>128</v>
      </c>
      <c r="D971" s="113" t="s">
        <v>156</v>
      </c>
    </row>
    <row r="972" spans="1:4">
      <c r="A972" s="113" t="s">
        <v>1048</v>
      </c>
      <c r="B972" s="113" t="s">
        <v>1049</v>
      </c>
      <c r="C972" s="113" t="s">
        <v>130</v>
      </c>
      <c r="D972" s="113" t="s">
        <v>1052</v>
      </c>
    </row>
    <row r="973" spans="1:4">
      <c r="A973" s="113" t="s">
        <v>1048</v>
      </c>
      <c r="B973" s="113" t="s">
        <v>1049</v>
      </c>
      <c r="C973" s="113" t="s">
        <v>130</v>
      </c>
      <c r="D973" s="113" t="s">
        <v>1053</v>
      </c>
    </row>
    <row r="974" spans="1:4">
      <c r="A974" s="113" t="s">
        <v>1048</v>
      </c>
      <c r="B974" s="113" t="s">
        <v>1049</v>
      </c>
      <c r="C974" s="113" t="s">
        <v>130</v>
      </c>
      <c r="D974" s="113" t="s">
        <v>1054</v>
      </c>
    </row>
    <row r="975" spans="1:4">
      <c r="A975" s="113" t="s">
        <v>1048</v>
      </c>
      <c r="B975" s="113" t="s">
        <v>1049</v>
      </c>
      <c r="C975" s="113" t="s">
        <v>130</v>
      </c>
      <c r="D975" s="113" t="s">
        <v>1055</v>
      </c>
    </row>
    <row r="976" spans="1:4">
      <c r="A976" s="113" t="s">
        <v>1048</v>
      </c>
      <c r="B976" s="113" t="s">
        <v>1049</v>
      </c>
      <c r="C976" s="113" t="s">
        <v>130</v>
      </c>
      <c r="D976" s="113" t="s">
        <v>1056</v>
      </c>
    </row>
    <row r="977" spans="1:4">
      <c r="A977" s="113" t="s">
        <v>1048</v>
      </c>
      <c r="B977" s="113" t="s">
        <v>1049</v>
      </c>
      <c r="C977" s="113" t="s">
        <v>130</v>
      </c>
      <c r="D977" s="113" t="s">
        <v>1057</v>
      </c>
    </row>
    <row r="978" spans="1:4">
      <c r="A978" s="113" t="s">
        <v>1048</v>
      </c>
      <c r="B978" s="113" t="s">
        <v>1058</v>
      </c>
      <c r="C978" s="113" t="s">
        <v>128</v>
      </c>
      <c r="D978" s="113" t="s">
        <v>1059</v>
      </c>
    </row>
    <row r="979" spans="1:4">
      <c r="A979" s="113" t="s">
        <v>1048</v>
      </c>
      <c r="B979" s="113" t="s">
        <v>1058</v>
      </c>
      <c r="C979" s="113" t="s">
        <v>128</v>
      </c>
      <c r="D979" s="113" t="s">
        <v>1060</v>
      </c>
    </row>
    <row r="980" spans="1:4">
      <c r="A980" s="113" t="s">
        <v>1048</v>
      </c>
      <c r="B980" s="113" t="s">
        <v>1058</v>
      </c>
      <c r="C980" s="113" t="s">
        <v>128</v>
      </c>
      <c r="D980" s="113" t="s">
        <v>1061</v>
      </c>
    </row>
    <row r="981" spans="1:4">
      <c r="A981" s="113" t="s">
        <v>1048</v>
      </c>
      <c r="B981" s="113" t="s">
        <v>1058</v>
      </c>
      <c r="C981" s="113" t="s">
        <v>128</v>
      </c>
      <c r="D981" s="113" t="s">
        <v>156</v>
      </c>
    </row>
    <row r="982" spans="1:4">
      <c r="A982" s="113" t="s">
        <v>1048</v>
      </c>
      <c r="B982" s="113" t="s">
        <v>1058</v>
      </c>
      <c r="C982" s="113" t="s">
        <v>130</v>
      </c>
      <c r="D982" s="113" t="s">
        <v>1062</v>
      </c>
    </row>
    <row r="983" spans="1:4">
      <c r="A983" s="113" t="s">
        <v>1048</v>
      </c>
      <c r="B983" s="113" t="s">
        <v>1058</v>
      </c>
      <c r="C983" s="113" t="s">
        <v>130</v>
      </c>
      <c r="D983" s="113" t="s">
        <v>1063</v>
      </c>
    </row>
    <row r="984" spans="1:4">
      <c r="A984" s="113" t="s">
        <v>1048</v>
      </c>
      <c r="B984" s="113" t="s">
        <v>1058</v>
      </c>
      <c r="C984" s="113" t="s">
        <v>130</v>
      </c>
      <c r="D984" s="113" t="s">
        <v>1064</v>
      </c>
    </row>
    <row r="985" spans="1:4">
      <c r="A985" s="113" t="s">
        <v>1048</v>
      </c>
      <c r="B985" s="113" t="s">
        <v>1058</v>
      </c>
      <c r="C985" s="113" t="s">
        <v>130</v>
      </c>
      <c r="D985" s="113" t="s">
        <v>1065</v>
      </c>
    </row>
    <row r="986" spans="1:4">
      <c r="A986" s="113" t="s">
        <v>1048</v>
      </c>
      <c r="B986" s="113" t="s">
        <v>1066</v>
      </c>
      <c r="C986" s="113" t="s">
        <v>128</v>
      </c>
      <c r="D986" s="113" t="s">
        <v>1067</v>
      </c>
    </row>
    <row r="987" spans="1:4">
      <c r="A987" s="113" t="s">
        <v>1048</v>
      </c>
      <c r="B987" s="113" t="s">
        <v>1066</v>
      </c>
      <c r="C987" s="113" t="s">
        <v>128</v>
      </c>
      <c r="D987" s="113" t="s">
        <v>1068</v>
      </c>
    </row>
    <row r="988" spans="1:4">
      <c r="A988" s="113" t="s">
        <v>1048</v>
      </c>
      <c r="B988" s="113" t="s">
        <v>1066</v>
      </c>
      <c r="C988" s="113" t="s">
        <v>128</v>
      </c>
      <c r="D988" s="113" t="s">
        <v>942</v>
      </c>
    </row>
    <row r="989" spans="1:4">
      <c r="A989" s="113" t="s">
        <v>1048</v>
      </c>
      <c r="B989" s="113" t="s">
        <v>1066</v>
      </c>
      <c r="C989" s="113" t="s">
        <v>128</v>
      </c>
      <c r="D989" s="113" t="s">
        <v>156</v>
      </c>
    </row>
    <row r="990" spans="1:4">
      <c r="A990" s="113" t="s">
        <v>1048</v>
      </c>
      <c r="B990" s="113" t="s">
        <v>1066</v>
      </c>
      <c r="C990" s="113" t="s">
        <v>130</v>
      </c>
      <c r="D990" s="113" t="s">
        <v>159</v>
      </c>
    </row>
    <row r="991" spans="1:4">
      <c r="A991" s="113" t="s">
        <v>1048</v>
      </c>
      <c r="B991" s="113" t="s">
        <v>1066</v>
      </c>
      <c r="C991" s="113" t="s">
        <v>130</v>
      </c>
      <c r="D991" s="113" t="s">
        <v>160</v>
      </c>
    </row>
    <row r="992" spans="1:4">
      <c r="A992" s="113" t="s">
        <v>1048</v>
      </c>
      <c r="B992" s="113" t="s">
        <v>1066</v>
      </c>
      <c r="C992" s="113" t="s">
        <v>130</v>
      </c>
      <c r="D992" s="113" t="s">
        <v>1069</v>
      </c>
    </row>
    <row r="993" spans="1:4">
      <c r="A993" s="113" t="s">
        <v>1048</v>
      </c>
      <c r="B993" s="113" t="s">
        <v>1066</v>
      </c>
      <c r="C993" s="113" t="s">
        <v>130</v>
      </c>
      <c r="D993" s="113" t="s">
        <v>1070</v>
      </c>
    </row>
    <row r="994" spans="1:4">
      <c r="A994" s="113" t="s">
        <v>1048</v>
      </c>
      <c r="B994" s="113" t="s">
        <v>1066</v>
      </c>
      <c r="C994" s="113" t="s">
        <v>130</v>
      </c>
      <c r="D994" s="113" t="s">
        <v>1071</v>
      </c>
    </row>
    <row r="995" spans="1:4">
      <c r="A995" s="113" t="s">
        <v>1048</v>
      </c>
      <c r="B995" s="113" t="s">
        <v>1066</v>
      </c>
      <c r="C995" s="113" t="s">
        <v>130</v>
      </c>
      <c r="D995" s="113" t="s">
        <v>1072</v>
      </c>
    </row>
    <row r="996" spans="1:4">
      <c r="A996" s="113" t="s">
        <v>1048</v>
      </c>
      <c r="B996" s="113" t="s">
        <v>1066</v>
      </c>
      <c r="C996" s="113" t="s">
        <v>130</v>
      </c>
      <c r="D996" s="113" t="s">
        <v>169</v>
      </c>
    </row>
    <row r="997" spans="1:4">
      <c r="A997" s="113" t="s">
        <v>1048</v>
      </c>
      <c r="B997" s="113" t="s">
        <v>1066</v>
      </c>
      <c r="C997" s="113" t="s">
        <v>130</v>
      </c>
      <c r="D997" s="113" t="s">
        <v>170</v>
      </c>
    </row>
    <row r="998" spans="1:4">
      <c r="A998" s="113" t="s">
        <v>1048</v>
      </c>
      <c r="B998" s="113" t="s">
        <v>1066</v>
      </c>
      <c r="C998" s="113" t="s">
        <v>130</v>
      </c>
      <c r="D998" s="113" t="s">
        <v>1073</v>
      </c>
    </row>
    <row r="999" spans="1:4">
      <c r="A999" s="113" t="s">
        <v>1048</v>
      </c>
      <c r="B999" s="113" t="s">
        <v>1066</v>
      </c>
      <c r="C999" s="113" t="s">
        <v>130</v>
      </c>
      <c r="D999" s="113" t="s">
        <v>1074</v>
      </c>
    </row>
    <row r="1000" spans="1:4">
      <c r="A1000" s="113" t="s">
        <v>1048</v>
      </c>
      <c r="B1000" s="113" t="s">
        <v>1066</v>
      </c>
      <c r="C1000" s="113" t="s">
        <v>130</v>
      </c>
      <c r="D1000" s="113" t="s">
        <v>1075</v>
      </c>
    </row>
    <row r="1001" spans="1:4">
      <c r="A1001" s="113" t="s">
        <v>1048</v>
      </c>
      <c r="B1001" s="113" t="s">
        <v>1066</v>
      </c>
      <c r="C1001" s="113" t="s">
        <v>130</v>
      </c>
      <c r="D1001" s="113" t="s">
        <v>1076</v>
      </c>
    </row>
    <row r="1002" spans="1:4">
      <c r="A1002" s="113" t="s">
        <v>1048</v>
      </c>
      <c r="B1002" s="113" t="s">
        <v>1066</v>
      </c>
      <c r="C1002" s="113" t="s">
        <v>130</v>
      </c>
      <c r="D1002" s="113" t="s">
        <v>1077</v>
      </c>
    </row>
    <row r="1003" spans="1:4">
      <c r="A1003" s="113" t="s">
        <v>1048</v>
      </c>
      <c r="B1003" s="113" t="s">
        <v>1066</v>
      </c>
      <c r="C1003" s="113" t="s">
        <v>130</v>
      </c>
      <c r="D1003" s="113" t="s">
        <v>1078</v>
      </c>
    </row>
    <row r="1004" spans="1:4">
      <c r="A1004" s="113" t="s">
        <v>1048</v>
      </c>
      <c r="B1004" s="113" t="s">
        <v>1079</v>
      </c>
      <c r="C1004" s="113" t="s">
        <v>128</v>
      </c>
      <c r="D1004" s="113" t="s">
        <v>1080</v>
      </c>
    </row>
    <row r="1005" spans="1:4">
      <c r="A1005" s="113" t="s">
        <v>1048</v>
      </c>
      <c r="B1005" s="113" t="s">
        <v>1079</v>
      </c>
      <c r="C1005" s="113" t="s">
        <v>128</v>
      </c>
      <c r="D1005" s="113" t="s">
        <v>156</v>
      </c>
    </row>
    <row r="1006" spans="1:4">
      <c r="A1006" s="113" t="s">
        <v>1048</v>
      </c>
      <c r="B1006" s="113" t="s">
        <v>1079</v>
      </c>
      <c r="C1006" s="113" t="s">
        <v>130</v>
      </c>
      <c r="D1006" s="113" t="s">
        <v>1081</v>
      </c>
    </row>
    <row r="1007" spans="1:4">
      <c r="A1007" s="113" t="s">
        <v>1048</v>
      </c>
      <c r="B1007" s="113" t="s">
        <v>1079</v>
      </c>
      <c r="C1007" s="113" t="s">
        <v>130</v>
      </c>
      <c r="D1007" s="113" t="s">
        <v>1082</v>
      </c>
    </row>
    <row r="1008" spans="1:4">
      <c r="A1008" s="113" t="s">
        <v>1048</v>
      </c>
      <c r="B1008" s="113" t="s">
        <v>1083</v>
      </c>
      <c r="C1008" s="113" t="s">
        <v>128</v>
      </c>
      <c r="D1008" s="113" t="s">
        <v>156</v>
      </c>
    </row>
    <row r="1009" spans="1:4">
      <c r="A1009" s="113" t="s">
        <v>1048</v>
      </c>
      <c r="B1009" s="113" t="s">
        <v>1083</v>
      </c>
      <c r="C1009" s="113" t="s">
        <v>128</v>
      </c>
      <c r="D1009" s="113" t="s">
        <v>1084</v>
      </c>
    </row>
    <row r="1010" spans="1:4">
      <c r="A1010" s="113" t="s">
        <v>1048</v>
      </c>
      <c r="B1010" s="113" t="s">
        <v>1083</v>
      </c>
      <c r="C1010" s="113" t="s">
        <v>130</v>
      </c>
      <c r="D1010" s="113" t="s">
        <v>1085</v>
      </c>
    </row>
    <row r="1011" spans="1:4">
      <c r="A1011" s="113" t="s">
        <v>1048</v>
      </c>
      <c r="B1011" s="113" t="s">
        <v>1083</v>
      </c>
      <c r="C1011" s="113" t="s">
        <v>130</v>
      </c>
      <c r="D1011" s="113" t="s">
        <v>1086</v>
      </c>
    </row>
    <row r="1012" spans="1:4">
      <c r="A1012" s="113" t="s">
        <v>1048</v>
      </c>
      <c r="B1012" s="113" t="s">
        <v>1087</v>
      </c>
      <c r="C1012" s="113" t="s">
        <v>128</v>
      </c>
      <c r="D1012" s="113" t="s">
        <v>156</v>
      </c>
    </row>
    <row r="1013" spans="1:4">
      <c r="A1013" s="113" t="s">
        <v>1048</v>
      </c>
      <c r="B1013" s="113" t="s">
        <v>1087</v>
      </c>
      <c r="C1013" s="113" t="s">
        <v>128</v>
      </c>
      <c r="D1013" s="113" t="s">
        <v>1088</v>
      </c>
    </row>
    <row r="1014" spans="1:4">
      <c r="A1014" s="113" t="s">
        <v>1048</v>
      </c>
      <c r="B1014" s="113" t="s">
        <v>1087</v>
      </c>
      <c r="C1014" s="113" t="s">
        <v>130</v>
      </c>
      <c r="D1014" s="113" t="s">
        <v>1089</v>
      </c>
    </row>
    <row r="1015" spans="1:4">
      <c r="A1015" s="113" t="s">
        <v>1048</v>
      </c>
      <c r="B1015" s="113" t="s">
        <v>1087</v>
      </c>
      <c r="C1015" s="113" t="s">
        <v>130</v>
      </c>
      <c r="D1015" s="113" t="s">
        <v>1090</v>
      </c>
    </row>
    <row r="1016" spans="1:4">
      <c r="A1016" s="113" t="s">
        <v>1091</v>
      </c>
      <c r="B1016" s="113" t="s">
        <v>1092</v>
      </c>
      <c r="C1016" s="113" t="s">
        <v>128</v>
      </c>
      <c r="D1016" s="113" t="s">
        <v>182</v>
      </c>
    </row>
    <row r="1017" spans="1:4">
      <c r="A1017" s="113" t="s">
        <v>1091</v>
      </c>
      <c r="B1017" s="113" t="s">
        <v>1093</v>
      </c>
      <c r="C1017" s="113" t="s">
        <v>128</v>
      </c>
      <c r="D1017" s="113" t="s">
        <v>182</v>
      </c>
    </row>
    <row r="1018" spans="1:4">
      <c r="A1018" s="113" t="s">
        <v>1091</v>
      </c>
      <c r="B1018" s="113" t="s">
        <v>1094</v>
      </c>
      <c r="C1018" s="113" t="s">
        <v>128</v>
      </c>
      <c r="D1018" s="113" t="s">
        <v>182</v>
      </c>
    </row>
    <row r="1019" spans="1:4">
      <c r="A1019" s="113" t="s">
        <v>1091</v>
      </c>
      <c r="B1019" s="113" t="s">
        <v>1095</v>
      </c>
      <c r="C1019" s="113" t="s">
        <v>128</v>
      </c>
      <c r="D1019" s="113" t="s">
        <v>182</v>
      </c>
    </row>
    <row r="1020" spans="1:4">
      <c r="A1020" s="113" t="s">
        <v>1091</v>
      </c>
      <c r="B1020" s="113" t="s">
        <v>1096</v>
      </c>
      <c r="C1020" s="113" t="s">
        <v>128</v>
      </c>
      <c r="D1020" s="113" t="s">
        <v>182</v>
      </c>
    </row>
    <row r="1021" spans="1:4">
      <c r="A1021" s="113" t="s">
        <v>1091</v>
      </c>
      <c r="B1021" s="113" t="s">
        <v>1097</v>
      </c>
      <c r="C1021" s="113" t="s">
        <v>128</v>
      </c>
      <c r="D1021" s="113" t="s">
        <v>182</v>
      </c>
    </row>
    <row r="1022" spans="1:4">
      <c r="A1022" s="113" t="s">
        <v>1091</v>
      </c>
      <c r="B1022" s="113" t="s">
        <v>1098</v>
      </c>
      <c r="C1022" s="113" t="s">
        <v>128</v>
      </c>
      <c r="D1022" s="113" t="s">
        <v>182</v>
      </c>
    </row>
    <row r="1023" spans="1:4">
      <c r="A1023" s="113" t="s">
        <v>1091</v>
      </c>
      <c r="B1023" s="113" t="s">
        <v>1099</v>
      </c>
      <c r="C1023" s="113" t="s">
        <v>128</v>
      </c>
      <c r="D1023" s="113" t="s">
        <v>182</v>
      </c>
    </row>
    <row r="1024" spans="1:4">
      <c r="A1024" s="113" t="s">
        <v>1091</v>
      </c>
      <c r="B1024" s="113" t="s">
        <v>1100</v>
      </c>
      <c r="C1024" s="113" t="s">
        <v>128</v>
      </c>
      <c r="D1024" s="113" t="s">
        <v>182</v>
      </c>
    </row>
    <row r="1025" spans="1:4">
      <c r="A1025" s="113" t="s">
        <v>1101</v>
      </c>
      <c r="B1025" s="113" t="s">
        <v>1102</v>
      </c>
      <c r="C1025" s="113" t="s">
        <v>128</v>
      </c>
      <c r="D1025" s="113" t="s">
        <v>156</v>
      </c>
    </row>
    <row r="1026" spans="1:4">
      <c r="A1026" s="113" t="s">
        <v>1101</v>
      </c>
      <c r="B1026" s="113" t="s">
        <v>1102</v>
      </c>
      <c r="C1026" s="113" t="s">
        <v>130</v>
      </c>
      <c r="D1026" s="113" t="s">
        <v>1103</v>
      </c>
    </row>
    <row r="1027" spans="1:4">
      <c r="A1027" s="113" t="s">
        <v>1101</v>
      </c>
      <c r="B1027" s="113" t="s">
        <v>1102</v>
      </c>
      <c r="C1027" s="113" t="s">
        <v>130</v>
      </c>
      <c r="D1027" s="113" t="s">
        <v>1104</v>
      </c>
    </row>
    <row r="1028" spans="1:4">
      <c r="A1028" s="113" t="s">
        <v>1101</v>
      </c>
      <c r="B1028" s="113" t="s">
        <v>1102</v>
      </c>
      <c r="C1028" s="113" t="s">
        <v>325</v>
      </c>
      <c r="D1028" s="113" t="s">
        <v>1105</v>
      </c>
    </row>
    <row r="1029" spans="1:4">
      <c r="A1029" s="113" t="s">
        <v>1101</v>
      </c>
      <c r="B1029" s="113" t="s">
        <v>1106</v>
      </c>
      <c r="C1029" s="113" t="s">
        <v>128</v>
      </c>
      <c r="D1029" s="113" t="s">
        <v>156</v>
      </c>
    </row>
    <row r="1030" spans="1:4">
      <c r="A1030" s="113" t="s">
        <v>1101</v>
      </c>
      <c r="B1030" s="113" t="s">
        <v>1106</v>
      </c>
      <c r="C1030" s="113" t="s">
        <v>130</v>
      </c>
      <c r="D1030" s="113" t="s">
        <v>1107</v>
      </c>
    </row>
    <row r="1031" spans="1:4">
      <c r="A1031" s="113" t="s">
        <v>1101</v>
      </c>
      <c r="B1031" s="113" t="s">
        <v>1106</v>
      </c>
      <c r="C1031" s="113" t="s">
        <v>130</v>
      </c>
      <c r="D1031" s="113" t="s">
        <v>1108</v>
      </c>
    </row>
    <row r="1032" spans="1:4">
      <c r="A1032" s="113" t="s">
        <v>1101</v>
      </c>
      <c r="B1032" s="113" t="s">
        <v>1109</v>
      </c>
      <c r="C1032" s="113" t="s">
        <v>128</v>
      </c>
      <c r="D1032" s="113" t="s">
        <v>156</v>
      </c>
    </row>
    <row r="1033" spans="1:4">
      <c r="A1033" s="113" t="s">
        <v>1101</v>
      </c>
      <c r="B1033" s="113" t="s">
        <v>1109</v>
      </c>
      <c r="C1033" s="113" t="s">
        <v>130</v>
      </c>
      <c r="D1033" s="113" t="s">
        <v>1110</v>
      </c>
    </row>
    <row r="1034" spans="1:4">
      <c r="A1034" s="113" t="s">
        <v>1101</v>
      </c>
      <c r="B1034" s="113" t="s">
        <v>1109</v>
      </c>
      <c r="C1034" s="113" t="s">
        <v>130</v>
      </c>
      <c r="D1034" s="113" t="s">
        <v>1111</v>
      </c>
    </row>
    <row r="1035" spans="1:4">
      <c r="A1035" s="113" t="s">
        <v>1101</v>
      </c>
      <c r="B1035" s="113" t="s">
        <v>1112</v>
      </c>
      <c r="C1035" s="113" t="s">
        <v>128</v>
      </c>
      <c r="D1035" s="113" t="s">
        <v>156</v>
      </c>
    </row>
    <row r="1036" spans="1:4">
      <c r="A1036" s="113" t="s">
        <v>1101</v>
      </c>
      <c r="B1036" s="113" t="s">
        <v>1112</v>
      </c>
      <c r="C1036" s="113" t="s">
        <v>130</v>
      </c>
      <c r="D1036" s="113" t="s">
        <v>1113</v>
      </c>
    </row>
    <row r="1037" spans="1:4">
      <c r="A1037" s="113" t="s">
        <v>1101</v>
      </c>
      <c r="B1037" s="113" t="s">
        <v>1112</v>
      </c>
      <c r="C1037" s="113" t="s">
        <v>130</v>
      </c>
      <c r="D1037" s="113" t="s">
        <v>1114</v>
      </c>
    </row>
    <row r="1038" spans="1:4">
      <c r="A1038" s="113" t="s">
        <v>1101</v>
      </c>
      <c r="B1038" s="113" t="s">
        <v>1115</v>
      </c>
      <c r="C1038" s="113" t="s">
        <v>128</v>
      </c>
      <c r="D1038" s="113" t="s">
        <v>1116</v>
      </c>
    </row>
    <row r="1039" spans="1:4">
      <c r="A1039" s="113" t="s">
        <v>1101</v>
      </c>
      <c r="B1039" s="113" t="s">
        <v>1115</v>
      </c>
      <c r="C1039" s="113" t="s">
        <v>128</v>
      </c>
      <c r="D1039" s="113" t="s">
        <v>1117</v>
      </c>
    </row>
    <row r="1040" spans="1:4">
      <c r="A1040" s="113" t="s">
        <v>1101</v>
      </c>
      <c r="B1040" s="113" t="s">
        <v>1115</v>
      </c>
      <c r="C1040" s="113" t="s">
        <v>128</v>
      </c>
      <c r="D1040" s="113" t="s">
        <v>1118</v>
      </c>
    </row>
    <row r="1041" spans="1:4">
      <c r="A1041" s="113" t="s">
        <v>1101</v>
      </c>
      <c r="B1041" s="113" t="s">
        <v>1115</v>
      </c>
      <c r="C1041" s="113" t="s">
        <v>128</v>
      </c>
      <c r="D1041" s="113" t="s">
        <v>1119</v>
      </c>
    </row>
    <row r="1042" spans="1:4">
      <c r="A1042" s="113" t="s">
        <v>1101</v>
      </c>
      <c r="B1042" s="113" t="s">
        <v>1115</v>
      </c>
      <c r="C1042" s="113" t="s">
        <v>130</v>
      </c>
      <c r="D1042" s="113" t="s">
        <v>1120</v>
      </c>
    </row>
    <row r="1043" spans="1:4">
      <c r="A1043" s="113" t="s">
        <v>1101</v>
      </c>
      <c r="B1043" s="113" t="s">
        <v>1115</v>
      </c>
      <c r="C1043" s="113" t="s">
        <v>130</v>
      </c>
      <c r="D1043" s="113" t="s">
        <v>1121</v>
      </c>
    </row>
    <row r="1044" spans="1:4">
      <c r="A1044" s="113" t="s">
        <v>1101</v>
      </c>
      <c r="B1044" s="113" t="s">
        <v>1115</v>
      </c>
      <c r="C1044" s="113" t="s">
        <v>130</v>
      </c>
      <c r="D1044" s="113" t="s">
        <v>1122</v>
      </c>
    </row>
    <row r="1045" spans="1:4">
      <c r="A1045" s="113" t="s">
        <v>1101</v>
      </c>
      <c r="B1045" s="113" t="s">
        <v>1115</v>
      </c>
      <c r="C1045" s="113" t="s">
        <v>130</v>
      </c>
      <c r="D1045" s="113" t="s">
        <v>1123</v>
      </c>
    </row>
    <row r="1046" spans="1:4">
      <c r="A1046" s="113" t="s">
        <v>1101</v>
      </c>
      <c r="B1046" s="113" t="s">
        <v>1115</v>
      </c>
      <c r="C1046" s="113" t="s">
        <v>130</v>
      </c>
      <c r="D1046" s="113" t="s">
        <v>1124</v>
      </c>
    </row>
    <row r="1047" spans="1:4">
      <c r="A1047" s="113" t="s">
        <v>1101</v>
      </c>
      <c r="B1047" s="113" t="s">
        <v>1115</v>
      </c>
      <c r="C1047" s="113" t="s">
        <v>130</v>
      </c>
      <c r="D1047" s="113" t="s">
        <v>1125</v>
      </c>
    </row>
    <row r="1048" spans="1:4">
      <c r="A1048" s="113" t="s">
        <v>1101</v>
      </c>
      <c r="B1048" s="113" t="s">
        <v>1115</v>
      </c>
      <c r="C1048" s="113" t="s">
        <v>130</v>
      </c>
      <c r="D1048" s="113" t="s">
        <v>1126</v>
      </c>
    </row>
    <row r="1049" spans="1:4">
      <c r="A1049" s="113" t="s">
        <v>1101</v>
      </c>
      <c r="B1049" s="113" t="s">
        <v>1115</v>
      </c>
      <c r="C1049" s="113" t="s">
        <v>130</v>
      </c>
      <c r="D1049" s="113" t="s">
        <v>1127</v>
      </c>
    </row>
    <row r="1050" spans="1:4">
      <c r="A1050" s="113" t="s">
        <v>1101</v>
      </c>
      <c r="B1050" s="113" t="s">
        <v>1115</v>
      </c>
      <c r="C1050" s="113" t="s">
        <v>130</v>
      </c>
      <c r="D1050" s="113" t="s">
        <v>1128</v>
      </c>
    </row>
    <row r="1051" spans="1:4">
      <c r="A1051" s="113" t="s">
        <v>1101</v>
      </c>
      <c r="B1051" s="113" t="s">
        <v>1115</v>
      </c>
      <c r="C1051" s="113" t="s">
        <v>130</v>
      </c>
      <c r="D1051" s="113" t="s">
        <v>1129</v>
      </c>
    </row>
    <row r="1052" spans="1:4">
      <c r="A1052" s="113" t="s">
        <v>1101</v>
      </c>
      <c r="B1052" s="113" t="s">
        <v>1115</v>
      </c>
      <c r="C1052" s="113" t="s">
        <v>130</v>
      </c>
      <c r="D1052" s="113" t="s">
        <v>1130</v>
      </c>
    </row>
    <row r="1053" spans="1:4">
      <c r="A1053" s="113" t="s">
        <v>1101</v>
      </c>
      <c r="B1053" s="113" t="s">
        <v>1115</v>
      </c>
      <c r="C1053" s="113" t="s">
        <v>130</v>
      </c>
      <c r="D1053" s="113" t="s">
        <v>1131</v>
      </c>
    </row>
    <row r="1054" spans="1:4">
      <c r="A1054" s="113" t="s">
        <v>1101</v>
      </c>
      <c r="B1054" s="113" t="s">
        <v>1115</v>
      </c>
      <c r="C1054" s="113" t="s">
        <v>130</v>
      </c>
      <c r="D1054" s="113" t="s">
        <v>1132</v>
      </c>
    </row>
    <row r="1055" spans="1:4">
      <c r="A1055" s="113" t="s">
        <v>1101</v>
      </c>
      <c r="B1055" s="113" t="s">
        <v>1115</v>
      </c>
      <c r="C1055" s="113" t="s">
        <v>130</v>
      </c>
      <c r="D1055" s="113" t="s">
        <v>1133</v>
      </c>
    </row>
    <row r="1056" spans="1:4">
      <c r="A1056" s="113" t="s">
        <v>1101</v>
      </c>
      <c r="B1056" s="113" t="s">
        <v>1115</v>
      </c>
      <c r="C1056" s="113" t="s">
        <v>130</v>
      </c>
      <c r="D1056" s="113" t="s">
        <v>1134</v>
      </c>
    </row>
    <row r="1057" spans="1:4">
      <c r="A1057" s="113" t="s">
        <v>1101</v>
      </c>
      <c r="B1057" s="113" t="s">
        <v>1115</v>
      </c>
      <c r="C1057" s="113" t="s">
        <v>130</v>
      </c>
      <c r="D1057" s="113" t="s">
        <v>1135</v>
      </c>
    </row>
    <row r="1058" spans="1:4">
      <c r="A1058" s="113" t="s">
        <v>1101</v>
      </c>
      <c r="B1058" s="113" t="s">
        <v>1115</v>
      </c>
      <c r="C1058" s="113" t="s">
        <v>130</v>
      </c>
      <c r="D1058" s="113" t="s">
        <v>1136</v>
      </c>
    </row>
    <row r="1059" spans="1:4">
      <c r="A1059" s="113" t="s">
        <v>1101</v>
      </c>
      <c r="B1059" s="113" t="s">
        <v>1115</v>
      </c>
      <c r="C1059" s="113" t="s">
        <v>130</v>
      </c>
      <c r="D1059" s="113" t="s">
        <v>1137</v>
      </c>
    </row>
    <row r="1060" spans="1:4">
      <c r="A1060" s="113" t="s">
        <v>1101</v>
      </c>
      <c r="B1060" s="113" t="s">
        <v>1115</v>
      </c>
      <c r="C1060" s="113" t="s">
        <v>130</v>
      </c>
      <c r="D1060" s="113" t="s">
        <v>1138</v>
      </c>
    </row>
    <row r="1061" spans="1:4">
      <c r="A1061" s="113" t="s">
        <v>1101</v>
      </c>
      <c r="B1061" s="113" t="s">
        <v>1115</v>
      </c>
      <c r="C1061" s="113" t="s">
        <v>130</v>
      </c>
      <c r="D1061" s="113" t="s">
        <v>1139</v>
      </c>
    </row>
    <row r="1062" spans="1:4">
      <c r="A1062" s="113" t="s">
        <v>1101</v>
      </c>
      <c r="B1062" s="113" t="s">
        <v>1115</v>
      </c>
      <c r="C1062" s="113" t="s">
        <v>130</v>
      </c>
      <c r="D1062" s="113" t="s">
        <v>1140</v>
      </c>
    </row>
    <row r="1063" spans="1:4">
      <c r="A1063" s="113" t="s">
        <v>1101</v>
      </c>
      <c r="B1063" s="113" t="s">
        <v>1115</v>
      </c>
      <c r="C1063" s="113" t="s">
        <v>130</v>
      </c>
      <c r="D1063" s="113" t="s">
        <v>1141</v>
      </c>
    </row>
    <row r="1064" spans="1:4">
      <c r="A1064" s="113" t="s">
        <v>1101</v>
      </c>
      <c r="B1064" s="113" t="s">
        <v>1142</v>
      </c>
      <c r="C1064" s="113" t="s">
        <v>128</v>
      </c>
      <c r="D1064" s="113" t="s">
        <v>1143</v>
      </c>
    </row>
    <row r="1065" spans="1:4">
      <c r="A1065" s="113" t="s">
        <v>1101</v>
      </c>
      <c r="B1065" s="113" t="s">
        <v>1142</v>
      </c>
      <c r="C1065" s="113" t="s">
        <v>128</v>
      </c>
      <c r="D1065" s="113" t="s">
        <v>1144</v>
      </c>
    </row>
    <row r="1066" spans="1:4">
      <c r="A1066" s="113" t="s">
        <v>1101</v>
      </c>
      <c r="B1066" s="113" t="s">
        <v>1142</v>
      </c>
      <c r="C1066" s="113" t="s">
        <v>128</v>
      </c>
      <c r="D1066" s="113" t="s">
        <v>1145</v>
      </c>
    </row>
    <row r="1067" spans="1:4">
      <c r="A1067" s="113" t="s">
        <v>1101</v>
      </c>
      <c r="B1067" s="113" t="s">
        <v>1142</v>
      </c>
      <c r="C1067" s="113" t="s">
        <v>130</v>
      </c>
      <c r="D1067" s="113" t="s">
        <v>1146</v>
      </c>
    </row>
    <row r="1068" spans="1:4">
      <c r="A1068" s="113" t="s">
        <v>1101</v>
      </c>
      <c r="B1068" s="113" t="s">
        <v>1142</v>
      </c>
      <c r="C1068" s="113" t="s">
        <v>130</v>
      </c>
      <c r="D1068" s="113" t="s">
        <v>1147</v>
      </c>
    </row>
    <row r="1069" spans="1:4">
      <c r="A1069" s="113" t="s">
        <v>1101</v>
      </c>
      <c r="B1069" s="113" t="s">
        <v>1142</v>
      </c>
      <c r="C1069" s="113" t="s">
        <v>130</v>
      </c>
      <c r="D1069" s="113" t="s">
        <v>1148</v>
      </c>
    </row>
    <row r="1070" spans="1:4">
      <c r="A1070" s="113" t="s">
        <v>1101</v>
      </c>
      <c r="B1070" s="113" t="s">
        <v>1142</v>
      </c>
      <c r="C1070" s="113" t="s">
        <v>130</v>
      </c>
      <c r="D1070" s="113" t="s">
        <v>1149</v>
      </c>
    </row>
    <row r="1071" spans="1:4">
      <c r="A1071" s="113" t="s">
        <v>1101</v>
      </c>
      <c r="B1071" s="113" t="s">
        <v>1142</v>
      </c>
      <c r="C1071" s="113" t="s">
        <v>130</v>
      </c>
      <c r="D1071" s="113" t="s">
        <v>1150</v>
      </c>
    </row>
    <row r="1072" spans="1:4">
      <c r="A1072" s="113" t="s">
        <v>1101</v>
      </c>
      <c r="B1072" s="113" t="s">
        <v>1142</v>
      </c>
      <c r="C1072" s="113" t="s">
        <v>130</v>
      </c>
      <c r="D1072" s="113" t="s">
        <v>1151</v>
      </c>
    </row>
    <row r="1073" spans="1:4">
      <c r="A1073" s="113" t="s">
        <v>1101</v>
      </c>
      <c r="B1073" s="113" t="s">
        <v>1142</v>
      </c>
      <c r="C1073" s="113" t="s">
        <v>130</v>
      </c>
      <c r="D1073" s="113" t="s">
        <v>1152</v>
      </c>
    </row>
    <row r="1074" spans="1:4">
      <c r="A1074" s="113" t="s">
        <v>1101</v>
      </c>
      <c r="B1074" s="113" t="s">
        <v>1142</v>
      </c>
      <c r="C1074" s="113" t="s">
        <v>130</v>
      </c>
      <c r="D1074" s="113" t="s">
        <v>1153</v>
      </c>
    </row>
    <row r="1075" spans="1:4">
      <c r="A1075" s="113" t="s">
        <v>1101</v>
      </c>
      <c r="B1075" s="113" t="s">
        <v>1142</v>
      </c>
      <c r="C1075" s="113" t="s">
        <v>130</v>
      </c>
      <c r="D1075" s="113" t="s">
        <v>1138</v>
      </c>
    </row>
    <row r="1076" spans="1:4">
      <c r="A1076" s="113" t="s">
        <v>1101</v>
      </c>
      <c r="B1076" s="113" t="s">
        <v>1142</v>
      </c>
      <c r="C1076" s="113" t="s">
        <v>130</v>
      </c>
      <c r="D1076" s="113" t="s">
        <v>1139</v>
      </c>
    </row>
    <row r="1077" spans="1:4">
      <c r="A1077" s="113" t="s">
        <v>1101</v>
      </c>
      <c r="B1077" s="113" t="s">
        <v>1142</v>
      </c>
      <c r="C1077" s="113" t="s">
        <v>325</v>
      </c>
      <c r="D1077" s="113" t="s">
        <v>326</v>
      </c>
    </row>
    <row r="1078" spans="1:4">
      <c r="A1078" s="113" t="s">
        <v>1101</v>
      </c>
      <c r="B1078" s="113" t="s">
        <v>1154</v>
      </c>
      <c r="C1078" s="113" t="s">
        <v>128</v>
      </c>
      <c r="D1078" s="113" t="s">
        <v>1155</v>
      </c>
    </row>
    <row r="1079" spans="1:4">
      <c r="A1079" s="113" t="s">
        <v>1101</v>
      </c>
      <c r="B1079" s="113" t="s">
        <v>1154</v>
      </c>
      <c r="C1079" s="113" t="s">
        <v>128</v>
      </c>
      <c r="D1079" s="113" t="s">
        <v>156</v>
      </c>
    </row>
    <row r="1080" spans="1:4">
      <c r="A1080" s="113" t="s">
        <v>1101</v>
      </c>
      <c r="B1080" s="113" t="s">
        <v>1154</v>
      </c>
      <c r="C1080" s="113" t="s">
        <v>130</v>
      </c>
      <c r="D1080" s="113" t="s">
        <v>1156</v>
      </c>
    </row>
    <row r="1081" spans="1:4">
      <c r="A1081" s="113" t="s">
        <v>1101</v>
      </c>
      <c r="B1081" s="113" t="s">
        <v>1154</v>
      </c>
      <c r="C1081" s="113" t="s">
        <v>130</v>
      </c>
      <c r="D1081" s="113" t="s">
        <v>1157</v>
      </c>
    </row>
    <row r="1082" spans="1:4">
      <c r="A1082" s="113" t="s">
        <v>1101</v>
      </c>
      <c r="B1082" s="113" t="s">
        <v>1158</v>
      </c>
      <c r="C1082" s="113" t="s">
        <v>128</v>
      </c>
      <c r="D1082" s="113" t="s">
        <v>156</v>
      </c>
    </row>
    <row r="1083" spans="1:4">
      <c r="A1083" s="113" t="s">
        <v>1101</v>
      </c>
      <c r="B1083" s="113" t="s">
        <v>1158</v>
      </c>
      <c r="C1083" s="113" t="s">
        <v>130</v>
      </c>
      <c r="D1083" s="113" t="s">
        <v>1159</v>
      </c>
    </row>
    <row r="1084" spans="1:4">
      <c r="A1084" s="113" t="s">
        <v>1101</v>
      </c>
      <c r="B1084" s="113" t="s">
        <v>1158</v>
      </c>
      <c r="C1084" s="113" t="s">
        <v>130</v>
      </c>
      <c r="D1084" s="113" t="s">
        <v>1160</v>
      </c>
    </row>
    <row r="1085" spans="1:4">
      <c r="A1085" s="113" t="s">
        <v>1101</v>
      </c>
      <c r="B1085" s="113" t="s">
        <v>1161</v>
      </c>
      <c r="C1085" s="113" t="s">
        <v>128</v>
      </c>
      <c r="D1085" s="113" t="s">
        <v>156</v>
      </c>
    </row>
    <row r="1086" spans="1:4">
      <c r="A1086" s="113" t="s">
        <v>1101</v>
      </c>
      <c r="B1086" s="113" t="s">
        <v>1161</v>
      </c>
      <c r="C1086" s="113" t="s">
        <v>130</v>
      </c>
      <c r="D1086" s="113" t="s">
        <v>1162</v>
      </c>
    </row>
    <row r="1087" spans="1:4">
      <c r="A1087" s="113" t="s">
        <v>1101</v>
      </c>
      <c r="B1087" s="113" t="s">
        <v>1161</v>
      </c>
      <c r="C1087" s="113" t="s">
        <v>130</v>
      </c>
      <c r="D1087" s="113" t="s">
        <v>1163</v>
      </c>
    </row>
    <row r="1088" spans="1:4">
      <c r="A1088" s="113" t="s">
        <v>1101</v>
      </c>
      <c r="B1088" s="113" t="s">
        <v>1161</v>
      </c>
      <c r="C1088" s="113" t="s">
        <v>130</v>
      </c>
      <c r="D1088" s="113" t="s">
        <v>1164</v>
      </c>
    </row>
    <row r="1089" spans="1:4">
      <c r="A1089" s="113" t="s">
        <v>1101</v>
      </c>
      <c r="B1089" s="113" t="s">
        <v>1161</v>
      </c>
      <c r="C1089" s="113" t="s">
        <v>130</v>
      </c>
      <c r="D1089" s="113" t="s">
        <v>1165</v>
      </c>
    </row>
    <row r="1090" spans="1:4">
      <c r="A1090" s="113" t="s">
        <v>1101</v>
      </c>
      <c r="B1090" s="113" t="s">
        <v>1166</v>
      </c>
      <c r="C1090" s="113" t="s">
        <v>128</v>
      </c>
      <c r="D1090" s="113" t="s">
        <v>156</v>
      </c>
    </row>
    <row r="1091" spans="1:4">
      <c r="A1091" s="113" t="s">
        <v>1101</v>
      </c>
      <c r="B1091" s="113" t="s">
        <v>1166</v>
      </c>
      <c r="C1091" s="113" t="s">
        <v>130</v>
      </c>
      <c r="D1091" s="113" t="s">
        <v>1167</v>
      </c>
    </row>
    <row r="1092" spans="1:4">
      <c r="A1092" s="113" t="s">
        <v>1101</v>
      </c>
      <c r="B1092" s="113" t="s">
        <v>1166</v>
      </c>
      <c r="C1092" s="113" t="s">
        <v>130</v>
      </c>
      <c r="D1092" s="113" t="s">
        <v>1168</v>
      </c>
    </row>
    <row r="1093" spans="1:4">
      <c r="A1093" s="113" t="s">
        <v>1101</v>
      </c>
      <c r="B1093" s="113" t="s">
        <v>1166</v>
      </c>
      <c r="C1093" s="113" t="s">
        <v>130</v>
      </c>
      <c r="D1093" s="113" t="s">
        <v>1169</v>
      </c>
    </row>
    <row r="1094" spans="1:4">
      <c r="A1094" s="113" t="s">
        <v>1101</v>
      </c>
      <c r="B1094" s="113" t="s">
        <v>1166</v>
      </c>
      <c r="C1094" s="113" t="s">
        <v>130</v>
      </c>
      <c r="D1094" s="113" t="s">
        <v>1170</v>
      </c>
    </row>
    <row r="1095" spans="1:4">
      <c r="A1095" s="113" t="s">
        <v>1101</v>
      </c>
      <c r="B1095" s="113" t="s">
        <v>1166</v>
      </c>
      <c r="C1095" s="113" t="s">
        <v>130</v>
      </c>
      <c r="D1095" s="113" t="s">
        <v>1171</v>
      </c>
    </row>
    <row r="1096" spans="1:4">
      <c r="A1096" s="113" t="s">
        <v>1101</v>
      </c>
      <c r="B1096" s="113" t="s">
        <v>1166</v>
      </c>
      <c r="C1096" s="113" t="s">
        <v>130</v>
      </c>
      <c r="D1096" s="113" t="s">
        <v>1172</v>
      </c>
    </row>
    <row r="1097" spans="1:4">
      <c r="A1097" s="113" t="s">
        <v>1101</v>
      </c>
      <c r="B1097" s="113" t="s">
        <v>1166</v>
      </c>
      <c r="C1097" s="113" t="s">
        <v>130</v>
      </c>
      <c r="D1097" s="113" t="s">
        <v>1173</v>
      </c>
    </row>
    <row r="1098" spans="1:4">
      <c r="A1098" s="113" t="s">
        <v>1101</v>
      </c>
      <c r="B1098" s="113" t="s">
        <v>1166</v>
      </c>
      <c r="C1098" s="113" t="s">
        <v>130</v>
      </c>
      <c r="D1098" s="113" t="s">
        <v>1174</v>
      </c>
    </row>
    <row r="1099" spans="1:4">
      <c r="A1099" s="113" t="s">
        <v>1101</v>
      </c>
      <c r="B1099" s="113" t="s">
        <v>1166</v>
      </c>
      <c r="C1099" s="113" t="s">
        <v>130</v>
      </c>
      <c r="D1099" s="113" t="s">
        <v>1175</v>
      </c>
    </row>
    <row r="1100" spans="1:4">
      <c r="A1100" s="113" t="s">
        <v>1101</v>
      </c>
      <c r="B1100" s="113" t="s">
        <v>1166</v>
      </c>
      <c r="C1100" s="113" t="s">
        <v>130</v>
      </c>
      <c r="D1100" s="113" t="s">
        <v>1176</v>
      </c>
    </row>
    <row r="1101" spans="1:4">
      <c r="A1101" s="113" t="s">
        <v>1101</v>
      </c>
      <c r="B1101" s="113" t="s">
        <v>1166</v>
      </c>
      <c r="C1101" s="113" t="s">
        <v>130</v>
      </c>
      <c r="D1101" s="113" t="s">
        <v>1177</v>
      </c>
    </row>
    <row r="1102" spans="1:4">
      <c r="A1102" s="113" t="s">
        <v>1101</v>
      </c>
      <c r="B1102" s="113" t="s">
        <v>1166</v>
      </c>
      <c r="C1102" s="113" t="s">
        <v>130</v>
      </c>
      <c r="D1102" s="113" t="s">
        <v>1178</v>
      </c>
    </row>
    <row r="1103" spans="1:4">
      <c r="A1103" s="113" t="s">
        <v>1101</v>
      </c>
      <c r="B1103" s="113" t="s">
        <v>1179</v>
      </c>
      <c r="C1103" s="113" t="s">
        <v>128</v>
      </c>
      <c r="D1103" s="113" t="s">
        <v>1180</v>
      </c>
    </row>
    <row r="1104" spans="1:4">
      <c r="A1104" s="113" t="s">
        <v>1101</v>
      </c>
      <c r="B1104" s="113" t="s">
        <v>1179</v>
      </c>
      <c r="C1104" s="113" t="s">
        <v>128</v>
      </c>
      <c r="D1104" s="113" t="s">
        <v>1181</v>
      </c>
    </row>
    <row r="1105" spans="1:4">
      <c r="A1105" s="113" t="s">
        <v>1101</v>
      </c>
      <c r="B1105" s="113" t="s">
        <v>1179</v>
      </c>
      <c r="C1105" s="113" t="s">
        <v>128</v>
      </c>
      <c r="D1105" s="113" t="s">
        <v>1182</v>
      </c>
    </row>
    <row r="1106" spans="1:4">
      <c r="A1106" s="113" t="s">
        <v>1101</v>
      </c>
      <c r="B1106" s="113" t="s">
        <v>1179</v>
      </c>
      <c r="C1106" s="113" t="s">
        <v>128</v>
      </c>
      <c r="D1106" s="113" t="s">
        <v>1183</v>
      </c>
    </row>
    <row r="1107" spans="1:4">
      <c r="A1107" s="113" t="s">
        <v>1101</v>
      </c>
      <c r="B1107" s="113" t="s">
        <v>1179</v>
      </c>
      <c r="C1107" s="113" t="s">
        <v>128</v>
      </c>
      <c r="D1107" s="113" t="s">
        <v>1184</v>
      </c>
    </row>
    <row r="1108" spans="1:4">
      <c r="A1108" s="113" t="s">
        <v>1101</v>
      </c>
      <c r="B1108" s="113" t="s">
        <v>1179</v>
      </c>
      <c r="C1108" s="113" t="s">
        <v>128</v>
      </c>
      <c r="D1108" s="113" t="s">
        <v>1185</v>
      </c>
    </row>
    <row r="1109" spans="1:4">
      <c r="A1109" s="113" t="s">
        <v>1101</v>
      </c>
      <c r="B1109" s="113" t="s">
        <v>1179</v>
      </c>
      <c r="C1109" s="113" t="s">
        <v>128</v>
      </c>
      <c r="D1109" s="113" t="s">
        <v>1186</v>
      </c>
    </row>
    <row r="1110" spans="1:4">
      <c r="A1110" s="113" t="s">
        <v>1101</v>
      </c>
      <c r="B1110" s="113" t="s">
        <v>1179</v>
      </c>
      <c r="C1110" s="113" t="s">
        <v>130</v>
      </c>
      <c r="D1110" s="113" t="s">
        <v>1187</v>
      </c>
    </row>
    <row r="1111" spans="1:4">
      <c r="A1111" s="113" t="s">
        <v>1101</v>
      </c>
      <c r="B1111" s="113" t="s">
        <v>1179</v>
      </c>
      <c r="C1111" s="113" t="s">
        <v>130</v>
      </c>
      <c r="D1111" s="113" t="s">
        <v>1188</v>
      </c>
    </row>
    <row r="1112" spans="1:4">
      <c r="A1112" s="113" t="s">
        <v>1101</v>
      </c>
      <c r="B1112" s="113" t="s">
        <v>1179</v>
      </c>
      <c r="C1112" s="113" t="s">
        <v>130</v>
      </c>
      <c r="D1112" s="113" t="s">
        <v>1189</v>
      </c>
    </row>
    <row r="1113" spans="1:4">
      <c r="A1113" s="113" t="s">
        <v>1101</v>
      </c>
      <c r="B1113" s="113" t="s">
        <v>1179</v>
      </c>
      <c r="C1113" s="113" t="s">
        <v>130</v>
      </c>
      <c r="D1113" s="113" t="s">
        <v>1190</v>
      </c>
    </row>
    <row r="1114" spans="1:4">
      <c r="A1114" s="113" t="s">
        <v>1101</v>
      </c>
      <c r="B1114" s="113" t="s">
        <v>1179</v>
      </c>
      <c r="C1114" s="113" t="s">
        <v>130</v>
      </c>
      <c r="D1114" s="113" t="s">
        <v>1191</v>
      </c>
    </row>
    <row r="1115" spans="1:4">
      <c r="A1115" s="113" t="s">
        <v>1101</v>
      </c>
      <c r="B1115" s="113" t="s">
        <v>1179</v>
      </c>
      <c r="C1115" s="113" t="s">
        <v>130</v>
      </c>
      <c r="D1115" s="113" t="s">
        <v>1192</v>
      </c>
    </row>
    <row r="1116" spans="1:4">
      <c r="A1116" s="113" t="s">
        <v>1101</v>
      </c>
      <c r="B1116" s="113" t="s">
        <v>1179</v>
      </c>
      <c r="C1116" s="113" t="s">
        <v>130</v>
      </c>
      <c r="D1116" s="113" t="s">
        <v>1193</v>
      </c>
    </row>
    <row r="1117" spans="1:4">
      <c r="A1117" s="113" t="s">
        <v>1101</v>
      </c>
      <c r="B1117" s="113" t="s">
        <v>1179</v>
      </c>
      <c r="C1117" s="113" t="s">
        <v>130</v>
      </c>
      <c r="D1117" s="113" t="s">
        <v>1194</v>
      </c>
    </row>
    <row r="1118" spans="1:4">
      <c r="A1118" s="113" t="s">
        <v>1101</v>
      </c>
      <c r="B1118" s="113" t="s">
        <v>1179</v>
      </c>
      <c r="C1118" s="113" t="s">
        <v>130</v>
      </c>
      <c r="D1118" s="113" t="s">
        <v>1195</v>
      </c>
    </row>
    <row r="1119" spans="1:4">
      <c r="A1119" s="113" t="s">
        <v>1101</v>
      </c>
      <c r="B1119" s="113" t="s">
        <v>1179</v>
      </c>
      <c r="C1119" s="113" t="s">
        <v>130</v>
      </c>
      <c r="D1119" s="113" t="s">
        <v>1196</v>
      </c>
    </row>
    <row r="1120" spans="1:4">
      <c r="A1120" s="113" t="s">
        <v>1101</v>
      </c>
      <c r="B1120" s="113" t="s">
        <v>1179</v>
      </c>
      <c r="C1120" s="113" t="s">
        <v>130</v>
      </c>
      <c r="D1120" s="113" t="s">
        <v>1197</v>
      </c>
    </row>
    <row r="1121" spans="1:4">
      <c r="A1121" s="113" t="s">
        <v>1101</v>
      </c>
      <c r="B1121" s="113" t="s">
        <v>1179</v>
      </c>
      <c r="C1121" s="113" t="s">
        <v>130</v>
      </c>
      <c r="D1121" s="113" t="s">
        <v>1198</v>
      </c>
    </row>
    <row r="1122" spans="1:4">
      <c r="A1122" s="113" t="s">
        <v>1101</v>
      </c>
      <c r="B1122" s="113" t="s">
        <v>1179</v>
      </c>
      <c r="C1122" s="113" t="s">
        <v>130</v>
      </c>
      <c r="D1122" s="113" t="s">
        <v>1199</v>
      </c>
    </row>
    <row r="1123" spans="1:4">
      <c r="A1123" s="113" t="s">
        <v>1101</v>
      </c>
      <c r="B1123" s="113" t="s">
        <v>1179</v>
      </c>
      <c r="C1123" s="113" t="s">
        <v>130</v>
      </c>
      <c r="D1123" s="113" t="s">
        <v>1200</v>
      </c>
    </row>
    <row r="1124" spans="1:4">
      <c r="A1124" s="113" t="s">
        <v>1101</v>
      </c>
      <c r="B1124" s="113" t="s">
        <v>1179</v>
      </c>
      <c r="C1124" s="113" t="s">
        <v>130</v>
      </c>
      <c r="D1124" s="113" t="s">
        <v>1201</v>
      </c>
    </row>
    <row r="1125" spans="1:4">
      <c r="A1125" s="113" t="s">
        <v>1101</v>
      </c>
      <c r="B1125" s="113" t="s">
        <v>1179</v>
      </c>
      <c r="C1125" s="113" t="s">
        <v>130</v>
      </c>
      <c r="D1125" s="113" t="s">
        <v>1202</v>
      </c>
    </row>
    <row r="1126" spans="1:4">
      <c r="A1126" s="113" t="s">
        <v>1101</v>
      </c>
      <c r="B1126" s="113" t="s">
        <v>1179</v>
      </c>
      <c r="C1126" s="113" t="s">
        <v>325</v>
      </c>
      <c r="D1126" s="113" t="s">
        <v>1004</v>
      </c>
    </row>
    <row r="1127" spans="1:4">
      <c r="A1127" s="113" t="s">
        <v>1101</v>
      </c>
      <c r="B1127" s="113" t="s">
        <v>1203</v>
      </c>
      <c r="C1127" s="113" t="s">
        <v>128</v>
      </c>
      <c r="D1127" s="113" t="s">
        <v>156</v>
      </c>
    </row>
    <row r="1128" spans="1:4">
      <c r="A1128" s="113" t="s">
        <v>1101</v>
      </c>
      <c r="B1128" s="113" t="s">
        <v>1203</v>
      </c>
      <c r="C1128" s="113" t="s">
        <v>130</v>
      </c>
      <c r="D1128" s="113" t="s">
        <v>1187</v>
      </c>
    </row>
    <row r="1129" spans="1:4">
      <c r="A1129" s="113" t="s">
        <v>1101</v>
      </c>
      <c r="B1129" s="113" t="s">
        <v>1203</v>
      </c>
      <c r="C1129" s="113" t="s">
        <v>130</v>
      </c>
      <c r="D1129" s="113" t="s">
        <v>1188</v>
      </c>
    </row>
    <row r="1130" spans="1:4">
      <c r="A1130" s="113" t="s">
        <v>1101</v>
      </c>
      <c r="B1130" s="113" t="s">
        <v>1203</v>
      </c>
      <c r="C1130" s="113" t="s">
        <v>130</v>
      </c>
      <c r="D1130" s="113" t="s">
        <v>1195</v>
      </c>
    </row>
    <row r="1131" spans="1:4">
      <c r="A1131" s="113" t="s">
        <v>1101</v>
      </c>
      <c r="B1131" s="113" t="s">
        <v>1203</v>
      </c>
      <c r="C1131" s="113" t="s">
        <v>130</v>
      </c>
      <c r="D1131" s="113" t="s">
        <v>1196</v>
      </c>
    </row>
    <row r="1132" spans="1:4">
      <c r="A1132" s="113" t="s">
        <v>1101</v>
      </c>
      <c r="B1132" s="113" t="s">
        <v>1204</v>
      </c>
      <c r="C1132" s="113" t="s">
        <v>128</v>
      </c>
      <c r="D1132" s="113" t="s">
        <v>156</v>
      </c>
    </row>
    <row r="1133" spans="1:4">
      <c r="A1133" s="113" t="s">
        <v>1101</v>
      </c>
      <c r="B1133" s="113" t="s">
        <v>1204</v>
      </c>
      <c r="C1133" s="113" t="s">
        <v>130</v>
      </c>
      <c r="D1133" s="113" t="s">
        <v>1205</v>
      </c>
    </row>
    <row r="1134" spans="1:4">
      <c r="A1134" s="113" t="s">
        <v>1101</v>
      </c>
      <c r="B1134" s="113" t="s">
        <v>1204</v>
      </c>
      <c r="C1134" s="113" t="s">
        <v>130</v>
      </c>
      <c r="D1134" s="113" t="s">
        <v>1206</v>
      </c>
    </row>
    <row r="1135" spans="1:4">
      <c r="A1135" s="113" t="s">
        <v>1101</v>
      </c>
      <c r="B1135" s="113" t="s">
        <v>1204</v>
      </c>
      <c r="C1135" s="113" t="s">
        <v>130</v>
      </c>
      <c r="D1135" s="113" t="s">
        <v>1207</v>
      </c>
    </row>
    <row r="1136" spans="1:4">
      <c r="A1136" s="113" t="s">
        <v>1101</v>
      </c>
      <c r="B1136" s="113" t="s">
        <v>1204</v>
      </c>
      <c r="C1136" s="113" t="s">
        <v>130</v>
      </c>
      <c r="D1136" s="113" t="s">
        <v>1208</v>
      </c>
    </row>
    <row r="1137" spans="1:4">
      <c r="A1137" s="113" t="s">
        <v>1101</v>
      </c>
      <c r="B1137" s="113" t="s">
        <v>1209</v>
      </c>
      <c r="C1137" s="113" t="s">
        <v>128</v>
      </c>
      <c r="D1137" s="113" t="s">
        <v>1210</v>
      </c>
    </row>
    <row r="1138" spans="1:4">
      <c r="A1138" s="113" t="s">
        <v>1101</v>
      </c>
      <c r="B1138" s="113" t="s">
        <v>1209</v>
      </c>
      <c r="C1138" s="113" t="s">
        <v>130</v>
      </c>
      <c r="D1138" s="113" t="s">
        <v>1211</v>
      </c>
    </row>
    <row r="1139" spans="1:4">
      <c r="A1139" s="113" t="s">
        <v>1101</v>
      </c>
      <c r="B1139" s="113" t="s">
        <v>1209</v>
      </c>
      <c r="C1139" s="113" t="s">
        <v>130</v>
      </c>
      <c r="D1139" s="113" t="s">
        <v>1212</v>
      </c>
    </row>
    <row r="1140" spans="1:4">
      <c r="A1140" s="113" t="s">
        <v>1101</v>
      </c>
      <c r="B1140" s="113" t="s">
        <v>1209</v>
      </c>
      <c r="C1140" s="113" t="s">
        <v>130</v>
      </c>
      <c r="D1140" s="113" t="s">
        <v>1213</v>
      </c>
    </row>
    <row r="1141" spans="1:4">
      <c r="A1141" s="113" t="s">
        <v>1101</v>
      </c>
      <c r="B1141" s="113" t="s">
        <v>1209</v>
      </c>
      <c r="C1141" s="113" t="s">
        <v>130</v>
      </c>
      <c r="D1141" s="113" t="s">
        <v>1214</v>
      </c>
    </row>
    <row r="1142" spans="1:4">
      <c r="A1142" s="113" t="s">
        <v>1101</v>
      </c>
      <c r="B1142" s="113" t="s">
        <v>1215</v>
      </c>
      <c r="C1142" s="113" t="s">
        <v>128</v>
      </c>
      <c r="D1142" s="113" t="s">
        <v>156</v>
      </c>
    </row>
    <row r="1143" spans="1:4">
      <c r="A1143" s="113" t="s">
        <v>1101</v>
      </c>
      <c r="B1143" s="113" t="s">
        <v>1215</v>
      </c>
      <c r="C1143" s="113" t="s">
        <v>130</v>
      </c>
      <c r="D1143" s="113" t="s">
        <v>1216</v>
      </c>
    </row>
    <row r="1144" spans="1:4">
      <c r="A1144" s="113" t="s">
        <v>1101</v>
      </c>
      <c r="B1144" s="113" t="s">
        <v>1215</v>
      </c>
      <c r="C1144" s="113" t="s">
        <v>130</v>
      </c>
      <c r="D1144" s="113" t="s">
        <v>1217</v>
      </c>
    </row>
    <row r="1145" spans="1:4">
      <c r="A1145" s="113" t="s">
        <v>1101</v>
      </c>
      <c r="B1145" s="113" t="s">
        <v>1215</v>
      </c>
      <c r="C1145" s="113" t="s">
        <v>130</v>
      </c>
      <c r="D1145" s="113" t="s">
        <v>1218</v>
      </c>
    </row>
    <row r="1146" spans="1:4">
      <c r="A1146" s="113" t="s">
        <v>1101</v>
      </c>
      <c r="B1146" s="113" t="s">
        <v>1215</v>
      </c>
      <c r="C1146" s="113" t="s">
        <v>130</v>
      </c>
      <c r="D1146" s="113" t="s">
        <v>1219</v>
      </c>
    </row>
    <row r="1147" spans="1:4">
      <c r="A1147" s="113" t="s">
        <v>1101</v>
      </c>
      <c r="B1147" s="113" t="s">
        <v>1215</v>
      </c>
      <c r="C1147" s="113" t="s">
        <v>130</v>
      </c>
      <c r="D1147" s="113" t="s">
        <v>1220</v>
      </c>
    </row>
    <row r="1148" spans="1:4">
      <c r="A1148" s="113" t="s">
        <v>1101</v>
      </c>
      <c r="B1148" s="113" t="s">
        <v>1215</v>
      </c>
      <c r="C1148" s="113" t="s">
        <v>130</v>
      </c>
      <c r="D1148" s="113" t="s">
        <v>1221</v>
      </c>
    </row>
    <row r="1149" spans="1:4">
      <c r="A1149" s="113" t="s">
        <v>1101</v>
      </c>
      <c r="B1149" s="113" t="s">
        <v>1215</v>
      </c>
      <c r="C1149" s="113" t="s">
        <v>130</v>
      </c>
      <c r="D1149" s="113" t="s">
        <v>1222</v>
      </c>
    </row>
    <row r="1150" spans="1:4">
      <c r="A1150" s="113" t="s">
        <v>1101</v>
      </c>
      <c r="B1150" s="113" t="s">
        <v>1215</v>
      </c>
      <c r="C1150" s="113" t="s">
        <v>130</v>
      </c>
      <c r="D1150" s="113" t="s">
        <v>1223</v>
      </c>
    </row>
    <row r="1151" spans="1:4">
      <c r="A1151" s="113" t="s">
        <v>1101</v>
      </c>
      <c r="B1151" s="113" t="s">
        <v>1215</v>
      </c>
      <c r="C1151" s="113" t="s">
        <v>325</v>
      </c>
      <c r="D1151" s="113" t="s">
        <v>326</v>
      </c>
    </row>
    <row r="1152" spans="1:4">
      <c r="A1152" s="113" t="s">
        <v>1101</v>
      </c>
      <c r="B1152" s="113" t="s">
        <v>1224</v>
      </c>
      <c r="C1152" s="113" t="s">
        <v>128</v>
      </c>
      <c r="D1152" s="113" t="s">
        <v>1225</v>
      </c>
    </row>
    <row r="1153" spans="1:4">
      <c r="A1153" s="113" t="s">
        <v>1101</v>
      </c>
      <c r="B1153" s="113" t="s">
        <v>1224</v>
      </c>
      <c r="C1153" s="113" t="s">
        <v>128</v>
      </c>
      <c r="D1153" s="113" t="s">
        <v>1226</v>
      </c>
    </row>
    <row r="1154" spans="1:4">
      <c r="A1154" s="113" t="s">
        <v>1101</v>
      </c>
      <c r="B1154" s="113" t="s">
        <v>1224</v>
      </c>
      <c r="C1154" s="113" t="s">
        <v>128</v>
      </c>
      <c r="D1154" s="113" t="s">
        <v>156</v>
      </c>
    </row>
    <row r="1155" spans="1:4">
      <c r="A1155" s="113" t="s">
        <v>1101</v>
      </c>
      <c r="B1155" s="113" t="s">
        <v>1224</v>
      </c>
      <c r="C1155" s="113" t="s">
        <v>130</v>
      </c>
      <c r="D1155" s="113" t="s">
        <v>1227</v>
      </c>
    </row>
    <row r="1156" spans="1:4">
      <c r="A1156" s="113" t="s">
        <v>1101</v>
      </c>
      <c r="B1156" s="113" t="s">
        <v>1224</v>
      </c>
      <c r="C1156" s="113" t="s">
        <v>130</v>
      </c>
      <c r="D1156" s="113" t="s">
        <v>1228</v>
      </c>
    </row>
    <row r="1157" spans="1:4">
      <c r="A1157" s="113" t="s">
        <v>1101</v>
      </c>
      <c r="B1157" s="113" t="s">
        <v>1224</v>
      </c>
      <c r="C1157" s="113" t="s">
        <v>130</v>
      </c>
      <c r="D1157" s="113" t="s">
        <v>1229</v>
      </c>
    </row>
    <row r="1158" spans="1:4">
      <c r="A1158" s="113" t="s">
        <v>1101</v>
      </c>
      <c r="B1158" s="113" t="s">
        <v>1224</v>
      </c>
      <c r="C1158" s="113" t="s">
        <v>130</v>
      </c>
      <c r="D1158" s="113" t="s">
        <v>1230</v>
      </c>
    </row>
    <row r="1159" spans="1:4">
      <c r="A1159" s="113" t="s">
        <v>1101</v>
      </c>
      <c r="B1159" s="113" t="s">
        <v>1224</v>
      </c>
      <c r="C1159" s="113" t="s">
        <v>130</v>
      </c>
      <c r="D1159" s="113" t="s">
        <v>1231</v>
      </c>
    </row>
    <row r="1160" spans="1:4">
      <c r="A1160" s="113" t="s">
        <v>1101</v>
      </c>
      <c r="B1160" s="113" t="s">
        <v>1224</v>
      </c>
      <c r="C1160" s="113" t="s">
        <v>130</v>
      </c>
      <c r="D1160" s="113" t="s">
        <v>1232</v>
      </c>
    </row>
    <row r="1161" spans="1:4">
      <c r="A1161" s="113" t="s">
        <v>1101</v>
      </c>
      <c r="B1161" s="113" t="s">
        <v>1224</v>
      </c>
      <c r="C1161" s="113" t="s">
        <v>130</v>
      </c>
      <c r="D1161" s="113" t="s">
        <v>1233</v>
      </c>
    </row>
    <row r="1162" spans="1:4">
      <c r="A1162" s="113" t="s">
        <v>1101</v>
      </c>
      <c r="B1162" s="113" t="s">
        <v>1224</v>
      </c>
      <c r="C1162" s="113" t="s">
        <v>130</v>
      </c>
      <c r="D1162" s="113" t="s">
        <v>1234</v>
      </c>
    </row>
    <row r="1163" spans="1:4">
      <c r="A1163" s="113" t="s">
        <v>1101</v>
      </c>
      <c r="B1163" s="113" t="s">
        <v>1235</v>
      </c>
      <c r="C1163" s="113" t="s">
        <v>128</v>
      </c>
      <c r="D1163" s="113" t="s">
        <v>1236</v>
      </c>
    </row>
    <row r="1164" spans="1:4">
      <c r="A1164" s="113" t="s">
        <v>1101</v>
      </c>
      <c r="B1164" s="113" t="s">
        <v>1235</v>
      </c>
      <c r="C1164" s="113" t="s">
        <v>128</v>
      </c>
      <c r="D1164" s="113" t="s">
        <v>1237</v>
      </c>
    </row>
    <row r="1165" spans="1:4">
      <c r="A1165" s="113" t="s">
        <v>1101</v>
      </c>
      <c r="B1165" s="113" t="s">
        <v>1235</v>
      </c>
      <c r="C1165" s="113" t="s">
        <v>128</v>
      </c>
      <c r="D1165" s="113" t="s">
        <v>1238</v>
      </c>
    </row>
    <row r="1166" spans="1:4">
      <c r="A1166" s="113" t="s">
        <v>1101</v>
      </c>
      <c r="B1166" s="113" t="s">
        <v>1235</v>
      </c>
      <c r="C1166" s="113" t="s">
        <v>130</v>
      </c>
      <c r="D1166" s="113" t="s">
        <v>1239</v>
      </c>
    </row>
    <row r="1167" spans="1:4">
      <c r="A1167" s="113" t="s">
        <v>1101</v>
      </c>
      <c r="B1167" s="113" t="s">
        <v>1235</v>
      </c>
      <c r="C1167" s="113" t="s">
        <v>130</v>
      </c>
      <c r="D1167" s="113" t="s">
        <v>1240</v>
      </c>
    </row>
    <row r="1168" spans="1:4">
      <c r="A1168" s="113" t="s">
        <v>1101</v>
      </c>
      <c r="B1168" s="113" t="s">
        <v>1235</v>
      </c>
      <c r="C1168" s="113" t="s">
        <v>130</v>
      </c>
      <c r="D1168" s="113" t="s">
        <v>1241</v>
      </c>
    </row>
    <row r="1169" spans="1:4">
      <c r="A1169" s="113" t="s">
        <v>1101</v>
      </c>
      <c r="B1169" s="113" t="s">
        <v>1235</v>
      </c>
      <c r="C1169" s="113" t="s">
        <v>130</v>
      </c>
      <c r="D1169" s="113" t="s">
        <v>1242</v>
      </c>
    </row>
    <row r="1170" spans="1:4">
      <c r="A1170" s="113" t="s">
        <v>1101</v>
      </c>
      <c r="B1170" s="113" t="s">
        <v>1235</v>
      </c>
      <c r="C1170" s="113" t="s">
        <v>130</v>
      </c>
      <c r="D1170" s="113" t="s">
        <v>1243</v>
      </c>
    </row>
    <row r="1171" spans="1:4">
      <c r="A1171" s="113" t="s">
        <v>1101</v>
      </c>
      <c r="B1171" s="113" t="s">
        <v>1235</v>
      </c>
      <c r="C1171" s="113" t="s">
        <v>130</v>
      </c>
      <c r="D1171" s="113" t="s">
        <v>1244</v>
      </c>
    </row>
    <row r="1172" spans="1:4">
      <c r="A1172" s="113" t="s">
        <v>1101</v>
      </c>
      <c r="B1172" s="113" t="s">
        <v>1245</v>
      </c>
      <c r="C1172" s="113" t="s">
        <v>128</v>
      </c>
      <c r="D1172" s="113" t="s">
        <v>156</v>
      </c>
    </row>
    <row r="1173" spans="1:4">
      <c r="A1173" s="113" t="s">
        <v>1101</v>
      </c>
      <c r="B1173" s="113" t="s">
        <v>1245</v>
      </c>
      <c r="C1173" s="113" t="s">
        <v>130</v>
      </c>
      <c r="D1173" s="113" t="s">
        <v>1246</v>
      </c>
    </row>
    <row r="1174" spans="1:4">
      <c r="A1174" s="113" t="s">
        <v>1101</v>
      </c>
      <c r="B1174" s="113" t="s">
        <v>1245</v>
      </c>
      <c r="C1174" s="113" t="s">
        <v>130</v>
      </c>
      <c r="D1174" s="113" t="s">
        <v>1247</v>
      </c>
    </row>
    <row r="1175" spans="1:4">
      <c r="A1175" s="113" t="s">
        <v>1101</v>
      </c>
      <c r="B1175" s="113" t="s">
        <v>1248</v>
      </c>
      <c r="C1175" s="113" t="s">
        <v>128</v>
      </c>
      <c r="D1175" s="113" t="s">
        <v>1249</v>
      </c>
    </row>
    <row r="1176" spans="1:4">
      <c r="A1176" s="113" t="s">
        <v>1101</v>
      </c>
      <c r="B1176" s="113" t="s">
        <v>1248</v>
      </c>
      <c r="C1176" s="113" t="s">
        <v>128</v>
      </c>
      <c r="D1176" s="113" t="s">
        <v>1250</v>
      </c>
    </row>
    <row r="1177" spans="1:4">
      <c r="A1177" s="113" t="s">
        <v>1101</v>
      </c>
      <c r="B1177" s="113" t="s">
        <v>1248</v>
      </c>
      <c r="C1177" s="113" t="s">
        <v>128</v>
      </c>
      <c r="D1177" s="113" t="s">
        <v>156</v>
      </c>
    </row>
    <row r="1178" spans="1:4">
      <c r="A1178" s="113" t="s">
        <v>1101</v>
      </c>
      <c r="B1178" s="113" t="s">
        <v>1248</v>
      </c>
      <c r="C1178" s="113" t="s">
        <v>130</v>
      </c>
      <c r="D1178" s="113" t="s">
        <v>1251</v>
      </c>
    </row>
    <row r="1179" spans="1:4">
      <c r="A1179" s="113" t="s">
        <v>1101</v>
      </c>
      <c r="B1179" s="113" t="s">
        <v>1248</v>
      </c>
      <c r="C1179" s="113" t="s">
        <v>130</v>
      </c>
      <c r="D1179" s="113" t="s">
        <v>1252</v>
      </c>
    </row>
    <row r="1180" spans="1:4">
      <c r="A1180" s="113" t="s">
        <v>1101</v>
      </c>
      <c r="B1180" s="113" t="s">
        <v>1248</v>
      </c>
      <c r="C1180" s="113" t="s">
        <v>130</v>
      </c>
      <c r="D1180" s="113" t="s">
        <v>1253</v>
      </c>
    </row>
    <row r="1181" spans="1:4">
      <c r="A1181" s="113" t="s">
        <v>1101</v>
      </c>
      <c r="B1181" s="113" t="s">
        <v>1248</v>
      </c>
      <c r="C1181" s="113" t="s">
        <v>130</v>
      </c>
      <c r="D1181" s="113" t="s">
        <v>1254</v>
      </c>
    </row>
    <row r="1182" spans="1:4">
      <c r="A1182" s="113" t="s">
        <v>1101</v>
      </c>
      <c r="B1182" s="113" t="s">
        <v>1248</v>
      </c>
      <c r="C1182" s="113" t="s">
        <v>130</v>
      </c>
      <c r="D1182" s="113" t="s">
        <v>1255</v>
      </c>
    </row>
    <row r="1183" spans="1:4">
      <c r="A1183" s="113" t="s">
        <v>1101</v>
      </c>
      <c r="B1183" s="113" t="s">
        <v>1248</v>
      </c>
      <c r="C1183" s="113" t="s">
        <v>130</v>
      </c>
      <c r="D1183" s="113" t="s">
        <v>1256</v>
      </c>
    </row>
    <row r="1184" spans="1:4">
      <c r="A1184" s="113" t="s">
        <v>1101</v>
      </c>
      <c r="B1184" s="113" t="s">
        <v>1248</v>
      </c>
      <c r="C1184" s="113" t="s">
        <v>130</v>
      </c>
      <c r="D1184" s="113" t="s">
        <v>1257</v>
      </c>
    </row>
    <row r="1185" spans="1:4">
      <c r="A1185" s="113" t="s">
        <v>1101</v>
      </c>
      <c r="B1185" s="113" t="s">
        <v>1248</v>
      </c>
      <c r="C1185" s="113" t="s">
        <v>130</v>
      </c>
      <c r="D1185" s="113" t="s">
        <v>1258</v>
      </c>
    </row>
    <row r="1186" spans="1:4">
      <c r="A1186" s="113" t="s">
        <v>1101</v>
      </c>
      <c r="B1186" s="113" t="s">
        <v>1259</v>
      </c>
      <c r="C1186" s="113" t="s">
        <v>128</v>
      </c>
      <c r="D1186" s="113" t="s">
        <v>156</v>
      </c>
    </row>
    <row r="1187" spans="1:4">
      <c r="A1187" s="113" t="s">
        <v>1101</v>
      </c>
      <c r="B1187" s="113" t="s">
        <v>1259</v>
      </c>
      <c r="C1187" s="113" t="s">
        <v>130</v>
      </c>
      <c r="D1187" s="113" t="s">
        <v>1260</v>
      </c>
    </row>
    <row r="1188" spans="1:4">
      <c r="A1188" s="113" t="s">
        <v>1101</v>
      </c>
      <c r="B1188" s="113" t="s">
        <v>1259</v>
      </c>
      <c r="C1188" s="113" t="s">
        <v>130</v>
      </c>
      <c r="D1188" s="113" t="s">
        <v>1261</v>
      </c>
    </row>
    <row r="1189" spans="1:4">
      <c r="A1189" s="113" t="s">
        <v>1101</v>
      </c>
      <c r="B1189" s="113" t="s">
        <v>1259</v>
      </c>
      <c r="C1189" s="113" t="s">
        <v>130</v>
      </c>
      <c r="D1189" s="113" t="s">
        <v>1262</v>
      </c>
    </row>
    <row r="1190" spans="1:4">
      <c r="A1190" s="113" t="s">
        <v>1101</v>
      </c>
      <c r="B1190" s="113" t="s">
        <v>1259</v>
      </c>
      <c r="C1190" s="113" t="s">
        <v>130</v>
      </c>
      <c r="D1190" s="113" t="s">
        <v>1263</v>
      </c>
    </row>
    <row r="1191" spans="1:4">
      <c r="A1191" s="113" t="s">
        <v>1101</v>
      </c>
      <c r="B1191" s="113" t="s">
        <v>1259</v>
      </c>
      <c r="C1191" s="113" t="s">
        <v>130</v>
      </c>
      <c r="D1191" s="113" t="s">
        <v>1264</v>
      </c>
    </row>
    <row r="1192" spans="1:4">
      <c r="A1192" s="113" t="s">
        <v>1101</v>
      </c>
      <c r="B1192" s="113" t="s">
        <v>1259</v>
      </c>
      <c r="C1192" s="113" t="s">
        <v>130</v>
      </c>
      <c r="D1192" s="113" t="s">
        <v>1265</v>
      </c>
    </row>
    <row r="1193" spans="1:4">
      <c r="A1193" s="113" t="s">
        <v>1101</v>
      </c>
      <c r="B1193" s="113" t="s">
        <v>1259</v>
      </c>
      <c r="C1193" s="113" t="s">
        <v>130</v>
      </c>
      <c r="D1193" s="113" t="s">
        <v>1266</v>
      </c>
    </row>
    <row r="1194" spans="1:4">
      <c r="A1194" s="113" t="s">
        <v>1101</v>
      </c>
      <c r="B1194" s="113" t="s">
        <v>1259</v>
      </c>
      <c r="C1194" s="113" t="s">
        <v>130</v>
      </c>
      <c r="D1194" s="113" t="s">
        <v>1267</v>
      </c>
    </row>
    <row r="1195" spans="1:4">
      <c r="A1195" s="113" t="s">
        <v>1101</v>
      </c>
      <c r="B1195" s="113" t="s">
        <v>1268</v>
      </c>
      <c r="C1195" s="113" t="s">
        <v>128</v>
      </c>
      <c r="D1195" s="113" t="s">
        <v>1269</v>
      </c>
    </row>
    <row r="1196" spans="1:4">
      <c r="A1196" s="113" t="s">
        <v>1101</v>
      </c>
      <c r="B1196" s="113" t="s">
        <v>1268</v>
      </c>
      <c r="C1196" s="113" t="s">
        <v>128</v>
      </c>
      <c r="D1196" s="113" t="s">
        <v>1270</v>
      </c>
    </row>
    <row r="1197" spans="1:4">
      <c r="A1197" s="113" t="s">
        <v>1101</v>
      </c>
      <c r="B1197" s="113" t="s">
        <v>1268</v>
      </c>
      <c r="C1197" s="113" t="s">
        <v>128</v>
      </c>
      <c r="D1197" s="113" t="s">
        <v>1271</v>
      </c>
    </row>
    <row r="1198" spans="1:4">
      <c r="A1198" s="113" t="s">
        <v>1101</v>
      </c>
      <c r="B1198" s="113" t="s">
        <v>1268</v>
      </c>
      <c r="C1198" s="113" t="s">
        <v>130</v>
      </c>
      <c r="D1198" s="113" t="s">
        <v>1272</v>
      </c>
    </row>
    <row r="1199" spans="1:4">
      <c r="A1199" s="113" t="s">
        <v>1101</v>
      </c>
      <c r="B1199" s="113" t="s">
        <v>1268</v>
      </c>
      <c r="C1199" s="113" t="s">
        <v>130</v>
      </c>
      <c r="D1199" s="113" t="s">
        <v>1273</v>
      </c>
    </row>
    <row r="1200" spans="1:4">
      <c r="A1200" s="113" t="s">
        <v>1101</v>
      </c>
      <c r="B1200" s="113" t="s">
        <v>1268</v>
      </c>
      <c r="C1200" s="113" t="s">
        <v>130</v>
      </c>
      <c r="D1200" s="113" t="s">
        <v>1274</v>
      </c>
    </row>
    <row r="1201" spans="1:4">
      <c r="A1201" s="113" t="s">
        <v>1101</v>
      </c>
      <c r="B1201" s="113" t="s">
        <v>1268</v>
      </c>
      <c r="C1201" s="113" t="s">
        <v>130</v>
      </c>
      <c r="D1201" s="113" t="s">
        <v>1275</v>
      </c>
    </row>
    <row r="1202" spans="1:4">
      <c r="A1202" s="113" t="s">
        <v>1101</v>
      </c>
      <c r="B1202" s="113" t="s">
        <v>1268</v>
      </c>
      <c r="C1202" s="113" t="s">
        <v>130</v>
      </c>
      <c r="D1202" s="113" t="s">
        <v>1276</v>
      </c>
    </row>
    <row r="1203" spans="1:4">
      <c r="A1203" s="113" t="s">
        <v>1101</v>
      </c>
      <c r="B1203" s="113" t="s">
        <v>1268</v>
      </c>
      <c r="C1203" s="113" t="s">
        <v>130</v>
      </c>
      <c r="D1203" s="113" t="s">
        <v>1277</v>
      </c>
    </row>
    <row r="1204" spans="1:4">
      <c r="A1204" s="113" t="s">
        <v>1101</v>
      </c>
      <c r="B1204" s="113" t="s">
        <v>1268</v>
      </c>
      <c r="C1204" s="113" t="s">
        <v>130</v>
      </c>
      <c r="D1204" s="113" t="s">
        <v>1233</v>
      </c>
    </row>
    <row r="1205" spans="1:4">
      <c r="A1205" s="113" t="s">
        <v>1101</v>
      </c>
      <c r="B1205" s="113" t="s">
        <v>1268</v>
      </c>
      <c r="C1205" s="113" t="s">
        <v>130</v>
      </c>
      <c r="D1205" s="113" t="s">
        <v>1234</v>
      </c>
    </row>
    <row r="1206" spans="1:4">
      <c r="A1206" s="113" t="s">
        <v>1101</v>
      </c>
      <c r="B1206" s="113" t="s">
        <v>1268</v>
      </c>
      <c r="C1206" s="113" t="s">
        <v>325</v>
      </c>
      <c r="D1206" s="113" t="s">
        <v>326</v>
      </c>
    </row>
    <row r="1207" spans="1:4">
      <c r="A1207" s="113" t="s">
        <v>1101</v>
      </c>
      <c r="B1207" s="113" t="s">
        <v>1268</v>
      </c>
      <c r="C1207" s="113" t="s">
        <v>325</v>
      </c>
      <c r="D1207" s="113" t="s">
        <v>1278</v>
      </c>
    </row>
    <row r="1208" spans="1:4">
      <c r="A1208" s="113" t="s">
        <v>1101</v>
      </c>
      <c r="B1208" s="113" t="s">
        <v>1279</v>
      </c>
      <c r="C1208" s="113" t="s">
        <v>128</v>
      </c>
      <c r="D1208" s="113" t="s">
        <v>584</v>
      </c>
    </row>
    <row r="1209" spans="1:4">
      <c r="A1209" s="113" t="s">
        <v>1101</v>
      </c>
      <c r="B1209" s="113" t="s">
        <v>1279</v>
      </c>
      <c r="C1209" s="113" t="s">
        <v>130</v>
      </c>
      <c r="D1209" s="113" t="s">
        <v>585</v>
      </c>
    </row>
    <row r="1210" spans="1:4">
      <c r="A1210" s="113" t="s">
        <v>1101</v>
      </c>
      <c r="B1210" s="113" t="s">
        <v>1279</v>
      </c>
      <c r="C1210" s="113" t="s">
        <v>130</v>
      </c>
      <c r="D1210" s="113" t="s">
        <v>586</v>
      </c>
    </row>
    <row r="1211" spans="1:4">
      <c r="A1211" s="113" t="s">
        <v>1101</v>
      </c>
      <c r="B1211" s="113" t="s">
        <v>1280</v>
      </c>
      <c r="C1211" s="113" t="s">
        <v>128</v>
      </c>
      <c r="D1211" s="113" t="s">
        <v>1281</v>
      </c>
    </row>
    <row r="1212" spans="1:4">
      <c r="A1212" s="113" t="s">
        <v>1101</v>
      </c>
      <c r="B1212" s="113" t="s">
        <v>1280</v>
      </c>
      <c r="C1212" s="113" t="s">
        <v>128</v>
      </c>
      <c r="D1212" s="113" t="s">
        <v>1282</v>
      </c>
    </row>
    <row r="1213" spans="1:4">
      <c r="A1213" s="113" t="s">
        <v>1101</v>
      </c>
      <c r="B1213" s="113" t="s">
        <v>1280</v>
      </c>
      <c r="C1213" s="113" t="s">
        <v>130</v>
      </c>
      <c r="D1213" s="113" t="s">
        <v>1283</v>
      </c>
    </row>
    <row r="1214" spans="1:4">
      <c r="A1214" s="113" t="s">
        <v>1101</v>
      </c>
      <c r="B1214" s="113" t="s">
        <v>1280</v>
      </c>
      <c r="C1214" s="113" t="s">
        <v>130</v>
      </c>
      <c r="D1214" s="113" t="s">
        <v>1284</v>
      </c>
    </row>
    <row r="1215" spans="1:4">
      <c r="A1215" s="113" t="s">
        <v>1101</v>
      </c>
      <c r="B1215" s="113" t="s">
        <v>1285</v>
      </c>
      <c r="D1215" s="113" t="s">
        <v>433</v>
      </c>
    </row>
    <row r="1216" spans="1:4">
      <c r="A1216" s="113" t="s">
        <v>1101</v>
      </c>
      <c r="B1216" s="113" t="s">
        <v>1285</v>
      </c>
      <c r="C1216" s="113" t="s">
        <v>128</v>
      </c>
      <c r="D1216" s="113" t="s">
        <v>1286</v>
      </c>
    </row>
    <row r="1217" spans="1:4">
      <c r="A1217" s="113" t="s">
        <v>1101</v>
      </c>
      <c r="B1217" s="113" t="s">
        <v>1285</v>
      </c>
      <c r="C1217" s="113" t="s">
        <v>128</v>
      </c>
      <c r="D1217" s="113" t="s">
        <v>1287</v>
      </c>
    </row>
    <row r="1218" spans="1:4">
      <c r="A1218" s="113" t="s">
        <v>1101</v>
      </c>
      <c r="B1218" s="113" t="s">
        <v>1285</v>
      </c>
      <c r="C1218" s="113" t="s">
        <v>128</v>
      </c>
      <c r="D1218" s="113" t="s">
        <v>1288</v>
      </c>
    </row>
    <row r="1219" spans="1:4">
      <c r="A1219" s="113" t="s">
        <v>1101</v>
      </c>
      <c r="B1219" s="113" t="s">
        <v>1285</v>
      </c>
      <c r="C1219" s="113" t="s">
        <v>130</v>
      </c>
      <c r="D1219" s="113" t="s">
        <v>1289</v>
      </c>
    </row>
    <row r="1220" spans="1:4">
      <c r="A1220" s="113" t="s">
        <v>1101</v>
      </c>
      <c r="B1220" s="113" t="s">
        <v>1285</v>
      </c>
      <c r="C1220" s="113" t="s">
        <v>130</v>
      </c>
      <c r="D1220" s="113" t="s">
        <v>1290</v>
      </c>
    </row>
    <row r="1221" spans="1:4">
      <c r="A1221" s="113" t="s">
        <v>1101</v>
      </c>
      <c r="B1221" s="113" t="s">
        <v>1285</v>
      </c>
      <c r="C1221" s="113" t="s">
        <v>130</v>
      </c>
      <c r="D1221" s="113" t="s">
        <v>1291</v>
      </c>
    </row>
    <row r="1222" spans="1:4">
      <c r="A1222" s="113" t="s">
        <v>1101</v>
      </c>
      <c r="B1222" s="113" t="s">
        <v>1285</v>
      </c>
      <c r="C1222" s="113" t="s">
        <v>130</v>
      </c>
      <c r="D1222" s="113" t="s">
        <v>1292</v>
      </c>
    </row>
    <row r="1223" spans="1:4">
      <c r="A1223" s="113" t="s">
        <v>1101</v>
      </c>
      <c r="B1223" s="113" t="s">
        <v>1285</v>
      </c>
      <c r="C1223" s="113" t="s">
        <v>130</v>
      </c>
      <c r="D1223" s="113" t="s">
        <v>1293</v>
      </c>
    </row>
    <row r="1224" spans="1:4">
      <c r="A1224" s="113" t="s">
        <v>1101</v>
      </c>
      <c r="B1224" s="113" t="s">
        <v>1285</v>
      </c>
      <c r="C1224" s="113" t="s">
        <v>130</v>
      </c>
      <c r="D1224" s="113" t="s">
        <v>1294</v>
      </c>
    </row>
    <row r="1225" spans="1:4">
      <c r="A1225" s="113" t="s">
        <v>1101</v>
      </c>
      <c r="B1225" s="113" t="s">
        <v>1295</v>
      </c>
      <c r="C1225" s="113" t="s">
        <v>654</v>
      </c>
      <c r="D1225" s="113" t="s">
        <v>1296</v>
      </c>
    </row>
    <row r="1226" spans="1:4">
      <c r="A1226" s="113" t="s">
        <v>1101</v>
      </c>
      <c r="B1226" s="113" t="s">
        <v>1295</v>
      </c>
      <c r="C1226" s="113" t="s">
        <v>130</v>
      </c>
      <c r="D1226" s="113" t="s">
        <v>1297</v>
      </c>
    </row>
    <row r="1227" spans="1:4">
      <c r="A1227" s="113" t="s">
        <v>1101</v>
      </c>
      <c r="B1227" s="113" t="s">
        <v>1295</v>
      </c>
      <c r="C1227" s="113" t="s">
        <v>130</v>
      </c>
      <c r="D1227" s="113" t="s">
        <v>1298</v>
      </c>
    </row>
    <row r="1228" spans="1:4">
      <c r="A1228" s="113" t="s">
        <v>1101</v>
      </c>
      <c r="B1228" s="113" t="s">
        <v>1299</v>
      </c>
      <c r="C1228" s="113" t="s">
        <v>128</v>
      </c>
      <c r="D1228" s="113" t="s">
        <v>156</v>
      </c>
    </row>
    <row r="1229" spans="1:4">
      <c r="A1229" s="113" t="s">
        <v>1101</v>
      </c>
      <c r="B1229" s="113" t="s">
        <v>1299</v>
      </c>
      <c r="C1229" s="113" t="s">
        <v>130</v>
      </c>
      <c r="D1229" s="113" t="s">
        <v>185</v>
      </c>
    </row>
    <row r="1230" spans="1:4">
      <c r="A1230" s="113" t="s">
        <v>1101</v>
      </c>
      <c r="B1230" s="113" t="s">
        <v>1299</v>
      </c>
      <c r="C1230" s="113" t="s">
        <v>130</v>
      </c>
      <c r="D1230" s="113" t="s">
        <v>186</v>
      </c>
    </row>
    <row r="1231" spans="1:4">
      <c r="A1231" s="113" t="s">
        <v>1101</v>
      </c>
      <c r="B1231" s="113" t="s">
        <v>1300</v>
      </c>
      <c r="C1231" s="113" t="s">
        <v>128</v>
      </c>
      <c r="D1231" s="113" t="s">
        <v>1301</v>
      </c>
    </row>
    <row r="1232" spans="1:4">
      <c r="A1232" s="113" t="s">
        <v>1101</v>
      </c>
      <c r="B1232" s="113" t="s">
        <v>1300</v>
      </c>
      <c r="C1232" s="113" t="s">
        <v>128</v>
      </c>
      <c r="D1232" s="113" t="s">
        <v>156</v>
      </c>
    </row>
    <row r="1233" spans="1:4">
      <c r="A1233" s="113" t="s">
        <v>1101</v>
      </c>
      <c r="B1233" s="113" t="s">
        <v>1300</v>
      </c>
      <c r="C1233" s="113" t="s">
        <v>130</v>
      </c>
      <c r="D1233" s="113" t="s">
        <v>1302</v>
      </c>
    </row>
    <row r="1234" spans="1:4">
      <c r="A1234" s="113" t="s">
        <v>1101</v>
      </c>
      <c r="B1234" s="113" t="s">
        <v>1300</v>
      </c>
      <c r="C1234" s="113" t="s">
        <v>130</v>
      </c>
      <c r="D1234" s="113" t="s">
        <v>1303</v>
      </c>
    </row>
    <row r="1235" spans="1:4">
      <c r="A1235" s="113" t="s">
        <v>1101</v>
      </c>
      <c r="B1235" s="113" t="s">
        <v>1304</v>
      </c>
      <c r="C1235" s="113" t="s">
        <v>128</v>
      </c>
      <c r="D1235" s="113" t="s">
        <v>1305</v>
      </c>
    </row>
    <row r="1236" spans="1:4">
      <c r="A1236" s="113" t="s">
        <v>1101</v>
      </c>
      <c r="B1236" s="113" t="s">
        <v>1304</v>
      </c>
      <c r="C1236" s="113" t="s">
        <v>130</v>
      </c>
      <c r="D1236" s="113" t="s">
        <v>1306</v>
      </c>
    </row>
    <row r="1237" spans="1:4">
      <c r="A1237" s="113" t="s">
        <v>1101</v>
      </c>
      <c r="B1237" s="113" t="s">
        <v>1304</v>
      </c>
      <c r="C1237" s="113" t="s">
        <v>130</v>
      </c>
      <c r="D1237" s="113" t="s">
        <v>1307</v>
      </c>
    </row>
    <row r="1238" spans="1:4">
      <c r="A1238" s="113" t="s">
        <v>1101</v>
      </c>
      <c r="B1238" s="113" t="s">
        <v>1308</v>
      </c>
      <c r="C1238" s="113" t="s">
        <v>128</v>
      </c>
      <c r="D1238" s="113" t="s">
        <v>156</v>
      </c>
    </row>
    <row r="1239" spans="1:4">
      <c r="A1239" s="113" t="s">
        <v>1101</v>
      </c>
      <c r="B1239" s="113" t="s">
        <v>1308</v>
      </c>
      <c r="C1239" s="113" t="s">
        <v>130</v>
      </c>
      <c r="D1239" s="113" t="s">
        <v>1309</v>
      </c>
    </row>
    <row r="1240" spans="1:4">
      <c r="A1240" s="113" t="s">
        <v>1101</v>
      </c>
      <c r="B1240" s="113" t="s">
        <v>1308</v>
      </c>
      <c r="C1240" s="113" t="s">
        <v>130</v>
      </c>
      <c r="D1240" s="113" t="s">
        <v>1310</v>
      </c>
    </row>
    <row r="1241" spans="1:4">
      <c r="A1241" s="113" t="s">
        <v>1101</v>
      </c>
      <c r="B1241" s="113" t="s">
        <v>1308</v>
      </c>
      <c r="C1241" s="113" t="s">
        <v>130</v>
      </c>
      <c r="D1241" s="113" t="s">
        <v>1311</v>
      </c>
    </row>
    <row r="1242" spans="1:4">
      <c r="A1242" s="113" t="s">
        <v>1101</v>
      </c>
      <c r="B1242" s="113" t="s">
        <v>1308</v>
      </c>
      <c r="C1242" s="113" t="s">
        <v>130</v>
      </c>
      <c r="D1242" s="113" t="s">
        <v>1312</v>
      </c>
    </row>
    <row r="1243" spans="1:4">
      <c r="A1243" s="113" t="s">
        <v>1101</v>
      </c>
      <c r="B1243" s="113" t="s">
        <v>1313</v>
      </c>
      <c r="C1243" s="113" t="s">
        <v>128</v>
      </c>
      <c r="D1243" s="113" t="s">
        <v>1314</v>
      </c>
    </row>
    <row r="1244" spans="1:4">
      <c r="A1244" s="113" t="s">
        <v>1101</v>
      </c>
      <c r="B1244" s="113" t="s">
        <v>1313</v>
      </c>
      <c r="C1244" s="113" t="s">
        <v>128</v>
      </c>
      <c r="D1244" s="113" t="s">
        <v>1315</v>
      </c>
    </row>
    <row r="1245" spans="1:4">
      <c r="A1245" s="113" t="s">
        <v>1101</v>
      </c>
      <c r="B1245" s="113" t="s">
        <v>1313</v>
      </c>
      <c r="C1245" s="113" t="s">
        <v>130</v>
      </c>
      <c r="D1245" s="113" t="s">
        <v>1316</v>
      </c>
    </row>
    <row r="1246" spans="1:4">
      <c r="A1246" s="113" t="s">
        <v>1101</v>
      </c>
      <c r="B1246" s="113" t="s">
        <v>1313</v>
      </c>
      <c r="C1246" s="113" t="s">
        <v>130</v>
      </c>
      <c r="D1246" s="113" t="s">
        <v>1317</v>
      </c>
    </row>
    <row r="1247" spans="1:4">
      <c r="A1247" s="113" t="s">
        <v>1101</v>
      </c>
      <c r="B1247" s="113" t="s">
        <v>1313</v>
      </c>
      <c r="C1247" s="113" t="s">
        <v>130</v>
      </c>
      <c r="D1247" s="113" t="s">
        <v>1318</v>
      </c>
    </row>
    <row r="1248" spans="1:4">
      <c r="A1248" s="113" t="s">
        <v>1101</v>
      </c>
      <c r="B1248" s="113" t="s">
        <v>1313</v>
      </c>
      <c r="C1248" s="113" t="s">
        <v>130</v>
      </c>
      <c r="D1248" s="113" t="s">
        <v>1319</v>
      </c>
    </row>
    <row r="1249" spans="1:4">
      <c r="A1249" s="113" t="s">
        <v>1101</v>
      </c>
      <c r="B1249" s="113" t="s">
        <v>1313</v>
      </c>
      <c r="C1249" s="113" t="s">
        <v>130</v>
      </c>
      <c r="D1249" s="113" t="s">
        <v>1293</v>
      </c>
    </row>
    <row r="1250" spans="1:4">
      <c r="A1250" s="113" t="s">
        <v>1101</v>
      </c>
      <c r="B1250" s="113" t="s">
        <v>1313</v>
      </c>
      <c r="C1250" s="113" t="s">
        <v>130</v>
      </c>
      <c r="D1250" s="113" t="s">
        <v>1294</v>
      </c>
    </row>
    <row r="1251" spans="1:4">
      <c r="A1251" s="113" t="s">
        <v>1101</v>
      </c>
      <c r="B1251" s="113" t="s">
        <v>1320</v>
      </c>
      <c r="C1251" s="113" t="s">
        <v>128</v>
      </c>
      <c r="D1251" s="113" t="s">
        <v>156</v>
      </c>
    </row>
    <row r="1252" spans="1:4">
      <c r="A1252" s="113" t="s">
        <v>1101</v>
      </c>
      <c r="B1252" s="113" t="s">
        <v>1320</v>
      </c>
      <c r="C1252" s="113" t="s">
        <v>128</v>
      </c>
      <c r="D1252" s="113" t="s">
        <v>696</v>
      </c>
    </row>
    <row r="1253" spans="1:4">
      <c r="A1253" s="113" t="s">
        <v>1101</v>
      </c>
      <c r="B1253" s="113" t="s">
        <v>1320</v>
      </c>
      <c r="C1253" s="113" t="s">
        <v>130</v>
      </c>
      <c r="D1253" s="113" t="s">
        <v>697</v>
      </c>
    </row>
    <row r="1254" spans="1:4">
      <c r="A1254" s="113" t="s">
        <v>1101</v>
      </c>
      <c r="B1254" s="113" t="s">
        <v>1320</v>
      </c>
      <c r="C1254" s="113" t="s">
        <v>130</v>
      </c>
      <c r="D1254" s="113" t="s">
        <v>698</v>
      </c>
    </row>
    <row r="1255" spans="1:4">
      <c r="A1255" s="113" t="s">
        <v>1321</v>
      </c>
      <c r="B1255" s="113" t="s">
        <v>1322</v>
      </c>
      <c r="C1255" s="113" t="s">
        <v>128</v>
      </c>
      <c r="D1255" s="113" t="s">
        <v>182</v>
      </c>
    </row>
    <row r="1256" spans="1:4">
      <c r="A1256" s="113" t="s">
        <v>1321</v>
      </c>
      <c r="B1256" s="113" t="s">
        <v>1323</v>
      </c>
      <c r="C1256" s="113" t="s">
        <v>128</v>
      </c>
      <c r="D1256" s="113" t="s">
        <v>182</v>
      </c>
    </row>
    <row r="1257" spans="1:4">
      <c r="A1257" s="113" t="s">
        <v>1321</v>
      </c>
      <c r="B1257" s="113" t="s">
        <v>1324</v>
      </c>
      <c r="C1257" s="113" t="s">
        <v>128</v>
      </c>
      <c r="D1257" s="113" t="s">
        <v>182</v>
      </c>
    </row>
    <row r="1258" spans="1:4">
      <c r="A1258" s="113" t="s">
        <v>1321</v>
      </c>
      <c r="B1258" s="113" t="s">
        <v>1325</v>
      </c>
      <c r="C1258" s="113" t="s">
        <v>128</v>
      </c>
      <c r="D1258" s="113" t="s">
        <v>182</v>
      </c>
    </row>
    <row r="1259" spans="1:4">
      <c r="A1259" s="113" t="s">
        <v>1321</v>
      </c>
      <c r="B1259" s="113" t="s">
        <v>1326</v>
      </c>
      <c r="C1259" s="113" t="s">
        <v>128</v>
      </c>
      <c r="D1259" s="113" t="s">
        <v>182</v>
      </c>
    </row>
    <row r="1260" spans="1:4">
      <c r="A1260" s="113" t="s">
        <v>1321</v>
      </c>
      <c r="B1260" s="113" t="s">
        <v>1327</v>
      </c>
      <c r="C1260" s="113" t="s">
        <v>128</v>
      </c>
      <c r="D1260" s="113" t="s">
        <v>182</v>
      </c>
    </row>
    <row r="1261" spans="1:4">
      <c r="A1261" s="113" t="s">
        <v>1321</v>
      </c>
      <c r="B1261" s="113" t="s">
        <v>1328</v>
      </c>
      <c r="C1261" s="113" t="s">
        <v>128</v>
      </c>
      <c r="D1261" s="113" t="s">
        <v>182</v>
      </c>
    </row>
    <row r="1262" spans="1:4">
      <c r="A1262" s="113" t="s">
        <v>1321</v>
      </c>
      <c r="B1262" s="113" t="s">
        <v>1329</v>
      </c>
      <c r="C1262" s="113" t="s">
        <v>128</v>
      </c>
      <c r="D1262" s="113" t="s">
        <v>182</v>
      </c>
    </row>
    <row r="1263" spans="1:4">
      <c r="A1263" s="113" t="s">
        <v>1321</v>
      </c>
      <c r="B1263" s="113" t="s">
        <v>1330</v>
      </c>
      <c r="C1263" s="113" t="s">
        <v>128</v>
      </c>
      <c r="D1263" s="113" t="s">
        <v>182</v>
      </c>
    </row>
    <row r="1264" spans="1:4">
      <c r="A1264" s="113" t="s">
        <v>1321</v>
      </c>
      <c r="B1264" s="113" t="s">
        <v>1331</v>
      </c>
      <c r="C1264" s="113" t="s">
        <v>128</v>
      </c>
      <c r="D1264" s="113" t="s">
        <v>182</v>
      </c>
    </row>
    <row r="1265" spans="1:4">
      <c r="A1265" s="113" t="s">
        <v>1332</v>
      </c>
      <c r="B1265" s="113" t="s">
        <v>1333</v>
      </c>
      <c r="C1265" s="113" t="s">
        <v>128</v>
      </c>
      <c r="D1265" s="113" t="s">
        <v>156</v>
      </c>
    </row>
    <row r="1266" spans="1:4">
      <c r="A1266" s="113" t="s">
        <v>1332</v>
      </c>
      <c r="B1266" s="113" t="s">
        <v>1333</v>
      </c>
      <c r="C1266" s="113" t="s">
        <v>130</v>
      </c>
      <c r="D1266" s="113" t="s">
        <v>641</v>
      </c>
    </row>
    <row r="1267" spans="1:4">
      <c r="A1267" s="113" t="s">
        <v>1332</v>
      </c>
      <c r="B1267" s="113" t="s">
        <v>1333</v>
      </c>
      <c r="C1267" s="113" t="s">
        <v>130</v>
      </c>
      <c r="D1267" s="113" t="s">
        <v>642</v>
      </c>
    </row>
    <row r="1268" spans="1:4">
      <c r="A1268" s="113" t="s">
        <v>1334</v>
      </c>
      <c r="B1268" s="113" t="s">
        <v>1335</v>
      </c>
      <c r="C1268" s="113" t="s">
        <v>128</v>
      </c>
      <c r="D1268" s="113" t="s">
        <v>182</v>
      </c>
    </row>
    <row r="1269" spans="1:4">
      <c r="A1269" s="113" t="s">
        <v>1334</v>
      </c>
      <c r="B1269" s="113" t="s">
        <v>1336</v>
      </c>
      <c r="C1269" s="113" t="s">
        <v>128</v>
      </c>
      <c r="D1269" s="113" t="s">
        <v>182</v>
      </c>
    </row>
    <row r="1270" spans="1:4">
      <c r="A1270" s="113" t="s">
        <v>1337</v>
      </c>
      <c r="B1270" s="113" t="s">
        <v>1338</v>
      </c>
      <c r="C1270" s="113" t="s">
        <v>128</v>
      </c>
      <c r="D1270" s="113" t="s">
        <v>156</v>
      </c>
    </row>
    <row r="1271" spans="1:4">
      <c r="A1271" s="113" t="s">
        <v>1337</v>
      </c>
      <c r="B1271" s="113" t="s">
        <v>1338</v>
      </c>
      <c r="C1271" s="113" t="s">
        <v>130</v>
      </c>
      <c r="D1271" s="113" t="s">
        <v>1339</v>
      </c>
    </row>
    <row r="1272" spans="1:4">
      <c r="A1272" s="113" t="s">
        <v>1337</v>
      </c>
      <c r="B1272" s="113" t="s">
        <v>1338</v>
      </c>
      <c r="C1272" s="113" t="s">
        <v>130</v>
      </c>
      <c r="D1272" s="113" t="s">
        <v>1340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selection activeCell="G3" sqref="G3"/>
    </sheetView>
  </sheetViews>
  <sheetFormatPr defaultRowHeight="13.2"/>
  <cols>
    <col min="1" max="1" width="9.5546875" bestFit="1" customWidth="1"/>
    <col min="2" max="2" width="11.6640625" bestFit="1" customWidth="1"/>
    <col min="3" max="3" width="40.21875" bestFit="1" customWidth="1"/>
  </cols>
  <sheetData>
    <row r="1" spans="1:7" ht="26.4" customHeight="1">
      <c r="A1" s="161" t="s">
        <v>2099</v>
      </c>
      <c r="B1" s="125" t="s">
        <v>1648</v>
      </c>
      <c r="C1" s="125" t="s">
        <v>1649</v>
      </c>
      <c r="D1" s="125" t="s">
        <v>1343</v>
      </c>
      <c r="E1" s="124" t="s">
        <v>1650</v>
      </c>
      <c r="F1" s="124" t="s">
        <v>1651</v>
      </c>
      <c r="G1" s="126" t="s">
        <v>1652</v>
      </c>
    </row>
    <row r="2" spans="1:7" ht="13.2" customHeight="1">
      <c r="A2" s="159">
        <v>1</v>
      </c>
      <c r="B2" s="119" t="s">
        <v>1653</v>
      </c>
      <c r="C2" s="120" t="s">
        <v>1654</v>
      </c>
      <c r="D2" s="121" t="s">
        <v>1655</v>
      </c>
      <c r="E2" s="118" t="s">
        <v>1656</v>
      </c>
      <c r="F2" s="122" t="s">
        <v>1657</v>
      </c>
      <c r="G2" s="121" t="s">
        <v>503</v>
      </c>
    </row>
    <row r="3" spans="1:7">
      <c r="A3" s="160">
        <v>2</v>
      </c>
      <c r="B3" s="119" t="s">
        <v>1658</v>
      </c>
      <c r="C3" s="121" t="s">
        <v>1659</v>
      </c>
      <c r="D3" s="121" t="s">
        <v>1655</v>
      </c>
      <c r="E3" s="118" t="s">
        <v>1656</v>
      </c>
      <c r="F3" s="122" t="s">
        <v>1660</v>
      </c>
      <c r="G3" s="121" t="s">
        <v>1661</v>
      </c>
    </row>
    <row r="4" spans="1:7" s="157" customFormat="1">
      <c r="A4" s="160">
        <v>3</v>
      </c>
      <c r="B4" s="119" t="s">
        <v>1662</v>
      </c>
      <c r="C4" s="121" t="s">
        <v>1663</v>
      </c>
      <c r="D4" s="121" t="s">
        <v>1655</v>
      </c>
      <c r="E4" s="118" t="s">
        <v>1656</v>
      </c>
      <c r="F4" s="122" t="s">
        <v>1660</v>
      </c>
      <c r="G4" s="121" t="s">
        <v>1661</v>
      </c>
    </row>
    <row r="5" spans="1:7" s="157" customFormat="1">
      <c r="A5" s="159">
        <v>4</v>
      </c>
      <c r="B5" s="119" t="s">
        <v>1664</v>
      </c>
      <c r="C5" s="121" t="s">
        <v>1665</v>
      </c>
      <c r="D5" s="121" t="s">
        <v>1655</v>
      </c>
      <c r="E5" s="118" t="s">
        <v>1656</v>
      </c>
      <c r="F5" s="122" t="s">
        <v>1666</v>
      </c>
      <c r="G5" s="121" t="s">
        <v>89</v>
      </c>
    </row>
    <row r="6" spans="1:7" s="157" customFormat="1">
      <c r="A6" s="160">
        <v>5</v>
      </c>
      <c r="B6" s="119" t="s">
        <v>1667</v>
      </c>
      <c r="C6" s="121" t="s">
        <v>1668</v>
      </c>
      <c r="D6" s="121" t="s">
        <v>1655</v>
      </c>
      <c r="E6" s="118" t="s">
        <v>1656</v>
      </c>
      <c r="F6" s="122" t="s">
        <v>1660</v>
      </c>
      <c r="G6" s="121" t="s">
        <v>1661</v>
      </c>
    </row>
    <row r="7" spans="1:7" s="157" customFormat="1">
      <c r="A7" s="160">
        <v>6</v>
      </c>
      <c r="B7" s="119" t="s">
        <v>1669</v>
      </c>
      <c r="C7" s="121" t="s">
        <v>1670</v>
      </c>
      <c r="D7" s="121" t="s">
        <v>1655</v>
      </c>
      <c r="E7" s="118" t="s">
        <v>1656</v>
      </c>
      <c r="F7" s="122" t="s">
        <v>1660</v>
      </c>
      <c r="G7" s="121" t="s">
        <v>1661</v>
      </c>
    </row>
    <row r="8" spans="1:7" s="157" customFormat="1">
      <c r="A8" s="159">
        <v>7</v>
      </c>
      <c r="B8" s="119" t="s">
        <v>1671</v>
      </c>
      <c r="C8" s="121" t="s">
        <v>1672</v>
      </c>
      <c r="D8" s="121" t="s">
        <v>1655</v>
      </c>
      <c r="E8" s="118" t="s">
        <v>1656</v>
      </c>
      <c r="F8" s="122" t="s">
        <v>1657</v>
      </c>
      <c r="G8" s="121" t="s">
        <v>503</v>
      </c>
    </row>
    <row r="9" spans="1:7" s="157" customFormat="1">
      <c r="A9" s="160">
        <v>8</v>
      </c>
      <c r="B9" s="119" t="s">
        <v>1673</v>
      </c>
      <c r="C9" s="121" t="s">
        <v>1674</v>
      </c>
      <c r="D9" s="121" t="s">
        <v>1609</v>
      </c>
      <c r="E9" s="118" t="s">
        <v>1656</v>
      </c>
      <c r="F9" s="122" t="s">
        <v>1666</v>
      </c>
      <c r="G9" s="121" t="s">
        <v>30</v>
      </c>
    </row>
    <row r="10" spans="1:7" s="157" customFormat="1">
      <c r="A10" s="160">
        <v>9</v>
      </c>
      <c r="B10" s="119" t="s">
        <v>1675</v>
      </c>
      <c r="C10" s="121" t="s">
        <v>1676</v>
      </c>
      <c r="D10" s="121" t="s">
        <v>1609</v>
      </c>
      <c r="E10" s="118" t="s">
        <v>1656</v>
      </c>
      <c r="F10" s="122" t="s">
        <v>1666</v>
      </c>
      <c r="G10" s="121" t="s">
        <v>30</v>
      </c>
    </row>
    <row r="11" spans="1:7" s="157" customFormat="1">
      <c r="A11" s="159">
        <v>10</v>
      </c>
      <c r="B11" s="119" t="s">
        <v>1677</v>
      </c>
      <c r="C11" s="121" t="s">
        <v>1678</v>
      </c>
      <c r="D11" s="121" t="s">
        <v>1609</v>
      </c>
      <c r="E11" s="118" t="s">
        <v>1656</v>
      </c>
      <c r="F11" s="122" t="s">
        <v>1666</v>
      </c>
      <c r="G11" s="121" t="s">
        <v>30</v>
      </c>
    </row>
    <row r="12" spans="1:7" s="157" customFormat="1">
      <c r="A12" s="160">
        <v>11</v>
      </c>
      <c r="B12" s="119" t="s">
        <v>1679</v>
      </c>
      <c r="C12" s="121" t="s">
        <v>1680</v>
      </c>
      <c r="D12" s="121" t="s">
        <v>1609</v>
      </c>
      <c r="E12" s="118" t="s">
        <v>1656</v>
      </c>
      <c r="F12" s="122" t="s">
        <v>1666</v>
      </c>
      <c r="G12" s="121" t="s">
        <v>30</v>
      </c>
    </row>
    <row r="13" spans="1:7" s="157" customFormat="1">
      <c r="A13" s="160">
        <v>12</v>
      </c>
      <c r="B13" s="119" t="s">
        <v>1681</v>
      </c>
      <c r="C13" s="121" t="s">
        <v>1682</v>
      </c>
      <c r="D13" s="121" t="s">
        <v>1609</v>
      </c>
      <c r="E13" s="118" t="s">
        <v>1656</v>
      </c>
      <c r="F13" s="122" t="s">
        <v>1666</v>
      </c>
      <c r="G13" s="121" t="s">
        <v>30</v>
      </c>
    </row>
    <row r="14" spans="1:7" s="157" customFormat="1">
      <c r="A14" s="159">
        <v>13</v>
      </c>
      <c r="B14" s="119" t="s">
        <v>1686</v>
      </c>
      <c r="C14" s="121" t="s">
        <v>1687</v>
      </c>
      <c r="D14" s="121" t="s">
        <v>1688</v>
      </c>
      <c r="E14" s="118" t="s">
        <v>1656</v>
      </c>
      <c r="F14" s="122" t="s">
        <v>61</v>
      </c>
      <c r="G14" s="122" t="s">
        <v>503</v>
      </c>
    </row>
    <row r="15" spans="1:7" s="157" customFormat="1">
      <c r="A15" s="160">
        <v>14</v>
      </c>
      <c r="B15" s="119" t="s">
        <v>1689</v>
      </c>
      <c r="C15" s="121" t="s">
        <v>1690</v>
      </c>
      <c r="D15" s="121" t="s">
        <v>1688</v>
      </c>
      <c r="E15" s="118" t="s">
        <v>1656</v>
      </c>
      <c r="F15" s="122" t="s">
        <v>61</v>
      </c>
      <c r="G15" s="122" t="s">
        <v>503</v>
      </c>
    </row>
    <row r="16" spans="1:7" s="157" customFormat="1">
      <c r="A16" s="160">
        <v>15</v>
      </c>
      <c r="B16" s="119" t="s">
        <v>1691</v>
      </c>
      <c r="C16" s="121" t="s">
        <v>1692</v>
      </c>
      <c r="D16" s="121" t="s">
        <v>1688</v>
      </c>
      <c r="E16" s="118" t="s">
        <v>1656</v>
      </c>
      <c r="F16" s="122" t="s">
        <v>61</v>
      </c>
      <c r="G16" s="121" t="s">
        <v>503</v>
      </c>
    </row>
    <row r="17" spans="1:7" s="157" customFormat="1">
      <c r="A17" s="159">
        <v>16</v>
      </c>
      <c r="B17" s="119" t="s">
        <v>1693</v>
      </c>
      <c r="C17" s="121" t="s">
        <v>1694</v>
      </c>
      <c r="D17" s="121" t="s">
        <v>1688</v>
      </c>
      <c r="E17" s="118" t="s">
        <v>1656</v>
      </c>
      <c r="F17" s="122" t="s">
        <v>1666</v>
      </c>
      <c r="G17" s="121" t="s">
        <v>1695</v>
      </c>
    </row>
    <row r="18" spans="1:7" s="157" customFormat="1">
      <c r="A18" s="160">
        <v>17</v>
      </c>
      <c r="B18" s="119" t="s">
        <v>1696</v>
      </c>
      <c r="C18" s="121" t="s">
        <v>1697</v>
      </c>
      <c r="D18" s="121" t="s">
        <v>1688</v>
      </c>
      <c r="E18" s="118" t="s">
        <v>1656</v>
      </c>
      <c r="F18" s="122" t="s">
        <v>1698</v>
      </c>
      <c r="G18" s="121" t="s">
        <v>89</v>
      </c>
    </row>
    <row r="19" spans="1:7" s="157" customFormat="1">
      <c r="A19" s="160">
        <v>18</v>
      </c>
      <c r="B19" s="119" t="s">
        <v>1699</v>
      </c>
      <c r="C19" s="121" t="s">
        <v>1700</v>
      </c>
      <c r="D19" s="121" t="s">
        <v>1688</v>
      </c>
      <c r="E19" s="118" t="s">
        <v>1656</v>
      </c>
      <c r="F19" s="122" t="s">
        <v>1684</v>
      </c>
      <c r="G19" s="121" t="s">
        <v>1661</v>
      </c>
    </row>
    <row r="20" spans="1:7" s="157" customFormat="1">
      <c r="A20" s="159">
        <v>19</v>
      </c>
      <c r="B20" s="119" t="s">
        <v>1701</v>
      </c>
      <c r="C20" s="121" t="s">
        <v>1702</v>
      </c>
      <c r="D20" s="121" t="s">
        <v>1688</v>
      </c>
      <c r="E20" s="118" t="s">
        <v>1656</v>
      </c>
      <c r="F20" s="122" t="s">
        <v>1684</v>
      </c>
      <c r="G20" s="121" t="s">
        <v>1683</v>
      </c>
    </row>
    <row r="21" spans="1:7" s="157" customFormat="1">
      <c r="A21" s="160">
        <v>20</v>
      </c>
      <c r="B21" s="119" t="s">
        <v>1703</v>
      </c>
      <c r="C21" s="121" t="s">
        <v>1704</v>
      </c>
      <c r="D21" s="121" t="s">
        <v>1688</v>
      </c>
      <c r="E21" s="118" t="s">
        <v>1656</v>
      </c>
      <c r="F21" s="122" t="s">
        <v>1685</v>
      </c>
      <c r="G21" s="121" t="s">
        <v>1683</v>
      </c>
    </row>
    <row r="22" spans="1:7" s="157" customFormat="1">
      <c r="A22" s="160">
        <v>21</v>
      </c>
      <c r="B22" s="119" t="s">
        <v>1705</v>
      </c>
      <c r="C22" s="121" t="s">
        <v>1706</v>
      </c>
      <c r="D22" s="121" t="s">
        <v>1688</v>
      </c>
      <c r="E22" s="118" t="s">
        <v>1656</v>
      </c>
      <c r="F22" s="122" t="s">
        <v>1685</v>
      </c>
      <c r="G22" s="121" t="s">
        <v>1683</v>
      </c>
    </row>
    <row r="23" spans="1:7" s="157" customFormat="1">
      <c r="A23" s="159">
        <v>22</v>
      </c>
      <c r="B23" s="119" t="s">
        <v>1707</v>
      </c>
      <c r="C23" s="121" t="s">
        <v>1708</v>
      </c>
      <c r="D23" s="121" t="s">
        <v>1688</v>
      </c>
      <c r="E23" s="118" t="s">
        <v>1656</v>
      </c>
      <c r="F23" s="122" t="s">
        <v>1666</v>
      </c>
      <c r="G23" s="121" t="s">
        <v>1695</v>
      </c>
    </row>
    <row r="24" spans="1:7" s="157" customFormat="1">
      <c r="A24" s="160">
        <v>23</v>
      </c>
      <c r="B24" s="119" t="s">
        <v>1709</v>
      </c>
      <c r="C24" s="121" t="s">
        <v>1710</v>
      </c>
      <c r="D24" s="121" t="s">
        <v>1688</v>
      </c>
      <c r="E24" s="118" t="s">
        <v>1656</v>
      </c>
      <c r="F24" s="122" t="s">
        <v>1711</v>
      </c>
      <c r="G24" s="121" t="s">
        <v>1695</v>
      </c>
    </row>
    <row r="25" spans="1:7" s="157" customFormat="1">
      <c r="A25" s="160">
        <v>24</v>
      </c>
      <c r="B25" s="119" t="s">
        <v>1712</v>
      </c>
      <c r="C25" s="121" t="s">
        <v>1713</v>
      </c>
      <c r="D25" s="121" t="s">
        <v>1688</v>
      </c>
      <c r="E25" s="118" t="s">
        <v>1656</v>
      </c>
      <c r="F25" s="122" t="s">
        <v>1711</v>
      </c>
      <c r="G25" s="121" t="s">
        <v>1695</v>
      </c>
    </row>
    <row r="26" spans="1:7" s="157" customFormat="1">
      <c r="A26" s="159">
        <v>25</v>
      </c>
      <c r="B26" s="119" t="s">
        <v>1714</v>
      </c>
      <c r="C26" s="121" t="s">
        <v>1715</v>
      </c>
      <c r="D26" s="121" t="s">
        <v>1716</v>
      </c>
      <c r="E26" s="118" t="s">
        <v>1656</v>
      </c>
      <c r="F26" s="122"/>
      <c r="G26" s="121" t="s">
        <v>1695</v>
      </c>
    </row>
    <row r="27" spans="1:7" s="157" customFormat="1">
      <c r="A27" s="160">
        <v>26</v>
      </c>
      <c r="B27" s="119" t="s">
        <v>1717</v>
      </c>
      <c r="C27" s="121" t="s">
        <v>1718</v>
      </c>
      <c r="D27" s="121" t="s">
        <v>1716</v>
      </c>
      <c r="E27" s="118" t="s">
        <v>1656</v>
      </c>
      <c r="F27" s="122"/>
      <c r="G27" s="121" t="s">
        <v>1695</v>
      </c>
    </row>
    <row r="28" spans="1:7" s="157" customFormat="1">
      <c r="A28" s="160">
        <v>27</v>
      </c>
      <c r="B28" s="119" t="s">
        <v>1719</v>
      </c>
      <c r="C28" s="121" t="s">
        <v>1720</v>
      </c>
      <c r="D28" s="121" t="s">
        <v>1716</v>
      </c>
      <c r="E28" s="118" t="s">
        <v>1656</v>
      </c>
      <c r="F28" s="122" t="s">
        <v>1666</v>
      </c>
      <c r="G28" s="121" t="s">
        <v>1695</v>
      </c>
    </row>
    <row r="29" spans="1:7" s="157" customFormat="1" ht="13.2" customHeight="1">
      <c r="A29" s="159">
        <v>28</v>
      </c>
      <c r="B29" s="119" t="s">
        <v>1721</v>
      </c>
      <c r="C29" s="121" t="s">
        <v>1722</v>
      </c>
      <c r="D29" s="121" t="s">
        <v>1723</v>
      </c>
      <c r="E29" s="118" t="s">
        <v>1656</v>
      </c>
      <c r="F29" s="122" t="s">
        <v>1685</v>
      </c>
      <c r="G29" s="121" t="s">
        <v>1695</v>
      </c>
    </row>
    <row r="30" spans="1:7" s="157" customFormat="1">
      <c r="A30" s="160">
        <v>29</v>
      </c>
      <c r="B30" s="119" t="s">
        <v>1724</v>
      </c>
      <c r="C30" s="121" t="s">
        <v>1725</v>
      </c>
      <c r="D30" s="121" t="s">
        <v>1723</v>
      </c>
      <c r="E30" s="118" t="s">
        <v>1656</v>
      </c>
      <c r="F30" s="122" t="s">
        <v>1666</v>
      </c>
      <c r="G30" s="121" t="s">
        <v>1695</v>
      </c>
    </row>
    <row r="31" spans="1:7" s="157" customFormat="1">
      <c r="A31" s="160">
        <v>30</v>
      </c>
      <c r="B31" s="119" t="s">
        <v>1726</v>
      </c>
      <c r="C31" s="121" t="s">
        <v>1727</v>
      </c>
      <c r="D31" s="121" t="s">
        <v>1723</v>
      </c>
      <c r="E31" s="118" t="s">
        <v>1656</v>
      </c>
      <c r="F31" s="122" t="s">
        <v>1685</v>
      </c>
      <c r="G31" s="121" t="s">
        <v>1695</v>
      </c>
    </row>
    <row r="32" spans="1:7" s="157" customFormat="1">
      <c r="A32" s="159">
        <v>31</v>
      </c>
      <c r="B32" s="119" t="s">
        <v>1728</v>
      </c>
      <c r="C32" s="121" t="s">
        <v>1729</v>
      </c>
      <c r="D32" s="121" t="s">
        <v>1723</v>
      </c>
      <c r="E32" s="118" t="s">
        <v>1656</v>
      </c>
      <c r="F32" s="122" t="s">
        <v>1666</v>
      </c>
      <c r="G32" s="121" t="s">
        <v>1695</v>
      </c>
    </row>
    <row r="33" spans="1:7" s="157" customFormat="1">
      <c r="A33" s="160">
        <v>32</v>
      </c>
      <c r="B33" s="119" t="s">
        <v>1730</v>
      </c>
      <c r="C33" s="121" t="s">
        <v>1731</v>
      </c>
      <c r="D33" s="121" t="s">
        <v>1723</v>
      </c>
      <c r="E33" s="118" t="s">
        <v>1656</v>
      </c>
      <c r="F33" s="122" t="s">
        <v>1666</v>
      </c>
      <c r="G33" s="121" t="s">
        <v>1695</v>
      </c>
    </row>
    <row r="34" spans="1:7" s="157" customFormat="1">
      <c r="A34" s="160">
        <v>33</v>
      </c>
      <c r="B34" s="119" t="s">
        <v>1732</v>
      </c>
      <c r="C34" s="121" t="s">
        <v>1495</v>
      </c>
      <c r="D34" s="121" t="s">
        <v>1611</v>
      </c>
      <c r="E34" s="118" t="s">
        <v>1656</v>
      </c>
      <c r="F34" s="122" t="s">
        <v>1684</v>
      </c>
      <c r="G34" s="121" t="s">
        <v>1695</v>
      </c>
    </row>
    <row r="35" spans="1:7" s="157" customFormat="1">
      <c r="A35" s="159">
        <v>34</v>
      </c>
      <c r="B35" s="119" t="s">
        <v>1733</v>
      </c>
      <c r="C35" s="121" t="s">
        <v>1492</v>
      </c>
      <c r="D35" s="121" t="s">
        <v>1611</v>
      </c>
      <c r="E35" s="118" t="s">
        <v>1656</v>
      </c>
      <c r="F35" s="122" t="s">
        <v>1684</v>
      </c>
      <c r="G35" s="121" t="s">
        <v>503</v>
      </c>
    </row>
    <row r="36" spans="1:7" s="157" customFormat="1">
      <c r="A36" s="160">
        <v>35</v>
      </c>
      <c r="B36" s="119" t="s">
        <v>1734</v>
      </c>
      <c r="C36" s="121" t="s">
        <v>1735</v>
      </c>
      <c r="D36" s="121" t="s">
        <v>1613</v>
      </c>
      <c r="E36" s="118" t="s">
        <v>1656</v>
      </c>
      <c r="F36" s="122" t="s">
        <v>1684</v>
      </c>
      <c r="G36" s="121" t="s">
        <v>1695</v>
      </c>
    </row>
    <row r="37" spans="1:7" s="157" customFormat="1">
      <c r="A37" s="160">
        <v>36</v>
      </c>
      <c r="B37" s="119" t="s">
        <v>1736</v>
      </c>
      <c r="C37" s="121" t="s">
        <v>1737</v>
      </c>
      <c r="D37" s="121" t="s">
        <v>1613</v>
      </c>
      <c r="E37" s="118" t="s">
        <v>1656</v>
      </c>
      <c r="F37" s="122" t="s">
        <v>1666</v>
      </c>
      <c r="G37" s="121" t="s">
        <v>1695</v>
      </c>
    </row>
    <row r="38" spans="1:7" s="157" customFormat="1">
      <c r="A38" s="159">
        <v>37</v>
      </c>
      <c r="B38" s="119" t="s">
        <v>1738</v>
      </c>
      <c r="C38" s="121" t="s">
        <v>1739</v>
      </c>
      <c r="D38" s="121" t="s">
        <v>1613</v>
      </c>
      <c r="E38" s="118" t="s">
        <v>1656</v>
      </c>
      <c r="F38" s="122" t="s">
        <v>1684</v>
      </c>
      <c r="G38" s="121" t="s">
        <v>1695</v>
      </c>
    </row>
    <row r="39" spans="1:7" s="157" customFormat="1">
      <c r="A39" s="160">
        <v>38</v>
      </c>
      <c r="B39" s="119" t="s">
        <v>1740</v>
      </c>
      <c r="C39" s="121" t="s">
        <v>1741</v>
      </c>
      <c r="D39" s="121" t="s">
        <v>1613</v>
      </c>
      <c r="E39" s="118" t="s">
        <v>1656</v>
      </c>
      <c r="F39" s="122" t="s">
        <v>1684</v>
      </c>
      <c r="G39" s="121" t="s">
        <v>1695</v>
      </c>
    </row>
    <row r="40" spans="1:7" s="157" customFormat="1">
      <c r="A40" s="160">
        <v>39</v>
      </c>
      <c r="B40" s="119" t="s">
        <v>1742</v>
      </c>
      <c r="C40" s="121" t="s">
        <v>1743</v>
      </c>
      <c r="D40" s="121" t="s">
        <v>1613</v>
      </c>
      <c r="E40" s="118" t="s">
        <v>1656</v>
      </c>
      <c r="F40" s="122" t="s">
        <v>1684</v>
      </c>
      <c r="G40" s="121" t="s">
        <v>1695</v>
      </c>
    </row>
    <row r="41" spans="1:7" s="157" customFormat="1">
      <c r="A41" s="159">
        <v>40</v>
      </c>
      <c r="B41" s="119" t="s">
        <v>1744</v>
      </c>
      <c r="C41" s="121" t="s">
        <v>1737</v>
      </c>
      <c r="D41" s="121" t="s">
        <v>1613</v>
      </c>
      <c r="E41" s="118" t="s">
        <v>1656</v>
      </c>
      <c r="F41" s="122" t="s">
        <v>1666</v>
      </c>
      <c r="G41" s="121" t="s">
        <v>1695</v>
      </c>
    </row>
    <row r="42" spans="1:7" s="157" customFormat="1" ht="13.2" customHeight="1">
      <c r="A42" s="160">
        <v>41</v>
      </c>
      <c r="B42" s="119" t="s">
        <v>1745</v>
      </c>
      <c r="C42" s="120" t="s">
        <v>1746</v>
      </c>
      <c r="D42" s="121" t="s">
        <v>1613</v>
      </c>
      <c r="E42" s="118" t="s">
        <v>1656</v>
      </c>
      <c r="F42" s="122" t="s">
        <v>1666</v>
      </c>
      <c r="G42" s="121" t="s">
        <v>1695</v>
      </c>
    </row>
    <row r="43" spans="1:7" s="157" customFormat="1">
      <c r="A43" s="160">
        <v>42</v>
      </c>
      <c r="B43" s="119" t="s">
        <v>1747</v>
      </c>
      <c r="C43" s="121" t="s">
        <v>1748</v>
      </c>
      <c r="D43" s="121" t="s">
        <v>1613</v>
      </c>
      <c r="E43" s="118" t="s">
        <v>1656</v>
      </c>
      <c r="F43" s="122" t="s">
        <v>1684</v>
      </c>
      <c r="G43" s="121" t="s">
        <v>1695</v>
      </c>
    </row>
    <row r="44" spans="1:7" s="157" customFormat="1">
      <c r="A44" s="159">
        <v>43</v>
      </c>
      <c r="B44" s="119" t="s">
        <v>1749</v>
      </c>
      <c r="C44" s="121" t="s">
        <v>1746</v>
      </c>
      <c r="D44" s="121" t="s">
        <v>1613</v>
      </c>
      <c r="E44" s="118" t="s">
        <v>1656</v>
      </c>
      <c r="F44" s="122" t="s">
        <v>1666</v>
      </c>
      <c r="G44" s="121" t="s">
        <v>1695</v>
      </c>
    </row>
    <row r="45" spans="1:7" s="157" customFormat="1">
      <c r="A45" s="160">
        <v>44</v>
      </c>
      <c r="B45" s="119" t="s">
        <v>1750</v>
      </c>
      <c r="C45" s="121" t="s">
        <v>1751</v>
      </c>
      <c r="D45" s="121" t="s">
        <v>1613</v>
      </c>
      <c r="E45" s="118" t="s">
        <v>1656</v>
      </c>
      <c r="F45" s="123" t="s">
        <v>1666</v>
      </c>
      <c r="G45" s="121" t="s">
        <v>1695</v>
      </c>
    </row>
    <row r="46" spans="1:7" s="157" customFormat="1">
      <c r="A46" s="160">
        <v>45</v>
      </c>
      <c r="B46" s="119" t="s">
        <v>1752</v>
      </c>
      <c r="C46" s="121" t="s">
        <v>1753</v>
      </c>
      <c r="D46" s="121" t="s">
        <v>1613</v>
      </c>
      <c r="E46" s="118" t="s">
        <v>1656</v>
      </c>
      <c r="F46" s="122" t="s">
        <v>1684</v>
      </c>
      <c r="G46" s="121" t="s">
        <v>1695</v>
      </c>
    </row>
    <row r="47" spans="1:7" s="157" customFormat="1">
      <c r="A47" s="159">
        <v>46</v>
      </c>
      <c r="B47" s="119" t="s">
        <v>1754</v>
      </c>
      <c r="C47" s="121" t="s">
        <v>1755</v>
      </c>
      <c r="D47" s="121" t="s">
        <v>1613</v>
      </c>
      <c r="E47" s="118" t="s">
        <v>1656</v>
      </c>
      <c r="F47" s="122" t="s">
        <v>1684</v>
      </c>
      <c r="G47" s="121" t="s">
        <v>1695</v>
      </c>
    </row>
    <row r="48" spans="1:7" s="157" customFormat="1">
      <c r="A48" s="160">
        <v>47</v>
      </c>
      <c r="B48" s="119" t="s">
        <v>1756</v>
      </c>
      <c r="C48" s="121" t="s">
        <v>1757</v>
      </c>
      <c r="D48" s="121" t="s">
        <v>1613</v>
      </c>
      <c r="E48" s="118" t="s">
        <v>1656</v>
      </c>
      <c r="F48" s="122" t="s">
        <v>1684</v>
      </c>
      <c r="G48" s="121" t="s">
        <v>503</v>
      </c>
    </row>
    <row r="49" spans="1:7" s="157" customFormat="1">
      <c r="A49" s="160">
        <v>48</v>
      </c>
      <c r="B49" s="119" t="s">
        <v>1758</v>
      </c>
      <c r="C49" s="121" t="s">
        <v>1759</v>
      </c>
      <c r="D49" s="121" t="s">
        <v>1613</v>
      </c>
      <c r="E49" s="118" t="s">
        <v>1656</v>
      </c>
      <c r="F49" s="122" t="s">
        <v>1684</v>
      </c>
      <c r="G49" s="121" t="s">
        <v>503</v>
      </c>
    </row>
    <row r="50" spans="1:7" s="157" customFormat="1">
      <c r="A50" s="159">
        <v>49</v>
      </c>
      <c r="B50" s="119" t="s">
        <v>1760</v>
      </c>
      <c r="C50" s="121" t="s">
        <v>1761</v>
      </c>
      <c r="D50" s="121" t="s">
        <v>1613</v>
      </c>
      <c r="E50" s="118" t="s">
        <v>1656</v>
      </c>
      <c r="F50" s="122" t="s">
        <v>1762</v>
      </c>
      <c r="G50" s="121" t="s">
        <v>1695</v>
      </c>
    </row>
    <row r="51" spans="1:7" s="157" customFormat="1">
      <c r="A51" s="160">
        <v>50</v>
      </c>
      <c r="B51" s="119" t="s">
        <v>1763</v>
      </c>
      <c r="C51" s="121" t="s">
        <v>1764</v>
      </c>
      <c r="D51" s="121" t="s">
        <v>1613</v>
      </c>
      <c r="E51" s="118" t="s">
        <v>1656</v>
      </c>
      <c r="F51" s="122" t="s">
        <v>1684</v>
      </c>
      <c r="G51" s="121" t="s">
        <v>1695</v>
      </c>
    </row>
    <row r="52" spans="1:7" s="157" customFormat="1">
      <c r="A52" s="160">
        <v>51</v>
      </c>
      <c r="B52" s="119" t="s">
        <v>1765</v>
      </c>
      <c r="C52" s="121" t="s">
        <v>1766</v>
      </c>
      <c r="D52" s="121" t="s">
        <v>1613</v>
      </c>
      <c r="E52" s="118" t="s">
        <v>1656</v>
      </c>
      <c r="F52" s="122" t="s">
        <v>1684</v>
      </c>
      <c r="G52" s="121" t="s">
        <v>1695</v>
      </c>
    </row>
    <row r="53" spans="1:7" s="157" customFormat="1">
      <c r="A53" s="159">
        <v>52</v>
      </c>
      <c r="B53" s="119" t="s">
        <v>1767</v>
      </c>
      <c r="C53" s="121" t="s">
        <v>1768</v>
      </c>
      <c r="D53" s="121" t="s">
        <v>1613</v>
      </c>
      <c r="E53" s="118" t="s">
        <v>1656</v>
      </c>
      <c r="F53" s="122" t="s">
        <v>1666</v>
      </c>
      <c r="G53" s="121" t="s">
        <v>1695</v>
      </c>
    </row>
    <row r="54" spans="1:7" s="157" customFormat="1">
      <c r="A54" s="160">
        <v>53</v>
      </c>
      <c r="B54" s="158" t="s">
        <v>1769</v>
      </c>
      <c r="C54" s="156" t="s">
        <v>1770</v>
      </c>
      <c r="D54" s="156" t="s">
        <v>1613</v>
      </c>
      <c r="E54" s="118" t="s">
        <v>1656</v>
      </c>
      <c r="F54" s="123" t="s">
        <v>1684</v>
      </c>
      <c r="G54" s="156" t="s">
        <v>30</v>
      </c>
    </row>
    <row r="55" spans="1:7" s="157" customFormat="1">
      <c r="A55" s="160">
        <v>54</v>
      </c>
      <c r="B55" s="158" t="s">
        <v>1769</v>
      </c>
      <c r="C55" s="156" t="s">
        <v>1770</v>
      </c>
      <c r="D55" s="156" t="s">
        <v>1613</v>
      </c>
      <c r="E55" s="118" t="s">
        <v>1771</v>
      </c>
      <c r="F55" s="123" t="s">
        <v>1684</v>
      </c>
      <c r="G55" s="156" t="s">
        <v>30</v>
      </c>
    </row>
    <row r="56" spans="1:7" s="157" customFormat="1">
      <c r="A56" s="159">
        <v>55</v>
      </c>
      <c r="B56" s="156" t="s">
        <v>1772</v>
      </c>
      <c r="C56" s="156" t="s">
        <v>1610</v>
      </c>
      <c r="D56" s="156" t="s">
        <v>1611</v>
      </c>
      <c r="E56" s="118" t="s">
        <v>1656</v>
      </c>
      <c r="F56" s="123" t="s">
        <v>1684</v>
      </c>
      <c r="G56" s="156" t="s">
        <v>30</v>
      </c>
    </row>
    <row r="57" spans="1:7" s="157" customFormat="1">
      <c r="A57" s="160">
        <v>56</v>
      </c>
      <c r="B57" s="156" t="s">
        <v>1772</v>
      </c>
      <c r="C57" s="156" t="s">
        <v>1610</v>
      </c>
      <c r="D57" s="156" t="s">
        <v>1611</v>
      </c>
      <c r="E57" s="118" t="s">
        <v>1771</v>
      </c>
      <c r="F57" s="123" t="s">
        <v>1684</v>
      </c>
      <c r="G57" s="156" t="s">
        <v>30</v>
      </c>
    </row>
    <row r="58" spans="1:7" s="157" customFormat="1">
      <c r="A58" s="160">
        <v>57</v>
      </c>
      <c r="B58" s="156" t="s">
        <v>1773</v>
      </c>
      <c r="C58" s="156" t="s">
        <v>1612</v>
      </c>
      <c r="D58" s="156" t="s">
        <v>1611</v>
      </c>
      <c r="E58" s="118" t="s">
        <v>1656</v>
      </c>
      <c r="F58" s="123" t="s">
        <v>1684</v>
      </c>
      <c r="G58" s="156" t="s">
        <v>30</v>
      </c>
    </row>
    <row r="59" spans="1:7" s="157" customFormat="1">
      <c r="A59" s="159">
        <v>58</v>
      </c>
      <c r="B59" s="156" t="s">
        <v>1773</v>
      </c>
      <c r="C59" s="156" t="s">
        <v>1612</v>
      </c>
      <c r="D59" s="156" t="s">
        <v>1611</v>
      </c>
      <c r="E59" s="118" t="s">
        <v>1771</v>
      </c>
      <c r="F59" s="123" t="s">
        <v>1684</v>
      </c>
      <c r="G59" s="156" t="s">
        <v>30</v>
      </c>
    </row>
    <row r="60" spans="1:7" s="157" customFormat="1">
      <c r="A60" s="160">
        <v>59</v>
      </c>
      <c r="B60" s="158" t="s">
        <v>1774</v>
      </c>
      <c r="C60" s="156" t="s">
        <v>1614</v>
      </c>
      <c r="D60" s="156" t="s">
        <v>1613</v>
      </c>
      <c r="E60" s="118" t="s">
        <v>1656</v>
      </c>
      <c r="F60" s="123" t="s">
        <v>1684</v>
      </c>
      <c r="G60" s="156" t="s">
        <v>30</v>
      </c>
    </row>
    <row r="61" spans="1:7">
      <c r="A61" s="160">
        <v>60</v>
      </c>
      <c r="B61" s="158" t="s">
        <v>1774</v>
      </c>
      <c r="C61" s="156" t="s">
        <v>1614</v>
      </c>
      <c r="D61" s="156" t="s">
        <v>1613</v>
      </c>
      <c r="E61" s="118" t="s">
        <v>1771</v>
      </c>
      <c r="F61" s="123" t="s">
        <v>1684</v>
      </c>
      <c r="G61" s="156" t="s">
        <v>30</v>
      </c>
    </row>
    <row r="62" spans="1:7">
      <c r="A62" s="159">
        <v>61</v>
      </c>
      <c r="B62" s="158" t="s">
        <v>1775</v>
      </c>
      <c r="C62" s="156" t="s">
        <v>1776</v>
      </c>
      <c r="D62" s="156" t="s">
        <v>1613</v>
      </c>
      <c r="E62" s="118" t="s">
        <v>1656</v>
      </c>
      <c r="F62" s="123" t="s">
        <v>1666</v>
      </c>
      <c r="G62" s="156" t="s">
        <v>30</v>
      </c>
    </row>
    <row r="63" spans="1:7">
      <c r="A63" s="160">
        <v>62</v>
      </c>
      <c r="B63" s="158" t="s">
        <v>1775</v>
      </c>
      <c r="C63" s="156" t="s">
        <v>1776</v>
      </c>
      <c r="D63" s="156" t="s">
        <v>1613</v>
      </c>
      <c r="E63" s="118" t="s">
        <v>1771</v>
      </c>
      <c r="F63" s="123" t="s">
        <v>1666</v>
      </c>
      <c r="G63" s="156" t="s">
        <v>30</v>
      </c>
    </row>
    <row r="64" spans="1:7">
      <c r="A64" s="160">
        <v>63</v>
      </c>
      <c r="B64" s="119" t="s">
        <v>1777</v>
      </c>
      <c r="C64" s="121" t="s">
        <v>1778</v>
      </c>
      <c r="D64" s="121" t="s">
        <v>1613</v>
      </c>
      <c r="E64" s="118" t="s">
        <v>1656</v>
      </c>
      <c r="F64" s="122" t="s">
        <v>1666</v>
      </c>
      <c r="G64" s="121" t="s">
        <v>1695</v>
      </c>
    </row>
    <row r="65" spans="1:7">
      <c r="A65" s="159">
        <v>64</v>
      </c>
      <c r="B65" s="119" t="s">
        <v>1779</v>
      </c>
      <c r="C65" s="121" t="s">
        <v>1780</v>
      </c>
      <c r="D65" s="121" t="s">
        <v>1613</v>
      </c>
      <c r="E65" s="118" t="s">
        <v>1656</v>
      </c>
      <c r="F65" s="122" t="s">
        <v>1666</v>
      </c>
      <c r="G65" s="121" t="s">
        <v>1695</v>
      </c>
    </row>
    <row r="66" spans="1:7">
      <c r="A66" s="160">
        <v>65</v>
      </c>
      <c r="B66" s="119" t="s">
        <v>1781</v>
      </c>
      <c r="C66" s="121" t="s">
        <v>1782</v>
      </c>
      <c r="D66" s="121" t="s">
        <v>1783</v>
      </c>
      <c r="E66" s="118" t="s">
        <v>1656</v>
      </c>
      <c r="F66" s="122" t="s">
        <v>1684</v>
      </c>
      <c r="G66" s="156" t="s">
        <v>30</v>
      </c>
    </row>
    <row r="67" spans="1:7">
      <c r="A67" s="160">
        <v>66</v>
      </c>
      <c r="B67" s="119" t="s">
        <v>1781</v>
      </c>
      <c r="C67" s="121" t="s">
        <v>1782</v>
      </c>
      <c r="D67" s="121" t="s">
        <v>1783</v>
      </c>
      <c r="E67" s="118" t="s">
        <v>1771</v>
      </c>
      <c r="F67" s="122" t="s">
        <v>1684</v>
      </c>
      <c r="G67" s="121" t="s">
        <v>30</v>
      </c>
    </row>
    <row r="68" spans="1:7">
      <c r="A68" s="159">
        <v>67</v>
      </c>
      <c r="B68" s="119" t="s">
        <v>1784</v>
      </c>
      <c r="C68" s="121" t="s">
        <v>1785</v>
      </c>
      <c r="D68" s="121" t="s">
        <v>1783</v>
      </c>
      <c r="E68" s="118" t="s">
        <v>1656</v>
      </c>
      <c r="F68" s="122" t="s">
        <v>1684</v>
      </c>
      <c r="G68" s="121" t="s">
        <v>1661</v>
      </c>
    </row>
    <row r="69" spans="1:7">
      <c r="A69" s="160">
        <v>68</v>
      </c>
      <c r="B69" s="119" t="s">
        <v>1786</v>
      </c>
      <c r="C69" s="122" t="s">
        <v>1787</v>
      </c>
      <c r="D69" s="121" t="s">
        <v>1688</v>
      </c>
      <c r="E69" s="118" t="s">
        <v>1656</v>
      </c>
      <c r="F69" s="122" t="s">
        <v>1666</v>
      </c>
      <c r="G69" s="121" t="s">
        <v>1695</v>
      </c>
    </row>
    <row r="70" spans="1:7">
      <c r="A70" s="160">
        <v>69</v>
      </c>
      <c r="B70" s="119" t="s">
        <v>1788</v>
      </c>
      <c r="C70" s="121" t="s">
        <v>1789</v>
      </c>
      <c r="D70" s="121" t="s">
        <v>1688</v>
      </c>
      <c r="E70" s="118" t="s">
        <v>1656</v>
      </c>
      <c r="F70" s="122" t="s">
        <v>1685</v>
      </c>
      <c r="G70" s="121" t="s">
        <v>1695</v>
      </c>
    </row>
    <row r="71" spans="1:7">
      <c r="A71" s="159">
        <v>70</v>
      </c>
      <c r="B71" s="119" t="s">
        <v>1790</v>
      </c>
      <c r="C71" s="121" t="s">
        <v>1791</v>
      </c>
      <c r="D71" s="121" t="s">
        <v>1613</v>
      </c>
      <c r="E71" s="118" t="s">
        <v>1656</v>
      </c>
      <c r="F71" s="122" t="s">
        <v>1660</v>
      </c>
      <c r="G71" s="121" t="s">
        <v>1695</v>
      </c>
    </row>
    <row r="72" spans="1:7">
      <c r="A72" s="160">
        <v>71</v>
      </c>
      <c r="B72" s="119" t="s">
        <v>1792</v>
      </c>
      <c r="C72" s="121" t="s">
        <v>1793</v>
      </c>
      <c r="D72" s="122" t="s">
        <v>1716</v>
      </c>
      <c r="E72" s="118" t="s">
        <v>1656</v>
      </c>
      <c r="F72" s="122"/>
      <c r="G72" s="121" t="s">
        <v>1695</v>
      </c>
    </row>
    <row r="73" spans="1:7">
      <c r="A73" s="160">
        <v>72</v>
      </c>
      <c r="B73" s="119" t="s">
        <v>1794</v>
      </c>
      <c r="C73" s="121" t="s">
        <v>1795</v>
      </c>
      <c r="D73" s="122" t="s">
        <v>1716</v>
      </c>
      <c r="E73" s="118" t="s">
        <v>1656</v>
      </c>
      <c r="F73" s="122"/>
      <c r="G73" s="121" t="s">
        <v>1695</v>
      </c>
    </row>
    <row r="74" spans="1:7">
      <c r="A74" s="159">
        <v>73</v>
      </c>
      <c r="B74" s="119" t="s">
        <v>1796</v>
      </c>
      <c r="C74" s="121" t="s">
        <v>1797</v>
      </c>
      <c r="D74" s="122" t="s">
        <v>1716</v>
      </c>
      <c r="E74" s="118" t="s">
        <v>1656</v>
      </c>
      <c r="F74" s="122"/>
      <c r="G74" s="121" t="s">
        <v>1695</v>
      </c>
    </row>
    <row r="75" spans="1:7">
      <c r="A75" s="160">
        <v>74</v>
      </c>
      <c r="B75" s="119" t="s">
        <v>1798</v>
      </c>
      <c r="C75" s="121" t="s">
        <v>1799</v>
      </c>
      <c r="D75" s="121" t="s">
        <v>1800</v>
      </c>
      <c r="E75" s="118" t="s">
        <v>1656</v>
      </c>
      <c r="F75" s="122"/>
      <c r="G75" s="121" t="s">
        <v>1695</v>
      </c>
    </row>
    <row r="76" spans="1:7">
      <c r="A76" s="160">
        <v>75</v>
      </c>
      <c r="B76" s="119" t="s">
        <v>1801</v>
      </c>
      <c r="C76" s="121" t="s">
        <v>1802</v>
      </c>
      <c r="D76" s="121" t="s">
        <v>1800</v>
      </c>
      <c r="E76" s="118" t="s">
        <v>1771</v>
      </c>
      <c r="F76" s="122" t="s">
        <v>1685</v>
      </c>
      <c r="G76" s="121" t="s">
        <v>30</v>
      </c>
    </row>
  </sheetData>
  <autoFilter ref="A1:G1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59"/>
  <sheetViews>
    <sheetView topLeftCell="A37" workbookViewId="0">
      <selection activeCell="C3" sqref="C3:D49"/>
    </sheetView>
  </sheetViews>
  <sheetFormatPr defaultRowHeight="13.2"/>
  <cols>
    <col min="3" max="3" width="21.77734375" bestFit="1" customWidth="1"/>
    <col min="4" max="4" width="25.6640625" style="165" customWidth="1"/>
    <col min="6" max="6" width="16.88671875" customWidth="1"/>
  </cols>
  <sheetData>
    <row r="3" spans="1:14">
      <c r="A3" t="s">
        <v>502</v>
      </c>
      <c r="B3" t="s">
        <v>1967</v>
      </c>
      <c r="C3" t="s">
        <v>1968</v>
      </c>
      <c r="D3" s="163" t="s">
        <v>2086</v>
      </c>
    </row>
    <row r="4" spans="1:14">
      <c r="A4" t="s">
        <v>502</v>
      </c>
      <c r="B4" t="s">
        <v>1967</v>
      </c>
      <c r="C4" t="s">
        <v>1970</v>
      </c>
      <c r="D4" s="164" t="s">
        <v>2080</v>
      </c>
    </row>
    <row r="5" spans="1:14">
      <c r="A5" t="s">
        <v>502</v>
      </c>
      <c r="B5" t="s">
        <v>1967</v>
      </c>
      <c r="C5" t="s">
        <v>1974</v>
      </c>
      <c r="D5" s="164" t="s">
        <v>2081</v>
      </c>
    </row>
    <row r="6" spans="1:14" s="111" customFormat="1">
      <c r="D6" s="165"/>
    </row>
    <row r="7" spans="1:14">
      <c r="A7" t="s">
        <v>502</v>
      </c>
      <c r="B7" t="s">
        <v>1976</v>
      </c>
      <c r="C7" t="s">
        <v>1977</v>
      </c>
      <c r="D7" t="s">
        <v>2136</v>
      </c>
    </row>
    <row r="8" spans="1:14">
      <c r="A8" t="s">
        <v>502</v>
      </c>
      <c r="B8" t="s">
        <v>1976</v>
      </c>
      <c r="C8" t="s">
        <v>1982</v>
      </c>
      <c r="D8" t="s">
        <v>2121</v>
      </c>
      <c r="M8" t="s">
        <v>2103</v>
      </c>
      <c r="N8" t="s">
        <v>2125</v>
      </c>
    </row>
    <row r="9" spans="1:14">
      <c r="A9" t="s">
        <v>502</v>
      </c>
      <c r="B9" t="s">
        <v>1976</v>
      </c>
      <c r="C9" t="s">
        <v>1983</v>
      </c>
      <c r="D9" t="s">
        <v>2120</v>
      </c>
      <c r="M9" t="s">
        <v>2104</v>
      </c>
      <c r="N9" t="s">
        <v>2091</v>
      </c>
    </row>
    <row r="10" spans="1:14">
      <c r="A10" t="s">
        <v>502</v>
      </c>
      <c r="B10" t="s">
        <v>1976</v>
      </c>
      <c r="C10" t="s">
        <v>1985</v>
      </c>
      <c r="D10" t="s">
        <v>2132</v>
      </c>
      <c r="M10" t="s">
        <v>2105</v>
      </c>
      <c r="N10" t="s">
        <v>2127</v>
      </c>
    </row>
    <row r="11" spans="1:14">
      <c r="A11" t="s">
        <v>502</v>
      </c>
      <c r="B11" t="s">
        <v>1976</v>
      </c>
      <c r="C11" t="s">
        <v>1986</v>
      </c>
      <c r="D11" s="162" t="s">
        <v>2146</v>
      </c>
      <c r="M11" t="s">
        <v>2106</v>
      </c>
      <c r="N11" t="s">
        <v>2128</v>
      </c>
    </row>
    <row r="12" spans="1:14">
      <c r="A12" t="s">
        <v>502</v>
      </c>
      <c r="B12" t="s">
        <v>1976</v>
      </c>
      <c r="C12" t="s">
        <v>1987</v>
      </c>
      <c r="D12" s="162" t="s">
        <v>2147</v>
      </c>
      <c r="M12" t="s">
        <v>2107</v>
      </c>
      <c r="N12" t="s">
        <v>2131</v>
      </c>
    </row>
    <row r="13" spans="1:14">
      <c r="A13" t="s">
        <v>502</v>
      </c>
      <c r="B13" t="s">
        <v>1976</v>
      </c>
      <c r="C13" t="s">
        <v>1990</v>
      </c>
      <c r="D13" t="s">
        <v>2130</v>
      </c>
      <c r="M13" t="s">
        <v>2108</v>
      </c>
      <c r="N13" t="s">
        <v>2133</v>
      </c>
    </row>
    <row r="14" spans="1:14">
      <c r="A14" t="s">
        <v>502</v>
      </c>
      <c r="B14" t="s">
        <v>1976</v>
      </c>
      <c r="C14" t="s">
        <v>1991</v>
      </c>
      <c r="D14" t="s">
        <v>2078</v>
      </c>
      <c r="M14" t="s">
        <v>2109</v>
      </c>
      <c r="N14" t="s">
        <v>2134</v>
      </c>
    </row>
    <row r="15" spans="1:14">
      <c r="A15" t="s">
        <v>502</v>
      </c>
      <c r="B15" t="s">
        <v>1976</v>
      </c>
      <c r="C15" t="s">
        <v>1992</v>
      </c>
      <c r="D15" s="165" t="s">
        <v>2148</v>
      </c>
      <c r="M15" t="s">
        <v>2110</v>
      </c>
      <c r="N15" t="s">
        <v>2135</v>
      </c>
    </row>
    <row r="16" spans="1:14">
      <c r="A16" t="s">
        <v>502</v>
      </c>
      <c r="B16" t="s">
        <v>1976</v>
      </c>
      <c r="C16" t="s">
        <v>1993</v>
      </c>
      <c r="D16" s="165" t="s">
        <v>2149</v>
      </c>
    </row>
    <row r="17" spans="1:16">
      <c r="A17" t="s">
        <v>502</v>
      </c>
      <c r="B17" t="s">
        <v>1976</v>
      </c>
      <c r="C17" t="s">
        <v>1994</v>
      </c>
      <c r="D17" s="165" t="s">
        <v>2150</v>
      </c>
      <c r="M17" t="s">
        <v>2111</v>
      </c>
      <c r="N17" t="s">
        <v>2145</v>
      </c>
    </row>
    <row r="18" spans="1:16">
      <c r="A18" t="s">
        <v>502</v>
      </c>
      <c r="B18" t="s">
        <v>1976</v>
      </c>
      <c r="C18" t="s">
        <v>1995</v>
      </c>
      <c r="D18" s="165" t="s">
        <v>2151</v>
      </c>
      <c r="M18" s="111" t="s">
        <v>2112</v>
      </c>
      <c r="N18" s="111" t="s">
        <v>2137</v>
      </c>
      <c r="O18" s="111"/>
    </row>
    <row r="19" spans="1:16">
      <c r="A19" t="s">
        <v>502</v>
      </c>
      <c r="B19" t="s">
        <v>1976</v>
      </c>
      <c r="C19" t="s">
        <v>1996</v>
      </c>
      <c r="D19" s="165" t="s">
        <v>2152</v>
      </c>
      <c r="M19" t="s">
        <v>2113</v>
      </c>
      <c r="N19" t="s">
        <v>2138</v>
      </c>
    </row>
    <row r="20" spans="1:16">
      <c r="A20" t="s">
        <v>502</v>
      </c>
      <c r="B20" t="s">
        <v>1976</v>
      </c>
      <c r="C20" t="s">
        <v>1997</v>
      </c>
      <c r="D20" t="s">
        <v>2129</v>
      </c>
      <c r="M20" t="s">
        <v>2114</v>
      </c>
      <c r="N20" t="s">
        <v>2139</v>
      </c>
    </row>
    <row r="21" spans="1:16">
      <c r="A21" t="s">
        <v>502</v>
      </c>
      <c r="B21" t="s">
        <v>1976</v>
      </c>
      <c r="C21" t="s">
        <v>1998</v>
      </c>
      <c r="D21" t="s">
        <v>2126</v>
      </c>
      <c r="M21" t="s">
        <v>2115</v>
      </c>
      <c r="N21" t="s">
        <v>2140</v>
      </c>
    </row>
    <row r="22" spans="1:16">
      <c r="A22" t="s">
        <v>502</v>
      </c>
      <c r="B22" t="s">
        <v>1976</v>
      </c>
      <c r="C22" t="s">
        <v>1999</v>
      </c>
      <c r="D22" s="165" t="s">
        <v>2167</v>
      </c>
    </row>
    <row r="23" spans="1:16">
      <c r="A23" t="s">
        <v>502</v>
      </c>
      <c r="B23" t="s">
        <v>1976</v>
      </c>
      <c r="C23" t="s">
        <v>2001</v>
      </c>
      <c r="D23" s="165" t="s">
        <v>2168</v>
      </c>
      <c r="M23" t="s">
        <v>2116</v>
      </c>
      <c r="N23" t="s">
        <v>2141</v>
      </c>
    </row>
    <row r="24" spans="1:16">
      <c r="A24" t="s">
        <v>502</v>
      </c>
      <c r="B24" t="s">
        <v>1976</v>
      </c>
      <c r="C24" t="s">
        <v>2002</v>
      </c>
      <c r="D24" s="165" t="s">
        <v>2169</v>
      </c>
      <c r="M24" t="s">
        <v>2101</v>
      </c>
      <c r="N24" t="s">
        <v>2081</v>
      </c>
    </row>
    <row r="25" spans="1:16">
      <c r="A25" t="s">
        <v>502</v>
      </c>
      <c r="B25" t="s">
        <v>1976</v>
      </c>
      <c r="C25" t="s">
        <v>2003</v>
      </c>
      <c r="D25" s="165" t="s">
        <v>2170</v>
      </c>
      <c r="M25" t="s">
        <v>2102</v>
      </c>
      <c r="N25" t="s">
        <v>2080</v>
      </c>
    </row>
    <row r="26" spans="1:16">
      <c r="A26" t="s">
        <v>502</v>
      </c>
      <c r="B26" t="s">
        <v>1976</v>
      </c>
      <c r="C26" t="s">
        <v>2004</v>
      </c>
      <c r="D26" t="s">
        <v>2124</v>
      </c>
    </row>
    <row r="27" spans="1:16">
      <c r="A27" t="s">
        <v>502</v>
      </c>
      <c r="B27" t="s">
        <v>1976</v>
      </c>
      <c r="C27" t="s">
        <v>2005</v>
      </c>
      <c r="D27" t="s">
        <v>2123</v>
      </c>
      <c r="M27" t="s">
        <v>502</v>
      </c>
      <c r="N27" t="s">
        <v>1976</v>
      </c>
      <c r="O27" t="s">
        <v>2000</v>
      </c>
      <c r="P27" s="165"/>
    </row>
    <row r="28" spans="1:16">
      <c r="A28" t="s">
        <v>502</v>
      </c>
      <c r="B28" t="s">
        <v>1976</v>
      </c>
      <c r="C28" t="s">
        <v>2006</v>
      </c>
      <c r="D28" t="s">
        <v>2122</v>
      </c>
    </row>
    <row r="29" spans="1:16">
      <c r="A29" t="s">
        <v>502</v>
      </c>
      <c r="B29" t="s">
        <v>1976</v>
      </c>
      <c r="C29" t="s">
        <v>2007</v>
      </c>
      <c r="D29" s="165" t="s">
        <v>2172</v>
      </c>
      <c r="H29" s="111"/>
    </row>
    <row r="30" spans="1:16">
      <c r="A30" t="s">
        <v>502</v>
      </c>
      <c r="B30" t="s">
        <v>1976</v>
      </c>
      <c r="C30" t="s">
        <v>2008</v>
      </c>
      <c r="D30" s="162" t="s">
        <v>2173</v>
      </c>
    </row>
    <row r="31" spans="1:16">
      <c r="A31" t="s">
        <v>502</v>
      </c>
      <c r="B31" t="s">
        <v>1976</v>
      </c>
      <c r="C31" t="s">
        <v>2009</v>
      </c>
      <c r="D31" s="162" t="s">
        <v>2174</v>
      </c>
    </row>
    <row r="32" spans="1:16">
      <c r="A32" t="s">
        <v>502</v>
      </c>
      <c r="B32" t="s">
        <v>1967</v>
      </c>
      <c r="C32" t="s">
        <v>1973</v>
      </c>
      <c r="D32" s="165" t="s">
        <v>2175</v>
      </c>
    </row>
    <row r="33" spans="1:5">
      <c r="A33" s="162" t="s">
        <v>502</v>
      </c>
      <c r="B33" s="162" t="s">
        <v>1976</v>
      </c>
      <c r="C33" t="s">
        <v>2154</v>
      </c>
      <c r="D33" t="s">
        <v>2117</v>
      </c>
    </row>
    <row r="34" spans="1:5" s="162" customFormat="1">
      <c r="A34" s="162" t="s">
        <v>502</v>
      </c>
      <c r="B34" s="162" t="s">
        <v>1976</v>
      </c>
      <c r="C34" t="s">
        <v>2156</v>
      </c>
      <c r="D34" t="s">
        <v>2118</v>
      </c>
    </row>
    <row r="35" spans="1:5" s="162" customFormat="1">
      <c r="A35" s="162" t="s">
        <v>502</v>
      </c>
      <c r="B35" s="162" t="s">
        <v>1976</v>
      </c>
      <c r="C35" t="s">
        <v>2158</v>
      </c>
      <c r="D35" t="s">
        <v>2119</v>
      </c>
    </row>
    <row r="36" spans="1:5" s="111" customFormat="1">
      <c r="A36" s="162" t="s">
        <v>502</v>
      </c>
      <c r="B36" s="162" t="s">
        <v>1976</v>
      </c>
      <c r="C36" t="s">
        <v>2160</v>
      </c>
      <c r="D36" t="s">
        <v>2142</v>
      </c>
      <c r="E36"/>
    </row>
    <row r="37" spans="1:5" s="162" customFormat="1">
      <c r="A37" s="162" t="s">
        <v>502</v>
      </c>
      <c r="B37" s="162" t="s">
        <v>1976</v>
      </c>
      <c r="C37" t="s">
        <v>2162</v>
      </c>
      <c r="D37" t="s">
        <v>2094</v>
      </c>
    </row>
    <row r="38" spans="1:5" s="162" customFormat="1">
      <c r="A38" s="162" t="s">
        <v>502</v>
      </c>
      <c r="B38" s="162" t="s">
        <v>1976</v>
      </c>
      <c r="C38" s="111" t="s">
        <v>2164</v>
      </c>
      <c r="D38" s="111" t="s">
        <v>2143</v>
      </c>
    </row>
    <row r="39" spans="1:5" s="162" customFormat="1">
      <c r="A39" s="162" t="s">
        <v>502</v>
      </c>
      <c r="B39" s="162" t="s">
        <v>1976</v>
      </c>
      <c r="C39" t="s">
        <v>2166</v>
      </c>
      <c r="D39" t="s">
        <v>2144</v>
      </c>
    </row>
    <row r="40" spans="1:5" s="162" customFormat="1">
      <c r="D40" s="165"/>
    </row>
    <row r="41" spans="1:5" s="162" customFormat="1">
      <c r="A41" t="s">
        <v>502</v>
      </c>
      <c r="B41" t="s">
        <v>1976</v>
      </c>
      <c r="C41" t="s">
        <v>1978</v>
      </c>
      <c r="D41" s="165"/>
    </row>
    <row r="42" spans="1:5">
      <c r="A42" t="s">
        <v>502</v>
      </c>
      <c r="B42" t="s">
        <v>1976</v>
      </c>
      <c r="C42" t="s">
        <v>1979</v>
      </c>
    </row>
    <row r="43" spans="1:5">
      <c r="A43" t="s">
        <v>502</v>
      </c>
      <c r="B43" t="s">
        <v>1976</v>
      </c>
      <c r="C43" t="s">
        <v>1980</v>
      </c>
    </row>
    <row r="44" spans="1:5">
      <c r="A44" t="s">
        <v>502</v>
      </c>
      <c r="B44" t="s">
        <v>1976</v>
      </c>
      <c r="C44" t="s">
        <v>1981</v>
      </c>
    </row>
    <row r="45" spans="1:5">
      <c r="A45" t="s">
        <v>502</v>
      </c>
      <c r="B45" t="s">
        <v>1976</v>
      </c>
      <c r="C45" t="s">
        <v>1984</v>
      </c>
    </row>
    <row r="46" spans="1:5">
      <c r="A46" t="s">
        <v>502</v>
      </c>
      <c r="B46" t="s">
        <v>1976</v>
      </c>
      <c r="C46" t="s">
        <v>1988</v>
      </c>
    </row>
    <row r="47" spans="1:5">
      <c r="A47" t="s">
        <v>502</v>
      </c>
      <c r="B47" t="s">
        <v>1976</v>
      </c>
      <c r="C47" t="s">
        <v>1989</v>
      </c>
    </row>
    <row r="48" spans="1:5">
      <c r="A48" t="s">
        <v>502</v>
      </c>
      <c r="B48" t="s">
        <v>1976</v>
      </c>
      <c r="C48" t="s">
        <v>2010</v>
      </c>
    </row>
    <row r="49" spans="1:4">
      <c r="A49" t="s">
        <v>502</v>
      </c>
      <c r="B49" t="s">
        <v>1976</v>
      </c>
      <c r="C49" t="s">
        <v>2011</v>
      </c>
    </row>
    <row r="50" spans="1:4">
      <c r="A50" s="111"/>
      <c r="B50" s="111"/>
      <c r="C50" s="111"/>
    </row>
    <row r="51" spans="1:4" s="111" customFormat="1">
      <c r="A51" t="s">
        <v>502</v>
      </c>
      <c r="B51" t="s">
        <v>1967</v>
      </c>
      <c r="C51" t="s">
        <v>1969</v>
      </c>
      <c r="D51" s="165"/>
    </row>
    <row r="52" spans="1:4">
      <c r="A52" t="s">
        <v>502</v>
      </c>
      <c r="B52" t="s">
        <v>1967</v>
      </c>
      <c r="C52" t="s">
        <v>1972</v>
      </c>
    </row>
    <row r="53" spans="1:4">
      <c r="A53" t="s">
        <v>502</v>
      </c>
      <c r="B53" t="s">
        <v>2012</v>
      </c>
      <c r="C53" t="s">
        <v>2013</v>
      </c>
    </row>
    <row r="54" spans="1:4">
      <c r="A54" t="s">
        <v>502</v>
      </c>
      <c r="B54" t="s">
        <v>2012</v>
      </c>
      <c r="C54" t="s">
        <v>508</v>
      </c>
    </row>
    <row r="55" spans="1:4">
      <c r="A55" t="s">
        <v>502</v>
      </c>
      <c r="B55" t="s">
        <v>2012</v>
      </c>
      <c r="C55" t="s">
        <v>512</v>
      </c>
    </row>
    <row r="56" spans="1:4">
      <c r="A56" t="s">
        <v>502</v>
      </c>
      <c r="B56" t="s">
        <v>2012</v>
      </c>
      <c r="C56" t="s">
        <v>2014</v>
      </c>
    </row>
    <row r="58" spans="1:4">
      <c r="A58" t="s">
        <v>502</v>
      </c>
      <c r="B58" t="s">
        <v>1967</v>
      </c>
      <c r="C58" t="s">
        <v>1971</v>
      </c>
    </row>
    <row r="59" spans="1:4">
      <c r="A59" t="s">
        <v>502</v>
      </c>
      <c r="B59" t="s">
        <v>1967</v>
      </c>
      <c r="C59" t="s">
        <v>1975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0"/>
  <sheetViews>
    <sheetView workbookViewId="0">
      <selection activeCell="A3" sqref="A3:B20"/>
    </sheetView>
  </sheetViews>
  <sheetFormatPr defaultRowHeight="13.2"/>
  <cols>
    <col min="1" max="1" width="23.6640625" style="142" customWidth="1"/>
    <col min="2" max="2" width="28.77734375" customWidth="1"/>
  </cols>
  <sheetData>
    <row r="3" spans="1:2">
      <c r="A3" s="143" t="s">
        <v>2063</v>
      </c>
      <c r="B3" s="127" t="s">
        <v>90</v>
      </c>
    </row>
    <row r="4" spans="1:2">
      <c r="A4" s="144" t="s">
        <v>2063</v>
      </c>
      <c r="B4" s="127" t="s">
        <v>98</v>
      </c>
    </row>
    <row r="5" spans="1:2">
      <c r="A5" s="144" t="s">
        <v>2063</v>
      </c>
      <c r="B5" s="127" t="s">
        <v>2020</v>
      </c>
    </row>
    <row r="6" spans="1:2">
      <c r="A6" s="144" t="s">
        <v>2063</v>
      </c>
      <c r="B6" s="127" t="s">
        <v>1934</v>
      </c>
    </row>
    <row r="7" spans="1:2">
      <c r="A7" s="144" t="s">
        <v>2063</v>
      </c>
      <c r="B7" s="128" t="s">
        <v>2021</v>
      </c>
    </row>
    <row r="8" spans="1:2">
      <c r="A8" s="144" t="s">
        <v>2063</v>
      </c>
      <c r="B8" s="127" t="s">
        <v>105</v>
      </c>
    </row>
    <row r="9" spans="1:2">
      <c r="A9" s="144" t="s">
        <v>2063</v>
      </c>
      <c r="B9" s="127" t="s">
        <v>2022</v>
      </c>
    </row>
    <row r="10" spans="1:2">
      <c r="A10" s="144" t="s">
        <v>2063</v>
      </c>
      <c r="B10" s="127" t="s">
        <v>1924</v>
      </c>
    </row>
    <row r="11" spans="1:2">
      <c r="A11" s="144" t="s">
        <v>2063</v>
      </c>
      <c r="B11" s="127" t="s">
        <v>101</v>
      </c>
    </row>
    <row r="12" spans="1:2">
      <c r="A12" s="144" t="s">
        <v>2063</v>
      </c>
      <c r="B12" s="127" t="s">
        <v>103</v>
      </c>
    </row>
    <row r="13" spans="1:2">
      <c r="A13" s="144" t="s">
        <v>2063</v>
      </c>
      <c r="B13" s="127" t="s">
        <v>107</v>
      </c>
    </row>
    <row r="14" spans="1:2">
      <c r="A14" s="144" t="s">
        <v>2063</v>
      </c>
      <c r="B14" s="127" t="s">
        <v>2023</v>
      </c>
    </row>
    <row r="15" spans="1:2">
      <c r="A15" s="144" t="s">
        <v>2063</v>
      </c>
      <c r="B15" s="127" t="s">
        <v>2024</v>
      </c>
    </row>
    <row r="16" spans="1:2">
      <c r="A16" s="144" t="s">
        <v>2063</v>
      </c>
      <c r="B16" s="127" t="s">
        <v>2025</v>
      </c>
    </row>
    <row r="17" spans="1:2">
      <c r="A17" s="144" t="s">
        <v>2063</v>
      </c>
      <c r="B17" s="129" t="s">
        <v>2026</v>
      </c>
    </row>
    <row r="18" spans="1:2">
      <c r="A18" s="144" t="s">
        <v>2063</v>
      </c>
      <c r="B18" s="127" t="s">
        <v>2027</v>
      </c>
    </row>
    <row r="19" spans="1:2">
      <c r="A19" s="144" t="s">
        <v>2063</v>
      </c>
      <c r="B19" s="127" t="s">
        <v>2028</v>
      </c>
    </row>
    <row r="20" spans="1:2">
      <c r="A20" s="144" t="s">
        <v>2063</v>
      </c>
      <c r="B20" s="130" t="s">
        <v>2029</v>
      </c>
    </row>
    <row r="21" spans="1:2">
      <c r="A21" s="143" t="s">
        <v>2064</v>
      </c>
      <c r="B21" s="131" t="s">
        <v>2030</v>
      </c>
    </row>
    <row r="22" spans="1:2">
      <c r="A22" s="144" t="s">
        <v>2064</v>
      </c>
      <c r="B22" s="132" t="s">
        <v>96</v>
      </c>
    </row>
    <row r="23" spans="1:2">
      <c r="A23" s="143" t="s">
        <v>2064</v>
      </c>
      <c r="B23" s="133" t="s">
        <v>2031</v>
      </c>
    </row>
    <row r="24" spans="1:2">
      <c r="A24" s="144" t="s">
        <v>2064</v>
      </c>
      <c r="B24" s="134" t="s">
        <v>2032</v>
      </c>
    </row>
    <row r="25" spans="1:2" ht="24">
      <c r="A25" s="144" t="s">
        <v>2064</v>
      </c>
      <c r="B25" s="135" t="s">
        <v>2033</v>
      </c>
    </row>
    <row r="26" spans="1:2" ht="36">
      <c r="A26" s="144" t="s">
        <v>2064</v>
      </c>
      <c r="B26" s="135" t="s">
        <v>2034</v>
      </c>
    </row>
    <row r="27" spans="1:2" ht="36">
      <c r="A27" s="144" t="s">
        <v>2064</v>
      </c>
      <c r="B27" s="135" t="s">
        <v>2035</v>
      </c>
    </row>
    <row r="28" spans="1:2">
      <c r="A28" s="144" t="s">
        <v>2064</v>
      </c>
      <c r="B28" s="136" t="s">
        <v>2036</v>
      </c>
    </row>
    <row r="29" spans="1:2">
      <c r="A29" s="144" t="s">
        <v>2064</v>
      </c>
      <c r="B29" s="131" t="s">
        <v>2037</v>
      </c>
    </row>
    <row r="30" spans="1:2">
      <c r="A30" s="144" t="s">
        <v>2064</v>
      </c>
      <c r="B30" s="134" t="s">
        <v>2038</v>
      </c>
    </row>
    <row r="31" spans="1:2">
      <c r="A31" s="144" t="s">
        <v>2064</v>
      </c>
      <c r="B31" s="134" t="s">
        <v>2039</v>
      </c>
    </row>
    <row r="32" spans="1:2">
      <c r="A32" s="144" t="s">
        <v>2064</v>
      </c>
      <c r="B32" s="134" t="s">
        <v>2040</v>
      </c>
    </row>
    <row r="33" spans="1:2">
      <c r="A33" s="144" t="s">
        <v>2064</v>
      </c>
      <c r="B33" s="134" t="s">
        <v>2041</v>
      </c>
    </row>
    <row r="34" spans="1:2">
      <c r="A34" s="145" t="s">
        <v>2064</v>
      </c>
      <c r="B34" s="132" t="s">
        <v>2042</v>
      </c>
    </row>
    <row r="35" spans="1:2">
      <c r="A35" s="143" t="s">
        <v>2064</v>
      </c>
      <c r="B35" s="131" t="s">
        <v>2043</v>
      </c>
    </row>
    <row r="36" spans="1:2">
      <c r="A36" s="144" t="s">
        <v>2064</v>
      </c>
      <c r="B36" s="134" t="s">
        <v>2044</v>
      </c>
    </row>
    <row r="37" spans="1:2">
      <c r="A37" s="144" t="s">
        <v>2064</v>
      </c>
      <c r="B37" s="134" t="s">
        <v>2045</v>
      </c>
    </row>
    <row r="38" spans="1:2">
      <c r="A38" s="144" t="s">
        <v>2064</v>
      </c>
      <c r="B38" s="134" t="s">
        <v>2046</v>
      </c>
    </row>
    <row r="39" spans="1:2">
      <c r="A39" s="144" t="s">
        <v>2064</v>
      </c>
      <c r="B39" s="134" t="s">
        <v>2047</v>
      </c>
    </row>
    <row r="40" spans="1:2">
      <c r="A40" s="144" t="s">
        <v>2064</v>
      </c>
      <c r="B40" s="134" t="s">
        <v>2048</v>
      </c>
    </row>
    <row r="41" spans="1:2">
      <c r="A41" s="144" t="s">
        <v>2064</v>
      </c>
      <c r="B41" s="134" t="s">
        <v>2049</v>
      </c>
    </row>
    <row r="42" spans="1:2">
      <c r="A42" s="144" t="s">
        <v>2064</v>
      </c>
      <c r="B42" s="134" t="s">
        <v>2050</v>
      </c>
    </row>
    <row r="43" spans="1:2">
      <c r="A43" s="144" t="s">
        <v>2064</v>
      </c>
      <c r="B43" s="134" t="s">
        <v>2051</v>
      </c>
    </row>
    <row r="44" spans="1:2">
      <c r="A44" s="144" t="s">
        <v>2064</v>
      </c>
      <c r="B44" s="134" t="s">
        <v>2052</v>
      </c>
    </row>
    <row r="45" spans="1:2" ht="36">
      <c r="A45" s="144" t="s">
        <v>2064</v>
      </c>
      <c r="B45" s="135" t="s">
        <v>2053</v>
      </c>
    </row>
    <row r="46" spans="1:2" ht="36">
      <c r="A46" s="144" t="s">
        <v>2064</v>
      </c>
      <c r="B46" s="135" t="s">
        <v>2054</v>
      </c>
    </row>
    <row r="47" spans="1:2" ht="36">
      <c r="A47" s="144" t="s">
        <v>2064</v>
      </c>
      <c r="B47" s="135" t="s">
        <v>2055</v>
      </c>
    </row>
    <row r="48" spans="1:2" ht="36">
      <c r="A48" s="144" t="s">
        <v>2064</v>
      </c>
      <c r="B48" s="135" t="s">
        <v>2056</v>
      </c>
    </row>
    <row r="49" spans="1:2">
      <c r="A49" s="145" t="s">
        <v>2064</v>
      </c>
      <c r="B49" s="132" t="s">
        <v>2057</v>
      </c>
    </row>
    <row r="50" spans="1:2">
      <c r="A50" s="146" t="s">
        <v>2065</v>
      </c>
      <c r="B50" s="137" t="s">
        <v>2058</v>
      </c>
    </row>
    <row r="51" spans="1:2" ht="24">
      <c r="A51" s="147" t="s">
        <v>2066</v>
      </c>
      <c r="B51" s="131" t="s">
        <v>2059</v>
      </c>
    </row>
    <row r="52" spans="1:2">
      <c r="A52" s="144" t="s">
        <v>2066</v>
      </c>
      <c r="B52" s="134" t="s">
        <v>2060</v>
      </c>
    </row>
    <row r="53" spans="1:2">
      <c r="A53" s="144" t="s">
        <v>2066</v>
      </c>
      <c r="B53" s="132" t="s">
        <v>2061</v>
      </c>
    </row>
    <row r="54" spans="1:2" ht="24">
      <c r="A54" s="147" t="s">
        <v>2066</v>
      </c>
      <c r="B54" s="138" t="s">
        <v>2062</v>
      </c>
    </row>
    <row r="55" spans="1:2">
      <c r="A55" s="143" t="s">
        <v>2069</v>
      </c>
      <c r="B55" s="141" t="s">
        <v>98</v>
      </c>
    </row>
    <row r="56" spans="1:2">
      <c r="A56" s="144" t="s">
        <v>2069</v>
      </c>
      <c r="B56" s="140" t="s">
        <v>99</v>
      </c>
    </row>
    <row r="57" spans="1:2">
      <c r="A57" s="144" t="s">
        <v>2069</v>
      </c>
      <c r="B57" s="127" t="s">
        <v>100</v>
      </c>
    </row>
    <row r="58" spans="1:2">
      <c r="A58" s="144" t="s">
        <v>2069</v>
      </c>
      <c r="B58" s="127" t="s">
        <v>101</v>
      </c>
    </row>
    <row r="59" spans="1:2">
      <c r="A59" s="144" t="s">
        <v>2069</v>
      </c>
      <c r="B59" s="127" t="s">
        <v>102</v>
      </c>
    </row>
    <row r="60" spans="1:2">
      <c r="A60" s="144" t="s">
        <v>2069</v>
      </c>
      <c r="B60" s="127" t="s">
        <v>103</v>
      </c>
    </row>
    <row r="61" spans="1:2">
      <c r="A61" s="144" t="s">
        <v>2069</v>
      </c>
      <c r="B61" s="127" t="s">
        <v>104</v>
      </c>
    </row>
    <row r="62" spans="1:2">
      <c r="A62" s="144" t="s">
        <v>2069</v>
      </c>
      <c r="B62" s="127" t="s">
        <v>105</v>
      </c>
    </row>
    <row r="63" spans="1:2">
      <c r="A63" s="144" t="s">
        <v>2069</v>
      </c>
      <c r="B63" s="127" t="s">
        <v>106</v>
      </c>
    </row>
    <row r="64" spans="1:2">
      <c r="A64" s="144" t="s">
        <v>2069</v>
      </c>
      <c r="B64" s="140" t="s">
        <v>90</v>
      </c>
    </row>
    <row r="65" spans="1:2">
      <c r="A65" s="144" t="s">
        <v>2069</v>
      </c>
      <c r="B65" s="127" t="s">
        <v>107</v>
      </c>
    </row>
    <row r="66" spans="1:2">
      <c r="A66" s="144" t="s">
        <v>2069</v>
      </c>
      <c r="B66" s="127" t="s">
        <v>108</v>
      </c>
    </row>
    <row r="67" spans="1:2">
      <c r="A67" s="144" t="s">
        <v>2069</v>
      </c>
      <c r="B67" s="127" t="s">
        <v>109</v>
      </c>
    </row>
    <row r="68" spans="1:2" ht="24">
      <c r="A68" s="144" t="s">
        <v>2069</v>
      </c>
      <c r="B68" s="127" t="s">
        <v>110</v>
      </c>
    </row>
    <row r="69" spans="1:2">
      <c r="A69" s="144" t="s">
        <v>2069</v>
      </c>
      <c r="B69" s="127" t="s">
        <v>111</v>
      </c>
    </row>
    <row r="70" spans="1:2">
      <c r="A70" s="144" t="s">
        <v>2069</v>
      </c>
      <c r="B70" s="127" t="s">
        <v>112</v>
      </c>
    </row>
    <row r="71" spans="1:2">
      <c r="A71" s="144" t="s">
        <v>2069</v>
      </c>
      <c r="B71" s="127" t="s">
        <v>113</v>
      </c>
    </row>
    <row r="72" spans="1:2">
      <c r="A72" s="144" t="s">
        <v>2069</v>
      </c>
      <c r="B72" s="140" t="s">
        <v>114</v>
      </c>
    </row>
    <row r="73" spans="1:2">
      <c r="A73" s="144" t="s">
        <v>2069</v>
      </c>
      <c r="B73" s="127" t="s">
        <v>115</v>
      </c>
    </row>
    <row r="74" spans="1:2">
      <c r="A74" s="144" t="s">
        <v>2069</v>
      </c>
      <c r="B74" s="127" t="s">
        <v>116</v>
      </c>
    </row>
    <row r="75" spans="1:2">
      <c r="A75" s="144" t="s">
        <v>2069</v>
      </c>
      <c r="B75" s="127" t="s">
        <v>117</v>
      </c>
    </row>
    <row r="76" spans="1:2">
      <c r="A76" s="144" t="s">
        <v>2069</v>
      </c>
      <c r="B76" s="127" t="s">
        <v>118</v>
      </c>
    </row>
    <row r="77" spans="1:2">
      <c r="A77" s="144" t="s">
        <v>2069</v>
      </c>
      <c r="B77" s="127" t="s">
        <v>119</v>
      </c>
    </row>
    <row r="78" spans="1:2">
      <c r="A78" s="144" t="s">
        <v>2069</v>
      </c>
      <c r="B78" s="127" t="s">
        <v>120</v>
      </c>
    </row>
    <row r="79" spans="1:2">
      <c r="A79" s="144" t="s">
        <v>2069</v>
      </c>
      <c r="B79" s="127" t="s">
        <v>121</v>
      </c>
    </row>
    <row r="80" spans="1:2">
      <c r="A80" s="145" t="s">
        <v>2069</v>
      </c>
      <c r="B80" s="139" t="s">
        <v>122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4"/>
  <sheetViews>
    <sheetView workbookViewId="0">
      <selection activeCell="B10" activeCellId="2" sqref="B9 B15 B10"/>
    </sheetView>
  </sheetViews>
  <sheetFormatPr defaultRowHeight="13.2"/>
  <cols>
    <col min="1" max="1" width="6.77734375" style="112" customWidth="1"/>
    <col min="2" max="2" width="5.44140625" customWidth="1"/>
  </cols>
  <sheetData>
    <row r="2" spans="1:7">
      <c r="A2" s="112" t="s">
        <v>2096</v>
      </c>
    </row>
    <row r="3" spans="1:7">
      <c r="A3" s="112" t="s">
        <v>61</v>
      </c>
      <c r="B3" s="148" t="s">
        <v>2074</v>
      </c>
      <c r="C3" s="149"/>
      <c r="D3" s="151"/>
      <c r="E3" s="151"/>
      <c r="F3" s="151"/>
      <c r="G3" s="152"/>
    </row>
    <row r="4" spans="1:7">
      <c r="A4" s="112">
        <v>1</v>
      </c>
      <c r="B4" s="148"/>
      <c r="C4" s="149" t="s">
        <v>2075</v>
      </c>
      <c r="D4" s="151"/>
      <c r="E4" s="151"/>
      <c r="F4" s="151"/>
      <c r="G4" s="152"/>
    </row>
    <row r="5" spans="1:7">
      <c r="A5" s="112">
        <v>2</v>
      </c>
      <c r="B5" s="148"/>
      <c r="C5" s="149" t="s">
        <v>2076</v>
      </c>
      <c r="D5" s="151"/>
      <c r="E5" s="151"/>
      <c r="F5" s="151"/>
      <c r="G5" s="152"/>
    </row>
    <row r="6" spans="1:7">
      <c r="A6" s="112">
        <v>3</v>
      </c>
      <c r="B6" s="148" t="s">
        <v>2077</v>
      </c>
      <c r="C6" s="149"/>
      <c r="D6" s="151"/>
      <c r="E6" s="151"/>
      <c r="F6" s="151"/>
      <c r="G6" s="152"/>
    </row>
    <row r="7" spans="1:7">
      <c r="A7" s="112">
        <v>4</v>
      </c>
      <c r="B7" s="148" t="s">
        <v>2078</v>
      </c>
      <c r="C7" s="149"/>
      <c r="D7" s="151"/>
      <c r="E7" s="151"/>
      <c r="F7" s="151"/>
      <c r="G7" s="152"/>
    </row>
    <row r="8" spans="1:7">
      <c r="A8" s="112">
        <v>5</v>
      </c>
      <c r="B8" s="148" t="s">
        <v>2079</v>
      </c>
      <c r="C8" s="149"/>
      <c r="D8" s="151"/>
      <c r="E8" s="151"/>
      <c r="F8" s="151"/>
      <c r="G8" s="152"/>
    </row>
    <row r="9" spans="1:7">
      <c r="A9" s="112">
        <v>6</v>
      </c>
      <c r="B9" s="148" t="s">
        <v>2080</v>
      </c>
      <c r="C9" s="149"/>
      <c r="D9" s="151"/>
      <c r="E9" s="151"/>
      <c r="F9" s="151"/>
      <c r="G9" s="152"/>
    </row>
    <row r="10" spans="1:7">
      <c r="A10" s="112">
        <v>7</v>
      </c>
      <c r="B10" s="148" t="s">
        <v>2081</v>
      </c>
      <c r="C10" s="149"/>
      <c r="D10" s="151"/>
      <c r="E10" s="151"/>
      <c r="F10" s="151"/>
      <c r="G10" s="152"/>
    </row>
    <row r="11" spans="1:7">
      <c r="A11" s="112">
        <v>8</v>
      </c>
      <c r="B11" s="153" t="s">
        <v>2082</v>
      </c>
      <c r="C11" s="149"/>
      <c r="D11" s="151"/>
      <c r="E11" s="151"/>
      <c r="F11" s="151"/>
      <c r="G11" s="152"/>
    </row>
    <row r="12" spans="1:7">
      <c r="A12" s="112">
        <v>9</v>
      </c>
      <c r="B12" s="153" t="s">
        <v>2083</v>
      </c>
      <c r="C12" s="149"/>
      <c r="D12" s="151"/>
      <c r="E12" s="151"/>
      <c r="F12" s="151"/>
      <c r="G12" s="152"/>
    </row>
    <row r="13" spans="1:7">
      <c r="A13" s="112">
        <v>10</v>
      </c>
      <c r="B13" s="154" t="s">
        <v>2084</v>
      </c>
      <c r="C13" s="149"/>
      <c r="D13" s="151"/>
      <c r="E13" s="151"/>
      <c r="F13" s="151"/>
      <c r="G13" s="152"/>
    </row>
    <row r="14" spans="1:7">
      <c r="A14" s="112">
        <v>11</v>
      </c>
      <c r="B14" s="154" t="s">
        <v>2085</v>
      </c>
      <c r="C14" s="149"/>
      <c r="D14" s="151"/>
      <c r="E14" s="151"/>
      <c r="F14" s="151"/>
      <c r="G14" s="152"/>
    </row>
    <row r="15" spans="1:7">
      <c r="A15" s="112">
        <v>12</v>
      </c>
      <c r="B15" s="154" t="s">
        <v>2086</v>
      </c>
      <c r="C15" s="149"/>
      <c r="D15" s="151"/>
      <c r="E15" s="151"/>
      <c r="F15" s="151"/>
      <c r="G15" s="152"/>
    </row>
    <row r="16" spans="1:7">
      <c r="A16" s="112">
        <v>13</v>
      </c>
      <c r="B16" s="154" t="s">
        <v>2087</v>
      </c>
      <c r="C16" s="149"/>
      <c r="D16" s="151"/>
      <c r="E16" s="151"/>
      <c r="F16" s="151"/>
      <c r="G16" s="152"/>
    </row>
    <row r="17" spans="1:7">
      <c r="A17" s="112">
        <v>14</v>
      </c>
      <c r="B17" s="154" t="s">
        <v>2088</v>
      </c>
      <c r="C17" s="149"/>
      <c r="D17" s="151"/>
      <c r="E17" s="151"/>
      <c r="F17" s="151"/>
      <c r="G17" s="152"/>
    </row>
    <row r="18" spans="1:7">
      <c r="A18" s="112">
        <v>15</v>
      </c>
      <c r="B18" s="154" t="s">
        <v>2089</v>
      </c>
      <c r="C18" s="149"/>
      <c r="D18" s="151"/>
      <c r="E18" s="151"/>
      <c r="F18" s="151"/>
      <c r="G18" s="152"/>
    </row>
    <row r="19" spans="1:7">
      <c r="A19" s="112">
        <v>16</v>
      </c>
      <c r="B19" s="154" t="s">
        <v>2090</v>
      </c>
      <c r="C19" s="149"/>
      <c r="D19" s="151"/>
      <c r="E19" s="151"/>
      <c r="F19" s="151"/>
      <c r="G19" s="152"/>
    </row>
    <row r="20" spans="1:7">
      <c r="A20" s="112">
        <v>17</v>
      </c>
      <c r="B20" s="154" t="s">
        <v>2091</v>
      </c>
      <c r="C20" s="149"/>
      <c r="D20" s="151"/>
      <c r="E20" s="151"/>
      <c r="F20" s="151"/>
      <c r="G20" s="152"/>
    </row>
    <row r="21" spans="1:7">
      <c r="A21" s="112">
        <v>18</v>
      </c>
      <c r="B21" s="153" t="s">
        <v>2092</v>
      </c>
      <c r="C21" s="150"/>
      <c r="D21" s="151"/>
      <c r="E21" s="151"/>
      <c r="F21" s="151"/>
      <c r="G21" s="152"/>
    </row>
    <row r="22" spans="1:7">
      <c r="A22" s="112">
        <v>19</v>
      </c>
      <c r="B22" s="153" t="s">
        <v>2093</v>
      </c>
      <c r="C22" s="150"/>
      <c r="D22" s="151"/>
      <c r="E22" s="151"/>
      <c r="F22" s="151"/>
      <c r="G22" s="152"/>
    </row>
    <row r="23" spans="1:7">
      <c r="A23" s="112">
        <v>20</v>
      </c>
      <c r="B23" s="153" t="s">
        <v>2094</v>
      </c>
      <c r="C23" s="150"/>
      <c r="D23" s="151"/>
      <c r="E23" s="151"/>
      <c r="F23" s="151"/>
      <c r="G23" s="152"/>
    </row>
    <row r="24" spans="1:7">
      <c r="A24" s="112">
        <v>21</v>
      </c>
      <c r="B24" s="153" t="s">
        <v>2095</v>
      </c>
      <c r="C24" s="150"/>
      <c r="D24" s="151"/>
      <c r="E24" s="151"/>
      <c r="F24" s="151"/>
      <c r="G24" s="152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b7644d4de02ded20394603be2720d07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2cb02ba061cb2e2c8687b0626190540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5A0442-4203-4B6F-A5D7-C9DF02DFA58B}"/>
</file>

<file path=customXml/itemProps2.xml><?xml version="1.0" encoding="utf-8"?>
<ds:datastoreItem xmlns:ds="http://schemas.openxmlformats.org/officeDocument/2006/customXml" ds:itemID="{23AFFFFD-ADFF-419A-9EE3-24FBD43D8223}"/>
</file>

<file path=customXml/itemProps3.xml><?xml version="1.0" encoding="utf-8"?>
<ds:datastoreItem xmlns:ds="http://schemas.openxmlformats.org/officeDocument/2006/customXml" ds:itemID="{0DF8468D-6A04-472F-AE72-D6D2C56D5B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27</vt:i4>
      </vt:variant>
    </vt:vector>
  </HeadingPairs>
  <TitlesOfParts>
    <vt:vector size="36" baseType="lpstr">
      <vt:lpstr>サマリ</vt:lpstr>
      <vt:lpstr>積算基準</vt:lpstr>
      <vt:lpstr>工数算出</vt:lpstr>
      <vt:lpstr>画面一覧</vt:lpstr>
      <vt:lpstr>src一覧</vt:lpstr>
      <vt:lpstr>帳票一覧</vt:lpstr>
      <vt:lpstr>バッチ一覧</vt:lpstr>
      <vt:lpstr>IF一覧</vt:lpstr>
      <vt:lpstr>JOB一覧</vt:lpstr>
      <vt:lpstr>その他係数</vt:lpstr>
      <vt:lpstr>バッチ係数</vt:lpstr>
      <vt:lpstr>移行切替係数</vt:lpstr>
      <vt:lpstr>画面係数</vt:lpstr>
      <vt:lpstr>基本設計係数</vt:lpstr>
      <vt:lpstr>結合テスト係数</vt:lpstr>
      <vt:lpstr>高係数</vt:lpstr>
      <vt:lpstr>参照上限高</vt:lpstr>
      <vt:lpstr>参照上限中</vt:lpstr>
      <vt:lpstr>参照上限低</vt:lpstr>
      <vt:lpstr>参照上限特高</vt:lpstr>
      <vt:lpstr>参照上限特低</vt:lpstr>
      <vt:lpstr>受入支援係数</vt:lpstr>
      <vt:lpstr>詳細設計係数</vt:lpstr>
      <vt:lpstr>製作係数</vt:lpstr>
      <vt:lpstr>総合テスト係数</vt:lpstr>
      <vt:lpstr>中係数</vt:lpstr>
      <vt:lpstr>帳票係数</vt:lpstr>
      <vt:lpstr>低係数</vt:lpstr>
      <vt:lpstr>登録上限高</vt:lpstr>
      <vt:lpstr>登録上限中</vt:lpstr>
      <vt:lpstr>登録上限低</vt:lpstr>
      <vt:lpstr>登録上限特高</vt:lpstr>
      <vt:lpstr>登録上限特低</vt:lpstr>
      <vt:lpstr>特高係数</vt:lpstr>
      <vt:lpstr>特低係数</vt:lpstr>
      <vt:lpstr>要件定義係数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(株)システムエグゼ　金児</dc:creator>
  <cp:lastModifiedBy>福田 一希</cp:lastModifiedBy>
  <cp:lastPrinted>2020-03-19T17:41:38Z</cp:lastPrinted>
  <dcterms:created xsi:type="dcterms:W3CDTF">2015-10-06T03:03:08Z</dcterms:created>
  <dcterms:modified xsi:type="dcterms:W3CDTF">2025-12-12T08:42:29Z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