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328"/>
  <workbookPr filterPrivacy="1" defaultThemeVersion="124226"/>
  <xr:revisionPtr revIDLastSave="0" documentId="13_ncr:1_{E2AB29FC-4CA9-4C03-8C28-03D5D599C725}" xr6:coauthVersionLast="47" xr6:coauthVersionMax="47" xr10:uidLastSave="{00000000-0000-0000-0000-000000000000}"/>
  <bookViews>
    <workbookView xWindow="-108" yWindow="-108" windowWidth="23256" windowHeight="12456" firstSheet="1" activeTab="1" xr2:uid="{00000000-000D-0000-FFFF-FFFF00000000}"/>
  </bookViews>
  <sheets>
    <sheet name="12月以降の契約について" sheetId="14" state="hidden" r:id="rId1"/>
    <sheet name="パターン① .NET＋VB6" sheetId="31" r:id="rId2"/>
    <sheet name="パターン② VB6" sheetId="32" r:id="rId3"/>
    <sheet name="体制見積" sheetId="27" r:id="rId4"/>
    <sheet name="工数見積り（バッチあり）" sheetId="29" r:id="rId5"/>
    <sheet name="見積案_20241128" sheetId="22" state="hidden" r:id="rId6"/>
    <sheet name="見積案_old" sheetId="21" state="hidden" r:id="rId7"/>
    <sheet name="工数見積り_20241128" sheetId="24" state="hidden" r:id="rId8"/>
    <sheet name="工数見積り_20241115" sheetId="8" state="hidden" r:id="rId9"/>
    <sheet name="工数見積り_20241022" sheetId="23" state="hidden" r:id="rId10"/>
    <sheet name="日本対応パターン" sheetId="17" state="hidden" r:id="rId11"/>
    <sheet name="オフショア対応パターン" sheetId="18" state="hidden" r:id="rId12"/>
    <sheet name="日本単価" sheetId="19" state="hidden" r:id="rId13"/>
    <sheet name="オフショア単価" sheetId="20" state="hidden" r:id="rId14"/>
    <sheet name="Sheet1" sheetId="16" state="hidden" r:id="rId15"/>
  </sheets>
  <definedNames>
    <definedName name="_xlnm._FilterDatabase" localSheetId="1" hidden="1">'パターン① .NET＋VB6'!$A$6:$V$72</definedName>
    <definedName name="_xlnm._FilterDatabase" localSheetId="2" hidden="1">'パターン② VB6'!$A$6:$V$21</definedName>
    <definedName name="_xlnm._FilterDatabase" localSheetId="4" hidden="1">'工数見積り（バッチあり）'!$A$6:$V$76</definedName>
    <definedName name="_xlnm._FilterDatabase" localSheetId="9" hidden="1">工数見積り_20241022!$A$6:$AF$58</definedName>
    <definedName name="_xlnm._FilterDatabase" localSheetId="8" hidden="1">工数見積り_20241115!$A$6:$AF$73</definedName>
    <definedName name="_xlnm._FilterDatabase" localSheetId="7" hidden="1">工数見積り_20241128!$A$6:$AF$73</definedName>
    <definedName name="_xlnm.Print_Area" localSheetId="1">'パターン① .NET＋VB6'!$A$1:$O$72</definedName>
    <definedName name="_xlnm.Print_Area" localSheetId="2">'パターン② VB6'!$A$1:$O$21</definedName>
    <definedName name="_xlnm.Print_Area" localSheetId="5">見積案_20241128!$A$1:$U$20</definedName>
    <definedName name="_xlnm.Print_Area" localSheetId="6">見積案_old!$A$1:$P$21</definedName>
    <definedName name="_xlnm.Print_Area" localSheetId="4">'工数見積り（バッチあり）'!$A$1:$O$76</definedName>
    <definedName name="_xlnm.Print_Area" localSheetId="9">工数見積り_20241022!$A$1:$Y$58</definedName>
    <definedName name="_xlnm.Print_Area" localSheetId="8">工数見積り_20241115!$A$1:$Y$73</definedName>
    <definedName name="_xlnm.Print_Area" localSheetId="7">工数見積り_20241128!$A$1:$Y$73</definedName>
    <definedName name="_xlnm.Print_Titles" localSheetId="1">'パターン① .NET＋VB6'!$3:$6</definedName>
    <definedName name="_xlnm.Print_Titles" localSheetId="2">'パターン② VB6'!$3:$6</definedName>
    <definedName name="_xlnm.Print_Titles" localSheetId="5">見積案_20241128!$10:$12</definedName>
    <definedName name="_xlnm.Print_Titles" localSheetId="6">見積案_old!$10:$12</definedName>
    <definedName name="_xlnm.Print_Titles" localSheetId="4">'工数見積り（バッチあり）'!$3:$6</definedName>
    <definedName name="_xlnm.Print_Titles" localSheetId="9">工数見積り_20241022!$3:$6</definedName>
    <definedName name="_xlnm.Print_Titles" localSheetId="8">工数見積り_20241115!$3:$6</definedName>
    <definedName name="_xlnm.Print_Titles" localSheetId="7">工数見積り_20241128!$3:$6</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P39" i="27" l="1"/>
  <c r="N39" i="27"/>
  <c r="K38" i="27"/>
  <c r="J38" i="27"/>
  <c r="I38" i="27"/>
  <c r="H38" i="27"/>
  <c r="G38" i="27"/>
  <c r="L38" i="27" s="1"/>
  <c r="K37" i="27"/>
  <c r="J37" i="27"/>
  <c r="I37" i="27"/>
  <c r="H37" i="27"/>
  <c r="G37" i="27"/>
  <c r="L37" i="27" s="1"/>
  <c r="K36" i="27"/>
  <c r="J36" i="27"/>
  <c r="I36" i="27"/>
  <c r="H36" i="27"/>
  <c r="G36" i="27"/>
  <c r="L36" i="27" s="1"/>
  <c r="K35" i="27"/>
  <c r="K39" i="27" s="1"/>
  <c r="J35" i="27"/>
  <c r="J39" i="27" s="1"/>
  <c r="I35" i="27"/>
  <c r="I39" i="27" s="1"/>
  <c r="H35" i="27"/>
  <c r="H39" i="27" s="1"/>
  <c r="G35" i="27"/>
  <c r="G39" i="27" s="1"/>
  <c r="F35" i="27"/>
  <c r="K33" i="27"/>
  <c r="J33" i="27"/>
  <c r="I33" i="27"/>
  <c r="H33" i="27"/>
  <c r="G33" i="27"/>
  <c r="F33" i="27"/>
  <c r="L33" i="27" s="1"/>
  <c r="N32" i="27"/>
  <c r="L32" i="27"/>
  <c r="N31" i="27"/>
  <c r="L31" i="27"/>
  <c r="N30" i="27"/>
  <c r="L30" i="27"/>
  <c r="N29" i="27"/>
  <c r="O39" i="27" s="1"/>
  <c r="L29" i="27"/>
  <c r="O17" i="32"/>
  <c r="M17" i="32"/>
  <c r="L17" i="32"/>
  <c r="K17" i="32"/>
  <c r="J17" i="32"/>
  <c r="I17" i="32"/>
  <c r="H17" i="32"/>
  <c r="O16" i="32"/>
  <c r="M16" i="32"/>
  <c r="L16" i="32"/>
  <c r="K16" i="32"/>
  <c r="J16" i="32"/>
  <c r="I16" i="32"/>
  <c r="H16" i="32"/>
  <c r="O15" i="32"/>
  <c r="M15" i="32"/>
  <c r="L15" i="32"/>
  <c r="K15" i="32"/>
  <c r="J15" i="32"/>
  <c r="I15" i="32"/>
  <c r="H15" i="32"/>
  <c r="O14" i="32"/>
  <c r="M14" i="32"/>
  <c r="L14" i="32"/>
  <c r="K14" i="32"/>
  <c r="J14" i="32"/>
  <c r="I14" i="32"/>
  <c r="H14" i="32"/>
  <c r="O13" i="32"/>
  <c r="M13" i="32"/>
  <c r="L13" i="32"/>
  <c r="K13" i="32"/>
  <c r="J13" i="32"/>
  <c r="I13" i="32"/>
  <c r="H13" i="32"/>
  <c r="N12" i="32" a="1"/>
  <c r="N12" i="32" s="1"/>
  <c r="N11" i="32" a="1"/>
  <c r="N11" i="32" s="1"/>
  <c r="N10" i="32" a="1"/>
  <c r="N10" i="32" s="1"/>
  <c r="N9" i="32" a="1"/>
  <c r="N9" i="32" s="1"/>
  <c r="M9" i="32" s="1"/>
  <c r="N8" i="32" a="1"/>
  <c r="N8" i="32" s="1"/>
  <c r="N7" i="32" a="1"/>
  <c r="N7" i="32" s="1"/>
  <c r="N2" i="32"/>
  <c r="O68" i="31"/>
  <c r="M68" i="31"/>
  <c r="L68" i="31"/>
  <c r="K68" i="31"/>
  <c r="J68" i="31"/>
  <c r="I68" i="31"/>
  <c r="H68" i="31"/>
  <c r="O67" i="31"/>
  <c r="M67" i="31"/>
  <c r="L67" i="31"/>
  <c r="K67" i="31"/>
  <c r="J67" i="31"/>
  <c r="I67" i="31"/>
  <c r="H67" i="31"/>
  <c r="O66" i="31"/>
  <c r="M66" i="31"/>
  <c r="L66" i="31"/>
  <c r="K66" i="31"/>
  <c r="J66" i="31"/>
  <c r="I66" i="31"/>
  <c r="H66" i="31"/>
  <c r="O65" i="31"/>
  <c r="M65" i="31"/>
  <c r="L65" i="31"/>
  <c r="K65" i="31"/>
  <c r="J65" i="31"/>
  <c r="I65" i="31"/>
  <c r="H65" i="31"/>
  <c r="O64" i="31"/>
  <c r="M64" i="31"/>
  <c r="L64" i="31"/>
  <c r="K64" i="31"/>
  <c r="J64" i="31"/>
  <c r="I64" i="31"/>
  <c r="H64" i="31"/>
  <c r="O63" i="31"/>
  <c r="N63" i="31"/>
  <c r="N63" i="31" a="1"/>
  <c r="M63" i="31"/>
  <c r="L63" i="31"/>
  <c r="K63" i="31"/>
  <c r="J63" i="31"/>
  <c r="I63" i="31"/>
  <c r="H63" i="31"/>
  <c r="N62" i="31" a="1"/>
  <c r="N62" i="31" s="1"/>
  <c r="N61" i="31" a="1"/>
  <c r="N61" i="31" s="1"/>
  <c r="N60" i="31" a="1"/>
  <c r="N60" i="31" s="1"/>
  <c r="J60" i="31" s="1"/>
  <c r="N59" i="31" a="1"/>
  <c r="N59" i="31" s="1"/>
  <c r="N58" i="31" a="1"/>
  <c r="N58" i="31" s="1"/>
  <c r="L58" i="31"/>
  <c r="K58" i="31"/>
  <c r="J58" i="31"/>
  <c r="I58" i="31"/>
  <c r="N56" i="31" a="1"/>
  <c r="N56" i="31" s="1"/>
  <c r="L56" i="31"/>
  <c r="K56" i="31"/>
  <c r="J56" i="31"/>
  <c r="I56" i="31"/>
  <c r="N55" i="31" a="1"/>
  <c r="N55" i="31" s="1"/>
  <c r="N54" i="31" a="1"/>
  <c r="N54" i="31" s="1"/>
  <c r="M54" i="31"/>
  <c r="L54" i="31"/>
  <c r="N53" i="31" a="1"/>
  <c r="N53" i="31" s="1"/>
  <c r="N52" i="31" a="1"/>
  <c r="N52" i="31" s="1"/>
  <c r="M52" i="31"/>
  <c r="L52" i="31"/>
  <c r="K52" i="31"/>
  <c r="J52" i="31"/>
  <c r="I52" i="31"/>
  <c r="N51" i="31"/>
  <c r="M51" i="31" s="1"/>
  <c r="N51" i="31" a="1"/>
  <c r="N50" i="31" a="1"/>
  <c r="N50" i="31" s="1"/>
  <c r="M50" i="31"/>
  <c r="L50" i="31"/>
  <c r="K50" i="31"/>
  <c r="J50" i="31"/>
  <c r="N49" i="31" a="1"/>
  <c r="N49" i="31" s="1"/>
  <c r="N48" i="31" a="1"/>
  <c r="N48" i="31" s="1"/>
  <c r="M48" i="31"/>
  <c r="N47" i="31" a="1"/>
  <c r="N47" i="31" s="1"/>
  <c r="M47" i="31"/>
  <c r="N46" i="31" a="1"/>
  <c r="N46" i="31" s="1"/>
  <c r="K46" i="31"/>
  <c r="J46" i="31"/>
  <c r="I46" i="31"/>
  <c r="H46" i="31"/>
  <c r="N45" i="31"/>
  <c r="N45" i="31" a="1"/>
  <c r="N44" i="31" a="1"/>
  <c r="N44" i="31" s="1"/>
  <c r="M44" i="31"/>
  <c r="L44" i="31"/>
  <c r="K44" i="31"/>
  <c r="J44" i="31"/>
  <c r="I44" i="31"/>
  <c r="N43" i="31" a="1"/>
  <c r="N43" i="31" s="1"/>
  <c r="N42" i="31" a="1"/>
  <c r="N42" i="31" s="1"/>
  <c r="M42" i="31"/>
  <c r="L42" i="31"/>
  <c r="N41" i="31" a="1"/>
  <c r="N41" i="31" s="1"/>
  <c r="N40" i="31" a="1"/>
  <c r="N40" i="31" s="1"/>
  <c r="M40" i="31"/>
  <c r="L40" i="31"/>
  <c r="K40" i="31"/>
  <c r="N39" i="31" a="1"/>
  <c r="N39" i="31" s="1"/>
  <c r="N38" i="31" a="1"/>
  <c r="N38" i="31" s="1"/>
  <c r="L38" i="31"/>
  <c r="K38" i="31"/>
  <c r="J38" i="31"/>
  <c r="I38" i="31"/>
  <c r="H38" i="31"/>
  <c r="N37" i="31" a="1"/>
  <c r="N37" i="31" s="1"/>
  <c r="N36" i="31" a="1"/>
  <c r="N36" i="31" s="1"/>
  <c r="M36" i="31"/>
  <c r="L36" i="31"/>
  <c r="K36" i="31"/>
  <c r="J36" i="31"/>
  <c r="I36" i="31"/>
  <c r="N35" i="31" a="1"/>
  <c r="N35" i="31" s="1"/>
  <c r="N34" i="31" a="1"/>
  <c r="N34" i="31" s="1"/>
  <c r="M34" i="31"/>
  <c r="L34" i="31"/>
  <c r="K34" i="31"/>
  <c r="J34" i="31"/>
  <c r="N33" i="31" a="1"/>
  <c r="N33" i="31" s="1"/>
  <c r="N32" i="31" a="1"/>
  <c r="N32" i="31" s="1"/>
  <c r="M32" i="31"/>
  <c r="L32" i="31"/>
  <c r="K32" i="31"/>
  <c r="J32" i="31"/>
  <c r="I32" i="31"/>
  <c r="N31" i="31" a="1"/>
  <c r="N31" i="31" s="1"/>
  <c r="N30" i="31" a="1"/>
  <c r="N30" i="31" s="1"/>
  <c r="M30" i="31" s="1"/>
  <c r="L30" i="31"/>
  <c r="K30" i="31"/>
  <c r="J30" i="31"/>
  <c r="N29" i="31" a="1"/>
  <c r="N29" i="31" s="1"/>
  <c r="N28" i="31" a="1"/>
  <c r="N28" i="31" s="1"/>
  <c r="I28" i="31" s="1"/>
  <c r="N27" i="31" a="1"/>
  <c r="N27" i="31" s="1"/>
  <c r="M27" i="31"/>
  <c r="L27" i="31"/>
  <c r="K27" i="31"/>
  <c r="J27" i="31"/>
  <c r="N26" i="31" a="1"/>
  <c r="N26" i="31" s="1"/>
  <c r="J26" i="31"/>
  <c r="I26" i="31"/>
  <c r="H26" i="31"/>
  <c r="N25" i="31"/>
  <c r="N25" i="31" a="1"/>
  <c r="N24" i="31" a="1"/>
  <c r="N24" i="31" s="1"/>
  <c r="M24" i="31"/>
  <c r="L24" i="31"/>
  <c r="K24" i="31"/>
  <c r="J24" i="31"/>
  <c r="I24" i="31"/>
  <c r="N23" i="31" a="1"/>
  <c r="N23" i="31" s="1"/>
  <c r="N22" i="31" a="1"/>
  <c r="N22" i="31" s="1"/>
  <c r="N21" i="31" a="1"/>
  <c r="N21" i="31" s="1"/>
  <c r="N20" i="31" a="1"/>
  <c r="N20" i="31" s="1"/>
  <c r="M20" i="31"/>
  <c r="L20" i="31"/>
  <c r="N19" i="31" a="1"/>
  <c r="N19" i="31" s="1"/>
  <c r="N18" i="31" a="1"/>
  <c r="N18" i="31" s="1"/>
  <c r="M18" i="31"/>
  <c r="L18" i="31"/>
  <c r="K18" i="31"/>
  <c r="J18" i="31"/>
  <c r="N17" i="31" a="1"/>
  <c r="N17" i="31" s="1"/>
  <c r="N16" i="31" a="1"/>
  <c r="N16" i="31" s="1"/>
  <c r="M16" i="31"/>
  <c r="L16" i="31"/>
  <c r="K16" i="31"/>
  <c r="J16" i="31"/>
  <c r="I16" i="31"/>
  <c r="N15" i="31" a="1"/>
  <c r="N15" i="31" s="1"/>
  <c r="N14" i="31" a="1"/>
  <c r="N14" i="31" s="1"/>
  <c r="M14" i="31" s="1"/>
  <c r="K14" i="31"/>
  <c r="J14" i="31"/>
  <c r="N13" i="31" a="1"/>
  <c r="N13" i="31" s="1"/>
  <c r="N12" i="31" a="1"/>
  <c r="N12" i="31" s="1"/>
  <c r="M12" i="31"/>
  <c r="L12" i="31"/>
  <c r="K12" i="31"/>
  <c r="J12" i="31"/>
  <c r="O11" i="31"/>
  <c r="N11" i="31"/>
  <c r="M11" i="31" s="1"/>
  <c r="N11" i="31" a="1"/>
  <c r="N10" i="31" a="1"/>
  <c r="N10" i="31" s="1"/>
  <c r="M10" i="31"/>
  <c r="L10" i="31"/>
  <c r="K10" i="31"/>
  <c r="J10" i="31"/>
  <c r="N9" i="31" a="1"/>
  <c r="N9" i="31" s="1"/>
  <c r="N8" i="31" a="1"/>
  <c r="N8" i="31" s="1"/>
  <c r="M8" i="31" s="1"/>
  <c r="L8" i="31"/>
  <c r="K8" i="31"/>
  <c r="J8" i="31"/>
  <c r="I8" i="31"/>
  <c r="N7" i="31" a="1"/>
  <c r="N7" i="31" s="1"/>
  <c r="N2" i="31"/>
  <c r="R7" i="27"/>
  <c r="R12" i="27"/>
  <c r="P12" i="27"/>
  <c r="N8" i="29" a="1"/>
  <c r="N8" i="29" s="1"/>
  <c r="N9" i="29" a="1"/>
  <c r="N9" i="29"/>
  <c r="N10" i="29" a="1"/>
  <c r="N10" i="29"/>
  <c r="N11" i="29" a="1"/>
  <c r="N11" i="29"/>
  <c r="J11" i="29" s="1"/>
  <c r="N12" i="29" a="1"/>
  <c r="N12" i="29"/>
  <c r="N13" i="29" a="1"/>
  <c r="N13" i="29"/>
  <c r="K13" i="29" s="1"/>
  <c r="N14" i="29" a="1"/>
  <c r="N14" i="29" s="1"/>
  <c r="H14" i="29" s="1"/>
  <c r="N15" i="29" a="1"/>
  <c r="N15" i="29"/>
  <c r="N16" i="29" a="1"/>
  <c r="N16" i="29"/>
  <c r="N17" i="29" a="1"/>
  <c r="N17" i="29"/>
  <c r="J17" i="29" s="1"/>
  <c r="N18" i="29" a="1"/>
  <c r="N18" i="29"/>
  <c r="M18" i="29" s="1"/>
  <c r="N19" i="29" a="1"/>
  <c r="N19" i="29"/>
  <c r="K19" i="29" s="1"/>
  <c r="N20" i="29" a="1"/>
  <c r="N20" i="29" s="1"/>
  <c r="J20" i="29" s="1"/>
  <c r="N21" i="29" a="1"/>
  <c r="N21" i="29"/>
  <c r="M21" i="29" s="1"/>
  <c r="N22" i="29" a="1"/>
  <c r="N22" i="29"/>
  <c r="N23" i="29" a="1"/>
  <c r="N23" i="29"/>
  <c r="N24" i="29" a="1"/>
  <c r="N24" i="29"/>
  <c r="N25" i="29" a="1"/>
  <c r="N25" i="29"/>
  <c r="M25" i="29" s="1"/>
  <c r="N26" i="29" a="1"/>
  <c r="N26" i="29" s="1"/>
  <c r="N27" i="29" a="1"/>
  <c r="N27" i="29"/>
  <c r="K27" i="29" s="1"/>
  <c r="N28" i="29" a="1"/>
  <c r="N28" i="29"/>
  <c r="H28" i="29" s="1"/>
  <c r="N29" i="29" a="1"/>
  <c r="N29" i="29"/>
  <c r="J29" i="29" s="1"/>
  <c r="N30" i="29" a="1"/>
  <c r="N30" i="29"/>
  <c r="N31" i="29" a="1"/>
  <c r="N31" i="29"/>
  <c r="N32" i="29" a="1"/>
  <c r="N32" i="29" s="1"/>
  <c r="N33" i="29" a="1"/>
  <c r="N33" i="29"/>
  <c r="N34" i="29" a="1"/>
  <c r="N34" i="29"/>
  <c r="N35" i="29" a="1"/>
  <c r="N35" i="29"/>
  <c r="H35" i="29" s="1"/>
  <c r="N36" i="29" a="1"/>
  <c r="N36" i="29"/>
  <c r="N37" i="29" a="1"/>
  <c r="N37" i="29"/>
  <c r="N38" i="29" a="1"/>
  <c r="N38" i="29" s="1"/>
  <c r="N39" i="29" a="1"/>
  <c r="N39" i="29"/>
  <c r="H39" i="29" s="1"/>
  <c r="N40" i="29" a="1"/>
  <c r="N40" i="29"/>
  <c r="N41" i="29" a="1"/>
  <c r="N41" i="29"/>
  <c r="L41" i="29" s="1"/>
  <c r="N42" i="29" a="1"/>
  <c r="N42" i="29"/>
  <c r="N43" i="29" a="1"/>
  <c r="N43" i="29"/>
  <c r="N44" i="29" a="1"/>
  <c r="N44" i="29" s="1"/>
  <c r="N45" i="29" a="1"/>
  <c r="N45" i="29"/>
  <c r="N46" i="29" a="1"/>
  <c r="N46" i="29"/>
  <c r="I46" i="29" s="1"/>
  <c r="N47" i="29" a="1"/>
  <c r="N47" i="29"/>
  <c r="J47" i="29" s="1"/>
  <c r="N48" i="29" a="1"/>
  <c r="N48" i="29"/>
  <c r="J48" i="29" s="1"/>
  <c r="N49" i="29" a="1"/>
  <c r="N49" i="29"/>
  <c r="K49" i="29" s="1"/>
  <c r="N50" i="29" a="1"/>
  <c r="N50" i="29" s="1"/>
  <c r="J50" i="29" s="1"/>
  <c r="N51" i="29" a="1"/>
  <c r="N51" i="29"/>
  <c r="N52" i="29" a="1"/>
  <c r="N52" i="29"/>
  <c r="J52" i="29" s="1"/>
  <c r="N53" i="29" a="1"/>
  <c r="N53" i="29"/>
  <c r="H53" i="29" s="1"/>
  <c r="N54" i="29" a="1"/>
  <c r="N54" i="29"/>
  <c r="N55" i="29" a="1"/>
  <c r="N55" i="29"/>
  <c r="M55" i="29" s="1"/>
  <c r="N56" i="29" a="1"/>
  <c r="N56" i="29" s="1"/>
  <c r="H56" i="29" s="1"/>
  <c r="N57" i="29" a="1"/>
  <c r="N57" i="29"/>
  <c r="K57" i="29" s="1"/>
  <c r="N58" i="29" a="1"/>
  <c r="N58" i="29"/>
  <c r="J58" i="29" s="1"/>
  <c r="N59" i="29" a="1"/>
  <c r="N59" i="29"/>
  <c r="M59" i="29" s="1"/>
  <c r="N60" i="29" a="1"/>
  <c r="N60" i="29"/>
  <c r="N61" i="29" a="1"/>
  <c r="N61" i="29"/>
  <c r="N62" i="29" a="1"/>
  <c r="N62" i="29" s="1"/>
  <c r="N63" i="29" a="1"/>
  <c r="N63" i="29"/>
  <c r="M9" i="29"/>
  <c r="H10" i="29"/>
  <c r="H22" i="29"/>
  <c r="J23" i="29"/>
  <c r="M34" i="29"/>
  <c r="H40" i="29"/>
  <c r="H41" i="29"/>
  <c r="J42" i="29"/>
  <c r="K45" i="29"/>
  <c r="L46" i="29"/>
  <c r="H47" i="29"/>
  <c r="I58" i="29"/>
  <c r="L59" i="29"/>
  <c r="J60" i="29"/>
  <c r="H9" i="29"/>
  <c r="H16" i="29"/>
  <c r="J63" i="29"/>
  <c r="H65" i="29"/>
  <c r="I66" i="29"/>
  <c r="H21" i="29"/>
  <c r="J22" i="29"/>
  <c r="H23" i="29"/>
  <c r="H29" i="29"/>
  <c r="M35" i="29"/>
  <c r="H15" i="29"/>
  <c r="J28" i="29"/>
  <c r="H33" i="29"/>
  <c r="J34" i="29"/>
  <c r="J64" i="29"/>
  <c r="J68" i="29"/>
  <c r="L69" i="29"/>
  <c r="J70" i="29"/>
  <c r="H71" i="29"/>
  <c r="J72" i="29"/>
  <c r="N7" i="29" a="1"/>
  <c r="N7" i="29" s="1"/>
  <c r="K9" i="29"/>
  <c r="L9" i="29"/>
  <c r="J15" i="29"/>
  <c r="K15" i="29"/>
  <c r="L15" i="29"/>
  <c r="M15" i="29"/>
  <c r="K18" i="29"/>
  <c r="K21" i="29"/>
  <c r="L21" i="29"/>
  <c r="L27" i="29"/>
  <c r="J33" i="29"/>
  <c r="K33" i="29"/>
  <c r="L33" i="29"/>
  <c r="M33" i="29"/>
  <c r="J39" i="29"/>
  <c r="K39" i="29"/>
  <c r="L39" i="29"/>
  <c r="M39" i="29"/>
  <c r="M57" i="29"/>
  <c r="K63" i="29"/>
  <c r="L63" i="29"/>
  <c r="M63" i="29"/>
  <c r="H64" i="29"/>
  <c r="I64" i="29"/>
  <c r="M64" i="29"/>
  <c r="J65" i="29"/>
  <c r="K65" i="29"/>
  <c r="L65" i="29"/>
  <c r="M65" i="29"/>
  <c r="H66" i="29"/>
  <c r="J69" i="29"/>
  <c r="K69" i="29"/>
  <c r="L70" i="29"/>
  <c r="M70" i="29"/>
  <c r="J71" i="29"/>
  <c r="K71" i="29"/>
  <c r="L71" i="29"/>
  <c r="M71" i="29"/>
  <c r="H72" i="29"/>
  <c r="I72" i="29"/>
  <c r="N2" i="29"/>
  <c r="F39" i="27" l="1"/>
  <c r="L39" i="27" s="1"/>
  <c r="L35" i="27"/>
  <c r="M8" i="32"/>
  <c r="O8" i="32"/>
  <c r="I8" i="32"/>
  <c r="H8" i="32"/>
  <c r="O9" i="32"/>
  <c r="H9" i="32"/>
  <c r="J7" i="32"/>
  <c r="I7" i="32"/>
  <c r="O7" i="32"/>
  <c r="H7" i="32"/>
  <c r="M7" i="32"/>
  <c r="L7" i="32"/>
  <c r="K7" i="32"/>
  <c r="M11" i="32"/>
  <c r="M18" i="32" s="1"/>
  <c r="M19" i="32" s="1"/>
  <c r="L11" i="32"/>
  <c r="K11" i="32"/>
  <c r="J11" i="32"/>
  <c r="I11" i="32"/>
  <c r="O11" i="32"/>
  <c r="H11" i="32"/>
  <c r="M12" i="32"/>
  <c r="L12" i="32"/>
  <c r="K12" i="32"/>
  <c r="J12" i="32"/>
  <c r="I12" i="32"/>
  <c r="O12" i="32"/>
  <c r="H12" i="32"/>
  <c r="M10" i="32"/>
  <c r="L10" i="32"/>
  <c r="K10" i="32"/>
  <c r="K18" i="32" s="1"/>
  <c r="K19" i="32" s="1"/>
  <c r="J10" i="32"/>
  <c r="I10" i="32"/>
  <c r="O10" i="32"/>
  <c r="H10" i="32"/>
  <c r="J8" i="32"/>
  <c r="I9" i="32"/>
  <c r="I18" i="32" s="1"/>
  <c r="I19" i="32" s="1"/>
  <c r="K8" i="32"/>
  <c r="J9" i="32"/>
  <c r="L8" i="32"/>
  <c r="K9" i="32"/>
  <c r="L9" i="32"/>
  <c r="M23" i="31"/>
  <c r="J23" i="31"/>
  <c r="L23" i="31"/>
  <c r="K23" i="31"/>
  <c r="I23" i="31"/>
  <c r="H23" i="31"/>
  <c r="O23" i="31"/>
  <c r="L31" i="31"/>
  <c r="K31" i="31"/>
  <c r="J31" i="31"/>
  <c r="I31" i="31"/>
  <c r="H31" i="31"/>
  <c r="O31" i="31"/>
  <c r="M31" i="31"/>
  <c r="K43" i="31"/>
  <c r="J43" i="31"/>
  <c r="I43" i="31"/>
  <c r="H43" i="31"/>
  <c r="O43" i="31"/>
  <c r="M43" i="31"/>
  <c r="L43" i="31"/>
  <c r="K55" i="31"/>
  <c r="J55" i="31"/>
  <c r="I55" i="31"/>
  <c r="H55" i="31"/>
  <c r="O55" i="31"/>
  <c r="M55" i="31"/>
  <c r="L55" i="31"/>
  <c r="K59" i="31"/>
  <c r="J59" i="31"/>
  <c r="I59" i="31"/>
  <c r="H59" i="31"/>
  <c r="O59" i="31"/>
  <c r="M59" i="31"/>
  <c r="L59" i="31"/>
  <c r="K35" i="31"/>
  <c r="J35" i="31"/>
  <c r="I35" i="31"/>
  <c r="H35" i="31"/>
  <c r="M35" i="31"/>
  <c r="O35" i="31"/>
  <c r="L35" i="31"/>
  <c r="J39" i="31"/>
  <c r="I39" i="31"/>
  <c r="H39" i="31"/>
  <c r="O39" i="31"/>
  <c r="K39" i="31"/>
  <c r="M39" i="31"/>
  <c r="L39" i="31"/>
  <c r="L62" i="31"/>
  <c r="K62" i="31"/>
  <c r="J62" i="31"/>
  <c r="I62" i="31"/>
  <c r="H62" i="31"/>
  <c r="O62" i="31"/>
  <c r="M62" i="31"/>
  <c r="L7" i="31"/>
  <c r="H7" i="31"/>
  <c r="K7" i="31"/>
  <c r="J7" i="31"/>
  <c r="I7" i="31"/>
  <c r="M7" i="31"/>
  <c r="O7" i="31"/>
  <c r="L15" i="31"/>
  <c r="I15" i="31"/>
  <c r="K15" i="31"/>
  <c r="J15" i="31"/>
  <c r="H15" i="31"/>
  <c r="M15" i="31"/>
  <c r="O15" i="31"/>
  <c r="K19" i="31"/>
  <c r="J19" i="31"/>
  <c r="I19" i="31"/>
  <c r="H19" i="31"/>
  <c r="M19" i="31"/>
  <c r="L19" i="31"/>
  <c r="O19" i="31"/>
  <c r="J22" i="31"/>
  <c r="I22" i="31"/>
  <c r="H22" i="31"/>
  <c r="O22" i="31"/>
  <c r="M22" i="31"/>
  <c r="L22" i="31"/>
  <c r="K22" i="31"/>
  <c r="I47" i="31"/>
  <c r="H47" i="31"/>
  <c r="O47" i="31"/>
  <c r="O51" i="31"/>
  <c r="H42" i="31"/>
  <c r="O42" i="31"/>
  <c r="H54" i="31"/>
  <c r="O54" i="31"/>
  <c r="H18" i="31"/>
  <c r="O18" i="31"/>
  <c r="H34" i="31"/>
  <c r="O34" i="31"/>
  <c r="M25" i="31"/>
  <c r="L25" i="31"/>
  <c r="H58" i="31"/>
  <c r="O58" i="31"/>
  <c r="M58" i="31"/>
  <c r="I10" i="31"/>
  <c r="H10" i="31"/>
  <c r="O10" i="31"/>
  <c r="O46" i="31"/>
  <c r="M46" i="31"/>
  <c r="L46" i="31"/>
  <c r="L14" i="31"/>
  <c r="I42" i="31"/>
  <c r="J47" i="31"/>
  <c r="I50" i="31"/>
  <c r="H50" i="31"/>
  <c r="O50" i="31"/>
  <c r="I54" i="31"/>
  <c r="K26" i="31"/>
  <c r="O26" i="31"/>
  <c r="M26" i="31"/>
  <c r="L26" i="31"/>
  <c r="M38" i="31"/>
  <c r="O38" i="31"/>
  <c r="J42" i="31"/>
  <c r="K47" i="31"/>
  <c r="J54" i="31"/>
  <c r="L51" i="31"/>
  <c r="K51" i="31"/>
  <c r="J51" i="31"/>
  <c r="I51" i="31"/>
  <c r="H51" i="31"/>
  <c r="H27" i="31"/>
  <c r="O27" i="31"/>
  <c r="O25" i="31"/>
  <c r="L11" i="31"/>
  <c r="I11" i="31"/>
  <c r="K11" i="31"/>
  <c r="J11" i="31"/>
  <c r="H11" i="31"/>
  <c r="I14" i="31"/>
  <c r="O14" i="31"/>
  <c r="H14" i="31"/>
  <c r="I18" i="31"/>
  <c r="I27" i="31"/>
  <c r="I30" i="31"/>
  <c r="O30" i="31"/>
  <c r="H30" i="31"/>
  <c r="I34" i="31"/>
  <c r="K42" i="31"/>
  <c r="L47" i="31"/>
  <c r="K54" i="31"/>
  <c r="K61" i="31"/>
  <c r="I61" i="31"/>
  <c r="H61" i="31"/>
  <c r="O61" i="31"/>
  <c r="J61" i="31"/>
  <c r="M61" i="31"/>
  <c r="L61" i="31"/>
  <c r="K21" i="31"/>
  <c r="I21" i="31"/>
  <c r="J21" i="31"/>
  <c r="H21" i="31"/>
  <c r="O21" i="31"/>
  <c r="M21" i="31"/>
  <c r="L21" i="31"/>
  <c r="K9" i="31"/>
  <c r="I9" i="31"/>
  <c r="J9" i="31"/>
  <c r="H9" i="31"/>
  <c r="M9" i="31"/>
  <c r="O9" i="31"/>
  <c r="L9" i="31"/>
  <c r="K13" i="31"/>
  <c r="I13" i="31"/>
  <c r="H13" i="31"/>
  <c r="J13" i="31"/>
  <c r="M13" i="31"/>
  <c r="O13" i="31"/>
  <c r="L13" i="31"/>
  <c r="K29" i="31"/>
  <c r="I29" i="31"/>
  <c r="H29" i="31"/>
  <c r="J29" i="31"/>
  <c r="O29" i="31"/>
  <c r="M29" i="31"/>
  <c r="L29" i="31"/>
  <c r="K49" i="31"/>
  <c r="I49" i="31"/>
  <c r="H49" i="31"/>
  <c r="J49" i="31"/>
  <c r="M49" i="31"/>
  <c r="O49" i="31"/>
  <c r="L49" i="31"/>
  <c r="K17" i="31"/>
  <c r="I17" i="31"/>
  <c r="J17" i="31"/>
  <c r="H17" i="31"/>
  <c r="M17" i="31"/>
  <c r="L17" i="31"/>
  <c r="O17" i="31"/>
  <c r="K33" i="31"/>
  <c r="I33" i="31"/>
  <c r="J33" i="31"/>
  <c r="H33" i="31"/>
  <c r="M33" i="31"/>
  <c r="O33" i="31"/>
  <c r="L33" i="31"/>
  <c r="K41" i="31"/>
  <c r="I41" i="31"/>
  <c r="H41" i="31"/>
  <c r="J41" i="31"/>
  <c r="O41" i="31"/>
  <c r="M41" i="31"/>
  <c r="L41" i="31"/>
  <c r="K53" i="31"/>
  <c r="I53" i="31"/>
  <c r="H53" i="31"/>
  <c r="O53" i="31"/>
  <c r="J53" i="31"/>
  <c r="M53" i="31"/>
  <c r="L53" i="31"/>
  <c r="K57" i="31"/>
  <c r="I57" i="31"/>
  <c r="H57" i="31"/>
  <c r="O57" i="31"/>
  <c r="J57" i="31"/>
  <c r="M57" i="31"/>
  <c r="L57" i="31"/>
  <c r="K37" i="31"/>
  <c r="I37" i="31"/>
  <c r="H37" i="31"/>
  <c r="J37" i="31"/>
  <c r="L37" i="31"/>
  <c r="M37" i="31"/>
  <c r="O37" i="31"/>
  <c r="H56" i="31"/>
  <c r="M56" i="31"/>
  <c r="O56" i="31"/>
  <c r="H28" i="31"/>
  <c r="O28" i="31"/>
  <c r="K45" i="31"/>
  <c r="J45" i="31"/>
  <c r="I45" i="31"/>
  <c r="H45" i="31"/>
  <c r="H60" i="31"/>
  <c r="M60" i="31"/>
  <c r="O60" i="31"/>
  <c r="H48" i="31"/>
  <c r="O48" i="31"/>
  <c r="H20" i="31"/>
  <c r="O20" i="31"/>
  <c r="H40" i="31"/>
  <c r="O40" i="31"/>
  <c r="H12" i="31"/>
  <c r="O12" i="31"/>
  <c r="H32" i="31"/>
  <c r="O32" i="31"/>
  <c r="H52" i="31"/>
  <c r="O52" i="31"/>
  <c r="H24" i="31"/>
  <c r="O24" i="31"/>
  <c r="J28" i="31"/>
  <c r="H44" i="31"/>
  <c r="O44" i="31"/>
  <c r="I48" i="31"/>
  <c r="I60" i="31"/>
  <c r="H16" i="31"/>
  <c r="O16" i="31"/>
  <c r="I20" i="31"/>
  <c r="K28" i="31"/>
  <c r="L45" i="31"/>
  <c r="J48" i="31"/>
  <c r="J20" i="31"/>
  <c r="L28" i="31"/>
  <c r="H36" i="31"/>
  <c r="O36" i="31"/>
  <c r="I40" i="31"/>
  <c r="M45" i="31"/>
  <c r="K48" i="31"/>
  <c r="K60" i="31"/>
  <c r="O45" i="31"/>
  <c r="H8" i="31"/>
  <c r="O8" i="31"/>
  <c r="I12" i="31"/>
  <c r="K20" i="31"/>
  <c r="K25" i="31"/>
  <c r="I25" i="31"/>
  <c r="H25" i="31"/>
  <c r="J25" i="31"/>
  <c r="M28" i="31"/>
  <c r="J40" i="31"/>
  <c r="L48" i="31"/>
  <c r="L60" i="31"/>
  <c r="M29" i="29"/>
  <c r="M52" i="29"/>
  <c r="M41" i="29"/>
  <c r="M27" i="29"/>
  <c r="K46" i="29"/>
  <c r="M10" i="29"/>
  <c r="K35" i="29"/>
  <c r="M58" i="29"/>
  <c r="K59" i="29"/>
  <c r="M23" i="29"/>
  <c r="J59" i="29"/>
  <c r="L23" i="29"/>
  <c r="K23" i="29"/>
  <c r="K10" i="29"/>
  <c r="L58" i="29"/>
  <c r="J35" i="29"/>
  <c r="J46" i="29"/>
  <c r="K58" i="29"/>
  <c r="J44" i="29"/>
  <c r="K44" i="29"/>
  <c r="J55" i="29"/>
  <c r="J66" i="29"/>
  <c r="L29" i="29"/>
  <c r="M66" i="29"/>
  <c r="K29" i="29"/>
  <c r="H17" i="29"/>
  <c r="H18" i="29"/>
  <c r="L66" i="29"/>
  <c r="M16" i="29"/>
  <c r="K66" i="29"/>
  <c r="M49" i="29"/>
  <c r="L35" i="29"/>
  <c r="L49" i="29"/>
  <c r="J9" i="29"/>
  <c r="K26" i="29"/>
  <c r="L26" i="29"/>
  <c r="M26" i="29"/>
  <c r="J26" i="29"/>
  <c r="L19" i="29"/>
  <c r="M19" i="29"/>
  <c r="I32" i="29"/>
  <c r="K32" i="29"/>
  <c r="L32" i="29"/>
  <c r="M32" i="29"/>
  <c r="J32" i="29"/>
  <c r="H12" i="29"/>
  <c r="K12" i="29"/>
  <c r="M12" i="29"/>
  <c r="K25" i="29"/>
  <c r="I18" i="29"/>
  <c r="I50" i="29"/>
  <c r="K50" i="29"/>
  <c r="I56" i="29"/>
  <c r="J56" i="29"/>
  <c r="H36" i="29"/>
  <c r="I36" i="29"/>
  <c r="H32" i="29"/>
  <c r="J36" i="29"/>
  <c r="H62" i="29"/>
  <c r="I62" i="29"/>
  <c r="K62" i="29"/>
  <c r="L62" i="29"/>
  <c r="J62" i="29"/>
  <c r="M62" i="29"/>
  <c r="L55" i="29"/>
  <c r="L48" i="29"/>
  <c r="M48" i="29"/>
  <c r="K55" i="29"/>
  <c r="J38" i="29"/>
  <c r="H38" i="29"/>
  <c r="I38" i="29"/>
  <c r="K38" i="29"/>
  <c r="L38" i="29"/>
  <c r="M38" i="29"/>
  <c r="H50" i="29"/>
  <c r="K8" i="29"/>
  <c r="H8" i="29"/>
  <c r="M8" i="29"/>
  <c r="M53" i="29"/>
  <c r="K41" i="29"/>
  <c r="M17" i="29"/>
  <c r="H11" i="29"/>
  <c r="L53" i="29"/>
  <c r="M47" i="29"/>
  <c r="J41" i="29"/>
  <c r="L17" i="29"/>
  <c r="H58" i="29"/>
  <c r="K53" i="29"/>
  <c r="L47" i="29"/>
  <c r="K17" i="29"/>
  <c r="J53" i="29"/>
  <c r="K47" i="29"/>
  <c r="L40" i="29"/>
  <c r="M11" i="29"/>
  <c r="H59" i="29"/>
  <c r="L57" i="29"/>
  <c r="K40" i="29"/>
  <c r="J21" i="29"/>
  <c r="K16" i="29"/>
  <c r="L11" i="29"/>
  <c r="J40" i="29"/>
  <c r="M46" i="29"/>
  <c r="I40" i="29"/>
  <c r="I16" i="29"/>
  <c r="K11" i="29"/>
  <c r="M40" i="29"/>
  <c r="H37" i="29"/>
  <c r="I37" i="29"/>
  <c r="J37" i="29"/>
  <c r="L37" i="29"/>
  <c r="M37" i="29"/>
  <c r="K37" i="29"/>
  <c r="H61" i="29"/>
  <c r="I61" i="29"/>
  <c r="K61" i="29"/>
  <c r="L61" i="29"/>
  <c r="M61" i="29"/>
  <c r="J61" i="29"/>
  <c r="J54" i="29"/>
  <c r="K54" i="29"/>
  <c r="H54" i="29"/>
  <c r="I54" i="29"/>
  <c r="L54" i="29"/>
  <c r="M54" i="29"/>
  <c r="H31" i="29"/>
  <c r="I31" i="29"/>
  <c r="J31" i="29"/>
  <c r="K31" i="29"/>
  <c r="L31" i="29"/>
  <c r="M31" i="29"/>
  <c r="J30" i="29"/>
  <c r="L30" i="29"/>
  <c r="M30" i="29"/>
  <c r="H30" i="29"/>
  <c r="I30" i="29"/>
  <c r="K30" i="29"/>
  <c r="J24" i="29"/>
  <c r="M24" i="29"/>
  <c r="H24" i="29"/>
  <c r="I24" i="29"/>
  <c r="K24" i="29"/>
  <c r="L24" i="29"/>
  <c r="M68" i="29"/>
  <c r="M60" i="29"/>
  <c r="H67" i="29"/>
  <c r="I67" i="29"/>
  <c r="H43" i="29"/>
  <c r="I43" i="29"/>
  <c r="J43" i="29"/>
  <c r="L60" i="29"/>
  <c r="H44" i="29"/>
  <c r="H51" i="29"/>
  <c r="I51" i="29"/>
  <c r="J51" i="29"/>
  <c r="H13" i="29"/>
  <c r="I13" i="29"/>
  <c r="J13" i="29"/>
  <c r="K60" i="29"/>
  <c r="I60" i="29"/>
  <c r="L43" i="29"/>
  <c r="H19" i="29"/>
  <c r="I19" i="29"/>
  <c r="J19" i="29"/>
  <c r="H68" i="29"/>
  <c r="H60" i="29"/>
  <c r="M14" i="29"/>
  <c r="H57" i="29"/>
  <c r="I57" i="29"/>
  <c r="K70" i="29"/>
  <c r="M51" i="29"/>
  <c r="M42" i="29"/>
  <c r="L34" i="29"/>
  <c r="J18" i="29"/>
  <c r="L18" i="29"/>
  <c r="I70" i="29"/>
  <c r="K48" i="29"/>
  <c r="L42" i="29"/>
  <c r="H26" i="29"/>
  <c r="K20" i="29"/>
  <c r="I14" i="29"/>
  <c r="H55" i="29"/>
  <c r="I55" i="29"/>
  <c r="L72" i="29"/>
  <c r="H70" i="29"/>
  <c r="K67" i="29"/>
  <c r="L64" i="29"/>
  <c r="L56" i="29"/>
  <c r="K51" i="29"/>
  <c r="I48" i="29"/>
  <c r="L45" i="29"/>
  <c r="K42" i="29"/>
  <c r="M36" i="29"/>
  <c r="I34" i="29"/>
  <c r="L28" i="29"/>
  <c r="M22" i="29"/>
  <c r="I20" i="29"/>
  <c r="H63" i="29"/>
  <c r="I63" i="29"/>
  <c r="I10" i="29"/>
  <c r="J10" i="29"/>
  <c r="L10" i="29"/>
  <c r="I44" i="29"/>
  <c r="J14" i="29"/>
  <c r="L14" i="29"/>
  <c r="L68" i="29"/>
  <c r="K52" i="29"/>
  <c r="M43" i="29"/>
  <c r="I68" i="29"/>
  <c r="I52" i="29"/>
  <c r="H49" i="29"/>
  <c r="I49" i="29"/>
  <c r="J49" i="29"/>
  <c r="H27" i="29"/>
  <c r="I27" i="29"/>
  <c r="J27" i="29"/>
  <c r="I12" i="29"/>
  <c r="J12" i="29"/>
  <c r="L12" i="29"/>
  <c r="H52" i="29"/>
  <c r="K43" i="29"/>
  <c r="M20" i="29"/>
  <c r="M67" i="29"/>
  <c r="J57" i="29"/>
  <c r="H46" i="29"/>
  <c r="I26" i="29"/>
  <c r="L20" i="29"/>
  <c r="K14" i="29"/>
  <c r="H25" i="29"/>
  <c r="I25" i="29"/>
  <c r="J25" i="29"/>
  <c r="M72" i="29"/>
  <c r="L67" i="29"/>
  <c r="M56" i="29"/>
  <c r="L51" i="29"/>
  <c r="M45" i="29"/>
  <c r="K34" i="29"/>
  <c r="M28" i="29"/>
  <c r="K72" i="29"/>
  <c r="M69" i="29"/>
  <c r="J67" i="29"/>
  <c r="K64" i="29"/>
  <c r="K56" i="29"/>
  <c r="M50" i="29"/>
  <c r="H48" i="29"/>
  <c r="I42" i="29"/>
  <c r="L36" i="29"/>
  <c r="H34" i="29"/>
  <c r="K28" i="29"/>
  <c r="L25" i="29"/>
  <c r="L22" i="29"/>
  <c r="H20" i="29"/>
  <c r="M13" i="29"/>
  <c r="L52" i="29"/>
  <c r="K68" i="29"/>
  <c r="L50" i="29"/>
  <c r="M44" i="29"/>
  <c r="H42" i="29"/>
  <c r="K36" i="29"/>
  <c r="I28" i="29"/>
  <c r="K22" i="29"/>
  <c r="L13" i="29"/>
  <c r="J16" i="29"/>
  <c r="L16" i="29"/>
  <c r="L44" i="29"/>
  <c r="I22" i="29"/>
  <c r="H69" i="29"/>
  <c r="I69" i="29"/>
  <c r="H45" i="29"/>
  <c r="I45" i="29"/>
  <c r="J45" i="29"/>
  <c r="I8" i="29"/>
  <c r="J8" i="29"/>
  <c r="L8" i="29"/>
  <c r="I71" i="29"/>
  <c r="I65" i="29"/>
  <c r="I59" i="29"/>
  <c r="I53" i="29"/>
  <c r="I47" i="29"/>
  <c r="I41" i="29"/>
  <c r="I39" i="29"/>
  <c r="I35" i="29"/>
  <c r="I33" i="29"/>
  <c r="I29" i="29"/>
  <c r="I23" i="29"/>
  <c r="I21" i="29"/>
  <c r="I17" i="29"/>
  <c r="I15" i="29"/>
  <c r="I11" i="29"/>
  <c r="I9" i="29"/>
  <c r="I7" i="29"/>
  <c r="J7" i="29"/>
  <c r="K7" i="29"/>
  <c r="L7" i="29"/>
  <c r="M7" i="29"/>
  <c r="H7" i="29"/>
  <c r="J18" i="32" l="1"/>
  <c r="J19" i="32" s="1"/>
  <c r="M20" i="32"/>
  <c r="M22" i="32" s="1"/>
  <c r="M21" i="32"/>
  <c r="I20" i="32"/>
  <c r="I22" i="32" s="1"/>
  <c r="I21" i="32"/>
  <c r="K20" i="32"/>
  <c r="K22" i="32" s="1"/>
  <c r="K21" i="32"/>
  <c r="J20" i="32"/>
  <c r="J22" i="32" s="1"/>
  <c r="J21" i="32"/>
  <c r="L18" i="32"/>
  <c r="L19" i="32" s="1"/>
  <c r="H18" i="32"/>
  <c r="M69" i="31"/>
  <c r="M70" i="31" s="1"/>
  <c r="M72" i="31" s="1"/>
  <c r="J69" i="31"/>
  <c r="J70" i="31" s="1"/>
  <c r="L69" i="31"/>
  <c r="L70" i="31" s="1"/>
  <c r="L71" i="31" s="1"/>
  <c r="L73" i="31" s="1"/>
  <c r="K69" i="31"/>
  <c r="K70" i="31" s="1"/>
  <c r="K71" i="31" s="1"/>
  <c r="K73" i="31" s="1"/>
  <c r="J71" i="31"/>
  <c r="J73" i="31" s="1"/>
  <c r="J72" i="31"/>
  <c r="I69" i="31"/>
  <c r="I70" i="31" s="1"/>
  <c r="H69" i="31"/>
  <c r="I73" i="29"/>
  <c r="I74" i="29" s="1"/>
  <c r="H73" i="29"/>
  <c r="H74" i="29" s="1"/>
  <c r="H76" i="29" s="1"/>
  <c r="L21" i="32" l="1"/>
  <c r="L20" i="32"/>
  <c r="L22" i="32" s="1"/>
  <c r="H19" i="32"/>
  <c r="N18" i="32"/>
  <c r="K72" i="31"/>
  <c r="L72" i="31"/>
  <c r="M71" i="31"/>
  <c r="M73" i="31" s="1"/>
  <c r="H70" i="31"/>
  <c r="N69" i="31"/>
  <c r="I71" i="31"/>
  <c r="I73" i="31" s="1"/>
  <c r="I72" i="31"/>
  <c r="H20" i="32" l="1"/>
  <c r="H21" i="32"/>
  <c r="N19" i="32"/>
  <c r="H72" i="31"/>
  <c r="H71" i="31"/>
  <c r="N70" i="31"/>
  <c r="H22" i="32" l="1"/>
  <c r="N20" i="32"/>
  <c r="N21" i="32" s="1"/>
  <c r="N71" i="31"/>
  <c r="N72" i="31" s="1"/>
  <c r="H73" i="31"/>
  <c r="R13" i="27" l="1"/>
  <c r="M20" i="27"/>
  <c r="M19" i="27"/>
  <c r="M18" i="27"/>
  <c r="M17" i="27"/>
  <c r="M16" i="27"/>
  <c r="M14" i="27"/>
  <c r="N20" i="27"/>
  <c r="N19" i="27"/>
  <c r="N18" i="27"/>
  <c r="N17" i="27"/>
  <c r="N16" i="27"/>
  <c r="N14" i="27"/>
  <c r="O20" i="27"/>
  <c r="O19" i="27"/>
  <c r="O18" i="27"/>
  <c r="O17" i="27"/>
  <c r="O16" i="27"/>
  <c r="O14" i="27"/>
  <c r="O69" i="29"/>
  <c r="O70" i="29"/>
  <c r="O71" i="29"/>
  <c r="O72" i="29"/>
  <c r="O66" i="29"/>
  <c r="O67" i="29"/>
  <c r="O68" i="29"/>
  <c r="N21" i="27" l="1"/>
  <c r="M21" i="27"/>
  <c r="O21" i="27"/>
  <c r="O20" i="29"/>
  <c r="O24" i="29"/>
  <c r="O26" i="29"/>
  <c r="O38" i="29"/>
  <c r="O50" i="29"/>
  <c r="O11" i="29"/>
  <c r="O19" i="29"/>
  <c r="O21" i="29"/>
  <c r="O25" i="29"/>
  <c r="O29" i="29"/>
  <c r="O45" i="29"/>
  <c r="O49" i="29"/>
  <c r="O53" i="29"/>
  <c r="O57" i="29"/>
  <c r="O40" i="29"/>
  <c r="O44" i="29"/>
  <c r="O48" i="29"/>
  <c r="O37" i="29"/>
  <c r="O31" i="29"/>
  <c r="O39" i="29"/>
  <c r="O55" i="29"/>
  <c r="O17" i="29"/>
  <c r="O41" i="29"/>
  <c r="O18" i="29"/>
  <c r="O22" i="29"/>
  <c r="O23" i="29"/>
  <c r="O30" i="29"/>
  <c r="O34" i="29"/>
  <c r="O27" i="29"/>
  <c r="O35" i="29"/>
  <c r="O42" i="29"/>
  <c r="O46" i="29"/>
  <c r="O28" i="29"/>
  <c r="O43" i="29"/>
  <c r="O13" i="29"/>
  <c r="O32" i="29"/>
  <c r="O36" i="29"/>
  <c r="O47" i="29"/>
  <c r="O51" i="29"/>
  <c r="O54" i="29"/>
  <c r="O10" i="29"/>
  <c r="O14" i="29"/>
  <c r="O33" i="29"/>
  <c r="O52" i="29"/>
  <c r="O56" i="29"/>
  <c r="O8" i="29"/>
  <c r="O12" i="29"/>
  <c r="O16" i="29"/>
  <c r="O9" i="29"/>
  <c r="O15" i="29"/>
  <c r="R11" i="27" l="1"/>
  <c r="R10" i="27"/>
  <c r="R9" i="27"/>
  <c r="R8" i="27"/>
  <c r="I14" i="27"/>
  <c r="G16" i="27"/>
  <c r="L20" i="27"/>
  <c r="K20" i="27"/>
  <c r="J20" i="27"/>
  <c r="I20" i="27"/>
  <c r="H20" i="27"/>
  <c r="G20" i="27"/>
  <c r="L19" i="27"/>
  <c r="K19" i="27"/>
  <c r="J19" i="27"/>
  <c r="I19" i="27"/>
  <c r="H19" i="27"/>
  <c r="G19" i="27"/>
  <c r="L18" i="27"/>
  <c r="K18" i="27"/>
  <c r="J18" i="27"/>
  <c r="I18" i="27"/>
  <c r="H18" i="27"/>
  <c r="G18" i="27"/>
  <c r="L17" i="27"/>
  <c r="K17" i="27"/>
  <c r="J17" i="27"/>
  <c r="I17" i="27"/>
  <c r="H17" i="27"/>
  <c r="G17" i="27"/>
  <c r="L16" i="27"/>
  <c r="K16" i="27"/>
  <c r="J16" i="27"/>
  <c r="I16" i="27"/>
  <c r="H16" i="27"/>
  <c r="F16" i="27"/>
  <c r="L14" i="27"/>
  <c r="K14" i="27"/>
  <c r="J14" i="27"/>
  <c r="H14" i="27"/>
  <c r="G14" i="27"/>
  <c r="F14" i="27"/>
  <c r="P13" i="27"/>
  <c r="P11" i="27"/>
  <c r="P10" i="27"/>
  <c r="P9" i="27"/>
  <c r="P8" i="27"/>
  <c r="P7" i="27"/>
  <c r="R21" i="27" l="1"/>
  <c r="S21" i="27" s="1"/>
  <c r="T21" i="27" s="1"/>
  <c r="J21" i="27"/>
  <c r="K21" i="27"/>
  <c r="P20" i="27"/>
  <c r="P18" i="27"/>
  <c r="P16" i="27"/>
  <c r="I21" i="27"/>
  <c r="P17" i="27"/>
  <c r="P19" i="27"/>
  <c r="P14" i="27"/>
  <c r="H21" i="27"/>
  <c r="G21" i="27"/>
  <c r="L21" i="27"/>
  <c r="F21" i="27"/>
  <c r="P21" i="27" l="1"/>
  <c r="O7" i="29" l="1"/>
  <c r="Q16" i="22"/>
  <c r="Y7" i="24"/>
  <c r="Q66" i="24"/>
  <c r="U66" i="24" s="1"/>
  <c r="Q65" i="24"/>
  <c r="S65" i="24" s="1"/>
  <c r="Q64" i="24"/>
  <c r="Q63" i="24"/>
  <c r="V63" i="24" s="1"/>
  <c r="Q62" i="24"/>
  <c r="V62" i="24" s="1"/>
  <c r="U61" i="24"/>
  <c r="Q61" i="24"/>
  <c r="U60" i="24"/>
  <c r="S60" i="24"/>
  <c r="Q60" i="24"/>
  <c r="T60" i="24" s="1"/>
  <c r="Q59" i="24"/>
  <c r="S59" i="24" s="1"/>
  <c r="Q58" i="24"/>
  <c r="U56" i="24"/>
  <c r="S56" i="24"/>
  <c r="Q56" i="24"/>
  <c r="V56" i="24" s="1"/>
  <c r="S55" i="24"/>
  <c r="Q55" i="24"/>
  <c r="V55" i="24" s="1"/>
  <c r="U54" i="24"/>
  <c r="Q54" i="24"/>
  <c r="U53" i="24"/>
  <c r="S53" i="24"/>
  <c r="Q53" i="24"/>
  <c r="T53" i="24" s="1"/>
  <c r="Q52" i="24"/>
  <c r="S52" i="24" s="1"/>
  <c r="Q51" i="24"/>
  <c r="V51" i="24" s="1"/>
  <c r="Z50" i="24"/>
  <c r="Z49" i="24"/>
  <c r="Q48" i="24"/>
  <c r="V48" i="24" s="1"/>
  <c r="U47" i="24"/>
  <c r="S47" i="24"/>
  <c r="Q47" i="24"/>
  <c r="V47" i="24" s="1"/>
  <c r="S46" i="24"/>
  <c r="Q46" i="24"/>
  <c r="V46" i="24" s="1"/>
  <c r="U45" i="24"/>
  <c r="Q45" i="24"/>
  <c r="U44" i="24"/>
  <c r="S44" i="24"/>
  <c r="Q44" i="24"/>
  <c r="T44" i="24" s="1"/>
  <c r="Q43" i="24"/>
  <c r="S43" i="24" s="1"/>
  <c r="Q42" i="24"/>
  <c r="V42" i="24" s="1"/>
  <c r="U41" i="24"/>
  <c r="S41" i="24"/>
  <c r="Q41" i="24"/>
  <c r="V41" i="24" s="1"/>
  <c r="S40" i="24"/>
  <c r="Q40" i="24"/>
  <c r="V40" i="24" s="1"/>
  <c r="U39" i="24"/>
  <c r="Q39" i="24"/>
  <c r="U38" i="24"/>
  <c r="S38" i="24"/>
  <c r="Q38" i="24"/>
  <c r="T38" i="24" s="1"/>
  <c r="Q37" i="24"/>
  <c r="S37" i="24" s="1"/>
  <c r="Q36" i="24"/>
  <c r="V36" i="24" s="1"/>
  <c r="U35" i="24"/>
  <c r="S35" i="24"/>
  <c r="Q35" i="24"/>
  <c r="V35" i="24" s="1"/>
  <c r="S34" i="24"/>
  <c r="Q34" i="24"/>
  <c r="V34" i="24" s="1"/>
  <c r="Z33" i="24"/>
  <c r="Z32" i="24"/>
  <c r="S31" i="24"/>
  <c r="Q31" i="24"/>
  <c r="V31" i="24" s="1"/>
  <c r="U30" i="24"/>
  <c r="Q30" i="24"/>
  <c r="U29" i="24"/>
  <c r="S29" i="24"/>
  <c r="Q29" i="24"/>
  <c r="T29" i="24" s="1"/>
  <c r="Z28" i="24"/>
  <c r="T27" i="24"/>
  <c r="R27" i="24"/>
  <c r="Q27" i="24"/>
  <c r="S27" i="24" s="1"/>
  <c r="R26" i="24"/>
  <c r="Q26" i="24"/>
  <c r="V25" i="24"/>
  <c r="T25" i="24"/>
  <c r="Q25" i="24"/>
  <c r="T24" i="24"/>
  <c r="Q24" i="24"/>
  <c r="V23" i="24"/>
  <c r="U23" i="24"/>
  <c r="T23" i="24"/>
  <c r="R23" i="24"/>
  <c r="W23" i="24" s="1"/>
  <c r="X23" i="24" s="1"/>
  <c r="Z23" i="24" s="1"/>
  <c r="Y23" i="24" s="1"/>
  <c r="Q23" i="24"/>
  <c r="S23" i="24" s="1"/>
  <c r="V22" i="24"/>
  <c r="U22" i="24"/>
  <c r="T22" i="24"/>
  <c r="Q22" i="24"/>
  <c r="S22" i="24" s="1"/>
  <c r="T21" i="24"/>
  <c r="S21" i="24"/>
  <c r="R21" i="24"/>
  <c r="Q21" i="24"/>
  <c r="V21" i="24" s="1"/>
  <c r="R20" i="24"/>
  <c r="Q20" i="24"/>
  <c r="V19" i="24"/>
  <c r="T19" i="24"/>
  <c r="S19" i="24"/>
  <c r="Q19" i="24"/>
  <c r="U19" i="24" s="1"/>
  <c r="T18" i="24"/>
  <c r="Q18" i="24"/>
  <c r="V17" i="24"/>
  <c r="U17" i="24"/>
  <c r="T17" i="24"/>
  <c r="S17" i="24"/>
  <c r="R17" i="24"/>
  <c r="W17" i="24" s="1"/>
  <c r="X17" i="24" s="1"/>
  <c r="Z17" i="24" s="1"/>
  <c r="Y17" i="24" s="1"/>
  <c r="Q17" i="24"/>
  <c r="V16" i="24"/>
  <c r="T16" i="24"/>
  <c r="Q16" i="24"/>
  <c r="U16" i="24" s="1"/>
  <c r="T15" i="24"/>
  <c r="S15" i="24"/>
  <c r="R15" i="24"/>
  <c r="Q15" i="24"/>
  <c r="V15" i="24" s="1"/>
  <c r="U14" i="24"/>
  <c r="R14" i="24"/>
  <c r="Q14" i="24"/>
  <c r="Z13" i="24"/>
  <c r="Q12" i="24"/>
  <c r="V12" i="24" s="1"/>
  <c r="V11" i="24"/>
  <c r="U11" i="24"/>
  <c r="S11" i="24"/>
  <c r="R11" i="24"/>
  <c r="Q11" i="24"/>
  <c r="T11" i="24" s="1"/>
  <c r="T10" i="24"/>
  <c r="S10" i="24"/>
  <c r="Q10" i="24"/>
  <c r="V10" i="24" s="1"/>
  <c r="U9" i="24"/>
  <c r="Q9" i="24"/>
  <c r="V8" i="24"/>
  <c r="U8" i="24"/>
  <c r="T8" i="24"/>
  <c r="S8" i="24"/>
  <c r="R8" i="24"/>
  <c r="Q8" i="24"/>
  <c r="W8" i="24" s="1"/>
  <c r="X8" i="24" s="1"/>
  <c r="Z8" i="24" s="1"/>
  <c r="Y8" i="24" s="1"/>
  <c r="Q7" i="24"/>
  <c r="S7" i="24" s="1"/>
  <c r="Q61" i="8"/>
  <c r="Q60" i="8"/>
  <c r="Q56" i="8"/>
  <c r="V56" i="8" s="1"/>
  <c r="Q53" i="8"/>
  <c r="V53" i="8" s="1"/>
  <c r="Q52" i="8"/>
  <c r="T52" i="8" s="1"/>
  <c r="Q51" i="8"/>
  <c r="V51" i="8" s="1"/>
  <c r="Q40" i="8"/>
  <c r="U40" i="8" s="1"/>
  <c r="Q39" i="8"/>
  <c r="U39" i="8" s="1"/>
  <c r="Q31" i="8"/>
  <c r="Q30" i="8"/>
  <c r="V30" i="8" s="1"/>
  <c r="Q29" i="8"/>
  <c r="V29" i="8" s="1"/>
  <c r="Q26" i="8"/>
  <c r="V26" i="8" s="1"/>
  <c r="Q25" i="8"/>
  <c r="V25" i="8" s="1"/>
  <c r="Q24" i="8"/>
  <c r="V24" i="8" s="1"/>
  <c r="Q12" i="8"/>
  <c r="V51" i="23"/>
  <c r="Q51" i="23"/>
  <c r="U51" i="23" s="1"/>
  <c r="V50" i="23"/>
  <c r="U50" i="23"/>
  <c r="T50" i="23"/>
  <c r="R50" i="23"/>
  <c r="Q50" i="23"/>
  <c r="S50" i="23" s="1"/>
  <c r="W50" i="23" s="1"/>
  <c r="X50" i="23" s="1"/>
  <c r="Z50" i="23" s="1"/>
  <c r="Y50" i="23" s="1"/>
  <c r="W49" i="23"/>
  <c r="X49" i="23" s="1"/>
  <c r="Z49" i="23" s="1"/>
  <c r="Y49" i="23" s="1"/>
  <c r="V49" i="23"/>
  <c r="U49" i="23"/>
  <c r="T49" i="23"/>
  <c r="S49" i="23"/>
  <c r="R49" i="23"/>
  <c r="Q49" i="23"/>
  <c r="U48" i="23"/>
  <c r="T48" i="23"/>
  <c r="S48" i="23"/>
  <c r="Q48" i="23"/>
  <c r="V48" i="23" s="1"/>
  <c r="Q47" i="23"/>
  <c r="Q46" i="23"/>
  <c r="V45" i="23"/>
  <c r="Q45" i="23"/>
  <c r="U45" i="23" s="1"/>
  <c r="V44" i="23"/>
  <c r="U44" i="23"/>
  <c r="W44" i="23" s="1"/>
  <c r="X44" i="23" s="1"/>
  <c r="Z44" i="23" s="1"/>
  <c r="Y44" i="23" s="1"/>
  <c r="T44" i="23"/>
  <c r="R44" i="23"/>
  <c r="Q44" i="23"/>
  <c r="S44" i="23" s="1"/>
  <c r="V43" i="23"/>
  <c r="U43" i="23"/>
  <c r="T43" i="23"/>
  <c r="S43" i="23"/>
  <c r="R43" i="23"/>
  <c r="W43" i="23" s="1"/>
  <c r="X43" i="23" s="1"/>
  <c r="Z43" i="23" s="1"/>
  <c r="Y43" i="23" s="1"/>
  <c r="Q43" i="23"/>
  <c r="V42" i="23"/>
  <c r="T42" i="23"/>
  <c r="Q42" i="23"/>
  <c r="Q41" i="23"/>
  <c r="R40" i="23"/>
  <c r="Q40" i="23"/>
  <c r="V39" i="23"/>
  <c r="Q39" i="23"/>
  <c r="U39" i="23" s="1"/>
  <c r="V38" i="23"/>
  <c r="U38" i="23"/>
  <c r="T38" i="23"/>
  <c r="R38" i="23"/>
  <c r="Q38" i="23"/>
  <c r="S38" i="23" s="1"/>
  <c r="W38" i="23" s="1"/>
  <c r="X38" i="23" s="1"/>
  <c r="Z38" i="23" s="1"/>
  <c r="Y38" i="23" s="1"/>
  <c r="V37" i="23"/>
  <c r="U37" i="23"/>
  <c r="T37" i="23"/>
  <c r="S37" i="23"/>
  <c r="W37" i="23" s="1"/>
  <c r="X37" i="23" s="1"/>
  <c r="Z37" i="23" s="1"/>
  <c r="Y37" i="23" s="1"/>
  <c r="R37" i="23"/>
  <c r="Q37" i="23"/>
  <c r="Q36" i="23"/>
  <c r="T35" i="23"/>
  <c r="S35" i="23"/>
  <c r="R35" i="23"/>
  <c r="Q35" i="23"/>
  <c r="Q34" i="23"/>
  <c r="V33" i="23"/>
  <c r="Q33" i="23"/>
  <c r="U33" i="23" s="1"/>
  <c r="V32" i="23"/>
  <c r="U32" i="23"/>
  <c r="T32" i="23"/>
  <c r="R32" i="23"/>
  <c r="Q32" i="23"/>
  <c r="S32" i="23" s="1"/>
  <c r="W32" i="23" s="1"/>
  <c r="X32" i="23" s="1"/>
  <c r="Z32" i="23" s="1"/>
  <c r="Y32" i="23" s="1"/>
  <c r="V31" i="23"/>
  <c r="W31" i="23" s="1"/>
  <c r="X31" i="23" s="1"/>
  <c r="Z31" i="23" s="1"/>
  <c r="Y31" i="23" s="1"/>
  <c r="U31" i="23"/>
  <c r="T31" i="23"/>
  <c r="S31" i="23"/>
  <c r="R31" i="23"/>
  <c r="Q31" i="23"/>
  <c r="Q30" i="23"/>
  <c r="T29" i="23"/>
  <c r="S29" i="23"/>
  <c r="Q29" i="23"/>
  <c r="Q28" i="23"/>
  <c r="V27" i="23"/>
  <c r="Q27" i="23"/>
  <c r="U27" i="23" s="1"/>
  <c r="V26" i="23"/>
  <c r="U26" i="23"/>
  <c r="T26" i="23"/>
  <c r="R26" i="23"/>
  <c r="Q26" i="23"/>
  <c r="S26" i="23" s="1"/>
  <c r="W26" i="23" s="1"/>
  <c r="X26" i="23" s="1"/>
  <c r="Z26" i="23" s="1"/>
  <c r="Y26" i="23" s="1"/>
  <c r="W25" i="23"/>
  <c r="X25" i="23" s="1"/>
  <c r="Z25" i="23" s="1"/>
  <c r="Y25" i="23" s="1"/>
  <c r="V25" i="23"/>
  <c r="U25" i="23"/>
  <c r="T25" i="23"/>
  <c r="S25" i="23"/>
  <c r="R25" i="23"/>
  <c r="Q25" i="23"/>
  <c r="T24" i="23"/>
  <c r="S24" i="23"/>
  <c r="Q24" i="23"/>
  <c r="V24" i="23" s="1"/>
  <c r="Q23" i="23"/>
  <c r="Q22" i="23"/>
  <c r="V21" i="23"/>
  <c r="Q21" i="23"/>
  <c r="U21" i="23" s="1"/>
  <c r="V20" i="23"/>
  <c r="U20" i="23"/>
  <c r="W20" i="23" s="1"/>
  <c r="X20" i="23" s="1"/>
  <c r="Z20" i="23" s="1"/>
  <c r="Y20" i="23" s="1"/>
  <c r="T20" i="23"/>
  <c r="R20" i="23"/>
  <c r="Q20" i="23"/>
  <c r="S20" i="23" s="1"/>
  <c r="V19" i="23"/>
  <c r="U19" i="23"/>
  <c r="T19" i="23"/>
  <c r="S19" i="23"/>
  <c r="R19" i="23"/>
  <c r="W19" i="23" s="1"/>
  <c r="X19" i="23" s="1"/>
  <c r="Z19" i="23" s="1"/>
  <c r="Y19" i="23" s="1"/>
  <c r="Q19" i="23"/>
  <c r="V18" i="23"/>
  <c r="U18" i="23"/>
  <c r="T18" i="23"/>
  <c r="Q18" i="23"/>
  <c r="Q17" i="23"/>
  <c r="R16" i="23"/>
  <c r="Q16" i="23"/>
  <c r="V15" i="23"/>
  <c r="Q15" i="23"/>
  <c r="U15" i="23" s="1"/>
  <c r="V14" i="23"/>
  <c r="W14" i="23" s="1"/>
  <c r="X14" i="23" s="1"/>
  <c r="Z14" i="23" s="1"/>
  <c r="Y14" i="23" s="1"/>
  <c r="U14" i="23"/>
  <c r="T14" i="23"/>
  <c r="R14" i="23"/>
  <c r="Q14" i="23"/>
  <c r="S14" i="23" s="1"/>
  <c r="V13" i="23"/>
  <c r="U13" i="23"/>
  <c r="T13" i="23"/>
  <c r="S13" i="23"/>
  <c r="W13" i="23" s="1"/>
  <c r="X13" i="23" s="1"/>
  <c r="Z13" i="23" s="1"/>
  <c r="Y13" i="23" s="1"/>
  <c r="R13" i="23"/>
  <c r="Q13" i="23"/>
  <c r="Q12" i="23"/>
  <c r="T11" i="23"/>
  <c r="S11" i="23"/>
  <c r="R11" i="23"/>
  <c r="Q11" i="23"/>
  <c r="Q10" i="23"/>
  <c r="V9" i="23"/>
  <c r="Q9" i="23"/>
  <c r="U9" i="23" s="1"/>
  <c r="V8" i="23"/>
  <c r="U8" i="23"/>
  <c r="T8" i="23"/>
  <c r="R8" i="23"/>
  <c r="Q8" i="23"/>
  <c r="S8" i="23" s="1"/>
  <c r="W8" i="23" s="1"/>
  <c r="X8" i="23" s="1"/>
  <c r="Z8" i="23" s="1"/>
  <c r="Y8" i="23" s="1"/>
  <c r="V7" i="23"/>
  <c r="U7" i="23"/>
  <c r="T7" i="23"/>
  <c r="S7" i="23"/>
  <c r="R7" i="23"/>
  <c r="Q7" i="23"/>
  <c r="R18" i="22"/>
  <c r="R14" i="22"/>
  <c r="N14" i="21"/>
  <c r="N18" i="21"/>
  <c r="Q32" i="18"/>
  <c r="P32" i="18"/>
  <c r="O32" i="18"/>
  <c r="N32" i="18"/>
  <c r="M32" i="18"/>
  <c r="L32" i="18"/>
  <c r="K32" i="18"/>
  <c r="J32" i="18"/>
  <c r="I32" i="18"/>
  <c r="H32" i="18"/>
  <c r="G32" i="18"/>
  <c r="F32" i="18"/>
  <c r="E32" i="18"/>
  <c r="D32" i="18"/>
  <c r="C32" i="18"/>
  <c r="T32" i="18" s="1"/>
  <c r="Q31" i="18"/>
  <c r="P31" i="18"/>
  <c r="O31" i="18"/>
  <c r="N31" i="18"/>
  <c r="M31" i="18"/>
  <c r="L31" i="18"/>
  <c r="K31" i="18"/>
  <c r="J31" i="18"/>
  <c r="I31" i="18"/>
  <c r="H31" i="18"/>
  <c r="G31" i="18"/>
  <c r="F31" i="18"/>
  <c r="E31" i="18"/>
  <c r="D31" i="18"/>
  <c r="C31" i="18"/>
  <c r="T31" i="18" s="1"/>
  <c r="Q30" i="18"/>
  <c r="P30" i="18"/>
  <c r="O30" i="18"/>
  <c r="N30" i="18"/>
  <c r="M30" i="18"/>
  <c r="L30" i="18"/>
  <c r="K30" i="18"/>
  <c r="J30" i="18"/>
  <c r="I30" i="18"/>
  <c r="H30" i="18"/>
  <c r="G30" i="18"/>
  <c r="F30" i="18"/>
  <c r="T30" i="18" s="1"/>
  <c r="E30" i="18"/>
  <c r="D30" i="18"/>
  <c r="C30" i="18"/>
  <c r="T29" i="18"/>
  <c r="Q29" i="18"/>
  <c r="P29" i="18"/>
  <c r="O29" i="18"/>
  <c r="N29" i="18"/>
  <c r="M29" i="18"/>
  <c r="L29" i="18"/>
  <c r="K29" i="18"/>
  <c r="J29" i="18"/>
  <c r="I29" i="18"/>
  <c r="H29" i="18"/>
  <c r="G29" i="18"/>
  <c r="F29" i="18"/>
  <c r="E29" i="18"/>
  <c r="D29" i="18"/>
  <c r="C29" i="18"/>
  <c r="Q28" i="18"/>
  <c r="P28" i="18"/>
  <c r="O28" i="18"/>
  <c r="N28" i="18"/>
  <c r="M28" i="18"/>
  <c r="L28" i="18"/>
  <c r="K28" i="18"/>
  <c r="J28" i="18"/>
  <c r="I28" i="18"/>
  <c r="H28" i="18"/>
  <c r="G28" i="18"/>
  <c r="F28" i="18"/>
  <c r="E28" i="18"/>
  <c r="D28" i="18"/>
  <c r="C28" i="18"/>
  <c r="T28" i="18" s="1"/>
  <c r="Q27" i="18"/>
  <c r="P27" i="18"/>
  <c r="O27" i="18"/>
  <c r="N27" i="18"/>
  <c r="M27" i="18"/>
  <c r="L27" i="18"/>
  <c r="K27" i="18"/>
  <c r="J27" i="18"/>
  <c r="I27" i="18"/>
  <c r="H27" i="18"/>
  <c r="G27" i="18"/>
  <c r="F27" i="18"/>
  <c r="T27" i="18" s="1"/>
  <c r="E27" i="18"/>
  <c r="D27" i="18"/>
  <c r="C27" i="18"/>
  <c r="Q26" i="18"/>
  <c r="P26" i="18"/>
  <c r="O26" i="18"/>
  <c r="N26" i="18"/>
  <c r="M26" i="18"/>
  <c r="L26" i="18"/>
  <c r="K26" i="18"/>
  <c r="J26" i="18"/>
  <c r="I26" i="18"/>
  <c r="H26" i="18"/>
  <c r="G26" i="18"/>
  <c r="F26" i="18"/>
  <c r="E26" i="18"/>
  <c r="T26" i="18" s="1"/>
  <c r="D26" i="18"/>
  <c r="C26" i="18"/>
  <c r="Q25" i="18"/>
  <c r="P25" i="18"/>
  <c r="O25" i="18"/>
  <c r="N25" i="18"/>
  <c r="M25" i="18"/>
  <c r="L25" i="18"/>
  <c r="K25" i="18"/>
  <c r="J25" i="18"/>
  <c r="I25" i="18"/>
  <c r="H25" i="18"/>
  <c r="G25" i="18"/>
  <c r="F25" i="18"/>
  <c r="E25" i="18"/>
  <c r="D25" i="18"/>
  <c r="C25" i="18"/>
  <c r="T25" i="18" s="1"/>
  <c r="Q24" i="18"/>
  <c r="P24" i="18"/>
  <c r="O24" i="18"/>
  <c r="N24" i="18"/>
  <c r="M24" i="18"/>
  <c r="L24" i="18"/>
  <c r="K24" i="18"/>
  <c r="J24" i="18"/>
  <c r="I24" i="18"/>
  <c r="H24" i="18"/>
  <c r="G24" i="18"/>
  <c r="F24" i="18"/>
  <c r="T24" i="18" s="1"/>
  <c r="E24" i="18"/>
  <c r="D24" i="18"/>
  <c r="C24" i="18"/>
  <c r="Q23" i="18"/>
  <c r="P23" i="18"/>
  <c r="O23" i="18"/>
  <c r="N23" i="18"/>
  <c r="M23" i="18"/>
  <c r="L23" i="18"/>
  <c r="K23" i="18"/>
  <c r="J23" i="18"/>
  <c r="I23" i="18"/>
  <c r="H23" i="18"/>
  <c r="G23" i="18"/>
  <c r="F23" i="18"/>
  <c r="E23" i="18"/>
  <c r="T23" i="18" s="1"/>
  <c r="D23" i="18"/>
  <c r="C23" i="18"/>
  <c r="Q22" i="18"/>
  <c r="P22" i="18"/>
  <c r="O22" i="18"/>
  <c r="N22" i="18"/>
  <c r="M22" i="18"/>
  <c r="L22" i="18"/>
  <c r="K22" i="18"/>
  <c r="J22" i="18"/>
  <c r="I22" i="18"/>
  <c r="H22" i="18"/>
  <c r="G22" i="18"/>
  <c r="F22" i="18"/>
  <c r="E22" i="18"/>
  <c r="D22" i="18"/>
  <c r="C22" i="18"/>
  <c r="T22" i="18" s="1"/>
  <c r="T33" i="18" s="1"/>
  <c r="T15" i="18"/>
  <c r="T14" i="18"/>
  <c r="T13" i="18"/>
  <c r="T12" i="18"/>
  <c r="T11" i="18"/>
  <c r="T10" i="18"/>
  <c r="M9" i="18"/>
  <c r="L9" i="18"/>
  <c r="J9" i="18"/>
  <c r="G9" i="18"/>
  <c r="C9" i="18"/>
  <c r="T9" i="18" s="1"/>
  <c r="Q28" i="17"/>
  <c r="P28" i="17"/>
  <c r="O28" i="17"/>
  <c r="N28" i="17"/>
  <c r="M28" i="17"/>
  <c r="L28" i="17"/>
  <c r="K28" i="17"/>
  <c r="J28" i="17"/>
  <c r="I28" i="17"/>
  <c r="H28" i="17"/>
  <c r="G28" i="17"/>
  <c r="F28" i="17"/>
  <c r="E28" i="17"/>
  <c r="D28" i="17"/>
  <c r="C28" i="17"/>
  <c r="T28" i="17" s="1"/>
  <c r="Q27" i="17"/>
  <c r="P27" i="17"/>
  <c r="O27" i="17"/>
  <c r="N27" i="17"/>
  <c r="M27" i="17"/>
  <c r="L27" i="17"/>
  <c r="K27" i="17"/>
  <c r="J27" i="17"/>
  <c r="I27" i="17"/>
  <c r="H27" i="17"/>
  <c r="G27" i="17"/>
  <c r="F27" i="17"/>
  <c r="E27" i="17"/>
  <c r="T27" i="17" s="1"/>
  <c r="D27" i="17"/>
  <c r="C27" i="17"/>
  <c r="Q26" i="17"/>
  <c r="P26" i="17"/>
  <c r="O26" i="17"/>
  <c r="N26" i="17"/>
  <c r="M26" i="17"/>
  <c r="L26" i="17"/>
  <c r="K26" i="17"/>
  <c r="J26" i="17"/>
  <c r="I26" i="17"/>
  <c r="H26" i="17"/>
  <c r="G26" i="17"/>
  <c r="F26" i="17"/>
  <c r="E26" i="17"/>
  <c r="D26" i="17"/>
  <c r="T26" i="17" s="1"/>
  <c r="C26" i="17"/>
  <c r="Q25" i="17"/>
  <c r="P25" i="17"/>
  <c r="O25" i="17"/>
  <c r="N25" i="17"/>
  <c r="M25" i="17"/>
  <c r="L25" i="17"/>
  <c r="K25" i="17"/>
  <c r="J25" i="17"/>
  <c r="I25" i="17"/>
  <c r="H25" i="17"/>
  <c r="G25" i="17"/>
  <c r="F25" i="17"/>
  <c r="E25" i="17"/>
  <c r="D25" i="17"/>
  <c r="C25" i="17"/>
  <c r="T25" i="17" s="1"/>
  <c r="Q24" i="17"/>
  <c r="P24" i="17"/>
  <c r="O24" i="17"/>
  <c r="N24" i="17"/>
  <c r="M24" i="17"/>
  <c r="L24" i="17"/>
  <c r="K24" i="17"/>
  <c r="J24" i="17"/>
  <c r="I24" i="17"/>
  <c r="H24" i="17"/>
  <c r="G24" i="17"/>
  <c r="F24" i="17"/>
  <c r="E24" i="17"/>
  <c r="T24" i="17" s="1"/>
  <c r="D24" i="17"/>
  <c r="C24" i="17"/>
  <c r="Q23" i="17"/>
  <c r="P23" i="17"/>
  <c r="O23" i="17"/>
  <c r="N23" i="17"/>
  <c r="M23" i="17"/>
  <c r="L23" i="17"/>
  <c r="K23" i="17"/>
  <c r="J23" i="17"/>
  <c r="I23" i="17"/>
  <c r="H23" i="17"/>
  <c r="G23" i="17"/>
  <c r="F23" i="17"/>
  <c r="E23" i="17"/>
  <c r="D23" i="17"/>
  <c r="T23" i="17" s="1"/>
  <c r="C23" i="17"/>
  <c r="Q22" i="17"/>
  <c r="P22" i="17"/>
  <c r="O22" i="17"/>
  <c r="N22" i="17"/>
  <c r="M22" i="17"/>
  <c r="L22" i="17"/>
  <c r="K22" i="17"/>
  <c r="J22" i="17"/>
  <c r="I22" i="17"/>
  <c r="H22" i="17"/>
  <c r="G22" i="17"/>
  <c r="F22" i="17"/>
  <c r="E22" i="17"/>
  <c r="D22" i="17"/>
  <c r="C22" i="17"/>
  <c r="T22" i="17" s="1"/>
  <c r="Q21" i="17"/>
  <c r="P21" i="17"/>
  <c r="O21" i="17"/>
  <c r="N21" i="17"/>
  <c r="M21" i="17"/>
  <c r="L21" i="17"/>
  <c r="K21" i="17"/>
  <c r="J21" i="17"/>
  <c r="I21" i="17"/>
  <c r="H21" i="17"/>
  <c r="G21" i="17"/>
  <c r="F21" i="17"/>
  <c r="E21" i="17"/>
  <c r="T21" i="17" s="1"/>
  <c r="D21" i="17"/>
  <c r="C21" i="17"/>
  <c r="Q20" i="17"/>
  <c r="P20" i="17"/>
  <c r="O20" i="17"/>
  <c r="N20" i="17"/>
  <c r="M20" i="17"/>
  <c r="L20" i="17"/>
  <c r="K20" i="17"/>
  <c r="J20" i="17"/>
  <c r="I20" i="17"/>
  <c r="H20" i="17"/>
  <c r="G20" i="17"/>
  <c r="F20" i="17"/>
  <c r="E20" i="17"/>
  <c r="D20" i="17"/>
  <c r="T20" i="17" s="1"/>
  <c r="C20" i="17"/>
  <c r="T18" i="17"/>
  <c r="T17" i="17"/>
  <c r="T16" i="17"/>
  <c r="T15" i="17"/>
  <c r="T14" i="17"/>
  <c r="T13" i="17"/>
  <c r="T12" i="17"/>
  <c r="T11" i="17"/>
  <c r="T10" i="17"/>
  <c r="T19" i="17" s="1"/>
  <c r="T9" i="17"/>
  <c r="M9" i="17"/>
  <c r="L9" i="17"/>
  <c r="J9" i="17"/>
  <c r="G9" i="17"/>
  <c r="C9" i="17"/>
  <c r="W11" i="24" l="1"/>
  <c r="X11" i="24" s="1"/>
  <c r="Z11" i="24" s="1"/>
  <c r="Y11" i="24" s="1"/>
  <c r="W26" i="24"/>
  <c r="X26" i="24" s="1"/>
  <c r="Z26" i="24" s="1"/>
  <c r="Y26" i="24" s="1"/>
  <c r="W39" i="24"/>
  <c r="X39" i="24" s="1"/>
  <c r="Z39" i="24" s="1"/>
  <c r="Y39" i="24" s="1"/>
  <c r="W30" i="24"/>
  <c r="X30" i="24" s="1"/>
  <c r="Z30" i="24" s="1"/>
  <c r="Y30" i="24" s="1"/>
  <c r="W15" i="24"/>
  <c r="X15" i="24" s="1"/>
  <c r="Z15" i="24" s="1"/>
  <c r="Y15" i="24" s="1"/>
  <c r="W18" i="24"/>
  <c r="X18" i="24" s="1"/>
  <c r="Z18" i="24" s="1"/>
  <c r="Y18" i="24" s="1"/>
  <c r="T7" i="24"/>
  <c r="R12" i="24"/>
  <c r="S14" i="24"/>
  <c r="U15" i="24"/>
  <c r="S20" i="24"/>
  <c r="W20" i="24" s="1"/>
  <c r="X20" i="24" s="1"/>
  <c r="Z20" i="24" s="1"/>
  <c r="Y20" i="24" s="1"/>
  <c r="U21" i="24"/>
  <c r="W21" i="24" s="1"/>
  <c r="X21" i="24" s="1"/>
  <c r="Z21" i="24" s="1"/>
  <c r="Y21" i="24" s="1"/>
  <c r="S26" i="24"/>
  <c r="U27" i="24"/>
  <c r="V29" i="24"/>
  <c r="R36" i="24"/>
  <c r="T37" i="24"/>
  <c r="W37" i="24" s="1"/>
  <c r="X37" i="24" s="1"/>
  <c r="Z37" i="24" s="1"/>
  <c r="Y37" i="24" s="1"/>
  <c r="V38" i="24"/>
  <c r="R42" i="24"/>
  <c r="T43" i="24"/>
  <c r="V44" i="24"/>
  <c r="R48" i="24"/>
  <c r="R51" i="24"/>
  <c r="T52" i="24"/>
  <c r="V53" i="24"/>
  <c r="R58" i="24"/>
  <c r="W58" i="24" s="1"/>
  <c r="X58" i="24" s="1"/>
  <c r="Z58" i="24" s="1"/>
  <c r="Y58" i="24" s="1"/>
  <c r="T59" i="24"/>
  <c r="V60" i="24"/>
  <c r="R64" i="24"/>
  <c r="W64" i="24" s="1"/>
  <c r="X64" i="24" s="1"/>
  <c r="Z64" i="24" s="1"/>
  <c r="Y64" i="24" s="1"/>
  <c r="T65" i="24"/>
  <c r="V66" i="24"/>
  <c r="U7" i="24"/>
  <c r="S12" i="24"/>
  <c r="T14" i="24"/>
  <c r="W14" i="24" s="1"/>
  <c r="X14" i="24" s="1"/>
  <c r="Z14" i="24" s="1"/>
  <c r="Y14" i="24" s="1"/>
  <c r="R19" i="24"/>
  <c r="W19" i="24" s="1"/>
  <c r="X19" i="24" s="1"/>
  <c r="Z19" i="24" s="1"/>
  <c r="Y19" i="24" s="1"/>
  <c r="T20" i="24"/>
  <c r="R25" i="24"/>
  <c r="W25" i="24" s="1"/>
  <c r="X25" i="24" s="1"/>
  <c r="Z25" i="24" s="1"/>
  <c r="Y25" i="24" s="1"/>
  <c r="T26" i="24"/>
  <c r="V27" i="24"/>
  <c r="W27" i="24" s="1"/>
  <c r="X27" i="24" s="1"/>
  <c r="Z27" i="24" s="1"/>
  <c r="Y27" i="24" s="1"/>
  <c r="W29" i="24"/>
  <c r="X29" i="24" s="1"/>
  <c r="Z29" i="24" s="1"/>
  <c r="Y29" i="24" s="1"/>
  <c r="S36" i="24"/>
  <c r="U37" i="24"/>
  <c r="S42" i="24"/>
  <c r="U43" i="24"/>
  <c r="S48" i="24"/>
  <c r="S51" i="24"/>
  <c r="U52" i="24"/>
  <c r="W53" i="24"/>
  <c r="X53" i="24" s="1"/>
  <c r="Z53" i="24" s="1"/>
  <c r="Y53" i="24" s="1"/>
  <c r="S58" i="24"/>
  <c r="U59" i="24"/>
  <c r="W60" i="24"/>
  <c r="X60" i="24" s="1"/>
  <c r="Z60" i="24" s="1"/>
  <c r="Y60" i="24" s="1"/>
  <c r="S64" i="24"/>
  <c r="U65" i="24"/>
  <c r="V7" i="24"/>
  <c r="T12" i="24"/>
  <c r="U20" i="24"/>
  <c r="S25" i="24"/>
  <c r="U26" i="24"/>
  <c r="R35" i="24"/>
  <c r="W35" i="24" s="1"/>
  <c r="X35" i="24" s="1"/>
  <c r="Z35" i="24" s="1"/>
  <c r="Y35" i="24" s="1"/>
  <c r="T36" i="24"/>
  <c r="V37" i="24"/>
  <c r="R41" i="24"/>
  <c r="T42" i="24"/>
  <c r="V43" i="24"/>
  <c r="R47" i="24"/>
  <c r="T48" i="24"/>
  <c r="T51" i="24"/>
  <c r="V52" i="24"/>
  <c r="R56" i="24"/>
  <c r="T58" i="24"/>
  <c r="V59" i="24"/>
  <c r="R63" i="24"/>
  <c r="T64" i="24"/>
  <c r="V65" i="24"/>
  <c r="U12" i="24"/>
  <c r="V14" i="24"/>
  <c r="R18" i="24"/>
  <c r="V20" i="24"/>
  <c r="R24" i="24"/>
  <c r="W24" i="24" s="1"/>
  <c r="X24" i="24" s="1"/>
  <c r="Z24" i="24" s="1"/>
  <c r="Y24" i="24" s="1"/>
  <c r="V26" i="24"/>
  <c r="U36" i="24"/>
  <c r="U42" i="24"/>
  <c r="W43" i="24"/>
  <c r="X43" i="24" s="1"/>
  <c r="Z43" i="24" s="1"/>
  <c r="Y43" i="24" s="1"/>
  <c r="U48" i="24"/>
  <c r="U51" i="24"/>
  <c r="U58" i="24"/>
  <c r="S63" i="24"/>
  <c r="U64" i="24"/>
  <c r="W65" i="24"/>
  <c r="X65" i="24" s="1"/>
  <c r="Z65" i="24" s="1"/>
  <c r="Y65" i="24" s="1"/>
  <c r="R10" i="24"/>
  <c r="W10" i="24" s="1"/>
  <c r="X10" i="24" s="1"/>
  <c r="Z10" i="24" s="1"/>
  <c r="Y10" i="24" s="1"/>
  <c r="S18" i="24"/>
  <c r="S24" i="24"/>
  <c r="U25" i="24"/>
  <c r="R31" i="24"/>
  <c r="R34" i="24"/>
  <c r="T35" i="24"/>
  <c r="R40" i="24"/>
  <c r="T41" i="24"/>
  <c r="R46" i="24"/>
  <c r="T47" i="24"/>
  <c r="R55" i="24"/>
  <c r="T56" i="24"/>
  <c r="V58" i="24"/>
  <c r="R62" i="24"/>
  <c r="T63" i="24"/>
  <c r="V64" i="24"/>
  <c r="S62" i="24"/>
  <c r="U63" i="24"/>
  <c r="Q67" i="24"/>
  <c r="R9" i="24"/>
  <c r="U18" i="24"/>
  <c r="U24" i="24"/>
  <c r="R30" i="24"/>
  <c r="T31" i="24"/>
  <c r="T34" i="24"/>
  <c r="R39" i="24"/>
  <c r="T40" i="24"/>
  <c r="R45" i="24"/>
  <c r="T46" i="24"/>
  <c r="R54" i="24"/>
  <c r="W54" i="24" s="1"/>
  <c r="X54" i="24" s="1"/>
  <c r="Z54" i="24" s="1"/>
  <c r="Y54" i="24" s="1"/>
  <c r="T55" i="24"/>
  <c r="R61" i="24"/>
  <c r="W61" i="24" s="1"/>
  <c r="X61" i="24" s="1"/>
  <c r="Z61" i="24" s="1"/>
  <c r="Y61" i="24" s="1"/>
  <c r="T62" i="24"/>
  <c r="S9" i="24"/>
  <c r="W9" i="24" s="1"/>
  <c r="X9" i="24" s="1"/>
  <c r="Z9" i="24" s="1"/>
  <c r="Y9" i="24" s="1"/>
  <c r="U10" i="24"/>
  <c r="R16" i="24"/>
  <c r="W16" i="24" s="1"/>
  <c r="X16" i="24" s="1"/>
  <c r="Z16" i="24" s="1"/>
  <c r="Y16" i="24" s="1"/>
  <c r="V18" i="24"/>
  <c r="R22" i="24"/>
  <c r="W22" i="24" s="1"/>
  <c r="X22" i="24" s="1"/>
  <c r="Z22" i="24" s="1"/>
  <c r="Y22" i="24" s="1"/>
  <c r="V24" i="24"/>
  <c r="S30" i="24"/>
  <c r="U31" i="24"/>
  <c r="U34" i="24"/>
  <c r="S39" i="24"/>
  <c r="U40" i="24"/>
  <c r="S45" i="24"/>
  <c r="W45" i="24" s="1"/>
  <c r="X45" i="24" s="1"/>
  <c r="Z45" i="24" s="1"/>
  <c r="Y45" i="24" s="1"/>
  <c r="U46" i="24"/>
  <c r="S54" i="24"/>
  <c r="U55" i="24"/>
  <c r="S61" i="24"/>
  <c r="U62" i="24"/>
  <c r="T9" i="24"/>
  <c r="S16" i="24"/>
  <c r="R29" i="24"/>
  <c r="T30" i="24"/>
  <c r="R38" i="24"/>
  <c r="W38" i="24" s="1"/>
  <c r="X38" i="24" s="1"/>
  <c r="Z38" i="24" s="1"/>
  <c r="Y38" i="24" s="1"/>
  <c r="T39" i="24"/>
  <c r="R44" i="24"/>
  <c r="W44" i="24" s="1"/>
  <c r="X44" i="24" s="1"/>
  <c r="Z44" i="24" s="1"/>
  <c r="Y44" i="24" s="1"/>
  <c r="T45" i="24"/>
  <c r="R53" i="24"/>
  <c r="T54" i="24"/>
  <c r="R60" i="24"/>
  <c r="T61" i="24"/>
  <c r="R66" i="24"/>
  <c r="W66" i="24" s="1"/>
  <c r="X66" i="24" s="1"/>
  <c r="Z66" i="24" s="1"/>
  <c r="Y66" i="24" s="1"/>
  <c r="S66" i="24"/>
  <c r="R7" i="24"/>
  <c r="V9" i="24"/>
  <c r="V30" i="24"/>
  <c r="R37" i="24"/>
  <c r="V39" i="24"/>
  <c r="R43" i="24"/>
  <c r="V45" i="24"/>
  <c r="R52" i="24"/>
  <c r="W52" i="24" s="1"/>
  <c r="X52" i="24" s="1"/>
  <c r="Z52" i="24" s="1"/>
  <c r="Y52" i="24" s="1"/>
  <c r="V54" i="24"/>
  <c r="R59" i="24"/>
  <c r="W59" i="24" s="1"/>
  <c r="X59" i="24" s="1"/>
  <c r="Z59" i="24" s="1"/>
  <c r="Y59" i="24" s="1"/>
  <c r="V61" i="24"/>
  <c r="R65" i="24"/>
  <c r="T66" i="24"/>
  <c r="R61" i="8"/>
  <c r="S61" i="8"/>
  <c r="T61" i="8"/>
  <c r="U61" i="8"/>
  <c r="V61" i="8"/>
  <c r="V60" i="8"/>
  <c r="R60" i="8"/>
  <c r="S60" i="8"/>
  <c r="T60" i="8"/>
  <c r="U60" i="8"/>
  <c r="R56" i="8"/>
  <c r="S56" i="8"/>
  <c r="T56" i="8"/>
  <c r="U56" i="8"/>
  <c r="R53" i="8"/>
  <c r="R52" i="8"/>
  <c r="S52" i="8"/>
  <c r="R51" i="8"/>
  <c r="T51" i="8"/>
  <c r="V52" i="8"/>
  <c r="S53" i="8"/>
  <c r="T53" i="8"/>
  <c r="U53" i="8"/>
  <c r="U52" i="8"/>
  <c r="U51" i="8"/>
  <c r="S51" i="8"/>
  <c r="S39" i="8"/>
  <c r="T39" i="8"/>
  <c r="R40" i="8"/>
  <c r="S40" i="8"/>
  <c r="R39" i="8"/>
  <c r="T40" i="8"/>
  <c r="V40" i="8"/>
  <c r="V39" i="8"/>
  <c r="R31" i="8"/>
  <c r="S31" i="8"/>
  <c r="R30" i="8"/>
  <c r="T31" i="8"/>
  <c r="U31" i="8"/>
  <c r="V31" i="8"/>
  <c r="S29" i="8"/>
  <c r="U30" i="8"/>
  <c r="U29" i="8"/>
  <c r="S30" i="8"/>
  <c r="R29" i="8"/>
  <c r="T30" i="8"/>
  <c r="T29" i="8"/>
  <c r="R25" i="8"/>
  <c r="T26" i="8"/>
  <c r="U26" i="8"/>
  <c r="T25" i="8"/>
  <c r="T24" i="8"/>
  <c r="U24" i="8"/>
  <c r="R26" i="8"/>
  <c r="S26" i="8"/>
  <c r="S25" i="8"/>
  <c r="R24" i="8"/>
  <c r="S24" i="8"/>
  <c r="U25" i="8"/>
  <c r="S12" i="8"/>
  <c r="U12" i="8"/>
  <c r="V12" i="8"/>
  <c r="R12" i="8"/>
  <c r="T12" i="8"/>
  <c r="V22" i="23"/>
  <c r="U22" i="23"/>
  <c r="T22" i="23"/>
  <c r="S22" i="23"/>
  <c r="W22" i="23" s="1"/>
  <c r="X22" i="23" s="1"/>
  <c r="Z22" i="23" s="1"/>
  <c r="Y22" i="23" s="1"/>
  <c r="S46" i="23"/>
  <c r="W46" i="23" s="1"/>
  <c r="X46" i="23" s="1"/>
  <c r="Z46" i="23" s="1"/>
  <c r="Y46" i="23" s="1"/>
  <c r="V46" i="23"/>
  <c r="U46" i="23"/>
  <c r="T46" i="23"/>
  <c r="W7" i="23"/>
  <c r="X7" i="23" s="1"/>
  <c r="R22" i="23"/>
  <c r="R46" i="23"/>
  <c r="V17" i="23"/>
  <c r="U17" i="23"/>
  <c r="U24" i="23"/>
  <c r="R30" i="23"/>
  <c r="U41" i="23"/>
  <c r="V41" i="23"/>
  <c r="R17" i="23"/>
  <c r="W17" i="23" s="1"/>
  <c r="X17" i="23" s="1"/>
  <c r="Z17" i="23" s="1"/>
  <c r="Y17" i="23" s="1"/>
  <c r="V28" i="23"/>
  <c r="U28" i="23"/>
  <c r="T28" i="23"/>
  <c r="S28" i="23"/>
  <c r="S30" i="23"/>
  <c r="W30" i="23" s="1"/>
  <c r="X30" i="23" s="1"/>
  <c r="Z30" i="23" s="1"/>
  <c r="Y30" i="23" s="1"/>
  <c r="R41" i="23"/>
  <c r="Q52" i="23"/>
  <c r="S17" i="23"/>
  <c r="R28" i="23"/>
  <c r="W28" i="23" s="1"/>
  <c r="X28" i="23" s="1"/>
  <c r="Z28" i="23" s="1"/>
  <c r="Y28" i="23" s="1"/>
  <c r="T30" i="23"/>
  <c r="S41" i="23"/>
  <c r="R12" i="23"/>
  <c r="T17" i="23"/>
  <c r="V23" i="23"/>
  <c r="U23" i="23"/>
  <c r="U30" i="23"/>
  <c r="R36" i="23"/>
  <c r="W36" i="23" s="1"/>
  <c r="X36" i="23" s="1"/>
  <c r="Z36" i="23" s="1"/>
  <c r="Y36" i="23" s="1"/>
  <c r="T41" i="23"/>
  <c r="W41" i="23" s="1"/>
  <c r="X41" i="23" s="1"/>
  <c r="Z41" i="23" s="1"/>
  <c r="Y41" i="23" s="1"/>
  <c r="V47" i="23"/>
  <c r="U47" i="23"/>
  <c r="W10" i="23"/>
  <c r="X10" i="23" s="1"/>
  <c r="Z10" i="23" s="1"/>
  <c r="Y10" i="23" s="1"/>
  <c r="V10" i="23"/>
  <c r="V52" i="23" s="1"/>
  <c r="V53" i="23" s="1"/>
  <c r="U10" i="23"/>
  <c r="T10" i="23"/>
  <c r="S10" i="23"/>
  <c r="S12" i="23"/>
  <c r="R23" i="23"/>
  <c r="W23" i="23" s="1"/>
  <c r="X23" i="23" s="1"/>
  <c r="Z23" i="23" s="1"/>
  <c r="Y23" i="23" s="1"/>
  <c r="V30" i="23"/>
  <c r="S34" i="23"/>
  <c r="W34" i="23" s="1"/>
  <c r="X34" i="23" s="1"/>
  <c r="Z34" i="23" s="1"/>
  <c r="Y34" i="23" s="1"/>
  <c r="V34" i="23"/>
  <c r="U34" i="23"/>
  <c r="T34" i="23"/>
  <c r="S36" i="23"/>
  <c r="R47" i="23"/>
  <c r="R10" i="23"/>
  <c r="T12" i="23"/>
  <c r="W12" i="23" s="1"/>
  <c r="X12" i="23" s="1"/>
  <c r="Z12" i="23" s="1"/>
  <c r="Y12" i="23" s="1"/>
  <c r="S23" i="23"/>
  <c r="R34" i="23"/>
  <c r="T36" i="23"/>
  <c r="W42" i="23"/>
  <c r="X42" i="23" s="1"/>
  <c r="Z42" i="23" s="1"/>
  <c r="Y42" i="23" s="1"/>
  <c r="S47" i="23"/>
  <c r="W47" i="23" s="1"/>
  <c r="X47" i="23" s="1"/>
  <c r="Z47" i="23" s="1"/>
  <c r="Y47" i="23" s="1"/>
  <c r="U12" i="23"/>
  <c r="R18" i="23"/>
  <c r="W18" i="23" s="1"/>
  <c r="X18" i="23" s="1"/>
  <c r="Z18" i="23" s="1"/>
  <c r="Y18" i="23" s="1"/>
  <c r="T23" i="23"/>
  <c r="V29" i="23"/>
  <c r="U29" i="23"/>
  <c r="U36" i="23"/>
  <c r="R42" i="23"/>
  <c r="T47" i="23"/>
  <c r="V12" i="23"/>
  <c r="V16" i="23"/>
  <c r="U16" i="23"/>
  <c r="W16" i="23" s="1"/>
  <c r="X16" i="23" s="1"/>
  <c r="Z16" i="23" s="1"/>
  <c r="Y16" i="23" s="1"/>
  <c r="T16" i="23"/>
  <c r="S16" i="23"/>
  <c r="S18" i="23"/>
  <c r="R29" i="23"/>
  <c r="W29" i="23" s="1"/>
  <c r="X29" i="23" s="1"/>
  <c r="Z29" i="23" s="1"/>
  <c r="Y29" i="23" s="1"/>
  <c r="V36" i="23"/>
  <c r="V40" i="23"/>
  <c r="S40" i="23"/>
  <c r="W40" i="23" s="1"/>
  <c r="X40" i="23" s="1"/>
  <c r="Z40" i="23" s="1"/>
  <c r="Y40" i="23" s="1"/>
  <c r="U40" i="23"/>
  <c r="T40" i="23"/>
  <c r="S42" i="23"/>
  <c r="W11" i="23"/>
  <c r="X11" i="23" s="1"/>
  <c r="Z11" i="23" s="1"/>
  <c r="Y11" i="23" s="1"/>
  <c r="V11" i="23"/>
  <c r="U11" i="23"/>
  <c r="U52" i="23" s="1"/>
  <c r="U53" i="23" s="1"/>
  <c r="R24" i="23"/>
  <c r="W24" i="23" s="1"/>
  <c r="X24" i="23" s="1"/>
  <c r="Z24" i="23" s="1"/>
  <c r="Y24" i="23" s="1"/>
  <c r="U35" i="23"/>
  <c r="V35" i="23"/>
  <c r="W35" i="23" s="1"/>
  <c r="X35" i="23" s="1"/>
  <c r="Z35" i="23" s="1"/>
  <c r="Y35" i="23" s="1"/>
  <c r="U42" i="23"/>
  <c r="R48" i="23"/>
  <c r="W48" i="23" s="1"/>
  <c r="X48" i="23" s="1"/>
  <c r="Z48" i="23" s="1"/>
  <c r="Y48" i="23" s="1"/>
  <c r="R21" i="23"/>
  <c r="R27" i="23"/>
  <c r="R33" i="23"/>
  <c r="R39" i="23"/>
  <c r="R45" i="23"/>
  <c r="R51" i="23"/>
  <c r="S9" i="23"/>
  <c r="S15" i="23"/>
  <c r="S52" i="23" s="1"/>
  <c r="S53" i="23" s="1"/>
  <c r="S21" i="23"/>
  <c r="S27" i="23"/>
  <c r="S33" i="23"/>
  <c r="S39" i="23"/>
  <c r="S45" i="23"/>
  <c r="S51" i="23"/>
  <c r="T9" i="23"/>
  <c r="T27" i="23"/>
  <c r="T39" i="23"/>
  <c r="T45" i="23"/>
  <c r="T51" i="23"/>
  <c r="R9" i="23"/>
  <c r="R15" i="23"/>
  <c r="T15" i="23"/>
  <c r="T21" i="23"/>
  <c r="T33" i="23"/>
  <c r="T52" i="23" s="1"/>
  <c r="T53" i="23" s="1"/>
  <c r="T29" i="17"/>
  <c r="T67" i="24" l="1"/>
  <c r="T68" i="24" s="1"/>
  <c r="W62" i="24"/>
  <c r="X62" i="24" s="1"/>
  <c r="Z62" i="24" s="1"/>
  <c r="Y62" i="24" s="1"/>
  <c r="W36" i="24"/>
  <c r="X36" i="24" s="1"/>
  <c r="Z36" i="24" s="1"/>
  <c r="Y36" i="24" s="1"/>
  <c r="W51" i="24"/>
  <c r="X51" i="24" s="1"/>
  <c r="Z51" i="24" s="1"/>
  <c r="Y51" i="24" s="1"/>
  <c r="W48" i="24"/>
  <c r="X48" i="24" s="1"/>
  <c r="Z48" i="24" s="1"/>
  <c r="Y48" i="24" s="1"/>
  <c r="W67" i="24"/>
  <c r="W68" i="24" s="1"/>
  <c r="Q68" i="24"/>
  <c r="V67" i="24"/>
  <c r="V68" i="24" s="1"/>
  <c r="U67" i="24"/>
  <c r="U68" i="24" s="1"/>
  <c r="W55" i="24"/>
  <c r="X55" i="24" s="1"/>
  <c r="Z55" i="24" s="1"/>
  <c r="Y55" i="24" s="1"/>
  <c r="W46" i="24"/>
  <c r="X46" i="24" s="1"/>
  <c r="Z46" i="24" s="1"/>
  <c r="Y46" i="24" s="1"/>
  <c r="W47" i="24"/>
  <c r="X47" i="24" s="1"/>
  <c r="Z47" i="24" s="1"/>
  <c r="Y47" i="24" s="1"/>
  <c r="R67" i="24"/>
  <c r="R68" i="24" s="1"/>
  <c r="W34" i="24"/>
  <c r="X34" i="24" s="1"/>
  <c r="Z34" i="24" s="1"/>
  <c r="Y34" i="24" s="1"/>
  <c r="W7" i="24"/>
  <c r="X7" i="24" s="1"/>
  <c r="W42" i="24"/>
  <c r="X42" i="24" s="1"/>
  <c r="Z42" i="24" s="1"/>
  <c r="Y42" i="24" s="1"/>
  <c r="W63" i="24"/>
  <c r="X63" i="24" s="1"/>
  <c r="Z63" i="24" s="1"/>
  <c r="Y63" i="24" s="1"/>
  <c r="W40" i="24"/>
  <c r="X40" i="24" s="1"/>
  <c r="Z40" i="24" s="1"/>
  <c r="Y40" i="24" s="1"/>
  <c r="W31" i="24"/>
  <c r="X31" i="24" s="1"/>
  <c r="Z31" i="24" s="1"/>
  <c r="Y31" i="24" s="1"/>
  <c r="W41" i="24"/>
  <c r="X41" i="24" s="1"/>
  <c r="Z41" i="24" s="1"/>
  <c r="Y41" i="24" s="1"/>
  <c r="W12" i="24"/>
  <c r="X12" i="24" s="1"/>
  <c r="Z12" i="24" s="1"/>
  <c r="Y12" i="24" s="1"/>
  <c r="W56" i="24"/>
  <c r="X56" i="24" s="1"/>
  <c r="Z56" i="24" s="1"/>
  <c r="Y56" i="24" s="1"/>
  <c r="S67" i="24"/>
  <c r="S68" i="24" s="1"/>
  <c r="W56" i="8"/>
  <c r="X56" i="8" s="1"/>
  <c r="Z56" i="8" s="1"/>
  <c r="Y56" i="8" s="1"/>
  <c r="W60" i="8"/>
  <c r="X60" i="8" s="1"/>
  <c r="Z60" i="8" s="1"/>
  <c r="Y60" i="8" s="1"/>
  <c r="W61" i="8"/>
  <c r="X61" i="8" s="1"/>
  <c r="Z61" i="8" s="1"/>
  <c r="Y61" i="8" s="1"/>
  <c r="W53" i="8"/>
  <c r="X53" i="8" s="1"/>
  <c r="Z53" i="8" s="1"/>
  <c r="Y53" i="8" s="1"/>
  <c r="W52" i="8"/>
  <c r="X52" i="8" s="1"/>
  <c r="Z52" i="8" s="1"/>
  <c r="Y52" i="8" s="1"/>
  <c r="W25" i="8"/>
  <c r="X25" i="8" s="1"/>
  <c r="Z25" i="8" s="1"/>
  <c r="Y25" i="8" s="1"/>
  <c r="W51" i="8"/>
  <c r="X51" i="8" s="1"/>
  <c r="Z51" i="8" s="1"/>
  <c r="Y51" i="8" s="1"/>
  <c r="W40" i="8"/>
  <c r="X40" i="8" s="1"/>
  <c r="Z40" i="8" s="1"/>
  <c r="Y40" i="8" s="1"/>
  <c r="W39" i="8"/>
  <c r="X39" i="8" s="1"/>
  <c r="Z39" i="8" s="1"/>
  <c r="Y39" i="8" s="1"/>
  <c r="W31" i="8"/>
  <c r="X31" i="8" s="1"/>
  <c r="Z31" i="8" s="1"/>
  <c r="Y31" i="8" s="1"/>
  <c r="W30" i="8"/>
  <c r="X30" i="8" s="1"/>
  <c r="Z30" i="8" s="1"/>
  <c r="Y30" i="8" s="1"/>
  <c r="W29" i="8"/>
  <c r="X29" i="8" s="1"/>
  <c r="Z29" i="8" s="1"/>
  <c r="Y29" i="8" s="1"/>
  <c r="W26" i="8"/>
  <c r="X26" i="8" s="1"/>
  <c r="Z26" i="8" s="1"/>
  <c r="Y26" i="8" s="1"/>
  <c r="W24" i="8"/>
  <c r="X24" i="8" s="1"/>
  <c r="Z24" i="8" s="1"/>
  <c r="Y24" i="8" s="1"/>
  <c r="W12" i="8"/>
  <c r="X12" i="8" s="1"/>
  <c r="Z12" i="8" s="1"/>
  <c r="Y12" i="8" s="1"/>
  <c r="Z7" i="23"/>
  <c r="Y7" i="23" s="1"/>
  <c r="W15" i="23"/>
  <c r="X15" i="23" s="1"/>
  <c r="Z15" i="23" s="1"/>
  <c r="Y15" i="23" s="1"/>
  <c r="W51" i="23"/>
  <c r="X51" i="23" s="1"/>
  <c r="Z51" i="23" s="1"/>
  <c r="Y51" i="23" s="1"/>
  <c r="W52" i="23"/>
  <c r="W53" i="23" s="1"/>
  <c r="Q53" i="23"/>
  <c r="W45" i="23"/>
  <c r="X45" i="23" s="1"/>
  <c r="Z45" i="23" s="1"/>
  <c r="Y45" i="23" s="1"/>
  <c r="R52" i="23"/>
  <c r="R53" i="23" s="1"/>
  <c r="W9" i="23"/>
  <c r="X9" i="23" s="1"/>
  <c r="Z9" i="23" s="1"/>
  <c r="Y9" i="23" s="1"/>
  <c r="W39" i="23"/>
  <c r="X39" i="23" s="1"/>
  <c r="Z39" i="23" s="1"/>
  <c r="Y39" i="23" s="1"/>
  <c r="W33" i="23"/>
  <c r="X33" i="23" s="1"/>
  <c r="Z33" i="23" s="1"/>
  <c r="Y33" i="23" s="1"/>
  <c r="W27" i="23"/>
  <c r="X27" i="23" s="1"/>
  <c r="Z27" i="23" s="1"/>
  <c r="Y27" i="23" s="1"/>
  <c r="W21" i="23"/>
  <c r="X21" i="23" s="1"/>
  <c r="Z21" i="23" s="1"/>
  <c r="Y21" i="23" s="1"/>
  <c r="Q7" i="8"/>
  <c r="R7" i="8" s="1"/>
  <c r="Q8" i="8"/>
  <c r="T8" i="8" s="1"/>
  <c r="Q9" i="8"/>
  <c r="S9" i="8" s="1"/>
  <c r="Q10" i="8"/>
  <c r="S10" i="8" s="1"/>
  <c r="Q11" i="8"/>
  <c r="R11" i="8" s="1"/>
  <c r="Q14" i="8"/>
  <c r="T14" i="8" s="1"/>
  <c r="Q15" i="8"/>
  <c r="R15" i="8" s="1"/>
  <c r="Q16" i="8"/>
  <c r="R16" i="8" s="1"/>
  <c r="Q17" i="8"/>
  <c r="T17" i="8" s="1"/>
  <c r="Q18" i="8"/>
  <c r="T18" i="8" s="1"/>
  <c r="Q19" i="8"/>
  <c r="S19" i="8" s="1"/>
  <c r="Q20" i="8"/>
  <c r="R20" i="8" s="1"/>
  <c r="Q21" i="8"/>
  <c r="T21" i="8" s="1"/>
  <c r="Q22" i="8"/>
  <c r="S22" i="8" s="1"/>
  <c r="Q23" i="8"/>
  <c r="S23" i="8" s="1"/>
  <c r="Q27" i="8"/>
  <c r="R27" i="8" s="1"/>
  <c r="Q34" i="8"/>
  <c r="R34" i="8" s="1"/>
  <c r="Q35" i="8"/>
  <c r="T35" i="8" s="1"/>
  <c r="Q36" i="8"/>
  <c r="T36" i="8" s="1"/>
  <c r="Q37" i="8"/>
  <c r="S37" i="8" s="1"/>
  <c r="Q38" i="8"/>
  <c r="R38" i="8" s="1"/>
  <c r="Q41" i="8"/>
  <c r="T41" i="8" s="1"/>
  <c r="Q42" i="8"/>
  <c r="T42" i="8" s="1"/>
  <c r="Q43" i="8"/>
  <c r="S43" i="8" s="1"/>
  <c r="Q44" i="8"/>
  <c r="R44" i="8" s="1"/>
  <c r="Q45" i="8"/>
  <c r="T45" i="8" s="1"/>
  <c r="Q46" i="8"/>
  <c r="S46" i="8" s="1"/>
  <c r="Q47" i="8"/>
  <c r="S47" i="8" s="1"/>
  <c r="Q48" i="8"/>
  <c r="R48" i="8" s="1"/>
  <c r="Q54" i="8"/>
  <c r="S54" i="8" s="1"/>
  <c r="Q55" i="8"/>
  <c r="R55" i="8" s="1"/>
  <c r="Q58" i="8"/>
  <c r="T58" i="8" s="1"/>
  <c r="Q59" i="8"/>
  <c r="S59" i="8" s="1"/>
  <c r="Q62" i="8"/>
  <c r="R62" i="8" s="1"/>
  <c r="Q63" i="8"/>
  <c r="T63" i="8" s="1"/>
  <c r="Q64" i="8"/>
  <c r="T64" i="8" s="1"/>
  <c r="Q65" i="8"/>
  <c r="S65" i="8" s="1"/>
  <c r="Q66" i="8"/>
  <c r="R66" i="8" s="1"/>
  <c r="X68" i="24" l="1"/>
  <c r="Y70" i="24" s="1"/>
  <c r="Z7" i="24"/>
  <c r="Y69" i="24" s="1"/>
  <c r="Y72" i="24" s="1"/>
  <c r="Y73" i="24" s="1"/>
  <c r="X53" i="23"/>
  <c r="Y55" i="23" s="1"/>
  <c r="Y54" i="23"/>
  <c r="Y57" i="23" s="1"/>
  <c r="Y58" i="23" s="1"/>
  <c r="S64" i="8"/>
  <c r="S63" i="8"/>
  <c r="T44" i="8"/>
  <c r="T47" i="8"/>
  <c r="R47" i="8"/>
  <c r="R54" i="8"/>
  <c r="S41" i="8"/>
  <c r="R41" i="8"/>
  <c r="U22" i="8"/>
  <c r="S58" i="8"/>
  <c r="U20" i="8"/>
  <c r="T20" i="8"/>
  <c r="U44" i="8"/>
  <c r="R19" i="8"/>
  <c r="R17" i="8"/>
  <c r="S17" i="8"/>
  <c r="U66" i="8"/>
  <c r="T66" i="8"/>
  <c r="R45" i="8"/>
  <c r="T54" i="8"/>
  <c r="S36" i="8"/>
  <c r="S42" i="8"/>
  <c r="V9" i="8"/>
  <c r="V47" i="8"/>
  <c r="S18" i="8"/>
  <c r="U9" i="8"/>
  <c r="R10" i="8"/>
  <c r="V23" i="8"/>
  <c r="R23" i="8"/>
  <c r="Q67" i="8"/>
  <c r="Q68" i="8" s="1"/>
  <c r="R59" i="8"/>
  <c r="R37" i="8"/>
  <c r="R21" i="8"/>
  <c r="T9" i="8"/>
  <c r="V36" i="8"/>
  <c r="S14" i="8"/>
  <c r="T23" i="8"/>
  <c r="R63" i="8"/>
  <c r="V58" i="8"/>
  <c r="U58" i="8"/>
  <c r="U36" i="8"/>
  <c r="R65" i="8"/>
  <c r="T48" i="8"/>
  <c r="R43" i="8"/>
  <c r="T27" i="8"/>
  <c r="V65" i="8"/>
  <c r="U62" i="8"/>
  <c r="V19" i="8"/>
  <c r="U16" i="8"/>
  <c r="U11" i="8"/>
  <c r="S8" i="8"/>
  <c r="V43" i="8"/>
  <c r="U38" i="8"/>
  <c r="S35" i="8"/>
  <c r="T65" i="8"/>
  <c r="T62" i="8"/>
  <c r="V46" i="8"/>
  <c r="T43" i="8"/>
  <c r="T38" i="8"/>
  <c r="R35" i="8"/>
  <c r="V22" i="8"/>
  <c r="T19" i="8"/>
  <c r="T16" i="8"/>
  <c r="T11" i="8"/>
  <c r="R8" i="8"/>
  <c r="U46" i="8"/>
  <c r="U55" i="8"/>
  <c r="V37" i="8"/>
  <c r="U34" i="8"/>
  <c r="T22" i="8"/>
  <c r="V10" i="8"/>
  <c r="V7" i="8"/>
  <c r="V59" i="8"/>
  <c r="T46" i="8"/>
  <c r="V64" i="8"/>
  <c r="T59" i="8"/>
  <c r="T55" i="8"/>
  <c r="V42" i="8"/>
  <c r="T37" i="8"/>
  <c r="T34" i="8"/>
  <c r="V18" i="8"/>
  <c r="V14" i="8"/>
  <c r="T10" i="8"/>
  <c r="U7" i="8"/>
  <c r="U42" i="8"/>
  <c r="U18" i="8"/>
  <c r="U14" i="8"/>
  <c r="U64" i="8"/>
  <c r="V54" i="8"/>
  <c r="U48" i="8"/>
  <c r="S45" i="8"/>
  <c r="U27" i="8"/>
  <c r="S21" i="8"/>
  <c r="U65" i="8"/>
  <c r="R64" i="8"/>
  <c r="U59" i="8"/>
  <c r="R58" i="8"/>
  <c r="U54" i="8"/>
  <c r="U47" i="8"/>
  <c r="R46" i="8"/>
  <c r="U43" i="8"/>
  <c r="R42" i="8"/>
  <c r="U37" i="8"/>
  <c r="R36" i="8"/>
  <c r="U23" i="8"/>
  <c r="R22" i="8"/>
  <c r="U19" i="8"/>
  <c r="R18" i="8"/>
  <c r="U15" i="8"/>
  <c r="R14" i="8"/>
  <c r="U10" i="8"/>
  <c r="R9" i="8"/>
  <c r="T15" i="8"/>
  <c r="V66" i="8"/>
  <c r="V62" i="8"/>
  <c r="V55" i="8"/>
  <c r="V48" i="8"/>
  <c r="V44" i="8"/>
  <c r="V38" i="8"/>
  <c r="V34" i="8"/>
  <c r="V27" i="8"/>
  <c r="V20" i="8"/>
  <c r="V16" i="8"/>
  <c r="S15" i="8"/>
  <c r="V11" i="8"/>
  <c r="V15" i="8"/>
  <c r="T7" i="8"/>
  <c r="S66" i="8"/>
  <c r="V63" i="8"/>
  <c r="S62" i="8"/>
  <c r="S55" i="8"/>
  <c r="S48" i="8"/>
  <c r="V45" i="8"/>
  <c r="S44" i="8"/>
  <c r="V41" i="8"/>
  <c r="S38" i="8"/>
  <c r="V35" i="8"/>
  <c r="S34" i="8"/>
  <c r="S27" i="8"/>
  <c r="V21" i="8"/>
  <c r="S20" i="8"/>
  <c r="V17" i="8"/>
  <c r="S16" i="8"/>
  <c r="S11" i="8"/>
  <c r="V8" i="8"/>
  <c r="S7" i="8"/>
  <c r="U63" i="8"/>
  <c r="U45" i="8"/>
  <c r="U41" i="8"/>
  <c r="U35" i="8"/>
  <c r="U21" i="8"/>
  <c r="U17" i="8"/>
  <c r="U8" i="8"/>
  <c r="W58" i="8" l="1"/>
  <c r="X58" i="8" s="1"/>
  <c r="Z58" i="8" s="1"/>
  <c r="Y58" i="8" s="1"/>
  <c r="C8" i="18"/>
  <c r="C8" i="17"/>
  <c r="W66" i="8"/>
  <c r="X66" i="8" s="1"/>
  <c r="Z66" i="8" s="1"/>
  <c r="Y66" i="8" s="1"/>
  <c r="W59" i="8"/>
  <c r="X59" i="8" s="1"/>
  <c r="Z59" i="8" s="1"/>
  <c r="Y59" i="8" s="1"/>
  <c r="W47" i="8"/>
  <c r="X47" i="8" s="1"/>
  <c r="Z47" i="8" s="1"/>
  <c r="Y47" i="8" s="1"/>
  <c r="W54" i="8"/>
  <c r="X54" i="8" s="1"/>
  <c r="Z54" i="8" s="1"/>
  <c r="Y54" i="8" s="1"/>
  <c r="Z32" i="8"/>
  <c r="W22" i="8"/>
  <c r="X22" i="8" s="1"/>
  <c r="Z22" i="8" s="1"/>
  <c r="Y22" i="8" s="1"/>
  <c r="W23" i="8"/>
  <c r="X23" i="8" s="1"/>
  <c r="Z23" i="8" s="1"/>
  <c r="Y23" i="8" s="1"/>
  <c r="W27" i="8"/>
  <c r="X27" i="8" s="1"/>
  <c r="Z27" i="8" s="1"/>
  <c r="Y27" i="8" s="1"/>
  <c r="W64" i="8"/>
  <c r="Z33" i="8"/>
  <c r="W65" i="8"/>
  <c r="X65" i="8" s="1"/>
  <c r="Z65" i="8" s="1"/>
  <c r="Y65" i="8" s="1"/>
  <c r="W21" i="8"/>
  <c r="W43" i="8"/>
  <c r="W63" i="8"/>
  <c r="X63" i="8" s="1"/>
  <c r="Z63" i="8" s="1"/>
  <c r="Y63" i="8" s="1"/>
  <c r="W38" i="8"/>
  <c r="W36" i="8"/>
  <c r="X36" i="8" s="1"/>
  <c r="Z36" i="8" s="1"/>
  <c r="Y36" i="8" s="1"/>
  <c r="W37" i="8"/>
  <c r="X37" i="8" s="1"/>
  <c r="Z37" i="8" s="1"/>
  <c r="Y37" i="8" s="1"/>
  <c r="W9" i="8"/>
  <c r="W48" i="8"/>
  <c r="W7" i="8"/>
  <c r="W14" i="8"/>
  <c r="W55" i="8"/>
  <c r="Z13" i="8"/>
  <c r="W42" i="8"/>
  <c r="W18" i="8"/>
  <c r="W11" i="8"/>
  <c r="W16" i="8"/>
  <c r="W35" i="8"/>
  <c r="W46" i="8"/>
  <c r="W45" i="8"/>
  <c r="W62" i="8"/>
  <c r="W19" i="8"/>
  <c r="W15" i="8"/>
  <c r="W41" i="8"/>
  <c r="W44" i="8"/>
  <c r="R67" i="8"/>
  <c r="R68" i="8" s="1"/>
  <c r="W10" i="8"/>
  <c r="W17" i="8"/>
  <c r="W20" i="8"/>
  <c r="W34" i="8"/>
  <c r="S67" i="8"/>
  <c r="S68" i="8" s="1"/>
  <c r="U67" i="8"/>
  <c r="U68" i="8" s="1"/>
  <c r="W8" i="8"/>
  <c r="V67" i="8"/>
  <c r="V68" i="8" s="1"/>
  <c r="T67" i="8"/>
  <c r="T68" i="8" s="1"/>
  <c r="J8" i="18" l="1"/>
  <c r="J8" i="17"/>
  <c r="M8" i="18"/>
  <c r="M8" i="17"/>
  <c r="L8" i="18"/>
  <c r="L8" i="17"/>
  <c r="G8" i="18"/>
  <c r="G8" i="17"/>
  <c r="X38" i="8"/>
  <c r="Z38" i="8" s="1"/>
  <c r="Y38" i="8" s="1"/>
  <c r="X64" i="8"/>
  <c r="Z64" i="8" s="1"/>
  <c r="Y64" i="8" s="1"/>
  <c r="X14" i="8"/>
  <c r="Z14" i="8" s="1"/>
  <c r="Y14" i="8" s="1"/>
  <c r="X43" i="8"/>
  <c r="Z43" i="8" s="1"/>
  <c r="Y43" i="8" s="1"/>
  <c r="Z50" i="8"/>
  <c r="X7" i="8"/>
  <c r="X48" i="8"/>
  <c r="Z48" i="8" s="1"/>
  <c r="Y48" i="8" s="1"/>
  <c r="X21" i="8"/>
  <c r="Z21" i="8" s="1"/>
  <c r="Y21" i="8" s="1"/>
  <c r="X9" i="8"/>
  <c r="Z9" i="8" s="1"/>
  <c r="Y9" i="8" s="1"/>
  <c r="X11" i="8"/>
  <c r="Z11" i="8" s="1"/>
  <c r="Y11" i="8" s="1"/>
  <c r="X62" i="8"/>
  <c r="Z62" i="8" s="1"/>
  <c r="Y62" i="8" s="1"/>
  <c r="X16" i="8"/>
  <c r="Z16" i="8" s="1"/>
  <c r="Y16" i="8" s="1"/>
  <c r="X42" i="8"/>
  <c r="Z42" i="8" s="1"/>
  <c r="Y42" i="8" s="1"/>
  <c r="X20" i="8"/>
  <c r="Z20" i="8" s="1"/>
  <c r="Y20" i="8" s="1"/>
  <c r="X10" i="8"/>
  <c r="Z10" i="8" s="1"/>
  <c r="Y10" i="8" s="1"/>
  <c r="X45" i="8"/>
  <c r="Z45" i="8" s="1"/>
  <c r="Y45" i="8" s="1"/>
  <c r="X35" i="8"/>
  <c r="Z35" i="8" s="1"/>
  <c r="Y35" i="8" s="1"/>
  <c r="X34" i="8"/>
  <c r="Z34" i="8" s="1"/>
  <c r="Y34" i="8" s="1"/>
  <c r="X44" i="8"/>
  <c r="Z44" i="8" s="1"/>
  <c r="Y44" i="8" s="1"/>
  <c r="X8" i="8"/>
  <c r="Z8" i="8" s="1"/>
  <c r="Y8" i="8" s="1"/>
  <c r="Z28" i="8"/>
  <c r="X41" i="8"/>
  <c r="Z41" i="8" s="1"/>
  <c r="Y41" i="8" s="1"/>
  <c r="Z49" i="8"/>
  <c r="X55" i="8"/>
  <c r="Z55" i="8" s="1"/>
  <c r="Y55" i="8" s="1"/>
  <c r="X15" i="8"/>
  <c r="Z15" i="8" s="1"/>
  <c r="Y15" i="8" s="1"/>
  <c r="X18" i="8"/>
  <c r="Z18" i="8" s="1"/>
  <c r="Y18" i="8" s="1"/>
  <c r="X19" i="8"/>
  <c r="Z19" i="8" s="1"/>
  <c r="Y19" i="8" s="1"/>
  <c r="X17" i="8"/>
  <c r="Z17" i="8" s="1"/>
  <c r="Y17" i="8" s="1"/>
  <c r="X46" i="8"/>
  <c r="Z46" i="8" s="1"/>
  <c r="Y46" i="8" s="1"/>
  <c r="W67" i="8"/>
  <c r="W68" i="8" s="1"/>
  <c r="H4" i="22" l="1"/>
  <c r="G4" i="21"/>
  <c r="K4" i="21"/>
  <c r="N4" i="22"/>
  <c r="I4" i="21"/>
  <c r="K4" i="22"/>
  <c r="T8" i="18"/>
  <c r="T8" i="17"/>
  <c r="Z7" i="8"/>
  <c r="Y7" i="8" s="1"/>
  <c r="Y69" i="8" s="1"/>
  <c r="X68" i="8"/>
  <c r="Y70" i="8" s="1"/>
  <c r="I14" i="21" l="1"/>
  <c r="G16" i="21"/>
  <c r="K14" i="21"/>
  <c r="I18" i="21"/>
  <c r="G14" i="21"/>
  <c r="G18" i="21"/>
  <c r="E4" i="21"/>
  <c r="E4" i="22"/>
  <c r="K14" i="22"/>
  <c r="H16" i="22"/>
  <c r="K18" i="22"/>
  <c r="N14" i="22"/>
  <c r="H14" i="22"/>
  <c r="H18" i="22"/>
  <c r="E14" i="22" l="1"/>
  <c r="Q14" i="22" s="1"/>
  <c r="E18" i="22"/>
  <c r="Q18" i="22" s="1"/>
  <c r="E16" i="22"/>
  <c r="E16" i="21"/>
  <c r="M16" i="21" s="1"/>
  <c r="E14" i="21"/>
  <c r="M14" i="21" s="1"/>
  <c r="E18" i="21"/>
  <c r="M18" i="21" s="1"/>
  <c r="Q13" i="22"/>
  <c r="M13" i="21"/>
  <c r="Y72" i="8"/>
  <c r="Y73" i="8" s="1"/>
  <c r="O65" i="29"/>
  <c r="O60" i="29"/>
  <c r="O61" i="29"/>
  <c r="O58" i="29"/>
  <c r="O59" i="29"/>
  <c r="O63" i="29"/>
  <c r="O62" i="29"/>
  <c r="O64" i="29"/>
  <c r="L73" i="29" l="1"/>
  <c r="L74" i="29" s="1"/>
  <c r="M73" i="29"/>
  <c r="M74" i="29" s="1"/>
  <c r="J73" i="29"/>
  <c r="J74" i="29" s="1"/>
  <c r="K73" i="29"/>
  <c r="K74" i="29" s="1"/>
  <c r="K75" i="29" l="1"/>
  <c r="K77" i="29" s="1"/>
  <c r="K76" i="29"/>
  <c r="J76" i="29"/>
  <c r="J75" i="29"/>
  <c r="J77" i="29" s="1"/>
  <c r="M75" i="29"/>
  <c r="M77" i="29" s="1"/>
  <c r="M76" i="29"/>
  <c r="L76" i="29"/>
  <c r="L75" i="29"/>
  <c r="L77" i="29" s="1"/>
  <c r="I75" i="29" l="1"/>
  <c r="I77" i="29" s="1"/>
  <c r="I76" i="29"/>
  <c r="N73" i="29"/>
  <c r="N74" i="29"/>
  <c r="H75" i="29"/>
  <c r="H77" i="29" s="1"/>
  <c r="N75" i="29" l="1"/>
  <c r="N76" i="29"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<sst xmlns="http://schemas.openxmlformats.org/spreadsheetml/2006/main" count="2112" uniqueCount="460">
  <si>
    <t>《12月以降の契約について》</t>
    <rPh sb="3" eb="4">
      <t>ガツ</t>
    </rPh>
    <rPh sb="4" eb="6">
      <t>イコウ</t>
    </rPh>
    <rPh sb="7" eb="9">
      <t>ケイヤク</t>
    </rPh>
    <phoneticPr fontId="2"/>
  </si>
  <si>
    <t>■目的</t>
    <rPh sb="1" eb="3">
      <t>モクテキ</t>
    </rPh>
    <phoneticPr fontId="2"/>
  </si>
  <si>
    <t>現在実施している要件定義について、11月末での完了を予定しております。12月以降の契約をどのような方針でプロジェクト進めることが両社として可能なのか検討することが目的となります。</t>
    <rPh sb="49" eb="51">
      <t>ホウシン</t>
    </rPh>
    <rPh sb="58" eb="59">
      <t>スス</t>
    </rPh>
    <rPh sb="64" eb="66">
      <t>リョウシャ</t>
    </rPh>
    <rPh sb="69" eb="71">
      <t>カノウ</t>
    </rPh>
    <rPh sb="74" eb="76">
      <t>ケントウ</t>
    </rPh>
    <rPh sb="81" eb="83">
      <t>モクテキ</t>
    </rPh>
    <phoneticPr fontId="2"/>
  </si>
  <si>
    <t>当初の予定では、10月18日時点で「検索・表示」のみの見積提示を予定しておりましたが、早期に全体の金額感をお伝えすることで、12月以降の契約方針を決定するための材料にしたいと考えております。</t>
    <phoneticPr fontId="2"/>
  </si>
  <si>
    <t>当社都合で恐縮ですが、12月以降体制を維持するかどうか判断するために、10月末までに契約方針を決定させていただきたく思います。</t>
    <rPh sb="13" eb="14">
      <t>ガツ</t>
    </rPh>
    <rPh sb="14" eb="16">
      <t>イコウ</t>
    </rPh>
    <rPh sb="38" eb="39">
      <t>マツ</t>
    </rPh>
    <phoneticPr fontId="2"/>
  </si>
  <si>
    <t>もし10月末までに確定できない場合、体制の維持が保証できなくなる可能性がありますので、ご了承くださいますようお願い申し上げます。</t>
    <rPh sb="5" eb="6">
      <t>マツ</t>
    </rPh>
    <phoneticPr fontId="2"/>
  </si>
  <si>
    <t>また、契約方針が確定した場合は、契約締結日についても認識合わせをさせていただきたいです。1日での契約が難しい場合は先行着手依頼書などの対応も可能となりますので検討したいです。</t>
    <rPh sb="3" eb="7">
      <t>ケイヤクホウシン</t>
    </rPh>
    <rPh sb="8" eb="10">
      <t>カクテイ</t>
    </rPh>
    <rPh sb="12" eb="14">
      <t>バアイ</t>
    </rPh>
    <rPh sb="16" eb="21">
      <t>ケイヤクテイケツビ</t>
    </rPh>
    <rPh sb="26" eb="29">
      <t>ニンシキア</t>
    </rPh>
    <rPh sb="45" eb="46">
      <t>ニチ</t>
    </rPh>
    <rPh sb="48" eb="50">
      <t>ケイヤク</t>
    </rPh>
    <rPh sb="51" eb="52">
      <t>ムズカ</t>
    </rPh>
    <rPh sb="54" eb="56">
      <t>バアイ</t>
    </rPh>
    <rPh sb="57" eb="64">
      <t>センコウチャクシュイライショ</t>
    </rPh>
    <rPh sb="67" eb="69">
      <t>タイオウ</t>
    </rPh>
    <rPh sb="70" eb="72">
      <t>カノウ</t>
    </rPh>
    <rPh sb="79" eb="81">
      <t>ケントウ</t>
    </rPh>
    <phoneticPr fontId="2"/>
  </si>
  <si>
    <t>■開発範囲(プロジェクト開始時)</t>
    <rPh sb="1" eb="5">
      <t>カイハツハンイ</t>
    </rPh>
    <rPh sb="12" eb="15">
      <t>カイシジ</t>
    </rPh>
    <phoneticPr fontId="2"/>
  </si>
  <si>
    <t>■見積案</t>
    <rPh sb="1" eb="4">
      <t>ミツモリアン</t>
    </rPh>
    <phoneticPr fontId="2"/>
  </si>
  <si>
    <t>別シート「見積案」参照</t>
    <rPh sb="0" eb="1">
      <t>ベツ</t>
    </rPh>
    <rPh sb="5" eb="8">
      <t>ミツモリアン</t>
    </rPh>
    <rPh sb="9" eb="11">
      <t>サンショウ</t>
    </rPh>
    <phoneticPr fontId="2"/>
  </si>
  <si>
    <t>■前提条件</t>
    <rPh sb="1" eb="3">
      <t>ゼンテイ</t>
    </rPh>
    <rPh sb="3" eb="5">
      <t>ジョウケン</t>
    </rPh>
    <phoneticPr fontId="2"/>
  </si>
  <si>
    <t>12月1日の契約締結</t>
  </si>
  <si>
    <t>遅くとも初旬での契約締結する必要がある。</t>
  </si>
  <si>
    <t>※先行着手依頼書による対応も可能</t>
  </si>
  <si>
    <t>■作業内容</t>
    <rPh sb="1" eb="5">
      <t>サギョウナイヨウ</t>
    </rPh>
    <phoneticPr fontId="2"/>
  </si>
  <si>
    <t>・基本設計</t>
  </si>
  <si>
    <t>　要件定義のアウトプットをもとに成果物記載のドキュメントの作成を実施</t>
  </si>
  <si>
    <t>・詳細設計</t>
  </si>
  <si>
    <t>　基本設計のアウトプットをもとに成果物記載のドキュメントの作成を実施　</t>
  </si>
  <si>
    <t>・製造</t>
  </si>
  <si>
    <t>　基本設計、詳細設計のアウトプットをもとにWebアプリケーション作成を実施</t>
  </si>
  <si>
    <t>　Webアプリケーションの単体テストの実施</t>
  </si>
  <si>
    <t>・結合テスト</t>
  </si>
  <si>
    <t>　結合テスト仕様書の作成</t>
  </si>
  <si>
    <t>　作成した仕様書をもとにWebアプリケーションのテストを実施</t>
  </si>
  <si>
    <t>・総合テスト</t>
  </si>
  <si>
    <t>　総合テスト仕様書の作成</t>
  </si>
  <si>
    <t>・受入テスト支援</t>
  </si>
  <si>
    <t>　出光様の受入テストの支援を実施"</t>
  </si>
  <si>
    <t>■成果物</t>
    <rPh sb="1" eb="4">
      <t>セイカブツ</t>
    </rPh>
    <phoneticPr fontId="2"/>
  </si>
  <si>
    <t>基本設計</t>
  </si>
  <si>
    <t>　・画面一覧</t>
  </si>
  <si>
    <t>　・帳票一覧</t>
  </si>
  <si>
    <t>　・バッチ一覧</t>
  </si>
  <si>
    <t>　・外部IF一覧</t>
  </si>
  <si>
    <t>　・メール一覧</t>
  </si>
  <si>
    <t>　・テーブル定義/ER図</t>
  </si>
  <si>
    <t>　・画面項目定義書</t>
  </si>
  <si>
    <t>　・帳票項目定義書</t>
  </si>
  <si>
    <t>詳細設計</t>
  </si>
  <si>
    <t>　・API詳細設計書</t>
  </si>
  <si>
    <t>　・バッチ詳細設計書</t>
  </si>
  <si>
    <t>製造</t>
  </si>
  <si>
    <t>　・Webアプリケーション</t>
  </si>
  <si>
    <t>結合テスト</t>
  </si>
  <si>
    <t>　・結合テスト仕様書兼報告書</t>
  </si>
  <si>
    <t>総合テスト</t>
  </si>
  <si>
    <t>　・総合テスト仕様書兼報告書</t>
  </si>
  <si>
    <t>大分類</t>
    <rPh sb="0" eb="3">
      <t>ダイブンルイ</t>
    </rPh>
    <phoneticPr fontId="2"/>
  </si>
  <si>
    <t>中分類</t>
    <rPh sb="0" eb="3">
      <t>チュウブンルイ</t>
    </rPh>
    <phoneticPr fontId="2"/>
  </si>
  <si>
    <t>小分類</t>
    <rPh sb="0" eb="3">
      <t>ショウブンルイ</t>
    </rPh>
    <phoneticPr fontId="2"/>
  </si>
  <si>
    <t>行数</t>
    <rPh sb="0" eb="2">
      <t>ギョウスウ</t>
    </rPh>
    <phoneticPr fontId="2"/>
  </si>
  <si>
    <t>画面機能
作業内容</t>
    <rPh sb="0" eb="2">
      <t>ガメン</t>
    </rPh>
    <rPh sb="2" eb="4">
      <t>キノウ</t>
    </rPh>
    <rPh sb="5" eb="7">
      <t>サギョウ</t>
    </rPh>
    <rPh sb="7" eb="9">
      <t>ナイヨウ</t>
    </rPh>
    <phoneticPr fontId="2"/>
  </si>
  <si>
    <t>工程</t>
    <rPh sb="0" eb="2">
      <t>コウテイ</t>
    </rPh>
    <phoneticPr fontId="5"/>
  </si>
  <si>
    <t>合計
（人日）</t>
    <rPh sb="0" eb="2">
      <t>ゴウケイ</t>
    </rPh>
    <rPh sb="4" eb="5">
      <t>ニン</t>
    </rPh>
    <rPh sb="5" eb="6">
      <t>ニチ</t>
    </rPh>
    <phoneticPr fontId="2"/>
  </si>
  <si>
    <t>合計
（人月）</t>
    <rPh sb="0" eb="2">
      <t>ゴウケイ</t>
    </rPh>
    <rPh sb="4" eb="6">
      <t>ニンゲツ</t>
    </rPh>
    <phoneticPr fontId="2"/>
  </si>
  <si>
    <t>要件定義</t>
    <rPh sb="0" eb="4">
      <t>ヨウケンテイギ</t>
    </rPh>
    <phoneticPr fontId="2"/>
  </si>
  <si>
    <t>設計</t>
    <phoneticPr fontId="2"/>
  </si>
  <si>
    <t>開発</t>
    <rPh sb="0" eb="2">
      <t>カイハツ</t>
    </rPh>
    <phoneticPr fontId="2"/>
  </si>
  <si>
    <t>結合テスト</t>
    <rPh sb="0" eb="2">
      <t>ケツゴウ</t>
    </rPh>
    <phoneticPr fontId="2"/>
  </si>
  <si>
    <t>システムテスト</t>
    <phoneticPr fontId="2"/>
  </si>
  <si>
    <t>受入テスト支援</t>
    <rPh sb="0" eb="2">
      <t>ウケイレ</t>
    </rPh>
    <rPh sb="5" eb="7">
      <t>シエン</t>
    </rPh>
    <phoneticPr fontId="2"/>
  </si>
  <si>
    <t>機能</t>
    <rPh sb="0" eb="2">
      <t>キノウ</t>
    </rPh>
    <phoneticPr fontId="2"/>
  </si>
  <si>
    <t>.NET</t>
    <phoneticPr fontId="2"/>
  </si>
  <si>
    <t>S1_北海道製</t>
    <phoneticPr fontId="2"/>
  </si>
  <si>
    <t>ZZZY002.exe</t>
    <phoneticPr fontId="2"/>
  </si>
  <si>
    <t>　　∟各所比較情報／品質管理</t>
    <rPh sb="3" eb="9">
      <t>カクショヒカクジョウホウ</t>
    </rPh>
    <rPh sb="10" eb="14">
      <t>ヒンシツカンリ</t>
    </rPh>
    <phoneticPr fontId="2"/>
  </si>
  <si>
    <t>zbfz001.exe</t>
    <phoneticPr fontId="2"/>
  </si>
  <si>
    <t>　　∟製油所情報／品質管理</t>
    <rPh sb="3" eb="6">
      <t>セイユジョ</t>
    </rPh>
    <rPh sb="6" eb="8">
      <t>ジョウホウ</t>
    </rPh>
    <rPh sb="9" eb="13">
      <t>ヒンシツカンリ</t>
    </rPh>
    <phoneticPr fontId="2"/>
  </si>
  <si>
    <t>bcfz001.exe</t>
    <phoneticPr fontId="2"/>
  </si>
  <si>
    <t>　　∟製油所情報／データ検索</t>
    <rPh sb="3" eb="6">
      <t>セイユジョ</t>
    </rPh>
    <rPh sb="6" eb="8">
      <t>ジョウホウ</t>
    </rPh>
    <rPh sb="12" eb="14">
      <t>ケンサク</t>
    </rPh>
    <phoneticPr fontId="2"/>
  </si>
  <si>
    <t>bciz001.exe</t>
    <phoneticPr fontId="2"/>
  </si>
  <si>
    <t>　　　　∟品質情報検索／燃料油</t>
    <rPh sb="5" eb="7">
      <t>ヒンシツ</t>
    </rPh>
    <rPh sb="7" eb="11">
      <t>ジョウホウケンサク</t>
    </rPh>
    <rPh sb="12" eb="15">
      <t>ネンリョウユ</t>
    </rPh>
    <phoneticPr fontId="2"/>
  </si>
  <si>
    <t>zbfz0021.exe</t>
    <phoneticPr fontId="2"/>
  </si>
  <si>
    <t>　　　　∟品質情報検索／工程</t>
    <rPh sb="5" eb="7">
      <t>ヒンシツ</t>
    </rPh>
    <rPh sb="7" eb="11">
      <t>ジョウホウケンサク</t>
    </rPh>
    <rPh sb="12" eb="14">
      <t>コウテイ</t>
    </rPh>
    <phoneticPr fontId="2"/>
  </si>
  <si>
    <t>zbfz0022.exe</t>
  </si>
  <si>
    <t>　　　　∟品質情報検索／品質関連</t>
    <rPh sb="5" eb="7">
      <t>ヒンシツ</t>
    </rPh>
    <rPh sb="7" eb="11">
      <t>ジョウホウケンサク</t>
    </rPh>
    <rPh sb="12" eb="16">
      <t>ヒンシツカンレン</t>
    </rPh>
    <phoneticPr fontId="2"/>
  </si>
  <si>
    <t>zbfz0023.exe</t>
    <phoneticPr fontId="2"/>
  </si>
  <si>
    <t>　　∟ローカルシステム</t>
    <phoneticPr fontId="2"/>
  </si>
  <si>
    <t>bllz001.exe</t>
    <phoneticPr fontId="2"/>
  </si>
  <si>
    <t>　　∟個別業務情報／運転管理</t>
    <rPh sb="3" eb="9">
      <t>コベツギョウムジョウホウ</t>
    </rPh>
    <rPh sb="10" eb="14">
      <t>ウンテンカンリ</t>
    </rPh>
    <phoneticPr fontId="2"/>
  </si>
  <si>
    <t>bedz001.exe</t>
    <phoneticPr fontId="2"/>
  </si>
  <si>
    <t>　　∟個別業務情報／品質管理</t>
    <rPh sb="3" eb="9">
      <t>コベツギョウムジョウホウ</t>
    </rPh>
    <rPh sb="10" eb="12">
      <t>ヒンシツ</t>
    </rPh>
    <rPh sb="12" eb="14">
      <t>カンリ</t>
    </rPh>
    <phoneticPr fontId="2"/>
  </si>
  <si>
    <t>zefz001.exe</t>
    <phoneticPr fontId="2"/>
  </si>
  <si>
    <t>S2_千葉（石）</t>
  </si>
  <si>
    <t>ZZZY002.exe</t>
  </si>
  <si>
    <t>ccfz001.exe</t>
    <phoneticPr fontId="2"/>
  </si>
  <si>
    <t>cciz001.exe</t>
    <phoneticPr fontId="2"/>
  </si>
  <si>
    <t>cllz001.exe</t>
    <phoneticPr fontId="2"/>
  </si>
  <si>
    <t>cedz001.exe</t>
    <phoneticPr fontId="2"/>
  </si>
  <si>
    <t>　　∟個別業務情報／官庁申請</t>
    <rPh sb="3" eb="9">
      <t>コベツギョウムジョウホウ</t>
    </rPh>
    <rPh sb="10" eb="12">
      <t>カンチョウ</t>
    </rPh>
    <rPh sb="12" eb="14">
      <t>シンセイ</t>
    </rPh>
    <phoneticPr fontId="2"/>
  </si>
  <si>
    <t>cekz001.exe</t>
    <phoneticPr fontId="2"/>
  </si>
  <si>
    <t>S3_千葉（化）</t>
  </si>
  <si>
    <t>S4_愛知事</t>
  </si>
  <si>
    <t>dcfz001.exe</t>
    <phoneticPr fontId="2"/>
  </si>
  <si>
    <t>dciz001.exe</t>
    <phoneticPr fontId="2"/>
  </si>
  <si>
    <t>dllz001.exe</t>
    <phoneticPr fontId="2"/>
  </si>
  <si>
    <t>dedz001.exe</t>
    <phoneticPr fontId="2"/>
  </si>
  <si>
    <t>S5_徳山西</t>
  </si>
  <si>
    <t>fcfz001.exe</t>
    <phoneticPr fontId="2"/>
  </si>
  <si>
    <t>fciz001.exe</t>
    <phoneticPr fontId="2"/>
  </si>
  <si>
    <t>fllz001.exe</t>
    <phoneticPr fontId="2"/>
  </si>
  <si>
    <t>fedz001.exe</t>
    <phoneticPr fontId="2"/>
  </si>
  <si>
    <t>S6_徳山東</t>
  </si>
  <si>
    <t>2 千葉（石）オフサイトメンテ</t>
  </si>
  <si>
    <t>DATAMENT.EXE</t>
    <phoneticPr fontId="2"/>
  </si>
  <si>
    <t>2 千葉（石）横串</t>
  </si>
  <si>
    <t>CCD1038.EXE</t>
    <phoneticPr fontId="2"/>
  </si>
  <si>
    <t>2 千葉（石）潤滑油タンク在庫メンテ</t>
  </si>
  <si>
    <t>CEDZ020A.EXE</t>
    <phoneticPr fontId="2"/>
  </si>
  <si>
    <t>2 千葉（石）操業情報</t>
  </si>
  <si>
    <t>CCD1041.EXE</t>
    <phoneticPr fontId="2"/>
  </si>
  <si>
    <t>　　∟リカバリーメニュー画面</t>
    <phoneticPr fontId="2"/>
  </si>
  <si>
    <t>CCD1042.exe</t>
    <phoneticPr fontId="2"/>
  </si>
  <si>
    <t>　　　∟自家燃使用量メニュー画面</t>
    <rPh sb="4" eb="6">
      <t>ジカ</t>
    </rPh>
    <rPh sb="6" eb="7">
      <t>ネン</t>
    </rPh>
    <rPh sb="7" eb="10">
      <t>シヨウリョウ</t>
    </rPh>
    <rPh sb="14" eb="16">
      <t>ガメン</t>
    </rPh>
    <phoneticPr fontId="2"/>
  </si>
  <si>
    <t>CCD1033.exe</t>
    <phoneticPr fontId="2"/>
  </si>
  <si>
    <t>　　∟他システム通信メニュー画面</t>
    <phoneticPr fontId="2"/>
  </si>
  <si>
    <t>CCD1043.exe</t>
    <phoneticPr fontId="2"/>
  </si>
  <si>
    <t>　　∟PIMSデータ削除画面</t>
    <phoneticPr fontId="2"/>
  </si>
  <si>
    <t>CCD1039.exe</t>
    <phoneticPr fontId="2"/>
  </si>
  <si>
    <t>　　∟装置運転停止時間マスタメンテナンス</t>
    <phoneticPr fontId="2"/>
  </si>
  <si>
    <t>CCD1040.exe</t>
    <phoneticPr fontId="2"/>
  </si>
  <si>
    <t>　　∟エラーメッセージ画面</t>
    <phoneticPr fontId="2"/>
  </si>
  <si>
    <t>CCD1036.exe</t>
    <phoneticPr fontId="2"/>
  </si>
  <si>
    <t>1 北海道製（ログオン画面有り）</t>
  </si>
  <si>
    <t>ZZZY001.exe</t>
    <phoneticPr fontId="2"/>
  </si>
  <si>
    <t>2 千葉（石）（ログオン画面有り）</t>
  </si>
  <si>
    <t>3 千葉（化）（ログオン画面有り）</t>
  </si>
  <si>
    <t>4 愛知事（ログオン画面有り）</t>
  </si>
  <si>
    <t>5 徳山西（ログオン画面有り）</t>
  </si>
  <si>
    <t>6 徳山東（ログオン画面有り）</t>
  </si>
  <si>
    <t>新IRISマスタメンテツール</t>
    <phoneticPr fontId="2"/>
  </si>
  <si>
    <t>AuthMnt.exe</t>
    <phoneticPr fontId="2"/>
  </si>
  <si>
    <t>VB6</t>
    <phoneticPr fontId="2"/>
  </si>
  <si>
    <t>ET_MENU_NEW</t>
  </si>
  <si>
    <t>ET_MENU_NEW.exe</t>
  </si>
  <si>
    <t>GT_ELE_COST</t>
  </si>
  <si>
    <t>GT_ELE_COST.exe</t>
  </si>
  <si>
    <t>ｶｳﾝﾀｰ照合</t>
  </si>
  <si>
    <t>ｶｳﾝﾀｰ照合.exe</t>
  </si>
  <si>
    <t>ケミカル管理2_目標値入力画面</t>
  </si>
  <si>
    <t>ケミカル管理2_目標値入力画面.exe</t>
  </si>
  <si>
    <t>TPHC Tools</t>
  </si>
  <si>
    <t>TPHCtools.exe</t>
  </si>
  <si>
    <t>Labman</t>
  </si>
  <si>
    <t>Labman.exe</t>
  </si>
  <si>
    <t>共通</t>
    <rPh sb="0" eb="2">
      <t>キョウツウ</t>
    </rPh>
    <phoneticPr fontId="2"/>
  </si>
  <si>
    <t>メニュー作成</t>
    <rPh sb="4" eb="6">
      <t>サクセイ</t>
    </rPh>
    <phoneticPr fontId="2"/>
  </si>
  <si>
    <t>ログ取得</t>
    <rPh sb="2" eb="4">
      <t>シュトク</t>
    </rPh>
    <phoneticPr fontId="2"/>
  </si>
  <si>
    <t>メール送信部品作成</t>
  </si>
  <si>
    <t>非機能要件</t>
    <rPh sb="0" eb="5">
      <t>ヒキノウヨウケン</t>
    </rPh>
    <phoneticPr fontId="2"/>
  </si>
  <si>
    <t>環境構築</t>
    <rPh sb="0" eb="4">
      <t>カンキョウコウチク</t>
    </rPh>
    <phoneticPr fontId="2"/>
  </si>
  <si>
    <t>環境構築(検証・本番)</t>
    <rPh sb="0" eb="2">
      <t>カンキョウ</t>
    </rPh>
    <rPh sb="2" eb="4">
      <t>コウチク</t>
    </rPh>
    <rPh sb="5" eb="7">
      <t>ケンショウ</t>
    </rPh>
    <rPh sb="8" eb="10">
      <t>ホンバン</t>
    </rPh>
    <phoneticPr fontId="2"/>
  </si>
  <si>
    <t>全体</t>
    <rPh sb="0" eb="2">
      <t>ゼンタイ</t>
    </rPh>
    <phoneticPr fontId="2"/>
  </si>
  <si>
    <t>リリース</t>
    <phoneticPr fontId="2"/>
  </si>
  <si>
    <t>リリース・リリース計画・準備</t>
    <rPh sb="9" eb="11">
      <t>ケイカク</t>
    </rPh>
    <rPh sb="12" eb="14">
      <t>ジュンビ</t>
    </rPh>
    <phoneticPr fontId="2"/>
  </si>
  <si>
    <t>合計（人日）</t>
    <rPh sb="0" eb="2">
      <t>ゴウケイ</t>
    </rPh>
    <rPh sb="3" eb="5">
      <t>ニンニチ</t>
    </rPh>
    <phoneticPr fontId="2"/>
  </si>
  <si>
    <t>合計（人月）</t>
    <rPh sb="0" eb="2">
      <t>ゴウケイ</t>
    </rPh>
    <rPh sb="3" eb="5">
      <t>ニンゲツ</t>
    </rPh>
    <phoneticPr fontId="2"/>
  </si>
  <si>
    <t>プロジェクト管理</t>
    <rPh sb="6" eb="8">
      <t>カンリ</t>
    </rPh>
    <phoneticPr fontId="2"/>
  </si>
  <si>
    <t>金額</t>
    <rPh sb="0" eb="2">
      <t>キンガク</t>
    </rPh>
    <phoneticPr fontId="2"/>
  </si>
  <si>
    <t>■パターン①</t>
  </si>
  <si>
    <t>2026年</t>
    <phoneticPr fontId="2"/>
  </si>
  <si>
    <t>4月</t>
    <rPh sb="1" eb="2">
      <t>ガツ</t>
    </rPh>
    <phoneticPr fontId="2"/>
  </si>
  <si>
    <t>5月</t>
  </si>
  <si>
    <t>6月</t>
  </si>
  <si>
    <t>7月</t>
  </si>
  <si>
    <t>8月</t>
  </si>
  <si>
    <t>9月</t>
  </si>
  <si>
    <t>10月</t>
  </si>
  <si>
    <t>11月</t>
  </si>
  <si>
    <t>12月</t>
  </si>
  <si>
    <t>1月</t>
  </si>
  <si>
    <t>工程</t>
    <rPh sb="0" eb="2">
      <t>コウテイ</t>
    </rPh>
    <phoneticPr fontId="2"/>
  </si>
  <si>
    <t>詳細設計</t>
    <rPh sb="0" eb="4">
      <t>ショウサイセッケイ</t>
    </rPh>
    <phoneticPr fontId="2"/>
  </si>
  <si>
    <t>実装</t>
    <rPh sb="0" eb="2">
      <t>ジッソウ</t>
    </rPh>
    <phoneticPr fontId="2"/>
  </si>
  <si>
    <t>受入テスト</t>
    <rPh sb="0" eb="2">
      <t>ウケイレ</t>
    </rPh>
    <phoneticPr fontId="2"/>
  </si>
  <si>
    <t>工数合計</t>
    <rPh sb="0" eb="2">
      <t>コウスウ</t>
    </rPh>
    <rPh sb="2" eb="4">
      <t>ゴウケイ</t>
    </rPh>
    <phoneticPr fontId="2"/>
  </si>
  <si>
    <t>PM</t>
    <phoneticPr fontId="2"/>
  </si>
  <si>
    <t>SE</t>
    <phoneticPr fontId="2"/>
  </si>
  <si>
    <t>ブリッジ</t>
    <phoneticPr fontId="2"/>
  </si>
  <si>
    <t>BrSE</t>
    <phoneticPr fontId="2"/>
  </si>
  <si>
    <t>PG①</t>
    <phoneticPr fontId="2"/>
  </si>
  <si>
    <t>PG</t>
    <phoneticPr fontId="2"/>
  </si>
  <si>
    <t>PG②</t>
    <phoneticPr fontId="2"/>
  </si>
  <si>
    <t>工数合計（人月）</t>
    <rPh sb="0" eb="2">
      <t>コウスウ</t>
    </rPh>
    <rPh sb="2" eb="4">
      <t>ゴウケイ</t>
    </rPh>
    <rPh sb="5" eb="7">
      <t>ニンゲツ</t>
    </rPh>
    <phoneticPr fontId="2"/>
  </si>
  <si>
    <t>工数見積金額</t>
    <rPh sb="0" eb="4">
      <t>コウスウミツモリ</t>
    </rPh>
    <rPh sb="4" eb="6">
      <t>キンガク</t>
    </rPh>
    <phoneticPr fontId="2"/>
  </si>
  <si>
    <t>■パターン②</t>
  </si>
  <si>
    <t>実装</t>
  </si>
  <si>
    <t>システムテスト</t>
  </si>
  <si>
    <t>受入テスト</t>
  </si>
  <si>
    <t>新IRISマスタメンテツール</t>
  </si>
  <si>
    <t>バッチ</t>
    <phoneticPr fontId="2"/>
  </si>
  <si>
    <t>自家燃タンク在庫連携</t>
    <rPh sb="0" eb="1">
      <t>ジ</t>
    </rPh>
    <rPh sb="1" eb="2">
      <t>イエ</t>
    </rPh>
    <rPh sb="2" eb="3">
      <t>ネン</t>
    </rPh>
    <rPh sb="6" eb="8">
      <t>ザイコ</t>
    </rPh>
    <rPh sb="8" eb="10">
      <t>レンケイ</t>
    </rPh>
    <phoneticPr fontId="2"/>
  </si>
  <si>
    <t>設計書から算出</t>
  </si>
  <si>
    <t>自家燃使用量連携</t>
    <rPh sb="0" eb="1">
      <t>ジ</t>
    </rPh>
    <rPh sb="1" eb="2">
      <t>イエ</t>
    </rPh>
    <rPh sb="2" eb="3">
      <t>ネン</t>
    </rPh>
    <rPh sb="3" eb="5">
      <t>シヨウ</t>
    </rPh>
    <rPh sb="5" eb="6">
      <t>リョウ</t>
    </rPh>
    <rPh sb="6" eb="8">
      <t>レンケイ</t>
    </rPh>
    <phoneticPr fontId="2"/>
  </si>
  <si>
    <t>潤滑油一課タンク在庫連携</t>
    <rPh sb="0" eb="3">
      <t>ジュンカツユ</t>
    </rPh>
    <rPh sb="3" eb="5">
      <t>イッカ</t>
    </rPh>
    <rPh sb="8" eb="10">
      <t>ザイコ</t>
    </rPh>
    <rPh sb="10" eb="12">
      <t>レンケイ</t>
    </rPh>
    <phoneticPr fontId="2"/>
  </si>
  <si>
    <t>日別装置稼働連携</t>
    <rPh sb="0" eb="2">
      <t>ニチベツ</t>
    </rPh>
    <rPh sb="2" eb="4">
      <t>ソウチ</t>
    </rPh>
    <rPh sb="4" eb="6">
      <t>カドウ</t>
    </rPh>
    <rPh sb="6" eb="8">
      <t>レンケイ</t>
    </rPh>
    <phoneticPr fontId="2"/>
  </si>
  <si>
    <t>phase1</t>
    <phoneticPr fontId="2"/>
  </si>
  <si>
    <t>phase2</t>
  </si>
  <si>
    <t>phase3</t>
  </si>
  <si>
    <t>phase4</t>
    <phoneticPr fontId="2"/>
  </si>
  <si>
    <t>構築</t>
    <rPh sb="0" eb="2">
      <t>コウチク</t>
    </rPh>
    <phoneticPr fontId="2"/>
  </si>
  <si>
    <t>初期流動</t>
    <rPh sb="0" eb="4">
      <t>ショキリュウドウ</t>
    </rPh>
    <phoneticPr fontId="2"/>
  </si>
  <si>
    <t>合計</t>
    <rPh sb="0" eb="2">
      <t>ゴウケイ</t>
    </rPh>
    <phoneticPr fontId="2"/>
  </si>
  <si>
    <t>案</t>
    <rPh sb="0" eb="1">
      <t>アン</t>
    </rPh>
    <phoneticPr fontId="2"/>
  </si>
  <si>
    <t>方針</t>
    <rPh sb="0" eb="2">
      <t>ホウシン</t>
    </rPh>
    <phoneticPr fontId="2"/>
  </si>
  <si>
    <t>期間(案)</t>
    <rPh sb="0" eb="2">
      <t>キカン</t>
    </rPh>
    <rPh sb="3" eb="4">
      <t>アン</t>
    </rPh>
    <phoneticPr fontId="2"/>
  </si>
  <si>
    <t>概算見積</t>
    <phoneticPr fontId="2"/>
  </si>
  <si>
    <t>メリット</t>
    <phoneticPr fontId="2"/>
  </si>
  <si>
    <t>デメリット(リスク・課題)</t>
    <rPh sb="10" eb="12">
      <t>カダイ</t>
    </rPh>
    <phoneticPr fontId="2"/>
  </si>
  <si>
    <t>phase2</t>
    <phoneticPr fontId="2"/>
  </si>
  <si>
    <t>phase3</t>
    <phoneticPr fontId="2"/>
  </si>
  <si>
    <t>保守</t>
    <rPh sb="0" eb="2">
      <t>ホシュ</t>
    </rPh>
    <phoneticPr fontId="2"/>
  </si>
  <si>
    <t>案①</t>
    <rPh sb="0" eb="2">
      <t>アン1</t>
    </rPh>
    <phoneticPr fontId="2"/>
  </si>
  <si>
    <t xml:space="preserve">・要件定義で確定した内容に基づき、設計からリリースまでを一括で実施します。
　このプロセスは、ウォーターフォール開発手法を想定しています
</t>
    <rPh sb="1" eb="3">
      <t>ヨウケン</t>
    </rPh>
    <rPh sb="3" eb="5">
      <t>テイギ</t>
    </rPh>
    <rPh sb="6" eb="8">
      <t>カクテイ</t>
    </rPh>
    <rPh sb="10" eb="12">
      <t>ナイヨウ</t>
    </rPh>
    <rPh sb="13" eb="14">
      <t>モト</t>
    </rPh>
    <rPh sb="17" eb="19">
      <t>セッケイ</t>
    </rPh>
    <rPh sb="28" eb="30">
      <t>イッカツ</t>
    </rPh>
    <rPh sb="31" eb="33">
      <t>ジッシ</t>
    </rPh>
    <rPh sb="56" eb="58">
      <t>カイハツ</t>
    </rPh>
    <rPh sb="58" eb="60">
      <t>シュホウ</t>
    </rPh>
    <rPh sb="61" eb="63">
      <t>ソウテイ</t>
    </rPh>
    <phoneticPr fontId="2"/>
  </si>
  <si>
    <t>2024年12月～2025年11月
（契約意思表示：2024年10月末）</t>
    <rPh sb="21" eb="25">
      <t>イシヒョウジ</t>
    </rPh>
    <phoneticPr fontId="2"/>
  </si>
  <si>
    <t>ー</t>
    <phoneticPr fontId="2"/>
  </si>
  <si>
    <t>-</t>
    <phoneticPr fontId="2"/>
  </si>
  <si>
    <t>見直し有
（未定）</t>
    <rPh sb="0" eb="2">
      <t>ミナオ</t>
    </rPh>
    <rPh sb="3" eb="4">
      <t>アリ</t>
    </rPh>
    <rPh sb="6" eb="8">
      <t>ミテイ</t>
    </rPh>
    <phoneticPr fontId="2"/>
  </si>
  <si>
    <t>・すべての内容を一括で実行するため、他の案よりも少ない総工数での構築が可能です。
・全体を見通して開発を進めることで、共通化が容易になり、手戻りも少なくなります。</t>
    <phoneticPr fontId="2"/>
  </si>
  <si>
    <t xml:space="preserve">《課題》
・すべての内容を一括で行うため、1つの契約あたりの費用が大きい。
・2024年度に予定している予算計画を大幅に超えてしまう。
《リスク》
・一括契約のため、要件定義に変更が生じた場合の手戻りリスクが高い。
</t>
    <rPh sb="1" eb="5">
      <t>キホンセッケイ</t>
    </rPh>
    <rPh sb="7" eb="9">
      <t>ショウサイ</t>
    </rPh>
    <rPh sb="9" eb="11">
      <t>セッケイ</t>
    </rPh>
    <rPh sb="13" eb="15">
      <t>セイゾウ</t>
    </rPh>
    <rPh sb="17" eb="19">
      <t>ケツゴウ</t>
    </rPh>
    <rPh sb="24" eb="26">
      <t>ソウゴウ</t>
    </rPh>
    <rPh sb="31" eb="33">
      <t>ウケイレ</t>
    </rPh>
    <rPh sb="36" eb="38">
      <t>シエン</t>
    </rPh>
    <phoneticPr fontId="2"/>
  </si>
  <si>
    <t>案②</t>
    <rPh sb="0" eb="1">
      <t>アン</t>
    </rPh>
    <phoneticPr fontId="2"/>
  </si>
  <si>
    <r>
      <rPr>
        <sz val="16"/>
        <color rgb="FF000000"/>
        <rFont val="Meiryo UI"/>
        <family val="3"/>
        <charset val="128"/>
      </rPr>
      <t xml:space="preserve">《全体方針》
　・もともとのDI部様の切り分け案を活かした案となります。
　・4つのphaseで開発を行います。
　・開発手法として、要件定義の内容を分散しウォーターフォールモデルを用いて開発を進めることを想定しています。
</t>
    </r>
    <r>
      <rPr>
        <b/>
        <sz val="16"/>
        <color rgb="FF000000"/>
        <rFont val="Meiryo UI"/>
        <family val="3"/>
        <charset val="128"/>
      </rPr>
      <t xml:space="preserve">《phase1：国内企業検索》
</t>
    </r>
    <r>
      <rPr>
        <sz val="16"/>
        <color rgb="FF000000"/>
        <rFont val="Meiryo UI"/>
        <family val="3"/>
        <charset val="128"/>
      </rPr>
      <t xml:space="preserve">　・国内企業検索のシステムを構築します。
　・現在のシステムでは、tsrv-van2で購入・参照をしていますが、リリース後は国内企業情報検索で可能になります。
　※マクロのインプットは現行通り、TSRから納品されたCSVを使用する想定
</t>
    </r>
    <r>
      <rPr>
        <b/>
        <sz val="16"/>
        <color rgb="FF000000"/>
        <rFont val="Meiryo UI"/>
        <family val="3"/>
        <charset val="128"/>
      </rPr>
      <t xml:space="preserve">《phase2：海外企業検索》
</t>
    </r>
    <r>
      <rPr>
        <sz val="16"/>
        <color rgb="FF000000"/>
        <rFont val="Meiryo UI"/>
        <family val="3"/>
        <charset val="128"/>
      </rPr>
      <t xml:space="preserve">　・Direct+の移行を行います。
　・現在のDirect+では、出力されたCSVファイルをマクロで取り込んでいますが、リリース後は、海外出光グループ購入済み企業一覧から出力されるCSVファイルを取り込むようにします。
　・初期化業務は、新業務フローに従い実施できるようにシステムを更新します。
　・現行のDirect+はシステムを廃止します。
</t>
    </r>
    <r>
      <rPr>
        <b/>
        <sz val="16"/>
        <color rgb="FF000000"/>
        <rFont val="Meiryo UI"/>
        <family val="3"/>
        <charset val="128"/>
      </rPr>
      <t xml:space="preserve">《phase3：等級・基準限度額算出／限度額申請》
</t>
    </r>
    <r>
      <rPr>
        <sz val="16"/>
        <color rgb="FF000000"/>
        <rFont val="Meiryo UI"/>
        <family val="3"/>
        <charset val="128"/>
      </rPr>
      <t xml:space="preserve">　・等級算出マクロ(一次、二次)の移行を行います。
　・リリース後はWebシステム内で等級・基準限度額算出が行えるようになります。
</t>
    </r>
    <r>
      <rPr>
        <b/>
        <sz val="16"/>
        <color rgb="FF000000"/>
        <rFont val="Meiryo UI"/>
        <family val="3"/>
        <charset val="128"/>
      </rPr>
      <t xml:space="preserve">《phase4：リスク残額(エクスポージャー)／売掛以外の債権》
</t>
    </r>
    <r>
      <rPr>
        <sz val="16"/>
        <color rgb="FF000000"/>
        <rFont val="Meiryo UI"/>
        <family val="3"/>
        <charset val="128"/>
      </rPr>
      <t>　・リスク残額、売掛以外の債権を参照できるようにします。
　・SAPから売掛金などの情報を連携できるようにします。</t>
    </r>
  </si>
  <si>
    <t>《契約期間》
■phase1
　2024年12月～2025年3月
（契約意思表示：2024年10月末）
　保守契約変更有
■phase2
　2025年4月～2025年6月
（契約締結希望：2025年2月末）
　保守契約変更無
■phase3
　2025年7月～2025年12月
（契約締結希望：2025年5月末）
■phase4
　2021年1月～2026年2月
（契約締結希望：2025年11月末）</t>
    <rPh sb="49" eb="50">
      <t>マツ</t>
    </rPh>
    <rPh sb="53" eb="57">
      <t>ホシュケイヤク</t>
    </rPh>
    <rPh sb="111" eb="112">
      <t>ナ</t>
    </rPh>
    <phoneticPr fontId="2"/>
  </si>
  <si>
    <t>見直し有
(月75万)</t>
    <rPh sb="0" eb="2">
      <t>ミナオ</t>
    </rPh>
    <rPh sb="3" eb="4">
      <t>アリ</t>
    </rPh>
    <rPh sb="6" eb="7">
      <t>ツキ</t>
    </rPh>
    <rPh sb="9" eb="10">
      <t>マン</t>
    </rPh>
    <phoneticPr fontId="2"/>
  </si>
  <si>
    <t>見直し無</t>
    <rPh sb="0" eb="2">
      <t>ミナオ</t>
    </rPh>
    <rPh sb="3" eb="4">
      <t>ナ</t>
    </rPh>
    <phoneticPr fontId="2"/>
  </si>
  <si>
    <t>・部分的に機能を構築するため、開発対象外の機能については手戻りなく変更が行えます。 　
※変更により見積金額が変動する可能性があります。
・phase2が対応完了(2025年6月)することで対応期限が決まっている「現行のDirect+の基盤移行」が完了できます。</t>
    <phoneticPr fontId="2"/>
  </si>
  <si>
    <t>《課題》
・phase2移行案件においても、契約の狭間なく継続を行い為同様の問題が再度生じる。
・保守内容の変更に伴い、保守契約の見直しが必要となる。
　※初期流動を含めて検討が必要
・phase3の対応完了(2025年12月)するまでの間は等級、基準限度額などの算出項目についてはマクロに機能が残るため非表示となります。
《リスク》
・総額として、一括よりもリリース回数が増えるとリスクが大きくなり、金額が高くなる。
・全体を俯瞰しながら開発ができないため、後から構築する機能での仕様変更や考慮漏れが発生した場合、影響が大きくなる可能性がある。</t>
    <rPh sb="83" eb="84">
      <t>フク</t>
    </rPh>
    <rPh sb="86" eb="88">
      <t>ケントウ</t>
    </rPh>
    <rPh sb="89" eb="91">
      <t>ヒツヨウ</t>
    </rPh>
    <phoneticPr fontId="2"/>
  </si>
  <si>
    <t>案③</t>
    <rPh sb="0" eb="1">
      <t>アン</t>
    </rPh>
    <phoneticPr fontId="2"/>
  </si>
  <si>
    <r>
      <rPr>
        <sz val="16"/>
        <color rgb="FF000000"/>
        <rFont val="Meiryo UI"/>
        <family val="3"/>
        <charset val="128"/>
      </rPr>
      <t xml:space="preserve">《全体方針》
　・2つのphaseで開発を行います。
　・開発手法として、要件定義の内容を分散しウォーターフォールモデルを用いて開発を進めることを想定しています。
</t>
    </r>
    <r>
      <rPr>
        <b/>
        <sz val="16"/>
        <color rgb="FF000000"/>
        <rFont val="Meiryo UI"/>
        <family val="3"/>
        <charset val="128"/>
      </rPr>
      <t xml:space="preserve">《phase1：国内企業検索／海外企業検索》
</t>
    </r>
    <r>
      <rPr>
        <sz val="16"/>
        <color rgb="FF000000"/>
        <rFont val="Meiryo UI"/>
        <family val="3"/>
        <charset val="128"/>
      </rPr>
      <t xml:space="preserve">　・国内企業検索のシステムを構築します。
　・現在のシステムでは、tsrv-van2で購入・参照をしていますが、リリース後は国内企業情報検索で可能になります。
　※マクロのインプットは現行通り、TSRから納品されたCSVを使用する想定
　・Direct+の移行を行います。
　・現在のDirect+では、出力されたCSVファイルをマクロで取り込んでいますが、リリース後は、海外出光グループ購入済み企業一覧から出力されるCSVファイルを取り込むようにします。
　・初期化業務は、新業務フローに従い実施できるようにシステムを更新します。
　・現行のDirect+はシステムを廃止します。
</t>
    </r>
    <r>
      <rPr>
        <b/>
        <sz val="16"/>
        <color rgb="FF000000"/>
        <rFont val="Meiryo UI"/>
        <family val="3"/>
        <charset val="128"/>
      </rPr>
      <t xml:space="preserve">《phase2：等級・基準限度額算出／限度額申請／リスク残額(エクスポージャー)／売掛以外の債権》
</t>
    </r>
    <r>
      <rPr>
        <sz val="16"/>
        <color rgb="FF000000"/>
        <rFont val="Meiryo UI"/>
        <family val="3"/>
        <charset val="128"/>
      </rPr>
      <t>　・等級算出マクロ(一次、二次)の移行を行います。
　・リリース後はWebシステム内で等級・基準限度額算出が行えるようになります。
　・リスク残額、売掛以外の債権を参照できるようにします。
　・SAPから売掛金などの情報を連携できるようにします。</t>
    </r>
  </si>
  <si>
    <t>■phase1
　2024年12月～2024年5月
（契約意思表示：2024年10月末）
■phase2
　2025年6月～2025年12月
（契約締結希望：2025年4月末）</t>
    <phoneticPr fontId="2"/>
  </si>
  <si>
    <t>見直し有
(月75万)</t>
    <phoneticPr fontId="2"/>
  </si>
  <si>
    <t xml:space="preserve">・部分的に機能を構築するため、開発対象外の機能については手戻りなく変更が行えます。 
※変更により見積金額が変動する可能性があります。
・phase1が対応完了(2025年5月)することで対応期限が決まっている「現行のDirect+の基盤移行」が完了できます。
</t>
    <rPh sb="76" eb="80">
      <t>タイオウカンリョウ</t>
    </rPh>
    <phoneticPr fontId="2"/>
  </si>
  <si>
    <t>《課題》
・phase2移行案件においても、契約の狭間なく継続を行い為同様の問題が再度生じる。
・保守内容の変更に伴い、保守契約の見直しが必要となる。
　※初期流動を含めて検討が必要
・phase2の対応完了(2025年12月)するまでの間は等級、基準限度額などの算出項目についてはマクロに機能が残るため非表示となります。
《リスク》
・総額として、一括よりもリリース回数が増えるとリスクが大きくなり、金額が高くなる。
・全体を俯瞰しながら開発ができないため、後から構築する機能での仕様変更や考慮漏れが発生した場合、影響が大きくなる可能性がある。</t>
    <rPh sb="1" eb="3">
      <t>カダイ</t>
    </rPh>
    <rPh sb="12" eb="14">
      <t>イコウ</t>
    </rPh>
    <rPh sb="32" eb="33">
      <t>オコナ</t>
    </rPh>
    <rPh sb="34" eb="35">
      <t>タメ</t>
    </rPh>
    <rPh sb="100" eb="104">
      <t>タイオウカンリョウ</t>
    </rPh>
    <rPh sb="189" eb="190">
      <t>アイダ</t>
    </rPh>
    <phoneticPr fontId="2"/>
  </si>
  <si>
    <t>案④</t>
    <rPh sb="0" eb="1">
      <t>アン</t>
    </rPh>
    <phoneticPr fontId="2"/>
  </si>
  <si>
    <r>
      <rPr>
        <sz val="16"/>
        <color rgb="FF000000"/>
        <rFont val="Meiryo UI"/>
        <family val="3"/>
        <charset val="128"/>
      </rPr>
      <t xml:space="preserve">《全体方針》
　・3つのphaseで開発を行います。
　・開発手法として、要件定義の内容を分散しウォーターフォールモデルを用いて開発を進めることを想定しています。
</t>
    </r>
    <r>
      <rPr>
        <b/>
        <sz val="16"/>
        <color rgb="FF000000"/>
        <rFont val="Meiryo UI"/>
        <family val="3"/>
        <charset val="128"/>
      </rPr>
      <t xml:space="preserve">《phase1：国内企業検索》
</t>
    </r>
    <r>
      <rPr>
        <sz val="16"/>
        <color rgb="FF000000"/>
        <rFont val="Meiryo UI"/>
        <family val="3"/>
        <charset val="128"/>
      </rPr>
      <t xml:space="preserve">　・国内企業検索のシステムを構築します。
　・現在のシステムでは、tsrv-van2で購入・参照をしていますが、リリース後は国内企業情報検索で可能になります。
　※マクロのインプットは現行通り、TSRから納品されたCSVを使用する想定
</t>
    </r>
    <r>
      <rPr>
        <b/>
        <sz val="16"/>
        <color rgb="FF000000"/>
        <rFont val="Meiryo UI"/>
        <family val="3"/>
        <charset val="128"/>
      </rPr>
      <t xml:space="preserve">《phase2：海外企業検索/等級・基準限度額算出／限度額申請》
</t>
    </r>
    <r>
      <rPr>
        <sz val="16"/>
        <color rgb="FF000000"/>
        <rFont val="Meiryo UI"/>
        <family val="3"/>
        <charset val="128"/>
      </rPr>
      <t xml:space="preserve">　・Direct+の移行を行います。
　・現在のDirect+では、出力されたCSVファイルをマクロで取り込んでいますが、リリース後は、海外出光グループ購入済み企業一覧から出力されるCSVファイルを取り込むようにします。
　・初期化業務は、新業務フローに従い実施できるようにシステムを更新します。
　・現行のDirect+はシステムを廃止します。
　・等級算出マクロ(一次、二次)の移行を行います。
　・リリース後はWebシステム内で等級・基準限度額算出が行えるようになります。
</t>
    </r>
    <r>
      <rPr>
        <b/>
        <sz val="16"/>
        <color rgb="FF000000"/>
        <rFont val="Meiryo UI"/>
        <family val="3"/>
        <charset val="128"/>
      </rPr>
      <t xml:space="preserve">《phase3：リスク残額(エクスポージャー)／売掛以外の債権》
</t>
    </r>
    <r>
      <rPr>
        <sz val="16"/>
        <color rgb="FF000000"/>
        <rFont val="Meiryo UI"/>
        <family val="3"/>
        <charset val="128"/>
      </rPr>
      <t>　・リスク残額、売掛以外の債権を参照できるようにします。
　・SAPから売掛金などの情報を連携できるようにします。</t>
    </r>
  </si>
  <si>
    <t>■phase1
　2024年12月～2025年3月
（契約意思表示：2024年10月末）
■phase2
　2025年4月～2025年11月
（契約締結希望：2025年2月末）
■phase3
　2025年12月～2026年1月
（契約締結希望：2025年10月末）</t>
    <phoneticPr fontId="2"/>
  </si>
  <si>
    <t>見直し無</t>
    <rPh sb="0" eb="2">
      <t>ミナオ</t>
    </rPh>
    <rPh sb="3" eb="4">
      <t>ム</t>
    </rPh>
    <phoneticPr fontId="2"/>
  </si>
  <si>
    <t>見直し有
（未定）</t>
    <phoneticPr fontId="2"/>
  </si>
  <si>
    <t xml:space="preserve">・部分的に機能を構築するため、開発対象外の機能については手戻りなく変更が行えます。 
※変更により見積金額が変動する可能性があります。
・phase2が対応完了(2025年11月)することで対応期限が決まっている「現行のDirect+の基盤移行」が完了できます。
</t>
    <rPh sb="76" eb="80">
      <t>タイオウカンリョウ</t>
    </rPh>
    <phoneticPr fontId="2"/>
  </si>
  <si>
    <t>《課題》
・phase2移行案件においても、契約の狭間なく継続を行い為同様の問題が再度生じる。
・保守内容の変更に伴い、保守契約の見直しが必要となる。
　※初期流動を含めて検討が必要
・phase2の対応完了(2025年11月)するまでの間は等級、基準限度額などの算出項目についてはマクロに機能が残るため非表示となります。
《リスク》
・総額として、一括よりもリリース回数が増えるとリスクが大きくなり、金額が高くなる。
・全体を俯瞰しながら開発ができないため、後から構築する機能での仕様変更や考慮漏れが発生した場合、影響が大きくなる可能性がある。</t>
    <rPh sb="1" eb="3">
      <t>カダイ</t>
    </rPh>
    <rPh sb="12" eb="14">
      <t>イコウ</t>
    </rPh>
    <rPh sb="32" eb="33">
      <t>オコナ</t>
    </rPh>
    <rPh sb="34" eb="35">
      <t>タメ</t>
    </rPh>
    <rPh sb="100" eb="104">
      <t>タイオウカンリョウ</t>
    </rPh>
    <rPh sb="119" eb="120">
      <t>アイダ</t>
    </rPh>
    <phoneticPr fontId="2"/>
  </si>
  <si>
    <t>※保守に関して全ての案で現行から変更となる想定です。</t>
    <rPh sb="1" eb="3">
      <t>ホシュ</t>
    </rPh>
    <rPh sb="4" eb="5">
      <t>カン</t>
    </rPh>
    <rPh sb="7" eb="8">
      <t>スベ</t>
    </rPh>
    <rPh sb="10" eb="11">
      <t>アン</t>
    </rPh>
    <rPh sb="12" eb="14">
      <t>ゲンコウ</t>
    </rPh>
    <rPh sb="16" eb="18">
      <t>ヘンコウ</t>
    </rPh>
    <rPh sb="21" eb="23">
      <t>ソウテイ</t>
    </rPh>
    <phoneticPr fontId="2"/>
  </si>
  <si>
    <t>【債権管理統合システム】詳細工数（2024/11/28）</t>
    <rPh sb="1" eb="7">
      <t>サイケンカンリトウゴウ</t>
    </rPh>
    <rPh sb="12" eb="14">
      <t>ショウサイ</t>
    </rPh>
    <rPh sb="14" eb="16">
      <t>コウスウ</t>
    </rPh>
    <phoneticPr fontId="5"/>
  </si>
  <si>
    <t>特高</t>
    <rPh sb="0" eb="1">
      <t>トク</t>
    </rPh>
    <rPh sb="1" eb="2">
      <t>コウ</t>
    </rPh>
    <phoneticPr fontId="2"/>
  </si>
  <si>
    <t>高</t>
    <rPh sb="0" eb="1">
      <t>コウ</t>
    </rPh>
    <phoneticPr fontId="2"/>
  </si>
  <si>
    <t>中</t>
    <rPh sb="0" eb="1">
      <t>チュウ</t>
    </rPh>
    <phoneticPr fontId="2"/>
  </si>
  <si>
    <t>低</t>
    <rPh sb="0" eb="1">
      <t>テイ</t>
    </rPh>
    <phoneticPr fontId="2"/>
  </si>
  <si>
    <t>特低</t>
    <rPh sb="0" eb="1">
      <t>トク</t>
    </rPh>
    <rPh sb="1" eb="2">
      <t>テイ</t>
    </rPh>
    <phoneticPr fontId="2"/>
  </si>
  <si>
    <t>パターン</t>
    <phoneticPr fontId="2"/>
  </si>
  <si>
    <t>難易度</t>
    <rPh sb="0" eb="3">
      <t>ナンイド</t>
    </rPh>
    <phoneticPr fontId="2"/>
  </si>
  <si>
    <t>合計
（金額）</t>
    <rPh sb="0" eb="2">
      <t>ゴウケイ</t>
    </rPh>
    <rPh sb="4" eb="6">
      <t>キンガク</t>
    </rPh>
    <phoneticPr fontId="2"/>
  </si>
  <si>
    <t>設計</t>
    <rPh sb="0" eb="2">
      <t>セッケイ</t>
    </rPh>
    <phoneticPr fontId="2"/>
  </si>
  <si>
    <t>製造</t>
    <rPh sb="0" eb="2">
      <t>セイゾウ</t>
    </rPh>
    <phoneticPr fontId="2"/>
  </si>
  <si>
    <t>単体テスト</t>
    <rPh sb="0" eb="2">
      <t>タンタイ</t>
    </rPh>
    <phoneticPr fontId="2"/>
  </si>
  <si>
    <t>総合テスト</t>
    <rPh sb="0" eb="2">
      <t>ソウゴウ</t>
    </rPh>
    <phoneticPr fontId="2"/>
  </si>
  <si>
    <t>phase4</t>
  </si>
  <si>
    <t>機能要件</t>
    <rPh sb="0" eb="4">
      <t>キノウヨウケン</t>
    </rPh>
    <phoneticPr fontId="2"/>
  </si>
  <si>
    <t>画面</t>
    <rPh sb="0" eb="2">
      <t>ガメン</t>
    </rPh>
    <phoneticPr fontId="2"/>
  </si>
  <si>
    <t>ログイン</t>
  </si>
  <si>
    <t>・EntraID認証</t>
    <rPh sb="8" eb="10">
      <t>ニンショウ</t>
    </rPh>
    <phoneticPr fontId="2"/>
  </si>
  <si>
    <t>〇</t>
    <phoneticPr fontId="2"/>
  </si>
  <si>
    <t>ダッシュボード</t>
  </si>
  <si>
    <t xml:space="preserve">・ログイン後に遷移する画面
・各画面へ遷移する画面
</t>
    <rPh sb="5" eb="6">
      <t>ゴ</t>
    </rPh>
    <rPh sb="7" eb="9">
      <t>センイ</t>
    </rPh>
    <rPh sb="11" eb="13">
      <t>ガメン</t>
    </rPh>
    <rPh sb="15" eb="18">
      <t>カクガメン</t>
    </rPh>
    <rPh sb="19" eb="21">
      <t>センイ</t>
    </rPh>
    <rPh sb="23" eb="25">
      <t>ガメン</t>
    </rPh>
    <phoneticPr fontId="2"/>
  </si>
  <si>
    <t>企業選択</t>
    <rPh sb="0" eb="2">
      <t>キギョウ</t>
    </rPh>
    <rPh sb="2" eb="4">
      <t>センタク</t>
    </rPh>
    <phoneticPr fontId="1"/>
  </si>
  <si>
    <t xml:space="preserve">・新規取引先限度額申請の企業選択時に使用
・親会社評価の親会社選択で使用
</t>
    <rPh sb="1" eb="3">
      <t>シンキ</t>
    </rPh>
    <rPh sb="3" eb="5">
      <t>トリヒキ</t>
    </rPh>
    <rPh sb="5" eb="6">
      <t>サキ</t>
    </rPh>
    <rPh sb="6" eb="8">
      <t>ゲンド</t>
    </rPh>
    <rPh sb="8" eb="9">
      <t>ガク</t>
    </rPh>
    <rPh sb="9" eb="11">
      <t>シンセイ</t>
    </rPh>
    <rPh sb="12" eb="14">
      <t>キギョウ</t>
    </rPh>
    <rPh sb="14" eb="16">
      <t>センタク</t>
    </rPh>
    <rPh sb="16" eb="17">
      <t>ドキ</t>
    </rPh>
    <rPh sb="18" eb="20">
      <t>シヨウ</t>
    </rPh>
    <rPh sb="22" eb="27">
      <t>オヤガイシャヒョウカ</t>
    </rPh>
    <rPh sb="28" eb="33">
      <t>オヤガイシャセンタク</t>
    </rPh>
    <rPh sb="34" eb="36">
      <t>シヨウ</t>
    </rPh>
    <phoneticPr fontId="2"/>
  </si>
  <si>
    <t>所在地選択</t>
    <rPh sb="0" eb="5">
      <t>ショザイチセンタク</t>
    </rPh>
    <phoneticPr fontId="1"/>
  </si>
  <si>
    <t xml:space="preserve">・国内取引先一覧の検索で使用するモーダル
・所在地の検索が可能
</t>
    <rPh sb="9" eb="11">
      <t>ケンサク</t>
    </rPh>
    <rPh sb="12" eb="14">
      <t>シヨウ</t>
    </rPh>
    <rPh sb="22" eb="25">
      <t>ショザイチ</t>
    </rPh>
    <rPh sb="26" eb="28">
      <t>ケンサク</t>
    </rPh>
    <rPh sb="29" eb="31">
      <t>カノウ</t>
    </rPh>
    <phoneticPr fontId="2"/>
  </si>
  <si>
    <t>業種選択</t>
    <rPh sb="0" eb="4">
      <t>ギョウシュセンタク</t>
    </rPh>
    <phoneticPr fontId="1"/>
  </si>
  <si>
    <t xml:space="preserve">・国内取引先一覧の検索で使用するモーダル
・業種の検索が可能
</t>
    <rPh sb="9" eb="11">
      <t>ケンサク</t>
    </rPh>
    <rPh sb="12" eb="14">
      <t>シヨウ</t>
    </rPh>
    <rPh sb="22" eb="24">
      <t>ギョウシュ</t>
    </rPh>
    <rPh sb="25" eb="27">
      <t>ケンサク</t>
    </rPh>
    <rPh sb="28" eb="30">
      <t>カノウ</t>
    </rPh>
    <phoneticPr fontId="2"/>
  </si>
  <si>
    <t>品目選択</t>
    <rPh sb="0" eb="4">
      <t>ヒンモクセンタク</t>
    </rPh>
    <phoneticPr fontId="1"/>
  </si>
  <si>
    <t xml:space="preserve">・国内取引先一覧の検索で使用するモーダル
・品目の検索が可能
</t>
    <rPh sb="9" eb="11">
      <t>ケンサク</t>
    </rPh>
    <rPh sb="12" eb="14">
      <t>シヨウ</t>
    </rPh>
    <rPh sb="22" eb="24">
      <t>ヒンモク</t>
    </rPh>
    <rPh sb="25" eb="27">
      <t>ケンサク</t>
    </rPh>
    <rPh sb="28" eb="30">
      <t>カノウ</t>
    </rPh>
    <phoneticPr fontId="2"/>
  </si>
  <si>
    <t>取引先一覧へ表示</t>
    <phoneticPr fontId="1"/>
  </si>
  <si>
    <t xml:space="preserve">・下記の画面で利用する画面
　海外企業詳細
　海外出光グループ購入済み企業一覧
　国内企業詳細
　国内出光グループ取得済み企業一覧
※項目としては記載するが工数は上記の画面に含まれる
</t>
    <rPh sb="1" eb="3">
      <t>カキ</t>
    </rPh>
    <rPh sb="4" eb="6">
      <t>ガメン</t>
    </rPh>
    <rPh sb="7" eb="9">
      <t>リヨウ</t>
    </rPh>
    <rPh sb="11" eb="13">
      <t>ガメン</t>
    </rPh>
    <rPh sb="67" eb="69">
      <t>コウモク</t>
    </rPh>
    <rPh sb="73" eb="75">
      <t>キサイ</t>
    </rPh>
    <rPh sb="78" eb="80">
      <t>コウスウ</t>
    </rPh>
    <rPh sb="81" eb="83">
      <t>ジョウキ</t>
    </rPh>
    <rPh sb="84" eb="86">
      <t>ガメン</t>
    </rPh>
    <rPh sb="87" eb="88">
      <t>フク</t>
    </rPh>
    <phoneticPr fontId="2"/>
  </si>
  <si>
    <t>検索</t>
    <rPh sb="0" eb="2">
      <t>ケンサク</t>
    </rPh>
    <phoneticPr fontId="2"/>
  </si>
  <si>
    <t>海外企業情報検索</t>
    <rPh sb="0" eb="2">
      <t>カイガイ</t>
    </rPh>
    <rPh sb="4" eb="6">
      <t>ジョウホウ</t>
    </rPh>
    <phoneticPr fontId="1"/>
  </si>
  <si>
    <t xml:space="preserve">・D&amp;B APIを使用して海外企業検索をする画面
</t>
    <rPh sb="9" eb="11">
      <t>シヨウ</t>
    </rPh>
    <rPh sb="13" eb="19">
      <t>カイガイキギョウケンサク</t>
    </rPh>
    <rPh sb="22" eb="24">
      <t>ガメン</t>
    </rPh>
    <phoneticPr fontId="2"/>
  </si>
  <si>
    <t>海外出光グループ購入済み企業一覧</t>
    <phoneticPr fontId="1"/>
  </si>
  <si>
    <t xml:space="preserve">・D&amp;B APIを使用して購入した企業を検索する画面
・取引先の設定ができる
</t>
    <rPh sb="9" eb="11">
      <t>シヨウ</t>
    </rPh>
    <rPh sb="13" eb="15">
      <t>コウニュウ</t>
    </rPh>
    <rPh sb="17" eb="19">
      <t>キギョウ</t>
    </rPh>
    <rPh sb="20" eb="22">
      <t>ケンサク</t>
    </rPh>
    <rPh sb="24" eb="26">
      <t>ガメン</t>
    </rPh>
    <phoneticPr fontId="2"/>
  </si>
  <si>
    <t>海外企業詳細</t>
    <rPh sb="4" eb="6">
      <t>ショウサイ</t>
    </rPh>
    <phoneticPr fontId="1"/>
  </si>
  <si>
    <t xml:space="preserve">・海外企業情報を表示する画面
・購入・未購入で表示できる範囲は異なる
・D&amp;B APIで企業情報の購入ができる
・新規限度額申請をできる
・取引先の設定ができる
・モニタリング設定ができる
</t>
    <rPh sb="1" eb="3">
      <t>カイガイ</t>
    </rPh>
    <rPh sb="3" eb="5">
      <t>キギョウ</t>
    </rPh>
    <rPh sb="5" eb="7">
      <t>ジョウホウ</t>
    </rPh>
    <rPh sb="8" eb="10">
      <t>ヒョウジ</t>
    </rPh>
    <rPh sb="12" eb="14">
      <t>ガメン</t>
    </rPh>
    <rPh sb="16" eb="18">
      <t>コウニュウ</t>
    </rPh>
    <rPh sb="19" eb="22">
      <t>ミコウニュウ</t>
    </rPh>
    <rPh sb="23" eb="25">
      <t>ヒョウジ</t>
    </rPh>
    <rPh sb="28" eb="30">
      <t>ハンイ</t>
    </rPh>
    <rPh sb="31" eb="32">
      <t>コト</t>
    </rPh>
    <rPh sb="44" eb="46">
      <t>キギョウ</t>
    </rPh>
    <rPh sb="46" eb="48">
      <t>ジョウホウ</t>
    </rPh>
    <rPh sb="49" eb="51">
      <t>コウニュウ</t>
    </rPh>
    <rPh sb="57" eb="59">
      <t>シンキ</t>
    </rPh>
    <rPh sb="59" eb="61">
      <t>ゲンド</t>
    </rPh>
    <rPh sb="61" eb="62">
      <t>ガク</t>
    </rPh>
    <rPh sb="62" eb="64">
      <t>シンセイ</t>
    </rPh>
    <rPh sb="70" eb="72">
      <t>トリヒキ</t>
    </rPh>
    <rPh sb="72" eb="73">
      <t>サキ</t>
    </rPh>
    <rPh sb="74" eb="76">
      <t>セッテイ</t>
    </rPh>
    <rPh sb="88" eb="90">
      <t>セッテイ</t>
    </rPh>
    <phoneticPr fontId="2"/>
  </si>
  <si>
    <t>国内企業情報検索</t>
    <rPh sb="0" eb="2">
      <t>コクナイ</t>
    </rPh>
    <rPh sb="4" eb="6">
      <t>ジョウホウ</t>
    </rPh>
    <phoneticPr fontId="1"/>
  </si>
  <si>
    <t xml:space="preserve">・TSR APIを使用して国内企業検索をする画面
</t>
    <rPh sb="9" eb="11">
      <t>シヨウ</t>
    </rPh>
    <rPh sb="13" eb="15">
      <t>コクナイ</t>
    </rPh>
    <rPh sb="15" eb="17">
      <t>キギョウ</t>
    </rPh>
    <rPh sb="17" eb="19">
      <t>ケンサク</t>
    </rPh>
    <rPh sb="22" eb="24">
      <t>ガメン</t>
    </rPh>
    <phoneticPr fontId="2"/>
  </si>
  <si>
    <t>国内出光グループ取得済み企業一覧</t>
    <rPh sb="0" eb="2">
      <t>コクナイ</t>
    </rPh>
    <rPh sb="2" eb="4">
      <t>イデミツ</t>
    </rPh>
    <rPh sb="8" eb="10">
      <t>シュトク</t>
    </rPh>
    <rPh sb="10" eb="11">
      <t>ズ</t>
    </rPh>
    <rPh sb="12" eb="14">
      <t>キギョウ</t>
    </rPh>
    <rPh sb="14" eb="16">
      <t>イチラン</t>
    </rPh>
    <phoneticPr fontId="1"/>
  </si>
  <si>
    <t xml:space="preserve">・TSR APIを使用して取得した企業を検索する画面
・取引先の設定ができる
</t>
    <rPh sb="9" eb="11">
      <t>シヨウ</t>
    </rPh>
    <rPh sb="13" eb="15">
      <t>シュトク</t>
    </rPh>
    <rPh sb="17" eb="19">
      <t>キギョウ</t>
    </rPh>
    <rPh sb="20" eb="22">
      <t>ケンサク</t>
    </rPh>
    <rPh sb="24" eb="26">
      <t>ガメン</t>
    </rPh>
    <phoneticPr fontId="2"/>
  </si>
  <si>
    <t>国内企業詳細</t>
    <rPh sb="4" eb="6">
      <t>ショウサイ</t>
    </rPh>
    <phoneticPr fontId="1"/>
  </si>
  <si>
    <t xml:space="preserve">・国内企業情報を表示する画面
・新規限度額申請をできる
・TSR APIで企業情報の購入ができる
・取引先の設定ができる
</t>
    <rPh sb="1" eb="3">
      <t>コクナイ</t>
    </rPh>
    <rPh sb="3" eb="5">
      <t>キギョウ</t>
    </rPh>
    <rPh sb="5" eb="7">
      <t>ジョウホウ</t>
    </rPh>
    <rPh sb="8" eb="10">
      <t>ヒョウジ</t>
    </rPh>
    <rPh sb="12" eb="14">
      <t>ガメン</t>
    </rPh>
    <rPh sb="16" eb="18">
      <t>シンキ</t>
    </rPh>
    <rPh sb="18" eb="20">
      <t>ゲンド</t>
    </rPh>
    <rPh sb="20" eb="21">
      <t>ガク</t>
    </rPh>
    <rPh sb="21" eb="23">
      <t>シンセイ</t>
    </rPh>
    <rPh sb="37" eb="39">
      <t>キギョウ</t>
    </rPh>
    <rPh sb="42" eb="44">
      <t>コウニュウ</t>
    </rPh>
    <rPh sb="57" eb="59">
      <t>トリヒキ</t>
    </rPh>
    <rPh sb="59" eb="60">
      <t>サキセッテイ</t>
    </rPh>
    <phoneticPr fontId="2"/>
  </si>
  <si>
    <t>表示</t>
    <rPh sb="0" eb="2">
      <t>ヒョウジ</t>
    </rPh>
    <phoneticPr fontId="2"/>
  </si>
  <si>
    <t>海外取引先一覧</t>
    <rPh sb="0" eb="2">
      <t>カイガイ</t>
    </rPh>
    <phoneticPr fontId="1"/>
  </si>
  <si>
    <t xml:space="preserve">・取引設定された海外企業を検索する画面
・既存限度額申請をできる
</t>
    <rPh sb="1" eb="5">
      <t>トリヒキセッテイ</t>
    </rPh>
    <rPh sb="8" eb="10">
      <t>カイガイ</t>
    </rPh>
    <rPh sb="10" eb="12">
      <t>キギョウ</t>
    </rPh>
    <rPh sb="13" eb="15">
      <t>ケンサク</t>
    </rPh>
    <rPh sb="17" eb="19">
      <t>ガメン</t>
    </rPh>
    <rPh sb="21" eb="25">
      <t>キゾンゲンド</t>
    </rPh>
    <rPh sb="25" eb="26">
      <t>ガク</t>
    </rPh>
    <rPh sb="26" eb="28">
      <t>シンセイ</t>
    </rPh>
    <phoneticPr fontId="2"/>
  </si>
  <si>
    <t>国内取引先一覧</t>
    <phoneticPr fontId="2"/>
  </si>
  <si>
    <t xml:space="preserve">・取引設定された国内企業を検索する画面
・既存限度額申請をできる
</t>
    <rPh sb="1" eb="5">
      <t>トリヒキセッテイ</t>
    </rPh>
    <rPh sb="8" eb="10">
      <t>コクナイ</t>
    </rPh>
    <rPh sb="10" eb="12">
      <t>キギョウ</t>
    </rPh>
    <rPh sb="13" eb="15">
      <t>ケンサク</t>
    </rPh>
    <rPh sb="17" eb="19">
      <t>ガメン</t>
    </rPh>
    <rPh sb="21" eb="25">
      <t>キゾンゲンド</t>
    </rPh>
    <rPh sb="25" eb="26">
      <t>ガク</t>
    </rPh>
    <rPh sb="26" eb="28">
      <t>シンセイ</t>
    </rPh>
    <phoneticPr fontId="2"/>
  </si>
  <si>
    <t>申請</t>
    <rPh sb="0" eb="2">
      <t>シンセイ</t>
    </rPh>
    <phoneticPr fontId="2"/>
  </si>
  <si>
    <t>新規取引先限度額申請</t>
    <rPh sb="0" eb="2">
      <t>シンキ</t>
    </rPh>
    <rPh sb="2" eb="4">
      <t>トリヒキ</t>
    </rPh>
    <rPh sb="4" eb="5">
      <t>サキ</t>
    </rPh>
    <rPh sb="5" eb="10">
      <t>ゲンドガクシンセイ</t>
    </rPh>
    <phoneticPr fontId="1"/>
  </si>
  <si>
    <t xml:space="preserve">・新規の限度額申請書を作成する画面
・評価方法を選択して等級及び基準限度額を算出する
</t>
    <rPh sb="1" eb="3">
      <t>シンキ</t>
    </rPh>
    <rPh sb="4" eb="9">
      <t>ゲンドガクシンセイ</t>
    </rPh>
    <rPh sb="9" eb="10">
      <t>ショ</t>
    </rPh>
    <rPh sb="11" eb="13">
      <t>サクセイ</t>
    </rPh>
    <rPh sb="15" eb="17">
      <t>ガメン</t>
    </rPh>
    <rPh sb="19" eb="23">
      <t>ヒョウカホウホウ</t>
    </rPh>
    <rPh sb="24" eb="26">
      <t>センタク</t>
    </rPh>
    <rPh sb="28" eb="31">
      <t>トウキュウオヨ</t>
    </rPh>
    <rPh sb="32" eb="37">
      <t>キジュンゲンドガク</t>
    </rPh>
    <rPh sb="38" eb="40">
      <t>サンシュツ</t>
    </rPh>
    <phoneticPr fontId="2"/>
  </si>
  <si>
    <t>高</t>
  </si>
  <si>
    <t>既存取引先限度額申請</t>
    <rPh sb="2" eb="5">
      <t>トリヒキサキ</t>
    </rPh>
    <rPh sb="5" eb="10">
      <t>ゲンドガクシンセイ</t>
    </rPh>
    <phoneticPr fontId="1"/>
  </si>
  <si>
    <r>
      <rPr>
        <strike/>
        <sz val="12"/>
        <color theme="1"/>
        <rFont val="Meiryo UI"/>
        <family val="3"/>
        <charset val="128"/>
      </rPr>
      <t>&lt;要件定義未実施&gt;</t>
    </r>
    <r>
      <rPr>
        <sz val="12"/>
        <color theme="1"/>
        <rFont val="Meiryo UI"/>
        <family val="3"/>
        <charset val="128"/>
      </rPr>
      <t xml:space="preserve">
・既存の限度額申請書を作成する画面
・取引先一覧で選択した企業の限度額申請書を作成する
・評価方法を選択して等級及び基準限度額を再算出することも可能
</t>
    </r>
    <rPh sb="11" eb="13">
      <t>キゾン</t>
    </rPh>
    <rPh sb="29" eb="32">
      <t>トリヒキサキ</t>
    </rPh>
    <rPh sb="32" eb="34">
      <t>イチラン</t>
    </rPh>
    <rPh sb="35" eb="37">
      <t>センタク</t>
    </rPh>
    <rPh sb="39" eb="41">
      <t>キギョウ</t>
    </rPh>
    <rPh sb="42" eb="44">
      <t>ゲンド</t>
    </rPh>
    <rPh sb="44" eb="45">
      <t>ガク</t>
    </rPh>
    <rPh sb="45" eb="47">
      <t>シンセイ</t>
    </rPh>
    <rPh sb="47" eb="48">
      <t>ショ</t>
    </rPh>
    <rPh sb="49" eb="51">
      <t>サクセイ</t>
    </rPh>
    <rPh sb="74" eb="75">
      <t>サイ</t>
    </rPh>
    <rPh sb="82" eb="84">
      <t>カノウ</t>
    </rPh>
    <phoneticPr fontId="2"/>
  </si>
  <si>
    <t>特高</t>
    <rPh sb="0" eb="1">
      <t>トク</t>
    </rPh>
    <phoneticPr fontId="2"/>
  </si>
  <si>
    <t>取引先限度額申請一覧</t>
    <phoneticPr fontId="1"/>
  </si>
  <si>
    <t xml:space="preserve">・取引先限度額申請を一覧で表示する。
・現在の申請の状況を確認する。
</t>
    <rPh sb="10" eb="12">
      <t>イチラン</t>
    </rPh>
    <rPh sb="13" eb="15">
      <t>ヒョウジ</t>
    </rPh>
    <rPh sb="20" eb="22">
      <t>ゲンザイ</t>
    </rPh>
    <rPh sb="23" eb="25">
      <t>シンセイ</t>
    </rPh>
    <rPh sb="26" eb="28">
      <t>ジョウキョウ</t>
    </rPh>
    <rPh sb="29" eb="31">
      <t>カクニン</t>
    </rPh>
    <phoneticPr fontId="2"/>
  </si>
  <si>
    <t>計算</t>
    <rPh sb="0" eb="2">
      <t>ケイサン</t>
    </rPh>
    <phoneticPr fontId="2"/>
  </si>
  <si>
    <t>Moody’s/S&amp;P評価</t>
    <phoneticPr fontId="1"/>
  </si>
  <si>
    <t xml:space="preserve">・取引先限度額申請時に「Moody’s/S&amp;P評価」を入力する画面
</t>
    <rPh sb="9" eb="10">
      <t>ジ</t>
    </rPh>
    <rPh sb="27" eb="29">
      <t>ニュウリョク</t>
    </rPh>
    <rPh sb="31" eb="33">
      <t>ガメン</t>
    </rPh>
    <phoneticPr fontId="2"/>
  </si>
  <si>
    <t>TDB評価</t>
    <phoneticPr fontId="1"/>
  </si>
  <si>
    <t xml:space="preserve">・取引先限度額申請時に「TDB情報」を入力する画面
</t>
    <rPh sb="9" eb="10">
      <t>ジ</t>
    </rPh>
    <rPh sb="15" eb="17">
      <t>ジョウホウ</t>
    </rPh>
    <rPh sb="19" eb="21">
      <t>ニュウリョク</t>
    </rPh>
    <rPh sb="23" eb="25">
      <t>ガメン</t>
    </rPh>
    <phoneticPr fontId="2"/>
  </si>
  <si>
    <t>決算書分析</t>
    <rPh sb="0" eb="2">
      <t>ケッサン</t>
    </rPh>
    <rPh sb="2" eb="5">
      <t>ショブンセキ</t>
    </rPh>
    <phoneticPr fontId="1"/>
  </si>
  <si>
    <t xml:space="preserve">・決算情報を入力して決算分析をする画面
・算出結果は新規および既存取引先限度額申請で表示する
</t>
    <rPh sb="1" eb="3">
      <t>ケッサン</t>
    </rPh>
    <rPh sb="3" eb="5">
      <t>ジョウホウ</t>
    </rPh>
    <rPh sb="6" eb="8">
      <t>ニュウリョク</t>
    </rPh>
    <rPh sb="10" eb="12">
      <t>ケッサン</t>
    </rPh>
    <rPh sb="12" eb="14">
      <t>ブンセキ</t>
    </rPh>
    <rPh sb="17" eb="19">
      <t>ガメン</t>
    </rPh>
    <rPh sb="21" eb="23">
      <t>サンシュツ</t>
    </rPh>
    <rPh sb="23" eb="25">
      <t>ケッカ</t>
    </rPh>
    <rPh sb="31" eb="33">
      <t>キゾン</t>
    </rPh>
    <rPh sb="42" eb="44">
      <t>ヒョウジ</t>
    </rPh>
    <phoneticPr fontId="2"/>
  </si>
  <si>
    <t>リスク残額</t>
    <rPh sb="3" eb="5">
      <t>ザンガク</t>
    </rPh>
    <phoneticPr fontId="1"/>
  </si>
  <si>
    <t xml:space="preserve">&lt;要件定義未実施&gt;
・各企業の売掛金、倒産リスクからエクスポージャーを算出して表示する画面
・部署や取引先、全社などドリルダウンしながら参照ができる
・前提条件としてSAPから売掛金情報を取得してグルーピングできること
</t>
    <rPh sb="11" eb="14">
      <t>カクキギョウ</t>
    </rPh>
    <rPh sb="15" eb="18">
      <t>ウリカケキン</t>
    </rPh>
    <rPh sb="19" eb="21">
      <t>トウサン</t>
    </rPh>
    <rPh sb="35" eb="37">
      <t>サンシュツ</t>
    </rPh>
    <rPh sb="39" eb="41">
      <t>ヒョウジ</t>
    </rPh>
    <rPh sb="43" eb="45">
      <t>ガメン</t>
    </rPh>
    <rPh sb="47" eb="49">
      <t>ブショ</t>
    </rPh>
    <rPh sb="50" eb="53">
      <t>トリヒキサキ</t>
    </rPh>
    <rPh sb="54" eb="56">
      <t>ゼンシャ</t>
    </rPh>
    <rPh sb="68" eb="70">
      <t>サンショウ</t>
    </rPh>
    <rPh sb="78" eb="80">
      <t>ジョウケン</t>
    </rPh>
    <rPh sb="88" eb="91">
      <t>ウリカケキン</t>
    </rPh>
    <rPh sb="91" eb="93">
      <t>ジョウホウ</t>
    </rPh>
    <rPh sb="94" eb="96">
      <t>シュトク</t>
    </rPh>
    <phoneticPr fontId="2"/>
  </si>
  <si>
    <t>特高</t>
    <rPh sb="0" eb="2">
      <t>トクコウ</t>
    </rPh>
    <phoneticPr fontId="2"/>
  </si>
  <si>
    <t>債権リスク一覧</t>
  </si>
  <si>
    <t xml:space="preserve">・SAPから取得した債権情報を事業部・課・取引先・国別に表示する画面。
・対象は取引先一覧に評されている企業
</t>
    <rPh sb="6" eb="8">
      <t>シュトク</t>
    </rPh>
    <rPh sb="10" eb="14">
      <t>サイケンジョウホウ</t>
    </rPh>
    <rPh sb="15" eb="18">
      <t>ジギョウブ</t>
    </rPh>
    <rPh sb="19" eb="20">
      <t>カ</t>
    </rPh>
    <rPh sb="21" eb="24">
      <t>トリヒキサキ</t>
    </rPh>
    <rPh sb="25" eb="27">
      <t>クニベツ</t>
    </rPh>
    <rPh sb="28" eb="30">
      <t>ヒョウジ</t>
    </rPh>
    <rPh sb="32" eb="34">
      <t>ガメン</t>
    </rPh>
    <rPh sb="37" eb="39">
      <t>タイショウ</t>
    </rPh>
    <rPh sb="40" eb="43">
      <t>トリヒキサキ</t>
    </rPh>
    <rPh sb="43" eb="45">
      <t>イチラン</t>
    </rPh>
    <rPh sb="46" eb="47">
      <t>ヒョウ</t>
    </rPh>
    <rPh sb="52" eb="54">
      <t>キギョウ</t>
    </rPh>
    <phoneticPr fontId="2"/>
  </si>
  <si>
    <t>〇</t>
  </si>
  <si>
    <t>債権管理等級別リスク分析</t>
  </si>
  <si>
    <t xml:space="preserve">・SAPから取得した債権情報を債権等級別に表示する画面
・対象は取引先一覧に評されている企業
</t>
    <rPh sb="6" eb="8">
      <t>シュトク</t>
    </rPh>
    <rPh sb="10" eb="14">
      <t>サイケンジョウホウ</t>
    </rPh>
    <rPh sb="15" eb="20">
      <t>サイケントウキュウベツ</t>
    </rPh>
    <rPh sb="21" eb="23">
      <t>ヒョウジ</t>
    </rPh>
    <rPh sb="25" eb="27">
      <t>ガメン</t>
    </rPh>
    <phoneticPr fontId="2"/>
  </si>
  <si>
    <t>債権リスク推移</t>
  </si>
  <si>
    <t xml:space="preserve">・SAPから取得した債権情報をグラフで表示する画面
</t>
    <rPh sb="6" eb="8">
      <t>シュトク</t>
    </rPh>
    <rPh sb="10" eb="14">
      <t>サイケンジョウホウ</t>
    </rPh>
    <rPh sb="19" eb="21">
      <t>ヒョウジ</t>
    </rPh>
    <rPh sb="23" eb="25">
      <t>ガメン</t>
    </rPh>
    <phoneticPr fontId="2"/>
  </si>
  <si>
    <t>売掛以外の債権</t>
    <rPh sb="0" eb="2">
      <t>ウリカケ</t>
    </rPh>
    <rPh sb="2" eb="4">
      <t>イガイ</t>
    </rPh>
    <rPh sb="5" eb="7">
      <t>サイケン</t>
    </rPh>
    <phoneticPr fontId="1"/>
  </si>
  <si>
    <t xml:space="preserve">&lt;要件定義未実施&gt;
・売掛以外の債権を部署ごとなどで確認出来る画面
・前提条件としてSAPから売掛以外の債権情報を取得できること
</t>
    <rPh sb="19" eb="21">
      <t>ブショ</t>
    </rPh>
    <rPh sb="26" eb="30">
      <t>カクニンデキ</t>
    </rPh>
    <rPh sb="31" eb="33">
      <t>ガメン</t>
    </rPh>
    <rPh sb="49" eb="51">
      <t>イガイ</t>
    </rPh>
    <rPh sb="52" eb="56">
      <t>サイケンジョウホウ</t>
    </rPh>
    <phoneticPr fontId="2"/>
  </si>
  <si>
    <t>SAP情報アップロード</t>
    <rPh sb="3" eb="5">
      <t>ジョウホウ</t>
    </rPh>
    <phoneticPr fontId="1"/>
  </si>
  <si>
    <t xml:space="preserve">&lt;要件定義未実施&gt;
・SAPからの情報を債権管理統合システムに取り込む画面
※取込バッチになる可能性あり。
</t>
    <rPh sb="17" eb="19">
      <t>ジョウホウ</t>
    </rPh>
    <rPh sb="20" eb="26">
      <t>サイケンカンリトウゴウ</t>
    </rPh>
    <rPh sb="31" eb="32">
      <t>ト</t>
    </rPh>
    <rPh sb="33" eb="34">
      <t>コ</t>
    </rPh>
    <rPh sb="35" eb="37">
      <t>ガメン</t>
    </rPh>
    <rPh sb="39" eb="41">
      <t>トリコミ</t>
    </rPh>
    <rPh sb="47" eb="50">
      <t>カノウセイ</t>
    </rPh>
    <phoneticPr fontId="2"/>
  </si>
  <si>
    <t>帝国データバンク企業情報</t>
  </si>
  <si>
    <r>
      <rPr>
        <strike/>
        <sz val="12"/>
        <color theme="1"/>
        <rFont val="Meiryo UI"/>
        <family val="3"/>
        <charset val="128"/>
      </rPr>
      <t>&lt;要件定義未実施&gt;</t>
    </r>
    <r>
      <rPr>
        <sz val="12"/>
        <color theme="1"/>
        <rFont val="Meiryo UI"/>
        <family val="3"/>
        <charset val="128"/>
      </rPr>
      <t xml:space="preserve">
・帝国データバンクの情報をアップロードする画面
</t>
    </r>
    <r>
      <rPr>
        <strike/>
        <sz val="12"/>
        <color theme="1"/>
        <rFont val="Meiryo UI"/>
        <family val="3"/>
        <charset val="128"/>
      </rPr>
      <t>※取込バッチになる可能性あり。</t>
    </r>
    <r>
      <rPr>
        <sz val="12"/>
        <color theme="1"/>
        <rFont val="Meiryo UI"/>
        <family val="3"/>
        <charset val="128"/>
      </rPr>
      <t xml:space="preserve">
</t>
    </r>
    <rPh sb="11" eb="13">
      <t>テイコク</t>
    </rPh>
    <rPh sb="20" eb="22">
      <t>ジョウホウ</t>
    </rPh>
    <rPh sb="31" eb="33">
      <t>ガメン</t>
    </rPh>
    <phoneticPr fontId="2"/>
  </si>
  <si>
    <t>為替</t>
    <rPh sb="0" eb="2">
      <t>カワセ</t>
    </rPh>
    <phoneticPr fontId="2"/>
  </si>
  <si>
    <r>
      <rPr>
        <strike/>
        <sz val="12"/>
        <color theme="1"/>
        <rFont val="Meiryo UI"/>
        <family val="3"/>
        <charset val="128"/>
      </rPr>
      <t>&lt;要件定義未実施&gt;</t>
    </r>
    <r>
      <rPr>
        <sz val="12"/>
        <color theme="1"/>
        <rFont val="Meiryo UI"/>
        <family val="3"/>
        <charset val="128"/>
      </rPr>
      <t xml:space="preserve">
・為替情報をアップロードする画面
</t>
    </r>
    <rPh sb="11" eb="13">
      <t>カワセ</t>
    </rPh>
    <rPh sb="13" eb="15">
      <t>ジョウホウ</t>
    </rPh>
    <rPh sb="24" eb="26">
      <t>ガメン</t>
    </rPh>
    <phoneticPr fontId="2"/>
  </si>
  <si>
    <t>S&amp;P , Moody's</t>
    <phoneticPr fontId="2"/>
  </si>
  <si>
    <r>
      <rPr>
        <strike/>
        <sz val="12"/>
        <color theme="1"/>
        <rFont val="Meiryo UI"/>
        <family val="3"/>
        <charset val="128"/>
      </rPr>
      <t>&lt;要件定義未実施&gt;</t>
    </r>
    <r>
      <rPr>
        <sz val="12"/>
        <color theme="1"/>
        <rFont val="Meiryo UI"/>
        <family val="3"/>
        <charset val="128"/>
      </rPr>
      <t xml:space="preserve">
・S&amp;P , Moody's情報を編集する画面
・新規限度額申請で入力した情報を管理
</t>
    </r>
    <rPh sb="24" eb="26">
      <t>ジョウホウ</t>
    </rPh>
    <rPh sb="27" eb="29">
      <t>ヘンシュウ</t>
    </rPh>
    <rPh sb="31" eb="33">
      <t>ガメン</t>
    </rPh>
    <rPh sb="35" eb="42">
      <t>シンキゲンドガクシンセイ</t>
    </rPh>
    <rPh sb="43" eb="45">
      <t>ニュウリョク</t>
    </rPh>
    <rPh sb="47" eb="49">
      <t>ジョウホウ</t>
    </rPh>
    <rPh sb="50" eb="52">
      <t>カンリ</t>
    </rPh>
    <phoneticPr fontId="2"/>
  </si>
  <si>
    <t>S&amp;Pソブリン格付け</t>
    <phoneticPr fontId="2"/>
  </si>
  <si>
    <r>
      <rPr>
        <strike/>
        <sz val="12"/>
        <color theme="1"/>
        <rFont val="Meiryo UI"/>
        <family val="3"/>
        <charset val="128"/>
      </rPr>
      <t>&lt;要件定義未実施&gt;</t>
    </r>
    <r>
      <rPr>
        <sz val="12"/>
        <color theme="1"/>
        <rFont val="Meiryo UI"/>
        <family val="3"/>
        <charset val="128"/>
      </rPr>
      <t xml:space="preserve">
・S&amp;Pソブリン格付け情報をアップロードする画面
</t>
    </r>
    <rPh sb="18" eb="20">
      <t>カクヅ</t>
    </rPh>
    <rPh sb="21" eb="23">
      <t>ジョウホウ</t>
    </rPh>
    <rPh sb="32" eb="34">
      <t>ガメン</t>
    </rPh>
    <phoneticPr fontId="2"/>
  </si>
  <si>
    <t>海外企業情報初期化</t>
    <rPh sb="0" eb="6">
      <t>カイガイキギョウジョウホウ</t>
    </rPh>
    <rPh sb="6" eb="9">
      <t>ショキカ</t>
    </rPh>
    <phoneticPr fontId="1"/>
  </si>
  <si>
    <t xml:space="preserve">・海外企業情報の初期化対象をアップロードする画面
・アップロードした企業で初期化をいつ実施するかスケジュールすることができる
</t>
    <rPh sb="1" eb="7">
      <t>カイガイキギョウジョウホウ</t>
    </rPh>
    <rPh sb="8" eb="13">
      <t>ショキカタイショウ</t>
    </rPh>
    <rPh sb="22" eb="24">
      <t>ガメン</t>
    </rPh>
    <rPh sb="34" eb="36">
      <t>キギョウ</t>
    </rPh>
    <rPh sb="37" eb="40">
      <t>ショキカ</t>
    </rPh>
    <rPh sb="43" eb="45">
      <t>ジッシ</t>
    </rPh>
    <phoneticPr fontId="2"/>
  </si>
  <si>
    <t>販売組織/利益センター/所属課管理</t>
    <rPh sb="0" eb="4">
      <t>ハンバイソシキ</t>
    </rPh>
    <rPh sb="5" eb="7">
      <t>リエキ</t>
    </rPh>
    <rPh sb="12" eb="17">
      <t>ショゾクカカンリ</t>
    </rPh>
    <phoneticPr fontId="1"/>
  </si>
  <si>
    <t xml:space="preserve">・販売組織、利益センター、所属課をアップロードして管理する画面
・アップロードした情報のマッピングを行う
</t>
    <rPh sb="1" eb="5">
      <t>ハンバイソシキ</t>
    </rPh>
    <rPh sb="6" eb="8">
      <t>リエキ</t>
    </rPh>
    <rPh sb="13" eb="16">
      <t>ショゾクカ</t>
    </rPh>
    <rPh sb="25" eb="27">
      <t>カンリ</t>
    </rPh>
    <rPh sb="29" eb="31">
      <t>ガメン</t>
    </rPh>
    <rPh sb="41" eb="43">
      <t>ジョウホウ</t>
    </rPh>
    <rPh sb="50" eb="51">
      <t>オコナ</t>
    </rPh>
    <phoneticPr fontId="2"/>
  </si>
  <si>
    <t>TSR納品情報管理</t>
    <rPh sb="3" eb="7">
      <t>ノウヒンジョウホウ</t>
    </rPh>
    <rPh sb="7" eb="9">
      <t>カンリ</t>
    </rPh>
    <phoneticPr fontId="1"/>
  </si>
  <si>
    <t xml:space="preserve">・TSRから納品した企業情報、リスクスコア情報をアップロードする画面
・アップロードした情報は「国内企業情報更新」バッチで使用
</t>
    <rPh sb="6" eb="8">
      <t>ノウヒン</t>
    </rPh>
    <rPh sb="10" eb="14">
      <t>キギョウジョウホウ</t>
    </rPh>
    <rPh sb="21" eb="23">
      <t>ジョウホウ</t>
    </rPh>
    <rPh sb="32" eb="34">
      <t>ガメン</t>
    </rPh>
    <rPh sb="44" eb="46">
      <t>ジョウホウ</t>
    </rPh>
    <rPh sb="48" eb="50">
      <t>コクナイ</t>
    </rPh>
    <rPh sb="50" eb="52">
      <t>キギョウ</t>
    </rPh>
    <rPh sb="52" eb="54">
      <t>ジョウホウ</t>
    </rPh>
    <rPh sb="54" eb="56">
      <t>コウシン</t>
    </rPh>
    <rPh sb="61" eb="63">
      <t>シヨウ</t>
    </rPh>
    <phoneticPr fontId="2"/>
  </si>
  <si>
    <t>帳票</t>
    <rPh sb="0" eb="2">
      <t>チョウヒョウ</t>
    </rPh>
    <phoneticPr fontId="2"/>
  </si>
  <si>
    <t>国内取得済企業一覧</t>
    <rPh sb="0" eb="2">
      <t>コクナイ</t>
    </rPh>
    <rPh sb="2" eb="4">
      <t>シュトク</t>
    </rPh>
    <rPh sb="4" eb="5">
      <t>スミ</t>
    </rPh>
    <rPh sb="5" eb="7">
      <t>キギョウ</t>
    </rPh>
    <phoneticPr fontId="1"/>
  </si>
  <si>
    <t xml:space="preserve">・国内出光グループ取得済み企業一覧で出力するCSV
</t>
    <rPh sb="18" eb="20">
      <t>シュツリョク</t>
    </rPh>
    <phoneticPr fontId="2"/>
  </si>
  <si>
    <t>海外購入済企業一覧</t>
    <rPh sb="0" eb="2">
      <t>カイガイ</t>
    </rPh>
    <rPh sb="2" eb="5">
      <t>コウニュウズ</t>
    </rPh>
    <rPh sb="5" eb="7">
      <t>キギョウ</t>
    </rPh>
    <phoneticPr fontId="1"/>
  </si>
  <si>
    <t xml:space="preserve">・海外出光グループ購入済み企業一覧で出力するCSV
・海外企業情報初期化で使用する
</t>
    <rPh sb="18" eb="20">
      <t>シュツリョク</t>
    </rPh>
    <rPh sb="27" eb="31">
      <t>カイガイキギョウ</t>
    </rPh>
    <rPh sb="31" eb="36">
      <t>ジョウホウショキカ</t>
    </rPh>
    <rPh sb="37" eb="39">
      <t>シヨウ</t>
    </rPh>
    <phoneticPr fontId="2"/>
  </si>
  <si>
    <t>国内企業情報</t>
  </si>
  <si>
    <t xml:space="preserve">・国内企業詳細で出力するPDF
</t>
    <rPh sb="8" eb="10">
      <t>シュツリョク</t>
    </rPh>
    <phoneticPr fontId="2"/>
  </si>
  <si>
    <t>海外企業情報</t>
  </si>
  <si>
    <t xml:space="preserve">・海外企業詳細で出力するPDF
</t>
    <rPh sb="1" eb="3">
      <t>カイガイ</t>
    </rPh>
    <rPh sb="8" eb="10">
      <t>シュツリョク</t>
    </rPh>
    <phoneticPr fontId="2"/>
  </si>
  <si>
    <t>国内取引先企業一覧</t>
  </si>
  <si>
    <t xml:space="preserve">・国内取引先一覧で出力するExcel
</t>
    <phoneticPr fontId="2"/>
  </si>
  <si>
    <t>海外取引先企業一覧</t>
    <rPh sb="2" eb="5">
      <t>トリヒキサキ</t>
    </rPh>
    <phoneticPr fontId="1"/>
  </si>
  <si>
    <t xml:space="preserve">・海外取引先一覧で出力するExcel
</t>
    <phoneticPr fontId="2"/>
  </si>
  <si>
    <t>申請・承認</t>
    <rPh sb="0" eb="2">
      <t>シンセイ</t>
    </rPh>
    <rPh sb="3" eb="5">
      <t>ショウニン</t>
    </rPh>
    <phoneticPr fontId="2"/>
  </si>
  <si>
    <t>新規限度申請書</t>
    <rPh sb="0" eb="2">
      <t>シンキ</t>
    </rPh>
    <rPh sb="2" eb="7">
      <t>ゲンドシンセイショ</t>
    </rPh>
    <phoneticPr fontId="1"/>
  </si>
  <si>
    <t xml:space="preserve">・新規取引先限度額申請で出力するExcel
・出力したExcelは汎用WFで添付する
</t>
    <rPh sb="12" eb="14">
      <t>シュツリョク</t>
    </rPh>
    <rPh sb="23" eb="25">
      <t>シュツリョク</t>
    </rPh>
    <rPh sb="33" eb="35">
      <t>ハンヨウ</t>
    </rPh>
    <rPh sb="38" eb="40">
      <t>テンプ</t>
    </rPh>
    <phoneticPr fontId="2"/>
  </si>
  <si>
    <t>既存限度申請書</t>
    <rPh sb="0" eb="2">
      <t>キゾン</t>
    </rPh>
    <rPh sb="2" eb="7">
      <t>ゲンドシンセイショ</t>
    </rPh>
    <phoneticPr fontId="1"/>
  </si>
  <si>
    <r>
      <rPr>
        <strike/>
        <sz val="12"/>
        <color theme="1"/>
        <rFont val="Meiryo UI"/>
        <family val="3"/>
        <charset val="128"/>
      </rPr>
      <t>&lt;要件定義未実施&gt;</t>
    </r>
    <r>
      <rPr>
        <sz val="12"/>
        <color theme="1"/>
        <rFont val="Meiryo UI"/>
        <family val="3"/>
        <charset val="128"/>
      </rPr>
      <t xml:space="preserve">
・既存取引先限度額申請で出力するExcel
・出力したExcelは汎用WFで添付する
</t>
    </r>
    <rPh sb="11" eb="13">
      <t>キゾン</t>
    </rPh>
    <rPh sb="22" eb="24">
      <t>シュツリョク</t>
    </rPh>
    <rPh sb="33" eb="35">
      <t>シュツリョク</t>
    </rPh>
    <rPh sb="43" eb="45">
      <t>ハンヨウ</t>
    </rPh>
    <rPh sb="48" eb="50">
      <t>テンプ</t>
    </rPh>
    <phoneticPr fontId="2"/>
  </si>
  <si>
    <t>債権リスク分析</t>
    <phoneticPr fontId="2"/>
  </si>
  <si>
    <t xml:space="preserve">&lt;要件定義未実施&gt;
・リスク残額で出力するPDF
</t>
    <rPh sb="17" eb="19">
      <t>シュツリョク</t>
    </rPh>
    <phoneticPr fontId="2"/>
  </si>
  <si>
    <t xml:space="preserve">&lt;要件定義未実施&gt;
・リスク残額で出力するCSV
</t>
    <rPh sb="17" eb="19">
      <t>シュツリョク</t>
    </rPh>
    <phoneticPr fontId="2"/>
  </si>
  <si>
    <t xml:space="preserve">・債権リスク一覧に表示している内容をExcelに出力する
※リスク残額から分割
</t>
    <rPh sb="1" eb="3">
      <t>サイケン</t>
    </rPh>
    <rPh sb="6" eb="8">
      <t>イチラン</t>
    </rPh>
    <rPh sb="9" eb="11">
      <t>ヒョウジ</t>
    </rPh>
    <rPh sb="15" eb="17">
      <t>ナイヨウ</t>
    </rPh>
    <rPh sb="24" eb="26">
      <t>シュツリョク</t>
    </rPh>
    <rPh sb="37" eb="39">
      <t>ブンカツ</t>
    </rPh>
    <phoneticPr fontId="2"/>
  </si>
  <si>
    <t xml:space="preserve">・債権管理等級別リスク分析に表示している内容をExcelに出力する
※リスク残額から分割
</t>
    <rPh sb="1" eb="3">
      <t>サイケン</t>
    </rPh>
    <rPh sb="3" eb="5">
      <t>カンリ</t>
    </rPh>
    <rPh sb="5" eb="7">
      <t>トウキュウ</t>
    </rPh>
    <rPh sb="7" eb="8">
      <t>ベツ</t>
    </rPh>
    <rPh sb="11" eb="13">
      <t>ブンセキ</t>
    </rPh>
    <rPh sb="14" eb="16">
      <t>ヒョウジ</t>
    </rPh>
    <rPh sb="20" eb="22">
      <t>ナイヨウ</t>
    </rPh>
    <rPh sb="29" eb="31">
      <t>シュツリョク</t>
    </rPh>
    <phoneticPr fontId="2"/>
  </si>
  <si>
    <t xml:space="preserve">・債権リスク推移に表示している内容をExcelに出力する
※グラフは対象外
※リスク残額から分割
</t>
    <rPh sb="1" eb="3">
      <t>サイケン</t>
    </rPh>
    <rPh sb="6" eb="8">
      <t>スイイ</t>
    </rPh>
    <rPh sb="9" eb="11">
      <t>ヒョウジ</t>
    </rPh>
    <rPh sb="15" eb="17">
      <t>ナイヨウ</t>
    </rPh>
    <rPh sb="24" eb="26">
      <t>シュツリョク</t>
    </rPh>
    <rPh sb="34" eb="37">
      <t>タイショウガイ</t>
    </rPh>
    <phoneticPr fontId="2"/>
  </si>
  <si>
    <t>海外企業情報更新</t>
    <rPh sb="0" eb="6">
      <t>カイガイキギョウジョウホウ</t>
    </rPh>
    <rPh sb="6" eb="8">
      <t>コウシン</t>
    </rPh>
    <phoneticPr fontId="1"/>
  </si>
  <si>
    <t xml:space="preserve">・海外企業情報を日次で最新化するバッチ
・モニタリング対象の海外企業情報をD&amp;B APIを使用して最新の情報を取得する
</t>
    <rPh sb="1" eb="7">
      <t>カイガイキギョウジョウホウ</t>
    </rPh>
    <rPh sb="8" eb="10">
      <t>ニチジ</t>
    </rPh>
    <rPh sb="11" eb="13">
      <t>サイシン</t>
    </rPh>
    <rPh sb="13" eb="14">
      <t>カ</t>
    </rPh>
    <rPh sb="27" eb="29">
      <t>タイショウ</t>
    </rPh>
    <rPh sb="30" eb="34">
      <t>カイガイキギョウ</t>
    </rPh>
    <rPh sb="34" eb="36">
      <t>ジョウホウ</t>
    </rPh>
    <rPh sb="45" eb="47">
      <t>シヨウ</t>
    </rPh>
    <rPh sb="49" eb="51">
      <t>サイシン</t>
    </rPh>
    <rPh sb="52" eb="54">
      <t>ジョウホウ</t>
    </rPh>
    <rPh sb="55" eb="57">
      <t>シュトク</t>
    </rPh>
    <phoneticPr fontId="2"/>
  </si>
  <si>
    <t>国内企業情報更新</t>
    <rPh sb="0" eb="8">
      <t>コクナイキギョウジョウホウコウシン</t>
    </rPh>
    <phoneticPr fontId="1"/>
  </si>
  <si>
    <t xml:space="preserve">・国内企業情報を日次で最新化するバッチ
・対象の国内企業情報をTSR APIを使用して最新情報を取得する
</t>
    <rPh sb="1" eb="3">
      <t>コクナイ</t>
    </rPh>
    <rPh sb="3" eb="5">
      <t>キギョウ</t>
    </rPh>
    <rPh sb="5" eb="7">
      <t>ジョウホウ</t>
    </rPh>
    <rPh sb="11" eb="13">
      <t>サイシン</t>
    </rPh>
    <rPh sb="13" eb="14">
      <t>カ</t>
    </rPh>
    <rPh sb="21" eb="23">
      <t>タイショウ</t>
    </rPh>
    <rPh sb="24" eb="26">
      <t>コクナイ</t>
    </rPh>
    <rPh sb="26" eb="28">
      <t>キギョウ</t>
    </rPh>
    <rPh sb="39" eb="41">
      <t>シヨウ</t>
    </rPh>
    <rPh sb="43" eb="45">
      <t>サイシン</t>
    </rPh>
    <rPh sb="45" eb="47">
      <t>ジョウホウ</t>
    </rPh>
    <rPh sb="48" eb="50">
      <t>シュトク</t>
    </rPh>
    <phoneticPr fontId="2"/>
  </si>
  <si>
    <t>海外企業購入情報初期化</t>
    <rPh sb="0" eb="4">
      <t>カイガイキギョウ</t>
    </rPh>
    <rPh sb="4" eb="8">
      <t>コウニュウジョウホウ</t>
    </rPh>
    <rPh sb="8" eb="11">
      <t>ショキカ</t>
    </rPh>
    <phoneticPr fontId="1"/>
  </si>
  <si>
    <t xml:space="preserve">・海外企業情報初期化でスケジュールされた海外企業一覧でシステム内の購入情報を初期化するバッチ
</t>
    <rPh sb="20" eb="24">
      <t>カイガイキギョウ</t>
    </rPh>
    <rPh sb="24" eb="26">
      <t>イチラン</t>
    </rPh>
    <rPh sb="31" eb="32">
      <t>ナイ</t>
    </rPh>
    <rPh sb="33" eb="35">
      <t>コウニュウ</t>
    </rPh>
    <rPh sb="35" eb="37">
      <t>ジョウホウ</t>
    </rPh>
    <rPh sb="38" eb="41">
      <t>ショキカ</t>
    </rPh>
    <phoneticPr fontId="2"/>
  </si>
  <si>
    <t>海外企業購入情報初期化（リカバリ用）</t>
    <phoneticPr fontId="1"/>
  </si>
  <si>
    <t xml:space="preserve">・海外企業情報初期化リカバリ用のバッチ
・処理は海外企業情報初期化と合わせて行うため工数はなし
</t>
    <rPh sb="1" eb="3">
      <t>カイガイ</t>
    </rPh>
    <rPh sb="3" eb="5">
      <t>キギョウ</t>
    </rPh>
    <rPh sb="5" eb="7">
      <t>ジョウホウ</t>
    </rPh>
    <rPh sb="7" eb="9">
      <t>ショキ</t>
    </rPh>
    <rPh sb="9" eb="10">
      <t>カ</t>
    </rPh>
    <rPh sb="14" eb="15">
      <t>ヨウ</t>
    </rPh>
    <rPh sb="21" eb="23">
      <t>ショリ</t>
    </rPh>
    <rPh sb="34" eb="35">
      <t>ア</t>
    </rPh>
    <rPh sb="38" eb="39">
      <t>オコナ</t>
    </rPh>
    <rPh sb="42" eb="44">
      <t>コウスウ</t>
    </rPh>
    <phoneticPr fontId="2"/>
  </si>
  <si>
    <t>等級算出</t>
    <rPh sb="0" eb="4">
      <t>トウキュウサンシュツ</t>
    </rPh>
    <phoneticPr fontId="1"/>
  </si>
  <si>
    <r>
      <rPr>
        <strike/>
        <sz val="12"/>
        <color theme="1"/>
        <rFont val="Meiryo UI"/>
        <family val="3"/>
        <charset val="128"/>
      </rPr>
      <t>&lt;要件定義未実施&gt;</t>
    </r>
    <r>
      <rPr>
        <sz val="12"/>
        <color theme="1"/>
        <rFont val="Meiryo UI"/>
        <family val="3"/>
        <charset val="128"/>
      </rPr>
      <t xml:space="preserve">
・毎月月初に最新の企業情報で等級を算出するバッチ
</t>
    </r>
    <rPh sb="11" eb="15">
      <t>マイツキゲッショ</t>
    </rPh>
    <rPh sb="16" eb="18">
      <t>サイシン</t>
    </rPh>
    <rPh sb="19" eb="23">
      <t>キギョウジョウホウ</t>
    </rPh>
    <rPh sb="24" eb="26">
      <t>トウキュウ</t>
    </rPh>
    <rPh sb="27" eb="29">
      <t>サンシュツ</t>
    </rPh>
    <phoneticPr fontId="2"/>
  </si>
  <si>
    <t>Box監視</t>
    <rPh sb="3" eb="5">
      <t>カンシ</t>
    </rPh>
    <phoneticPr fontId="1"/>
  </si>
  <si>
    <r>
      <rPr>
        <strike/>
        <sz val="12"/>
        <color theme="1"/>
        <rFont val="Meiryo UI"/>
        <family val="3"/>
        <charset val="128"/>
      </rPr>
      <t>&lt;要件定義未実施&gt;</t>
    </r>
    <r>
      <rPr>
        <sz val="12"/>
        <color theme="1"/>
        <rFont val="Meiryo UI"/>
        <family val="3"/>
        <charset val="128"/>
      </rPr>
      <t xml:space="preserve">
・汎用WFで出力されたExcelを監視するバッチ
</t>
    </r>
    <rPh sb="11" eb="13">
      <t>ハンヨウ</t>
    </rPh>
    <rPh sb="16" eb="18">
      <t>シュツリョク</t>
    </rPh>
    <rPh sb="27" eb="29">
      <t>カンシ</t>
    </rPh>
    <phoneticPr fontId="2"/>
  </si>
  <si>
    <t>SAP得意先情報取込</t>
    <rPh sb="3" eb="8">
      <t>トクイサキジョウホウ</t>
    </rPh>
    <rPh sb="8" eb="10">
      <t>トリコミ</t>
    </rPh>
    <phoneticPr fontId="1"/>
  </si>
  <si>
    <t xml:space="preserve">・SAPの得意先情報をBoxから取り込むバッチ
</t>
    <rPh sb="5" eb="8">
      <t>トクイサキ</t>
    </rPh>
    <rPh sb="8" eb="10">
      <t>ジョウホウ</t>
    </rPh>
    <rPh sb="16" eb="17">
      <t>ト</t>
    </rPh>
    <rPh sb="18" eb="19">
      <t>コ</t>
    </rPh>
    <phoneticPr fontId="2"/>
  </si>
  <si>
    <t>SAP債権情報取込</t>
    <rPh sb="3" eb="9">
      <t>サイケンジョウホウトリコミ</t>
    </rPh>
    <phoneticPr fontId="1"/>
  </si>
  <si>
    <t xml:space="preserve">・SAPの債権情報をBoxから取り込むバッチ
</t>
    <rPh sb="5" eb="7">
      <t>サイケン</t>
    </rPh>
    <rPh sb="7" eb="9">
      <t>ジョウホウ</t>
    </rPh>
    <rPh sb="15" eb="16">
      <t>ト</t>
    </rPh>
    <rPh sb="17" eb="18">
      <t>コ</t>
    </rPh>
    <phoneticPr fontId="2"/>
  </si>
  <si>
    <t>非機能要件</t>
    <rPh sb="0" eb="3">
      <t>ヒキノウ</t>
    </rPh>
    <rPh sb="3" eb="5">
      <t>ヨウケン</t>
    </rPh>
    <phoneticPr fontId="2"/>
  </si>
  <si>
    <t>データ移行(国内企業情報)</t>
    <rPh sb="3" eb="5">
      <t>イコウ</t>
    </rPh>
    <rPh sb="6" eb="8">
      <t>コクナイ</t>
    </rPh>
    <rPh sb="8" eb="10">
      <t>キギョウ</t>
    </rPh>
    <rPh sb="10" eb="12">
      <t>ジョウホウ</t>
    </rPh>
    <phoneticPr fontId="2"/>
  </si>
  <si>
    <t xml:space="preserve">既存システムからのデータ移行
tsrvan2からのデータ登録
</t>
    <rPh sb="0" eb="2">
      <t>キゾン</t>
    </rPh>
    <rPh sb="12" eb="14">
      <t>イコウ</t>
    </rPh>
    <rPh sb="28" eb="30">
      <t>トウロク</t>
    </rPh>
    <phoneticPr fontId="2"/>
  </si>
  <si>
    <t>データ移行(海外企業情報)</t>
    <rPh sb="3" eb="5">
      <t>イコウ</t>
    </rPh>
    <rPh sb="6" eb="10">
      <t>カイガイキギョウ</t>
    </rPh>
    <rPh sb="10" eb="12">
      <t>ジョウホウ</t>
    </rPh>
    <phoneticPr fontId="2"/>
  </si>
  <si>
    <t xml:space="preserve">既存システムからのデータ移行
MySQLからのデータ登録
</t>
    <rPh sb="0" eb="2">
      <t>キゾン</t>
    </rPh>
    <rPh sb="12" eb="14">
      <t>イコウ</t>
    </rPh>
    <rPh sb="26" eb="28">
      <t>トウロク</t>
    </rPh>
    <phoneticPr fontId="2"/>
  </si>
  <si>
    <t>データ移行(マクロ)</t>
    <rPh sb="3" eb="5">
      <t>イコウ</t>
    </rPh>
    <phoneticPr fontId="2"/>
  </si>
  <si>
    <t xml:space="preserve">既存システムからのデータ移行
Excelからのデータ登録
</t>
    <rPh sb="0" eb="2">
      <t>キゾン</t>
    </rPh>
    <rPh sb="12" eb="14">
      <t>イコウ</t>
    </rPh>
    <rPh sb="26" eb="28">
      <t>トウロク</t>
    </rPh>
    <phoneticPr fontId="2"/>
  </si>
  <si>
    <t>システム構成</t>
    <rPh sb="4" eb="6">
      <t>コウセイ</t>
    </rPh>
    <phoneticPr fontId="2"/>
  </si>
  <si>
    <t xml:space="preserve">Azure環境の設定
運用設計
</t>
    <rPh sb="5" eb="7">
      <t>カンキョウ</t>
    </rPh>
    <rPh sb="8" eb="10">
      <t>セッテイ</t>
    </rPh>
    <rPh sb="11" eb="13">
      <t>ウンヨウ</t>
    </rPh>
    <rPh sb="13" eb="15">
      <t>セッケイ</t>
    </rPh>
    <phoneticPr fontId="2"/>
  </si>
  <si>
    <t>共通部品作成</t>
    <rPh sb="0" eb="4">
      <t>キョウツウブヒン</t>
    </rPh>
    <rPh sb="4" eb="6">
      <t>サクセイ</t>
    </rPh>
    <phoneticPr fontId="2"/>
  </si>
  <si>
    <t xml:space="preserve">Webアプリケーションの共通部品を作成
多言語対応
画面の解像度対応
</t>
    <rPh sb="12" eb="16">
      <t>キョウツウブヒン</t>
    </rPh>
    <rPh sb="17" eb="19">
      <t>サクセイ</t>
    </rPh>
    <rPh sb="20" eb="25">
      <t>タゲンゴタイオウ</t>
    </rPh>
    <rPh sb="26" eb="28">
      <t>ガメン</t>
    </rPh>
    <rPh sb="29" eb="32">
      <t>カイゾウド</t>
    </rPh>
    <rPh sb="32" eb="34">
      <t>タイオウ</t>
    </rPh>
    <phoneticPr fontId="2"/>
  </si>
  <si>
    <t>高</t>
    <phoneticPr fontId="2"/>
  </si>
  <si>
    <t>小計(人日)</t>
    <rPh sb="0" eb="2">
      <t>ショウケイ</t>
    </rPh>
    <rPh sb="3" eb="5">
      <t>ニンニチ</t>
    </rPh>
    <phoneticPr fontId="2"/>
  </si>
  <si>
    <t>小計(人月)</t>
    <rPh sb="0" eb="2">
      <t>ショウケイ</t>
    </rPh>
    <rPh sb="3" eb="4">
      <t>ニン</t>
    </rPh>
    <rPh sb="4" eb="5">
      <t>ゲツ</t>
    </rPh>
    <phoneticPr fontId="2"/>
  </si>
  <si>
    <t>開発費用</t>
    <rPh sb="0" eb="4">
      <t>カイハツヒヨウ</t>
    </rPh>
    <phoneticPr fontId="2"/>
  </si>
  <si>
    <t>管理費用</t>
    <rPh sb="0" eb="4">
      <t>カンリヒヨウ</t>
    </rPh>
    <phoneticPr fontId="2"/>
  </si>
  <si>
    <t>　初期流動(2か月)</t>
    <rPh sb="1" eb="5">
      <t>ショキリュウドウ</t>
    </rPh>
    <rPh sb="8" eb="9">
      <t>ゲツ</t>
    </rPh>
    <phoneticPr fontId="2"/>
  </si>
  <si>
    <t>構築費用（管理費用+開発費用）</t>
    <rPh sb="0" eb="4">
      <t>コウチクヒヨウ</t>
    </rPh>
    <rPh sb="5" eb="7">
      <t>カンリ</t>
    </rPh>
    <rPh sb="7" eb="9">
      <t>ヒヨウ</t>
    </rPh>
    <rPh sb="10" eb="14">
      <t>カイハツヒヨウ</t>
    </rPh>
    <phoneticPr fontId="2"/>
  </si>
  <si>
    <t>【債権管理統合システム】詳細工数（2024/11/15）</t>
    <rPh sb="1" eb="7">
      <t>サイケンカンリトウゴウ</t>
    </rPh>
    <rPh sb="12" eb="14">
      <t>ショウサイ</t>
    </rPh>
    <rPh sb="14" eb="16">
      <t>コウスウ</t>
    </rPh>
    <phoneticPr fontId="5"/>
  </si>
  <si>
    <t>追加</t>
    <rPh sb="0" eb="2">
      <t>ツイカ</t>
    </rPh>
    <phoneticPr fontId="2"/>
  </si>
  <si>
    <t>変更
（金額変動あり）</t>
    <rPh sb="0" eb="2">
      <t>ヘンコウ</t>
    </rPh>
    <rPh sb="4" eb="6">
      <t>キンガク</t>
    </rPh>
    <rPh sb="6" eb="8">
      <t>ヘンドウ</t>
    </rPh>
    <phoneticPr fontId="2"/>
  </si>
  <si>
    <t>変更
(金額変動なし)</t>
    <rPh sb="0" eb="2">
      <t>ヘンコウ</t>
    </rPh>
    <rPh sb="4" eb="8">
      <t>キンガクヘンドウ</t>
    </rPh>
    <phoneticPr fontId="2"/>
  </si>
  <si>
    <r>
      <rPr>
        <strike/>
        <sz val="12"/>
        <color rgb="FFFF0000"/>
        <rFont val="Meiryo UI"/>
        <family val="3"/>
        <charset val="128"/>
      </rPr>
      <t>&lt;要件定義未実施&gt;</t>
    </r>
    <r>
      <rPr>
        <sz val="12"/>
        <color theme="1"/>
        <rFont val="Meiryo UI"/>
        <family val="3"/>
        <charset val="128"/>
      </rPr>
      <t xml:space="preserve">
・既存の限度額申請書を作成する画面
・取引先一覧で選択した企業の限度額申請書を作成する
・評価方法を選択して等級及び基準限度額を再算出することも可能
</t>
    </r>
    <rPh sb="11" eb="13">
      <t>キゾン</t>
    </rPh>
    <rPh sb="29" eb="32">
      <t>トリヒキサキ</t>
    </rPh>
    <rPh sb="32" eb="34">
      <t>イチラン</t>
    </rPh>
    <rPh sb="35" eb="37">
      <t>センタク</t>
    </rPh>
    <rPh sb="39" eb="41">
      <t>キギョウ</t>
    </rPh>
    <rPh sb="42" eb="44">
      <t>ゲンド</t>
    </rPh>
    <rPh sb="44" eb="45">
      <t>ガク</t>
    </rPh>
    <rPh sb="45" eb="47">
      <t>シンセイ</t>
    </rPh>
    <rPh sb="47" eb="48">
      <t>ショ</t>
    </rPh>
    <rPh sb="49" eb="51">
      <t>サクセイ</t>
    </rPh>
    <rPh sb="74" eb="75">
      <t>サイ</t>
    </rPh>
    <rPh sb="82" eb="84">
      <t>カノウ</t>
    </rPh>
    <phoneticPr fontId="2"/>
  </si>
  <si>
    <t>削減</t>
    <rPh sb="0" eb="2">
      <t>サクゲン</t>
    </rPh>
    <phoneticPr fontId="2"/>
  </si>
  <si>
    <r>
      <rPr>
        <strike/>
        <sz val="12"/>
        <color rgb="FFFF0000"/>
        <rFont val="Meiryo UI"/>
        <family val="3"/>
        <charset val="128"/>
      </rPr>
      <t>&lt;要件定義未実施&gt;</t>
    </r>
    <r>
      <rPr>
        <sz val="12"/>
        <color theme="1"/>
        <rFont val="Meiryo UI"/>
        <family val="3"/>
        <charset val="128"/>
      </rPr>
      <t xml:space="preserve">
・帝国データバンクの情報をアップロードする画面
</t>
    </r>
    <r>
      <rPr>
        <strike/>
        <sz val="12"/>
        <color rgb="FFFF0000"/>
        <rFont val="Meiryo UI"/>
        <family val="3"/>
        <charset val="128"/>
      </rPr>
      <t>※取込バッチになる可能性あり。</t>
    </r>
    <r>
      <rPr>
        <sz val="12"/>
        <color theme="1"/>
        <rFont val="Meiryo UI"/>
        <family val="3"/>
        <charset val="128"/>
      </rPr>
      <t xml:space="preserve">
</t>
    </r>
    <rPh sb="11" eb="13">
      <t>テイコク</t>
    </rPh>
    <rPh sb="20" eb="22">
      <t>ジョウホウ</t>
    </rPh>
    <rPh sb="31" eb="33">
      <t>ガメン</t>
    </rPh>
    <phoneticPr fontId="2"/>
  </si>
  <si>
    <r>
      <rPr>
        <strike/>
        <sz val="12"/>
        <color rgb="FFFF0000"/>
        <rFont val="Meiryo UI"/>
        <family val="3"/>
        <charset val="128"/>
      </rPr>
      <t>&lt;要件定義未実施&gt;</t>
    </r>
    <r>
      <rPr>
        <sz val="12"/>
        <color theme="1"/>
        <rFont val="Meiryo UI"/>
        <family val="3"/>
        <charset val="128"/>
      </rPr>
      <t xml:space="preserve">
・為替情報をアップロードする画面
</t>
    </r>
    <rPh sb="11" eb="13">
      <t>カワセ</t>
    </rPh>
    <rPh sb="13" eb="15">
      <t>ジョウホウ</t>
    </rPh>
    <rPh sb="24" eb="26">
      <t>ガメン</t>
    </rPh>
    <phoneticPr fontId="2"/>
  </si>
  <si>
    <r>
      <rPr>
        <strike/>
        <sz val="12"/>
        <color rgb="FFFF0000"/>
        <rFont val="Meiryo UI"/>
        <family val="3"/>
        <charset val="128"/>
      </rPr>
      <t>&lt;要件定義未実施&gt;</t>
    </r>
    <r>
      <rPr>
        <sz val="12"/>
        <color theme="1"/>
        <rFont val="Meiryo UI"/>
        <family val="3"/>
        <charset val="128"/>
      </rPr>
      <t xml:space="preserve">
・S&amp;P , Moody's情報を編集する画面
・新規限度額申請で入力した情報を管理
</t>
    </r>
    <rPh sb="24" eb="26">
      <t>ジョウホウ</t>
    </rPh>
    <rPh sb="27" eb="29">
      <t>ヘンシュウ</t>
    </rPh>
    <rPh sb="31" eb="33">
      <t>ガメン</t>
    </rPh>
    <rPh sb="35" eb="42">
      <t>シンキゲンドガクシンセイ</t>
    </rPh>
    <rPh sb="43" eb="45">
      <t>ニュウリョク</t>
    </rPh>
    <rPh sb="47" eb="49">
      <t>ジョウホウ</t>
    </rPh>
    <rPh sb="50" eb="52">
      <t>カンリ</t>
    </rPh>
    <phoneticPr fontId="2"/>
  </si>
  <si>
    <r>
      <rPr>
        <strike/>
        <sz val="12"/>
        <color rgb="FFFF0000"/>
        <rFont val="Meiryo UI"/>
        <family val="3"/>
        <charset val="128"/>
      </rPr>
      <t>&lt;要件定義未実施&gt;</t>
    </r>
    <r>
      <rPr>
        <sz val="12"/>
        <color theme="1"/>
        <rFont val="Meiryo UI"/>
        <family val="3"/>
        <charset val="128"/>
      </rPr>
      <t xml:space="preserve">
・S&amp;Pソブリン格付け情報をアップロードする画面
</t>
    </r>
    <rPh sb="18" eb="20">
      <t>カクヅ</t>
    </rPh>
    <rPh sb="21" eb="23">
      <t>ジョウホウ</t>
    </rPh>
    <rPh sb="32" eb="34">
      <t>ガメン</t>
    </rPh>
    <phoneticPr fontId="2"/>
  </si>
  <si>
    <r>
      <rPr>
        <strike/>
        <sz val="12"/>
        <color rgb="FFFF0000"/>
        <rFont val="Meiryo UI"/>
        <family val="3"/>
        <charset val="128"/>
      </rPr>
      <t>&lt;要件定義未実施&gt;</t>
    </r>
    <r>
      <rPr>
        <sz val="12"/>
        <color rgb="FFFF0000"/>
        <rFont val="Meiryo UI"/>
        <family val="3"/>
        <charset val="128"/>
      </rPr>
      <t xml:space="preserve">
</t>
    </r>
    <r>
      <rPr>
        <sz val="12"/>
        <color theme="1"/>
        <rFont val="Meiryo UI"/>
        <family val="3"/>
        <charset val="128"/>
      </rPr>
      <t xml:space="preserve">・既存取引先限度額申請で出力するExcel
・出力したExcelは汎用WFで添付する
</t>
    </r>
    <rPh sb="11" eb="13">
      <t>キゾン</t>
    </rPh>
    <rPh sb="22" eb="24">
      <t>シュツリョク</t>
    </rPh>
    <rPh sb="33" eb="35">
      <t>シュツリョク</t>
    </rPh>
    <rPh sb="43" eb="45">
      <t>ハンヨウ</t>
    </rPh>
    <rPh sb="48" eb="50">
      <t>テンプ</t>
    </rPh>
    <phoneticPr fontId="2"/>
  </si>
  <si>
    <r>
      <rPr>
        <strike/>
        <sz val="12"/>
        <color rgb="FFFF0000"/>
        <rFont val="Meiryo UI"/>
        <family val="3"/>
        <charset val="128"/>
      </rPr>
      <t>&lt;要件定義未実施&gt;</t>
    </r>
    <r>
      <rPr>
        <sz val="12"/>
        <color theme="1"/>
        <rFont val="Meiryo UI"/>
        <family val="3"/>
        <charset val="128"/>
      </rPr>
      <t xml:space="preserve">
・毎月月初に最新の企業情報で等級を算出するバッチ
</t>
    </r>
    <rPh sb="11" eb="15">
      <t>マイツキゲッショ</t>
    </rPh>
    <rPh sb="16" eb="18">
      <t>サイシン</t>
    </rPh>
    <rPh sb="19" eb="23">
      <t>キギョウジョウホウ</t>
    </rPh>
    <rPh sb="24" eb="26">
      <t>トウキュウ</t>
    </rPh>
    <rPh sb="27" eb="29">
      <t>サンシュツ</t>
    </rPh>
    <phoneticPr fontId="2"/>
  </si>
  <si>
    <r>
      <rPr>
        <strike/>
        <sz val="12"/>
        <color rgb="FFFF0000"/>
        <rFont val="Meiryo UI"/>
        <family val="3"/>
        <charset val="128"/>
      </rPr>
      <t>&lt;要件定義未実施&gt;</t>
    </r>
    <r>
      <rPr>
        <sz val="12"/>
        <color theme="1"/>
        <rFont val="Meiryo UI"/>
        <family val="3"/>
        <charset val="128"/>
      </rPr>
      <t xml:space="preserve">
・汎用WFで出力されたExcelを監視するバッチ
</t>
    </r>
    <rPh sb="11" eb="13">
      <t>ハンヨウ</t>
    </rPh>
    <rPh sb="16" eb="18">
      <t>シュツリョク</t>
    </rPh>
    <rPh sb="27" eb="29">
      <t>カンシ</t>
    </rPh>
    <phoneticPr fontId="2"/>
  </si>
  <si>
    <r>
      <t xml:space="preserve">Webアプリケーションの共通部品を作成
</t>
    </r>
    <r>
      <rPr>
        <sz val="12"/>
        <color rgb="FFFF0000"/>
        <rFont val="Meiryo UI"/>
        <family val="3"/>
        <charset val="128"/>
      </rPr>
      <t xml:space="preserve">多言語対応
画面の解像度対応
</t>
    </r>
    <rPh sb="12" eb="16">
      <t>キョウツウブヒン</t>
    </rPh>
    <rPh sb="17" eb="19">
      <t>サクセイ</t>
    </rPh>
    <rPh sb="20" eb="25">
      <t>タゲンゴタイオウ</t>
    </rPh>
    <rPh sb="26" eb="28">
      <t>ガメン</t>
    </rPh>
    <rPh sb="29" eb="32">
      <t>カイゾウド</t>
    </rPh>
    <rPh sb="32" eb="34">
      <t>タイオウ</t>
    </rPh>
    <phoneticPr fontId="2"/>
  </si>
  <si>
    <t>【債権管理統合システム】詳細工数（2024/10/22）</t>
    <rPh sb="1" eb="7">
      <t>サイケンカンリトウゴウ</t>
    </rPh>
    <rPh sb="12" eb="14">
      <t>ショウサイ</t>
    </rPh>
    <rPh sb="14" eb="16">
      <t>コウスウ</t>
    </rPh>
    <phoneticPr fontId="5"/>
  </si>
  <si>
    <t xml:space="preserve">&lt;要件定義未実施&gt;
・既存の限度額申請書を作成する画面
・取引先一覧で選択した企業の限度額申請書を作成する
・評価方法を選択して等級及び基準限度額を再算出することも可能
</t>
    <rPh sb="11" eb="13">
      <t>キゾン</t>
    </rPh>
    <rPh sb="29" eb="32">
      <t>トリヒキサキ</t>
    </rPh>
    <rPh sb="32" eb="34">
      <t>イチラン</t>
    </rPh>
    <rPh sb="35" eb="37">
      <t>センタク</t>
    </rPh>
    <rPh sb="39" eb="41">
      <t>キギョウ</t>
    </rPh>
    <rPh sb="42" eb="44">
      <t>ゲンド</t>
    </rPh>
    <rPh sb="44" eb="45">
      <t>ガク</t>
    </rPh>
    <rPh sb="45" eb="47">
      <t>シンセイ</t>
    </rPh>
    <rPh sb="47" eb="48">
      <t>ショ</t>
    </rPh>
    <rPh sb="49" eb="51">
      <t>サクセイ</t>
    </rPh>
    <rPh sb="74" eb="75">
      <t>サイ</t>
    </rPh>
    <rPh sb="82" eb="84">
      <t>カノウ</t>
    </rPh>
    <phoneticPr fontId="2"/>
  </si>
  <si>
    <t xml:space="preserve">&lt;要件定義未実施&gt;
・帝国データバンクの情報をアップロードする画面
※取込バッチになる可能性あり。
</t>
    <rPh sb="11" eb="13">
      <t>テイコク</t>
    </rPh>
    <rPh sb="20" eb="22">
      <t>ジョウホウ</t>
    </rPh>
    <rPh sb="31" eb="33">
      <t>ガメン</t>
    </rPh>
    <phoneticPr fontId="2"/>
  </si>
  <si>
    <t xml:space="preserve">&lt;要件定義未実施&gt;
・為替情報をアップロードする画面
</t>
    <rPh sb="11" eb="13">
      <t>カワセ</t>
    </rPh>
    <rPh sb="13" eb="15">
      <t>ジョウホウ</t>
    </rPh>
    <rPh sb="24" eb="26">
      <t>ガメン</t>
    </rPh>
    <phoneticPr fontId="2"/>
  </si>
  <si>
    <t xml:space="preserve">&lt;要件定義未実施&gt;
・S&amp;P , Moody's情報を編集する画面
・新規限度額申請で入力した情報を管理
</t>
    <rPh sb="24" eb="26">
      <t>ジョウホウ</t>
    </rPh>
    <rPh sb="27" eb="29">
      <t>ヘンシュウ</t>
    </rPh>
    <rPh sb="31" eb="33">
      <t>ガメン</t>
    </rPh>
    <rPh sb="35" eb="42">
      <t>シンキゲンドガクシンセイ</t>
    </rPh>
    <rPh sb="43" eb="45">
      <t>ニュウリョク</t>
    </rPh>
    <rPh sb="47" eb="49">
      <t>ジョウホウ</t>
    </rPh>
    <rPh sb="50" eb="52">
      <t>カンリ</t>
    </rPh>
    <phoneticPr fontId="2"/>
  </si>
  <si>
    <t xml:space="preserve">&lt;要件定義未実施&gt;
・S&amp;Pソブリン格付け情報をアップロードする画面
</t>
    <rPh sb="18" eb="20">
      <t>カクヅ</t>
    </rPh>
    <rPh sb="21" eb="23">
      <t>ジョウホウ</t>
    </rPh>
    <rPh sb="32" eb="34">
      <t>ガメン</t>
    </rPh>
    <phoneticPr fontId="2"/>
  </si>
  <si>
    <t xml:space="preserve">&lt;要件定義未実施&gt;
・既存取引先限度額申請で出力するExcel
・出力したExcelは汎用WFで添付する
</t>
    <rPh sb="11" eb="13">
      <t>キゾン</t>
    </rPh>
    <rPh sb="22" eb="24">
      <t>シュツリョク</t>
    </rPh>
    <rPh sb="33" eb="35">
      <t>シュツリョク</t>
    </rPh>
    <rPh sb="43" eb="45">
      <t>ハンヨウ</t>
    </rPh>
    <rPh sb="48" eb="50">
      <t>テンプ</t>
    </rPh>
    <phoneticPr fontId="2"/>
  </si>
  <si>
    <t xml:space="preserve">&lt;要件定義未実施&gt;
・毎月月初に最新の企業情報で等級を算出するバッチ
</t>
    <rPh sb="11" eb="15">
      <t>マイツキゲッショ</t>
    </rPh>
    <rPh sb="16" eb="18">
      <t>サイシン</t>
    </rPh>
    <rPh sb="19" eb="23">
      <t>キギョウジョウホウ</t>
    </rPh>
    <rPh sb="24" eb="26">
      <t>トウキュウ</t>
    </rPh>
    <rPh sb="27" eb="29">
      <t>サンシュツ</t>
    </rPh>
    <phoneticPr fontId="2"/>
  </si>
  <si>
    <t xml:space="preserve">&lt;要件定義未実施&gt;
・汎用WFで出力されたExcelを監視するバッチ
</t>
    <rPh sb="11" eb="13">
      <t>ハンヨウ</t>
    </rPh>
    <rPh sb="16" eb="18">
      <t>シュツリョク</t>
    </rPh>
    <rPh sb="27" eb="29">
      <t>カンシ</t>
    </rPh>
    <phoneticPr fontId="2"/>
  </si>
  <si>
    <t xml:space="preserve">Webアプリケーションの共通部品を作成
</t>
    <rPh sb="12" eb="16">
      <t>キョウツウブヒン</t>
    </rPh>
    <rPh sb="17" eb="19">
      <t>サクセイ</t>
    </rPh>
    <phoneticPr fontId="2"/>
  </si>
  <si>
    <t>《顧客提示時は削除予定》</t>
    <rPh sb="1" eb="3">
      <t>コキャク</t>
    </rPh>
    <rPh sb="3" eb="6">
      <t>テイジジ</t>
    </rPh>
    <rPh sb="7" eb="11">
      <t>サクジョヨテイ</t>
    </rPh>
    <phoneticPr fontId="2"/>
  </si>
  <si>
    <t>担当者</t>
    <rPh sb="0" eb="3">
      <t>タントウシャ</t>
    </rPh>
    <phoneticPr fontId="2"/>
  </si>
  <si>
    <t>2025年</t>
    <rPh sb="4" eb="5">
      <t>ネン</t>
    </rPh>
    <phoneticPr fontId="2"/>
  </si>
  <si>
    <t>12月</t>
    <rPh sb="2" eb="3">
      <t>ガツ</t>
    </rPh>
    <phoneticPr fontId="2"/>
  </si>
  <si>
    <t>2月</t>
  </si>
  <si>
    <t>3月</t>
  </si>
  <si>
    <t>4月</t>
  </si>
  <si>
    <t>ハイパーケア</t>
    <phoneticPr fontId="2"/>
  </si>
  <si>
    <t>顧客デッドライン</t>
    <rPh sb="0" eb="2">
      <t>コキャク</t>
    </rPh>
    <phoneticPr fontId="2"/>
  </si>
  <si>
    <t>管理工数</t>
    <rPh sb="0" eb="4">
      <t>カンリコウスウ</t>
    </rPh>
    <phoneticPr fontId="2"/>
  </si>
  <si>
    <t>工数見積もり</t>
    <rPh sb="0" eb="4">
      <t>コウスウミツ</t>
    </rPh>
    <phoneticPr fontId="2"/>
  </si>
  <si>
    <t>体制(管理者抜き)</t>
    <rPh sb="0" eb="2">
      <t>タイセイ</t>
    </rPh>
    <rPh sb="3" eb="7">
      <t>カンリシャヌ</t>
    </rPh>
    <phoneticPr fontId="2"/>
  </si>
  <si>
    <t>川名</t>
    <rPh sb="0" eb="2">
      <t>カワナ</t>
    </rPh>
    <phoneticPr fontId="2"/>
  </si>
  <si>
    <t>野村</t>
    <rPh sb="0" eb="2">
      <t>ノムラ</t>
    </rPh>
    <phoneticPr fontId="2"/>
  </si>
  <si>
    <t>上木</t>
    <rPh sb="0" eb="2">
      <t>ウエキ</t>
    </rPh>
    <phoneticPr fontId="2"/>
  </si>
  <si>
    <t>青木</t>
    <rPh sb="0" eb="2">
      <t>アオキ</t>
    </rPh>
    <phoneticPr fontId="2"/>
  </si>
  <si>
    <t>朴</t>
    <rPh sb="0" eb="1">
      <t>ボク</t>
    </rPh>
    <phoneticPr fontId="2"/>
  </si>
  <si>
    <t>伊藤</t>
    <rPh sb="0" eb="2">
      <t>イトウ</t>
    </rPh>
    <phoneticPr fontId="2"/>
  </si>
  <si>
    <t>松島</t>
    <rPh sb="0" eb="2">
      <t>マツシマ</t>
    </rPh>
    <phoneticPr fontId="2"/>
  </si>
  <si>
    <t>BP1</t>
    <phoneticPr fontId="2"/>
  </si>
  <si>
    <t>BP2</t>
    <phoneticPr fontId="2"/>
  </si>
  <si>
    <t>BP1</t>
  </si>
  <si>
    <t>BP2</t>
  </si>
  <si>
    <t>オフショア①</t>
    <phoneticPr fontId="2"/>
  </si>
  <si>
    <t>オフショア②</t>
    <phoneticPr fontId="2"/>
  </si>
  <si>
    <t>オフショア③</t>
    <phoneticPr fontId="2"/>
  </si>
  <si>
    <t>0.5ずつ</t>
    <phoneticPr fontId="2"/>
  </si>
  <si>
    <t>1ずつ</t>
    <phoneticPr fontId="2"/>
  </si>
  <si>
    <t>案②</t>
    <rPh sb="0" eb="2">
      <t>アン2</t>
    </rPh>
    <phoneticPr fontId="2"/>
  </si>
  <si>
    <t>矢羽根ごとの対応(phase4)</t>
    <rPh sb="0" eb="3">
      <t>ヤバネ</t>
    </rPh>
    <rPh sb="6" eb="8">
      <t>タイオウ</t>
    </rPh>
    <phoneticPr fontId="2"/>
  </si>
  <si>
    <t>2024/12</t>
    <phoneticPr fontId="2"/>
  </si>
  <si>
    <t>2025/3</t>
    <phoneticPr fontId="2"/>
  </si>
  <si>
    <t>2025/4</t>
    <phoneticPr fontId="2"/>
  </si>
  <si>
    <t>2025/6</t>
    <phoneticPr fontId="2"/>
  </si>
  <si>
    <t>2025/7</t>
    <phoneticPr fontId="2"/>
  </si>
  <si>
    <t>2025/11</t>
    <phoneticPr fontId="2"/>
  </si>
  <si>
    <t>2026/2</t>
    <phoneticPr fontId="2"/>
  </si>
  <si>
    <t>案③</t>
    <rPh sb="0" eb="2">
      <t>アン3</t>
    </rPh>
    <phoneticPr fontId="2"/>
  </si>
  <si>
    <t>phase1(国内 + 海外),phase2(マクロ + エクスポージャ)</t>
    <rPh sb="7" eb="9">
      <t>コクナイ</t>
    </rPh>
    <rPh sb="12" eb="14">
      <t>カイガイ</t>
    </rPh>
    <phoneticPr fontId="2"/>
  </si>
  <si>
    <t>2025/5</t>
    <phoneticPr fontId="2"/>
  </si>
  <si>
    <t>2025/12</t>
    <phoneticPr fontId="2"/>
  </si>
  <si>
    <t>phase1(国内),phase2(海外 + マクロ),phase3( エクスポージャ)</t>
    <rPh sb="7" eb="9">
      <t>コクナイ</t>
    </rPh>
    <phoneticPr fontId="2"/>
  </si>
  <si>
    <t>2026/1</t>
    <phoneticPr fontId="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</si>
</sst>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76" formatCode="0.0_ "/>
    <numFmt numFmtId="177" formatCode="&quot;¥&quot;#,##0_);[Red]\(&quot;¥&quot;#,##0\)"/>
    <numFmt numFmtId="178" formatCode="0.000_);\(0.000\)"/>
    <numFmt numFmtId="179" formatCode="0.000_ "/>
  </numFmts>
  <fonts count="30" x14ac:knownFonts="1">
    <font>
      <sz val="11"/>
      <color theme="1"/>
      <name val="ＭＳ Ｐゴシック"/>
      <family val="2"/>
      <charset val="128"/>
      <scheme val="minor"/>
    </font>
    <font>
      <sz val="11"/>
      <color theme="1"/>
      <name val="ＭＳ Ｐゴシック"/>
      <family val="2"/>
      <charset val="128"/>
    </font>
    <font>
      <sz val="6"/>
      <name val="ＭＳ Ｐゴシック"/>
      <family val="2"/>
      <charset val="128"/>
      <scheme val="minor"/>
    </font>
    <font>
      <sz val="11"/>
      <color theme="1"/>
      <name val="ＭＳ Ｐゴシック"/>
      <family val="2"/>
      <charset val="128"/>
      <scheme val="minor"/>
    </font>
    <font>
      <sz val="11"/>
      <color theme="1"/>
      <name val="Meiryo UI"/>
      <family val="2"/>
      <charset val="128"/>
    </font>
    <font>
      <sz val="6"/>
      <name val="ＭＳ Ｐゴシック"/>
      <family val="3"/>
      <charset val="128"/>
    </font>
    <font>
      <b/>
      <sz val="12"/>
      <color theme="1"/>
      <name val="Meiryo UI"/>
      <family val="3"/>
      <charset val="128"/>
    </font>
    <font>
      <sz val="12"/>
      <color theme="1"/>
      <name val="Meiryo UI"/>
      <family val="3"/>
      <charset val="128"/>
    </font>
    <font>
      <sz val="12"/>
      <name val="Meiryo UI"/>
      <family val="3"/>
      <charset val="128"/>
    </font>
    <font>
      <b/>
      <sz val="16"/>
      <color theme="1"/>
      <name val="Meiryo UI"/>
      <family val="3"/>
      <charset val="128"/>
    </font>
    <font>
      <sz val="16"/>
      <color theme="1"/>
      <name val="Meiryo UI"/>
      <family val="3"/>
      <charset val="128"/>
    </font>
    <font>
      <b/>
      <sz val="18"/>
      <color rgb="FFFF0000"/>
      <name val="Meiryo UI"/>
      <family val="3"/>
      <charset val="128"/>
    </font>
    <font>
      <sz val="11"/>
      <color theme="1"/>
      <name val="Meiryo UI"/>
      <family val="3"/>
      <charset val="128"/>
    </font>
    <font>
      <b/>
      <sz val="11"/>
      <color theme="1"/>
      <name val="Meiryo UI"/>
      <family val="3"/>
      <charset val="128"/>
    </font>
    <font>
      <b/>
      <sz val="16"/>
      <color rgb="FFFF0000"/>
      <name val="Meiryo UI"/>
      <family val="3"/>
      <charset val="128"/>
    </font>
    <font>
      <b/>
      <sz val="24"/>
      <color theme="1"/>
      <name val="Meiryo UI"/>
      <family val="3"/>
      <charset val="128"/>
    </font>
    <font>
      <sz val="24"/>
      <color theme="1"/>
      <name val="Meiryo UI"/>
      <family val="3"/>
      <charset val="128"/>
    </font>
    <font>
      <sz val="16"/>
      <color theme="1"/>
      <name val="Meiryo UI"/>
      <family val="3"/>
    </font>
    <font>
      <b/>
      <sz val="16"/>
      <color theme="1"/>
      <name val="Meiryo UI"/>
      <family val="3"/>
    </font>
    <font>
      <b/>
      <sz val="24"/>
      <color theme="1"/>
      <name val="Meiryo UI"/>
      <family val="3"/>
    </font>
    <font>
      <sz val="24"/>
      <color theme="1"/>
      <name val="Meiryo UI"/>
      <family val="3"/>
    </font>
    <font>
      <b/>
      <sz val="16"/>
      <color rgb="FFFF0000"/>
      <name val="Meiryo UI"/>
      <family val="3"/>
    </font>
    <font>
      <sz val="16"/>
      <color rgb="FF000000"/>
      <name val="Meiryo UI"/>
      <family val="3"/>
      <charset val="128"/>
    </font>
    <font>
      <b/>
      <sz val="16"/>
      <color rgb="FF000000"/>
      <name val="Meiryo UI"/>
      <family val="3"/>
      <charset val="128"/>
    </font>
    <font>
      <sz val="16"/>
      <color rgb="FF000000"/>
      <name val="Meiryo UI"/>
      <family val="3"/>
    </font>
    <font>
      <sz val="12"/>
      <color rgb="FFFF0000"/>
      <name val="Meiryo UI"/>
      <family val="3"/>
      <charset val="128"/>
    </font>
    <font>
      <strike/>
      <sz val="12"/>
      <color rgb="FFFF0000"/>
      <name val="Meiryo UI"/>
      <family val="3"/>
      <charset val="128"/>
    </font>
    <font>
      <strike/>
      <sz val="12"/>
      <color theme="1"/>
      <name val="Meiryo UI"/>
      <family val="3"/>
      <charset val="128"/>
    </font>
    <font>
      <sz val="11"/>
      <color rgb="FF000000"/>
      <name val="Meiryo UI"/>
      <family val="3"/>
      <charset val="128"/>
    </font>
    <font>
      <sz val="11"/>
      <name val="Meiryo UI"/>
      <family val="3"/>
      <charset val="128"/>
    </font>
  </fonts>
  <fills count="8">
    <fill>
      <patternFill patternType="none"/>
    </fill>
    <fill>
      <patternFill patternType="gray125"/>
    </fill>
    <fill>
      <patternFill patternType="solid">
        <fgColor theme="8" tint="0.79998168889431442"/>
        <bgColor indexed="64"/>
      </patternFill>
    </fill>
    <fill>
      <patternFill patternType="solid">
        <fgColor theme="0" tint="-0.34998626667073579"/>
        <bgColor indexed="64"/>
      </patternFill>
    </fill>
    <fill>
      <patternFill patternType="solid">
        <fgColor rgb="FFFFFFCC"/>
        <bgColor indexed="64"/>
      </patternFill>
    </fill>
    <fill>
      <patternFill patternType="solid">
        <fgColor theme="6" tint="0.79998168889431442"/>
        <bgColor indexed="64"/>
      </patternFill>
    </fill>
    <fill>
      <patternFill patternType="solid">
        <fgColor theme="0"/>
        <bgColor indexed="64"/>
      </patternFill>
    </fill>
    <fill>
      <patternFill patternType="solid">
        <fgColor rgb="FFFFFF00"/>
        <bgColor indexed="64"/>
      </patternFill>
    </fill>
  </fills>
  <borders count="60">
    <border>
      <left/>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right style="thin">
        <color indexed="64"/>
      </right>
      <top/>
      <bottom style="thin">
        <color indexed="64"/>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right/>
      <top/>
      <bottom style="thin">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style="thin">
        <color indexed="64"/>
      </right>
      <top/>
      <bottom/>
      <diagonal/>
    </border>
    <border>
      <left style="thin">
        <color indexed="64"/>
      </left>
      <right/>
      <top style="medium">
        <color indexed="64"/>
      </top>
      <bottom style="thin">
        <color indexed="64"/>
      </bottom>
      <diagonal/>
    </border>
    <border>
      <left/>
      <right style="medium">
        <color indexed="64"/>
      </right>
      <top style="medium">
        <color indexed="64"/>
      </top>
      <bottom style="thin">
        <color indexed="64"/>
      </bottom>
      <diagonal/>
    </border>
    <border>
      <left style="thin">
        <color indexed="64"/>
      </left>
      <right/>
      <top style="thin">
        <color indexed="64"/>
      </top>
      <bottom style="medium">
        <color indexed="64"/>
      </bottom>
      <diagonal/>
    </border>
    <border>
      <left/>
      <right style="dotted">
        <color indexed="64"/>
      </right>
      <top style="medium">
        <color indexed="64"/>
      </top>
      <bottom style="thin">
        <color indexed="64"/>
      </bottom>
      <diagonal/>
    </border>
    <border>
      <left style="medium">
        <color indexed="64"/>
      </left>
      <right style="dotted">
        <color indexed="64"/>
      </right>
      <top style="medium">
        <color indexed="64"/>
      </top>
      <bottom style="thin">
        <color indexed="64"/>
      </bottom>
      <diagonal/>
    </border>
    <border>
      <left style="dotted">
        <color indexed="64"/>
      </left>
      <right style="medium">
        <color indexed="64"/>
      </right>
      <top style="medium">
        <color indexed="64"/>
      </top>
      <bottom style="thin">
        <color indexed="64"/>
      </bottom>
      <diagonal/>
    </border>
    <border>
      <left style="medium">
        <color indexed="64"/>
      </left>
      <right style="dotted">
        <color indexed="64"/>
      </right>
      <top style="thin">
        <color indexed="64"/>
      </top>
      <bottom/>
      <diagonal/>
    </border>
    <border>
      <left style="dotted">
        <color indexed="64"/>
      </left>
      <right style="medium">
        <color indexed="64"/>
      </right>
      <top style="thin">
        <color indexed="64"/>
      </top>
      <bottom/>
      <diagonal/>
    </border>
    <border>
      <left style="medium">
        <color indexed="64"/>
      </left>
      <right/>
      <top style="medium">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style="dotted">
        <color indexed="64"/>
      </right>
      <top/>
      <bottom style="thin">
        <color indexed="64"/>
      </bottom>
      <diagonal/>
    </border>
    <border>
      <left style="dotted">
        <color indexed="64"/>
      </left>
      <right style="medium">
        <color indexed="64"/>
      </right>
      <top/>
      <bottom style="thin">
        <color indexed="64"/>
      </bottom>
      <diagonal/>
    </border>
    <border>
      <left style="medium">
        <color indexed="64"/>
      </left>
      <right style="dotted">
        <color indexed="64"/>
      </right>
      <top/>
      <bottom style="medium">
        <color indexed="64"/>
      </bottom>
      <diagonal/>
    </border>
    <border>
      <left style="dotted">
        <color indexed="64"/>
      </left>
      <right style="medium">
        <color indexed="64"/>
      </right>
      <top/>
      <bottom style="medium">
        <color indexed="64"/>
      </bottom>
      <diagonal/>
    </border>
    <border>
      <left/>
      <right style="thin">
        <color indexed="64"/>
      </right>
      <top style="medium">
        <color indexed="64"/>
      </top>
      <bottom style="thin">
        <color indexed="64"/>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right style="thin">
        <color indexed="64"/>
      </right>
      <top style="thin">
        <color indexed="64"/>
      </top>
      <bottom/>
      <diagonal/>
    </border>
    <border>
      <left/>
      <right/>
      <top style="medium">
        <color indexed="64"/>
      </top>
      <bottom style="thin">
        <color indexed="64"/>
      </bottom>
      <diagonal/>
    </border>
    <border>
      <left style="dotted">
        <color indexed="64"/>
      </left>
      <right style="dotted">
        <color indexed="64"/>
      </right>
      <top style="medium">
        <color indexed="64"/>
      </top>
      <bottom style="thin">
        <color indexed="64"/>
      </bottom>
      <diagonal/>
    </border>
    <border>
      <left style="dotted">
        <color indexed="64"/>
      </left>
      <right style="dotted">
        <color indexed="64"/>
      </right>
      <top style="thin">
        <color indexed="64"/>
      </top>
      <bottom/>
      <diagonal/>
    </border>
    <border>
      <left style="dotted">
        <color indexed="64"/>
      </left>
      <right style="dotted">
        <color indexed="64"/>
      </right>
      <top/>
      <bottom style="thin">
        <color indexed="64"/>
      </bottom>
      <diagonal/>
    </border>
    <border>
      <left style="dotted">
        <color indexed="64"/>
      </left>
      <right style="dotted">
        <color indexed="64"/>
      </right>
      <top/>
      <bottom style="medium">
        <color indexed="64"/>
      </bottom>
      <diagonal/>
    </border>
    <border>
      <left style="thin">
        <color indexed="64"/>
      </left>
      <right/>
      <top style="thin">
        <color indexed="64"/>
      </top>
      <bottom/>
      <diagonal/>
    </border>
    <border>
      <left style="thin">
        <color indexed="64"/>
      </left>
      <right/>
      <top/>
      <bottom style="thin">
        <color indexed="64"/>
      </bottom>
      <diagonal/>
    </border>
    <border>
      <left style="thin">
        <color indexed="64"/>
      </left>
      <right/>
      <top/>
      <bottom style="medium">
        <color indexed="64"/>
      </bottom>
      <diagonal/>
    </border>
    <border>
      <left style="thin">
        <color indexed="64"/>
      </left>
      <right style="thin">
        <color indexed="64"/>
      </right>
      <top style="hair">
        <color indexed="64"/>
      </top>
      <bottom style="hair">
        <color indexed="64"/>
      </bottom>
      <diagonal/>
    </border>
    <border>
      <left style="thin">
        <color indexed="64"/>
      </left>
      <right style="thin">
        <color indexed="64"/>
      </right>
      <top style="hair">
        <color indexed="64"/>
      </top>
      <bottom style="thin">
        <color indexed="64"/>
      </bottom>
      <diagonal/>
    </border>
    <border>
      <left style="thin">
        <color rgb="FF000000"/>
      </left>
      <right style="thin">
        <color rgb="FF000000"/>
      </right>
      <top style="thin">
        <color rgb="FF000000"/>
      </top>
      <bottom style="thin">
        <color rgb="FF000000"/>
      </bottom>
      <diagonal/>
    </border>
    <border>
      <left style="thin">
        <color indexed="64"/>
      </left>
      <right/>
      <top/>
      <bottom/>
      <diagonal/>
    </border>
  </borders>
  <cellStyleXfs count="5">
    <xf numFmtId="0" fontId="0" fillId="0" borderId="0">
      <alignment vertical="center"/>
    </xf>
    <xf numFmtId="0" fontId="1" fillId="0" borderId="0">
      <alignment vertical="center"/>
    </xf>
    <xf numFmtId="0" fontId="4" fillId="0" borderId="0">
      <alignment vertical="center"/>
    </xf>
    <xf numFmtId="0" fontId="3" fillId="0" borderId="0">
      <alignment vertical="center"/>
    </xf>
    <xf numFmtId="38" fontId="3" fillId="0" borderId="0" applyFont="0" applyFill="0" applyBorder="0" applyAlignment="0" applyProtection="0">
      <alignment vertical="center"/>
    </xf>
  </cellStyleXfs>
  <cellXfs count="319">
    <xf numFmtId="0" fontId="0" fillId="0" borderId="0" xfId="0">
      <alignment vertical="center"/>
    </xf>
    <xf numFmtId="176" fontId="7" fillId="0" borderId="0" xfId="3" applyNumberFormat="1" applyFont="1" applyAlignment="1">
      <alignment horizontal="right" vertical="center"/>
    </xf>
    <xf numFmtId="176" fontId="7" fillId="0" borderId="0" xfId="3" applyNumberFormat="1" applyFont="1">
      <alignment vertical="center"/>
    </xf>
    <xf numFmtId="176" fontId="7" fillId="0" borderId="0" xfId="3" applyNumberFormat="1" applyFont="1" applyAlignment="1">
      <alignment horizontal="center" vertical="center"/>
    </xf>
    <xf numFmtId="0" fontId="7" fillId="0" borderId="0" xfId="0" applyFont="1">
      <alignment vertical="center"/>
    </xf>
    <xf numFmtId="176" fontId="6" fillId="0" borderId="0" xfId="3" applyNumberFormat="1" applyFont="1" applyAlignment="1">
      <alignment horizontal="left" vertical="center"/>
    </xf>
    <xf numFmtId="0" fontId="7" fillId="0" borderId="1" xfId="0" applyFont="1" applyBorder="1" applyAlignment="1">
      <alignment vertical="center" wrapText="1"/>
    </xf>
    <xf numFmtId="0" fontId="7" fillId="0" borderId="1" xfId="0" applyFont="1" applyBorder="1">
      <alignment vertical="center"/>
    </xf>
    <xf numFmtId="0" fontId="7" fillId="0" borderId="11" xfId="0" applyFont="1" applyBorder="1">
      <alignment vertical="center"/>
    </xf>
    <xf numFmtId="0" fontId="7" fillId="0" borderId="17" xfId="0" applyFont="1" applyBorder="1">
      <alignment vertical="center"/>
    </xf>
    <xf numFmtId="176" fontId="7" fillId="0" borderId="17" xfId="0" applyNumberFormat="1" applyFont="1" applyBorder="1">
      <alignment vertical="center"/>
    </xf>
    <xf numFmtId="0" fontId="6" fillId="2" borderId="8" xfId="0" applyFont="1" applyFill="1" applyBorder="1" applyAlignment="1">
      <alignment horizontal="center" vertical="center"/>
    </xf>
    <xf numFmtId="14" fontId="7" fillId="0" borderId="1" xfId="0" applyNumberFormat="1" applyFont="1" applyBorder="1" applyAlignment="1">
      <alignment horizontal="center" vertical="center"/>
    </xf>
    <xf numFmtId="0" fontId="7" fillId="0" borderId="1" xfId="0" applyFont="1" applyBorder="1" applyAlignment="1">
      <alignment horizontal="center" vertical="center"/>
    </xf>
    <xf numFmtId="177" fontId="7" fillId="0" borderId="12" xfId="0" applyNumberFormat="1" applyFont="1" applyBorder="1">
      <alignment vertical="center"/>
    </xf>
    <xf numFmtId="177" fontId="7" fillId="0" borderId="6" xfId="0" applyNumberFormat="1" applyFont="1" applyBorder="1">
      <alignment vertical="center"/>
    </xf>
    <xf numFmtId="177" fontId="7" fillId="0" borderId="18" xfId="0" applyNumberFormat="1" applyFont="1" applyBorder="1">
      <alignment vertical="center"/>
    </xf>
    <xf numFmtId="176" fontId="6" fillId="2" borderId="0" xfId="3" applyNumberFormat="1" applyFont="1" applyFill="1" applyAlignment="1">
      <alignment horizontal="center" vertical="center" wrapText="1"/>
    </xf>
    <xf numFmtId="177" fontId="7" fillId="0" borderId="0" xfId="0" applyNumberFormat="1" applyFont="1">
      <alignment vertical="center"/>
    </xf>
    <xf numFmtId="177" fontId="10" fillId="0" borderId="0" xfId="0" applyNumberFormat="1" applyFont="1">
      <alignment vertical="center"/>
    </xf>
    <xf numFmtId="177" fontId="9" fillId="0" borderId="18" xfId="0" applyNumberFormat="1" applyFont="1" applyBorder="1">
      <alignment vertical="center"/>
    </xf>
    <xf numFmtId="177" fontId="9" fillId="0" borderId="6" xfId="0" applyNumberFormat="1" applyFont="1" applyBorder="1">
      <alignment vertical="center"/>
    </xf>
    <xf numFmtId="177" fontId="9" fillId="0" borderId="12" xfId="0" applyNumberFormat="1" applyFont="1" applyBorder="1">
      <alignment vertical="center"/>
    </xf>
    <xf numFmtId="0" fontId="9" fillId="0" borderId="0" xfId="0" applyFont="1">
      <alignment vertical="center"/>
    </xf>
    <xf numFmtId="0" fontId="10" fillId="0" borderId="0" xfId="0" applyFont="1">
      <alignment vertical="center"/>
    </xf>
    <xf numFmtId="14" fontId="10" fillId="0" borderId="0" xfId="0" applyNumberFormat="1" applyFont="1">
      <alignment vertical="center"/>
    </xf>
    <xf numFmtId="0" fontId="9" fillId="2" borderId="1" xfId="0" applyFont="1" applyFill="1" applyBorder="1" applyAlignment="1">
      <alignment horizontal="center" vertical="center"/>
    </xf>
    <xf numFmtId="0" fontId="6" fillId="0" borderId="5" xfId="0" applyFont="1" applyBorder="1">
      <alignment vertical="center"/>
    </xf>
    <xf numFmtId="0" fontId="7" fillId="0" borderId="5" xfId="0" applyFont="1" applyBorder="1">
      <alignment vertical="center"/>
    </xf>
    <xf numFmtId="0" fontId="8" fillId="0" borderId="1" xfId="0" applyFont="1" applyBorder="1">
      <alignment vertical="center"/>
    </xf>
    <xf numFmtId="9" fontId="0" fillId="0" borderId="0" xfId="0" applyNumberFormat="1">
      <alignment vertical="center"/>
    </xf>
    <xf numFmtId="49" fontId="0" fillId="0" borderId="0" xfId="0" applyNumberFormat="1">
      <alignment vertical="center"/>
    </xf>
    <xf numFmtId="0" fontId="9" fillId="2" borderId="15" xfId="0" applyFont="1" applyFill="1" applyBorder="1" applyAlignment="1">
      <alignment horizontal="center" vertical="center"/>
    </xf>
    <xf numFmtId="0" fontId="9" fillId="2" borderId="14" xfId="0" applyFont="1" applyFill="1" applyBorder="1" applyAlignment="1">
      <alignment horizontal="center" vertical="center"/>
    </xf>
    <xf numFmtId="0" fontId="11" fillId="0" borderId="0" xfId="0" applyFont="1">
      <alignment vertical="center"/>
    </xf>
    <xf numFmtId="0" fontId="12" fillId="0" borderId="0" xfId="0" applyFont="1">
      <alignment vertical="center"/>
    </xf>
    <xf numFmtId="0" fontId="13" fillId="2" borderId="1" xfId="0" applyFont="1" applyFill="1" applyBorder="1" applyAlignment="1">
      <alignment horizontal="center" vertical="center"/>
    </xf>
    <xf numFmtId="0" fontId="13" fillId="2" borderId="0" xfId="0" applyFont="1" applyFill="1" applyAlignment="1">
      <alignment horizontal="center" vertical="center"/>
    </xf>
    <xf numFmtId="0" fontId="13" fillId="2" borderId="1" xfId="0" applyFont="1" applyFill="1" applyBorder="1">
      <alignment vertical="center"/>
    </xf>
    <xf numFmtId="0" fontId="12" fillId="0" borderId="1" xfId="0" applyFont="1" applyBorder="1">
      <alignment vertical="center"/>
    </xf>
    <xf numFmtId="177" fontId="12" fillId="0" borderId="1" xfId="0" applyNumberFormat="1" applyFont="1" applyBorder="1">
      <alignment vertical="center"/>
    </xf>
    <xf numFmtId="177" fontId="12" fillId="0" borderId="0" xfId="0" applyNumberFormat="1" applyFont="1">
      <alignment vertical="center"/>
    </xf>
    <xf numFmtId="0" fontId="9" fillId="2" borderId="10" xfId="0" applyFont="1" applyFill="1" applyBorder="1" applyAlignment="1">
      <alignment horizontal="center" vertical="center"/>
    </xf>
    <xf numFmtId="0" fontId="9" fillId="2" borderId="12" xfId="0" applyFont="1" applyFill="1" applyBorder="1" applyAlignment="1">
      <alignment horizontal="center" vertical="center"/>
    </xf>
    <xf numFmtId="177" fontId="10" fillId="0" borderId="30" xfId="0" applyNumberFormat="1" applyFont="1" applyBorder="1" applyAlignment="1">
      <alignment horizontal="right" vertical="top"/>
    </xf>
    <xf numFmtId="0" fontId="10" fillId="0" borderId="2" xfId="0" applyFont="1" applyBorder="1" applyAlignment="1">
      <alignment horizontal="center" vertical="center"/>
    </xf>
    <xf numFmtId="0" fontId="10" fillId="0" borderId="3" xfId="0" applyFont="1" applyBorder="1" applyAlignment="1">
      <alignment vertical="top" wrapText="1"/>
    </xf>
    <xf numFmtId="0" fontId="10" fillId="0" borderId="27" xfId="0" applyFont="1" applyBorder="1" applyAlignment="1">
      <alignment vertical="top" wrapText="1"/>
    </xf>
    <xf numFmtId="0" fontId="10" fillId="0" borderId="2" xfId="0" applyFont="1" applyBorder="1" applyAlignment="1">
      <alignment horizontal="left" vertical="top" wrapText="1"/>
    </xf>
    <xf numFmtId="0" fontId="10" fillId="0" borderId="4" xfId="0" applyFont="1" applyBorder="1" applyAlignment="1">
      <alignment horizontal="left" vertical="top" wrapText="1"/>
    </xf>
    <xf numFmtId="0" fontId="15" fillId="0" borderId="0" xfId="0" applyFont="1">
      <alignment vertical="center"/>
    </xf>
    <xf numFmtId="0" fontId="16" fillId="0" borderId="0" xfId="0" applyFont="1">
      <alignment vertical="center"/>
    </xf>
    <xf numFmtId="177" fontId="10" fillId="3" borderId="31" xfId="0" applyNumberFormat="1" applyFont="1" applyFill="1" applyBorder="1" applyAlignment="1">
      <alignment horizontal="right" vertical="top"/>
    </xf>
    <xf numFmtId="177" fontId="10" fillId="3" borderId="32" xfId="0" applyNumberFormat="1" applyFont="1" applyFill="1" applyBorder="1" applyAlignment="1">
      <alignment horizontal="right" vertical="top"/>
    </xf>
    <xf numFmtId="0" fontId="10" fillId="0" borderId="0" xfId="0" applyFont="1" applyAlignment="1">
      <alignment vertical="top"/>
    </xf>
    <xf numFmtId="177" fontId="17" fillId="0" borderId="32" xfId="0" applyNumberFormat="1" applyFont="1" applyBorder="1" applyAlignment="1">
      <alignment horizontal="right" vertical="top"/>
    </xf>
    <xf numFmtId="0" fontId="17" fillId="0" borderId="0" xfId="0" applyFont="1">
      <alignment vertical="center"/>
    </xf>
    <xf numFmtId="0" fontId="18" fillId="2" borderId="15" xfId="0" applyFont="1" applyFill="1" applyBorder="1" applyAlignment="1">
      <alignment horizontal="center" vertical="center"/>
    </xf>
    <xf numFmtId="0" fontId="18" fillId="2" borderId="14" xfId="0" applyFont="1" applyFill="1" applyBorder="1" applyAlignment="1">
      <alignment horizontal="center" vertical="center"/>
    </xf>
    <xf numFmtId="0" fontId="18" fillId="2" borderId="1" xfId="0" applyFont="1" applyFill="1" applyBorder="1" applyAlignment="1">
      <alignment horizontal="center" vertical="center"/>
    </xf>
    <xf numFmtId="177" fontId="17" fillId="0" borderId="0" xfId="0" applyNumberFormat="1" applyFont="1">
      <alignment vertical="center"/>
    </xf>
    <xf numFmtId="0" fontId="19" fillId="0" borderId="0" xfId="0" applyFont="1">
      <alignment vertical="center"/>
    </xf>
    <xf numFmtId="0" fontId="20" fillId="0" borderId="0" xfId="0" applyFont="1">
      <alignment vertical="center"/>
    </xf>
    <xf numFmtId="0" fontId="18" fillId="2" borderId="10" xfId="0" applyFont="1" applyFill="1" applyBorder="1" applyAlignment="1">
      <alignment horizontal="center" vertical="center"/>
    </xf>
    <xf numFmtId="0" fontId="18" fillId="2" borderId="12" xfId="0" applyFont="1" applyFill="1" applyBorder="1" applyAlignment="1">
      <alignment horizontal="center" vertical="center"/>
    </xf>
    <xf numFmtId="0" fontId="18" fillId="2" borderId="9" xfId="0" applyFont="1" applyFill="1" applyBorder="1" applyAlignment="1">
      <alignment horizontal="center" vertical="center"/>
    </xf>
    <xf numFmtId="0" fontId="17" fillId="0" borderId="2" xfId="0" applyFont="1" applyBorder="1" applyAlignment="1">
      <alignment horizontal="center" vertical="center"/>
    </xf>
    <xf numFmtId="0" fontId="17" fillId="0" borderId="3" xfId="0" applyFont="1" applyBorder="1" applyAlignment="1">
      <alignment vertical="top" wrapText="1"/>
    </xf>
    <xf numFmtId="0" fontId="17" fillId="0" borderId="27" xfId="0" applyFont="1" applyBorder="1" applyAlignment="1">
      <alignment vertical="top" wrapText="1"/>
    </xf>
    <xf numFmtId="177" fontId="17" fillId="3" borderId="31" xfId="0" applyNumberFormat="1" applyFont="1" applyFill="1" applyBorder="1" applyAlignment="1">
      <alignment horizontal="right" vertical="top"/>
    </xf>
    <xf numFmtId="177" fontId="17" fillId="3" borderId="32" xfId="0" applyNumberFormat="1" applyFont="1" applyFill="1" applyBorder="1" applyAlignment="1">
      <alignment horizontal="right" vertical="top"/>
    </xf>
    <xf numFmtId="0" fontId="17" fillId="0" borderId="2" xfId="0" applyFont="1" applyBorder="1" applyAlignment="1">
      <alignment horizontal="left" vertical="top" wrapText="1"/>
    </xf>
    <xf numFmtId="0" fontId="17" fillId="0" borderId="4" xfId="0" applyFont="1" applyBorder="1" applyAlignment="1">
      <alignment horizontal="left" vertical="top" wrapText="1"/>
    </xf>
    <xf numFmtId="177" fontId="17" fillId="3" borderId="49" xfId="0" applyNumberFormat="1" applyFont="1" applyFill="1" applyBorder="1" applyAlignment="1">
      <alignment horizontal="right" vertical="top"/>
    </xf>
    <xf numFmtId="177" fontId="17" fillId="3" borderId="30" xfId="0" applyNumberFormat="1" applyFont="1" applyFill="1" applyBorder="1" applyAlignment="1">
      <alignment horizontal="right" vertical="top"/>
    </xf>
    <xf numFmtId="0" fontId="18" fillId="2" borderId="7" xfId="0" applyFont="1" applyFill="1" applyBorder="1" applyAlignment="1">
      <alignment horizontal="center" vertical="center"/>
    </xf>
    <xf numFmtId="177" fontId="17" fillId="0" borderId="31" xfId="0" applyNumberFormat="1" applyFont="1" applyBorder="1" applyAlignment="1">
      <alignment horizontal="right" vertical="top"/>
    </xf>
    <xf numFmtId="177" fontId="17" fillId="0" borderId="49" xfId="0" applyNumberFormat="1" applyFont="1" applyBorder="1" applyAlignment="1">
      <alignment horizontal="right" vertical="top"/>
    </xf>
    <xf numFmtId="177" fontId="14" fillId="0" borderId="32" xfId="0" applyNumberFormat="1" applyFont="1" applyBorder="1" applyAlignment="1">
      <alignment horizontal="center" vertical="top" wrapText="1"/>
    </xf>
    <xf numFmtId="0" fontId="25" fillId="0" borderId="1" xfId="0" applyFont="1" applyBorder="1">
      <alignment vertical="center"/>
    </xf>
    <xf numFmtId="0" fontId="25" fillId="0" borderId="1" xfId="0" applyFont="1" applyBorder="1" applyAlignment="1">
      <alignment vertical="center" wrapText="1"/>
    </xf>
    <xf numFmtId="0" fontId="25" fillId="0" borderId="5" xfId="0" applyFont="1" applyBorder="1">
      <alignment vertical="center"/>
    </xf>
    <xf numFmtId="14" fontId="25" fillId="0" borderId="1" xfId="0" applyNumberFormat="1" applyFont="1" applyBorder="1" applyAlignment="1">
      <alignment horizontal="center" vertical="center"/>
    </xf>
    <xf numFmtId="177" fontId="25" fillId="0" borderId="6" xfId="0" applyNumberFormat="1" applyFont="1" applyBorder="1">
      <alignment vertical="center"/>
    </xf>
    <xf numFmtId="177" fontId="25" fillId="0" borderId="0" xfId="0" applyNumberFormat="1" applyFont="1">
      <alignment vertical="center"/>
    </xf>
    <xf numFmtId="0" fontId="7" fillId="3" borderId="5" xfId="0" applyFont="1" applyFill="1" applyBorder="1">
      <alignment vertical="center"/>
    </xf>
    <xf numFmtId="0" fontId="7" fillId="3" borderId="1" xfId="0" applyFont="1" applyFill="1" applyBorder="1">
      <alignment vertical="center"/>
    </xf>
    <xf numFmtId="0" fontId="8" fillId="3" borderId="1" xfId="0" applyFont="1" applyFill="1" applyBorder="1">
      <alignment vertical="center"/>
    </xf>
    <xf numFmtId="0" fontId="7" fillId="3" borderId="1" xfId="0" applyFont="1" applyFill="1" applyBorder="1" applyAlignment="1">
      <alignment vertical="center" wrapText="1"/>
    </xf>
    <xf numFmtId="14" fontId="7" fillId="3" borderId="1" xfId="0" applyNumberFormat="1" applyFont="1" applyFill="1" applyBorder="1" applyAlignment="1">
      <alignment horizontal="center" vertical="center"/>
    </xf>
    <xf numFmtId="177" fontId="7" fillId="3" borderId="6" xfId="0" applyNumberFormat="1" applyFont="1" applyFill="1" applyBorder="1">
      <alignment vertical="center"/>
    </xf>
    <xf numFmtId="177" fontId="7" fillId="3" borderId="0" xfId="0" applyNumberFormat="1" applyFont="1" applyFill="1">
      <alignment vertical="center"/>
    </xf>
    <xf numFmtId="0" fontId="25" fillId="0" borderId="0" xfId="0" applyFont="1">
      <alignment vertical="center"/>
    </xf>
    <xf numFmtId="0" fontId="7" fillId="0" borderId="0" xfId="0" applyFont="1" applyAlignment="1">
      <alignment horizontal="center" vertical="center"/>
    </xf>
    <xf numFmtId="0" fontId="25" fillId="0" borderId="0" xfId="0" applyFont="1" applyAlignment="1">
      <alignment horizontal="center" vertical="center"/>
    </xf>
    <xf numFmtId="0" fontId="25" fillId="0" borderId="0" xfId="0" applyFont="1" applyAlignment="1">
      <alignment horizontal="center" vertical="center" wrapText="1"/>
    </xf>
    <xf numFmtId="0" fontId="7" fillId="0" borderId="0" xfId="0" applyFont="1" applyAlignment="1">
      <alignment horizontal="center" vertical="center" wrapText="1"/>
    </xf>
    <xf numFmtId="0" fontId="6" fillId="0" borderId="1" xfId="0" applyFont="1" applyBorder="1">
      <alignment vertical="center"/>
    </xf>
    <xf numFmtId="0" fontId="12" fillId="2" borderId="1" xfId="0" applyFont="1" applyFill="1" applyBorder="1" applyAlignment="1">
      <alignment horizontal="center" vertical="center"/>
    </xf>
    <xf numFmtId="0" fontId="12" fillId="2" borderId="15" xfId="0" applyFont="1" applyFill="1" applyBorder="1" applyAlignment="1">
      <alignment horizontal="center" vertical="center"/>
    </xf>
    <xf numFmtId="0" fontId="12" fillId="5" borderId="1" xfId="0" applyFont="1" applyFill="1" applyBorder="1">
      <alignment vertical="center"/>
    </xf>
    <xf numFmtId="0" fontId="7" fillId="0" borderId="15" xfId="0" applyFont="1" applyBorder="1">
      <alignment vertical="center"/>
    </xf>
    <xf numFmtId="0" fontId="7" fillId="6" borderId="1" xfId="0" applyFont="1" applyFill="1" applyBorder="1">
      <alignment vertical="center"/>
    </xf>
    <xf numFmtId="0" fontId="6" fillId="6" borderId="1" xfId="0" applyFont="1" applyFill="1" applyBorder="1">
      <alignment vertical="center"/>
    </xf>
    <xf numFmtId="0" fontId="12" fillId="0" borderId="15" xfId="0" applyFont="1" applyBorder="1" applyAlignment="1">
      <alignment horizontal="center" vertical="center"/>
    </xf>
    <xf numFmtId="38" fontId="12" fillId="0" borderId="1" xfId="0" applyNumberFormat="1" applyFont="1" applyBorder="1">
      <alignment vertical="center"/>
    </xf>
    <xf numFmtId="3" fontId="12" fillId="5" borderId="1" xfId="0" applyNumberFormat="1" applyFont="1" applyFill="1" applyBorder="1">
      <alignment vertical="center"/>
    </xf>
    <xf numFmtId="9" fontId="12" fillId="0" borderId="0" xfId="0" applyNumberFormat="1" applyFont="1">
      <alignment vertical="center"/>
    </xf>
    <xf numFmtId="177" fontId="12" fillId="0" borderId="15" xfId="0" applyNumberFormat="1" applyFont="1" applyBorder="1" applyAlignment="1">
      <alignment horizontal="center" vertical="center"/>
    </xf>
    <xf numFmtId="177" fontId="12" fillId="0" borderId="0" xfId="4" applyNumberFormat="1" applyFont="1">
      <alignment vertical="center"/>
    </xf>
    <xf numFmtId="49" fontId="12" fillId="0" borderId="8" xfId="0" applyNumberFormat="1" applyFont="1" applyBorder="1">
      <alignment vertical="center"/>
    </xf>
    <xf numFmtId="49" fontId="12" fillId="0" borderId="56" xfId="0" applyNumberFormat="1" applyFont="1" applyBorder="1">
      <alignment vertical="center"/>
    </xf>
    <xf numFmtId="49" fontId="12" fillId="0" borderId="17" xfId="0" applyNumberFormat="1" applyFont="1" applyBorder="1">
      <alignment vertical="center"/>
    </xf>
    <xf numFmtId="49" fontId="12" fillId="0" borderId="1" xfId="0" applyNumberFormat="1" applyFont="1" applyBorder="1">
      <alignment vertical="center"/>
    </xf>
    <xf numFmtId="49" fontId="12" fillId="0" borderId="26" xfId="0" applyNumberFormat="1" applyFont="1" applyBorder="1">
      <alignment vertical="center"/>
    </xf>
    <xf numFmtId="0" fontId="28" fillId="0" borderId="1" xfId="0" applyFont="1" applyBorder="1">
      <alignment vertical="center"/>
    </xf>
    <xf numFmtId="0" fontId="8" fillId="0" borderId="1" xfId="0" applyFont="1" applyBorder="1" applyAlignment="1">
      <alignment vertical="center" wrapText="1"/>
    </xf>
    <xf numFmtId="176" fontId="8" fillId="0" borderId="0" xfId="3" applyNumberFormat="1" applyFont="1">
      <alignment vertical="center"/>
    </xf>
    <xf numFmtId="176" fontId="8" fillId="0" borderId="0" xfId="3" applyNumberFormat="1" applyFont="1" applyAlignment="1">
      <alignment horizontal="center" vertical="center"/>
    </xf>
    <xf numFmtId="49" fontId="29" fillId="0" borderId="8" xfId="0" applyNumberFormat="1" applyFont="1" applyBorder="1">
      <alignment vertical="center"/>
    </xf>
    <xf numFmtId="0" fontId="29" fillId="0" borderId="56" xfId="0" applyFont="1" applyBorder="1">
      <alignment vertical="center"/>
    </xf>
    <xf numFmtId="49" fontId="29" fillId="0" borderId="56" xfId="0" applyNumberFormat="1" applyFont="1" applyBorder="1">
      <alignment vertical="center"/>
    </xf>
    <xf numFmtId="49" fontId="29" fillId="0" borderId="26" xfId="0" applyNumberFormat="1" applyFont="1" applyBorder="1">
      <alignment vertical="center"/>
    </xf>
    <xf numFmtId="49" fontId="29" fillId="0" borderId="57" xfId="0" applyNumberFormat="1" applyFont="1" applyBorder="1">
      <alignment vertical="center"/>
    </xf>
    <xf numFmtId="49" fontId="29" fillId="0" borderId="1" xfId="0" applyNumberFormat="1" applyFont="1" applyBorder="1">
      <alignment vertical="center"/>
    </xf>
    <xf numFmtId="49" fontId="29" fillId="0" borderId="17" xfId="0" applyNumberFormat="1" applyFont="1" applyBorder="1">
      <alignment vertical="center"/>
    </xf>
    <xf numFmtId="0" fontId="29" fillId="0" borderId="1" xfId="0" applyFont="1" applyBorder="1">
      <alignment vertical="center"/>
    </xf>
    <xf numFmtId="0" fontId="8" fillId="0" borderId="0" xfId="0" applyFont="1">
      <alignment vertical="center"/>
    </xf>
    <xf numFmtId="0" fontId="7" fillId="7" borderId="1" xfId="0" applyFont="1" applyFill="1" applyBorder="1">
      <alignment vertical="center"/>
    </xf>
    <xf numFmtId="177" fontId="7" fillId="7" borderId="1" xfId="0" applyNumberFormat="1" applyFont="1" applyFill="1" applyBorder="1">
      <alignment vertical="center"/>
    </xf>
    <xf numFmtId="0" fontId="7" fillId="7" borderId="0" xfId="0" applyFont="1" applyFill="1">
      <alignment vertical="center"/>
    </xf>
    <xf numFmtId="0" fontId="8" fillId="7" borderId="0" xfId="0" applyFont="1" applyFill="1">
      <alignment vertical="center"/>
    </xf>
    <xf numFmtId="0" fontId="12" fillId="2" borderId="1" xfId="0" applyFont="1" applyFill="1" applyBorder="1">
      <alignment vertical="center"/>
    </xf>
    <xf numFmtId="178" fontId="7" fillId="0" borderId="0" xfId="3" applyNumberFormat="1" applyFont="1" applyAlignment="1">
      <alignment horizontal="center" vertical="center"/>
    </xf>
    <xf numFmtId="179" fontId="7" fillId="0" borderId="0" xfId="3" applyNumberFormat="1" applyFont="1" applyAlignment="1">
      <alignment horizontal="center" vertical="center"/>
    </xf>
    <xf numFmtId="3" fontId="12" fillId="0" borderId="1" xfId="0" applyNumberFormat="1" applyFont="1" applyBorder="1">
      <alignment vertical="center"/>
    </xf>
    <xf numFmtId="0" fontId="12" fillId="0" borderId="1" xfId="0" applyFont="1" applyBorder="1" applyAlignment="1">
      <alignment vertical="center" wrapText="1"/>
    </xf>
    <xf numFmtId="0" fontId="12" fillId="2" borderId="15" xfId="0" applyFont="1" applyFill="1" applyBorder="1" applyAlignment="1">
      <alignment horizontal="center" vertical="center" wrapText="1"/>
    </xf>
    <xf numFmtId="0" fontId="12" fillId="2" borderId="13" xfId="0" applyFont="1" applyFill="1" applyBorder="1" applyAlignment="1">
      <alignment horizontal="center" vertical="center" wrapText="1"/>
    </xf>
    <xf numFmtId="0" fontId="12" fillId="2" borderId="1" xfId="0" applyFont="1" applyFill="1" applyBorder="1" applyAlignment="1">
      <alignment horizontal="center" vertical="center" wrapText="1"/>
    </xf>
    <xf numFmtId="0" fontId="12" fillId="2" borderId="58" xfId="0" applyFont="1" applyFill="1" applyBorder="1" applyAlignment="1">
      <alignment horizontal="center" vertical="center" wrapText="1"/>
    </xf>
    <xf numFmtId="0" fontId="12" fillId="0" borderId="54" xfId="0" applyFont="1" applyBorder="1" applyAlignment="1">
      <alignment horizontal="center" vertical="center"/>
    </xf>
    <xf numFmtId="0" fontId="12" fillId="2" borderId="54" xfId="0" applyFont="1" applyFill="1" applyBorder="1" applyAlignment="1">
      <alignment horizontal="center" vertical="center"/>
    </xf>
    <xf numFmtId="0" fontId="12" fillId="2" borderId="59" xfId="0" applyFont="1" applyFill="1" applyBorder="1" applyAlignment="1">
      <alignment horizontal="center" vertical="center"/>
    </xf>
    <xf numFmtId="0" fontId="12" fillId="2" borderId="17" xfId="0" applyFont="1" applyFill="1" applyBorder="1" applyAlignment="1">
      <alignment horizontal="center" vertical="center"/>
    </xf>
    <xf numFmtId="0" fontId="12" fillId="0" borderId="0" xfId="0" applyFont="1" applyAlignment="1">
      <alignment horizontal="center" vertical="center"/>
    </xf>
    <xf numFmtId="0" fontId="6" fillId="2" borderId="1" xfId="0" applyFont="1" applyFill="1" applyBorder="1" applyAlignment="1">
      <alignment horizontal="center" vertical="center"/>
    </xf>
    <xf numFmtId="0" fontId="6" fillId="2" borderId="8" xfId="0" applyFont="1" applyFill="1" applyBorder="1" applyAlignment="1">
      <alignment horizontal="center" vertical="center"/>
    </xf>
    <xf numFmtId="0" fontId="6" fillId="2" borderId="26" xfId="0" applyFont="1" applyFill="1" applyBorder="1" applyAlignment="1">
      <alignment horizontal="center" vertical="center"/>
    </xf>
    <xf numFmtId="0" fontId="6" fillId="2" borderId="17" xfId="0" applyFont="1" applyFill="1" applyBorder="1" applyAlignment="1">
      <alignment horizontal="center" vertical="center"/>
    </xf>
    <xf numFmtId="0" fontId="6" fillId="2" borderId="1" xfId="0" applyFont="1" applyFill="1" applyBorder="1" applyAlignment="1">
      <alignment horizontal="center" vertical="center" wrapText="1"/>
    </xf>
    <xf numFmtId="176" fontId="6" fillId="2" borderId="1" xfId="3" applyNumberFormat="1" applyFont="1" applyFill="1" applyBorder="1" applyAlignment="1">
      <alignment horizontal="center" vertical="center" wrapText="1"/>
    </xf>
    <xf numFmtId="176" fontId="6" fillId="2" borderId="15" xfId="3" applyNumberFormat="1" applyFont="1" applyFill="1" applyBorder="1" applyAlignment="1">
      <alignment horizontal="center" vertical="center" wrapText="1"/>
    </xf>
    <xf numFmtId="176" fontId="6" fillId="2" borderId="13" xfId="3" applyNumberFormat="1" applyFont="1" applyFill="1" applyBorder="1" applyAlignment="1">
      <alignment horizontal="center" vertical="center" wrapText="1"/>
    </xf>
    <xf numFmtId="0" fontId="7" fillId="7" borderId="15" xfId="0" applyFont="1" applyFill="1" applyBorder="1" applyAlignment="1">
      <alignment horizontal="center" vertical="center"/>
    </xf>
    <xf numFmtId="0" fontId="7" fillId="7" borderId="13" xfId="0" applyFont="1" applyFill="1" applyBorder="1" applyAlignment="1">
      <alignment horizontal="center" vertical="center"/>
    </xf>
    <xf numFmtId="177" fontId="7" fillId="7" borderId="15" xfId="0" applyNumberFormat="1" applyFont="1" applyFill="1" applyBorder="1" applyAlignment="1">
      <alignment horizontal="center" vertical="center"/>
    </xf>
    <xf numFmtId="177" fontId="7" fillId="7" borderId="14" xfId="0" applyNumberFormat="1" applyFont="1" applyFill="1" applyBorder="1" applyAlignment="1">
      <alignment horizontal="center" vertical="center"/>
    </xf>
    <xf numFmtId="0" fontId="7" fillId="0" borderId="15" xfId="0" applyFont="1" applyBorder="1" applyAlignment="1">
      <alignment horizontal="center" vertical="center"/>
    </xf>
    <xf numFmtId="0" fontId="7" fillId="0" borderId="13" xfId="0" applyFont="1" applyBorder="1" applyAlignment="1">
      <alignment horizontal="center" vertical="center"/>
    </xf>
    <xf numFmtId="0" fontId="7" fillId="0" borderId="14" xfId="0" applyFont="1" applyBorder="1" applyAlignment="1">
      <alignment horizontal="center" vertical="center"/>
    </xf>
    <xf numFmtId="0" fontId="7" fillId="7" borderId="14" xfId="0" applyFont="1" applyFill="1" applyBorder="1" applyAlignment="1">
      <alignment horizontal="center" vertical="center"/>
    </xf>
    <xf numFmtId="0" fontId="12" fillId="5" borderId="1" xfId="0" applyFont="1" applyFill="1" applyBorder="1" applyAlignment="1">
      <alignment horizontal="right" vertical="center"/>
    </xf>
    <xf numFmtId="0" fontId="12" fillId="2" borderId="58" xfId="0" applyFont="1" applyFill="1" applyBorder="1" applyAlignment="1">
      <alignment horizontal="center" vertical="center"/>
    </xf>
    <xf numFmtId="0" fontId="12" fillId="0" borderId="15" xfId="0" applyFont="1" applyBorder="1" applyAlignment="1">
      <alignment horizontal="center" vertical="center"/>
    </xf>
    <xf numFmtId="0" fontId="12" fillId="0" borderId="8" xfId="0" applyFont="1" applyBorder="1" applyAlignment="1">
      <alignment horizontal="center" vertical="center"/>
    </xf>
    <xf numFmtId="0" fontId="12" fillId="2" borderId="15" xfId="0" applyFont="1" applyFill="1" applyBorder="1" applyAlignment="1">
      <alignment horizontal="center" vertical="center"/>
    </xf>
    <xf numFmtId="0" fontId="12" fillId="2" borderId="13" xfId="0" applyFont="1" applyFill="1" applyBorder="1" applyAlignment="1">
      <alignment horizontal="center" vertical="center"/>
    </xf>
    <xf numFmtId="0" fontId="12" fillId="2" borderId="15" xfId="0" applyFont="1" applyFill="1" applyBorder="1" applyAlignment="1">
      <alignment horizontal="center" vertical="center" wrapText="1"/>
    </xf>
    <xf numFmtId="0" fontId="12" fillId="2" borderId="13" xfId="0" applyFont="1" applyFill="1" applyBorder="1" applyAlignment="1">
      <alignment horizontal="center" vertical="center" wrapText="1"/>
    </xf>
    <xf numFmtId="0" fontId="12" fillId="2" borderId="14" xfId="0" applyFont="1" applyFill="1" applyBorder="1" applyAlignment="1">
      <alignment horizontal="center" vertical="center" wrapText="1"/>
    </xf>
    <xf numFmtId="0" fontId="12" fillId="2" borderId="1" xfId="0" applyFont="1" applyFill="1" applyBorder="1" applyAlignment="1">
      <alignment horizontal="center" vertical="center" wrapText="1"/>
    </xf>
    <xf numFmtId="0" fontId="12" fillId="0" borderId="1" xfId="0" applyFont="1" applyBorder="1" applyAlignment="1">
      <alignment horizontal="center" vertical="center"/>
    </xf>
    <xf numFmtId="0" fontId="8" fillId="0" borderId="1" xfId="0" applyFont="1" applyBorder="1" applyAlignment="1">
      <alignment horizontal="center" vertical="center" wrapText="1"/>
    </xf>
    <xf numFmtId="177" fontId="17" fillId="0" borderId="5" xfId="0" applyNumberFormat="1" applyFont="1" applyBorder="1" applyAlignment="1">
      <alignment horizontal="left" vertical="top" wrapText="1"/>
    </xf>
    <xf numFmtId="177" fontId="17" fillId="0" borderId="10" xfId="0" applyNumberFormat="1" applyFont="1" applyBorder="1" applyAlignment="1">
      <alignment horizontal="left" vertical="top"/>
    </xf>
    <xf numFmtId="177" fontId="17" fillId="0" borderId="5" xfId="0" applyNumberFormat="1" applyFont="1" applyBorder="1" applyAlignment="1">
      <alignment horizontal="left" vertical="top"/>
    </xf>
    <xf numFmtId="177" fontId="17" fillId="0" borderId="50" xfId="0" applyNumberFormat="1" applyFont="1" applyBorder="1" applyAlignment="1">
      <alignment horizontal="right" vertical="top"/>
    </xf>
    <xf numFmtId="177" fontId="17" fillId="0" borderId="52" xfId="0" applyNumberFormat="1" applyFont="1" applyBorder="1" applyAlignment="1">
      <alignment horizontal="right" vertical="top"/>
    </xf>
    <xf numFmtId="177" fontId="17" fillId="0" borderId="51" xfId="0" applyNumberFormat="1" applyFont="1" applyBorder="1" applyAlignment="1">
      <alignment horizontal="right" vertical="top"/>
    </xf>
    <xf numFmtId="177" fontId="17" fillId="3" borderId="50" xfId="0" applyNumberFormat="1" applyFont="1" applyFill="1" applyBorder="1" applyAlignment="1">
      <alignment horizontal="right" vertical="top"/>
    </xf>
    <xf numFmtId="177" fontId="17" fillId="3" borderId="52" xfId="0" applyNumberFormat="1" applyFont="1" applyFill="1" applyBorder="1" applyAlignment="1">
      <alignment horizontal="right" vertical="top"/>
    </xf>
    <xf numFmtId="177" fontId="21" fillId="0" borderId="34" xfId="0" applyNumberFormat="1" applyFont="1" applyBorder="1" applyAlignment="1">
      <alignment horizontal="center" vertical="top" wrapText="1"/>
    </xf>
    <xf numFmtId="177" fontId="21" fillId="0" borderId="42" xfId="0" applyNumberFormat="1" applyFont="1" applyBorder="1" applyAlignment="1">
      <alignment horizontal="center" vertical="top"/>
    </xf>
    <xf numFmtId="177" fontId="17" fillId="3" borderId="33" xfId="0" applyNumberFormat="1" applyFont="1" applyFill="1" applyBorder="1" applyAlignment="1">
      <alignment horizontal="right" vertical="top"/>
    </xf>
    <xf numFmtId="177" fontId="17" fillId="3" borderId="41" xfId="0" applyNumberFormat="1" applyFont="1" applyFill="1" applyBorder="1" applyAlignment="1">
      <alignment horizontal="right" vertical="top"/>
    </xf>
    <xf numFmtId="177" fontId="17" fillId="3" borderId="34" xfId="0" applyNumberFormat="1" applyFont="1" applyFill="1" applyBorder="1" applyAlignment="1">
      <alignment horizontal="center" vertical="top"/>
    </xf>
    <xf numFmtId="177" fontId="17" fillId="3" borderId="42" xfId="0" applyNumberFormat="1" applyFont="1" applyFill="1" applyBorder="1" applyAlignment="1">
      <alignment horizontal="center" vertical="top"/>
    </xf>
    <xf numFmtId="177" fontId="17" fillId="0" borderId="33" xfId="0" applyNumberFormat="1" applyFont="1" applyBorder="1" applyAlignment="1">
      <alignment horizontal="right" vertical="top"/>
    </xf>
    <xf numFmtId="177" fontId="17" fillId="0" borderId="41" xfId="0" applyNumberFormat="1" applyFont="1" applyBorder="1" applyAlignment="1">
      <alignment horizontal="right" vertical="top"/>
    </xf>
    <xf numFmtId="177" fontId="17" fillId="0" borderId="34" xfId="0" applyNumberFormat="1" applyFont="1" applyBorder="1" applyAlignment="1">
      <alignment horizontal="center" vertical="top"/>
    </xf>
    <xf numFmtId="177" fontId="17" fillId="0" borderId="42" xfId="0" applyNumberFormat="1" applyFont="1" applyBorder="1" applyAlignment="1">
      <alignment horizontal="center" vertical="top"/>
    </xf>
    <xf numFmtId="177" fontId="17" fillId="0" borderId="40" xfId="0" applyNumberFormat="1" applyFont="1" applyBorder="1" applyAlignment="1">
      <alignment horizontal="center" vertical="top"/>
    </xf>
    <xf numFmtId="177" fontId="17" fillId="0" borderId="39" xfId="0" applyNumberFormat="1" applyFont="1" applyBorder="1" applyAlignment="1">
      <alignment horizontal="right" vertical="top"/>
    </xf>
    <xf numFmtId="177" fontId="14" fillId="0" borderId="34" xfId="0" applyNumberFormat="1" applyFont="1" applyBorder="1" applyAlignment="1">
      <alignment horizontal="center" vertical="top" wrapText="1"/>
    </xf>
    <xf numFmtId="177" fontId="14" fillId="0" borderId="40" xfId="0" applyNumberFormat="1" applyFont="1" applyBorder="1" applyAlignment="1">
      <alignment horizontal="center" vertical="top"/>
    </xf>
    <xf numFmtId="177" fontId="17" fillId="0" borderId="6" xfId="0" applyNumberFormat="1" applyFont="1" applyBorder="1" applyAlignment="1">
      <alignment horizontal="left" vertical="top" wrapText="1"/>
    </xf>
    <xf numFmtId="177" fontId="17" fillId="0" borderId="6" xfId="0" applyNumberFormat="1" applyFont="1" applyBorder="1" applyAlignment="1">
      <alignment horizontal="left" vertical="top"/>
    </xf>
    <xf numFmtId="0" fontId="17" fillId="4" borderId="7" xfId="0" applyFont="1" applyFill="1" applyBorder="1" applyAlignment="1">
      <alignment horizontal="center" vertical="center"/>
    </xf>
    <xf numFmtId="0" fontId="17" fillId="4" borderId="44" xfId="0" applyFont="1" applyFill="1" applyBorder="1" applyAlignment="1">
      <alignment horizontal="center" vertical="center"/>
    </xf>
    <xf numFmtId="0" fontId="24" fillId="0" borderId="8" xfId="0" applyFont="1" applyBorder="1" applyAlignment="1">
      <alignment vertical="top" wrapText="1"/>
    </xf>
    <xf numFmtId="0" fontId="17" fillId="0" borderId="45" xfId="0" applyFont="1" applyBorder="1" applyAlignment="1">
      <alignment vertical="top" wrapText="1"/>
    </xf>
    <xf numFmtId="0" fontId="17" fillId="0" borderId="53" xfId="0" applyFont="1" applyBorder="1" applyAlignment="1">
      <alignment vertical="top" wrapText="1"/>
    </xf>
    <xf numFmtId="0" fontId="17" fillId="0" borderId="55" xfId="0" applyFont="1" applyBorder="1" applyAlignment="1">
      <alignment vertical="top" wrapText="1"/>
    </xf>
    <xf numFmtId="177" fontId="17" fillId="0" borderId="12" xfId="0" applyNumberFormat="1" applyFont="1" applyBorder="1" applyAlignment="1">
      <alignment horizontal="left" vertical="top"/>
    </xf>
    <xf numFmtId="0" fontId="17" fillId="0" borderId="7" xfId="0" applyFont="1" applyBorder="1" applyAlignment="1">
      <alignment horizontal="center" vertical="center"/>
    </xf>
    <xf numFmtId="0" fontId="17" fillId="0" borderId="16" xfId="0" applyFont="1" applyBorder="1" applyAlignment="1">
      <alignment horizontal="center" vertical="center"/>
    </xf>
    <xf numFmtId="0" fontId="17" fillId="0" borderId="17" xfId="0" applyFont="1" applyBorder="1" applyAlignment="1">
      <alignment vertical="top" wrapText="1"/>
    </xf>
    <xf numFmtId="0" fontId="17" fillId="0" borderId="54" xfId="0" applyFont="1" applyBorder="1" applyAlignment="1">
      <alignment vertical="top" wrapText="1"/>
    </xf>
    <xf numFmtId="177" fontId="21" fillId="0" borderId="40" xfId="0" applyNumberFormat="1" applyFont="1" applyBorder="1" applyAlignment="1">
      <alignment horizontal="center" vertical="top"/>
    </xf>
    <xf numFmtId="0" fontId="18" fillId="2" borderId="43" xfId="0" applyFont="1" applyFill="1" applyBorder="1" applyAlignment="1">
      <alignment horizontal="center" vertical="center"/>
    </xf>
    <xf numFmtId="0" fontId="18" fillId="2" borderId="14" xfId="0" applyFont="1" applyFill="1" applyBorder="1" applyAlignment="1">
      <alignment horizontal="center" vertical="center"/>
    </xf>
    <xf numFmtId="0" fontId="18" fillId="2" borderId="47" xfId="0" applyFont="1" applyFill="1" applyBorder="1" applyAlignment="1">
      <alignment horizontal="center" vertical="center"/>
    </xf>
    <xf numFmtId="0" fontId="18" fillId="2" borderId="4" xfId="0" applyFont="1" applyFill="1" applyBorder="1" applyAlignment="1">
      <alignment horizontal="center" vertical="center"/>
    </xf>
    <xf numFmtId="0" fontId="18" fillId="2" borderId="6" xfId="0" applyFont="1" applyFill="1" applyBorder="1" applyAlignment="1">
      <alignment horizontal="center" vertical="center"/>
    </xf>
    <xf numFmtId="0" fontId="18" fillId="2" borderId="9" xfId="0" applyFont="1" applyFill="1" applyBorder="1" applyAlignment="1">
      <alignment horizontal="center" vertical="center"/>
    </xf>
    <xf numFmtId="0" fontId="18" fillId="2" borderId="35" xfId="0" applyFont="1" applyFill="1" applyBorder="1" applyAlignment="1">
      <alignment horizontal="center" vertical="center"/>
    </xf>
    <xf numFmtId="0" fontId="18" fillId="2" borderId="48" xfId="0" applyFont="1" applyFill="1" applyBorder="1" applyAlignment="1">
      <alignment horizontal="center" vertical="center"/>
    </xf>
    <xf numFmtId="0" fontId="18" fillId="2" borderId="28" xfId="0" applyFont="1" applyFill="1" applyBorder="1" applyAlignment="1">
      <alignment horizontal="center" vertical="center"/>
    </xf>
    <xf numFmtId="0" fontId="18" fillId="2" borderId="15" xfId="0" applyFont="1" applyFill="1" applyBorder="1" applyAlignment="1">
      <alignment horizontal="center" vertical="center"/>
    </xf>
    <xf numFmtId="0" fontId="18" fillId="2" borderId="13" xfId="0" applyFont="1" applyFill="1" applyBorder="1" applyAlignment="1">
      <alignment horizontal="center" vertical="center"/>
    </xf>
    <xf numFmtId="0" fontId="18" fillId="2" borderId="2" xfId="0" applyFont="1" applyFill="1" applyBorder="1" applyAlignment="1">
      <alignment horizontal="center" vertical="center"/>
    </xf>
    <xf numFmtId="0" fontId="18" fillId="2" borderId="5" xfId="0" applyFont="1" applyFill="1" applyBorder="1" applyAlignment="1">
      <alignment horizontal="center" vertical="center"/>
    </xf>
    <xf numFmtId="0" fontId="18" fillId="2" borderId="10" xfId="0" applyFont="1" applyFill="1" applyBorder="1" applyAlignment="1">
      <alignment horizontal="center" vertical="center"/>
    </xf>
    <xf numFmtId="0" fontId="18" fillId="2" borderId="3" xfId="0" applyFont="1" applyFill="1" applyBorder="1" applyAlignment="1">
      <alignment horizontal="center" vertical="center"/>
    </xf>
    <xf numFmtId="0" fontId="18" fillId="2" borderId="1" xfId="0" applyFont="1" applyFill="1" applyBorder="1" applyAlignment="1">
      <alignment horizontal="center" vertical="center"/>
    </xf>
    <xf numFmtId="0" fontId="18" fillId="2" borderId="11" xfId="0" applyFont="1" applyFill="1" applyBorder="1" applyAlignment="1">
      <alignment horizontal="center" vertical="center"/>
    </xf>
    <xf numFmtId="0" fontId="18" fillId="2" borderId="27" xfId="0" applyFont="1" applyFill="1" applyBorder="1" applyAlignment="1">
      <alignment horizontal="center" vertical="center"/>
    </xf>
    <xf numFmtId="0" fontId="18" fillId="2" borderId="29" xfId="0" applyFont="1" applyFill="1" applyBorder="1" applyAlignment="1">
      <alignment horizontal="center" vertical="center"/>
    </xf>
    <xf numFmtId="0" fontId="18" fillId="2" borderId="36" xfId="0" applyFont="1" applyFill="1" applyBorder="1" applyAlignment="1">
      <alignment horizontal="center" vertical="center"/>
    </xf>
    <xf numFmtId="0" fontId="18" fillId="2" borderId="37" xfId="0" applyFont="1" applyFill="1" applyBorder="1" applyAlignment="1">
      <alignment horizontal="center" vertical="center"/>
    </xf>
    <xf numFmtId="0" fontId="18" fillId="2" borderId="38" xfId="0" applyFont="1" applyFill="1" applyBorder="1" applyAlignment="1">
      <alignment horizontal="center" vertical="center"/>
    </xf>
    <xf numFmtId="177" fontId="10" fillId="0" borderId="5" xfId="0" applyNumberFormat="1" applyFont="1" applyBorder="1" applyAlignment="1">
      <alignment horizontal="left" vertical="top" wrapText="1"/>
    </xf>
    <xf numFmtId="177" fontId="10" fillId="0" borderId="10" xfId="0" applyNumberFormat="1" applyFont="1" applyBorder="1" applyAlignment="1">
      <alignment horizontal="left" vertical="top"/>
    </xf>
    <xf numFmtId="177" fontId="10" fillId="0" borderId="6" xfId="0" applyNumberFormat="1" applyFont="1" applyBorder="1" applyAlignment="1">
      <alignment horizontal="left" vertical="top" wrapText="1"/>
    </xf>
    <xf numFmtId="177" fontId="10" fillId="0" borderId="12" xfId="0" applyNumberFormat="1" applyFont="1" applyBorder="1" applyAlignment="1">
      <alignment horizontal="left" vertical="top"/>
    </xf>
    <xf numFmtId="177" fontId="10" fillId="3" borderId="33" xfId="0" applyNumberFormat="1" applyFont="1" applyFill="1" applyBorder="1" applyAlignment="1">
      <alignment horizontal="right" vertical="top"/>
    </xf>
    <xf numFmtId="177" fontId="10" fillId="3" borderId="41" xfId="0" applyNumberFormat="1" applyFont="1" applyFill="1" applyBorder="1" applyAlignment="1">
      <alignment horizontal="right" vertical="top"/>
    </xf>
    <xf numFmtId="177" fontId="10" fillId="3" borderId="34" xfId="0" applyNumberFormat="1" applyFont="1" applyFill="1" applyBorder="1" applyAlignment="1">
      <alignment horizontal="right" vertical="top"/>
    </xf>
    <xf numFmtId="177" fontId="10" fillId="3" borderId="42" xfId="0" applyNumberFormat="1" applyFont="1" applyFill="1" applyBorder="1" applyAlignment="1">
      <alignment horizontal="right" vertical="top"/>
    </xf>
    <xf numFmtId="177" fontId="10" fillId="0" borderId="33" xfId="0" applyNumberFormat="1" applyFont="1" applyBorder="1" applyAlignment="1">
      <alignment horizontal="right" vertical="top"/>
    </xf>
    <xf numFmtId="177" fontId="10" fillId="0" borderId="41" xfId="0" applyNumberFormat="1" applyFont="1" applyBorder="1" applyAlignment="1">
      <alignment horizontal="right" vertical="top"/>
    </xf>
    <xf numFmtId="177" fontId="10" fillId="0" borderId="34" xfId="0" applyNumberFormat="1" applyFont="1" applyBorder="1" applyAlignment="1">
      <alignment horizontal="right" vertical="top"/>
    </xf>
    <xf numFmtId="177" fontId="10" fillId="0" borderId="42" xfId="0" applyNumberFormat="1" applyFont="1" applyBorder="1" applyAlignment="1">
      <alignment horizontal="right" vertical="top"/>
    </xf>
    <xf numFmtId="0" fontId="9" fillId="2" borderId="43" xfId="0" applyFont="1" applyFill="1" applyBorder="1" applyAlignment="1">
      <alignment horizontal="center" vertical="center"/>
    </xf>
    <xf numFmtId="0" fontId="9" fillId="2" borderId="14" xfId="0" applyFont="1" applyFill="1" applyBorder="1" applyAlignment="1">
      <alignment horizontal="center" vertical="center"/>
    </xf>
    <xf numFmtId="0" fontId="9" fillId="2" borderId="47" xfId="0" applyFont="1" applyFill="1" applyBorder="1" applyAlignment="1">
      <alignment horizontal="center" vertical="center"/>
    </xf>
    <xf numFmtId="0" fontId="9" fillId="2" borderId="4" xfId="0" applyFont="1" applyFill="1" applyBorder="1" applyAlignment="1">
      <alignment horizontal="center" vertical="center"/>
    </xf>
    <xf numFmtId="0" fontId="9" fillId="2" borderId="6" xfId="0" applyFont="1" applyFill="1" applyBorder="1" applyAlignment="1">
      <alignment horizontal="center" vertical="center"/>
    </xf>
    <xf numFmtId="0" fontId="9" fillId="2" borderId="9" xfId="0" applyFont="1" applyFill="1" applyBorder="1" applyAlignment="1">
      <alignment horizontal="center" vertical="center"/>
    </xf>
    <xf numFmtId="177" fontId="10" fillId="0" borderId="5" xfId="0" applyNumberFormat="1" applyFont="1" applyBorder="1" applyAlignment="1">
      <alignment horizontal="left" vertical="top"/>
    </xf>
    <xf numFmtId="177" fontId="10" fillId="0" borderId="6" xfId="0" applyNumberFormat="1" applyFont="1" applyBorder="1" applyAlignment="1">
      <alignment horizontal="left" vertical="top"/>
    </xf>
    <xf numFmtId="177" fontId="17" fillId="0" borderId="34" xfId="0" applyNumberFormat="1" applyFont="1" applyBorder="1" applyAlignment="1">
      <alignment horizontal="right" vertical="top"/>
    </xf>
    <xf numFmtId="177" fontId="17" fillId="0" borderId="42" xfId="0" applyNumberFormat="1" applyFont="1" applyBorder="1" applyAlignment="1">
      <alignment horizontal="right" vertical="top"/>
    </xf>
    <xf numFmtId="177" fontId="10" fillId="3" borderId="39" xfId="0" applyNumberFormat="1" applyFont="1" applyFill="1" applyBorder="1" applyAlignment="1">
      <alignment horizontal="right" vertical="top"/>
    </xf>
    <xf numFmtId="177" fontId="10" fillId="3" borderId="40" xfId="0" applyNumberFormat="1" applyFont="1" applyFill="1" applyBorder="1" applyAlignment="1">
      <alignment horizontal="right" vertical="top"/>
    </xf>
    <xf numFmtId="0" fontId="10" fillId="0" borderId="7" xfId="0" applyFont="1" applyBorder="1" applyAlignment="1">
      <alignment horizontal="center" vertical="center"/>
    </xf>
    <xf numFmtId="0" fontId="10" fillId="0" borderId="44" xfId="0" applyFont="1" applyBorder="1" applyAlignment="1">
      <alignment horizontal="center" vertical="center"/>
    </xf>
    <xf numFmtId="0" fontId="22" fillId="0" borderId="8" xfId="0" applyFont="1" applyBorder="1" applyAlignment="1">
      <alignment vertical="top" wrapText="1"/>
    </xf>
    <xf numFmtId="0" fontId="10" fillId="0" borderId="45" xfId="0" applyFont="1" applyBorder="1" applyAlignment="1">
      <alignment vertical="top" wrapText="1"/>
    </xf>
    <xf numFmtId="0" fontId="10" fillId="0" borderId="9" xfId="0" applyFont="1" applyBorder="1" applyAlignment="1">
      <alignment vertical="top" wrapText="1"/>
    </xf>
    <xf numFmtId="0" fontId="10" fillId="0" borderId="46" xfId="0" applyFont="1" applyBorder="1" applyAlignment="1">
      <alignment vertical="top" wrapText="1"/>
    </xf>
    <xf numFmtId="0" fontId="10" fillId="0" borderId="18" xfId="0" applyFont="1" applyBorder="1" applyAlignment="1">
      <alignment vertical="top" wrapText="1"/>
    </xf>
    <xf numFmtId="177" fontId="10" fillId="0" borderId="39" xfId="0" applyNumberFormat="1" applyFont="1" applyBorder="1" applyAlignment="1">
      <alignment horizontal="right" vertical="top"/>
    </xf>
    <xf numFmtId="177" fontId="10" fillId="0" borderId="40" xfId="0" applyNumberFormat="1" applyFont="1" applyBorder="1" applyAlignment="1">
      <alignment horizontal="right" vertical="top"/>
    </xf>
    <xf numFmtId="177" fontId="17" fillId="0" borderId="40" xfId="0" applyNumberFormat="1" applyFont="1" applyBorder="1" applyAlignment="1">
      <alignment horizontal="right" vertical="top"/>
    </xf>
    <xf numFmtId="0" fontId="14" fillId="0" borderId="0" xfId="0" applyFont="1" applyAlignment="1">
      <alignment horizontal="right" vertical="top"/>
    </xf>
    <xf numFmtId="0" fontId="10" fillId="0" borderId="16" xfId="0" applyFont="1" applyBorder="1" applyAlignment="1">
      <alignment horizontal="center" vertical="center"/>
    </xf>
    <xf numFmtId="0" fontId="10" fillId="0" borderId="17" xfId="0" applyFont="1" applyBorder="1" applyAlignment="1">
      <alignment vertical="top" wrapText="1"/>
    </xf>
    <xf numFmtId="0" fontId="9" fillId="2" borderId="15" xfId="0" applyFont="1" applyFill="1" applyBorder="1" applyAlignment="1">
      <alignment horizontal="center" vertical="center"/>
    </xf>
    <xf numFmtId="0" fontId="9" fillId="2" borderId="13" xfId="0" applyFont="1" applyFill="1" applyBorder="1" applyAlignment="1">
      <alignment horizontal="center" vertical="center"/>
    </xf>
    <xf numFmtId="0" fontId="9" fillId="2" borderId="2" xfId="0" applyFont="1" applyFill="1" applyBorder="1" applyAlignment="1">
      <alignment horizontal="center" vertical="center"/>
    </xf>
    <xf numFmtId="0" fontId="9" fillId="2" borderId="5" xfId="0" applyFont="1" applyFill="1" applyBorder="1" applyAlignment="1">
      <alignment horizontal="center" vertical="center"/>
    </xf>
    <xf numFmtId="0" fontId="9" fillId="2" borderId="10" xfId="0" applyFont="1" applyFill="1" applyBorder="1" applyAlignment="1">
      <alignment horizontal="center" vertical="center"/>
    </xf>
    <xf numFmtId="0" fontId="9" fillId="2" borderId="3" xfId="0" applyFont="1" applyFill="1" applyBorder="1" applyAlignment="1">
      <alignment horizontal="center" vertical="center"/>
    </xf>
    <xf numFmtId="0" fontId="9" fillId="2" borderId="1" xfId="0" applyFont="1" applyFill="1" applyBorder="1" applyAlignment="1">
      <alignment horizontal="center" vertical="center"/>
    </xf>
    <xf numFmtId="0" fontId="9" fillId="2" borderId="11" xfId="0" applyFont="1" applyFill="1" applyBorder="1" applyAlignment="1">
      <alignment horizontal="center" vertical="center"/>
    </xf>
    <xf numFmtId="0" fontId="9" fillId="2" borderId="27" xfId="0" applyFont="1" applyFill="1" applyBorder="1" applyAlignment="1">
      <alignment horizontal="center" vertical="center"/>
    </xf>
    <xf numFmtId="0" fontId="9" fillId="2" borderId="29" xfId="0" applyFont="1" applyFill="1" applyBorder="1" applyAlignment="1">
      <alignment horizontal="center" vertical="center"/>
    </xf>
    <xf numFmtId="0" fontId="9" fillId="2" borderId="36" xfId="0" applyFont="1" applyFill="1" applyBorder="1" applyAlignment="1">
      <alignment horizontal="center" vertical="center"/>
    </xf>
    <xf numFmtId="0" fontId="9" fillId="2" borderId="37" xfId="0" applyFont="1" applyFill="1" applyBorder="1" applyAlignment="1">
      <alignment horizontal="center" vertical="center"/>
    </xf>
    <xf numFmtId="0" fontId="9" fillId="2" borderId="38" xfId="0" applyFont="1" applyFill="1" applyBorder="1" applyAlignment="1">
      <alignment horizontal="center" vertical="center"/>
    </xf>
    <xf numFmtId="0" fontId="9" fillId="2" borderId="35" xfId="0" applyFont="1" applyFill="1" applyBorder="1" applyAlignment="1">
      <alignment horizontal="center" vertical="center"/>
    </xf>
    <xf numFmtId="0" fontId="9" fillId="2" borderId="28" xfId="0" applyFont="1" applyFill="1" applyBorder="1" applyAlignment="1">
      <alignment horizontal="center" vertical="center"/>
    </xf>
    <xf numFmtId="0" fontId="6" fillId="2" borderId="3" xfId="0" applyFont="1" applyFill="1" applyBorder="1" applyAlignment="1">
      <alignment horizontal="center" vertical="center"/>
    </xf>
    <xf numFmtId="0" fontId="6" fillId="2" borderId="15" xfId="0" applyFont="1" applyFill="1" applyBorder="1" applyAlignment="1">
      <alignment horizontal="center" vertical="center"/>
    </xf>
    <xf numFmtId="0" fontId="6" fillId="2" borderId="13" xfId="0" applyFont="1" applyFill="1" applyBorder="1" applyAlignment="1">
      <alignment horizontal="center" vertical="center"/>
    </xf>
    <xf numFmtId="0" fontId="6" fillId="2" borderId="14" xfId="0" applyFont="1" applyFill="1" applyBorder="1" applyAlignment="1">
      <alignment horizontal="center" vertical="center"/>
    </xf>
    <xf numFmtId="0" fontId="6" fillId="2" borderId="2" xfId="0" applyFont="1" applyFill="1" applyBorder="1" applyAlignment="1">
      <alignment horizontal="center" vertical="center"/>
    </xf>
    <xf numFmtId="0" fontId="6" fillId="2" borderId="5" xfId="0" applyFont="1" applyFill="1" applyBorder="1" applyAlignment="1">
      <alignment horizontal="center" vertical="center"/>
    </xf>
    <xf numFmtId="0" fontId="6" fillId="2" borderId="7" xfId="0" applyFont="1" applyFill="1" applyBorder="1" applyAlignment="1">
      <alignment horizontal="center" vertical="center"/>
    </xf>
    <xf numFmtId="0" fontId="6" fillId="2" borderId="3" xfId="0" applyFont="1" applyFill="1" applyBorder="1" applyAlignment="1">
      <alignment horizontal="center" vertical="center" wrapText="1"/>
    </xf>
    <xf numFmtId="0" fontId="6" fillId="2" borderId="8" xfId="0" applyFont="1" applyFill="1" applyBorder="1" applyAlignment="1">
      <alignment horizontal="center" vertical="center" wrapText="1"/>
    </xf>
    <xf numFmtId="176" fontId="6" fillId="2" borderId="3" xfId="3" applyNumberFormat="1" applyFont="1" applyFill="1" applyBorder="1" applyAlignment="1">
      <alignment horizontal="center" vertical="center" wrapText="1"/>
    </xf>
    <xf numFmtId="176" fontId="6" fillId="2" borderId="8" xfId="3" applyNumberFormat="1" applyFont="1" applyFill="1" applyBorder="1" applyAlignment="1">
      <alignment horizontal="center" vertical="center" wrapText="1"/>
    </xf>
    <xf numFmtId="176" fontId="6" fillId="2" borderId="4" xfId="3" applyNumberFormat="1" applyFont="1" applyFill="1" applyBorder="1" applyAlignment="1">
      <alignment horizontal="center" vertical="center" wrapText="1"/>
    </xf>
    <xf numFmtId="176" fontId="6" fillId="2" borderId="6" xfId="3" applyNumberFormat="1" applyFont="1" applyFill="1" applyBorder="1" applyAlignment="1">
      <alignment horizontal="center" vertical="center" wrapText="1"/>
    </xf>
    <xf numFmtId="176" fontId="6" fillId="2" borderId="9" xfId="3" applyNumberFormat="1" applyFont="1" applyFill="1" applyBorder="1" applyAlignment="1">
      <alignment horizontal="center" vertical="center" wrapText="1"/>
    </xf>
    <xf numFmtId="0" fontId="9" fillId="2" borderId="23" xfId="0" applyFont="1" applyFill="1" applyBorder="1" applyAlignment="1">
      <alignment horizontal="right" vertical="center"/>
    </xf>
    <xf numFmtId="0" fontId="9" fillId="2" borderId="24" xfId="0" applyFont="1" applyFill="1" applyBorder="1" applyAlignment="1">
      <alignment horizontal="right" vertical="center"/>
    </xf>
    <xf numFmtId="0" fontId="9" fillId="2" borderId="25" xfId="0" applyFont="1" applyFill="1" applyBorder="1" applyAlignment="1">
      <alignment horizontal="right" vertical="center"/>
    </xf>
    <xf numFmtId="0" fontId="7" fillId="0" borderId="16" xfId="0" applyFont="1" applyBorder="1" applyAlignment="1">
      <alignment horizontal="right" vertical="center"/>
    </xf>
    <xf numFmtId="0" fontId="7" fillId="0" borderId="17" xfId="0" applyFont="1" applyBorder="1" applyAlignment="1">
      <alignment horizontal="right" vertical="center"/>
    </xf>
    <xf numFmtId="0" fontId="7" fillId="0" borderId="10" xfId="0" applyFont="1" applyBorder="1" applyAlignment="1">
      <alignment horizontal="right" vertical="center"/>
    </xf>
    <xf numFmtId="0" fontId="7" fillId="0" borderId="11" xfId="0" applyFont="1" applyBorder="1" applyAlignment="1">
      <alignment horizontal="right" vertical="center"/>
    </xf>
    <xf numFmtId="0" fontId="9" fillId="2" borderId="21" xfId="0" applyFont="1" applyFill="1" applyBorder="1" applyAlignment="1">
      <alignment horizontal="right" vertical="center"/>
    </xf>
    <xf numFmtId="0" fontId="9" fillId="2" borderId="22" xfId="0" applyFont="1" applyFill="1" applyBorder="1" applyAlignment="1">
      <alignment horizontal="right" vertical="center"/>
    </xf>
    <xf numFmtId="0" fontId="9" fillId="2" borderId="19" xfId="0" applyFont="1" applyFill="1" applyBorder="1" applyAlignment="1">
      <alignment horizontal="right" vertical="center"/>
    </xf>
    <xf numFmtId="0" fontId="9" fillId="2" borderId="20" xfId="0" applyFont="1" applyFill="1" applyBorder="1" applyAlignment="1">
      <alignment horizontal="right" vertical="center"/>
    </xf>
    <xf numFmtId="0" fontId="9" fillId="2" borderId="13" xfId="0" applyFont="1" applyFill="1" applyBorder="1" applyAlignment="1">
      <alignment horizontal="right" vertical="center"/>
    </xf>
    <xf numFmtId="0" fontId="9" fillId="2" borderId="14" xfId="0" applyFont="1" applyFill="1" applyBorder="1" applyAlignment="1">
      <alignment horizontal="right" vertical="center"/>
    </xf>
    <xf numFmtId="0" fontId="13" fillId="2" borderId="8" xfId="0" applyFont="1" applyFill="1" applyBorder="1" applyAlignment="1">
      <alignment horizontal="center" vertical="center"/>
    </xf>
    <xf numFmtId="0" fontId="13" fillId="2" borderId="26" xfId="0" applyFont="1" applyFill="1" applyBorder="1" applyAlignment="1">
      <alignment horizontal="center" vertical="center"/>
    </xf>
    <xf numFmtId="0" fontId="13" fillId="2" borderId="17" xfId="0" applyFont="1" applyFill="1" applyBorder="1" applyAlignment="1">
      <alignment horizontal="center" vertical="center"/>
    </xf>
    <xf numFmtId="0" fontId="13" fillId="2" borderId="1" xfId="0" applyFont="1" applyFill="1" applyBorder="1" applyAlignment="1">
      <alignment horizontal="center" vertical="center"/>
    </xf>
    <xf numFmtId="0" fontId="13" fillId="2" borderId="15" xfId="0" applyFont="1" applyFill="1" applyBorder="1" applyAlignment="1">
      <alignment horizontal="center" vertical="center"/>
    </xf>
    <xf numFmtId="0" fontId="13" fillId="2" borderId="13" xfId="0" applyFont="1" applyFill="1" applyBorder="1" applyAlignment="1">
      <alignment horizontal="center" vertical="center"/>
    </xf>
    <xf numFmtId="0" fontId="13" fillId="2" borderId="14" xfId="0" applyFont="1" applyFill="1" applyBorder="1" applyAlignment="1">
      <alignment horizontal="center" vertical="center"/>
    </xf>
    <xf numFmtId="0" fontId="0" fillId="0" borderId="0" xfId="0" applyAlignment="1">
      <alignment horizontal="center" vertical="center"/>
    </xf>
  </cellXfs>
  <cellStyles count="5">
    <cellStyle name="桁区切り" xfId="4" builtinId="6"/>
    <cellStyle name="標準" xfId="0" builtinId="0"/>
    <cellStyle name="標準 2" xfId="1" xr:uid="{00000000-0005-0000-0000-000001000000}"/>
    <cellStyle name="標準 3" xfId="2" xr:uid="{00000000-0005-0000-0000-000002000000}"/>
    <cellStyle name="標準 3 2" xfId="3" xr:uid="{00000000-0005-0000-0000-000003000000}"/>
  </cellStyles>
  <dxfs count="0"/>
  <tableStyles count="0" defaultTableStyle="TableStyleMedium9" defaultPivotStyle="PivotStyleLight16"/>
  <colors>
    <mruColors>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customXml" Target="../customXml/item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ustomXml" Target="../customXml/item3.xml"/><Relationship Id="rId10" Type="http://schemas.openxmlformats.org/officeDocument/2006/relationships/worksheet" Target="worksheets/sheet10.xml"/><Relationship Id="rId19" Type="http://schemas.openxmlformats.org/officeDocument/2006/relationships/sheetMetadata" Target="metadata.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ustomXml" Target="../customXml/item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3</xdr:col>
      <xdr:colOff>0</xdr:colOff>
      <xdr:row>11</xdr:row>
      <xdr:rowOff>240195</xdr:rowOff>
    </xdr:from>
    <xdr:to>
      <xdr:col>7</xdr:col>
      <xdr:colOff>4639921</xdr:colOff>
      <xdr:row>35</xdr:row>
      <xdr:rowOff>54527</xdr:rowOff>
    </xdr:to>
    <xdr:pic>
      <xdr:nvPicPr>
        <xdr:cNvPr id="3" name="図 2">
          <a:extLst>
            <a:ext uri="{FF2B5EF4-FFF2-40B4-BE49-F238E27FC236}">
              <a16:creationId xmlns:a16="http://schemas.microsoft.com/office/drawing/2014/main" id="{7E8A8C2C-4FC1-40ED-982B-DC329C8BC04E}"/>
            </a:ext>
          </a:extLst>
        </xdr:cNvPr>
        <xdr:cNvPicPr>
          <a:picLocks noChangeAspect="1"/>
        </xdr:cNvPicPr>
      </xdr:nvPicPr>
      <xdr:blipFill>
        <a:blip xmlns:r="http://schemas.openxmlformats.org/officeDocument/2006/relationships" r:embed="rId1"/>
        <a:stretch>
          <a:fillRect/>
        </a:stretch>
      </xdr:blipFill>
      <xdr:spPr>
        <a:xfrm>
          <a:off x="861391" y="3776869"/>
          <a:ext cx="10272095" cy="6175375"/>
        </a:xfrm>
        <a:prstGeom prst="rect">
          <a:avLst/>
        </a:prstGeom>
        <a:ln>
          <a:solidFill>
            <a:sysClr val="windowText" lastClr="000000"/>
          </a:solidFill>
        </a:ln>
      </xdr:spPr>
    </xdr:pic>
    <xdr:clientData/>
  </xdr:twoCellAnchor>
  <xdr:twoCellAnchor>
    <xdr:from>
      <xdr:col>4</xdr:col>
      <xdr:colOff>781051</xdr:colOff>
      <xdr:row>18</xdr:row>
      <xdr:rowOff>34925</xdr:rowOff>
    </xdr:from>
    <xdr:to>
      <xdr:col>6</xdr:col>
      <xdr:colOff>365125</xdr:colOff>
      <xdr:row>24</xdr:row>
      <xdr:rowOff>174625</xdr:rowOff>
    </xdr:to>
    <xdr:sp macro="" textlink="">
      <xdr:nvSpPr>
        <xdr:cNvPr id="4" name="正方形/長方形 3">
          <a:extLst>
            <a:ext uri="{FF2B5EF4-FFF2-40B4-BE49-F238E27FC236}">
              <a16:creationId xmlns:a16="http://schemas.microsoft.com/office/drawing/2014/main" id="{5A057890-B52D-EF2C-8FEC-33A7423324B5}"/>
            </a:ext>
          </a:extLst>
        </xdr:cNvPr>
        <xdr:cNvSpPr/>
      </xdr:nvSpPr>
      <xdr:spPr>
        <a:xfrm>
          <a:off x="2241551" y="5527675"/>
          <a:ext cx="2949574" cy="1758950"/>
        </a:xfrm>
        <a:prstGeom prst="rect">
          <a:avLst/>
        </a:prstGeom>
        <a:noFill/>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endParaRPr kumimoji="1" lang="ja-JP" altLang="en-US" sz="1600">
            <a:latin typeface="Meiryo UI" panose="020B0604030504040204" pitchFamily="50" charset="-128"/>
            <a:ea typeface="Meiryo UI" panose="020B0604030504040204" pitchFamily="50" charset="-128"/>
          </a:endParaRPr>
        </a:p>
      </xdr:txBody>
    </xdr:sp>
    <xdr:clientData/>
  </xdr:twoCellAnchor>
  <xdr:twoCellAnchor>
    <xdr:from>
      <xdr:col>5</xdr:col>
      <xdr:colOff>701676</xdr:colOff>
      <xdr:row>25</xdr:row>
      <xdr:rowOff>69850</xdr:rowOff>
    </xdr:from>
    <xdr:to>
      <xdr:col>6</xdr:col>
      <xdr:colOff>1635125</xdr:colOff>
      <xdr:row>32</xdr:row>
      <xdr:rowOff>238125</xdr:rowOff>
    </xdr:to>
    <xdr:sp macro="" textlink="">
      <xdr:nvSpPr>
        <xdr:cNvPr id="5" name="正方形/長方形 4">
          <a:extLst>
            <a:ext uri="{FF2B5EF4-FFF2-40B4-BE49-F238E27FC236}">
              <a16:creationId xmlns:a16="http://schemas.microsoft.com/office/drawing/2014/main" id="{E5E81CBF-B7BF-4DA6-BFF3-FB6914E8B345}"/>
            </a:ext>
          </a:extLst>
        </xdr:cNvPr>
        <xdr:cNvSpPr/>
      </xdr:nvSpPr>
      <xdr:spPr>
        <a:xfrm>
          <a:off x="3844926" y="7451725"/>
          <a:ext cx="2616199" cy="2057400"/>
        </a:xfrm>
        <a:prstGeom prst="rect">
          <a:avLst/>
        </a:prstGeom>
        <a:noFill/>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endParaRPr kumimoji="1" lang="ja-JP" altLang="en-US" sz="1600">
            <a:latin typeface="Meiryo UI" panose="020B0604030504040204" pitchFamily="50" charset="-128"/>
            <a:ea typeface="Meiryo UI" panose="020B0604030504040204" pitchFamily="50" charset="-128"/>
          </a:endParaRPr>
        </a:p>
      </xdr:txBody>
    </xdr:sp>
    <xdr:clientData/>
  </xdr:twoCellAnchor>
  <xdr:twoCellAnchor>
    <xdr:from>
      <xdr:col>7</xdr:col>
      <xdr:colOff>5823858</xdr:colOff>
      <xdr:row>16</xdr:row>
      <xdr:rowOff>87086</xdr:rowOff>
    </xdr:from>
    <xdr:to>
      <xdr:col>9</xdr:col>
      <xdr:colOff>2216604</xdr:colOff>
      <xdr:row>21</xdr:row>
      <xdr:rowOff>182336</xdr:rowOff>
    </xdr:to>
    <xdr:sp macro="" textlink="">
      <xdr:nvSpPr>
        <xdr:cNvPr id="6" name="吹き出し: 線 5">
          <a:extLst>
            <a:ext uri="{FF2B5EF4-FFF2-40B4-BE49-F238E27FC236}">
              <a16:creationId xmlns:a16="http://schemas.microsoft.com/office/drawing/2014/main" id="{F4A1FF91-7016-BE53-2BAD-33BA7A49914F}"/>
            </a:ext>
          </a:extLst>
        </xdr:cNvPr>
        <xdr:cNvSpPr/>
      </xdr:nvSpPr>
      <xdr:spPr>
        <a:xfrm>
          <a:off x="10281558" y="3439886"/>
          <a:ext cx="9327696" cy="1143000"/>
        </a:xfrm>
        <a:prstGeom prst="borderCallout1">
          <a:avLst>
            <a:gd name="adj1" fmla="val 18750"/>
            <a:gd name="adj2" fmla="val -8333"/>
            <a:gd name="adj3" fmla="val 43975"/>
            <a:gd name="adj4" fmla="val -68821"/>
          </a:avLst>
        </a:prstGeom>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r>
            <a:rPr kumimoji="1" lang="ja-JP" altLang="en-US" sz="1600">
              <a:latin typeface="Meiryo UI" panose="020B0604030504040204" pitchFamily="50" charset="-128"/>
              <a:ea typeface="Meiryo UI" panose="020B0604030504040204" pitchFamily="50" charset="-128"/>
            </a:rPr>
            <a:t>現在対応している要件定義に該当</a:t>
          </a:r>
          <a:endParaRPr kumimoji="1" lang="en-US" altLang="ja-JP" sz="1600">
            <a:latin typeface="Meiryo UI" panose="020B0604030504040204" pitchFamily="50" charset="-128"/>
            <a:ea typeface="Meiryo UI" panose="020B0604030504040204" pitchFamily="50" charset="-128"/>
          </a:endParaRPr>
        </a:p>
        <a:p>
          <a:pPr algn="l"/>
          <a:r>
            <a:rPr kumimoji="1" lang="en-US" altLang="ja-JP" sz="1600">
              <a:latin typeface="Meiryo UI" panose="020B0604030504040204" pitchFamily="50" charset="-128"/>
              <a:ea typeface="Meiryo UI" panose="020B0604030504040204" pitchFamily="50" charset="-128"/>
            </a:rPr>
            <a:t>10/15</a:t>
          </a:r>
          <a:r>
            <a:rPr kumimoji="1" lang="ja-JP" altLang="en-US" sz="1600">
              <a:latin typeface="Meiryo UI" panose="020B0604030504040204" pitchFamily="50" charset="-128"/>
              <a:ea typeface="Meiryo UI" panose="020B0604030504040204" pitchFamily="50" charset="-128"/>
            </a:rPr>
            <a:t>時点では遅れなしで進めている認識</a:t>
          </a:r>
        </a:p>
      </xdr:txBody>
    </xdr:sp>
    <xdr:clientData/>
  </xdr:twoCellAnchor>
  <xdr:twoCellAnchor>
    <xdr:from>
      <xdr:col>8</xdr:col>
      <xdr:colOff>68035</xdr:colOff>
      <xdr:row>23</xdr:row>
      <xdr:rowOff>160565</xdr:rowOff>
    </xdr:from>
    <xdr:to>
      <xdr:col>9</xdr:col>
      <xdr:colOff>3092904</xdr:colOff>
      <xdr:row>26</xdr:row>
      <xdr:rowOff>179615</xdr:rowOff>
    </xdr:to>
    <xdr:sp macro="" textlink="">
      <xdr:nvSpPr>
        <xdr:cNvPr id="7" name="吹き出し: 線 6">
          <a:extLst>
            <a:ext uri="{FF2B5EF4-FFF2-40B4-BE49-F238E27FC236}">
              <a16:creationId xmlns:a16="http://schemas.microsoft.com/office/drawing/2014/main" id="{40363AD5-3B89-4327-A013-08ADF3A7EF4E}"/>
            </a:ext>
          </a:extLst>
        </xdr:cNvPr>
        <xdr:cNvSpPr/>
      </xdr:nvSpPr>
      <xdr:spPr>
        <a:xfrm>
          <a:off x="11107510" y="4980215"/>
          <a:ext cx="9378044" cy="647700"/>
        </a:xfrm>
        <a:prstGeom prst="borderCallout1">
          <a:avLst>
            <a:gd name="adj1" fmla="val 18750"/>
            <a:gd name="adj2" fmla="val -8333"/>
            <a:gd name="adj3" fmla="val 97461"/>
            <a:gd name="adj4" fmla="val -73109"/>
          </a:avLst>
        </a:prstGeom>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r>
            <a:rPr kumimoji="1" lang="ja-JP" altLang="en-US" sz="1600">
              <a:latin typeface="Meiryo UI" panose="020B0604030504040204" pitchFamily="50" charset="-128"/>
              <a:ea typeface="Meiryo UI" panose="020B0604030504040204" pitchFamily="50" charset="-128"/>
            </a:rPr>
            <a:t>左記の矢羽根の範囲を決めさせていただきたいです。</a:t>
          </a:r>
          <a:endParaRPr kumimoji="1" lang="en-US" altLang="ja-JP" sz="1600">
            <a:latin typeface="Meiryo UI" panose="020B0604030504040204" pitchFamily="50" charset="-128"/>
            <a:ea typeface="Meiryo UI" panose="020B0604030504040204" pitchFamily="50" charset="-128"/>
          </a:endParaRPr>
        </a:p>
      </xdr:txBody>
    </xdr:sp>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EDC422-EFD8-4932-B25B-EBB1EB424FB2}">
  <sheetPr>
    <pageSetUpPr fitToPage="1"/>
  </sheetPr>
  <dimension ref="B2:H84"/>
  <sheetViews>
    <sheetView view="pageBreakPreview" topLeftCell="A31" zoomScale="115" zoomScaleNormal="55" zoomScaleSheetLayoutView="115" workbookViewId="0">
      <selection activeCell="H41" sqref="H41"/>
    </sheetView>
  </sheetViews>
  <sheetFormatPr defaultColWidth="9" defaultRowHeight="22.8" x14ac:dyDescent="0.2"/>
  <cols>
    <col min="1" max="1" width="3.33203125" style="24" customWidth="1"/>
    <col min="2" max="3" width="4" style="24" customWidth="1"/>
    <col min="4" max="4" width="8" style="24" bestFit="1" customWidth="1"/>
    <col min="5" max="7" width="22" style="24" bestFit="1" customWidth="1"/>
    <col min="8" max="8" width="95.33203125" style="24" customWidth="1"/>
    <col min="9" max="9" width="69" style="24" customWidth="1"/>
    <col min="10" max="10" width="77.33203125" style="24" customWidth="1"/>
    <col min="11" max="11" width="34.109375" style="24" customWidth="1"/>
    <col min="12" max="12" width="49.6640625" style="24" customWidth="1"/>
    <col min="13" max="16384" width="9" style="24"/>
  </cols>
  <sheetData>
    <row r="2" spans="2:4" x14ac:dyDescent="0.2">
      <c r="B2" s="23" t="s">
        <v>0</v>
      </c>
      <c r="C2" s="23"/>
    </row>
    <row r="4" spans="2:4" x14ac:dyDescent="0.2">
      <c r="C4" s="23" t="s">
        <v>1</v>
      </c>
    </row>
    <row r="5" spans="2:4" ht="30.75" customHeight="1" x14ac:dyDescent="0.2">
      <c r="D5" s="24" t="s">
        <v>2</v>
      </c>
    </row>
    <row r="6" spans="2:4" ht="30.75" customHeight="1" x14ac:dyDescent="0.2">
      <c r="D6" s="24" t="s">
        <v>3</v>
      </c>
    </row>
    <row r="7" spans="2:4" ht="30.75" customHeight="1" x14ac:dyDescent="0.2">
      <c r="D7" s="24" t="s">
        <v>4</v>
      </c>
    </row>
    <row r="8" spans="2:4" ht="30.75" customHeight="1" x14ac:dyDescent="0.2">
      <c r="D8" s="24" t="s">
        <v>5</v>
      </c>
    </row>
    <row r="9" spans="2:4" ht="30.75" customHeight="1" x14ac:dyDescent="0.2">
      <c r="D9" s="24" t="s">
        <v>6</v>
      </c>
    </row>
    <row r="11" spans="2:4" x14ac:dyDescent="0.2">
      <c r="C11" s="23" t="s">
        <v>7</v>
      </c>
    </row>
    <row r="34" spans="3:8" x14ac:dyDescent="0.2">
      <c r="H34" s="25"/>
    </row>
    <row r="37" spans="3:8" x14ac:dyDescent="0.2">
      <c r="C37" s="23" t="s">
        <v>8</v>
      </c>
    </row>
    <row r="38" spans="3:8" x14ac:dyDescent="0.2">
      <c r="D38" s="24" t="s">
        <v>9</v>
      </c>
    </row>
    <row r="40" spans="3:8" x14ac:dyDescent="0.2">
      <c r="C40" s="23" t="s">
        <v>10</v>
      </c>
    </row>
    <row r="41" spans="3:8" x14ac:dyDescent="0.2">
      <c r="D41" s="24" t="s">
        <v>11</v>
      </c>
    </row>
    <row r="42" spans="3:8" x14ac:dyDescent="0.2">
      <c r="D42" s="24" t="s">
        <v>12</v>
      </c>
    </row>
    <row r="43" spans="3:8" x14ac:dyDescent="0.2">
      <c r="D43" s="24" t="s">
        <v>13</v>
      </c>
    </row>
    <row r="45" spans="3:8" x14ac:dyDescent="0.2">
      <c r="C45" s="23" t="s">
        <v>14</v>
      </c>
    </row>
    <row r="46" spans="3:8" x14ac:dyDescent="0.2">
      <c r="D46" s="24" t="s">
        <v>15</v>
      </c>
    </row>
    <row r="47" spans="3:8" x14ac:dyDescent="0.2">
      <c r="D47" s="24" t="s">
        <v>16</v>
      </c>
    </row>
    <row r="48" spans="3:8" x14ac:dyDescent="0.2">
      <c r="D48" s="24" t="s">
        <v>17</v>
      </c>
    </row>
    <row r="49" spans="4:4" x14ac:dyDescent="0.2">
      <c r="D49" s="24" t="s">
        <v>18</v>
      </c>
    </row>
    <row r="50" spans="4:4" x14ac:dyDescent="0.2">
      <c r="D50" s="24" t="s">
        <v>19</v>
      </c>
    </row>
    <row r="51" spans="4:4" x14ac:dyDescent="0.2">
      <c r="D51" s="24" t="s">
        <v>20</v>
      </c>
    </row>
    <row r="52" spans="4:4" x14ac:dyDescent="0.2">
      <c r="D52" s="24" t="s">
        <v>21</v>
      </c>
    </row>
    <row r="53" spans="4:4" x14ac:dyDescent="0.2">
      <c r="D53" s="24" t="s">
        <v>22</v>
      </c>
    </row>
    <row r="54" spans="4:4" x14ac:dyDescent="0.2">
      <c r="D54" s="24" t="s">
        <v>23</v>
      </c>
    </row>
    <row r="55" spans="4:4" x14ac:dyDescent="0.2">
      <c r="D55" s="24" t="s">
        <v>24</v>
      </c>
    </row>
    <row r="56" spans="4:4" x14ac:dyDescent="0.2">
      <c r="D56" s="24" t="s">
        <v>25</v>
      </c>
    </row>
    <row r="57" spans="4:4" x14ac:dyDescent="0.2">
      <c r="D57" s="24" t="s">
        <v>26</v>
      </c>
    </row>
    <row r="58" spans="4:4" x14ac:dyDescent="0.2">
      <c r="D58" s="24" t="s">
        <v>24</v>
      </c>
    </row>
    <row r="59" spans="4:4" x14ac:dyDescent="0.2">
      <c r="D59" s="24" t="s">
        <v>27</v>
      </c>
    </row>
    <row r="60" spans="4:4" x14ac:dyDescent="0.2">
      <c r="D60" s="24" t="s">
        <v>28</v>
      </c>
    </row>
    <row r="66" spans="3:4" x14ac:dyDescent="0.2">
      <c r="C66" s="23" t="s">
        <v>29</v>
      </c>
    </row>
    <row r="67" spans="3:4" x14ac:dyDescent="0.2">
      <c r="D67" s="24" t="s">
        <v>30</v>
      </c>
    </row>
    <row r="68" spans="3:4" x14ac:dyDescent="0.2">
      <c r="D68" s="24" t="s">
        <v>31</v>
      </c>
    </row>
    <row r="69" spans="3:4" x14ac:dyDescent="0.2">
      <c r="D69" s="24" t="s">
        <v>32</v>
      </c>
    </row>
    <row r="70" spans="3:4" x14ac:dyDescent="0.2">
      <c r="D70" s="24" t="s">
        <v>33</v>
      </c>
    </row>
    <row r="71" spans="3:4" x14ac:dyDescent="0.2">
      <c r="D71" s="24" t="s">
        <v>34</v>
      </c>
    </row>
    <row r="72" spans="3:4" x14ac:dyDescent="0.2">
      <c r="D72" s="24" t="s">
        <v>35</v>
      </c>
    </row>
    <row r="73" spans="3:4" x14ac:dyDescent="0.2">
      <c r="D73" s="24" t="s">
        <v>36</v>
      </c>
    </row>
    <row r="74" spans="3:4" x14ac:dyDescent="0.2">
      <c r="D74" s="24" t="s">
        <v>37</v>
      </c>
    </row>
    <row r="75" spans="3:4" x14ac:dyDescent="0.2">
      <c r="D75" s="24" t="s">
        <v>38</v>
      </c>
    </row>
    <row r="76" spans="3:4" x14ac:dyDescent="0.2">
      <c r="D76" s="24" t="s">
        <v>39</v>
      </c>
    </row>
    <row r="77" spans="3:4" x14ac:dyDescent="0.2">
      <c r="D77" s="24" t="s">
        <v>40</v>
      </c>
    </row>
    <row r="78" spans="3:4" x14ac:dyDescent="0.2">
      <c r="D78" s="24" t="s">
        <v>41</v>
      </c>
    </row>
    <row r="79" spans="3:4" x14ac:dyDescent="0.2">
      <c r="D79" s="24" t="s">
        <v>42</v>
      </c>
    </row>
    <row r="80" spans="3:4" x14ac:dyDescent="0.2">
      <c r="D80" s="24" t="s">
        <v>43</v>
      </c>
    </row>
    <row r="81" spans="4:4" x14ac:dyDescent="0.2">
      <c r="D81" s="24" t="s">
        <v>44</v>
      </c>
    </row>
    <row r="82" spans="4:4" x14ac:dyDescent="0.2">
      <c r="D82" s="24" t="s">
        <v>45</v>
      </c>
    </row>
    <row r="83" spans="4:4" x14ac:dyDescent="0.2">
      <c r="D83" s="24" t="s">
        <v>46</v>
      </c>
    </row>
    <row r="84" spans="4:4" x14ac:dyDescent="0.2">
      <c r="D84" s="24" t="s">
        <v>47</v>
      </c>
    </row>
  </sheetData>
  <phoneticPr fontId="2"/>
  <pageMargins left="0.15748031496062992" right="0.15748031496062992" top="0.15748031496062992" bottom="0.15748031496062992" header="0.31496062992125984" footer="0.31496062992125984"/>
  <pageSetup paperSize="9" scale="43" fitToHeight="1000" orientation="landscape" r:id="rId1"/>
  <rowBreaks count="1" manualBreakCount="1">
    <brk id="65" max="16383" man="1"/>
  </rowBreak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CF43F0-849E-4303-A4E3-5289E9883DF7}">
  <sheetPr>
    <pageSetUpPr fitToPage="1"/>
  </sheetPr>
  <dimension ref="A1:P73"/>
  <sheetViews>
    <sheetView tabSelected="1" view="pageBreakPreview" zoomScaleSheetLayoutView="100" workbookViewId="0"/>
  </sheetViews>
  <sheetFormatPr defaultColWidth="9" defaultRowHeight="16.2" x14ac:dyDescent="0.2"/>
  <cols>
    <col min="1" max="1" width="5.33203125" style="4" customWidth="1"/>
    <col min="2" max="2" width="13.33203125" style="4" bestFit="1" customWidth="1"/>
    <col min="3" max="3" width="11.109375" style="4" bestFit="1" customWidth="1"/>
    <col min="4" max="4" width="40" style="4" bestFit="1" customWidth="1"/>
    <col min="5" max="6" width="36.109375" style="127" customWidth="1"/>
    <col min="7" max="7" width="46.6640625" style="4" bestFit="1" customWidth="1"/>
    <col min="8" max="8" width="16.6640625" style="4" bestFit="1" customWidth="1"/>
    <col min="9" max="9" width="15.6640625" style="4" customWidth="1"/>
    <col min="10" max="10" width="17.88671875" style="4" customWidth="1"/>
    <col min="11" max="12" width="15.6640625" style="4" customWidth="1"/>
    <col min="13" max="13" width="16.33203125" style="4" customWidth="1"/>
    <col min="14" max="14" width="17.88671875" style="4" customWidth="1"/>
    <col min="15" max="16" width="26.6640625" style="4" customWidth="1"/>
    <col min="17" max="22" width="9" style="4" customWidth="1"/>
    <col min="23" max="16384" width="9" style="4"/>
  </cols>
  <sheetData>
    <row r="1" spans="1:16" s="2" customFormat="1" x14ac:dyDescent="0.2">
      <c r="A1" s="5"/>
      <c r="E1" s="117"/>
      <c r="F1" s="117"/>
      <c r="G1" s="5"/>
      <c r="H1" s="1"/>
      <c r="I1" s="1"/>
      <c r="J1" s="1"/>
      <c r="K1" s="1"/>
      <c r="L1" s="1"/>
      <c r="M1" s="1"/>
    </row>
    <row r="2" spans="1:16" s="3" customFormat="1" ht="16.5" customHeight="1" x14ac:dyDescent="0.2">
      <c r="E2" s="118"/>
      <c r="F2" s="118"/>
      <c r="H2" s="133">
        <v>0.125</v>
      </c>
      <c r="I2" s="133">
        <v>0.18</v>
      </c>
      <c r="J2" s="134">
        <v>0.27500000000000002</v>
      </c>
      <c r="K2" s="134">
        <v>0.21</v>
      </c>
      <c r="L2" s="134">
        <v>0.125</v>
      </c>
      <c r="M2" s="134">
        <v>6.25E-2</v>
      </c>
      <c r="N2" s="3">
        <f>SUM(H2:M2)</f>
        <v>0.97750000000000004</v>
      </c>
    </row>
    <row r="3" spans="1:16" s="3" customFormat="1" ht="48.6" customHeight="1" x14ac:dyDescent="0.2">
      <c r="B3" s="146" t="s">
        <v>48</v>
      </c>
      <c r="C3" s="146" t="s">
        <v>49</v>
      </c>
      <c r="D3" s="146" t="s">
        <v>50</v>
      </c>
      <c r="E3" s="146"/>
      <c r="F3" s="147" t="s">
        <v>51</v>
      </c>
      <c r="G3" s="150" t="s">
        <v>52</v>
      </c>
      <c r="H3" s="152" t="s">
        <v>53</v>
      </c>
      <c r="I3" s="153"/>
      <c r="J3" s="153"/>
      <c r="K3" s="153"/>
      <c r="L3" s="153"/>
      <c r="M3" s="153"/>
      <c r="N3" s="151" t="s">
        <v>54</v>
      </c>
      <c r="O3" s="151" t="s">
        <v>55</v>
      </c>
      <c r="P3" s="17"/>
    </row>
    <row r="4" spans="1:16" s="3" customFormat="1" x14ac:dyDescent="0.2">
      <c r="B4" s="146"/>
      <c r="C4" s="146"/>
      <c r="D4" s="146"/>
      <c r="E4" s="146"/>
      <c r="F4" s="148"/>
      <c r="G4" s="150"/>
      <c r="H4" s="147" t="s">
        <v>56</v>
      </c>
      <c r="I4" s="151" t="s">
        <v>57</v>
      </c>
      <c r="J4" s="151" t="s">
        <v>58</v>
      </c>
      <c r="K4" s="151" t="s">
        <v>59</v>
      </c>
      <c r="L4" s="151" t="s">
        <v>60</v>
      </c>
      <c r="M4" s="151" t="s">
        <v>61</v>
      </c>
      <c r="N4" s="151"/>
      <c r="O4" s="151"/>
      <c r="P4" s="17"/>
    </row>
    <row r="5" spans="1:16" ht="36" customHeight="1" x14ac:dyDescent="0.2">
      <c r="B5" s="146"/>
      <c r="C5" s="146"/>
      <c r="D5" s="146"/>
      <c r="E5" s="146"/>
      <c r="F5" s="148"/>
      <c r="G5" s="150"/>
      <c r="H5" s="148"/>
      <c r="I5" s="151"/>
      <c r="J5" s="151"/>
      <c r="K5" s="151"/>
      <c r="L5" s="151"/>
      <c r="M5" s="151"/>
      <c r="N5" s="151"/>
      <c r="O5" s="151"/>
      <c r="P5" s="17"/>
    </row>
    <row r="6" spans="1:16" x14ac:dyDescent="0.2">
      <c r="A6" s="93"/>
      <c r="B6" s="146"/>
      <c r="C6" s="146"/>
      <c r="D6" s="146"/>
      <c r="E6" s="146"/>
      <c r="F6" s="149"/>
      <c r="G6" s="150"/>
      <c r="H6" s="149"/>
      <c r="I6" s="151"/>
      <c r="J6" s="151"/>
      <c r="K6" s="151"/>
      <c r="L6" s="151"/>
      <c r="M6" s="151"/>
      <c r="N6" s="151"/>
      <c r="O6" s="151"/>
      <c r="P6" s="17"/>
    </row>
    <row r="7" spans="1:16" x14ac:dyDescent="0.2">
      <c r="A7" s="94"/>
      <c r="B7" s="97" t="s">
        <v>62</v>
      </c>
      <c r="C7" s="7" t="s">
        <v>63</v>
      </c>
      <c r="D7" s="110" t="s">
        <v>64</v>
      </c>
      <c r="E7" s="119" t="s">
        <v>65</v>
      </c>
      <c r="F7" s="39">
        <v>3261</v>
      </c>
      <c r="G7" s="6"/>
      <c r="H7" s="7">
        <f>$N7 * H$2</f>
        <v>1.5</v>
      </c>
      <c r="I7" s="7">
        <f t="shared" ref="I7:M22" si="0">$N7 * I$2</f>
        <v>2.16</v>
      </c>
      <c r="J7" s="7">
        <f t="shared" si="0"/>
        <v>3.3000000000000003</v>
      </c>
      <c r="K7" s="7">
        <f t="shared" si="0"/>
        <v>2.52</v>
      </c>
      <c r="L7" s="7">
        <f t="shared" si="0"/>
        <v>1.5</v>
      </c>
      <c r="M7" s="7">
        <f t="shared" si="0"/>
        <v>0.75</v>
      </c>
      <c r="N7" s="136" cm="1">
        <f t="array" ref="N7">_xlfn.IFS(
  F7=0,0,
  F7&lt;=1000,3,
  F7&lt;=2300,6,
  F7&lt;=4500,12,
  F7&lt;=8200,24,
  F7&lt;=16000,48,
  F7&gt;16001,96
)</f>
        <v>12</v>
      </c>
      <c r="O7" s="7">
        <f>ROUNDUP(N7/20,2)</f>
        <v>0.6</v>
      </c>
      <c r="P7" s="18"/>
    </row>
    <row r="8" spans="1:16" x14ac:dyDescent="0.2">
      <c r="A8" s="94"/>
      <c r="B8" s="7"/>
      <c r="C8" s="7"/>
      <c r="D8" s="111" t="s">
        <v>66</v>
      </c>
      <c r="E8" s="120" t="s">
        <v>67</v>
      </c>
      <c r="F8" s="135">
        <v>1845</v>
      </c>
      <c r="G8" s="6"/>
      <c r="H8" s="7">
        <f t="shared" ref="H8:M39" si="1">$N8 * H$2</f>
        <v>0.75</v>
      </c>
      <c r="I8" s="7">
        <f t="shared" si="0"/>
        <v>1.08</v>
      </c>
      <c r="J8" s="7">
        <f t="shared" si="0"/>
        <v>1.6500000000000001</v>
      </c>
      <c r="K8" s="7">
        <f t="shared" si="0"/>
        <v>1.26</v>
      </c>
      <c r="L8" s="7">
        <f t="shared" si="0"/>
        <v>0.75</v>
      </c>
      <c r="M8" s="7">
        <f t="shared" si="0"/>
        <v>0.375</v>
      </c>
      <c r="N8" s="136" cm="1">
        <f t="array" ref="N8">_xlfn.IFS(
  F8=0,0,
  F8&lt;=1000,3,
  F8&lt;=2300,6,
  F8&lt;=4500,12,
  F8&lt;=8200,24,
  F8&lt;=16000,48,
  F8&gt;16001,96
)</f>
        <v>6</v>
      </c>
      <c r="O8" s="7">
        <f t="shared" ref="O8:O67" si="2">ROUNDUP(N8/20,2)</f>
        <v>0.3</v>
      </c>
      <c r="P8" s="18"/>
    </row>
    <row r="9" spans="1:16" x14ac:dyDescent="0.2">
      <c r="A9" s="94"/>
      <c r="B9" s="7"/>
      <c r="C9" s="7"/>
      <c r="D9" s="111" t="s">
        <v>68</v>
      </c>
      <c r="E9" s="121" t="s">
        <v>69</v>
      </c>
      <c r="F9" s="135">
        <v>1882</v>
      </c>
      <c r="G9" s="6"/>
      <c r="H9" s="7">
        <f t="shared" si="1"/>
        <v>0.75</v>
      </c>
      <c r="I9" s="7">
        <f t="shared" si="0"/>
        <v>1.08</v>
      </c>
      <c r="J9" s="7">
        <f t="shared" si="0"/>
        <v>1.6500000000000001</v>
      </c>
      <c r="K9" s="7">
        <f t="shared" si="0"/>
        <v>1.26</v>
      </c>
      <c r="L9" s="7">
        <f t="shared" si="0"/>
        <v>0.75</v>
      </c>
      <c r="M9" s="7">
        <f t="shared" si="0"/>
        <v>0.375</v>
      </c>
      <c r="N9" s="136" cm="1">
        <f t="array" ref="N9">_xlfn.IFS(
  F9=0,0,
  F9&lt;=1000,3,
  F9&lt;=2300,6,
  F9&lt;=4500,12,
  F9&lt;=8200,24,
  F9&lt;=16000,48,
  F9&gt;16001,96
)</f>
        <v>6</v>
      </c>
      <c r="O9" s="7">
        <f t="shared" si="2"/>
        <v>0.3</v>
      </c>
      <c r="P9" s="18"/>
    </row>
    <row r="10" spans="1:16" x14ac:dyDescent="0.2">
      <c r="A10" s="94"/>
      <c r="B10" s="7"/>
      <c r="C10" s="7"/>
      <c r="D10" s="111" t="s">
        <v>70</v>
      </c>
      <c r="E10" s="121" t="s">
        <v>71</v>
      </c>
      <c r="F10" s="135">
        <v>1897</v>
      </c>
      <c r="G10" s="6"/>
      <c r="H10" s="7">
        <f t="shared" si="1"/>
        <v>0.75</v>
      </c>
      <c r="I10" s="7">
        <f t="shared" si="0"/>
        <v>1.08</v>
      </c>
      <c r="J10" s="7">
        <f t="shared" si="0"/>
        <v>1.6500000000000001</v>
      </c>
      <c r="K10" s="7">
        <f t="shared" si="0"/>
        <v>1.26</v>
      </c>
      <c r="L10" s="7">
        <f t="shared" si="0"/>
        <v>0.75</v>
      </c>
      <c r="M10" s="7">
        <f t="shared" si="0"/>
        <v>0.375</v>
      </c>
      <c r="N10" s="136" cm="1">
        <f t="array" ref="N10">_xlfn.IFS(
  F10=0,0,
  F10&lt;=1000,3,
  F10&lt;=2300,6,
  F10&lt;=4500,12,
  F10&lt;=8200,24,
  F10&lt;=16000,48,
  F10&gt;16001,96
)</f>
        <v>6</v>
      </c>
      <c r="O10" s="7">
        <f t="shared" si="2"/>
        <v>0.3</v>
      </c>
      <c r="P10" s="18"/>
    </row>
    <row r="11" spans="1:16" x14ac:dyDescent="0.2">
      <c r="A11" s="94"/>
      <c r="B11" s="7"/>
      <c r="C11" s="7"/>
      <c r="D11" s="111" t="s">
        <v>72</v>
      </c>
      <c r="E11" s="121" t="s">
        <v>73</v>
      </c>
      <c r="F11" s="135">
        <v>4300</v>
      </c>
      <c r="G11" s="6"/>
      <c r="H11" s="7">
        <f t="shared" si="1"/>
        <v>1.5</v>
      </c>
      <c r="I11" s="7">
        <f t="shared" si="0"/>
        <v>2.16</v>
      </c>
      <c r="J11" s="7">
        <f t="shared" si="0"/>
        <v>3.3000000000000003</v>
      </c>
      <c r="K11" s="7">
        <f t="shared" si="0"/>
        <v>2.52</v>
      </c>
      <c r="L11" s="7">
        <f t="shared" si="0"/>
        <v>1.5</v>
      </c>
      <c r="M11" s="7">
        <f t="shared" si="0"/>
        <v>0.75</v>
      </c>
      <c r="N11" s="136" cm="1">
        <f t="array" ref="N11">_xlfn.IFS(
  F11=0,0,
  F11&lt;=1000,3,
  F11&lt;=2300,6,
  F11&lt;=4500,12,
  F11&lt;=8200,24,
  F11&lt;=16000,48,
  F11&gt;16001,96
)</f>
        <v>12</v>
      </c>
      <c r="O11" s="7">
        <f t="shared" si="2"/>
        <v>0.6</v>
      </c>
      <c r="P11" s="18"/>
    </row>
    <row r="12" spans="1:16" x14ac:dyDescent="0.2">
      <c r="A12" s="94"/>
      <c r="B12" s="7"/>
      <c r="C12" s="7"/>
      <c r="D12" s="111" t="s">
        <v>74</v>
      </c>
      <c r="E12" s="121" t="s">
        <v>75</v>
      </c>
      <c r="F12" s="135">
        <v>4400</v>
      </c>
      <c r="G12" s="6"/>
      <c r="H12" s="7">
        <f t="shared" si="1"/>
        <v>1.5</v>
      </c>
      <c r="I12" s="7">
        <f t="shared" si="0"/>
        <v>2.16</v>
      </c>
      <c r="J12" s="7">
        <f t="shared" si="0"/>
        <v>3.3000000000000003</v>
      </c>
      <c r="K12" s="7">
        <f t="shared" si="0"/>
        <v>2.52</v>
      </c>
      <c r="L12" s="7">
        <f t="shared" si="0"/>
        <v>1.5</v>
      </c>
      <c r="M12" s="7">
        <f t="shared" si="0"/>
        <v>0.75</v>
      </c>
      <c r="N12" s="136" cm="1">
        <f t="array" ref="N12">_xlfn.IFS(
  F12=0,0,
  F12&lt;=1000,3,
  F12&lt;=2300,6,
  F12&lt;=4500,12,
  F12&lt;=8200,24,
  F12&lt;=16000,48,
  F12&gt;16001,96
)</f>
        <v>12</v>
      </c>
      <c r="O12" s="7">
        <f t="shared" si="2"/>
        <v>0.6</v>
      </c>
      <c r="P12" s="18"/>
    </row>
    <row r="13" spans="1:16" x14ac:dyDescent="0.2">
      <c r="A13" s="94"/>
      <c r="B13" s="7"/>
      <c r="C13" s="7"/>
      <c r="D13" s="111" t="s">
        <v>76</v>
      </c>
      <c r="E13" s="121" t="s">
        <v>77</v>
      </c>
      <c r="F13" s="135">
        <v>3936</v>
      </c>
      <c r="G13" s="6"/>
      <c r="H13" s="7">
        <f t="shared" si="1"/>
        <v>1.5</v>
      </c>
      <c r="I13" s="7">
        <f t="shared" si="0"/>
        <v>2.16</v>
      </c>
      <c r="J13" s="7">
        <f t="shared" si="0"/>
        <v>3.3000000000000003</v>
      </c>
      <c r="K13" s="7">
        <f t="shared" si="0"/>
        <v>2.52</v>
      </c>
      <c r="L13" s="7">
        <f t="shared" si="0"/>
        <v>1.5</v>
      </c>
      <c r="M13" s="7">
        <f t="shared" si="0"/>
        <v>0.75</v>
      </c>
      <c r="N13" s="136" cm="1">
        <f t="array" ref="N13">_xlfn.IFS(
  F13=0,0,
  F13&lt;=1000,3,
  F13&lt;=2300,6,
  F13&lt;=4500,12,
  F13&lt;=8200,24,
  F13&lt;=16000,48,
  F13&gt;16001,96
)</f>
        <v>12</v>
      </c>
      <c r="O13" s="7">
        <f t="shared" si="2"/>
        <v>0.6</v>
      </c>
      <c r="P13" s="18"/>
    </row>
    <row r="14" spans="1:16" x14ac:dyDescent="0.2">
      <c r="A14" s="94"/>
      <c r="B14" s="7"/>
      <c r="C14" s="7"/>
      <c r="D14" s="111" t="s">
        <v>78</v>
      </c>
      <c r="E14" s="121" t="s">
        <v>79</v>
      </c>
      <c r="F14" s="135">
        <v>1685</v>
      </c>
      <c r="G14" s="6"/>
      <c r="H14" s="7">
        <f t="shared" si="1"/>
        <v>0.75</v>
      </c>
      <c r="I14" s="7">
        <f t="shared" si="0"/>
        <v>1.08</v>
      </c>
      <c r="J14" s="7">
        <f t="shared" si="0"/>
        <v>1.6500000000000001</v>
      </c>
      <c r="K14" s="7">
        <f t="shared" si="0"/>
        <v>1.26</v>
      </c>
      <c r="L14" s="7">
        <f t="shared" si="0"/>
        <v>0.75</v>
      </c>
      <c r="M14" s="7">
        <f t="shared" si="0"/>
        <v>0.375</v>
      </c>
      <c r="N14" s="136" cm="1">
        <f t="array" ref="N14">_xlfn.IFS(
  F14=0,0,
  F14&lt;=1000,3,
  F14&lt;=2300,6,
  F14&lt;=4500,12,
  F14&lt;=8200,24,
  F14&lt;=16000,48,
  F14&gt;16001,96
)</f>
        <v>6</v>
      </c>
      <c r="O14" s="7">
        <f t="shared" si="2"/>
        <v>0.3</v>
      </c>
      <c r="P14" s="18"/>
    </row>
    <row r="15" spans="1:16" x14ac:dyDescent="0.2">
      <c r="A15" s="94"/>
      <c r="B15" s="7"/>
      <c r="C15" s="7"/>
      <c r="D15" s="111" t="s">
        <v>80</v>
      </c>
      <c r="E15" s="121" t="s">
        <v>81</v>
      </c>
      <c r="F15" s="135">
        <v>2275</v>
      </c>
      <c r="G15" s="6"/>
      <c r="H15" s="7">
        <f t="shared" si="1"/>
        <v>0.75</v>
      </c>
      <c r="I15" s="7">
        <f t="shared" si="0"/>
        <v>1.08</v>
      </c>
      <c r="J15" s="7">
        <f t="shared" si="0"/>
        <v>1.6500000000000001</v>
      </c>
      <c r="K15" s="7">
        <f t="shared" si="0"/>
        <v>1.26</v>
      </c>
      <c r="L15" s="7">
        <f t="shared" si="0"/>
        <v>0.75</v>
      </c>
      <c r="M15" s="7">
        <f t="shared" si="0"/>
        <v>0.375</v>
      </c>
      <c r="N15" s="136" cm="1">
        <f t="array" ref="N15">_xlfn.IFS(
  F15=0,0,
  F15&lt;=1000,3,
  F15&lt;=2300,6,
  F15&lt;=4500,12,
  F15&lt;=8200,24,
  F15&lt;=16000,48,
  F15&gt;16001,96
)</f>
        <v>6</v>
      </c>
      <c r="O15" s="7">
        <f t="shared" si="2"/>
        <v>0.3</v>
      </c>
      <c r="P15" s="18"/>
    </row>
    <row r="16" spans="1:16" x14ac:dyDescent="0.2">
      <c r="A16" s="94"/>
      <c r="B16" s="7"/>
      <c r="C16" s="7"/>
      <c r="D16" s="114" t="s">
        <v>82</v>
      </c>
      <c r="E16" s="122" t="s">
        <v>83</v>
      </c>
      <c r="F16" s="135">
        <v>998</v>
      </c>
      <c r="G16" s="6"/>
      <c r="H16" s="7">
        <f t="shared" si="1"/>
        <v>0.375</v>
      </c>
      <c r="I16" s="7">
        <f t="shared" si="0"/>
        <v>0.54</v>
      </c>
      <c r="J16" s="7">
        <f t="shared" si="0"/>
        <v>0.82500000000000007</v>
      </c>
      <c r="K16" s="7">
        <f t="shared" si="0"/>
        <v>0.63</v>
      </c>
      <c r="L16" s="7">
        <f t="shared" si="0"/>
        <v>0.375</v>
      </c>
      <c r="M16" s="7">
        <f t="shared" si="0"/>
        <v>0.1875</v>
      </c>
      <c r="N16" s="136" cm="1">
        <f t="array" ref="N16">_xlfn.IFS(
  F16=0,0,
  F16&lt;=1000,3,
  F16&lt;=2300,6,
  F16&lt;=4500,12,
  F16&lt;=8200,24,
  F16&lt;=16000,48,
  F16&gt;16001,96
)</f>
        <v>3</v>
      </c>
      <c r="O16" s="7">
        <f t="shared" si="2"/>
        <v>0.15</v>
      </c>
      <c r="P16" s="18"/>
    </row>
    <row r="17" spans="1:16" x14ac:dyDescent="0.2">
      <c r="A17" s="94"/>
      <c r="B17" s="7"/>
      <c r="C17" s="7"/>
      <c r="D17" s="110" t="s">
        <v>84</v>
      </c>
      <c r="E17" s="119" t="s">
        <v>85</v>
      </c>
      <c r="F17" s="39">
        <v>3261</v>
      </c>
      <c r="G17" s="6"/>
      <c r="H17" s="7">
        <f t="shared" si="1"/>
        <v>1.5</v>
      </c>
      <c r="I17" s="7">
        <f t="shared" si="0"/>
        <v>2.16</v>
      </c>
      <c r="J17" s="7">
        <f t="shared" si="0"/>
        <v>3.3000000000000003</v>
      </c>
      <c r="K17" s="7">
        <f t="shared" si="0"/>
        <v>2.52</v>
      </c>
      <c r="L17" s="7">
        <f t="shared" si="0"/>
        <v>1.5</v>
      </c>
      <c r="M17" s="7">
        <f t="shared" si="0"/>
        <v>0.75</v>
      </c>
      <c r="N17" s="136" cm="1">
        <f t="array" ref="N17">_xlfn.IFS(
  F17=0,0,
  F17&lt;=1000,3,
  F17&lt;=2300,6,
  F17&lt;=4500,12,
  F17&lt;=8200,24,
  F17&lt;=16000,48,
  F17&gt;16001,96
)</f>
        <v>12</v>
      </c>
      <c r="O17" s="7">
        <f t="shared" si="2"/>
        <v>0.6</v>
      </c>
      <c r="P17" s="18"/>
    </row>
    <row r="18" spans="1:16" x14ac:dyDescent="0.2">
      <c r="A18" s="94"/>
      <c r="B18" s="7"/>
      <c r="C18" s="7"/>
      <c r="D18" s="111" t="s">
        <v>66</v>
      </c>
      <c r="E18" s="120" t="s">
        <v>67</v>
      </c>
      <c r="F18" s="135">
        <v>1845</v>
      </c>
      <c r="G18" s="6"/>
      <c r="H18" s="7">
        <f t="shared" si="1"/>
        <v>0.75</v>
      </c>
      <c r="I18" s="7">
        <f t="shared" si="0"/>
        <v>1.08</v>
      </c>
      <c r="J18" s="7">
        <f t="shared" si="0"/>
        <v>1.6500000000000001</v>
      </c>
      <c r="K18" s="7">
        <f t="shared" si="0"/>
        <v>1.26</v>
      </c>
      <c r="L18" s="7">
        <f t="shared" si="0"/>
        <v>0.75</v>
      </c>
      <c r="M18" s="7">
        <f t="shared" si="0"/>
        <v>0.375</v>
      </c>
      <c r="N18" s="136" cm="1">
        <f t="array" ref="N18">_xlfn.IFS(
  F18=0,0,
  F18&lt;=1000,3,
  F18&lt;=2300,6,
  F18&lt;=4500,12,
  F18&lt;=8200,24,
  F18&lt;=16000,48,
  F18&gt;16001,96
)</f>
        <v>6</v>
      </c>
      <c r="O18" s="7">
        <f t="shared" si="2"/>
        <v>0.3</v>
      </c>
      <c r="P18" s="18"/>
    </row>
    <row r="19" spans="1:16" x14ac:dyDescent="0.2">
      <c r="A19" s="94"/>
      <c r="B19" s="7"/>
      <c r="C19" s="7"/>
      <c r="D19" s="111" t="s">
        <v>68</v>
      </c>
      <c r="E19" s="121" t="s">
        <v>86</v>
      </c>
      <c r="F19" s="135">
        <v>1898</v>
      </c>
      <c r="G19" s="6"/>
      <c r="H19" s="7">
        <f t="shared" si="1"/>
        <v>0.75</v>
      </c>
      <c r="I19" s="7">
        <f t="shared" si="0"/>
        <v>1.08</v>
      </c>
      <c r="J19" s="7">
        <f t="shared" si="0"/>
        <v>1.6500000000000001</v>
      </c>
      <c r="K19" s="7">
        <f t="shared" si="0"/>
        <v>1.26</v>
      </c>
      <c r="L19" s="7">
        <f t="shared" si="0"/>
        <v>0.75</v>
      </c>
      <c r="M19" s="7">
        <f t="shared" si="0"/>
        <v>0.375</v>
      </c>
      <c r="N19" s="136" cm="1">
        <f t="array" ref="N19">_xlfn.IFS(
  F19=0,0,
  F19&lt;=1000,3,
  F19&lt;=2300,6,
  F19&lt;=4500,12,
  F19&lt;=8200,24,
  F19&lt;=16000,48,
  F19&gt;16001,96
)</f>
        <v>6</v>
      </c>
      <c r="O19" s="7">
        <f t="shared" si="2"/>
        <v>0.3</v>
      </c>
      <c r="P19" s="18"/>
    </row>
    <row r="20" spans="1:16" x14ac:dyDescent="0.2">
      <c r="A20" s="94"/>
      <c r="B20" s="7"/>
      <c r="C20" s="7"/>
      <c r="D20" s="111" t="s">
        <v>70</v>
      </c>
      <c r="E20" s="121" t="s">
        <v>87</v>
      </c>
      <c r="F20" s="135">
        <v>1901</v>
      </c>
      <c r="G20" s="6"/>
      <c r="H20" s="7">
        <f t="shared" si="1"/>
        <v>0.75</v>
      </c>
      <c r="I20" s="7">
        <f t="shared" si="0"/>
        <v>1.08</v>
      </c>
      <c r="J20" s="7">
        <f t="shared" si="0"/>
        <v>1.6500000000000001</v>
      </c>
      <c r="K20" s="7">
        <f t="shared" si="0"/>
        <v>1.26</v>
      </c>
      <c r="L20" s="7">
        <f t="shared" si="0"/>
        <v>0.75</v>
      </c>
      <c r="M20" s="7">
        <f t="shared" si="0"/>
        <v>0.375</v>
      </c>
      <c r="N20" s="136" cm="1">
        <f t="array" ref="N20">_xlfn.IFS(
  F20=0,0,
  F20&lt;=1000,3,
  F20&lt;=2300,6,
  F20&lt;=4500,12,
  F20&lt;=8200,24,
  F20&lt;=16000,48,
  F20&gt;16001,96
)</f>
        <v>6</v>
      </c>
      <c r="O20" s="7">
        <f t="shared" si="2"/>
        <v>0.3</v>
      </c>
      <c r="P20" s="18"/>
    </row>
    <row r="21" spans="1:16" x14ac:dyDescent="0.2">
      <c r="A21" s="94"/>
      <c r="B21" s="7"/>
      <c r="C21" s="7"/>
      <c r="D21" s="111" t="s">
        <v>78</v>
      </c>
      <c r="E21" s="121" t="s">
        <v>88</v>
      </c>
      <c r="F21" s="135">
        <v>1685</v>
      </c>
      <c r="G21" s="6"/>
      <c r="H21" s="7">
        <f t="shared" si="1"/>
        <v>0.75</v>
      </c>
      <c r="I21" s="7">
        <f t="shared" si="0"/>
        <v>1.08</v>
      </c>
      <c r="J21" s="7">
        <f t="shared" si="0"/>
        <v>1.6500000000000001</v>
      </c>
      <c r="K21" s="7">
        <f t="shared" si="0"/>
        <v>1.26</v>
      </c>
      <c r="L21" s="7">
        <f t="shared" si="0"/>
        <v>0.75</v>
      </c>
      <c r="M21" s="7">
        <f t="shared" si="0"/>
        <v>0.375</v>
      </c>
      <c r="N21" s="136" cm="1">
        <f t="array" ref="N21">_xlfn.IFS(
  F21=0,0,
  F21&lt;=1000,3,
  F21&lt;=2300,6,
  F21&lt;=4500,12,
  F21&lt;=8200,24,
  F21&lt;=16000,48,
  F21&gt;16001,96
)</f>
        <v>6</v>
      </c>
      <c r="O21" s="7">
        <f t="shared" si="2"/>
        <v>0.3</v>
      </c>
      <c r="P21" s="18"/>
    </row>
    <row r="22" spans="1:16" x14ac:dyDescent="0.2">
      <c r="A22" s="94"/>
      <c r="B22" s="7"/>
      <c r="C22" s="7"/>
      <c r="D22" s="111" t="s">
        <v>80</v>
      </c>
      <c r="E22" s="121" t="s">
        <v>89</v>
      </c>
      <c r="F22" s="135">
        <v>1937</v>
      </c>
      <c r="G22" s="6"/>
      <c r="H22" s="7">
        <f t="shared" si="1"/>
        <v>0.75</v>
      </c>
      <c r="I22" s="7">
        <f t="shared" si="0"/>
        <v>1.08</v>
      </c>
      <c r="J22" s="7">
        <f t="shared" si="0"/>
        <v>1.6500000000000001</v>
      </c>
      <c r="K22" s="7">
        <f t="shared" si="0"/>
        <v>1.26</v>
      </c>
      <c r="L22" s="7">
        <f t="shared" si="0"/>
        <v>0.75</v>
      </c>
      <c r="M22" s="7">
        <f t="shared" si="0"/>
        <v>0.375</v>
      </c>
      <c r="N22" s="136" cm="1">
        <f t="array" ref="N22">_xlfn.IFS(
  F22=0,0,
  F22&lt;=1000,3,
  F22&lt;=2300,6,
  F22&lt;=4500,12,
  F22&lt;=8200,24,
  F22&lt;=16000,48,
  F22&gt;16001,96
)</f>
        <v>6</v>
      </c>
      <c r="O22" s="7">
        <f t="shared" si="2"/>
        <v>0.3</v>
      </c>
      <c r="P22" s="18"/>
    </row>
    <row r="23" spans="1:16" x14ac:dyDescent="0.2">
      <c r="A23" s="94"/>
      <c r="B23" s="7"/>
      <c r="C23" s="7"/>
      <c r="D23" s="111" t="s">
        <v>82</v>
      </c>
      <c r="E23" s="122" t="s">
        <v>83</v>
      </c>
      <c r="F23" s="135">
        <v>998</v>
      </c>
      <c r="G23" s="6"/>
      <c r="H23" s="7">
        <f t="shared" si="1"/>
        <v>0.375</v>
      </c>
      <c r="I23" s="7">
        <f t="shared" si="1"/>
        <v>0.54</v>
      </c>
      <c r="J23" s="7">
        <f t="shared" si="1"/>
        <v>0.82500000000000007</v>
      </c>
      <c r="K23" s="7">
        <f t="shared" si="1"/>
        <v>0.63</v>
      </c>
      <c r="L23" s="7">
        <f t="shared" si="1"/>
        <v>0.375</v>
      </c>
      <c r="M23" s="7">
        <f t="shared" si="1"/>
        <v>0.1875</v>
      </c>
      <c r="N23" s="136" cm="1">
        <f t="array" ref="N23">_xlfn.IFS(
  F23=0,0,
  F23&lt;=1000,3,
  F23&lt;=2300,6,
  F23&lt;=4500,12,
  F23&lt;=8200,24,
  F23&lt;=16000,48,
  F23&gt;16001,96
)</f>
        <v>3</v>
      </c>
      <c r="O23" s="7">
        <f t="shared" si="2"/>
        <v>0.15</v>
      </c>
      <c r="P23" s="18"/>
    </row>
    <row r="24" spans="1:16" x14ac:dyDescent="0.2">
      <c r="A24" s="94"/>
      <c r="B24" s="7"/>
      <c r="C24" s="7"/>
      <c r="D24" s="112" t="s">
        <v>90</v>
      </c>
      <c r="E24" s="123" t="s">
        <v>91</v>
      </c>
      <c r="F24" s="135">
        <v>1915</v>
      </c>
      <c r="G24" s="6"/>
      <c r="H24" s="7">
        <f t="shared" si="1"/>
        <v>0.75</v>
      </c>
      <c r="I24" s="7">
        <f t="shared" si="1"/>
        <v>1.08</v>
      </c>
      <c r="J24" s="7">
        <f t="shared" si="1"/>
        <v>1.6500000000000001</v>
      </c>
      <c r="K24" s="7">
        <f t="shared" si="1"/>
        <v>1.26</v>
      </c>
      <c r="L24" s="7">
        <f t="shared" si="1"/>
        <v>0.75</v>
      </c>
      <c r="M24" s="7">
        <f t="shared" si="1"/>
        <v>0.375</v>
      </c>
      <c r="N24" s="136" cm="1">
        <f t="array" ref="N24">_xlfn.IFS(
  F24=0,0,
  F24&lt;=1000,3,
  F24&lt;=2300,6,
  F24&lt;=4500,12,
  F24&lt;=8200,24,
  F24&lt;=16000,48,
  F24&gt;16001,96
)</f>
        <v>6</v>
      </c>
      <c r="O24" s="7">
        <f t="shared" si="2"/>
        <v>0.3</v>
      </c>
      <c r="P24" s="18"/>
    </row>
    <row r="25" spans="1:16" x14ac:dyDescent="0.2">
      <c r="A25" s="94"/>
      <c r="B25" s="7"/>
      <c r="C25" s="7"/>
      <c r="D25" s="113" t="s">
        <v>92</v>
      </c>
      <c r="E25" s="124" t="s">
        <v>85</v>
      </c>
      <c r="F25" s="39">
        <v>3261</v>
      </c>
      <c r="G25" s="6"/>
      <c r="H25" s="7">
        <f t="shared" si="1"/>
        <v>1.5</v>
      </c>
      <c r="I25" s="7">
        <f t="shared" si="1"/>
        <v>2.16</v>
      </c>
      <c r="J25" s="7">
        <f t="shared" si="1"/>
        <v>3.3000000000000003</v>
      </c>
      <c r="K25" s="7">
        <f t="shared" si="1"/>
        <v>2.52</v>
      </c>
      <c r="L25" s="7">
        <f t="shared" si="1"/>
        <v>1.5</v>
      </c>
      <c r="M25" s="7">
        <f t="shared" si="1"/>
        <v>0.75</v>
      </c>
      <c r="N25" s="136" cm="1">
        <f t="array" ref="N25">_xlfn.IFS(
  F25=0,0,
  F25&lt;=1000,3,
  F25&lt;=2300,6,
  F25&lt;=4500,12,
  F25&lt;=8200,24,
  F25&lt;=16000,48,
  F25&gt;16001,96
)</f>
        <v>12</v>
      </c>
      <c r="O25" s="7">
        <f t="shared" si="2"/>
        <v>0.6</v>
      </c>
      <c r="P25" s="18"/>
    </row>
    <row r="26" spans="1:16" x14ac:dyDescent="0.2">
      <c r="A26" s="94"/>
      <c r="B26" s="7"/>
      <c r="C26" s="7"/>
      <c r="D26" s="110" t="s">
        <v>93</v>
      </c>
      <c r="E26" s="119" t="s">
        <v>85</v>
      </c>
      <c r="F26" s="39">
        <v>3261</v>
      </c>
      <c r="G26" s="6"/>
      <c r="H26" s="7">
        <f t="shared" si="1"/>
        <v>1.5</v>
      </c>
      <c r="I26" s="7">
        <f t="shared" si="1"/>
        <v>2.16</v>
      </c>
      <c r="J26" s="7">
        <f t="shared" si="1"/>
        <v>3.3000000000000003</v>
      </c>
      <c r="K26" s="7">
        <f t="shared" si="1"/>
        <v>2.52</v>
      </c>
      <c r="L26" s="7">
        <f t="shared" si="1"/>
        <v>1.5</v>
      </c>
      <c r="M26" s="7">
        <f t="shared" si="1"/>
        <v>0.75</v>
      </c>
      <c r="N26" s="136" cm="1">
        <f t="array" ref="N26">_xlfn.IFS(
  F26=0,0,
  F26&lt;=1000,3,
  F26&lt;=2300,6,
  F26&lt;=4500,12,
  F26&lt;=8200,24,
  F26&lt;=16000,48,
  F26&gt;16001,96
)</f>
        <v>12</v>
      </c>
      <c r="O26" s="7">
        <f t="shared" si="2"/>
        <v>0.6</v>
      </c>
      <c r="P26" s="18"/>
    </row>
    <row r="27" spans="1:16" x14ac:dyDescent="0.2">
      <c r="A27" s="94"/>
      <c r="B27" s="7"/>
      <c r="C27" s="7"/>
      <c r="D27" s="111" t="s">
        <v>66</v>
      </c>
      <c r="E27" s="120" t="s">
        <v>67</v>
      </c>
      <c r="F27" s="135">
        <v>4300</v>
      </c>
      <c r="G27" s="6"/>
      <c r="H27" s="7">
        <f t="shared" si="1"/>
        <v>1.5</v>
      </c>
      <c r="I27" s="7">
        <f t="shared" si="1"/>
        <v>2.16</v>
      </c>
      <c r="J27" s="7">
        <f t="shared" si="1"/>
        <v>3.3000000000000003</v>
      </c>
      <c r="K27" s="7">
        <f t="shared" si="1"/>
        <v>2.52</v>
      </c>
      <c r="L27" s="7">
        <f t="shared" si="1"/>
        <v>1.5</v>
      </c>
      <c r="M27" s="7">
        <f t="shared" si="1"/>
        <v>0.75</v>
      </c>
      <c r="N27" s="136" cm="1">
        <f t="array" ref="N27">_xlfn.IFS(
  F27=0,0,
  F27&lt;=1000,3,
  F27&lt;=2300,6,
  F27&lt;=4500,12,
  F27&lt;=8200,24,
  F27&lt;=16000,48,
  F27&gt;16001,96
)</f>
        <v>12</v>
      </c>
      <c r="O27" s="7">
        <f t="shared" si="2"/>
        <v>0.6</v>
      </c>
      <c r="P27" s="18"/>
    </row>
    <row r="28" spans="1:16" x14ac:dyDescent="0.2">
      <c r="A28" s="94"/>
      <c r="B28" s="7"/>
      <c r="C28" s="7"/>
      <c r="D28" s="111" t="s">
        <v>68</v>
      </c>
      <c r="E28" s="121" t="s">
        <v>94</v>
      </c>
      <c r="F28" s="135">
        <v>1882</v>
      </c>
      <c r="G28" s="6"/>
      <c r="H28" s="7">
        <f t="shared" si="1"/>
        <v>0.75</v>
      </c>
      <c r="I28" s="7">
        <f t="shared" si="1"/>
        <v>1.08</v>
      </c>
      <c r="J28" s="7">
        <f t="shared" si="1"/>
        <v>1.6500000000000001</v>
      </c>
      <c r="K28" s="7">
        <f t="shared" si="1"/>
        <v>1.26</v>
      </c>
      <c r="L28" s="7">
        <f t="shared" si="1"/>
        <v>0.75</v>
      </c>
      <c r="M28" s="7">
        <f t="shared" si="1"/>
        <v>0.375</v>
      </c>
      <c r="N28" s="136" cm="1">
        <f t="array" ref="N28">_xlfn.IFS(
  F28=0,0,
  F28&lt;=1000,3,
  F28&lt;=2300,6,
  F28&lt;=4500,12,
  F28&lt;=8200,24,
  F28&lt;=16000,48,
  F28&gt;16001,96
)</f>
        <v>6</v>
      </c>
      <c r="O28" s="7">
        <f t="shared" si="2"/>
        <v>0.3</v>
      </c>
      <c r="P28" s="18"/>
    </row>
    <row r="29" spans="1:16" x14ac:dyDescent="0.2">
      <c r="A29" s="94"/>
      <c r="B29" s="7"/>
      <c r="C29" s="7"/>
      <c r="D29" s="111" t="s">
        <v>70</v>
      </c>
      <c r="E29" s="121" t="s">
        <v>95</v>
      </c>
      <c r="F29" s="135">
        <v>2185</v>
      </c>
      <c r="G29" s="6"/>
      <c r="H29" s="7">
        <f t="shared" si="1"/>
        <v>0.75</v>
      </c>
      <c r="I29" s="7">
        <f t="shared" si="1"/>
        <v>1.08</v>
      </c>
      <c r="J29" s="7">
        <f t="shared" si="1"/>
        <v>1.6500000000000001</v>
      </c>
      <c r="K29" s="7">
        <f t="shared" si="1"/>
        <v>1.26</v>
      </c>
      <c r="L29" s="7">
        <f t="shared" si="1"/>
        <v>0.75</v>
      </c>
      <c r="M29" s="7">
        <f t="shared" si="1"/>
        <v>0.375</v>
      </c>
      <c r="N29" s="136" cm="1">
        <f t="array" ref="N29">_xlfn.IFS(
  F29=0,0,
  F29&lt;=1000,3,
  F29&lt;=2300,6,
  F29&lt;=4500,12,
  F29&lt;=8200,24,
  F29&lt;=16000,48,
  F29&gt;16001,96
)</f>
        <v>6</v>
      </c>
      <c r="O29" s="7">
        <f t="shared" si="2"/>
        <v>0.3</v>
      </c>
      <c r="P29" s="18"/>
    </row>
    <row r="30" spans="1:16" x14ac:dyDescent="0.2">
      <c r="A30" s="94"/>
      <c r="B30" s="7"/>
      <c r="C30" s="7"/>
      <c r="D30" s="111" t="s">
        <v>78</v>
      </c>
      <c r="E30" s="121" t="s">
        <v>96</v>
      </c>
      <c r="F30" s="135">
        <v>1685</v>
      </c>
      <c r="G30" s="6"/>
      <c r="H30" s="7">
        <f t="shared" si="1"/>
        <v>0.75</v>
      </c>
      <c r="I30" s="7">
        <f t="shared" si="1"/>
        <v>1.08</v>
      </c>
      <c r="J30" s="7">
        <f t="shared" si="1"/>
        <v>1.6500000000000001</v>
      </c>
      <c r="K30" s="7">
        <f t="shared" si="1"/>
        <v>1.26</v>
      </c>
      <c r="L30" s="7">
        <f t="shared" si="1"/>
        <v>0.75</v>
      </c>
      <c r="M30" s="7">
        <f t="shared" si="1"/>
        <v>0.375</v>
      </c>
      <c r="N30" s="136" cm="1">
        <f t="array" ref="N30">_xlfn.IFS(
  F30=0,0,
  F30&lt;=1000,3,
  F30&lt;=2300,6,
  F30&lt;=4500,12,
  F30&lt;=8200,24,
  F30&lt;=16000,48,
  F30&gt;16001,96
)</f>
        <v>6</v>
      </c>
      <c r="O30" s="7">
        <f t="shared" si="2"/>
        <v>0.3</v>
      </c>
      <c r="P30" s="18"/>
    </row>
    <row r="31" spans="1:16" x14ac:dyDescent="0.2">
      <c r="A31" s="94"/>
      <c r="B31" s="7"/>
      <c r="C31" s="7"/>
      <c r="D31" s="111" t="s">
        <v>80</v>
      </c>
      <c r="E31" s="121" t="s">
        <v>97</v>
      </c>
      <c r="F31" s="135">
        <v>2196</v>
      </c>
      <c r="G31" s="6"/>
      <c r="H31" s="7">
        <f t="shared" si="1"/>
        <v>0.75</v>
      </c>
      <c r="I31" s="7">
        <f t="shared" si="1"/>
        <v>1.08</v>
      </c>
      <c r="J31" s="7">
        <f t="shared" si="1"/>
        <v>1.6500000000000001</v>
      </c>
      <c r="K31" s="7">
        <f t="shared" si="1"/>
        <v>1.26</v>
      </c>
      <c r="L31" s="7">
        <f t="shared" si="1"/>
        <v>0.75</v>
      </c>
      <c r="M31" s="7">
        <f t="shared" si="1"/>
        <v>0.375</v>
      </c>
      <c r="N31" s="136" cm="1">
        <f t="array" ref="N31">_xlfn.IFS(
  F31=0,0,
  F31&lt;=1000,3,
  F31&lt;=2300,6,
  F31&lt;=4500,12,
  F31&lt;=8200,24,
  F31&lt;=16000,48,
  F31&gt;16001,96
)</f>
        <v>6</v>
      </c>
      <c r="O31" s="7">
        <f t="shared" si="2"/>
        <v>0.3</v>
      </c>
      <c r="P31" s="18"/>
    </row>
    <row r="32" spans="1:16" x14ac:dyDescent="0.2">
      <c r="A32" s="94"/>
      <c r="B32" s="7"/>
      <c r="C32" s="7"/>
      <c r="D32" s="114" t="s">
        <v>82</v>
      </c>
      <c r="E32" s="122" t="s">
        <v>83</v>
      </c>
      <c r="F32" s="135">
        <v>998</v>
      </c>
      <c r="G32" s="6"/>
      <c r="H32" s="7">
        <f t="shared" si="1"/>
        <v>0.375</v>
      </c>
      <c r="I32" s="7">
        <f t="shared" si="1"/>
        <v>0.54</v>
      </c>
      <c r="J32" s="7">
        <f t="shared" si="1"/>
        <v>0.82500000000000007</v>
      </c>
      <c r="K32" s="7">
        <f t="shared" si="1"/>
        <v>0.63</v>
      </c>
      <c r="L32" s="7">
        <f t="shared" si="1"/>
        <v>0.375</v>
      </c>
      <c r="M32" s="7">
        <f t="shared" si="1"/>
        <v>0.1875</v>
      </c>
      <c r="N32" s="136" cm="1">
        <f t="array" ref="N32">_xlfn.IFS(
  F32=0,0,
  F32&lt;=1000,3,
  F32&lt;=2300,6,
  F32&lt;=4500,12,
  F32&lt;=8200,24,
  F32&lt;=16000,48,
  F32&gt;16001,96
)</f>
        <v>3</v>
      </c>
      <c r="O32" s="7">
        <f t="shared" si="2"/>
        <v>0.15</v>
      </c>
      <c r="P32" s="18"/>
    </row>
    <row r="33" spans="1:16" x14ac:dyDescent="0.2">
      <c r="A33" s="94"/>
      <c r="B33" s="7"/>
      <c r="C33" s="7"/>
      <c r="D33" s="110" t="s">
        <v>98</v>
      </c>
      <c r="E33" s="119" t="s">
        <v>85</v>
      </c>
      <c r="F33" s="39">
        <v>3261</v>
      </c>
      <c r="G33" s="6"/>
      <c r="H33" s="7">
        <f t="shared" si="1"/>
        <v>1.5</v>
      </c>
      <c r="I33" s="7">
        <f t="shared" si="1"/>
        <v>2.16</v>
      </c>
      <c r="J33" s="7">
        <f t="shared" si="1"/>
        <v>3.3000000000000003</v>
      </c>
      <c r="K33" s="7">
        <f t="shared" si="1"/>
        <v>2.52</v>
      </c>
      <c r="L33" s="7">
        <f t="shared" si="1"/>
        <v>1.5</v>
      </c>
      <c r="M33" s="7">
        <f t="shared" si="1"/>
        <v>0.75</v>
      </c>
      <c r="N33" s="136" cm="1">
        <f t="array" ref="N33">_xlfn.IFS(
  F33=0,0,
  F33&lt;=1000,3,
  F33&lt;=2300,6,
  F33&lt;=4500,12,
  F33&lt;=8200,24,
  F33&lt;=16000,48,
  F33&gt;16001,96
)</f>
        <v>12</v>
      </c>
      <c r="O33" s="7">
        <f t="shared" si="2"/>
        <v>0.6</v>
      </c>
      <c r="P33" s="18"/>
    </row>
    <row r="34" spans="1:16" x14ac:dyDescent="0.2">
      <c r="A34" s="94"/>
      <c r="B34" s="7"/>
      <c r="C34" s="7"/>
      <c r="D34" s="111" t="s">
        <v>66</v>
      </c>
      <c r="E34" s="120" t="s">
        <v>67</v>
      </c>
      <c r="F34" s="135">
        <v>4300</v>
      </c>
      <c r="G34" s="6"/>
      <c r="H34" s="7">
        <f t="shared" si="1"/>
        <v>1.5</v>
      </c>
      <c r="I34" s="7">
        <f t="shared" si="1"/>
        <v>2.16</v>
      </c>
      <c r="J34" s="7">
        <f t="shared" si="1"/>
        <v>3.3000000000000003</v>
      </c>
      <c r="K34" s="7">
        <f t="shared" si="1"/>
        <v>2.52</v>
      </c>
      <c r="L34" s="7">
        <f t="shared" si="1"/>
        <v>1.5</v>
      </c>
      <c r="M34" s="7">
        <f t="shared" si="1"/>
        <v>0.75</v>
      </c>
      <c r="N34" s="136" cm="1">
        <f t="array" ref="N34">_xlfn.IFS(
  F34=0,0,
  F34&lt;=1000,3,
  F34&lt;=2300,6,
  F34&lt;=4500,12,
  F34&lt;=8200,24,
  F34&lt;=16000,48,
  F34&gt;16001,96
)</f>
        <v>12</v>
      </c>
      <c r="O34" s="7">
        <f t="shared" si="2"/>
        <v>0.6</v>
      </c>
      <c r="P34" s="18"/>
    </row>
    <row r="35" spans="1:16" x14ac:dyDescent="0.2">
      <c r="A35" s="94"/>
      <c r="B35" s="7"/>
      <c r="C35" s="7"/>
      <c r="D35" s="111" t="s">
        <v>68</v>
      </c>
      <c r="E35" s="121" t="s">
        <v>99</v>
      </c>
      <c r="F35" s="135">
        <v>1882</v>
      </c>
      <c r="G35" s="6"/>
      <c r="H35" s="7">
        <f t="shared" si="1"/>
        <v>0.75</v>
      </c>
      <c r="I35" s="7">
        <f t="shared" si="1"/>
        <v>1.08</v>
      </c>
      <c r="J35" s="7">
        <f t="shared" si="1"/>
        <v>1.6500000000000001</v>
      </c>
      <c r="K35" s="7">
        <f t="shared" si="1"/>
        <v>1.26</v>
      </c>
      <c r="L35" s="7">
        <f t="shared" si="1"/>
        <v>0.75</v>
      </c>
      <c r="M35" s="7">
        <f t="shared" si="1"/>
        <v>0.375</v>
      </c>
      <c r="N35" s="136" cm="1">
        <f t="array" ref="N35">_xlfn.IFS(
  F35=0,0,
  F35&lt;=1000,3,
  F35&lt;=2300,6,
  F35&lt;=4500,12,
  F35&lt;=8200,24,
  F35&lt;=16000,48,
  F35&gt;16001,96
)</f>
        <v>6</v>
      </c>
      <c r="O35" s="7">
        <f t="shared" si="2"/>
        <v>0.3</v>
      </c>
      <c r="P35" s="18"/>
    </row>
    <row r="36" spans="1:16" x14ac:dyDescent="0.2">
      <c r="A36" s="94"/>
      <c r="B36" s="7"/>
      <c r="C36" s="7"/>
      <c r="D36" s="111" t="s">
        <v>70</v>
      </c>
      <c r="E36" s="121" t="s">
        <v>100</v>
      </c>
      <c r="F36" s="135">
        <v>1895</v>
      </c>
      <c r="G36" s="6"/>
      <c r="H36" s="7">
        <f t="shared" si="1"/>
        <v>0.75</v>
      </c>
      <c r="I36" s="7">
        <f t="shared" si="1"/>
        <v>1.08</v>
      </c>
      <c r="J36" s="7">
        <f t="shared" si="1"/>
        <v>1.6500000000000001</v>
      </c>
      <c r="K36" s="7">
        <f t="shared" si="1"/>
        <v>1.26</v>
      </c>
      <c r="L36" s="7">
        <f t="shared" si="1"/>
        <v>0.75</v>
      </c>
      <c r="M36" s="7">
        <f t="shared" si="1"/>
        <v>0.375</v>
      </c>
      <c r="N36" s="136" cm="1">
        <f t="array" ref="N36">_xlfn.IFS(
  F36=0,0,
  F36&lt;=1000,3,
  F36&lt;=2300,6,
  F36&lt;=4500,12,
  F36&lt;=8200,24,
  F36&lt;=16000,48,
  F36&gt;16001,96
)</f>
        <v>6</v>
      </c>
      <c r="O36" s="7">
        <f t="shared" si="2"/>
        <v>0.3</v>
      </c>
      <c r="P36" s="18"/>
    </row>
    <row r="37" spans="1:16" x14ac:dyDescent="0.2">
      <c r="A37" s="94"/>
      <c r="B37" s="7"/>
      <c r="C37" s="7"/>
      <c r="D37" s="111" t="s">
        <v>78</v>
      </c>
      <c r="E37" s="121" t="s">
        <v>101</v>
      </c>
      <c r="F37" s="135">
        <v>1685</v>
      </c>
      <c r="G37" s="6"/>
      <c r="H37" s="7">
        <f t="shared" si="1"/>
        <v>0.75</v>
      </c>
      <c r="I37" s="7">
        <f t="shared" si="1"/>
        <v>1.08</v>
      </c>
      <c r="J37" s="7">
        <f t="shared" si="1"/>
        <v>1.6500000000000001</v>
      </c>
      <c r="K37" s="7">
        <f t="shared" si="1"/>
        <v>1.26</v>
      </c>
      <c r="L37" s="7">
        <f t="shared" si="1"/>
        <v>0.75</v>
      </c>
      <c r="M37" s="7">
        <f t="shared" si="1"/>
        <v>0.375</v>
      </c>
      <c r="N37" s="136" cm="1">
        <f t="array" ref="N37">_xlfn.IFS(
  F37=0,0,
  F37&lt;=1000,3,
  F37&lt;=2300,6,
  F37&lt;=4500,12,
  F37&lt;=8200,24,
  F37&lt;=16000,48,
  F37&gt;16001,96
)</f>
        <v>6</v>
      </c>
      <c r="O37" s="7">
        <f t="shared" si="2"/>
        <v>0.3</v>
      </c>
      <c r="P37" s="18"/>
    </row>
    <row r="38" spans="1:16" x14ac:dyDescent="0.2">
      <c r="A38" s="94"/>
      <c r="B38" s="7"/>
      <c r="C38" s="7"/>
      <c r="D38" s="111" t="s">
        <v>80</v>
      </c>
      <c r="E38" s="121" t="s">
        <v>102</v>
      </c>
      <c r="F38" s="135">
        <v>2119</v>
      </c>
      <c r="G38" s="6"/>
      <c r="H38" s="7">
        <f t="shared" si="1"/>
        <v>0.75</v>
      </c>
      <c r="I38" s="7">
        <f t="shared" si="1"/>
        <v>1.08</v>
      </c>
      <c r="J38" s="7">
        <f t="shared" si="1"/>
        <v>1.6500000000000001</v>
      </c>
      <c r="K38" s="7">
        <f t="shared" si="1"/>
        <v>1.26</v>
      </c>
      <c r="L38" s="7">
        <f t="shared" si="1"/>
        <v>0.75</v>
      </c>
      <c r="M38" s="7">
        <f t="shared" si="1"/>
        <v>0.375</v>
      </c>
      <c r="N38" s="136" cm="1">
        <f t="array" ref="N38">_xlfn.IFS(
  F38=0,0,
  F38&lt;=1000,3,
  F38&lt;=2300,6,
  F38&lt;=4500,12,
  F38&lt;=8200,24,
  F38&lt;=16000,48,
  F38&gt;16001,96
)</f>
        <v>6</v>
      </c>
      <c r="O38" s="7">
        <f t="shared" si="2"/>
        <v>0.3</v>
      </c>
      <c r="P38" s="18"/>
    </row>
    <row r="39" spans="1:16" x14ac:dyDescent="0.2">
      <c r="A39" s="94"/>
      <c r="B39" s="7"/>
      <c r="C39" s="7"/>
      <c r="D39" s="111" t="s">
        <v>82</v>
      </c>
      <c r="E39" s="122" t="s">
        <v>83</v>
      </c>
      <c r="F39" s="135">
        <v>998</v>
      </c>
      <c r="G39" s="6"/>
      <c r="H39" s="7">
        <f t="shared" si="1"/>
        <v>0.375</v>
      </c>
      <c r="I39" s="7">
        <f t="shared" si="1"/>
        <v>0.54</v>
      </c>
      <c r="J39" s="7">
        <f t="shared" si="1"/>
        <v>0.82500000000000007</v>
      </c>
      <c r="K39" s="7">
        <f t="shared" si="1"/>
        <v>0.63</v>
      </c>
      <c r="L39" s="7">
        <f t="shared" si="1"/>
        <v>0.375</v>
      </c>
      <c r="M39" s="7">
        <f t="shared" si="1"/>
        <v>0.1875</v>
      </c>
      <c r="N39" s="136" cm="1">
        <f t="array" ref="N39">_xlfn.IFS(
  F39=0,0,
  F39&lt;=1000,3,
  F39&lt;=2300,6,
  F39&lt;=4500,12,
  F39&lt;=8200,24,
  F39&lt;=16000,48,
  F39&gt;16001,96
)</f>
        <v>3</v>
      </c>
      <c r="O39" s="7">
        <f t="shared" si="2"/>
        <v>0.15</v>
      </c>
      <c r="P39" s="18"/>
    </row>
    <row r="40" spans="1:16" x14ac:dyDescent="0.2">
      <c r="A40" s="94"/>
      <c r="B40" s="7"/>
      <c r="C40" s="7"/>
      <c r="D40" s="113" t="s">
        <v>103</v>
      </c>
      <c r="E40" s="124" t="s">
        <v>85</v>
      </c>
      <c r="F40" s="39">
        <v>3261</v>
      </c>
      <c r="G40" s="6"/>
      <c r="H40" s="7">
        <f t="shared" ref="H40:M68" si="3">$N40 * H$2</f>
        <v>1.5</v>
      </c>
      <c r="I40" s="7">
        <f t="shared" si="3"/>
        <v>2.16</v>
      </c>
      <c r="J40" s="7">
        <f t="shared" si="3"/>
        <v>3.3000000000000003</v>
      </c>
      <c r="K40" s="7">
        <f t="shared" si="3"/>
        <v>2.52</v>
      </c>
      <c r="L40" s="7">
        <f t="shared" si="3"/>
        <v>1.5</v>
      </c>
      <c r="M40" s="7">
        <f t="shared" si="3"/>
        <v>0.75</v>
      </c>
      <c r="N40" s="136" cm="1">
        <f t="array" ref="N40">_xlfn.IFS(
  F40=0,0,
  F40&lt;=1000,3,
  F40&lt;=2300,6,
  F40&lt;=4500,12,
  F40&lt;=8200,24,
  F40&lt;=16000,48,
  F40&gt;16001,96
)</f>
        <v>12</v>
      </c>
      <c r="O40" s="7">
        <f t="shared" si="2"/>
        <v>0.6</v>
      </c>
      <c r="P40" s="18"/>
    </row>
    <row r="41" spans="1:16" x14ac:dyDescent="0.2">
      <c r="A41" s="94"/>
      <c r="B41" s="7"/>
      <c r="C41" s="7"/>
      <c r="D41" s="113" t="s">
        <v>104</v>
      </c>
      <c r="E41" s="124" t="s">
        <v>105</v>
      </c>
      <c r="F41" s="135">
        <v>909</v>
      </c>
      <c r="G41" s="6"/>
      <c r="H41" s="7">
        <f t="shared" si="3"/>
        <v>0.375</v>
      </c>
      <c r="I41" s="7">
        <f t="shared" si="3"/>
        <v>0.54</v>
      </c>
      <c r="J41" s="7">
        <f t="shared" si="3"/>
        <v>0.82500000000000007</v>
      </c>
      <c r="K41" s="7">
        <f t="shared" si="3"/>
        <v>0.63</v>
      </c>
      <c r="L41" s="7">
        <f t="shared" si="3"/>
        <v>0.375</v>
      </c>
      <c r="M41" s="7">
        <f t="shared" si="3"/>
        <v>0.1875</v>
      </c>
      <c r="N41" s="136" cm="1">
        <f t="array" ref="N41">_xlfn.IFS(
  F41=0,0,
  F41&lt;=1000,3,
  F41&lt;=2300,6,
  F41&lt;=4500,12,
  F41&lt;=8200,24,
  F41&lt;=16000,48,
  F41&gt;16001,96
)</f>
        <v>3</v>
      </c>
      <c r="O41" s="7">
        <f t="shared" si="2"/>
        <v>0.15</v>
      </c>
      <c r="P41" s="18"/>
    </row>
    <row r="42" spans="1:16" x14ac:dyDescent="0.2">
      <c r="A42" s="94"/>
      <c r="B42" s="7"/>
      <c r="C42" s="7"/>
      <c r="D42" s="113" t="s">
        <v>106</v>
      </c>
      <c r="E42" s="124" t="s">
        <v>107</v>
      </c>
      <c r="F42" s="135">
        <v>1636</v>
      </c>
      <c r="G42" s="6"/>
      <c r="H42" s="7">
        <f t="shared" si="3"/>
        <v>0.75</v>
      </c>
      <c r="I42" s="7">
        <f t="shared" si="3"/>
        <v>1.08</v>
      </c>
      <c r="J42" s="7">
        <f t="shared" si="3"/>
        <v>1.6500000000000001</v>
      </c>
      <c r="K42" s="7">
        <f t="shared" si="3"/>
        <v>1.26</v>
      </c>
      <c r="L42" s="7">
        <f t="shared" si="3"/>
        <v>0.75</v>
      </c>
      <c r="M42" s="7">
        <f t="shared" si="3"/>
        <v>0.375</v>
      </c>
      <c r="N42" s="136" cm="1">
        <f t="array" ref="N42">_xlfn.IFS(
  F42=0,0,
  F42&lt;=1000,3,
  F42&lt;=2300,6,
  F42&lt;=4500,12,
  F42&lt;=8200,24,
  F42&lt;=16000,48,
  F42&gt;16001,96
)</f>
        <v>6</v>
      </c>
      <c r="O42" s="7">
        <f t="shared" si="2"/>
        <v>0.3</v>
      </c>
      <c r="P42" s="18"/>
    </row>
    <row r="43" spans="1:16" x14ac:dyDescent="0.2">
      <c r="A43" s="94"/>
      <c r="B43" s="7"/>
      <c r="C43" s="7"/>
      <c r="D43" s="114" t="s">
        <v>108</v>
      </c>
      <c r="E43" s="122" t="s">
        <v>109</v>
      </c>
      <c r="F43" s="135">
        <v>2698</v>
      </c>
      <c r="G43" s="6"/>
      <c r="H43" s="7">
        <f t="shared" si="3"/>
        <v>1.5</v>
      </c>
      <c r="I43" s="7">
        <f t="shared" si="3"/>
        <v>2.16</v>
      </c>
      <c r="J43" s="7">
        <f t="shared" si="3"/>
        <v>3.3000000000000003</v>
      </c>
      <c r="K43" s="7">
        <f t="shared" si="3"/>
        <v>2.52</v>
      </c>
      <c r="L43" s="7">
        <f t="shared" si="3"/>
        <v>1.5</v>
      </c>
      <c r="M43" s="7">
        <f t="shared" si="3"/>
        <v>0.75</v>
      </c>
      <c r="N43" s="136" cm="1">
        <f t="array" ref="N43">_xlfn.IFS(
  F43=0,0,
  F43&lt;=1000,3,
  F43&lt;=2300,6,
  F43&lt;=4500,12,
  F43&lt;=8200,24,
  F43&lt;=16000,48,
  F43&gt;16001,96
)</f>
        <v>12</v>
      </c>
      <c r="O43" s="7">
        <f t="shared" si="2"/>
        <v>0.6</v>
      </c>
      <c r="P43" s="18"/>
    </row>
    <row r="44" spans="1:16" x14ac:dyDescent="0.2">
      <c r="A44" s="94"/>
      <c r="B44" s="7"/>
      <c r="C44" s="7"/>
      <c r="D44" s="110" t="s">
        <v>110</v>
      </c>
      <c r="E44" s="119" t="s">
        <v>111</v>
      </c>
      <c r="F44" s="135">
        <v>444</v>
      </c>
      <c r="G44" s="6"/>
      <c r="H44" s="7">
        <f t="shared" si="3"/>
        <v>0.375</v>
      </c>
      <c r="I44" s="7">
        <f t="shared" si="3"/>
        <v>0.54</v>
      </c>
      <c r="J44" s="7">
        <f t="shared" si="3"/>
        <v>0.82500000000000007</v>
      </c>
      <c r="K44" s="7">
        <f t="shared" si="3"/>
        <v>0.63</v>
      </c>
      <c r="L44" s="7">
        <f t="shared" si="3"/>
        <v>0.375</v>
      </c>
      <c r="M44" s="7">
        <f t="shared" si="3"/>
        <v>0.1875</v>
      </c>
      <c r="N44" s="136" cm="1">
        <f t="array" ref="N44">_xlfn.IFS(
  F44=0,0,
  F44&lt;=1000,3,
  F44&lt;=2300,6,
  F44&lt;=4500,12,
  F44&lt;=8200,24,
  F44&lt;=16000,48,
  F44&gt;16001,96
)</f>
        <v>3</v>
      </c>
      <c r="O44" s="7">
        <f t="shared" si="2"/>
        <v>0.15</v>
      </c>
      <c r="P44" s="18"/>
    </row>
    <row r="45" spans="1:16" x14ac:dyDescent="0.2">
      <c r="A45" s="94"/>
      <c r="B45" s="7"/>
      <c r="C45" s="7"/>
      <c r="D45" s="111" t="s">
        <v>112</v>
      </c>
      <c r="E45" s="121" t="s">
        <v>113</v>
      </c>
      <c r="F45" s="135">
        <v>8155</v>
      </c>
      <c r="G45" s="6"/>
      <c r="H45" s="7">
        <f t="shared" si="3"/>
        <v>3</v>
      </c>
      <c r="I45" s="7">
        <f t="shared" si="3"/>
        <v>4.32</v>
      </c>
      <c r="J45" s="7">
        <f t="shared" si="3"/>
        <v>6.6000000000000005</v>
      </c>
      <c r="K45" s="7">
        <f t="shared" si="3"/>
        <v>5.04</v>
      </c>
      <c r="L45" s="7">
        <f t="shared" si="3"/>
        <v>3</v>
      </c>
      <c r="M45" s="7">
        <f t="shared" si="3"/>
        <v>1.5</v>
      </c>
      <c r="N45" s="136" cm="1">
        <f t="array" ref="N45">_xlfn.IFS(
  F45=0,0,
  F45&lt;=1000,3,
  F45&lt;=2300,6,
  F45&lt;=4500,12,
  F45&lt;=8200,24,
  F45&lt;=16000,48,
  F45&gt;16001,96
)</f>
        <v>24</v>
      </c>
      <c r="O45" s="7">
        <f t="shared" si="2"/>
        <v>1.2</v>
      </c>
      <c r="P45" s="18"/>
    </row>
    <row r="46" spans="1:16" x14ac:dyDescent="0.2">
      <c r="A46" s="94"/>
      <c r="B46" s="7"/>
      <c r="C46" s="7"/>
      <c r="D46" s="111" t="s">
        <v>114</v>
      </c>
      <c r="E46" s="121" t="s">
        <v>115</v>
      </c>
      <c r="F46" s="135">
        <v>492</v>
      </c>
      <c r="G46" s="6"/>
      <c r="H46" s="7">
        <f t="shared" si="3"/>
        <v>0.375</v>
      </c>
      <c r="I46" s="7">
        <f t="shared" si="3"/>
        <v>0.54</v>
      </c>
      <c r="J46" s="7">
        <f t="shared" si="3"/>
        <v>0.82500000000000007</v>
      </c>
      <c r="K46" s="7">
        <f t="shared" si="3"/>
        <v>0.63</v>
      </c>
      <c r="L46" s="7">
        <f t="shared" si="3"/>
        <v>0.375</v>
      </c>
      <c r="M46" s="7">
        <f t="shared" si="3"/>
        <v>0.1875</v>
      </c>
      <c r="N46" s="136" cm="1">
        <f t="array" ref="N46">_xlfn.IFS(
  F46=0,0,
  F46&lt;=1000,3,
  F46&lt;=2300,6,
  F46&lt;=4500,12,
  F46&lt;=8200,24,
  F46&lt;=16000,48,
  F46&gt;16001,96
)</f>
        <v>3</v>
      </c>
      <c r="O46" s="7">
        <f t="shared" si="2"/>
        <v>0.15</v>
      </c>
      <c r="P46" s="18"/>
    </row>
    <row r="47" spans="1:16" x14ac:dyDescent="0.2">
      <c r="A47" s="94"/>
      <c r="B47" s="7"/>
      <c r="C47" s="7"/>
      <c r="D47" s="111" t="s">
        <v>116</v>
      </c>
      <c r="E47" s="121" t="s">
        <v>117</v>
      </c>
      <c r="F47" s="135">
        <v>2278</v>
      </c>
      <c r="G47" s="6"/>
      <c r="H47" s="7">
        <f t="shared" si="3"/>
        <v>0.75</v>
      </c>
      <c r="I47" s="7">
        <f t="shared" si="3"/>
        <v>1.08</v>
      </c>
      <c r="J47" s="7">
        <f t="shared" si="3"/>
        <v>1.6500000000000001</v>
      </c>
      <c r="K47" s="7">
        <f t="shared" si="3"/>
        <v>1.26</v>
      </c>
      <c r="L47" s="7">
        <f t="shared" si="3"/>
        <v>0.75</v>
      </c>
      <c r="M47" s="7">
        <f t="shared" si="3"/>
        <v>0.375</v>
      </c>
      <c r="N47" s="136" cm="1">
        <f t="array" ref="N47">_xlfn.IFS(
  F47=0,0,
  F47&lt;=1000,3,
  F47&lt;=2300,6,
  F47&lt;=4500,12,
  F47&lt;=8200,24,
  F47&lt;=16000,48,
  F47&gt;16001,96
)</f>
        <v>6</v>
      </c>
      <c r="O47" s="7">
        <f t="shared" si="2"/>
        <v>0.3</v>
      </c>
      <c r="P47" s="18"/>
    </row>
    <row r="48" spans="1:16" x14ac:dyDescent="0.2">
      <c r="A48" s="94"/>
      <c r="B48" s="7"/>
      <c r="C48" s="7"/>
      <c r="D48" s="111" t="s">
        <v>118</v>
      </c>
      <c r="E48" s="121" t="s">
        <v>119</v>
      </c>
      <c r="F48" s="135">
        <v>1614</v>
      </c>
      <c r="G48" s="6"/>
      <c r="H48" s="7">
        <f t="shared" si="3"/>
        <v>0.75</v>
      </c>
      <c r="I48" s="7">
        <f t="shared" si="3"/>
        <v>1.08</v>
      </c>
      <c r="J48" s="7">
        <f t="shared" si="3"/>
        <v>1.6500000000000001</v>
      </c>
      <c r="K48" s="7">
        <f t="shared" si="3"/>
        <v>1.26</v>
      </c>
      <c r="L48" s="7">
        <f t="shared" si="3"/>
        <v>0.75</v>
      </c>
      <c r="M48" s="7">
        <f t="shared" si="3"/>
        <v>0.375</v>
      </c>
      <c r="N48" s="136" cm="1">
        <f t="array" ref="N48">_xlfn.IFS(
  F48=0,0,
  F48&lt;=1000,3,
  F48&lt;=2300,6,
  F48&lt;=4500,12,
  F48&lt;=8200,24,
  F48&lt;=16000,48,
  F48&gt;16001,96
)</f>
        <v>6</v>
      </c>
      <c r="O48" s="7">
        <f t="shared" si="2"/>
        <v>0.3</v>
      </c>
      <c r="P48" s="18"/>
    </row>
    <row r="49" spans="1:16" x14ac:dyDescent="0.2">
      <c r="A49" s="94"/>
      <c r="B49" s="7"/>
      <c r="C49" s="7"/>
      <c r="D49" s="111" t="s">
        <v>120</v>
      </c>
      <c r="E49" s="121" t="s">
        <v>121</v>
      </c>
      <c r="F49" s="135">
        <v>2211</v>
      </c>
      <c r="G49" s="6"/>
      <c r="H49" s="7">
        <f t="shared" si="3"/>
        <v>0.75</v>
      </c>
      <c r="I49" s="7">
        <f t="shared" si="3"/>
        <v>1.08</v>
      </c>
      <c r="J49" s="7">
        <f t="shared" si="3"/>
        <v>1.6500000000000001</v>
      </c>
      <c r="K49" s="7">
        <f t="shared" si="3"/>
        <v>1.26</v>
      </c>
      <c r="L49" s="7">
        <f t="shared" si="3"/>
        <v>0.75</v>
      </c>
      <c r="M49" s="7">
        <f t="shared" si="3"/>
        <v>0.375</v>
      </c>
      <c r="N49" s="136" cm="1">
        <f t="array" ref="N49">_xlfn.IFS(
  F49=0,0,
  F49&lt;=1000,3,
  F49&lt;=2300,6,
  F49&lt;=4500,12,
  F49&lt;=8200,24,
  F49&lt;=16000,48,
  F49&gt;16001,96
)</f>
        <v>6</v>
      </c>
      <c r="O49" s="7">
        <f t="shared" si="2"/>
        <v>0.3</v>
      </c>
      <c r="P49" s="18"/>
    </row>
    <row r="50" spans="1:16" x14ac:dyDescent="0.2">
      <c r="A50" s="94"/>
      <c r="B50" s="7"/>
      <c r="C50" s="7"/>
      <c r="D50" s="112" t="s">
        <v>122</v>
      </c>
      <c r="E50" s="125" t="s">
        <v>123</v>
      </c>
      <c r="F50" s="135">
        <v>728</v>
      </c>
      <c r="G50" s="6"/>
      <c r="H50" s="7">
        <f t="shared" si="3"/>
        <v>0.375</v>
      </c>
      <c r="I50" s="7">
        <f t="shared" si="3"/>
        <v>0.54</v>
      </c>
      <c r="J50" s="7">
        <f t="shared" si="3"/>
        <v>0.82500000000000007</v>
      </c>
      <c r="K50" s="7">
        <f t="shared" si="3"/>
        <v>0.63</v>
      </c>
      <c r="L50" s="7">
        <f t="shared" si="3"/>
        <v>0.375</v>
      </c>
      <c r="M50" s="7">
        <f t="shared" si="3"/>
        <v>0.1875</v>
      </c>
      <c r="N50" s="136" cm="1">
        <f t="array" ref="N50">_xlfn.IFS(
  F50=0,0,
  F50&lt;=1000,3,
  F50&lt;=2300,6,
  F50&lt;=4500,12,
  F50&lt;=8200,24,
  F50&lt;=16000,48,
  F50&gt;16001,96
)</f>
        <v>3</v>
      </c>
      <c r="O50" s="7">
        <f t="shared" si="2"/>
        <v>0.15</v>
      </c>
      <c r="P50" s="18"/>
    </row>
    <row r="51" spans="1:16" x14ac:dyDescent="0.2">
      <c r="A51" s="94"/>
      <c r="B51" s="7"/>
      <c r="C51" s="7"/>
      <c r="D51" s="113" t="s">
        <v>124</v>
      </c>
      <c r="E51" s="124" t="s">
        <v>125</v>
      </c>
      <c r="F51" s="135">
        <v>7516</v>
      </c>
      <c r="G51" s="6"/>
      <c r="H51" s="7">
        <f t="shared" si="3"/>
        <v>3</v>
      </c>
      <c r="I51" s="7">
        <f t="shared" si="3"/>
        <v>4.32</v>
      </c>
      <c r="J51" s="7">
        <f t="shared" si="3"/>
        <v>6.6000000000000005</v>
      </c>
      <c r="K51" s="7">
        <f t="shared" si="3"/>
        <v>5.04</v>
      </c>
      <c r="L51" s="7">
        <f t="shared" si="3"/>
        <v>3</v>
      </c>
      <c r="M51" s="7">
        <f t="shared" si="3"/>
        <v>1.5</v>
      </c>
      <c r="N51" s="136" cm="1">
        <f t="array" ref="N51">_xlfn.IFS(
  F51=0,0,
  F51&lt;=1000,3,
  F51&lt;=2300,6,
  F51&lt;=4500,12,
  F51&lt;=8200,24,
  F51&lt;=16000,48,
  F51&gt;16001,96
)</f>
        <v>24</v>
      </c>
      <c r="O51" s="7">
        <f t="shared" si="2"/>
        <v>1.2</v>
      </c>
      <c r="P51" s="18"/>
    </row>
    <row r="52" spans="1:16" x14ac:dyDescent="0.2">
      <c r="A52" s="94"/>
      <c r="B52" s="7"/>
      <c r="C52" s="7"/>
      <c r="D52" s="113" t="s">
        <v>126</v>
      </c>
      <c r="E52" s="124" t="s">
        <v>125</v>
      </c>
      <c r="F52" s="135">
        <v>7516</v>
      </c>
      <c r="G52" s="6"/>
      <c r="H52" s="7">
        <f t="shared" si="3"/>
        <v>3</v>
      </c>
      <c r="I52" s="7">
        <f t="shared" si="3"/>
        <v>4.32</v>
      </c>
      <c r="J52" s="7">
        <f t="shared" si="3"/>
        <v>6.6000000000000005</v>
      </c>
      <c r="K52" s="7">
        <f t="shared" si="3"/>
        <v>5.04</v>
      </c>
      <c r="L52" s="7">
        <f t="shared" si="3"/>
        <v>3</v>
      </c>
      <c r="M52" s="7">
        <f t="shared" si="3"/>
        <v>1.5</v>
      </c>
      <c r="N52" s="136" cm="1">
        <f t="array" ref="N52">_xlfn.IFS(
  F52=0,0,
  F52&lt;=1000,3,
  F52&lt;=2300,6,
  F52&lt;=4500,12,
  F52&lt;=8200,24,
  F52&lt;=16000,48,
  F52&gt;16001,96
)</f>
        <v>24</v>
      </c>
      <c r="O52" s="7">
        <f t="shared" si="2"/>
        <v>1.2</v>
      </c>
      <c r="P52" s="18"/>
    </row>
    <row r="53" spans="1:16" x14ac:dyDescent="0.2">
      <c r="A53" s="94"/>
      <c r="B53" s="7"/>
      <c r="C53" s="7"/>
      <c r="D53" s="113" t="s">
        <v>127</v>
      </c>
      <c r="E53" s="124" t="s">
        <v>125</v>
      </c>
      <c r="F53" s="135">
        <v>7516</v>
      </c>
      <c r="G53" s="6"/>
      <c r="H53" s="7">
        <f t="shared" si="3"/>
        <v>3</v>
      </c>
      <c r="I53" s="7">
        <f t="shared" si="3"/>
        <v>4.32</v>
      </c>
      <c r="J53" s="7">
        <f t="shared" si="3"/>
        <v>6.6000000000000005</v>
      </c>
      <c r="K53" s="7">
        <f t="shared" si="3"/>
        <v>5.04</v>
      </c>
      <c r="L53" s="7">
        <f t="shared" si="3"/>
        <v>3</v>
      </c>
      <c r="M53" s="7">
        <f t="shared" si="3"/>
        <v>1.5</v>
      </c>
      <c r="N53" s="136" cm="1">
        <f t="array" ref="N53">_xlfn.IFS(
  F53=0,0,
  F53&lt;=1000,3,
  F53&lt;=2300,6,
  F53&lt;=4500,12,
  F53&lt;=8200,24,
  F53&lt;=16000,48,
  F53&gt;16001,96
)</f>
        <v>24</v>
      </c>
      <c r="O53" s="7">
        <f t="shared" si="2"/>
        <v>1.2</v>
      </c>
      <c r="P53" s="18"/>
    </row>
    <row r="54" spans="1:16" x14ac:dyDescent="0.2">
      <c r="A54" s="94"/>
      <c r="B54" s="7"/>
      <c r="C54" s="7"/>
      <c r="D54" s="113" t="s">
        <v>128</v>
      </c>
      <c r="E54" s="124" t="s">
        <v>125</v>
      </c>
      <c r="F54" s="135">
        <v>7516</v>
      </c>
      <c r="G54" s="6"/>
      <c r="H54" s="7">
        <f t="shared" si="3"/>
        <v>3</v>
      </c>
      <c r="I54" s="7">
        <f t="shared" si="3"/>
        <v>4.32</v>
      </c>
      <c r="J54" s="7">
        <f t="shared" si="3"/>
        <v>6.6000000000000005</v>
      </c>
      <c r="K54" s="7">
        <f t="shared" si="3"/>
        <v>5.04</v>
      </c>
      <c r="L54" s="7">
        <f t="shared" si="3"/>
        <v>3</v>
      </c>
      <c r="M54" s="7">
        <f t="shared" si="3"/>
        <v>1.5</v>
      </c>
      <c r="N54" s="136" cm="1">
        <f t="array" ref="N54">_xlfn.IFS(
  F54=0,0,
  F54&lt;=1000,3,
  F54&lt;=2300,6,
  F54&lt;=4500,12,
  F54&lt;=8200,24,
  F54&lt;=16000,48,
  F54&gt;16001,96
)</f>
        <v>24</v>
      </c>
      <c r="O54" s="7">
        <f t="shared" si="2"/>
        <v>1.2</v>
      </c>
      <c r="P54" s="18"/>
    </row>
    <row r="55" spans="1:16" x14ac:dyDescent="0.2">
      <c r="A55" s="94"/>
      <c r="B55" s="7"/>
      <c r="C55" s="7"/>
      <c r="D55" s="113" t="s">
        <v>129</v>
      </c>
      <c r="E55" s="124" t="s">
        <v>125</v>
      </c>
      <c r="F55" s="135">
        <v>7516</v>
      </c>
      <c r="G55" s="6"/>
      <c r="H55" s="7">
        <f t="shared" si="3"/>
        <v>3</v>
      </c>
      <c r="I55" s="7">
        <f t="shared" si="3"/>
        <v>4.32</v>
      </c>
      <c r="J55" s="7">
        <f t="shared" si="3"/>
        <v>6.6000000000000005</v>
      </c>
      <c r="K55" s="7">
        <f t="shared" si="3"/>
        <v>5.04</v>
      </c>
      <c r="L55" s="7">
        <f t="shared" si="3"/>
        <v>3</v>
      </c>
      <c r="M55" s="7">
        <f t="shared" si="3"/>
        <v>1.5</v>
      </c>
      <c r="N55" s="136" cm="1">
        <f t="array" ref="N55">_xlfn.IFS(
  F55=0,0,
  F55&lt;=1000,3,
  F55&lt;=2300,6,
  F55&lt;=4500,12,
  F55&lt;=8200,24,
  F55&lt;=16000,48,
  F55&gt;16001,96
)</f>
        <v>24</v>
      </c>
      <c r="O55" s="7">
        <f t="shared" si="2"/>
        <v>1.2</v>
      </c>
      <c r="P55" s="18"/>
    </row>
    <row r="56" spans="1:16" x14ac:dyDescent="0.2">
      <c r="A56" s="94"/>
      <c r="B56" s="7"/>
      <c r="C56" s="7"/>
      <c r="D56" s="113" t="s">
        <v>130</v>
      </c>
      <c r="E56" s="124" t="s">
        <v>125</v>
      </c>
      <c r="F56" s="135">
        <v>7516</v>
      </c>
      <c r="G56" s="6"/>
      <c r="H56" s="7">
        <f t="shared" si="3"/>
        <v>3</v>
      </c>
      <c r="I56" s="7">
        <f t="shared" si="3"/>
        <v>4.32</v>
      </c>
      <c r="J56" s="7">
        <f t="shared" si="3"/>
        <v>6.6000000000000005</v>
      </c>
      <c r="K56" s="7">
        <f t="shared" si="3"/>
        <v>5.04</v>
      </c>
      <c r="L56" s="7">
        <f t="shared" si="3"/>
        <v>3</v>
      </c>
      <c r="M56" s="7">
        <f t="shared" si="3"/>
        <v>1.5</v>
      </c>
      <c r="N56" s="136" cm="1">
        <f t="array" ref="N56">_xlfn.IFS(
  F56=0,0,
  F56&lt;=1000,3,
  F56&lt;=2300,6,
  F56&lt;=4500,12,
  F56&lt;=8200,24,
  F56&lt;=16000,48,
  F56&gt;16001,96
)</f>
        <v>24</v>
      </c>
      <c r="O56" s="7">
        <f t="shared" si="2"/>
        <v>1.2</v>
      </c>
      <c r="P56" s="18"/>
    </row>
    <row r="57" spans="1:16" x14ac:dyDescent="0.2">
      <c r="A57" s="94"/>
      <c r="B57" s="7"/>
      <c r="C57" s="7"/>
      <c r="D57" s="113" t="s">
        <v>131</v>
      </c>
      <c r="E57" s="124" t="s">
        <v>132</v>
      </c>
      <c r="F57" s="135">
        <v>18982</v>
      </c>
      <c r="G57" s="6"/>
      <c r="H57" s="7">
        <f t="shared" si="3"/>
        <v>10</v>
      </c>
      <c r="I57" s="7">
        <f t="shared" si="3"/>
        <v>14.399999999999999</v>
      </c>
      <c r="J57" s="7">
        <f t="shared" si="3"/>
        <v>22</v>
      </c>
      <c r="K57" s="7">
        <f t="shared" si="3"/>
        <v>16.8</v>
      </c>
      <c r="L57" s="7">
        <f t="shared" si="3"/>
        <v>10</v>
      </c>
      <c r="M57" s="7">
        <f t="shared" si="3"/>
        <v>5</v>
      </c>
      <c r="N57" s="136">
        <v>80</v>
      </c>
      <c r="O57" s="7">
        <f t="shared" si="2"/>
        <v>4</v>
      </c>
      <c r="P57" s="18"/>
    </row>
    <row r="58" spans="1:16" x14ac:dyDescent="0.2">
      <c r="A58" s="94"/>
      <c r="B58" s="7"/>
      <c r="C58" s="7" t="s">
        <v>133</v>
      </c>
      <c r="D58" s="115" t="s">
        <v>134</v>
      </c>
      <c r="E58" s="126" t="s">
        <v>135</v>
      </c>
      <c r="F58" s="126">
        <v>708</v>
      </c>
      <c r="G58" s="6"/>
      <c r="H58" s="7">
        <f t="shared" si="3"/>
        <v>0.375</v>
      </c>
      <c r="I58" s="7">
        <f t="shared" si="3"/>
        <v>0.54</v>
      </c>
      <c r="J58" s="7">
        <f t="shared" si="3"/>
        <v>0.82500000000000007</v>
      </c>
      <c r="K58" s="7">
        <f t="shared" si="3"/>
        <v>0.63</v>
      </c>
      <c r="L58" s="7">
        <f t="shared" si="3"/>
        <v>0.375</v>
      </c>
      <c r="M58" s="7">
        <f t="shared" si="3"/>
        <v>0.1875</v>
      </c>
      <c r="N58" s="136" cm="1">
        <f t="array" ref="N58">_xlfn.IFS(
  F58=0,0,
  F58&lt;=1000,3,
  F58&lt;=2300,6,
  F58&lt;=4500,12,
  F58&lt;=8200,24,
  F58&lt;=16000,48,
  F58&gt;16001,96
)</f>
        <v>3</v>
      </c>
      <c r="O58" s="7">
        <f t="shared" si="2"/>
        <v>0.15</v>
      </c>
      <c r="P58" s="18"/>
    </row>
    <row r="59" spans="1:16" x14ac:dyDescent="0.2">
      <c r="A59" s="94"/>
      <c r="B59" s="7"/>
      <c r="C59" s="7"/>
      <c r="D59" s="115" t="s">
        <v>136</v>
      </c>
      <c r="E59" s="126" t="s">
        <v>137</v>
      </c>
      <c r="F59" s="126">
        <v>2324</v>
      </c>
      <c r="G59" s="6"/>
      <c r="H59" s="7">
        <f t="shared" si="3"/>
        <v>1.5</v>
      </c>
      <c r="I59" s="7">
        <f t="shared" si="3"/>
        <v>2.16</v>
      </c>
      <c r="J59" s="7">
        <f t="shared" si="3"/>
        <v>3.3000000000000003</v>
      </c>
      <c r="K59" s="7">
        <f t="shared" si="3"/>
        <v>2.52</v>
      </c>
      <c r="L59" s="7">
        <f t="shared" si="3"/>
        <v>1.5</v>
      </c>
      <c r="M59" s="7">
        <f t="shared" si="3"/>
        <v>0.75</v>
      </c>
      <c r="N59" s="136" cm="1">
        <f t="array" ref="N59">_xlfn.IFS(
  F59=0,0,
  F59&lt;=1000,3,
  F59&lt;=2300,6,
  F59&lt;=4500,12,
  F59&lt;=8200,24,
  F59&lt;=16000,48,
  F59&gt;16001,96
)</f>
        <v>12</v>
      </c>
      <c r="O59" s="7">
        <f t="shared" si="2"/>
        <v>0.6</v>
      </c>
      <c r="P59" s="18"/>
    </row>
    <row r="60" spans="1:16" x14ac:dyDescent="0.2">
      <c r="A60" s="94"/>
      <c r="B60" s="7"/>
      <c r="C60" s="7"/>
      <c r="D60" s="115" t="s">
        <v>138</v>
      </c>
      <c r="E60" s="126" t="s">
        <v>139</v>
      </c>
      <c r="F60" s="126">
        <v>52</v>
      </c>
      <c r="G60" s="6"/>
      <c r="H60" s="7">
        <f t="shared" si="3"/>
        <v>0.375</v>
      </c>
      <c r="I60" s="7">
        <f t="shared" si="3"/>
        <v>0.54</v>
      </c>
      <c r="J60" s="7">
        <f t="shared" si="3"/>
        <v>0.82500000000000007</v>
      </c>
      <c r="K60" s="7">
        <f t="shared" si="3"/>
        <v>0.63</v>
      </c>
      <c r="L60" s="7">
        <f t="shared" si="3"/>
        <v>0.375</v>
      </c>
      <c r="M60" s="7">
        <f t="shared" si="3"/>
        <v>0.1875</v>
      </c>
      <c r="N60" s="136" cm="1">
        <f t="array" ref="N60">_xlfn.IFS(
  F60=0,0,
  F60&lt;=1000,3,
  F60&lt;=2300,6,
  F60&lt;=4500,12,
  F60&lt;=8200,24,
  F60&lt;=16000,48,
  F60&gt;16001,96
)</f>
        <v>3</v>
      </c>
      <c r="O60" s="7">
        <f t="shared" si="2"/>
        <v>0.15</v>
      </c>
      <c r="P60" s="18"/>
    </row>
    <row r="61" spans="1:16" x14ac:dyDescent="0.2">
      <c r="A61" s="94"/>
      <c r="B61" s="7"/>
      <c r="C61" s="7"/>
      <c r="D61" s="115" t="s">
        <v>140</v>
      </c>
      <c r="E61" s="126" t="s">
        <v>141</v>
      </c>
      <c r="F61" s="126">
        <v>12972</v>
      </c>
      <c r="G61" s="6"/>
      <c r="H61" s="7">
        <f t="shared" si="3"/>
        <v>6</v>
      </c>
      <c r="I61" s="7">
        <f t="shared" si="3"/>
        <v>8.64</v>
      </c>
      <c r="J61" s="7">
        <f t="shared" si="3"/>
        <v>13.200000000000001</v>
      </c>
      <c r="K61" s="7">
        <f t="shared" si="3"/>
        <v>10.08</v>
      </c>
      <c r="L61" s="7">
        <f t="shared" si="3"/>
        <v>6</v>
      </c>
      <c r="M61" s="7">
        <f t="shared" si="3"/>
        <v>3</v>
      </c>
      <c r="N61" s="136" cm="1">
        <f t="array" ref="N61">_xlfn.IFS(
  F61=0,0,
  F61&lt;=1000,3,
  F61&lt;=2300,6,
  F61&lt;=4500,12,
  F61&lt;=8200,24,
  F61&lt;=16000,48,
  F61&gt;16001,96
)</f>
        <v>48</v>
      </c>
      <c r="O61" s="7">
        <f t="shared" si="2"/>
        <v>2.4</v>
      </c>
      <c r="P61" s="18"/>
    </row>
    <row r="62" spans="1:16" x14ac:dyDescent="0.2">
      <c r="A62" s="94"/>
      <c r="B62" s="7"/>
      <c r="C62" s="7"/>
      <c r="D62" s="115" t="s">
        <v>142</v>
      </c>
      <c r="E62" s="126" t="s">
        <v>143</v>
      </c>
      <c r="F62" s="126">
        <v>6408</v>
      </c>
      <c r="G62" s="6"/>
      <c r="H62" s="7">
        <f t="shared" si="3"/>
        <v>3</v>
      </c>
      <c r="I62" s="7">
        <f t="shared" si="3"/>
        <v>4.32</v>
      </c>
      <c r="J62" s="7">
        <f t="shared" si="3"/>
        <v>6.6000000000000005</v>
      </c>
      <c r="K62" s="7">
        <f t="shared" si="3"/>
        <v>5.04</v>
      </c>
      <c r="L62" s="7">
        <f t="shared" si="3"/>
        <v>3</v>
      </c>
      <c r="M62" s="7">
        <f t="shared" si="3"/>
        <v>1.5</v>
      </c>
      <c r="N62" s="136" cm="1">
        <f t="array" ref="N62">_xlfn.IFS(
  F62=0,0,
  F62&lt;=1000,3,
  F62&lt;=2300,6,
  F62&lt;=4500,12,
  F62&lt;=8200,24,
  F62&lt;=16000,48,
  F62&gt;16001,96
)</f>
        <v>24</v>
      </c>
      <c r="O62" s="7">
        <f t="shared" si="2"/>
        <v>1.2</v>
      </c>
      <c r="P62" s="18"/>
    </row>
    <row r="63" spans="1:16" x14ac:dyDescent="0.2">
      <c r="A63" s="94"/>
      <c r="B63" s="7"/>
      <c r="C63" s="7"/>
      <c r="D63" s="115" t="s">
        <v>144</v>
      </c>
      <c r="E63" s="126" t="s">
        <v>145</v>
      </c>
      <c r="F63" s="126">
        <v>15986</v>
      </c>
      <c r="G63" s="6"/>
      <c r="H63" s="7">
        <f t="shared" si="3"/>
        <v>6</v>
      </c>
      <c r="I63" s="7">
        <f t="shared" si="3"/>
        <v>8.64</v>
      </c>
      <c r="J63" s="7">
        <f t="shared" si="3"/>
        <v>13.200000000000001</v>
      </c>
      <c r="K63" s="7">
        <f t="shared" si="3"/>
        <v>10.08</v>
      </c>
      <c r="L63" s="7">
        <f t="shared" si="3"/>
        <v>6</v>
      </c>
      <c r="M63" s="7">
        <f t="shared" si="3"/>
        <v>3</v>
      </c>
      <c r="N63" s="136" cm="1">
        <f t="array" ref="N63">_xlfn.IFS(
  F63=0,0,
  F63&lt;=1000,3,
  F63&lt;=2300,6,
  F63&lt;=4500,12,
  F63&lt;=8200,24,
  F63&lt;=16000,48,
  F63&gt;16001,96
)</f>
        <v>48</v>
      </c>
      <c r="O63" s="7">
        <f t="shared" si="2"/>
        <v>2.4</v>
      </c>
      <c r="P63" s="18"/>
    </row>
    <row r="64" spans="1:16" x14ac:dyDescent="0.2">
      <c r="A64" s="93"/>
      <c r="B64" s="7"/>
      <c r="C64" s="7" t="s">
        <v>146</v>
      </c>
      <c r="D64" s="101" t="s">
        <v>147</v>
      </c>
      <c r="E64" s="116"/>
      <c r="F64" s="116"/>
      <c r="G64" s="6"/>
      <c r="H64" s="7">
        <f t="shared" si="3"/>
        <v>0.625</v>
      </c>
      <c r="I64" s="7">
        <f t="shared" si="3"/>
        <v>0.89999999999999991</v>
      </c>
      <c r="J64" s="7">
        <f t="shared" si="3"/>
        <v>1.375</v>
      </c>
      <c r="K64" s="7">
        <f t="shared" si="3"/>
        <v>1.05</v>
      </c>
      <c r="L64" s="7">
        <f t="shared" si="3"/>
        <v>0.625</v>
      </c>
      <c r="M64" s="7">
        <f t="shared" si="3"/>
        <v>0.3125</v>
      </c>
      <c r="N64" s="7">
        <v>5</v>
      </c>
      <c r="O64" s="7">
        <f t="shared" si="2"/>
        <v>0.25</v>
      </c>
      <c r="P64" s="18"/>
    </row>
    <row r="65" spans="1:16" x14ac:dyDescent="0.2">
      <c r="A65" s="93"/>
      <c r="B65" s="7"/>
      <c r="C65" s="7"/>
      <c r="D65" s="101" t="s">
        <v>148</v>
      </c>
      <c r="E65" s="116"/>
      <c r="F65" s="116"/>
      <c r="G65" s="6"/>
      <c r="H65" s="7">
        <f t="shared" si="3"/>
        <v>0.625</v>
      </c>
      <c r="I65" s="7">
        <f t="shared" si="3"/>
        <v>0.89999999999999991</v>
      </c>
      <c r="J65" s="7">
        <f t="shared" si="3"/>
        <v>1.375</v>
      </c>
      <c r="K65" s="7">
        <f t="shared" si="3"/>
        <v>1.05</v>
      </c>
      <c r="L65" s="7">
        <f t="shared" si="3"/>
        <v>0.625</v>
      </c>
      <c r="M65" s="7">
        <f t="shared" si="3"/>
        <v>0.3125</v>
      </c>
      <c r="N65" s="7">
        <v>5</v>
      </c>
      <c r="O65" s="7">
        <f t="shared" si="2"/>
        <v>0.25</v>
      </c>
      <c r="P65" s="18"/>
    </row>
    <row r="66" spans="1:16" x14ac:dyDescent="0.2">
      <c r="A66" s="93"/>
      <c r="B66" s="7"/>
      <c r="C66" s="7"/>
      <c r="D66" s="101" t="s">
        <v>149</v>
      </c>
      <c r="E66" s="116"/>
      <c r="F66" s="116"/>
      <c r="G66" s="6"/>
      <c r="H66" s="7">
        <f t="shared" si="3"/>
        <v>0.625</v>
      </c>
      <c r="I66" s="7">
        <f t="shared" si="3"/>
        <v>0.89999999999999991</v>
      </c>
      <c r="J66" s="7">
        <f t="shared" si="3"/>
        <v>1.375</v>
      </c>
      <c r="K66" s="7">
        <f t="shared" si="3"/>
        <v>1.05</v>
      </c>
      <c r="L66" s="7">
        <f t="shared" si="3"/>
        <v>0.625</v>
      </c>
      <c r="M66" s="7">
        <f t="shared" si="3"/>
        <v>0.3125</v>
      </c>
      <c r="N66" s="7">
        <v>5</v>
      </c>
      <c r="O66" s="7">
        <f t="shared" si="2"/>
        <v>0.25</v>
      </c>
      <c r="P66" s="18"/>
    </row>
    <row r="67" spans="1:16" x14ac:dyDescent="0.2">
      <c r="A67" s="93"/>
      <c r="B67" s="103" t="s">
        <v>150</v>
      </c>
      <c r="C67" s="102" t="s">
        <v>151</v>
      </c>
      <c r="D67" s="101"/>
      <c r="E67" s="29" t="s">
        <v>152</v>
      </c>
      <c r="F67" s="29"/>
      <c r="G67" s="6"/>
      <c r="H67" s="7">
        <f t="shared" si="3"/>
        <v>1.25</v>
      </c>
      <c r="I67" s="7">
        <f t="shared" si="3"/>
        <v>1.7999999999999998</v>
      </c>
      <c r="J67" s="7">
        <f t="shared" si="3"/>
        <v>2.75</v>
      </c>
      <c r="K67" s="7">
        <f t="shared" si="3"/>
        <v>2.1</v>
      </c>
      <c r="L67" s="7">
        <f t="shared" si="3"/>
        <v>1.25</v>
      </c>
      <c r="M67" s="7">
        <f t="shared" si="3"/>
        <v>0.625</v>
      </c>
      <c r="N67" s="7">
        <v>10</v>
      </c>
      <c r="O67" s="7">
        <f t="shared" si="2"/>
        <v>0.5</v>
      </c>
      <c r="P67" s="18"/>
    </row>
    <row r="68" spans="1:16" x14ac:dyDescent="0.2">
      <c r="A68" s="93"/>
      <c r="B68" s="103" t="s">
        <v>153</v>
      </c>
      <c r="C68" s="102" t="s">
        <v>154</v>
      </c>
      <c r="D68" s="101"/>
      <c r="E68" s="29" t="s">
        <v>155</v>
      </c>
      <c r="F68" s="29"/>
      <c r="G68" s="6"/>
      <c r="H68" s="7">
        <f t="shared" si="3"/>
        <v>1.25</v>
      </c>
      <c r="I68" s="7">
        <f t="shared" si="3"/>
        <v>1.7999999999999998</v>
      </c>
      <c r="J68" s="7">
        <f t="shared" si="3"/>
        <v>2.75</v>
      </c>
      <c r="K68" s="7">
        <f t="shared" si="3"/>
        <v>2.1</v>
      </c>
      <c r="L68" s="7">
        <f t="shared" si="3"/>
        <v>1.25</v>
      </c>
      <c r="M68" s="7">
        <f t="shared" si="3"/>
        <v>0.625</v>
      </c>
      <c r="N68" s="7">
        <v>10</v>
      </c>
      <c r="O68" s="7">
        <f t="shared" ref="O68" si="4">ROUNDUP(N68/20,2)</f>
        <v>0.5</v>
      </c>
      <c r="P68" s="18"/>
    </row>
    <row r="69" spans="1:16" x14ac:dyDescent="0.2">
      <c r="A69" s="93"/>
      <c r="B69" s="158" t="s">
        <v>156</v>
      </c>
      <c r="C69" s="159"/>
      <c r="D69" s="159"/>
      <c r="E69" s="159"/>
      <c r="F69" s="159"/>
      <c r="G69" s="159"/>
      <c r="H69" s="7">
        <f t="shared" ref="H69:M69" si="5">SUBTOTAL(9,H7:H68)</f>
        <v>90.875</v>
      </c>
      <c r="I69" s="7">
        <f t="shared" si="5"/>
        <v>130.86000000000001</v>
      </c>
      <c r="J69" s="7">
        <f t="shared" si="5"/>
        <v>199.92499999999995</v>
      </c>
      <c r="K69" s="7">
        <f t="shared" si="5"/>
        <v>152.67000000000007</v>
      </c>
      <c r="L69" s="7">
        <f t="shared" si="5"/>
        <v>90.875</v>
      </c>
      <c r="M69" s="7">
        <f t="shared" si="5"/>
        <v>45.4375</v>
      </c>
      <c r="N69" s="158">
        <f>SUM(H69:M69)</f>
        <v>710.64250000000004</v>
      </c>
      <c r="O69" s="160"/>
      <c r="P69" s="18"/>
    </row>
    <row r="70" spans="1:16" x14ac:dyDescent="0.2">
      <c r="A70" s="93"/>
      <c r="B70" s="158" t="s">
        <v>157</v>
      </c>
      <c r="C70" s="159"/>
      <c r="D70" s="159"/>
      <c r="E70" s="159"/>
      <c r="F70" s="159"/>
      <c r="G70" s="159"/>
      <c r="H70" s="7">
        <f t="shared" ref="H70:M70" si="6">ROUNDUP(SUM(H69:H69)/20,1)</f>
        <v>4.5999999999999996</v>
      </c>
      <c r="I70" s="7">
        <f t="shared" si="6"/>
        <v>6.6</v>
      </c>
      <c r="J70" s="7">
        <f t="shared" si="6"/>
        <v>10</v>
      </c>
      <c r="K70" s="7">
        <f t="shared" si="6"/>
        <v>7.6999999999999993</v>
      </c>
      <c r="L70" s="7">
        <f t="shared" si="6"/>
        <v>4.5999999999999996</v>
      </c>
      <c r="M70" s="7">
        <f t="shared" si="6"/>
        <v>2.3000000000000003</v>
      </c>
      <c r="N70" s="158">
        <f t="shared" ref="N70:N71" si="7">SUM(H70:M70)</f>
        <v>35.799999999999997</v>
      </c>
      <c r="O70" s="160"/>
      <c r="P70" s="18"/>
    </row>
    <row r="71" spans="1:16" x14ac:dyDescent="0.2">
      <c r="A71" s="93"/>
      <c r="B71" s="154" t="s">
        <v>158</v>
      </c>
      <c r="C71" s="155"/>
      <c r="D71" s="155"/>
      <c r="E71" s="155"/>
      <c r="F71" s="155"/>
      <c r="G71" s="155"/>
      <c r="H71" s="128">
        <f t="shared" ref="H71:M71" si="8">ROUNDUP(H70*0.2,1)</f>
        <v>1</v>
      </c>
      <c r="I71" s="128">
        <f t="shared" si="8"/>
        <v>1.4000000000000001</v>
      </c>
      <c r="J71" s="128">
        <f t="shared" si="8"/>
        <v>2</v>
      </c>
      <c r="K71" s="128">
        <f t="shared" si="8"/>
        <v>1.6</v>
      </c>
      <c r="L71" s="128">
        <f t="shared" si="8"/>
        <v>1</v>
      </c>
      <c r="M71" s="128">
        <f t="shared" si="8"/>
        <v>0.5</v>
      </c>
      <c r="N71" s="154">
        <f t="shared" si="7"/>
        <v>7.5</v>
      </c>
      <c r="O71" s="161"/>
      <c r="P71" s="18"/>
    </row>
    <row r="72" spans="1:16" x14ac:dyDescent="0.2">
      <c r="A72" s="96"/>
      <c r="B72" s="154" t="s">
        <v>159</v>
      </c>
      <c r="C72" s="155"/>
      <c r="D72" s="155"/>
      <c r="E72" s="155"/>
      <c r="F72" s="155"/>
      <c r="G72" s="155"/>
      <c r="H72" s="129">
        <f t="shared" ref="H72:M72" si="9">H70*1100000</f>
        <v>5060000</v>
      </c>
      <c r="I72" s="129">
        <f t="shared" si="9"/>
        <v>7260000</v>
      </c>
      <c r="J72" s="129">
        <f t="shared" si="9"/>
        <v>11000000</v>
      </c>
      <c r="K72" s="129">
        <f t="shared" si="9"/>
        <v>8470000</v>
      </c>
      <c r="L72" s="129">
        <f t="shared" si="9"/>
        <v>5060000</v>
      </c>
      <c r="M72" s="129">
        <f t="shared" si="9"/>
        <v>2530000.0000000005</v>
      </c>
      <c r="N72" s="156">
        <f>SUM(H72:M72,N71*1400000)</f>
        <v>49880000</v>
      </c>
      <c r="O72" s="157"/>
      <c r="P72" s="18"/>
    </row>
    <row r="73" spans="1:16" x14ac:dyDescent="0.2">
      <c r="B73" s="130"/>
      <c r="C73" s="130"/>
      <c r="D73" s="130"/>
      <c r="E73" s="131"/>
      <c r="F73" s="131"/>
      <c r="G73" s="130"/>
      <c r="H73" s="130">
        <f t="shared" ref="H73:M73" si="10">H71*1400000</f>
        <v>1400000</v>
      </c>
      <c r="I73" s="130">
        <f t="shared" si="10"/>
        <v>1960000.0000000002</v>
      </c>
      <c r="J73" s="130">
        <f t="shared" si="10"/>
        <v>2800000</v>
      </c>
      <c r="K73" s="130">
        <f t="shared" si="10"/>
        <v>2240000</v>
      </c>
      <c r="L73" s="130">
        <f t="shared" si="10"/>
        <v>1400000</v>
      </c>
      <c r="M73" s="130">
        <f t="shared" si="10"/>
        <v>700000</v>
      </c>
      <c r="N73" s="130"/>
      <c r="O73" s="130"/>
    </row>
  </sheetData>
  <autoFilter ref="A6:V72" xr:uid="{00000000-0001-0000-0000-000000000000}">
    <filterColumn colId="3" showButton="0"/>
  </autoFilter>
  <mergeCells count="22">
    <mergeCell ref="B72:G72"/>
    <mergeCell ref="N72:O72"/>
    <mergeCell ref="B69:G69"/>
    <mergeCell ref="N69:O69"/>
    <mergeCell ref="B70:G70"/>
    <mergeCell ref="N70:O70"/>
    <mergeCell ref="B71:G71"/>
    <mergeCell ref="N71:O71"/>
    <mergeCell ref="N3:N6"/>
    <mergeCell ref="O3:O6"/>
    <mergeCell ref="H4:H6"/>
    <mergeCell ref="I4:I6"/>
    <mergeCell ref="J4:J6"/>
    <mergeCell ref="K4:K6"/>
    <mergeCell ref="L4:L6"/>
    <mergeCell ref="M4:M6"/>
    <mergeCell ref="H3:M3"/>
    <mergeCell ref="B3:B6"/>
    <mergeCell ref="C3:C6"/>
    <mergeCell ref="D3:E6"/>
    <mergeCell ref="F3:F6"/>
    <mergeCell ref="G3:G6"/>
  </mergeCells>
  <phoneticPr fontId="2"/>
  <pageMargins left="0.15748031496062992" right="0.15748031496062992" top="0.15748031496062992" bottom="0.15748031496062992" header="0.31496062992125984" footer="0.31496062992125984"/>
  <pageSetup paperSize="9" scale="42" fitToHeight="1000"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D4F27F-C2F0-4A1D-A9D3-CBC8518F2017}">
  <sheetPr>
    <pageSetUpPr fitToPage="1"/>
  </sheetPr>
  <dimension ref="A1:P22"/>
  <sheetViews>
    <sheetView view="pageBreakPreview" zoomScaleSheetLayoutView="100" workbookViewId="0"/>
  </sheetViews>
  <sheetFormatPr defaultColWidth="9" defaultRowHeight="16.2" x14ac:dyDescent="0.2"/>
  <cols>
    <col min="1" max="1" width="5.33203125" style="4" customWidth="1"/>
    <col min="2" max="2" width="13.33203125" style="4" bestFit="1" customWidth="1"/>
    <col min="3" max="3" width="11.109375" style="4" bestFit="1" customWidth="1"/>
    <col min="4" max="4" width="40" style="4" bestFit="1" customWidth="1"/>
    <col min="5" max="6" width="36.109375" style="127" customWidth="1"/>
    <col min="7" max="7" width="46.6640625" style="4" bestFit="1" customWidth="1"/>
    <col min="8" max="8" width="16.6640625" style="4" bestFit="1" customWidth="1"/>
    <col min="9" max="9" width="15.6640625" style="4" customWidth="1"/>
    <col min="10" max="10" width="17.88671875" style="4" customWidth="1"/>
    <col min="11" max="12" width="15.6640625" style="4" customWidth="1"/>
    <col min="13" max="13" width="16.33203125" style="4" customWidth="1"/>
    <col min="14" max="14" width="17.88671875" style="4" customWidth="1"/>
    <col min="15" max="16" width="26.6640625" style="4" customWidth="1"/>
    <col min="17" max="22" width="9" style="4" customWidth="1"/>
    <col min="23" max="16384" width="9" style="4"/>
  </cols>
  <sheetData>
    <row r="1" spans="1:16" s="2" customFormat="1" x14ac:dyDescent="0.2">
      <c r="A1" s="5"/>
      <c r="E1" s="117"/>
      <c r="F1" s="117"/>
      <c r="G1" s="5"/>
      <c r="H1" s="1"/>
      <c r="I1" s="1"/>
      <c r="J1" s="1"/>
      <c r="K1" s="1"/>
      <c r="L1" s="1"/>
      <c r="M1" s="1"/>
    </row>
    <row r="2" spans="1:16" s="3" customFormat="1" ht="16.5" customHeight="1" x14ac:dyDescent="0.2">
      <c r="E2" s="118"/>
      <c r="F2" s="118"/>
      <c r="H2" s="133">
        <v>0.125</v>
      </c>
      <c r="I2" s="133">
        <v>0.18</v>
      </c>
      <c r="J2" s="134">
        <v>0.27500000000000002</v>
      </c>
      <c r="K2" s="134">
        <v>0.21</v>
      </c>
      <c r="L2" s="134">
        <v>0.125</v>
      </c>
      <c r="M2" s="134">
        <v>6.25E-2</v>
      </c>
      <c r="N2" s="3">
        <f>SUM(H2:M2)</f>
        <v>0.97750000000000004</v>
      </c>
    </row>
    <row r="3" spans="1:16" s="3" customFormat="1" ht="48.6" customHeight="1" x14ac:dyDescent="0.2">
      <c r="B3" s="146" t="s">
        <v>48</v>
      </c>
      <c r="C3" s="146" t="s">
        <v>49</v>
      </c>
      <c r="D3" s="146" t="s">
        <v>50</v>
      </c>
      <c r="E3" s="146"/>
      <c r="F3" s="147" t="s">
        <v>51</v>
      </c>
      <c r="G3" s="150" t="s">
        <v>52</v>
      </c>
      <c r="H3" s="152" t="s">
        <v>53</v>
      </c>
      <c r="I3" s="153"/>
      <c r="J3" s="153"/>
      <c r="K3" s="153"/>
      <c r="L3" s="153"/>
      <c r="M3" s="153"/>
      <c r="N3" s="151" t="s">
        <v>54</v>
      </c>
      <c r="O3" s="151" t="s">
        <v>55</v>
      </c>
      <c r="P3" s="17"/>
    </row>
    <row r="4" spans="1:16" s="3" customFormat="1" x14ac:dyDescent="0.2">
      <c r="B4" s="146"/>
      <c r="C4" s="146"/>
      <c r="D4" s="146"/>
      <c r="E4" s="146"/>
      <c r="F4" s="148"/>
      <c r="G4" s="150"/>
      <c r="H4" s="147" t="s">
        <v>56</v>
      </c>
      <c r="I4" s="151" t="s">
        <v>57</v>
      </c>
      <c r="J4" s="151" t="s">
        <v>58</v>
      </c>
      <c r="K4" s="151" t="s">
        <v>59</v>
      </c>
      <c r="L4" s="151" t="s">
        <v>60</v>
      </c>
      <c r="M4" s="151" t="s">
        <v>61</v>
      </c>
      <c r="N4" s="151"/>
      <c r="O4" s="151"/>
      <c r="P4" s="17"/>
    </row>
    <row r="5" spans="1:16" ht="36" customHeight="1" x14ac:dyDescent="0.2">
      <c r="B5" s="146"/>
      <c r="C5" s="146"/>
      <c r="D5" s="146"/>
      <c r="E5" s="146"/>
      <c r="F5" s="148"/>
      <c r="G5" s="150"/>
      <c r="H5" s="148"/>
      <c r="I5" s="151"/>
      <c r="J5" s="151"/>
      <c r="K5" s="151"/>
      <c r="L5" s="151"/>
      <c r="M5" s="151"/>
      <c r="N5" s="151"/>
      <c r="O5" s="151"/>
      <c r="P5" s="17"/>
    </row>
    <row r="6" spans="1:16" x14ac:dyDescent="0.2">
      <c r="A6" s="93"/>
      <c r="B6" s="146"/>
      <c r="C6" s="146"/>
      <c r="D6" s="146"/>
      <c r="E6" s="146"/>
      <c r="F6" s="149"/>
      <c r="G6" s="150"/>
      <c r="H6" s="149"/>
      <c r="I6" s="151"/>
      <c r="J6" s="151"/>
      <c r="K6" s="151"/>
      <c r="L6" s="151"/>
      <c r="M6" s="151"/>
      <c r="N6" s="151"/>
      <c r="O6" s="151"/>
      <c r="P6" s="17"/>
    </row>
    <row r="7" spans="1:16" x14ac:dyDescent="0.2">
      <c r="A7" s="94"/>
      <c r="B7" s="97" t="s">
        <v>62</v>
      </c>
      <c r="C7" s="7" t="s">
        <v>133</v>
      </c>
      <c r="D7" s="115" t="s">
        <v>134</v>
      </c>
      <c r="E7" s="126" t="s">
        <v>135</v>
      </c>
      <c r="F7" s="126">
        <v>708</v>
      </c>
      <c r="G7" s="6"/>
      <c r="H7" s="7">
        <f t="shared" ref="H7:M17" si="0">$N7 * H$2</f>
        <v>0.375</v>
      </c>
      <c r="I7" s="7">
        <f t="shared" si="0"/>
        <v>0.54</v>
      </c>
      <c r="J7" s="7">
        <f t="shared" si="0"/>
        <v>0.82500000000000007</v>
      </c>
      <c r="K7" s="7">
        <f t="shared" si="0"/>
        <v>0.63</v>
      </c>
      <c r="L7" s="7">
        <f t="shared" si="0"/>
        <v>0.375</v>
      </c>
      <c r="M7" s="7">
        <f t="shared" si="0"/>
        <v>0.1875</v>
      </c>
      <c r="N7" s="136" cm="1">
        <f t="array" ref="N7">_xlfn.IFS(
  F7=0,0,
  F7&lt;=1000,3,
  F7&lt;=2300,6,
  F7&lt;=4500,12,
  F7&lt;=8200,24,
  F7&lt;=16000,48,
  F7&gt;16001,96
)</f>
        <v>3</v>
      </c>
      <c r="O7" s="7">
        <f t="shared" ref="O7:O17" si="1">ROUNDUP(N7/20,2)</f>
        <v>0.15</v>
      </c>
      <c r="P7" s="18"/>
    </row>
    <row r="8" spans="1:16" x14ac:dyDescent="0.2">
      <c r="A8" s="94"/>
      <c r="B8" s="7"/>
      <c r="C8" s="7"/>
      <c r="D8" s="115" t="s">
        <v>136</v>
      </c>
      <c r="E8" s="126" t="s">
        <v>137</v>
      </c>
      <c r="F8" s="126">
        <v>2324</v>
      </c>
      <c r="G8" s="6"/>
      <c r="H8" s="7">
        <f t="shared" si="0"/>
        <v>1.5</v>
      </c>
      <c r="I8" s="7">
        <f t="shared" si="0"/>
        <v>2.16</v>
      </c>
      <c r="J8" s="7">
        <f t="shared" si="0"/>
        <v>3.3000000000000003</v>
      </c>
      <c r="K8" s="7">
        <f t="shared" si="0"/>
        <v>2.52</v>
      </c>
      <c r="L8" s="7">
        <f t="shared" si="0"/>
        <v>1.5</v>
      </c>
      <c r="M8" s="7">
        <f t="shared" si="0"/>
        <v>0.75</v>
      </c>
      <c r="N8" s="136" cm="1">
        <f t="array" ref="N8">_xlfn.IFS(
  F8=0,0,
  F8&lt;=1000,3,
  F8&lt;=2300,6,
  F8&lt;=4500,12,
  F8&lt;=8200,24,
  F8&lt;=16000,48,
  F8&gt;16001,96
)</f>
        <v>12</v>
      </c>
      <c r="O8" s="7">
        <f t="shared" si="1"/>
        <v>0.6</v>
      </c>
      <c r="P8" s="18"/>
    </row>
    <row r="9" spans="1:16" x14ac:dyDescent="0.2">
      <c r="A9" s="94"/>
      <c r="B9" s="7"/>
      <c r="C9" s="7"/>
      <c r="D9" s="115" t="s">
        <v>138</v>
      </c>
      <c r="E9" s="126" t="s">
        <v>139</v>
      </c>
      <c r="F9" s="126">
        <v>52</v>
      </c>
      <c r="G9" s="6"/>
      <c r="H9" s="7">
        <f t="shared" si="0"/>
        <v>0.375</v>
      </c>
      <c r="I9" s="7">
        <f t="shared" si="0"/>
        <v>0.54</v>
      </c>
      <c r="J9" s="7">
        <f t="shared" si="0"/>
        <v>0.82500000000000007</v>
      </c>
      <c r="K9" s="7">
        <f t="shared" si="0"/>
        <v>0.63</v>
      </c>
      <c r="L9" s="7">
        <f t="shared" si="0"/>
        <v>0.375</v>
      </c>
      <c r="M9" s="7">
        <f t="shared" si="0"/>
        <v>0.1875</v>
      </c>
      <c r="N9" s="136" cm="1">
        <f t="array" ref="N9">_xlfn.IFS(
  F9=0,0,
  F9&lt;=1000,3,
  F9&lt;=2300,6,
  F9&lt;=4500,12,
  F9&lt;=8200,24,
  F9&lt;=16000,48,
  F9&gt;16001,96
)</f>
        <v>3</v>
      </c>
      <c r="O9" s="7">
        <f t="shared" si="1"/>
        <v>0.15</v>
      </c>
      <c r="P9" s="18"/>
    </row>
    <row r="10" spans="1:16" x14ac:dyDescent="0.2">
      <c r="A10" s="94"/>
      <c r="B10" s="7"/>
      <c r="C10" s="7"/>
      <c r="D10" s="115" t="s">
        <v>140</v>
      </c>
      <c r="E10" s="126" t="s">
        <v>141</v>
      </c>
      <c r="F10" s="126">
        <v>12972</v>
      </c>
      <c r="G10" s="6"/>
      <c r="H10" s="7">
        <f t="shared" si="0"/>
        <v>6</v>
      </c>
      <c r="I10" s="7">
        <f t="shared" si="0"/>
        <v>8.64</v>
      </c>
      <c r="J10" s="7">
        <f t="shared" si="0"/>
        <v>13.200000000000001</v>
      </c>
      <c r="K10" s="7">
        <f t="shared" si="0"/>
        <v>10.08</v>
      </c>
      <c r="L10" s="7">
        <f t="shared" si="0"/>
        <v>6</v>
      </c>
      <c r="M10" s="7">
        <f t="shared" si="0"/>
        <v>3</v>
      </c>
      <c r="N10" s="136" cm="1">
        <f t="array" ref="N10">_xlfn.IFS(
  F10=0,0,
  F10&lt;=1000,3,
  F10&lt;=2300,6,
  F10&lt;=4500,12,
  F10&lt;=8200,24,
  F10&lt;=16000,48,
  F10&gt;16001,96
)</f>
        <v>48</v>
      </c>
      <c r="O10" s="7">
        <f t="shared" si="1"/>
        <v>2.4</v>
      </c>
      <c r="P10" s="18"/>
    </row>
    <row r="11" spans="1:16" x14ac:dyDescent="0.2">
      <c r="A11" s="94"/>
      <c r="B11" s="7"/>
      <c r="C11" s="7"/>
      <c r="D11" s="115" t="s">
        <v>142</v>
      </c>
      <c r="E11" s="126" t="s">
        <v>143</v>
      </c>
      <c r="F11" s="126">
        <v>6408</v>
      </c>
      <c r="G11" s="6"/>
      <c r="H11" s="7">
        <f t="shared" si="0"/>
        <v>3</v>
      </c>
      <c r="I11" s="7">
        <f t="shared" si="0"/>
        <v>4.32</v>
      </c>
      <c r="J11" s="7">
        <f t="shared" si="0"/>
        <v>6.6000000000000005</v>
      </c>
      <c r="K11" s="7">
        <f t="shared" si="0"/>
        <v>5.04</v>
      </c>
      <c r="L11" s="7">
        <f t="shared" si="0"/>
        <v>3</v>
      </c>
      <c r="M11" s="7">
        <f t="shared" si="0"/>
        <v>1.5</v>
      </c>
      <c r="N11" s="136" cm="1">
        <f t="array" ref="N11">_xlfn.IFS(
  F11=0,0,
  F11&lt;=1000,3,
  F11&lt;=2300,6,
  F11&lt;=4500,12,
  F11&lt;=8200,24,
  F11&lt;=16000,48,
  F11&gt;16001,96
)</f>
        <v>24</v>
      </c>
      <c r="O11" s="7">
        <f t="shared" si="1"/>
        <v>1.2</v>
      </c>
      <c r="P11" s="18"/>
    </row>
    <row r="12" spans="1:16" x14ac:dyDescent="0.2">
      <c r="A12" s="94"/>
      <c r="B12" s="7"/>
      <c r="C12" s="7"/>
      <c r="D12" s="115" t="s">
        <v>144</v>
      </c>
      <c r="E12" s="126" t="s">
        <v>145</v>
      </c>
      <c r="F12" s="126">
        <v>15986</v>
      </c>
      <c r="G12" s="6"/>
      <c r="H12" s="7">
        <f t="shared" si="0"/>
        <v>6</v>
      </c>
      <c r="I12" s="7">
        <f t="shared" si="0"/>
        <v>8.64</v>
      </c>
      <c r="J12" s="7">
        <f t="shared" si="0"/>
        <v>13.200000000000001</v>
      </c>
      <c r="K12" s="7">
        <f t="shared" si="0"/>
        <v>10.08</v>
      </c>
      <c r="L12" s="7">
        <f t="shared" si="0"/>
        <v>6</v>
      </c>
      <c r="M12" s="7">
        <f t="shared" si="0"/>
        <v>3</v>
      </c>
      <c r="N12" s="136" cm="1">
        <f t="array" ref="N12">_xlfn.IFS(
  F12=0,0,
  F12&lt;=1000,3,
  F12&lt;=2300,6,
  F12&lt;=4500,12,
  F12&lt;=8200,24,
  F12&lt;=16000,48,
  F12&gt;16001,96
)</f>
        <v>48</v>
      </c>
      <c r="O12" s="7">
        <f t="shared" si="1"/>
        <v>2.4</v>
      </c>
      <c r="P12" s="18"/>
    </row>
    <row r="13" spans="1:16" x14ac:dyDescent="0.2">
      <c r="A13" s="93"/>
      <c r="B13" s="7"/>
      <c r="C13" s="7" t="s">
        <v>146</v>
      </c>
      <c r="D13" s="101" t="s">
        <v>147</v>
      </c>
      <c r="E13" s="116"/>
      <c r="F13" s="116"/>
      <c r="G13" s="6"/>
      <c r="H13" s="7">
        <f t="shared" si="0"/>
        <v>0.625</v>
      </c>
      <c r="I13" s="7">
        <f t="shared" si="0"/>
        <v>0.89999999999999991</v>
      </c>
      <c r="J13" s="7">
        <f t="shared" si="0"/>
        <v>1.375</v>
      </c>
      <c r="K13" s="7">
        <f t="shared" si="0"/>
        <v>1.05</v>
      </c>
      <c r="L13" s="7">
        <f t="shared" si="0"/>
        <v>0.625</v>
      </c>
      <c r="M13" s="7">
        <f t="shared" si="0"/>
        <v>0.3125</v>
      </c>
      <c r="N13" s="7">
        <v>5</v>
      </c>
      <c r="O13" s="7">
        <f t="shared" si="1"/>
        <v>0.25</v>
      </c>
      <c r="P13" s="18"/>
    </row>
    <row r="14" spans="1:16" x14ac:dyDescent="0.2">
      <c r="A14" s="93"/>
      <c r="B14" s="7"/>
      <c r="C14" s="7"/>
      <c r="D14" s="101" t="s">
        <v>148</v>
      </c>
      <c r="E14" s="116"/>
      <c r="F14" s="116"/>
      <c r="G14" s="6"/>
      <c r="H14" s="7">
        <f t="shared" si="0"/>
        <v>0.625</v>
      </c>
      <c r="I14" s="7">
        <f t="shared" si="0"/>
        <v>0.89999999999999991</v>
      </c>
      <c r="J14" s="7">
        <f t="shared" si="0"/>
        <v>1.375</v>
      </c>
      <c r="K14" s="7">
        <f t="shared" si="0"/>
        <v>1.05</v>
      </c>
      <c r="L14" s="7">
        <f t="shared" si="0"/>
        <v>0.625</v>
      </c>
      <c r="M14" s="7">
        <f t="shared" si="0"/>
        <v>0.3125</v>
      </c>
      <c r="N14" s="7">
        <v>5</v>
      </c>
      <c r="O14" s="7">
        <f t="shared" si="1"/>
        <v>0.25</v>
      </c>
      <c r="P14" s="18"/>
    </row>
    <row r="15" spans="1:16" x14ac:dyDescent="0.2">
      <c r="A15" s="93"/>
      <c r="B15" s="7"/>
      <c r="C15" s="7"/>
      <c r="D15" s="101" t="s">
        <v>149</v>
      </c>
      <c r="E15" s="116"/>
      <c r="F15" s="116"/>
      <c r="G15" s="6"/>
      <c r="H15" s="7">
        <f t="shared" si="0"/>
        <v>0.625</v>
      </c>
      <c r="I15" s="7">
        <f t="shared" si="0"/>
        <v>0.89999999999999991</v>
      </c>
      <c r="J15" s="7">
        <f t="shared" si="0"/>
        <v>1.375</v>
      </c>
      <c r="K15" s="7">
        <f t="shared" si="0"/>
        <v>1.05</v>
      </c>
      <c r="L15" s="7">
        <f t="shared" si="0"/>
        <v>0.625</v>
      </c>
      <c r="M15" s="7">
        <f t="shared" si="0"/>
        <v>0.3125</v>
      </c>
      <c r="N15" s="7">
        <v>5</v>
      </c>
      <c r="O15" s="7">
        <f t="shared" si="1"/>
        <v>0.25</v>
      </c>
      <c r="P15" s="18"/>
    </row>
    <row r="16" spans="1:16" x14ac:dyDescent="0.2">
      <c r="A16" s="93"/>
      <c r="B16" s="103" t="s">
        <v>150</v>
      </c>
      <c r="C16" s="102" t="s">
        <v>151</v>
      </c>
      <c r="D16" s="101"/>
      <c r="E16" s="29" t="s">
        <v>152</v>
      </c>
      <c r="F16" s="29"/>
      <c r="G16" s="6"/>
      <c r="H16" s="7">
        <f t="shared" si="0"/>
        <v>1.25</v>
      </c>
      <c r="I16" s="7">
        <f t="shared" si="0"/>
        <v>1.7999999999999998</v>
      </c>
      <c r="J16" s="7">
        <f t="shared" si="0"/>
        <v>2.75</v>
      </c>
      <c r="K16" s="7">
        <f t="shared" si="0"/>
        <v>2.1</v>
      </c>
      <c r="L16" s="7">
        <f t="shared" si="0"/>
        <v>1.25</v>
      </c>
      <c r="M16" s="7">
        <f t="shared" si="0"/>
        <v>0.625</v>
      </c>
      <c r="N16" s="7">
        <v>10</v>
      </c>
      <c r="O16" s="7">
        <f t="shared" si="1"/>
        <v>0.5</v>
      </c>
      <c r="P16" s="18"/>
    </row>
    <row r="17" spans="1:16" x14ac:dyDescent="0.2">
      <c r="A17" s="93"/>
      <c r="B17" s="103" t="s">
        <v>153</v>
      </c>
      <c r="C17" s="102" t="s">
        <v>154</v>
      </c>
      <c r="D17" s="101"/>
      <c r="E17" s="29" t="s">
        <v>155</v>
      </c>
      <c r="F17" s="29"/>
      <c r="G17" s="6"/>
      <c r="H17" s="7">
        <f t="shared" si="0"/>
        <v>1.25</v>
      </c>
      <c r="I17" s="7">
        <f t="shared" si="0"/>
        <v>1.7999999999999998</v>
      </c>
      <c r="J17" s="7">
        <f t="shared" si="0"/>
        <v>2.75</v>
      </c>
      <c r="K17" s="7">
        <f t="shared" si="0"/>
        <v>2.1</v>
      </c>
      <c r="L17" s="7">
        <f t="shared" si="0"/>
        <v>1.25</v>
      </c>
      <c r="M17" s="7">
        <f t="shared" si="0"/>
        <v>0.625</v>
      </c>
      <c r="N17" s="7">
        <v>10</v>
      </c>
      <c r="O17" s="7">
        <f t="shared" si="1"/>
        <v>0.5</v>
      </c>
      <c r="P17" s="18"/>
    </row>
    <row r="18" spans="1:16" x14ac:dyDescent="0.2">
      <c r="A18" s="93"/>
      <c r="B18" s="158" t="s">
        <v>156</v>
      </c>
      <c r="C18" s="159"/>
      <c r="D18" s="159"/>
      <c r="E18" s="159"/>
      <c r="F18" s="159"/>
      <c r="G18" s="159"/>
      <c r="H18" s="7">
        <f t="shared" ref="H18:M18" si="2">SUBTOTAL(9,H7:H17)</f>
        <v>21.625</v>
      </c>
      <c r="I18" s="7">
        <f t="shared" si="2"/>
        <v>31.14</v>
      </c>
      <c r="J18" s="7">
        <f t="shared" si="2"/>
        <v>47.575000000000003</v>
      </c>
      <c r="K18" s="7">
        <f t="shared" si="2"/>
        <v>36.33</v>
      </c>
      <c r="L18" s="7">
        <f t="shared" si="2"/>
        <v>21.625</v>
      </c>
      <c r="M18" s="7">
        <f t="shared" si="2"/>
        <v>10.8125</v>
      </c>
      <c r="N18" s="158">
        <f>SUM(H18:M18)</f>
        <v>169.10750000000002</v>
      </c>
      <c r="O18" s="160"/>
      <c r="P18" s="18"/>
    </row>
    <row r="19" spans="1:16" x14ac:dyDescent="0.2">
      <c r="A19" s="93"/>
      <c r="B19" s="158" t="s">
        <v>157</v>
      </c>
      <c r="C19" s="159"/>
      <c r="D19" s="159"/>
      <c r="E19" s="159"/>
      <c r="F19" s="159"/>
      <c r="G19" s="159"/>
      <c r="H19" s="7">
        <f t="shared" ref="H19:M19" si="3">ROUNDUP(SUM(H18:H18)/20,1)</f>
        <v>1.1000000000000001</v>
      </c>
      <c r="I19" s="7">
        <f t="shared" si="3"/>
        <v>1.6</v>
      </c>
      <c r="J19" s="7">
        <f t="shared" si="3"/>
        <v>2.4</v>
      </c>
      <c r="K19" s="7">
        <f t="shared" si="3"/>
        <v>1.9000000000000001</v>
      </c>
      <c r="L19" s="7">
        <f t="shared" si="3"/>
        <v>1.1000000000000001</v>
      </c>
      <c r="M19" s="7">
        <f t="shared" si="3"/>
        <v>0.6</v>
      </c>
      <c r="N19" s="158">
        <f t="shared" ref="N19:N20" si="4">SUM(H19:M19)</f>
        <v>8.6999999999999993</v>
      </c>
      <c r="O19" s="160"/>
      <c r="P19" s="18"/>
    </row>
    <row r="20" spans="1:16" x14ac:dyDescent="0.2">
      <c r="A20" s="93"/>
      <c r="B20" s="154" t="s">
        <v>158</v>
      </c>
      <c r="C20" s="155"/>
      <c r="D20" s="155"/>
      <c r="E20" s="155"/>
      <c r="F20" s="155"/>
      <c r="G20" s="155"/>
      <c r="H20" s="128">
        <f t="shared" ref="H20:M20" si="5">ROUNDUP(H19*0.2,1)</f>
        <v>0.30000000000000004</v>
      </c>
      <c r="I20" s="128">
        <f t="shared" si="5"/>
        <v>0.4</v>
      </c>
      <c r="J20" s="128">
        <f t="shared" si="5"/>
        <v>0.5</v>
      </c>
      <c r="K20" s="128">
        <f t="shared" si="5"/>
        <v>0.4</v>
      </c>
      <c r="L20" s="128">
        <f t="shared" si="5"/>
        <v>0.30000000000000004</v>
      </c>
      <c r="M20" s="128">
        <f t="shared" si="5"/>
        <v>0.2</v>
      </c>
      <c r="N20" s="154">
        <f t="shared" si="4"/>
        <v>2.1</v>
      </c>
      <c r="O20" s="161"/>
      <c r="P20" s="18"/>
    </row>
    <row r="21" spans="1:16" x14ac:dyDescent="0.2">
      <c r="A21" s="96"/>
      <c r="B21" s="154" t="s">
        <v>159</v>
      </c>
      <c r="C21" s="155"/>
      <c r="D21" s="155"/>
      <c r="E21" s="155"/>
      <c r="F21" s="155"/>
      <c r="G21" s="155"/>
      <c r="H21" s="129">
        <f t="shared" ref="H21:M21" si="6">H19*1100000</f>
        <v>1210000</v>
      </c>
      <c r="I21" s="129">
        <f t="shared" si="6"/>
        <v>1760000</v>
      </c>
      <c r="J21" s="129">
        <f t="shared" si="6"/>
        <v>2640000</v>
      </c>
      <c r="K21" s="129">
        <f t="shared" si="6"/>
        <v>2090000.0000000002</v>
      </c>
      <c r="L21" s="129">
        <f t="shared" si="6"/>
        <v>1210000</v>
      </c>
      <c r="M21" s="129">
        <f t="shared" si="6"/>
        <v>660000</v>
      </c>
      <c r="N21" s="156">
        <f>SUM(H21:M21,N20*1400000)</f>
        <v>12510000</v>
      </c>
      <c r="O21" s="157"/>
      <c r="P21" s="18"/>
    </row>
    <row r="22" spans="1:16" x14ac:dyDescent="0.2">
      <c r="B22" s="130"/>
      <c r="C22" s="130"/>
      <c r="D22" s="130"/>
      <c r="E22" s="131"/>
      <c r="F22" s="131"/>
      <c r="G22" s="130"/>
      <c r="H22" s="130">
        <f t="shared" ref="H22:M22" si="7">H20*1400000</f>
        <v>420000.00000000006</v>
      </c>
      <c r="I22" s="130">
        <f t="shared" si="7"/>
        <v>560000</v>
      </c>
      <c r="J22" s="130">
        <f t="shared" si="7"/>
        <v>700000</v>
      </c>
      <c r="K22" s="130">
        <f t="shared" si="7"/>
        <v>560000</v>
      </c>
      <c r="L22" s="130">
        <f t="shared" si="7"/>
        <v>420000.00000000006</v>
      </c>
      <c r="M22" s="130">
        <f t="shared" si="7"/>
        <v>280000</v>
      </c>
      <c r="N22" s="130"/>
      <c r="O22" s="130"/>
    </row>
  </sheetData>
  <autoFilter ref="A6:V21" xr:uid="{00000000-0001-0000-0000-000000000000}">
    <filterColumn colId="3" showButton="0"/>
  </autoFilter>
  <mergeCells count="22">
    <mergeCell ref="B21:G21"/>
    <mergeCell ref="N21:O21"/>
    <mergeCell ref="B18:G18"/>
    <mergeCell ref="N18:O18"/>
    <mergeCell ref="B19:G19"/>
    <mergeCell ref="N19:O19"/>
    <mergeCell ref="B20:G20"/>
    <mergeCell ref="N20:O20"/>
    <mergeCell ref="N3:N6"/>
    <mergeCell ref="O3:O6"/>
    <mergeCell ref="H4:H6"/>
    <mergeCell ref="I4:I6"/>
    <mergeCell ref="J4:J6"/>
    <mergeCell ref="K4:K6"/>
    <mergeCell ref="L4:L6"/>
    <mergeCell ref="M4:M6"/>
    <mergeCell ref="H3:M3"/>
    <mergeCell ref="B3:B6"/>
    <mergeCell ref="C3:C6"/>
    <mergeCell ref="D3:E6"/>
    <mergeCell ref="F3:F6"/>
    <mergeCell ref="G3:G6"/>
  </mergeCells>
  <phoneticPr fontId="2"/>
  <pageMargins left="0.15748031496062992" right="0.15748031496062992" top="0.15748031496062992" bottom="0.15748031496062992" header="0.31496062992125984" footer="0.31496062992125984"/>
  <pageSetup paperSize="9" scale="42" fitToHeight="1000"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72578C-F447-4367-B035-1B52CE0D60A7}">
  <sheetPr>
    <tabColor rgb="FFFFFF00"/>
  </sheetPr>
  <dimension ref="A3:T40"/>
  <sheetViews>
    <sheetView zoomScaleNormal="100" workbookViewId="0"/>
  </sheetViews>
  <sheetFormatPr defaultColWidth="9" defaultRowHeight="15" x14ac:dyDescent="0.2"/>
  <cols>
    <col min="1" max="2" width="9" style="35"/>
    <col min="3" max="3" width="9.88671875" style="35" bestFit="1" customWidth="1"/>
    <col min="4" max="4" width="9.88671875" style="35" customWidth="1"/>
    <col min="5" max="5" width="9" style="35"/>
    <col min="6" max="7" width="13.109375" style="35" bestFit="1" customWidth="1"/>
    <col min="8" max="8" width="14.109375" style="35" bestFit="1" customWidth="1"/>
    <col min="9" max="11" width="14.109375" style="35" customWidth="1"/>
    <col min="12" max="12" width="16.5546875" style="35" bestFit="1" customWidth="1"/>
    <col min="13" max="14" width="13.109375" style="35" bestFit="1" customWidth="1"/>
    <col min="15" max="16" width="16.5546875" style="35" bestFit="1" customWidth="1"/>
    <col min="17" max="17" width="9" style="35"/>
    <col min="18" max="18" width="14.6640625" style="35" bestFit="1" customWidth="1"/>
    <col min="19" max="19" width="14.33203125" style="35" bestFit="1" customWidth="1"/>
    <col min="20" max="16384" width="9" style="35"/>
  </cols>
  <sheetData>
    <row r="3" spans="1:18" x14ac:dyDescent="0.2">
      <c r="A3" s="35" t="s">
        <v>160</v>
      </c>
    </row>
    <row r="4" spans="1:18" x14ac:dyDescent="0.2">
      <c r="E4" s="172"/>
      <c r="F4" s="166" t="s">
        <v>161</v>
      </c>
      <c r="G4" s="167"/>
      <c r="H4" s="167"/>
      <c r="I4" s="167"/>
      <c r="J4" s="167"/>
      <c r="K4" s="167"/>
      <c r="L4" s="167"/>
      <c r="M4" s="167"/>
      <c r="N4" s="167"/>
      <c r="O4" s="167"/>
      <c r="P4" s="98"/>
    </row>
    <row r="5" spans="1:18" x14ac:dyDescent="0.2">
      <c r="E5" s="165"/>
      <c r="F5" s="99" t="s">
        <v>162</v>
      </c>
      <c r="G5" s="99" t="s">
        <v>163</v>
      </c>
      <c r="H5" s="99" t="s">
        <v>164</v>
      </c>
      <c r="I5" s="99" t="s">
        <v>165</v>
      </c>
      <c r="J5" s="99" t="s">
        <v>166</v>
      </c>
      <c r="K5" s="99" t="s">
        <v>167</v>
      </c>
      <c r="L5" s="99" t="s">
        <v>168</v>
      </c>
      <c r="M5" s="99" t="s">
        <v>169</v>
      </c>
      <c r="N5" s="99" t="s">
        <v>170</v>
      </c>
      <c r="O5" s="99" t="s">
        <v>171</v>
      </c>
      <c r="P5" s="98"/>
    </row>
    <row r="6" spans="1:18" x14ac:dyDescent="0.2">
      <c r="B6" s="162" t="s">
        <v>172</v>
      </c>
      <c r="C6" s="162"/>
      <c r="D6" s="162"/>
      <c r="E6" s="162"/>
      <c r="F6" s="98" t="s">
        <v>56</v>
      </c>
      <c r="G6" s="98" t="s">
        <v>56</v>
      </c>
      <c r="H6" s="171" t="s">
        <v>173</v>
      </c>
      <c r="I6" s="171"/>
      <c r="J6" s="168" t="s">
        <v>174</v>
      </c>
      <c r="K6" s="169"/>
      <c r="L6" s="168" t="s">
        <v>59</v>
      </c>
      <c r="M6" s="170"/>
      <c r="N6" s="132" t="s">
        <v>60</v>
      </c>
      <c r="O6" s="132" t="s">
        <v>175</v>
      </c>
      <c r="P6" s="98" t="s">
        <v>176</v>
      </c>
    </row>
    <row r="7" spans="1:18" x14ac:dyDescent="0.2">
      <c r="B7" s="100" t="s">
        <v>177</v>
      </c>
      <c r="C7" s="100">
        <v>1400000</v>
      </c>
      <c r="D7" s="106">
        <v>356240</v>
      </c>
      <c r="E7" s="100" t="s">
        <v>177</v>
      </c>
      <c r="F7" s="104">
        <v>1</v>
      </c>
      <c r="G7" s="104">
        <v>1</v>
      </c>
      <c r="H7" s="104">
        <v>1</v>
      </c>
      <c r="I7" s="104">
        <v>1</v>
      </c>
      <c r="J7" s="104">
        <v>1</v>
      </c>
      <c r="K7" s="104">
        <v>1</v>
      </c>
      <c r="L7" s="104">
        <v>1</v>
      </c>
      <c r="M7" s="104">
        <v>1</v>
      </c>
      <c r="N7" s="104">
        <v>1</v>
      </c>
      <c r="O7" s="104">
        <v>1</v>
      </c>
      <c r="P7" s="105">
        <f t="shared" ref="P7:P14" si="0">SUM(F7:O7)</f>
        <v>10</v>
      </c>
      <c r="R7" s="41">
        <f t="shared" ref="R7:R13" si="1">D7*COUNT(F7:O7)</f>
        <v>3562400</v>
      </c>
    </row>
    <row r="8" spans="1:18" x14ac:dyDescent="0.2">
      <c r="B8" s="100" t="s">
        <v>178</v>
      </c>
      <c r="C8" s="100">
        <v>1100000</v>
      </c>
      <c r="D8" s="100">
        <v>900000</v>
      </c>
      <c r="E8" s="100" t="s">
        <v>178</v>
      </c>
      <c r="F8" s="39">
        <v>2</v>
      </c>
      <c r="G8" s="39">
        <v>2</v>
      </c>
      <c r="H8" s="39">
        <v>3</v>
      </c>
      <c r="I8" s="39">
        <v>3</v>
      </c>
      <c r="J8" s="39">
        <v>2</v>
      </c>
      <c r="K8" s="39">
        <v>2</v>
      </c>
      <c r="L8" s="39">
        <v>2</v>
      </c>
      <c r="M8" s="39">
        <v>2</v>
      </c>
      <c r="N8" s="39">
        <v>2</v>
      </c>
      <c r="O8" s="39">
        <v>1</v>
      </c>
      <c r="P8" s="105">
        <f t="shared" si="0"/>
        <v>21</v>
      </c>
      <c r="R8" s="41">
        <f t="shared" si="1"/>
        <v>9000000</v>
      </c>
    </row>
    <row r="9" spans="1:18" x14ac:dyDescent="0.2">
      <c r="B9" s="100" t="s">
        <v>179</v>
      </c>
      <c r="C9" s="100">
        <v>1000000</v>
      </c>
      <c r="D9" s="106">
        <v>88256</v>
      </c>
      <c r="E9" s="100" t="s">
        <v>180</v>
      </c>
      <c r="F9" s="39"/>
      <c r="G9" s="39"/>
      <c r="H9" s="39"/>
      <c r="I9" s="39"/>
      <c r="J9" s="39">
        <v>1</v>
      </c>
      <c r="K9" s="39">
        <v>1</v>
      </c>
      <c r="L9" s="39">
        <v>1</v>
      </c>
      <c r="M9" s="39">
        <v>1</v>
      </c>
      <c r="N9" s="39">
        <v>1</v>
      </c>
      <c r="O9" s="39">
        <v>0.5</v>
      </c>
      <c r="P9" s="105">
        <f t="shared" si="0"/>
        <v>5.5</v>
      </c>
      <c r="R9" s="41">
        <f t="shared" si="1"/>
        <v>529536</v>
      </c>
    </row>
    <row r="10" spans="1:18" x14ac:dyDescent="0.2">
      <c r="B10" s="100" t="s">
        <v>181</v>
      </c>
      <c r="C10" s="100">
        <v>700000</v>
      </c>
      <c r="D10" s="100">
        <v>350000</v>
      </c>
      <c r="E10" s="100" t="s">
        <v>182</v>
      </c>
      <c r="F10" s="39"/>
      <c r="G10" s="39"/>
      <c r="H10" s="39"/>
      <c r="I10" s="39"/>
      <c r="J10" s="39">
        <v>1</v>
      </c>
      <c r="K10" s="39">
        <v>1</v>
      </c>
      <c r="L10" s="39">
        <v>1</v>
      </c>
      <c r="M10" s="39">
        <v>1</v>
      </c>
      <c r="N10" s="39">
        <v>1</v>
      </c>
      <c r="O10" s="39">
        <v>1</v>
      </c>
      <c r="P10" s="105">
        <f t="shared" si="0"/>
        <v>6</v>
      </c>
      <c r="R10" s="41">
        <f t="shared" si="1"/>
        <v>2100000</v>
      </c>
    </row>
    <row r="11" spans="1:18" x14ac:dyDescent="0.2">
      <c r="B11" s="100" t="s">
        <v>183</v>
      </c>
      <c r="C11" s="100">
        <v>700000</v>
      </c>
      <c r="D11" s="100">
        <v>350000</v>
      </c>
      <c r="E11" s="100" t="s">
        <v>182</v>
      </c>
      <c r="F11" s="39"/>
      <c r="G11" s="39"/>
      <c r="H11" s="39"/>
      <c r="I11" s="39"/>
      <c r="J11" s="39">
        <v>1</v>
      </c>
      <c r="K11" s="39">
        <v>1</v>
      </c>
      <c r="L11" s="39">
        <v>1</v>
      </c>
      <c r="M11" s="39">
        <v>1</v>
      </c>
      <c r="N11" s="39">
        <v>1</v>
      </c>
      <c r="O11" s="39"/>
      <c r="P11" s="105">
        <f t="shared" si="0"/>
        <v>5</v>
      </c>
      <c r="R11" s="41">
        <f t="shared" si="1"/>
        <v>1750000</v>
      </c>
    </row>
    <row r="12" spans="1:18" x14ac:dyDescent="0.2">
      <c r="B12" s="100"/>
      <c r="C12" s="100">
        <v>700000</v>
      </c>
      <c r="D12" s="100">
        <v>350000</v>
      </c>
      <c r="E12" s="100" t="s">
        <v>182</v>
      </c>
      <c r="F12" s="39"/>
      <c r="G12" s="39"/>
      <c r="H12" s="39"/>
      <c r="I12" s="39"/>
      <c r="J12" s="39">
        <v>1</v>
      </c>
      <c r="K12" s="39">
        <v>1</v>
      </c>
      <c r="L12" s="39"/>
      <c r="M12" s="39"/>
      <c r="N12" s="39"/>
      <c r="O12" s="39"/>
      <c r="P12" s="105">
        <f t="shared" si="0"/>
        <v>2</v>
      </c>
      <c r="R12" s="35">
        <f t="shared" si="1"/>
        <v>700000</v>
      </c>
    </row>
    <row r="13" spans="1:18" x14ac:dyDescent="0.2">
      <c r="B13" s="100"/>
      <c r="C13" s="100">
        <v>700000</v>
      </c>
      <c r="D13" s="100">
        <v>350000</v>
      </c>
      <c r="E13" s="100" t="s">
        <v>182</v>
      </c>
      <c r="F13" s="39"/>
      <c r="G13" s="39"/>
      <c r="H13" s="39"/>
      <c r="I13" s="39"/>
      <c r="J13" s="39">
        <v>1</v>
      </c>
      <c r="K13" s="39">
        <v>1</v>
      </c>
      <c r="L13" s="39"/>
      <c r="M13" s="39"/>
      <c r="N13" s="39"/>
      <c r="O13" s="39"/>
      <c r="P13" s="105">
        <f t="shared" si="0"/>
        <v>2</v>
      </c>
      <c r="R13" s="35">
        <f t="shared" si="1"/>
        <v>700000</v>
      </c>
    </row>
    <row r="14" spans="1:18" x14ac:dyDescent="0.2">
      <c r="B14" s="162" t="s">
        <v>184</v>
      </c>
      <c r="C14" s="162"/>
      <c r="D14" s="162"/>
      <c r="E14" s="162"/>
      <c r="F14" s="104">
        <f t="shared" ref="F14:O14" si="2">SUM(F7:F13)</f>
        <v>3</v>
      </c>
      <c r="G14" s="104">
        <f t="shared" si="2"/>
        <v>3</v>
      </c>
      <c r="H14" s="104">
        <f t="shared" si="2"/>
        <v>4</v>
      </c>
      <c r="I14" s="104">
        <f t="shared" si="2"/>
        <v>4</v>
      </c>
      <c r="J14" s="104">
        <f t="shared" si="2"/>
        <v>8</v>
      </c>
      <c r="K14" s="104">
        <f t="shared" si="2"/>
        <v>8</v>
      </c>
      <c r="L14" s="104">
        <f t="shared" si="2"/>
        <v>6</v>
      </c>
      <c r="M14" s="104">
        <f t="shared" si="2"/>
        <v>6</v>
      </c>
      <c r="N14" s="104">
        <f t="shared" si="2"/>
        <v>6</v>
      </c>
      <c r="O14" s="104">
        <f t="shared" si="2"/>
        <v>3.5</v>
      </c>
      <c r="P14" s="39">
        <f t="shared" si="0"/>
        <v>51.5</v>
      </c>
    </row>
    <row r="15" spans="1:18" x14ac:dyDescent="0.2">
      <c r="F15" s="41"/>
      <c r="G15" s="41"/>
      <c r="H15" s="41"/>
      <c r="I15" s="41"/>
      <c r="J15" s="41"/>
      <c r="K15" s="41"/>
      <c r="L15" s="41"/>
      <c r="M15" s="41"/>
      <c r="N15" s="41"/>
      <c r="O15" s="41"/>
      <c r="P15" s="41"/>
    </row>
    <row r="16" spans="1:18" x14ac:dyDescent="0.2">
      <c r="B16" s="100" t="s">
        <v>177</v>
      </c>
      <c r="F16" s="109">
        <f t="shared" ref="F16:O16" si="3">$C7*F7</f>
        <v>1400000</v>
      </c>
      <c r="G16" s="109">
        <f t="shared" si="3"/>
        <v>1400000</v>
      </c>
      <c r="H16" s="109">
        <f t="shared" si="3"/>
        <v>1400000</v>
      </c>
      <c r="I16" s="109">
        <f t="shared" si="3"/>
        <v>1400000</v>
      </c>
      <c r="J16" s="109">
        <f t="shared" si="3"/>
        <v>1400000</v>
      </c>
      <c r="K16" s="109">
        <f t="shared" si="3"/>
        <v>1400000</v>
      </c>
      <c r="L16" s="109">
        <f t="shared" si="3"/>
        <v>1400000</v>
      </c>
      <c r="M16" s="109">
        <f t="shared" si="3"/>
        <v>1400000</v>
      </c>
      <c r="N16" s="109">
        <f t="shared" si="3"/>
        <v>1400000</v>
      </c>
      <c r="O16" s="109">
        <f t="shared" si="3"/>
        <v>1400000</v>
      </c>
      <c r="P16" s="40">
        <f t="shared" ref="P16:P21" si="4">SUM(F16:O16)</f>
        <v>14000000</v>
      </c>
    </row>
    <row r="17" spans="1:20" x14ac:dyDescent="0.2">
      <c r="B17" s="100" t="s">
        <v>178</v>
      </c>
      <c r="F17" s="41"/>
      <c r="G17" s="109">
        <f t="shared" ref="G17:O17" si="5">$C8*G8</f>
        <v>2200000</v>
      </c>
      <c r="H17" s="109">
        <f t="shared" si="5"/>
        <v>3300000</v>
      </c>
      <c r="I17" s="109">
        <f t="shared" si="5"/>
        <v>3300000</v>
      </c>
      <c r="J17" s="109">
        <f t="shared" si="5"/>
        <v>2200000</v>
      </c>
      <c r="K17" s="109">
        <f t="shared" si="5"/>
        <v>2200000</v>
      </c>
      <c r="L17" s="109">
        <f t="shared" si="5"/>
        <v>2200000</v>
      </c>
      <c r="M17" s="109">
        <f t="shared" si="5"/>
        <v>2200000</v>
      </c>
      <c r="N17" s="109">
        <f t="shared" si="5"/>
        <v>2200000</v>
      </c>
      <c r="O17" s="109">
        <f t="shared" si="5"/>
        <v>1100000</v>
      </c>
      <c r="P17" s="40">
        <f t="shared" si="4"/>
        <v>20900000</v>
      </c>
    </row>
    <row r="18" spans="1:20" x14ac:dyDescent="0.2">
      <c r="B18" s="100" t="s">
        <v>179</v>
      </c>
      <c r="F18" s="41"/>
      <c r="G18" s="109">
        <f t="shared" ref="G18:O18" si="6">$C9*G9</f>
        <v>0</v>
      </c>
      <c r="H18" s="109">
        <f t="shared" si="6"/>
        <v>0</v>
      </c>
      <c r="I18" s="109">
        <f t="shared" si="6"/>
        <v>0</v>
      </c>
      <c r="J18" s="109">
        <f t="shared" si="6"/>
        <v>1000000</v>
      </c>
      <c r="K18" s="109">
        <f t="shared" si="6"/>
        <v>1000000</v>
      </c>
      <c r="L18" s="109">
        <f t="shared" si="6"/>
        <v>1000000</v>
      </c>
      <c r="M18" s="109">
        <f t="shared" si="6"/>
        <v>1000000</v>
      </c>
      <c r="N18" s="109">
        <f t="shared" si="6"/>
        <v>1000000</v>
      </c>
      <c r="O18" s="109">
        <f t="shared" si="6"/>
        <v>500000</v>
      </c>
      <c r="P18" s="40">
        <f t="shared" si="4"/>
        <v>5500000</v>
      </c>
    </row>
    <row r="19" spans="1:20" x14ac:dyDescent="0.2">
      <c r="B19" s="100" t="s">
        <v>181</v>
      </c>
      <c r="F19" s="41"/>
      <c r="G19" s="109">
        <f t="shared" ref="G19:O19" si="7">$C10*G10</f>
        <v>0</v>
      </c>
      <c r="H19" s="109">
        <f t="shared" si="7"/>
        <v>0</v>
      </c>
      <c r="I19" s="109">
        <f t="shared" si="7"/>
        <v>0</v>
      </c>
      <c r="J19" s="109">
        <f t="shared" si="7"/>
        <v>700000</v>
      </c>
      <c r="K19" s="109">
        <f t="shared" si="7"/>
        <v>700000</v>
      </c>
      <c r="L19" s="109">
        <f t="shared" si="7"/>
        <v>700000</v>
      </c>
      <c r="M19" s="109">
        <f t="shared" si="7"/>
        <v>700000</v>
      </c>
      <c r="N19" s="109">
        <f t="shared" si="7"/>
        <v>700000</v>
      </c>
      <c r="O19" s="109">
        <f t="shared" si="7"/>
        <v>700000</v>
      </c>
      <c r="P19" s="40">
        <f t="shared" si="4"/>
        <v>4200000</v>
      </c>
    </row>
    <row r="20" spans="1:20" x14ac:dyDescent="0.2">
      <c r="B20" s="100" t="s">
        <v>183</v>
      </c>
      <c r="F20" s="41"/>
      <c r="G20" s="109">
        <f t="shared" ref="G20:O20" si="8">$C11*G11</f>
        <v>0</v>
      </c>
      <c r="H20" s="109">
        <f t="shared" si="8"/>
        <v>0</v>
      </c>
      <c r="I20" s="109">
        <f t="shared" si="8"/>
        <v>0</v>
      </c>
      <c r="J20" s="109">
        <f t="shared" si="8"/>
        <v>700000</v>
      </c>
      <c r="K20" s="109">
        <f t="shared" si="8"/>
        <v>700000</v>
      </c>
      <c r="L20" s="109">
        <f t="shared" si="8"/>
        <v>700000</v>
      </c>
      <c r="M20" s="109">
        <f t="shared" si="8"/>
        <v>700000</v>
      </c>
      <c r="N20" s="109">
        <f t="shared" si="8"/>
        <v>700000</v>
      </c>
      <c r="O20" s="109">
        <f t="shared" si="8"/>
        <v>0</v>
      </c>
      <c r="P20" s="40">
        <f t="shared" si="4"/>
        <v>3500000</v>
      </c>
    </row>
    <row r="21" spans="1:20" x14ac:dyDescent="0.2">
      <c r="F21" s="108">
        <f t="shared" ref="F21:O21" si="9">SUM(F16:F20)</f>
        <v>1400000</v>
      </c>
      <c r="G21" s="108">
        <f t="shared" si="9"/>
        <v>3600000</v>
      </c>
      <c r="H21" s="108">
        <f t="shared" si="9"/>
        <v>4700000</v>
      </c>
      <c r="I21" s="108">
        <f t="shared" si="9"/>
        <v>4700000</v>
      </c>
      <c r="J21" s="108">
        <f t="shared" si="9"/>
        <v>6000000</v>
      </c>
      <c r="K21" s="108">
        <f t="shared" si="9"/>
        <v>6000000</v>
      </c>
      <c r="L21" s="108">
        <f t="shared" si="9"/>
        <v>6000000</v>
      </c>
      <c r="M21" s="108">
        <f t="shared" si="9"/>
        <v>6000000</v>
      </c>
      <c r="N21" s="108">
        <f t="shared" si="9"/>
        <v>6000000</v>
      </c>
      <c r="O21" s="108">
        <f t="shared" si="9"/>
        <v>3700000</v>
      </c>
      <c r="P21" s="40">
        <f t="shared" si="4"/>
        <v>48100000</v>
      </c>
      <c r="R21" s="41">
        <f>SUM(R7:R13)</f>
        <v>18341936</v>
      </c>
      <c r="S21" s="41">
        <f>P22-R21</f>
        <v>31538064</v>
      </c>
      <c r="T21" s="107">
        <f>S21/P22</f>
        <v>0.63227874899759418</v>
      </c>
    </row>
    <row r="22" spans="1:20" x14ac:dyDescent="0.2">
      <c r="O22" s="35" t="s">
        <v>185</v>
      </c>
      <c r="P22" s="41">
        <v>49880000</v>
      </c>
    </row>
    <row r="25" spans="1:20" x14ac:dyDescent="0.2">
      <c r="A25" s="35" t="s">
        <v>186</v>
      </c>
    </row>
    <row r="26" spans="1:20" x14ac:dyDescent="0.2">
      <c r="E26" s="164"/>
      <c r="F26" s="163" t="s">
        <v>161</v>
      </c>
      <c r="G26" s="163"/>
      <c r="H26" s="163"/>
      <c r="I26" s="163"/>
      <c r="J26" s="163"/>
      <c r="K26" s="163"/>
      <c r="L26" s="163"/>
      <c r="P26" s="145"/>
    </row>
    <row r="27" spans="1:20" x14ac:dyDescent="0.2">
      <c r="E27" s="165"/>
      <c r="F27" s="142" t="s">
        <v>162</v>
      </c>
      <c r="G27" s="142" t="s">
        <v>163</v>
      </c>
      <c r="H27" s="142" t="s">
        <v>164</v>
      </c>
      <c r="I27" s="142" t="s">
        <v>165</v>
      </c>
      <c r="J27" s="143" t="s">
        <v>166</v>
      </c>
      <c r="K27" s="142" t="s">
        <v>167</v>
      </c>
      <c r="L27" s="144"/>
    </row>
    <row r="28" spans="1:20" x14ac:dyDescent="0.2">
      <c r="B28" s="162" t="s">
        <v>172</v>
      </c>
      <c r="C28" s="162"/>
      <c r="D28" s="162"/>
      <c r="E28" s="162"/>
      <c r="F28" s="98" t="s">
        <v>56</v>
      </c>
      <c r="G28" s="98" t="s">
        <v>39</v>
      </c>
      <c r="H28" s="139" t="s">
        <v>187</v>
      </c>
      <c r="I28" s="137" t="s">
        <v>44</v>
      </c>
      <c r="J28" s="140" t="s">
        <v>188</v>
      </c>
      <c r="K28" s="138" t="s">
        <v>189</v>
      </c>
      <c r="L28" s="98" t="s">
        <v>176</v>
      </c>
    </row>
    <row r="29" spans="1:20" x14ac:dyDescent="0.2">
      <c r="B29" s="100" t="s">
        <v>177</v>
      </c>
      <c r="C29" s="100">
        <v>1400000</v>
      </c>
      <c r="D29" s="106">
        <v>356240</v>
      </c>
      <c r="E29" s="100" t="s">
        <v>177</v>
      </c>
      <c r="F29" s="104">
        <v>0.5</v>
      </c>
      <c r="G29" s="104">
        <v>1</v>
      </c>
      <c r="H29" s="104">
        <v>0.5</v>
      </c>
      <c r="I29" s="104">
        <v>0.5</v>
      </c>
      <c r="J29" s="141">
        <v>0.5</v>
      </c>
      <c r="K29" s="104">
        <v>0.5</v>
      </c>
      <c r="L29" s="105">
        <f>SUM(F29:K29)</f>
        <v>3.5</v>
      </c>
      <c r="N29" s="41">
        <f>D29*COUNT(F29:K29)</f>
        <v>2137440</v>
      </c>
    </row>
    <row r="30" spans="1:20" x14ac:dyDescent="0.2">
      <c r="B30" s="100" t="s">
        <v>178</v>
      </c>
      <c r="C30" s="100">
        <v>1100000</v>
      </c>
      <c r="D30" s="100">
        <v>900000</v>
      </c>
      <c r="E30" s="100" t="s">
        <v>178</v>
      </c>
      <c r="F30" s="39">
        <v>1</v>
      </c>
      <c r="G30" s="39">
        <v>1</v>
      </c>
      <c r="H30" s="39">
        <v>1</v>
      </c>
      <c r="I30" s="39">
        <v>1</v>
      </c>
      <c r="J30" s="39">
        <v>1</v>
      </c>
      <c r="K30" s="39">
        <v>0.5</v>
      </c>
      <c r="L30" s="105">
        <f>SUM(F30:K30)</f>
        <v>5.5</v>
      </c>
      <c r="N30" s="41">
        <f>D30*COUNT(F30:K30)</f>
        <v>5400000</v>
      </c>
    </row>
    <row r="31" spans="1:20" x14ac:dyDescent="0.2">
      <c r="B31" s="100" t="s">
        <v>179</v>
      </c>
      <c r="C31" s="100">
        <v>1000000</v>
      </c>
      <c r="D31" s="106">
        <v>88256</v>
      </c>
      <c r="E31" s="100" t="s">
        <v>180</v>
      </c>
      <c r="F31" s="39"/>
      <c r="G31" s="39"/>
      <c r="H31" s="39">
        <v>0.5</v>
      </c>
      <c r="I31" s="39">
        <v>0.5</v>
      </c>
      <c r="J31" s="39"/>
      <c r="K31" s="39"/>
      <c r="L31" s="105">
        <f>SUM(F31:K31)</f>
        <v>1</v>
      </c>
      <c r="N31" s="41">
        <f>D31*COUNT(F31:K31)</f>
        <v>176512</v>
      </c>
    </row>
    <row r="32" spans="1:20" x14ac:dyDescent="0.2">
      <c r="B32" s="100" t="s">
        <v>181</v>
      </c>
      <c r="C32" s="100">
        <v>700000</v>
      </c>
      <c r="D32" s="100">
        <v>350000</v>
      </c>
      <c r="E32" s="100" t="s">
        <v>182</v>
      </c>
      <c r="F32" s="39"/>
      <c r="G32" s="39"/>
      <c r="H32" s="39">
        <v>1</v>
      </c>
      <c r="I32" s="39">
        <v>1</v>
      </c>
      <c r="J32" s="39"/>
      <c r="K32" s="39"/>
      <c r="L32" s="105">
        <f>SUM(F32:K32)</f>
        <v>2</v>
      </c>
      <c r="N32" s="41">
        <f>D32*COUNT(F32:K32)</f>
        <v>700000</v>
      </c>
    </row>
    <row r="33" spans="2:16" x14ac:dyDescent="0.2">
      <c r="B33" s="162" t="s">
        <v>184</v>
      </c>
      <c r="C33" s="162"/>
      <c r="D33" s="162"/>
      <c r="E33" s="162"/>
      <c r="F33" s="104">
        <f t="shared" ref="F33:K33" si="10">SUM(F29:F32)</f>
        <v>1.5</v>
      </c>
      <c r="G33" s="104">
        <f t="shared" si="10"/>
        <v>2</v>
      </c>
      <c r="H33" s="104">
        <f t="shared" si="10"/>
        <v>3</v>
      </c>
      <c r="I33" s="104">
        <f t="shared" si="10"/>
        <v>3</v>
      </c>
      <c r="J33" s="104">
        <f t="shared" si="10"/>
        <v>1.5</v>
      </c>
      <c r="K33" s="104">
        <f t="shared" si="10"/>
        <v>1</v>
      </c>
      <c r="L33" s="39">
        <f>SUM(F33:K33)</f>
        <v>12</v>
      </c>
    </row>
    <row r="34" spans="2:16" x14ac:dyDescent="0.2">
      <c r="F34" s="41"/>
      <c r="G34" s="41"/>
      <c r="H34" s="41"/>
      <c r="I34" s="41"/>
      <c r="J34" s="41"/>
      <c r="K34" s="41"/>
      <c r="L34" s="41"/>
    </row>
    <row r="35" spans="2:16" x14ac:dyDescent="0.2">
      <c r="B35" s="100" t="s">
        <v>177</v>
      </c>
      <c r="F35" s="109">
        <f t="shared" ref="F35:K35" si="11">$C29*F29</f>
        <v>700000</v>
      </c>
      <c r="G35" s="109">
        <f t="shared" si="11"/>
        <v>1400000</v>
      </c>
      <c r="H35" s="109">
        <f t="shared" si="11"/>
        <v>700000</v>
      </c>
      <c r="I35" s="109">
        <f t="shared" si="11"/>
        <v>700000</v>
      </c>
      <c r="J35" s="109">
        <f t="shared" si="11"/>
        <v>700000</v>
      </c>
      <c r="K35" s="109">
        <f t="shared" si="11"/>
        <v>700000</v>
      </c>
      <c r="L35" s="40">
        <f>SUM(F35:K35)</f>
        <v>4900000</v>
      </c>
    </row>
    <row r="36" spans="2:16" x14ac:dyDescent="0.2">
      <c r="B36" s="100" t="s">
        <v>178</v>
      </c>
      <c r="F36" s="41"/>
      <c r="G36" s="109">
        <f t="shared" ref="G36:K38" si="12">$C30*G30</f>
        <v>1100000</v>
      </c>
      <c r="H36" s="109">
        <f t="shared" si="12"/>
        <v>1100000</v>
      </c>
      <c r="I36" s="109">
        <f t="shared" si="12"/>
        <v>1100000</v>
      </c>
      <c r="J36" s="109">
        <f t="shared" si="12"/>
        <v>1100000</v>
      </c>
      <c r="K36" s="109">
        <f t="shared" si="12"/>
        <v>550000</v>
      </c>
      <c r="L36" s="40">
        <f>SUM(F36:K36)</f>
        <v>4950000</v>
      </c>
    </row>
    <row r="37" spans="2:16" x14ac:dyDescent="0.2">
      <c r="B37" s="100" t="s">
        <v>179</v>
      </c>
      <c r="F37" s="41"/>
      <c r="G37" s="109">
        <f t="shared" si="12"/>
        <v>0</v>
      </c>
      <c r="H37" s="109">
        <f t="shared" si="12"/>
        <v>500000</v>
      </c>
      <c r="I37" s="109">
        <f t="shared" si="12"/>
        <v>500000</v>
      </c>
      <c r="J37" s="109">
        <f t="shared" si="12"/>
        <v>0</v>
      </c>
      <c r="K37" s="109">
        <f t="shared" si="12"/>
        <v>0</v>
      </c>
      <c r="L37" s="40">
        <f>SUM(F37:K37)</f>
        <v>1000000</v>
      </c>
    </row>
    <row r="38" spans="2:16" x14ac:dyDescent="0.2">
      <c r="B38" s="100" t="s">
        <v>181</v>
      </c>
      <c r="F38" s="41"/>
      <c r="G38" s="109">
        <f t="shared" si="12"/>
        <v>0</v>
      </c>
      <c r="H38" s="109">
        <f t="shared" si="12"/>
        <v>700000</v>
      </c>
      <c r="I38" s="109">
        <f t="shared" si="12"/>
        <v>700000</v>
      </c>
      <c r="J38" s="109">
        <f t="shared" si="12"/>
        <v>0</v>
      </c>
      <c r="K38" s="109">
        <f t="shared" si="12"/>
        <v>0</v>
      </c>
      <c r="L38" s="40">
        <f>SUM(F38:K38)</f>
        <v>1400000</v>
      </c>
    </row>
    <row r="39" spans="2:16" x14ac:dyDescent="0.2">
      <c r="F39" s="108">
        <f t="shared" ref="F39:K39" si="13">SUM(F35:F38)</f>
        <v>700000</v>
      </c>
      <c r="G39" s="108">
        <f t="shared" si="13"/>
        <v>2500000</v>
      </c>
      <c r="H39" s="108">
        <f t="shared" si="13"/>
        <v>3000000</v>
      </c>
      <c r="I39" s="108">
        <f t="shared" si="13"/>
        <v>3000000</v>
      </c>
      <c r="J39" s="108">
        <f t="shared" si="13"/>
        <v>1800000</v>
      </c>
      <c r="K39" s="108">
        <f t="shared" si="13"/>
        <v>1250000</v>
      </c>
      <c r="L39" s="40">
        <f>SUM(F39:K39)</f>
        <v>12250000</v>
      </c>
      <c r="N39" s="41">
        <f>SUM(N29:N32)</f>
        <v>8413952</v>
      </c>
      <c r="O39" s="41">
        <f>P40-N39</f>
        <v>4096048</v>
      </c>
      <c r="P39" s="107">
        <f>O39/P40</f>
        <v>0.32742190247801761</v>
      </c>
    </row>
    <row r="40" spans="2:16" x14ac:dyDescent="0.2">
      <c r="O40" s="35" t="s">
        <v>185</v>
      </c>
      <c r="P40" s="41">
        <v>12510000</v>
      </c>
    </row>
  </sheetData>
  <mergeCells count="11">
    <mergeCell ref="B33:E33"/>
    <mergeCell ref="F26:L26"/>
    <mergeCell ref="E26:E27"/>
    <mergeCell ref="B28:E28"/>
    <mergeCell ref="F4:O4"/>
    <mergeCell ref="J6:K6"/>
    <mergeCell ref="L6:M6"/>
    <mergeCell ref="B14:E14"/>
    <mergeCell ref="H6:I6"/>
    <mergeCell ref="E4:E5"/>
    <mergeCell ref="B6:E6"/>
  </mergeCells>
  <phoneticPr fontId="2"/>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58D4B3-7CDA-4688-9EBE-5F6E13A9E99F}">
  <sheetPr>
    <tabColor theme="1" tint="0.499984740745262"/>
    <pageSetUpPr fitToPage="1"/>
  </sheetPr>
  <dimension ref="A1:P77"/>
  <sheetViews>
    <sheetView view="pageBreakPreview" zoomScale="70" zoomScaleSheetLayoutView="70" workbookViewId="0"/>
  </sheetViews>
  <sheetFormatPr defaultColWidth="9" defaultRowHeight="16.2" x14ac:dyDescent="0.2"/>
  <cols>
    <col min="1" max="1" width="5.33203125" style="4" customWidth="1"/>
    <col min="2" max="2" width="13.33203125" style="4" bestFit="1" customWidth="1"/>
    <col min="3" max="3" width="11.109375" style="4" bestFit="1" customWidth="1"/>
    <col min="4" max="4" width="40" style="4" bestFit="1" customWidth="1"/>
    <col min="5" max="6" width="36.109375" style="127" customWidth="1"/>
    <col min="7" max="7" width="46.6640625" style="4" bestFit="1" customWidth="1"/>
    <col min="8" max="8" width="16.6640625" style="4" bestFit="1" customWidth="1"/>
    <col min="9" max="9" width="15.6640625" style="4" customWidth="1"/>
    <col min="10" max="10" width="17.88671875" style="4" customWidth="1"/>
    <col min="11" max="12" width="15.6640625" style="4" customWidth="1"/>
    <col min="13" max="13" width="16.33203125" style="4" customWidth="1"/>
    <col min="14" max="14" width="17.88671875" style="4" customWidth="1"/>
    <col min="15" max="16" width="26.6640625" style="4" customWidth="1"/>
    <col min="17" max="22" width="9" style="4" customWidth="1"/>
    <col min="23" max="16384" width="9" style="4"/>
  </cols>
  <sheetData>
    <row r="1" spans="1:16" s="2" customFormat="1" x14ac:dyDescent="0.2">
      <c r="A1" s="5"/>
      <c r="E1" s="117"/>
      <c r="F1" s="117"/>
      <c r="G1" s="5"/>
      <c r="H1" s="1"/>
      <c r="I1" s="1"/>
      <c r="J1" s="1"/>
      <c r="K1" s="1"/>
      <c r="L1" s="1"/>
      <c r="M1" s="1"/>
    </row>
    <row r="2" spans="1:16" s="3" customFormat="1" ht="16.5" customHeight="1" x14ac:dyDescent="0.2">
      <c r="E2" s="118"/>
      <c r="F2" s="118"/>
      <c r="H2" s="133">
        <v>0.125</v>
      </c>
      <c r="I2" s="133">
        <v>0.18</v>
      </c>
      <c r="J2" s="134">
        <v>0.27500000000000002</v>
      </c>
      <c r="K2" s="134">
        <v>0.21</v>
      </c>
      <c r="L2" s="134">
        <v>0.125</v>
      </c>
      <c r="M2" s="134">
        <v>6.25E-2</v>
      </c>
      <c r="N2" s="3">
        <f>SUM(H2:M2)</f>
        <v>0.97750000000000004</v>
      </c>
    </row>
    <row r="3" spans="1:16" s="3" customFormat="1" ht="48.6" customHeight="1" x14ac:dyDescent="0.2">
      <c r="B3" s="146" t="s">
        <v>48</v>
      </c>
      <c r="C3" s="146" t="s">
        <v>49</v>
      </c>
      <c r="D3" s="146" t="s">
        <v>50</v>
      </c>
      <c r="E3" s="146"/>
      <c r="F3" s="147" t="s">
        <v>51</v>
      </c>
      <c r="G3" s="150" t="s">
        <v>52</v>
      </c>
      <c r="H3" s="152" t="s">
        <v>53</v>
      </c>
      <c r="I3" s="153"/>
      <c r="J3" s="153"/>
      <c r="K3" s="153"/>
      <c r="L3" s="153"/>
      <c r="M3" s="153"/>
      <c r="N3" s="151" t="s">
        <v>54</v>
      </c>
      <c r="O3" s="151" t="s">
        <v>55</v>
      </c>
      <c r="P3" s="17"/>
    </row>
    <row r="4" spans="1:16" s="3" customFormat="1" x14ac:dyDescent="0.2">
      <c r="B4" s="146"/>
      <c r="C4" s="146"/>
      <c r="D4" s="146"/>
      <c r="E4" s="146"/>
      <c r="F4" s="148"/>
      <c r="G4" s="150"/>
      <c r="H4" s="147" t="s">
        <v>56</v>
      </c>
      <c r="I4" s="151" t="s">
        <v>57</v>
      </c>
      <c r="J4" s="151" t="s">
        <v>58</v>
      </c>
      <c r="K4" s="151" t="s">
        <v>59</v>
      </c>
      <c r="L4" s="151" t="s">
        <v>60</v>
      </c>
      <c r="M4" s="151" t="s">
        <v>61</v>
      </c>
      <c r="N4" s="151"/>
      <c r="O4" s="151"/>
      <c r="P4" s="17"/>
    </row>
    <row r="5" spans="1:16" ht="36" customHeight="1" x14ac:dyDescent="0.2">
      <c r="B5" s="146"/>
      <c r="C5" s="146"/>
      <c r="D5" s="146"/>
      <c r="E5" s="146"/>
      <c r="F5" s="148"/>
      <c r="G5" s="150"/>
      <c r="H5" s="148"/>
      <c r="I5" s="151"/>
      <c r="J5" s="151"/>
      <c r="K5" s="151"/>
      <c r="L5" s="151"/>
      <c r="M5" s="151"/>
      <c r="N5" s="151"/>
      <c r="O5" s="151"/>
      <c r="P5" s="17"/>
    </row>
    <row r="6" spans="1:16" x14ac:dyDescent="0.2">
      <c r="A6" s="93"/>
      <c r="B6" s="146"/>
      <c r="C6" s="146"/>
      <c r="D6" s="146"/>
      <c r="E6" s="146"/>
      <c r="F6" s="149"/>
      <c r="G6" s="150"/>
      <c r="H6" s="149"/>
      <c r="I6" s="151"/>
      <c r="J6" s="151"/>
      <c r="K6" s="151"/>
      <c r="L6" s="151"/>
      <c r="M6" s="151"/>
      <c r="N6" s="151"/>
      <c r="O6" s="151"/>
      <c r="P6" s="17"/>
    </row>
    <row r="7" spans="1:16" x14ac:dyDescent="0.2">
      <c r="A7" s="94"/>
      <c r="B7" s="97" t="s">
        <v>62</v>
      </c>
      <c r="C7" s="7" t="s">
        <v>63</v>
      </c>
      <c r="D7" s="110" t="s">
        <v>64</v>
      </c>
      <c r="E7" s="119" t="s">
        <v>65</v>
      </c>
      <c r="F7" s="39">
        <v>3261</v>
      </c>
      <c r="G7" s="6"/>
      <c r="H7" s="7">
        <f>$N7 * H$2</f>
        <v>1.5</v>
      </c>
      <c r="I7" s="7">
        <f t="shared" ref="I7:M22" si="0">$N7 * I$2</f>
        <v>2.16</v>
      </c>
      <c r="J7" s="7">
        <f t="shared" si="0"/>
        <v>3.3000000000000003</v>
      </c>
      <c r="K7" s="7">
        <f t="shared" si="0"/>
        <v>2.52</v>
      </c>
      <c r="L7" s="7">
        <f t="shared" si="0"/>
        <v>1.5</v>
      </c>
      <c r="M7" s="7">
        <f t="shared" si="0"/>
        <v>0.75</v>
      </c>
      <c r="N7" s="136" cm="1">
        <f t="array" ref="N7">_xlfn.IFS(
  F7=0,0,
  F7&lt;=1000,3,
  F7&lt;=2300,6,
  F7&lt;=4500,12,
  F7&lt;=8200,24,
  F7&lt;=16000,48,
  F7&gt;16001,96
)</f>
        <v>12</v>
      </c>
      <c r="O7" s="7">
        <f>ROUNDUP(N7/20,2)</f>
        <v>0.6</v>
      </c>
      <c r="P7" s="18"/>
    </row>
    <row r="8" spans="1:16" x14ac:dyDescent="0.2">
      <c r="A8" s="94"/>
      <c r="B8" s="7"/>
      <c r="C8" s="7"/>
      <c r="D8" s="111" t="s">
        <v>66</v>
      </c>
      <c r="E8" s="120" t="s">
        <v>67</v>
      </c>
      <c r="F8" s="135">
        <v>1845</v>
      </c>
      <c r="G8" s="6"/>
      <c r="H8" s="7">
        <f t="shared" ref="H8:M39" si="1">$N8 * H$2</f>
        <v>0.75</v>
      </c>
      <c r="I8" s="7">
        <f t="shared" si="0"/>
        <v>1.08</v>
      </c>
      <c r="J8" s="7">
        <f t="shared" si="0"/>
        <v>1.6500000000000001</v>
      </c>
      <c r="K8" s="7">
        <f t="shared" si="0"/>
        <v>1.26</v>
      </c>
      <c r="L8" s="7">
        <f t="shared" si="0"/>
        <v>0.75</v>
      </c>
      <c r="M8" s="7">
        <f t="shared" si="0"/>
        <v>0.375</v>
      </c>
      <c r="N8" s="136" cm="1">
        <f t="array" ref="N8">_xlfn.IFS(
  F8=0,0,
  F8&lt;=1000,3,
  F8&lt;=2300,6,
  F8&lt;=4500,12,
  F8&lt;=8200,24,
  F8&lt;=16000,48,
  F8&gt;16001,96
)</f>
        <v>6</v>
      </c>
      <c r="O8" s="7">
        <f t="shared" ref="O8:O16" si="2">ROUNDUP(N8/20,2)</f>
        <v>0.3</v>
      </c>
      <c r="P8" s="18"/>
    </row>
    <row r="9" spans="1:16" x14ac:dyDescent="0.2">
      <c r="A9" s="94"/>
      <c r="B9" s="7"/>
      <c r="C9" s="7"/>
      <c r="D9" s="111" t="s">
        <v>68</v>
      </c>
      <c r="E9" s="121" t="s">
        <v>69</v>
      </c>
      <c r="F9" s="135">
        <v>1882</v>
      </c>
      <c r="G9" s="6"/>
      <c r="H9" s="7">
        <f t="shared" si="1"/>
        <v>0.75</v>
      </c>
      <c r="I9" s="7">
        <f t="shared" si="0"/>
        <v>1.08</v>
      </c>
      <c r="J9" s="7">
        <f t="shared" si="0"/>
        <v>1.6500000000000001</v>
      </c>
      <c r="K9" s="7">
        <f t="shared" si="0"/>
        <v>1.26</v>
      </c>
      <c r="L9" s="7">
        <f t="shared" si="0"/>
        <v>0.75</v>
      </c>
      <c r="M9" s="7">
        <f t="shared" si="0"/>
        <v>0.375</v>
      </c>
      <c r="N9" s="136" cm="1">
        <f t="array" ref="N9">_xlfn.IFS(
  F9=0,0,
  F9&lt;=1000,3,
  F9&lt;=2300,6,
  F9&lt;=4500,12,
  F9&lt;=8200,24,
  F9&lt;=16000,48,
  F9&gt;16001,96
)</f>
        <v>6</v>
      </c>
      <c r="O9" s="7">
        <f t="shared" si="2"/>
        <v>0.3</v>
      </c>
      <c r="P9" s="18"/>
    </row>
    <row r="10" spans="1:16" x14ac:dyDescent="0.2">
      <c r="A10" s="94"/>
      <c r="B10" s="7"/>
      <c r="C10" s="7"/>
      <c r="D10" s="111" t="s">
        <v>70</v>
      </c>
      <c r="E10" s="121" t="s">
        <v>71</v>
      </c>
      <c r="F10" s="135">
        <v>1897</v>
      </c>
      <c r="G10" s="6"/>
      <c r="H10" s="7">
        <f t="shared" si="1"/>
        <v>0.75</v>
      </c>
      <c r="I10" s="7">
        <f t="shared" si="0"/>
        <v>1.08</v>
      </c>
      <c r="J10" s="7">
        <f t="shared" si="0"/>
        <v>1.6500000000000001</v>
      </c>
      <c r="K10" s="7">
        <f t="shared" si="0"/>
        <v>1.26</v>
      </c>
      <c r="L10" s="7">
        <f t="shared" si="0"/>
        <v>0.75</v>
      </c>
      <c r="M10" s="7">
        <f t="shared" si="0"/>
        <v>0.375</v>
      </c>
      <c r="N10" s="136" cm="1">
        <f t="array" ref="N10">_xlfn.IFS(
  F10=0,0,
  F10&lt;=1000,3,
  F10&lt;=2300,6,
  F10&lt;=4500,12,
  F10&lt;=8200,24,
  F10&lt;=16000,48,
  F10&gt;16001,96
)</f>
        <v>6</v>
      </c>
      <c r="O10" s="7">
        <f t="shared" si="2"/>
        <v>0.3</v>
      </c>
      <c r="P10" s="18"/>
    </row>
    <row r="11" spans="1:16" x14ac:dyDescent="0.2">
      <c r="A11" s="94"/>
      <c r="B11" s="7"/>
      <c r="C11" s="7"/>
      <c r="D11" s="111" t="s">
        <v>72</v>
      </c>
      <c r="E11" s="121" t="s">
        <v>73</v>
      </c>
      <c r="F11" s="135">
        <v>4300</v>
      </c>
      <c r="G11" s="6"/>
      <c r="H11" s="7">
        <f t="shared" si="1"/>
        <v>1.5</v>
      </c>
      <c r="I11" s="7">
        <f t="shared" si="0"/>
        <v>2.16</v>
      </c>
      <c r="J11" s="7">
        <f t="shared" si="0"/>
        <v>3.3000000000000003</v>
      </c>
      <c r="K11" s="7">
        <f t="shared" si="0"/>
        <v>2.52</v>
      </c>
      <c r="L11" s="7">
        <f t="shared" si="0"/>
        <v>1.5</v>
      </c>
      <c r="M11" s="7">
        <f t="shared" si="0"/>
        <v>0.75</v>
      </c>
      <c r="N11" s="136" cm="1">
        <f t="array" ref="N11">_xlfn.IFS(
  F11=0,0,
  F11&lt;=1000,3,
  F11&lt;=2300,6,
  F11&lt;=4500,12,
  F11&lt;=8200,24,
  F11&lt;=16000,48,
  F11&gt;16001,96
)</f>
        <v>12</v>
      </c>
      <c r="O11" s="7">
        <f t="shared" si="2"/>
        <v>0.6</v>
      </c>
      <c r="P11" s="18"/>
    </row>
    <row r="12" spans="1:16" x14ac:dyDescent="0.2">
      <c r="A12" s="94"/>
      <c r="B12" s="7"/>
      <c r="C12" s="7"/>
      <c r="D12" s="111" t="s">
        <v>74</v>
      </c>
      <c r="E12" s="121" t="s">
        <v>75</v>
      </c>
      <c r="F12" s="135">
        <v>4400</v>
      </c>
      <c r="G12" s="6"/>
      <c r="H12" s="7">
        <f t="shared" si="1"/>
        <v>1.5</v>
      </c>
      <c r="I12" s="7">
        <f t="shared" si="0"/>
        <v>2.16</v>
      </c>
      <c r="J12" s="7">
        <f t="shared" si="0"/>
        <v>3.3000000000000003</v>
      </c>
      <c r="K12" s="7">
        <f t="shared" si="0"/>
        <v>2.52</v>
      </c>
      <c r="L12" s="7">
        <f t="shared" si="0"/>
        <v>1.5</v>
      </c>
      <c r="M12" s="7">
        <f t="shared" si="0"/>
        <v>0.75</v>
      </c>
      <c r="N12" s="136" cm="1">
        <f t="array" ref="N12">_xlfn.IFS(
  F12=0,0,
  F12&lt;=1000,3,
  F12&lt;=2300,6,
  F12&lt;=4500,12,
  F12&lt;=8200,24,
  F12&lt;=16000,48,
  F12&gt;16001,96
)</f>
        <v>12</v>
      </c>
      <c r="O12" s="7">
        <f t="shared" si="2"/>
        <v>0.6</v>
      </c>
      <c r="P12" s="18"/>
    </row>
    <row r="13" spans="1:16" x14ac:dyDescent="0.2">
      <c r="A13" s="94"/>
      <c r="B13" s="7"/>
      <c r="C13" s="7"/>
      <c r="D13" s="111" t="s">
        <v>76</v>
      </c>
      <c r="E13" s="121" t="s">
        <v>77</v>
      </c>
      <c r="F13" s="135">
        <v>3936</v>
      </c>
      <c r="G13" s="6"/>
      <c r="H13" s="7">
        <f t="shared" si="1"/>
        <v>1.5</v>
      </c>
      <c r="I13" s="7">
        <f t="shared" si="0"/>
        <v>2.16</v>
      </c>
      <c r="J13" s="7">
        <f t="shared" si="0"/>
        <v>3.3000000000000003</v>
      </c>
      <c r="K13" s="7">
        <f t="shared" si="0"/>
        <v>2.52</v>
      </c>
      <c r="L13" s="7">
        <f t="shared" si="0"/>
        <v>1.5</v>
      </c>
      <c r="M13" s="7">
        <f t="shared" si="0"/>
        <v>0.75</v>
      </c>
      <c r="N13" s="136" cm="1">
        <f t="array" ref="N13">_xlfn.IFS(
  F13=0,0,
  F13&lt;=1000,3,
  F13&lt;=2300,6,
  F13&lt;=4500,12,
  F13&lt;=8200,24,
  F13&lt;=16000,48,
  F13&gt;16001,96
)</f>
        <v>12</v>
      </c>
      <c r="O13" s="7">
        <f t="shared" si="2"/>
        <v>0.6</v>
      </c>
      <c r="P13" s="18"/>
    </row>
    <row r="14" spans="1:16" x14ac:dyDescent="0.2">
      <c r="A14" s="94"/>
      <c r="B14" s="7"/>
      <c r="C14" s="7"/>
      <c r="D14" s="111" t="s">
        <v>78</v>
      </c>
      <c r="E14" s="121" t="s">
        <v>79</v>
      </c>
      <c r="F14" s="135">
        <v>1685</v>
      </c>
      <c r="G14" s="6"/>
      <c r="H14" s="7">
        <f t="shared" si="1"/>
        <v>0.75</v>
      </c>
      <c r="I14" s="7">
        <f t="shared" si="0"/>
        <v>1.08</v>
      </c>
      <c r="J14" s="7">
        <f t="shared" si="0"/>
        <v>1.6500000000000001</v>
      </c>
      <c r="K14" s="7">
        <f t="shared" si="0"/>
        <v>1.26</v>
      </c>
      <c r="L14" s="7">
        <f t="shared" si="0"/>
        <v>0.75</v>
      </c>
      <c r="M14" s="7">
        <f t="shared" si="0"/>
        <v>0.375</v>
      </c>
      <c r="N14" s="136" cm="1">
        <f t="array" ref="N14">_xlfn.IFS(
  F14=0,0,
  F14&lt;=1000,3,
  F14&lt;=2300,6,
  F14&lt;=4500,12,
  F14&lt;=8200,24,
  F14&lt;=16000,48,
  F14&gt;16001,96
)</f>
        <v>6</v>
      </c>
      <c r="O14" s="7">
        <f t="shared" si="2"/>
        <v>0.3</v>
      </c>
      <c r="P14" s="18"/>
    </row>
    <row r="15" spans="1:16" x14ac:dyDescent="0.2">
      <c r="A15" s="94"/>
      <c r="B15" s="7"/>
      <c r="C15" s="7"/>
      <c r="D15" s="111" t="s">
        <v>80</v>
      </c>
      <c r="E15" s="121" t="s">
        <v>81</v>
      </c>
      <c r="F15" s="135">
        <v>2275</v>
      </c>
      <c r="G15" s="6"/>
      <c r="H15" s="7">
        <f t="shared" si="1"/>
        <v>0.75</v>
      </c>
      <c r="I15" s="7">
        <f t="shared" si="0"/>
        <v>1.08</v>
      </c>
      <c r="J15" s="7">
        <f t="shared" si="0"/>
        <v>1.6500000000000001</v>
      </c>
      <c r="K15" s="7">
        <f t="shared" si="0"/>
        <v>1.26</v>
      </c>
      <c r="L15" s="7">
        <f t="shared" si="0"/>
        <v>0.75</v>
      </c>
      <c r="M15" s="7">
        <f t="shared" si="0"/>
        <v>0.375</v>
      </c>
      <c r="N15" s="136" cm="1">
        <f t="array" ref="N15">_xlfn.IFS(
  F15=0,0,
  F15&lt;=1000,3,
  F15&lt;=2300,6,
  F15&lt;=4500,12,
  F15&lt;=8200,24,
  F15&lt;=16000,48,
  F15&gt;16001,96
)</f>
        <v>6</v>
      </c>
      <c r="O15" s="7">
        <f t="shared" si="2"/>
        <v>0.3</v>
      </c>
      <c r="P15" s="18"/>
    </row>
    <row r="16" spans="1:16" x14ac:dyDescent="0.2">
      <c r="A16" s="94"/>
      <c r="B16" s="7"/>
      <c r="C16" s="7"/>
      <c r="D16" s="114" t="s">
        <v>82</v>
      </c>
      <c r="E16" s="122" t="s">
        <v>83</v>
      </c>
      <c r="F16" s="135">
        <v>998</v>
      </c>
      <c r="G16" s="6"/>
      <c r="H16" s="7">
        <f t="shared" si="1"/>
        <v>0.375</v>
      </c>
      <c r="I16" s="7">
        <f t="shared" si="0"/>
        <v>0.54</v>
      </c>
      <c r="J16" s="7">
        <f t="shared" si="0"/>
        <v>0.82500000000000007</v>
      </c>
      <c r="K16" s="7">
        <f t="shared" si="0"/>
        <v>0.63</v>
      </c>
      <c r="L16" s="7">
        <f t="shared" si="0"/>
        <v>0.375</v>
      </c>
      <c r="M16" s="7">
        <f t="shared" si="0"/>
        <v>0.1875</v>
      </c>
      <c r="N16" s="136" cm="1">
        <f t="array" ref="N16">_xlfn.IFS(
  F16=0,0,
  F16&lt;=1000,3,
  F16&lt;=2300,6,
  F16&lt;=4500,12,
  F16&lt;=8200,24,
  F16&lt;=16000,48,
  F16&gt;16001,96
)</f>
        <v>3</v>
      </c>
      <c r="O16" s="7">
        <f t="shared" si="2"/>
        <v>0.15</v>
      </c>
      <c r="P16" s="18"/>
    </row>
    <row r="17" spans="1:16" x14ac:dyDescent="0.2">
      <c r="A17" s="94"/>
      <c r="B17" s="7"/>
      <c r="C17" s="7"/>
      <c r="D17" s="110" t="s">
        <v>84</v>
      </c>
      <c r="E17" s="119" t="s">
        <v>85</v>
      </c>
      <c r="F17" s="39">
        <v>3261</v>
      </c>
      <c r="G17" s="6"/>
      <c r="H17" s="7">
        <f t="shared" si="1"/>
        <v>1.5</v>
      </c>
      <c r="I17" s="7">
        <f t="shared" si="0"/>
        <v>2.16</v>
      </c>
      <c r="J17" s="7">
        <f t="shared" si="0"/>
        <v>3.3000000000000003</v>
      </c>
      <c r="K17" s="7">
        <f t="shared" si="0"/>
        <v>2.52</v>
      </c>
      <c r="L17" s="7">
        <f t="shared" si="0"/>
        <v>1.5</v>
      </c>
      <c r="M17" s="7">
        <f t="shared" si="0"/>
        <v>0.75</v>
      </c>
      <c r="N17" s="136" cm="1">
        <f t="array" ref="N17">_xlfn.IFS(
  F17=0,0,
  F17&lt;=1000,3,
  F17&lt;=2300,6,
  F17&lt;=4500,12,
  F17&lt;=8200,24,
  F17&lt;=16000,48,
  F17&gt;16001,96
)</f>
        <v>12</v>
      </c>
      <c r="O17" s="7">
        <f t="shared" ref="O17:O63" si="3">ROUNDUP(N17/20,2)</f>
        <v>0.6</v>
      </c>
      <c r="P17" s="18"/>
    </row>
    <row r="18" spans="1:16" x14ac:dyDescent="0.2">
      <c r="A18" s="94"/>
      <c r="B18" s="7"/>
      <c r="C18" s="7"/>
      <c r="D18" s="111" t="s">
        <v>66</v>
      </c>
      <c r="E18" s="120" t="s">
        <v>67</v>
      </c>
      <c r="F18" s="135">
        <v>1845</v>
      </c>
      <c r="G18" s="6"/>
      <c r="H18" s="7">
        <f t="shared" si="1"/>
        <v>0.75</v>
      </c>
      <c r="I18" s="7">
        <f t="shared" si="0"/>
        <v>1.08</v>
      </c>
      <c r="J18" s="7">
        <f t="shared" si="0"/>
        <v>1.6500000000000001</v>
      </c>
      <c r="K18" s="7">
        <f t="shared" si="0"/>
        <v>1.26</v>
      </c>
      <c r="L18" s="7">
        <f t="shared" si="0"/>
        <v>0.75</v>
      </c>
      <c r="M18" s="7">
        <f t="shared" si="0"/>
        <v>0.375</v>
      </c>
      <c r="N18" s="136" cm="1">
        <f t="array" ref="N18">_xlfn.IFS(
  F18=0,0,
  F18&lt;=1000,3,
  F18&lt;=2300,6,
  F18&lt;=4500,12,
  F18&lt;=8200,24,
  F18&lt;=16000,48,
  F18&gt;16001,96
)</f>
        <v>6</v>
      </c>
      <c r="O18" s="7">
        <f t="shared" si="3"/>
        <v>0.3</v>
      </c>
      <c r="P18" s="18"/>
    </row>
    <row r="19" spans="1:16" x14ac:dyDescent="0.2">
      <c r="A19" s="94"/>
      <c r="B19" s="7"/>
      <c r="C19" s="7"/>
      <c r="D19" s="111" t="s">
        <v>68</v>
      </c>
      <c r="E19" s="121" t="s">
        <v>86</v>
      </c>
      <c r="F19" s="135">
        <v>1898</v>
      </c>
      <c r="G19" s="6"/>
      <c r="H19" s="7">
        <f t="shared" si="1"/>
        <v>0.75</v>
      </c>
      <c r="I19" s="7">
        <f t="shared" si="0"/>
        <v>1.08</v>
      </c>
      <c r="J19" s="7">
        <f t="shared" si="0"/>
        <v>1.6500000000000001</v>
      </c>
      <c r="K19" s="7">
        <f t="shared" si="0"/>
        <v>1.26</v>
      </c>
      <c r="L19" s="7">
        <f t="shared" si="0"/>
        <v>0.75</v>
      </c>
      <c r="M19" s="7">
        <f t="shared" si="0"/>
        <v>0.375</v>
      </c>
      <c r="N19" s="136" cm="1">
        <f t="array" ref="N19">_xlfn.IFS(
  F19=0,0,
  F19&lt;=1000,3,
  F19&lt;=2300,6,
  F19&lt;=4500,12,
  F19&lt;=8200,24,
  F19&lt;=16000,48,
  F19&gt;16001,96
)</f>
        <v>6</v>
      </c>
      <c r="O19" s="7">
        <f t="shared" si="3"/>
        <v>0.3</v>
      </c>
      <c r="P19" s="18"/>
    </row>
    <row r="20" spans="1:16" x14ac:dyDescent="0.2">
      <c r="A20" s="94"/>
      <c r="B20" s="7"/>
      <c r="C20" s="7"/>
      <c r="D20" s="111" t="s">
        <v>70</v>
      </c>
      <c r="E20" s="121" t="s">
        <v>87</v>
      </c>
      <c r="F20" s="135">
        <v>1901</v>
      </c>
      <c r="G20" s="6"/>
      <c r="H20" s="7">
        <f t="shared" si="1"/>
        <v>0.75</v>
      </c>
      <c r="I20" s="7">
        <f t="shared" si="0"/>
        <v>1.08</v>
      </c>
      <c r="J20" s="7">
        <f t="shared" si="0"/>
        <v>1.6500000000000001</v>
      </c>
      <c r="K20" s="7">
        <f t="shared" si="0"/>
        <v>1.26</v>
      </c>
      <c r="L20" s="7">
        <f t="shared" si="0"/>
        <v>0.75</v>
      </c>
      <c r="M20" s="7">
        <f t="shared" si="0"/>
        <v>0.375</v>
      </c>
      <c r="N20" s="136" cm="1">
        <f t="array" ref="N20">_xlfn.IFS(
  F20=0,0,
  F20&lt;=1000,3,
  F20&lt;=2300,6,
  F20&lt;=4500,12,
  F20&lt;=8200,24,
  F20&lt;=16000,48,
  F20&gt;16001,96
)</f>
        <v>6</v>
      </c>
      <c r="O20" s="7">
        <f t="shared" si="3"/>
        <v>0.3</v>
      </c>
      <c r="P20" s="18"/>
    </row>
    <row r="21" spans="1:16" x14ac:dyDescent="0.2">
      <c r="A21" s="94"/>
      <c r="B21" s="7"/>
      <c r="C21" s="7"/>
      <c r="D21" s="111" t="s">
        <v>78</v>
      </c>
      <c r="E21" s="121" t="s">
        <v>88</v>
      </c>
      <c r="F21" s="135">
        <v>1685</v>
      </c>
      <c r="G21" s="6"/>
      <c r="H21" s="7">
        <f t="shared" si="1"/>
        <v>0.75</v>
      </c>
      <c r="I21" s="7">
        <f t="shared" si="0"/>
        <v>1.08</v>
      </c>
      <c r="J21" s="7">
        <f t="shared" si="0"/>
        <v>1.6500000000000001</v>
      </c>
      <c r="K21" s="7">
        <f t="shared" si="0"/>
        <v>1.26</v>
      </c>
      <c r="L21" s="7">
        <f t="shared" si="0"/>
        <v>0.75</v>
      </c>
      <c r="M21" s="7">
        <f t="shared" si="0"/>
        <v>0.375</v>
      </c>
      <c r="N21" s="136" cm="1">
        <f t="array" ref="N21">_xlfn.IFS(
  F21=0,0,
  F21&lt;=1000,3,
  F21&lt;=2300,6,
  F21&lt;=4500,12,
  F21&lt;=8200,24,
  F21&lt;=16000,48,
  F21&gt;16001,96
)</f>
        <v>6</v>
      </c>
      <c r="O21" s="7">
        <f t="shared" si="3"/>
        <v>0.3</v>
      </c>
      <c r="P21" s="18"/>
    </row>
    <row r="22" spans="1:16" x14ac:dyDescent="0.2">
      <c r="A22" s="94"/>
      <c r="B22" s="7"/>
      <c r="C22" s="7"/>
      <c r="D22" s="111" t="s">
        <v>80</v>
      </c>
      <c r="E22" s="121" t="s">
        <v>89</v>
      </c>
      <c r="F22" s="135">
        <v>1937</v>
      </c>
      <c r="G22" s="6"/>
      <c r="H22" s="7">
        <f t="shared" si="1"/>
        <v>0.75</v>
      </c>
      <c r="I22" s="7">
        <f t="shared" si="0"/>
        <v>1.08</v>
      </c>
      <c r="J22" s="7">
        <f t="shared" si="0"/>
        <v>1.6500000000000001</v>
      </c>
      <c r="K22" s="7">
        <f t="shared" si="0"/>
        <v>1.26</v>
      </c>
      <c r="L22" s="7">
        <f t="shared" si="0"/>
        <v>0.75</v>
      </c>
      <c r="M22" s="7">
        <f t="shared" si="0"/>
        <v>0.375</v>
      </c>
      <c r="N22" s="136" cm="1">
        <f t="array" ref="N22">_xlfn.IFS(
  F22=0,0,
  F22&lt;=1000,3,
  F22&lt;=2300,6,
  F22&lt;=4500,12,
  F22&lt;=8200,24,
  F22&lt;=16000,48,
  F22&gt;16001,96
)</f>
        <v>6</v>
      </c>
      <c r="O22" s="7">
        <f t="shared" si="3"/>
        <v>0.3</v>
      </c>
      <c r="P22" s="18"/>
    </row>
    <row r="23" spans="1:16" x14ac:dyDescent="0.2">
      <c r="A23" s="94"/>
      <c r="B23" s="7"/>
      <c r="C23" s="7"/>
      <c r="D23" s="111" t="s">
        <v>82</v>
      </c>
      <c r="E23" s="122" t="s">
        <v>83</v>
      </c>
      <c r="F23" s="135">
        <v>998</v>
      </c>
      <c r="G23" s="6"/>
      <c r="H23" s="7">
        <f t="shared" si="1"/>
        <v>0.375</v>
      </c>
      <c r="I23" s="7">
        <f t="shared" si="1"/>
        <v>0.54</v>
      </c>
      <c r="J23" s="7">
        <f t="shared" si="1"/>
        <v>0.82500000000000007</v>
      </c>
      <c r="K23" s="7">
        <f t="shared" si="1"/>
        <v>0.63</v>
      </c>
      <c r="L23" s="7">
        <f t="shared" si="1"/>
        <v>0.375</v>
      </c>
      <c r="M23" s="7">
        <f t="shared" si="1"/>
        <v>0.1875</v>
      </c>
      <c r="N23" s="136" cm="1">
        <f t="array" ref="N23">_xlfn.IFS(
  F23=0,0,
  F23&lt;=1000,3,
  F23&lt;=2300,6,
  F23&lt;=4500,12,
  F23&lt;=8200,24,
  F23&lt;=16000,48,
  F23&gt;16001,96
)</f>
        <v>3</v>
      </c>
      <c r="O23" s="7">
        <f t="shared" si="3"/>
        <v>0.15</v>
      </c>
      <c r="P23" s="18"/>
    </row>
    <row r="24" spans="1:16" x14ac:dyDescent="0.2">
      <c r="A24" s="94"/>
      <c r="B24" s="7"/>
      <c r="C24" s="7"/>
      <c r="D24" s="112" t="s">
        <v>90</v>
      </c>
      <c r="E24" s="123" t="s">
        <v>91</v>
      </c>
      <c r="F24" s="135">
        <v>1915</v>
      </c>
      <c r="G24" s="6"/>
      <c r="H24" s="7">
        <f t="shared" si="1"/>
        <v>0.75</v>
      </c>
      <c r="I24" s="7">
        <f t="shared" si="1"/>
        <v>1.08</v>
      </c>
      <c r="J24" s="7">
        <f t="shared" si="1"/>
        <v>1.6500000000000001</v>
      </c>
      <c r="K24" s="7">
        <f t="shared" si="1"/>
        <v>1.26</v>
      </c>
      <c r="L24" s="7">
        <f t="shared" si="1"/>
        <v>0.75</v>
      </c>
      <c r="M24" s="7">
        <f t="shared" si="1"/>
        <v>0.375</v>
      </c>
      <c r="N24" s="136" cm="1">
        <f t="array" ref="N24">_xlfn.IFS(
  F24=0,0,
  F24&lt;=1000,3,
  F24&lt;=2300,6,
  F24&lt;=4500,12,
  F24&lt;=8200,24,
  F24&lt;=16000,48,
  F24&gt;16001,96
)</f>
        <v>6</v>
      </c>
      <c r="O24" s="7">
        <f t="shared" si="3"/>
        <v>0.3</v>
      </c>
      <c r="P24" s="18"/>
    </row>
    <row r="25" spans="1:16" x14ac:dyDescent="0.2">
      <c r="A25" s="94"/>
      <c r="B25" s="7"/>
      <c r="C25" s="7"/>
      <c r="D25" s="113" t="s">
        <v>92</v>
      </c>
      <c r="E25" s="124" t="s">
        <v>85</v>
      </c>
      <c r="F25" s="39">
        <v>3261</v>
      </c>
      <c r="G25" s="6"/>
      <c r="H25" s="7">
        <f t="shared" si="1"/>
        <v>1.5</v>
      </c>
      <c r="I25" s="7">
        <f t="shared" si="1"/>
        <v>2.16</v>
      </c>
      <c r="J25" s="7">
        <f t="shared" si="1"/>
        <v>3.3000000000000003</v>
      </c>
      <c r="K25" s="7">
        <f t="shared" si="1"/>
        <v>2.52</v>
      </c>
      <c r="L25" s="7">
        <f t="shared" si="1"/>
        <v>1.5</v>
      </c>
      <c r="M25" s="7">
        <f t="shared" si="1"/>
        <v>0.75</v>
      </c>
      <c r="N25" s="136" cm="1">
        <f t="array" ref="N25">_xlfn.IFS(
  F25=0,0,
  F25&lt;=1000,3,
  F25&lt;=2300,6,
  F25&lt;=4500,12,
  F25&lt;=8200,24,
  F25&lt;=16000,48,
  F25&gt;16001,96
)</f>
        <v>12</v>
      </c>
      <c r="O25" s="7">
        <f t="shared" si="3"/>
        <v>0.6</v>
      </c>
      <c r="P25" s="18"/>
    </row>
    <row r="26" spans="1:16" x14ac:dyDescent="0.2">
      <c r="A26" s="94"/>
      <c r="B26" s="7"/>
      <c r="C26" s="7"/>
      <c r="D26" s="110" t="s">
        <v>93</v>
      </c>
      <c r="E26" s="119" t="s">
        <v>85</v>
      </c>
      <c r="F26" s="39">
        <v>3261</v>
      </c>
      <c r="G26" s="6"/>
      <c r="H26" s="7">
        <f t="shared" si="1"/>
        <v>1.5</v>
      </c>
      <c r="I26" s="7">
        <f t="shared" si="1"/>
        <v>2.16</v>
      </c>
      <c r="J26" s="7">
        <f t="shared" si="1"/>
        <v>3.3000000000000003</v>
      </c>
      <c r="K26" s="7">
        <f t="shared" si="1"/>
        <v>2.52</v>
      </c>
      <c r="L26" s="7">
        <f t="shared" si="1"/>
        <v>1.5</v>
      </c>
      <c r="M26" s="7">
        <f t="shared" si="1"/>
        <v>0.75</v>
      </c>
      <c r="N26" s="136" cm="1">
        <f t="array" ref="N26">_xlfn.IFS(
  F26=0,0,
  F26&lt;=1000,3,
  F26&lt;=2300,6,
  F26&lt;=4500,12,
  F26&lt;=8200,24,
  F26&lt;=16000,48,
  F26&gt;16001,96
)</f>
        <v>12</v>
      </c>
      <c r="O26" s="7">
        <f t="shared" si="3"/>
        <v>0.6</v>
      </c>
      <c r="P26" s="18"/>
    </row>
    <row r="27" spans="1:16" x14ac:dyDescent="0.2">
      <c r="A27" s="94"/>
      <c r="B27" s="7"/>
      <c r="C27" s="7"/>
      <c r="D27" s="111" t="s">
        <v>66</v>
      </c>
      <c r="E27" s="120" t="s">
        <v>67</v>
      </c>
      <c r="F27" s="135">
        <v>4300</v>
      </c>
      <c r="G27" s="6"/>
      <c r="H27" s="7">
        <f t="shared" si="1"/>
        <v>1.5</v>
      </c>
      <c r="I27" s="7">
        <f t="shared" si="1"/>
        <v>2.16</v>
      </c>
      <c r="J27" s="7">
        <f t="shared" si="1"/>
        <v>3.3000000000000003</v>
      </c>
      <c r="K27" s="7">
        <f t="shared" si="1"/>
        <v>2.52</v>
      </c>
      <c r="L27" s="7">
        <f t="shared" si="1"/>
        <v>1.5</v>
      </c>
      <c r="M27" s="7">
        <f t="shared" si="1"/>
        <v>0.75</v>
      </c>
      <c r="N27" s="136" cm="1">
        <f t="array" ref="N27">_xlfn.IFS(
  F27=0,0,
  F27&lt;=1000,3,
  F27&lt;=2300,6,
  F27&lt;=4500,12,
  F27&lt;=8200,24,
  F27&lt;=16000,48,
  F27&gt;16001,96
)</f>
        <v>12</v>
      </c>
      <c r="O27" s="7">
        <f t="shared" si="3"/>
        <v>0.6</v>
      </c>
      <c r="P27" s="18"/>
    </row>
    <row r="28" spans="1:16" x14ac:dyDescent="0.2">
      <c r="A28" s="94"/>
      <c r="B28" s="7"/>
      <c r="C28" s="7"/>
      <c r="D28" s="111" t="s">
        <v>68</v>
      </c>
      <c r="E28" s="121" t="s">
        <v>94</v>
      </c>
      <c r="F28" s="135">
        <v>1882</v>
      </c>
      <c r="G28" s="6"/>
      <c r="H28" s="7">
        <f t="shared" si="1"/>
        <v>0.75</v>
      </c>
      <c r="I28" s="7">
        <f t="shared" si="1"/>
        <v>1.08</v>
      </c>
      <c r="J28" s="7">
        <f t="shared" si="1"/>
        <v>1.6500000000000001</v>
      </c>
      <c r="K28" s="7">
        <f t="shared" si="1"/>
        <v>1.26</v>
      </c>
      <c r="L28" s="7">
        <f t="shared" si="1"/>
        <v>0.75</v>
      </c>
      <c r="M28" s="7">
        <f t="shared" si="1"/>
        <v>0.375</v>
      </c>
      <c r="N28" s="136" cm="1">
        <f t="array" ref="N28">_xlfn.IFS(
  F28=0,0,
  F28&lt;=1000,3,
  F28&lt;=2300,6,
  F28&lt;=4500,12,
  F28&lt;=8200,24,
  F28&lt;=16000,48,
  F28&gt;16001,96
)</f>
        <v>6</v>
      </c>
      <c r="O28" s="7">
        <f t="shared" si="3"/>
        <v>0.3</v>
      </c>
      <c r="P28" s="18"/>
    </row>
    <row r="29" spans="1:16" x14ac:dyDescent="0.2">
      <c r="A29" s="94"/>
      <c r="B29" s="7"/>
      <c r="C29" s="7"/>
      <c r="D29" s="111" t="s">
        <v>70</v>
      </c>
      <c r="E29" s="121" t="s">
        <v>95</v>
      </c>
      <c r="F29" s="135">
        <v>2185</v>
      </c>
      <c r="G29" s="6"/>
      <c r="H29" s="7">
        <f t="shared" si="1"/>
        <v>0.75</v>
      </c>
      <c r="I29" s="7">
        <f t="shared" si="1"/>
        <v>1.08</v>
      </c>
      <c r="J29" s="7">
        <f t="shared" si="1"/>
        <v>1.6500000000000001</v>
      </c>
      <c r="K29" s="7">
        <f t="shared" si="1"/>
        <v>1.26</v>
      </c>
      <c r="L29" s="7">
        <f t="shared" si="1"/>
        <v>0.75</v>
      </c>
      <c r="M29" s="7">
        <f t="shared" si="1"/>
        <v>0.375</v>
      </c>
      <c r="N29" s="136" cm="1">
        <f t="array" ref="N29">_xlfn.IFS(
  F29=0,0,
  F29&lt;=1000,3,
  F29&lt;=2300,6,
  F29&lt;=4500,12,
  F29&lt;=8200,24,
  F29&lt;=16000,48,
  F29&gt;16001,96
)</f>
        <v>6</v>
      </c>
      <c r="O29" s="7">
        <f t="shared" si="3"/>
        <v>0.3</v>
      </c>
      <c r="P29" s="18"/>
    </row>
    <row r="30" spans="1:16" x14ac:dyDescent="0.2">
      <c r="A30" s="94"/>
      <c r="B30" s="7"/>
      <c r="C30" s="7"/>
      <c r="D30" s="111" t="s">
        <v>78</v>
      </c>
      <c r="E30" s="121" t="s">
        <v>96</v>
      </c>
      <c r="F30" s="135">
        <v>1685</v>
      </c>
      <c r="G30" s="6"/>
      <c r="H30" s="7">
        <f t="shared" si="1"/>
        <v>0.75</v>
      </c>
      <c r="I30" s="7">
        <f t="shared" si="1"/>
        <v>1.08</v>
      </c>
      <c r="J30" s="7">
        <f t="shared" si="1"/>
        <v>1.6500000000000001</v>
      </c>
      <c r="K30" s="7">
        <f t="shared" si="1"/>
        <v>1.26</v>
      </c>
      <c r="L30" s="7">
        <f t="shared" si="1"/>
        <v>0.75</v>
      </c>
      <c r="M30" s="7">
        <f t="shared" si="1"/>
        <v>0.375</v>
      </c>
      <c r="N30" s="136" cm="1">
        <f t="array" ref="N30">_xlfn.IFS(
  F30=0,0,
  F30&lt;=1000,3,
  F30&lt;=2300,6,
  F30&lt;=4500,12,
  F30&lt;=8200,24,
  F30&lt;=16000,48,
  F30&gt;16001,96
)</f>
        <v>6</v>
      </c>
      <c r="O30" s="7">
        <f t="shared" si="3"/>
        <v>0.3</v>
      </c>
      <c r="P30" s="18"/>
    </row>
    <row r="31" spans="1:16" x14ac:dyDescent="0.2">
      <c r="A31" s="94"/>
      <c r="B31" s="7"/>
      <c r="C31" s="7"/>
      <c r="D31" s="111" t="s">
        <v>80</v>
      </c>
      <c r="E31" s="121" t="s">
        <v>97</v>
      </c>
      <c r="F31" s="135">
        <v>2196</v>
      </c>
      <c r="G31" s="6"/>
      <c r="H31" s="7">
        <f t="shared" si="1"/>
        <v>0.75</v>
      </c>
      <c r="I31" s="7">
        <f t="shared" si="1"/>
        <v>1.08</v>
      </c>
      <c r="J31" s="7">
        <f t="shared" si="1"/>
        <v>1.6500000000000001</v>
      </c>
      <c r="K31" s="7">
        <f t="shared" si="1"/>
        <v>1.26</v>
      </c>
      <c r="L31" s="7">
        <f t="shared" si="1"/>
        <v>0.75</v>
      </c>
      <c r="M31" s="7">
        <f t="shared" si="1"/>
        <v>0.375</v>
      </c>
      <c r="N31" s="136" cm="1">
        <f t="array" ref="N31">_xlfn.IFS(
  F31=0,0,
  F31&lt;=1000,3,
  F31&lt;=2300,6,
  F31&lt;=4500,12,
  F31&lt;=8200,24,
  F31&lt;=16000,48,
  F31&gt;16001,96
)</f>
        <v>6</v>
      </c>
      <c r="O31" s="7">
        <f t="shared" si="3"/>
        <v>0.3</v>
      </c>
      <c r="P31" s="18"/>
    </row>
    <row r="32" spans="1:16" x14ac:dyDescent="0.2">
      <c r="A32" s="94"/>
      <c r="B32" s="7"/>
      <c r="C32" s="7"/>
      <c r="D32" s="114" t="s">
        <v>82</v>
      </c>
      <c r="E32" s="122" t="s">
        <v>83</v>
      </c>
      <c r="F32" s="135">
        <v>998</v>
      </c>
      <c r="G32" s="6"/>
      <c r="H32" s="7">
        <f t="shared" si="1"/>
        <v>0.375</v>
      </c>
      <c r="I32" s="7">
        <f t="shared" si="1"/>
        <v>0.54</v>
      </c>
      <c r="J32" s="7">
        <f t="shared" si="1"/>
        <v>0.82500000000000007</v>
      </c>
      <c r="K32" s="7">
        <f t="shared" si="1"/>
        <v>0.63</v>
      </c>
      <c r="L32" s="7">
        <f t="shared" si="1"/>
        <v>0.375</v>
      </c>
      <c r="M32" s="7">
        <f t="shared" si="1"/>
        <v>0.1875</v>
      </c>
      <c r="N32" s="136" cm="1">
        <f t="array" ref="N32">_xlfn.IFS(
  F32=0,0,
  F32&lt;=1000,3,
  F32&lt;=2300,6,
  F32&lt;=4500,12,
  F32&lt;=8200,24,
  F32&lt;=16000,48,
  F32&gt;16001,96
)</f>
        <v>3</v>
      </c>
      <c r="O32" s="7">
        <f t="shared" si="3"/>
        <v>0.15</v>
      </c>
      <c r="P32" s="18"/>
    </row>
    <row r="33" spans="1:16" x14ac:dyDescent="0.2">
      <c r="A33" s="94"/>
      <c r="B33" s="7"/>
      <c r="C33" s="7"/>
      <c r="D33" s="110" t="s">
        <v>98</v>
      </c>
      <c r="E33" s="119" t="s">
        <v>85</v>
      </c>
      <c r="F33" s="39">
        <v>3261</v>
      </c>
      <c r="G33" s="6"/>
      <c r="H33" s="7">
        <f t="shared" si="1"/>
        <v>1.5</v>
      </c>
      <c r="I33" s="7">
        <f t="shared" si="1"/>
        <v>2.16</v>
      </c>
      <c r="J33" s="7">
        <f t="shared" si="1"/>
        <v>3.3000000000000003</v>
      </c>
      <c r="K33" s="7">
        <f t="shared" si="1"/>
        <v>2.52</v>
      </c>
      <c r="L33" s="7">
        <f t="shared" si="1"/>
        <v>1.5</v>
      </c>
      <c r="M33" s="7">
        <f t="shared" si="1"/>
        <v>0.75</v>
      </c>
      <c r="N33" s="136" cm="1">
        <f t="array" ref="N33">_xlfn.IFS(
  F33=0,0,
  F33&lt;=1000,3,
  F33&lt;=2300,6,
  F33&lt;=4500,12,
  F33&lt;=8200,24,
  F33&lt;=16000,48,
  F33&gt;16001,96
)</f>
        <v>12</v>
      </c>
      <c r="O33" s="7">
        <f t="shared" si="3"/>
        <v>0.6</v>
      </c>
      <c r="P33" s="18"/>
    </row>
    <row r="34" spans="1:16" x14ac:dyDescent="0.2">
      <c r="A34" s="94"/>
      <c r="B34" s="7"/>
      <c r="C34" s="7"/>
      <c r="D34" s="111" t="s">
        <v>66</v>
      </c>
      <c r="E34" s="120" t="s">
        <v>67</v>
      </c>
      <c r="F34" s="135">
        <v>4300</v>
      </c>
      <c r="G34" s="6"/>
      <c r="H34" s="7">
        <f t="shared" si="1"/>
        <v>1.5</v>
      </c>
      <c r="I34" s="7">
        <f t="shared" si="1"/>
        <v>2.16</v>
      </c>
      <c r="J34" s="7">
        <f t="shared" si="1"/>
        <v>3.3000000000000003</v>
      </c>
      <c r="K34" s="7">
        <f t="shared" si="1"/>
        <v>2.52</v>
      </c>
      <c r="L34" s="7">
        <f t="shared" si="1"/>
        <v>1.5</v>
      </c>
      <c r="M34" s="7">
        <f t="shared" si="1"/>
        <v>0.75</v>
      </c>
      <c r="N34" s="136" cm="1">
        <f t="array" ref="N34">_xlfn.IFS(
  F34=0,0,
  F34&lt;=1000,3,
  F34&lt;=2300,6,
  F34&lt;=4500,12,
  F34&lt;=8200,24,
  F34&lt;=16000,48,
  F34&gt;16001,96
)</f>
        <v>12</v>
      </c>
      <c r="O34" s="7">
        <f t="shared" si="3"/>
        <v>0.6</v>
      </c>
      <c r="P34" s="18"/>
    </row>
    <row r="35" spans="1:16" x14ac:dyDescent="0.2">
      <c r="A35" s="94"/>
      <c r="B35" s="7"/>
      <c r="C35" s="7"/>
      <c r="D35" s="111" t="s">
        <v>68</v>
      </c>
      <c r="E35" s="121" t="s">
        <v>99</v>
      </c>
      <c r="F35" s="135">
        <v>1882</v>
      </c>
      <c r="G35" s="6"/>
      <c r="H35" s="7">
        <f t="shared" si="1"/>
        <v>0.75</v>
      </c>
      <c r="I35" s="7">
        <f t="shared" si="1"/>
        <v>1.08</v>
      </c>
      <c r="J35" s="7">
        <f t="shared" si="1"/>
        <v>1.6500000000000001</v>
      </c>
      <c r="K35" s="7">
        <f t="shared" si="1"/>
        <v>1.26</v>
      </c>
      <c r="L35" s="7">
        <f t="shared" si="1"/>
        <v>0.75</v>
      </c>
      <c r="M35" s="7">
        <f t="shared" si="1"/>
        <v>0.375</v>
      </c>
      <c r="N35" s="136" cm="1">
        <f t="array" ref="N35">_xlfn.IFS(
  F35=0,0,
  F35&lt;=1000,3,
  F35&lt;=2300,6,
  F35&lt;=4500,12,
  F35&lt;=8200,24,
  F35&lt;=16000,48,
  F35&gt;16001,96
)</f>
        <v>6</v>
      </c>
      <c r="O35" s="7">
        <f t="shared" si="3"/>
        <v>0.3</v>
      </c>
      <c r="P35" s="18"/>
    </row>
    <row r="36" spans="1:16" x14ac:dyDescent="0.2">
      <c r="A36" s="94"/>
      <c r="B36" s="7"/>
      <c r="C36" s="7"/>
      <c r="D36" s="111" t="s">
        <v>70</v>
      </c>
      <c r="E36" s="121" t="s">
        <v>100</v>
      </c>
      <c r="F36" s="135">
        <v>1895</v>
      </c>
      <c r="G36" s="6"/>
      <c r="H36" s="7">
        <f t="shared" si="1"/>
        <v>0.75</v>
      </c>
      <c r="I36" s="7">
        <f t="shared" si="1"/>
        <v>1.08</v>
      </c>
      <c r="J36" s="7">
        <f t="shared" si="1"/>
        <v>1.6500000000000001</v>
      </c>
      <c r="K36" s="7">
        <f t="shared" si="1"/>
        <v>1.26</v>
      </c>
      <c r="L36" s="7">
        <f t="shared" si="1"/>
        <v>0.75</v>
      </c>
      <c r="M36" s="7">
        <f t="shared" si="1"/>
        <v>0.375</v>
      </c>
      <c r="N36" s="136" cm="1">
        <f t="array" ref="N36">_xlfn.IFS(
  F36=0,0,
  F36&lt;=1000,3,
  F36&lt;=2300,6,
  F36&lt;=4500,12,
  F36&lt;=8200,24,
  F36&lt;=16000,48,
  F36&gt;16001,96
)</f>
        <v>6</v>
      </c>
      <c r="O36" s="7">
        <f t="shared" si="3"/>
        <v>0.3</v>
      </c>
      <c r="P36" s="18"/>
    </row>
    <row r="37" spans="1:16" x14ac:dyDescent="0.2">
      <c r="A37" s="94"/>
      <c r="B37" s="7"/>
      <c r="C37" s="7"/>
      <c r="D37" s="111" t="s">
        <v>78</v>
      </c>
      <c r="E37" s="121" t="s">
        <v>101</v>
      </c>
      <c r="F37" s="135">
        <v>1685</v>
      </c>
      <c r="G37" s="6"/>
      <c r="H37" s="7">
        <f t="shared" si="1"/>
        <v>0.75</v>
      </c>
      <c r="I37" s="7">
        <f t="shared" si="1"/>
        <v>1.08</v>
      </c>
      <c r="J37" s="7">
        <f t="shared" si="1"/>
        <v>1.6500000000000001</v>
      </c>
      <c r="K37" s="7">
        <f t="shared" si="1"/>
        <v>1.26</v>
      </c>
      <c r="L37" s="7">
        <f t="shared" si="1"/>
        <v>0.75</v>
      </c>
      <c r="M37" s="7">
        <f t="shared" si="1"/>
        <v>0.375</v>
      </c>
      <c r="N37" s="136" cm="1">
        <f t="array" ref="N37">_xlfn.IFS(
  F37=0,0,
  F37&lt;=1000,3,
  F37&lt;=2300,6,
  F37&lt;=4500,12,
  F37&lt;=8200,24,
  F37&lt;=16000,48,
  F37&gt;16001,96
)</f>
        <v>6</v>
      </c>
      <c r="O37" s="7">
        <f t="shared" si="3"/>
        <v>0.3</v>
      </c>
      <c r="P37" s="18"/>
    </row>
    <row r="38" spans="1:16" x14ac:dyDescent="0.2">
      <c r="A38" s="94"/>
      <c r="B38" s="7"/>
      <c r="C38" s="7"/>
      <c r="D38" s="111" t="s">
        <v>80</v>
      </c>
      <c r="E38" s="121" t="s">
        <v>102</v>
      </c>
      <c r="F38" s="135">
        <v>2119</v>
      </c>
      <c r="G38" s="6"/>
      <c r="H38" s="7">
        <f t="shared" si="1"/>
        <v>0.75</v>
      </c>
      <c r="I38" s="7">
        <f t="shared" si="1"/>
        <v>1.08</v>
      </c>
      <c r="J38" s="7">
        <f t="shared" si="1"/>
        <v>1.6500000000000001</v>
      </c>
      <c r="K38" s="7">
        <f t="shared" si="1"/>
        <v>1.26</v>
      </c>
      <c r="L38" s="7">
        <f t="shared" si="1"/>
        <v>0.75</v>
      </c>
      <c r="M38" s="7">
        <f t="shared" si="1"/>
        <v>0.375</v>
      </c>
      <c r="N38" s="136" cm="1">
        <f t="array" ref="N38">_xlfn.IFS(
  F38=0,0,
  F38&lt;=1000,3,
  F38&lt;=2300,6,
  F38&lt;=4500,12,
  F38&lt;=8200,24,
  F38&lt;=16000,48,
  F38&gt;16001,96
)</f>
        <v>6</v>
      </c>
      <c r="O38" s="7">
        <f t="shared" si="3"/>
        <v>0.3</v>
      </c>
      <c r="P38" s="18"/>
    </row>
    <row r="39" spans="1:16" x14ac:dyDescent="0.2">
      <c r="A39" s="94"/>
      <c r="B39" s="7"/>
      <c r="C39" s="7"/>
      <c r="D39" s="111" t="s">
        <v>82</v>
      </c>
      <c r="E39" s="122" t="s">
        <v>83</v>
      </c>
      <c r="F39" s="135">
        <v>998</v>
      </c>
      <c r="G39" s="6"/>
      <c r="H39" s="7">
        <f t="shared" si="1"/>
        <v>0.375</v>
      </c>
      <c r="I39" s="7">
        <f t="shared" si="1"/>
        <v>0.54</v>
      </c>
      <c r="J39" s="7">
        <f t="shared" si="1"/>
        <v>0.82500000000000007</v>
      </c>
      <c r="K39" s="7">
        <f t="shared" si="1"/>
        <v>0.63</v>
      </c>
      <c r="L39" s="7">
        <f t="shared" si="1"/>
        <v>0.375</v>
      </c>
      <c r="M39" s="7">
        <f t="shared" si="1"/>
        <v>0.1875</v>
      </c>
      <c r="N39" s="136" cm="1">
        <f t="array" ref="N39">_xlfn.IFS(
  F39=0,0,
  F39&lt;=1000,3,
  F39&lt;=2300,6,
  F39&lt;=4500,12,
  F39&lt;=8200,24,
  F39&lt;=16000,48,
  F39&gt;16001,96
)</f>
        <v>3</v>
      </c>
      <c r="O39" s="7">
        <f t="shared" si="3"/>
        <v>0.15</v>
      </c>
      <c r="P39" s="18"/>
    </row>
    <row r="40" spans="1:16" x14ac:dyDescent="0.2">
      <c r="A40" s="94"/>
      <c r="B40" s="7"/>
      <c r="C40" s="7"/>
      <c r="D40" s="113" t="s">
        <v>103</v>
      </c>
      <c r="E40" s="124" t="s">
        <v>85</v>
      </c>
      <c r="F40" s="39">
        <v>3261</v>
      </c>
      <c r="G40" s="6"/>
      <c r="H40" s="7">
        <f t="shared" ref="H40:M72" si="4">$N40 * H$2</f>
        <v>1.5</v>
      </c>
      <c r="I40" s="7">
        <f t="shared" si="4"/>
        <v>2.16</v>
      </c>
      <c r="J40" s="7">
        <f t="shared" si="4"/>
        <v>3.3000000000000003</v>
      </c>
      <c r="K40" s="7">
        <f t="shared" si="4"/>
        <v>2.52</v>
      </c>
      <c r="L40" s="7">
        <f t="shared" si="4"/>
        <v>1.5</v>
      </c>
      <c r="M40" s="7">
        <f t="shared" si="4"/>
        <v>0.75</v>
      </c>
      <c r="N40" s="136" cm="1">
        <f t="array" ref="N40">_xlfn.IFS(
  F40=0,0,
  F40&lt;=1000,3,
  F40&lt;=2300,6,
  F40&lt;=4500,12,
  F40&lt;=8200,24,
  F40&lt;=16000,48,
  F40&gt;16001,96
)</f>
        <v>12</v>
      </c>
      <c r="O40" s="7">
        <f t="shared" si="3"/>
        <v>0.6</v>
      </c>
      <c r="P40" s="18"/>
    </row>
    <row r="41" spans="1:16" x14ac:dyDescent="0.2">
      <c r="A41" s="94"/>
      <c r="B41" s="7"/>
      <c r="C41" s="7"/>
      <c r="D41" s="113" t="s">
        <v>104</v>
      </c>
      <c r="E41" s="124" t="s">
        <v>105</v>
      </c>
      <c r="F41" s="135">
        <v>909</v>
      </c>
      <c r="G41" s="6"/>
      <c r="H41" s="7">
        <f t="shared" si="4"/>
        <v>0.375</v>
      </c>
      <c r="I41" s="7">
        <f t="shared" si="4"/>
        <v>0.54</v>
      </c>
      <c r="J41" s="7">
        <f t="shared" si="4"/>
        <v>0.82500000000000007</v>
      </c>
      <c r="K41" s="7">
        <f t="shared" si="4"/>
        <v>0.63</v>
      </c>
      <c r="L41" s="7">
        <f t="shared" si="4"/>
        <v>0.375</v>
      </c>
      <c r="M41" s="7">
        <f t="shared" si="4"/>
        <v>0.1875</v>
      </c>
      <c r="N41" s="136" cm="1">
        <f t="array" ref="N41">_xlfn.IFS(
  F41=0,0,
  F41&lt;=1000,3,
  F41&lt;=2300,6,
  F41&lt;=4500,12,
  F41&lt;=8200,24,
  F41&lt;=16000,48,
  F41&gt;16001,96
)</f>
        <v>3</v>
      </c>
      <c r="O41" s="7">
        <f t="shared" si="3"/>
        <v>0.15</v>
      </c>
      <c r="P41" s="18"/>
    </row>
    <row r="42" spans="1:16" x14ac:dyDescent="0.2">
      <c r="A42" s="94"/>
      <c r="B42" s="7"/>
      <c r="C42" s="7"/>
      <c r="D42" s="113" t="s">
        <v>106</v>
      </c>
      <c r="E42" s="124" t="s">
        <v>107</v>
      </c>
      <c r="F42" s="135">
        <v>1636</v>
      </c>
      <c r="G42" s="6"/>
      <c r="H42" s="7">
        <f t="shared" si="4"/>
        <v>0.75</v>
      </c>
      <c r="I42" s="7">
        <f t="shared" si="4"/>
        <v>1.08</v>
      </c>
      <c r="J42" s="7">
        <f t="shared" si="4"/>
        <v>1.6500000000000001</v>
      </c>
      <c r="K42" s="7">
        <f t="shared" si="4"/>
        <v>1.26</v>
      </c>
      <c r="L42" s="7">
        <f t="shared" si="4"/>
        <v>0.75</v>
      </c>
      <c r="M42" s="7">
        <f t="shared" si="4"/>
        <v>0.375</v>
      </c>
      <c r="N42" s="136" cm="1">
        <f t="array" ref="N42">_xlfn.IFS(
  F42=0,0,
  F42&lt;=1000,3,
  F42&lt;=2300,6,
  F42&lt;=4500,12,
  F42&lt;=8200,24,
  F42&lt;=16000,48,
  F42&gt;16001,96
)</f>
        <v>6</v>
      </c>
      <c r="O42" s="7">
        <f t="shared" si="3"/>
        <v>0.3</v>
      </c>
      <c r="P42" s="18"/>
    </row>
    <row r="43" spans="1:16" x14ac:dyDescent="0.2">
      <c r="A43" s="94"/>
      <c r="B43" s="7"/>
      <c r="C43" s="7"/>
      <c r="D43" s="114" t="s">
        <v>108</v>
      </c>
      <c r="E43" s="122" t="s">
        <v>109</v>
      </c>
      <c r="F43" s="135">
        <v>2698</v>
      </c>
      <c r="G43" s="6"/>
      <c r="H43" s="7">
        <f t="shared" si="4"/>
        <v>1.5</v>
      </c>
      <c r="I43" s="7">
        <f t="shared" si="4"/>
        <v>2.16</v>
      </c>
      <c r="J43" s="7">
        <f t="shared" si="4"/>
        <v>3.3000000000000003</v>
      </c>
      <c r="K43" s="7">
        <f t="shared" si="4"/>
        <v>2.52</v>
      </c>
      <c r="L43" s="7">
        <f t="shared" si="4"/>
        <v>1.5</v>
      </c>
      <c r="M43" s="7">
        <f t="shared" si="4"/>
        <v>0.75</v>
      </c>
      <c r="N43" s="136" cm="1">
        <f t="array" ref="N43">_xlfn.IFS(
  F43=0,0,
  F43&lt;=1000,3,
  F43&lt;=2300,6,
  F43&lt;=4500,12,
  F43&lt;=8200,24,
  F43&lt;=16000,48,
  F43&gt;16001,96
)</f>
        <v>12</v>
      </c>
      <c r="O43" s="7">
        <f t="shared" si="3"/>
        <v>0.6</v>
      </c>
      <c r="P43" s="18"/>
    </row>
    <row r="44" spans="1:16" x14ac:dyDescent="0.2">
      <c r="A44" s="94"/>
      <c r="B44" s="7"/>
      <c r="C44" s="7"/>
      <c r="D44" s="110" t="s">
        <v>110</v>
      </c>
      <c r="E44" s="119" t="s">
        <v>111</v>
      </c>
      <c r="F44" s="135">
        <v>444</v>
      </c>
      <c r="G44" s="6"/>
      <c r="H44" s="7">
        <f t="shared" si="4"/>
        <v>0.375</v>
      </c>
      <c r="I44" s="7">
        <f t="shared" si="4"/>
        <v>0.54</v>
      </c>
      <c r="J44" s="7">
        <f t="shared" si="4"/>
        <v>0.82500000000000007</v>
      </c>
      <c r="K44" s="7">
        <f t="shared" si="4"/>
        <v>0.63</v>
      </c>
      <c r="L44" s="7">
        <f t="shared" si="4"/>
        <v>0.375</v>
      </c>
      <c r="M44" s="7">
        <f t="shared" si="4"/>
        <v>0.1875</v>
      </c>
      <c r="N44" s="136" cm="1">
        <f t="array" ref="N44">_xlfn.IFS(
  F44=0,0,
  F44&lt;=1000,3,
  F44&lt;=2300,6,
  F44&lt;=4500,12,
  F44&lt;=8200,24,
  F44&lt;=16000,48,
  F44&gt;16001,96
)</f>
        <v>3</v>
      </c>
      <c r="O44" s="7">
        <f t="shared" si="3"/>
        <v>0.15</v>
      </c>
      <c r="P44" s="18"/>
    </row>
    <row r="45" spans="1:16" x14ac:dyDescent="0.2">
      <c r="A45" s="94"/>
      <c r="B45" s="7"/>
      <c r="C45" s="7"/>
      <c r="D45" s="111" t="s">
        <v>112</v>
      </c>
      <c r="E45" s="121" t="s">
        <v>113</v>
      </c>
      <c r="F45" s="135">
        <v>8155</v>
      </c>
      <c r="G45" s="6"/>
      <c r="H45" s="7">
        <f t="shared" si="4"/>
        <v>3</v>
      </c>
      <c r="I45" s="7">
        <f t="shared" si="4"/>
        <v>4.32</v>
      </c>
      <c r="J45" s="7">
        <f t="shared" si="4"/>
        <v>6.6000000000000005</v>
      </c>
      <c r="K45" s="7">
        <f t="shared" si="4"/>
        <v>5.04</v>
      </c>
      <c r="L45" s="7">
        <f t="shared" si="4"/>
        <v>3</v>
      </c>
      <c r="M45" s="7">
        <f t="shared" si="4"/>
        <v>1.5</v>
      </c>
      <c r="N45" s="136" cm="1">
        <f t="array" ref="N45">_xlfn.IFS(
  F45=0,0,
  F45&lt;=1000,3,
  F45&lt;=2300,6,
  F45&lt;=4500,12,
  F45&lt;=8200,24,
  F45&lt;=16000,48,
  F45&gt;16001,96
)</f>
        <v>24</v>
      </c>
      <c r="O45" s="7">
        <f t="shared" si="3"/>
        <v>1.2</v>
      </c>
      <c r="P45" s="18"/>
    </row>
    <row r="46" spans="1:16" x14ac:dyDescent="0.2">
      <c r="A46" s="94"/>
      <c r="B46" s="7"/>
      <c r="C46" s="7"/>
      <c r="D46" s="111" t="s">
        <v>114</v>
      </c>
      <c r="E46" s="121" t="s">
        <v>115</v>
      </c>
      <c r="F46" s="135">
        <v>492</v>
      </c>
      <c r="G46" s="6"/>
      <c r="H46" s="7">
        <f t="shared" si="4"/>
        <v>0.375</v>
      </c>
      <c r="I46" s="7">
        <f t="shared" si="4"/>
        <v>0.54</v>
      </c>
      <c r="J46" s="7">
        <f t="shared" si="4"/>
        <v>0.82500000000000007</v>
      </c>
      <c r="K46" s="7">
        <f t="shared" si="4"/>
        <v>0.63</v>
      </c>
      <c r="L46" s="7">
        <f t="shared" si="4"/>
        <v>0.375</v>
      </c>
      <c r="M46" s="7">
        <f t="shared" si="4"/>
        <v>0.1875</v>
      </c>
      <c r="N46" s="136" cm="1">
        <f t="array" ref="N46">_xlfn.IFS(
  F46=0,0,
  F46&lt;=1000,3,
  F46&lt;=2300,6,
  F46&lt;=4500,12,
  F46&lt;=8200,24,
  F46&lt;=16000,48,
  F46&gt;16001,96
)</f>
        <v>3</v>
      </c>
      <c r="O46" s="7">
        <f t="shared" si="3"/>
        <v>0.15</v>
      </c>
      <c r="P46" s="18"/>
    </row>
    <row r="47" spans="1:16" x14ac:dyDescent="0.2">
      <c r="A47" s="94"/>
      <c r="B47" s="7"/>
      <c r="C47" s="7"/>
      <c r="D47" s="111" t="s">
        <v>116</v>
      </c>
      <c r="E47" s="121" t="s">
        <v>117</v>
      </c>
      <c r="F47" s="135">
        <v>2278</v>
      </c>
      <c r="G47" s="6"/>
      <c r="H47" s="7">
        <f t="shared" si="4"/>
        <v>0.75</v>
      </c>
      <c r="I47" s="7">
        <f t="shared" si="4"/>
        <v>1.08</v>
      </c>
      <c r="J47" s="7">
        <f t="shared" si="4"/>
        <v>1.6500000000000001</v>
      </c>
      <c r="K47" s="7">
        <f t="shared" si="4"/>
        <v>1.26</v>
      </c>
      <c r="L47" s="7">
        <f t="shared" si="4"/>
        <v>0.75</v>
      </c>
      <c r="M47" s="7">
        <f t="shared" si="4"/>
        <v>0.375</v>
      </c>
      <c r="N47" s="136" cm="1">
        <f t="array" ref="N47">_xlfn.IFS(
  F47=0,0,
  F47&lt;=1000,3,
  F47&lt;=2300,6,
  F47&lt;=4500,12,
  F47&lt;=8200,24,
  F47&lt;=16000,48,
  F47&gt;16001,96
)</f>
        <v>6</v>
      </c>
      <c r="O47" s="7">
        <f t="shared" si="3"/>
        <v>0.3</v>
      </c>
      <c r="P47" s="18"/>
    </row>
    <row r="48" spans="1:16" x14ac:dyDescent="0.2">
      <c r="A48" s="94"/>
      <c r="B48" s="7"/>
      <c r="C48" s="7"/>
      <c r="D48" s="111" t="s">
        <v>118</v>
      </c>
      <c r="E48" s="121" t="s">
        <v>119</v>
      </c>
      <c r="F48" s="135">
        <v>1614</v>
      </c>
      <c r="G48" s="6"/>
      <c r="H48" s="7">
        <f t="shared" si="4"/>
        <v>0.75</v>
      </c>
      <c r="I48" s="7">
        <f t="shared" si="4"/>
        <v>1.08</v>
      </c>
      <c r="J48" s="7">
        <f t="shared" si="4"/>
        <v>1.6500000000000001</v>
      </c>
      <c r="K48" s="7">
        <f t="shared" si="4"/>
        <v>1.26</v>
      </c>
      <c r="L48" s="7">
        <f t="shared" si="4"/>
        <v>0.75</v>
      </c>
      <c r="M48" s="7">
        <f t="shared" si="4"/>
        <v>0.375</v>
      </c>
      <c r="N48" s="136" cm="1">
        <f t="array" ref="N48">_xlfn.IFS(
  F48=0,0,
  F48&lt;=1000,3,
  F48&lt;=2300,6,
  F48&lt;=4500,12,
  F48&lt;=8200,24,
  F48&lt;=16000,48,
  F48&gt;16001,96
)</f>
        <v>6</v>
      </c>
      <c r="O48" s="7">
        <f t="shared" si="3"/>
        <v>0.3</v>
      </c>
      <c r="P48" s="18"/>
    </row>
    <row r="49" spans="1:16" x14ac:dyDescent="0.2">
      <c r="A49" s="94"/>
      <c r="B49" s="7"/>
      <c r="C49" s="7"/>
      <c r="D49" s="111" t="s">
        <v>120</v>
      </c>
      <c r="E49" s="121" t="s">
        <v>121</v>
      </c>
      <c r="F49" s="135">
        <v>2211</v>
      </c>
      <c r="G49" s="6"/>
      <c r="H49" s="7">
        <f t="shared" si="4"/>
        <v>0.75</v>
      </c>
      <c r="I49" s="7">
        <f t="shared" si="4"/>
        <v>1.08</v>
      </c>
      <c r="J49" s="7">
        <f t="shared" si="4"/>
        <v>1.6500000000000001</v>
      </c>
      <c r="K49" s="7">
        <f t="shared" si="4"/>
        <v>1.26</v>
      </c>
      <c r="L49" s="7">
        <f t="shared" si="4"/>
        <v>0.75</v>
      </c>
      <c r="M49" s="7">
        <f t="shared" si="4"/>
        <v>0.375</v>
      </c>
      <c r="N49" s="136" cm="1">
        <f t="array" ref="N49">_xlfn.IFS(
  F49=0,0,
  F49&lt;=1000,3,
  F49&lt;=2300,6,
  F49&lt;=4500,12,
  F49&lt;=8200,24,
  F49&lt;=16000,48,
  F49&gt;16001,96
)</f>
        <v>6</v>
      </c>
      <c r="O49" s="7">
        <f t="shared" si="3"/>
        <v>0.3</v>
      </c>
      <c r="P49" s="18"/>
    </row>
    <row r="50" spans="1:16" x14ac:dyDescent="0.2">
      <c r="A50" s="94"/>
      <c r="B50" s="7"/>
      <c r="C50" s="7"/>
      <c r="D50" s="112" t="s">
        <v>122</v>
      </c>
      <c r="E50" s="125" t="s">
        <v>123</v>
      </c>
      <c r="F50" s="135">
        <v>728</v>
      </c>
      <c r="G50" s="6"/>
      <c r="H50" s="7">
        <f t="shared" si="4"/>
        <v>0.375</v>
      </c>
      <c r="I50" s="7">
        <f t="shared" si="4"/>
        <v>0.54</v>
      </c>
      <c r="J50" s="7">
        <f t="shared" si="4"/>
        <v>0.82500000000000007</v>
      </c>
      <c r="K50" s="7">
        <f t="shared" si="4"/>
        <v>0.63</v>
      </c>
      <c r="L50" s="7">
        <f t="shared" si="4"/>
        <v>0.375</v>
      </c>
      <c r="M50" s="7">
        <f t="shared" si="4"/>
        <v>0.1875</v>
      </c>
      <c r="N50" s="136" cm="1">
        <f t="array" ref="N50">_xlfn.IFS(
  F50=0,0,
  F50&lt;=1000,3,
  F50&lt;=2300,6,
  F50&lt;=4500,12,
  F50&lt;=8200,24,
  F50&lt;=16000,48,
  F50&gt;16001,96
)</f>
        <v>3</v>
      </c>
      <c r="O50" s="7">
        <f t="shared" si="3"/>
        <v>0.15</v>
      </c>
      <c r="P50" s="18"/>
    </row>
    <row r="51" spans="1:16" x14ac:dyDescent="0.2">
      <c r="A51" s="94"/>
      <c r="B51" s="7"/>
      <c r="C51" s="7"/>
      <c r="D51" s="113" t="s">
        <v>124</v>
      </c>
      <c r="E51" s="124" t="s">
        <v>125</v>
      </c>
      <c r="F51" s="135">
        <v>7516</v>
      </c>
      <c r="G51" s="6"/>
      <c r="H51" s="7">
        <f t="shared" si="4"/>
        <v>3</v>
      </c>
      <c r="I51" s="7">
        <f t="shared" si="4"/>
        <v>4.32</v>
      </c>
      <c r="J51" s="7">
        <f t="shared" si="4"/>
        <v>6.6000000000000005</v>
      </c>
      <c r="K51" s="7">
        <f t="shared" si="4"/>
        <v>5.04</v>
      </c>
      <c r="L51" s="7">
        <f t="shared" si="4"/>
        <v>3</v>
      </c>
      <c r="M51" s="7">
        <f t="shared" si="4"/>
        <v>1.5</v>
      </c>
      <c r="N51" s="136" cm="1">
        <f t="array" ref="N51">_xlfn.IFS(
  F51=0,0,
  F51&lt;=1000,3,
  F51&lt;=2300,6,
  F51&lt;=4500,12,
  F51&lt;=8200,24,
  F51&lt;=16000,48,
  F51&gt;16001,96
)</f>
        <v>24</v>
      </c>
      <c r="O51" s="7">
        <f t="shared" si="3"/>
        <v>1.2</v>
      </c>
      <c r="P51" s="18"/>
    </row>
    <row r="52" spans="1:16" x14ac:dyDescent="0.2">
      <c r="A52" s="94"/>
      <c r="B52" s="7"/>
      <c r="C52" s="7"/>
      <c r="D52" s="113" t="s">
        <v>126</v>
      </c>
      <c r="E52" s="124" t="s">
        <v>125</v>
      </c>
      <c r="F52" s="135">
        <v>7516</v>
      </c>
      <c r="G52" s="6"/>
      <c r="H52" s="7">
        <f t="shared" si="4"/>
        <v>3</v>
      </c>
      <c r="I52" s="7">
        <f t="shared" si="4"/>
        <v>4.32</v>
      </c>
      <c r="J52" s="7">
        <f t="shared" si="4"/>
        <v>6.6000000000000005</v>
      </c>
      <c r="K52" s="7">
        <f t="shared" si="4"/>
        <v>5.04</v>
      </c>
      <c r="L52" s="7">
        <f t="shared" si="4"/>
        <v>3</v>
      </c>
      <c r="M52" s="7">
        <f t="shared" si="4"/>
        <v>1.5</v>
      </c>
      <c r="N52" s="136" cm="1">
        <f t="array" ref="N52">_xlfn.IFS(
  F52=0,0,
  F52&lt;=1000,3,
  F52&lt;=2300,6,
  F52&lt;=4500,12,
  F52&lt;=8200,24,
  F52&lt;=16000,48,
  F52&gt;16001,96
)</f>
        <v>24</v>
      </c>
      <c r="O52" s="7">
        <f t="shared" si="3"/>
        <v>1.2</v>
      </c>
      <c r="P52" s="18"/>
    </row>
    <row r="53" spans="1:16" x14ac:dyDescent="0.2">
      <c r="A53" s="94"/>
      <c r="B53" s="7"/>
      <c r="C53" s="7"/>
      <c r="D53" s="113" t="s">
        <v>127</v>
      </c>
      <c r="E53" s="124" t="s">
        <v>125</v>
      </c>
      <c r="F53" s="135">
        <v>7516</v>
      </c>
      <c r="G53" s="6"/>
      <c r="H53" s="7">
        <f t="shared" si="4"/>
        <v>3</v>
      </c>
      <c r="I53" s="7">
        <f t="shared" si="4"/>
        <v>4.32</v>
      </c>
      <c r="J53" s="7">
        <f t="shared" si="4"/>
        <v>6.6000000000000005</v>
      </c>
      <c r="K53" s="7">
        <f t="shared" si="4"/>
        <v>5.04</v>
      </c>
      <c r="L53" s="7">
        <f t="shared" si="4"/>
        <v>3</v>
      </c>
      <c r="M53" s="7">
        <f t="shared" si="4"/>
        <v>1.5</v>
      </c>
      <c r="N53" s="136" cm="1">
        <f t="array" ref="N53">_xlfn.IFS(
  F53=0,0,
  F53&lt;=1000,3,
  F53&lt;=2300,6,
  F53&lt;=4500,12,
  F53&lt;=8200,24,
  F53&lt;=16000,48,
  F53&gt;16001,96
)</f>
        <v>24</v>
      </c>
      <c r="O53" s="7">
        <f t="shared" si="3"/>
        <v>1.2</v>
      </c>
      <c r="P53" s="18"/>
    </row>
    <row r="54" spans="1:16" x14ac:dyDescent="0.2">
      <c r="A54" s="94"/>
      <c r="B54" s="7"/>
      <c r="C54" s="7"/>
      <c r="D54" s="113" t="s">
        <v>128</v>
      </c>
      <c r="E54" s="124" t="s">
        <v>125</v>
      </c>
      <c r="F54" s="135">
        <v>7516</v>
      </c>
      <c r="G54" s="6"/>
      <c r="H54" s="7">
        <f t="shared" si="4"/>
        <v>3</v>
      </c>
      <c r="I54" s="7">
        <f t="shared" si="4"/>
        <v>4.32</v>
      </c>
      <c r="J54" s="7">
        <f t="shared" si="4"/>
        <v>6.6000000000000005</v>
      </c>
      <c r="K54" s="7">
        <f t="shared" si="4"/>
        <v>5.04</v>
      </c>
      <c r="L54" s="7">
        <f t="shared" si="4"/>
        <v>3</v>
      </c>
      <c r="M54" s="7">
        <f t="shared" si="4"/>
        <v>1.5</v>
      </c>
      <c r="N54" s="136" cm="1">
        <f t="array" ref="N54">_xlfn.IFS(
  F54=0,0,
  F54&lt;=1000,3,
  F54&lt;=2300,6,
  F54&lt;=4500,12,
  F54&lt;=8200,24,
  F54&lt;=16000,48,
  F54&gt;16001,96
)</f>
        <v>24</v>
      </c>
      <c r="O54" s="7">
        <f t="shared" si="3"/>
        <v>1.2</v>
      </c>
      <c r="P54" s="18"/>
    </row>
    <row r="55" spans="1:16" x14ac:dyDescent="0.2">
      <c r="A55" s="94"/>
      <c r="B55" s="7"/>
      <c r="C55" s="7"/>
      <c r="D55" s="113" t="s">
        <v>129</v>
      </c>
      <c r="E55" s="124" t="s">
        <v>125</v>
      </c>
      <c r="F55" s="135">
        <v>7516</v>
      </c>
      <c r="G55" s="6"/>
      <c r="H55" s="7">
        <f t="shared" si="4"/>
        <v>3</v>
      </c>
      <c r="I55" s="7">
        <f t="shared" si="4"/>
        <v>4.32</v>
      </c>
      <c r="J55" s="7">
        <f t="shared" si="4"/>
        <v>6.6000000000000005</v>
      </c>
      <c r="K55" s="7">
        <f t="shared" si="4"/>
        <v>5.04</v>
      </c>
      <c r="L55" s="7">
        <f t="shared" si="4"/>
        <v>3</v>
      </c>
      <c r="M55" s="7">
        <f t="shared" si="4"/>
        <v>1.5</v>
      </c>
      <c r="N55" s="136" cm="1">
        <f t="array" ref="N55">_xlfn.IFS(
  F55=0,0,
  F55&lt;=1000,3,
  F55&lt;=2300,6,
  F55&lt;=4500,12,
  F55&lt;=8200,24,
  F55&lt;=16000,48,
  F55&gt;16001,96
)</f>
        <v>24</v>
      </c>
      <c r="O55" s="7">
        <f t="shared" si="3"/>
        <v>1.2</v>
      </c>
      <c r="P55" s="18"/>
    </row>
    <row r="56" spans="1:16" x14ac:dyDescent="0.2">
      <c r="A56" s="94"/>
      <c r="B56" s="7"/>
      <c r="C56" s="7"/>
      <c r="D56" s="113" t="s">
        <v>130</v>
      </c>
      <c r="E56" s="124" t="s">
        <v>125</v>
      </c>
      <c r="F56" s="135">
        <v>7516</v>
      </c>
      <c r="G56" s="6"/>
      <c r="H56" s="7">
        <f t="shared" si="4"/>
        <v>3</v>
      </c>
      <c r="I56" s="7">
        <f t="shared" si="4"/>
        <v>4.32</v>
      </c>
      <c r="J56" s="7">
        <f t="shared" si="4"/>
        <v>6.6000000000000005</v>
      </c>
      <c r="K56" s="7">
        <f t="shared" si="4"/>
        <v>5.04</v>
      </c>
      <c r="L56" s="7">
        <f t="shared" si="4"/>
        <v>3</v>
      </c>
      <c r="M56" s="7">
        <f t="shared" si="4"/>
        <v>1.5</v>
      </c>
      <c r="N56" s="136" cm="1">
        <f t="array" ref="N56">_xlfn.IFS(
  F56=0,0,
  F56&lt;=1000,3,
  F56&lt;=2300,6,
  F56&lt;=4500,12,
  F56&lt;=8200,24,
  F56&lt;=16000,48,
  F56&gt;16001,96
)</f>
        <v>24</v>
      </c>
      <c r="O56" s="7">
        <f t="shared" si="3"/>
        <v>1.2</v>
      </c>
      <c r="P56" s="18"/>
    </row>
    <row r="57" spans="1:16" x14ac:dyDescent="0.2">
      <c r="A57" s="94"/>
      <c r="B57" s="7"/>
      <c r="C57" s="7"/>
      <c r="D57" s="113" t="s">
        <v>190</v>
      </c>
      <c r="E57" s="124" t="s">
        <v>132</v>
      </c>
      <c r="F57" s="135">
        <v>18982</v>
      </c>
      <c r="G57" s="6"/>
      <c r="H57" s="7">
        <f t="shared" si="4"/>
        <v>12</v>
      </c>
      <c r="I57" s="7">
        <f t="shared" si="4"/>
        <v>17.28</v>
      </c>
      <c r="J57" s="7">
        <f t="shared" si="4"/>
        <v>26.400000000000002</v>
      </c>
      <c r="K57" s="7">
        <f t="shared" si="4"/>
        <v>20.16</v>
      </c>
      <c r="L57" s="7">
        <f t="shared" si="4"/>
        <v>12</v>
      </c>
      <c r="M57" s="7">
        <f t="shared" si="4"/>
        <v>6</v>
      </c>
      <c r="N57" s="136" cm="1">
        <f t="array" ref="N57">_xlfn.IFS(
  F57=0,0,
  F57&lt;=1000,3,
  F57&lt;=2300,6,
  F57&lt;=4500,12,
  F57&lt;=8200,24,
  F57&lt;=16000,48,
  F57&gt;16001,96
)</f>
        <v>96</v>
      </c>
      <c r="O57" s="7">
        <f t="shared" si="3"/>
        <v>4.8</v>
      </c>
      <c r="P57" s="18"/>
    </row>
    <row r="58" spans="1:16" x14ac:dyDescent="0.2">
      <c r="A58" s="94"/>
      <c r="B58" s="7"/>
      <c r="C58" s="7" t="s">
        <v>133</v>
      </c>
      <c r="D58" s="115" t="s">
        <v>134</v>
      </c>
      <c r="E58" s="126" t="s">
        <v>135</v>
      </c>
      <c r="F58" s="126">
        <v>708</v>
      </c>
      <c r="G58" s="6"/>
      <c r="H58" s="7">
        <f t="shared" si="4"/>
        <v>0.375</v>
      </c>
      <c r="I58" s="7">
        <f t="shared" si="4"/>
        <v>0.54</v>
      </c>
      <c r="J58" s="7">
        <f t="shared" si="4"/>
        <v>0.82500000000000007</v>
      </c>
      <c r="K58" s="7">
        <f t="shared" si="4"/>
        <v>0.63</v>
      </c>
      <c r="L58" s="7">
        <f t="shared" si="4"/>
        <v>0.375</v>
      </c>
      <c r="M58" s="7">
        <f t="shared" si="4"/>
        <v>0.1875</v>
      </c>
      <c r="N58" s="136" cm="1">
        <f t="array" ref="N58">_xlfn.IFS(
  F58=0,0,
  F58&lt;=1000,3,
  F58&lt;=2300,6,
  F58&lt;=4500,12,
  F58&lt;=8200,24,
  F58&lt;=16000,48,
  F58&gt;16001,96
)</f>
        <v>3</v>
      </c>
      <c r="O58" s="7">
        <f t="shared" si="3"/>
        <v>0.15</v>
      </c>
      <c r="P58" s="18"/>
    </row>
    <row r="59" spans="1:16" x14ac:dyDescent="0.2">
      <c r="A59" s="94"/>
      <c r="B59" s="7"/>
      <c r="C59" s="7"/>
      <c r="D59" s="115" t="s">
        <v>136</v>
      </c>
      <c r="E59" s="126" t="s">
        <v>137</v>
      </c>
      <c r="F59" s="126">
        <v>2324</v>
      </c>
      <c r="G59" s="6"/>
      <c r="H59" s="7">
        <f t="shared" si="4"/>
        <v>1.5</v>
      </c>
      <c r="I59" s="7">
        <f t="shared" si="4"/>
        <v>2.16</v>
      </c>
      <c r="J59" s="7">
        <f t="shared" si="4"/>
        <v>3.3000000000000003</v>
      </c>
      <c r="K59" s="7">
        <f t="shared" si="4"/>
        <v>2.52</v>
      </c>
      <c r="L59" s="7">
        <f t="shared" si="4"/>
        <v>1.5</v>
      </c>
      <c r="M59" s="7">
        <f t="shared" si="4"/>
        <v>0.75</v>
      </c>
      <c r="N59" s="136" cm="1">
        <f t="array" ref="N59">_xlfn.IFS(
  F59=0,0,
  F59&lt;=1000,3,
  F59&lt;=2300,6,
  F59&lt;=4500,12,
  F59&lt;=8200,24,
  F59&lt;=16000,48,
  F59&gt;16001,96
)</f>
        <v>12</v>
      </c>
      <c r="O59" s="7">
        <f t="shared" si="3"/>
        <v>0.6</v>
      </c>
      <c r="P59" s="18"/>
    </row>
    <row r="60" spans="1:16" x14ac:dyDescent="0.2">
      <c r="A60" s="94"/>
      <c r="B60" s="7"/>
      <c r="C60" s="7"/>
      <c r="D60" s="115" t="s">
        <v>138</v>
      </c>
      <c r="E60" s="126" t="s">
        <v>139</v>
      </c>
      <c r="F60" s="126">
        <v>52</v>
      </c>
      <c r="G60" s="6"/>
      <c r="H60" s="7">
        <f t="shared" si="4"/>
        <v>0.375</v>
      </c>
      <c r="I60" s="7">
        <f t="shared" si="4"/>
        <v>0.54</v>
      </c>
      <c r="J60" s="7">
        <f t="shared" si="4"/>
        <v>0.82500000000000007</v>
      </c>
      <c r="K60" s="7">
        <f t="shared" si="4"/>
        <v>0.63</v>
      </c>
      <c r="L60" s="7">
        <f t="shared" si="4"/>
        <v>0.375</v>
      </c>
      <c r="M60" s="7">
        <f t="shared" si="4"/>
        <v>0.1875</v>
      </c>
      <c r="N60" s="136" cm="1">
        <f t="array" ref="N60">_xlfn.IFS(
  F60=0,0,
  F60&lt;=1000,3,
  F60&lt;=2300,6,
  F60&lt;=4500,12,
  F60&lt;=8200,24,
  F60&lt;=16000,48,
  F60&gt;16001,96
)</f>
        <v>3</v>
      </c>
      <c r="O60" s="7">
        <f t="shared" si="3"/>
        <v>0.15</v>
      </c>
      <c r="P60" s="18"/>
    </row>
    <row r="61" spans="1:16" x14ac:dyDescent="0.2">
      <c r="A61" s="94"/>
      <c r="B61" s="7"/>
      <c r="C61" s="7"/>
      <c r="D61" s="115" t="s">
        <v>140</v>
      </c>
      <c r="E61" s="126" t="s">
        <v>141</v>
      </c>
      <c r="F61" s="126">
        <v>12972</v>
      </c>
      <c r="G61" s="6"/>
      <c r="H61" s="7">
        <f t="shared" si="4"/>
        <v>6</v>
      </c>
      <c r="I61" s="7">
        <f t="shared" si="4"/>
        <v>8.64</v>
      </c>
      <c r="J61" s="7">
        <f t="shared" si="4"/>
        <v>13.200000000000001</v>
      </c>
      <c r="K61" s="7">
        <f t="shared" si="4"/>
        <v>10.08</v>
      </c>
      <c r="L61" s="7">
        <f t="shared" si="4"/>
        <v>6</v>
      </c>
      <c r="M61" s="7">
        <f t="shared" si="4"/>
        <v>3</v>
      </c>
      <c r="N61" s="136" cm="1">
        <f t="array" ref="N61">_xlfn.IFS(
  F61=0,0,
  F61&lt;=1000,3,
  F61&lt;=2300,6,
  F61&lt;=4500,12,
  F61&lt;=8200,24,
  F61&lt;=16000,48,
  F61&gt;16001,96
)</f>
        <v>48</v>
      </c>
      <c r="O61" s="7">
        <f t="shared" si="3"/>
        <v>2.4</v>
      </c>
      <c r="P61" s="18"/>
    </row>
    <row r="62" spans="1:16" x14ac:dyDescent="0.2">
      <c r="A62" s="94"/>
      <c r="B62" s="7"/>
      <c r="C62" s="7"/>
      <c r="D62" s="115" t="s">
        <v>142</v>
      </c>
      <c r="E62" s="126" t="s">
        <v>143</v>
      </c>
      <c r="F62" s="126">
        <v>6408</v>
      </c>
      <c r="G62" s="6"/>
      <c r="H62" s="7">
        <f t="shared" si="4"/>
        <v>3</v>
      </c>
      <c r="I62" s="7">
        <f t="shared" si="4"/>
        <v>4.32</v>
      </c>
      <c r="J62" s="7">
        <f t="shared" si="4"/>
        <v>6.6000000000000005</v>
      </c>
      <c r="K62" s="7">
        <f t="shared" si="4"/>
        <v>5.04</v>
      </c>
      <c r="L62" s="7">
        <f t="shared" si="4"/>
        <v>3</v>
      </c>
      <c r="M62" s="7">
        <f t="shared" si="4"/>
        <v>1.5</v>
      </c>
      <c r="N62" s="136" cm="1">
        <f t="array" ref="N62">_xlfn.IFS(
  F62=0,0,
  F62&lt;=1000,3,
  F62&lt;=2300,6,
  F62&lt;=4500,12,
  F62&lt;=8200,24,
  F62&lt;=16000,48,
  F62&gt;16001,96
)</f>
        <v>24</v>
      </c>
      <c r="O62" s="7">
        <f t="shared" si="3"/>
        <v>1.2</v>
      </c>
      <c r="P62" s="18"/>
    </row>
    <row r="63" spans="1:16" x14ac:dyDescent="0.2">
      <c r="A63" s="94"/>
      <c r="B63" s="7"/>
      <c r="C63" s="7"/>
      <c r="D63" s="115" t="s">
        <v>144</v>
      </c>
      <c r="E63" s="126" t="s">
        <v>145</v>
      </c>
      <c r="F63" s="126">
        <v>15986</v>
      </c>
      <c r="G63" s="6"/>
      <c r="H63" s="7">
        <f t="shared" si="4"/>
        <v>6</v>
      </c>
      <c r="I63" s="7">
        <f t="shared" si="4"/>
        <v>8.64</v>
      </c>
      <c r="J63" s="7">
        <f t="shared" si="4"/>
        <v>13.200000000000001</v>
      </c>
      <c r="K63" s="7">
        <f t="shared" si="4"/>
        <v>10.08</v>
      </c>
      <c r="L63" s="7">
        <f t="shared" si="4"/>
        <v>6</v>
      </c>
      <c r="M63" s="7">
        <f t="shared" si="4"/>
        <v>3</v>
      </c>
      <c r="N63" s="136" cm="1">
        <f t="array" ref="N63">_xlfn.IFS(
  F63=0,0,
  F63&lt;=1000,3,
  F63&lt;=2300,6,
  F63&lt;=4500,12,
  F63&lt;=8200,24,
  F63&lt;=16000,48,
  F63&gt;16001,96
)</f>
        <v>48</v>
      </c>
      <c r="O63" s="7">
        <f t="shared" si="3"/>
        <v>2.4</v>
      </c>
      <c r="P63" s="18"/>
    </row>
    <row r="64" spans="1:16" x14ac:dyDescent="0.2">
      <c r="A64" s="93"/>
      <c r="B64" s="7"/>
      <c r="C64" s="7" t="s">
        <v>191</v>
      </c>
      <c r="D64" s="7" t="s">
        <v>192</v>
      </c>
      <c r="E64" s="116"/>
      <c r="F64" s="173" t="s">
        <v>193</v>
      </c>
      <c r="G64" s="6"/>
      <c r="H64" s="7">
        <f t="shared" si="4"/>
        <v>1</v>
      </c>
      <c r="I64" s="7">
        <f t="shared" si="4"/>
        <v>1.44</v>
      </c>
      <c r="J64" s="7">
        <f t="shared" si="4"/>
        <v>2.2000000000000002</v>
      </c>
      <c r="K64" s="7">
        <f t="shared" si="4"/>
        <v>1.68</v>
      </c>
      <c r="L64" s="7">
        <f t="shared" si="4"/>
        <v>1</v>
      </c>
      <c r="M64" s="7">
        <f t="shared" si="4"/>
        <v>0.5</v>
      </c>
      <c r="N64" s="136">
        <v>8</v>
      </c>
      <c r="O64" s="7">
        <f t="shared" ref="O64:O72" si="5">ROUNDUP(N64/20,2)</f>
        <v>0.4</v>
      </c>
      <c r="P64" s="18"/>
    </row>
    <row r="65" spans="1:16" x14ac:dyDescent="0.2">
      <c r="A65" s="93"/>
      <c r="B65" s="7"/>
      <c r="C65" s="7"/>
      <c r="D65" s="7" t="s">
        <v>194</v>
      </c>
      <c r="E65" s="116"/>
      <c r="F65" s="173"/>
      <c r="G65" s="6"/>
      <c r="H65" s="7">
        <f t="shared" si="4"/>
        <v>2</v>
      </c>
      <c r="I65" s="7">
        <f t="shared" si="4"/>
        <v>2.88</v>
      </c>
      <c r="J65" s="7">
        <f t="shared" si="4"/>
        <v>4.4000000000000004</v>
      </c>
      <c r="K65" s="7">
        <f t="shared" si="4"/>
        <v>3.36</v>
      </c>
      <c r="L65" s="7">
        <f t="shared" si="4"/>
        <v>2</v>
      </c>
      <c r="M65" s="7">
        <f t="shared" si="4"/>
        <v>1</v>
      </c>
      <c r="N65" s="136">
        <v>16</v>
      </c>
      <c r="O65" s="7">
        <f t="shared" ref="O65:O67" si="6">ROUNDUP(N65/20,2)</f>
        <v>0.8</v>
      </c>
      <c r="P65" s="18"/>
    </row>
    <row r="66" spans="1:16" x14ac:dyDescent="0.2">
      <c r="A66" s="93"/>
      <c r="B66" s="7"/>
      <c r="C66" s="7"/>
      <c r="D66" s="101" t="s">
        <v>195</v>
      </c>
      <c r="E66" s="116"/>
      <c r="F66" s="173"/>
      <c r="G66" s="6"/>
      <c r="H66" s="7">
        <f t="shared" si="4"/>
        <v>1.125</v>
      </c>
      <c r="I66" s="7">
        <f t="shared" si="4"/>
        <v>1.6199999999999999</v>
      </c>
      <c r="J66" s="7">
        <f t="shared" si="4"/>
        <v>2.4750000000000001</v>
      </c>
      <c r="K66" s="7">
        <f t="shared" si="4"/>
        <v>1.89</v>
      </c>
      <c r="L66" s="7">
        <f t="shared" si="4"/>
        <v>1.125</v>
      </c>
      <c r="M66" s="7">
        <f t="shared" si="4"/>
        <v>0.5625</v>
      </c>
      <c r="N66" s="7">
        <v>9</v>
      </c>
      <c r="O66" s="7">
        <f t="shared" si="5"/>
        <v>0.45</v>
      </c>
      <c r="P66" s="18"/>
    </row>
    <row r="67" spans="1:16" x14ac:dyDescent="0.2">
      <c r="A67" s="93"/>
      <c r="B67" s="7"/>
      <c r="C67" s="7"/>
      <c r="D67" s="101" t="s">
        <v>196</v>
      </c>
      <c r="E67" s="116"/>
      <c r="F67" s="173"/>
      <c r="G67" s="6"/>
      <c r="H67" s="7">
        <f t="shared" si="4"/>
        <v>1</v>
      </c>
      <c r="I67" s="7">
        <f t="shared" si="4"/>
        <v>1.44</v>
      </c>
      <c r="J67" s="7">
        <f t="shared" si="4"/>
        <v>2.2000000000000002</v>
      </c>
      <c r="K67" s="7">
        <f t="shared" si="4"/>
        <v>1.68</v>
      </c>
      <c r="L67" s="7">
        <f t="shared" si="4"/>
        <v>1</v>
      </c>
      <c r="M67" s="7">
        <f t="shared" si="4"/>
        <v>0.5</v>
      </c>
      <c r="N67" s="7">
        <v>8</v>
      </c>
      <c r="O67" s="7">
        <f t="shared" si="6"/>
        <v>0.4</v>
      </c>
      <c r="P67" s="18"/>
    </row>
    <row r="68" spans="1:16" x14ac:dyDescent="0.2">
      <c r="A68" s="93"/>
      <c r="B68" s="7"/>
      <c r="C68" s="7" t="s">
        <v>146</v>
      </c>
      <c r="D68" s="101" t="s">
        <v>147</v>
      </c>
      <c r="E68" s="116"/>
      <c r="F68" s="116"/>
      <c r="G68" s="6"/>
      <c r="H68" s="7">
        <f t="shared" si="4"/>
        <v>0.625</v>
      </c>
      <c r="I68" s="7">
        <f t="shared" si="4"/>
        <v>0.89999999999999991</v>
      </c>
      <c r="J68" s="7">
        <f t="shared" si="4"/>
        <v>1.375</v>
      </c>
      <c r="K68" s="7">
        <f t="shared" si="4"/>
        <v>1.05</v>
      </c>
      <c r="L68" s="7">
        <f t="shared" si="4"/>
        <v>0.625</v>
      </c>
      <c r="M68" s="7">
        <f t="shared" si="4"/>
        <v>0.3125</v>
      </c>
      <c r="N68" s="7">
        <v>5</v>
      </c>
      <c r="O68" s="7">
        <f t="shared" si="5"/>
        <v>0.25</v>
      </c>
      <c r="P68" s="18"/>
    </row>
    <row r="69" spans="1:16" x14ac:dyDescent="0.2">
      <c r="A69" s="93"/>
      <c r="B69" s="7"/>
      <c r="C69" s="7"/>
      <c r="D69" s="101" t="s">
        <v>148</v>
      </c>
      <c r="E69" s="116"/>
      <c r="F69" s="116"/>
      <c r="G69" s="6"/>
      <c r="H69" s="7">
        <f t="shared" si="4"/>
        <v>0.625</v>
      </c>
      <c r="I69" s="7">
        <f t="shared" si="4"/>
        <v>0.89999999999999991</v>
      </c>
      <c r="J69" s="7">
        <f t="shared" si="4"/>
        <v>1.375</v>
      </c>
      <c r="K69" s="7">
        <f t="shared" si="4"/>
        <v>1.05</v>
      </c>
      <c r="L69" s="7">
        <f t="shared" si="4"/>
        <v>0.625</v>
      </c>
      <c r="M69" s="7">
        <f t="shared" si="4"/>
        <v>0.3125</v>
      </c>
      <c r="N69" s="7">
        <v>5</v>
      </c>
      <c r="O69" s="7">
        <f t="shared" si="5"/>
        <v>0.25</v>
      </c>
      <c r="P69" s="18"/>
    </row>
    <row r="70" spans="1:16" x14ac:dyDescent="0.2">
      <c r="A70" s="93"/>
      <c r="B70" s="7"/>
      <c r="C70" s="7"/>
      <c r="D70" s="101" t="s">
        <v>149</v>
      </c>
      <c r="E70" s="116"/>
      <c r="F70" s="116"/>
      <c r="G70" s="6"/>
      <c r="H70" s="7">
        <f t="shared" si="4"/>
        <v>0.625</v>
      </c>
      <c r="I70" s="7">
        <f t="shared" si="4"/>
        <v>0.89999999999999991</v>
      </c>
      <c r="J70" s="7">
        <f t="shared" si="4"/>
        <v>1.375</v>
      </c>
      <c r="K70" s="7">
        <f t="shared" si="4"/>
        <v>1.05</v>
      </c>
      <c r="L70" s="7">
        <f t="shared" si="4"/>
        <v>0.625</v>
      </c>
      <c r="M70" s="7">
        <f t="shared" si="4"/>
        <v>0.3125</v>
      </c>
      <c r="N70" s="7">
        <v>5</v>
      </c>
      <c r="O70" s="7">
        <f t="shared" si="5"/>
        <v>0.25</v>
      </c>
      <c r="P70" s="18"/>
    </row>
    <row r="71" spans="1:16" x14ac:dyDescent="0.2">
      <c r="A71" s="93"/>
      <c r="B71" s="103" t="s">
        <v>150</v>
      </c>
      <c r="C71" s="102" t="s">
        <v>151</v>
      </c>
      <c r="D71" s="101"/>
      <c r="E71" s="29" t="s">
        <v>152</v>
      </c>
      <c r="F71" s="29"/>
      <c r="G71" s="6"/>
      <c r="H71" s="7">
        <f t="shared" si="4"/>
        <v>1.25</v>
      </c>
      <c r="I71" s="7">
        <f t="shared" si="4"/>
        <v>1.7999999999999998</v>
      </c>
      <c r="J71" s="7">
        <f t="shared" si="4"/>
        <v>2.75</v>
      </c>
      <c r="K71" s="7">
        <f t="shared" si="4"/>
        <v>2.1</v>
      </c>
      <c r="L71" s="7">
        <f t="shared" si="4"/>
        <v>1.25</v>
      </c>
      <c r="M71" s="7">
        <f t="shared" si="4"/>
        <v>0.625</v>
      </c>
      <c r="N71" s="7">
        <v>10</v>
      </c>
      <c r="O71" s="7">
        <f t="shared" si="5"/>
        <v>0.5</v>
      </c>
      <c r="P71" s="18"/>
    </row>
    <row r="72" spans="1:16" x14ac:dyDescent="0.2">
      <c r="A72" s="93"/>
      <c r="B72" s="103" t="s">
        <v>153</v>
      </c>
      <c r="C72" s="102" t="s">
        <v>154</v>
      </c>
      <c r="D72" s="101"/>
      <c r="E72" s="29" t="s">
        <v>155</v>
      </c>
      <c r="F72" s="29"/>
      <c r="G72" s="6"/>
      <c r="H72" s="7">
        <f t="shared" si="4"/>
        <v>1.25</v>
      </c>
      <c r="I72" s="7">
        <f t="shared" si="4"/>
        <v>1.7999999999999998</v>
      </c>
      <c r="J72" s="7">
        <f t="shared" si="4"/>
        <v>2.75</v>
      </c>
      <c r="K72" s="7">
        <f t="shared" si="4"/>
        <v>2.1</v>
      </c>
      <c r="L72" s="7">
        <f t="shared" si="4"/>
        <v>1.25</v>
      </c>
      <c r="M72" s="7">
        <f t="shared" si="4"/>
        <v>0.625</v>
      </c>
      <c r="N72" s="7">
        <v>10</v>
      </c>
      <c r="O72" s="7">
        <f t="shared" si="5"/>
        <v>0.5</v>
      </c>
      <c r="P72" s="18"/>
    </row>
    <row r="73" spans="1:16" x14ac:dyDescent="0.2">
      <c r="A73" s="93"/>
      <c r="B73" s="158" t="s">
        <v>156</v>
      </c>
      <c r="C73" s="159"/>
      <c r="D73" s="159"/>
      <c r="E73" s="159"/>
      <c r="F73" s="159"/>
      <c r="G73" s="159"/>
      <c r="H73" s="7">
        <f t="shared" ref="H73:M73" si="7">SUBTOTAL(9,H7:H72)</f>
        <v>98</v>
      </c>
      <c r="I73" s="7">
        <f t="shared" si="7"/>
        <v>141.12000000000003</v>
      </c>
      <c r="J73" s="7">
        <f t="shared" si="7"/>
        <v>215.59999999999994</v>
      </c>
      <c r="K73" s="7">
        <f t="shared" si="7"/>
        <v>164.6400000000001</v>
      </c>
      <c r="L73" s="7">
        <f t="shared" si="7"/>
        <v>98</v>
      </c>
      <c r="M73" s="7">
        <f t="shared" si="7"/>
        <v>49</v>
      </c>
      <c r="N73" s="158">
        <f>SUM(H73:M73)</f>
        <v>766.36000000000013</v>
      </c>
      <c r="O73" s="160"/>
      <c r="P73" s="18"/>
    </row>
    <row r="74" spans="1:16" x14ac:dyDescent="0.2">
      <c r="A74" s="93"/>
      <c r="B74" s="158" t="s">
        <v>157</v>
      </c>
      <c r="C74" s="159"/>
      <c r="D74" s="159"/>
      <c r="E74" s="159"/>
      <c r="F74" s="159"/>
      <c r="G74" s="159"/>
      <c r="H74" s="7">
        <f t="shared" ref="H74:M74" si="8">ROUNDUP(SUM(H73:H73)/20,1)</f>
        <v>4.9000000000000004</v>
      </c>
      <c r="I74" s="7">
        <f t="shared" si="8"/>
        <v>7.1</v>
      </c>
      <c r="J74" s="7">
        <f t="shared" si="8"/>
        <v>10.799999999999999</v>
      </c>
      <c r="K74" s="7">
        <f t="shared" si="8"/>
        <v>8.2999999999999989</v>
      </c>
      <c r="L74" s="7">
        <f t="shared" si="8"/>
        <v>4.9000000000000004</v>
      </c>
      <c r="M74" s="7">
        <f t="shared" si="8"/>
        <v>2.5</v>
      </c>
      <c r="N74" s="158">
        <f t="shared" ref="N74:N75" si="9">SUM(H74:M74)</f>
        <v>38.499999999999993</v>
      </c>
      <c r="O74" s="160"/>
      <c r="P74" s="18"/>
    </row>
    <row r="75" spans="1:16" x14ac:dyDescent="0.2">
      <c r="A75" s="93"/>
      <c r="B75" s="154" t="s">
        <v>158</v>
      </c>
      <c r="C75" s="155"/>
      <c r="D75" s="155"/>
      <c r="E75" s="155"/>
      <c r="F75" s="155"/>
      <c r="G75" s="155"/>
      <c r="H75" s="128">
        <f t="shared" ref="H75:M75" si="10">ROUNDUP(H74*0.2,1)</f>
        <v>1</v>
      </c>
      <c r="I75" s="128">
        <f t="shared" si="10"/>
        <v>1.5</v>
      </c>
      <c r="J75" s="128">
        <f t="shared" si="10"/>
        <v>2.2000000000000002</v>
      </c>
      <c r="K75" s="128">
        <f t="shared" si="10"/>
        <v>1.7000000000000002</v>
      </c>
      <c r="L75" s="128">
        <f t="shared" si="10"/>
        <v>1</v>
      </c>
      <c r="M75" s="128">
        <f t="shared" si="10"/>
        <v>0.5</v>
      </c>
      <c r="N75" s="154">
        <f t="shared" si="9"/>
        <v>7.9</v>
      </c>
      <c r="O75" s="161"/>
      <c r="P75" s="18"/>
    </row>
    <row r="76" spans="1:16" x14ac:dyDescent="0.2">
      <c r="A76" s="96"/>
      <c r="B76" s="154" t="s">
        <v>159</v>
      </c>
      <c r="C76" s="155"/>
      <c r="D76" s="155"/>
      <c r="E76" s="155"/>
      <c r="F76" s="155"/>
      <c r="G76" s="155"/>
      <c r="H76" s="129">
        <f t="shared" ref="H76:M76" si="11">H74*1100000</f>
        <v>5390000</v>
      </c>
      <c r="I76" s="129">
        <f t="shared" si="11"/>
        <v>7810000</v>
      </c>
      <c r="J76" s="129">
        <f t="shared" si="11"/>
        <v>11879999.999999998</v>
      </c>
      <c r="K76" s="129">
        <f t="shared" si="11"/>
        <v>9129999.9999999981</v>
      </c>
      <c r="L76" s="129">
        <f t="shared" si="11"/>
        <v>5390000</v>
      </c>
      <c r="M76" s="129">
        <f t="shared" si="11"/>
        <v>2750000</v>
      </c>
      <c r="N76" s="156">
        <f>SUM(H76:M76,N75*1400000)</f>
        <v>53410000</v>
      </c>
      <c r="O76" s="157"/>
      <c r="P76" s="18"/>
    </row>
    <row r="77" spans="1:16" x14ac:dyDescent="0.2">
      <c r="B77" s="130"/>
      <c r="C77" s="130"/>
      <c r="D77" s="130"/>
      <c r="E77" s="131"/>
      <c r="F77" s="131"/>
      <c r="G77" s="130"/>
      <c r="H77" s="130">
        <f t="shared" ref="H77:M77" si="12">H75*1400000</f>
        <v>1400000</v>
      </c>
      <c r="I77" s="130">
        <f t="shared" si="12"/>
        <v>2100000</v>
      </c>
      <c r="J77" s="130">
        <f t="shared" si="12"/>
        <v>3080000.0000000005</v>
      </c>
      <c r="K77" s="130">
        <f t="shared" si="12"/>
        <v>2380000.0000000005</v>
      </c>
      <c r="L77" s="130">
        <f t="shared" si="12"/>
        <v>1400000</v>
      </c>
      <c r="M77" s="130">
        <f t="shared" si="12"/>
        <v>700000</v>
      </c>
      <c r="N77" s="130"/>
      <c r="O77" s="130"/>
    </row>
  </sheetData>
  <autoFilter ref="A6:V76" xr:uid="{00000000-0001-0000-0000-000000000000}">
    <filterColumn colId="3" showButton="0"/>
  </autoFilter>
  <mergeCells count="23">
    <mergeCell ref="F64:F67"/>
    <mergeCell ref="B76:G76"/>
    <mergeCell ref="N76:O76"/>
    <mergeCell ref="B73:G73"/>
    <mergeCell ref="N73:O73"/>
    <mergeCell ref="B74:G74"/>
    <mergeCell ref="N74:O74"/>
    <mergeCell ref="B75:G75"/>
    <mergeCell ref="N75:O75"/>
    <mergeCell ref="O3:O6"/>
    <mergeCell ref="H4:H6"/>
    <mergeCell ref="I4:I6"/>
    <mergeCell ref="J4:J6"/>
    <mergeCell ref="K4:K6"/>
    <mergeCell ref="L4:L6"/>
    <mergeCell ref="M4:M6"/>
    <mergeCell ref="H3:M3"/>
    <mergeCell ref="B3:B6"/>
    <mergeCell ref="C3:C6"/>
    <mergeCell ref="D3:E6"/>
    <mergeCell ref="G3:G6"/>
    <mergeCell ref="N3:N6"/>
    <mergeCell ref="F3:F6"/>
  </mergeCells>
  <phoneticPr fontId="2"/>
  <pageMargins left="0.15748031496062992" right="0.15748031496062992" top="0.15748031496062992" bottom="0.15748031496062992" header="0.31496062992125984" footer="0.31496062992125984"/>
  <pageSetup paperSize="9" scale="42" fitToHeight="1000" orientation="landscape"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F1B9FC-4CEC-4C21-AD81-425065669489}">
  <sheetPr>
    <pageSetUpPr fitToPage="1"/>
  </sheetPr>
  <dimension ref="A2:U19"/>
  <sheetViews>
    <sheetView view="pageBreakPreview" topLeftCell="A10" zoomScale="70" zoomScaleNormal="55" zoomScaleSheetLayoutView="70" workbookViewId="0">
      <selection activeCell="A12" sqref="A12"/>
    </sheetView>
  </sheetViews>
  <sheetFormatPr defaultColWidth="9" defaultRowHeight="22.8" x14ac:dyDescent="0.2"/>
  <cols>
    <col min="1" max="1" width="4" style="56" customWidth="1"/>
    <col min="2" max="2" width="8" style="56" bestFit="1" customWidth="1"/>
    <col min="3" max="3" width="113.33203125" style="56" customWidth="1"/>
    <col min="4" max="4" width="55.109375" style="56" customWidth="1"/>
    <col min="5" max="5" width="27" style="56" bestFit="1" customWidth="1"/>
    <col min="6" max="6" width="24.33203125" style="56" bestFit="1" customWidth="1"/>
    <col min="7" max="7" width="15" style="56" bestFit="1" customWidth="1"/>
    <col min="8" max="8" width="27" style="56" bestFit="1" customWidth="1"/>
    <col min="9" max="9" width="24.33203125" style="56" bestFit="1" customWidth="1"/>
    <col min="10" max="10" width="15" style="56" bestFit="1" customWidth="1"/>
    <col min="11" max="11" width="27" style="56" bestFit="1" customWidth="1"/>
    <col min="12" max="12" width="24.33203125" style="56" bestFit="1" customWidth="1"/>
    <col min="13" max="13" width="15" style="56" bestFit="1" customWidth="1"/>
    <col min="14" max="14" width="27" style="56" bestFit="1" customWidth="1"/>
    <col min="15" max="15" width="24.33203125" style="56" bestFit="1" customWidth="1"/>
    <col min="16" max="16" width="15" style="56" bestFit="1" customWidth="1"/>
    <col min="17" max="17" width="27" style="56" bestFit="1" customWidth="1"/>
    <col min="18" max="18" width="24.33203125" style="56" bestFit="1" customWidth="1"/>
    <col min="19" max="19" width="13.88671875" style="56" bestFit="1" customWidth="1"/>
    <col min="20" max="21" width="71" style="56" customWidth="1"/>
    <col min="22" max="26" width="9" style="56" bestFit="1"/>
    <col min="27" max="16384" width="9" style="56"/>
  </cols>
  <sheetData>
    <row r="2" spans="1:21" ht="23.25" customHeight="1" x14ac:dyDescent="0.2">
      <c r="E2" s="219" t="s">
        <v>197</v>
      </c>
      <c r="F2" s="220"/>
      <c r="G2" s="220"/>
      <c r="H2" s="219" t="s">
        <v>198</v>
      </c>
      <c r="I2" s="220"/>
      <c r="J2" s="220"/>
      <c r="K2" s="219" t="s">
        <v>199</v>
      </c>
      <c r="L2" s="220"/>
      <c r="M2" s="220"/>
      <c r="N2" s="219" t="s">
        <v>200</v>
      </c>
      <c r="O2" s="220"/>
      <c r="P2" s="220"/>
      <c r="Q2" s="57"/>
      <c r="R2" s="58"/>
      <c r="S2" s="58"/>
    </row>
    <row r="3" spans="1:21" ht="23.25" customHeight="1" x14ac:dyDescent="0.2">
      <c r="E3" s="59" t="s">
        <v>201</v>
      </c>
      <c r="F3" s="59" t="s">
        <v>202</v>
      </c>
      <c r="G3" s="59" t="s">
        <v>202</v>
      </c>
      <c r="H3" s="59" t="s">
        <v>201</v>
      </c>
      <c r="I3" s="59" t="s">
        <v>202</v>
      </c>
      <c r="J3" s="59" t="s">
        <v>202</v>
      </c>
      <c r="K3" s="59" t="s">
        <v>201</v>
      </c>
      <c r="L3" s="59" t="s">
        <v>202</v>
      </c>
      <c r="M3" s="59" t="s">
        <v>202</v>
      </c>
      <c r="N3" s="59" t="s">
        <v>201</v>
      </c>
      <c r="O3" s="59" t="s">
        <v>202</v>
      </c>
      <c r="P3" s="59" t="s">
        <v>202</v>
      </c>
      <c r="Q3" s="59" t="s">
        <v>58</v>
      </c>
      <c r="R3" s="59" t="s">
        <v>203</v>
      </c>
      <c r="S3" s="59" t="s">
        <v>203</v>
      </c>
    </row>
    <row r="4" spans="1:21" ht="23.25" customHeight="1" x14ac:dyDescent="0.2">
      <c r="E4" s="60">
        <f>SUMIF(工数見積り_20241115!G7:G66,"〇",工数見積り_20241115!Y7:Y66)+SUMIF(工数見積り_20241115!G7:G66,"〇",工数見積り_20241115!X7:X66)*0.2*1400000</f>
        <v>19635200</v>
      </c>
      <c r="F4" s="60"/>
      <c r="G4" s="60"/>
      <c r="H4" s="60">
        <f>SUMIF(工数見積り_20241115!H7:H66,"〇",工数見積り_20241115!Y7:Y66)+SUMIF(工数見積り_20241115!H7:H66,"〇",工数見積り_20241115!X7:X66)*0.2*1400000</f>
        <v>12992000</v>
      </c>
      <c r="I4" s="60"/>
      <c r="J4" s="60"/>
      <c r="K4" s="60">
        <f>SUMIF(工数見積り_20241115!I7:I66,"〇",工数見積り_20241115!Y7:Y66)+SUMIF(工数見積り_20241115!I7:I66,"〇",工数見積り_20241115!X7:X66)*0.2*1400000</f>
        <v>35328000</v>
      </c>
      <c r="L4" s="60"/>
      <c r="M4" s="60"/>
      <c r="N4" s="60">
        <f>SUMIF(工数見積り_20241115!J7:J66,"〇",工数見積り_20241115!Y7:Y66)+SUMIF(工数見積り_20241115!J7:J66,"〇",工数見積り_20241115!X7:X66)*0.2*1400000</f>
        <v>7564800</v>
      </c>
    </row>
    <row r="5" spans="1:21" ht="23.25" customHeight="1" x14ac:dyDescent="0.2"/>
    <row r="6" spans="1:21" ht="23.25" customHeight="1" x14ac:dyDescent="0.2"/>
    <row r="7" spans="1:21" ht="23.25" customHeight="1" x14ac:dyDescent="0.2"/>
    <row r="8" spans="1:21" ht="23.25" customHeight="1" x14ac:dyDescent="0.2"/>
    <row r="9" spans="1:21" ht="32.4" thickBot="1" x14ac:dyDescent="0.25">
      <c r="A9" s="61" t="s">
        <v>8</v>
      </c>
      <c r="B9" s="62"/>
    </row>
    <row r="10" spans="1:21" ht="23.25" customHeight="1" thickBot="1" x14ac:dyDescent="0.25">
      <c r="B10" s="221" t="s">
        <v>204</v>
      </c>
      <c r="C10" s="224" t="s">
        <v>205</v>
      </c>
      <c r="D10" s="227" t="s">
        <v>206</v>
      </c>
      <c r="E10" s="229" t="s">
        <v>207</v>
      </c>
      <c r="F10" s="230"/>
      <c r="G10" s="230"/>
      <c r="H10" s="230"/>
      <c r="I10" s="230"/>
      <c r="J10" s="230"/>
      <c r="K10" s="230"/>
      <c r="L10" s="230"/>
      <c r="M10" s="230"/>
      <c r="N10" s="230"/>
      <c r="O10" s="230"/>
      <c r="P10" s="230"/>
      <c r="Q10" s="230"/>
      <c r="R10" s="230"/>
      <c r="S10" s="231"/>
      <c r="T10" s="210" t="s">
        <v>208</v>
      </c>
      <c r="U10" s="213" t="s">
        <v>209</v>
      </c>
    </row>
    <row r="11" spans="1:21" ht="23.25" customHeight="1" x14ac:dyDescent="0.2">
      <c r="B11" s="222"/>
      <c r="C11" s="225"/>
      <c r="D11" s="219"/>
      <c r="E11" s="216" t="s">
        <v>197</v>
      </c>
      <c r="F11" s="217"/>
      <c r="G11" s="218"/>
      <c r="H11" s="216" t="s">
        <v>210</v>
      </c>
      <c r="I11" s="217"/>
      <c r="J11" s="218"/>
      <c r="K11" s="216" t="s">
        <v>211</v>
      </c>
      <c r="L11" s="217"/>
      <c r="M11" s="218"/>
      <c r="N11" s="216" t="s">
        <v>200</v>
      </c>
      <c r="O11" s="217"/>
      <c r="P11" s="218"/>
      <c r="Q11" s="216" t="s">
        <v>203</v>
      </c>
      <c r="R11" s="217"/>
      <c r="S11" s="218"/>
      <c r="T11" s="211"/>
      <c r="U11" s="214"/>
    </row>
    <row r="12" spans="1:21" ht="23.25" customHeight="1" thickBot="1" x14ac:dyDescent="0.25">
      <c r="B12" s="223"/>
      <c r="C12" s="226"/>
      <c r="D12" s="228"/>
      <c r="E12" s="75" t="s">
        <v>201</v>
      </c>
      <c r="F12" s="65" t="s">
        <v>202</v>
      </c>
      <c r="G12" s="65" t="s">
        <v>212</v>
      </c>
      <c r="H12" s="63" t="s">
        <v>201</v>
      </c>
      <c r="I12" s="64" t="s">
        <v>202</v>
      </c>
      <c r="J12" s="64" t="s">
        <v>212</v>
      </c>
      <c r="K12" s="63" t="s">
        <v>201</v>
      </c>
      <c r="L12" s="64" t="s">
        <v>202</v>
      </c>
      <c r="M12" s="64" t="s">
        <v>212</v>
      </c>
      <c r="N12" s="63" t="s">
        <v>201</v>
      </c>
      <c r="O12" s="64" t="s">
        <v>202</v>
      </c>
      <c r="P12" s="64" t="s">
        <v>212</v>
      </c>
      <c r="Q12" s="63" t="s">
        <v>201</v>
      </c>
      <c r="R12" s="64" t="s">
        <v>202</v>
      </c>
      <c r="S12" s="64" t="s">
        <v>212</v>
      </c>
      <c r="T12" s="212"/>
      <c r="U12" s="215"/>
    </row>
    <row r="13" spans="1:21" ht="227.25" customHeight="1" x14ac:dyDescent="0.2">
      <c r="B13" s="66" t="s">
        <v>213</v>
      </c>
      <c r="C13" s="67" t="s">
        <v>214</v>
      </c>
      <c r="D13" s="68" t="s">
        <v>215</v>
      </c>
      <c r="E13" s="69" t="s">
        <v>216</v>
      </c>
      <c r="F13" s="73" t="s">
        <v>217</v>
      </c>
      <c r="G13" s="70" t="s">
        <v>217</v>
      </c>
      <c r="H13" s="74" t="s">
        <v>216</v>
      </c>
      <c r="I13" s="73" t="s">
        <v>217</v>
      </c>
      <c r="J13" s="70" t="s">
        <v>217</v>
      </c>
      <c r="K13" s="69" t="s">
        <v>216</v>
      </c>
      <c r="L13" s="73" t="s">
        <v>217</v>
      </c>
      <c r="M13" s="70" t="s">
        <v>217</v>
      </c>
      <c r="N13" s="69" t="s">
        <v>216</v>
      </c>
      <c r="O13" s="73" t="s">
        <v>217</v>
      </c>
      <c r="P13" s="70" t="s">
        <v>217</v>
      </c>
      <c r="Q13" s="76">
        <f>工数見積り_20241115!Y69+工数見積り_20241115!Y70</f>
        <v>75520000</v>
      </c>
      <c r="R13" s="77">
        <v>5400000</v>
      </c>
      <c r="S13" s="78" t="s">
        <v>218</v>
      </c>
      <c r="T13" s="71" t="s">
        <v>219</v>
      </c>
      <c r="U13" s="72" t="s">
        <v>220</v>
      </c>
    </row>
    <row r="14" spans="1:21" ht="262.5" customHeight="1" x14ac:dyDescent="0.2">
      <c r="B14" s="205" t="s">
        <v>221</v>
      </c>
      <c r="C14" s="200" t="s">
        <v>222</v>
      </c>
      <c r="D14" s="202" t="s">
        <v>223</v>
      </c>
      <c r="E14" s="188">
        <f>E$4</f>
        <v>19635200</v>
      </c>
      <c r="F14" s="177">
        <v>1100000</v>
      </c>
      <c r="G14" s="194" t="s">
        <v>224</v>
      </c>
      <c r="H14" s="188">
        <f>H$4*1.1</f>
        <v>14291200.000000002</v>
      </c>
      <c r="I14" s="177">
        <v>1100000</v>
      </c>
      <c r="J14" s="190" t="s">
        <v>225</v>
      </c>
      <c r="K14" s="188">
        <f>K$4*1.1</f>
        <v>38860800</v>
      </c>
      <c r="L14" s="177">
        <v>2100000</v>
      </c>
      <c r="M14" s="190" t="s">
        <v>225</v>
      </c>
      <c r="N14" s="188">
        <f>N$4*1.1</f>
        <v>8321280.0000000009</v>
      </c>
      <c r="O14" s="177">
        <v>1100000</v>
      </c>
      <c r="P14" s="182" t="s">
        <v>218</v>
      </c>
      <c r="Q14" s="188">
        <f>SUM(E14,H14,K14,N14)</f>
        <v>81108480</v>
      </c>
      <c r="R14" s="177">
        <f>SUM(F14,I14,L14,O14)</f>
        <v>5400000</v>
      </c>
      <c r="S14" s="190"/>
      <c r="T14" s="174" t="s">
        <v>226</v>
      </c>
      <c r="U14" s="196" t="s">
        <v>227</v>
      </c>
    </row>
    <row r="15" spans="1:21" ht="357" customHeight="1" x14ac:dyDescent="0.2">
      <c r="B15" s="206"/>
      <c r="C15" s="207"/>
      <c r="D15" s="208"/>
      <c r="E15" s="193"/>
      <c r="F15" s="179"/>
      <c r="G15" s="195"/>
      <c r="H15" s="193"/>
      <c r="I15" s="179"/>
      <c r="J15" s="192"/>
      <c r="K15" s="193"/>
      <c r="L15" s="179"/>
      <c r="M15" s="192"/>
      <c r="N15" s="193"/>
      <c r="O15" s="179"/>
      <c r="P15" s="209"/>
      <c r="Q15" s="193"/>
      <c r="R15" s="179"/>
      <c r="S15" s="192"/>
      <c r="T15" s="176"/>
      <c r="U15" s="197"/>
    </row>
    <row r="16" spans="1:21" ht="409.5" customHeight="1" x14ac:dyDescent="0.2">
      <c r="B16" s="205" t="s">
        <v>228</v>
      </c>
      <c r="C16" s="200" t="s">
        <v>229</v>
      </c>
      <c r="D16" s="202" t="s">
        <v>230</v>
      </c>
      <c r="E16" s="188">
        <f>E$4+H$4</f>
        <v>32627200</v>
      </c>
      <c r="F16" s="177">
        <v>1200000</v>
      </c>
      <c r="G16" s="182" t="s">
        <v>231</v>
      </c>
      <c r="H16" s="188">
        <f>(K$4+N$4)*1.06</f>
        <v>45466368</v>
      </c>
      <c r="I16" s="177">
        <v>3200000</v>
      </c>
      <c r="J16" s="194" t="s">
        <v>218</v>
      </c>
      <c r="K16" s="184" t="s">
        <v>217</v>
      </c>
      <c r="L16" s="180" t="s">
        <v>217</v>
      </c>
      <c r="M16" s="186" t="s">
        <v>217</v>
      </c>
      <c r="N16" s="184" t="s">
        <v>217</v>
      </c>
      <c r="O16" s="180" t="s">
        <v>217</v>
      </c>
      <c r="P16" s="186" t="s">
        <v>217</v>
      </c>
      <c r="Q16" s="188">
        <f>E16+H16</f>
        <v>78093568</v>
      </c>
      <c r="R16" s="177">
        <v>5400000</v>
      </c>
      <c r="S16" s="190"/>
      <c r="T16" s="174" t="s">
        <v>232</v>
      </c>
      <c r="U16" s="196" t="s">
        <v>233</v>
      </c>
    </row>
    <row r="17" spans="2:21" ht="169.5" customHeight="1" thickBot="1" x14ac:dyDescent="0.25">
      <c r="B17" s="206"/>
      <c r="C17" s="207"/>
      <c r="D17" s="208"/>
      <c r="E17" s="193"/>
      <c r="F17" s="179"/>
      <c r="G17" s="209"/>
      <c r="H17" s="193"/>
      <c r="I17" s="179"/>
      <c r="J17" s="195"/>
      <c r="K17" s="185"/>
      <c r="L17" s="181"/>
      <c r="M17" s="187"/>
      <c r="N17" s="185"/>
      <c r="O17" s="181"/>
      <c r="P17" s="187"/>
      <c r="Q17" s="193"/>
      <c r="R17" s="179"/>
      <c r="S17" s="192"/>
      <c r="T17" s="176"/>
      <c r="U17" s="197"/>
    </row>
    <row r="18" spans="2:21" ht="409.5" customHeight="1" x14ac:dyDescent="0.2">
      <c r="B18" s="198" t="s">
        <v>234</v>
      </c>
      <c r="C18" s="200" t="s">
        <v>235</v>
      </c>
      <c r="D18" s="202" t="s">
        <v>236</v>
      </c>
      <c r="E18" s="188">
        <f>E$4</f>
        <v>19635200</v>
      </c>
      <c r="F18" s="177">
        <v>1100000</v>
      </c>
      <c r="G18" s="182" t="s">
        <v>231</v>
      </c>
      <c r="H18" s="188">
        <f>(H4+K4)*1.08</f>
        <v>52185600</v>
      </c>
      <c r="I18" s="177">
        <v>3200000</v>
      </c>
      <c r="J18" s="190" t="s">
        <v>237</v>
      </c>
      <c r="K18" s="188">
        <f>N$4*1.08</f>
        <v>8169984.0000000009</v>
      </c>
      <c r="L18" s="177">
        <v>1100000</v>
      </c>
      <c r="M18" s="182" t="s">
        <v>238</v>
      </c>
      <c r="N18" s="184" t="s">
        <v>217</v>
      </c>
      <c r="O18" s="180" t="s">
        <v>217</v>
      </c>
      <c r="P18" s="186" t="s">
        <v>217</v>
      </c>
      <c r="Q18" s="188">
        <f>E18+H18+K18</f>
        <v>79990784</v>
      </c>
      <c r="R18" s="177">
        <f>SUM(F18,I18,L18,O18)</f>
        <v>5400000</v>
      </c>
      <c r="S18" s="190"/>
      <c r="T18" s="174" t="s">
        <v>239</v>
      </c>
      <c r="U18" s="196" t="s">
        <v>240</v>
      </c>
    </row>
    <row r="19" spans="2:21" ht="187.5" customHeight="1" thickBot="1" x14ac:dyDescent="0.25">
      <c r="B19" s="199"/>
      <c r="C19" s="201"/>
      <c r="D19" s="203"/>
      <c r="E19" s="189"/>
      <c r="F19" s="178"/>
      <c r="G19" s="183"/>
      <c r="H19" s="189"/>
      <c r="I19" s="178"/>
      <c r="J19" s="191"/>
      <c r="K19" s="189"/>
      <c r="L19" s="178"/>
      <c r="M19" s="183"/>
      <c r="N19" s="185"/>
      <c r="O19" s="181"/>
      <c r="P19" s="187"/>
      <c r="Q19" s="189"/>
      <c r="R19" s="178"/>
      <c r="S19" s="191"/>
      <c r="T19" s="175"/>
      <c r="U19" s="204"/>
    </row>
  </sheetData>
  <mergeCells count="75">
    <mergeCell ref="E2:G2"/>
    <mergeCell ref="H2:J2"/>
    <mergeCell ref="K2:M2"/>
    <mergeCell ref="N2:P2"/>
    <mergeCell ref="B10:B12"/>
    <mergeCell ref="C10:C12"/>
    <mergeCell ref="D10:D12"/>
    <mergeCell ref="E10:S10"/>
    <mergeCell ref="T14:T15"/>
    <mergeCell ref="U14:U15"/>
    <mergeCell ref="N14:N15"/>
    <mergeCell ref="P14:P15"/>
    <mergeCell ref="Q14:Q15"/>
    <mergeCell ref="T10:T12"/>
    <mergeCell ref="U10:U12"/>
    <mergeCell ref="E11:G11"/>
    <mergeCell ref="H11:J11"/>
    <mergeCell ref="K11:M11"/>
    <mergeCell ref="N11:P11"/>
    <mergeCell ref="Q11:S11"/>
    <mergeCell ref="B14:B15"/>
    <mergeCell ref="C14:C15"/>
    <mergeCell ref="D14:D15"/>
    <mergeCell ref="E14:E15"/>
    <mergeCell ref="G14:G15"/>
    <mergeCell ref="F14:F15"/>
    <mergeCell ref="B16:B17"/>
    <mergeCell ref="C16:C17"/>
    <mergeCell ref="D16:D17"/>
    <mergeCell ref="E16:E17"/>
    <mergeCell ref="G16:G17"/>
    <mergeCell ref="F16:F17"/>
    <mergeCell ref="U16:U17"/>
    <mergeCell ref="B18:B19"/>
    <mergeCell ref="C18:C19"/>
    <mergeCell ref="D18:D19"/>
    <mergeCell ref="E18:E19"/>
    <mergeCell ref="G18:G19"/>
    <mergeCell ref="H18:H19"/>
    <mergeCell ref="J18:J19"/>
    <mergeCell ref="K18:K19"/>
    <mergeCell ref="K16:K17"/>
    <mergeCell ref="M16:M17"/>
    <mergeCell ref="N16:N17"/>
    <mergeCell ref="P16:P17"/>
    <mergeCell ref="Q16:Q17"/>
    <mergeCell ref="S16:S17"/>
    <mergeCell ref="U18:U19"/>
    <mergeCell ref="F18:F19"/>
    <mergeCell ref="I14:I15"/>
    <mergeCell ref="I16:I17"/>
    <mergeCell ref="I18:I19"/>
    <mergeCell ref="L14:L15"/>
    <mergeCell ref="L16:L17"/>
    <mergeCell ref="H16:H17"/>
    <mergeCell ref="J16:J17"/>
    <mergeCell ref="J14:J15"/>
    <mergeCell ref="K14:K15"/>
    <mergeCell ref="H14:H15"/>
    <mergeCell ref="T18:T19"/>
    <mergeCell ref="T16:T17"/>
    <mergeCell ref="L18:L19"/>
    <mergeCell ref="O14:O15"/>
    <mergeCell ref="O16:O17"/>
    <mergeCell ref="O18:O19"/>
    <mergeCell ref="R14:R15"/>
    <mergeCell ref="R16:R17"/>
    <mergeCell ref="R18:R19"/>
    <mergeCell ref="M18:M19"/>
    <mergeCell ref="N18:N19"/>
    <mergeCell ref="P18:P19"/>
    <mergeCell ref="Q18:Q19"/>
    <mergeCell ref="S18:S19"/>
    <mergeCell ref="M14:M15"/>
    <mergeCell ref="S14:S15"/>
  </mergeCells>
  <phoneticPr fontId="2"/>
  <pageMargins left="0.15748031496062992" right="0.15748031496062992" top="0.15748031496062992" bottom="0.15748031496062992" header="0.31496062992125984" footer="0.31496062992125984"/>
  <pageSetup paperSize="9" scale="21" fitToHeight="1000" orientation="landscape"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1CFE18-044C-445E-8CDE-A801EB7241A4}">
  <sheetPr>
    <pageSetUpPr fitToPage="1"/>
  </sheetPr>
  <dimension ref="A2:P20"/>
  <sheetViews>
    <sheetView view="pageBreakPreview" topLeftCell="A10" zoomScale="70" zoomScaleNormal="55" zoomScaleSheetLayoutView="70" workbookViewId="0">
      <selection activeCell="A12" sqref="A12"/>
    </sheetView>
  </sheetViews>
  <sheetFormatPr defaultColWidth="9" defaultRowHeight="22.8" x14ac:dyDescent="0.2"/>
  <cols>
    <col min="1" max="1" width="4" style="24" customWidth="1"/>
    <col min="2" max="2" width="8" style="24" bestFit="1" customWidth="1"/>
    <col min="3" max="3" width="113.33203125" style="24" customWidth="1"/>
    <col min="4" max="4" width="55.109375" style="24" customWidth="1"/>
    <col min="5" max="5" width="27" style="24" bestFit="1" customWidth="1"/>
    <col min="6" max="6" width="24.33203125" style="24" bestFit="1" customWidth="1"/>
    <col min="7" max="7" width="27" style="24" bestFit="1" customWidth="1"/>
    <col min="8" max="8" width="24.33203125" style="24" bestFit="1" customWidth="1"/>
    <col min="9" max="9" width="27" style="24" bestFit="1" customWidth="1"/>
    <col min="10" max="10" width="24.33203125" style="24" bestFit="1" customWidth="1"/>
    <col min="11" max="11" width="27" style="24" bestFit="1" customWidth="1"/>
    <col min="12" max="12" width="24.33203125" style="24" bestFit="1" customWidth="1"/>
    <col min="13" max="13" width="27" style="24" bestFit="1" customWidth="1"/>
    <col min="14" max="14" width="24.33203125" style="24" bestFit="1" customWidth="1"/>
    <col min="15" max="16" width="71" style="24" customWidth="1"/>
    <col min="17" max="16379" width="9" style="24"/>
    <col min="16380" max="16384" width="9" style="24" bestFit="1"/>
  </cols>
  <sheetData>
    <row r="2" spans="1:16" ht="23.25" customHeight="1" x14ac:dyDescent="0.2">
      <c r="E2" s="269" t="s">
        <v>197</v>
      </c>
      <c r="F2" s="270"/>
      <c r="G2" s="269" t="s">
        <v>198</v>
      </c>
      <c r="H2" s="270"/>
      <c r="I2" s="269" t="s">
        <v>199</v>
      </c>
      <c r="J2" s="270"/>
      <c r="K2" s="269" t="s">
        <v>200</v>
      </c>
      <c r="L2" s="270"/>
      <c r="M2" s="32"/>
      <c r="N2" s="33"/>
    </row>
    <row r="3" spans="1:16" ht="23.25" customHeight="1" x14ac:dyDescent="0.2">
      <c r="E3" s="26" t="s">
        <v>201</v>
      </c>
      <c r="F3" s="26" t="s">
        <v>202</v>
      </c>
      <c r="G3" s="26" t="s">
        <v>201</v>
      </c>
      <c r="H3" s="26" t="s">
        <v>202</v>
      </c>
      <c r="I3" s="26" t="s">
        <v>201</v>
      </c>
      <c r="J3" s="26" t="s">
        <v>202</v>
      </c>
      <c r="K3" s="26" t="s">
        <v>201</v>
      </c>
      <c r="L3" s="26" t="s">
        <v>202</v>
      </c>
      <c r="M3" s="26" t="s">
        <v>58</v>
      </c>
      <c r="N3" s="26" t="s">
        <v>203</v>
      </c>
    </row>
    <row r="4" spans="1:16" ht="23.25" customHeight="1" x14ac:dyDescent="0.2">
      <c r="E4" s="19">
        <f>SUMIF(工数見積り_20241115!G7:G66,"〇",工数見積り_20241115!Y7:Y66)+SUMIF(工数見積り_20241115!G7:G66,"〇",工数見積り_20241115!X7:X66)*0.2*1400000</f>
        <v>19635200</v>
      </c>
      <c r="F4" s="19"/>
      <c r="G4" s="19">
        <f>SUMIF(工数見積り_20241115!H7:H66,"〇",工数見積り_20241115!Y7:Y66)+SUMIF(工数見積り_20241115!H7:H66,"〇",工数見積り_20241115!X7:X66)*0.2*1400000</f>
        <v>12992000</v>
      </c>
      <c r="H4" s="19"/>
      <c r="I4" s="19">
        <f>SUMIF(工数見積り_20241115!I7:I66,"〇",工数見積り_20241115!Y7:Y66)+SUMIF(工数見積り_20241115!I7:I66,"〇",工数見積り_20241115!X7:X66)*0.2*1400000</f>
        <v>35328000</v>
      </c>
      <c r="J4" s="19"/>
      <c r="K4" s="19">
        <f>SUMIF(工数見積り_20241115!J7:J66,"〇",工数見積り_20241115!Y7:Y66)+SUMIF(工数見積り_20241115!J7:J66,"〇",工数見積り_20241115!X7:X66)*0.2*1400000</f>
        <v>7564800</v>
      </c>
    </row>
    <row r="5" spans="1:16" ht="23.25" customHeight="1" x14ac:dyDescent="0.2"/>
    <row r="6" spans="1:16" ht="23.25" customHeight="1" x14ac:dyDescent="0.2"/>
    <row r="7" spans="1:16" ht="23.25" customHeight="1" x14ac:dyDescent="0.2"/>
    <row r="8" spans="1:16" ht="23.25" customHeight="1" x14ac:dyDescent="0.2"/>
    <row r="9" spans="1:16" ht="32.4" thickBot="1" x14ac:dyDescent="0.25">
      <c r="A9" s="50" t="s">
        <v>8</v>
      </c>
      <c r="B9" s="51"/>
    </row>
    <row r="10" spans="1:16" ht="23.25" customHeight="1" thickBot="1" x14ac:dyDescent="0.25">
      <c r="B10" s="271" t="s">
        <v>204</v>
      </c>
      <c r="C10" s="274" t="s">
        <v>205</v>
      </c>
      <c r="D10" s="277" t="s">
        <v>206</v>
      </c>
      <c r="E10" s="279" t="s">
        <v>207</v>
      </c>
      <c r="F10" s="280"/>
      <c r="G10" s="280"/>
      <c r="H10" s="280"/>
      <c r="I10" s="280"/>
      <c r="J10" s="280"/>
      <c r="K10" s="280"/>
      <c r="L10" s="280"/>
      <c r="M10" s="280"/>
      <c r="N10" s="281"/>
      <c r="O10" s="244" t="s">
        <v>208</v>
      </c>
      <c r="P10" s="247" t="s">
        <v>209</v>
      </c>
    </row>
    <row r="11" spans="1:16" ht="23.25" customHeight="1" x14ac:dyDescent="0.2">
      <c r="B11" s="272"/>
      <c r="C11" s="275"/>
      <c r="D11" s="269"/>
      <c r="E11" s="282" t="s">
        <v>197</v>
      </c>
      <c r="F11" s="283"/>
      <c r="G11" s="282" t="s">
        <v>210</v>
      </c>
      <c r="H11" s="283"/>
      <c r="I11" s="282" t="s">
        <v>211</v>
      </c>
      <c r="J11" s="283"/>
      <c r="K11" s="282" t="s">
        <v>200</v>
      </c>
      <c r="L11" s="283"/>
      <c r="M11" s="282" t="s">
        <v>203</v>
      </c>
      <c r="N11" s="283"/>
      <c r="O11" s="245"/>
      <c r="P11" s="248"/>
    </row>
    <row r="12" spans="1:16" ht="23.25" customHeight="1" thickBot="1" x14ac:dyDescent="0.25">
      <c r="B12" s="273"/>
      <c r="C12" s="276"/>
      <c r="D12" s="278"/>
      <c r="E12" s="42" t="s">
        <v>201</v>
      </c>
      <c r="F12" s="43" t="s">
        <v>202</v>
      </c>
      <c r="G12" s="42" t="s">
        <v>201</v>
      </c>
      <c r="H12" s="43" t="s">
        <v>202</v>
      </c>
      <c r="I12" s="42" t="s">
        <v>201</v>
      </c>
      <c r="J12" s="43" t="s">
        <v>202</v>
      </c>
      <c r="K12" s="42" t="s">
        <v>201</v>
      </c>
      <c r="L12" s="43" t="s">
        <v>202</v>
      </c>
      <c r="M12" s="42" t="s">
        <v>201</v>
      </c>
      <c r="N12" s="43" t="s">
        <v>202</v>
      </c>
      <c r="O12" s="246"/>
      <c r="P12" s="249"/>
    </row>
    <row r="13" spans="1:16" ht="227.25" customHeight="1" x14ac:dyDescent="0.2">
      <c r="B13" s="45" t="s">
        <v>213</v>
      </c>
      <c r="C13" s="46" t="s">
        <v>214</v>
      </c>
      <c r="D13" s="47" t="s">
        <v>215</v>
      </c>
      <c r="E13" s="52" t="s">
        <v>216</v>
      </c>
      <c r="F13" s="53" t="s">
        <v>217</v>
      </c>
      <c r="G13" s="52" t="s">
        <v>216</v>
      </c>
      <c r="H13" s="53" t="s">
        <v>217</v>
      </c>
      <c r="I13" s="52" t="s">
        <v>216</v>
      </c>
      <c r="J13" s="53" t="s">
        <v>217</v>
      </c>
      <c r="K13" s="52" t="s">
        <v>216</v>
      </c>
      <c r="L13" s="53" t="s">
        <v>217</v>
      </c>
      <c r="M13" s="44">
        <f>工数見積り_20241115!Y69+工数見積り_20241115!Y70</f>
        <v>75520000</v>
      </c>
      <c r="N13" s="55">
        <v>5400000</v>
      </c>
      <c r="O13" s="48" t="s">
        <v>219</v>
      </c>
      <c r="P13" s="49" t="s">
        <v>220</v>
      </c>
    </row>
    <row r="14" spans="1:16" ht="262.5" customHeight="1" x14ac:dyDescent="0.2">
      <c r="B14" s="256" t="s">
        <v>221</v>
      </c>
      <c r="C14" s="258" t="s">
        <v>222</v>
      </c>
      <c r="D14" s="260" t="s">
        <v>223</v>
      </c>
      <c r="E14" s="240">
        <f>E$4</f>
        <v>19635200</v>
      </c>
      <c r="F14" s="242">
        <v>1100000</v>
      </c>
      <c r="G14" s="240">
        <f>G$4*1.1</f>
        <v>14291200.000000002</v>
      </c>
      <c r="H14" s="242">
        <v>1100000</v>
      </c>
      <c r="I14" s="240">
        <f>I$4*1.1</f>
        <v>38860800</v>
      </c>
      <c r="J14" s="242">
        <v>2100000</v>
      </c>
      <c r="K14" s="240">
        <f>K$4*1.1</f>
        <v>8321280.0000000009</v>
      </c>
      <c r="L14" s="242">
        <v>1100000</v>
      </c>
      <c r="M14" s="240">
        <f>SUM(E14,G14,I14,K14)</f>
        <v>81108480</v>
      </c>
      <c r="N14" s="252">
        <f>SUM(F14,H14,J14,L14)</f>
        <v>5400000</v>
      </c>
      <c r="O14" s="232" t="s">
        <v>226</v>
      </c>
      <c r="P14" s="234" t="s">
        <v>227</v>
      </c>
    </row>
    <row r="15" spans="1:16" ht="357" customHeight="1" x14ac:dyDescent="0.2">
      <c r="B15" s="267"/>
      <c r="C15" s="268"/>
      <c r="D15" s="262"/>
      <c r="E15" s="263"/>
      <c r="F15" s="264"/>
      <c r="G15" s="263"/>
      <c r="H15" s="264"/>
      <c r="I15" s="263"/>
      <c r="J15" s="264"/>
      <c r="K15" s="263"/>
      <c r="L15" s="264"/>
      <c r="M15" s="263"/>
      <c r="N15" s="265"/>
      <c r="O15" s="250"/>
      <c r="P15" s="251"/>
    </row>
    <row r="16" spans="1:16" ht="409.5" customHeight="1" x14ac:dyDescent="0.2">
      <c r="B16" s="256" t="s">
        <v>228</v>
      </c>
      <c r="C16" s="258" t="s">
        <v>229</v>
      </c>
      <c r="D16" s="260" t="s">
        <v>230</v>
      </c>
      <c r="E16" s="240">
        <f>E$4+G$4</f>
        <v>32627200</v>
      </c>
      <c r="F16" s="242">
        <v>1200000</v>
      </c>
      <c r="G16" s="240">
        <f>(I$4+K$4)*1.06</f>
        <v>45466368</v>
      </c>
      <c r="H16" s="252">
        <v>3200000</v>
      </c>
      <c r="I16" s="236"/>
      <c r="J16" s="238" t="s">
        <v>217</v>
      </c>
      <c r="K16" s="236" t="s">
        <v>217</v>
      </c>
      <c r="L16" s="238" t="s">
        <v>217</v>
      </c>
      <c r="M16" s="240">
        <f>E16+G16</f>
        <v>78093568</v>
      </c>
      <c r="N16" s="252">
        <v>5400000</v>
      </c>
      <c r="O16" s="232" t="s">
        <v>232</v>
      </c>
      <c r="P16" s="234" t="s">
        <v>233</v>
      </c>
    </row>
    <row r="17" spans="2:16" ht="169.5" customHeight="1" thickBot="1" x14ac:dyDescent="0.25">
      <c r="B17" s="267"/>
      <c r="C17" s="268"/>
      <c r="D17" s="262"/>
      <c r="E17" s="263"/>
      <c r="F17" s="264"/>
      <c r="G17" s="263"/>
      <c r="H17" s="253"/>
      <c r="I17" s="254"/>
      <c r="J17" s="255"/>
      <c r="K17" s="254"/>
      <c r="L17" s="255"/>
      <c r="M17" s="263"/>
      <c r="N17" s="265"/>
      <c r="O17" s="250"/>
      <c r="P17" s="251"/>
    </row>
    <row r="18" spans="2:16" ht="409.5" customHeight="1" x14ac:dyDescent="0.2">
      <c r="B18" s="256" t="s">
        <v>234</v>
      </c>
      <c r="C18" s="258" t="s">
        <v>235</v>
      </c>
      <c r="D18" s="260" t="s">
        <v>236</v>
      </c>
      <c r="E18" s="240">
        <f>E$4</f>
        <v>19635200</v>
      </c>
      <c r="F18" s="242">
        <v>1100000</v>
      </c>
      <c r="G18" s="240">
        <f>(G4+I4)*1.08</f>
        <v>52185600</v>
      </c>
      <c r="H18" s="242">
        <v>3200000</v>
      </c>
      <c r="I18" s="240">
        <f>K$4*1.08</f>
        <v>8169984.0000000009</v>
      </c>
      <c r="J18" s="242">
        <v>1100000</v>
      </c>
      <c r="K18" s="236" t="s">
        <v>217</v>
      </c>
      <c r="L18" s="238" t="s">
        <v>217</v>
      </c>
      <c r="M18" s="240">
        <f>E18+G18+I18</f>
        <v>79990784</v>
      </c>
      <c r="N18" s="242">
        <f>SUM(F18,H18,J18,L18)</f>
        <v>5400000</v>
      </c>
      <c r="O18" s="232" t="s">
        <v>239</v>
      </c>
      <c r="P18" s="234" t="s">
        <v>240</v>
      </c>
    </row>
    <row r="19" spans="2:16" ht="187.5" customHeight="1" thickBot="1" x14ac:dyDescent="0.25">
      <c r="B19" s="257"/>
      <c r="C19" s="259"/>
      <c r="D19" s="261"/>
      <c r="E19" s="241"/>
      <c r="F19" s="243"/>
      <c r="G19" s="241"/>
      <c r="H19" s="243"/>
      <c r="I19" s="241"/>
      <c r="J19" s="243"/>
      <c r="K19" s="237"/>
      <c r="L19" s="239"/>
      <c r="M19" s="241"/>
      <c r="N19" s="243"/>
      <c r="O19" s="233"/>
      <c r="P19" s="235"/>
    </row>
    <row r="20" spans="2:16" s="54" customFormat="1" ht="39" customHeight="1" x14ac:dyDescent="0.2">
      <c r="B20" s="266" t="s">
        <v>241</v>
      </c>
      <c r="C20" s="266"/>
      <c r="D20" s="266"/>
      <c r="E20" s="266"/>
      <c r="F20" s="266"/>
      <c r="G20" s="266"/>
      <c r="H20" s="266"/>
      <c r="I20" s="266"/>
      <c r="J20" s="266"/>
      <c r="K20" s="266"/>
      <c r="L20" s="266"/>
      <c r="M20" s="266"/>
      <c r="N20" s="266"/>
    </row>
  </sheetData>
  <mergeCells count="61">
    <mergeCell ref="E2:F2"/>
    <mergeCell ref="G2:H2"/>
    <mergeCell ref="I2:J2"/>
    <mergeCell ref="K2:L2"/>
    <mergeCell ref="B10:B12"/>
    <mergeCell ref="C10:C12"/>
    <mergeCell ref="D10:D12"/>
    <mergeCell ref="E10:N10"/>
    <mergeCell ref="E11:F11"/>
    <mergeCell ref="G11:H11"/>
    <mergeCell ref="I11:J11"/>
    <mergeCell ref="K11:L11"/>
    <mergeCell ref="M11:N11"/>
    <mergeCell ref="B20:N20"/>
    <mergeCell ref="B14:B15"/>
    <mergeCell ref="C14:C15"/>
    <mergeCell ref="D14:D15"/>
    <mergeCell ref="E14:E15"/>
    <mergeCell ref="F14:F15"/>
    <mergeCell ref="G14:G15"/>
    <mergeCell ref="H14:H15"/>
    <mergeCell ref="I14:I15"/>
    <mergeCell ref="J14:J15"/>
    <mergeCell ref="K14:K15"/>
    <mergeCell ref="L14:L15"/>
    <mergeCell ref="M14:M15"/>
    <mergeCell ref="N14:N15"/>
    <mergeCell ref="B16:B17"/>
    <mergeCell ref="C16:C17"/>
    <mergeCell ref="D16:D17"/>
    <mergeCell ref="E16:E17"/>
    <mergeCell ref="F16:F17"/>
    <mergeCell ref="G16:G17"/>
    <mergeCell ref="N16:N17"/>
    <mergeCell ref="K16:K17"/>
    <mergeCell ref="L16:L17"/>
    <mergeCell ref="M16:M17"/>
    <mergeCell ref="B18:B19"/>
    <mergeCell ref="C18:C19"/>
    <mergeCell ref="D18:D19"/>
    <mergeCell ref="E18:E19"/>
    <mergeCell ref="F18:F19"/>
    <mergeCell ref="G18:G19"/>
    <mergeCell ref="H18:H19"/>
    <mergeCell ref="I18:I19"/>
    <mergeCell ref="J18:J19"/>
    <mergeCell ref="H16:H17"/>
    <mergeCell ref="I16:I17"/>
    <mergeCell ref="J16:J17"/>
    <mergeCell ref="O10:O12"/>
    <mergeCell ref="P10:P12"/>
    <mergeCell ref="O14:O15"/>
    <mergeCell ref="P14:P15"/>
    <mergeCell ref="O16:O17"/>
    <mergeCell ref="P16:P17"/>
    <mergeCell ref="O18:O19"/>
    <mergeCell ref="P18:P19"/>
    <mergeCell ref="K18:K19"/>
    <mergeCell ref="L18:L19"/>
    <mergeCell ref="M18:M19"/>
    <mergeCell ref="N18:N19"/>
  </mergeCells>
  <phoneticPr fontId="2"/>
  <pageMargins left="0.15748031496062992" right="0.15748031496062992" top="0.15748031496062992" bottom="0.15748031496062992" header="0.31496062992125984" footer="0.31496062992125984"/>
  <pageSetup paperSize="9" scale="24" fitToHeight="1000" orientation="landscape"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B8CF47-CC2B-4A5A-9454-D757454C3C19}">
  <sheetPr>
    <pageSetUpPr fitToPage="1"/>
  </sheetPr>
  <dimension ref="A1:AF73"/>
  <sheetViews>
    <sheetView view="pageBreakPreview" zoomScaleSheetLayoutView="100" workbookViewId="0">
      <pane xSplit="1" ySplit="6" topLeftCell="F44" activePane="bottomRight" state="frozen"/>
      <selection pane="topRight" activeCell="H41" sqref="H41"/>
      <selection pane="bottomLeft" activeCell="H41" sqref="H41"/>
      <selection pane="bottomRight" activeCell="L9" sqref="L9"/>
    </sheetView>
  </sheetViews>
  <sheetFormatPr defaultColWidth="9" defaultRowHeight="16.2" x14ac:dyDescent="0.2"/>
  <cols>
    <col min="1" max="1" width="18.88671875" style="4" customWidth="1"/>
    <col min="2" max="2" width="12.6640625" style="4" bestFit="1" customWidth="1"/>
    <col min="3" max="3" width="8.33203125" style="4" bestFit="1" customWidth="1"/>
    <col min="4" max="4" width="11.6640625" style="4" bestFit="1" customWidth="1"/>
    <col min="5" max="5" width="36.33203125" style="4" bestFit="1" customWidth="1"/>
    <col min="6" max="6" width="92" style="4" bestFit="1" customWidth="1"/>
    <col min="7" max="7" width="10.88671875" style="4" bestFit="1" customWidth="1"/>
    <col min="8" max="10" width="10.88671875" style="4" customWidth="1"/>
    <col min="11" max="11" width="10.88671875" style="4" bestFit="1" customWidth="1"/>
    <col min="12" max="12" width="10.88671875" style="4" customWidth="1"/>
    <col min="13" max="13" width="10.88671875" style="4" bestFit="1" customWidth="1"/>
    <col min="14" max="15" width="10.88671875" style="4" customWidth="1"/>
    <col min="16" max="16" width="8.33203125" style="4" customWidth="1"/>
    <col min="17" max="17" width="15.6640625" style="4" customWidth="1"/>
    <col min="18" max="19" width="17.88671875" style="4" customWidth="1"/>
    <col min="20" max="21" width="15.6640625" style="4" customWidth="1"/>
    <col min="22" max="22" width="13.88671875" style="4" customWidth="1"/>
    <col min="23" max="23" width="17.88671875" style="4" customWidth="1"/>
    <col min="24" max="24" width="26.6640625" style="4" customWidth="1"/>
    <col min="25" max="25" width="26.6640625" style="4" bestFit="1" customWidth="1"/>
    <col min="26" max="26" width="26.6640625" style="4" customWidth="1"/>
    <col min="27" max="32" width="9" style="4" customWidth="1"/>
    <col min="33" max="16384" width="9" style="4"/>
  </cols>
  <sheetData>
    <row r="1" spans="1:32" s="2" customFormat="1" x14ac:dyDescent="0.2">
      <c r="A1" s="5" t="s">
        <v>242</v>
      </c>
      <c r="F1" s="5"/>
      <c r="G1" s="1"/>
      <c r="H1" s="1"/>
      <c r="I1" s="1"/>
      <c r="J1" s="1"/>
      <c r="K1" s="1"/>
      <c r="L1" s="1"/>
      <c r="M1" s="1"/>
      <c r="N1" s="1"/>
      <c r="O1" s="1"/>
      <c r="P1" s="1"/>
      <c r="Q1" s="1"/>
      <c r="R1" s="1"/>
      <c r="S1" s="1"/>
      <c r="T1" s="1"/>
      <c r="U1" s="1"/>
      <c r="V1" s="1"/>
      <c r="AB1" s="2" t="s">
        <v>243</v>
      </c>
      <c r="AC1" s="2" t="s">
        <v>244</v>
      </c>
      <c r="AD1" s="2" t="s">
        <v>245</v>
      </c>
      <c r="AE1" s="2" t="s">
        <v>246</v>
      </c>
      <c r="AF1" s="2" t="s">
        <v>247</v>
      </c>
    </row>
    <row r="2" spans="1:32" s="3" customFormat="1" ht="16.5" customHeight="1" thickBot="1" x14ac:dyDescent="0.25">
      <c r="AB2" s="3">
        <v>10</v>
      </c>
      <c r="AC2" s="3">
        <v>7</v>
      </c>
      <c r="AD2" s="3">
        <v>5</v>
      </c>
      <c r="AE2" s="3">
        <v>3</v>
      </c>
      <c r="AF2" s="3">
        <v>2</v>
      </c>
    </row>
    <row r="3" spans="1:32" s="3" customFormat="1" x14ac:dyDescent="0.2">
      <c r="B3" s="288" t="s">
        <v>48</v>
      </c>
      <c r="C3" s="284" t="s">
        <v>49</v>
      </c>
      <c r="D3" s="284" t="s">
        <v>50</v>
      </c>
      <c r="E3" s="284"/>
      <c r="F3" s="291" t="s">
        <v>52</v>
      </c>
      <c r="G3" s="284" t="s">
        <v>248</v>
      </c>
      <c r="H3" s="284"/>
      <c r="I3" s="284"/>
      <c r="J3" s="284"/>
      <c r="K3" s="284"/>
      <c r="L3" s="284"/>
      <c r="M3" s="284"/>
      <c r="N3" s="284"/>
      <c r="O3" s="284"/>
      <c r="P3" s="284" t="s">
        <v>249</v>
      </c>
      <c r="Q3" s="293" t="s">
        <v>53</v>
      </c>
      <c r="R3" s="293"/>
      <c r="S3" s="293"/>
      <c r="T3" s="293"/>
      <c r="U3" s="293"/>
      <c r="V3" s="293"/>
      <c r="W3" s="293" t="s">
        <v>54</v>
      </c>
      <c r="X3" s="293" t="s">
        <v>55</v>
      </c>
      <c r="Y3" s="295" t="s">
        <v>250</v>
      </c>
      <c r="Z3" s="17"/>
    </row>
    <row r="4" spans="1:32" s="3" customFormat="1" x14ac:dyDescent="0.2">
      <c r="B4" s="289"/>
      <c r="C4" s="146"/>
      <c r="D4" s="146"/>
      <c r="E4" s="146"/>
      <c r="F4" s="150"/>
      <c r="G4" s="146"/>
      <c r="H4" s="146"/>
      <c r="I4" s="146"/>
      <c r="J4" s="146"/>
      <c r="K4" s="146"/>
      <c r="L4" s="146"/>
      <c r="M4" s="146"/>
      <c r="N4" s="146"/>
      <c r="O4" s="146"/>
      <c r="P4" s="146"/>
      <c r="Q4" s="151" t="s">
        <v>251</v>
      </c>
      <c r="R4" s="151" t="s">
        <v>252</v>
      </c>
      <c r="S4" s="151" t="s">
        <v>253</v>
      </c>
      <c r="T4" s="151" t="s">
        <v>59</v>
      </c>
      <c r="U4" s="151" t="s">
        <v>254</v>
      </c>
      <c r="V4" s="151" t="s">
        <v>61</v>
      </c>
      <c r="W4" s="151"/>
      <c r="X4" s="151"/>
      <c r="Y4" s="296"/>
      <c r="Z4" s="17"/>
    </row>
    <row r="5" spans="1:32" x14ac:dyDescent="0.2">
      <c r="B5" s="290"/>
      <c r="C5" s="147"/>
      <c r="D5" s="147"/>
      <c r="E5" s="147"/>
      <c r="F5" s="292"/>
      <c r="G5" s="285" t="s">
        <v>221</v>
      </c>
      <c r="H5" s="286"/>
      <c r="I5" s="286"/>
      <c r="J5" s="287"/>
      <c r="K5" s="285" t="s">
        <v>228</v>
      </c>
      <c r="L5" s="286"/>
      <c r="M5" s="285" t="s">
        <v>234</v>
      </c>
      <c r="N5" s="286"/>
      <c r="O5" s="286"/>
      <c r="P5" s="147"/>
      <c r="Q5" s="294"/>
      <c r="R5" s="294"/>
      <c r="S5" s="294"/>
      <c r="T5" s="294"/>
      <c r="U5" s="294"/>
      <c r="V5" s="294"/>
      <c r="W5" s="294"/>
      <c r="X5" s="294"/>
      <c r="Y5" s="297"/>
      <c r="Z5" s="17"/>
    </row>
    <row r="6" spans="1:32" x14ac:dyDescent="0.2">
      <c r="A6" s="93"/>
      <c r="B6" s="290"/>
      <c r="C6" s="147"/>
      <c r="D6" s="147"/>
      <c r="E6" s="147"/>
      <c r="F6" s="292"/>
      <c r="G6" s="11" t="s">
        <v>197</v>
      </c>
      <c r="H6" s="11" t="s">
        <v>198</v>
      </c>
      <c r="I6" s="11" t="s">
        <v>199</v>
      </c>
      <c r="J6" s="11" t="s">
        <v>255</v>
      </c>
      <c r="K6" s="11" t="s">
        <v>197</v>
      </c>
      <c r="L6" s="11" t="s">
        <v>198</v>
      </c>
      <c r="M6" s="11" t="s">
        <v>197</v>
      </c>
      <c r="N6" s="11" t="s">
        <v>198</v>
      </c>
      <c r="O6" s="11" t="s">
        <v>199</v>
      </c>
      <c r="P6" s="147"/>
      <c r="Q6" s="294"/>
      <c r="R6" s="294"/>
      <c r="S6" s="294"/>
      <c r="T6" s="294"/>
      <c r="U6" s="294"/>
      <c r="V6" s="294"/>
      <c r="W6" s="294"/>
      <c r="X6" s="294"/>
      <c r="Y6" s="297"/>
      <c r="Z6" s="17"/>
    </row>
    <row r="7" spans="1:32" ht="29.25" customHeight="1" x14ac:dyDescent="0.2">
      <c r="A7" s="94"/>
      <c r="B7" s="27" t="s">
        <v>256</v>
      </c>
      <c r="C7" s="7" t="s">
        <v>257</v>
      </c>
      <c r="D7" s="7" t="s">
        <v>146</v>
      </c>
      <c r="E7" s="7" t="s">
        <v>258</v>
      </c>
      <c r="F7" s="6" t="s">
        <v>259</v>
      </c>
      <c r="G7" s="12" t="s">
        <v>260</v>
      </c>
      <c r="H7" s="12"/>
      <c r="I7" s="12"/>
      <c r="J7" s="12"/>
      <c r="K7" s="12" t="s">
        <v>260</v>
      </c>
      <c r="L7" s="12"/>
      <c r="M7" s="12" t="s">
        <v>260</v>
      </c>
      <c r="N7" s="12"/>
      <c r="O7" s="12"/>
      <c r="P7" s="7" t="s">
        <v>245</v>
      </c>
      <c r="Q7" s="7">
        <f t="shared" ref="Q7:Q12" si="0">IFERROR(HLOOKUP(P7,AB$1:AF$2,2,FALSE),0)</f>
        <v>5</v>
      </c>
      <c r="R7" s="7">
        <f>Q7*0.8</f>
        <v>4</v>
      </c>
      <c r="S7" s="7">
        <f>Q7*0.6</f>
        <v>3</v>
      </c>
      <c r="T7" s="7">
        <f>Q7*1.2</f>
        <v>6</v>
      </c>
      <c r="U7" s="7">
        <f>Q7*0.8</f>
        <v>4</v>
      </c>
      <c r="V7" s="7">
        <f t="shared" ref="V7:V66" si="1">Q7*0.3</f>
        <v>1.5</v>
      </c>
      <c r="W7" s="7">
        <f t="shared" ref="W7:W67" si="2">SUM(Q7:V7)</f>
        <v>23.5</v>
      </c>
      <c r="X7" s="7">
        <f>ROUNDUP(W7/20,2)</f>
        <v>1.18</v>
      </c>
      <c r="Y7" s="15">
        <f>Z7</f>
        <v>1180000</v>
      </c>
      <c r="Z7" s="18">
        <f>X7*1000000</f>
        <v>1180000</v>
      </c>
    </row>
    <row r="8" spans="1:32" ht="48.6" x14ac:dyDescent="0.2">
      <c r="A8" s="94"/>
      <c r="B8" s="28"/>
      <c r="C8" s="7"/>
      <c r="D8" s="7" t="s">
        <v>146</v>
      </c>
      <c r="E8" s="7" t="s">
        <v>261</v>
      </c>
      <c r="F8" s="6" t="s">
        <v>262</v>
      </c>
      <c r="G8" s="12" t="s">
        <v>260</v>
      </c>
      <c r="H8" s="12"/>
      <c r="I8" s="12"/>
      <c r="J8" s="12"/>
      <c r="K8" s="12" t="s">
        <v>260</v>
      </c>
      <c r="L8" s="12"/>
      <c r="M8" s="12" t="s">
        <v>260</v>
      </c>
      <c r="N8" s="12"/>
      <c r="O8" s="12"/>
      <c r="P8" s="7" t="s">
        <v>246</v>
      </c>
      <c r="Q8" s="7">
        <f t="shared" si="0"/>
        <v>3</v>
      </c>
      <c r="R8" s="7">
        <f t="shared" ref="R8:R66" si="3">Q8*0.8</f>
        <v>2.4000000000000004</v>
      </c>
      <c r="S8" s="7">
        <f t="shared" ref="S8:S66" si="4">Q8*0.6</f>
        <v>1.7999999999999998</v>
      </c>
      <c r="T8" s="7">
        <f t="shared" ref="T8:T66" si="5">Q8*1.2</f>
        <v>3.5999999999999996</v>
      </c>
      <c r="U8" s="7">
        <f t="shared" ref="U8:U66" si="6">Q8*0.8</f>
        <v>2.4000000000000004</v>
      </c>
      <c r="V8" s="7">
        <f t="shared" si="1"/>
        <v>0.89999999999999991</v>
      </c>
      <c r="W8" s="7">
        <f t="shared" si="2"/>
        <v>14.100000000000001</v>
      </c>
      <c r="X8" s="7">
        <f t="shared" ref="X8:X66" si="7">ROUNDUP(W8/20,2)</f>
        <v>0.71</v>
      </c>
      <c r="Y8" s="15">
        <f t="shared" ref="Y8:Y66" si="8">Z8</f>
        <v>710000</v>
      </c>
      <c r="Z8" s="18">
        <f t="shared" ref="Z8:Z66" si="9">X8*1000000</f>
        <v>710000</v>
      </c>
    </row>
    <row r="9" spans="1:32" ht="48.6" x14ac:dyDescent="0.2">
      <c r="A9" s="94"/>
      <c r="B9" s="28"/>
      <c r="C9" s="7"/>
      <c r="D9" s="7" t="s">
        <v>146</v>
      </c>
      <c r="E9" s="7" t="s">
        <v>263</v>
      </c>
      <c r="F9" s="6" t="s">
        <v>264</v>
      </c>
      <c r="G9" s="12"/>
      <c r="H9" s="12"/>
      <c r="I9" s="12" t="s">
        <v>260</v>
      </c>
      <c r="J9" s="12"/>
      <c r="K9" s="12"/>
      <c r="L9" s="12" t="s">
        <v>260</v>
      </c>
      <c r="M9" s="12"/>
      <c r="N9" s="12" t="s">
        <v>260</v>
      </c>
      <c r="O9" s="12"/>
      <c r="P9" s="7" t="s">
        <v>245</v>
      </c>
      <c r="Q9" s="7">
        <f t="shared" si="0"/>
        <v>5</v>
      </c>
      <c r="R9" s="7">
        <f t="shared" si="3"/>
        <v>4</v>
      </c>
      <c r="S9" s="7">
        <f t="shared" si="4"/>
        <v>3</v>
      </c>
      <c r="T9" s="7">
        <f t="shared" si="5"/>
        <v>6</v>
      </c>
      <c r="U9" s="7">
        <f t="shared" si="6"/>
        <v>4</v>
      </c>
      <c r="V9" s="7">
        <f t="shared" si="1"/>
        <v>1.5</v>
      </c>
      <c r="W9" s="7">
        <f t="shared" si="2"/>
        <v>23.5</v>
      </c>
      <c r="X9" s="7">
        <f t="shared" si="7"/>
        <v>1.18</v>
      </c>
      <c r="Y9" s="15">
        <f t="shared" si="8"/>
        <v>1180000</v>
      </c>
      <c r="Z9" s="18">
        <f t="shared" si="9"/>
        <v>1180000</v>
      </c>
    </row>
    <row r="10" spans="1:32" ht="48.6" x14ac:dyDescent="0.2">
      <c r="A10" s="94"/>
      <c r="B10" s="28"/>
      <c r="C10" s="7"/>
      <c r="D10" s="7" t="s">
        <v>146</v>
      </c>
      <c r="E10" s="29" t="s">
        <v>265</v>
      </c>
      <c r="F10" s="6" t="s">
        <v>266</v>
      </c>
      <c r="G10" s="12" t="s">
        <v>260</v>
      </c>
      <c r="H10" s="12"/>
      <c r="I10" s="12"/>
      <c r="J10" s="12"/>
      <c r="K10" s="12" t="s">
        <v>260</v>
      </c>
      <c r="L10" s="12"/>
      <c r="M10" s="12" t="s">
        <v>260</v>
      </c>
      <c r="N10" s="12"/>
      <c r="O10" s="12"/>
      <c r="P10" s="7" t="s">
        <v>246</v>
      </c>
      <c r="Q10" s="7">
        <f t="shared" si="0"/>
        <v>3</v>
      </c>
      <c r="R10" s="7">
        <f t="shared" si="3"/>
        <v>2.4000000000000004</v>
      </c>
      <c r="S10" s="7">
        <f t="shared" si="4"/>
        <v>1.7999999999999998</v>
      </c>
      <c r="T10" s="7">
        <f t="shared" si="5"/>
        <v>3.5999999999999996</v>
      </c>
      <c r="U10" s="7">
        <f t="shared" si="6"/>
        <v>2.4000000000000004</v>
      </c>
      <c r="V10" s="7">
        <f t="shared" si="1"/>
        <v>0.89999999999999991</v>
      </c>
      <c r="W10" s="7">
        <f t="shared" si="2"/>
        <v>14.100000000000001</v>
      </c>
      <c r="X10" s="7">
        <f t="shared" si="7"/>
        <v>0.71</v>
      </c>
      <c r="Y10" s="15">
        <f t="shared" si="8"/>
        <v>710000</v>
      </c>
      <c r="Z10" s="18">
        <f t="shared" si="9"/>
        <v>710000</v>
      </c>
    </row>
    <row r="11" spans="1:32" ht="48.6" x14ac:dyDescent="0.2">
      <c r="A11" s="93"/>
      <c r="B11" s="28"/>
      <c r="C11" s="7"/>
      <c r="D11" s="7" t="s">
        <v>146</v>
      </c>
      <c r="E11" s="7" t="s">
        <v>267</v>
      </c>
      <c r="F11" s="6" t="s">
        <v>268</v>
      </c>
      <c r="G11" s="12" t="s">
        <v>260</v>
      </c>
      <c r="H11" s="12"/>
      <c r="I11" s="12"/>
      <c r="J11" s="12"/>
      <c r="K11" s="12" t="s">
        <v>260</v>
      </c>
      <c r="L11" s="12"/>
      <c r="M11" s="12" t="s">
        <v>260</v>
      </c>
      <c r="N11" s="12"/>
      <c r="O11" s="12"/>
      <c r="P11" s="7" t="s">
        <v>246</v>
      </c>
      <c r="Q11" s="7">
        <f t="shared" si="0"/>
        <v>3</v>
      </c>
      <c r="R11" s="7">
        <f t="shared" si="3"/>
        <v>2.4000000000000004</v>
      </c>
      <c r="S11" s="7">
        <f t="shared" si="4"/>
        <v>1.7999999999999998</v>
      </c>
      <c r="T11" s="7">
        <f t="shared" si="5"/>
        <v>3.5999999999999996</v>
      </c>
      <c r="U11" s="7">
        <f t="shared" si="6"/>
        <v>2.4000000000000004</v>
      </c>
      <c r="V11" s="7">
        <f t="shared" si="1"/>
        <v>0.89999999999999991</v>
      </c>
      <c r="W11" s="7">
        <f t="shared" si="2"/>
        <v>14.100000000000001</v>
      </c>
      <c r="X11" s="7">
        <f t="shared" si="7"/>
        <v>0.71</v>
      </c>
      <c r="Y11" s="15">
        <f t="shared" si="8"/>
        <v>710000</v>
      </c>
      <c r="Z11" s="18">
        <f t="shared" si="9"/>
        <v>710000</v>
      </c>
    </row>
    <row r="12" spans="1:32" ht="48.6" x14ac:dyDescent="0.2">
      <c r="A12" s="93"/>
      <c r="B12" s="28"/>
      <c r="C12" s="7"/>
      <c r="D12" s="7" t="s">
        <v>146</v>
      </c>
      <c r="E12" s="7" t="s">
        <v>269</v>
      </c>
      <c r="F12" s="6" t="s">
        <v>270</v>
      </c>
      <c r="G12" s="12" t="s">
        <v>260</v>
      </c>
      <c r="H12" s="12"/>
      <c r="I12" s="12"/>
      <c r="J12" s="12"/>
      <c r="K12" s="12" t="s">
        <v>260</v>
      </c>
      <c r="L12" s="12"/>
      <c r="M12" s="12" t="s">
        <v>260</v>
      </c>
      <c r="N12" s="12"/>
      <c r="O12" s="12"/>
      <c r="P12" s="7" t="s">
        <v>246</v>
      </c>
      <c r="Q12" s="7">
        <f t="shared" si="0"/>
        <v>3</v>
      </c>
      <c r="R12" s="7">
        <f t="shared" si="3"/>
        <v>2.4000000000000004</v>
      </c>
      <c r="S12" s="7">
        <f t="shared" si="4"/>
        <v>1.7999999999999998</v>
      </c>
      <c r="T12" s="7">
        <f t="shared" si="5"/>
        <v>3.5999999999999996</v>
      </c>
      <c r="U12" s="7">
        <f t="shared" si="6"/>
        <v>2.4000000000000004</v>
      </c>
      <c r="V12" s="7">
        <f t="shared" si="1"/>
        <v>0.89999999999999991</v>
      </c>
      <c r="W12" s="7">
        <f t="shared" ref="W12" si="10">SUM(Q12:V12)</f>
        <v>14.100000000000001</v>
      </c>
      <c r="X12" s="7">
        <f t="shared" si="7"/>
        <v>0.71</v>
      </c>
      <c r="Y12" s="15">
        <f t="shared" si="8"/>
        <v>710000</v>
      </c>
      <c r="Z12" s="18">
        <f t="shared" si="9"/>
        <v>710000</v>
      </c>
    </row>
    <row r="13" spans="1:32" ht="129.6" x14ac:dyDescent="0.2">
      <c r="A13" s="93"/>
      <c r="B13" s="28"/>
      <c r="C13" s="7"/>
      <c r="D13" s="7" t="s">
        <v>146</v>
      </c>
      <c r="E13" s="7" t="s">
        <v>271</v>
      </c>
      <c r="F13" s="6" t="s">
        <v>272</v>
      </c>
      <c r="G13" s="12"/>
      <c r="H13" s="12"/>
      <c r="I13" s="12" t="s">
        <v>260</v>
      </c>
      <c r="J13" s="12"/>
      <c r="K13" s="12"/>
      <c r="L13" s="12" t="s">
        <v>260</v>
      </c>
      <c r="M13" s="12"/>
      <c r="N13" s="12" t="s">
        <v>260</v>
      </c>
      <c r="O13" s="12"/>
      <c r="P13" s="7"/>
      <c r="Q13" s="7"/>
      <c r="R13" s="7"/>
      <c r="S13" s="7"/>
      <c r="T13" s="7"/>
      <c r="U13" s="7"/>
      <c r="V13" s="7"/>
      <c r="W13" s="7"/>
      <c r="X13" s="7"/>
      <c r="Y13" s="15"/>
      <c r="Z13" s="18">
        <f t="shared" si="9"/>
        <v>0</v>
      </c>
    </row>
    <row r="14" spans="1:32" ht="32.4" x14ac:dyDescent="0.2">
      <c r="A14" s="93"/>
      <c r="B14" s="28"/>
      <c r="C14" s="7"/>
      <c r="D14" s="7" t="s">
        <v>273</v>
      </c>
      <c r="E14" s="7" t="s">
        <v>274</v>
      </c>
      <c r="F14" s="6" t="s">
        <v>275</v>
      </c>
      <c r="G14" s="12"/>
      <c r="H14" s="12" t="s">
        <v>260</v>
      </c>
      <c r="I14" s="12"/>
      <c r="J14" s="12"/>
      <c r="K14" s="12" t="s">
        <v>260</v>
      </c>
      <c r="L14" s="12"/>
      <c r="M14" s="12"/>
      <c r="N14" s="12" t="s">
        <v>260</v>
      </c>
      <c r="O14" s="12"/>
      <c r="P14" s="7" t="s">
        <v>245</v>
      </c>
      <c r="Q14" s="7">
        <f t="shared" ref="Q14:Q27" si="11">IFERROR(HLOOKUP(P14,AB$1:AF$2,2,FALSE),0)</f>
        <v>5</v>
      </c>
      <c r="R14" s="7">
        <f t="shared" si="3"/>
        <v>4</v>
      </c>
      <c r="S14" s="7">
        <f t="shared" si="4"/>
        <v>3</v>
      </c>
      <c r="T14" s="7">
        <f t="shared" si="5"/>
        <v>6</v>
      </c>
      <c r="U14" s="7">
        <f t="shared" si="6"/>
        <v>4</v>
      </c>
      <c r="V14" s="7">
        <f t="shared" si="1"/>
        <v>1.5</v>
      </c>
      <c r="W14" s="7">
        <f t="shared" si="2"/>
        <v>23.5</v>
      </c>
      <c r="X14" s="7">
        <f t="shared" si="7"/>
        <v>1.18</v>
      </c>
      <c r="Y14" s="15">
        <f t="shared" si="8"/>
        <v>1180000</v>
      </c>
      <c r="Z14" s="18">
        <f t="shared" si="9"/>
        <v>1180000</v>
      </c>
    </row>
    <row r="15" spans="1:32" ht="48.6" x14ac:dyDescent="0.2">
      <c r="A15" s="93"/>
      <c r="B15" s="28"/>
      <c r="C15" s="7"/>
      <c r="D15" s="7" t="s">
        <v>273</v>
      </c>
      <c r="E15" s="7" t="s">
        <v>276</v>
      </c>
      <c r="F15" s="6" t="s">
        <v>277</v>
      </c>
      <c r="G15" s="12"/>
      <c r="H15" s="12" t="s">
        <v>260</v>
      </c>
      <c r="I15" s="12"/>
      <c r="J15" s="12"/>
      <c r="K15" s="12" t="s">
        <v>260</v>
      </c>
      <c r="L15" s="12"/>
      <c r="M15" s="12"/>
      <c r="N15" s="12" t="s">
        <v>260</v>
      </c>
      <c r="O15" s="12"/>
      <c r="P15" s="7" t="s">
        <v>245</v>
      </c>
      <c r="Q15" s="7">
        <f t="shared" si="11"/>
        <v>5</v>
      </c>
      <c r="R15" s="7">
        <f t="shared" si="3"/>
        <v>4</v>
      </c>
      <c r="S15" s="7">
        <f t="shared" si="4"/>
        <v>3</v>
      </c>
      <c r="T15" s="7">
        <f t="shared" si="5"/>
        <v>6</v>
      </c>
      <c r="U15" s="7">
        <f t="shared" si="6"/>
        <v>4</v>
      </c>
      <c r="V15" s="7">
        <f t="shared" si="1"/>
        <v>1.5</v>
      </c>
      <c r="W15" s="7">
        <f t="shared" si="2"/>
        <v>23.5</v>
      </c>
      <c r="X15" s="7">
        <f t="shared" si="7"/>
        <v>1.18</v>
      </c>
      <c r="Y15" s="15">
        <f t="shared" si="8"/>
        <v>1180000</v>
      </c>
      <c r="Z15" s="18">
        <f t="shared" si="9"/>
        <v>1180000</v>
      </c>
    </row>
    <row r="16" spans="1:32" ht="152.25" customHeight="1" x14ac:dyDescent="0.2">
      <c r="A16" s="93"/>
      <c r="B16" s="28"/>
      <c r="C16" s="7"/>
      <c r="D16" s="7" t="s">
        <v>273</v>
      </c>
      <c r="E16" s="7" t="s">
        <v>278</v>
      </c>
      <c r="F16" s="6" t="s">
        <v>279</v>
      </c>
      <c r="G16" s="12"/>
      <c r="H16" s="12" t="s">
        <v>260</v>
      </c>
      <c r="I16" s="12"/>
      <c r="J16" s="12"/>
      <c r="K16" s="12" t="s">
        <v>260</v>
      </c>
      <c r="L16" s="12"/>
      <c r="M16" s="12"/>
      <c r="N16" s="12" t="s">
        <v>260</v>
      </c>
      <c r="O16" s="12"/>
      <c r="P16" s="7" t="s">
        <v>245</v>
      </c>
      <c r="Q16" s="7">
        <f t="shared" si="11"/>
        <v>5</v>
      </c>
      <c r="R16" s="7">
        <f t="shared" si="3"/>
        <v>4</v>
      </c>
      <c r="S16" s="7">
        <f t="shared" si="4"/>
        <v>3</v>
      </c>
      <c r="T16" s="7">
        <f t="shared" si="5"/>
        <v>6</v>
      </c>
      <c r="U16" s="7">
        <f t="shared" si="6"/>
        <v>4</v>
      </c>
      <c r="V16" s="7">
        <f t="shared" si="1"/>
        <v>1.5</v>
      </c>
      <c r="W16" s="7">
        <f t="shared" si="2"/>
        <v>23.5</v>
      </c>
      <c r="X16" s="7">
        <f t="shared" si="7"/>
        <v>1.18</v>
      </c>
      <c r="Y16" s="15">
        <f t="shared" si="8"/>
        <v>1180000</v>
      </c>
      <c r="Z16" s="18">
        <f t="shared" si="9"/>
        <v>1180000</v>
      </c>
    </row>
    <row r="17" spans="1:26" ht="32.4" x14ac:dyDescent="0.2">
      <c r="A17" s="93"/>
      <c r="B17" s="28"/>
      <c r="C17" s="7"/>
      <c r="D17" s="7" t="s">
        <v>273</v>
      </c>
      <c r="E17" s="7" t="s">
        <v>280</v>
      </c>
      <c r="F17" s="6" t="s">
        <v>281</v>
      </c>
      <c r="G17" s="12" t="s">
        <v>260</v>
      </c>
      <c r="H17" s="12"/>
      <c r="I17" s="12"/>
      <c r="J17" s="12"/>
      <c r="K17" s="12" t="s">
        <v>260</v>
      </c>
      <c r="L17" s="12"/>
      <c r="M17" s="12" t="s">
        <v>260</v>
      </c>
      <c r="N17" s="12"/>
      <c r="O17" s="12"/>
      <c r="P17" s="7" t="s">
        <v>245</v>
      </c>
      <c r="Q17" s="7">
        <f t="shared" si="11"/>
        <v>5</v>
      </c>
      <c r="R17" s="7">
        <f t="shared" si="3"/>
        <v>4</v>
      </c>
      <c r="S17" s="7">
        <f t="shared" si="4"/>
        <v>3</v>
      </c>
      <c r="T17" s="7">
        <f t="shared" si="5"/>
        <v>6</v>
      </c>
      <c r="U17" s="7">
        <f t="shared" si="6"/>
        <v>4</v>
      </c>
      <c r="V17" s="7">
        <f t="shared" si="1"/>
        <v>1.5</v>
      </c>
      <c r="W17" s="7">
        <f t="shared" si="2"/>
        <v>23.5</v>
      </c>
      <c r="X17" s="7">
        <f t="shared" si="7"/>
        <v>1.18</v>
      </c>
      <c r="Y17" s="15">
        <f t="shared" si="8"/>
        <v>1180000</v>
      </c>
      <c r="Z17" s="18">
        <f t="shared" si="9"/>
        <v>1180000</v>
      </c>
    </row>
    <row r="18" spans="1:26" ht="48.6" x14ac:dyDescent="0.2">
      <c r="A18" s="93"/>
      <c r="B18" s="28"/>
      <c r="C18" s="7"/>
      <c r="D18" s="7" t="s">
        <v>273</v>
      </c>
      <c r="E18" s="7" t="s">
        <v>282</v>
      </c>
      <c r="F18" s="6" t="s">
        <v>283</v>
      </c>
      <c r="G18" s="12" t="s">
        <v>260</v>
      </c>
      <c r="H18" s="12"/>
      <c r="I18" s="12"/>
      <c r="J18" s="12"/>
      <c r="K18" s="12" t="s">
        <v>260</v>
      </c>
      <c r="L18" s="12"/>
      <c r="M18" s="12" t="s">
        <v>260</v>
      </c>
      <c r="N18" s="12"/>
      <c r="O18" s="12"/>
      <c r="P18" s="7" t="s">
        <v>245</v>
      </c>
      <c r="Q18" s="7">
        <f t="shared" si="11"/>
        <v>5</v>
      </c>
      <c r="R18" s="7">
        <f t="shared" si="3"/>
        <v>4</v>
      </c>
      <c r="S18" s="7">
        <f t="shared" si="4"/>
        <v>3</v>
      </c>
      <c r="T18" s="7">
        <f t="shared" si="5"/>
        <v>6</v>
      </c>
      <c r="U18" s="7">
        <f t="shared" si="6"/>
        <v>4</v>
      </c>
      <c r="V18" s="7">
        <f t="shared" si="1"/>
        <v>1.5</v>
      </c>
      <c r="W18" s="7">
        <f t="shared" si="2"/>
        <v>23.5</v>
      </c>
      <c r="X18" s="7">
        <f t="shared" si="7"/>
        <v>1.18</v>
      </c>
      <c r="Y18" s="15">
        <f t="shared" si="8"/>
        <v>1180000</v>
      </c>
      <c r="Z18" s="18">
        <f t="shared" si="9"/>
        <v>1180000</v>
      </c>
    </row>
    <row r="19" spans="1:26" ht="102" customHeight="1" x14ac:dyDescent="0.2">
      <c r="A19" s="93"/>
      <c r="B19" s="28"/>
      <c r="C19" s="7"/>
      <c r="D19" s="7" t="s">
        <v>273</v>
      </c>
      <c r="E19" s="7" t="s">
        <v>284</v>
      </c>
      <c r="F19" s="6" t="s">
        <v>285</v>
      </c>
      <c r="G19" s="12" t="s">
        <v>260</v>
      </c>
      <c r="H19" s="12"/>
      <c r="I19" s="12"/>
      <c r="J19" s="12"/>
      <c r="K19" s="12" t="s">
        <v>260</v>
      </c>
      <c r="L19" s="12"/>
      <c r="M19" s="12" t="s">
        <v>260</v>
      </c>
      <c r="N19" s="12"/>
      <c r="O19" s="12"/>
      <c r="P19" s="7" t="s">
        <v>245</v>
      </c>
      <c r="Q19" s="7">
        <f t="shared" si="11"/>
        <v>5</v>
      </c>
      <c r="R19" s="7">
        <f t="shared" si="3"/>
        <v>4</v>
      </c>
      <c r="S19" s="7">
        <f t="shared" si="4"/>
        <v>3</v>
      </c>
      <c r="T19" s="7">
        <f t="shared" si="5"/>
        <v>6</v>
      </c>
      <c r="U19" s="7">
        <f t="shared" si="6"/>
        <v>4</v>
      </c>
      <c r="V19" s="7">
        <f t="shared" si="1"/>
        <v>1.5</v>
      </c>
      <c r="W19" s="7">
        <f t="shared" si="2"/>
        <v>23.5</v>
      </c>
      <c r="X19" s="7">
        <f t="shared" si="7"/>
        <v>1.18</v>
      </c>
      <c r="Y19" s="15">
        <f t="shared" si="8"/>
        <v>1180000</v>
      </c>
      <c r="Z19" s="18">
        <f t="shared" si="9"/>
        <v>1180000</v>
      </c>
    </row>
    <row r="20" spans="1:26" ht="48.6" x14ac:dyDescent="0.2">
      <c r="A20" s="93"/>
      <c r="B20" s="28"/>
      <c r="C20" s="7"/>
      <c r="D20" s="7" t="s">
        <v>286</v>
      </c>
      <c r="E20" s="7" t="s">
        <v>287</v>
      </c>
      <c r="F20" s="6" t="s">
        <v>288</v>
      </c>
      <c r="G20" s="12"/>
      <c r="H20" s="12"/>
      <c r="I20" s="12" t="s">
        <v>260</v>
      </c>
      <c r="J20" s="12"/>
      <c r="K20" s="12"/>
      <c r="L20" s="12" t="s">
        <v>260</v>
      </c>
      <c r="M20" s="12"/>
      <c r="N20" s="12" t="s">
        <v>260</v>
      </c>
      <c r="O20" s="12"/>
      <c r="P20" s="7" t="s">
        <v>245</v>
      </c>
      <c r="Q20" s="7">
        <f t="shared" si="11"/>
        <v>5</v>
      </c>
      <c r="R20" s="7">
        <f t="shared" si="3"/>
        <v>4</v>
      </c>
      <c r="S20" s="7">
        <f t="shared" si="4"/>
        <v>3</v>
      </c>
      <c r="T20" s="7">
        <f t="shared" si="5"/>
        <v>6</v>
      </c>
      <c r="U20" s="7">
        <f t="shared" si="6"/>
        <v>4</v>
      </c>
      <c r="V20" s="7">
        <f t="shared" si="1"/>
        <v>1.5</v>
      </c>
      <c r="W20" s="7">
        <f t="shared" si="2"/>
        <v>23.5</v>
      </c>
      <c r="X20" s="7">
        <f t="shared" si="7"/>
        <v>1.18</v>
      </c>
      <c r="Y20" s="15">
        <f t="shared" si="8"/>
        <v>1180000</v>
      </c>
      <c r="Z20" s="18">
        <f t="shared" si="9"/>
        <v>1180000</v>
      </c>
    </row>
    <row r="21" spans="1:26" ht="48.6" x14ac:dyDescent="0.2">
      <c r="A21" s="93"/>
      <c r="B21" s="28"/>
      <c r="C21" s="7"/>
      <c r="D21" s="7" t="s">
        <v>286</v>
      </c>
      <c r="E21" s="7" t="s">
        <v>289</v>
      </c>
      <c r="F21" s="6" t="s">
        <v>290</v>
      </c>
      <c r="G21" s="12"/>
      <c r="H21" s="12"/>
      <c r="I21" s="12" t="s">
        <v>260</v>
      </c>
      <c r="J21" s="12"/>
      <c r="K21" s="12"/>
      <c r="L21" s="12" t="s">
        <v>260</v>
      </c>
      <c r="M21" s="12"/>
      <c r="N21" s="12" t="s">
        <v>260</v>
      </c>
      <c r="O21" s="12"/>
      <c r="P21" s="7" t="s">
        <v>245</v>
      </c>
      <c r="Q21" s="7">
        <f t="shared" si="11"/>
        <v>5</v>
      </c>
      <c r="R21" s="7">
        <f t="shared" si="3"/>
        <v>4</v>
      </c>
      <c r="S21" s="7">
        <f t="shared" si="4"/>
        <v>3</v>
      </c>
      <c r="T21" s="7">
        <f t="shared" si="5"/>
        <v>6</v>
      </c>
      <c r="U21" s="7">
        <f t="shared" si="6"/>
        <v>4</v>
      </c>
      <c r="V21" s="7">
        <f t="shared" si="1"/>
        <v>1.5</v>
      </c>
      <c r="W21" s="7">
        <f t="shared" si="2"/>
        <v>23.5</v>
      </c>
      <c r="X21" s="7">
        <f t="shared" si="7"/>
        <v>1.18</v>
      </c>
      <c r="Y21" s="15">
        <f t="shared" si="8"/>
        <v>1180000</v>
      </c>
      <c r="Z21" s="18">
        <f t="shared" si="9"/>
        <v>1180000</v>
      </c>
    </row>
    <row r="22" spans="1:26" ht="48.6" x14ac:dyDescent="0.2">
      <c r="A22" s="96"/>
      <c r="B22" s="28"/>
      <c r="C22" s="7"/>
      <c r="D22" s="7" t="s">
        <v>291</v>
      </c>
      <c r="E22" s="7" t="s">
        <v>292</v>
      </c>
      <c r="F22" s="6" t="s">
        <v>293</v>
      </c>
      <c r="G22" s="12"/>
      <c r="H22" s="12"/>
      <c r="I22" s="12" t="s">
        <v>260</v>
      </c>
      <c r="J22" s="12"/>
      <c r="K22" s="12"/>
      <c r="L22" s="12" t="s">
        <v>260</v>
      </c>
      <c r="M22" s="12"/>
      <c r="N22" s="12" t="s">
        <v>260</v>
      </c>
      <c r="O22" s="12"/>
      <c r="P22" s="7" t="s">
        <v>294</v>
      </c>
      <c r="Q22" s="7">
        <f t="shared" si="11"/>
        <v>7</v>
      </c>
      <c r="R22" s="7">
        <f t="shared" si="3"/>
        <v>5.6000000000000005</v>
      </c>
      <c r="S22" s="7">
        <f t="shared" si="4"/>
        <v>4.2</v>
      </c>
      <c r="T22" s="7">
        <f t="shared" si="5"/>
        <v>8.4</v>
      </c>
      <c r="U22" s="7">
        <f t="shared" si="6"/>
        <v>5.6000000000000005</v>
      </c>
      <c r="V22" s="7">
        <f t="shared" si="1"/>
        <v>2.1</v>
      </c>
      <c r="W22" s="7">
        <f t="shared" si="2"/>
        <v>32.900000000000006</v>
      </c>
      <c r="X22" s="7">
        <f t="shared" si="7"/>
        <v>1.65</v>
      </c>
      <c r="Y22" s="15">
        <f t="shared" si="8"/>
        <v>1650000</v>
      </c>
      <c r="Z22" s="18">
        <f t="shared" si="9"/>
        <v>1650000</v>
      </c>
    </row>
    <row r="23" spans="1:26" ht="81" x14ac:dyDescent="0.2">
      <c r="A23" s="96"/>
      <c r="B23" s="28"/>
      <c r="C23" s="7"/>
      <c r="D23" s="7" t="s">
        <v>291</v>
      </c>
      <c r="E23" s="7" t="s">
        <v>295</v>
      </c>
      <c r="F23" s="6" t="s">
        <v>296</v>
      </c>
      <c r="G23" s="12"/>
      <c r="H23" s="12"/>
      <c r="I23" s="12" t="s">
        <v>260</v>
      </c>
      <c r="J23" s="12"/>
      <c r="K23" s="12"/>
      <c r="L23" s="12" t="s">
        <v>260</v>
      </c>
      <c r="M23" s="12"/>
      <c r="N23" s="12" t="s">
        <v>260</v>
      </c>
      <c r="O23" s="12"/>
      <c r="P23" s="7" t="s">
        <v>297</v>
      </c>
      <c r="Q23" s="7">
        <f t="shared" si="11"/>
        <v>10</v>
      </c>
      <c r="R23" s="7">
        <f t="shared" si="3"/>
        <v>8</v>
      </c>
      <c r="S23" s="7">
        <f t="shared" si="4"/>
        <v>6</v>
      </c>
      <c r="T23" s="7">
        <f t="shared" si="5"/>
        <v>12</v>
      </c>
      <c r="U23" s="7">
        <f t="shared" si="6"/>
        <v>8</v>
      </c>
      <c r="V23" s="7">
        <f t="shared" si="1"/>
        <v>3</v>
      </c>
      <c r="W23" s="7">
        <f t="shared" si="2"/>
        <v>47</v>
      </c>
      <c r="X23" s="7">
        <f t="shared" si="7"/>
        <v>2.35</v>
      </c>
      <c r="Y23" s="15">
        <f t="shared" si="8"/>
        <v>2350000</v>
      </c>
      <c r="Z23" s="18">
        <f t="shared" si="9"/>
        <v>2350000</v>
      </c>
    </row>
    <row r="24" spans="1:26" ht="48.6" x14ac:dyDescent="0.2">
      <c r="A24" s="93"/>
      <c r="B24" s="28"/>
      <c r="C24" s="7"/>
      <c r="D24" s="7" t="s">
        <v>291</v>
      </c>
      <c r="E24" s="7" t="s">
        <v>298</v>
      </c>
      <c r="F24" s="6" t="s">
        <v>299</v>
      </c>
      <c r="G24" s="12"/>
      <c r="H24" s="12"/>
      <c r="I24" s="12" t="s">
        <v>260</v>
      </c>
      <c r="J24" s="12"/>
      <c r="K24" s="12"/>
      <c r="L24" s="12" t="s">
        <v>260</v>
      </c>
      <c r="M24" s="12"/>
      <c r="N24" s="12" t="s">
        <v>260</v>
      </c>
      <c r="O24" s="12"/>
      <c r="P24" s="7" t="s">
        <v>246</v>
      </c>
      <c r="Q24" s="7">
        <f t="shared" si="11"/>
        <v>3</v>
      </c>
      <c r="R24" s="7">
        <f t="shared" si="3"/>
        <v>2.4000000000000004</v>
      </c>
      <c r="S24" s="7">
        <f t="shared" si="4"/>
        <v>1.7999999999999998</v>
      </c>
      <c r="T24" s="7">
        <f t="shared" si="5"/>
        <v>3.5999999999999996</v>
      </c>
      <c r="U24" s="7">
        <f t="shared" si="6"/>
        <v>2.4000000000000004</v>
      </c>
      <c r="V24" s="7">
        <f t="shared" si="1"/>
        <v>0.89999999999999991</v>
      </c>
      <c r="W24" s="7">
        <f t="shared" si="2"/>
        <v>14.100000000000001</v>
      </c>
      <c r="X24" s="7">
        <f t="shared" si="7"/>
        <v>0.71</v>
      </c>
      <c r="Y24" s="15">
        <f t="shared" si="8"/>
        <v>710000</v>
      </c>
      <c r="Z24" s="18">
        <f t="shared" si="9"/>
        <v>710000</v>
      </c>
    </row>
    <row r="25" spans="1:26" ht="32.4" x14ac:dyDescent="0.2">
      <c r="A25" s="93"/>
      <c r="B25" s="28"/>
      <c r="C25" s="7"/>
      <c r="D25" s="7" t="s">
        <v>300</v>
      </c>
      <c r="E25" s="7" t="s">
        <v>301</v>
      </c>
      <c r="F25" s="6" t="s">
        <v>302</v>
      </c>
      <c r="G25" s="12"/>
      <c r="H25" s="12"/>
      <c r="I25" s="12" t="s">
        <v>260</v>
      </c>
      <c r="J25" s="12"/>
      <c r="K25" s="12"/>
      <c r="L25" s="12" t="s">
        <v>260</v>
      </c>
      <c r="M25" s="12"/>
      <c r="N25" s="12" t="s">
        <v>260</v>
      </c>
      <c r="O25" s="12"/>
      <c r="P25" s="7" t="s">
        <v>246</v>
      </c>
      <c r="Q25" s="7">
        <f t="shared" si="11"/>
        <v>3</v>
      </c>
      <c r="R25" s="7">
        <f t="shared" si="3"/>
        <v>2.4000000000000004</v>
      </c>
      <c r="S25" s="7">
        <f t="shared" si="4"/>
        <v>1.7999999999999998</v>
      </c>
      <c r="T25" s="7">
        <f t="shared" si="5"/>
        <v>3.5999999999999996</v>
      </c>
      <c r="U25" s="7">
        <f t="shared" si="6"/>
        <v>2.4000000000000004</v>
      </c>
      <c r="V25" s="7">
        <f t="shared" si="1"/>
        <v>0.89999999999999991</v>
      </c>
      <c r="W25" s="7">
        <f t="shared" si="2"/>
        <v>14.100000000000001</v>
      </c>
      <c r="X25" s="7">
        <f t="shared" si="7"/>
        <v>0.71</v>
      </c>
      <c r="Y25" s="15">
        <f t="shared" si="8"/>
        <v>710000</v>
      </c>
      <c r="Z25" s="18">
        <f t="shared" si="9"/>
        <v>710000</v>
      </c>
    </row>
    <row r="26" spans="1:26" ht="32.4" x14ac:dyDescent="0.2">
      <c r="A26" s="93"/>
      <c r="B26" s="28"/>
      <c r="C26" s="7"/>
      <c r="D26" s="7" t="s">
        <v>300</v>
      </c>
      <c r="E26" s="7" t="s">
        <v>303</v>
      </c>
      <c r="F26" s="6" t="s">
        <v>304</v>
      </c>
      <c r="G26" s="12"/>
      <c r="H26" s="12"/>
      <c r="I26" s="12" t="s">
        <v>260</v>
      </c>
      <c r="J26" s="12"/>
      <c r="K26" s="12"/>
      <c r="L26" s="12" t="s">
        <v>260</v>
      </c>
      <c r="M26" s="12"/>
      <c r="N26" s="12" t="s">
        <v>260</v>
      </c>
      <c r="O26" s="12"/>
      <c r="P26" s="7" t="s">
        <v>246</v>
      </c>
      <c r="Q26" s="7">
        <f t="shared" si="11"/>
        <v>3</v>
      </c>
      <c r="R26" s="7">
        <f t="shared" si="3"/>
        <v>2.4000000000000004</v>
      </c>
      <c r="S26" s="7">
        <f t="shared" si="4"/>
        <v>1.7999999999999998</v>
      </c>
      <c r="T26" s="7">
        <f t="shared" si="5"/>
        <v>3.5999999999999996</v>
      </c>
      <c r="U26" s="7">
        <f t="shared" si="6"/>
        <v>2.4000000000000004</v>
      </c>
      <c r="V26" s="7">
        <f t="shared" si="1"/>
        <v>0.89999999999999991</v>
      </c>
      <c r="W26" s="7">
        <f t="shared" si="2"/>
        <v>14.100000000000001</v>
      </c>
      <c r="X26" s="7">
        <f t="shared" si="7"/>
        <v>0.71</v>
      </c>
      <c r="Y26" s="15">
        <f t="shared" si="8"/>
        <v>710000</v>
      </c>
      <c r="Z26" s="18">
        <f t="shared" si="9"/>
        <v>710000</v>
      </c>
    </row>
    <row r="27" spans="1:26" ht="48.6" x14ac:dyDescent="0.2">
      <c r="A27" s="96"/>
      <c r="B27" s="28"/>
      <c r="C27" s="7"/>
      <c r="D27" s="7" t="s">
        <v>300</v>
      </c>
      <c r="E27" s="7" t="s">
        <v>305</v>
      </c>
      <c r="F27" s="6" t="s">
        <v>306</v>
      </c>
      <c r="G27" s="12"/>
      <c r="H27" s="12"/>
      <c r="I27" s="12" t="s">
        <v>260</v>
      </c>
      <c r="J27" s="12"/>
      <c r="K27" s="12"/>
      <c r="L27" s="12" t="s">
        <v>260</v>
      </c>
      <c r="M27" s="12"/>
      <c r="N27" s="12" t="s">
        <v>260</v>
      </c>
      <c r="O27" s="12"/>
      <c r="P27" s="7" t="s">
        <v>246</v>
      </c>
      <c r="Q27" s="7">
        <f t="shared" si="11"/>
        <v>3</v>
      </c>
      <c r="R27" s="7">
        <f t="shared" si="3"/>
        <v>2.4000000000000004</v>
      </c>
      <c r="S27" s="7">
        <f t="shared" si="4"/>
        <v>1.7999999999999998</v>
      </c>
      <c r="T27" s="7">
        <f t="shared" si="5"/>
        <v>3.5999999999999996</v>
      </c>
      <c r="U27" s="7">
        <f t="shared" si="6"/>
        <v>2.4000000000000004</v>
      </c>
      <c r="V27" s="7">
        <f t="shared" si="1"/>
        <v>0.89999999999999991</v>
      </c>
      <c r="W27" s="7">
        <f t="shared" si="2"/>
        <v>14.100000000000001</v>
      </c>
      <c r="X27" s="7">
        <f t="shared" si="7"/>
        <v>0.71</v>
      </c>
      <c r="Y27" s="15">
        <f t="shared" si="8"/>
        <v>710000</v>
      </c>
      <c r="Z27" s="18">
        <f t="shared" si="9"/>
        <v>710000</v>
      </c>
    </row>
    <row r="28" spans="1:26" ht="81" x14ac:dyDescent="0.2">
      <c r="A28" s="93"/>
      <c r="B28" s="85"/>
      <c r="C28" s="86"/>
      <c r="D28" s="86" t="s">
        <v>300</v>
      </c>
      <c r="E28" s="86" t="s">
        <v>307</v>
      </c>
      <c r="F28" s="88" t="s">
        <v>308</v>
      </c>
      <c r="G28" s="89"/>
      <c r="H28" s="89"/>
      <c r="I28" s="89"/>
      <c r="J28" s="89" t="s">
        <v>260</v>
      </c>
      <c r="K28" s="89"/>
      <c r="L28" s="89" t="s">
        <v>260</v>
      </c>
      <c r="M28" s="89"/>
      <c r="N28" s="89"/>
      <c r="O28" s="89" t="s">
        <v>260</v>
      </c>
      <c r="P28" s="86" t="s">
        <v>309</v>
      </c>
      <c r="Q28" s="86"/>
      <c r="R28" s="86"/>
      <c r="S28" s="86"/>
      <c r="T28" s="86"/>
      <c r="U28" s="86"/>
      <c r="V28" s="86"/>
      <c r="W28" s="86"/>
      <c r="X28" s="86"/>
      <c r="Y28" s="90"/>
      <c r="Z28" s="91">
        <f t="shared" si="9"/>
        <v>0</v>
      </c>
    </row>
    <row r="29" spans="1:26" ht="64.8" x14ac:dyDescent="0.2">
      <c r="A29" s="93"/>
      <c r="B29" s="28"/>
      <c r="C29" s="7"/>
      <c r="D29" s="7" t="s">
        <v>300</v>
      </c>
      <c r="E29" s="7" t="s">
        <v>310</v>
      </c>
      <c r="F29" s="6" t="s">
        <v>311</v>
      </c>
      <c r="G29" s="12"/>
      <c r="H29" s="12"/>
      <c r="I29" s="12"/>
      <c r="J29" s="12" t="s">
        <v>312</v>
      </c>
      <c r="K29" s="12"/>
      <c r="L29" s="12" t="s">
        <v>312</v>
      </c>
      <c r="M29" s="12"/>
      <c r="N29" s="12"/>
      <c r="O29" s="12" t="s">
        <v>312</v>
      </c>
      <c r="P29" s="7" t="s">
        <v>246</v>
      </c>
      <c r="Q29" s="7">
        <f>IFERROR(HLOOKUP(P29,AB$1:AF$2,2,FALSE),0)</f>
        <v>3</v>
      </c>
      <c r="R29" s="7">
        <f t="shared" ref="R29:R31" si="12">Q29*0.8</f>
        <v>2.4000000000000004</v>
      </c>
      <c r="S29" s="7">
        <f t="shared" ref="S29:S31" si="13">Q29*0.6</f>
        <v>1.7999999999999998</v>
      </c>
      <c r="T29" s="7">
        <f t="shared" ref="T29:T31" si="14">Q29*1.2</f>
        <v>3.5999999999999996</v>
      </c>
      <c r="U29" s="7">
        <f t="shared" ref="U29:U31" si="15">Q29*0.8</f>
        <v>2.4000000000000004</v>
      </c>
      <c r="V29" s="7">
        <f t="shared" ref="V29:V31" si="16">Q29*0.3</f>
        <v>0.89999999999999991</v>
      </c>
      <c r="W29" s="7">
        <f t="shared" ref="W29:W31" si="17">SUM(Q29:V29)</f>
        <v>14.100000000000001</v>
      </c>
      <c r="X29" s="7">
        <f t="shared" ref="X29:X31" si="18">ROUNDUP(W29/20,2)</f>
        <v>0.71</v>
      </c>
      <c r="Y29" s="15">
        <f t="shared" ref="Y29:Y31" si="19">Z29</f>
        <v>710000</v>
      </c>
      <c r="Z29" s="18">
        <f t="shared" si="9"/>
        <v>710000</v>
      </c>
    </row>
    <row r="30" spans="1:26" ht="64.8" x14ac:dyDescent="0.2">
      <c r="A30" s="93"/>
      <c r="B30" s="28"/>
      <c r="C30" s="7"/>
      <c r="D30" s="7" t="s">
        <v>300</v>
      </c>
      <c r="E30" s="7" t="s">
        <v>313</v>
      </c>
      <c r="F30" s="6" t="s">
        <v>314</v>
      </c>
      <c r="G30" s="12"/>
      <c r="H30" s="12"/>
      <c r="I30" s="12"/>
      <c r="J30" s="12" t="s">
        <v>312</v>
      </c>
      <c r="K30" s="12"/>
      <c r="L30" s="12" t="s">
        <v>312</v>
      </c>
      <c r="M30" s="12"/>
      <c r="N30" s="12"/>
      <c r="O30" s="12" t="s">
        <v>312</v>
      </c>
      <c r="P30" s="7" t="s">
        <v>246</v>
      </c>
      <c r="Q30" s="7">
        <f>IFERROR(HLOOKUP(P30,AB$1:AF$2,2,FALSE),0)</f>
        <v>3</v>
      </c>
      <c r="R30" s="7">
        <f t="shared" si="12"/>
        <v>2.4000000000000004</v>
      </c>
      <c r="S30" s="7">
        <f t="shared" si="13"/>
        <v>1.7999999999999998</v>
      </c>
      <c r="T30" s="7">
        <f t="shared" si="14"/>
        <v>3.5999999999999996</v>
      </c>
      <c r="U30" s="7">
        <f t="shared" si="15"/>
        <v>2.4000000000000004</v>
      </c>
      <c r="V30" s="7">
        <f t="shared" si="16"/>
        <v>0.89999999999999991</v>
      </c>
      <c r="W30" s="7">
        <f t="shared" si="17"/>
        <v>14.100000000000001</v>
      </c>
      <c r="X30" s="7">
        <f t="shared" si="18"/>
        <v>0.71</v>
      </c>
      <c r="Y30" s="15">
        <f t="shared" si="19"/>
        <v>710000</v>
      </c>
      <c r="Z30" s="18">
        <f t="shared" si="9"/>
        <v>710000</v>
      </c>
    </row>
    <row r="31" spans="1:26" ht="48.6" x14ac:dyDescent="0.2">
      <c r="A31" s="93"/>
      <c r="B31" s="28"/>
      <c r="C31" s="7"/>
      <c r="D31" s="7" t="s">
        <v>300</v>
      </c>
      <c r="E31" s="7" t="s">
        <v>315</v>
      </c>
      <c r="F31" s="6" t="s">
        <v>316</v>
      </c>
      <c r="G31" s="12"/>
      <c r="H31" s="12"/>
      <c r="I31" s="12"/>
      <c r="J31" s="12" t="s">
        <v>312</v>
      </c>
      <c r="K31" s="12"/>
      <c r="L31" s="12" t="s">
        <v>312</v>
      </c>
      <c r="M31" s="12"/>
      <c r="N31" s="12"/>
      <c r="O31" s="12" t="s">
        <v>312</v>
      </c>
      <c r="P31" s="7" t="s">
        <v>245</v>
      </c>
      <c r="Q31" s="7">
        <f>IFERROR(HLOOKUP(P31,AB$1:AF$2,2,FALSE),0)</f>
        <v>5</v>
      </c>
      <c r="R31" s="7">
        <f t="shared" si="12"/>
        <v>4</v>
      </c>
      <c r="S31" s="7">
        <f t="shared" si="13"/>
        <v>3</v>
      </c>
      <c r="T31" s="7">
        <f t="shared" si="14"/>
        <v>6</v>
      </c>
      <c r="U31" s="7">
        <f t="shared" si="15"/>
        <v>4</v>
      </c>
      <c r="V31" s="7">
        <f t="shared" si="16"/>
        <v>1.5</v>
      </c>
      <c r="W31" s="7">
        <f t="shared" si="17"/>
        <v>23.5</v>
      </c>
      <c r="X31" s="7">
        <f t="shared" si="18"/>
        <v>1.18</v>
      </c>
      <c r="Y31" s="15">
        <f t="shared" si="19"/>
        <v>1180000</v>
      </c>
      <c r="Z31" s="18">
        <f t="shared" si="9"/>
        <v>1180000</v>
      </c>
    </row>
    <row r="32" spans="1:26" ht="64.8" x14ac:dyDescent="0.2">
      <c r="A32" s="93"/>
      <c r="B32" s="85"/>
      <c r="C32" s="86"/>
      <c r="D32" s="86" t="s">
        <v>300</v>
      </c>
      <c r="E32" s="86" t="s">
        <v>317</v>
      </c>
      <c r="F32" s="88" t="s">
        <v>318</v>
      </c>
      <c r="G32" s="89"/>
      <c r="H32" s="89"/>
      <c r="I32" s="89"/>
      <c r="J32" s="89" t="s">
        <v>260</v>
      </c>
      <c r="K32" s="89"/>
      <c r="L32" s="89" t="s">
        <v>260</v>
      </c>
      <c r="M32" s="89"/>
      <c r="N32" s="89"/>
      <c r="O32" s="89" t="s">
        <v>260</v>
      </c>
      <c r="P32" s="86" t="s">
        <v>309</v>
      </c>
      <c r="Q32" s="86"/>
      <c r="R32" s="86"/>
      <c r="S32" s="86"/>
      <c r="T32" s="86"/>
      <c r="U32" s="86"/>
      <c r="V32" s="86"/>
      <c r="W32" s="86"/>
      <c r="X32" s="86"/>
      <c r="Y32" s="90"/>
      <c r="Z32" s="91">
        <f t="shared" si="9"/>
        <v>0</v>
      </c>
    </row>
    <row r="33" spans="1:26" ht="69" customHeight="1" x14ac:dyDescent="0.2">
      <c r="A33" s="93"/>
      <c r="B33" s="85"/>
      <c r="C33" s="86"/>
      <c r="D33" s="86" t="s">
        <v>146</v>
      </c>
      <c r="E33" s="86" t="s">
        <v>319</v>
      </c>
      <c r="F33" s="88" t="s">
        <v>320</v>
      </c>
      <c r="G33" s="89"/>
      <c r="H33" s="89"/>
      <c r="I33" s="89"/>
      <c r="J33" s="89" t="s">
        <v>260</v>
      </c>
      <c r="K33" s="89"/>
      <c r="L33" s="89" t="s">
        <v>260</v>
      </c>
      <c r="M33" s="89"/>
      <c r="N33" s="89"/>
      <c r="O33" s="89" t="s">
        <v>260</v>
      </c>
      <c r="P33" s="86" t="s">
        <v>309</v>
      </c>
      <c r="Q33" s="86"/>
      <c r="R33" s="86"/>
      <c r="S33" s="86"/>
      <c r="T33" s="86"/>
      <c r="U33" s="86"/>
      <c r="V33" s="86"/>
      <c r="W33" s="86"/>
      <c r="X33" s="86"/>
      <c r="Y33" s="90"/>
      <c r="Z33" s="91">
        <f t="shared" si="9"/>
        <v>0</v>
      </c>
    </row>
    <row r="34" spans="1:26" ht="64.8" x14ac:dyDescent="0.2">
      <c r="A34" s="96"/>
      <c r="B34" s="28"/>
      <c r="C34" s="7"/>
      <c r="D34" s="7" t="s">
        <v>146</v>
      </c>
      <c r="E34" s="7" t="s">
        <v>321</v>
      </c>
      <c r="F34" s="6" t="s">
        <v>322</v>
      </c>
      <c r="G34" s="12"/>
      <c r="H34" s="12"/>
      <c r="I34" s="12" t="s">
        <v>260</v>
      </c>
      <c r="J34" s="12"/>
      <c r="K34" s="12"/>
      <c r="L34" s="12" t="s">
        <v>260</v>
      </c>
      <c r="M34" s="12"/>
      <c r="N34" s="12" t="s">
        <v>260</v>
      </c>
      <c r="O34" s="12"/>
      <c r="P34" s="7" t="s">
        <v>246</v>
      </c>
      <c r="Q34" s="7">
        <f t="shared" ref="Q34:Q48" si="20">IFERROR(HLOOKUP(P34,AB$1:AF$2,2,FALSE),0)</f>
        <v>3</v>
      </c>
      <c r="R34" s="7">
        <f t="shared" si="3"/>
        <v>2.4000000000000004</v>
      </c>
      <c r="S34" s="7">
        <f t="shared" ref="S34:S40" si="21">Q34*0.6</f>
        <v>1.7999999999999998</v>
      </c>
      <c r="T34" s="7">
        <f t="shared" si="5"/>
        <v>3.5999999999999996</v>
      </c>
      <c r="U34" s="7">
        <f t="shared" ref="U34:U40" si="22">Q34*0.8</f>
        <v>2.4000000000000004</v>
      </c>
      <c r="V34" s="7">
        <f t="shared" si="1"/>
        <v>0.89999999999999991</v>
      </c>
      <c r="W34" s="7">
        <f t="shared" si="2"/>
        <v>14.100000000000001</v>
      </c>
      <c r="X34" s="7">
        <f t="shared" si="7"/>
        <v>0.71</v>
      </c>
      <c r="Y34" s="15">
        <f t="shared" si="8"/>
        <v>710000</v>
      </c>
      <c r="Z34" s="18">
        <f t="shared" si="9"/>
        <v>710000</v>
      </c>
    </row>
    <row r="35" spans="1:26" ht="48.6" x14ac:dyDescent="0.2">
      <c r="A35" s="96"/>
      <c r="B35" s="28"/>
      <c r="C35" s="7"/>
      <c r="D35" s="7" t="s">
        <v>146</v>
      </c>
      <c r="E35" s="7" t="s">
        <v>323</v>
      </c>
      <c r="F35" s="6" t="s">
        <v>324</v>
      </c>
      <c r="G35" s="12"/>
      <c r="H35" s="12"/>
      <c r="I35" s="12" t="s">
        <v>260</v>
      </c>
      <c r="J35" s="12"/>
      <c r="K35" s="12"/>
      <c r="L35" s="12" t="s">
        <v>260</v>
      </c>
      <c r="M35" s="12"/>
      <c r="N35" s="12" t="s">
        <v>260</v>
      </c>
      <c r="O35" s="12"/>
      <c r="P35" s="7" t="s">
        <v>246</v>
      </c>
      <c r="Q35" s="7">
        <f t="shared" si="20"/>
        <v>3</v>
      </c>
      <c r="R35" s="7">
        <f t="shared" si="3"/>
        <v>2.4000000000000004</v>
      </c>
      <c r="S35" s="7">
        <f t="shared" si="21"/>
        <v>1.7999999999999998</v>
      </c>
      <c r="T35" s="7">
        <f t="shared" si="5"/>
        <v>3.5999999999999996</v>
      </c>
      <c r="U35" s="7">
        <f t="shared" si="22"/>
        <v>2.4000000000000004</v>
      </c>
      <c r="V35" s="7">
        <f t="shared" si="1"/>
        <v>0.89999999999999991</v>
      </c>
      <c r="W35" s="7">
        <f t="shared" si="2"/>
        <v>14.100000000000001</v>
      </c>
      <c r="X35" s="7">
        <f t="shared" si="7"/>
        <v>0.71</v>
      </c>
      <c r="Y35" s="15">
        <f t="shared" si="8"/>
        <v>710000</v>
      </c>
      <c r="Z35" s="18">
        <f t="shared" si="9"/>
        <v>710000</v>
      </c>
    </row>
    <row r="36" spans="1:26" ht="64.8" x14ac:dyDescent="0.2">
      <c r="A36" s="96"/>
      <c r="B36" s="28"/>
      <c r="C36" s="7"/>
      <c r="D36" s="7" t="s">
        <v>146</v>
      </c>
      <c r="E36" s="7" t="s">
        <v>325</v>
      </c>
      <c r="F36" s="6" t="s">
        <v>326</v>
      </c>
      <c r="G36" s="12"/>
      <c r="H36" s="12"/>
      <c r="I36" s="12" t="s">
        <v>260</v>
      </c>
      <c r="J36" s="12"/>
      <c r="K36" s="12"/>
      <c r="L36" s="12" t="s">
        <v>260</v>
      </c>
      <c r="M36" s="12"/>
      <c r="N36" s="12" t="s">
        <v>260</v>
      </c>
      <c r="O36" s="12"/>
      <c r="P36" s="7" t="s">
        <v>246</v>
      </c>
      <c r="Q36" s="7">
        <f t="shared" si="20"/>
        <v>3</v>
      </c>
      <c r="R36" s="7">
        <f t="shared" si="3"/>
        <v>2.4000000000000004</v>
      </c>
      <c r="S36" s="7">
        <f t="shared" si="21"/>
        <v>1.7999999999999998</v>
      </c>
      <c r="T36" s="7">
        <f t="shared" si="5"/>
        <v>3.5999999999999996</v>
      </c>
      <c r="U36" s="7">
        <f t="shared" si="22"/>
        <v>2.4000000000000004</v>
      </c>
      <c r="V36" s="7">
        <f t="shared" si="1"/>
        <v>0.89999999999999991</v>
      </c>
      <c r="W36" s="7">
        <f t="shared" si="2"/>
        <v>14.100000000000001</v>
      </c>
      <c r="X36" s="7">
        <f t="shared" si="7"/>
        <v>0.71</v>
      </c>
      <c r="Y36" s="15">
        <f t="shared" si="8"/>
        <v>710000</v>
      </c>
      <c r="Z36" s="18">
        <f t="shared" si="9"/>
        <v>710000</v>
      </c>
    </row>
    <row r="37" spans="1:26" ht="48.6" x14ac:dyDescent="0.2">
      <c r="A37" s="96"/>
      <c r="B37" s="28"/>
      <c r="C37" s="7"/>
      <c r="D37" s="7" t="s">
        <v>146</v>
      </c>
      <c r="E37" s="7" t="s">
        <v>327</v>
      </c>
      <c r="F37" s="6" t="s">
        <v>328</v>
      </c>
      <c r="G37" s="12"/>
      <c r="H37" s="12"/>
      <c r="I37" s="12" t="s">
        <v>260</v>
      </c>
      <c r="J37" s="12"/>
      <c r="K37" s="12"/>
      <c r="L37" s="12" t="s">
        <v>260</v>
      </c>
      <c r="M37" s="12"/>
      <c r="N37" s="12" t="s">
        <v>260</v>
      </c>
      <c r="O37" s="12"/>
      <c r="P37" s="7" t="s">
        <v>246</v>
      </c>
      <c r="Q37" s="7">
        <f t="shared" si="20"/>
        <v>3</v>
      </c>
      <c r="R37" s="7">
        <f t="shared" si="3"/>
        <v>2.4000000000000004</v>
      </c>
      <c r="S37" s="7">
        <f t="shared" si="21"/>
        <v>1.7999999999999998</v>
      </c>
      <c r="T37" s="7">
        <f t="shared" si="5"/>
        <v>3.5999999999999996</v>
      </c>
      <c r="U37" s="7">
        <f t="shared" si="22"/>
        <v>2.4000000000000004</v>
      </c>
      <c r="V37" s="7">
        <f t="shared" si="1"/>
        <v>0.89999999999999991</v>
      </c>
      <c r="W37" s="7">
        <f t="shared" si="2"/>
        <v>14.100000000000001</v>
      </c>
      <c r="X37" s="7">
        <f t="shared" si="7"/>
        <v>0.71</v>
      </c>
      <c r="Y37" s="15">
        <f t="shared" si="8"/>
        <v>710000</v>
      </c>
      <c r="Z37" s="18">
        <f t="shared" si="9"/>
        <v>710000</v>
      </c>
    </row>
    <row r="38" spans="1:26" ht="48.6" x14ac:dyDescent="0.2">
      <c r="A38" s="93"/>
      <c r="B38" s="28"/>
      <c r="C38" s="7"/>
      <c r="D38" s="7" t="s">
        <v>146</v>
      </c>
      <c r="E38" s="7" t="s">
        <v>329</v>
      </c>
      <c r="F38" s="6" t="s">
        <v>330</v>
      </c>
      <c r="G38" s="12"/>
      <c r="H38" s="12" t="s">
        <v>260</v>
      </c>
      <c r="I38" s="12"/>
      <c r="J38" s="12"/>
      <c r="K38" s="12" t="s">
        <v>312</v>
      </c>
      <c r="L38" s="12"/>
      <c r="M38" s="12"/>
      <c r="N38" s="12" t="s">
        <v>260</v>
      </c>
      <c r="O38" s="12"/>
      <c r="P38" s="7" t="s">
        <v>294</v>
      </c>
      <c r="Q38" s="7">
        <f t="shared" si="20"/>
        <v>7</v>
      </c>
      <c r="R38" s="7">
        <f t="shared" si="3"/>
        <v>5.6000000000000005</v>
      </c>
      <c r="S38" s="7">
        <f t="shared" si="21"/>
        <v>4.2</v>
      </c>
      <c r="T38" s="7">
        <f t="shared" si="5"/>
        <v>8.4</v>
      </c>
      <c r="U38" s="7">
        <f t="shared" si="22"/>
        <v>5.6000000000000005</v>
      </c>
      <c r="V38" s="7">
        <f t="shared" si="1"/>
        <v>2.1</v>
      </c>
      <c r="W38" s="7">
        <f t="shared" si="2"/>
        <v>32.900000000000006</v>
      </c>
      <c r="X38" s="7">
        <f t="shared" si="7"/>
        <v>1.65</v>
      </c>
      <c r="Y38" s="15">
        <f t="shared" si="8"/>
        <v>1650000</v>
      </c>
      <c r="Z38" s="18">
        <f t="shared" si="9"/>
        <v>1650000</v>
      </c>
    </row>
    <row r="39" spans="1:26" ht="64.8" x14ac:dyDescent="0.2">
      <c r="A39" s="93"/>
      <c r="B39" s="28"/>
      <c r="C39" s="7"/>
      <c r="D39" s="7" t="s">
        <v>146</v>
      </c>
      <c r="E39" s="7" t="s">
        <v>331</v>
      </c>
      <c r="F39" s="6" t="s">
        <v>332</v>
      </c>
      <c r="G39" s="12"/>
      <c r="H39" s="12"/>
      <c r="I39" s="12" t="s">
        <v>260</v>
      </c>
      <c r="J39" s="12"/>
      <c r="K39" s="12"/>
      <c r="L39" s="12" t="s">
        <v>260</v>
      </c>
      <c r="M39" s="12"/>
      <c r="N39" s="12" t="s">
        <v>260</v>
      </c>
      <c r="O39" s="12"/>
      <c r="P39" s="7" t="s">
        <v>245</v>
      </c>
      <c r="Q39" s="7">
        <f t="shared" si="20"/>
        <v>5</v>
      </c>
      <c r="R39" s="7">
        <f t="shared" si="3"/>
        <v>4</v>
      </c>
      <c r="S39" s="7">
        <f t="shared" si="21"/>
        <v>3</v>
      </c>
      <c r="T39" s="7">
        <f t="shared" si="5"/>
        <v>6</v>
      </c>
      <c r="U39" s="7">
        <f t="shared" si="22"/>
        <v>4</v>
      </c>
      <c r="V39" s="7">
        <f t="shared" si="1"/>
        <v>1.5</v>
      </c>
      <c r="W39" s="7">
        <f t="shared" si="2"/>
        <v>23.5</v>
      </c>
      <c r="X39" s="7">
        <f t="shared" si="7"/>
        <v>1.18</v>
      </c>
      <c r="Y39" s="15">
        <f t="shared" si="8"/>
        <v>1180000</v>
      </c>
      <c r="Z39" s="18">
        <f t="shared" si="9"/>
        <v>1180000</v>
      </c>
    </row>
    <row r="40" spans="1:26" ht="64.8" x14ac:dyDescent="0.2">
      <c r="A40" s="93"/>
      <c r="B40" s="28"/>
      <c r="C40" s="7"/>
      <c r="D40" s="7" t="s">
        <v>146</v>
      </c>
      <c r="E40" s="7" t="s">
        <v>333</v>
      </c>
      <c r="F40" s="6" t="s">
        <v>334</v>
      </c>
      <c r="G40" s="12"/>
      <c r="H40" s="12"/>
      <c r="I40" s="12" t="s">
        <v>260</v>
      </c>
      <c r="J40" s="12"/>
      <c r="K40" s="12"/>
      <c r="L40" s="12" t="s">
        <v>260</v>
      </c>
      <c r="M40" s="12"/>
      <c r="N40" s="12" t="s">
        <v>260</v>
      </c>
      <c r="O40" s="12"/>
      <c r="P40" s="7" t="s">
        <v>246</v>
      </c>
      <c r="Q40" s="7">
        <f t="shared" si="20"/>
        <v>3</v>
      </c>
      <c r="R40" s="7">
        <f t="shared" si="3"/>
        <v>2.4000000000000004</v>
      </c>
      <c r="S40" s="7">
        <f t="shared" si="21"/>
        <v>1.7999999999999998</v>
      </c>
      <c r="T40" s="7">
        <f t="shared" si="5"/>
        <v>3.5999999999999996</v>
      </c>
      <c r="U40" s="7">
        <f t="shared" si="22"/>
        <v>2.4000000000000004</v>
      </c>
      <c r="V40" s="7">
        <f t="shared" si="1"/>
        <v>0.89999999999999991</v>
      </c>
      <c r="W40" s="7">
        <f t="shared" si="2"/>
        <v>14.100000000000001</v>
      </c>
      <c r="X40" s="7">
        <f t="shared" si="7"/>
        <v>0.71</v>
      </c>
      <c r="Y40" s="15">
        <f t="shared" si="8"/>
        <v>710000</v>
      </c>
      <c r="Z40" s="18">
        <f t="shared" si="9"/>
        <v>710000</v>
      </c>
    </row>
    <row r="41" spans="1:26" ht="32.4" x14ac:dyDescent="0.2">
      <c r="A41" s="93"/>
      <c r="B41" s="28"/>
      <c r="C41" s="7" t="s">
        <v>335</v>
      </c>
      <c r="D41" s="7" t="s">
        <v>273</v>
      </c>
      <c r="E41" s="7" t="s">
        <v>336</v>
      </c>
      <c r="F41" s="6" t="s">
        <v>337</v>
      </c>
      <c r="G41" s="12" t="s">
        <v>260</v>
      </c>
      <c r="H41" s="12"/>
      <c r="I41" s="12"/>
      <c r="J41" s="12"/>
      <c r="K41" s="12" t="s">
        <v>312</v>
      </c>
      <c r="L41" s="12"/>
      <c r="M41" s="12" t="s">
        <v>260</v>
      </c>
      <c r="N41" s="12"/>
      <c r="O41" s="12"/>
      <c r="P41" s="7" t="s">
        <v>246</v>
      </c>
      <c r="Q41" s="7">
        <f t="shared" si="20"/>
        <v>3</v>
      </c>
      <c r="R41" s="7">
        <f t="shared" si="3"/>
        <v>2.4000000000000004</v>
      </c>
      <c r="S41" s="7">
        <f t="shared" si="4"/>
        <v>1.7999999999999998</v>
      </c>
      <c r="T41" s="7">
        <f t="shared" si="5"/>
        <v>3.5999999999999996</v>
      </c>
      <c r="U41" s="7">
        <f t="shared" si="6"/>
        <v>2.4000000000000004</v>
      </c>
      <c r="V41" s="7">
        <f t="shared" si="1"/>
        <v>0.89999999999999991</v>
      </c>
      <c r="W41" s="7">
        <f t="shared" si="2"/>
        <v>14.100000000000001</v>
      </c>
      <c r="X41" s="7">
        <f t="shared" si="7"/>
        <v>0.71</v>
      </c>
      <c r="Y41" s="15">
        <f t="shared" si="8"/>
        <v>710000</v>
      </c>
      <c r="Z41" s="18">
        <f t="shared" si="9"/>
        <v>710000</v>
      </c>
    </row>
    <row r="42" spans="1:26" ht="48.6" x14ac:dyDescent="0.2">
      <c r="A42" s="93"/>
      <c r="B42" s="28"/>
      <c r="C42" s="7"/>
      <c r="D42" s="7" t="s">
        <v>273</v>
      </c>
      <c r="E42" s="7" t="s">
        <v>338</v>
      </c>
      <c r="F42" s="6" t="s">
        <v>339</v>
      </c>
      <c r="G42" s="12"/>
      <c r="H42" s="12" t="s">
        <v>260</v>
      </c>
      <c r="I42" s="12"/>
      <c r="J42" s="12"/>
      <c r="K42" s="12" t="s">
        <v>312</v>
      </c>
      <c r="L42" s="12"/>
      <c r="M42" s="12"/>
      <c r="N42" s="12" t="s">
        <v>260</v>
      </c>
      <c r="O42" s="12"/>
      <c r="P42" s="7" t="s">
        <v>246</v>
      </c>
      <c r="Q42" s="7">
        <f t="shared" si="20"/>
        <v>3</v>
      </c>
      <c r="R42" s="7">
        <f t="shared" si="3"/>
        <v>2.4000000000000004</v>
      </c>
      <c r="S42" s="7">
        <f t="shared" si="4"/>
        <v>1.7999999999999998</v>
      </c>
      <c r="T42" s="7">
        <f t="shared" si="5"/>
        <v>3.5999999999999996</v>
      </c>
      <c r="U42" s="7">
        <f t="shared" si="6"/>
        <v>2.4000000000000004</v>
      </c>
      <c r="V42" s="7">
        <f t="shared" si="1"/>
        <v>0.89999999999999991</v>
      </c>
      <c r="W42" s="7">
        <f t="shared" si="2"/>
        <v>14.100000000000001</v>
      </c>
      <c r="X42" s="7">
        <f t="shared" si="7"/>
        <v>0.71</v>
      </c>
      <c r="Y42" s="15">
        <f t="shared" si="8"/>
        <v>710000</v>
      </c>
      <c r="Z42" s="18">
        <f t="shared" si="9"/>
        <v>710000</v>
      </c>
    </row>
    <row r="43" spans="1:26" ht="32.4" x14ac:dyDescent="0.2">
      <c r="A43" s="93"/>
      <c r="B43" s="28"/>
      <c r="C43" s="7"/>
      <c r="D43" s="7" t="s">
        <v>273</v>
      </c>
      <c r="E43" s="7" t="s">
        <v>340</v>
      </c>
      <c r="F43" s="6" t="s">
        <v>341</v>
      </c>
      <c r="G43" s="12" t="s">
        <v>260</v>
      </c>
      <c r="H43" s="12"/>
      <c r="I43" s="12"/>
      <c r="J43" s="12"/>
      <c r="K43" s="12" t="s">
        <v>312</v>
      </c>
      <c r="L43" s="12"/>
      <c r="M43" s="12" t="s">
        <v>260</v>
      </c>
      <c r="N43" s="12"/>
      <c r="O43" s="12"/>
      <c r="P43" s="7" t="s">
        <v>245</v>
      </c>
      <c r="Q43" s="7">
        <f t="shared" si="20"/>
        <v>5</v>
      </c>
      <c r="R43" s="7">
        <f t="shared" si="3"/>
        <v>4</v>
      </c>
      <c r="S43" s="7">
        <f t="shared" si="4"/>
        <v>3</v>
      </c>
      <c r="T43" s="7">
        <f t="shared" si="5"/>
        <v>6</v>
      </c>
      <c r="U43" s="7">
        <f t="shared" si="6"/>
        <v>4</v>
      </c>
      <c r="V43" s="7">
        <f t="shared" si="1"/>
        <v>1.5</v>
      </c>
      <c r="W43" s="7">
        <f t="shared" si="2"/>
        <v>23.5</v>
      </c>
      <c r="X43" s="7">
        <f t="shared" si="7"/>
        <v>1.18</v>
      </c>
      <c r="Y43" s="15">
        <f t="shared" si="8"/>
        <v>1180000</v>
      </c>
      <c r="Z43" s="18">
        <f t="shared" si="9"/>
        <v>1180000</v>
      </c>
    </row>
    <row r="44" spans="1:26" ht="32.4" x14ac:dyDescent="0.2">
      <c r="A44" s="93"/>
      <c r="B44" s="28"/>
      <c r="C44" s="7"/>
      <c r="D44" s="7" t="s">
        <v>273</v>
      </c>
      <c r="E44" s="7" t="s">
        <v>342</v>
      </c>
      <c r="F44" s="6" t="s">
        <v>343</v>
      </c>
      <c r="G44" s="12"/>
      <c r="H44" s="12" t="s">
        <v>260</v>
      </c>
      <c r="I44" s="12"/>
      <c r="J44" s="12"/>
      <c r="K44" s="12" t="s">
        <v>312</v>
      </c>
      <c r="L44" s="12"/>
      <c r="M44" s="12"/>
      <c r="N44" s="12" t="s">
        <v>260</v>
      </c>
      <c r="O44" s="12"/>
      <c r="P44" s="7" t="s">
        <v>245</v>
      </c>
      <c r="Q44" s="7">
        <f t="shared" si="20"/>
        <v>5</v>
      </c>
      <c r="R44" s="7">
        <f t="shared" si="3"/>
        <v>4</v>
      </c>
      <c r="S44" s="7">
        <f t="shared" si="4"/>
        <v>3</v>
      </c>
      <c r="T44" s="7">
        <f t="shared" si="5"/>
        <v>6</v>
      </c>
      <c r="U44" s="7">
        <f t="shared" si="6"/>
        <v>4</v>
      </c>
      <c r="V44" s="7">
        <f t="shared" si="1"/>
        <v>1.5</v>
      </c>
      <c r="W44" s="7">
        <f t="shared" si="2"/>
        <v>23.5</v>
      </c>
      <c r="X44" s="7">
        <f t="shared" si="7"/>
        <v>1.18</v>
      </c>
      <c r="Y44" s="15">
        <f t="shared" si="8"/>
        <v>1180000</v>
      </c>
      <c r="Z44" s="18">
        <f t="shared" si="9"/>
        <v>1180000</v>
      </c>
    </row>
    <row r="45" spans="1:26" ht="32.4" x14ac:dyDescent="0.2">
      <c r="A45" s="93"/>
      <c r="B45" s="28"/>
      <c r="C45" s="7"/>
      <c r="D45" s="7" t="s">
        <v>286</v>
      </c>
      <c r="E45" s="7" t="s">
        <v>344</v>
      </c>
      <c r="F45" s="6" t="s">
        <v>345</v>
      </c>
      <c r="G45" s="12"/>
      <c r="H45" s="12"/>
      <c r="I45" s="12" t="s">
        <v>260</v>
      </c>
      <c r="J45" s="12"/>
      <c r="K45" s="12"/>
      <c r="L45" s="12" t="s">
        <v>260</v>
      </c>
      <c r="M45" s="12"/>
      <c r="N45" s="12" t="s">
        <v>260</v>
      </c>
      <c r="O45" s="12"/>
      <c r="P45" s="7" t="s">
        <v>245</v>
      </c>
      <c r="Q45" s="7">
        <f t="shared" si="20"/>
        <v>5</v>
      </c>
      <c r="R45" s="7">
        <f t="shared" si="3"/>
        <v>4</v>
      </c>
      <c r="S45" s="7">
        <f t="shared" si="4"/>
        <v>3</v>
      </c>
      <c r="T45" s="7">
        <f t="shared" si="5"/>
        <v>6</v>
      </c>
      <c r="U45" s="7">
        <f t="shared" si="6"/>
        <v>4</v>
      </c>
      <c r="V45" s="7">
        <f t="shared" si="1"/>
        <v>1.5</v>
      </c>
      <c r="W45" s="7">
        <f t="shared" si="2"/>
        <v>23.5</v>
      </c>
      <c r="X45" s="7">
        <f t="shared" si="7"/>
        <v>1.18</v>
      </c>
      <c r="Y45" s="15">
        <f t="shared" si="8"/>
        <v>1180000</v>
      </c>
      <c r="Z45" s="18">
        <f t="shared" si="9"/>
        <v>1180000</v>
      </c>
    </row>
    <row r="46" spans="1:26" ht="32.4" x14ac:dyDescent="0.2">
      <c r="A46" s="93"/>
      <c r="B46" s="28"/>
      <c r="C46" s="7"/>
      <c r="D46" s="7" t="s">
        <v>286</v>
      </c>
      <c r="E46" s="7" t="s">
        <v>346</v>
      </c>
      <c r="F46" s="6" t="s">
        <v>347</v>
      </c>
      <c r="G46" s="12"/>
      <c r="H46" s="12"/>
      <c r="I46" s="12" t="s">
        <v>260</v>
      </c>
      <c r="J46" s="12"/>
      <c r="K46" s="12"/>
      <c r="L46" s="12" t="s">
        <v>260</v>
      </c>
      <c r="M46" s="12"/>
      <c r="N46" s="12" t="s">
        <v>260</v>
      </c>
      <c r="O46" s="12"/>
      <c r="P46" s="7" t="s">
        <v>245</v>
      </c>
      <c r="Q46" s="7">
        <f t="shared" si="20"/>
        <v>5</v>
      </c>
      <c r="R46" s="7">
        <f t="shared" si="3"/>
        <v>4</v>
      </c>
      <c r="S46" s="7">
        <f t="shared" si="4"/>
        <v>3</v>
      </c>
      <c r="T46" s="7">
        <f t="shared" si="5"/>
        <v>6</v>
      </c>
      <c r="U46" s="7">
        <f t="shared" si="6"/>
        <v>4</v>
      </c>
      <c r="V46" s="7">
        <f t="shared" si="1"/>
        <v>1.5</v>
      </c>
      <c r="W46" s="7">
        <f t="shared" si="2"/>
        <v>23.5</v>
      </c>
      <c r="X46" s="7">
        <f t="shared" si="7"/>
        <v>1.18</v>
      </c>
      <c r="Y46" s="15">
        <f t="shared" si="8"/>
        <v>1180000</v>
      </c>
      <c r="Z46" s="18">
        <f t="shared" si="9"/>
        <v>1180000</v>
      </c>
    </row>
    <row r="47" spans="1:26" ht="48.6" x14ac:dyDescent="0.2">
      <c r="A47" s="93"/>
      <c r="B47" s="28"/>
      <c r="C47" s="7"/>
      <c r="D47" s="7" t="s">
        <v>348</v>
      </c>
      <c r="E47" s="7" t="s">
        <v>349</v>
      </c>
      <c r="F47" s="6" t="s">
        <v>350</v>
      </c>
      <c r="G47" s="12"/>
      <c r="H47" s="12"/>
      <c r="I47" s="12" t="s">
        <v>260</v>
      </c>
      <c r="J47" s="12"/>
      <c r="K47" s="12"/>
      <c r="L47" s="12" t="s">
        <v>260</v>
      </c>
      <c r="M47" s="12"/>
      <c r="N47" s="12" t="s">
        <v>260</v>
      </c>
      <c r="O47" s="12"/>
      <c r="P47" s="7" t="s">
        <v>294</v>
      </c>
      <c r="Q47" s="7">
        <f t="shared" si="20"/>
        <v>7</v>
      </c>
      <c r="R47" s="7">
        <f t="shared" si="3"/>
        <v>5.6000000000000005</v>
      </c>
      <c r="S47" s="7">
        <f t="shared" si="4"/>
        <v>4.2</v>
      </c>
      <c r="T47" s="7">
        <f t="shared" si="5"/>
        <v>8.4</v>
      </c>
      <c r="U47" s="7">
        <f t="shared" si="6"/>
        <v>5.6000000000000005</v>
      </c>
      <c r="V47" s="7">
        <f t="shared" si="1"/>
        <v>2.1</v>
      </c>
      <c r="W47" s="7">
        <f t="shared" si="2"/>
        <v>32.900000000000006</v>
      </c>
      <c r="X47" s="7">
        <f t="shared" si="7"/>
        <v>1.65</v>
      </c>
      <c r="Y47" s="15">
        <f t="shared" si="8"/>
        <v>1650000</v>
      </c>
      <c r="Z47" s="18">
        <f t="shared" si="9"/>
        <v>1650000</v>
      </c>
    </row>
    <row r="48" spans="1:26" ht="64.8" x14ac:dyDescent="0.2">
      <c r="A48" s="96"/>
      <c r="B48" s="28"/>
      <c r="C48" s="7"/>
      <c r="D48" s="7" t="s">
        <v>348</v>
      </c>
      <c r="E48" s="7" t="s">
        <v>351</v>
      </c>
      <c r="F48" s="6" t="s">
        <v>352</v>
      </c>
      <c r="G48" s="12"/>
      <c r="H48" s="12"/>
      <c r="I48" s="12" t="s">
        <v>260</v>
      </c>
      <c r="J48" s="12"/>
      <c r="K48" s="12"/>
      <c r="L48" s="12" t="s">
        <v>260</v>
      </c>
      <c r="M48" s="12"/>
      <c r="N48" s="12" t="s">
        <v>260</v>
      </c>
      <c r="O48" s="12"/>
      <c r="P48" s="7" t="s">
        <v>294</v>
      </c>
      <c r="Q48" s="7">
        <f t="shared" si="20"/>
        <v>7</v>
      </c>
      <c r="R48" s="7">
        <f t="shared" si="3"/>
        <v>5.6000000000000005</v>
      </c>
      <c r="S48" s="7">
        <f t="shared" si="4"/>
        <v>4.2</v>
      </c>
      <c r="T48" s="7">
        <f t="shared" si="5"/>
        <v>8.4</v>
      </c>
      <c r="U48" s="7">
        <f t="shared" si="6"/>
        <v>5.6000000000000005</v>
      </c>
      <c r="V48" s="7">
        <f t="shared" si="1"/>
        <v>2.1</v>
      </c>
      <c r="W48" s="7">
        <f t="shared" si="2"/>
        <v>32.900000000000006</v>
      </c>
      <c r="X48" s="7">
        <f t="shared" si="7"/>
        <v>1.65</v>
      </c>
      <c r="Y48" s="15">
        <f t="shared" si="8"/>
        <v>1650000</v>
      </c>
      <c r="Z48" s="18">
        <f t="shared" si="9"/>
        <v>1650000</v>
      </c>
    </row>
    <row r="49" spans="1:26" ht="48.6" x14ac:dyDescent="0.2">
      <c r="A49" s="93"/>
      <c r="B49" s="85"/>
      <c r="C49" s="86"/>
      <c r="D49" s="86" t="s">
        <v>300</v>
      </c>
      <c r="E49" s="86" t="s">
        <v>353</v>
      </c>
      <c r="F49" s="88" t="s">
        <v>354</v>
      </c>
      <c r="G49" s="89"/>
      <c r="H49" s="89"/>
      <c r="I49" s="89"/>
      <c r="J49" s="89" t="s">
        <v>260</v>
      </c>
      <c r="K49" s="89"/>
      <c r="L49" s="89" t="s">
        <v>260</v>
      </c>
      <c r="M49" s="89"/>
      <c r="N49" s="89"/>
      <c r="O49" s="89" t="s">
        <v>260</v>
      </c>
      <c r="P49" s="86" t="s">
        <v>245</v>
      </c>
      <c r="Q49" s="86"/>
      <c r="R49" s="86"/>
      <c r="S49" s="86"/>
      <c r="T49" s="86"/>
      <c r="U49" s="86"/>
      <c r="V49" s="86"/>
      <c r="W49" s="86"/>
      <c r="X49" s="86"/>
      <c r="Y49" s="90"/>
      <c r="Z49" s="91">
        <f t="shared" si="9"/>
        <v>0</v>
      </c>
    </row>
    <row r="50" spans="1:26" ht="48.6" x14ac:dyDescent="0.2">
      <c r="A50" s="93"/>
      <c r="B50" s="85"/>
      <c r="C50" s="86"/>
      <c r="D50" s="86" t="s">
        <v>300</v>
      </c>
      <c r="E50" s="86" t="s">
        <v>353</v>
      </c>
      <c r="F50" s="88" t="s">
        <v>355</v>
      </c>
      <c r="G50" s="89"/>
      <c r="H50" s="89"/>
      <c r="I50" s="89"/>
      <c r="J50" s="89" t="s">
        <v>260</v>
      </c>
      <c r="K50" s="89"/>
      <c r="L50" s="89" t="s">
        <v>260</v>
      </c>
      <c r="M50" s="89"/>
      <c r="N50" s="89"/>
      <c r="O50" s="89" t="s">
        <v>260</v>
      </c>
      <c r="P50" s="86" t="s">
        <v>246</v>
      </c>
      <c r="Q50" s="86"/>
      <c r="R50" s="86"/>
      <c r="S50" s="86"/>
      <c r="T50" s="86"/>
      <c r="U50" s="86"/>
      <c r="V50" s="86"/>
      <c r="W50" s="86"/>
      <c r="X50" s="86"/>
      <c r="Y50" s="90"/>
      <c r="Z50" s="91">
        <f t="shared" si="9"/>
        <v>0</v>
      </c>
    </row>
    <row r="51" spans="1:26" ht="64.8" x14ac:dyDescent="0.2">
      <c r="A51" s="93"/>
      <c r="B51" s="28"/>
      <c r="C51" s="7"/>
      <c r="D51" s="7" t="s">
        <v>300</v>
      </c>
      <c r="E51" s="7" t="s">
        <v>310</v>
      </c>
      <c r="F51" s="6" t="s">
        <v>356</v>
      </c>
      <c r="G51" s="12"/>
      <c r="H51" s="12"/>
      <c r="I51" s="12"/>
      <c r="J51" s="12" t="s">
        <v>312</v>
      </c>
      <c r="K51" s="12"/>
      <c r="L51" s="12" t="s">
        <v>312</v>
      </c>
      <c r="M51" s="12"/>
      <c r="N51" s="12"/>
      <c r="O51" s="12" t="s">
        <v>312</v>
      </c>
      <c r="P51" s="7" t="s">
        <v>246</v>
      </c>
      <c r="Q51" s="7">
        <f t="shared" ref="Q51:Q56" si="23">IFERROR(HLOOKUP(P51,AB$1:AF$2,2,FALSE),0)</f>
        <v>3</v>
      </c>
      <c r="R51" s="7">
        <f t="shared" ref="R51:R53" si="24">Q51*0.8</f>
        <v>2.4000000000000004</v>
      </c>
      <c r="S51" s="7">
        <f t="shared" ref="S51:S53" si="25">Q51*0.6</f>
        <v>1.7999999999999998</v>
      </c>
      <c r="T51" s="7">
        <f t="shared" ref="T51:T53" si="26">Q51*1.2</f>
        <v>3.5999999999999996</v>
      </c>
      <c r="U51" s="7">
        <f t="shared" ref="U51:U53" si="27">Q51*0.8</f>
        <v>2.4000000000000004</v>
      </c>
      <c r="V51" s="7">
        <f t="shared" ref="V51:V53" si="28">Q51*0.3</f>
        <v>0.89999999999999991</v>
      </c>
      <c r="W51" s="7">
        <f t="shared" ref="W51:W53" si="29">SUM(Q51:V51)</f>
        <v>14.100000000000001</v>
      </c>
      <c r="X51" s="7">
        <f t="shared" ref="X51:X53" si="30">ROUNDUP(W51/20,2)</f>
        <v>0.71</v>
      </c>
      <c r="Y51" s="15">
        <f t="shared" ref="Y51:Y53" si="31">Z51</f>
        <v>710000</v>
      </c>
      <c r="Z51" s="18">
        <f t="shared" si="9"/>
        <v>710000</v>
      </c>
    </row>
    <row r="52" spans="1:26" ht="64.8" x14ac:dyDescent="0.2">
      <c r="A52" s="93"/>
      <c r="B52" s="28"/>
      <c r="C52" s="7"/>
      <c r="D52" s="7" t="s">
        <v>300</v>
      </c>
      <c r="E52" s="7" t="s">
        <v>313</v>
      </c>
      <c r="F52" s="6" t="s">
        <v>357</v>
      </c>
      <c r="G52" s="12"/>
      <c r="H52" s="12"/>
      <c r="I52" s="12"/>
      <c r="J52" s="12" t="s">
        <v>312</v>
      </c>
      <c r="K52" s="12"/>
      <c r="L52" s="12" t="s">
        <v>312</v>
      </c>
      <c r="M52" s="12"/>
      <c r="N52" s="12"/>
      <c r="O52" s="12" t="s">
        <v>312</v>
      </c>
      <c r="P52" s="7" t="s">
        <v>246</v>
      </c>
      <c r="Q52" s="7">
        <f t="shared" si="23"/>
        <v>3</v>
      </c>
      <c r="R52" s="7">
        <f t="shared" si="24"/>
        <v>2.4000000000000004</v>
      </c>
      <c r="S52" s="7">
        <f t="shared" si="25"/>
        <v>1.7999999999999998</v>
      </c>
      <c r="T52" s="7">
        <f t="shared" si="26"/>
        <v>3.5999999999999996</v>
      </c>
      <c r="U52" s="7">
        <f t="shared" si="27"/>
        <v>2.4000000000000004</v>
      </c>
      <c r="V52" s="7">
        <f t="shared" si="28"/>
        <v>0.89999999999999991</v>
      </c>
      <c r="W52" s="7">
        <f t="shared" si="29"/>
        <v>14.100000000000001</v>
      </c>
      <c r="X52" s="7">
        <f t="shared" si="30"/>
        <v>0.71</v>
      </c>
      <c r="Y52" s="15">
        <f t="shared" si="31"/>
        <v>710000</v>
      </c>
      <c r="Z52" s="18">
        <f t="shared" si="9"/>
        <v>710000</v>
      </c>
    </row>
    <row r="53" spans="1:26" ht="81" x14ac:dyDescent="0.2">
      <c r="A53" s="93"/>
      <c r="B53" s="28"/>
      <c r="C53" s="7"/>
      <c r="D53" s="7" t="s">
        <v>300</v>
      </c>
      <c r="E53" s="7" t="s">
        <v>315</v>
      </c>
      <c r="F53" s="6" t="s">
        <v>358</v>
      </c>
      <c r="G53" s="12"/>
      <c r="H53" s="12"/>
      <c r="I53" s="12"/>
      <c r="J53" s="12" t="s">
        <v>312</v>
      </c>
      <c r="K53" s="12"/>
      <c r="L53" s="12" t="s">
        <v>312</v>
      </c>
      <c r="M53" s="12"/>
      <c r="N53" s="12"/>
      <c r="O53" s="12" t="s">
        <v>312</v>
      </c>
      <c r="P53" s="7" t="s">
        <v>246</v>
      </c>
      <c r="Q53" s="7">
        <f t="shared" si="23"/>
        <v>3</v>
      </c>
      <c r="R53" s="7">
        <f t="shared" si="24"/>
        <v>2.4000000000000004</v>
      </c>
      <c r="S53" s="7">
        <f t="shared" si="25"/>
        <v>1.7999999999999998</v>
      </c>
      <c r="T53" s="7">
        <f t="shared" si="26"/>
        <v>3.5999999999999996</v>
      </c>
      <c r="U53" s="7">
        <f t="shared" si="27"/>
        <v>2.4000000000000004</v>
      </c>
      <c r="V53" s="7">
        <f t="shared" si="28"/>
        <v>0.89999999999999991</v>
      </c>
      <c r="W53" s="7">
        <f t="shared" si="29"/>
        <v>14.100000000000001</v>
      </c>
      <c r="X53" s="7">
        <f t="shared" si="30"/>
        <v>0.71</v>
      </c>
      <c r="Y53" s="15">
        <f t="shared" si="31"/>
        <v>710000</v>
      </c>
      <c r="Z53" s="18">
        <f t="shared" si="9"/>
        <v>710000</v>
      </c>
    </row>
    <row r="54" spans="1:26" ht="48.6" x14ac:dyDescent="0.2">
      <c r="A54" s="93"/>
      <c r="B54" s="28"/>
      <c r="C54" s="7" t="s">
        <v>191</v>
      </c>
      <c r="D54" s="7" t="s">
        <v>146</v>
      </c>
      <c r="E54" s="7" t="s">
        <v>359</v>
      </c>
      <c r="F54" s="6" t="s">
        <v>360</v>
      </c>
      <c r="G54" s="12"/>
      <c r="H54" s="12" t="s">
        <v>260</v>
      </c>
      <c r="I54" s="12"/>
      <c r="J54" s="12"/>
      <c r="K54" s="12" t="s">
        <v>312</v>
      </c>
      <c r="L54" s="12"/>
      <c r="M54" s="12"/>
      <c r="N54" s="12" t="s">
        <v>312</v>
      </c>
      <c r="O54" s="12"/>
      <c r="P54" s="7" t="s">
        <v>245</v>
      </c>
      <c r="Q54" s="7">
        <f t="shared" si="23"/>
        <v>5</v>
      </c>
      <c r="R54" s="7">
        <f t="shared" si="3"/>
        <v>4</v>
      </c>
      <c r="S54" s="7">
        <f t="shared" si="4"/>
        <v>3</v>
      </c>
      <c r="T54" s="7">
        <f t="shared" si="5"/>
        <v>6</v>
      </c>
      <c r="U54" s="7">
        <f t="shared" si="6"/>
        <v>4</v>
      </c>
      <c r="V54" s="7">
        <f t="shared" si="1"/>
        <v>1.5</v>
      </c>
      <c r="W54" s="7">
        <f t="shared" si="2"/>
        <v>23.5</v>
      </c>
      <c r="X54" s="7">
        <f t="shared" si="7"/>
        <v>1.18</v>
      </c>
      <c r="Y54" s="15">
        <f t="shared" si="8"/>
        <v>1180000</v>
      </c>
      <c r="Z54" s="18">
        <f t="shared" si="9"/>
        <v>1180000</v>
      </c>
    </row>
    <row r="55" spans="1:26" ht="48.6" x14ac:dyDescent="0.2">
      <c r="A55" s="93"/>
      <c r="B55" s="28"/>
      <c r="C55" s="7"/>
      <c r="D55" s="7" t="s">
        <v>146</v>
      </c>
      <c r="E55" s="7" t="s">
        <v>361</v>
      </c>
      <c r="F55" s="6" t="s">
        <v>362</v>
      </c>
      <c r="G55" s="12" t="s">
        <v>260</v>
      </c>
      <c r="H55" s="12"/>
      <c r="I55" s="12"/>
      <c r="J55" s="12"/>
      <c r="K55" s="12" t="s">
        <v>312</v>
      </c>
      <c r="L55" s="12"/>
      <c r="M55" s="12" t="s">
        <v>260</v>
      </c>
      <c r="N55" s="12"/>
      <c r="O55" s="12"/>
      <c r="P55" s="7" t="s">
        <v>245</v>
      </c>
      <c r="Q55" s="7">
        <f t="shared" si="23"/>
        <v>5</v>
      </c>
      <c r="R55" s="7">
        <f t="shared" si="3"/>
        <v>4</v>
      </c>
      <c r="S55" s="7">
        <f t="shared" si="4"/>
        <v>3</v>
      </c>
      <c r="T55" s="7">
        <f t="shared" si="5"/>
        <v>6</v>
      </c>
      <c r="U55" s="7">
        <f t="shared" si="6"/>
        <v>4</v>
      </c>
      <c r="V55" s="7">
        <f t="shared" si="1"/>
        <v>1.5</v>
      </c>
      <c r="W55" s="7">
        <f t="shared" si="2"/>
        <v>23.5</v>
      </c>
      <c r="X55" s="7">
        <f t="shared" si="7"/>
        <v>1.18</v>
      </c>
      <c r="Y55" s="15">
        <f t="shared" si="8"/>
        <v>1180000</v>
      </c>
      <c r="Z55" s="18">
        <f t="shared" si="9"/>
        <v>1180000</v>
      </c>
    </row>
    <row r="56" spans="1:26" ht="32.4" x14ac:dyDescent="0.2">
      <c r="A56" s="93"/>
      <c r="B56" s="28"/>
      <c r="C56" s="7"/>
      <c r="D56" s="7" t="s">
        <v>146</v>
      </c>
      <c r="E56" s="7" t="s">
        <v>363</v>
      </c>
      <c r="F56" s="6" t="s">
        <v>364</v>
      </c>
      <c r="G56" s="12"/>
      <c r="H56" s="12" t="s">
        <v>260</v>
      </c>
      <c r="I56" s="12"/>
      <c r="J56" s="12"/>
      <c r="K56" s="12" t="s">
        <v>312</v>
      </c>
      <c r="L56" s="12"/>
      <c r="M56" s="12"/>
      <c r="N56" s="12" t="s">
        <v>312</v>
      </c>
      <c r="O56" s="12"/>
      <c r="P56" s="7" t="s">
        <v>245</v>
      </c>
      <c r="Q56" s="7">
        <f t="shared" si="23"/>
        <v>5</v>
      </c>
      <c r="R56" s="7">
        <f t="shared" si="3"/>
        <v>4</v>
      </c>
      <c r="S56" s="7">
        <f t="shared" si="4"/>
        <v>3</v>
      </c>
      <c r="T56" s="7">
        <f t="shared" si="5"/>
        <v>6</v>
      </c>
      <c r="U56" s="7">
        <f t="shared" si="6"/>
        <v>4</v>
      </c>
      <c r="V56" s="7">
        <f t="shared" si="1"/>
        <v>1.5</v>
      </c>
      <c r="W56" s="7">
        <f t="shared" ref="W56" si="32">SUM(Q56:V56)</f>
        <v>23.5</v>
      </c>
      <c r="X56" s="7">
        <f t="shared" si="7"/>
        <v>1.18</v>
      </c>
      <c r="Y56" s="15">
        <f t="shared" si="8"/>
        <v>1180000</v>
      </c>
      <c r="Z56" s="18">
        <f t="shared" si="9"/>
        <v>1180000</v>
      </c>
    </row>
    <row r="57" spans="1:26" ht="64.8" x14ac:dyDescent="0.2">
      <c r="A57" s="93"/>
      <c r="B57" s="28"/>
      <c r="C57" s="7"/>
      <c r="D57" s="7" t="s">
        <v>146</v>
      </c>
      <c r="E57" s="7" t="s">
        <v>365</v>
      </c>
      <c r="F57" s="6" t="s">
        <v>366</v>
      </c>
      <c r="G57" s="12"/>
      <c r="H57" s="12" t="s">
        <v>260</v>
      </c>
      <c r="I57" s="12"/>
      <c r="J57" s="12"/>
      <c r="K57" s="12" t="s">
        <v>312</v>
      </c>
      <c r="L57" s="12"/>
      <c r="M57" s="12"/>
      <c r="N57" s="12" t="s">
        <v>312</v>
      </c>
      <c r="O57" s="12"/>
      <c r="P57" s="7"/>
      <c r="Q57" s="7"/>
      <c r="R57" s="7"/>
      <c r="S57" s="7"/>
      <c r="T57" s="7"/>
      <c r="U57" s="7"/>
      <c r="V57" s="7"/>
      <c r="W57" s="7"/>
      <c r="X57" s="7"/>
      <c r="Y57" s="15"/>
      <c r="Z57" s="18"/>
    </row>
    <row r="58" spans="1:26" ht="48.6" x14ac:dyDescent="0.2">
      <c r="A58" s="96"/>
      <c r="B58" s="28"/>
      <c r="C58" s="7"/>
      <c r="D58" s="7" t="s">
        <v>300</v>
      </c>
      <c r="E58" s="7" t="s">
        <v>367</v>
      </c>
      <c r="F58" s="6" t="s">
        <v>368</v>
      </c>
      <c r="G58" s="12"/>
      <c r="H58" s="12"/>
      <c r="I58" s="12" t="s">
        <v>260</v>
      </c>
      <c r="J58" s="12"/>
      <c r="K58" s="12"/>
      <c r="L58" s="12" t="s">
        <v>260</v>
      </c>
      <c r="M58" s="12"/>
      <c r="N58" s="12" t="s">
        <v>260</v>
      </c>
      <c r="O58" s="12"/>
      <c r="P58" s="7" t="s">
        <v>297</v>
      </c>
      <c r="Q58" s="7">
        <f t="shared" ref="Q58:Q66" si="33">IFERROR(HLOOKUP(P58,AB$1:AF$2,2,FALSE),0)</f>
        <v>10</v>
      </c>
      <c r="R58" s="7">
        <f t="shared" ref="R58" si="34">Q58*0.8</f>
        <v>8</v>
      </c>
      <c r="S58" s="7">
        <f t="shared" ref="S58" si="35">Q58*0.6</f>
        <v>6</v>
      </c>
      <c r="T58" s="7">
        <f t="shared" ref="T58" si="36">Q58*1.2</f>
        <v>12</v>
      </c>
      <c r="U58" s="7">
        <f t="shared" ref="U58" si="37">Q58*0.8</f>
        <v>8</v>
      </c>
      <c r="V58" s="7">
        <f t="shared" si="1"/>
        <v>3</v>
      </c>
      <c r="W58" s="7">
        <f t="shared" si="2"/>
        <v>47</v>
      </c>
      <c r="X58" s="7">
        <f t="shared" si="7"/>
        <v>2.35</v>
      </c>
      <c r="Y58" s="15">
        <f t="shared" si="8"/>
        <v>2350000</v>
      </c>
      <c r="Z58" s="18">
        <f t="shared" si="9"/>
        <v>2350000</v>
      </c>
    </row>
    <row r="59" spans="1:26" ht="48.6" x14ac:dyDescent="0.2">
      <c r="A59" s="96"/>
      <c r="B59" s="28"/>
      <c r="C59" s="7"/>
      <c r="D59" s="7" t="s">
        <v>348</v>
      </c>
      <c r="E59" s="7" t="s">
        <v>369</v>
      </c>
      <c r="F59" s="6" t="s">
        <v>370</v>
      </c>
      <c r="G59" s="12"/>
      <c r="H59" s="12"/>
      <c r="I59" s="12" t="s">
        <v>260</v>
      </c>
      <c r="J59" s="12"/>
      <c r="K59" s="12"/>
      <c r="L59" s="12" t="s">
        <v>260</v>
      </c>
      <c r="M59" s="12"/>
      <c r="N59" s="12" t="s">
        <v>260</v>
      </c>
      <c r="O59" s="12"/>
      <c r="P59" s="7" t="s">
        <v>294</v>
      </c>
      <c r="Q59" s="7">
        <f t="shared" si="33"/>
        <v>7</v>
      </c>
      <c r="R59" s="7">
        <f t="shared" si="3"/>
        <v>5.6000000000000005</v>
      </c>
      <c r="S59" s="7">
        <f t="shared" si="4"/>
        <v>4.2</v>
      </c>
      <c r="T59" s="7">
        <f t="shared" si="5"/>
        <v>8.4</v>
      </c>
      <c r="U59" s="7">
        <f t="shared" si="6"/>
        <v>5.6000000000000005</v>
      </c>
      <c r="V59" s="7">
        <f t="shared" si="1"/>
        <v>2.1</v>
      </c>
      <c r="W59" s="7">
        <f t="shared" si="2"/>
        <v>32.900000000000006</v>
      </c>
      <c r="X59" s="7">
        <f t="shared" si="7"/>
        <v>1.65</v>
      </c>
      <c r="Y59" s="15">
        <f t="shared" si="8"/>
        <v>1650000</v>
      </c>
      <c r="Z59" s="18">
        <f t="shared" si="9"/>
        <v>1650000</v>
      </c>
    </row>
    <row r="60" spans="1:26" ht="48.6" x14ac:dyDescent="0.2">
      <c r="A60" s="93"/>
      <c r="B60" s="28"/>
      <c r="C60" s="7"/>
      <c r="D60" s="7" t="s">
        <v>300</v>
      </c>
      <c r="E60" s="7" t="s">
        <v>371</v>
      </c>
      <c r="F60" s="6" t="s">
        <v>372</v>
      </c>
      <c r="G60" s="12"/>
      <c r="H60" s="12"/>
      <c r="I60" s="12" t="s">
        <v>260</v>
      </c>
      <c r="J60" s="12"/>
      <c r="K60" s="12"/>
      <c r="L60" s="12" t="s">
        <v>260</v>
      </c>
      <c r="M60" s="12"/>
      <c r="N60" s="12" t="s">
        <v>260</v>
      </c>
      <c r="O60" s="12"/>
      <c r="P60" s="7" t="s">
        <v>245</v>
      </c>
      <c r="Q60" s="7">
        <f t="shared" si="33"/>
        <v>5</v>
      </c>
      <c r="R60" s="7">
        <f t="shared" si="3"/>
        <v>4</v>
      </c>
      <c r="S60" s="7">
        <f t="shared" si="4"/>
        <v>3</v>
      </c>
      <c r="T60" s="7">
        <f t="shared" si="5"/>
        <v>6</v>
      </c>
      <c r="U60" s="7">
        <f t="shared" si="6"/>
        <v>4</v>
      </c>
      <c r="V60" s="7">
        <f t="shared" si="1"/>
        <v>1.5</v>
      </c>
      <c r="W60" s="7">
        <f t="shared" si="2"/>
        <v>23.5</v>
      </c>
      <c r="X60" s="7">
        <f t="shared" si="7"/>
        <v>1.18</v>
      </c>
      <c r="Y60" s="15">
        <f t="shared" si="8"/>
        <v>1180000</v>
      </c>
      <c r="Z60" s="18">
        <f t="shared" si="9"/>
        <v>1180000</v>
      </c>
    </row>
    <row r="61" spans="1:26" ht="48.6" x14ac:dyDescent="0.2">
      <c r="A61" s="93"/>
      <c r="B61" s="28"/>
      <c r="C61" s="7"/>
      <c r="D61" s="7" t="s">
        <v>300</v>
      </c>
      <c r="E61" s="7" t="s">
        <v>373</v>
      </c>
      <c r="F61" s="6" t="s">
        <v>374</v>
      </c>
      <c r="G61" s="12"/>
      <c r="H61" s="12"/>
      <c r="I61" s="12"/>
      <c r="J61" s="12" t="s">
        <v>312</v>
      </c>
      <c r="K61" s="12"/>
      <c r="L61" s="12" t="s">
        <v>312</v>
      </c>
      <c r="M61" s="12"/>
      <c r="N61" s="12"/>
      <c r="O61" s="12" t="s">
        <v>312</v>
      </c>
      <c r="P61" s="7" t="s">
        <v>245</v>
      </c>
      <c r="Q61" s="7">
        <f t="shared" si="33"/>
        <v>5</v>
      </c>
      <c r="R61" s="7">
        <f t="shared" si="3"/>
        <v>4</v>
      </c>
      <c r="S61" s="7">
        <f t="shared" si="4"/>
        <v>3</v>
      </c>
      <c r="T61" s="7">
        <f t="shared" si="5"/>
        <v>6</v>
      </c>
      <c r="U61" s="7">
        <f t="shared" si="6"/>
        <v>4</v>
      </c>
      <c r="V61" s="7">
        <f t="shared" si="1"/>
        <v>1.5</v>
      </c>
      <c r="W61" s="7">
        <f t="shared" si="2"/>
        <v>23.5</v>
      </c>
      <c r="X61" s="7">
        <f t="shared" si="7"/>
        <v>1.18</v>
      </c>
      <c r="Y61" s="15">
        <f t="shared" si="8"/>
        <v>1180000</v>
      </c>
      <c r="Z61" s="18">
        <f t="shared" si="9"/>
        <v>1180000</v>
      </c>
    </row>
    <row r="62" spans="1:26" ht="48.6" x14ac:dyDescent="0.2">
      <c r="A62" s="93"/>
      <c r="B62" s="27" t="s">
        <v>375</v>
      </c>
      <c r="C62" s="7"/>
      <c r="D62" s="7" t="s">
        <v>146</v>
      </c>
      <c r="E62" s="7" t="s">
        <v>376</v>
      </c>
      <c r="F62" s="6" t="s">
        <v>377</v>
      </c>
      <c r="G62" s="12" t="s">
        <v>312</v>
      </c>
      <c r="H62" s="12"/>
      <c r="I62" s="12"/>
      <c r="J62" s="12"/>
      <c r="K62" s="12" t="s">
        <v>312</v>
      </c>
      <c r="L62" s="12"/>
      <c r="M62" s="12" t="s">
        <v>312</v>
      </c>
      <c r="N62" s="12"/>
      <c r="O62" s="12"/>
      <c r="P62" s="7" t="s">
        <v>246</v>
      </c>
      <c r="Q62" s="7">
        <f t="shared" si="33"/>
        <v>3</v>
      </c>
      <c r="R62" s="7">
        <f>Q62*0.8</f>
        <v>2.4000000000000004</v>
      </c>
      <c r="S62" s="7">
        <f>Q62*0.6</f>
        <v>1.7999999999999998</v>
      </c>
      <c r="T62" s="7">
        <f t="shared" si="5"/>
        <v>3.5999999999999996</v>
      </c>
      <c r="U62" s="7">
        <f>Q62*0.8</f>
        <v>2.4000000000000004</v>
      </c>
      <c r="V62" s="7">
        <f t="shared" si="1"/>
        <v>0.89999999999999991</v>
      </c>
      <c r="W62" s="7">
        <f t="shared" si="2"/>
        <v>14.100000000000001</v>
      </c>
      <c r="X62" s="7">
        <f t="shared" si="7"/>
        <v>0.71</v>
      </c>
      <c r="Y62" s="15">
        <f t="shared" si="8"/>
        <v>710000</v>
      </c>
      <c r="Z62" s="18">
        <f t="shared" si="9"/>
        <v>710000</v>
      </c>
    </row>
    <row r="63" spans="1:26" ht="48.6" x14ac:dyDescent="0.2">
      <c r="A63" s="93"/>
      <c r="B63" s="28"/>
      <c r="C63" s="7"/>
      <c r="D63" s="7" t="s">
        <v>146</v>
      </c>
      <c r="E63" s="7" t="s">
        <v>378</v>
      </c>
      <c r="F63" s="6" t="s">
        <v>379</v>
      </c>
      <c r="G63" s="12"/>
      <c r="H63" s="12" t="s">
        <v>260</v>
      </c>
      <c r="I63" s="12"/>
      <c r="J63" s="12"/>
      <c r="K63" s="12" t="s">
        <v>312</v>
      </c>
      <c r="L63" s="12"/>
      <c r="M63" s="12"/>
      <c r="N63" s="12" t="s">
        <v>312</v>
      </c>
      <c r="O63" s="12"/>
      <c r="P63" s="7" t="s">
        <v>246</v>
      </c>
      <c r="Q63" s="7">
        <f t="shared" si="33"/>
        <v>3</v>
      </c>
      <c r="R63" s="7">
        <f t="shared" ref="R63:R64" si="38">Q63*0.8</f>
        <v>2.4000000000000004</v>
      </c>
      <c r="S63" s="7">
        <f t="shared" ref="S63:S64" si="39">Q63*0.6</f>
        <v>1.7999999999999998</v>
      </c>
      <c r="T63" s="7">
        <f t="shared" si="5"/>
        <v>3.5999999999999996</v>
      </c>
      <c r="U63" s="7">
        <f t="shared" ref="U63:U64" si="40">Q63*0.8</f>
        <v>2.4000000000000004</v>
      </c>
      <c r="V63" s="7">
        <f t="shared" si="1"/>
        <v>0.89999999999999991</v>
      </c>
      <c r="W63" s="7">
        <f t="shared" si="2"/>
        <v>14.100000000000001</v>
      </c>
      <c r="X63" s="7">
        <f t="shared" si="7"/>
        <v>0.71</v>
      </c>
      <c r="Y63" s="15">
        <f t="shared" si="8"/>
        <v>710000</v>
      </c>
      <c r="Z63" s="18">
        <f t="shared" si="9"/>
        <v>710000</v>
      </c>
    </row>
    <row r="64" spans="1:26" ht="48.6" x14ac:dyDescent="0.2">
      <c r="A64" s="93"/>
      <c r="B64" s="28"/>
      <c r="C64" s="7"/>
      <c r="D64" s="7" t="s">
        <v>146</v>
      </c>
      <c r="E64" s="7" t="s">
        <v>380</v>
      </c>
      <c r="F64" s="6" t="s">
        <v>381</v>
      </c>
      <c r="G64" s="12"/>
      <c r="H64" s="12"/>
      <c r="I64" s="12" t="s">
        <v>260</v>
      </c>
      <c r="J64" s="12"/>
      <c r="K64" s="12"/>
      <c r="L64" s="12" t="s">
        <v>260</v>
      </c>
      <c r="M64" s="12"/>
      <c r="N64" s="12" t="s">
        <v>260</v>
      </c>
      <c r="O64" s="12"/>
      <c r="P64" s="7" t="s">
        <v>294</v>
      </c>
      <c r="Q64" s="7">
        <f t="shared" si="33"/>
        <v>7</v>
      </c>
      <c r="R64" s="7">
        <f t="shared" si="38"/>
        <v>5.6000000000000005</v>
      </c>
      <c r="S64" s="7">
        <f t="shared" si="39"/>
        <v>4.2</v>
      </c>
      <c r="T64" s="7">
        <f t="shared" si="5"/>
        <v>8.4</v>
      </c>
      <c r="U64" s="7">
        <f t="shared" si="40"/>
        <v>5.6000000000000005</v>
      </c>
      <c r="V64" s="7">
        <f t="shared" si="1"/>
        <v>2.1</v>
      </c>
      <c r="W64" s="7">
        <f t="shared" ref="W64" si="41">SUM(Q64:V64)</f>
        <v>32.900000000000006</v>
      </c>
      <c r="X64" s="7">
        <f t="shared" si="7"/>
        <v>1.65</v>
      </c>
      <c r="Y64" s="15">
        <f t="shared" si="8"/>
        <v>1650000</v>
      </c>
      <c r="Z64" s="18">
        <f t="shared" si="9"/>
        <v>1650000</v>
      </c>
    </row>
    <row r="65" spans="1:26" ht="48.6" x14ac:dyDescent="0.2">
      <c r="A65" s="93"/>
      <c r="B65" s="28"/>
      <c r="C65" s="7"/>
      <c r="D65" s="7" t="s">
        <v>146</v>
      </c>
      <c r="E65" s="7" t="s">
        <v>382</v>
      </c>
      <c r="F65" s="6" t="s">
        <v>383</v>
      </c>
      <c r="G65" s="12" t="s">
        <v>260</v>
      </c>
      <c r="H65" s="12"/>
      <c r="I65" s="12"/>
      <c r="J65" s="12"/>
      <c r="K65" s="12" t="s">
        <v>312</v>
      </c>
      <c r="L65" s="12"/>
      <c r="M65" s="12" t="s">
        <v>260</v>
      </c>
      <c r="N65" s="12"/>
      <c r="O65" s="12"/>
      <c r="P65" s="7" t="s">
        <v>297</v>
      </c>
      <c r="Q65" s="7">
        <f t="shared" si="33"/>
        <v>10</v>
      </c>
      <c r="R65" s="7">
        <f t="shared" si="3"/>
        <v>8</v>
      </c>
      <c r="S65" s="7">
        <f t="shared" si="4"/>
        <v>6</v>
      </c>
      <c r="T65" s="7">
        <f t="shared" si="5"/>
        <v>12</v>
      </c>
      <c r="U65" s="7">
        <f t="shared" si="6"/>
        <v>8</v>
      </c>
      <c r="V65" s="7">
        <f t="shared" si="1"/>
        <v>3</v>
      </c>
      <c r="W65" s="7">
        <f t="shared" si="2"/>
        <v>47</v>
      </c>
      <c r="X65" s="7">
        <f t="shared" si="7"/>
        <v>2.35</v>
      </c>
      <c r="Y65" s="15">
        <f t="shared" si="8"/>
        <v>2350000</v>
      </c>
      <c r="Z65" s="18">
        <f t="shared" si="9"/>
        <v>2350000</v>
      </c>
    </row>
    <row r="66" spans="1:26" ht="81" x14ac:dyDescent="0.2">
      <c r="A66" s="96"/>
      <c r="B66" s="28"/>
      <c r="C66" s="7"/>
      <c r="D66" s="7" t="s">
        <v>146</v>
      </c>
      <c r="E66" s="7" t="s">
        <v>384</v>
      </c>
      <c r="F66" s="6" t="s">
        <v>385</v>
      </c>
      <c r="G66" s="13" t="s">
        <v>312</v>
      </c>
      <c r="H66" s="13"/>
      <c r="I66" s="13"/>
      <c r="J66" s="13"/>
      <c r="K66" s="12" t="s">
        <v>312</v>
      </c>
      <c r="L66" s="13"/>
      <c r="M66" s="13" t="s">
        <v>312</v>
      </c>
      <c r="N66" s="13"/>
      <c r="O66" s="13"/>
      <c r="P66" s="7" t="s">
        <v>386</v>
      </c>
      <c r="Q66" s="7">
        <f t="shared" si="33"/>
        <v>7</v>
      </c>
      <c r="R66" s="7">
        <f t="shared" si="3"/>
        <v>5.6000000000000005</v>
      </c>
      <c r="S66" s="7">
        <f t="shared" si="4"/>
        <v>4.2</v>
      </c>
      <c r="T66" s="7">
        <f t="shared" si="5"/>
        <v>8.4</v>
      </c>
      <c r="U66" s="7">
        <f t="shared" si="6"/>
        <v>5.6000000000000005</v>
      </c>
      <c r="V66" s="7">
        <f t="shared" si="1"/>
        <v>2.1</v>
      </c>
      <c r="W66" s="7">
        <f t="shared" si="2"/>
        <v>32.900000000000006</v>
      </c>
      <c r="X66" s="7">
        <f t="shared" si="7"/>
        <v>1.65</v>
      </c>
      <c r="Y66" s="15">
        <f t="shared" si="8"/>
        <v>1650000</v>
      </c>
      <c r="Z66" s="18">
        <f t="shared" si="9"/>
        <v>1650000</v>
      </c>
    </row>
    <row r="67" spans="1:26" hidden="1" x14ac:dyDescent="0.2">
      <c r="A67" s="93"/>
      <c r="B67" s="301" t="s">
        <v>387</v>
      </c>
      <c r="C67" s="302"/>
      <c r="D67" s="302"/>
      <c r="E67" s="302"/>
      <c r="F67" s="302"/>
      <c r="G67" s="9"/>
      <c r="H67" s="9"/>
      <c r="I67" s="9"/>
      <c r="J67" s="9"/>
      <c r="K67" s="9"/>
      <c r="L67" s="9"/>
      <c r="M67" s="9"/>
      <c r="N67" s="9"/>
      <c r="O67" s="9"/>
      <c r="P67" s="9" t="s">
        <v>217</v>
      </c>
      <c r="Q67" s="10">
        <f t="shared" ref="Q67:V67" si="42">SUM(Q6:Q66)</f>
        <v>250</v>
      </c>
      <c r="R67" s="10">
        <f t="shared" si="42"/>
        <v>200.00000000000009</v>
      </c>
      <c r="S67" s="10">
        <f t="shared" si="42"/>
        <v>149.99999999999997</v>
      </c>
      <c r="T67" s="10">
        <f t="shared" si="42"/>
        <v>299.99999999999994</v>
      </c>
      <c r="U67" s="10">
        <f t="shared" si="42"/>
        <v>200.00000000000009</v>
      </c>
      <c r="V67" s="10">
        <f t="shared" si="42"/>
        <v>74.999999999999986</v>
      </c>
      <c r="W67" s="10">
        <f t="shared" si="2"/>
        <v>1175</v>
      </c>
      <c r="X67" s="9"/>
      <c r="Y67" s="16"/>
      <c r="Z67" s="18"/>
    </row>
    <row r="68" spans="1:26" ht="16.8" hidden="1" thickBot="1" x14ac:dyDescent="0.25">
      <c r="A68" s="93"/>
      <c r="B68" s="303" t="s">
        <v>388</v>
      </c>
      <c r="C68" s="304"/>
      <c r="D68" s="304"/>
      <c r="E68" s="304"/>
      <c r="F68" s="304"/>
      <c r="G68" s="8"/>
      <c r="H68" s="8"/>
      <c r="I68" s="8"/>
      <c r="J68" s="8"/>
      <c r="K68" s="8"/>
      <c r="L68" s="8"/>
      <c r="M68" s="8"/>
      <c r="N68" s="8"/>
      <c r="O68" s="8"/>
      <c r="P68" s="8" t="s">
        <v>217</v>
      </c>
      <c r="Q68" s="8">
        <f>Q67/20</f>
        <v>12.5</v>
      </c>
      <c r="R68" s="8">
        <f t="shared" ref="R68:U68" si="43">R67/20</f>
        <v>10.000000000000004</v>
      </c>
      <c r="S68" s="8">
        <f t="shared" si="43"/>
        <v>7.4999999999999982</v>
      </c>
      <c r="T68" s="8">
        <f t="shared" si="43"/>
        <v>14.999999999999996</v>
      </c>
      <c r="U68" s="8">
        <f t="shared" si="43"/>
        <v>10.000000000000004</v>
      </c>
      <c r="V68" s="8">
        <f>V67/20</f>
        <v>3.7499999999999991</v>
      </c>
      <c r="W68" s="8">
        <f>W67/20</f>
        <v>58.75</v>
      </c>
      <c r="X68" s="8">
        <f>SUM(X7:X66)</f>
        <v>59.000000000000007</v>
      </c>
      <c r="Y68" s="14"/>
      <c r="Z68" s="18"/>
    </row>
    <row r="69" spans="1:26" ht="22.8" x14ac:dyDescent="0.2">
      <c r="A69" s="93"/>
      <c r="B69" s="305" t="s">
        <v>389</v>
      </c>
      <c r="C69" s="306"/>
      <c r="D69" s="306"/>
      <c r="E69" s="306"/>
      <c r="F69" s="306"/>
      <c r="G69" s="306"/>
      <c r="H69" s="306"/>
      <c r="I69" s="306"/>
      <c r="J69" s="306"/>
      <c r="K69" s="306"/>
      <c r="L69" s="306"/>
      <c r="M69" s="306"/>
      <c r="N69" s="306"/>
      <c r="O69" s="306"/>
      <c r="P69" s="306"/>
      <c r="Q69" s="306"/>
      <c r="R69" s="306"/>
      <c r="S69" s="306"/>
      <c r="T69" s="306"/>
      <c r="U69" s="306"/>
      <c r="V69" s="306"/>
      <c r="W69" s="306"/>
      <c r="X69" s="307"/>
      <c r="Y69" s="20">
        <f>SUM(Y7:Y66)</f>
        <v>59000000</v>
      </c>
      <c r="Z69" s="19"/>
    </row>
    <row r="70" spans="1:26" ht="22.8" x14ac:dyDescent="0.2">
      <c r="A70" s="93"/>
      <c r="B70" s="308" t="s">
        <v>390</v>
      </c>
      <c r="C70" s="309"/>
      <c r="D70" s="309"/>
      <c r="E70" s="309"/>
      <c r="F70" s="309"/>
      <c r="G70" s="309"/>
      <c r="H70" s="309"/>
      <c r="I70" s="309"/>
      <c r="J70" s="309"/>
      <c r="K70" s="309"/>
      <c r="L70" s="309"/>
      <c r="M70" s="309"/>
      <c r="N70" s="309"/>
      <c r="O70" s="309"/>
      <c r="P70" s="309"/>
      <c r="Q70" s="309"/>
      <c r="R70" s="309"/>
      <c r="S70" s="309"/>
      <c r="T70" s="309"/>
      <c r="U70" s="309"/>
      <c r="V70" s="309"/>
      <c r="W70" s="309"/>
      <c r="X70" s="310"/>
      <c r="Y70" s="21">
        <f>X68*0.2*1400000</f>
        <v>16520000.000000004</v>
      </c>
      <c r="Z70" s="19"/>
    </row>
    <row r="71" spans="1:26" ht="22.8" x14ac:dyDescent="0.2">
      <c r="A71" s="93"/>
      <c r="B71" s="308" t="s">
        <v>391</v>
      </c>
      <c r="C71" s="309"/>
      <c r="D71" s="309"/>
      <c r="E71" s="309"/>
      <c r="F71" s="309"/>
      <c r="G71" s="309"/>
      <c r="H71" s="309"/>
      <c r="I71" s="309"/>
      <c r="J71" s="309"/>
      <c r="K71" s="309"/>
      <c r="L71" s="309"/>
      <c r="M71" s="309"/>
      <c r="N71" s="309"/>
      <c r="O71" s="309"/>
      <c r="P71" s="309"/>
      <c r="Q71" s="309"/>
      <c r="R71" s="309"/>
      <c r="S71" s="309"/>
      <c r="T71" s="309"/>
      <c r="U71" s="309"/>
      <c r="V71" s="309"/>
      <c r="W71" s="309"/>
      <c r="X71" s="310"/>
      <c r="Y71" s="21">
        <v>5400000</v>
      </c>
      <c r="Z71" s="19"/>
    </row>
    <row r="72" spans="1:26" ht="22.8" x14ac:dyDescent="0.2">
      <c r="A72" s="93"/>
      <c r="B72" s="308" t="s">
        <v>392</v>
      </c>
      <c r="C72" s="309"/>
      <c r="D72" s="309"/>
      <c r="E72" s="309"/>
      <c r="F72" s="309"/>
      <c r="G72" s="309"/>
      <c r="H72" s="309"/>
      <c r="I72" s="309"/>
      <c r="J72" s="309"/>
      <c r="K72" s="309"/>
      <c r="L72" s="309"/>
      <c r="M72" s="309"/>
      <c r="N72" s="309"/>
      <c r="O72" s="309"/>
      <c r="P72" s="309"/>
      <c r="Q72" s="309"/>
      <c r="R72" s="309"/>
      <c r="S72" s="309"/>
      <c r="T72" s="309"/>
      <c r="U72" s="309"/>
      <c r="V72" s="309"/>
      <c r="W72" s="309"/>
      <c r="X72" s="310"/>
      <c r="Y72" s="21">
        <f>Y69+Y70</f>
        <v>75520000</v>
      </c>
      <c r="Z72" s="19"/>
    </row>
    <row r="73" spans="1:26" ht="23.4" thickBot="1" x14ac:dyDescent="0.25">
      <c r="B73" s="298" t="s">
        <v>203</v>
      </c>
      <c r="C73" s="299"/>
      <c r="D73" s="299"/>
      <c r="E73" s="299"/>
      <c r="F73" s="299"/>
      <c r="G73" s="299"/>
      <c r="H73" s="299"/>
      <c r="I73" s="299"/>
      <c r="J73" s="299"/>
      <c r="K73" s="299"/>
      <c r="L73" s="299"/>
      <c r="M73" s="299"/>
      <c r="N73" s="299"/>
      <c r="O73" s="299"/>
      <c r="P73" s="299"/>
      <c r="Q73" s="299"/>
      <c r="R73" s="299"/>
      <c r="S73" s="299"/>
      <c r="T73" s="299"/>
      <c r="U73" s="299"/>
      <c r="V73" s="299"/>
      <c r="W73" s="299"/>
      <c r="X73" s="300"/>
      <c r="Y73" s="22">
        <f>Y71+Y72</f>
        <v>80920000</v>
      </c>
      <c r="Z73" s="19"/>
    </row>
  </sheetData>
  <autoFilter ref="A6:AF73" xr:uid="{00000000-0001-0000-0000-000000000000}">
    <filterColumn colId="3" showButton="0"/>
  </autoFilter>
  <mergeCells count="26">
    <mergeCell ref="B73:X73"/>
    <mergeCell ref="B67:F67"/>
    <mergeCell ref="B68:F68"/>
    <mergeCell ref="B69:X69"/>
    <mergeCell ref="B70:X70"/>
    <mergeCell ref="B71:X71"/>
    <mergeCell ref="B72:X72"/>
    <mergeCell ref="Q3:V3"/>
    <mergeCell ref="W3:W6"/>
    <mergeCell ref="X3:X6"/>
    <mergeCell ref="Y3:Y6"/>
    <mergeCell ref="Q4:Q6"/>
    <mergeCell ref="R4:R6"/>
    <mergeCell ref="S4:S6"/>
    <mergeCell ref="T4:T6"/>
    <mergeCell ref="U4:U6"/>
    <mergeCell ref="V4:V6"/>
    <mergeCell ref="P3:P6"/>
    <mergeCell ref="G5:J5"/>
    <mergeCell ref="K5:L5"/>
    <mergeCell ref="M5:O5"/>
    <mergeCell ref="B3:B6"/>
    <mergeCell ref="C3:C6"/>
    <mergeCell ref="D3:E6"/>
    <mergeCell ref="F3:F6"/>
    <mergeCell ref="G3:O4"/>
  </mergeCells>
  <phoneticPr fontId="2"/>
  <pageMargins left="0.15748031496062992" right="0.15748031496062992" top="0.15748031496062992" bottom="0.15748031496062992" header="0.31496062992125984" footer="0.31496062992125984"/>
  <pageSetup paperSize="9" scale="31" fitToHeight="1000" orientation="landscape"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AF73"/>
  <sheetViews>
    <sheetView view="pageBreakPreview" zoomScaleSheetLayoutView="100" workbookViewId="0">
      <pane xSplit="1" ySplit="6" topLeftCell="F44" activePane="bottomRight" state="frozen"/>
      <selection pane="topRight" activeCell="H41" sqref="H41"/>
      <selection pane="bottomLeft" activeCell="H41" sqref="H41"/>
      <selection pane="bottomRight" activeCell="L9" sqref="L9"/>
    </sheetView>
  </sheetViews>
  <sheetFormatPr defaultColWidth="9" defaultRowHeight="16.2" x14ac:dyDescent="0.2"/>
  <cols>
    <col min="1" max="1" width="18.88671875" style="4" customWidth="1"/>
    <col min="2" max="2" width="12.6640625" style="4" bestFit="1" customWidth="1"/>
    <col min="3" max="3" width="8.33203125" style="4" bestFit="1" customWidth="1"/>
    <col min="4" max="4" width="11.6640625" style="4" bestFit="1" customWidth="1"/>
    <col min="5" max="5" width="36.33203125" style="4" bestFit="1" customWidth="1"/>
    <col min="6" max="6" width="92" style="4" bestFit="1" customWidth="1"/>
    <col min="7" max="7" width="10.88671875" style="4" bestFit="1" customWidth="1"/>
    <col min="8" max="10" width="10.88671875" style="4" customWidth="1"/>
    <col min="11" max="11" width="10.88671875" style="4" bestFit="1" customWidth="1"/>
    <col min="12" max="12" width="10.88671875" style="4" customWidth="1"/>
    <col min="13" max="13" width="10.88671875" style="4" bestFit="1" customWidth="1"/>
    <col min="14" max="15" width="10.88671875" style="4" customWidth="1"/>
    <col min="16" max="16" width="8.33203125" style="4" hidden="1" customWidth="1"/>
    <col min="17" max="17" width="15.6640625" style="4" hidden="1" customWidth="1"/>
    <col min="18" max="19" width="17.88671875" style="4" hidden="1" customWidth="1"/>
    <col min="20" max="21" width="15.6640625" style="4" hidden="1" customWidth="1"/>
    <col min="22" max="22" width="13.88671875" style="4" hidden="1" customWidth="1"/>
    <col min="23" max="23" width="17.88671875" style="4" hidden="1" customWidth="1"/>
    <col min="24" max="24" width="26.6640625" style="4" hidden="1" customWidth="1"/>
    <col min="25" max="25" width="26.6640625" style="4" bestFit="1" customWidth="1"/>
    <col min="26" max="26" width="26.6640625" style="4" customWidth="1"/>
    <col min="27" max="32" width="9" style="4" customWidth="1"/>
    <col min="33" max="16384" width="9" style="4"/>
  </cols>
  <sheetData>
    <row r="1" spans="1:32" s="2" customFormat="1" x14ac:dyDescent="0.2">
      <c r="A1" s="5" t="s">
        <v>393</v>
      </c>
      <c r="F1" s="5"/>
      <c r="G1" s="1"/>
      <c r="H1" s="1"/>
      <c r="I1" s="1"/>
      <c r="J1" s="1"/>
      <c r="K1" s="1"/>
      <c r="L1" s="1"/>
      <c r="M1" s="1"/>
      <c r="N1" s="1"/>
      <c r="O1" s="1"/>
      <c r="P1" s="1"/>
      <c r="Q1" s="1"/>
      <c r="R1" s="1"/>
      <c r="S1" s="1"/>
      <c r="T1" s="1"/>
      <c r="U1" s="1"/>
      <c r="V1" s="1"/>
      <c r="AB1" s="2" t="s">
        <v>243</v>
      </c>
      <c r="AC1" s="2" t="s">
        <v>244</v>
      </c>
      <c r="AD1" s="2" t="s">
        <v>245</v>
      </c>
      <c r="AE1" s="2" t="s">
        <v>246</v>
      </c>
      <c r="AF1" s="2" t="s">
        <v>247</v>
      </c>
    </row>
    <row r="2" spans="1:32" s="3" customFormat="1" ht="16.5" customHeight="1" thickBot="1" x14ac:dyDescent="0.25">
      <c r="AB2" s="3">
        <v>10</v>
      </c>
      <c r="AC2" s="3">
        <v>7</v>
      </c>
      <c r="AD2" s="3">
        <v>5</v>
      </c>
      <c r="AE2" s="3">
        <v>3</v>
      </c>
      <c r="AF2" s="3">
        <v>2</v>
      </c>
    </row>
    <row r="3" spans="1:32" s="3" customFormat="1" x14ac:dyDescent="0.2">
      <c r="B3" s="288" t="s">
        <v>48</v>
      </c>
      <c r="C3" s="284" t="s">
        <v>49</v>
      </c>
      <c r="D3" s="284" t="s">
        <v>50</v>
      </c>
      <c r="E3" s="284"/>
      <c r="F3" s="291" t="s">
        <v>52</v>
      </c>
      <c r="G3" s="284" t="s">
        <v>248</v>
      </c>
      <c r="H3" s="284"/>
      <c r="I3" s="284"/>
      <c r="J3" s="284"/>
      <c r="K3" s="284"/>
      <c r="L3" s="284"/>
      <c r="M3" s="284"/>
      <c r="N3" s="284"/>
      <c r="O3" s="284"/>
      <c r="P3" s="284" t="s">
        <v>249</v>
      </c>
      <c r="Q3" s="293" t="s">
        <v>53</v>
      </c>
      <c r="R3" s="293"/>
      <c r="S3" s="293"/>
      <c r="T3" s="293"/>
      <c r="U3" s="293"/>
      <c r="V3" s="293"/>
      <c r="W3" s="293" t="s">
        <v>54</v>
      </c>
      <c r="X3" s="293" t="s">
        <v>55</v>
      </c>
      <c r="Y3" s="295" t="s">
        <v>250</v>
      </c>
      <c r="Z3" s="17"/>
    </row>
    <row r="4" spans="1:32" s="3" customFormat="1" x14ac:dyDescent="0.2">
      <c r="B4" s="289"/>
      <c r="C4" s="146"/>
      <c r="D4" s="146"/>
      <c r="E4" s="146"/>
      <c r="F4" s="150"/>
      <c r="G4" s="146"/>
      <c r="H4" s="146"/>
      <c r="I4" s="146"/>
      <c r="J4" s="146"/>
      <c r="K4" s="146"/>
      <c r="L4" s="146"/>
      <c r="M4" s="146"/>
      <c r="N4" s="146"/>
      <c r="O4" s="146"/>
      <c r="P4" s="146"/>
      <c r="Q4" s="151" t="s">
        <v>251</v>
      </c>
      <c r="R4" s="151" t="s">
        <v>252</v>
      </c>
      <c r="S4" s="151" t="s">
        <v>253</v>
      </c>
      <c r="T4" s="151" t="s">
        <v>59</v>
      </c>
      <c r="U4" s="151" t="s">
        <v>254</v>
      </c>
      <c r="V4" s="151" t="s">
        <v>61</v>
      </c>
      <c r="W4" s="151"/>
      <c r="X4" s="151"/>
      <c r="Y4" s="296"/>
      <c r="Z4" s="17"/>
    </row>
    <row r="5" spans="1:32" x14ac:dyDescent="0.2">
      <c r="B5" s="290"/>
      <c r="C5" s="147"/>
      <c r="D5" s="147"/>
      <c r="E5" s="147"/>
      <c r="F5" s="292"/>
      <c r="G5" s="285" t="s">
        <v>221</v>
      </c>
      <c r="H5" s="286"/>
      <c r="I5" s="286"/>
      <c r="J5" s="287"/>
      <c r="K5" s="285" t="s">
        <v>228</v>
      </c>
      <c r="L5" s="286"/>
      <c r="M5" s="285" t="s">
        <v>234</v>
      </c>
      <c r="N5" s="286"/>
      <c r="O5" s="286"/>
      <c r="P5" s="147"/>
      <c r="Q5" s="294"/>
      <c r="R5" s="294"/>
      <c r="S5" s="294"/>
      <c r="T5" s="294"/>
      <c r="U5" s="294"/>
      <c r="V5" s="294"/>
      <c r="W5" s="294"/>
      <c r="X5" s="294"/>
      <c r="Y5" s="297"/>
      <c r="Z5" s="17"/>
    </row>
    <row r="6" spans="1:32" x14ac:dyDescent="0.2">
      <c r="A6" s="93"/>
      <c r="B6" s="290"/>
      <c r="C6" s="147"/>
      <c r="D6" s="147"/>
      <c r="E6" s="147"/>
      <c r="F6" s="292"/>
      <c r="G6" s="11" t="s">
        <v>197</v>
      </c>
      <c r="H6" s="11" t="s">
        <v>198</v>
      </c>
      <c r="I6" s="11" t="s">
        <v>199</v>
      </c>
      <c r="J6" s="11" t="s">
        <v>255</v>
      </c>
      <c r="K6" s="11" t="s">
        <v>197</v>
      </c>
      <c r="L6" s="11" t="s">
        <v>198</v>
      </c>
      <c r="M6" s="11" t="s">
        <v>197</v>
      </c>
      <c r="N6" s="11" t="s">
        <v>198</v>
      </c>
      <c r="O6" s="11" t="s">
        <v>199</v>
      </c>
      <c r="P6" s="147"/>
      <c r="Q6" s="294"/>
      <c r="R6" s="294"/>
      <c r="S6" s="294"/>
      <c r="T6" s="294"/>
      <c r="U6" s="294"/>
      <c r="V6" s="294"/>
      <c r="W6" s="294"/>
      <c r="X6" s="294"/>
      <c r="Y6" s="297"/>
      <c r="Z6" s="17"/>
    </row>
    <row r="7" spans="1:32" ht="29.25" customHeight="1" x14ac:dyDescent="0.2">
      <c r="A7" s="94"/>
      <c r="B7" s="27" t="s">
        <v>256</v>
      </c>
      <c r="C7" s="7" t="s">
        <v>257</v>
      </c>
      <c r="D7" s="7" t="s">
        <v>146</v>
      </c>
      <c r="E7" s="7" t="s">
        <v>258</v>
      </c>
      <c r="F7" s="6" t="s">
        <v>259</v>
      </c>
      <c r="G7" s="12" t="s">
        <v>260</v>
      </c>
      <c r="H7" s="12"/>
      <c r="I7" s="12"/>
      <c r="J7" s="12"/>
      <c r="K7" s="12" t="s">
        <v>260</v>
      </c>
      <c r="L7" s="12"/>
      <c r="M7" s="12" t="s">
        <v>260</v>
      </c>
      <c r="N7" s="12"/>
      <c r="O7" s="12"/>
      <c r="P7" s="7" t="s">
        <v>245</v>
      </c>
      <c r="Q7" s="7">
        <f t="shared" ref="Q7:Q12" si="0">IFERROR(HLOOKUP(P7,AB$1:AF$2,2,FALSE),0)</f>
        <v>5</v>
      </c>
      <c r="R7" s="7">
        <f>Q7*0.8</f>
        <v>4</v>
      </c>
      <c r="S7" s="7">
        <f>Q7*0.6</f>
        <v>3</v>
      </c>
      <c r="T7" s="7">
        <f>Q7*1.2</f>
        <v>6</v>
      </c>
      <c r="U7" s="7">
        <f>Q7*0.8</f>
        <v>4</v>
      </c>
      <c r="V7" s="7">
        <f t="shared" ref="V7:V66" si="1">Q7*0.3</f>
        <v>1.5</v>
      </c>
      <c r="W7" s="7">
        <f t="shared" ref="W7:W67" si="2">SUM(Q7:V7)</f>
        <v>23.5</v>
      </c>
      <c r="X7" s="7">
        <f>ROUNDUP(W7/20,2)</f>
        <v>1.18</v>
      </c>
      <c r="Y7" s="15">
        <f>Z7</f>
        <v>1180000</v>
      </c>
      <c r="Z7" s="18">
        <f>X7*1000000</f>
        <v>1180000</v>
      </c>
    </row>
    <row r="8" spans="1:32" ht="48.6" x14ac:dyDescent="0.2">
      <c r="A8" s="94"/>
      <c r="B8" s="28"/>
      <c r="C8" s="7"/>
      <c r="D8" s="7" t="s">
        <v>146</v>
      </c>
      <c r="E8" s="7" t="s">
        <v>261</v>
      </c>
      <c r="F8" s="6" t="s">
        <v>262</v>
      </c>
      <c r="G8" s="12" t="s">
        <v>260</v>
      </c>
      <c r="H8" s="12"/>
      <c r="I8" s="12"/>
      <c r="J8" s="12"/>
      <c r="K8" s="12" t="s">
        <v>260</v>
      </c>
      <c r="L8" s="12"/>
      <c r="M8" s="12" t="s">
        <v>260</v>
      </c>
      <c r="N8" s="12"/>
      <c r="O8" s="12"/>
      <c r="P8" s="7" t="s">
        <v>246</v>
      </c>
      <c r="Q8" s="7">
        <f t="shared" si="0"/>
        <v>3</v>
      </c>
      <c r="R8" s="7">
        <f t="shared" ref="R8:R66" si="3">Q8*0.8</f>
        <v>2.4000000000000004</v>
      </c>
      <c r="S8" s="7">
        <f t="shared" ref="S8:S66" si="4">Q8*0.6</f>
        <v>1.7999999999999998</v>
      </c>
      <c r="T8" s="7">
        <f t="shared" ref="T8:T66" si="5">Q8*1.2</f>
        <v>3.5999999999999996</v>
      </c>
      <c r="U8" s="7">
        <f t="shared" ref="U8:U66" si="6">Q8*0.8</f>
        <v>2.4000000000000004</v>
      </c>
      <c r="V8" s="7">
        <f t="shared" si="1"/>
        <v>0.89999999999999991</v>
      </c>
      <c r="W8" s="7">
        <f t="shared" si="2"/>
        <v>14.100000000000001</v>
      </c>
      <c r="X8" s="7">
        <f t="shared" ref="X8:X66" si="7">ROUNDUP(W8/20,2)</f>
        <v>0.71</v>
      </c>
      <c r="Y8" s="15">
        <f t="shared" ref="Y8:Y66" si="8">Z8</f>
        <v>710000</v>
      </c>
      <c r="Z8" s="18">
        <f t="shared" ref="Z8:Z66" si="9">X8*1000000</f>
        <v>710000</v>
      </c>
    </row>
    <row r="9" spans="1:32" ht="48.6" x14ac:dyDescent="0.2">
      <c r="A9" s="94"/>
      <c r="B9" s="28"/>
      <c r="C9" s="7"/>
      <c r="D9" s="7" t="s">
        <v>146</v>
      </c>
      <c r="E9" s="7" t="s">
        <v>263</v>
      </c>
      <c r="F9" s="6" t="s">
        <v>264</v>
      </c>
      <c r="G9" s="12"/>
      <c r="H9" s="12"/>
      <c r="I9" s="12" t="s">
        <v>260</v>
      </c>
      <c r="J9" s="12"/>
      <c r="K9" s="12"/>
      <c r="L9" s="12" t="s">
        <v>260</v>
      </c>
      <c r="M9" s="12"/>
      <c r="N9" s="12" t="s">
        <v>260</v>
      </c>
      <c r="O9" s="12"/>
      <c r="P9" s="7" t="s">
        <v>245</v>
      </c>
      <c r="Q9" s="7">
        <f t="shared" si="0"/>
        <v>5</v>
      </c>
      <c r="R9" s="7">
        <f t="shared" si="3"/>
        <v>4</v>
      </c>
      <c r="S9" s="7">
        <f t="shared" ref="S9" si="10">Q9*0.6</f>
        <v>3</v>
      </c>
      <c r="T9" s="7">
        <f t="shared" si="5"/>
        <v>6</v>
      </c>
      <c r="U9" s="7">
        <f t="shared" ref="U9" si="11">Q9*0.8</f>
        <v>4</v>
      </c>
      <c r="V9" s="7">
        <f t="shared" si="1"/>
        <v>1.5</v>
      </c>
      <c r="W9" s="7">
        <f t="shared" si="2"/>
        <v>23.5</v>
      </c>
      <c r="X9" s="7">
        <f t="shared" si="7"/>
        <v>1.18</v>
      </c>
      <c r="Y9" s="15">
        <f t="shared" si="8"/>
        <v>1180000</v>
      </c>
      <c r="Z9" s="18">
        <f t="shared" si="9"/>
        <v>1180000</v>
      </c>
    </row>
    <row r="10" spans="1:32" ht="48.6" x14ac:dyDescent="0.2">
      <c r="A10" s="94"/>
      <c r="B10" s="28"/>
      <c r="C10" s="7"/>
      <c r="D10" s="7" t="s">
        <v>146</v>
      </c>
      <c r="E10" s="29" t="s">
        <v>265</v>
      </c>
      <c r="F10" s="6" t="s">
        <v>266</v>
      </c>
      <c r="G10" s="12" t="s">
        <v>260</v>
      </c>
      <c r="H10" s="12"/>
      <c r="I10" s="12"/>
      <c r="J10" s="12"/>
      <c r="K10" s="12" t="s">
        <v>260</v>
      </c>
      <c r="L10" s="12"/>
      <c r="M10" s="12" t="s">
        <v>260</v>
      </c>
      <c r="N10" s="12"/>
      <c r="O10" s="12"/>
      <c r="P10" s="7" t="s">
        <v>246</v>
      </c>
      <c r="Q10" s="7">
        <f t="shared" si="0"/>
        <v>3</v>
      </c>
      <c r="R10" s="7">
        <f t="shared" si="3"/>
        <v>2.4000000000000004</v>
      </c>
      <c r="S10" s="7">
        <f t="shared" si="4"/>
        <v>1.7999999999999998</v>
      </c>
      <c r="T10" s="7">
        <f t="shared" si="5"/>
        <v>3.5999999999999996</v>
      </c>
      <c r="U10" s="7">
        <f t="shared" si="6"/>
        <v>2.4000000000000004</v>
      </c>
      <c r="V10" s="7">
        <f t="shared" si="1"/>
        <v>0.89999999999999991</v>
      </c>
      <c r="W10" s="7">
        <f t="shared" si="2"/>
        <v>14.100000000000001</v>
      </c>
      <c r="X10" s="7">
        <f t="shared" si="7"/>
        <v>0.71</v>
      </c>
      <c r="Y10" s="15">
        <f t="shared" si="8"/>
        <v>710000</v>
      </c>
      <c r="Z10" s="18">
        <f t="shared" si="9"/>
        <v>710000</v>
      </c>
    </row>
    <row r="11" spans="1:32" ht="48.6" x14ac:dyDescent="0.2">
      <c r="A11" s="94"/>
      <c r="B11" s="28"/>
      <c r="C11" s="7"/>
      <c r="D11" s="7" t="s">
        <v>146</v>
      </c>
      <c r="E11" s="29" t="s">
        <v>267</v>
      </c>
      <c r="F11" s="6" t="s">
        <v>268</v>
      </c>
      <c r="G11" s="12" t="s">
        <v>260</v>
      </c>
      <c r="H11" s="12"/>
      <c r="I11" s="12"/>
      <c r="J11" s="12"/>
      <c r="K11" s="12" t="s">
        <v>260</v>
      </c>
      <c r="L11" s="12"/>
      <c r="M11" s="12" t="s">
        <v>260</v>
      </c>
      <c r="N11" s="12"/>
      <c r="O11" s="12"/>
      <c r="P11" s="7" t="s">
        <v>246</v>
      </c>
      <c r="Q11" s="7">
        <f t="shared" si="0"/>
        <v>3</v>
      </c>
      <c r="R11" s="7">
        <f t="shared" si="3"/>
        <v>2.4000000000000004</v>
      </c>
      <c r="S11" s="7">
        <f t="shared" ref="S11" si="12">Q11*0.6</f>
        <v>1.7999999999999998</v>
      </c>
      <c r="T11" s="7">
        <f t="shared" si="5"/>
        <v>3.5999999999999996</v>
      </c>
      <c r="U11" s="7">
        <f t="shared" ref="U11" si="13">Q11*0.8</f>
        <v>2.4000000000000004</v>
      </c>
      <c r="V11" s="7">
        <f t="shared" si="1"/>
        <v>0.89999999999999991</v>
      </c>
      <c r="W11" s="7">
        <f t="shared" si="2"/>
        <v>14.100000000000001</v>
      </c>
      <c r="X11" s="7">
        <f t="shared" si="7"/>
        <v>0.71</v>
      </c>
      <c r="Y11" s="15">
        <f t="shared" si="8"/>
        <v>710000</v>
      </c>
      <c r="Z11" s="18">
        <f t="shared" si="9"/>
        <v>710000</v>
      </c>
    </row>
    <row r="12" spans="1:32" ht="48.6" x14ac:dyDescent="0.2">
      <c r="A12" s="94"/>
      <c r="B12" s="28"/>
      <c r="C12" s="7"/>
      <c r="D12" s="7" t="s">
        <v>146</v>
      </c>
      <c r="E12" s="29" t="s">
        <v>269</v>
      </c>
      <c r="F12" s="6" t="s">
        <v>270</v>
      </c>
      <c r="G12" s="12" t="s">
        <v>260</v>
      </c>
      <c r="H12" s="12"/>
      <c r="I12" s="12"/>
      <c r="J12" s="12"/>
      <c r="K12" s="12" t="s">
        <v>260</v>
      </c>
      <c r="L12" s="12"/>
      <c r="M12" s="12" t="s">
        <v>260</v>
      </c>
      <c r="N12" s="12"/>
      <c r="O12" s="12"/>
      <c r="P12" s="7" t="s">
        <v>246</v>
      </c>
      <c r="Q12" s="7">
        <f t="shared" si="0"/>
        <v>3</v>
      </c>
      <c r="R12" s="7">
        <f t="shared" ref="R12" si="14">Q12*0.8</f>
        <v>2.4000000000000004</v>
      </c>
      <c r="S12" s="7">
        <f t="shared" ref="S12" si="15">Q12*0.6</f>
        <v>1.7999999999999998</v>
      </c>
      <c r="T12" s="7">
        <f t="shared" ref="T12" si="16">Q12*1.2</f>
        <v>3.5999999999999996</v>
      </c>
      <c r="U12" s="7">
        <f t="shared" ref="U12" si="17">Q12*0.8</f>
        <v>2.4000000000000004</v>
      </c>
      <c r="V12" s="7">
        <f t="shared" ref="V12" si="18">Q12*0.3</f>
        <v>0.89999999999999991</v>
      </c>
      <c r="W12" s="7">
        <f t="shared" ref="W12" si="19">SUM(Q12:V12)</f>
        <v>14.100000000000001</v>
      </c>
      <c r="X12" s="7">
        <f t="shared" ref="X12" si="20">ROUNDUP(W12/20,2)</f>
        <v>0.71</v>
      </c>
      <c r="Y12" s="15">
        <f t="shared" ref="Y12" si="21">Z12</f>
        <v>710000</v>
      </c>
      <c r="Z12" s="18">
        <f t="shared" ref="Z12" si="22">X12*1000000</f>
        <v>710000</v>
      </c>
    </row>
    <row r="13" spans="1:32" s="92" customFormat="1" ht="129.6" x14ac:dyDescent="0.2">
      <c r="A13" s="94" t="s">
        <v>394</v>
      </c>
      <c r="B13" s="81"/>
      <c r="C13" s="79"/>
      <c r="D13" s="79" t="s">
        <v>146</v>
      </c>
      <c r="E13" s="79" t="s">
        <v>271</v>
      </c>
      <c r="F13" s="80" t="s">
        <v>272</v>
      </c>
      <c r="G13" s="82"/>
      <c r="H13" s="82"/>
      <c r="I13" s="82" t="s">
        <v>260</v>
      </c>
      <c r="J13" s="82"/>
      <c r="K13" s="82"/>
      <c r="L13" s="82" t="s">
        <v>260</v>
      </c>
      <c r="M13" s="82"/>
      <c r="N13" s="82" t="s">
        <v>260</v>
      </c>
      <c r="O13" s="82"/>
      <c r="P13" s="79"/>
      <c r="Q13" s="79"/>
      <c r="R13" s="79"/>
      <c r="S13" s="79"/>
      <c r="T13" s="79"/>
      <c r="U13" s="79"/>
      <c r="V13" s="79"/>
      <c r="W13" s="79"/>
      <c r="X13" s="79"/>
      <c r="Y13" s="83"/>
      <c r="Z13" s="84">
        <f t="shared" si="9"/>
        <v>0</v>
      </c>
    </row>
    <row r="14" spans="1:32" ht="32.4" x14ac:dyDescent="0.2">
      <c r="A14" s="94"/>
      <c r="B14" s="28"/>
      <c r="C14" s="7"/>
      <c r="D14" s="7" t="s">
        <v>273</v>
      </c>
      <c r="E14" s="7" t="s">
        <v>274</v>
      </c>
      <c r="F14" s="6" t="s">
        <v>275</v>
      </c>
      <c r="G14" s="12"/>
      <c r="H14" s="12" t="s">
        <v>260</v>
      </c>
      <c r="I14" s="12"/>
      <c r="J14" s="12"/>
      <c r="K14" s="12" t="s">
        <v>260</v>
      </c>
      <c r="L14" s="12"/>
      <c r="M14" s="12"/>
      <c r="N14" s="12" t="s">
        <v>260</v>
      </c>
      <c r="O14" s="12"/>
      <c r="P14" s="7" t="s">
        <v>245</v>
      </c>
      <c r="Q14" s="7">
        <f t="shared" ref="Q14:Q27" si="23">IFERROR(HLOOKUP(P14,AB$1:AF$2,2,FALSE),0)</f>
        <v>5</v>
      </c>
      <c r="R14" s="7">
        <f t="shared" si="3"/>
        <v>4</v>
      </c>
      <c r="S14" s="7">
        <f t="shared" si="4"/>
        <v>3</v>
      </c>
      <c r="T14" s="7">
        <f t="shared" si="5"/>
        <v>6</v>
      </c>
      <c r="U14" s="7">
        <f t="shared" si="6"/>
        <v>4</v>
      </c>
      <c r="V14" s="7">
        <f t="shared" si="1"/>
        <v>1.5</v>
      </c>
      <c r="W14" s="7">
        <f t="shared" si="2"/>
        <v>23.5</v>
      </c>
      <c r="X14" s="7">
        <f t="shared" si="7"/>
        <v>1.18</v>
      </c>
      <c r="Y14" s="15">
        <f t="shared" si="8"/>
        <v>1180000</v>
      </c>
      <c r="Z14" s="18">
        <f t="shared" si="9"/>
        <v>1180000</v>
      </c>
    </row>
    <row r="15" spans="1:32" ht="48.6" x14ac:dyDescent="0.2">
      <c r="A15" s="94"/>
      <c r="B15" s="28"/>
      <c r="C15" s="7"/>
      <c r="D15" s="7" t="s">
        <v>273</v>
      </c>
      <c r="E15" s="7" t="s">
        <v>276</v>
      </c>
      <c r="F15" s="6" t="s">
        <v>277</v>
      </c>
      <c r="G15" s="12"/>
      <c r="H15" s="12" t="s">
        <v>260</v>
      </c>
      <c r="I15" s="12"/>
      <c r="J15" s="12"/>
      <c r="K15" s="12" t="s">
        <v>260</v>
      </c>
      <c r="L15" s="12"/>
      <c r="M15" s="12"/>
      <c r="N15" s="12" t="s">
        <v>260</v>
      </c>
      <c r="O15" s="12"/>
      <c r="P15" s="7" t="s">
        <v>245</v>
      </c>
      <c r="Q15" s="7">
        <f t="shared" si="23"/>
        <v>5</v>
      </c>
      <c r="R15" s="7">
        <f t="shared" si="3"/>
        <v>4</v>
      </c>
      <c r="S15" s="7">
        <f t="shared" si="4"/>
        <v>3</v>
      </c>
      <c r="T15" s="7">
        <f t="shared" si="5"/>
        <v>6</v>
      </c>
      <c r="U15" s="7">
        <f t="shared" si="6"/>
        <v>4</v>
      </c>
      <c r="V15" s="7">
        <f t="shared" si="1"/>
        <v>1.5</v>
      </c>
      <c r="W15" s="7">
        <f t="shared" si="2"/>
        <v>23.5</v>
      </c>
      <c r="X15" s="7">
        <f t="shared" si="7"/>
        <v>1.18</v>
      </c>
      <c r="Y15" s="15">
        <f t="shared" si="8"/>
        <v>1180000</v>
      </c>
      <c r="Z15" s="18">
        <f t="shared" si="9"/>
        <v>1180000</v>
      </c>
    </row>
    <row r="16" spans="1:32" ht="152.25" customHeight="1" x14ac:dyDescent="0.2">
      <c r="A16" s="94"/>
      <c r="B16" s="28"/>
      <c r="C16" s="7"/>
      <c r="D16" s="7" t="s">
        <v>273</v>
      </c>
      <c r="E16" s="7" t="s">
        <v>278</v>
      </c>
      <c r="F16" s="6" t="s">
        <v>279</v>
      </c>
      <c r="G16" s="12"/>
      <c r="H16" s="12" t="s">
        <v>260</v>
      </c>
      <c r="I16" s="12"/>
      <c r="J16" s="12"/>
      <c r="K16" s="12" t="s">
        <v>260</v>
      </c>
      <c r="L16" s="12"/>
      <c r="M16" s="12"/>
      <c r="N16" s="12" t="s">
        <v>260</v>
      </c>
      <c r="O16" s="12"/>
      <c r="P16" s="7" t="s">
        <v>245</v>
      </c>
      <c r="Q16" s="7">
        <f t="shared" si="23"/>
        <v>5</v>
      </c>
      <c r="R16" s="7">
        <f t="shared" si="3"/>
        <v>4</v>
      </c>
      <c r="S16" s="7">
        <f t="shared" si="4"/>
        <v>3</v>
      </c>
      <c r="T16" s="7">
        <f t="shared" si="5"/>
        <v>6</v>
      </c>
      <c r="U16" s="7">
        <f t="shared" si="6"/>
        <v>4</v>
      </c>
      <c r="V16" s="7">
        <f t="shared" si="1"/>
        <v>1.5</v>
      </c>
      <c r="W16" s="7">
        <f t="shared" si="2"/>
        <v>23.5</v>
      </c>
      <c r="X16" s="7">
        <f t="shared" si="7"/>
        <v>1.18</v>
      </c>
      <c r="Y16" s="15">
        <f t="shared" si="8"/>
        <v>1180000</v>
      </c>
      <c r="Z16" s="18">
        <f t="shared" si="9"/>
        <v>1180000</v>
      </c>
    </row>
    <row r="17" spans="1:26" ht="32.4" x14ac:dyDescent="0.2">
      <c r="A17" s="94"/>
      <c r="B17" s="28"/>
      <c r="C17" s="7"/>
      <c r="D17" s="7" t="s">
        <v>273</v>
      </c>
      <c r="E17" s="7" t="s">
        <v>280</v>
      </c>
      <c r="F17" s="6" t="s">
        <v>281</v>
      </c>
      <c r="G17" s="12" t="s">
        <v>260</v>
      </c>
      <c r="H17" s="12"/>
      <c r="I17" s="12"/>
      <c r="J17" s="12"/>
      <c r="K17" s="12" t="s">
        <v>260</v>
      </c>
      <c r="L17" s="12"/>
      <c r="M17" s="12" t="s">
        <v>260</v>
      </c>
      <c r="N17" s="12"/>
      <c r="O17" s="12"/>
      <c r="P17" s="7" t="s">
        <v>245</v>
      </c>
      <c r="Q17" s="7">
        <f t="shared" si="23"/>
        <v>5</v>
      </c>
      <c r="R17" s="7">
        <f t="shared" si="3"/>
        <v>4</v>
      </c>
      <c r="S17" s="7">
        <f t="shared" si="4"/>
        <v>3</v>
      </c>
      <c r="T17" s="7">
        <f t="shared" si="5"/>
        <v>6</v>
      </c>
      <c r="U17" s="7">
        <f t="shared" si="6"/>
        <v>4</v>
      </c>
      <c r="V17" s="7">
        <f t="shared" si="1"/>
        <v>1.5</v>
      </c>
      <c r="W17" s="7">
        <f t="shared" si="2"/>
        <v>23.5</v>
      </c>
      <c r="X17" s="7">
        <f t="shared" si="7"/>
        <v>1.18</v>
      </c>
      <c r="Y17" s="15">
        <f t="shared" si="8"/>
        <v>1180000</v>
      </c>
      <c r="Z17" s="18">
        <f t="shared" si="9"/>
        <v>1180000</v>
      </c>
    </row>
    <row r="18" spans="1:26" ht="48.6" x14ac:dyDescent="0.2">
      <c r="A18" s="94"/>
      <c r="B18" s="28"/>
      <c r="C18" s="7"/>
      <c r="D18" s="7" t="s">
        <v>273</v>
      </c>
      <c r="E18" s="7" t="s">
        <v>282</v>
      </c>
      <c r="F18" s="6" t="s">
        <v>283</v>
      </c>
      <c r="G18" s="12" t="s">
        <v>260</v>
      </c>
      <c r="H18" s="12"/>
      <c r="I18" s="12"/>
      <c r="J18" s="12"/>
      <c r="K18" s="12" t="s">
        <v>260</v>
      </c>
      <c r="L18" s="12"/>
      <c r="M18" s="12" t="s">
        <v>260</v>
      </c>
      <c r="N18" s="12"/>
      <c r="O18" s="12"/>
      <c r="P18" s="7" t="s">
        <v>245</v>
      </c>
      <c r="Q18" s="7">
        <f t="shared" si="23"/>
        <v>5</v>
      </c>
      <c r="R18" s="7">
        <f t="shared" si="3"/>
        <v>4</v>
      </c>
      <c r="S18" s="7">
        <f t="shared" si="4"/>
        <v>3</v>
      </c>
      <c r="T18" s="7">
        <f t="shared" si="5"/>
        <v>6</v>
      </c>
      <c r="U18" s="7">
        <f t="shared" si="6"/>
        <v>4</v>
      </c>
      <c r="V18" s="7">
        <f t="shared" si="1"/>
        <v>1.5</v>
      </c>
      <c r="W18" s="7">
        <f t="shared" si="2"/>
        <v>23.5</v>
      </c>
      <c r="X18" s="7">
        <f t="shared" si="7"/>
        <v>1.18</v>
      </c>
      <c r="Y18" s="15">
        <f t="shared" si="8"/>
        <v>1180000</v>
      </c>
      <c r="Z18" s="18">
        <f t="shared" si="9"/>
        <v>1180000</v>
      </c>
    </row>
    <row r="19" spans="1:26" ht="102" customHeight="1" x14ac:dyDescent="0.2">
      <c r="A19" s="94"/>
      <c r="B19" s="28"/>
      <c r="C19" s="7"/>
      <c r="D19" s="7" t="s">
        <v>273</v>
      </c>
      <c r="E19" s="7" t="s">
        <v>284</v>
      </c>
      <c r="F19" s="6" t="s">
        <v>285</v>
      </c>
      <c r="G19" s="12" t="s">
        <v>260</v>
      </c>
      <c r="H19" s="12"/>
      <c r="I19" s="12"/>
      <c r="J19" s="12"/>
      <c r="K19" s="12" t="s">
        <v>260</v>
      </c>
      <c r="L19" s="12"/>
      <c r="M19" s="12" t="s">
        <v>260</v>
      </c>
      <c r="N19" s="12"/>
      <c r="O19" s="12"/>
      <c r="P19" s="7" t="s">
        <v>245</v>
      </c>
      <c r="Q19" s="7">
        <f t="shared" si="23"/>
        <v>5</v>
      </c>
      <c r="R19" s="7">
        <f t="shared" si="3"/>
        <v>4</v>
      </c>
      <c r="S19" s="7">
        <f t="shared" si="4"/>
        <v>3</v>
      </c>
      <c r="T19" s="7">
        <f t="shared" si="5"/>
        <v>6</v>
      </c>
      <c r="U19" s="7">
        <f t="shared" si="6"/>
        <v>4</v>
      </c>
      <c r="V19" s="7">
        <f t="shared" si="1"/>
        <v>1.5</v>
      </c>
      <c r="W19" s="7">
        <f t="shared" si="2"/>
        <v>23.5</v>
      </c>
      <c r="X19" s="7">
        <f t="shared" si="7"/>
        <v>1.18</v>
      </c>
      <c r="Y19" s="15">
        <f t="shared" si="8"/>
        <v>1180000</v>
      </c>
      <c r="Z19" s="18">
        <f t="shared" si="9"/>
        <v>1180000</v>
      </c>
    </row>
    <row r="20" spans="1:26" ht="48.6" x14ac:dyDescent="0.2">
      <c r="A20" s="94"/>
      <c r="B20" s="28"/>
      <c r="C20" s="7"/>
      <c r="D20" s="7" t="s">
        <v>286</v>
      </c>
      <c r="E20" s="7" t="s">
        <v>287</v>
      </c>
      <c r="F20" s="6" t="s">
        <v>288</v>
      </c>
      <c r="G20" s="12"/>
      <c r="H20" s="12"/>
      <c r="I20" s="12" t="s">
        <v>260</v>
      </c>
      <c r="J20" s="12"/>
      <c r="K20" s="12"/>
      <c r="L20" s="12" t="s">
        <v>260</v>
      </c>
      <c r="M20" s="12"/>
      <c r="N20" s="12" t="s">
        <v>260</v>
      </c>
      <c r="O20" s="12"/>
      <c r="P20" s="7" t="s">
        <v>245</v>
      </c>
      <c r="Q20" s="7">
        <f t="shared" si="23"/>
        <v>5</v>
      </c>
      <c r="R20" s="7">
        <f t="shared" si="3"/>
        <v>4</v>
      </c>
      <c r="S20" s="7">
        <f t="shared" si="4"/>
        <v>3</v>
      </c>
      <c r="T20" s="7">
        <f t="shared" si="5"/>
        <v>6</v>
      </c>
      <c r="U20" s="7">
        <f t="shared" si="6"/>
        <v>4</v>
      </c>
      <c r="V20" s="7">
        <f t="shared" si="1"/>
        <v>1.5</v>
      </c>
      <c r="W20" s="7">
        <f t="shared" si="2"/>
        <v>23.5</v>
      </c>
      <c r="X20" s="7">
        <f t="shared" si="7"/>
        <v>1.18</v>
      </c>
      <c r="Y20" s="15">
        <f t="shared" si="8"/>
        <v>1180000</v>
      </c>
      <c r="Z20" s="18">
        <f t="shared" si="9"/>
        <v>1180000</v>
      </c>
    </row>
    <row r="21" spans="1:26" ht="48.6" x14ac:dyDescent="0.2">
      <c r="A21" s="94"/>
      <c r="B21" s="28"/>
      <c r="C21" s="7"/>
      <c r="D21" s="7" t="s">
        <v>286</v>
      </c>
      <c r="E21" s="7" t="s">
        <v>289</v>
      </c>
      <c r="F21" s="6" t="s">
        <v>290</v>
      </c>
      <c r="G21" s="12"/>
      <c r="H21" s="12"/>
      <c r="I21" s="12" t="s">
        <v>260</v>
      </c>
      <c r="J21" s="12"/>
      <c r="K21" s="12"/>
      <c r="L21" s="12" t="s">
        <v>260</v>
      </c>
      <c r="M21" s="12"/>
      <c r="N21" s="12" t="s">
        <v>260</v>
      </c>
      <c r="O21" s="12"/>
      <c r="P21" s="7" t="s">
        <v>245</v>
      </c>
      <c r="Q21" s="7">
        <f t="shared" si="23"/>
        <v>5</v>
      </c>
      <c r="R21" s="7">
        <f t="shared" si="3"/>
        <v>4</v>
      </c>
      <c r="S21" s="7">
        <f t="shared" si="4"/>
        <v>3</v>
      </c>
      <c r="T21" s="7">
        <f t="shared" si="5"/>
        <v>6</v>
      </c>
      <c r="U21" s="7">
        <f t="shared" si="6"/>
        <v>4</v>
      </c>
      <c r="V21" s="7">
        <f t="shared" si="1"/>
        <v>1.5</v>
      </c>
      <c r="W21" s="7">
        <f t="shared" si="2"/>
        <v>23.5</v>
      </c>
      <c r="X21" s="7">
        <f t="shared" si="7"/>
        <v>1.18</v>
      </c>
      <c r="Y21" s="15">
        <f t="shared" si="8"/>
        <v>1180000</v>
      </c>
      <c r="Z21" s="18">
        <f t="shared" si="9"/>
        <v>1180000</v>
      </c>
    </row>
    <row r="22" spans="1:26" ht="48.6" x14ac:dyDescent="0.2">
      <c r="A22" s="95" t="s">
        <v>395</v>
      </c>
      <c r="B22" s="28"/>
      <c r="C22" s="7"/>
      <c r="D22" s="7" t="s">
        <v>291</v>
      </c>
      <c r="E22" s="7" t="s">
        <v>292</v>
      </c>
      <c r="F22" s="6" t="s">
        <v>293</v>
      </c>
      <c r="G22" s="12"/>
      <c r="H22" s="12"/>
      <c r="I22" s="12" t="s">
        <v>260</v>
      </c>
      <c r="J22" s="12"/>
      <c r="K22" s="12"/>
      <c r="L22" s="12" t="s">
        <v>260</v>
      </c>
      <c r="M22" s="12"/>
      <c r="N22" s="12" t="s">
        <v>260</v>
      </c>
      <c r="O22" s="12"/>
      <c r="P22" s="79" t="s">
        <v>294</v>
      </c>
      <c r="Q22" s="79">
        <f t="shared" si="23"/>
        <v>7</v>
      </c>
      <c r="R22" s="79">
        <f t="shared" si="3"/>
        <v>5.6000000000000005</v>
      </c>
      <c r="S22" s="79">
        <f t="shared" si="4"/>
        <v>4.2</v>
      </c>
      <c r="T22" s="79">
        <f t="shared" si="5"/>
        <v>8.4</v>
      </c>
      <c r="U22" s="79">
        <f t="shared" si="6"/>
        <v>5.6000000000000005</v>
      </c>
      <c r="V22" s="79">
        <f t="shared" si="1"/>
        <v>2.1</v>
      </c>
      <c r="W22" s="79">
        <f t="shared" si="2"/>
        <v>32.900000000000006</v>
      </c>
      <c r="X22" s="79">
        <f t="shared" si="7"/>
        <v>1.65</v>
      </c>
      <c r="Y22" s="83">
        <f t="shared" si="8"/>
        <v>1650000</v>
      </c>
      <c r="Z22" s="18">
        <f t="shared" si="9"/>
        <v>1650000</v>
      </c>
    </row>
    <row r="23" spans="1:26" ht="81" x14ac:dyDescent="0.2">
      <c r="A23" s="95" t="s">
        <v>396</v>
      </c>
      <c r="B23" s="28"/>
      <c r="C23" s="7"/>
      <c r="D23" s="7" t="s">
        <v>291</v>
      </c>
      <c r="E23" s="7" t="s">
        <v>295</v>
      </c>
      <c r="F23" s="6" t="s">
        <v>397</v>
      </c>
      <c r="G23" s="12"/>
      <c r="H23" s="12"/>
      <c r="I23" s="12" t="s">
        <v>260</v>
      </c>
      <c r="J23" s="12"/>
      <c r="K23" s="12"/>
      <c r="L23" s="12" t="s">
        <v>260</v>
      </c>
      <c r="M23" s="12"/>
      <c r="N23" s="12" t="s">
        <v>260</v>
      </c>
      <c r="O23" s="12"/>
      <c r="P23" s="7" t="s">
        <v>297</v>
      </c>
      <c r="Q23" s="7">
        <f t="shared" si="23"/>
        <v>10</v>
      </c>
      <c r="R23" s="7">
        <f t="shared" si="3"/>
        <v>8</v>
      </c>
      <c r="S23" s="7">
        <f t="shared" ref="S23" si="24">Q23*0.6</f>
        <v>6</v>
      </c>
      <c r="T23" s="7">
        <f t="shared" si="5"/>
        <v>12</v>
      </c>
      <c r="U23" s="7">
        <f t="shared" ref="U23" si="25">Q23*0.8</f>
        <v>8</v>
      </c>
      <c r="V23" s="7">
        <f t="shared" si="1"/>
        <v>3</v>
      </c>
      <c r="W23" s="7">
        <f t="shared" si="2"/>
        <v>47</v>
      </c>
      <c r="X23" s="7">
        <f t="shared" si="7"/>
        <v>2.35</v>
      </c>
      <c r="Y23" s="15">
        <f t="shared" si="8"/>
        <v>2350000</v>
      </c>
      <c r="Z23" s="18">
        <f t="shared" si="9"/>
        <v>2350000</v>
      </c>
    </row>
    <row r="24" spans="1:26" s="92" customFormat="1" ht="48.6" x14ac:dyDescent="0.2">
      <c r="A24" s="94" t="s">
        <v>394</v>
      </c>
      <c r="B24" s="81"/>
      <c r="C24" s="79"/>
      <c r="D24" s="79" t="s">
        <v>291</v>
      </c>
      <c r="E24" s="79" t="s">
        <v>298</v>
      </c>
      <c r="F24" s="80" t="s">
        <v>299</v>
      </c>
      <c r="G24" s="82"/>
      <c r="H24" s="82"/>
      <c r="I24" s="82" t="s">
        <v>260</v>
      </c>
      <c r="J24" s="82"/>
      <c r="K24" s="82"/>
      <c r="L24" s="82" t="s">
        <v>260</v>
      </c>
      <c r="M24" s="82"/>
      <c r="N24" s="82" t="s">
        <v>260</v>
      </c>
      <c r="O24" s="82"/>
      <c r="P24" s="79" t="s">
        <v>246</v>
      </c>
      <c r="Q24" s="79">
        <f t="shared" si="23"/>
        <v>3</v>
      </c>
      <c r="R24" s="79">
        <f t="shared" ref="R24:R26" si="26">Q24*0.8</f>
        <v>2.4000000000000004</v>
      </c>
      <c r="S24" s="79">
        <f t="shared" ref="S24:S26" si="27">Q24*0.6</f>
        <v>1.7999999999999998</v>
      </c>
      <c r="T24" s="79">
        <f t="shared" ref="T24:T26" si="28">Q24*1.2</f>
        <v>3.5999999999999996</v>
      </c>
      <c r="U24" s="79">
        <f t="shared" ref="U24:U26" si="29">Q24*0.8</f>
        <v>2.4000000000000004</v>
      </c>
      <c r="V24" s="79">
        <f t="shared" ref="V24:V26" si="30">Q24*0.3</f>
        <v>0.89999999999999991</v>
      </c>
      <c r="W24" s="79">
        <f t="shared" ref="W24:W26" si="31">SUM(Q24:V24)</f>
        <v>14.100000000000001</v>
      </c>
      <c r="X24" s="79">
        <f t="shared" ref="X24:X26" si="32">ROUNDUP(W24/20,2)</f>
        <v>0.71</v>
      </c>
      <c r="Y24" s="83">
        <f t="shared" ref="Y24:Y26" si="33">Z24</f>
        <v>710000</v>
      </c>
      <c r="Z24" s="84">
        <f t="shared" ref="Z24:Z26" si="34">X24*1000000</f>
        <v>710000</v>
      </c>
    </row>
    <row r="25" spans="1:26" s="92" customFormat="1" ht="32.4" x14ac:dyDescent="0.2">
      <c r="A25" s="94" t="s">
        <v>394</v>
      </c>
      <c r="B25" s="81"/>
      <c r="C25" s="79"/>
      <c r="D25" s="79" t="s">
        <v>300</v>
      </c>
      <c r="E25" s="79" t="s">
        <v>301</v>
      </c>
      <c r="F25" s="80" t="s">
        <v>302</v>
      </c>
      <c r="G25" s="82"/>
      <c r="H25" s="82"/>
      <c r="I25" s="82" t="s">
        <v>260</v>
      </c>
      <c r="J25" s="82"/>
      <c r="K25" s="82"/>
      <c r="L25" s="82" t="s">
        <v>260</v>
      </c>
      <c r="M25" s="82"/>
      <c r="N25" s="82" t="s">
        <v>260</v>
      </c>
      <c r="O25" s="82"/>
      <c r="P25" s="79" t="s">
        <v>246</v>
      </c>
      <c r="Q25" s="79">
        <f t="shared" si="23"/>
        <v>3</v>
      </c>
      <c r="R25" s="79">
        <f t="shared" si="26"/>
        <v>2.4000000000000004</v>
      </c>
      <c r="S25" s="79">
        <f t="shared" si="27"/>
        <v>1.7999999999999998</v>
      </c>
      <c r="T25" s="79">
        <f t="shared" si="28"/>
        <v>3.5999999999999996</v>
      </c>
      <c r="U25" s="79">
        <f t="shared" si="29"/>
        <v>2.4000000000000004</v>
      </c>
      <c r="V25" s="79">
        <f t="shared" si="30"/>
        <v>0.89999999999999991</v>
      </c>
      <c r="W25" s="79">
        <f t="shared" si="31"/>
        <v>14.100000000000001</v>
      </c>
      <c r="X25" s="79">
        <f t="shared" si="32"/>
        <v>0.71</v>
      </c>
      <c r="Y25" s="83">
        <f t="shared" si="33"/>
        <v>710000</v>
      </c>
      <c r="Z25" s="84">
        <f t="shared" si="34"/>
        <v>710000</v>
      </c>
    </row>
    <row r="26" spans="1:26" s="92" customFormat="1" ht="32.4" x14ac:dyDescent="0.2">
      <c r="A26" s="94" t="s">
        <v>394</v>
      </c>
      <c r="B26" s="81"/>
      <c r="C26" s="79"/>
      <c r="D26" s="79" t="s">
        <v>300</v>
      </c>
      <c r="E26" s="79" t="s">
        <v>303</v>
      </c>
      <c r="F26" s="80" t="s">
        <v>304</v>
      </c>
      <c r="G26" s="82"/>
      <c r="H26" s="82"/>
      <c r="I26" s="82" t="s">
        <v>260</v>
      </c>
      <c r="J26" s="82"/>
      <c r="K26" s="82"/>
      <c r="L26" s="82" t="s">
        <v>260</v>
      </c>
      <c r="M26" s="82"/>
      <c r="N26" s="82" t="s">
        <v>260</v>
      </c>
      <c r="O26" s="82"/>
      <c r="P26" s="79" t="s">
        <v>246</v>
      </c>
      <c r="Q26" s="79">
        <f t="shared" si="23"/>
        <v>3</v>
      </c>
      <c r="R26" s="79">
        <f t="shared" si="26"/>
        <v>2.4000000000000004</v>
      </c>
      <c r="S26" s="79">
        <f t="shared" si="27"/>
        <v>1.7999999999999998</v>
      </c>
      <c r="T26" s="79">
        <f t="shared" si="28"/>
        <v>3.5999999999999996</v>
      </c>
      <c r="U26" s="79">
        <f t="shared" si="29"/>
        <v>2.4000000000000004</v>
      </c>
      <c r="V26" s="79">
        <f t="shared" si="30"/>
        <v>0.89999999999999991</v>
      </c>
      <c r="W26" s="79">
        <f t="shared" si="31"/>
        <v>14.100000000000001</v>
      </c>
      <c r="X26" s="79">
        <f t="shared" si="32"/>
        <v>0.71</v>
      </c>
      <c r="Y26" s="83">
        <f t="shared" si="33"/>
        <v>710000</v>
      </c>
      <c r="Z26" s="84">
        <f t="shared" si="34"/>
        <v>710000</v>
      </c>
    </row>
    <row r="27" spans="1:26" ht="48.6" x14ac:dyDescent="0.2">
      <c r="A27" s="95" t="s">
        <v>395</v>
      </c>
      <c r="B27" s="28"/>
      <c r="C27" s="7"/>
      <c r="D27" s="7" t="s">
        <v>300</v>
      </c>
      <c r="E27" s="29" t="s">
        <v>305</v>
      </c>
      <c r="F27" s="6" t="s">
        <v>306</v>
      </c>
      <c r="G27" s="12"/>
      <c r="H27" s="12"/>
      <c r="I27" s="12" t="s">
        <v>260</v>
      </c>
      <c r="J27" s="12"/>
      <c r="K27" s="12"/>
      <c r="L27" s="12" t="s">
        <v>260</v>
      </c>
      <c r="M27" s="12"/>
      <c r="N27" s="12" t="s">
        <v>260</v>
      </c>
      <c r="O27" s="12"/>
      <c r="P27" s="79" t="s">
        <v>246</v>
      </c>
      <c r="Q27" s="79">
        <f t="shared" si="23"/>
        <v>3</v>
      </c>
      <c r="R27" s="79">
        <f t="shared" si="3"/>
        <v>2.4000000000000004</v>
      </c>
      <c r="S27" s="79">
        <f t="shared" ref="S27" si="35">Q27*0.6</f>
        <v>1.7999999999999998</v>
      </c>
      <c r="T27" s="79">
        <f t="shared" si="5"/>
        <v>3.5999999999999996</v>
      </c>
      <c r="U27" s="79">
        <f t="shared" ref="U27" si="36">Q27*0.8</f>
        <v>2.4000000000000004</v>
      </c>
      <c r="V27" s="79">
        <f t="shared" si="1"/>
        <v>0.89999999999999991</v>
      </c>
      <c r="W27" s="79">
        <f t="shared" si="2"/>
        <v>14.100000000000001</v>
      </c>
      <c r="X27" s="79">
        <f t="shared" si="7"/>
        <v>0.71</v>
      </c>
      <c r="Y27" s="83">
        <f t="shared" si="8"/>
        <v>710000</v>
      </c>
      <c r="Z27" s="18">
        <f t="shared" si="9"/>
        <v>710000</v>
      </c>
    </row>
    <row r="28" spans="1:26" ht="81" x14ac:dyDescent="0.2">
      <c r="A28" s="94" t="s">
        <v>398</v>
      </c>
      <c r="B28" s="85"/>
      <c r="C28" s="86"/>
      <c r="D28" s="86" t="s">
        <v>300</v>
      </c>
      <c r="E28" s="87" t="s">
        <v>307</v>
      </c>
      <c r="F28" s="88" t="s">
        <v>308</v>
      </c>
      <c r="G28" s="89"/>
      <c r="H28" s="89"/>
      <c r="I28" s="89"/>
      <c r="J28" s="89" t="s">
        <v>260</v>
      </c>
      <c r="K28" s="89"/>
      <c r="L28" s="89" t="s">
        <v>260</v>
      </c>
      <c r="M28" s="89"/>
      <c r="N28" s="89"/>
      <c r="O28" s="89" t="s">
        <v>260</v>
      </c>
      <c r="P28" s="86" t="s">
        <v>309</v>
      </c>
      <c r="Q28" s="86"/>
      <c r="R28" s="86"/>
      <c r="S28" s="86"/>
      <c r="T28" s="86"/>
      <c r="U28" s="86"/>
      <c r="V28" s="86"/>
      <c r="W28" s="86"/>
      <c r="X28" s="86"/>
      <c r="Y28" s="90"/>
      <c r="Z28" s="91">
        <f t="shared" si="9"/>
        <v>0</v>
      </c>
    </row>
    <row r="29" spans="1:26" ht="64.8" x14ac:dyDescent="0.2">
      <c r="A29" s="94" t="s">
        <v>394</v>
      </c>
      <c r="B29" s="28"/>
      <c r="C29" s="7"/>
      <c r="D29" s="7" t="s">
        <v>300</v>
      </c>
      <c r="E29" s="79" t="s">
        <v>310</v>
      </c>
      <c r="F29" s="80" t="s">
        <v>311</v>
      </c>
      <c r="G29" s="12"/>
      <c r="H29" s="12"/>
      <c r="I29" s="12"/>
      <c r="J29" s="12" t="s">
        <v>312</v>
      </c>
      <c r="K29" s="12"/>
      <c r="L29" s="12" t="s">
        <v>312</v>
      </c>
      <c r="M29" s="12"/>
      <c r="N29" s="12"/>
      <c r="O29" s="12" t="s">
        <v>312</v>
      </c>
      <c r="P29" s="79" t="s">
        <v>246</v>
      </c>
      <c r="Q29" s="79">
        <f>IFERROR(HLOOKUP(P29,AB$1:AF$2,2,FALSE),0)</f>
        <v>3</v>
      </c>
      <c r="R29" s="79">
        <f t="shared" ref="R29:R31" si="37">Q29*0.8</f>
        <v>2.4000000000000004</v>
      </c>
      <c r="S29" s="79">
        <f t="shared" ref="S29:S31" si="38">Q29*0.6</f>
        <v>1.7999999999999998</v>
      </c>
      <c r="T29" s="79">
        <f t="shared" ref="T29:T31" si="39">Q29*1.2</f>
        <v>3.5999999999999996</v>
      </c>
      <c r="U29" s="79">
        <f t="shared" ref="U29:U31" si="40">Q29*0.8</f>
        <v>2.4000000000000004</v>
      </c>
      <c r="V29" s="79">
        <f t="shared" ref="V29:V31" si="41">Q29*0.3</f>
        <v>0.89999999999999991</v>
      </c>
      <c r="W29" s="79">
        <f t="shared" ref="W29:W31" si="42">SUM(Q29:V29)</f>
        <v>14.100000000000001</v>
      </c>
      <c r="X29" s="79">
        <f t="shared" ref="X29:X31" si="43">ROUNDUP(W29/20,2)</f>
        <v>0.71</v>
      </c>
      <c r="Y29" s="83">
        <f t="shared" ref="Y29:Y31" si="44">Z29</f>
        <v>710000</v>
      </c>
      <c r="Z29" s="18">
        <f t="shared" ref="Z29:Z31" si="45">X29*1000000</f>
        <v>710000</v>
      </c>
    </row>
    <row r="30" spans="1:26" ht="64.8" x14ac:dyDescent="0.2">
      <c r="A30" s="94" t="s">
        <v>394</v>
      </c>
      <c r="B30" s="28"/>
      <c r="C30" s="7"/>
      <c r="D30" s="7" t="s">
        <v>300</v>
      </c>
      <c r="E30" s="79" t="s">
        <v>313</v>
      </c>
      <c r="F30" s="80" t="s">
        <v>314</v>
      </c>
      <c r="G30" s="12"/>
      <c r="H30" s="12"/>
      <c r="I30" s="12"/>
      <c r="J30" s="12" t="s">
        <v>312</v>
      </c>
      <c r="K30" s="12"/>
      <c r="L30" s="12" t="s">
        <v>312</v>
      </c>
      <c r="M30" s="12"/>
      <c r="N30" s="12"/>
      <c r="O30" s="12" t="s">
        <v>312</v>
      </c>
      <c r="P30" s="79" t="s">
        <v>246</v>
      </c>
      <c r="Q30" s="79">
        <f>IFERROR(HLOOKUP(P30,AB$1:AF$2,2,FALSE),0)</f>
        <v>3</v>
      </c>
      <c r="R30" s="79">
        <f t="shared" si="37"/>
        <v>2.4000000000000004</v>
      </c>
      <c r="S30" s="79">
        <f t="shared" si="38"/>
        <v>1.7999999999999998</v>
      </c>
      <c r="T30" s="79">
        <f t="shared" si="39"/>
        <v>3.5999999999999996</v>
      </c>
      <c r="U30" s="79">
        <f t="shared" si="40"/>
        <v>2.4000000000000004</v>
      </c>
      <c r="V30" s="79">
        <f t="shared" si="41"/>
        <v>0.89999999999999991</v>
      </c>
      <c r="W30" s="79">
        <f t="shared" si="42"/>
        <v>14.100000000000001</v>
      </c>
      <c r="X30" s="79">
        <f t="shared" si="43"/>
        <v>0.71</v>
      </c>
      <c r="Y30" s="83">
        <f t="shared" si="44"/>
        <v>710000</v>
      </c>
      <c r="Z30" s="18">
        <f t="shared" si="45"/>
        <v>710000</v>
      </c>
    </row>
    <row r="31" spans="1:26" ht="48.6" x14ac:dyDescent="0.2">
      <c r="A31" s="94" t="s">
        <v>394</v>
      </c>
      <c r="B31" s="28"/>
      <c r="C31" s="7"/>
      <c r="D31" s="7" t="s">
        <v>300</v>
      </c>
      <c r="E31" s="79" t="s">
        <v>315</v>
      </c>
      <c r="F31" s="80" t="s">
        <v>316</v>
      </c>
      <c r="G31" s="12"/>
      <c r="H31" s="12"/>
      <c r="I31" s="12"/>
      <c r="J31" s="12" t="s">
        <v>312</v>
      </c>
      <c r="K31" s="12"/>
      <c r="L31" s="12" t="s">
        <v>312</v>
      </c>
      <c r="M31" s="12"/>
      <c r="N31" s="12"/>
      <c r="O31" s="12" t="s">
        <v>312</v>
      </c>
      <c r="P31" s="79" t="s">
        <v>245</v>
      </c>
      <c r="Q31" s="79">
        <f>IFERROR(HLOOKUP(P31,AB$1:AF$2,2,FALSE),0)</f>
        <v>5</v>
      </c>
      <c r="R31" s="79">
        <f t="shared" si="37"/>
        <v>4</v>
      </c>
      <c r="S31" s="79">
        <f t="shared" si="38"/>
        <v>3</v>
      </c>
      <c r="T31" s="79">
        <f t="shared" si="39"/>
        <v>6</v>
      </c>
      <c r="U31" s="79">
        <f t="shared" si="40"/>
        <v>4</v>
      </c>
      <c r="V31" s="79">
        <f t="shared" si="41"/>
        <v>1.5</v>
      </c>
      <c r="W31" s="79">
        <f t="shared" si="42"/>
        <v>23.5</v>
      </c>
      <c r="X31" s="79">
        <f t="shared" si="43"/>
        <v>1.18</v>
      </c>
      <c r="Y31" s="83">
        <f t="shared" si="44"/>
        <v>1180000</v>
      </c>
      <c r="Z31" s="18">
        <f t="shared" si="45"/>
        <v>1180000</v>
      </c>
    </row>
    <row r="32" spans="1:26" ht="64.8" x14ac:dyDescent="0.2">
      <c r="A32" s="94" t="s">
        <v>398</v>
      </c>
      <c r="B32" s="85"/>
      <c r="C32" s="86"/>
      <c r="D32" s="86" t="s">
        <v>300</v>
      </c>
      <c r="E32" s="87" t="s">
        <v>317</v>
      </c>
      <c r="F32" s="88" t="s">
        <v>318</v>
      </c>
      <c r="G32" s="89"/>
      <c r="H32" s="89"/>
      <c r="I32" s="89"/>
      <c r="J32" s="89" t="s">
        <v>260</v>
      </c>
      <c r="K32" s="89"/>
      <c r="L32" s="89" t="s">
        <v>260</v>
      </c>
      <c r="M32" s="89"/>
      <c r="N32" s="89"/>
      <c r="O32" s="89" t="s">
        <v>260</v>
      </c>
      <c r="P32" s="86" t="s">
        <v>309</v>
      </c>
      <c r="Q32" s="86"/>
      <c r="R32" s="86"/>
      <c r="S32" s="86"/>
      <c r="T32" s="86"/>
      <c r="U32" s="86"/>
      <c r="V32" s="86"/>
      <c r="W32" s="86"/>
      <c r="X32" s="86"/>
      <c r="Y32" s="90"/>
      <c r="Z32" s="91">
        <f t="shared" si="9"/>
        <v>0</v>
      </c>
    </row>
    <row r="33" spans="1:26" ht="69" customHeight="1" x14ac:dyDescent="0.2">
      <c r="A33" s="94" t="s">
        <v>398</v>
      </c>
      <c r="B33" s="85"/>
      <c r="C33" s="86"/>
      <c r="D33" s="86" t="s">
        <v>146</v>
      </c>
      <c r="E33" s="87" t="s">
        <v>319</v>
      </c>
      <c r="F33" s="88" t="s">
        <v>320</v>
      </c>
      <c r="G33" s="89"/>
      <c r="H33" s="89"/>
      <c r="I33" s="89"/>
      <c r="J33" s="89" t="s">
        <v>260</v>
      </c>
      <c r="K33" s="89"/>
      <c r="L33" s="89" t="s">
        <v>260</v>
      </c>
      <c r="M33" s="89"/>
      <c r="N33" s="89"/>
      <c r="O33" s="89" t="s">
        <v>260</v>
      </c>
      <c r="P33" s="86" t="s">
        <v>309</v>
      </c>
      <c r="Q33" s="86"/>
      <c r="R33" s="86"/>
      <c r="S33" s="86"/>
      <c r="T33" s="86"/>
      <c r="U33" s="86"/>
      <c r="V33" s="86"/>
      <c r="W33" s="86"/>
      <c r="X33" s="86"/>
      <c r="Y33" s="90"/>
      <c r="Z33" s="91">
        <f t="shared" si="9"/>
        <v>0</v>
      </c>
    </row>
    <row r="34" spans="1:26" ht="64.8" x14ac:dyDescent="0.2">
      <c r="A34" s="95" t="s">
        <v>396</v>
      </c>
      <c r="B34" s="28"/>
      <c r="C34" s="7"/>
      <c r="D34" s="7" t="s">
        <v>146</v>
      </c>
      <c r="E34" s="29" t="s">
        <v>321</v>
      </c>
      <c r="F34" s="6" t="s">
        <v>399</v>
      </c>
      <c r="G34" s="12"/>
      <c r="H34" s="12"/>
      <c r="I34" s="12" t="s">
        <v>260</v>
      </c>
      <c r="J34" s="12"/>
      <c r="K34" s="12"/>
      <c r="L34" s="12" t="s">
        <v>260</v>
      </c>
      <c r="M34" s="12"/>
      <c r="N34" s="12" t="s">
        <v>260</v>
      </c>
      <c r="O34" s="12"/>
      <c r="P34" s="7" t="s">
        <v>246</v>
      </c>
      <c r="Q34" s="7">
        <f t="shared" ref="Q34:Q48" si="46">IFERROR(HLOOKUP(P34,AB$1:AF$2,2,FALSE),0)</f>
        <v>3</v>
      </c>
      <c r="R34" s="7">
        <f t="shared" si="3"/>
        <v>2.4000000000000004</v>
      </c>
      <c r="S34" s="7">
        <f t="shared" ref="S34:S38" si="47">Q34*0.6</f>
        <v>1.7999999999999998</v>
      </c>
      <c r="T34" s="7">
        <f t="shared" si="5"/>
        <v>3.5999999999999996</v>
      </c>
      <c r="U34" s="7">
        <f t="shared" ref="U34:U38" si="48">Q34*0.8</f>
        <v>2.4000000000000004</v>
      </c>
      <c r="V34" s="7">
        <f t="shared" si="1"/>
        <v>0.89999999999999991</v>
      </c>
      <c r="W34" s="7">
        <f t="shared" si="2"/>
        <v>14.100000000000001</v>
      </c>
      <c r="X34" s="7">
        <f t="shared" si="7"/>
        <v>0.71</v>
      </c>
      <c r="Y34" s="15">
        <f t="shared" si="8"/>
        <v>710000</v>
      </c>
      <c r="Z34" s="18">
        <f t="shared" si="9"/>
        <v>710000</v>
      </c>
    </row>
    <row r="35" spans="1:26" ht="48.6" x14ac:dyDescent="0.2">
      <c r="A35" s="95" t="s">
        <v>396</v>
      </c>
      <c r="B35" s="28"/>
      <c r="C35" s="7"/>
      <c r="D35" s="7" t="s">
        <v>146</v>
      </c>
      <c r="E35" s="29" t="s">
        <v>323</v>
      </c>
      <c r="F35" s="6" t="s">
        <v>400</v>
      </c>
      <c r="G35" s="12"/>
      <c r="H35" s="12"/>
      <c r="I35" s="12" t="s">
        <v>260</v>
      </c>
      <c r="J35" s="12"/>
      <c r="K35" s="12"/>
      <c r="L35" s="12" t="s">
        <v>260</v>
      </c>
      <c r="M35" s="12"/>
      <c r="N35" s="12" t="s">
        <v>260</v>
      </c>
      <c r="O35" s="12"/>
      <c r="P35" s="7" t="s">
        <v>246</v>
      </c>
      <c r="Q35" s="7">
        <f t="shared" si="46"/>
        <v>3</v>
      </c>
      <c r="R35" s="7">
        <f t="shared" si="3"/>
        <v>2.4000000000000004</v>
      </c>
      <c r="S35" s="7">
        <f t="shared" si="47"/>
        <v>1.7999999999999998</v>
      </c>
      <c r="T35" s="7">
        <f t="shared" si="5"/>
        <v>3.5999999999999996</v>
      </c>
      <c r="U35" s="7">
        <f t="shared" si="48"/>
        <v>2.4000000000000004</v>
      </c>
      <c r="V35" s="7">
        <f t="shared" si="1"/>
        <v>0.89999999999999991</v>
      </c>
      <c r="W35" s="7">
        <f t="shared" si="2"/>
        <v>14.100000000000001</v>
      </c>
      <c r="X35" s="7">
        <f t="shared" si="7"/>
        <v>0.71</v>
      </c>
      <c r="Y35" s="15">
        <f t="shared" si="8"/>
        <v>710000</v>
      </c>
      <c r="Z35" s="18">
        <f t="shared" si="9"/>
        <v>710000</v>
      </c>
    </row>
    <row r="36" spans="1:26" ht="64.8" x14ac:dyDescent="0.2">
      <c r="A36" s="95" t="s">
        <v>396</v>
      </c>
      <c r="B36" s="28"/>
      <c r="C36" s="7"/>
      <c r="D36" s="7" t="s">
        <v>146</v>
      </c>
      <c r="E36" s="29" t="s">
        <v>325</v>
      </c>
      <c r="F36" s="6" t="s">
        <v>401</v>
      </c>
      <c r="G36" s="12"/>
      <c r="H36" s="12"/>
      <c r="I36" s="12" t="s">
        <v>260</v>
      </c>
      <c r="J36" s="12"/>
      <c r="K36" s="12"/>
      <c r="L36" s="12" t="s">
        <v>260</v>
      </c>
      <c r="M36" s="12"/>
      <c r="N36" s="12" t="s">
        <v>260</v>
      </c>
      <c r="O36" s="12"/>
      <c r="P36" s="7" t="s">
        <v>246</v>
      </c>
      <c r="Q36" s="7">
        <f t="shared" si="46"/>
        <v>3</v>
      </c>
      <c r="R36" s="7">
        <f t="shared" si="3"/>
        <v>2.4000000000000004</v>
      </c>
      <c r="S36" s="7">
        <f t="shared" si="47"/>
        <v>1.7999999999999998</v>
      </c>
      <c r="T36" s="7">
        <f t="shared" si="5"/>
        <v>3.5999999999999996</v>
      </c>
      <c r="U36" s="7">
        <f t="shared" si="48"/>
        <v>2.4000000000000004</v>
      </c>
      <c r="V36" s="7">
        <f t="shared" si="1"/>
        <v>0.89999999999999991</v>
      </c>
      <c r="W36" s="7">
        <f t="shared" si="2"/>
        <v>14.100000000000001</v>
      </c>
      <c r="X36" s="7">
        <f t="shared" si="7"/>
        <v>0.71</v>
      </c>
      <c r="Y36" s="15">
        <f t="shared" si="8"/>
        <v>710000</v>
      </c>
      <c r="Z36" s="18">
        <f t="shared" si="9"/>
        <v>710000</v>
      </c>
    </row>
    <row r="37" spans="1:26" ht="48.6" x14ac:dyDescent="0.2">
      <c r="A37" s="95" t="s">
        <v>396</v>
      </c>
      <c r="B37" s="28"/>
      <c r="C37" s="7"/>
      <c r="D37" s="7" t="s">
        <v>146</v>
      </c>
      <c r="E37" s="29" t="s">
        <v>327</v>
      </c>
      <c r="F37" s="6" t="s">
        <v>402</v>
      </c>
      <c r="G37" s="12"/>
      <c r="H37" s="12"/>
      <c r="I37" s="12" t="s">
        <v>260</v>
      </c>
      <c r="J37" s="12"/>
      <c r="K37" s="12"/>
      <c r="L37" s="12" t="s">
        <v>260</v>
      </c>
      <c r="M37" s="12"/>
      <c r="N37" s="12" t="s">
        <v>260</v>
      </c>
      <c r="O37" s="12"/>
      <c r="P37" s="7" t="s">
        <v>246</v>
      </c>
      <c r="Q37" s="7">
        <f t="shared" si="46"/>
        <v>3</v>
      </c>
      <c r="R37" s="7">
        <f t="shared" si="3"/>
        <v>2.4000000000000004</v>
      </c>
      <c r="S37" s="7">
        <f t="shared" si="47"/>
        <v>1.7999999999999998</v>
      </c>
      <c r="T37" s="7">
        <f t="shared" si="5"/>
        <v>3.5999999999999996</v>
      </c>
      <c r="U37" s="7">
        <f t="shared" si="48"/>
        <v>2.4000000000000004</v>
      </c>
      <c r="V37" s="7">
        <f t="shared" si="1"/>
        <v>0.89999999999999991</v>
      </c>
      <c r="W37" s="7">
        <f t="shared" si="2"/>
        <v>14.100000000000001</v>
      </c>
      <c r="X37" s="7">
        <f t="shared" si="7"/>
        <v>0.71</v>
      </c>
      <c r="Y37" s="15">
        <f t="shared" si="8"/>
        <v>710000</v>
      </c>
      <c r="Z37" s="18">
        <f t="shared" si="9"/>
        <v>710000</v>
      </c>
    </row>
    <row r="38" spans="1:26" ht="48.6" x14ac:dyDescent="0.2">
      <c r="A38" s="94"/>
      <c r="B38" s="28"/>
      <c r="C38" s="7"/>
      <c r="D38" s="7" t="s">
        <v>146</v>
      </c>
      <c r="E38" s="29" t="s">
        <v>329</v>
      </c>
      <c r="F38" s="6" t="s">
        <v>330</v>
      </c>
      <c r="G38" s="12"/>
      <c r="H38" s="12" t="s">
        <v>260</v>
      </c>
      <c r="I38" s="12"/>
      <c r="J38" s="12"/>
      <c r="K38" s="12" t="s">
        <v>312</v>
      </c>
      <c r="L38" s="12"/>
      <c r="M38" s="12"/>
      <c r="N38" s="12" t="s">
        <v>260</v>
      </c>
      <c r="O38" s="12"/>
      <c r="P38" s="7" t="s">
        <v>294</v>
      </c>
      <c r="Q38" s="7">
        <f t="shared" si="46"/>
        <v>7</v>
      </c>
      <c r="R38" s="7">
        <f t="shared" si="3"/>
        <v>5.6000000000000005</v>
      </c>
      <c r="S38" s="7">
        <f t="shared" si="47"/>
        <v>4.2</v>
      </c>
      <c r="T38" s="7">
        <f t="shared" si="5"/>
        <v>8.4</v>
      </c>
      <c r="U38" s="7">
        <f t="shared" si="48"/>
        <v>5.6000000000000005</v>
      </c>
      <c r="V38" s="7">
        <f t="shared" si="1"/>
        <v>2.1</v>
      </c>
      <c r="W38" s="7">
        <f t="shared" si="2"/>
        <v>32.900000000000006</v>
      </c>
      <c r="X38" s="7">
        <f t="shared" si="7"/>
        <v>1.65</v>
      </c>
      <c r="Y38" s="15">
        <f t="shared" si="8"/>
        <v>1650000</v>
      </c>
      <c r="Z38" s="18">
        <f t="shared" si="9"/>
        <v>1650000</v>
      </c>
    </row>
    <row r="39" spans="1:26" s="92" customFormat="1" ht="64.8" x14ac:dyDescent="0.2">
      <c r="A39" s="94" t="s">
        <v>394</v>
      </c>
      <c r="B39" s="81"/>
      <c r="C39" s="79"/>
      <c r="D39" s="79" t="s">
        <v>146</v>
      </c>
      <c r="E39" s="79" t="s">
        <v>331</v>
      </c>
      <c r="F39" s="80" t="s">
        <v>332</v>
      </c>
      <c r="G39" s="82"/>
      <c r="H39" s="82"/>
      <c r="I39" s="82" t="s">
        <v>260</v>
      </c>
      <c r="J39" s="82"/>
      <c r="K39" s="82"/>
      <c r="L39" s="82" t="s">
        <v>260</v>
      </c>
      <c r="M39" s="82"/>
      <c r="N39" s="82" t="s">
        <v>260</v>
      </c>
      <c r="O39" s="82"/>
      <c r="P39" s="79" t="s">
        <v>245</v>
      </c>
      <c r="Q39" s="79">
        <f t="shared" si="46"/>
        <v>5</v>
      </c>
      <c r="R39" s="79">
        <f t="shared" ref="R39:R40" si="49">Q39*0.8</f>
        <v>4</v>
      </c>
      <c r="S39" s="79">
        <f t="shared" ref="S39:S40" si="50">Q39*0.6</f>
        <v>3</v>
      </c>
      <c r="T39" s="79">
        <f t="shared" ref="T39:T40" si="51">Q39*1.2</f>
        <v>6</v>
      </c>
      <c r="U39" s="79">
        <f t="shared" ref="U39:U40" si="52">Q39*0.8</f>
        <v>4</v>
      </c>
      <c r="V39" s="79">
        <f t="shared" ref="V39:V40" si="53">Q39*0.3</f>
        <v>1.5</v>
      </c>
      <c r="W39" s="79">
        <f t="shared" ref="W39:W40" si="54">SUM(Q39:V39)</f>
        <v>23.5</v>
      </c>
      <c r="X39" s="79">
        <f t="shared" ref="X39:X40" si="55">ROUNDUP(W39/20,2)</f>
        <v>1.18</v>
      </c>
      <c r="Y39" s="83">
        <f t="shared" ref="Y39:Y40" si="56">Z39</f>
        <v>1180000</v>
      </c>
      <c r="Z39" s="84">
        <f t="shared" ref="Z39:Z40" si="57">X39*1000000</f>
        <v>1180000</v>
      </c>
    </row>
    <row r="40" spans="1:26" s="92" customFormat="1" ht="64.8" x14ac:dyDescent="0.2">
      <c r="A40" s="94" t="s">
        <v>394</v>
      </c>
      <c r="B40" s="81"/>
      <c r="C40" s="79"/>
      <c r="D40" s="79" t="s">
        <v>146</v>
      </c>
      <c r="E40" s="79" t="s">
        <v>333</v>
      </c>
      <c r="F40" s="80" t="s">
        <v>334</v>
      </c>
      <c r="G40" s="82"/>
      <c r="H40" s="82"/>
      <c r="I40" s="82" t="s">
        <v>260</v>
      </c>
      <c r="J40" s="82"/>
      <c r="K40" s="82"/>
      <c r="L40" s="82" t="s">
        <v>260</v>
      </c>
      <c r="M40" s="82"/>
      <c r="N40" s="82" t="s">
        <v>260</v>
      </c>
      <c r="O40" s="82"/>
      <c r="P40" s="79" t="s">
        <v>246</v>
      </c>
      <c r="Q40" s="79">
        <f t="shared" si="46"/>
        <v>3</v>
      </c>
      <c r="R40" s="79">
        <f t="shared" si="49"/>
        <v>2.4000000000000004</v>
      </c>
      <c r="S40" s="79">
        <f t="shared" si="50"/>
        <v>1.7999999999999998</v>
      </c>
      <c r="T40" s="79">
        <f t="shared" si="51"/>
        <v>3.5999999999999996</v>
      </c>
      <c r="U40" s="79">
        <f t="shared" si="52"/>
        <v>2.4000000000000004</v>
      </c>
      <c r="V40" s="79">
        <f t="shared" si="53"/>
        <v>0.89999999999999991</v>
      </c>
      <c r="W40" s="79">
        <f t="shared" si="54"/>
        <v>14.100000000000001</v>
      </c>
      <c r="X40" s="79">
        <f t="shared" si="55"/>
        <v>0.71</v>
      </c>
      <c r="Y40" s="83">
        <f t="shared" si="56"/>
        <v>710000</v>
      </c>
      <c r="Z40" s="84">
        <f t="shared" si="57"/>
        <v>710000</v>
      </c>
    </row>
    <row r="41" spans="1:26" ht="32.4" x14ac:dyDescent="0.2">
      <c r="A41" s="94"/>
      <c r="B41" s="28"/>
      <c r="C41" s="7" t="s">
        <v>335</v>
      </c>
      <c r="D41" s="7" t="s">
        <v>273</v>
      </c>
      <c r="E41" s="7" t="s">
        <v>336</v>
      </c>
      <c r="F41" s="6" t="s">
        <v>337</v>
      </c>
      <c r="G41" s="12" t="s">
        <v>260</v>
      </c>
      <c r="H41" s="12"/>
      <c r="I41" s="12"/>
      <c r="J41" s="12"/>
      <c r="K41" s="12" t="s">
        <v>312</v>
      </c>
      <c r="L41" s="12"/>
      <c r="M41" s="12" t="s">
        <v>260</v>
      </c>
      <c r="N41" s="12"/>
      <c r="O41" s="12"/>
      <c r="P41" s="7" t="s">
        <v>246</v>
      </c>
      <c r="Q41" s="7">
        <f t="shared" si="46"/>
        <v>3</v>
      </c>
      <c r="R41" s="7">
        <f t="shared" si="3"/>
        <v>2.4000000000000004</v>
      </c>
      <c r="S41" s="7">
        <f t="shared" si="4"/>
        <v>1.7999999999999998</v>
      </c>
      <c r="T41" s="7">
        <f t="shared" si="5"/>
        <v>3.5999999999999996</v>
      </c>
      <c r="U41" s="7">
        <f t="shared" si="6"/>
        <v>2.4000000000000004</v>
      </c>
      <c r="V41" s="7">
        <f t="shared" si="1"/>
        <v>0.89999999999999991</v>
      </c>
      <c r="W41" s="7">
        <f t="shared" si="2"/>
        <v>14.100000000000001</v>
      </c>
      <c r="X41" s="7">
        <f t="shared" si="7"/>
        <v>0.71</v>
      </c>
      <c r="Y41" s="15">
        <f t="shared" si="8"/>
        <v>710000</v>
      </c>
      <c r="Z41" s="18">
        <f t="shared" si="9"/>
        <v>710000</v>
      </c>
    </row>
    <row r="42" spans="1:26" ht="48.6" x14ac:dyDescent="0.2">
      <c r="A42" s="94"/>
      <c r="B42" s="28"/>
      <c r="C42" s="7"/>
      <c r="D42" s="7" t="s">
        <v>273</v>
      </c>
      <c r="E42" s="7" t="s">
        <v>338</v>
      </c>
      <c r="F42" s="6" t="s">
        <v>339</v>
      </c>
      <c r="G42" s="12"/>
      <c r="H42" s="12" t="s">
        <v>260</v>
      </c>
      <c r="I42" s="12"/>
      <c r="J42" s="12"/>
      <c r="K42" s="12" t="s">
        <v>312</v>
      </c>
      <c r="L42" s="12"/>
      <c r="M42" s="12"/>
      <c r="N42" s="12" t="s">
        <v>260</v>
      </c>
      <c r="O42" s="12"/>
      <c r="P42" s="7" t="s">
        <v>246</v>
      </c>
      <c r="Q42" s="7">
        <f t="shared" si="46"/>
        <v>3</v>
      </c>
      <c r="R42" s="7">
        <f t="shared" si="3"/>
        <v>2.4000000000000004</v>
      </c>
      <c r="S42" s="7">
        <f t="shared" si="4"/>
        <v>1.7999999999999998</v>
      </c>
      <c r="T42" s="7">
        <f t="shared" si="5"/>
        <v>3.5999999999999996</v>
      </c>
      <c r="U42" s="7">
        <f t="shared" si="6"/>
        <v>2.4000000000000004</v>
      </c>
      <c r="V42" s="7">
        <f t="shared" si="1"/>
        <v>0.89999999999999991</v>
      </c>
      <c r="W42" s="7">
        <f t="shared" si="2"/>
        <v>14.100000000000001</v>
      </c>
      <c r="X42" s="7">
        <f t="shared" si="7"/>
        <v>0.71</v>
      </c>
      <c r="Y42" s="15">
        <f t="shared" si="8"/>
        <v>710000</v>
      </c>
      <c r="Z42" s="18">
        <f t="shared" si="9"/>
        <v>710000</v>
      </c>
    </row>
    <row r="43" spans="1:26" ht="32.4" x14ac:dyDescent="0.2">
      <c r="A43" s="94"/>
      <c r="B43" s="28"/>
      <c r="C43" s="7"/>
      <c r="D43" s="7" t="s">
        <v>273</v>
      </c>
      <c r="E43" s="7" t="s">
        <v>340</v>
      </c>
      <c r="F43" s="6" t="s">
        <v>341</v>
      </c>
      <c r="G43" s="12" t="s">
        <v>260</v>
      </c>
      <c r="H43" s="12"/>
      <c r="I43" s="12"/>
      <c r="J43" s="12"/>
      <c r="K43" s="12" t="s">
        <v>312</v>
      </c>
      <c r="L43" s="12"/>
      <c r="M43" s="12" t="s">
        <v>260</v>
      </c>
      <c r="N43" s="12"/>
      <c r="O43" s="12"/>
      <c r="P43" s="7" t="s">
        <v>245</v>
      </c>
      <c r="Q43" s="7">
        <f t="shared" si="46"/>
        <v>5</v>
      </c>
      <c r="R43" s="7">
        <f t="shared" si="3"/>
        <v>4</v>
      </c>
      <c r="S43" s="7">
        <f t="shared" si="4"/>
        <v>3</v>
      </c>
      <c r="T43" s="7">
        <f t="shared" si="5"/>
        <v>6</v>
      </c>
      <c r="U43" s="7">
        <f t="shared" si="6"/>
        <v>4</v>
      </c>
      <c r="V43" s="7">
        <f t="shared" si="1"/>
        <v>1.5</v>
      </c>
      <c r="W43" s="7">
        <f t="shared" si="2"/>
        <v>23.5</v>
      </c>
      <c r="X43" s="7">
        <f t="shared" si="7"/>
        <v>1.18</v>
      </c>
      <c r="Y43" s="15">
        <f t="shared" si="8"/>
        <v>1180000</v>
      </c>
      <c r="Z43" s="18">
        <f t="shared" si="9"/>
        <v>1180000</v>
      </c>
    </row>
    <row r="44" spans="1:26" ht="32.4" x14ac:dyDescent="0.2">
      <c r="A44" s="94"/>
      <c r="B44" s="28"/>
      <c r="C44" s="7"/>
      <c r="D44" s="7" t="s">
        <v>273</v>
      </c>
      <c r="E44" s="7" t="s">
        <v>342</v>
      </c>
      <c r="F44" s="6" t="s">
        <v>343</v>
      </c>
      <c r="G44" s="12"/>
      <c r="H44" s="12" t="s">
        <v>260</v>
      </c>
      <c r="I44" s="12"/>
      <c r="J44" s="12"/>
      <c r="K44" s="12" t="s">
        <v>312</v>
      </c>
      <c r="L44" s="12"/>
      <c r="M44" s="12"/>
      <c r="N44" s="12" t="s">
        <v>260</v>
      </c>
      <c r="O44" s="12"/>
      <c r="P44" s="7" t="s">
        <v>245</v>
      </c>
      <c r="Q44" s="7">
        <f t="shared" si="46"/>
        <v>5</v>
      </c>
      <c r="R44" s="7">
        <f t="shared" si="3"/>
        <v>4</v>
      </c>
      <c r="S44" s="7">
        <f t="shared" si="4"/>
        <v>3</v>
      </c>
      <c r="T44" s="7">
        <f t="shared" si="5"/>
        <v>6</v>
      </c>
      <c r="U44" s="7">
        <f t="shared" si="6"/>
        <v>4</v>
      </c>
      <c r="V44" s="7">
        <f t="shared" si="1"/>
        <v>1.5</v>
      </c>
      <c r="W44" s="7">
        <f t="shared" si="2"/>
        <v>23.5</v>
      </c>
      <c r="X44" s="7">
        <f t="shared" si="7"/>
        <v>1.18</v>
      </c>
      <c r="Y44" s="15">
        <f t="shared" si="8"/>
        <v>1180000</v>
      </c>
      <c r="Z44" s="18">
        <f t="shared" si="9"/>
        <v>1180000</v>
      </c>
    </row>
    <row r="45" spans="1:26" ht="32.4" x14ac:dyDescent="0.2">
      <c r="A45" s="94"/>
      <c r="B45" s="28"/>
      <c r="C45" s="7"/>
      <c r="D45" s="7" t="s">
        <v>286</v>
      </c>
      <c r="E45" s="7" t="s">
        <v>344</v>
      </c>
      <c r="F45" s="6" t="s">
        <v>345</v>
      </c>
      <c r="G45" s="12"/>
      <c r="H45" s="12"/>
      <c r="I45" s="12" t="s">
        <v>260</v>
      </c>
      <c r="J45" s="12"/>
      <c r="K45" s="12"/>
      <c r="L45" s="12" t="s">
        <v>260</v>
      </c>
      <c r="M45" s="12"/>
      <c r="N45" s="12" t="s">
        <v>260</v>
      </c>
      <c r="O45" s="12"/>
      <c r="P45" s="7" t="s">
        <v>245</v>
      </c>
      <c r="Q45" s="7">
        <f t="shared" si="46"/>
        <v>5</v>
      </c>
      <c r="R45" s="7">
        <f t="shared" si="3"/>
        <v>4</v>
      </c>
      <c r="S45" s="7">
        <f t="shared" si="4"/>
        <v>3</v>
      </c>
      <c r="T45" s="7">
        <f t="shared" si="5"/>
        <v>6</v>
      </c>
      <c r="U45" s="7">
        <f t="shared" si="6"/>
        <v>4</v>
      </c>
      <c r="V45" s="7">
        <f t="shared" si="1"/>
        <v>1.5</v>
      </c>
      <c r="W45" s="7">
        <f t="shared" si="2"/>
        <v>23.5</v>
      </c>
      <c r="X45" s="7">
        <f t="shared" si="7"/>
        <v>1.18</v>
      </c>
      <c r="Y45" s="15">
        <f t="shared" si="8"/>
        <v>1180000</v>
      </c>
      <c r="Z45" s="18">
        <f t="shared" si="9"/>
        <v>1180000</v>
      </c>
    </row>
    <row r="46" spans="1:26" ht="32.4" x14ac:dyDescent="0.2">
      <c r="A46" s="94"/>
      <c r="B46" s="28"/>
      <c r="C46" s="7"/>
      <c r="D46" s="7" t="s">
        <v>286</v>
      </c>
      <c r="E46" s="7" t="s">
        <v>346</v>
      </c>
      <c r="F46" s="6" t="s">
        <v>347</v>
      </c>
      <c r="G46" s="12"/>
      <c r="H46" s="12"/>
      <c r="I46" s="12" t="s">
        <v>260</v>
      </c>
      <c r="J46" s="12"/>
      <c r="K46" s="12"/>
      <c r="L46" s="12" t="s">
        <v>260</v>
      </c>
      <c r="M46" s="12"/>
      <c r="N46" s="12" t="s">
        <v>260</v>
      </c>
      <c r="O46" s="12"/>
      <c r="P46" s="7" t="s">
        <v>245</v>
      </c>
      <c r="Q46" s="7">
        <f t="shared" si="46"/>
        <v>5</v>
      </c>
      <c r="R46" s="7">
        <f t="shared" si="3"/>
        <v>4</v>
      </c>
      <c r="S46" s="7">
        <f t="shared" si="4"/>
        <v>3</v>
      </c>
      <c r="T46" s="7">
        <f t="shared" si="5"/>
        <v>6</v>
      </c>
      <c r="U46" s="7">
        <f t="shared" si="6"/>
        <v>4</v>
      </c>
      <c r="V46" s="7">
        <f t="shared" si="1"/>
        <v>1.5</v>
      </c>
      <c r="W46" s="7">
        <f t="shared" si="2"/>
        <v>23.5</v>
      </c>
      <c r="X46" s="7">
        <f t="shared" si="7"/>
        <v>1.18</v>
      </c>
      <c r="Y46" s="15">
        <f t="shared" si="8"/>
        <v>1180000</v>
      </c>
      <c r="Z46" s="18">
        <f t="shared" si="9"/>
        <v>1180000</v>
      </c>
    </row>
    <row r="47" spans="1:26" ht="48.6" x14ac:dyDescent="0.2">
      <c r="A47" s="94"/>
      <c r="B47" s="28"/>
      <c r="C47" s="7"/>
      <c r="D47" s="7" t="s">
        <v>348</v>
      </c>
      <c r="E47" s="7" t="s">
        <v>349</v>
      </c>
      <c r="F47" s="6" t="s">
        <v>350</v>
      </c>
      <c r="G47" s="12"/>
      <c r="H47" s="12"/>
      <c r="I47" s="12" t="s">
        <v>260</v>
      </c>
      <c r="J47" s="12"/>
      <c r="K47" s="12"/>
      <c r="L47" s="12" t="s">
        <v>260</v>
      </c>
      <c r="M47" s="12"/>
      <c r="N47" s="12" t="s">
        <v>260</v>
      </c>
      <c r="O47" s="12"/>
      <c r="P47" s="7" t="s">
        <v>294</v>
      </c>
      <c r="Q47" s="7">
        <f t="shared" si="46"/>
        <v>7</v>
      </c>
      <c r="R47" s="7">
        <f t="shared" si="3"/>
        <v>5.6000000000000005</v>
      </c>
      <c r="S47" s="7">
        <f t="shared" si="4"/>
        <v>4.2</v>
      </c>
      <c r="T47" s="7">
        <f t="shared" si="5"/>
        <v>8.4</v>
      </c>
      <c r="U47" s="7">
        <f t="shared" si="6"/>
        <v>5.6000000000000005</v>
      </c>
      <c r="V47" s="7">
        <f t="shared" si="1"/>
        <v>2.1</v>
      </c>
      <c r="W47" s="7">
        <f t="shared" si="2"/>
        <v>32.900000000000006</v>
      </c>
      <c r="X47" s="7">
        <f t="shared" si="7"/>
        <v>1.65</v>
      </c>
      <c r="Y47" s="15">
        <f t="shared" si="8"/>
        <v>1650000</v>
      </c>
      <c r="Z47" s="18">
        <f t="shared" si="9"/>
        <v>1650000</v>
      </c>
    </row>
    <row r="48" spans="1:26" ht="64.8" x14ac:dyDescent="0.2">
      <c r="A48" s="95" t="s">
        <v>396</v>
      </c>
      <c r="B48" s="28"/>
      <c r="C48" s="7"/>
      <c r="D48" s="7" t="s">
        <v>348</v>
      </c>
      <c r="E48" s="7" t="s">
        <v>351</v>
      </c>
      <c r="F48" s="6" t="s">
        <v>403</v>
      </c>
      <c r="G48" s="12"/>
      <c r="H48" s="12"/>
      <c r="I48" s="12" t="s">
        <v>260</v>
      </c>
      <c r="J48" s="12"/>
      <c r="K48" s="12"/>
      <c r="L48" s="12" t="s">
        <v>260</v>
      </c>
      <c r="M48" s="12"/>
      <c r="N48" s="12" t="s">
        <v>260</v>
      </c>
      <c r="O48" s="12"/>
      <c r="P48" s="7" t="s">
        <v>294</v>
      </c>
      <c r="Q48" s="7">
        <f t="shared" si="46"/>
        <v>7</v>
      </c>
      <c r="R48" s="7">
        <f t="shared" si="3"/>
        <v>5.6000000000000005</v>
      </c>
      <c r="S48" s="7">
        <f t="shared" si="4"/>
        <v>4.2</v>
      </c>
      <c r="T48" s="7">
        <f t="shared" si="5"/>
        <v>8.4</v>
      </c>
      <c r="U48" s="7">
        <f t="shared" si="6"/>
        <v>5.6000000000000005</v>
      </c>
      <c r="V48" s="7">
        <f t="shared" si="1"/>
        <v>2.1</v>
      </c>
      <c r="W48" s="7">
        <f t="shared" si="2"/>
        <v>32.900000000000006</v>
      </c>
      <c r="X48" s="7">
        <f t="shared" si="7"/>
        <v>1.65</v>
      </c>
      <c r="Y48" s="15">
        <f t="shared" si="8"/>
        <v>1650000</v>
      </c>
      <c r="Z48" s="18">
        <f t="shared" si="9"/>
        <v>1650000</v>
      </c>
    </row>
    <row r="49" spans="1:26" ht="48.6" x14ac:dyDescent="0.2">
      <c r="A49" s="94" t="s">
        <v>398</v>
      </c>
      <c r="B49" s="85"/>
      <c r="C49" s="86"/>
      <c r="D49" s="86" t="s">
        <v>300</v>
      </c>
      <c r="E49" s="87" t="s">
        <v>353</v>
      </c>
      <c r="F49" s="88" t="s">
        <v>354</v>
      </c>
      <c r="G49" s="89"/>
      <c r="H49" s="89"/>
      <c r="I49" s="89"/>
      <c r="J49" s="89" t="s">
        <v>260</v>
      </c>
      <c r="K49" s="89"/>
      <c r="L49" s="89" t="s">
        <v>260</v>
      </c>
      <c r="M49" s="89"/>
      <c r="N49" s="89"/>
      <c r="O49" s="89" t="s">
        <v>260</v>
      </c>
      <c r="P49" s="86" t="s">
        <v>245</v>
      </c>
      <c r="Q49" s="86"/>
      <c r="R49" s="86"/>
      <c r="S49" s="86"/>
      <c r="T49" s="86"/>
      <c r="U49" s="86"/>
      <c r="V49" s="86"/>
      <c r="W49" s="86"/>
      <c r="X49" s="86"/>
      <c r="Y49" s="90"/>
      <c r="Z49" s="91">
        <f t="shared" si="9"/>
        <v>0</v>
      </c>
    </row>
    <row r="50" spans="1:26" ht="48.6" x14ac:dyDescent="0.2">
      <c r="A50" s="94" t="s">
        <v>398</v>
      </c>
      <c r="B50" s="85"/>
      <c r="C50" s="86"/>
      <c r="D50" s="86" t="s">
        <v>300</v>
      </c>
      <c r="E50" s="87" t="s">
        <v>353</v>
      </c>
      <c r="F50" s="88" t="s">
        <v>355</v>
      </c>
      <c r="G50" s="89"/>
      <c r="H50" s="89"/>
      <c r="I50" s="89"/>
      <c r="J50" s="89" t="s">
        <v>260</v>
      </c>
      <c r="K50" s="89"/>
      <c r="L50" s="89" t="s">
        <v>260</v>
      </c>
      <c r="M50" s="89"/>
      <c r="N50" s="89"/>
      <c r="O50" s="89" t="s">
        <v>260</v>
      </c>
      <c r="P50" s="86" t="s">
        <v>246</v>
      </c>
      <c r="Q50" s="86"/>
      <c r="R50" s="86"/>
      <c r="S50" s="86"/>
      <c r="T50" s="86"/>
      <c r="U50" s="86"/>
      <c r="V50" s="86"/>
      <c r="W50" s="86"/>
      <c r="X50" s="86"/>
      <c r="Y50" s="90"/>
      <c r="Z50" s="91">
        <f t="shared" si="9"/>
        <v>0</v>
      </c>
    </row>
    <row r="51" spans="1:26" s="92" customFormat="1" ht="64.8" x14ac:dyDescent="0.2">
      <c r="A51" s="94" t="s">
        <v>394</v>
      </c>
      <c r="B51" s="81"/>
      <c r="C51" s="79"/>
      <c r="D51" s="79" t="s">
        <v>300</v>
      </c>
      <c r="E51" s="79" t="s">
        <v>310</v>
      </c>
      <c r="F51" s="80" t="s">
        <v>356</v>
      </c>
      <c r="G51" s="82"/>
      <c r="H51" s="82"/>
      <c r="I51" s="82"/>
      <c r="J51" s="82" t="s">
        <v>312</v>
      </c>
      <c r="K51" s="82"/>
      <c r="L51" s="82" t="s">
        <v>312</v>
      </c>
      <c r="M51" s="82"/>
      <c r="N51" s="82"/>
      <c r="O51" s="82" t="s">
        <v>312</v>
      </c>
      <c r="P51" s="79" t="s">
        <v>246</v>
      </c>
      <c r="Q51" s="79">
        <f t="shared" ref="Q51:Q56" si="58">IFERROR(HLOOKUP(P51,AB$1:AF$2,2,FALSE),0)</f>
        <v>3</v>
      </c>
      <c r="R51" s="79">
        <f t="shared" ref="R51:R53" si="59">Q51*0.8</f>
        <v>2.4000000000000004</v>
      </c>
      <c r="S51" s="79">
        <f t="shared" ref="S51:S53" si="60">Q51*0.6</f>
        <v>1.7999999999999998</v>
      </c>
      <c r="T51" s="79">
        <f t="shared" ref="T51:T53" si="61">Q51*1.2</f>
        <v>3.5999999999999996</v>
      </c>
      <c r="U51" s="79">
        <f t="shared" ref="U51:U53" si="62">Q51*0.8</f>
        <v>2.4000000000000004</v>
      </c>
      <c r="V51" s="79">
        <f t="shared" ref="V51:V53" si="63">Q51*0.3</f>
        <v>0.89999999999999991</v>
      </c>
      <c r="W51" s="79">
        <f t="shared" ref="W51:W53" si="64">SUM(Q51:V51)</f>
        <v>14.100000000000001</v>
      </c>
      <c r="X51" s="79">
        <f t="shared" ref="X51:X53" si="65">ROUNDUP(W51/20,2)</f>
        <v>0.71</v>
      </c>
      <c r="Y51" s="83">
        <f t="shared" ref="Y51:Y53" si="66">Z51</f>
        <v>710000</v>
      </c>
      <c r="Z51" s="84">
        <f t="shared" ref="Z51:Z53" si="67">X51*1000000</f>
        <v>710000</v>
      </c>
    </row>
    <row r="52" spans="1:26" s="92" customFormat="1" ht="64.8" x14ac:dyDescent="0.2">
      <c r="A52" s="94" t="s">
        <v>394</v>
      </c>
      <c r="B52" s="81"/>
      <c r="C52" s="79"/>
      <c r="D52" s="79" t="s">
        <v>300</v>
      </c>
      <c r="E52" s="79" t="s">
        <v>313</v>
      </c>
      <c r="F52" s="80" t="s">
        <v>357</v>
      </c>
      <c r="G52" s="82"/>
      <c r="H52" s="82"/>
      <c r="I52" s="82"/>
      <c r="J52" s="82" t="s">
        <v>312</v>
      </c>
      <c r="K52" s="82"/>
      <c r="L52" s="82" t="s">
        <v>312</v>
      </c>
      <c r="M52" s="82"/>
      <c r="N52" s="82"/>
      <c r="O52" s="82" t="s">
        <v>312</v>
      </c>
      <c r="P52" s="79" t="s">
        <v>246</v>
      </c>
      <c r="Q52" s="79">
        <f t="shared" si="58"/>
        <v>3</v>
      </c>
      <c r="R52" s="79">
        <f t="shared" si="59"/>
        <v>2.4000000000000004</v>
      </c>
      <c r="S52" s="79">
        <f t="shared" si="60"/>
        <v>1.7999999999999998</v>
      </c>
      <c r="T52" s="79">
        <f t="shared" si="61"/>
        <v>3.5999999999999996</v>
      </c>
      <c r="U52" s="79">
        <f t="shared" si="62"/>
        <v>2.4000000000000004</v>
      </c>
      <c r="V52" s="79">
        <f t="shared" si="63"/>
        <v>0.89999999999999991</v>
      </c>
      <c r="W52" s="79">
        <f t="shared" si="64"/>
        <v>14.100000000000001</v>
      </c>
      <c r="X52" s="79">
        <f t="shared" si="65"/>
        <v>0.71</v>
      </c>
      <c r="Y52" s="83">
        <f t="shared" si="66"/>
        <v>710000</v>
      </c>
      <c r="Z52" s="84">
        <f t="shared" si="67"/>
        <v>710000</v>
      </c>
    </row>
    <row r="53" spans="1:26" s="92" customFormat="1" ht="81" x14ac:dyDescent="0.2">
      <c r="A53" s="94" t="s">
        <v>394</v>
      </c>
      <c r="B53" s="81"/>
      <c r="C53" s="79"/>
      <c r="D53" s="79" t="s">
        <v>300</v>
      </c>
      <c r="E53" s="79" t="s">
        <v>315</v>
      </c>
      <c r="F53" s="80" t="s">
        <v>358</v>
      </c>
      <c r="G53" s="82"/>
      <c r="H53" s="82"/>
      <c r="I53" s="82"/>
      <c r="J53" s="82" t="s">
        <v>312</v>
      </c>
      <c r="K53" s="82"/>
      <c r="L53" s="82" t="s">
        <v>312</v>
      </c>
      <c r="M53" s="82"/>
      <c r="N53" s="82"/>
      <c r="O53" s="82" t="s">
        <v>312</v>
      </c>
      <c r="P53" s="79" t="s">
        <v>246</v>
      </c>
      <c r="Q53" s="79">
        <f t="shared" si="58"/>
        <v>3</v>
      </c>
      <c r="R53" s="79">
        <f t="shared" si="59"/>
        <v>2.4000000000000004</v>
      </c>
      <c r="S53" s="79">
        <f t="shared" si="60"/>
        <v>1.7999999999999998</v>
      </c>
      <c r="T53" s="79">
        <f t="shared" si="61"/>
        <v>3.5999999999999996</v>
      </c>
      <c r="U53" s="79">
        <f t="shared" si="62"/>
        <v>2.4000000000000004</v>
      </c>
      <c r="V53" s="79">
        <f t="shared" si="63"/>
        <v>0.89999999999999991</v>
      </c>
      <c r="W53" s="79">
        <f t="shared" si="64"/>
        <v>14.100000000000001</v>
      </c>
      <c r="X53" s="79">
        <f t="shared" si="65"/>
        <v>0.71</v>
      </c>
      <c r="Y53" s="83">
        <f t="shared" si="66"/>
        <v>710000</v>
      </c>
      <c r="Z53" s="84">
        <f t="shared" si="67"/>
        <v>710000</v>
      </c>
    </row>
    <row r="54" spans="1:26" ht="48.6" x14ac:dyDescent="0.2">
      <c r="A54" s="94"/>
      <c r="B54" s="28"/>
      <c r="C54" s="7" t="s">
        <v>191</v>
      </c>
      <c r="D54" s="7" t="s">
        <v>146</v>
      </c>
      <c r="E54" s="29" t="s">
        <v>359</v>
      </c>
      <c r="F54" s="6" t="s">
        <v>360</v>
      </c>
      <c r="G54" s="12"/>
      <c r="H54" s="12" t="s">
        <v>260</v>
      </c>
      <c r="I54" s="12"/>
      <c r="J54" s="12"/>
      <c r="K54" s="12" t="s">
        <v>312</v>
      </c>
      <c r="L54" s="12"/>
      <c r="M54" s="12"/>
      <c r="N54" s="12" t="s">
        <v>312</v>
      </c>
      <c r="O54" s="12"/>
      <c r="P54" s="7" t="s">
        <v>245</v>
      </c>
      <c r="Q54" s="7">
        <f t="shared" si="58"/>
        <v>5</v>
      </c>
      <c r="R54" s="7">
        <f t="shared" si="3"/>
        <v>4</v>
      </c>
      <c r="S54" s="7">
        <f t="shared" si="4"/>
        <v>3</v>
      </c>
      <c r="T54" s="7">
        <f t="shared" si="5"/>
        <v>6</v>
      </c>
      <c r="U54" s="7">
        <f t="shared" si="6"/>
        <v>4</v>
      </c>
      <c r="V54" s="7">
        <f t="shared" si="1"/>
        <v>1.5</v>
      </c>
      <c r="W54" s="7">
        <f t="shared" si="2"/>
        <v>23.5</v>
      </c>
      <c r="X54" s="7">
        <f t="shared" si="7"/>
        <v>1.18</v>
      </c>
      <c r="Y54" s="15">
        <f t="shared" si="8"/>
        <v>1180000</v>
      </c>
      <c r="Z54" s="18">
        <f t="shared" si="9"/>
        <v>1180000</v>
      </c>
    </row>
    <row r="55" spans="1:26" ht="48.6" x14ac:dyDescent="0.2">
      <c r="A55" s="94"/>
      <c r="B55" s="28"/>
      <c r="C55" s="7"/>
      <c r="D55" s="7" t="s">
        <v>146</v>
      </c>
      <c r="E55" s="29" t="s">
        <v>361</v>
      </c>
      <c r="F55" s="6" t="s">
        <v>362</v>
      </c>
      <c r="G55" s="12" t="s">
        <v>260</v>
      </c>
      <c r="H55" s="12"/>
      <c r="I55" s="12"/>
      <c r="J55" s="12"/>
      <c r="K55" s="12" t="s">
        <v>312</v>
      </c>
      <c r="L55" s="12"/>
      <c r="M55" s="12" t="s">
        <v>260</v>
      </c>
      <c r="N55" s="12"/>
      <c r="O55" s="12"/>
      <c r="P55" s="7" t="s">
        <v>245</v>
      </c>
      <c r="Q55" s="7">
        <f t="shared" si="58"/>
        <v>5</v>
      </c>
      <c r="R55" s="7">
        <f t="shared" si="3"/>
        <v>4</v>
      </c>
      <c r="S55" s="7">
        <f t="shared" si="4"/>
        <v>3</v>
      </c>
      <c r="T55" s="7">
        <f t="shared" si="5"/>
        <v>6</v>
      </c>
      <c r="U55" s="7">
        <f t="shared" si="6"/>
        <v>4</v>
      </c>
      <c r="V55" s="7">
        <f t="shared" si="1"/>
        <v>1.5</v>
      </c>
      <c r="W55" s="7">
        <f t="shared" si="2"/>
        <v>23.5</v>
      </c>
      <c r="X55" s="7">
        <f t="shared" si="7"/>
        <v>1.18</v>
      </c>
      <c r="Y55" s="15">
        <f t="shared" si="8"/>
        <v>1180000</v>
      </c>
      <c r="Z55" s="18">
        <f t="shared" si="9"/>
        <v>1180000</v>
      </c>
    </row>
    <row r="56" spans="1:26" ht="32.4" x14ac:dyDescent="0.2">
      <c r="A56" s="94"/>
      <c r="B56" s="28"/>
      <c r="C56" s="7"/>
      <c r="D56" s="7" t="s">
        <v>146</v>
      </c>
      <c r="E56" s="29" t="s">
        <v>363</v>
      </c>
      <c r="F56" s="6" t="s">
        <v>364</v>
      </c>
      <c r="G56" s="12"/>
      <c r="H56" s="12" t="s">
        <v>260</v>
      </c>
      <c r="I56" s="12"/>
      <c r="J56" s="12"/>
      <c r="K56" s="12" t="s">
        <v>312</v>
      </c>
      <c r="L56" s="12"/>
      <c r="M56" s="12"/>
      <c r="N56" s="12" t="s">
        <v>312</v>
      </c>
      <c r="O56" s="12"/>
      <c r="P56" s="7" t="s">
        <v>245</v>
      </c>
      <c r="Q56" s="7">
        <f t="shared" si="58"/>
        <v>5</v>
      </c>
      <c r="R56" s="7">
        <f t="shared" ref="R56" si="68">Q56*0.8</f>
        <v>4</v>
      </c>
      <c r="S56" s="7">
        <f t="shared" ref="S56" si="69">Q56*0.6</f>
        <v>3</v>
      </c>
      <c r="T56" s="7">
        <f t="shared" ref="T56" si="70">Q56*1.2</f>
        <v>6</v>
      </c>
      <c r="U56" s="7">
        <f t="shared" ref="U56" si="71">Q56*0.8</f>
        <v>4</v>
      </c>
      <c r="V56" s="7">
        <f t="shared" ref="V56" si="72">Q56*0.3</f>
        <v>1.5</v>
      </c>
      <c r="W56" s="7">
        <f t="shared" ref="W56" si="73">SUM(Q56:V56)</f>
        <v>23.5</v>
      </c>
      <c r="X56" s="7">
        <f t="shared" ref="X56" si="74">ROUNDUP(W56/20,2)</f>
        <v>1.18</v>
      </c>
      <c r="Y56" s="15">
        <f t="shared" ref="Y56" si="75">Z56</f>
        <v>1180000</v>
      </c>
      <c r="Z56" s="18">
        <f t="shared" ref="Z56" si="76">X56*1000000</f>
        <v>1180000</v>
      </c>
    </row>
    <row r="57" spans="1:26" s="92" customFormat="1" ht="64.8" x14ac:dyDescent="0.2">
      <c r="A57" s="94" t="s">
        <v>394</v>
      </c>
      <c r="B57" s="81"/>
      <c r="C57" s="79"/>
      <c r="D57" s="79" t="s">
        <v>146</v>
      </c>
      <c r="E57" s="79" t="s">
        <v>365</v>
      </c>
      <c r="F57" s="80" t="s">
        <v>366</v>
      </c>
      <c r="G57" s="82"/>
      <c r="H57" s="82" t="s">
        <v>260</v>
      </c>
      <c r="I57" s="82"/>
      <c r="J57" s="82"/>
      <c r="K57" s="82" t="s">
        <v>312</v>
      </c>
      <c r="L57" s="82"/>
      <c r="M57" s="82"/>
      <c r="N57" s="82" t="s">
        <v>312</v>
      </c>
      <c r="O57" s="82"/>
      <c r="P57" s="79"/>
      <c r="Q57" s="79"/>
      <c r="R57" s="79"/>
      <c r="S57" s="79"/>
      <c r="T57" s="79"/>
      <c r="U57" s="79"/>
      <c r="V57" s="79"/>
      <c r="W57" s="79"/>
      <c r="X57" s="79"/>
      <c r="Y57" s="83"/>
      <c r="Z57" s="84"/>
    </row>
    <row r="58" spans="1:26" ht="48.6" x14ac:dyDescent="0.2">
      <c r="A58" s="95" t="s">
        <v>396</v>
      </c>
      <c r="B58" s="28"/>
      <c r="C58" s="7"/>
      <c r="D58" s="7" t="s">
        <v>300</v>
      </c>
      <c r="E58" s="29" t="s">
        <v>367</v>
      </c>
      <c r="F58" s="6" t="s">
        <v>404</v>
      </c>
      <c r="G58" s="12"/>
      <c r="H58" s="12"/>
      <c r="I58" s="12" t="s">
        <v>260</v>
      </c>
      <c r="J58" s="12"/>
      <c r="K58" s="12"/>
      <c r="L58" s="12" t="s">
        <v>260</v>
      </c>
      <c r="M58" s="12"/>
      <c r="N58" s="12" t="s">
        <v>260</v>
      </c>
      <c r="O58" s="12"/>
      <c r="P58" s="7" t="s">
        <v>297</v>
      </c>
      <c r="Q58" s="7">
        <f t="shared" ref="Q58:Q66" si="77">IFERROR(HLOOKUP(P58,AB$1:AF$2,2,FALSE),0)</f>
        <v>10</v>
      </c>
      <c r="R58" s="7">
        <f t="shared" ref="R58" si="78">Q58*0.8</f>
        <v>8</v>
      </c>
      <c r="S58" s="7">
        <f t="shared" ref="S58" si="79">Q58*0.6</f>
        <v>6</v>
      </c>
      <c r="T58" s="7">
        <f t="shared" ref="T58" si="80">Q58*1.2</f>
        <v>12</v>
      </c>
      <c r="U58" s="7">
        <f t="shared" ref="U58" si="81">Q58*0.8</f>
        <v>8</v>
      </c>
      <c r="V58" s="7">
        <f t="shared" si="1"/>
        <v>3</v>
      </c>
      <c r="W58" s="7">
        <f t="shared" si="2"/>
        <v>47</v>
      </c>
      <c r="X58" s="7">
        <f t="shared" si="7"/>
        <v>2.35</v>
      </c>
      <c r="Y58" s="15">
        <f t="shared" si="8"/>
        <v>2350000</v>
      </c>
      <c r="Z58" s="18">
        <f t="shared" si="9"/>
        <v>2350000</v>
      </c>
    </row>
    <row r="59" spans="1:26" ht="48.6" x14ac:dyDescent="0.2">
      <c r="A59" s="95" t="s">
        <v>395</v>
      </c>
      <c r="B59" s="28"/>
      <c r="C59" s="7"/>
      <c r="D59" s="7" t="s">
        <v>348</v>
      </c>
      <c r="E59" s="29" t="s">
        <v>369</v>
      </c>
      <c r="F59" s="6" t="s">
        <v>405</v>
      </c>
      <c r="G59" s="12"/>
      <c r="H59" s="12"/>
      <c r="I59" s="12" t="s">
        <v>260</v>
      </c>
      <c r="J59" s="12"/>
      <c r="K59" s="12"/>
      <c r="L59" s="12" t="s">
        <v>260</v>
      </c>
      <c r="M59" s="12"/>
      <c r="N59" s="12" t="s">
        <v>260</v>
      </c>
      <c r="O59" s="12"/>
      <c r="P59" s="79" t="s">
        <v>294</v>
      </c>
      <c r="Q59" s="7">
        <f t="shared" si="77"/>
        <v>7</v>
      </c>
      <c r="R59" s="7">
        <f t="shared" si="3"/>
        <v>5.6000000000000005</v>
      </c>
      <c r="S59" s="7">
        <f t="shared" si="4"/>
        <v>4.2</v>
      </c>
      <c r="T59" s="7">
        <f t="shared" si="5"/>
        <v>8.4</v>
      </c>
      <c r="U59" s="7">
        <f t="shared" si="6"/>
        <v>5.6000000000000005</v>
      </c>
      <c r="V59" s="7">
        <f t="shared" si="1"/>
        <v>2.1</v>
      </c>
      <c r="W59" s="7">
        <f t="shared" si="2"/>
        <v>32.900000000000006</v>
      </c>
      <c r="X59" s="7">
        <f t="shared" si="7"/>
        <v>1.65</v>
      </c>
      <c r="Y59" s="83">
        <f t="shared" si="8"/>
        <v>1650000</v>
      </c>
      <c r="Z59" s="18">
        <f t="shared" si="9"/>
        <v>1650000</v>
      </c>
    </row>
    <row r="60" spans="1:26" s="92" customFormat="1" ht="48.6" x14ac:dyDescent="0.2">
      <c r="A60" s="94" t="s">
        <v>394</v>
      </c>
      <c r="B60" s="81"/>
      <c r="C60" s="79"/>
      <c r="D60" s="79" t="s">
        <v>300</v>
      </c>
      <c r="E60" s="79" t="s">
        <v>371</v>
      </c>
      <c r="F60" s="80" t="s">
        <v>372</v>
      </c>
      <c r="G60" s="12"/>
      <c r="H60" s="12"/>
      <c r="I60" s="12" t="s">
        <v>260</v>
      </c>
      <c r="J60" s="12"/>
      <c r="K60" s="12"/>
      <c r="L60" s="12" t="s">
        <v>260</v>
      </c>
      <c r="M60" s="12"/>
      <c r="N60" s="12" t="s">
        <v>260</v>
      </c>
      <c r="O60" s="12"/>
      <c r="P60" s="79" t="s">
        <v>245</v>
      </c>
      <c r="Q60" s="7">
        <f t="shared" si="77"/>
        <v>5</v>
      </c>
      <c r="R60" s="7">
        <f t="shared" ref="R60:R61" si="82">Q60*0.8</f>
        <v>4</v>
      </c>
      <c r="S60" s="7">
        <f t="shared" ref="S60:S61" si="83">Q60*0.6</f>
        <v>3</v>
      </c>
      <c r="T60" s="7">
        <f t="shared" ref="T60:T61" si="84">Q60*1.2</f>
        <v>6</v>
      </c>
      <c r="U60" s="7">
        <f t="shared" ref="U60:U61" si="85">Q60*0.8</f>
        <v>4</v>
      </c>
      <c r="V60" s="7">
        <f t="shared" ref="V60:V61" si="86">Q60*0.3</f>
        <v>1.5</v>
      </c>
      <c r="W60" s="7">
        <f t="shared" ref="W60:W61" si="87">SUM(Q60:V60)</f>
        <v>23.5</v>
      </c>
      <c r="X60" s="7">
        <f t="shared" ref="X60:X61" si="88">ROUNDUP(W60/20,2)</f>
        <v>1.18</v>
      </c>
      <c r="Y60" s="15">
        <f t="shared" ref="Y60:Y61" si="89">Z60</f>
        <v>1180000</v>
      </c>
      <c r="Z60" s="18">
        <f t="shared" ref="Z60:Z61" si="90">X60*1000000</f>
        <v>1180000</v>
      </c>
    </row>
    <row r="61" spans="1:26" s="92" customFormat="1" ht="48.6" x14ac:dyDescent="0.2">
      <c r="A61" s="94" t="s">
        <v>394</v>
      </c>
      <c r="B61" s="81"/>
      <c r="C61" s="79"/>
      <c r="D61" s="79" t="s">
        <v>300</v>
      </c>
      <c r="E61" s="79" t="s">
        <v>373</v>
      </c>
      <c r="F61" s="80" t="s">
        <v>374</v>
      </c>
      <c r="G61" s="82"/>
      <c r="H61" s="82"/>
      <c r="I61" s="82"/>
      <c r="J61" s="82" t="s">
        <v>312</v>
      </c>
      <c r="K61" s="82"/>
      <c r="L61" s="82" t="s">
        <v>312</v>
      </c>
      <c r="M61" s="82"/>
      <c r="N61" s="82"/>
      <c r="O61" s="82" t="s">
        <v>312</v>
      </c>
      <c r="P61" s="79" t="s">
        <v>245</v>
      </c>
      <c r="Q61" s="7">
        <f t="shared" si="77"/>
        <v>5</v>
      </c>
      <c r="R61" s="7">
        <f t="shared" si="82"/>
        <v>4</v>
      </c>
      <c r="S61" s="7">
        <f t="shared" si="83"/>
        <v>3</v>
      </c>
      <c r="T61" s="7">
        <f t="shared" si="84"/>
        <v>6</v>
      </c>
      <c r="U61" s="7">
        <f t="shared" si="85"/>
        <v>4</v>
      </c>
      <c r="V61" s="7">
        <f t="shared" si="86"/>
        <v>1.5</v>
      </c>
      <c r="W61" s="7">
        <f t="shared" si="87"/>
        <v>23.5</v>
      </c>
      <c r="X61" s="7">
        <f t="shared" si="88"/>
        <v>1.18</v>
      </c>
      <c r="Y61" s="15">
        <f t="shared" si="89"/>
        <v>1180000</v>
      </c>
      <c r="Z61" s="18">
        <f t="shared" si="90"/>
        <v>1180000</v>
      </c>
    </row>
    <row r="62" spans="1:26" ht="48.6" x14ac:dyDescent="0.2">
      <c r="A62" s="94"/>
      <c r="B62" s="27" t="s">
        <v>375</v>
      </c>
      <c r="C62" s="7"/>
      <c r="D62" s="7" t="s">
        <v>146</v>
      </c>
      <c r="E62" s="29" t="s">
        <v>376</v>
      </c>
      <c r="F62" s="6" t="s">
        <v>377</v>
      </c>
      <c r="G62" s="12" t="s">
        <v>312</v>
      </c>
      <c r="H62" s="12"/>
      <c r="I62" s="12"/>
      <c r="J62" s="12"/>
      <c r="K62" s="12" t="s">
        <v>312</v>
      </c>
      <c r="L62" s="12"/>
      <c r="M62" s="12" t="s">
        <v>312</v>
      </c>
      <c r="N62" s="12"/>
      <c r="O62" s="12"/>
      <c r="P62" s="7" t="s">
        <v>246</v>
      </c>
      <c r="Q62" s="7">
        <f t="shared" si="77"/>
        <v>3</v>
      </c>
      <c r="R62" s="7">
        <f>Q62*0.8</f>
        <v>2.4000000000000004</v>
      </c>
      <c r="S62" s="7">
        <f>Q62*0.6</f>
        <v>1.7999999999999998</v>
      </c>
      <c r="T62" s="7">
        <f t="shared" si="5"/>
        <v>3.5999999999999996</v>
      </c>
      <c r="U62" s="7">
        <f>Q62*0.8</f>
        <v>2.4000000000000004</v>
      </c>
      <c r="V62" s="7">
        <f t="shared" si="1"/>
        <v>0.89999999999999991</v>
      </c>
      <c r="W62" s="7">
        <f t="shared" si="2"/>
        <v>14.100000000000001</v>
      </c>
      <c r="X62" s="7">
        <f t="shared" si="7"/>
        <v>0.71</v>
      </c>
      <c r="Y62" s="15">
        <f t="shared" si="8"/>
        <v>710000</v>
      </c>
      <c r="Z62" s="18">
        <f t="shared" si="9"/>
        <v>710000</v>
      </c>
    </row>
    <row r="63" spans="1:26" ht="48.6" x14ac:dyDescent="0.2">
      <c r="A63" s="94"/>
      <c r="B63" s="28"/>
      <c r="C63" s="7"/>
      <c r="D63" s="7" t="s">
        <v>146</v>
      </c>
      <c r="E63" s="7" t="s">
        <v>378</v>
      </c>
      <c r="F63" s="6" t="s">
        <v>379</v>
      </c>
      <c r="G63" s="12"/>
      <c r="H63" s="12" t="s">
        <v>260</v>
      </c>
      <c r="I63" s="12"/>
      <c r="J63" s="12"/>
      <c r="K63" s="12" t="s">
        <v>312</v>
      </c>
      <c r="L63" s="12"/>
      <c r="M63" s="12"/>
      <c r="N63" s="12" t="s">
        <v>312</v>
      </c>
      <c r="O63" s="12"/>
      <c r="P63" s="7" t="s">
        <v>246</v>
      </c>
      <c r="Q63" s="7">
        <f t="shared" si="77"/>
        <v>3</v>
      </c>
      <c r="R63" s="7">
        <f t="shared" ref="R63" si="91">Q63*0.8</f>
        <v>2.4000000000000004</v>
      </c>
      <c r="S63" s="7">
        <f t="shared" ref="S63" si="92">Q63*0.6</f>
        <v>1.7999999999999998</v>
      </c>
      <c r="T63" s="7">
        <f t="shared" si="5"/>
        <v>3.5999999999999996</v>
      </c>
      <c r="U63" s="7">
        <f t="shared" ref="U63" si="93">Q63*0.8</f>
        <v>2.4000000000000004</v>
      </c>
      <c r="V63" s="7">
        <f t="shared" si="1"/>
        <v>0.89999999999999991</v>
      </c>
      <c r="W63" s="7">
        <f t="shared" si="2"/>
        <v>14.100000000000001</v>
      </c>
      <c r="X63" s="7">
        <f t="shared" si="7"/>
        <v>0.71</v>
      </c>
      <c r="Y63" s="15">
        <f t="shared" si="8"/>
        <v>710000</v>
      </c>
      <c r="Z63" s="18">
        <f t="shared" si="9"/>
        <v>710000</v>
      </c>
    </row>
    <row r="64" spans="1:26" ht="48.6" x14ac:dyDescent="0.2">
      <c r="A64" s="94"/>
      <c r="B64" s="28"/>
      <c r="C64" s="7"/>
      <c r="D64" s="7" t="s">
        <v>146</v>
      </c>
      <c r="E64" s="7" t="s">
        <v>380</v>
      </c>
      <c r="F64" s="6" t="s">
        <v>381</v>
      </c>
      <c r="G64" s="12"/>
      <c r="H64" s="12"/>
      <c r="I64" s="12" t="s">
        <v>260</v>
      </c>
      <c r="J64" s="12"/>
      <c r="K64" s="12"/>
      <c r="L64" s="12" t="s">
        <v>260</v>
      </c>
      <c r="M64" s="12"/>
      <c r="N64" s="12" t="s">
        <v>260</v>
      </c>
      <c r="O64" s="12"/>
      <c r="P64" s="7" t="s">
        <v>294</v>
      </c>
      <c r="Q64" s="7">
        <f t="shared" si="77"/>
        <v>7</v>
      </c>
      <c r="R64" s="7">
        <f t="shared" ref="R64" si="94">Q64*0.8</f>
        <v>5.6000000000000005</v>
      </c>
      <c r="S64" s="7">
        <f t="shared" ref="S64" si="95">Q64*0.6</f>
        <v>4.2</v>
      </c>
      <c r="T64" s="7">
        <f t="shared" ref="T64" si="96">Q64*1.2</f>
        <v>8.4</v>
      </c>
      <c r="U64" s="7">
        <f t="shared" ref="U64" si="97">Q64*0.8</f>
        <v>5.6000000000000005</v>
      </c>
      <c r="V64" s="7">
        <f t="shared" ref="V64" si="98">Q64*0.3</f>
        <v>2.1</v>
      </c>
      <c r="W64" s="7">
        <f t="shared" ref="W64" si="99">SUM(Q64:V64)</f>
        <v>32.900000000000006</v>
      </c>
      <c r="X64" s="7">
        <f t="shared" si="7"/>
        <v>1.65</v>
      </c>
      <c r="Y64" s="15">
        <f t="shared" si="8"/>
        <v>1650000</v>
      </c>
      <c r="Z64" s="18">
        <f t="shared" si="9"/>
        <v>1650000</v>
      </c>
    </row>
    <row r="65" spans="1:26" ht="48.6" x14ac:dyDescent="0.2">
      <c r="A65" s="94"/>
      <c r="B65" s="28"/>
      <c r="C65" s="7"/>
      <c r="D65" s="7" t="s">
        <v>146</v>
      </c>
      <c r="E65" s="7" t="s">
        <v>382</v>
      </c>
      <c r="F65" s="6" t="s">
        <v>383</v>
      </c>
      <c r="G65" s="12" t="s">
        <v>260</v>
      </c>
      <c r="H65" s="12"/>
      <c r="I65" s="12"/>
      <c r="J65" s="12"/>
      <c r="K65" s="12" t="s">
        <v>312</v>
      </c>
      <c r="L65" s="12"/>
      <c r="M65" s="12" t="s">
        <v>260</v>
      </c>
      <c r="N65" s="12"/>
      <c r="O65" s="12"/>
      <c r="P65" s="7" t="s">
        <v>297</v>
      </c>
      <c r="Q65" s="7">
        <f t="shared" si="77"/>
        <v>10</v>
      </c>
      <c r="R65" s="7">
        <f t="shared" si="3"/>
        <v>8</v>
      </c>
      <c r="S65" s="7">
        <f t="shared" si="4"/>
        <v>6</v>
      </c>
      <c r="T65" s="7">
        <f t="shared" si="5"/>
        <v>12</v>
      </c>
      <c r="U65" s="7">
        <f t="shared" si="6"/>
        <v>8</v>
      </c>
      <c r="V65" s="7">
        <f t="shared" si="1"/>
        <v>3</v>
      </c>
      <c r="W65" s="7">
        <f t="shared" si="2"/>
        <v>47</v>
      </c>
      <c r="X65" s="7">
        <f t="shared" si="7"/>
        <v>2.35</v>
      </c>
      <c r="Y65" s="15">
        <f t="shared" si="8"/>
        <v>2350000</v>
      </c>
      <c r="Z65" s="18">
        <f t="shared" si="9"/>
        <v>2350000</v>
      </c>
    </row>
    <row r="66" spans="1:26" ht="81" x14ac:dyDescent="0.2">
      <c r="A66" s="95" t="s">
        <v>396</v>
      </c>
      <c r="B66" s="28"/>
      <c r="C66" s="7"/>
      <c r="D66" s="7" t="s">
        <v>146</v>
      </c>
      <c r="E66" s="7" t="s">
        <v>384</v>
      </c>
      <c r="F66" s="6" t="s">
        <v>406</v>
      </c>
      <c r="G66" s="13" t="s">
        <v>312</v>
      </c>
      <c r="H66" s="13"/>
      <c r="I66" s="13"/>
      <c r="J66" s="13"/>
      <c r="K66" s="12" t="s">
        <v>312</v>
      </c>
      <c r="L66" s="13"/>
      <c r="M66" s="13" t="s">
        <v>312</v>
      </c>
      <c r="N66" s="13"/>
      <c r="O66" s="13"/>
      <c r="P66" s="7" t="s">
        <v>386</v>
      </c>
      <c r="Q66" s="7">
        <f t="shared" si="77"/>
        <v>7</v>
      </c>
      <c r="R66" s="7">
        <f t="shared" si="3"/>
        <v>5.6000000000000005</v>
      </c>
      <c r="S66" s="7">
        <f t="shared" si="4"/>
        <v>4.2</v>
      </c>
      <c r="T66" s="7">
        <f t="shared" si="5"/>
        <v>8.4</v>
      </c>
      <c r="U66" s="7">
        <f t="shared" si="6"/>
        <v>5.6000000000000005</v>
      </c>
      <c r="V66" s="7">
        <f t="shared" si="1"/>
        <v>2.1</v>
      </c>
      <c r="W66" s="7">
        <f t="shared" si="2"/>
        <v>32.900000000000006</v>
      </c>
      <c r="X66" s="7">
        <f t="shared" si="7"/>
        <v>1.65</v>
      </c>
      <c r="Y66" s="15">
        <f t="shared" si="8"/>
        <v>1650000</v>
      </c>
      <c r="Z66" s="18">
        <f t="shared" si="9"/>
        <v>1650000</v>
      </c>
    </row>
    <row r="67" spans="1:26" hidden="1" x14ac:dyDescent="0.2">
      <c r="A67" s="93"/>
      <c r="B67" s="301" t="s">
        <v>387</v>
      </c>
      <c r="C67" s="302"/>
      <c r="D67" s="302"/>
      <c r="E67" s="302"/>
      <c r="F67" s="302"/>
      <c r="G67" s="9"/>
      <c r="H67" s="9"/>
      <c r="I67" s="9"/>
      <c r="J67" s="9"/>
      <c r="K67" s="9"/>
      <c r="L67" s="9"/>
      <c r="M67" s="9"/>
      <c r="N67" s="9"/>
      <c r="O67" s="9"/>
      <c r="P67" s="9" t="s">
        <v>217</v>
      </c>
      <c r="Q67" s="10">
        <f t="shared" ref="Q67:V67" si="100">SUM(Q6:Q66)</f>
        <v>250</v>
      </c>
      <c r="R67" s="10">
        <f t="shared" si="100"/>
        <v>200.00000000000009</v>
      </c>
      <c r="S67" s="10">
        <f t="shared" si="100"/>
        <v>149.99999999999997</v>
      </c>
      <c r="T67" s="10">
        <f t="shared" si="100"/>
        <v>299.99999999999994</v>
      </c>
      <c r="U67" s="10">
        <f t="shared" si="100"/>
        <v>200.00000000000009</v>
      </c>
      <c r="V67" s="10">
        <f t="shared" si="100"/>
        <v>74.999999999999986</v>
      </c>
      <c r="W67" s="10">
        <f t="shared" si="2"/>
        <v>1175</v>
      </c>
      <c r="X67" s="9"/>
      <c r="Y67" s="16"/>
      <c r="Z67" s="18"/>
    </row>
    <row r="68" spans="1:26" ht="16.8" hidden="1" thickBot="1" x14ac:dyDescent="0.25">
      <c r="A68" s="93"/>
      <c r="B68" s="303" t="s">
        <v>388</v>
      </c>
      <c r="C68" s="304"/>
      <c r="D68" s="304"/>
      <c r="E68" s="304"/>
      <c r="F68" s="304"/>
      <c r="G68" s="8"/>
      <c r="H68" s="8"/>
      <c r="I68" s="8"/>
      <c r="J68" s="8"/>
      <c r="K68" s="8"/>
      <c r="L68" s="8"/>
      <c r="M68" s="8"/>
      <c r="N68" s="8"/>
      <c r="O68" s="8"/>
      <c r="P68" s="8" t="s">
        <v>217</v>
      </c>
      <c r="Q68" s="8">
        <f>Q67/20</f>
        <v>12.5</v>
      </c>
      <c r="R68" s="8">
        <f t="shared" ref="R68:U68" si="101">R67/20</f>
        <v>10.000000000000004</v>
      </c>
      <c r="S68" s="8">
        <f t="shared" si="101"/>
        <v>7.4999999999999982</v>
      </c>
      <c r="T68" s="8">
        <f t="shared" si="101"/>
        <v>14.999999999999996</v>
      </c>
      <c r="U68" s="8">
        <f t="shared" si="101"/>
        <v>10.000000000000004</v>
      </c>
      <c r="V68" s="8">
        <f>V67/20</f>
        <v>3.7499999999999991</v>
      </c>
      <c r="W68" s="8">
        <f>W67/20</f>
        <v>58.75</v>
      </c>
      <c r="X68" s="8">
        <f>SUM(X7:X66)</f>
        <v>59.000000000000007</v>
      </c>
      <c r="Y68" s="14"/>
      <c r="Z68" s="18"/>
    </row>
    <row r="69" spans="1:26" ht="22.8" x14ac:dyDescent="0.2">
      <c r="A69" s="93"/>
      <c r="B69" s="305" t="s">
        <v>389</v>
      </c>
      <c r="C69" s="306"/>
      <c r="D69" s="306"/>
      <c r="E69" s="306"/>
      <c r="F69" s="306"/>
      <c r="G69" s="306"/>
      <c r="H69" s="306"/>
      <c r="I69" s="306"/>
      <c r="J69" s="306"/>
      <c r="K69" s="306"/>
      <c r="L69" s="306"/>
      <c r="M69" s="306"/>
      <c r="N69" s="306"/>
      <c r="O69" s="306"/>
      <c r="P69" s="306"/>
      <c r="Q69" s="306"/>
      <c r="R69" s="306"/>
      <c r="S69" s="306"/>
      <c r="T69" s="306"/>
      <c r="U69" s="306"/>
      <c r="V69" s="306"/>
      <c r="W69" s="306"/>
      <c r="X69" s="307"/>
      <c r="Y69" s="20">
        <f>SUM(Y7:Y66)</f>
        <v>59000000</v>
      </c>
      <c r="Z69" s="19"/>
    </row>
    <row r="70" spans="1:26" ht="22.8" x14ac:dyDescent="0.2">
      <c r="A70" s="93"/>
      <c r="B70" s="308" t="s">
        <v>390</v>
      </c>
      <c r="C70" s="309"/>
      <c r="D70" s="309"/>
      <c r="E70" s="309"/>
      <c r="F70" s="309"/>
      <c r="G70" s="309"/>
      <c r="H70" s="309"/>
      <c r="I70" s="309"/>
      <c r="J70" s="309"/>
      <c r="K70" s="309"/>
      <c r="L70" s="309"/>
      <c r="M70" s="309"/>
      <c r="N70" s="309"/>
      <c r="O70" s="309"/>
      <c r="P70" s="309"/>
      <c r="Q70" s="309"/>
      <c r="R70" s="309"/>
      <c r="S70" s="309"/>
      <c r="T70" s="309"/>
      <c r="U70" s="309"/>
      <c r="V70" s="309"/>
      <c r="W70" s="309"/>
      <c r="X70" s="310"/>
      <c r="Y70" s="21">
        <f>X68*0.2*1400000</f>
        <v>16520000.000000004</v>
      </c>
      <c r="Z70" s="19"/>
    </row>
    <row r="71" spans="1:26" ht="22.8" x14ac:dyDescent="0.2">
      <c r="A71" s="93"/>
      <c r="B71" s="308" t="s">
        <v>391</v>
      </c>
      <c r="C71" s="309"/>
      <c r="D71" s="309"/>
      <c r="E71" s="309"/>
      <c r="F71" s="309"/>
      <c r="G71" s="309"/>
      <c r="H71" s="309"/>
      <c r="I71" s="309"/>
      <c r="J71" s="309"/>
      <c r="K71" s="309"/>
      <c r="L71" s="309"/>
      <c r="M71" s="309"/>
      <c r="N71" s="309"/>
      <c r="O71" s="309"/>
      <c r="P71" s="309"/>
      <c r="Q71" s="309"/>
      <c r="R71" s="309"/>
      <c r="S71" s="309"/>
      <c r="T71" s="309"/>
      <c r="U71" s="309"/>
      <c r="V71" s="309"/>
      <c r="W71" s="309"/>
      <c r="X71" s="310"/>
      <c r="Y71" s="21">
        <v>5400000</v>
      </c>
      <c r="Z71" s="19"/>
    </row>
    <row r="72" spans="1:26" ht="22.8" x14ac:dyDescent="0.2">
      <c r="A72" s="93"/>
      <c r="B72" s="308" t="s">
        <v>392</v>
      </c>
      <c r="C72" s="309"/>
      <c r="D72" s="309"/>
      <c r="E72" s="309"/>
      <c r="F72" s="309"/>
      <c r="G72" s="309"/>
      <c r="H72" s="309"/>
      <c r="I72" s="309"/>
      <c r="J72" s="309"/>
      <c r="K72" s="309"/>
      <c r="L72" s="309"/>
      <c r="M72" s="309"/>
      <c r="N72" s="309"/>
      <c r="O72" s="309"/>
      <c r="P72" s="309"/>
      <c r="Q72" s="309"/>
      <c r="R72" s="309"/>
      <c r="S72" s="309"/>
      <c r="T72" s="309"/>
      <c r="U72" s="309"/>
      <c r="V72" s="309"/>
      <c r="W72" s="309"/>
      <c r="X72" s="310"/>
      <c r="Y72" s="21">
        <f>Y69+Y70</f>
        <v>75520000</v>
      </c>
      <c r="Z72" s="19"/>
    </row>
    <row r="73" spans="1:26" ht="23.4" thickBot="1" x14ac:dyDescent="0.25">
      <c r="B73" s="298" t="s">
        <v>203</v>
      </c>
      <c r="C73" s="299"/>
      <c r="D73" s="299"/>
      <c r="E73" s="299"/>
      <c r="F73" s="299"/>
      <c r="G73" s="299"/>
      <c r="H73" s="299"/>
      <c r="I73" s="299"/>
      <c r="J73" s="299"/>
      <c r="K73" s="299"/>
      <c r="L73" s="299"/>
      <c r="M73" s="299"/>
      <c r="N73" s="299"/>
      <c r="O73" s="299"/>
      <c r="P73" s="299"/>
      <c r="Q73" s="299"/>
      <c r="R73" s="299"/>
      <c r="S73" s="299"/>
      <c r="T73" s="299"/>
      <c r="U73" s="299"/>
      <c r="V73" s="299"/>
      <c r="W73" s="299"/>
      <c r="X73" s="300"/>
      <c r="Y73" s="22">
        <f>Y71+Y72</f>
        <v>80920000</v>
      </c>
      <c r="Z73" s="19"/>
    </row>
  </sheetData>
  <autoFilter ref="A6:AF73" xr:uid="{00000000-0001-0000-0000-000000000000}">
    <filterColumn colId="3" showButton="0"/>
  </autoFilter>
  <mergeCells count="26">
    <mergeCell ref="K5:L5"/>
    <mergeCell ref="M5:O5"/>
    <mergeCell ref="Y3:Y6"/>
    <mergeCell ref="Q4:Q6"/>
    <mergeCell ref="R4:R6"/>
    <mergeCell ref="S4:S6"/>
    <mergeCell ref="T4:T6"/>
    <mergeCell ref="U4:U6"/>
    <mergeCell ref="V4:V6"/>
    <mergeCell ref="X3:X6"/>
    <mergeCell ref="B73:X73"/>
    <mergeCell ref="B69:X69"/>
    <mergeCell ref="F3:F6"/>
    <mergeCell ref="B3:B6"/>
    <mergeCell ref="B70:X70"/>
    <mergeCell ref="B71:X71"/>
    <mergeCell ref="B72:X72"/>
    <mergeCell ref="B68:F68"/>
    <mergeCell ref="Q3:V3"/>
    <mergeCell ref="W3:W6"/>
    <mergeCell ref="C3:C6"/>
    <mergeCell ref="B67:F67"/>
    <mergeCell ref="D3:E6"/>
    <mergeCell ref="G3:O4"/>
    <mergeCell ref="P3:P6"/>
    <mergeCell ref="G5:J5"/>
  </mergeCells>
  <phoneticPr fontId="2"/>
  <pageMargins left="0.15748031496062992" right="0.15748031496062992" top="0.15748031496062992" bottom="0.15748031496062992" header="0.31496062992125984" footer="0.31496062992125984"/>
  <pageSetup paperSize="9" scale="46" fitToHeight="1000" orientation="landscape"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04D9FE-DA9C-4357-83FE-A6ADC6C81079}">
  <sheetPr>
    <pageSetUpPr fitToPage="1"/>
  </sheetPr>
  <dimension ref="A1:AF58"/>
  <sheetViews>
    <sheetView view="pageBreakPreview" zoomScaleSheetLayoutView="100" workbookViewId="0">
      <pane xSplit="1" ySplit="6" topLeftCell="F44" activePane="bottomRight" state="frozen"/>
      <selection pane="topRight" activeCell="H41" sqref="H41"/>
      <selection pane="bottomLeft" activeCell="H41" sqref="H41"/>
      <selection pane="bottomRight" activeCell="L9" sqref="L9"/>
    </sheetView>
  </sheetViews>
  <sheetFormatPr defaultColWidth="9" defaultRowHeight="16.2" x14ac:dyDescent="0.2"/>
  <cols>
    <col min="1" max="1" width="9" style="4"/>
    <col min="2" max="2" width="12.6640625" style="4" bestFit="1" customWidth="1"/>
    <col min="3" max="3" width="8.33203125" style="4" bestFit="1" customWidth="1"/>
    <col min="4" max="4" width="11.6640625" style="4" bestFit="1" customWidth="1"/>
    <col min="5" max="5" width="36.33203125" style="4" bestFit="1" customWidth="1"/>
    <col min="6" max="6" width="92" style="4" bestFit="1" customWidth="1"/>
    <col min="7" max="7" width="10.88671875" style="4" bestFit="1" customWidth="1"/>
    <col min="8" max="10" width="10.88671875" style="4" customWidth="1"/>
    <col min="11" max="11" width="10.88671875" style="4" bestFit="1" customWidth="1"/>
    <col min="12" max="12" width="10.88671875" style="4" customWidth="1"/>
    <col min="13" max="13" width="10.88671875" style="4" bestFit="1" customWidth="1"/>
    <col min="14" max="15" width="10.88671875" style="4" customWidth="1"/>
    <col min="16" max="16" width="8.33203125" style="4" hidden="1" customWidth="1"/>
    <col min="17" max="17" width="15.6640625" style="4" hidden="1" customWidth="1"/>
    <col min="18" max="19" width="17.88671875" style="4" hidden="1" customWidth="1"/>
    <col min="20" max="21" width="15.6640625" style="4" hidden="1" customWidth="1"/>
    <col min="22" max="22" width="13.88671875" style="4" hidden="1" customWidth="1"/>
    <col min="23" max="23" width="17.88671875" style="4" hidden="1" customWidth="1"/>
    <col min="24" max="24" width="26.6640625" style="4" hidden="1" customWidth="1"/>
    <col min="25" max="25" width="26.6640625" style="4" bestFit="1" customWidth="1"/>
    <col min="26" max="26" width="26.6640625" style="4" customWidth="1"/>
    <col min="27" max="32" width="9" style="4" customWidth="1"/>
    <col min="33" max="16384" width="9" style="4"/>
  </cols>
  <sheetData>
    <row r="1" spans="1:32" s="2" customFormat="1" x14ac:dyDescent="0.2">
      <c r="A1" s="5" t="s">
        <v>407</v>
      </c>
      <c r="F1" s="5"/>
      <c r="G1" s="1"/>
      <c r="H1" s="1"/>
      <c r="I1" s="1"/>
      <c r="J1" s="1"/>
      <c r="K1" s="1"/>
      <c r="L1" s="1"/>
      <c r="M1" s="1"/>
      <c r="N1" s="1"/>
      <c r="O1" s="1"/>
      <c r="P1" s="1"/>
      <c r="Q1" s="1"/>
      <c r="R1" s="1"/>
      <c r="S1" s="1"/>
      <c r="T1" s="1"/>
      <c r="U1" s="1"/>
      <c r="V1" s="1"/>
      <c r="AB1" s="2" t="s">
        <v>243</v>
      </c>
      <c r="AC1" s="2" t="s">
        <v>244</v>
      </c>
      <c r="AD1" s="2" t="s">
        <v>245</v>
      </c>
      <c r="AE1" s="2" t="s">
        <v>246</v>
      </c>
      <c r="AF1" s="2" t="s">
        <v>247</v>
      </c>
    </row>
    <row r="2" spans="1:32" s="3" customFormat="1" ht="16.5" customHeight="1" thickBot="1" x14ac:dyDescent="0.25">
      <c r="AB2" s="3">
        <v>10</v>
      </c>
      <c r="AC2" s="3">
        <v>7</v>
      </c>
      <c r="AD2" s="3">
        <v>5</v>
      </c>
      <c r="AE2" s="3">
        <v>3</v>
      </c>
      <c r="AF2" s="3">
        <v>2</v>
      </c>
    </row>
    <row r="3" spans="1:32" s="3" customFormat="1" x14ac:dyDescent="0.2">
      <c r="B3" s="288" t="s">
        <v>48</v>
      </c>
      <c r="C3" s="284" t="s">
        <v>49</v>
      </c>
      <c r="D3" s="284" t="s">
        <v>50</v>
      </c>
      <c r="E3" s="284"/>
      <c r="F3" s="291" t="s">
        <v>52</v>
      </c>
      <c r="G3" s="284" t="s">
        <v>248</v>
      </c>
      <c r="H3" s="284"/>
      <c r="I3" s="284"/>
      <c r="J3" s="284"/>
      <c r="K3" s="284"/>
      <c r="L3" s="284"/>
      <c r="M3" s="284"/>
      <c r="N3" s="284"/>
      <c r="O3" s="284"/>
      <c r="P3" s="284" t="s">
        <v>249</v>
      </c>
      <c r="Q3" s="293" t="s">
        <v>53</v>
      </c>
      <c r="R3" s="293"/>
      <c r="S3" s="293"/>
      <c r="T3" s="293"/>
      <c r="U3" s="293"/>
      <c r="V3" s="293"/>
      <c r="W3" s="293" t="s">
        <v>54</v>
      </c>
      <c r="X3" s="293" t="s">
        <v>55</v>
      </c>
      <c r="Y3" s="295" t="s">
        <v>250</v>
      </c>
      <c r="Z3" s="17"/>
    </row>
    <row r="4" spans="1:32" s="3" customFormat="1" x14ac:dyDescent="0.2">
      <c r="B4" s="289"/>
      <c r="C4" s="146"/>
      <c r="D4" s="146"/>
      <c r="E4" s="146"/>
      <c r="F4" s="150"/>
      <c r="G4" s="146"/>
      <c r="H4" s="146"/>
      <c r="I4" s="146"/>
      <c r="J4" s="146"/>
      <c r="K4" s="146"/>
      <c r="L4" s="146"/>
      <c r="M4" s="146"/>
      <c r="N4" s="146"/>
      <c r="O4" s="146"/>
      <c r="P4" s="146"/>
      <c r="Q4" s="151" t="s">
        <v>251</v>
      </c>
      <c r="R4" s="151" t="s">
        <v>252</v>
      </c>
      <c r="S4" s="151" t="s">
        <v>253</v>
      </c>
      <c r="T4" s="151" t="s">
        <v>59</v>
      </c>
      <c r="U4" s="151" t="s">
        <v>254</v>
      </c>
      <c r="V4" s="151" t="s">
        <v>61</v>
      </c>
      <c r="W4" s="151"/>
      <c r="X4" s="151"/>
      <c r="Y4" s="296"/>
      <c r="Z4" s="17"/>
    </row>
    <row r="5" spans="1:32" x14ac:dyDescent="0.2">
      <c r="B5" s="290"/>
      <c r="C5" s="147"/>
      <c r="D5" s="147"/>
      <c r="E5" s="147"/>
      <c r="F5" s="292"/>
      <c r="G5" s="285" t="s">
        <v>221</v>
      </c>
      <c r="H5" s="286"/>
      <c r="I5" s="286"/>
      <c r="J5" s="287"/>
      <c r="K5" s="285" t="s">
        <v>228</v>
      </c>
      <c r="L5" s="286"/>
      <c r="M5" s="285" t="s">
        <v>234</v>
      </c>
      <c r="N5" s="286"/>
      <c r="O5" s="286"/>
      <c r="P5" s="147"/>
      <c r="Q5" s="294"/>
      <c r="R5" s="294"/>
      <c r="S5" s="294"/>
      <c r="T5" s="294"/>
      <c r="U5" s="294"/>
      <c r="V5" s="294"/>
      <c r="W5" s="294"/>
      <c r="X5" s="294"/>
      <c r="Y5" s="297"/>
      <c r="Z5" s="17"/>
    </row>
    <row r="6" spans="1:32" x14ac:dyDescent="0.2">
      <c r="B6" s="290"/>
      <c r="C6" s="147"/>
      <c r="D6" s="147"/>
      <c r="E6" s="147"/>
      <c r="F6" s="292"/>
      <c r="G6" s="11" t="s">
        <v>197</v>
      </c>
      <c r="H6" s="11" t="s">
        <v>198</v>
      </c>
      <c r="I6" s="11" t="s">
        <v>199</v>
      </c>
      <c r="J6" s="11" t="s">
        <v>255</v>
      </c>
      <c r="K6" s="11" t="s">
        <v>197</v>
      </c>
      <c r="L6" s="11" t="s">
        <v>198</v>
      </c>
      <c r="M6" s="11" t="s">
        <v>197</v>
      </c>
      <c r="N6" s="11" t="s">
        <v>198</v>
      </c>
      <c r="O6" s="11" t="s">
        <v>199</v>
      </c>
      <c r="P6" s="147"/>
      <c r="Q6" s="294"/>
      <c r="R6" s="294"/>
      <c r="S6" s="294"/>
      <c r="T6" s="294"/>
      <c r="U6" s="294"/>
      <c r="V6" s="294"/>
      <c r="W6" s="294"/>
      <c r="X6" s="294"/>
      <c r="Y6" s="297"/>
      <c r="Z6" s="17"/>
    </row>
    <row r="7" spans="1:32" ht="29.25" customHeight="1" x14ac:dyDescent="0.2">
      <c r="B7" s="27" t="s">
        <v>256</v>
      </c>
      <c r="C7" s="7" t="s">
        <v>257</v>
      </c>
      <c r="D7" s="7" t="s">
        <v>146</v>
      </c>
      <c r="E7" s="7" t="s">
        <v>258</v>
      </c>
      <c r="F7" s="6" t="s">
        <v>259</v>
      </c>
      <c r="G7" s="12" t="s">
        <v>260</v>
      </c>
      <c r="H7" s="12"/>
      <c r="I7" s="12"/>
      <c r="J7" s="12"/>
      <c r="K7" s="12" t="s">
        <v>260</v>
      </c>
      <c r="L7" s="12"/>
      <c r="M7" s="12" t="s">
        <v>260</v>
      </c>
      <c r="N7" s="12"/>
      <c r="O7" s="12"/>
      <c r="P7" s="7" t="s">
        <v>245</v>
      </c>
      <c r="Q7" s="7">
        <f t="shared" ref="Q7:Q51" si="0">IFERROR(HLOOKUP(P7,AB$1:AF$2,2,FALSE),0)</f>
        <v>5</v>
      </c>
      <c r="R7" s="7">
        <f>Q7*0.8</f>
        <v>4</v>
      </c>
      <c r="S7" s="7">
        <f>Q7*0.6</f>
        <v>3</v>
      </c>
      <c r="T7" s="7">
        <f>Q7*1.2</f>
        <v>6</v>
      </c>
      <c r="U7" s="7">
        <f>Q7*0.8</f>
        <v>4</v>
      </c>
      <c r="V7" s="7">
        <f t="shared" ref="V7:V51" si="1">Q7*0.3</f>
        <v>1.5</v>
      </c>
      <c r="W7" s="7">
        <f t="shared" ref="W7:W52" si="2">SUM(Q7:V7)</f>
        <v>23.5</v>
      </c>
      <c r="X7" s="7">
        <f>ROUNDUP(W7/20,2)</f>
        <v>1.18</v>
      </c>
      <c r="Y7" s="15">
        <f>Z7</f>
        <v>1180000</v>
      </c>
      <c r="Z7" s="18">
        <f>X7*1000000</f>
        <v>1180000</v>
      </c>
    </row>
    <row r="8" spans="1:32" ht="48.6" x14ac:dyDescent="0.2">
      <c r="B8" s="28"/>
      <c r="C8" s="7"/>
      <c r="D8" s="7" t="s">
        <v>146</v>
      </c>
      <c r="E8" s="7" t="s">
        <v>261</v>
      </c>
      <c r="F8" s="6" t="s">
        <v>262</v>
      </c>
      <c r="G8" s="12" t="s">
        <v>260</v>
      </c>
      <c r="H8" s="12"/>
      <c r="I8" s="12"/>
      <c r="J8" s="12"/>
      <c r="K8" s="12" t="s">
        <v>260</v>
      </c>
      <c r="L8" s="12"/>
      <c r="M8" s="12" t="s">
        <v>260</v>
      </c>
      <c r="N8" s="12"/>
      <c r="O8" s="12"/>
      <c r="P8" s="7" t="s">
        <v>246</v>
      </c>
      <c r="Q8" s="7">
        <f t="shared" si="0"/>
        <v>3</v>
      </c>
      <c r="R8" s="7">
        <f t="shared" ref="R8:R51" si="3">Q8*0.8</f>
        <v>2.4000000000000004</v>
      </c>
      <c r="S8" s="7">
        <f t="shared" ref="S8:S51" si="4">Q8*0.6</f>
        <v>1.7999999999999998</v>
      </c>
      <c r="T8" s="7">
        <f t="shared" ref="T8:T51" si="5">Q8*1.2</f>
        <v>3.5999999999999996</v>
      </c>
      <c r="U8" s="7">
        <f t="shared" ref="U8:U51" si="6">Q8*0.8</f>
        <v>2.4000000000000004</v>
      </c>
      <c r="V8" s="7">
        <f t="shared" si="1"/>
        <v>0.89999999999999991</v>
      </c>
      <c r="W8" s="7">
        <f t="shared" si="2"/>
        <v>14.100000000000001</v>
      </c>
      <c r="X8" s="7">
        <f t="shared" ref="X8:X51" si="7">ROUNDUP(W8/20,2)</f>
        <v>0.71</v>
      </c>
      <c r="Y8" s="15">
        <f t="shared" ref="Y8:Y51" si="8">Z8</f>
        <v>710000</v>
      </c>
      <c r="Z8" s="18">
        <f t="shared" ref="Z8:Z51" si="9">X8*1000000</f>
        <v>710000</v>
      </c>
    </row>
    <row r="9" spans="1:32" ht="48.6" x14ac:dyDescent="0.2">
      <c r="B9" s="28"/>
      <c r="C9" s="7"/>
      <c r="D9" s="7" t="s">
        <v>146</v>
      </c>
      <c r="E9" s="7" t="s">
        <v>263</v>
      </c>
      <c r="F9" s="6" t="s">
        <v>264</v>
      </c>
      <c r="G9" s="12"/>
      <c r="H9" s="12"/>
      <c r="I9" s="12" t="s">
        <v>260</v>
      </c>
      <c r="J9" s="12"/>
      <c r="K9" s="12"/>
      <c r="L9" s="12" t="s">
        <v>260</v>
      </c>
      <c r="M9" s="12"/>
      <c r="N9" s="12" t="s">
        <v>260</v>
      </c>
      <c r="O9" s="12"/>
      <c r="P9" s="7" t="s">
        <v>245</v>
      </c>
      <c r="Q9" s="7">
        <f t="shared" si="0"/>
        <v>5</v>
      </c>
      <c r="R9" s="7">
        <f t="shared" si="3"/>
        <v>4</v>
      </c>
      <c r="S9" s="7">
        <f t="shared" si="4"/>
        <v>3</v>
      </c>
      <c r="T9" s="7">
        <f t="shared" si="5"/>
        <v>6</v>
      </c>
      <c r="U9" s="7">
        <f t="shared" si="6"/>
        <v>4</v>
      </c>
      <c r="V9" s="7">
        <f t="shared" si="1"/>
        <v>1.5</v>
      </c>
      <c r="W9" s="7">
        <f t="shared" si="2"/>
        <v>23.5</v>
      </c>
      <c r="X9" s="7">
        <f t="shared" si="7"/>
        <v>1.18</v>
      </c>
      <c r="Y9" s="15">
        <f t="shared" si="8"/>
        <v>1180000</v>
      </c>
      <c r="Z9" s="18">
        <f t="shared" si="9"/>
        <v>1180000</v>
      </c>
    </row>
    <row r="10" spans="1:32" ht="48.6" x14ac:dyDescent="0.2">
      <c r="B10" s="28"/>
      <c r="C10" s="7"/>
      <c r="D10" s="7" t="s">
        <v>146</v>
      </c>
      <c r="E10" s="29" t="s">
        <v>265</v>
      </c>
      <c r="F10" s="6" t="s">
        <v>266</v>
      </c>
      <c r="G10" s="12" t="s">
        <v>260</v>
      </c>
      <c r="H10" s="12"/>
      <c r="I10" s="12"/>
      <c r="J10" s="12"/>
      <c r="K10" s="12" t="s">
        <v>260</v>
      </c>
      <c r="L10" s="12"/>
      <c r="M10" s="12" t="s">
        <v>260</v>
      </c>
      <c r="N10" s="12"/>
      <c r="O10" s="12"/>
      <c r="P10" s="7" t="s">
        <v>246</v>
      </c>
      <c r="Q10" s="7">
        <f t="shared" si="0"/>
        <v>3</v>
      </c>
      <c r="R10" s="7">
        <f t="shared" si="3"/>
        <v>2.4000000000000004</v>
      </c>
      <c r="S10" s="7">
        <f t="shared" si="4"/>
        <v>1.7999999999999998</v>
      </c>
      <c r="T10" s="7">
        <f t="shared" si="5"/>
        <v>3.5999999999999996</v>
      </c>
      <c r="U10" s="7">
        <f t="shared" si="6"/>
        <v>2.4000000000000004</v>
      </c>
      <c r="V10" s="7">
        <f t="shared" si="1"/>
        <v>0.89999999999999991</v>
      </c>
      <c r="W10" s="7">
        <f t="shared" si="2"/>
        <v>14.100000000000001</v>
      </c>
      <c r="X10" s="7">
        <f t="shared" si="7"/>
        <v>0.71</v>
      </c>
      <c r="Y10" s="15">
        <f t="shared" si="8"/>
        <v>710000</v>
      </c>
      <c r="Z10" s="18">
        <f t="shared" si="9"/>
        <v>710000</v>
      </c>
    </row>
    <row r="11" spans="1:32" ht="48.6" x14ac:dyDescent="0.2">
      <c r="B11" s="28"/>
      <c r="C11" s="7"/>
      <c r="D11" s="7" t="s">
        <v>146</v>
      </c>
      <c r="E11" s="29" t="s">
        <v>267</v>
      </c>
      <c r="F11" s="6" t="s">
        <v>268</v>
      </c>
      <c r="G11" s="12" t="s">
        <v>260</v>
      </c>
      <c r="H11" s="12"/>
      <c r="I11" s="12"/>
      <c r="J11" s="12"/>
      <c r="K11" s="12" t="s">
        <v>260</v>
      </c>
      <c r="L11" s="12"/>
      <c r="M11" s="12" t="s">
        <v>260</v>
      </c>
      <c r="N11" s="12"/>
      <c r="O11" s="12"/>
      <c r="P11" s="7" t="s">
        <v>246</v>
      </c>
      <c r="Q11" s="7">
        <f t="shared" si="0"/>
        <v>3</v>
      </c>
      <c r="R11" s="7">
        <f t="shared" si="3"/>
        <v>2.4000000000000004</v>
      </c>
      <c r="S11" s="7">
        <f t="shared" si="4"/>
        <v>1.7999999999999998</v>
      </c>
      <c r="T11" s="7">
        <f t="shared" si="5"/>
        <v>3.5999999999999996</v>
      </c>
      <c r="U11" s="7">
        <f t="shared" si="6"/>
        <v>2.4000000000000004</v>
      </c>
      <c r="V11" s="7">
        <f t="shared" si="1"/>
        <v>0.89999999999999991</v>
      </c>
      <c r="W11" s="7">
        <f t="shared" si="2"/>
        <v>14.100000000000001</v>
      </c>
      <c r="X11" s="7">
        <f t="shared" si="7"/>
        <v>0.71</v>
      </c>
      <c r="Y11" s="15">
        <f t="shared" si="8"/>
        <v>710000</v>
      </c>
      <c r="Z11" s="18">
        <f t="shared" si="9"/>
        <v>710000</v>
      </c>
    </row>
    <row r="12" spans="1:32" ht="48.6" x14ac:dyDescent="0.2">
      <c r="B12" s="28"/>
      <c r="C12" s="7"/>
      <c r="D12" s="7" t="s">
        <v>146</v>
      </c>
      <c r="E12" s="29" t="s">
        <v>269</v>
      </c>
      <c r="F12" s="6" t="s">
        <v>270</v>
      </c>
      <c r="G12" s="12" t="s">
        <v>260</v>
      </c>
      <c r="H12" s="12"/>
      <c r="I12" s="12"/>
      <c r="J12" s="12"/>
      <c r="K12" s="12" t="s">
        <v>260</v>
      </c>
      <c r="L12" s="12"/>
      <c r="M12" s="12" t="s">
        <v>260</v>
      </c>
      <c r="N12" s="12"/>
      <c r="O12" s="12"/>
      <c r="P12" s="7" t="s">
        <v>246</v>
      </c>
      <c r="Q12" s="7">
        <f t="shared" si="0"/>
        <v>3</v>
      </c>
      <c r="R12" s="7">
        <f t="shared" si="3"/>
        <v>2.4000000000000004</v>
      </c>
      <c r="S12" s="7">
        <f t="shared" si="4"/>
        <v>1.7999999999999998</v>
      </c>
      <c r="T12" s="7">
        <f t="shared" si="5"/>
        <v>3.5999999999999996</v>
      </c>
      <c r="U12" s="7">
        <f t="shared" si="6"/>
        <v>2.4000000000000004</v>
      </c>
      <c r="V12" s="7">
        <f t="shared" si="1"/>
        <v>0.89999999999999991</v>
      </c>
      <c r="W12" s="7">
        <f t="shared" si="2"/>
        <v>14.100000000000001</v>
      </c>
      <c r="X12" s="7">
        <f t="shared" si="7"/>
        <v>0.71</v>
      </c>
      <c r="Y12" s="15">
        <f t="shared" si="8"/>
        <v>710000</v>
      </c>
      <c r="Z12" s="18">
        <f t="shared" si="9"/>
        <v>710000</v>
      </c>
    </row>
    <row r="13" spans="1:32" ht="32.4" x14ac:dyDescent="0.2">
      <c r="B13" s="28"/>
      <c r="C13" s="7"/>
      <c r="D13" s="7" t="s">
        <v>273</v>
      </c>
      <c r="E13" s="7" t="s">
        <v>274</v>
      </c>
      <c r="F13" s="6" t="s">
        <v>275</v>
      </c>
      <c r="G13" s="12"/>
      <c r="H13" s="12" t="s">
        <v>260</v>
      </c>
      <c r="I13" s="12"/>
      <c r="J13" s="12"/>
      <c r="K13" s="12" t="s">
        <v>260</v>
      </c>
      <c r="L13" s="12"/>
      <c r="M13" s="12"/>
      <c r="N13" s="12" t="s">
        <v>260</v>
      </c>
      <c r="O13" s="12"/>
      <c r="P13" s="7" t="s">
        <v>245</v>
      </c>
      <c r="Q13" s="7">
        <f t="shared" si="0"/>
        <v>5</v>
      </c>
      <c r="R13" s="7">
        <f t="shared" si="3"/>
        <v>4</v>
      </c>
      <c r="S13" s="7">
        <f t="shared" si="4"/>
        <v>3</v>
      </c>
      <c r="T13" s="7">
        <f t="shared" si="5"/>
        <v>6</v>
      </c>
      <c r="U13" s="7">
        <f t="shared" si="6"/>
        <v>4</v>
      </c>
      <c r="V13" s="7">
        <f t="shared" si="1"/>
        <v>1.5</v>
      </c>
      <c r="W13" s="7">
        <f t="shared" si="2"/>
        <v>23.5</v>
      </c>
      <c r="X13" s="7">
        <f t="shared" si="7"/>
        <v>1.18</v>
      </c>
      <c r="Y13" s="15">
        <f t="shared" si="8"/>
        <v>1180000</v>
      </c>
      <c r="Z13" s="18">
        <f t="shared" si="9"/>
        <v>1180000</v>
      </c>
    </row>
    <row r="14" spans="1:32" ht="48.6" x14ac:dyDescent="0.2">
      <c r="B14" s="28"/>
      <c r="C14" s="7"/>
      <c r="D14" s="7" t="s">
        <v>273</v>
      </c>
      <c r="E14" s="7" t="s">
        <v>276</v>
      </c>
      <c r="F14" s="6" t="s">
        <v>277</v>
      </c>
      <c r="G14" s="12"/>
      <c r="H14" s="12" t="s">
        <v>260</v>
      </c>
      <c r="I14" s="12"/>
      <c r="J14" s="12"/>
      <c r="K14" s="12" t="s">
        <v>260</v>
      </c>
      <c r="L14" s="12"/>
      <c r="M14" s="12"/>
      <c r="N14" s="12" t="s">
        <v>260</v>
      </c>
      <c r="O14" s="12"/>
      <c r="P14" s="7" t="s">
        <v>245</v>
      </c>
      <c r="Q14" s="7">
        <f t="shared" si="0"/>
        <v>5</v>
      </c>
      <c r="R14" s="7">
        <f t="shared" si="3"/>
        <v>4</v>
      </c>
      <c r="S14" s="7">
        <f t="shared" si="4"/>
        <v>3</v>
      </c>
      <c r="T14" s="7">
        <f t="shared" si="5"/>
        <v>6</v>
      </c>
      <c r="U14" s="7">
        <f t="shared" si="6"/>
        <v>4</v>
      </c>
      <c r="V14" s="7">
        <f t="shared" si="1"/>
        <v>1.5</v>
      </c>
      <c r="W14" s="7">
        <f t="shared" si="2"/>
        <v>23.5</v>
      </c>
      <c r="X14" s="7">
        <f t="shared" si="7"/>
        <v>1.18</v>
      </c>
      <c r="Y14" s="15">
        <f t="shared" si="8"/>
        <v>1180000</v>
      </c>
      <c r="Z14" s="18">
        <f t="shared" si="9"/>
        <v>1180000</v>
      </c>
    </row>
    <row r="15" spans="1:32" ht="152.25" customHeight="1" x14ac:dyDescent="0.2">
      <c r="B15" s="28"/>
      <c r="C15" s="7"/>
      <c r="D15" s="7" t="s">
        <v>273</v>
      </c>
      <c r="E15" s="7" t="s">
        <v>278</v>
      </c>
      <c r="F15" s="6" t="s">
        <v>279</v>
      </c>
      <c r="G15" s="12"/>
      <c r="H15" s="12" t="s">
        <v>260</v>
      </c>
      <c r="I15" s="12"/>
      <c r="J15" s="12"/>
      <c r="K15" s="12" t="s">
        <v>260</v>
      </c>
      <c r="L15" s="12"/>
      <c r="M15" s="12"/>
      <c r="N15" s="12" t="s">
        <v>260</v>
      </c>
      <c r="O15" s="12"/>
      <c r="P15" s="7" t="s">
        <v>245</v>
      </c>
      <c r="Q15" s="7">
        <f t="shared" si="0"/>
        <v>5</v>
      </c>
      <c r="R15" s="7">
        <f t="shared" si="3"/>
        <v>4</v>
      </c>
      <c r="S15" s="7">
        <f t="shared" si="4"/>
        <v>3</v>
      </c>
      <c r="T15" s="7">
        <f t="shared" si="5"/>
        <v>6</v>
      </c>
      <c r="U15" s="7">
        <f t="shared" si="6"/>
        <v>4</v>
      </c>
      <c r="V15" s="7">
        <f t="shared" si="1"/>
        <v>1.5</v>
      </c>
      <c r="W15" s="7">
        <f t="shared" si="2"/>
        <v>23.5</v>
      </c>
      <c r="X15" s="7">
        <f t="shared" si="7"/>
        <v>1.18</v>
      </c>
      <c r="Y15" s="15">
        <f t="shared" si="8"/>
        <v>1180000</v>
      </c>
      <c r="Z15" s="18">
        <f t="shared" si="9"/>
        <v>1180000</v>
      </c>
    </row>
    <row r="16" spans="1:32" ht="32.4" x14ac:dyDescent="0.2">
      <c r="B16" s="28"/>
      <c r="C16" s="7"/>
      <c r="D16" s="7" t="s">
        <v>273</v>
      </c>
      <c r="E16" s="7" t="s">
        <v>280</v>
      </c>
      <c r="F16" s="6" t="s">
        <v>281</v>
      </c>
      <c r="G16" s="12" t="s">
        <v>260</v>
      </c>
      <c r="H16" s="12"/>
      <c r="I16" s="12"/>
      <c r="J16" s="12"/>
      <c r="K16" s="12" t="s">
        <v>260</v>
      </c>
      <c r="L16" s="12"/>
      <c r="M16" s="12" t="s">
        <v>260</v>
      </c>
      <c r="N16" s="12"/>
      <c r="O16" s="12"/>
      <c r="P16" s="7" t="s">
        <v>245</v>
      </c>
      <c r="Q16" s="7">
        <f t="shared" si="0"/>
        <v>5</v>
      </c>
      <c r="R16" s="7">
        <f t="shared" si="3"/>
        <v>4</v>
      </c>
      <c r="S16" s="7">
        <f t="shared" si="4"/>
        <v>3</v>
      </c>
      <c r="T16" s="7">
        <f t="shared" si="5"/>
        <v>6</v>
      </c>
      <c r="U16" s="7">
        <f t="shared" si="6"/>
        <v>4</v>
      </c>
      <c r="V16" s="7">
        <f t="shared" si="1"/>
        <v>1.5</v>
      </c>
      <c r="W16" s="7">
        <f t="shared" si="2"/>
        <v>23.5</v>
      </c>
      <c r="X16" s="7">
        <f t="shared" si="7"/>
        <v>1.18</v>
      </c>
      <c r="Y16" s="15">
        <f t="shared" si="8"/>
        <v>1180000</v>
      </c>
      <c r="Z16" s="18">
        <f t="shared" si="9"/>
        <v>1180000</v>
      </c>
    </row>
    <row r="17" spans="2:26" ht="48.6" x14ac:dyDescent="0.2">
      <c r="B17" s="28"/>
      <c r="C17" s="7"/>
      <c r="D17" s="7" t="s">
        <v>273</v>
      </c>
      <c r="E17" s="7" t="s">
        <v>282</v>
      </c>
      <c r="F17" s="6" t="s">
        <v>283</v>
      </c>
      <c r="G17" s="12" t="s">
        <v>260</v>
      </c>
      <c r="H17" s="12"/>
      <c r="I17" s="12"/>
      <c r="J17" s="12"/>
      <c r="K17" s="12" t="s">
        <v>260</v>
      </c>
      <c r="L17" s="12"/>
      <c r="M17" s="12" t="s">
        <v>260</v>
      </c>
      <c r="N17" s="12"/>
      <c r="O17" s="12"/>
      <c r="P17" s="7" t="s">
        <v>245</v>
      </c>
      <c r="Q17" s="7">
        <f t="shared" si="0"/>
        <v>5</v>
      </c>
      <c r="R17" s="7">
        <f t="shared" si="3"/>
        <v>4</v>
      </c>
      <c r="S17" s="7">
        <f t="shared" si="4"/>
        <v>3</v>
      </c>
      <c r="T17" s="7">
        <f t="shared" si="5"/>
        <v>6</v>
      </c>
      <c r="U17" s="7">
        <f t="shared" si="6"/>
        <v>4</v>
      </c>
      <c r="V17" s="7">
        <f t="shared" si="1"/>
        <v>1.5</v>
      </c>
      <c r="W17" s="7">
        <f t="shared" si="2"/>
        <v>23.5</v>
      </c>
      <c r="X17" s="7">
        <f t="shared" si="7"/>
        <v>1.18</v>
      </c>
      <c r="Y17" s="15">
        <f t="shared" si="8"/>
        <v>1180000</v>
      </c>
      <c r="Z17" s="18">
        <f t="shared" si="9"/>
        <v>1180000</v>
      </c>
    </row>
    <row r="18" spans="2:26" ht="102" customHeight="1" x14ac:dyDescent="0.2">
      <c r="B18" s="28"/>
      <c r="C18" s="7"/>
      <c r="D18" s="7" t="s">
        <v>273</v>
      </c>
      <c r="E18" s="7" t="s">
        <v>284</v>
      </c>
      <c r="F18" s="6" t="s">
        <v>285</v>
      </c>
      <c r="G18" s="12" t="s">
        <v>260</v>
      </c>
      <c r="H18" s="12"/>
      <c r="I18" s="12"/>
      <c r="J18" s="12"/>
      <c r="K18" s="12" t="s">
        <v>260</v>
      </c>
      <c r="L18" s="12"/>
      <c r="M18" s="12" t="s">
        <v>260</v>
      </c>
      <c r="N18" s="12"/>
      <c r="O18" s="12"/>
      <c r="P18" s="7" t="s">
        <v>245</v>
      </c>
      <c r="Q18" s="7">
        <f t="shared" si="0"/>
        <v>5</v>
      </c>
      <c r="R18" s="7">
        <f t="shared" si="3"/>
        <v>4</v>
      </c>
      <c r="S18" s="7">
        <f t="shared" si="4"/>
        <v>3</v>
      </c>
      <c r="T18" s="7">
        <f t="shared" si="5"/>
        <v>6</v>
      </c>
      <c r="U18" s="7">
        <f t="shared" si="6"/>
        <v>4</v>
      </c>
      <c r="V18" s="7">
        <f t="shared" si="1"/>
        <v>1.5</v>
      </c>
      <c r="W18" s="7">
        <f t="shared" si="2"/>
        <v>23.5</v>
      </c>
      <c r="X18" s="7">
        <f t="shared" si="7"/>
        <v>1.18</v>
      </c>
      <c r="Y18" s="15">
        <f t="shared" si="8"/>
        <v>1180000</v>
      </c>
      <c r="Z18" s="18">
        <f t="shared" si="9"/>
        <v>1180000</v>
      </c>
    </row>
    <row r="19" spans="2:26" ht="48.6" x14ac:dyDescent="0.2">
      <c r="B19" s="28"/>
      <c r="C19" s="7"/>
      <c r="D19" s="7" t="s">
        <v>286</v>
      </c>
      <c r="E19" s="7" t="s">
        <v>287</v>
      </c>
      <c r="F19" s="6" t="s">
        <v>288</v>
      </c>
      <c r="G19" s="12"/>
      <c r="H19" s="12"/>
      <c r="I19" s="12" t="s">
        <v>260</v>
      </c>
      <c r="J19" s="12"/>
      <c r="K19" s="12"/>
      <c r="L19" s="12" t="s">
        <v>260</v>
      </c>
      <c r="M19" s="12"/>
      <c r="N19" s="12" t="s">
        <v>260</v>
      </c>
      <c r="O19" s="12"/>
      <c r="P19" s="7" t="s">
        <v>245</v>
      </c>
      <c r="Q19" s="7">
        <f t="shared" si="0"/>
        <v>5</v>
      </c>
      <c r="R19" s="7">
        <f t="shared" si="3"/>
        <v>4</v>
      </c>
      <c r="S19" s="7">
        <f t="shared" si="4"/>
        <v>3</v>
      </c>
      <c r="T19" s="7">
        <f t="shared" si="5"/>
        <v>6</v>
      </c>
      <c r="U19" s="7">
        <f t="shared" si="6"/>
        <v>4</v>
      </c>
      <c r="V19" s="7">
        <f t="shared" si="1"/>
        <v>1.5</v>
      </c>
      <c r="W19" s="7">
        <f t="shared" si="2"/>
        <v>23.5</v>
      </c>
      <c r="X19" s="7">
        <f t="shared" si="7"/>
        <v>1.18</v>
      </c>
      <c r="Y19" s="15">
        <f t="shared" si="8"/>
        <v>1180000</v>
      </c>
      <c r="Z19" s="18">
        <f t="shared" si="9"/>
        <v>1180000</v>
      </c>
    </row>
    <row r="20" spans="2:26" ht="48.6" x14ac:dyDescent="0.2">
      <c r="B20" s="28"/>
      <c r="C20" s="7"/>
      <c r="D20" s="7" t="s">
        <v>286</v>
      </c>
      <c r="E20" s="7" t="s">
        <v>289</v>
      </c>
      <c r="F20" s="6" t="s">
        <v>290</v>
      </c>
      <c r="G20" s="12"/>
      <c r="H20" s="12"/>
      <c r="I20" s="12" t="s">
        <v>260</v>
      </c>
      <c r="J20" s="12"/>
      <c r="K20" s="12"/>
      <c r="L20" s="12" t="s">
        <v>260</v>
      </c>
      <c r="M20" s="12"/>
      <c r="N20" s="12" t="s">
        <v>260</v>
      </c>
      <c r="O20" s="12"/>
      <c r="P20" s="7" t="s">
        <v>245</v>
      </c>
      <c r="Q20" s="7">
        <f t="shared" si="0"/>
        <v>5</v>
      </c>
      <c r="R20" s="7">
        <f t="shared" si="3"/>
        <v>4</v>
      </c>
      <c r="S20" s="7">
        <f t="shared" si="4"/>
        <v>3</v>
      </c>
      <c r="T20" s="7">
        <f t="shared" si="5"/>
        <v>6</v>
      </c>
      <c r="U20" s="7">
        <f t="shared" si="6"/>
        <v>4</v>
      </c>
      <c r="V20" s="7">
        <f t="shared" si="1"/>
        <v>1.5</v>
      </c>
      <c r="W20" s="7">
        <f t="shared" si="2"/>
        <v>23.5</v>
      </c>
      <c r="X20" s="7">
        <f t="shared" si="7"/>
        <v>1.18</v>
      </c>
      <c r="Y20" s="15">
        <f t="shared" si="8"/>
        <v>1180000</v>
      </c>
      <c r="Z20" s="18">
        <f t="shared" si="9"/>
        <v>1180000</v>
      </c>
    </row>
    <row r="21" spans="2:26" ht="48.6" x14ac:dyDescent="0.2">
      <c r="B21" s="28"/>
      <c r="C21" s="7"/>
      <c r="D21" s="7" t="s">
        <v>291</v>
      </c>
      <c r="E21" s="7" t="s">
        <v>292</v>
      </c>
      <c r="F21" s="6" t="s">
        <v>293</v>
      </c>
      <c r="G21" s="12"/>
      <c r="H21" s="12"/>
      <c r="I21" s="12" t="s">
        <v>260</v>
      </c>
      <c r="J21" s="12"/>
      <c r="K21" s="12"/>
      <c r="L21" s="12" t="s">
        <v>260</v>
      </c>
      <c r="M21" s="12"/>
      <c r="N21" s="12" t="s">
        <v>260</v>
      </c>
      <c r="O21" s="12"/>
      <c r="P21" s="7" t="s">
        <v>297</v>
      </c>
      <c r="Q21" s="7">
        <f t="shared" si="0"/>
        <v>10</v>
      </c>
      <c r="R21" s="7">
        <f t="shared" si="3"/>
        <v>8</v>
      </c>
      <c r="S21" s="7">
        <f t="shared" si="4"/>
        <v>6</v>
      </c>
      <c r="T21" s="7">
        <f t="shared" si="5"/>
        <v>12</v>
      </c>
      <c r="U21" s="7">
        <f t="shared" si="6"/>
        <v>8</v>
      </c>
      <c r="V21" s="7">
        <f t="shared" si="1"/>
        <v>3</v>
      </c>
      <c r="W21" s="7">
        <f t="shared" si="2"/>
        <v>47</v>
      </c>
      <c r="X21" s="7">
        <f t="shared" si="7"/>
        <v>2.35</v>
      </c>
      <c r="Y21" s="15">
        <f t="shared" si="8"/>
        <v>2350000</v>
      </c>
      <c r="Z21" s="18">
        <f t="shared" si="9"/>
        <v>2350000</v>
      </c>
    </row>
    <row r="22" spans="2:26" ht="81" x14ac:dyDescent="0.2">
      <c r="B22" s="28"/>
      <c r="C22" s="7"/>
      <c r="D22" s="7" t="s">
        <v>291</v>
      </c>
      <c r="E22" s="7" t="s">
        <v>295</v>
      </c>
      <c r="F22" s="6" t="s">
        <v>408</v>
      </c>
      <c r="G22" s="12"/>
      <c r="H22" s="12"/>
      <c r="I22" s="12" t="s">
        <v>260</v>
      </c>
      <c r="J22" s="12"/>
      <c r="K22" s="12"/>
      <c r="L22" s="12" t="s">
        <v>260</v>
      </c>
      <c r="M22" s="12"/>
      <c r="N22" s="12" t="s">
        <v>260</v>
      </c>
      <c r="O22" s="12"/>
      <c r="P22" s="7" t="s">
        <v>297</v>
      </c>
      <c r="Q22" s="7">
        <f t="shared" si="0"/>
        <v>10</v>
      </c>
      <c r="R22" s="7">
        <f t="shared" si="3"/>
        <v>8</v>
      </c>
      <c r="S22" s="7">
        <f t="shared" si="4"/>
        <v>6</v>
      </c>
      <c r="T22" s="7">
        <f t="shared" si="5"/>
        <v>12</v>
      </c>
      <c r="U22" s="7">
        <f t="shared" si="6"/>
        <v>8</v>
      </c>
      <c r="V22" s="7">
        <f t="shared" si="1"/>
        <v>3</v>
      </c>
      <c r="W22" s="7">
        <f t="shared" si="2"/>
        <v>47</v>
      </c>
      <c r="X22" s="7">
        <f t="shared" si="7"/>
        <v>2.35</v>
      </c>
      <c r="Y22" s="15">
        <f t="shared" si="8"/>
        <v>2350000</v>
      </c>
      <c r="Z22" s="18">
        <f t="shared" si="9"/>
        <v>2350000</v>
      </c>
    </row>
    <row r="23" spans="2:26" ht="48.6" x14ac:dyDescent="0.2">
      <c r="B23" s="28"/>
      <c r="C23" s="7"/>
      <c r="D23" s="7" t="s">
        <v>300</v>
      </c>
      <c r="E23" s="29" t="s">
        <v>305</v>
      </c>
      <c r="F23" s="6" t="s">
        <v>306</v>
      </c>
      <c r="G23" s="12"/>
      <c r="H23" s="12"/>
      <c r="I23" s="12" t="s">
        <v>260</v>
      </c>
      <c r="J23" s="12"/>
      <c r="K23" s="12"/>
      <c r="L23" s="12" t="s">
        <v>260</v>
      </c>
      <c r="M23" s="12"/>
      <c r="N23" s="12" t="s">
        <v>260</v>
      </c>
      <c r="O23" s="12"/>
      <c r="P23" s="7" t="s">
        <v>294</v>
      </c>
      <c r="Q23" s="7">
        <f t="shared" si="0"/>
        <v>7</v>
      </c>
      <c r="R23" s="7">
        <f t="shared" si="3"/>
        <v>5.6000000000000005</v>
      </c>
      <c r="S23" s="7">
        <f t="shared" si="4"/>
        <v>4.2</v>
      </c>
      <c r="T23" s="7">
        <f t="shared" si="5"/>
        <v>8.4</v>
      </c>
      <c r="U23" s="7">
        <f t="shared" si="6"/>
        <v>5.6000000000000005</v>
      </c>
      <c r="V23" s="7">
        <f t="shared" si="1"/>
        <v>2.1</v>
      </c>
      <c r="W23" s="7">
        <f t="shared" si="2"/>
        <v>32.900000000000006</v>
      </c>
      <c r="X23" s="7">
        <f t="shared" si="7"/>
        <v>1.65</v>
      </c>
      <c r="Y23" s="15">
        <f t="shared" si="8"/>
        <v>1650000</v>
      </c>
      <c r="Z23" s="18">
        <f t="shared" si="9"/>
        <v>1650000</v>
      </c>
    </row>
    <row r="24" spans="2:26" ht="81" x14ac:dyDescent="0.2">
      <c r="B24" s="28"/>
      <c r="C24" s="7"/>
      <c r="D24" s="7" t="s">
        <v>300</v>
      </c>
      <c r="E24" s="29" t="s">
        <v>307</v>
      </c>
      <c r="F24" s="6" t="s">
        <v>308</v>
      </c>
      <c r="G24" s="12"/>
      <c r="H24" s="12"/>
      <c r="I24" s="12"/>
      <c r="J24" s="12" t="s">
        <v>260</v>
      </c>
      <c r="K24" s="12"/>
      <c r="L24" s="12" t="s">
        <v>260</v>
      </c>
      <c r="M24" s="12"/>
      <c r="N24" s="12"/>
      <c r="O24" s="12" t="s">
        <v>260</v>
      </c>
      <c r="P24" s="7" t="s">
        <v>297</v>
      </c>
      <c r="Q24" s="7">
        <f t="shared" si="0"/>
        <v>10</v>
      </c>
      <c r="R24" s="7">
        <f t="shared" si="3"/>
        <v>8</v>
      </c>
      <c r="S24" s="7">
        <f t="shared" si="4"/>
        <v>6</v>
      </c>
      <c r="T24" s="7">
        <f t="shared" si="5"/>
        <v>12</v>
      </c>
      <c r="U24" s="7">
        <f t="shared" si="6"/>
        <v>8</v>
      </c>
      <c r="V24" s="7">
        <f t="shared" si="1"/>
        <v>3</v>
      </c>
      <c r="W24" s="7">
        <f t="shared" si="2"/>
        <v>47</v>
      </c>
      <c r="X24" s="7">
        <f t="shared" si="7"/>
        <v>2.35</v>
      </c>
      <c r="Y24" s="15">
        <f t="shared" si="8"/>
        <v>2350000</v>
      </c>
      <c r="Z24" s="18">
        <f t="shared" si="9"/>
        <v>2350000</v>
      </c>
    </row>
    <row r="25" spans="2:26" ht="64.8" x14ac:dyDescent="0.2">
      <c r="B25" s="28"/>
      <c r="C25" s="7"/>
      <c r="D25" s="7" t="s">
        <v>300</v>
      </c>
      <c r="E25" s="29" t="s">
        <v>317</v>
      </c>
      <c r="F25" s="6" t="s">
        <v>318</v>
      </c>
      <c r="G25" s="12"/>
      <c r="H25" s="12"/>
      <c r="I25" s="12"/>
      <c r="J25" s="12" t="s">
        <v>260</v>
      </c>
      <c r="K25" s="12"/>
      <c r="L25" s="12" t="s">
        <v>260</v>
      </c>
      <c r="M25" s="12"/>
      <c r="N25" s="12"/>
      <c r="O25" s="12" t="s">
        <v>260</v>
      </c>
      <c r="P25" s="7" t="s">
        <v>294</v>
      </c>
      <c r="Q25" s="7">
        <f t="shared" si="0"/>
        <v>7</v>
      </c>
      <c r="R25" s="7">
        <f t="shared" si="3"/>
        <v>5.6000000000000005</v>
      </c>
      <c r="S25" s="7">
        <f t="shared" si="4"/>
        <v>4.2</v>
      </c>
      <c r="T25" s="7">
        <f t="shared" si="5"/>
        <v>8.4</v>
      </c>
      <c r="U25" s="7">
        <f t="shared" si="6"/>
        <v>5.6000000000000005</v>
      </c>
      <c r="V25" s="7">
        <f t="shared" si="1"/>
        <v>2.1</v>
      </c>
      <c r="W25" s="7">
        <f t="shared" si="2"/>
        <v>32.900000000000006</v>
      </c>
      <c r="X25" s="7">
        <f t="shared" si="7"/>
        <v>1.65</v>
      </c>
      <c r="Y25" s="15">
        <f t="shared" si="8"/>
        <v>1650000</v>
      </c>
      <c r="Z25" s="18">
        <f t="shared" si="9"/>
        <v>1650000</v>
      </c>
    </row>
    <row r="26" spans="2:26" ht="69" customHeight="1" x14ac:dyDescent="0.2">
      <c r="B26" s="28"/>
      <c r="C26" s="7"/>
      <c r="D26" s="7" t="s">
        <v>146</v>
      </c>
      <c r="E26" s="29" t="s">
        <v>319</v>
      </c>
      <c r="F26" s="6" t="s">
        <v>320</v>
      </c>
      <c r="G26" s="12"/>
      <c r="H26" s="12"/>
      <c r="I26" s="12"/>
      <c r="J26" s="12" t="s">
        <v>260</v>
      </c>
      <c r="K26" s="12"/>
      <c r="L26" s="12" t="s">
        <v>260</v>
      </c>
      <c r="M26" s="12"/>
      <c r="N26" s="12"/>
      <c r="O26" s="12" t="s">
        <v>260</v>
      </c>
      <c r="P26" s="7" t="s">
        <v>297</v>
      </c>
      <c r="Q26" s="7">
        <f t="shared" si="0"/>
        <v>10</v>
      </c>
      <c r="R26" s="7">
        <f t="shared" si="3"/>
        <v>8</v>
      </c>
      <c r="S26" s="7">
        <f t="shared" si="4"/>
        <v>6</v>
      </c>
      <c r="T26" s="7">
        <f t="shared" si="5"/>
        <v>12</v>
      </c>
      <c r="U26" s="7">
        <f t="shared" si="6"/>
        <v>8</v>
      </c>
      <c r="V26" s="7">
        <f t="shared" si="1"/>
        <v>3</v>
      </c>
      <c r="W26" s="7">
        <f t="shared" si="2"/>
        <v>47</v>
      </c>
      <c r="X26" s="7">
        <f t="shared" si="7"/>
        <v>2.35</v>
      </c>
      <c r="Y26" s="15">
        <f t="shared" si="8"/>
        <v>2350000</v>
      </c>
      <c r="Z26" s="18">
        <f t="shared" si="9"/>
        <v>2350000</v>
      </c>
    </row>
    <row r="27" spans="2:26" ht="64.8" x14ac:dyDescent="0.2">
      <c r="B27" s="28"/>
      <c r="C27" s="7"/>
      <c r="D27" s="7" t="s">
        <v>146</v>
      </c>
      <c r="E27" s="29" t="s">
        <v>321</v>
      </c>
      <c r="F27" s="6" t="s">
        <v>409</v>
      </c>
      <c r="G27" s="12"/>
      <c r="H27" s="12"/>
      <c r="I27" s="12" t="s">
        <v>260</v>
      </c>
      <c r="J27" s="12"/>
      <c r="K27" s="12"/>
      <c r="L27" s="12" t="s">
        <v>260</v>
      </c>
      <c r="M27" s="12"/>
      <c r="N27" s="12" t="s">
        <v>260</v>
      </c>
      <c r="O27" s="12"/>
      <c r="P27" s="7" t="s">
        <v>246</v>
      </c>
      <c r="Q27" s="7">
        <f t="shared" si="0"/>
        <v>3</v>
      </c>
      <c r="R27" s="7">
        <f t="shared" si="3"/>
        <v>2.4000000000000004</v>
      </c>
      <c r="S27" s="7">
        <f t="shared" si="4"/>
        <v>1.7999999999999998</v>
      </c>
      <c r="T27" s="7">
        <f t="shared" si="5"/>
        <v>3.5999999999999996</v>
      </c>
      <c r="U27" s="7">
        <f t="shared" si="6"/>
        <v>2.4000000000000004</v>
      </c>
      <c r="V27" s="7">
        <f t="shared" si="1"/>
        <v>0.89999999999999991</v>
      </c>
      <c r="W27" s="7">
        <f t="shared" si="2"/>
        <v>14.100000000000001</v>
      </c>
      <c r="X27" s="7">
        <f t="shared" si="7"/>
        <v>0.71</v>
      </c>
      <c r="Y27" s="15">
        <f t="shared" si="8"/>
        <v>710000</v>
      </c>
      <c r="Z27" s="18">
        <f t="shared" si="9"/>
        <v>710000</v>
      </c>
    </row>
    <row r="28" spans="2:26" ht="48.6" x14ac:dyDescent="0.2">
      <c r="B28" s="28"/>
      <c r="C28" s="7"/>
      <c r="D28" s="7" t="s">
        <v>146</v>
      </c>
      <c r="E28" s="29" t="s">
        <v>323</v>
      </c>
      <c r="F28" s="6" t="s">
        <v>410</v>
      </c>
      <c r="G28" s="12"/>
      <c r="H28" s="12"/>
      <c r="I28" s="12" t="s">
        <v>260</v>
      </c>
      <c r="J28" s="12"/>
      <c r="K28" s="12"/>
      <c r="L28" s="12" t="s">
        <v>260</v>
      </c>
      <c r="M28" s="12"/>
      <c r="N28" s="12" t="s">
        <v>260</v>
      </c>
      <c r="O28" s="12"/>
      <c r="P28" s="7" t="s">
        <v>246</v>
      </c>
      <c r="Q28" s="7">
        <f t="shared" si="0"/>
        <v>3</v>
      </c>
      <c r="R28" s="7">
        <f t="shared" si="3"/>
        <v>2.4000000000000004</v>
      </c>
      <c r="S28" s="7">
        <f t="shared" si="4"/>
        <v>1.7999999999999998</v>
      </c>
      <c r="T28" s="7">
        <f t="shared" si="5"/>
        <v>3.5999999999999996</v>
      </c>
      <c r="U28" s="7">
        <f t="shared" si="6"/>
        <v>2.4000000000000004</v>
      </c>
      <c r="V28" s="7">
        <f t="shared" si="1"/>
        <v>0.89999999999999991</v>
      </c>
      <c r="W28" s="7">
        <f t="shared" si="2"/>
        <v>14.100000000000001</v>
      </c>
      <c r="X28" s="7">
        <f t="shared" si="7"/>
        <v>0.71</v>
      </c>
      <c r="Y28" s="15">
        <f t="shared" si="8"/>
        <v>710000</v>
      </c>
      <c r="Z28" s="18">
        <f t="shared" si="9"/>
        <v>710000</v>
      </c>
    </row>
    <row r="29" spans="2:26" ht="64.8" x14ac:dyDescent="0.2">
      <c r="B29" s="28"/>
      <c r="C29" s="7"/>
      <c r="D29" s="7" t="s">
        <v>146</v>
      </c>
      <c r="E29" s="29" t="s">
        <v>325</v>
      </c>
      <c r="F29" s="6" t="s">
        <v>411</v>
      </c>
      <c r="G29" s="12"/>
      <c r="H29" s="12"/>
      <c r="I29" s="12" t="s">
        <v>260</v>
      </c>
      <c r="J29" s="12"/>
      <c r="K29" s="12"/>
      <c r="L29" s="12" t="s">
        <v>260</v>
      </c>
      <c r="M29" s="12"/>
      <c r="N29" s="12" t="s">
        <v>260</v>
      </c>
      <c r="O29" s="12"/>
      <c r="P29" s="7" t="s">
        <v>246</v>
      </c>
      <c r="Q29" s="7">
        <f t="shared" si="0"/>
        <v>3</v>
      </c>
      <c r="R29" s="7">
        <f t="shared" si="3"/>
        <v>2.4000000000000004</v>
      </c>
      <c r="S29" s="7">
        <f t="shared" si="4"/>
        <v>1.7999999999999998</v>
      </c>
      <c r="T29" s="7">
        <f t="shared" si="5"/>
        <v>3.5999999999999996</v>
      </c>
      <c r="U29" s="7">
        <f t="shared" si="6"/>
        <v>2.4000000000000004</v>
      </c>
      <c r="V29" s="7">
        <f t="shared" si="1"/>
        <v>0.89999999999999991</v>
      </c>
      <c r="W29" s="7">
        <f t="shared" si="2"/>
        <v>14.100000000000001</v>
      </c>
      <c r="X29" s="7">
        <f t="shared" si="7"/>
        <v>0.71</v>
      </c>
      <c r="Y29" s="15">
        <f t="shared" si="8"/>
        <v>710000</v>
      </c>
      <c r="Z29" s="18">
        <f t="shared" si="9"/>
        <v>710000</v>
      </c>
    </row>
    <row r="30" spans="2:26" ht="48.6" x14ac:dyDescent="0.2">
      <c r="B30" s="28"/>
      <c r="C30" s="7"/>
      <c r="D30" s="7" t="s">
        <v>146</v>
      </c>
      <c r="E30" s="29" t="s">
        <v>327</v>
      </c>
      <c r="F30" s="6" t="s">
        <v>412</v>
      </c>
      <c r="G30" s="12"/>
      <c r="H30" s="12"/>
      <c r="I30" s="12" t="s">
        <v>260</v>
      </c>
      <c r="J30" s="12"/>
      <c r="K30" s="12"/>
      <c r="L30" s="12" t="s">
        <v>260</v>
      </c>
      <c r="M30" s="12"/>
      <c r="N30" s="12" t="s">
        <v>260</v>
      </c>
      <c r="O30" s="12"/>
      <c r="P30" s="7" t="s">
        <v>246</v>
      </c>
      <c r="Q30" s="7">
        <f t="shared" si="0"/>
        <v>3</v>
      </c>
      <c r="R30" s="7">
        <f t="shared" si="3"/>
        <v>2.4000000000000004</v>
      </c>
      <c r="S30" s="7">
        <f t="shared" si="4"/>
        <v>1.7999999999999998</v>
      </c>
      <c r="T30" s="7">
        <f t="shared" si="5"/>
        <v>3.5999999999999996</v>
      </c>
      <c r="U30" s="7">
        <f t="shared" si="6"/>
        <v>2.4000000000000004</v>
      </c>
      <c r="V30" s="7">
        <f t="shared" si="1"/>
        <v>0.89999999999999991</v>
      </c>
      <c r="W30" s="7">
        <f t="shared" si="2"/>
        <v>14.100000000000001</v>
      </c>
      <c r="X30" s="7">
        <f t="shared" si="7"/>
        <v>0.71</v>
      </c>
      <c r="Y30" s="15">
        <f t="shared" si="8"/>
        <v>710000</v>
      </c>
      <c r="Z30" s="18">
        <f t="shared" si="9"/>
        <v>710000</v>
      </c>
    </row>
    <row r="31" spans="2:26" ht="48.6" x14ac:dyDescent="0.2">
      <c r="B31" s="28"/>
      <c r="C31" s="7"/>
      <c r="D31" s="7" t="s">
        <v>146</v>
      </c>
      <c r="E31" s="29" t="s">
        <v>329</v>
      </c>
      <c r="F31" s="6" t="s">
        <v>330</v>
      </c>
      <c r="G31" s="12"/>
      <c r="H31" s="12" t="s">
        <v>260</v>
      </c>
      <c r="I31" s="12"/>
      <c r="J31" s="12"/>
      <c r="K31" s="12" t="s">
        <v>312</v>
      </c>
      <c r="L31" s="12"/>
      <c r="M31" s="12"/>
      <c r="N31" s="12" t="s">
        <v>260</v>
      </c>
      <c r="O31" s="12"/>
      <c r="P31" s="7" t="s">
        <v>294</v>
      </c>
      <c r="Q31" s="7">
        <f t="shared" si="0"/>
        <v>7</v>
      </c>
      <c r="R31" s="7">
        <f t="shared" si="3"/>
        <v>5.6000000000000005</v>
      </c>
      <c r="S31" s="7">
        <f t="shared" si="4"/>
        <v>4.2</v>
      </c>
      <c r="T31" s="7">
        <f t="shared" si="5"/>
        <v>8.4</v>
      </c>
      <c r="U31" s="7">
        <f t="shared" si="6"/>
        <v>5.6000000000000005</v>
      </c>
      <c r="V31" s="7">
        <f t="shared" si="1"/>
        <v>2.1</v>
      </c>
      <c r="W31" s="7">
        <f t="shared" si="2"/>
        <v>32.900000000000006</v>
      </c>
      <c r="X31" s="7">
        <f t="shared" si="7"/>
        <v>1.65</v>
      </c>
      <c r="Y31" s="15">
        <f t="shared" si="8"/>
        <v>1650000</v>
      </c>
      <c r="Z31" s="18">
        <f t="shared" si="9"/>
        <v>1650000</v>
      </c>
    </row>
    <row r="32" spans="2:26" ht="32.4" x14ac:dyDescent="0.2">
      <c r="B32" s="28"/>
      <c r="C32" s="7" t="s">
        <v>335</v>
      </c>
      <c r="D32" s="7" t="s">
        <v>273</v>
      </c>
      <c r="E32" s="7" t="s">
        <v>336</v>
      </c>
      <c r="F32" s="6" t="s">
        <v>337</v>
      </c>
      <c r="G32" s="12" t="s">
        <v>260</v>
      </c>
      <c r="H32" s="12"/>
      <c r="I32" s="12"/>
      <c r="J32" s="12"/>
      <c r="K32" s="12" t="s">
        <v>312</v>
      </c>
      <c r="L32" s="12"/>
      <c r="M32" s="12" t="s">
        <v>260</v>
      </c>
      <c r="N32" s="12"/>
      <c r="O32" s="12"/>
      <c r="P32" s="7" t="s">
        <v>246</v>
      </c>
      <c r="Q32" s="7">
        <f t="shared" si="0"/>
        <v>3</v>
      </c>
      <c r="R32" s="7">
        <f t="shared" si="3"/>
        <v>2.4000000000000004</v>
      </c>
      <c r="S32" s="7">
        <f t="shared" si="4"/>
        <v>1.7999999999999998</v>
      </c>
      <c r="T32" s="7">
        <f t="shared" si="5"/>
        <v>3.5999999999999996</v>
      </c>
      <c r="U32" s="7">
        <f t="shared" si="6"/>
        <v>2.4000000000000004</v>
      </c>
      <c r="V32" s="7">
        <f t="shared" si="1"/>
        <v>0.89999999999999991</v>
      </c>
      <c r="W32" s="7">
        <f t="shared" si="2"/>
        <v>14.100000000000001</v>
      </c>
      <c r="X32" s="7">
        <f t="shared" si="7"/>
        <v>0.71</v>
      </c>
      <c r="Y32" s="15">
        <f t="shared" si="8"/>
        <v>710000</v>
      </c>
      <c r="Z32" s="18">
        <f t="shared" si="9"/>
        <v>710000</v>
      </c>
    </row>
    <row r="33" spans="2:26" ht="48.6" x14ac:dyDescent="0.2">
      <c r="B33" s="28"/>
      <c r="C33" s="7"/>
      <c r="D33" s="7" t="s">
        <v>273</v>
      </c>
      <c r="E33" s="7" t="s">
        <v>338</v>
      </c>
      <c r="F33" s="6" t="s">
        <v>339</v>
      </c>
      <c r="G33" s="12"/>
      <c r="H33" s="12" t="s">
        <v>260</v>
      </c>
      <c r="I33" s="12"/>
      <c r="J33" s="12"/>
      <c r="K33" s="12" t="s">
        <v>312</v>
      </c>
      <c r="L33" s="12"/>
      <c r="M33" s="12"/>
      <c r="N33" s="12" t="s">
        <v>260</v>
      </c>
      <c r="O33" s="12"/>
      <c r="P33" s="7" t="s">
        <v>246</v>
      </c>
      <c r="Q33" s="7">
        <f t="shared" si="0"/>
        <v>3</v>
      </c>
      <c r="R33" s="7">
        <f t="shared" si="3"/>
        <v>2.4000000000000004</v>
      </c>
      <c r="S33" s="7">
        <f t="shared" si="4"/>
        <v>1.7999999999999998</v>
      </c>
      <c r="T33" s="7">
        <f t="shared" si="5"/>
        <v>3.5999999999999996</v>
      </c>
      <c r="U33" s="7">
        <f t="shared" si="6"/>
        <v>2.4000000000000004</v>
      </c>
      <c r="V33" s="7">
        <f t="shared" si="1"/>
        <v>0.89999999999999991</v>
      </c>
      <c r="W33" s="7">
        <f t="shared" si="2"/>
        <v>14.100000000000001</v>
      </c>
      <c r="X33" s="7">
        <f t="shared" si="7"/>
        <v>0.71</v>
      </c>
      <c r="Y33" s="15">
        <f t="shared" si="8"/>
        <v>710000</v>
      </c>
      <c r="Z33" s="18">
        <f t="shared" si="9"/>
        <v>710000</v>
      </c>
    </row>
    <row r="34" spans="2:26" ht="32.4" x14ac:dyDescent="0.2">
      <c r="B34" s="28"/>
      <c r="C34" s="7"/>
      <c r="D34" s="7" t="s">
        <v>273</v>
      </c>
      <c r="E34" s="7" t="s">
        <v>340</v>
      </c>
      <c r="F34" s="6" t="s">
        <v>341</v>
      </c>
      <c r="G34" s="12" t="s">
        <v>260</v>
      </c>
      <c r="H34" s="12"/>
      <c r="I34" s="12"/>
      <c r="J34" s="12"/>
      <c r="K34" s="12" t="s">
        <v>312</v>
      </c>
      <c r="L34" s="12"/>
      <c r="M34" s="12" t="s">
        <v>260</v>
      </c>
      <c r="N34" s="12"/>
      <c r="O34" s="12"/>
      <c r="P34" s="7" t="s">
        <v>245</v>
      </c>
      <c r="Q34" s="7">
        <f t="shared" si="0"/>
        <v>5</v>
      </c>
      <c r="R34" s="7">
        <f t="shared" si="3"/>
        <v>4</v>
      </c>
      <c r="S34" s="7">
        <f t="shared" si="4"/>
        <v>3</v>
      </c>
      <c r="T34" s="7">
        <f t="shared" si="5"/>
        <v>6</v>
      </c>
      <c r="U34" s="7">
        <f t="shared" si="6"/>
        <v>4</v>
      </c>
      <c r="V34" s="7">
        <f t="shared" si="1"/>
        <v>1.5</v>
      </c>
      <c r="W34" s="7">
        <f t="shared" si="2"/>
        <v>23.5</v>
      </c>
      <c r="X34" s="7">
        <f t="shared" si="7"/>
        <v>1.18</v>
      </c>
      <c r="Y34" s="15">
        <f t="shared" si="8"/>
        <v>1180000</v>
      </c>
      <c r="Z34" s="18">
        <f t="shared" si="9"/>
        <v>1180000</v>
      </c>
    </row>
    <row r="35" spans="2:26" ht="32.4" x14ac:dyDescent="0.2">
      <c r="B35" s="28"/>
      <c r="C35" s="7"/>
      <c r="D35" s="7" t="s">
        <v>273</v>
      </c>
      <c r="E35" s="7" t="s">
        <v>342</v>
      </c>
      <c r="F35" s="6" t="s">
        <v>343</v>
      </c>
      <c r="G35" s="12"/>
      <c r="H35" s="12" t="s">
        <v>260</v>
      </c>
      <c r="I35" s="12"/>
      <c r="J35" s="12"/>
      <c r="K35" s="12" t="s">
        <v>312</v>
      </c>
      <c r="L35" s="12"/>
      <c r="M35" s="12"/>
      <c r="N35" s="12" t="s">
        <v>260</v>
      </c>
      <c r="O35" s="12"/>
      <c r="P35" s="7" t="s">
        <v>245</v>
      </c>
      <c r="Q35" s="7">
        <f t="shared" si="0"/>
        <v>5</v>
      </c>
      <c r="R35" s="7">
        <f t="shared" si="3"/>
        <v>4</v>
      </c>
      <c r="S35" s="7">
        <f t="shared" si="4"/>
        <v>3</v>
      </c>
      <c r="T35" s="7">
        <f t="shared" si="5"/>
        <v>6</v>
      </c>
      <c r="U35" s="7">
        <f t="shared" si="6"/>
        <v>4</v>
      </c>
      <c r="V35" s="7">
        <f t="shared" si="1"/>
        <v>1.5</v>
      </c>
      <c r="W35" s="7">
        <f t="shared" si="2"/>
        <v>23.5</v>
      </c>
      <c r="X35" s="7">
        <f t="shared" si="7"/>
        <v>1.18</v>
      </c>
      <c r="Y35" s="15">
        <f t="shared" si="8"/>
        <v>1180000</v>
      </c>
      <c r="Z35" s="18">
        <f t="shared" si="9"/>
        <v>1180000</v>
      </c>
    </row>
    <row r="36" spans="2:26" ht="32.4" x14ac:dyDescent="0.2">
      <c r="B36" s="28"/>
      <c r="C36" s="7"/>
      <c r="D36" s="7" t="s">
        <v>286</v>
      </c>
      <c r="E36" s="7" t="s">
        <v>344</v>
      </c>
      <c r="F36" s="6" t="s">
        <v>345</v>
      </c>
      <c r="G36" s="12"/>
      <c r="H36" s="12"/>
      <c r="I36" s="12" t="s">
        <v>260</v>
      </c>
      <c r="J36" s="12"/>
      <c r="K36" s="12"/>
      <c r="L36" s="12" t="s">
        <v>260</v>
      </c>
      <c r="M36" s="12"/>
      <c r="N36" s="12" t="s">
        <v>260</v>
      </c>
      <c r="O36" s="12"/>
      <c r="P36" s="7" t="s">
        <v>245</v>
      </c>
      <c r="Q36" s="7">
        <f t="shared" si="0"/>
        <v>5</v>
      </c>
      <c r="R36" s="7">
        <f t="shared" si="3"/>
        <v>4</v>
      </c>
      <c r="S36" s="7">
        <f t="shared" si="4"/>
        <v>3</v>
      </c>
      <c r="T36" s="7">
        <f t="shared" si="5"/>
        <v>6</v>
      </c>
      <c r="U36" s="7">
        <f t="shared" si="6"/>
        <v>4</v>
      </c>
      <c r="V36" s="7">
        <f t="shared" si="1"/>
        <v>1.5</v>
      </c>
      <c r="W36" s="7">
        <f t="shared" si="2"/>
        <v>23.5</v>
      </c>
      <c r="X36" s="7">
        <f t="shared" si="7"/>
        <v>1.18</v>
      </c>
      <c r="Y36" s="15">
        <f t="shared" si="8"/>
        <v>1180000</v>
      </c>
      <c r="Z36" s="18">
        <f t="shared" si="9"/>
        <v>1180000</v>
      </c>
    </row>
    <row r="37" spans="2:26" ht="32.4" x14ac:dyDescent="0.2">
      <c r="B37" s="28"/>
      <c r="C37" s="7"/>
      <c r="D37" s="7" t="s">
        <v>286</v>
      </c>
      <c r="E37" s="7" t="s">
        <v>346</v>
      </c>
      <c r="F37" s="6" t="s">
        <v>347</v>
      </c>
      <c r="G37" s="12"/>
      <c r="H37" s="12"/>
      <c r="I37" s="12" t="s">
        <v>260</v>
      </c>
      <c r="J37" s="12"/>
      <c r="K37" s="12"/>
      <c r="L37" s="12" t="s">
        <v>260</v>
      </c>
      <c r="M37" s="12"/>
      <c r="N37" s="12" t="s">
        <v>260</v>
      </c>
      <c r="O37" s="12"/>
      <c r="P37" s="7" t="s">
        <v>245</v>
      </c>
      <c r="Q37" s="7">
        <f t="shared" si="0"/>
        <v>5</v>
      </c>
      <c r="R37" s="7">
        <f t="shared" si="3"/>
        <v>4</v>
      </c>
      <c r="S37" s="7">
        <f t="shared" si="4"/>
        <v>3</v>
      </c>
      <c r="T37" s="7">
        <f t="shared" si="5"/>
        <v>6</v>
      </c>
      <c r="U37" s="7">
        <f t="shared" si="6"/>
        <v>4</v>
      </c>
      <c r="V37" s="7">
        <f t="shared" si="1"/>
        <v>1.5</v>
      </c>
      <c r="W37" s="7">
        <f t="shared" si="2"/>
        <v>23.5</v>
      </c>
      <c r="X37" s="7">
        <f t="shared" si="7"/>
        <v>1.18</v>
      </c>
      <c r="Y37" s="15">
        <f t="shared" si="8"/>
        <v>1180000</v>
      </c>
      <c r="Z37" s="18">
        <f t="shared" si="9"/>
        <v>1180000</v>
      </c>
    </row>
    <row r="38" spans="2:26" ht="48.6" x14ac:dyDescent="0.2">
      <c r="B38" s="28"/>
      <c r="C38" s="7"/>
      <c r="D38" s="7" t="s">
        <v>348</v>
      </c>
      <c r="E38" s="7" t="s">
        <v>349</v>
      </c>
      <c r="F38" s="6" t="s">
        <v>350</v>
      </c>
      <c r="G38" s="12"/>
      <c r="H38" s="12"/>
      <c r="I38" s="12" t="s">
        <v>260</v>
      </c>
      <c r="J38" s="12"/>
      <c r="K38" s="12"/>
      <c r="L38" s="12" t="s">
        <v>260</v>
      </c>
      <c r="M38" s="12"/>
      <c r="N38" s="12" t="s">
        <v>260</v>
      </c>
      <c r="O38" s="12"/>
      <c r="P38" s="7" t="s">
        <v>294</v>
      </c>
      <c r="Q38" s="7">
        <f t="shared" si="0"/>
        <v>7</v>
      </c>
      <c r="R38" s="7">
        <f t="shared" si="3"/>
        <v>5.6000000000000005</v>
      </c>
      <c r="S38" s="7">
        <f t="shared" si="4"/>
        <v>4.2</v>
      </c>
      <c r="T38" s="7">
        <f t="shared" si="5"/>
        <v>8.4</v>
      </c>
      <c r="U38" s="7">
        <f t="shared" si="6"/>
        <v>5.6000000000000005</v>
      </c>
      <c r="V38" s="7">
        <f t="shared" si="1"/>
        <v>2.1</v>
      </c>
      <c r="W38" s="7">
        <f t="shared" si="2"/>
        <v>32.900000000000006</v>
      </c>
      <c r="X38" s="7">
        <f t="shared" si="7"/>
        <v>1.65</v>
      </c>
      <c r="Y38" s="15">
        <f t="shared" si="8"/>
        <v>1650000</v>
      </c>
      <c r="Z38" s="18">
        <f t="shared" si="9"/>
        <v>1650000</v>
      </c>
    </row>
    <row r="39" spans="2:26" ht="64.8" x14ac:dyDescent="0.2">
      <c r="B39" s="28"/>
      <c r="C39" s="7"/>
      <c r="D39" s="7" t="s">
        <v>348</v>
      </c>
      <c r="E39" s="7" t="s">
        <v>351</v>
      </c>
      <c r="F39" s="6" t="s">
        <v>413</v>
      </c>
      <c r="G39" s="12"/>
      <c r="H39" s="12"/>
      <c r="I39" s="12" t="s">
        <v>260</v>
      </c>
      <c r="J39" s="12"/>
      <c r="K39" s="12"/>
      <c r="L39" s="12" t="s">
        <v>260</v>
      </c>
      <c r="M39" s="12"/>
      <c r="N39" s="12" t="s">
        <v>260</v>
      </c>
      <c r="O39" s="12"/>
      <c r="P39" s="7" t="s">
        <v>294</v>
      </c>
      <c r="Q39" s="7">
        <f t="shared" si="0"/>
        <v>7</v>
      </c>
      <c r="R39" s="7">
        <f t="shared" si="3"/>
        <v>5.6000000000000005</v>
      </c>
      <c r="S39" s="7">
        <f t="shared" si="4"/>
        <v>4.2</v>
      </c>
      <c r="T39" s="7">
        <f t="shared" si="5"/>
        <v>8.4</v>
      </c>
      <c r="U39" s="7">
        <f t="shared" si="6"/>
        <v>5.6000000000000005</v>
      </c>
      <c r="V39" s="7">
        <f t="shared" si="1"/>
        <v>2.1</v>
      </c>
      <c r="W39" s="7">
        <f t="shared" si="2"/>
        <v>32.900000000000006</v>
      </c>
      <c r="X39" s="7">
        <f t="shared" si="7"/>
        <v>1.65</v>
      </c>
      <c r="Y39" s="15">
        <f t="shared" si="8"/>
        <v>1650000</v>
      </c>
      <c r="Z39" s="18">
        <f t="shared" si="9"/>
        <v>1650000</v>
      </c>
    </row>
    <row r="40" spans="2:26" ht="48.6" x14ac:dyDescent="0.2">
      <c r="B40" s="28"/>
      <c r="C40" s="7"/>
      <c r="D40" s="7" t="s">
        <v>300</v>
      </c>
      <c r="E40" s="29" t="s">
        <v>353</v>
      </c>
      <c r="F40" s="6" t="s">
        <v>354</v>
      </c>
      <c r="G40" s="12"/>
      <c r="H40" s="12"/>
      <c r="I40" s="12"/>
      <c r="J40" s="12" t="s">
        <v>260</v>
      </c>
      <c r="K40" s="12"/>
      <c r="L40" s="12" t="s">
        <v>260</v>
      </c>
      <c r="M40" s="12"/>
      <c r="N40" s="12"/>
      <c r="O40" s="12" t="s">
        <v>260</v>
      </c>
      <c r="P40" s="7" t="s">
        <v>245</v>
      </c>
      <c r="Q40" s="7">
        <f t="shared" si="0"/>
        <v>5</v>
      </c>
      <c r="R40" s="7">
        <f t="shared" si="3"/>
        <v>4</v>
      </c>
      <c r="S40" s="7">
        <f t="shared" si="4"/>
        <v>3</v>
      </c>
      <c r="T40" s="7">
        <f t="shared" si="5"/>
        <v>6</v>
      </c>
      <c r="U40" s="7">
        <f t="shared" si="6"/>
        <v>4</v>
      </c>
      <c r="V40" s="7">
        <f t="shared" si="1"/>
        <v>1.5</v>
      </c>
      <c r="W40" s="7">
        <f t="shared" si="2"/>
        <v>23.5</v>
      </c>
      <c r="X40" s="7">
        <f t="shared" si="7"/>
        <v>1.18</v>
      </c>
      <c r="Y40" s="15">
        <f t="shared" si="8"/>
        <v>1180000</v>
      </c>
      <c r="Z40" s="18">
        <f t="shared" si="9"/>
        <v>1180000</v>
      </c>
    </row>
    <row r="41" spans="2:26" ht="48.6" x14ac:dyDescent="0.2">
      <c r="B41" s="28"/>
      <c r="C41" s="7"/>
      <c r="D41" s="7" t="s">
        <v>300</v>
      </c>
      <c r="E41" s="29" t="s">
        <v>353</v>
      </c>
      <c r="F41" s="6" t="s">
        <v>355</v>
      </c>
      <c r="G41" s="12"/>
      <c r="H41" s="12"/>
      <c r="I41" s="12"/>
      <c r="J41" s="12" t="s">
        <v>260</v>
      </c>
      <c r="K41" s="12"/>
      <c r="L41" s="12" t="s">
        <v>260</v>
      </c>
      <c r="M41" s="12"/>
      <c r="N41" s="12"/>
      <c r="O41" s="12" t="s">
        <v>260</v>
      </c>
      <c r="P41" s="7" t="s">
        <v>246</v>
      </c>
      <c r="Q41" s="7">
        <f t="shared" si="0"/>
        <v>3</v>
      </c>
      <c r="R41" s="7">
        <f t="shared" si="3"/>
        <v>2.4000000000000004</v>
      </c>
      <c r="S41" s="7">
        <f t="shared" si="4"/>
        <v>1.7999999999999998</v>
      </c>
      <c r="T41" s="7">
        <f t="shared" si="5"/>
        <v>3.5999999999999996</v>
      </c>
      <c r="U41" s="7">
        <f t="shared" si="6"/>
        <v>2.4000000000000004</v>
      </c>
      <c r="V41" s="7">
        <f t="shared" si="1"/>
        <v>0.89999999999999991</v>
      </c>
      <c r="W41" s="7">
        <f t="shared" si="2"/>
        <v>14.100000000000001</v>
      </c>
      <c r="X41" s="7">
        <f t="shared" si="7"/>
        <v>0.71</v>
      </c>
      <c r="Y41" s="15">
        <f t="shared" si="8"/>
        <v>710000</v>
      </c>
      <c r="Z41" s="18">
        <f t="shared" si="9"/>
        <v>710000</v>
      </c>
    </row>
    <row r="42" spans="2:26" ht="48.6" x14ac:dyDescent="0.2">
      <c r="B42" s="28"/>
      <c r="C42" s="7" t="s">
        <v>191</v>
      </c>
      <c r="D42" s="7" t="s">
        <v>146</v>
      </c>
      <c r="E42" s="29" t="s">
        <v>359</v>
      </c>
      <c r="F42" s="6" t="s">
        <v>360</v>
      </c>
      <c r="G42" s="12"/>
      <c r="H42" s="12" t="s">
        <v>260</v>
      </c>
      <c r="I42" s="12"/>
      <c r="J42" s="12"/>
      <c r="K42" s="12" t="s">
        <v>312</v>
      </c>
      <c r="L42" s="12"/>
      <c r="M42" s="12"/>
      <c r="N42" s="12" t="s">
        <v>312</v>
      </c>
      <c r="O42" s="12"/>
      <c r="P42" s="7" t="s">
        <v>245</v>
      </c>
      <c r="Q42" s="7">
        <f t="shared" si="0"/>
        <v>5</v>
      </c>
      <c r="R42" s="7">
        <f t="shared" si="3"/>
        <v>4</v>
      </c>
      <c r="S42" s="7">
        <f t="shared" si="4"/>
        <v>3</v>
      </c>
      <c r="T42" s="7">
        <f t="shared" si="5"/>
        <v>6</v>
      </c>
      <c r="U42" s="7">
        <f t="shared" si="6"/>
        <v>4</v>
      </c>
      <c r="V42" s="7">
        <f t="shared" si="1"/>
        <v>1.5</v>
      </c>
      <c r="W42" s="7">
        <f t="shared" si="2"/>
        <v>23.5</v>
      </c>
      <c r="X42" s="7">
        <f t="shared" si="7"/>
        <v>1.18</v>
      </c>
      <c r="Y42" s="15">
        <f t="shared" si="8"/>
        <v>1180000</v>
      </c>
      <c r="Z42" s="18">
        <f t="shared" si="9"/>
        <v>1180000</v>
      </c>
    </row>
    <row r="43" spans="2:26" ht="48.6" x14ac:dyDescent="0.2">
      <c r="B43" s="28"/>
      <c r="C43" s="7"/>
      <c r="D43" s="7" t="s">
        <v>146</v>
      </c>
      <c r="E43" s="29" t="s">
        <v>361</v>
      </c>
      <c r="F43" s="6" t="s">
        <v>362</v>
      </c>
      <c r="G43" s="12" t="s">
        <v>260</v>
      </c>
      <c r="H43" s="12"/>
      <c r="I43" s="12"/>
      <c r="J43" s="12"/>
      <c r="K43" s="12" t="s">
        <v>312</v>
      </c>
      <c r="L43" s="12"/>
      <c r="M43" s="12" t="s">
        <v>260</v>
      </c>
      <c r="N43" s="12"/>
      <c r="O43" s="12"/>
      <c r="P43" s="7" t="s">
        <v>245</v>
      </c>
      <c r="Q43" s="7">
        <f t="shared" si="0"/>
        <v>5</v>
      </c>
      <c r="R43" s="7">
        <f t="shared" si="3"/>
        <v>4</v>
      </c>
      <c r="S43" s="7">
        <f t="shared" si="4"/>
        <v>3</v>
      </c>
      <c r="T43" s="7">
        <f t="shared" si="5"/>
        <v>6</v>
      </c>
      <c r="U43" s="7">
        <f t="shared" si="6"/>
        <v>4</v>
      </c>
      <c r="V43" s="7">
        <f t="shared" si="1"/>
        <v>1.5</v>
      </c>
      <c r="W43" s="7">
        <f t="shared" si="2"/>
        <v>23.5</v>
      </c>
      <c r="X43" s="7">
        <f t="shared" si="7"/>
        <v>1.18</v>
      </c>
      <c r="Y43" s="15">
        <f t="shared" si="8"/>
        <v>1180000</v>
      </c>
      <c r="Z43" s="18">
        <f t="shared" si="9"/>
        <v>1180000</v>
      </c>
    </row>
    <row r="44" spans="2:26" ht="32.4" x14ac:dyDescent="0.2">
      <c r="B44" s="28"/>
      <c r="C44" s="7"/>
      <c r="D44" s="7" t="s">
        <v>146</v>
      </c>
      <c r="E44" s="29" t="s">
        <v>363</v>
      </c>
      <c r="F44" s="6" t="s">
        <v>364</v>
      </c>
      <c r="G44" s="12"/>
      <c r="H44" s="12" t="s">
        <v>260</v>
      </c>
      <c r="I44" s="12"/>
      <c r="J44" s="12"/>
      <c r="K44" s="12" t="s">
        <v>312</v>
      </c>
      <c r="L44" s="12"/>
      <c r="M44" s="12"/>
      <c r="N44" s="12" t="s">
        <v>312</v>
      </c>
      <c r="O44" s="12"/>
      <c r="P44" s="7" t="s">
        <v>245</v>
      </c>
      <c r="Q44" s="7">
        <f t="shared" si="0"/>
        <v>5</v>
      </c>
      <c r="R44" s="7">
        <f t="shared" si="3"/>
        <v>4</v>
      </c>
      <c r="S44" s="7">
        <f t="shared" si="4"/>
        <v>3</v>
      </c>
      <c r="T44" s="7">
        <f t="shared" si="5"/>
        <v>6</v>
      </c>
      <c r="U44" s="7">
        <f t="shared" si="6"/>
        <v>4</v>
      </c>
      <c r="V44" s="7">
        <f t="shared" si="1"/>
        <v>1.5</v>
      </c>
      <c r="W44" s="7">
        <f t="shared" si="2"/>
        <v>23.5</v>
      </c>
      <c r="X44" s="7">
        <f t="shared" si="7"/>
        <v>1.18</v>
      </c>
      <c r="Y44" s="15">
        <f t="shared" si="8"/>
        <v>1180000</v>
      </c>
      <c r="Z44" s="18">
        <f t="shared" si="9"/>
        <v>1180000</v>
      </c>
    </row>
    <row r="45" spans="2:26" ht="48.6" x14ac:dyDescent="0.2">
      <c r="B45" s="28"/>
      <c r="C45" s="7"/>
      <c r="D45" s="7" t="s">
        <v>300</v>
      </c>
      <c r="E45" s="29" t="s">
        <v>367</v>
      </c>
      <c r="F45" s="6" t="s">
        <v>414</v>
      </c>
      <c r="G45" s="12"/>
      <c r="H45" s="12"/>
      <c r="I45" s="12" t="s">
        <v>260</v>
      </c>
      <c r="J45" s="12"/>
      <c r="K45" s="12"/>
      <c r="L45" s="12" t="s">
        <v>260</v>
      </c>
      <c r="M45" s="12"/>
      <c r="N45" s="12" t="s">
        <v>260</v>
      </c>
      <c r="O45" s="12"/>
      <c r="P45" s="7" t="s">
        <v>297</v>
      </c>
      <c r="Q45" s="7">
        <f t="shared" si="0"/>
        <v>10</v>
      </c>
      <c r="R45" s="7">
        <f t="shared" si="3"/>
        <v>8</v>
      </c>
      <c r="S45" s="7">
        <f t="shared" si="4"/>
        <v>6</v>
      </c>
      <c r="T45" s="7">
        <f t="shared" si="5"/>
        <v>12</v>
      </c>
      <c r="U45" s="7">
        <f t="shared" si="6"/>
        <v>8</v>
      </c>
      <c r="V45" s="7">
        <f t="shared" si="1"/>
        <v>3</v>
      </c>
      <c r="W45" s="7">
        <f t="shared" si="2"/>
        <v>47</v>
      </c>
      <c r="X45" s="7">
        <f t="shared" si="7"/>
        <v>2.35</v>
      </c>
      <c r="Y45" s="15">
        <f t="shared" si="8"/>
        <v>2350000</v>
      </c>
      <c r="Z45" s="18">
        <f t="shared" si="9"/>
        <v>2350000</v>
      </c>
    </row>
    <row r="46" spans="2:26" ht="48.6" x14ac:dyDescent="0.2">
      <c r="B46" s="28"/>
      <c r="C46" s="7"/>
      <c r="D46" s="7" t="s">
        <v>348</v>
      </c>
      <c r="E46" s="29" t="s">
        <v>369</v>
      </c>
      <c r="F46" s="6" t="s">
        <v>415</v>
      </c>
      <c r="G46" s="12"/>
      <c r="H46" s="12"/>
      <c r="I46" s="12" t="s">
        <v>260</v>
      </c>
      <c r="J46" s="12"/>
      <c r="K46" s="12"/>
      <c r="L46" s="12" t="s">
        <v>260</v>
      </c>
      <c r="M46" s="12"/>
      <c r="N46" s="12" t="s">
        <v>260</v>
      </c>
      <c r="O46" s="12"/>
      <c r="P46" s="7" t="s">
        <v>297</v>
      </c>
      <c r="Q46" s="7">
        <f t="shared" si="0"/>
        <v>10</v>
      </c>
      <c r="R46" s="7">
        <f t="shared" si="3"/>
        <v>8</v>
      </c>
      <c r="S46" s="7">
        <f t="shared" si="4"/>
        <v>6</v>
      </c>
      <c r="T46" s="7">
        <f t="shared" si="5"/>
        <v>12</v>
      </c>
      <c r="U46" s="7">
        <f t="shared" si="6"/>
        <v>8</v>
      </c>
      <c r="V46" s="7">
        <f t="shared" si="1"/>
        <v>3</v>
      </c>
      <c r="W46" s="7">
        <f t="shared" si="2"/>
        <v>47</v>
      </c>
      <c r="X46" s="7">
        <f t="shared" si="7"/>
        <v>2.35</v>
      </c>
      <c r="Y46" s="15">
        <f t="shared" si="8"/>
        <v>2350000</v>
      </c>
      <c r="Z46" s="18">
        <f t="shared" si="9"/>
        <v>2350000</v>
      </c>
    </row>
    <row r="47" spans="2:26" ht="48.6" x14ac:dyDescent="0.2">
      <c r="B47" s="27" t="s">
        <v>375</v>
      </c>
      <c r="C47" s="7"/>
      <c r="D47" s="7" t="s">
        <v>146</v>
      </c>
      <c r="E47" s="29" t="s">
        <v>376</v>
      </c>
      <c r="F47" s="6" t="s">
        <v>377</v>
      </c>
      <c r="G47" s="12" t="s">
        <v>312</v>
      </c>
      <c r="H47" s="12"/>
      <c r="I47" s="12"/>
      <c r="J47" s="12"/>
      <c r="K47" s="12" t="s">
        <v>312</v>
      </c>
      <c r="L47" s="12"/>
      <c r="M47" s="12" t="s">
        <v>312</v>
      </c>
      <c r="N47" s="12"/>
      <c r="O47" s="12"/>
      <c r="P47" s="7" t="s">
        <v>246</v>
      </c>
      <c r="Q47" s="7">
        <f t="shared" si="0"/>
        <v>3</v>
      </c>
      <c r="R47" s="7">
        <f>Q47*0.8</f>
        <v>2.4000000000000004</v>
      </c>
      <c r="S47" s="7">
        <f>Q47*0.6</f>
        <v>1.7999999999999998</v>
      </c>
      <c r="T47" s="7">
        <f t="shared" si="5"/>
        <v>3.5999999999999996</v>
      </c>
      <c r="U47" s="7">
        <f>Q47*0.8</f>
        <v>2.4000000000000004</v>
      </c>
      <c r="V47" s="7">
        <f t="shared" si="1"/>
        <v>0.89999999999999991</v>
      </c>
      <c r="W47" s="7">
        <f t="shared" si="2"/>
        <v>14.100000000000001</v>
      </c>
      <c r="X47" s="7">
        <f t="shared" si="7"/>
        <v>0.71</v>
      </c>
      <c r="Y47" s="15">
        <f t="shared" si="8"/>
        <v>710000</v>
      </c>
      <c r="Z47" s="18">
        <f t="shared" si="9"/>
        <v>710000</v>
      </c>
    </row>
    <row r="48" spans="2:26" ht="48.6" x14ac:dyDescent="0.2">
      <c r="B48" s="28"/>
      <c r="C48" s="7"/>
      <c r="D48" s="7" t="s">
        <v>146</v>
      </c>
      <c r="E48" s="7" t="s">
        <v>378</v>
      </c>
      <c r="F48" s="6" t="s">
        <v>379</v>
      </c>
      <c r="G48" s="12"/>
      <c r="H48" s="12" t="s">
        <v>260</v>
      </c>
      <c r="I48" s="12"/>
      <c r="J48" s="12"/>
      <c r="K48" s="12" t="s">
        <v>312</v>
      </c>
      <c r="L48" s="12"/>
      <c r="M48" s="12"/>
      <c r="N48" s="12" t="s">
        <v>312</v>
      </c>
      <c r="O48" s="12"/>
      <c r="P48" s="7" t="s">
        <v>246</v>
      </c>
      <c r="Q48" s="7">
        <f t="shared" si="0"/>
        <v>3</v>
      </c>
      <c r="R48" s="7">
        <f t="shared" ref="R48:R49" si="10">Q48*0.8</f>
        <v>2.4000000000000004</v>
      </c>
      <c r="S48" s="7">
        <f t="shared" ref="S48:S49" si="11">Q48*0.6</f>
        <v>1.7999999999999998</v>
      </c>
      <c r="T48" s="7">
        <f t="shared" si="5"/>
        <v>3.5999999999999996</v>
      </c>
      <c r="U48" s="7">
        <f t="shared" ref="U48:U49" si="12">Q48*0.8</f>
        <v>2.4000000000000004</v>
      </c>
      <c r="V48" s="7">
        <f t="shared" si="1"/>
        <v>0.89999999999999991</v>
      </c>
      <c r="W48" s="7">
        <f t="shared" si="2"/>
        <v>14.100000000000001</v>
      </c>
      <c r="X48" s="7">
        <f t="shared" si="7"/>
        <v>0.71</v>
      </c>
      <c r="Y48" s="15">
        <f t="shared" si="8"/>
        <v>710000</v>
      </c>
      <c r="Z48" s="18">
        <f t="shared" si="9"/>
        <v>710000</v>
      </c>
    </row>
    <row r="49" spans="2:26" ht="48.6" x14ac:dyDescent="0.2">
      <c r="B49" s="28"/>
      <c r="C49" s="7"/>
      <c r="D49" s="7" t="s">
        <v>146</v>
      </c>
      <c r="E49" s="7" t="s">
        <v>380</v>
      </c>
      <c r="F49" s="6" t="s">
        <v>381</v>
      </c>
      <c r="G49" s="12"/>
      <c r="H49" s="12"/>
      <c r="I49" s="12" t="s">
        <v>260</v>
      </c>
      <c r="J49" s="12"/>
      <c r="K49" s="12"/>
      <c r="L49" s="12" t="s">
        <v>260</v>
      </c>
      <c r="M49" s="12"/>
      <c r="N49" s="12" t="s">
        <v>260</v>
      </c>
      <c r="O49" s="12"/>
      <c r="P49" s="7" t="s">
        <v>294</v>
      </c>
      <c r="Q49" s="7">
        <f t="shared" si="0"/>
        <v>7</v>
      </c>
      <c r="R49" s="7">
        <f t="shared" si="10"/>
        <v>5.6000000000000005</v>
      </c>
      <c r="S49" s="7">
        <f t="shared" si="11"/>
        <v>4.2</v>
      </c>
      <c r="T49" s="7">
        <f t="shared" si="5"/>
        <v>8.4</v>
      </c>
      <c r="U49" s="7">
        <f t="shared" si="12"/>
        <v>5.6000000000000005</v>
      </c>
      <c r="V49" s="7">
        <f t="shared" si="1"/>
        <v>2.1</v>
      </c>
      <c r="W49" s="7">
        <f t="shared" ref="W49" si="13">SUM(Q49:V49)</f>
        <v>32.900000000000006</v>
      </c>
      <c r="X49" s="7">
        <f t="shared" si="7"/>
        <v>1.65</v>
      </c>
      <c r="Y49" s="15">
        <f t="shared" si="8"/>
        <v>1650000</v>
      </c>
      <c r="Z49" s="18">
        <f t="shared" si="9"/>
        <v>1650000</v>
      </c>
    </row>
    <row r="50" spans="2:26" ht="48.6" x14ac:dyDescent="0.2">
      <c r="B50" s="28"/>
      <c r="C50" s="7"/>
      <c r="D50" s="7" t="s">
        <v>146</v>
      </c>
      <c r="E50" s="7" t="s">
        <v>382</v>
      </c>
      <c r="F50" s="6" t="s">
        <v>383</v>
      </c>
      <c r="G50" s="12" t="s">
        <v>260</v>
      </c>
      <c r="H50" s="12"/>
      <c r="I50" s="12"/>
      <c r="J50" s="12"/>
      <c r="K50" s="12" t="s">
        <v>312</v>
      </c>
      <c r="L50" s="12"/>
      <c r="M50" s="12" t="s">
        <v>260</v>
      </c>
      <c r="N50" s="12"/>
      <c r="O50" s="12"/>
      <c r="P50" s="7" t="s">
        <v>297</v>
      </c>
      <c r="Q50" s="7">
        <f t="shared" si="0"/>
        <v>10</v>
      </c>
      <c r="R50" s="7">
        <f t="shared" si="3"/>
        <v>8</v>
      </c>
      <c r="S50" s="7">
        <f t="shared" si="4"/>
        <v>6</v>
      </c>
      <c r="T50" s="7">
        <f t="shared" si="5"/>
        <v>12</v>
      </c>
      <c r="U50" s="7">
        <f t="shared" si="6"/>
        <v>8</v>
      </c>
      <c r="V50" s="7">
        <f t="shared" si="1"/>
        <v>3</v>
      </c>
      <c r="W50" s="7">
        <f t="shared" si="2"/>
        <v>47</v>
      </c>
      <c r="X50" s="7">
        <f t="shared" si="7"/>
        <v>2.35</v>
      </c>
      <c r="Y50" s="15">
        <f t="shared" si="8"/>
        <v>2350000</v>
      </c>
      <c r="Z50" s="18">
        <f t="shared" si="9"/>
        <v>2350000</v>
      </c>
    </row>
    <row r="51" spans="2:26" ht="32.4" x14ac:dyDescent="0.2">
      <c r="B51" s="28"/>
      <c r="C51" s="7"/>
      <c r="D51" s="7" t="s">
        <v>146</v>
      </c>
      <c r="E51" s="7" t="s">
        <v>384</v>
      </c>
      <c r="F51" s="6" t="s">
        <v>416</v>
      </c>
      <c r="G51" s="13" t="s">
        <v>312</v>
      </c>
      <c r="H51" s="13"/>
      <c r="I51" s="13"/>
      <c r="J51" s="13"/>
      <c r="K51" s="12" t="s">
        <v>312</v>
      </c>
      <c r="L51" s="13"/>
      <c r="M51" s="13" t="s">
        <v>312</v>
      </c>
      <c r="N51" s="13"/>
      <c r="O51" s="13"/>
      <c r="P51" s="7" t="s">
        <v>386</v>
      </c>
      <c r="Q51" s="7">
        <f t="shared" si="0"/>
        <v>7</v>
      </c>
      <c r="R51" s="7">
        <f t="shared" si="3"/>
        <v>5.6000000000000005</v>
      </c>
      <c r="S51" s="7">
        <f t="shared" si="4"/>
        <v>4.2</v>
      </c>
      <c r="T51" s="7">
        <f t="shared" si="5"/>
        <v>8.4</v>
      </c>
      <c r="U51" s="7">
        <f t="shared" si="6"/>
        <v>5.6000000000000005</v>
      </c>
      <c r="V51" s="7">
        <f t="shared" si="1"/>
        <v>2.1</v>
      </c>
      <c r="W51" s="7">
        <f t="shared" si="2"/>
        <v>32.900000000000006</v>
      </c>
      <c r="X51" s="7">
        <f t="shared" si="7"/>
        <v>1.65</v>
      </c>
      <c r="Y51" s="15">
        <f t="shared" si="8"/>
        <v>1650000</v>
      </c>
      <c r="Z51" s="18">
        <f t="shared" si="9"/>
        <v>1650000</v>
      </c>
    </row>
    <row r="52" spans="2:26" hidden="1" x14ac:dyDescent="0.2">
      <c r="B52" s="301" t="s">
        <v>387</v>
      </c>
      <c r="C52" s="302"/>
      <c r="D52" s="302"/>
      <c r="E52" s="302"/>
      <c r="F52" s="302"/>
      <c r="G52" s="9"/>
      <c r="H52" s="9"/>
      <c r="I52" s="9"/>
      <c r="J52" s="9"/>
      <c r="K52" s="9"/>
      <c r="L52" s="9"/>
      <c r="M52" s="9"/>
      <c r="N52" s="9"/>
      <c r="O52" s="9"/>
      <c r="P52" s="9" t="s">
        <v>217</v>
      </c>
      <c r="Q52" s="10">
        <f t="shared" ref="Q52:V52" si="14">SUM(Q6:Q51)</f>
        <v>248</v>
      </c>
      <c r="R52" s="10">
        <f t="shared" si="14"/>
        <v>198.4</v>
      </c>
      <c r="S52" s="10">
        <f t="shared" si="14"/>
        <v>148.80000000000001</v>
      </c>
      <c r="T52" s="10">
        <f t="shared" si="14"/>
        <v>297.60000000000002</v>
      </c>
      <c r="U52" s="10">
        <f t="shared" si="14"/>
        <v>198.4</v>
      </c>
      <c r="V52" s="10">
        <f t="shared" si="14"/>
        <v>74.400000000000006</v>
      </c>
      <c r="W52" s="10">
        <f t="shared" si="2"/>
        <v>1165.6000000000001</v>
      </c>
      <c r="X52" s="9"/>
      <c r="Y52" s="16"/>
      <c r="Z52" s="18"/>
    </row>
    <row r="53" spans="2:26" ht="16.8" hidden="1" thickBot="1" x14ac:dyDescent="0.25">
      <c r="B53" s="303" t="s">
        <v>388</v>
      </c>
      <c r="C53" s="304"/>
      <c r="D53" s="304"/>
      <c r="E53" s="304"/>
      <c r="F53" s="304"/>
      <c r="G53" s="8"/>
      <c r="H53" s="8"/>
      <c r="I53" s="8"/>
      <c r="J53" s="8"/>
      <c r="K53" s="8"/>
      <c r="L53" s="8"/>
      <c r="M53" s="8"/>
      <c r="N53" s="8"/>
      <c r="O53" s="8"/>
      <c r="P53" s="8" t="s">
        <v>217</v>
      </c>
      <c r="Q53" s="8">
        <f>Q52/20</f>
        <v>12.4</v>
      </c>
      <c r="R53" s="8">
        <f t="shared" ref="R53:U53" si="15">R52/20</f>
        <v>9.92</v>
      </c>
      <c r="S53" s="8">
        <f t="shared" si="15"/>
        <v>7.44</v>
      </c>
      <c r="T53" s="8">
        <f t="shared" si="15"/>
        <v>14.88</v>
      </c>
      <c r="U53" s="8">
        <f t="shared" si="15"/>
        <v>9.92</v>
      </c>
      <c r="V53" s="8">
        <f>V52/20</f>
        <v>3.72</v>
      </c>
      <c r="W53" s="8">
        <f>W52/20</f>
        <v>58.280000000000008</v>
      </c>
      <c r="X53" s="8">
        <f>SUM(X7:X51)</f>
        <v>58.47</v>
      </c>
      <c r="Y53" s="14"/>
      <c r="Z53" s="18"/>
    </row>
    <row r="54" spans="2:26" ht="22.8" x14ac:dyDescent="0.2">
      <c r="B54" s="305" t="s">
        <v>389</v>
      </c>
      <c r="C54" s="306"/>
      <c r="D54" s="306"/>
      <c r="E54" s="306"/>
      <c r="F54" s="306"/>
      <c r="G54" s="306"/>
      <c r="H54" s="306"/>
      <c r="I54" s="306"/>
      <c r="J54" s="306"/>
      <c r="K54" s="306"/>
      <c r="L54" s="306"/>
      <c r="M54" s="306"/>
      <c r="N54" s="306"/>
      <c r="O54" s="306"/>
      <c r="P54" s="306"/>
      <c r="Q54" s="306"/>
      <c r="R54" s="306"/>
      <c r="S54" s="306"/>
      <c r="T54" s="306"/>
      <c r="U54" s="306"/>
      <c r="V54" s="306"/>
      <c r="W54" s="306"/>
      <c r="X54" s="307"/>
      <c r="Y54" s="20">
        <f>SUM(Y7:Y51)</f>
        <v>58470000</v>
      </c>
      <c r="Z54" s="19"/>
    </row>
    <row r="55" spans="2:26" ht="22.8" x14ac:dyDescent="0.2">
      <c r="B55" s="308" t="s">
        <v>390</v>
      </c>
      <c r="C55" s="309"/>
      <c r="D55" s="309"/>
      <c r="E55" s="309"/>
      <c r="F55" s="309"/>
      <c r="G55" s="309"/>
      <c r="H55" s="309"/>
      <c r="I55" s="309"/>
      <c r="J55" s="309"/>
      <c r="K55" s="309"/>
      <c r="L55" s="309"/>
      <c r="M55" s="309"/>
      <c r="N55" s="309"/>
      <c r="O55" s="309"/>
      <c r="P55" s="309"/>
      <c r="Q55" s="309"/>
      <c r="R55" s="309"/>
      <c r="S55" s="309"/>
      <c r="T55" s="309"/>
      <c r="U55" s="309"/>
      <c r="V55" s="309"/>
      <c r="W55" s="309"/>
      <c r="X55" s="310"/>
      <c r="Y55" s="21">
        <f>X53*0.2*1400000</f>
        <v>16371600.000000002</v>
      </c>
      <c r="Z55" s="19"/>
    </row>
    <row r="56" spans="2:26" ht="22.8" x14ac:dyDescent="0.2">
      <c r="B56" s="308" t="s">
        <v>391</v>
      </c>
      <c r="C56" s="309"/>
      <c r="D56" s="309"/>
      <c r="E56" s="309"/>
      <c r="F56" s="309"/>
      <c r="G56" s="309"/>
      <c r="H56" s="309"/>
      <c r="I56" s="309"/>
      <c r="J56" s="309"/>
      <c r="K56" s="309"/>
      <c r="L56" s="309"/>
      <c r="M56" s="309"/>
      <c r="N56" s="309"/>
      <c r="O56" s="309"/>
      <c r="P56" s="309"/>
      <c r="Q56" s="309"/>
      <c r="R56" s="309"/>
      <c r="S56" s="309"/>
      <c r="T56" s="309"/>
      <c r="U56" s="309"/>
      <c r="V56" s="309"/>
      <c r="W56" s="309"/>
      <c r="X56" s="310"/>
      <c r="Y56" s="21">
        <v>5400000</v>
      </c>
      <c r="Z56" s="19"/>
    </row>
    <row r="57" spans="2:26" ht="22.8" x14ac:dyDescent="0.2">
      <c r="B57" s="308" t="s">
        <v>392</v>
      </c>
      <c r="C57" s="309"/>
      <c r="D57" s="309"/>
      <c r="E57" s="309"/>
      <c r="F57" s="309"/>
      <c r="G57" s="309"/>
      <c r="H57" s="309"/>
      <c r="I57" s="309"/>
      <c r="J57" s="309"/>
      <c r="K57" s="309"/>
      <c r="L57" s="309"/>
      <c r="M57" s="309"/>
      <c r="N57" s="309"/>
      <c r="O57" s="309"/>
      <c r="P57" s="309"/>
      <c r="Q57" s="309"/>
      <c r="R57" s="309"/>
      <c r="S57" s="309"/>
      <c r="T57" s="309"/>
      <c r="U57" s="309"/>
      <c r="V57" s="309"/>
      <c r="W57" s="309"/>
      <c r="X57" s="310"/>
      <c r="Y57" s="21">
        <f>Y54+Y55</f>
        <v>74841600</v>
      </c>
      <c r="Z57" s="19"/>
    </row>
    <row r="58" spans="2:26" ht="23.4" thickBot="1" x14ac:dyDescent="0.25">
      <c r="B58" s="298" t="s">
        <v>203</v>
      </c>
      <c r="C58" s="299"/>
      <c r="D58" s="299"/>
      <c r="E58" s="299"/>
      <c r="F58" s="299"/>
      <c r="G58" s="299"/>
      <c r="H58" s="299"/>
      <c r="I58" s="299"/>
      <c r="J58" s="299"/>
      <c r="K58" s="299"/>
      <c r="L58" s="299"/>
      <c r="M58" s="299"/>
      <c r="N58" s="299"/>
      <c r="O58" s="299"/>
      <c r="P58" s="299"/>
      <c r="Q58" s="299"/>
      <c r="R58" s="299"/>
      <c r="S58" s="299"/>
      <c r="T58" s="299"/>
      <c r="U58" s="299"/>
      <c r="V58" s="299"/>
      <c r="W58" s="299"/>
      <c r="X58" s="300"/>
      <c r="Y58" s="22">
        <f>Y56+Y57</f>
        <v>80241600</v>
      </c>
      <c r="Z58" s="19"/>
    </row>
  </sheetData>
  <autoFilter ref="A6:AF58" xr:uid="{00000000-0001-0000-0000-000000000000}">
    <filterColumn colId="3" showButton="0"/>
  </autoFilter>
  <mergeCells count="26">
    <mergeCell ref="B58:X58"/>
    <mergeCell ref="B52:F52"/>
    <mergeCell ref="B53:F53"/>
    <mergeCell ref="B54:X54"/>
    <mergeCell ref="B55:X55"/>
    <mergeCell ref="B56:X56"/>
    <mergeCell ref="B57:X57"/>
    <mergeCell ref="Q3:V3"/>
    <mergeCell ref="W3:W6"/>
    <mergeCell ref="X3:X6"/>
    <mergeCell ref="Y3:Y6"/>
    <mergeCell ref="Q4:Q6"/>
    <mergeCell ref="R4:R6"/>
    <mergeCell ref="S4:S6"/>
    <mergeCell ref="T4:T6"/>
    <mergeCell ref="U4:U6"/>
    <mergeCell ref="V4:V6"/>
    <mergeCell ref="P3:P6"/>
    <mergeCell ref="G5:J5"/>
    <mergeCell ref="K5:L5"/>
    <mergeCell ref="M5:O5"/>
    <mergeCell ref="B3:B6"/>
    <mergeCell ref="C3:C6"/>
    <mergeCell ref="D3:E6"/>
    <mergeCell ref="F3:F6"/>
    <mergeCell ref="G3:O4"/>
  </mergeCells>
  <phoneticPr fontId="2"/>
  <pageMargins left="0.15748031496062992" right="0.15748031496062992" top="0.15748031496062992" bottom="0.15748031496062992" header="0.31496062992125984" footer="0.31496062992125984"/>
  <pageSetup paperSize="9" scale="48" fitToHeight="1000" orientation="landscape"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88200B-CB24-4241-8D43-77F39302A436}">
  <dimension ref="A1:T29"/>
  <sheetViews>
    <sheetView zoomScale="85" zoomScaleNormal="85" workbookViewId="0">
      <selection activeCell="O27" sqref="O27"/>
    </sheetView>
  </sheetViews>
  <sheetFormatPr defaultColWidth="9" defaultRowHeight="15" x14ac:dyDescent="0.2"/>
  <cols>
    <col min="1" max="1" width="9" style="35"/>
    <col min="2" max="2" width="16.6640625" style="35" bestFit="1" customWidth="1"/>
    <col min="3" max="17" width="13.109375" style="35" bestFit="1" customWidth="1"/>
    <col min="18" max="18" width="13.88671875" style="35" bestFit="1" customWidth="1"/>
    <col min="19" max="19" width="13.88671875" style="35" customWidth="1"/>
    <col min="20" max="20" width="14.33203125" style="35" bestFit="1" customWidth="1"/>
    <col min="21" max="16384" width="9" style="35"/>
  </cols>
  <sheetData>
    <row r="1" spans="1:20" ht="24.6" x14ac:dyDescent="0.2">
      <c r="A1" s="34" t="s">
        <v>417</v>
      </c>
    </row>
    <row r="5" spans="1:20" x14ac:dyDescent="0.2">
      <c r="B5" s="311" t="s">
        <v>418</v>
      </c>
      <c r="C5" s="314">
        <v>2024</v>
      </c>
      <c r="D5" s="314"/>
      <c r="E5" s="314"/>
      <c r="F5" s="314"/>
      <c r="G5" s="314" t="s">
        <v>419</v>
      </c>
      <c r="H5" s="314"/>
      <c r="I5" s="314"/>
      <c r="J5" s="314"/>
      <c r="K5" s="314"/>
      <c r="L5" s="314"/>
      <c r="M5" s="314"/>
      <c r="N5" s="314"/>
      <c r="O5" s="314"/>
      <c r="P5" s="314"/>
      <c r="Q5" s="314"/>
      <c r="R5" s="314"/>
      <c r="S5" s="37"/>
    </row>
    <row r="6" spans="1:20" x14ac:dyDescent="0.2">
      <c r="B6" s="312"/>
      <c r="C6" s="36" t="s">
        <v>420</v>
      </c>
      <c r="D6" s="36" t="s">
        <v>171</v>
      </c>
      <c r="E6" s="36" t="s">
        <v>421</v>
      </c>
      <c r="F6" s="36" t="s">
        <v>422</v>
      </c>
      <c r="G6" s="36" t="s">
        <v>423</v>
      </c>
      <c r="H6" s="36" t="s">
        <v>163</v>
      </c>
      <c r="I6" s="36" t="s">
        <v>164</v>
      </c>
      <c r="J6" s="36" t="s">
        <v>165</v>
      </c>
      <c r="K6" s="36" t="s">
        <v>166</v>
      </c>
      <c r="L6" s="36" t="s">
        <v>167</v>
      </c>
      <c r="M6" s="36" t="s">
        <v>168</v>
      </c>
      <c r="N6" s="36" t="s">
        <v>169</v>
      </c>
      <c r="O6" s="36" t="s">
        <v>170</v>
      </c>
      <c r="P6" s="36" t="s">
        <v>171</v>
      </c>
      <c r="Q6" s="36" t="s">
        <v>421</v>
      </c>
      <c r="R6" s="36" t="s">
        <v>422</v>
      </c>
      <c r="S6" s="37"/>
      <c r="T6" s="35" t="s">
        <v>203</v>
      </c>
    </row>
    <row r="7" spans="1:20" x14ac:dyDescent="0.2">
      <c r="B7" s="313"/>
      <c r="C7" s="315" t="s">
        <v>251</v>
      </c>
      <c r="D7" s="316"/>
      <c r="E7" s="316"/>
      <c r="F7" s="317"/>
      <c r="G7" s="314" t="s">
        <v>252</v>
      </c>
      <c r="H7" s="314"/>
      <c r="I7" s="314"/>
      <c r="J7" s="314" t="s">
        <v>59</v>
      </c>
      <c r="K7" s="314"/>
      <c r="L7" s="36" t="s">
        <v>254</v>
      </c>
      <c r="M7" s="314" t="s">
        <v>61</v>
      </c>
      <c r="N7" s="314"/>
      <c r="O7" s="315" t="s">
        <v>424</v>
      </c>
      <c r="P7" s="317"/>
      <c r="Q7" s="36" t="s">
        <v>212</v>
      </c>
      <c r="R7" s="36" t="s">
        <v>425</v>
      </c>
      <c r="S7" s="37" t="s">
        <v>426</v>
      </c>
    </row>
    <row r="8" spans="1:20" x14ac:dyDescent="0.2">
      <c r="B8" s="38" t="s">
        <v>427</v>
      </c>
      <c r="C8" s="315">
        <f>工数見積り_20241115!Q68</f>
        <v>12.5</v>
      </c>
      <c r="D8" s="316"/>
      <c r="E8" s="316"/>
      <c r="F8" s="317"/>
      <c r="G8" s="314">
        <f>工数見積り_20241115!R68+工数見積り_20241115!S68</f>
        <v>17.5</v>
      </c>
      <c r="H8" s="314"/>
      <c r="I8" s="314"/>
      <c r="J8" s="314">
        <f>工数見積り_20241115!T68</f>
        <v>14.999999999999996</v>
      </c>
      <c r="K8" s="314"/>
      <c r="L8" s="36">
        <f>工数見積り_20241115!U68</f>
        <v>10.000000000000004</v>
      </c>
      <c r="M8" s="314">
        <f>工数見積り_20241115!V68</f>
        <v>3.7499999999999991</v>
      </c>
      <c r="N8" s="314"/>
      <c r="O8" s="36"/>
      <c r="P8" s="36"/>
      <c r="Q8" s="36"/>
      <c r="R8" s="36"/>
      <c r="S8" s="37">
        <v>11.27</v>
      </c>
      <c r="T8" s="35">
        <f>SUM(C8:S8)</f>
        <v>70.02</v>
      </c>
    </row>
    <row r="9" spans="1:20" x14ac:dyDescent="0.2">
      <c r="B9" s="38" t="s">
        <v>428</v>
      </c>
      <c r="C9" s="315">
        <f>SUM(C12:F18)</f>
        <v>16.799999999999997</v>
      </c>
      <c r="D9" s="316"/>
      <c r="E9" s="316"/>
      <c r="F9" s="317"/>
      <c r="G9" s="314">
        <f>SUM(G12:I18)</f>
        <v>15.599999999999998</v>
      </c>
      <c r="H9" s="314"/>
      <c r="I9" s="314"/>
      <c r="J9" s="314">
        <f>SUM(J12:K18)</f>
        <v>10.4</v>
      </c>
      <c r="K9" s="314"/>
      <c r="L9" s="36">
        <f>SUM(L12:L18)</f>
        <v>5.2</v>
      </c>
      <c r="M9" s="314">
        <f>SUM(M12:N18)</f>
        <v>7.4</v>
      </c>
      <c r="N9" s="314"/>
      <c r="O9" s="36"/>
      <c r="P9" s="36"/>
      <c r="Q9" s="36"/>
      <c r="R9" s="36"/>
      <c r="S9" s="37"/>
      <c r="T9" s="35">
        <f>SUM(C9:S9)</f>
        <v>55.399999999999991</v>
      </c>
    </row>
    <row r="10" spans="1:20" x14ac:dyDescent="0.2">
      <c r="B10" s="39" t="s">
        <v>429</v>
      </c>
      <c r="C10" s="39">
        <v>0.5</v>
      </c>
      <c r="D10" s="39">
        <v>0.5</v>
      </c>
      <c r="E10" s="39">
        <v>0.5</v>
      </c>
      <c r="F10" s="39">
        <v>0.5</v>
      </c>
      <c r="G10" s="39">
        <v>0.5</v>
      </c>
      <c r="H10" s="39">
        <v>0.5</v>
      </c>
      <c r="I10" s="39">
        <v>0.5</v>
      </c>
      <c r="J10" s="39">
        <v>0.5</v>
      </c>
      <c r="K10" s="39">
        <v>0.5</v>
      </c>
      <c r="L10" s="39">
        <v>0.5</v>
      </c>
      <c r="M10" s="39">
        <v>0.5</v>
      </c>
      <c r="N10" s="39">
        <v>0.5</v>
      </c>
      <c r="O10" s="39"/>
      <c r="P10" s="39"/>
      <c r="Q10" s="39"/>
      <c r="R10" s="39"/>
      <c r="T10" s="35">
        <f>SUM(C10:R10)</f>
        <v>6</v>
      </c>
    </row>
    <row r="11" spans="1:20" x14ac:dyDescent="0.2">
      <c r="B11" s="39" t="s">
        <v>430</v>
      </c>
      <c r="C11" s="39">
        <v>0.3</v>
      </c>
      <c r="D11" s="39">
        <v>0.3</v>
      </c>
      <c r="E11" s="39">
        <v>0.3</v>
      </c>
      <c r="F11" s="39">
        <v>0.3</v>
      </c>
      <c r="G11" s="39"/>
      <c r="H11" s="39"/>
      <c r="I11" s="39"/>
      <c r="J11" s="39"/>
      <c r="K11" s="39"/>
      <c r="L11" s="39"/>
      <c r="M11" s="39"/>
      <c r="N11" s="39"/>
      <c r="O11" s="39"/>
      <c r="P11" s="39"/>
      <c r="Q11" s="39"/>
      <c r="R11" s="39"/>
      <c r="T11" s="35">
        <f t="shared" ref="T11:T18" si="0">SUM(C11:R11)</f>
        <v>1.2</v>
      </c>
    </row>
    <row r="12" spans="1:20" x14ac:dyDescent="0.2">
      <c r="B12" s="39" t="s">
        <v>431</v>
      </c>
      <c r="C12" s="39">
        <v>1</v>
      </c>
      <c r="D12" s="39">
        <v>1</v>
      </c>
      <c r="E12" s="39">
        <v>1</v>
      </c>
      <c r="F12" s="39">
        <v>1</v>
      </c>
      <c r="G12" s="39">
        <v>1</v>
      </c>
      <c r="H12" s="39">
        <v>1</v>
      </c>
      <c r="I12" s="39">
        <v>1</v>
      </c>
      <c r="J12" s="39">
        <v>1</v>
      </c>
      <c r="K12" s="39">
        <v>1</v>
      </c>
      <c r="L12" s="39">
        <v>1</v>
      </c>
      <c r="M12" s="39">
        <v>1</v>
      </c>
      <c r="N12" s="39">
        <v>1</v>
      </c>
      <c r="O12" s="39">
        <v>1</v>
      </c>
      <c r="P12" s="39">
        <v>1</v>
      </c>
      <c r="Q12" s="39"/>
      <c r="R12" s="39"/>
      <c r="T12" s="35">
        <f t="shared" si="0"/>
        <v>14</v>
      </c>
    </row>
    <row r="13" spans="1:20" x14ac:dyDescent="0.2">
      <c r="B13" s="39" t="s">
        <v>432</v>
      </c>
      <c r="C13" s="39">
        <v>0.5</v>
      </c>
      <c r="D13" s="39">
        <v>0.5</v>
      </c>
      <c r="E13" s="39">
        <v>0.5</v>
      </c>
      <c r="F13" s="39">
        <v>0.5</v>
      </c>
      <c r="G13" s="39">
        <v>0.5</v>
      </c>
      <c r="H13" s="39">
        <v>0.5</v>
      </c>
      <c r="I13" s="39">
        <v>0.5</v>
      </c>
      <c r="J13" s="39">
        <v>0.5</v>
      </c>
      <c r="K13" s="39">
        <v>0.5</v>
      </c>
      <c r="L13" s="39">
        <v>0.5</v>
      </c>
      <c r="M13" s="39">
        <v>0.5</v>
      </c>
      <c r="N13" s="39">
        <v>0.5</v>
      </c>
      <c r="O13" s="39">
        <v>0.5</v>
      </c>
      <c r="P13" s="39">
        <v>0.5</v>
      </c>
      <c r="Q13" s="39"/>
      <c r="R13" s="39"/>
      <c r="T13" s="35">
        <f t="shared" si="0"/>
        <v>7</v>
      </c>
    </row>
    <row r="14" spans="1:20" x14ac:dyDescent="0.2">
      <c r="B14" s="39" t="s">
        <v>433</v>
      </c>
      <c r="C14" s="39">
        <v>1</v>
      </c>
      <c r="D14" s="39">
        <v>1</v>
      </c>
      <c r="E14" s="39">
        <v>1</v>
      </c>
      <c r="F14" s="39">
        <v>1</v>
      </c>
      <c r="G14" s="39">
        <v>1</v>
      </c>
      <c r="H14" s="39">
        <v>1</v>
      </c>
      <c r="I14" s="39">
        <v>1</v>
      </c>
      <c r="J14" s="39">
        <v>1</v>
      </c>
      <c r="K14" s="39">
        <v>1</v>
      </c>
      <c r="L14" s="39">
        <v>1</v>
      </c>
      <c r="M14" s="39"/>
      <c r="N14" s="39"/>
      <c r="O14" s="39"/>
      <c r="P14" s="39"/>
      <c r="Q14" s="39"/>
      <c r="R14" s="39"/>
      <c r="T14" s="35">
        <f t="shared" si="0"/>
        <v>10</v>
      </c>
    </row>
    <row r="15" spans="1:20" x14ac:dyDescent="0.2">
      <c r="B15" s="39" t="s">
        <v>434</v>
      </c>
      <c r="C15" s="39">
        <v>0.7</v>
      </c>
      <c r="D15" s="39">
        <v>0.7</v>
      </c>
      <c r="E15" s="39">
        <v>0.7</v>
      </c>
      <c r="F15" s="39">
        <v>0.7</v>
      </c>
      <c r="G15" s="39">
        <v>0.7</v>
      </c>
      <c r="H15" s="39">
        <v>0.7</v>
      </c>
      <c r="I15" s="39">
        <v>0.7</v>
      </c>
      <c r="J15" s="39">
        <v>0.7</v>
      </c>
      <c r="K15" s="39">
        <v>0.7</v>
      </c>
      <c r="L15" s="39">
        <v>0.7</v>
      </c>
      <c r="M15" s="39">
        <v>0.7</v>
      </c>
      <c r="N15" s="39">
        <v>0.7</v>
      </c>
      <c r="O15" s="39">
        <v>1</v>
      </c>
      <c r="P15" s="39">
        <v>1</v>
      </c>
      <c r="Q15" s="39"/>
      <c r="R15" s="39"/>
      <c r="T15" s="35">
        <f t="shared" si="0"/>
        <v>10.4</v>
      </c>
    </row>
    <row r="16" spans="1:20" x14ac:dyDescent="0.2">
      <c r="B16" s="39" t="s">
        <v>435</v>
      </c>
      <c r="C16" s="39">
        <v>1</v>
      </c>
      <c r="D16" s="39">
        <v>1</v>
      </c>
      <c r="E16" s="39">
        <v>1</v>
      </c>
      <c r="F16" s="39">
        <v>1</v>
      </c>
      <c r="G16" s="39">
        <v>1</v>
      </c>
      <c r="H16" s="39">
        <v>1</v>
      </c>
      <c r="I16" s="39">
        <v>1</v>
      </c>
      <c r="J16" s="39">
        <v>1</v>
      </c>
      <c r="K16" s="39">
        <v>1</v>
      </c>
      <c r="L16" s="39">
        <v>1</v>
      </c>
      <c r="M16" s="39">
        <v>1</v>
      </c>
      <c r="N16" s="39">
        <v>1</v>
      </c>
      <c r="O16" s="39"/>
      <c r="P16" s="39"/>
      <c r="Q16" s="39"/>
      <c r="R16" s="39"/>
      <c r="T16" s="35">
        <f t="shared" si="0"/>
        <v>12</v>
      </c>
    </row>
    <row r="17" spans="2:20" x14ac:dyDescent="0.2">
      <c r="B17" s="39" t="s">
        <v>436</v>
      </c>
      <c r="C17" s="39"/>
      <c r="D17" s="39"/>
      <c r="E17" s="39"/>
      <c r="F17" s="39"/>
      <c r="G17" s="39">
        <v>1</v>
      </c>
      <c r="H17" s="39">
        <v>1</v>
      </c>
      <c r="I17" s="39">
        <v>1</v>
      </c>
      <c r="J17" s="39">
        <v>1</v>
      </c>
      <c r="K17" s="39">
        <v>1</v>
      </c>
      <c r="L17" s="39">
        <v>1</v>
      </c>
      <c r="M17" s="39">
        <v>1</v>
      </c>
      <c r="N17" s="39"/>
      <c r="O17" s="39"/>
      <c r="P17" s="39"/>
      <c r="Q17" s="39"/>
      <c r="R17" s="39"/>
      <c r="T17" s="35">
        <f t="shared" si="0"/>
        <v>7</v>
      </c>
    </row>
    <row r="18" spans="2:20" x14ac:dyDescent="0.2">
      <c r="B18" s="39" t="s">
        <v>437</v>
      </c>
      <c r="C18" s="39"/>
      <c r="D18" s="39"/>
      <c r="E18" s="39"/>
      <c r="F18" s="39"/>
      <c r="G18" s="39"/>
      <c r="H18" s="39"/>
      <c r="I18" s="39"/>
      <c r="J18" s="39"/>
      <c r="K18" s="39"/>
      <c r="L18" s="39"/>
      <c r="M18" s="39"/>
      <c r="N18" s="39"/>
      <c r="O18" s="39"/>
      <c r="P18" s="39"/>
      <c r="Q18" s="39"/>
      <c r="R18" s="39"/>
      <c r="T18" s="35">
        <f t="shared" si="0"/>
        <v>0</v>
      </c>
    </row>
    <row r="19" spans="2:20" x14ac:dyDescent="0.2">
      <c r="T19" s="35">
        <f>SUM(T10:T18)</f>
        <v>67.599999999999994</v>
      </c>
    </row>
    <row r="20" spans="2:20" x14ac:dyDescent="0.2">
      <c r="B20" s="39" t="s">
        <v>429</v>
      </c>
      <c r="C20" s="40">
        <f>VLOOKUP($B10,日本単価!$A$4:$B$12,2,FALSE)*C10</f>
        <v>700000</v>
      </c>
      <c r="D20" s="40">
        <f>VLOOKUP($B10,日本単価!$A$4:$B$12,2,FALSE)*D10</f>
        <v>700000</v>
      </c>
      <c r="E20" s="40">
        <f>VLOOKUP($B10,日本単価!$A$4:$B$12,2,FALSE)*E10</f>
        <v>700000</v>
      </c>
      <c r="F20" s="40">
        <f>VLOOKUP($B10,日本単価!$A$4:$B$12,2,FALSE)*F10</f>
        <v>700000</v>
      </c>
      <c r="G20" s="40">
        <f>VLOOKUP($B10,日本単価!$A$4:$B$12,2,FALSE)*G10</f>
        <v>700000</v>
      </c>
      <c r="H20" s="40">
        <f>VLOOKUP($B10,日本単価!$A$4:$B$12,2,FALSE)*H10</f>
        <v>700000</v>
      </c>
      <c r="I20" s="40">
        <f>VLOOKUP($B10,日本単価!$A$4:$B$12,2,FALSE)*I10</f>
        <v>700000</v>
      </c>
      <c r="J20" s="40">
        <f>VLOOKUP($B10,日本単価!$A$4:$B$12,2,FALSE)*J10</f>
        <v>700000</v>
      </c>
      <c r="K20" s="40">
        <f>VLOOKUP($B10,日本単価!$A$4:$B$12,2,FALSE)*K10</f>
        <v>700000</v>
      </c>
      <c r="L20" s="40">
        <f>VLOOKUP($B10,日本単価!$A$4:$B$12,2,FALSE)*L10</f>
        <v>700000</v>
      </c>
      <c r="M20" s="40">
        <f>VLOOKUP($B10,日本単価!$A$4:$B$12,2,FALSE)*M10</f>
        <v>700000</v>
      </c>
      <c r="N20" s="40">
        <f>VLOOKUP($B10,日本単価!$A$4:$B$12,2,FALSE)*N10</f>
        <v>700000</v>
      </c>
      <c r="O20" s="40">
        <f>VLOOKUP($B10,日本単価!$A$4:$B$12,2,FALSE)*O10</f>
        <v>0</v>
      </c>
      <c r="P20" s="40">
        <f>VLOOKUP($B10,日本単価!$A$4:$B$12,2,FALSE)*P10</f>
        <v>0</v>
      </c>
      <c r="Q20" s="40">
        <f>VLOOKUP($B10,日本単価!$A$4:$B$12,2,FALSE)*Q10</f>
        <v>0</v>
      </c>
      <c r="R20" s="39"/>
      <c r="T20" s="41">
        <f t="shared" ref="T20:T28" si="1">SUM(C20:R20)</f>
        <v>8400000</v>
      </c>
    </row>
    <row r="21" spans="2:20" x14ac:dyDescent="0.2">
      <c r="B21" s="39" t="s">
        <v>430</v>
      </c>
      <c r="C21" s="40">
        <f>VLOOKUP($B11,日本単価!$A$4:$B$12,2,FALSE)*C11</f>
        <v>420000</v>
      </c>
      <c r="D21" s="40">
        <f>VLOOKUP($B11,日本単価!$A$4:$B$12,2,FALSE)*D11</f>
        <v>420000</v>
      </c>
      <c r="E21" s="40">
        <f>VLOOKUP($B11,日本単価!$A$4:$B$12,2,FALSE)*E11</f>
        <v>420000</v>
      </c>
      <c r="F21" s="40">
        <f>VLOOKUP($B11,日本単価!$A$4:$B$12,2,FALSE)*F11</f>
        <v>420000</v>
      </c>
      <c r="G21" s="40">
        <f>VLOOKUP($B11,日本単価!$A$4:$B$12,2,FALSE)*G11</f>
        <v>0</v>
      </c>
      <c r="H21" s="40">
        <f>VLOOKUP($B11,日本単価!$A$4:$B$12,2,FALSE)*H11</f>
        <v>0</v>
      </c>
      <c r="I21" s="40">
        <f>VLOOKUP($B11,日本単価!$A$4:$B$12,2,FALSE)*I11</f>
        <v>0</v>
      </c>
      <c r="J21" s="40">
        <f>VLOOKUP($B11,日本単価!$A$4:$B$12,2,FALSE)*J11</f>
        <v>0</v>
      </c>
      <c r="K21" s="40">
        <f>VLOOKUP($B11,日本単価!$A$4:$B$12,2,FALSE)*K11</f>
        <v>0</v>
      </c>
      <c r="L21" s="40">
        <f>VLOOKUP($B11,日本単価!$A$4:$B$12,2,FALSE)*L11</f>
        <v>0</v>
      </c>
      <c r="M21" s="40">
        <f>VLOOKUP($B11,日本単価!$A$4:$B$12,2,FALSE)*M11</f>
        <v>0</v>
      </c>
      <c r="N21" s="40">
        <f>VLOOKUP($B11,日本単価!$A$4:$B$12,2,FALSE)*N11</f>
        <v>0</v>
      </c>
      <c r="O21" s="40">
        <f>VLOOKUP($B11,日本単価!$A$4:$B$12,2,FALSE)*O11</f>
        <v>0</v>
      </c>
      <c r="P21" s="40">
        <f>VLOOKUP($B11,日本単価!$A$4:$B$12,2,FALSE)*P11</f>
        <v>0</v>
      </c>
      <c r="Q21" s="40">
        <f>VLOOKUP($B11,日本単価!$A$4:$B$12,2,FALSE)*Q11</f>
        <v>0</v>
      </c>
      <c r="R21" s="39"/>
      <c r="T21" s="41">
        <f t="shared" si="1"/>
        <v>1680000</v>
      </c>
    </row>
    <row r="22" spans="2:20" x14ac:dyDescent="0.2">
      <c r="B22" s="39" t="s">
        <v>431</v>
      </c>
      <c r="C22" s="40">
        <f>VLOOKUP($B12,日本単価!$A$4:$B$12,2,FALSE)*C12</f>
        <v>1200000</v>
      </c>
      <c r="D22" s="40">
        <f>VLOOKUP($B12,日本単価!$A$4:$B$12,2,FALSE)*D12</f>
        <v>1200000</v>
      </c>
      <c r="E22" s="40">
        <f>VLOOKUP($B12,日本単価!$A$4:$B$12,2,FALSE)*E12</f>
        <v>1200000</v>
      </c>
      <c r="F22" s="40">
        <f>VLOOKUP($B12,日本単価!$A$4:$B$12,2,FALSE)*F12</f>
        <v>1200000</v>
      </c>
      <c r="G22" s="40">
        <f>VLOOKUP($B12,日本単価!$A$4:$B$12,2,FALSE)*G12</f>
        <v>1200000</v>
      </c>
      <c r="H22" s="40">
        <f>VLOOKUP($B12,日本単価!$A$4:$B$12,2,FALSE)*H12</f>
        <v>1200000</v>
      </c>
      <c r="I22" s="40">
        <f>VLOOKUP($B12,日本単価!$A$4:$B$12,2,FALSE)*I12</f>
        <v>1200000</v>
      </c>
      <c r="J22" s="40">
        <f>VLOOKUP($B12,日本単価!$A$4:$B$12,2,FALSE)*J12</f>
        <v>1200000</v>
      </c>
      <c r="K22" s="40">
        <f>VLOOKUP($B12,日本単価!$A$4:$B$12,2,FALSE)*K12</f>
        <v>1200000</v>
      </c>
      <c r="L22" s="40">
        <f>VLOOKUP($B12,日本単価!$A$4:$B$12,2,FALSE)*L12</f>
        <v>1200000</v>
      </c>
      <c r="M22" s="40">
        <f>VLOOKUP($B12,日本単価!$A$4:$B$12,2,FALSE)*M12</f>
        <v>1200000</v>
      </c>
      <c r="N22" s="40">
        <f>VLOOKUP($B12,日本単価!$A$4:$B$12,2,FALSE)*N12</f>
        <v>1200000</v>
      </c>
      <c r="O22" s="40">
        <f>VLOOKUP($B12,日本単価!$A$4:$B$12,2,FALSE)*O12</f>
        <v>1200000</v>
      </c>
      <c r="P22" s="40">
        <f>VLOOKUP($B12,日本単価!$A$4:$B$12,2,FALSE)*P12</f>
        <v>1200000</v>
      </c>
      <c r="Q22" s="40">
        <f>VLOOKUP($B12,日本単価!$A$4:$B$12,2,FALSE)*Q12</f>
        <v>0</v>
      </c>
      <c r="R22" s="39"/>
      <c r="T22" s="41">
        <f t="shared" si="1"/>
        <v>16800000</v>
      </c>
    </row>
    <row r="23" spans="2:20" x14ac:dyDescent="0.2">
      <c r="B23" s="39" t="s">
        <v>432</v>
      </c>
      <c r="C23" s="40">
        <f>VLOOKUP($B13,日本単価!$A$4:$B$12,2,FALSE)*C13</f>
        <v>500000</v>
      </c>
      <c r="D23" s="40">
        <f>VLOOKUP($B13,日本単価!$A$4:$B$12,2,FALSE)*D13</f>
        <v>500000</v>
      </c>
      <c r="E23" s="40">
        <f>VLOOKUP($B13,日本単価!$A$4:$B$12,2,FALSE)*E13</f>
        <v>500000</v>
      </c>
      <c r="F23" s="40">
        <f>VLOOKUP($B13,日本単価!$A$4:$B$12,2,FALSE)*F13</f>
        <v>500000</v>
      </c>
      <c r="G23" s="40">
        <f>VLOOKUP($B13,日本単価!$A$4:$B$12,2,FALSE)*G13</f>
        <v>500000</v>
      </c>
      <c r="H23" s="40">
        <f>VLOOKUP($B13,日本単価!$A$4:$B$12,2,FALSE)*H13</f>
        <v>500000</v>
      </c>
      <c r="I23" s="40">
        <f>VLOOKUP($B13,日本単価!$A$4:$B$12,2,FALSE)*I13</f>
        <v>500000</v>
      </c>
      <c r="J23" s="40">
        <f>VLOOKUP($B13,日本単価!$A$4:$B$12,2,FALSE)*J13</f>
        <v>500000</v>
      </c>
      <c r="K23" s="40">
        <f>VLOOKUP($B13,日本単価!$A$4:$B$12,2,FALSE)*K13</f>
        <v>500000</v>
      </c>
      <c r="L23" s="40">
        <f>VLOOKUP($B13,日本単価!$A$4:$B$12,2,FALSE)*L13</f>
        <v>500000</v>
      </c>
      <c r="M23" s="40">
        <f>VLOOKUP($B13,日本単価!$A$4:$B$12,2,FALSE)*M13</f>
        <v>500000</v>
      </c>
      <c r="N23" s="40">
        <f>VLOOKUP($B13,日本単価!$A$4:$B$12,2,FALSE)*N13</f>
        <v>500000</v>
      </c>
      <c r="O23" s="40">
        <f>VLOOKUP($B13,日本単価!$A$4:$B$12,2,FALSE)*O13</f>
        <v>500000</v>
      </c>
      <c r="P23" s="40">
        <f>VLOOKUP($B13,日本単価!$A$4:$B$12,2,FALSE)*P13</f>
        <v>500000</v>
      </c>
      <c r="Q23" s="40">
        <f>VLOOKUP($B13,日本単価!$A$4:$B$12,2,FALSE)*Q13</f>
        <v>0</v>
      </c>
      <c r="R23" s="39"/>
      <c r="T23" s="41">
        <f t="shared" si="1"/>
        <v>7000000</v>
      </c>
    </row>
    <row r="24" spans="2:20" x14ac:dyDescent="0.2">
      <c r="B24" s="39" t="s">
        <v>433</v>
      </c>
      <c r="C24" s="40">
        <f>VLOOKUP($B14,日本単価!$A$4:$B$12,2,FALSE)*C14</f>
        <v>1200000</v>
      </c>
      <c r="D24" s="40">
        <f>VLOOKUP($B14,日本単価!$A$4:$B$12,2,FALSE)*D14</f>
        <v>1200000</v>
      </c>
      <c r="E24" s="40">
        <f>VLOOKUP($B14,日本単価!$A$4:$B$12,2,FALSE)*E14</f>
        <v>1200000</v>
      </c>
      <c r="F24" s="40">
        <f>VLOOKUP($B14,日本単価!$A$4:$B$12,2,FALSE)*F14</f>
        <v>1200000</v>
      </c>
      <c r="G24" s="40">
        <f>VLOOKUP($B14,日本単価!$A$4:$B$12,2,FALSE)*G14</f>
        <v>1200000</v>
      </c>
      <c r="H24" s="40">
        <f>VLOOKUP($B14,日本単価!$A$4:$B$12,2,FALSE)*H14</f>
        <v>1200000</v>
      </c>
      <c r="I24" s="40">
        <f>VLOOKUP($B14,日本単価!$A$4:$B$12,2,FALSE)*I14</f>
        <v>1200000</v>
      </c>
      <c r="J24" s="40">
        <f>VLOOKUP($B14,日本単価!$A$4:$B$12,2,FALSE)*J14</f>
        <v>1200000</v>
      </c>
      <c r="K24" s="40">
        <f>VLOOKUP($B14,日本単価!$A$4:$B$12,2,FALSE)*K14</f>
        <v>1200000</v>
      </c>
      <c r="L24" s="40">
        <f>VLOOKUP($B14,日本単価!$A$4:$B$12,2,FALSE)*L14</f>
        <v>1200000</v>
      </c>
      <c r="M24" s="40">
        <f>VLOOKUP($B14,日本単価!$A$4:$B$12,2,FALSE)*M14</f>
        <v>0</v>
      </c>
      <c r="N24" s="40">
        <f>VLOOKUP($B14,日本単価!$A$4:$B$12,2,FALSE)*N14</f>
        <v>0</v>
      </c>
      <c r="O24" s="40">
        <f>VLOOKUP($B14,日本単価!$A$4:$B$12,2,FALSE)*O14</f>
        <v>0</v>
      </c>
      <c r="P24" s="40">
        <f>VLOOKUP($B14,日本単価!$A$4:$B$12,2,FALSE)*P14</f>
        <v>0</v>
      </c>
      <c r="Q24" s="40">
        <f>VLOOKUP($B14,日本単価!$A$4:$B$12,2,FALSE)*Q14</f>
        <v>0</v>
      </c>
      <c r="R24" s="39"/>
      <c r="T24" s="41">
        <f t="shared" si="1"/>
        <v>12000000</v>
      </c>
    </row>
    <row r="25" spans="2:20" x14ac:dyDescent="0.2">
      <c r="B25" s="39" t="s">
        <v>434</v>
      </c>
      <c r="C25" s="40">
        <f>VLOOKUP($B15,日本単価!$A$4:$B$12,2,FALSE)*C15</f>
        <v>700000</v>
      </c>
      <c r="D25" s="40">
        <f>VLOOKUP($B15,日本単価!$A$4:$B$12,2,FALSE)*D15</f>
        <v>700000</v>
      </c>
      <c r="E25" s="40">
        <f>VLOOKUP($B15,日本単価!$A$4:$B$12,2,FALSE)*E15</f>
        <v>700000</v>
      </c>
      <c r="F25" s="40">
        <f>VLOOKUP($B15,日本単価!$A$4:$B$12,2,FALSE)*F15</f>
        <v>700000</v>
      </c>
      <c r="G25" s="40">
        <f>VLOOKUP($B15,日本単価!$A$4:$B$12,2,FALSE)*G15</f>
        <v>700000</v>
      </c>
      <c r="H25" s="40">
        <f>VLOOKUP($B15,日本単価!$A$4:$B$12,2,FALSE)*H15</f>
        <v>700000</v>
      </c>
      <c r="I25" s="40">
        <f>VLOOKUP($B15,日本単価!$A$4:$B$12,2,FALSE)*I15</f>
        <v>700000</v>
      </c>
      <c r="J25" s="40">
        <f>VLOOKUP($B15,日本単価!$A$4:$B$12,2,FALSE)*J15</f>
        <v>700000</v>
      </c>
      <c r="K25" s="40">
        <f>VLOOKUP($B15,日本単価!$A$4:$B$12,2,FALSE)*K15</f>
        <v>700000</v>
      </c>
      <c r="L25" s="40">
        <f>VLOOKUP($B15,日本単価!$A$4:$B$12,2,FALSE)*L15</f>
        <v>700000</v>
      </c>
      <c r="M25" s="40">
        <f>VLOOKUP($B15,日本単価!$A$4:$B$12,2,FALSE)*M15</f>
        <v>700000</v>
      </c>
      <c r="N25" s="40">
        <f>VLOOKUP($B15,日本単価!$A$4:$B$12,2,FALSE)*N15</f>
        <v>700000</v>
      </c>
      <c r="O25" s="40">
        <f>VLOOKUP($B15,日本単価!$A$4:$B$12,2,FALSE)*O15</f>
        <v>1000000</v>
      </c>
      <c r="P25" s="40">
        <f>VLOOKUP($B15,日本単価!$A$4:$B$12,2,FALSE)*P15</f>
        <v>1000000</v>
      </c>
      <c r="Q25" s="40">
        <f>VLOOKUP($B15,日本単価!$A$4:$B$12,2,FALSE)*Q15</f>
        <v>0</v>
      </c>
      <c r="R25" s="39"/>
      <c r="T25" s="41">
        <f t="shared" si="1"/>
        <v>10400000</v>
      </c>
    </row>
    <row r="26" spans="2:20" x14ac:dyDescent="0.2">
      <c r="B26" s="39" t="s">
        <v>435</v>
      </c>
      <c r="C26" s="40">
        <f>VLOOKUP($B16,日本単価!$A$4:$B$12,2,FALSE)*C16</f>
        <v>1000000</v>
      </c>
      <c r="D26" s="40">
        <f>VLOOKUP($B16,日本単価!$A$4:$B$12,2,FALSE)*D16</f>
        <v>1000000</v>
      </c>
      <c r="E26" s="40">
        <f>VLOOKUP($B16,日本単価!$A$4:$B$12,2,FALSE)*E16</f>
        <v>1000000</v>
      </c>
      <c r="F26" s="40">
        <f>VLOOKUP($B16,日本単価!$A$4:$B$12,2,FALSE)*F16</f>
        <v>1000000</v>
      </c>
      <c r="G26" s="40">
        <f>VLOOKUP($B16,日本単価!$A$4:$B$12,2,FALSE)*G16</f>
        <v>1000000</v>
      </c>
      <c r="H26" s="40">
        <f>VLOOKUP($B16,日本単価!$A$4:$B$12,2,FALSE)*H16</f>
        <v>1000000</v>
      </c>
      <c r="I26" s="40">
        <f>VLOOKUP($B16,日本単価!$A$4:$B$12,2,FALSE)*I16</f>
        <v>1000000</v>
      </c>
      <c r="J26" s="40">
        <f>VLOOKUP($B16,日本単価!$A$4:$B$12,2,FALSE)*J16</f>
        <v>1000000</v>
      </c>
      <c r="K26" s="40">
        <f>VLOOKUP($B16,日本単価!$A$4:$B$12,2,FALSE)*K16</f>
        <v>1000000</v>
      </c>
      <c r="L26" s="40">
        <f>VLOOKUP($B16,日本単価!$A$4:$B$12,2,FALSE)*L16</f>
        <v>1000000</v>
      </c>
      <c r="M26" s="40">
        <f>VLOOKUP($B16,日本単価!$A$4:$B$12,2,FALSE)*M16</f>
        <v>1000000</v>
      </c>
      <c r="N26" s="40">
        <f>VLOOKUP($B16,日本単価!$A$4:$B$12,2,FALSE)*N16</f>
        <v>1000000</v>
      </c>
      <c r="O26" s="40">
        <f>VLOOKUP($B16,日本単価!$A$4:$B$12,2,FALSE)*O16</f>
        <v>0</v>
      </c>
      <c r="P26" s="40">
        <f>VLOOKUP($B16,日本単価!$A$4:$B$12,2,FALSE)*P16</f>
        <v>0</v>
      </c>
      <c r="Q26" s="40">
        <f>VLOOKUP($B16,日本単価!$A$4:$B$12,2,FALSE)*Q16</f>
        <v>0</v>
      </c>
      <c r="R26" s="39"/>
      <c r="T26" s="41">
        <f t="shared" si="1"/>
        <v>12000000</v>
      </c>
    </row>
    <row r="27" spans="2:20" x14ac:dyDescent="0.2">
      <c r="B27" s="39" t="s">
        <v>438</v>
      </c>
      <c r="C27" s="40">
        <f>VLOOKUP($B17,日本単価!$A$4:$B$12,2,FALSE)*C17</f>
        <v>0</v>
      </c>
      <c r="D27" s="40">
        <f>VLOOKUP($B17,日本単価!$A$4:$B$12,2,FALSE)*D17</f>
        <v>0</v>
      </c>
      <c r="E27" s="40">
        <f>VLOOKUP($B17,日本単価!$A$4:$B$12,2,FALSE)*E17</f>
        <v>0</v>
      </c>
      <c r="F27" s="40">
        <f>VLOOKUP($B17,日本単価!$A$4:$B$12,2,FALSE)*F17</f>
        <v>0</v>
      </c>
      <c r="G27" s="40">
        <f>VLOOKUP($B17,日本単価!$A$4:$B$12,2,FALSE)*G17</f>
        <v>1000000</v>
      </c>
      <c r="H27" s="40">
        <f>VLOOKUP($B17,日本単価!$A$4:$B$12,2,FALSE)*H17</f>
        <v>1000000</v>
      </c>
      <c r="I27" s="40">
        <f>VLOOKUP($B17,日本単価!$A$4:$B$12,2,FALSE)*I17</f>
        <v>1000000</v>
      </c>
      <c r="J27" s="40">
        <f>VLOOKUP($B17,日本単価!$A$4:$B$12,2,FALSE)*J17</f>
        <v>1000000</v>
      </c>
      <c r="K27" s="40">
        <f>VLOOKUP($B17,日本単価!$A$4:$B$12,2,FALSE)*K17</f>
        <v>1000000</v>
      </c>
      <c r="L27" s="40">
        <f>VLOOKUP($B17,日本単価!$A$4:$B$12,2,FALSE)*L17</f>
        <v>1000000</v>
      </c>
      <c r="M27" s="40">
        <f>VLOOKUP($B17,日本単価!$A$4:$B$12,2,FALSE)*M17</f>
        <v>1000000</v>
      </c>
      <c r="N27" s="40">
        <f>VLOOKUP($B17,日本単価!$A$4:$B$12,2,FALSE)*N17</f>
        <v>0</v>
      </c>
      <c r="O27" s="40">
        <f>VLOOKUP($B17,日本単価!$A$4:$B$12,2,FALSE)*O17</f>
        <v>0</v>
      </c>
      <c r="P27" s="40">
        <f>VLOOKUP($B17,日本単価!$A$4:$B$12,2,FALSE)*P17</f>
        <v>0</v>
      </c>
      <c r="Q27" s="40">
        <f>VLOOKUP($B17,日本単価!$A$4:$B$12,2,FALSE)*Q17</f>
        <v>0</v>
      </c>
      <c r="R27" s="39"/>
      <c r="T27" s="41">
        <f t="shared" si="1"/>
        <v>7000000</v>
      </c>
    </row>
    <row r="28" spans="2:20" x14ac:dyDescent="0.2">
      <c r="B28" s="39" t="s">
        <v>439</v>
      </c>
      <c r="C28" s="40">
        <f>VLOOKUP($B18,日本単価!$A$4:$B$12,2,FALSE)*C18</f>
        <v>0</v>
      </c>
      <c r="D28" s="40">
        <f>VLOOKUP($B18,日本単価!$A$4:$B$12,2,FALSE)*D18</f>
        <v>0</v>
      </c>
      <c r="E28" s="40">
        <f>VLOOKUP($B18,日本単価!$A$4:$B$12,2,FALSE)*E18</f>
        <v>0</v>
      </c>
      <c r="F28" s="40">
        <f>VLOOKUP($B18,日本単価!$A$4:$B$12,2,FALSE)*F18</f>
        <v>0</v>
      </c>
      <c r="G28" s="40">
        <f>VLOOKUP($B18,日本単価!$A$4:$B$12,2,FALSE)*G18</f>
        <v>0</v>
      </c>
      <c r="H28" s="40">
        <f>VLOOKUP($B18,日本単価!$A$4:$B$12,2,FALSE)*H18</f>
        <v>0</v>
      </c>
      <c r="I28" s="40">
        <f>VLOOKUP($B18,日本単価!$A$4:$B$12,2,FALSE)*I18</f>
        <v>0</v>
      </c>
      <c r="J28" s="40">
        <f>VLOOKUP($B18,日本単価!$A$4:$B$12,2,FALSE)*J18</f>
        <v>0</v>
      </c>
      <c r="K28" s="40">
        <f>VLOOKUP($B18,日本単価!$A$4:$B$12,2,FALSE)*K18</f>
        <v>0</v>
      </c>
      <c r="L28" s="40">
        <f>VLOOKUP($B18,日本単価!$A$4:$B$12,2,FALSE)*L18</f>
        <v>0</v>
      </c>
      <c r="M28" s="40">
        <f>VLOOKUP($B18,日本単価!$A$4:$B$12,2,FALSE)*M18</f>
        <v>0</v>
      </c>
      <c r="N28" s="40">
        <f>VLOOKUP($B18,日本単価!$A$4:$B$12,2,FALSE)*N18</f>
        <v>0</v>
      </c>
      <c r="O28" s="40">
        <f>VLOOKUP($B18,日本単価!$A$4:$B$12,2,FALSE)*O18</f>
        <v>0</v>
      </c>
      <c r="P28" s="40">
        <f>VLOOKUP($B18,日本単価!$A$4:$B$12,2,FALSE)*P18</f>
        <v>0</v>
      </c>
      <c r="Q28" s="40">
        <f>VLOOKUP($B18,日本単価!$A$4:$B$12,2,FALSE)*Q18</f>
        <v>0</v>
      </c>
      <c r="R28" s="39"/>
      <c r="T28" s="41">
        <f t="shared" si="1"/>
        <v>0</v>
      </c>
    </row>
    <row r="29" spans="2:20" x14ac:dyDescent="0.2">
      <c r="T29" s="41">
        <f>SUM(T20:T28)</f>
        <v>75280000</v>
      </c>
    </row>
  </sheetData>
  <mergeCells count="16">
    <mergeCell ref="C8:F8"/>
    <mergeCell ref="G8:I8"/>
    <mergeCell ref="J8:K8"/>
    <mergeCell ref="M8:N8"/>
    <mergeCell ref="C9:F9"/>
    <mergeCell ref="G9:I9"/>
    <mergeCell ref="J9:K9"/>
    <mergeCell ref="M9:N9"/>
    <mergeCell ref="B5:B7"/>
    <mergeCell ref="C5:F5"/>
    <mergeCell ref="G5:R5"/>
    <mergeCell ref="C7:F7"/>
    <mergeCell ref="G7:I7"/>
    <mergeCell ref="J7:K7"/>
    <mergeCell ref="M7:N7"/>
    <mergeCell ref="O7:P7"/>
  </mergeCells>
  <phoneticPr fontId="2"/>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D06304-CFA1-405E-ACAD-D38EE2D7E96A}">
  <dimension ref="A1:T33"/>
  <sheetViews>
    <sheetView zoomScale="85" zoomScaleNormal="85" workbookViewId="0">
      <selection activeCell="E22" sqref="E22"/>
    </sheetView>
  </sheetViews>
  <sheetFormatPr defaultColWidth="9" defaultRowHeight="15" x14ac:dyDescent="0.2"/>
  <cols>
    <col min="1" max="1" width="9" style="35"/>
    <col min="2" max="2" width="16.6640625" style="35" bestFit="1" customWidth="1"/>
    <col min="3" max="17" width="13.109375" style="35" bestFit="1" customWidth="1"/>
    <col min="18" max="18" width="13.88671875" style="35" bestFit="1" customWidth="1"/>
    <col min="19" max="19" width="13.88671875" style="35" customWidth="1"/>
    <col min="20" max="20" width="14.33203125" style="35" bestFit="1" customWidth="1"/>
    <col min="21" max="16384" width="9" style="35"/>
  </cols>
  <sheetData>
    <row r="1" spans="1:20" ht="24.6" x14ac:dyDescent="0.2">
      <c r="A1" s="34" t="s">
        <v>417</v>
      </c>
    </row>
    <row r="5" spans="1:20" x14ac:dyDescent="0.2">
      <c r="B5" s="311" t="s">
        <v>418</v>
      </c>
      <c r="C5" s="314">
        <v>2024</v>
      </c>
      <c r="D5" s="314"/>
      <c r="E5" s="314"/>
      <c r="F5" s="314"/>
      <c r="G5" s="314" t="s">
        <v>419</v>
      </c>
      <c r="H5" s="314"/>
      <c r="I5" s="314"/>
      <c r="J5" s="314"/>
      <c r="K5" s="314"/>
      <c r="L5" s="314"/>
      <c r="M5" s="314"/>
      <c r="N5" s="314"/>
      <c r="O5" s="314"/>
      <c r="P5" s="314"/>
      <c r="Q5" s="314"/>
      <c r="R5" s="314"/>
      <c r="S5" s="37"/>
    </row>
    <row r="6" spans="1:20" x14ac:dyDescent="0.2">
      <c r="B6" s="312"/>
      <c r="C6" s="36" t="s">
        <v>420</v>
      </c>
      <c r="D6" s="36" t="s">
        <v>171</v>
      </c>
      <c r="E6" s="36" t="s">
        <v>421</v>
      </c>
      <c r="F6" s="36" t="s">
        <v>422</v>
      </c>
      <c r="G6" s="36" t="s">
        <v>423</v>
      </c>
      <c r="H6" s="36" t="s">
        <v>163</v>
      </c>
      <c r="I6" s="36" t="s">
        <v>164</v>
      </c>
      <c r="J6" s="36" t="s">
        <v>165</v>
      </c>
      <c r="K6" s="36" t="s">
        <v>166</v>
      </c>
      <c r="L6" s="36" t="s">
        <v>167</v>
      </c>
      <c r="M6" s="36" t="s">
        <v>168</v>
      </c>
      <c r="N6" s="36" t="s">
        <v>169</v>
      </c>
      <c r="O6" s="36" t="s">
        <v>170</v>
      </c>
      <c r="P6" s="36" t="s">
        <v>171</v>
      </c>
      <c r="Q6" s="36" t="s">
        <v>421</v>
      </c>
      <c r="R6" s="36" t="s">
        <v>422</v>
      </c>
      <c r="S6" s="37"/>
      <c r="T6" s="35" t="s">
        <v>203</v>
      </c>
    </row>
    <row r="7" spans="1:20" x14ac:dyDescent="0.2">
      <c r="B7" s="313"/>
      <c r="C7" s="315" t="s">
        <v>251</v>
      </c>
      <c r="D7" s="316"/>
      <c r="E7" s="316"/>
      <c r="F7" s="317"/>
      <c r="G7" s="314" t="s">
        <v>252</v>
      </c>
      <c r="H7" s="314"/>
      <c r="I7" s="314"/>
      <c r="J7" s="314" t="s">
        <v>59</v>
      </c>
      <c r="K7" s="314"/>
      <c r="L7" s="36" t="s">
        <v>254</v>
      </c>
      <c r="M7" s="314" t="s">
        <v>61</v>
      </c>
      <c r="N7" s="314"/>
      <c r="O7" s="315" t="s">
        <v>424</v>
      </c>
      <c r="P7" s="317"/>
      <c r="Q7" s="36" t="s">
        <v>212</v>
      </c>
      <c r="R7" s="36" t="s">
        <v>425</v>
      </c>
      <c r="S7" s="37" t="s">
        <v>426</v>
      </c>
    </row>
    <row r="8" spans="1:20" x14ac:dyDescent="0.2">
      <c r="B8" s="38" t="s">
        <v>427</v>
      </c>
      <c r="C8" s="315">
        <f>工数見積り_20241115!Q68</f>
        <v>12.5</v>
      </c>
      <c r="D8" s="316"/>
      <c r="E8" s="316"/>
      <c r="F8" s="317"/>
      <c r="G8" s="314">
        <f>工数見積り_20241115!R68+工数見積り_20241115!S68</f>
        <v>17.5</v>
      </c>
      <c r="H8" s="314"/>
      <c r="I8" s="314"/>
      <c r="J8" s="314">
        <f>工数見積り_20241115!T68</f>
        <v>14.999999999999996</v>
      </c>
      <c r="K8" s="314"/>
      <c r="L8" s="36">
        <f>工数見積り_20241115!U68</f>
        <v>10.000000000000004</v>
      </c>
      <c r="M8" s="314">
        <f>工数見積り_20241115!V68</f>
        <v>3.7499999999999991</v>
      </c>
      <c r="N8" s="314"/>
      <c r="O8" s="36"/>
      <c r="P8" s="36"/>
      <c r="Q8" s="36"/>
      <c r="R8" s="36"/>
      <c r="S8" s="37">
        <v>11.27</v>
      </c>
      <c r="T8" s="35">
        <f>SUM(C8:S8)</f>
        <v>70.02</v>
      </c>
    </row>
    <row r="9" spans="1:20" x14ac:dyDescent="0.2">
      <c r="B9" s="38" t="s">
        <v>428</v>
      </c>
      <c r="C9" s="315">
        <f>SUM(C12:F20)</f>
        <v>16.799999999999997</v>
      </c>
      <c r="D9" s="316"/>
      <c r="E9" s="316"/>
      <c r="F9" s="317"/>
      <c r="G9" s="314">
        <f>SUM(G12:I20)</f>
        <v>20.099999999999998</v>
      </c>
      <c r="H9" s="314"/>
      <c r="I9" s="314"/>
      <c r="J9" s="314">
        <f>SUM(J12:K20)</f>
        <v>11.4</v>
      </c>
      <c r="K9" s="314"/>
      <c r="L9" s="36">
        <f>SUM(L12:L20)</f>
        <v>5.7</v>
      </c>
      <c r="M9" s="314">
        <f>SUM(M12:N20)</f>
        <v>9.4</v>
      </c>
      <c r="N9" s="314"/>
      <c r="O9" s="36"/>
      <c r="P9" s="36"/>
      <c r="Q9" s="36"/>
      <c r="R9" s="36"/>
      <c r="S9" s="37"/>
      <c r="T9" s="35">
        <f>SUM(C9:R9)</f>
        <v>63.399999999999991</v>
      </c>
    </row>
    <row r="10" spans="1:20" x14ac:dyDescent="0.2">
      <c r="B10" s="39" t="s">
        <v>429</v>
      </c>
      <c r="C10" s="39">
        <v>0.5</v>
      </c>
      <c r="D10" s="39">
        <v>0.5</v>
      </c>
      <c r="E10" s="39">
        <v>0.5</v>
      </c>
      <c r="F10" s="39">
        <v>0.5</v>
      </c>
      <c r="G10" s="39">
        <v>0.5</v>
      </c>
      <c r="H10" s="39">
        <v>0.5</v>
      </c>
      <c r="I10" s="39">
        <v>0.5</v>
      </c>
      <c r="J10" s="39">
        <v>0.5</v>
      </c>
      <c r="K10" s="39">
        <v>0.5</v>
      </c>
      <c r="L10" s="39">
        <v>0.5</v>
      </c>
      <c r="M10" s="39">
        <v>0.5</v>
      </c>
      <c r="N10" s="39">
        <v>0.5</v>
      </c>
      <c r="O10" s="39"/>
      <c r="P10" s="39"/>
      <c r="Q10" s="39"/>
      <c r="R10" s="39"/>
      <c r="T10" s="35">
        <f>SUM(C10:R10)</f>
        <v>6</v>
      </c>
    </row>
    <row r="11" spans="1:20" x14ac:dyDescent="0.2">
      <c r="B11" s="39" t="s">
        <v>430</v>
      </c>
      <c r="C11" s="39">
        <v>0.3</v>
      </c>
      <c r="D11" s="39">
        <v>0.3</v>
      </c>
      <c r="E11" s="39">
        <v>0.3</v>
      </c>
      <c r="F11" s="39">
        <v>0.3</v>
      </c>
      <c r="G11" s="39"/>
      <c r="H11" s="39"/>
      <c r="I11" s="39"/>
      <c r="J11" s="39"/>
      <c r="K11" s="39"/>
      <c r="L11" s="39"/>
      <c r="M11" s="39"/>
      <c r="N11" s="39"/>
      <c r="O11" s="39"/>
      <c r="P11" s="39"/>
      <c r="Q11" s="39"/>
      <c r="R11" s="39"/>
      <c r="T11" s="35">
        <f t="shared" ref="T11:T15" si="0">SUM(C11:R11)</f>
        <v>1.2</v>
      </c>
    </row>
    <row r="12" spans="1:20" x14ac:dyDescent="0.2">
      <c r="B12" s="39" t="s">
        <v>431</v>
      </c>
      <c r="C12" s="39">
        <v>1</v>
      </c>
      <c r="D12" s="39">
        <v>1</v>
      </c>
      <c r="E12" s="39">
        <v>1</v>
      </c>
      <c r="F12" s="39">
        <v>1</v>
      </c>
      <c r="G12" s="39">
        <v>1</v>
      </c>
      <c r="H12" s="39">
        <v>1</v>
      </c>
      <c r="I12" s="39">
        <v>1</v>
      </c>
      <c r="J12" s="39">
        <v>1</v>
      </c>
      <c r="K12" s="39">
        <v>1</v>
      </c>
      <c r="L12" s="39">
        <v>1</v>
      </c>
      <c r="M12" s="39">
        <v>1</v>
      </c>
      <c r="N12" s="39">
        <v>1</v>
      </c>
      <c r="O12" s="39">
        <v>1</v>
      </c>
      <c r="P12" s="39">
        <v>1</v>
      </c>
      <c r="Q12" s="39"/>
      <c r="R12" s="39"/>
      <c r="T12" s="35">
        <f t="shared" si="0"/>
        <v>14</v>
      </c>
    </row>
    <row r="13" spans="1:20" x14ac:dyDescent="0.2">
      <c r="B13" s="39" t="s">
        <v>432</v>
      </c>
      <c r="C13" s="39">
        <v>0.5</v>
      </c>
      <c r="D13" s="39">
        <v>0.5</v>
      </c>
      <c r="E13" s="39">
        <v>0.5</v>
      </c>
      <c r="F13" s="39">
        <v>0.5</v>
      </c>
      <c r="G13" s="39">
        <v>0.5</v>
      </c>
      <c r="H13" s="39">
        <v>0.5</v>
      </c>
      <c r="I13" s="39">
        <v>0.5</v>
      </c>
      <c r="J13" s="39">
        <v>0.5</v>
      </c>
      <c r="K13" s="39">
        <v>0.5</v>
      </c>
      <c r="L13" s="39">
        <v>0.5</v>
      </c>
      <c r="M13" s="39">
        <v>0.5</v>
      </c>
      <c r="N13" s="39">
        <v>0.5</v>
      </c>
      <c r="O13" s="39">
        <v>0.5</v>
      </c>
      <c r="P13" s="39">
        <v>0.5</v>
      </c>
      <c r="Q13" s="39"/>
      <c r="R13" s="39"/>
      <c r="T13" s="35">
        <f t="shared" si="0"/>
        <v>7</v>
      </c>
    </row>
    <row r="14" spans="1:20" x14ac:dyDescent="0.2">
      <c r="B14" s="39" t="s">
        <v>433</v>
      </c>
      <c r="C14" s="39">
        <v>1</v>
      </c>
      <c r="D14" s="39">
        <v>1</v>
      </c>
      <c r="E14" s="39">
        <v>1</v>
      </c>
      <c r="F14" s="39">
        <v>1</v>
      </c>
      <c r="G14" s="39">
        <v>1</v>
      </c>
      <c r="H14" s="39">
        <v>1</v>
      </c>
      <c r="I14" s="39">
        <v>1</v>
      </c>
      <c r="J14" s="39"/>
      <c r="K14" s="39"/>
      <c r="L14" s="39"/>
      <c r="M14" s="39"/>
      <c r="N14" s="39"/>
      <c r="O14" s="39"/>
      <c r="P14" s="39"/>
      <c r="Q14" s="39"/>
      <c r="R14" s="39"/>
      <c r="T14" s="35">
        <f t="shared" si="0"/>
        <v>7</v>
      </c>
    </row>
    <row r="15" spans="1:20" x14ac:dyDescent="0.2">
      <c r="B15" s="39" t="s">
        <v>434</v>
      </c>
      <c r="C15" s="39">
        <v>0.7</v>
      </c>
      <c r="D15" s="39">
        <v>0.7</v>
      </c>
      <c r="E15" s="39">
        <v>0.7</v>
      </c>
      <c r="F15" s="39">
        <v>0.7</v>
      </c>
      <c r="G15" s="39">
        <v>0.7</v>
      </c>
      <c r="H15" s="39">
        <v>0.7</v>
      </c>
      <c r="I15" s="39">
        <v>0.7</v>
      </c>
      <c r="J15" s="39">
        <v>0.7</v>
      </c>
      <c r="K15" s="39">
        <v>0.7</v>
      </c>
      <c r="L15" s="39">
        <v>0.7</v>
      </c>
      <c r="M15" s="39">
        <v>0.7</v>
      </c>
      <c r="N15" s="39">
        <v>0.7</v>
      </c>
      <c r="O15" s="39">
        <v>1</v>
      </c>
      <c r="P15" s="39">
        <v>1</v>
      </c>
      <c r="Q15" s="39"/>
      <c r="R15" s="39"/>
      <c r="T15" s="35">
        <f t="shared" si="0"/>
        <v>10.4</v>
      </c>
    </row>
    <row r="16" spans="1:20" x14ac:dyDescent="0.2">
      <c r="B16" s="39" t="s">
        <v>435</v>
      </c>
      <c r="C16" s="39">
        <v>1</v>
      </c>
      <c r="D16" s="39">
        <v>1</v>
      </c>
      <c r="E16" s="39">
        <v>1</v>
      </c>
      <c r="F16" s="39">
        <v>1</v>
      </c>
      <c r="G16" s="39">
        <v>1</v>
      </c>
      <c r="H16" s="39">
        <v>1</v>
      </c>
      <c r="I16" s="39">
        <v>1</v>
      </c>
      <c r="J16" s="39">
        <v>1</v>
      </c>
      <c r="K16" s="39">
        <v>1</v>
      </c>
      <c r="L16" s="39">
        <v>1</v>
      </c>
      <c r="M16" s="39"/>
      <c r="N16" s="39"/>
      <c r="O16" s="39"/>
      <c r="P16" s="39"/>
      <c r="Q16" s="39"/>
      <c r="R16" s="39"/>
    </row>
    <row r="17" spans="2:20" x14ac:dyDescent="0.2">
      <c r="B17" s="39" t="s">
        <v>179</v>
      </c>
      <c r="C17" s="39"/>
      <c r="D17" s="39"/>
      <c r="E17" s="39"/>
      <c r="F17" s="39"/>
      <c r="G17" s="39">
        <v>0.5</v>
      </c>
      <c r="H17" s="39">
        <v>0.5</v>
      </c>
      <c r="I17" s="39">
        <v>0.5</v>
      </c>
      <c r="J17" s="39">
        <v>0.5</v>
      </c>
      <c r="K17" s="39">
        <v>0.5</v>
      </c>
      <c r="L17" s="39">
        <v>0.5</v>
      </c>
      <c r="M17" s="39">
        <v>0.5</v>
      </c>
      <c r="N17" s="39">
        <v>0.5</v>
      </c>
      <c r="O17" s="39"/>
      <c r="P17" s="39"/>
      <c r="Q17" s="39"/>
      <c r="R17" s="39"/>
    </row>
    <row r="18" spans="2:20" x14ac:dyDescent="0.2">
      <c r="B18" s="39" t="s">
        <v>440</v>
      </c>
      <c r="C18" s="39"/>
      <c r="D18" s="39"/>
      <c r="E18" s="39"/>
      <c r="F18" s="39"/>
      <c r="G18" s="39">
        <v>1</v>
      </c>
      <c r="H18" s="39">
        <v>1</v>
      </c>
      <c r="I18" s="39">
        <v>1</v>
      </c>
      <c r="J18" s="39">
        <v>1</v>
      </c>
      <c r="K18" s="39">
        <v>1</v>
      </c>
      <c r="L18" s="39">
        <v>1</v>
      </c>
      <c r="M18" s="39">
        <v>1</v>
      </c>
      <c r="N18" s="39">
        <v>1</v>
      </c>
      <c r="O18" s="39"/>
      <c r="P18" s="39"/>
      <c r="Q18" s="39"/>
      <c r="R18" s="39"/>
    </row>
    <row r="19" spans="2:20" x14ac:dyDescent="0.2">
      <c r="B19" s="39" t="s">
        <v>441</v>
      </c>
      <c r="C19" s="39"/>
      <c r="D19" s="39"/>
      <c r="E19" s="39"/>
      <c r="F19" s="39"/>
      <c r="G19" s="39">
        <v>1</v>
      </c>
      <c r="H19" s="39">
        <v>1</v>
      </c>
      <c r="I19" s="39">
        <v>1</v>
      </c>
      <c r="J19" s="39">
        <v>1</v>
      </c>
      <c r="K19" s="39">
        <v>1</v>
      </c>
      <c r="L19" s="39">
        <v>1</v>
      </c>
      <c r="M19" s="39">
        <v>1</v>
      </c>
      <c r="N19" s="39">
        <v>1</v>
      </c>
      <c r="O19" s="39"/>
      <c r="P19" s="39"/>
      <c r="Q19" s="39"/>
      <c r="R19" s="39"/>
    </row>
    <row r="20" spans="2:20" x14ac:dyDescent="0.2">
      <c r="B20" s="39" t="s">
        <v>442</v>
      </c>
      <c r="C20" s="39"/>
      <c r="D20" s="39"/>
      <c r="E20" s="39"/>
      <c r="F20" s="39"/>
      <c r="G20" s="39"/>
      <c r="H20" s="39"/>
      <c r="I20" s="39"/>
      <c r="J20" s="39"/>
      <c r="K20" s="39"/>
      <c r="L20" s="39"/>
      <c r="M20" s="39"/>
      <c r="N20" s="39"/>
      <c r="O20" s="39"/>
      <c r="P20" s="39"/>
      <c r="Q20" s="39"/>
      <c r="R20" s="39"/>
    </row>
    <row r="22" spans="2:20" x14ac:dyDescent="0.2">
      <c r="B22" s="39" t="s">
        <v>429</v>
      </c>
      <c r="C22" s="40">
        <f>VLOOKUP($B10,オフショア単価!$A$4:$B$15,2,FALSE)*C10</f>
        <v>700000</v>
      </c>
      <c r="D22" s="40">
        <f>VLOOKUP($B10,オフショア単価!$A$4:$B$15,2,FALSE)*D10</f>
        <v>700000</v>
      </c>
      <c r="E22" s="40">
        <f>VLOOKUP($B10,オフショア単価!$A$4:$B$15,2,FALSE)*E10</f>
        <v>700000</v>
      </c>
      <c r="F22" s="40">
        <f>VLOOKUP($B10,オフショア単価!$A$4:$B$15,2,FALSE)*F10</f>
        <v>700000</v>
      </c>
      <c r="G22" s="40">
        <f>VLOOKUP($B10,オフショア単価!$A$4:$B$15,2,FALSE)*G10</f>
        <v>700000</v>
      </c>
      <c r="H22" s="40">
        <f>VLOOKUP($B10,オフショア単価!$A$4:$B$15,2,FALSE)*H10</f>
        <v>700000</v>
      </c>
      <c r="I22" s="40">
        <f>VLOOKUP($B10,オフショア単価!$A$4:$B$15,2,FALSE)*I10</f>
        <v>700000</v>
      </c>
      <c r="J22" s="40">
        <f>VLOOKUP($B10,オフショア単価!$A$4:$B$15,2,FALSE)*J10</f>
        <v>700000</v>
      </c>
      <c r="K22" s="40">
        <f>VLOOKUP($B10,オフショア単価!$A$4:$B$15,2,FALSE)*K10</f>
        <v>700000</v>
      </c>
      <c r="L22" s="40">
        <f>VLOOKUP($B10,オフショア単価!$A$4:$B$15,2,FALSE)*L10</f>
        <v>700000</v>
      </c>
      <c r="M22" s="40">
        <f>VLOOKUP($B10,オフショア単価!$A$4:$B$15,2,FALSE)*M10</f>
        <v>700000</v>
      </c>
      <c r="N22" s="40">
        <f>VLOOKUP($B10,オフショア単価!$A$4:$B$15,2,FALSE)*N10</f>
        <v>700000</v>
      </c>
      <c r="O22" s="40">
        <f>VLOOKUP($B10,オフショア単価!$A$4:$B$15,2,FALSE)*O10</f>
        <v>0</v>
      </c>
      <c r="P22" s="40">
        <f>VLOOKUP($B10,オフショア単価!$A$4:$B$15,2,FALSE)*P10</f>
        <v>0</v>
      </c>
      <c r="Q22" s="40">
        <f>VLOOKUP($B10,オフショア単価!$A$4:$B$15,2,FALSE)*Q10</f>
        <v>0</v>
      </c>
      <c r="R22" s="39"/>
      <c r="T22" s="41">
        <f t="shared" ref="T22:T32" si="1">SUM(C22:R22)</f>
        <v>8400000</v>
      </c>
    </row>
    <row r="23" spans="2:20" x14ac:dyDescent="0.2">
      <c r="B23" s="39" t="s">
        <v>430</v>
      </c>
      <c r="C23" s="40">
        <f>VLOOKUP($B11,オフショア単価!$A$4:$B$15,2,FALSE)*C11</f>
        <v>420000</v>
      </c>
      <c r="D23" s="40">
        <f>VLOOKUP($B11,オフショア単価!$A$4:$B$15,2,FALSE)*D11</f>
        <v>420000</v>
      </c>
      <c r="E23" s="40">
        <f>VLOOKUP($B11,オフショア単価!$A$4:$B$15,2,FALSE)*E11</f>
        <v>420000</v>
      </c>
      <c r="F23" s="40">
        <f>VLOOKUP($B11,オフショア単価!$A$4:$B$15,2,FALSE)*F11</f>
        <v>420000</v>
      </c>
      <c r="G23" s="40">
        <f>VLOOKUP($B11,オフショア単価!$A$4:$B$15,2,FALSE)*G11</f>
        <v>0</v>
      </c>
      <c r="H23" s="40">
        <f>VLOOKUP($B11,オフショア単価!$A$4:$B$15,2,FALSE)*H11</f>
        <v>0</v>
      </c>
      <c r="I23" s="40">
        <f>VLOOKUP($B11,オフショア単価!$A$4:$B$15,2,FALSE)*I11</f>
        <v>0</v>
      </c>
      <c r="J23" s="40">
        <f>VLOOKUP($B11,オフショア単価!$A$4:$B$15,2,FALSE)*J11</f>
        <v>0</v>
      </c>
      <c r="K23" s="40">
        <f>VLOOKUP($B11,オフショア単価!$A$4:$B$15,2,FALSE)*K11</f>
        <v>0</v>
      </c>
      <c r="L23" s="40">
        <f>VLOOKUP($B11,オフショア単価!$A$4:$B$15,2,FALSE)*L11</f>
        <v>0</v>
      </c>
      <c r="M23" s="40">
        <f>VLOOKUP($B11,オフショア単価!$A$4:$B$15,2,FALSE)*M11</f>
        <v>0</v>
      </c>
      <c r="N23" s="40">
        <f>VLOOKUP($B11,オフショア単価!$A$4:$B$15,2,FALSE)*N11</f>
        <v>0</v>
      </c>
      <c r="O23" s="40">
        <f>VLOOKUP($B11,オフショア単価!$A$4:$B$15,2,FALSE)*O11</f>
        <v>0</v>
      </c>
      <c r="P23" s="40">
        <f>VLOOKUP($B11,オフショア単価!$A$4:$B$15,2,FALSE)*P11</f>
        <v>0</v>
      </c>
      <c r="Q23" s="40">
        <f>VLOOKUP($B11,オフショア単価!$A$4:$B$15,2,FALSE)*Q11</f>
        <v>0</v>
      </c>
      <c r="R23" s="39"/>
      <c r="T23" s="41">
        <f t="shared" si="1"/>
        <v>1680000</v>
      </c>
    </row>
    <row r="24" spans="2:20" x14ac:dyDescent="0.2">
      <c r="B24" s="39" t="s">
        <v>431</v>
      </c>
      <c r="C24" s="40">
        <f>VLOOKUP($B12,オフショア単価!$A$4:$B$15,2,FALSE)*C12</f>
        <v>1200000</v>
      </c>
      <c r="D24" s="40">
        <f>VLOOKUP($B12,オフショア単価!$A$4:$B$15,2,FALSE)*D12</f>
        <v>1200000</v>
      </c>
      <c r="E24" s="40">
        <f>VLOOKUP($B12,オフショア単価!$A$4:$B$15,2,FALSE)*E12</f>
        <v>1200000</v>
      </c>
      <c r="F24" s="40">
        <f>VLOOKUP($B12,オフショア単価!$A$4:$B$15,2,FALSE)*F12</f>
        <v>1200000</v>
      </c>
      <c r="G24" s="40">
        <f>VLOOKUP($B12,オフショア単価!$A$4:$B$15,2,FALSE)*G12</f>
        <v>1200000</v>
      </c>
      <c r="H24" s="40">
        <f>VLOOKUP($B12,オフショア単価!$A$4:$B$15,2,FALSE)*H12</f>
        <v>1200000</v>
      </c>
      <c r="I24" s="40">
        <f>VLOOKUP($B12,オフショア単価!$A$4:$B$15,2,FALSE)*I12</f>
        <v>1200000</v>
      </c>
      <c r="J24" s="40">
        <f>VLOOKUP($B12,オフショア単価!$A$4:$B$15,2,FALSE)*J12</f>
        <v>1200000</v>
      </c>
      <c r="K24" s="40">
        <f>VLOOKUP($B12,オフショア単価!$A$4:$B$15,2,FALSE)*K12</f>
        <v>1200000</v>
      </c>
      <c r="L24" s="40">
        <f>VLOOKUP($B12,オフショア単価!$A$4:$B$15,2,FALSE)*L12</f>
        <v>1200000</v>
      </c>
      <c r="M24" s="40">
        <f>VLOOKUP($B12,オフショア単価!$A$4:$B$15,2,FALSE)*M12</f>
        <v>1200000</v>
      </c>
      <c r="N24" s="40">
        <f>VLOOKUP($B12,オフショア単価!$A$4:$B$15,2,FALSE)*N12</f>
        <v>1200000</v>
      </c>
      <c r="O24" s="40">
        <f>VLOOKUP($B12,オフショア単価!$A$4:$B$15,2,FALSE)*O12</f>
        <v>1200000</v>
      </c>
      <c r="P24" s="40">
        <f>VLOOKUP($B12,オフショア単価!$A$4:$B$15,2,FALSE)*P12</f>
        <v>1200000</v>
      </c>
      <c r="Q24" s="40">
        <f>VLOOKUP($B12,オフショア単価!$A$4:$B$15,2,FALSE)*Q12</f>
        <v>0</v>
      </c>
      <c r="R24" s="39"/>
      <c r="T24" s="41">
        <f t="shared" si="1"/>
        <v>16800000</v>
      </c>
    </row>
    <row r="25" spans="2:20" x14ac:dyDescent="0.2">
      <c r="B25" s="39" t="s">
        <v>432</v>
      </c>
      <c r="C25" s="40">
        <f>VLOOKUP($B13,オフショア単価!$A$4:$B$15,2,FALSE)*C13</f>
        <v>500000</v>
      </c>
      <c r="D25" s="40">
        <f>VLOOKUP($B13,オフショア単価!$A$4:$B$15,2,FALSE)*D13</f>
        <v>500000</v>
      </c>
      <c r="E25" s="40">
        <f>VLOOKUP($B13,オフショア単価!$A$4:$B$15,2,FALSE)*E13</f>
        <v>500000</v>
      </c>
      <c r="F25" s="40">
        <f>VLOOKUP($B13,オフショア単価!$A$4:$B$15,2,FALSE)*F13</f>
        <v>500000</v>
      </c>
      <c r="G25" s="40">
        <f>VLOOKUP($B13,オフショア単価!$A$4:$B$15,2,FALSE)*G13</f>
        <v>500000</v>
      </c>
      <c r="H25" s="40">
        <f>VLOOKUP($B13,オフショア単価!$A$4:$B$15,2,FALSE)*H13</f>
        <v>500000</v>
      </c>
      <c r="I25" s="40">
        <f>VLOOKUP($B13,オフショア単価!$A$4:$B$15,2,FALSE)*I13</f>
        <v>500000</v>
      </c>
      <c r="J25" s="40">
        <f>VLOOKUP($B13,オフショア単価!$A$4:$B$15,2,FALSE)*J13</f>
        <v>500000</v>
      </c>
      <c r="K25" s="40">
        <f>VLOOKUP($B13,オフショア単価!$A$4:$B$15,2,FALSE)*K13</f>
        <v>500000</v>
      </c>
      <c r="L25" s="40">
        <f>VLOOKUP($B13,オフショア単価!$A$4:$B$15,2,FALSE)*L13</f>
        <v>500000</v>
      </c>
      <c r="M25" s="40">
        <f>VLOOKUP($B13,オフショア単価!$A$4:$B$15,2,FALSE)*M13</f>
        <v>500000</v>
      </c>
      <c r="N25" s="40">
        <f>VLOOKUP($B13,オフショア単価!$A$4:$B$15,2,FALSE)*N13</f>
        <v>500000</v>
      </c>
      <c r="O25" s="40">
        <f>VLOOKUP($B13,オフショア単価!$A$4:$B$15,2,FALSE)*O13</f>
        <v>500000</v>
      </c>
      <c r="P25" s="40">
        <f>VLOOKUP($B13,オフショア単価!$A$4:$B$15,2,FALSE)*P13</f>
        <v>500000</v>
      </c>
      <c r="Q25" s="40">
        <f>VLOOKUP($B13,オフショア単価!$A$4:$B$15,2,FALSE)*Q13</f>
        <v>0</v>
      </c>
      <c r="R25" s="39"/>
      <c r="T25" s="41">
        <f t="shared" si="1"/>
        <v>7000000</v>
      </c>
    </row>
    <row r="26" spans="2:20" x14ac:dyDescent="0.2">
      <c r="B26" s="39" t="s">
        <v>433</v>
      </c>
      <c r="C26" s="40">
        <f>VLOOKUP($B14,オフショア単価!$A$4:$B$15,2,FALSE)*C14</f>
        <v>1200000</v>
      </c>
      <c r="D26" s="40">
        <f>VLOOKUP($B14,オフショア単価!$A$4:$B$15,2,FALSE)*D14</f>
        <v>1200000</v>
      </c>
      <c r="E26" s="40">
        <f>VLOOKUP($B14,オフショア単価!$A$4:$B$15,2,FALSE)*E14</f>
        <v>1200000</v>
      </c>
      <c r="F26" s="40">
        <f>VLOOKUP($B14,オフショア単価!$A$4:$B$15,2,FALSE)*F14</f>
        <v>1200000</v>
      </c>
      <c r="G26" s="40">
        <f>VLOOKUP($B14,オフショア単価!$A$4:$B$15,2,FALSE)*G14</f>
        <v>1200000</v>
      </c>
      <c r="H26" s="40">
        <f>VLOOKUP($B14,オフショア単価!$A$4:$B$15,2,FALSE)*H14</f>
        <v>1200000</v>
      </c>
      <c r="I26" s="40">
        <f>VLOOKUP($B14,オフショア単価!$A$4:$B$15,2,FALSE)*I14</f>
        <v>1200000</v>
      </c>
      <c r="J26" s="40">
        <f>VLOOKUP($B14,オフショア単価!$A$4:$B$15,2,FALSE)*J14</f>
        <v>0</v>
      </c>
      <c r="K26" s="40">
        <f>VLOOKUP($B14,オフショア単価!$A$4:$B$15,2,FALSE)*K14</f>
        <v>0</v>
      </c>
      <c r="L26" s="40">
        <f>VLOOKUP($B14,オフショア単価!$A$4:$B$15,2,FALSE)*L14</f>
        <v>0</v>
      </c>
      <c r="M26" s="40">
        <f>VLOOKUP($B14,オフショア単価!$A$4:$B$15,2,FALSE)*M14</f>
        <v>0</v>
      </c>
      <c r="N26" s="40">
        <f>VLOOKUP($B14,オフショア単価!$A$4:$B$15,2,FALSE)*N14</f>
        <v>0</v>
      </c>
      <c r="O26" s="40">
        <f>VLOOKUP($B14,オフショア単価!$A$4:$B$15,2,FALSE)*O14</f>
        <v>0</v>
      </c>
      <c r="P26" s="40">
        <f>VLOOKUP($B14,オフショア単価!$A$4:$B$15,2,FALSE)*P14</f>
        <v>0</v>
      </c>
      <c r="Q26" s="40">
        <f>VLOOKUP($B14,オフショア単価!$A$4:$B$15,2,FALSE)*Q14</f>
        <v>0</v>
      </c>
      <c r="R26" s="39"/>
      <c r="T26" s="41">
        <f t="shared" si="1"/>
        <v>8400000</v>
      </c>
    </row>
    <row r="27" spans="2:20" x14ac:dyDescent="0.2">
      <c r="B27" s="39" t="s">
        <v>434</v>
      </c>
      <c r="C27" s="40">
        <f>VLOOKUP($B15,オフショア単価!$A$4:$B$15,2,FALSE)*C15</f>
        <v>700000</v>
      </c>
      <c r="D27" s="40">
        <f>VLOOKUP($B15,オフショア単価!$A$4:$B$15,2,FALSE)*D15</f>
        <v>700000</v>
      </c>
      <c r="E27" s="40">
        <f>VLOOKUP($B15,オフショア単価!$A$4:$B$15,2,FALSE)*E15</f>
        <v>700000</v>
      </c>
      <c r="F27" s="40">
        <f>VLOOKUP($B15,オフショア単価!$A$4:$B$15,2,FALSE)*F15</f>
        <v>700000</v>
      </c>
      <c r="G27" s="40">
        <f>VLOOKUP($B15,オフショア単価!$A$4:$B$15,2,FALSE)*G15</f>
        <v>700000</v>
      </c>
      <c r="H27" s="40">
        <f>VLOOKUP($B15,オフショア単価!$A$4:$B$15,2,FALSE)*H15</f>
        <v>700000</v>
      </c>
      <c r="I27" s="40">
        <f>VLOOKUP($B15,オフショア単価!$A$4:$B$15,2,FALSE)*I15</f>
        <v>700000</v>
      </c>
      <c r="J27" s="40">
        <f>VLOOKUP($B15,オフショア単価!$A$4:$B$15,2,FALSE)*J15</f>
        <v>700000</v>
      </c>
      <c r="K27" s="40">
        <f>VLOOKUP($B15,オフショア単価!$A$4:$B$15,2,FALSE)*K15</f>
        <v>700000</v>
      </c>
      <c r="L27" s="40">
        <f>VLOOKUP($B15,オフショア単価!$A$4:$B$15,2,FALSE)*L15</f>
        <v>700000</v>
      </c>
      <c r="M27" s="40">
        <f>VLOOKUP($B15,オフショア単価!$A$4:$B$15,2,FALSE)*M15</f>
        <v>700000</v>
      </c>
      <c r="N27" s="40">
        <f>VLOOKUP($B15,オフショア単価!$A$4:$B$15,2,FALSE)*N15</f>
        <v>700000</v>
      </c>
      <c r="O27" s="40">
        <f>VLOOKUP($B15,オフショア単価!$A$4:$B$15,2,FALSE)*O15</f>
        <v>1000000</v>
      </c>
      <c r="P27" s="40">
        <f>VLOOKUP($B15,オフショア単価!$A$4:$B$15,2,FALSE)*P15</f>
        <v>1000000</v>
      </c>
      <c r="Q27" s="40">
        <f>VLOOKUP($B15,オフショア単価!$A$4:$B$15,2,FALSE)*Q15</f>
        <v>0</v>
      </c>
      <c r="R27" s="39"/>
      <c r="T27" s="41">
        <f t="shared" si="1"/>
        <v>10400000</v>
      </c>
    </row>
    <row r="28" spans="2:20" x14ac:dyDescent="0.2">
      <c r="B28" s="39" t="s">
        <v>435</v>
      </c>
      <c r="C28" s="40">
        <f>VLOOKUP($B16,オフショア単価!$A$4:$B$15,2,FALSE)*C16</f>
        <v>1000000</v>
      </c>
      <c r="D28" s="40">
        <f>VLOOKUP($B16,オフショア単価!$A$4:$B$15,2,FALSE)*D16</f>
        <v>1000000</v>
      </c>
      <c r="E28" s="40">
        <f>VLOOKUP($B16,オフショア単価!$A$4:$B$15,2,FALSE)*E16</f>
        <v>1000000</v>
      </c>
      <c r="F28" s="40">
        <f>VLOOKUP($B16,オフショア単価!$A$4:$B$15,2,FALSE)*F16</f>
        <v>1000000</v>
      </c>
      <c r="G28" s="40">
        <f>VLOOKUP($B16,オフショア単価!$A$4:$B$15,2,FALSE)*G16</f>
        <v>1000000</v>
      </c>
      <c r="H28" s="40">
        <f>VLOOKUP($B16,オフショア単価!$A$4:$B$15,2,FALSE)*H16</f>
        <v>1000000</v>
      </c>
      <c r="I28" s="40">
        <f>VLOOKUP($B16,オフショア単価!$A$4:$B$15,2,FALSE)*I16</f>
        <v>1000000</v>
      </c>
      <c r="J28" s="40">
        <f>VLOOKUP($B16,オフショア単価!$A$4:$B$15,2,FALSE)*J16</f>
        <v>1000000</v>
      </c>
      <c r="K28" s="40">
        <f>VLOOKUP($B16,オフショア単価!$A$4:$B$15,2,FALSE)*K16</f>
        <v>1000000</v>
      </c>
      <c r="L28" s="40">
        <f>VLOOKUP($B16,オフショア単価!$A$4:$B$15,2,FALSE)*L16</f>
        <v>1000000</v>
      </c>
      <c r="M28" s="40">
        <f>VLOOKUP($B16,オフショア単価!$A$4:$B$15,2,FALSE)*M16</f>
        <v>0</v>
      </c>
      <c r="N28" s="40">
        <f>VLOOKUP($B16,オフショア単価!$A$4:$B$15,2,FALSE)*N16</f>
        <v>0</v>
      </c>
      <c r="O28" s="40">
        <f>VLOOKUP($B16,オフショア単価!$A$4:$B$15,2,FALSE)*O16</f>
        <v>0</v>
      </c>
      <c r="P28" s="40">
        <f>VLOOKUP($B16,オフショア単価!$A$4:$B$15,2,FALSE)*P16</f>
        <v>0</v>
      </c>
      <c r="Q28" s="40">
        <f>VLOOKUP($B16,オフショア単価!$A$4:$B$15,2,FALSE)*Q16</f>
        <v>0</v>
      </c>
      <c r="R28" s="39"/>
      <c r="T28" s="41">
        <f t="shared" si="1"/>
        <v>10000000</v>
      </c>
    </row>
    <row r="29" spans="2:20" x14ac:dyDescent="0.2">
      <c r="B29" s="39" t="s">
        <v>179</v>
      </c>
      <c r="C29" s="40">
        <f>VLOOKUP($B17,オフショア単価!$A$4:$B$15,2,FALSE)*C17</f>
        <v>0</v>
      </c>
      <c r="D29" s="40">
        <f>VLOOKUP($B17,オフショア単価!$A$4:$B$15,2,FALSE)*D17</f>
        <v>0</v>
      </c>
      <c r="E29" s="40">
        <f>VLOOKUP($B17,オフショア単価!$A$4:$B$15,2,FALSE)*E17</f>
        <v>0</v>
      </c>
      <c r="F29" s="40">
        <f>VLOOKUP($B17,オフショア単価!$A$4:$B$15,2,FALSE)*F17</f>
        <v>0</v>
      </c>
      <c r="G29" s="40">
        <f>VLOOKUP($B17,オフショア単価!$A$4:$B$15,2,FALSE)*G17</f>
        <v>500000</v>
      </c>
      <c r="H29" s="40">
        <f>VLOOKUP($B17,オフショア単価!$A$4:$B$15,2,FALSE)*H17</f>
        <v>500000</v>
      </c>
      <c r="I29" s="40">
        <f>VLOOKUP($B17,オフショア単価!$A$4:$B$15,2,FALSE)*I17</f>
        <v>500000</v>
      </c>
      <c r="J29" s="40">
        <f>VLOOKUP($B17,オフショア単価!$A$4:$B$15,2,FALSE)*J17</f>
        <v>500000</v>
      </c>
      <c r="K29" s="40">
        <f>VLOOKUP($B17,オフショア単価!$A$4:$B$15,2,FALSE)*K17</f>
        <v>500000</v>
      </c>
      <c r="L29" s="40">
        <f>VLOOKUP($B17,オフショア単価!$A$4:$B$15,2,FALSE)*L17</f>
        <v>500000</v>
      </c>
      <c r="M29" s="40">
        <f>VLOOKUP($B17,オフショア単価!$A$4:$B$15,2,FALSE)*M17</f>
        <v>500000</v>
      </c>
      <c r="N29" s="40">
        <f>VLOOKUP($B17,オフショア単価!$A$4:$B$15,2,FALSE)*N17</f>
        <v>500000</v>
      </c>
      <c r="O29" s="40">
        <f>VLOOKUP($B17,オフショア単価!$A$4:$B$15,2,FALSE)*O17</f>
        <v>0</v>
      </c>
      <c r="P29" s="40">
        <f>VLOOKUP($B17,オフショア単価!$A$4:$B$15,2,FALSE)*P17</f>
        <v>0</v>
      </c>
      <c r="Q29" s="40">
        <f>VLOOKUP($B17,オフショア単価!$A$4:$B$15,2,FALSE)*Q17</f>
        <v>0</v>
      </c>
      <c r="R29" s="39"/>
      <c r="T29" s="41">
        <f t="shared" si="1"/>
        <v>4000000</v>
      </c>
    </row>
    <row r="30" spans="2:20" x14ac:dyDescent="0.2">
      <c r="B30" s="39" t="s">
        <v>440</v>
      </c>
      <c r="C30" s="40">
        <f>VLOOKUP($B18,オフショア単価!$A$4:$B$15,2,FALSE)*C18</f>
        <v>0</v>
      </c>
      <c r="D30" s="40">
        <f>VLOOKUP($B18,オフショア単価!$A$4:$B$15,2,FALSE)*D18</f>
        <v>0</v>
      </c>
      <c r="E30" s="40">
        <f>VLOOKUP($B18,オフショア単価!$A$4:$B$15,2,FALSE)*E18</f>
        <v>0</v>
      </c>
      <c r="F30" s="40">
        <f>VLOOKUP($B18,オフショア単価!$A$4:$B$15,2,FALSE)*F18</f>
        <v>0</v>
      </c>
      <c r="G30" s="40">
        <f>VLOOKUP($B18,オフショア単価!$A$4:$B$15,2,FALSE)*G18</f>
        <v>700000</v>
      </c>
      <c r="H30" s="40">
        <f>VLOOKUP($B18,オフショア単価!$A$4:$B$15,2,FALSE)*H18</f>
        <v>700000</v>
      </c>
      <c r="I30" s="40">
        <f>VLOOKUP($B18,オフショア単価!$A$4:$B$15,2,FALSE)*I18</f>
        <v>700000</v>
      </c>
      <c r="J30" s="40">
        <f>VLOOKUP($B18,オフショア単価!$A$4:$B$15,2,FALSE)*J18</f>
        <v>700000</v>
      </c>
      <c r="K30" s="40">
        <f>VLOOKUP($B18,オフショア単価!$A$4:$B$15,2,FALSE)*K18</f>
        <v>700000</v>
      </c>
      <c r="L30" s="40">
        <f>VLOOKUP($B18,オフショア単価!$A$4:$B$15,2,FALSE)*L18</f>
        <v>700000</v>
      </c>
      <c r="M30" s="40">
        <f>VLOOKUP($B18,オフショア単価!$A$4:$B$15,2,FALSE)*M18</f>
        <v>700000</v>
      </c>
      <c r="N30" s="40">
        <f>VLOOKUP($B18,オフショア単価!$A$4:$B$15,2,FALSE)*N18</f>
        <v>700000</v>
      </c>
      <c r="O30" s="40">
        <f>VLOOKUP($B18,オフショア単価!$A$4:$B$15,2,FALSE)*O18</f>
        <v>0</v>
      </c>
      <c r="P30" s="40">
        <f>VLOOKUP($B18,オフショア単価!$A$4:$B$15,2,FALSE)*P18</f>
        <v>0</v>
      </c>
      <c r="Q30" s="40">
        <f>VLOOKUP($B18,オフショア単価!$A$4:$B$15,2,FALSE)*Q18</f>
        <v>0</v>
      </c>
      <c r="R30" s="39"/>
      <c r="T30" s="41">
        <f t="shared" si="1"/>
        <v>5600000</v>
      </c>
    </row>
    <row r="31" spans="2:20" x14ac:dyDescent="0.2">
      <c r="B31" s="39" t="s">
        <v>441</v>
      </c>
      <c r="C31" s="40">
        <f>VLOOKUP($B19,オフショア単価!$A$4:$B$15,2,FALSE)*C19</f>
        <v>0</v>
      </c>
      <c r="D31" s="40">
        <f>VLOOKUP($B19,オフショア単価!$A$4:$B$15,2,FALSE)*D19</f>
        <v>0</v>
      </c>
      <c r="E31" s="40">
        <f>VLOOKUP($B19,オフショア単価!$A$4:$B$15,2,FALSE)*E19</f>
        <v>0</v>
      </c>
      <c r="F31" s="40">
        <f>VLOOKUP($B19,オフショア単価!$A$4:$B$15,2,FALSE)*F19</f>
        <v>0</v>
      </c>
      <c r="G31" s="40">
        <f>VLOOKUP($B19,オフショア単価!$A$4:$B$15,2,FALSE)*G19</f>
        <v>700000</v>
      </c>
      <c r="H31" s="40">
        <f>VLOOKUP($B19,オフショア単価!$A$4:$B$15,2,FALSE)*H19</f>
        <v>700000</v>
      </c>
      <c r="I31" s="40">
        <f>VLOOKUP($B19,オフショア単価!$A$4:$B$15,2,FALSE)*I19</f>
        <v>700000</v>
      </c>
      <c r="J31" s="40">
        <f>VLOOKUP($B19,オフショア単価!$A$4:$B$15,2,FALSE)*J19</f>
        <v>700000</v>
      </c>
      <c r="K31" s="40">
        <f>VLOOKUP($B19,オフショア単価!$A$4:$B$15,2,FALSE)*K19</f>
        <v>700000</v>
      </c>
      <c r="L31" s="40">
        <f>VLOOKUP($B19,オフショア単価!$A$4:$B$15,2,FALSE)*L19</f>
        <v>700000</v>
      </c>
      <c r="M31" s="40">
        <f>VLOOKUP($B19,オフショア単価!$A$4:$B$15,2,FALSE)*M19</f>
        <v>700000</v>
      </c>
      <c r="N31" s="40">
        <f>VLOOKUP($B19,オフショア単価!$A$4:$B$15,2,FALSE)*N19</f>
        <v>700000</v>
      </c>
      <c r="O31" s="40">
        <f>VLOOKUP($B19,オフショア単価!$A$4:$B$15,2,FALSE)*O19</f>
        <v>0</v>
      </c>
      <c r="P31" s="40">
        <f>VLOOKUP($B19,オフショア単価!$A$4:$B$15,2,FALSE)*P19</f>
        <v>0</v>
      </c>
      <c r="Q31" s="40">
        <f>VLOOKUP($B19,オフショア単価!$A$4:$B$15,2,FALSE)*Q19</f>
        <v>0</v>
      </c>
      <c r="R31" s="39"/>
      <c r="T31" s="41">
        <f t="shared" si="1"/>
        <v>5600000</v>
      </c>
    </row>
    <row r="32" spans="2:20" x14ac:dyDescent="0.2">
      <c r="B32" s="39" t="s">
        <v>442</v>
      </c>
      <c r="C32" s="40">
        <f>VLOOKUP($B20,オフショア単価!$A$4:$B$15,2,FALSE)*C20</f>
        <v>0</v>
      </c>
      <c r="D32" s="40">
        <f>VLOOKUP($B20,オフショア単価!$A$4:$B$15,2,FALSE)*D20</f>
        <v>0</v>
      </c>
      <c r="E32" s="40">
        <f>VLOOKUP($B20,オフショア単価!$A$4:$B$15,2,FALSE)*E20</f>
        <v>0</v>
      </c>
      <c r="F32" s="40">
        <f>VLOOKUP($B20,オフショア単価!$A$4:$B$15,2,FALSE)*F20</f>
        <v>0</v>
      </c>
      <c r="G32" s="40">
        <f>VLOOKUP($B20,オフショア単価!$A$4:$B$15,2,FALSE)*G20</f>
        <v>0</v>
      </c>
      <c r="H32" s="40">
        <f>VLOOKUP($B20,オフショア単価!$A$4:$B$15,2,FALSE)*H20</f>
        <v>0</v>
      </c>
      <c r="I32" s="40">
        <f>VLOOKUP($B20,オフショア単価!$A$4:$B$15,2,FALSE)*I20</f>
        <v>0</v>
      </c>
      <c r="J32" s="40">
        <f>VLOOKUP($B20,オフショア単価!$A$4:$B$15,2,FALSE)*J20</f>
        <v>0</v>
      </c>
      <c r="K32" s="40">
        <f>VLOOKUP($B20,オフショア単価!$A$4:$B$15,2,FALSE)*K20</f>
        <v>0</v>
      </c>
      <c r="L32" s="40">
        <f>VLOOKUP($B20,オフショア単価!$A$4:$B$15,2,FALSE)*L20</f>
        <v>0</v>
      </c>
      <c r="M32" s="40">
        <f>VLOOKUP($B20,オフショア単価!$A$4:$B$15,2,FALSE)*M20</f>
        <v>0</v>
      </c>
      <c r="N32" s="40">
        <f>VLOOKUP($B20,オフショア単価!$A$4:$B$15,2,FALSE)*N20</f>
        <v>0</v>
      </c>
      <c r="O32" s="40">
        <f>VLOOKUP($B20,オフショア単価!$A$4:$B$15,2,FALSE)*O20</f>
        <v>0</v>
      </c>
      <c r="P32" s="40">
        <f>VLOOKUP($B20,オフショア単価!$A$4:$B$15,2,FALSE)*P20</f>
        <v>0</v>
      </c>
      <c r="Q32" s="40">
        <f>VLOOKUP($B20,オフショア単価!$A$4:$B$15,2,FALSE)*Q20</f>
        <v>0</v>
      </c>
      <c r="R32" s="39"/>
      <c r="T32" s="41">
        <f t="shared" si="1"/>
        <v>0</v>
      </c>
    </row>
    <row r="33" spans="20:20" x14ac:dyDescent="0.2">
      <c r="T33" s="41">
        <f>SUM(T22:T32)</f>
        <v>77880000</v>
      </c>
    </row>
  </sheetData>
  <mergeCells count="16">
    <mergeCell ref="C8:F8"/>
    <mergeCell ref="G8:I8"/>
    <mergeCell ref="J8:K8"/>
    <mergeCell ref="M8:N8"/>
    <mergeCell ref="C9:F9"/>
    <mergeCell ref="G9:I9"/>
    <mergeCell ref="J9:K9"/>
    <mergeCell ref="M9:N9"/>
    <mergeCell ref="B5:B7"/>
    <mergeCell ref="C5:F5"/>
    <mergeCell ref="G5:R5"/>
    <mergeCell ref="C7:F7"/>
    <mergeCell ref="G7:I7"/>
    <mergeCell ref="J7:K7"/>
    <mergeCell ref="M7:N7"/>
    <mergeCell ref="O7:P7"/>
  </mergeCells>
  <phoneticPr fontId="2"/>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E3E1B3-F11B-4C33-AD1C-18EE7A2CC5AC}">
  <dimension ref="A1:B12"/>
  <sheetViews>
    <sheetView workbookViewId="0">
      <selection activeCell="D16" sqref="D16:F16"/>
    </sheetView>
  </sheetViews>
  <sheetFormatPr defaultRowHeight="13.2" x14ac:dyDescent="0.2"/>
  <sheetData>
    <row r="1" spans="1:2" s="35" customFormat="1" ht="24.6" x14ac:dyDescent="0.2">
      <c r="A1" s="34" t="s">
        <v>417</v>
      </c>
    </row>
    <row r="2" spans="1:2" s="35" customFormat="1" ht="15" x14ac:dyDescent="0.2"/>
    <row r="3" spans="1:2" s="35" customFormat="1" ht="15" x14ac:dyDescent="0.2"/>
    <row r="4" spans="1:2" x14ac:dyDescent="0.2">
      <c r="A4" t="s">
        <v>429</v>
      </c>
      <c r="B4">
        <v>1400000</v>
      </c>
    </row>
    <row r="5" spans="1:2" x14ac:dyDescent="0.2">
      <c r="A5" t="s">
        <v>431</v>
      </c>
      <c r="B5">
        <v>1200000</v>
      </c>
    </row>
    <row r="6" spans="1:2" x14ac:dyDescent="0.2">
      <c r="A6" t="s">
        <v>430</v>
      </c>
      <c r="B6">
        <v>1400000</v>
      </c>
    </row>
    <row r="7" spans="1:2" x14ac:dyDescent="0.2">
      <c r="A7" t="s">
        <v>432</v>
      </c>
      <c r="B7">
        <v>1000000</v>
      </c>
    </row>
    <row r="8" spans="1:2" x14ac:dyDescent="0.2">
      <c r="A8" t="s">
        <v>433</v>
      </c>
      <c r="B8">
        <v>1200000</v>
      </c>
    </row>
    <row r="9" spans="1:2" x14ac:dyDescent="0.2">
      <c r="A9" t="s">
        <v>434</v>
      </c>
      <c r="B9">
        <v>1000000</v>
      </c>
    </row>
    <row r="10" spans="1:2" x14ac:dyDescent="0.2">
      <c r="A10" t="s">
        <v>435</v>
      </c>
      <c r="B10">
        <v>1000000</v>
      </c>
    </row>
    <row r="11" spans="1:2" x14ac:dyDescent="0.2">
      <c r="A11" t="s">
        <v>436</v>
      </c>
      <c r="B11">
        <v>1000000</v>
      </c>
    </row>
    <row r="12" spans="1:2" x14ac:dyDescent="0.2">
      <c r="A12" t="s">
        <v>437</v>
      </c>
      <c r="B12">
        <v>1000000</v>
      </c>
    </row>
  </sheetData>
  <phoneticPr fontId="2"/>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2C76CC-31AA-4FE9-B1BC-DF8FDB0C3011}">
  <dimension ref="A1:B14"/>
  <sheetViews>
    <sheetView workbookViewId="0">
      <selection activeCell="D16" sqref="D16:F16"/>
    </sheetView>
  </sheetViews>
  <sheetFormatPr defaultRowHeight="13.2" x14ac:dyDescent="0.2"/>
  <sheetData>
    <row r="1" spans="1:2" s="35" customFormat="1" ht="24.6" x14ac:dyDescent="0.2">
      <c r="A1" s="34" t="s">
        <v>417</v>
      </c>
    </row>
    <row r="2" spans="1:2" s="35" customFormat="1" ht="15" x14ac:dyDescent="0.2"/>
    <row r="3" spans="1:2" s="35" customFormat="1" ht="15" x14ac:dyDescent="0.2"/>
    <row r="4" spans="1:2" x14ac:dyDescent="0.2">
      <c r="A4" t="s">
        <v>429</v>
      </c>
      <c r="B4">
        <v>1400000</v>
      </c>
    </row>
    <row r="5" spans="1:2" x14ac:dyDescent="0.2">
      <c r="A5" t="s">
        <v>431</v>
      </c>
      <c r="B5">
        <v>1200000</v>
      </c>
    </row>
    <row r="6" spans="1:2" x14ac:dyDescent="0.2">
      <c r="A6" t="s">
        <v>430</v>
      </c>
      <c r="B6">
        <v>1400000</v>
      </c>
    </row>
    <row r="7" spans="1:2" x14ac:dyDescent="0.2">
      <c r="A7" t="s">
        <v>432</v>
      </c>
      <c r="B7">
        <v>1000000</v>
      </c>
    </row>
    <row r="8" spans="1:2" x14ac:dyDescent="0.2">
      <c r="A8" t="s">
        <v>433</v>
      </c>
      <c r="B8">
        <v>1200000</v>
      </c>
    </row>
    <row r="9" spans="1:2" x14ac:dyDescent="0.2">
      <c r="A9" t="s">
        <v>434</v>
      </c>
      <c r="B9">
        <v>1000000</v>
      </c>
    </row>
    <row r="10" spans="1:2" x14ac:dyDescent="0.2">
      <c r="A10" t="s">
        <v>435</v>
      </c>
      <c r="B10">
        <v>1000000</v>
      </c>
    </row>
    <row r="11" spans="1:2" x14ac:dyDescent="0.2">
      <c r="A11" t="s">
        <v>179</v>
      </c>
      <c r="B11">
        <v>1000000</v>
      </c>
    </row>
    <row r="12" spans="1:2" x14ac:dyDescent="0.2">
      <c r="A12" t="s">
        <v>440</v>
      </c>
      <c r="B12">
        <v>700000</v>
      </c>
    </row>
    <row r="13" spans="1:2" x14ac:dyDescent="0.2">
      <c r="A13" t="s">
        <v>441</v>
      </c>
      <c r="B13">
        <v>700000</v>
      </c>
    </row>
    <row r="14" spans="1:2" x14ac:dyDescent="0.2">
      <c r="A14" t="s">
        <v>442</v>
      </c>
      <c r="B14">
        <v>700000</v>
      </c>
    </row>
  </sheetData>
  <phoneticPr fontId="2"/>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ABEACA-FAD3-4D29-9557-BEA418A010F8}">
  <dimension ref="A1:R16"/>
  <sheetViews>
    <sheetView workbookViewId="0">
      <selection activeCell="E41" sqref="E41"/>
    </sheetView>
  </sheetViews>
  <sheetFormatPr defaultRowHeight="13.2" x14ac:dyDescent="0.2"/>
  <cols>
    <col min="11" max="11" width="7.6640625" bestFit="1" customWidth="1"/>
  </cols>
  <sheetData>
    <row r="1" spans="1:18" x14ac:dyDescent="0.2">
      <c r="A1" t="s">
        <v>202</v>
      </c>
    </row>
    <row r="2" spans="1:18" x14ac:dyDescent="0.2">
      <c r="B2" t="s">
        <v>221</v>
      </c>
      <c r="C2" t="s">
        <v>443</v>
      </c>
    </row>
    <row r="3" spans="1:18" x14ac:dyDescent="0.2">
      <c r="B3" t="s">
        <v>228</v>
      </c>
      <c r="C3" t="s">
        <v>444</v>
      </c>
    </row>
    <row r="8" spans="1:18" x14ac:dyDescent="0.2">
      <c r="K8" s="318" t="s">
        <v>197</v>
      </c>
      <c r="L8" s="318"/>
      <c r="M8" s="318" t="s">
        <v>198</v>
      </c>
      <c r="N8" s="318"/>
      <c r="O8" s="318" t="s">
        <v>199</v>
      </c>
      <c r="P8" s="318"/>
      <c r="Q8" s="318" t="s">
        <v>255</v>
      </c>
      <c r="R8" s="318"/>
    </row>
    <row r="9" spans="1:18" x14ac:dyDescent="0.2">
      <c r="B9" t="s">
        <v>445</v>
      </c>
      <c r="C9" t="s">
        <v>446</v>
      </c>
      <c r="I9" s="30">
        <v>0.1</v>
      </c>
      <c r="K9">
        <v>0.5</v>
      </c>
      <c r="L9">
        <v>0.5</v>
      </c>
      <c r="M9">
        <v>0.5</v>
      </c>
      <c r="N9">
        <v>0.5</v>
      </c>
      <c r="O9">
        <v>1</v>
      </c>
      <c r="P9">
        <v>1</v>
      </c>
      <c r="Q9">
        <v>0.5</v>
      </c>
      <c r="R9">
        <v>0.5</v>
      </c>
    </row>
    <row r="10" spans="1:18" x14ac:dyDescent="0.2">
      <c r="K10" s="31" t="s">
        <v>447</v>
      </c>
      <c r="L10" s="31" t="s">
        <v>448</v>
      </c>
      <c r="M10" s="31" t="s">
        <v>449</v>
      </c>
      <c r="N10" s="31" t="s">
        <v>450</v>
      </c>
      <c r="O10" s="31" t="s">
        <v>451</v>
      </c>
      <c r="P10" s="31" t="s">
        <v>452</v>
      </c>
      <c r="Q10" s="31" t="s">
        <v>452</v>
      </c>
      <c r="R10" s="31" t="s">
        <v>453</v>
      </c>
    </row>
    <row r="11" spans="1:18" x14ac:dyDescent="0.2">
      <c r="K11" s="318" t="s">
        <v>197</v>
      </c>
      <c r="L11" s="318"/>
      <c r="M11" s="318" t="s">
        <v>197</v>
      </c>
      <c r="N11" s="318"/>
    </row>
    <row r="12" spans="1:18" x14ac:dyDescent="0.2">
      <c r="B12" t="s">
        <v>454</v>
      </c>
      <c r="C12" t="s">
        <v>455</v>
      </c>
      <c r="I12" s="30">
        <v>0.06</v>
      </c>
      <c r="K12">
        <v>1</v>
      </c>
      <c r="L12">
        <v>1</v>
      </c>
      <c r="M12">
        <v>1.5</v>
      </c>
      <c r="N12">
        <v>1.5</v>
      </c>
    </row>
    <row r="13" spans="1:18" x14ac:dyDescent="0.2">
      <c r="K13" s="31" t="s">
        <v>447</v>
      </c>
      <c r="L13" s="31" t="s">
        <v>456</v>
      </c>
      <c r="M13" s="31" t="s">
        <v>450</v>
      </c>
      <c r="N13" s="31" t="s">
        <v>457</v>
      </c>
    </row>
    <row r="14" spans="1:18" x14ac:dyDescent="0.2">
      <c r="K14" s="318" t="s">
        <v>197</v>
      </c>
      <c r="L14" s="318"/>
      <c r="M14" s="318" t="s">
        <v>198</v>
      </c>
      <c r="N14" s="318"/>
      <c r="O14" s="318" t="s">
        <v>199</v>
      </c>
      <c r="P14" s="318"/>
    </row>
    <row r="15" spans="1:18" x14ac:dyDescent="0.2">
      <c r="B15" t="s">
        <v>234</v>
      </c>
      <c r="C15" t="s">
        <v>458</v>
      </c>
      <c r="I15" s="30">
        <v>0.08</v>
      </c>
      <c r="K15">
        <v>0.5</v>
      </c>
      <c r="L15">
        <v>0.5</v>
      </c>
      <c r="M15">
        <v>1.5</v>
      </c>
      <c r="N15">
        <v>1.5</v>
      </c>
      <c r="O15">
        <v>0.5</v>
      </c>
      <c r="P15">
        <v>0.5</v>
      </c>
    </row>
    <row r="16" spans="1:18" x14ac:dyDescent="0.2">
      <c r="K16" s="31" t="s">
        <v>447</v>
      </c>
      <c r="L16" s="31" t="s">
        <v>448</v>
      </c>
      <c r="M16" s="31" t="s">
        <v>449</v>
      </c>
      <c r="N16" s="31" t="s">
        <v>452</v>
      </c>
      <c r="O16" s="31" t="s">
        <v>457</v>
      </c>
      <c r="P16" s="31" t="s">
        <v>459</v>
      </c>
    </row>
  </sheetData>
  <mergeCells count="9">
    <mergeCell ref="K8:L8"/>
    <mergeCell ref="M8:N8"/>
    <mergeCell ref="O8:P8"/>
    <mergeCell ref="Q8:R8"/>
    <mergeCell ref="K14:L14"/>
    <mergeCell ref="M14:N14"/>
    <mergeCell ref="O14:P14"/>
    <mergeCell ref="K11:L11"/>
    <mergeCell ref="M11:N11"/>
  </mergeCells>
  <phoneticPr fontId="2"/>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2fd442da-66a9-4fa6-ba31-eb0d54ad1381">
      <Terms xmlns="http://schemas.microsoft.com/office/infopath/2007/PartnerControls"/>
    </lcf76f155ced4ddcb4097134ff3c332f>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ドキュメント" ma:contentTypeID="0x0101008B207C222D4A704392DD812ABE7F848A" ma:contentTypeVersion="10" ma:contentTypeDescription="新しいドキュメントを作成します。" ma:contentTypeScope="" ma:versionID="b7644d4de02ded20394603be2720d07a">
  <xsd:schema xmlns:xsd="http://www.w3.org/2001/XMLSchema" xmlns:xs="http://www.w3.org/2001/XMLSchema" xmlns:p="http://schemas.microsoft.com/office/2006/metadata/properties" xmlns:ns2="2fd442da-66a9-4fa6-ba31-eb0d54ad1381" targetNamespace="http://schemas.microsoft.com/office/2006/metadata/properties" ma:root="true" ma:fieldsID="2cb02ba061cb2e2c8687b06261905403" ns2:_="">
    <xsd:import namespace="2fd442da-66a9-4fa6-ba31-eb0d54ad1381"/>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2:MediaServiceDateTaken"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fd442da-66a9-4fa6-ba31-eb0d54ad138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画像タグ" ma:readOnly="false" ma:fieldId="{5cf76f15-5ced-4ddc-b409-7134ff3c332f}" ma:taxonomyMulti="true" ma:sspId="a5fcdd6f-42ce-4fb7-9ce2-d9614ea932c1" ma:termSetId="09814cd3-568e-fe90-9814-8d621ff8fb84" ma:anchorId="fba54fb3-c3e1-fe81-a776-ca4b69148c4d" ma:open="true" ma:isKeyword="false">
      <xsd:complexType>
        <xsd:sequence>
          <xsd:element ref="pc:Terms" minOccurs="0" maxOccurs="1"/>
        </xsd:sequence>
      </xsd:complexType>
    </xsd:element>
    <xsd:element name="MediaServiceDateTaken" ma:index="14" nillable="true" ma:displayName="MediaServiceDateTaken" ma:hidden="true" ma:indexed="true" ma:internalName="MediaServiceDateTaken"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E4736FB6-EAA6-4762-933C-9D3C1AD158EB}">
  <ds:schemaRefs>
    <ds:schemaRef ds:uri="http://schemas.microsoft.com/office/2006/metadata/properties"/>
    <ds:schemaRef ds:uri="http://schemas.microsoft.com/office/infopath/2007/PartnerControls"/>
    <ds:schemaRef ds:uri="2fd442da-66a9-4fa6-ba31-eb0d54ad1381"/>
  </ds:schemaRefs>
</ds:datastoreItem>
</file>

<file path=customXml/itemProps2.xml><?xml version="1.0" encoding="utf-8"?>
<ds:datastoreItem xmlns:ds="http://schemas.openxmlformats.org/officeDocument/2006/customXml" ds:itemID="{49BFAA1A-6567-4B1A-B0E9-ECAA4214B9D0}">
  <ds:schemaRefs>
    <ds:schemaRef ds:uri="http://schemas.microsoft.com/sharepoint/v3/contenttype/forms"/>
  </ds:schemaRefs>
</ds:datastoreItem>
</file>

<file path=customXml/itemProps3.xml><?xml version="1.0" encoding="utf-8"?>
<ds:datastoreItem xmlns:ds="http://schemas.openxmlformats.org/officeDocument/2006/customXml" ds:itemID="{8B69FF5C-479D-464F-86A3-A5696355E57D}">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2fd442da-66a9-4fa6-ba31-eb0d54ad1381"/>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15</vt:i4>
      </vt:variant>
      <vt:variant>
        <vt:lpstr>名前付き一覧</vt:lpstr>
      </vt:variant>
      <vt:variant>
        <vt:i4>16</vt:i4>
      </vt:variant>
    </vt:vector>
  </HeadingPairs>
  <TitlesOfParts>
    <vt:vector size="31" baseType="lpstr">
      <vt:lpstr>12月以降の契約について</vt:lpstr>
      <vt:lpstr>パターン① .NET＋VB6</vt:lpstr>
      <vt:lpstr>パターン② VB6</vt:lpstr>
      <vt:lpstr>体制見積</vt:lpstr>
      <vt:lpstr>工数見積り（バッチあり）</vt:lpstr>
      <vt:lpstr>見積案_20241128</vt:lpstr>
      <vt:lpstr>見積案_old</vt:lpstr>
      <vt:lpstr>工数見積り_20241128</vt:lpstr>
      <vt:lpstr>工数見積り_20241115</vt:lpstr>
      <vt:lpstr>工数見積り_20241022</vt:lpstr>
      <vt:lpstr>日本対応パターン</vt:lpstr>
      <vt:lpstr>オフショア対応パターン</vt:lpstr>
      <vt:lpstr>日本単価</vt:lpstr>
      <vt:lpstr>オフショア単価</vt:lpstr>
      <vt:lpstr>Sheet1</vt:lpstr>
      <vt:lpstr>'パターン① .NET＋VB6'!Print_Area</vt:lpstr>
      <vt:lpstr>'パターン② VB6'!Print_Area</vt:lpstr>
      <vt:lpstr>見積案_20241128!Print_Area</vt:lpstr>
      <vt:lpstr>見積案_old!Print_Area</vt:lpstr>
      <vt:lpstr>'工数見積り（バッチあり）'!Print_Area</vt:lpstr>
      <vt:lpstr>工数見積り_20241022!Print_Area</vt:lpstr>
      <vt:lpstr>工数見積り_20241115!Print_Area</vt:lpstr>
      <vt:lpstr>工数見積り_20241128!Print_Area</vt:lpstr>
      <vt:lpstr>'パターン① .NET＋VB6'!Print_Titles</vt:lpstr>
      <vt:lpstr>'パターン② VB6'!Print_Titles</vt:lpstr>
      <vt:lpstr>見積案_20241128!Print_Titles</vt:lpstr>
      <vt:lpstr>見積案_old!Print_Titles</vt:lpstr>
      <vt:lpstr>'工数見積り（バッチあり）'!Print_Titles</vt:lpstr>
      <vt:lpstr>工数見積り_20241022!Print_Titles</vt:lpstr>
      <vt:lpstr>工数見積り_20241115!Print_Titles</vt:lpstr>
      <vt:lpstr>工数見積り_20241128!Print_Titles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2006-09-13T11:12:02Z</dcterms:created>
  <dcterms:modified xsi:type="dcterms:W3CDTF">2025-11-27T07:34:12Z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0x0101008B207C222D4A704392DD812ABE7F848A</vt:lpwstr>
  </property>
  <property fmtid="{D5CDD505-2E9C-101B-9397-08002B2CF9AE}" pid="3" name="MediaServiceImageTags">
    <vt:lpwstr/>
  </property>
</Properties>
</file>