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9" documentId="13_ncr:1_{4BC95D17-5ACB-4C7A-BEA6-F91B9A44CC76}" xr6:coauthVersionLast="47" xr6:coauthVersionMax="47" xr10:uidLastSave="{F2FB462A-A010-43E1-A6F6-294A278C07A5}"/>
  <bookViews>
    <workbookView xWindow="-120" yWindow="-120" windowWidth="29040" windowHeight="15720" tabRatio="839" firstSheet="1" activeTab="1" xr2:uid="{00000000-000D-0000-FFFF-FFFF00000000}"/>
  </bookViews>
  <sheets>
    <sheet name="スケジュール・要員計画" sheetId="12" state="hidden" r:id="rId1"/>
    <sheet name="御見積(画面・機能)（2倍）" sheetId="1" r:id="rId2"/>
    <sheet name="概算" sheetId="13" r:id="rId3"/>
    <sheet name="御見積(画面・機能) (1倍)" sheetId="14" state="hidden" r:id="rId4"/>
    <sheet name="積算基準" sheetId="5" state="hidden" r:id="rId5"/>
  </sheets>
  <externalReferences>
    <externalReference r:id="rId6"/>
    <externalReference r:id="rId7"/>
  </externalReferences>
  <definedNames>
    <definedName name="_xlnm._FilterDatabase" localSheetId="3" hidden="1">'御見積(画面・機能) (1倍)'!$A$2:$W$56</definedName>
    <definedName name="_xlnm._FilterDatabase" localSheetId="1" hidden="1">'御見積(画面・機能)（2倍）'!$A$2:$W$57</definedName>
    <definedName name="aa" localSheetId="4" hidden="1">{#N/A,#N/A,FALSE,"ＨＢＳＣＳＳ";#N/A,#N/A,FALSE,"原価管理表平田倉庫";#N/A,#N/A,FALSE,"原価管理表 日立印刷";#N/A,#N/A,FALSE,"原価管理合計表"}</definedName>
    <definedName name="aa" hidden="1">{#N/A,#N/A,FALSE,"ＨＢＳＣＳＳ";#N/A,#N/A,FALSE,"原価管理表平田倉庫";#N/A,#N/A,FALSE,"原価管理表 日立印刷";#N/A,#N/A,FALSE,"原価管理合計表"}</definedName>
    <definedName name="b" localSheetId="4" hidden="1">{#N/A,#N/A,FALSE,"ＨＢＳＣＳＳ";#N/A,#N/A,FALSE,"原価管理表平田倉庫";#N/A,#N/A,FALSE,"原価管理表 日立印刷";#N/A,#N/A,FALSE,"原価管理合計表"}</definedName>
    <definedName name="b" hidden="1">{#N/A,#N/A,FALSE,"ＨＢＳＣＳＳ";#N/A,#N/A,FALSE,"原価管理表平田倉庫";#N/A,#N/A,FALSE,"原価管理表 日立印刷";#N/A,#N/A,FALSE,"原価管理合計表"}</definedName>
    <definedName name="bb" hidden="1">{#N/A,#N/A,FALSE,"ＨＢＳＣＳＳ";#N/A,#N/A,FALSE,"原価管理表平田倉庫";#N/A,#N/A,FALSE,"原価管理表 日立印刷";#N/A,#N/A,FALSE,"原価管理合計表"}</definedName>
    <definedName name="FP試算法データファンクション">[1]FP係数!$B$26:$B$27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_xlnm.Print_Area" localSheetId="3">'御見積(画面・機能) (1倍)'!$A$1:$W$58</definedName>
    <definedName name="_xlnm.Print_Area" localSheetId="1">'御見積(画面・機能)（2倍）'!$A$1:$W$59</definedName>
    <definedName name="_xlnm.Print_Titles" localSheetId="3">'御見積(画面・機能) (1倍)'!$2:$3</definedName>
    <definedName name="_xlnm.Print_Titles" localSheetId="1">'御見積(画面・機能)（2倍）'!$2:$3</definedName>
    <definedName name="qqq" localSheetId="4" hidden="1">{#N/A,#N/A,FALSE,"ＨＢＳＣＳＳ";#N/A,#N/A,FALSE,"原価管理表平田倉庫";#N/A,#N/A,FALSE,"原価管理表 日立印刷";#N/A,#N/A,FALSE,"原価管理合計表"}</definedName>
    <definedName name="qqq" hidden="1">{#N/A,#N/A,FALSE,"ＨＢＳＣＳＳ";#N/A,#N/A,FALSE,"原価管理表平田倉庫";#N/A,#N/A,FALSE,"原価管理表 日立印刷";#N/A,#N/A,FALSE,"原価管理合計表"}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rn.全シート印刷." localSheetId="4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ｚ" localSheetId="4" hidden="1">{#N/A,#N/A,FALSE,"ＨＢＳＣＳＳ";#N/A,#N/A,FALSE,"原価管理表平田倉庫";#N/A,#N/A,FALSE,"原価管理表 日立印刷";#N/A,#N/A,FALSE,"原価管理合計表"}</definedName>
    <definedName name="ｚ" hidden="1">{#N/A,#N/A,FALSE,"ＨＢＳＣＳＳ";#N/A,#N/A,FALSE,"原価管理表平田倉庫";#N/A,#N/A,FALSE,"原価管理表 日立印刷";#N/A,#N/A,FALSE,"原価管理合計表"}</definedName>
    <definedName name="zz" localSheetId="4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ああ" localSheetId="4" hidden="1">{#N/A,#N/A,FALSE,"ＨＢＳＣＳＳ";#N/A,#N/A,FALSE,"原価管理表平田倉庫";#N/A,#N/A,FALSE,"原価管理表 日立印刷";#N/A,#N/A,FALSE,"原価管理合計表"}</definedName>
    <definedName name="ああ" hidden="1">{#N/A,#N/A,FALSE,"ＨＢＳＣＳＳ";#N/A,#N/A,FALSE,"原価管理表平田倉庫";#N/A,#N/A,FALSE,"原価管理表 日立印刷";#N/A,#N/A,FALSE,"原価管理合計表"}</definedName>
    <definedName name="計測種別">[1]FP係数!$B$20:$B$21</definedName>
    <definedName name="高係数">積算基準!$D$49</definedName>
    <definedName name="高係数_IF">積算基準!$D$50</definedName>
    <definedName name="参照上限高" localSheetId="4">積算基準!$D$17</definedName>
    <definedName name="参照上限中" localSheetId="4">積算基準!$E$17</definedName>
    <definedName name="参照上限低" localSheetId="4">積算基準!$F$17</definedName>
    <definedName name="参照上限特高" localSheetId="4">積算基準!$C$17</definedName>
    <definedName name="参照上限特低" localSheetId="4">積算基準!$G$17</definedName>
    <definedName name="成形原料処置">'[2]【参考】UI-22 業務コード定義'!$C$15</definedName>
    <definedName name="単価ランク">[1]IFPUG法・FP概算法!$J$10:$J$14</definedName>
    <definedName name="中係数">積算基準!$E$49</definedName>
    <definedName name="中係数_IF">積算基準!$E$50</definedName>
    <definedName name="低係数">積算基準!$F$49</definedName>
    <definedName name="低係数_IF">積算基準!$F$50</definedName>
    <definedName name="登録上限高" localSheetId="4">積算基準!$D$16</definedName>
    <definedName name="登録上限中" localSheetId="4">積算基準!$E$16</definedName>
    <definedName name="登録上限低" localSheetId="4">積算基準!$F$16</definedName>
    <definedName name="登録上限特高" localSheetId="4">積算基準!$C$16</definedName>
    <definedName name="登録上限特低" localSheetId="4">積算基準!$G$16</definedName>
    <definedName name="特高係数">積算基準!$C$49</definedName>
    <definedName name="特高係数_IF">積算基準!$C$50</definedName>
    <definedName name="特低係数">積算基準!$G$49</definedName>
    <definedName name="特低係数_IF">積算基準!$G$50</definedName>
    <definedName name="標準成形不可時">'[2]【参考】UI-22 業務コード定義'!$C$14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4" i="1" l="1"/>
  <c r="K34" i="1"/>
  <c r="L34" i="1"/>
  <c r="M34" i="1"/>
  <c r="K11" i="1"/>
  <c r="T10" i="1"/>
  <c r="T9" i="1"/>
  <c r="S8" i="1"/>
  <c r="S7" i="1"/>
  <c r="S6" i="1"/>
  <c r="S5" i="1"/>
  <c r="T24" i="1"/>
  <c r="S24" i="1"/>
  <c r="T11" i="1"/>
  <c r="S11" i="1"/>
  <c r="T36" i="1"/>
  <c r="S36" i="1"/>
  <c r="T42" i="1"/>
  <c r="S42" i="1"/>
  <c r="T44" i="1"/>
  <c r="S44" i="1"/>
  <c r="T46" i="1"/>
  <c r="S46" i="1"/>
  <c r="T4" i="1"/>
  <c r="S4" i="1"/>
  <c r="S40" i="1"/>
  <c r="R30" i="1"/>
  <c r="R40" i="1"/>
  <c r="T40" i="1" l="1"/>
  <c r="S30" i="1"/>
  <c r="T30" i="1"/>
  <c r="U8" i="1"/>
  <c r="V8" i="1" s="1"/>
  <c r="G20" i="1"/>
  <c r="L20" i="1"/>
  <c r="M20" i="1" s="1"/>
  <c r="G21" i="1"/>
  <c r="K21" i="1"/>
  <c r="L21" i="1" s="1"/>
  <c r="M21" i="1" s="1"/>
  <c r="G22" i="1"/>
  <c r="L22" i="1"/>
  <c r="M22" i="1" s="1"/>
  <c r="G23" i="1"/>
  <c r="L23" i="1"/>
  <c r="M23" i="1" s="1"/>
  <c r="G24" i="1"/>
  <c r="K24" i="1"/>
  <c r="L24" i="1" s="1"/>
  <c r="K28" i="1"/>
  <c r="K29" i="1"/>
  <c r="K25" i="1"/>
  <c r="L25" i="1" s="1"/>
  <c r="M25" i="1" s="1"/>
  <c r="K50" i="1"/>
  <c r="L50" i="1" s="1"/>
  <c r="M50" i="1" s="1"/>
  <c r="K49" i="1"/>
  <c r="L49" i="1" s="1"/>
  <c r="M49" i="1" s="1"/>
  <c r="L48" i="1"/>
  <c r="M48" i="1" s="1"/>
  <c r="K47" i="1"/>
  <c r="L47" i="1" s="1"/>
  <c r="M47" i="1" s="1"/>
  <c r="K46" i="1"/>
  <c r="K44" i="1"/>
  <c r="L44" i="1" s="1"/>
  <c r="M44" i="1" s="1"/>
  <c r="K43" i="1"/>
  <c r="L43" i="1" s="1"/>
  <c r="M43" i="1" s="1"/>
  <c r="K42" i="1"/>
  <c r="K41" i="1"/>
  <c r="L41" i="1" s="1"/>
  <c r="M41" i="1" s="1"/>
  <c r="K40" i="1"/>
  <c r="K39" i="1"/>
  <c r="L39" i="1" s="1"/>
  <c r="M39" i="1" s="1"/>
  <c r="K38" i="1"/>
  <c r="K37" i="1"/>
  <c r="K36" i="1"/>
  <c r="K35" i="1"/>
  <c r="L35" i="1" s="1"/>
  <c r="M35" i="1" s="1"/>
  <c r="L33" i="1"/>
  <c r="L32" i="1"/>
  <c r="M32" i="1" s="1"/>
  <c r="K31" i="1"/>
  <c r="L31" i="1" s="1"/>
  <c r="M31" i="1" s="1"/>
  <c r="K30" i="1"/>
  <c r="K27" i="1"/>
  <c r="L27" i="1" s="1"/>
  <c r="M27" i="1" s="1"/>
  <c r="K26" i="1"/>
  <c r="L19" i="1"/>
  <c r="M19" i="1" s="1"/>
  <c r="K18" i="1"/>
  <c r="L18" i="1" s="1"/>
  <c r="M18" i="1" s="1"/>
  <c r="L17" i="1"/>
  <c r="M17" i="1" s="1"/>
  <c r="L16" i="1"/>
  <c r="M16" i="1" s="1"/>
  <c r="L15" i="1"/>
  <c r="M15" i="1" s="1"/>
  <c r="L14" i="1"/>
  <c r="M14" i="1" s="1"/>
  <c r="K13" i="1"/>
  <c r="L13" i="1" s="1"/>
  <c r="M13" i="1" s="1"/>
  <c r="K12" i="1"/>
  <c r="L12" i="1" s="1"/>
  <c r="M12" i="1" s="1"/>
  <c r="M24" i="1" l="1"/>
  <c r="M33" i="1"/>
  <c r="L42" i="1"/>
  <c r="M42" i="1" s="1"/>
  <c r="L28" i="1"/>
  <c r="M28" i="1" s="1"/>
  <c r="L29" i="1"/>
  <c r="M29" i="1" s="1"/>
  <c r="L45" i="1"/>
  <c r="M45" i="1" s="1"/>
  <c r="L30" i="1"/>
  <c r="M30" i="1" s="1"/>
  <c r="L26" i="1"/>
  <c r="M26" i="1" s="1"/>
  <c r="L38" i="1"/>
  <c r="M38" i="1" s="1"/>
  <c r="L46" i="1"/>
  <c r="M46" i="1" s="1"/>
  <c r="L40" i="1"/>
  <c r="M40" i="1" s="1"/>
  <c r="L37" i="1"/>
  <c r="M37" i="1" s="1"/>
  <c r="L36" i="1"/>
  <c r="M36" i="1" s="1"/>
  <c r="L11" i="1"/>
  <c r="M11" i="1" s="1"/>
  <c r="T52" i="14"/>
  <c r="S52" i="14"/>
  <c r="R52" i="14"/>
  <c r="M63" i="1" l="1"/>
  <c r="R10" i="14" l="1"/>
  <c r="R17" i="14"/>
  <c r="R25" i="14"/>
  <c r="R33" i="14"/>
  <c r="R41" i="14"/>
  <c r="R48" i="14"/>
  <c r="R49" i="14"/>
  <c r="L49" i="14"/>
  <c r="M49" i="14" s="1"/>
  <c r="J49" i="14"/>
  <c r="A49" i="14"/>
  <c r="L48" i="14"/>
  <c r="M48" i="14" s="1"/>
  <c r="J48" i="14"/>
  <c r="A48" i="14"/>
  <c r="S47" i="14"/>
  <c r="M47" i="14"/>
  <c r="J47" i="14"/>
  <c r="L46" i="14"/>
  <c r="M46" i="14" s="1"/>
  <c r="J46" i="14"/>
  <c r="L45" i="14"/>
  <c r="M45" i="14" s="1"/>
  <c r="J45" i="14"/>
  <c r="M44" i="14"/>
  <c r="J44" i="14"/>
  <c r="A44" i="14"/>
  <c r="L43" i="14"/>
  <c r="M43" i="14" s="1"/>
  <c r="J43" i="14"/>
  <c r="L42" i="14"/>
  <c r="M42" i="14" s="1"/>
  <c r="J42" i="14"/>
  <c r="L41" i="14"/>
  <c r="M41" i="14" s="1"/>
  <c r="J41" i="14"/>
  <c r="L40" i="14"/>
  <c r="M40" i="14" s="1"/>
  <c r="J40" i="14"/>
  <c r="L39" i="14"/>
  <c r="M39" i="14" s="1"/>
  <c r="J39" i="14"/>
  <c r="A39" i="14"/>
  <c r="L38" i="14"/>
  <c r="M38" i="14" s="1"/>
  <c r="J38" i="14"/>
  <c r="S37" i="14"/>
  <c r="L37" i="14"/>
  <c r="M37" i="14" s="1"/>
  <c r="J37" i="14"/>
  <c r="A37" i="14"/>
  <c r="L36" i="14"/>
  <c r="M36" i="14" s="1"/>
  <c r="J36" i="14"/>
  <c r="L35" i="14"/>
  <c r="M35" i="14" s="1"/>
  <c r="J35" i="14"/>
  <c r="L34" i="14"/>
  <c r="M34" i="14" s="1"/>
  <c r="J34" i="14"/>
  <c r="L33" i="14"/>
  <c r="M33" i="14" s="1"/>
  <c r="J33" i="14"/>
  <c r="A33" i="14"/>
  <c r="M32" i="14"/>
  <c r="J32" i="14"/>
  <c r="T31" i="14"/>
  <c r="M31" i="14"/>
  <c r="J31" i="14"/>
  <c r="L30" i="14"/>
  <c r="M30" i="14" s="1"/>
  <c r="J30" i="14"/>
  <c r="L29" i="14"/>
  <c r="M29" i="14" s="1"/>
  <c r="J29" i="14"/>
  <c r="A29" i="14"/>
  <c r="T28" i="14"/>
  <c r="M28" i="14"/>
  <c r="J28" i="14"/>
  <c r="S27" i="14"/>
  <c r="M27" i="14"/>
  <c r="J27" i="14"/>
  <c r="L26" i="14"/>
  <c r="M26" i="14" s="1"/>
  <c r="J26" i="14"/>
  <c r="L25" i="14"/>
  <c r="M25" i="14" s="1"/>
  <c r="J25" i="14"/>
  <c r="L24" i="14"/>
  <c r="M24" i="14" s="1"/>
  <c r="J24" i="14"/>
  <c r="A24" i="14"/>
  <c r="L23" i="14"/>
  <c r="M23" i="14" s="1"/>
  <c r="J23" i="14"/>
  <c r="S22" i="14"/>
  <c r="M22" i="14"/>
  <c r="J22" i="14"/>
  <c r="M21" i="14"/>
  <c r="J21" i="14"/>
  <c r="L20" i="14"/>
  <c r="M20" i="14" s="1"/>
  <c r="J20" i="14"/>
  <c r="M19" i="14"/>
  <c r="J19" i="14"/>
  <c r="A19" i="14"/>
  <c r="M18" i="14"/>
  <c r="J18" i="14"/>
  <c r="L17" i="14"/>
  <c r="M17" i="14" s="1"/>
  <c r="J17" i="14"/>
  <c r="L16" i="14"/>
  <c r="M16" i="14" s="1"/>
  <c r="J16" i="14"/>
  <c r="L15" i="14"/>
  <c r="M15" i="14" s="1"/>
  <c r="J15" i="14"/>
  <c r="L14" i="14"/>
  <c r="M14" i="14" s="1"/>
  <c r="J14" i="14"/>
  <c r="L13" i="14"/>
  <c r="M13" i="14" s="1"/>
  <c r="J13" i="14"/>
  <c r="L12" i="14"/>
  <c r="M12" i="14" s="1"/>
  <c r="J12" i="14"/>
  <c r="L11" i="14"/>
  <c r="M11" i="14" s="1"/>
  <c r="J11" i="14"/>
  <c r="L10" i="14"/>
  <c r="M10" i="14" s="1"/>
  <c r="J10" i="14"/>
  <c r="A10" i="14"/>
  <c r="A5" i="14"/>
  <c r="T4" i="14"/>
  <c r="T7" i="14" s="1"/>
  <c r="S4" i="14"/>
  <c r="S7" i="14" s="1"/>
  <c r="U7" i="14" s="1"/>
  <c r="V7" i="14" s="1"/>
  <c r="U28" i="13"/>
  <c r="U27" i="13"/>
  <c r="U26" i="13"/>
  <c r="U25" i="13"/>
  <c r="U24" i="13"/>
  <c r="U23" i="13"/>
  <c r="U22" i="13"/>
  <c r="U21" i="13"/>
  <c r="U20" i="13"/>
  <c r="U19" i="13"/>
  <c r="U18" i="13"/>
  <c r="U3" i="13"/>
  <c r="U5" i="13" s="1"/>
  <c r="U6" i="13" s="1"/>
  <c r="T3" i="13"/>
  <c r="T4" i="13" s="1"/>
  <c r="S3" i="13"/>
  <c r="S5" i="13" s="1"/>
  <c r="S6" i="13" s="1"/>
  <c r="U13" i="13"/>
  <c r="U14" i="13"/>
  <c r="U15" i="13"/>
  <c r="U16" i="13"/>
  <c r="U17" i="13"/>
  <c r="U12" i="13"/>
  <c r="V12" i="13" s="1"/>
  <c r="R5" i="13"/>
  <c r="R6" i="13" s="1"/>
  <c r="R4" i="13"/>
  <c r="T26" i="1"/>
  <c r="R26" i="1"/>
  <c r="G50" i="1"/>
  <c r="G12" i="1"/>
  <c r="G13" i="1"/>
  <c r="G18" i="1"/>
  <c r="G19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11" i="1"/>
  <c r="I58" i="5"/>
  <c r="G63" i="1" l="1"/>
  <c r="M64" i="1" s="1"/>
  <c r="T33" i="14"/>
  <c r="U7" i="1"/>
  <c r="V7" i="1" s="1"/>
  <c r="S30" i="14"/>
  <c r="S9" i="14"/>
  <c r="T34" i="14"/>
  <c r="T9" i="14"/>
  <c r="T35" i="14"/>
  <c r="S38" i="14"/>
  <c r="S36" i="14"/>
  <c r="S6" i="14"/>
  <c r="T36" i="14"/>
  <c r="S23" i="14"/>
  <c r="T32" i="14"/>
  <c r="T6" i="14"/>
  <c r="S29" i="14"/>
  <c r="S26" i="1"/>
  <c r="R40" i="14"/>
  <c r="R16" i="14"/>
  <c r="R47" i="14"/>
  <c r="R39" i="14"/>
  <c r="R31" i="14"/>
  <c r="R23" i="14"/>
  <c r="R15" i="14"/>
  <c r="R32" i="14"/>
  <c r="R24" i="14"/>
  <c r="R46" i="14"/>
  <c r="R38" i="14"/>
  <c r="R30" i="14"/>
  <c r="R22" i="14"/>
  <c r="R14" i="14"/>
  <c r="R13" i="14"/>
  <c r="R29" i="14"/>
  <c r="R44" i="14"/>
  <c r="R36" i="14"/>
  <c r="R28" i="14"/>
  <c r="R20" i="14"/>
  <c r="R12" i="14"/>
  <c r="R21" i="14"/>
  <c r="R43" i="14"/>
  <c r="R35" i="14"/>
  <c r="R27" i="14"/>
  <c r="R19" i="14"/>
  <c r="R11" i="14"/>
  <c r="R45" i="14"/>
  <c r="R37" i="14"/>
  <c r="R42" i="14"/>
  <c r="R34" i="14"/>
  <c r="R26" i="14"/>
  <c r="R18" i="14"/>
  <c r="S21" i="14"/>
  <c r="T22" i="14"/>
  <c r="T23" i="14"/>
  <c r="S24" i="14"/>
  <c r="S25" i="14"/>
  <c r="S26" i="14"/>
  <c r="T27" i="14"/>
  <c r="T29" i="14"/>
  <c r="T30" i="14"/>
  <c r="T37" i="14"/>
  <c r="T38" i="14"/>
  <c r="S39" i="14"/>
  <c r="S40" i="14"/>
  <c r="S41" i="14"/>
  <c r="S42" i="14"/>
  <c r="S43" i="14"/>
  <c r="S44" i="14"/>
  <c r="S45" i="14"/>
  <c r="S46" i="14"/>
  <c r="T47" i="14"/>
  <c r="S48" i="14"/>
  <c r="S8" i="14"/>
  <c r="S18" i="14"/>
  <c r="S19" i="14"/>
  <c r="S20" i="14"/>
  <c r="T21" i="14"/>
  <c r="T24" i="14"/>
  <c r="T25" i="14"/>
  <c r="T26" i="14"/>
  <c r="T39" i="14"/>
  <c r="T40" i="14"/>
  <c r="T41" i="14"/>
  <c r="T42" i="14"/>
  <c r="T43" i="14"/>
  <c r="T44" i="14"/>
  <c r="T45" i="14"/>
  <c r="T46" i="14"/>
  <c r="T48" i="14"/>
  <c r="S49" i="14"/>
  <c r="T8" i="14"/>
  <c r="S10" i="14"/>
  <c r="S11" i="14"/>
  <c r="S12" i="14"/>
  <c r="S13" i="14"/>
  <c r="S14" i="14"/>
  <c r="S15" i="14"/>
  <c r="S16" i="14"/>
  <c r="S17" i="14"/>
  <c r="T18" i="14"/>
  <c r="T19" i="14"/>
  <c r="T20" i="14"/>
  <c r="T49" i="14"/>
  <c r="T10" i="14"/>
  <c r="T11" i="14"/>
  <c r="T12" i="14"/>
  <c r="T13" i="14"/>
  <c r="T14" i="14"/>
  <c r="T15" i="14"/>
  <c r="T16" i="14"/>
  <c r="T17" i="14"/>
  <c r="S5" i="14"/>
  <c r="T5" i="14"/>
  <c r="S32" i="14"/>
  <c r="U32" i="14" s="1"/>
  <c r="V32" i="14" s="1"/>
  <c r="S28" i="14"/>
  <c r="S31" i="14"/>
  <c r="S33" i="14"/>
  <c r="S34" i="14"/>
  <c r="S35" i="14"/>
  <c r="V14" i="13"/>
  <c r="S4" i="13"/>
  <c r="S7" i="13" s="1"/>
  <c r="R7" i="13"/>
  <c r="T5" i="13"/>
  <c r="U4" i="13"/>
  <c r="U7" i="13" s="1"/>
  <c r="A30" i="1"/>
  <c r="A25" i="1"/>
  <c r="A38" i="1"/>
  <c r="A40" i="1"/>
  <c r="A49" i="1"/>
  <c r="A45" i="1"/>
  <c r="U6" i="1" l="1"/>
  <c r="V6" i="1" s="1"/>
  <c r="U9" i="1"/>
  <c r="V9" i="1" s="1"/>
  <c r="U36" i="14"/>
  <c r="V36" i="14" s="1"/>
  <c r="U27" i="14"/>
  <c r="V27" i="14" s="1"/>
  <c r="U9" i="14"/>
  <c r="V9" i="14" s="1"/>
  <c r="U25" i="14"/>
  <c r="V25" i="14" s="1"/>
  <c r="U6" i="14"/>
  <c r="V6" i="14" s="1"/>
  <c r="U40" i="14"/>
  <c r="V40" i="14" s="1"/>
  <c r="U48" i="14"/>
  <c r="V48" i="14" s="1"/>
  <c r="U42" i="14"/>
  <c r="V42" i="14" s="1"/>
  <c r="U26" i="14"/>
  <c r="V26" i="14" s="1"/>
  <c r="U35" i="14"/>
  <c r="V35" i="14" s="1"/>
  <c r="U47" i="14"/>
  <c r="V47" i="14" s="1"/>
  <c r="U30" i="14"/>
  <c r="V30" i="14" s="1"/>
  <c r="T50" i="14"/>
  <c r="T51" i="14" s="1"/>
  <c r="T53" i="14" s="1"/>
  <c r="T54" i="14" s="1"/>
  <c r="U15" i="14"/>
  <c r="V15" i="14" s="1"/>
  <c r="U43" i="14"/>
  <c r="V43" i="14" s="1"/>
  <c r="U38" i="14"/>
  <c r="V38" i="14" s="1"/>
  <c r="U44" i="14"/>
  <c r="V44" i="14" s="1"/>
  <c r="U39" i="14"/>
  <c r="V39" i="14" s="1"/>
  <c r="U20" i="14"/>
  <c r="V20" i="14" s="1"/>
  <c r="U34" i="14"/>
  <c r="V34" i="14" s="1"/>
  <c r="U23" i="14"/>
  <c r="V23" i="14" s="1"/>
  <c r="U33" i="14"/>
  <c r="V33" i="14" s="1"/>
  <c r="U46" i="14"/>
  <c r="V46" i="14" s="1"/>
  <c r="U29" i="14"/>
  <c r="V29" i="14" s="1"/>
  <c r="U14" i="14"/>
  <c r="V14" i="14" s="1"/>
  <c r="U41" i="14"/>
  <c r="V41" i="14" s="1"/>
  <c r="U37" i="14"/>
  <c r="V37" i="14" s="1"/>
  <c r="S50" i="14"/>
  <c r="S51" i="14" s="1"/>
  <c r="U12" i="14"/>
  <c r="V12" i="14" s="1"/>
  <c r="U24" i="14"/>
  <c r="V24" i="14" s="1"/>
  <c r="U19" i="14"/>
  <c r="V19" i="14" s="1"/>
  <c r="U5" i="14"/>
  <c r="V5" i="14" s="1"/>
  <c r="R50" i="14"/>
  <c r="U11" i="14"/>
  <c r="V11" i="14" s="1"/>
  <c r="U49" i="14"/>
  <c r="V49" i="14" s="1"/>
  <c r="U18" i="14"/>
  <c r="V18" i="14" s="1"/>
  <c r="U10" i="14"/>
  <c r="V10" i="14" s="1"/>
  <c r="U8" i="14"/>
  <c r="V8" i="14" s="1"/>
  <c r="U13" i="14"/>
  <c r="V13" i="14" s="1"/>
  <c r="U22" i="14"/>
  <c r="V22" i="14" s="1"/>
  <c r="U31" i="14"/>
  <c r="V31" i="14" s="1"/>
  <c r="U17" i="14"/>
  <c r="V17" i="14" s="1"/>
  <c r="U21" i="14"/>
  <c r="V21" i="14" s="1"/>
  <c r="U28" i="14"/>
  <c r="V28" i="14" s="1"/>
  <c r="U16" i="14"/>
  <c r="V16" i="14" s="1"/>
  <c r="U45" i="14"/>
  <c r="V45" i="14" s="1"/>
  <c r="T6" i="13"/>
  <c r="Q33" i="12"/>
  <c r="S33" i="12" s="1"/>
  <c r="U33" i="12" s="1"/>
  <c r="Q32" i="12"/>
  <c r="S32" i="12" s="1"/>
  <c r="U32" i="12" s="1"/>
  <c r="Q31" i="12"/>
  <c r="S31" i="12" s="1"/>
  <c r="U31" i="12" s="1"/>
  <c r="Q30" i="12"/>
  <c r="S30" i="12" s="1"/>
  <c r="U30" i="12" s="1"/>
  <c r="Q29" i="12"/>
  <c r="S29" i="12" s="1"/>
  <c r="U29" i="12" s="1"/>
  <c r="Q28" i="12"/>
  <c r="S28" i="12" s="1"/>
  <c r="U28" i="12" s="1"/>
  <c r="Q27" i="12"/>
  <c r="Q24" i="12"/>
  <c r="S24" i="12" s="1"/>
  <c r="U24" i="12" s="1"/>
  <c r="Q23" i="12"/>
  <c r="S23" i="12" s="1"/>
  <c r="U23" i="12" s="1"/>
  <c r="Q22" i="12"/>
  <c r="S22" i="12" s="1"/>
  <c r="U22" i="12" s="1"/>
  <c r="Q21" i="12"/>
  <c r="S21" i="12" s="1"/>
  <c r="U21" i="12" s="1"/>
  <c r="Q20" i="12"/>
  <c r="S20" i="12" s="1"/>
  <c r="T55" i="14" l="1"/>
  <c r="R51" i="14"/>
  <c r="U50" i="14"/>
  <c r="U56" i="14" s="1"/>
  <c r="S53" i="14"/>
  <c r="S54" i="14" s="1"/>
  <c r="T7" i="13"/>
  <c r="S25" i="12"/>
  <c r="S26" i="12" s="1"/>
  <c r="U20" i="12"/>
  <c r="U25" i="12" s="1"/>
  <c r="Q34" i="12"/>
  <c r="S27" i="12"/>
  <c r="S34" i="12" s="1"/>
  <c r="S35" i="12" s="1"/>
  <c r="Q25" i="12"/>
  <c r="V51" i="14" l="1"/>
  <c r="R53" i="14"/>
  <c r="S55" i="14"/>
  <c r="V25" i="12"/>
  <c r="U27" i="12"/>
  <c r="U34" i="12" s="1"/>
  <c r="V34" i="12" s="1"/>
  <c r="V52" i="14" l="1"/>
  <c r="R54" i="14"/>
  <c r="V54" i="14" s="1"/>
  <c r="V53" i="14"/>
  <c r="V56" i="14" s="1"/>
  <c r="A34" i="1"/>
  <c r="A50" i="1"/>
  <c r="R55" i="14" l="1"/>
  <c r="V55" i="14" s="1"/>
  <c r="E30" i="5"/>
  <c r="A20" i="1" l="1"/>
  <c r="D34" i="5" l="1"/>
  <c r="F42" i="5" s="1"/>
  <c r="E34" i="5"/>
  <c r="G42" i="5" s="1"/>
  <c r="F34" i="5"/>
  <c r="H42" i="5" s="1"/>
  <c r="K42" i="5" s="1"/>
  <c r="G34" i="5"/>
  <c r="I42" i="5" s="1"/>
  <c r="C34" i="5"/>
  <c r="E42" i="5" s="1"/>
  <c r="E59" i="5" l="1"/>
  <c r="D42" i="5"/>
  <c r="L42" i="5" s="1"/>
  <c r="F59" i="5"/>
  <c r="J42" i="5"/>
  <c r="A11" i="1"/>
  <c r="A5" i="1"/>
  <c r="G57" i="5" l="1"/>
  <c r="F57" i="5"/>
  <c r="E57" i="5"/>
  <c r="I40" i="5" l="1"/>
  <c r="H40" i="5"/>
  <c r="G40" i="5"/>
  <c r="F40" i="5"/>
  <c r="E40" i="5"/>
  <c r="G30" i="5"/>
  <c r="I41" i="5" s="1"/>
  <c r="F30" i="5"/>
  <c r="D30" i="5"/>
  <c r="F41" i="5" s="1"/>
  <c r="C30" i="5"/>
  <c r="G23" i="5"/>
  <c r="E41" i="5" l="1"/>
  <c r="E58" i="5"/>
  <c r="G41" i="5"/>
  <c r="F58" i="5"/>
  <c r="H41" i="5"/>
  <c r="H58" i="5" s="1"/>
  <c r="G58" i="5"/>
  <c r="J41" i="5"/>
  <c r="K41" i="5"/>
  <c r="T45" i="1" l="1"/>
  <c r="T37" i="1"/>
  <c r="T29" i="1"/>
  <c r="T21" i="1"/>
  <c r="T22" i="1"/>
  <c r="T35" i="1"/>
  <c r="T15" i="1"/>
  <c r="T34" i="1"/>
  <c r="T18" i="1"/>
  <c r="T47" i="1"/>
  <c r="T39" i="1"/>
  <c r="T31" i="1"/>
  <c r="T23" i="1"/>
  <c r="T38" i="1"/>
  <c r="T43" i="1"/>
  <c r="T19" i="1"/>
  <c r="T48" i="1"/>
  <c r="T32" i="1"/>
  <c r="T17" i="1"/>
  <c r="T28" i="1"/>
  <c r="T20" i="1"/>
  <c r="T16" i="1"/>
  <c r="T27" i="1"/>
  <c r="T14" i="1"/>
  <c r="T41" i="1"/>
  <c r="T33" i="1"/>
  <c r="T25" i="1"/>
  <c r="T13" i="1"/>
  <c r="T12" i="1"/>
  <c r="S48" i="1"/>
  <c r="S32" i="1"/>
  <c r="S12" i="1"/>
  <c r="S14" i="1"/>
  <c r="S27" i="1"/>
  <c r="S45" i="1"/>
  <c r="S37" i="1"/>
  <c r="S29" i="1"/>
  <c r="S21" i="1"/>
  <c r="S41" i="1"/>
  <c r="S15" i="1"/>
  <c r="S34" i="1"/>
  <c r="S18" i="1"/>
  <c r="S25" i="1"/>
  <c r="S13" i="1"/>
  <c r="S47" i="1"/>
  <c r="S39" i="1"/>
  <c r="S31" i="1"/>
  <c r="S23" i="1"/>
  <c r="S33" i="1"/>
  <c r="S19" i="1"/>
  <c r="S17" i="1"/>
  <c r="S28" i="1"/>
  <c r="S20" i="1"/>
  <c r="S38" i="1"/>
  <c r="S22" i="1"/>
  <c r="S16" i="1"/>
  <c r="S43" i="1"/>
  <c r="S35" i="1"/>
  <c r="D41" i="5"/>
  <c r="D58" i="5"/>
  <c r="U10" i="1" s="1"/>
  <c r="V10" i="1" s="1"/>
  <c r="T49" i="1"/>
  <c r="S49" i="1"/>
  <c r="T50" i="1"/>
  <c r="S50" i="1"/>
  <c r="L41" i="5"/>
  <c r="R16" i="1" l="1"/>
  <c r="U16" i="1" s="1"/>
  <c r="V16" i="1" s="1"/>
  <c r="R43" i="1"/>
  <c r="U43" i="1" s="1"/>
  <c r="V43" i="1" s="1"/>
  <c r="R35" i="1"/>
  <c r="U35" i="1" s="1"/>
  <c r="V35" i="1" s="1"/>
  <c r="R27" i="1"/>
  <c r="U27" i="1" s="1"/>
  <c r="V27" i="1" s="1"/>
  <c r="R19" i="1"/>
  <c r="U19" i="1" s="1"/>
  <c r="V19" i="1" s="1"/>
  <c r="R36" i="1"/>
  <c r="U36" i="1" s="1"/>
  <c r="V36" i="1" s="1"/>
  <c r="R25" i="1"/>
  <c r="U25" i="1" s="1"/>
  <c r="V25" i="1" s="1"/>
  <c r="R48" i="1"/>
  <c r="U48" i="1" s="1"/>
  <c r="V48" i="1" s="1"/>
  <c r="U40" i="1"/>
  <c r="V40" i="1" s="1"/>
  <c r="R32" i="1"/>
  <c r="U32" i="1" s="1"/>
  <c r="V32" i="1" s="1"/>
  <c r="R24" i="1"/>
  <c r="U24" i="1" s="1"/>
  <c r="V24" i="1" s="1"/>
  <c r="R12" i="1"/>
  <c r="U12" i="1" s="1"/>
  <c r="V12" i="1" s="1"/>
  <c r="R45" i="1"/>
  <c r="U45" i="1" s="1"/>
  <c r="V45" i="1" s="1"/>
  <c r="R37" i="1"/>
  <c r="U37" i="1" s="1"/>
  <c r="V37" i="1" s="1"/>
  <c r="R29" i="1"/>
  <c r="U29" i="1" s="1"/>
  <c r="V29" i="1" s="1"/>
  <c r="R21" i="1"/>
  <c r="U21" i="1" s="1"/>
  <c r="V21" i="1" s="1"/>
  <c r="R17" i="1"/>
  <c r="U17" i="1" s="1"/>
  <c r="V17" i="1" s="1"/>
  <c r="R33" i="1"/>
  <c r="U33" i="1" s="1"/>
  <c r="V33" i="1" s="1"/>
  <c r="R38" i="1"/>
  <c r="U38" i="1" s="1"/>
  <c r="V38" i="1" s="1"/>
  <c r="R22" i="1"/>
  <c r="U22" i="1" s="1"/>
  <c r="V22" i="1" s="1"/>
  <c r="R15" i="1"/>
  <c r="U15" i="1" s="1"/>
  <c r="V15" i="1" s="1"/>
  <c r="R42" i="1"/>
  <c r="U42" i="1" s="1"/>
  <c r="V42" i="1" s="1"/>
  <c r="R34" i="1"/>
  <c r="U34" i="1" s="1"/>
  <c r="V34" i="1" s="1"/>
  <c r="U26" i="1"/>
  <c r="V26" i="1" s="1"/>
  <c r="R18" i="1"/>
  <c r="U18" i="1" s="1"/>
  <c r="V18" i="1" s="1"/>
  <c r="R20" i="1"/>
  <c r="U20" i="1" s="1"/>
  <c r="V20" i="1" s="1"/>
  <c r="R41" i="1"/>
  <c r="U41" i="1" s="1"/>
  <c r="V41" i="1" s="1"/>
  <c r="R13" i="1"/>
  <c r="U13" i="1" s="1"/>
  <c r="V13" i="1" s="1"/>
  <c r="R46" i="1"/>
  <c r="U46" i="1" s="1"/>
  <c r="V46" i="1" s="1"/>
  <c r="U30" i="1"/>
  <c r="V30" i="1" s="1"/>
  <c r="R47" i="1"/>
  <c r="U47" i="1" s="1"/>
  <c r="V47" i="1" s="1"/>
  <c r="R39" i="1"/>
  <c r="U39" i="1" s="1"/>
  <c r="V39" i="1" s="1"/>
  <c r="R31" i="1"/>
  <c r="U31" i="1" s="1"/>
  <c r="V31" i="1" s="1"/>
  <c r="R23" i="1"/>
  <c r="U23" i="1" s="1"/>
  <c r="V23" i="1" s="1"/>
  <c r="R11" i="1"/>
  <c r="U11" i="1" s="1"/>
  <c r="V11" i="1" s="1"/>
  <c r="R44" i="1"/>
  <c r="U44" i="1" s="1"/>
  <c r="V44" i="1" s="1"/>
  <c r="R28" i="1"/>
  <c r="U28" i="1" s="1"/>
  <c r="V28" i="1" s="1"/>
  <c r="R14" i="1"/>
  <c r="U14" i="1" s="1"/>
  <c r="V14" i="1" s="1"/>
  <c r="R49" i="1"/>
  <c r="R50" i="1"/>
  <c r="S51" i="1"/>
  <c r="S52" i="1" s="1"/>
  <c r="S53" i="1" s="1"/>
  <c r="C58" i="5"/>
  <c r="C59" i="5"/>
  <c r="T51" i="1"/>
  <c r="T52" i="1" s="1"/>
  <c r="T53" i="1" s="1"/>
  <c r="C41" i="5"/>
  <c r="C42" i="5"/>
  <c r="T54" i="1" l="1"/>
  <c r="T55" i="1" s="1"/>
  <c r="S54" i="1"/>
  <c r="S55" i="1" s="1"/>
  <c r="U49" i="1"/>
  <c r="V49" i="1" s="1"/>
  <c r="U50" i="1"/>
  <c r="V50" i="1" s="1"/>
  <c r="T56" i="1" l="1"/>
  <c r="S56" i="1"/>
  <c r="U5" i="1"/>
  <c r="V5" i="1" s="1"/>
  <c r="R51" i="1"/>
  <c r="R52" i="1" l="1"/>
  <c r="V54" i="1" l="1"/>
  <c r="R53" i="1"/>
  <c r="U51" i="1"/>
  <c r="U57" i="1" s="1"/>
  <c r="V52" i="1"/>
  <c r="R55" i="1" l="1"/>
  <c r="V55" i="1" s="1"/>
  <c r="V57" i="1"/>
  <c r="V53" i="1"/>
  <c r="R56" i="1" l="1"/>
  <c r="V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D40" authorId="0" shapeId="0" xr:uid="{E904291A-9222-4401-BB5F-2815BB04097A}">
      <text>
        <r>
          <rPr>
            <b/>
            <sz val="9"/>
            <color indexed="81"/>
            <rFont val="MS P ゴシック"/>
            <family val="3"/>
            <charset val="128"/>
          </rPr>
          <t>基本データ分割_OneSAP向け伝送を想定</t>
        </r>
      </text>
    </comment>
    <comment ref="I42" authorId="0" shapeId="0" xr:uid="{AA2AECFF-A063-40BF-9362-0F1812F6531B}">
      <text>
        <r>
          <rPr>
            <b/>
            <sz val="9"/>
            <color indexed="81"/>
            <rFont val="MS P ゴシック"/>
            <family val="3"/>
            <charset val="128"/>
          </rPr>
          <t>データ作成＋帳票出力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K36" authorId="0" shapeId="0" xr:uid="{16045D43-FE85-45D1-BC66-474AFFA0C20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0" authorId="0" shapeId="0" xr:uid="{CD6F070A-7A6B-4D17-AB64-F9902043BBAC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2" authorId="0" shapeId="0" xr:uid="{20B3C2E6-5631-49B1-8B1B-59BD018AC1E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3" authorId="0" shapeId="0" xr:uid="{71F7D78B-1569-4498-9FB7-CD7D36530301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5" authorId="0" shapeId="0" xr:uid="{62A11B47-F498-4B84-B88C-371D3E63F90C}">
      <text>
        <r>
          <rPr>
            <b/>
            <sz val="9"/>
            <color indexed="81"/>
            <rFont val="MS P ゴシック"/>
            <family val="3"/>
            <charset val="128"/>
          </rPr>
          <t>機能内で8つに分かれる。
各5人日想定</t>
        </r>
      </text>
    </comment>
    <comment ref="K48" authorId="0" shapeId="0" xr:uid="{65FA028F-969C-4266-99D1-8480C675CA98}">
      <text>
        <r>
          <rPr>
            <b/>
            <sz val="9"/>
            <color indexed="81"/>
            <rFont val="MS P ゴシック"/>
            <family val="3"/>
            <charset val="128"/>
          </rPr>
          <t>機能内で4つに分かれる。
各5人日想定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9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  <comment ref="F39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詳細設計書は、Doxygenを利用して自動作成する為、
一律0.125人日とします。</t>
        </r>
      </text>
    </comment>
    <comment ref="D56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</commentList>
</comments>
</file>

<file path=xl/sharedStrings.xml><?xml version="1.0" encoding="utf-8"?>
<sst xmlns="http://schemas.openxmlformats.org/spreadsheetml/2006/main" count="579" uniqueCount="233">
  <si>
    <t>4月</t>
    <rPh sb="1" eb="2">
      <t>ガツ</t>
    </rPh>
    <phoneticPr fontId="9"/>
  </si>
  <si>
    <t>5月</t>
    <rPh sb="1" eb="2">
      <t>ガツ</t>
    </rPh>
    <phoneticPr fontId="9"/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</si>
  <si>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</si>
  <si>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</si>
  <si>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</si>
  <si>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</si>
  <si>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</si>
  <si>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</si>
  <si>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</si>
  <si>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</si>
  <si>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</si>
  <si>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</si>
  <si>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</si>
  <si>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要件定義</t>
    <rPh sb="0" eb="2">
      <t>ヨウケン</t>
    </rPh>
    <rPh sb="2" eb="4">
      <t>テイギ</t>
    </rPh>
    <phoneticPr fontId="9"/>
  </si>
  <si>
    <t>外部IFは対象外</t>
    <rPh sb="0" eb="2">
      <t>ガイブ</t>
    </rPh>
    <rPh sb="5" eb="8">
      <t>タイショウガイ</t>
    </rPh>
    <phoneticPr fontId="3"/>
  </si>
  <si>
    <t>基本設計</t>
    <rPh sb="0" eb="2">
      <t>キホン</t>
    </rPh>
    <rPh sb="2" eb="4">
      <t>セッケイ</t>
    </rPh>
    <phoneticPr fontId="9"/>
  </si>
  <si>
    <t>インフラ構築は対象外</t>
    <rPh sb="4" eb="6">
      <t>コウチク</t>
    </rPh>
    <rPh sb="7" eb="10">
      <t>タイショウガイ</t>
    </rPh>
    <phoneticPr fontId="3"/>
  </si>
  <si>
    <t>UI検討</t>
    <rPh sb="2" eb="4">
      <t>ケントウ</t>
    </rPh>
    <phoneticPr fontId="3"/>
  </si>
  <si>
    <t>インフラ構成の設計はやる（ヒアリングシートの作成のみ）</t>
    <rPh sb="4" eb="6">
      <t>コウセイ</t>
    </rPh>
    <rPh sb="7" eb="9">
      <t>セッケイ</t>
    </rPh>
    <rPh sb="22" eb="24">
      <t>サクセイ</t>
    </rPh>
    <phoneticPr fontId="3"/>
  </si>
  <si>
    <t>詳細設計</t>
    <rPh sb="0" eb="2">
      <t>ショウサイ</t>
    </rPh>
    <rPh sb="2" eb="4">
      <t>セッケイ</t>
    </rPh>
    <phoneticPr fontId="9"/>
  </si>
  <si>
    <t>要件定義後に再見積り</t>
    <rPh sb="0" eb="2">
      <t>ヨウケン</t>
    </rPh>
    <rPh sb="2" eb="4">
      <t>テイギ</t>
    </rPh>
    <rPh sb="4" eb="5">
      <t>ゴ</t>
    </rPh>
    <rPh sb="6" eb="9">
      <t>サイミツ</t>
    </rPh>
    <phoneticPr fontId="3"/>
  </si>
  <si>
    <t>開発</t>
    <rPh sb="0" eb="2">
      <t>カイハツ</t>
    </rPh>
    <phoneticPr fontId="9"/>
  </si>
  <si>
    <t>要件定義、総合テスト以降は準委任契約とする</t>
    <rPh sb="0" eb="2">
      <t>ヨウケン</t>
    </rPh>
    <rPh sb="2" eb="4">
      <t>テイギ</t>
    </rPh>
    <rPh sb="5" eb="7">
      <t>ソウゴウ</t>
    </rPh>
    <rPh sb="10" eb="12">
      <t>イコウ</t>
    </rPh>
    <rPh sb="13" eb="16">
      <t>ジュンイニン</t>
    </rPh>
    <rPh sb="16" eb="18">
      <t>ケイヤク</t>
    </rPh>
    <phoneticPr fontId="3"/>
  </si>
  <si>
    <t>単体テスト</t>
    <rPh sb="0" eb="2">
      <t>タンタイ</t>
    </rPh>
    <phoneticPr fontId="9"/>
  </si>
  <si>
    <t>脆弱性診断の実施費用は含まれていない（修正作業は含まれている）</t>
    <rPh sb="0" eb="3">
      <t>ゼイジャクセイ</t>
    </rPh>
    <rPh sb="3" eb="5">
      <t>シンダン</t>
    </rPh>
    <rPh sb="6" eb="8">
      <t>ジッシ</t>
    </rPh>
    <rPh sb="8" eb="10">
      <t>ヒヨウ</t>
    </rPh>
    <rPh sb="11" eb="12">
      <t>フク</t>
    </rPh>
    <rPh sb="19" eb="21">
      <t>シュウセイ</t>
    </rPh>
    <rPh sb="21" eb="23">
      <t>サギョウ</t>
    </rPh>
    <rPh sb="24" eb="25">
      <t>フク</t>
    </rPh>
    <phoneticPr fontId="3"/>
  </si>
  <si>
    <t>結合テスト</t>
    <rPh sb="0" eb="2">
      <t>ケツゴウ</t>
    </rPh>
    <phoneticPr fontId="9"/>
  </si>
  <si>
    <t>オフショア利用の可能性あり</t>
    <rPh sb="5" eb="7">
      <t>リヨウ</t>
    </rPh>
    <rPh sb="8" eb="11">
      <t>カノウセイ</t>
    </rPh>
    <phoneticPr fontId="3"/>
  </si>
  <si>
    <t>総合テスト</t>
    <rPh sb="0" eb="2">
      <t>ソウゴウ</t>
    </rPh>
    <phoneticPr fontId="9"/>
  </si>
  <si>
    <t>ソフトウェア費用は含まれていない</t>
    <rPh sb="6" eb="8">
      <t>ヒヨウ</t>
    </rPh>
    <rPh sb="9" eb="10">
      <t>フク</t>
    </rPh>
    <phoneticPr fontId="3"/>
  </si>
  <si>
    <t>受入テスト</t>
    <rPh sb="0" eb="2">
      <t>ウケイレ</t>
    </rPh>
    <phoneticPr fontId="9"/>
  </si>
  <si>
    <t>頂いた資料分の見積りしかいれていない（※ユーザー管理は追加した）</t>
    <rPh sb="0" eb="1">
      <t>イタダ</t>
    </rPh>
    <rPh sb="3" eb="5">
      <t>シリョウ</t>
    </rPh>
    <rPh sb="5" eb="6">
      <t>ブン</t>
    </rPh>
    <rPh sb="7" eb="9">
      <t>ミツモ</t>
    </rPh>
    <phoneticPr fontId="3"/>
  </si>
  <si>
    <t>本稼働</t>
    <rPh sb="0" eb="1">
      <t>ホン</t>
    </rPh>
    <rPh sb="1" eb="3">
      <t>カドウ</t>
    </rPh>
    <phoneticPr fontId="9"/>
  </si>
  <si>
    <t>出張費用は含まれていない</t>
    <rPh sb="0" eb="2">
      <t>シュッチョウ</t>
    </rPh>
    <rPh sb="2" eb="4">
      <t>ヒヨウ</t>
    </rPh>
    <rPh sb="5" eb="6">
      <t>フク</t>
    </rPh>
    <phoneticPr fontId="3"/>
  </si>
  <si>
    <t>初期流動</t>
    <rPh sb="0" eb="2">
      <t>ショキ</t>
    </rPh>
    <rPh sb="2" eb="4">
      <t>リュウドウ</t>
    </rPh>
    <phoneticPr fontId="9"/>
  </si>
  <si>
    <t>マニュアル作成は含まれている</t>
    <rPh sb="5" eb="7">
      <t>サクセイ</t>
    </rPh>
    <rPh sb="8" eb="9">
      <t>フク</t>
    </rPh>
    <phoneticPr fontId="3"/>
  </si>
  <si>
    <t>ユーザー教育は含まれていない</t>
    <rPh sb="7" eb="8">
      <t>フク</t>
    </rPh>
    <phoneticPr fontId="3"/>
  </si>
  <si>
    <t>PCブラウザのシステムを想定している（タブレット、スマホ対応なし）</t>
    <rPh sb="12" eb="14">
      <t>ソウテイ</t>
    </rPh>
    <rPh sb="28" eb="30">
      <t>タイオウ</t>
    </rPh>
    <phoneticPr fontId="3"/>
  </si>
  <si>
    <t>スクラッチ開発を想定している</t>
    <rPh sb="5" eb="7">
      <t>カイハツ</t>
    </rPh>
    <rPh sb="8" eb="10">
      <t>ソウテイ</t>
    </rPh>
    <phoneticPr fontId="3"/>
  </si>
  <si>
    <t>工数</t>
    <rPh sb="0" eb="2">
      <t>コウスウ</t>
    </rPh>
    <phoneticPr fontId="9"/>
  </si>
  <si>
    <t>単価</t>
    <rPh sb="0" eb="2">
      <t>タンカ</t>
    </rPh>
    <phoneticPr fontId="9"/>
  </si>
  <si>
    <t>金額</t>
    <rPh sb="0" eb="2">
      <t>キンガク</t>
    </rPh>
    <phoneticPr fontId="9"/>
  </si>
  <si>
    <t>原価</t>
    <rPh sb="0" eb="2">
      <t>ゲンカ</t>
    </rPh>
    <phoneticPr fontId="9"/>
  </si>
  <si>
    <t>粗利</t>
    <rPh sb="0" eb="2">
      <t>アラリ</t>
    </rPh>
    <phoneticPr fontId="9"/>
  </si>
  <si>
    <t>粗利率</t>
    <rPh sb="0" eb="2">
      <t>アラリ</t>
    </rPh>
    <rPh sb="2" eb="3">
      <t>リツ</t>
    </rPh>
    <phoneticPr fontId="9"/>
  </si>
  <si>
    <t>JP</t>
    <phoneticPr fontId="9"/>
  </si>
  <si>
    <t>PM</t>
    <phoneticPr fontId="9"/>
  </si>
  <si>
    <t>SE（BP）</t>
    <phoneticPr fontId="9"/>
  </si>
  <si>
    <t>PG（BP）</t>
    <phoneticPr fontId="9"/>
  </si>
  <si>
    <t>PL</t>
    <phoneticPr fontId="9"/>
  </si>
  <si>
    <t>VN</t>
    <phoneticPr fontId="9"/>
  </si>
  <si>
    <t>BG</t>
    <phoneticPr fontId="9"/>
  </si>
  <si>
    <t>SE</t>
    <phoneticPr fontId="9"/>
  </si>
  <si>
    <t>PG</t>
    <phoneticPr fontId="9"/>
  </si>
  <si>
    <t>№</t>
    <phoneticPr fontId="3"/>
  </si>
  <si>
    <t>システム名</t>
    <rPh sb="4" eb="5">
      <t>メイ</t>
    </rPh>
    <phoneticPr fontId="3"/>
  </si>
  <si>
    <t>機能名</t>
    <rPh sb="0" eb="2">
      <t>キノウ</t>
    </rPh>
    <rPh sb="2" eb="3">
      <t>メイ</t>
    </rPh>
    <phoneticPr fontId="3"/>
  </si>
  <si>
    <t>分類</t>
    <rPh sb="0" eb="2">
      <t>ブンルイ</t>
    </rPh>
    <phoneticPr fontId="3"/>
  </si>
  <si>
    <t>機能画面説明</t>
    <rPh sb="0" eb="2">
      <t>キノウ</t>
    </rPh>
    <rPh sb="2" eb="4">
      <t>ガメン</t>
    </rPh>
    <rPh sb="4" eb="6">
      <t>セツメイ</t>
    </rPh>
    <phoneticPr fontId="3"/>
  </si>
  <si>
    <t>難易度</t>
    <rPh sb="0" eb="3">
      <t>ナンイド</t>
    </rPh>
    <phoneticPr fontId="3"/>
  </si>
  <si>
    <t>新規
改修</t>
    <rPh sb="0" eb="2">
      <t>シンキ</t>
    </rPh>
    <rPh sb="3" eb="5">
      <t>カイシュウ</t>
    </rPh>
    <phoneticPr fontId="3"/>
  </si>
  <si>
    <t>工程別工数（人日）</t>
    <rPh sb="0" eb="2">
      <t>コウテイ</t>
    </rPh>
    <rPh sb="2" eb="3">
      <t>ベツ</t>
    </rPh>
    <rPh sb="3" eb="5">
      <t>コウスウ</t>
    </rPh>
    <rPh sb="6" eb="8">
      <t>ニンニチ</t>
    </rPh>
    <phoneticPr fontId="3"/>
  </si>
  <si>
    <t>合計
（人日）</t>
    <rPh sb="0" eb="2">
      <t>ゴウケイ</t>
    </rPh>
    <rPh sb="4" eb="5">
      <t>ニン</t>
    </rPh>
    <rPh sb="5" eb="6">
      <t>ニチ</t>
    </rPh>
    <phoneticPr fontId="3"/>
  </si>
  <si>
    <t>合計
（人月）</t>
    <rPh sb="0" eb="2">
      <t>ゴウケイ</t>
    </rPh>
    <rPh sb="4" eb="6">
      <t>ニンゲツ</t>
    </rPh>
    <phoneticPr fontId="3"/>
  </si>
  <si>
    <t>備考</t>
    <rPh sb="0" eb="2">
      <t>ビコウ</t>
    </rPh>
    <phoneticPr fontId="3"/>
  </si>
  <si>
    <t>大項目</t>
    <rPh sb="0" eb="1">
      <t>ダイ</t>
    </rPh>
    <rPh sb="1" eb="3">
      <t>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</si>
  <si>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</si>
  <si>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</si>
  <si>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要件定義</t>
    <rPh sb="0" eb="2">
      <t>ヨウケン</t>
    </rPh>
    <rPh sb="2" eb="4">
      <t>テイギ</t>
    </rPh>
    <phoneticPr fontId="3"/>
  </si>
  <si>
    <t>設計</t>
    <rPh sb="0" eb="2">
      <t>セッケイ</t>
    </rPh>
    <phoneticPr fontId="3"/>
  </si>
  <si>
    <t>開発/単体テスト</t>
    <rPh sb="0" eb="2">
      <t>カイハツ</t>
    </rPh>
    <rPh sb="3" eb="5">
      <t>タンタイ</t>
    </rPh>
    <phoneticPr fontId="3"/>
  </si>
  <si>
    <t>結合テスト</t>
    <rPh sb="0" eb="2">
      <t>ケツゴウ</t>
    </rPh>
    <phoneticPr fontId="3"/>
  </si>
  <si>
    <t>総合テスト</t>
    <rPh sb="0" eb="2">
      <t>ソウゴウ</t>
    </rPh>
    <phoneticPr fontId="3"/>
  </si>
  <si>
    <t>受入テスト</t>
    <rPh sb="0" eb="2">
      <t>ウケイレ</t>
    </rPh>
    <phoneticPr fontId="3"/>
  </si>
  <si>
    <t>基準工数</t>
    <rPh sb="0" eb="2">
      <t>キジュン</t>
    </rPh>
    <rPh sb="2" eb="4">
      <t>コウスウ</t>
    </rPh>
    <phoneticPr fontId="3"/>
  </si>
  <si>
    <t>共通</t>
  </si>
  <si>
    <t>アーキテクチャ</t>
    <phoneticPr fontId="3"/>
  </si>
  <si>
    <t>機能</t>
    <rPh sb="0" eb="2">
      <t>キノウ</t>
    </rPh>
    <phoneticPr fontId="3"/>
  </si>
  <si>
    <t>システムアーキテクチャを構築</t>
    <rPh sb="12" eb="14">
      <t>コウチク</t>
    </rPh>
    <phoneticPr fontId="3"/>
  </si>
  <si>
    <t>中</t>
    <rPh sb="0" eb="1">
      <t>チュウ</t>
    </rPh>
    <phoneticPr fontId="3"/>
  </si>
  <si>
    <t>新規</t>
  </si>
  <si>
    <t>低</t>
    <rPh sb="0" eb="1">
      <t>テイ</t>
    </rPh>
    <phoneticPr fontId="3"/>
  </si>
  <si>
    <t>高</t>
    <rPh sb="0" eb="1">
      <t>コウ</t>
    </rPh>
    <phoneticPr fontId="3"/>
  </si>
  <si>
    <t>合計（人日）</t>
    <rPh sb="0" eb="2">
      <t>ゴウケイ</t>
    </rPh>
    <rPh sb="3" eb="5">
      <t>ニンニチ</t>
    </rPh>
    <phoneticPr fontId="3"/>
  </si>
  <si>
    <t>合計（人月）</t>
    <rPh sb="0" eb="2">
      <t>ゴウケイ</t>
    </rPh>
    <rPh sb="3" eb="4">
      <t>ヒト</t>
    </rPh>
    <rPh sb="4" eb="5">
      <t>ツキ</t>
    </rPh>
    <phoneticPr fontId="3"/>
  </si>
  <si>
    <t>作業金額</t>
    <rPh sb="0" eb="4">
      <t>サギョウキンガク</t>
    </rPh>
    <phoneticPr fontId="3"/>
  </si>
  <si>
    <t>管理 + プレ工数</t>
    <rPh sb="0" eb="2">
      <t>カンリ</t>
    </rPh>
    <rPh sb="7" eb="9">
      <t>コウスウ</t>
    </rPh>
    <phoneticPr fontId="3"/>
  </si>
  <si>
    <t>管理 + プレ工数 金額</t>
    <rPh sb="0" eb="2">
      <t>カンリ</t>
    </rPh>
    <rPh sb="7" eb="9">
      <t>コウスウ</t>
    </rPh>
    <rPh sb="10" eb="12">
      <t>キンガク</t>
    </rPh>
    <phoneticPr fontId="3"/>
  </si>
  <si>
    <t>合計</t>
    <rPh sb="0" eb="2">
      <t>ゴウケイ</t>
    </rPh>
    <phoneticPr fontId="3"/>
  </si>
  <si>
    <t>総工数</t>
    <rPh sb="0" eb="1">
      <t>ソウ</t>
    </rPh>
    <rPh sb="1" eb="3">
      <t>コウスウ</t>
    </rPh>
    <phoneticPr fontId="3"/>
  </si>
  <si>
    <t>積算基準</t>
    <rPh sb="0" eb="2">
      <t>セキサン</t>
    </rPh>
    <rPh sb="2" eb="4">
      <t>キジュン</t>
    </rPh>
    <phoneticPr fontId="3"/>
  </si>
  <si>
    <t>１．難易度を「特高」~「特低」までの５段階に分類する。</t>
    <rPh sb="2" eb="5">
      <t>ナンイド</t>
    </rPh>
    <rPh sb="7" eb="8">
      <t>トク</t>
    </rPh>
    <rPh sb="8" eb="9">
      <t>コウ</t>
    </rPh>
    <rPh sb="12" eb="13">
      <t>トク</t>
    </rPh>
    <rPh sb="13" eb="14">
      <t>テイ</t>
    </rPh>
    <rPh sb="19" eb="21">
      <t>ダンカイ</t>
    </rPh>
    <rPh sb="22" eb="24">
      <t>ブンルイ</t>
    </rPh>
    <phoneticPr fontId="3"/>
  </si>
  <si>
    <t>特高</t>
    <rPh sb="0" eb="1">
      <t>トク</t>
    </rPh>
    <rPh sb="1" eb="2">
      <t>コウ</t>
    </rPh>
    <phoneticPr fontId="3"/>
  </si>
  <si>
    <t>特低</t>
    <rPh sb="0" eb="1">
      <t>トク</t>
    </rPh>
    <rPh sb="1" eb="2">
      <t>テイ</t>
    </rPh>
    <phoneticPr fontId="3"/>
  </si>
  <si>
    <t>２．難易度の判断基準は、項目数により、区別する。</t>
    <rPh sb="2" eb="5">
      <t>ナンイド</t>
    </rPh>
    <rPh sb="6" eb="8">
      <t>ハンダン</t>
    </rPh>
    <rPh sb="8" eb="10">
      <t>キジュン</t>
    </rPh>
    <rPh sb="12" eb="14">
      <t>コウモク</t>
    </rPh>
    <rPh sb="14" eb="15">
      <t>スウ</t>
    </rPh>
    <rPh sb="19" eb="21">
      <t>クベツ</t>
    </rPh>
    <phoneticPr fontId="3"/>
  </si>
  <si>
    <t>難易度判定：基準項目数</t>
    <rPh sb="0" eb="3">
      <t>ナンイド</t>
    </rPh>
    <rPh sb="3" eb="5">
      <t>ハンテイ</t>
    </rPh>
    <rPh sb="6" eb="8">
      <t>キジュン</t>
    </rPh>
    <rPh sb="8" eb="11">
      <t>コウモクスウ</t>
    </rPh>
    <phoneticPr fontId="3"/>
  </si>
  <si>
    <t>登録</t>
    <rPh sb="0" eb="2">
      <t>トウロク</t>
    </rPh>
    <phoneticPr fontId="3"/>
  </si>
  <si>
    <t>参照</t>
    <rPh sb="0" eb="2">
      <t>サンショウ</t>
    </rPh>
    <phoneticPr fontId="3"/>
  </si>
  <si>
    <t>３．IPA発行「ソフトウェア開発データ白書」に基づく、各工程の工数比率を使用する。</t>
    <rPh sb="5" eb="7">
      <t>ハッコウ</t>
    </rPh>
    <rPh sb="14" eb="16">
      <t>カイハツ</t>
    </rPh>
    <rPh sb="19" eb="21">
      <t>ハクショ</t>
    </rPh>
    <rPh sb="23" eb="24">
      <t>モト</t>
    </rPh>
    <rPh sb="27" eb="28">
      <t>カク</t>
    </rPh>
    <rPh sb="28" eb="30">
      <t>コウテイ</t>
    </rPh>
    <rPh sb="31" eb="33">
      <t>コウスウ</t>
    </rPh>
    <rPh sb="33" eb="35">
      <t>ヒリツ</t>
    </rPh>
    <rPh sb="36" eb="38">
      <t>シヨウ</t>
    </rPh>
    <phoneticPr fontId="3"/>
  </si>
  <si>
    <t>工数比率（IPA　ソフトウェア開発データ白書より）</t>
    <rPh sb="0" eb="2">
      <t>コウスウ</t>
    </rPh>
    <rPh sb="2" eb="4">
      <t>ヒリツ</t>
    </rPh>
    <phoneticPr fontId="3"/>
  </si>
  <si>
    <t>基本設計</t>
    <rPh sb="0" eb="2">
      <t>キホン</t>
    </rPh>
    <rPh sb="2" eb="4">
      <t>セッケイ</t>
    </rPh>
    <phoneticPr fontId="3"/>
  </si>
  <si>
    <t>詳細設計</t>
    <rPh sb="0" eb="2">
      <t>ショウサイ</t>
    </rPh>
    <rPh sb="2" eb="4">
      <t>セッケイ</t>
    </rPh>
    <phoneticPr fontId="3"/>
  </si>
  <si>
    <t>４．難易度「中」の基本設計～システムテストまでの標準工数を「8.75人日（全体工数が9.5人日となるよう調整）」とする。</t>
    <rPh sb="2" eb="5">
      <t>ナンイド</t>
    </rPh>
    <rPh sb="6" eb="7">
      <t>チュウ</t>
    </rPh>
    <rPh sb="9" eb="11">
      <t>キホン</t>
    </rPh>
    <rPh sb="11" eb="13">
      <t>セッケイ</t>
    </rPh>
    <rPh sb="34" eb="36">
      <t>ニンニチ</t>
    </rPh>
    <rPh sb="37" eb="39">
      <t>ゼンタイ</t>
    </rPh>
    <rPh sb="39" eb="41">
      <t>コウスウ</t>
    </rPh>
    <rPh sb="45" eb="47">
      <t>ニンニチ</t>
    </rPh>
    <rPh sb="52" eb="54">
      <t>チョウセイ</t>
    </rPh>
    <phoneticPr fontId="3"/>
  </si>
  <si>
    <t>画面・機能側標準工数（端数は0.125人日で丸め）</t>
    <rPh sb="0" eb="2">
      <t>ガメン</t>
    </rPh>
    <rPh sb="3" eb="5">
      <t>キノウ</t>
    </rPh>
    <rPh sb="5" eb="6">
      <t>ガワ</t>
    </rPh>
    <rPh sb="6" eb="8">
      <t>ヒョウジュン</t>
    </rPh>
    <rPh sb="8" eb="10">
      <t>コウスウ</t>
    </rPh>
    <rPh sb="11" eb="13">
      <t>ハスウ</t>
    </rPh>
    <rPh sb="19" eb="21">
      <t>ニンニチ</t>
    </rPh>
    <rPh sb="22" eb="23">
      <t>マル</t>
    </rPh>
    <phoneticPr fontId="3"/>
  </si>
  <si>
    <t>IF側標準工数（端数は0.125人日で丸め）</t>
    <rPh sb="2" eb="3">
      <t>ガワ</t>
    </rPh>
    <rPh sb="3" eb="5">
      <t>ヒョウジュン</t>
    </rPh>
    <rPh sb="5" eb="7">
      <t>コウスウ</t>
    </rPh>
    <rPh sb="8" eb="10">
      <t>ハスウ</t>
    </rPh>
    <rPh sb="16" eb="18">
      <t>ニンニチ</t>
    </rPh>
    <rPh sb="19" eb="20">
      <t>マル</t>
    </rPh>
    <phoneticPr fontId="3"/>
  </si>
  <si>
    <t>５．他の工程の工数を下記の基準により算出する。</t>
    <rPh sb="2" eb="3">
      <t>タ</t>
    </rPh>
    <rPh sb="4" eb="6">
      <t>コウテイ</t>
    </rPh>
    <rPh sb="7" eb="9">
      <t>コウスウ</t>
    </rPh>
    <rPh sb="10" eb="12">
      <t>カキ</t>
    </rPh>
    <rPh sb="13" eb="15">
      <t>キジュン</t>
    </rPh>
    <rPh sb="18" eb="20">
      <t>サンシュツ</t>
    </rPh>
    <phoneticPr fontId="3"/>
  </si>
  <si>
    <t>工程別 標準工数（端数は0.125人日で丸め）</t>
    <rPh sb="2" eb="3">
      <t>ベツ</t>
    </rPh>
    <rPh sb="4" eb="6">
      <t>ヒョウジュン</t>
    </rPh>
    <rPh sb="6" eb="8">
      <t>コウスウ</t>
    </rPh>
    <phoneticPr fontId="3"/>
  </si>
  <si>
    <t>工程</t>
    <phoneticPr fontId="3"/>
  </si>
  <si>
    <t>本稼働</t>
    <rPh sb="0" eb="1">
      <t>ホン</t>
    </rPh>
    <rPh sb="1" eb="3">
      <t>カドウ</t>
    </rPh>
    <phoneticPr fontId="3"/>
  </si>
  <si>
    <t>PJ管理</t>
    <rPh sb="2" eb="4">
      <t>カンリ</t>
    </rPh>
    <phoneticPr fontId="3"/>
  </si>
  <si>
    <t>比率</t>
    <rPh sb="0" eb="2">
      <t>ヒリツ</t>
    </rPh>
    <phoneticPr fontId="3"/>
  </si>
  <si>
    <t>標準工数（画面・機能）</t>
    <rPh sb="0" eb="2">
      <t>ヒョウジュン</t>
    </rPh>
    <rPh sb="2" eb="4">
      <t>コウスウ</t>
    </rPh>
    <rPh sb="5" eb="7">
      <t>ガメン</t>
    </rPh>
    <rPh sb="8" eb="10">
      <t>キノウ</t>
    </rPh>
    <phoneticPr fontId="3"/>
  </si>
  <si>
    <t>標準工数（IF）</t>
    <rPh sb="0" eb="2">
      <t>ヒョウジュン</t>
    </rPh>
    <rPh sb="2" eb="4">
      <t>コウスウ</t>
    </rPh>
    <phoneticPr fontId="3"/>
  </si>
  <si>
    <t>６．他の難易度の工数は、下記の係数に基づき、積算する。</t>
    <rPh sb="2" eb="3">
      <t>タ</t>
    </rPh>
    <rPh sb="4" eb="7">
      <t>ナンイド</t>
    </rPh>
    <rPh sb="8" eb="10">
      <t>コウスウ</t>
    </rPh>
    <rPh sb="12" eb="14">
      <t>カキ</t>
    </rPh>
    <rPh sb="15" eb="17">
      <t>ケイスウ</t>
    </rPh>
    <rPh sb="18" eb="19">
      <t>モト</t>
    </rPh>
    <rPh sb="22" eb="24">
      <t>セキサン</t>
    </rPh>
    <phoneticPr fontId="3"/>
  </si>
  <si>
    <t>難易度別の工数係数</t>
    <rPh sb="0" eb="3">
      <t>ナンイド</t>
    </rPh>
    <rPh sb="3" eb="4">
      <t>ベツ</t>
    </rPh>
    <rPh sb="5" eb="7">
      <t>コウスウ</t>
    </rPh>
    <rPh sb="7" eb="9">
      <t>ケイスウ</t>
    </rPh>
    <phoneticPr fontId="3"/>
  </si>
  <si>
    <t>係数</t>
    <rPh sb="0" eb="2">
      <t>ケイスウ</t>
    </rPh>
    <phoneticPr fontId="3"/>
  </si>
  <si>
    <t>画面・機能</t>
    <rPh sb="0" eb="2">
      <t>ガメン</t>
    </rPh>
    <rPh sb="3" eb="5">
      <t>キノウ</t>
    </rPh>
    <phoneticPr fontId="3"/>
  </si>
  <si>
    <t>IF</t>
    <phoneticPr fontId="3"/>
  </si>
  <si>
    <t>7．本案件の工程に合わせての工数を算出する。</t>
    <rPh sb="2" eb="3">
      <t>ホン</t>
    </rPh>
    <rPh sb="3" eb="5">
      <t>アンケン</t>
    </rPh>
    <rPh sb="6" eb="8">
      <t>コウテイ</t>
    </rPh>
    <rPh sb="9" eb="10">
      <t>ア</t>
    </rPh>
    <rPh sb="14" eb="16">
      <t>コウスウ</t>
    </rPh>
    <rPh sb="17" eb="19">
      <t>サンシュツ</t>
    </rPh>
    <phoneticPr fontId="3"/>
  </si>
  <si>
    <t>工数比率</t>
    <rPh sb="0" eb="2">
      <t>コウスウ</t>
    </rPh>
    <rPh sb="2" eb="4">
      <t>ヒリツ</t>
    </rPh>
    <phoneticPr fontId="3"/>
  </si>
  <si>
    <t>平均単価(万)</t>
    <rPh sb="0" eb="2">
      <t>ヘイキン</t>
    </rPh>
    <rPh sb="2" eb="4">
      <t>タンカ</t>
    </rPh>
    <rPh sb="5" eb="6">
      <t>マン</t>
    </rPh>
    <phoneticPr fontId="3"/>
  </si>
  <si>
    <t>セルイン</t>
  </si>
  <si>
    <t>セルアウト</t>
  </si>
  <si>
    <t>処理センター17時</t>
    <rPh sb="8" eb="9">
      <t>ジ</t>
    </rPh>
    <phoneticPr fontId="1"/>
  </si>
  <si>
    <t>自動仕入</t>
    <rPh sb="0" eb="2">
      <t>ジドウ</t>
    </rPh>
    <rPh sb="2" eb="4">
      <t>シイレ</t>
    </rPh>
    <phoneticPr fontId="1"/>
  </si>
  <si>
    <t>POS処理料・利用料</t>
  </si>
  <si>
    <t>エントリ向け_まいどプラス発券</t>
  </si>
  <si>
    <t>ｱｽﾄﾓｽ入出荷</t>
  </si>
  <si>
    <t>全国版SS更新</t>
  </si>
  <si>
    <t>企業情報</t>
    <rPh sb="0" eb="2">
      <t>キギョウ</t>
    </rPh>
    <rPh sb="2" eb="4">
      <t>ジョウホウ</t>
    </rPh>
    <phoneticPr fontId="1"/>
  </si>
  <si>
    <t>処理用SSマスタ作成</t>
    <rPh sb="2" eb="3">
      <t>ヨウ</t>
    </rPh>
    <rPh sb="8" eb="10">
      <t>サクセイ</t>
    </rPh>
    <phoneticPr fontId="1"/>
  </si>
  <si>
    <t>セルインTBL</t>
  </si>
  <si>
    <t>売上原価伝送データ</t>
    <rPh sb="4" eb="6">
      <t>デンソウ</t>
    </rPh>
    <phoneticPr fontId="1"/>
  </si>
  <si>
    <t>セルインデータ伝送</t>
  </si>
  <si>
    <t>セルイン月次TBL</t>
  </si>
  <si>
    <t>セルアウト日別過去データ伝送</t>
  </si>
  <si>
    <t>セルアウト日毎テーブル伝送</t>
  </si>
  <si>
    <t>セルアウト月次テーブル伝送</t>
  </si>
  <si>
    <t>ｍｙｄｏ情報データ伝送</t>
  </si>
  <si>
    <t>販売店請求データ作成</t>
    <rPh sb="0" eb="2">
      <t>ハンバイ</t>
    </rPh>
    <rPh sb="2" eb="3">
      <t>テン</t>
    </rPh>
    <rPh sb="3" eb="5">
      <t>セイキュウ</t>
    </rPh>
    <rPh sb="8" eb="10">
      <t>サクセイ</t>
    </rPh>
    <phoneticPr fontId="1"/>
  </si>
  <si>
    <t>POS配信1回目(CRC)</t>
  </si>
  <si>
    <t>POS配信1回目(ICC)</t>
  </si>
  <si>
    <t>POS配信1回目(ITC)</t>
  </si>
  <si>
    <t>自動仕入連携（ICC）</t>
    <rPh sb="0" eb="2">
      <t>ジドウ</t>
    </rPh>
    <rPh sb="2" eb="4">
      <t>シイレ</t>
    </rPh>
    <rPh sb="4" eb="6">
      <t>レンケイ</t>
    </rPh>
    <phoneticPr fontId="1"/>
  </si>
  <si>
    <t>自動仕入連携（ITC）</t>
    <rPh sb="0" eb="2">
      <t>ジドウ</t>
    </rPh>
    <rPh sb="2" eb="4">
      <t>シイレ</t>
    </rPh>
    <rPh sb="4" eb="6">
      <t>レンケイ</t>
    </rPh>
    <phoneticPr fontId="1"/>
  </si>
  <si>
    <t>自動仕入連携（CRC）</t>
    <rPh sb="0" eb="2">
      <t>ジドウ</t>
    </rPh>
    <rPh sb="2" eb="4">
      <t>シイレ</t>
    </rPh>
    <rPh sb="4" eb="6">
      <t>レンケイ</t>
    </rPh>
    <phoneticPr fontId="1"/>
  </si>
  <si>
    <t>自動仕入連携（GST）</t>
    <rPh sb="0" eb="2">
      <t>ジドウ</t>
    </rPh>
    <rPh sb="2" eb="4">
      <t>シイレ</t>
    </rPh>
    <rPh sb="4" eb="6">
      <t>レンケイ</t>
    </rPh>
    <phoneticPr fontId="1"/>
  </si>
  <si>
    <t>POS処理料出クレ決済用データ</t>
    <rPh sb="3" eb="5">
      <t>ショリ</t>
    </rPh>
    <rPh sb="5" eb="6">
      <t>リョウ</t>
    </rPh>
    <rPh sb="6" eb="7">
      <t>デ</t>
    </rPh>
    <rPh sb="9" eb="12">
      <t>ケッサイヨウ</t>
    </rPh>
    <phoneticPr fontId="1"/>
  </si>
  <si>
    <t>POS利用料機伝</t>
    <rPh sb="3" eb="6">
      <t>リヨウリョウ</t>
    </rPh>
    <rPh sb="6" eb="7">
      <t>キ</t>
    </rPh>
    <rPh sb="7" eb="8">
      <t>デン</t>
    </rPh>
    <phoneticPr fontId="1"/>
  </si>
  <si>
    <t>POS処理料機伝</t>
    <rPh sb="3" eb="5">
      <t>ショリ</t>
    </rPh>
    <rPh sb="5" eb="6">
      <t>リョウ</t>
    </rPh>
    <rPh sb="6" eb="7">
      <t>キ</t>
    </rPh>
    <rPh sb="7" eb="8">
      <t>デン</t>
    </rPh>
    <phoneticPr fontId="1"/>
  </si>
  <si>
    <t>ＰＯＳ処理料各種確認リスト</t>
    <rPh sb="3" eb="5">
      <t>ショリ</t>
    </rPh>
    <rPh sb="5" eb="6">
      <t>リョウ</t>
    </rPh>
    <rPh sb="6" eb="8">
      <t>カクシュ</t>
    </rPh>
    <rPh sb="8" eb="10">
      <t>カクニン</t>
    </rPh>
    <phoneticPr fontId="1"/>
  </si>
  <si>
    <t>Mydoプラス発券実績</t>
  </si>
  <si>
    <t>MYDOPlus発券実績</t>
  </si>
  <si>
    <t>入出荷共通入力（日次）OneSAP向け</t>
  </si>
  <si>
    <t>商品入荷エラーリスト</t>
  </si>
  <si>
    <t>複合伝票（LPG)</t>
  </si>
  <si>
    <t>在庫受払日報</t>
  </si>
  <si>
    <t>在庫受払月報</t>
    <rPh sb="4" eb="6">
      <t>ゲッポウ</t>
    </rPh>
    <phoneticPr fontId="1"/>
  </si>
  <si>
    <t>ＰＯＳ給油所マスタ更新</t>
    <rPh sb="9" eb="11">
      <t>コウシン</t>
    </rPh>
    <phoneticPr fontId="1"/>
  </si>
  <si>
    <t>CTC向け全国版SSﾏｽﾀ</t>
  </si>
  <si>
    <t>全国版SSﾏｽﾀ差分</t>
    <rPh sb="8" eb="10">
      <t>サブン</t>
    </rPh>
    <phoneticPr fontId="1"/>
  </si>
  <si>
    <t>SS台帳、給油所マスタ更新</t>
    <rPh sb="2" eb="4">
      <t>ダイチョウ</t>
    </rPh>
    <rPh sb="5" eb="8">
      <t>キュウユショ</t>
    </rPh>
    <rPh sb="11" eb="13">
      <t>コウシン</t>
    </rPh>
    <phoneticPr fontId="1"/>
  </si>
  <si>
    <t>企業情報検索</t>
    <phoneticPr fontId="3"/>
  </si>
  <si>
    <t>新SS台帳から処理用SS台帳の作成（バッチ処理）</t>
    <rPh sb="0" eb="1">
      <t>シン</t>
    </rPh>
    <rPh sb="3" eb="5">
      <t>ダイチョウ</t>
    </rPh>
    <rPh sb="7" eb="10">
      <t>ショリヨウ</t>
    </rPh>
    <rPh sb="12" eb="14">
      <t>ダイチョウ</t>
    </rPh>
    <rPh sb="15" eb="17">
      <t>サクセイ</t>
    </rPh>
    <rPh sb="21" eb="23">
      <t>ショリ</t>
    </rPh>
    <phoneticPr fontId="3"/>
  </si>
  <si>
    <t>JCC見積</t>
    <rPh sb="3" eb="5">
      <t>ミツモリ</t>
    </rPh>
    <phoneticPr fontId="3"/>
  </si>
  <si>
    <t>製造単体工数</t>
    <phoneticPr fontId="3"/>
  </si>
  <si>
    <t>結合試験工数</t>
    <phoneticPr fontId="3"/>
  </si>
  <si>
    <t>DB</t>
  </si>
  <si>
    <t>BO</t>
  </si>
  <si>
    <t>帳票</t>
    <rPh sb="0" eb="2">
      <t>チョウヒョウ</t>
    </rPh>
    <phoneticPr fontId="1"/>
  </si>
  <si>
    <t>内部TBL</t>
  </si>
  <si>
    <t>機能</t>
    <rPh sb="0" eb="2">
      <t>キノウ</t>
    </rPh>
    <phoneticPr fontId="1"/>
  </si>
  <si>
    <t>連携</t>
    <rPh sb="0" eb="2">
      <t>レンケイ</t>
    </rPh>
    <phoneticPr fontId="1"/>
  </si>
  <si>
    <t>外部接続</t>
    <rPh sb="0" eb="2">
      <t>ガイブ</t>
    </rPh>
    <rPh sb="2" eb="4">
      <t>セツゾク</t>
    </rPh>
    <phoneticPr fontId="1"/>
  </si>
  <si>
    <t>JCC詳細設計</t>
    <rPh sb="3" eb="7">
      <t>ショウサイセッケイ</t>
    </rPh>
    <phoneticPr fontId="3"/>
  </si>
  <si>
    <t>開始</t>
    <rPh sb="0" eb="2">
      <t>カイシ</t>
    </rPh>
    <phoneticPr fontId="3"/>
  </si>
  <si>
    <t>終了</t>
    <rPh sb="0" eb="2">
      <t>シュウリョウ</t>
    </rPh>
    <phoneticPr fontId="3"/>
  </si>
  <si>
    <t>概要把握
設計レビュー</t>
    <rPh sb="0" eb="2">
      <t>ガイヨウ</t>
    </rPh>
    <rPh sb="2" eb="4">
      <t>ハアク</t>
    </rPh>
    <rPh sb="5" eb="7">
      <t>セッケイ</t>
    </rPh>
    <phoneticPr fontId="3"/>
  </si>
  <si>
    <t>開発環境・把握・構築</t>
    <rPh sb="0" eb="4">
      <t>カイハツカンキョウ</t>
    </rPh>
    <rPh sb="5" eb="7">
      <t>ハアク</t>
    </rPh>
    <rPh sb="8" eb="10">
      <t>コウチク</t>
    </rPh>
    <phoneticPr fontId="3"/>
  </si>
  <si>
    <t>DB</t>
    <phoneticPr fontId="3"/>
  </si>
  <si>
    <t>低</t>
    <rPh sb="0" eb="1">
      <t>テイ</t>
    </rPh>
    <phoneticPr fontId="3"/>
  </si>
  <si>
    <t>合計</t>
    <rPh sb="0" eb="2">
      <t>ゴウケイ</t>
    </rPh>
    <phoneticPr fontId="3"/>
  </si>
  <si>
    <t>エグゼ見積</t>
    <rPh sb="3" eb="5">
      <t>ミツモリ</t>
    </rPh>
    <phoneticPr fontId="3"/>
  </si>
  <si>
    <t>2.5倍</t>
    <rPh sb="3" eb="4">
      <t>バイ</t>
    </rPh>
    <phoneticPr fontId="3"/>
  </si>
  <si>
    <t>3倍</t>
    <rPh sb="1" eb="2">
      <t>バイ</t>
    </rPh>
    <phoneticPr fontId="3"/>
  </si>
  <si>
    <t>5月</t>
    <rPh sb="1" eb="2">
      <t>ガツ</t>
    </rPh>
    <phoneticPr fontId="3"/>
  </si>
  <si>
    <t>A</t>
    <phoneticPr fontId="3"/>
  </si>
  <si>
    <t>B</t>
    <phoneticPr fontId="3"/>
  </si>
  <si>
    <t>2倍</t>
    <rPh sb="1" eb="2">
      <t>バイ</t>
    </rPh>
    <phoneticPr fontId="3"/>
  </si>
  <si>
    <t>要員1</t>
    <rPh sb="0" eb="2">
      <t>ヨウイン</t>
    </rPh>
    <phoneticPr fontId="3"/>
  </si>
  <si>
    <t>要員2</t>
    <rPh sb="0" eb="2">
      <t>ヨウイン</t>
    </rPh>
    <phoneticPr fontId="3"/>
  </si>
  <si>
    <t>要員3</t>
    <rPh sb="0" eb="2">
      <t>ヨウイン</t>
    </rPh>
    <phoneticPr fontId="3"/>
  </si>
  <si>
    <t>要員4</t>
    <rPh sb="0" eb="2">
      <t>ヨウイン</t>
    </rPh>
    <phoneticPr fontId="3"/>
  </si>
  <si>
    <t>要員5</t>
    <rPh sb="0" eb="2">
      <t>ヨウイン</t>
    </rPh>
    <phoneticPr fontId="3"/>
  </si>
  <si>
    <t>要員6</t>
    <rPh sb="0" eb="2">
      <t>ヨウイン</t>
    </rPh>
    <phoneticPr fontId="3"/>
  </si>
  <si>
    <t>要員7</t>
    <rPh sb="0" eb="2">
      <t>ヨウイン</t>
    </rPh>
    <phoneticPr fontId="3"/>
  </si>
  <si>
    <t>要員8</t>
    <rPh sb="0" eb="2">
      <t>ヨウイン</t>
    </rPh>
    <phoneticPr fontId="3"/>
  </si>
  <si>
    <t>要員9</t>
    <rPh sb="0" eb="2">
      <t>ヨウイン</t>
    </rPh>
    <phoneticPr fontId="3"/>
  </si>
  <si>
    <t>要員10</t>
    <rPh sb="0" eb="2">
      <t>ヨウイン</t>
    </rPh>
    <phoneticPr fontId="3"/>
  </si>
  <si>
    <t>要員11</t>
    <rPh sb="0" eb="2">
      <t>ヨウイン</t>
    </rPh>
    <phoneticPr fontId="3"/>
  </si>
  <si>
    <t>要員12</t>
    <rPh sb="0" eb="2">
      <t>ヨウイン</t>
    </rPh>
    <phoneticPr fontId="3"/>
  </si>
  <si>
    <t>JCC様
見積り工数</t>
    <rPh sb="3" eb="4">
      <t>サマ</t>
    </rPh>
    <rPh sb="5" eb="7">
      <t>ミツモ</t>
    </rPh>
    <rPh sb="8" eb="10">
      <t>コウスウ</t>
    </rPh>
    <phoneticPr fontId="3"/>
  </si>
  <si>
    <t>要員13</t>
    <rPh sb="0" eb="2">
      <t>ヨウイン</t>
    </rPh>
    <phoneticPr fontId="3"/>
  </si>
  <si>
    <t>要員14</t>
    <rPh sb="0" eb="2">
      <t>ヨウイン</t>
    </rPh>
    <phoneticPr fontId="3"/>
  </si>
  <si>
    <t>要員15</t>
    <rPh sb="0" eb="2">
      <t>ヨウイン</t>
    </rPh>
    <phoneticPr fontId="3"/>
  </si>
  <si>
    <t>販売実績数量価格推移表　1</t>
    <phoneticPr fontId="3"/>
  </si>
  <si>
    <t>販売実績数量価格推移表　2</t>
  </si>
  <si>
    <t>販売実績数量価格推移表　3</t>
  </si>
  <si>
    <t>販売実績数量価格推移表　4</t>
  </si>
  <si>
    <t>販売実績数量価格推移表　5</t>
  </si>
  <si>
    <t>販売実績数量価格推移表 1</t>
    <phoneticPr fontId="3"/>
  </si>
  <si>
    <t>販売実績数量価格推移表 2</t>
  </si>
  <si>
    <t>販売実績数量価格推移表 3</t>
  </si>
  <si>
    <t>販売実績数量価格推移表 4</t>
  </si>
  <si>
    <t>販売実績数量価格推移表 5</t>
  </si>
  <si>
    <t>結合テスト計画作成</t>
    <rPh sb="0" eb="2">
      <t>ケツゴウ</t>
    </rPh>
    <rPh sb="5" eb="7">
      <t>ケイカク</t>
    </rPh>
    <rPh sb="7" eb="9">
      <t>サクセイ</t>
    </rPh>
    <phoneticPr fontId="3"/>
  </si>
  <si>
    <t>A-AUTO設定</t>
    <rPh sb="6" eb="8">
      <t>セッテイ</t>
    </rPh>
    <phoneticPr fontId="3"/>
  </si>
  <si>
    <t>Azure環境構築（データレイク含む）</t>
    <rPh sb="5" eb="7">
      <t>カンキョウ</t>
    </rPh>
    <rPh sb="7" eb="9">
      <t>コウチク</t>
    </rPh>
    <rPh sb="16" eb="17">
      <t>フク</t>
    </rPh>
    <phoneticPr fontId="3"/>
  </si>
  <si>
    <t>60人月の場合の要員</t>
    <rPh sb="2" eb="4">
      <t>ニンゲツ</t>
    </rPh>
    <rPh sb="5" eb="7">
      <t>バアイ</t>
    </rPh>
    <rPh sb="8" eb="10">
      <t>ヨウイン</t>
    </rPh>
    <phoneticPr fontId="3"/>
  </si>
  <si>
    <t>メソッド数</t>
    <rPh sb="4" eb="5">
      <t>スウ</t>
    </rPh>
    <phoneticPr fontId="3"/>
  </si>
  <si>
    <t>JCC</t>
    <phoneticPr fontId="3"/>
  </si>
  <si>
    <t>エグゼ</t>
    <phoneticPr fontId="3"/>
  </si>
  <si>
    <t>エグゼ/JCC</t>
    <phoneticPr fontId="3"/>
  </si>
  <si>
    <t>販売系業務システムHUB処理</t>
    <phoneticPr fontId="3"/>
  </si>
  <si>
    <t>セルイン作成</t>
    <phoneticPr fontId="3"/>
  </si>
  <si>
    <t>セルアウト作成</t>
    <phoneticPr fontId="3"/>
  </si>
  <si>
    <t>セルアウト日別データ更新</t>
  </si>
  <si>
    <t>セルアウト日毎テーブル伝送→府県別市況テーブル作成</t>
    <phoneticPr fontId="3"/>
  </si>
  <si>
    <t>メソッド単体
製造工数</t>
    <rPh sb="4" eb="6">
      <t>タンタイ</t>
    </rPh>
    <rPh sb="7" eb="9">
      <t>セイゾウ</t>
    </rPh>
    <rPh sb="9" eb="11">
      <t>コウスウ</t>
    </rPh>
    <phoneticPr fontId="3"/>
  </si>
  <si>
    <t>メソッド間
結合テスト工数</t>
    <rPh sb="4" eb="5">
      <t>カン</t>
    </rPh>
    <rPh sb="6" eb="8">
      <t>ケツゴウ</t>
    </rPh>
    <rPh sb="11" eb="13">
      <t>コウスウ</t>
    </rPh>
    <phoneticPr fontId="3"/>
  </si>
  <si>
    <t>製造単体
工数</t>
    <phoneticPr fontId="3"/>
  </si>
  <si>
    <t>結合試験
工数</t>
    <phoneticPr fontId="3"/>
  </si>
  <si>
    <t>製造単体
工数</t>
    <phoneticPr fontId="3"/>
  </si>
  <si>
    <t>DB環境構築</t>
    <rPh sb="2" eb="4">
      <t>カンキョウ</t>
    </rPh>
    <rPh sb="4" eb="6">
      <t>コウチク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</si>
</sst>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¥&quot;#,##0;[Red]&quot;¥&quot;\-#,##0"/>
    <numFmt numFmtId="176" formatCode="0.0_ "/>
    <numFmt numFmtId="177" formatCode="#,##0.000_);[Red]\(#,##0.000\);;"/>
    <numFmt numFmtId="178" formatCode="#,##0.00_ ;[Red]\-#,##0.00\ ;;"/>
    <numFmt numFmtId="179" formatCode="0.00_);[Red]\(0.00\)"/>
    <numFmt numFmtId="180" formatCode="0_ "/>
    <numFmt numFmtId="181" formatCode="0.0%"/>
    <numFmt numFmtId="182" formatCode="0.000_ "/>
    <numFmt numFmtId="183" formatCode="&quot;基&quot;&quot;本&quot;&quot;～&quot;&quot;シ&quot;&quot;ス&quot;&quot;テ&quot;&quot;ム&quot;&quot;テ&quot;&quot;ス&quot;&quot;ト&quot;&quot;の&quot;0%"/>
    <numFmt numFmtId="184" formatCode="&quot;結&quot;&quot;合&quot;&quot;テ&quot;&quot;ス&quot;&quot;ト&quot;&quot;工&quot;&quot;数&quot;&quot;の&quot;0%"/>
    <numFmt numFmtId="185" formatCode="&quot;要&quot;&quot;件&quot;&quot;～&quot;&quot;本&quot;&quot;稼&quot;&quot;働&quot;&quot;工&quot;&quot;数&quot;&quot;の&quot;0%"/>
    <numFmt numFmtId="186" formatCode="#,##0.000_ "/>
    <numFmt numFmtId="187" formatCode="&quot;改修時の標準工数は新規の&quot;0%&quot;と&quot;&quot;し&quot;&quot;て&quot;&quot;算&quot;&quot;出&quot;&quot;す&quot;&quot;る&quot;."/>
    <numFmt numFmtId="188" formatCode="0.00_ "/>
    <numFmt numFmtId="189" formatCode="&quot;¥&quot;#,##0_);[Red]\(&quot;¥&quot;#,##0\)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rgb="FFC0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6" fillId="0" borderId="0"/>
    <xf numFmtId="6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center" vertical="center"/>
    </xf>
    <xf numFmtId="177" fontId="4" fillId="3" borderId="9" xfId="1" applyNumberFormat="1" applyFont="1" applyFill="1" applyBorder="1" applyAlignment="1">
      <alignment horizontal="right" vertical="center"/>
    </xf>
    <xf numFmtId="177" fontId="4" fillId="3" borderId="10" xfId="1" applyNumberFormat="1" applyFont="1" applyFill="1" applyBorder="1" applyAlignment="1">
      <alignment horizontal="right" vertical="center"/>
    </xf>
    <xf numFmtId="179" fontId="4" fillId="3" borderId="12" xfId="1" applyNumberFormat="1" applyFont="1" applyFill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176" fontId="4" fillId="0" borderId="13" xfId="1" applyNumberFormat="1" applyFont="1" applyBorder="1">
      <alignment vertical="center"/>
    </xf>
    <xf numFmtId="176" fontId="4" fillId="0" borderId="13" xfId="1" applyNumberFormat="1" applyFont="1" applyBorder="1" applyAlignment="1">
      <alignment horizontal="center" vertical="center"/>
    </xf>
    <xf numFmtId="177" fontId="4" fillId="0" borderId="13" xfId="1" applyNumberFormat="1" applyFont="1" applyBorder="1" applyAlignment="1">
      <alignment horizontal="right" vertical="center"/>
    </xf>
    <xf numFmtId="178" fontId="4" fillId="3" borderId="11" xfId="1" applyNumberFormat="1" applyFont="1" applyFill="1" applyBorder="1" applyAlignment="1">
      <alignment horizontal="right" vertical="center"/>
    </xf>
    <xf numFmtId="177" fontId="4" fillId="4" borderId="18" xfId="1" applyNumberFormat="1" applyFont="1" applyFill="1" applyBorder="1" applyAlignment="1">
      <alignment horizontal="right" vertical="center"/>
    </xf>
    <xf numFmtId="178" fontId="4" fillId="4" borderId="19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4" fillId="0" borderId="0" xfId="1" applyFont="1">
      <alignment vertical="center"/>
    </xf>
    <xf numFmtId="0" fontId="2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0" xfId="1" applyNumberFormat="1" applyFont="1">
      <alignment vertical="center"/>
    </xf>
    <xf numFmtId="176" fontId="2" fillId="5" borderId="1" xfId="1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4" fillId="5" borderId="1" xfId="1" applyNumberFormat="1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1" fontId="4" fillId="0" borderId="1" xfId="1" applyNumberFormat="1" applyFont="1" applyBorder="1">
      <alignment vertical="center"/>
    </xf>
    <xf numFmtId="176" fontId="2" fillId="5" borderId="20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182" fontId="4" fillId="0" borderId="21" xfId="1" applyNumberFormat="1" applyFont="1" applyBorder="1">
      <alignment vertical="center"/>
    </xf>
    <xf numFmtId="182" fontId="4" fillId="0" borderId="5" xfId="1" applyNumberFormat="1" applyFont="1" applyBorder="1">
      <alignment vertical="center"/>
    </xf>
    <xf numFmtId="182" fontId="4" fillId="0" borderId="1" xfId="1" applyNumberFormat="1" applyFont="1" applyBorder="1">
      <alignment vertical="center"/>
    </xf>
    <xf numFmtId="183" fontId="4" fillId="0" borderId="1" xfId="1" applyNumberFormat="1" applyFont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5" fontId="4" fillId="0" borderId="1" xfId="1" applyNumberFormat="1" applyFont="1" applyBorder="1" applyAlignment="1">
      <alignment horizontal="center" vertical="center"/>
    </xf>
    <xf numFmtId="186" fontId="4" fillId="0" borderId="1" xfId="1" applyNumberFormat="1" applyFont="1" applyBorder="1">
      <alignment vertical="center"/>
    </xf>
    <xf numFmtId="188" fontId="4" fillId="0" borderId="1" xfId="1" applyNumberFormat="1" applyFont="1" applyBorder="1" applyAlignment="1">
      <alignment horizontal="center" vertical="center"/>
    </xf>
    <xf numFmtId="177" fontId="4" fillId="4" borderId="29" xfId="1" applyNumberFormat="1" applyFont="1" applyFill="1" applyBorder="1" applyAlignment="1">
      <alignment horizontal="right" vertical="center"/>
    </xf>
    <xf numFmtId="177" fontId="4" fillId="4" borderId="34" xfId="1" applyNumberFormat="1" applyFont="1" applyFill="1" applyBorder="1" applyAlignment="1">
      <alignment horizontal="right" vertical="center"/>
    </xf>
    <xf numFmtId="177" fontId="4" fillId="4" borderId="35" xfId="1" applyNumberFormat="1" applyFont="1" applyFill="1" applyBorder="1" applyAlignment="1">
      <alignment horizontal="right" vertical="center"/>
    </xf>
    <xf numFmtId="178" fontId="4" fillId="4" borderId="30" xfId="1" applyNumberFormat="1" applyFont="1" applyFill="1" applyBorder="1" applyAlignment="1">
      <alignment horizontal="right" vertical="center"/>
    </xf>
    <xf numFmtId="179" fontId="4" fillId="4" borderId="36" xfId="1" applyNumberFormat="1" applyFont="1" applyFill="1" applyBorder="1" applyAlignment="1">
      <alignment horizontal="left" vertical="center"/>
    </xf>
    <xf numFmtId="179" fontId="4" fillId="4" borderId="37" xfId="1" applyNumberFormat="1" applyFont="1" applyFill="1" applyBorder="1" applyAlignment="1">
      <alignment horizontal="left" vertical="center"/>
    </xf>
    <xf numFmtId="177" fontId="4" fillId="4" borderId="41" xfId="1" applyNumberFormat="1" applyFont="1" applyFill="1" applyBorder="1" applyAlignment="1">
      <alignment horizontal="right" vertical="center"/>
    </xf>
    <xf numFmtId="177" fontId="4" fillId="4" borderId="43" xfId="1" applyNumberFormat="1" applyFont="1" applyFill="1" applyBorder="1" applyAlignment="1">
      <alignment horizontal="right" vertical="center"/>
    </xf>
    <xf numFmtId="178" fontId="4" fillId="4" borderId="42" xfId="1" applyNumberFormat="1" applyFont="1" applyFill="1" applyBorder="1" applyAlignment="1">
      <alignment horizontal="right" vertical="center"/>
    </xf>
    <xf numFmtId="179" fontId="4" fillId="4" borderId="25" xfId="1" applyNumberFormat="1" applyFont="1" applyFill="1" applyBorder="1" applyAlignment="1">
      <alignment horizontal="left" vertical="center"/>
    </xf>
    <xf numFmtId="182" fontId="4" fillId="0" borderId="0" xfId="1" applyNumberFormat="1" applyFont="1">
      <alignment vertical="center"/>
    </xf>
    <xf numFmtId="0" fontId="6" fillId="0" borderId="0" xfId="3"/>
    <xf numFmtId="0" fontId="6" fillId="6" borderId="0" xfId="3" applyFill="1"/>
    <xf numFmtId="38" fontId="0" fillId="0" borderId="0" xfId="5" applyFont="1" applyAlignment="1"/>
    <xf numFmtId="38" fontId="0" fillId="6" borderId="0" xfId="5" applyFont="1" applyFill="1" applyAlignment="1"/>
    <xf numFmtId="0" fontId="6" fillId="7" borderId="0" xfId="3" applyFill="1"/>
    <xf numFmtId="38" fontId="0" fillId="7" borderId="0" xfId="5" applyFont="1" applyFill="1" applyAlignment="1"/>
    <xf numFmtId="9" fontId="0" fillId="7" borderId="0" xfId="5" applyNumberFormat="1" applyFont="1" applyFill="1" applyAlignment="1"/>
    <xf numFmtId="176" fontId="10" fillId="0" borderId="13" xfId="1" applyNumberFormat="1" applyFont="1" applyBorder="1" applyAlignment="1">
      <alignment horizontal="center" vertical="center"/>
    </xf>
    <xf numFmtId="179" fontId="4" fillId="2" borderId="16" xfId="1" applyNumberFormat="1" applyFont="1" applyFill="1" applyBorder="1" applyAlignment="1">
      <alignment horizontal="left" vertical="center"/>
    </xf>
    <xf numFmtId="0" fontId="0" fillId="2" borderId="0" xfId="0" applyFill="1">
      <alignment vertical="center"/>
    </xf>
    <xf numFmtId="176" fontId="10" fillId="2" borderId="13" xfId="1" applyNumberFormat="1" applyFont="1" applyFill="1" applyBorder="1">
      <alignment vertical="center"/>
    </xf>
    <xf numFmtId="0" fontId="4" fillId="4" borderId="45" xfId="1" applyFont="1" applyFill="1" applyBorder="1" applyAlignment="1">
      <alignment horizontal="right" vertical="center"/>
    </xf>
    <xf numFmtId="0" fontId="4" fillId="4" borderId="0" xfId="1" applyFont="1" applyFill="1" applyAlignment="1">
      <alignment horizontal="right" vertical="center"/>
    </xf>
    <xf numFmtId="0" fontId="4" fillId="4" borderId="46" xfId="1" applyFont="1" applyFill="1" applyBorder="1" applyAlignment="1">
      <alignment horizontal="right" vertical="center"/>
    </xf>
    <xf numFmtId="179" fontId="4" fillId="4" borderId="47" xfId="1" applyNumberFormat="1" applyFont="1" applyFill="1" applyBorder="1" applyAlignment="1">
      <alignment horizontal="left" vertical="center"/>
    </xf>
    <xf numFmtId="176" fontId="10" fillId="0" borderId="13" xfId="1" applyNumberFormat="1" applyFont="1" applyBorder="1" applyAlignment="1">
      <alignment horizontal="left" vertical="center" wrapText="1"/>
    </xf>
    <xf numFmtId="177" fontId="4" fillId="0" borderId="14" xfId="1" applyNumberFormat="1" applyFont="1" applyBorder="1" applyAlignment="1">
      <alignment horizontal="right" vertical="center"/>
    </xf>
    <xf numFmtId="178" fontId="4" fillId="0" borderId="15" xfId="1" applyNumberFormat="1" applyFont="1" applyBorder="1" applyAlignment="1">
      <alignment horizontal="right" vertical="center"/>
    </xf>
    <xf numFmtId="0" fontId="4" fillId="8" borderId="46" xfId="1" applyFont="1" applyFill="1" applyBorder="1" applyAlignment="1">
      <alignment horizontal="right" vertical="center"/>
    </xf>
    <xf numFmtId="189" fontId="4" fillId="4" borderId="44" xfId="1" applyNumberFormat="1" applyFont="1" applyFill="1" applyBorder="1" applyAlignment="1">
      <alignment horizontal="right" vertical="center"/>
    </xf>
    <xf numFmtId="177" fontId="4" fillId="4" borderId="45" xfId="1" applyNumberFormat="1" applyFont="1" applyFill="1" applyBorder="1" applyAlignment="1">
      <alignment horizontal="right" vertical="center"/>
    </xf>
    <xf numFmtId="189" fontId="4" fillId="4" borderId="49" xfId="1" applyNumberFormat="1" applyFont="1" applyFill="1" applyBorder="1" applyAlignment="1">
      <alignment horizontal="right" vertical="center"/>
    </xf>
    <xf numFmtId="0" fontId="4" fillId="4" borderId="44" xfId="1" applyFont="1" applyFill="1" applyBorder="1" applyAlignment="1">
      <alignment horizontal="right" vertical="center"/>
    </xf>
    <xf numFmtId="178" fontId="4" fillId="4" borderId="48" xfId="1" applyNumberFormat="1" applyFont="1" applyFill="1" applyBorder="1" applyAlignment="1">
      <alignment horizontal="right" vertical="center"/>
    </xf>
    <xf numFmtId="179" fontId="4" fillId="4" borderId="50" xfId="1" applyNumberFormat="1" applyFont="1" applyFill="1" applyBorder="1" applyAlignment="1">
      <alignment horizontal="left" vertical="center"/>
    </xf>
    <xf numFmtId="189" fontId="4" fillId="4" borderId="48" xfId="1" applyNumberFormat="1" applyFont="1" applyFill="1" applyBorder="1" applyAlignment="1">
      <alignment horizontal="right" vertical="center"/>
    </xf>
    <xf numFmtId="189" fontId="4" fillId="8" borderId="44" xfId="1" applyNumberFormat="1" applyFont="1" applyFill="1" applyBorder="1" applyAlignment="1">
      <alignment horizontal="right" vertical="center"/>
    </xf>
    <xf numFmtId="177" fontId="4" fillId="8" borderId="45" xfId="1" applyNumberFormat="1" applyFont="1" applyFill="1" applyBorder="1" applyAlignment="1">
      <alignment horizontal="right" vertical="center"/>
    </xf>
    <xf numFmtId="189" fontId="4" fillId="4" borderId="51" xfId="1" applyNumberFormat="1" applyFont="1" applyFill="1" applyBorder="1" applyAlignment="1">
      <alignment horizontal="right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4" fontId="4" fillId="0" borderId="24" xfId="1" applyNumberFormat="1" applyFont="1" applyBorder="1">
      <alignment vertical="center"/>
    </xf>
    <xf numFmtId="176" fontId="2" fillId="2" borderId="5" xfId="1" applyNumberFormat="1" applyFont="1" applyFill="1" applyBorder="1" applyAlignment="1">
      <alignment horizontal="center" vertical="center"/>
    </xf>
    <xf numFmtId="176" fontId="10" fillId="0" borderId="13" xfId="1" applyNumberFormat="1" applyFont="1" applyBorder="1">
      <alignment vertical="center"/>
    </xf>
    <xf numFmtId="176" fontId="10" fillId="0" borderId="13" xfId="1" applyNumberFormat="1" applyFont="1" applyBorder="1" applyAlignment="1">
      <alignment horizontal="left" vertical="center"/>
    </xf>
    <xf numFmtId="179" fontId="4" fillId="0" borderId="16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 wrapText="1"/>
    </xf>
    <xf numFmtId="176" fontId="4" fillId="0" borderId="24" xfId="1" applyNumberFormat="1" applyFont="1" applyBorder="1">
      <alignment vertical="center"/>
    </xf>
    <xf numFmtId="176" fontId="4" fillId="0" borderId="24" xfId="1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176" fontId="4" fillId="0" borderId="24" xfId="1" applyNumberFormat="1" applyFont="1" applyBorder="1" applyAlignment="1">
      <alignment horizontal="left" vertical="center"/>
    </xf>
    <xf numFmtId="176" fontId="4" fillId="0" borderId="44" xfId="1" applyNumberFormat="1" applyFont="1" applyBorder="1" applyAlignment="1">
      <alignment horizontal="center" vertical="center"/>
    </xf>
    <xf numFmtId="177" fontId="4" fillId="0" borderId="22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1" xfId="1" applyNumberFormat="1" applyFont="1" applyBorder="1" applyAlignment="1">
      <alignment horizontal="right" vertical="center"/>
    </xf>
    <xf numFmtId="179" fontId="4" fillId="0" borderId="12" xfId="1" applyNumberFormat="1" applyFont="1" applyBorder="1" applyAlignment="1">
      <alignment horizontal="left" vertical="center"/>
    </xf>
    <xf numFmtId="176" fontId="10" fillId="9" borderId="13" xfId="1" applyNumberFormat="1" applyFont="1" applyFill="1" applyBorder="1" applyAlignment="1">
      <alignment horizontal="center" vertical="center"/>
    </xf>
    <xf numFmtId="177" fontId="4" fillId="9" borderId="13" xfId="1" applyNumberFormat="1" applyFont="1" applyFill="1" applyBorder="1" applyAlignment="1">
      <alignment horizontal="right" vertical="center"/>
    </xf>
    <xf numFmtId="177" fontId="4" fillId="9" borderId="9" xfId="1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9" borderId="0" xfId="0" applyFill="1">
      <alignment vertical="center"/>
    </xf>
    <xf numFmtId="177" fontId="4" fillId="9" borderId="22" xfId="1" applyNumberFormat="1" applyFont="1" applyFill="1" applyBorder="1" applyAlignment="1">
      <alignment horizontal="right" vertical="center"/>
    </xf>
    <xf numFmtId="0" fontId="0" fillId="3" borderId="0" xfId="0" applyFill="1" applyAlignment="1">
      <alignment vertical="center" wrapText="1"/>
    </xf>
    <xf numFmtId="179" fontId="4" fillId="4" borderId="52" xfId="1" applyNumberFormat="1" applyFont="1" applyFill="1" applyBorder="1" applyAlignment="1">
      <alignment horizontal="left" vertical="center"/>
    </xf>
    <xf numFmtId="178" fontId="4" fillId="4" borderId="53" xfId="1" applyNumberFormat="1" applyFont="1" applyFill="1" applyBorder="1" applyAlignment="1">
      <alignment horizontal="right" vertical="center"/>
    </xf>
    <xf numFmtId="189" fontId="4" fillId="4" borderId="53" xfId="1" applyNumberFormat="1" applyFont="1" applyFill="1" applyBorder="1" applyAlignment="1">
      <alignment horizontal="right" vertical="center"/>
    </xf>
    <xf numFmtId="179" fontId="4" fillId="4" borderId="54" xfId="1" applyNumberFormat="1" applyFont="1" applyFill="1" applyBorder="1" applyAlignment="1">
      <alignment horizontal="left" vertical="center"/>
    </xf>
    <xf numFmtId="176" fontId="2" fillId="5" borderId="2" xfId="1" applyNumberFormat="1" applyFont="1" applyFill="1" applyBorder="1" applyAlignment="1">
      <alignment horizontal="center" vertical="center"/>
    </xf>
    <xf numFmtId="176" fontId="12" fillId="0" borderId="24" xfId="1" applyNumberFormat="1" applyFont="1" applyBorder="1">
      <alignment vertical="center"/>
    </xf>
    <xf numFmtId="176" fontId="12" fillId="0" borderId="13" xfId="1" applyNumberFormat="1" applyFont="1" applyBorder="1">
      <alignment vertical="center"/>
    </xf>
    <xf numFmtId="176" fontId="4" fillId="11" borderId="13" xfId="1" applyNumberFormat="1" applyFont="1" applyFill="1" applyBorder="1">
      <alignment vertical="center"/>
    </xf>
    <xf numFmtId="176" fontId="13" fillId="11" borderId="24" xfId="1" applyNumberFormat="1" applyFont="1" applyFill="1" applyBorder="1">
      <alignment vertical="center"/>
    </xf>
    <xf numFmtId="176" fontId="2" fillId="5" borderId="17" xfId="1" applyNumberFormat="1" applyFont="1" applyFill="1" applyBorder="1" applyAlignment="1">
      <alignment horizontal="center" vertical="center"/>
    </xf>
    <xf numFmtId="176" fontId="12" fillId="3" borderId="13" xfId="1" applyNumberFormat="1" applyFont="1" applyFill="1" applyBorder="1">
      <alignment vertical="center"/>
    </xf>
    <xf numFmtId="176" fontId="12" fillId="3" borderId="24" xfId="1" applyNumberFormat="1" applyFont="1" applyFill="1" applyBorder="1">
      <alignment vertical="center"/>
    </xf>
    <xf numFmtId="176" fontId="4" fillId="3" borderId="24" xfId="1" applyNumberFormat="1" applyFont="1" applyFill="1" applyBorder="1">
      <alignment vertical="center"/>
    </xf>
    <xf numFmtId="176" fontId="4" fillId="3" borderId="13" xfId="1" applyNumberFormat="1" applyFont="1" applyFill="1" applyBorder="1">
      <alignment vertical="center"/>
    </xf>
    <xf numFmtId="176" fontId="10" fillId="0" borderId="24" xfId="1" applyNumberFormat="1" applyFont="1" applyBorder="1">
      <alignment vertical="center"/>
    </xf>
    <xf numFmtId="176" fontId="0" fillId="0" borderId="0" xfId="0" applyNumberFormat="1">
      <alignment vertical="center"/>
    </xf>
    <xf numFmtId="176" fontId="2" fillId="14" borderId="1" xfId="1" applyNumberFormat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176" fontId="4" fillId="3" borderId="24" xfId="1" applyNumberFormat="1" applyFont="1" applyFill="1" applyBorder="1" applyAlignment="1">
      <alignment horizontal="center" vertical="center"/>
    </xf>
    <xf numFmtId="176" fontId="10" fillId="3" borderId="13" xfId="1" applyNumberFormat="1" applyFont="1" applyFill="1" applyBorder="1" applyAlignment="1">
      <alignment horizontal="left" vertical="center" wrapText="1"/>
    </xf>
    <xf numFmtId="176" fontId="4" fillId="3" borderId="13" xfId="1" applyNumberFormat="1" applyFont="1" applyFill="1" applyBorder="1" applyAlignment="1">
      <alignment horizontal="center" vertical="center"/>
    </xf>
    <xf numFmtId="177" fontId="4" fillId="3" borderId="13" xfId="1" applyNumberFormat="1" applyFont="1" applyFill="1" applyBorder="1" applyAlignment="1">
      <alignment horizontal="right" vertical="center"/>
    </xf>
    <xf numFmtId="177" fontId="4" fillId="3" borderId="14" xfId="1" applyNumberFormat="1" applyFont="1" applyFill="1" applyBorder="1" applyAlignment="1">
      <alignment horizontal="right" vertical="center"/>
    </xf>
    <xf numFmtId="178" fontId="4" fillId="3" borderId="15" xfId="1" applyNumberFormat="1" applyFont="1" applyFill="1" applyBorder="1" applyAlignment="1">
      <alignment horizontal="right" vertical="center"/>
    </xf>
    <xf numFmtId="179" fontId="4" fillId="3" borderId="16" xfId="1" applyNumberFormat="1" applyFont="1" applyFill="1" applyBorder="1" applyAlignment="1">
      <alignment horizontal="left" vertical="center"/>
    </xf>
    <xf numFmtId="176" fontId="10" fillId="3" borderId="24" xfId="1" applyNumberFormat="1" applyFont="1" applyFill="1" applyBorder="1">
      <alignment vertical="center"/>
    </xf>
    <xf numFmtId="176" fontId="10" fillId="3" borderId="13" xfId="1" applyNumberFormat="1" applyFont="1" applyFill="1" applyBorder="1" applyAlignment="1">
      <alignment horizontal="center" vertical="center"/>
    </xf>
    <xf numFmtId="176" fontId="13" fillId="0" borderId="13" xfId="1" applyNumberFormat="1" applyFont="1" applyBorder="1">
      <alignment vertical="center"/>
    </xf>
    <xf numFmtId="176" fontId="4" fillId="3" borderId="13" xfId="1" applyNumberFormat="1" applyFont="1" applyFill="1" applyBorder="1" applyAlignment="1">
      <alignment horizontal="left" vertical="center" wrapText="1"/>
    </xf>
    <xf numFmtId="176" fontId="12" fillId="15" borderId="13" xfId="1" applyNumberFormat="1" applyFont="1" applyFill="1" applyBorder="1">
      <alignment vertical="center"/>
    </xf>
    <xf numFmtId="176" fontId="12" fillId="15" borderId="24" xfId="1" applyNumberFormat="1" applyFont="1" applyFill="1" applyBorder="1">
      <alignment vertical="center"/>
    </xf>
    <xf numFmtId="176" fontId="4" fillId="15" borderId="24" xfId="1" applyNumberFormat="1" applyFont="1" applyFill="1" applyBorder="1">
      <alignment vertical="center"/>
    </xf>
    <xf numFmtId="176" fontId="4" fillId="15" borderId="13" xfId="1" applyNumberFormat="1" applyFont="1" applyFill="1" applyBorder="1">
      <alignment vertical="center"/>
    </xf>
    <xf numFmtId="176" fontId="2" fillId="5" borderId="1" xfId="1" applyNumberFormat="1" applyFont="1" applyFill="1" applyBorder="1" applyAlignment="1">
      <alignment horizontal="center" vertical="center" wrapText="1"/>
    </xf>
    <xf numFmtId="176" fontId="2" fillId="14" borderId="1" xfId="1" applyNumberFormat="1" applyFont="1" applyFill="1" applyBorder="1" applyAlignment="1">
      <alignment horizontal="center" vertical="center" wrapText="1"/>
    </xf>
    <xf numFmtId="176" fontId="13" fillId="11" borderId="13" xfId="1" applyNumberFormat="1" applyFont="1" applyFill="1" applyBorder="1">
      <alignment vertical="center"/>
    </xf>
    <xf numFmtId="176" fontId="2" fillId="2" borderId="5" xfId="1" applyNumberFormat="1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horizontal="center" vertical="center"/>
    </xf>
    <xf numFmtId="176" fontId="2" fillId="2" borderId="17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 wrapText="1"/>
    </xf>
    <xf numFmtId="176" fontId="2" fillId="2" borderId="6" xfId="1" applyNumberFormat="1" applyFont="1" applyFill="1" applyBorder="1" applyAlignment="1">
      <alignment horizontal="center" vertical="center"/>
    </xf>
    <xf numFmtId="176" fontId="2" fillId="2" borderId="4" xfId="1" applyNumberFormat="1" applyFont="1" applyFill="1" applyBorder="1" applyAlignment="1">
      <alignment horizontal="center" vertical="center" wrapText="1"/>
    </xf>
    <xf numFmtId="176" fontId="2" fillId="2" borderId="7" xfId="1" applyNumberFormat="1" applyFont="1" applyFill="1" applyBorder="1" applyAlignment="1">
      <alignment horizontal="center" vertical="center"/>
    </xf>
    <xf numFmtId="176" fontId="2" fillId="2" borderId="22" xfId="1" applyNumberFormat="1" applyFont="1" applyFill="1" applyBorder="1" applyAlignment="1">
      <alignment horizontal="center" vertical="center"/>
    </xf>
    <xf numFmtId="176" fontId="2" fillId="2" borderId="23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3" borderId="2" xfId="1" applyNumberFormat="1" applyFont="1" applyFill="1" applyBorder="1" applyAlignment="1">
      <alignment horizontal="right" vertical="center"/>
    </xf>
    <xf numFmtId="176" fontId="2" fillId="3" borderId="17" xfId="1" applyNumberFormat="1" applyFont="1" applyFill="1" applyBorder="1" applyAlignment="1">
      <alignment horizontal="right" vertical="center"/>
    </xf>
    <xf numFmtId="176" fontId="2" fillId="3" borderId="5" xfId="1" applyNumberFormat="1" applyFont="1" applyFill="1" applyBorder="1" applyAlignment="1">
      <alignment horizontal="right" vertical="center"/>
    </xf>
    <xf numFmtId="0" fontId="4" fillId="4" borderId="26" xfId="1" applyFont="1" applyFill="1" applyBorder="1" applyAlignment="1">
      <alignment horizontal="right" vertical="center"/>
    </xf>
    <xf numFmtId="0" fontId="4" fillId="4" borderId="27" xfId="1" applyFont="1" applyFill="1" applyBorder="1" applyAlignment="1">
      <alignment horizontal="right" vertical="center"/>
    </xf>
    <xf numFmtId="0" fontId="4" fillId="4" borderId="28" xfId="1" applyFont="1" applyFill="1" applyBorder="1" applyAlignment="1">
      <alignment horizontal="right" vertical="center"/>
    </xf>
    <xf numFmtId="0" fontId="4" fillId="4" borderId="31" xfId="1" applyFont="1" applyFill="1" applyBorder="1" applyAlignment="1">
      <alignment horizontal="right" vertical="center"/>
    </xf>
    <xf numFmtId="0" fontId="4" fillId="4" borderId="32" xfId="1" applyFont="1" applyFill="1" applyBorder="1" applyAlignment="1">
      <alignment horizontal="right" vertical="center"/>
    </xf>
    <xf numFmtId="0" fontId="4" fillId="4" borderId="33" xfId="1" applyFont="1" applyFill="1" applyBorder="1" applyAlignment="1">
      <alignment horizontal="right" vertical="center"/>
    </xf>
    <xf numFmtId="0" fontId="4" fillId="4" borderId="38" xfId="1" applyFont="1" applyFill="1" applyBorder="1" applyAlignment="1">
      <alignment horizontal="right" vertical="center"/>
    </xf>
    <xf numFmtId="0" fontId="4" fillId="4" borderId="39" xfId="1" applyFont="1" applyFill="1" applyBorder="1" applyAlignment="1">
      <alignment horizontal="right" vertical="center"/>
    </xf>
    <xf numFmtId="0" fontId="4" fillId="4" borderId="40" xfId="1" applyFont="1" applyFill="1" applyBorder="1" applyAlignment="1">
      <alignment horizontal="right" vertical="center"/>
    </xf>
    <xf numFmtId="49" fontId="2" fillId="2" borderId="1" xfId="1" applyNumberFormat="1" applyFont="1" applyFill="1" applyBorder="1" applyAlignment="1">
      <alignment horizontal="center" vertical="center"/>
    </xf>
    <xf numFmtId="176" fontId="2" fillId="5" borderId="2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0" fontId="2" fillId="5" borderId="22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187" fontId="4" fillId="0" borderId="8" xfId="1" applyNumberFormat="1" applyFont="1" applyBorder="1" applyAlignment="1">
      <alignment horizontal="left" vertical="center"/>
    </xf>
    <xf numFmtId="176" fontId="2" fillId="5" borderId="22" xfId="1" applyNumberFormat="1" applyFont="1" applyFill="1" applyBorder="1" applyAlignment="1">
      <alignment horizontal="center" vertical="center"/>
    </xf>
    <xf numFmtId="176" fontId="2" fillId="5" borderId="44" xfId="1" applyNumberFormat="1" applyFont="1" applyFill="1" applyBorder="1" applyAlignment="1">
      <alignment horizontal="center" vertical="center"/>
    </xf>
    <xf numFmtId="176" fontId="2" fillId="5" borderId="23" xfId="1" applyNumberFormat="1" applyFont="1" applyFill="1" applyBorder="1" applyAlignment="1">
      <alignment horizontal="center" vertical="center"/>
    </xf>
  </cellXfs>
  <cellStyles count="6">
    <cellStyle name="桁区切り 2" xfId="5" xr:uid="{BBFBCDFF-EB88-4A82-9A9A-AB0290A913EC}"/>
    <cellStyle name="通貨 2" xfId="4" xr:uid="{00000000-0005-0000-0000-000002000000}"/>
    <cellStyle name="標準" xfId="0" builtinId="0"/>
    <cellStyle name="標準 2" xfId="3" xr:uid="{00000000-0005-0000-0000-000004000000}"/>
    <cellStyle name="標準 3 2" xfId="2" xr:uid="{00000000-0005-0000-0000-000005000000}"/>
    <cellStyle name="標準 6" xfId="1" xr:uid="{00000000-0005-0000-0000-000006000000}"/>
  </cellStyles>
  <dxfs count="5"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76200</xdr:rowOff>
    </xdr:from>
    <xdr:to>
      <xdr:col>5</xdr:col>
      <xdr:colOff>485774</xdr:colOff>
      <xdr:row>1</xdr:row>
      <xdr:rowOff>190500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AF70413-847F-43CF-BB96-FA517DCA25E1}"/>
            </a:ext>
          </a:extLst>
        </xdr:cNvPr>
        <xdr:cNvSpPr/>
      </xdr:nvSpPr>
      <xdr:spPr>
        <a:xfrm>
          <a:off x="2657474" y="314325"/>
          <a:ext cx="15525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9525</xdr:colOff>
      <xdr:row>2</xdr:row>
      <xdr:rowOff>66674</xdr:rowOff>
    </xdr:from>
    <xdr:to>
      <xdr:col>7</xdr:col>
      <xdr:colOff>0</xdr:colOff>
      <xdr:row>2</xdr:row>
      <xdr:rowOff>190499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2D6BBEA6-3778-47D5-AAC3-6EA861DBDD6C}"/>
            </a:ext>
          </a:extLst>
        </xdr:cNvPr>
        <xdr:cNvSpPr/>
      </xdr:nvSpPr>
      <xdr:spPr>
        <a:xfrm>
          <a:off x="4276725" y="542924"/>
          <a:ext cx="53340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</xdr:row>
      <xdr:rowOff>47625</xdr:rowOff>
    </xdr:from>
    <xdr:to>
      <xdr:col>7</xdr:col>
      <xdr:colOff>504825</xdr:colOff>
      <xdr:row>4</xdr:row>
      <xdr:rowOff>161925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51A10D98-A7A7-46CE-9539-B547729B7080}"/>
            </a:ext>
          </a:extLst>
        </xdr:cNvPr>
        <xdr:cNvSpPr/>
      </xdr:nvSpPr>
      <xdr:spPr>
        <a:xfrm>
          <a:off x="4810125" y="7620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</xdr:colOff>
      <xdr:row>5</xdr:row>
      <xdr:rowOff>66675</xdr:rowOff>
    </xdr:from>
    <xdr:to>
      <xdr:col>9</xdr:col>
      <xdr:colOff>523875</xdr:colOff>
      <xdr:row>5</xdr:row>
      <xdr:rowOff>171450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C90CE52F-3E69-4282-98D1-EAF245BF3CB2}"/>
            </a:ext>
          </a:extLst>
        </xdr:cNvPr>
        <xdr:cNvSpPr/>
      </xdr:nvSpPr>
      <xdr:spPr>
        <a:xfrm>
          <a:off x="5362575" y="1019175"/>
          <a:ext cx="1057275" cy="104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</xdr:colOff>
      <xdr:row>6</xdr:row>
      <xdr:rowOff>66675</xdr:rowOff>
    </xdr:from>
    <xdr:to>
      <xdr:col>9</xdr:col>
      <xdr:colOff>523875</xdr:colOff>
      <xdr:row>6</xdr:row>
      <xdr:rowOff>180975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BE9265DC-4079-42E7-8CA1-C8CC7FA9DA04}"/>
            </a:ext>
          </a:extLst>
        </xdr:cNvPr>
        <xdr:cNvSpPr/>
      </xdr:nvSpPr>
      <xdr:spPr>
        <a:xfrm>
          <a:off x="5915025" y="12573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7</xdr:row>
      <xdr:rowOff>76200</xdr:rowOff>
    </xdr:from>
    <xdr:to>
      <xdr:col>10</xdr:col>
      <xdr:colOff>523875</xdr:colOff>
      <xdr:row>7</xdr:row>
      <xdr:rowOff>200025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988E5C74-9FE3-4026-9D27-240791A06AB5}"/>
            </a:ext>
          </a:extLst>
        </xdr:cNvPr>
        <xdr:cNvSpPr/>
      </xdr:nvSpPr>
      <xdr:spPr>
        <a:xfrm>
          <a:off x="6457950" y="1504950"/>
          <a:ext cx="504825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8</xdr:row>
      <xdr:rowOff>76200</xdr:rowOff>
    </xdr:from>
    <xdr:to>
      <xdr:col>11</xdr:col>
      <xdr:colOff>504825</xdr:colOff>
      <xdr:row>8</xdr:row>
      <xdr:rowOff>190500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A6449347-CB82-4880-A09D-C9E988611566}"/>
            </a:ext>
          </a:extLst>
        </xdr:cNvPr>
        <xdr:cNvSpPr/>
      </xdr:nvSpPr>
      <xdr:spPr>
        <a:xfrm>
          <a:off x="6981825" y="1743075"/>
          <a:ext cx="50482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9</xdr:row>
      <xdr:rowOff>66675</xdr:rowOff>
    </xdr:from>
    <xdr:to>
      <xdr:col>12</xdr:col>
      <xdr:colOff>523875</xdr:colOff>
      <xdr:row>9</xdr:row>
      <xdr:rowOff>180975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EE8E5D46-6DD1-4FFF-97A8-5DEA76BF0947}"/>
            </a:ext>
          </a:extLst>
        </xdr:cNvPr>
        <xdr:cNvSpPr/>
      </xdr:nvSpPr>
      <xdr:spPr>
        <a:xfrm>
          <a:off x="7524750" y="1971675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9</xdr:row>
      <xdr:rowOff>228600</xdr:rowOff>
    </xdr:from>
    <xdr:to>
      <xdr:col>13</xdr:col>
      <xdr:colOff>285750</xdr:colOff>
      <xdr:row>10</xdr:row>
      <xdr:rowOff>200025</xdr:rowOff>
    </xdr:to>
    <xdr:sp macro="" textlink="">
      <xdr:nvSpPr>
        <xdr:cNvPr id="10" name="星: 5 pt 9">
          <a:extLst>
            <a:ext uri="{FF2B5EF4-FFF2-40B4-BE49-F238E27FC236}">
              <a16:creationId xmlns:a16="http://schemas.microsoft.com/office/drawing/2014/main" id="{0C8AEEA5-6DD3-4589-B566-0668D0484162}"/>
            </a:ext>
          </a:extLst>
        </xdr:cNvPr>
        <xdr:cNvSpPr/>
      </xdr:nvSpPr>
      <xdr:spPr>
        <a:xfrm>
          <a:off x="8143875" y="2371725"/>
          <a:ext cx="209550" cy="20955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47625</xdr:colOff>
      <xdr:row>3</xdr:row>
      <xdr:rowOff>66674</xdr:rowOff>
    </xdr:from>
    <xdr:to>
      <xdr:col>5</xdr:col>
      <xdr:colOff>533400</xdr:colOff>
      <xdr:row>3</xdr:row>
      <xdr:rowOff>209549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D6D16710-8C5A-4ADE-A74F-AB5EAA66B12D}"/>
            </a:ext>
          </a:extLst>
        </xdr:cNvPr>
        <xdr:cNvSpPr/>
      </xdr:nvSpPr>
      <xdr:spPr>
        <a:xfrm>
          <a:off x="3228975" y="781049"/>
          <a:ext cx="102870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11</xdr:row>
      <xdr:rowOff>85725</xdr:rowOff>
    </xdr:from>
    <xdr:to>
      <xdr:col>14</xdr:col>
      <xdr:colOff>9525</xdr:colOff>
      <xdr:row>11</xdr:row>
      <xdr:rowOff>200025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BE1DF738-9BF7-467B-8F08-C774C8072691}"/>
            </a:ext>
          </a:extLst>
        </xdr:cNvPr>
        <xdr:cNvSpPr/>
      </xdr:nvSpPr>
      <xdr:spPr>
        <a:xfrm>
          <a:off x="8096250" y="2705100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</xdr:row>
      <xdr:rowOff>9525</xdr:rowOff>
    </xdr:from>
    <xdr:to>
      <xdr:col>6</xdr:col>
      <xdr:colOff>1009650</xdr:colOff>
      <xdr:row>7</xdr:row>
      <xdr:rowOff>133351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00425" y="219075"/>
          <a:ext cx="5076825" cy="10382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当シートは、積算するための係数を定義しています。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工数比率、標準工数に変更を加える必要がなければそのまま使用して下さい。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今後、収集した実績をもとに値を変更する可能性があります。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283;&#30330;&#24037;&#25968;&#31309;&#31639;&#36039;&#26009;&#65288;&#35211;&#31309;&#27161;&#28310;&#31532;1.2&#29256;&#65289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o\work\06_&#12489;&#12461;&#12517;&#12513;&#12531;&#12488;\UI-20_&#12456;&#12531;&#12486;&#12451;&#12486;&#12451;&#23450;&#32681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履歴"/>
      <sheetName val="マニュアル"/>
      <sheetName val="表紙"/>
      <sheetName val="見積金額"/>
      <sheetName val="開発費用"/>
      <sheetName val="積算基準"/>
      <sheetName val="開発付随費用"/>
      <sheetName val="管理費用"/>
      <sheetName val="物販・ライセンス費用"/>
      <sheetName val="開発費用_お客様提示用"/>
      <sheetName val="FP試算法"/>
      <sheetName val="IFPUG法・FP概算法"/>
      <sheetName val="FP係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【参考】UI-22 業務コード定義"/>
      <sheetName val="UI-20_エンティティ定義書"/>
      <sheetName val="工程試験⇒"/>
      <sheetName val="UI-20 工程試験"/>
      <sheetName val="工程試験結果"/>
      <sheetName val="コントロールマスタ"/>
      <sheetName val="試料マスタ"/>
      <sheetName val="工程試験項目マスタ"/>
      <sheetName val="印刷補足条件"/>
      <sheetName val="アプリケション連携ログ"/>
      <sheetName val="入力データログ"/>
      <sheetName val="工程試験機紐付けマスタ"/>
      <sheetName val="製品試験⇒"/>
      <sheetName val="ロット管理明細"/>
      <sheetName val="製造情報SPS"/>
      <sheetName val="製造情報LMPP"/>
      <sheetName val="製造情報BPA"/>
      <sheetName val="製品試験結果"/>
      <sheetName val="ロット工程試験紐付け"/>
      <sheetName val="ロット管理明細送信履歴"/>
      <sheetName val="製品試験項目マスタ"/>
      <sheetName val="グレード管理表パラメータ"/>
      <sheetName val="グレードマスタ"/>
      <sheetName val="ロットＮＯ採番テーブル"/>
      <sheetName val="製品試験機紐付けマスタ"/>
      <sheetName val="製造情報項目リスト定義"/>
      <sheetName val="物性LAN⇒"/>
      <sheetName val="依頼基本"/>
      <sheetName val="依頼基本状況"/>
      <sheetName val="依頼サンプル"/>
      <sheetName val="依頼項目"/>
      <sheetName val="依頼条件"/>
      <sheetName val="依頼成形"/>
      <sheetName val="依頼対象サンプル"/>
      <sheetName val="測定サンプル"/>
      <sheetName val="測定条件"/>
      <sheetName val="測定"/>
      <sheetName val="測定生データ"/>
      <sheetName val="エラーデータ"/>
      <sheetName val="環境マスタ"/>
      <sheetName val="テーママスタ"/>
      <sheetName val="物性測定グループマスタ"/>
      <sheetName val="試験項目マスタ"/>
      <sheetName val="データ項目マスタ"/>
      <sheetName val="条件名マスタ"/>
      <sheetName val="テストピースマスタ"/>
      <sheetName val="列名リンクマスタ"/>
      <sheetName val="成形加工方式マスタ"/>
      <sheetName val="ファイルレイアウトマスタ"/>
      <sheetName val="サンプルコメントマスタ"/>
      <sheetName val="クライアントPCマスタ"/>
      <sheetName val="メッセージテーブル"/>
      <sheetName val="樹脂種別マスタ"/>
      <sheetName val="依頼入力区分マスタ"/>
      <sheetName val="試験項目テンプレート"/>
      <sheetName val="条件テンプレート"/>
      <sheetName val="成形指示書テンプレート"/>
      <sheetName val="樹脂内訳マスタ"/>
      <sheetName val="試験料金計算⇒　"/>
      <sheetName val="試験料金"/>
      <sheetName val="共通⇒"/>
      <sheetName val="装置マスタ"/>
      <sheetName val="試験グループマスタ"/>
      <sheetName val="試験種別マスタ"/>
      <sheetName val="大部門マスタ"/>
      <sheetName val="部門マスタ"/>
      <sheetName val="社員マスタ"/>
      <sheetName val="試験機マスタ"/>
      <sheetName val="試験機試験グループ紐付けマスタ"/>
      <sheetName val="社員試験グループ紐付けマスタ"/>
      <sheetName val="工程試験予定表"/>
      <sheetName val="物性試験予定表"/>
      <sheetName val="他システムIF送信停止"/>
      <sheetName val="月間スケジュール"/>
      <sheetName val="日別試験予定"/>
      <sheetName val="TOTALPLANT⇒"/>
      <sheetName val="IP_LIMS_SMPL_TST"/>
      <sheetName val="IP_SMPL"/>
      <sheetName val="IP_TST_RSLT"/>
      <sheetName val="s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D78F-0A5E-4006-A99A-8E5223707998}">
  <dimension ref="A1:V35"/>
  <sheetViews>
    <sheetView workbookViewId="0">
      <selection activeCell="S25" sqref="S25"/>
    </sheetView>
  </sheetViews>
  <sheetFormatPr defaultColWidth="9" defaultRowHeight="18.75"/>
  <cols>
    <col min="1" max="1" width="9" style="43" customWidth="1"/>
    <col min="2" max="2" width="18.5" style="43" customWidth="1"/>
    <col min="3" max="15" width="7.125" style="43" customWidth="1"/>
    <col min="16" max="17" width="9" style="43"/>
    <col min="18" max="19" width="9" style="45"/>
    <col min="20" max="16384" width="9" style="43"/>
  </cols>
  <sheetData>
    <row r="1" spans="2:17">
      <c r="C1" s="44" t="s">
        <v>0</v>
      </c>
      <c r="D1" s="44" t="s">
        <v>1</v>
      </c>
      <c r="E1" s="44" t="s">
        <v>2</v>
      </c>
      <c r="F1" s="44" t="s">
        <v>3</v>
      </c>
      <c r="G1" s="44" t="s">
        <v>4</v>
      </c>
      <c r="H1" s="44" t="s">
        <v>5</v>
      </c>
      <c r="I1" s="44" t="s">
        <v>6</v>
      </c>
      <c r="J1" s="44" t="s">
        <v>7</v>
      </c>
      <c r="K1" s="44" t="s">
        <v>8</v>
      </c>
      <c r="L1" s="44" t="s">
        <v>9</v>
      </c>
      <c r="M1" s="44" t="s">
        <v>10</v>
      </c>
      <c r="N1" s="44" t="s">
        <v>11</v>
      </c>
      <c r="O1" s="44" t="s">
        <v>12</v>
      </c>
    </row>
    <row r="2" spans="2:17">
      <c r="B2" s="44" t="s">
        <v>13</v>
      </c>
      <c r="Q2" s="43" t="s">
        <v>14</v>
      </c>
    </row>
    <row r="3" spans="2:17">
      <c r="B3" s="44" t="s">
        <v>15</v>
      </c>
      <c r="Q3" s="43" t="s">
        <v>16</v>
      </c>
    </row>
    <row r="4" spans="2:17">
      <c r="B4" s="44" t="s">
        <v>17</v>
      </c>
      <c r="Q4" s="43" t="s">
        <v>18</v>
      </c>
    </row>
    <row r="5" spans="2:17">
      <c r="B5" s="44" t="s">
        <v>19</v>
      </c>
      <c r="Q5" s="43" t="s">
        <v>20</v>
      </c>
    </row>
    <row r="6" spans="2:17">
      <c r="B6" s="44" t="s">
        <v>21</v>
      </c>
      <c r="Q6" s="43" t="s">
        <v>22</v>
      </c>
    </row>
    <row r="7" spans="2:17">
      <c r="B7" s="44" t="s">
        <v>23</v>
      </c>
      <c r="Q7" s="43" t="s">
        <v>24</v>
      </c>
    </row>
    <row r="8" spans="2:17">
      <c r="B8" s="44" t="s">
        <v>25</v>
      </c>
      <c r="Q8" s="43" t="s">
        <v>26</v>
      </c>
    </row>
    <row r="9" spans="2:17">
      <c r="B9" s="44" t="s">
        <v>27</v>
      </c>
      <c r="Q9" s="43" t="s">
        <v>28</v>
      </c>
    </row>
    <row r="10" spans="2:17">
      <c r="B10" s="44" t="s">
        <v>29</v>
      </c>
      <c r="Q10" s="43" t="s">
        <v>30</v>
      </c>
    </row>
    <row r="11" spans="2:17">
      <c r="B11" s="44" t="s">
        <v>31</v>
      </c>
      <c r="Q11" s="43" t="s">
        <v>32</v>
      </c>
    </row>
    <row r="12" spans="2:17">
      <c r="B12" s="44" t="s">
        <v>33</v>
      </c>
      <c r="Q12" s="43" t="s">
        <v>34</v>
      </c>
    </row>
    <row r="13" spans="2:17">
      <c r="B13" s="44"/>
      <c r="Q13" s="43" t="s">
        <v>35</v>
      </c>
    </row>
    <row r="14" spans="2:17">
      <c r="B14" s="44"/>
      <c r="Q14" s="43" t="s">
        <v>36</v>
      </c>
    </row>
    <row r="15" spans="2:17">
      <c r="B15" s="44"/>
      <c r="Q15" s="43" t="s">
        <v>37</v>
      </c>
    </row>
    <row r="19" spans="1:22">
      <c r="Q19" s="44" t="s">
        <v>38</v>
      </c>
      <c r="R19" s="46" t="s">
        <v>39</v>
      </c>
      <c r="S19" s="46" t="s">
        <v>40</v>
      </c>
      <c r="T19" s="46" t="s">
        <v>41</v>
      </c>
      <c r="U19" s="46" t="s">
        <v>42</v>
      </c>
      <c r="V19" s="46" t="s">
        <v>43</v>
      </c>
    </row>
    <row r="20" spans="1:22">
      <c r="A20" s="43" t="s">
        <v>44</v>
      </c>
      <c r="B20" s="44" t="s">
        <v>45</v>
      </c>
      <c r="D20" s="43">
        <v>1</v>
      </c>
      <c r="E20" s="43">
        <v>1</v>
      </c>
      <c r="F20" s="43">
        <v>1</v>
      </c>
      <c r="G20" s="43">
        <v>1</v>
      </c>
      <c r="H20" s="43">
        <v>1</v>
      </c>
      <c r="I20" s="43">
        <v>0.5</v>
      </c>
      <c r="J20" s="43">
        <v>0.5</v>
      </c>
      <c r="K20" s="43">
        <v>0.5</v>
      </c>
      <c r="L20" s="43">
        <v>0.5</v>
      </c>
      <c r="M20" s="43">
        <v>0.5</v>
      </c>
      <c r="N20" s="43">
        <v>0.5</v>
      </c>
      <c r="Q20" s="43">
        <f>SUM(C20:O20)</f>
        <v>8</v>
      </c>
      <c r="R20" s="45">
        <v>140</v>
      </c>
      <c r="S20" s="45">
        <f>Q20*R20</f>
        <v>1120</v>
      </c>
      <c r="T20" s="43">
        <v>65</v>
      </c>
      <c r="U20" s="43">
        <f>S20-(T20*Q20)</f>
        <v>600</v>
      </c>
    </row>
    <row r="21" spans="1:22">
      <c r="A21" s="43" t="s">
        <v>44</v>
      </c>
      <c r="B21" s="44" t="s">
        <v>46</v>
      </c>
      <c r="D21" s="43">
        <v>1</v>
      </c>
      <c r="E21" s="43">
        <v>1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Q21" s="43">
        <f t="shared" ref="Q21:Q24" si="0">SUM(C21:O21)</f>
        <v>11</v>
      </c>
      <c r="R21" s="45">
        <v>110</v>
      </c>
      <c r="S21" s="45">
        <f t="shared" ref="S21:S24" si="1">Q21*R21</f>
        <v>1210</v>
      </c>
      <c r="T21" s="43">
        <v>90</v>
      </c>
      <c r="U21" s="43">
        <f>S21-(T21*Q21)</f>
        <v>220</v>
      </c>
    </row>
    <row r="22" spans="1:22">
      <c r="A22" s="43" t="s">
        <v>44</v>
      </c>
      <c r="B22" s="44" t="s">
        <v>46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Q22" s="43">
        <f t="shared" si="0"/>
        <v>5</v>
      </c>
      <c r="R22" s="45">
        <v>110</v>
      </c>
      <c r="S22" s="45">
        <f t="shared" si="1"/>
        <v>550</v>
      </c>
      <c r="T22" s="43">
        <v>90</v>
      </c>
      <c r="U22" s="43">
        <f>S22-(T22*Q22)</f>
        <v>100</v>
      </c>
    </row>
    <row r="23" spans="1:22">
      <c r="A23" s="43" t="s">
        <v>44</v>
      </c>
      <c r="B23" s="44" t="s">
        <v>47</v>
      </c>
      <c r="Q23" s="43">
        <f t="shared" si="0"/>
        <v>0</v>
      </c>
      <c r="R23" s="45">
        <v>100</v>
      </c>
      <c r="S23" s="45">
        <f t="shared" si="1"/>
        <v>0</v>
      </c>
      <c r="T23" s="43">
        <v>90</v>
      </c>
      <c r="U23" s="43">
        <f>S23-(T23*Q23)</f>
        <v>0</v>
      </c>
    </row>
    <row r="24" spans="1:22">
      <c r="A24" s="43" t="s">
        <v>44</v>
      </c>
      <c r="B24" s="44" t="s">
        <v>47</v>
      </c>
      <c r="Q24" s="43">
        <f t="shared" si="0"/>
        <v>0</v>
      </c>
      <c r="R24" s="45">
        <v>100</v>
      </c>
      <c r="S24" s="45">
        <f t="shared" si="1"/>
        <v>0</v>
      </c>
      <c r="T24" s="43">
        <v>90</v>
      </c>
      <c r="U24" s="43">
        <f>S24-(T24*Q24)</f>
        <v>0</v>
      </c>
    </row>
    <row r="25" spans="1:22">
      <c r="Q25" s="47">
        <f>SUM(Q20:Q24)</f>
        <v>24</v>
      </c>
      <c r="S25" s="48">
        <f t="shared" ref="S25:U25" si="2">SUM(S20:S24)</f>
        <v>2880</v>
      </c>
      <c r="U25" s="48">
        <f t="shared" si="2"/>
        <v>920</v>
      </c>
      <c r="V25" s="49">
        <f>U25/S25</f>
        <v>0.31944444444444442</v>
      </c>
    </row>
    <row r="26" spans="1:22">
      <c r="S26" s="45">
        <f>S25*1.2</f>
        <v>3456</v>
      </c>
    </row>
    <row r="27" spans="1:22">
      <c r="A27" s="43" t="s">
        <v>44</v>
      </c>
      <c r="B27" s="44" t="s">
        <v>45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0.5</v>
      </c>
      <c r="J27" s="43">
        <v>0.5</v>
      </c>
      <c r="K27" s="43">
        <v>0.5</v>
      </c>
      <c r="L27" s="43">
        <v>0.5</v>
      </c>
      <c r="M27" s="43">
        <v>0.5</v>
      </c>
      <c r="N27" s="43">
        <v>0.5</v>
      </c>
      <c r="Q27" s="43">
        <f>SUM(C27:O27)</f>
        <v>8</v>
      </c>
      <c r="R27" s="45">
        <v>140</v>
      </c>
      <c r="S27" s="45">
        <f t="shared" ref="S27:S33" si="3">Q27*R27</f>
        <v>1120</v>
      </c>
      <c r="T27" s="43">
        <v>65</v>
      </c>
      <c r="U27" s="43">
        <f t="shared" ref="U27:U33" si="4">S27-(T27*Q27)</f>
        <v>600</v>
      </c>
    </row>
    <row r="28" spans="1:22">
      <c r="A28" s="43" t="s">
        <v>44</v>
      </c>
      <c r="B28" s="44" t="s">
        <v>48</v>
      </c>
      <c r="Q28" s="43">
        <f t="shared" ref="Q28:Q33" si="5">SUM(C28:O28)</f>
        <v>0</v>
      </c>
      <c r="R28" s="45">
        <v>120</v>
      </c>
      <c r="S28" s="45">
        <f t="shared" si="3"/>
        <v>0</v>
      </c>
      <c r="T28" s="43">
        <v>65</v>
      </c>
      <c r="U28" s="43">
        <f t="shared" si="4"/>
        <v>0</v>
      </c>
    </row>
    <row r="29" spans="1:22">
      <c r="A29" s="43" t="s">
        <v>44</v>
      </c>
      <c r="B29" s="44" t="s">
        <v>46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Q29" s="43">
        <f t="shared" si="5"/>
        <v>11</v>
      </c>
      <c r="R29" s="45">
        <v>110</v>
      </c>
      <c r="S29" s="45">
        <f t="shared" si="3"/>
        <v>1210</v>
      </c>
      <c r="T29" s="43">
        <v>90</v>
      </c>
      <c r="U29" s="43">
        <f t="shared" si="4"/>
        <v>220</v>
      </c>
    </row>
    <row r="30" spans="1:22">
      <c r="A30" s="43" t="s">
        <v>49</v>
      </c>
      <c r="B30" s="44" t="s">
        <v>50</v>
      </c>
      <c r="G30" s="43">
        <v>0.5</v>
      </c>
      <c r="H30" s="43">
        <v>0.5</v>
      </c>
      <c r="I30" s="43">
        <v>0.5</v>
      </c>
      <c r="J30" s="43">
        <v>0.5</v>
      </c>
      <c r="K30" s="43">
        <v>0.5</v>
      </c>
      <c r="L30" s="43">
        <v>0.5</v>
      </c>
      <c r="M30" s="43">
        <v>0.5</v>
      </c>
      <c r="N30" s="43">
        <v>0.5</v>
      </c>
      <c r="Q30" s="43">
        <f>SUM(C30:O30)</f>
        <v>4</v>
      </c>
      <c r="R30" s="45">
        <v>80</v>
      </c>
      <c r="S30" s="45">
        <f t="shared" si="3"/>
        <v>320</v>
      </c>
      <c r="T30" s="43">
        <v>50</v>
      </c>
      <c r="U30" s="43">
        <f t="shared" si="4"/>
        <v>120</v>
      </c>
    </row>
    <row r="31" spans="1:22">
      <c r="A31" s="43" t="s">
        <v>49</v>
      </c>
      <c r="B31" s="44" t="s">
        <v>51</v>
      </c>
      <c r="G31" s="43">
        <v>1</v>
      </c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Q31" s="43">
        <f>SUM(C31:O31)</f>
        <v>8</v>
      </c>
      <c r="R31" s="45">
        <v>70</v>
      </c>
      <c r="S31" s="45">
        <f t="shared" si="3"/>
        <v>560</v>
      </c>
      <c r="T31" s="43">
        <v>35</v>
      </c>
      <c r="U31" s="43">
        <f t="shared" si="4"/>
        <v>280</v>
      </c>
    </row>
    <row r="32" spans="1:22">
      <c r="A32" s="43" t="s">
        <v>49</v>
      </c>
      <c r="B32" s="44" t="s">
        <v>52</v>
      </c>
      <c r="G32" s="43">
        <v>1</v>
      </c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Q32" s="43">
        <f t="shared" si="5"/>
        <v>7</v>
      </c>
      <c r="R32" s="45">
        <v>70</v>
      </c>
      <c r="S32" s="45">
        <f t="shared" si="3"/>
        <v>490</v>
      </c>
      <c r="T32" s="43">
        <v>35</v>
      </c>
      <c r="U32" s="43">
        <f t="shared" si="4"/>
        <v>245</v>
      </c>
    </row>
    <row r="33" spans="1:22">
      <c r="A33" s="43" t="s">
        <v>49</v>
      </c>
      <c r="B33" s="44" t="s">
        <v>52</v>
      </c>
      <c r="Q33" s="43">
        <f t="shared" si="5"/>
        <v>0</v>
      </c>
      <c r="R33" s="45">
        <v>70</v>
      </c>
      <c r="S33" s="45">
        <f t="shared" si="3"/>
        <v>0</v>
      </c>
      <c r="T33" s="43">
        <v>35</v>
      </c>
      <c r="U33" s="43">
        <f t="shared" si="4"/>
        <v>0</v>
      </c>
    </row>
    <row r="34" spans="1:22">
      <c r="Q34" s="47">
        <f>SUM(Q27:Q33)</f>
        <v>38</v>
      </c>
      <c r="S34" s="48">
        <f>SUM(S27:S33)</f>
        <v>3700</v>
      </c>
      <c r="U34" s="48">
        <f>SUM(U27:U33)</f>
        <v>1465</v>
      </c>
      <c r="V34" s="49">
        <f>U34/S34</f>
        <v>0.39594594594594595</v>
      </c>
    </row>
    <row r="35" spans="1:22">
      <c r="S35" s="45">
        <f>S34*1.2</f>
        <v>4440</v>
      </c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W64"/>
  <sheetViews>
    <sheetView tabSelected="1" view="pageBreakPreview" zoomScaleNormal="100" zoomScaleSheetLayoutView="100" workbookViewId="0">
      <pane xSplit="2" ySplit="4" topLeftCell="G43" activePane="bottomRight" state="frozen"/>
      <selection pane="topRight" activeCell="C1" sqref="C1"/>
      <selection pane="bottomLeft" activeCell="A5" sqref="A5"/>
      <selection pane="bottomRight" activeCell="R55" sqref="R55"/>
    </sheetView>
  </sheetViews>
  <sheetFormatPr defaultRowHeight="18.75"/>
  <cols>
    <col min="1" max="1" width="3.875" bestFit="1" customWidth="1"/>
    <col min="2" max="2" width="3.625" customWidth="1"/>
    <col min="3" max="3" width="18.75" customWidth="1"/>
    <col min="4" max="4" width="35.75" bestFit="1" customWidth="1"/>
    <col min="5" max="5" width="8.75" customWidth="1"/>
    <col min="6" max="6" width="7.75" customWidth="1"/>
    <col min="7" max="7" width="8.125" customWidth="1"/>
    <col min="8" max="8" width="9.125" customWidth="1"/>
    <col min="9" max="9" width="7.5" customWidth="1"/>
    <col min="10" max="10" width="10.125" customWidth="1"/>
    <col min="11" max="11" width="8.875" customWidth="1"/>
    <col min="12" max="12" width="8.25" customWidth="1"/>
    <col min="13" max="13" width="8.375" customWidth="1"/>
    <col min="14" max="14" width="7.75" customWidth="1"/>
    <col min="15" max="15" width="19.37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625" bestFit="1" customWidth="1"/>
    <col min="23" max="23" width="43.75" customWidth="1"/>
  </cols>
  <sheetData>
    <row r="1" spans="1:23" ht="19.5" thickBot="1"/>
    <row r="2" spans="1:23">
      <c r="A2" s="159" t="s">
        <v>53</v>
      </c>
      <c r="B2" s="139" t="s">
        <v>54</v>
      </c>
      <c r="C2" s="137" t="s">
        <v>55</v>
      </c>
      <c r="D2" s="138"/>
      <c r="E2" s="137" t="s">
        <v>163</v>
      </c>
      <c r="F2" s="138"/>
      <c r="G2" s="74"/>
      <c r="H2" s="103" t="s">
        <v>181</v>
      </c>
      <c r="I2" s="108"/>
      <c r="J2" s="108"/>
      <c r="K2" s="108"/>
      <c r="L2" s="108"/>
      <c r="M2" s="23"/>
      <c r="N2" s="139" t="s">
        <v>56</v>
      </c>
      <c r="O2" s="144" t="s">
        <v>57</v>
      </c>
      <c r="P2" s="139" t="s">
        <v>58</v>
      </c>
      <c r="Q2" s="146" t="s">
        <v>59</v>
      </c>
      <c r="R2" s="139" t="s">
        <v>60</v>
      </c>
      <c r="S2" s="139"/>
      <c r="T2" s="139"/>
      <c r="U2" s="140" t="s">
        <v>61</v>
      </c>
      <c r="V2" s="142" t="s">
        <v>62</v>
      </c>
      <c r="W2" s="136" t="s">
        <v>63</v>
      </c>
    </row>
    <row r="3" spans="1:23" ht="24">
      <c r="A3" s="159"/>
      <c r="B3" s="139"/>
      <c r="C3" s="1" t="s">
        <v>64</v>
      </c>
      <c r="D3" s="1" t="s">
        <v>65</v>
      </c>
      <c r="E3" s="72" t="s">
        <v>229</v>
      </c>
      <c r="F3" s="72" t="s">
        <v>230</v>
      </c>
      <c r="G3" s="1" t="s">
        <v>180</v>
      </c>
      <c r="H3" s="133" t="s">
        <v>227</v>
      </c>
      <c r="I3" s="17" t="s">
        <v>218</v>
      </c>
      <c r="J3" s="133" t="s">
        <v>228</v>
      </c>
      <c r="K3" s="134" t="s">
        <v>231</v>
      </c>
      <c r="L3" s="134" t="s">
        <v>230</v>
      </c>
      <c r="M3" s="115" t="s">
        <v>87</v>
      </c>
      <c r="N3" s="139"/>
      <c r="O3" s="145"/>
      <c r="P3" s="139"/>
      <c r="Q3" s="146"/>
      <c r="R3" s="72" t="s">
        <v>176</v>
      </c>
      <c r="S3" s="1" t="s">
        <v>69</v>
      </c>
      <c r="T3" s="1" t="s">
        <v>70</v>
      </c>
      <c r="U3" s="141"/>
      <c r="V3" s="143"/>
      <c r="W3" s="136"/>
    </row>
    <row r="4" spans="1:23">
      <c r="A4" s="147" t="s">
        <v>73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9"/>
      <c r="R4" s="90">
        <v>1</v>
      </c>
      <c r="S4" s="90">
        <f>2*1.6*積算基準!F58</f>
        <v>10.4</v>
      </c>
      <c r="T4" s="90">
        <f>2*1.6*積算基準!G58</f>
        <v>8.4</v>
      </c>
      <c r="U4" s="3"/>
      <c r="V4" s="9"/>
      <c r="W4" s="4"/>
    </row>
    <row r="5" spans="1:23">
      <c r="A5" s="81">
        <f t="shared" ref="A5:A50" si="0">ROW()-4</f>
        <v>1</v>
      </c>
      <c r="B5" s="79" t="s">
        <v>222</v>
      </c>
      <c r="C5" s="79" t="s">
        <v>74</v>
      </c>
      <c r="D5" s="79" t="s">
        <v>75</v>
      </c>
      <c r="E5" s="79"/>
      <c r="F5" s="79"/>
      <c r="G5" s="79"/>
      <c r="H5" s="104"/>
      <c r="I5" s="104"/>
      <c r="J5" s="104"/>
      <c r="K5" s="104"/>
      <c r="L5" s="79"/>
      <c r="M5" s="79"/>
      <c r="N5" s="80" t="s">
        <v>76</v>
      </c>
      <c r="O5" s="82" t="s">
        <v>77</v>
      </c>
      <c r="P5" s="7" t="s">
        <v>80</v>
      </c>
      <c r="Q5" s="83" t="s">
        <v>79</v>
      </c>
      <c r="R5" s="97">
        <v>0</v>
      </c>
      <c r="S5" s="97">
        <f>2.8*CEILING(IF($Q5="新規",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20.65</v>
      </c>
      <c r="T5" s="97">
        <v>0</v>
      </c>
      <c r="U5" s="85">
        <f>SUM(R5:T5)</f>
        <v>20.65</v>
      </c>
      <c r="V5" s="86">
        <f>U5/20</f>
        <v>1.0325</v>
      </c>
      <c r="W5" s="87"/>
    </row>
    <row r="6" spans="1:23">
      <c r="A6" s="5"/>
      <c r="B6" s="6"/>
      <c r="C6" s="6"/>
      <c r="D6" s="6" t="s">
        <v>177</v>
      </c>
      <c r="E6" s="75"/>
      <c r="F6" s="75"/>
      <c r="G6" s="75"/>
      <c r="H6" s="105"/>
      <c r="I6" s="105"/>
      <c r="J6" s="105"/>
      <c r="K6" s="105"/>
      <c r="L6" s="75"/>
      <c r="M6" s="75"/>
      <c r="N6" s="50"/>
      <c r="O6" s="76"/>
      <c r="P6" s="7" t="s">
        <v>80</v>
      </c>
      <c r="Q6" s="7" t="s">
        <v>79</v>
      </c>
      <c r="R6" s="89">
        <v>0</v>
      </c>
      <c r="S6" s="89">
        <f>2.8*CEILING(IF($Q6="新規", IF($P6="特高", S$4*特高係数,IF($P6="高",S$4*高係数,IF($P6="中",S$4*中係数,IF($P6="低",S$4*低係数, IF($P6="特低",S$4*特低係数, 0))))),
 IF($P6="特高", S$4*特高係数,IF($P6="高",S$4*高係数,IF($P6="中",S$4*中係数,IF($P6="低",S$4*低係数, IF($P6="特低",S$4*特低係数, 0)))))),0.125)</f>
        <v>20.65</v>
      </c>
      <c r="T6" s="89">
        <v>0</v>
      </c>
      <c r="U6" s="59">
        <f t="shared" ref="U6:U9" si="1">SUM(R6:T6)</f>
        <v>20.65</v>
      </c>
      <c r="V6" s="60">
        <f t="shared" ref="V6:V9" si="2">U6/20</f>
        <v>1.0325</v>
      </c>
      <c r="W6" s="77"/>
    </row>
    <row r="7" spans="1:23">
      <c r="A7" s="5"/>
      <c r="B7" s="6"/>
      <c r="C7" s="6"/>
      <c r="D7" s="6" t="s">
        <v>216</v>
      </c>
      <c r="E7" s="75"/>
      <c r="F7" s="75"/>
      <c r="G7" s="75"/>
      <c r="H7" s="105"/>
      <c r="I7" s="105"/>
      <c r="J7" s="105"/>
      <c r="K7" s="105"/>
      <c r="L7" s="75"/>
      <c r="M7" s="75"/>
      <c r="N7" s="50"/>
      <c r="O7" s="76"/>
      <c r="P7" s="7" t="s">
        <v>80</v>
      </c>
      <c r="Q7" s="7" t="s">
        <v>79</v>
      </c>
      <c r="R7" s="89">
        <v>0</v>
      </c>
      <c r="S7" s="89">
        <f>2.8*CEILING(IF($Q7="新規", IF($P7="特高", S$4*特高係数,IF($P7="高",S$4*高係数,IF($P7="中",S$4*中係数,IF($P7="低",S$4*低係数, IF($P7="特低",S$4*特低係数, 0))))),
 IF($P7="特高", S$4*特高係数,IF($P7="高",S$4*高係数,IF($P7="中",S$4*中係数,IF($P7="低",S$4*低係数, IF($P7="特低",S$4*特低係数, 0)))))),0.125)</f>
        <v>20.65</v>
      </c>
      <c r="T7" s="89">
        <v>0</v>
      </c>
      <c r="U7" s="59">
        <f t="shared" ref="U7" si="3">SUM(R7:T7)</f>
        <v>20.65</v>
      </c>
      <c r="V7" s="60">
        <f t="shared" ref="V7" si="4">U7/20</f>
        <v>1.0325</v>
      </c>
      <c r="W7" s="77"/>
    </row>
    <row r="8" spans="1:23">
      <c r="A8" s="5"/>
      <c r="B8" s="6"/>
      <c r="C8" s="6"/>
      <c r="D8" s="6" t="s">
        <v>232</v>
      </c>
      <c r="E8" s="75"/>
      <c r="F8" s="75"/>
      <c r="G8" s="75"/>
      <c r="H8" s="105"/>
      <c r="I8" s="105"/>
      <c r="J8" s="105"/>
      <c r="K8" s="105"/>
      <c r="L8" s="75"/>
      <c r="M8" s="75"/>
      <c r="N8" s="50"/>
      <c r="O8" s="76"/>
      <c r="P8" s="7" t="s">
        <v>80</v>
      </c>
      <c r="Q8" s="7" t="s">
        <v>79</v>
      </c>
      <c r="R8" s="89">
        <v>0</v>
      </c>
      <c r="S8" s="89">
        <f>2.8*CEILING(IF($Q8="新規", IF($P8="特高", S$4*特高係数,IF($P8="高",S$4*高係数,IF($P8="中",S$4*中係数,IF($P8="低",S$4*低係数, IF($P8="特低",S$4*特低係数, 0))))),
 IF($P8="特高", S$4*特高係数,IF($P8="高",S$4*高係数,IF($P8="中",S$4*中係数,IF($P8="低",S$4*低係数, IF($P8="特低",S$4*特低係数, 0)))))),0.125)</f>
        <v>20.65</v>
      </c>
      <c r="T8" s="89"/>
      <c r="U8" s="59">
        <f>SUM(R8:T8)</f>
        <v>20.65</v>
      </c>
      <c r="V8" s="60">
        <f>U8/20</f>
        <v>1.0325</v>
      </c>
      <c r="W8" s="77"/>
    </row>
    <row r="9" spans="1:23">
      <c r="A9" s="5"/>
      <c r="B9" s="6"/>
      <c r="C9" s="6"/>
      <c r="D9" s="6" t="s">
        <v>214</v>
      </c>
      <c r="E9" s="75"/>
      <c r="F9" s="75"/>
      <c r="G9" s="75"/>
      <c r="H9" s="105"/>
      <c r="I9" s="105"/>
      <c r="J9" s="105"/>
      <c r="K9" s="105"/>
      <c r="L9" s="75"/>
      <c r="M9" s="75"/>
      <c r="N9" s="50"/>
      <c r="O9" s="76"/>
      <c r="P9" s="7" t="s">
        <v>80</v>
      </c>
      <c r="Q9" s="7" t="s">
        <v>79</v>
      </c>
      <c r="R9" s="89">
        <v>0</v>
      </c>
      <c r="S9" s="8">
        <v>0</v>
      </c>
      <c r="T9" s="8">
        <f>1.8*CEILING(IF($Q9="新規", IF($P9="特高", T$4*特高係数,IF($P9="高",T$4*高係数,IF($P9="中",T$4*中係数,IF($P9="低",T$4*低係数, IF($P9="特低",T$4*特低係数, 0))))),
 IF($P9="特高", T$4*特高係数,IF($P9="高",T$4*高係数,IF($P9="中",T$4*中係数,IF($P9="低",T$4*低係数, IF($P9="特低",T$4*特低係数, 0)))))),0.125)</f>
        <v>10.8</v>
      </c>
      <c r="U9" s="59">
        <f t="shared" si="1"/>
        <v>10.8</v>
      </c>
      <c r="V9" s="60">
        <f t="shared" si="2"/>
        <v>0.54</v>
      </c>
      <c r="W9" s="77"/>
    </row>
    <row r="10" spans="1:23">
      <c r="A10" s="5"/>
      <c r="B10" s="6"/>
      <c r="C10" s="6"/>
      <c r="D10" s="6" t="s">
        <v>215</v>
      </c>
      <c r="E10" s="75"/>
      <c r="F10" s="75"/>
      <c r="G10" s="75"/>
      <c r="H10" s="105"/>
      <c r="I10" s="105"/>
      <c r="J10" s="105"/>
      <c r="K10" s="105"/>
      <c r="L10" s="75"/>
      <c r="M10" s="75"/>
      <c r="N10" s="50"/>
      <c r="O10" s="76"/>
      <c r="P10" s="7" t="s">
        <v>80</v>
      </c>
      <c r="Q10" s="7" t="s">
        <v>79</v>
      </c>
      <c r="R10" s="89">
        <v>0</v>
      </c>
      <c r="S10" s="8">
        <v>0</v>
      </c>
      <c r="T10" s="8">
        <f>1.8*CEILING(IF($Q10="新規", IF($P10="特高", T$4*特高係数,IF($P10="高",T$4*高係数,IF($P10="中",T$4*中係数,IF($P10="低",T$4*低係数, IF($P10="特低",T$4*特低係数, 0))))),
 IF($P10="特高", T$4*特高係数,IF($P10="高",T$4*高係数,IF($P10="中",T$4*中係数,IF($P10="低",T$4*低係数, IF($P10="特低",T$4*特低係数, 0)))))),0.125)</f>
        <v>10.8</v>
      </c>
      <c r="U10" s="59">
        <f t="shared" ref="U10" si="5">SUM(R10:T10)</f>
        <v>10.8</v>
      </c>
      <c r="V10" s="60">
        <f t="shared" ref="V10:V48" si="6">U10/20</f>
        <v>0.54</v>
      </c>
      <c r="W10" s="77"/>
    </row>
    <row r="11" spans="1:23">
      <c r="A11" s="5">
        <f t="shared" si="0"/>
        <v>7</v>
      </c>
      <c r="B11" s="6"/>
      <c r="C11" t="s">
        <v>223</v>
      </c>
      <c r="D11" s="106" t="s">
        <v>130</v>
      </c>
      <c r="E11" s="6">
        <v>8</v>
      </c>
      <c r="F11" s="6">
        <v>4</v>
      </c>
      <c r="G11" s="6">
        <f>SUM(E11:F11)</f>
        <v>12</v>
      </c>
      <c r="H11" s="107">
        <v>3.5</v>
      </c>
      <c r="I11" s="107">
        <v>2</v>
      </c>
      <c r="J11" s="107">
        <v>2.5</v>
      </c>
      <c r="K11" s="107">
        <f>H11*I11+J11</f>
        <v>9.5</v>
      </c>
      <c r="L11" s="79">
        <f>K11*0.8</f>
        <v>7.6000000000000005</v>
      </c>
      <c r="M11" s="6">
        <f>SUM(K11:L11)</f>
        <v>17.100000000000001</v>
      </c>
      <c r="N11" s="7" t="s">
        <v>178</v>
      </c>
      <c r="O11" s="78"/>
      <c r="P11" s="7" t="s">
        <v>80</v>
      </c>
      <c r="Q11" s="7" t="s">
        <v>79</v>
      </c>
      <c r="R11" s="8">
        <f t="shared" ref="R11:T32" si="7">CEILING(IF($Q11="新規", IF($P11="特高", R$4*特高係数,IF($P11="高",R$4*高係数,IF($P11="中",R$4*中係数,IF($P11="低",R$4*低係数, IF($P11="特低",R$4*特低係数, 0))))),
 IF($P11="特高", R$4*特高係数,IF($P11="高",R$4*高係数,IF($P11="中",R$4*中係数,IF($P11="低",R$4*低係数, IF($P11="特低",R$4*特低係数, 0)))))),0.125)</f>
        <v>0.75</v>
      </c>
      <c r="S11" s="89">
        <f>1.3*CEILING(IF($Q11="新規", IF($P11="特高", S$4*特高係数,IF($P11="高",S$4*高係数,IF($P11="中",S$4*中係数,IF($P11="低",S$4*低係数, IF($P11="特低",S$4*特低係数, 0))))),
 IF($P11="特高", S$4*特高係数,IF($P11="高",S$4*高係数,IF($P11="中",S$4*中係数,IF($P11="低",S$4*低係数, IF($P11="特低",S$4*特低係数, 0)))))),0.125)</f>
        <v>9.5875000000000004</v>
      </c>
      <c r="T11" s="89">
        <f>1.3*CEILING(IF($Q11="新規", IF($P11="特高", T$4*特高係数,IF($P11="高",T$4*高係数,IF($P11="中",T$4*中係数,IF($P11="低",T$4*低係数, IF($P11="特低",T$4*特低係数, 0))))),
 IF($P11="特高", T$4*特高係数,IF($P11="高",T$4*高係数,IF($P11="中",T$4*中係数,IF($P11="低",T$4*低係数, IF($P11="特低",T$4*特低係数, 0)))))),0.125)</f>
        <v>7.8000000000000007</v>
      </c>
      <c r="U11" s="59">
        <f t="shared" ref="U11:U48" si="8">SUM(R11:T11)</f>
        <v>18.137500000000003</v>
      </c>
      <c r="V11" s="60">
        <f t="shared" si="6"/>
        <v>0.9068750000000001</v>
      </c>
      <c r="W11" s="77"/>
    </row>
    <row r="12" spans="1:23">
      <c r="A12" s="5"/>
      <c r="B12" s="6"/>
      <c r="D12" s="6" t="s">
        <v>131</v>
      </c>
      <c r="E12" s="6">
        <v>8</v>
      </c>
      <c r="F12" s="6">
        <v>4</v>
      </c>
      <c r="G12" s="6">
        <f t="shared" ref="G12:G49" si="9">SUM(E12:F12)</f>
        <v>12</v>
      </c>
      <c r="H12" s="75">
        <v>3.5</v>
      </c>
      <c r="I12" s="113"/>
      <c r="J12" s="113">
        <v>2.5</v>
      </c>
      <c r="K12" s="113">
        <f t="shared" ref="K12:K50" si="10">H12*I12+J12</f>
        <v>2.5</v>
      </c>
      <c r="L12" s="79">
        <f t="shared" ref="L12:L50" si="11">K12*0.8</f>
        <v>2</v>
      </c>
      <c r="M12" s="6">
        <f t="shared" ref="M12:M50" si="12">SUM(K12:L12)</f>
        <v>4.5</v>
      </c>
      <c r="N12" s="7" t="s">
        <v>167</v>
      </c>
      <c r="O12" s="78"/>
      <c r="P12" s="7" t="s">
        <v>81</v>
      </c>
      <c r="Q12" s="7" t="s">
        <v>79</v>
      </c>
      <c r="R12" s="8">
        <f t="shared" si="7"/>
        <v>2</v>
      </c>
      <c r="S12" s="8">
        <f t="shared" si="7"/>
        <v>20.875</v>
      </c>
      <c r="T12" s="8">
        <f t="shared" si="7"/>
        <v>16.875</v>
      </c>
      <c r="U12" s="59">
        <f t="shared" si="8"/>
        <v>39.75</v>
      </c>
      <c r="V12" s="60">
        <f t="shared" si="6"/>
        <v>1.9875</v>
      </c>
      <c r="W12" s="77"/>
    </row>
    <row r="13" spans="1:23">
      <c r="A13" s="5"/>
      <c r="B13" s="6"/>
      <c r="D13" s="6" t="s">
        <v>209</v>
      </c>
      <c r="E13" s="6">
        <v>18</v>
      </c>
      <c r="F13" s="6">
        <v>9</v>
      </c>
      <c r="G13" s="6">
        <f t="shared" si="9"/>
        <v>27</v>
      </c>
      <c r="H13" s="75">
        <v>3.5</v>
      </c>
      <c r="I13" s="113"/>
      <c r="J13" s="113">
        <v>2.5</v>
      </c>
      <c r="K13" s="113">
        <f t="shared" si="10"/>
        <v>2.5</v>
      </c>
      <c r="L13" s="79">
        <f t="shared" si="11"/>
        <v>2</v>
      </c>
      <c r="M13" s="6">
        <f t="shared" si="12"/>
        <v>4.5</v>
      </c>
      <c r="N13" s="7" t="s">
        <v>168</v>
      </c>
      <c r="O13" s="78"/>
      <c r="P13" s="50" t="s">
        <v>81</v>
      </c>
      <c r="Q13" s="7" t="s">
        <v>79</v>
      </c>
      <c r="R13" s="8">
        <f t="shared" si="7"/>
        <v>2</v>
      </c>
      <c r="S13" s="8">
        <f t="shared" si="7"/>
        <v>20.875</v>
      </c>
      <c r="T13" s="8">
        <f t="shared" si="7"/>
        <v>16.875</v>
      </c>
      <c r="U13" s="59">
        <f t="shared" si="8"/>
        <v>39.75</v>
      </c>
      <c r="V13" s="60">
        <f t="shared" si="6"/>
        <v>1.9875</v>
      </c>
      <c r="W13" s="77"/>
    </row>
    <row r="14" spans="1:23">
      <c r="A14" s="5"/>
      <c r="B14" s="6"/>
      <c r="D14" s="6" t="s">
        <v>210</v>
      </c>
      <c r="E14" s="6"/>
      <c r="F14" s="6"/>
      <c r="G14" s="6"/>
      <c r="H14" s="129"/>
      <c r="I14" s="130"/>
      <c r="J14" s="130"/>
      <c r="K14" s="130"/>
      <c r="L14" s="131">
        <f t="shared" si="11"/>
        <v>0</v>
      </c>
      <c r="M14" s="132">
        <f t="shared" si="12"/>
        <v>0</v>
      </c>
      <c r="N14" s="7" t="s">
        <v>168</v>
      </c>
      <c r="O14" s="78"/>
      <c r="P14" s="7" t="s">
        <v>179</v>
      </c>
      <c r="Q14" s="7" t="s">
        <v>79</v>
      </c>
      <c r="R14" s="8">
        <f t="shared" si="7"/>
        <v>0.75</v>
      </c>
      <c r="S14" s="8">
        <f t="shared" si="7"/>
        <v>7.375</v>
      </c>
      <c r="T14" s="8">
        <f t="shared" si="7"/>
        <v>6</v>
      </c>
      <c r="U14" s="59">
        <f t="shared" si="8"/>
        <v>14.125</v>
      </c>
      <c r="V14" s="60">
        <f t="shared" si="6"/>
        <v>0.70625000000000004</v>
      </c>
      <c r="W14" s="77"/>
    </row>
    <row r="15" spans="1:23">
      <c r="A15" s="5"/>
      <c r="B15" s="6"/>
      <c r="D15" s="6" t="s">
        <v>211</v>
      </c>
      <c r="E15" s="6"/>
      <c r="F15" s="6"/>
      <c r="G15" s="6"/>
      <c r="H15" s="129"/>
      <c r="I15" s="130"/>
      <c r="J15" s="130"/>
      <c r="K15" s="130"/>
      <c r="L15" s="131">
        <f t="shared" si="11"/>
        <v>0</v>
      </c>
      <c r="M15" s="132">
        <f t="shared" si="12"/>
        <v>0</v>
      </c>
      <c r="N15" s="7" t="s">
        <v>168</v>
      </c>
      <c r="O15" s="78"/>
      <c r="P15" s="7" t="s">
        <v>179</v>
      </c>
      <c r="Q15" s="7" t="s">
        <v>79</v>
      </c>
      <c r="R15" s="8">
        <f t="shared" si="7"/>
        <v>0.75</v>
      </c>
      <c r="S15" s="8">
        <f t="shared" si="7"/>
        <v>7.375</v>
      </c>
      <c r="T15" s="8">
        <f t="shared" si="7"/>
        <v>6</v>
      </c>
      <c r="U15" s="59">
        <f t="shared" si="8"/>
        <v>14.125</v>
      </c>
      <c r="V15" s="60">
        <f t="shared" si="6"/>
        <v>0.70625000000000004</v>
      </c>
      <c r="W15" s="77"/>
    </row>
    <row r="16" spans="1:23">
      <c r="A16" s="5"/>
      <c r="B16" s="6"/>
      <c r="D16" s="6" t="s">
        <v>212</v>
      </c>
      <c r="E16" s="6"/>
      <c r="F16" s="6"/>
      <c r="G16" s="6"/>
      <c r="H16" s="129"/>
      <c r="I16" s="130"/>
      <c r="J16" s="130"/>
      <c r="K16" s="130"/>
      <c r="L16" s="131">
        <f t="shared" si="11"/>
        <v>0</v>
      </c>
      <c r="M16" s="132">
        <f t="shared" si="12"/>
        <v>0</v>
      </c>
      <c r="N16" s="7" t="s">
        <v>168</v>
      </c>
      <c r="O16" s="78"/>
      <c r="P16" s="7" t="s">
        <v>179</v>
      </c>
      <c r="Q16" s="7" t="s">
        <v>79</v>
      </c>
      <c r="R16" s="8">
        <f t="shared" si="7"/>
        <v>0.75</v>
      </c>
      <c r="S16" s="8">
        <f t="shared" si="7"/>
        <v>7.375</v>
      </c>
      <c r="T16" s="8">
        <f t="shared" si="7"/>
        <v>6</v>
      </c>
      <c r="U16" s="59">
        <f t="shared" si="8"/>
        <v>14.125</v>
      </c>
      <c r="V16" s="60">
        <f t="shared" si="6"/>
        <v>0.70625000000000004</v>
      </c>
      <c r="W16" s="77"/>
    </row>
    <row r="17" spans="1:23">
      <c r="A17" s="5"/>
      <c r="B17" s="6"/>
      <c r="D17" s="6" t="s">
        <v>213</v>
      </c>
      <c r="E17" s="6"/>
      <c r="F17" s="6"/>
      <c r="G17" s="6"/>
      <c r="H17" s="129"/>
      <c r="I17" s="130"/>
      <c r="J17" s="130"/>
      <c r="K17" s="130"/>
      <c r="L17" s="131">
        <f t="shared" si="11"/>
        <v>0</v>
      </c>
      <c r="M17" s="132">
        <f t="shared" si="12"/>
        <v>0</v>
      </c>
      <c r="N17" s="7" t="s">
        <v>168</v>
      </c>
      <c r="O17" s="78"/>
      <c r="P17" s="7" t="s">
        <v>179</v>
      </c>
      <c r="Q17" s="7" t="s">
        <v>79</v>
      </c>
      <c r="R17" s="8">
        <f t="shared" si="7"/>
        <v>0.75</v>
      </c>
      <c r="S17" s="8">
        <f t="shared" si="7"/>
        <v>7.375</v>
      </c>
      <c r="T17" s="8">
        <f t="shared" si="7"/>
        <v>6</v>
      </c>
      <c r="U17" s="59">
        <f t="shared" si="8"/>
        <v>14.125</v>
      </c>
      <c r="V17" s="60">
        <f t="shared" si="6"/>
        <v>0.70625000000000004</v>
      </c>
      <c r="W17" s="77"/>
    </row>
    <row r="18" spans="1:23">
      <c r="A18" s="5"/>
      <c r="B18" s="6"/>
      <c r="D18" s="6" t="s">
        <v>132</v>
      </c>
      <c r="E18" s="6">
        <v>8</v>
      </c>
      <c r="F18" s="6">
        <v>4</v>
      </c>
      <c r="G18" s="6">
        <f t="shared" si="9"/>
        <v>12</v>
      </c>
      <c r="H18" s="75">
        <v>3.5</v>
      </c>
      <c r="I18" s="113"/>
      <c r="J18" s="113">
        <v>2.5</v>
      </c>
      <c r="K18" s="113">
        <f t="shared" si="10"/>
        <v>2.5</v>
      </c>
      <c r="L18" s="79">
        <f t="shared" si="11"/>
        <v>2</v>
      </c>
      <c r="M18" s="6">
        <f t="shared" si="12"/>
        <v>4.5</v>
      </c>
      <c r="N18" s="7" t="s">
        <v>167</v>
      </c>
      <c r="O18" s="78"/>
      <c r="P18" s="7" t="s">
        <v>81</v>
      </c>
      <c r="Q18" s="7" t="s">
        <v>79</v>
      </c>
      <c r="R18" s="8">
        <f t="shared" si="7"/>
        <v>2</v>
      </c>
      <c r="S18" s="8">
        <f t="shared" si="7"/>
        <v>20.875</v>
      </c>
      <c r="T18" s="8">
        <f t="shared" si="7"/>
        <v>16.875</v>
      </c>
      <c r="U18" s="59">
        <f t="shared" si="8"/>
        <v>39.75</v>
      </c>
      <c r="V18" s="60">
        <f t="shared" si="6"/>
        <v>1.9875</v>
      </c>
      <c r="W18" s="77"/>
    </row>
    <row r="19" spans="1:23" hidden="1">
      <c r="A19" s="116"/>
      <c r="B19" s="112"/>
      <c r="C19" s="117"/>
      <c r="D19" s="112" t="s">
        <v>133</v>
      </c>
      <c r="E19" s="112">
        <v>0</v>
      </c>
      <c r="F19" s="112">
        <v>0</v>
      </c>
      <c r="G19" s="112">
        <f t="shared" si="9"/>
        <v>0</v>
      </c>
      <c r="H19" s="109"/>
      <c r="I19" s="109"/>
      <c r="J19" s="109"/>
      <c r="K19" s="109"/>
      <c r="L19" s="112">
        <f t="shared" si="11"/>
        <v>0</v>
      </c>
      <c r="M19" s="112">
        <f t="shared" si="12"/>
        <v>0</v>
      </c>
      <c r="N19" s="120" t="s">
        <v>169</v>
      </c>
      <c r="O19" s="128"/>
      <c r="P19" s="120"/>
      <c r="Q19" s="120"/>
      <c r="R19" s="121">
        <f t="shared" si="7"/>
        <v>0</v>
      </c>
      <c r="S19" s="121">
        <f t="shared" si="7"/>
        <v>0</v>
      </c>
      <c r="T19" s="121">
        <f t="shared" si="7"/>
        <v>0</v>
      </c>
      <c r="U19" s="122">
        <f t="shared" si="8"/>
        <v>0</v>
      </c>
      <c r="V19" s="123">
        <f t="shared" si="6"/>
        <v>0</v>
      </c>
      <c r="W19" s="124"/>
    </row>
    <row r="20" spans="1:23" hidden="1">
      <c r="A20" s="116">
        <f t="shared" si="0"/>
        <v>16</v>
      </c>
      <c r="B20" s="112"/>
      <c r="C20" s="117" t="s">
        <v>224</v>
      </c>
      <c r="D20" s="112" t="s">
        <v>225</v>
      </c>
      <c r="E20" s="112">
        <v>0</v>
      </c>
      <c r="F20" s="112">
        <v>0</v>
      </c>
      <c r="G20" s="112">
        <f t="shared" si="9"/>
        <v>0</v>
      </c>
      <c r="H20" s="109"/>
      <c r="I20" s="109"/>
      <c r="J20" s="109"/>
      <c r="K20" s="109"/>
      <c r="L20" s="112">
        <f t="shared" si="11"/>
        <v>0</v>
      </c>
      <c r="M20" s="112">
        <f t="shared" si="12"/>
        <v>0</v>
      </c>
      <c r="N20" s="120" t="s">
        <v>167</v>
      </c>
      <c r="O20" s="128"/>
      <c r="P20" s="120"/>
      <c r="Q20" s="120"/>
      <c r="R20" s="121">
        <f t="shared" si="7"/>
        <v>0</v>
      </c>
      <c r="S20" s="121">
        <f t="shared" si="7"/>
        <v>0</v>
      </c>
      <c r="T20" s="121">
        <f t="shared" si="7"/>
        <v>0</v>
      </c>
      <c r="U20" s="122">
        <f t="shared" si="8"/>
        <v>0</v>
      </c>
      <c r="V20" s="123">
        <f t="shared" si="6"/>
        <v>0</v>
      </c>
      <c r="W20" s="124"/>
    </row>
    <row r="21" spans="1:23">
      <c r="A21" s="5"/>
      <c r="B21" s="6"/>
      <c r="D21" s="127" t="s">
        <v>226</v>
      </c>
      <c r="E21" s="79">
        <v>8</v>
      </c>
      <c r="F21" s="79">
        <v>4</v>
      </c>
      <c r="G21" s="6">
        <f t="shared" si="9"/>
        <v>12</v>
      </c>
      <c r="H21" s="113">
        <v>3.5</v>
      </c>
      <c r="I21" s="113"/>
      <c r="J21" s="113">
        <v>2.5</v>
      </c>
      <c r="K21" s="113">
        <f t="shared" si="10"/>
        <v>2.5</v>
      </c>
      <c r="L21" s="79">
        <f t="shared" si="11"/>
        <v>2</v>
      </c>
      <c r="M21" s="6">
        <f t="shared" si="12"/>
        <v>4.5</v>
      </c>
      <c r="N21" s="80" t="s">
        <v>167</v>
      </c>
      <c r="O21" s="78"/>
      <c r="P21" s="7" t="s">
        <v>81</v>
      </c>
      <c r="Q21" s="7" t="s">
        <v>79</v>
      </c>
      <c r="R21" s="8">
        <f t="shared" si="7"/>
        <v>2</v>
      </c>
      <c r="S21" s="8">
        <f t="shared" si="7"/>
        <v>20.875</v>
      </c>
      <c r="T21" s="8">
        <f t="shared" si="7"/>
        <v>16.875</v>
      </c>
      <c r="U21" s="59">
        <f t="shared" si="8"/>
        <v>39.75</v>
      </c>
      <c r="V21" s="60">
        <f t="shared" si="6"/>
        <v>1.9875</v>
      </c>
      <c r="W21" s="77"/>
    </row>
    <row r="22" spans="1:23" hidden="1">
      <c r="A22" s="116"/>
      <c r="B22" s="112"/>
      <c r="C22" s="117"/>
      <c r="D22" s="112" t="s">
        <v>135</v>
      </c>
      <c r="E22" s="111">
        <v>0</v>
      </c>
      <c r="F22" s="111">
        <v>0</v>
      </c>
      <c r="G22" s="112">
        <f t="shared" si="9"/>
        <v>0</v>
      </c>
      <c r="H22" s="110"/>
      <c r="I22" s="110"/>
      <c r="J22" s="110"/>
      <c r="K22" s="110"/>
      <c r="L22" s="111">
        <f t="shared" si="11"/>
        <v>0</v>
      </c>
      <c r="M22" s="112">
        <f t="shared" si="12"/>
        <v>0</v>
      </c>
      <c r="N22" s="118" t="s">
        <v>167</v>
      </c>
      <c r="O22" s="128"/>
      <c r="P22" s="120"/>
      <c r="Q22" s="120"/>
      <c r="R22" s="121">
        <f t="shared" si="7"/>
        <v>0</v>
      </c>
      <c r="S22" s="121">
        <f t="shared" si="7"/>
        <v>0</v>
      </c>
      <c r="T22" s="121">
        <f t="shared" si="7"/>
        <v>0</v>
      </c>
      <c r="U22" s="122">
        <f t="shared" si="8"/>
        <v>0</v>
      </c>
      <c r="V22" s="123">
        <f t="shared" si="6"/>
        <v>0</v>
      </c>
      <c r="W22" s="124"/>
    </row>
    <row r="23" spans="1:23" hidden="1">
      <c r="A23" s="116"/>
      <c r="B23" s="112"/>
      <c r="C23" s="117"/>
      <c r="D23" s="112" t="s">
        <v>136</v>
      </c>
      <c r="E23" s="111">
        <v>0</v>
      </c>
      <c r="F23" s="111">
        <v>0</v>
      </c>
      <c r="G23" s="112">
        <f t="shared" si="9"/>
        <v>0</v>
      </c>
      <c r="H23" s="110"/>
      <c r="I23" s="110"/>
      <c r="J23" s="110"/>
      <c r="K23" s="110"/>
      <c r="L23" s="111">
        <f t="shared" si="11"/>
        <v>0</v>
      </c>
      <c r="M23" s="112">
        <f t="shared" si="12"/>
        <v>0</v>
      </c>
      <c r="N23" s="118" t="s">
        <v>167</v>
      </c>
      <c r="O23" s="128"/>
      <c r="P23" s="120"/>
      <c r="Q23" s="120"/>
      <c r="R23" s="121">
        <f t="shared" si="7"/>
        <v>0</v>
      </c>
      <c r="S23" s="121">
        <f t="shared" si="7"/>
        <v>0</v>
      </c>
      <c r="T23" s="121">
        <f t="shared" si="7"/>
        <v>0</v>
      </c>
      <c r="U23" s="122">
        <f t="shared" si="8"/>
        <v>0</v>
      </c>
      <c r="V23" s="123">
        <f t="shared" si="6"/>
        <v>0</v>
      </c>
      <c r="W23" s="124"/>
    </row>
    <row r="24" spans="1:23">
      <c r="A24" s="5"/>
      <c r="B24" s="6"/>
      <c r="D24" s="106" t="s">
        <v>137</v>
      </c>
      <c r="E24" s="79">
        <v>10</v>
      </c>
      <c r="F24" s="79">
        <v>6</v>
      </c>
      <c r="G24" s="6">
        <f t="shared" si="9"/>
        <v>16</v>
      </c>
      <c r="H24" s="107">
        <v>3.5</v>
      </c>
      <c r="I24" s="107">
        <v>2</v>
      </c>
      <c r="J24" s="107">
        <v>2.5</v>
      </c>
      <c r="K24" s="107">
        <f t="shared" si="10"/>
        <v>9.5</v>
      </c>
      <c r="L24" s="79">
        <f t="shared" si="11"/>
        <v>7.6000000000000005</v>
      </c>
      <c r="M24" s="6">
        <f t="shared" si="12"/>
        <v>17.100000000000001</v>
      </c>
      <c r="N24" s="80" t="s">
        <v>167</v>
      </c>
      <c r="O24" s="78"/>
      <c r="P24" s="7" t="s">
        <v>80</v>
      </c>
      <c r="Q24" s="7" t="s">
        <v>79</v>
      </c>
      <c r="R24" s="8">
        <f t="shared" si="7"/>
        <v>0.75</v>
      </c>
      <c r="S24" s="89">
        <f>1.3*CEILING(IF($Q24="新規", IF($P24="特高", S$4*特高係数,IF($P24="高",S$4*高係数,IF($P24="中",S$4*中係数,IF($P24="低",S$4*低係数, IF($P24="特低",S$4*特低係数, 0))))),
 IF($P24="特高", S$4*特高係数,IF($P24="高",S$4*高係数,IF($P24="中",S$4*中係数,IF($P24="低",S$4*低係数, IF($P24="特低",S$4*特低係数, 0)))))),0.125)</f>
        <v>9.5875000000000004</v>
      </c>
      <c r="T24" s="89">
        <f>1.3*CEILING(IF($Q24="新規", IF($P24="特高", T$4*特高係数,IF($P24="高",T$4*高係数,IF($P24="中",T$4*中係数,IF($P24="低",T$4*低係数, IF($P24="特低",T$4*特低係数, 0))))),
 IF($P24="特高", T$4*特高係数,IF($P24="高",T$4*高係数,IF($P24="中",T$4*中係数,IF($P24="低",T$4*低係数, IF($P24="特低",T$4*特低係数, 0)))))),0.125)</f>
        <v>7.8000000000000007</v>
      </c>
      <c r="U24" s="59">
        <f t="shared" si="8"/>
        <v>18.137500000000003</v>
      </c>
      <c r="V24" s="60">
        <f t="shared" si="6"/>
        <v>0.9068750000000001</v>
      </c>
      <c r="W24" s="77"/>
    </row>
    <row r="25" spans="1:23" s="117" customFormat="1">
      <c r="A25" s="116">
        <f t="shared" si="0"/>
        <v>21</v>
      </c>
      <c r="B25" s="112"/>
      <c r="C25" s="117" t="s">
        <v>122</v>
      </c>
      <c r="D25" s="112" t="s">
        <v>138</v>
      </c>
      <c r="E25" s="111">
        <v>10</v>
      </c>
      <c r="F25" s="111">
        <v>6</v>
      </c>
      <c r="G25" s="112">
        <f t="shared" si="9"/>
        <v>16</v>
      </c>
      <c r="H25" s="125">
        <v>0</v>
      </c>
      <c r="I25" s="125">
        <v>0</v>
      </c>
      <c r="J25" s="125">
        <v>0</v>
      </c>
      <c r="K25" s="125">
        <f t="shared" si="10"/>
        <v>0</v>
      </c>
      <c r="L25" s="111">
        <f t="shared" si="11"/>
        <v>0</v>
      </c>
      <c r="M25" s="112">
        <f t="shared" si="12"/>
        <v>0</v>
      </c>
      <c r="N25" s="118" t="s">
        <v>170</v>
      </c>
      <c r="O25" s="119"/>
      <c r="P25" s="120"/>
      <c r="Q25" s="120"/>
      <c r="R25" s="121">
        <f t="shared" si="7"/>
        <v>0</v>
      </c>
      <c r="S25" s="121">
        <f t="shared" si="7"/>
        <v>0</v>
      </c>
      <c r="T25" s="121">
        <f t="shared" si="7"/>
        <v>0</v>
      </c>
      <c r="U25" s="122">
        <f t="shared" si="8"/>
        <v>0</v>
      </c>
      <c r="V25" s="123">
        <f t="shared" si="6"/>
        <v>0</v>
      </c>
      <c r="W25" s="124"/>
    </row>
    <row r="26" spans="1:23" s="117" customFormat="1">
      <c r="A26" s="116"/>
      <c r="B26" s="112"/>
      <c r="D26" s="112" t="s">
        <v>139</v>
      </c>
      <c r="E26" s="111">
        <v>18</v>
      </c>
      <c r="F26" s="111">
        <v>9</v>
      </c>
      <c r="G26" s="112">
        <f t="shared" si="9"/>
        <v>27</v>
      </c>
      <c r="H26" s="125">
        <v>0</v>
      </c>
      <c r="I26" s="125">
        <v>0</v>
      </c>
      <c r="J26" s="125">
        <v>0</v>
      </c>
      <c r="K26" s="125">
        <f t="shared" si="10"/>
        <v>0</v>
      </c>
      <c r="L26" s="111">
        <f t="shared" si="11"/>
        <v>0</v>
      </c>
      <c r="M26" s="112">
        <f t="shared" si="12"/>
        <v>0</v>
      </c>
      <c r="N26" s="118" t="s">
        <v>171</v>
      </c>
      <c r="O26" s="119"/>
      <c r="P26" s="126"/>
      <c r="Q26" s="120"/>
      <c r="R26" s="121">
        <f>1.8*CEILING(IF($Q26="新規", IF($P26="特高", R$4*特高係数,IF($P26="高",R$4*高係数,IF($P26="中",R$4*中係数,IF($P26="低",R$4*低係数, IF($P26="特低",R$4*特低係数, 0))))),
 IF($P26="特高", R$4*特高係数,IF($P26="高",R$4*高係数,IF($P26="中",R$4*中係数,IF($P26="低",R$4*低係数, IF($P26="特低",R$4*特低係数, 0)))))),0.125)</f>
        <v>0</v>
      </c>
      <c r="S26" s="121">
        <f>1.8*CEILING(IF($Q26="新規", IF($P26="特高", S$4*特高係数,IF($P26="高",S$4*高係数,IF($P26="中",S$4*中係数,IF($P26="低",S$4*低係数, IF($P26="特低",S$4*特低係数, 0))))),
 IF($P26="特高", S$4*特高係数,IF($P26="高",S$4*高係数,IF($P26="中",S$4*中係数,IF($P26="低",S$4*低係数, IF($P26="特低",S$4*特低係数, 0)))))),0.125)</f>
        <v>0</v>
      </c>
      <c r="T26" s="121">
        <f>1.8*CEILING(IF($Q26="新規", IF($P26="特高", T$4*特高係数,IF($P26="高",T$4*高係数,IF($P26="中",T$4*中係数,IF($P26="低",T$4*低係数, IF($P26="特低",T$4*特低係数, 0))))),
 IF($P26="特高", T$4*特高係数,IF($P26="高",T$4*高係数,IF($P26="中",T$4*中係数,IF($P26="低",T$4*低係数, IF($P26="特低",T$4*特低係数, 0)))))),0.125)</f>
        <v>0</v>
      </c>
      <c r="U26" s="122">
        <f t="shared" si="8"/>
        <v>0</v>
      </c>
      <c r="V26" s="123">
        <f t="shared" si="6"/>
        <v>0</v>
      </c>
      <c r="W26" s="124"/>
    </row>
    <row r="27" spans="1:23" s="117" customFormat="1">
      <c r="A27" s="116"/>
      <c r="B27" s="112"/>
      <c r="D27" s="112" t="s">
        <v>140</v>
      </c>
      <c r="E27" s="111">
        <v>12</v>
      </c>
      <c r="F27" s="111">
        <v>6</v>
      </c>
      <c r="G27" s="112">
        <f t="shared" si="9"/>
        <v>18</v>
      </c>
      <c r="H27" s="125">
        <v>0</v>
      </c>
      <c r="I27" s="125">
        <v>0</v>
      </c>
      <c r="J27" s="125">
        <v>0</v>
      </c>
      <c r="K27" s="125">
        <f t="shared" si="10"/>
        <v>0</v>
      </c>
      <c r="L27" s="111">
        <f t="shared" si="11"/>
        <v>0</v>
      </c>
      <c r="M27" s="112">
        <f t="shared" si="12"/>
        <v>0</v>
      </c>
      <c r="N27" s="118" t="s">
        <v>171</v>
      </c>
      <c r="O27" s="119"/>
      <c r="P27" s="120"/>
      <c r="Q27" s="120"/>
      <c r="R27" s="121">
        <f t="shared" si="7"/>
        <v>0</v>
      </c>
      <c r="S27" s="121">
        <f t="shared" si="7"/>
        <v>0</v>
      </c>
      <c r="T27" s="121">
        <f t="shared" si="7"/>
        <v>0</v>
      </c>
      <c r="U27" s="122">
        <f t="shared" si="8"/>
        <v>0</v>
      </c>
      <c r="V27" s="123">
        <f t="shared" si="6"/>
        <v>0</v>
      </c>
      <c r="W27" s="124"/>
    </row>
    <row r="28" spans="1:23" s="117" customFormat="1" hidden="1">
      <c r="A28" s="116"/>
      <c r="B28" s="112"/>
      <c r="D28" s="112" t="s">
        <v>141</v>
      </c>
      <c r="E28" s="111">
        <v>0</v>
      </c>
      <c r="F28" s="111">
        <v>0</v>
      </c>
      <c r="G28" s="112">
        <f t="shared" si="9"/>
        <v>0</v>
      </c>
      <c r="H28" s="110">
        <v>0</v>
      </c>
      <c r="I28" s="110">
        <v>0</v>
      </c>
      <c r="J28" s="110">
        <v>0</v>
      </c>
      <c r="K28" s="125">
        <f t="shared" si="10"/>
        <v>0</v>
      </c>
      <c r="L28" s="111">
        <f t="shared" si="11"/>
        <v>0</v>
      </c>
      <c r="M28" s="112">
        <f t="shared" si="12"/>
        <v>0</v>
      </c>
      <c r="N28" s="118" t="s">
        <v>171</v>
      </c>
      <c r="O28" s="119"/>
      <c r="P28" s="120"/>
      <c r="Q28" s="120"/>
      <c r="R28" s="121">
        <f t="shared" si="7"/>
        <v>0</v>
      </c>
      <c r="S28" s="121">
        <f t="shared" si="7"/>
        <v>0</v>
      </c>
      <c r="T28" s="121">
        <f t="shared" si="7"/>
        <v>0</v>
      </c>
      <c r="U28" s="122">
        <f t="shared" si="8"/>
        <v>0</v>
      </c>
      <c r="V28" s="123">
        <f t="shared" si="6"/>
        <v>0</v>
      </c>
      <c r="W28" s="124"/>
    </row>
    <row r="29" spans="1:23" s="117" customFormat="1" hidden="1">
      <c r="A29" s="116"/>
      <c r="B29" s="112"/>
      <c r="D29" s="112" t="s">
        <v>139</v>
      </c>
      <c r="E29" s="111">
        <v>0</v>
      </c>
      <c r="F29" s="111">
        <v>0</v>
      </c>
      <c r="G29" s="112">
        <f t="shared" si="9"/>
        <v>0</v>
      </c>
      <c r="H29" s="110">
        <v>0</v>
      </c>
      <c r="I29" s="110">
        <v>0</v>
      </c>
      <c r="J29" s="110">
        <v>0</v>
      </c>
      <c r="K29" s="125">
        <f t="shared" si="10"/>
        <v>0</v>
      </c>
      <c r="L29" s="111">
        <f t="shared" si="11"/>
        <v>0</v>
      </c>
      <c r="M29" s="112">
        <f t="shared" si="12"/>
        <v>0</v>
      </c>
      <c r="N29" s="118" t="s">
        <v>171</v>
      </c>
      <c r="O29" s="119"/>
      <c r="P29" s="120"/>
      <c r="Q29" s="120"/>
      <c r="R29" s="121">
        <f t="shared" si="7"/>
        <v>0</v>
      </c>
      <c r="S29" s="121">
        <f t="shared" si="7"/>
        <v>0</v>
      </c>
      <c r="T29" s="121">
        <f t="shared" si="7"/>
        <v>0</v>
      </c>
      <c r="U29" s="122">
        <f t="shared" si="8"/>
        <v>0</v>
      </c>
      <c r="V29" s="123">
        <f t="shared" si="6"/>
        <v>0</v>
      </c>
      <c r="W29" s="124"/>
    </row>
    <row r="30" spans="1:23">
      <c r="A30" s="5">
        <f t="shared" si="0"/>
        <v>26</v>
      </c>
      <c r="B30" s="6"/>
      <c r="C30" t="s">
        <v>123</v>
      </c>
      <c r="D30" s="6" t="s">
        <v>142</v>
      </c>
      <c r="E30" s="79">
        <v>18</v>
      </c>
      <c r="F30" s="79">
        <v>9</v>
      </c>
      <c r="G30" s="6">
        <f t="shared" si="9"/>
        <v>27</v>
      </c>
      <c r="H30" s="113">
        <v>3.5</v>
      </c>
      <c r="I30" s="113"/>
      <c r="J30" s="113">
        <v>2.5</v>
      </c>
      <c r="K30" s="113">
        <f t="shared" si="10"/>
        <v>2.5</v>
      </c>
      <c r="L30" s="79">
        <f t="shared" si="11"/>
        <v>2</v>
      </c>
      <c r="M30" s="6">
        <f t="shared" si="12"/>
        <v>4.5</v>
      </c>
      <c r="N30" s="80" t="s">
        <v>171</v>
      </c>
      <c r="O30" s="58"/>
      <c r="P30" s="7" t="s">
        <v>91</v>
      </c>
      <c r="Q30" s="7" t="s">
        <v>79</v>
      </c>
      <c r="R30" s="8">
        <f t="shared" si="7"/>
        <v>2.625</v>
      </c>
      <c r="S30" s="8">
        <f t="shared" si="7"/>
        <v>27.125</v>
      </c>
      <c r="T30" s="8">
        <f t="shared" si="7"/>
        <v>21.875</v>
      </c>
      <c r="U30" s="59">
        <f t="shared" si="8"/>
        <v>51.625</v>
      </c>
      <c r="V30" s="60">
        <f t="shared" si="6"/>
        <v>2.5812499999999998</v>
      </c>
      <c r="W30" s="77"/>
    </row>
    <row r="31" spans="1:23">
      <c r="A31" s="5"/>
      <c r="B31" s="6"/>
      <c r="D31" s="6" t="s">
        <v>143</v>
      </c>
      <c r="E31" s="79">
        <v>4</v>
      </c>
      <c r="F31" s="79">
        <v>2</v>
      </c>
      <c r="G31" s="6">
        <f t="shared" si="9"/>
        <v>6</v>
      </c>
      <c r="H31" s="113">
        <v>3.5</v>
      </c>
      <c r="I31" s="113"/>
      <c r="J31" s="113">
        <v>2.5</v>
      </c>
      <c r="K31" s="113">
        <f t="shared" si="10"/>
        <v>2.5</v>
      </c>
      <c r="L31" s="79">
        <f t="shared" si="11"/>
        <v>2</v>
      </c>
      <c r="M31" s="6">
        <f t="shared" si="12"/>
        <v>4.5</v>
      </c>
      <c r="N31" s="80" t="s">
        <v>171</v>
      </c>
      <c r="O31" s="58"/>
      <c r="P31" s="7" t="s">
        <v>80</v>
      </c>
      <c r="Q31" s="7" t="s">
        <v>79</v>
      </c>
      <c r="R31" s="8">
        <f t="shared" si="7"/>
        <v>0.75</v>
      </c>
      <c r="S31" s="8">
        <f t="shared" si="7"/>
        <v>7.375</v>
      </c>
      <c r="T31" s="8">
        <f t="shared" si="7"/>
        <v>6</v>
      </c>
      <c r="U31" s="59">
        <f t="shared" si="8"/>
        <v>14.125</v>
      </c>
      <c r="V31" s="60">
        <f t="shared" si="6"/>
        <v>0.70625000000000004</v>
      </c>
      <c r="W31" s="77"/>
    </row>
    <row r="32" spans="1:23" hidden="1">
      <c r="A32" s="116"/>
      <c r="B32" s="112"/>
      <c r="C32" s="117"/>
      <c r="D32" s="112" t="s">
        <v>144</v>
      </c>
      <c r="E32" s="111">
        <v>0</v>
      </c>
      <c r="F32" s="111">
        <v>0</v>
      </c>
      <c r="G32" s="112">
        <f t="shared" si="9"/>
        <v>0</v>
      </c>
      <c r="H32" s="110"/>
      <c r="I32" s="110"/>
      <c r="J32" s="110"/>
      <c r="K32" s="110"/>
      <c r="L32" s="111">
        <f t="shared" si="11"/>
        <v>0</v>
      </c>
      <c r="M32" s="112">
        <f t="shared" si="12"/>
        <v>0</v>
      </c>
      <c r="N32" s="118" t="s">
        <v>171</v>
      </c>
      <c r="O32" s="119"/>
      <c r="P32" s="120"/>
      <c r="Q32" s="120"/>
      <c r="R32" s="121">
        <f t="shared" si="7"/>
        <v>0</v>
      </c>
      <c r="S32" s="121">
        <f t="shared" si="7"/>
        <v>0</v>
      </c>
      <c r="T32" s="121">
        <f t="shared" si="7"/>
        <v>0</v>
      </c>
      <c r="U32" s="122">
        <f t="shared" si="8"/>
        <v>0</v>
      </c>
      <c r="V32" s="123">
        <f t="shared" si="6"/>
        <v>0</v>
      </c>
      <c r="W32" s="124"/>
    </row>
    <row r="33" spans="1:23" hidden="1">
      <c r="A33" s="116"/>
      <c r="B33" s="112"/>
      <c r="C33" s="117"/>
      <c r="D33" s="112" t="s">
        <v>145</v>
      </c>
      <c r="E33" s="111">
        <v>0</v>
      </c>
      <c r="F33" s="111">
        <v>0</v>
      </c>
      <c r="G33" s="112">
        <f t="shared" si="9"/>
        <v>0</v>
      </c>
      <c r="H33" s="110"/>
      <c r="I33" s="110"/>
      <c r="J33" s="110"/>
      <c r="K33" s="110"/>
      <c r="L33" s="111">
        <f t="shared" si="11"/>
        <v>0</v>
      </c>
      <c r="M33" s="112">
        <f t="shared" si="12"/>
        <v>0</v>
      </c>
      <c r="N33" s="118" t="s">
        <v>171</v>
      </c>
      <c r="O33" s="119"/>
      <c r="P33" s="120"/>
      <c r="Q33" s="120"/>
      <c r="R33" s="121">
        <f t="shared" ref="R33:T50" si="13">CEILING(IF($Q33="新規", IF($P33="特高", R$4*特高係数,IF($P33="高",R$4*高係数,IF($P33="中",R$4*中係数,IF($P33="低",R$4*低係数, IF($P33="特低",R$4*特低係数, 0))))),
 IF($P33="特高", R$4*特高係数,IF($P33="高",R$4*高係数,IF($P33="中",R$4*中係数,IF($P33="低",R$4*低係数, IF($P33="特低",R$4*特低係数, 0)))))),0.125)</f>
        <v>0</v>
      </c>
      <c r="S33" s="121">
        <f t="shared" si="13"/>
        <v>0</v>
      </c>
      <c r="T33" s="121">
        <f t="shared" si="13"/>
        <v>0</v>
      </c>
      <c r="U33" s="122">
        <f t="shared" si="8"/>
        <v>0</v>
      </c>
      <c r="V33" s="123">
        <f t="shared" si="6"/>
        <v>0</v>
      </c>
      <c r="W33" s="124"/>
    </row>
    <row r="34" spans="1:23">
      <c r="A34" s="5">
        <f t="shared" si="0"/>
        <v>30</v>
      </c>
      <c r="B34" s="6"/>
      <c r="C34" t="s">
        <v>124</v>
      </c>
      <c r="D34" s="106" t="s">
        <v>146</v>
      </c>
      <c r="E34" s="6">
        <v>8</v>
      </c>
      <c r="F34" s="6">
        <v>4</v>
      </c>
      <c r="G34" s="6">
        <f t="shared" si="9"/>
        <v>12</v>
      </c>
      <c r="H34" s="135">
        <v>3.5</v>
      </c>
      <c r="I34" s="107">
        <v>1</v>
      </c>
      <c r="J34" s="107">
        <v>2.5</v>
      </c>
      <c r="K34" s="107">
        <f>H34*I34+J34</f>
        <v>6</v>
      </c>
      <c r="L34" s="79">
        <f>K34*0.8</f>
        <v>4.8000000000000007</v>
      </c>
      <c r="M34" s="6">
        <f>SUM(K34:L34)</f>
        <v>10.8</v>
      </c>
      <c r="N34" s="7" t="s">
        <v>171</v>
      </c>
      <c r="O34" s="78"/>
      <c r="P34" s="7" t="s">
        <v>80</v>
      </c>
      <c r="Q34" s="7" t="s">
        <v>79</v>
      </c>
      <c r="R34" s="8">
        <f t="shared" si="13"/>
        <v>0.75</v>
      </c>
      <c r="S34" s="8">
        <f t="shared" si="13"/>
        <v>7.375</v>
      </c>
      <c r="T34" s="8">
        <f t="shared" si="13"/>
        <v>6</v>
      </c>
      <c r="U34" s="59">
        <f t="shared" si="8"/>
        <v>14.125</v>
      </c>
      <c r="V34" s="60">
        <f t="shared" si="6"/>
        <v>0.70625000000000004</v>
      </c>
      <c r="W34" s="77"/>
    </row>
    <row r="35" spans="1:23">
      <c r="A35" s="5"/>
      <c r="B35" s="6"/>
      <c r="D35" s="6" t="s">
        <v>147</v>
      </c>
      <c r="E35" s="79">
        <v>8</v>
      </c>
      <c r="F35" s="79">
        <v>4</v>
      </c>
      <c r="G35" s="6">
        <f t="shared" si="9"/>
        <v>12</v>
      </c>
      <c r="H35" s="113">
        <v>3.5</v>
      </c>
      <c r="I35" s="113"/>
      <c r="J35" s="113">
        <v>2.5</v>
      </c>
      <c r="K35" s="113">
        <f t="shared" si="10"/>
        <v>2.5</v>
      </c>
      <c r="L35" s="79">
        <f t="shared" si="11"/>
        <v>2</v>
      </c>
      <c r="M35" s="6">
        <f t="shared" si="12"/>
        <v>4.5</v>
      </c>
      <c r="N35" s="80" t="s">
        <v>171</v>
      </c>
      <c r="O35" s="78"/>
      <c r="P35" s="7" t="s">
        <v>81</v>
      </c>
      <c r="Q35" s="7" t="s">
        <v>79</v>
      </c>
      <c r="R35" s="8">
        <f t="shared" si="13"/>
        <v>2</v>
      </c>
      <c r="S35" s="8">
        <f t="shared" si="13"/>
        <v>20.875</v>
      </c>
      <c r="T35" s="8">
        <f t="shared" si="13"/>
        <v>16.875</v>
      </c>
      <c r="U35" s="59">
        <f t="shared" si="8"/>
        <v>39.75</v>
      </c>
      <c r="V35" s="60">
        <f t="shared" si="6"/>
        <v>1.9875</v>
      </c>
      <c r="W35" s="77"/>
    </row>
    <row r="36" spans="1:23">
      <c r="A36" s="5"/>
      <c r="B36" s="6"/>
      <c r="D36" s="106" t="s">
        <v>148</v>
      </c>
      <c r="E36" s="79">
        <v>8</v>
      </c>
      <c r="F36" s="79">
        <v>4</v>
      </c>
      <c r="G36" s="6">
        <f t="shared" si="9"/>
        <v>12</v>
      </c>
      <c r="H36" s="107">
        <v>3.5</v>
      </c>
      <c r="I36" s="107">
        <v>2</v>
      </c>
      <c r="J36" s="107">
        <v>2.5</v>
      </c>
      <c r="K36" s="107">
        <f t="shared" si="10"/>
        <v>9.5</v>
      </c>
      <c r="L36" s="79">
        <f t="shared" si="11"/>
        <v>7.6000000000000005</v>
      </c>
      <c r="M36" s="6">
        <f t="shared" si="12"/>
        <v>17.100000000000001</v>
      </c>
      <c r="N36" s="80" t="s">
        <v>171</v>
      </c>
      <c r="O36" s="78"/>
      <c r="P36" s="7" t="s">
        <v>80</v>
      </c>
      <c r="Q36" s="7" t="s">
        <v>79</v>
      </c>
      <c r="R36" s="8">
        <f t="shared" si="13"/>
        <v>0.75</v>
      </c>
      <c r="S36" s="89">
        <f>1.3*CEILING(IF($Q36="新規", IF($P36="特高", S$4*特高係数,IF($P36="高",S$4*高係数,IF($P36="中",S$4*中係数,IF($P36="低",S$4*低係数, IF($P36="特低",S$4*特低係数, 0))))),
 IF($P36="特高", S$4*特高係数,IF($P36="高",S$4*高係数,IF($P36="中",S$4*中係数,IF($P36="低",S$4*低係数, IF($P36="特低",S$4*特低係数, 0)))))),0.125)</f>
        <v>9.5875000000000004</v>
      </c>
      <c r="T36" s="89">
        <f>1.3*CEILING(IF($Q36="新規", IF($P36="特高", T$4*特高係数,IF($P36="高",T$4*高係数,IF($P36="中",T$4*中係数,IF($P36="低",T$4*低係数, IF($P36="特低",T$4*特低係数, 0))))),
 IF($P36="特高", T$4*特高係数,IF($P36="高",T$4*高係数,IF($P36="中",T$4*中係数,IF($P36="低",T$4*低係数, IF($P36="特低",T$4*特低係数, 0)))))),0.125)</f>
        <v>7.8000000000000007</v>
      </c>
      <c r="U36" s="59">
        <f t="shared" si="8"/>
        <v>18.137500000000003</v>
      </c>
      <c r="V36" s="60">
        <f t="shared" si="6"/>
        <v>0.9068750000000001</v>
      </c>
      <c r="W36" s="77"/>
    </row>
    <row r="37" spans="1:23">
      <c r="A37" s="5"/>
      <c r="B37" s="6"/>
      <c r="D37" s="106" t="s">
        <v>149</v>
      </c>
      <c r="E37" s="79">
        <v>8</v>
      </c>
      <c r="F37" s="79">
        <v>4</v>
      </c>
      <c r="G37" s="6">
        <f t="shared" si="9"/>
        <v>12</v>
      </c>
      <c r="H37" s="107">
        <v>3.5</v>
      </c>
      <c r="I37" s="107">
        <v>3</v>
      </c>
      <c r="J37" s="107">
        <v>2.5</v>
      </c>
      <c r="K37" s="107">
        <f t="shared" si="10"/>
        <v>13</v>
      </c>
      <c r="L37" s="79">
        <f t="shared" si="11"/>
        <v>10.4</v>
      </c>
      <c r="M37" s="6">
        <f t="shared" si="12"/>
        <v>23.4</v>
      </c>
      <c r="N37" s="80" t="s">
        <v>168</v>
      </c>
      <c r="O37" s="78"/>
      <c r="P37" s="7" t="s">
        <v>78</v>
      </c>
      <c r="Q37" s="7" t="s">
        <v>79</v>
      </c>
      <c r="R37" s="8">
        <f t="shared" si="13"/>
        <v>1.625</v>
      </c>
      <c r="S37" s="8">
        <f t="shared" si="13"/>
        <v>16.75</v>
      </c>
      <c r="T37" s="8">
        <f t="shared" si="13"/>
        <v>13.5</v>
      </c>
      <c r="U37" s="59">
        <f t="shared" si="8"/>
        <v>31.875</v>
      </c>
      <c r="V37" s="60">
        <f t="shared" si="6"/>
        <v>1.59375</v>
      </c>
      <c r="W37" s="77"/>
    </row>
    <row r="38" spans="1:23">
      <c r="A38" s="5">
        <f t="shared" si="0"/>
        <v>34</v>
      </c>
      <c r="B38" s="6"/>
      <c r="C38" t="s">
        <v>125</v>
      </c>
      <c r="D38" s="106" t="s">
        <v>150</v>
      </c>
      <c r="E38" s="79">
        <v>8</v>
      </c>
      <c r="F38" s="79">
        <v>4</v>
      </c>
      <c r="G38" s="6">
        <f t="shared" si="9"/>
        <v>12</v>
      </c>
      <c r="H38" s="107">
        <v>3.5</v>
      </c>
      <c r="I38" s="107">
        <v>3</v>
      </c>
      <c r="J38" s="107">
        <v>2.5</v>
      </c>
      <c r="K38" s="107">
        <f t="shared" si="10"/>
        <v>13</v>
      </c>
      <c r="L38" s="79">
        <f t="shared" si="11"/>
        <v>10.4</v>
      </c>
      <c r="M38" s="6">
        <f t="shared" si="12"/>
        <v>23.4</v>
      </c>
      <c r="N38" s="80" t="s">
        <v>166</v>
      </c>
      <c r="O38" s="78"/>
      <c r="P38" s="7" t="s">
        <v>78</v>
      </c>
      <c r="Q38" s="7" t="s">
        <v>79</v>
      </c>
      <c r="R38" s="8">
        <f t="shared" si="13"/>
        <v>1.625</v>
      </c>
      <c r="S38" s="8">
        <f t="shared" si="13"/>
        <v>16.75</v>
      </c>
      <c r="T38" s="8">
        <f t="shared" si="13"/>
        <v>13.5</v>
      </c>
      <c r="U38" s="59">
        <f t="shared" si="8"/>
        <v>31.875</v>
      </c>
      <c r="V38" s="60">
        <f t="shared" si="6"/>
        <v>1.59375</v>
      </c>
      <c r="W38" s="77"/>
    </row>
    <row r="39" spans="1:23">
      <c r="A39" s="5"/>
      <c r="B39" s="6"/>
      <c r="D39" s="106" t="s">
        <v>151</v>
      </c>
      <c r="E39" s="79">
        <v>4</v>
      </c>
      <c r="F39" s="79">
        <v>2</v>
      </c>
      <c r="G39" s="6">
        <f t="shared" si="9"/>
        <v>6</v>
      </c>
      <c r="H39" s="107">
        <v>3.5</v>
      </c>
      <c r="I39" s="107">
        <v>3</v>
      </c>
      <c r="J39" s="107">
        <v>2.5</v>
      </c>
      <c r="K39" s="107">
        <f t="shared" si="10"/>
        <v>13</v>
      </c>
      <c r="L39" s="79">
        <f t="shared" si="11"/>
        <v>10.4</v>
      </c>
      <c r="M39" s="6">
        <f t="shared" si="12"/>
        <v>23.4</v>
      </c>
      <c r="N39" s="80" t="s">
        <v>171</v>
      </c>
      <c r="O39" s="78"/>
      <c r="P39" s="7" t="s">
        <v>78</v>
      </c>
      <c r="Q39" s="7" t="s">
        <v>79</v>
      </c>
      <c r="R39" s="8">
        <f t="shared" si="13"/>
        <v>1.625</v>
      </c>
      <c r="S39" s="8">
        <f t="shared" si="13"/>
        <v>16.75</v>
      </c>
      <c r="T39" s="8">
        <f t="shared" si="13"/>
        <v>13.5</v>
      </c>
      <c r="U39" s="59">
        <f t="shared" si="8"/>
        <v>31.875</v>
      </c>
      <c r="V39" s="60">
        <f t="shared" si="6"/>
        <v>1.59375</v>
      </c>
      <c r="W39" s="77"/>
    </row>
    <row r="40" spans="1:23">
      <c r="A40" s="5">
        <f t="shared" si="0"/>
        <v>36</v>
      </c>
      <c r="B40" s="6"/>
      <c r="C40" t="s">
        <v>126</v>
      </c>
      <c r="D40" s="106" t="s">
        <v>152</v>
      </c>
      <c r="E40" s="79">
        <v>18</v>
      </c>
      <c r="F40" s="79">
        <v>9</v>
      </c>
      <c r="G40" s="6">
        <f t="shared" si="9"/>
        <v>27</v>
      </c>
      <c r="H40" s="107">
        <v>3.5</v>
      </c>
      <c r="I40" s="107">
        <v>1</v>
      </c>
      <c r="J40" s="107">
        <v>2.5</v>
      </c>
      <c r="K40" s="107">
        <f t="shared" si="10"/>
        <v>6</v>
      </c>
      <c r="L40" s="79">
        <f t="shared" si="11"/>
        <v>4.8000000000000007</v>
      </c>
      <c r="M40" s="6">
        <f t="shared" si="12"/>
        <v>10.8</v>
      </c>
      <c r="N40" s="80" t="s">
        <v>171</v>
      </c>
      <c r="O40" s="78"/>
      <c r="P40" s="7" t="s">
        <v>80</v>
      </c>
      <c r="Q40" s="7" t="s">
        <v>79</v>
      </c>
      <c r="R40" s="8">
        <f t="shared" si="13"/>
        <v>0.75</v>
      </c>
      <c r="S40" s="8">
        <f t="shared" si="13"/>
        <v>7.375</v>
      </c>
      <c r="T40" s="8">
        <f t="shared" si="13"/>
        <v>6</v>
      </c>
      <c r="U40" s="59">
        <f t="shared" si="8"/>
        <v>14.125</v>
      </c>
      <c r="V40" s="60">
        <f t="shared" si="6"/>
        <v>0.70625000000000004</v>
      </c>
      <c r="W40" s="77"/>
    </row>
    <row r="41" spans="1:23">
      <c r="A41" s="5"/>
      <c r="B41" s="6"/>
      <c r="D41" s="106" t="s">
        <v>153</v>
      </c>
      <c r="E41" s="79">
        <v>12</v>
      </c>
      <c r="F41" s="79">
        <v>6</v>
      </c>
      <c r="G41" s="6">
        <f t="shared" si="9"/>
        <v>18</v>
      </c>
      <c r="H41" s="107">
        <v>3.5</v>
      </c>
      <c r="I41" s="107">
        <v>5</v>
      </c>
      <c r="J41" s="107">
        <v>2.5</v>
      </c>
      <c r="K41" s="107">
        <f t="shared" si="10"/>
        <v>20</v>
      </c>
      <c r="L41" s="79">
        <f t="shared" si="11"/>
        <v>16</v>
      </c>
      <c r="M41" s="6">
        <f t="shared" si="12"/>
        <v>36</v>
      </c>
      <c r="N41" s="80" t="s">
        <v>168</v>
      </c>
      <c r="O41" s="78"/>
      <c r="P41" s="7" t="s">
        <v>81</v>
      </c>
      <c r="Q41" s="7" t="s">
        <v>79</v>
      </c>
      <c r="R41" s="8">
        <f t="shared" si="13"/>
        <v>2</v>
      </c>
      <c r="S41" s="8">
        <f t="shared" si="13"/>
        <v>20.875</v>
      </c>
      <c r="T41" s="8">
        <f t="shared" si="13"/>
        <v>16.875</v>
      </c>
      <c r="U41" s="59">
        <f t="shared" si="8"/>
        <v>39.75</v>
      </c>
      <c r="V41" s="60">
        <f t="shared" si="6"/>
        <v>1.9875</v>
      </c>
      <c r="W41" s="77"/>
    </row>
    <row r="42" spans="1:23">
      <c r="A42" s="5"/>
      <c r="B42" s="6"/>
      <c r="D42" s="106" t="s">
        <v>154</v>
      </c>
      <c r="E42" s="79">
        <v>10</v>
      </c>
      <c r="F42" s="79">
        <v>6</v>
      </c>
      <c r="G42" s="6">
        <f t="shared" si="9"/>
        <v>16</v>
      </c>
      <c r="H42" s="107">
        <v>3.5</v>
      </c>
      <c r="I42" s="107">
        <v>2</v>
      </c>
      <c r="J42" s="107">
        <v>2.5</v>
      </c>
      <c r="K42" s="107">
        <f t="shared" si="10"/>
        <v>9.5</v>
      </c>
      <c r="L42" s="79">
        <f t="shared" si="11"/>
        <v>7.6000000000000005</v>
      </c>
      <c r="M42" s="6">
        <f t="shared" si="12"/>
        <v>17.100000000000001</v>
      </c>
      <c r="N42" s="80" t="s">
        <v>168</v>
      </c>
      <c r="O42" s="78"/>
      <c r="P42" s="7" t="s">
        <v>80</v>
      </c>
      <c r="Q42" s="7" t="s">
        <v>79</v>
      </c>
      <c r="R42" s="8">
        <f t="shared" si="13"/>
        <v>0.75</v>
      </c>
      <c r="S42" s="89">
        <f>1.3*CEILING(IF($Q42="新規", IF($P42="特高", S$4*特高係数,IF($P42="高",S$4*高係数,IF($P42="中",S$4*中係数,IF($P42="低",S$4*低係数, IF($P42="特低",S$4*特低係数, 0))))),
 IF($P42="特高", S$4*特高係数,IF($P42="高",S$4*高係数,IF($P42="中",S$4*中係数,IF($P42="低",S$4*低係数, IF($P42="特低",S$4*特低係数, 0)))))),0.125)</f>
        <v>9.5875000000000004</v>
      </c>
      <c r="T42" s="89">
        <f>1.3*CEILING(IF($Q42="新規", IF($P42="特高", T$4*特高係数,IF($P42="高",T$4*高係数,IF($P42="中",T$4*中係数,IF($P42="低",T$4*低係数, IF($P42="特低",T$4*特低係数, 0))))),
 IF($P42="特高", T$4*特高係数,IF($P42="高",T$4*高係数,IF($P42="中",T$4*中係数,IF($P42="低",T$4*低係数, IF($P42="特低",T$4*特低係数, 0)))))),0.125)</f>
        <v>7.8000000000000007</v>
      </c>
      <c r="U42" s="59">
        <f t="shared" si="8"/>
        <v>18.137500000000003</v>
      </c>
      <c r="V42" s="60">
        <f t="shared" si="6"/>
        <v>0.9068750000000001</v>
      </c>
      <c r="W42" s="77"/>
    </row>
    <row r="43" spans="1:23">
      <c r="A43" s="5"/>
      <c r="B43" s="6"/>
      <c r="D43" s="106" t="s">
        <v>155</v>
      </c>
      <c r="E43" s="79">
        <v>8</v>
      </c>
      <c r="F43" s="79">
        <v>4</v>
      </c>
      <c r="G43" s="6">
        <f t="shared" si="9"/>
        <v>12</v>
      </c>
      <c r="H43" s="107">
        <v>3.5</v>
      </c>
      <c r="I43" s="107">
        <v>3</v>
      </c>
      <c r="J43" s="107">
        <v>2.5</v>
      </c>
      <c r="K43" s="107">
        <f t="shared" si="10"/>
        <v>13</v>
      </c>
      <c r="L43" s="79">
        <f t="shared" si="11"/>
        <v>10.4</v>
      </c>
      <c r="M43" s="6">
        <f t="shared" si="12"/>
        <v>23.4</v>
      </c>
      <c r="N43" s="80" t="s">
        <v>168</v>
      </c>
      <c r="O43" s="78"/>
      <c r="P43" s="7" t="s">
        <v>78</v>
      </c>
      <c r="Q43" s="7" t="s">
        <v>79</v>
      </c>
      <c r="R43" s="8">
        <f t="shared" si="13"/>
        <v>1.625</v>
      </c>
      <c r="S43" s="8">
        <f t="shared" si="13"/>
        <v>16.75</v>
      </c>
      <c r="T43" s="8">
        <f t="shared" si="13"/>
        <v>13.5</v>
      </c>
      <c r="U43" s="59">
        <f t="shared" si="8"/>
        <v>31.875</v>
      </c>
      <c r="V43" s="60">
        <f t="shared" si="6"/>
        <v>1.59375</v>
      </c>
      <c r="W43" s="77"/>
    </row>
    <row r="44" spans="1:23">
      <c r="A44" s="5"/>
      <c r="B44" s="6"/>
      <c r="D44" s="106" t="s">
        <v>156</v>
      </c>
      <c r="E44" s="79">
        <v>8</v>
      </c>
      <c r="F44" s="79">
        <v>4</v>
      </c>
      <c r="G44" s="6">
        <f t="shared" si="9"/>
        <v>12</v>
      </c>
      <c r="H44" s="107">
        <v>3.5</v>
      </c>
      <c r="I44" s="107">
        <v>5</v>
      </c>
      <c r="J44" s="107">
        <v>2.5</v>
      </c>
      <c r="K44" s="107">
        <f t="shared" si="10"/>
        <v>20</v>
      </c>
      <c r="L44" s="79">
        <f t="shared" si="11"/>
        <v>16</v>
      </c>
      <c r="M44" s="6">
        <f t="shared" si="12"/>
        <v>36</v>
      </c>
      <c r="N44" s="80" t="s">
        <v>168</v>
      </c>
      <c r="O44" s="78"/>
      <c r="P44" s="7" t="s">
        <v>78</v>
      </c>
      <c r="Q44" s="7" t="s">
        <v>79</v>
      </c>
      <c r="R44" s="8">
        <f t="shared" si="13"/>
        <v>1.625</v>
      </c>
      <c r="S44" s="89">
        <f>1.2*CEILING(IF($Q44="新規", IF($P44="特高", S$4*特高係数,IF($P44="高",S$4*高係数,IF($P44="中",S$4*中係数,IF($P44="低",S$4*低係数, IF($P44="特低",S$4*特低係数, 0))))),
 IF($P44="特高", S$4*特高係数,IF($P44="高",S$4*高係数,IF($P44="中",S$4*中係数,IF($P44="低",S$4*低係数, IF($P44="特低",S$4*特低係数, 0)))))),0.125)</f>
        <v>20.099999999999998</v>
      </c>
      <c r="T44" s="89">
        <f>1.2*CEILING(IF($Q44="新規", IF($P44="特高", T$4*特高係数,IF($P44="高",T$4*高係数,IF($P44="中",T$4*中係数,IF($P44="低",T$4*低係数, IF($P44="特低",T$4*特低係数, 0))))),
 IF($P44="特高", T$4*特高係数,IF($P44="高",T$4*高係数,IF($P44="中",T$4*中係数,IF($P44="低",T$4*低係数, IF($P44="特低",T$4*特低係数, 0)))))),0.125)</f>
        <v>16.2</v>
      </c>
      <c r="U44" s="59">
        <f t="shared" si="8"/>
        <v>37.924999999999997</v>
      </c>
      <c r="V44" s="60">
        <f t="shared" si="6"/>
        <v>1.8962499999999998</v>
      </c>
      <c r="W44" s="77"/>
    </row>
    <row r="45" spans="1:23" hidden="1">
      <c r="A45" s="116">
        <f t="shared" si="0"/>
        <v>41</v>
      </c>
      <c r="B45" s="112"/>
      <c r="C45" s="117" t="s">
        <v>127</v>
      </c>
      <c r="D45" s="112" t="s">
        <v>157</v>
      </c>
      <c r="E45" s="111">
        <v>0</v>
      </c>
      <c r="F45" s="111">
        <v>0</v>
      </c>
      <c r="G45" s="112">
        <f t="shared" si="9"/>
        <v>0</v>
      </c>
      <c r="H45" s="110"/>
      <c r="I45" s="110"/>
      <c r="J45" s="110"/>
      <c r="K45" s="110"/>
      <c r="L45" s="111">
        <f t="shared" si="11"/>
        <v>0</v>
      </c>
      <c r="M45" s="112">
        <f t="shared" si="12"/>
        <v>0</v>
      </c>
      <c r="N45" s="118"/>
      <c r="O45" s="128"/>
      <c r="P45" s="126"/>
      <c r="Q45" s="120"/>
      <c r="R45" s="121">
        <f t="shared" si="13"/>
        <v>0</v>
      </c>
      <c r="S45" s="121">
        <f t="shared" si="13"/>
        <v>0</v>
      </c>
      <c r="T45" s="121">
        <f t="shared" si="13"/>
        <v>0</v>
      </c>
      <c r="U45" s="122">
        <f t="shared" si="8"/>
        <v>0</v>
      </c>
      <c r="V45" s="123">
        <f t="shared" si="6"/>
        <v>0</v>
      </c>
      <c r="W45" s="124"/>
    </row>
    <row r="46" spans="1:23">
      <c r="A46" s="5"/>
      <c r="B46" s="6"/>
      <c r="D46" s="106" t="s">
        <v>158</v>
      </c>
      <c r="E46" s="79">
        <v>10</v>
      </c>
      <c r="F46" s="79">
        <v>6</v>
      </c>
      <c r="G46" s="6">
        <f t="shared" si="9"/>
        <v>16</v>
      </c>
      <c r="H46" s="107">
        <v>3.5</v>
      </c>
      <c r="I46" s="107">
        <v>8</v>
      </c>
      <c r="J46" s="107">
        <v>2.5</v>
      </c>
      <c r="K46" s="107">
        <f t="shared" si="10"/>
        <v>30.5</v>
      </c>
      <c r="L46" s="79">
        <f t="shared" si="11"/>
        <v>24.400000000000002</v>
      </c>
      <c r="M46" s="6">
        <f t="shared" si="12"/>
        <v>54.900000000000006</v>
      </c>
      <c r="N46" s="80"/>
      <c r="O46" s="78"/>
      <c r="P46" s="7" t="s">
        <v>91</v>
      </c>
      <c r="Q46" s="7" t="s">
        <v>79</v>
      </c>
      <c r="R46" s="8">
        <f t="shared" si="13"/>
        <v>2.625</v>
      </c>
      <c r="S46" s="89">
        <f>1.2*CEILING(IF($Q46="新規", IF($P46="特高", S$4*特高係数,IF($P46="高",S$4*高係数,IF($P46="中",S$4*中係数,IF($P46="低",S$4*低係数, IF($P46="特低",S$4*特低係数, 0))))),
 IF($P46="特高", S$4*特高係数,IF($P46="高",S$4*高係数,IF($P46="中",S$4*中係数,IF($P46="低",S$4*低係数, IF($P46="特低",S$4*特低係数, 0)))))),0.125)</f>
        <v>32.549999999999997</v>
      </c>
      <c r="T46" s="89">
        <f>1.2*CEILING(IF($Q46="新規", IF($P46="特高", T$4*特高係数,IF($P46="高",T$4*高係数,IF($P46="中",T$4*中係数,IF($P46="低",T$4*低係数, IF($P46="特低",T$4*特低係数, 0))))),
 IF($P46="特高", T$4*特高係数,IF($P46="高",T$4*高係数,IF($P46="中",T$4*中係数,IF($P46="低",T$4*低係数, IF($P46="特低",T$4*特低係数, 0)))))),0.125)</f>
        <v>26.25</v>
      </c>
      <c r="U46" s="59">
        <f t="shared" si="8"/>
        <v>61.424999999999997</v>
      </c>
      <c r="V46" s="60">
        <f t="shared" si="6"/>
        <v>3.07125</v>
      </c>
      <c r="W46" s="77"/>
    </row>
    <row r="47" spans="1:23">
      <c r="A47" s="5"/>
      <c r="B47" s="6"/>
      <c r="D47" s="6" t="s">
        <v>159</v>
      </c>
      <c r="E47" s="79">
        <v>8</v>
      </c>
      <c r="F47" s="79">
        <v>4</v>
      </c>
      <c r="G47" s="6">
        <f t="shared" si="9"/>
        <v>12</v>
      </c>
      <c r="H47" s="113">
        <v>3.5</v>
      </c>
      <c r="I47" s="113"/>
      <c r="J47" s="113">
        <v>2.5</v>
      </c>
      <c r="K47" s="113">
        <f t="shared" si="10"/>
        <v>2.5</v>
      </c>
      <c r="L47" s="79">
        <f t="shared" si="11"/>
        <v>2</v>
      </c>
      <c r="M47" s="6">
        <f t="shared" si="12"/>
        <v>4.5</v>
      </c>
      <c r="N47" s="80"/>
      <c r="O47" s="78"/>
      <c r="P47" s="7" t="s">
        <v>81</v>
      </c>
      <c r="Q47" s="7" t="s">
        <v>79</v>
      </c>
      <c r="R47" s="8">
        <f t="shared" si="13"/>
        <v>2</v>
      </c>
      <c r="S47" s="8">
        <f t="shared" si="13"/>
        <v>20.875</v>
      </c>
      <c r="T47" s="8">
        <f t="shared" si="13"/>
        <v>16.875</v>
      </c>
      <c r="U47" s="59">
        <f t="shared" si="8"/>
        <v>39.75</v>
      </c>
      <c r="V47" s="60">
        <f t="shared" si="6"/>
        <v>1.9875</v>
      </c>
      <c r="W47" s="77"/>
    </row>
    <row r="48" spans="1:23" hidden="1">
      <c r="A48" s="116"/>
      <c r="B48" s="112"/>
      <c r="C48" s="117"/>
      <c r="D48" s="112" t="s">
        <v>160</v>
      </c>
      <c r="E48" s="111">
        <v>0</v>
      </c>
      <c r="F48" s="111">
        <v>0</v>
      </c>
      <c r="G48" s="112">
        <f t="shared" si="9"/>
        <v>0</v>
      </c>
      <c r="H48" s="110"/>
      <c r="I48" s="110"/>
      <c r="J48" s="110"/>
      <c r="K48" s="110"/>
      <c r="L48" s="111">
        <f t="shared" si="11"/>
        <v>0</v>
      </c>
      <c r="M48" s="112">
        <f t="shared" si="12"/>
        <v>0</v>
      </c>
      <c r="N48" s="118"/>
      <c r="O48" s="128"/>
      <c r="P48" s="120"/>
      <c r="Q48" s="120"/>
      <c r="R48" s="121">
        <f t="shared" si="13"/>
        <v>0</v>
      </c>
      <c r="S48" s="121">
        <f t="shared" si="13"/>
        <v>0</v>
      </c>
      <c r="T48" s="121">
        <f t="shared" si="13"/>
        <v>0</v>
      </c>
      <c r="U48" s="122">
        <f t="shared" si="8"/>
        <v>0</v>
      </c>
      <c r="V48" s="123">
        <f t="shared" si="6"/>
        <v>0</v>
      </c>
      <c r="W48" s="124"/>
    </row>
    <row r="49" spans="1:23">
      <c r="A49" s="5">
        <f t="shared" si="0"/>
        <v>45</v>
      </c>
      <c r="B49" s="6"/>
      <c r="C49" t="s">
        <v>128</v>
      </c>
      <c r="D49" s="106" t="s">
        <v>161</v>
      </c>
      <c r="E49" s="79">
        <v>8</v>
      </c>
      <c r="F49" s="79">
        <v>4</v>
      </c>
      <c r="G49" s="6">
        <f t="shared" si="9"/>
        <v>12</v>
      </c>
      <c r="H49" s="107">
        <v>3.5</v>
      </c>
      <c r="I49" s="107">
        <v>4</v>
      </c>
      <c r="J49" s="107">
        <v>2.5</v>
      </c>
      <c r="K49" s="107">
        <f t="shared" si="10"/>
        <v>16.5</v>
      </c>
      <c r="L49" s="79">
        <f t="shared" si="11"/>
        <v>13.200000000000001</v>
      </c>
      <c r="M49" s="6">
        <f t="shared" si="12"/>
        <v>29.700000000000003</v>
      </c>
      <c r="N49" s="80" t="s">
        <v>172</v>
      </c>
      <c r="O49" s="78"/>
      <c r="P49" s="7" t="s">
        <v>78</v>
      </c>
      <c r="Q49" s="7" t="s">
        <v>79</v>
      </c>
      <c r="R49" s="8">
        <f t="shared" si="13"/>
        <v>1.625</v>
      </c>
      <c r="S49" s="8">
        <f t="shared" si="13"/>
        <v>16.75</v>
      </c>
      <c r="T49" s="8">
        <f t="shared" si="13"/>
        <v>13.5</v>
      </c>
      <c r="U49" s="59">
        <f>SUM(R49:T49)</f>
        <v>31.875</v>
      </c>
      <c r="V49" s="60">
        <f t="shared" ref="V49" si="14">U49/20</f>
        <v>1.59375</v>
      </c>
      <c r="W49" s="77"/>
    </row>
    <row r="50" spans="1:23" s="52" customFormat="1" ht="19.5" thickBot="1">
      <c r="A50" s="5">
        <f t="shared" si="0"/>
        <v>46</v>
      </c>
      <c r="B50" s="6"/>
      <c r="C50" t="s">
        <v>129</v>
      </c>
      <c r="D50" s="75" t="s">
        <v>162</v>
      </c>
      <c r="E50" s="6">
        <v>12</v>
      </c>
      <c r="F50" s="6">
        <v>6</v>
      </c>
      <c r="G50" s="6">
        <f>SUM(E50:F50)</f>
        <v>18</v>
      </c>
      <c r="H50" s="75">
        <v>3.5</v>
      </c>
      <c r="I50" s="75"/>
      <c r="J50" s="75">
        <v>2.5</v>
      </c>
      <c r="K50" s="75">
        <f t="shared" si="10"/>
        <v>2.5</v>
      </c>
      <c r="L50" s="6">
        <f t="shared" si="11"/>
        <v>2</v>
      </c>
      <c r="M50" s="6">
        <f t="shared" si="12"/>
        <v>4.5</v>
      </c>
      <c r="N50" s="7"/>
      <c r="O50" s="58"/>
      <c r="P50" s="7" t="s">
        <v>91</v>
      </c>
      <c r="Q50" s="7" t="s">
        <v>79</v>
      </c>
      <c r="R50" s="8">
        <f t="shared" si="13"/>
        <v>2.625</v>
      </c>
      <c r="S50" s="8">
        <f t="shared" si="13"/>
        <v>27.125</v>
      </c>
      <c r="T50" s="8">
        <f t="shared" si="13"/>
        <v>21.875</v>
      </c>
      <c r="U50" s="59">
        <f>SUM(R50:T50)</f>
        <v>51.625</v>
      </c>
      <c r="V50" s="60">
        <f t="shared" ref="V50" si="15">U50/20</f>
        <v>2.5812499999999998</v>
      </c>
      <c r="W50" s="51"/>
    </row>
    <row r="51" spans="1:23">
      <c r="A51" s="150" t="s">
        <v>82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2"/>
      <c r="R51" s="32">
        <f>SUM(R5:R50)</f>
        <v>39.875</v>
      </c>
      <c r="S51" s="32">
        <f>SUM(S5:S50)</f>
        <v>509.34999999999997</v>
      </c>
      <c r="T51" s="32">
        <f>SUM(T5:T50)</f>
        <v>366.625</v>
      </c>
      <c r="U51" s="34">
        <f>SUM(R51:T51)</f>
        <v>915.84999999999991</v>
      </c>
      <c r="V51" s="35"/>
      <c r="W51" s="36"/>
    </row>
    <row r="52" spans="1:23" ht="19.5" thickBot="1">
      <c r="A52" s="153" t="s">
        <v>83</v>
      </c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5"/>
      <c r="R52" s="33">
        <f>R51/20</f>
        <v>1.9937499999999999</v>
      </c>
      <c r="S52" s="33">
        <f t="shared" ref="S52:T52" si="16">S51/20</f>
        <v>25.467499999999998</v>
      </c>
      <c r="T52" s="33">
        <f t="shared" si="16"/>
        <v>18.331250000000001</v>
      </c>
      <c r="U52" s="10"/>
      <c r="V52" s="11">
        <f>SUM(R52:T52)</f>
        <v>45.792499999999997</v>
      </c>
      <c r="W52" s="3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 t="s">
        <v>84</v>
      </c>
      <c r="R53" s="62">
        <f>ROUNDUP(R52, 1) * 1000000</f>
        <v>2000000</v>
      </c>
      <c r="S53" s="62">
        <f>ROUNDUP(S52, 1) * 1000000</f>
        <v>25500000</v>
      </c>
      <c r="T53" s="62">
        <f>ROUNDUP(T52, 1) * 1000000</f>
        <v>18400000.000000004</v>
      </c>
      <c r="U53" s="63"/>
      <c r="V53" s="64">
        <f>SUM(R53:T53)</f>
        <v>45900000</v>
      </c>
      <c r="W53" s="99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85</v>
      </c>
      <c r="R54" s="65">
        <f>ROUNDUP(SUM(R52:R52)*0.2,1)</f>
        <v>0.4</v>
      </c>
      <c r="S54" s="65">
        <f>ROUNDUP(SUM(S52)*0.2,1)</f>
        <v>5.0999999999999996</v>
      </c>
      <c r="T54" s="65">
        <f>ROUNDUP(SUM(T52)*0.2,1)</f>
        <v>3.7</v>
      </c>
      <c r="U54" s="63"/>
      <c r="V54" s="100">
        <f>SUM(R54:T54)</f>
        <v>9.1999999999999993</v>
      </c>
      <c r="W54" s="57"/>
    </row>
    <row r="55" spans="1:23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6" t="s">
        <v>86</v>
      </c>
      <c r="R55" s="62">
        <f>R54 * 1400000</f>
        <v>560000</v>
      </c>
      <c r="S55" s="62">
        <f t="shared" ref="S55:T55" si="17">S54 * 1400000</f>
        <v>7139999.9999999991</v>
      </c>
      <c r="T55" s="62">
        <f t="shared" si="17"/>
        <v>5180000</v>
      </c>
      <c r="U55" s="63"/>
      <c r="V55" s="101">
        <f>SUM(R55:T55)</f>
        <v>12880000</v>
      </c>
      <c r="W55" s="57"/>
    </row>
    <row r="56" spans="1:23" ht="19.5" thickBot="1">
      <c r="A56" s="54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61" t="s">
        <v>87</v>
      </c>
      <c r="R56" s="69">
        <f>R53 + R55</f>
        <v>2560000</v>
      </c>
      <c r="S56" s="69">
        <f t="shared" ref="S56:T56" si="18">S53 + S55</f>
        <v>32640000</v>
      </c>
      <c r="T56" s="69">
        <f t="shared" si="18"/>
        <v>23580000.000000004</v>
      </c>
      <c r="U56" s="70"/>
      <c r="V56" s="71">
        <f>SUM(R56:T56)</f>
        <v>58780000</v>
      </c>
      <c r="W56" s="102"/>
    </row>
    <row r="57" spans="1:23" ht="19.5" thickBot="1">
      <c r="A57" s="156" t="s">
        <v>88</v>
      </c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8"/>
      <c r="R57" s="38"/>
      <c r="S57" s="38"/>
      <c r="T57" s="38"/>
      <c r="U57" s="39">
        <f>SUM(U51:U56)</f>
        <v>915.84999999999991</v>
      </c>
      <c r="V57" s="40">
        <f>V52+V54</f>
        <v>54.992499999999993</v>
      </c>
      <c r="W57" s="41"/>
    </row>
    <row r="63" spans="1:23">
      <c r="F63" t="s">
        <v>219</v>
      </c>
      <c r="G63" s="114">
        <f>G34+G38+G39+G11+G24+G36+G25+G37+G40+G41+G42+G43+G44+G46+G49</f>
        <v>211</v>
      </c>
      <c r="L63" t="s">
        <v>220</v>
      </c>
      <c r="M63" s="114">
        <f>M34+M38+M39+M11+M24+M36+M25+M37+M40+M41+M42+M43+M44+M46+M49</f>
        <v>340.2</v>
      </c>
    </row>
    <row r="64" spans="1:23">
      <c r="L64" t="s">
        <v>221</v>
      </c>
      <c r="M64">
        <f>M63/G63</f>
        <v>1.6123222748815165</v>
      </c>
    </row>
  </sheetData>
  <autoFilter ref="A2:W57" xr:uid="{00000000-0001-0000-0000-000000000000}">
    <filterColumn colId="2" showButton="0"/>
    <filterColumn colId="3" showButton="0"/>
    <filterColumn colId="4" showButton="0"/>
    <filterColumn colId="6">
      <filters blank="1">
        <filter val="12.0"/>
        <filter val="16.0"/>
        <filter val="18.0"/>
        <filter val="27.0"/>
        <filter val="6.0"/>
        <filter val="合計"/>
      </filters>
    </filterColumn>
    <filterColumn colId="17" showButton="0"/>
    <filterColumn colId="18" showButton="0"/>
  </autoFilter>
  <mergeCells count="16">
    <mergeCell ref="A4:Q4"/>
    <mergeCell ref="A51:Q51"/>
    <mergeCell ref="A52:Q52"/>
    <mergeCell ref="A57:Q57"/>
    <mergeCell ref="A2:A3"/>
    <mergeCell ref="B2:B3"/>
    <mergeCell ref="W2:W3"/>
    <mergeCell ref="C2:D2"/>
    <mergeCell ref="R2:T2"/>
    <mergeCell ref="U2:U3"/>
    <mergeCell ref="V2:V3"/>
    <mergeCell ref="O2:O3"/>
    <mergeCell ref="Q2:Q3"/>
    <mergeCell ref="P2:P3"/>
    <mergeCell ref="N2:N3"/>
    <mergeCell ref="E2:F2"/>
  </mergeCells>
  <phoneticPr fontId="3"/>
  <conditionalFormatting sqref="A5:W9 A10:D49 E10:W50 A50:C50">
    <cfRule type="expression" dxfId="4" priority="1">
      <formula>$Q5="削除"</formula>
    </cfRule>
  </conditionalFormatting>
  <conditionalFormatting sqref="D50">
    <cfRule type="expression" dxfId="3" priority="9">
      <formula>#REF!="削除"</formula>
    </cfRule>
  </conditionalFormatting>
  <dataValidations count="1">
    <dataValidation type="list" allowBlank="1" showInputMessage="1" showErrorMessage="1" sqref="Q5:Q50" xr:uid="{00000000-0002-0000-0000-000000000000}">
      <formula1>"新規,改修,削除"</formula1>
    </dataValidation>
  </dataValidations>
  <pageMargins left="0.25" right="0.25" top="0.75" bottom="0.75" header="0.3" footer="0.3"/>
  <pageSetup paperSize="9" scale="45" fitToHeight="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9F65-1984-44DF-92B6-491F84835B77}">
  <dimension ref="A2:V28"/>
  <sheetViews>
    <sheetView topLeftCell="P1" workbookViewId="0">
      <selection activeCell="S3" sqref="S3"/>
    </sheetView>
  </sheetViews>
  <sheetFormatPr defaultRowHeight="18.75"/>
  <cols>
    <col min="1" max="1" width="8.625" hidden="1" customWidth="1"/>
    <col min="2" max="15" width="0" hidden="1" customWidth="1"/>
    <col min="18" max="21" width="11.125" bestFit="1" customWidth="1"/>
  </cols>
  <sheetData>
    <row r="2" spans="1:22" ht="37.5">
      <c r="R2" s="98" t="s">
        <v>200</v>
      </c>
      <c r="S2" s="94" t="s">
        <v>187</v>
      </c>
      <c r="T2" s="96" t="s">
        <v>182</v>
      </c>
      <c r="U2" s="95" t="s">
        <v>183</v>
      </c>
    </row>
    <row r="3" spans="1:22" ht="19.5" thickBot="1">
      <c r="A3" s="153" t="s">
        <v>83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5"/>
      <c r="R3" s="33">
        <v>19.7</v>
      </c>
      <c r="S3" s="33">
        <f>R3*2</f>
        <v>39.4</v>
      </c>
      <c r="T3" s="33">
        <f>R3*2.5</f>
        <v>49.25</v>
      </c>
      <c r="U3" s="33">
        <f>R3*3</f>
        <v>59.099999999999994</v>
      </c>
    </row>
    <row r="4" spans="1:22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 t="s">
        <v>84</v>
      </c>
      <c r="R4" s="62">
        <f>ROUNDUP(R3, 1) * 1200000</f>
        <v>23640000</v>
      </c>
      <c r="S4" s="62">
        <f>ROUNDUP(S3, 1) * 1200000</f>
        <v>47280000</v>
      </c>
      <c r="T4" s="62">
        <f>ROUNDUP(T3, 1) * 1200000</f>
        <v>59160000.000000007</v>
      </c>
      <c r="U4" s="62">
        <f t="shared" ref="U4" si="0">ROUNDUP(U3, 1) * 1200000</f>
        <v>70920000</v>
      </c>
    </row>
    <row r="5" spans="1:22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 t="s">
        <v>85</v>
      </c>
      <c r="R5" s="65">
        <f>ROUNDUP(SUM(R3:R3)*0.2,1)</f>
        <v>4</v>
      </c>
      <c r="S5" s="65">
        <f>ROUNDUP(SUM(S3:S3)*0.2,1)</f>
        <v>7.8999999999999995</v>
      </c>
      <c r="T5" s="65">
        <f>ROUNDUP(SUM(T3:T3)*0.2,1)</f>
        <v>9.9</v>
      </c>
      <c r="U5" s="65">
        <f>ROUNDUP(SUM(U3)*0.2,1)</f>
        <v>11.9</v>
      </c>
    </row>
    <row r="6" spans="1:22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 t="s">
        <v>86</v>
      </c>
      <c r="R6" s="62">
        <f>R5 * 1400000</f>
        <v>5600000</v>
      </c>
      <c r="S6" s="62">
        <f>S5 * 1400000</f>
        <v>11060000</v>
      </c>
      <c r="T6" s="62">
        <f>T5 * 1400000</f>
        <v>13860000</v>
      </c>
      <c r="U6" s="62">
        <f t="shared" ref="U6" si="1">U5 * 1400000</f>
        <v>16660000</v>
      </c>
    </row>
    <row r="7" spans="1:22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61" t="s">
        <v>87</v>
      </c>
      <c r="R7" s="69">
        <f>R4 + R6</f>
        <v>29240000</v>
      </c>
      <c r="S7" s="69">
        <f>S4 + S6</f>
        <v>58340000</v>
      </c>
      <c r="T7" s="69">
        <f>T4 + T6</f>
        <v>73020000</v>
      </c>
      <c r="U7" s="69">
        <f t="shared" ref="U7" si="2">U4 + U6</f>
        <v>87580000</v>
      </c>
    </row>
    <row r="10" spans="1:22">
      <c r="P10" t="s">
        <v>217</v>
      </c>
    </row>
    <row r="11" spans="1:22">
      <c r="P11" s="92"/>
      <c r="Q11" s="92" t="s">
        <v>184</v>
      </c>
      <c r="R11" s="92" t="s">
        <v>2</v>
      </c>
      <c r="S11" s="92" t="s">
        <v>3</v>
      </c>
      <c r="T11" s="92" t="s">
        <v>4</v>
      </c>
      <c r="U11" s="92" t="s">
        <v>87</v>
      </c>
    </row>
    <row r="12" spans="1:22">
      <c r="P12" s="93" t="s">
        <v>185</v>
      </c>
      <c r="Q12" s="91">
        <v>0.5</v>
      </c>
      <c r="R12" s="91">
        <v>0.5</v>
      </c>
      <c r="S12" s="91">
        <v>0.5</v>
      </c>
      <c r="T12" s="91">
        <v>0.5</v>
      </c>
      <c r="U12" s="91">
        <f>SUM(Q12:T12)</f>
        <v>2</v>
      </c>
      <c r="V12">
        <f>SUM(U12:U13)</f>
        <v>4</v>
      </c>
    </row>
    <row r="13" spans="1:22">
      <c r="P13" s="93" t="s">
        <v>186</v>
      </c>
      <c r="Q13" s="91">
        <v>0.5</v>
      </c>
      <c r="R13" s="91">
        <v>0.5</v>
      </c>
      <c r="S13" s="91">
        <v>0.5</v>
      </c>
      <c r="T13" s="91">
        <v>0.5</v>
      </c>
      <c r="U13" s="91">
        <f t="shared" ref="U13:U28" si="3">SUM(Q13:T13)</f>
        <v>2</v>
      </c>
    </row>
    <row r="14" spans="1:22">
      <c r="P14" s="93" t="s">
        <v>188</v>
      </c>
      <c r="Q14" s="91">
        <v>1</v>
      </c>
      <c r="R14" s="91">
        <v>1</v>
      </c>
      <c r="S14" s="91">
        <v>1</v>
      </c>
      <c r="T14" s="91">
        <v>1</v>
      </c>
      <c r="U14" s="91">
        <f t="shared" si="3"/>
        <v>4</v>
      </c>
      <c r="V14">
        <f>SUM(U14:U28)</f>
        <v>60</v>
      </c>
    </row>
    <row r="15" spans="1:22">
      <c r="P15" s="93" t="s">
        <v>189</v>
      </c>
      <c r="Q15" s="91">
        <v>1</v>
      </c>
      <c r="R15" s="91">
        <v>1</v>
      </c>
      <c r="S15" s="91">
        <v>1</v>
      </c>
      <c r="T15" s="91">
        <v>1</v>
      </c>
      <c r="U15" s="91">
        <f t="shared" si="3"/>
        <v>4</v>
      </c>
    </row>
    <row r="16" spans="1:22">
      <c r="P16" s="93" t="s">
        <v>190</v>
      </c>
      <c r="Q16" s="91">
        <v>1</v>
      </c>
      <c r="R16" s="91">
        <v>1</v>
      </c>
      <c r="S16" s="91">
        <v>1</v>
      </c>
      <c r="T16" s="91">
        <v>1</v>
      </c>
      <c r="U16" s="91">
        <f t="shared" si="3"/>
        <v>4</v>
      </c>
    </row>
    <row r="17" spans="16:21">
      <c r="P17" s="93" t="s">
        <v>191</v>
      </c>
      <c r="Q17" s="91">
        <v>1</v>
      </c>
      <c r="R17" s="91">
        <v>1</v>
      </c>
      <c r="S17" s="91">
        <v>1</v>
      </c>
      <c r="T17" s="91">
        <v>1</v>
      </c>
      <c r="U17" s="91">
        <f t="shared" si="3"/>
        <v>4</v>
      </c>
    </row>
    <row r="18" spans="16:21">
      <c r="P18" s="93" t="s">
        <v>192</v>
      </c>
      <c r="Q18" s="91">
        <v>1</v>
      </c>
      <c r="R18" s="91">
        <v>1</v>
      </c>
      <c r="S18" s="91">
        <v>1</v>
      </c>
      <c r="T18" s="91">
        <v>1</v>
      </c>
      <c r="U18" s="91">
        <f t="shared" si="3"/>
        <v>4</v>
      </c>
    </row>
    <row r="19" spans="16:21">
      <c r="P19" s="93" t="s">
        <v>193</v>
      </c>
      <c r="Q19" s="91">
        <v>1</v>
      </c>
      <c r="R19" s="91">
        <v>1</v>
      </c>
      <c r="S19" s="91">
        <v>1</v>
      </c>
      <c r="T19" s="91">
        <v>1</v>
      </c>
      <c r="U19" s="91">
        <f t="shared" si="3"/>
        <v>4</v>
      </c>
    </row>
    <row r="20" spans="16:21">
      <c r="P20" s="93" t="s">
        <v>194</v>
      </c>
      <c r="Q20" s="91">
        <v>1</v>
      </c>
      <c r="R20" s="91">
        <v>1</v>
      </c>
      <c r="S20" s="91">
        <v>1</v>
      </c>
      <c r="T20" s="91">
        <v>1</v>
      </c>
      <c r="U20" s="91">
        <f t="shared" si="3"/>
        <v>4</v>
      </c>
    </row>
    <row r="21" spans="16:21">
      <c r="P21" s="93" t="s">
        <v>195</v>
      </c>
      <c r="Q21" s="91">
        <v>1</v>
      </c>
      <c r="R21" s="91">
        <v>1</v>
      </c>
      <c r="S21" s="91">
        <v>1</v>
      </c>
      <c r="T21" s="91">
        <v>1</v>
      </c>
      <c r="U21" s="91">
        <f t="shared" si="3"/>
        <v>4</v>
      </c>
    </row>
    <row r="22" spans="16:21">
      <c r="P22" s="93" t="s">
        <v>196</v>
      </c>
      <c r="Q22" s="91">
        <v>1</v>
      </c>
      <c r="R22" s="91">
        <v>1</v>
      </c>
      <c r="S22" s="91">
        <v>1</v>
      </c>
      <c r="T22" s="91">
        <v>1</v>
      </c>
      <c r="U22" s="91">
        <f t="shared" si="3"/>
        <v>4</v>
      </c>
    </row>
    <row r="23" spans="16:21">
      <c r="P23" s="93" t="s">
        <v>197</v>
      </c>
      <c r="Q23" s="91">
        <v>1</v>
      </c>
      <c r="R23" s="91">
        <v>1</v>
      </c>
      <c r="S23" s="91">
        <v>1</v>
      </c>
      <c r="T23" s="91">
        <v>1</v>
      </c>
      <c r="U23" s="91">
        <f t="shared" si="3"/>
        <v>4</v>
      </c>
    </row>
    <row r="24" spans="16:21">
      <c r="P24" s="93" t="s">
        <v>198</v>
      </c>
      <c r="Q24" s="91">
        <v>1</v>
      </c>
      <c r="R24" s="91">
        <v>1</v>
      </c>
      <c r="S24" s="91">
        <v>1</v>
      </c>
      <c r="T24" s="91">
        <v>1</v>
      </c>
      <c r="U24" s="91">
        <f t="shared" si="3"/>
        <v>4</v>
      </c>
    </row>
    <row r="25" spans="16:21">
      <c r="P25" s="93" t="s">
        <v>199</v>
      </c>
      <c r="Q25" s="91">
        <v>1</v>
      </c>
      <c r="R25" s="91">
        <v>1</v>
      </c>
      <c r="S25" s="91">
        <v>1</v>
      </c>
      <c r="T25" s="91">
        <v>1</v>
      </c>
      <c r="U25" s="91">
        <f t="shared" si="3"/>
        <v>4</v>
      </c>
    </row>
    <row r="26" spans="16:21">
      <c r="P26" s="93" t="s">
        <v>201</v>
      </c>
      <c r="Q26" s="91">
        <v>1</v>
      </c>
      <c r="R26" s="91">
        <v>1</v>
      </c>
      <c r="S26" s="91">
        <v>1</v>
      </c>
      <c r="T26" s="91">
        <v>1</v>
      </c>
      <c r="U26" s="91">
        <f t="shared" si="3"/>
        <v>4</v>
      </c>
    </row>
    <row r="27" spans="16:21">
      <c r="P27" s="93" t="s">
        <v>202</v>
      </c>
      <c r="Q27" s="91">
        <v>1</v>
      </c>
      <c r="R27" s="91">
        <v>1</v>
      </c>
      <c r="S27" s="91">
        <v>1</v>
      </c>
      <c r="T27" s="91">
        <v>1</v>
      </c>
      <c r="U27" s="91">
        <f t="shared" si="3"/>
        <v>4</v>
      </c>
    </row>
    <row r="28" spans="16:21">
      <c r="P28" s="93" t="s">
        <v>203</v>
      </c>
      <c r="Q28" s="91">
        <v>1</v>
      </c>
      <c r="R28" s="91">
        <v>1</v>
      </c>
      <c r="S28" s="91">
        <v>1</v>
      </c>
      <c r="T28" s="91">
        <v>1</v>
      </c>
      <c r="U28" s="91">
        <f t="shared" si="3"/>
        <v>4</v>
      </c>
    </row>
  </sheetData>
  <mergeCells count="1">
    <mergeCell ref="A3:Q3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7124-BF36-4B25-85DA-4CC3E277BFA8}">
  <sheetPr>
    <pageSetUpPr fitToPage="1"/>
  </sheetPr>
  <dimension ref="A1:W56"/>
  <sheetViews>
    <sheetView view="pageBreakPreview" topLeftCell="E36" zoomScale="70" zoomScaleNormal="100" zoomScaleSheetLayoutView="70" workbookViewId="0">
      <selection activeCell="U52" sqref="U52"/>
    </sheetView>
  </sheetViews>
  <sheetFormatPr defaultRowHeight="18.75"/>
  <cols>
    <col min="1" max="1" width="3.875" bestFit="1" customWidth="1"/>
    <col min="2" max="2" width="28.625" customWidth="1"/>
    <col min="3" max="3" width="18.75" customWidth="1"/>
    <col min="4" max="4" width="35.75" bestFit="1" customWidth="1"/>
    <col min="5" max="5" width="5.375" customWidth="1"/>
    <col min="6" max="9" width="10.625" bestFit="1" customWidth="1"/>
    <col min="10" max="10" width="8.875" customWidth="1"/>
    <col min="11" max="12" width="10.625" bestFit="1" customWidth="1"/>
    <col min="13" max="13" width="8.875" customWidth="1"/>
    <col min="14" max="14" width="7.75" customWidth="1"/>
    <col min="15" max="15" width="19.37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625" bestFit="1" customWidth="1"/>
    <col min="23" max="23" width="43.75" customWidth="1"/>
  </cols>
  <sheetData>
    <row r="1" spans="1:23" ht="19.5" thickBot="1"/>
    <row r="2" spans="1:23">
      <c r="A2" s="159" t="s">
        <v>53</v>
      </c>
      <c r="B2" s="139" t="s">
        <v>54</v>
      </c>
      <c r="C2" s="137" t="s">
        <v>55</v>
      </c>
      <c r="D2" s="138"/>
      <c r="E2" s="136"/>
      <c r="F2" s="137" t="s">
        <v>173</v>
      </c>
      <c r="G2" s="136"/>
      <c r="H2" s="137" t="s">
        <v>163</v>
      </c>
      <c r="I2" s="136"/>
      <c r="J2" s="74"/>
      <c r="K2" s="160" t="s">
        <v>181</v>
      </c>
      <c r="L2" s="161"/>
      <c r="M2" s="23"/>
      <c r="N2" s="139" t="s">
        <v>56</v>
      </c>
      <c r="O2" s="144" t="s">
        <v>57</v>
      </c>
      <c r="P2" s="139" t="s">
        <v>58</v>
      </c>
      <c r="Q2" s="146" t="s">
        <v>59</v>
      </c>
      <c r="R2" s="139" t="s">
        <v>60</v>
      </c>
      <c r="S2" s="139"/>
      <c r="T2" s="139"/>
      <c r="U2" s="140" t="s">
        <v>61</v>
      </c>
      <c r="V2" s="142" t="s">
        <v>62</v>
      </c>
      <c r="W2" s="136" t="s">
        <v>63</v>
      </c>
    </row>
    <row r="3" spans="1:23" ht="24">
      <c r="A3" s="159"/>
      <c r="B3" s="139"/>
      <c r="C3" s="1" t="s">
        <v>64</v>
      </c>
      <c r="D3" s="1" t="s">
        <v>65</v>
      </c>
      <c r="E3" s="1" t="s">
        <v>66</v>
      </c>
      <c r="F3" s="1" t="s">
        <v>174</v>
      </c>
      <c r="G3" s="1" t="s">
        <v>175</v>
      </c>
      <c r="H3" s="1" t="s">
        <v>164</v>
      </c>
      <c r="I3" s="1" t="s">
        <v>165</v>
      </c>
      <c r="J3" s="17" t="s">
        <v>87</v>
      </c>
      <c r="K3" s="17" t="s">
        <v>164</v>
      </c>
      <c r="L3" s="17" t="s">
        <v>165</v>
      </c>
      <c r="M3" s="17" t="s">
        <v>87</v>
      </c>
      <c r="N3" s="139"/>
      <c r="O3" s="145"/>
      <c r="P3" s="139"/>
      <c r="Q3" s="146"/>
      <c r="R3" s="72" t="s">
        <v>176</v>
      </c>
      <c r="S3" s="1" t="s">
        <v>69</v>
      </c>
      <c r="T3" s="1" t="s">
        <v>70</v>
      </c>
      <c r="U3" s="141"/>
      <c r="V3" s="143"/>
      <c r="W3" s="136"/>
    </row>
    <row r="4" spans="1:23">
      <c r="A4" s="147" t="s">
        <v>73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9"/>
      <c r="R4" s="2">
        <v>0.5</v>
      </c>
      <c r="S4" s="90">
        <f>1.2*積算基準!F58</f>
        <v>3.9</v>
      </c>
      <c r="T4" s="90">
        <f>1.2*積算基準!G58</f>
        <v>3.15</v>
      </c>
      <c r="U4" s="3"/>
      <c r="V4" s="9"/>
      <c r="W4" s="4"/>
    </row>
    <row r="5" spans="1:23">
      <c r="A5" s="81">
        <f t="shared" ref="A5:A49" si="0">ROW()-4</f>
        <v>1</v>
      </c>
      <c r="B5" s="79"/>
      <c r="C5" s="79" t="s">
        <v>74</v>
      </c>
      <c r="D5" s="79" t="s">
        <v>75</v>
      </c>
      <c r="E5" s="79"/>
      <c r="F5" s="73"/>
      <c r="G5" s="73"/>
      <c r="H5" s="79"/>
      <c r="I5" s="79"/>
      <c r="J5" s="79"/>
      <c r="K5" s="79"/>
      <c r="L5" s="79"/>
      <c r="M5" s="79"/>
      <c r="N5" s="80" t="s">
        <v>76</v>
      </c>
      <c r="O5" s="82" t="s">
        <v>77</v>
      </c>
      <c r="P5" s="7" t="s">
        <v>78</v>
      </c>
      <c r="Q5" s="83" t="s">
        <v>79</v>
      </c>
      <c r="R5" s="84">
        <v>0</v>
      </c>
      <c r="S5" s="84">
        <f t="shared" ref="R5:T31" si="1">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6.25</v>
      </c>
      <c r="T5" s="84">
        <f t="shared" si="1"/>
        <v>5.125</v>
      </c>
      <c r="U5" s="85">
        <f>SUM(R5:T5)</f>
        <v>11.375</v>
      </c>
      <c r="V5" s="86">
        <f>U5/20</f>
        <v>0.56874999999999998</v>
      </c>
      <c r="W5" s="87"/>
    </row>
    <row r="6" spans="1:23">
      <c r="A6" s="5"/>
      <c r="B6" s="6"/>
      <c r="C6" s="6"/>
      <c r="D6" s="6" t="s">
        <v>177</v>
      </c>
      <c r="E6" s="75"/>
      <c r="F6" s="73"/>
      <c r="G6" s="73"/>
      <c r="H6" s="75"/>
      <c r="I6" s="75"/>
      <c r="J6" s="75"/>
      <c r="K6" s="75"/>
      <c r="L6" s="75"/>
      <c r="M6" s="75"/>
      <c r="N6" s="50"/>
      <c r="O6" s="76"/>
      <c r="P6" s="7" t="s">
        <v>78</v>
      </c>
      <c r="Q6" s="7" t="s">
        <v>79</v>
      </c>
      <c r="R6" s="8">
        <v>0</v>
      </c>
      <c r="S6" s="8">
        <f t="shared" si="1"/>
        <v>6.25</v>
      </c>
      <c r="T6" s="8">
        <f t="shared" si="1"/>
        <v>5.125</v>
      </c>
      <c r="U6" s="59">
        <f t="shared" ref="U6:U7" si="2">SUM(R6:T6)</f>
        <v>11.375</v>
      </c>
      <c r="V6" s="60">
        <f t="shared" ref="V6:V7" si="3">U6/20</f>
        <v>0.56874999999999998</v>
      </c>
      <c r="W6" s="77"/>
    </row>
    <row r="7" spans="1:23">
      <c r="A7" s="5"/>
      <c r="B7" s="6"/>
      <c r="C7" s="6"/>
      <c r="D7" s="6" t="s">
        <v>216</v>
      </c>
      <c r="E7" s="75"/>
      <c r="F7" s="73"/>
      <c r="G7" s="73"/>
      <c r="H7" s="75"/>
      <c r="I7" s="75"/>
      <c r="J7" s="75"/>
      <c r="K7" s="75"/>
      <c r="L7" s="75"/>
      <c r="M7" s="75"/>
      <c r="N7" s="50"/>
      <c r="O7" s="76"/>
      <c r="P7" s="7" t="s">
        <v>78</v>
      </c>
      <c r="Q7" s="7" t="s">
        <v>79</v>
      </c>
      <c r="R7" s="8">
        <v>0</v>
      </c>
      <c r="S7" s="8">
        <f t="shared" si="1"/>
        <v>6.25</v>
      </c>
      <c r="T7" s="8">
        <f t="shared" si="1"/>
        <v>5.125</v>
      </c>
      <c r="U7" s="59">
        <f t="shared" si="2"/>
        <v>11.375</v>
      </c>
      <c r="V7" s="60">
        <f t="shared" si="3"/>
        <v>0.56874999999999998</v>
      </c>
      <c r="W7" s="77"/>
    </row>
    <row r="8" spans="1:23">
      <c r="A8" s="5"/>
      <c r="B8" s="6"/>
      <c r="C8" s="6"/>
      <c r="D8" s="6" t="s">
        <v>214</v>
      </c>
      <c r="E8" s="75"/>
      <c r="F8" s="73"/>
      <c r="G8" s="73"/>
      <c r="H8" s="75"/>
      <c r="I8" s="75"/>
      <c r="J8" s="75"/>
      <c r="K8" s="75"/>
      <c r="L8" s="75"/>
      <c r="M8" s="75"/>
      <c r="N8" s="50"/>
      <c r="O8" s="76"/>
      <c r="P8" s="7" t="s">
        <v>78</v>
      </c>
      <c r="Q8" s="7" t="s">
        <v>79</v>
      </c>
      <c r="R8" s="8">
        <v>0</v>
      </c>
      <c r="S8" s="8">
        <f t="shared" si="1"/>
        <v>6.25</v>
      </c>
      <c r="T8" s="8">
        <f t="shared" si="1"/>
        <v>5.125</v>
      </c>
      <c r="U8" s="59">
        <f t="shared" ref="U8:U47" si="4">SUM(R8:T8)</f>
        <v>11.375</v>
      </c>
      <c r="V8" s="60">
        <f t="shared" ref="V8:V49" si="5">U8/20</f>
        <v>0.56874999999999998</v>
      </c>
      <c r="W8" s="77"/>
    </row>
    <row r="9" spans="1:23">
      <c r="A9" s="5"/>
      <c r="B9" s="6"/>
      <c r="C9" s="6"/>
      <c r="D9" s="6" t="s">
        <v>215</v>
      </c>
      <c r="E9" s="75"/>
      <c r="F9" s="73"/>
      <c r="G9" s="73"/>
      <c r="H9" s="75"/>
      <c r="I9" s="75"/>
      <c r="J9" s="75"/>
      <c r="K9" s="75"/>
      <c r="L9" s="75"/>
      <c r="M9" s="75"/>
      <c r="N9" s="50"/>
      <c r="O9" s="76"/>
      <c r="P9" s="7" t="s">
        <v>78</v>
      </c>
      <c r="Q9" s="7" t="s">
        <v>79</v>
      </c>
      <c r="R9" s="8">
        <v>0</v>
      </c>
      <c r="S9" s="8">
        <f t="shared" si="1"/>
        <v>6.25</v>
      </c>
      <c r="T9" s="8">
        <f t="shared" si="1"/>
        <v>5.125</v>
      </c>
      <c r="U9" s="59">
        <f t="shared" ref="U9" si="6">SUM(R9:T9)</f>
        <v>11.375</v>
      </c>
      <c r="V9" s="60">
        <f t="shared" ref="V9" si="7">U9/20</f>
        <v>0.56874999999999998</v>
      </c>
      <c r="W9" s="77"/>
    </row>
    <row r="10" spans="1:23">
      <c r="A10" s="5">
        <f t="shared" si="0"/>
        <v>6</v>
      </c>
      <c r="B10" s="6"/>
      <c r="C10" t="s">
        <v>120</v>
      </c>
      <c r="D10" s="6" t="s">
        <v>130</v>
      </c>
      <c r="E10" s="6"/>
      <c r="F10" s="73">
        <v>45754</v>
      </c>
      <c r="G10" s="73">
        <v>45838</v>
      </c>
      <c r="H10" s="6">
        <v>8</v>
      </c>
      <c r="I10" s="6">
        <v>4</v>
      </c>
      <c r="J10" s="6">
        <f>SUM(H10:I10)</f>
        <v>12</v>
      </c>
      <c r="K10" s="6"/>
      <c r="L10" s="79">
        <f t="shared" ref="L10:L17" si="8">K10*0.8</f>
        <v>0</v>
      </c>
      <c r="M10" s="6">
        <f>SUM(K10:L10)</f>
        <v>0</v>
      </c>
      <c r="N10" s="7" t="s">
        <v>178</v>
      </c>
      <c r="O10" s="78"/>
      <c r="P10" s="7" t="s">
        <v>81</v>
      </c>
      <c r="Q10" s="7" t="s">
        <v>79</v>
      </c>
      <c r="R10" s="8">
        <f t="shared" si="1"/>
        <v>1</v>
      </c>
      <c r="S10" s="8">
        <f t="shared" si="1"/>
        <v>7.875</v>
      </c>
      <c r="T10" s="8">
        <f t="shared" si="1"/>
        <v>6.375</v>
      </c>
      <c r="U10" s="59">
        <f t="shared" si="4"/>
        <v>15.25</v>
      </c>
      <c r="V10" s="60">
        <f t="shared" si="5"/>
        <v>0.76249999999999996</v>
      </c>
      <c r="W10" s="77"/>
    </row>
    <row r="11" spans="1:23">
      <c r="A11" s="5"/>
      <c r="B11" s="6"/>
      <c r="D11" s="6" t="s">
        <v>131</v>
      </c>
      <c r="E11" s="6"/>
      <c r="F11" s="73">
        <v>45754</v>
      </c>
      <c r="G11" s="73">
        <v>45838</v>
      </c>
      <c r="H11" s="6">
        <v>8</v>
      </c>
      <c r="I11" s="6">
        <v>4</v>
      </c>
      <c r="J11" s="6">
        <f t="shared" ref="J11:J48" si="9">SUM(H11:I11)</f>
        <v>12</v>
      </c>
      <c r="K11" s="6"/>
      <c r="L11" s="79">
        <f t="shared" si="8"/>
        <v>0</v>
      </c>
      <c r="M11" s="6">
        <f t="shared" ref="M11:M48" si="10">SUM(K11:L11)</f>
        <v>0</v>
      </c>
      <c r="N11" s="7" t="s">
        <v>167</v>
      </c>
      <c r="O11" s="78"/>
      <c r="P11" s="7" t="s">
        <v>81</v>
      </c>
      <c r="Q11" s="7" t="s">
        <v>79</v>
      </c>
      <c r="R11" s="8">
        <f t="shared" si="1"/>
        <v>1</v>
      </c>
      <c r="S11" s="8">
        <f t="shared" si="1"/>
        <v>7.875</v>
      </c>
      <c r="T11" s="8">
        <f t="shared" si="1"/>
        <v>6.375</v>
      </c>
      <c r="U11" s="59">
        <f t="shared" si="4"/>
        <v>15.25</v>
      </c>
      <c r="V11" s="60">
        <f t="shared" si="5"/>
        <v>0.76249999999999996</v>
      </c>
      <c r="W11" s="77"/>
    </row>
    <row r="12" spans="1:23">
      <c r="A12" s="5"/>
      <c r="B12" s="6"/>
      <c r="D12" s="6" t="s">
        <v>204</v>
      </c>
      <c r="E12" s="6"/>
      <c r="F12" s="73">
        <v>45754</v>
      </c>
      <c r="G12" s="73">
        <v>45838</v>
      </c>
      <c r="H12" s="6">
        <v>18</v>
      </c>
      <c r="I12" s="6">
        <v>9</v>
      </c>
      <c r="J12" s="6">
        <f t="shared" si="9"/>
        <v>27</v>
      </c>
      <c r="K12" s="6"/>
      <c r="L12" s="79">
        <f t="shared" si="8"/>
        <v>0</v>
      </c>
      <c r="M12" s="6">
        <f t="shared" si="10"/>
        <v>0</v>
      </c>
      <c r="N12" s="7" t="s">
        <v>168</v>
      </c>
      <c r="O12" s="78"/>
      <c r="P12" s="50" t="s">
        <v>81</v>
      </c>
      <c r="Q12" s="7" t="s">
        <v>79</v>
      </c>
      <c r="R12" s="8">
        <f t="shared" si="1"/>
        <v>1</v>
      </c>
      <c r="S12" s="8">
        <f t="shared" si="1"/>
        <v>7.875</v>
      </c>
      <c r="T12" s="8">
        <f t="shared" si="1"/>
        <v>6.375</v>
      </c>
      <c r="U12" s="59">
        <f t="shared" si="4"/>
        <v>15.25</v>
      </c>
      <c r="V12" s="60">
        <f t="shared" si="5"/>
        <v>0.76249999999999996</v>
      </c>
      <c r="W12" s="77"/>
    </row>
    <row r="13" spans="1:23">
      <c r="A13" s="5"/>
      <c r="B13" s="6"/>
      <c r="D13" s="6" t="s">
        <v>205</v>
      </c>
      <c r="E13" s="6"/>
      <c r="F13" s="73">
        <v>45754</v>
      </c>
      <c r="G13" s="73">
        <v>45838</v>
      </c>
      <c r="H13" s="6"/>
      <c r="I13" s="6"/>
      <c r="J13" s="6">
        <f t="shared" si="9"/>
        <v>0</v>
      </c>
      <c r="K13" s="6"/>
      <c r="L13" s="79">
        <f t="shared" si="8"/>
        <v>0</v>
      </c>
      <c r="M13" s="6">
        <f t="shared" si="10"/>
        <v>0</v>
      </c>
      <c r="N13" s="7" t="s">
        <v>168</v>
      </c>
      <c r="O13" s="78"/>
      <c r="P13" s="7" t="s">
        <v>80</v>
      </c>
      <c r="Q13" s="7" t="s">
        <v>79</v>
      </c>
      <c r="R13" s="8">
        <f t="shared" si="1"/>
        <v>0.375</v>
      </c>
      <c r="S13" s="8">
        <f t="shared" si="1"/>
        <v>2.75</v>
      </c>
      <c r="T13" s="8">
        <f t="shared" si="1"/>
        <v>2.25</v>
      </c>
      <c r="U13" s="59">
        <f t="shared" si="4"/>
        <v>5.375</v>
      </c>
      <c r="V13" s="60">
        <f t="shared" si="5"/>
        <v>0.26874999999999999</v>
      </c>
      <c r="W13" s="77"/>
    </row>
    <row r="14" spans="1:23">
      <c r="A14" s="5"/>
      <c r="B14" s="6"/>
      <c r="D14" s="6" t="s">
        <v>206</v>
      </c>
      <c r="E14" s="6"/>
      <c r="F14" s="73">
        <v>45754</v>
      </c>
      <c r="G14" s="73">
        <v>45838</v>
      </c>
      <c r="H14" s="6"/>
      <c r="I14" s="6"/>
      <c r="J14" s="6">
        <f t="shared" si="9"/>
        <v>0</v>
      </c>
      <c r="K14" s="6"/>
      <c r="L14" s="79">
        <f t="shared" si="8"/>
        <v>0</v>
      </c>
      <c r="M14" s="6">
        <f t="shared" si="10"/>
        <v>0</v>
      </c>
      <c r="N14" s="7" t="s">
        <v>168</v>
      </c>
      <c r="O14" s="78"/>
      <c r="P14" s="7" t="s">
        <v>80</v>
      </c>
      <c r="Q14" s="7" t="s">
        <v>79</v>
      </c>
      <c r="R14" s="8">
        <f t="shared" si="1"/>
        <v>0.375</v>
      </c>
      <c r="S14" s="8">
        <f t="shared" si="1"/>
        <v>2.75</v>
      </c>
      <c r="T14" s="8">
        <f t="shared" si="1"/>
        <v>2.25</v>
      </c>
      <c r="U14" s="59">
        <f t="shared" si="4"/>
        <v>5.375</v>
      </c>
      <c r="V14" s="60">
        <f t="shared" si="5"/>
        <v>0.26874999999999999</v>
      </c>
      <c r="W14" s="77"/>
    </row>
    <row r="15" spans="1:23">
      <c r="A15" s="5"/>
      <c r="B15" s="6"/>
      <c r="D15" s="6" t="s">
        <v>207</v>
      </c>
      <c r="E15" s="6"/>
      <c r="F15" s="73">
        <v>45754</v>
      </c>
      <c r="G15" s="73">
        <v>45838</v>
      </c>
      <c r="H15" s="6"/>
      <c r="I15" s="6"/>
      <c r="J15" s="6">
        <f t="shared" si="9"/>
        <v>0</v>
      </c>
      <c r="K15" s="6"/>
      <c r="L15" s="79">
        <f t="shared" si="8"/>
        <v>0</v>
      </c>
      <c r="M15" s="6">
        <f t="shared" si="10"/>
        <v>0</v>
      </c>
      <c r="N15" s="7" t="s">
        <v>168</v>
      </c>
      <c r="O15" s="78"/>
      <c r="P15" s="7" t="s">
        <v>80</v>
      </c>
      <c r="Q15" s="7" t="s">
        <v>79</v>
      </c>
      <c r="R15" s="8">
        <f t="shared" si="1"/>
        <v>0.375</v>
      </c>
      <c r="S15" s="8">
        <f t="shared" si="1"/>
        <v>2.75</v>
      </c>
      <c r="T15" s="8">
        <f t="shared" si="1"/>
        <v>2.25</v>
      </c>
      <c r="U15" s="59">
        <f t="shared" si="4"/>
        <v>5.375</v>
      </c>
      <c r="V15" s="60">
        <f t="shared" si="5"/>
        <v>0.26874999999999999</v>
      </c>
      <c r="W15" s="77"/>
    </row>
    <row r="16" spans="1:23">
      <c r="A16" s="5"/>
      <c r="B16" s="6"/>
      <c r="D16" s="6" t="s">
        <v>208</v>
      </c>
      <c r="E16" s="6"/>
      <c r="F16" s="73">
        <v>45754</v>
      </c>
      <c r="G16" s="73">
        <v>45838</v>
      </c>
      <c r="H16" s="6"/>
      <c r="I16" s="6"/>
      <c r="J16" s="6">
        <f t="shared" si="9"/>
        <v>0</v>
      </c>
      <c r="K16" s="6"/>
      <c r="L16" s="79">
        <f t="shared" si="8"/>
        <v>0</v>
      </c>
      <c r="M16" s="6">
        <f t="shared" si="10"/>
        <v>0</v>
      </c>
      <c r="N16" s="7" t="s">
        <v>168</v>
      </c>
      <c r="O16" s="78"/>
      <c r="P16" s="7" t="s">
        <v>80</v>
      </c>
      <c r="Q16" s="7" t="s">
        <v>79</v>
      </c>
      <c r="R16" s="8">
        <f t="shared" si="1"/>
        <v>0.375</v>
      </c>
      <c r="S16" s="8">
        <f t="shared" si="1"/>
        <v>2.75</v>
      </c>
      <c r="T16" s="8">
        <f t="shared" si="1"/>
        <v>2.25</v>
      </c>
      <c r="U16" s="59">
        <f t="shared" si="4"/>
        <v>5.375</v>
      </c>
      <c r="V16" s="60">
        <f t="shared" si="5"/>
        <v>0.26874999999999999</v>
      </c>
      <c r="W16" s="77"/>
    </row>
    <row r="17" spans="1:23">
      <c r="A17" s="5"/>
      <c r="B17" s="6"/>
      <c r="D17" s="6" t="s">
        <v>132</v>
      </c>
      <c r="E17" s="6"/>
      <c r="F17" s="73">
        <v>45754</v>
      </c>
      <c r="G17" s="73">
        <v>45838</v>
      </c>
      <c r="H17" s="6">
        <v>8</v>
      </c>
      <c r="I17" s="6">
        <v>4</v>
      </c>
      <c r="J17" s="6">
        <f t="shared" si="9"/>
        <v>12</v>
      </c>
      <c r="K17" s="6"/>
      <c r="L17" s="79">
        <f t="shared" si="8"/>
        <v>0</v>
      </c>
      <c r="M17" s="6">
        <f t="shared" si="10"/>
        <v>0</v>
      </c>
      <c r="N17" s="7" t="s">
        <v>167</v>
      </c>
      <c r="O17" s="78"/>
      <c r="P17" s="7" t="s">
        <v>81</v>
      </c>
      <c r="Q17" s="7" t="s">
        <v>79</v>
      </c>
      <c r="R17" s="8">
        <f t="shared" si="1"/>
        <v>1</v>
      </c>
      <c r="S17" s="8">
        <f t="shared" si="1"/>
        <v>7.875</v>
      </c>
      <c r="T17" s="8">
        <f t="shared" si="1"/>
        <v>6.375</v>
      </c>
      <c r="U17" s="59">
        <f t="shared" si="4"/>
        <v>15.25</v>
      </c>
      <c r="V17" s="60">
        <f t="shared" si="5"/>
        <v>0.76249999999999996</v>
      </c>
      <c r="W17" s="77"/>
    </row>
    <row r="18" spans="1:23">
      <c r="A18" s="5"/>
      <c r="B18" s="6"/>
      <c r="D18" s="6" t="s">
        <v>133</v>
      </c>
      <c r="E18" s="6"/>
      <c r="F18" s="73">
        <v>45754</v>
      </c>
      <c r="G18" s="73">
        <v>45838</v>
      </c>
      <c r="H18" s="6">
        <v>0</v>
      </c>
      <c r="I18" s="6">
        <v>0</v>
      </c>
      <c r="J18" s="6">
        <f t="shared" si="9"/>
        <v>0</v>
      </c>
      <c r="K18" s="6">
        <v>0</v>
      </c>
      <c r="L18" s="6">
        <v>0</v>
      </c>
      <c r="M18" s="6">
        <f t="shared" si="10"/>
        <v>0</v>
      </c>
      <c r="N18" s="7" t="s">
        <v>169</v>
      </c>
      <c r="O18" s="78"/>
      <c r="P18" s="7"/>
      <c r="Q18" s="7"/>
      <c r="R18" s="8">
        <f t="shared" si="1"/>
        <v>0</v>
      </c>
      <c r="S18" s="8">
        <f t="shared" si="1"/>
        <v>0</v>
      </c>
      <c r="T18" s="8">
        <f t="shared" si="1"/>
        <v>0</v>
      </c>
      <c r="U18" s="59">
        <f t="shared" si="4"/>
        <v>0</v>
      </c>
      <c r="V18" s="60">
        <f t="shared" si="5"/>
        <v>0</v>
      </c>
      <c r="W18" s="77"/>
    </row>
    <row r="19" spans="1:23">
      <c r="A19" s="5">
        <f t="shared" si="0"/>
        <v>15</v>
      </c>
      <c r="B19" s="6"/>
      <c r="C19" t="s">
        <v>121</v>
      </c>
      <c r="D19" s="6" t="s">
        <v>134</v>
      </c>
      <c r="E19" s="6"/>
      <c r="F19" s="73">
        <v>45748</v>
      </c>
      <c r="G19" s="73">
        <v>45777</v>
      </c>
      <c r="H19" s="6">
        <v>0</v>
      </c>
      <c r="I19" s="6">
        <v>0</v>
      </c>
      <c r="J19" s="6">
        <f t="shared" si="9"/>
        <v>0</v>
      </c>
      <c r="K19" s="6">
        <v>0</v>
      </c>
      <c r="L19" s="6">
        <v>0</v>
      </c>
      <c r="M19" s="6">
        <f t="shared" si="10"/>
        <v>0</v>
      </c>
      <c r="N19" s="7" t="s">
        <v>167</v>
      </c>
      <c r="O19" s="78"/>
      <c r="P19" s="7"/>
      <c r="Q19" s="7"/>
      <c r="R19" s="8">
        <f t="shared" si="1"/>
        <v>0</v>
      </c>
      <c r="S19" s="8">
        <f t="shared" si="1"/>
        <v>0</v>
      </c>
      <c r="T19" s="8">
        <f t="shared" si="1"/>
        <v>0</v>
      </c>
      <c r="U19" s="59">
        <f t="shared" si="4"/>
        <v>0</v>
      </c>
      <c r="V19" s="60">
        <f t="shared" si="5"/>
        <v>0</v>
      </c>
      <c r="W19" s="77"/>
    </row>
    <row r="20" spans="1:23">
      <c r="A20" s="5"/>
      <c r="B20" s="6"/>
      <c r="D20" s="6" t="s">
        <v>135</v>
      </c>
      <c r="E20" s="6"/>
      <c r="F20" s="73">
        <v>45748</v>
      </c>
      <c r="G20" s="73">
        <v>45777</v>
      </c>
      <c r="H20" s="79">
        <v>8</v>
      </c>
      <c r="I20" s="79">
        <v>4</v>
      </c>
      <c r="J20" s="6">
        <f t="shared" si="9"/>
        <v>12</v>
      </c>
      <c r="K20" s="79"/>
      <c r="L20" s="79">
        <f>K20*0.8</f>
        <v>0</v>
      </c>
      <c r="M20" s="6">
        <f t="shared" si="10"/>
        <v>0</v>
      </c>
      <c r="N20" s="80" t="s">
        <v>167</v>
      </c>
      <c r="O20" s="78"/>
      <c r="P20" s="7" t="s">
        <v>81</v>
      </c>
      <c r="Q20" s="7" t="s">
        <v>79</v>
      </c>
      <c r="R20" s="8">
        <f t="shared" si="1"/>
        <v>1</v>
      </c>
      <c r="S20" s="8">
        <f t="shared" si="1"/>
        <v>7.875</v>
      </c>
      <c r="T20" s="8">
        <f t="shared" si="1"/>
        <v>6.375</v>
      </c>
      <c r="U20" s="59">
        <f t="shared" si="4"/>
        <v>15.25</v>
      </c>
      <c r="V20" s="60">
        <f t="shared" si="5"/>
        <v>0.76249999999999996</v>
      </c>
      <c r="W20" s="77"/>
    </row>
    <row r="21" spans="1:23">
      <c r="A21" s="5"/>
      <c r="B21" s="6"/>
      <c r="D21" s="6" t="s">
        <v>135</v>
      </c>
      <c r="E21" s="6"/>
      <c r="F21" s="73">
        <v>45748</v>
      </c>
      <c r="G21" s="73">
        <v>45777</v>
      </c>
      <c r="H21" s="79">
        <v>0</v>
      </c>
      <c r="I21" s="79">
        <v>0</v>
      </c>
      <c r="J21" s="6">
        <f t="shared" si="9"/>
        <v>0</v>
      </c>
      <c r="K21" s="79">
        <v>0</v>
      </c>
      <c r="L21" s="79">
        <v>0</v>
      </c>
      <c r="M21" s="6">
        <f t="shared" si="10"/>
        <v>0</v>
      </c>
      <c r="N21" s="80" t="s">
        <v>167</v>
      </c>
      <c r="O21" s="78"/>
      <c r="P21" s="7"/>
      <c r="Q21" s="7"/>
      <c r="R21" s="8">
        <f t="shared" si="1"/>
        <v>0</v>
      </c>
      <c r="S21" s="8">
        <f t="shared" si="1"/>
        <v>0</v>
      </c>
      <c r="T21" s="8">
        <f t="shared" si="1"/>
        <v>0</v>
      </c>
      <c r="U21" s="59">
        <f t="shared" si="4"/>
        <v>0</v>
      </c>
      <c r="V21" s="60">
        <f t="shared" si="5"/>
        <v>0</v>
      </c>
      <c r="W21" s="77"/>
    </row>
    <row r="22" spans="1:23">
      <c r="A22" s="5"/>
      <c r="B22" s="6"/>
      <c r="D22" s="6" t="s">
        <v>136</v>
      </c>
      <c r="E22" s="6"/>
      <c r="F22" s="73">
        <v>45748</v>
      </c>
      <c r="G22" s="73">
        <v>45777</v>
      </c>
      <c r="H22" s="79">
        <v>0</v>
      </c>
      <c r="I22" s="79">
        <v>0</v>
      </c>
      <c r="J22" s="6">
        <f t="shared" si="9"/>
        <v>0</v>
      </c>
      <c r="K22" s="79">
        <v>0</v>
      </c>
      <c r="L22" s="79">
        <v>0</v>
      </c>
      <c r="M22" s="6">
        <f t="shared" si="10"/>
        <v>0</v>
      </c>
      <c r="N22" s="80" t="s">
        <v>167</v>
      </c>
      <c r="O22" s="78"/>
      <c r="P22" s="7"/>
      <c r="Q22" s="7"/>
      <c r="R22" s="8">
        <f t="shared" si="1"/>
        <v>0</v>
      </c>
      <c r="S22" s="8">
        <f t="shared" si="1"/>
        <v>0</v>
      </c>
      <c r="T22" s="8">
        <f t="shared" si="1"/>
        <v>0</v>
      </c>
      <c r="U22" s="59">
        <f t="shared" si="4"/>
        <v>0</v>
      </c>
      <c r="V22" s="60">
        <f t="shared" si="5"/>
        <v>0</v>
      </c>
      <c r="W22" s="77"/>
    </row>
    <row r="23" spans="1:23">
      <c r="A23" s="5"/>
      <c r="B23" s="6"/>
      <c r="D23" s="6" t="s">
        <v>137</v>
      </c>
      <c r="E23" s="6"/>
      <c r="F23" s="73">
        <v>45748</v>
      </c>
      <c r="G23" s="73">
        <v>45777</v>
      </c>
      <c r="H23" s="79">
        <v>10</v>
      </c>
      <c r="I23" s="79">
        <v>6</v>
      </c>
      <c r="J23" s="6">
        <f t="shared" si="9"/>
        <v>16</v>
      </c>
      <c r="K23" s="79"/>
      <c r="L23" s="79">
        <f t="shared" ref="L23:L26" si="11">K23*0.8</f>
        <v>0</v>
      </c>
      <c r="M23" s="6">
        <f t="shared" si="10"/>
        <v>0</v>
      </c>
      <c r="N23" s="80" t="s">
        <v>167</v>
      </c>
      <c r="O23" s="78"/>
      <c r="P23" s="7" t="s">
        <v>91</v>
      </c>
      <c r="Q23" s="7" t="s">
        <v>79</v>
      </c>
      <c r="R23" s="8">
        <f t="shared" si="1"/>
        <v>1.375</v>
      </c>
      <c r="S23" s="8">
        <f t="shared" si="1"/>
        <v>10.25</v>
      </c>
      <c r="T23" s="8">
        <f t="shared" si="1"/>
        <v>8.25</v>
      </c>
      <c r="U23" s="59">
        <f t="shared" si="4"/>
        <v>19.875</v>
      </c>
      <c r="V23" s="60">
        <f t="shared" si="5"/>
        <v>0.99375000000000002</v>
      </c>
      <c r="W23" s="77"/>
    </row>
    <row r="24" spans="1:23">
      <c r="A24" s="5">
        <f t="shared" si="0"/>
        <v>20</v>
      </c>
      <c r="B24" s="6"/>
      <c r="C24" t="s">
        <v>122</v>
      </c>
      <c r="D24" s="6" t="s">
        <v>138</v>
      </c>
      <c r="E24" s="6"/>
      <c r="F24" s="73">
        <v>45748</v>
      </c>
      <c r="G24" s="73">
        <v>45807</v>
      </c>
      <c r="H24" s="79">
        <v>10</v>
      </c>
      <c r="I24" s="79">
        <v>6</v>
      </c>
      <c r="J24" s="6">
        <f t="shared" si="9"/>
        <v>16</v>
      </c>
      <c r="K24" s="79"/>
      <c r="L24" s="79">
        <f t="shared" si="11"/>
        <v>0</v>
      </c>
      <c r="M24" s="6">
        <f t="shared" si="10"/>
        <v>0</v>
      </c>
      <c r="N24" s="80" t="s">
        <v>170</v>
      </c>
      <c r="O24" s="58"/>
      <c r="P24" s="7" t="s">
        <v>91</v>
      </c>
      <c r="Q24" s="7" t="s">
        <v>79</v>
      </c>
      <c r="R24" s="8">
        <f t="shared" si="1"/>
        <v>1.375</v>
      </c>
      <c r="S24" s="8">
        <f t="shared" si="1"/>
        <v>10.25</v>
      </c>
      <c r="T24" s="8">
        <f t="shared" si="1"/>
        <v>8.25</v>
      </c>
      <c r="U24" s="59">
        <f t="shared" si="4"/>
        <v>19.875</v>
      </c>
      <c r="V24" s="60">
        <f t="shared" si="5"/>
        <v>0.99375000000000002</v>
      </c>
      <c r="W24" s="77"/>
    </row>
    <row r="25" spans="1:23">
      <c r="A25" s="5"/>
      <c r="B25" s="6"/>
      <c r="D25" s="6" t="s">
        <v>139</v>
      </c>
      <c r="E25" s="6"/>
      <c r="F25" s="73">
        <v>45748</v>
      </c>
      <c r="G25" s="73">
        <v>45807</v>
      </c>
      <c r="H25" s="79">
        <v>18</v>
      </c>
      <c r="I25" s="79">
        <v>9</v>
      </c>
      <c r="J25" s="6">
        <f t="shared" si="9"/>
        <v>27</v>
      </c>
      <c r="K25" s="79"/>
      <c r="L25" s="79">
        <f t="shared" si="11"/>
        <v>0</v>
      </c>
      <c r="M25" s="6">
        <f t="shared" si="10"/>
        <v>0</v>
      </c>
      <c r="N25" s="80" t="s">
        <v>171</v>
      </c>
      <c r="O25" s="58"/>
      <c r="P25" s="88" t="s">
        <v>91</v>
      </c>
      <c r="Q25" s="7" t="s">
        <v>79</v>
      </c>
      <c r="R25" s="89">
        <f>1.8*CEILING(IF($Q25="新規", IF($P25="特高", R$4*特高係数,IF($P25="高",R$4*高係数,IF($P25="中",R$4*中係数,IF($P25="低",R$4*低係数, IF($P25="特低",R$4*特低係数, 0))))),
 IF($P25="特高", R$4*特高係数,IF($P25="高",R$4*高係数,IF($P25="中",R$4*中係数,IF($P25="低",R$4*低係数, IF($P25="特低",R$4*特低係数, 0)))))),0.125)</f>
        <v>2.4750000000000001</v>
      </c>
      <c r="S25" s="89">
        <f>1.8*CEILING(IF($Q25="新規", IF($P25="特高", S$4*特高係数,IF($P25="高",S$4*高係数,IF($P25="中",S$4*中係数,IF($P25="低",S$4*低係数, IF($P25="特低",S$4*特低係数, 0))))),
 IF($P25="特高", S$4*特高係数,IF($P25="高",S$4*高係数,IF($P25="中",S$4*中係数,IF($P25="低",S$4*低係数, IF($P25="特低",S$4*特低係数, 0)))))),0.125)</f>
        <v>18.45</v>
      </c>
      <c r="T25" s="89">
        <f>1.8*CEILING(IF($Q25="新規", IF($P25="特高", T$4*特高係数,IF($P25="高",T$4*高係数,IF($P25="中",T$4*中係数,IF($P25="低",T$4*低係数, IF($P25="特低",T$4*特低係数, 0))))),
 IF($P25="特高", T$4*特高係数,IF($P25="高",T$4*高係数,IF($P25="中",T$4*中係数,IF($P25="低",T$4*低係数, IF($P25="特低",T$4*特低係数, 0)))))),0.125)</f>
        <v>14.85</v>
      </c>
      <c r="U25" s="59">
        <f t="shared" si="4"/>
        <v>35.774999999999999</v>
      </c>
      <c r="V25" s="60">
        <f t="shared" si="5"/>
        <v>1.7887499999999998</v>
      </c>
      <c r="W25" s="77"/>
    </row>
    <row r="26" spans="1:23">
      <c r="A26" s="5"/>
      <c r="B26" s="6"/>
      <c r="D26" s="6" t="s">
        <v>140</v>
      </c>
      <c r="E26" s="6"/>
      <c r="F26" s="73">
        <v>45748</v>
      </c>
      <c r="G26" s="73">
        <v>45807</v>
      </c>
      <c r="H26" s="79">
        <v>12</v>
      </c>
      <c r="I26" s="79">
        <v>6</v>
      </c>
      <c r="J26" s="6">
        <f t="shared" si="9"/>
        <v>18</v>
      </c>
      <c r="K26" s="79"/>
      <c r="L26" s="79">
        <f t="shared" si="11"/>
        <v>0</v>
      </c>
      <c r="M26" s="6">
        <f t="shared" si="10"/>
        <v>0</v>
      </c>
      <c r="N26" s="80" t="s">
        <v>171</v>
      </c>
      <c r="O26" s="58"/>
      <c r="P26" s="7" t="s">
        <v>91</v>
      </c>
      <c r="Q26" s="7" t="s">
        <v>79</v>
      </c>
      <c r="R26" s="8">
        <f t="shared" si="1"/>
        <v>1.375</v>
      </c>
      <c r="S26" s="8">
        <f t="shared" si="1"/>
        <v>10.25</v>
      </c>
      <c r="T26" s="8">
        <f t="shared" si="1"/>
        <v>8.25</v>
      </c>
      <c r="U26" s="59">
        <f t="shared" si="4"/>
        <v>19.875</v>
      </c>
      <c r="V26" s="60">
        <f t="shared" si="5"/>
        <v>0.99375000000000002</v>
      </c>
      <c r="W26" s="77"/>
    </row>
    <row r="27" spans="1:23">
      <c r="A27" s="5"/>
      <c r="B27" s="6"/>
      <c r="D27" s="6" t="s">
        <v>141</v>
      </c>
      <c r="E27" s="6"/>
      <c r="F27" s="73">
        <v>45748</v>
      </c>
      <c r="G27" s="73">
        <v>45807</v>
      </c>
      <c r="H27" s="79">
        <v>0</v>
      </c>
      <c r="I27" s="79">
        <v>0</v>
      </c>
      <c r="J27" s="6">
        <f t="shared" si="9"/>
        <v>0</v>
      </c>
      <c r="K27" s="79">
        <v>0</v>
      </c>
      <c r="L27" s="79">
        <v>0</v>
      </c>
      <c r="M27" s="6">
        <f t="shared" si="10"/>
        <v>0</v>
      </c>
      <c r="N27" s="80" t="s">
        <v>171</v>
      </c>
      <c r="O27" s="58"/>
      <c r="P27" s="7"/>
      <c r="Q27" s="7"/>
      <c r="R27" s="8">
        <f t="shared" si="1"/>
        <v>0</v>
      </c>
      <c r="S27" s="8">
        <f t="shared" si="1"/>
        <v>0</v>
      </c>
      <c r="T27" s="8">
        <f t="shared" si="1"/>
        <v>0</v>
      </c>
      <c r="U27" s="59">
        <f t="shared" si="4"/>
        <v>0</v>
      </c>
      <c r="V27" s="60">
        <f t="shared" si="5"/>
        <v>0</v>
      </c>
      <c r="W27" s="77"/>
    </row>
    <row r="28" spans="1:23">
      <c r="A28" s="5"/>
      <c r="B28" s="6"/>
      <c r="D28" s="6" t="s">
        <v>139</v>
      </c>
      <c r="E28" s="6"/>
      <c r="F28" s="73">
        <v>45748</v>
      </c>
      <c r="G28" s="73">
        <v>45807</v>
      </c>
      <c r="H28" s="79">
        <v>0</v>
      </c>
      <c r="I28" s="79">
        <v>0</v>
      </c>
      <c r="J28" s="6">
        <f t="shared" si="9"/>
        <v>0</v>
      </c>
      <c r="K28" s="79">
        <v>0</v>
      </c>
      <c r="L28" s="79">
        <v>0</v>
      </c>
      <c r="M28" s="6">
        <f t="shared" si="10"/>
        <v>0</v>
      </c>
      <c r="N28" s="80" t="s">
        <v>171</v>
      </c>
      <c r="O28" s="58"/>
      <c r="P28" s="7"/>
      <c r="Q28" s="7"/>
      <c r="R28" s="8">
        <f t="shared" si="1"/>
        <v>0</v>
      </c>
      <c r="S28" s="8">
        <f t="shared" si="1"/>
        <v>0</v>
      </c>
      <c r="T28" s="8">
        <f t="shared" si="1"/>
        <v>0</v>
      </c>
      <c r="U28" s="59">
        <f t="shared" si="4"/>
        <v>0</v>
      </c>
      <c r="V28" s="60">
        <f t="shared" si="5"/>
        <v>0</v>
      </c>
      <c r="W28" s="77"/>
    </row>
    <row r="29" spans="1:23">
      <c r="A29" s="5">
        <f t="shared" si="0"/>
        <v>25</v>
      </c>
      <c r="B29" s="6"/>
      <c r="C29" t="s">
        <v>123</v>
      </c>
      <c r="D29" s="6" t="s">
        <v>142</v>
      </c>
      <c r="E29" s="6"/>
      <c r="F29" s="73">
        <v>45778</v>
      </c>
      <c r="G29" s="73">
        <v>45838</v>
      </c>
      <c r="H29" s="79">
        <v>18</v>
      </c>
      <c r="I29" s="79">
        <v>9</v>
      </c>
      <c r="J29" s="6">
        <f t="shared" si="9"/>
        <v>27</v>
      </c>
      <c r="K29" s="79"/>
      <c r="L29" s="79">
        <f t="shared" ref="L29:L30" si="12">K29*0.8</f>
        <v>0</v>
      </c>
      <c r="M29" s="6">
        <f t="shared" si="10"/>
        <v>0</v>
      </c>
      <c r="N29" s="80" t="s">
        <v>171</v>
      </c>
      <c r="O29" s="58"/>
      <c r="P29" s="88" t="s">
        <v>91</v>
      </c>
      <c r="Q29" s="7" t="s">
        <v>79</v>
      </c>
      <c r="R29" s="89">
        <f>1.8*CEILING(IF($Q29="新規", IF($P29="特高", R$4*特高係数,IF($P29="高",R$4*高係数,IF($P29="中",R$4*中係数,IF($P29="低",R$4*低係数, IF($P29="特低",R$4*特低係数, 0))))),
 IF($P29="特高", R$4*特高係数,IF($P29="高",R$4*高係数,IF($P29="中",R$4*中係数,IF($P29="低",R$4*低係数, IF($P29="特低",R$4*特低係数, 0)))))),0.125)</f>
        <v>2.4750000000000001</v>
      </c>
      <c r="S29" s="89">
        <f>1.8*CEILING(IF($Q29="新規", IF($P29="特高", S$4*特高係数,IF($P29="高",S$4*高係数,IF($P29="中",S$4*中係数,IF($P29="低",S$4*低係数, IF($P29="特低",S$4*特低係数, 0))))),
 IF($P29="特高", S$4*特高係数,IF($P29="高",S$4*高係数,IF($P29="中",S$4*中係数,IF($P29="低",S$4*低係数, IF($P29="特低",S$4*特低係数, 0)))))),0.125)</f>
        <v>18.45</v>
      </c>
      <c r="T29" s="89">
        <f>1.8*CEILING(IF($Q29="新規", IF($P29="特高", T$4*特高係数,IF($P29="高",T$4*高係数,IF($P29="中",T$4*中係数,IF($P29="低",T$4*低係数, IF($P29="特低",T$4*特低係数, 0))))),
 IF($P29="特高", T$4*特高係数,IF($P29="高",T$4*高係数,IF($P29="中",T$4*中係数,IF($P29="低",T$4*低係数, IF($P29="特低",T$4*特低係数, 0)))))),0.125)</f>
        <v>14.85</v>
      </c>
      <c r="U29" s="59">
        <f t="shared" si="4"/>
        <v>35.774999999999999</v>
      </c>
      <c r="V29" s="60">
        <f t="shared" si="5"/>
        <v>1.7887499999999998</v>
      </c>
      <c r="W29" s="77"/>
    </row>
    <row r="30" spans="1:23">
      <c r="A30" s="5"/>
      <c r="B30" s="6"/>
      <c r="D30" s="6" t="s">
        <v>143</v>
      </c>
      <c r="E30" s="6"/>
      <c r="F30" s="73">
        <v>45778</v>
      </c>
      <c r="G30" s="73">
        <v>45838</v>
      </c>
      <c r="H30" s="79">
        <v>4</v>
      </c>
      <c r="I30" s="79">
        <v>2</v>
      </c>
      <c r="J30" s="6">
        <f t="shared" si="9"/>
        <v>6</v>
      </c>
      <c r="K30" s="79"/>
      <c r="L30" s="79">
        <f t="shared" si="12"/>
        <v>0</v>
      </c>
      <c r="M30" s="6">
        <f t="shared" si="10"/>
        <v>0</v>
      </c>
      <c r="N30" s="80" t="s">
        <v>171</v>
      </c>
      <c r="O30" s="58"/>
      <c r="P30" s="7" t="s">
        <v>80</v>
      </c>
      <c r="Q30" s="7" t="s">
        <v>79</v>
      </c>
      <c r="R30" s="8">
        <f t="shared" si="1"/>
        <v>0.375</v>
      </c>
      <c r="S30" s="8">
        <f t="shared" si="1"/>
        <v>2.75</v>
      </c>
      <c r="T30" s="8">
        <f t="shared" si="1"/>
        <v>2.25</v>
      </c>
      <c r="U30" s="59">
        <f t="shared" si="4"/>
        <v>5.375</v>
      </c>
      <c r="V30" s="60">
        <f t="shared" si="5"/>
        <v>0.26874999999999999</v>
      </c>
      <c r="W30" s="77"/>
    </row>
    <row r="31" spans="1:23">
      <c r="A31" s="5"/>
      <c r="B31" s="6"/>
      <c r="D31" s="6" t="s">
        <v>144</v>
      </c>
      <c r="E31" s="6"/>
      <c r="F31" s="73">
        <v>45778</v>
      </c>
      <c r="G31" s="73">
        <v>45838</v>
      </c>
      <c r="H31" s="79">
        <v>0</v>
      </c>
      <c r="I31" s="79">
        <v>0</v>
      </c>
      <c r="J31" s="6">
        <f t="shared" si="9"/>
        <v>0</v>
      </c>
      <c r="K31" s="79">
        <v>0</v>
      </c>
      <c r="L31" s="79">
        <v>0</v>
      </c>
      <c r="M31" s="6">
        <f t="shared" si="10"/>
        <v>0</v>
      </c>
      <c r="N31" s="80" t="s">
        <v>171</v>
      </c>
      <c r="O31" s="58"/>
      <c r="P31" s="7"/>
      <c r="Q31" s="7"/>
      <c r="R31" s="8">
        <f t="shared" si="1"/>
        <v>0</v>
      </c>
      <c r="S31" s="8">
        <f t="shared" si="1"/>
        <v>0</v>
      </c>
      <c r="T31" s="8">
        <f t="shared" si="1"/>
        <v>0</v>
      </c>
      <c r="U31" s="59">
        <f t="shared" si="4"/>
        <v>0</v>
      </c>
      <c r="V31" s="60">
        <f t="shared" si="5"/>
        <v>0</v>
      </c>
      <c r="W31" s="77"/>
    </row>
    <row r="32" spans="1:23">
      <c r="A32" s="5"/>
      <c r="B32" s="6"/>
      <c r="D32" s="6" t="s">
        <v>145</v>
      </c>
      <c r="E32" s="6"/>
      <c r="F32" s="73">
        <v>45778</v>
      </c>
      <c r="G32" s="73">
        <v>45838</v>
      </c>
      <c r="H32" s="79">
        <v>0</v>
      </c>
      <c r="I32" s="79">
        <v>0</v>
      </c>
      <c r="J32" s="6">
        <f t="shared" si="9"/>
        <v>0</v>
      </c>
      <c r="K32" s="79">
        <v>0</v>
      </c>
      <c r="L32" s="79">
        <v>0</v>
      </c>
      <c r="M32" s="6">
        <f t="shared" si="10"/>
        <v>0</v>
      </c>
      <c r="N32" s="80" t="s">
        <v>171</v>
      </c>
      <c r="O32" s="58"/>
      <c r="P32" s="7"/>
      <c r="Q32" s="7"/>
      <c r="R32" s="8">
        <f t="shared" ref="R32:T49" si="13">CEILING(IF($Q32="新規", IF($P32="特高", R$4*特高係数,IF($P32="高",R$4*高係数,IF($P32="中",R$4*中係数,IF($P32="低",R$4*低係数, IF($P32="特低",R$4*特低係数, 0))))),
 IF($P32="特高", R$4*特高係数,IF($P32="高",R$4*高係数,IF($P32="中",R$4*中係数,IF($P32="低",R$4*低係数, IF($P32="特低",R$4*特低係数, 0)))))),0.125)</f>
        <v>0</v>
      </c>
      <c r="S32" s="8">
        <f t="shared" si="13"/>
        <v>0</v>
      </c>
      <c r="T32" s="8">
        <f t="shared" si="13"/>
        <v>0</v>
      </c>
      <c r="U32" s="59">
        <f t="shared" si="4"/>
        <v>0</v>
      </c>
      <c r="V32" s="60">
        <f t="shared" si="5"/>
        <v>0</v>
      </c>
      <c r="W32" s="77"/>
    </row>
    <row r="33" spans="1:23">
      <c r="A33" s="5">
        <f t="shared" si="0"/>
        <v>29</v>
      </c>
      <c r="B33" s="6"/>
      <c r="C33" t="s">
        <v>124</v>
      </c>
      <c r="D33" s="6" t="s">
        <v>146</v>
      </c>
      <c r="E33" s="6"/>
      <c r="F33" s="73">
        <v>45748</v>
      </c>
      <c r="G33" s="73">
        <v>45814</v>
      </c>
      <c r="H33" s="6">
        <v>8</v>
      </c>
      <c r="I33" s="6">
        <v>4</v>
      </c>
      <c r="J33" s="6">
        <f t="shared" si="9"/>
        <v>12</v>
      </c>
      <c r="K33" s="6"/>
      <c r="L33" s="79">
        <f t="shared" ref="L33:L39" si="14">K33*0.8</f>
        <v>0</v>
      </c>
      <c r="M33" s="6">
        <f t="shared" si="10"/>
        <v>0</v>
      </c>
      <c r="N33" s="7" t="s">
        <v>171</v>
      </c>
      <c r="O33" s="78"/>
      <c r="P33" s="7" t="s">
        <v>81</v>
      </c>
      <c r="Q33" s="7" t="s">
        <v>79</v>
      </c>
      <c r="R33" s="8">
        <f t="shared" si="13"/>
        <v>1</v>
      </c>
      <c r="S33" s="8">
        <f t="shared" si="13"/>
        <v>7.875</v>
      </c>
      <c r="T33" s="8">
        <f t="shared" si="13"/>
        <v>6.375</v>
      </c>
      <c r="U33" s="59">
        <f t="shared" si="4"/>
        <v>15.25</v>
      </c>
      <c r="V33" s="60">
        <f t="shared" si="5"/>
        <v>0.76249999999999996</v>
      </c>
      <c r="W33" s="77"/>
    </row>
    <row r="34" spans="1:23">
      <c r="A34" s="5"/>
      <c r="B34" s="6"/>
      <c r="D34" s="6" t="s">
        <v>147</v>
      </c>
      <c r="E34" s="6"/>
      <c r="F34" s="73">
        <v>45748</v>
      </c>
      <c r="G34" s="73">
        <v>45814</v>
      </c>
      <c r="H34" s="79">
        <v>8</v>
      </c>
      <c r="I34" s="79">
        <v>4</v>
      </c>
      <c r="J34" s="6">
        <f t="shared" si="9"/>
        <v>12</v>
      </c>
      <c r="K34" s="79"/>
      <c r="L34" s="79">
        <f t="shared" si="14"/>
        <v>0</v>
      </c>
      <c r="M34" s="6">
        <f t="shared" si="10"/>
        <v>0</v>
      </c>
      <c r="N34" s="80" t="s">
        <v>171</v>
      </c>
      <c r="O34" s="78"/>
      <c r="P34" s="7" t="s">
        <v>81</v>
      </c>
      <c r="Q34" s="7" t="s">
        <v>79</v>
      </c>
      <c r="R34" s="8">
        <f t="shared" si="13"/>
        <v>1</v>
      </c>
      <c r="S34" s="8">
        <f t="shared" si="13"/>
        <v>7.875</v>
      </c>
      <c r="T34" s="8">
        <f t="shared" si="13"/>
        <v>6.375</v>
      </c>
      <c r="U34" s="59">
        <f t="shared" si="4"/>
        <v>15.25</v>
      </c>
      <c r="V34" s="60">
        <f t="shared" si="5"/>
        <v>0.76249999999999996</v>
      </c>
      <c r="W34" s="77"/>
    </row>
    <row r="35" spans="1:23">
      <c r="A35" s="5"/>
      <c r="B35" s="6"/>
      <c r="D35" s="6" t="s">
        <v>148</v>
      </c>
      <c r="E35" s="6"/>
      <c r="F35" s="73">
        <v>45748</v>
      </c>
      <c r="G35" s="73">
        <v>45814</v>
      </c>
      <c r="H35" s="79">
        <v>8</v>
      </c>
      <c r="I35" s="79">
        <v>4</v>
      </c>
      <c r="J35" s="6">
        <f t="shared" si="9"/>
        <v>12</v>
      </c>
      <c r="K35" s="79"/>
      <c r="L35" s="79">
        <f t="shared" si="14"/>
        <v>0</v>
      </c>
      <c r="M35" s="6">
        <f t="shared" si="10"/>
        <v>0</v>
      </c>
      <c r="N35" s="80" t="s">
        <v>171</v>
      </c>
      <c r="O35" s="78"/>
      <c r="P35" s="7" t="s">
        <v>81</v>
      </c>
      <c r="Q35" s="7" t="s">
        <v>79</v>
      </c>
      <c r="R35" s="8">
        <f t="shared" si="13"/>
        <v>1</v>
      </c>
      <c r="S35" s="8">
        <f t="shared" si="13"/>
        <v>7.875</v>
      </c>
      <c r="T35" s="8">
        <f t="shared" si="13"/>
        <v>6.375</v>
      </c>
      <c r="U35" s="59">
        <f t="shared" si="4"/>
        <v>15.25</v>
      </c>
      <c r="V35" s="60">
        <f t="shared" si="5"/>
        <v>0.76249999999999996</v>
      </c>
      <c r="W35" s="77"/>
    </row>
    <row r="36" spans="1:23">
      <c r="A36" s="5"/>
      <c r="B36" s="6"/>
      <c r="D36" s="6" t="s">
        <v>149</v>
      </c>
      <c r="E36" s="6"/>
      <c r="F36" s="73">
        <v>45748</v>
      </c>
      <c r="G36" s="73">
        <v>45814</v>
      </c>
      <c r="H36" s="79">
        <v>8</v>
      </c>
      <c r="I36" s="79">
        <v>4</v>
      </c>
      <c r="J36" s="6">
        <f t="shared" si="9"/>
        <v>12</v>
      </c>
      <c r="K36" s="79">
        <v>15</v>
      </c>
      <c r="L36" s="79">
        <f t="shared" si="14"/>
        <v>12</v>
      </c>
      <c r="M36" s="6">
        <f t="shared" si="10"/>
        <v>27</v>
      </c>
      <c r="N36" s="80" t="s">
        <v>168</v>
      </c>
      <c r="O36" s="78"/>
      <c r="P36" s="7" t="s">
        <v>81</v>
      </c>
      <c r="Q36" s="7" t="s">
        <v>79</v>
      </c>
      <c r="R36" s="8">
        <f t="shared" si="13"/>
        <v>1</v>
      </c>
      <c r="S36" s="8">
        <f t="shared" si="13"/>
        <v>7.875</v>
      </c>
      <c r="T36" s="8">
        <f t="shared" si="13"/>
        <v>6.375</v>
      </c>
      <c r="U36" s="59">
        <f t="shared" si="4"/>
        <v>15.25</v>
      </c>
      <c r="V36" s="60">
        <f t="shared" si="5"/>
        <v>0.76249999999999996</v>
      </c>
      <c r="W36" s="77"/>
    </row>
    <row r="37" spans="1:23">
      <c r="A37" s="5">
        <f t="shared" si="0"/>
        <v>33</v>
      </c>
      <c r="B37" s="6"/>
      <c r="C37" t="s">
        <v>125</v>
      </c>
      <c r="D37" s="6" t="s">
        <v>150</v>
      </c>
      <c r="E37" s="6"/>
      <c r="F37" s="73">
        <v>45761</v>
      </c>
      <c r="G37" s="73">
        <v>45777</v>
      </c>
      <c r="H37" s="79">
        <v>8</v>
      </c>
      <c r="I37" s="79">
        <v>4</v>
      </c>
      <c r="J37" s="6">
        <f t="shared" si="9"/>
        <v>12</v>
      </c>
      <c r="K37" s="79"/>
      <c r="L37" s="79">
        <f t="shared" si="14"/>
        <v>0</v>
      </c>
      <c r="M37" s="6">
        <f t="shared" si="10"/>
        <v>0</v>
      </c>
      <c r="N37" s="80" t="s">
        <v>166</v>
      </c>
      <c r="O37" s="78"/>
      <c r="P37" s="7" t="s">
        <v>81</v>
      </c>
      <c r="Q37" s="7" t="s">
        <v>79</v>
      </c>
      <c r="R37" s="8">
        <f t="shared" si="13"/>
        <v>1</v>
      </c>
      <c r="S37" s="8">
        <f t="shared" si="13"/>
        <v>7.875</v>
      </c>
      <c r="T37" s="8">
        <f t="shared" si="13"/>
        <v>6.375</v>
      </c>
      <c r="U37" s="59">
        <f t="shared" si="4"/>
        <v>15.25</v>
      </c>
      <c r="V37" s="60">
        <f t="shared" si="5"/>
        <v>0.76249999999999996</v>
      </c>
      <c r="W37" s="77"/>
    </row>
    <row r="38" spans="1:23">
      <c r="A38" s="5"/>
      <c r="B38" s="6"/>
      <c r="D38" s="6" t="s">
        <v>151</v>
      </c>
      <c r="E38" s="6"/>
      <c r="F38" s="73">
        <v>45761</v>
      </c>
      <c r="G38" s="73">
        <v>45777</v>
      </c>
      <c r="H38" s="79">
        <v>4</v>
      </c>
      <c r="I38" s="79">
        <v>2</v>
      </c>
      <c r="J38" s="6">
        <f t="shared" si="9"/>
        <v>6</v>
      </c>
      <c r="K38" s="79"/>
      <c r="L38" s="79">
        <f t="shared" si="14"/>
        <v>0</v>
      </c>
      <c r="M38" s="6">
        <f t="shared" si="10"/>
        <v>0</v>
      </c>
      <c r="N38" s="80" t="s">
        <v>171</v>
      </c>
      <c r="O38" s="78"/>
      <c r="P38" s="50" t="s">
        <v>80</v>
      </c>
      <c r="Q38" s="7" t="s">
        <v>79</v>
      </c>
      <c r="R38" s="8">
        <f t="shared" si="13"/>
        <v>0.375</v>
      </c>
      <c r="S38" s="8">
        <f t="shared" si="13"/>
        <v>2.75</v>
      </c>
      <c r="T38" s="8">
        <f t="shared" si="13"/>
        <v>2.25</v>
      </c>
      <c r="U38" s="59">
        <f t="shared" si="4"/>
        <v>5.375</v>
      </c>
      <c r="V38" s="60">
        <f t="shared" si="5"/>
        <v>0.26874999999999999</v>
      </c>
      <c r="W38" s="77"/>
    </row>
    <row r="39" spans="1:23">
      <c r="A39" s="5">
        <f t="shared" si="0"/>
        <v>35</v>
      </c>
      <c r="B39" s="6"/>
      <c r="C39" t="s">
        <v>126</v>
      </c>
      <c r="D39" s="6" t="s">
        <v>152</v>
      </c>
      <c r="E39" s="6"/>
      <c r="F39" s="73">
        <v>45761</v>
      </c>
      <c r="G39" s="73">
        <v>45821</v>
      </c>
      <c r="H39" s="79">
        <v>18</v>
      </c>
      <c r="I39" s="79">
        <v>9</v>
      </c>
      <c r="J39" s="6">
        <f t="shared" si="9"/>
        <v>27</v>
      </c>
      <c r="K39" s="79"/>
      <c r="L39" s="79">
        <f t="shared" si="14"/>
        <v>0</v>
      </c>
      <c r="M39" s="6">
        <f t="shared" si="10"/>
        <v>0</v>
      </c>
      <c r="N39" s="80" t="s">
        <v>171</v>
      </c>
      <c r="O39" s="78"/>
      <c r="P39" s="88" t="s">
        <v>91</v>
      </c>
      <c r="Q39" s="7" t="s">
        <v>79</v>
      </c>
      <c r="R39" s="89">
        <f>1.8*CEILING(IF($Q39="新規", IF($P39="特高", R$4*特高係数,IF($P39="高",R$4*高係数,IF($P39="中",R$4*中係数,IF($P39="低",R$4*低係数, IF($P39="特低",R$4*特低係数, 0))))),
 IF($P39="特高", R$4*特高係数,IF($P39="高",R$4*高係数,IF($P39="中",R$4*中係数,IF($P39="低",R$4*低係数, IF($P39="特低",R$4*特低係数, 0)))))),0.125)</f>
        <v>2.4750000000000001</v>
      </c>
      <c r="S39" s="89">
        <f>1.8*CEILING(IF($Q39="新規", IF($P39="特高", S$4*特高係数,IF($P39="高",S$4*高係数,IF($P39="中",S$4*中係数,IF($P39="低",S$4*低係数, IF($P39="特低",S$4*特低係数, 0))))),
 IF($P39="特高", S$4*特高係数,IF($P39="高",S$4*高係数,IF($P39="中",S$4*中係数,IF($P39="低",S$4*低係数, IF($P39="特低",S$4*特低係数, 0)))))),0.125)</f>
        <v>18.45</v>
      </c>
      <c r="T39" s="89">
        <f>1.8*CEILING(IF($Q39="新規", IF($P39="特高", T$4*特高係数,IF($P39="高",T$4*高係数,IF($P39="中",T$4*中係数,IF($P39="低",T$4*低係数, IF($P39="特低",T$4*特低係数, 0))))),
 IF($P39="特高", T$4*特高係数,IF($P39="高",T$4*高係数,IF($P39="中",T$4*中係数,IF($P39="低",T$4*低係数, IF($P39="特低",T$4*特低係数, 0)))))),0.125)</f>
        <v>14.85</v>
      </c>
      <c r="U39" s="59">
        <f t="shared" si="4"/>
        <v>35.774999999999999</v>
      </c>
      <c r="V39" s="60">
        <f t="shared" si="5"/>
        <v>1.7887499999999998</v>
      </c>
      <c r="W39" s="77"/>
    </row>
    <row r="40" spans="1:23">
      <c r="A40" s="5"/>
      <c r="B40" s="6"/>
      <c r="D40" s="6" t="s">
        <v>153</v>
      </c>
      <c r="E40" s="6"/>
      <c r="F40" s="73">
        <v>45761</v>
      </c>
      <c r="G40" s="73">
        <v>45821</v>
      </c>
      <c r="H40" s="79">
        <v>12</v>
      </c>
      <c r="I40" s="79">
        <v>6</v>
      </c>
      <c r="J40" s="6">
        <f t="shared" si="9"/>
        <v>18</v>
      </c>
      <c r="K40" s="79">
        <v>25</v>
      </c>
      <c r="L40" s="79">
        <f>K40*0.8</f>
        <v>20</v>
      </c>
      <c r="M40" s="6">
        <f t="shared" si="10"/>
        <v>45</v>
      </c>
      <c r="N40" s="80" t="s">
        <v>168</v>
      </c>
      <c r="O40" s="78"/>
      <c r="P40" s="7" t="s">
        <v>91</v>
      </c>
      <c r="Q40" s="7" t="s">
        <v>79</v>
      </c>
      <c r="R40" s="8">
        <f t="shared" si="13"/>
        <v>1.375</v>
      </c>
      <c r="S40" s="8">
        <f t="shared" si="13"/>
        <v>10.25</v>
      </c>
      <c r="T40" s="8">
        <f t="shared" si="13"/>
        <v>8.25</v>
      </c>
      <c r="U40" s="59">
        <f t="shared" si="4"/>
        <v>19.875</v>
      </c>
      <c r="V40" s="60">
        <f t="shared" si="5"/>
        <v>0.99375000000000002</v>
      </c>
      <c r="W40" s="77"/>
    </row>
    <row r="41" spans="1:23">
      <c r="A41" s="5"/>
      <c r="B41" s="6"/>
      <c r="D41" s="6" t="s">
        <v>154</v>
      </c>
      <c r="E41" s="6"/>
      <c r="F41" s="73">
        <v>45761</v>
      </c>
      <c r="G41" s="73">
        <v>45821</v>
      </c>
      <c r="H41" s="79">
        <v>10</v>
      </c>
      <c r="I41" s="79">
        <v>6</v>
      </c>
      <c r="J41" s="6">
        <f t="shared" si="9"/>
        <v>16</v>
      </c>
      <c r="K41" s="79"/>
      <c r="L41" s="79">
        <f t="shared" ref="L41:L43" si="15">K41*0.8</f>
        <v>0</v>
      </c>
      <c r="M41" s="6">
        <f t="shared" si="10"/>
        <v>0</v>
      </c>
      <c r="N41" s="80" t="s">
        <v>168</v>
      </c>
      <c r="O41" s="78"/>
      <c r="P41" s="7" t="s">
        <v>91</v>
      </c>
      <c r="Q41" s="7" t="s">
        <v>79</v>
      </c>
      <c r="R41" s="8">
        <f t="shared" si="13"/>
        <v>1.375</v>
      </c>
      <c r="S41" s="8">
        <f t="shared" si="13"/>
        <v>10.25</v>
      </c>
      <c r="T41" s="8">
        <f t="shared" si="13"/>
        <v>8.25</v>
      </c>
      <c r="U41" s="59">
        <f t="shared" si="4"/>
        <v>19.875</v>
      </c>
      <c r="V41" s="60">
        <f t="shared" si="5"/>
        <v>0.99375000000000002</v>
      </c>
      <c r="W41" s="77"/>
    </row>
    <row r="42" spans="1:23">
      <c r="A42" s="5"/>
      <c r="B42" s="6"/>
      <c r="D42" s="6" t="s">
        <v>155</v>
      </c>
      <c r="E42" s="6"/>
      <c r="F42" s="73">
        <v>45761</v>
      </c>
      <c r="G42" s="73">
        <v>45821</v>
      </c>
      <c r="H42" s="79">
        <v>8</v>
      </c>
      <c r="I42" s="79">
        <v>4</v>
      </c>
      <c r="J42" s="6">
        <f t="shared" si="9"/>
        <v>12</v>
      </c>
      <c r="K42" s="79">
        <v>15</v>
      </c>
      <c r="L42" s="79">
        <f t="shared" si="15"/>
        <v>12</v>
      </c>
      <c r="M42" s="6">
        <f t="shared" si="10"/>
        <v>27</v>
      </c>
      <c r="N42" s="80" t="s">
        <v>168</v>
      </c>
      <c r="O42" s="78"/>
      <c r="P42" s="7" t="s">
        <v>81</v>
      </c>
      <c r="Q42" s="7" t="s">
        <v>79</v>
      </c>
      <c r="R42" s="8">
        <f t="shared" si="13"/>
        <v>1</v>
      </c>
      <c r="S42" s="8">
        <f t="shared" si="13"/>
        <v>7.875</v>
      </c>
      <c r="T42" s="8">
        <f t="shared" si="13"/>
        <v>6.375</v>
      </c>
      <c r="U42" s="59">
        <f t="shared" si="4"/>
        <v>15.25</v>
      </c>
      <c r="V42" s="60">
        <f t="shared" si="5"/>
        <v>0.76249999999999996</v>
      </c>
      <c r="W42" s="77"/>
    </row>
    <row r="43" spans="1:23">
      <c r="A43" s="5"/>
      <c r="B43" s="6"/>
      <c r="D43" s="6" t="s">
        <v>156</v>
      </c>
      <c r="E43" s="6"/>
      <c r="F43" s="73">
        <v>45761</v>
      </c>
      <c r="G43" s="73">
        <v>45821</v>
      </c>
      <c r="H43" s="79">
        <v>8</v>
      </c>
      <c r="I43" s="79">
        <v>4</v>
      </c>
      <c r="J43" s="6">
        <f t="shared" si="9"/>
        <v>12</v>
      </c>
      <c r="K43" s="79">
        <v>25</v>
      </c>
      <c r="L43" s="79">
        <f t="shared" si="15"/>
        <v>20</v>
      </c>
      <c r="M43" s="6">
        <f t="shared" si="10"/>
        <v>45</v>
      </c>
      <c r="N43" s="80" t="s">
        <v>168</v>
      </c>
      <c r="O43" s="78"/>
      <c r="P43" s="7" t="s">
        <v>81</v>
      </c>
      <c r="Q43" s="7" t="s">
        <v>79</v>
      </c>
      <c r="R43" s="8">
        <f t="shared" si="13"/>
        <v>1</v>
      </c>
      <c r="S43" s="8">
        <f t="shared" si="13"/>
        <v>7.875</v>
      </c>
      <c r="T43" s="8">
        <f t="shared" si="13"/>
        <v>6.375</v>
      </c>
      <c r="U43" s="59">
        <f t="shared" si="4"/>
        <v>15.25</v>
      </c>
      <c r="V43" s="60">
        <f t="shared" si="5"/>
        <v>0.76249999999999996</v>
      </c>
      <c r="W43" s="77"/>
    </row>
    <row r="44" spans="1:23">
      <c r="A44" s="5">
        <f t="shared" si="0"/>
        <v>40</v>
      </c>
      <c r="B44" s="6"/>
      <c r="C44" t="s">
        <v>127</v>
      </c>
      <c r="D44" s="6" t="s">
        <v>157</v>
      </c>
      <c r="E44" s="6"/>
      <c r="F44" s="73">
        <v>45761</v>
      </c>
      <c r="G44" s="73">
        <v>45777</v>
      </c>
      <c r="H44" s="79">
        <v>0</v>
      </c>
      <c r="I44" s="79">
        <v>0</v>
      </c>
      <c r="J44" s="6">
        <f t="shared" si="9"/>
        <v>0</v>
      </c>
      <c r="K44" s="79">
        <v>0</v>
      </c>
      <c r="L44" s="79">
        <v>0</v>
      </c>
      <c r="M44" s="6">
        <f t="shared" si="10"/>
        <v>0</v>
      </c>
      <c r="N44" s="80"/>
      <c r="O44" s="78"/>
      <c r="P44" s="50"/>
      <c r="Q44" s="7"/>
      <c r="R44" s="8">
        <f t="shared" si="13"/>
        <v>0</v>
      </c>
      <c r="S44" s="8">
        <f t="shared" si="13"/>
        <v>0</v>
      </c>
      <c r="T44" s="8">
        <f t="shared" si="13"/>
        <v>0</v>
      </c>
      <c r="U44" s="59">
        <f t="shared" si="4"/>
        <v>0</v>
      </c>
      <c r="V44" s="60">
        <f t="shared" si="5"/>
        <v>0</v>
      </c>
      <c r="W44" s="77"/>
    </row>
    <row r="45" spans="1:23">
      <c r="A45" s="5"/>
      <c r="B45" s="6"/>
      <c r="D45" s="6" t="s">
        <v>158</v>
      </c>
      <c r="E45" s="6"/>
      <c r="F45" s="73">
        <v>45761</v>
      </c>
      <c r="G45" s="73">
        <v>45777</v>
      </c>
      <c r="H45" s="79">
        <v>10</v>
      </c>
      <c r="I45" s="79">
        <v>6</v>
      </c>
      <c r="J45" s="6">
        <f t="shared" si="9"/>
        <v>16</v>
      </c>
      <c r="K45" s="79">
        <v>40</v>
      </c>
      <c r="L45" s="79">
        <f t="shared" ref="L45:L46" si="16">K45*0.8</f>
        <v>32</v>
      </c>
      <c r="M45" s="6">
        <f t="shared" si="10"/>
        <v>72</v>
      </c>
      <c r="N45" s="80"/>
      <c r="O45" s="78"/>
      <c r="P45" s="7" t="s">
        <v>91</v>
      </c>
      <c r="Q45" s="7" t="s">
        <v>79</v>
      </c>
      <c r="R45" s="8">
        <f t="shared" si="13"/>
        <v>1.375</v>
      </c>
      <c r="S45" s="8">
        <f t="shared" si="13"/>
        <v>10.25</v>
      </c>
      <c r="T45" s="8">
        <f t="shared" si="13"/>
        <v>8.25</v>
      </c>
      <c r="U45" s="59">
        <f t="shared" si="4"/>
        <v>19.875</v>
      </c>
      <c r="V45" s="60">
        <f t="shared" si="5"/>
        <v>0.99375000000000002</v>
      </c>
      <c r="W45" s="77"/>
    </row>
    <row r="46" spans="1:23">
      <c r="A46" s="5"/>
      <c r="B46" s="6"/>
      <c r="D46" s="6" t="s">
        <v>159</v>
      </c>
      <c r="E46" s="6"/>
      <c r="F46" s="73">
        <v>45761</v>
      </c>
      <c r="G46" s="73">
        <v>45777</v>
      </c>
      <c r="H46" s="79">
        <v>8</v>
      </c>
      <c r="I46" s="79">
        <v>4</v>
      </c>
      <c r="J46" s="6">
        <f t="shared" si="9"/>
        <v>12</v>
      </c>
      <c r="K46" s="79"/>
      <c r="L46" s="79">
        <f t="shared" si="16"/>
        <v>0</v>
      </c>
      <c r="M46" s="6">
        <f t="shared" si="10"/>
        <v>0</v>
      </c>
      <c r="N46" s="80"/>
      <c r="O46" s="78"/>
      <c r="P46" s="7" t="s">
        <v>81</v>
      </c>
      <c r="Q46" s="7" t="s">
        <v>79</v>
      </c>
      <c r="R46" s="8">
        <f t="shared" si="13"/>
        <v>1</v>
      </c>
      <c r="S46" s="8">
        <f t="shared" si="13"/>
        <v>7.875</v>
      </c>
      <c r="T46" s="8">
        <f t="shared" si="13"/>
        <v>6.375</v>
      </c>
      <c r="U46" s="59">
        <f t="shared" si="4"/>
        <v>15.25</v>
      </c>
      <c r="V46" s="60">
        <f t="shared" si="5"/>
        <v>0.76249999999999996</v>
      </c>
      <c r="W46" s="77"/>
    </row>
    <row r="47" spans="1:23">
      <c r="A47" s="5"/>
      <c r="B47" s="6"/>
      <c r="D47" s="6" t="s">
        <v>160</v>
      </c>
      <c r="E47" s="6"/>
      <c r="F47" s="73">
        <v>45761</v>
      </c>
      <c r="G47" s="73">
        <v>45777</v>
      </c>
      <c r="H47" s="79">
        <v>0</v>
      </c>
      <c r="I47" s="79">
        <v>0</v>
      </c>
      <c r="J47" s="6">
        <f t="shared" si="9"/>
        <v>0</v>
      </c>
      <c r="K47" s="79">
        <v>0</v>
      </c>
      <c r="L47" s="79">
        <v>0</v>
      </c>
      <c r="M47" s="6">
        <f t="shared" si="10"/>
        <v>0</v>
      </c>
      <c r="N47" s="80"/>
      <c r="O47" s="78"/>
      <c r="P47" s="7"/>
      <c r="Q47" s="7"/>
      <c r="R47" s="8">
        <f t="shared" si="13"/>
        <v>0</v>
      </c>
      <c r="S47" s="8">
        <f t="shared" si="13"/>
        <v>0</v>
      </c>
      <c r="T47" s="8">
        <f t="shared" si="13"/>
        <v>0</v>
      </c>
      <c r="U47" s="59">
        <f t="shared" si="4"/>
        <v>0</v>
      </c>
      <c r="V47" s="60">
        <f t="shared" si="5"/>
        <v>0</v>
      </c>
      <c r="W47" s="77"/>
    </row>
    <row r="48" spans="1:23">
      <c r="A48" s="5">
        <f t="shared" si="0"/>
        <v>44</v>
      </c>
      <c r="B48" s="6"/>
      <c r="C48" t="s">
        <v>128</v>
      </c>
      <c r="D48" s="6" t="s">
        <v>161</v>
      </c>
      <c r="E48" s="6"/>
      <c r="F48" s="73">
        <v>45778</v>
      </c>
      <c r="G48" s="73">
        <v>45784</v>
      </c>
      <c r="H48" s="79">
        <v>8</v>
      </c>
      <c r="I48" s="79">
        <v>4</v>
      </c>
      <c r="J48" s="6">
        <f t="shared" si="9"/>
        <v>12</v>
      </c>
      <c r="K48" s="79">
        <v>20</v>
      </c>
      <c r="L48" s="79">
        <f t="shared" ref="L48:L49" si="17">K48*0.8</f>
        <v>16</v>
      </c>
      <c r="M48" s="6">
        <f t="shared" si="10"/>
        <v>36</v>
      </c>
      <c r="N48" s="80" t="s">
        <v>172</v>
      </c>
      <c r="O48" s="78"/>
      <c r="P48" s="7" t="s">
        <v>81</v>
      </c>
      <c r="Q48" s="7" t="s">
        <v>79</v>
      </c>
      <c r="R48" s="8">
        <f t="shared" si="13"/>
        <v>1</v>
      </c>
      <c r="S48" s="8">
        <f t="shared" si="13"/>
        <v>7.875</v>
      </c>
      <c r="T48" s="8">
        <f t="shared" si="13"/>
        <v>6.375</v>
      </c>
      <c r="U48" s="59">
        <f>SUM(R48:T48)</f>
        <v>15.25</v>
      </c>
      <c r="V48" s="60">
        <f t="shared" si="5"/>
        <v>0.76249999999999996</v>
      </c>
      <c r="W48" s="77"/>
    </row>
    <row r="49" spans="1:23" s="52" customFormat="1" ht="19.5" thickBot="1">
      <c r="A49" s="5">
        <f t="shared" si="0"/>
        <v>45</v>
      </c>
      <c r="B49" s="6"/>
      <c r="C49" t="s">
        <v>129</v>
      </c>
      <c r="D49" s="53" t="s">
        <v>162</v>
      </c>
      <c r="E49" s="6"/>
      <c r="F49" s="73">
        <v>45761</v>
      </c>
      <c r="G49" s="73">
        <v>45779</v>
      </c>
      <c r="H49" s="6">
        <v>12</v>
      </c>
      <c r="I49" s="6">
        <v>6</v>
      </c>
      <c r="J49" s="6">
        <f>SUM(H49:I49)</f>
        <v>18</v>
      </c>
      <c r="K49" s="6"/>
      <c r="L49" s="6">
        <f t="shared" si="17"/>
        <v>0</v>
      </c>
      <c r="M49" s="6">
        <f>SUM(K49:L49)</f>
        <v>0</v>
      </c>
      <c r="N49" s="7"/>
      <c r="O49" s="58"/>
      <c r="P49" s="7" t="s">
        <v>91</v>
      </c>
      <c r="Q49" s="7" t="s">
        <v>79</v>
      </c>
      <c r="R49" s="8">
        <f t="shared" si="13"/>
        <v>1.375</v>
      </c>
      <c r="S49" s="8">
        <f t="shared" si="13"/>
        <v>10.25</v>
      </c>
      <c r="T49" s="8">
        <f t="shared" si="13"/>
        <v>8.25</v>
      </c>
      <c r="U49" s="59">
        <f>SUM(R49:T49)</f>
        <v>19.875</v>
      </c>
      <c r="V49" s="60">
        <f t="shared" si="5"/>
        <v>0.99375000000000002</v>
      </c>
      <c r="W49" s="51"/>
    </row>
    <row r="50" spans="1:23">
      <c r="A50" s="150" t="s">
        <v>82</v>
      </c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2"/>
      <c r="R50" s="32">
        <f t="shared" ref="R50:T50" si="18">SUM(R5:R49)</f>
        <v>33.299999999999997</v>
      </c>
      <c r="S50" s="32">
        <f t="shared" si="18"/>
        <v>285.09999999999997</v>
      </c>
      <c r="T50" s="32">
        <f t="shared" si="18"/>
        <v>230.67499999999998</v>
      </c>
      <c r="U50" s="34">
        <f>SUM(R50:T50)</f>
        <v>549.07499999999993</v>
      </c>
      <c r="V50" s="35"/>
      <c r="W50" s="36"/>
    </row>
    <row r="51" spans="1:23" ht="19.5" thickBot="1">
      <c r="A51" s="153" t="s">
        <v>83</v>
      </c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5"/>
      <c r="R51" s="33">
        <f>R50/20</f>
        <v>1.6649999999999998</v>
      </c>
      <c r="S51" s="33">
        <f t="shared" ref="S51:T51" si="19">S50/20</f>
        <v>14.254999999999999</v>
      </c>
      <c r="T51" s="33">
        <f t="shared" si="19"/>
        <v>11.53375</v>
      </c>
      <c r="U51" s="10"/>
      <c r="V51" s="11">
        <f>SUM(R51:T51)</f>
        <v>27.453749999999999</v>
      </c>
      <c r="W51" s="37"/>
    </row>
    <row r="52" spans="1:23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 t="s">
        <v>84</v>
      </c>
      <c r="R52" s="62">
        <f>ROUNDUP(R51, 1) * 1000000</f>
        <v>1700000.0000000002</v>
      </c>
      <c r="S52" s="62">
        <f>ROUNDUP(S51, 1) * 1000000</f>
        <v>14299999.999999998</v>
      </c>
      <c r="T52" s="62">
        <f>ROUNDUP(T51, 1) * 1000000</f>
        <v>11600000</v>
      </c>
      <c r="U52" s="63"/>
      <c r="V52" s="64">
        <f>SUM(R52:T52)</f>
        <v>27600000</v>
      </c>
      <c r="W52" s="5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6" t="s">
        <v>85</v>
      </c>
      <c r="R53" s="65">
        <f>ROUNDUP(SUM(R51:R51)*0.2,1)</f>
        <v>0.4</v>
      </c>
      <c r="S53" s="65">
        <f>ROUNDUP(SUM(S51)*0.2,1)</f>
        <v>2.9</v>
      </c>
      <c r="T53" s="65">
        <f>ROUNDUP(SUM(T51)*0.2,1)</f>
        <v>2.4</v>
      </c>
      <c r="U53" s="63"/>
      <c r="V53" s="66">
        <f>SUM(R53:T53)</f>
        <v>5.6999999999999993</v>
      </c>
      <c r="W53" s="67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86</v>
      </c>
      <c r="R54" s="62">
        <f>R53 * 1400000</f>
        <v>560000</v>
      </c>
      <c r="S54" s="62">
        <f t="shared" ref="S54:T54" si="20">S53 * 1400000</f>
        <v>4060000</v>
      </c>
      <c r="T54" s="62">
        <f t="shared" si="20"/>
        <v>3360000</v>
      </c>
      <c r="U54" s="63"/>
      <c r="V54" s="68">
        <f>SUM(R54:T54)</f>
        <v>7980000</v>
      </c>
      <c r="W54" s="67"/>
    </row>
    <row r="55" spans="1:23" ht="19.5" thickBo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61" t="s">
        <v>87</v>
      </c>
      <c r="R55" s="69">
        <f>R52 + R54</f>
        <v>2260000</v>
      </c>
      <c r="S55" s="69">
        <f t="shared" ref="S55:T55" si="21">S52 + S54</f>
        <v>18360000</v>
      </c>
      <c r="T55" s="69">
        <f t="shared" si="21"/>
        <v>14960000</v>
      </c>
      <c r="U55" s="70"/>
      <c r="V55" s="71">
        <f>SUM(R55:T55)</f>
        <v>35580000</v>
      </c>
      <c r="W55" s="57"/>
    </row>
    <row r="56" spans="1:23" ht="19.5" thickBot="1">
      <c r="A56" s="156" t="s">
        <v>88</v>
      </c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8"/>
      <c r="R56" s="38"/>
      <c r="S56" s="38"/>
      <c r="T56" s="38"/>
      <c r="U56" s="39">
        <f>SUM(U50:U55)</f>
        <v>549.07499999999993</v>
      </c>
      <c r="V56" s="40">
        <f>V51+V53</f>
        <v>33.153750000000002</v>
      </c>
      <c r="W56" s="41"/>
    </row>
  </sheetData>
  <autoFilter ref="A2:W56" xr:uid="{00000000-0009-0000-0000-000000000000}">
    <filterColumn colId="2" showButton="0"/>
    <filterColumn colId="3" showButton="0"/>
    <filterColumn colId="17" showButton="0"/>
    <filterColumn colId="18" showButton="0"/>
    <filterColumn colId="19" showButton="0"/>
  </autoFilter>
  <mergeCells count="18">
    <mergeCell ref="V2:V3"/>
    <mergeCell ref="W2:W3"/>
    <mergeCell ref="A4:Q4"/>
    <mergeCell ref="A50:Q50"/>
    <mergeCell ref="A51:Q51"/>
    <mergeCell ref="R2:T2"/>
    <mergeCell ref="U2:U3"/>
    <mergeCell ref="A56:Q56"/>
    <mergeCell ref="N2:N3"/>
    <mergeCell ref="O2:O3"/>
    <mergeCell ref="P2:P3"/>
    <mergeCell ref="Q2:Q3"/>
    <mergeCell ref="A2:A3"/>
    <mergeCell ref="B2:B3"/>
    <mergeCell ref="C2:E2"/>
    <mergeCell ref="F2:G2"/>
    <mergeCell ref="H2:I2"/>
    <mergeCell ref="K2:L2"/>
  </mergeCells>
  <phoneticPr fontId="3"/>
  <conditionalFormatting sqref="A10:J48 K10:W49 A49:C49 E49:J49">
    <cfRule type="expression" dxfId="2" priority="2">
      <formula>$Q10="削除"</formula>
    </cfRule>
  </conditionalFormatting>
  <conditionalFormatting sqref="A5:W9">
    <cfRule type="expression" dxfId="1" priority="1">
      <formula>$Q5="削除"</formula>
    </cfRule>
  </conditionalFormatting>
  <conditionalFormatting sqref="D49">
    <cfRule type="expression" dxfId="0" priority="3">
      <formula>#REF!="削除"</formula>
    </cfRule>
  </conditionalFormatting>
  <dataValidations count="1">
    <dataValidation type="list" allowBlank="1" showInputMessage="1" showErrorMessage="1" sqref="Q5:Q49" xr:uid="{C1F583E5-BD18-4BAC-9C9A-A8FF30A83A24}">
      <formula1>"新規,改修,削除"</formula1>
    </dataValidation>
  </dataValidations>
  <pageMargins left="0.25" right="0.25" top="0.75" bottom="0.75" header="0.3" footer="0.3"/>
  <pageSetup paperSize="9" scale="40" fitToHeight="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topLeftCell="A33" zoomScale="130" zoomScaleNormal="130" workbookViewId="0"/>
  </sheetViews>
  <sheetFormatPr defaultColWidth="9" defaultRowHeight="12"/>
  <cols>
    <col min="1" max="1" width="3.625" style="13" customWidth="1"/>
    <col min="2" max="12" width="18.875" style="13" customWidth="1"/>
    <col min="13" max="16384" width="9" style="13"/>
  </cols>
  <sheetData>
    <row r="1" spans="1:8" ht="16.5">
      <c r="A1" s="12" t="s">
        <v>89</v>
      </c>
    </row>
    <row r="3" spans="1:8">
      <c r="A3" s="13" t="s">
        <v>90</v>
      </c>
    </row>
    <row r="5" spans="1:8">
      <c r="B5" s="14" t="s">
        <v>58</v>
      </c>
    </row>
    <row r="6" spans="1:8">
      <c r="B6" s="15" t="s">
        <v>91</v>
      </c>
    </row>
    <row r="7" spans="1:8">
      <c r="B7" s="15" t="s">
        <v>81</v>
      </c>
    </row>
    <row r="8" spans="1:8">
      <c r="B8" s="15" t="s">
        <v>78</v>
      </c>
    </row>
    <row r="9" spans="1:8">
      <c r="B9" s="15" t="s">
        <v>80</v>
      </c>
    </row>
    <row r="10" spans="1:8">
      <c r="B10" s="15" t="s">
        <v>92</v>
      </c>
    </row>
    <row r="12" spans="1:8">
      <c r="A12" s="13" t="s">
        <v>93</v>
      </c>
    </row>
    <row r="14" spans="1:8">
      <c r="B14" s="16" t="s">
        <v>94</v>
      </c>
    </row>
    <row r="15" spans="1:8">
      <c r="B15" s="14" t="s">
        <v>56</v>
      </c>
      <c r="C15" s="17" t="s">
        <v>91</v>
      </c>
      <c r="D15" s="17" t="s">
        <v>81</v>
      </c>
      <c r="E15" s="17" t="s">
        <v>78</v>
      </c>
      <c r="F15" s="17" t="s">
        <v>80</v>
      </c>
      <c r="G15" s="17" t="s">
        <v>92</v>
      </c>
      <c r="H15" s="18"/>
    </row>
    <row r="16" spans="1:8">
      <c r="B16" s="19" t="s">
        <v>95</v>
      </c>
      <c r="C16" s="20">
        <v>40</v>
      </c>
      <c r="D16" s="20">
        <v>30</v>
      </c>
      <c r="E16" s="20">
        <v>20</v>
      </c>
      <c r="F16" s="20">
        <v>10</v>
      </c>
      <c r="G16" s="20">
        <v>0</v>
      </c>
      <c r="H16" s="18"/>
    </row>
    <row r="17" spans="1:8">
      <c r="B17" s="19" t="s">
        <v>96</v>
      </c>
      <c r="C17" s="20">
        <v>50</v>
      </c>
      <c r="D17" s="20">
        <v>40</v>
      </c>
      <c r="E17" s="20">
        <v>30</v>
      </c>
      <c r="F17" s="20">
        <v>20</v>
      </c>
      <c r="G17" s="20">
        <v>10</v>
      </c>
      <c r="H17" s="16"/>
    </row>
    <row r="18" spans="1:8">
      <c r="B18" s="16"/>
      <c r="C18" s="16"/>
      <c r="D18" s="16"/>
      <c r="E18" s="16"/>
      <c r="F18" s="16"/>
      <c r="G18" s="16"/>
      <c r="H18" s="16"/>
    </row>
    <row r="19" spans="1:8">
      <c r="A19" s="13" t="s">
        <v>97</v>
      </c>
    </row>
    <row r="21" spans="1:8">
      <c r="B21" s="13" t="s">
        <v>98</v>
      </c>
    </row>
    <row r="22" spans="1:8">
      <c r="B22" s="17" t="s">
        <v>99</v>
      </c>
      <c r="C22" s="17" t="s">
        <v>100</v>
      </c>
      <c r="D22" s="17" t="s">
        <v>69</v>
      </c>
      <c r="E22" s="17" t="s">
        <v>70</v>
      </c>
      <c r="F22" s="14" t="s">
        <v>71</v>
      </c>
      <c r="G22" s="17" t="s">
        <v>87</v>
      </c>
    </row>
    <row r="23" spans="1:8">
      <c r="B23" s="21">
        <v>0.161</v>
      </c>
      <c r="C23" s="21">
        <v>0.17499999999999999</v>
      </c>
      <c r="D23" s="21">
        <v>0.37</v>
      </c>
      <c r="E23" s="21">
        <v>0.16700000000000001</v>
      </c>
      <c r="F23" s="21">
        <v>0.127</v>
      </c>
      <c r="G23" s="21">
        <f>SUM(B23:F23)</f>
        <v>1</v>
      </c>
    </row>
    <row r="26" spans="1:8">
      <c r="A26" s="13" t="s">
        <v>101</v>
      </c>
    </row>
    <row r="28" spans="1:8" ht="12.75" thickBot="1">
      <c r="B28" s="13" t="s">
        <v>102</v>
      </c>
    </row>
    <row r="29" spans="1:8">
      <c r="B29" s="22" t="s">
        <v>87</v>
      </c>
      <c r="C29" s="23" t="s">
        <v>99</v>
      </c>
      <c r="D29" s="17" t="s">
        <v>100</v>
      </c>
      <c r="E29" s="17" t="s">
        <v>69</v>
      </c>
      <c r="F29" s="17" t="s">
        <v>70</v>
      </c>
      <c r="G29" s="14" t="s">
        <v>71</v>
      </c>
    </row>
    <row r="30" spans="1:8" ht="12.75" thickBot="1">
      <c r="B30" s="24">
        <v>8.75</v>
      </c>
      <c r="C30" s="25">
        <f>CEILING($B30*B23,0.125)</f>
        <v>1.5</v>
      </c>
      <c r="D30" s="26">
        <f>CEILING($B30*C23,0.125)</f>
        <v>1.625</v>
      </c>
      <c r="E30" s="26">
        <f>CEILING($B30*D23,0.125)</f>
        <v>3.25</v>
      </c>
      <c r="F30" s="26">
        <f>CEILING($B30*E23,0.125)</f>
        <v>1.5</v>
      </c>
      <c r="G30" s="26">
        <f>CEILING($B30*F23,0.125)</f>
        <v>1.125</v>
      </c>
    </row>
    <row r="32" spans="1:8" ht="12.75" thickBot="1">
      <c r="B32" s="13" t="s">
        <v>103</v>
      </c>
    </row>
    <row r="33" spans="1:12">
      <c r="B33" s="22" t="s">
        <v>87</v>
      </c>
      <c r="C33" s="23" t="s">
        <v>99</v>
      </c>
      <c r="D33" s="17" t="s">
        <v>100</v>
      </c>
      <c r="E33" s="17" t="s">
        <v>69</v>
      </c>
      <c r="F33" s="17" t="s">
        <v>70</v>
      </c>
      <c r="G33" s="14" t="s">
        <v>71</v>
      </c>
    </row>
    <row r="34" spans="1:12" ht="12.75" thickBot="1">
      <c r="B34" s="24">
        <v>3.5</v>
      </c>
      <c r="C34" s="25">
        <f>CEILING($B34*B23,0.125)</f>
        <v>0.625</v>
      </c>
      <c r="D34" s="25">
        <f t="shared" ref="D34:G34" si="0">CEILING($B34*C23,0.125)</f>
        <v>0.625</v>
      </c>
      <c r="E34" s="25">
        <f t="shared" si="0"/>
        <v>1.375</v>
      </c>
      <c r="F34" s="25">
        <f t="shared" si="0"/>
        <v>0.625</v>
      </c>
      <c r="G34" s="25">
        <f t="shared" si="0"/>
        <v>0.5</v>
      </c>
    </row>
    <row r="35" spans="1:12">
      <c r="B35" s="42"/>
      <c r="C35" s="42"/>
      <c r="D35" s="42"/>
      <c r="E35" s="42"/>
      <c r="F35" s="42"/>
      <c r="G35" s="42"/>
    </row>
    <row r="36" spans="1:12">
      <c r="A36" s="13" t="s">
        <v>104</v>
      </c>
    </row>
    <row r="38" spans="1:12">
      <c r="B38" s="16" t="s">
        <v>105</v>
      </c>
      <c r="C38" s="16"/>
      <c r="D38" s="16"/>
      <c r="E38" s="16"/>
      <c r="F38" s="16"/>
      <c r="G38" s="16"/>
      <c r="H38" s="16"/>
    </row>
    <row r="39" spans="1:12">
      <c r="B39" s="17" t="s">
        <v>106</v>
      </c>
      <c r="C39" s="162" t="s">
        <v>87</v>
      </c>
      <c r="D39" s="14" t="s">
        <v>67</v>
      </c>
      <c r="E39" s="14" t="s">
        <v>99</v>
      </c>
      <c r="F39" s="14" t="s">
        <v>100</v>
      </c>
      <c r="G39" s="17" t="s">
        <v>69</v>
      </c>
      <c r="H39" s="14" t="s">
        <v>70</v>
      </c>
      <c r="I39" s="14" t="s">
        <v>71</v>
      </c>
      <c r="J39" s="14" t="s">
        <v>72</v>
      </c>
      <c r="K39" s="14" t="s">
        <v>107</v>
      </c>
      <c r="L39" s="14" t="s">
        <v>108</v>
      </c>
    </row>
    <row r="40" spans="1:12">
      <c r="B40" s="17" t="s">
        <v>109</v>
      </c>
      <c r="C40" s="163"/>
      <c r="D40" s="27">
        <v>0.1</v>
      </c>
      <c r="E40" s="21">
        <f>B23</f>
        <v>0.161</v>
      </c>
      <c r="F40" s="21">
        <f>C23</f>
        <v>0.17499999999999999</v>
      </c>
      <c r="G40" s="21">
        <f>D23</f>
        <v>0.37</v>
      </c>
      <c r="H40" s="21">
        <f>E23</f>
        <v>0.16700000000000001</v>
      </c>
      <c r="I40" s="21">
        <f>F23</f>
        <v>0.127</v>
      </c>
      <c r="J40" s="28">
        <v>0.5</v>
      </c>
      <c r="K40" s="28">
        <v>0.25</v>
      </c>
      <c r="L40" s="29">
        <v>0.15</v>
      </c>
    </row>
    <row r="41" spans="1:12">
      <c r="B41" s="17" t="s">
        <v>110</v>
      </c>
      <c r="C41" s="30">
        <f>SUM(D41:L41)</f>
        <v>12.875</v>
      </c>
      <c r="D41" s="30">
        <f>CEILING(SUM(E41:I41)*D40,0.125)</f>
        <v>1</v>
      </c>
      <c r="E41" s="30">
        <f>C30</f>
        <v>1.5</v>
      </c>
      <c r="F41" s="30">
        <f>D30</f>
        <v>1.625</v>
      </c>
      <c r="G41" s="30">
        <f>E30</f>
        <v>3.25</v>
      </c>
      <c r="H41" s="30">
        <f>F30</f>
        <v>1.5</v>
      </c>
      <c r="I41" s="30">
        <f>G30</f>
        <v>1.125</v>
      </c>
      <c r="J41" s="30">
        <f>CEILING(H41*J40,0.125)</f>
        <v>0.75</v>
      </c>
      <c r="K41" s="30">
        <f>CEILING(H41*K40,0.125)</f>
        <v>0.375</v>
      </c>
      <c r="L41" s="30">
        <f>CEILING(SUM(D41:K41)*L40,0.125)</f>
        <v>1.75</v>
      </c>
    </row>
    <row r="42" spans="1:12">
      <c r="B42" s="17" t="s">
        <v>111</v>
      </c>
      <c r="C42" s="30">
        <f>SUM(D42:L42)</f>
        <v>5.5</v>
      </c>
      <c r="D42" s="30">
        <f>CEILING(D40*SUM(E42:I42),0.125)</f>
        <v>0.375</v>
      </c>
      <c r="E42" s="30">
        <f>C34</f>
        <v>0.625</v>
      </c>
      <c r="F42" s="30">
        <f>D34</f>
        <v>0.625</v>
      </c>
      <c r="G42" s="30">
        <f>E34</f>
        <v>1.375</v>
      </c>
      <c r="H42" s="30">
        <f>F34</f>
        <v>0.625</v>
      </c>
      <c r="I42" s="30">
        <f>G34</f>
        <v>0.5</v>
      </c>
      <c r="J42" s="30">
        <f>CEILING(J40*H42,0.125)</f>
        <v>0.375</v>
      </c>
      <c r="K42" s="30">
        <f>CEILING(K40*H42,0.125)</f>
        <v>0.25</v>
      </c>
      <c r="L42" s="30">
        <f>CEILING(L40*SUM(D42:K42),0.125)</f>
        <v>0.75</v>
      </c>
    </row>
    <row r="43" spans="1:12">
      <c r="B43" s="164">
        <v>0.5</v>
      </c>
      <c r="C43" s="164"/>
    </row>
    <row r="45" spans="1:12">
      <c r="A45" s="13" t="s">
        <v>112</v>
      </c>
    </row>
    <row r="47" spans="1:12">
      <c r="B47" s="16" t="s">
        <v>113</v>
      </c>
      <c r="C47" s="16"/>
      <c r="D47" s="16"/>
      <c r="E47" s="16"/>
      <c r="F47" s="16"/>
      <c r="G47" s="16"/>
    </row>
    <row r="48" spans="1:12">
      <c r="B48" s="165" t="s">
        <v>114</v>
      </c>
      <c r="C48" s="17" t="s">
        <v>91</v>
      </c>
      <c r="D48" s="17" t="s">
        <v>81</v>
      </c>
      <c r="E48" s="17" t="s">
        <v>78</v>
      </c>
      <c r="F48" s="17" t="s">
        <v>80</v>
      </c>
      <c r="G48" s="17" t="s">
        <v>92</v>
      </c>
    </row>
    <row r="49" spans="1:9">
      <c r="B49" s="166"/>
      <c r="C49" s="31">
        <v>2.6</v>
      </c>
      <c r="D49" s="31">
        <v>2</v>
      </c>
      <c r="E49" s="31">
        <v>1.6</v>
      </c>
      <c r="F49" s="31">
        <v>0.7</v>
      </c>
      <c r="G49" s="31">
        <v>0.3</v>
      </c>
      <c r="H49" s="13" t="s">
        <v>115</v>
      </c>
    </row>
    <row r="50" spans="1:9">
      <c r="B50" s="167"/>
      <c r="C50" s="31">
        <v>1.5</v>
      </c>
      <c r="D50" s="31">
        <v>1.25</v>
      </c>
      <c r="E50" s="31">
        <v>1</v>
      </c>
      <c r="F50" s="31">
        <v>0.75</v>
      </c>
      <c r="G50" s="31">
        <v>0.2</v>
      </c>
      <c r="H50" s="13" t="s">
        <v>116</v>
      </c>
    </row>
    <row r="53" spans="1:9">
      <c r="A53" s="13" t="s">
        <v>117</v>
      </c>
    </row>
    <row r="55" spans="1:9">
      <c r="B55" s="16" t="s">
        <v>105</v>
      </c>
      <c r="C55" s="16"/>
      <c r="D55" s="16"/>
      <c r="E55" s="16"/>
      <c r="F55" s="16"/>
      <c r="G55" s="16"/>
      <c r="H55" s="16"/>
    </row>
    <row r="56" spans="1:9">
      <c r="B56" s="17" t="s">
        <v>106</v>
      </c>
      <c r="C56" s="162" t="s">
        <v>87</v>
      </c>
      <c r="D56" s="14" t="s">
        <v>67</v>
      </c>
      <c r="E56" s="14" t="s">
        <v>68</v>
      </c>
      <c r="F56" s="14" t="s">
        <v>69</v>
      </c>
      <c r="G56" s="14" t="s">
        <v>70</v>
      </c>
      <c r="H56" s="14" t="s">
        <v>72</v>
      </c>
      <c r="I56" s="14" t="s">
        <v>108</v>
      </c>
    </row>
    <row r="57" spans="1:9">
      <c r="B57" s="17" t="s">
        <v>118</v>
      </c>
      <c r="C57" s="163"/>
      <c r="D57" s="27">
        <v>0.1</v>
      </c>
      <c r="E57" s="21">
        <f>SUM(B23:C23)</f>
        <v>0.33599999999999997</v>
      </c>
      <c r="F57" s="21">
        <f>D23</f>
        <v>0.37</v>
      </c>
      <c r="G57" s="21">
        <f>SUM(E23:F23)</f>
        <v>0.29400000000000004</v>
      </c>
      <c r="H57" s="28">
        <v>0.25</v>
      </c>
      <c r="I57" s="29">
        <v>0.15</v>
      </c>
    </row>
    <row r="58" spans="1:9">
      <c r="B58" s="17" t="s">
        <v>110</v>
      </c>
      <c r="C58" s="30">
        <f>SUM(D58:I58)</f>
        <v>12</v>
      </c>
      <c r="D58" s="30">
        <f>CEILING(SUM(E58:G58)*D57,0.125)</f>
        <v>1</v>
      </c>
      <c r="E58" s="30">
        <f>SUM(C30:D30)</f>
        <v>3.125</v>
      </c>
      <c r="F58" s="30">
        <f>E30</f>
        <v>3.25</v>
      </c>
      <c r="G58" s="30">
        <f>SUM(F30:G30)</f>
        <v>2.625</v>
      </c>
      <c r="H58" s="30">
        <f>CEILING(H41*H57,0.125)</f>
        <v>0.375</v>
      </c>
      <c r="I58" s="30">
        <f>CEILING(SUM(D58:H58)*I57,0.125)</f>
        <v>1.625</v>
      </c>
    </row>
    <row r="59" spans="1:9">
      <c r="B59" s="17" t="s">
        <v>111</v>
      </c>
      <c r="C59" s="30">
        <f>SUM(D59:I59)</f>
        <v>2.625</v>
      </c>
      <c r="D59" s="30">
        <v>0</v>
      </c>
      <c r="E59" s="30">
        <f>SUM(C34:D34)</f>
        <v>1.25</v>
      </c>
      <c r="F59" s="30">
        <f>E34</f>
        <v>1.375</v>
      </c>
      <c r="G59" s="30">
        <v>0</v>
      </c>
      <c r="H59" s="30">
        <v>0</v>
      </c>
      <c r="I59" s="30">
        <v>0</v>
      </c>
    </row>
    <row r="60" spans="1:9">
      <c r="B60" s="164"/>
      <c r="C60" s="164"/>
    </row>
    <row r="61" spans="1:9">
      <c r="B61" s="17" t="s">
        <v>119</v>
      </c>
      <c r="C61" s="20">
        <v>100</v>
      </c>
    </row>
  </sheetData>
  <mergeCells count="5">
    <mergeCell ref="C39:C40"/>
    <mergeCell ref="B43:C43"/>
    <mergeCell ref="B48:B50"/>
    <mergeCell ref="C56:C57"/>
    <mergeCell ref="B60:C60"/>
  </mergeCells>
  <phoneticPr fontId="3"/>
  <pageMargins left="0.7" right="0.7" top="0.75" bottom="0.75" header="0.3" footer="0.3"/>
  <pageSetup paperSize="9" scale="57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FCB5C-E335-40F6-B391-B701A85E5A17}">
  <ds:schemaRefs>
    <ds:schemaRef ds:uri="2fd442da-66a9-4fa6-ba31-eb0d54ad1381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F13A7B2-F313-43A3-9F29-4ED57B3EE8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54D561-FC57-4D2D-8C77-7A9FAB608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24</vt:i4>
      </vt:variant>
    </vt:vector>
  </HeadingPairs>
  <TitlesOfParts>
    <vt:vector size="29" baseType="lpstr">
      <vt:lpstr>スケジュール・要員計画</vt:lpstr>
      <vt:lpstr>御見積(画面・機能)（2倍）</vt:lpstr>
      <vt:lpstr>概算</vt:lpstr>
      <vt:lpstr>御見積(画面・機能) (1倍)</vt:lpstr>
      <vt:lpstr>積算基準</vt:lpstr>
      <vt:lpstr>'御見積(画面・機能) (1倍)'!Print_Area</vt:lpstr>
      <vt:lpstr>'御見積(画面・機能)（2倍）'!Print_Area</vt:lpstr>
      <vt:lpstr>'御見積(画面・機能) (1倍)'!Print_Titles</vt:lpstr>
      <vt:lpstr>'御見積(画面・機能)（2倍）'!Print_Titles</vt:lpstr>
      <vt:lpstr>高係数</vt:lpstr>
      <vt:lpstr>高係数_IF</vt:lpstr>
      <vt:lpstr>積算基準!参照上限高</vt:lpstr>
      <vt:lpstr>積算基準!参照上限中</vt:lpstr>
      <vt:lpstr>積算基準!参照上限低</vt:lpstr>
      <vt:lpstr>積算基準!参照上限特高</vt:lpstr>
      <vt:lpstr>積算基準!参照上限特低</vt:lpstr>
      <vt:lpstr>中係数</vt:lpstr>
      <vt:lpstr>中係数_IF</vt:lpstr>
      <vt:lpstr>低係数</vt:lpstr>
      <vt:lpstr>低係数_IF</vt:lpstr>
      <vt:lpstr>積算基準!登録上限高</vt:lpstr>
      <vt:lpstr>積算基準!登録上限中</vt:lpstr>
      <vt:lpstr>積算基準!登録上限低</vt:lpstr>
      <vt:lpstr>積算基準!登録上限特高</vt:lpstr>
      <vt:lpstr>積算基準!登録上限特低</vt:lpstr>
      <vt:lpstr>特高係数</vt:lpstr>
      <vt:lpstr>特高係数_IF</vt:lpstr>
      <vt:lpstr>特低係数</vt:lpstr>
      <vt:lpstr>特低係数_IF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t-moriyama</dc:creator>
  <cp:keywords/>
  <dc:description/>
  <cp:lastModifiedBy>川名翔太</cp:lastModifiedBy>
  <cp:revision/>
  <dcterms:created xsi:type="dcterms:W3CDTF">2018-08-28T04:32:00Z</dcterms:created>
  <dcterms:modified xsi:type="dcterms:W3CDTF">2025-04-24T03:50:57Z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