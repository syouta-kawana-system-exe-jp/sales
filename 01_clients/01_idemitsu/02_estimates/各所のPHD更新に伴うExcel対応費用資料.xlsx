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9"/>
  <workbookPr/>
  <mc:AlternateContent xmlns:mc="http://schemas.openxmlformats.org/markup-compatibility/2006">
    <mc:Choice Requires="x15">
      <x15ac:absPath xmlns:x15ac="http://schemas.microsoft.com/office/spreadsheetml/2010/11/ac" url="C:\02.DataFile\01.プロジェクト\01.出光興産\17.PHD更新\20170616_高野さん依頼\"/>
    </mc:Choice>
  </mc:AlternateContent>
  <xr:revisionPtr revIDLastSave="0" documentId="11_8FD462EAFF56BD238DF090A5A1E65E22F71D80E2" xr6:coauthVersionLast="47" xr6:coauthVersionMax="47" xr10:uidLastSave="{00000000-0000-0000-0000-000000000000}"/>
  <bookViews>
    <workbookView xWindow="0" yWindow="0" windowWidth="19200" windowHeight="8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D16" i="1" l="1"/>
  <c r="C16" i="1"/>
  <c r="E16" i="1" l="1"/>
  <c r="E27" i="1" s="1"/>
</calcChain>
</file>

<file path=xl/sharedStrings.xml><?xml version="1.0" encoding="utf-8"?>
<sst xmlns="http://schemas.openxmlformats.org/spreadsheetml/2006/main" count="38" uniqueCount="33">
  <si>
    <t>PHD更新に伴うExcelアプリケーションの調査、修正費用</t>
    <rPh sb="3" eb="5">
      <t>コウシン</t>
    </rPh>
    <rPh sb="6" eb="7">
      <t>トモナ</t>
    </rPh>
    <rPh sb="22" eb="24">
      <t>チョウサ</t>
    </rPh>
    <rPh sb="25" eb="27">
      <t>シュウセイ</t>
    </rPh>
    <rPh sb="27" eb="29">
      <t>ヒヨウ</t>
    </rPh>
    <phoneticPr fontId="1"/>
  </si>
  <si>
    <t>○接続変更対応分</t>
    <rPh sb="1" eb="3">
      <t>セツゾク</t>
    </rPh>
    <rPh sb="3" eb="5">
      <t>ヘンコウ</t>
    </rPh>
    <rPh sb="5" eb="7">
      <t>タイオウ</t>
    </rPh>
    <rPh sb="7" eb="8">
      <t>ブン</t>
    </rPh>
    <phoneticPr fontId="1"/>
  </si>
  <si>
    <t>No.</t>
    <phoneticPr fontId="1"/>
  </si>
  <si>
    <t>事業所</t>
    <rPh sb="0" eb="3">
      <t>ジギョウショ</t>
    </rPh>
    <phoneticPr fontId="1"/>
  </si>
  <si>
    <t>調査ファイル数</t>
    <rPh sb="0" eb="2">
      <t>チョウサ</t>
    </rPh>
    <rPh sb="6" eb="7">
      <t>スウ</t>
    </rPh>
    <phoneticPr fontId="1"/>
  </si>
  <si>
    <t>改修ファイル数</t>
    <rPh sb="0" eb="2">
      <t>カイシュウ</t>
    </rPh>
    <rPh sb="6" eb="7">
      <t>スウ</t>
    </rPh>
    <phoneticPr fontId="1"/>
  </si>
  <si>
    <t>金額</t>
    <rPh sb="0" eb="2">
      <t>キンガク</t>
    </rPh>
    <phoneticPr fontId="1"/>
  </si>
  <si>
    <t>備考</t>
    <rPh sb="0" eb="2">
      <t>ビコウ</t>
    </rPh>
    <phoneticPr fontId="1"/>
  </si>
  <si>
    <t>北海道製油所</t>
    <rPh sb="0" eb="6">
      <t>ホッカイドウセイユジョ</t>
    </rPh>
    <phoneticPr fontId="1"/>
  </si>
  <si>
    <t>切替時追加対応</t>
    <rPh sb="0" eb="2">
      <t>キリカエ</t>
    </rPh>
    <rPh sb="2" eb="3">
      <t>ジ</t>
    </rPh>
    <rPh sb="3" eb="5">
      <t>ツイカ</t>
    </rPh>
    <rPh sb="5" eb="7">
      <t>タイオウ</t>
    </rPh>
    <phoneticPr fontId="1"/>
  </si>
  <si>
    <t>千葉製油所</t>
    <rPh sb="0" eb="5">
      <t>チバセイユジョ</t>
    </rPh>
    <phoneticPr fontId="1"/>
  </si>
  <si>
    <t>追加分</t>
    <rPh sb="0" eb="3">
      <t>ツイカブン</t>
    </rPh>
    <phoneticPr fontId="1"/>
  </si>
  <si>
    <t>製油二課追加分</t>
    <rPh sb="0" eb="2">
      <t>セイユ</t>
    </rPh>
    <rPh sb="2" eb="4">
      <t>ニカ</t>
    </rPh>
    <rPh sb="4" eb="7">
      <t>ツイカブン</t>
    </rPh>
    <phoneticPr fontId="1"/>
  </si>
  <si>
    <t>千葉工場</t>
    <rPh sb="0" eb="4">
      <t>チバコウジョウ</t>
    </rPh>
    <phoneticPr fontId="1"/>
  </si>
  <si>
    <t>愛知製油所</t>
    <rPh sb="0" eb="5">
      <t>アイチセイユジョ</t>
    </rPh>
    <phoneticPr fontId="1"/>
  </si>
  <si>
    <t>旧徳山製油所</t>
    <rPh sb="0" eb="1">
      <t>キュウ</t>
    </rPh>
    <rPh sb="1" eb="3">
      <t>トクヤマ</t>
    </rPh>
    <rPh sb="3" eb="6">
      <t>セイユジョ</t>
    </rPh>
    <phoneticPr fontId="1"/>
  </si>
  <si>
    <t>旧徳山工場</t>
    <rPh sb="0" eb="1">
      <t>キュウ</t>
    </rPh>
    <rPh sb="1" eb="3">
      <t>トクヤマ</t>
    </rPh>
    <rPh sb="3" eb="5">
      <t>コウジョウ</t>
    </rPh>
    <phoneticPr fontId="1"/>
  </si>
  <si>
    <t>DB対応含む</t>
    <rPh sb="2" eb="4">
      <t>タイオウ</t>
    </rPh>
    <rPh sb="4" eb="5">
      <t>フク</t>
    </rPh>
    <phoneticPr fontId="1"/>
  </si>
  <si>
    <t>二次対応Excel分</t>
    <rPh sb="0" eb="2">
      <t>ニジ</t>
    </rPh>
    <rPh sb="2" eb="4">
      <t>タイオウ</t>
    </rPh>
    <rPh sb="9" eb="10">
      <t>ブン</t>
    </rPh>
    <phoneticPr fontId="1"/>
  </si>
  <si>
    <t>合計</t>
    <rPh sb="0" eb="2">
      <t>ゴウケイ</t>
    </rPh>
    <phoneticPr fontId="1"/>
  </si>
  <si>
    <t>○PHD更新Excelのその他対応分</t>
    <rPh sb="4" eb="6">
      <t>コウシン</t>
    </rPh>
    <rPh sb="14" eb="15">
      <t>タ</t>
    </rPh>
    <rPh sb="15" eb="17">
      <t>タイオウ</t>
    </rPh>
    <rPh sb="17" eb="18">
      <t>ブン</t>
    </rPh>
    <phoneticPr fontId="1"/>
  </si>
  <si>
    <t>対応内容</t>
    <rPh sb="0" eb="2">
      <t>タイオウ</t>
    </rPh>
    <rPh sb="2" eb="4">
      <t>ナイヨウ</t>
    </rPh>
    <phoneticPr fontId="1"/>
  </si>
  <si>
    <t>千葉工場二次対応</t>
    <rPh sb="0" eb="2">
      <t>チバ</t>
    </rPh>
    <rPh sb="2" eb="4">
      <t>コウジョウ</t>
    </rPh>
    <rPh sb="4" eb="6">
      <t>ニジ</t>
    </rPh>
    <rPh sb="6" eb="8">
      <t>タイオウ</t>
    </rPh>
    <phoneticPr fontId="1"/>
  </si>
  <si>
    <t>オブジェクト名修正対応</t>
    <phoneticPr fontId="1"/>
  </si>
  <si>
    <t>千葉工場運用テスト、初期流動対応</t>
    <rPh sb="0" eb="2">
      <t>チバ</t>
    </rPh>
    <rPh sb="2" eb="4">
      <t>コウジョウ</t>
    </rPh>
    <rPh sb="4" eb="6">
      <t>ウンヨウ</t>
    </rPh>
    <rPh sb="10" eb="12">
      <t>ショキ</t>
    </rPh>
    <rPh sb="12" eb="14">
      <t>リュウドウ</t>
    </rPh>
    <phoneticPr fontId="1"/>
  </si>
  <si>
    <t>徳山工場運用テストサポート対応</t>
    <rPh sb="0" eb="2">
      <t>トクヤマ</t>
    </rPh>
    <rPh sb="2" eb="4">
      <t>コウジョウ</t>
    </rPh>
    <rPh sb="4" eb="6">
      <t>ウンヨウ</t>
    </rPh>
    <rPh sb="13" eb="15">
      <t>タイオウ</t>
    </rPh>
    <phoneticPr fontId="1"/>
  </si>
  <si>
    <t>二次対応運用サポート分</t>
    <rPh sb="0" eb="2">
      <t>ニジ</t>
    </rPh>
    <rPh sb="2" eb="4">
      <t>タイオウ</t>
    </rPh>
    <rPh sb="4" eb="6">
      <t>ウンヨウ</t>
    </rPh>
    <rPh sb="10" eb="11">
      <t>ブン</t>
    </rPh>
    <phoneticPr fontId="1"/>
  </si>
  <si>
    <t>徳山工場初期流動対応</t>
    <rPh sb="0" eb="2">
      <t>トクヤマ</t>
    </rPh>
    <rPh sb="2" eb="4">
      <t>コウジョウ</t>
    </rPh>
    <rPh sb="4" eb="6">
      <t>ショキ</t>
    </rPh>
    <rPh sb="6" eb="8">
      <t>リュウドウ</t>
    </rPh>
    <rPh sb="8" eb="10">
      <t>タイオウ</t>
    </rPh>
    <phoneticPr fontId="1"/>
  </si>
  <si>
    <t>総合計</t>
    <rPh sb="0" eb="1">
      <t>ソウ</t>
    </rPh>
    <rPh sb="1" eb="3">
      <t>ゴウケイ</t>
    </rPh>
    <phoneticPr fontId="1"/>
  </si>
  <si>
    <t>補足</t>
    <rPh sb="0" eb="2">
      <t>ホソク</t>
    </rPh>
    <phoneticPr fontId="1"/>
  </si>
  <si>
    <t>各製油所の更新対応と同時に行ったCPS更新でのOffice2010対応は除外してます。</t>
    <rPh sb="0" eb="4">
      <t>カクセイユジョ</t>
    </rPh>
    <rPh sb="5" eb="7">
      <t>コウシン</t>
    </rPh>
    <rPh sb="7" eb="9">
      <t>タイオウ</t>
    </rPh>
    <rPh sb="10" eb="12">
      <t>ドウジ</t>
    </rPh>
    <rPh sb="13" eb="14">
      <t>オコナ</t>
    </rPh>
    <rPh sb="19" eb="21">
      <t>コウシン</t>
    </rPh>
    <rPh sb="33" eb="35">
      <t>タイオウ</t>
    </rPh>
    <rPh sb="36" eb="38">
      <t>ジョガイ</t>
    </rPh>
    <phoneticPr fontId="1"/>
  </si>
  <si>
    <t>各製油所分はExce対応費用を比率で分配しています。</t>
    <rPh sb="0" eb="4">
      <t>カクセイユジョ</t>
    </rPh>
    <rPh sb="4" eb="5">
      <t>ブン</t>
    </rPh>
    <rPh sb="10" eb="12">
      <t>タイオウ</t>
    </rPh>
    <rPh sb="12" eb="14">
      <t>ヒヨウ</t>
    </rPh>
    <rPh sb="15" eb="17">
      <t>ヒリツ</t>
    </rPh>
    <rPh sb="18" eb="20">
      <t>ブンパイ</t>
    </rPh>
    <phoneticPr fontId="1"/>
  </si>
  <si>
    <t>各製油所の初期流動対応は除外しております。</t>
    <rPh sb="0" eb="4">
      <t>カクセイユジョ</t>
    </rPh>
    <rPh sb="5" eb="7">
      <t>ショキ</t>
    </rPh>
    <rPh sb="7" eb="9">
      <t>リュウドウ</t>
    </rPh>
    <rPh sb="9" eb="11">
      <t>タイオウ</t>
    </rPh>
    <rPh sb="12" eb="14">
      <t>ジョガイ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</si>
</sst>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#,##0_ "/>
    <numFmt numFmtId="177" formatCode="#,##0_);[Red]\(#,##0\)"/>
  </numFmts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176" fontId="0" fillId="0" borderId="0" xfId="0" applyNumberFormat="1">
      <alignment vertical="center"/>
    </xf>
    <xf numFmtId="5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5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7" fontId="0" fillId="0" borderId="8" xfId="0" applyNumberFormat="1" applyBorder="1">
      <alignment vertical="center"/>
    </xf>
    <xf numFmtId="176" fontId="0" fillId="0" borderId="8" xfId="0" applyNumberFormat="1" applyBorder="1">
      <alignment vertical="center"/>
    </xf>
    <xf numFmtId="5" fontId="0" fillId="0" borderId="8" xfId="0" applyNumberFormat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177" fontId="0" fillId="2" borderId="11" xfId="0" applyNumberFormat="1" applyFill="1" applyBorder="1">
      <alignment vertical="center"/>
    </xf>
    <xf numFmtId="176" fontId="0" fillId="2" borderId="11" xfId="0" applyNumberFormat="1" applyFill="1" applyBorder="1">
      <alignment vertical="center"/>
    </xf>
    <xf numFmtId="5" fontId="0" fillId="2" borderId="11" xfId="0" applyNumberFormat="1" applyFill="1" applyBorder="1">
      <alignment vertical="center"/>
    </xf>
    <xf numFmtId="0" fontId="0" fillId="2" borderId="12" xfId="0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177" fontId="2" fillId="3" borderId="5" xfId="0" applyNumberFormat="1" applyFont="1" applyFill="1" applyBorder="1">
      <alignment vertical="center"/>
    </xf>
    <xf numFmtId="176" fontId="2" fillId="3" borderId="5" xfId="0" applyNumberFormat="1" applyFont="1" applyFill="1" applyBorder="1">
      <alignment vertical="center"/>
    </xf>
    <xf numFmtId="5" fontId="2" fillId="3" borderId="5" xfId="0" applyNumberFormat="1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17" xfId="0" applyBorder="1">
      <alignment vertical="center"/>
    </xf>
    <xf numFmtId="5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0" fontId="0" fillId="3" borderId="23" xfId="0" applyFill="1" applyBorder="1">
      <alignment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2" fillId="3" borderId="24" xfId="0" applyFont="1" applyFill="1" applyBorder="1">
      <alignment vertical="center"/>
    </xf>
    <xf numFmtId="176" fontId="3" fillId="0" borderId="13" xfId="0" applyNumberFormat="1" applyFont="1" applyBorder="1">
      <alignment vertical="center"/>
    </xf>
    <xf numFmtId="5" fontId="3" fillId="0" borderId="13" xfId="0" applyNumberFormat="1" applyFont="1" applyBorder="1">
      <alignment vertical="center"/>
    </xf>
    <xf numFmtId="0" fontId="3" fillId="0" borderId="0" xfId="0" applyFont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2" borderId="11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/>
  </sheetViews>
  <sheetFormatPr defaultRowHeight="12.95"/>
  <cols>
    <col min="1" max="1" width="3.85546875" customWidth="1"/>
    <col min="2" max="2" width="19.140625" customWidth="1"/>
    <col min="3" max="3" width="18.5703125" style="3" customWidth="1"/>
    <col min="4" max="4" width="16" style="1" customWidth="1"/>
    <col min="5" max="5" width="13.5703125" style="2" customWidth="1"/>
    <col min="6" max="6" width="28.5703125" customWidth="1"/>
  </cols>
  <sheetData>
    <row r="1" spans="1:6">
      <c r="A1" s="37" t="s">
        <v>0</v>
      </c>
    </row>
    <row r="3" spans="1:6" ht="13.5" thickBot="1">
      <c r="A3" t="s">
        <v>1</v>
      </c>
    </row>
    <row r="4" spans="1:6" ht="13.5" thickBot="1">
      <c r="A4" s="14" t="s">
        <v>2</v>
      </c>
      <c r="B4" s="15" t="s">
        <v>3</v>
      </c>
      <c r="C4" s="16" t="s">
        <v>4</v>
      </c>
      <c r="D4" s="17" t="s">
        <v>5</v>
      </c>
      <c r="E4" s="18" t="s">
        <v>6</v>
      </c>
      <c r="F4" s="19" t="s">
        <v>7</v>
      </c>
    </row>
    <row r="5" spans="1:6">
      <c r="A5" s="42">
        <v>1</v>
      </c>
      <c r="B5" s="43" t="s">
        <v>8</v>
      </c>
      <c r="C5" s="11">
        <v>3532</v>
      </c>
      <c r="D5" s="12">
        <v>223</v>
      </c>
      <c r="E5" s="13">
        <v>1293400</v>
      </c>
      <c r="F5" s="26"/>
    </row>
    <row r="6" spans="1:6">
      <c r="A6" s="9"/>
      <c r="B6" s="10"/>
      <c r="C6" s="12">
        <v>132</v>
      </c>
      <c r="D6" s="12">
        <v>132</v>
      </c>
      <c r="E6" s="13">
        <v>280000</v>
      </c>
      <c r="F6" s="26" t="s">
        <v>9</v>
      </c>
    </row>
    <row r="7" spans="1:6">
      <c r="A7" s="38">
        <v>2</v>
      </c>
      <c r="B7" s="40" t="s">
        <v>10</v>
      </c>
      <c r="C7" s="5">
        <v>4314</v>
      </c>
      <c r="D7" s="6">
        <v>54</v>
      </c>
      <c r="E7" s="7">
        <v>313200</v>
      </c>
      <c r="F7" s="27"/>
    </row>
    <row r="8" spans="1:6">
      <c r="A8" s="39"/>
      <c r="B8" s="41"/>
      <c r="C8" s="5">
        <v>900</v>
      </c>
      <c r="D8" s="6">
        <v>89</v>
      </c>
      <c r="E8" s="7">
        <v>200000</v>
      </c>
      <c r="F8" s="27" t="s">
        <v>11</v>
      </c>
    </row>
    <row r="9" spans="1:6">
      <c r="A9" s="39"/>
      <c r="B9" s="41"/>
      <c r="C9" s="5">
        <v>417</v>
      </c>
      <c r="D9" s="6">
        <v>317</v>
      </c>
      <c r="E9" s="7">
        <v>640000</v>
      </c>
      <c r="F9" s="27" t="s">
        <v>12</v>
      </c>
    </row>
    <row r="10" spans="1:6">
      <c r="A10" s="9"/>
      <c r="B10" s="10"/>
      <c r="C10" s="6">
        <v>219</v>
      </c>
      <c r="D10" s="6">
        <v>219</v>
      </c>
      <c r="E10" s="7">
        <v>464000</v>
      </c>
      <c r="F10" s="27" t="s">
        <v>9</v>
      </c>
    </row>
    <row r="11" spans="1:6">
      <c r="A11" s="8">
        <v>3</v>
      </c>
      <c r="B11" s="4" t="s">
        <v>13</v>
      </c>
      <c r="C11" s="5">
        <v>1731</v>
      </c>
      <c r="D11" s="6">
        <v>820</v>
      </c>
      <c r="E11" s="7">
        <v>3330000</v>
      </c>
      <c r="F11" s="27"/>
    </row>
    <row r="12" spans="1:6">
      <c r="A12" s="8">
        <v>4</v>
      </c>
      <c r="B12" s="4" t="s">
        <v>14</v>
      </c>
      <c r="C12" s="5">
        <v>3628</v>
      </c>
      <c r="D12" s="6">
        <v>348</v>
      </c>
      <c r="E12" s="7">
        <v>2018400</v>
      </c>
      <c r="F12" s="27"/>
    </row>
    <row r="13" spans="1:6">
      <c r="A13" s="8">
        <v>5</v>
      </c>
      <c r="B13" s="4" t="s">
        <v>15</v>
      </c>
      <c r="C13" s="5">
        <v>3641</v>
      </c>
      <c r="D13" s="6">
        <v>244</v>
      </c>
      <c r="E13" s="7">
        <v>1415200</v>
      </c>
      <c r="F13" s="27"/>
    </row>
    <row r="14" spans="1:6">
      <c r="A14" s="38">
        <v>6</v>
      </c>
      <c r="B14" s="40" t="s">
        <v>16</v>
      </c>
      <c r="C14" s="5">
        <v>345</v>
      </c>
      <c r="D14" s="6">
        <v>345</v>
      </c>
      <c r="E14" s="7">
        <v>1200000</v>
      </c>
      <c r="F14" s="27" t="s">
        <v>17</v>
      </c>
    </row>
    <row r="15" spans="1:6">
      <c r="A15" s="9"/>
      <c r="B15" s="10"/>
      <c r="C15" s="5">
        <v>2976</v>
      </c>
      <c r="D15" s="6">
        <v>71</v>
      </c>
      <c r="E15" s="7">
        <v>340000</v>
      </c>
      <c r="F15" s="27" t="s">
        <v>18</v>
      </c>
    </row>
    <row r="16" spans="1:6" ht="13.5" thickBot="1">
      <c r="A16" s="20"/>
      <c r="B16" s="21" t="s">
        <v>19</v>
      </c>
      <c r="C16" s="22">
        <f>SUM(C5:C15)</f>
        <v>21835</v>
      </c>
      <c r="D16" s="23">
        <f>SUM(D5:D15)</f>
        <v>2862</v>
      </c>
      <c r="E16" s="24">
        <f>SUM(E5:E15)</f>
        <v>11494200</v>
      </c>
      <c r="F16" s="25"/>
    </row>
    <row r="19" spans="1:6" ht="13.5" thickBot="1">
      <c r="A19" t="s">
        <v>20</v>
      </c>
    </row>
    <row r="20" spans="1:6" ht="13.5" thickBot="1">
      <c r="A20" s="14" t="s">
        <v>2</v>
      </c>
      <c r="B20" s="47" t="s">
        <v>21</v>
      </c>
      <c r="C20" s="47"/>
      <c r="D20" s="47"/>
      <c r="E20" s="18" t="s">
        <v>6</v>
      </c>
      <c r="F20" s="19" t="s">
        <v>7</v>
      </c>
    </row>
    <row r="21" spans="1:6">
      <c r="A21" s="28">
        <v>1</v>
      </c>
      <c r="B21" s="48" t="s">
        <v>22</v>
      </c>
      <c r="C21" s="49"/>
      <c r="D21" s="50"/>
      <c r="E21" s="29">
        <v>2376000</v>
      </c>
      <c r="F21" s="30" t="s">
        <v>23</v>
      </c>
    </row>
    <row r="22" spans="1:6">
      <c r="A22" s="8">
        <v>2</v>
      </c>
      <c r="B22" s="44" t="s">
        <v>24</v>
      </c>
      <c r="C22" s="45"/>
      <c r="D22" s="46"/>
      <c r="E22" s="7">
        <v>1440000</v>
      </c>
      <c r="F22" s="27"/>
    </row>
    <row r="23" spans="1:6">
      <c r="A23" s="8">
        <v>3</v>
      </c>
      <c r="B23" s="44" t="s">
        <v>25</v>
      </c>
      <c r="C23" s="45"/>
      <c r="D23" s="46"/>
      <c r="E23" s="7">
        <v>540000</v>
      </c>
      <c r="F23" s="27" t="s">
        <v>26</v>
      </c>
    </row>
    <row r="24" spans="1:6">
      <c r="A24" s="8">
        <v>4</v>
      </c>
      <c r="B24" s="44" t="s">
        <v>27</v>
      </c>
      <c r="C24" s="45"/>
      <c r="D24" s="46"/>
      <c r="E24" s="7">
        <v>800000</v>
      </c>
      <c r="F24" s="27"/>
    </row>
    <row r="25" spans="1:6" ht="13.5" thickBot="1">
      <c r="A25" s="31"/>
      <c r="B25" s="34" t="s">
        <v>19</v>
      </c>
      <c r="C25" s="32"/>
      <c r="D25" s="33"/>
      <c r="E25" s="24">
        <f>SUM(E21:E24)</f>
        <v>5156000</v>
      </c>
      <c r="F25" s="25"/>
    </row>
    <row r="27" spans="1:6" ht="13.5" thickBot="1">
      <c r="D27" s="35" t="s">
        <v>28</v>
      </c>
      <c r="E27" s="36">
        <f>SUM(E16,E25)</f>
        <v>16650200</v>
      </c>
    </row>
    <row r="29" spans="1:6">
      <c r="B29" t="s">
        <v>29</v>
      </c>
    </row>
    <row r="30" spans="1:6">
      <c r="B30" t="s">
        <v>30</v>
      </c>
    </row>
    <row r="31" spans="1:6">
      <c r="B31" t="s">
        <v>31</v>
      </c>
    </row>
    <row r="32" spans="1:6">
      <c r="B32" t="s">
        <v>32</v>
      </c>
    </row>
  </sheetData>
  <mergeCells count="5">
    <mergeCell ref="B20:D20"/>
    <mergeCell ref="B24:D24"/>
    <mergeCell ref="B21:D21"/>
    <mergeCell ref="B22:D22"/>
    <mergeCell ref="B23:D23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1792B8-5ABC-4D9A-8345-5E5D9ED4341E}"/>
</file>

<file path=customXml/itemProps2.xml><?xml version="1.0" encoding="utf-8"?>
<ds:datastoreItem xmlns:ds="http://schemas.openxmlformats.org/officeDocument/2006/customXml" ds:itemID="{A53D945F-EAD4-4FF9-854C-E61FB2C9D784}"/>
</file>

<file path=customXml/itemProps3.xml><?xml version="1.0" encoding="utf-8"?>
<ds:datastoreItem xmlns:ds="http://schemas.openxmlformats.org/officeDocument/2006/customXml" ds:itemID="{451F3A2D-A969-4EEA-8A45-7207F9FA95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s-tohya</dc:creator>
  <cp:keywords/>
  <dc:description/>
  <cp:lastModifiedBy>吉田諒</cp:lastModifiedBy>
  <cp:revision/>
  <dcterms:created xsi:type="dcterms:W3CDTF">2017-06-15T02:18:46Z</dcterms:created>
  <dcterms:modified xsi:type="dcterms:W3CDTF">2025-03-24T08:41:31Z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