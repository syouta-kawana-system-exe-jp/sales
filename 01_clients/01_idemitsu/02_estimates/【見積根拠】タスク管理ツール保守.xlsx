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stemexe2021-my.sharepoint.com/personal/kouji_nomura_system-exe_jp/Documents/Microsoft Teams チャット ファイル/"/>
    </mc:Choice>
  </mc:AlternateContent>
  <xr:revisionPtr revIDLastSave="25" documentId="13_ncr:1_{8D74C2A8-D54B-41D2-8E83-7A36CAA6D542}" xr6:coauthVersionLast="47" xr6:coauthVersionMax="47" xr10:uidLastSave="{E9C03EBB-BDE6-472C-896C-1257F42A3D30}"/>
  <bookViews>
    <workbookView xWindow="-120" yWindow="-120" windowWidth="29040" windowHeight="15720" xr2:uid="{CF50B864-14DA-4E3D-A3D8-7C3C328AEE38}"/>
  </bookViews>
  <sheets>
    <sheet name="時間変更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L15" i="2"/>
  <c r="K15" i="2"/>
  <c r="L10" i="2"/>
  <c r="L9" i="2"/>
  <c r="K9" i="2"/>
  <c r="K10" i="2" s="1"/>
  <c r="K8" i="2"/>
  <c r="L8" i="2" s="1"/>
  <c r="K7" i="2"/>
  <c r="L7" i="2" s="1"/>
  <c r="K6" i="2"/>
  <c r="L6" i="2" s="1"/>
  <c r="K5" i="2"/>
  <c r="L5" i="2" s="1"/>
  <c r="L4" i="2"/>
  <c r="K4" i="2"/>
  <c r="C9" i="2"/>
  <c r="E12" i="2" l="1"/>
  <c r="F12" i="2" s="1"/>
  <c r="E11" i="2"/>
  <c r="F11" i="2" s="1"/>
  <c r="C13" i="2"/>
  <c r="E8" i="2"/>
  <c r="F8" i="2" s="1"/>
  <c r="J8" i="2" s="1"/>
  <c r="E7" i="2"/>
  <c r="F7" i="2" s="1"/>
  <c r="E6" i="2"/>
  <c r="F6" i="2" s="1"/>
  <c r="H6" i="2" s="1"/>
  <c r="E5" i="2"/>
  <c r="E4" i="2"/>
  <c r="F4" i="2" s="1"/>
  <c r="J4" i="2" s="1"/>
  <c r="E9" i="2" l="1"/>
  <c r="E10" i="2" s="1"/>
  <c r="H12" i="2"/>
  <c r="J12" i="2"/>
  <c r="J7" i="2"/>
  <c r="H7" i="2"/>
  <c r="J11" i="2"/>
  <c r="J13" i="2" s="1"/>
  <c r="H11" i="2"/>
  <c r="H8" i="2"/>
  <c r="J6" i="2"/>
  <c r="F5" i="2"/>
  <c r="F9" i="2"/>
  <c r="F10" i="2" s="1"/>
  <c r="H4" i="2"/>
  <c r="K12" i="2" l="1"/>
  <c r="L12" i="2" s="1"/>
  <c r="H13" i="2"/>
  <c r="K11" i="2"/>
  <c r="J5" i="2"/>
  <c r="J9" i="2" s="1"/>
  <c r="J10" i="2" s="1"/>
  <c r="H5" i="2"/>
  <c r="H9" i="2" s="1"/>
  <c r="H10" i="2" s="1"/>
  <c r="L11" i="2" l="1"/>
  <c r="K13" i="2"/>
  <c r="H15" i="2"/>
  <c r="J14" i="2"/>
  <c r="J15" i="2"/>
  <c r="K14" i="2" l="1"/>
  <c r="L13" i="2"/>
  <c r="J16" i="2"/>
  <c r="H16" i="2"/>
  <c r="K16" i="2" l="1"/>
  <c r="L16" i="2" s="1"/>
  <c r="L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野村康二</author>
  </authors>
  <commentList>
    <comment ref="C7" authorId="0" shapeId="0" xr:uid="{1F46967E-4C22-48DC-8B0A-6BF32DF91485}">
      <text>
        <r>
          <rPr>
            <b/>
            <sz val="9"/>
            <color indexed="81"/>
            <rFont val="MS P ゴシック"/>
            <family val="3"/>
            <charset val="128"/>
          </rPr>
          <t>契約時間には計上しない</t>
        </r>
      </text>
    </comment>
  </commentList>
</comments>
</file>

<file path=xl/sharedStrings.xml><?xml version="1.0" encoding="utf-8"?>
<sst xmlns="http://schemas.openxmlformats.org/spreadsheetml/2006/main" count="45" uniqueCount="31">
  <si>
    <t>タイトル</t>
  </si>
  <si>
    <t>作業概要</t>
  </si>
  <si>
    <t>1カ月の</t>
  </si>
  <si>
    <t>売上</t>
    <rPh sb="0" eb="2">
      <t>ウリアゲ</t>
    </rPh>
    <phoneticPr fontId="8"/>
  </si>
  <si>
    <t>経費</t>
    <rPh sb="0" eb="2">
      <t>ケイヒ</t>
    </rPh>
    <phoneticPr fontId="8"/>
  </si>
  <si>
    <r>
      <t>想定工数</t>
    </r>
    <r>
      <rPr>
        <b/>
        <sz val="11"/>
        <color rgb="FFFFFFFF"/>
        <rFont val="BIZ UDPゴシック"/>
        <family val="3"/>
        <charset val="128"/>
      </rPr>
      <t>（時間）</t>
    </r>
  </si>
  <si>
    <t>担当</t>
    <rPh sb="0" eb="2">
      <t>タントウ</t>
    </rPh>
    <phoneticPr fontId="8"/>
  </si>
  <si>
    <t>人日</t>
    <rPh sb="0" eb="2">
      <t>ニンニチ</t>
    </rPh>
    <phoneticPr fontId="8"/>
  </si>
  <si>
    <t>人月</t>
    <rPh sb="0" eb="2">
      <t>ニンゲツ</t>
    </rPh>
    <phoneticPr fontId="8"/>
  </si>
  <si>
    <t>単価</t>
    <rPh sb="0" eb="2">
      <t>タンカ</t>
    </rPh>
    <phoneticPr fontId="8"/>
  </si>
  <si>
    <t>金額</t>
    <rPh sb="0" eb="2">
      <t>キンガク</t>
    </rPh>
    <phoneticPr fontId="8"/>
  </si>
  <si>
    <t>粗利</t>
  </si>
  <si>
    <t>粗利率</t>
  </si>
  <si>
    <t>管理</t>
  </si>
  <si>
    <t>問合せに関する受付・調査・回答</t>
  </si>
  <si>
    <t>JP</t>
    <phoneticPr fontId="8"/>
  </si>
  <si>
    <t>作業</t>
  </si>
  <si>
    <t>障害発生時の原因調査・切り分けおよび復旧作業</t>
  </si>
  <si>
    <t>VT</t>
    <phoneticPr fontId="8"/>
  </si>
  <si>
    <t>改修</t>
  </si>
  <si>
    <t>軽微なアプリケーション改修</t>
  </si>
  <si>
    <t>コミュニケーター</t>
  </si>
  <si>
    <t>オフショアへの作業依頼、調査・改修結果の日本への連携に伴う翻訳</t>
  </si>
  <si>
    <t>定例会議</t>
  </si>
  <si>
    <t>月次での保守作業報告会議</t>
  </si>
  <si>
    <t>合計</t>
    <rPh sb="0" eb="2">
      <t>ゴウケイ</t>
    </rPh>
    <phoneticPr fontId="8"/>
  </si>
  <si>
    <t>3ヶ月合計</t>
    <rPh sb="2" eb="3">
      <t>ゲツ</t>
    </rPh>
    <rPh sb="3" eb="5">
      <t>ゴウケイ</t>
    </rPh>
    <phoneticPr fontId="8"/>
  </si>
  <si>
    <t>システム理解、引継ぎ※初月のみ</t>
    <rPh sb="4" eb="6">
      <t>リカイ</t>
    </rPh>
    <rPh sb="7" eb="9">
      <t>ヒキツ</t>
    </rPh>
    <rPh sb="11" eb="13">
      <t>ショゲツ</t>
    </rPh>
    <phoneticPr fontId="8"/>
  </si>
  <si>
    <t>1Q合計</t>
    <rPh sb="2" eb="4">
      <t>ゴウケイ</t>
    </rPh>
    <phoneticPr fontId="8"/>
  </si>
  <si>
    <t>2Q以降</t>
    <rPh sb="2" eb="4">
      <t>イコウ</t>
    </rPh>
    <phoneticPr fontId="8"/>
  </si>
  <si>
    <t>年間合計</t>
    <rPh sb="0" eb="4">
      <t>ネンカンゴウケイ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</si>
</sst>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3"/>
      <color rgb="FFFFFFFF"/>
      <name val="BIZ UDPゴシック"/>
      <family val="3"/>
      <charset val="128"/>
    </font>
    <font>
      <b/>
      <sz val="11"/>
      <color rgb="FFFFFFFF"/>
      <name val="BIZ UDPゴシック"/>
      <family val="3"/>
      <charset val="128"/>
    </font>
    <font>
      <sz val="12"/>
      <color rgb="FF595959"/>
      <name val="BIZ UDPゴシック"/>
      <family val="3"/>
      <charset val="128"/>
    </font>
    <font>
      <sz val="12"/>
      <color rgb="FFFF0000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9A3B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2" borderId="5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6" fillId="3" borderId="4" xfId="0" applyFont="1" applyFill="1" applyBorder="1" applyAlignment="1">
      <alignment horizontal="left" vertical="center" wrapText="1" readingOrder="1"/>
    </xf>
    <xf numFmtId="0" fontId="7" fillId="3" borderId="4" xfId="0" applyFont="1" applyFill="1" applyBorder="1" applyAlignment="1">
      <alignment horizontal="left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6" fontId="0" fillId="0" borderId="2" xfId="1" applyFont="1" applyBorder="1">
      <alignment vertical="center"/>
    </xf>
    <xf numFmtId="6" fontId="0" fillId="0" borderId="2" xfId="0" applyNumberFormat="1" applyBorder="1">
      <alignment vertical="center"/>
    </xf>
    <xf numFmtId="0" fontId="0" fillId="0" borderId="9" xfId="0" applyBorder="1">
      <alignment vertical="center"/>
    </xf>
    <xf numFmtId="0" fontId="0" fillId="4" borderId="2" xfId="0" applyFill="1" applyBorder="1">
      <alignment vertical="center"/>
    </xf>
    <xf numFmtId="6" fontId="0" fillId="4" borderId="2" xfId="1" applyFont="1" applyFill="1" applyBorder="1">
      <alignment vertical="center"/>
    </xf>
    <xf numFmtId="0" fontId="0" fillId="4" borderId="9" xfId="0" applyFill="1" applyBorder="1">
      <alignment vertical="center"/>
    </xf>
    <xf numFmtId="6" fontId="0" fillId="4" borderId="9" xfId="1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6" fontId="0" fillId="4" borderId="2" xfId="0" applyNumberFormat="1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 readingOrder="1"/>
    </xf>
    <xf numFmtId="0" fontId="0" fillId="0" borderId="10" xfId="0" applyBorder="1">
      <alignment vertical="center"/>
    </xf>
    <xf numFmtId="6" fontId="0" fillId="0" borderId="10" xfId="0" applyNumberFormat="1" applyBorder="1">
      <alignment vertical="center"/>
    </xf>
    <xf numFmtId="9" fontId="0" fillId="0" borderId="10" xfId="0" applyNumberFormat="1" applyBorder="1">
      <alignment vertical="center"/>
    </xf>
    <xf numFmtId="6" fontId="0" fillId="4" borderId="10" xfId="1" applyFont="1" applyFill="1" applyBorder="1">
      <alignment vertical="center"/>
    </xf>
    <xf numFmtId="9" fontId="0" fillId="4" borderId="10" xfId="0" applyNumberFormat="1" applyFill="1" applyBorder="1">
      <alignment vertical="center"/>
    </xf>
    <xf numFmtId="6" fontId="0" fillId="4" borderId="10" xfId="0" applyNumberFormat="1" applyFill="1" applyBorder="1">
      <alignment vertical="center"/>
    </xf>
    <xf numFmtId="0" fontId="0" fillId="0" borderId="1" xfId="0" applyBorder="1">
      <alignment vertical="center"/>
    </xf>
    <xf numFmtId="6" fontId="0" fillId="0" borderId="1" xfId="0" applyNumberFormat="1" applyBorder="1">
      <alignment vertical="center"/>
    </xf>
    <xf numFmtId="6" fontId="0" fillId="4" borderId="1" xfId="1" applyFont="1" applyFill="1" applyBorder="1">
      <alignment vertical="center"/>
    </xf>
    <xf numFmtId="6" fontId="0" fillId="4" borderId="1" xfId="0" applyNumberFormat="1" applyFill="1" applyBorder="1">
      <alignment vertical="center"/>
    </xf>
    <xf numFmtId="0" fontId="0" fillId="0" borderId="12" xfId="0" applyBorder="1">
      <alignment vertical="center"/>
    </xf>
    <xf numFmtId="0" fontId="0" fillId="0" borderId="0" xfId="0" applyAlignment="1">
      <alignment vertical="center" wrapText="1"/>
    </xf>
    <xf numFmtId="0" fontId="0" fillId="0" borderId="13" xfId="0" applyBorder="1">
      <alignment vertical="center"/>
    </xf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E01B-69F8-4417-90C7-DC0FF4FACA03}">
  <dimension ref="A2:L16"/>
  <sheetViews>
    <sheetView tabSelected="1" workbookViewId="0">
      <selection activeCell="H15" sqref="H15"/>
    </sheetView>
  </sheetViews>
  <sheetFormatPr defaultRowHeight="18.75"/>
  <cols>
    <col min="2" max="2" width="50.25" customWidth="1"/>
    <col min="7" max="7" width="11.75" bestFit="1" customWidth="1"/>
    <col min="8" max="8" width="13.375" customWidth="1"/>
    <col min="11" max="11" width="13.875" customWidth="1"/>
  </cols>
  <sheetData>
    <row r="2" spans="1:12">
      <c r="A2" s="34" t="s">
        <v>0</v>
      </c>
      <c r="B2" s="34" t="s">
        <v>1</v>
      </c>
      <c r="C2" s="2" t="s">
        <v>2</v>
      </c>
      <c r="E2" s="32"/>
      <c r="F2" s="32"/>
      <c r="G2" s="36" t="s">
        <v>3</v>
      </c>
      <c r="H2" s="36"/>
      <c r="I2" s="37" t="s">
        <v>4</v>
      </c>
      <c r="J2" s="38"/>
    </row>
    <row r="3" spans="1:12" ht="30">
      <c r="A3" s="35"/>
      <c r="B3" s="35"/>
      <c r="C3" s="6" t="s">
        <v>5</v>
      </c>
      <c r="D3" s="27" t="s">
        <v>6</v>
      </c>
      <c r="E3" s="21" t="s">
        <v>7</v>
      </c>
      <c r="F3" s="21" t="s">
        <v>8</v>
      </c>
      <c r="G3" s="33" t="s">
        <v>9</v>
      </c>
      <c r="H3" s="31" t="s">
        <v>10</v>
      </c>
      <c r="I3" s="1" t="s">
        <v>9</v>
      </c>
      <c r="J3" s="27" t="s">
        <v>10</v>
      </c>
      <c r="K3" s="21" t="s">
        <v>11</v>
      </c>
      <c r="L3" s="21" t="s">
        <v>12</v>
      </c>
    </row>
    <row r="4" spans="1:12">
      <c r="A4" s="3" t="s">
        <v>13</v>
      </c>
      <c r="B4" s="3" t="s">
        <v>14</v>
      </c>
      <c r="C4" s="7">
        <v>6</v>
      </c>
      <c r="D4" s="1" t="s">
        <v>15</v>
      </c>
      <c r="E4" s="31">
        <f>C4/8</f>
        <v>0.75</v>
      </c>
      <c r="F4" s="31">
        <f>E4/20</f>
        <v>3.7499999999999999E-2</v>
      </c>
      <c r="G4" s="9">
        <v>1400000</v>
      </c>
      <c r="H4" s="10">
        <f>ROUNDUP(F4*G4,-3)</f>
        <v>53000</v>
      </c>
      <c r="I4" s="9">
        <v>520000</v>
      </c>
      <c r="J4" s="28">
        <f>F4*I4</f>
        <v>19500</v>
      </c>
      <c r="K4" s="22">
        <f>H4-J4</f>
        <v>33500</v>
      </c>
      <c r="L4" s="23">
        <f>K4/H4</f>
        <v>0.63207547169811318</v>
      </c>
    </row>
    <row r="5" spans="1:12">
      <c r="A5" s="3" t="s">
        <v>16</v>
      </c>
      <c r="B5" s="3" t="s">
        <v>17</v>
      </c>
      <c r="C5" s="7">
        <v>4</v>
      </c>
      <c r="D5" s="1" t="s">
        <v>18</v>
      </c>
      <c r="E5" s="1">
        <f>C5/8</f>
        <v>0.5</v>
      </c>
      <c r="F5" s="1">
        <f t="shared" ref="F5:F8" si="0">E5/20</f>
        <v>2.5000000000000001E-2</v>
      </c>
      <c r="G5" s="9">
        <v>700000</v>
      </c>
      <c r="H5" s="10">
        <f>ROUNDUP(F5*G5,-3)</f>
        <v>18000</v>
      </c>
      <c r="I5" s="9">
        <v>350000</v>
      </c>
      <c r="J5" s="28">
        <f t="shared" ref="J5:J8" si="1">F5*I5</f>
        <v>8750</v>
      </c>
      <c r="K5" s="22">
        <f t="shared" ref="K5:K8" si="2">H5-J5</f>
        <v>9250</v>
      </c>
      <c r="L5" s="23">
        <f t="shared" ref="L5:L10" si="3">K5/H5</f>
        <v>0.51388888888888884</v>
      </c>
    </row>
    <row r="6" spans="1:12">
      <c r="A6" s="3" t="s">
        <v>19</v>
      </c>
      <c r="B6" s="3" t="s">
        <v>20</v>
      </c>
      <c r="C6" s="7">
        <v>8</v>
      </c>
      <c r="D6" s="1" t="s">
        <v>18</v>
      </c>
      <c r="E6" s="1">
        <f>C6/8</f>
        <v>1</v>
      </c>
      <c r="F6" s="1">
        <f t="shared" si="0"/>
        <v>0.05</v>
      </c>
      <c r="G6" s="9">
        <v>700000</v>
      </c>
      <c r="H6" s="10">
        <f>ROUNDUP(F6*G6,-3)</f>
        <v>35000</v>
      </c>
      <c r="I6" s="9">
        <v>350000</v>
      </c>
      <c r="J6" s="28">
        <f t="shared" si="1"/>
        <v>17500</v>
      </c>
      <c r="K6" s="22">
        <f t="shared" si="2"/>
        <v>17500</v>
      </c>
      <c r="L6" s="23">
        <f t="shared" si="3"/>
        <v>0.5</v>
      </c>
    </row>
    <row r="7" spans="1:12" ht="28.5">
      <c r="A7" s="4" t="s">
        <v>21</v>
      </c>
      <c r="B7" s="5" t="s">
        <v>22</v>
      </c>
      <c r="C7" s="20">
        <v>4</v>
      </c>
      <c r="D7" s="1" t="s">
        <v>18</v>
      </c>
      <c r="E7" s="1">
        <f>C7/8</f>
        <v>0.5</v>
      </c>
      <c r="F7" s="1">
        <f t="shared" si="0"/>
        <v>2.5000000000000001E-2</v>
      </c>
      <c r="G7" s="9">
        <v>700000</v>
      </c>
      <c r="H7" s="10">
        <f>ROUNDUP(F7*G7,-3)</f>
        <v>18000</v>
      </c>
      <c r="I7" s="9">
        <v>350000</v>
      </c>
      <c r="J7" s="28">
        <f t="shared" si="1"/>
        <v>8750</v>
      </c>
      <c r="K7" s="22">
        <f t="shared" si="2"/>
        <v>9250</v>
      </c>
      <c r="L7" s="23">
        <f t="shared" si="3"/>
        <v>0.51388888888888884</v>
      </c>
    </row>
    <row r="8" spans="1:12">
      <c r="A8" s="3" t="s">
        <v>23</v>
      </c>
      <c r="B8" s="3" t="s">
        <v>24</v>
      </c>
      <c r="C8" s="8">
        <v>2</v>
      </c>
      <c r="D8" s="1" t="s">
        <v>15</v>
      </c>
      <c r="E8" s="1">
        <f>C8/8</f>
        <v>0.25</v>
      </c>
      <c r="F8" s="1">
        <f t="shared" si="0"/>
        <v>1.2500000000000001E-2</v>
      </c>
      <c r="G8" s="9">
        <v>1400000</v>
      </c>
      <c r="H8" s="10">
        <f>ROUNDUP(F8*G8,-3)</f>
        <v>18000</v>
      </c>
      <c r="I8" s="9">
        <v>520000</v>
      </c>
      <c r="J8" s="28">
        <f t="shared" si="1"/>
        <v>6500</v>
      </c>
      <c r="K8" s="22">
        <f t="shared" si="2"/>
        <v>11500</v>
      </c>
      <c r="L8" s="23">
        <f t="shared" si="3"/>
        <v>0.63888888888888884</v>
      </c>
    </row>
    <row r="9" spans="1:12">
      <c r="C9" s="19">
        <f>SUM(C4:C8)-C7</f>
        <v>20</v>
      </c>
      <c r="D9" s="1"/>
      <c r="E9" s="1">
        <f>SUM(E4:E8)</f>
        <v>3</v>
      </c>
      <c r="F9" s="1">
        <f>SUM(F4:F8)</f>
        <v>0.15000000000000002</v>
      </c>
      <c r="G9" s="12" t="s">
        <v>25</v>
      </c>
      <c r="H9" s="13">
        <f>SUM(H4:H8)</f>
        <v>142000</v>
      </c>
      <c r="I9" s="12" t="s">
        <v>25</v>
      </c>
      <c r="J9" s="29">
        <f>SUM(J4:J8)</f>
        <v>61000</v>
      </c>
      <c r="K9" s="24">
        <f>SUM(K4:K8)</f>
        <v>81000</v>
      </c>
      <c r="L9" s="25">
        <f t="shared" si="3"/>
        <v>0.57042253521126762</v>
      </c>
    </row>
    <row r="10" spans="1:12">
      <c r="E10" s="11">
        <f>E9*3</f>
        <v>9</v>
      </c>
      <c r="F10" s="11">
        <f>F9*3</f>
        <v>0.45000000000000007</v>
      </c>
      <c r="G10" s="14" t="s">
        <v>26</v>
      </c>
      <c r="H10" s="15">
        <f>H9*3</f>
        <v>426000</v>
      </c>
      <c r="I10" s="12" t="s">
        <v>26</v>
      </c>
      <c r="J10" s="29">
        <f>J9*3</f>
        <v>183000</v>
      </c>
      <c r="K10" s="24">
        <f>K9*3</f>
        <v>243000</v>
      </c>
      <c r="L10" s="25">
        <f t="shared" si="3"/>
        <v>0.57042253521126762</v>
      </c>
    </row>
    <row r="11" spans="1:12">
      <c r="B11" s="16" t="s">
        <v>27</v>
      </c>
      <c r="C11" s="39">
        <v>16</v>
      </c>
      <c r="D11" s="1" t="s">
        <v>15</v>
      </c>
      <c r="E11" s="1">
        <f>C11/8</f>
        <v>2</v>
      </c>
      <c r="F11" s="1">
        <f>E11/20</f>
        <v>0.1</v>
      </c>
      <c r="G11" s="9">
        <v>1400000</v>
      </c>
      <c r="H11" s="10">
        <f>ROUNDUP(F11*G11,-3)</f>
        <v>140000</v>
      </c>
      <c r="I11" s="9">
        <v>520000</v>
      </c>
      <c r="J11" s="28">
        <f t="shared" ref="J11:J12" si="4">F11*I11</f>
        <v>52000</v>
      </c>
      <c r="K11" s="22">
        <f t="shared" ref="K11:K12" si="5">H11-J11</f>
        <v>88000</v>
      </c>
      <c r="L11" s="23">
        <f t="shared" ref="L11:L16" si="6">K11/H11</f>
        <v>0.62857142857142856</v>
      </c>
    </row>
    <row r="12" spans="1:12">
      <c r="B12" s="1"/>
      <c r="C12" s="17">
        <v>0</v>
      </c>
      <c r="D12" s="1" t="s">
        <v>18</v>
      </c>
      <c r="E12" s="1">
        <f>C12/8</f>
        <v>0</v>
      </c>
      <c r="F12" s="1">
        <f t="shared" ref="F12" si="7">E12/20</f>
        <v>0</v>
      </c>
      <c r="G12" s="9">
        <v>700000</v>
      </c>
      <c r="H12" s="10">
        <f>ROUNDUP(F12*G12,-3)</f>
        <v>0</v>
      </c>
      <c r="I12" s="9">
        <v>350000</v>
      </c>
      <c r="J12" s="28">
        <f t="shared" si="4"/>
        <v>0</v>
      </c>
      <c r="K12" s="22">
        <f t="shared" si="5"/>
        <v>0</v>
      </c>
      <c r="L12" s="23" t="e">
        <f t="shared" si="6"/>
        <v>#DIV/0!</v>
      </c>
    </row>
    <row r="13" spans="1:12">
      <c r="C13" s="19">
        <f>SUM(C9:C12)</f>
        <v>36</v>
      </c>
      <c r="G13" s="12" t="s">
        <v>25</v>
      </c>
      <c r="H13" s="13">
        <f>SUM(H11:H12)</f>
        <v>140000</v>
      </c>
      <c r="I13" s="12" t="s">
        <v>25</v>
      </c>
      <c r="J13" s="29">
        <f>SUM(J11:J12)</f>
        <v>52000</v>
      </c>
      <c r="K13" s="24">
        <f>SUM(K11:K12)</f>
        <v>88000</v>
      </c>
      <c r="L13" s="25">
        <f t="shared" si="6"/>
        <v>0.62857142857142856</v>
      </c>
    </row>
    <row r="14" spans="1:12">
      <c r="G14" s="12" t="s">
        <v>28</v>
      </c>
      <c r="H14" s="18">
        <f>(H10+H13)-142000</f>
        <v>424000</v>
      </c>
      <c r="I14" s="12" t="s">
        <v>28</v>
      </c>
      <c r="J14" s="30">
        <f>SUM(J10+J13)</f>
        <v>235000</v>
      </c>
      <c r="K14" s="26">
        <f>SUM(K10+K13)</f>
        <v>331000</v>
      </c>
      <c r="L14" s="25">
        <f t="shared" si="6"/>
        <v>0.78066037735849059</v>
      </c>
    </row>
    <row r="15" spans="1:12">
      <c r="G15" s="12" t="s">
        <v>29</v>
      </c>
      <c r="H15" s="18">
        <f>H10</f>
        <v>426000</v>
      </c>
      <c r="I15" s="12" t="s">
        <v>29</v>
      </c>
      <c r="J15" s="30">
        <f>J10</f>
        <v>183000</v>
      </c>
      <c r="K15" s="26">
        <f>K10</f>
        <v>243000</v>
      </c>
      <c r="L15" s="25">
        <f t="shared" si="6"/>
        <v>0.57042253521126762</v>
      </c>
    </row>
    <row r="16" spans="1:12">
      <c r="G16" s="12" t="s">
        <v>30</v>
      </c>
      <c r="H16" s="18">
        <f>H14+(H15*3)</f>
        <v>1702000</v>
      </c>
      <c r="I16" s="12" t="s">
        <v>30</v>
      </c>
      <c r="J16" s="30">
        <f>J14+(J15*3)</f>
        <v>784000</v>
      </c>
      <c r="K16" s="26">
        <f>K14+(K15*3)</f>
        <v>1060000</v>
      </c>
      <c r="L16" s="25">
        <f t="shared" si="6"/>
        <v>0.62279670975323154</v>
      </c>
    </row>
  </sheetData>
  <mergeCells count="4">
    <mergeCell ref="A2:A3"/>
    <mergeCell ref="B2:B3"/>
    <mergeCell ref="G2:H2"/>
    <mergeCell ref="I2:J2"/>
  </mergeCells>
  <phoneticPr fontId="8"/>
  <pageMargins left="0.7" right="0.7" top="0.75" bottom="0.75" header="0.3" footer="0.3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7CC28B-418D-4387-8EA1-6DC9D06B9345}"/>
</file>

<file path=customXml/itemProps2.xml><?xml version="1.0" encoding="utf-8"?>
<ds:datastoreItem xmlns:ds="http://schemas.openxmlformats.org/officeDocument/2006/customXml" ds:itemID="{9FCA2A5F-CDD8-434C-A104-0768D855971B}"/>
</file>

<file path=customXml/itemProps3.xml><?xml version="1.0" encoding="utf-8"?>
<ds:datastoreItem xmlns:ds="http://schemas.openxmlformats.org/officeDocument/2006/customXml" ds:itemID="{934E46BF-92EC-4297-87B1-667FCFD40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（株）システムエグゼ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野村康二</dc:creator>
  <cp:keywords/>
  <dc:description/>
  <cp:lastModifiedBy>髙浦祐朗</cp:lastModifiedBy>
  <cp:revision/>
  <dcterms:created xsi:type="dcterms:W3CDTF">2025-06-25T07:20:53Z</dcterms:created>
  <dcterms:modified xsi:type="dcterms:W3CDTF">2025-07-16T02:02:36Z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