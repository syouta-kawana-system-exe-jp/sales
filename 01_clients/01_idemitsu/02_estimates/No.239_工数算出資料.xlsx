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C:\DataFile\02.業務\01.出光興産\60.出光資格総合サイト\00.管理\見積関連\20251016_2026年度改修\"/>
    </mc:Choice>
  </mc:AlternateContent>
  <xr:revisionPtr revIDLastSave="0" documentId="13_ncr:1_{D0B79500-2EB4-4B39-94FF-51380DAF26DE}" xr6:coauthVersionLast="47" xr6:coauthVersionMax="47" xr10:uidLastSave="{00000000-0000-0000-0000-000000000000}"/>
  <bookViews>
    <workbookView xWindow="-108" yWindow="-108" windowWidth="23256" windowHeight="13896" xr2:uid="{F4BEF80D-1229-4D9C-AD8B-DE44CFF6B688}"/>
  </bookViews>
  <sheets>
    <sheet name="各概算工数" sheetId="1" r:id="rId1"/>
    <sheet name="合計計算用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H2" i="3"/>
  <c r="I91" i="1"/>
  <c r="C3" i="3"/>
  <c r="H3" i="3"/>
  <c r="H87" i="1"/>
  <c r="I87" i="1" s="1"/>
  <c r="H76" i="1"/>
  <c r="I76" i="1" s="1"/>
  <c r="H72" i="1"/>
  <c r="I72" i="1"/>
  <c r="C4" i="3"/>
  <c r="B6" i="3"/>
  <c r="I62" i="1"/>
  <c r="H62" i="1"/>
  <c r="I59" i="1"/>
  <c r="I55" i="1"/>
  <c r="I51" i="1"/>
  <c r="I48" i="1"/>
  <c r="I42" i="1"/>
  <c r="H42" i="1"/>
  <c r="H48" i="1"/>
  <c r="H59" i="1"/>
  <c r="H55" i="1"/>
  <c r="F90" i="1"/>
  <c r="F87" i="1"/>
  <c r="F83" i="1"/>
  <c r="F79" i="1"/>
  <c r="F76" i="1"/>
  <c r="F72" i="1"/>
  <c r="B7" i="3" l="1"/>
  <c r="G7" i="3" s="1"/>
  <c r="G8" i="3" s="1"/>
  <c r="C6" i="3"/>
  <c r="C7" i="3" l="1"/>
  <c r="H7" i="3" s="1"/>
  <c r="H8" i="3" s="1"/>
  <c r="B8" i="3"/>
  <c r="C8" i="3" l="1"/>
  <c r="F42" i="1"/>
  <c r="F62" i="1"/>
  <c r="F59" i="1"/>
  <c r="F55" i="1"/>
  <c r="F51" i="1"/>
  <c r="F48" i="1"/>
  <c r="F63" i="1" l="1"/>
  <c r="I63" i="1" s="1"/>
</calcChain>
</file>

<file path=xl/sharedStrings.xml><?xml version="1.0" encoding="utf-8"?>
<sst xmlns="http://schemas.openxmlformats.org/spreadsheetml/2006/main" count="171" uniqueCount="74">
  <si>
    <t>2026年度改修案件　工数算出</t>
    <rPh sb="4" eb="6">
      <t>ネンド</t>
    </rPh>
    <rPh sb="6" eb="10">
      <t>カイシュウアンケン</t>
    </rPh>
    <rPh sb="11" eb="15">
      <t>コウスウサンシュツ</t>
    </rPh>
    <phoneticPr fontId="1"/>
  </si>
  <si>
    <t>①資格総合サイト改良</t>
    <rPh sb="1" eb="5">
      <t>シカクソウゴウ</t>
    </rPh>
    <rPh sb="8" eb="10">
      <t>カイリョウ</t>
    </rPh>
    <phoneticPr fontId="1"/>
  </si>
  <si>
    <t>　　①-1 会員情報メニューでNo.1コード項目を追加する</t>
    <rPh sb="6" eb="10">
      <t>カイインジョウホウ</t>
    </rPh>
    <rPh sb="22" eb="24">
      <t>コウモク</t>
    </rPh>
    <rPh sb="25" eb="27">
      <t>ツイカ</t>
    </rPh>
    <phoneticPr fontId="1"/>
  </si>
  <si>
    <t>0.5～1</t>
    <phoneticPr fontId="1"/>
  </si>
  <si>
    <t>人日</t>
    <rPh sb="0" eb="2">
      <t>ニンニチ</t>
    </rPh>
    <phoneticPr fontId="1"/>
  </si>
  <si>
    <t>　　①-2 ITMポイント取得状況一覧を出す画面で、削除した会員を除外するチェックボックスを設けてほしい</t>
    <rPh sb="13" eb="15">
      <t>シュトク</t>
    </rPh>
    <rPh sb="15" eb="17">
      <t>ジョウキョウ</t>
    </rPh>
    <rPh sb="17" eb="19">
      <t>イチラン</t>
    </rPh>
    <rPh sb="20" eb="21">
      <t>ダ</t>
    </rPh>
    <rPh sb="22" eb="24">
      <t>ガメン</t>
    </rPh>
    <rPh sb="26" eb="28">
      <t>サクジョ</t>
    </rPh>
    <rPh sb="30" eb="32">
      <t>カイイン</t>
    </rPh>
    <rPh sb="33" eb="35">
      <t>ジョガイ</t>
    </rPh>
    <rPh sb="46" eb="47">
      <t>モウ</t>
    </rPh>
    <phoneticPr fontId="1"/>
  </si>
  <si>
    <t>②会員情報の一元化（ユーザ統合）</t>
    <rPh sb="1" eb="5">
      <t>カイインジョウホウ</t>
    </rPh>
    <rPh sb="6" eb="9">
      <t>イチゲンカ</t>
    </rPh>
    <rPh sb="13" eb="15">
      <t>トウゴウ</t>
    </rPh>
    <phoneticPr fontId="1"/>
  </si>
  <si>
    <t>詳細は「No239_②ユーザ統合検討案.xlsx」参照</t>
    <rPh sb="0" eb="2">
      <t>ショウサイ</t>
    </rPh>
    <rPh sb="25" eb="27">
      <t>サンショウ</t>
    </rPh>
    <phoneticPr fontId="1"/>
  </si>
  <si>
    <t>工程</t>
    <rPh sb="0" eb="2">
      <t>コウテイ</t>
    </rPh>
    <phoneticPr fontId="1"/>
  </si>
  <si>
    <t>作業</t>
    <rPh sb="0" eb="2">
      <t>サギョウ</t>
    </rPh>
    <phoneticPr fontId="1"/>
  </si>
  <si>
    <t>新規/更新</t>
    <rPh sb="0" eb="2">
      <t>シンキ</t>
    </rPh>
    <rPh sb="3" eb="5">
      <t>コウシン</t>
    </rPh>
    <phoneticPr fontId="1"/>
  </si>
  <si>
    <t>成果物</t>
    <rPh sb="0" eb="3">
      <t>セイカブツ</t>
    </rPh>
    <phoneticPr fontId="1"/>
  </si>
  <si>
    <t>工数(h)</t>
    <rPh sb="0" eb="2">
      <t>コウスウ</t>
    </rPh>
    <phoneticPr fontId="1"/>
  </si>
  <si>
    <t>備考</t>
    <rPh sb="0" eb="2">
      <t>ビコウ</t>
    </rPh>
    <phoneticPr fontId="1"/>
  </si>
  <si>
    <t>設計</t>
    <rPh sb="0" eb="2">
      <t>セッケイ</t>
    </rPh>
    <phoneticPr fontId="1"/>
  </si>
  <si>
    <t>設計書作成</t>
    <rPh sb="0" eb="3">
      <t>セッケイショ</t>
    </rPh>
    <rPh sb="3" eb="5">
      <t>サクセイ</t>
    </rPh>
    <phoneticPr fontId="1"/>
  </si>
  <si>
    <t>新規</t>
    <rPh sb="0" eb="2">
      <t>シンキ</t>
    </rPh>
    <phoneticPr fontId="1"/>
  </si>
  <si>
    <t>UI-09 画面仕様書(XXXXXX_ユーザ統合).xlsx</t>
    <rPh sb="22" eb="24">
      <t>トウゴウ</t>
    </rPh>
    <phoneticPr fontId="1"/>
  </si>
  <si>
    <t>設計書修正</t>
    <rPh sb="0" eb="3">
      <t>セッケイショ</t>
    </rPh>
    <rPh sb="3" eb="5">
      <t>シュウセイ</t>
    </rPh>
    <phoneticPr fontId="1"/>
  </si>
  <si>
    <t>更新</t>
    <rPh sb="0" eb="2">
      <t>コウシン</t>
    </rPh>
    <phoneticPr fontId="1"/>
  </si>
  <si>
    <t>UI-09 画面仕様書(HSC001_総合メニュー).xlsx</t>
    <phoneticPr fontId="1"/>
  </si>
  <si>
    <t>SA-09_画面一覧-HS01.xlsx</t>
  </si>
  <si>
    <t>UI-20 エンティティ定義書(論理テーブル仕様).xlsx</t>
    <phoneticPr fontId="1"/>
  </si>
  <si>
    <t>UI-08 CRUD表（プロセス／テーブルマトリクス）</t>
  </si>
  <si>
    <t>内部資料</t>
    <rPh sb="0" eb="4">
      <t>ナイブシリョウ</t>
    </rPh>
    <phoneticPr fontId="1"/>
  </si>
  <si>
    <t>レビュー</t>
    <phoneticPr fontId="1"/>
  </si>
  <si>
    <t>ー</t>
    <phoneticPr fontId="1"/>
  </si>
  <si>
    <t>開発</t>
    <rPh sb="0" eb="2">
      <t>カイハツ</t>
    </rPh>
    <phoneticPr fontId="1"/>
  </si>
  <si>
    <t>ユーザ統合(Main)画面</t>
    <rPh sb="11" eb="13">
      <t>ガメン</t>
    </rPh>
    <phoneticPr fontId="1"/>
  </si>
  <si>
    <t>画面実装</t>
    <rPh sb="0" eb="4">
      <t>ガメンジッソウ</t>
    </rPh>
    <phoneticPr fontId="1"/>
  </si>
  <si>
    <t>ユーザ統合(内容確認)画面</t>
    <rPh sb="6" eb="8">
      <t>ナイヨウ</t>
    </rPh>
    <rPh sb="8" eb="10">
      <t>カクニン</t>
    </rPh>
    <rPh sb="11" eb="13">
      <t>ガメン</t>
    </rPh>
    <phoneticPr fontId="1"/>
  </si>
  <si>
    <t>ログテーブル実装</t>
    <rPh sb="6" eb="8">
      <t>ジッソウ</t>
    </rPh>
    <phoneticPr fontId="1"/>
  </si>
  <si>
    <t>ユーザ統合用ログテーブル</t>
    <rPh sb="3" eb="5">
      <t>トウゴウ</t>
    </rPh>
    <rPh sb="5" eb="6">
      <t>ヨウ</t>
    </rPh>
    <phoneticPr fontId="1"/>
  </si>
  <si>
    <t>処理実装</t>
    <rPh sb="0" eb="2">
      <t>ショリ</t>
    </rPh>
    <rPh sb="2" eb="4">
      <t>ジッソウ</t>
    </rPh>
    <phoneticPr fontId="1"/>
  </si>
  <si>
    <t>統合ロジック・重複判定・ログ出力</t>
  </si>
  <si>
    <t>テスト準備</t>
    <rPh sb="3" eb="5">
      <t>ジュンビ</t>
    </rPh>
    <phoneticPr fontId="1"/>
  </si>
  <si>
    <t>テスト仕様書作成</t>
    <rPh sb="3" eb="6">
      <t>シヨウショ</t>
    </rPh>
    <rPh sb="6" eb="8">
      <t>サクセイ</t>
    </rPh>
    <phoneticPr fontId="1"/>
  </si>
  <si>
    <t>テスト仕様書</t>
    <rPh sb="3" eb="6">
      <t>シヨウショ</t>
    </rPh>
    <phoneticPr fontId="1"/>
  </si>
  <si>
    <t>テスト</t>
    <phoneticPr fontId="1"/>
  </si>
  <si>
    <t>個人情報テーブルテスト</t>
    <rPh sb="0" eb="2">
      <t>コジン</t>
    </rPh>
    <rPh sb="2" eb="4">
      <t>ジョウホウ</t>
    </rPh>
    <phoneticPr fontId="1"/>
  </si>
  <si>
    <t>ー</t>
  </si>
  <si>
    <t>エビデンス</t>
    <phoneticPr fontId="1"/>
  </si>
  <si>
    <t>ローカル環境</t>
    <rPh sb="4" eb="6">
      <t>カンキョウ</t>
    </rPh>
    <phoneticPr fontId="1"/>
  </si>
  <si>
    <t>その他テーブルテスト</t>
    <rPh sb="2" eb="3">
      <t>タ</t>
    </rPh>
    <phoneticPr fontId="1"/>
  </si>
  <si>
    <t>1.75*34</t>
    <phoneticPr fontId="1"/>
  </si>
  <si>
    <t>エビデンス</t>
  </si>
  <si>
    <t>ローカル環境テストの抜粋</t>
    <rPh sb="4" eb="6">
      <t>カンキョウ</t>
    </rPh>
    <rPh sb="10" eb="12">
      <t>バッスイ</t>
    </rPh>
    <phoneticPr fontId="1"/>
  </si>
  <si>
    <t>ローカル環境テストの抜粋</t>
  </si>
  <si>
    <t>検証環境</t>
    <rPh sb="0" eb="2">
      <t>ケンショウ</t>
    </rPh>
    <rPh sb="2" eb="4">
      <t>カンキョウ</t>
    </rPh>
    <phoneticPr fontId="1"/>
  </si>
  <si>
    <t>リリース</t>
    <phoneticPr fontId="1"/>
  </si>
  <si>
    <t>リリース準備</t>
    <rPh sb="4" eb="6">
      <t>ジュンビ</t>
    </rPh>
    <phoneticPr fontId="1"/>
  </si>
  <si>
    <t>リリース作業</t>
    <rPh sb="4" eb="6">
      <t>サギョウ</t>
    </rPh>
    <phoneticPr fontId="1"/>
  </si>
  <si>
    <t>0.5*2人</t>
    <rPh sb="5" eb="6">
      <t>ニン</t>
    </rPh>
    <phoneticPr fontId="1"/>
  </si>
  <si>
    <t xml:space="preserve">③過去分の販売活動報告登録の編集不可 </t>
    <phoneticPr fontId="1"/>
  </si>
  <si>
    <t>詳細は「No239_③過去分の販売活動報告登録の編集不可 仕様検討.xlsx」参照</t>
    <rPh sb="0" eb="2">
      <t>ショウサイ</t>
    </rPh>
    <rPh sb="39" eb="41">
      <t>サンショウ</t>
    </rPh>
    <phoneticPr fontId="1"/>
  </si>
  <si>
    <t>新規/修正</t>
    <rPh sb="0" eb="2">
      <t>シンキ</t>
    </rPh>
    <rPh sb="3" eb="5">
      <t>シュウセイ</t>
    </rPh>
    <phoneticPr fontId="1"/>
  </si>
  <si>
    <t>設計書修正</t>
    <phoneticPr fontId="1"/>
  </si>
  <si>
    <t>修正</t>
    <rPh sb="0" eb="2">
      <t>シュウセイ</t>
    </rPh>
    <phoneticPr fontId="1"/>
  </si>
  <si>
    <t>UI-09 画面仕様書(HSH013_販売活動報告登録（潤滑油)).xlsx</t>
    <phoneticPr fontId="1"/>
  </si>
  <si>
    <t>UI-09 画面仕様書(HSH014_販売活動報告登録（燃料油)).xlsx</t>
    <phoneticPr fontId="1"/>
  </si>
  <si>
    <t>販売活動報告登録（潤滑油)</t>
  </si>
  <si>
    <t>入力可能期間外での編集不可（エラーメッセージ出力）</t>
    <rPh sb="0" eb="2">
      <t>ニュウリョク</t>
    </rPh>
    <rPh sb="2" eb="6">
      <t>カノウキカン</t>
    </rPh>
    <rPh sb="6" eb="7">
      <t>ガイ</t>
    </rPh>
    <rPh sb="9" eb="13">
      <t>ヘンシュウフカ</t>
    </rPh>
    <rPh sb="22" eb="24">
      <t>シュツリョク</t>
    </rPh>
    <phoneticPr fontId="1"/>
  </si>
  <si>
    <t>販売活動報告登録（燃料油)</t>
  </si>
  <si>
    <t>入力可能期間外での編集不可（エラーメッセージ出力）</t>
    <phoneticPr fontId="1"/>
  </si>
  <si>
    <t>レビュー</t>
  </si>
  <si>
    <t>作業別</t>
    <rPh sb="0" eb="3">
      <t>サギョウベツ</t>
    </rPh>
    <phoneticPr fontId="1"/>
  </si>
  <si>
    <t>要望別</t>
    <rPh sb="0" eb="3">
      <t>ヨウボウベツ</t>
    </rPh>
    <phoneticPr fontId="1"/>
  </si>
  <si>
    <t>①－1</t>
    <phoneticPr fontId="1"/>
  </si>
  <si>
    <t>①－2</t>
    <phoneticPr fontId="1"/>
  </si>
  <si>
    <t>②</t>
    <phoneticPr fontId="1"/>
  </si>
  <si>
    <t>③</t>
    <phoneticPr fontId="1"/>
  </si>
  <si>
    <t>小計</t>
    <rPh sb="0" eb="2">
      <t>ショウケイ</t>
    </rPh>
    <phoneticPr fontId="1"/>
  </si>
  <si>
    <t>PJ管理</t>
    <rPh sb="2" eb="4">
      <t>カンリ</t>
    </rPh>
    <phoneticPr fontId="1"/>
  </si>
  <si>
    <t>合計</t>
    <rPh sb="0" eb="2">
      <t>ゴウケイ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</si>
</sst>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2" borderId="2" xfId="0" applyFont="1" applyFill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176" fontId="2" fillId="0" borderId="8" xfId="0" applyNumberFormat="1" applyFont="1" applyBorder="1">
      <alignment vertical="center"/>
    </xf>
    <xf numFmtId="176" fontId="2" fillId="0" borderId="7" xfId="0" applyNumberFormat="1" applyFont="1" applyBorder="1">
      <alignment vertical="center"/>
    </xf>
    <xf numFmtId="176" fontId="2" fillId="0" borderId="11" xfId="0" applyNumberFormat="1" applyFont="1" applyBorder="1">
      <alignment vertical="center"/>
    </xf>
    <xf numFmtId="176" fontId="2" fillId="0" borderId="13" xfId="0" applyNumberFormat="1" applyFont="1" applyBorder="1">
      <alignment vertical="center"/>
    </xf>
    <xf numFmtId="0" fontId="2" fillId="0" borderId="4" xfId="0" applyFont="1" applyBorder="1" applyAlignment="1">
      <alignment vertical="center" wrapText="1"/>
    </xf>
    <xf numFmtId="0" fontId="2" fillId="3" borderId="13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3" borderId="1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3" borderId="2" xfId="0" applyFont="1" applyFill="1" applyBorder="1">
      <alignment vertical="center"/>
    </xf>
    <xf numFmtId="176" fontId="2" fillId="4" borderId="13" xfId="0" applyNumberFormat="1" applyFont="1" applyFill="1" applyBorder="1">
      <alignment vertical="center"/>
    </xf>
    <xf numFmtId="176" fontId="2" fillId="4" borderId="1" xfId="0" applyNumberFormat="1" applyFont="1" applyFill="1" applyBorder="1">
      <alignment vertical="center"/>
    </xf>
    <xf numFmtId="0" fontId="2" fillId="0" borderId="15" xfId="0" applyFont="1" applyBorder="1">
      <alignment vertical="center"/>
    </xf>
    <xf numFmtId="0" fontId="2" fillId="0" borderId="14" xfId="0" applyFont="1" applyBorder="1">
      <alignment vertical="center"/>
    </xf>
    <xf numFmtId="176" fontId="2" fillId="0" borderId="15" xfId="0" applyNumberFormat="1" applyFont="1" applyBorder="1">
      <alignment vertical="center"/>
    </xf>
    <xf numFmtId="0" fontId="3" fillId="0" borderId="0" xfId="0" applyFont="1">
      <alignment vertical="center"/>
    </xf>
    <xf numFmtId="0" fontId="4" fillId="0" borderId="16" xfId="0" applyFont="1" applyBorder="1">
      <alignment vertical="center"/>
    </xf>
    <xf numFmtId="3" fontId="5" fillId="0" borderId="16" xfId="0" applyNumberFormat="1" applyFont="1" applyBorder="1" applyAlignment="1">
      <alignment horizontal="right" vertical="center" wrapText="1" readingOrder="1"/>
    </xf>
    <xf numFmtId="176" fontId="5" fillId="0" borderId="16" xfId="0" applyNumberFormat="1" applyFont="1" applyBorder="1" applyAlignment="1">
      <alignment horizontal="right" vertical="center" wrapText="1" readingOrder="1"/>
    </xf>
    <xf numFmtId="176" fontId="4" fillId="0" borderId="16" xfId="0" applyNumberFormat="1" applyFont="1" applyBorder="1">
      <alignment vertical="center"/>
    </xf>
    <xf numFmtId="0" fontId="4" fillId="0" borderId="17" xfId="0" applyFont="1" applyBorder="1">
      <alignment vertical="center"/>
    </xf>
    <xf numFmtId="0" fontId="4" fillId="0" borderId="18" xfId="0" applyFont="1" applyBorder="1">
      <alignment vertical="center"/>
    </xf>
    <xf numFmtId="176" fontId="4" fillId="3" borderId="16" xfId="0" applyNumberFormat="1" applyFont="1" applyFill="1" applyBorder="1">
      <alignment vertical="center"/>
    </xf>
    <xf numFmtId="0" fontId="4" fillId="3" borderId="16" xfId="0" applyFont="1" applyFill="1" applyBorder="1">
      <alignment vertical="center"/>
    </xf>
    <xf numFmtId="0" fontId="0" fillId="0" borderId="16" xfId="0" applyBorder="1">
      <alignment vertical="center"/>
    </xf>
    <xf numFmtId="0" fontId="0" fillId="3" borderId="16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4</xdr:col>
      <xdr:colOff>2185828</xdr:colOff>
      <xdr:row>29</xdr:row>
      <xdr:rowOff>157549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47362EA-600B-438D-A0AF-00E6A397A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2000250"/>
          <a:ext cx="5681503" cy="2767399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4</xdr:col>
      <xdr:colOff>2119143</xdr:colOff>
      <xdr:row>12</xdr:row>
      <xdr:rowOff>184055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CC78FFC-2F8E-477F-A8A5-26F9054D6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600075"/>
          <a:ext cx="5614818" cy="1593755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6</xdr:col>
      <xdr:colOff>1219200</xdr:colOff>
      <xdr:row>13</xdr:row>
      <xdr:rowOff>66675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E5A13058-A48A-4349-A0F9-3D66751C0130}"/>
            </a:ext>
          </a:extLst>
        </xdr:cNvPr>
        <xdr:cNvSpPr/>
      </xdr:nvSpPr>
      <xdr:spPr>
        <a:xfrm>
          <a:off x="7010400" y="1200150"/>
          <a:ext cx="1857375" cy="1285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設計：</a:t>
          </a:r>
          <a:r>
            <a:rPr kumimoji="1" lang="en-US" altLang="ja-JP" sz="1100"/>
            <a:t>1h</a:t>
          </a:r>
        </a:p>
        <a:p>
          <a:pPr algn="l"/>
          <a:r>
            <a:rPr kumimoji="1" lang="ja-JP" altLang="en-US" sz="1100"/>
            <a:t>開発／単体：</a:t>
          </a:r>
          <a:r>
            <a:rPr kumimoji="1" lang="en-US" altLang="ja-JP" sz="1100"/>
            <a:t>2h</a:t>
          </a:r>
        </a:p>
        <a:p>
          <a:pPr algn="l"/>
          <a:r>
            <a:rPr kumimoji="1" lang="ja-JP" altLang="en-US" sz="1100"/>
            <a:t>検証環境：</a:t>
          </a:r>
          <a:r>
            <a:rPr kumimoji="1" lang="en-US" altLang="ja-JP" sz="1100"/>
            <a:t>1h</a:t>
          </a:r>
        </a:p>
        <a:p>
          <a:pPr algn="l"/>
          <a:r>
            <a:rPr kumimoji="1" lang="ja-JP" altLang="en-US" sz="1100"/>
            <a:t>リリースは③に混ぜる</a:t>
          </a:r>
        </a:p>
      </xdr:txBody>
    </xdr:sp>
    <xdr:clientData/>
  </xdr:twoCellAnchor>
  <xdr:twoCellAnchor>
    <xdr:from>
      <xdr:col>5</xdr:col>
      <xdr:colOff>0</xdr:colOff>
      <xdr:row>24</xdr:row>
      <xdr:rowOff>0</xdr:rowOff>
    </xdr:from>
    <xdr:to>
      <xdr:col>6</xdr:col>
      <xdr:colOff>1219200</xdr:colOff>
      <xdr:row>30</xdr:row>
      <xdr:rowOff>47625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E46D4BF9-4E36-4B6A-ABBA-0D740E8C3872}"/>
            </a:ext>
          </a:extLst>
        </xdr:cNvPr>
        <xdr:cNvSpPr/>
      </xdr:nvSpPr>
      <xdr:spPr>
        <a:xfrm>
          <a:off x="7010400" y="4619625"/>
          <a:ext cx="1857375" cy="1266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設計：</a:t>
          </a:r>
          <a:r>
            <a:rPr kumimoji="1" lang="en-US" altLang="ja-JP" sz="1100"/>
            <a:t>1h</a:t>
          </a:r>
        </a:p>
        <a:p>
          <a:pPr algn="l"/>
          <a:r>
            <a:rPr kumimoji="1" lang="ja-JP" altLang="en-US" sz="1100"/>
            <a:t>開発／単体：</a:t>
          </a:r>
          <a:r>
            <a:rPr kumimoji="1" lang="en-US" altLang="ja-JP" sz="1100"/>
            <a:t>2h</a:t>
          </a:r>
        </a:p>
        <a:p>
          <a:pPr algn="l"/>
          <a:r>
            <a:rPr kumimoji="1" lang="ja-JP" altLang="en-US" sz="1100"/>
            <a:t>検証環境：</a:t>
          </a:r>
          <a:r>
            <a:rPr kumimoji="1" lang="en-US" altLang="ja-JP" sz="1100"/>
            <a:t>1h</a:t>
          </a:r>
        </a:p>
        <a:p>
          <a:pPr algn="l"/>
          <a:r>
            <a:rPr kumimoji="1" lang="ja-JP" altLang="en-US" sz="1100"/>
            <a:t>リリースは③に混ぜる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1C9CA-AB4A-4AA9-8D12-BA8376B529D5}">
  <dimension ref="A1:J91"/>
  <sheetViews>
    <sheetView showGridLines="0" tabSelected="1" workbookViewId="0"/>
  </sheetViews>
  <sheetFormatPr defaultColWidth="9" defaultRowHeight="15"/>
  <cols>
    <col min="1" max="1" width="2.625" style="1" customWidth="1"/>
    <col min="2" max="2" width="11.375" style="1" bestFit="1" customWidth="1"/>
    <col min="3" max="3" width="24.375" style="1" bestFit="1" customWidth="1"/>
    <col min="4" max="4" width="10.125" style="1" bestFit="1" customWidth="1"/>
    <col min="5" max="5" width="43.5" style="1" customWidth="1"/>
    <col min="6" max="6" width="8.375" style="1" bestFit="1" customWidth="1"/>
    <col min="7" max="7" width="21.75" style="1" bestFit="1" customWidth="1"/>
    <col min="8" max="8" width="9.25" style="1" customWidth="1"/>
    <col min="9" max="16384" width="9" style="1"/>
  </cols>
  <sheetData>
    <row r="1" spans="1:10" ht="16.149999999999999">
      <c r="A1" s="32" t="s">
        <v>0</v>
      </c>
    </row>
    <row r="2" spans="1:10" ht="16.149999999999999">
      <c r="A2" s="32"/>
    </row>
    <row r="3" spans="1:10">
      <c r="A3" s="1" t="s">
        <v>1</v>
      </c>
    </row>
    <row r="4" spans="1:10">
      <c r="A4" s="1" t="s">
        <v>2</v>
      </c>
    </row>
    <row r="12" spans="1:10" ht="15.6" thickBot="1"/>
    <row r="13" spans="1:10" ht="15.6" thickBot="1">
      <c r="I13" s="25" t="s">
        <v>3</v>
      </c>
      <c r="J13" s="1" t="s">
        <v>4</v>
      </c>
    </row>
    <row r="15" spans="1:10">
      <c r="A15" s="1" t="s">
        <v>5</v>
      </c>
    </row>
    <row r="29" spans="1:10" ht="15.6" thickBot="1"/>
    <row r="30" spans="1:10" ht="15.6" thickBot="1">
      <c r="I30" s="25" t="s">
        <v>3</v>
      </c>
      <c r="J30" s="1" t="s">
        <v>4</v>
      </c>
    </row>
    <row r="32" spans="1:10">
      <c r="A32" s="1" t="s">
        <v>6</v>
      </c>
    </row>
    <row r="33" spans="2:9">
      <c r="B33" s="1" t="s">
        <v>7</v>
      </c>
    </row>
    <row r="34" spans="2:9" ht="15.6" thickBot="1"/>
    <row r="35" spans="2:9" ht="15.6" thickBot="1">
      <c r="B35" s="3" t="s">
        <v>8</v>
      </c>
      <c r="C35" s="7" t="s">
        <v>9</v>
      </c>
      <c r="D35" s="7" t="s">
        <v>10</v>
      </c>
      <c r="E35" s="8" t="s">
        <v>11</v>
      </c>
      <c r="F35" s="7" t="s">
        <v>12</v>
      </c>
      <c r="G35" s="7" t="s">
        <v>13</v>
      </c>
    </row>
    <row r="36" spans="2:9">
      <c r="B36" s="4" t="s">
        <v>14</v>
      </c>
      <c r="C36" s="9" t="s">
        <v>15</v>
      </c>
      <c r="D36" s="9" t="s">
        <v>16</v>
      </c>
      <c r="E36" s="9" t="s">
        <v>17</v>
      </c>
      <c r="F36" s="16">
        <v>32</v>
      </c>
      <c r="G36" s="9"/>
    </row>
    <row r="37" spans="2:9">
      <c r="B37" s="5"/>
      <c r="C37" s="11" t="s">
        <v>18</v>
      </c>
      <c r="D37" s="11" t="s">
        <v>19</v>
      </c>
      <c r="E37" s="11" t="s">
        <v>20</v>
      </c>
      <c r="F37" s="17">
        <v>1</v>
      </c>
      <c r="G37" s="11"/>
    </row>
    <row r="38" spans="2:9">
      <c r="B38" s="5"/>
      <c r="C38" s="11" t="s">
        <v>18</v>
      </c>
      <c r="D38" s="11" t="s">
        <v>19</v>
      </c>
      <c r="E38" s="11" t="s">
        <v>21</v>
      </c>
      <c r="F38" s="17">
        <v>1</v>
      </c>
      <c r="G38" s="11"/>
    </row>
    <row r="39" spans="2:9">
      <c r="B39" s="5"/>
      <c r="C39" s="11" t="s">
        <v>18</v>
      </c>
      <c r="D39" s="11" t="s">
        <v>19</v>
      </c>
      <c r="E39" s="11" t="s">
        <v>22</v>
      </c>
      <c r="F39" s="17">
        <v>1</v>
      </c>
      <c r="G39" s="11"/>
    </row>
    <row r="40" spans="2:9">
      <c r="B40" s="5"/>
      <c r="C40" s="11" t="s">
        <v>18</v>
      </c>
      <c r="D40" s="15" t="s">
        <v>19</v>
      </c>
      <c r="E40" s="15" t="s">
        <v>23</v>
      </c>
      <c r="F40" s="17">
        <v>1</v>
      </c>
      <c r="G40" s="15" t="s">
        <v>24</v>
      </c>
    </row>
    <row r="41" spans="2:9" ht="19.5" customHeight="1" thickBot="1">
      <c r="B41" s="5"/>
      <c r="C41" s="13" t="s">
        <v>25</v>
      </c>
      <c r="D41" s="13" t="s">
        <v>26</v>
      </c>
      <c r="E41" s="13" t="s">
        <v>25</v>
      </c>
      <c r="F41" s="18">
        <v>4</v>
      </c>
      <c r="G41" s="13"/>
    </row>
    <row r="42" spans="2:9" ht="19.5" customHeight="1" thickBot="1">
      <c r="B42" s="6"/>
      <c r="C42" s="26"/>
      <c r="D42" s="24"/>
      <c r="E42" s="24"/>
      <c r="F42" s="28">
        <f>SUM(F36:F41)</f>
        <v>40</v>
      </c>
      <c r="G42" s="23"/>
      <c r="H42" s="1">
        <f>F42/8</f>
        <v>5</v>
      </c>
      <c r="I42" s="1">
        <f>H42*50000</f>
        <v>250000</v>
      </c>
    </row>
    <row r="43" spans="2:9">
      <c r="B43" s="4" t="s">
        <v>27</v>
      </c>
      <c r="C43" s="15" t="s">
        <v>28</v>
      </c>
      <c r="D43" s="15" t="s">
        <v>16</v>
      </c>
      <c r="E43" s="1" t="s">
        <v>29</v>
      </c>
      <c r="F43" s="19">
        <v>16</v>
      </c>
      <c r="G43" s="15"/>
    </row>
    <row r="44" spans="2:9">
      <c r="B44" s="5"/>
      <c r="C44" s="11" t="s">
        <v>30</v>
      </c>
      <c r="D44" s="11" t="s">
        <v>16</v>
      </c>
      <c r="E44" s="12" t="s">
        <v>29</v>
      </c>
      <c r="F44" s="17">
        <v>8</v>
      </c>
      <c r="G44" s="11"/>
    </row>
    <row r="45" spans="2:9">
      <c r="B45" s="5"/>
      <c r="C45" s="15" t="s">
        <v>31</v>
      </c>
      <c r="D45" s="15" t="s">
        <v>16</v>
      </c>
      <c r="E45" s="1" t="s">
        <v>32</v>
      </c>
      <c r="F45" s="19">
        <v>4</v>
      </c>
      <c r="G45" s="15"/>
    </row>
    <row r="46" spans="2:9" ht="19.5" customHeight="1">
      <c r="B46" s="5"/>
      <c r="C46" s="29" t="s">
        <v>33</v>
      </c>
      <c r="D46" s="29" t="s">
        <v>16</v>
      </c>
      <c r="E46" s="30" t="s">
        <v>34</v>
      </c>
      <c r="F46" s="31">
        <v>60</v>
      </c>
      <c r="G46" s="29"/>
    </row>
    <row r="47" spans="2:9" ht="19.5" customHeight="1" thickBot="1">
      <c r="B47" s="5"/>
      <c r="C47" s="13" t="s">
        <v>25</v>
      </c>
      <c r="D47" s="13" t="s">
        <v>26</v>
      </c>
      <c r="E47" s="14" t="s">
        <v>25</v>
      </c>
      <c r="F47" s="18">
        <v>8</v>
      </c>
      <c r="G47" s="13"/>
    </row>
    <row r="48" spans="2:9" ht="19.5" customHeight="1" thickBot="1">
      <c r="B48" s="6"/>
      <c r="C48" s="26"/>
      <c r="D48" s="24"/>
      <c r="E48" s="22"/>
      <c r="F48" s="27">
        <f>SUM(F43:F47)</f>
        <v>96</v>
      </c>
      <c r="G48" s="21"/>
      <c r="H48" s="1">
        <f>F48/8</f>
        <v>12</v>
      </c>
      <c r="I48" s="1">
        <f>H48*50000</f>
        <v>600000</v>
      </c>
    </row>
    <row r="49" spans="2:10">
      <c r="B49" s="4" t="s">
        <v>35</v>
      </c>
      <c r="C49" s="9" t="s">
        <v>36</v>
      </c>
      <c r="D49" s="9" t="s">
        <v>16</v>
      </c>
      <c r="E49" s="10" t="s">
        <v>37</v>
      </c>
      <c r="F49" s="16">
        <v>16</v>
      </c>
      <c r="G49" s="9"/>
    </row>
    <row r="50" spans="2:10" ht="15.6" thickBot="1">
      <c r="B50" s="5"/>
      <c r="C50" s="13" t="s">
        <v>25</v>
      </c>
      <c r="D50" s="13" t="s">
        <v>26</v>
      </c>
      <c r="E50" s="14" t="s">
        <v>25</v>
      </c>
      <c r="F50" s="18">
        <v>2</v>
      </c>
      <c r="G50" s="13"/>
    </row>
    <row r="51" spans="2:10" ht="19.5" customHeight="1" thickBot="1">
      <c r="B51" s="6"/>
      <c r="C51" s="26"/>
      <c r="D51" s="24"/>
      <c r="E51" s="24"/>
      <c r="F51" s="28">
        <f>SUM(F49:F50)</f>
        <v>18</v>
      </c>
      <c r="G51" s="23"/>
      <c r="H51" s="1">
        <v>2.5</v>
      </c>
      <c r="I51" s="1">
        <f>H51*50000</f>
        <v>125000</v>
      </c>
    </row>
    <row r="52" spans="2:10">
      <c r="B52" s="20" t="s">
        <v>38</v>
      </c>
      <c r="C52" s="15" t="s">
        <v>39</v>
      </c>
      <c r="D52" s="15" t="s">
        <v>40</v>
      </c>
      <c r="E52" s="1" t="s">
        <v>41</v>
      </c>
      <c r="F52" s="19">
        <v>8</v>
      </c>
      <c r="G52" s="15"/>
    </row>
    <row r="53" spans="2:10">
      <c r="B53" s="5" t="s">
        <v>42</v>
      </c>
      <c r="C53" s="11" t="s">
        <v>43</v>
      </c>
      <c r="D53" s="11" t="s">
        <v>40</v>
      </c>
      <c r="E53" s="12" t="s">
        <v>41</v>
      </c>
      <c r="F53" s="17">
        <v>60</v>
      </c>
      <c r="G53" s="11" t="s">
        <v>44</v>
      </c>
    </row>
    <row r="54" spans="2:10" ht="15.6" thickBot="1">
      <c r="B54" s="5"/>
      <c r="C54" s="13" t="s">
        <v>25</v>
      </c>
      <c r="D54" s="13" t="s">
        <v>26</v>
      </c>
      <c r="E54" s="14" t="s">
        <v>25</v>
      </c>
      <c r="F54" s="18">
        <v>8</v>
      </c>
      <c r="G54" s="13"/>
      <c r="I54" s="2"/>
    </row>
    <row r="55" spans="2:10" ht="19.5" customHeight="1" thickBot="1">
      <c r="B55" s="6"/>
      <c r="C55" s="26"/>
      <c r="D55" s="24"/>
      <c r="E55" s="24"/>
      <c r="F55" s="28">
        <f>SUM(F52:F54)</f>
        <v>76</v>
      </c>
      <c r="G55" s="23"/>
      <c r="H55" s="1">
        <f>F55/8</f>
        <v>9.5</v>
      </c>
      <c r="I55" s="1">
        <f>H55*50000</f>
        <v>475000</v>
      </c>
    </row>
    <row r="56" spans="2:10">
      <c r="B56" s="20" t="s">
        <v>38</v>
      </c>
      <c r="C56" s="15" t="s">
        <v>39</v>
      </c>
      <c r="D56" s="15" t="s">
        <v>40</v>
      </c>
      <c r="E56" s="1" t="s">
        <v>45</v>
      </c>
      <c r="F56" s="19">
        <v>6</v>
      </c>
      <c r="G56" s="15" t="s">
        <v>46</v>
      </c>
    </row>
    <row r="57" spans="2:10">
      <c r="B57" s="20"/>
      <c r="C57" s="11" t="s">
        <v>43</v>
      </c>
      <c r="D57" s="11" t="s">
        <v>40</v>
      </c>
      <c r="E57" s="12" t="s">
        <v>45</v>
      </c>
      <c r="F57" s="17">
        <v>16</v>
      </c>
      <c r="G57" s="11" t="s">
        <v>47</v>
      </c>
    </row>
    <row r="58" spans="2:10" ht="15.6" thickBot="1">
      <c r="B58" s="5" t="s">
        <v>48</v>
      </c>
      <c r="C58" s="13" t="s">
        <v>25</v>
      </c>
      <c r="D58" s="13" t="s">
        <v>26</v>
      </c>
      <c r="E58" s="14" t="s">
        <v>25</v>
      </c>
      <c r="F58" s="18">
        <v>2</v>
      </c>
      <c r="G58" s="13"/>
    </row>
    <row r="59" spans="2:10" ht="19.5" customHeight="1" thickBot="1">
      <c r="B59" s="6"/>
      <c r="C59" s="26"/>
      <c r="D59" s="24"/>
      <c r="E59" s="22"/>
      <c r="F59" s="27">
        <f>SUM(F56:F58)</f>
        <v>24</v>
      </c>
      <c r="G59" s="21"/>
      <c r="H59" s="1">
        <f>F59/8</f>
        <v>3</v>
      </c>
      <c r="I59" s="1">
        <f>H59*50000</f>
        <v>150000</v>
      </c>
    </row>
    <row r="60" spans="2:10">
      <c r="B60" s="4" t="s">
        <v>49</v>
      </c>
      <c r="C60" s="9" t="s">
        <v>50</v>
      </c>
      <c r="D60" s="9" t="s">
        <v>26</v>
      </c>
      <c r="E60" s="10"/>
      <c r="F60" s="16">
        <v>1</v>
      </c>
      <c r="G60" s="9"/>
    </row>
    <row r="61" spans="2:10" ht="15.6" thickBot="1">
      <c r="B61" s="5"/>
      <c r="C61" s="13" t="s">
        <v>51</v>
      </c>
      <c r="D61" s="13" t="s">
        <v>26</v>
      </c>
      <c r="E61" s="14"/>
      <c r="F61" s="18">
        <v>1</v>
      </c>
      <c r="G61" s="13" t="s">
        <v>52</v>
      </c>
    </row>
    <row r="62" spans="2:10" ht="19.5" customHeight="1" thickBot="1">
      <c r="B62" s="6"/>
      <c r="C62" s="26"/>
      <c r="D62" s="24"/>
      <c r="E62" s="24"/>
      <c r="F62" s="28">
        <f>SUM(F60:F61)</f>
        <v>2</v>
      </c>
      <c r="G62" s="23"/>
      <c r="H62" s="1">
        <f>F62/8</f>
        <v>0.25</v>
      </c>
      <c r="I62" s="1">
        <f>H62*50000</f>
        <v>12500</v>
      </c>
    </row>
    <row r="63" spans="2:10" ht="15.6" thickBot="1">
      <c r="F63" s="2">
        <f>SUM(F42,F48,F51,F55,F59,F62)</f>
        <v>256</v>
      </c>
      <c r="I63" s="25">
        <f>F63/8</f>
        <v>32</v>
      </c>
      <c r="J63" s="1" t="s">
        <v>4</v>
      </c>
    </row>
    <row r="65" spans="1:9">
      <c r="A65" s="1" t="s">
        <v>53</v>
      </c>
    </row>
    <row r="66" spans="1:9">
      <c r="B66" s="1" t="s">
        <v>54</v>
      </c>
    </row>
    <row r="67" spans="1:9" ht="15.6" thickBot="1"/>
    <row r="68" spans="1:9" ht="15.6" thickBot="1">
      <c r="B68" s="3" t="s">
        <v>8</v>
      </c>
      <c r="C68" s="7" t="s">
        <v>9</v>
      </c>
      <c r="D68" s="7" t="s">
        <v>55</v>
      </c>
      <c r="E68" s="8" t="s">
        <v>11</v>
      </c>
      <c r="F68" s="7" t="s">
        <v>12</v>
      </c>
      <c r="G68" s="7" t="s">
        <v>13</v>
      </c>
    </row>
    <row r="69" spans="1:9">
      <c r="B69" s="4" t="s">
        <v>14</v>
      </c>
      <c r="C69" s="9" t="s">
        <v>56</v>
      </c>
      <c r="D69" s="9" t="s">
        <v>57</v>
      </c>
      <c r="E69" s="9" t="s">
        <v>58</v>
      </c>
      <c r="F69" s="16">
        <v>2</v>
      </c>
      <c r="G69" s="9"/>
    </row>
    <row r="70" spans="1:9">
      <c r="B70" s="5"/>
      <c r="C70" s="11" t="s">
        <v>18</v>
      </c>
      <c r="D70" s="11" t="s">
        <v>57</v>
      </c>
      <c r="E70" s="11" t="s">
        <v>59</v>
      </c>
      <c r="F70" s="17">
        <v>2</v>
      </c>
      <c r="G70" s="11"/>
    </row>
    <row r="71" spans="1:9" ht="15.6" thickBot="1">
      <c r="B71" s="5"/>
      <c r="C71" s="13" t="s">
        <v>25</v>
      </c>
      <c r="D71" s="13" t="s">
        <v>26</v>
      </c>
      <c r="E71" s="13" t="s">
        <v>25</v>
      </c>
      <c r="F71" s="18">
        <v>0.5</v>
      </c>
      <c r="G71" s="13"/>
    </row>
    <row r="72" spans="1:9" ht="15.6" thickBot="1">
      <c r="B72" s="6"/>
      <c r="C72" s="26"/>
      <c r="D72" s="24"/>
      <c r="E72" s="24"/>
      <c r="F72" s="28">
        <f>SUM(F69:F71)</f>
        <v>4.5</v>
      </c>
      <c r="G72" s="23"/>
      <c r="H72" s="1">
        <f>ROUNDUP(F72/8,1)</f>
        <v>0.6</v>
      </c>
      <c r="I72" s="1">
        <f>H72*50000</f>
        <v>30000</v>
      </c>
    </row>
    <row r="73" spans="1:9">
      <c r="B73" s="4" t="s">
        <v>27</v>
      </c>
      <c r="C73" s="15" t="s">
        <v>60</v>
      </c>
      <c r="D73" s="9" t="s">
        <v>57</v>
      </c>
      <c r="E73" s="1" t="s">
        <v>61</v>
      </c>
      <c r="F73" s="19">
        <v>2</v>
      </c>
      <c r="G73" s="15"/>
    </row>
    <row r="74" spans="1:9">
      <c r="B74" s="5"/>
      <c r="C74" s="11" t="s">
        <v>62</v>
      </c>
      <c r="D74" s="11" t="s">
        <v>57</v>
      </c>
      <c r="E74" s="12" t="s">
        <v>63</v>
      </c>
      <c r="F74" s="17">
        <v>2</v>
      </c>
      <c r="G74" s="11"/>
    </row>
    <row r="75" spans="1:9" ht="15.6" thickBot="1">
      <c r="B75" s="5"/>
      <c r="C75" s="13" t="s">
        <v>25</v>
      </c>
      <c r="D75" s="13" t="s">
        <v>26</v>
      </c>
      <c r="E75" s="14" t="s">
        <v>25</v>
      </c>
      <c r="F75" s="18">
        <v>0.5</v>
      </c>
      <c r="G75" s="13"/>
    </row>
    <row r="76" spans="1:9" ht="15.6" thickBot="1">
      <c r="B76" s="6"/>
      <c r="C76" s="26"/>
      <c r="D76" s="24"/>
      <c r="E76" s="22"/>
      <c r="F76" s="27">
        <f>SUM(F73:F75)</f>
        <v>4.5</v>
      </c>
      <c r="G76" s="21"/>
      <c r="H76" s="1">
        <f>ROUNDUP(F76/8,1)</f>
        <v>0.6</v>
      </c>
      <c r="I76" s="1">
        <f>H76*50000</f>
        <v>30000</v>
      </c>
    </row>
    <row r="77" spans="1:9">
      <c r="B77" s="4" t="s">
        <v>35</v>
      </c>
      <c r="C77" s="9" t="s">
        <v>36</v>
      </c>
      <c r="D77" s="9" t="s">
        <v>16</v>
      </c>
      <c r="E77" s="10" t="s">
        <v>37</v>
      </c>
      <c r="F77" s="16">
        <v>2.5</v>
      </c>
      <c r="G77" s="9"/>
    </row>
    <row r="78" spans="1:9" ht="15.6" thickBot="1">
      <c r="B78" s="5"/>
      <c r="C78" s="13" t="s">
        <v>25</v>
      </c>
      <c r="D78" s="13" t="s">
        <v>26</v>
      </c>
      <c r="E78" s="14" t="s">
        <v>25</v>
      </c>
      <c r="F78" s="18">
        <v>0.5</v>
      </c>
      <c r="G78" s="13"/>
    </row>
    <row r="79" spans="1:9" ht="15.6" thickBot="1">
      <c r="B79" s="6"/>
      <c r="C79" s="26"/>
      <c r="D79" s="24"/>
      <c r="E79" s="24"/>
      <c r="F79" s="28">
        <f>SUM(F77:F78)</f>
        <v>3</v>
      </c>
      <c r="G79" s="23"/>
    </row>
    <row r="80" spans="1:9">
      <c r="B80" s="20" t="s">
        <v>38</v>
      </c>
      <c r="C80" s="15" t="s">
        <v>60</v>
      </c>
      <c r="D80" s="15" t="s">
        <v>40</v>
      </c>
      <c r="E80" s="1" t="s">
        <v>41</v>
      </c>
      <c r="F80" s="19">
        <v>3</v>
      </c>
      <c r="G80" s="15"/>
    </row>
    <row r="81" spans="2:10">
      <c r="B81" s="5" t="s">
        <v>42</v>
      </c>
      <c r="C81" s="11" t="s">
        <v>62</v>
      </c>
      <c r="D81" s="11" t="s">
        <v>40</v>
      </c>
      <c r="E81" s="12" t="s">
        <v>41</v>
      </c>
      <c r="F81" s="17">
        <v>3</v>
      </c>
      <c r="G81" s="11"/>
    </row>
    <row r="82" spans="2:10" ht="15.6" thickBot="1">
      <c r="B82" s="5"/>
      <c r="C82" s="13" t="s">
        <v>25</v>
      </c>
      <c r="D82" s="13" t="s">
        <v>26</v>
      </c>
      <c r="E82" s="14" t="s">
        <v>25</v>
      </c>
      <c r="F82" s="18">
        <v>0.5</v>
      </c>
      <c r="G82" s="13"/>
      <c r="I82" s="2"/>
    </row>
    <row r="83" spans="2:10" ht="15.6" thickBot="1">
      <c r="B83" s="6"/>
      <c r="C83" s="26"/>
      <c r="D83" s="24"/>
      <c r="E83" s="24"/>
      <c r="F83" s="28">
        <f>SUM(F80:F82)</f>
        <v>6.5</v>
      </c>
      <c r="G83" s="23"/>
    </row>
    <row r="84" spans="2:10">
      <c r="B84" s="20" t="s">
        <v>38</v>
      </c>
      <c r="C84" s="15" t="s">
        <v>60</v>
      </c>
      <c r="D84" s="15" t="s">
        <v>40</v>
      </c>
      <c r="E84" s="1" t="s">
        <v>45</v>
      </c>
      <c r="F84" s="19">
        <v>2</v>
      </c>
      <c r="G84" s="15"/>
    </row>
    <row r="85" spans="2:10">
      <c r="B85" s="20"/>
      <c r="C85" s="11" t="s">
        <v>62</v>
      </c>
      <c r="D85" s="11" t="s">
        <v>40</v>
      </c>
      <c r="E85" s="12" t="s">
        <v>45</v>
      </c>
      <c r="F85" s="17">
        <v>2</v>
      </c>
      <c r="G85" s="11"/>
    </row>
    <row r="86" spans="2:10" ht="15.6" thickBot="1">
      <c r="B86" s="5" t="s">
        <v>48</v>
      </c>
      <c r="C86" s="13" t="s">
        <v>64</v>
      </c>
      <c r="D86" s="13" t="s">
        <v>26</v>
      </c>
      <c r="E86" s="14" t="s">
        <v>25</v>
      </c>
      <c r="F86" s="18">
        <v>0.5</v>
      </c>
      <c r="G86" s="13"/>
    </row>
    <row r="87" spans="2:10" ht="15.6" thickBot="1">
      <c r="B87" s="6"/>
      <c r="C87" s="26"/>
      <c r="D87" s="24"/>
      <c r="E87" s="22"/>
      <c r="F87" s="27">
        <f>SUM(F84:F86)</f>
        <v>4.5</v>
      </c>
      <c r="G87" s="21"/>
      <c r="H87" s="1">
        <f>ROUNDUP(SUM(F79,F83,F87)/8,1)</f>
        <v>1.8</v>
      </c>
      <c r="I87" s="1">
        <f>H87*50000</f>
        <v>90000</v>
      </c>
    </row>
    <row r="88" spans="2:10" hidden="1">
      <c r="B88" s="4" t="s">
        <v>49</v>
      </c>
      <c r="C88" s="9" t="s">
        <v>50</v>
      </c>
      <c r="D88" s="9" t="s">
        <v>26</v>
      </c>
      <c r="E88" s="10"/>
      <c r="F88" s="16">
        <v>2</v>
      </c>
      <c r="G88" s="9"/>
    </row>
    <row r="89" spans="2:10" ht="15.6" hidden="1" thickBot="1">
      <c r="B89" s="5"/>
      <c r="C89" s="13" t="s">
        <v>51</v>
      </c>
      <c r="D89" s="13" t="s">
        <v>26</v>
      </c>
      <c r="E89" s="14"/>
      <c r="F89" s="18">
        <v>2</v>
      </c>
      <c r="G89" s="13" t="s">
        <v>52</v>
      </c>
    </row>
    <row r="90" spans="2:10" ht="15.6" hidden="1" thickBot="1">
      <c r="B90" s="6"/>
      <c r="C90" s="26"/>
      <c r="D90" s="24"/>
      <c r="E90" s="24"/>
      <c r="F90" s="28">
        <f>SUM(F88:F89)</f>
        <v>4</v>
      </c>
      <c r="G90" s="23"/>
      <c r="I90" s="2"/>
    </row>
    <row r="91" spans="2:10" ht="15.6" thickBot="1">
      <c r="F91" s="2"/>
      <c r="I91" s="25">
        <f>SUM(H72:H87)</f>
        <v>3</v>
      </c>
      <c r="J91" s="1" t="s">
        <v>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69691-DBD1-4181-BFB9-F030B94A4CCB}">
  <dimension ref="A1:H8"/>
  <sheetViews>
    <sheetView workbookViewId="0">
      <selection activeCell="H12" sqref="H12"/>
    </sheetView>
  </sheetViews>
  <sheetFormatPr defaultRowHeight="18"/>
  <cols>
    <col min="2" max="2" width="6.875" bestFit="1" customWidth="1"/>
    <col min="3" max="3" width="11.5" bestFit="1" customWidth="1"/>
    <col min="8" max="8" width="13.75" bestFit="1" customWidth="1"/>
  </cols>
  <sheetData>
    <row r="1" spans="1:8">
      <c r="A1" t="s">
        <v>65</v>
      </c>
      <c r="F1" t="s">
        <v>66</v>
      </c>
    </row>
    <row r="2" spans="1:8">
      <c r="A2" s="41" t="s">
        <v>14</v>
      </c>
      <c r="B2" s="35">
        <v>6.2</v>
      </c>
      <c r="C2" s="34">
        <f>B2*50000</f>
        <v>310000</v>
      </c>
      <c r="D2" s="37"/>
      <c r="E2" s="38"/>
      <c r="F2" s="33" t="s">
        <v>67</v>
      </c>
      <c r="G2" s="35">
        <v>1</v>
      </c>
      <c r="H2" s="34">
        <f>G2*50000</f>
        <v>50000</v>
      </c>
    </row>
    <row r="3" spans="1:8">
      <c r="A3" s="41" t="s">
        <v>27</v>
      </c>
      <c r="B3" s="35">
        <v>13.4</v>
      </c>
      <c r="C3" s="34">
        <f>B3*50000</f>
        <v>670000</v>
      </c>
      <c r="D3" s="37"/>
      <c r="E3" s="38"/>
      <c r="F3" s="33" t="s">
        <v>68</v>
      </c>
      <c r="G3" s="35">
        <v>1</v>
      </c>
      <c r="H3" s="34">
        <f>G3*50000</f>
        <v>50000</v>
      </c>
    </row>
    <row r="4" spans="1:8">
      <c r="A4" s="41" t="s">
        <v>38</v>
      </c>
      <c r="B4" s="35">
        <v>17.399999999999999</v>
      </c>
      <c r="C4" s="34">
        <f>B4*50000</f>
        <v>869999.99999999988</v>
      </c>
      <c r="D4" s="37"/>
      <c r="E4" s="38"/>
      <c r="F4" s="33" t="s">
        <v>69</v>
      </c>
      <c r="G4" s="35">
        <v>32</v>
      </c>
      <c r="H4" s="34">
        <v>1600000</v>
      </c>
    </row>
    <row r="5" spans="1:8">
      <c r="A5" s="41" t="s">
        <v>49</v>
      </c>
      <c r="B5" s="35">
        <v>1</v>
      </c>
      <c r="C5" s="34">
        <v>50000</v>
      </c>
      <c r="D5" s="37"/>
      <c r="E5" s="38"/>
      <c r="F5" s="33" t="s">
        <v>70</v>
      </c>
      <c r="G5" s="35">
        <v>3</v>
      </c>
      <c r="H5" s="34">
        <v>150000</v>
      </c>
    </row>
    <row r="6" spans="1:8">
      <c r="A6" s="41" t="s">
        <v>71</v>
      </c>
      <c r="B6" s="36">
        <f>SUM(B2:B5)</f>
        <v>38</v>
      </c>
      <c r="C6" s="33">
        <f>SUM(C2:C5)</f>
        <v>1900000</v>
      </c>
      <c r="D6" s="37"/>
      <c r="E6" s="38"/>
      <c r="F6" s="33" t="s">
        <v>49</v>
      </c>
      <c r="G6" s="35">
        <v>1</v>
      </c>
      <c r="H6" s="34">
        <v>50000</v>
      </c>
    </row>
    <row r="7" spans="1:8">
      <c r="A7" s="41" t="s">
        <v>72</v>
      </c>
      <c r="B7" s="36">
        <f>ROUNDUP(B6*0.15,)</f>
        <v>6</v>
      </c>
      <c r="C7" s="33">
        <f>B7*70000</f>
        <v>420000</v>
      </c>
      <c r="D7" s="37"/>
      <c r="E7" s="38"/>
      <c r="F7" s="33" t="s">
        <v>72</v>
      </c>
      <c r="G7" s="35">
        <f>B7</f>
        <v>6</v>
      </c>
      <c r="H7" s="34">
        <f>C7</f>
        <v>420000</v>
      </c>
    </row>
    <row r="8" spans="1:8">
      <c r="A8" s="42" t="s">
        <v>73</v>
      </c>
      <c r="B8" s="39">
        <f>SUM(B6:B7)</f>
        <v>44</v>
      </c>
      <c r="C8" s="40">
        <f>SUM(C6:C7)</f>
        <v>2320000</v>
      </c>
      <c r="D8" s="37"/>
      <c r="E8" s="38"/>
      <c r="F8" s="40" t="s">
        <v>73</v>
      </c>
      <c r="G8" s="39">
        <f>SUM(G2:G7)</f>
        <v>44</v>
      </c>
      <c r="H8" s="40">
        <f>SUM(H2:H7)</f>
        <v>2320000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cd2f88ee6a2934efb41cd9289b91e144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a4c4fd50c0b00be67728f9d39ce10164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AF2EC-315D-4011-ACCD-C4DFCC0675D1}"/>
</file>

<file path=customXml/itemProps2.xml><?xml version="1.0" encoding="utf-8"?>
<ds:datastoreItem xmlns:ds="http://schemas.openxmlformats.org/officeDocument/2006/customXml" ds:itemID="{47D67AD5-BF0A-42FE-A479-E544D194D401}"/>
</file>

<file path=customXml/itemProps3.xml><?xml version="1.0" encoding="utf-8"?>
<ds:datastoreItem xmlns:ds="http://schemas.openxmlformats.org/officeDocument/2006/customXml" ds:itemID="{3BE79A4C-C4E1-404D-8ACC-4A3A15BF58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澤田晶子</dc:creator>
  <cp:keywords/>
  <dc:description/>
  <cp:lastModifiedBy>福田一希</cp:lastModifiedBy>
  <cp:revision/>
  <dcterms:created xsi:type="dcterms:W3CDTF">2025-10-10T02:07:58Z</dcterms:created>
  <dcterms:modified xsi:type="dcterms:W3CDTF">2025-10-28T10:47:45Z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