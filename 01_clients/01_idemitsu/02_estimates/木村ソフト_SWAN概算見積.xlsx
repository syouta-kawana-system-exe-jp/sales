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次世代研SWANシステム 縮小版共通基盤移行\01_見積り\木村さん\"/>
    </mc:Choice>
  </mc:AlternateContent>
  <xr:revisionPtr revIDLastSave="0" documentId="13_ncr:1_{3D727B99-D786-45AC-BC68-0ED1F607B554}" xr6:coauthVersionLast="47" xr6:coauthVersionMax="47" xr10:uidLastSave="{00000000-0000-0000-0000-000000000000}"/>
  <bookViews>
    <workbookView xWindow="1140" yWindow="1140" windowWidth="16530" windowHeight="8380" activeTab="1" xr2:uid="{D49ED40E-D0CA-44E7-AA0C-B9E609C699FD}"/>
  </bookViews>
  <sheets>
    <sheet name="概算工数" sheetId="1" r:id="rId1"/>
    <sheet name="概算工数 (2)" sheetId="3" r:id="rId2"/>
    <sheet name="工数詳細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F28" i="3"/>
  <c r="E8" i="3"/>
  <c r="C7" i="3"/>
  <c r="D7" i="3"/>
  <c r="B7" i="3"/>
  <c r="E7" i="3" l="1"/>
  <c r="D5" i="3" l="1"/>
  <c r="D9" i="1"/>
  <c r="D8" i="1"/>
  <c r="D5" i="1"/>
  <c r="C28" i="2"/>
  <c r="C27" i="2"/>
  <c r="B27" i="2"/>
  <c r="C23" i="2"/>
  <c r="C22" i="2"/>
  <c r="C21" i="2"/>
  <c r="G18" i="2"/>
  <c r="G17" i="2"/>
  <c r="G16" i="2"/>
</calcChain>
</file>

<file path=xl/sharedStrings.xml><?xml version="1.0" encoding="utf-8"?>
<sst xmlns="http://schemas.openxmlformats.org/spreadsheetml/2006/main" count="94" uniqueCount="67">
  <si>
    <t>木村</t>
    <rPh sb="0" eb="2">
      <t>キムラ</t>
    </rPh>
    <phoneticPr fontId="1"/>
  </si>
  <si>
    <t>高</t>
    <rPh sb="0" eb="1">
      <t>コウ</t>
    </rPh>
    <phoneticPr fontId="1"/>
  </si>
  <si>
    <t>王志鵬</t>
    <rPh sb="0" eb="1">
      <t>オウ</t>
    </rPh>
    <rPh sb="1" eb="2">
      <t>シ</t>
    </rPh>
    <rPh sb="2" eb="3">
      <t>ホウ</t>
    </rPh>
    <phoneticPr fontId="1"/>
  </si>
  <si>
    <t>No</t>
  </si>
  <si>
    <t>分類</t>
  </si>
  <si>
    <t>機能数</t>
  </si>
  <si>
    <t>作業範囲</t>
  </si>
  <si>
    <t>作業対象外</t>
  </si>
  <si>
    <t>画面</t>
  </si>
  <si>
    <t>全体：163</t>
  </si>
  <si>
    <t>対象：70</t>
  </si>
  <si>
    <t>対象外：93</t>
  </si>
  <si>
    <r>
      <t>システム内の</t>
    </r>
    <r>
      <rPr>
        <sz val="14"/>
        <color rgb="FFFF0000"/>
        <rFont val="游ゴシック"/>
        <family val="3"/>
        <charset val="128"/>
      </rPr>
      <t>LIMS機能</t>
    </r>
    <r>
      <rPr>
        <sz val="14"/>
        <color rgb="FF323232"/>
        <rFont val="游ゴシック"/>
        <family val="3"/>
        <charset val="128"/>
      </rPr>
      <t>を</t>
    </r>
    <r>
      <rPr>
        <sz val="14"/>
        <color rgb="FFFF0000"/>
        <rFont val="游ゴシック"/>
        <family val="3"/>
        <charset val="128"/>
      </rPr>
      <t>システム管理者権限</t>
    </r>
    <r>
      <rPr>
        <sz val="14"/>
        <color rgb="FF323232"/>
        <rFont val="游ゴシック"/>
        <family val="3"/>
        <charset val="128"/>
      </rPr>
      <t>で確認し、初期画面の描画や正常系の動作に問題がないことを確認します。</t>
    </r>
  </si>
  <si>
    <t>・データベースの参照・登録</t>
  </si>
  <si>
    <t>・画面遷移</t>
  </si>
  <si>
    <t>・ボタン押下　等</t>
  </si>
  <si>
    <t>・全機能の確認（ボタン等）</t>
  </si>
  <si>
    <t>・業務パターンのシナリオテスト</t>
  </si>
  <si>
    <t>帳票</t>
  </si>
  <si>
    <t>全体：50</t>
  </si>
  <si>
    <t>対象：34</t>
  </si>
  <si>
    <t>対象外：16</t>
  </si>
  <si>
    <r>
      <t>対象帳票</t>
    </r>
    <r>
      <rPr>
        <sz val="14"/>
        <color rgb="FF323232"/>
        <rFont val="游ゴシック"/>
        <family val="3"/>
        <charset val="128"/>
      </rPr>
      <t>を出力し、帳票機能に問題ないことを確認します。</t>
    </r>
  </si>
  <si>
    <t>・帳票内の全項目の印字</t>
  </si>
  <si>
    <t>・複数ページ印刷</t>
  </si>
  <si>
    <t>I/F</t>
  </si>
  <si>
    <t>全体：10</t>
  </si>
  <si>
    <t>対象：9</t>
  </si>
  <si>
    <t>対象外：1</t>
  </si>
  <si>
    <t>各周辺システムとのデータ連携を検証環境にて実施します。</t>
  </si>
  <si>
    <t>各連携が正常に動作することを確認します。</t>
  </si>
  <si>
    <t>※本番環境については、疎通テストとし、各システムごとに</t>
  </si>
  <si>
    <t>　1連携の実施を想定します。</t>
  </si>
  <si>
    <t>・I/F項目の全項目テスト</t>
  </si>
  <si>
    <t>JOB</t>
  </si>
  <si>
    <t>全体：8</t>
  </si>
  <si>
    <t>対象：4</t>
  </si>
  <si>
    <t>対象外：4</t>
  </si>
  <si>
    <r>
      <t>対象JOB</t>
    </r>
    <r>
      <rPr>
        <sz val="14"/>
        <color rgb="FF323232"/>
        <rFont val="游ゴシック"/>
        <family val="3"/>
        <charset val="128"/>
      </rPr>
      <t>の実行確認を実施します。</t>
    </r>
  </si>
  <si>
    <t>※手動実行を想定</t>
  </si>
  <si>
    <t>・異常系のテスト</t>
  </si>
  <si>
    <t>・繰り返しのテスト</t>
  </si>
  <si>
    <t>・定期起動の確認</t>
  </si>
  <si>
    <t>工程</t>
  </si>
  <si>
    <t>工数（人月）</t>
  </si>
  <si>
    <t>要件定義</t>
  </si>
  <si>
    <t>基本設計</t>
  </si>
  <si>
    <t>開発・環境構築</t>
  </si>
  <si>
    <t>結合テスト</t>
  </si>
  <si>
    <t>システムテスト</t>
  </si>
  <si>
    <t>運用テスト</t>
  </si>
  <si>
    <t>本番移行</t>
  </si>
  <si>
    <t>初期流動</t>
  </si>
  <si>
    <t>←サブリーダー（金曜打ち合わせ参加）</t>
    <rPh sb="8" eb="10">
      <t>キンヨウ</t>
    </rPh>
    <rPh sb="10" eb="11">
      <t>ウ</t>
    </rPh>
    <rPh sb="12" eb="13">
      <t>ア</t>
    </rPh>
    <rPh sb="15" eb="17">
      <t>サンカ</t>
    </rPh>
    <phoneticPr fontId="1"/>
  </si>
  <si>
    <t>←※金曜打ち合わせ不参加</t>
    <rPh sb="2" eb="4">
      <t>キンヨウ</t>
    </rPh>
    <rPh sb="4" eb="5">
      <t>ウ</t>
    </rPh>
    <rPh sb="6" eb="7">
      <t>ア</t>
    </rPh>
    <rPh sb="9" eb="10">
      <t>フ</t>
    </rPh>
    <rPh sb="10" eb="12">
      <t>サンカ</t>
    </rPh>
    <phoneticPr fontId="1"/>
  </si>
  <si>
    <t>全体</t>
    <rPh sb="0" eb="2">
      <t>ゼンタイ</t>
    </rPh>
    <phoneticPr fontId="1"/>
  </si>
  <si>
    <t>LIMS</t>
    <phoneticPr fontId="1"/>
  </si>
  <si>
    <t>SWAN(購買)</t>
    <rPh sb="5" eb="7">
      <t>コウバイ</t>
    </rPh>
    <phoneticPr fontId="1"/>
  </si>
  <si>
    <t>SWAN購買</t>
    <rPh sb="4" eb="6">
      <t>コウバイ</t>
    </rPh>
    <phoneticPr fontId="1"/>
  </si>
  <si>
    <t>郭さん</t>
    <rPh sb="0" eb="1">
      <t>カク</t>
    </rPh>
    <phoneticPr fontId="1"/>
  </si>
  <si>
    <t>←作業者(LIMS)</t>
    <rPh sb="1" eb="3">
      <t>サギョウ</t>
    </rPh>
    <rPh sb="3" eb="4">
      <t>シャ</t>
    </rPh>
    <phoneticPr fontId="1"/>
  </si>
  <si>
    <t>←作業者(SWAN購買)</t>
    <rPh sb="1" eb="4">
      <t>サギョウシャ</t>
    </rPh>
    <rPh sb="9" eb="11">
      <t>コウバイ</t>
    </rPh>
    <phoneticPr fontId="1"/>
  </si>
  <si>
    <t>説明</t>
    <rPh sb="0" eb="2">
      <t>セツメイ</t>
    </rPh>
    <phoneticPr fontId="1"/>
  </si>
  <si>
    <t>元</t>
    <rPh sb="0" eb="1">
      <t>モト</t>
    </rPh>
    <phoneticPr fontId="1"/>
  </si>
  <si>
    <t>テスト減</t>
    <rPh sb="3" eb="4">
      <t>ゲン</t>
    </rPh>
    <phoneticPr fontId="1"/>
  </si>
  <si>
    <t>合計</t>
    <rPh sb="0" eb="2">
      <t>ゴウケイ</t>
    </rPh>
    <phoneticPr fontId="1"/>
  </si>
  <si>
    <t>見積り</t>
    <rPh sb="0" eb="2">
      <t>ミツモ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</si>
</sst>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</font>
    <font>
      <sz val="14"/>
      <color rgb="FF323232"/>
      <name val="游ゴシック"/>
      <family val="3"/>
      <charset val="128"/>
    </font>
    <font>
      <sz val="14"/>
      <color rgb="FFFF0000"/>
      <name val="游ゴシック"/>
      <family val="3"/>
      <charset val="128"/>
    </font>
    <font>
      <b/>
      <sz val="9"/>
      <color rgb="FFCFCFCF"/>
      <name val="メイリオ"/>
      <family val="3"/>
      <charset val="128"/>
    </font>
    <font>
      <sz val="9"/>
      <color rgb="FF222222"/>
      <name val="メイリオ"/>
      <family val="3"/>
      <charset val="128"/>
    </font>
    <font>
      <sz val="9"/>
      <color rgb="FF323232"/>
      <name val="メイリオ"/>
      <family val="3"/>
      <charset val="128"/>
    </font>
    <font>
      <sz val="11"/>
      <color rgb="FFFF0000"/>
      <name val="游ゴシック"/>
      <family val="2"/>
      <charset val="128"/>
      <scheme val="minor"/>
    </font>
    <font>
      <sz val="9"/>
      <color rgb="FFFF0000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9A3B5D"/>
        <bgColor indexed="64"/>
      </patternFill>
    </fill>
    <fill>
      <patternFill patternType="solid">
        <fgColor rgb="FFFFC285"/>
        <bgColor indexed="64"/>
      </patternFill>
    </fill>
    <fill>
      <patternFill patternType="solid">
        <fgColor rgb="FFCFEB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0" fillId="0" borderId="4" xfId="0" applyBorder="1" applyAlignment="1">
      <alignment vertical="center" wrapText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3" fillId="4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0" fillId="4" borderId="3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3" fillId="4" borderId="4" xfId="0" applyFont="1" applyFill="1" applyBorder="1" applyAlignment="1">
      <alignment horizontal="left" vertical="center" wrapText="1" readingOrder="1"/>
    </xf>
    <xf numFmtId="0" fontId="0" fillId="3" borderId="4" xfId="0" applyFill="1" applyBorder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0" fillId="0" borderId="5" xfId="0" applyBorder="1">
      <alignment vertical="center"/>
    </xf>
    <xf numFmtId="0" fontId="0" fillId="6" borderId="5" xfId="0" applyFill="1" applyBorder="1">
      <alignment vertical="center"/>
    </xf>
    <xf numFmtId="0" fontId="0" fillId="7" borderId="5" xfId="0" applyFill="1" applyBorder="1">
      <alignment vertical="center"/>
    </xf>
    <xf numFmtId="0" fontId="0" fillId="8" borderId="5" xfId="0" applyFill="1" applyBorder="1">
      <alignment vertical="center"/>
    </xf>
    <xf numFmtId="0" fontId="8" fillId="0" borderId="5" xfId="0" applyFont="1" applyBorder="1">
      <alignment vertical="center"/>
    </xf>
    <xf numFmtId="0" fontId="0" fillId="0" borderId="5" xfId="0" quotePrefix="1" applyBorder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 wrapText="1"/>
    </xf>
    <xf numFmtId="176" fontId="0" fillId="0" borderId="5" xfId="0" applyNumberForma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40F1-A8AC-49E7-92A2-FD4E54BDC979}">
  <dimension ref="A1:E9"/>
  <sheetViews>
    <sheetView workbookViewId="0">
      <selection sqref="A1:E1"/>
    </sheetView>
  </sheetViews>
  <sheetFormatPr defaultRowHeight="18" x14ac:dyDescent="0.55000000000000004"/>
  <cols>
    <col min="5" max="5" width="37.75" bestFit="1" customWidth="1"/>
  </cols>
  <sheetData>
    <row r="1" spans="1:5" x14ac:dyDescent="0.55000000000000004">
      <c r="A1" s="20"/>
      <c r="B1" s="20">
        <v>10</v>
      </c>
      <c r="C1" s="20">
        <v>11</v>
      </c>
      <c r="D1" s="20">
        <v>12</v>
      </c>
      <c r="E1" s="20" t="s">
        <v>62</v>
      </c>
    </row>
    <row r="2" spans="1:5" x14ac:dyDescent="0.55000000000000004">
      <c r="A2" s="20" t="s">
        <v>0</v>
      </c>
      <c r="B2" s="20">
        <v>0.05</v>
      </c>
      <c r="C2" s="20">
        <v>0.05</v>
      </c>
      <c r="D2" s="20">
        <v>0.05</v>
      </c>
      <c r="E2" s="20" t="s">
        <v>54</v>
      </c>
    </row>
    <row r="3" spans="1:5" x14ac:dyDescent="0.55000000000000004">
      <c r="A3" s="20" t="s">
        <v>1</v>
      </c>
      <c r="B3" s="20">
        <v>0.05</v>
      </c>
      <c r="C3" s="20">
        <v>1</v>
      </c>
      <c r="D3" s="20">
        <v>1</v>
      </c>
      <c r="E3" s="20" t="s">
        <v>53</v>
      </c>
    </row>
    <row r="4" spans="1:5" x14ac:dyDescent="0.55000000000000004">
      <c r="A4" s="20" t="s">
        <v>2</v>
      </c>
      <c r="B4" s="20">
        <v>1</v>
      </c>
      <c r="C4" s="20">
        <v>1</v>
      </c>
      <c r="D4" s="20">
        <v>0.5</v>
      </c>
      <c r="E4" s="20" t="s">
        <v>60</v>
      </c>
    </row>
    <row r="5" spans="1:5" x14ac:dyDescent="0.55000000000000004">
      <c r="A5" s="20"/>
      <c r="B5" s="20"/>
      <c r="C5" s="20"/>
      <c r="D5" s="20">
        <f>SUM(B2:D4)</f>
        <v>4.7</v>
      </c>
      <c r="E5" s="20"/>
    </row>
    <row r="6" spans="1:5" x14ac:dyDescent="0.55000000000000004">
      <c r="A6" s="21" t="s">
        <v>59</v>
      </c>
      <c r="B6" s="21"/>
      <c r="C6" s="21">
        <v>1</v>
      </c>
      <c r="D6" s="21">
        <v>1</v>
      </c>
      <c r="E6" s="21" t="s">
        <v>61</v>
      </c>
    </row>
    <row r="7" spans="1:5" x14ac:dyDescent="0.55000000000000004">
      <c r="A7" s="21" t="s">
        <v>2</v>
      </c>
      <c r="B7" s="21"/>
      <c r="C7" s="21"/>
      <c r="D7" s="21">
        <v>0.5</v>
      </c>
      <c r="E7" s="21" t="s">
        <v>61</v>
      </c>
    </row>
    <row r="8" spans="1:5" x14ac:dyDescent="0.55000000000000004">
      <c r="D8">
        <f>SUM(B6:D7)</f>
        <v>2.5</v>
      </c>
    </row>
    <row r="9" spans="1:5" x14ac:dyDescent="0.55000000000000004">
      <c r="D9">
        <f>D5+D8</f>
        <v>7.2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9729-0AEB-4DCC-A1CF-07A1D33574A3}">
  <dimension ref="A1:F28"/>
  <sheetViews>
    <sheetView tabSelected="1" workbookViewId="0">
      <selection activeCell="H11" sqref="H11"/>
    </sheetView>
  </sheetViews>
  <sheetFormatPr defaultRowHeight="18" x14ac:dyDescent="0.55000000000000004"/>
  <cols>
    <col min="5" max="5" width="37.75" bestFit="1" customWidth="1"/>
  </cols>
  <sheetData>
    <row r="1" spans="1:6" x14ac:dyDescent="0.55000000000000004">
      <c r="A1" s="22"/>
      <c r="B1" s="22">
        <v>10</v>
      </c>
      <c r="C1" s="22">
        <v>11</v>
      </c>
      <c r="D1" s="22">
        <v>12</v>
      </c>
      <c r="E1" s="22" t="s">
        <v>62</v>
      </c>
    </row>
    <row r="2" spans="1:6" x14ac:dyDescent="0.55000000000000004">
      <c r="A2" s="23" t="s">
        <v>0</v>
      </c>
      <c r="B2" s="25">
        <v>0.1</v>
      </c>
      <c r="C2" s="20">
        <v>0.05</v>
      </c>
      <c r="D2" s="20">
        <v>0.05</v>
      </c>
      <c r="E2" s="20" t="s">
        <v>54</v>
      </c>
    </row>
    <row r="3" spans="1:6" x14ac:dyDescent="0.55000000000000004">
      <c r="A3" s="23" t="s">
        <v>1</v>
      </c>
      <c r="B3" s="24">
        <v>0</v>
      </c>
      <c r="C3" s="24">
        <v>0.5</v>
      </c>
      <c r="D3" s="20">
        <v>1</v>
      </c>
      <c r="E3" s="20" t="s">
        <v>53</v>
      </c>
    </row>
    <row r="4" spans="1:6" x14ac:dyDescent="0.55000000000000004">
      <c r="A4" s="23" t="s">
        <v>2</v>
      </c>
      <c r="B4" s="20">
        <v>1</v>
      </c>
      <c r="C4" s="20">
        <v>1</v>
      </c>
      <c r="D4" s="20">
        <v>0.5</v>
      </c>
      <c r="E4" s="20" t="s">
        <v>60</v>
      </c>
    </row>
    <row r="5" spans="1:6" x14ac:dyDescent="0.55000000000000004">
      <c r="A5" s="20"/>
      <c r="B5" s="20"/>
      <c r="C5" s="20"/>
      <c r="D5" s="20">
        <f>SUM(B2:D4)</f>
        <v>4.2</v>
      </c>
      <c r="E5" s="20"/>
    </row>
    <row r="7" spans="1:6" x14ac:dyDescent="0.55000000000000004">
      <c r="A7" t="s">
        <v>65</v>
      </c>
      <c r="B7" s="20">
        <f>SUM(B2:B4)</f>
        <v>1.1000000000000001</v>
      </c>
      <c r="C7" s="20">
        <f t="shared" ref="C7:D7" si="0">SUM(C2:C4)</f>
        <v>1.55</v>
      </c>
      <c r="D7" s="20">
        <f t="shared" si="0"/>
        <v>1.55</v>
      </c>
      <c r="E7" s="30">
        <f>SUM(B7:D7)</f>
        <v>4.2</v>
      </c>
    </row>
    <row r="8" spans="1:6" x14ac:dyDescent="0.55000000000000004">
      <c r="A8" t="s">
        <v>66</v>
      </c>
      <c r="B8" s="20">
        <v>1.5</v>
      </c>
      <c r="C8" s="20">
        <v>1.5</v>
      </c>
      <c r="D8" s="20">
        <v>1.2</v>
      </c>
      <c r="E8" s="30">
        <f>SUM(B8:D8)</f>
        <v>4.2</v>
      </c>
    </row>
    <row r="12" spans="1:6" ht="29" x14ac:dyDescent="0.55000000000000004">
      <c r="C12" t="s">
        <v>64</v>
      </c>
      <c r="E12" s="26" t="s">
        <v>43</v>
      </c>
      <c r="F12" s="26" t="s">
        <v>44</v>
      </c>
    </row>
    <row r="13" spans="1:6" x14ac:dyDescent="0.55000000000000004">
      <c r="E13" s="27" t="s">
        <v>47</v>
      </c>
      <c r="F13" s="27">
        <v>1.5</v>
      </c>
    </row>
    <row r="14" spans="1:6" x14ac:dyDescent="0.55000000000000004">
      <c r="E14" s="27" t="s">
        <v>48</v>
      </c>
      <c r="F14" s="29">
        <v>1.5</v>
      </c>
    </row>
    <row r="15" spans="1:6" x14ac:dyDescent="0.55000000000000004">
      <c r="E15" s="27" t="s">
        <v>49</v>
      </c>
      <c r="F15" s="27">
        <v>0.2</v>
      </c>
    </row>
    <row r="16" spans="1:6" x14ac:dyDescent="0.55000000000000004">
      <c r="E16" s="27" t="s">
        <v>50</v>
      </c>
      <c r="F16" s="27">
        <v>0.3</v>
      </c>
    </row>
    <row r="17" spans="3:6" x14ac:dyDescent="0.55000000000000004">
      <c r="E17" s="27" t="s">
        <v>51</v>
      </c>
      <c r="F17" s="27">
        <v>0.5</v>
      </c>
    </row>
    <row r="18" spans="3:6" x14ac:dyDescent="0.55000000000000004">
      <c r="E18" s="27" t="s">
        <v>52</v>
      </c>
      <c r="F18" s="27">
        <v>0.2</v>
      </c>
    </row>
    <row r="19" spans="3:6" x14ac:dyDescent="0.55000000000000004">
      <c r="F19">
        <f>SUM(F13:F18)</f>
        <v>4.2</v>
      </c>
    </row>
    <row r="21" spans="3:6" ht="29" x14ac:dyDescent="0.55000000000000004">
      <c r="C21" t="s">
        <v>63</v>
      </c>
      <c r="E21" s="26" t="s">
        <v>43</v>
      </c>
      <c r="F21" s="26" t="s">
        <v>44</v>
      </c>
    </row>
    <row r="22" spans="3:6" x14ac:dyDescent="0.55000000000000004">
      <c r="E22" s="27" t="s">
        <v>47</v>
      </c>
      <c r="F22" s="27">
        <v>1.5</v>
      </c>
    </row>
    <row r="23" spans="3:6" x14ac:dyDescent="0.55000000000000004">
      <c r="E23" s="27" t="s">
        <v>48</v>
      </c>
      <c r="F23" s="28">
        <v>2</v>
      </c>
    </row>
    <row r="24" spans="3:6" x14ac:dyDescent="0.55000000000000004">
      <c r="E24" s="27" t="s">
        <v>49</v>
      </c>
      <c r="F24" s="27">
        <v>0.2</v>
      </c>
    </row>
    <row r="25" spans="3:6" x14ac:dyDescent="0.55000000000000004">
      <c r="E25" s="27" t="s">
        <v>50</v>
      </c>
      <c r="F25" s="27">
        <v>0.3</v>
      </c>
    </row>
    <row r="26" spans="3:6" x14ac:dyDescent="0.55000000000000004">
      <c r="E26" s="27" t="s">
        <v>51</v>
      </c>
      <c r="F26" s="27">
        <v>0.5</v>
      </c>
    </row>
    <row r="27" spans="3:6" x14ac:dyDescent="0.55000000000000004">
      <c r="E27" s="27" t="s">
        <v>52</v>
      </c>
      <c r="F27" s="27">
        <v>0.2</v>
      </c>
    </row>
    <row r="28" spans="3:6" x14ac:dyDescent="0.55000000000000004">
      <c r="F28">
        <f>SUM(F22:F27)</f>
        <v>4.7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7D0A-8BEF-4D58-B4B4-982826265B4A}">
  <dimension ref="A1:G28"/>
  <sheetViews>
    <sheetView topLeftCell="A4" zoomScale="55" zoomScaleNormal="55" workbookViewId="0">
      <selection activeCell="A17" sqref="A17:B27"/>
    </sheetView>
  </sheetViews>
  <sheetFormatPr defaultColWidth="16.58203125" defaultRowHeight="18" x14ac:dyDescent="0.55000000000000004"/>
  <cols>
    <col min="4" max="4" width="80.58203125" customWidth="1"/>
    <col min="5" max="5" width="40.58203125" customWidth="1"/>
  </cols>
  <sheetData>
    <row r="1" spans="1:7" ht="27" thickBot="1" x14ac:dyDescent="0.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7" ht="45" x14ac:dyDescent="0.55000000000000004">
      <c r="A2" s="31">
        <v>1</v>
      </c>
      <c r="B2" s="34" t="s">
        <v>8</v>
      </c>
      <c r="C2" s="2" t="s">
        <v>9</v>
      </c>
      <c r="D2" s="6" t="s">
        <v>12</v>
      </c>
      <c r="E2" s="9" t="s">
        <v>16</v>
      </c>
      <c r="F2">
        <v>163</v>
      </c>
    </row>
    <row r="3" spans="1:7" ht="22.5" x14ac:dyDescent="0.55000000000000004">
      <c r="A3" s="32"/>
      <c r="B3" s="35"/>
      <c r="C3" s="3" t="s">
        <v>10</v>
      </c>
      <c r="D3" s="7" t="s">
        <v>13</v>
      </c>
      <c r="E3" s="10" t="s">
        <v>17</v>
      </c>
      <c r="F3">
        <v>70</v>
      </c>
    </row>
    <row r="4" spans="1:7" ht="22.5" x14ac:dyDescent="0.55000000000000004">
      <c r="A4" s="32"/>
      <c r="B4" s="35"/>
      <c r="C4" s="4" t="s">
        <v>11</v>
      </c>
      <c r="D4" s="7" t="s">
        <v>14</v>
      </c>
      <c r="E4" s="11"/>
      <c r="F4">
        <v>93</v>
      </c>
    </row>
    <row r="5" spans="1:7" ht="23" thickBot="1" x14ac:dyDescent="0.6">
      <c r="A5" s="33"/>
      <c r="B5" s="36"/>
      <c r="C5" s="5"/>
      <c r="D5" s="8" t="s">
        <v>15</v>
      </c>
      <c r="E5" s="12"/>
    </row>
    <row r="6" spans="1:7" ht="22.5" x14ac:dyDescent="0.55000000000000004">
      <c r="A6" s="31">
        <v>2</v>
      </c>
      <c r="B6" s="34" t="s">
        <v>18</v>
      </c>
      <c r="C6" s="2" t="s">
        <v>19</v>
      </c>
      <c r="D6" s="37" t="s">
        <v>22</v>
      </c>
      <c r="E6" s="9" t="s">
        <v>23</v>
      </c>
      <c r="F6">
        <v>50</v>
      </c>
    </row>
    <row r="7" spans="1:7" ht="22.5" x14ac:dyDescent="0.55000000000000004">
      <c r="A7" s="32"/>
      <c r="B7" s="35"/>
      <c r="C7" s="3" t="s">
        <v>20</v>
      </c>
      <c r="D7" s="38"/>
      <c r="E7" s="10" t="s">
        <v>24</v>
      </c>
      <c r="F7">
        <v>34</v>
      </c>
    </row>
    <row r="8" spans="1:7" ht="23" thickBot="1" x14ac:dyDescent="0.6">
      <c r="A8" s="33"/>
      <c r="B8" s="36"/>
      <c r="C8" s="13" t="s">
        <v>21</v>
      </c>
      <c r="D8" s="39"/>
      <c r="E8" s="15" t="s">
        <v>17</v>
      </c>
      <c r="F8">
        <v>16</v>
      </c>
    </row>
    <row r="9" spans="1:7" ht="22.5" x14ac:dyDescent="0.55000000000000004">
      <c r="A9" s="31">
        <v>3</v>
      </c>
      <c r="B9" s="34" t="s">
        <v>25</v>
      </c>
      <c r="C9" s="2" t="s">
        <v>26</v>
      </c>
      <c r="D9" s="6" t="s">
        <v>29</v>
      </c>
      <c r="E9" s="9" t="s">
        <v>33</v>
      </c>
      <c r="F9">
        <v>10</v>
      </c>
    </row>
    <row r="10" spans="1:7" ht="22.5" x14ac:dyDescent="0.55000000000000004">
      <c r="A10" s="32"/>
      <c r="B10" s="35"/>
      <c r="C10" s="3" t="s">
        <v>27</v>
      </c>
      <c r="D10" s="7" t="s">
        <v>30</v>
      </c>
      <c r="E10" s="10" t="s">
        <v>17</v>
      </c>
      <c r="F10">
        <v>9</v>
      </c>
    </row>
    <row r="11" spans="1:7" ht="22.5" x14ac:dyDescent="0.55000000000000004">
      <c r="A11" s="32"/>
      <c r="B11" s="35"/>
      <c r="C11" s="4" t="s">
        <v>28</v>
      </c>
      <c r="D11" s="7" t="s">
        <v>31</v>
      </c>
      <c r="E11" s="11"/>
      <c r="F11">
        <v>1</v>
      </c>
    </row>
    <row r="12" spans="1:7" ht="23" thickBot="1" x14ac:dyDescent="0.6">
      <c r="A12" s="33"/>
      <c r="B12" s="36"/>
      <c r="C12" s="5"/>
      <c r="D12" s="8" t="s">
        <v>32</v>
      </c>
      <c r="E12" s="12"/>
    </row>
    <row r="13" spans="1:7" ht="22.5" x14ac:dyDescent="0.55000000000000004">
      <c r="A13" s="31">
        <v>4</v>
      </c>
      <c r="B13" s="34" t="s">
        <v>34</v>
      </c>
      <c r="C13" s="2" t="s">
        <v>35</v>
      </c>
      <c r="D13" s="14" t="s">
        <v>38</v>
      </c>
      <c r="E13" s="9" t="s">
        <v>40</v>
      </c>
      <c r="F13">
        <v>8</v>
      </c>
    </row>
    <row r="14" spans="1:7" ht="22.5" x14ac:dyDescent="0.55000000000000004">
      <c r="A14" s="32"/>
      <c r="B14" s="35"/>
      <c r="C14" s="3" t="s">
        <v>36</v>
      </c>
      <c r="D14" s="7" t="s">
        <v>39</v>
      </c>
      <c r="E14" s="10" t="s">
        <v>41</v>
      </c>
      <c r="F14">
        <v>4</v>
      </c>
    </row>
    <row r="15" spans="1:7" ht="23" thickBot="1" x14ac:dyDescent="0.6">
      <c r="A15" s="33"/>
      <c r="B15" s="36"/>
      <c r="C15" s="13" t="s">
        <v>37</v>
      </c>
      <c r="D15" s="16"/>
      <c r="E15" s="15" t="s">
        <v>42</v>
      </c>
      <c r="F15">
        <v>4</v>
      </c>
    </row>
    <row r="16" spans="1:7" x14ac:dyDescent="0.55000000000000004">
      <c r="F16" t="s">
        <v>55</v>
      </c>
      <c r="G16">
        <f>SUM(F2,F6,F9,F13)</f>
        <v>231</v>
      </c>
    </row>
    <row r="17" spans="1:7" x14ac:dyDescent="0.55000000000000004">
      <c r="A17" s="17" t="s">
        <v>43</v>
      </c>
      <c r="B17" s="17" t="s">
        <v>44</v>
      </c>
      <c r="C17" t="s">
        <v>58</v>
      </c>
      <c r="F17" t="s">
        <v>56</v>
      </c>
      <c r="G17">
        <f>SUM(F3,F7,F10,F14)</f>
        <v>117</v>
      </c>
    </row>
    <row r="18" spans="1:7" x14ac:dyDescent="0.55000000000000004">
      <c r="A18" s="18" t="s">
        <v>45</v>
      </c>
      <c r="B18" s="18">
        <v>0.5</v>
      </c>
      <c r="F18" t="s">
        <v>57</v>
      </c>
      <c r="G18">
        <f>SUM(F4,F8,F11,F15)</f>
        <v>114</v>
      </c>
    </row>
    <row r="19" spans="1:7" x14ac:dyDescent="0.55000000000000004">
      <c r="A19" s="18" t="s">
        <v>46</v>
      </c>
      <c r="B19" s="18">
        <v>0.3</v>
      </c>
    </row>
    <row r="20" spans="1:7" x14ac:dyDescent="0.55000000000000004">
      <c r="A20" s="18" t="s">
        <v>47</v>
      </c>
      <c r="B20" s="18">
        <v>1.5</v>
      </c>
    </row>
    <row r="21" spans="1:7" x14ac:dyDescent="0.55000000000000004">
      <c r="A21" s="18" t="s">
        <v>48</v>
      </c>
      <c r="B21" s="19">
        <v>2</v>
      </c>
      <c r="C21">
        <f>B21</f>
        <v>2</v>
      </c>
    </row>
    <row r="22" spans="1:7" x14ac:dyDescent="0.55000000000000004">
      <c r="A22" s="18" t="s">
        <v>49</v>
      </c>
      <c r="B22" s="18">
        <v>0.2</v>
      </c>
      <c r="C22">
        <f t="shared" ref="C22:C23" si="0">B22</f>
        <v>0.2</v>
      </c>
    </row>
    <row r="23" spans="1:7" x14ac:dyDescent="0.55000000000000004">
      <c r="A23" s="18" t="s">
        <v>50</v>
      </c>
      <c r="B23" s="18">
        <v>0.3</v>
      </c>
      <c r="C23">
        <f t="shared" si="0"/>
        <v>0.3</v>
      </c>
    </row>
    <row r="24" spans="1:7" x14ac:dyDescent="0.55000000000000004">
      <c r="A24" s="18" t="s">
        <v>51</v>
      </c>
      <c r="B24" s="18">
        <v>0.5</v>
      </c>
    </row>
    <row r="25" spans="1:7" x14ac:dyDescent="0.55000000000000004">
      <c r="A25" s="18" t="s">
        <v>52</v>
      </c>
      <c r="B25" s="18">
        <v>0.2</v>
      </c>
    </row>
    <row r="27" spans="1:7" x14ac:dyDescent="0.55000000000000004">
      <c r="B27">
        <f>SUM(B20:B26)</f>
        <v>4.7</v>
      </c>
      <c r="C27">
        <f>SUM(C20:C26)</f>
        <v>2.5</v>
      </c>
    </row>
    <row r="28" spans="1:7" x14ac:dyDescent="0.55000000000000004">
      <c r="C28">
        <f>SUM(B27:C27)</f>
        <v>7.2</v>
      </c>
    </row>
  </sheetData>
  <mergeCells count="9">
    <mergeCell ref="D6:D8"/>
    <mergeCell ref="A9:A12"/>
    <mergeCell ref="B9:B12"/>
    <mergeCell ref="A13:A15"/>
    <mergeCell ref="B13:B15"/>
    <mergeCell ref="A2:A5"/>
    <mergeCell ref="B2:B5"/>
    <mergeCell ref="A6:A8"/>
    <mergeCell ref="B6:B8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28D135-07D5-4302-84F4-F90779DF23C8}"/>
</file>

<file path=customXml/itemProps2.xml><?xml version="1.0" encoding="utf-8"?>
<ds:datastoreItem xmlns:ds="http://schemas.openxmlformats.org/officeDocument/2006/customXml" ds:itemID="{219851C6-B8E8-42AF-BCBB-6A07F9DC5763}"/>
</file>

<file path=customXml/itemProps3.xml><?xml version="1.0" encoding="utf-8"?>
<ds:datastoreItem xmlns:ds="http://schemas.openxmlformats.org/officeDocument/2006/customXml" ds:itemID="{E64A3A5A-C50B-4988-A6B9-72D5AF7253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概算工数</vt:lpstr>
      <vt:lpstr>概算工数 (2)</vt:lpstr>
      <vt:lpstr>工数詳細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Seiichi Kimura</dc:creator>
  <cp:lastModifiedBy>髙木義尚</cp:lastModifiedBy>
  <dcterms:created xsi:type="dcterms:W3CDTF">2025-09-25T15:23:00Z</dcterms:created>
  <dcterms:modified xsi:type="dcterms:W3CDTF">2025-09-29T02:55:07Z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