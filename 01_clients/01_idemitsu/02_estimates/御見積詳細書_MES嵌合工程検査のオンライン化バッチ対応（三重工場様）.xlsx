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filterPrivacy="1" defaultThemeVersion="124226"/>
  <xr:revisionPtr revIDLastSave="53" documentId="13_ncr:1_{573B20BF-5EA4-4B62-86A1-56BD40BFF9AC}" xr6:coauthVersionLast="47" xr6:coauthVersionMax="47" xr10:uidLastSave="{A83484DD-1907-441E-A2D3-4B00774782A6}"/>
  <bookViews>
    <workbookView xWindow="28680" yWindow="-120" windowWidth="29040" windowHeight="15720" tabRatio="787" xr2:uid="{00000000-000D-0000-FFFF-FFFF00000000}"/>
  </bookViews>
  <sheets>
    <sheet name="御見積詳細書 (顧客用)" sheetId="3" r:id="rId1"/>
    <sheet name="御見積詳細書（社内用）" sheetId="1" r:id="rId2"/>
  </sheets>
  <definedNames>
    <definedName name="_xlnm.Print_Area" localSheetId="0">'御見積詳細書 (顧客用)'!$A$1:$AJ$134</definedName>
    <definedName name="_xlnm.Print_Area" localSheetId="1">'御見積詳細書（社内用）'!$A$1:$AJ$46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0">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3" i="1" l="1"/>
  <c r="AE43" i="1"/>
  <c r="AE42" i="1"/>
  <c r="AE41" i="1"/>
  <c r="AE40" i="1"/>
  <c r="AE39" i="1"/>
  <c r="B31" i="1" l="1"/>
  <c r="AE37" i="1" l="1"/>
  <c r="AE38" i="1"/>
  <c r="AE44" i="1" l="1"/>
  <c r="Y44" i="1"/>
  <c r="AE44" i="3" l="1"/>
  <c r="F9" i="3" s="1"/>
  <c r="F9" i="1" l="1"/>
</calcChain>
</file>

<file path=xl/sharedStrings.xml><?xml version="1.0" encoding="utf-8"?>
<sst xmlns="http://schemas.openxmlformats.org/spreadsheetml/2006/main" count="158" uniqueCount="98">
  <si>
    <t>御 見 積 書</t>
  </si>
  <si>
    <t>見積番号　</t>
    <rPh sb="0" eb="2">
      <t>ミツ</t>
    </rPh>
    <rPh sb="2" eb="4">
      <t>バンゴウ</t>
    </rPh>
    <phoneticPr fontId="6"/>
  </si>
  <si>
    <t>-</t>
    <phoneticPr fontId="5"/>
  </si>
  <si>
    <t>見積年月日</t>
    <rPh sb="0" eb="2">
      <t>ミツモリ</t>
    </rPh>
    <rPh sb="2" eb="5">
      <t>ネンガッピ</t>
    </rPh>
    <phoneticPr fontId="6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</si>
  <si>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6"/>
  </si>
  <si>
    <t>見積金額</t>
    <rPh sb="0" eb="2">
      <t>ミツモリ</t>
    </rPh>
    <rPh sb="2" eb="4">
      <t>キンガク</t>
    </rPh>
    <phoneticPr fontId="5"/>
  </si>
  <si>
    <t>件名</t>
    <rPh sb="0" eb="2">
      <t>ケンメイ</t>
    </rPh>
    <phoneticPr fontId="6"/>
  </si>
  <si>
    <t>MESシステム　嵌合工程検査表オンライン化バッチ対応（三重工場様）</t>
    <rPh sb="8" eb="10">
      <t>カンゴウ</t>
    </rPh>
    <rPh sb="10" eb="12">
      <t>コウテイ</t>
    </rPh>
    <rPh sb="12" eb="14">
      <t>ケンサ</t>
    </rPh>
    <rPh sb="14" eb="15">
      <t>ヒョウ</t>
    </rPh>
    <rPh sb="20" eb="21">
      <t>カ</t>
    </rPh>
    <rPh sb="24" eb="26">
      <t>タイオウ</t>
    </rPh>
    <rPh sb="27" eb="31">
      <t>ミエコウジョウ</t>
    </rPh>
    <rPh sb="31" eb="32">
      <t>サマ</t>
    </rPh>
    <phoneticPr fontId="5"/>
  </si>
  <si>
    <t>作業形態</t>
    <rPh sb="0" eb="2">
      <t>サギョウ</t>
    </rPh>
    <rPh sb="2" eb="4">
      <t>ケイタイ</t>
    </rPh>
    <phoneticPr fontId="5"/>
  </si>
  <si>
    <t>請負契約</t>
    <rPh sb="0" eb="2">
      <t>ウケオイ</t>
    </rPh>
    <rPh sb="2" eb="4">
      <t>ケイヤク</t>
    </rPh>
    <phoneticPr fontId="5"/>
  </si>
  <si>
    <t>作業場所</t>
    <rPh sb="0" eb="2">
      <t>サギョウ</t>
    </rPh>
    <rPh sb="2" eb="4">
      <t>バショ</t>
    </rPh>
    <phoneticPr fontId="5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</si>
  <si>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5"/>
  </si>
  <si>
    <t>作業期間</t>
    <rPh sb="0" eb="2">
      <t>サギョウ</t>
    </rPh>
    <rPh sb="2" eb="4">
      <t>キカン</t>
    </rPh>
    <phoneticPr fontId="5"/>
  </si>
  <si>
    <t>2025年8月12日 ～ 2025年9月30日</t>
  </si>
  <si>
    <t>見積金額内訳</t>
    <rPh sb="0" eb="2">
      <t>ミツモリ</t>
    </rPh>
    <rPh sb="2" eb="4">
      <t>キンガク</t>
    </rPh>
    <rPh sb="4" eb="6">
      <t>ウチワケ</t>
    </rPh>
    <phoneticPr fontId="6"/>
  </si>
  <si>
    <t>No</t>
    <phoneticPr fontId="6"/>
  </si>
  <si>
    <t>項目</t>
    <rPh sb="0" eb="2">
      <t>コウモク</t>
    </rPh>
    <phoneticPr fontId="6"/>
  </si>
  <si>
    <t>金額</t>
    <rPh sb="0" eb="2">
      <t>キンガク</t>
    </rPh>
    <phoneticPr fontId="5"/>
  </si>
  <si>
    <t xml:space="preserve"> 要件定義</t>
    <rPh sb="1" eb="5">
      <t>ヨウケンテイギ</t>
    </rPh>
    <phoneticPr fontId="6"/>
  </si>
  <si>
    <t xml:space="preserve"> 設計</t>
  </si>
  <si>
    <t xml:space="preserve"> 開発</t>
  </si>
  <si>
    <t xml:space="preserve"> 結合テスト</t>
    <rPh sb="1" eb="3">
      <t>ケツゴウ</t>
    </rPh>
    <phoneticPr fontId="6"/>
  </si>
  <si>
    <t xml:space="preserve"> ユーザテスト</t>
    <phoneticPr fontId="6"/>
  </si>
  <si>
    <t xml:space="preserve"> 本稼働</t>
  </si>
  <si>
    <t xml:space="preserve"> プロジェクト管理</t>
    <rPh sb="7" eb="9">
      <t>カンリ</t>
    </rPh>
    <phoneticPr fontId="6"/>
  </si>
  <si>
    <t>合計</t>
    <rPh sb="0" eb="2">
      <t>ゴウケイ</t>
    </rPh>
    <phoneticPr fontId="6"/>
  </si>
  <si>
    <t>納品物</t>
    <rPh sb="0" eb="2">
      <t>ノウヒン</t>
    </rPh>
    <rPh sb="2" eb="3">
      <t>ブツ</t>
    </rPh>
    <phoneticPr fontId="6"/>
  </si>
  <si>
    <t>・</t>
    <phoneticPr fontId="5"/>
  </si>
  <si>
    <t>設計書</t>
    <rPh sb="0" eb="3">
      <t>セッケイショ</t>
    </rPh>
    <phoneticPr fontId="5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</si>
  <si>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5"/>
  </si>
  <si>
    <t>プログラム一式</t>
    <phoneticPr fontId="5"/>
  </si>
  <si>
    <t>本番リリース作業手順書</t>
  </si>
  <si>
    <t>作業内容</t>
    <rPh sb="0" eb="2">
      <t>サギョウ</t>
    </rPh>
    <rPh sb="2" eb="4">
      <t>ナイヨウ</t>
    </rPh>
    <phoneticPr fontId="5"/>
  </si>
  <si>
    <t>【嵌合強度測定結果読込バッチ】</t>
    <phoneticPr fontId="5"/>
  </si>
  <si>
    <t>①嵌合強度測定結果読込バッチ新規作成</t>
    <rPh sb="14" eb="16">
      <t>シンキ</t>
    </rPh>
    <rPh sb="16" eb="18">
      <t>サクセイ</t>
    </rPh>
    <phoneticPr fontId="5"/>
  </si>
  <si>
    <t>　連携NAS上のCSVファイル取込（複数パターンのファイル）</t>
    <phoneticPr fontId="5"/>
  </si>
  <si>
    <t>　※嵌合実績入力画面の取込ボタンの処理をバッチ処理化する。</t>
    <rPh sb="11" eb="12">
      <t>ト</t>
    </rPh>
    <rPh sb="12" eb="13">
      <t>コ</t>
    </rPh>
    <rPh sb="17" eb="19">
      <t>ショリ</t>
    </rPh>
    <rPh sb="23" eb="25">
      <t>ショリ</t>
    </rPh>
    <rPh sb="25" eb="26">
      <t>カ</t>
    </rPh>
    <phoneticPr fontId="5"/>
  </si>
  <si>
    <t>②オペマネのJOB登録</t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</si>
  <si>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5"/>
  </si>
  <si>
    <t>工程</t>
    <rPh sb="0" eb="2">
      <t>コウテイ</t>
    </rPh>
    <phoneticPr fontId="6"/>
  </si>
  <si>
    <t>要件定義</t>
    <rPh sb="0" eb="4">
      <t>ヨウケンテイギ</t>
    </rPh>
    <phoneticPr fontId="6"/>
  </si>
  <si>
    <t>修正方針の確定、不明瞭箇所の特定、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phoneticPr fontId="5"/>
  </si>
  <si>
    <t>資料作成方針の決定等細かい仕様について、ユーザ様と決定します。</t>
    <rPh sb="0" eb="2">
      <t>シリョウ</t>
    </rPh>
    <rPh sb="2" eb="4">
      <t>サクセイ</t>
    </rPh>
    <rPh sb="4" eb="6">
      <t>ホウシン</t>
    </rPh>
    <phoneticPr fontId="5"/>
  </si>
  <si>
    <t>設計</t>
    <rPh sb="0" eb="2">
      <t>セッケイ</t>
    </rPh>
    <phoneticPr fontId="6"/>
  </si>
  <si>
    <t>既存の設計書を修正します。</t>
    <rPh sb="0" eb="2">
      <t>キゾン</t>
    </rPh>
    <rPh sb="3" eb="6">
      <t>セッケイショ</t>
    </rPh>
    <rPh sb="7" eb="9">
      <t>シュウセイ</t>
    </rPh>
    <phoneticPr fontId="5"/>
  </si>
  <si>
    <t>開発</t>
  </si>
  <si>
    <t>コーディングを実施します。</t>
  </si>
  <si>
    <t>結合テスト</t>
    <rPh sb="0" eb="2">
      <t>ケツゴウ</t>
    </rPh>
    <phoneticPr fontId="6"/>
  </si>
  <si>
    <t>貴社環境にて結合テスト実施、実施結果の分析、不具合の対応を実施し、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</si>
  <si>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5"/>
  </si>
  <si>
    <t>ユーザテスト</t>
    <phoneticPr fontId="6"/>
  </si>
  <si>
    <t>ユーザ様にて実施頂き、その支援を行います。</t>
  </si>
  <si>
    <t>本稼働</t>
  </si>
  <si>
    <t>本番環境にてアプリケーションの導入を実施します。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5"/>
  </si>
  <si>
    <t>導入後の初期流動対応を実施します。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5"/>
  </si>
  <si>
    <t>プロジェクト</t>
    <phoneticPr fontId="5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</si>
  <si>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5"/>
  </si>
  <si>
    <t>管理</t>
    <phoneticPr fontId="5"/>
  </si>
  <si>
    <t>スケジュール</t>
    <phoneticPr fontId="6"/>
  </si>
  <si>
    <t>工程</t>
    <rPh sb="0" eb="1">
      <t>コウテイ</t>
    </rPh>
    <phoneticPr fontId="6"/>
  </si>
  <si>
    <t>8/12-</t>
  </si>
  <si>
    <t>　</t>
  </si>
  <si>
    <t>8/25-</t>
  </si>
  <si>
    <t>9/1-</t>
  </si>
  <si>
    <t>9/16-</t>
  </si>
  <si>
    <t>9/25-</t>
  </si>
  <si>
    <t>凡例</t>
    <rPh sb="0" eb="2">
      <t>ハンレイ</t>
    </rPh>
    <phoneticPr fontId="5"/>
  </si>
  <si>
    <t>貴社作業</t>
    <rPh sb="0" eb="2">
      <t>キシャ</t>
    </rPh>
    <rPh sb="2" eb="4">
      <t>サギョウ</t>
    </rPh>
    <phoneticPr fontId="5"/>
  </si>
  <si>
    <t>弊社作業</t>
    <rPh sb="0" eb="2">
      <t>ヘイシャ</t>
    </rPh>
    <rPh sb="2" eb="4">
      <t>サギョウ</t>
    </rPh>
    <phoneticPr fontId="5"/>
  </si>
  <si>
    <t>体制</t>
    <rPh sb="0" eb="2">
      <t>タイセイ</t>
    </rPh>
    <phoneticPr fontId="5"/>
  </si>
  <si>
    <t xml:space="preserve"> 責任者
 福井将敏</t>
    <rPh sb="1" eb="4">
      <t>セキニンシャ</t>
    </rPh>
    <phoneticPr fontId="6"/>
  </si>
  <si>
    <t xml:space="preserve"> PM
 関谷亮</t>
    <phoneticPr fontId="5"/>
  </si>
  <si>
    <t xml:space="preserve"> メンバー
  森田泰博</t>
    <rPh sb="8" eb="10">
      <t>モリタ</t>
    </rPh>
    <rPh sb="10" eb="11">
      <t>ヤスシ</t>
    </rPh>
    <rPh sb="11" eb="12">
      <t>ヒロ</t>
    </rPh>
    <phoneticPr fontId="5"/>
  </si>
  <si>
    <t xml:space="preserve"> PM支援
 福田一希</t>
    <phoneticPr fontId="5"/>
  </si>
  <si>
    <t xml:space="preserve"> メンバー
  五石真人</t>
  </si>
  <si>
    <t>その他の前提条件</t>
    <rPh sb="2" eb="3">
      <t>タ</t>
    </rPh>
    <rPh sb="4" eb="6">
      <t>ゼンテイ</t>
    </rPh>
    <rPh sb="6" eb="8">
      <t>ジョウケン</t>
    </rPh>
    <phoneticPr fontId="6"/>
  </si>
  <si>
    <t>１．お見積金額について</t>
    <rPh sb="3" eb="5">
      <t>ミツモリ</t>
    </rPh>
    <rPh sb="5" eb="7">
      <t>キンガク</t>
    </rPh>
    <phoneticPr fontId="6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</si>
  <si>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5"/>
  </si>
  <si>
    <t>　　</t>
    <phoneticPr fontId="6"/>
  </si>
  <si>
    <t>２．お見積範囲について</t>
    <rPh sb="3" eb="5">
      <t>ミツモリ</t>
    </rPh>
    <rPh sb="5" eb="7">
      <t>ハンイ</t>
    </rPh>
    <phoneticPr fontId="6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</si>
  <si>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1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</si>
  <si>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1"/>
  </si>
  <si>
    <t>・ネットワーク費用およびネットワークの設置やセットアップ等に係る作業費用</t>
  </si>
  <si>
    <t>３．作業場所について</t>
    <rPh sb="2" eb="4">
      <t>サギョウ</t>
    </rPh>
    <rPh sb="4" eb="6">
      <t>バショ</t>
    </rPh>
    <phoneticPr fontId="6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</si>
  <si>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6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</si>
  <si>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6"/>
  </si>
  <si>
    <t>４．瑕疵担保期間について</t>
    <rPh sb="2" eb="4">
      <t>カシ</t>
    </rPh>
    <rPh sb="4" eb="6">
      <t>タンポ</t>
    </rPh>
    <rPh sb="6" eb="8">
      <t>キカン</t>
    </rPh>
    <phoneticPr fontId="5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</si>
  <si>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5"/>
  </si>
  <si>
    <t>（検収日より1年間に限り契約不適合責任を追及できることとします。）</t>
    <phoneticPr fontId="5"/>
  </si>
  <si>
    <t>５．ユーザテストについて</t>
    <phoneticPr fontId="5"/>
  </si>
  <si>
    <t>ユーザテストにつきましては、貴社にて実施をお願いいたします。</t>
    <rPh sb="14" eb="16">
      <t>キシャ</t>
    </rPh>
    <rPh sb="18" eb="20">
      <t>ジッシ</t>
    </rPh>
    <rPh sb="22" eb="23">
      <t>ネガイ</t>
    </rPh>
    <phoneticPr fontId="5"/>
  </si>
  <si>
    <t>６．ユーザ様との窓口</t>
    <rPh sb="5" eb="6">
      <t>サマ</t>
    </rPh>
    <phoneticPr fontId="5"/>
  </si>
  <si>
    <t>ユーザ様との窓口については、業務変革三課ご担当者様にて実施をお願いいたします。</t>
    <rPh sb="3" eb="4">
      <t>サマ</t>
    </rPh>
    <rPh sb="6" eb="8">
      <t>マドグチ</t>
    </rPh>
    <rPh sb="18" eb="19">
      <t>サン</t>
    </rPh>
    <rPh sb="19" eb="20">
      <t>カ</t>
    </rPh>
    <phoneticPr fontId="5"/>
  </si>
  <si>
    <t>７．リリース作業について</t>
    <rPh sb="6" eb="8">
      <t>サギョウ</t>
    </rPh>
    <phoneticPr fontId="5"/>
  </si>
  <si>
    <t>リリース作業は2人対応とさせていただきます。</t>
    <rPh sb="4" eb="6">
      <t>サギョウ</t>
    </rPh>
    <rPh sb="8" eb="11">
      <t>ニンタイオウ</t>
    </rPh>
    <phoneticPr fontId="5"/>
  </si>
  <si>
    <t>単価</t>
    <rPh sb="0" eb="2">
      <t>タンカ</t>
    </rPh>
    <phoneticPr fontId="6"/>
  </si>
  <si>
    <t>数量</t>
    <rPh sb="0" eb="2">
      <t>スウリョウ</t>
    </rPh>
    <phoneticPr fontId="6"/>
  </si>
  <si>
    <t>人日</t>
    <rPh sb="0" eb="2">
      <t>ニンニチ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</si>
</sst>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&quot;¥&quot;#,##0_);\(&quot;¥&quot;#,##0\)"/>
    <numFmt numFmtId="177" formatCode="&quot;¥&quot;#,##0.\-"/>
    <numFmt numFmtId="178" formatCode="0.00_);[Red]\(0.00\)"/>
  </numFmts>
  <fonts count="20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">
    <xf numFmtId="0" fontId="0" fillId="0" borderId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10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2" borderId="10" xfId="0" applyFont="1" applyFill="1" applyBorder="1" applyAlignment="1">
      <alignment horizontal="centerContinuous" vertical="center"/>
    </xf>
    <xf numFmtId="0" fontId="15" fillId="2" borderId="11" xfId="0" applyFont="1" applyFill="1" applyBorder="1" applyAlignment="1">
      <alignment horizontal="centerContinuous" vertical="center"/>
    </xf>
    <xf numFmtId="0" fontId="15" fillId="2" borderId="2" xfId="0" applyFont="1" applyFill="1" applyBorder="1" applyAlignment="1">
      <alignment horizontal="centerContinuous" vertical="center"/>
    </xf>
    <xf numFmtId="0" fontId="16" fillId="0" borderId="0" xfId="0" applyFont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2" xfId="0" applyFont="1" applyBorder="1" applyAlignment="1">
      <alignment horizontal="right" vertical="center"/>
    </xf>
    <xf numFmtId="0" fontId="15" fillId="0" borderId="13" xfId="0" applyFont="1" applyBorder="1" applyAlignment="1">
      <alignment vertical="center"/>
    </xf>
    <xf numFmtId="0" fontId="15" fillId="0" borderId="0" xfId="0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6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5" fillId="0" borderId="8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0" xfId="0" applyFont="1" applyAlignment="1">
      <alignment vertical="top"/>
    </xf>
    <xf numFmtId="0" fontId="15" fillId="2" borderId="2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15" fillId="0" borderId="0" xfId="1" applyFont="1">
      <alignment vertical="center"/>
    </xf>
    <xf numFmtId="0" fontId="15" fillId="0" borderId="0" xfId="0" applyFont="1"/>
    <xf numFmtId="0" fontId="19" fillId="4" borderId="2" xfId="0" applyFont="1" applyFill="1" applyBorder="1"/>
    <xf numFmtId="0" fontId="19" fillId="4" borderId="0" xfId="0" applyFont="1" applyFill="1"/>
    <xf numFmtId="0" fontId="15" fillId="0" borderId="24" xfId="0" applyFont="1" applyBorder="1" applyAlignment="1">
      <alignment vertical="center"/>
    </xf>
    <xf numFmtId="0" fontId="15" fillId="4" borderId="1" xfId="0" applyFont="1" applyFill="1" applyBorder="1"/>
    <xf numFmtId="0" fontId="19" fillId="4" borderId="1" xfId="0" applyFont="1" applyFill="1" applyBorder="1"/>
    <xf numFmtId="0" fontId="19" fillId="4" borderId="9" xfId="0" applyFont="1" applyFill="1" applyBorder="1"/>
    <xf numFmtId="0" fontId="15" fillId="0" borderId="3" xfId="0" applyFont="1" applyBorder="1" applyAlignment="1">
      <alignment horizontal="center" vertical="top"/>
    </xf>
    <xf numFmtId="0" fontId="15" fillId="0" borderId="5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7" fontId="15" fillId="2" borderId="10" xfId="0" quotePrefix="1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right" vertical="center"/>
    </xf>
    <xf numFmtId="0" fontId="14" fillId="3" borderId="2" xfId="0" applyFont="1" applyFill="1" applyBorder="1" applyAlignment="1">
      <alignment horizontal="right" vertical="center"/>
    </xf>
    <xf numFmtId="0" fontId="14" fillId="3" borderId="11" xfId="0" applyFont="1" applyFill="1" applyBorder="1" applyAlignment="1">
      <alignment horizontal="right" vertical="center"/>
    </xf>
    <xf numFmtId="176" fontId="14" fillId="0" borderId="22" xfId="0" applyNumberFormat="1" applyFont="1" applyBorder="1" applyAlignment="1">
      <alignment horizontal="right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2" xfId="0" applyNumberFormat="1" applyFont="1" applyBorder="1" applyAlignment="1">
      <alignment horizontal="right" vertical="center"/>
    </xf>
    <xf numFmtId="176" fontId="15" fillId="0" borderId="11" xfId="0" applyNumberFormat="1" applyFont="1" applyBorder="1" applyAlignment="1">
      <alignment horizontal="right" vertical="center"/>
    </xf>
    <xf numFmtId="0" fontId="15" fillId="2" borderId="22" xfId="0" applyFont="1" applyFill="1" applyBorder="1" applyAlignment="1">
      <alignment horizontal="center" vertical="center"/>
    </xf>
    <xf numFmtId="14" fontId="15" fillId="0" borderId="13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177" fontId="12" fillId="0" borderId="0" xfId="0" applyNumberFormat="1" applyFont="1" applyAlignment="1">
      <alignment horizontal="right" vertical="center"/>
    </xf>
    <xf numFmtId="177" fontId="12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178" fontId="15" fillId="0" borderId="10" xfId="0" applyNumberFormat="1" applyFont="1" applyBorder="1" applyAlignment="1">
      <alignment vertical="center"/>
    </xf>
    <xf numFmtId="178" fontId="15" fillId="0" borderId="2" xfId="0" applyNumberFormat="1" applyFont="1" applyBorder="1" applyAlignment="1">
      <alignment vertical="center"/>
    </xf>
    <xf numFmtId="5" fontId="15" fillId="0" borderId="2" xfId="0" applyNumberFormat="1" applyFont="1" applyBorder="1" applyAlignment="1">
      <alignment horizontal="center" vertical="center"/>
    </xf>
    <xf numFmtId="5" fontId="15" fillId="0" borderId="11" xfId="0" applyNumberFormat="1" applyFont="1" applyBorder="1" applyAlignment="1">
      <alignment horizontal="center" vertical="center"/>
    </xf>
    <xf numFmtId="5" fontId="15" fillId="0" borderId="10" xfId="0" applyNumberFormat="1" applyFont="1" applyBorder="1" applyAlignment="1">
      <alignment horizontal="right" vertical="center" indent="1"/>
    </xf>
    <xf numFmtId="5" fontId="15" fillId="0" borderId="2" xfId="0" applyNumberFormat="1" applyFont="1" applyBorder="1" applyAlignment="1">
      <alignment horizontal="right" vertical="center" indent="1"/>
    </xf>
    <xf numFmtId="5" fontId="15" fillId="0" borderId="11" xfId="0" applyNumberFormat="1" applyFont="1" applyBorder="1" applyAlignment="1">
      <alignment horizontal="right" vertical="center" indent="1"/>
    </xf>
    <xf numFmtId="0" fontId="15" fillId="2" borderId="10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11" xfId="0" applyFont="1" applyFill="1" applyBorder="1" applyAlignment="1">
      <alignment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17" fillId="0" borderId="24" xfId="0" applyFont="1" applyBorder="1" applyAlignment="1">
      <alignment vertical="center"/>
    </xf>
  </cellXfs>
  <cellStyles count="10"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6" xfId="3" xr:uid="{00000000-0005-0000-0000-000004000000}"/>
    <cellStyle name="標準 6 2" xfId="6" xr:uid="{F6AFC506-6169-4938-A331-6370ABF938B5}"/>
    <cellStyle name="標準 6 3" xfId="8" xr:uid="{E1FE8872-540B-4E90-8AC7-A04ABC4E3F5D}"/>
    <cellStyle name="標準 8" xfId="5" xr:uid="{00000000-0005-0000-0000-000005000000}"/>
    <cellStyle name="標準 8 2" xfId="7" xr:uid="{D5757E16-B36C-4724-B224-97A042EC39A3}"/>
    <cellStyle name="標準 8 3" xfId="9" xr:uid="{9A210C0B-674A-4266-8BA4-094B37C2B2B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95</xdr:row>
      <xdr:rowOff>28575</xdr:rowOff>
    </xdr:from>
    <xdr:to>
      <xdr:col>29</xdr:col>
      <xdr:colOff>169500</xdr:colOff>
      <xdr:row>95</xdr:row>
      <xdr:rowOff>172575</xdr:rowOff>
    </xdr:to>
    <xdr:sp macro="" textlink="">
      <xdr:nvSpPr>
        <xdr:cNvPr id="16" name="ホームベース 1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4693190" y="17066895"/>
          <a:ext cx="33787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95</xdr:row>
      <xdr:rowOff>30480</xdr:rowOff>
    </xdr:from>
    <xdr:to>
      <xdr:col>23</xdr:col>
      <xdr:colOff>169500</xdr:colOff>
      <xdr:row>95</xdr:row>
      <xdr:rowOff>174480</xdr:rowOff>
    </xdr:to>
    <xdr:sp macro="" textlink="">
      <xdr:nvSpPr>
        <xdr:cNvPr id="17" name="ホームベース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688080" y="17068800"/>
          <a:ext cx="33714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81</xdr:row>
      <xdr:rowOff>38100</xdr:rowOff>
    </xdr:from>
    <xdr:to>
      <xdr:col>11</xdr:col>
      <xdr:colOff>60960</xdr:colOff>
      <xdr:row>82</xdr:row>
      <xdr:rowOff>141605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546860" y="15278100"/>
          <a:ext cx="3581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83</xdr:row>
      <xdr:rowOff>48895</xdr:rowOff>
    </xdr:from>
    <xdr:to>
      <xdr:col>15</xdr:col>
      <xdr:colOff>60960</xdr:colOff>
      <xdr:row>84</xdr:row>
      <xdr:rowOff>152400</xdr:rowOff>
    </xdr:to>
    <xdr:sp macro="" textlink="">
      <xdr:nvSpPr>
        <xdr:cNvPr id="23" name="ホームベース 12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897381" y="15669895"/>
          <a:ext cx="67817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85</xdr:row>
      <xdr:rowOff>38100</xdr:rowOff>
    </xdr:from>
    <xdr:to>
      <xdr:col>21</xdr:col>
      <xdr:colOff>15240</xdr:colOff>
      <xdr:row>86</xdr:row>
      <xdr:rowOff>144780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2575560" y="16040100"/>
          <a:ext cx="96012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87</xdr:row>
      <xdr:rowOff>48895</xdr:rowOff>
    </xdr:from>
    <xdr:to>
      <xdr:col>26</xdr:col>
      <xdr:colOff>137160</xdr:colOff>
      <xdr:row>88</xdr:row>
      <xdr:rowOff>152400</xdr:rowOff>
    </xdr:to>
    <xdr:sp macro="" textlink="">
      <xdr:nvSpPr>
        <xdr:cNvPr id="25" name="ホームベース 1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3558540" y="16431895"/>
          <a:ext cx="93726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89</xdr:row>
      <xdr:rowOff>48895</xdr:rowOff>
    </xdr:from>
    <xdr:to>
      <xdr:col>32</xdr:col>
      <xdr:colOff>45720</xdr:colOff>
      <xdr:row>90</xdr:row>
      <xdr:rowOff>140335</xdr:rowOff>
    </xdr:to>
    <xdr:sp macro="" textlink="">
      <xdr:nvSpPr>
        <xdr:cNvPr id="26" name="ホームベース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716780" y="16812895"/>
          <a:ext cx="69342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93</xdr:row>
      <xdr:rowOff>38100</xdr:rowOff>
    </xdr:from>
    <xdr:to>
      <xdr:col>34</xdr:col>
      <xdr:colOff>152400</xdr:colOff>
      <xdr:row>94</xdr:row>
      <xdr:rowOff>141605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570220" y="17564100"/>
          <a:ext cx="28194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91</xdr:row>
      <xdr:rowOff>48895</xdr:rowOff>
    </xdr:from>
    <xdr:to>
      <xdr:col>32</xdr:col>
      <xdr:colOff>45720</xdr:colOff>
      <xdr:row>92</xdr:row>
      <xdr:rowOff>140335</xdr:rowOff>
    </xdr:to>
    <xdr:sp macro="" textlink="">
      <xdr:nvSpPr>
        <xdr:cNvPr id="2" name="ホームベース 13">
          <a:extLst>
            <a:ext uri="{FF2B5EF4-FFF2-40B4-BE49-F238E27FC236}">
              <a16:creationId xmlns:a16="http://schemas.microsoft.com/office/drawing/2014/main" id="{C7E78DE1-C5C6-4D8F-875D-EFCC9E77BA16}"/>
            </a:ext>
          </a:extLst>
        </xdr:cNvPr>
        <xdr:cNvSpPr/>
      </xdr:nvSpPr>
      <xdr:spPr bwMode="auto">
        <a:xfrm>
          <a:off x="4716780" y="17193895"/>
          <a:ext cx="69342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41"/>
  <sheetViews>
    <sheetView showGridLines="0" tabSelected="1" view="pageBreakPreview" topLeftCell="A95" zoomScaleNormal="100" zoomScaleSheetLayoutView="100" workbookViewId="0">
      <selection activeCell="AK105" sqref="AK105"/>
    </sheetView>
  </sheetViews>
  <sheetFormatPr defaultColWidth="2.42578125" defaultRowHeight="15" customHeight="1"/>
  <cols>
    <col min="1" max="1" width="2.42578125" style="3"/>
    <col min="2" max="27" width="2.42578125" style="4"/>
    <col min="28" max="28" width="2.42578125" style="4" customWidth="1"/>
    <col min="29" max="16384" width="2.42578125" style="4"/>
  </cols>
  <sheetData>
    <row r="1" spans="1:37" s="1" customFormat="1" ht="1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Y2" s="11" t="s">
        <v>3</v>
      </c>
      <c r="Z2" s="11"/>
      <c r="AA2" s="11"/>
      <c r="AB2" s="11"/>
      <c r="AC2" s="11"/>
      <c r="AD2" s="11"/>
      <c r="AE2" s="11"/>
      <c r="AF2" s="75">
        <v>45852</v>
      </c>
      <c r="AG2" s="76"/>
      <c r="AH2" s="76"/>
      <c r="AI2" s="76"/>
      <c r="AJ2" s="76"/>
      <c r="AK2" s="4"/>
    </row>
    <row r="3" spans="1:37" s="1" customFormat="1" ht="15" customHeight="1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>
      <c r="A5" s="77" t="s">
        <v>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>
      <c r="A9" s="79" t="s">
        <v>5</v>
      </c>
      <c r="B9" s="79"/>
      <c r="C9" s="79"/>
      <c r="D9" s="79"/>
      <c r="E9" s="79"/>
      <c r="F9" s="81">
        <f>AE44</f>
        <v>968000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>
      <c r="A10" s="80"/>
      <c r="B10" s="80"/>
      <c r="C10" s="80"/>
      <c r="D10" s="80"/>
      <c r="E10" s="80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>
      <c r="A11" s="2"/>
    </row>
    <row r="12" spans="1:37" s="1" customFormat="1" ht="15" customHeight="1">
      <c r="A12" s="2"/>
    </row>
    <row r="13" spans="1:37" ht="15" customHeight="1">
      <c r="A13" s="3" t="s">
        <v>6</v>
      </c>
    </row>
    <row r="15" spans="1:37" ht="15" customHeight="1">
      <c r="B15" s="4" t="s">
        <v>7</v>
      </c>
    </row>
    <row r="18" spans="1:16" ht="15" customHeight="1">
      <c r="A18" s="4"/>
    </row>
    <row r="19" spans="1:16" ht="15" customHeight="1">
      <c r="A19" s="3" t="s">
        <v>8</v>
      </c>
      <c r="P19" s="3"/>
    </row>
    <row r="20" spans="1:16" ht="15" customHeight="1">
      <c r="A20" s="4"/>
    </row>
    <row r="21" spans="1:16" ht="15" customHeight="1">
      <c r="A21" s="4"/>
      <c r="B21" s="4" t="s">
        <v>9</v>
      </c>
    </row>
    <row r="22" spans="1:16" ht="15" customHeight="1">
      <c r="A22" s="4"/>
    </row>
    <row r="23" spans="1:16" ht="15" customHeight="1">
      <c r="A23" s="4"/>
    </row>
    <row r="24" spans="1:16" ht="15" customHeight="1">
      <c r="A24" s="3" t="s">
        <v>10</v>
      </c>
    </row>
    <row r="25" spans="1:16" ht="15" customHeight="1">
      <c r="A25" s="4"/>
    </row>
    <row r="26" spans="1:16" ht="15" customHeight="1">
      <c r="A26" s="4"/>
      <c r="B26" s="4" t="s">
        <v>11</v>
      </c>
    </row>
    <row r="27" spans="1:16" ht="15" customHeight="1">
      <c r="A27" s="4"/>
    </row>
    <row r="28" spans="1:16" ht="15" customHeight="1">
      <c r="A28" s="4"/>
    </row>
    <row r="29" spans="1:16" ht="15" customHeight="1">
      <c r="A29" s="3" t="s">
        <v>12</v>
      </c>
    </row>
    <row r="31" spans="1:16" ht="15" customHeight="1">
      <c r="A31" s="4"/>
      <c r="B31" s="4" t="s">
        <v>13</v>
      </c>
    </row>
    <row r="32" spans="1:16" ht="15" customHeight="1">
      <c r="A32" s="4"/>
    </row>
    <row r="33" spans="1:36" ht="15" customHeight="1">
      <c r="A33" s="4"/>
    </row>
    <row r="34" spans="1:36" ht="15" customHeight="1">
      <c r="A34" s="3" t="s">
        <v>14</v>
      </c>
    </row>
    <row r="35" spans="1:36" ht="15" customHeight="1">
      <c r="A35" s="4"/>
    </row>
    <row r="36" spans="1:36" ht="15" customHeight="1">
      <c r="A36" s="4"/>
      <c r="B36" s="5" t="s">
        <v>15</v>
      </c>
      <c r="C36" s="6"/>
      <c r="D36" s="74" t="s">
        <v>16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5" t="s">
        <v>17</v>
      </c>
      <c r="AF36" s="7"/>
      <c r="AG36" s="7"/>
      <c r="AH36" s="7"/>
      <c r="AI36" s="7"/>
      <c r="AJ36" s="6"/>
    </row>
    <row r="37" spans="1:36" ht="15" customHeight="1">
      <c r="A37" s="4"/>
      <c r="B37" s="69">
        <v>1</v>
      </c>
      <c r="C37" s="70"/>
      <c r="D37" s="41" t="s">
        <v>18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8"/>
      <c r="AE37" s="71">
        <v>50000</v>
      </c>
      <c r="AF37" s="72"/>
      <c r="AG37" s="72"/>
      <c r="AH37" s="72"/>
      <c r="AI37" s="72"/>
      <c r="AJ37" s="73"/>
    </row>
    <row r="38" spans="1:36" ht="15" customHeight="1">
      <c r="A38" s="4"/>
      <c r="B38" s="69">
        <v>2</v>
      </c>
      <c r="C38" s="70"/>
      <c r="D38" s="41" t="s">
        <v>19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8"/>
      <c r="AE38" s="71">
        <v>100000</v>
      </c>
      <c r="AF38" s="72"/>
      <c r="AG38" s="72"/>
      <c r="AH38" s="72"/>
      <c r="AI38" s="72"/>
      <c r="AJ38" s="73"/>
    </row>
    <row r="39" spans="1:36" ht="15" customHeight="1">
      <c r="A39" s="4"/>
      <c r="B39" s="69">
        <v>3</v>
      </c>
      <c r="C39" s="70"/>
      <c r="D39" s="41" t="s">
        <v>20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8"/>
      <c r="AE39" s="71">
        <v>150000</v>
      </c>
      <c r="AF39" s="72"/>
      <c r="AG39" s="72"/>
      <c r="AH39" s="72"/>
      <c r="AI39" s="72"/>
      <c r="AJ39" s="73"/>
    </row>
    <row r="40" spans="1:36" ht="15" customHeight="1">
      <c r="A40" s="4"/>
      <c r="B40" s="69">
        <v>4</v>
      </c>
      <c r="C40" s="70"/>
      <c r="D40" s="41" t="s">
        <v>21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8"/>
      <c r="AE40" s="71">
        <v>200000</v>
      </c>
      <c r="AF40" s="72"/>
      <c r="AG40" s="72"/>
      <c r="AH40" s="72"/>
      <c r="AI40" s="72"/>
      <c r="AJ40" s="73"/>
    </row>
    <row r="41" spans="1:36" ht="15" customHeight="1">
      <c r="A41" s="4"/>
      <c r="B41" s="69">
        <v>5</v>
      </c>
      <c r="C41" s="70"/>
      <c r="D41" s="41" t="s">
        <v>22</v>
      </c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40"/>
      <c r="AE41" s="71">
        <v>200000</v>
      </c>
      <c r="AF41" s="72"/>
      <c r="AG41" s="72"/>
      <c r="AH41" s="72"/>
      <c r="AI41" s="72"/>
      <c r="AJ41" s="73"/>
    </row>
    <row r="42" spans="1:36" ht="15" customHeight="1">
      <c r="A42" s="4"/>
      <c r="B42" s="69">
        <v>6</v>
      </c>
      <c r="C42" s="70"/>
      <c r="D42" s="41" t="s">
        <v>23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40"/>
      <c r="AE42" s="71">
        <v>100000</v>
      </c>
      <c r="AF42" s="72"/>
      <c r="AG42" s="72"/>
      <c r="AH42" s="72"/>
      <c r="AI42" s="72"/>
      <c r="AJ42" s="73"/>
    </row>
    <row r="43" spans="1:36" ht="15" customHeight="1">
      <c r="A43" s="4"/>
      <c r="B43" s="69">
        <v>7</v>
      </c>
      <c r="C43" s="70"/>
      <c r="D43" s="41" t="s">
        <v>24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40"/>
      <c r="AE43" s="71">
        <v>168000</v>
      </c>
      <c r="AF43" s="72"/>
      <c r="AG43" s="72"/>
      <c r="AH43" s="72"/>
      <c r="AI43" s="72"/>
      <c r="AJ43" s="73"/>
    </row>
    <row r="44" spans="1:36" ht="15" customHeight="1">
      <c r="A44" s="4"/>
      <c r="B44" s="65" t="s">
        <v>25</v>
      </c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7"/>
      <c r="AE44" s="68">
        <f>SUM(AE37:AJ43)</f>
        <v>968000</v>
      </c>
      <c r="AF44" s="68"/>
      <c r="AG44" s="68"/>
      <c r="AH44" s="68"/>
      <c r="AI44" s="68"/>
      <c r="AJ44" s="68"/>
    </row>
    <row r="45" spans="1:36" ht="15" customHeight="1">
      <c r="A45" s="4"/>
      <c r="AB45" s="13"/>
    </row>
    <row r="46" spans="1:36" ht="15" customHeight="1">
      <c r="A46" s="4"/>
      <c r="AB46" s="13"/>
    </row>
    <row r="47" spans="1:36" ht="15" customHeight="1">
      <c r="A47" s="3" t="s">
        <v>26</v>
      </c>
    </row>
    <row r="49" spans="1:36" ht="15" customHeight="1">
      <c r="A49" s="4"/>
      <c r="B49" s="42" t="s">
        <v>27</v>
      </c>
      <c r="C49" s="4" t="s">
        <v>28</v>
      </c>
      <c r="K49" s="42" t="s">
        <v>27</v>
      </c>
      <c r="L49" s="4" t="s">
        <v>29</v>
      </c>
    </row>
    <row r="50" spans="1:36" ht="15" customHeight="1">
      <c r="A50" s="4"/>
      <c r="B50" s="42" t="s">
        <v>27</v>
      </c>
      <c r="C50" s="4" t="s">
        <v>30</v>
      </c>
      <c r="K50" s="4" t="s">
        <v>27</v>
      </c>
      <c r="L50" s="4" t="s">
        <v>31</v>
      </c>
    </row>
    <row r="51" spans="1:36" ht="15" customHeight="1">
      <c r="A51" s="4"/>
    </row>
    <row r="53" spans="1:36" ht="15" customHeight="1">
      <c r="A53" s="4"/>
      <c r="B53" s="8"/>
    </row>
    <row r="54" spans="1:36" ht="15" customHeight="1">
      <c r="A54" s="3" t="s">
        <v>32</v>
      </c>
    </row>
    <row r="55" spans="1:36" ht="15" customHeight="1">
      <c r="B55" s="4" t="s">
        <v>33</v>
      </c>
    </row>
    <row r="56" spans="1:36" ht="15" customHeight="1">
      <c r="B56" s="4" t="s">
        <v>34</v>
      </c>
    </row>
    <row r="57" spans="1:36" ht="15" customHeight="1">
      <c r="B57" s="4" t="s">
        <v>35</v>
      </c>
    </row>
    <row r="58" spans="1:36" ht="15" customHeight="1">
      <c r="B58" s="4" t="s">
        <v>36</v>
      </c>
    </row>
    <row r="59" spans="1:36" ht="15" customHeight="1">
      <c r="B59" s="46" t="s">
        <v>37</v>
      </c>
      <c r="C59" s="46"/>
    </row>
    <row r="61" spans="1:36" ht="15" customHeight="1">
      <c r="A61" s="4"/>
      <c r="B61" s="4" t="s">
        <v>38</v>
      </c>
    </row>
    <row r="62" spans="1:36" ht="15" customHeight="1">
      <c r="A62" s="4"/>
      <c r="B62" s="5" t="s">
        <v>15</v>
      </c>
      <c r="C62" s="6"/>
      <c r="D62" s="5" t="s">
        <v>39</v>
      </c>
      <c r="E62" s="7"/>
      <c r="F62" s="7"/>
      <c r="G62" s="7"/>
      <c r="H62" s="6"/>
      <c r="I62" s="5" t="s">
        <v>32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6"/>
    </row>
    <row r="63" spans="1:36" ht="15" customHeight="1">
      <c r="A63" s="4"/>
      <c r="B63" s="53">
        <v>1</v>
      </c>
      <c r="C63" s="54"/>
      <c r="D63" s="15" t="s">
        <v>40</v>
      </c>
      <c r="E63" s="17"/>
      <c r="F63" s="17"/>
      <c r="G63" s="17"/>
      <c r="H63" s="17"/>
      <c r="I63" s="31" t="s">
        <v>41</v>
      </c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3"/>
    </row>
    <row r="64" spans="1:36" ht="15" customHeight="1">
      <c r="A64" s="4"/>
      <c r="B64" s="55"/>
      <c r="C64" s="56"/>
      <c r="D64" s="16"/>
      <c r="E64" s="20"/>
      <c r="F64" s="20"/>
      <c r="G64" s="20"/>
      <c r="H64" s="20"/>
      <c r="I64" s="21" t="s">
        <v>42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3"/>
    </row>
    <row r="65" spans="1:36" ht="15" customHeight="1">
      <c r="A65" s="4"/>
      <c r="B65" s="53">
        <v>2</v>
      </c>
      <c r="C65" s="54"/>
      <c r="D65" s="15" t="s">
        <v>43</v>
      </c>
      <c r="E65" s="17"/>
      <c r="F65" s="17"/>
      <c r="G65" s="17"/>
      <c r="H65" s="17"/>
      <c r="I65" s="31" t="s">
        <v>44</v>
      </c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3"/>
    </row>
    <row r="66" spans="1:36" ht="15" customHeight="1">
      <c r="A66" s="4"/>
      <c r="B66" s="55"/>
      <c r="C66" s="56"/>
      <c r="D66" s="16"/>
      <c r="E66" s="20"/>
      <c r="F66" s="20"/>
      <c r="G66" s="20"/>
      <c r="H66" s="20"/>
      <c r="I66" s="21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3"/>
    </row>
    <row r="67" spans="1:36" ht="15" customHeight="1">
      <c r="A67" s="4"/>
      <c r="B67" s="53">
        <v>3</v>
      </c>
      <c r="C67" s="54"/>
      <c r="D67" s="43" t="s">
        <v>45</v>
      </c>
      <c r="E67" s="18"/>
      <c r="F67" s="18"/>
      <c r="G67" s="18"/>
      <c r="H67" s="18"/>
      <c r="I67" s="26" t="s">
        <v>46</v>
      </c>
      <c r="AJ67" s="19"/>
    </row>
    <row r="68" spans="1:36" ht="15" customHeight="1">
      <c r="A68" s="4"/>
      <c r="B68" s="55"/>
      <c r="C68" s="56"/>
      <c r="D68" s="16"/>
      <c r="E68" s="20"/>
      <c r="F68" s="20"/>
      <c r="G68" s="20"/>
      <c r="H68" s="20"/>
      <c r="I68" s="26"/>
      <c r="AJ68" s="19"/>
    </row>
    <row r="69" spans="1:36" ht="15" customHeight="1">
      <c r="A69" s="4"/>
      <c r="B69" s="53">
        <v>4</v>
      </c>
      <c r="C69" s="54"/>
      <c r="D69" s="15" t="s">
        <v>47</v>
      </c>
      <c r="E69" s="17"/>
      <c r="F69" s="17"/>
      <c r="G69" s="17"/>
      <c r="H69" s="17"/>
      <c r="I69" s="31" t="s">
        <v>48</v>
      </c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3"/>
    </row>
    <row r="70" spans="1:36" ht="15" customHeight="1">
      <c r="A70" s="4"/>
      <c r="B70" s="55"/>
      <c r="C70" s="56"/>
      <c r="D70" s="16"/>
      <c r="E70" s="20"/>
      <c r="F70" s="20"/>
      <c r="G70" s="20"/>
      <c r="H70" s="20"/>
      <c r="I70" s="21" t="s">
        <v>49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3"/>
    </row>
    <row r="71" spans="1:36" ht="15" customHeight="1">
      <c r="A71" s="4"/>
      <c r="B71" s="53">
        <v>5</v>
      </c>
      <c r="C71" s="54"/>
      <c r="D71" s="15" t="s">
        <v>50</v>
      </c>
      <c r="E71" s="17"/>
      <c r="F71" s="17"/>
      <c r="G71" s="17"/>
      <c r="H71" s="17"/>
      <c r="I71" s="31" t="s">
        <v>51</v>
      </c>
      <c r="AJ71" s="19"/>
    </row>
    <row r="72" spans="1:36" ht="15" customHeight="1">
      <c r="A72" s="4"/>
      <c r="B72" s="55"/>
      <c r="C72" s="56"/>
      <c r="D72" s="16"/>
      <c r="E72" s="20"/>
      <c r="F72" s="20"/>
      <c r="G72" s="20"/>
      <c r="H72" s="20"/>
      <c r="I72" s="26"/>
      <c r="AJ72" s="19"/>
    </row>
    <row r="73" spans="1:36" ht="15" customHeight="1">
      <c r="A73" s="4"/>
      <c r="B73" s="53">
        <v>6</v>
      </c>
      <c r="C73" s="54"/>
      <c r="D73" s="43" t="s">
        <v>52</v>
      </c>
      <c r="E73" s="17"/>
      <c r="F73" s="17"/>
      <c r="G73" s="17"/>
      <c r="H73" s="17"/>
      <c r="I73" s="31" t="s">
        <v>53</v>
      </c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3"/>
    </row>
    <row r="74" spans="1:36" ht="15" customHeight="1">
      <c r="A74" s="4"/>
      <c r="B74" s="55"/>
      <c r="C74" s="56"/>
      <c r="D74" s="16"/>
      <c r="E74" s="20"/>
      <c r="F74" s="20"/>
      <c r="G74" s="20"/>
      <c r="H74" s="20"/>
      <c r="I74" s="21" t="s">
        <v>54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3"/>
    </row>
    <row r="75" spans="1:36" ht="15" customHeight="1">
      <c r="A75" s="4"/>
      <c r="B75" s="53">
        <v>7</v>
      </c>
      <c r="C75" s="54"/>
      <c r="D75" s="43" t="s">
        <v>55</v>
      </c>
      <c r="E75" s="18"/>
      <c r="F75" s="18"/>
      <c r="G75" s="18"/>
      <c r="H75" s="18"/>
      <c r="I75" s="26" t="s">
        <v>56</v>
      </c>
      <c r="AJ75" s="19"/>
    </row>
    <row r="76" spans="1:36" ht="15" customHeight="1">
      <c r="A76" s="4"/>
      <c r="B76" s="55"/>
      <c r="C76" s="56"/>
      <c r="D76" s="16" t="s">
        <v>57</v>
      </c>
      <c r="E76" s="20"/>
      <c r="F76" s="20"/>
      <c r="G76" s="20"/>
      <c r="H76" s="20"/>
      <c r="I76" s="21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3"/>
    </row>
    <row r="77" spans="1:36" ht="15" customHeight="1">
      <c r="A77" s="4"/>
      <c r="C77" s="12"/>
      <c r="J77" s="17"/>
      <c r="K77" s="17"/>
      <c r="AA77" s="34"/>
      <c r="AB77" s="34"/>
      <c r="AC77" s="34"/>
      <c r="AD77" s="34"/>
      <c r="AE77" s="34"/>
      <c r="AF77" s="34"/>
      <c r="AG77" s="34"/>
    </row>
    <row r="79" spans="1:36" ht="15" customHeight="1">
      <c r="A79" s="3" t="s">
        <v>58</v>
      </c>
    </row>
    <row r="80" spans="1:36" ht="15" customHeight="1"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</row>
    <row r="81" spans="1:36" ht="15" customHeight="1">
      <c r="B81" s="63" t="s">
        <v>59</v>
      </c>
      <c r="C81" s="64"/>
      <c r="D81" s="64"/>
      <c r="E81" s="64"/>
      <c r="F81" s="35"/>
      <c r="G81" s="35"/>
      <c r="H81" s="35"/>
      <c r="I81" s="36"/>
      <c r="J81" s="47" t="s">
        <v>60</v>
      </c>
      <c r="K81" s="48"/>
      <c r="L81" s="50" t="s">
        <v>61</v>
      </c>
      <c r="M81" s="51" t="s">
        <v>61</v>
      </c>
      <c r="N81" s="51" t="s">
        <v>61</v>
      </c>
      <c r="O81" s="50" t="s">
        <v>61</v>
      </c>
      <c r="P81" s="51" t="s">
        <v>62</v>
      </c>
      <c r="Q81" s="48"/>
      <c r="R81" s="50" t="s">
        <v>61</v>
      </c>
      <c r="S81" s="51" t="s">
        <v>61</v>
      </c>
      <c r="T81" s="51" t="s">
        <v>61</v>
      </c>
      <c r="U81" s="50" t="s">
        <v>61</v>
      </c>
      <c r="V81" s="51" t="s">
        <v>63</v>
      </c>
      <c r="W81" s="48"/>
      <c r="X81" s="51" t="s">
        <v>61</v>
      </c>
      <c r="Y81" s="51" t="s">
        <v>61</v>
      </c>
      <c r="Z81" s="51" t="s">
        <v>61</v>
      </c>
      <c r="AA81" s="51" t="s">
        <v>61</v>
      </c>
      <c r="AB81" s="51" t="s">
        <v>64</v>
      </c>
      <c r="AC81" s="48"/>
      <c r="AD81" s="51" t="s">
        <v>61</v>
      </c>
      <c r="AE81" s="51" t="s">
        <v>61</v>
      </c>
      <c r="AF81" s="51" t="s">
        <v>61</v>
      </c>
      <c r="AG81" s="51" t="s">
        <v>61</v>
      </c>
      <c r="AH81" s="51" t="s">
        <v>65</v>
      </c>
      <c r="AI81" s="48"/>
      <c r="AJ81" s="52" t="s">
        <v>61</v>
      </c>
    </row>
    <row r="82" spans="1:36" ht="15" customHeight="1">
      <c r="B82" s="15" t="s">
        <v>40</v>
      </c>
      <c r="C82" s="32"/>
      <c r="D82" s="32"/>
      <c r="E82" s="32"/>
      <c r="F82" s="32"/>
      <c r="G82" s="32"/>
      <c r="H82" s="32"/>
      <c r="I82" s="33"/>
      <c r="J82" s="31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3"/>
    </row>
    <row r="83" spans="1:36" ht="15" customHeight="1">
      <c r="B83" s="16"/>
      <c r="C83" s="22"/>
      <c r="D83" s="22"/>
      <c r="E83" s="22"/>
      <c r="F83" s="22"/>
      <c r="G83" s="22"/>
      <c r="H83" s="22"/>
      <c r="I83" s="23"/>
      <c r="J83" s="21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3"/>
    </row>
    <row r="84" spans="1:36" ht="15" customHeight="1">
      <c r="B84" s="15" t="s">
        <v>43</v>
      </c>
      <c r="C84" s="32"/>
      <c r="D84" s="32"/>
      <c r="E84" s="32"/>
      <c r="F84" s="32"/>
      <c r="G84" s="32"/>
      <c r="H84" s="32"/>
      <c r="I84" s="33"/>
      <c r="J84" s="31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3"/>
    </row>
    <row r="85" spans="1:36" ht="15" customHeight="1">
      <c r="B85" s="16"/>
      <c r="C85" s="22"/>
      <c r="D85" s="22"/>
      <c r="E85" s="22"/>
      <c r="F85" s="22"/>
      <c r="G85" s="22"/>
      <c r="H85" s="22"/>
      <c r="I85" s="23"/>
      <c r="J85" s="21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3"/>
    </row>
    <row r="86" spans="1:36" ht="15" customHeight="1">
      <c r="B86" s="43" t="s">
        <v>45</v>
      </c>
      <c r="I86" s="19"/>
      <c r="J86" s="26"/>
      <c r="AJ86" s="19"/>
    </row>
    <row r="87" spans="1:36" ht="15" customHeight="1">
      <c r="B87" s="16"/>
      <c r="I87" s="19"/>
      <c r="J87" s="26"/>
      <c r="AJ87" s="19"/>
    </row>
    <row r="88" spans="1:36" ht="15" customHeight="1">
      <c r="B88" s="15" t="s">
        <v>47</v>
      </c>
      <c r="C88" s="32"/>
      <c r="D88" s="32"/>
      <c r="E88" s="32"/>
      <c r="F88" s="32"/>
      <c r="G88" s="32"/>
      <c r="H88" s="32"/>
      <c r="I88" s="33"/>
      <c r="J88" s="31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3"/>
    </row>
    <row r="89" spans="1:36" ht="15" customHeight="1">
      <c r="B89" s="16"/>
      <c r="C89" s="22"/>
      <c r="D89" s="22"/>
      <c r="E89" s="22"/>
      <c r="F89" s="22"/>
      <c r="G89" s="22"/>
      <c r="H89" s="22"/>
      <c r="I89" s="23"/>
      <c r="J89" s="21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3"/>
    </row>
    <row r="90" spans="1:36" ht="15" customHeight="1">
      <c r="B90" s="15" t="s">
        <v>50</v>
      </c>
      <c r="I90" s="19"/>
      <c r="J90" s="26"/>
      <c r="AJ90" s="19"/>
    </row>
    <row r="91" spans="1:36" ht="15" customHeight="1">
      <c r="B91" s="15"/>
      <c r="I91" s="19"/>
      <c r="J91" s="26"/>
      <c r="AJ91" s="19"/>
    </row>
    <row r="92" spans="1:36" ht="15" customHeight="1">
      <c r="B92" s="15"/>
      <c r="I92" s="19"/>
      <c r="J92" s="26"/>
      <c r="AJ92" s="19"/>
    </row>
    <row r="93" spans="1:36" ht="15" customHeight="1">
      <c r="B93" s="16"/>
      <c r="I93" s="19"/>
      <c r="J93" s="26"/>
      <c r="AJ93" s="19"/>
    </row>
    <row r="94" spans="1:36" ht="15" customHeight="1">
      <c r="B94" s="43" t="s">
        <v>52</v>
      </c>
      <c r="C94" s="32"/>
      <c r="D94" s="32"/>
      <c r="E94" s="32"/>
      <c r="F94" s="32"/>
      <c r="G94" s="32"/>
      <c r="H94" s="32"/>
      <c r="I94" s="33"/>
      <c r="J94" s="31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3"/>
    </row>
    <row r="95" spans="1:36" ht="15" customHeight="1">
      <c r="B95" s="16"/>
      <c r="C95" s="22"/>
      <c r="D95" s="22"/>
      <c r="E95" s="22"/>
      <c r="F95" s="22"/>
      <c r="G95" s="22"/>
      <c r="H95" s="22"/>
      <c r="I95" s="23"/>
      <c r="J95" s="21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3"/>
    </row>
    <row r="96" spans="1:36" ht="15" customHeight="1">
      <c r="A96" s="4"/>
      <c r="I96" s="24"/>
      <c r="J96" s="24"/>
      <c r="K96" s="24"/>
      <c r="L96" s="24"/>
      <c r="M96" s="24"/>
      <c r="N96" s="24"/>
      <c r="O96" s="24"/>
      <c r="P96" s="24"/>
      <c r="Q96" s="24"/>
      <c r="R96" s="24"/>
      <c r="T96" s="24"/>
      <c r="U96" s="4" t="s">
        <v>66</v>
      </c>
      <c r="V96" s="24"/>
      <c r="X96" s="24"/>
      <c r="Y96" s="4" t="s">
        <v>67</v>
      </c>
      <c r="AA96" s="24"/>
      <c r="AB96" s="24"/>
      <c r="AE96" s="4" t="s">
        <v>68</v>
      </c>
    </row>
    <row r="98" spans="1:33" ht="15" customHeight="1">
      <c r="A98" s="4"/>
      <c r="V98" s="14"/>
    </row>
    <row r="99" spans="1:33" ht="15" customHeight="1">
      <c r="A99" s="3" t="s">
        <v>69</v>
      </c>
    </row>
    <row r="100" spans="1:33" ht="15" customHeight="1" thickBot="1">
      <c r="A100" s="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 spans="1:33" ht="15" customHeight="1" thickTop="1">
      <c r="C101" s="57" t="s">
        <v>70</v>
      </c>
      <c r="D101" s="58"/>
      <c r="E101" s="58"/>
      <c r="F101" s="58"/>
      <c r="G101" s="58"/>
      <c r="H101" s="59"/>
      <c r="I101" s="27"/>
      <c r="J101" s="27"/>
      <c r="K101" s="27"/>
      <c r="L101" s="27"/>
      <c r="M101" s="57" t="s">
        <v>71</v>
      </c>
      <c r="N101" s="58"/>
      <c r="O101" s="58"/>
      <c r="P101" s="58"/>
      <c r="Q101" s="58"/>
      <c r="R101" s="59"/>
      <c r="S101" s="28"/>
      <c r="T101" s="27"/>
      <c r="U101" s="27"/>
      <c r="V101" s="29"/>
      <c r="W101" s="57" t="s">
        <v>72</v>
      </c>
      <c r="X101" s="58"/>
      <c r="Y101" s="58"/>
      <c r="Z101" s="58"/>
      <c r="AA101" s="58"/>
      <c r="AB101" s="59"/>
      <c r="AC101" s="24"/>
      <c r="AD101" s="24"/>
      <c r="AE101" s="24"/>
      <c r="AF101" s="24"/>
      <c r="AG101" s="24"/>
    </row>
    <row r="102" spans="1:33" ht="15" customHeight="1" thickBot="1">
      <c r="A102" s="4"/>
      <c r="C102" s="60"/>
      <c r="D102" s="61"/>
      <c r="E102" s="61"/>
      <c r="F102" s="61"/>
      <c r="G102" s="61"/>
      <c r="H102" s="62"/>
      <c r="I102" s="1"/>
      <c r="J102" s="1"/>
      <c r="K102" s="1"/>
      <c r="L102" s="1"/>
      <c r="M102" s="60"/>
      <c r="N102" s="61"/>
      <c r="O102" s="61"/>
      <c r="P102" s="61"/>
      <c r="Q102" s="61"/>
      <c r="R102" s="62"/>
      <c r="S102" s="1"/>
      <c r="T102" s="30"/>
      <c r="U102" s="98"/>
      <c r="V102" s="99"/>
      <c r="W102" s="60"/>
      <c r="X102" s="61"/>
      <c r="Y102" s="61"/>
      <c r="Z102" s="61"/>
      <c r="AA102" s="61"/>
      <c r="AB102" s="62"/>
      <c r="AC102" s="24"/>
      <c r="AD102" s="24"/>
      <c r="AE102" s="24"/>
      <c r="AF102" s="24"/>
      <c r="AG102" s="24"/>
    </row>
    <row r="103" spans="1:33" ht="15" customHeight="1">
      <c r="A103" s="4"/>
      <c r="I103" s="24"/>
      <c r="J103" s="24"/>
      <c r="K103" s="24"/>
      <c r="L103" s="24"/>
      <c r="M103" s="24"/>
      <c r="N103" s="24"/>
      <c r="O103" s="24"/>
      <c r="P103" s="44"/>
      <c r="Q103" s="24"/>
      <c r="R103" s="24"/>
      <c r="S103" s="24"/>
      <c r="T103" s="24"/>
      <c r="U103" s="100"/>
      <c r="V103" s="99"/>
      <c r="W103" s="1"/>
      <c r="X103" s="1"/>
      <c r="Y103" s="1"/>
      <c r="Z103" s="1"/>
      <c r="AA103" s="1"/>
      <c r="AB103" s="1"/>
      <c r="AC103" s="24"/>
      <c r="AD103" s="24"/>
      <c r="AE103" s="24"/>
      <c r="AF103" s="24"/>
      <c r="AG103" s="24"/>
    </row>
    <row r="104" spans="1:33" ht="15" customHeight="1">
      <c r="A104" s="4"/>
      <c r="I104" s="24"/>
      <c r="J104" s="24"/>
      <c r="K104" s="24"/>
      <c r="L104" s="24"/>
      <c r="M104" s="57" t="s">
        <v>73</v>
      </c>
      <c r="N104" s="58"/>
      <c r="O104" s="58"/>
      <c r="P104" s="58"/>
      <c r="Q104" s="58"/>
      <c r="R104" s="59"/>
      <c r="S104" s="24"/>
      <c r="T104" s="24"/>
      <c r="U104" s="101"/>
      <c r="V104" s="102"/>
      <c r="W104" s="57" t="s">
        <v>74</v>
      </c>
      <c r="X104" s="58"/>
      <c r="Y104" s="58"/>
      <c r="Z104" s="58"/>
      <c r="AA104" s="58"/>
      <c r="AB104" s="59"/>
      <c r="AC104" s="24"/>
      <c r="AD104" s="24"/>
      <c r="AE104" s="24"/>
      <c r="AF104" s="24"/>
      <c r="AG104" s="24"/>
    </row>
    <row r="105" spans="1:33" ht="15" customHeight="1">
      <c r="M105" s="60"/>
      <c r="N105" s="61"/>
      <c r="O105" s="61"/>
      <c r="P105" s="61"/>
      <c r="Q105" s="61"/>
      <c r="R105" s="62"/>
      <c r="U105" s="1"/>
      <c r="W105" s="60"/>
      <c r="X105" s="61"/>
      <c r="Y105" s="61"/>
      <c r="Z105" s="61"/>
      <c r="AA105" s="61"/>
      <c r="AB105" s="62"/>
    </row>
    <row r="108" spans="1:33" ht="15" customHeight="1">
      <c r="A108" s="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 spans="1:33" ht="15" customHeight="1">
      <c r="A109" s="3" t="s">
        <v>75</v>
      </c>
    </row>
    <row r="111" spans="1:33" ht="15" customHeight="1">
      <c r="B111" s="4" t="s">
        <v>76</v>
      </c>
    </row>
    <row r="112" spans="1:33" ht="15" customHeight="1">
      <c r="C112" s="4" t="s">
        <v>77</v>
      </c>
    </row>
    <row r="113" spans="1:3" ht="15" customHeight="1">
      <c r="B113" s="25" t="s">
        <v>78</v>
      </c>
      <c r="C113" s="45"/>
    </row>
    <row r="114" spans="1:3" ht="15" customHeight="1">
      <c r="B114" s="4" t="s">
        <v>79</v>
      </c>
    </row>
    <row r="115" spans="1:3" ht="15" customHeight="1">
      <c r="C115" s="4" t="s">
        <v>80</v>
      </c>
    </row>
    <row r="116" spans="1:3" ht="15" customHeight="1">
      <c r="C116" s="4" t="s">
        <v>81</v>
      </c>
    </row>
    <row r="117" spans="1:3" ht="15" customHeight="1">
      <c r="C117" s="4" t="s">
        <v>82</v>
      </c>
    </row>
    <row r="118" spans="1:3" ht="15" customHeight="1">
      <c r="B118" s="25" t="s">
        <v>78</v>
      </c>
      <c r="C118" s="45"/>
    </row>
    <row r="119" spans="1:3" ht="15" customHeight="1">
      <c r="B119" s="4" t="s">
        <v>83</v>
      </c>
      <c r="C119" s="25"/>
    </row>
    <row r="120" spans="1:3" ht="15" customHeight="1">
      <c r="C120" s="25" t="s">
        <v>84</v>
      </c>
    </row>
    <row r="121" spans="1:3" ht="15" customHeight="1">
      <c r="C121" s="4" t="s">
        <v>85</v>
      </c>
    </row>
    <row r="123" spans="1:3" ht="15" customHeight="1">
      <c r="A123" s="4"/>
      <c r="B123" s="4" t="s">
        <v>86</v>
      </c>
    </row>
    <row r="124" spans="1:3" ht="15" customHeight="1">
      <c r="A124" s="4"/>
      <c r="C124" s="4" t="s">
        <v>87</v>
      </c>
    </row>
    <row r="125" spans="1:3" ht="15" customHeight="1">
      <c r="A125" s="4"/>
      <c r="C125" s="4" t="s">
        <v>88</v>
      </c>
    </row>
    <row r="126" spans="1:3" ht="15" customHeight="1">
      <c r="A126" s="4"/>
    </row>
    <row r="127" spans="1:3" ht="15" customHeight="1">
      <c r="A127" s="4"/>
      <c r="B127" s="4" t="s">
        <v>89</v>
      </c>
    </row>
    <row r="128" spans="1:3" ht="15" customHeight="1">
      <c r="A128" s="4"/>
      <c r="C128" s="4" t="s">
        <v>90</v>
      </c>
    </row>
    <row r="130" spans="2:3" ht="15" customHeight="1">
      <c r="B130" s="4" t="s">
        <v>91</v>
      </c>
    </row>
    <row r="131" spans="2:3" ht="15" customHeight="1">
      <c r="C131" s="4" t="s">
        <v>92</v>
      </c>
    </row>
    <row r="133" spans="2:3" ht="15" customHeight="1">
      <c r="B133" s="4" t="s">
        <v>93</v>
      </c>
    </row>
    <row r="134" spans="2:3" ht="15" customHeight="1">
      <c r="C134" s="4" t="s">
        <v>94</v>
      </c>
    </row>
    <row r="139" spans="2:3" ht="15" customHeight="1">
      <c r="C139" s="25"/>
    </row>
    <row r="140" spans="2:3" ht="15" customHeight="1">
      <c r="C140" s="25"/>
    </row>
    <row r="141" spans="2:3" ht="15" customHeight="1">
      <c r="C141" s="25"/>
    </row>
  </sheetData>
  <mergeCells count="35">
    <mergeCell ref="D36:AD36"/>
    <mergeCell ref="AF2:AJ2"/>
    <mergeCell ref="A5:Q6"/>
    <mergeCell ref="A9:E10"/>
    <mergeCell ref="F9:Q10"/>
    <mergeCell ref="A1:S2"/>
    <mergeCell ref="B38:C38"/>
    <mergeCell ref="AE38:AJ38"/>
    <mergeCell ref="B39:C39"/>
    <mergeCell ref="AE39:AJ39"/>
    <mergeCell ref="B37:C37"/>
    <mergeCell ref="AE37:AJ37"/>
    <mergeCell ref="B44:AD44"/>
    <mergeCell ref="AE44:AJ44"/>
    <mergeCell ref="B40:C40"/>
    <mergeCell ref="AE40:AJ40"/>
    <mergeCell ref="B41:C41"/>
    <mergeCell ref="B42:C42"/>
    <mergeCell ref="B43:C43"/>
    <mergeCell ref="AE41:AJ41"/>
    <mergeCell ref="AE42:AJ42"/>
    <mergeCell ref="AE43:AJ43"/>
    <mergeCell ref="C101:H102"/>
    <mergeCell ref="M101:R102"/>
    <mergeCell ref="W101:AB102"/>
    <mergeCell ref="M104:R105"/>
    <mergeCell ref="B81:E81"/>
    <mergeCell ref="W104:AB105"/>
    <mergeCell ref="B73:C74"/>
    <mergeCell ref="B75:C76"/>
    <mergeCell ref="B71:C72"/>
    <mergeCell ref="B63:C64"/>
    <mergeCell ref="B65:C66"/>
    <mergeCell ref="B67:C68"/>
    <mergeCell ref="B69:C70"/>
  </mergeCells>
  <phoneticPr fontId="5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3" manualBreakCount="3">
    <brk id="53" max="35" man="1"/>
    <brk id="108" max="35" man="1"/>
    <brk id="136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6"/>
  <sheetViews>
    <sheetView showGridLines="0" view="pageBreakPreview" zoomScaleNormal="100" zoomScaleSheetLayoutView="100" workbookViewId="0">
      <selection activeCell="A3" sqref="A3"/>
    </sheetView>
  </sheetViews>
  <sheetFormatPr defaultColWidth="2.42578125" defaultRowHeight="15" customHeight="1"/>
  <cols>
    <col min="1" max="1" width="2.42578125" style="3"/>
    <col min="2" max="27" width="2.42578125" style="4"/>
    <col min="28" max="28" width="2.42578125" style="4" customWidth="1"/>
    <col min="29" max="45" width="2.42578125" style="4"/>
    <col min="46" max="46" width="5.42578125" style="4" customWidth="1"/>
    <col min="47" max="16384" width="2.42578125" style="4"/>
  </cols>
  <sheetData>
    <row r="1" spans="1:37" s="1" customFormat="1" ht="15" customHeight="1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Y2" s="11" t="s">
        <v>3</v>
      </c>
      <c r="Z2" s="11"/>
      <c r="AA2" s="11"/>
      <c r="AB2" s="11"/>
      <c r="AC2" s="11"/>
      <c r="AD2" s="11"/>
      <c r="AE2" s="11"/>
      <c r="AF2" s="75"/>
      <c r="AG2" s="76"/>
      <c r="AH2" s="76"/>
      <c r="AI2" s="76"/>
      <c r="AJ2" s="76"/>
      <c r="AK2" s="4"/>
    </row>
    <row r="3" spans="1:37" s="1" customFormat="1" ht="15" customHeight="1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>
      <c r="A5" s="77" t="s">
        <v>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>
      <c r="A9" s="79" t="s">
        <v>5</v>
      </c>
      <c r="B9" s="79"/>
      <c r="C9" s="79"/>
      <c r="D9" s="79"/>
      <c r="E9" s="79"/>
      <c r="F9" s="81">
        <f>AE44</f>
        <v>968000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>
      <c r="A10" s="80"/>
      <c r="B10" s="80"/>
      <c r="C10" s="80"/>
      <c r="D10" s="80"/>
      <c r="E10" s="80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>
      <c r="A11" s="2"/>
    </row>
    <row r="12" spans="1:37" s="1" customFormat="1" ht="15" customHeight="1">
      <c r="A12" s="2"/>
    </row>
    <row r="13" spans="1:37" ht="15" customHeight="1">
      <c r="A13" s="3" t="s">
        <v>6</v>
      </c>
    </row>
    <row r="15" spans="1:37" ht="15" customHeight="1">
      <c r="B15" s="4" t="s">
        <v>7</v>
      </c>
    </row>
    <row r="18" spans="1:16" ht="15" customHeight="1">
      <c r="A18" s="4"/>
    </row>
    <row r="19" spans="1:16" ht="15" customHeight="1">
      <c r="A19" s="3" t="s">
        <v>8</v>
      </c>
      <c r="P19" s="3"/>
    </row>
    <row r="20" spans="1:16" ht="15" customHeight="1">
      <c r="A20" s="4"/>
    </row>
    <row r="21" spans="1:16" ht="15" customHeight="1">
      <c r="A21" s="4"/>
      <c r="B21" s="4" t="s">
        <v>9</v>
      </c>
    </row>
    <row r="22" spans="1:16" ht="15" customHeight="1">
      <c r="A22" s="4"/>
    </row>
    <row r="23" spans="1:16" ht="15" customHeight="1">
      <c r="A23" s="4"/>
    </row>
    <row r="24" spans="1:16" ht="15" customHeight="1">
      <c r="A24" s="3" t="s">
        <v>10</v>
      </c>
    </row>
    <row r="25" spans="1:16" ht="15" customHeight="1">
      <c r="A25" s="4"/>
    </row>
    <row r="26" spans="1:16" ht="15" customHeight="1">
      <c r="A26" s="4"/>
      <c r="B26" s="4" t="s">
        <v>11</v>
      </c>
    </row>
    <row r="27" spans="1:16" ht="15" customHeight="1">
      <c r="A27" s="4"/>
    </row>
    <row r="28" spans="1:16" ht="15" customHeight="1">
      <c r="A28" s="4"/>
    </row>
    <row r="29" spans="1:16" ht="15" customHeight="1">
      <c r="A29" s="3" t="s">
        <v>12</v>
      </c>
    </row>
    <row r="31" spans="1:16" ht="15" customHeight="1">
      <c r="A31" s="4"/>
      <c r="B31" s="4" t="str">
        <f>'御見積詳細書 (顧客用)'!B31</f>
        <v>2025年8月12日 ～ 2025年9月30日</v>
      </c>
    </row>
    <row r="32" spans="1:16" ht="15" customHeight="1">
      <c r="A32" s="4"/>
    </row>
    <row r="33" spans="1:49" ht="15" customHeight="1">
      <c r="A33" s="4"/>
    </row>
    <row r="34" spans="1:49" ht="15" customHeight="1">
      <c r="A34" s="3" t="s">
        <v>14</v>
      </c>
    </row>
    <row r="35" spans="1:49" ht="15" customHeight="1">
      <c r="A35" s="4"/>
    </row>
    <row r="36" spans="1:49" ht="15" customHeight="1">
      <c r="A36" s="4"/>
      <c r="B36" s="5" t="s">
        <v>15</v>
      </c>
      <c r="C36" s="6"/>
      <c r="D36" s="93" t="s">
        <v>16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5"/>
      <c r="S36" s="96" t="s">
        <v>95</v>
      </c>
      <c r="T36" s="64"/>
      <c r="U36" s="64"/>
      <c r="V36" s="64"/>
      <c r="W36" s="64"/>
      <c r="X36" s="97"/>
      <c r="Y36" s="5" t="s">
        <v>96</v>
      </c>
      <c r="Z36" s="7"/>
      <c r="AA36" s="7"/>
      <c r="AB36" s="7"/>
      <c r="AC36" s="7"/>
      <c r="AD36" s="7"/>
      <c r="AE36" s="5" t="s">
        <v>17</v>
      </c>
      <c r="AF36" s="7"/>
      <c r="AG36" s="7"/>
      <c r="AH36" s="7"/>
      <c r="AI36" s="7"/>
      <c r="AJ36" s="6"/>
    </row>
    <row r="37" spans="1:49" ht="15" customHeight="1">
      <c r="A37" s="4"/>
      <c r="B37" s="69">
        <v>1</v>
      </c>
      <c r="C37" s="70"/>
      <c r="D37" s="41" t="s">
        <v>18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8"/>
      <c r="S37" s="90">
        <v>1000000</v>
      </c>
      <c r="T37" s="91"/>
      <c r="U37" s="91"/>
      <c r="V37" s="91"/>
      <c r="W37" s="91"/>
      <c r="X37" s="92"/>
      <c r="Y37" s="86">
        <v>1</v>
      </c>
      <c r="Z37" s="87"/>
      <c r="AA37" s="87"/>
      <c r="AB37" s="87"/>
      <c r="AC37" s="88" t="s">
        <v>97</v>
      </c>
      <c r="AD37" s="89"/>
      <c r="AE37" s="71">
        <f t="shared" ref="AE37:AE38" si="0">S37/20*Y37</f>
        <v>50000</v>
      </c>
      <c r="AF37" s="72"/>
      <c r="AG37" s="72"/>
      <c r="AH37" s="72"/>
      <c r="AI37" s="72"/>
      <c r="AJ37" s="73"/>
    </row>
    <row r="38" spans="1:49" ht="15" customHeight="1">
      <c r="A38" s="4"/>
      <c r="B38" s="69">
        <v>2</v>
      </c>
      <c r="C38" s="70"/>
      <c r="D38" s="41" t="s">
        <v>19</v>
      </c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8"/>
      <c r="S38" s="90">
        <v>1000000</v>
      </c>
      <c r="T38" s="91"/>
      <c r="U38" s="91"/>
      <c r="V38" s="91"/>
      <c r="W38" s="91"/>
      <c r="X38" s="92"/>
      <c r="Y38" s="86">
        <v>2</v>
      </c>
      <c r="Z38" s="87"/>
      <c r="AA38" s="87"/>
      <c r="AB38" s="87"/>
      <c r="AC38" s="88" t="s">
        <v>97</v>
      </c>
      <c r="AD38" s="89"/>
      <c r="AE38" s="71">
        <f t="shared" si="0"/>
        <v>100000</v>
      </c>
      <c r="AF38" s="72"/>
      <c r="AG38" s="72"/>
      <c r="AH38" s="72"/>
      <c r="AI38" s="72"/>
      <c r="AJ38" s="73"/>
    </row>
    <row r="39" spans="1:49" ht="15" customHeight="1">
      <c r="A39" s="4"/>
      <c r="B39" s="69">
        <v>3</v>
      </c>
      <c r="C39" s="70"/>
      <c r="D39" s="41" t="s">
        <v>20</v>
      </c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8"/>
      <c r="S39" s="90">
        <v>1000000</v>
      </c>
      <c r="T39" s="91"/>
      <c r="U39" s="91"/>
      <c r="V39" s="91"/>
      <c r="W39" s="91"/>
      <c r="X39" s="92"/>
      <c r="Y39" s="86">
        <v>3</v>
      </c>
      <c r="Z39" s="87"/>
      <c r="AA39" s="87"/>
      <c r="AB39" s="87"/>
      <c r="AC39" s="88" t="s">
        <v>97</v>
      </c>
      <c r="AD39" s="89"/>
      <c r="AE39" s="71">
        <f>S39/20*Y39</f>
        <v>150000</v>
      </c>
      <c r="AF39" s="72"/>
      <c r="AG39" s="72"/>
      <c r="AH39" s="72"/>
      <c r="AI39" s="72"/>
      <c r="AJ39" s="73"/>
    </row>
    <row r="40" spans="1:49" ht="15" customHeight="1">
      <c r="A40" s="4"/>
      <c r="B40" s="69">
        <v>4</v>
      </c>
      <c r="C40" s="70"/>
      <c r="D40" s="41" t="s">
        <v>21</v>
      </c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8"/>
      <c r="S40" s="90">
        <v>1000000</v>
      </c>
      <c r="T40" s="91"/>
      <c r="U40" s="91"/>
      <c r="V40" s="91"/>
      <c r="W40" s="91"/>
      <c r="X40" s="92"/>
      <c r="Y40" s="86">
        <v>4</v>
      </c>
      <c r="Z40" s="87"/>
      <c r="AA40" s="87"/>
      <c r="AB40" s="87"/>
      <c r="AC40" s="88" t="s">
        <v>97</v>
      </c>
      <c r="AD40" s="89"/>
      <c r="AE40" s="71">
        <f>S40/20*Y40</f>
        <v>200000</v>
      </c>
      <c r="AF40" s="72"/>
      <c r="AG40" s="72"/>
      <c r="AH40" s="72"/>
      <c r="AI40" s="72"/>
      <c r="AJ40" s="73"/>
    </row>
    <row r="41" spans="1:49" ht="15" customHeight="1">
      <c r="A41" s="4"/>
      <c r="B41" s="69">
        <v>5</v>
      </c>
      <c r="C41" s="70"/>
      <c r="D41" s="41" t="s">
        <v>22</v>
      </c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8"/>
      <c r="S41" s="90">
        <v>1000000</v>
      </c>
      <c r="T41" s="91"/>
      <c r="U41" s="91"/>
      <c r="V41" s="91"/>
      <c r="W41" s="91"/>
      <c r="X41" s="92"/>
      <c r="Y41" s="86">
        <v>4</v>
      </c>
      <c r="Z41" s="87"/>
      <c r="AA41" s="87"/>
      <c r="AB41" s="87"/>
      <c r="AC41" s="88" t="s">
        <v>97</v>
      </c>
      <c r="AD41" s="89"/>
      <c r="AE41" s="71">
        <f>S41/20*Y41</f>
        <v>200000</v>
      </c>
      <c r="AF41" s="72"/>
      <c r="AG41" s="72"/>
      <c r="AH41" s="72"/>
      <c r="AI41" s="72"/>
      <c r="AJ41" s="73"/>
    </row>
    <row r="42" spans="1:49" ht="15" customHeight="1">
      <c r="A42" s="4"/>
      <c r="B42" s="69">
        <v>6</v>
      </c>
      <c r="C42" s="70"/>
      <c r="D42" s="41" t="s">
        <v>23</v>
      </c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90">
        <v>1000000</v>
      </c>
      <c r="T42" s="91"/>
      <c r="U42" s="91"/>
      <c r="V42" s="91"/>
      <c r="W42" s="91"/>
      <c r="X42" s="92"/>
      <c r="Y42" s="86">
        <v>2</v>
      </c>
      <c r="Z42" s="87"/>
      <c r="AA42" s="87"/>
      <c r="AB42" s="87"/>
      <c r="AC42" s="88" t="s">
        <v>97</v>
      </c>
      <c r="AD42" s="89"/>
      <c r="AE42" s="71">
        <f>S42/20*Y42</f>
        <v>100000</v>
      </c>
      <c r="AF42" s="72"/>
      <c r="AG42" s="72"/>
      <c r="AH42" s="72"/>
      <c r="AI42" s="72"/>
      <c r="AJ42" s="73"/>
    </row>
    <row r="43" spans="1:49" ht="15" customHeight="1">
      <c r="A43" s="4"/>
      <c r="B43" s="69">
        <v>7</v>
      </c>
      <c r="C43" s="70"/>
      <c r="D43" s="41" t="s">
        <v>24</v>
      </c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90">
        <v>1400000</v>
      </c>
      <c r="T43" s="91"/>
      <c r="U43" s="91"/>
      <c r="V43" s="91"/>
      <c r="W43" s="91"/>
      <c r="X43" s="92"/>
      <c r="Y43" s="86">
        <f>SUM(Y37:AB42)*0.15</f>
        <v>2.4</v>
      </c>
      <c r="Z43" s="87"/>
      <c r="AA43" s="87"/>
      <c r="AB43" s="87"/>
      <c r="AC43" s="88" t="s">
        <v>97</v>
      </c>
      <c r="AD43" s="89"/>
      <c r="AE43" s="71">
        <f>S43/20*Y43</f>
        <v>168000</v>
      </c>
      <c r="AF43" s="72"/>
      <c r="AG43" s="72"/>
      <c r="AH43" s="72"/>
      <c r="AI43" s="72"/>
      <c r="AJ43" s="73"/>
      <c r="AT43" s="13"/>
      <c r="AU43" s="13"/>
      <c r="AV43" s="13"/>
      <c r="AW43" s="13"/>
    </row>
    <row r="44" spans="1:49" ht="15" customHeight="1">
      <c r="A44" s="4"/>
      <c r="B44" s="84" t="s">
        <v>25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6">
        <f>SUM(Y37:AB43)</f>
        <v>18.399999999999999</v>
      </c>
      <c r="Z44" s="87"/>
      <c r="AA44" s="87"/>
      <c r="AB44" s="87"/>
      <c r="AC44" s="88" t="s">
        <v>97</v>
      </c>
      <c r="AD44" s="89"/>
      <c r="AE44" s="68">
        <f>SUM(AE37:AJ43)</f>
        <v>968000</v>
      </c>
      <c r="AF44" s="68"/>
      <c r="AG44" s="68"/>
      <c r="AH44" s="68"/>
      <c r="AI44" s="68"/>
      <c r="AJ44" s="68"/>
    </row>
    <row r="45" spans="1:49" ht="15" customHeight="1">
      <c r="A45" s="4"/>
      <c r="AB45" s="13"/>
    </row>
    <row r="46" spans="1:49" ht="15" customHeight="1">
      <c r="A46" s="4"/>
      <c r="AB46" s="13"/>
    </row>
  </sheetData>
  <mergeCells count="46">
    <mergeCell ref="A1:S2"/>
    <mergeCell ref="A5:Q6"/>
    <mergeCell ref="B37:C37"/>
    <mergeCell ref="B38:C38"/>
    <mergeCell ref="AE38:AJ38"/>
    <mergeCell ref="AC38:AD38"/>
    <mergeCell ref="S38:X38"/>
    <mergeCell ref="AC37:AD37"/>
    <mergeCell ref="D36:R36"/>
    <mergeCell ref="Y38:AB38"/>
    <mergeCell ref="A9:E10"/>
    <mergeCell ref="F9:Q10"/>
    <mergeCell ref="S36:X36"/>
    <mergeCell ref="S37:X37"/>
    <mergeCell ref="Y37:AB37"/>
    <mergeCell ref="AF2:AJ2"/>
    <mergeCell ref="Y41:AB41"/>
    <mergeCell ref="AC41:AD41"/>
    <mergeCell ref="AE39:AJ39"/>
    <mergeCell ref="AE41:AJ41"/>
    <mergeCell ref="S41:X41"/>
    <mergeCell ref="B40:C40"/>
    <mergeCell ref="AE40:AJ40"/>
    <mergeCell ref="B39:C39"/>
    <mergeCell ref="AC40:AD40"/>
    <mergeCell ref="Y39:AB39"/>
    <mergeCell ref="AC39:AD39"/>
    <mergeCell ref="S39:X39"/>
    <mergeCell ref="S40:X40"/>
    <mergeCell ref="Y40:AB40"/>
    <mergeCell ref="AE37:AJ37"/>
    <mergeCell ref="B44:X44"/>
    <mergeCell ref="Y44:AB44"/>
    <mergeCell ref="AC44:AD44"/>
    <mergeCell ref="AE42:AJ42"/>
    <mergeCell ref="S43:X43"/>
    <mergeCell ref="Y43:AB43"/>
    <mergeCell ref="AC43:AD43"/>
    <mergeCell ref="AE43:AJ43"/>
    <mergeCell ref="B42:C42"/>
    <mergeCell ref="B43:C43"/>
    <mergeCell ref="S42:X42"/>
    <mergeCell ref="Y42:AB42"/>
    <mergeCell ref="AC42:AD42"/>
    <mergeCell ref="AE44:AJ44"/>
    <mergeCell ref="B41:C41"/>
  </mergeCells>
  <phoneticPr fontId="6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46189C-3AA3-4818-8AF7-A56787DC286C}"/>
</file>

<file path=customXml/itemProps2.xml><?xml version="1.0" encoding="utf-8"?>
<ds:datastoreItem xmlns:ds="http://schemas.openxmlformats.org/officeDocument/2006/customXml" ds:itemID="{C0841E61-4E9C-4B46-A2F6-3731895F112B}"/>
</file>

<file path=customXml/itemProps3.xml><?xml version="1.0" encoding="utf-8"?>
<ds:datastoreItem xmlns:ds="http://schemas.openxmlformats.org/officeDocument/2006/customXml" ds:itemID="{5746999F-13C4-4EF3-A154-5D2F284467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福田一希</cp:lastModifiedBy>
  <cp:revision/>
  <dcterms:created xsi:type="dcterms:W3CDTF">2006-09-16T00:00:00Z</dcterms:created>
  <dcterms:modified xsi:type="dcterms:W3CDTF">2025-07-29T08:14:20Z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