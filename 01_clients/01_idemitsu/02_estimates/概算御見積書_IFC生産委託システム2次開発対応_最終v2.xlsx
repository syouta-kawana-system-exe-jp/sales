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drawings/drawing2.xml" ContentType="application/vnd.openxmlformats-officedocument.drawing+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328"/>
  <workbookPr/>
  <mc:AlternateContent xmlns:mc="http://schemas.openxmlformats.org/markup-compatibility/2006">
    <mc:Choice Requires="x15">
      <x15ac:absPath xmlns:x15ac="http://schemas.microsoft.com/office/spreadsheetml/2010/11/ac" url="https://systemexe2021.sharepoint.com/sites/-984-01_/Shared Documents/00_提案・見積/"/>
    </mc:Choice>
  </mc:AlternateContent>
  <xr:revisionPtr revIDLastSave="188" documentId="13_ncr:1_{0D8BAF12-3BB5-41A3-85C2-BD966470062A}" xr6:coauthVersionLast="47" xr6:coauthVersionMax="47" xr10:uidLastSave="{01928A6A-ED9D-4364-92ED-A599776A47A2}"/>
  <bookViews>
    <workbookView xWindow="-120" yWindow="-120" windowWidth="29040" windowHeight="15720" xr2:uid="{00000000-000D-0000-FFFF-FFFF00000000}"/>
  </bookViews>
  <sheets>
    <sheet name="概算見積③12月～1月" sheetId="15" r:id="rId1"/>
    <sheet name="工数明細③12月～1月" sheetId="16" r:id="rId2"/>
    <sheet name="工数明細③12月～1月_bk" sheetId="19" state="hidden" r:id="rId3"/>
    <sheet name="概算見積③2月" sheetId="17" r:id="rId4"/>
    <sheet name="工数明細③2月" sheetId="18" r:id="rId5"/>
    <sheet name="工数明細 (2)" sheetId="12" state="hidden" r:id="rId6"/>
    <sheet name="社員工数" sheetId="1" state="hidden" r:id="rId7"/>
    <sheet name="外注費・経費" sheetId="2" state="hidden" r:id="rId8"/>
    <sheet name="リストマスタ" sheetId="3" state="hidden" r:id="rId9"/>
  </sheets>
  <externalReferences>
    <externalReference r:id="rId10"/>
  </externalReferences>
  <definedNames>
    <definedName name="_xlnm.Print_Area" localSheetId="0">'概算見積③12月～1月'!$A$1:$AJ$155</definedName>
    <definedName name="_xlnm.Print_Area" localSheetId="3">概算見積③2月!$A$1:$AJ$123</definedName>
    <definedName name="作業ステータス">[1]コード内訳!$A$125:$A$132</definedName>
    <definedName name="発生場所">[1]コード内訳!$A$115:$A$120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C10" i="18" l="1"/>
  <c r="Y42" i="17" s="1"/>
  <c r="Y41" i="17"/>
  <c r="Y40" i="17"/>
  <c r="Y39" i="17"/>
  <c r="AC7" i="18"/>
  <c r="X7" i="18"/>
  <c r="AE7" i="18"/>
  <c r="AF7" i="18" s="1"/>
  <c r="Z7" i="18"/>
  <c r="Y7" i="18"/>
  <c r="AA7" i="18"/>
  <c r="AC8" i="18"/>
  <c r="AE8" i="18" s="1"/>
  <c r="AF8" i="18" s="1"/>
  <c r="Y8" i="18"/>
  <c r="Z8" i="18" s="1"/>
  <c r="X8" i="18"/>
  <c r="AC8" i="19"/>
  <c r="AE8" i="19" s="1"/>
  <c r="AF8" i="19" s="1"/>
  <c r="AA8" i="19"/>
  <c r="Z8" i="19"/>
  <c r="Y8" i="19"/>
  <c r="X8" i="19"/>
  <c r="AC7" i="19"/>
  <c r="AD7" i="19" s="1"/>
  <c r="Y7" i="19"/>
  <c r="Z7" i="19" s="1"/>
  <c r="X7" i="19"/>
  <c r="W6" i="19"/>
  <c r="Y6" i="19" s="1"/>
  <c r="Z6" i="19" s="1"/>
  <c r="T6" i="19"/>
  <c r="U6" i="19" s="1"/>
  <c r="AC6" i="19" s="1"/>
  <c r="S6" i="19"/>
  <c r="R6" i="19"/>
  <c r="Q6" i="19"/>
  <c r="P6" i="19"/>
  <c r="N6" i="19"/>
  <c r="F6" i="19"/>
  <c r="A6" i="19"/>
  <c r="T5" i="19"/>
  <c r="S5" i="19"/>
  <c r="R5" i="19"/>
  <c r="Q5" i="19"/>
  <c r="P5" i="19"/>
  <c r="U5" i="19" s="1"/>
  <c r="AC5" i="19" s="1"/>
  <c r="N5" i="19"/>
  <c r="F5" i="19" s="1"/>
  <c r="A5" i="19"/>
  <c r="AV4" i="19"/>
  <c r="AU4" i="19"/>
  <c r="AT4" i="19"/>
  <c r="AS4" i="19"/>
  <c r="AR4" i="19"/>
  <c r="AQ4" i="19"/>
  <c r="AO4" i="19"/>
  <c r="AN4" i="19"/>
  <c r="AM4" i="19"/>
  <c r="AL4" i="19"/>
  <c r="AK4" i="19"/>
  <c r="AJ4" i="19"/>
  <c r="AI4" i="19"/>
  <c r="T4" i="19"/>
  <c r="S4" i="19"/>
  <c r="R4" i="19"/>
  <c r="Q4" i="19"/>
  <c r="P4" i="19"/>
  <c r="U4" i="19" s="1"/>
  <c r="N4" i="19"/>
  <c r="W4" i="19" s="1"/>
  <c r="F4" i="19"/>
  <c r="G4" i="19" s="1"/>
  <c r="A4" i="19"/>
  <c r="AA8" i="18" l="1"/>
  <c r="AD8" i="18"/>
  <c r="AG8" i="18" s="1"/>
  <c r="AD7" i="18"/>
  <c r="AG7" i="18" s="1"/>
  <c r="AW4" i="19"/>
  <c r="AC4" i="19"/>
  <c r="AE5" i="19"/>
  <c r="AF5" i="19" s="1"/>
  <c r="AD5" i="19"/>
  <c r="AG5" i="19" s="1"/>
  <c r="AE6" i="19"/>
  <c r="AF6" i="19" s="1"/>
  <c r="AD6" i="19"/>
  <c r="AG6" i="19" s="1"/>
  <c r="AA7" i="19"/>
  <c r="X4" i="19"/>
  <c r="Y4" i="19"/>
  <c r="Z4" i="19" s="1"/>
  <c r="AE7" i="19"/>
  <c r="AF7" i="19" s="1"/>
  <c r="AG7" i="19" s="1"/>
  <c r="AD8" i="19"/>
  <c r="AG8" i="19" s="1"/>
  <c r="X6" i="19"/>
  <c r="AA6" i="19" s="1"/>
  <c r="W5" i="19"/>
  <c r="A4" i="18"/>
  <c r="N4" i="18"/>
  <c r="F4" i="18" s="1"/>
  <c r="G4" i="18" s="1"/>
  <c r="P4" i="18"/>
  <c r="AQ4" i="18" s="1"/>
  <c r="Q4" i="18"/>
  <c r="AR4" i="18" s="1"/>
  <c r="R4" i="18"/>
  <c r="AS4" i="18" s="1"/>
  <c r="S4" i="18"/>
  <c r="AT4" i="18" s="1"/>
  <c r="T4" i="18"/>
  <c r="AU4" i="18" s="1"/>
  <c r="AI4" i="18"/>
  <c r="AJ4" i="18"/>
  <c r="AK4" i="18"/>
  <c r="AL4" i="18"/>
  <c r="AM4" i="18"/>
  <c r="AN4" i="18"/>
  <c r="AV4" i="18"/>
  <c r="A5" i="18"/>
  <c r="N5" i="18"/>
  <c r="F5" i="18" s="1"/>
  <c r="P5" i="18"/>
  <c r="Q5" i="18"/>
  <c r="R5" i="18"/>
  <c r="S5" i="18"/>
  <c r="T5" i="18"/>
  <c r="A6" i="18"/>
  <c r="N6" i="18"/>
  <c r="F6" i="18" s="1"/>
  <c r="P6" i="18"/>
  <c r="Q6" i="18"/>
  <c r="R6" i="18"/>
  <c r="S6" i="18"/>
  <c r="T6" i="18"/>
  <c r="U6" i="18"/>
  <c r="AC6" i="18" s="1"/>
  <c r="AE40" i="17" s="1"/>
  <c r="X9" i="18"/>
  <c r="Y9" i="18"/>
  <c r="Z9" i="18"/>
  <c r="AC9" i="18"/>
  <c r="AE9" i="18" s="1"/>
  <c r="AF9" i="18" s="1"/>
  <c r="X10" i="18"/>
  <c r="Y10" i="18"/>
  <c r="Z10" i="18" s="1"/>
  <c r="AA10" i="18" s="1"/>
  <c r="AE10" i="18"/>
  <c r="AD10" i="18"/>
  <c r="AE8" i="16"/>
  <c r="AC8" i="16"/>
  <c r="Y8" i="16"/>
  <c r="Z8" i="16" s="1"/>
  <c r="X8" i="16"/>
  <c r="AC7" i="16"/>
  <c r="AD7" i="16" s="1"/>
  <c r="Y7" i="16"/>
  <c r="Z7" i="16" s="1"/>
  <c r="X7" i="16"/>
  <c r="T6" i="16"/>
  <c r="S6" i="16"/>
  <c r="R6" i="16"/>
  <c r="Q6" i="16"/>
  <c r="P6" i="16"/>
  <c r="N6" i="16"/>
  <c r="W6" i="16" s="1"/>
  <c r="F6" i="16"/>
  <c r="A6" i="16"/>
  <c r="T5" i="16"/>
  <c r="S5" i="16"/>
  <c r="R5" i="16"/>
  <c r="Q5" i="16"/>
  <c r="P5" i="16"/>
  <c r="N5" i="16"/>
  <c r="F5" i="16" s="1"/>
  <c r="A5" i="16"/>
  <c r="AV4" i="16"/>
  <c r="AN4" i="16"/>
  <c r="AM4" i="16"/>
  <c r="AL4" i="16"/>
  <c r="AK4" i="16"/>
  <c r="AJ4" i="16"/>
  <c r="AI4" i="16"/>
  <c r="T4" i="16"/>
  <c r="AU4" i="16" s="1"/>
  <c r="S4" i="16"/>
  <c r="AT4" i="16" s="1"/>
  <c r="R4" i="16"/>
  <c r="AS4" i="16" s="1"/>
  <c r="Q4" i="16"/>
  <c r="AR4" i="16" s="1"/>
  <c r="P4" i="16"/>
  <c r="AQ4" i="16" s="1"/>
  <c r="N4" i="16"/>
  <c r="F4" i="16" s="1"/>
  <c r="G4" i="16" s="1"/>
  <c r="A4" i="16"/>
  <c r="B83" i="15"/>
  <c r="B76" i="15"/>
  <c r="B68" i="15"/>
  <c r="D41" i="15"/>
  <c r="D40" i="15"/>
  <c r="D39" i="15"/>
  <c r="AF9" i="12"/>
  <c r="AI9" i="12"/>
  <c r="AI4" i="12"/>
  <c r="AI5" i="12"/>
  <c r="AI6" i="12"/>
  <c r="AI7" i="12"/>
  <c r="AI8" i="12"/>
  <c r="AJ9" i="12"/>
  <c r="AH9" i="12"/>
  <c r="AE9" i="12"/>
  <c r="AE8" i="12"/>
  <c r="AC8" i="12"/>
  <c r="AC9" i="12"/>
  <c r="AH4" i="12"/>
  <c r="AG9" i="12"/>
  <c r="AH5" i="12"/>
  <c r="AH6" i="12"/>
  <c r="AH7" i="12"/>
  <c r="A4" i="12"/>
  <c r="O4" i="12"/>
  <c r="Y4" i="12" s="1"/>
  <c r="Q4" i="12"/>
  <c r="R4" i="12"/>
  <c r="S4" i="12"/>
  <c r="T4" i="12"/>
  <c r="U4" i="12"/>
  <c r="V4" i="12"/>
  <c r="W4" i="12" s="1"/>
  <c r="AL4" i="12"/>
  <c r="AM4" i="12"/>
  <c r="AN4" i="12"/>
  <c r="AO4" i="12"/>
  <c r="AP4" i="12"/>
  <c r="AQ4" i="12"/>
  <c r="A5" i="12"/>
  <c r="O5" i="12"/>
  <c r="Y5" i="12" s="1"/>
  <c r="Q5" i="12"/>
  <c r="R5" i="12"/>
  <c r="AU4" i="12" s="1"/>
  <c r="S5" i="12"/>
  <c r="AV4" i="12" s="1"/>
  <c r="T5" i="12"/>
  <c r="AW4" i="12" s="1"/>
  <c r="U5" i="12"/>
  <c r="V5" i="12"/>
  <c r="A6" i="12"/>
  <c r="O6" i="12"/>
  <c r="Q6" i="12"/>
  <c r="R6" i="12"/>
  <c r="S6" i="12"/>
  <c r="T6" i="12"/>
  <c r="U6" i="12"/>
  <c r="V6" i="12"/>
  <c r="A7" i="12"/>
  <c r="F7" i="12"/>
  <c r="O7" i="12"/>
  <c r="Y7" i="12" s="1"/>
  <c r="Q7" i="12"/>
  <c r="R7" i="12"/>
  <c r="S7" i="12"/>
  <c r="T7" i="12"/>
  <c r="U7" i="12"/>
  <c r="V7" i="12"/>
  <c r="A8" i="12"/>
  <c r="O8" i="12"/>
  <c r="F8" i="12" s="1"/>
  <c r="Q8" i="12"/>
  <c r="R8" i="12"/>
  <c r="W8" i="12" s="1"/>
  <c r="S8" i="12"/>
  <c r="T8" i="12"/>
  <c r="U8" i="12"/>
  <c r="V8" i="12"/>
  <c r="Z9" i="12"/>
  <c r="AA9" i="12"/>
  <c r="AB9" i="12"/>
  <c r="AF10" i="18" l="1"/>
  <c r="AG10" i="18" s="1"/>
  <c r="AE42" i="17"/>
  <c r="AA9" i="18"/>
  <c r="W4" i="18"/>
  <c r="AO4" i="18"/>
  <c r="AD9" i="18"/>
  <c r="W6" i="18"/>
  <c r="X6" i="18" s="1"/>
  <c r="U5" i="18"/>
  <c r="AC5" i="18" s="1"/>
  <c r="AE39" i="17" s="1"/>
  <c r="AA4" i="19"/>
  <c r="AE4" i="19"/>
  <c r="AD4" i="19"/>
  <c r="AC9" i="19"/>
  <c r="H4" i="19"/>
  <c r="Y5" i="19"/>
  <c r="Z5" i="19" s="1"/>
  <c r="X5" i="19"/>
  <c r="AA5" i="19" s="1"/>
  <c r="AG9" i="18"/>
  <c r="AE6" i="18"/>
  <c r="AF6" i="18" s="1"/>
  <c r="AD6" i="18"/>
  <c r="U4" i="18"/>
  <c r="W5" i="18"/>
  <c r="AE7" i="16"/>
  <c r="AA7" i="16"/>
  <c r="U6" i="16"/>
  <c r="AC6" i="16" s="1"/>
  <c r="W4" i="16"/>
  <c r="Y4" i="16" s="1"/>
  <c r="Z4" i="16" s="1"/>
  <c r="U5" i="16"/>
  <c r="AC5" i="16" s="1"/>
  <c r="AO4" i="16"/>
  <c r="AA8" i="16"/>
  <c r="Y40" i="15"/>
  <c r="Y6" i="16"/>
  <c r="Z6" i="16" s="1"/>
  <c r="X6" i="16"/>
  <c r="AD8" i="16"/>
  <c r="AF8" i="16"/>
  <c r="U4" i="16"/>
  <c r="W5" i="16"/>
  <c r="AA5" i="12"/>
  <c r="AB5" i="12" s="1"/>
  <c r="Z5" i="12"/>
  <c r="AX4" i="12"/>
  <c r="Y8" i="12"/>
  <c r="W7" i="12"/>
  <c r="AE7" i="12" s="1"/>
  <c r="AG7" i="12" s="1"/>
  <c r="AT4" i="12"/>
  <c r="F5" i="12"/>
  <c r="AR4" i="12"/>
  <c r="Z7" i="12"/>
  <c r="AA7" i="12"/>
  <c r="AB7" i="12" s="1"/>
  <c r="AF7" i="12"/>
  <c r="AF8" i="12"/>
  <c r="AG8" i="12"/>
  <c r="AE4" i="12"/>
  <c r="Z4" i="12"/>
  <c r="AA4" i="12"/>
  <c r="AB4" i="12" s="1"/>
  <c r="AC5" i="12"/>
  <c r="W5" i="12"/>
  <c r="AE5" i="12" s="1"/>
  <c r="AY4" i="12"/>
  <c r="F6" i="12"/>
  <c r="Y6" i="12"/>
  <c r="W6" i="12"/>
  <c r="AE6" i="12" s="1"/>
  <c r="F4" i="12"/>
  <c r="Y4" i="18" l="1"/>
  <c r="X4" i="18"/>
  <c r="AE5" i="18"/>
  <c r="AF5" i="18" s="1"/>
  <c r="AD5" i="18"/>
  <c r="Y6" i="18"/>
  <c r="Z6" i="18" s="1"/>
  <c r="AA6" i="18" s="1"/>
  <c r="AG6" i="18"/>
  <c r="AD9" i="19"/>
  <c r="AE9" i="19"/>
  <c r="AE10" i="19" s="1"/>
  <c r="AF4" i="19"/>
  <c r="AF9" i="19" s="1"/>
  <c r="Y41" i="15"/>
  <c r="AE6" i="16"/>
  <c r="AD5" i="16"/>
  <c r="AE5" i="16"/>
  <c r="AF5" i="16" s="1"/>
  <c r="AG5" i="16" s="1"/>
  <c r="Y5" i="18"/>
  <c r="Z5" i="18" s="1"/>
  <c r="X5" i="18"/>
  <c r="AC4" i="18"/>
  <c r="AW4" i="18"/>
  <c r="AE41" i="17"/>
  <c r="AG5" i="18"/>
  <c r="AF7" i="16"/>
  <c r="AG7" i="16" s="1"/>
  <c r="AD6" i="16"/>
  <c r="AF6" i="16"/>
  <c r="X4" i="16"/>
  <c r="AA4" i="16" s="1"/>
  <c r="AA6" i="16"/>
  <c r="Y5" i="16"/>
  <c r="Z5" i="16" s="1"/>
  <c r="X5" i="16"/>
  <c r="AG8" i="16"/>
  <c r="AE41" i="15"/>
  <c r="I83" i="15"/>
  <c r="H4" i="16"/>
  <c r="AC4" i="16"/>
  <c r="AE4" i="16" s="1"/>
  <c r="AW4" i="16"/>
  <c r="I76" i="15"/>
  <c r="AE40" i="15"/>
  <c r="AH8" i="12"/>
  <c r="AH10" i="12" s="1"/>
  <c r="AZ4" i="12"/>
  <c r="AA8" i="12"/>
  <c r="AB8" i="12" s="1"/>
  <c r="Z8" i="12"/>
  <c r="G4" i="12"/>
  <c r="H4" i="12"/>
  <c r="AC4" i="12"/>
  <c r="AF6" i="12"/>
  <c r="AG6" i="12"/>
  <c r="AJ7" i="12"/>
  <c r="AF5" i="12"/>
  <c r="AG5" i="12"/>
  <c r="AF4" i="12"/>
  <c r="AG4" i="12"/>
  <c r="AJ8" i="12"/>
  <c r="Z6" i="12"/>
  <c r="AA6" i="12"/>
  <c r="AB6" i="12" s="1"/>
  <c r="AC7" i="12"/>
  <c r="Z4" i="18" l="1"/>
  <c r="AA4" i="18" s="1"/>
  <c r="H4" i="18"/>
  <c r="AA5" i="18"/>
  <c r="AG4" i="19"/>
  <c r="AG9" i="19" s="1"/>
  <c r="AE9" i="16"/>
  <c r="AD4" i="18"/>
  <c r="AE4" i="18"/>
  <c r="AC11" i="18"/>
  <c r="AG6" i="16"/>
  <c r="AA5" i="16"/>
  <c r="Y39" i="15"/>
  <c r="AC9" i="16"/>
  <c r="AD4" i="16"/>
  <c r="AC6" i="12"/>
  <c r="AJ4" i="12"/>
  <c r="AJ5" i="12"/>
  <c r="AJ6" i="12"/>
  <c r="AD11" i="18" l="1"/>
  <c r="AF4" i="18"/>
  <c r="AF11" i="18" s="1"/>
  <c r="AE11" i="18"/>
  <c r="AE12" i="18" s="1"/>
  <c r="AE39" i="15"/>
  <c r="I68" i="15"/>
  <c r="Y42" i="15"/>
  <c r="AE10" i="16"/>
  <c r="AF4" i="16"/>
  <c r="AF9" i="16" s="1"/>
  <c r="AD9" i="16"/>
  <c r="AJ10" i="12"/>
  <c r="E3" i="2"/>
  <c r="AE43" i="17" l="1"/>
  <c r="AE44" i="17" s="1"/>
  <c r="F11" i="17" s="1"/>
  <c r="Y44" i="17"/>
  <c r="AG4" i="18"/>
  <c r="AG11" i="18" s="1"/>
  <c r="AG4" i="16"/>
  <c r="AG9" i="16" s="1"/>
  <c r="AE42" i="15"/>
  <c r="AE43" i="15" s="1"/>
  <c r="F11" i="15" s="1"/>
  <c r="I96" i="15"/>
  <c r="I98" i="15" s="1"/>
  <c r="Y43" i="15"/>
  <c r="E4" i="2"/>
  <c r="AE59" i="1"/>
  <c r="AD59" i="1"/>
  <c r="AC59" i="1"/>
  <c r="AB59" i="1"/>
  <c r="AA59" i="1"/>
  <c r="Z59" i="1"/>
  <c r="Y59" i="1"/>
  <c r="X59" i="1"/>
  <c r="W59" i="1"/>
  <c r="V59" i="1"/>
  <c r="U59" i="1"/>
  <c r="T59" i="1"/>
  <c r="S59" i="1"/>
  <c r="R59" i="1"/>
  <c r="Q59" i="1"/>
  <c r="P59" i="1"/>
  <c r="O59" i="1"/>
  <c r="N59" i="1"/>
  <c r="M59" i="1"/>
  <c r="L59" i="1"/>
  <c r="K59" i="1"/>
  <c r="J59" i="1"/>
  <c r="I59" i="1"/>
  <c r="H59" i="1"/>
  <c r="G59" i="1"/>
  <c r="F59" i="1"/>
  <c r="E59" i="1"/>
  <c r="D59" i="1"/>
  <c r="AF58" i="1"/>
  <c r="AF57" i="1"/>
  <c r="AF56" i="1"/>
  <c r="AF55" i="1"/>
  <c r="AF54" i="1"/>
  <c r="AF53" i="1"/>
  <c r="AF52" i="1"/>
  <c r="AF51" i="1"/>
  <c r="AF50" i="1"/>
  <c r="AF49" i="1"/>
  <c r="AF48" i="1"/>
  <c r="AF47" i="1"/>
  <c r="AF46" i="1"/>
  <c r="AF45" i="1"/>
  <c r="AF44" i="1"/>
  <c r="AF43" i="1"/>
  <c r="AF42" i="1"/>
  <c r="AF41" i="1"/>
  <c r="AF40" i="1"/>
  <c r="AF39" i="1"/>
  <c r="AF38" i="1"/>
  <c r="AF37" i="1"/>
  <c r="AF36" i="1"/>
  <c r="AF35" i="1"/>
  <c r="AF34" i="1"/>
  <c r="AF33" i="1"/>
  <c r="AF32" i="1"/>
  <c r="AF31" i="1"/>
  <c r="AF30" i="1"/>
  <c r="AF29" i="1"/>
  <c r="AF28" i="1"/>
  <c r="AF27" i="1"/>
  <c r="AF26" i="1"/>
  <c r="AF25" i="1"/>
  <c r="AF24" i="1"/>
  <c r="AF23" i="1"/>
  <c r="AF22" i="1"/>
  <c r="AF21" i="1"/>
  <c r="AF20" i="1"/>
  <c r="AF19" i="1"/>
  <c r="AF18" i="1"/>
  <c r="AF17" i="1"/>
  <c r="AF16" i="1"/>
  <c r="AF15" i="1"/>
  <c r="AF14" i="1"/>
  <c r="AF13" i="1"/>
  <c r="AF12" i="1"/>
  <c r="AF11" i="1"/>
  <c r="AF10" i="1"/>
  <c r="AF9" i="1"/>
  <c r="AE59" i="2"/>
  <c r="AD59" i="2"/>
  <c r="AC59" i="2"/>
  <c r="AB59" i="2"/>
  <c r="AA59" i="2"/>
  <c r="Z59" i="2"/>
  <c r="Y59" i="2"/>
  <c r="X59" i="2"/>
  <c r="W59" i="2"/>
  <c r="V59" i="2"/>
  <c r="U59" i="2"/>
  <c r="T59" i="2"/>
  <c r="S59" i="2"/>
  <c r="R59" i="2"/>
  <c r="Q59" i="2"/>
  <c r="P59" i="2"/>
  <c r="O59" i="2"/>
  <c r="N59" i="2"/>
  <c r="M59" i="2"/>
  <c r="L59" i="2"/>
  <c r="K59" i="2"/>
  <c r="J59" i="2"/>
  <c r="I59" i="2"/>
  <c r="H59" i="2"/>
  <c r="G59" i="2"/>
  <c r="F59" i="2"/>
  <c r="E59" i="2"/>
  <c r="D59" i="2"/>
  <c r="AF58" i="2"/>
  <c r="AF57" i="2"/>
  <c r="AF56" i="2"/>
  <c r="AF55" i="2"/>
  <c r="AF54" i="2"/>
  <c r="AF53" i="2"/>
  <c r="AF52" i="2"/>
  <c r="AF51" i="2"/>
  <c r="AF50" i="2"/>
  <c r="AF49" i="2"/>
  <c r="AF48" i="2"/>
  <c r="AF47" i="2"/>
  <c r="AF46" i="2"/>
  <c r="AF45" i="2"/>
  <c r="AF44" i="2"/>
  <c r="AF43" i="2"/>
  <c r="AF42" i="2"/>
  <c r="AF41" i="2"/>
  <c r="AF40" i="2"/>
  <c r="AF39" i="2"/>
  <c r="AF38" i="2"/>
  <c r="AF37" i="2"/>
  <c r="AF36" i="2"/>
  <c r="AF35" i="2"/>
  <c r="AF34" i="2"/>
  <c r="AF33" i="2"/>
  <c r="AF32" i="2"/>
  <c r="AF31" i="2"/>
  <c r="AF30" i="2"/>
  <c r="AF29" i="2"/>
  <c r="AF28" i="2"/>
  <c r="AF27" i="2"/>
  <c r="AF26" i="2"/>
  <c r="AF25" i="2"/>
  <c r="AF24" i="2"/>
  <c r="AF23" i="2"/>
  <c r="AF22" i="2"/>
  <c r="AF21" i="2"/>
  <c r="AF20" i="2"/>
  <c r="AF19" i="2"/>
  <c r="AF18" i="2"/>
  <c r="AF17" i="2"/>
  <c r="AF16" i="2"/>
  <c r="AF15" i="2"/>
  <c r="AF14" i="2"/>
  <c r="AF13" i="2"/>
  <c r="AF12" i="2"/>
  <c r="AF11" i="2"/>
  <c r="AF10" i="2"/>
  <c r="AF9" i="2"/>
  <c r="N4" i="2"/>
  <c r="AF59" i="1" l="1"/>
  <c r="H4" i="1" s="1"/>
  <c r="H4" i="2" s="1"/>
  <c r="AF59" i="2"/>
  <c r="K4" i="2" s="1"/>
  <c r="K4" i="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髙橋裕輔</author>
  </authors>
  <commentList>
    <comment ref="E5" authorId="0" shapeId="0" xr:uid="{D47A14EF-6BF0-4E21-A804-F534ACDA529F}">
      <text>
        <r>
          <rPr>
            <sz val="9"/>
            <color indexed="81"/>
            <rFont val="MS P ゴシック"/>
            <family val="3"/>
            <charset val="128"/>
          </rPr>
          <t>概算見積追加</t>
        </r>
      </text>
    </comment>
    <comment ref="E6" authorId="0" shapeId="0" xr:uid="{4B9BB1D6-3F61-42D6-95C7-0F86E91656F0}">
      <text>
        <r>
          <rPr>
            <sz val="9"/>
            <color indexed="81"/>
            <rFont val="MS P ゴシック"/>
            <family val="3"/>
            <charset val="128"/>
          </rPr>
          <t>概算見積追加</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髙橋裕輔</author>
  </authors>
  <commentList>
    <comment ref="E5" authorId="0" shapeId="0" xr:uid="{23DD8746-A548-4C89-A8EB-FB2D20CF359C}">
      <text>
        <r>
          <rPr>
            <sz val="9"/>
            <color indexed="81"/>
            <rFont val="MS P ゴシック"/>
            <family val="3"/>
            <charset val="128"/>
          </rPr>
          <t>概算見積追加</t>
        </r>
      </text>
    </comment>
    <comment ref="E6" authorId="0" shapeId="0" xr:uid="{1E5D0689-E897-4C18-8838-C0BE899DDA1A}">
      <text>
        <r>
          <rPr>
            <sz val="9"/>
            <color indexed="81"/>
            <rFont val="MS P ゴシック"/>
            <family val="3"/>
            <charset val="128"/>
          </rPr>
          <t>概算見積追加</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髙橋裕輔</author>
  </authors>
  <commentList>
    <comment ref="E5" authorId="0" shapeId="0" xr:uid="{32D1956B-BB2A-4F38-AAF0-6FADFB001ACF}">
      <text>
        <r>
          <rPr>
            <sz val="9"/>
            <color indexed="81"/>
            <rFont val="MS P ゴシック"/>
            <family val="3"/>
            <charset val="128"/>
          </rPr>
          <t>概算見積追加</t>
        </r>
      </text>
    </comment>
    <comment ref="E6" authorId="0" shapeId="0" xr:uid="{6F486E8B-5ED9-40EF-BB61-AE842D8D57A1}">
      <text>
        <r>
          <rPr>
            <sz val="9"/>
            <color indexed="81"/>
            <rFont val="MS P ゴシック"/>
            <family val="3"/>
            <charset val="128"/>
          </rPr>
          <t>概算見積追加</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髙橋裕輔</author>
  </authors>
  <commentList>
    <comment ref="E8" authorId="0" shapeId="0" xr:uid="{4044C471-6C00-4205-B379-54FD0F317C56}">
      <text>
        <r>
          <rPr>
            <sz val="9"/>
            <color indexed="81"/>
            <rFont val="MS P ゴシック"/>
            <family val="3"/>
            <charset val="128"/>
          </rPr>
          <t>概算見積追加</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渡辺圭</author>
  </authors>
  <commentList>
    <comment ref="B3" authorId="0" shapeId="0" xr:uid="{00000000-0006-0000-0000-000001000000}">
      <text>
        <r>
          <rPr>
            <b/>
            <sz val="9"/>
            <color indexed="81"/>
            <rFont val="ＭＳ Ｐゴシック"/>
            <family val="3"/>
            <charset val="128"/>
          </rPr>
          <t>初回申請時は空欄ですが問題ありません。</t>
        </r>
      </text>
    </comment>
  </commentList>
</comments>
</file>

<file path=xl/sharedStrings.xml><?xml version="1.0" encoding="utf-8"?>
<sst xmlns="http://schemas.openxmlformats.org/spreadsheetml/2006/main" count="740" uniqueCount="307">
  <si>
    <t>概 算 御 見 積 書</t>
    <rPh sb="0" eb="1">
      <t>ガイ</t>
    </rPh>
    <rPh sb="2" eb="3">
      <t>サン</t>
    </rPh>
    <rPh sb="4" eb="5">
      <t>ゴ</t>
    </rPh>
    <rPh sb="6" eb="7">
      <t>ミ</t>
    </rPh>
    <rPh sb="8" eb="9">
      <t>セキ</t>
    </rPh>
    <rPh sb="10" eb="11">
      <t>ショ</t>
    </rPh>
    <phoneticPr fontId="7"/>
  </si>
  <si>
    <t>見積番号　</t>
    <rPh sb="0" eb="2">
      <t>ミツ</t>
    </rPh>
    <rPh sb="2" eb="4">
      <t>バンゴウ</t>
    </rPh>
    <phoneticPr fontId="7"/>
  </si>
  <si>
    <t>-</t>
    <phoneticPr fontId="3"/>
  </si>
  <si>
    <t>見積年月日</t>
    <rPh sb="0" eb="2">
      <t>ミツモリ</t>
    </rPh>
    <rPh sb="2" eb="5">
      <t>ネンガッピ</t>
    </rPh>
    <phoneticPr fontId="7"/>
  </si>
  <si>
    <t>出光興産株式会社　御中</t>
    <rPh sb="0" eb="2">
      <t>イデミツ</t>
    </rPh>
    <rPh sb="2" eb="4">
      <t>コウサン</t>
    </rPh>
    <rPh sb="4" eb="8">
      <t>カブシキガイシャ</t>
    </rPh>
    <rPh sb="9" eb="11">
      <t>オンチュウ</t>
    </rPh>
    <phoneticPr fontId="7"/>
  </si>
  <si>
    <t>株式会社システムエグゼ</t>
    <rPh sb="0" eb="4">
      <t>カブシキガイシャ</t>
    </rPh>
    <phoneticPr fontId="7"/>
  </si>
  <si>
    <t>東京都中央区日本橋室町三丁目4番4号</t>
    <rPh sb="0" eb="3">
      <t>トウキョウト</t>
    </rPh>
    <rPh sb="3" eb="6">
      <t>チュウオウク</t>
    </rPh>
    <rPh sb="6" eb="11">
      <t>ニホンバシムロマチ</t>
    </rPh>
    <rPh sb="11" eb="12">
      <t>ミ</t>
    </rPh>
    <rPh sb="12" eb="14">
      <t>チョウメ</t>
    </rPh>
    <rPh sb="15" eb="16">
      <t>バン</t>
    </rPh>
    <rPh sb="17" eb="18">
      <t>ゴウ</t>
    </rPh>
    <phoneticPr fontId="18"/>
  </si>
  <si>
    <t>OVOL日本橋ビル7階</t>
    <phoneticPr fontId="18"/>
  </si>
  <si>
    <t>見積金額</t>
    <rPh sb="0" eb="2">
      <t>ミツモリ</t>
    </rPh>
    <rPh sb="2" eb="4">
      <t>キンガク</t>
    </rPh>
    <phoneticPr fontId="18"/>
  </si>
  <si>
    <t>担当: 髙橋　裕輔</t>
    <rPh sb="0" eb="2">
      <t>タントウ</t>
    </rPh>
    <rPh sb="4" eb="6">
      <t>タカハシ</t>
    </rPh>
    <rPh sb="7" eb="9">
      <t>ユウスケ</t>
    </rPh>
    <phoneticPr fontId="7"/>
  </si>
  <si>
    <t>MAIL: yusuke.takahashi@system-exe.jp</t>
    <phoneticPr fontId="7"/>
  </si>
  <si>
    <t>件名</t>
    <rPh sb="0" eb="2">
      <t>ケンメイ</t>
    </rPh>
    <phoneticPr fontId="7"/>
  </si>
  <si>
    <t>作業形態</t>
    <rPh sb="0" eb="2">
      <t>サギョウ</t>
    </rPh>
    <rPh sb="2" eb="4">
      <t>ケイタイ</t>
    </rPh>
    <phoneticPr fontId="18"/>
  </si>
  <si>
    <t>請負契約</t>
    <rPh sb="0" eb="2">
      <t>ウケオイ</t>
    </rPh>
    <rPh sb="2" eb="4">
      <t>ケイヤク</t>
    </rPh>
    <phoneticPr fontId="18"/>
  </si>
  <si>
    <t>作業場所</t>
    <rPh sb="0" eb="2">
      <t>サギョウ</t>
    </rPh>
    <rPh sb="2" eb="4">
      <t>バショ</t>
    </rPh>
    <phoneticPr fontId="18"/>
  </si>
  <si>
    <t>弊社内（在宅勤務を含む）</t>
    <rPh sb="0" eb="2">
      <t>ヘイシャ</t>
    </rPh>
    <rPh sb="2" eb="3">
      <t>ナイ</t>
    </rPh>
    <rPh sb="4" eb="6">
      <t>ザイタク</t>
    </rPh>
    <rPh sb="6" eb="8">
      <t>キンム</t>
    </rPh>
    <rPh sb="9" eb="10">
      <t>フク</t>
    </rPh>
    <phoneticPr fontId="18"/>
  </si>
  <si>
    <t>作業期間</t>
    <rPh sb="0" eb="2">
      <t>サギョウ</t>
    </rPh>
    <rPh sb="2" eb="4">
      <t>キカン</t>
    </rPh>
    <phoneticPr fontId="18"/>
  </si>
  <si>
    <t>見積金額内訳</t>
    <rPh sb="0" eb="2">
      <t>ミツモリ</t>
    </rPh>
    <rPh sb="2" eb="4">
      <t>キンガク</t>
    </rPh>
    <rPh sb="4" eb="6">
      <t>ウチワケ</t>
    </rPh>
    <phoneticPr fontId="7"/>
  </si>
  <si>
    <t>No</t>
    <phoneticPr fontId="7"/>
  </si>
  <si>
    <t>項目</t>
    <rPh sb="0" eb="2">
      <t>コウモク</t>
    </rPh>
    <phoneticPr fontId="7"/>
  </si>
  <si>
    <t>数量</t>
    <rPh sb="0" eb="2">
      <t>スウリョウ</t>
    </rPh>
    <phoneticPr fontId="7"/>
  </si>
  <si>
    <t>金額</t>
    <rPh sb="0" eb="2">
      <t>キンガク</t>
    </rPh>
    <phoneticPr fontId="18"/>
  </si>
  <si>
    <t>単価</t>
    <rPh sb="0" eb="2">
      <t>タンカ</t>
    </rPh>
    <phoneticPr fontId="7"/>
  </si>
  <si>
    <t>人月</t>
    <rPh sb="0" eb="2">
      <t>ニンゲツ</t>
    </rPh>
    <phoneticPr fontId="18"/>
  </si>
  <si>
    <t>リリース</t>
    <phoneticPr fontId="7"/>
  </si>
  <si>
    <t>プロジェクト管理</t>
    <rPh sb="6" eb="8">
      <t>カンリ</t>
    </rPh>
    <phoneticPr fontId="7"/>
  </si>
  <si>
    <t>合計</t>
    <rPh sb="0" eb="2">
      <t>ゴウケイ</t>
    </rPh>
    <phoneticPr fontId="7"/>
  </si>
  <si>
    <t>-</t>
    <phoneticPr fontId="18"/>
  </si>
  <si>
    <t>納品物</t>
    <rPh sb="0" eb="2">
      <t>ノウヒン</t>
    </rPh>
    <rPh sb="2" eb="3">
      <t>ブツ</t>
    </rPh>
    <phoneticPr fontId="7"/>
  </si>
  <si>
    <t>・</t>
    <phoneticPr fontId="18"/>
  </si>
  <si>
    <t>設計書</t>
    <rPh sb="0" eb="3">
      <t>セッケイショ</t>
    </rPh>
    <phoneticPr fontId="18"/>
  </si>
  <si>
    <t>結合テスト仕様書兼結果報告書</t>
    <rPh sb="0" eb="2">
      <t>ケツゴウ</t>
    </rPh>
    <rPh sb="5" eb="7">
      <t>シヨウ</t>
    </rPh>
    <rPh sb="8" eb="9">
      <t>ケン</t>
    </rPh>
    <rPh sb="9" eb="11">
      <t>ケッカ</t>
    </rPh>
    <phoneticPr fontId="18"/>
  </si>
  <si>
    <t>ソースコード</t>
    <phoneticPr fontId="18"/>
  </si>
  <si>
    <t>システムテスト仕様書兼結果報告書</t>
    <rPh sb="7" eb="9">
      <t>シヨウ</t>
    </rPh>
    <rPh sb="10" eb="11">
      <t>ケン</t>
    </rPh>
    <rPh sb="11" eb="13">
      <t>ケッカ</t>
    </rPh>
    <phoneticPr fontId="18"/>
  </si>
  <si>
    <t>作業内容</t>
    <rPh sb="0" eb="2">
      <t>サギョウ</t>
    </rPh>
    <rPh sb="2" eb="4">
      <t>ナイヨウ</t>
    </rPh>
    <phoneticPr fontId="18"/>
  </si>
  <si>
    <t>工程</t>
    <rPh sb="0" eb="2">
      <t>コウテイ</t>
    </rPh>
    <phoneticPr fontId="7"/>
  </si>
  <si>
    <t>成果物</t>
    <phoneticPr fontId="18"/>
  </si>
  <si>
    <t>調査・設計</t>
    <rPh sb="0" eb="2">
      <t>チョウサ</t>
    </rPh>
    <rPh sb="3" eb="5">
      <t>セッケイ</t>
    </rPh>
    <phoneticPr fontId="7"/>
  </si>
  <si>
    <t>・</t>
  </si>
  <si>
    <t>対象箇所及び影響調査</t>
    <rPh sb="0" eb="4">
      <t>タイショウカショ</t>
    </rPh>
    <rPh sb="4" eb="5">
      <t>オヨ</t>
    </rPh>
    <rPh sb="6" eb="8">
      <t>エイキョウ</t>
    </rPh>
    <rPh sb="8" eb="10">
      <t>チョウサ</t>
    </rPh>
    <phoneticPr fontId="3"/>
  </si>
  <si>
    <t>基本設計書</t>
    <rPh sb="0" eb="4">
      <t>キホンセッケイ</t>
    </rPh>
    <rPh sb="4" eb="5">
      <t>ショ</t>
    </rPh>
    <phoneticPr fontId="3"/>
  </si>
  <si>
    <t>詳細設計書</t>
    <phoneticPr fontId="3"/>
  </si>
  <si>
    <t>開発・単体テスト</t>
    <phoneticPr fontId="7"/>
  </si>
  <si>
    <t>「改修対象」を参照</t>
    <rPh sb="1" eb="3">
      <t>カイシュウ</t>
    </rPh>
    <rPh sb="3" eb="5">
      <t>タイショウ</t>
    </rPh>
    <rPh sb="7" eb="9">
      <t>サンショウ</t>
    </rPh>
    <phoneticPr fontId="18"/>
  </si>
  <si>
    <t>プログラム一式</t>
    <rPh sb="5" eb="7">
      <t>イッシキ</t>
    </rPh>
    <phoneticPr fontId="18"/>
  </si>
  <si>
    <t>結合テスト</t>
    <phoneticPr fontId="7"/>
  </si>
  <si>
    <t>結合テスト実施</t>
    <rPh sb="5" eb="7">
      <t>ジッシ</t>
    </rPh>
    <phoneticPr fontId="3"/>
  </si>
  <si>
    <t>・</t>
    <phoneticPr fontId="7"/>
  </si>
  <si>
    <t>システムテスト</t>
    <phoneticPr fontId="7"/>
  </si>
  <si>
    <t>システムテスト実施</t>
    <rPh sb="7" eb="9">
      <t>ジッシ</t>
    </rPh>
    <phoneticPr fontId="3"/>
  </si>
  <si>
    <t>システムテスト仕様書</t>
    <phoneticPr fontId="3"/>
  </si>
  <si>
    <t>受入テスト</t>
    <phoneticPr fontId="7"/>
  </si>
  <si>
    <t>受入テスト対応</t>
  </si>
  <si>
    <t>スケジュール管理</t>
    <phoneticPr fontId="18"/>
  </si>
  <si>
    <t>進捗報告書</t>
    <rPh sb="0" eb="4">
      <t>シンチョクホウ</t>
    </rPh>
    <rPh sb="4" eb="5">
      <t>ショ</t>
    </rPh>
    <phoneticPr fontId="18"/>
  </si>
  <si>
    <t>レビュー、進捗管理・報告</t>
    <phoneticPr fontId="18"/>
  </si>
  <si>
    <t>課題管理表</t>
    <rPh sb="0" eb="2">
      <t>カダイ</t>
    </rPh>
    <rPh sb="2" eb="4">
      <t>カンリ</t>
    </rPh>
    <rPh sb="4" eb="5">
      <t>ヒョウ</t>
    </rPh>
    <phoneticPr fontId="18"/>
  </si>
  <si>
    <t>打ち合わせ等</t>
    <rPh sb="0" eb="1">
      <t>ウ</t>
    </rPh>
    <rPh sb="2" eb="3">
      <t>ア</t>
    </rPh>
    <rPh sb="5" eb="6">
      <t>トウ</t>
    </rPh>
    <phoneticPr fontId="4"/>
  </si>
  <si>
    <t>改修対象</t>
    <rPh sb="0" eb="2">
      <t>カイシュウ</t>
    </rPh>
    <rPh sb="2" eb="4">
      <t>タイショウ</t>
    </rPh>
    <phoneticPr fontId="18"/>
  </si>
  <si>
    <t>スケジュール</t>
    <phoneticPr fontId="7"/>
  </si>
  <si>
    <t>調査・設計</t>
    <rPh sb="0" eb="2">
      <t>チョウサ</t>
    </rPh>
    <rPh sb="3" eb="5">
      <t>セッケイ</t>
    </rPh>
    <phoneticPr fontId="18"/>
  </si>
  <si>
    <t>開発・単体テスト</t>
    <phoneticPr fontId="18"/>
  </si>
  <si>
    <t>結合テスト</t>
    <rPh sb="0" eb="2">
      <t>ケツゴウ</t>
    </rPh>
    <phoneticPr fontId="18"/>
  </si>
  <si>
    <t>システムテスト</t>
    <phoneticPr fontId="18"/>
  </si>
  <si>
    <t>受入テスト</t>
    <phoneticPr fontId="18"/>
  </si>
  <si>
    <t>凡例</t>
    <rPh sb="0" eb="2">
      <t>ハンレイ</t>
    </rPh>
    <phoneticPr fontId="18"/>
  </si>
  <si>
    <t>貴社作業</t>
    <rPh sb="0" eb="2">
      <t>キシャ</t>
    </rPh>
    <rPh sb="2" eb="4">
      <t>サギョウ</t>
    </rPh>
    <phoneticPr fontId="18"/>
  </si>
  <si>
    <t>弊社作業</t>
    <rPh sb="0" eb="2">
      <t>ヘイシャ</t>
    </rPh>
    <rPh sb="2" eb="4">
      <t>サギョウ</t>
    </rPh>
    <phoneticPr fontId="18"/>
  </si>
  <si>
    <t>体制</t>
    <rPh sb="0" eb="2">
      <t>タイセイ</t>
    </rPh>
    <phoneticPr fontId="18"/>
  </si>
  <si>
    <t xml:space="preserve"> 責任者
 川名翔太</t>
    <rPh sb="1" eb="4">
      <t>セキニンシャ</t>
    </rPh>
    <phoneticPr fontId="7"/>
  </si>
  <si>
    <t xml:space="preserve"> PM
 髙橋裕輔</t>
    <rPh sb="5" eb="7">
      <t>タカハシ</t>
    </rPh>
    <rPh sb="7" eb="9">
      <t>ユウスケ</t>
    </rPh>
    <phoneticPr fontId="18"/>
  </si>
  <si>
    <t>その他の前提条件</t>
    <rPh sb="2" eb="3">
      <t>タ</t>
    </rPh>
    <rPh sb="4" eb="6">
      <t>ゼンテイ</t>
    </rPh>
    <rPh sb="6" eb="8">
      <t>ジョウケン</t>
    </rPh>
    <phoneticPr fontId="7"/>
  </si>
  <si>
    <t>以下の費用は本見積には含まれておりません。</t>
    <rPh sb="0" eb="2">
      <t>イカ</t>
    </rPh>
    <rPh sb="3" eb="5">
      <t>ヒヨウ</t>
    </rPh>
    <rPh sb="6" eb="7">
      <t>ホン</t>
    </rPh>
    <rPh sb="7" eb="9">
      <t>ミツモリ</t>
    </rPh>
    <rPh sb="11" eb="12">
      <t>フク</t>
    </rPh>
    <phoneticPr fontId="18"/>
  </si>
  <si>
    <t>・ハードウェア・ミドルウェアの調達に係る費用および設置等に係る作業費用</t>
    <rPh sb="15" eb="17">
      <t>チョウタツ</t>
    </rPh>
    <rPh sb="18" eb="19">
      <t>カカ</t>
    </rPh>
    <rPh sb="20" eb="22">
      <t>ヒヨウ</t>
    </rPh>
    <phoneticPr fontId="7"/>
  </si>
  <si>
    <t>・ネットワーク費用およびネットワークの設置やセットアップ等に係る作業費用</t>
    <phoneticPr fontId="7"/>
  </si>
  <si>
    <t>　　</t>
    <phoneticPr fontId="7"/>
  </si>
  <si>
    <t>２．作業場所について</t>
    <rPh sb="2" eb="4">
      <t>サギョウ</t>
    </rPh>
    <rPh sb="4" eb="6">
      <t>バショ</t>
    </rPh>
    <phoneticPr fontId="7"/>
  </si>
  <si>
    <t>作業場所は打合せを除き弊社内にて実施します。お打合せは、WEB会議を想定します。</t>
    <rPh sb="0" eb="2">
      <t>サギョウ</t>
    </rPh>
    <rPh sb="2" eb="4">
      <t>バショ</t>
    </rPh>
    <rPh sb="5" eb="7">
      <t>ウチアワ</t>
    </rPh>
    <rPh sb="9" eb="10">
      <t>ノゾ</t>
    </rPh>
    <rPh sb="11" eb="13">
      <t>ヘイシャ</t>
    </rPh>
    <rPh sb="13" eb="14">
      <t>ナイ</t>
    </rPh>
    <rPh sb="16" eb="18">
      <t>ジッシ</t>
    </rPh>
    <rPh sb="31" eb="33">
      <t>カイギ</t>
    </rPh>
    <phoneticPr fontId="7"/>
  </si>
  <si>
    <t>３．瑕疵担保期間について</t>
    <rPh sb="2" eb="4">
      <t>カシ</t>
    </rPh>
    <rPh sb="4" eb="6">
      <t>タンポ</t>
    </rPh>
    <rPh sb="6" eb="8">
      <t>キカン</t>
    </rPh>
    <phoneticPr fontId="18"/>
  </si>
  <si>
    <t>瑕疵担保責任期間は検収日より１年間とします。</t>
    <rPh sb="0" eb="2">
      <t>カシ</t>
    </rPh>
    <rPh sb="2" eb="4">
      <t>タンポ</t>
    </rPh>
    <rPh sb="4" eb="6">
      <t>セキニン</t>
    </rPh>
    <rPh sb="6" eb="8">
      <t>キカン</t>
    </rPh>
    <rPh sb="9" eb="11">
      <t>ケンシュウ</t>
    </rPh>
    <rPh sb="11" eb="12">
      <t>ビ</t>
    </rPh>
    <rPh sb="15" eb="17">
      <t>ネンカン</t>
    </rPh>
    <phoneticPr fontId="18"/>
  </si>
  <si>
    <t>（検収日より1年間に限り契約不適合責任を追及できることとします。）</t>
    <phoneticPr fontId="18"/>
  </si>
  <si>
    <t>４．受入テストについて</t>
    <rPh sb="2" eb="4">
      <t>ウケイレ</t>
    </rPh>
    <phoneticPr fontId="18"/>
  </si>
  <si>
    <t>受入テストにつきましては、貴社にて実施をお願いいたします。</t>
    <rPh sb="0" eb="2">
      <t>ウケイレ</t>
    </rPh>
    <rPh sb="13" eb="15">
      <t>キシャ</t>
    </rPh>
    <rPh sb="17" eb="19">
      <t>ジッシ</t>
    </rPh>
    <rPh sb="21" eb="22">
      <t>ネガイ</t>
    </rPh>
    <phoneticPr fontId="18"/>
  </si>
  <si>
    <t>場合がございます。</t>
    <phoneticPr fontId="7"/>
  </si>
  <si>
    <t>IFC生産委託システム追加開発対応</t>
    <rPh sb="3" eb="5">
      <t>セイサン</t>
    </rPh>
    <rPh sb="5" eb="7">
      <t>イタク</t>
    </rPh>
    <rPh sb="11" eb="13">
      <t>ツイカ</t>
    </rPh>
    <rPh sb="13" eb="15">
      <t>カイハツ</t>
    </rPh>
    <rPh sb="15" eb="17">
      <t>タイオウ</t>
    </rPh>
    <phoneticPr fontId="3"/>
  </si>
  <si>
    <t>人日</t>
    <rPh sb="0" eb="2">
      <t>ニンニチ</t>
    </rPh>
    <phoneticPr fontId="3"/>
  </si>
  <si>
    <t>人月</t>
    <rPh sb="0" eb="2">
      <t>ニンゲツ</t>
    </rPh>
    <phoneticPr fontId="3"/>
  </si>
  <si>
    <t>工程別作業工数合算</t>
    <rPh sb="0" eb="3">
      <t>コウテイベツ</t>
    </rPh>
    <rPh sb="3" eb="7">
      <t>サギョウコウスウ</t>
    </rPh>
    <rPh sb="7" eb="9">
      <t>ガッサン</t>
    </rPh>
    <phoneticPr fontId="3"/>
  </si>
  <si>
    <t>開発</t>
    <rPh sb="0" eb="2">
      <t>カイハツ</t>
    </rPh>
    <phoneticPr fontId="3"/>
  </si>
  <si>
    <t>管理</t>
    <rPh sb="0" eb="2">
      <t>カンリ</t>
    </rPh>
    <phoneticPr fontId="3"/>
  </si>
  <si>
    <t>No.</t>
    <phoneticPr fontId="3"/>
  </si>
  <si>
    <t>案件名</t>
    <rPh sb="0" eb="2">
      <t>アンケン</t>
    </rPh>
    <rPh sb="2" eb="3">
      <t>メイ</t>
    </rPh>
    <phoneticPr fontId="3"/>
  </si>
  <si>
    <t>完成希望日</t>
    <phoneticPr fontId="3"/>
  </si>
  <si>
    <t>内容</t>
    <rPh sb="0" eb="2">
      <t>ナイヨウ</t>
    </rPh>
    <phoneticPr fontId="3"/>
  </si>
  <si>
    <t>改修内容</t>
    <rPh sb="0" eb="2">
      <t>カイシュウ</t>
    </rPh>
    <rPh sb="2" eb="4">
      <t>ナイヨウ</t>
    </rPh>
    <phoneticPr fontId="3"/>
  </si>
  <si>
    <t>概算工数
開発工数内訳（人日）</t>
    <rPh sb="0" eb="2">
      <t>ガイサン</t>
    </rPh>
    <rPh sb="2" eb="4">
      <t>コウスウ</t>
    </rPh>
    <rPh sb="5" eb="7">
      <t>カイハツ</t>
    </rPh>
    <rPh sb="7" eb="9">
      <t>コウスウ</t>
    </rPh>
    <rPh sb="9" eb="11">
      <t>ウチワケ</t>
    </rPh>
    <rPh sb="12" eb="14">
      <t>ニンニチ</t>
    </rPh>
    <phoneticPr fontId="3"/>
  </si>
  <si>
    <t>概算工数
開発工数（人日）</t>
    <rPh sb="0" eb="2">
      <t>ガイサン</t>
    </rPh>
    <rPh sb="2" eb="4">
      <t>コウスウ</t>
    </rPh>
    <rPh sb="5" eb="7">
      <t>カイハツ</t>
    </rPh>
    <rPh sb="7" eb="9">
      <t>コウスウ</t>
    </rPh>
    <rPh sb="10" eb="12">
      <t>ニンニチ</t>
    </rPh>
    <phoneticPr fontId="3"/>
  </si>
  <si>
    <t>管理工数込み（人日）</t>
    <rPh sb="0" eb="5">
      <t>カンリコウスウコ</t>
    </rPh>
    <phoneticPr fontId="3"/>
  </si>
  <si>
    <t>調査・設計</t>
    <rPh sb="0" eb="2">
      <t>チョウサ</t>
    </rPh>
    <rPh sb="3" eb="5">
      <t>セッケイ</t>
    </rPh>
    <phoneticPr fontId="3"/>
  </si>
  <si>
    <t>PG</t>
    <phoneticPr fontId="3"/>
  </si>
  <si>
    <t>IT</t>
    <phoneticPr fontId="3"/>
  </si>
  <si>
    <t>ST</t>
    <phoneticPr fontId="3"/>
  </si>
  <si>
    <t>UAT</t>
    <phoneticPr fontId="3"/>
  </si>
  <si>
    <t>リリース</t>
    <phoneticPr fontId="3"/>
  </si>
  <si>
    <t>合計</t>
    <rPh sb="0" eb="2">
      <t>ゴウケイ</t>
    </rPh>
    <phoneticPr fontId="3"/>
  </si>
  <si>
    <t>備考</t>
    <rPh sb="0" eb="2">
      <t>ビコウ</t>
    </rPh>
    <phoneticPr fontId="3"/>
  </si>
  <si>
    <t>金額</t>
    <rPh sb="0" eb="2">
      <t>キンガク</t>
    </rPh>
    <phoneticPr fontId="3"/>
  </si>
  <si>
    <t>合計金額</t>
    <rPh sb="0" eb="4">
      <t>ゴウケイキンガク</t>
    </rPh>
    <phoneticPr fontId="3"/>
  </si>
  <si>
    <t>IFC生産委託システム追加開発対応</t>
    <phoneticPr fontId="3"/>
  </si>
  <si>
    <t>御見積の前提条件</t>
    <rPh sb="0" eb="3">
      <t>オミツモリ</t>
    </rPh>
    <rPh sb="4" eb="6">
      <t>ゼンテイ</t>
    </rPh>
    <rPh sb="6" eb="8">
      <t>ジョウケン</t>
    </rPh>
    <phoneticPr fontId="3"/>
  </si>
  <si>
    <t>※リリース工数は一番上の項目に集約</t>
    <rPh sb="5" eb="7">
      <t>コウスウ</t>
    </rPh>
    <rPh sb="8" eb="11">
      <t>イチバンウエ</t>
    </rPh>
    <rPh sb="12" eb="14">
      <t>コウモク</t>
    </rPh>
    <rPh sb="15" eb="17">
      <t>シュウヤク</t>
    </rPh>
    <phoneticPr fontId="3"/>
  </si>
  <si>
    <t>リリース工数、初期流動工数を含んでおります。</t>
    <rPh sb="4" eb="6">
      <t>コウスウ</t>
    </rPh>
    <rPh sb="7" eb="11">
      <t>ショキリュウドウ</t>
    </rPh>
    <rPh sb="11" eb="13">
      <t>コウスウ</t>
    </rPh>
    <rPh sb="14" eb="15">
      <t>フク</t>
    </rPh>
    <phoneticPr fontId="3"/>
  </si>
  <si>
    <t>費用は開発業務と管理業務で算出しております。</t>
    <phoneticPr fontId="3"/>
  </si>
  <si>
    <t>弊社千葉事業所（在宅勤務を含む）での作業を前提としております。現地等遠隔地での作業が発生する場合は、工数を変更する場合があります。</t>
    <rPh sb="8" eb="10">
      <t>ザイタク</t>
    </rPh>
    <rPh sb="10" eb="12">
      <t>キンム</t>
    </rPh>
    <rPh sb="13" eb="14">
      <t>フク</t>
    </rPh>
    <phoneticPr fontId="3"/>
  </si>
  <si>
    <t>現地等遠隔地での作業が発生した場合は、交通費・宿泊費等の必要経費を別途ご請求させて頂きます。</t>
  </si>
  <si>
    <t>御見積の工数には、ハードウェア・ミドルウェア等にかかる費用は含まれておりません。</t>
  </si>
  <si>
    <t>リリース作業は2人対応といたします。</t>
    <phoneticPr fontId="3"/>
  </si>
  <si>
    <t>社員工数入力（単位：人月）</t>
    <rPh sb="7" eb="9">
      <t>タンイ</t>
    </rPh>
    <rPh sb="10" eb="12">
      <t>ニンゲツ</t>
    </rPh>
    <phoneticPr fontId="3"/>
  </si>
  <si>
    <t>見積番号</t>
    <rPh sb="0" eb="2">
      <t>ミツモリ</t>
    </rPh>
    <rPh sb="2" eb="4">
      <t>バンゴウ</t>
    </rPh>
    <phoneticPr fontId="3"/>
  </si>
  <si>
    <t>受注番号</t>
    <rPh sb="0" eb="2">
      <t>ジュチュウ</t>
    </rPh>
    <rPh sb="2" eb="4">
      <t>バンゴウ</t>
    </rPh>
    <phoneticPr fontId="3"/>
  </si>
  <si>
    <t>-</t>
    <phoneticPr fontId="7"/>
  </si>
  <si>
    <t>契約金額</t>
    <rPh sb="0" eb="2">
      <t>ケイヤク</t>
    </rPh>
    <rPh sb="2" eb="4">
      <t>キンガク</t>
    </rPh>
    <phoneticPr fontId="3"/>
  </si>
  <si>
    <t>社員工数</t>
    <rPh sb="0" eb="2">
      <t>シャイン</t>
    </rPh>
    <rPh sb="2" eb="4">
      <t>コウスウ</t>
    </rPh>
    <phoneticPr fontId="3"/>
  </si>
  <si>
    <t>外注費金額</t>
    <rPh sb="0" eb="3">
      <t>ガイチュウヒ</t>
    </rPh>
    <rPh sb="3" eb="5">
      <t>キンガク</t>
    </rPh>
    <phoneticPr fontId="3"/>
  </si>
  <si>
    <t>経費金額</t>
    <rPh sb="0" eb="2">
      <t>ケイヒ</t>
    </rPh>
    <rPh sb="2" eb="4">
      <t>キンガク</t>
    </rPh>
    <phoneticPr fontId="3"/>
  </si>
  <si>
    <t>区分</t>
    <rPh sb="0" eb="2">
      <t>クブン</t>
    </rPh>
    <phoneticPr fontId="3"/>
  </si>
  <si>
    <t>社員番号</t>
    <rPh sb="0" eb="2">
      <t>シャイン</t>
    </rPh>
    <rPh sb="2" eb="4">
      <t>バンゴウ</t>
    </rPh>
    <phoneticPr fontId="3"/>
  </si>
  <si>
    <t>氏名</t>
    <rPh sb="0" eb="2">
      <t>シメイ</t>
    </rPh>
    <phoneticPr fontId="3"/>
  </si>
  <si>
    <t>見積工数</t>
    <rPh sb="2" eb="4">
      <t>コウスウ</t>
    </rPh>
    <phoneticPr fontId="3"/>
  </si>
  <si>
    <t>2021年度4Q</t>
    <phoneticPr fontId="3"/>
  </si>
  <si>
    <t>2022年度1Q</t>
    <phoneticPr fontId="3"/>
  </si>
  <si>
    <t>2022年度2Q</t>
    <phoneticPr fontId="3"/>
  </si>
  <si>
    <t>2022年度3Q</t>
    <phoneticPr fontId="3"/>
  </si>
  <si>
    <t>2022年度4Q</t>
    <phoneticPr fontId="3"/>
  </si>
  <si>
    <t>2023年度1Q</t>
    <phoneticPr fontId="3"/>
  </si>
  <si>
    <t>2023年度2Q</t>
    <phoneticPr fontId="3"/>
  </si>
  <si>
    <t>2023年度3Q</t>
    <phoneticPr fontId="3"/>
  </si>
  <si>
    <t>2023年度4Q</t>
    <phoneticPr fontId="3"/>
  </si>
  <si>
    <t>それ以降</t>
    <rPh sb="2" eb="4">
      <t>イコウ</t>
    </rPh>
    <phoneticPr fontId="3"/>
  </si>
  <si>
    <t>外注費・経費（単位：円）</t>
    <rPh sb="0" eb="3">
      <t>ガイチュウヒ</t>
    </rPh>
    <rPh sb="4" eb="6">
      <t>ケイヒ</t>
    </rPh>
    <rPh sb="7" eb="9">
      <t>タンイ</t>
    </rPh>
    <rPh sb="10" eb="11">
      <t>エン</t>
    </rPh>
    <phoneticPr fontId="3"/>
  </si>
  <si>
    <t>-</t>
  </si>
  <si>
    <t>BPID</t>
    <phoneticPr fontId="3"/>
  </si>
  <si>
    <t>見積金額</t>
    <rPh sb="2" eb="4">
      <t>キンガク</t>
    </rPh>
    <phoneticPr fontId="3"/>
  </si>
  <si>
    <t>2021年度4Q</t>
  </si>
  <si>
    <t>2022年度1Q</t>
  </si>
  <si>
    <t>2022年度2Q</t>
  </si>
  <si>
    <t>2022年度3Q</t>
  </si>
  <si>
    <t>2022年度4Q</t>
  </si>
  <si>
    <t>2023年度1Q</t>
  </si>
  <si>
    <t>2023年度2Q</t>
  </si>
  <si>
    <t>2023年度3Q</t>
  </si>
  <si>
    <t>2023年度4Q</t>
  </si>
  <si>
    <t>消費税</t>
    <rPh sb="0" eb="3">
      <t>ショウヒゼイ</t>
    </rPh>
    <phoneticPr fontId="7"/>
  </si>
  <si>
    <t>見積有効期限</t>
    <rPh sb="0" eb="2">
      <t>ミツ</t>
    </rPh>
    <rPh sb="2" eb="4">
      <t>ユウコウ</t>
    </rPh>
    <rPh sb="4" eb="6">
      <t>キゲン</t>
    </rPh>
    <phoneticPr fontId="7"/>
  </si>
  <si>
    <t>作業形態</t>
    <rPh sb="0" eb="2">
      <t>サギョウ</t>
    </rPh>
    <rPh sb="2" eb="4">
      <t>ケイタイ</t>
    </rPh>
    <phoneticPr fontId="7"/>
  </si>
  <si>
    <t>作業場所</t>
    <rPh sb="0" eb="2">
      <t>サギョウ</t>
    </rPh>
    <rPh sb="2" eb="4">
      <t>バショ</t>
    </rPh>
    <phoneticPr fontId="7"/>
  </si>
  <si>
    <t>支払条件</t>
    <rPh sb="0" eb="2">
      <t>シハライ</t>
    </rPh>
    <rPh sb="2" eb="4">
      <t>ジョウケン</t>
    </rPh>
    <phoneticPr fontId="7"/>
  </si>
  <si>
    <t>摘要</t>
    <phoneticPr fontId="7"/>
  </si>
  <si>
    <t>契約区分</t>
    <rPh sb="0" eb="2">
      <t>ケイヤク</t>
    </rPh>
    <rPh sb="2" eb="4">
      <t>クブン</t>
    </rPh>
    <phoneticPr fontId="7"/>
  </si>
  <si>
    <t>単位</t>
    <rPh sb="0" eb="2">
      <t>タンイ</t>
    </rPh>
    <phoneticPr fontId="7"/>
  </si>
  <si>
    <t>社員区分</t>
    <rPh sb="0" eb="2">
      <t>シャイン</t>
    </rPh>
    <rPh sb="2" eb="4">
      <t>クブン</t>
    </rPh>
    <phoneticPr fontId="10"/>
  </si>
  <si>
    <t>経費区分</t>
    <rPh sb="0" eb="2">
      <t>ケイヒ</t>
    </rPh>
    <rPh sb="2" eb="4">
      <t>クブン</t>
    </rPh>
    <phoneticPr fontId="10"/>
  </si>
  <si>
    <t>税率</t>
    <rPh sb="0" eb="2">
      <t>ゼイリツ</t>
    </rPh>
    <phoneticPr fontId="7"/>
  </si>
  <si>
    <t>契約名</t>
    <rPh sb="0" eb="2">
      <t>ケイヤク</t>
    </rPh>
    <rPh sb="2" eb="3">
      <t>メイ</t>
    </rPh>
    <phoneticPr fontId="7"/>
  </si>
  <si>
    <t>見積年月日より一ヶ月後</t>
    <rPh sb="0" eb="2">
      <t>ミツモリ</t>
    </rPh>
    <rPh sb="2" eb="5">
      <t>ネンガッピ</t>
    </rPh>
    <rPh sb="7" eb="8">
      <t>イッ</t>
    </rPh>
    <rPh sb="9" eb="11">
      <t>ゲツゴ</t>
    </rPh>
    <phoneticPr fontId="7"/>
  </si>
  <si>
    <t>準委任契約</t>
  </si>
  <si>
    <t>貴社内</t>
    <rPh sb="0" eb="2">
      <t>キシャ</t>
    </rPh>
    <rPh sb="2" eb="3">
      <t>ウチ</t>
    </rPh>
    <phoneticPr fontId="7"/>
  </si>
  <si>
    <t>検収後翌月15日払い（但し、金融機関休業日の場合はその前営業日）</t>
    <rPh sb="7" eb="8">
      <t>ニチ</t>
    </rPh>
    <rPh sb="27" eb="28">
      <t>ゼン</t>
    </rPh>
    <phoneticPr fontId="7"/>
  </si>
  <si>
    <t>ﾌﾟﾛｸﾞﾗﾏ</t>
    <phoneticPr fontId="7"/>
  </si>
  <si>
    <t>固定契約</t>
    <rPh sb="0" eb="2">
      <t>コテイ</t>
    </rPh>
    <rPh sb="2" eb="4">
      <t>ケイヤク</t>
    </rPh>
    <phoneticPr fontId="7"/>
  </si>
  <si>
    <t>人月</t>
    <rPh sb="0" eb="1">
      <t>ニン</t>
    </rPh>
    <rPh sb="1" eb="2">
      <t>ゲツ</t>
    </rPh>
    <phoneticPr fontId="10"/>
  </si>
  <si>
    <t>入社済社員</t>
    <rPh sb="0" eb="2">
      <t>ニュウシャ</t>
    </rPh>
    <rPh sb="2" eb="3">
      <t>ズ</t>
    </rPh>
    <rPh sb="3" eb="5">
      <t>シャイン</t>
    </rPh>
    <phoneticPr fontId="10"/>
  </si>
  <si>
    <t>BP</t>
    <phoneticPr fontId="10"/>
  </si>
  <si>
    <t>弊社内</t>
    <rPh sb="0" eb="2">
      <t>ヘイシャ</t>
    </rPh>
    <rPh sb="2" eb="3">
      <t>ウチ</t>
    </rPh>
    <phoneticPr fontId="7"/>
  </si>
  <si>
    <t>検収後翌月末日払い（但し、金融機関休業日の場合はその翌営業日）</t>
    <phoneticPr fontId="7"/>
  </si>
  <si>
    <t>ｼｽﾃﾑｴﾝｼﾞﾆｱ</t>
    <phoneticPr fontId="7"/>
  </si>
  <si>
    <t>変動契約</t>
    <rPh sb="0" eb="2">
      <t>ヘンドウ</t>
    </rPh>
    <rPh sb="2" eb="4">
      <t>ケイヤク</t>
    </rPh>
    <phoneticPr fontId="7"/>
  </si>
  <si>
    <t>人日</t>
    <rPh sb="0" eb="1">
      <t>ニン</t>
    </rPh>
    <rPh sb="1" eb="2">
      <t>ニチ</t>
    </rPh>
    <phoneticPr fontId="10"/>
  </si>
  <si>
    <t>計画要員（等級1）</t>
    <rPh sb="0" eb="2">
      <t>ケイカク</t>
    </rPh>
    <rPh sb="2" eb="4">
      <t>ヨウイン</t>
    </rPh>
    <rPh sb="5" eb="7">
      <t>トウキュウ</t>
    </rPh>
    <phoneticPr fontId="10"/>
  </si>
  <si>
    <t>経費</t>
    <rPh sb="0" eb="2">
      <t>ケイヒ</t>
    </rPh>
    <phoneticPr fontId="10"/>
  </si>
  <si>
    <t>検収後翌々月10日払い（但し、金融機関休業日の場合はその翌営業日）</t>
    <rPh sb="3" eb="5">
      <t>ヨクヨク</t>
    </rPh>
    <phoneticPr fontId="7"/>
  </si>
  <si>
    <t>ｵﾍﾟﾚｰﾀ</t>
    <phoneticPr fontId="7"/>
  </si>
  <si>
    <t>時間契約</t>
    <rPh sb="0" eb="2">
      <t>ジカン</t>
    </rPh>
    <rPh sb="2" eb="4">
      <t>ケイヤク</t>
    </rPh>
    <phoneticPr fontId="7"/>
  </si>
  <si>
    <t>時給</t>
    <rPh sb="0" eb="1">
      <t>ジ</t>
    </rPh>
    <rPh sb="1" eb="2">
      <t>キュウ</t>
    </rPh>
    <phoneticPr fontId="10"/>
  </si>
  <si>
    <t>計画要員（等級2）</t>
    <rPh sb="0" eb="2">
      <t>ケイカク</t>
    </rPh>
    <rPh sb="2" eb="4">
      <t>ヨウイン</t>
    </rPh>
    <rPh sb="5" eb="7">
      <t>トウキュウ</t>
    </rPh>
    <phoneticPr fontId="10"/>
  </si>
  <si>
    <t>計画要員（等級3）</t>
    <rPh sb="0" eb="2">
      <t>ケイカク</t>
    </rPh>
    <rPh sb="2" eb="4">
      <t>ヨウイン</t>
    </rPh>
    <rPh sb="5" eb="7">
      <t>トウキュウ</t>
    </rPh>
    <phoneticPr fontId="11"/>
  </si>
  <si>
    <t>計画要員（等級4）</t>
    <rPh sb="0" eb="2">
      <t>ケイカク</t>
    </rPh>
    <rPh sb="2" eb="4">
      <t>ヨウイン</t>
    </rPh>
    <rPh sb="5" eb="7">
      <t>トウキュウ</t>
    </rPh>
    <phoneticPr fontId="11"/>
  </si>
  <si>
    <t>計画要員（等級5）</t>
    <rPh sb="0" eb="2">
      <t>ケイカク</t>
    </rPh>
    <rPh sb="2" eb="4">
      <t>ヨウイン</t>
    </rPh>
    <rPh sb="5" eb="7">
      <t>トウキュウ</t>
    </rPh>
    <phoneticPr fontId="11"/>
  </si>
  <si>
    <t>計画要員（等級6）</t>
    <rPh sb="0" eb="2">
      <t>ケイカク</t>
    </rPh>
    <rPh sb="2" eb="4">
      <t>ヨウイン</t>
    </rPh>
    <rPh sb="5" eb="7">
      <t>トウキュウ</t>
    </rPh>
    <phoneticPr fontId="11"/>
  </si>
  <si>
    <t>計画要員（等級7）</t>
    <rPh sb="0" eb="2">
      <t>ケイカク</t>
    </rPh>
    <rPh sb="2" eb="4">
      <t>ヨウイン</t>
    </rPh>
    <rPh sb="5" eb="7">
      <t>トウキュウ</t>
    </rPh>
    <phoneticPr fontId="11"/>
  </si>
  <si>
    <t>計画要員（等級8）</t>
    <rPh sb="0" eb="2">
      <t>ケイカク</t>
    </rPh>
    <rPh sb="2" eb="4">
      <t>ヨウイン</t>
    </rPh>
    <rPh sb="5" eb="7">
      <t>トウキュウ</t>
    </rPh>
    <phoneticPr fontId="11"/>
  </si>
  <si>
    <t>計画要員（等級9）</t>
    <rPh sb="0" eb="2">
      <t>ケイカク</t>
    </rPh>
    <rPh sb="2" eb="4">
      <t>ヨウイン</t>
    </rPh>
    <rPh sb="5" eb="7">
      <t>トウキュウ</t>
    </rPh>
    <phoneticPr fontId="11"/>
  </si>
  <si>
    <t>基本設計作成（新規作成・既存更新）</t>
    <rPh sb="0" eb="4">
      <t>キホンセッケイ</t>
    </rPh>
    <rPh sb="4" eb="6">
      <t>サクセイ</t>
    </rPh>
    <rPh sb="7" eb="11">
      <t>シンキサクセイ</t>
    </rPh>
    <rPh sb="12" eb="14">
      <t>キゾン</t>
    </rPh>
    <rPh sb="14" eb="16">
      <t>コウシン</t>
    </rPh>
    <phoneticPr fontId="3"/>
  </si>
  <si>
    <t>詳細設計作成（新規作成・既存更新）</t>
    <rPh sb="4" eb="6">
      <t>サクセイ</t>
    </rPh>
    <phoneticPr fontId="3"/>
  </si>
  <si>
    <t>５．期間について</t>
    <rPh sb="2" eb="4">
      <t>キカン</t>
    </rPh>
    <phoneticPr fontId="18"/>
  </si>
  <si>
    <t>一部の改修を実施する場合、プロジェクト期間は短くなります。</t>
    <rPh sb="0" eb="2">
      <t>イチブ</t>
    </rPh>
    <rPh sb="3" eb="5">
      <t>カイシュウ</t>
    </rPh>
    <rPh sb="6" eb="8">
      <t>ジッシ</t>
    </rPh>
    <rPh sb="10" eb="12">
      <t>バアイ</t>
    </rPh>
    <rPh sb="19" eb="21">
      <t>キカン</t>
    </rPh>
    <rPh sb="22" eb="23">
      <t>ミジカ</t>
    </rPh>
    <phoneticPr fontId="4"/>
  </si>
  <si>
    <t>６．リリースについて</t>
    <phoneticPr fontId="18"/>
  </si>
  <si>
    <t>すべての改修を実施した後、まとめてリリース作業を実施いたします。</t>
    <rPh sb="4" eb="6">
      <t>カイシュウ</t>
    </rPh>
    <rPh sb="7" eb="9">
      <t>ジッシ</t>
    </rPh>
    <rPh sb="11" eb="12">
      <t>ノチ</t>
    </rPh>
    <rPh sb="21" eb="23">
      <t>サギョウ</t>
    </rPh>
    <rPh sb="24" eb="26">
      <t>ジッシ</t>
    </rPh>
    <phoneticPr fontId="4"/>
  </si>
  <si>
    <t>１．御見積範囲について</t>
    <rPh sb="5" eb="7">
      <t>ハンイ</t>
    </rPh>
    <phoneticPr fontId="7"/>
  </si>
  <si>
    <t>すべての改修対象を実施した場合の御見積りとなります。</t>
    <rPh sb="4" eb="6">
      <t>カイシュウ</t>
    </rPh>
    <rPh sb="6" eb="8">
      <t>タイショウ</t>
    </rPh>
    <rPh sb="9" eb="11">
      <t>ジッシ</t>
    </rPh>
    <rPh sb="13" eb="15">
      <t>バアイ</t>
    </rPh>
    <phoneticPr fontId="4"/>
  </si>
  <si>
    <t>本御見積書記載以外の作業が発生時した場合は、両社協議の上、追加見積させていただく</t>
  </si>
  <si>
    <t>上記以外での作業が発生した場合には交通費・宿泊費等を別途ご請求させていただきます。</t>
    <rPh sb="0" eb="2">
      <t>ジョウキ</t>
    </rPh>
    <rPh sb="2" eb="4">
      <t>イガイ</t>
    </rPh>
    <phoneticPr fontId="7"/>
  </si>
  <si>
    <t>受入支援</t>
    <rPh sb="2" eb="4">
      <t>シエン</t>
    </rPh>
    <phoneticPr fontId="18"/>
  </si>
  <si>
    <t>本番作業手順書</t>
    <phoneticPr fontId="4"/>
  </si>
  <si>
    <t>複数回に分けてリリースする場合、工数が増加となります。</t>
    <rPh sb="0" eb="3">
      <t>フクスウカイ</t>
    </rPh>
    <rPh sb="4" eb="5">
      <t>ワ</t>
    </rPh>
    <rPh sb="13" eb="15">
      <t>バアイ</t>
    </rPh>
    <rPh sb="16" eb="18">
      <t>コウスウ</t>
    </rPh>
    <rPh sb="19" eb="21">
      <t>ゾウカ</t>
    </rPh>
    <phoneticPr fontId="4"/>
  </si>
  <si>
    <t>初期流動</t>
    <rPh sb="0" eb="4">
      <t>ショキリュウドウ</t>
    </rPh>
    <phoneticPr fontId="3"/>
  </si>
  <si>
    <t>【プロジェクト管理】</t>
    <rPh sb="7" eb="9">
      <t>カンリ</t>
    </rPh>
    <phoneticPr fontId="18"/>
  </si>
  <si>
    <t>　プロジェクト全体の管理を行う</t>
    <rPh sb="7" eb="9">
      <t>ゼンタイ</t>
    </rPh>
    <rPh sb="10" eb="12">
      <t>カンリ</t>
    </rPh>
    <rPh sb="13" eb="14">
      <t>オコナ</t>
    </rPh>
    <phoneticPr fontId="4"/>
  </si>
  <si>
    <t>訂正区分4対応</t>
    <phoneticPr fontId="3"/>
  </si>
  <si>
    <t>お知らせ対応</t>
    <phoneticPr fontId="3"/>
  </si>
  <si>
    <t>ニュースリリース対応</t>
    <phoneticPr fontId="3"/>
  </si>
  <si>
    <t>キャンセル明細対応</t>
    <phoneticPr fontId="3"/>
  </si>
  <si>
    <t>トップページ
　・トップページ内に子画面を表示し、お知らせ情報を表示する。
　・お知らせ権限が無い場合、子画面を表示しない。</t>
    <rPh sb="15" eb="16">
      <t>ナイ</t>
    </rPh>
    <rPh sb="17" eb="20">
      <t>コガメン</t>
    </rPh>
    <rPh sb="21" eb="23">
      <t>ヒョウジ</t>
    </rPh>
    <rPh sb="26" eb="27">
      <t>シ</t>
    </rPh>
    <rPh sb="29" eb="31">
      <t>ジョウホウ</t>
    </rPh>
    <rPh sb="32" eb="34">
      <t>ヒョウジ</t>
    </rPh>
    <rPh sb="41" eb="42">
      <t>シ</t>
    </rPh>
    <rPh sb="44" eb="46">
      <t>ケンゲン</t>
    </rPh>
    <rPh sb="47" eb="48">
      <t>ナ</t>
    </rPh>
    <rPh sb="49" eb="51">
      <t>バアイ</t>
    </rPh>
    <rPh sb="52" eb="55">
      <t>コガメン</t>
    </rPh>
    <rPh sb="56" eb="58">
      <t>ヒョウジ</t>
    </rPh>
    <phoneticPr fontId="3"/>
  </si>
  <si>
    <t>トップページ
　・HTMLタグ使用可能対応（太字、色付け、URLリンク等使用可能とする。）
　・ユーザ自身（IFC品証権限）で登録、更新、削除可能とする</t>
    <rPh sb="15" eb="17">
      <t>シヨウ</t>
    </rPh>
    <rPh sb="17" eb="19">
      <t>カノウ</t>
    </rPh>
    <rPh sb="19" eb="21">
      <t>タイオウ</t>
    </rPh>
    <rPh sb="22" eb="24">
      <t>フトジ</t>
    </rPh>
    <rPh sb="25" eb="27">
      <t>イロツ</t>
    </rPh>
    <rPh sb="35" eb="36">
      <t>トウ</t>
    </rPh>
    <rPh sb="36" eb="38">
      <t>シヨウ</t>
    </rPh>
    <rPh sb="38" eb="40">
      <t>カノウ</t>
    </rPh>
    <rPh sb="51" eb="53">
      <t>ジシン</t>
    </rPh>
    <rPh sb="57" eb="59">
      <t>ヒンショウ</t>
    </rPh>
    <rPh sb="59" eb="61">
      <t>ケンゲン</t>
    </rPh>
    <rPh sb="63" eb="65">
      <t>トウロク</t>
    </rPh>
    <rPh sb="66" eb="68">
      <t>コウシン</t>
    </rPh>
    <rPh sb="69" eb="71">
      <t>サクジョ</t>
    </rPh>
    <rPh sb="71" eb="73">
      <t>カノウ</t>
    </rPh>
    <phoneticPr fontId="3"/>
  </si>
  <si>
    <t>試験結果通知
　・キャンセル明細（訂正区分3）の場合、試験結果を登録、更新しない。</t>
    <rPh sb="4" eb="6">
      <t>ツウチ</t>
    </rPh>
    <rPh sb="14" eb="16">
      <t>メイサイ</t>
    </rPh>
    <rPh sb="17" eb="21">
      <t>テイセイクブン</t>
    </rPh>
    <rPh sb="24" eb="26">
      <t>バアイ</t>
    </rPh>
    <rPh sb="27" eb="31">
      <t>シケンケッカ</t>
    </rPh>
    <rPh sb="32" eb="34">
      <t>トウロク</t>
    </rPh>
    <rPh sb="35" eb="37">
      <t>コウシン</t>
    </rPh>
    <phoneticPr fontId="3"/>
  </si>
  <si>
    <t>生産状況連携
　・OneSAPから訂正区分4で連携された場合、生産状況テーブルの納期を更新対象外とする。
　・中間テーブルにはそのまま登録し、生産状況テーブルに登録する際に条件を追加する。</t>
    <rPh sb="0" eb="4">
      <t>セイサンジョウキョウ</t>
    </rPh>
    <rPh sb="4" eb="6">
      <t>レンケイ</t>
    </rPh>
    <rPh sb="31" eb="35">
      <t>セイサンジョウキョウ</t>
    </rPh>
    <rPh sb="55" eb="57">
      <t>チュウカン</t>
    </rPh>
    <rPh sb="67" eb="69">
      <t>トウロク</t>
    </rPh>
    <rPh sb="71" eb="75">
      <t>セイサンジョウキョウ</t>
    </rPh>
    <rPh sb="80" eb="82">
      <t>トウロク</t>
    </rPh>
    <rPh sb="84" eb="85">
      <t>サイ</t>
    </rPh>
    <rPh sb="86" eb="88">
      <t>ジョウケン</t>
    </rPh>
    <rPh sb="89" eb="91">
      <t>ツイカ</t>
    </rPh>
    <phoneticPr fontId="3"/>
  </si>
  <si>
    <t>2025/12月頃</t>
    <rPh sb="6" eb="8">
      <t>ガツコロ</t>
    </rPh>
    <phoneticPr fontId="3"/>
  </si>
  <si>
    <t>IFC生産委託ポータル 2次開発対応</t>
    <rPh sb="3" eb="5">
      <t>セイサン</t>
    </rPh>
    <rPh sb="5" eb="7">
      <t>イタク</t>
    </rPh>
    <rPh sb="13" eb="14">
      <t>ジ</t>
    </rPh>
    <rPh sb="14" eb="16">
      <t>カイハツ</t>
    </rPh>
    <rPh sb="16" eb="18">
      <t>タイオウ</t>
    </rPh>
    <phoneticPr fontId="7"/>
  </si>
  <si>
    <t>生産状況連携</t>
  </si>
  <si>
    <t>1D</t>
    <phoneticPr fontId="18"/>
  </si>
  <si>
    <t>2D</t>
  </si>
  <si>
    <t>3D</t>
  </si>
  <si>
    <t>4D</t>
  </si>
  <si>
    <t>5D</t>
  </si>
  <si>
    <t>6D</t>
  </si>
  <si>
    <t>7D</t>
  </si>
  <si>
    <t>8D</t>
  </si>
  <si>
    <t>9D</t>
  </si>
  <si>
    <t>10D</t>
  </si>
  <si>
    <t>11D</t>
  </si>
  <si>
    <t>12D</t>
  </si>
  <si>
    <t>13D</t>
  </si>
  <si>
    <t>14D</t>
  </si>
  <si>
    <t>15D</t>
  </si>
  <si>
    <t>16D</t>
  </si>
  <si>
    <t>17D</t>
  </si>
  <si>
    <t>18D</t>
  </si>
  <si>
    <t>19D</t>
  </si>
  <si>
    <t>20D</t>
  </si>
  <si>
    <t>21D</t>
  </si>
  <si>
    <t>22D</t>
  </si>
  <si>
    <t>23D</t>
  </si>
  <si>
    <t>24D</t>
  </si>
  <si>
    <t>25D</t>
  </si>
  <si>
    <t>26D</t>
  </si>
  <si>
    <t>27D</t>
  </si>
  <si>
    <t>ファイル添付機能実装</t>
    <rPh sb="4" eb="8">
      <t>テンプキノウ</t>
    </rPh>
    <rPh sb="8" eb="10">
      <t>ジッソウ</t>
    </rPh>
    <phoneticPr fontId="3"/>
  </si>
  <si>
    <t>生産状況確認、納期回答、生産完了、試験結果報告（横持情報入力以外の画面）の各明細にファイル添付機能を実装する。
　・生産状況確認画面はアップロード、ダウンロード、削除機能実装
　　他画面はダウンロード機能のみ実装
　・添付ファイルはPDFのみ
　・Azure Blob Storageを使用する想定（Azure Blob Storage契約等の準備は出光DI部様対応）
　・権限によるアップロード、ダウンロード機能の表示、非表示の制御を行う
　・添付ファイル数については1明細につき1ファイルまでとする
　・添付ファイルのファイルサイズ制限を設ける（外部ファイルで設定）
　・各画面の出力ファイル（CSV）には添付ファイルのファイル名を表示する</t>
    <rPh sb="0" eb="4">
      <t>セイサンジョウキョウ</t>
    </rPh>
    <rPh sb="4" eb="6">
      <t>カクニン</t>
    </rPh>
    <rPh sb="7" eb="11">
      <t>ノウキカイトウ</t>
    </rPh>
    <rPh sb="12" eb="16">
      <t>セイサンカンリョウ</t>
    </rPh>
    <rPh sb="17" eb="23">
      <t>シケンケッカホウコク</t>
    </rPh>
    <rPh sb="24" eb="26">
      <t>ヨコモチ</t>
    </rPh>
    <rPh sb="26" eb="28">
      <t>ジョウホウ</t>
    </rPh>
    <rPh sb="28" eb="30">
      <t>ニュウリョク</t>
    </rPh>
    <rPh sb="30" eb="32">
      <t>イガイ</t>
    </rPh>
    <rPh sb="33" eb="35">
      <t>ガメン</t>
    </rPh>
    <rPh sb="37" eb="40">
      <t>カクメイサイ</t>
    </rPh>
    <rPh sb="45" eb="49">
      <t>テンプキノウ</t>
    </rPh>
    <rPh sb="50" eb="52">
      <t>ジッソウ</t>
    </rPh>
    <rPh sb="64" eb="66">
      <t>ガメン</t>
    </rPh>
    <rPh sb="81" eb="83">
      <t>サクジョ</t>
    </rPh>
    <rPh sb="83" eb="85">
      <t>キノウ</t>
    </rPh>
    <rPh sb="85" eb="87">
      <t>ジッソウ</t>
    </rPh>
    <rPh sb="90" eb="93">
      <t>ホカガメン</t>
    </rPh>
    <rPh sb="100" eb="102">
      <t>キノウ</t>
    </rPh>
    <rPh sb="104" eb="106">
      <t>ジッソウ</t>
    </rPh>
    <rPh sb="109" eb="111">
      <t>テンプ</t>
    </rPh>
    <rPh sb="143" eb="145">
      <t>シヨウ</t>
    </rPh>
    <rPh sb="147" eb="149">
      <t>ソウテイ</t>
    </rPh>
    <rPh sb="168" eb="171">
      <t>ケイヤクトウ</t>
    </rPh>
    <rPh sb="172" eb="174">
      <t>ジュンビ</t>
    </rPh>
    <rPh sb="175" eb="177">
      <t>イデミツ</t>
    </rPh>
    <rPh sb="179" eb="180">
      <t>ブ</t>
    </rPh>
    <rPh sb="180" eb="181">
      <t>サマ</t>
    </rPh>
    <rPh sb="181" eb="183">
      <t>タイオウ</t>
    </rPh>
    <rPh sb="187" eb="189">
      <t>ケンゲン</t>
    </rPh>
    <rPh sb="205" eb="207">
      <t>キノウ</t>
    </rPh>
    <rPh sb="208" eb="210">
      <t>ヒョウジ</t>
    </rPh>
    <rPh sb="211" eb="214">
      <t>ヒヒョウジ</t>
    </rPh>
    <rPh sb="215" eb="217">
      <t>セイギョ</t>
    </rPh>
    <rPh sb="218" eb="219">
      <t>オコナ</t>
    </rPh>
    <rPh sb="223" eb="225">
      <t>テンプ</t>
    </rPh>
    <rPh sb="229" eb="230">
      <t>スウ</t>
    </rPh>
    <rPh sb="236" eb="238">
      <t>メイサイ</t>
    </rPh>
    <rPh sb="254" eb="256">
      <t>テンプ</t>
    </rPh>
    <rPh sb="268" eb="270">
      <t>セイゲン</t>
    </rPh>
    <rPh sb="271" eb="272">
      <t>モウ</t>
    </rPh>
    <rPh sb="275" eb="277">
      <t>ガイブ</t>
    </rPh>
    <rPh sb="282" eb="284">
      <t>セッテイ</t>
    </rPh>
    <rPh sb="288" eb="291">
      <t>カクガメン</t>
    </rPh>
    <rPh sb="292" eb="294">
      <t>シュツリョク</t>
    </rPh>
    <rPh sb="305" eb="307">
      <t>テンプ</t>
    </rPh>
    <rPh sb="316" eb="317">
      <t>メイ</t>
    </rPh>
    <rPh sb="318" eb="320">
      <t>ヒョウジ</t>
    </rPh>
    <phoneticPr fontId="3"/>
  </si>
  <si>
    <t>人月</t>
    <phoneticPr fontId="3"/>
  </si>
  <si>
    <t>OneSAPからの連携データにおいて、IFC生産委託ポータル表示除外機能を実装する。
　・依頼Noが「x」として連携されてきた場合
　　　　生産委託ポータルの各画面に表示しない
　　　　生産委託ポータルの各出力ファイルに表示しない
　　　　連携は従来通り実施すること（生産状況テーブルに登録すること）
　・依頼Noに入力する除外文字については仮とする</t>
    <rPh sb="9" eb="11">
      <t>レンケイ</t>
    </rPh>
    <rPh sb="22" eb="26">
      <t>セイサンイタク</t>
    </rPh>
    <rPh sb="30" eb="32">
      <t>ヒョウジ</t>
    </rPh>
    <rPh sb="32" eb="36">
      <t>ジョガイキノウ</t>
    </rPh>
    <rPh sb="37" eb="39">
      <t>ジッソウ</t>
    </rPh>
    <rPh sb="56" eb="58">
      <t>レンケイ</t>
    </rPh>
    <rPh sb="63" eb="65">
      <t>バアイ</t>
    </rPh>
    <rPh sb="70" eb="74">
      <t>セイサンイタク</t>
    </rPh>
    <rPh sb="79" eb="82">
      <t>カクガメン</t>
    </rPh>
    <rPh sb="83" eb="85">
      <t>ヒョウジ</t>
    </rPh>
    <rPh sb="110" eb="112">
      <t>ヒョウジ</t>
    </rPh>
    <rPh sb="123" eb="126">
      <t>ジュウライドオ</t>
    </rPh>
    <rPh sb="127" eb="129">
      <t>ジッシ</t>
    </rPh>
    <rPh sb="134" eb="138">
      <t>セイサンジョウキョウ</t>
    </rPh>
    <rPh sb="143" eb="145">
      <t>トウロク</t>
    </rPh>
    <rPh sb="153" eb="155">
      <t>イライ</t>
    </rPh>
    <rPh sb="158" eb="160">
      <t>ニュウリョク</t>
    </rPh>
    <rPh sb="162" eb="166">
      <t>ジョガイモジ</t>
    </rPh>
    <rPh sb="171" eb="172">
      <t>カリ</t>
    </rPh>
    <phoneticPr fontId="3"/>
  </si>
  <si>
    <t>一部表示項目名の変更及び、列幅の調整を実施する。
　・表示項目名称変更
　　　　（現）希望納期→（新）（未定）
　　　　（現）回答納期→（新）生産完了予定
　　　　各画面及び、各出力ファイルの表示項目名を変更する（5画面3ファイル）
　　　　DBの定義については変更しないものとする
　　　　利用マニュアル修正（IFC読取ユーザ用を除く3ファイル）
　・列幅調整
　　　　グレード、荷姿の列幅を現状想定される最大文字数が表示される幅に調整する
　　　　DBの定義については変更しないものとする
　　　　想定桁数を超えた場合、折り返して表示する
　　　　グレード、荷姿の想定桁数はそれぞれ半角英数15文字、17文字とする</t>
    <rPh sb="8" eb="10">
      <t>ヘンコウ</t>
    </rPh>
    <rPh sb="10" eb="11">
      <t>オヨ</t>
    </rPh>
    <rPh sb="13" eb="15">
      <t>レツハバ</t>
    </rPh>
    <rPh sb="16" eb="18">
      <t>チョウセイ</t>
    </rPh>
    <rPh sb="19" eb="21">
      <t>ジッシ</t>
    </rPh>
    <rPh sb="27" eb="29">
      <t>ヒョウジ</t>
    </rPh>
    <rPh sb="29" eb="35">
      <t>コウモクメイショウヘンコウ</t>
    </rPh>
    <rPh sb="41" eb="42">
      <t>ゲン</t>
    </rPh>
    <rPh sb="43" eb="47">
      <t>キボウノウキ</t>
    </rPh>
    <rPh sb="49" eb="50">
      <t>シン</t>
    </rPh>
    <rPh sb="52" eb="54">
      <t>ミテイ</t>
    </rPh>
    <rPh sb="63" eb="65">
      <t>カイトウ</t>
    </rPh>
    <rPh sb="71" eb="75">
      <t>セイサンカンリョウ</t>
    </rPh>
    <rPh sb="75" eb="77">
      <t>ヨテイ</t>
    </rPh>
    <rPh sb="82" eb="83">
      <t>カク</t>
    </rPh>
    <rPh sb="83" eb="86">
      <t>ガメンオヨ</t>
    </rPh>
    <rPh sb="88" eb="89">
      <t>カク</t>
    </rPh>
    <rPh sb="96" eb="98">
      <t>ヒョウジ</t>
    </rPh>
    <rPh sb="98" eb="101">
      <t>コウモクメイ</t>
    </rPh>
    <rPh sb="102" eb="104">
      <t>ヘンコウ</t>
    </rPh>
    <rPh sb="108" eb="110">
      <t>ガメン</t>
    </rPh>
    <rPh sb="131" eb="133">
      <t>ヘンコウ</t>
    </rPh>
    <rPh sb="146" eb="148">
      <t>リヨウ</t>
    </rPh>
    <rPh sb="153" eb="155">
      <t>シュウセイ</t>
    </rPh>
    <rPh sb="164" eb="165">
      <t>ヨウ</t>
    </rPh>
    <rPh sb="166" eb="167">
      <t>ノゾ</t>
    </rPh>
    <rPh sb="177" eb="179">
      <t>レツハバ</t>
    </rPh>
    <rPh sb="179" eb="181">
      <t>チョウセイ</t>
    </rPh>
    <rPh sb="191" eb="193">
      <t>ニスガタ</t>
    </rPh>
    <rPh sb="194" eb="196">
      <t>レツハバ</t>
    </rPh>
    <rPh sb="236" eb="238">
      <t>ヘンコウ</t>
    </rPh>
    <rPh sb="284" eb="286">
      <t>ソウテイ</t>
    </rPh>
    <rPh sb="286" eb="288">
      <t>ケタスウ</t>
    </rPh>
    <phoneticPr fontId="3"/>
  </si>
  <si>
    <t>表示除外機能実装</t>
    <rPh sb="0" eb="2">
      <t>ヒョウジ</t>
    </rPh>
    <rPh sb="2" eb="4">
      <t>ジョガイ</t>
    </rPh>
    <rPh sb="4" eb="6">
      <t>キノウ</t>
    </rPh>
    <rPh sb="6" eb="8">
      <t>ジッソウ</t>
    </rPh>
    <phoneticPr fontId="3"/>
  </si>
  <si>
    <t>　・依頼Noが「x」として連携されてきた場合</t>
  </si>
  <si>
    <t>　　　　生産委託ポータルの各画面に表示しない</t>
  </si>
  <si>
    <t>　　　　生産委託ポータルの各出力ファイルに表示しない</t>
  </si>
  <si>
    <t>　　　　連携は従来通り実施すること（生産状況テーブルに登録すること）</t>
  </si>
  <si>
    <t>レイアウト調整対応</t>
    <rPh sb="5" eb="7">
      <t>チョウセイ</t>
    </rPh>
    <phoneticPr fontId="3"/>
  </si>
  <si>
    <t>　・表示項目名称変更</t>
  </si>
  <si>
    <t>　　　　（現）希望納期→（新）（未定）</t>
  </si>
  <si>
    <t>　　　　（現）回答納期→（新）生産完了予定</t>
  </si>
  <si>
    <t>　　　　各画面及び、各出力ファイルの表示項目名を変更する（5画面3ファイル）</t>
  </si>
  <si>
    <t>　　　　DBの定義については変更しないものとする</t>
  </si>
  <si>
    <t>　　　　利用マニュアル修正（IFC読取ユーザ用を除く3ファイル）</t>
  </si>
  <si>
    <t>　・列幅調整</t>
  </si>
  <si>
    <t>　　　　グレード、荷姿の列幅を現状想定される最大文字数が表示される幅に調整する</t>
  </si>
  <si>
    <t>　　　　想定桁数を超えた場合、折り返して表示する</t>
  </si>
  <si>
    <t>　　　　グレード、荷姿の想定桁数はそれぞれ半角英数15文字、17文字とする</t>
  </si>
  <si>
    <t>開発＋管理</t>
    <rPh sb="0" eb="2">
      <t>カイハツ</t>
    </rPh>
    <rPh sb="3" eb="5">
      <t>カンリ</t>
    </rPh>
    <phoneticPr fontId="3"/>
  </si>
  <si>
    <t xml:space="preserve"> ブリッジSE
 エグゼベトナム1名</t>
    <rPh sb="17" eb="18">
      <t>メイ</t>
    </rPh>
    <phoneticPr fontId="18"/>
  </si>
  <si>
    <t xml:space="preserve"> PG
 エグゼベトナム１名</t>
    <rPh sb="13" eb="14">
      <t>メイ</t>
    </rPh>
    <phoneticPr fontId="18"/>
  </si>
  <si>
    <t>訂正区分4、5対応</t>
    <phoneticPr fontId="3"/>
  </si>
  <si>
    <t>2026/1月末頃</t>
    <rPh sb="6" eb="7">
      <t>ガツ</t>
    </rPh>
    <rPh sb="7" eb="8">
      <t>マツ</t>
    </rPh>
    <rPh sb="8" eb="9">
      <t>コロ</t>
    </rPh>
    <phoneticPr fontId="3"/>
  </si>
  <si>
    <t>　・OneSAPから訂正区分4で連携された場合</t>
  </si>
  <si>
    <t>　　　　中間テーブルにはそのまま登録する</t>
  </si>
  <si>
    <t>　　　　生産状況テーブルには納期以外を更新対象とする</t>
  </si>
  <si>
    <t>　　　　生産状況テーブルには反映しない</t>
  </si>
  <si>
    <t>OneSAPからの連携データにおいて、IFC生産委託ポータル表示除外機能を実装する</t>
    <phoneticPr fontId="3"/>
  </si>
  <si>
    <t>一部表示項目名の変更及び、列幅の調整を実施する</t>
  </si>
  <si>
    <t>　・依頼Noに入力する　除外文字については仮とする</t>
    <phoneticPr fontId="3"/>
  </si>
  <si>
    <t>生産状況連携
　・OneSAPから訂正区分4で連携された場合
　　　　中間テーブルにはそのまま登録する
　　　　生産状況テーブルには納期以外を更新対象とする
　・OneSAPから訂正区分5で連携された場合
　　　　中間テーブルにはそのまま登録する
　　　　生産状況テーブルには反映しない</t>
    <rPh sb="0" eb="4">
      <t>セイサンジョウキョウ</t>
    </rPh>
    <rPh sb="4" eb="6">
      <t>レンケイ</t>
    </rPh>
    <rPh sb="56" eb="60">
      <t>セイサンジョウキョウ</t>
    </rPh>
    <rPh sb="68" eb="70">
      <t>イガイ</t>
    </rPh>
    <phoneticPr fontId="3"/>
  </si>
  <si>
    <t>　・OneSAPから訂正区分5で連携された場合</t>
  </si>
  <si>
    <t>訂正区分4・5対応、表示除外機能実装、レイアウト調整対応御見積</t>
    <rPh sb="28" eb="31">
      <t>オミツモリ</t>
    </rPh>
    <phoneticPr fontId="3"/>
  </si>
  <si>
    <t>７．体制について</t>
    <rPh sb="2" eb="4">
      <t>タイセイ</t>
    </rPh>
    <phoneticPr fontId="3"/>
  </si>
  <si>
    <t>開発については1月に集中させていただき、体制は2月まで維持させていただきます。</t>
    <phoneticPr fontId="3"/>
  </si>
  <si>
    <t>2025年12月1日 ～ 2026年1月31日</t>
    <rPh sb="4" eb="5">
      <t>ネン</t>
    </rPh>
    <rPh sb="7" eb="8">
      <t>ガツ</t>
    </rPh>
    <rPh sb="9" eb="10">
      <t>ニチ</t>
    </rPh>
    <rPh sb="17" eb="18">
      <t>ネン</t>
    </rPh>
    <rPh sb="19" eb="20">
      <t>ガツ</t>
    </rPh>
    <rPh sb="22" eb="23">
      <t>ニチ</t>
    </rPh>
    <phoneticPr fontId="18"/>
  </si>
  <si>
    <t>８．リリースについて</t>
    <phoneticPr fontId="18"/>
  </si>
  <si>
    <t>リリースについては、2月以降の契約で別途実施いたします。</t>
    <rPh sb="11" eb="14">
      <t>ガツイコウ</t>
    </rPh>
    <rPh sb="15" eb="17">
      <t>ケイヤク</t>
    </rPh>
    <rPh sb="18" eb="22">
      <t>ベットジッシ</t>
    </rPh>
    <phoneticPr fontId="3"/>
  </si>
  <si>
    <t>９．その他</t>
    <phoneticPr fontId="18"/>
  </si>
  <si>
    <t>リリース・本稼働</t>
    <rPh sb="5" eb="6">
      <t>ホン</t>
    </rPh>
    <rPh sb="6" eb="8">
      <t>カドウ</t>
    </rPh>
    <phoneticPr fontId="18"/>
  </si>
  <si>
    <t>２月以降の契約で別途実施</t>
    <rPh sb="1" eb="4">
      <t>ガツイコウ</t>
    </rPh>
    <rPh sb="5" eb="7">
      <t>ケイヤク</t>
    </rPh>
    <rPh sb="8" eb="12">
      <t>ベットジッシ</t>
    </rPh>
    <phoneticPr fontId="3"/>
  </si>
  <si>
    <t>初期流動</t>
    <phoneticPr fontId="7"/>
  </si>
  <si>
    <t>2026年2月1日 ～ 2026年2月28日</t>
    <rPh sb="4" eb="5">
      <t>ネン</t>
    </rPh>
    <rPh sb="6" eb="7">
      <t>ガツ</t>
    </rPh>
    <rPh sb="8" eb="9">
      <t>ニチ</t>
    </rPh>
    <rPh sb="16" eb="17">
      <t>ネン</t>
    </rPh>
    <rPh sb="18" eb="19">
      <t>ガツ</t>
    </rPh>
    <rPh sb="21" eb="22">
      <t>ニチ</t>
    </rPh>
    <phoneticPr fontId="18"/>
  </si>
  <si>
    <t>【開発対応】</t>
    <rPh sb="1" eb="5">
      <t>カイハツタイオウ</t>
    </rPh>
    <phoneticPr fontId="3"/>
  </si>
  <si>
    <t>【リリース対応】</t>
    <rPh sb="5" eb="7">
      <t>タイオウ</t>
    </rPh>
    <phoneticPr fontId="3"/>
  </si>
  <si>
    <t>準委任契約</t>
    <rPh sb="0" eb="3">
      <t>ジュンイニン</t>
    </rPh>
    <rPh sb="3" eb="5">
      <t>ケイヤク</t>
    </rPh>
    <phoneticPr fontId="18"/>
  </si>
  <si>
    <t>作業手順書作成</t>
    <rPh sb="0" eb="5">
      <t>サギョウテジュンショ</t>
    </rPh>
    <rPh sb="5" eb="7">
      <t>サクセイ</t>
    </rPh>
    <phoneticPr fontId="3"/>
  </si>
  <si>
    <t>本番作業手順書</t>
    <phoneticPr fontId="3"/>
  </si>
  <si>
    <t>リリース作業実施</t>
    <rPh sb="4" eb="6">
      <t>サギョウ</t>
    </rPh>
    <rPh sb="6" eb="8">
      <t>ジッシ</t>
    </rPh>
    <phoneticPr fontId="3"/>
  </si>
  <si>
    <t>１２月～１月の契約で別途実施</t>
    <rPh sb="2" eb="3">
      <t>ガツ</t>
    </rPh>
    <rPh sb="5" eb="6">
      <t>ガツ</t>
    </rPh>
    <rPh sb="7" eb="9">
      <t>ケイヤク</t>
    </rPh>
    <rPh sb="10" eb="12">
      <t>ベット</t>
    </rPh>
    <rPh sb="12" eb="14">
      <t>ジッシ</t>
    </rPh>
    <phoneticPr fontId="3"/>
  </si>
  <si>
    <t>８．調査・設計～受入テストについて</t>
    <phoneticPr fontId="18"/>
  </si>
  <si>
    <t>調査・設計～受入テストについては、１２月～１月の契約で別途実施いたします。</t>
    <rPh sb="19" eb="20">
      <t>ガツ</t>
    </rPh>
    <rPh sb="22" eb="23">
      <t>ガツ</t>
    </rPh>
    <rPh sb="24" eb="26">
      <t>ケイヤク</t>
    </rPh>
    <rPh sb="27" eb="29">
      <t>ベット</t>
    </rPh>
    <rPh sb="29" eb="31">
      <t>ジッシ</t>
    </rPh>
    <phoneticPr fontId="3"/>
  </si>
  <si>
    <t>システムテスト・
リリース・本稼働</t>
    <rPh sb="14" eb="15">
      <t>ホン</t>
    </rPh>
    <rPh sb="15" eb="17">
      <t>カドウ</t>
    </rPh>
    <phoneticPr fontId="18"/>
  </si>
  <si>
    <t>本御見積書記載以外の作業が発生時した場合は、両社協議の上、追加見積させていただく</t>
    <phoneticPr fontId="3"/>
  </si>
  <si>
    <t>受入テスト</t>
    <rPh sb="0" eb="2">
      <t>ウケイレ</t>
    </rPh>
    <phoneticPr fontId="7"/>
  </si>
  <si>
    <t>システムテスト</t>
    <phoneticPr fontId="3"/>
  </si>
  <si>
    <t>受入テスト</t>
    <rPh sb="0" eb="2">
      <t>ウケイレ</t>
    </rPh>
    <phoneticPr fontId="3"/>
  </si>
  <si>
    <t>結合テスト仕様書</t>
    <phoneticPr fontId="18"/>
  </si>
</sst>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3">
    <numFmt numFmtId="5" formatCode="&quot;¥&quot;#,##0;&quot;¥&quot;\-#,##0"/>
    <numFmt numFmtId="6" formatCode="&quot;¥&quot;#,##0;[Red]&quot;¥&quot;\-#,##0"/>
    <numFmt numFmtId="176" formatCode="0.000&quot;人&quot;&quot;月&quot;"/>
    <numFmt numFmtId="177" formatCode="m&quot;月&quot;"/>
    <numFmt numFmtId="178" formatCode="0.000_ "/>
    <numFmt numFmtId="179" formatCode="0.00&quot;人&quot;&quot;月&quot;"/>
    <numFmt numFmtId="180" formatCode="&quot;¥&quot;#,##0_);[Red]\(&quot;¥&quot;#,##0\)"/>
    <numFmt numFmtId="181" formatCode="#,##0_ "/>
    <numFmt numFmtId="182" formatCode="&quot;¥&quot;#,##0.\-"/>
    <numFmt numFmtId="183" formatCode="0.00_);[Red]\(0.00\)"/>
    <numFmt numFmtId="184" formatCode="#,##0.0_ "/>
    <numFmt numFmtId="185" formatCode="0.0"/>
    <numFmt numFmtId="186" formatCode="#,##0.00_ "/>
  </numFmts>
  <fonts count="41">
    <font>
      <sz val="11"/>
      <color theme="1"/>
      <name val="游ゴシック"/>
      <family val="2"/>
      <charset val="128"/>
      <scheme val="minor"/>
    </font>
    <font>
      <sz val="11"/>
      <color theme="1"/>
      <name val="游ゴシック"/>
      <family val="2"/>
      <charset val="128"/>
      <scheme val="minor"/>
    </font>
    <font>
      <sz val="14"/>
      <color theme="1"/>
      <name val="Meiryo UI"/>
      <family val="3"/>
      <charset val="128"/>
    </font>
    <font>
      <sz val="6"/>
      <name val="游ゴシック"/>
      <family val="2"/>
      <charset val="128"/>
      <scheme val="minor"/>
    </font>
    <font>
      <sz val="9"/>
      <color theme="1"/>
      <name val="Meiryo UI"/>
      <family val="3"/>
      <charset val="128"/>
    </font>
    <font>
      <sz val="14"/>
      <color rgb="FFFF0000"/>
      <name val="Meiryo UI"/>
      <family val="3"/>
      <charset val="128"/>
    </font>
    <font>
      <b/>
      <sz val="9"/>
      <color theme="0"/>
      <name val="Meiryo UI"/>
      <family val="3"/>
      <charset val="128"/>
    </font>
    <font>
      <sz val="6"/>
      <name val="ＭＳ Ｐゴシック"/>
      <family val="3"/>
      <charset val="128"/>
    </font>
    <font>
      <b/>
      <sz val="9"/>
      <color indexed="81"/>
      <name val="ＭＳ Ｐゴシック"/>
      <family val="3"/>
      <charset val="128"/>
    </font>
    <font>
      <sz val="11"/>
      <color theme="1" tint="0.24994659260841701"/>
      <name val="Meiryo UI"/>
      <family val="3"/>
      <charset val="128"/>
    </font>
    <font>
      <sz val="11"/>
      <name val="Meiryo UI"/>
      <family val="3"/>
      <charset val="128"/>
    </font>
    <font>
      <b/>
      <sz val="20"/>
      <name val="ＭＳ Ｐ明朝"/>
      <family val="1"/>
      <charset val="128"/>
    </font>
    <font>
      <sz val="11"/>
      <color theme="1"/>
      <name val="游ゴシック"/>
      <family val="2"/>
      <scheme val="minor"/>
    </font>
    <font>
      <b/>
      <sz val="26"/>
      <name val="ＭＳ 明朝"/>
      <family val="1"/>
      <charset val="128"/>
    </font>
    <font>
      <sz val="9"/>
      <name val="ＭＳ 明朝"/>
      <family val="1"/>
      <charset val="128"/>
    </font>
    <font>
      <sz val="10"/>
      <name val="ＭＳ 明朝"/>
      <family val="1"/>
      <charset val="128"/>
    </font>
    <font>
      <b/>
      <sz val="9"/>
      <name val="ＭＳ 明朝"/>
      <family val="1"/>
      <charset val="128"/>
    </font>
    <font>
      <sz val="12"/>
      <name val="ＭＳ 明朝"/>
      <family val="1"/>
      <charset val="128"/>
    </font>
    <font>
      <sz val="6"/>
      <name val="游ゴシック"/>
      <family val="3"/>
      <charset val="128"/>
      <scheme val="minor"/>
    </font>
    <font>
      <b/>
      <sz val="12"/>
      <name val="ＭＳ 明朝"/>
      <family val="1"/>
      <charset val="128"/>
    </font>
    <font>
      <sz val="20"/>
      <name val="ＭＳ 明朝"/>
      <family val="1"/>
      <charset val="128"/>
    </font>
    <font>
      <b/>
      <sz val="10"/>
      <name val="ＭＳ 明朝"/>
      <family val="1"/>
      <charset val="128"/>
    </font>
    <font>
      <u/>
      <sz val="10"/>
      <name val="ＭＳ 明朝"/>
      <family val="1"/>
      <charset val="128"/>
    </font>
    <font>
      <sz val="10"/>
      <color theme="0"/>
      <name val="ＭＳ 明朝"/>
      <family val="1"/>
      <charset val="128"/>
    </font>
    <font>
      <sz val="11"/>
      <name val="ＭＳ Ｐゴシック"/>
      <family val="3"/>
      <charset val="128"/>
    </font>
    <font>
      <b/>
      <sz val="14"/>
      <color theme="1"/>
      <name val="游ゴシック"/>
      <family val="3"/>
      <charset val="128"/>
      <scheme val="minor"/>
    </font>
    <font>
      <b/>
      <sz val="11"/>
      <color theme="1"/>
      <name val="游ゴシック"/>
      <family val="3"/>
      <charset val="128"/>
      <scheme val="minor"/>
    </font>
    <font>
      <b/>
      <sz val="11"/>
      <color theme="0"/>
      <name val="游ゴシック"/>
      <family val="3"/>
      <charset val="128"/>
      <scheme val="minor"/>
    </font>
    <font>
      <sz val="11"/>
      <color theme="1"/>
      <name val="游ゴシック"/>
      <family val="3"/>
      <charset val="128"/>
      <scheme val="minor"/>
    </font>
    <font>
      <sz val="10"/>
      <name val="ＭＳ 明朝"/>
      <family val="1"/>
    </font>
    <font>
      <sz val="11"/>
      <color rgb="FFFF0000"/>
      <name val="游ゴシック"/>
      <family val="2"/>
      <charset val="128"/>
      <scheme val="minor"/>
    </font>
    <font>
      <sz val="9"/>
      <color indexed="81"/>
      <name val="MS P ゴシック"/>
      <family val="3"/>
      <charset val="128"/>
    </font>
    <font>
      <sz val="9"/>
      <name val="ＭＳ 明朝"/>
      <family val="1"/>
    </font>
    <font>
      <b/>
      <sz val="10"/>
      <name val="ＭＳ 明朝"/>
      <family val="1"/>
    </font>
    <font>
      <b/>
      <sz val="26"/>
      <name val="ＭＳ 明朝"/>
      <family val="1"/>
    </font>
    <font>
      <b/>
      <sz val="9"/>
      <name val="ＭＳ 明朝"/>
      <family val="1"/>
    </font>
    <font>
      <sz val="12"/>
      <name val="ＭＳ 明朝"/>
      <family val="1"/>
    </font>
    <font>
      <b/>
      <sz val="12"/>
      <name val="ＭＳ 明朝"/>
      <family val="1"/>
    </font>
    <font>
      <sz val="20"/>
      <name val="ＭＳ 明朝"/>
      <family val="1"/>
    </font>
    <font>
      <u/>
      <sz val="10"/>
      <name val="ＭＳ 明朝"/>
      <family val="1"/>
    </font>
    <font>
      <sz val="10"/>
      <color theme="0"/>
      <name val="ＭＳ 明朝"/>
      <family val="1"/>
    </font>
  </fonts>
  <fills count="15">
    <fill>
      <patternFill patternType="none"/>
    </fill>
    <fill>
      <patternFill patternType="gray125"/>
    </fill>
    <fill>
      <patternFill patternType="solid">
        <fgColor rgb="FF002060"/>
        <bgColor indexed="64"/>
      </patternFill>
    </fill>
    <fill>
      <patternFill patternType="solid">
        <fgColor theme="0" tint="-4.9989318521683403E-2"/>
        <bgColor indexed="64"/>
      </patternFill>
    </fill>
    <fill>
      <patternFill patternType="solid">
        <fgColor theme="5" tint="0.79998168889431442"/>
        <bgColor indexed="64"/>
      </patternFill>
    </fill>
    <fill>
      <patternFill patternType="solid">
        <fgColor theme="5" tint="-0.499984740745262"/>
        <bgColor indexed="64"/>
      </patternFill>
    </fill>
    <fill>
      <patternFill patternType="solid">
        <fgColor rgb="FFAFB7D8"/>
        <bgColor indexed="64"/>
      </patternFill>
    </fill>
    <fill>
      <patternFill patternType="solid">
        <fgColor theme="0"/>
        <bgColor indexed="64"/>
      </patternFill>
    </fill>
    <fill>
      <patternFill patternType="solid">
        <fgColor theme="0" tint="-0.14999847407452621"/>
        <bgColor indexed="64"/>
      </patternFill>
    </fill>
    <fill>
      <patternFill patternType="solid">
        <fgColor theme="9" tint="0.79998168889431442"/>
        <bgColor indexed="64"/>
      </patternFill>
    </fill>
    <fill>
      <patternFill patternType="solid">
        <fgColor theme="8" tint="0.79998168889431442"/>
        <bgColor indexed="64"/>
      </patternFill>
    </fill>
    <fill>
      <patternFill patternType="solid">
        <fgColor theme="6"/>
        <bgColor indexed="64"/>
      </patternFill>
    </fill>
    <fill>
      <patternFill patternType="solid">
        <fgColor theme="0" tint="-0.249977111117893"/>
        <bgColor indexed="64"/>
      </patternFill>
    </fill>
    <fill>
      <patternFill patternType="solid">
        <fgColor rgb="FFFFFF00"/>
        <bgColor indexed="64"/>
      </patternFill>
    </fill>
    <fill>
      <patternFill patternType="solid">
        <fgColor rgb="FF00B0F0"/>
        <bgColor indexed="64"/>
      </patternFill>
    </fill>
  </fills>
  <borders count="63">
    <border>
      <left/>
      <right/>
      <top/>
      <bottom/>
      <diagonal/>
    </border>
    <border>
      <left style="thin">
        <color indexed="64"/>
      </left>
      <right style="thin">
        <color indexed="64"/>
      </right>
      <top style="thin">
        <color indexed="64"/>
      </top>
      <bottom style="thin">
        <color theme="0"/>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theme="0"/>
      </right>
      <top style="thin">
        <color indexed="64"/>
      </top>
      <bottom style="thin">
        <color theme="0"/>
      </bottom>
      <diagonal/>
    </border>
    <border>
      <left style="thin">
        <color theme="0"/>
      </left>
      <right style="thin">
        <color theme="0"/>
      </right>
      <top style="thin">
        <color indexed="64"/>
      </top>
      <bottom style="thin">
        <color theme="0"/>
      </bottom>
      <diagonal/>
    </border>
    <border>
      <left style="thin">
        <color theme="0"/>
      </left>
      <right style="thin">
        <color indexed="64"/>
      </right>
      <top style="thin">
        <color indexed="64"/>
      </top>
      <bottom style="thin">
        <color theme="0"/>
      </bottom>
      <diagonal/>
    </border>
    <border>
      <left style="thin">
        <color indexed="64"/>
      </left>
      <right style="thin">
        <color theme="0"/>
      </right>
      <top style="thin">
        <color theme="0"/>
      </top>
      <bottom style="thin">
        <color theme="0"/>
      </bottom>
      <diagonal/>
    </border>
    <border>
      <left style="thin">
        <color theme="0"/>
      </left>
      <right style="thin">
        <color theme="0"/>
      </right>
      <top style="thin">
        <color theme="0"/>
      </top>
      <bottom style="thin">
        <color theme="0"/>
      </bottom>
      <diagonal/>
    </border>
    <border>
      <left style="thin">
        <color theme="0"/>
      </left>
      <right/>
      <top style="thin">
        <color theme="0"/>
      </top>
      <bottom style="thin">
        <color theme="0"/>
      </bottom>
      <diagonal/>
    </border>
    <border>
      <left/>
      <right/>
      <top style="thin">
        <color theme="0"/>
      </top>
      <bottom style="thin">
        <color theme="0"/>
      </bottom>
      <diagonal/>
    </border>
    <border>
      <left/>
      <right style="thin">
        <color theme="0"/>
      </right>
      <top style="thin">
        <color theme="0"/>
      </top>
      <bottom style="thin">
        <color theme="0"/>
      </bottom>
      <diagonal/>
    </border>
    <border>
      <left style="thin">
        <color theme="0"/>
      </left>
      <right style="thin">
        <color indexed="64"/>
      </right>
      <top style="thin">
        <color theme="0"/>
      </top>
      <bottom style="thin">
        <color theme="0"/>
      </bottom>
      <diagonal/>
    </border>
    <border>
      <left style="thin">
        <color indexed="64"/>
      </left>
      <right style="thin">
        <color theme="0"/>
      </right>
      <top style="thin">
        <color theme="0"/>
      </top>
      <bottom style="thin">
        <color indexed="64"/>
      </bottom>
      <diagonal/>
    </border>
    <border>
      <left style="thin">
        <color theme="0"/>
      </left>
      <right style="thin">
        <color theme="0"/>
      </right>
      <top style="thin">
        <color theme="0"/>
      </top>
      <bottom style="thin">
        <color indexed="64"/>
      </bottom>
      <diagonal/>
    </border>
    <border>
      <left style="thin">
        <color theme="0"/>
      </left>
      <right style="thin">
        <color indexed="64"/>
      </right>
      <top style="thin">
        <color theme="0"/>
      </top>
      <bottom style="thin">
        <color indexed="64"/>
      </bottom>
      <diagonal/>
    </border>
    <border>
      <left style="thin">
        <color indexed="64"/>
      </left>
      <right style="thin">
        <color indexed="64"/>
      </right>
      <top style="thin">
        <color theme="0"/>
      </top>
      <bottom style="thin">
        <color indexed="64"/>
      </bottom>
      <diagonal/>
    </border>
    <border>
      <left style="thin">
        <color rgb="FF00579D"/>
      </left>
      <right style="thin">
        <color rgb="FF00579D"/>
      </right>
      <top style="thin">
        <color rgb="FF00579D"/>
      </top>
      <bottom style="thin">
        <color rgb="FF00579D"/>
      </bottom>
      <diagonal/>
    </border>
    <border>
      <left style="thin">
        <color rgb="FF00579D"/>
      </left>
      <right/>
      <top style="thin">
        <color rgb="FF00579D"/>
      </top>
      <bottom style="thin">
        <color rgb="FF00579D"/>
      </bottom>
      <diagonal/>
    </border>
    <border>
      <left/>
      <right style="thin">
        <color rgb="FF00579D"/>
      </right>
      <top style="thin">
        <color rgb="FF00579D"/>
      </top>
      <bottom style="thin">
        <color rgb="FF00579D"/>
      </bottom>
      <diagonal/>
    </border>
    <border>
      <left/>
      <right/>
      <top/>
      <bottom style="hair">
        <color indexed="64"/>
      </bottom>
      <diagonal/>
    </border>
    <border>
      <left/>
      <right/>
      <top style="hair">
        <color indexed="64"/>
      </top>
      <bottom style="hair">
        <color indexed="64"/>
      </bottom>
      <diagonal/>
    </border>
    <border>
      <left/>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double">
        <color indexed="64"/>
      </left>
      <right/>
      <top style="double">
        <color indexed="64"/>
      </top>
      <bottom/>
      <diagonal/>
    </border>
    <border>
      <left/>
      <right/>
      <top style="double">
        <color indexed="64"/>
      </top>
      <bottom/>
      <diagonal/>
    </border>
    <border>
      <left/>
      <right style="double">
        <color indexed="64"/>
      </right>
      <top style="double">
        <color indexed="64"/>
      </top>
      <bottom/>
      <diagonal/>
    </border>
    <border>
      <left style="double">
        <color indexed="64"/>
      </left>
      <right/>
      <top/>
      <bottom style="double">
        <color indexed="64"/>
      </bottom>
      <diagonal/>
    </border>
    <border>
      <left/>
      <right/>
      <top/>
      <bottom style="double">
        <color auto="1"/>
      </bottom>
      <diagonal/>
    </border>
    <border>
      <left/>
      <right style="double">
        <color indexed="64"/>
      </right>
      <top/>
      <bottom style="double">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medium">
        <color indexed="64"/>
      </left>
      <right/>
      <top style="medium">
        <color indexed="64"/>
      </top>
      <bottom style="medium">
        <color indexed="64"/>
      </bottom>
      <diagonal/>
    </border>
    <border>
      <left style="hair">
        <color indexed="64"/>
      </left>
      <right style="medium">
        <color indexed="64"/>
      </right>
      <top style="medium">
        <color indexed="64"/>
      </top>
      <bottom style="medium">
        <color indexed="64"/>
      </bottom>
      <diagonal/>
    </border>
    <border>
      <left style="thin">
        <color indexed="64"/>
      </left>
      <right style="hair">
        <color indexed="64"/>
      </right>
      <top style="thin">
        <color indexed="64"/>
      </top>
      <bottom style="thin">
        <color indexed="64"/>
      </bottom>
      <diagonal/>
    </border>
    <border>
      <left style="hair">
        <color indexed="64"/>
      </left>
      <right style="hair">
        <color indexed="64"/>
      </right>
      <top style="thin">
        <color indexed="64"/>
      </top>
      <bottom style="thin">
        <color indexed="64"/>
      </bottom>
      <diagonal/>
    </border>
    <border>
      <left style="hair">
        <color indexed="64"/>
      </left>
      <right style="thin">
        <color indexed="64"/>
      </right>
      <top style="thin">
        <color indexed="64"/>
      </top>
      <bottom style="thin">
        <color indexed="64"/>
      </bottom>
      <diagonal/>
    </border>
    <border>
      <left style="thin">
        <color indexed="64"/>
      </left>
      <right style="hair">
        <color indexed="64"/>
      </right>
      <top style="thin">
        <color indexed="64"/>
      </top>
      <bottom/>
      <diagonal/>
    </border>
    <border>
      <left style="hair">
        <color indexed="64"/>
      </left>
      <right style="hair">
        <color indexed="64"/>
      </right>
      <top style="thin">
        <color indexed="64"/>
      </top>
      <bottom/>
      <diagonal/>
    </border>
    <border>
      <left style="hair">
        <color indexed="64"/>
      </left>
      <right style="thin">
        <color indexed="64"/>
      </right>
      <top style="thin">
        <color indexed="64"/>
      </top>
      <bottom/>
      <diagonal/>
    </border>
    <border>
      <left style="thin">
        <color indexed="64"/>
      </left>
      <right style="hair">
        <color indexed="64"/>
      </right>
      <top/>
      <bottom style="thin">
        <color indexed="64"/>
      </bottom>
      <diagonal/>
    </border>
    <border>
      <left style="hair">
        <color indexed="64"/>
      </left>
      <right style="hair">
        <color indexed="64"/>
      </right>
      <top/>
      <bottom style="thin">
        <color indexed="64"/>
      </bottom>
      <diagonal/>
    </border>
    <border>
      <left style="hair">
        <color indexed="64"/>
      </left>
      <right style="thin">
        <color indexed="64"/>
      </right>
      <top/>
      <bottom style="thin">
        <color indexed="64"/>
      </bottom>
      <diagonal/>
    </border>
    <border>
      <left style="thin">
        <color indexed="64"/>
      </left>
      <right/>
      <top style="thin">
        <color indexed="64"/>
      </top>
      <bottom style="medium">
        <color indexed="64"/>
      </bottom>
      <diagonal/>
    </border>
    <border>
      <left/>
      <right style="thin">
        <color indexed="64"/>
      </right>
      <top style="thin">
        <color indexed="64"/>
      </top>
      <bottom style="medium">
        <color indexed="64"/>
      </bottom>
      <diagonal/>
    </border>
    <border>
      <left/>
      <right/>
      <top style="thin">
        <color indexed="64"/>
      </top>
      <bottom style="medium">
        <color indexed="64"/>
      </bottom>
      <diagonal/>
    </border>
    <border>
      <left style="thin">
        <color indexed="64"/>
      </left>
      <right/>
      <top style="thin">
        <color indexed="64"/>
      </top>
      <bottom style="double">
        <color indexed="64"/>
      </bottom>
      <diagonal/>
    </border>
    <border>
      <left/>
      <right style="thin">
        <color indexed="64"/>
      </right>
      <top style="thin">
        <color indexed="64"/>
      </top>
      <bottom style="double">
        <color indexed="64"/>
      </bottom>
      <diagonal/>
    </border>
    <border>
      <left/>
      <right/>
      <top style="thin">
        <color indexed="64"/>
      </top>
      <bottom style="double">
        <color indexed="64"/>
      </bottom>
      <diagonal/>
    </border>
    <border>
      <left style="thin">
        <color indexed="64"/>
      </left>
      <right style="medium">
        <color indexed="64"/>
      </right>
      <top style="medium">
        <color indexed="64"/>
      </top>
      <bottom style="medium">
        <color indexed="64"/>
      </bottom>
      <diagonal/>
    </border>
    <border>
      <left style="medium">
        <color indexed="64"/>
      </left>
      <right/>
      <top/>
      <bottom style="medium">
        <color indexed="64"/>
      </bottom>
      <diagonal/>
    </border>
    <border>
      <left style="thin">
        <color indexed="64"/>
      </left>
      <right style="medium">
        <color indexed="64"/>
      </right>
      <top/>
      <bottom style="medium">
        <color indexed="64"/>
      </bottom>
      <diagonal/>
    </border>
    <border>
      <left style="thin">
        <color indexed="64"/>
      </left>
      <right style="thin">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s>
  <cellStyleXfs count="7">
    <xf numFmtId="0" fontId="0" fillId="0" borderId="0">
      <alignment vertical="center"/>
    </xf>
    <xf numFmtId="0" fontId="1" fillId="0" borderId="0">
      <alignment vertical="center"/>
    </xf>
    <xf numFmtId="38" fontId="1" fillId="0" borderId="0" applyFont="0" applyFill="0" applyBorder="0" applyAlignment="0" applyProtection="0">
      <alignment vertical="center"/>
    </xf>
    <xf numFmtId="0" fontId="1" fillId="0" borderId="0">
      <alignment vertical="center"/>
    </xf>
    <xf numFmtId="0" fontId="12" fillId="0" borderId="0"/>
    <xf numFmtId="0" fontId="24" fillId="0" borderId="0">
      <alignment vertical="center"/>
    </xf>
    <xf numFmtId="6" fontId="1" fillId="0" borderId="0" applyFont="0" applyFill="0" applyBorder="0" applyAlignment="0" applyProtection="0">
      <alignment vertical="center"/>
    </xf>
  </cellStyleXfs>
  <cellXfs count="430">
    <xf numFmtId="0" fontId="0" fillId="0" borderId="0" xfId="0">
      <alignment vertical="center"/>
    </xf>
    <xf numFmtId="0" fontId="2" fillId="0" borderId="0" xfId="1" applyFont="1">
      <alignment vertical="center"/>
    </xf>
    <xf numFmtId="0" fontId="4" fillId="0" borderId="0" xfId="1" applyFont="1">
      <alignment vertical="center"/>
    </xf>
    <xf numFmtId="0" fontId="5" fillId="0" borderId="0" xfId="1" applyFont="1">
      <alignment vertical="center"/>
    </xf>
    <xf numFmtId="0" fontId="6" fillId="2" borderId="1" xfId="1" applyFont="1" applyFill="1" applyBorder="1" applyAlignment="1">
      <alignment horizontal="center" vertical="center"/>
    </xf>
    <xf numFmtId="0" fontId="6" fillId="2" borderId="4" xfId="1" applyFont="1" applyFill="1" applyBorder="1" applyAlignment="1">
      <alignment horizontal="center" vertical="center"/>
    </xf>
    <xf numFmtId="0" fontId="4" fillId="0" borderId="0" xfId="1" applyFont="1" applyAlignment="1">
      <alignment horizontal="center" vertical="center"/>
    </xf>
    <xf numFmtId="177" fontId="6" fillId="2" borderId="16" xfId="1" applyNumberFormat="1" applyFont="1" applyFill="1" applyBorder="1" applyAlignment="1">
      <alignment horizontal="center" vertical="center"/>
    </xf>
    <xf numFmtId="0" fontId="4" fillId="4" borderId="4" xfId="1" applyFont="1" applyFill="1" applyBorder="1" applyProtection="1">
      <alignment vertical="center"/>
      <protection locked="0"/>
    </xf>
    <xf numFmtId="178" fontId="4" fillId="4" borderId="4" xfId="1" applyNumberFormat="1" applyFont="1" applyFill="1" applyBorder="1" applyProtection="1">
      <alignment vertical="center"/>
      <protection locked="0"/>
    </xf>
    <xf numFmtId="178" fontId="4" fillId="3" borderId="4" xfId="1" applyNumberFormat="1" applyFont="1" applyFill="1" applyBorder="1">
      <alignment vertical="center"/>
    </xf>
    <xf numFmtId="178" fontId="4" fillId="4" borderId="0" xfId="1" applyNumberFormat="1" applyFont="1" applyFill="1" applyProtection="1">
      <alignment vertical="center"/>
      <protection locked="0"/>
    </xf>
    <xf numFmtId="0" fontId="6" fillId="5" borderId="1" xfId="1" applyFont="1" applyFill="1" applyBorder="1" applyAlignment="1">
      <alignment horizontal="center" vertical="center"/>
    </xf>
    <xf numFmtId="0" fontId="6" fillId="5" borderId="18" xfId="1" applyFont="1" applyFill="1" applyBorder="1" applyAlignment="1">
      <alignment horizontal="center" vertical="center"/>
    </xf>
    <xf numFmtId="0" fontId="6" fillId="5" borderId="4" xfId="1" applyFont="1" applyFill="1" applyBorder="1" applyAlignment="1">
      <alignment horizontal="center" vertical="center"/>
    </xf>
    <xf numFmtId="177" fontId="6" fillId="5" borderId="16" xfId="1" applyNumberFormat="1" applyFont="1" applyFill="1" applyBorder="1" applyAlignment="1">
      <alignment horizontal="center" vertical="center"/>
    </xf>
    <xf numFmtId="38" fontId="4" fillId="4" borderId="4" xfId="2" applyFont="1" applyFill="1" applyBorder="1" applyAlignment="1" applyProtection="1">
      <alignment vertical="center"/>
      <protection locked="0"/>
    </xf>
    <xf numFmtId="0" fontId="4" fillId="4" borderId="4" xfId="2" applyNumberFormat="1" applyFont="1" applyFill="1" applyBorder="1" applyAlignment="1" applyProtection="1">
      <alignment vertical="center"/>
      <protection locked="0"/>
    </xf>
    <xf numFmtId="181" fontId="4" fillId="3" borderId="4" xfId="1" applyNumberFormat="1" applyFont="1" applyFill="1" applyBorder="1">
      <alignment vertical="center"/>
    </xf>
    <xf numFmtId="38" fontId="4" fillId="4" borderId="0" xfId="2" applyFont="1" applyFill="1" applyAlignment="1" applyProtection="1">
      <alignment vertical="center"/>
      <protection locked="0"/>
    </xf>
    <xf numFmtId="0" fontId="9" fillId="6" borderId="19" xfId="0" applyFont="1" applyFill="1" applyBorder="1" applyAlignment="1">
      <alignment horizontal="center" vertical="center"/>
    </xf>
    <xf numFmtId="0" fontId="0" fillId="0" borderId="0" xfId="0" applyAlignment="1"/>
    <xf numFmtId="0" fontId="9" fillId="7" borderId="19" xfId="0" applyFont="1" applyFill="1" applyBorder="1" applyAlignment="1"/>
    <xf numFmtId="9" fontId="9" fillId="7" borderId="19" xfId="0" applyNumberFormat="1" applyFont="1" applyFill="1" applyBorder="1" applyAlignment="1"/>
    <xf numFmtId="0" fontId="4" fillId="4" borderId="4" xfId="3" applyFont="1" applyFill="1" applyBorder="1" applyProtection="1">
      <alignment vertical="center"/>
      <protection locked="0"/>
    </xf>
    <xf numFmtId="0" fontId="14" fillId="0" borderId="0" xfId="4" applyFont="1" applyAlignment="1">
      <alignment vertical="center"/>
    </xf>
    <xf numFmtId="0" fontId="15" fillId="0" borderId="22" xfId="4" applyFont="1" applyBorder="1" applyAlignment="1">
      <alignment vertical="center"/>
    </xf>
    <xf numFmtId="0" fontId="15" fillId="0" borderId="0" xfId="4" applyFont="1" applyAlignment="1">
      <alignment vertical="center"/>
    </xf>
    <xf numFmtId="0" fontId="15" fillId="0" borderId="23" xfId="4" applyFont="1" applyBorder="1" applyAlignment="1">
      <alignment vertical="center"/>
    </xf>
    <xf numFmtId="0" fontId="16" fillId="0" borderId="0" xfId="4" applyFont="1" applyAlignment="1">
      <alignment vertical="center"/>
    </xf>
    <xf numFmtId="0" fontId="21" fillId="0" borderId="0" xfId="4" applyFont="1" applyAlignment="1">
      <alignment vertical="center"/>
    </xf>
    <xf numFmtId="0" fontId="15" fillId="8" borderId="2" xfId="4" applyFont="1" applyFill="1" applyBorder="1" applyAlignment="1">
      <alignment horizontal="centerContinuous" vertical="center"/>
    </xf>
    <xf numFmtId="0" fontId="15" fillId="8" borderId="3" xfId="4" applyFont="1" applyFill="1" applyBorder="1" applyAlignment="1">
      <alignment horizontal="centerContinuous" vertical="center"/>
    </xf>
    <xf numFmtId="0" fontId="15" fillId="8" borderId="5" xfId="4" applyFont="1" applyFill="1" applyBorder="1" applyAlignment="1">
      <alignment horizontal="centerContinuous" vertical="center"/>
    </xf>
    <xf numFmtId="0" fontId="15" fillId="0" borderId="2" xfId="4" applyFont="1" applyBorder="1" applyAlignment="1">
      <alignment horizontal="left" vertical="center" indent="1"/>
    </xf>
    <xf numFmtId="0" fontId="15" fillId="0" borderId="5" xfId="4" applyFont="1" applyBorder="1" applyAlignment="1">
      <alignment vertical="center"/>
    </xf>
    <xf numFmtId="0" fontId="15" fillId="0" borderId="0" xfId="4" applyFont="1" applyAlignment="1">
      <alignment horizontal="center" vertical="center"/>
    </xf>
    <xf numFmtId="0" fontId="22" fillId="0" borderId="0" xfId="4" applyFont="1" applyAlignment="1">
      <alignment vertical="center"/>
    </xf>
    <xf numFmtId="0" fontId="15" fillId="8" borderId="25" xfId="4" applyFont="1" applyFill="1" applyBorder="1" applyAlignment="1">
      <alignment horizontal="centerContinuous" vertical="center"/>
    </xf>
    <xf numFmtId="0" fontId="15" fillId="8" borderId="26" xfId="4" applyFont="1" applyFill="1" applyBorder="1" applyAlignment="1">
      <alignment horizontal="centerContinuous" vertical="center"/>
    </xf>
    <xf numFmtId="0" fontId="15" fillId="8" borderId="27" xfId="4" applyFont="1" applyFill="1" applyBorder="1" applyAlignment="1">
      <alignment horizontal="centerContinuous" vertical="center"/>
    </xf>
    <xf numFmtId="0" fontId="15" fillId="0" borderId="25" xfId="4" applyFont="1" applyBorder="1" applyAlignment="1">
      <alignment horizontal="centerContinuous" vertical="center"/>
    </xf>
    <xf numFmtId="0" fontId="15" fillId="0" borderId="26" xfId="4" applyFont="1" applyBorder="1" applyAlignment="1">
      <alignment horizontal="centerContinuous" vertical="center"/>
    </xf>
    <xf numFmtId="0" fontId="15" fillId="0" borderId="28" xfId="4" applyFont="1" applyBorder="1" applyAlignment="1">
      <alignment vertical="center"/>
    </xf>
    <xf numFmtId="0" fontId="15" fillId="0" borderId="29" xfId="4" applyFont="1" applyBorder="1" applyAlignment="1">
      <alignment vertical="center"/>
    </xf>
    <xf numFmtId="0" fontId="15" fillId="0" borderId="28" xfId="4" applyFont="1" applyBorder="1" applyAlignment="1">
      <alignment horizontal="left" vertical="center"/>
    </xf>
    <xf numFmtId="0" fontId="15" fillId="0" borderId="0" xfId="4" applyFont="1" applyAlignment="1">
      <alignment horizontal="left" vertical="center"/>
    </xf>
    <xf numFmtId="0" fontId="15" fillId="0" borderId="25" xfId="4" applyFont="1" applyBorder="1" applyAlignment="1">
      <alignment vertical="center"/>
    </xf>
    <xf numFmtId="0" fontId="15" fillId="0" borderId="27" xfId="4" applyFont="1" applyBorder="1" applyAlignment="1">
      <alignment vertical="center"/>
    </xf>
    <xf numFmtId="0" fontId="15" fillId="0" borderId="26" xfId="4" applyFont="1" applyBorder="1" applyAlignment="1">
      <alignment vertical="center"/>
    </xf>
    <xf numFmtId="0" fontId="15" fillId="0" borderId="30" xfId="4" applyFont="1" applyBorder="1" applyAlignment="1">
      <alignment horizontal="centerContinuous" vertical="center"/>
    </xf>
    <xf numFmtId="0" fontId="15" fillId="0" borderId="31" xfId="4" applyFont="1" applyBorder="1" applyAlignment="1">
      <alignment horizontal="centerContinuous" vertical="center"/>
    </xf>
    <xf numFmtId="0" fontId="15" fillId="0" borderId="30" xfId="4" applyFont="1" applyBorder="1" applyAlignment="1">
      <alignment horizontal="left" vertical="center"/>
    </xf>
    <xf numFmtId="0" fontId="15" fillId="0" borderId="24" xfId="4" applyFont="1" applyBorder="1" applyAlignment="1">
      <alignment horizontal="left" vertical="center"/>
    </xf>
    <xf numFmtId="0" fontId="15" fillId="0" borderId="30" xfId="4" applyFont="1" applyBorder="1" applyAlignment="1">
      <alignment vertical="center"/>
    </xf>
    <xf numFmtId="0" fontId="15" fillId="0" borderId="24" xfId="4" applyFont="1" applyBorder="1" applyAlignment="1">
      <alignment vertical="center"/>
    </xf>
    <xf numFmtId="0" fontId="15" fillId="0" borderId="31" xfId="4" applyFont="1" applyBorder="1" applyAlignment="1">
      <alignment vertical="center"/>
    </xf>
    <xf numFmtId="0" fontId="23" fillId="0" borderId="0" xfId="4" applyFont="1" applyAlignment="1">
      <alignment vertical="center"/>
    </xf>
    <xf numFmtId="0" fontId="15" fillId="0" borderId="0" xfId="5" applyFont="1" applyAlignment="1">
      <alignment horizontal="left" vertical="center"/>
    </xf>
    <xf numFmtId="0" fontId="15" fillId="0" borderId="0" xfId="5" applyFont="1">
      <alignment vertical="center"/>
    </xf>
    <xf numFmtId="0" fontId="14" fillId="0" borderId="23" xfId="4" applyFont="1" applyBorder="1" applyAlignment="1">
      <alignment vertical="center"/>
    </xf>
    <xf numFmtId="5" fontId="15" fillId="0" borderId="5" xfId="4" applyNumberFormat="1" applyFont="1" applyBorder="1" applyAlignment="1">
      <alignment vertical="center"/>
    </xf>
    <xf numFmtId="5" fontId="15" fillId="0" borderId="3" xfId="4" applyNumberFormat="1" applyFont="1" applyBorder="1" applyAlignment="1">
      <alignment vertical="center"/>
    </xf>
    <xf numFmtId="0" fontId="15" fillId="0" borderId="0" xfId="0" applyFont="1">
      <alignment vertical="center"/>
    </xf>
    <xf numFmtId="0" fontId="15" fillId="0" borderId="0" xfId="0" applyFont="1" applyAlignment="1">
      <alignment horizontal="center" vertical="center"/>
    </xf>
    <xf numFmtId="0" fontId="21" fillId="0" borderId="0" xfId="0" applyFont="1">
      <alignment vertical="center"/>
    </xf>
    <xf numFmtId="0" fontId="14" fillId="0" borderId="24" xfId="0" applyFont="1" applyBorder="1">
      <alignment vertical="center"/>
    </xf>
    <xf numFmtId="0" fontId="14" fillId="0" borderId="0" xfId="0" applyFont="1">
      <alignment vertical="center"/>
    </xf>
    <xf numFmtId="0" fontId="25" fillId="0" borderId="0" xfId="0" applyFont="1" applyAlignment="1">
      <alignment horizontal="left" vertical="top"/>
    </xf>
    <xf numFmtId="0" fontId="0" fillId="0" borderId="0" xfId="0" applyAlignment="1">
      <alignment vertical="top"/>
    </xf>
    <xf numFmtId="0" fontId="0" fillId="0" borderId="0" xfId="0" applyAlignment="1">
      <alignment vertical="top" wrapText="1"/>
    </xf>
    <xf numFmtId="184" fontId="0" fillId="0" borderId="0" xfId="0" applyNumberFormat="1" applyAlignment="1">
      <alignment vertical="top"/>
    </xf>
    <xf numFmtId="0" fontId="0" fillId="0" borderId="0" xfId="0" applyAlignment="1">
      <alignment horizontal="left" vertical="top"/>
    </xf>
    <xf numFmtId="0" fontId="0" fillId="0" borderId="4" xfId="0" applyBorder="1" applyAlignment="1">
      <alignment vertical="top"/>
    </xf>
    <xf numFmtId="180" fontId="0" fillId="0" borderId="4" xfId="0" applyNumberFormat="1" applyBorder="1" applyAlignment="1">
      <alignment vertical="top"/>
    </xf>
    <xf numFmtId="0" fontId="27" fillId="11" borderId="4" xfId="0" applyFont="1" applyFill="1" applyBorder="1" applyAlignment="1">
      <alignment horizontal="left" vertical="top"/>
    </xf>
    <xf numFmtId="0" fontId="27" fillId="11" borderId="4" xfId="0" applyFont="1" applyFill="1" applyBorder="1" applyAlignment="1">
      <alignment vertical="top" wrapText="1"/>
    </xf>
    <xf numFmtId="184" fontId="27" fillId="11" borderId="4" xfId="0" applyNumberFormat="1" applyFont="1" applyFill="1" applyBorder="1" applyAlignment="1">
      <alignment horizontal="center" vertical="top" wrapText="1"/>
    </xf>
    <xf numFmtId="184" fontId="27" fillId="11" borderId="2" xfId="0" applyNumberFormat="1" applyFont="1" applyFill="1" applyBorder="1" applyAlignment="1">
      <alignment horizontal="center" vertical="top" wrapText="1"/>
    </xf>
    <xf numFmtId="0" fontId="0" fillId="0" borderId="4" xfId="0" applyBorder="1" applyAlignment="1">
      <alignment vertical="top" wrapText="1"/>
    </xf>
    <xf numFmtId="0" fontId="26" fillId="0" borderId="0" xfId="0" applyFont="1" applyAlignment="1">
      <alignment horizontal="center" vertical="center"/>
    </xf>
    <xf numFmtId="184" fontId="27" fillId="0" borderId="0" xfId="0" applyNumberFormat="1" applyFont="1" applyAlignment="1">
      <alignment horizontal="center" vertical="top" wrapText="1"/>
    </xf>
    <xf numFmtId="0" fontId="28" fillId="0" borderId="39" xfId="0" applyFont="1" applyBorder="1" applyAlignment="1">
      <alignment vertical="top" wrapText="1"/>
    </xf>
    <xf numFmtId="184" fontId="0" fillId="0" borderId="38" xfId="0" applyNumberFormat="1" applyBorder="1" applyAlignment="1">
      <alignment horizontal="right" vertical="top"/>
    </xf>
    <xf numFmtId="184" fontId="0" fillId="0" borderId="39" xfId="0" applyNumberFormat="1" applyBorder="1" applyAlignment="1">
      <alignment horizontal="right" vertical="top"/>
    </xf>
    <xf numFmtId="184" fontId="0" fillId="0" borderId="39" xfId="0" applyNumberFormat="1" applyBorder="1" applyAlignment="1">
      <alignment vertical="top"/>
    </xf>
    <xf numFmtId="184" fontId="0" fillId="0" borderId="4" xfId="0" applyNumberFormat="1" applyBorder="1" applyAlignment="1">
      <alignment horizontal="right" vertical="top"/>
    </xf>
    <xf numFmtId="185" fontId="0" fillId="0" borderId="0" xfId="0" applyNumberFormat="1" applyAlignment="1">
      <alignment vertical="top"/>
    </xf>
    <xf numFmtId="186" fontId="0" fillId="0" borderId="4" xfId="0" applyNumberFormat="1" applyBorder="1" applyAlignment="1">
      <alignment horizontal="right" vertical="top"/>
    </xf>
    <xf numFmtId="49" fontId="0" fillId="0" borderId="0" xfId="0" applyNumberFormat="1" applyAlignment="1">
      <alignment horizontal="right" vertical="top"/>
    </xf>
    <xf numFmtId="185" fontId="0" fillId="0" borderId="4" xfId="0" applyNumberFormat="1" applyBorder="1" applyAlignment="1">
      <alignment vertical="top"/>
    </xf>
    <xf numFmtId="6" fontId="0" fillId="0" borderId="4" xfId="6" applyFont="1" applyFill="1" applyBorder="1" applyAlignment="1">
      <alignment vertical="top"/>
    </xf>
    <xf numFmtId="184" fontId="0" fillId="0" borderId="40" xfId="0" applyNumberFormat="1" applyBorder="1" applyAlignment="1">
      <alignment horizontal="right" vertical="top"/>
    </xf>
    <xf numFmtId="184" fontId="0" fillId="0" borderId="40" xfId="0" applyNumberFormat="1" applyBorder="1" applyAlignment="1">
      <alignment vertical="top"/>
    </xf>
    <xf numFmtId="184" fontId="0" fillId="12" borderId="4" xfId="0" applyNumberFormat="1" applyFill="1" applyBorder="1" applyAlignment="1">
      <alignment horizontal="right" vertical="top"/>
    </xf>
    <xf numFmtId="184" fontId="0" fillId="0" borderId="38" xfId="0" applyNumberFormat="1" applyBorder="1" applyAlignment="1">
      <alignment vertical="top"/>
    </xf>
    <xf numFmtId="0" fontId="0" fillId="0" borderId="25" xfId="0" applyBorder="1" applyAlignment="1">
      <alignment horizontal="left" vertical="top"/>
    </xf>
    <xf numFmtId="0" fontId="0" fillId="0" borderId="27" xfId="0" applyBorder="1" applyAlignment="1">
      <alignment vertical="top"/>
    </xf>
    <xf numFmtId="0" fontId="0" fillId="0" borderId="27" xfId="0" applyBorder="1" applyAlignment="1">
      <alignment vertical="top" wrapText="1"/>
    </xf>
    <xf numFmtId="184" fontId="0" fillId="0" borderId="26" xfId="0" applyNumberFormat="1" applyBorder="1" applyAlignment="1">
      <alignment vertical="top"/>
    </xf>
    <xf numFmtId="0" fontId="0" fillId="0" borderId="28" xfId="0" applyBorder="1" applyAlignment="1">
      <alignment horizontal="left" vertical="top"/>
    </xf>
    <xf numFmtId="184" fontId="0" fillId="0" borderId="29" xfId="0" applyNumberFormat="1" applyBorder="1" applyAlignment="1">
      <alignment vertical="top"/>
    </xf>
    <xf numFmtId="0" fontId="15" fillId="0" borderId="28" xfId="4" applyFont="1" applyBorder="1" applyAlignment="1">
      <alignment horizontal="centerContinuous" vertical="center"/>
    </xf>
    <xf numFmtId="0" fontId="15" fillId="0" borderId="29" xfId="4" applyFont="1" applyBorder="1" applyAlignment="1">
      <alignment horizontal="centerContinuous" vertical="center"/>
    </xf>
    <xf numFmtId="0" fontId="15" fillId="0" borderId="28" xfId="0" applyFont="1" applyBorder="1">
      <alignment vertical="center"/>
    </xf>
    <xf numFmtId="0" fontId="15" fillId="8" borderId="5" xfId="0" applyFont="1" applyFill="1" applyBorder="1" applyAlignment="1">
      <alignment horizontal="centerContinuous" vertical="center"/>
    </xf>
    <xf numFmtId="0" fontId="15" fillId="8" borderId="3" xfId="0" applyFont="1" applyFill="1" applyBorder="1">
      <alignment vertical="center"/>
    </xf>
    <xf numFmtId="0" fontId="15" fillId="8" borderId="2" xfId="0" applyFont="1" applyFill="1" applyBorder="1" applyAlignment="1">
      <alignment horizontal="centerContinuous" vertical="center"/>
    </xf>
    <xf numFmtId="0" fontId="29" fillId="0" borderId="0" xfId="0" applyFont="1">
      <alignment vertical="center"/>
    </xf>
    <xf numFmtId="0" fontId="15" fillId="0" borderId="2" xfId="4" applyFont="1" applyBorder="1" applyAlignment="1">
      <alignment vertical="center"/>
    </xf>
    <xf numFmtId="0" fontId="15" fillId="0" borderId="3" xfId="4" applyFont="1" applyBorder="1" applyAlignment="1">
      <alignment vertical="center"/>
    </xf>
    <xf numFmtId="0" fontId="29" fillId="0" borderId="2" xfId="4" applyFont="1" applyBorder="1" applyAlignment="1">
      <alignment vertical="center"/>
    </xf>
    <xf numFmtId="0" fontId="29" fillId="0" borderId="5" xfId="4" applyFont="1" applyBorder="1" applyAlignment="1">
      <alignment vertical="center"/>
    </xf>
    <xf numFmtId="0" fontId="29" fillId="0" borderId="3" xfId="4" applyFont="1" applyBorder="1" applyAlignment="1">
      <alignment vertical="center"/>
    </xf>
    <xf numFmtId="0" fontId="29" fillId="0" borderId="0" xfId="4" applyFont="1" applyAlignment="1">
      <alignment vertical="center"/>
    </xf>
    <xf numFmtId="0" fontId="29" fillId="0" borderId="30" xfId="4" applyFont="1" applyBorder="1" applyAlignment="1">
      <alignment vertical="center"/>
    </xf>
    <xf numFmtId="0" fontId="29" fillId="0" borderId="24" xfId="4" applyFont="1" applyBorder="1" applyAlignment="1">
      <alignment vertical="center"/>
    </xf>
    <xf numFmtId="0" fontId="29" fillId="0" borderId="31" xfId="4" applyFont="1" applyBorder="1" applyAlignment="1">
      <alignment vertical="center"/>
    </xf>
    <xf numFmtId="2" fontId="0" fillId="0" borderId="4" xfId="0" applyNumberFormat="1" applyBorder="1" applyAlignment="1">
      <alignment vertical="top"/>
    </xf>
    <xf numFmtId="0" fontId="30" fillId="0" borderId="0" xfId="0" applyFont="1" applyAlignment="1">
      <alignment vertical="top"/>
    </xf>
    <xf numFmtId="0" fontId="0" fillId="0" borderId="0" xfId="0" applyAlignment="1">
      <alignment horizontal="right" vertical="top"/>
    </xf>
    <xf numFmtId="6" fontId="0" fillId="0" borderId="39" xfId="6" applyFont="1" applyFill="1" applyBorder="1" applyAlignment="1">
      <alignment vertical="top"/>
    </xf>
    <xf numFmtId="0" fontId="0" fillId="0" borderId="41" xfId="0" applyBorder="1" applyAlignment="1">
      <alignment horizontal="right" vertical="top"/>
    </xf>
    <xf numFmtId="185" fontId="0" fillId="13" borderId="4" xfId="0" applyNumberFormat="1" applyFill="1" applyBorder="1" applyAlignment="1">
      <alignment vertical="top"/>
    </xf>
    <xf numFmtId="6" fontId="0" fillId="13" borderId="42" xfId="0" applyNumberFormat="1" applyFill="1" applyBorder="1" applyAlignment="1">
      <alignment vertical="top"/>
    </xf>
    <xf numFmtId="0" fontId="0" fillId="0" borderId="39" xfId="0" applyBorder="1" applyAlignment="1">
      <alignment vertical="top" wrapText="1"/>
    </xf>
    <xf numFmtId="14" fontId="0" fillId="0" borderId="39" xfId="0" quotePrefix="1" applyNumberFormat="1" applyBorder="1" applyAlignment="1">
      <alignment vertical="top" wrapText="1"/>
    </xf>
    <xf numFmtId="0" fontId="0" fillId="0" borderId="40" xfId="0" applyBorder="1" applyAlignment="1">
      <alignment vertical="top" wrapText="1"/>
    </xf>
    <xf numFmtId="0" fontId="15" fillId="8" borderId="43" xfId="4" applyFont="1" applyFill="1" applyBorder="1" applyAlignment="1">
      <alignment vertical="center"/>
    </xf>
    <xf numFmtId="0" fontId="15" fillId="8" borderId="44" xfId="4" applyFont="1" applyFill="1" applyBorder="1" applyAlignment="1">
      <alignment vertical="center"/>
    </xf>
    <xf numFmtId="0" fontId="15" fillId="8" borderId="45" xfId="4" applyFont="1" applyFill="1" applyBorder="1" applyAlignment="1">
      <alignment vertical="center"/>
    </xf>
    <xf numFmtId="0" fontId="15" fillId="0" borderId="46" xfId="4" applyFont="1" applyBorder="1" applyAlignment="1">
      <alignment horizontal="centerContinuous" vertical="center"/>
    </xf>
    <xf numFmtId="0" fontId="15" fillId="0" borderId="47" xfId="4" applyFont="1" applyBorder="1" applyAlignment="1">
      <alignment horizontal="centerContinuous" vertical="center"/>
    </xf>
    <xf numFmtId="0" fontId="15" fillId="0" borderId="48" xfId="4" applyFont="1" applyBorder="1" applyAlignment="1">
      <alignment horizontal="centerContinuous" vertical="center"/>
    </xf>
    <xf numFmtId="0" fontId="15" fillId="0" borderId="49" xfId="4" applyFont="1" applyBorder="1" applyAlignment="1">
      <alignment horizontal="centerContinuous" vertical="center"/>
    </xf>
    <xf numFmtId="0" fontId="15" fillId="0" borderId="50" xfId="4" applyFont="1" applyBorder="1" applyAlignment="1">
      <alignment horizontal="centerContinuous" vertical="center"/>
    </xf>
    <xf numFmtId="0" fontId="15" fillId="0" borderId="51" xfId="4" applyFont="1" applyBorder="1" applyAlignment="1">
      <alignment horizontal="centerContinuous" vertical="center"/>
    </xf>
    <xf numFmtId="0" fontId="0" fillId="14" borderId="4" xfId="0" applyFill="1" applyBorder="1" applyAlignment="1">
      <alignment vertical="top"/>
    </xf>
    <xf numFmtId="0" fontId="0" fillId="14" borderId="40" xfId="0" applyFill="1" applyBorder="1" applyAlignment="1">
      <alignment vertical="top" wrapText="1"/>
    </xf>
    <xf numFmtId="14" fontId="0" fillId="14" borderId="38" xfId="0" quotePrefix="1" applyNumberFormat="1" applyFill="1" applyBorder="1" applyAlignment="1">
      <alignment vertical="top" wrapText="1"/>
    </xf>
    <xf numFmtId="0" fontId="0" fillId="14" borderId="4" xfId="0" applyFill="1" applyBorder="1" applyAlignment="1">
      <alignment vertical="top" wrapText="1"/>
    </xf>
    <xf numFmtId="0" fontId="28" fillId="14" borderId="39" xfId="0" applyFont="1" applyFill="1" applyBorder="1" applyAlignment="1">
      <alignment vertical="top" wrapText="1"/>
    </xf>
    <xf numFmtId="6" fontId="0" fillId="0" borderId="4" xfId="6" applyFont="1" applyBorder="1" applyAlignment="1">
      <alignment vertical="top"/>
    </xf>
    <xf numFmtId="14" fontId="0" fillId="0" borderId="40" xfId="0" applyNumberFormat="1" applyBorder="1" applyAlignment="1">
      <alignment vertical="top" wrapText="1"/>
    </xf>
    <xf numFmtId="14" fontId="0" fillId="14" borderId="38" xfId="0" applyNumberFormat="1" applyFill="1" applyBorder="1" applyAlignment="1">
      <alignment vertical="top" wrapText="1"/>
    </xf>
    <xf numFmtId="0" fontId="0" fillId="14" borderId="39" xfId="0" applyFill="1" applyBorder="1" applyAlignment="1">
      <alignment vertical="top" wrapText="1"/>
    </xf>
    <xf numFmtId="6" fontId="0" fillId="0" borderId="39" xfId="6" applyFont="1" applyBorder="1" applyAlignment="1">
      <alignment vertical="top"/>
    </xf>
    <xf numFmtId="2" fontId="0" fillId="0" borderId="0" xfId="0" applyNumberFormat="1" applyAlignment="1">
      <alignment vertical="top"/>
    </xf>
    <xf numFmtId="0" fontId="15" fillId="0" borderId="30" xfId="4" applyFont="1" applyBorder="1" applyAlignment="1">
      <alignment horizontal="left" vertical="center" indent="1"/>
    </xf>
    <xf numFmtId="5" fontId="15" fillId="0" borderId="24" xfId="4" applyNumberFormat="1" applyFont="1" applyBorder="1" applyAlignment="1">
      <alignment vertical="center"/>
    </xf>
    <xf numFmtId="5" fontId="15" fillId="0" borderId="31" xfId="4" applyNumberFormat="1" applyFont="1" applyBorder="1" applyAlignment="1">
      <alignment vertical="center"/>
    </xf>
    <xf numFmtId="0" fontId="15" fillId="0" borderId="52" xfId="4" applyFont="1" applyBorder="1" applyAlignment="1">
      <alignment horizontal="left" vertical="center" indent="1"/>
    </xf>
    <xf numFmtId="0" fontId="15" fillId="0" borderId="54" xfId="4" applyFont="1" applyBorder="1" applyAlignment="1">
      <alignment vertical="center"/>
    </xf>
    <xf numFmtId="5" fontId="15" fillId="0" borderId="54" xfId="4" applyNumberFormat="1" applyFont="1" applyBorder="1" applyAlignment="1">
      <alignment vertical="center"/>
    </xf>
    <xf numFmtId="5" fontId="15" fillId="0" borderId="53" xfId="4" applyNumberFormat="1" applyFont="1" applyBorder="1" applyAlignment="1">
      <alignment vertical="center"/>
    </xf>
    <xf numFmtId="0" fontId="15" fillId="0" borderId="55" xfId="4" applyFont="1" applyBorder="1" applyAlignment="1">
      <alignment horizontal="left" vertical="center" indent="1"/>
    </xf>
    <xf numFmtId="0" fontId="15" fillId="0" borderId="57" xfId="4" applyFont="1" applyBorder="1" applyAlignment="1">
      <alignment vertical="center"/>
    </xf>
    <xf numFmtId="5" fontId="15" fillId="0" borderId="57" xfId="4" applyNumberFormat="1" applyFont="1" applyBorder="1" applyAlignment="1">
      <alignment vertical="center"/>
    </xf>
    <xf numFmtId="5" fontId="15" fillId="0" borderId="56" xfId="4" applyNumberFormat="1" applyFont="1" applyBorder="1" applyAlignment="1">
      <alignment vertical="center"/>
    </xf>
    <xf numFmtId="0" fontId="15" fillId="0" borderId="25" xfId="4" applyFont="1" applyBorder="1" applyAlignment="1">
      <alignment horizontal="left" vertical="center" indent="1"/>
    </xf>
    <xf numFmtId="5" fontId="15" fillId="0" borderId="27" xfId="4" applyNumberFormat="1" applyFont="1" applyBorder="1" applyAlignment="1">
      <alignment vertical="center"/>
    </xf>
    <xf numFmtId="5" fontId="15" fillId="0" borderId="26" xfId="4" applyNumberFormat="1" applyFont="1" applyBorder="1" applyAlignment="1">
      <alignment vertical="center"/>
    </xf>
    <xf numFmtId="2" fontId="0" fillId="0" borderId="39" xfId="0" applyNumberFormat="1" applyBorder="1" applyAlignment="1">
      <alignment vertical="top"/>
    </xf>
    <xf numFmtId="0" fontId="0" fillId="13" borderId="59" xfId="0" applyFill="1" applyBorder="1" applyAlignment="1">
      <alignment horizontal="right" vertical="top"/>
    </xf>
    <xf numFmtId="2" fontId="0" fillId="0" borderId="60" xfId="0" applyNumberFormat="1" applyBorder="1" applyAlignment="1">
      <alignment vertical="top"/>
    </xf>
    <xf numFmtId="6" fontId="0" fillId="0" borderId="61" xfId="6" applyFont="1" applyFill="1" applyBorder="1" applyAlignment="1">
      <alignment vertical="top"/>
    </xf>
    <xf numFmtId="2" fontId="0" fillId="0" borderId="61" xfId="0" applyNumberFormat="1" applyBorder="1" applyAlignment="1">
      <alignment vertical="top"/>
    </xf>
    <xf numFmtId="6" fontId="0" fillId="13" borderId="58" xfId="0" applyNumberFormat="1" applyFill="1" applyBorder="1" applyAlignment="1">
      <alignment vertical="top"/>
    </xf>
    <xf numFmtId="0" fontId="14" fillId="0" borderId="32" xfId="0" applyFont="1" applyBorder="1" applyAlignment="1">
      <alignment horizontal="left" vertical="center" wrapText="1"/>
    </xf>
    <xf numFmtId="0" fontId="14" fillId="0" borderId="33" xfId="0" applyFont="1" applyBorder="1" applyAlignment="1">
      <alignment horizontal="left" vertical="center"/>
    </xf>
    <xf numFmtId="0" fontId="14" fillId="0" borderId="34" xfId="0" applyFont="1" applyBorder="1" applyAlignment="1">
      <alignment horizontal="left" vertical="center"/>
    </xf>
    <xf numFmtId="0" fontId="14" fillId="0" borderId="35" xfId="0" applyFont="1" applyBorder="1" applyAlignment="1">
      <alignment horizontal="left" vertical="center"/>
    </xf>
    <xf numFmtId="0" fontId="14" fillId="0" borderId="36" xfId="0" applyFont="1" applyBorder="1" applyAlignment="1">
      <alignment horizontal="left" vertical="center"/>
    </xf>
    <xf numFmtId="0" fontId="14" fillId="0" borderId="37" xfId="0" applyFont="1" applyBorder="1" applyAlignment="1">
      <alignment horizontal="left" vertical="center"/>
    </xf>
    <xf numFmtId="0" fontId="13" fillId="0" borderId="0" xfId="4" applyFont="1" applyAlignment="1">
      <alignment horizontal="left" vertical="center"/>
    </xf>
    <xf numFmtId="14" fontId="15" fillId="0" borderId="22" xfId="4" applyNumberFormat="1" applyFont="1" applyBorder="1" applyAlignment="1">
      <alignment horizontal="right" vertical="center"/>
    </xf>
    <xf numFmtId="0" fontId="15" fillId="0" borderId="22" xfId="4" applyFont="1" applyBorder="1" applyAlignment="1">
      <alignment horizontal="right" vertical="center"/>
    </xf>
    <xf numFmtId="14" fontId="15" fillId="0" borderId="23" xfId="4" applyNumberFormat="1" applyFont="1" applyBorder="1" applyAlignment="1">
      <alignment horizontal="right" vertical="center"/>
    </xf>
    <xf numFmtId="0" fontId="15" fillId="0" borderId="23" xfId="4" applyFont="1" applyBorder="1" applyAlignment="1">
      <alignment horizontal="right" vertical="center"/>
    </xf>
    <xf numFmtId="0" fontId="17" fillId="0" borderId="0" xfId="4" applyFont="1" applyAlignment="1">
      <alignment horizontal="left" vertical="center"/>
    </xf>
    <xf numFmtId="0" fontId="17" fillId="0" borderId="24" xfId="4" applyFont="1" applyBorder="1" applyAlignment="1">
      <alignment horizontal="left" vertical="center"/>
    </xf>
    <xf numFmtId="0" fontId="19" fillId="0" borderId="0" xfId="4" applyFont="1" applyAlignment="1">
      <alignment horizontal="left" vertical="center"/>
    </xf>
    <xf numFmtId="0" fontId="19" fillId="0" borderId="24" xfId="4" applyFont="1" applyBorder="1" applyAlignment="1">
      <alignment horizontal="left" vertical="center"/>
    </xf>
    <xf numFmtId="182" fontId="20" fillId="0" borderId="0" xfId="4" applyNumberFormat="1" applyFont="1" applyAlignment="1">
      <alignment horizontal="right" vertical="center"/>
    </xf>
    <xf numFmtId="182" fontId="20" fillId="0" borderId="24" xfId="4" applyNumberFormat="1" applyFont="1" applyBorder="1" applyAlignment="1">
      <alignment horizontal="right" vertical="center"/>
    </xf>
    <xf numFmtId="0" fontId="15" fillId="0" borderId="2" xfId="4" applyFont="1" applyBorder="1" applyAlignment="1">
      <alignment horizontal="center" vertical="center"/>
    </xf>
    <xf numFmtId="0" fontId="15" fillId="0" borderId="3" xfId="4" applyFont="1" applyBorder="1" applyAlignment="1">
      <alignment horizontal="center" vertical="center"/>
    </xf>
    <xf numFmtId="183" fontId="15" fillId="0" borderId="2" xfId="4" applyNumberFormat="1" applyFont="1" applyBorder="1" applyAlignment="1">
      <alignment horizontal="right" vertical="center"/>
    </xf>
    <xf numFmtId="183" fontId="15" fillId="0" borderId="5" xfId="4" applyNumberFormat="1" applyFont="1" applyBorder="1" applyAlignment="1">
      <alignment horizontal="right" vertical="center"/>
    </xf>
    <xf numFmtId="5" fontId="15" fillId="0" borderId="5" xfId="4" applyNumberFormat="1" applyFont="1" applyBorder="1" applyAlignment="1">
      <alignment horizontal="center" vertical="center"/>
    </xf>
    <xf numFmtId="5" fontId="15" fillId="0" borderId="3" xfId="4" applyNumberFormat="1" applyFont="1" applyBorder="1" applyAlignment="1">
      <alignment horizontal="center" vertical="center"/>
    </xf>
    <xf numFmtId="5" fontId="15" fillId="0" borderId="2" xfId="4" applyNumberFormat="1" applyFont="1" applyBorder="1" applyAlignment="1">
      <alignment horizontal="right" vertical="center" indent="1"/>
    </xf>
    <xf numFmtId="5" fontId="15" fillId="0" borderId="5" xfId="4" applyNumberFormat="1" applyFont="1" applyBorder="1" applyAlignment="1">
      <alignment horizontal="right" vertical="center" indent="1"/>
    </xf>
    <xf numFmtId="5" fontId="15" fillId="0" borderId="3" xfId="4" applyNumberFormat="1" applyFont="1" applyBorder="1" applyAlignment="1">
      <alignment horizontal="right" vertical="center" indent="1"/>
    </xf>
    <xf numFmtId="183" fontId="15" fillId="0" borderId="30" xfId="4" applyNumberFormat="1" applyFont="1" applyBorder="1" applyAlignment="1">
      <alignment horizontal="right" vertical="center"/>
    </xf>
    <xf numFmtId="183" fontId="15" fillId="0" borderId="24" xfId="4" applyNumberFormat="1" applyFont="1" applyBorder="1" applyAlignment="1">
      <alignment horizontal="right" vertical="center"/>
    </xf>
    <xf numFmtId="5" fontId="15" fillId="0" borderId="24" xfId="4" applyNumberFormat="1" applyFont="1" applyBorder="1" applyAlignment="1">
      <alignment horizontal="center" vertical="center"/>
    </xf>
    <xf numFmtId="5" fontId="15" fillId="0" borderId="31" xfId="4" applyNumberFormat="1" applyFont="1" applyBorder="1" applyAlignment="1">
      <alignment horizontal="center" vertical="center"/>
    </xf>
    <xf numFmtId="5" fontId="15" fillId="0" borderId="30" xfId="4" applyNumberFormat="1" applyFont="1" applyBorder="1" applyAlignment="1">
      <alignment horizontal="right" vertical="center" indent="1"/>
    </xf>
    <xf numFmtId="5" fontId="15" fillId="0" borderId="24" xfId="4" applyNumberFormat="1" applyFont="1" applyBorder="1" applyAlignment="1">
      <alignment horizontal="right" vertical="center" indent="1"/>
    </xf>
    <xf numFmtId="5" fontId="15" fillId="0" borderId="31" xfId="4" applyNumberFormat="1" applyFont="1" applyBorder="1" applyAlignment="1">
      <alignment horizontal="right" vertical="center" indent="1"/>
    </xf>
    <xf numFmtId="0" fontId="15" fillId="0" borderId="30" xfId="4" applyFont="1" applyBorder="1" applyAlignment="1">
      <alignment horizontal="center" vertical="center"/>
    </xf>
    <xf numFmtId="0" fontId="15" fillId="0" borderId="31" xfId="4" applyFont="1" applyBorder="1" applyAlignment="1">
      <alignment horizontal="center" vertical="center"/>
    </xf>
    <xf numFmtId="183" fontId="15" fillId="0" borderId="52" xfId="4" applyNumberFormat="1" applyFont="1" applyBorder="1" applyAlignment="1">
      <alignment horizontal="right" vertical="center"/>
    </xf>
    <xf numFmtId="183" fontId="15" fillId="0" borderId="54" xfId="4" applyNumberFormat="1" applyFont="1" applyBorder="1" applyAlignment="1">
      <alignment horizontal="right" vertical="center"/>
    </xf>
    <xf numFmtId="5" fontId="15" fillId="0" borderId="54" xfId="4" applyNumberFormat="1" applyFont="1" applyBorder="1" applyAlignment="1">
      <alignment horizontal="center" vertical="center"/>
    </xf>
    <xf numFmtId="5" fontId="15" fillId="0" borderId="53" xfId="4" applyNumberFormat="1" applyFont="1" applyBorder="1" applyAlignment="1">
      <alignment horizontal="center" vertical="center"/>
    </xf>
    <xf numFmtId="5" fontId="15" fillId="0" borderId="52" xfId="4" applyNumberFormat="1" applyFont="1" applyBorder="1" applyAlignment="1">
      <alignment horizontal="right" vertical="center" indent="1"/>
    </xf>
    <xf numFmtId="5" fontId="15" fillId="0" borderId="54" xfId="4" applyNumberFormat="1" applyFont="1" applyBorder="1" applyAlignment="1">
      <alignment horizontal="right" vertical="center" indent="1"/>
    </xf>
    <xf numFmtId="5" fontId="15" fillId="0" borderId="53" xfId="4" applyNumberFormat="1" applyFont="1" applyBorder="1" applyAlignment="1">
      <alignment horizontal="right" vertical="center" indent="1"/>
    </xf>
    <xf numFmtId="183" fontId="15" fillId="0" borderId="55" xfId="4" applyNumberFormat="1" applyFont="1" applyBorder="1" applyAlignment="1">
      <alignment horizontal="right" vertical="center"/>
    </xf>
    <xf numFmtId="183" fontId="15" fillId="0" borderId="57" xfId="4" applyNumberFormat="1" applyFont="1" applyBorder="1" applyAlignment="1">
      <alignment horizontal="right" vertical="center"/>
    </xf>
    <xf numFmtId="5" fontId="15" fillId="0" borderId="57" xfId="4" applyNumberFormat="1" applyFont="1" applyBorder="1" applyAlignment="1">
      <alignment horizontal="center" vertical="center"/>
    </xf>
    <xf numFmtId="5" fontId="15" fillId="0" borderId="56" xfId="4" applyNumberFormat="1" applyFont="1" applyBorder="1" applyAlignment="1">
      <alignment horizontal="center" vertical="center"/>
    </xf>
    <xf numFmtId="5" fontId="15" fillId="0" borderId="55" xfId="4" applyNumberFormat="1" applyFont="1" applyBorder="1" applyAlignment="1">
      <alignment horizontal="right" vertical="center" indent="1"/>
    </xf>
    <xf numFmtId="5" fontId="15" fillId="0" borderId="57" xfId="4" applyNumberFormat="1" applyFont="1" applyBorder="1" applyAlignment="1">
      <alignment horizontal="right" vertical="center" indent="1"/>
    </xf>
    <xf numFmtId="5" fontId="15" fillId="0" borderId="56" xfId="4" applyNumberFormat="1" applyFont="1" applyBorder="1" applyAlignment="1">
      <alignment horizontal="right" vertical="center" indent="1"/>
    </xf>
    <xf numFmtId="0" fontId="15" fillId="0" borderId="25" xfId="0" applyFont="1" applyBorder="1" applyAlignment="1">
      <alignment vertical="center" shrinkToFit="1"/>
    </xf>
    <xf numFmtId="0" fontId="15" fillId="0" borderId="27" xfId="0" applyFont="1" applyBorder="1" applyAlignment="1">
      <alignment vertical="center" shrinkToFit="1"/>
    </xf>
    <xf numFmtId="183" fontId="29" fillId="0" borderId="2" xfId="4" applyNumberFormat="1" applyFont="1" applyBorder="1" applyAlignment="1">
      <alignment horizontal="center" vertical="center"/>
    </xf>
    <xf numFmtId="0" fontId="29" fillId="0" borderId="5" xfId="4" applyFont="1" applyBorder="1" applyAlignment="1">
      <alignment horizontal="center" vertical="center"/>
    </xf>
    <xf numFmtId="0" fontId="29" fillId="0" borderId="0" xfId="4" applyFont="1" applyAlignment="1">
      <alignment vertical="center" shrinkToFit="1"/>
    </xf>
    <xf numFmtId="0" fontId="29" fillId="0" borderId="29" xfId="4" applyFont="1" applyBorder="1" applyAlignment="1">
      <alignment vertical="center" shrinkToFit="1"/>
    </xf>
    <xf numFmtId="0" fontId="29" fillId="0" borderId="24" xfId="4" applyFont="1" applyBorder="1" applyAlignment="1">
      <alignment vertical="center" shrinkToFit="1"/>
    </xf>
    <xf numFmtId="0" fontId="29" fillId="0" borderId="31" xfId="4" applyFont="1" applyBorder="1" applyAlignment="1">
      <alignment vertical="center" shrinkToFit="1"/>
    </xf>
    <xf numFmtId="0" fontId="15" fillId="0" borderId="25" xfId="4" applyFont="1" applyBorder="1" applyAlignment="1">
      <alignment vertical="center" shrinkToFit="1"/>
    </xf>
    <xf numFmtId="0" fontId="15" fillId="0" borderId="27" xfId="4" applyFont="1" applyBorder="1" applyAlignment="1">
      <alignment vertical="center" shrinkToFit="1"/>
    </xf>
    <xf numFmtId="0" fontId="15" fillId="0" borderId="26" xfId="4" applyFont="1" applyBorder="1" applyAlignment="1">
      <alignment vertical="center" shrinkToFit="1"/>
    </xf>
    <xf numFmtId="183" fontId="15" fillId="0" borderId="27" xfId="4" applyNumberFormat="1" applyFont="1" applyBorder="1" applyAlignment="1">
      <alignment horizontal="center" vertical="center"/>
    </xf>
    <xf numFmtId="0" fontId="15" fillId="0" borderId="27" xfId="4" applyFont="1" applyBorder="1" applyAlignment="1">
      <alignment horizontal="center" vertical="center"/>
    </xf>
    <xf numFmtId="0" fontId="0" fillId="0" borderId="62" xfId="0" applyBorder="1" applyAlignment="1">
      <alignment horizontal="right" vertical="top"/>
    </xf>
    <xf numFmtId="0" fontId="0" fillId="0" borderId="61" xfId="0" applyBorder="1" applyAlignment="1">
      <alignment horizontal="right" vertical="top"/>
    </xf>
    <xf numFmtId="0" fontId="26" fillId="9" borderId="4" xfId="0" applyFont="1" applyFill="1" applyBorder="1" applyAlignment="1">
      <alignment horizontal="center" vertical="top"/>
    </xf>
    <xf numFmtId="0" fontId="26" fillId="10" borderId="4" xfId="0" applyFont="1" applyFill="1" applyBorder="1" applyAlignment="1">
      <alignment horizontal="center" vertical="top"/>
    </xf>
    <xf numFmtId="0" fontId="0" fillId="0" borderId="4" xfId="0" applyBorder="1" applyAlignment="1">
      <alignment horizontal="center" vertical="top"/>
    </xf>
    <xf numFmtId="0" fontId="26" fillId="9" borderId="38" xfId="0" applyFont="1" applyFill="1" applyBorder="1" applyAlignment="1">
      <alignment horizontal="center" vertical="top"/>
    </xf>
    <xf numFmtId="0" fontId="26" fillId="10" borderId="38" xfId="0" applyFont="1" applyFill="1" applyBorder="1" applyAlignment="1">
      <alignment horizontal="center" vertical="top"/>
    </xf>
    <xf numFmtId="0" fontId="4" fillId="3" borderId="2" xfId="1" applyFont="1" applyFill="1" applyBorder="1">
      <alignment vertical="center"/>
    </xf>
    <xf numFmtId="0" fontId="4" fillId="3" borderId="3" xfId="1" applyFont="1" applyFill="1" applyBorder="1">
      <alignment vertical="center"/>
    </xf>
    <xf numFmtId="0" fontId="4" fillId="3" borderId="5" xfId="1" applyFont="1" applyFill="1" applyBorder="1">
      <alignment vertical="center"/>
    </xf>
    <xf numFmtId="6" fontId="4" fillId="3" borderId="4" xfId="2" applyNumberFormat="1" applyFont="1" applyFill="1" applyBorder="1" applyAlignment="1" applyProtection="1">
      <alignment vertical="center"/>
    </xf>
    <xf numFmtId="176" fontId="4" fillId="3" borderId="4" xfId="1" applyNumberFormat="1" applyFont="1" applyFill="1" applyBorder="1">
      <alignment vertical="center"/>
    </xf>
    <xf numFmtId="5" fontId="4" fillId="3" borderId="4" xfId="1" applyNumberFormat="1" applyFont="1" applyFill="1" applyBorder="1">
      <alignment vertical="center"/>
    </xf>
    <xf numFmtId="0" fontId="6" fillId="2" borderId="8" xfId="1" applyFont="1" applyFill="1" applyBorder="1" applyAlignment="1">
      <alignment horizontal="center" vertical="center"/>
    </xf>
    <xf numFmtId="0" fontId="6" fillId="2" borderId="14" xfId="1" applyFont="1" applyFill="1" applyBorder="1" applyAlignment="1">
      <alignment horizontal="center" vertical="center"/>
    </xf>
    <xf numFmtId="0" fontId="6" fillId="2" borderId="17" xfId="1" applyFont="1" applyFill="1" applyBorder="1" applyAlignment="1">
      <alignment horizontal="center" vertical="center"/>
    </xf>
    <xf numFmtId="0" fontId="6" fillId="2" borderId="11" xfId="1" applyFont="1" applyFill="1" applyBorder="1" applyAlignment="1">
      <alignment horizontal="center" vertical="center"/>
    </xf>
    <xf numFmtId="0" fontId="6" fillId="2" borderId="12" xfId="1" applyFont="1" applyFill="1" applyBorder="1" applyAlignment="1">
      <alignment horizontal="center" vertical="center"/>
    </xf>
    <xf numFmtId="0" fontId="6" fillId="2" borderId="13" xfId="1" applyFont="1" applyFill="1" applyBorder="1" applyAlignment="1">
      <alignment horizontal="center" vertical="center"/>
    </xf>
    <xf numFmtId="0" fontId="4" fillId="0" borderId="2" xfId="1" applyFont="1" applyBorder="1" applyAlignment="1">
      <alignment horizontal="right" vertical="center"/>
    </xf>
    <xf numFmtId="0" fontId="4" fillId="0" borderId="5" xfId="1" applyFont="1" applyBorder="1" applyAlignment="1">
      <alignment horizontal="right" vertical="center"/>
    </xf>
    <xf numFmtId="0" fontId="4" fillId="0" borderId="3" xfId="1" applyFont="1" applyBorder="1" applyAlignment="1">
      <alignment horizontal="right" vertical="center"/>
    </xf>
    <xf numFmtId="0" fontId="6" fillId="2" borderId="6" xfId="1" applyFont="1" applyFill="1" applyBorder="1" applyAlignment="1">
      <alignment horizontal="center" vertical="center"/>
    </xf>
    <xf numFmtId="0" fontId="6" fillId="2" borderId="9" xfId="1" applyFont="1" applyFill="1" applyBorder="1" applyAlignment="1">
      <alignment horizontal="center" vertical="center"/>
    </xf>
    <xf numFmtId="0" fontId="6" fillId="2" borderId="15" xfId="1" applyFont="1" applyFill="1" applyBorder="1" applyAlignment="1">
      <alignment horizontal="center" vertical="center"/>
    </xf>
    <xf numFmtId="0" fontId="6" fillId="2" borderId="7" xfId="1" applyFont="1" applyFill="1" applyBorder="1" applyAlignment="1">
      <alignment horizontal="center" vertical="center"/>
    </xf>
    <xf numFmtId="0" fontId="6" fillId="2" borderId="10" xfId="1" applyFont="1" applyFill="1" applyBorder="1" applyAlignment="1">
      <alignment horizontal="center" vertical="center"/>
    </xf>
    <xf numFmtId="0" fontId="6" fillId="2" borderId="16" xfId="1" applyFont="1" applyFill="1" applyBorder="1" applyAlignment="1">
      <alignment horizontal="center" vertical="center"/>
    </xf>
    <xf numFmtId="0" fontId="6" fillId="2" borderId="7" xfId="1" applyFont="1" applyFill="1" applyBorder="1" applyAlignment="1">
      <alignment horizontal="left" vertical="center"/>
    </xf>
    <xf numFmtId="0" fontId="6" fillId="2" borderId="10" xfId="1" applyFont="1" applyFill="1" applyBorder="1" applyAlignment="1">
      <alignment horizontal="center" vertical="center" wrapText="1"/>
    </xf>
    <xf numFmtId="6" fontId="4" fillId="3" borderId="4" xfId="2" applyNumberFormat="1" applyFont="1" applyFill="1" applyBorder="1" applyAlignment="1">
      <alignment vertical="center"/>
    </xf>
    <xf numFmtId="179" fontId="4" fillId="3" borderId="4" xfId="1" applyNumberFormat="1" applyFont="1" applyFill="1" applyBorder="1">
      <alignment vertical="center"/>
    </xf>
    <xf numFmtId="180" fontId="4" fillId="3" borderId="4" xfId="1" applyNumberFormat="1" applyFont="1" applyFill="1" applyBorder="1">
      <alignment vertical="center"/>
    </xf>
    <xf numFmtId="0" fontId="6" fillId="5" borderId="8" xfId="1" applyFont="1" applyFill="1" applyBorder="1" applyAlignment="1">
      <alignment horizontal="center" vertical="center"/>
    </xf>
    <xf numFmtId="0" fontId="6" fillId="5" borderId="14" xfId="1" applyFont="1" applyFill="1" applyBorder="1" applyAlignment="1">
      <alignment horizontal="center" vertical="center"/>
    </xf>
    <xf numFmtId="0" fontId="6" fillId="5" borderId="17" xfId="1" applyFont="1" applyFill="1" applyBorder="1" applyAlignment="1">
      <alignment horizontal="center" vertical="center"/>
    </xf>
    <xf numFmtId="0" fontId="6" fillId="5" borderId="11" xfId="1" applyFont="1" applyFill="1" applyBorder="1" applyAlignment="1">
      <alignment horizontal="center" vertical="center"/>
    </xf>
    <xf numFmtId="0" fontId="6" fillId="5" borderId="12" xfId="1" applyFont="1" applyFill="1" applyBorder="1" applyAlignment="1">
      <alignment horizontal="center" vertical="center"/>
    </xf>
    <xf numFmtId="0" fontId="6" fillId="5" borderId="13" xfId="1" applyFont="1" applyFill="1" applyBorder="1" applyAlignment="1">
      <alignment horizontal="center" vertical="center"/>
    </xf>
    <xf numFmtId="0" fontId="6" fillId="5" borderId="6" xfId="1" applyFont="1" applyFill="1" applyBorder="1" applyAlignment="1">
      <alignment horizontal="center" vertical="center"/>
    </xf>
    <xf numFmtId="0" fontId="6" fillId="5" borderId="9" xfId="1" applyFont="1" applyFill="1" applyBorder="1" applyAlignment="1">
      <alignment horizontal="center" vertical="center"/>
    </xf>
    <xf numFmtId="0" fontId="6" fillId="5" borderId="15" xfId="1" applyFont="1" applyFill="1" applyBorder="1" applyAlignment="1">
      <alignment horizontal="center" vertical="center"/>
    </xf>
    <xf numFmtId="0" fontId="6" fillId="5" borderId="7" xfId="1" applyFont="1" applyFill="1" applyBorder="1" applyAlignment="1">
      <alignment horizontal="center" vertical="center"/>
    </xf>
    <xf numFmtId="0" fontId="6" fillId="5" borderId="10" xfId="1" applyFont="1" applyFill="1" applyBorder="1" applyAlignment="1">
      <alignment horizontal="center" vertical="center"/>
    </xf>
    <xf numFmtId="0" fontId="6" fillId="5" borderId="16" xfId="1" applyFont="1" applyFill="1" applyBorder="1" applyAlignment="1">
      <alignment horizontal="center" vertical="center"/>
    </xf>
    <xf numFmtId="0" fontId="6" fillId="5" borderId="7" xfId="1" applyFont="1" applyFill="1" applyBorder="1" applyAlignment="1">
      <alignment horizontal="left" vertical="center"/>
    </xf>
    <xf numFmtId="0" fontId="6" fillId="5" borderId="10" xfId="1" applyFont="1" applyFill="1" applyBorder="1" applyAlignment="1">
      <alignment horizontal="center" vertical="center" wrapText="1"/>
    </xf>
    <xf numFmtId="0" fontId="9" fillId="6" borderId="20" xfId="0" applyFont="1" applyFill="1" applyBorder="1" applyAlignment="1">
      <alignment horizontal="center" vertical="center"/>
    </xf>
    <xf numFmtId="0" fontId="9" fillId="6" borderId="21" xfId="0" applyFont="1" applyFill="1" applyBorder="1" applyAlignment="1">
      <alignment horizontal="center" vertical="center"/>
    </xf>
    <xf numFmtId="0" fontId="9" fillId="6" borderId="19" xfId="0" applyFont="1" applyFill="1" applyBorder="1" applyAlignment="1">
      <alignment horizontal="center" vertical="center"/>
    </xf>
    <xf numFmtId="0" fontId="29" fillId="0" borderId="25" xfId="4" applyFont="1" applyBorder="1" applyAlignment="1">
      <alignment horizontal="centerContinuous" vertical="center"/>
    </xf>
    <xf numFmtId="0" fontId="29" fillId="0" borderId="26" xfId="4" applyFont="1" applyBorder="1" applyAlignment="1">
      <alignment horizontal="centerContinuous" vertical="center"/>
    </xf>
    <xf numFmtId="0" fontId="29" fillId="0" borderId="46" xfId="4" applyFont="1" applyBorder="1" applyAlignment="1">
      <alignment horizontal="centerContinuous" vertical="center"/>
    </xf>
    <xf numFmtId="0" fontId="29" fillId="0" borderId="47" xfId="4" applyFont="1" applyBorder="1" applyAlignment="1">
      <alignment horizontal="centerContinuous" vertical="center"/>
    </xf>
    <xf numFmtId="0" fontId="29" fillId="0" borderId="48" xfId="4" applyFont="1" applyBorder="1" applyAlignment="1">
      <alignment horizontal="centerContinuous" vertical="center"/>
    </xf>
    <xf numFmtId="0" fontId="29" fillId="0" borderId="30" xfId="4" applyFont="1" applyBorder="1" applyAlignment="1">
      <alignment horizontal="centerContinuous" vertical="center"/>
    </xf>
    <xf numFmtId="0" fontId="29" fillId="0" borderId="31" xfId="4" applyFont="1" applyBorder="1" applyAlignment="1">
      <alignment horizontal="centerContinuous" vertical="center"/>
    </xf>
    <xf numFmtId="0" fontId="29" fillId="0" borderId="30" xfId="4" applyFont="1" applyBorder="1" applyAlignment="1">
      <alignment horizontal="left" vertical="center"/>
    </xf>
    <xf numFmtId="0" fontId="29" fillId="0" borderId="24" xfId="4" applyFont="1" applyBorder="1" applyAlignment="1">
      <alignment horizontal="left" vertical="center"/>
    </xf>
    <xf numFmtId="0" fontId="29" fillId="0" borderId="49" xfId="4" applyFont="1" applyBorder="1" applyAlignment="1">
      <alignment horizontal="centerContinuous" vertical="center"/>
    </xf>
    <xf numFmtId="0" fontId="29" fillId="0" borderId="50" xfId="4" applyFont="1" applyBorder="1" applyAlignment="1">
      <alignment horizontal="centerContinuous" vertical="center"/>
    </xf>
    <xf numFmtId="0" fontId="29" fillId="0" borderId="51" xfId="4" applyFont="1" applyBorder="1" applyAlignment="1">
      <alignment horizontal="centerContinuous" vertical="center"/>
    </xf>
    <xf numFmtId="0" fontId="32" fillId="0" borderId="0" xfId="0" applyFont="1">
      <alignment vertical="center"/>
    </xf>
    <xf numFmtId="0" fontId="29" fillId="3" borderId="25" xfId="4" applyFont="1" applyFill="1" applyBorder="1" applyAlignment="1">
      <alignment horizontal="centerContinuous" vertical="center"/>
    </xf>
    <xf numFmtId="0" fontId="29" fillId="3" borderId="26" xfId="4" applyFont="1" applyFill="1" applyBorder="1" applyAlignment="1">
      <alignment horizontal="centerContinuous" vertical="center"/>
    </xf>
    <xf numFmtId="0" fontId="29" fillId="3" borderId="25" xfId="4" applyFont="1" applyFill="1" applyBorder="1" applyAlignment="1">
      <alignment vertical="center" shrinkToFit="1"/>
    </xf>
    <xf numFmtId="0" fontId="29" fillId="3" borderId="27" xfId="4" applyFont="1" applyFill="1" applyBorder="1" applyAlignment="1">
      <alignment vertical="center" shrinkToFit="1"/>
    </xf>
    <xf numFmtId="0" fontId="29" fillId="3" borderId="26" xfId="4" applyFont="1" applyFill="1" applyBorder="1" applyAlignment="1">
      <alignment vertical="center" shrinkToFit="1"/>
    </xf>
    <xf numFmtId="0" fontId="29" fillId="3" borderId="30" xfId="4" applyFont="1" applyFill="1" applyBorder="1" applyAlignment="1">
      <alignment horizontal="centerContinuous" vertical="center"/>
    </xf>
    <xf numFmtId="0" fontId="29" fillId="3" borderId="31" xfId="4" applyFont="1" applyFill="1" applyBorder="1" applyAlignment="1">
      <alignment horizontal="centerContinuous" vertical="center"/>
    </xf>
    <xf numFmtId="0" fontId="29" fillId="3" borderId="30" xfId="4" applyFont="1" applyFill="1" applyBorder="1" applyAlignment="1">
      <alignment horizontal="left" vertical="center"/>
    </xf>
    <xf numFmtId="0" fontId="29" fillId="3" borderId="24" xfId="4" applyFont="1" applyFill="1" applyBorder="1" applyAlignment="1">
      <alignment horizontal="left" vertical="center"/>
    </xf>
    <xf numFmtId="0" fontId="29" fillId="3" borderId="25" xfId="4" applyFont="1" applyFill="1" applyBorder="1" applyAlignment="1">
      <alignment horizontal="center" vertical="center"/>
    </xf>
    <xf numFmtId="0" fontId="29" fillId="3" borderId="27" xfId="4" applyFont="1" applyFill="1" applyBorder="1" applyAlignment="1">
      <alignment horizontal="center" vertical="center"/>
    </xf>
    <xf numFmtId="0" fontId="29" fillId="3" borderId="26" xfId="4" applyFont="1" applyFill="1" applyBorder="1" applyAlignment="1">
      <alignment horizontal="center" vertical="center"/>
    </xf>
    <xf numFmtId="0" fontId="29" fillId="3" borderId="30" xfId="4" applyFont="1" applyFill="1" applyBorder="1" applyAlignment="1">
      <alignment horizontal="center" vertical="center"/>
    </xf>
    <xf numFmtId="0" fontId="29" fillId="3" borderId="24" xfId="4" applyFont="1" applyFill="1" applyBorder="1" applyAlignment="1">
      <alignment horizontal="center" vertical="center"/>
    </xf>
    <xf numFmtId="0" fontId="29" fillId="3" borderId="31" xfId="4" applyFont="1" applyFill="1" applyBorder="1" applyAlignment="1">
      <alignment horizontal="center" vertical="center"/>
    </xf>
    <xf numFmtId="0" fontId="32" fillId="0" borderId="0" xfId="4" applyFont="1" applyAlignment="1">
      <alignment vertical="center"/>
    </xf>
    <xf numFmtId="0" fontId="33" fillId="0" borderId="0" xfId="4" applyFont="1" applyAlignment="1">
      <alignment vertical="center"/>
    </xf>
    <xf numFmtId="0" fontId="34" fillId="0" borderId="0" xfId="4" applyFont="1" applyAlignment="1">
      <alignment horizontal="left" vertical="center"/>
    </xf>
    <xf numFmtId="0" fontId="29" fillId="0" borderId="22" xfId="4" applyFont="1" applyBorder="1" applyAlignment="1">
      <alignment vertical="center"/>
    </xf>
    <xf numFmtId="14" fontId="29" fillId="0" borderId="22" xfId="4" applyNumberFormat="1" applyFont="1" applyBorder="1" applyAlignment="1">
      <alignment horizontal="right" vertical="center"/>
    </xf>
    <xf numFmtId="0" fontId="29" fillId="0" borderId="22" xfId="4" applyFont="1" applyBorder="1" applyAlignment="1">
      <alignment horizontal="right" vertical="center"/>
    </xf>
    <xf numFmtId="0" fontId="29" fillId="0" borderId="23" xfId="4" applyFont="1" applyBorder="1" applyAlignment="1">
      <alignment vertical="center"/>
    </xf>
    <xf numFmtId="0" fontId="32" fillId="0" borderId="23" xfId="4" applyFont="1" applyBorder="1" applyAlignment="1">
      <alignment vertical="center"/>
    </xf>
    <xf numFmtId="14" fontId="29" fillId="0" borderId="23" xfId="4" applyNumberFormat="1" applyFont="1" applyBorder="1" applyAlignment="1">
      <alignment horizontal="right" vertical="center"/>
    </xf>
    <xf numFmtId="0" fontId="29" fillId="0" borderId="23" xfId="4" applyFont="1" applyBorder="1" applyAlignment="1">
      <alignment horizontal="right" vertical="center"/>
    </xf>
    <xf numFmtId="0" fontId="35" fillId="0" borderId="0" xfId="4" applyFont="1" applyAlignment="1">
      <alignment vertical="center"/>
    </xf>
    <xf numFmtId="0" fontId="36" fillId="0" borderId="0" xfId="4" applyFont="1" applyAlignment="1">
      <alignment horizontal="left" vertical="center"/>
    </xf>
    <xf numFmtId="0" fontId="36" fillId="0" borderId="24" xfId="4" applyFont="1" applyBorder="1" applyAlignment="1">
      <alignment horizontal="left" vertical="center"/>
    </xf>
    <xf numFmtId="0" fontId="37" fillId="0" borderId="0" xfId="4" applyFont="1" applyAlignment="1">
      <alignment horizontal="left" vertical="center"/>
    </xf>
    <xf numFmtId="182" fontId="38" fillId="0" borderId="0" xfId="4" applyNumberFormat="1" applyFont="1" applyAlignment="1">
      <alignment horizontal="right" vertical="center"/>
    </xf>
    <xf numFmtId="0" fontId="37" fillId="0" borderId="24" xfId="4" applyFont="1" applyBorder="1" applyAlignment="1">
      <alignment horizontal="left" vertical="center"/>
    </xf>
    <xf numFmtId="182" fontId="38" fillId="0" borderId="24" xfId="4" applyNumberFormat="1" applyFont="1" applyBorder="1" applyAlignment="1">
      <alignment horizontal="right" vertical="center"/>
    </xf>
    <xf numFmtId="0" fontId="29" fillId="8" borderId="2" xfId="4" applyFont="1" applyFill="1" applyBorder="1" applyAlignment="1">
      <alignment horizontal="centerContinuous" vertical="center"/>
    </xf>
    <xf numFmtId="0" fontId="29" fillId="8" borderId="3" xfId="4" applyFont="1" applyFill="1" applyBorder="1" applyAlignment="1">
      <alignment horizontal="centerContinuous" vertical="center"/>
    </xf>
    <xf numFmtId="0" fontId="29" fillId="8" borderId="5" xfId="4" applyFont="1" applyFill="1" applyBorder="1" applyAlignment="1">
      <alignment horizontal="centerContinuous" vertical="center"/>
    </xf>
    <xf numFmtId="0" fontId="29" fillId="0" borderId="2" xfId="4" applyFont="1" applyBorder="1" applyAlignment="1">
      <alignment horizontal="center" vertical="center"/>
    </xf>
    <xf numFmtId="0" fontId="29" fillId="0" borderId="3" xfId="4" applyFont="1" applyBorder="1" applyAlignment="1">
      <alignment horizontal="center" vertical="center"/>
    </xf>
    <xf numFmtId="0" fontId="29" fillId="0" borderId="2" xfId="4" applyFont="1" applyBorder="1" applyAlignment="1">
      <alignment horizontal="left" vertical="center" indent="1"/>
    </xf>
    <xf numFmtId="5" fontId="29" fillId="0" borderId="5" xfId="4" applyNumberFormat="1" applyFont="1" applyBorder="1" applyAlignment="1">
      <alignment vertical="center"/>
    </xf>
    <xf numFmtId="5" fontId="29" fillId="0" borderId="3" xfId="4" applyNumberFormat="1" applyFont="1" applyBorder="1" applyAlignment="1">
      <alignment vertical="center"/>
    </xf>
    <xf numFmtId="5" fontId="29" fillId="0" borderId="5" xfId="4" applyNumberFormat="1" applyFont="1" applyBorder="1" applyAlignment="1">
      <alignment horizontal="center" vertical="center"/>
    </xf>
    <xf numFmtId="5" fontId="29" fillId="0" borderId="3" xfId="4" applyNumberFormat="1" applyFont="1" applyBorder="1" applyAlignment="1">
      <alignment horizontal="center" vertical="center"/>
    </xf>
    <xf numFmtId="5" fontId="29" fillId="0" borderId="2" xfId="4" applyNumberFormat="1" applyFont="1" applyBorder="1" applyAlignment="1">
      <alignment horizontal="right" vertical="center" indent="1"/>
    </xf>
    <xf numFmtId="5" fontId="29" fillId="0" borderId="5" xfId="4" applyNumberFormat="1" applyFont="1" applyBorder="1" applyAlignment="1">
      <alignment horizontal="right" vertical="center" indent="1"/>
    </xf>
    <xf numFmtId="5" fontId="29" fillId="0" borderId="3" xfId="4" applyNumberFormat="1" applyFont="1" applyBorder="1" applyAlignment="1">
      <alignment horizontal="right" vertical="center" indent="1"/>
    </xf>
    <xf numFmtId="0" fontId="29" fillId="0" borderId="27" xfId="4" applyFont="1" applyBorder="1" applyAlignment="1">
      <alignment vertical="center"/>
    </xf>
    <xf numFmtId="0" fontId="29" fillId="0" borderId="52" xfId="4" applyFont="1" applyBorder="1" applyAlignment="1">
      <alignment horizontal="center" vertical="center"/>
    </xf>
    <xf numFmtId="0" fontId="29" fillId="0" borderId="53" xfId="4" applyFont="1" applyBorder="1" applyAlignment="1">
      <alignment horizontal="center" vertical="center"/>
    </xf>
    <xf numFmtId="0" fontId="29" fillId="0" borderId="30" xfId="4" applyFont="1" applyBorder="1" applyAlignment="1">
      <alignment horizontal="left" vertical="center" indent="1"/>
    </xf>
    <xf numFmtId="5" fontId="29" fillId="0" borderId="24" xfId="4" applyNumberFormat="1" applyFont="1" applyBorder="1" applyAlignment="1">
      <alignment vertical="center"/>
    </xf>
    <xf numFmtId="5" fontId="29" fillId="0" borderId="31" xfId="4" applyNumberFormat="1" applyFont="1" applyBorder="1" applyAlignment="1">
      <alignment vertical="center"/>
    </xf>
    <xf numFmtId="183" fontId="29" fillId="0" borderId="30" xfId="4" applyNumberFormat="1" applyFont="1" applyBorder="1" applyAlignment="1">
      <alignment horizontal="right" vertical="center"/>
    </xf>
    <xf numFmtId="183" fontId="29" fillId="0" borderId="24" xfId="4" applyNumberFormat="1" applyFont="1" applyBorder="1" applyAlignment="1">
      <alignment horizontal="right" vertical="center"/>
    </xf>
    <xf numFmtId="5" fontId="29" fillId="0" borderId="24" xfId="4" applyNumberFormat="1" applyFont="1" applyBorder="1" applyAlignment="1">
      <alignment horizontal="center" vertical="center"/>
    </xf>
    <xf numFmtId="5" fontId="29" fillId="0" borderId="31" xfId="4" applyNumberFormat="1" applyFont="1" applyBorder="1" applyAlignment="1">
      <alignment horizontal="center" vertical="center"/>
    </xf>
    <xf numFmtId="5" fontId="29" fillId="0" borderId="30" xfId="4" applyNumberFormat="1" applyFont="1" applyBorder="1" applyAlignment="1">
      <alignment horizontal="right" vertical="center" indent="1"/>
    </xf>
    <xf numFmtId="5" fontId="29" fillId="0" borderId="24" xfId="4" applyNumberFormat="1" applyFont="1" applyBorder="1" applyAlignment="1">
      <alignment horizontal="right" vertical="center" indent="1"/>
    </xf>
    <xf numFmtId="5" fontId="29" fillId="0" borderId="31" xfId="4" applyNumberFormat="1" applyFont="1" applyBorder="1" applyAlignment="1">
      <alignment horizontal="right" vertical="center" indent="1"/>
    </xf>
    <xf numFmtId="0" fontId="29" fillId="0" borderId="55" xfId="4" applyFont="1" applyBorder="1" applyAlignment="1">
      <alignment horizontal="center" vertical="center"/>
    </xf>
    <xf numFmtId="0" fontId="29" fillId="0" borderId="56" xfId="4" applyFont="1" applyBorder="1" applyAlignment="1">
      <alignment horizontal="center" vertical="center"/>
    </xf>
    <xf numFmtId="0" fontId="29" fillId="0" borderId="55" xfId="4" applyFont="1" applyBorder="1" applyAlignment="1">
      <alignment horizontal="left" vertical="center" indent="1"/>
    </xf>
    <xf numFmtId="0" fontId="29" fillId="0" borderId="57" xfId="4" applyFont="1" applyBorder="1" applyAlignment="1">
      <alignment vertical="center"/>
    </xf>
    <xf numFmtId="5" fontId="29" fillId="0" borderId="57" xfId="4" applyNumberFormat="1" applyFont="1" applyBorder="1" applyAlignment="1">
      <alignment vertical="center"/>
    </xf>
    <xf numFmtId="5" fontId="29" fillId="0" borderId="56" xfId="4" applyNumberFormat="1" applyFont="1" applyBorder="1" applyAlignment="1">
      <alignment vertical="center"/>
    </xf>
    <xf numFmtId="183" fontId="29" fillId="0" borderId="55" xfId="4" applyNumberFormat="1" applyFont="1" applyBorder="1" applyAlignment="1">
      <alignment horizontal="right" vertical="center"/>
    </xf>
    <xf numFmtId="183" fontId="29" fillId="0" borderId="57" xfId="4" applyNumberFormat="1" applyFont="1" applyBorder="1" applyAlignment="1">
      <alignment horizontal="right" vertical="center"/>
    </xf>
    <xf numFmtId="5" fontId="29" fillId="0" borderId="57" xfId="4" applyNumberFormat="1" applyFont="1" applyBorder="1" applyAlignment="1">
      <alignment horizontal="center" vertical="center"/>
    </xf>
    <xf numFmtId="5" fontId="29" fillId="0" borderId="56" xfId="4" applyNumberFormat="1" applyFont="1" applyBorder="1" applyAlignment="1">
      <alignment horizontal="center" vertical="center"/>
    </xf>
    <xf numFmtId="5" fontId="29" fillId="0" borderId="55" xfId="4" applyNumberFormat="1" applyFont="1" applyBorder="1" applyAlignment="1">
      <alignment horizontal="right" vertical="center" indent="1"/>
    </xf>
    <xf numFmtId="5" fontId="29" fillId="0" borderId="57" xfId="4" applyNumberFormat="1" applyFont="1" applyBorder="1" applyAlignment="1">
      <alignment horizontal="right" vertical="center" indent="1"/>
    </xf>
    <xf numFmtId="5" fontId="29" fillId="0" borderId="56" xfId="4" applyNumberFormat="1" applyFont="1" applyBorder="1" applyAlignment="1">
      <alignment horizontal="right" vertical="center" indent="1"/>
    </xf>
    <xf numFmtId="0" fontId="29" fillId="0" borderId="30" xfId="4" applyFont="1" applyBorder="1" applyAlignment="1">
      <alignment horizontal="center" vertical="center"/>
    </xf>
    <xf numFmtId="0" fontId="29" fillId="0" borderId="31" xfId="4" applyFont="1" applyBorder="1" applyAlignment="1">
      <alignment horizontal="center" vertical="center"/>
    </xf>
    <xf numFmtId="0" fontId="29" fillId="0" borderId="0" xfId="4" applyFont="1" applyAlignment="1">
      <alignment horizontal="left" vertical="center"/>
    </xf>
    <xf numFmtId="0" fontId="29" fillId="0" borderId="0" xfId="4" applyFont="1" applyAlignment="1">
      <alignment horizontal="center" vertical="center"/>
    </xf>
    <xf numFmtId="0" fontId="29" fillId="0" borderId="0" xfId="0" applyFont="1" applyAlignment="1">
      <alignment horizontal="center" vertical="center"/>
    </xf>
    <xf numFmtId="0" fontId="39" fillId="0" borderId="0" xfId="4" applyFont="1" applyAlignment="1">
      <alignment vertical="center"/>
    </xf>
    <xf numFmtId="0" fontId="29" fillId="8" borderId="25" xfId="4" applyFont="1" applyFill="1" applyBorder="1" applyAlignment="1">
      <alignment horizontal="centerContinuous" vertical="center"/>
    </xf>
    <xf numFmtId="0" fontId="29" fillId="8" borderId="26" xfId="4" applyFont="1" applyFill="1" applyBorder="1" applyAlignment="1">
      <alignment horizontal="centerContinuous" vertical="center"/>
    </xf>
    <xf numFmtId="0" fontId="29" fillId="8" borderId="27" xfId="4" applyFont="1" applyFill="1" applyBorder="1" applyAlignment="1">
      <alignment horizontal="centerContinuous" vertical="center"/>
    </xf>
    <xf numFmtId="0" fontId="29" fillId="8" borderId="2" xfId="0" applyFont="1" applyFill="1" applyBorder="1" applyAlignment="1">
      <alignment horizontal="centerContinuous" vertical="center"/>
    </xf>
    <xf numFmtId="0" fontId="29" fillId="8" borderId="5" xfId="0" applyFont="1" applyFill="1" applyBorder="1" applyAlignment="1">
      <alignment horizontal="centerContinuous" vertical="center"/>
    </xf>
    <xf numFmtId="0" fontId="29" fillId="8" borderId="3" xfId="0" applyFont="1" applyFill="1" applyBorder="1">
      <alignment vertical="center"/>
    </xf>
    <xf numFmtId="0" fontId="29" fillId="0" borderId="25" xfId="0" applyFont="1" applyBorder="1" applyAlignment="1">
      <alignment vertical="center" shrinkToFit="1"/>
    </xf>
    <xf numFmtId="0" fontId="29" fillId="0" borderId="27" xfId="0" applyFont="1" applyBorder="1" applyAlignment="1">
      <alignment vertical="center" shrinkToFit="1"/>
    </xf>
    <xf numFmtId="0" fontId="29" fillId="0" borderId="25" xfId="4" applyFont="1" applyBorder="1" applyAlignment="1">
      <alignment vertical="center"/>
    </xf>
    <xf numFmtId="0" fontId="29" fillId="0" borderId="26" xfId="4" applyFont="1" applyBorder="1" applyAlignment="1">
      <alignment vertical="center"/>
    </xf>
    <xf numFmtId="0" fontId="29" fillId="0" borderId="28" xfId="4" applyFont="1" applyBorder="1" applyAlignment="1">
      <alignment horizontal="centerContinuous" vertical="center"/>
    </xf>
    <xf numFmtId="0" fontId="29" fillId="0" borderId="29" xfId="4" applyFont="1" applyBorder="1" applyAlignment="1">
      <alignment horizontal="centerContinuous" vertical="center"/>
    </xf>
    <xf numFmtId="0" fontId="29" fillId="0" borderId="28" xfId="0" applyFont="1" applyBorder="1">
      <alignment vertical="center"/>
    </xf>
    <xf numFmtId="0" fontId="29" fillId="0" borderId="28" xfId="4" applyFont="1" applyBorder="1" applyAlignment="1">
      <alignment vertical="center"/>
    </xf>
    <xf numFmtId="0" fontId="29" fillId="0" borderId="29" xfId="4" applyFont="1" applyBorder="1" applyAlignment="1">
      <alignment vertical="center"/>
    </xf>
    <xf numFmtId="0" fontId="29" fillId="0" borderId="28" xfId="4" applyFont="1" applyBorder="1" applyAlignment="1">
      <alignment horizontal="left" vertical="center"/>
    </xf>
    <xf numFmtId="0" fontId="29" fillId="8" borderId="43" xfId="4" applyFont="1" applyFill="1" applyBorder="1" applyAlignment="1">
      <alignment vertical="center"/>
    </xf>
    <xf numFmtId="0" fontId="29" fillId="8" borderId="44" xfId="4" applyFont="1" applyFill="1" applyBorder="1" applyAlignment="1">
      <alignment vertical="center"/>
    </xf>
    <xf numFmtId="0" fontId="29" fillId="8" borderId="45" xfId="4" applyFont="1" applyFill="1" applyBorder="1" applyAlignment="1">
      <alignment vertical="center"/>
    </xf>
    <xf numFmtId="0" fontId="40" fillId="0" borderId="0" xfId="4" applyFont="1" applyAlignment="1">
      <alignment vertical="center"/>
    </xf>
    <xf numFmtId="0" fontId="33" fillId="0" borderId="0" xfId="0" applyFont="1">
      <alignment vertical="center"/>
    </xf>
    <xf numFmtId="0" fontId="32" fillId="0" borderId="32" xfId="0" applyFont="1" applyBorder="1" applyAlignment="1">
      <alignment horizontal="left" vertical="center" wrapText="1"/>
    </xf>
    <xf numFmtId="0" fontId="32" fillId="0" borderId="33" xfId="0" applyFont="1" applyBorder="1" applyAlignment="1">
      <alignment horizontal="left" vertical="center"/>
    </xf>
    <xf numFmtId="0" fontId="32" fillId="0" borderId="34" xfId="0" applyFont="1" applyBorder="1" applyAlignment="1">
      <alignment horizontal="left" vertical="center"/>
    </xf>
    <xf numFmtId="0" fontId="32" fillId="0" borderId="24" xfId="0" applyFont="1" applyBorder="1">
      <alignment vertical="center"/>
    </xf>
    <xf numFmtId="0" fontId="32" fillId="0" borderId="35" xfId="0" applyFont="1" applyBorder="1" applyAlignment="1">
      <alignment horizontal="left" vertical="center"/>
    </xf>
    <xf numFmtId="0" fontId="32" fillId="0" borderId="36" xfId="0" applyFont="1" applyBorder="1" applyAlignment="1">
      <alignment horizontal="left" vertical="center"/>
    </xf>
    <xf numFmtId="0" fontId="32" fillId="0" borderId="37" xfId="0" applyFont="1" applyBorder="1" applyAlignment="1">
      <alignment horizontal="left" vertical="center"/>
    </xf>
    <xf numFmtId="0" fontId="29" fillId="0" borderId="0" xfId="5" applyFont="1" applyAlignment="1">
      <alignment horizontal="left" vertical="center"/>
    </xf>
    <xf numFmtId="0" fontId="29" fillId="0" borderId="0" xfId="5" applyFont="1">
      <alignment vertical="center"/>
    </xf>
    <xf numFmtId="6" fontId="0" fillId="0" borderId="61" xfId="6" applyFont="1" applyBorder="1" applyAlignment="1">
      <alignment vertical="top"/>
    </xf>
    <xf numFmtId="0" fontId="29" fillId="0" borderId="25" xfId="4" applyFont="1" applyFill="1" applyBorder="1" applyAlignment="1">
      <alignment horizontal="centerContinuous" vertical="center"/>
    </xf>
    <xf numFmtId="0" fontId="29" fillId="0" borderId="26" xfId="4" applyFont="1" applyFill="1" applyBorder="1" applyAlignment="1">
      <alignment horizontal="centerContinuous" vertical="center"/>
    </xf>
    <xf numFmtId="0" fontId="29" fillId="0" borderId="25" xfId="4" applyFont="1" applyFill="1" applyBorder="1" applyAlignment="1">
      <alignment vertical="center" shrinkToFit="1"/>
    </xf>
    <xf numFmtId="0" fontId="29" fillId="0" borderId="27" xfId="4" applyFont="1" applyFill="1" applyBorder="1" applyAlignment="1">
      <alignment vertical="center" shrinkToFit="1"/>
    </xf>
    <xf numFmtId="0" fontId="29" fillId="0" borderId="26" xfId="4" applyFont="1" applyFill="1" applyBorder="1" applyAlignment="1">
      <alignment vertical="center" shrinkToFit="1"/>
    </xf>
    <xf numFmtId="0" fontId="29" fillId="0" borderId="30" xfId="4" applyFont="1" applyFill="1" applyBorder="1" applyAlignment="1">
      <alignment horizontal="centerContinuous" vertical="center"/>
    </xf>
    <xf numFmtId="0" fontId="29" fillId="0" borderId="31" xfId="4" applyFont="1" applyFill="1" applyBorder="1" applyAlignment="1">
      <alignment horizontal="centerContinuous" vertical="center"/>
    </xf>
    <xf numFmtId="0" fontId="29" fillId="0" borderId="30" xfId="4" applyFont="1" applyFill="1" applyBorder="1" applyAlignment="1">
      <alignment horizontal="left" vertical="center"/>
    </xf>
    <xf numFmtId="0" fontId="29" fillId="0" borderId="24" xfId="4" applyFont="1" applyFill="1" applyBorder="1" applyAlignment="1">
      <alignment horizontal="left" vertical="center"/>
    </xf>
    <xf numFmtId="0" fontId="29" fillId="3" borderId="28" xfId="4" applyFont="1" applyFill="1" applyBorder="1" applyAlignment="1">
      <alignment horizontal="center" vertical="center"/>
    </xf>
    <xf numFmtId="0" fontId="29" fillId="3" borderId="0" xfId="4" applyFont="1" applyFill="1" applyBorder="1" applyAlignment="1">
      <alignment horizontal="center" vertical="center"/>
    </xf>
    <xf numFmtId="0" fontId="29" fillId="3" borderId="29" xfId="4" applyFont="1" applyFill="1" applyBorder="1" applyAlignment="1">
      <alignment horizontal="center" vertical="center"/>
    </xf>
    <xf numFmtId="0" fontId="32" fillId="3" borderId="25" xfId="4" applyFont="1" applyFill="1" applyBorder="1" applyAlignment="1">
      <alignment horizontal="center" vertical="center" wrapText="1" shrinkToFit="1"/>
    </xf>
    <xf numFmtId="0" fontId="14" fillId="3" borderId="27" xfId="4" applyFont="1" applyFill="1" applyBorder="1" applyAlignment="1">
      <alignment horizontal="center" vertical="center" wrapText="1" shrinkToFit="1"/>
    </xf>
    <xf numFmtId="0" fontId="14" fillId="3" borderId="26" xfId="4" applyFont="1" applyFill="1" applyBorder="1" applyAlignment="1">
      <alignment horizontal="center" vertical="center" wrapText="1" shrinkToFit="1"/>
    </xf>
    <xf numFmtId="0" fontId="14" fillId="3" borderId="30" xfId="4" applyFont="1" applyFill="1" applyBorder="1" applyAlignment="1">
      <alignment horizontal="center" vertical="center" wrapText="1" shrinkToFit="1"/>
    </xf>
    <xf numFmtId="0" fontId="14" fillId="3" borderId="24" xfId="4" applyFont="1" applyFill="1" applyBorder="1" applyAlignment="1">
      <alignment horizontal="center" vertical="center" wrapText="1" shrinkToFit="1"/>
    </xf>
    <xf numFmtId="0" fontId="14" fillId="3" borderId="31" xfId="4" applyFont="1" applyFill="1" applyBorder="1" applyAlignment="1">
      <alignment horizontal="center" vertical="center" wrapText="1" shrinkToFit="1"/>
    </xf>
    <xf numFmtId="0" fontId="29" fillId="3" borderId="25" xfId="4" applyFont="1" applyFill="1" applyBorder="1" applyAlignment="1">
      <alignment horizontal="left" vertical="center"/>
    </xf>
    <xf numFmtId="0" fontId="29" fillId="3" borderId="27" xfId="4" applyFont="1" applyFill="1" applyBorder="1" applyAlignment="1">
      <alignment horizontal="left" vertical="center"/>
    </xf>
    <xf numFmtId="0" fontId="29" fillId="3" borderId="26" xfId="4" applyFont="1" applyFill="1" applyBorder="1" applyAlignment="1">
      <alignment horizontal="left" vertical="center"/>
    </xf>
    <xf numFmtId="0" fontId="29" fillId="3" borderId="30" xfId="4" applyFont="1" applyFill="1" applyBorder="1" applyAlignment="1">
      <alignment horizontal="left" vertical="center"/>
    </xf>
    <xf numFmtId="0" fontId="29" fillId="3" borderId="24" xfId="4" applyFont="1" applyFill="1" applyBorder="1" applyAlignment="1">
      <alignment horizontal="left" vertical="center"/>
    </xf>
    <xf numFmtId="0" fontId="29" fillId="3" borderId="31" xfId="4" applyFont="1" applyFill="1" applyBorder="1" applyAlignment="1">
      <alignment horizontal="left" vertical="center"/>
    </xf>
    <xf numFmtId="0" fontId="29" fillId="0" borderId="46" xfId="4" applyFont="1" applyFill="1" applyBorder="1" applyAlignment="1">
      <alignment horizontal="centerContinuous" vertical="center"/>
    </xf>
    <xf numFmtId="0" fontId="29" fillId="0" borderId="49" xfId="4" applyFont="1" applyFill="1" applyBorder="1" applyAlignment="1">
      <alignment horizontal="centerContinuous" vertical="center"/>
    </xf>
    <xf numFmtId="0" fontId="29" fillId="0" borderId="30" xfId="4" applyFont="1" applyFill="1" applyBorder="1" applyAlignment="1">
      <alignment vertical="center" shrinkToFit="1"/>
    </xf>
    <xf numFmtId="0" fontId="29" fillId="0" borderId="24" xfId="4" applyFont="1" applyFill="1" applyBorder="1" applyAlignment="1">
      <alignment vertical="center" shrinkToFit="1"/>
    </xf>
    <xf numFmtId="0" fontId="29" fillId="0" borderId="31" xfId="4" applyFont="1" applyFill="1" applyBorder="1" applyAlignment="1">
      <alignment vertical="center" shrinkToFit="1"/>
    </xf>
  </cellXfs>
  <cellStyles count="7">
    <cellStyle name="桁区切り 2" xfId="2" xr:uid="{00000000-0005-0000-0000-000000000000}"/>
    <cellStyle name="通貨" xfId="6" builtinId="7"/>
    <cellStyle name="標準" xfId="0" builtinId="0"/>
    <cellStyle name="標準 2" xfId="1" xr:uid="{00000000-0005-0000-0000-000002000000}"/>
    <cellStyle name="標準 2 2" xfId="3" xr:uid="{00000000-0005-0000-0000-000003000000}"/>
    <cellStyle name="標準 2 3" xfId="5" xr:uid="{E5FBA960-A250-48E9-A1AE-46A451B0EE3A}"/>
    <cellStyle name="標準 3" xfId="4" xr:uid="{FF83E7BF-8BED-4E42-A740-53CF93C388E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18"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17/10/relationships/person" Target="persons/person.xml"/></Relationships>
</file>

<file path=xl/drawings/drawing1.xml><?xml version="1.0" encoding="utf-8"?>
<xdr:wsDr xmlns:xdr="http://schemas.openxmlformats.org/drawingml/2006/spreadsheetDrawing" xmlns:a="http://schemas.openxmlformats.org/drawingml/2006/main">
  <xdr:twoCellAnchor>
    <xdr:from>
      <xdr:col>30</xdr:col>
      <xdr:colOff>0</xdr:colOff>
      <xdr:row>110</xdr:row>
      <xdr:rowOff>28575</xdr:rowOff>
    </xdr:from>
    <xdr:to>
      <xdr:col>31</xdr:col>
      <xdr:colOff>169500</xdr:colOff>
      <xdr:row>110</xdr:row>
      <xdr:rowOff>172575</xdr:rowOff>
    </xdr:to>
    <xdr:sp macro="" textlink="">
      <xdr:nvSpPr>
        <xdr:cNvPr id="12" name="ホームベース 120">
          <a:extLst>
            <a:ext uri="{FF2B5EF4-FFF2-40B4-BE49-F238E27FC236}">
              <a16:creationId xmlns:a16="http://schemas.microsoft.com/office/drawing/2014/main" id="{A188260D-346A-4A61-AA37-231C67BA2330}"/>
            </a:ext>
          </a:extLst>
        </xdr:cNvPr>
        <xdr:cNvSpPr/>
      </xdr:nvSpPr>
      <xdr:spPr bwMode="auto">
        <a:xfrm>
          <a:off x="6000750" y="28028900"/>
          <a:ext cx="369525" cy="147175"/>
        </a:xfrm>
        <a:prstGeom prst="homePlate">
          <a:avLst/>
        </a:prstGeom>
        <a:solidFill>
          <a:schemeClr val="accent1">
            <a:lumMod val="20000"/>
            <a:lumOff val="80000"/>
          </a:schemeClr>
        </a:solidFill>
        <a:ln>
          <a:solidFill>
            <a:schemeClr val="accent1"/>
          </a:solidFill>
          <a:headEnd type="none" w="med" len="med"/>
          <a:tailEnd type="none" w="med" len="med"/>
        </a:ln>
        <a:effectLst/>
      </xdr:spPr>
      <xdr:style>
        <a:lnRef idx="1">
          <a:schemeClr val="accent1"/>
        </a:lnRef>
        <a:fillRef idx="2">
          <a:schemeClr val="accent1"/>
        </a:fillRef>
        <a:effectRef idx="1">
          <a:schemeClr val="accent1"/>
        </a:effectRef>
        <a:fontRef idx="minor">
          <a:schemeClr val="dk1"/>
        </a:fontRef>
      </xdr:style>
      <xdr:txBody>
        <a:bodyPr vertOverflow="overflow" horzOverflow="overflow" wrap="none" lIns="0" tIns="0" rIns="0" bIns="0" rtlCol="0" anchor="ctr" upright="1"/>
        <a:lstStyle/>
        <a:p>
          <a:pPr algn="ctr"/>
          <a:endParaRPr kumimoji="1" lang="ja-JP" altLang="en-US" sz="800">
            <a:latin typeface="ＭＳ 明朝" panose="02020609040205080304" pitchFamily="17" charset="-128"/>
            <a:ea typeface="ＭＳ 明朝" panose="02020609040205080304" pitchFamily="17" charset="-128"/>
          </a:endParaRPr>
        </a:p>
      </xdr:txBody>
    </xdr:sp>
    <xdr:clientData/>
  </xdr:twoCellAnchor>
  <xdr:twoCellAnchor>
    <xdr:from>
      <xdr:col>8</xdr:col>
      <xdr:colOff>1</xdr:colOff>
      <xdr:row>102</xdr:row>
      <xdr:rowOff>0</xdr:rowOff>
    </xdr:from>
    <xdr:to>
      <xdr:col>10</xdr:col>
      <xdr:colOff>0</xdr:colOff>
      <xdr:row>104</xdr:row>
      <xdr:rowOff>0</xdr:rowOff>
    </xdr:to>
    <xdr:sp macro="" textlink="">
      <xdr:nvSpPr>
        <xdr:cNvPr id="3" name="ホームベース 35">
          <a:extLst>
            <a:ext uri="{FF2B5EF4-FFF2-40B4-BE49-F238E27FC236}">
              <a16:creationId xmlns:a16="http://schemas.microsoft.com/office/drawing/2014/main" id="{BFF167E3-5B3C-4D23-B7F9-64E163D30F32}"/>
            </a:ext>
          </a:extLst>
        </xdr:cNvPr>
        <xdr:cNvSpPr/>
      </xdr:nvSpPr>
      <xdr:spPr bwMode="auto">
        <a:xfrm>
          <a:off x="1600201" y="25717500"/>
          <a:ext cx="400049" cy="381000"/>
        </a:xfrm>
        <a:prstGeom prst="homePlate">
          <a:avLst/>
        </a:prstGeom>
        <a:solidFill>
          <a:schemeClr val="accent1">
            <a:lumMod val="20000"/>
            <a:lumOff val="80000"/>
          </a:schemeClr>
        </a:solidFill>
        <a:ln>
          <a:solidFill>
            <a:schemeClr val="accent1"/>
          </a:solidFill>
          <a:headEnd type="none" w="med" len="med"/>
          <a:tailEnd type="none" w="med" len="med"/>
        </a:ln>
        <a:effectLst/>
      </xdr:spPr>
      <xdr:style>
        <a:lnRef idx="1">
          <a:schemeClr val="accent1"/>
        </a:lnRef>
        <a:fillRef idx="2">
          <a:schemeClr val="accent1"/>
        </a:fillRef>
        <a:effectRef idx="1">
          <a:schemeClr val="accent1"/>
        </a:effectRef>
        <a:fontRef idx="minor">
          <a:schemeClr val="dk1"/>
        </a:fontRef>
      </xdr:style>
      <xdr:txBody>
        <a:bodyPr vertOverflow="clip" horzOverflow="clip" wrap="square" lIns="18288" tIns="0" rIns="0" bIns="0" rtlCol="0" anchor="ctr" upright="1"/>
        <a:lstStyle/>
        <a:p>
          <a:pPr algn="ctr"/>
          <a:endParaRPr kumimoji="1" lang="en-US" altLang="ja-JP" sz="800">
            <a:latin typeface="ＭＳ 明朝" panose="02020609040205080304" pitchFamily="17" charset="-128"/>
            <a:ea typeface="ＭＳ 明朝" panose="02020609040205080304" pitchFamily="17" charset="-128"/>
          </a:endParaRPr>
        </a:p>
      </xdr:txBody>
    </xdr:sp>
    <xdr:clientData/>
  </xdr:twoCellAnchor>
  <xdr:twoCellAnchor>
    <xdr:from>
      <xdr:col>24</xdr:col>
      <xdr:colOff>0</xdr:colOff>
      <xdr:row>110</xdr:row>
      <xdr:rowOff>30480</xdr:rowOff>
    </xdr:from>
    <xdr:to>
      <xdr:col>25</xdr:col>
      <xdr:colOff>169500</xdr:colOff>
      <xdr:row>110</xdr:row>
      <xdr:rowOff>174480</xdr:rowOff>
    </xdr:to>
    <xdr:sp macro="" textlink="">
      <xdr:nvSpPr>
        <xdr:cNvPr id="11" name="ホームベース 13">
          <a:extLst>
            <a:ext uri="{FF2B5EF4-FFF2-40B4-BE49-F238E27FC236}">
              <a16:creationId xmlns:a16="http://schemas.microsoft.com/office/drawing/2014/main" id="{E7703D5E-7CE3-4E83-9377-3E63E83CC202}"/>
            </a:ext>
          </a:extLst>
        </xdr:cNvPr>
        <xdr:cNvSpPr/>
      </xdr:nvSpPr>
      <xdr:spPr bwMode="auto">
        <a:xfrm>
          <a:off x="4800600" y="28030805"/>
          <a:ext cx="369525" cy="147175"/>
        </a:xfrm>
        <a:prstGeom prst="homePlate">
          <a:avLst/>
        </a:prstGeom>
        <a:solidFill>
          <a:schemeClr val="accent3">
            <a:lumMod val="20000"/>
            <a:lumOff val="80000"/>
          </a:schemeClr>
        </a:solidFill>
        <a:ln>
          <a:solidFill>
            <a:schemeClr val="accent3"/>
          </a:solidFill>
          <a:headEnd type="none" w="med" len="med"/>
          <a:tailEnd type="none" w="med" len="med"/>
        </a:ln>
        <a:effectLst/>
      </xdr:spPr>
      <xdr:style>
        <a:lnRef idx="1">
          <a:schemeClr val="accent1"/>
        </a:lnRef>
        <a:fillRef idx="2">
          <a:schemeClr val="accent1"/>
        </a:fillRef>
        <a:effectRef idx="1">
          <a:schemeClr val="accent1"/>
        </a:effectRef>
        <a:fontRef idx="minor">
          <a:schemeClr val="dk1"/>
        </a:fontRef>
      </xdr:style>
      <xdr:txBody>
        <a:bodyPr vertOverflow="overflow" horzOverflow="overflow" wrap="none" lIns="0" tIns="0" rIns="0" bIns="0" rtlCol="0" anchor="ctr" upright="1"/>
        <a:lstStyle/>
        <a:p>
          <a:pPr algn="ctr"/>
          <a:endParaRPr kumimoji="1" lang="ja-JP" altLang="en-US" sz="800">
            <a:latin typeface="ＭＳ 明朝" panose="02020609040205080304" pitchFamily="17" charset="-128"/>
            <a:ea typeface="ＭＳ 明朝" panose="02020609040205080304" pitchFamily="17" charset="-128"/>
          </a:endParaRPr>
        </a:p>
      </xdr:txBody>
    </xdr:sp>
    <xdr:clientData/>
  </xdr:twoCellAnchor>
  <xdr:twoCellAnchor>
    <xdr:from>
      <xdr:col>10</xdr:col>
      <xdr:colOff>2</xdr:colOff>
      <xdr:row>104</xdr:row>
      <xdr:rowOff>0</xdr:rowOff>
    </xdr:from>
    <xdr:to>
      <xdr:col>17</xdr:col>
      <xdr:colOff>1</xdr:colOff>
      <xdr:row>106</xdr:row>
      <xdr:rowOff>0</xdr:rowOff>
    </xdr:to>
    <xdr:sp macro="" textlink="">
      <xdr:nvSpPr>
        <xdr:cNvPr id="5" name="ホームベース 35">
          <a:extLst>
            <a:ext uri="{FF2B5EF4-FFF2-40B4-BE49-F238E27FC236}">
              <a16:creationId xmlns:a16="http://schemas.microsoft.com/office/drawing/2014/main" id="{8C0376D2-FE51-4187-8CF6-82F2B81F65CB}"/>
            </a:ext>
          </a:extLst>
        </xdr:cNvPr>
        <xdr:cNvSpPr/>
      </xdr:nvSpPr>
      <xdr:spPr bwMode="auto">
        <a:xfrm>
          <a:off x="2000252" y="26098500"/>
          <a:ext cx="1400174" cy="381000"/>
        </a:xfrm>
        <a:prstGeom prst="homePlate">
          <a:avLst/>
        </a:prstGeom>
        <a:solidFill>
          <a:schemeClr val="accent1">
            <a:lumMod val="20000"/>
            <a:lumOff val="80000"/>
          </a:schemeClr>
        </a:solidFill>
        <a:ln>
          <a:solidFill>
            <a:schemeClr val="accent1"/>
          </a:solidFill>
          <a:headEnd type="none" w="med" len="med"/>
          <a:tailEnd type="none" w="med" len="med"/>
        </a:ln>
        <a:effectLst/>
      </xdr:spPr>
      <xdr:style>
        <a:lnRef idx="1">
          <a:schemeClr val="accent1"/>
        </a:lnRef>
        <a:fillRef idx="2">
          <a:schemeClr val="accent1"/>
        </a:fillRef>
        <a:effectRef idx="1">
          <a:schemeClr val="accent1"/>
        </a:effectRef>
        <a:fontRef idx="minor">
          <a:schemeClr val="dk1"/>
        </a:fontRef>
      </xdr:style>
      <xdr:txBody>
        <a:bodyPr vertOverflow="clip" horzOverflow="clip" wrap="square" lIns="18288" tIns="0" rIns="0" bIns="0" rtlCol="0" anchor="ctr" upright="1"/>
        <a:lstStyle/>
        <a:p>
          <a:pPr algn="ctr"/>
          <a:endParaRPr kumimoji="1" lang="en-US" altLang="ja-JP" sz="800">
            <a:latin typeface="ＭＳ 明朝" panose="02020609040205080304" pitchFamily="17" charset="-128"/>
            <a:ea typeface="ＭＳ 明朝" panose="02020609040205080304" pitchFamily="17" charset="-128"/>
          </a:endParaRPr>
        </a:p>
      </xdr:txBody>
    </xdr:sp>
    <xdr:clientData/>
  </xdr:twoCellAnchor>
  <xdr:twoCellAnchor>
    <xdr:from>
      <xdr:col>17</xdr:col>
      <xdr:colOff>0</xdr:colOff>
      <xdr:row>106</xdr:row>
      <xdr:rowOff>0</xdr:rowOff>
    </xdr:from>
    <xdr:to>
      <xdr:col>21</xdr:col>
      <xdr:colOff>107150</xdr:colOff>
      <xdr:row>108</xdr:row>
      <xdr:rowOff>0</xdr:rowOff>
    </xdr:to>
    <xdr:sp macro="" textlink="">
      <xdr:nvSpPr>
        <xdr:cNvPr id="6" name="ホームベース 35">
          <a:extLst>
            <a:ext uri="{FF2B5EF4-FFF2-40B4-BE49-F238E27FC236}">
              <a16:creationId xmlns:a16="http://schemas.microsoft.com/office/drawing/2014/main" id="{C2882CCB-94B2-4CD9-BB87-632E856EBC84}"/>
            </a:ext>
          </a:extLst>
        </xdr:cNvPr>
        <xdr:cNvSpPr/>
      </xdr:nvSpPr>
      <xdr:spPr bwMode="auto">
        <a:xfrm>
          <a:off x="3400425" y="26479500"/>
          <a:ext cx="904075" cy="381000"/>
        </a:xfrm>
        <a:prstGeom prst="homePlate">
          <a:avLst/>
        </a:prstGeom>
        <a:solidFill>
          <a:schemeClr val="accent1">
            <a:lumMod val="20000"/>
            <a:lumOff val="80000"/>
          </a:schemeClr>
        </a:solidFill>
        <a:ln>
          <a:solidFill>
            <a:schemeClr val="accent1"/>
          </a:solidFill>
          <a:headEnd type="none" w="med" len="med"/>
          <a:tailEnd type="none" w="med" len="med"/>
        </a:ln>
        <a:effectLst/>
      </xdr:spPr>
      <xdr:style>
        <a:lnRef idx="1">
          <a:schemeClr val="accent1"/>
        </a:lnRef>
        <a:fillRef idx="2">
          <a:schemeClr val="accent1"/>
        </a:fillRef>
        <a:effectRef idx="1">
          <a:schemeClr val="accent1"/>
        </a:effectRef>
        <a:fontRef idx="minor">
          <a:schemeClr val="dk1"/>
        </a:fontRef>
      </xdr:style>
      <xdr:txBody>
        <a:bodyPr vertOverflow="clip" horzOverflow="clip" wrap="square" lIns="18288" tIns="0" rIns="0" bIns="0" rtlCol="0" anchor="ctr" upright="1"/>
        <a:lstStyle/>
        <a:p>
          <a:pPr algn="ctr"/>
          <a:endParaRPr kumimoji="1" lang="en-US" altLang="ja-JP" sz="800">
            <a:latin typeface="ＭＳ 明朝" panose="02020609040205080304" pitchFamily="17" charset="-128"/>
            <a:ea typeface="ＭＳ 明朝" panose="02020609040205080304" pitchFamily="17" charset="-128"/>
          </a:endParaRPr>
        </a:p>
      </xdr:txBody>
    </xdr:sp>
    <xdr:clientData/>
  </xdr:twoCellAnchor>
  <xdr:twoCellAnchor>
    <xdr:from>
      <xdr:col>21</xdr:col>
      <xdr:colOff>168520</xdr:colOff>
      <xdr:row>108</xdr:row>
      <xdr:rowOff>0</xdr:rowOff>
    </xdr:from>
    <xdr:to>
      <xdr:col>30</xdr:col>
      <xdr:colOff>0</xdr:colOff>
      <xdr:row>110</xdr:row>
      <xdr:rowOff>0</xdr:rowOff>
    </xdr:to>
    <xdr:sp macro="" textlink="">
      <xdr:nvSpPr>
        <xdr:cNvPr id="13" name="ホームベース 35">
          <a:extLst>
            <a:ext uri="{FF2B5EF4-FFF2-40B4-BE49-F238E27FC236}">
              <a16:creationId xmlns:a16="http://schemas.microsoft.com/office/drawing/2014/main" id="{8989DE65-EFA0-4A81-B930-DB43E80EB63C}"/>
            </a:ext>
          </a:extLst>
        </xdr:cNvPr>
        <xdr:cNvSpPr/>
      </xdr:nvSpPr>
      <xdr:spPr bwMode="auto">
        <a:xfrm>
          <a:off x="4322885" y="20574000"/>
          <a:ext cx="1611923" cy="381000"/>
        </a:xfrm>
        <a:prstGeom prst="homePlate">
          <a:avLst/>
        </a:prstGeom>
        <a:solidFill>
          <a:schemeClr val="accent1">
            <a:lumMod val="20000"/>
            <a:lumOff val="80000"/>
          </a:schemeClr>
        </a:solidFill>
        <a:ln>
          <a:solidFill>
            <a:schemeClr val="accent1"/>
          </a:solidFill>
          <a:headEnd type="none" w="med" len="med"/>
          <a:tailEnd type="none" w="med" len="med"/>
        </a:ln>
        <a:effectLst/>
      </xdr:spPr>
      <xdr:style>
        <a:lnRef idx="1">
          <a:schemeClr val="accent1"/>
        </a:lnRef>
        <a:fillRef idx="2">
          <a:schemeClr val="accent1"/>
        </a:fillRef>
        <a:effectRef idx="1">
          <a:schemeClr val="accent1"/>
        </a:effectRef>
        <a:fontRef idx="minor">
          <a:schemeClr val="dk1"/>
        </a:fontRef>
      </xdr:style>
      <xdr:txBody>
        <a:bodyPr vertOverflow="clip" horzOverflow="clip" wrap="square" lIns="18288" tIns="0" rIns="0" bIns="0" rtlCol="0" anchor="ctr" upright="1"/>
        <a:lstStyle/>
        <a:p>
          <a:pPr algn="ctr"/>
          <a:endParaRPr kumimoji="1" lang="en-US" altLang="ja-JP" sz="800">
            <a:latin typeface="ＭＳ 明朝" panose="02020609040205080304" pitchFamily="17" charset="-128"/>
            <a:ea typeface="ＭＳ 明朝" panose="02020609040205080304" pitchFamily="17" charset="-128"/>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30</xdr:col>
      <xdr:colOff>0</xdr:colOff>
      <xdr:row>78</xdr:row>
      <xdr:rowOff>28575</xdr:rowOff>
    </xdr:from>
    <xdr:to>
      <xdr:col>31</xdr:col>
      <xdr:colOff>169500</xdr:colOff>
      <xdr:row>78</xdr:row>
      <xdr:rowOff>172575</xdr:rowOff>
    </xdr:to>
    <xdr:sp macro="" textlink="">
      <xdr:nvSpPr>
        <xdr:cNvPr id="2" name="ホームベース 120">
          <a:extLst>
            <a:ext uri="{FF2B5EF4-FFF2-40B4-BE49-F238E27FC236}">
              <a16:creationId xmlns:a16="http://schemas.microsoft.com/office/drawing/2014/main" id="{90EF4B56-5073-4EB8-952D-CF684397F75A}"/>
            </a:ext>
          </a:extLst>
        </xdr:cNvPr>
        <xdr:cNvSpPr/>
      </xdr:nvSpPr>
      <xdr:spPr bwMode="auto">
        <a:xfrm>
          <a:off x="6000750" y="23075900"/>
          <a:ext cx="369525" cy="147175"/>
        </a:xfrm>
        <a:prstGeom prst="homePlate">
          <a:avLst/>
        </a:prstGeom>
        <a:solidFill>
          <a:schemeClr val="accent1">
            <a:lumMod val="20000"/>
            <a:lumOff val="80000"/>
          </a:schemeClr>
        </a:solidFill>
        <a:ln>
          <a:solidFill>
            <a:schemeClr val="accent1"/>
          </a:solidFill>
          <a:headEnd type="none" w="med" len="med"/>
          <a:tailEnd type="none" w="med" len="med"/>
        </a:ln>
        <a:effectLst/>
      </xdr:spPr>
      <xdr:style>
        <a:lnRef idx="1">
          <a:schemeClr val="accent1"/>
        </a:lnRef>
        <a:fillRef idx="2">
          <a:schemeClr val="accent1"/>
        </a:fillRef>
        <a:effectRef idx="1">
          <a:schemeClr val="accent1"/>
        </a:effectRef>
        <a:fontRef idx="minor">
          <a:schemeClr val="dk1"/>
        </a:fontRef>
      </xdr:style>
      <xdr:txBody>
        <a:bodyPr vertOverflow="overflow" horzOverflow="overflow" wrap="none" lIns="0" tIns="0" rIns="0" bIns="0" rtlCol="0" anchor="ctr" upright="1"/>
        <a:lstStyle/>
        <a:p>
          <a:pPr algn="ctr"/>
          <a:endParaRPr kumimoji="1" lang="ja-JP" altLang="en-US" sz="800">
            <a:latin typeface="ＭＳ 明朝" panose="02020609040205080304" pitchFamily="17" charset="-128"/>
            <a:ea typeface="ＭＳ 明朝" panose="02020609040205080304" pitchFamily="17" charset="-128"/>
          </a:endParaRPr>
        </a:p>
      </xdr:txBody>
    </xdr:sp>
    <xdr:clientData/>
  </xdr:twoCellAnchor>
  <xdr:twoCellAnchor>
    <xdr:from>
      <xdr:col>8</xdr:col>
      <xdr:colOff>1</xdr:colOff>
      <xdr:row>66</xdr:row>
      <xdr:rowOff>0</xdr:rowOff>
    </xdr:from>
    <xdr:to>
      <xdr:col>10</xdr:col>
      <xdr:colOff>0</xdr:colOff>
      <xdr:row>68</xdr:row>
      <xdr:rowOff>0</xdr:rowOff>
    </xdr:to>
    <xdr:sp macro="" textlink="">
      <xdr:nvSpPr>
        <xdr:cNvPr id="14" name="ホームベース 35">
          <a:extLst>
            <a:ext uri="{FF2B5EF4-FFF2-40B4-BE49-F238E27FC236}">
              <a16:creationId xmlns:a16="http://schemas.microsoft.com/office/drawing/2014/main" id="{D155F027-1F67-442C-B058-BF9921CBA570}"/>
            </a:ext>
          </a:extLst>
        </xdr:cNvPr>
        <xdr:cNvSpPr/>
      </xdr:nvSpPr>
      <xdr:spPr bwMode="auto">
        <a:xfrm>
          <a:off x="1600201" y="20764500"/>
          <a:ext cx="400049" cy="381000"/>
        </a:xfrm>
        <a:prstGeom prst="homePlate">
          <a:avLst/>
        </a:prstGeom>
        <a:solidFill>
          <a:srgbClr val="DEEBF7">
            <a:alpha val="60000"/>
          </a:srgbClr>
        </a:solidFill>
        <a:ln>
          <a:solidFill>
            <a:schemeClr val="accent1"/>
          </a:solidFill>
          <a:headEnd type="none" w="med" len="med"/>
          <a:tailEnd type="none" w="med" len="med"/>
        </a:ln>
        <a:effectLst/>
      </xdr:spPr>
      <xdr:style>
        <a:lnRef idx="1">
          <a:schemeClr val="accent1"/>
        </a:lnRef>
        <a:fillRef idx="2">
          <a:schemeClr val="accent1"/>
        </a:fillRef>
        <a:effectRef idx="1">
          <a:schemeClr val="accent1"/>
        </a:effectRef>
        <a:fontRef idx="minor">
          <a:schemeClr val="dk1"/>
        </a:fontRef>
      </xdr:style>
      <xdr:txBody>
        <a:bodyPr vertOverflow="clip" horzOverflow="clip" wrap="square" lIns="18288" tIns="0" rIns="0" bIns="0" rtlCol="0" anchor="ctr" upright="1"/>
        <a:lstStyle/>
        <a:p>
          <a:pPr marL="0" indent="0" algn="ctr"/>
          <a:endParaRPr kumimoji="1" lang="en-US" altLang="ja-JP" sz="800">
            <a:solidFill>
              <a:schemeClr val="dk1"/>
            </a:solidFill>
            <a:latin typeface="ＭＳ 明朝" panose="02020609040205080304" pitchFamily="17" charset="-128"/>
            <a:ea typeface="ＭＳ 明朝" panose="02020609040205080304" pitchFamily="17" charset="-128"/>
            <a:cs typeface="+mn-cs"/>
          </a:endParaRPr>
        </a:p>
      </xdr:txBody>
    </xdr:sp>
    <xdr:clientData/>
  </xdr:twoCellAnchor>
  <xdr:twoCellAnchor>
    <xdr:from>
      <xdr:col>24</xdr:col>
      <xdr:colOff>0</xdr:colOff>
      <xdr:row>78</xdr:row>
      <xdr:rowOff>30480</xdr:rowOff>
    </xdr:from>
    <xdr:to>
      <xdr:col>25</xdr:col>
      <xdr:colOff>169500</xdr:colOff>
      <xdr:row>78</xdr:row>
      <xdr:rowOff>174480</xdr:rowOff>
    </xdr:to>
    <xdr:sp macro="" textlink="">
      <xdr:nvSpPr>
        <xdr:cNvPr id="4" name="ホームベース 13">
          <a:extLst>
            <a:ext uri="{FF2B5EF4-FFF2-40B4-BE49-F238E27FC236}">
              <a16:creationId xmlns:a16="http://schemas.microsoft.com/office/drawing/2014/main" id="{2EEA360F-8B5D-46E6-A0DC-B4B80A17E999}"/>
            </a:ext>
          </a:extLst>
        </xdr:cNvPr>
        <xdr:cNvSpPr/>
      </xdr:nvSpPr>
      <xdr:spPr bwMode="auto">
        <a:xfrm>
          <a:off x="4800600" y="23077805"/>
          <a:ext cx="369525" cy="147175"/>
        </a:xfrm>
        <a:prstGeom prst="homePlate">
          <a:avLst/>
        </a:prstGeom>
        <a:solidFill>
          <a:schemeClr val="accent3">
            <a:lumMod val="20000"/>
            <a:lumOff val="80000"/>
          </a:schemeClr>
        </a:solidFill>
        <a:ln>
          <a:solidFill>
            <a:schemeClr val="accent3"/>
          </a:solidFill>
          <a:headEnd type="none" w="med" len="med"/>
          <a:tailEnd type="none" w="med" len="med"/>
        </a:ln>
        <a:effectLst/>
      </xdr:spPr>
      <xdr:style>
        <a:lnRef idx="1">
          <a:schemeClr val="accent1"/>
        </a:lnRef>
        <a:fillRef idx="2">
          <a:schemeClr val="accent1"/>
        </a:fillRef>
        <a:effectRef idx="1">
          <a:schemeClr val="accent1"/>
        </a:effectRef>
        <a:fontRef idx="minor">
          <a:schemeClr val="dk1"/>
        </a:fontRef>
      </xdr:style>
      <xdr:txBody>
        <a:bodyPr vertOverflow="overflow" horzOverflow="overflow" wrap="none" lIns="0" tIns="0" rIns="0" bIns="0" rtlCol="0" anchor="ctr" upright="1"/>
        <a:lstStyle/>
        <a:p>
          <a:pPr algn="ctr"/>
          <a:endParaRPr kumimoji="1" lang="ja-JP" altLang="en-US" sz="800">
            <a:latin typeface="ＭＳ 明朝" panose="02020609040205080304" pitchFamily="17" charset="-128"/>
            <a:ea typeface="ＭＳ 明朝" panose="02020609040205080304" pitchFamily="17" charset="-128"/>
          </a:endParaRPr>
        </a:p>
      </xdr:txBody>
    </xdr:sp>
    <xdr:clientData/>
  </xdr:twoCellAnchor>
  <xdr:twoCellAnchor>
    <xdr:from>
      <xdr:col>10</xdr:col>
      <xdr:colOff>2</xdr:colOff>
      <xdr:row>68</xdr:row>
      <xdr:rowOff>0</xdr:rowOff>
    </xdr:from>
    <xdr:to>
      <xdr:col>17</xdr:col>
      <xdr:colOff>1</xdr:colOff>
      <xdr:row>70</xdr:row>
      <xdr:rowOff>0</xdr:rowOff>
    </xdr:to>
    <xdr:sp macro="" textlink="">
      <xdr:nvSpPr>
        <xdr:cNvPr id="13" name="ホームベース 35">
          <a:extLst>
            <a:ext uri="{FF2B5EF4-FFF2-40B4-BE49-F238E27FC236}">
              <a16:creationId xmlns:a16="http://schemas.microsoft.com/office/drawing/2014/main" id="{F6148D94-6D2A-4E51-8004-99EAA1D1504E}"/>
            </a:ext>
          </a:extLst>
        </xdr:cNvPr>
        <xdr:cNvSpPr/>
      </xdr:nvSpPr>
      <xdr:spPr bwMode="auto">
        <a:xfrm>
          <a:off x="2000252" y="21145500"/>
          <a:ext cx="1400174" cy="381000"/>
        </a:xfrm>
        <a:prstGeom prst="homePlate">
          <a:avLst/>
        </a:prstGeom>
        <a:solidFill>
          <a:srgbClr val="DEEBF7">
            <a:alpha val="60000"/>
          </a:srgbClr>
        </a:solidFill>
        <a:ln>
          <a:solidFill>
            <a:schemeClr val="accent1"/>
          </a:solidFill>
          <a:headEnd type="none" w="med" len="med"/>
          <a:tailEnd type="none" w="med" len="med"/>
        </a:ln>
        <a:effectLst/>
      </xdr:spPr>
      <xdr:style>
        <a:lnRef idx="1">
          <a:schemeClr val="accent1"/>
        </a:lnRef>
        <a:fillRef idx="2">
          <a:schemeClr val="accent1"/>
        </a:fillRef>
        <a:effectRef idx="1">
          <a:schemeClr val="accent1"/>
        </a:effectRef>
        <a:fontRef idx="minor">
          <a:schemeClr val="dk1"/>
        </a:fontRef>
      </xdr:style>
      <xdr:txBody>
        <a:bodyPr vertOverflow="clip" horzOverflow="clip" wrap="square" lIns="18288" tIns="0" rIns="0" bIns="0" rtlCol="0" anchor="ctr" upright="1"/>
        <a:lstStyle/>
        <a:p>
          <a:pPr marL="0" indent="0" algn="ctr"/>
          <a:endParaRPr kumimoji="1" lang="en-US" altLang="ja-JP" sz="800">
            <a:solidFill>
              <a:schemeClr val="dk1"/>
            </a:solidFill>
            <a:latin typeface="ＭＳ 明朝" panose="02020609040205080304" pitchFamily="17" charset="-128"/>
            <a:ea typeface="ＭＳ 明朝" panose="02020609040205080304" pitchFamily="17" charset="-128"/>
            <a:cs typeface="+mn-cs"/>
          </a:endParaRPr>
        </a:p>
      </xdr:txBody>
    </xdr:sp>
    <xdr:clientData/>
  </xdr:twoCellAnchor>
  <xdr:twoCellAnchor>
    <xdr:from>
      <xdr:col>17</xdr:col>
      <xdr:colOff>0</xdr:colOff>
      <xdr:row>70</xdr:row>
      <xdr:rowOff>0</xdr:rowOff>
    </xdr:from>
    <xdr:to>
      <xdr:col>21</xdr:col>
      <xdr:colOff>107150</xdr:colOff>
      <xdr:row>72</xdr:row>
      <xdr:rowOff>0</xdr:rowOff>
    </xdr:to>
    <xdr:sp macro="" textlink="">
      <xdr:nvSpPr>
        <xdr:cNvPr id="12" name="ホームベース 35">
          <a:extLst>
            <a:ext uri="{FF2B5EF4-FFF2-40B4-BE49-F238E27FC236}">
              <a16:creationId xmlns:a16="http://schemas.microsoft.com/office/drawing/2014/main" id="{63B50CA9-4A2F-4223-BCAA-9D8777CFA7C6}"/>
            </a:ext>
          </a:extLst>
        </xdr:cNvPr>
        <xdr:cNvSpPr/>
      </xdr:nvSpPr>
      <xdr:spPr bwMode="auto">
        <a:xfrm>
          <a:off x="3400425" y="21526500"/>
          <a:ext cx="904075" cy="381000"/>
        </a:xfrm>
        <a:prstGeom prst="homePlate">
          <a:avLst/>
        </a:prstGeom>
        <a:solidFill>
          <a:srgbClr val="DEEBF7">
            <a:alpha val="60000"/>
          </a:srgbClr>
        </a:solidFill>
        <a:ln>
          <a:solidFill>
            <a:schemeClr val="accent1"/>
          </a:solidFill>
          <a:headEnd type="none" w="med" len="med"/>
          <a:tailEnd type="none" w="med" len="med"/>
        </a:ln>
        <a:effectLst/>
      </xdr:spPr>
      <xdr:style>
        <a:lnRef idx="1">
          <a:schemeClr val="accent1"/>
        </a:lnRef>
        <a:fillRef idx="2">
          <a:schemeClr val="accent1"/>
        </a:fillRef>
        <a:effectRef idx="1">
          <a:schemeClr val="accent1"/>
        </a:effectRef>
        <a:fontRef idx="minor">
          <a:schemeClr val="dk1"/>
        </a:fontRef>
      </xdr:style>
      <xdr:txBody>
        <a:bodyPr vertOverflow="clip" horzOverflow="clip" wrap="square" lIns="18288" tIns="0" rIns="0" bIns="0" rtlCol="0" anchor="ctr" upright="1"/>
        <a:lstStyle/>
        <a:p>
          <a:pPr algn="ctr"/>
          <a:endParaRPr kumimoji="1" lang="en-US" altLang="ja-JP" sz="800">
            <a:latin typeface="ＭＳ 明朝" panose="02020609040205080304" pitchFamily="17" charset="-128"/>
            <a:ea typeface="ＭＳ 明朝" panose="02020609040205080304" pitchFamily="17" charset="-128"/>
          </a:endParaRPr>
        </a:p>
      </xdr:txBody>
    </xdr:sp>
    <xdr:clientData/>
  </xdr:twoCellAnchor>
  <xdr:twoCellAnchor>
    <xdr:from>
      <xdr:col>21</xdr:col>
      <xdr:colOff>101607</xdr:colOff>
      <xdr:row>72</xdr:row>
      <xdr:rowOff>0</xdr:rowOff>
    </xdr:from>
    <xdr:to>
      <xdr:col>24</xdr:col>
      <xdr:colOff>0</xdr:colOff>
      <xdr:row>74</xdr:row>
      <xdr:rowOff>0</xdr:rowOff>
    </xdr:to>
    <xdr:sp macro="" textlink="">
      <xdr:nvSpPr>
        <xdr:cNvPr id="16" name="ホームベース 35">
          <a:extLst>
            <a:ext uri="{FF2B5EF4-FFF2-40B4-BE49-F238E27FC236}">
              <a16:creationId xmlns:a16="http://schemas.microsoft.com/office/drawing/2014/main" id="{B683A7A3-955D-404C-A1A7-437E0F0F43CD}"/>
            </a:ext>
          </a:extLst>
        </xdr:cNvPr>
        <xdr:cNvSpPr/>
      </xdr:nvSpPr>
      <xdr:spPr bwMode="auto">
        <a:xfrm>
          <a:off x="4305307" y="21907500"/>
          <a:ext cx="495293" cy="381000"/>
        </a:xfrm>
        <a:prstGeom prst="homePlate">
          <a:avLst/>
        </a:prstGeom>
        <a:solidFill>
          <a:srgbClr val="DEEBF7">
            <a:alpha val="60000"/>
          </a:srgbClr>
        </a:solidFill>
        <a:ln>
          <a:solidFill>
            <a:schemeClr val="accent1"/>
          </a:solidFill>
          <a:headEnd type="none" w="med" len="med"/>
          <a:tailEnd type="none" w="med" len="med"/>
        </a:ln>
        <a:effectLst/>
      </xdr:spPr>
      <xdr:style>
        <a:lnRef idx="1">
          <a:schemeClr val="accent1"/>
        </a:lnRef>
        <a:fillRef idx="2">
          <a:schemeClr val="accent1"/>
        </a:fillRef>
        <a:effectRef idx="1">
          <a:schemeClr val="accent1"/>
        </a:effectRef>
        <a:fontRef idx="minor">
          <a:schemeClr val="dk1"/>
        </a:fontRef>
      </xdr:style>
      <xdr:txBody>
        <a:bodyPr vertOverflow="clip" horzOverflow="clip" wrap="square" lIns="18288" tIns="0" rIns="0" bIns="0" rtlCol="0" anchor="ctr" upright="1"/>
        <a:lstStyle/>
        <a:p>
          <a:pPr marL="0" indent="0" algn="ctr"/>
          <a:endParaRPr kumimoji="1" lang="en-US" altLang="ja-JP" sz="800">
            <a:solidFill>
              <a:schemeClr val="dk1"/>
            </a:solidFill>
            <a:latin typeface="ＭＳ 明朝" panose="02020609040205080304" pitchFamily="17" charset="-128"/>
            <a:ea typeface="ＭＳ 明朝" panose="02020609040205080304" pitchFamily="17" charset="-128"/>
            <a:cs typeface="+mn-cs"/>
          </a:endParaRPr>
        </a:p>
      </xdr:txBody>
    </xdr:sp>
    <xdr:clientData/>
  </xdr:twoCellAnchor>
  <xdr:twoCellAnchor>
    <xdr:from>
      <xdr:col>24</xdr:col>
      <xdr:colOff>0</xdr:colOff>
      <xdr:row>74</xdr:row>
      <xdr:rowOff>0</xdr:rowOff>
    </xdr:from>
    <xdr:to>
      <xdr:col>28</xdr:col>
      <xdr:colOff>0</xdr:colOff>
      <xdr:row>75</xdr:row>
      <xdr:rowOff>0</xdr:rowOff>
    </xdr:to>
    <xdr:sp macro="" textlink="">
      <xdr:nvSpPr>
        <xdr:cNvPr id="8" name="ホームベース 35">
          <a:extLst>
            <a:ext uri="{FF2B5EF4-FFF2-40B4-BE49-F238E27FC236}">
              <a16:creationId xmlns:a16="http://schemas.microsoft.com/office/drawing/2014/main" id="{FA507017-6A6C-4724-ACAA-18DB75514982}"/>
            </a:ext>
          </a:extLst>
        </xdr:cNvPr>
        <xdr:cNvSpPr/>
      </xdr:nvSpPr>
      <xdr:spPr bwMode="auto">
        <a:xfrm>
          <a:off x="4800600" y="22288500"/>
          <a:ext cx="800100" cy="190500"/>
        </a:xfrm>
        <a:prstGeom prst="homePlate">
          <a:avLst/>
        </a:prstGeom>
        <a:solidFill>
          <a:schemeClr val="accent3">
            <a:lumMod val="20000"/>
            <a:lumOff val="80000"/>
          </a:schemeClr>
        </a:solidFill>
        <a:ln>
          <a:solidFill>
            <a:schemeClr val="accent3"/>
          </a:solidFill>
          <a:headEnd type="none" w="med" len="med"/>
          <a:tailEnd type="none" w="med" len="med"/>
        </a:ln>
        <a:effectLst/>
      </xdr:spPr>
      <xdr:style>
        <a:lnRef idx="1">
          <a:schemeClr val="accent1"/>
        </a:lnRef>
        <a:fillRef idx="2">
          <a:schemeClr val="accent1"/>
        </a:fillRef>
        <a:effectRef idx="1">
          <a:schemeClr val="accent1"/>
        </a:effectRef>
        <a:fontRef idx="minor">
          <a:schemeClr val="dk1"/>
        </a:fontRef>
      </xdr:style>
      <xdr:txBody>
        <a:bodyPr vertOverflow="overflow" horzOverflow="overflow" wrap="none" lIns="0" tIns="0" rIns="0" bIns="0" rtlCol="0" anchor="ctr" upright="1"/>
        <a:lstStyle/>
        <a:p>
          <a:pPr marL="0" indent="0" algn="ctr"/>
          <a:endParaRPr kumimoji="1" lang="en-US" altLang="ja-JP" sz="800">
            <a:solidFill>
              <a:schemeClr val="dk1"/>
            </a:solidFill>
            <a:latin typeface="ＭＳ 明朝" panose="02020609040205080304" pitchFamily="17" charset="-128"/>
            <a:ea typeface="ＭＳ 明朝" panose="02020609040205080304" pitchFamily="17" charset="-128"/>
            <a:cs typeface="+mn-cs"/>
          </a:endParaRPr>
        </a:p>
      </xdr:txBody>
    </xdr:sp>
    <xdr:clientData/>
  </xdr:twoCellAnchor>
  <xdr:twoCellAnchor>
    <xdr:from>
      <xdr:col>24</xdr:col>
      <xdr:colOff>0</xdr:colOff>
      <xdr:row>75</xdr:row>
      <xdr:rowOff>2</xdr:rowOff>
    </xdr:from>
    <xdr:to>
      <xdr:col>28</xdr:col>
      <xdr:colOff>0</xdr:colOff>
      <xdr:row>76</xdr:row>
      <xdr:rowOff>0</xdr:rowOff>
    </xdr:to>
    <xdr:sp macro="" textlink="">
      <xdr:nvSpPr>
        <xdr:cNvPr id="9" name="ホームベース 35">
          <a:extLst>
            <a:ext uri="{FF2B5EF4-FFF2-40B4-BE49-F238E27FC236}">
              <a16:creationId xmlns:a16="http://schemas.microsoft.com/office/drawing/2014/main" id="{B4809A5E-F055-460B-9497-D3A6B5EEF1FF}"/>
            </a:ext>
          </a:extLst>
        </xdr:cNvPr>
        <xdr:cNvSpPr/>
      </xdr:nvSpPr>
      <xdr:spPr bwMode="auto">
        <a:xfrm>
          <a:off x="4800600" y="22479002"/>
          <a:ext cx="800100" cy="190498"/>
        </a:xfrm>
        <a:prstGeom prst="homePlate">
          <a:avLst/>
        </a:prstGeom>
        <a:solidFill>
          <a:schemeClr val="accent1">
            <a:lumMod val="20000"/>
            <a:lumOff val="80000"/>
          </a:schemeClr>
        </a:solidFill>
        <a:ln>
          <a:solidFill>
            <a:schemeClr val="accent1"/>
          </a:solidFill>
          <a:headEnd type="none" w="med" len="med"/>
          <a:tailEnd type="none" w="med" len="med"/>
        </a:ln>
        <a:effectLst/>
      </xdr:spPr>
      <xdr:style>
        <a:lnRef idx="1">
          <a:schemeClr val="accent1"/>
        </a:lnRef>
        <a:fillRef idx="2">
          <a:schemeClr val="accent1"/>
        </a:fillRef>
        <a:effectRef idx="1">
          <a:schemeClr val="accent1"/>
        </a:effectRef>
        <a:fontRef idx="minor">
          <a:schemeClr val="dk1"/>
        </a:fontRef>
      </xdr:style>
      <xdr:txBody>
        <a:bodyPr vertOverflow="clip" horzOverflow="clip" wrap="square" lIns="18288" tIns="0" rIns="0" bIns="0" rtlCol="0" anchor="ctr" upright="1"/>
        <a:lstStyle/>
        <a:p>
          <a:pPr algn="ctr"/>
          <a:endParaRPr kumimoji="1" lang="en-US" altLang="ja-JP" sz="800">
            <a:latin typeface="ＭＳ 明朝" panose="02020609040205080304" pitchFamily="17" charset="-128"/>
            <a:ea typeface="ＭＳ 明朝" panose="02020609040205080304" pitchFamily="17" charset="-128"/>
          </a:endParaRPr>
        </a:p>
      </xdr:txBody>
    </xdr:sp>
    <xdr:clientData/>
  </xdr:twoCellAnchor>
  <xdr:twoCellAnchor>
    <xdr:from>
      <xdr:col>28</xdr:col>
      <xdr:colOff>0</xdr:colOff>
      <xdr:row>76</xdr:row>
      <xdr:rowOff>0</xdr:rowOff>
    </xdr:from>
    <xdr:to>
      <xdr:col>30</xdr:col>
      <xdr:colOff>0</xdr:colOff>
      <xdr:row>78</xdr:row>
      <xdr:rowOff>0</xdr:rowOff>
    </xdr:to>
    <xdr:sp macro="" textlink="">
      <xdr:nvSpPr>
        <xdr:cNvPr id="10" name="ホームベース 35">
          <a:extLst>
            <a:ext uri="{FF2B5EF4-FFF2-40B4-BE49-F238E27FC236}">
              <a16:creationId xmlns:a16="http://schemas.microsoft.com/office/drawing/2014/main" id="{B32EE089-3BB4-4F2B-809D-616698733FFE}"/>
            </a:ext>
          </a:extLst>
        </xdr:cNvPr>
        <xdr:cNvSpPr/>
      </xdr:nvSpPr>
      <xdr:spPr bwMode="auto">
        <a:xfrm>
          <a:off x="5788269" y="15430500"/>
          <a:ext cx="395654" cy="381000"/>
        </a:xfrm>
        <a:prstGeom prst="homePlate">
          <a:avLst/>
        </a:prstGeom>
        <a:solidFill>
          <a:schemeClr val="accent1">
            <a:lumMod val="20000"/>
            <a:lumOff val="80000"/>
          </a:schemeClr>
        </a:solidFill>
        <a:ln>
          <a:solidFill>
            <a:schemeClr val="accent1"/>
          </a:solidFill>
          <a:headEnd type="none" w="med" len="med"/>
          <a:tailEnd type="none" w="med" len="med"/>
        </a:ln>
        <a:effectLst/>
      </xdr:spPr>
      <xdr:style>
        <a:lnRef idx="1">
          <a:schemeClr val="accent1"/>
        </a:lnRef>
        <a:fillRef idx="2">
          <a:schemeClr val="accent1"/>
        </a:fillRef>
        <a:effectRef idx="1">
          <a:schemeClr val="accent1"/>
        </a:effectRef>
        <a:fontRef idx="minor">
          <a:schemeClr val="dk1"/>
        </a:fontRef>
      </xdr:style>
      <xdr:txBody>
        <a:bodyPr vertOverflow="clip" horzOverflow="clip" wrap="square" lIns="18288" tIns="0" rIns="0" bIns="0" rtlCol="0" anchor="ctr" upright="1"/>
        <a:lstStyle/>
        <a:p>
          <a:pPr algn="ctr"/>
          <a:endParaRPr kumimoji="1" lang="en-US" altLang="ja-JP" sz="800">
            <a:latin typeface="ＭＳ 明朝" panose="02020609040205080304" pitchFamily="17" charset="-128"/>
            <a:ea typeface="ＭＳ 明朝" panose="02020609040205080304" pitchFamily="17" charset="-128"/>
          </a:endParaRPr>
        </a:p>
      </xdr:txBody>
    </xdr:sp>
    <xdr:clientData/>
  </xdr:twoCellAnchor>
  <xdr:twoCellAnchor>
    <xdr:from>
      <xdr:col>24</xdr:col>
      <xdr:colOff>0</xdr:colOff>
      <xdr:row>75</xdr:row>
      <xdr:rowOff>2</xdr:rowOff>
    </xdr:from>
    <xdr:to>
      <xdr:col>28</xdr:col>
      <xdr:colOff>0</xdr:colOff>
      <xdr:row>76</xdr:row>
      <xdr:rowOff>1</xdr:rowOff>
    </xdr:to>
    <xdr:sp macro="" textlink="">
      <xdr:nvSpPr>
        <xdr:cNvPr id="15" name="ホームベース 35">
          <a:extLst>
            <a:ext uri="{FF2B5EF4-FFF2-40B4-BE49-F238E27FC236}">
              <a16:creationId xmlns:a16="http://schemas.microsoft.com/office/drawing/2014/main" id="{5A634F66-AE9C-4F5F-95A8-4ED647ED2683}"/>
            </a:ext>
          </a:extLst>
        </xdr:cNvPr>
        <xdr:cNvSpPr/>
      </xdr:nvSpPr>
      <xdr:spPr bwMode="auto">
        <a:xfrm>
          <a:off x="4800600" y="22479002"/>
          <a:ext cx="800100" cy="190499"/>
        </a:xfrm>
        <a:prstGeom prst="homePlate">
          <a:avLst/>
        </a:prstGeom>
        <a:solidFill>
          <a:srgbClr val="DEEBF7">
            <a:alpha val="60000"/>
          </a:srgbClr>
        </a:solidFill>
        <a:ln>
          <a:solidFill>
            <a:schemeClr val="accent1"/>
          </a:solidFill>
          <a:headEnd type="none" w="med" len="med"/>
          <a:tailEnd type="none" w="med" len="med"/>
        </a:ln>
        <a:effectLst/>
      </xdr:spPr>
      <xdr:style>
        <a:lnRef idx="1">
          <a:schemeClr val="accent1"/>
        </a:lnRef>
        <a:fillRef idx="2">
          <a:schemeClr val="accent1"/>
        </a:fillRef>
        <a:effectRef idx="1">
          <a:schemeClr val="accent1"/>
        </a:effectRef>
        <a:fontRef idx="minor">
          <a:schemeClr val="dk1"/>
        </a:fontRef>
      </xdr:style>
      <xdr:txBody>
        <a:bodyPr vertOverflow="clip" horzOverflow="clip" wrap="square" lIns="18288" tIns="0" rIns="0" bIns="0" rtlCol="0" anchor="ctr" upright="1"/>
        <a:lstStyle/>
        <a:p>
          <a:pPr marL="0" indent="0" algn="ctr"/>
          <a:endParaRPr kumimoji="1" lang="en-US" altLang="ja-JP" sz="800">
            <a:solidFill>
              <a:schemeClr val="dk1"/>
            </a:solidFill>
            <a:latin typeface="ＭＳ 明朝" panose="02020609040205080304" pitchFamily="17" charset="-128"/>
            <a:ea typeface="ＭＳ 明朝" panose="02020609040205080304" pitchFamily="17" charset="-128"/>
            <a:cs typeface="+mn-cs"/>
          </a:endParaRPr>
        </a:p>
      </xdr:txBody>
    </xdr:sp>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https://cypresscorporation.sharepoint.com/sites/msteams_474cc0/Shared%20Documents/General/17%20&#35211;&#31309;/20230406_&#35211;&#31309;&#26360;_&#24859;&#30693;_&#21271;&#28023;&#36947;_&#23637;&#38283;/&#21271;&#28023;&#36947;&#12539;&#24859;&#30693;&#12408;&#12398;&#21453;&#26144;&#26908;&#35342;&#21315;&#33865;&#27531;&#35506;&#38988;_20230713.xlsx" TargetMode="External"/><Relationship Id="rId1" Type="http://schemas.openxmlformats.org/officeDocument/2006/relationships/externalLinkPath" Target="https://cypresscorporation.sharepoint.com/sites/msteams_474cc0/Shared%20Documents/General/17%20&#35211;&#31309;/20241108_&#35211;&#31309;_&#21271;&#28023;&#36947;_&#24859;&#30693;_&#36861;&#21152;/&#21271;&#28023;&#36947;&#12539;&#24859;&#30693;&#12408;&#12398;&#21453;&#26144;&#26908;&#35342;&#21315;&#33865;&#27531;&#35506;&#38988;_20230713.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障害課題一覧 (検討優先度高のもの)"/>
      <sheetName val="障害課題一覧 (それ以外)"/>
      <sheetName val="コード内訳"/>
    </sheetNames>
    <sheetDataSet>
      <sheetData sheetId="0"/>
      <sheetData sheetId="1"/>
      <sheetData sheetId="2"/>
    </sheetDataSet>
  </externalBook>
</externalLink>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6.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7.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DC77B2-29E8-4905-8279-E746AC066A81}">
  <dimension ref="A1:AQ153"/>
  <sheetViews>
    <sheetView showGridLines="0" tabSelected="1" topLeftCell="A67" zoomScale="130" zoomScaleNormal="130" zoomScaleSheetLayoutView="115" workbookViewId="0">
      <selection activeCell="J56" sqref="J56:T56"/>
    </sheetView>
  </sheetViews>
  <sheetFormatPr defaultColWidth="2.625" defaultRowHeight="15" customHeight="1"/>
  <cols>
    <col min="1" max="1" width="2.625" style="30"/>
    <col min="2" max="30" width="2.625" style="27"/>
    <col min="31" max="31" width="6.75" style="27" bestFit="1" customWidth="1"/>
    <col min="32" max="16384" width="2.625" style="27"/>
  </cols>
  <sheetData>
    <row r="1" spans="1:36" s="25" customFormat="1" ht="15" customHeight="1">
      <c r="A1" s="174" t="s">
        <v>0</v>
      </c>
      <c r="B1" s="174"/>
      <c r="C1" s="174"/>
      <c r="D1" s="174"/>
      <c r="E1" s="174"/>
      <c r="F1" s="174"/>
      <c r="G1" s="174"/>
      <c r="H1" s="174"/>
      <c r="I1" s="174"/>
      <c r="J1" s="174"/>
      <c r="K1" s="174"/>
      <c r="L1" s="174"/>
      <c r="M1" s="174"/>
      <c r="N1" s="174"/>
      <c r="O1" s="174"/>
      <c r="P1" s="174"/>
      <c r="Q1" s="174"/>
      <c r="X1" s="26" t="s">
        <v>1</v>
      </c>
      <c r="Z1" s="26"/>
      <c r="AA1" s="26"/>
      <c r="AB1" s="26"/>
      <c r="AC1" s="26"/>
      <c r="AD1" s="26"/>
      <c r="AE1" s="26"/>
      <c r="AF1" s="175" t="s">
        <v>2</v>
      </c>
      <c r="AG1" s="176"/>
      <c r="AH1" s="176"/>
      <c r="AI1" s="176"/>
      <c r="AJ1" s="176"/>
    </row>
    <row r="2" spans="1:36" s="25" customFormat="1" ht="15" customHeight="1">
      <c r="A2" s="174"/>
      <c r="B2" s="174"/>
      <c r="C2" s="174"/>
      <c r="D2" s="174"/>
      <c r="E2" s="174"/>
      <c r="F2" s="174"/>
      <c r="G2" s="174"/>
      <c r="H2" s="174"/>
      <c r="I2" s="174"/>
      <c r="J2" s="174"/>
      <c r="K2" s="174"/>
      <c r="L2" s="174"/>
      <c r="M2" s="174"/>
      <c r="N2" s="174"/>
      <c r="O2" s="174"/>
      <c r="P2" s="174"/>
      <c r="Q2" s="174"/>
      <c r="X2" s="28" t="s">
        <v>3</v>
      </c>
      <c r="Y2" s="60"/>
      <c r="Z2" s="28"/>
      <c r="AA2" s="28"/>
      <c r="AB2" s="28"/>
      <c r="AC2" s="28"/>
      <c r="AD2" s="28"/>
      <c r="AE2" s="28"/>
      <c r="AF2" s="177">
        <v>45971</v>
      </c>
      <c r="AG2" s="178"/>
      <c r="AH2" s="178"/>
      <c r="AI2" s="178"/>
      <c r="AJ2" s="178"/>
    </row>
    <row r="3" spans="1:36" s="25" customFormat="1" ht="15" customHeight="1">
      <c r="A3" s="29"/>
      <c r="Z3" s="27"/>
      <c r="AA3" s="27"/>
      <c r="AB3" s="27"/>
      <c r="AC3" s="27"/>
      <c r="AD3" s="27"/>
      <c r="AE3" s="27"/>
      <c r="AF3" s="27"/>
      <c r="AG3" s="27"/>
      <c r="AH3" s="27"/>
      <c r="AI3" s="27"/>
      <c r="AJ3" s="27"/>
    </row>
    <row r="4" spans="1:36" s="25" customFormat="1" ht="15" customHeight="1">
      <c r="A4" s="29"/>
      <c r="Z4" s="27"/>
      <c r="AA4" s="27"/>
      <c r="AB4" s="27"/>
      <c r="AC4" s="27"/>
      <c r="AD4" s="27"/>
      <c r="AE4" s="27"/>
      <c r="AF4" s="27"/>
      <c r="AG4" s="27"/>
      <c r="AH4" s="27"/>
      <c r="AI4" s="27"/>
      <c r="AJ4" s="27"/>
    </row>
    <row r="5" spans="1:36" s="25" customFormat="1" ht="15" customHeight="1">
      <c r="A5" s="179" t="s">
        <v>4</v>
      </c>
      <c r="B5" s="179"/>
      <c r="C5" s="179"/>
      <c r="D5" s="179"/>
      <c r="E5" s="179"/>
      <c r="F5" s="179"/>
      <c r="G5" s="179"/>
      <c r="H5" s="179"/>
      <c r="I5" s="179"/>
      <c r="J5" s="179"/>
      <c r="K5" s="179"/>
      <c r="L5" s="179"/>
      <c r="M5" s="179"/>
      <c r="N5" s="179"/>
      <c r="O5" s="179"/>
      <c r="P5" s="179"/>
      <c r="Q5" s="179"/>
      <c r="Z5" s="27"/>
      <c r="AA5" s="27"/>
      <c r="AB5" s="27"/>
      <c r="AC5" s="27"/>
      <c r="AD5" s="27"/>
      <c r="AE5" s="27"/>
      <c r="AF5" s="27"/>
      <c r="AG5" s="27"/>
      <c r="AH5" s="27"/>
      <c r="AI5" s="27"/>
      <c r="AJ5" s="27"/>
    </row>
    <row r="6" spans="1:36" s="25" customFormat="1" ht="15" customHeight="1">
      <c r="A6" s="180"/>
      <c r="B6" s="180"/>
      <c r="C6" s="180"/>
      <c r="D6" s="180"/>
      <c r="E6" s="180"/>
      <c r="F6" s="180"/>
      <c r="G6" s="180"/>
      <c r="H6" s="180"/>
      <c r="I6" s="180"/>
      <c r="J6" s="180"/>
      <c r="K6" s="180"/>
      <c r="L6" s="180"/>
      <c r="M6" s="180"/>
      <c r="N6" s="180"/>
      <c r="O6" s="180"/>
      <c r="P6" s="180"/>
      <c r="Q6" s="180"/>
      <c r="Z6" s="27"/>
      <c r="AA6" s="27"/>
      <c r="AB6" s="27"/>
      <c r="AC6" s="27"/>
      <c r="AD6" s="27"/>
      <c r="AE6" s="27"/>
      <c r="AF6" s="27"/>
      <c r="AG6" s="27"/>
      <c r="AH6" s="27"/>
      <c r="AI6" s="27"/>
      <c r="AJ6" s="27"/>
    </row>
    <row r="7" spans="1:36" s="25" customFormat="1" ht="15" customHeight="1">
      <c r="A7" s="29"/>
      <c r="AA7" s="27"/>
      <c r="AB7" s="27"/>
      <c r="AC7" s="27"/>
      <c r="AD7" s="27"/>
      <c r="AE7" s="27"/>
      <c r="AF7" s="27"/>
      <c r="AG7" s="27"/>
      <c r="AH7" s="27"/>
      <c r="AI7" s="27"/>
      <c r="AJ7" s="27"/>
    </row>
    <row r="8" spans="1:36" s="25" customFormat="1" ht="15" customHeight="1">
      <c r="A8" s="29"/>
      <c r="X8" s="27" t="s">
        <v>5</v>
      </c>
      <c r="AA8" s="27"/>
      <c r="AB8" s="27"/>
      <c r="AC8" s="27"/>
      <c r="AD8" s="27"/>
      <c r="AE8" s="27"/>
      <c r="AF8" s="27"/>
      <c r="AG8" s="27"/>
      <c r="AH8" s="27"/>
      <c r="AI8" s="27"/>
      <c r="AJ8" s="27"/>
    </row>
    <row r="9" spans="1:36" s="25" customFormat="1" ht="15" customHeight="1">
      <c r="A9" s="29"/>
      <c r="X9" s="27" t="s">
        <v>6</v>
      </c>
      <c r="AA9" s="27"/>
      <c r="AB9" s="27"/>
      <c r="AC9" s="27"/>
      <c r="AD9" s="27"/>
      <c r="AE9" s="27"/>
      <c r="AF9" s="27"/>
      <c r="AG9" s="27"/>
      <c r="AH9" s="27"/>
      <c r="AI9" s="27"/>
      <c r="AJ9" s="27"/>
    </row>
    <row r="10" spans="1:36" s="25" customFormat="1" ht="15" customHeight="1">
      <c r="A10" s="29"/>
      <c r="X10" s="27" t="s">
        <v>7</v>
      </c>
      <c r="AA10" s="27"/>
      <c r="AB10" s="27"/>
      <c r="AC10" s="27"/>
      <c r="AD10" s="27"/>
      <c r="AE10" s="27"/>
      <c r="AF10" s="27"/>
      <c r="AG10" s="27"/>
      <c r="AH10" s="27"/>
      <c r="AI10" s="27"/>
      <c r="AJ10" s="27"/>
    </row>
    <row r="11" spans="1:36" s="25" customFormat="1" ht="15" customHeight="1">
      <c r="A11" s="181" t="s">
        <v>8</v>
      </c>
      <c r="B11" s="181"/>
      <c r="C11" s="181"/>
      <c r="D11" s="181"/>
      <c r="E11" s="181"/>
      <c r="F11" s="183">
        <f>AE43</f>
        <v>684000</v>
      </c>
      <c r="G11" s="183"/>
      <c r="H11" s="183"/>
      <c r="I11" s="183"/>
      <c r="J11" s="183"/>
      <c r="K11" s="183"/>
      <c r="L11" s="183"/>
      <c r="M11" s="183"/>
      <c r="N11" s="183"/>
      <c r="O11" s="183"/>
      <c r="P11" s="183"/>
      <c r="Q11" s="183"/>
      <c r="X11" s="27" t="s">
        <v>9</v>
      </c>
      <c r="AA11" s="27"/>
      <c r="AB11" s="27"/>
      <c r="AC11" s="27"/>
      <c r="AD11" s="27"/>
      <c r="AE11" s="27"/>
      <c r="AF11" s="27"/>
      <c r="AG11" s="27"/>
      <c r="AH11" s="27"/>
      <c r="AI11" s="27"/>
      <c r="AJ11" s="27"/>
    </row>
    <row r="12" spans="1:36" s="25" customFormat="1" ht="15" customHeight="1">
      <c r="A12" s="182"/>
      <c r="B12" s="182"/>
      <c r="C12" s="182"/>
      <c r="D12" s="182"/>
      <c r="E12" s="182"/>
      <c r="F12" s="184"/>
      <c r="G12" s="184"/>
      <c r="H12" s="184"/>
      <c r="I12" s="184"/>
      <c r="J12" s="184"/>
      <c r="K12" s="184"/>
      <c r="L12" s="184"/>
      <c r="M12" s="184"/>
      <c r="N12" s="184"/>
      <c r="O12" s="184"/>
      <c r="P12" s="184"/>
      <c r="Q12" s="184"/>
      <c r="X12" s="27" t="s">
        <v>10</v>
      </c>
      <c r="AA12" s="27"/>
      <c r="AB12" s="27"/>
      <c r="AC12" s="27"/>
      <c r="AD12" s="27"/>
      <c r="AE12" s="27"/>
      <c r="AF12" s="27"/>
      <c r="AG12" s="27"/>
      <c r="AH12" s="27"/>
      <c r="AI12" s="27"/>
      <c r="AJ12" s="27"/>
    </row>
    <row r="13" spans="1:36" s="25" customFormat="1" ht="15" customHeight="1">
      <c r="A13" s="29"/>
    </row>
    <row r="14" spans="1:36" s="25" customFormat="1" ht="15" customHeight="1">
      <c r="A14" s="29"/>
    </row>
    <row r="15" spans="1:36" s="25" customFormat="1" ht="15" customHeight="1">
      <c r="A15" s="29"/>
    </row>
    <row r="16" spans="1:36" ht="15" customHeight="1">
      <c r="A16" s="30" t="s">
        <v>11</v>
      </c>
    </row>
    <row r="17" spans="1:16" ht="15" customHeight="1">
      <c r="B17" s="27" t="s">
        <v>292</v>
      </c>
    </row>
    <row r="18" spans="1:16" ht="15" customHeight="1">
      <c r="B18" s="27" t="s">
        <v>217</v>
      </c>
    </row>
    <row r="19" spans="1:16" ht="15" customHeight="1">
      <c r="B19" s="27" t="s">
        <v>281</v>
      </c>
    </row>
    <row r="20" spans="1:16" ht="15" customHeight="1">
      <c r="A20" s="27"/>
    </row>
    <row r="21" spans="1:16" ht="15" customHeight="1">
      <c r="A21" s="30" t="s">
        <v>12</v>
      </c>
      <c r="P21" s="30"/>
    </row>
    <row r="22" spans="1:16" ht="15" customHeight="1">
      <c r="A22" s="27"/>
    </row>
    <row r="23" spans="1:16" ht="15" customHeight="1">
      <c r="A23" s="27"/>
      <c r="B23" s="27" t="s">
        <v>13</v>
      </c>
    </row>
    <row r="24" spans="1:16" ht="15" customHeight="1">
      <c r="A24" s="27"/>
    </row>
    <row r="25" spans="1:16" ht="15" customHeight="1">
      <c r="A25" s="27"/>
    </row>
    <row r="26" spans="1:16" ht="15" customHeight="1">
      <c r="A26" s="30" t="s">
        <v>14</v>
      </c>
    </row>
    <row r="27" spans="1:16" ht="15" customHeight="1">
      <c r="A27" s="27"/>
    </row>
    <row r="28" spans="1:16" ht="15" customHeight="1">
      <c r="A28" s="27"/>
      <c r="B28" s="27" t="s">
        <v>15</v>
      </c>
    </row>
    <row r="29" spans="1:16" ht="15" customHeight="1">
      <c r="A29" s="27"/>
    </row>
    <row r="30" spans="1:16" ht="15" customHeight="1">
      <c r="A30" s="27"/>
    </row>
    <row r="31" spans="1:16" ht="15" customHeight="1">
      <c r="A31" s="30" t="s">
        <v>16</v>
      </c>
    </row>
    <row r="33" spans="1:43" ht="15" customHeight="1">
      <c r="A33" s="27"/>
      <c r="B33" s="27" t="s">
        <v>284</v>
      </c>
    </row>
    <row r="34" spans="1:43" ht="15" customHeight="1">
      <c r="A34" s="27"/>
    </row>
    <row r="35" spans="1:43" ht="15" customHeight="1">
      <c r="A35" s="27"/>
    </row>
    <row r="36" spans="1:43" ht="15" customHeight="1">
      <c r="A36" s="30" t="s">
        <v>17</v>
      </c>
    </row>
    <row r="37" spans="1:43" ht="15" customHeight="1">
      <c r="A37" s="27"/>
    </row>
    <row r="38" spans="1:43" ht="15" customHeight="1">
      <c r="A38" s="27"/>
      <c r="B38" s="31" t="s">
        <v>18</v>
      </c>
      <c r="C38" s="32"/>
      <c r="D38" s="31" t="s">
        <v>19</v>
      </c>
      <c r="E38" s="33"/>
      <c r="F38" s="33"/>
      <c r="G38" s="33"/>
      <c r="H38" s="33"/>
      <c r="I38" s="33"/>
      <c r="J38" s="33"/>
      <c r="K38" s="33"/>
      <c r="L38" s="33"/>
      <c r="M38" s="33"/>
      <c r="N38" s="33"/>
      <c r="O38" s="33"/>
      <c r="P38" s="33"/>
      <c r="Q38" s="33"/>
      <c r="R38" s="33"/>
      <c r="S38" s="33"/>
      <c r="T38" s="31"/>
      <c r="U38" s="33"/>
      <c r="V38" s="33"/>
      <c r="W38" s="33"/>
      <c r="X38" s="32"/>
      <c r="Y38" s="31" t="s">
        <v>20</v>
      </c>
      <c r="Z38" s="33"/>
      <c r="AA38" s="33"/>
      <c r="AB38" s="33"/>
      <c r="AC38" s="33"/>
      <c r="AD38" s="33"/>
      <c r="AE38" s="31" t="s">
        <v>21</v>
      </c>
      <c r="AF38" s="33"/>
      <c r="AG38" s="33"/>
      <c r="AH38" s="33"/>
      <c r="AI38" s="33"/>
      <c r="AJ38" s="32"/>
      <c r="AM38" s="31" t="s">
        <v>22</v>
      </c>
      <c r="AN38" s="33"/>
      <c r="AO38" s="33"/>
      <c r="AP38" s="33"/>
      <c r="AQ38" s="32"/>
    </row>
    <row r="39" spans="1:43" ht="15" customHeight="1">
      <c r="A39" s="27"/>
      <c r="B39" s="185">
        <v>1</v>
      </c>
      <c r="C39" s="186"/>
      <c r="D39" s="34" t="str">
        <f>'工数明細③12月～1月'!D4</f>
        <v>訂正区分4、5対応</v>
      </c>
      <c r="E39" s="35"/>
      <c r="F39" s="35"/>
      <c r="G39" s="35"/>
      <c r="H39" s="35"/>
      <c r="I39" s="35"/>
      <c r="J39" s="35"/>
      <c r="K39" s="35"/>
      <c r="L39" s="35"/>
      <c r="M39" s="35"/>
      <c r="N39" s="35"/>
      <c r="O39" s="35"/>
      <c r="P39" s="35"/>
      <c r="Q39" s="35"/>
      <c r="R39" s="35"/>
      <c r="S39" s="35"/>
      <c r="T39" s="61"/>
      <c r="U39" s="61"/>
      <c r="V39" s="61"/>
      <c r="W39" s="61"/>
      <c r="X39" s="62"/>
      <c r="Y39" s="187">
        <f>'工数明細③12月～1月'!AC4</f>
        <v>0.18000000000000002</v>
      </c>
      <c r="Z39" s="188"/>
      <c r="AA39" s="188"/>
      <c r="AB39" s="188"/>
      <c r="AC39" s="189" t="s">
        <v>23</v>
      </c>
      <c r="AD39" s="190"/>
      <c r="AE39" s="191">
        <f>AM39*Y39</f>
        <v>180000.00000000003</v>
      </c>
      <c r="AF39" s="192"/>
      <c r="AG39" s="192"/>
      <c r="AH39" s="192"/>
      <c r="AI39" s="192"/>
      <c r="AJ39" s="193"/>
      <c r="AM39" s="191">
        <v>1000000</v>
      </c>
      <c r="AN39" s="192"/>
      <c r="AO39" s="192"/>
      <c r="AP39" s="192"/>
      <c r="AQ39" s="193"/>
    </row>
    <row r="40" spans="1:43" ht="15" customHeight="1">
      <c r="A40" s="27"/>
      <c r="B40" s="328">
        <v>2</v>
      </c>
      <c r="C40" s="329"/>
      <c r="D40" s="159" t="str">
        <f>'工数明細③12月～1月'!D5</f>
        <v>表示除外機能実装</v>
      </c>
      <c r="E40" s="48"/>
      <c r="F40" s="48"/>
      <c r="G40" s="48"/>
      <c r="H40" s="48"/>
      <c r="I40" s="48"/>
      <c r="J40" s="48"/>
      <c r="K40" s="48"/>
      <c r="L40" s="48"/>
      <c r="M40" s="48"/>
      <c r="N40" s="48"/>
      <c r="O40" s="48"/>
      <c r="P40" s="48"/>
      <c r="Q40" s="48"/>
      <c r="R40" s="48"/>
      <c r="S40" s="48"/>
      <c r="T40" s="160"/>
      <c r="U40" s="160"/>
      <c r="V40" s="160"/>
      <c r="W40" s="160"/>
      <c r="X40" s="161"/>
      <c r="Y40" s="187">
        <f>'工数明細③12月～1月'!AC5</f>
        <v>0.2</v>
      </c>
      <c r="Z40" s="188"/>
      <c r="AA40" s="188"/>
      <c r="AB40" s="188"/>
      <c r="AC40" s="189" t="s">
        <v>23</v>
      </c>
      <c r="AD40" s="190"/>
      <c r="AE40" s="191">
        <f t="shared" ref="AE40:AE42" si="0">AM40*Y40</f>
        <v>200000</v>
      </c>
      <c r="AF40" s="192"/>
      <c r="AG40" s="192"/>
      <c r="AH40" s="192"/>
      <c r="AI40" s="192"/>
      <c r="AJ40" s="193"/>
      <c r="AM40" s="191">
        <v>1000000</v>
      </c>
      <c r="AN40" s="192"/>
      <c r="AO40" s="192"/>
      <c r="AP40" s="192"/>
      <c r="AQ40" s="193"/>
    </row>
    <row r="41" spans="1:43" ht="15" customHeight="1" thickBot="1">
      <c r="A41" s="27"/>
      <c r="B41" s="339">
        <v>3</v>
      </c>
      <c r="C41" s="340"/>
      <c r="D41" s="151" t="str">
        <f>'工数明細③12月～1月'!D6</f>
        <v>レイアウト調整対応</v>
      </c>
      <c r="E41" s="152"/>
      <c r="F41" s="152"/>
      <c r="G41" s="152"/>
      <c r="H41" s="152"/>
      <c r="I41" s="152"/>
      <c r="J41" s="152"/>
      <c r="K41" s="152"/>
      <c r="L41" s="152"/>
      <c r="M41" s="152"/>
      <c r="N41" s="152"/>
      <c r="O41" s="152"/>
      <c r="P41" s="152"/>
      <c r="Q41" s="152"/>
      <c r="R41" s="152"/>
      <c r="S41" s="152"/>
      <c r="T41" s="153"/>
      <c r="U41" s="153"/>
      <c r="V41" s="153"/>
      <c r="W41" s="153"/>
      <c r="X41" s="154"/>
      <c r="Y41" s="203">
        <f>'工数明細③12月～1月'!AC6</f>
        <v>0.15</v>
      </c>
      <c r="Z41" s="204"/>
      <c r="AA41" s="204"/>
      <c r="AB41" s="204"/>
      <c r="AC41" s="205" t="s">
        <v>23</v>
      </c>
      <c r="AD41" s="206"/>
      <c r="AE41" s="207">
        <f t="shared" si="0"/>
        <v>150000</v>
      </c>
      <c r="AF41" s="208"/>
      <c r="AG41" s="208"/>
      <c r="AH41" s="208"/>
      <c r="AI41" s="208"/>
      <c r="AJ41" s="209"/>
      <c r="AM41" s="191">
        <v>1000000</v>
      </c>
      <c r="AN41" s="192"/>
      <c r="AO41" s="192"/>
      <c r="AP41" s="192"/>
      <c r="AQ41" s="193"/>
    </row>
    <row r="42" spans="1:43" ht="15" customHeight="1" thickBot="1">
      <c r="A42" s="27"/>
      <c r="B42" s="351">
        <v>4</v>
      </c>
      <c r="C42" s="352"/>
      <c r="D42" s="155" t="s">
        <v>25</v>
      </c>
      <c r="E42" s="156"/>
      <c r="F42" s="156"/>
      <c r="G42" s="156"/>
      <c r="H42" s="156"/>
      <c r="I42" s="156"/>
      <c r="J42" s="156"/>
      <c r="K42" s="156"/>
      <c r="L42" s="156"/>
      <c r="M42" s="156"/>
      <c r="N42" s="156"/>
      <c r="O42" s="156"/>
      <c r="P42" s="156"/>
      <c r="Q42" s="156"/>
      <c r="R42" s="156"/>
      <c r="S42" s="156"/>
      <c r="T42" s="157"/>
      <c r="U42" s="157"/>
      <c r="V42" s="157"/>
      <c r="W42" s="157"/>
      <c r="X42" s="158"/>
      <c r="Y42" s="210">
        <f>SUM('工数明細③12月～1月'!AE4:AE8)</f>
        <v>0.11</v>
      </c>
      <c r="Z42" s="211"/>
      <c r="AA42" s="211"/>
      <c r="AB42" s="211"/>
      <c r="AC42" s="212" t="s">
        <v>23</v>
      </c>
      <c r="AD42" s="213"/>
      <c r="AE42" s="214">
        <f t="shared" si="0"/>
        <v>154000</v>
      </c>
      <c r="AF42" s="215"/>
      <c r="AG42" s="215"/>
      <c r="AH42" s="215"/>
      <c r="AI42" s="215"/>
      <c r="AJ42" s="216"/>
      <c r="AM42" s="191">
        <v>1400000</v>
      </c>
      <c r="AN42" s="192"/>
      <c r="AO42" s="192"/>
      <c r="AP42" s="192"/>
      <c r="AQ42" s="193"/>
    </row>
    <row r="43" spans="1:43" ht="15" customHeight="1" thickTop="1">
      <c r="A43" s="27"/>
      <c r="B43" s="201"/>
      <c r="C43" s="202"/>
      <c r="D43" s="148" t="s">
        <v>26</v>
      </c>
      <c r="E43" s="55"/>
      <c r="F43" s="55"/>
      <c r="G43" s="55"/>
      <c r="H43" s="55"/>
      <c r="I43" s="55"/>
      <c r="J43" s="55"/>
      <c r="K43" s="55"/>
      <c r="L43" s="55"/>
      <c r="M43" s="55"/>
      <c r="N43" s="55"/>
      <c r="O43" s="55"/>
      <c r="P43" s="55"/>
      <c r="Q43" s="55"/>
      <c r="R43" s="55"/>
      <c r="S43" s="55"/>
      <c r="T43" s="149"/>
      <c r="U43" s="149"/>
      <c r="V43" s="149"/>
      <c r="W43" s="149"/>
      <c r="X43" s="150"/>
      <c r="Y43" s="194">
        <f>SUM(Y39:AB42)</f>
        <v>0.64</v>
      </c>
      <c r="Z43" s="195"/>
      <c r="AA43" s="195"/>
      <c r="AB43" s="195"/>
      <c r="AC43" s="196" t="s">
        <v>23</v>
      </c>
      <c r="AD43" s="197"/>
      <c r="AE43" s="198">
        <f>SUM(AE39:AJ42)</f>
        <v>684000</v>
      </c>
      <c r="AF43" s="199"/>
      <c r="AG43" s="199"/>
      <c r="AH43" s="199"/>
      <c r="AI43" s="199"/>
      <c r="AJ43" s="200"/>
      <c r="AM43" s="191" t="s">
        <v>27</v>
      </c>
      <c r="AN43" s="192"/>
      <c r="AO43" s="192"/>
      <c r="AP43" s="192"/>
      <c r="AQ43" s="193"/>
    </row>
    <row r="44" spans="1:43" ht="15" customHeight="1">
      <c r="A44" s="27"/>
      <c r="AE44" s="114"/>
      <c r="AF44" s="114"/>
      <c r="AG44" s="114"/>
      <c r="AH44" s="114"/>
      <c r="AI44" s="114"/>
      <c r="AJ44" s="114"/>
    </row>
    <row r="45" spans="1:43" ht="15" customHeight="1">
      <c r="A45" s="30" t="s">
        <v>28</v>
      </c>
      <c r="T45" s="46"/>
      <c r="AE45" s="114"/>
      <c r="AF45" s="114"/>
      <c r="AG45" s="114"/>
      <c r="AH45" s="114"/>
      <c r="AI45" s="114"/>
      <c r="AJ45" s="114"/>
    </row>
    <row r="46" spans="1:43" ht="15" customHeight="1">
      <c r="A46" s="27"/>
    </row>
    <row r="47" spans="1:43" ht="15" customHeight="1">
      <c r="A47" s="27"/>
      <c r="B47" s="36" t="s">
        <v>29</v>
      </c>
      <c r="C47" s="63" t="s">
        <v>30</v>
      </c>
      <c r="D47" s="63"/>
      <c r="E47" s="63"/>
      <c r="F47" s="63"/>
      <c r="G47" s="63"/>
      <c r="H47" s="63"/>
      <c r="I47" s="63"/>
      <c r="J47" s="63"/>
      <c r="K47" s="63"/>
      <c r="L47" s="63"/>
      <c r="M47" s="63"/>
      <c r="N47" s="63"/>
      <c r="O47" s="63"/>
      <c r="P47" s="63"/>
      <c r="Q47" s="63"/>
      <c r="R47" s="63"/>
      <c r="S47" s="63"/>
      <c r="T47" s="64" t="s">
        <v>29</v>
      </c>
      <c r="U47" s="63" t="s">
        <v>31</v>
      </c>
    </row>
    <row r="48" spans="1:43" ht="15" customHeight="1">
      <c r="A48" s="27"/>
      <c r="B48" s="36" t="s">
        <v>29</v>
      </c>
      <c r="C48" s="63" t="s">
        <v>32</v>
      </c>
      <c r="D48" s="63"/>
      <c r="E48" s="63"/>
      <c r="F48" s="63"/>
      <c r="G48" s="63"/>
      <c r="H48" s="63"/>
      <c r="I48" s="63"/>
      <c r="J48" s="63"/>
      <c r="K48" s="63"/>
      <c r="L48" s="63"/>
      <c r="M48" s="63"/>
      <c r="N48" s="63"/>
      <c r="O48" s="63"/>
      <c r="P48" s="63"/>
      <c r="Q48" s="63"/>
      <c r="R48" s="63"/>
      <c r="S48" s="63"/>
      <c r="T48" s="64" t="s">
        <v>29</v>
      </c>
      <c r="U48" s="63" t="s">
        <v>33</v>
      </c>
    </row>
    <row r="49" spans="1:32" ht="15" customHeight="1">
      <c r="A49" s="27"/>
      <c r="B49" s="36" t="s">
        <v>29</v>
      </c>
      <c r="C49" s="63" t="s">
        <v>203</v>
      </c>
      <c r="D49" s="63"/>
      <c r="E49" s="63"/>
      <c r="F49" s="63"/>
      <c r="G49" s="63"/>
      <c r="H49" s="63"/>
      <c r="I49" s="63"/>
      <c r="J49" s="63"/>
      <c r="K49" s="63"/>
      <c r="L49" s="63"/>
      <c r="M49" s="63"/>
      <c r="N49" s="63"/>
      <c r="O49" s="63"/>
      <c r="P49" s="63"/>
      <c r="Q49" s="63"/>
      <c r="R49" s="63"/>
      <c r="S49" s="63"/>
      <c r="T49" s="64"/>
      <c r="U49" s="63"/>
    </row>
    <row r="50" spans="1:32" ht="15" customHeight="1">
      <c r="A50" s="27"/>
      <c r="B50" s="37"/>
    </row>
    <row r="51" spans="1:32" ht="15" customHeight="1">
      <c r="A51" s="30" t="s">
        <v>34</v>
      </c>
    </row>
    <row r="52" spans="1:32" ht="15" customHeight="1">
      <c r="A52" s="27"/>
    </row>
    <row r="53" spans="1:32" ht="15" customHeight="1">
      <c r="A53" s="27"/>
      <c r="B53" s="38" t="s">
        <v>18</v>
      </c>
      <c r="C53" s="39"/>
      <c r="D53" s="38" t="s">
        <v>35</v>
      </c>
      <c r="E53" s="40"/>
      <c r="F53" s="40"/>
      <c r="G53" s="40"/>
      <c r="H53" s="40"/>
      <c r="I53" s="107" t="s">
        <v>34</v>
      </c>
      <c r="J53" s="105"/>
      <c r="K53" s="105"/>
      <c r="L53" s="105"/>
      <c r="M53" s="105"/>
      <c r="N53" s="105"/>
      <c r="O53" s="105"/>
      <c r="P53" s="105"/>
      <c r="Q53" s="105"/>
      <c r="R53" s="105"/>
      <c r="S53" s="105"/>
      <c r="T53" s="106"/>
      <c r="U53" s="107" t="s">
        <v>36</v>
      </c>
      <c r="V53" s="105"/>
      <c r="W53" s="105"/>
      <c r="X53" s="105"/>
      <c r="Y53" s="105"/>
      <c r="Z53" s="105"/>
      <c r="AA53" s="105"/>
      <c r="AB53" s="105"/>
      <c r="AC53" s="105"/>
      <c r="AD53" s="105"/>
      <c r="AE53" s="105"/>
      <c r="AF53" s="106"/>
    </row>
    <row r="54" spans="1:32" ht="15" customHeight="1">
      <c r="A54" s="27"/>
      <c r="B54" s="41">
        <v>1</v>
      </c>
      <c r="C54" s="42"/>
      <c r="D54" s="217" t="s">
        <v>37</v>
      </c>
      <c r="E54" s="218"/>
      <c r="F54" s="218"/>
      <c r="G54" s="218"/>
      <c r="H54" s="218"/>
      <c r="I54" s="47" t="s">
        <v>38</v>
      </c>
      <c r="J54" s="48" t="s">
        <v>39</v>
      </c>
      <c r="K54" s="48"/>
      <c r="L54" s="48"/>
      <c r="M54" s="48"/>
      <c r="N54" s="48"/>
      <c r="O54" s="48"/>
      <c r="P54" s="48"/>
      <c r="Q54" s="48"/>
      <c r="R54" s="48"/>
      <c r="S54" s="48"/>
      <c r="T54" s="49"/>
      <c r="U54" s="48" t="s">
        <v>38</v>
      </c>
      <c r="V54" s="48" t="s">
        <v>40</v>
      </c>
      <c r="W54" s="48"/>
      <c r="X54" s="48"/>
      <c r="Y54" s="48"/>
      <c r="Z54" s="48"/>
      <c r="AA54" s="48"/>
      <c r="AB54" s="48"/>
      <c r="AC54" s="48"/>
      <c r="AD54" s="48"/>
      <c r="AE54" s="48"/>
      <c r="AF54" s="49"/>
    </row>
    <row r="55" spans="1:32" ht="15" customHeight="1">
      <c r="A55" s="27"/>
      <c r="B55" s="102"/>
      <c r="C55" s="103"/>
      <c r="D55" s="104"/>
      <c r="E55" s="46"/>
      <c r="F55" s="46"/>
      <c r="G55" s="46"/>
      <c r="H55" s="46"/>
      <c r="I55" s="43" t="s">
        <v>38</v>
      </c>
      <c r="J55" s="221" t="s">
        <v>192</v>
      </c>
      <c r="K55" s="221"/>
      <c r="L55" s="221"/>
      <c r="M55" s="221"/>
      <c r="N55" s="221"/>
      <c r="O55" s="221"/>
      <c r="P55" s="221"/>
      <c r="Q55" s="221"/>
      <c r="R55" s="221"/>
      <c r="S55" s="221"/>
      <c r="T55" s="222"/>
      <c r="U55" s="27" t="s">
        <v>38</v>
      </c>
      <c r="V55" s="27" t="s">
        <v>41</v>
      </c>
      <c r="AF55" s="44"/>
    </row>
    <row r="56" spans="1:32" ht="15" customHeight="1">
      <c r="A56" s="27"/>
      <c r="B56" s="50"/>
      <c r="C56" s="51"/>
      <c r="D56" s="52"/>
      <c r="E56" s="53"/>
      <c r="F56" s="53"/>
      <c r="G56" s="53"/>
      <c r="H56" s="53"/>
      <c r="I56" s="54" t="s">
        <v>38</v>
      </c>
      <c r="J56" s="223" t="s">
        <v>193</v>
      </c>
      <c r="K56" s="223"/>
      <c r="L56" s="223"/>
      <c r="M56" s="223"/>
      <c r="N56" s="223"/>
      <c r="O56" s="223"/>
      <c r="P56" s="223"/>
      <c r="Q56" s="223"/>
      <c r="R56" s="223"/>
      <c r="S56" s="223"/>
      <c r="T56" s="224"/>
      <c r="U56" s="55"/>
      <c r="V56" s="55"/>
      <c r="W56" s="55"/>
      <c r="X56" s="55"/>
      <c r="Y56" s="55"/>
      <c r="Z56" s="55"/>
      <c r="AA56" s="55"/>
      <c r="AB56" s="55"/>
      <c r="AC56" s="55"/>
      <c r="AD56" s="55"/>
      <c r="AE56" s="55"/>
      <c r="AF56" s="56"/>
    </row>
    <row r="57" spans="1:32" ht="15" customHeight="1">
      <c r="A57" s="27"/>
      <c r="B57" s="41">
        <v>2</v>
      </c>
      <c r="C57" s="42"/>
      <c r="D57" s="217" t="s">
        <v>42</v>
      </c>
      <c r="E57" s="218"/>
      <c r="F57" s="218"/>
      <c r="G57" s="218"/>
      <c r="H57" s="218"/>
      <c r="I57" s="43" t="s">
        <v>43</v>
      </c>
      <c r="T57" s="44"/>
      <c r="U57" s="47" t="s">
        <v>29</v>
      </c>
      <c r="V57" s="27" t="s">
        <v>44</v>
      </c>
      <c r="AF57" s="44"/>
    </row>
    <row r="58" spans="1:32" ht="15" customHeight="1">
      <c r="A58" s="27"/>
      <c r="B58" s="50"/>
      <c r="C58" s="51"/>
      <c r="D58" s="52"/>
      <c r="E58" s="53"/>
      <c r="F58" s="53"/>
      <c r="G58" s="53"/>
      <c r="H58" s="53"/>
      <c r="I58" s="54"/>
      <c r="T58" s="44"/>
      <c r="U58" s="54"/>
      <c r="AF58" s="44"/>
    </row>
    <row r="59" spans="1:32" ht="15" customHeight="1">
      <c r="A59" s="27"/>
      <c r="B59" s="41">
        <v>3</v>
      </c>
      <c r="C59" s="42"/>
      <c r="D59" s="217" t="s">
        <v>45</v>
      </c>
      <c r="E59" s="218"/>
      <c r="F59" s="218"/>
      <c r="G59" s="218"/>
      <c r="H59" s="218"/>
      <c r="I59" s="47" t="s">
        <v>29</v>
      </c>
      <c r="J59" s="48" t="s">
        <v>46</v>
      </c>
      <c r="K59" s="48"/>
      <c r="L59" s="48"/>
      <c r="M59" s="48"/>
      <c r="N59" s="48"/>
      <c r="O59" s="48"/>
      <c r="P59" s="48"/>
      <c r="Q59" s="48"/>
      <c r="R59" s="48"/>
      <c r="S59" s="48"/>
      <c r="T59" s="49"/>
      <c r="U59" s="47" t="s">
        <v>29</v>
      </c>
      <c r="V59" s="48" t="s">
        <v>306</v>
      </c>
      <c r="W59" s="48"/>
      <c r="X59" s="48"/>
      <c r="Y59" s="48"/>
      <c r="Z59" s="48"/>
      <c r="AA59" s="48"/>
      <c r="AB59" s="48"/>
      <c r="AC59" s="48"/>
      <c r="AD59" s="48"/>
      <c r="AE59" s="48"/>
      <c r="AF59" s="49"/>
    </row>
    <row r="60" spans="1:32" ht="15" customHeight="1">
      <c r="A60" s="27"/>
      <c r="B60" s="50"/>
      <c r="C60" s="51"/>
      <c r="D60" s="104"/>
      <c r="E60" s="53"/>
      <c r="F60" s="53"/>
      <c r="G60" s="53"/>
      <c r="H60" s="53"/>
      <c r="I60" s="54"/>
      <c r="J60" s="55"/>
      <c r="K60" s="55"/>
      <c r="L60" s="55"/>
      <c r="M60" s="55"/>
      <c r="N60" s="55"/>
      <c r="O60" s="55"/>
      <c r="P60" s="55"/>
      <c r="Q60" s="55"/>
      <c r="R60" s="55"/>
      <c r="S60" s="55"/>
      <c r="T60" s="56"/>
      <c r="U60" s="54"/>
      <c r="V60" s="55"/>
      <c r="W60" s="55"/>
      <c r="X60" s="55"/>
      <c r="Y60" s="55"/>
      <c r="Z60" s="55"/>
      <c r="AA60" s="55"/>
      <c r="AB60" s="55"/>
      <c r="AC60" s="55"/>
      <c r="AD60" s="55"/>
      <c r="AE60" s="55"/>
      <c r="AF60" s="56"/>
    </row>
    <row r="61" spans="1:32" ht="15" customHeight="1">
      <c r="A61" s="27"/>
      <c r="B61" s="41">
        <v>4</v>
      </c>
      <c r="C61" s="42"/>
      <c r="D61" s="217" t="s">
        <v>25</v>
      </c>
      <c r="E61" s="218"/>
      <c r="F61" s="218"/>
      <c r="G61" s="218"/>
      <c r="H61" s="218"/>
      <c r="I61" s="43" t="s">
        <v>29</v>
      </c>
      <c r="J61" s="27" t="s">
        <v>53</v>
      </c>
      <c r="T61" s="44"/>
      <c r="U61" s="43" t="s">
        <v>29</v>
      </c>
      <c r="V61" s="27" t="s">
        <v>54</v>
      </c>
      <c r="AF61" s="44"/>
    </row>
    <row r="62" spans="1:32" ht="15" customHeight="1">
      <c r="A62" s="27"/>
      <c r="B62" s="102"/>
      <c r="C62" s="103"/>
      <c r="D62" s="45"/>
      <c r="E62" s="46"/>
      <c r="F62" s="46"/>
      <c r="G62" s="46"/>
      <c r="H62" s="46"/>
      <c r="I62" s="43" t="s">
        <v>29</v>
      </c>
      <c r="J62" s="27" t="s">
        <v>55</v>
      </c>
      <c r="T62" s="44"/>
      <c r="U62" s="43" t="s">
        <v>29</v>
      </c>
      <c r="V62" s="27" t="s">
        <v>56</v>
      </c>
      <c r="AF62" s="44"/>
    </row>
    <row r="63" spans="1:32" ht="15" customHeight="1">
      <c r="A63" s="27"/>
      <c r="B63" s="50"/>
      <c r="C63" s="51"/>
      <c r="D63" s="52"/>
      <c r="E63" s="53"/>
      <c r="F63" s="53"/>
      <c r="G63" s="53"/>
      <c r="H63" s="53"/>
      <c r="I63" s="54" t="s">
        <v>38</v>
      </c>
      <c r="J63" s="55" t="s">
        <v>57</v>
      </c>
      <c r="K63" s="55"/>
      <c r="L63" s="55"/>
      <c r="M63" s="55"/>
      <c r="N63" s="55"/>
      <c r="O63" s="55"/>
      <c r="P63" s="55"/>
      <c r="Q63" s="55"/>
      <c r="R63" s="55"/>
      <c r="S63" s="55"/>
      <c r="T63" s="56"/>
      <c r="U63" s="54"/>
      <c r="V63" s="55"/>
      <c r="W63" s="55"/>
      <c r="X63" s="55"/>
      <c r="Y63" s="55"/>
      <c r="Z63" s="55"/>
      <c r="AA63" s="55"/>
      <c r="AB63" s="55"/>
      <c r="AC63" s="55"/>
      <c r="AD63" s="55"/>
      <c r="AE63" s="55"/>
      <c r="AF63" s="56"/>
    </row>
    <row r="64" spans="1:32" ht="15" customHeight="1">
      <c r="A64" s="27"/>
    </row>
    <row r="65" spans="1:35" ht="15" customHeight="1">
      <c r="A65" s="27"/>
    </row>
    <row r="66" spans="1:35" ht="15" customHeight="1">
      <c r="A66" s="30" t="s">
        <v>58</v>
      </c>
    </row>
    <row r="67" spans="1:35" ht="15" customHeight="1">
      <c r="A67" s="27"/>
    </row>
    <row r="68" spans="1:35" ht="15" customHeight="1">
      <c r="A68" s="27"/>
      <c r="B68" s="109" t="str">
        <f>'工数明細③12月～1月'!D4</f>
        <v>訂正区分4、5対応</v>
      </c>
      <c r="C68" s="35"/>
      <c r="D68" s="35"/>
      <c r="E68" s="35"/>
      <c r="F68" s="35"/>
      <c r="G68" s="35"/>
      <c r="H68" s="110"/>
      <c r="I68" s="219">
        <f>Y39</f>
        <v>0.18000000000000002</v>
      </c>
      <c r="J68" s="220"/>
      <c r="K68" s="112" t="s">
        <v>248</v>
      </c>
      <c r="L68" s="35"/>
      <c r="M68" s="35"/>
      <c r="N68" s="35"/>
      <c r="O68" s="35"/>
      <c r="P68" s="35"/>
      <c r="Q68" s="35"/>
      <c r="R68" s="35"/>
      <c r="S68" s="35"/>
      <c r="T68" s="35"/>
      <c r="U68" s="35"/>
      <c r="V68" s="35"/>
      <c r="W68" s="35"/>
      <c r="X68" s="35"/>
      <c r="Y68" s="35"/>
      <c r="Z68" s="35"/>
      <c r="AA68" s="35"/>
      <c r="AB68" s="35"/>
      <c r="AC68" s="35"/>
      <c r="AD68" s="35"/>
      <c r="AE68" s="35"/>
      <c r="AF68" s="35"/>
      <c r="AG68" s="35"/>
      <c r="AH68" s="35"/>
      <c r="AI68" s="110"/>
    </row>
    <row r="69" spans="1:35" ht="15" customHeight="1">
      <c r="A69" s="27"/>
      <c r="B69" s="43" t="s">
        <v>218</v>
      </c>
      <c r="AI69" s="44"/>
    </row>
    <row r="70" spans="1:35" ht="15" customHeight="1">
      <c r="A70" s="27"/>
      <c r="B70" s="43" t="s">
        <v>272</v>
      </c>
      <c r="AI70" s="44"/>
    </row>
    <row r="71" spans="1:35" ht="15" customHeight="1">
      <c r="A71" s="27"/>
      <c r="B71" s="43" t="s">
        <v>273</v>
      </c>
      <c r="AI71" s="44"/>
    </row>
    <row r="72" spans="1:35" ht="15" customHeight="1">
      <c r="A72" s="27"/>
      <c r="B72" s="43" t="s">
        <v>274</v>
      </c>
      <c r="AI72" s="44"/>
    </row>
    <row r="73" spans="1:35" ht="15" customHeight="1">
      <c r="A73" s="27"/>
      <c r="B73" s="43" t="s">
        <v>280</v>
      </c>
      <c r="AI73" s="44"/>
    </row>
    <row r="74" spans="1:35" ht="15" customHeight="1">
      <c r="A74" s="27"/>
      <c r="B74" s="43" t="s">
        <v>273</v>
      </c>
      <c r="AI74" s="44"/>
    </row>
    <row r="75" spans="1:35" ht="15" customHeight="1">
      <c r="A75" s="27"/>
      <c r="B75" s="43" t="s">
        <v>275</v>
      </c>
      <c r="AI75" s="44"/>
    </row>
    <row r="76" spans="1:35" ht="15" customHeight="1">
      <c r="A76" s="27"/>
      <c r="B76" s="111" t="str">
        <f>'工数明細③12月～1月'!D5</f>
        <v>表示除外機能実装</v>
      </c>
      <c r="C76" s="112"/>
      <c r="D76" s="112"/>
      <c r="E76" s="112"/>
      <c r="F76" s="112"/>
      <c r="G76" s="112"/>
      <c r="H76" s="113"/>
      <c r="I76" s="219">
        <f>Y40</f>
        <v>0.2</v>
      </c>
      <c r="J76" s="220"/>
      <c r="K76" s="112" t="s">
        <v>248</v>
      </c>
      <c r="L76" s="112"/>
      <c r="M76" s="112"/>
      <c r="N76" s="112"/>
      <c r="O76" s="112"/>
      <c r="P76" s="112"/>
      <c r="Q76" s="112"/>
      <c r="R76" s="112"/>
      <c r="S76" s="112"/>
      <c r="T76" s="112"/>
      <c r="U76" s="112"/>
      <c r="V76" s="112"/>
      <c r="W76" s="112"/>
      <c r="X76" s="112"/>
      <c r="Y76" s="112"/>
      <c r="Z76" s="112"/>
      <c r="AA76" s="112"/>
      <c r="AB76" s="112"/>
      <c r="AC76" s="112"/>
      <c r="AD76" s="112"/>
      <c r="AE76" s="112"/>
      <c r="AF76" s="112"/>
      <c r="AG76" s="112"/>
      <c r="AH76" s="112"/>
      <c r="AI76" s="113"/>
    </row>
    <row r="77" spans="1:35" ht="15" customHeight="1">
      <c r="A77" s="27"/>
      <c r="B77" s="43" t="s">
        <v>276</v>
      </c>
      <c r="AI77" s="44"/>
    </row>
    <row r="78" spans="1:35" ht="15" customHeight="1">
      <c r="A78" s="27"/>
      <c r="B78" s="43" t="s">
        <v>252</v>
      </c>
      <c r="AI78" s="44"/>
    </row>
    <row r="79" spans="1:35" ht="15" customHeight="1">
      <c r="A79" s="27"/>
      <c r="B79" s="43" t="s">
        <v>253</v>
      </c>
      <c r="AI79" s="44"/>
    </row>
    <row r="80" spans="1:35" ht="15" customHeight="1">
      <c r="A80" s="27"/>
      <c r="B80" s="43" t="s">
        <v>254</v>
      </c>
      <c r="AI80" s="44"/>
    </row>
    <row r="81" spans="1:36" ht="15" customHeight="1">
      <c r="A81" s="27"/>
      <c r="B81" s="43" t="s">
        <v>255</v>
      </c>
      <c r="AI81" s="44"/>
    </row>
    <row r="82" spans="1:36" ht="15" customHeight="1">
      <c r="A82" s="27"/>
      <c r="B82" s="43" t="s">
        <v>278</v>
      </c>
      <c r="AI82" s="44"/>
    </row>
    <row r="83" spans="1:36" ht="15" customHeight="1">
      <c r="A83" s="27"/>
      <c r="B83" s="111" t="str">
        <f>'工数明細③12月～1月'!D6</f>
        <v>レイアウト調整対応</v>
      </c>
      <c r="C83" s="112"/>
      <c r="D83" s="112"/>
      <c r="E83" s="112"/>
      <c r="F83" s="112"/>
      <c r="G83" s="112"/>
      <c r="H83" s="113"/>
      <c r="I83" s="219">
        <f>Y41</f>
        <v>0.15</v>
      </c>
      <c r="J83" s="220"/>
      <c r="K83" s="112" t="s">
        <v>248</v>
      </c>
      <c r="L83" s="112"/>
      <c r="M83" s="112"/>
      <c r="N83" s="112"/>
      <c r="O83" s="112"/>
      <c r="P83" s="112"/>
      <c r="Q83" s="112"/>
      <c r="R83" s="112"/>
      <c r="S83" s="112"/>
      <c r="T83" s="112"/>
      <c r="U83" s="112"/>
      <c r="V83" s="112"/>
      <c r="W83" s="112"/>
      <c r="X83" s="112"/>
      <c r="Y83" s="112"/>
      <c r="Z83" s="112"/>
      <c r="AA83" s="112"/>
      <c r="AB83" s="112"/>
      <c r="AC83" s="112"/>
      <c r="AD83" s="112"/>
      <c r="AE83" s="112"/>
      <c r="AF83" s="112"/>
      <c r="AG83" s="112"/>
      <c r="AH83" s="112"/>
      <c r="AI83" s="113"/>
    </row>
    <row r="84" spans="1:36" ht="15" customHeight="1">
      <c r="A84" s="27"/>
      <c r="B84" s="43" t="s">
        <v>277</v>
      </c>
      <c r="AI84" s="44"/>
    </row>
    <row r="85" spans="1:36" ht="15" customHeight="1">
      <c r="A85" s="27"/>
      <c r="B85" s="43" t="s">
        <v>257</v>
      </c>
      <c r="AI85" s="44"/>
    </row>
    <row r="86" spans="1:36" ht="15" customHeight="1">
      <c r="A86" s="27"/>
      <c r="B86" s="43" t="s">
        <v>258</v>
      </c>
      <c r="AI86" s="44"/>
    </row>
    <row r="87" spans="1:36" ht="15" customHeight="1">
      <c r="A87" s="27"/>
      <c r="B87" s="43" t="s">
        <v>259</v>
      </c>
      <c r="AI87" s="44"/>
    </row>
    <row r="88" spans="1:36" ht="15" customHeight="1">
      <c r="A88" s="27"/>
      <c r="B88" s="43" t="s">
        <v>260</v>
      </c>
      <c r="AI88" s="44"/>
    </row>
    <row r="89" spans="1:36" ht="15" customHeight="1">
      <c r="A89" s="27"/>
      <c r="B89" s="43" t="s">
        <v>261</v>
      </c>
      <c r="AI89" s="44"/>
    </row>
    <row r="90" spans="1:36" ht="15" customHeight="1">
      <c r="A90" s="27"/>
      <c r="B90" s="43" t="s">
        <v>262</v>
      </c>
      <c r="AI90" s="44"/>
    </row>
    <row r="91" spans="1:36" ht="15" customHeight="1">
      <c r="A91" s="27"/>
      <c r="B91" s="43" t="s">
        <v>263</v>
      </c>
      <c r="AI91" s="44"/>
    </row>
    <row r="92" spans="1:36" ht="15" customHeight="1">
      <c r="A92" s="27"/>
      <c r="B92" s="43" t="s">
        <v>264</v>
      </c>
      <c r="AI92" s="44"/>
    </row>
    <row r="93" spans="1:36" ht="15" customHeight="1">
      <c r="A93" s="27"/>
      <c r="B93" s="43" t="s">
        <v>261</v>
      </c>
      <c r="AI93" s="44"/>
    </row>
    <row r="94" spans="1:36" ht="15" customHeight="1">
      <c r="A94" s="27"/>
      <c r="B94" s="43" t="s">
        <v>265</v>
      </c>
      <c r="AI94" s="44"/>
    </row>
    <row r="95" spans="1:36" ht="15" customHeight="1">
      <c r="A95" s="27"/>
      <c r="B95" s="43" t="s">
        <v>266</v>
      </c>
      <c r="AI95" s="44"/>
    </row>
    <row r="96" spans="1:36" ht="15" customHeight="1">
      <c r="A96" s="114"/>
      <c r="B96" s="111" t="s">
        <v>206</v>
      </c>
      <c r="C96" s="112"/>
      <c r="D96" s="112"/>
      <c r="E96" s="112"/>
      <c r="F96" s="112"/>
      <c r="G96" s="112"/>
      <c r="H96" s="113"/>
      <c r="I96" s="219">
        <f>Y42</f>
        <v>0.11</v>
      </c>
      <c r="J96" s="220"/>
      <c r="K96" s="112" t="s">
        <v>248</v>
      </c>
      <c r="L96" s="112"/>
      <c r="M96" s="112"/>
      <c r="N96" s="112"/>
      <c r="O96" s="112"/>
      <c r="P96" s="112"/>
      <c r="Q96" s="112"/>
      <c r="R96" s="112"/>
      <c r="S96" s="112"/>
      <c r="T96" s="112"/>
      <c r="U96" s="112"/>
      <c r="V96" s="112"/>
      <c r="W96" s="112"/>
      <c r="X96" s="112"/>
      <c r="Y96" s="112"/>
      <c r="Z96" s="112"/>
      <c r="AA96" s="112"/>
      <c r="AB96" s="112"/>
      <c r="AC96" s="112"/>
      <c r="AD96" s="112"/>
      <c r="AE96" s="112"/>
      <c r="AF96" s="112"/>
      <c r="AG96" s="112"/>
      <c r="AH96" s="112"/>
      <c r="AI96" s="113"/>
      <c r="AJ96" s="114"/>
    </row>
    <row r="97" spans="1:36" ht="15" customHeight="1">
      <c r="A97" s="114"/>
      <c r="B97" s="115" t="s">
        <v>207</v>
      </c>
      <c r="C97" s="116"/>
      <c r="D97" s="116"/>
      <c r="E97" s="116"/>
      <c r="F97" s="116"/>
      <c r="G97" s="116"/>
      <c r="H97" s="116"/>
      <c r="I97" s="116"/>
      <c r="J97" s="116"/>
      <c r="K97" s="116"/>
      <c r="L97" s="116"/>
      <c r="M97" s="116"/>
      <c r="N97" s="116"/>
      <c r="O97" s="116"/>
      <c r="P97" s="116"/>
      <c r="Q97" s="116"/>
      <c r="R97" s="116"/>
      <c r="S97" s="116"/>
      <c r="T97" s="116"/>
      <c r="U97" s="116"/>
      <c r="V97" s="116"/>
      <c r="W97" s="116"/>
      <c r="X97" s="116"/>
      <c r="Y97" s="116"/>
      <c r="Z97" s="116"/>
      <c r="AA97" s="116"/>
      <c r="AB97" s="116"/>
      <c r="AC97" s="116"/>
      <c r="AD97" s="116"/>
      <c r="AE97" s="116"/>
      <c r="AF97" s="116"/>
      <c r="AG97" s="116"/>
      <c r="AH97" s="116"/>
      <c r="AI97" s="117"/>
      <c r="AJ97" s="114"/>
    </row>
    <row r="98" spans="1:36" ht="15" customHeight="1">
      <c r="A98" s="27"/>
      <c r="I98" s="228">
        <f>SUM(I68,I96,I76,I83)</f>
        <v>0.64</v>
      </c>
      <c r="J98" s="229"/>
    </row>
    <row r="99" spans="1:36" ht="15" customHeight="1">
      <c r="A99" s="27"/>
    </row>
    <row r="100" spans="1:36" ht="15" customHeight="1">
      <c r="A100" s="30" t="s">
        <v>59</v>
      </c>
    </row>
    <row r="101" spans="1:36" ht="15" customHeight="1">
      <c r="B101" s="37"/>
    </row>
    <row r="102" spans="1:36" ht="15" customHeight="1">
      <c r="A102" s="27"/>
      <c r="B102" s="38" t="s">
        <v>18</v>
      </c>
      <c r="C102" s="39"/>
      <c r="D102" s="38" t="s">
        <v>35</v>
      </c>
      <c r="E102" s="40"/>
      <c r="F102" s="40"/>
      <c r="G102" s="40"/>
      <c r="H102" s="40"/>
      <c r="I102" s="128" t="s">
        <v>219</v>
      </c>
      <c r="J102" s="129" t="s">
        <v>220</v>
      </c>
      <c r="K102" s="129" t="s">
        <v>221</v>
      </c>
      <c r="L102" s="129" t="s">
        <v>222</v>
      </c>
      <c r="M102" s="129" t="s">
        <v>223</v>
      </c>
      <c r="N102" s="129" t="s">
        <v>224</v>
      </c>
      <c r="O102" s="129" t="s">
        <v>225</v>
      </c>
      <c r="P102" s="129" t="s">
        <v>226</v>
      </c>
      <c r="Q102" s="129" t="s">
        <v>227</v>
      </c>
      <c r="R102" s="129" t="s">
        <v>228</v>
      </c>
      <c r="S102" s="129" t="s">
        <v>229</v>
      </c>
      <c r="T102" s="129" t="s">
        <v>230</v>
      </c>
      <c r="U102" s="129" t="s">
        <v>231</v>
      </c>
      <c r="V102" s="129" t="s">
        <v>232</v>
      </c>
      <c r="W102" s="129" t="s">
        <v>233</v>
      </c>
      <c r="X102" s="129" t="s">
        <v>234</v>
      </c>
      <c r="Y102" s="129" t="s">
        <v>235</v>
      </c>
      <c r="Z102" s="129" t="s">
        <v>236</v>
      </c>
      <c r="AA102" s="129" t="s">
        <v>237</v>
      </c>
      <c r="AB102" s="129" t="s">
        <v>238</v>
      </c>
      <c r="AC102" s="129" t="s">
        <v>239</v>
      </c>
      <c r="AD102" s="129" t="s">
        <v>240</v>
      </c>
      <c r="AE102" s="129" t="s">
        <v>241</v>
      </c>
      <c r="AF102" s="129" t="s">
        <v>242</v>
      </c>
      <c r="AG102" s="129" t="s">
        <v>243</v>
      </c>
      <c r="AH102" s="129" t="s">
        <v>244</v>
      </c>
      <c r="AI102" s="130" t="s">
        <v>245</v>
      </c>
    </row>
    <row r="103" spans="1:36" ht="15" customHeight="1">
      <c r="A103" s="27"/>
      <c r="B103" s="41">
        <v>1</v>
      </c>
      <c r="C103" s="42"/>
      <c r="D103" s="225" t="s">
        <v>60</v>
      </c>
      <c r="E103" s="226"/>
      <c r="F103" s="226"/>
      <c r="G103" s="226"/>
      <c r="H103" s="227"/>
      <c r="I103" s="131"/>
      <c r="J103" s="132"/>
      <c r="K103" s="132"/>
      <c r="L103" s="132"/>
      <c r="M103" s="132"/>
      <c r="N103" s="132"/>
      <c r="O103" s="132"/>
      <c r="P103" s="132"/>
      <c r="Q103" s="132"/>
      <c r="R103" s="132"/>
      <c r="S103" s="132"/>
      <c r="T103" s="132"/>
      <c r="U103" s="132"/>
      <c r="V103" s="132"/>
      <c r="W103" s="132"/>
      <c r="X103" s="132"/>
      <c r="Y103" s="132"/>
      <c r="Z103" s="132"/>
      <c r="AA103" s="132"/>
      <c r="AB103" s="132"/>
      <c r="AC103" s="132"/>
      <c r="AD103" s="132"/>
      <c r="AE103" s="132"/>
      <c r="AF103" s="132"/>
      <c r="AG103" s="132"/>
      <c r="AH103" s="132"/>
      <c r="AI103" s="133"/>
    </row>
    <row r="104" spans="1:36" ht="15" customHeight="1">
      <c r="A104" s="27"/>
      <c r="B104" s="50"/>
      <c r="C104" s="51"/>
      <c r="D104" s="52"/>
      <c r="E104" s="53"/>
      <c r="F104" s="53"/>
      <c r="G104" s="53"/>
      <c r="H104" s="53"/>
      <c r="I104" s="134"/>
      <c r="J104" s="135"/>
      <c r="K104" s="135"/>
      <c r="L104" s="135"/>
      <c r="M104" s="135"/>
      <c r="N104" s="135"/>
      <c r="O104" s="135"/>
      <c r="P104" s="135"/>
      <c r="Q104" s="135"/>
      <c r="R104" s="135"/>
      <c r="S104" s="135"/>
      <c r="T104" s="135"/>
      <c r="U104" s="135"/>
      <c r="V104" s="135"/>
      <c r="W104" s="135"/>
      <c r="X104" s="135"/>
      <c r="Y104" s="135"/>
      <c r="Z104" s="135"/>
      <c r="AA104" s="135"/>
      <c r="AB104" s="135"/>
      <c r="AC104" s="135"/>
      <c r="AD104" s="135"/>
      <c r="AE104" s="135"/>
      <c r="AF104" s="135"/>
      <c r="AG104" s="135"/>
      <c r="AH104" s="135"/>
      <c r="AI104" s="136"/>
    </row>
    <row r="105" spans="1:36" ht="15" customHeight="1">
      <c r="A105" s="27"/>
      <c r="B105" s="41">
        <v>2</v>
      </c>
      <c r="C105" s="42"/>
      <c r="D105" s="225" t="s">
        <v>61</v>
      </c>
      <c r="E105" s="226"/>
      <c r="F105" s="226"/>
      <c r="G105" s="226"/>
      <c r="H105" s="227"/>
      <c r="I105" s="131"/>
      <c r="J105" s="132"/>
      <c r="K105" s="132"/>
      <c r="L105" s="132"/>
      <c r="M105" s="132"/>
      <c r="N105" s="132"/>
      <c r="O105" s="132"/>
      <c r="P105" s="132"/>
      <c r="Q105" s="132"/>
      <c r="R105" s="132"/>
      <c r="S105" s="132"/>
      <c r="T105" s="132"/>
      <c r="U105" s="132"/>
      <c r="V105" s="132"/>
      <c r="W105" s="132"/>
      <c r="X105" s="132"/>
      <c r="Y105" s="132"/>
      <c r="Z105" s="132"/>
      <c r="AA105" s="132"/>
      <c r="AB105" s="132"/>
      <c r="AC105" s="132"/>
      <c r="AD105" s="132"/>
      <c r="AE105" s="132"/>
      <c r="AF105" s="132"/>
      <c r="AG105" s="132"/>
      <c r="AH105" s="132"/>
      <c r="AI105" s="133"/>
    </row>
    <row r="106" spans="1:36" ht="15" customHeight="1">
      <c r="A106" s="27"/>
      <c r="B106" s="50"/>
      <c r="C106" s="51"/>
      <c r="D106" s="52"/>
      <c r="E106" s="53"/>
      <c r="F106" s="53"/>
      <c r="G106" s="53"/>
      <c r="H106" s="53"/>
      <c r="I106" s="134"/>
      <c r="J106" s="135"/>
      <c r="K106" s="135"/>
      <c r="L106" s="135"/>
      <c r="M106" s="135"/>
      <c r="N106" s="135"/>
      <c r="O106" s="135"/>
      <c r="P106" s="135"/>
      <c r="Q106" s="135"/>
      <c r="R106" s="135"/>
      <c r="S106" s="135"/>
      <c r="T106" s="135"/>
      <c r="U106" s="135"/>
      <c r="V106" s="135"/>
      <c r="W106" s="135"/>
      <c r="X106" s="135"/>
      <c r="Y106" s="135"/>
      <c r="Z106" s="135"/>
      <c r="AA106" s="135"/>
      <c r="AB106" s="135"/>
      <c r="AC106" s="135"/>
      <c r="AD106" s="135"/>
      <c r="AE106" s="135"/>
      <c r="AF106" s="135"/>
      <c r="AG106" s="135"/>
      <c r="AH106" s="135"/>
      <c r="AI106" s="136"/>
    </row>
    <row r="107" spans="1:36" ht="15" customHeight="1">
      <c r="A107" s="27"/>
      <c r="B107" s="41">
        <v>3</v>
      </c>
      <c r="C107" s="42"/>
      <c r="D107" s="225" t="s">
        <v>62</v>
      </c>
      <c r="E107" s="226"/>
      <c r="F107" s="226"/>
      <c r="G107" s="226"/>
      <c r="H107" s="227"/>
      <c r="I107" s="131"/>
      <c r="J107" s="132"/>
      <c r="K107" s="132"/>
      <c r="L107" s="132"/>
      <c r="M107" s="132"/>
      <c r="N107" s="132"/>
      <c r="O107" s="132"/>
      <c r="P107" s="132"/>
      <c r="Q107" s="132"/>
      <c r="R107" s="132"/>
      <c r="S107" s="132"/>
      <c r="T107" s="132"/>
      <c r="U107" s="132"/>
      <c r="V107" s="132"/>
      <c r="W107" s="132"/>
      <c r="X107" s="132"/>
      <c r="Y107" s="132"/>
      <c r="Z107" s="132"/>
      <c r="AA107" s="132"/>
      <c r="AB107" s="132"/>
      <c r="AC107" s="132"/>
      <c r="AD107" s="132"/>
      <c r="AE107" s="132"/>
      <c r="AF107" s="132"/>
      <c r="AG107" s="132"/>
      <c r="AH107" s="132"/>
      <c r="AI107" s="133"/>
    </row>
    <row r="108" spans="1:36" ht="15" customHeight="1">
      <c r="A108" s="27"/>
      <c r="B108" s="50"/>
      <c r="C108" s="51"/>
      <c r="D108" s="52"/>
      <c r="E108" s="53"/>
      <c r="F108" s="53"/>
      <c r="G108" s="53"/>
      <c r="H108" s="53"/>
      <c r="I108" s="134"/>
      <c r="J108" s="135"/>
      <c r="K108" s="135"/>
      <c r="L108" s="135"/>
      <c r="M108" s="135"/>
      <c r="N108" s="135"/>
      <c r="O108" s="135"/>
      <c r="P108" s="135"/>
      <c r="Q108" s="135"/>
      <c r="R108" s="135"/>
      <c r="S108" s="135"/>
      <c r="T108" s="135"/>
      <c r="U108" s="135"/>
      <c r="V108" s="135"/>
      <c r="W108" s="135"/>
      <c r="X108" s="135"/>
      <c r="Y108" s="135"/>
      <c r="Z108" s="135"/>
      <c r="AA108" s="135"/>
      <c r="AB108" s="135"/>
      <c r="AC108" s="135"/>
      <c r="AD108" s="135"/>
      <c r="AE108" s="135"/>
      <c r="AF108" s="135"/>
      <c r="AG108" s="135"/>
      <c r="AH108" s="135"/>
      <c r="AI108" s="136"/>
    </row>
    <row r="109" spans="1:36" ht="15" customHeight="1">
      <c r="A109" s="114"/>
      <c r="B109" s="293">
        <v>6</v>
      </c>
      <c r="C109" s="294"/>
      <c r="D109" s="413" t="s">
        <v>301</v>
      </c>
      <c r="E109" s="414"/>
      <c r="F109" s="414"/>
      <c r="G109" s="414"/>
      <c r="H109" s="415"/>
      <c r="I109" s="419" t="s">
        <v>289</v>
      </c>
      <c r="J109" s="420"/>
      <c r="K109" s="420"/>
      <c r="L109" s="420"/>
      <c r="M109" s="420"/>
      <c r="N109" s="420"/>
      <c r="O109" s="420"/>
      <c r="P109" s="420"/>
      <c r="Q109" s="420"/>
      <c r="R109" s="420"/>
      <c r="S109" s="420"/>
      <c r="T109" s="420"/>
      <c r="U109" s="420"/>
      <c r="V109" s="420"/>
      <c r="W109" s="420"/>
      <c r="X109" s="420"/>
      <c r="Y109" s="420"/>
      <c r="Z109" s="420"/>
      <c r="AA109" s="420"/>
      <c r="AB109" s="420"/>
      <c r="AC109" s="420"/>
      <c r="AD109" s="420"/>
      <c r="AE109" s="420"/>
      <c r="AF109" s="420"/>
      <c r="AG109" s="420"/>
      <c r="AH109" s="420"/>
      <c r="AI109" s="421"/>
      <c r="AJ109" s="114"/>
    </row>
    <row r="110" spans="1:36" ht="15" customHeight="1">
      <c r="A110" s="114"/>
      <c r="B110" s="298"/>
      <c r="C110" s="299"/>
      <c r="D110" s="416"/>
      <c r="E110" s="417"/>
      <c r="F110" s="417"/>
      <c r="G110" s="417"/>
      <c r="H110" s="418"/>
      <c r="I110" s="422"/>
      <c r="J110" s="423"/>
      <c r="K110" s="423"/>
      <c r="L110" s="423"/>
      <c r="M110" s="423"/>
      <c r="N110" s="423"/>
      <c r="O110" s="423"/>
      <c r="P110" s="423"/>
      <c r="Q110" s="423"/>
      <c r="R110" s="423"/>
      <c r="S110" s="423"/>
      <c r="T110" s="423"/>
      <c r="U110" s="423"/>
      <c r="V110" s="423"/>
      <c r="W110" s="423"/>
      <c r="X110" s="423"/>
      <c r="Y110" s="423"/>
      <c r="Z110" s="423"/>
      <c r="AA110" s="423"/>
      <c r="AB110" s="423"/>
      <c r="AC110" s="423"/>
      <c r="AD110" s="423"/>
      <c r="AE110" s="423"/>
      <c r="AF110" s="423"/>
      <c r="AG110" s="423"/>
      <c r="AH110" s="423"/>
      <c r="AI110" s="424"/>
      <c r="AJ110" s="114"/>
    </row>
    <row r="111" spans="1:36" ht="15" customHeight="1">
      <c r="A111" s="27"/>
      <c r="I111" s="57"/>
      <c r="J111" s="57"/>
      <c r="K111" s="57"/>
      <c r="L111" s="57"/>
      <c r="M111" s="57"/>
      <c r="N111" s="57"/>
      <c r="O111" s="57"/>
      <c r="P111" s="57"/>
      <c r="Q111" s="57"/>
      <c r="R111" s="57"/>
      <c r="S111" s="57"/>
      <c r="T111" s="57"/>
      <c r="V111" s="57"/>
      <c r="W111" s="27" t="s">
        <v>65</v>
      </c>
      <c r="X111" s="57"/>
      <c r="Z111" s="57"/>
      <c r="AA111" s="27" t="s">
        <v>66</v>
      </c>
      <c r="AC111" s="57"/>
      <c r="AD111" s="57"/>
      <c r="AG111" s="27" t="s">
        <v>67</v>
      </c>
    </row>
    <row r="112" spans="1:36" ht="15" customHeight="1">
      <c r="A112" s="27"/>
      <c r="I112" s="57"/>
      <c r="J112" s="57"/>
      <c r="K112" s="57"/>
      <c r="L112" s="57"/>
      <c r="M112" s="57"/>
      <c r="N112" s="57"/>
      <c r="O112" s="57"/>
      <c r="P112" s="57"/>
      <c r="Q112" s="57"/>
      <c r="R112" s="57"/>
      <c r="S112" s="57"/>
      <c r="T112" s="57"/>
      <c r="U112" s="57"/>
      <c r="V112" s="57"/>
      <c r="W112" s="57"/>
      <c r="X112" s="57"/>
      <c r="Y112" s="57"/>
      <c r="Z112" s="57"/>
      <c r="AA112" s="57"/>
      <c r="AB112" s="57"/>
      <c r="AC112" s="57"/>
      <c r="AD112" s="57"/>
      <c r="AE112" s="57"/>
      <c r="AF112" s="57"/>
      <c r="AG112" s="57"/>
    </row>
    <row r="113" spans="1:35" ht="15" customHeight="1">
      <c r="A113" s="30" t="s">
        <v>68</v>
      </c>
      <c r="I113" s="57"/>
      <c r="J113" s="57"/>
      <c r="K113" s="57"/>
      <c r="L113" s="57"/>
      <c r="M113" s="57"/>
      <c r="N113" s="57"/>
      <c r="O113" s="57"/>
      <c r="P113" s="57"/>
      <c r="Q113" s="57"/>
      <c r="R113" s="57"/>
      <c r="S113" s="57"/>
      <c r="T113" s="57"/>
      <c r="U113" s="57"/>
      <c r="V113" s="57"/>
      <c r="W113" s="57"/>
      <c r="X113" s="57"/>
      <c r="Y113" s="57"/>
      <c r="Z113" s="57"/>
      <c r="AA113" s="57"/>
      <c r="AB113" s="57"/>
      <c r="AC113" s="57"/>
      <c r="AD113" s="57"/>
      <c r="AE113" s="57"/>
      <c r="AF113" s="57"/>
      <c r="AG113" s="57"/>
    </row>
    <row r="114" spans="1:35" ht="15" customHeight="1" thickBot="1">
      <c r="A114" s="27"/>
      <c r="I114" s="57"/>
      <c r="J114" s="57"/>
      <c r="K114" s="57"/>
      <c r="L114" s="57"/>
      <c r="M114" s="57"/>
      <c r="N114" s="57"/>
      <c r="O114" s="57"/>
      <c r="P114" s="57"/>
      <c r="Q114" s="57"/>
      <c r="R114" s="57"/>
      <c r="S114" s="57"/>
      <c r="T114" s="57"/>
      <c r="U114" s="57"/>
      <c r="V114" s="57"/>
      <c r="W114" s="57"/>
      <c r="X114" s="57"/>
      <c r="Y114" s="57"/>
      <c r="Z114" s="57"/>
      <c r="AA114" s="57"/>
      <c r="AB114" s="57"/>
      <c r="AC114" s="57"/>
      <c r="AD114" s="57"/>
      <c r="AE114" s="57"/>
      <c r="AF114" s="57"/>
      <c r="AG114" s="57"/>
    </row>
    <row r="115" spans="1:35" s="63" customFormat="1" ht="15" customHeight="1" thickTop="1">
      <c r="A115" s="65"/>
      <c r="C115" s="168" t="s">
        <v>69</v>
      </c>
      <c r="D115" s="169"/>
      <c r="E115" s="169"/>
      <c r="F115" s="169"/>
      <c r="G115" s="169"/>
      <c r="H115" s="170"/>
      <c r="I115" s="66"/>
      <c r="J115" s="66"/>
      <c r="K115" s="66"/>
      <c r="L115" s="168" t="s">
        <v>70</v>
      </c>
      <c r="M115" s="169"/>
      <c r="N115" s="169"/>
      <c r="O115" s="169"/>
      <c r="P115" s="169"/>
      <c r="Q115" s="170"/>
      <c r="R115" s="66"/>
      <c r="S115" s="66"/>
      <c r="T115" s="66"/>
      <c r="U115" s="168" t="s">
        <v>268</v>
      </c>
      <c r="V115" s="169"/>
      <c r="W115" s="169"/>
      <c r="X115" s="169"/>
      <c r="Y115" s="169"/>
      <c r="Z115" s="170"/>
      <c r="AA115" s="66"/>
      <c r="AB115" s="66"/>
      <c r="AC115" s="66"/>
      <c r="AD115" s="168" t="s">
        <v>269</v>
      </c>
      <c r="AE115" s="169"/>
      <c r="AF115" s="169"/>
      <c r="AG115" s="169"/>
      <c r="AH115" s="169"/>
      <c r="AI115" s="170"/>
    </row>
    <row r="116" spans="1:35" s="63" customFormat="1" ht="15" customHeight="1" thickBot="1">
      <c r="C116" s="171"/>
      <c r="D116" s="172"/>
      <c r="E116" s="172"/>
      <c r="F116" s="172"/>
      <c r="G116" s="172"/>
      <c r="H116" s="173"/>
      <c r="I116" s="67"/>
      <c r="J116" s="67"/>
      <c r="K116" s="67"/>
      <c r="L116" s="171"/>
      <c r="M116" s="172"/>
      <c r="N116" s="172"/>
      <c r="O116" s="172"/>
      <c r="P116" s="172"/>
      <c r="Q116" s="173"/>
      <c r="R116" s="67"/>
      <c r="S116" s="67"/>
      <c r="T116" s="67"/>
      <c r="U116" s="171"/>
      <c r="V116" s="172"/>
      <c r="W116" s="172"/>
      <c r="X116" s="172"/>
      <c r="Y116" s="172"/>
      <c r="Z116" s="173"/>
      <c r="AA116" s="67"/>
      <c r="AB116" s="67"/>
      <c r="AC116" s="67"/>
      <c r="AD116" s="171"/>
      <c r="AE116" s="172"/>
      <c r="AF116" s="172"/>
      <c r="AG116" s="172"/>
      <c r="AH116" s="172"/>
      <c r="AI116" s="173"/>
    </row>
    <row r="117" spans="1:35" ht="15" customHeight="1" thickTop="1">
      <c r="A117" s="27"/>
      <c r="I117" s="57"/>
      <c r="J117" s="57"/>
      <c r="K117" s="57"/>
      <c r="L117" s="57"/>
      <c r="M117" s="57"/>
      <c r="N117" s="57"/>
      <c r="O117" s="57"/>
      <c r="P117" s="57"/>
      <c r="Q117" s="57"/>
      <c r="R117" s="57"/>
      <c r="S117" s="57"/>
      <c r="T117" s="57"/>
      <c r="U117" s="57"/>
      <c r="V117" s="57"/>
      <c r="W117" s="57"/>
      <c r="X117" s="57"/>
      <c r="Y117" s="57"/>
      <c r="Z117" s="57"/>
      <c r="AA117" s="57"/>
      <c r="AB117" s="57"/>
      <c r="AC117" s="57"/>
      <c r="AD117" s="57"/>
      <c r="AE117" s="57"/>
      <c r="AF117" s="57"/>
      <c r="AG117" s="57"/>
    </row>
    <row r="118" spans="1:35" ht="15" customHeight="1">
      <c r="A118" s="27"/>
      <c r="I118" s="57"/>
      <c r="J118" s="57"/>
      <c r="K118" s="57"/>
      <c r="L118" s="57"/>
      <c r="M118" s="57"/>
      <c r="N118" s="57"/>
      <c r="O118" s="57"/>
      <c r="P118" s="57"/>
      <c r="Q118" s="57"/>
      <c r="R118" s="57"/>
      <c r="S118" s="57"/>
      <c r="T118" s="57"/>
      <c r="U118" s="57"/>
      <c r="V118" s="57"/>
      <c r="AC118" s="57"/>
      <c r="AD118" s="57"/>
      <c r="AE118" s="57"/>
      <c r="AF118" s="57"/>
      <c r="AG118" s="57"/>
    </row>
    <row r="119" spans="1:35" ht="15" customHeight="1">
      <c r="A119" s="30" t="s">
        <v>71</v>
      </c>
    </row>
    <row r="121" spans="1:35" ht="15" customHeight="1">
      <c r="B121" s="27" t="s">
        <v>198</v>
      </c>
    </row>
    <row r="122" spans="1:35" ht="15" customHeight="1">
      <c r="C122" s="27" t="s">
        <v>72</v>
      </c>
    </row>
    <row r="123" spans="1:35" ht="15" customHeight="1">
      <c r="C123" s="27" t="s">
        <v>73</v>
      </c>
    </row>
    <row r="124" spans="1:35" ht="15" customHeight="1">
      <c r="C124" s="27" t="s">
        <v>74</v>
      </c>
    </row>
    <row r="125" spans="1:35" ht="15" customHeight="1">
      <c r="B125" s="58" t="s">
        <v>75</v>
      </c>
      <c r="C125" s="59"/>
    </row>
    <row r="126" spans="1:35" ht="15" customHeight="1">
      <c r="B126" s="27" t="s">
        <v>76</v>
      </c>
      <c r="C126" s="58"/>
    </row>
    <row r="127" spans="1:35" ht="15" customHeight="1">
      <c r="C127" s="58" t="s">
        <v>77</v>
      </c>
    </row>
    <row r="128" spans="1:35" ht="15" customHeight="1">
      <c r="C128" s="27" t="s">
        <v>201</v>
      </c>
    </row>
    <row r="130" spans="1:3" ht="15" customHeight="1">
      <c r="A130" s="27"/>
      <c r="B130" s="27" t="s">
        <v>78</v>
      </c>
    </row>
    <row r="131" spans="1:3" ht="15" customHeight="1">
      <c r="A131" s="27"/>
      <c r="C131" s="27" t="s">
        <v>79</v>
      </c>
    </row>
    <row r="132" spans="1:3" ht="15" customHeight="1">
      <c r="A132" s="27"/>
      <c r="C132" s="27" t="s">
        <v>80</v>
      </c>
    </row>
    <row r="133" spans="1:3" ht="15" customHeight="1">
      <c r="A133" s="27"/>
    </row>
    <row r="134" spans="1:3" ht="15" customHeight="1">
      <c r="A134" s="27"/>
      <c r="B134" s="27" t="s">
        <v>81</v>
      </c>
    </row>
    <row r="135" spans="1:3" ht="15" customHeight="1">
      <c r="A135" s="27"/>
      <c r="C135" s="27" t="s">
        <v>82</v>
      </c>
    </row>
    <row r="136" spans="1:3" ht="15" customHeight="1">
      <c r="A136" s="27"/>
    </row>
    <row r="137" spans="1:3" ht="15" customHeight="1">
      <c r="A137" s="27"/>
      <c r="B137" s="108" t="s">
        <v>194</v>
      </c>
    </row>
    <row r="138" spans="1:3" ht="15" customHeight="1">
      <c r="A138" s="27"/>
      <c r="C138" s="27" t="s">
        <v>199</v>
      </c>
    </row>
    <row r="139" spans="1:3" ht="15" customHeight="1">
      <c r="A139" s="27"/>
      <c r="C139" s="27" t="s">
        <v>195</v>
      </c>
    </row>
    <row r="140" spans="1:3" ht="15" customHeight="1">
      <c r="A140" s="27"/>
    </row>
    <row r="141" spans="1:3" ht="15" customHeight="1">
      <c r="A141" s="27"/>
      <c r="B141" s="108" t="s">
        <v>196</v>
      </c>
    </row>
    <row r="142" spans="1:3" ht="15" customHeight="1">
      <c r="A142" s="27"/>
      <c r="C142" s="27" t="s">
        <v>197</v>
      </c>
    </row>
    <row r="143" spans="1:3" ht="15" customHeight="1">
      <c r="A143" s="27"/>
      <c r="C143" s="27" t="s">
        <v>204</v>
      </c>
    </row>
    <row r="144" spans="1:3" ht="15" customHeight="1">
      <c r="A144" s="27"/>
    </row>
    <row r="145" spans="1:4" ht="15" customHeight="1">
      <c r="A145" s="27"/>
      <c r="B145" s="27" t="s">
        <v>282</v>
      </c>
    </row>
    <row r="146" spans="1:4" ht="15" customHeight="1">
      <c r="A146" s="27"/>
      <c r="C146" s="27" t="s">
        <v>283</v>
      </c>
    </row>
    <row r="147" spans="1:4" ht="15" customHeight="1">
      <c r="A147" s="27"/>
    </row>
    <row r="148" spans="1:4" ht="15" customHeight="1">
      <c r="A148" s="27"/>
      <c r="B148" s="108" t="s">
        <v>285</v>
      </c>
    </row>
    <row r="149" spans="1:4" ht="15" customHeight="1">
      <c r="A149" s="27"/>
      <c r="C149" s="27" t="s">
        <v>286</v>
      </c>
    </row>
    <row r="150" spans="1:4" ht="15" customHeight="1">
      <c r="A150" s="27"/>
    </row>
    <row r="151" spans="1:4" ht="15" customHeight="1">
      <c r="A151" s="27"/>
      <c r="B151" s="63" t="s">
        <v>287</v>
      </c>
      <c r="C151" s="63"/>
      <c r="D151" s="63"/>
    </row>
    <row r="152" spans="1:4" ht="15" customHeight="1">
      <c r="A152" s="27"/>
      <c r="B152" s="63"/>
      <c r="C152" s="63" t="s">
        <v>200</v>
      </c>
      <c r="D152" s="63"/>
    </row>
    <row r="153" spans="1:4" ht="15" customHeight="1">
      <c r="A153" s="27"/>
      <c r="B153" s="63"/>
      <c r="C153" s="63" t="s">
        <v>83</v>
      </c>
      <c r="D153" s="63"/>
    </row>
  </sheetData>
  <mergeCells count="51">
    <mergeCell ref="C115:H116"/>
    <mergeCell ref="L115:Q116"/>
    <mergeCell ref="U115:Z116"/>
    <mergeCell ref="I109:AI110"/>
    <mergeCell ref="D109:H110"/>
    <mergeCell ref="I76:J76"/>
    <mergeCell ref="I83:J83"/>
    <mergeCell ref="I96:J96"/>
    <mergeCell ref="I98:J98"/>
    <mergeCell ref="D103:H103"/>
    <mergeCell ref="D105:H105"/>
    <mergeCell ref="D107:H107"/>
    <mergeCell ref="D61:H61"/>
    <mergeCell ref="I68:J68"/>
    <mergeCell ref="J55:T55"/>
    <mergeCell ref="J56:T56"/>
    <mergeCell ref="D57:H57"/>
    <mergeCell ref="D59:H59"/>
    <mergeCell ref="Y43:AB43"/>
    <mergeCell ref="AC43:AD43"/>
    <mergeCell ref="AE43:AJ43"/>
    <mergeCell ref="AM43:AQ43"/>
    <mergeCell ref="D54:H54"/>
    <mergeCell ref="B42:C42"/>
    <mergeCell ref="Y42:AB42"/>
    <mergeCell ref="AC42:AD42"/>
    <mergeCell ref="AE42:AJ42"/>
    <mergeCell ref="AM42:AQ42"/>
    <mergeCell ref="B41:C41"/>
    <mergeCell ref="Y41:AB41"/>
    <mergeCell ref="AC41:AD41"/>
    <mergeCell ref="AE41:AJ41"/>
    <mergeCell ref="AM41:AQ41"/>
    <mergeCell ref="AM39:AQ39"/>
    <mergeCell ref="B40:C40"/>
    <mergeCell ref="Y40:AB40"/>
    <mergeCell ref="AC40:AD40"/>
    <mergeCell ref="AE40:AJ40"/>
    <mergeCell ref="AM40:AQ40"/>
    <mergeCell ref="AD115:AI116"/>
    <mergeCell ref="A1:Q2"/>
    <mergeCell ref="AF1:AJ1"/>
    <mergeCell ref="AF2:AJ2"/>
    <mergeCell ref="A5:Q6"/>
    <mergeCell ref="A11:E12"/>
    <mergeCell ref="F11:Q12"/>
    <mergeCell ref="B39:C39"/>
    <mergeCell ref="Y39:AB39"/>
    <mergeCell ref="AC39:AD39"/>
    <mergeCell ref="AE39:AJ39"/>
    <mergeCell ref="B43:C43"/>
  </mergeCells>
  <phoneticPr fontId="3"/>
  <printOptions horizontalCentered="1"/>
  <pageMargins left="0.39370078740157483" right="0.39370078740157483" top="0.78740157480314965" bottom="0.39370078740157483" header="0.31496062992125984" footer="0.31496062992125984"/>
  <pageSetup paperSize="9" scale="86" orientation="portrait" r:id="rId1"/>
  <headerFooter>
    <oddFooter>&amp;C&amp;10&amp;P / &amp;N</oddFooter>
  </headerFooter>
  <rowBreaks count="2" manualBreakCount="2">
    <brk id="50" max="35" man="1"/>
    <brk id="97" max="35" man="1"/>
  </rowBreaks>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31B876-A5F2-4DE3-9009-E7CBA3A162AE}">
  <sheetPr>
    <tabColor rgb="FFFF0000"/>
  </sheetPr>
  <dimension ref="A1:AX14"/>
  <sheetViews>
    <sheetView showGridLines="0" zoomScale="70" zoomScaleNormal="70" workbookViewId="0">
      <pane xSplit="5" ySplit="3" topLeftCell="V4" activePane="bottomRight" state="frozen"/>
      <selection activeCell="AI32" sqref="AI32"/>
      <selection pane="topRight" activeCell="AI32" sqref="AI32"/>
      <selection pane="bottomLeft" activeCell="AI32" sqref="AI32"/>
      <selection pane="bottomRight" activeCell="AG11" sqref="AG11"/>
    </sheetView>
  </sheetViews>
  <sheetFormatPr defaultRowHeight="18.75" outlineLevelCol="1"/>
  <cols>
    <col min="1" max="1" width="4.375" style="72" bestFit="1" customWidth="1"/>
    <col min="2" max="2" width="19.875" style="69" customWidth="1"/>
    <col min="3" max="3" width="17.625" style="70" customWidth="1"/>
    <col min="4" max="4" width="27.5" style="70" bestFit="1" customWidth="1"/>
    <col min="5" max="5" width="112.5" style="70" customWidth="1"/>
    <col min="6" max="8" width="9.625" style="71" customWidth="1"/>
    <col min="9" max="14" width="9.625" style="69" customWidth="1" outlineLevel="1"/>
    <col min="15" max="15" width="1.625" style="69" customWidth="1"/>
    <col min="16" max="21" width="9.625" style="69" customWidth="1" outlineLevel="1"/>
    <col min="22" max="22" width="13.875" style="69" customWidth="1"/>
    <col min="23" max="23" width="9.625" style="69" customWidth="1" outlineLevel="1"/>
    <col min="24" max="24" width="14.125" style="69" customWidth="1" outlineLevel="1"/>
    <col min="25" max="25" width="9.625" style="69" customWidth="1" outlineLevel="1"/>
    <col min="26" max="27" width="14.125" style="69" customWidth="1" outlineLevel="1"/>
    <col min="28" max="28" width="2.625" style="69" customWidth="1"/>
    <col min="29" max="29" width="9.625" style="69" customWidth="1" outlineLevel="1"/>
    <col min="30" max="30" width="14.125" style="69" customWidth="1" outlineLevel="1"/>
    <col min="31" max="31" width="9.625" style="69" customWidth="1" outlineLevel="1"/>
    <col min="32" max="33" width="14.125" style="69" customWidth="1" outlineLevel="1"/>
    <col min="34" max="34" width="5" style="69" customWidth="1"/>
    <col min="35" max="41" width="9.625" style="69" hidden="1" customWidth="1" outlineLevel="1"/>
    <col min="42" max="42" width="3.625" style="69" customWidth="1" collapsed="1"/>
    <col min="43" max="49" width="9" style="69" hidden="1" customWidth="1" outlineLevel="1"/>
    <col min="50" max="50" width="8.625" collapsed="1"/>
  </cols>
  <sheetData>
    <row r="1" spans="1:49" ht="24">
      <c r="A1" s="68" t="s">
        <v>84</v>
      </c>
      <c r="W1" s="232" t="s">
        <v>85</v>
      </c>
      <c r="X1" s="232"/>
      <c r="Y1" s="232"/>
      <c r="Z1" s="232"/>
      <c r="AA1" s="232"/>
      <c r="AC1" s="233" t="s">
        <v>86</v>
      </c>
      <c r="AD1" s="233"/>
      <c r="AE1" s="233"/>
      <c r="AF1" s="233"/>
      <c r="AG1" s="233"/>
      <c r="AI1" s="234" t="s">
        <v>87</v>
      </c>
      <c r="AJ1" s="234"/>
      <c r="AK1" s="234"/>
      <c r="AL1" s="234"/>
      <c r="AM1" s="234"/>
      <c r="AN1" s="234"/>
      <c r="AO1" s="234"/>
      <c r="AP1" s="234"/>
      <c r="AQ1" s="234"/>
      <c r="AR1" s="234"/>
      <c r="AS1" s="234"/>
      <c r="AT1" s="234"/>
      <c r="AU1" s="234"/>
      <c r="AV1" s="234"/>
      <c r="AW1" s="234"/>
    </row>
    <row r="2" spans="1:49">
      <c r="I2" s="232" t="s">
        <v>85</v>
      </c>
      <c r="J2" s="232"/>
      <c r="K2" s="232"/>
      <c r="L2" s="232"/>
      <c r="M2" s="232"/>
      <c r="N2" s="232"/>
      <c r="P2" s="233" t="s">
        <v>86</v>
      </c>
      <c r="Q2" s="233"/>
      <c r="R2" s="233"/>
      <c r="S2" s="233"/>
      <c r="T2" s="233"/>
      <c r="U2" s="233"/>
      <c r="W2" s="73" t="s">
        <v>88</v>
      </c>
      <c r="X2" s="74">
        <v>50000</v>
      </c>
      <c r="Y2" s="73" t="s">
        <v>89</v>
      </c>
      <c r="Z2" s="74">
        <v>70000</v>
      </c>
      <c r="AA2" s="73"/>
      <c r="AC2" s="73" t="s">
        <v>88</v>
      </c>
      <c r="AD2" s="74">
        <v>1000000</v>
      </c>
      <c r="AE2" s="73" t="s">
        <v>89</v>
      </c>
      <c r="AF2" s="74">
        <v>1400000</v>
      </c>
      <c r="AG2" s="73"/>
      <c r="AI2" s="235" t="s">
        <v>85</v>
      </c>
      <c r="AJ2" s="235"/>
      <c r="AK2" s="235"/>
      <c r="AL2" s="235"/>
      <c r="AM2" s="235"/>
      <c r="AN2" s="235"/>
      <c r="AO2" s="235"/>
      <c r="AQ2" s="236" t="s">
        <v>86</v>
      </c>
      <c r="AR2" s="236"/>
      <c r="AS2" s="236"/>
      <c r="AT2" s="236"/>
      <c r="AU2" s="236"/>
      <c r="AV2" s="236"/>
      <c r="AW2" s="236"/>
    </row>
    <row r="3" spans="1:49" ht="72">
      <c r="A3" s="75" t="s">
        <v>90</v>
      </c>
      <c r="B3" s="76" t="s">
        <v>91</v>
      </c>
      <c r="C3" s="76" t="s">
        <v>92</v>
      </c>
      <c r="D3" s="76" t="s">
        <v>93</v>
      </c>
      <c r="E3" s="76" t="s">
        <v>94</v>
      </c>
      <c r="F3" s="77" t="s">
        <v>95</v>
      </c>
      <c r="G3" s="78" t="s">
        <v>96</v>
      </c>
      <c r="H3" s="78" t="s">
        <v>97</v>
      </c>
      <c r="I3" s="79" t="s">
        <v>98</v>
      </c>
      <c r="J3" s="73" t="s">
        <v>99</v>
      </c>
      <c r="K3" s="73" t="s">
        <v>100</v>
      </c>
      <c r="L3" s="73" t="s">
        <v>101</v>
      </c>
      <c r="M3" s="73" t="s">
        <v>102</v>
      </c>
      <c r="N3" s="73" t="s">
        <v>104</v>
      </c>
      <c r="P3" s="79" t="s">
        <v>98</v>
      </c>
      <c r="Q3" s="73" t="s">
        <v>99</v>
      </c>
      <c r="R3" s="73" t="s">
        <v>100</v>
      </c>
      <c r="S3" s="73" t="s">
        <v>101</v>
      </c>
      <c r="T3" s="73" t="s">
        <v>102</v>
      </c>
      <c r="U3" s="73" t="s">
        <v>104</v>
      </c>
      <c r="V3" s="80" t="s">
        <v>105</v>
      </c>
      <c r="W3" s="77" t="s">
        <v>85</v>
      </c>
      <c r="X3" s="77" t="s">
        <v>106</v>
      </c>
      <c r="Y3" s="77" t="s">
        <v>85</v>
      </c>
      <c r="Z3" s="77" t="s">
        <v>106</v>
      </c>
      <c r="AA3" s="77" t="s">
        <v>107</v>
      </c>
      <c r="AB3" s="81"/>
      <c r="AC3" s="77" t="s">
        <v>86</v>
      </c>
      <c r="AD3" s="77" t="s">
        <v>106</v>
      </c>
      <c r="AE3" s="77" t="s">
        <v>86</v>
      </c>
      <c r="AF3" s="77" t="s">
        <v>106</v>
      </c>
      <c r="AG3" s="77" t="s">
        <v>107</v>
      </c>
      <c r="AI3" s="79" t="s">
        <v>98</v>
      </c>
      <c r="AJ3" s="73" t="s">
        <v>99</v>
      </c>
      <c r="AK3" s="73" t="s">
        <v>100</v>
      </c>
      <c r="AL3" s="73" t="s">
        <v>101</v>
      </c>
      <c r="AM3" s="73" t="s">
        <v>102</v>
      </c>
      <c r="AN3" s="73" t="s">
        <v>103</v>
      </c>
      <c r="AO3" s="73" t="s">
        <v>104</v>
      </c>
      <c r="AQ3" s="79" t="s">
        <v>98</v>
      </c>
      <c r="AR3" s="73" t="s">
        <v>99</v>
      </c>
      <c r="AS3" s="73" t="s">
        <v>100</v>
      </c>
      <c r="AT3" s="73" t="s">
        <v>101</v>
      </c>
      <c r="AU3" s="73" t="s">
        <v>102</v>
      </c>
      <c r="AV3" s="73" t="s">
        <v>103</v>
      </c>
      <c r="AW3" s="73" t="s">
        <v>104</v>
      </c>
    </row>
    <row r="4" spans="1:49" ht="131.25">
      <c r="A4" s="73">
        <f>ROW()-3</f>
        <v>1</v>
      </c>
      <c r="B4" s="125" t="s">
        <v>108</v>
      </c>
      <c r="C4" s="126" t="s">
        <v>271</v>
      </c>
      <c r="D4" s="79" t="s">
        <v>270</v>
      </c>
      <c r="E4" s="82" t="s">
        <v>279</v>
      </c>
      <c r="F4" s="83">
        <f>N4</f>
        <v>3.5</v>
      </c>
      <c r="G4" s="84">
        <f>SUM(F4:F4)</f>
        <v>3.5</v>
      </c>
      <c r="H4" s="85">
        <f>SUM(W4:W4)+SUM(Y4:Y4)</f>
        <v>4.2</v>
      </c>
      <c r="I4" s="86">
        <v>0.5</v>
      </c>
      <c r="J4" s="86">
        <v>1</v>
      </c>
      <c r="K4" s="86">
        <v>2</v>
      </c>
      <c r="L4" s="86"/>
      <c r="M4" s="86"/>
      <c r="N4" s="86">
        <f>SUM(I4:M4)</f>
        <v>3.5</v>
      </c>
      <c r="O4" s="87"/>
      <c r="P4" s="88">
        <f t="shared" ref="P4:T6" si="0">ROUNDUP(I4/20,3)</f>
        <v>2.5000000000000001E-2</v>
      </c>
      <c r="Q4" s="88">
        <f t="shared" si="0"/>
        <v>0.05</v>
      </c>
      <c r="R4" s="88">
        <f t="shared" si="0"/>
        <v>0.1</v>
      </c>
      <c r="S4" s="88">
        <f t="shared" si="0"/>
        <v>0</v>
      </c>
      <c r="T4" s="88">
        <f t="shared" si="0"/>
        <v>0</v>
      </c>
      <c r="U4" s="88">
        <f>SUM(P4:T4)</f>
        <v>0.17500000000000002</v>
      </c>
      <c r="V4" s="89"/>
      <c r="W4" s="90">
        <f>N4</f>
        <v>3.5</v>
      </c>
      <c r="X4" s="91">
        <f>W4*$X$2</f>
        <v>175000</v>
      </c>
      <c r="Y4" s="90">
        <f t="shared" ref="Y4:Y8" si="1">ROUNDUP(W4*0.2,2)</f>
        <v>0.7</v>
      </c>
      <c r="Z4" s="91">
        <f>ROUNDUP(Y4*$Z$2,-3)</f>
        <v>49000</v>
      </c>
      <c r="AA4" s="91">
        <f>SUM(X4,Z4)</f>
        <v>224000</v>
      </c>
      <c r="AC4" s="118">
        <f>ROUNDUP(U4,2)</f>
        <v>0.18000000000000002</v>
      </c>
      <c r="AD4" s="91">
        <f>AC4*$AD$2</f>
        <v>180000.00000000003</v>
      </c>
      <c r="AE4" s="118">
        <f>ROUNDUP(AC4*0.2,2)</f>
        <v>0.04</v>
      </c>
      <c r="AF4" s="91">
        <f>AE4*$AF$2</f>
        <v>56000</v>
      </c>
      <c r="AG4" s="91">
        <f>SUM(AD4,AF4)</f>
        <v>236000.00000000003</v>
      </c>
      <c r="AI4" s="90">
        <f>SUM(I4:I4)</f>
        <v>0.5</v>
      </c>
      <c r="AJ4" s="90">
        <f>SUM(J4:J4)</f>
        <v>1</v>
      </c>
      <c r="AK4" s="90">
        <f>SUM(K4:K4)</f>
        <v>2</v>
      </c>
      <c r="AL4" s="90">
        <f>SUM(L4:L4)</f>
        <v>0</v>
      </c>
      <c r="AM4" s="90">
        <f>SUM(M4:M4)</f>
        <v>0</v>
      </c>
      <c r="AN4" s="90" t="e">
        <f>SUM(#REF!)</f>
        <v>#REF!</v>
      </c>
      <c r="AO4" s="90">
        <f>SUM(N4:N4)</f>
        <v>3.5</v>
      </c>
      <c r="AQ4" s="90">
        <f>SUM(P4:P4)</f>
        <v>2.5000000000000001E-2</v>
      </c>
      <c r="AR4" s="90">
        <f>SUM(Q4:Q4)</f>
        <v>0.05</v>
      </c>
      <c r="AS4" s="90">
        <f>SUM(R4:R4)</f>
        <v>0.1</v>
      </c>
      <c r="AT4" s="90">
        <f>SUM(S4:S4)</f>
        <v>0</v>
      </c>
      <c r="AU4" s="90">
        <f>SUM(T4:T4)</f>
        <v>0</v>
      </c>
      <c r="AV4" s="90" t="e">
        <f>SUM(#REF!)</f>
        <v>#REF!</v>
      </c>
      <c r="AW4" s="90">
        <f>SUM(U4:U4)</f>
        <v>0.17500000000000002</v>
      </c>
    </row>
    <row r="5" spans="1:49" ht="112.5">
      <c r="A5" s="137">
        <f t="shared" ref="A5:A6" si="2">ROW()-3</f>
        <v>2</v>
      </c>
      <c r="B5" s="138"/>
      <c r="C5" s="139"/>
      <c r="D5" s="140" t="s">
        <v>251</v>
      </c>
      <c r="E5" s="141" t="s">
        <v>249</v>
      </c>
      <c r="F5" s="83">
        <f t="shared" ref="F5:F6" si="3">N5</f>
        <v>4</v>
      </c>
      <c r="G5" s="83"/>
      <c r="H5" s="95"/>
      <c r="I5" s="86">
        <v>0.5</v>
      </c>
      <c r="J5" s="86">
        <v>2</v>
      </c>
      <c r="K5" s="86">
        <v>1.5</v>
      </c>
      <c r="L5" s="86"/>
      <c r="M5" s="86"/>
      <c r="N5" s="86">
        <f>SUM(I5:M5)</f>
        <v>4</v>
      </c>
      <c r="O5" s="87"/>
      <c r="P5" s="88">
        <f t="shared" si="0"/>
        <v>2.5000000000000001E-2</v>
      </c>
      <c r="Q5" s="88">
        <f t="shared" si="0"/>
        <v>0.1</v>
      </c>
      <c r="R5" s="88">
        <f t="shared" si="0"/>
        <v>7.4999999999999997E-2</v>
      </c>
      <c r="S5" s="88">
        <f t="shared" si="0"/>
        <v>0</v>
      </c>
      <c r="T5" s="88">
        <f t="shared" si="0"/>
        <v>0</v>
      </c>
      <c r="U5" s="88">
        <f>SUM(P5:T5)</f>
        <v>0.2</v>
      </c>
      <c r="V5" s="89"/>
      <c r="W5" s="90">
        <f>N5</f>
        <v>4</v>
      </c>
      <c r="X5" s="91">
        <f t="shared" ref="X5:X7" si="4">W5*$X$2</f>
        <v>200000</v>
      </c>
      <c r="Y5" s="90">
        <f t="shared" si="1"/>
        <v>0.8</v>
      </c>
      <c r="Z5" s="91">
        <f t="shared" ref="Z5:Z8" si="5">ROUNDUP(Y5*$Z$2,-3)</f>
        <v>56000</v>
      </c>
      <c r="AA5" s="91">
        <f t="shared" ref="AA5:AA8" si="6">SUM(X5,Z5)</f>
        <v>256000</v>
      </c>
      <c r="AC5" s="118">
        <f t="shared" ref="AC5:AC6" si="7">U5</f>
        <v>0.2</v>
      </c>
      <c r="AD5" s="91">
        <f t="shared" ref="AD5:AD8" si="8">AC5*$AD$2</f>
        <v>200000</v>
      </c>
      <c r="AE5" s="118">
        <f>ROUNDUP(AC5*0.2,2)</f>
        <v>0.04</v>
      </c>
      <c r="AF5" s="91">
        <f t="shared" ref="AF5:AF6" si="9">AE5*$AF$2</f>
        <v>56000</v>
      </c>
      <c r="AG5" s="91">
        <f t="shared" ref="AG5:AG6" si="10">ROUNDUP(SUM(AD5,AF5),-3)</f>
        <v>256000</v>
      </c>
      <c r="AI5" s="90"/>
      <c r="AJ5" s="90"/>
      <c r="AK5" s="90"/>
      <c r="AL5" s="90"/>
      <c r="AM5" s="90"/>
      <c r="AN5" s="90"/>
      <c r="AO5" s="90"/>
      <c r="AQ5" s="90"/>
      <c r="AR5" s="90"/>
      <c r="AS5" s="90"/>
      <c r="AT5" s="90"/>
      <c r="AU5" s="90"/>
      <c r="AV5" s="90"/>
      <c r="AW5" s="90"/>
    </row>
    <row r="6" spans="1:49" ht="225">
      <c r="A6" s="137">
        <f t="shared" si="2"/>
        <v>3</v>
      </c>
      <c r="B6" s="138"/>
      <c r="C6" s="139"/>
      <c r="D6" s="140" t="s">
        <v>256</v>
      </c>
      <c r="E6" s="141" t="s">
        <v>250</v>
      </c>
      <c r="F6" s="83">
        <f t="shared" si="3"/>
        <v>3</v>
      </c>
      <c r="G6" s="83"/>
      <c r="H6" s="95"/>
      <c r="I6" s="86">
        <v>0.5</v>
      </c>
      <c r="J6" s="86">
        <v>2</v>
      </c>
      <c r="K6" s="86">
        <v>0.5</v>
      </c>
      <c r="L6" s="86"/>
      <c r="M6" s="86"/>
      <c r="N6" s="86">
        <f>SUM(I6:M6)</f>
        <v>3</v>
      </c>
      <c r="O6" s="87"/>
      <c r="P6" s="88">
        <f t="shared" si="0"/>
        <v>2.5000000000000001E-2</v>
      </c>
      <c r="Q6" s="88">
        <f t="shared" si="0"/>
        <v>0.1</v>
      </c>
      <c r="R6" s="88">
        <f t="shared" si="0"/>
        <v>2.5000000000000001E-2</v>
      </c>
      <c r="S6" s="88">
        <f t="shared" si="0"/>
        <v>0</v>
      </c>
      <c r="T6" s="88">
        <f t="shared" si="0"/>
        <v>0</v>
      </c>
      <c r="U6" s="88">
        <f>SUM(P6:T6)</f>
        <v>0.15</v>
      </c>
      <c r="V6" s="89"/>
      <c r="W6" s="90">
        <f>N6</f>
        <v>3</v>
      </c>
      <c r="X6" s="91">
        <f t="shared" si="4"/>
        <v>150000</v>
      </c>
      <c r="Y6" s="90">
        <f t="shared" si="1"/>
        <v>0.6</v>
      </c>
      <c r="Z6" s="91">
        <f t="shared" si="5"/>
        <v>42000</v>
      </c>
      <c r="AA6" s="91">
        <f t="shared" si="6"/>
        <v>192000</v>
      </c>
      <c r="AC6" s="118">
        <f t="shared" si="7"/>
        <v>0.15</v>
      </c>
      <c r="AD6" s="91">
        <f t="shared" si="8"/>
        <v>150000</v>
      </c>
      <c r="AE6" s="118">
        <f>ROUNDUP(AC6*0.2,2)</f>
        <v>0.03</v>
      </c>
      <c r="AF6" s="91">
        <f t="shared" si="9"/>
        <v>42000</v>
      </c>
      <c r="AG6" s="91">
        <f t="shared" si="10"/>
        <v>192000</v>
      </c>
      <c r="AI6" s="90"/>
      <c r="AJ6" s="90"/>
      <c r="AK6" s="90"/>
      <c r="AL6" s="90"/>
      <c r="AM6" s="90"/>
      <c r="AN6" s="90"/>
      <c r="AO6" s="90"/>
      <c r="AQ6" s="90"/>
      <c r="AR6" s="90"/>
      <c r="AS6" s="90"/>
      <c r="AT6" s="90"/>
      <c r="AU6" s="90"/>
      <c r="AV6" s="90"/>
      <c r="AW6" s="90"/>
    </row>
    <row r="7" spans="1:49">
      <c r="A7" s="96" t="s">
        <v>109</v>
      </c>
      <c r="B7" s="97"/>
      <c r="C7" s="98"/>
      <c r="D7" s="98"/>
      <c r="E7" s="98"/>
      <c r="F7" s="99"/>
      <c r="V7" s="89" t="s">
        <v>103</v>
      </c>
      <c r="W7" s="90">
        <v>0</v>
      </c>
      <c r="X7" s="91">
        <f t="shared" si="4"/>
        <v>0</v>
      </c>
      <c r="Y7" s="90">
        <f t="shared" si="1"/>
        <v>0</v>
      </c>
      <c r="Z7" s="91">
        <f t="shared" si="5"/>
        <v>0</v>
      </c>
      <c r="AA7" s="91">
        <f t="shared" si="6"/>
        <v>0</v>
      </c>
      <c r="AC7" s="118">
        <f>ROUNDUP(W7/20,3)</f>
        <v>0</v>
      </c>
      <c r="AD7" s="91">
        <f t="shared" si="8"/>
        <v>0</v>
      </c>
      <c r="AE7" s="118">
        <f>ROUNDUP(AC7*0.2,2)</f>
        <v>0</v>
      </c>
      <c r="AF7" s="121">
        <f t="shared" ref="AF7:AF8" si="11">AE7*$AF$2</f>
        <v>0</v>
      </c>
      <c r="AG7" s="91">
        <f t="shared" ref="AG7:AG8" si="12">SUM(AD7,AF7)</f>
        <v>0</v>
      </c>
    </row>
    <row r="8" spans="1:49" ht="19.5" thickBot="1">
      <c r="A8" s="100"/>
      <c r="F8" s="101"/>
      <c r="V8" s="120" t="s">
        <v>205</v>
      </c>
      <c r="W8" s="123">
        <v>0</v>
      </c>
      <c r="X8" s="91">
        <f>W8*$X$2</f>
        <v>0</v>
      </c>
      <c r="Y8" s="90">
        <f t="shared" si="1"/>
        <v>0</v>
      </c>
      <c r="Z8" s="91">
        <f t="shared" si="5"/>
        <v>0</v>
      </c>
      <c r="AA8" s="121">
        <f t="shared" si="6"/>
        <v>0</v>
      </c>
      <c r="AC8" s="162">
        <f>ROUNDUP(W8/20,3)</f>
        <v>0</v>
      </c>
      <c r="AD8" s="121">
        <f t="shared" si="8"/>
        <v>0</v>
      </c>
      <c r="AE8" s="162">
        <f>ROUNDUP(AC8*0.2,2)</f>
        <v>0</v>
      </c>
      <c r="AF8" s="121">
        <f t="shared" si="11"/>
        <v>0</v>
      </c>
      <c r="AG8" s="121">
        <f t="shared" si="12"/>
        <v>0</v>
      </c>
    </row>
    <row r="9" spans="1:49" ht="19.5" thickBot="1">
      <c r="A9" s="100"/>
      <c r="B9" s="72" t="s">
        <v>111</v>
      </c>
      <c r="F9" s="101"/>
      <c r="AA9" s="230" t="s">
        <v>104</v>
      </c>
      <c r="AB9" s="231"/>
      <c r="AC9" s="166">
        <f>SUM(AC4:AC8)</f>
        <v>0.53</v>
      </c>
      <c r="AD9" s="165">
        <f>SUM(AD4:AD8)</f>
        <v>530000</v>
      </c>
      <c r="AE9" s="166">
        <f>ROUNDUP(SUM(AE4:AE8),2)</f>
        <v>0.11</v>
      </c>
      <c r="AF9" s="165">
        <f>SUM(AF4:AF8)</f>
        <v>154000</v>
      </c>
      <c r="AG9" s="167">
        <f>SUM(AG4:AG8)</f>
        <v>684000</v>
      </c>
    </row>
    <row r="10" spans="1:49" ht="19.5" thickBot="1">
      <c r="A10" s="100"/>
      <c r="B10" s="72" t="s">
        <v>112</v>
      </c>
      <c r="F10" s="101"/>
      <c r="W10" s="119"/>
      <c r="AD10" s="163" t="s">
        <v>267</v>
      </c>
      <c r="AE10" s="164">
        <f>SUM(AC9,AE9)</f>
        <v>0.64</v>
      </c>
    </row>
    <row r="11" spans="1:49">
      <c r="A11" s="100"/>
      <c r="B11" s="72" t="s">
        <v>113</v>
      </c>
      <c r="F11" s="101"/>
    </row>
    <row r="12" spans="1:49">
      <c r="A12" s="100"/>
      <c r="B12" s="69" t="s">
        <v>114</v>
      </c>
      <c r="F12" s="101"/>
    </row>
    <row r="13" spans="1:49" s="69" customFormat="1">
      <c r="A13" s="100"/>
      <c r="B13" s="69" t="s">
        <v>115</v>
      </c>
      <c r="C13" s="70"/>
      <c r="D13" s="70"/>
      <c r="E13" s="70"/>
      <c r="F13" s="101"/>
      <c r="G13" s="71"/>
      <c r="H13" s="71"/>
    </row>
    <row r="14" spans="1:49" s="69" customFormat="1">
      <c r="A14" s="100"/>
      <c r="B14" s="69" t="s">
        <v>116</v>
      </c>
      <c r="C14" s="70"/>
      <c r="D14" s="70"/>
      <c r="E14" s="70"/>
      <c r="F14" s="101"/>
      <c r="H14" s="71"/>
      <c r="I14" s="71"/>
    </row>
  </sheetData>
  <mergeCells count="8">
    <mergeCell ref="AA9:AB9"/>
    <mergeCell ref="W1:AA1"/>
    <mergeCell ref="AC1:AG1"/>
    <mergeCell ref="AI1:AW1"/>
    <mergeCell ref="I2:N2"/>
    <mergeCell ref="P2:U2"/>
    <mergeCell ref="AI2:AO2"/>
    <mergeCell ref="AQ2:AW2"/>
  </mergeCells>
  <phoneticPr fontId="3"/>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3829EA-3B4A-426A-BB9D-68B76BA2AE90}">
  <sheetPr>
    <tabColor rgb="FFFF0000"/>
  </sheetPr>
  <dimension ref="A1:AX14"/>
  <sheetViews>
    <sheetView showGridLines="0" zoomScale="85" zoomScaleNormal="85" workbookViewId="0">
      <pane xSplit="5" ySplit="3" topLeftCell="Y5" activePane="bottomRight" state="frozen"/>
      <selection activeCell="AI32" sqref="AI32"/>
      <selection pane="topRight" activeCell="AI32" sqref="AI32"/>
      <selection pane="bottomLeft" activeCell="AI32" sqref="AI32"/>
      <selection pane="bottomRight" activeCell="AG7" sqref="Z6:AG7"/>
    </sheetView>
  </sheetViews>
  <sheetFormatPr defaultRowHeight="18.75" outlineLevelCol="1"/>
  <cols>
    <col min="1" max="1" width="4.375" style="72" bestFit="1" customWidth="1"/>
    <col min="2" max="2" width="19.875" style="69" customWidth="1"/>
    <col min="3" max="3" width="17.625" style="70" customWidth="1"/>
    <col min="4" max="4" width="27.5" style="70" bestFit="1" customWidth="1"/>
    <col min="5" max="5" width="112.5" style="70" customWidth="1"/>
    <col min="6" max="8" width="9.625" style="71" customWidth="1"/>
    <col min="9" max="14" width="9.625" style="69" customWidth="1" outlineLevel="1"/>
    <col min="15" max="15" width="1.625" style="69" customWidth="1"/>
    <col min="16" max="21" width="9.625" style="69" customWidth="1" outlineLevel="1"/>
    <col min="22" max="22" width="13.875" style="69" customWidth="1"/>
    <col min="23" max="23" width="9.625" style="69" customWidth="1" outlineLevel="1"/>
    <col min="24" max="24" width="14.125" style="69" customWidth="1" outlineLevel="1"/>
    <col min="25" max="25" width="9.625" style="69" customWidth="1" outlineLevel="1"/>
    <col min="26" max="27" width="14.125" style="69" customWidth="1" outlineLevel="1"/>
    <col min="28" max="28" width="2.625" style="69" customWidth="1"/>
    <col min="29" max="29" width="9.625" style="69" customWidth="1" outlineLevel="1"/>
    <col min="30" max="30" width="14.125" style="69" customWidth="1" outlineLevel="1"/>
    <col min="31" max="31" width="9.625" style="69" customWidth="1" outlineLevel="1"/>
    <col min="32" max="33" width="14.125" style="69" customWidth="1" outlineLevel="1"/>
    <col min="34" max="34" width="5" style="69" customWidth="1"/>
    <col min="35" max="41" width="9.625" style="69" hidden="1" customWidth="1" outlineLevel="1"/>
    <col min="42" max="42" width="3.625" style="69" customWidth="1" collapsed="1"/>
    <col min="43" max="49" width="9" style="69" hidden="1" customWidth="1" outlineLevel="1"/>
    <col min="50" max="50" width="9" collapsed="1"/>
  </cols>
  <sheetData>
    <row r="1" spans="1:49" ht="24">
      <c r="A1" s="68" t="s">
        <v>84</v>
      </c>
      <c r="W1" s="232" t="s">
        <v>85</v>
      </c>
      <c r="X1" s="232"/>
      <c r="Y1" s="232"/>
      <c r="Z1" s="232"/>
      <c r="AA1" s="232"/>
      <c r="AC1" s="233" t="s">
        <v>86</v>
      </c>
      <c r="AD1" s="233"/>
      <c r="AE1" s="233"/>
      <c r="AF1" s="233"/>
      <c r="AG1" s="233"/>
      <c r="AI1" s="234" t="s">
        <v>87</v>
      </c>
      <c r="AJ1" s="234"/>
      <c r="AK1" s="234"/>
      <c r="AL1" s="234"/>
      <c r="AM1" s="234"/>
      <c r="AN1" s="234"/>
      <c r="AO1" s="234"/>
      <c r="AP1" s="234"/>
      <c r="AQ1" s="234"/>
      <c r="AR1" s="234"/>
      <c r="AS1" s="234"/>
      <c r="AT1" s="234"/>
      <c r="AU1" s="234"/>
      <c r="AV1" s="234"/>
      <c r="AW1" s="234"/>
    </row>
    <row r="2" spans="1:49">
      <c r="I2" s="232" t="s">
        <v>85</v>
      </c>
      <c r="J2" s="232"/>
      <c r="K2" s="232"/>
      <c r="L2" s="232"/>
      <c r="M2" s="232"/>
      <c r="N2" s="232"/>
      <c r="P2" s="233" t="s">
        <v>86</v>
      </c>
      <c r="Q2" s="233"/>
      <c r="R2" s="233"/>
      <c r="S2" s="233"/>
      <c r="T2" s="233"/>
      <c r="U2" s="233"/>
      <c r="W2" s="73" t="s">
        <v>88</v>
      </c>
      <c r="X2" s="74">
        <v>50000</v>
      </c>
      <c r="Y2" s="73" t="s">
        <v>89</v>
      </c>
      <c r="Z2" s="74">
        <v>70000</v>
      </c>
      <c r="AA2" s="73"/>
      <c r="AC2" s="73" t="s">
        <v>88</v>
      </c>
      <c r="AD2" s="74">
        <v>1000000</v>
      </c>
      <c r="AE2" s="73" t="s">
        <v>89</v>
      </c>
      <c r="AF2" s="74">
        <v>1400000</v>
      </c>
      <c r="AG2" s="73"/>
      <c r="AI2" s="235" t="s">
        <v>85</v>
      </c>
      <c r="AJ2" s="235"/>
      <c r="AK2" s="235"/>
      <c r="AL2" s="235"/>
      <c r="AM2" s="235"/>
      <c r="AN2" s="235"/>
      <c r="AO2" s="235"/>
      <c r="AQ2" s="236" t="s">
        <v>86</v>
      </c>
      <c r="AR2" s="236"/>
      <c r="AS2" s="236"/>
      <c r="AT2" s="236"/>
      <c r="AU2" s="236"/>
      <c r="AV2" s="236"/>
      <c r="AW2" s="236"/>
    </row>
    <row r="3" spans="1:49" ht="72">
      <c r="A3" s="75" t="s">
        <v>90</v>
      </c>
      <c r="B3" s="76" t="s">
        <v>91</v>
      </c>
      <c r="C3" s="76" t="s">
        <v>92</v>
      </c>
      <c r="D3" s="76" t="s">
        <v>93</v>
      </c>
      <c r="E3" s="76" t="s">
        <v>94</v>
      </c>
      <c r="F3" s="77" t="s">
        <v>95</v>
      </c>
      <c r="G3" s="78" t="s">
        <v>96</v>
      </c>
      <c r="H3" s="78" t="s">
        <v>97</v>
      </c>
      <c r="I3" s="79" t="s">
        <v>98</v>
      </c>
      <c r="J3" s="73" t="s">
        <v>99</v>
      </c>
      <c r="K3" s="73" t="s">
        <v>100</v>
      </c>
      <c r="L3" s="73" t="s">
        <v>101</v>
      </c>
      <c r="M3" s="73" t="s">
        <v>102</v>
      </c>
      <c r="N3" s="73" t="s">
        <v>104</v>
      </c>
      <c r="P3" s="79" t="s">
        <v>98</v>
      </c>
      <c r="Q3" s="73" t="s">
        <v>99</v>
      </c>
      <c r="R3" s="73" t="s">
        <v>100</v>
      </c>
      <c r="S3" s="73" t="s">
        <v>101</v>
      </c>
      <c r="T3" s="73" t="s">
        <v>102</v>
      </c>
      <c r="U3" s="73" t="s">
        <v>104</v>
      </c>
      <c r="V3" s="80" t="s">
        <v>105</v>
      </c>
      <c r="W3" s="77" t="s">
        <v>85</v>
      </c>
      <c r="X3" s="77" t="s">
        <v>106</v>
      </c>
      <c r="Y3" s="77" t="s">
        <v>85</v>
      </c>
      <c r="Z3" s="77" t="s">
        <v>106</v>
      </c>
      <c r="AA3" s="77" t="s">
        <v>107</v>
      </c>
      <c r="AB3" s="81"/>
      <c r="AC3" s="77" t="s">
        <v>86</v>
      </c>
      <c r="AD3" s="77" t="s">
        <v>106</v>
      </c>
      <c r="AE3" s="77" t="s">
        <v>86</v>
      </c>
      <c r="AF3" s="77" t="s">
        <v>106</v>
      </c>
      <c r="AG3" s="77" t="s">
        <v>107</v>
      </c>
      <c r="AI3" s="79" t="s">
        <v>98</v>
      </c>
      <c r="AJ3" s="73" t="s">
        <v>99</v>
      </c>
      <c r="AK3" s="73" t="s">
        <v>100</v>
      </c>
      <c r="AL3" s="73" t="s">
        <v>101</v>
      </c>
      <c r="AM3" s="73" t="s">
        <v>102</v>
      </c>
      <c r="AN3" s="73" t="s">
        <v>103</v>
      </c>
      <c r="AO3" s="73" t="s">
        <v>104</v>
      </c>
      <c r="AQ3" s="79" t="s">
        <v>98</v>
      </c>
      <c r="AR3" s="73" t="s">
        <v>99</v>
      </c>
      <c r="AS3" s="73" t="s">
        <v>100</v>
      </c>
      <c r="AT3" s="73" t="s">
        <v>101</v>
      </c>
      <c r="AU3" s="73" t="s">
        <v>102</v>
      </c>
      <c r="AV3" s="73" t="s">
        <v>103</v>
      </c>
      <c r="AW3" s="73" t="s">
        <v>104</v>
      </c>
    </row>
    <row r="4" spans="1:49" ht="131.25">
      <c r="A4" s="73">
        <f>ROW()-3</f>
        <v>1</v>
      </c>
      <c r="B4" s="125" t="s">
        <v>108</v>
      </c>
      <c r="C4" s="126" t="s">
        <v>271</v>
      </c>
      <c r="D4" s="79" t="s">
        <v>270</v>
      </c>
      <c r="E4" s="82" t="s">
        <v>279</v>
      </c>
      <c r="F4" s="83">
        <f>N4</f>
        <v>5</v>
      </c>
      <c r="G4" s="84">
        <f>SUM(F4:F4)</f>
        <v>5</v>
      </c>
      <c r="H4" s="85">
        <f>SUM(W4:W4)+SUM(Y4:Y4)</f>
        <v>6</v>
      </c>
      <c r="I4" s="86">
        <v>0.5</v>
      </c>
      <c r="J4" s="86">
        <v>1</v>
      </c>
      <c r="K4" s="86">
        <v>2</v>
      </c>
      <c r="L4" s="86">
        <v>1</v>
      </c>
      <c r="M4" s="86">
        <v>0.5</v>
      </c>
      <c r="N4" s="86">
        <f>SUM(I4:M4)</f>
        <v>5</v>
      </c>
      <c r="O4" s="87"/>
      <c r="P4" s="88">
        <f t="shared" ref="P4:T6" si="0">ROUNDUP(I4/20,3)</f>
        <v>2.5000000000000001E-2</v>
      </c>
      <c r="Q4" s="88">
        <f t="shared" si="0"/>
        <v>0.05</v>
      </c>
      <c r="R4" s="88">
        <f t="shared" si="0"/>
        <v>0.1</v>
      </c>
      <c r="S4" s="88">
        <f t="shared" si="0"/>
        <v>0.05</v>
      </c>
      <c r="T4" s="88">
        <f t="shared" si="0"/>
        <v>2.5000000000000001E-2</v>
      </c>
      <c r="U4" s="88">
        <f>SUM(P4:T4)</f>
        <v>0.25000000000000006</v>
      </c>
      <c r="V4" s="89"/>
      <c r="W4" s="90">
        <f>N4</f>
        <v>5</v>
      </c>
      <c r="X4" s="91">
        <f>W4*$X$2</f>
        <v>250000</v>
      </c>
      <c r="Y4" s="90">
        <f t="shared" ref="Y4:Y8" si="1">ROUNDUP(W4*0.2,2)</f>
        <v>1</v>
      </c>
      <c r="Z4" s="91">
        <f>ROUNDUP(Y4*$Z$2,-3)</f>
        <v>70000</v>
      </c>
      <c r="AA4" s="91">
        <f>SUM(X4,Z4)</f>
        <v>320000</v>
      </c>
      <c r="AC4" s="118">
        <f>ROUNDUP(U4,2)</f>
        <v>0.25</v>
      </c>
      <c r="AD4" s="91">
        <f>AC4*$AD$2</f>
        <v>250000</v>
      </c>
      <c r="AE4" s="118">
        <f>ROUNDUP(AC4*0.2,2)</f>
        <v>0.05</v>
      </c>
      <c r="AF4" s="91">
        <f>AE4*$AF$2</f>
        <v>70000</v>
      </c>
      <c r="AG4" s="91">
        <f>SUM(AD4,AF4)</f>
        <v>320000</v>
      </c>
      <c r="AI4" s="90">
        <f>SUM(I4:I4)</f>
        <v>0.5</v>
      </c>
      <c r="AJ4" s="90">
        <f>SUM(J4:J4)</f>
        <v>1</v>
      </c>
      <c r="AK4" s="90">
        <f>SUM(K4:K4)</f>
        <v>2</v>
      </c>
      <c r="AL4" s="90">
        <f>SUM(L4:L4)</f>
        <v>1</v>
      </c>
      <c r="AM4" s="90">
        <f>SUM(M4:M4)</f>
        <v>0.5</v>
      </c>
      <c r="AN4" s="90" t="e">
        <f>SUM(#REF!)</f>
        <v>#REF!</v>
      </c>
      <c r="AO4" s="90">
        <f>SUM(N4:N4)</f>
        <v>5</v>
      </c>
      <c r="AQ4" s="90">
        <f>SUM(P4:P4)</f>
        <v>2.5000000000000001E-2</v>
      </c>
      <c r="AR4" s="90">
        <f>SUM(Q4:Q4)</f>
        <v>0.05</v>
      </c>
      <c r="AS4" s="90">
        <f>SUM(R4:R4)</f>
        <v>0.1</v>
      </c>
      <c r="AT4" s="90">
        <f>SUM(S4:S4)</f>
        <v>0.05</v>
      </c>
      <c r="AU4" s="90">
        <f>SUM(T4:T4)</f>
        <v>2.5000000000000001E-2</v>
      </c>
      <c r="AV4" s="90" t="e">
        <f>SUM(#REF!)</f>
        <v>#REF!</v>
      </c>
      <c r="AW4" s="90">
        <f>SUM(U4:U4)</f>
        <v>0.25000000000000006</v>
      </c>
    </row>
    <row r="5" spans="1:49" ht="112.5">
      <c r="A5" s="137">
        <f t="shared" ref="A5:A6" si="2">ROW()-3</f>
        <v>2</v>
      </c>
      <c r="B5" s="138"/>
      <c r="C5" s="139"/>
      <c r="D5" s="140" t="s">
        <v>251</v>
      </c>
      <c r="E5" s="141" t="s">
        <v>249</v>
      </c>
      <c r="F5" s="83">
        <f t="shared" ref="F5:F6" si="3">N5</f>
        <v>5</v>
      </c>
      <c r="G5" s="83"/>
      <c r="H5" s="95"/>
      <c r="I5" s="86">
        <v>0.5</v>
      </c>
      <c r="J5" s="86">
        <v>2</v>
      </c>
      <c r="K5" s="86">
        <v>1.5</v>
      </c>
      <c r="L5" s="86">
        <v>0.5</v>
      </c>
      <c r="M5" s="86">
        <v>0.5</v>
      </c>
      <c r="N5" s="86">
        <f>SUM(I5:M5)</f>
        <v>5</v>
      </c>
      <c r="O5" s="87"/>
      <c r="P5" s="88">
        <f t="shared" si="0"/>
        <v>2.5000000000000001E-2</v>
      </c>
      <c r="Q5" s="88">
        <f t="shared" si="0"/>
        <v>0.1</v>
      </c>
      <c r="R5" s="88">
        <f t="shared" si="0"/>
        <v>7.4999999999999997E-2</v>
      </c>
      <c r="S5" s="88">
        <f t="shared" si="0"/>
        <v>2.5000000000000001E-2</v>
      </c>
      <c r="T5" s="88">
        <f t="shared" si="0"/>
        <v>2.5000000000000001E-2</v>
      </c>
      <c r="U5" s="88">
        <f>SUM(P5:T5)</f>
        <v>0.25</v>
      </c>
      <c r="V5" s="89"/>
      <c r="W5" s="90">
        <f>N5</f>
        <v>5</v>
      </c>
      <c r="X5" s="91">
        <f t="shared" ref="X5:X7" si="4">W5*$X$2</f>
        <v>250000</v>
      </c>
      <c r="Y5" s="90">
        <f t="shared" si="1"/>
        <v>1</v>
      </c>
      <c r="Z5" s="91">
        <f t="shared" ref="Z5:Z8" si="5">ROUNDUP(Y5*$Z$2,-3)</f>
        <v>70000</v>
      </c>
      <c r="AA5" s="91">
        <f t="shared" ref="AA5:AA8" si="6">SUM(X5,Z5)</f>
        <v>320000</v>
      </c>
      <c r="AC5" s="118">
        <f t="shared" ref="AC5:AC6" si="7">U5</f>
        <v>0.25</v>
      </c>
      <c r="AD5" s="91">
        <f t="shared" ref="AD5:AD8" si="8">AC5*$AD$2</f>
        <v>250000</v>
      </c>
      <c r="AE5" s="118">
        <f>ROUNDUP(AC5*0.2,2)</f>
        <v>0.05</v>
      </c>
      <c r="AF5" s="91">
        <f t="shared" ref="AF5:AF8" si="9">AE5*$AF$2</f>
        <v>70000</v>
      </c>
      <c r="AG5" s="91">
        <f t="shared" ref="AG5:AG6" si="10">ROUNDUP(SUM(AD5,AF5),-3)</f>
        <v>320000</v>
      </c>
      <c r="AI5" s="90"/>
      <c r="AJ5" s="90"/>
      <c r="AK5" s="90"/>
      <c r="AL5" s="90"/>
      <c r="AM5" s="90"/>
      <c r="AN5" s="90"/>
      <c r="AO5" s="90"/>
      <c r="AQ5" s="90"/>
      <c r="AR5" s="90"/>
      <c r="AS5" s="90"/>
      <c r="AT5" s="90"/>
      <c r="AU5" s="90"/>
      <c r="AV5" s="90"/>
      <c r="AW5" s="90"/>
    </row>
    <row r="6" spans="1:49" ht="225">
      <c r="A6" s="137">
        <f t="shared" si="2"/>
        <v>3</v>
      </c>
      <c r="B6" s="138"/>
      <c r="C6" s="139"/>
      <c r="D6" s="140" t="s">
        <v>256</v>
      </c>
      <c r="E6" s="141" t="s">
        <v>250</v>
      </c>
      <c r="F6" s="83">
        <f t="shared" si="3"/>
        <v>4</v>
      </c>
      <c r="G6" s="83"/>
      <c r="H6" s="95"/>
      <c r="I6" s="86">
        <v>0.5</v>
      </c>
      <c r="J6" s="86">
        <v>2</v>
      </c>
      <c r="K6" s="86">
        <v>0.5</v>
      </c>
      <c r="L6" s="86">
        <v>0.5</v>
      </c>
      <c r="M6" s="86">
        <v>0.5</v>
      </c>
      <c r="N6" s="86">
        <f>SUM(I6:M6)</f>
        <v>4</v>
      </c>
      <c r="O6" s="87"/>
      <c r="P6" s="88">
        <f t="shared" si="0"/>
        <v>2.5000000000000001E-2</v>
      </c>
      <c r="Q6" s="88">
        <f t="shared" si="0"/>
        <v>0.1</v>
      </c>
      <c r="R6" s="88">
        <f t="shared" si="0"/>
        <v>2.5000000000000001E-2</v>
      </c>
      <c r="S6" s="88">
        <f t="shared" si="0"/>
        <v>2.5000000000000001E-2</v>
      </c>
      <c r="T6" s="88">
        <f t="shared" si="0"/>
        <v>2.5000000000000001E-2</v>
      </c>
      <c r="U6" s="88">
        <f>SUM(P6:T6)</f>
        <v>0.19999999999999998</v>
      </c>
      <c r="V6" s="89"/>
      <c r="W6" s="90">
        <f>N6</f>
        <v>4</v>
      </c>
      <c r="X6" s="91">
        <f t="shared" si="4"/>
        <v>200000</v>
      </c>
      <c r="Y6" s="90">
        <f t="shared" si="1"/>
        <v>0.8</v>
      </c>
      <c r="Z6" s="91">
        <f t="shared" si="5"/>
        <v>56000</v>
      </c>
      <c r="AA6" s="91">
        <f t="shared" si="6"/>
        <v>256000</v>
      </c>
      <c r="AC6" s="118">
        <f t="shared" si="7"/>
        <v>0.19999999999999998</v>
      </c>
      <c r="AD6" s="91">
        <f t="shared" si="8"/>
        <v>199999.99999999997</v>
      </c>
      <c r="AE6" s="118">
        <f>ROUNDUP(AC6*0.2,2)</f>
        <v>0.04</v>
      </c>
      <c r="AF6" s="91">
        <f t="shared" si="9"/>
        <v>56000</v>
      </c>
      <c r="AG6" s="91">
        <f t="shared" si="10"/>
        <v>256000</v>
      </c>
      <c r="AI6" s="90"/>
      <c r="AJ6" s="90"/>
      <c r="AK6" s="90"/>
      <c r="AL6" s="90"/>
      <c r="AM6" s="90"/>
      <c r="AN6" s="90"/>
      <c r="AO6" s="90"/>
      <c r="AQ6" s="90"/>
      <c r="AR6" s="90"/>
      <c r="AS6" s="90"/>
      <c r="AT6" s="90"/>
      <c r="AU6" s="90"/>
      <c r="AV6" s="90"/>
      <c r="AW6" s="90"/>
    </row>
    <row r="7" spans="1:49">
      <c r="A7" s="96" t="s">
        <v>109</v>
      </c>
      <c r="B7" s="97"/>
      <c r="C7" s="98"/>
      <c r="D7" s="98"/>
      <c r="E7" s="98"/>
      <c r="F7" s="99"/>
      <c r="V7" s="89" t="s">
        <v>103</v>
      </c>
      <c r="W7" s="90">
        <v>0</v>
      </c>
      <c r="X7" s="91">
        <f t="shared" si="4"/>
        <v>0</v>
      </c>
      <c r="Y7" s="90">
        <f t="shared" si="1"/>
        <v>0</v>
      </c>
      <c r="Z7" s="91">
        <f t="shared" si="5"/>
        <v>0</v>
      </c>
      <c r="AA7" s="91">
        <f t="shared" si="6"/>
        <v>0</v>
      </c>
      <c r="AC7" s="118">
        <f>ROUNDUP(W7/20,3)</f>
        <v>0</v>
      </c>
      <c r="AD7" s="91">
        <f t="shared" si="8"/>
        <v>0</v>
      </c>
      <c r="AE7" s="118">
        <f>ROUNDUP(AC7*0.2,2)</f>
        <v>0</v>
      </c>
      <c r="AF7" s="121">
        <f t="shared" si="9"/>
        <v>0</v>
      </c>
      <c r="AG7" s="91">
        <f t="shared" ref="AG7:AG8" si="11">SUM(AD7,AF7)</f>
        <v>0</v>
      </c>
    </row>
    <row r="8" spans="1:49" ht="19.5" thickBot="1">
      <c r="A8" s="100"/>
      <c r="F8" s="101"/>
      <c r="V8" s="120" t="s">
        <v>205</v>
      </c>
      <c r="W8" s="123">
        <v>0</v>
      </c>
      <c r="X8" s="91">
        <f>W8*$X$2</f>
        <v>0</v>
      </c>
      <c r="Y8" s="90">
        <f t="shared" si="1"/>
        <v>0</v>
      </c>
      <c r="Z8" s="91">
        <f t="shared" si="5"/>
        <v>0</v>
      </c>
      <c r="AA8" s="121">
        <f t="shared" si="6"/>
        <v>0</v>
      </c>
      <c r="AC8" s="162">
        <f>ROUNDUP(W8/20,3)</f>
        <v>0</v>
      </c>
      <c r="AD8" s="121">
        <f t="shared" si="8"/>
        <v>0</v>
      </c>
      <c r="AE8" s="162">
        <f>ROUNDUP(AC8*0.2,2)</f>
        <v>0</v>
      </c>
      <c r="AF8" s="121">
        <f t="shared" si="9"/>
        <v>0</v>
      </c>
      <c r="AG8" s="121">
        <f t="shared" si="11"/>
        <v>0</v>
      </c>
    </row>
    <row r="9" spans="1:49" ht="19.5" thickBot="1">
      <c r="A9" s="100"/>
      <c r="B9" s="72" t="s">
        <v>111</v>
      </c>
      <c r="F9" s="101"/>
      <c r="AA9" s="230" t="s">
        <v>104</v>
      </c>
      <c r="AB9" s="231"/>
      <c r="AC9" s="166">
        <f>SUM(AC4:AC8)</f>
        <v>0.7</v>
      </c>
      <c r="AD9" s="165">
        <f>SUM(AD4:AD8)</f>
        <v>700000</v>
      </c>
      <c r="AE9" s="166">
        <f>ROUNDUP(SUM(AE4:AE8),2)</f>
        <v>0.14000000000000001</v>
      </c>
      <c r="AF9" s="165">
        <f>SUM(AF4:AF8)</f>
        <v>196000</v>
      </c>
      <c r="AG9" s="167">
        <f>SUM(AG4:AG8)</f>
        <v>896000</v>
      </c>
    </row>
    <row r="10" spans="1:49" ht="19.5" thickBot="1">
      <c r="A10" s="100"/>
      <c r="B10" s="72" t="s">
        <v>112</v>
      </c>
      <c r="F10" s="101"/>
      <c r="W10" s="119"/>
      <c r="AD10" s="163" t="s">
        <v>267</v>
      </c>
      <c r="AE10" s="164">
        <f>SUM(AC9,AE9)</f>
        <v>0.84</v>
      </c>
    </row>
    <row r="11" spans="1:49">
      <c r="A11" s="100"/>
      <c r="B11" s="72" t="s">
        <v>113</v>
      </c>
      <c r="F11" s="101"/>
    </row>
    <row r="12" spans="1:49">
      <c r="A12" s="100"/>
      <c r="B12" s="69" t="s">
        <v>114</v>
      </c>
      <c r="F12" s="101"/>
    </row>
    <row r="13" spans="1:49" s="69" customFormat="1">
      <c r="A13" s="100"/>
      <c r="B13" s="69" t="s">
        <v>115</v>
      </c>
      <c r="C13" s="70"/>
      <c r="D13" s="70"/>
      <c r="E13" s="70"/>
      <c r="F13" s="101"/>
      <c r="G13" s="71"/>
      <c r="H13" s="71"/>
    </row>
    <row r="14" spans="1:49" s="69" customFormat="1">
      <c r="A14" s="100"/>
      <c r="B14" s="69" t="s">
        <v>116</v>
      </c>
      <c r="C14" s="70"/>
      <c r="D14" s="70"/>
      <c r="E14" s="70"/>
      <c r="F14" s="101"/>
      <c r="H14" s="71"/>
      <c r="I14" s="71"/>
    </row>
  </sheetData>
  <mergeCells count="8">
    <mergeCell ref="AA9:AB9"/>
    <mergeCell ref="W1:AA1"/>
    <mergeCell ref="AC1:AG1"/>
    <mergeCell ref="AI1:AW1"/>
    <mergeCell ref="I2:N2"/>
    <mergeCell ref="P2:U2"/>
    <mergeCell ref="AI2:AO2"/>
    <mergeCell ref="AQ2:AW2"/>
  </mergeCells>
  <phoneticPr fontId="3"/>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42EDF9-0F9C-41AE-81AA-BD7E57746A0B}">
  <dimension ref="A1:AQ121"/>
  <sheetViews>
    <sheetView showGridLines="0" topLeftCell="A26" zoomScale="130" zoomScaleNormal="130" zoomScaleSheetLayoutView="115" workbookViewId="0">
      <selection activeCell="T59" sqref="T59"/>
    </sheetView>
  </sheetViews>
  <sheetFormatPr defaultColWidth="2.625" defaultRowHeight="15" customHeight="1"/>
  <cols>
    <col min="1" max="1" width="2.625" style="309"/>
    <col min="2" max="8" width="2.625" style="114"/>
    <col min="9" max="9" width="5.875" style="114" bestFit="1" customWidth="1"/>
    <col min="10" max="38" width="2.625" style="114"/>
    <col min="39" max="39" width="4.75" style="114" bestFit="1" customWidth="1"/>
    <col min="40" max="16384" width="2.625" style="114"/>
  </cols>
  <sheetData>
    <row r="1" spans="1:36" s="308" customFormat="1" ht="15" customHeight="1">
      <c r="A1" s="310" t="s">
        <v>0</v>
      </c>
      <c r="B1" s="310"/>
      <c r="C1" s="310"/>
      <c r="D1" s="310"/>
      <c r="E1" s="310"/>
      <c r="F1" s="310"/>
      <c r="G1" s="310"/>
      <c r="H1" s="310"/>
      <c r="I1" s="310"/>
      <c r="J1" s="310"/>
      <c r="K1" s="310"/>
      <c r="L1" s="310"/>
      <c r="M1" s="310"/>
      <c r="N1" s="310"/>
      <c r="O1" s="310"/>
      <c r="P1" s="310"/>
      <c r="Q1" s="310"/>
      <c r="X1" s="311" t="s">
        <v>1</v>
      </c>
      <c r="Z1" s="311"/>
      <c r="AA1" s="311"/>
      <c r="AB1" s="311"/>
      <c r="AC1" s="311"/>
      <c r="AD1" s="311"/>
      <c r="AE1" s="311"/>
      <c r="AF1" s="312" t="s">
        <v>2</v>
      </c>
      <c r="AG1" s="313"/>
      <c r="AH1" s="313"/>
      <c r="AI1" s="313"/>
      <c r="AJ1" s="313"/>
    </row>
    <row r="2" spans="1:36" s="308" customFormat="1" ht="15" customHeight="1">
      <c r="A2" s="310"/>
      <c r="B2" s="310"/>
      <c r="C2" s="310"/>
      <c r="D2" s="310"/>
      <c r="E2" s="310"/>
      <c r="F2" s="310"/>
      <c r="G2" s="310"/>
      <c r="H2" s="310"/>
      <c r="I2" s="310"/>
      <c r="J2" s="310"/>
      <c r="K2" s="310"/>
      <c r="L2" s="310"/>
      <c r="M2" s="310"/>
      <c r="N2" s="310"/>
      <c r="O2" s="310"/>
      <c r="P2" s="310"/>
      <c r="Q2" s="310"/>
      <c r="X2" s="314" t="s">
        <v>3</v>
      </c>
      <c r="Y2" s="315"/>
      <c r="Z2" s="314"/>
      <c r="AA2" s="314"/>
      <c r="AB2" s="314"/>
      <c r="AC2" s="314"/>
      <c r="AD2" s="314"/>
      <c r="AE2" s="314"/>
      <c r="AF2" s="316">
        <v>45971</v>
      </c>
      <c r="AG2" s="317"/>
      <c r="AH2" s="317"/>
      <c r="AI2" s="317"/>
      <c r="AJ2" s="317"/>
    </row>
    <row r="3" spans="1:36" s="308" customFormat="1" ht="15" customHeight="1">
      <c r="A3" s="318"/>
      <c r="Z3" s="114"/>
      <c r="AA3" s="114"/>
      <c r="AB3" s="114"/>
      <c r="AC3" s="114"/>
      <c r="AD3" s="114"/>
      <c r="AE3" s="114"/>
      <c r="AF3" s="114"/>
      <c r="AG3" s="114"/>
      <c r="AH3" s="114"/>
      <c r="AI3" s="114"/>
      <c r="AJ3" s="114"/>
    </row>
    <row r="4" spans="1:36" s="308" customFormat="1" ht="15" customHeight="1">
      <c r="A4" s="318"/>
      <c r="Z4" s="114"/>
      <c r="AA4" s="114"/>
      <c r="AB4" s="114"/>
      <c r="AC4" s="114"/>
      <c r="AD4" s="114"/>
      <c r="AE4" s="114"/>
      <c r="AF4" s="114"/>
      <c r="AG4" s="114"/>
      <c r="AH4" s="114"/>
      <c r="AI4" s="114"/>
      <c r="AJ4" s="114"/>
    </row>
    <row r="5" spans="1:36" s="308" customFormat="1" ht="15" customHeight="1">
      <c r="A5" s="319" t="s">
        <v>4</v>
      </c>
      <c r="B5" s="319"/>
      <c r="C5" s="319"/>
      <c r="D5" s="319"/>
      <c r="E5" s="319"/>
      <c r="F5" s="319"/>
      <c r="G5" s="319"/>
      <c r="H5" s="319"/>
      <c r="I5" s="319"/>
      <c r="J5" s="319"/>
      <c r="K5" s="319"/>
      <c r="L5" s="319"/>
      <c r="M5" s="319"/>
      <c r="N5" s="319"/>
      <c r="O5" s="319"/>
      <c r="P5" s="319"/>
      <c r="Q5" s="319"/>
      <c r="Z5" s="114"/>
      <c r="AA5" s="114"/>
      <c r="AB5" s="114"/>
      <c r="AC5" s="114"/>
      <c r="AD5" s="114"/>
      <c r="AE5" s="114"/>
      <c r="AF5" s="114"/>
      <c r="AG5" s="114"/>
      <c r="AH5" s="114"/>
      <c r="AI5" s="114"/>
      <c r="AJ5" s="114"/>
    </row>
    <row r="6" spans="1:36" s="308" customFormat="1" ht="15" customHeight="1">
      <c r="A6" s="320"/>
      <c r="B6" s="320"/>
      <c r="C6" s="320"/>
      <c r="D6" s="320"/>
      <c r="E6" s="320"/>
      <c r="F6" s="320"/>
      <c r="G6" s="320"/>
      <c r="H6" s="320"/>
      <c r="I6" s="320"/>
      <c r="J6" s="320"/>
      <c r="K6" s="320"/>
      <c r="L6" s="320"/>
      <c r="M6" s="320"/>
      <c r="N6" s="320"/>
      <c r="O6" s="320"/>
      <c r="P6" s="320"/>
      <c r="Q6" s="320"/>
      <c r="Z6" s="114"/>
      <c r="AA6" s="114"/>
      <c r="AB6" s="114"/>
      <c r="AC6" s="114"/>
      <c r="AD6" s="114"/>
      <c r="AE6" s="114"/>
      <c r="AF6" s="114"/>
      <c r="AG6" s="114"/>
      <c r="AH6" s="114"/>
      <c r="AI6" s="114"/>
      <c r="AJ6" s="114"/>
    </row>
    <row r="7" spans="1:36" s="308" customFormat="1" ht="15" customHeight="1">
      <c r="A7" s="318"/>
      <c r="AA7" s="114"/>
      <c r="AB7" s="114"/>
      <c r="AC7" s="114"/>
      <c r="AD7" s="114"/>
      <c r="AE7" s="114"/>
      <c r="AF7" s="114"/>
      <c r="AG7" s="114"/>
      <c r="AH7" s="114"/>
      <c r="AI7" s="114"/>
      <c r="AJ7" s="114"/>
    </row>
    <row r="8" spans="1:36" s="308" customFormat="1" ht="15" customHeight="1">
      <c r="A8" s="318"/>
      <c r="X8" s="114" t="s">
        <v>5</v>
      </c>
      <c r="AA8" s="114"/>
      <c r="AB8" s="114"/>
      <c r="AC8" s="114"/>
      <c r="AD8" s="114"/>
      <c r="AE8" s="114"/>
      <c r="AF8" s="114"/>
      <c r="AG8" s="114"/>
      <c r="AH8" s="114"/>
      <c r="AI8" s="114"/>
      <c r="AJ8" s="114"/>
    </row>
    <row r="9" spans="1:36" s="308" customFormat="1" ht="15" customHeight="1">
      <c r="A9" s="318"/>
      <c r="X9" s="114" t="s">
        <v>6</v>
      </c>
      <c r="AA9" s="114"/>
      <c r="AB9" s="114"/>
      <c r="AC9" s="114"/>
      <c r="AD9" s="114"/>
      <c r="AE9" s="114"/>
      <c r="AF9" s="114"/>
      <c r="AG9" s="114"/>
      <c r="AH9" s="114"/>
      <c r="AI9" s="114"/>
      <c r="AJ9" s="114"/>
    </row>
    <row r="10" spans="1:36" s="308" customFormat="1" ht="15" customHeight="1">
      <c r="A10" s="318"/>
      <c r="X10" s="114" t="s">
        <v>7</v>
      </c>
      <c r="AA10" s="114"/>
      <c r="AB10" s="114"/>
      <c r="AC10" s="114"/>
      <c r="AD10" s="114"/>
      <c r="AE10" s="114"/>
      <c r="AF10" s="114"/>
      <c r="AG10" s="114"/>
      <c r="AH10" s="114"/>
      <c r="AI10" s="114"/>
      <c r="AJ10" s="114"/>
    </row>
    <row r="11" spans="1:36" s="308" customFormat="1" ht="15" customHeight="1">
      <c r="A11" s="321" t="s">
        <v>8</v>
      </c>
      <c r="B11" s="321"/>
      <c r="C11" s="321"/>
      <c r="D11" s="321"/>
      <c r="E11" s="321"/>
      <c r="F11" s="322">
        <f>AE44</f>
        <v>660000</v>
      </c>
      <c r="G11" s="322"/>
      <c r="H11" s="322"/>
      <c r="I11" s="322"/>
      <c r="J11" s="322"/>
      <c r="K11" s="322"/>
      <c r="L11" s="322"/>
      <c r="M11" s="322"/>
      <c r="N11" s="322"/>
      <c r="O11" s="322"/>
      <c r="P11" s="322"/>
      <c r="Q11" s="322"/>
      <c r="X11" s="114" t="s">
        <v>9</v>
      </c>
      <c r="AA11" s="114"/>
      <c r="AB11" s="114"/>
      <c r="AC11" s="114"/>
      <c r="AD11" s="114"/>
      <c r="AE11" s="114"/>
      <c r="AF11" s="114"/>
      <c r="AG11" s="114"/>
      <c r="AH11" s="114"/>
      <c r="AI11" s="114"/>
      <c r="AJ11" s="114"/>
    </row>
    <row r="12" spans="1:36" s="308" customFormat="1" ht="15" customHeight="1">
      <c r="A12" s="323"/>
      <c r="B12" s="323"/>
      <c r="C12" s="323"/>
      <c r="D12" s="323"/>
      <c r="E12" s="323"/>
      <c r="F12" s="324"/>
      <c r="G12" s="324"/>
      <c r="H12" s="324"/>
      <c r="I12" s="324"/>
      <c r="J12" s="324"/>
      <c r="K12" s="324"/>
      <c r="L12" s="324"/>
      <c r="M12" s="324"/>
      <c r="N12" s="324"/>
      <c r="O12" s="324"/>
      <c r="P12" s="324"/>
      <c r="Q12" s="324"/>
      <c r="X12" s="114" t="s">
        <v>10</v>
      </c>
      <c r="AA12" s="114"/>
      <c r="AB12" s="114"/>
      <c r="AC12" s="114"/>
      <c r="AD12" s="114"/>
      <c r="AE12" s="114"/>
      <c r="AF12" s="114"/>
      <c r="AG12" s="114"/>
      <c r="AH12" s="114"/>
      <c r="AI12" s="114"/>
      <c r="AJ12" s="114"/>
    </row>
    <row r="13" spans="1:36" s="308" customFormat="1" ht="15" customHeight="1">
      <c r="A13" s="318"/>
    </row>
    <row r="14" spans="1:36" s="308" customFormat="1" ht="15" customHeight="1">
      <c r="A14" s="318"/>
    </row>
    <row r="15" spans="1:36" s="308" customFormat="1" ht="15" customHeight="1">
      <c r="A15" s="318"/>
    </row>
    <row r="16" spans="1:36" ht="15" customHeight="1">
      <c r="A16" s="309" t="s">
        <v>11</v>
      </c>
    </row>
    <row r="17" spans="1:16" ht="15" customHeight="1">
      <c r="B17" s="114" t="s">
        <v>293</v>
      </c>
    </row>
    <row r="18" spans="1:16" ht="15" customHeight="1">
      <c r="B18" s="114" t="s">
        <v>217</v>
      </c>
    </row>
    <row r="19" spans="1:16" ht="15" customHeight="1">
      <c r="B19" s="114" t="s">
        <v>281</v>
      </c>
    </row>
    <row r="20" spans="1:16" ht="15" customHeight="1">
      <c r="A20" s="114"/>
    </row>
    <row r="21" spans="1:16" ht="15" customHeight="1">
      <c r="A21" s="309" t="s">
        <v>12</v>
      </c>
      <c r="P21" s="309"/>
    </row>
    <row r="22" spans="1:16" ht="15" customHeight="1">
      <c r="A22" s="114"/>
    </row>
    <row r="23" spans="1:16" ht="15" customHeight="1">
      <c r="A23" s="114"/>
      <c r="B23" s="114" t="s">
        <v>294</v>
      </c>
    </row>
    <row r="24" spans="1:16" ht="15" customHeight="1">
      <c r="A24" s="114"/>
    </row>
    <row r="25" spans="1:16" ht="15" customHeight="1">
      <c r="A25" s="114"/>
    </row>
    <row r="26" spans="1:16" ht="15" customHeight="1">
      <c r="A26" s="309" t="s">
        <v>14</v>
      </c>
    </row>
    <row r="27" spans="1:16" ht="15" customHeight="1">
      <c r="A27" s="114"/>
    </row>
    <row r="28" spans="1:16" ht="15" customHeight="1">
      <c r="A28" s="114"/>
      <c r="B28" s="114" t="s">
        <v>15</v>
      </c>
    </row>
    <row r="29" spans="1:16" ht="15" customHeight="1">
      <c r="A29" s="114"/>
    </row>
    <row r="30" spans="1:16" ht="15" customHeight="1">
      <c r="A30" s="114"/>
    </row>
    <row r="31" spans="1:16" ht="15" customHeight="1">
      <c r="A31" s="309" t="s">
        <v>16</v>
      </c>
    </row>
    <row r="33" spans="1:43" ht="15" customHeight="1">
      <c r="A33" s="114"/>
      <c r="B33" s="114" t="s">
        <v>291</v>
      </c>
    </row>
    <row r="34" spans="1:43" ht="15" customHeight="1">
      <c r="A34" s="114"/>
    </row>
    <row r="35" spans="1:43" ht="15" customHeight="1">
      <c r="A35" s="114"/>
    </row>
    <row r="36" spans="1:43" ht="15" customHeight="1">
      <c r="A36" s="309" t="s">
        <v>17</v>
      </c>
    </row>
    <row r="37" spans="1:43" ht="15" customHeight="1">
      <c r="A37" s="114"/>
    </row>
    <row r="38" spans="1:43" ht="15" customHeight="1">
      <c r="A38" s="114"/>
      <c r="B38" s="325" t="s">
        <v>18</v>
      </c>
      <c r="C38" s="326"/>
      <c r="D38" s="327" t="s">
        <v>19</v>
      </c>
      <c r="E38" s="327"/>
      <c r="F38" s="327"/>
      <c r="G38" s="327"/>
      <c r="H38" s="327"/>
      <c r="I38" s="327"/>
      <c r="J38" s="327"/>
      <c r="K38" s="327"/>
      <c r="L38" s="327"/>
      <c r="M38" s="327"/>
      <c r="N38" s="327"/>
      <c r="O38" s="327"/>
      <c r="P38" s="327"/>
      <c r="Q38" s="327"/>
      <c r="R38" s="327"/>
      <c r="S38" s="327"/>
      <c r="T38" s="325"/>
      <c r="U38" s="327"/>
      <c r="V38" s="327"/>
      <c r="W38" s="327"/>
      <c r="X38" s="326"/>
      <c r="Y38" s="325" t="s">
        <v>20</v>
      </c>
      <c r="Z38" s="327"/>
      <c r="AA38" s="327"/>
      <c r="AB38" s="327"/>
      <c r="AC38" s="327"/>
      <c r="AD38" s="327"/>
      <c r="AE38" s="325" t="s">
        <v>21</v>
      </c>
      <c r="AF38" s="327"/>
      <c r="AG38" s="327"/>
      <c r="AH38" s="327"/>
      <c r="AI38" s="327"/>
      <c r="AJ38" s="326"/>
      <c r="AM38" s="325" t="s">
        <v>22</v>
      </c>
      <c r="AN38" s="327"/>
      <c r="AO38" s="327"/>
      <c r="AP38" s="327"/>
      <c r="AQ38" s="326"/>
    </row>
    <row r="39" spans="1:43" ht="15" customHeight="1">
      <c r="A39" s="114"/>
      <c r="B39" s="364">
        <v>1</v>
      </c>
      <c r="C39" s="365"/>
      <c r="D39" s="341" t="s">
        <v>48</v>
      </c>
      <c r="E39" s="116"/>
      <c r="F39" s="116"/>
      <c r="G39" s="116"/>
      <c r="H39" s="116"/>
      <c r="I39" s="116"/>
      <c r="J39" s="116"/>
      <c r="K39" s="116"/>
      <c r="L39" s="116"/>
      <c r="M39" s="116"/>
      <c r="N39" s="116"/>
      <c r="O39" s="116"/>
      <c r="P39" s="116"/>
      <c r="Q39" s="116"/>
      <c r="R39" s="116"/>
      <c r="S39" s="116"/>
      <c r="T39" s="342"/>
      <c r="U39" s="342"/>
      <c r="V39" s="342"/>
      <c r="W39" s="342"/>
      <c r="X39" s="343"/>
      <c r="Y39" s="344">
        <f>工数明細③2月!AC7</f>
        <v>0.1</v>
      </c>
      <c r="Z39" s="345"/>
      <c r="AA39" s="345"/>
      <c r="AB39" s="345"/>
      <c r="AC39" s="346" t="s">
        <v>23</v>
      </c>
      <c r="AD39" s="347"/>
      <c r="AE39" s="348">
        <f>AM39*Y39</f>
        <v>100000</v>
      </c>
      <c r="AF39" s="349"/>
      <c r="AG39" s="349"/>
      <c r="AH39" s="349"/>
      <c r="AI39" s="349"/>
      <c r="AJ39" s="350"/>
      <c r="AM39" s="335">
        <v>1000000</v>
      </c>
      <c r="AN39" s="336"/>
      <c r="AO39" s="336"/>
      <c r="AP39" s="336"/>
      <c r="AQ39" s="337"/>
    </row>
    <row r="40" spans="1:43" ht="15" customHeight="1">
      <c r="A40" s="114"/>
      <c r="B40" s="364">
        <v>2</v>
      </c>
      <c r="C40" s="365"/>
      <c r="D40" s="341" t="s">
        <v>303</v>
      </c>
      <c r="E40" s="116"/>
      <c r="F40" s="116"/>
      <c r="G40" s="116"/>
      <c r="H40" s="116"/>
      <c r="I40" s="116"/>
      <c r="J40" s="116"/>
      <c r="K40" s="116"/>
      <c r="L40" s="116"/>
      <c r="M40" s="116"/>
      <c r="N40" s="116"/>
      <c r="O40" s="116"/>
      <c r="P40" s="116"/>
      <c r="Q40" s="116"/>
      <c r="R40" s="116"/>
      <c r="S40" s="116"/>
      <c r="T40" s="342"/>
      <c r="U40" s="342"/>
      <c r="V40" s="342"/>
      <c r="W40" s="342"/>
      <c r="X40" s="343"/>
      <c r="Y40" s="344">
        <f>工数明細③2月!AC8</f>
        <v>7.4999999999999997E-2</v>
      </c>
      <c r="Z40" s="345"/>
      <c r="AA40" s="345"/>
      <c r="AB40" s="345"/>
      <c r="AC40" s="346" t="s">
        <v>23</v>
      </c>
      <c r="AD40" s="347"/>
      <c r="AE40" s="348">
        <f>AM40*Y40</f>
        <v>75000</v>
      </c>
      <c r="AF40" s="349"/>
      <c r="AG40" s="349"/>
      <c r="AH40" s="349"/>
      <c r="AI40" s="349"/>
      <c r="AJ40" s="350"/>
      <c r="AM40" s="335">
        <v>1000000</v>
      </c>
      <c r="AN40" s="336"/>
      <c r="AO40" s="336"/>
      <c r="AP40" s="336"/>
      <c r="AQ40" s="337"/>
    </row>
    <row r="41" spans="1:43" ht="15" customHeight="1">
      <c r="A41" s="114"/>
      <c r="B41" s="364">
        <v>3</v>
      </c>
      <c r="C41" s="365"/>
      <c r="D41" s="341" t="s">
        <v>24</v>
      </c>
      <c r="E41" s="116"/>
      <c r="F41" s="116"/>
      <c r="G41" s="116"/>
      <c r="H41" s="116"/>
      <c r="I41" s="116"/>
      <c r="J41" s="116"/>
      <c r="K41" s="116"/>
      <c r="L41" s="116"/>
      <c r="M41" s="116"/>
      <c r="N41" s="116"/>
      <c r="O41" s="116"/>
      <c r="P41" s="116"/>
      <c r="Q41" s="116"/>
      <c r="R41" s="116"/>
      <c r="S41" s="116"/>
      <c r="T41" s="342"/>
      <c r="U41" s="342"/>
      <c r="V41" s="342"/>
      <c r="W41" s="342"/>
      <c r="X41" s="343"/>
      <c r="Y41" s="344">
        <f>工数明細③2月!AC9</f>
        <v>0.1</v>
      </c>
      <c r="Z41" s="345"/>
      <c r="AA41" s="345"/>
      <c r="AB41" s="345"/>
      <c r="AC41" s="346" t="s">
        <v>23</v>
      </c>
      <c r="AD41" s="347"/>
      <c r="AE41" s="348">
        <f>AM41*Y41</f>
        <v>100000</v>
      </c>
      <c r="AF41" s="349"/>
      <c r="AG41" s="349"/>
      <c r="AH41" s="349"/>
      <c r="AI41" s="349"/>
      <c r="AJ41" s="350"/>
      <c r="AM41" s="335">
        <v>1000000</v>
      </c>
      <c r="AN41" s="336"/>
      <c r="AO41" s="336"/>
      <c r="AP41" s="336"/>
      <c r="AQ41" s="337"/>
    </row>
    <row r="42" spans="1:43" ht="15" customHeight="1">
      <c r="A42" s="114"/>
      <c r="B42" s="328">
        <v>4</v>
      </c>
      <c r="C42" s="329"/>
      <c r="D42" s="330" t="s">
        <v>290</v>
      </c>
      <c r="E42" s="112"/>
      <c r="F42" s="112"/>
      <c r="G42" s="112"/>
      <c r="H42" s="112"/>
      <c r="I42" s="112"/>
      <c r="J42" s="112"/>
      <c r="K42" s="112"/>
      <c r="L42" s="112"/>
      <c r="M42" s="112"/>
      <c r="N42" s="112"/>
      <c r="O42" s="112"/>
      <c r="P42" s="112"/>
      <c r="Q42" s="112"/>
      <c r="R42" s="112"/>
      <c r="S42" s="112"/>
      <c r="T42" s="331"/>
      <c r="U42" s="331"/>
      <c r="V42" s="331"/>
      <c r="W42" s="331"/>
      <c r="X42" s="332"/>
      <c r="Y42" s="344">
        <f>工数明細③2月!AC10</f>
        <v>0.35</v>
      </c>
      <c r="Z42" s="345"/>
      <c r="AA42" s="345"/>
      <c r="AB42" s="345"/>
      <c r="AC42" s="333" t="s">
        <v>23</v>
      </c>
      <c r="AD42" s="334"/>
      <c r="AE42" s="335">
        <f>AM42*Y42</f>
        <v>350000</v>
      </c>
      <c r="AF42" s="336"/>
      <c r="AG42" s="336"/>
      <c r="AH42" s="336"/>
      <c r="AI42" s="336"/>
      <c r="AJ42" s="337"/>
      <c r="AM42" s="335">
        <v>1000000</v>
      </c>
      <c r="AN42" s="336"/>
      <c r="AO42" s="336"/>
      <c r="AP42" s="336"/>
      <c r="AQ42" s="337"/>
    </row>
    <row r="43" spans="1:43" ht="15" customHeight="1" thickBot="1">
      <c r="A43" s="114"/>
      <c r="B43" s="351">
        <v>5</v>
      </c>
      <c r="C43" s="352"/>
      <c r="D43" s="353" t="s">
        <v>25</v>
      </c>
      <c r="E43" s="354"/>
      <c r="F43" s="354"/>
      <c r="G43" s="354"/>
      <c r="H43" s="354"/>
      <c r="I43" s="354"/>
      <c r="J43" s="354"/>
      <c r="K43" s="354"/>
      <c r="L43" s="354"/>
      <c r="M43" s="354"/>
      <c r="N43" s="354"/>
      <c r="O43" s="354"/>
      <c r="P43" s="354"/>
      <c r="Q43" s="354"/>
      <c r="R43" s="354"/>
      <c r="S43" s="354"/>
      <c r="T43" s="355"/>
      <c r="U43" s="355"/>
      <c r="V43" s="355"/>
      <c r="W43" s="355"/>
      <c r="X43" s="356"/>
      <c r="Y43" s="357">
        <v>0.15</v>
      </c>
      <c r="Z43" s="358"/>
      <c r="AA43" s="358"/>
      <c r="AB43" s="358"/>
      <c r="AC43" s="359" t="s">
        <v>23</v>
      </c>
      <c r="AD43" s="360"/>
      <c r="AE43" s="361">
        <f>AM43*Y43</f>
        <v>210000</v>
      </c>
      <c r="AF43" s="362"/>
      <c r="AG43" s="362"/>
      <c r="AH43" s="362"/>
      <c r="AI43" s="362"/>
      <c r="AJ43" s="363"/>
      <c r="AM43" s="335">
        <v>1400000</v>
      </c>
      <c r="AN43" s="336"/>
      <c r="AO43" s="336"/>
      <c r="AP43" s="336"/>
      <c r="AQ43" s="337"/>
    </row>
    <row r="44" spans="1:43" ht="15" customHeight="1" thickTop="1">
      <c r="A44" s="114"/>
      <c r="B44" s="364"/>
      <c r="C44" s="365"/>
      <c r="D44" s="341" t="s">
        <v>26</v>
      </c>
      <c r="E44" s="116"/>
      <c r="F44" s="116"/>
      <c r="G44" s="116"/>
      <c r="H44" s="116"/>
      <c r="I44" s="116"/>
      <c r="J44" s="116"/>
      <c r="K44" s="116"/>
      <c r="L44" s="116"/>
      <c r="M44" s="116"/>
      <c r="N44" s="116"/>
      <c r="O44" s="116"/>
      <c r="P44" s="116"/>
      <c r="Q44" s="116"/>
      <c r="R44" s="116"/>
      <c r="S44" s="116"/>
      <c r="T44" s="342"/>
      <c r="U44" s="342"/>
      <c r="V44" s="342"/>
      <c r="W44" s="342"/>
      <c r="X44" s="343"/>
      <c r="Y44" s="344">
        <f>SUM(Y41:AB43)</f>
        <v>0.6</v>
      </c>
      <c r="Z44" s="345"/>
      <c r="AA44" s="345"/>
      <c r="AB44" s="345"/>
      <c r="AC44" s="346" t="s">
        <v>23</v>
      </c>
      <c r="AD44" s="347"/>
      <c r="AE44" s="348">
        <f>SUM(AE41:AJ43)</f>
        <v>660000</v>
      </c>
      <c r="AF44" s="349"/>
      <c r="AG44" s="349"/>
      <c r="AH44" s="349"/>
      <c r="AI44" s="349"/>
      <c r="AJ44" s="350"/>
      <c r="AM44" s="335" t="s">
        <v>27</v>
      </c>
      <c r="AN44" s="336"/>
      <c r="AO44" s="336"/>
      <c r="AP44" s="336"/>
      <c r="AQ44" s="337"/>
    </row>
    <row r="45" spans="1:43" ht="15" customHeight="1">
      <c r="A45" s="114"/>
    </row>
    <row r="46" spans="1:43" ht="15" customHeight="1">
      <c r="A46" s="309" t="s">
        <v>28</v>
      </c>
      <c r="T46" s="366"/>
    </row>
    <row r="47" spans="1:43" ht="15" customHeight="1">
      <c r="A47" s="114"/>
    </row>
    <row r="48" spans="1:43" ht="15" customHeight="1">
      <c r="A48" s="114"/>
      <c r="B48" s="367" t="s">
        <v>29</v>
      </c>
      <c r="C48" s="108" t="s">
        <v>32</v>
      </c>
      <c r="D48" s="108"/>
      <c r="E48" s="108"/>
      <c r="F48" s="108"/>
      <c r="G48" s="108"/>
      <c r="H48" s="108"/>
      <c r="I48" s="108"/>
      <c r="J48" s="108"/>
      <c r="K48" s="108"/>
      <c r="L48" s="108"/>
      <c r="M48" s="108"/>
      <c r="N48" s="108"/>
      <c r="O48" s="108"/>
      <c r="P48" s="108"/>
      <c r="Q48" s="108"/>
      <c r="R48" s="108"/>
      <c r="S48" s="108"/>
      <c r="T48" s="368" t="s">
        <v>29</v>
      </c>
      <c r="U48" s="108" t="s">
        <v>33</v>
      </c>
    </row>
    <row r="49" spans="1:32" ht="15" customHeight="1">
      <c r="A49" s="114"/>
      <c r="B49" s="367" t="s">
        <v>29</v>
      </c>
      <c r="C49" s="108" t="s">
        <v>203</v>
      </c>
      <c r="D49" s="108"/>
      <c r="E49" s="108"/>
      <c r="F49" s="108"/>
      <c r="G49" s="108"/>
      <c r="H49" s="108"/>
      <c r="I49" s="108"/>
      <c r="J49" s="108"/>
      <c r="K49" s="108"/>
      <c r="L49" s="108"/>
      <c r="M49" s="108"/>
      <c r="N49" s="108"/>
      <c r="O49" s="108"/>
      <c r="P49" s="108"/>
      <c r="Q49" s="108"/>
      <c r="R49" s="108"/>
      <c r="S49" s="108"/>
      <c r="T49" s="368"/>
      <c r="U49" s="108"/>
    </row>
    <row r="50" spans="1:32" ht="15" customHeight="1">
      <c r="A50" s="114"/>
      <c r="B50" s="369"/>
    </row>
    <row r="51" spans="1:32" ht="15" customHeight="1">
      <c r="A51" s="309" t="s">
        <v>34</v>
      </c>
    </row>
    <row r="52" spans="1:32" ht="15" customHeight="1">
      <c r="A52" s="114"/>
    </row>
    <row r="53" spans="1:32" ht="15" customHeight="1">
      <c r="A53" s="114"/>
      <c r="B53" s="370" t="s">
        <v>18</v>
      </c>
      <c r="C53" s="371"/>
      <c r="D53" s="370" t="s">
        <v>35</v>
      </c>
      <c r="E53" s="372"/>
      <c r="F53" s="372"/>
      <c r="G53" s="372"/>
      <c r="H53" s="372"/>
      <c r="I53" s="373" t="s">
        <v>34</v>
      </c>
      <c r="J53" s="374"/>
      <c r="K53" s="374"/>
      <c r="L53" s="374"/>
      <c r="M53" s="374"/>
      <c r="N53" s="374"/>
      <c r="O53" s="374"/>
      <c r="P53" s="374"/>
      <c r="Q53" s="374"/>
      <c r="R53" s="374"/>
      <c r="S53" s="374"/>
      <c r="T53" s="375"/>
      <c r="U53" s="373" t="s">
        <v>36</v>
      </c>
      <c r="V53" s="374"/>
      <c r="W53" s="374"/>
      <c r="X53" s="374"/>
      <c r="Y53" s="374"/>
      <c r="Z53" s="374"/>
      <c r="AA53" s="374"/>
      <c r="AB53" s="374"/>
      <c r="AC53" s="374"/>
      <c r="AD53" s="374"/>
      <c r="AE53" s="374"/>
      <c r="AF53" s="375"/>
    </row>
    <row r="54" spans="1:32" s="27" customFormat="1" ht="15" customHeight="1">
      <c r="B54" s="41">
        <v>1</v>
      </c>
      <c r="C54" s="42"/>
      <c r="D54" s="217" t="s">
        <v>48</v>
      </c>
      <c r="E54" s="218"/>
      <c r="F54" s="218"/>
      <c r="G54" s="218"/>
      <c r="H54" s="218"/>
      <c r="I54" s="47" t="s">
        <v>38</v>
      </c>
      <c r="J54" s="48" t="s">
        <v>49</v>
      </c>
      <c r="K54" s="48"/>
      <c r="L54" s="48"/>
      <c r="M54" s="48"/>
      <c r="N54" s="48"/>
      <c r="O54" s="48"/>
      <c r="P54" s="48"/>
      <c r="Q54" s="48"/>
      <c r="R54" s="48"/>
      <c r="S54" s="48"/>
      <c r="T54" s="49"/>
      <c r="U54" s="47" t="s">
        <v>47</v>
      </c>
      <c r="V54" s="48" t="s">
        <v>50</v>
      </c>
      <c r="W54" s="48"/>
      <c r="X54" s="48"/>
      <c r="Y54" s="48"/>
      <c r="Z54" s="48"/>
      <c r="AA54" s="48"/>
      <c r="AB54" s="48"/>
      <c r="AC54" s="48"/>
      <c r="AD54" s="48"/>
      <c r="AE54" s="48"/>
      <c r="AF54" s="49"/>
    </row>
    <row r="55" spans="1:32" s="27" customFormat="1" ht="15" customHeight="1">
      <c r="B55" s="50"/>
      <c r="C55" s="51"/>
      <c r="D55" s="104"/>
      <c r="E55" s="53"/>
      <c r="F55" s="53"/>
      <c r="G55" s="53"/>
      <c r="H55" s="53"/>
      <c r="I55" s="54"/>
      <c r="J55" s="55"/>
      <c r="K55" s="55"/>
      <c r="L55" s="55"/>
      <c r="M55" s="55"/>
      <c r="N55" s="55"/>
      <c r="O55" s="55"/>
      <c r="P55" s="55"/>
      <c r="Q55" s="55"/>
      <c r="R55" s="55"/>
      <c r="S55" s="55"/>
      <c r="T55" s="56"/>
      <c r="U55" s="54"/>
      <c r="V55" s="55"/>
      <c r="W55" s="55"/>
      <c r="X55" s="55"/>
      <c r="Y55" s="55"/>
      <c r="Z55" s="55"/>
      <c r="AA55" s="55"/>
      <c r="AB55" s="55"/>
      <c r="AC55" s="55"/>
      <c r="AD55" s="55"/>
      <c r="AE55" s="55"/>
      <c r="AF55" s="56"/>
    </row>
    <row r="56" spans="1:32" s="27" customFormat="1" ht="15" customHeight="1">
      <c r="B56" s="41">
        <v>2</v>
      </c>
      <c r="C56" s="42"/>
      <c r="D56" s="217" t="s">
        <v>51</v>
      </c>
      <c r="E56" s="218"/>
      <c r="F56" s="218"/>
      <c r="G56" s="218"/>
      <c r="H56" s="218"/>
      <c r="I56" s="47" t="s">
        <v>38</v>
      </c>
      <c r="J56" s="48" t="s">
        <v>52</v>
      </c>
      <c r="K56" s="48"/>
      <c r="L56" s="48"/>
      <c r="M56" s="48"/>
      <c r="N56" s="48"/>
      <c r="O56" s="48"/>
      <c r="P56" s="48"/>
      <c r="Q56" s="48"/>
      <c r="R56" s="48"/>
      <c r="S56" s="48"/>
      <c r="T56" s="49"/>
      <c r="U56" s="47"/>
      <c r="V56" s="48"/>
      <c r="W56" s="48"/>
      <c r="X56" s="48"/>
      <c r="Y56" s="48"/>
      <c r="Z56" s="48"/>
      <c r="AA56" s="48"/>
      <c r="AB56" s="48"/>
      <c r="AC56" s="48"/>
      <c r="AD56" s="48"/>
      <c r="AE56" s="48"/>
      <c r="AF56" s="49"/>
    </row>
    <row r="57" spans="1:32" s="27" customFormat="1" ht="15" customHeight="1">
      <c r="B57" s="50"/>
      <c r="C57" s="51"/>
      <c r="D57" s="104"/>
      <c r="E57" s="53"/>
      <c r="F57" s="53"/>
      <c r="G57" s="53"/>
      <c r="H57" s="53"/>
      <c r="I57" s="54"/>
      <c r="J57" s="55"/>
      <c r="K57" s="55"/>
      <c r="L57" s="55"/>
      <c r="M57" s="55"/>
      <c r="N57" s="55"/>
      <c r="O57" s="55"/>
      <c r="P57" s="55"/>
      <c r="Q57" s="55"/>
      <c r="R57" s="55"/>
      <c r="S57" s="55"/>
      <c r="T57" s="56"/>
      <c r="U57" s="54"/>
      <c r="V57" s="55"/>
      <c r="W57" s="55"/>
      <c r="X57" s="55"/>
      <c r="Y57" s="55"/>
      <c r="Z57" s="55"/>
      <c r="AA57" s="55"/>
      <c r="AB57" s="55"/>
      <c r="AC57" s="55"/>
      <c r="AD57" s="55"/>
      <c r="AE57" s="55"/>
      <c r="AF57" s="56"/>
    </row>
    <row r="58" spans="1:32" ht="15" customHeight="1">
      <c r="A58" s="114"/>
      <c r="B58" s="280">
        <v>3</v>
      </c>
      <c r="C58" s="281"/>
      <c r="D58" s="376" t="s">
        <v>24</v>
      </c>
      <c r="E58" s="377"/>
      <c r="F58" s="377"/>
      <c r="G58" s="377"/>
      <c r="H58" s="377"/>
      <c r="I58" s="378" t="s">
        <v>38</v>
      </c>
      <c r="J58" s="338" t="s">
        <v>295</v>
      </c>
      <c r="K58" s="338"/>
      <c r="L58" s="338"/>
      <c r="M58" s="338"/>
      <c r="N58" s="338"/>
      <c r="O58" s="338"/>
      <c r="P58" s="338"/>
      <c r="Q58" s="338"/>
      <c r="R58" s="338"/>
      <c r="S58" s="338"/>
      <c r="T58" s="379"/>
      <c r="U58" s="378" t="s">
        <v>47</v>
      </c>
      <c r="V58" s="338" t="s">
        <v>296</v>
      </c>
      <c r="W58" s="338"/>
      <c r="X58" s="338"/>
      <c r="Y58" s="338"/>
      <c r="Z58" s="338"/>
      <c r="AA58" s="338"/>
      <c r="AB58" s="338"/>
      <c r="AC58" s="338"/>
      <c r="AD58" s="338"/>
      <c r="AE58" s="338"/>
      <c r="AF58" s="379"/>
    </row>
    <row r="59" spans="1:32" ht="15" customHeight="1">
      <c r="A59" s="114"/>
      <c r="B59" s="285"/>
      <c r="C59" s="286"/>
      <c r="D59" s="382"/>
      <c r="E59" s="288"/>
      <c r="F59" s="288"/>
      <c r="G59" s="288"/>
      <c r="H59" s="288"/>
      <c r="I59" s="115" t="s">
        <v>38</v>
      </c>
      <c r="J59" s="116" t="s">
        <v>297</v>
      </c>
      <c r="K59" s="116"/>
      <c r="L59" s="116"/>
      <c r="M59" s="116"/>
      <c r="N59" s="116"/>
      <c r="O59" s="116"/>
      <c r="P59" s="116"/>
      <c r="Q59" s="116"/>
      <c r="R59" s="116"/>
      <c r="S59" s="116"/>
      <c r="T59" s="117"/>
      <c r="U59" s="115"/>
      <c r="V59" s="116"/>
      <c r="W59" s="116"/>
      <c r="X59" s="116"/>
      <c r="Y59" s="116"/>
      <c r="Z59" s="116"/>
      <c r="AA59" s="116"/>
      <c r="AB59" s="116"/>
      <c r="AC59" s="116"/>
      <c r="AD59" s="116"/>
      <c r="AE59" s="116"/>
      <c r="AF59" s="117"/>
    </row>
    <row r="60" spans="1:32" ht="15" customHeight="1">
      <c r="A60" s="114"/>
      <c r="B60" s="280">
        <v>4</v>
      </c>
      <c r="C60" s="281"/>
      <c r="D60" s="376" t="s">
        <v>25</v>
      </c>
      <c r="E60" s="377"/>
      <c r="F60" s="377"/>
      <c r="G60" s="377"/>
      <c r="H60" s="377"/>
      <c r="I60" s="383" t="s">
        <v>29</v>
      </c>
      <c r="J60" s="114" t="s">
        <v>53</v>
      </c>
      <c r="T60" s="384"/>
      <c r="U60" s="383" t="s">
        <v>29</v>
      </c>
      <c r="V60" s="114" t="s">
        <v>54</v>
      </c>
      <c r="AF60" s="384"/>
    </row>
    <row r="61" spans="1:32" ht="15" customHeight="1">
      <c r="A61" s="114"/>
      <c r="B61" s="380"/>
      <c r="C61" s="381"/>
      <c r="D61" s="385"/>
      <c r="E61" s="366"/>
      <c r="F61" s="366"/>
      <c r="G61" s="366"/>
      <c r="H61" s="366"/>
      <c r="I61" s="383" t="s">
        <v>29</v>
      </c>
      <c r="J61" s="114" t="s">
        <v>55</v>
      </c>
      <c r="T61" s="384"/>
      <c r="U61" s="383" t="s">
        <v>29</v>
      </c>
      <c r="V61" s="114" t="s">
        <v>56</v>
      </c>
      <c r="AF61" s="384"/>
    </row>
    <row r="62" spans="1:32" ht="15" customHeight="1">
      <c r="A62" s="114"/>
      <c r="B62" s="285"/>
      <c r="C62" s="286"/>
      <c r="D62" s="287"/>
      <c r="E62" s="288"/>
      <c r="F62" s="288"/>
      <c r="G62" s="288"/>
      <c r="H62" s="288"/>
      <c r="I62" s="115" t="s">
        <v>38</v>
      </c>
      <c r="J62" s="116" t="s">
        <v>57</v>
      </c>
      <c r="K62" s="116"/>
      <c r="L62" s="116"/>
      <c r="M62" s="116"/>
      <c r="N62" s="116"/>
      <c r="O62" s="116"/>
      <c r="P62" s="116"/>
      <c r="Q62" s="116"/>
      <c r="R62" s="116"/>
      <c r="S62" s="116"/>
      <c r="T62" s="117"/>
      <c r="U62" s="115"/>
      <c r="V62" s="116"/>
      <c r="W62" s="116"/>
      <c r="X62" s="116"/>
      <c r="Y62" s="116"/>
      <c r="Z62" s="116"/>
      <c r="AA62" s="116"/>
      <c r="AB62" s="116"/>
      <c r="AC62" s="116"/>
      <c r="AD62" s="116"/>
      <c r="AE62" s="116"/>
      <c r="AF62" s="117"/>
    </row>
    <row r="63" spans="1:32" ht="15" customHeight="1">
      <c r="A63" s="114"/>
    </row>
    <row r="64" spans="1:32" ht="15" customHeight="1">
      <c r="A64" s="309" t="s">
        <v>59</v>
      </c>
    </row>
    <row r="65" spans="1:35" ht="15" customHeight="1">
      <c r="B65" s="369"/>
    </row>
    <row r="66" spans="1:35" ht="15" customHeight="1">
      <c r="A66" s="114"/>
      <c r="B66" s="370" t="s">
        <v>18</v>
      </c>
      <c r="C66" s="371"/>
      <c r="D66" s="370" t="s">
        <v>35</v>
      </c>
      <c r="E66" s="372"/>
      <c r="F66" s="372"/>
      <c r="G66" s="372"/>
      <c r="H66" s="372"/>
      <c r="I66" s="386" t="s">
        <v>219</v>
      </c>
      <c r="J66" s="387" t="s">
        <v>220</v>
      </c>
      <c r="K66" s="387" t="s">
        <v>221</v>
      </c>
      <c r="L66" s="387" t="s">
        <v>222</v>
      </c>
      <c r="M66" s="387" t="s">
        <v>223</v>
      </c>
      <c r="N66" s="387" t="s">
        <v>224</v>
      </c>
      <c r="O66" s="387" t="s">
        <v>225</v>
      </c>
      <c r="P66" s="387" t="s">
        <v>226</v>
      </c>
      <c r="Q66" s="387" t="s">
        <v>227</v>
      </c>
      <c r="R66" s="387" t="s">
        <v>228</v>
      </c>
      <c r="S66" s="387" t="s">
        <v>229</v>
      </c>
      <c r="T66" s="387" t="s">
        <v>230</v>
      </c>
      <c r="U66" s="387" t="s">
        <v>231</v>
      </c>
      <c r="V66" s="387" t="s">
        <v>232</v>
      </c>
      <c r="W66" s="387" t="s">
        <v>233</v>
      </c>
      <c r="X66" s="387" t="s">
        <v>234</v>
      </c>
      <c r="Y66" s="387" t="s">
        <v>235</v>
      </c>
      <c r="Z66" s="387" t="s">
        <v>236</v>
      </c>
      <c r="AA66" s="387" t="s">
        <v>237</v>
      </c>
      <c r="AB66" s="387" t="s">
        <v>238</v>
      </c>
      <c r="AC66" s="387" t="s">
        <v>239</v>
      </c>
      <c r="AD66" s="387" t="s">
        <v>240</v>
      </c>
      <c r="AE66" s="387" t="s">
        <v>241</v>
      </c>
      <c r="AF66" s="387" t="s">
        <v>242</v>
      </c>
      <c r="AG66" s="387" t="s">
        <v>243</v>
      </c>
      <c r="AH66" s="387" t="s">
        <v>244</v>
      </c>
      <c r="AI66" s="388" t="s">
        <v>245</v>
      </c>
    </row>
    <row r="67" spans="1:35" ht="15" customHeight="1">
      <c r="A67" s="114"/>
      <c r="B67" s="293">
        <v>1</v>
      </c>
      <c r="C67" s="294"/>
      <c r="D67" s="295" t="s">
        <v>60</v>
      </c>
      <c r="E67" s="296"/>
      <c r="F67" s="296"/>
      <c r="G67" s="296"/>
      <c r="H67" s="297"/>
      <c r="I67" s="302" t="s">
        <v>298</v>
      </c>
      <c r="J67" s="303"/>
      <c r="K67" s="303"/>
      <c r="L67" s="303"/>
      <c r="M67" s="303"/>
      <c r="N67" s="303"/>
      <c r="O67" s="303"/>
      <c r="P67" s="303"/>
      <c r="Q67" s="303"/>
      <c r="R67" s="303"/>
      <c r="S67" s="303"/>
      <c r="T67" s="303"/>
      <c r="U67" s="303"/>
      <c r="V67" s="303"/>
      <c r="W67" s="303"/>
      <c r="X67" s="303"/>
      <c r="Y67" s="303"/>
      <c r="Z67" s="303"/>
      <c r="AA67" s="303"/>
      <c r="AB67" s="303"/>
      <c r="AC67" s="303"/>
      <c r="AD67" s="303"/>
      <c r="AE67" s="303"/>
      <c r="AF67" s="303"/>
      <c r="AG67" s="303"/>
      <c r="AH67" s="303"/>
      <c r="AI67" s="304"/>
    </row>
    <row r="68" spans="1:35" ht="15" customHeight="1">
      <c r="A68" s="114"/>
      <c r="B68" s="298"/>
      <c r="C68" s="299"/>
      <c r="D68" s="300"/>
      <c r="E68" s="301"/>
      <c r="F68" s="301"/>
      <c r="G68" s="301"/>
      <c r="H68" s="301"/>
      <c r="I68" s="410"/>
      <c r="J68" s="411"/>
      <c r="K68" s="411"/>
      <c r="L68" s="411"/>
      <c r="M68" s="411"/>
      <c r="N68" s="411"/>
      <c r="O68" s="411"/>
      <c r="P68" s="411"/>
      <c r="Q68" s="411"/>
      <c r="R68" s="411"/>
      <c r="S68" s="411"/>
      <c r="T68" s="411"/>
      <c r="U68" s="411"/>
      <c r="V68" s="411"/>
      <c r="W68" s="411"/>
      <c r="X68" s="411"/>
      <c r="Y68" s="411"/>
      <c r="Z68" s="411"/>
      <c r="AA68" s="411"/>
      <c r="AB68" s="411"/>
      <c r="AC68" s="411"/>
      <c r="AD68" s="411"/>
      <c r="AE68" s="411"/>
      <c r="AF68" s="411"/>
      <c r="AG68" s="411"/>
      <c r="AH68" s="411"/>
      <c r="AI68" s="412"/>
    </row>
    <row r="69" spans="1:35" ht="15" customHeight="1">
      <c r="A69" s="114"/>
      <c r="B69" s="293">
        <v>2</v>
      </c>
      <c r="C69" s="294"/>
      <c r="D69" s="295" t="s">
        <v>61</v>
      </c>
      <c r="E69" s="296"/>
      <c r="F69" s="296"/>
      <c r="G69" s="296"/>
      <c r="H69" s="297"/>
      <c r="I69" s="410"/>
      <c r="J69" s="411"/>
      <c r="K69" s="411"/>
      <c r="L69" s="411"/>
      <c r="M69" s="411"/>
      <c r="N69" s="411"/>
      <c r="O69" s="411"/>
      <c r="P69" s="411"/>
      <c r="Q69" s="411"/>
      <c r="R69" s="411"/>
      <c r="S69" s="411"/>
      <c r="T69" s="411"/>
      <c r="U69" s="411"/>
      <c r="V69" s="411"/>
      <c r="W69" s="411"/>
      <c r="X69" s="411"/>
      <c r="Y69" s="411"/>
      <c r="Z69" s="411"/>
      <c r="AA69" s="411"/>
      <c r="AB69" s="411"/>
      <c r="AC69" s="411"/>
      <c r="AD69" s="411"/>
      <c r="AE69" s="411"/>
      <c r="AF69" s="411"/>
      <c r="AG69" s="411"/>
      <c r="AH69" s="411"/>
      <c r="AI69" s="412"/>
    </row>
    <row r="70" spans="1:35" ht="15" customHeight="1">
      <c r="A70" s="114"/>
      <c r="B70" s="298"/>
      <c r="C70" s="299"/>
      <c r="D70" s="300"/>
      <c r="E70" s="301"/>
      <c r="F70" s="301"/>
      <c r="G70" s="301"/>
      <c r="H70" s="301"/>
      <c r="I70" s="410"/>
      <c r="J70" s="411"/>
      <c r="K70" s="411"/>
      <c r="L70" s="411"/>
      <c r="M70" s="411"/>
      <c r="N70" s="411"/>
      <c r="O70" s="411"/>
      <c r="P70" s="411"/>
      <c r="Q70" s="411"/>
      <c r="R70" s="411"/>
      <c r="S70" s="411"/>
      <c r="T70" s="411"/>
      <c r="U70" s="411"/>
      <c r="V70" s="411"/>
      <c r="W70" s="411"/>
      <c r="X70" s="411"/>
      <c r="Y70" s="411"/>
      <c r="Z70" s="411"/>
      <c r="AA70" s="411"/>
      <c r="AB70" s="411"/>
      <c r="AC70" s="411"/>
      <c r="AD70" s="411"/>
      <c r="AE70" s="411"/>
      <c r="AF70" s="411"/>
      <c r="AG70" s="411"/>
      <c r="AH70" s="411"/>
      <c r="AI70" s="412"/>
    </row>
    <row r="71" spans="1:35" ht="15" customHeight="1">
      <c r="A71" s="114"/>
      <c r="B71" s="293">
        <v>3</v>
      </c>
      <c r="C71" s="294"/>
      <c r="D71" s="295" t="s">
        <v>62</v>
      </c>
      <c r="E71" s="296"/>
      <c r="F71" s="296"/>
      <c r="G71" s="296"/>
      <c r="H71" s="297"/>
      <c r="I71" s="410"/>
      <c r="J71" s="411"/>
      <c r="K71" s="411"/>
      <c r="L71" s="411"/>
      <c r="M71" s="411"/>
      <c r="N71" s="411"/>
      <c r="O71" s="411"/>
      <c r="P71" s="411"/>
      <c r="Q71" s="411"/>
      <c r="R71" s="411"/>
      <c r="S71" s="411"/>
      <c r="T71" s="411"/>
      <c r="U71" s="411"/>
      <c r="V71" s="411"/>
      <c r="W71" s="411"/>
      <c r="X71" s="411"/>
      <c r="Y71" s="411"/>
      <c r="Z71" s="411"/>
      <c r="AA71" s="411"/>
      <c r="AB71" s="411"/>
      <c r="AC71" s="411"/>
      <c r="AD71" s="411"/>
      <c r="AE71" s="411"/>
      <c r="AF71" s="411"/>
      <c r="AG71" s="411"/>
      <c r="AH71" s="411"/>
      <c r="AI71" s="412"/>
    </row>
    <row r="72" spans="1:35" ht="15" customHeight="1">
      <c r="A72" s="114"/>
      <c r="B72" s="298"/>
      <c r="C72" s="299"/>
      <c r="D72" s="300"/>
      <c r="E72" s="301"/>
      <c r="F72" s="301"/>
      <c r="G72" s="301"/>
      <c r="H72" s="301"/>
      <c r="I72" s="305"/>
      <c r="J72" s="306"/>
      <c r="K72" s="306"/>
      <c r="L72" s="306"/>
      <c r="M72" s="306"/>
      <c r="N72" s="306"/>
      <c r="O72" s="306"/>
      <c r="P72" s="306"/>
      <c r="Q72" s="306"/>
      <c r="R72" s="306"/>
      <c r="S72" s="306"/>
      <c r="T72" s="306"/>
      <c r="U72" s="306"/>
      <c r="V72" s="306"/>
      <c r="W72" s="306"/>
      <c r="X72" s="306"/>
      <c r="Y72" s="306"/>
      <c r="Z72" s="306"/>
      <c r="AA72" s="306"/>
      <c r="AB72" s="306"/>
      <c r="AC72" s="306"/>
      <c r="AD72" s="306"/>
      <c r="AE72" s="306"/>
      <c r="AF72" s="306"/>
      <c r="AG72" s="306"/>
      <c r="AH72" s="306"/>
      <c r="AI72" s="307"/>
    </row>
    <row r="73" spans="1:35" ht="15" customHeight="1">
      <c r="A73" s="114"/>
      <c r="B73" s="401">
        <v>4</v>
      </c>
      <c r="C73" s="402"/>
      <c r="D73" s="403" t="s">
        <v>63</v>
      </c>
      <c r="E73" s="404"/>
      <c r="F73" s="404"/>
      <c r="G73" s="404"/>
      <c r="H73" s="405"/>
      <c r="I73" s="425"/>
      <c r="J73" s="283"/>
      <c r="K73" s="283"/>
      <c r="L73" s="283"/>
      <c r="M73" s="283"/>
      <c r="N73" s="283"/>
      <c r="O73" s="283"/>
      <c r="P73" s="283"/>
      <c r="Q73" s="283"/>
      <c r="R73" s="283"/>
      <c r="S73" s="283"/>
      <c r="T73" s="283"/>
      <c r="U73" s="283"/>
      <c r="V73" s="283"/>
      <c r="W73" s="283"/>
      <c r="X73" s="283"/>
      <c r="Y73" s="283"/>
      <c r="Z73" s="283"/>
      <c r="AA73" s="283"/>
      <c r="AB73" s="283"/>
      <c r="AC73" s="283"/>
      <c r="AD73" s="283"/>
      <c r="AE73" s="283"/>
      <c r="AF73" s="283"/>
      <c r="AG73" s="283"/>
      <c r="AH73" s="283"/>
      <c r="AI73" s="284"/>
    </row>
    <row r="74" spans="1:35" ht="15" customHeight="1">
      <c r="A74" s="114"/>
      <c r="B74" s="406"/>
      <c r="C74" s="407"/>
      <c r="D74" s="408"/>
      <c r="E74" s="409"/>
      <c r="F74" s="409"/>
      <c r="G74" s="409"/>
      <c r="H74" s="409"/>
      <c r="I74" s="426"/>
      <c r="J74" s="290"/>
      <c r="K74" s="290"/>
      <c r="L74" s="290"/>
      <c r="M74" s="290"/>
      <c r="N74" s="290"/>
      <c r="O74" s="290"/>
      <c r="P74" s="290"/>
      <c r="Q74" s="290"/>
      <c r="R74" s="290"/>
      <c r="S74" s="290"/>
      <c r="T74" s="290"/>
      <c r="U74" s="290"/>
      <c r="V74" s="290"/>
      <c r="W74" s="290"/>
      <c r="X74" s="290"/>
      <c r="Y74" s="290"/>
      <c r="Z74" s="290"/>
      <c r="AA74" s="290"/>
      <c r="AB74" s="290"/>
      <c r="AC74" s="290"/>
      <c r="AD74" s="290"/>
      <c r="AE74" s="290"/>
      <c r="AF74" s="290"/>
      <c r="AG74" s="290"/>
      <c r="AH74" s="290"/>
      <c r="AI74" s="291"/>
    </row>
    <row r="75" spans="1:35" ht="15" customHeight="1">
      <c r="A75" s="114"/>
      <c r="B75" s="401">
        <v>5</v>
      </c>
      <c r="C75" s="402"/>
      <c r="D75" s="403" t="s">
        <v>64</v>
      </c>
      <c r="E75" s="404"/>
      <c r="F75" s="404"/>
      <c r="G75" s="404"/>
      <c r="H75" s="405"/>
      <c r="I75" s="425"/>
      <c r="J75" s="283"/>
      <c r="K75" s="283"/>
      <c r="L75" s="283"/>
      <c r="M75" s="283"/>
      <c r="N75" s="283"/>
      <c r="O75" s="283"/>
      <c r="P75" s="283"/>
      <c r="Q75" s="283"/>
      <c r="R75" s="283"/>
      <c r="S75" s="283"/>
      <c r="T75" s="283"/>
      <c r="U75" s="283"/>
      <c r="V75" s="283"/>
      <c r="W75" s="283"/>
      <c r="X75" s="283"/>
      <c r="Y75" s="283"/>
      <c r="Z75" s="283"/>
      <c r="AA75" s="283"/>
      <c r="AB75" s="283"/>
      <c r="AC75" s="283"/>
      <c r="AD75" s="283"/>
      <c r="AE75" s="283"/>
      <c r="AF75" s="283"/>
      <c r="AG75" s="283"/>
      <c r="AH75" s="283"/>
      <c r="AI75" s="284"/>
    </row>
    <row r="76" spans="1:35" ht="15" customHeight="1">
      <c r="A76" s="114"/>
      <c r="B76" s="406"/>
      <c r="C76" s="407"/>
      <c r="D76" s="427" t="s">
        <v>202</v>
      </c>
      <c r="E76" s="428"/>
      <c r="F76" s="428"/>
      <c r="G76" s="428"/>
      <c r="H76" s="429"/>
      <c r="I76" s="426"/>
      <c r="J76" s="290"/>
      <c r="K76" s="290"/>
      <c r="L76" s="290"/>
      <c r="M76" s="290"/>
      <c r="N76" s="290"/>
      <c r="O76" s="290"/>
      <c r="P76" s="290"/>
      <c r="Q76" s="290"/>
      <c r="R76" s="290"/>
      <c r="S76" s="290"/>
      <c r="T76" s="290"/>
      <c r="U76" s="290"/>
      <c r="V76" s="290"/>
      <c r="W76" s="290"/>
      <c r="X76" s="290"/>
      <c r="Y76" s="290"/>
      <c r="Z76" s="290"/>
      <c r="AA76" s="290"/>
      <c r="AB76" s="290"/>
      <c r="AC76" s="290"/>
      <c r="AD76" s="290"/>
      <c r="AE76" s="290"/>
      <c r="AF76" s="290"/>
      <c r="AG76" s="290"/>
      <c r="AH76" s="290"/>
      <c r="AI76" s="291"/>
    </row>
    <row r="77" spans="1:35" ht="15" customHeight="1">
      <c r="A77" s="114"/>
      <c r="B77" s="401">
        <v>6</v>
      </c>
      <c r="C77" s="402"/>
      <c r="D77" s="403" t="s">
        <v>288</v>
      </c>
      <c r="E77" s="404"/>
      <c r="F77" s="404"/>
      <c r="G77" s="404"/>
      <c r="H77" s="405"/>
      <c r="I77" s="282"/>
      <c r="J77" s="283"/>
      <c r="K77" s="283"/>
      <c r="L77" s="283"/>
      <c r="M77" s="283"/>
      <c r="N77" s="283"/>
      <c r="O77" s="283"/>
      <c r="P77" s="283"/>
      <c r="Q77" s="283"/>
      <c r="R77" s="283"/>
      <c r="S77" s="283"/>
      <c r="T77" s="283"/>
      <c r="U77" s="283"/>
      <c r="V77" s="283"/>
      <c r="W77" s="283"/>
      <c r="X77" s="283"/>
      <c r="Y77" s="283"/>
      <c r="Z77" s="283"/>
      <c r="AA77" s="283"/>
      <c r="AB77" s="283"/>
      <c r="AC77" s="283"/>
      <c r="AD77" s="283"/>
      <c r="AE77" s="283"/>
      <c r="AF77" s="283"/>
      <c r="AG77" s="283"/>
      <c r="AH77" s="283"/>
      <c r="AI77" s="284"/>
    </row>
    <row r="78" spans="1:35" ht="15" customHeight="1">
      <c r="A78" s="114"/>
      <c r="B78" s="406"/>
      <c r="C78" s="407"/>
      <c r="D78" s="408"/>
      <c r="E78" s="409"/>
      <c r="F78" s="409"/>
      <c r="G78" s="409"/>
      <c r="H78" s="409"/>
      <c r="I78" s="289"/>
      <c r="J78" s="290"/>
      <c r="K78" s="290"/>
      <c r="L78" s="290"/>
      <c r="M78" s="290"/>
      <c r="N78" s="290"/>
      <c r="O78" s="290"/>
      <c r="P78" s="290"/>
      <c r="Q78" s="290"/>
      <c r="R78" s="290"/>
      <c r="S78" s="290"/>
      <c r="T78" s="290"/>
      <c r="U78" s="290"/>
      <c r="V78" s="290"/>
      <c r="W78" s="290"/>
      <c r="X78" s="290"/>
      <c r="Y78" s="290"/>
      <c r="Z78" s="290"/>
      <c r="AA78" s="290"/>
      <c r="AB78" s="290"/>
      <c r="AC78" s="290"/>
      <c r="AD78" s="290"/>
      <c r="AE78" s="290"/>
      <c r="AF78" s="290"/>
      <c r="AG78" s="290"/>
      <c r="AH78" s="290"/>
      <c r="AI78" s="291"/>
    </row>
    <row r="79" spans="1:35" ht="15" customHeight="1">
      <c r="A79" s="114"/>
      <c r="I79" s="389"/>
      <c r="J79" s="389"/>
      <c r="K79" s="389"/>
      <c r="L79" s="389"/>
      <c r="M79" s="389"/>
      <c r="N79" s="389"/>
      <c r="O79" s="389"/>
      <c r="P79" s="389"/>
      <c r="Q79" s="389"/>
      <c r="R79" s="389"/>
      <c r="S79" s="389"/>
      <c r="T79" s="389"/>
      <c r="V79" s="389"/>
      <c r="W79" s="114" t="s">
        <v>65</v>
      </c>
      <c r="X79" s="389"/>
      <c r="Z79" s="389"/>
      <c r="AA79" s="114" t="s">
        <v>66</v>
      </c>
      <c r="AC79" s="389"/>
      <c r="AD79" s="389"/>
      <c r="AG79" s="114" t="s">
        <v>67</v>
      </c>
    </row>
    <row r="80" spans="1:35" ht="15" customHeight="1">
      <c r="A80" s="114"/>
      <c r="I80" s="389"/>
      <c r="J80" s="389"/>
      <c r="K80" s="389"/>
      <c r="L80" s="389"/>
      <c r="M80" s="389"/>
      <c r="N80" s="389"/>
      <c r="O80" s="389"/>
      <c r="P80" s="389"/>
      <c r="Q80" s="389"/>
      <c r="R80" s="389"/>
      <c r="S80" s="389"/>
      <c r="T80" s="389"/>
      <c r="U80" s="389"/>
      <c r="V80" s="389"/>
      <c r="W80" s="389"/>
      <c r="X80" s="389"/>
      <c r="Y80" s="389"/>
      <c r="Z80" s="389"/>
      <c r="AA80" s="389"/>
      <c r="AB80" s="389"/>
      <c r="AC80" s="389"/>
      <c r="AD80" s="389"/>
      <c r="AE80" s="389"/>
      <c r="AF80" s="389"/>
      <c r="AG80" s="389"/>
    </row>
    <row r="81" spans="1:35" ht="15" customHeight="1">
      <c r="A81" s="309" t="s">
        <v>68</v>
      </c>
      <c r="I81" s="389"/>
      <c r="J81" s="389"/>
      <c r="K81" s="389"/>
      <c r="L81" s="389"/>
      <c r="M81" s="389"/>
      <c r="N81" s="389"/>
      <c r="O81" s="389"/>
      <c r="P81" s="389"/>
      <c r="Q81" s="389"/>
      <c r="R81" s="389"/>
      <c r="S81" s="389"/>
      <c r="T81" s="389"/>
      <c r="U81" s="389"/>
      <c r="V81" s="389"/>
      <c r="W81" s="389"/>
      <c r="X81" s="389"/>
      <c r="Y81" s="389"/>
      <c r="Z81" s="389"/>
      <c r="AA81" s="389"/>
      <c r="AB81" s="389"/>
      <c r="AC81" s="389"/>
      <c r="AD81" s="389"/>
      <c r="AE81" s="389"/>
      <c r="AF81" s="389"/>
      <c r="AG81" s="389"/>
    </row>
    <row r="82" spans="1:35" ht="15" customHeight="1" thickBot="1">
      <c r="A82" s="114"/>
      <c r="I82" s="389"/>
      <c r="J82" s="389"/>
      <c r="K82" s="389"/>
      <c r="L82" s="389"/>
      <c r="M82" s="389"/>
      <c r="N82" s="389"/>
      <c r="O82" s="389"/>
      <c r="P82" s="389"/>
      <c r="Q82" s="389"/>
      <c r="R82" s="389"/>
      <c r="S82" s="389"/>
      <c r="T82" s="389"/>
      <c r="U82" s="389"/>
      <c r="V82" s="389"/>
      <c r="W82" s="389"/>
      <c r="X82" s="389"/>
      <c r="Y82" s="389"/>
      <c r="Z82" s="389"/>
      <c r="AA82" s="389"/>
      <c r="AB82" s="389"/>
      <c r="AC82" s="389"/>
      <c r="AD82" s="389"/>
      <c r="AE82" s="389"/>
      <c r="AF82" s="389"/>
      <c r="AG82" s="389"/>
    </row>
    <row r="83" spans="1:35" s="108" customFormat="1" ht="15" customHeight="1" thickTop="1">
      <c r="A83" s="390"/>
      <c r="C83" s="391" t="s">
        <v>69</v>
      </c>
      <c r="D83" s="392"/>
      <c r="E83" s="392"/>
      <c r="F83" s="392"/>
      <c r="G83" s="392"/>
      <c r="H83" s="393"/>
      <c r="I83" s="394"/>
      <c r="J83" s="394"/>
      <c r="K83" s="394"/>
      <c r="L83" s="391" t="s">
        <v>70</v>
      </c>
      <c r="M83" s="392"/>
      <c r="N83" s="392"/>
      <c r="O83" s="392"/>
      <c r="P83" s="392"/>
      <c r="Q83" s="393"/>
      <c r="R83" s="394"/>
      <c r="S83" s="394"/>
      <c r="T83" s="394"/>
      <c r="U83" s="391" t="s">
        <v>268</v>
      </c>
      <c r="V83" s="392"/>
      <c r="W83" s="392"/>
      <c r="X83" s="392"/>
      <c r="Y83" s="392"/>
      <c r="Z83" s="393"/>
      <c r="AA83" s="394"/>
      <c r="AB83" s="394"/>
      <c r="AC83" s="394"/>
      <c r="AD83" s="391" t="s">
        <v>269</v>
      </c>
      <c r="AE83" s="392"/>
      <c r="AF83" s="392"/>
      <c r="AG83" s="392"/>
      <c r="AH83" s="392"/>
      <c r="AI83" s="393"/>
    </row>
    <row r="84" spans="1:35" s="108" customFormat="1" ht="15" customHeight="1" thickBot="1">
      <c r="C84" s="395"/>
      <c r="D84" s="396"/>
      <c r="E84" s="396"/>
      <c r="F84" s="396"/>
      <c r="G84" s="396"/>
      <c r="H84" s="397"/>
      <c r="I84" s="292"/>
      <c r="J84" s="292"/>
      <c r="K84" s="292"/>
      <c r="L84" s="395"/>
      <c r="M84" s="396"/>
      <c r="N84" s="396"/>
      <c r="O84" s="396"/>
      <c r="P84" s="396"/>
      <c r="Q84" s="397"/>
      <c r="R84" s="292"/>
      <c r="S84" s="292"/>
      <c r="T84" s="292"/>
      <c r="U84" s="395"/>
      <c r="V84" s="396"/>
      <c r="W84" s="396"/>
      <c r="X84" s="396"/>
      <c r="Y84" s="396"/>
      <c r="Z84" s="397"/>
      <c r="AA84" s="292"/>
      <c r="AB84" s="292"/>
      <c r="AC84" s="292"/>
      <c r="AD84" s="395"/>
      <c r="AE84" s="396"/>
      <c r="AF84" s="396"/>
      <c r="AG84" s="396"/>
      <c r="AH84" s="396"/>
      <c r="AI84" s="397"/>
    </row>
    <row r="85" spans="1:35" ht="15" customHeight="1" thickTop="1">
      <c r="A85" s="114"/>
      <c r="I85" s="389"/>
      <c r="J85" s="389"/>
      <c r="K85" s="389"/>
      <c r="L85" s="389"/>
      <c r="M85" s="389"/>
      <c r="N85" s="389"/>
      <c r="O85" s="389"/>
      <c r="P85" s="389"/>
      <c r="Q85" s="389"/>
      <c r="R85" s="389"/>
      <c r="S85" s="389"/>
      <c r="T85" s="389"/>
      <c r="U85" s="389"/>
      <c r="V85" s="389"/>
      <c r="W85" s="389"/>
      <c r="X85" s="389"/>
      <c r="Y85" s="389"/>
      <c r="Z85" s="389"/>
      <c r="AA85" s="389"/>
      <c r="AB85" s="389"/>
      <c r="AC85" s="389"/>
      <c r="AD85" s="389"/>
      <c r="AE85" s="389"/>
      <c r="AF85" s="389"/>
      <c r="AG85" s="389"/>
    </row>
    <row r="86" spans="1:35" ht="15" customHeight="1">
      <c r="A86" s="114"/>
      <c r="I86" s="389"/>
      <c r="J86" s="389"/>
      <c r="K86" s="389"/>
      <c r="L86" s="389"/>
      <c r="M86" s="389"/>
      <c r="N86" s="389"/>
      <c r="O86" s="389"/>
      <c r="P86" s="389"/>
      <c r="Q86" s="389"/>
      <c r="R86" s="389"/>
      <c r="S86" s="389"/>
      <c r="T86" s="389"/>
      <c r="U86" s="389"/>
      <c r="V86" s="389"/>
      <c r="AC86" s="389"/>
      <c r="AD86" s="389"/>
      <c r="AE86" s="389"/>
      <c r="AF86" s="389"/>
      <c r="AG86" s="389"/>
    </row>
    <row r="87" spans="1:35" ht="15" customHeight="1">
      <c r="A87" s="309" t="s">
        <v>71</v>
      </c>
    </row>
    <row r="89" spans="1:35" ht="15" customHeight="1">
      <c r="B89" s="114" t="s">
        <v>198</v>
      </c>
    </row>
    <row r="90" spans="1:35" ht="15" customHeight="1">
      <c r="C90" s="114" t="s">
        <v>72</v>
      </c>
    </row>
    <row r="91" spans="1:35" ht="15" customHeight="1">
      <c r="C91" s="114" t="s">
        <v>73</v>
      </c>
    </row>
    <row r="92" spans="1:35" ht="15" customHeight="1">
      <c r="C92" s="114" t="s">
        <v>74</v>
      </c>
    </row>
    <row r="93" spans="1:35" ht="15" customHeight="1">
      <c r="B93" s="398" t="s">
        <v>75</v>
      </c>
      <c r="C93" s="399"/>
    </row>
    <row r="94" spans="1:35" ht="15" customHeight="1">
      <c r="B94" s="114" t="s">
        <v>76</v>
      </c>
      <c r="C94" s="398"/>
    </row>
    <row r="95" spans="1:35" ht="15" customHeight="1">
      <c r="C95" s="398" t="s">
        <v>77</v>
      </c>
    </row>
    <row r="96" spans="1:35" ht="15" customHeight="1">
      <c r="C96" s="114" t="s">
        <v>201</v>
      </c>
    </row>
    <row r="98" spans="1:3" ht="15" customHeight="1">
      <c r="A98" s="114"/>
      <c r="B98" s="114" t="s">
        <v>78</v>
      </c>
    </row>
    <row r="99" spans="1:3" ht="15" customHeight="1">
      <c r="A99" s="114"/>
      <c r="C99" s="114" t="s">
        <v>79</v>
      </c>
    </row>
    <row r="100" spans="1:3" ht="15" customHeight="1">
      <c r="A100" s="114"/>
      <c r="C100" s="114" t="s">
        <v>80</v>
      </c>
    </row>
    <row r="101" spans="1:3" ht="15" customHeight="1">
      <c r="A101" s="114"/>
    </row>
    <row r="102" spans="1:3" ht="15" customHeight="1">
      <c r="A102" s="114"/>
      <c r="B102" s="114" t="s">
        <v>81</v>
      </c>
    </row>
    <row r="103" spans="1:3" ht="15" customHeight="1">
      <c r="A103" s="114"/>
      <c r="C103" s="114" t="s">
        <v>82</v>
      </c>
    </row>
    <row r="104" spans="1:3" ht="15" customHeight="1">
      <c r="A104" s="114"/>
    </row>
    <row r="105" spans="1:3" ht="15" customHeight="1">
      <c r="A105" s="114"/>
      <c r="B105" s="108" t="s">
        <v>194</v>
      </c>
    </row>
    <row r="106" spans="1:3" ht="15" customHeight="1">
      <c r="A106" s="114"/>
      <c r="C106" s="114" t="s">
        <v>199</v>
      </c>
    </row>
    <row r="107" spans="1:3" ht="15" customHeight="1">
      <c r="A107" s="114"/>
      <c r="C107" s="114" t="s">
        <v>195</v>
      </c>
    </row>
    <row r="108" spans="1:3" ht="15" customHeight="1">
      <c r="A108" s="114"/>
    </row>
    <row r="109" spans="1:3" ht="15" customHeight="1">
      <c r="A109" s="114"/>
      <c r="B109" s="108" t="s">
        <v>196</v>
      </c>
    </row>
    <row r="110" spans="1:3" ht="15" customHeight="1">
      <c r="A110" s="114"/>
      <c r="C110" s="114" t="s">
        <v>197</v>
      </c>
    </row>
    <row r="111" spans="1:3" ht="15" customHeight="1">
      <c r="A111" s="114"/>
      <c r="C111" s="114" t="s">
        <v>204</v>
      </c>
    </row>
    <row r="112" spans="1:3" ht="15" customHeight="1">
      <c r="A112" s="114"/>
    </row>
    <row r="113" spans="1:4" ht="15" customHeight="1">
      <c r="A113" s="114"/>
      <c r="B113" s="114" t="s">
        <v>282</v>
      </c>
    </row>
    <row r="114" spans="1:4" ht="15" customHeight="1">
      <c r="A114" s="114"/>
      <c r="C114" s="114" t="s">
        <v>283</v>
      </c>
    </row>
    <row r="115" spans="1:4" ht="15" customHeight="1">
      <c r="A115" s="114"/>
    </row>
    <row r="116" spans="1:4" ht="15" customHeight="1">
      <c r="A116" s="114"/>
      <c r="B116" s="108" t="s">
        <v>299</v>
      </c>
    </row>
    <row r="117" spans="1:4" ht="15" customHeight="1">
      <c r="A117" s="114"/>
      <c r="C117" s="114" t="s">
        <v>300</v>
      </c>
    </row>
    <row r="118" spans="1:4" ht="15" customHeight="1">
      <c r="A118" s="114"/>
    </row>
    <row r="119" spans="1:4" ht="15" customHeight="1">
      <c r="A119" s="114"/>
      <c r="B119" s="108" t="s">
        <v>287</v>
      </c>
      <c r="C119" s="108"/>
      <c r="D119" s="108"/>
    </row>
    <row r="120" spans="1:4" ht="15" customHeight="1">
      <c r="A120" s="114"/>
      <c r="C120" s="114" t="s">
        <v>302</v>
      </c>
    </row>
    <row r="121" spans="1:4" ht="15" customHeight="1">
      <c r="A121" s="114"/>
      <c r="C121" s="114" t="s">
        <v>83</v>
      </c>
    </row>
  </sheetData>
  <mergeCells count="52">
    <mergeCell ref="D58:H58"/>
    <mergeCell ref="I67:AI72"/>
    <mergeCell ref="B39:C39"/>
    <mergeCell ref="Y39:AB39"/>
    <mergeCell ref="AC39:AD39"/>
    <mergeCell ref="AE39:AJ39"/>
    <mergeCell ref="AM39:AQ39"/>
    <mergeCell ref="D54:H54"/>
    <mergeCell ref="B41:C41"/>
    <mergeCell ref="Y41:AB41"/>
    <mergeCell ref="AC41:AD41"/>
    <mergeCell ref="AE41:AJ41"/>
    <mergeCell ref="AM41:AQ41"/>
    <mergeCell ref="B42:C42"/>
    <mergeCell ref="Y42:AB42"/>
    <mergeCell ref="AC42:AD42"/>
    <mergeCell ref="AE42:AJ42"/>
    <mergeCell ref="AM42:AQ42"/>
    <mergeCell ref="D75:H75"/>
    <mergeCell ref="D76:H76"/>
    <mergeCell ref="D77:H77"/>
    <mergeCell ref="C83:H84"/>
    <mergeCell ref="L83:Q84"/>
    <mergeCell ref="U83:Z84"/>
    <mergeCell ref="AD83:AI84"/>
    <mergeCell ref="D67:H67"/>
    <mergeCell ref="D69:H69"/>
    <mergeCell ref="D71:H71"/>
    <mergeCell ref="D73:H73"/>
    <mergeCell ref="D60:H60"/>
    <mergeCell ref="D56:H56"/>
    <mergeCell ref="B43:C43"/>
    <mergeCell ref="Y43:AB43"/>
    <mergeCell ref="AC43:AD43"/>
    <mergeCell ref="AE43:AJ43"/>
    <mergeCell ref="AM43:AQ43"/>
    <mergeCell ref="B44:C44"/>
    <mergeCell ref="Y44:AB44"/>
    <mergeCell ref="AC44:AD44"/>
    <mergeCell ref="AE44:AJ44"/>
    <mergeCell ref="AM44:AQ44"/>
    <mergeCell ref="B40:C40"/>
    <mergeCell ref="Y40:AB40"/>
    <mergeCell ref="AC40:AD40"/>
    <mergeCell ref="AE40:AJ40"/>
    <mergeCell ref="AM40:AQ40"/>
    <mergeCell ref="A1:Q2"/>
    <mergeCell ref="AF1:AJ1"/>
    <mergeCell ref="AF2:AJ2"/>
    <mergeCell ref="A5:Q6"/>
    <mergeCell ref="A11:E12"/>
    <mergeCell ref="F11:Q12"/>
  </mergeCells>
  <phoneticPr fontId="3"/>
  <printOptions horizontalCentered="1"/>
  <pageMargins left="0.39370078740157483" right="0.39370078740157483" top="0.78740157480314965" bottom="0.39370078740157483" header="0.31496062992125984" footer="0.31496062992125984"/>
  <pageSetup paperSize="9" scale="86" orientation="portrait" r:id="rId1"/>
  <headerFooter>
    <oddFooter>&amp;C&amp;10&amp;P / &amp;N</oddFooter>
  </headerFooter>
  <rowBreaks count="1" manualBreakCount="1">
    <brk id="50" max="35" man="1"/>
  </rowBreaks>
  <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389D66-D9C2-4EFB-9347-3F9DEFFCBAF5}">
  <sheetPr>
    <tabColor rgb="FFFF0000"/>
  </sheetPr>
  <dimension ref="A1:AX16"/>
  <sheetViews>
    <sheetView showGridLines="0" zoomScale="70" zoomScaleNormal="70" workbookViewId="0">
      <pane xSplit="5" ySplit="3" topLeftCell="W4" activePane="bottomRight" state="frozen"/>
      <selection activeCell="AI32" sqref="AI32"/>
      <selection pane="topRight" activeCell="AI32" sqref="AI32"/>
      <selection pane="bottomLeft" activeCell="AI32" sqref="AI32"/>
      <selection pane="bottomRight" activeCell="W11" sqref="W11"/>
    </sheetView>
  </sheetViews>
  <sheetFormatPr defaultRowHeight="18" outlineLevelCol="1"/>
  <cols>
    <col min="1" max="1" width="4.375" style="72" bestFit="1" customWidth="1"/>
    <col min="2" max="2" width="19.875" style="69" customWidth="1"/>
    <col min="3" max="3" width="17.625" style="70" customWidth="1"/>
    <col min="4" max="4" width="27.5" style="70" bestFit="1" customWidth="1"/>
    <col min="5" max="5" width="112.5" style="70" customWidth="1"/>
    <col min="6" max="8" width="9.625" style="71" customWidth="1"/>
    <col min="9" max="14" width="9.625" style="69" customWidth="1" outlineLevel="1"/>
    <col min="15" max="15" width="1.625" style="69" customWidth="1"/>
    <col min="16" max="21" width="9.625" style="69" customWidth="1" outlineLevel="1"/>
    <col min="22" max="22" width="13.875" style="69" customWidth="1"/>
    <col min="23" max="23" width="9.625" style="69" customWidth="1" outlineLevel="1"/>
    <col min="24" max="24" width="14.125" style="69" customWidth="1" outlineLevel="1"/>
    <col min="25" max="25" width="9.625" style="69" customWidth="1" outlineLevel="1"/>
    <col min="26" max="27" width="14.125" style="69" customWidth="1" outlineLevel="1"/>
    <col min="28" max="28" width="2.625" style="69" customWidth="1"/>
    <col min="29" max="29" width="9.625" style="69" customWidth="1" outlineLevel="1"/>
    <col min="30" max="30" width="14.125" style="69" customWidth="1" outlineLevel="1"/>
    <col min="31" max="31" width="9.625" style="69" customWidth="1" outlineLevel="1"/>
    <col min="32" max="33" width="14.125" style="69" customWidth="1" outlineLevel="1"/>
    <col min="34" max="34" width="5" style="69" customWidth="1"/>
    <col min="35" max="41" width="9.625" style="69" hidden="1" customWidth="1" outlineLevel="1"/>
    <col min="42" max="42" width="3.625" style="69" customWidth="1" collapsed="1"/>
    <col min="43" max="49" width="9" style="69" hidden="1" customWidth="1" outlineLevel="1"/>
    <col min="50" max="50" width="8.625" bestFit="1" customWidth="1" collapsed="1"/>
  </cols>
  <sheetData>
    <row r="1" spans="1:49" ht="24" customHeight="1">
      <c r="A1" s="68" t="s">
        <v>84</v>
      </c>
      <c r="W1" s="232" t="s">
        <v>85</v>
      </c>
      <c r="X1" s="232"/>
      <c r="Y1" s="232"/>
      <c r="Z1" s="232"/>
      <c r="AA1" s="232"/>
      <c r="AC1" s="233" t="s">
        <v>86</v>
      </c>
      <c r="AD1" s="233"/>
      <c r="AE1" s="233"/>
      <c r="AF1" s="233"/>
      <c r="AG1" s="233"/>
      <c r="AI1" s="234" t="s">
        <v>87</v>
      </c>
      <c r="AJ1" s="234"/>
      <c r="AK1" s="234"/>
      <c r="AL1" s="234"/>
      <c r="AM1" s="234"/>
      <c r="AN1" s="234"/>
      <c r="AO1" s="234"/>
      <c r="AP1" s="234"/>
      <c r="AQ1" s="234"/>
      <c r="AR1" s="234"/>
      <c r="AS1" s="234"/>
      <c r="AT1" s="234"/>
      <c r="AU1" s="234"/>
      <c r="AV1" s="234"/>
      <c r="AW1" s="234"/>
    </row>
    <row r="2" spans="1:49" ht="18.75">
      <c r="I2" s="232" t="s">
        <v>85</v>
      </c>
      <c r="J2" s="232"/>
      <c r="K2" s="232"/>
      <c r="L2" s="232"/>
      <c r="M2" s="232"/>
      <c r="N2" s="232"/>
      <c r="P2" s="233" t="s">
        <v>86</v>
      </c>
      <c r="Q2" s="233"/>
      <c r="R2" s="233"/>
      <c r="S2" s="233"/>
      <c r="T2" s="233"/>
      <c r="U2" s="233"/>
      <c r="W2" s="73" t="s">
        <v>88</v>
      </c>
      <c r="X2" s="74">
        <v>50000</v>
      </c>
      <c r="Y2" s="73" t="s">
        <v>89</v>
      </c>
      <c r="Z2" s="74">
        <v>70000</v>
      </c>
      <c r="AA2" s="73"/>
      <c r="AC2" s="73" t="s">
        <v>88</v>
      </c>
      <c r="AD2" s="74">
        <v>1000000</v>
      </c>
      <c r="AE2" s="73" t="s">
        <v>89</v>
      </c>
      <c r="AF2" s="74">
        <v>1400000</v>
      </c>
      <c r="AG2" s="73"/>
      <c r="AI2" s="235" t="s">
        <v>85</v>
      </c>
      <c r="AJ2" s="235"/>
      <c r="AK2" s="235"/>
      <c r="AL2" s="235"/>
      <c r="AM2" s="235"/>
      <c r="AN2" s="235"/>
      <c r="AO2" s="235"/>
      <c r="AQ2" s="236" t="s">
        <v>86</v>
      </c>
      <c r="AR2" s="236"/>
      <c r="AS2" s="236"/>
      <c r="AT2" s="236"/>
      <c r="AU2" s="236"/>
      <c r="AV2" s="236"/>
      <c r="AW2" s="236"/>
    </row>
    <row r="3" spans="1:49" ht="72">
      <c r="A3" s="75" t="s">
        <v>90</v>
      </c>
      <c r="B3" s="76" t="s">
        <v>91</v>
      </c>
      <c r="C3" s="76" t="s">
        <v>92</v>
      </c>
      <c r="D3" s="76" t="s">
        <v>93</v>
      </c>
      <c r="E3" s="76" t="s">
        <v>94</v>
      </c>
      <c r="F3" s="77" t="s">
        <v>95</v>
      </c>
      <c r="G3" s="78" t="s">
        <v>96</v>
      </c>
      <c r="H3" s="78" t="s">
        <v>97</v>
      </c>
      <c r="I3" s="79" t="s">
        <v>98</v>
      </c>
      <c r="J3" s="73" t="s">
        <v>99</v>
      </c>
      <c r="K3" s="73" t="s">
        <v>100</v>
      </c>
      <c r="L3" s="73" t="s">
        <v>101</v>
      </c>
      <c r="M3" s="73" t="s">
        <v>102</v>
      </c>
      <c r="N3" s="73" t="s">
        <v>104</v>
      </c>
      <c r="P3" s="79" t="s">
        <v>98</v>
      </c>
      <c r="Q3" s="73" t="s">
        <v>99</v>
      </c>
      <c r="R3" s="73" t="s">
        <v>100</v>
      </c>
      <c r="S3" s="73" t="s">
        <v>101</v>
      </c>
      <c r="T3" s="73" t="s">
        <v>102</v>
      </c>
      <c r="U3" s="73" t="s">
        <v>104</v>
      </c>
      <c r="V3" s="80" t="s">
        <v>105</v>
      </c>
      <c r="W3" s="77" t="s">
        <v>85</v>
      </c>
      <c r="X3" s="77" t="s">
        <v>106</v>
      </c>
      <c r="Y3" s="77" t="s">
        <v>85</v>
      </c>
      <c r="Z3" s="77" t="s">
        <v>106</v>
      </c>
      <c r="AA3" s="77" t="s">
        <v>107</v>
      </c>
      <c r="AB3" s="81"/>
      <c r="AC3" s="77" t="s">
        <v>86</v>
      </c>
      <c r="AD3" s="77" t="s">
        <v>106</v>
      </c>
      <c r="AE3" s="77" t="s">
        <v>86</v>
      </c>
      <c r="AF3" s="77" t="s">
        <v>106</v>
      </c>
      <c r="AG3" s="77" t="s">
        <v>107</v>
      </c>
      <c r="AI3" s="79" t="s">
        <v>98</v>
      </c>
      <c r="AJ3" s="73" t="s">
        <v>99</v>
      </c>
      <c r="AK3" s="73" t="s">
        <v>100</v>
      </c>
      <c r="AL3" s="73" t="s">
        <v>101</v>
      </c>
      <c r="AM3" s="73" t="s">
        <v>102</v>
      </c>
      <c r="AN3" s="73" t="s">
        <v>103</v>
      </c>
      <c r="AO3" s="73" t="s">
        <v>104</v>
      </c>
      <c r="AQ3" s="79" t="s">
        <v>98</v>
      </c>
      <c r="AR3" s="73" t="s">
        <v>99</v>
      </c>
      <c r="AS3" s="73" t="s">
        <v>100</v>
      </c>
      <c r="AT3" s="73" t="s">
        <v>101</v>
      </c>
      <c r="AU3" s="73" t="s">
        <v>102</v>
      </c>
      <c r="AV3" s="73" t="s">
        <v>103</v>
      </c>
      <c r="AW3" s="73" t="s">
        <v>104</v>
      </c>
    </row>
    <row r="4" spans="1:49" ht="131.25">
      <c r="A4" s="73">
        <f>ROW()-3</f>
        <v>1</v>
      </c>
      <c r="B4" s="125" t="s">
        <v>108</v>
      </c>
      <c r="C4" s="126" t="s">
        <v>271</v>
      </c>
      <c r="D4" s="79" t="s">
        <v>270</v>
      </c>
      <c r="E4" s="125" t="s">
        <v>279</v>
      </c>
      <c r="F4" s="83">
        <f>N4</f>
        <v>1.5</v>
      </c>
      <c r="G4" s="84">
        <f>SUM(F4:F4)</f>
        <v>1.5</v>
      </c>
      <c r="H4" s="85">
        <f>SUM(W4:W4)+SUM(Y4:Y4)</f>
        <v>1.8</v>
      </c>
      <c r="I4" s="86"/>
      <c r="J4" s="86"/>
      <c r="K4" s="86"/>
      <c r="L4" s="86">
        <v>1</v>
      </c>
      <c r="M4" s="86">
        <v>0.5</v>
      </c>
      <c r="N4" s="86">
        <f>SUM(I4:M4)</f>
        <v>1.5</v>
      </c>
      <c r="O4" s="87"/>
      <c r="P4" s="88">
        <f>ROUNDUP(I4/20,3)</f>
        <v>0</v>
      </c>
      <c r="Q4" s="88">
        <f>ROUNDUP(J4/20,3)</f>
        <v>0</v>
      </c>
      <c r="R4" s="88">
        <f>ROUNDUP(K4/20,3)</f>
        <v>0</v>
      </c>
      <c r="S4" s="88">
        <f>ROUNDUP(L4/20,3)</f>
        <v>0.05</v>
      </c>
      <c r="T4" s="88">
        <f>ROUNDUP(M4/20,3)</f>
        <v>2.5000000000000001E-2</v>
      </c>
      <c r="U4" s="88">
        <f>SUM(P4:T4)</f>
        <v>7.5000000000000011E-2</v>
      </c>
      <c r="V4" s="89"/>
      <c r="W4" s="90">
        <f>N4</f>
        <v>1.5</v>
      </c>
      <c r="X4" s="142">
        <f>W4*$X$2</f>
        <v>75000</v>
      </c>
      <c r="Y4" s="90">
        <f>ROUNDUP(W4*0.2,2)</f>
        <v>0.3</v>
      </c>
      <c r="Z4" s="142">
        <f>ROUNDUP(Y4*$Z$2,-3)</f>
        <v>21000</v>
      </c>
      <c r="AA4" s="142">
        <f>SUM(X4,Z4)</f>
        <v>96000</v>
      </c>
      <c r="AC4" s="118">
        <f>ROUNDUP(U4,2)</f>
        <v>0.08</v>
      </c>
      <c r="AD4" s="142">
        <f>AC4*$AD$2</f>
        <v>80000</v>
      </c>
      <c r="AE4" s="118">
        <f>ROUNDUP(AC4*0.2,2)</f>
        <v>0.02</v>
      </c>
      <c r="AF4" s="142">
        <f>AE4*$AF$2</f>
        <v>28000</v>
      </c>
      <c r="AG4" s="142">
        <f>SUM(AD4,AF4)</f>
        <v>108000</v>
      </c>
      <c r="AI4" s="90">
        <f>SUM(I4:I4)</f>
        <v>0</v>
      </c>
      <c r="AJ4" s="90">
        <f>SUM(J4:J4)</f>
        <v>0</v>
      </c>
      <c r="AK4" s="90">
        <f>SUM(K4:K4)</f>
        <v>0</v>
      </c>
      <c r="AL4" s="90">
        <f>SUM(L4:L4)</f>
        <v>1</v>
      </c>
      <c r="AM4" s="90">
        <f>SUM(M4:M4)</f>
        <v>0.5</v>
      </c>
      <c r="AN4" s="90" t="e">
        <f>SUM(#REF!)</f>
        <v>#REF!</v>
      </c>
      <c r="AO4" s="90">
        <f>SUM(N4:N4)</f>
        <v>1.5</v>
      </c>
      <c r="AQ4" s="90">
        <f>SUM(P4:P4)</f>
        <v>0</v>
      </c>
      <c r="AR4" s="90">
        <f>SUM(Q4:Q4)</f>
        <v>0</v>
      </c>
      <c r="AS4" s="90">
        <f>SUM(R4:R4)</f>
        <v>0</v>
      </c>
      <c r="AT4" s="90">
        <f>SUM(S4:S4)</f>
        <v>0.05</v>
      </c>
      <c r="AU4" s="90">
        <f>SUM(T4:T4)</f>
        <v>2.5000000000000001E-2</v>
      </c>
      <c r="AV4" s="90" t="e">
        <f>SUM(#REF!)</f>
        <v>#REF!</v>
      </c>
      <c r="AW4" s="90">
        <f>SUM(U4:U4)</f>
        <v>7.5000000000000011E-2</v>
      </c>
    </row>
    <row r="5" spans="1:49" ht="112.5">
      <c r="A5" s="137">
        <f>ROW()-3</f>
        <v>2</v>
      </c>
      <c r="B5" s="138"/>
      <c r="C5" s="144"/>
      <c r="D5" s="140" t="s">
        <v>251</v>
      </c>
      <c r="E5" s="145" t="s">
        <v>249</v>
      </c>
      <c r="F5" s="83">
        <f>N5</f>
        <v>1</v>
      </c>
      <c r="G5" s="83"/>
      <c r="H5" s="95"/>
      <c r="I5" s="86"/>
      <c r="J5" s="86"/>
      <c r="K5" s="86"/>
      <c r="L5" s="86">
        <v>0.5</v>
      </c>
      <c r="M5" s="86">
        <v>0.5</v>
      </c>
      <c r="N5" s="86">
        <f>SUM(I5:M5)</f>
        <v>1</v>
      </c>
      <c r="O5" s="87"/>
      <c r="P5" s="88">
        <f>ROUNDUP(I5/20,3)</f>
        <v>0</v>
      </c>
      <c r="Q5" s="88">
        <f>ROUNDUP(J5/20,3)</f>
        <v>0</v>
      </c>
      <c r="R5" s="88">
        <f>ROUNDUP(K5/20,3)</f>
        <v>0</v>
      </c>
      <c r="S5" s="88">
        <f>ROUNDUP(L5/20,3)</f>
        <v>2.5000000000000001E-2</v>
      </c>
      <c r="T5" s="88">
        <f>ROUNDUP(M5/20,3)</f>
        <v>2.5000000000000001E-2</v>
      </c>
      <c r="U5" s="88">
        <f>SUM(P5:T5)</f>
        <v>0.05</v>
      </c>
      <c r="V5" s="89"/>
      <c r="W5" s="90">
        <f>N5</f>
        <v>1</v>
      </c>
      <c r="X5" s="142">
        <f>W5*$X$2</f>
        <v>50000</v>
      </c>
      <c r="Y5" s="90">
        <f>ROUNDUP(W5*0.2,2)</f>
        <v>0.2</v>
      </c>
      <c r="Z5" s="142">
        <f>ROUNDUP(Y5*$Z$2,-3)</f>
        <v>14000</v>
      </c>
      <c r="AA5" s="142">
        <f>SUM(X5,Z5)</f>
        <v>64000</v>
      </c>
      <c r="AC5" s="118">
        <f>U5</f>
        <v>0.05</v>
      </c>
      <c r="AD5" s="142">
        <f>AC5*$AD$2</f>
        <v>50000</v>
      </c>
      <c r="AE5" s="118">
        <f>ROUNDUP(AC5*0.2,2)</f>
        <v>0.01</v>
      </c>
      <c r="AF5" s="142">
        <f>AE5*$AF$2</f>
        <v>14000</v>
      </c>
      <c r="AG5" s="142">
        <f>ROUNDUP(SUM(AD5,AF5),-3)</f>
        <v>64000</v>
      </c>
      <c r="AI5" s="90"/>
      <c r="AJ5" s="90"/>
      <c r="AK5" s="90"/>
      <c r="AL5" s="90"/>
      <c r="AM5" s="90"/>
      <c r="AN5" s="90"/>
      <c r="AO5" s="90"/>
      <c r="AQ5" s="90"/>
      <c r="AR5" s="90"/>
      <c r="AS5" s="90"/>
      <c r="AT5" s="90"/>
      <c r="AU5" s="90"/>
      <c r="AV5" s="90"/>
      <c r="AW5" s="90"/>
    </row>
    <row r="6" spans="1:49" ht="225">
      <c r="A6" s="137">
        <f>ROW()-3</f>
        <v>3</v>
      </c>
      <c r="B6" s="138"/>
      <c r="C6" s="144"/>
      <c r="D6" s="140" t="s">
        <v>256</v>
      </c>
      <c r="E6" s="145" t="s">
        <v>250</v>
      </c>
      <c r="F6" s="83">
        <f>N6</f>
        <v>1</v>
      </c>
      <c r="G6" s="83"/>
      <c r="H6" s="95"/>
      <c r="I6" s="86"/>
      <c r="J6" s="86"/>
      <c r="K6" s="86"/>
      <c r="L6" s="86">
        <v>0.5</v>
      </c>
      <c r="M6" s="86">
        <v>0.5</v>
      </c>
      <c r="N6" s="86">
        <f>SUM(I6:M6)</f>
        <v>1</v>
      </c>
      <c r="O6" s="87"/>
      <c r="P6" s="88">
        <f>ROUNDUP(I6/20,3)</f>
        <v>0</v>
      </c>
      <c r="Q6" s="88">
        <f>ROUNDUP(J6/20,3)</f>
        <v>0</v>
      </c>
      <c r="R6" s="88">
        <f>ROUNDUP(K6/20,3)</f>
        <v>0</v>
      </c>
      <c r="S6" s="88">
        <f>ROUNDUP(L6/20,3)</f>
        <v>2.5000000000000001E-2</v>
      </c>
      <c r="T6" s="88">
        <f>ROUNDUP(M6/20,3)</f>
        <v>2.5000000000000001E-2</v>
      </c>
      <c r="U6" s="88">
        <f>SUM(P6:T6)</f>
        <v>0.05</v>
      </c>
      <c r="V6" s="89"/>
      <c r="W6" s="90">
        <f>N6</f>
        <v>1</v>
      </c>
      <c r="X6" s="142">
        <f>W6*$X$2</f>
        <v>50000</v>
      </c>
      <c r="Y6" s="90">
        <f>ROUNDUP(W6*0.2,2)</f>
        <v>0.2</v>
      </c>
      <c r="Z6" s="142">
        <f>ROUNDUP(Y6*$Z$2,-3)</f>
        <v>14000</v>
      </c>
      <c r="AA6" s="142">
        <f>SUM(X6,Z6)</f>
        <v>64000</v>
      </c>
      <c r="AC6" s="118">
        <f>U6</f>
        <v>0.05</v>
      </c>
      <c r="AD6" s="142">
        <f>AC6*$AD$2</f>
        <v>50000</v>
      </c>
      <c r="AE6" s="118">
        <f>ROUNDUP(AC6*0.2,2)</f>
        <v>0.01</v>
      </c>
      <c r="AF6" s="142">
        <f>AE6*$AF$2</f>
        <v>14000</v>
      </c>
      <c r="AG6" s="142">
        <f>ROUNDUP(SUM(AD6,AF6),-3)</f>
        <v>64000</v>
      </c>
      <c r="AI6" s="90"/>
      <c r="AJ6" s="90"/>
      <c r="AK6" s="90"/>
      <c r="AL6" s="90"/>
      <c r="AM6" s="90"/>
      <c r="AN6" s="90"/>
      <c r="AO6" s="90"/>
      <c r="AQ6" s="90"/>
      <c r="AR6" s="90"/>
      <c r="AS6" s="90"/>
      <c r="AT6" s="90"/>
      <c r="AU6" s="90"/>
      <c r="AV6" s="90"/>
      <c r="AW6" s="90"/>
    </row>
    <row r="7" spans="1:49" ht="18.75">
      <c r="A7" s="96" t="s">
        <v>109</v>
      </c>
      <c r="B7" s="97"/>
      <c r="C7" s="98"/>
      <c r="D7" s="98"/>
      <c r="E7" s="98"/>
      <c r="F7" s="99"/>
      <c r="V7" s="89" t="s">
        <v>304</v>
      </c>
      <c r="W7" s="90">
        <v>2</v>
      </c>
      <c r="X7" s="142">
        <f>W7*$X$2</f>
        <v>100000</v>
      </c>
      <c r="Y7" s="90">
        <f>ROUNDUP(W7*0.2,2)</f>
        <v>0.4</v>
      </c>
      <c r="Z7" s="142">
        <f>ROUNDUP(Y7*$Z$2,-3)</f>
        <v>28000</v>
      </c>
      <c r="AA7" s="142">
        <f>SUM(X7,Z7)</f>
        <v>128000</v>
      </c>
      <c r="AC7" s="118">
        <f>ROUNDUP(W7/20,3)</f>
        <v>0.1</v>
      </c>
      <c r="AD7" s="142">
        <f>AC7*$AD$2</f>
        <v>100000</v>
      </c>
      <c r="AE7" s="118">
        <f>ROUNDUP(AC7*0.2,2)</f>
        <v>0.02</v>
      </c>
      <c r="AF7" s="146">
        <f>AE7*$AF$2</f>
        <v>28000</v>
      </c>
      <c r="AG7" s="142">
        <f>SUM(AD7,AF7)</f>
        <v>128000</v>
      </c>
    </row>
    <row r="8" spans="1:49" ht="18.75">
      <c r="A8" s="96" t="s">
        <v>109</v>
      </c>
      <c r="B8" s="97"/>
      <c r="C8" s="98"/>
      <c r="D8" s="98"/>
      <c r="E8" s="98"/>
      <c r="F8" s="99"/>
      <c r="V8" s="89" t="s">
        <v>305</v>
      </c>
      <c r="W8" s="90">
        <v>1.5</v>
      </c>
      <c r="X8" s="142">
        <f>W8*$X$2</f>
        <v>75000</v>
      </c>
      <c r="Y8" s="90">
        <f>ROUNDUP(W8*0.2,2)</f>
        <v>0.3</v>
      </c>
      <c r="Z8" s="142">
        <f>ROUNDUP(Y8*$Z$2,-3)</f>
        <v>21000</v>
      </c>
      <c r="AA8" s="142">
        <f>SUM(X8,Z8)</f>
        <v>96000</v>
      </c>
      <c r="AC8" s="118">
        <f>ROUNDUP(W8/20,3)</f>
        <v>7.4999999999999997E-2</v>
      </c>
      <c r="AD8" s="142">
        <f>AC8*$AD$2</f>
        <v>75000</v>
      </c>
      <c r="AE8" s="118">
        <f>ROUNDUP(AC8*0.2,2)</f>
        <v>0.02</v>
      </c>
      <c r="AF8" s="146">
        <f>AE8*$AF$2</f>
        <v>28000</v>
      </c>
      <c r="AG8" s="142">
        <f>SUM(AD8,AF8)</f>
        <v>103000</v>
      </c>
    </row>
    <row r="9" spans="1:49" ht="18.75">
      <c r="A9" s="96" t="s">
        <v>109</v>
      </c>
      <c r="B9" s="97"/>
      <c r="C9" s="98"/>
      <c r="D9" s="98"/>
      <c r="E9" s="98"/>
      <c r="F9" s="99"/>
      <c r="V9" s="89" t="s">
        <v>103</v>
      </c>
      <c r="W9" s="90">
        <v>2</v>
      </c>
      <c r="X9" s="142">
        <f>W9*$X$2</f>
        <v>100000</v>
      </c>
      <c r="Y9" s="90">
        <f>ROUNDUP(W9*0.2,2)</f>
        <v>0.4</v>
      </c>
      <c r="Z9" s="142">
        <f>ROUNDUP(Y9*$Z$2,-3)</f>
        <v>28000</v>
      </c>
      <c r="AA9" s="142">
        <f>SUM(X9,Z9)</f>
        <v>128000</v>
      </c>
      <c r="AC9" s="118">
        <f>ROUNDUP(W9/20,3)</f>
        <v>0.1</v>
      </c>
      <c r="AD9" s="142">
        <f>AC9*$AD$2</f>
        <v>100000</v>
      </c>
      <c r="AE9" s="118">
        <f>ROUNDUP(AC9*0.2,2)</f>
        <v>0.02</v>
      </c>
      <c r="AF9" s="146">
        <f>AE9*$AF$2</f>
        <v>28000</v>
      </c>
      <c r="AG9" s="142">
        <f>SUM(AD9,AF9)</f>
        <v>128000</v>
      </c>
    </row>
    <row r="10" spans="1:49" ht="19.5" thickBot="1">
      <c r="A10" s="100"/>
      <c r="F10" s="101"/>
      <c r="V10" s="120" t="s">
        <v>205</v>
      </c>
      <c r="W10" s="123">
        <v>7</v>
      </c>
      <c r="X10" s="142">
        <f>W10*$X$2</f>
        <v>350000</v>
      </c>
      <c r="Y10" s="90">
        <f>ROUNDUP(W10*0.2,2)</f>
        <v>1.4</v>
      </c>
      <c r="Z10" s="142">
        <f>ROUNDUP(Y10*$Z$2,-3)</f>
        <v>98000</v>
      </c>
      <c r="AA10" s="146">
        <f>SUM(X10,Z10)</f>
        <v>448000</v>
      </c>
      <c r="AC10" s="162">
        <f>ROUNDUP(W10/20,3)</f>
        <v>0.35</v>
      </c>
      <c r="AD10" s="146">
        <f>AC10*$AD$2</f>
        <v>350000</v>
      </c>
      <c r="AE10" s="162">
        <f>ROUNDUP(AC10*0.2,2)</f>
        <v>7.0000000000000007E-2</v>
      </c>
      <c r="AF10" s="146">
        <f>AE10*$AF$2</f>
        <v>98000.000000000015</v>
      </c>
      <c r="AG10" s="146">
        <f>SUM(AD10,AF10)</f>
        <v>448000</v>
      </c>
    </row>
    <row r="11" spans="1:49" ht="19.5" customHeight="1" thickBot="1">
      <c r="A11" s="100"/>
      <c r="B11" s="72" t="s">
        <v>111</v>
      </c>
      <c r="F11" s="101"/>
      <c r="AA11" s="230" t="s">
        <v>104</v>
      </c>
      <c r="AB11" s="231"/>
      <c r="AC11" s="166">
        <f>SUM(AC4:AC10)</f>
        <v>0.80500000000000005</v>
      </c>
      <c r="AD11" s="400">
        <f>SUM(AD4:AD10)</f>
        <v>805000</v>
      </c>
      <c r="AE11" s="166">
        <f>ROUNDUP(SUM(AE4:AE10),2)</f>
        <v>0.17</v>
      </c>
      <c r="AF11" s="400">
        <f>SUM(AF4:AF10)</f>
        <v>238000</v>
      </c>
      <c r="AG11" s="167">
        <f>SUM(AG4:AG10)</f>
        <v>1043000</v>
      </c>
    </row>
    <row r="12" spans="1:49" ht="19.5" thickBot="1">
      <c r="A12" s="100"/>
      <c r="B12" s="72" t="s">
        <v>112</v>
      </c>
      <c r="F12" s="101"/>
      <c r="W12" s="119"/>
      <c r="AD12" s="163" t="s">
        <v>267</v>
      </c>
      <c r="AE12" s="164">
        <f>SUM(AC11,AE11)</f>
        <v>0.97500000000000009</v>
      </c>
    </row>
    <row r="13" spans="1:49" ht="18.75">
      <c r="A13" s="100"/>
      <c r="B13" s="72" t="s">
        <v>113</v>
      </c>
      <c r="F13" s="101"/>
    </row>
    <row r="14" spans="1:49" ht="18.75">
      <c r="A14" s="100"/>
      <c r="B14" s="69" t="s">
        <v>114</v>
      </c>
      <c r="F14" s="101"/>
    </row>
    <row r="15" spans="1:49" s="69" customFormat="1" ht="18.75">
      <c r="A15" s="100"/>
      <c r="B15" s="69" t="s">
        <v>115</v>
      </c>
      <c r="C15" s="70"/>
      <c r="D15" s="70"/>
      <c r="E15" s="70"/>
      <c r="F15" s="101"/>
      <c r="G15" s="71"/>
      <c r="H15" s="71"/>
    </row>
    <row r="16" spans="1:49" s="69" customFormat="1" ht="18.75">
      <c r="A16" s="100"/>
      <c r="B16" s="69" t="s">
        <v>116</v>
      </c>
      <c r="C16" s="70"/>
      <c r="D16" s="70"/>
      <c r="E16" s="70"/>
      <c r="F16" s="101"/>
      <c r="H16" s="71"/>
      <c r="I16" s="71"/>
    </row>
  </sheetData>
  <mergeCells count="8">
    <mergeCell ref="AA11:AB11"/>
    <mergeCell ref="W1:AA1"/>
    <mergeCell ref="AC1:AG1"/>
    <mergeCell ref="AI1:AW1"/>
    <mergeCell ref="I2:N2"/>
    <mergeCell ref="P2:U2"/>
    <mergeCell ref="AI2:AO2"/>
    <mergeCell ref="AQ2:AW2"/>
  </mergeCells>
  <phoneticPr fontId="3"/>
  <pageMargins left="0.7" right="0.7" top="0.75" bottom="0.75" header="0.3" footer="0.3"/>
  <legacy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52C4F9-FCA0-4E6D-B614-9875C3B5DD0A}">
  <sheetPr>
    <tabColor rgb="FFFF0000"/>
  </sheetPr>
  <dimension ref="A1:BA16"/>
  <sheetViews>
    <sheetView showGridLines="0" zoomScale="70" zoomScaleNormal="70" workbookViewId="0">
      <pane xSplit="5" ySplit="3" topLeftCell="F4" activePane="bottomRight" state="frozen"/>
      <selection pane="topRight" activeCell="F1" sqref="F1"/>
      <selection pane="bottomLeft" activeCell="A4" sqref="A4"/>
      <selection pane="bottomRight" activeCell="AI19" sqref="AI19"/>
    </sheetView>
  </sheetViews>
  <sheetFormatPr defaultRowHeight="18.75" outlineLevelCol="1"/>
  <cols>
    <col min="1" max="1" width="4.375" style="72" bestFit="1" customWidth="1"/>
    <col min="2" max="2" width="19.875" style="69" customWidth="1"/>
    <col min="3" max="3" width="17.625" style="70" customWidth="1"/>
    <col min="4" max="4" width="27.5" style="70" bestFit="1" customWidth="1"/>
    <col min="5" max="5" width="112.5" style="70" customWidth="1"/>
    <col min="6" max="8" width="9.625" style="71" customWidth="1"/>
    <col min="9" max="15" width="9.625" style="69" customWidth="1" outlineLevel="1"/>
    <col min="16" max="16" width="1.625" style="69" customWidth="1"/>
    <col min="17" max="23" width="9.625" style="69" customWidth="1" outlineLevel="1"/>
    <col min="24" max="24" width="13.875" style="69" customWidth="1"/>
    <col min="25" max="25" width="9.625" style="69" customWidth="1" outlineLevel="1"/>
    <col min="26" max="26" width="14.125" style="69" customWidth="1" outlineLevel="1"/>
    <col min="27" max="27" width="9.625" style="69" customWidth="1" outlineLevel="1"/>
    <col min="28" max="29" width="14.125" style="69" customWidth="1" outlineLevel="1"/>
    <col min="30" max="30" width="2.625" style="69" customWidth="1"/>
    <col min="31" max="31" width="9.625" style="69" customWidth="1" outlineLevel="1"/>
    <col min="32" max="32" width="14.125" style="69" customWidth="1" outlineLevel="1"/>
    <col min="33" max="34" width="9.625" style="69" customWidth="1" outlineLevel="1"/>
    <col min="35" max="36" width="14.125" style="69" customWidth="1" outlineLevel="1"/>
    <col min="37" max="37" width="5" style="69" customWidth="1"/>
    <col min="38" max="44" width="9.625" style="69" hidden="1" customWidth="1" outlineLevel="1"/>
    <col min="45" max="45" width="3.625" style="69" customWidth="1" collapsed="1"/>
    <col min="46" max="52" width="9" style="69" hidden="1" customWidth="1" outlineLevel="1"/>
    <col min="53" max="53" width="9" bestFit="1" customWidth="1" collapsed="1"/>
  </cols>
  <sheetData>
    <row r="1" spans="1:52" ht="22.5" customHeight="1">
      <c r="A1" s="68" t="s">
        <v>84</v>
      </c>
      <c r="Y1" s="232" t="s">
        <v>85</v>
      </c>
      <c r="Z1" s="232"/>
      <c r="AA1" s="232"/>
      <c r="AB1" s="232"/>
      <c r="AC1" s="232"/>
      <c r="AE1" s="233" t="s">
        <v>86</v>
      </c>
      <c r="AF1" s="233"/>
      <c r="AG1" s="233"/>
      <c r="AH1" s="233"/>
      <c r="AI1" s="233"/>
      <c r="AJ1" s="233"/>
      <c r="AL1" s="234" t="s">
        <v>87</v>
      </c>
      <c r="AM1" s="234"/>
      <c r="AN1" s="234"/>
      <c r="AO1" s="234"/>
      <c r="AP1" s="234"/>
      <c r="AQ1" s="234"/>
      <c r="AR1" s="234"/>
      <c r="AS1" s="234"/>
      <c r="AT1" s="234"/>
      <c r="AU1" s="234"/>
      <c r="AV1" s="234"/>
      <c r="AW1" s="234"/>
      <c r="AX1" s="234"/>
      <c r="AY1" s="234"/>
      <c r="AZ1" s="234"/>
    </row>
    <row r="2" spans="1:52">
      <c r="I2" s="232" t="s">
        <v>85</v>
      </c>
      <c r="J2" s="232"/>
      <c r="K2" s="232"/>
      <c r="L2" s="232"/>
      <c r="M2" s="232"/>
      <c r="N2" s="232"/>
      <c r="O2" s="232"/>
      <c r="Q2" s="233" t="s">
        <v>86</v>
      </c>
      <c r="R2" s="233"/>
      <c r="S2" s="233"/>
      <c r="T2" s="233"/>
      <c r="U2" s="233"/>
      <c r="V2" s="233"/>
      <c r="W2" s="233"/>
      <c r="Y2" s="73" t="s">
        <v>88</v>
      </c>
      <c r="Z2" s="74">
        <v>50000</v>
      </c>
      <c r="AA2" s="73" t="s">
        <v>89</v>
      </c>
      <c r="AB2" s="74">
        <v>70000</v>
      </c>
      <c r="AC2" s="73"/>
      <c r="AE2" s="73" t="s">
        <v>88</v>
      </c>
      <c r="AF2" s="74">
        <v>1000000</v>
      </c>
      <c r="AG2" s="73" t="s">
        <v>89</v>
      </c>
      <c r="AH2" s="73"/>
      <c r="AI2" s="74">
        <v>1400000</v>
      </c>
      <c r="AJ2" s="73"/>
      <c r="AL2" s="235" t="s">
        <v>85</v>
      </c>
      <c r="AM2" s="235"/>
      <c r="AN2" s="235"/>
      <c r="AO2" s="235"/>
      <c r="AP2" s="235"/>
      <c r="AQ2" s="235"/>
      <c r="AR2" s="235"/>
      <c r="AT2" s="236" t="s">
        <v>86</v>
      </c>
      <c r="AU2" s="236"/>
      <c r="AV2" s="236"/>
      <c r="AW2" s="236"/>
      <c r="AX2" s="236"/>
      <c r="AY2" s="236"/>
      <c r="AZ2" s="236"/>
    </row>
    <row r="3" spans="1:52" ht="72">
      <c r="A3" s="75" t="s">
        <v>90</v>
      </c>
      <c r="B3" s="76" t="s">
        <v>91</v>
      </c>
      <c r="C3" s="76" t="s">
        <v>92</v>
      </c>
      <c r="D3" s="76" t="s">
        <v>93</v>
      </c>
      <c r="E3" s="76" t="s">
        <v>94</v>
      </c>
      <c r="F3" s="77" t="s">
        <v>95</v>
      </c>
      <c r="G3" s="78" t="s">
        <v>96</v>
      </c>
      <c r="H3" s="78" t="s">
        <v>97</v>
      </c>
      <c r="I3" s="79" t="s">
        <v>98</v>
      </c>
      <c r="J3" s="73" t="s">
        <v>99</v>
      </c>
      <c r="K3" s="73" t="s">
        <v>100</v>
      </c>
      <c r="L3" s="73" t="s">
        <v>101</v>
      </c>
      <c r="M3" s="73" t="s">
        <v>102</v>
      </c>
      <c r="N3" s="73" t="s">
        <v>103</v>
      </c>
      <c r="O3" s="73" t="s">
        <v>104</v>
      </c>
      <c r="Q3" s="79" t="s">
        <v>98</v>
      </c>
      <c r="R3" s="73" t="s">
        <v>99</v>
      </c>
      <c r="S3" s="73" t="s">
        <v>100</v>
      </c>
      <c r="T3" s="73" t="s">
        <v>101</v>
      </c>
      <c r="U3" s="73" t="s">
        <v>102</v>
      </c>
      <c r="V3" s="73" t="s">
        <v>103</v>
      </c>
      <c r="W3" s="73" t="s">
        <v>104</v>
      </c>
      <c r="X3" s="80" t="s">
        <v>105</v>
      </c>
      <c r="Y3" s="77" t="s">
        <v>85</v>
      </c>
      <c r="Z3" s="77" t="s">
        <v>106</v>
      </c>
      <c r="AA3" s="77" t="s">
        <v>85</v>
      </c>
      <c r="AB3" s="77" t="s">
        <v>106</v>
      </c>
      <c r="AC3" s="77" t="s">
        <v>107</v>
      </c>
      <c r="AD3" s="81"/>
      <c r="AE3" s="77" t="s">
        <v>86</v>
      </c>
      <c r="AF3" s="77" t="s">
        <v>106</v>
      </c>
      <c r="AG3" s="77" t="s">
        <v>86</v>
      </c>
      <c r="AH3" s="77"/>
      <c r="AI3" s="77" t="s">
        <v>106</v>
      </c>
      <c r="AJ3" s="77" t="s">
        <v>107</v>
      </c>
      <c r="AL3" s="79" t="s">
        <v>98</v>
      </c>
      <c r="AM3" s="73" t="s">
        <v>99</v>
      </c>
      <c r="AN3" s="73" t="s">
        <v>100</v>
      </c>
      <c r="AO3" s="73" t="s">
        <v>101</v>
      </c>
      <c r="AP3" s="73" t="s">
        <v>102</v>
      </c>
      <c r="AQ3" s="73" t="s">
        <v>103</v>
      </c>
      <c r="AR3" s="73" t="s">
        <v>104</v>
      </c>
      <c r="AT3" s="79" t="s">
        <v>98</v>
      </c>
      <c r="AU3" s="73" t="s">
        <v>99</v>
      </c>
      <c r="AV3" s="73" t="s">
        <v>100</v>
      </c>
      <c r="AW3" s="73" t="s">
        <v>101</v>
      </c>
      <c r="AX3" s="73" t="s">
        <v>102</v>
      </c>
      <c r="AY3" s="73" t="s">
        <v>103</v>
      </c>
      <c r="AZ3" s="73" t="s">
        <v>104</v>
      </c>
    </row>
    <row r="4" spans="1:52" ht="56.25">
      <c r="A4" s="73">
        <f>ROW()-3</f>
        <v>1</v>
      </c>
      <c r="B4" s="125" t="s">
        <v>108</v>
      </c>
      <c r="C4" s="126" t="s">
        <v>216</v>
      </c>
      <c r="D4" s="79" t="s">
        <v>208</v>
      </c>
      <c r="E4" s="125" t="s">
        <v>215</v>
      </c>
      <c r="F4" s="83">
        <f>O4</f>
        <v>7</v>
      </c>
      <c r="G4" s="84">
        <f>SUM(F4:F8)</f>
        <v>26.5</v>
      </c>
      <c r="H4" s="85">
        <f>SUM(Y4:Y7)+SUM(AA4:AA7)</f>
        <v>19.8</v>
      </c>
      <c r="I4" s="86">
        <v>0.5</v>
      </c>
      <c r="J4" s="86">
        <v>1</v>
      </c>
      <c r="K4" s="86">
        <v>2</v>
      </c>
      <c r="L4" s="86">
        <v>1</v>
      </c>
      <c r="M4" s="86">
        <v>0.5</v>
      </c>
      <c r="N4" s="86">
        <v>2</v>
      </c>
      <c r="O4" s="86">
        <f>SUM(I4:N4)</f>
        <v>7</v>
      </c>
      <c r="P4" s="87"/>
      <c r="Q4" s="88">
        <f t="shared" ref="Q4:V8" si="0">ROUNDUP(I4/20,3)</f>
        <v>2.5000000000000001E-2</v>
      </c>
      <c r="R4" s="88">
        <f t="shared" si="0"/>
        <v>0.05</v>
      </c>
      <c r="S4" s="88">
        <f t="shared" si="0"/>
        <v>0.1</v>
      </c>
      <c r="T4" s="88">
        <f t="shared" si="0"/>
        <v>0.05</v>
      </c>
      <c r="U4" s="88">
        <f t="shared" si="0"/>
        <v>2.5000000000000001E-2</v>
      </c>
      <c r="V4" s="88">
        <f t="shared" si="0"/>
        <v>0.1</v>
      </c>
      <c r="W4" s="88">
        <f>SUM(Q4:V4)</f>
        <v>0.35000000000000009</v>
      </c>
      <c r="X4" s="89"/>
      <c r="Y4" s="90">
        <f>O4</f>
        <v>7</v>
      </c>
      <c r="Z4" s="142">
        <f t="shared" ref="Z4:Z9" si="1">Y4*$Z$2</f>
        <v>350000</v>
      </c>
      <c r="AA4" s="90">
        <f t="shared" ref="AA4:AA9" si="2">ROUNDUP(Y4*0.2,2)</f>
        <v>1.4</v>
      </c>
      <c r="AB4" s="142">
        <f t="shared" ref="AB4:AB9" si="3">ROUNDUP(AA4*$AB$2,-3)</f>
        <v>98000</v>
      </c>
      <c r="AC4" s="142">
        <f t="shared" ref="AC4:AC9" si="4">SUM(Z4,AB4)</f>
        <v>448000</v>
      </c>
      <c r="AE4" s="118">
        <f>ROUNDUP(W4,2)</f>
        <v>0.35</v>
      </c>
      <c r="AF4" s="142">
        <f t="shared" ref="AF4:AF9" si="5">AE4*$AF$2</f>
        <v>350000</v>
      </c>
      <c r="AG4" s="118">
        <f t="shared" ref="AG4:AG9" si="6">ROUNDUP(AE4*0.2,3)</f>
        <v>7.0000000000000007E-2</v>
      </c>
      <c r="AH4" s="118">
        <f t="shared" ref="AH4:AH9" si="7">SUM(AE4,AG4)</f>
        <v>0.42</v>
      </c>
      <c r="AI4" s="142">
        <f t="shared" ref="AI4:AI9" si="8">AG4*$AI$2</f>
        <v>98000.000000000015</v>
      </c>
      <c r="AJ4" s="142">
        <f t="shared" ref="AJ4:AJ9" si="9">ROUNDUP(SUM(AF4,AI4),-3)</f>
        <v>448000</v>
      </c>
      <c r="AL4" s="90">
        <f t="shared" ref="AL4:AR4" si="10">SUM(I4:I7)</f>
        <v>2</v>
      </c>
      <c r="AM4" s="90">
        <f t="shared" si="10"/>
        <v>3.5</v>
      </c>
      <c r="AN4" s="90">
        <f t="shared" si="10"/>
        <v>4.5</v>
      </c>
      <c r="AO4" s="90">
        <f t="shared" si="10"/>
        <v>2.5</v>
      </c>
      <c r="AP4" s="90">
        <f t="shared" si="10"/>
        <v>2</v>
      </c>
      <c r="AQ4" s="90">
        <f t="shared" si="10"/>
        <v>2</v>
      </c>
      <c r="AR4" s="90">
        <f t="shared" si="10"/>
        <v>16.5</v>
      </c>
      <c r="AT4" s="90">
        <f t="shared" ref="AT4:AZ4" si="11">SUM(Q4:Q7)</f>
        <v>0.1</v>
      </c>
      <c r="AU4" s="90">
        <f t="shared" si="11"/>
        <v>0.17500000000000002</v>
      </c>
      <c r="AV4" s="90">
        <f t="shared" si="11"/>
        <v>0.22500000000000001</v>
      </c>
      <c r="AW4" s="90">
        <f t="shared" si="11"/>
        <v>0.125</v>
      </c>
      <c r="AX4" s="90">
        <f t="shared" si="11"/>
        <v>0.1</v>
      </c>
      <c r="AY4" s="90">
        <f t="shared" si="11"/>
        <v>0.1</v>
      </c>
      <c r="AZ4" s="90">
        <f t="shared" si="11"/>
        <v>0.82500000000000018</v>
      </c>
    </row>
    <row r="5" spans="1:52" ht="56.25">
      <c r="A5" s="73">
        <f>ROW()-3</f>
        <v>2</v>
      </c>
      <c r="B5" s="127"/>
      <c r="C5" s="143"/>
      <c r="D5" s="79" t="s">
        <v>209</v>
      </c>
      <c r="E5" s="125" t="s">
        <v>212</v>
      </c>
      <c r="F5" s="83">
        <f>O5</f>
        <v>3.5</v>
      </c>
      <c r="G5" s="92"/>
      <c r="H5" s="93"/>
      <c r="I5" s="86">
        <v>0.5</v>
      </c>
      <c r="J5" s="86">
        <v>1</v>
      </c>
      <c r="K5" s="86">
        <v>1</v>
      </c>
      <c r="L5" s="86">
        <v>0.5</v>
      </c>
      <c r="M5" s="86">
        <v>0.5</v>
      </c>
      <c r="N5" s="94">
        <v>0</v>
      </c>
      <c r="O5" s="86">
        <f>SUM(I5:N5)</f>
        <v>3.5</v>
      </c>
      <c r="P5" s="87"/>
      <c r="Q5" s="88">
        <f t="shared" si="0"/>
        <v>2.5000000000000001E-2</v>
      </c>
      <c r="R5" s="88">
        <f t="shared" si="0"/>
        <v>0.05</v>
      </c>
      <c r="S5" s="88">
        <f t="shared" si="0"/>
        <v>0.05</v>
      </c>
      <c r="T5" s="88">
        <f t="shared" si="0"/>
        <v>2.5000000000000001E-2</v>
      </c>
      <c r="U5" s="88">
        <f t="shared" si="0"/>
        <v>2.5000000000000001E-2</v>
      </c>
      <c r="V5" s="88">
        <f t="shared" si="0"/>
        <v>0</v>
      </c>
      <c r="W5" s="88">
        <f>SUM(Q5:V5)</f>
        <v>0.17499999999999999</v>
      </c>
      <c r="X5" s="89"/>
      <c r="Y5" s="90">
        <f>O5</f>
        <v>3.5</v>
      </c>
      <c r="Z5" s="142">
        <f t="shared" si="1"/>
        <v>175000</v>
      </c>
      <c r="AA5" s="90">
        <f t="shared" si="2"/>
        <v>0.7</v>
      </c>
      <c r="AB5" s="142">
        <f t="shared" si="3"/>
        <v>49000</v>
      </c>
      <c r="AC5" s="142">
        <f t="shared" si="4"/>
        <v>224000</v>
      </c>
      <c r="AE5" s="118">
        <f>ROUNDUP(W5,2)</f>
        <v>0.18000000000000002</v>
      </c>
      <c r="AF5" s="142">
        <f t="shared" si="5"/>
        <v>180000.00000000003</v>
      </c>
      <c r="AG5" s="118">
        <f t="shared" si="6"/>
        <v>3.5999999999999997E-2</v>
      </c>
      <c r="AH5" s="118">
        <f t="shared" si="7"/>
        <v>0.21600000000000003</v>
      </c>
      <c r="AI5" s="142">
        <f t="shared" si="8"/>
        <v>50399.999999999993</v>
      </c>
      <c r="AJ5" s="142">
        <f t="shared" si="9"/>
        <v>231000</v>
      </c>
      <c r="AL5" s="90"/>
      <c r="AM5" s="90"/>
      <c r="AN5" s="90"/>
      <c r="AO5" s="90"/>
      <c r="AP5" s="90"/>
      <c r="AQ5" s="90"/>
      <c r="AR5" s="90"/>
      <c r="AT5" s="90"/>
      <c r="AU5" s="90"/>
      <c r="AV5" s="90"/>
      <c r="AW5" s="90"/>
      <c r="AX5" s="90"/>
      <c r="AY5" s="90"/>
      <c r="AZ5" s="90"/>
    </row>
    <row r="6" spans="1:52" ht="56.25">
      <c r="A6" s="73">
        <f>ROW()-3</f>
        <v>3</v>
      </c>
      <c r="B6" s="127"/>
      <c r="C6" s="143"/>
      <c r="D6" s="79" t="s">
        <v>210</v>
      </c>
      <c r="E6" s="125" t="s">
        <v>213</v>
      </c>
      <c r="F6" s="83">
        <f>O6</f>
        <v>3.5</v>
      </c>
      <c r="G6" s="92"/>
      <c r="H6" s="93"/>
      <c r="I6" s="86">
        <v>0.5</v>
      </c>
      <c r="J6" s="86">
        <v>1</v>
      </c>
      <c r="K6" s="86">
        <v>1</v>
      </c>
      <c r="L6" s="86">
        <v>0.5</v>
      </c>
      <c r="M6" s="86">
        <v>0.5</v>
      </c>
      <c r="N6" s="94">
        <v>0</v>
      </c>
      <c r="O6" s="86">
        <f>SUM(I6:N6)</f>
        <v>3.5</v>
      </c>
      <c r="P6" s="87"/>
      <c r="Q6" s="88">
        <f t="shared" si="0"/>
        <v>2.5000000000000001E-2</v>
      </c>
      <c r="R6" s="88">
        <f t="shared" si="0"/>
        <v>0.05</v>
      </c>
      <c r="S6" s="88">
        <f t="shared" si="0"/>
        <v>0.05</v>
      </c>
      <c r="T6" s="88">
        <f t="shared" si="0"/>
        <v>2.5000000000000001E-2</v>
      </c>
      <c r="U6" s="88">
        <f t="shared" si="0"/>
        <v>2.5000000000000001E-2</v>
      </c>
      <c r="V6" s="88">
        <f t="shared" si="0"/>
        <v>0</v>
      </c>
      <c r="W6" s="88">
        <f>SUM(Q6:V6)</f>
        <v>0.17499999999999999</v>
      </c>
      <c r="X6" s="89"/>
      <c r="Y6" s="90">
        <f>O6</f>
        <v>3.5</v>
      </c>
      <c r="Z6" s="142">
        <f t="shared" si="1"/>
        <v>175000</v>
      </c>
      <c r="AA6" s="90">
        <f t="shared" si="2"/>
        <v>0.7</v>
      </c>
      <c r="AB6" s="142">
        <f t="shared" si="3"/>
        <v>49000</v>
      </c>
      <c r="AC6" s="142">
        <f t="shared" si="4"/>
        <v>224000</v>
      </c>
      <c r="AE6" s="118">
        <f>ROUNDUP(W6,2)</f>
        <v>0.18000000000000002</v>
      </c>
      <c r="AF6" s="142">
        <f t="shared" si="5"/>
        <v>180000.00000000003</v>
      </c>
      <c r="AG6" s="118">
        <f t="shared" si="6"/>
        <v>3.5999999999999997E-2</v>
      </c>
      <c r="AH6" s="118">
        <f t="shared" si="7"/>
        <v>0.21600000000000003</v>
      </c>
      <c r="AI6" s="142">
        <f t="shared" si="8"/>
        <v>50399.999999999993</v>
      </c>
      <c r="AJ6" s="142">
        <f t="shared" si="9"/>
        <v>231000</v>
      </c>
      <c r="AL6" s="90"/>
      <c r="AM6" s="90"/>
      <c r="AN6" s="90"/>
      <c r="AO6" s="90"/>
      <c r="AP6" s="90"/>
      <c r="AQ6" s="90"/>
      <c r="AR6" s="90"/>
      <c r="AT6" s="90"/>
      <c r="AU6" s="90"/>
      <c r="AV6" s="90"/>
      <c r="AW6" s="90"/>
      <c r="AX6" s="90"/>
      <c r="AY6" s="90"/>
      <c r="AZ6" s="90"/>
    </row>
    <row r="7" spans="1:52" ht="37.5">
      <c r="A7" s="73">
        <f>ROW()-3</f>
        <v>4</v>
      </c>
      <c r="B7" s="127"/>
      <c r="C7" s="143"/>
      <c r="D7" s="79" t="s">
        <v>211</v>
      </c>
      <c r="E7" s="125" t="s">
        <v>214</v>
      </c>
      <c r="F7" s="83">
        <f>O7</f>
        <v>2.5</v>
      </c>
      <c r="G7" s="92"/>
      <c r="H7" s="93"/>
      <c r="I7" s="86">
        <v>0.5</v>
      </c>
      <c r="J7" s="86">
        <v>0.5</v>
      </c>
      <c r="K7" s="86">
        <v>0.5</v>
      </c>
      <c r="L7" s="86">
        <v>0.5</v>
      </c>
      <c r="M7" s="86">
        <v>0.5</v>
      </c>
      <c r="N7" s="94">
        <v>0</v>
      </c>
      <c r="O7" s="86">
        <f>SUM(I7:N7)</f>
        <v>2.5</v>
      </c>
      <c r="P7" s="87"/>
      <c r="Q7" s="88">
        <f t="shared" si="0"/>
        <v>2.5000000000000001E-2</v>
      </c>
      <c r="R7" s="88">
        <f t="shared" si="0"/>
        <v>2.5000000000000001E-2</v>
      </c>
      <c r="S7" s="88">
        <f t="shared" si="0"/>
        <v>2.5000000000000001E-2</v>
      </c>
      <c r="T7" s="88">
        <f t="shared" si="0"/>
        <v>2.5000000000000001E-2</v>
      </c>
      <c r="U7" s="88">
        <f t="shared" si="0"/>
        <v>2.5000000000000001E-2</v>
      </c>
      <c r="V7" s="88">
        <f t="shared" si="0"/>
        <v>0</v>
      </c>
      <c r="W7" s="88">
        <f>SUM(Q7:V7)</f>
        <v>0.125</v>
      </c>
      <c r="X7" s="89"/>
      <c r="Y7" s="90">
        <f>O7</f>
        <v>2.5</v>
      </c>
      <c r="Z7" s="142">
        <f t="shared" si="1"/>
        <v>125000</v>
      </c>
      <c r="AA7" s="90">
        <f t="shared" si="2"/>
        <v>0.5</v>
      </c>
      <c r="AB7" s="142">
        <f t="shared" si="3"/>
        <v>35000</v>
      </c>
      <c r="AC7" s="142">
        <f t="shared" si="4"/>
        <v>160000</v>
      </c>
      <c r="AE7" s="118">
        <f>ROUNDUP(W7,2)</f>
        <v>0.13</v>
      </c>
      <c r="AF7" s="142">
        <f t="shared" si="5"/>
        <v>130000</v>
      </c>
      <c r="AG7" s="118">
        <f t="shared" si="6"/>
        <v>2.5999999999999999E-2</v>
      </c>
      <c r="AH7" s="118">
        <f t="shared" si="7"/>
        <v>0.156</v>
      </c>
      <c r="AI7" s="142">
        <f t="shared" si="8"/>
        <v>36400</v>
      </c>
      <c r="AJ7" s="142">
        <f t="shared" si="9"/>
        <v>167000</v>
      </c>
      <c r="AL7" s="90"/>
      <c r="AM7" s="90"/>
      <c r="AN7" s="90"/>
      <c r="AO7" s="90"/>
      <c r="AP7" s="90"/>
      <c r="AQ7" s="90"/>
      <c r="AR7" s="90"/>
      <c r="AT7" s="90"/>
      <c r="AU7" s="90"/>
      <c r="AV7" s="90"/>
      <c r="AW7" s="90"/>
      <c r="AX7" s="90"/>
      <c r="AY7" s="90"/>
      <c r="AZ7" s="90"/>
    </row>
    <row r="8" spans="1:52" ht="168.75">
      <c r="A8" s="137">
        <f>ROW()-3</f>
        <v>5</v>
      </c>
      <c r="B8" s="138"/>
      <c r="C8" s="144"/>
      <c r="D8" s="140" t="s">
        <v>246</v>
      </c>
      <c r="E8" s="145" t="s">
        <v>247</v>
      </c>
      <c r="F8" s="83">
        <f>O8</f>
        <v>10</v>
      </c>
      <c r="G8" s="83"/>
      <c r="H8" s="95"/>
      <c r="I8" s="86">
        <v>3</v>
      </c>
      <c r="J8" s="86">
        <v>5</v>
      </c>
      <c r="K8" s="86">
        <v>1</v>
      </c>
      <c r="L8" s="86">
        <v>0.5</v>
      </c>
      <c r="M8" s="86">
        <v>0.5</v>
      </c>
      <c r="N8" s="94">
        <v>0</v>
      </c>
      <c r="O8" s="86">
        <f>SUM(I8:N8)</f>
        <v>10</v>
      </c>
      <c r="P8" s="87"/>
      <c r="Q8" s="88">
        <f t="shared" si="0"/>
        <v>0.15</v>
      </c>
      <c r="R8" s="88">
        <f t="shared" si="0"/>
        <v>0.25</v>
      </c>
      <c r="S8" s="88">
        <f t="shared" si="0"/>
        <v>0.05</v>
      </c>
      <c r="T8" s="88">
        <f t="shared" si="0"/>
        <v>2.5000000000000001E-2</v>
      </c>
      <c r="U8" s="88">
        <f t="shared" si="0"/>
        <v>2.5000000000000001E-2</v>
      </c>
      <c r="V8" s="88">
        <f t="shared" si="0"/>
        <v>0</v>
      </c>
      <c r="W8" s="88">
        <f>SUM(Q8:V8)</f>
        <v>0.5</v>
      </c>
      <c r="X8" s="89"/>
      <c r="Y8" s="90">
        <f>O8</f>
        <v>10</v>
      </c>
      <c r="Z8" s="142">
        <f t="shared" si="1"/>
        <v>500000</v>
      </c>
      <c r="AA8" s="90">
        <f t="shared" si="2"/>
        <v>2</v>
      </c>
      <c r="AB8" s="142">
        <f t="shared" si="3"/>
        <v>140000</v>
      </c>
      <c r="AC8" s="142">
        <f t="shared" si="4"/>
        <v>640000</v>
      </c>
      <c r="AE8" s="118">
        <f>ROUNDUP(W8,2)</f>
        <v>0.5</v>
      </c>
      <c r="AF8" s="142">
        <f t="shared" si="5"/>
        <v>500000</v>
      </c>
      <c r="AG8" s="118">
        <f t="shared" si="6"/>
        <v>0.1</v>
      </c>
      <c r="AH8" s="118">
        <f t="shared" si="7"/>
        <v>0.6</v>
      </c>
      <c r="AI8" s="142">
        <f t="shared" si="8"/>
        <v>140000</v>
      </c>
      <c r="AJ8" s="142">
        <f t="shared" si="9"/>
        <v>640000</v>
      </c>
      <c r="AL8" s="90"/>
      <c r="AM8" s="90"/>
      <c r="AN8" s="90"/>
      <c r="AO8" s="90"/>
      <c r="AP8" s="90"/>
      <c r="AQ8" s="90"/>
      <c r="AR8" s="90"/>
      <c r="AT8" s="90"/>
      <c r="AU8" s="90"/>
      <c r="AV8" s="90"/>
      <c r="AW8" s="90"/>
      <c r="AX8" s="90"/>
      <c r="AY8" s="90"/>
      <c r="AZ8" s="90"/>
    </row>
    <row r="9" spans="1:52" ht="19.5" thickBot="1">
      <c r="A9" s="96" t="s">
        <v>109</v>
      </c>
      <c r="B9" s="97"/>
      <c r="C9" s="98"/>
      <c r="D9" s="98"/>
      <c r="E9" s="98"/>
      <c r="F9" s="99"/>
      <c r="N9" s="69" t="s">
        <v>110</v>
      </c>
      <c r="X9" s="120" t="s">
        <v>205</v>
      </c>
      <c r="Y9" s="123">
        <v>5</v>
      </c>
      <c r="Z9" s="142">
        <f t="shared" si="1"/>
        <v>250000</v>
      </c>
      <c r="AA9" s="90">
        <f t="shared" si="2"/>
        <v>1</v>
      </c>
      <c r="AB9" s="142">
        <f t="shared" si="3"/>
        <v>70000</v>
      </c>
      <c r="AC9" s="142">
        <f t="shared" si="4"/>
        <v>320000</v>
      </c>
      <c r="AE9" s="118">
        <f>ROUNDUP(Y9/20,3)</f>
        <v>0.25</v>
      </c>
      <c r="AF9" s="142">
        <f t="shared" si="5"/>
        <v>250000</v>
      </c>
      <c r="AG9" s="118">
        <f t="shared" si="6"/>
        <v>0.05</v>
      </c>
      <c r="AH9" s="118">
        <f t="shared" si="7"/>
        <v>0.3</v>
      </c>
      <c r="AI9" s="146">
        <f t="shared" si="8"/>
        <v>70000</v>
      </c>
      <c r="AJ9" s="146">
        <f t="shared" si="9"/>
        <v>320000</v>
      </c>
    </row>
    <row r="10" spans="1:52" ht="19.5" thickBot="1">
      <c r="A10" s="100"/>
      <c r="F10" s="101"/>
      <c r="AH10" s="147">
        <f>SUM(AH4:AH9)</f>
        <v>1.9080000000000001</v>
      </c>
      <c r="AI10" s="122" t="s">
        <v>104</v>
      </c>
      <c r="AJ10" s="124">
        <f>SUM(AJ4:AJ9)</f>
        <v>2037000</v>
      </c>
    </row>
    <row r="11" spans="1:52">
      <c r="A11" s="100"/>
      <c r="B11" s="72" t="s">
        <v>111</v>
      </c>
      <c r="F11" s="101"/>
      <c r="Y11" s="119"/>
    </row>
    <row r="12" spans="1:52">
      <c r="A12" s="100"/>
      <c r="B12" s="72" t="s">
        <v>112</v>
      </c>
      <c r="F12" s="101"/>
    </row>
    <row r="13" spans="1:52">
      <c r="A13" s="100"/>
      <c r="B13" s="72" t="s">
        <v>113</v>
      </c>
      <c r="F13" s="101"/>
    </row>
    <row r="14" spans="1:52">
      <c r="A14" s="100"/>
      <c r="B14" s="69" t="s">
        <v>114</v>
      </c>
      <c r="F14" s="101"/>
    </row>
    <row r="15" spans="1:52">
      <c r="A15" s="100"/>
      <c r="B15" s="69" t="s">
        <v>115</v>
      </c>
      <c r="F15" s="101"/>
    </row>
    <row r="16" spans="1:52" s="69" customFormat="1">
      <c r="A16" s="100"/>
      <c r="B16" s="69" t="s">
        <v>116</v>
      </c>
      <c r="C16" s="70"/>
      <c r="D16" s="70"/>
      <c r="E16" s="70"/>
      <c r="F16" s="101"/>
      <c r="H16" s="71"/>
      <c r="I16" s="71"/>
    </row>
  </sheetData>
  <mergeCells count="7">
    <mergeCell ref="Y1:AC1"/>
    <mergeCell ref="AE1:AJ1"/>
    <mergeCell ref="AL1:AZ1"/>
    <mergeCell ref="I2:O2"/>
    <mergeCell ref="Q2:W2"/>
    <mergeCell ref="AL2:AR2"/>
    <mergeCell ref="AT2:AZ2"/>
  </mergeCells>
  <phoneticPr fontId="3"/>
  <pageMargins left="0.7" right="0.7" top="0.75" bottom="0.75" header="0.3" footer="0.3"/>
  <legacy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F59"/>
  <sheetViews>
    <sheetView workbookViewId="0">
      <selection activeCell="A9" sqref="A9"/>
    </sheetView>
  </sheetViews>
  <sheetFormatPr defaultColWidth="8.125" defaultRowHeight="12"/>
  <cols>
    <col min="1" max="1" width="14.625" style="2" customWidth="1"/>
    <col min="2" max="2" width="7.875" style="2" bestFit="1" customWidth="1"/>
    <col min="3" max="3" width="14.625" style="2" customWidth="1"/>
    <col min="4" max="31" width="7" style="2" customWidth="1"/>
    <col min="32" max="32" width="7.875" style="2" customWidth="1"/>
    <col min="33" max="16384" width="8.125" style="2"/>
  </cols>
  <sheetData>
    <row r="1" spans="1:32" ht="19.5">
      <c r="A1" s="1" t="s">
        <v>117</v>
      </c>
      <c r="D1" s="3"/>
    </row>
    <row r="2" spans="1:32" ht="5.25" customHeight="1">
      <c r="A2" s="1"/>
    </row>
    <row r="3" spans="1:32">
      <c r="A3" s="4" t="s">
        <v>118</v>
      </c>
      <c r="B3" s="237"/>
      <c r="C3" s="238"/>
      <c r="D3" s="5" t="s">
        <v>91</v>
      </c>
      <c r="E3" s="237"/>
      <c r="F3" s="239"/>
      <c r="G3" s="239"/>
      <c r="H3" s="239"/>
      <c r="I3" s="239"/>
      <c r="J3" s="239"/>
      <c r="K3" s="239"/>
      <c r="L3" s="239"/>
      <c r="M3" s="239"/>
      <c r="N3" s="239"/>
      <c r="O3" s="238"/>
    </row>
    <row r="4" spans="1:32">
      <c r="A4" s="5" t="s">
        <v>119</v>
      </c>
      <c r="B4" s="237" t="s">
        <v>120</v>
      </c>
      <c r="C4" s="238"/>
      <c r="D4" s="5" t="s">
        <v>121</v>
      </c>
      <c r="E4" s="240"/>
      <c r="F4" s="240"/>
      <c r="G4" s="5" t="s">
        <v>122</v>
      </c>
      <c r="H4" s="241">
        <f>AF59</f>
        <v>0</v>
      </c>
      <c r="I4" s="241"/>
      <c r="J4" s="5" t="s">
        <v>123</v>
      </c>
      <c r="K4" s="242">
        <f>外注費・経費!K4</f>
        <v>0</v>
      </c>
      <c r="L4" s="242"/>
      <c r="M4" s="5" t="s">
        <v>124</v>
      </c>
      <c r="N4" s="242">
        <v>0</v>
      </c>
      <c r="O4" s="242"/>
    </row>
    <row r="5" spans="1:32" ht="6" customHeight="1"/>
    <row r="6" spans="1:32" s="6" customFormat="1">
      <c r="A6" s="252" t="s">
        <v>125</v>
      </c>
      <c r="B6" s="255" t="s">
        <v>126</v>
      </c>
      <c r="C6" s="255" t="s">
        <v>127</v>
      </c>
      <c r="D6" s="258" t="s">
        <v>128</v>
      </c>
      <c r="E6" s="258"/>
      <c r="F6" s="258"/>
      <c r="G6" s="258"/>
      <c r="H6" s="258"/>
      <c r="I6" s="258"/>
      <c r="J6" s="258"/>
      <c r="K6" s="258"/>
      <c r="L6" s="258"/>
      <c r="M6" s="258"/>
      <c r="N6" s="258"/>
      <c r="O6" s="258"/>
      <c r="P6" s="258"/>
      <c r="Q6" s="258"/>
      <c r="R6" s="258"/>
      <c r="S6" s="258"/>
      <c r="T6" s="258"/>
      <c r="U6" s="258"/>
      <c r="V6" s="258"/>
      <c r="W6" s="258"/>
      <c r="X6" s="258"/>
      <c r="Y6" s="258"/>
      <c r="Z6" s="258"/>
      <c r="AA6" s="258"/>
      <c r="AB6" s="258"/>
      <c r="AC6" s="258"/>
      <c r="AD6" s="258"/>
      <c r="AE6" s="258"/>
      <c r="AF6" s="243" t="s">
        <v>104</v>
      </c>
    </row>
    <row r="7" spans="1:32" s="6" customFormat="1" ht="12" customHeight="1">
      <c r="A7" s="253"/>
      <c r="B7" s="256"/>
      <c r="C7" s="256"/>
      <c r="D7" s="246" t="s">
        <v>129</v>
      </c>
      <c r="E7" s="247"/>
      <c r="F7" s="248"/>
      <c r="G7" s="246" t="s">
        <v>130</v>
      </c>
      <c r="H7" s="247"/>
      <c r="I7" s="248"/>
      <c r="J7" s="246" t="s">
        <v>131</v>
      </c>
      <c r="K7" s="247"/>
      <c r="L7" s="248"/>
      <c r="M7" s="246" t="s">
        <v>132</v>
      </c>
      <c r="N7" s="247"/>
      <c r="O7" s="248"/>
      <c r="P7" s="246" t="s">
        <v>133</v>
      </c>
      <c r="Q7" s="247"/>
      <c r="R7" s="248"/>
      <c r="S7" s="246" t="s">
        <v>134</v>
      </c>
      <c r="T7" s="247"/>
      <c r="U7" s="248"/>
      <c r="V7" s="246" t="s">
        <v>135</v>
      </c>
      <c r="W7" s="247"/>
      <c r="X7" s="248"/>
      <c r="Y7" s="246" t="s">
        <v>136</v>
      </c>
      <c r="Z7" s="247"/>
      <c r="AA7" s="248"/>
      <c r="AB7" s="246" t="s">
        <v>137</v>
      </c>
      <c r="AC7" s="247"/>
      <c r="AD7" s="248"/>
      <c r="AE7" s="259" t="s">
        <v>138</v>
      </c>
      <c r="AF7" s="244"/>
    </row>
    <row r="8" spans="1:32" s="6" customFormat="1">
      <c r="A8" s="254"/>
      <c r="B8" s="257"/>
      <c r="C8" s="257"/>
      <c r="D8" s="7">
        <v>44197</v>
      </c>
      <c r="E8" s="7">
        <v>44228</v>
      </c>
      <c r="F8" s="7">
        <v>44256</v>
      </c>
      <c r="G8" s="7">
        <v>44287</v>
      </c>
      <c r="H8" s="7">
        <v>44317</v>
      </c>
      <c r="I8" s="7">
        <v>44348</v>
      </c>
      <c r="J8" s="7">
        <v>44378</v>
      </c>
      <c r="K8" s="7">
        <v>44409</v>
      </c>
      <c r="L8" s="7">
        <v>44440</v>
      </c>
      <c r="M8" s="7">
        <v>44470</v>
      </c>
      <c r="N8" s="7">
        <v>44501</v>
      </c>
      <c r="O8" s="7">
        <v>44531</v>
      </c>
      <c r="P8" s="7">
        <v>44562</v>
      </c>
      <c r="Q8" s="7">
        <v>44593</v>
      </c>
      <c r="R8" s="7">
        <v>44621</v>
      </c>
      <c r="S8" s="7">
        <v>44652</v>
      </c>
      <c r="T8" s="7">
        <v>44682</v>
      </c>
      <c r="U8" s="7">
        <v>44713</v>
      </c>
      <c r="V8" s="7">
        <v>44743</v>
      </c>
      <c r="W8" s="7">
        <v>44774</v>
      </c>
      <c r="X8" s="7">
        <v>44805</v>
      </c>
      <c r="Y8" s="7">
        <v>44835</v>
      </c>
      <c r="Z8" s="7">
        <v>44866</v>
      </c>
      <c r="AA8" s="7">
        <v>44896</v>
      </c>
      <c r="AB8" s="7">
        <v>44927</v>
      </c>
      <c r="AC8" s="7">
        <v>44958</v>
      </c>
      <c r="AD8" s="7">
        <v>44986</v>
      </c>
      <c r="AE8" s="257"/>
      <c r="AF8" s="245"/>
    </row>
    <row r="9" spans="1:32">
      <c r="A9" s="24"/>
      <c r="B9" s="8"/>
      <c r="C9" s="8"/>
      <c r="D9" s="9"/>
      <c r="E9" s="9"/>
      <c r="F9" s="9"/>
      <c r="G9" s="9"/>
      <c r="H9" s="9"/>
      <c r="I9" s="9"/>
      <c r="J9" s="9"/>
      <c r="K9" s="9"/>
      <c r="L9" s="9"/>
      <c r="M9" s="9"/>
      <c r="N9" s="9"/>
      <c r="O9" s="9"/>
      <c r="P9" s="9"/>
      <c r="Q9" s="9"/>
      <c r="R9" s="9"/>
      <c r="S9" s="9"/>
      <c r="T9" s="9"/>
      <c r="U9" s="9"/>
      <c r="V9" s="9"/>
      <c r="W9" s="9"/>
      <c r="X9" s="9"/>
      <c r="Y9" s="9"/>
      <c r="Z9" s="9"/>
      <c r="AA9" s="9"/>
      <c r="AB9" s="9"/>
      <c r="AC9" s="9"/>
      <c r="AD9" s="9"/>
      <c r="AE9" s="9"/>
      <c r="AF9" s="10">
        <f>SUM(D9:AE9)</f>
        <v>0</v>
      </c>
    </row>
    <row r="10" spans="1:32">
      <c r="A10" s="8"/>
      <c r="B10" s="8"/>
      <c r="C10" s="8"/>
      <c r="D10" s="9"/>
      <c r="E10" s="9"/>
      <c r="F10" s="9"/>
      <c r="G10" s="9"/>
      <c r="H10" s="9"/>
      <c r="I10" s="9"/>
      <c r="J10" s="9"/>
      <c r="K10" s="9"/>
      <c r="L10" s="9"/>
      <c r="M10" s="9"/>
      <c r="N10" s="9"/>
      <c r="O10" s="9"/>
      <c r="P10" s="9"/>
      <c r="Q10" s="9"/>
      <c r="R10" s="9"/>
      <c r="S10" s="9"/>
      <c r="T10" s="9"/>
      <c r="U10" s="9"/>
      <c r="V10" s="9"/>
      <c r="W10" s="9"/>
      <c r="X10" s="9"/>
      <c r="Y10" s="9"/>
      <c r="Z10" s="9"/>
      <c r="AA10" s="9"/>
      <c r="AB10" s="9"/>
      <c r="AC10" s="9"/>
      <c r="AD10" s="9"/>
      <c r="AE10" s="9"/>
      <c r="AF10" s="10">
        <f t="shared" ref="AF10:AF58" si="0">SUM(D10:AE10)</f>
        <v>0</v>
      </c>
    </row>
    <row r="11" spans="1:32">
      <c r="A11" s="8"/>
      <c r="B11" s="8"/>
      <c r="C11" s="8"/>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10">
        <f t="shared" si="0"/>
        <v>0</v>
      </c>
    </row>
    <row r="12" spans="1:32">
      <c r="A12" s="8"/>
      <c r="B12" s="8"/>
      <c r="C12" s="8"/>
      <c r="D12" s="9"/>
      <c r="E12" s="9"/>
      <c r="F12" s="9"/>
      <c r="G12" s="9"/>
      <c r="H12" s="9"/>
      <c r="I12" s="9"/>
      <c r="J12" s="9"/>
      <c r="K12" s="9"/>
      <c r="L12" s="9"/>
      <c r="M12" s="9"/>
      <c r="N12" s="9"/>
      <c r="O12" s="9"/>
      <c r="P12" s="9"/>
      <c r="Q12" s="9"/>
      <c r="R12" s="9"/>
      <c r="S12" s="9"/>
      <c r="T12" s="9"/>
      <c r="U12" s="9"/>
      <c r="V12" s="9"/>
      <c r="W12" s="9"/>
      <c r="X12" s="9"/>
      <c r="Y12" s="9"/>
      <c r="Z12" s="9"/>
      <c r="AA12" s="9"/>
      <c r="AB12" s="9"/>
      <c r="AC12" s="9"/>
      <c r="AD12" s="9"/>
      <c r="AE12" s="9"/>
      <c r="AF12" s="10">
        <f t="shared" si="0"/>
        <v>0</v>
      </c>
    </row>
    <row r="13" spans="1:32">
      <c r="A13" s="8"/>
      <c r="B13" s="8"/>
      <c r="C13" s="8"/>
      <c r="D13" s="9"/>
      <c r="E13" s="9"/>
      <c r="F13" s="9"/>
      <c r="G13" s="9"/>
      <c r="H13" s="9"/>
      <c r="I13" s="9"/>
      <c r="J13" s="9"/>
      <c r="K13" s="9"/>
      <c r="L13" s="9"/>
      <c r="M13" s="9"/>
      <c r="N13" s="9"/>
      <c r="O13" s="9"/>
      <c r="P13" s="9"/>
      <c r="Q13" s="9"/>
      <c r="R13" s="9"/>
      <c r="S13" s="9"/>
      <c r="T13" s="9"/>
      <c r="U13" s="9"/>
      <c r="V13" s="9"/>
      <c r="W13" s="9"/>
      <c r="X13" s="9"/>
      <c r="Y13" s="9"/>
      <c r="Z13" s="9"/>
      <c r="AA13" s="9"/>
      <c r="AB13" s="9"/>
      <c r="AC13" s="9"/>
      <c r="AD13" s="9"/>
      <c r="AE13" s="9"/>
      <c r="AF13" s="10">
        <f t="shared" si="0"/>
        <v>0</v>
      </c>
    </row>
    <row r="14" spans="1:32">
      <c r="A14" s="8"/>
      <c r="B14" s="8"/>
      <c r="C14" s="8"/>
      <c r="D14" s="9"/>
      <c r="E14" s="11"/>
      <c r="F14" s="9"/>
      <c r="G14" s="9"/>
      <c r="H14" s="9"/>
      <c r="I14" s="9"/>
      <c r="J14" s="9"/>
      <c r="K14" s="9"/>
      <c r="L14" s="9"/>
      <c r="M14" s="9"/>
      <c r="N14" s="9"/>
      <c r="O14" s="9"/>
      <c r="P14" s="9"/>
      <c r="Q14" s="9"/>
      <c r="R14" s="9"/>
      <c r="S14" s="9"/>
      <c r="T14" s="9"/>
      <c r="U14" s="9"/>
      <c r="V14" s="9"/>
      <c r="W14" s="9"/>
      <c r="X14" s="9"/>
      <c r="Y14" s="9"/>
      <c r="Z14" s="9"/>
      <c r="AA14" s="9"/>
      <c r="AB14" s="9"/>
      <c r="AC14" s="9"/>
      <c r="AD14" s="9"/>
      <c r="AE14" s="9"/>
      <c r="AF14" s="10">
        <f t="shared" si="0"/>
        <v>0</v>
      </c>
    </row>
    <row r="15" spans="1:32">
      <c r="A15" s="8"/>
      <c r="B15" s="8"/>
      <c r="C15" s="8"/>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10">
        <f t="shared" si="0"/>
        <v>0</v>
      </c>
    </row>
    <row r="16" spans="1:32">
      <c r="A16" s="8"/>
      <c r="B16" s="8"/>
      <c r="C16" s="8"/>
      <c r="D16" s="9"/>
      <c r="E16" s="9"/>
      <c r="F16" s="9"/>
      <c r="G16" s="9"/>
      <c r="H16" s="9"/>
      <c r="I16" s="9"/>
      <c r="J16" s="9"/>
      <c r="K16" s="9"/>
      <c r="L16" s="9"/>
      <c r="M16" s="9"/>
      <c r="N16" s="9"/>
      <c r="O16" s="9"/>
      <c r="P16" s="9"/>
      <c r="Q16" s="9"/>
      <c r="R16" s="9"/>
      <c r="S16" s="9"/>
      <c r="T16" s="9"/>
      <c r="U16" s="9"/>
      <c r="V16" s="9"/>
      <c r="W16" s="9"/>
      <c r="X16" s="9"/>
      <c r="Y16" s="9"/>
      <c r="Z16" s="9"/>
      <c r="AA16" s="9"/>
      <c r="AB16" s="9"/>
      <c r="AC16" s="9"/>
      <c r="AD16" s="9"/>
      <c r="AE16" s="9"/>
      <c r="AF16" s="10">
        <f t="shared" si="0"/>
        <v>0</v>
      </c>
    </row>
    <row r="17" spans="1:32">
      <c r="A17" s="8"/>
      <c r="B17" s="8"/>
      <c r="C17" s="8"/>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10">
        <f t="shared" si="0"/>
        <v>0</v>
      </c>
    </row>
    <row r="18" spans="1:32">
      <c r="A18" s="8"/>
      <c r="B18" s="8"/>
      <c r="C18" s="8"/>
      <c r="D18" s="9"/>
      <c r="E18" s="9"/>
      <c r="F18" s="9"/>
      <c r="G18" s="9"/>
      <c r="H18" s="9"/>
      <c r="I18" s="9"/>
      <c r="J18" s="9"/>
      <c r="K18" s="9"/>
      <c r="L18" s="9"/>
      <c r="M18" s="9"/>
      <c r="N18" s="9"/>
      <c r="O18" s="9"/>
      <c r="P18" s="9"/>
      <c r="Q18" s="9"/>
      <c r="R18" s="9"/>
      <c r="S18" s="9"/>
      <c r="T18" s="9"/>
      <c r="U18" s="9"/>
      <c r="V18" s="9"/>
      <c r="W18" s="9"/>
      <c r="X18" s="9"/>
      <c r="Y18" s="9"/>
      <c r="Z18" s="9"/>
      <c r="AA18" s="9"/>
      <c r="AB18" s="9"/>
      <c r="AC18" s="9"/>
      <c r="AD18" s="9"/>
      <c r="AE18" s="9"/>
      <c r="AF18" s="10">
        <f t="shared" si="0"/>
        <v>0</v>
      </c>
    </row>
    <row r="19" spans="1:32">
      <c r="A19" s="8"/>
      <c r="B19" s="8"/>
      <c r="C19" s="8"/>
      <c r="D19" s="9"/>
      <c r="E19" s="9"/>
      <c r="F19" s="9"/>
      <c r="G19" s="9"/>
      <c r="H19" s="9"/>
      <c r="I19" s="9"/>
      <c r="J19" s="9"/>
      <c r="K19" s="9"/>
      <c r="L19" s="9"/>
      <c r="M19" s="9"/>
      <c r="N19" s="9"/>
      <c r="O19" s="9"/>
      <c r="P19" s="9"/>
      <c r="Q19" s="9"/>
      <c r="R19" s="9"/>
      <c r="S19" s="9"/>
      <c r="T19" s="9"/>
      <c r="U19" s="9"/>
      <c r="V19" s="9"/>
      <c r="W19" s="9"/>
      <c r="X19" s="9"/>
      <c r="Y19" s="9"/>
      <c r="Z19" s="9"/>
      <c r="AA19" s="9"/>
      <c r="AB19" s="9"/>
      <c r="AC19" s="9"/>
      <c r="AD19" s="9"/>
      <c r="AE19" s="9"/>
      <c r="AF19" s="10">
        <f t="shared" si="0"/>
        <v>0</v>
      </c>
    </row>
    <row r="20" spans="1:32">
      <c r="A20" s="8"/>
      <c r="B20" s="8"/>
      <c r="C20" s="8"/>
      <c r="D20" s="9"/>
      <c r="E20" s="9"/>
      <c r="F20" s="9"/>
      <c r="G20" s="9"/>
      <c r="H20" s="9"/>
      <c r="I20" s="9"/>
      <c r="J20" s="9"/>
      <c r="K20" s="9"/>
      <c r="L20" s="9"/>
      <c r="M20" s="9"/>
      <c r="N20" s="9"/>
      <c r="O20" s="9"/>
      <c r="P20" s="9"/>
      <c r="Q20" s="9"/>
      <c r="R20" s="9"/>
      <c r="S20" s="9"/>
      <c r="T20" s="9"/>
      <c r="U20" s="9"/>
      <c r="V20" s="9"/>
      <c r="W20" s="9"/>
      <c r="X20" s="9"/>
      <c r="Y20" s="9"/>
      <c r="Z20" s="9"/>
      <c r="AA20" s="9"/>
      <c r="AB20" s="9"/>
      <c r="AC20" s="9"/>
      <c r="AD20" s="9"/>
      <c r="AE20" s="9"/>
      <c r="AF20" s="10">
        <f t="shared" si="0"/>
        <v>0</v>
      </c>
    </row>
    <row r="21" spans="1:32">
      <c r="A21" s="8"/>
      <c r="B21" s="8"/>
      <c r="C21" s="8"/>
      <c r="D21" s="9"/>
      <c r="E21" s="9"/>
      <c r="F21" s="9"/>
      <c r="G21" s="9"/>
      <c r="H21" s="9"/>
      <c r="I21" s="9"/>
      <c r="J21" s="9"/>
      <c r="K21" s="9"/>
      <c r="L21" s="9"/>
      <c r="M21" s="9"/>
      <c r="N21" s="9"/>
      <c r="O21" s="9"/>
      <c r="P21" s="9"/>
      <c r="Q21" s="9"/>
      <c r="R21" s="9"/>
      <c r="S21" s="9"/>
      <c r="T21" s="9"/>
      <c r="U21" s="9"/>
      <c r="V21" s="9"/>
      <c r="W21" s="9"/>
      <c r="X21" s="9"/>
      <c r="Y21" s="9"/>
      <c r="Z21" s="9"/>
      <c r="AA21" s="9"/>
      <c r="AB21" s="9"/>
      <c r="AC21" s="9"/>
      <c r="AD21" s="9"/>
      <c r="AE21" s="9"/>
      <c r="AF21" s="10">
        <f t="shared" si="0"/>
        <v>0</v>
      </c>
    </row>
    <row r="22" spans="1:32">
      <c r="A22" s="8"/>
      <c r="B22" s="8"/>
      <c r="C22" s="8"/>
      <c r="D22" s="9"/>
      <c r="E22" s="9"/>
      <c r="F22" s="9"/>
      <c r="G22" s="9"/>
      <c r="H22" s="9"/>
      <c r="I22" s="9"/>
      <c r="J22" s="9"/>
      <c r="K22" s="9"/>
      <c r="L22" s="9"/>
      <c r="M22" s="9"/>
      <c r="N22" s="9"/>
      <c r="O22" s="9"/>
      <c r="P22" s="9"/>
      <c r="Q22" s="9"/>
      <c r="R22" s="9"/>
      <c r="S22" s="9"/>
      <c r="T22" s="9"/>
      <c r="U22" s="9"/>
      <c r="V22" s="9"/>
      <c r="W22" s="9"/>
      <c r="X22" s="9"/>
      <c r="Y22" s="9"/>
      <c r="Z22" s="9"/>
      <c r="AA22" s="9"/>
      <c r="AB22" s="9"/>
      <c r="AC22" s="9"/>
      <c r="AD22" s="9"/>
      <c r="AE22" s="9"/>
      <c r="AF22" s="10">
        <f t="shared" si="0"/>
        <v>0</v>
      </c>
    </row>
    <row r="23" spans="1:32">
      <c r="A23" s="8"/>
      <c r="B23" s="8"/>
      <c r="C23" s="8"/>
      <c r="D23" s="9"/>
      <c r="E23" s="9"/>
      <c r="F23" s="9"/>
      <c r="G23" s="9"/>
      <c r="H23" s="9"/>
      <c r="I23" s="9"/>
      <c r="J23" s="9"/>
      <c r="K23" s="9"/>
      <c r="L23" s="9"/>
      <c r="M23" s="9"/>
      <c r="N23" s="9"/>
      <c r="O23" s="9"/>
      <c r="P23" s="9"/>
      <c r="Q23" s="9"/>
      <c r="R23" s="9"/>
      <c r="S23" s="9"/>
      <c r="T23" s="9"/>
      <c r="U23" s="9"/>
      <c r="V23" s="9"/>
      <c r="W23" s="9"/>
      <c r="X23" s="9"/>
      <c r="Y23" s="9"/>
      <c r="Z23" s="9"/>
      <c r="AA23" s="9"/>
      <c r="AB23" s="9"/>
      <c r="AC23" s="9"/>
      <c r="AD23" s="9"/>
      <c r="AE23" s="9"/>
      <c r="AF23" s="10">
        <f t="shared" si="0"/>
        <v>0</v>
      </c>
    </row>
    <row r="24" spans="1:32">
      <c r="A24" s="8"/>
      <c r="B24" s="8"/>
      <c r="C24" s="8"/>
      <c r="D24" s="9"/>
      <c r="E24" s="9"/>
      <c r="F24" s="9"/>
      <c r="G24" s="9"/>
      <c r="H24" s="9"/>
      <c r="I24" s="9"/>
      <c r="J24" s="9"/>
      <c r="K24" s="9"/>
      <c r="L24" s="9"/>
      <c r="M24" s="9"/>
      <c r="N24" s="9"/>
      <c r="O24" s="9"/>
      <c r="P24" s="9"/>
      <c r="Q24" s="9"/>
      <c r="R24" s="9"/>
      <c r="S24" s="9"/>
      <c r="T24" s="9"/>
      <c r="U24" s="9"/>
      <c r="V24" s="9"/>
      <c r="W24" s="9"/>
      <c r="X24" s="9"/>
      <c r="Y24" s="9"/>
      <c r="Z24" s="9"/>
      <c r="AA24" s="9"/>
      <c r="AB24" s="9"/>
      <c r="AC24" s="9"/>
      <c r="AD24" s="9"/>
      <c r="AE24" s="9"/>
      <c r="AF24" s="10">
        <f t="shared" si="0"/>
        <v>0</v>
      </c>
    </row>
    <row r="25" spans="1:32">
      <c r="A25" s="8"/>
      <c r="B25" s="8"/>
      <c r="C25" s="8"/>
      <c r="D25" s="9"/>
      <c r="E25" s="9"/>
      <c r="F25" s="9"/>
      <c r="G25" s="9"/>
      <c r="H25" s="9"/>
      <c r="I25" s="9"/>
      <c r="J25" s="9"/>
      <c r="K25" s="9"/>
      <c r="L25" s="9"/>
      <c r="M25" s="9"/>
      <c r="N25" s="9"/>
      <c r="O25" s="9"/>
      <c r="P25" s="9"/>
      <c r="Q25" s="9"/>
      <c r="R25" s="9"/>
      <c r="S25" s="9"/>
      <c r="T25" s="9"/>
      <c r="U25" s="9"/>
      <c r="V25" s="9"/>
      <c r="W25" s="9"/>
      <c r="X25" s="9"/>
      <c r="Y25" s="9"/>
      <c r="Z25" s="9"/>
      <c r="AA25" s="9"/>
      <c r="AB25" s="9"/>
      <c r="AC25" s="9"/>
      <c r="AD25" s="9"/>
      <c r="AE25" s="9"/>
      <c r="AF25" s="10">
        <f t="shared" si="0"/>
        <v>0</v>
      </c>
    </row>
    <row r="26" spans="1:32">
      <c r="A26" s="8"/>
      <c r="B26" s="8"/>
      <c r="C26" s="8"/>
      <c r="D26" s="9"/>
      <c r="E26" s="9"/>
      <c r="F26" s="9"/>
      <c r="G26" s="9"/>
      <c r="H26" s="9"/>
      <c r="I26" s="9"/>
      <c r="J26" s="9"/>
      <c r="K26" s="9"/>
      <c r="L26" s="9"/>
      <c r="M26" s="9"/>
      <c r="N26" s="9"/>
      <c r="O26" s="9"/>
      <c r="P26" s="9"/>
      <c r="Q26" s="9"/>
      <c r="R26" s="9"/>
      <c r="S26" s="9"/>
      <c r="T26" s="9"/>
      <c r="U26" s="9"/>
      <c r="V26" s="9"/>
      <c r="W26" s="9"/>
      <c r="X26" s="9"/>
      <c r="Y26" s="9"/>
      <c r="Z26" s="9"/>
      <c r="AA26" s="9"/>
      <c r="AB26" s="9"/>
      <c r="AC26" s="9"/>
      <c r="AD26" s="9"/>
      <c r="AE26" s="9"/>
      <c r="AF26" s="10">
        <f t="shared" si="0"/>
        <v>0</v>
      </c>
    </row>
    <row r="27" spans="1:32">
      <c r="A27" s="8"/>
      <c r="B27" s="8"/>
      <c r="C27" s="8"/>
      <c r="D27" s="9"/>
      <c r="E27" s="9"/>
      <c r="F27" s="9"/>
      <c r="G27" s="9"/>
      <c r="H27" s="9"/>
      <c r="I27" s="9"/>
      <c r="J27" s="9"/>
      <c r="K27" s="9"/>
      <c r="L27" s="9"/>
      <c r="M27" s="9"/>
      <c r="N27" s="9"/>
      <c r="O27" s="9"/>
      <c r="P27" s="9"/>
      <c r="Q27" s="9"/>
      <c r="R27" s="9"/>
      <c r="S27" s="9"/>
      <c r="T27" s="9"/>
      <c r="U27" s="9"/>
      <c r="V27" s="9"/>
      <c r="W27" s="9"/>
      <c r="X27" s="9"/>
      <c r="Y27" s="9"/>
      <c r="Z27" s="9"/>
      <c r="AA27" s="9"/>
      <c r="AB27" s="9"/>
      <c r="AC27" s="9"/>
      <c r="AD27" s="9"/>
      <c r="AE27" s="9"/>
      <c r="AF27" s="10">
        <f t="shared" si="0"/>
        <v>0</v>
      </c>
    </row>
    <row r="28" spans="1:32">
      <c r="A28" s="8"/>
      <c r="B28" s="8"/>
      <c r="C28" s="8"/>
      <c r="D28" s="9"/>
      <c r="E28" s="9"/>
      <c r="F28" s="9"/>
      <c r="G28" s="9"/>
      <c r="H28" s="9"/>
      <c r="I28" s="9"/>
      <c r="J28" s="9"/>
      <c r="K28" s="9"/>
      <c r="L28" s="9"/>
      <c r="M28" s="9"/>
      <c r="N28" s="9"/>
      <c r="O28" s="9"/>
      <c r="P28" s="9"/>
      <c r="Q28" s="9"/>
      <c r="R28" s="9"/>
      <c r="S28" s="9"/>
      <c r="T28" s="9"/>
      <c r="U28" s="9"/>
      <c r="V28" s="9"/>
      <c r="W28" s="9"/>
      <c r="X28" s="9"/>
      <c r="Y28" s="9"/>
      <c r="Z28" s="9"/>
      <c r="AA28" s="9"/>
      <c r="AB28" s="9"/>
      <c r="AC28" s="9"/>
      <c r="AD28" s="9"/>
      <c r="AE28" s="9"/>
      <c r="AF28" s="10">
        <f t="shared" si="0"/>
        <v>0</v>
      </c>
    </row>
    <row r="29" spans="1:32">
      <c r="A29" s="8"/>
      <c r="B29" s="8"/>
      <c r="C29" s="8"/>
      <c r="D29" s="9"/>
      <c r="E29" s="9"/>
      <c r="F29" s="9"/>
      <c r="G29" s="9"/>
      <c r="H29" s="9"/>
      <c r="I29" s="9"/>
      <c r="J29" s="9"/>
      <c r="K29" s="9"/>
      <c r="L29" s="9"/>
      <c r="M29" s="9"/>
      <c r="N29" s="9"/>
      <c r="O29" s="9"/>
      <c r="P29" s="9"/>
      <c r="Q29" s="9"/>
      <c r="R29" s="9"/>
      <c r="S29" s="9"/>
      <c r="T29" s="9"/>
      <c r="U29" s="9"/>
      <c r="V29" s="9"/>
      <c r="W29" s="9"/>
      <c r="X29" s="9"/>
      <c r="Y29" s="9"/>
      <c r="Z29" s="9"/>
      <c r="AA29" s="9"/>
      <c r="AB29" s="9"/>
      <c r="AC29" s="9"/>
      <c r="AD29" s="9"/>
      <c r="AE29" s="9"/>
      <c r="AF29" s="10">
        <f t="shared" si="0"/>
        <v>0</v>
      </c>
    </row>
    <row r="30" spans="1:32">
      <c r="A30" s="8"/>
      <c r="B30" s="8"/>
      <c r="C30" s="8"/>
      <c r="D30" s="9"/>
      <c r="E30" s="9"/>
      <c r="F30" s="9"/>
      <c r="G30" s="9"/>
      <c r="H30" s="9"/>
      <c r="I30" s="9"/>
      <c r="J30" s="9"/>
      <c r="K30" s="9"/>
      <c r="L30" s="9"/>
      <c r="M30" s="9"/>
      <c r="N30" s="9"/>
      <c r="O30" s="9"/>
      <c r="P30" s="9"/>
      <c r="Q30" s="9"/>
      <c r="R30" s="9"/>
      <c r="S30" s="9"/>
      <c r="T30" s="9"/>
      <c r="U30" s="9"/>
      <c r="V30" s="9"/>
      <c r="W30" s="9"/>
      <c r="X30" s="9"/>
      <c r="Y30" s="9"/>
      <c r="Z30" s="9"/>
      <c r="AA30" s="9"/>
      <c r="AB30" s="9"/>
      <c r="AC30" s="9"/>
      <c r="AD30" s="9"/>
      <c r="AE30" s="9"/>
      <c r="AF30" s="10">
        <f t="shared" si="0"/>
        <v>0</v>
      </c>
    </row>
    <row r="31" spans="1:32">
      <c r="A31" s="8"/>
      <c r="B31" s="8"/>
      <c r="C31" s="8"/>
      <c r="D31" s="9"/>
      <c r="E31" s="9"/>
      <c r="F31" s="9"/>
      <c r="G31" s="9"/>
      <c r="H31" s="9"/>
      <c r="I31" s="9"/>
      <c r="J31" s="9"/>
      <c r="K31" s="9"/>
      <c r="L31" s="9"/>
      <c r="M31" s="9"/>
      <c r="N31" s="9"/>
      <c r="O31" s="9"/>
      <c r="P31" s="9"/>
      <c r="Q31" s="9"/>
      <c r="R31" s="9"/>
      <c r="S31" s="9"/>
      <c r="T31" s="9"/>
      <c r="U31" s="9"/>
      <c r="V31" s="9"/>
      <c r="W31" s="9"/>
      <c r="X31" s="9"/>
      <c r="Y31" s="9"/>
      <c r="Z31" s="9"/>
      <c r="AA31" s="9"/>
      <c r="AB31" s="9"/>
      <c r="AC31" s="9"/>
      <c r="AD31" s="9"/>
      <c r="AE31" s="9"/>
      <c r="AF31" s="10">
        <f t="shared" si="0"/>
        <v>0</v>
      </c>
    </row>
    <row r="32" spans="1:32">
      <c r="A32" s="8"/>
      <c r="B32" s="8"/>
      <c r="C32" s="8"/>
      <c r="D32" s="9"/>
      <c r="E32" s="9"/>
      <c r="F32" s="9"/>
      <c r="G32" s="9"/>
      <c r="H32" s="9"/>
      <c r="I32" s="9"/>
      <c r="J32" s="9"/>
      <c r="K32" s="9"/>
      <c r="L32" s="9"/>
      <c r="M32" s="9"/>
      <c r="N32" s="9"/>
      <c r="O32" s="9"/>
      <c r="P32" s="9"/>
      <c r="Q32" s="9"/>
      <c r="R32" s="9"/>
      <c r="S32" s="9"/>
      <c r="T32" s="9"/>
      <c r="U32" s="9"/>
      <c r="V32" s="9"/>
      <c r="W32" s="9"/>
      <c r="X32" s="9"/>
      <c r="Y32" s="9"/>
      <c r="Z32" s="9"/>
      <c r="AA32" s="9"/>
      <c r="AB32" s="9"/>
      <c r="AC32" s="9"/>
      <c r="AD32" s="9"/>
      <c r="AE32" s="9"/>
      <c r="AF32" s="10">
        <f t="shared" si="0"/>
        <v>0</v>
      </c>
    </row>
    <row r="33" spans="1:32">
      <c r="A33" s="8"/>
      <c r="B33" s="8"/>
      <c r="C33" s="8"/>
      <c r="D33" s="9"/>
      <c r="E33" s="9"/>
      <c r="F33" s="9"/>
      <c r="G33" s="9"/>
      <c r="H33" s="9"/>
      <c r="I33" s="9"/>
      <c r="J33" s="9"/>
      <c r="K33" s="9"/>
      <c r="L33" s="9"/>
      <c r="M33" s="9"/>
      <c r="N33" s="9"/>
      <c r="O33" s="9"/>
      <c r="P33" s="9"/>
      <c r="Q33" s="9"/>
      <c r="R33" s="9"/>
      <c r="S33" s="9"/>
      <c r="T33" s="9"/>
      <c r="U33" s="9"/>
      <c r="V33" s="9"/>
      <c r="W33" s="9"/>
      <c r="X33" s="9"/>
      <c r="Y33" s="9"/>
      <c r="Z33" s="9"/>
      <c r="AA33" s="9"/>
      <c r="AB33" s="9"/>
      <c r="AC33" s="9"/>
      <c r="AD33" s="9"/>
      <c r="AE33" s="9"/>
      <c r="AF33" s="10">
        <f t="shared" si="0"/>
        <v>0</v>
      </c>
    </row>
    <row r="34" spans="1:32">
      <c r="A34" s="8"/>
      <c r="B34" s="8"/>
      <c r="C34" s="8"/>
      <c r="D34" s="9"/>
      <c r="E34" s="9"/>
      <c r="F34" s="9"/>
      <c r="G34" s="9"/>
      <c r="H34" s="9"/>
      <c r="I34" s="9"/>
      <c r="J34" s="9"/>
      <c r="K34" s="9"/>
      <c r="L34" s="9"/>
      <c r="M34" s="9"/>
      <c r="N34" s="9"/>
      <c r="O34" s="9"/>
      <c r="P34" s="9"/>
      <c r="Q34" s="9"/>
      <c r="R34" s="9"/>
      <c r="S34" s="9"/>
      <c r="T34" s="9"/>
      <c r="U34" s="9"/>
      <c r="V34" s="9"/>
      <c r="W34" s="9"/>
      <c r="X34" s="9"/>
      <c r="Y34" s="9"/>
      <c r="Z34" s="9"/>
      <c r="AA34" s="9"/>
      <c r="AB34" s="9"/>
      <c r="AC34" s="9"/>
      <c r="AD34" s="9"/>
      <c r="AE34" s="9"/>
      <c r="AF34" s="10">
        <f t="shared" si="0"/>
        <v>0</v>
      </c>
    </row>
    <row r="35" spans="1:32">
      <c r="A35" s="8"/>
      <c r="B35" s="8"/>
      <c r="C35" s="8"/>
      <c r="D35" s="9"/>
      <c r="E35" s="9"/>
      <c r="F35" s="9"/>
      <c r="G35" s="9"/>
      <c r="H35" s="9"/>
      <c r="I35" s="9"/>
      <c r="J35" s="9"/>
      <c r="K35" s="9"/>
      <c r="L35" s="9"/>
      <c r="M35" s="9"/>
      <c r="N35" s="9"/>
      <c r="O35" s="9"/>
      <c r="P35" s="9"/>
      <c r="Q35" s="9"/>
      <c r="R35" s="9"/>
      <c r="S35" s="9"/>
      <c r="T35" s="9"/>
      <c r="U35" s="9"/>
      <c r="V35" s="9"/>
      <c r="W35" s="9"/>
      <c r="X35" s="9"/>
      <c r="Y35" s="9"/>
      <c r="Z35" s="9"/>
      <c r="AA35" s="9"/>
      <c r="AB35" s="9"/>
      <c r="AC35" s="9"/>
      <c r="AD35" s="9"/>
      <c r="AE35" s="9"/>
      <c r="AF35" s="10">
        <f t="shared" si="0"/>
        <v>0</v>
      </c>
    </row>
    <row r="36" spans="1:32">
      <c r="A36" s="8"/>
      <c r="B36" s="8"/>
      <c r="C36" s="8"/>
      <c r="D36" s="9"/>
      <c r="E36" s="9"/>
      <c r="F36" s="9"/>
      <c r="G36" s="9"/>
      <c r="H36" s="9"/>
      <c r="I36" s="9"/>
      <c r="J36" s="9"/>
      <c r="K36" s="9"/>
      <c r="L36" s="9"/>
      <c r="M36" s="9"/>
      <c r="N36" s="9"/>
      <c r="O36" s="9"/>
      <c r="P36" s="9"/>
      <c r="Q36" s="9"/>
      <c r="R36" s="9"/>
      <c r="S36" s="9"/>
      <c r="T36" s="9"/>
      <c r="U36" s="9"/>
      <c r="V36" s="9"/>
      <c r="W36" s="9"/>
      <c r="X36" s="9"/>
      <c r="Y36" s="9"/>
      <c r="Z36" s="9"/>
      <c r="AA36" s="9"/>
      <c r="AB36" s="9"/>
      <c r="AC36" s="9"/>
      <c r="AD36" s="9"/>
      <c r="AE36" s="9"/>
      <c r="AF36" s="10">
        <f t="shared" si="0"/>
        <v>0</v>
      </c>
    </row>
    <row r="37" spans="1:32">
      <c r="A37" s="8"/>
      <c r="B37" s="8"/>
      <c r="C37" s="8"/>
      <c r="D37" s="9"/>
      <c r="E37" s="9"/>
      <c r="F37" s="9"/>
      <c r="G37" s="9"/>
      <c r="H37" s="9"/>
      <c r="I37" s="9"/>
      <c r="J37" s="9"/>
      <c r="K37" s="9"/>
      <c r="L37" s="9"/>
      <c r="M37" s="9"/>
      <c r="N37" s="9"/>
      <c r="O37" s="9"/>
      <c r="P37" s="9"/>
      <c r="Q37" s="9"/>
      <c r="R37" s="9"/>
      <c r="S37" s="9"/>
      <c r="T37" s="9"/>
      <c r="U37" s="9"/>
      <c r="V37" s="9"/>
      <c r="W37" s="9"/>
      <c r="X37" s="9"/>
      <c r="Y37" s="9"/>
      <c r="Z37" s="9"/>
      <c r="AA37" s="9"/>
      <c r="AB37" s="9"/>
      <c r="AC37" s="9"/>
      <c r="AD37" s="9"/>
      <c r="AE37" s="9"/>
      <c r="AF37" s="10">
        <f t="shared" si="0"/>
        <v>0</v>
      </c>
    </row>
    <row r="38" spans="1:32">
      <c r="A38" s="8"/>
      <c r="B38" s="8"/>
      <c r="C38" s="8"/>
      <c r="D38" s="9"/>
      <c r="E38" s="9"/>
      <c r="F38" s="9"/>
      <c r="G38" s="9"/>
      <c r="H38" s="9"/>
      <c r="I38" s="9"/>
      <c r="J38" s="9"/>
      <c r="K38" s="9"/>
      <c r="L38" s="9"/>
      <c r="M38" s="9"/>
      <c r="N38" s="9"/>
      <c r="O38" s="9"/>
      <c r="P38" s="9"/>
      <c r="Q38" s="9"/>
      <c r="R38" s="9"/>
      <c r="S38" s="9"/>
      <c r="T38" s="9"/>
      <c r="U38" s="9"/>
      <c r="V38" s="9"/>
      <c r="W38" s="9"/>
      <c r="X38" s="9"/>
      <c r="Y38" s="9"/>
      <c r="Z38" s="9"/>
      <c r="AA38" s="9"/>
      <c r="AB38" s="9"/>
      <c r="AC38" s="9"/>
      <c r="AD38" s="9"/>
      <c r="AE38" s="9"/>
      <c r="AF38" s="10">
        <f t="shared" si="0"/>
        <v>0</v>
      </c>
    </row>
    <row r="39" spans="1:32">
      <c r="A39" s="8"/>
      <c r="B39" s="8"/>
      <c r="C39" s="8"/>
      <c r="D39" s="9"/>
      <c r="E39" s="9"/>
      <c r="F39" s="9"/>
      <c r="G39" s="9"/>
      <c r="H39" s="9"/>
      <c r="I39" s="9"/>
      <c r="J39" s="9"/>
      <c r="K39" s="9"/>
      <c r="L39" s="9"/>
      <c r="M39" s="9"/>
      <c r="N39" s="9"/>
      <c r="O39" s="9"/>
      <c r="P39" s="9"/>
      <c r="Q39" s="9"/>
      <c r="R39" s="9"/>
      <c r="S39" s="9"/>
      <c r="T39" s="9"/>
      <c r="U39" s="9"/>
      <c r="V39" s="9"/>
      <c r="W39" s="9"/>
      <c r="X39" s="9"/>
      <c r="Y39" s="9"/>
      <c r="Z39" s="9"/>
      <c r="AA39" s="9"/>
      <c r="AB39" s="9"/>
      <c r="AC39" s="9"/>
      <c r="AD39" s="9"/>
      <c r="AE39" s="9"/>
      <c r="AF39" s="10">
        <f t="shared" si="0"/>
        <v>0</v>
      </c>
    </row>
    <row r="40" spans="1:32">
      <c r="A40" s="8"/>
      <c r="B40" s="8"/>
      <c r="C40" s="8"/>
      <c r="D40" s="9"/>
      <c r="E40" s="9"/>
      <c r="F40" s="9"/>
      <c r="G40" s="9"/>
      <c r="H40" s="9"/>
      <c r="I40" s="9"/>
      <c r="J40" s="9"/>
      <c r="K40" s="9"/>
      <c r="L40" s="9"/>
      <c r="M40" s="9"/>
      <c r="N40" s="9"/>
      <c r="O40" s="9"/>
      <c r="P40" s="9"/>
      <c r="Q40" s="9"/>
      <c r="R40" s="9"/>
      <c r="S40" s="9"/>
      <c r="T40" s="9"/>
      <c r="U40" s="9"/>
      <c r="V40" s="9"/>
      <c r="W40" s="9"/>
      <c r="X40" s="9"/>
      <c r="Y40" s="9"/>
      <c r="Z40" s="9"/>
      <c r="AA40" s="9"/>
      <c r="AB40" s="9"/>
      <c r="AC40" s="9"/>
      <c r="AD40" s="9"/>
      <c r="AE40" s="9"/>
      <c r="AF40" s="10">
        <f t="shared" si="0"/>
        <v>0</v>
      </c>
    </row>
    <row r="41" spans="1:32">
      <c r="A41" s="8"/>
      <c r="B41" s="8"/>
      <c r="C41" s="8"/>
      <c r="D41" s="9"/>
      <c r="E41" s="9"/>
      <c r="F41" s="9"/>
      <c r="G41" s="9"/>
      <c r="H41" s="9"/>
      <c r="I41" s="9"/>
      <c r="J41" s="9"/>
      <c r="K41" s="9"/>
      <c r="L41" s="9"/>
      <c r="M41" s="9"/>
      <c r="N41" s="9"/>
      <c r="O41" s="9"/>
      <c r="P41" s="9"/>
      <c r="Q41" s="9"/>
      <c r="R41" s="9"/>
      <c r="S41" s="9"/>
      <c r="T41" s="9"/>
      <c r="U41" s="9"/>
      <c r="V41" s="9"/>
      <c r="W41" s="9"/>
      <c r="X41" s="9"/>
      <c r="Y41" s="9"/>
      <c r="Z41" s="9"/>
      <c r="AA41" s="9"/>
      <c r="AB41" s="9"/>
      <c r="AC41" s="9"/>
      <c r="AD41" s="9"/>
      <c r="AE41" s="9"/>
      <c r="AF41" s="10">
        <f t="shared" si="0"/>
        <v>0</v>
      </c>
    </row>
    <row r="42" spans="1:32">
      <c r="A42" s="8"/>
      <c r="B42" s="8"/>
      <c r="C42" s="8"/>
      <c r="D42" s="9"/>
      <c r="E42" s="9"/>
      <c r="F42" s="9"/>
      <c r="G42" s="9"/>
      <c r="H42" s="9"/>
      <c r="I42" s="9"/>
      <c r="J42" s="9"/>
      <c r="K42" s="9"/>
      <c r="L42" s="9"/>
      <c r="M42" s="9"/>
      <c r="N42" s="9"/>
      <c r="O42" s="9"/>
      <c r="P42" s="9"/>
      <c r="Q42" s="9"/>
      <c r="R42" s="9"/>
      <c r="S42" s="9"/>
      <c r="T42" s="9"/>
      <c r="U42" s="9"/>
      <c r="V42" s="9"/>
      <c r="W42" s="9"/>
      <c r="X42" s="9"/>
      <c r="Y42" s="9"/>
      <c r="Z42" s="9"/>
      <c r="AA42" s="9"/>
      <c r="AB42" s="9"/>
      <c r="AC42" s="9"/>
      <c r="AD42" s="9"/>
      <c r="AE42" s="9"/>
      <c r="AF42" s="10">
        <f t="shared" si="0"/>
        <v>0</v>
      </c>
    </row>
    <row r="43" spans="1:32">
      <c r="A43" s="8"/>
      <c r="B43" s="8"/>
      <c r="C43" s="8"/>
      <c r="D43" s="9"/>
      <c r="E43" s="9"/>
      <c r="F43" s="9"/>
      <c r="G43" s="9"/>
      <c r="H43" s="9"/>
      <c r="I43" s="9"/>
      <c r="J43" s="9"/>
      <c r="K43" s="9"/>
      <c r="L43" s="9"/>
      <c r="M43" s="9"/>
      <c r="N43" s="9"/>
      <c r="O43" s="9"/>
      <c r="P43" s="9"/>
      <c r="Q43" s="9"/>
      <c r="R43" s="9"/>
      <c r="S43" s="9"/>
      <c r="T43" s="9"/>
      <c r="U43" s="9"/>
      <c r="V43" s="9"/>
      <c r="W43" s="9"/>
      <c r="X43" s="9"/>
      <c r="Y43" s="9"/>
      <c r="Z43" s="9"/>
      <c r="AA43" s="9"/>
      <c r="AB43" s="9"/>
      <c r="AC43" s="9"/>
      <c r="AD43" s="9"/>
      <c r="AE43" s="9"/>
      <c r="AF43" s="10">
        <f t="shared" si="0"/>
        <v>0</v>
      </c>
    </row>
    <row r="44" spans="1:32">
      <c r="A44" s="8"/>
      <c r="B44" s="8"/>
      <c r="C44" s="8"/>
      <c r="D44" s="9"/>
      <c r="E44" s="9"/>
      <c r="F44" s="9"/>
      <c r="G44" s="9"/>
      <c r="H44" s="9"/>
      <c r="I44" s="9"/>
      <c r="J44" s="9"/>
      <c r="K44" s="9"/>
      <c r="L44" s="9"/>
      <c r="M44" s="9"/>
      <c r="N44" s="9"/>
      <c r="O44" s="9"/>
      <c r="P44" s="9"/>
      <c r="Q44" s="9"/>
      <c r="R44" s="9"/>
      <c r="S44" s="9"/>
      <c r="T44" s="9"/>
      <c r="U44" s="9"/>
      <c r="V44" s="9"/>
      <c r="W44" s="9"/>
      <c r="X44" s="9"/>
      <c r="Y44" s="9"/>
      <c r="Z44" s="9"/>
      <c r="AA44" s="9"/>
      <c r="AB44" s="9"/>
      <c r="AC44" s="9"/>
      <c r="AD44" s="9"/>
      <c r="AE44" s="9"/>
      <c r="AF44" s="10">
        <f t="shared" si="0"/>
        <v>0</v>
      </c>
    </row>
    <row r="45" spans="1:32">
      <c r="A45" s="8"/>
      <c r="B45" s="8"/>
      <c r="C45" s="8"/>
      <c r="D45" s="9"/>
      <c r="E45" s="9"/>
      <c r="F45" s="9"/>
      <c r="G45" s="9"/>
      <c r="H45" s="9"/>
      <c r="I45" s="9"/>
      <c r="J45" s="9"/>
      <c r="K45" s="9"/>
      <c r="L45" s="9"/>
      <c r="M45" s="9"/>
      <c r="N45" s="9"/>
      <c r="O45" s="9"/>
      <c r="P45" s="9"/>
      <c r="Q45" s="9"/>
      <c r="R45" s="9"/>
      <c r="S45" s="9"/>
      <c r="T45" s="9"/>
      <c r="U45" s="9"/>
      <c r="V45" s="9"/>
      <c r="W45" s="9"/>
      <c r="X45" s="9"/>
      <c r="Y45" s="9"/>
      <c r="Z45" s="9"/>
      <c r="AA45" s="9"/>
      <c r="AB45" s="9"/>
      <c r="AC45" s="9"/>
      <c r="AD45" s="9"/>
      <c r="AE45" s="9"/>
      <c r="AF45" s="10">
        <f t="shared" si="0"/>
        <v>0</v>
      </c>
    </row>
    <row r="46" spans="1:32">
      <c r="A46" s="8"/>
      <c r="B46" s="8"/>
      <c r="C46" s="8"/>
      <c r="D46" s="9"/>
      <c r="E46" s="9"/>
      <c r="F46" s="9"/>
      <c r="G46" s="9"/>
      <c r="H46" s="9"/>
      <c r="I46" s="9"/>
      <c r="J46" s="9"/>
      <c r="K46" s="9"/>
      <c r="L46" s="9"/>
      <c r="M46" s="9"/>
      <c r="N46" s="9"/>
      <c r="O46" s="9"/>
      <c r="P46" s="9"/>
      <c r="Q46" s="9"/>
      <c r="R46" s="9"/>
      <c r="S46" s="9"/>
      <c r="T46" s="9"/>
      <c r="U46" s="9"/>
      <c r="V46" s="9"/>
      <c r="W46" s="9"/>
      <c r="X46" s="9"/>
      <c r="Y46" s="9"/>
      <c r="Z46" s="9"/>
      <c r="AA46" s="9"/>
      <c r="AB46" s="9"/>
      <c r="AC46" s="9"/>
      <c r="AD46" s="9"/>
      <c r="AE46" s="9"/>
      <c r="AF46" s="10">
        <f t="shared" si="0"/>
        <v>0</v>
      </c>
    </row>
    <row r="47" spans="1:32">
      <c r="A47" s="8"/>
      <c r="B47" s="8"/>
      <c r="C47" s="8"/>
      <c r="D47" s="9"/>
      <c r="E47" s="9"/>
      <c r="F47" s="9"/>
      <c r="G47" s="9"/>
      <c r="H47" s="9"/>
      <c r="I47" s="9"/>
      <c r="J47" s="9"/>
      <c r="K47" s="9"/>
      <c r="L47" s="9"/>
      <c r="M47" s="9"/>
      <c r="N47" s="9"/>
      <c r="O47" s="9"/>
      <c r="P47" s="9"/>
      <c r="Q47" s="9"/>
      <c r="R47" s="9"/>
      <c r="S47" s="9"/>
      <c r="T47" s="9"/>
      <c r="U47" s="9"/>
      <c r="V47" s="9"/>
      <c r="W47" s="9"/>
      <c r="X47" s="9"/>
      <c r="Y47" s="9"/>
      <c r="Z47" s="9"/>
      <c r="AA47" s="9"/>
      <c r="AB47" s="9"/>
      <c r="AC47" s="9"/>
      <c r="AD47" s="9"/>
      <c r="AE47" s="9"/>
      <c r="AF47" s="10">
        <f t="shared" si="0"/>
        <v>0</v>
      </c>
    </row>
    <row r="48" spans="1:32">
      <c r="A48" s="8"/>
      <c r="B48" s="8"/>
      <c r="C48" s="8"/>
      <c r="D48" s="9"/>
      <c r="E48" s="9"/>
      <c r="F48" s="9"/>
      <c r="G48" s="9"/>
      <c r="H48" s="9"/>
      <c r="I48" s="9"/>
      <c r="J48" s="9"/>
      <c r="K48" s="9"/>
      <c r="L48" s="9"/>
      <c r="M48" s="9"/>
      <c r="N48" s="9"/>
      <c r="O48" s="9"/>
      <c r="P48" s="9"/>
      <c r="Q48" s="9"/>
      <c r="R48" s="9"/>
      <c r="S48" s="9"/>
      <c r="T48" s="9"/>
      <c r="U48" s="9"/>
      <c r="V48" s="9"/>
      <c r="W48" s="9"/>
      <c r="X48" s="9"/>
      <c r="Y48" s="9"/>
      <c r="Z48" s="9"/>
      <c r="AA48" s="9"/>
      <c r="AB48" s="9"/>
      <c r="AC48" s="9"/>
      <c r="AD48" s="9"/>
      <c r="AE48" s="9"/>
      <c r="AF48" s="10">
        <f t="shared" si="0"/>
        <v>0</v>
      </c>
    </row>
    <row r="49" spans="1:32">
      <c r="A49" s="8"/>
      <c r="B49" s="8"/>
      <c r="C49" s="8"/>
      <c r="D49" s="9"/>
      <c r="E49" s="9"/>
      <c r="F49" s="9"/>
      <c r="G49" s="9"/>
      <c r="H49" s="9"/>
      <c r="I49" s="9"/>
      <c r="J49" s="9"/>
      <c r="K49" s="9"/>
      <c r="L49" s="9"/>
      <c r="M49" s="9"/>
      <c r="N49" s="9"/>
      <c r="O49" s="9"/>
      <c r="P49" s="9"/>
      <c r="Q49" s="9"/>
      <c r="R49" s="9"/>
      <c r="S49" s="9"/>
      <c r="T49" s="9"/>
      <c r="U49" s="9"/>
      <c r="V49" s="9"/>
      <c r="W49" s="9"/>
      <c r="X49" s="9"/>
      <c r="Y49" s="9"/>
      <c r="Z49" s="9"/>
      <c r="AA49" s="9"/>
      <c r="AB49" s="9"/>
      <c r="AC49" s="9"/>
      <c r="AD49" s="9"/>
      <c r="AE49" s="9"/>
      <c r="AF49" s="10">
        <f t="shared" si="0"/>
        <v>0</v>
      </c>
    </row>
    <row r="50" spans="1:32">
      <c r="A50" s="8"/>
      <c r="B50" s="8"/>
      <c r="C50" s="8"/>
      <c r="D50" s="9"/>
      <c r="E50" s="9"/>
      <c r="F50" s="9"/>
      <c r="G50" s="9"/>
      <c r="H50" s="9"/>
      <c r="I50" s="9"/>
      <c r="J50" s="9"/>
      <c r="K50" s="9"/>
      <c r="L50" s="9"/>
      <c r="M50" s="9"/>
      <c r="N50" s="9"/>
      <c r="O50" s="9"/>
      <c r="P50" s="9"/>
      <c r="Q50" s="9"/>
      <c r="R50" s="9"/>
      <c r="S50" s="9"/>
      <c r="T50" s="9"/>
      <c r="U50" s="9"/>
      <c r="V50" s="9"/>
      <c r="W50" s="9"/>
      <c r="X50" s="9"/>
      <c r="Y50" s="9"/>
      <c r="Z50" s="9"/>
      <c r="AA50" s="9"/>
      <c r="AB50" s="9"/>
      <c r="AC50" s="9"/>
      <c r="AD50" s="9"/>
      <c r="AE50" s="9"/>
      <c r="AF50" s="10">
        <f t="shared" si="0"/>
        <v>0</v>
      </c>
    </row>
    <row r="51" spans="1:32">
      <c r="A51" s="8"/>
      <c r="B51" s="8"/>
      <c r="C51" s="8"/>
      <c r="D51" s="9"/>
      <c r="E51" s="9"/>
      <c r="F51" s="9"/>
      <c r="G51" s="9"/>
      <c r="H51" s="9"/>
      <c r="I51" s="9"/>
      <c r="J51" s="9"/>
      <c r="K51" s="9"/>
      <c r="L51" s="9"/>
      <c r="M51" s="9"/>
      <c r="N51" s="9"/>
      <c r="O51" s="9"/>
      <c r="P51" s="9"/>
      <c r="Q51" s="9"/>
      <c r="R51" s="9"/>
      <c r="S51" s="9"/>
      <c r="T51" s="9"/>
      <c r="U51" s="9"/>
      <c r="V51" s="9"/>
      <c r="W51" s="9"/>
      <c r="X51" s="9"/>
      <c r="Y51" s="9"/>
      <c r="Z51" s="9"/>
      <c r="AA51" s="9"/>
      <c r="AB51" s="9"/>
      <c r="AC51" s="9"/>
      <c r="AD51" s="9"/>
      <c r="AE51" s="9"/>
      <c r="AF51" s="10">
        <f t="shared" si="0"/>
        <v>0</v>
      </c>
    </row>
    <row r="52" spans="1:32">
      <c r="A52" s="8"/>
      <c r="B52" s="8"/>
      <c r="C52" s="8"/>
      <c r="D52" s="9"/>
      <c r="E52" s="9"/>
      <c r="F52" s="9"/>
      <c r="G52" s="9"/>
      <c r="H52" s="9"/>
      <c r="I52" s="9"/>
      <c r="J52" s="9"/>
      <c r="K52" s="9"/>
      <c r="L52" s="9"/>
      <c r="M52" s="9"/>
      <c r="N52" s="9"/>
      <c r="O52" s="9"/>
      <c r="P52" s="9"/>
      <c r="Q52" s="9"/>
      <c r="R52" s="9"/>
      <c r="S52" s="9"/>
      <c r="T52" s="9"/>
      <c r="U52" s="9"/>
      <c r="V52" s="9"/>
      <c r="W52" s="9"/>
      <c r="X52" s="9"/>
      <c r="Y52" s="9"/>
      <c r="Z52" s="9"/>
      <c r="AA52" s="9"/>
      <c r="AB52" s="9"/>
      <c r="AC52" s="9"/>
      <c r="AD52" s="9"/>
      <c r="AE52" s="9"/>
      <c r="AF52" s="10">
        <f t="shared" si="0"/>
        <v>0</v>
      </c>
    </row>
    <row r="53" spans="1:32">
      <c r="A53" s="8"/>
      <c r="B53" s="8"/>
      <c r="C53" s="8"/>
      <c r="D53" s="9"/>
      <c r="E53" s="9"/>
      <c r="F53" s="9"/>
      <c r="G53" s="9"/>
      <c r="H53" s="9"/>
      <c r="I53" s="9"/>
      <c r="J53" s="9"/>
      <c r="K53" s="9"/>
      <c r="L53" s="9"/>
      <c r="M53" s="9"/>
      <c r="N53" s="9"/>
      <c r="O53" s="9"/>
      <c r="P53" s="9"/>
      <c r="Q53" s="9"/>
      <c r="R53" s="9"/>
      <c r="S53" s="9"/>
      <c r="T53" s="9"/>
      <c r="U53" s="9"/>
      <c r="V53" s="9"/>
      <c r="W53" s="9"/>
      <c r="X53" s="9"/>
      <c r="Y53" s="9"/>
      <c r="Z53" s="9"/>
      <c r="AA53" s="9"/>
      <c r="AB53" s="9"/>
      <c r="AC53" s="9"/>
      <c r="AD53" s="9"/>
      <c r="AE53" s="9"/>
      <c r="AF53" s="10">
        <f t="shared" si="0"/>
        <v>0</v>
      </c>
    </row>
    <row r="54" spans="1:32">
      <c r="A54" s="8"/>
      <c r="B54" s="8"/>
      <c r="C54" s="8"/>
      <c r="D54" s="9"/>
      <c r="E54" s="9"/>
      <c r="F54" s="9"/>
      <c r="G54" s="9"/>
      <c r="H54" s="9"/>
      <c r="I54" s="9"/>
      <c r="J54" s="9"/>
      <c r="K54" s="9"/>
      <c r="L54" s="9"/>
      <c r="M54" s="9"/>
      <c r="N54" s="9"/>
      <c r="O54" s="9"/>
      <c r="P54" s="9"/>
      <c r="Q54" s="9"/>
      <c r="R54" s="9"/>
      <c r="S54" s="9"/>
      <c r="T54" s="9"/>
      <c r="U54" s="9"/>
      <c r="V54" s="9"/>
      <c r="W54" s="9"/>
      <c r="X54" s="9"/>
      <c r="Y54" s="9"/>
      <c r="Z54" s="9"/>
      <c r="AA54" s="9"/>
      <c r="AB54" s="9"/>
      <c r="AC54" s="9"/>
      <c r="AD54" s="9"/>
      <c r="AE54" s="9"/>
      <c r="AF54" s="10">
        <f t="shared" si="0"/>
        <v>0</v>
      </c>
    </row>
    <row r="55" spans="1:32">
      <c r="A55" s="8"/>
      <c r="B55" s="8"/>
      <c r="C55" s="8"/>
      <c r="D55" s="9"/>
      <c r="E55" s="9"/>
      <c r="F55" s="9"/>
      <c r="G55" s="9"/>
      <c r="H55" s="9"/>
      <c r="I55" s="9"/>
      <c r="J55" s="9"/>
      <c r="K55" s="9"/>
      <c r="L55" s="9"/>
      <c r="M55" s="9"/>
      <c r="N55" s="9"/>
      <c r="O55" s="9"/>
      <c r="P55" s="9"/>
      <c r="Q55" s="9"/>
      <c r="R55" s="9"/>
      <c r="S55" s="9"/>
      <c r="T55" s="9"/>
      <c r="U55" s="9"/>
      <c r="V55" s="9"/>
      <c r="W55" s="9"/>
      <c r="X55" s="9"/>
      <c r="Y55" s="9"/>
      <c r="Z55" s="9"/>
      <c r="AA55" s="9"/>
      <c r="AB55" s="9"/>
      <c r="AC55" s="9"/>
      <c r="AD55" s="9"/>
      <c r="AE55" s="9"/>
      <c r="AF55" s="10">
        <f t="shared" si="0"/>
        <v>0</v>
      </c>
    </row>
    <row r="56" spans="1:32">
      <c r="A56" s="8"/>
      <c r="B56" s="8"/>
      <c r="C56" s="8"/>
      <c r="D56" s="9"/>
      <c r="E56" s="9"/>
      <c r="F56" s="9"/>
      <c r="G56" s="9"/>
      <c r="H56" s="9"/>
      <c r="I56" s="9"/>
      <c r="J56" s="9"/>
      <c r="K56" s="9"/>
      <c r="L56" s="9"/>
      <c r="M56" s="9"/>
      <c r="N56" s="9"/>
      <c r="O56" s="9"/>
      <c r="P56" s="9"/>
      <c r="Q56" s="9"/>
      <c r="R56" s="9"/>
      <c r="S56" s="9"/>
      <c r="T56" s="9"/>
      <c r="U56" s="9"/>
      <c r="V56" s="9"/>
      <c r="W56" s="9"/>
      <c r="X56" s="9"/>
      <c r="Y56" s="9"/>
      <c r="Z56" s="9"/>
      <c r="AA56" s="9"/>
      <c r="AB56" s="9"/>
      <c r="AC56" s="9"/>
      <c r="AD56" s="9"/>
      <c r="AE56" s="9"/>
      <c r="AF56" s="10">
        <f t="shared" si="0"/>
        <v>0</v>
      </c>
    </row>
    <row r="57" spans="1:32">
      <c r="A57" s="8"/>
      <c r="B57" s="8"/>
      <c r="C57" s="8"/>
      <c r="D57" s="9"/>
      <c r="E57" s="9"/>
      <c r="F57" s="9"/>
      <c r="G57" s="9"/>
      <c r="H57" s="9"/>
      <c r="I57" s="9"/>
      <c r="J57" s="9"/>
      <c r="K57" s="9"/>
      <c r="L57" s="9"/>
      <c r="M57" s="9"/>
      <c r="N57" s="9"/>
      <c r="O57" s="9"/>
      <c r="P57" s="9"/>
      <c r="Q57" s="9"/>
      <c r="R57" s="9"/>
      <c r="S57" s="9"/>
      <c r="T57" s="9"/>
      <c r="U57" s="9"/>
      <c r="V57" s="9"/>
      <c r="W57" s="9"/>
      <c r="X57" s="9"/>
      <c r="Y57" s="9"/>
      <c r="Z57" s="9"/>
      <c r="AA57" s="9"/>
      <c r="AB57" s="9"/>
      <c r="AC57" s="9"/>
      <c r="AD57" s="9"/>
      <c r="AE57" s="9"/>
      <c r="AF57" s="10">
        <f t="shared" si="0"/>
        <v>0</v>
      </c>
    </row>
    <row r="58" spans="1:32">
      <c r="A58" s="8"/>
      <c r="B58" s="8"/>
      <c r="C58" s="8"/>
      <c r="D58" s="9"/>
      <c r="E58" s="9"/>
      <c r="F58" s="9"/>
      <c r="G58" s="9"/>
      <c r="H58" s="9"/>
      <c r="I58" s="9"/>
      <c r="J58" s="9"/>
      <c r="K58" s="9"/>
      <c r="L58" s="9"/>
      <c r="M58" s="9"/>
      <c r="N58" s="9"/>
      <c r="O58" s="9"/>
      <c r="P58" s="9"/>
      <c r="Q58" s="9"/>
      <c r="R58" s="9"/>
      <c r="S58" s="9"/>
      <c r="T58" s="9"/>
      <c r="U58" s="9"/>
      <c r="V58" s="9"/>
      <c r="W58" s="9"/>
      <c r="X58" s="9"/>
      <c r="Y58" s="9"/>
      <c r="Z58" s="9"/>
      <c r="AA58" s="9"/>
      <c r="AB58" s="9"/>
      <c r="AC58" s="9"/>
      <c r="AD58" s="9"/>
      <c r="AE58" s="9"/>
      <c r="AF58" s="10">
        <f t="shared" si="0"/>
        <v>0</v>
      </c>
    </row>
    <row r="59" spans="1:32">
      <c r="A59" s="249" t="s">
        <v>104</v>
      </c>
      <c r="B59" s="250"/>
      <c r="C59" s="251"/>
      <c r="D59" s="10">
        <f>SUM(D9:D58)</f>
        <v>0</v>
      </c>
      <c r="E59" s="10">
        <f t="shared" ref="E59:AF59" si="1">SUM(E9:E58)</f>
        <v>0</v>
      </c>
      <c r="F59" s="10">
        <f t="shared" si="1"/>
        <v>0</v>
      </c>
      <c r="G59" s="10">
        <f t="shared" si="1"/>
        <v>0</v>
      </c>
      <c r="H59" s="10">
        <f t="shared" si="1"/>
        <v>0</v>
      </c>
      <c r="I59" s="10">
        <f t="shared" si="1"/>
        <v>0</v>
      </c>
      <c r="J59" s="10">
        <f t="shared" si="1"/>
        <v>0</v>
      </c>
      <c r="K59" s="10">
        <f t="shared" si="1"/>
        <v>0</v>
      </c>
      <c r="L59" s="10">
        <f t="shared" si="1"/>
        <v>0</v>
      </c>
      <c r="M59" s="10">
        <f t="shared" si="1"/>
        <v>0</v>
      </c>
      <c r="N59" s="10">
        <f t="shared" si="1"/>
        <v>0</v>
      </c>
      <c r="O59" s="10">
        <f t="shared" si="1"/>
        <v>0</v>
      </c>
      <c r="P59" s="10">
        <f t="shared" si="1"/>
        <v>0</v>
      </c>
      <c r="Q59" s="10">
        <f t="shared" si="1"/>
        <v>0</v>
      </c>
      <c r="R59" s="10">
        <f t="shared" si="1"/>
        <v>0</v>
      </c>
      <c r="S59" s="10">
        <f t="shared" si="1"/>
        <v>0</v>
      </c>
      <c r="T59" s="10">
        <f t="shared" si="1"/>
        <v>0</v>
      </c>
      <c r="U59" s="10">
        <f t="shared" si="1"/>
        <v>0</v>
      </c>
      <c r="V59" s="10">
        <f t="shared" si="1"/>
        <v>0</v>
      </c>
      <c r="W59" s="10">
        <f t="shared" si="1"/>
        <v>0</v>
      </c>
      <c r="X59" s="10">
        <f t="shared" si="1"/>
        <v>0</v>
      </c>
      <c r="Y59" s="10">
        <f t="shared" si="1"/>
        <v>0</v>
      </c>
      <c r="Z59" s="10">
        <f t="shared" si="1"/>
        <v>0</v>
      </c>
      <c r="AA59" s="10">
        <f t="shared" si="1"/>
        <v>0</v>
      </c>
      <c r="AB59" s="10">
        <f t="shared" si="1"/>
        <v>0</v>
      </c>
      <c r="AC59" s="10">
        <f t="shared" si="1"/>
        <v>0</v>
      </c>
      <c r="AD59" s="10">
        <f t="shared" si="1"/>
        <v>0</v>
      </c>
      <c r="AE59" s="10">
        <f t="shared" si="1"/>
        <v>0</v>
      </c>
      <c r="AF59" s="10">
        <f t="shared" si="1"/>
        <v>0</v>
      </c>
    </row>
  </sheetData>
  <mergeCells count="23">
    <mergeCell ref="A59:C59"/>
    <mergeCell ref="A6:A8"/>
    <mergeCell ref="B6:B8"/>
    <mergeCell ref="C6:C8"/>
    <mergeCell ref="D6:AE6"/>
    <mergeCell ref="S7:U7"/>
    <mergeCell ref="V7:X7"/>
    <mergeCell ref="Y7:AA7"/>
    <mergeCell ref="AB7:AD7"/>
    <mergeCell ref="AE7:AE8"/>
    <mergeCell ref="AF6:AF8"/>
    <mergeCell ref="D7:F7"/>
    <mergeCell ref="G7:I7"/>
    <mergeCell ref="J7:L7"/>
    <mergeCell ref="M7:O7"/>
    <mergeCell ref="P7:R7"/>
    <mergeCell ref="B3:C3"/>
    <mergeCell ref="E3:O3"/>
    <mergeCell ref="B4:C4"/>
    <mergeCell ref="E4:F4"/>
    <mergeCell ref="H4:I4"/>
    <mergeCell ref="K4:L4"/>
    <mergeCell ref="N4:O4"/>
  </mergeCells>
  <phoneticPr fontId="3"/>
  <pageMargins left="0.7" right="0.7" top="0.75" bottom="0.75" header="0.3" footer="0.3"/>
  <pageSetup paperSize="9" orientation="portrait" r:id="rId1"/>
  <legacyDrawing r:id="rId2"/>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000-000000000000}">
          <x14:formula1>
            <xm:f>リストマスタ!$K$3:$K$12</xm:f>
          </x14:formula1>
          <xm:sqref>A9:A58</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F59"/>
  <sheetViews>
    <sheetView workbookViewId="0">
      <selection activeCell="C13" sqref="C13"/>
    </sheetView>
  </sheetViews>
  <sheetFormatPr defaultColWidth="8.125" defaultRowHeight="12"/>
  <cols>
    <col min="1" max="1" width="14.625" style="2" customWidth="1"/>
    <col min="2" max="2" width="7.875" style="2" customWidth="1"/>
    <col min="3" max="3" width="14.625" style="2" customWidth="1"/>
    <col min="4" max="31" width="8.375" style="2" customWidth="1"/>
    <col min="32" max="32" width="11.125" style="2" customWidth="1"/>
    <col min="33" max="16384" width="8.125" style="2"/>
  </cols>
  <sheetData>
    <row r="1" spans="1:32" ht="19.5">
      <c r="A1" s="1" t="s">
        <v>139</v>
      </c>
    </row>
    <row r="2" spans="1:32" ht="5.25" customHeight="1">
      <c r="A2" s="1"/>
    </row>
    <row r="3" spans="1:32">
      <c r="A3" s="12" t="s">
        <v>118</v>
      </c>
      <c r="B3" s="237"/>
      <c r="C3" s="238"/>
      <c r="D3" s="13" t="s">
        <v>91</v>
      </c>
      <c r="E3" s="237">
        <f>社員工数!E3</f>
        <v>0</v>
      </c>
      <c r="F3" s="239"/>
      <c r="G3" s="239"/>
      <c r="H3" s="239"/>
      <c r="I3" s="239"/>
      <c r="J3" s="239"/>
      <c r="K3" s="239"/>
      <c r="L3" s="239"/>
      <c r="M3" s="239"/>
      <c r="N3" s="239"/>
      <c r="O3" s="238"/>
    </row>
    <row r="4" spans="1:32">
      <c r="A4" s="12" t="s">
        <v>119</v>
      </c>
      <c r="B4" s="237" t="s">
        <v>140</v>
      </c>
      <c r="C4" s="238"/>
      <c r="D4" s="14" t="s">
        <v>121</v>
      </c>
      <c r="E4" s="260">
        <f>社員工数!E4</f>
        <v>0</v>
      </c>
      <c r="F4" s="260"/>
      <c r="G4" s="14" t="s">
        <v>122</v>
      </c>
      <c r="H4" s="261">
        <f>社員工数!H4</f>
        <v>0</v>
      </c>
      <c r="I4" s="261"/>
      <c r="J4" s="14" t="s">
        <v>123</v>
      </c>
      <c r="K4" s="262">
        <f>AF59</f>
        <v>0</v>
      </c>
      <c r="L4" s="262"/>
      <c r="M4" s="14" t="s">
        <v>124</v>
      </c>
      <c r="N4" s="262">
        <f>SUMIF(A:A,"経費",AF:AF)</f>
        <v>0</v>
      </c>
      <c r="O4" s="262"/>
    </row>
    <row r="5" spans="1:32" ht="6" customHeight="1"/>
    <row r="6" spans="1:32" s="6" customFormat="1">
      <c r="A6" s="269" t="s">
        <v>125</v>
      </c>
      <c r="B6" s="272" t="s">
        <v>141</v>
      </c>
      <c r="C6" s="272" t="s">
        <v>127</v>
      </c>
      <c r="D6" s="275" t="s">
        <v>142</v>
      </c>
      <c r="E6" s="275"/>
      <c r="F6" s="275"/>
      <c r="G6" s="275"/>
      <c r="H6" s="275"/>
      <c r="I6" s="275"/>
      <c r="J6" s="275"/>
      <c r="K6" s="275"/>
      <c r="L6" s="275"/>
      <c r="M6" s="275"/>
      <c r="N6" s="275"/>
      <c r="O6" s="275"/>
      <c r="P6" s="275"/>
      <c r="Q6" s="275"/>
      <c r="R6" s="275"/>
      <c r="S6" s="275"/>
      <c r="T6" s="275"/>
      <c r="U6" s="275"/>
      <c r="V6" s="275"/>
      <c r="W6" s="275"/>
      <c r="X6" s="275"/>
      <c r="Y6" s="275"/>
      <c r="Z6" s="275"/>
      <c r="AA6" s="275"/>
      <c r="AB6" s="275"/>
      <c r="AC6" s="275"/>
      <c r="AD6" s="275"/>
      <c r="AE6" s="275"/>
      <c r="AF6" s="263" t="s">
        <v>104</v>
      </c>
    </row>
    <row r="7" spans="1:32" s="6" customFormat="1" ht="12" customHeight="1">
      <c r="A7" s="270"/>
      <c r="B7" s="273"/>
      <c r="C7" s="273"/>
      <c r="D7" s="266" t="s">
        <v>143</v>
      </c>
      <c r="E7" s="267"/>
      <c r="F7" s="268"/>
      <c r="G7" s="266" t="s">
        <v>144</v>
      </c>
      <c r="H7" s="267"/>
      <c r="I7" s="268"/>
      <c r="J7" s="266" t="s">
        <v>145</v>
      </c>
      <c r="K7" s="267"/>
      <c r="L7" s="268"/>
      <c r="M7" s="266" t="s">
        <v>146</v>
      </c>
      <c r="N7" s="267"/>
      <c r="O7" s="268"/>
      <c r="P7" s="266" t="s">
        <v>147</v>
      </c>
      <c r="Q7" s="267"/>
      <c r="R7" s="268"/>
      <c r="S7" s="266" t="s">
        <v>148</v>
      </c>
      <c r="T7" s="267"/>
      <c r="U7" s="268"/>
      <c r="V7" s="266" t="s">
        <v>149</v>
      </c>
      <c r="W7" s="267"/>
      <c r="X7" s="268"/>
      <c r="Y7" s="266" t="s">
        <v>150</v>
      </c>
      <c r="Z7" s="267"/>
      <c r="AA7" s="268"/>
      <c r="AB7" s="266" t="s">
        <v>151</v>
      </c>
      <c r="AC7" s="267"/>
      <c r="AD7" s="268"/>
      <c r="AE7" s="276" t="s">
        <v>138</v>
      </c>
      <c r="AF7" s="264"/>
    </row>
    <row r="8" spans="1:32" s="6" customFormat="1">
      <c r="A8" s="271"/>
      <c r="B8" s="274"/>
      <c r="C8" s="274"/>
      <c r="D8" s="15">
        <v>44197</v>
      </c>
      <c r="E8" s="15">
        <v>44228</v>
      </c>
      <c r="F8" s="15">
        <v>44256</v>
      </c>
      <c r="G8" s="15">
        <v>44287</v>
      </c>
      <c r="H8" s="15">
        <v>44317</v>
      </c>
      <c r="I8" s="15">
        <v>44348</v>
      </c>
      <c r="J8" s="15">
        <v>44378</v>
      </c>
      <c r="K8" s="15">
        <v>44409</v>
      </c>
      <c r="L8" s="15">
        <v>44440</v>
      </c>
      <c r="M8" s="15">
        <v>44470</v>
      </c>
      <c r="N8" s="15">
        <v>44501</v>
      </c>
      <c r="O8" s="15">
        <v>44531</v>
      </c>
      <c r="P8" s="15">
        <v>44562</v>
      </c>
      <c r="Q8" s="15">
        <v>44593</v>
      </c>
      <c r="R8" s="15">
        <v>44621</v>
      </c>
      <c r="S8" s="15">
        <v>44652</v>
      </c>
      <c r="T8" s="15">
        <v>44682</v>
      </c>
      <c r="U8" s="15">
        <v>44713</v>
      </c>
      <c r="V8" s="15">
        <v>44743</v>
      </c>
      <c r="W8" s="15">
        <v>44774</v>
      </c>
      <c r="X8" s="15">
        <v>44805</v>
      </c>
      <c r="Y8" s="15">
        <v>44835</v>
      </c>
      <c r="Z8" s="15">
        <v>44866</v>
      </c>
      <c r="AA8" s="15">
        <v>44896</v>
      </c>
      <c r="AB8" s="15">
        <v>44927</v>
      </c>
      <c r="AC8" s="15">
        <v>44958</v>
      </c>
      <c r="AD8" s="15">
        <v>44986</v>
      </c>
      <c r="AE8" s="274"/>
      <c r="AF8" s="265"/>
    </row>
    <row r="9" spans="1:32">
      <c r="A9" s="16"/>
      <c r="B9" s="17"/>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8">
        <f>SUM(D9:AE9)</f>
        <v>0</v>
      </c>
    </row>
    <row r="10" spans="1:32">
      <c r="A10" s="16"/>
      <c r="B10" s="17"/>
      <c r="C10" s="16"/>
      <c r="D10" s="16"/>
      <c r="E10" s="16"/>
      <c r="F10" s="16"/>
      <c r="G10" s="16"/>
      <c r="H10" s="16"/>
      <c r="I10" s="16"/>
      <c r="J10" s="16"/>
      <c r="K10" s="16"/>
      <c r="L10" s="16"/>
      <c r="M10" s="16"/>
      <c r="N10" s="16"/>
      <c r="O10" s="16"/>
      <c r="P10" s="16"/>
      <c r="Q10" s="16"/>
      <c r="R10" s="16"/>
      <c r="S10" s="16"/>
      <c r="T10" s="16"/>
      <c r="U10" s="16"/>
      <c r="V10" s="16"/>
      <c r="W10" s="16"/>
      <c r="X10" s="16"/>
      <c r="Y10" s="16"/>
      <c r="Z10" s="16"/>
      <c r="AA10" s="16"/>
      <c r="AB10" s="16"/>
      <c r="AC10" s="16"/>
      <c r="AD10" s="16"/>
      <c r="AE10" s="16"/>
      <c r="AF10" s="18">
        <f t="shared" ref="AF10:AF58" si="0">SUM(D10:AE10)</f>
        <v>0</v>
      </c>
    </row>
    <row r="11" spans="1:32">
      <c r="A11" s="16"/>
      <c r="B11" s="17"/>
      <c r="C11" s="16"/>
      <c r="D11" s="16"/>
      <c r="E11" s="16"/>
      <c r="F11" s="16"/>
      <c r="G11" s="16"/>
      <c r="H11" s="16"/>
      <c r="I11" s="16"/>
      <c r="J11" s="16"/>
      <c r="K11" s="16"/>
      <c r="L11" s="16"/>
      <c r="M11" s="16"/>
      <c r="N11" s="16"/>
      <c r="O11" s="16"/>
      <c r="P11" s="16"/>
      <c r="Q11" s="16"/>
      <c r="R11" s="16"/>
      <c r="S11" s="16"/>
      <c r="T11" s="16"/>
      <c r="U11" s="16"/>
      <c r="V11" s="16"/>
      <c r="W11" s="16"/>
      <c r="X11" s="16"/>
      <c r="Y11" s="16"/>
      <c r="Z11" s="16"/>
      <c r="AA11" s="16"/>
      <c r="AB11" s="16"/>
      <c r="AC11" s="16"/>
      <c r="AD11" s="16"/>
      <c r="AE11" s="16"/>
      <c r="AF11" s="18">
        <f t="shared" si="0"/>
        <v>0</v>
      </c>
    </row>
    <row r="12" spans="1:32">
      <c r="A12" s="16"/>
      <c r="B12" s="17"/>
      <c r="C12" s="16"/>
      <c r="D12" s="16"/>
      <c r="E12" s="16"/>
      <c r="F12" s="16"/>
      <c r="G12" s="16"/>
      <c r="H12" s="16"/>
      <c r="I12" s="16"/>
      <c r="J12" s="16"/>
      <c r="K12" s="16"/>
      <c r="L12" s="16"/>
      <c r="M12" s="16"/>
      <c r="N12" s="16"/>
      <c r="O12" s="16"/>
      <c r="P12" s="16"/>
      <c r="Q12" s="16"/>
      <c r="R12" s="16"/>
      <c r="S12" s="16"/>
      <c r="T12" s="16"/>
      <c r="U12" s="16"/>
      <c r="V12" s="16"/>
      <c r="W12" s="16"/>
      <c r="X12" s="16"/>
      <c r="Y12" s="16"/>
      <c r="Z12" s="16"/>
      <c r="AA12" s="16"/>
      <c r="AB12" s="16"/>
      <c r="AC12" s="16"/>
      <c r="AD12" s="16"/>
      <c r="AE12" s="16"/>
      <c r="AF12" s="18">
        <f t="shared" si="0"/>
        <v>0</v>
      </c>
    </row>
    <row r="13" spans="1:32">
      <c r="A13" s="16"/>
      <c r="B13" s="17"/>
      <c r="C13" s="16"/>
      <c r="D13" s="16"/>
      <c r="E13" s="16"/>
      <c r="F13" s="16"/>
      <c r="G13" s="16"/>
      <c r="H13" s="16"/>
      <c r="I13" s="16"/>
      <c r="J13" s="16"/>
      <c r="K13" s="16"/>
      <c r="L13" s="16"/>
      <c r="M13" s="16"/>
      <c r="N13" s="16"/>
      <c r="O13" s="16"/>
      <c r="P13" s="16"/>
      <c r="Q13" s="16"/>
      <c r="R13" s="16"/>
      <c r="S13" s="16"/>
      <c r="T13" s="16"/>
      <c r="U13" s="16"/>
      <c r="V13" s="16"/>
      <c r="W13" s="16"/>
      <c r="X13" s="16"/>
      <c r="Y13" s="16"/>
      <c r="Z13" s="16"/>
      <c r="AA13" s="16"/>
      <c r="AB13" s="16"/>
      <c r="AC13" s="16"/>
      <c r="AD13" s="16"/>
      <c r="AE13" s="16"/>
      <c r="AF13" s="18">
        <f t="shared" si="0"/>
        <v>0</v>
      </c>
    </row>
    <row r="14" spans="1:32">
      <c r="A14" s="16"/>
      <c r="B14" s="17"/>
      <c r="C14" s="16"/>
      <c r="D14" s="16"/>
      <c r="E14" s="19"/>
      <c r="F14" s="16"/>
      <c r="G14" s="16"/>
      <c r="H14" s="16"/>
      <c r="I14" s="16"/>
      <c r="J14" s="16"/>
      <c r="K14" s="16"/>
      <c r="L14" s="16"/>
      <c r="M14" s="16"/>
      <c r="N14" s="16"/>
      <c r="O14" s="16"/>
      <c r="P14" s="16"/>
      <c r="Q14" s="16"/>
      <c r="R14" s="16"/>
      <c r="S14" s="16"/>
      <c r="T14" s="16"/>
      <c r="U14" s="16"/>
      <c r="V14" s="16"/>
      <c r="W14" s="16"/>
      <c r="X14" s="16"/>
      <c r="Y14" s="16"/>
      <c r="Z14" s="16"/>
      <c r="AA14" s="16"/>
      <c r="AB14" s="16"/>
      <c r="AC14" s="16"/>
      <c r="AD14" s="16"/>
      <c r="AE14" s="16"/>
      <c r="AF14" s="18">
        <f t="shared" si="0"/>
        <v>0</v>
      </c>
    </row>
    <row r="15" spans="1:32">
      <c r="A15" s="16"/>
      <c r="B15" s="17"/>
      <c r="C15" s="16"/>
      <c r="D15" s="16"/>
      <c r="E15" s="16"/>
      <c r="F15" s="16"/>
      <c r="G15" s="16"/>
      <c r="H15" s="16"/>
      <c r="I15" s="16"/>
      <c r="J15" s="16"/>
      <c r="K15" s="16"/>
      <c r="L15" s="16"/>
      <c r="M15" s="16"/>
      <c r="N15" s="16"/>
      <c r="O15" s="16"/>
      <c r="P15" s="16"/>
      <c r="Q15" s="16"/>
      <c r="R15" s="16"/>
      <c r="S15" s="16"/>
      <c r="T15" s="16"/>
      <c r="U15" s="16"/>
      <c r="V15" s="16"/>
      <c r="W15" s="16"/>
      <c r="X15" s="16"/>
      <c r="Y15" s="16"/>
      <c r="Z15" s="16"/>
      <c r="AA15" s="16"/>
      <c r="AB15" s="16"/>
      <c r="AC15" s="16"/>
      <c r="AD15" s="16"/>
      <c r="AE15" s="16"/>
      <c r="AF15" s="18">
        <f t="shared" si="0"/>
        <v>0</v>
      </c>
    </row>
    <row r="16" spans="1:32">
      <c r="A16" s="16"/>
      <c r="B16" s="17"/>
      <c r="C16" s="16"/>
      <c r="D16" s="16"/>
      <c r="E16" s="16"/>
      <c r="F16" s="16"/>
      <c r="G16" s="16"/>
      <c r="H16" s="16"/>
      <c r="I16" s="16"/>
      <c r="J16" s="16"/>
      <c r="K16" s="16"/>
      <c r="L16" s="16"/>
      <c r="M16" s="16"/>
      <c r="N16" s="16"/>
      <c r="O16" s="16"/>
      <c r="P16" s="16"/>
      <c r="Q16" s="16"/>
      <c r="R16" s="16"/>
      <c r="S16" s="16"/>
      <c r="T16" s="16"/>
      <c r="U16" s="16"/>
      <c r="V16" s="16"/>
      <c r="W16" s="16"/>
      <c r="X16" s="16"/>
      <c r="Y16" s="16"/>
      <c r="Z16" s="16"/>
      <c r="AA16" s="16"/>
      <c r="AB16" s="16"/>
      <c r="AC16" s="16"/>
      <c r="AD16" s="16"/>
      <c r="AE16" s="16"/>
      <c r="AF16" s="18">
        <f t="shared" si="0"/>
        <v>0</v>
      </c>
    </row>
    <row r="17" spans="1:32">
      <c r="A17" s="16"/>
      <c r="B17" s="17"/>
      <c r="C17" s="16"/>
      <c r="D17" s="16"/>
      <c r="E17" s="16"/>
      <c r="F17" s="16"/>
      <c r="G17" s="16"/>
      <c r="H17" s="16"/>
      <c r="I17" s="16"/>
      <c r="J17" s="16"/>
      <c r="K17" s="16"/>
      <c r="L17" s="16"/>
      <c r="M17" s="16"/>
      <c r="N17" s="16"/>
      <c r="O17" s="16"/>
      <c r="P17" s="16"/>
      <c r="Q17" s="16"/>
      <c r="R17" s="16"/>
      <c r="S17" s="16"/>
      <c r="T17" s="16"/>
      <c r="U17" s="16"/>
      <c r="V17" s="16"/>
      <c r="W17" s="16"/>
      <c r="X17" s="16"/>
      <c r="Y17" s="16"/>
      <c r="Z17" s="16"/>
      <c r="AA17" s="16"/>
      <c r="AB17" s="16"/>
      <c r="AC17" s="16"/>
      <c r="AD17" s="16"/>
      <c r="AE17" s="16"/>
      <c r="AF17" s="18">
        <f t="shared" si="0"/>
        <v>0</v>
      </c>
    </row>
    <row r="18" spans="1:32">
      <c r="A18" s="16"/>
      <c r="B18" s="17"/>
      <c r="C18" s="16"/>
      <c r="D18" s="16"/>
      <c r="E18" s="16"/>
      <c r="F18" s="16"/>
      <c r="G18" s="16"/>
      <c r="H18" s="16"/>
      <c r="I18" s="16"/>
      <c r="J18" s="16"/>
      <c r="K18" s="16"/>
      <c r="L18" s="16"/>
      <c r="M18" s="16"/>
      <c r="N18" s="16"/>
      <c r="O18" s="16"/>
      <c r="P18" s="16"/>
      <c r="Q18" s="16"/>
      <c r="R18" s="16"/>
      <c r="S18" s="16"/>
      <c r="T18" s="16"/>
      <c r="U18" s="16"/>
      <c r="V18" s="16"/>
      <c r="W18" s="16"/>
      <c r="X18" s="16"/>
      <c r="Y18" s="16"/>
      <c r="Z18" s="16"/>
      <c r="AA18" s="16"/>
      <c r="AB18" s="16"/>
      <c r="AC18" s="16"/>
      <c r="AD18" s="16"/>
      <c r="AE18" s="16"/>
      <c r="AF18" s="18">
        <f t="shared" si="0"/>
        <v>0</v>
      </c>
    </row>
    <row r="19" spans="1:32">
      <c r="A19" s="16"/>
      <c r="B19" s="17"/>
      <c r="C19" s="16"/>
      <c r="D19" s="16"/>
      <c r="E19" s="16"/>
      <c r="F19" s="16"/>
      <c r="G19" s="16"/>
      <c r="H19" s="16"/>
      <c r="I19" s="16"/>
      <c r="J19" s="16"/>
      <c r="K19" s="16"/>
      <c r="L19" s="16"/>
      <c r="M19" s="16"/>
      <c r="N19" s="16"/>
      <c r="O19" s="16"/>
      <c r="P19" s="16"/>
      <c r="Q19" s="16"/>
      <c r="R19" s="16"/>
      <c r="S19" s="16"/>
      <c r="T19" s="16"/>
      <c r="U19" s="16"/>
      <c r="V19" s="16"/>
      <c r="W19" s="16"/>
      <c r="X19" s="16"/>
      <c r="Y19" s="16"/>
      <c r="Z19" s="16"/>
      <c r="AA19" s="16"/>
      <c r="AB19" s="16"/>
      <c r="AC19" s="16"/>
      <c r="AD19" s="16"/>
      <c r="AE19" s="16"/>
      <c r="AF19" s="18">
        <f t="shared" si="0"/>
        <v>0</v>
      </c>
    </row>
    <row r="20" spans="1:32">
      <c r="A20" s="16"/>
      <c r="B20" s="17"/>
      <c r="C20" s="16"/>
      <c r="D20" s="16"/>
      <c r="E20" s="16"/>
      <c r="F20" s="16"/>
      <c r="G20" s="16"/>
      <c r="H20" s="16"/>
      <c r="I20" s="16"/>
      <c r="J20" s="16"/>
      <c r="K20" s="16"/>
      <c r="L20" s="16"/>
      <c r="M20" s="16"/>
      <c r="N20" s="16"/>
      <c r="O20" s="16"/>
      <c r="P20" s="16"/>
      <c r="Q20" s="16"/>
      <c r="R20" s="16"/>
      <c r="S20" s="16"/>
      <c r="T20" s="16"/>
      <c r="U20" s="16"/>
      <c r="V20" s="16"/>
      <c r="W20" s="16"/>
      <c r="X20" s="16"/>
      <c r="Y20" s="16"/>
      <c r="Z20" s="16"/>
      <c r="AA20" s="16"/>
      <c r="AB20" s="16"/>
      <c r="AC20" s="16"/>
      <c r="AD20" s="16"/>
      <c r="AE20" s="16"/>
      <c r="AF20" s="18">
        <f t="shared" si="0"/>
        <v>0</v>
      </c>
    </row>
    <row r="21" spans="1:32">
      <c r="A21" s="16"/>
      <c r="B21" s="17"/>
      <c r="C21" s="16"/>
      <c r="D21" s="16"/>
      <c r="E21" s="16"/>
      <c r="F21" s="16"/>
      <c r="G21" s="16"/>
      <c r="H21" s="16"/>
      <c r="I21" s="16"/>
      <c r="J21" s="16"/>
      <c r="K21" s="16"/>
      <c r="L21" s="16"/>
      <c r="M21" s="16"/>
      <c r="N21" s="16"/>
      <c r="O21" s="16"/>
      <c r="P21" s="16"/>
      <c r="Q21" s="16"/>
      <c r="R21" s="16"/>
      <c r="S21" s="16"/>
      <c r="T21" s="16"/>
      <c r="U21" s="16"/>
      <c r="V21" s="16"/>
      <c r="W21" s="16"/>
      <c r="X21" s="16"/>
      <c r="Y21" s="16"/>
      <c r="Z21" s="16"/>
      <c r="AA21" s="16"/>
      <c r="AB21" s="16"/>
      <c r="AC21" s="16"/>
      <c r="AD21" s="16"/>
      <c r="AE21" s="16"/>
      <c r="AF21" s="18">
        <f t="shared" si="0"/>
        <v>0</v>
      </c>
    </row>
    <row r="22" spans="1:32">
      <c r="A22" s="16"/>
      <c r="B22" s="17"/>
      <c r="C22" s="16"/>
      <c r="D22" s="16"/>
      <c r="E22" s="16"/>
      <c r="F22" s="16"/>
      <c r="G22" s="16"/>
      <c r="H22" s="16"/>
      <c r="I22" s="16"/>
      <c r="J22" s="16"/>
      <c r="K22" s="16"/>
      <c r="L22" s="16"/>
      <c r="M22" s="16"/>
      <c r="N22" s="16"/>
      <c r="O22" s="16"/>
      <c r="P22" s="16"/>
      <c r="Q22" s="16"/>
      <c r="R22" s="16"/>
      <c r="S22" s="16"/>
      <c r="T22" s="16"/>
      <c r="U22" s="16"/>
      <c r="V22" s="16"/>
      <c r="W22" s="16"/>
      <c r="X22" s="16"/>
      <c r="Y22" s="16"/>
      <c r="Z22" s="16"/>
      <c r="AA22" s="16"/>
      <c r="AB22" s="16"/>
      <c r="AC22" s="16"/>
      <c r="AD22" s="16"/>
      <c r="AE22" s="16"/>
      <c r="AF22" s="18">
        <f t="shared" si="0"/>
        <v>0</v>
      </c>
    </row>
    <row r="23" spans="1:32">
      <c r="A23" s="16"/>
      <c r="B23" s="17"/>
      <c r="C23" s="16"/>
      <c r="D23" s="16"/>
      <c r="E23" s="16"/>
      <c r="F23" s="16"/>
      <c r="G23" s="16"/>
      <c r="H23" s="16"/>
      <c r="I23" s="16"/>
      <c r="J23" s="16"/>
      <c r="K23" s="16"/>
      <c r="L23" s="16"/>
      <c r="M23" s="16"/>
      <c r="N23" s="16"/>
      <c r="O23" s="16"/>
      <c r="P23" s="16"/>
      <c r="Q23" s="16"/>
      <c r="R23" s="16"/>
      <c r="S23" s="16"/>
      <c r="T23" s="16"/>
      <c r="U23" s="16"/>
      <c r="V23" s="16"/>
      <c r="W23" s="16"/>
      <c r="X23" s="16"/>
      <c r="Y23" s="16"/>
      <c r="Z23" s="16"/>
      <c r="AA23" s="16"/>
      <c r="AB23" s="16"/>
      <c r="AC23" s="16"/>
      <c r="AD23" s="16"/>
      <c r="AE23" s="16"/>
      <c r="AF23" s="18">
        <f t="shared" si="0"/>
        <v>0</v>
      </c>
    </row>
    <row r="24" spans="1:32">
      <c r="A24" s="16"/>
      <c r="B24" s="17"/>
      <c r="C24" s="16"/>
      <c r="D24" s="16"/>
      <c r="E24" s="16"/>
      <c r="F24" s="16"/>
      <c r="G24" s="16"/>
      <c r="H24" s="16"/>
      <c r="I24" s="16"/>
      <c r="J24" s="16"/>
      <c r="K24" s="16"/>
      <c r="L24" s="16"/>
      <c r="M24" s="16"/>
      <c r="N24" s="16"/>
      <c r="O24" s="16"/>
      <c r="P24" s="16"/>
      <c r="Q24" s="16"/>
      <c r="R24" s="16"/>
      <c r="S24" s="16"/>
      <c r="T24" s="16"/>
      <c r="U24" s="16"/>
      <c r="V24" s="16"/>
      <c r="W24" s="16"/>
      <c r="X24" s="16"/>
      <c r="Y24" s="16"/>
      <c r="Z24" s="16"/>
      <c r="AA24" s="16"/>
      <c r="AB24" s="16"/>
      <c r="AC24" s="16"/>
      <c r="AD24" s="16"/>
      <c r="AE24" s="16"/>
      <c r="AF24" s="18">
        <f t="shared" si="0"/>
        <v>0</v>
      </c>
    </row>
    <row r="25" spans="1:32">
      <c r="A25" s="16"/>
      <c r="B25" s="17"/>
      <c r="C25" s="16"/>
      <c r="D25" s="16"/>
      <c r="E25" s="16"/>
      <c r="F25" s="16"/>
      <c r="G25" s="16"/>
      <c r="H25" s="16"/>
      <c r="I25" s="16"/>
      <c r="J25" s="16"/>
      <c r="K25" s="16"/>
      <c r="L25" s="16"/>
      <c r="M25" s="16"/>
      <c r="N25" s="16"/>
      <c r="O25" s="16"/>
      <c r="P25" s="16"/>
      <c r="Q25" s="16"/>
      <c r="R25" s="16"/>
      <c r="S25" s="16"/>
      <c r="T25" s="16"/>
      <c r="U25" s="16"/>
      <c r="V25" s="16"/>
      <c r="W25" s="16"/>
      <c r="X25" s="16"/>
      <c r="Y25" s="16"/>
      <c r="Z25" s="16"/>
      <c r="AA25" s="16"/>
      <c r="AB25" s="16"/>
      <c r="AC25" s="16"/>
      <c r="AD25" s="16"/>
      <c r="AE25" s="16"/>
      <c r="AF25" s="18">
        <f t="shared" si="0"/>
        <v>0</v>
      </c>
    </row>
    <row r="26" spans="1:32">
      <c r="A26" s="16"/>
      <c r="B26" s="17"/>
      <c r="C26" s="16"/>
      <c r="D26" s="16"/>
      <c r="E26" s="16"/>
      <c r="F26" s="16"/>
      <c r="G26" s="16"/>
      <c r="H26" s="16"/>
      <c r="I26" s="16"/>
      <c r="J26" s="16"/>
      <c r="K26" s="16"/>
      <c r="L26" s="16"/>
      <c r="M26" s="16"/>
      <c r="N26" s="16"/>
      <c r="O26" s="16"/>
      <c r="P26" s="16"/>
      <c r="Q26" s="16"/>
      <c r="R26" s="16"/>
      <c r="S26" s="16"/>
      <c r="T26" s="16"/>
      <c r="U26" s="16"/>
      <c r="V26" s="16"/>
      <c r="W26" s="16"/>
      <c r="X26" s="16"/>
      <c r="Y26" s="16"/>
      <c r="Z26" s="16"/>
      <c r="AA26" s="16"/>
      <c r="AB26" s="16"/>
      <c r="AC26" s="16"/>
      <c r="AD26" s="16"/>
      <c r="AE26" s="16"/>
      <c r="AF26" s="18">
        <f t="shared" si="0"/>
        <v>0</v>
      </c>
    </row>
    <row r="27" spans="1:32">
      <c r="A27" s="16"/>
      <c r="B27" s="17"/>
      <c r="C27" s="16"/>
      <c r="D27" s="16"/>
      <c r="E27" s="16"/>
      <c r="F27" s="16"/>
      <c r="G27" s="16"/>
      <c r="H27" s="16"/>
      <c r="I27" s="16"/>
      <c r="J27" s="16"/>
      <c r="K27" s="16"/>
      <c r="L27" s="16"/>
      <c r="M27" s="16"/>
      <c r="N27" s="16"/>
      <c r="O27" s="16"/>
      <c r="P27" s="16"/>
      <c r="Q27" s="16"/>
      <c r="R27" s="16"/>
      <c r="S27" s="16"/>
      <c r="T27" s="16"/>
      <c r="U27" s="16"/>
      <c r="V27" s="16"/>
      <c r="W27" s="16"/>
      <c r="X27" s="16"/>
      <c r="Y27" s="16"/>
      <c r="Z27" s="16"/>
      <c r="AA27" s="16"/>
      <c r="AB27" s="16"/>
      <c r="AC27" s="16"/>
      <c r="AD27" s="16"/>
      <c r="AE27" s="16"/>
      <c r="AF27" s="18">
        <f t="shared" si="0"/>
        <v>0</v>
      </c>
    </row>
    <row r="28" spans="1:32">
      <c r="A28" s="16"/>
      <c r="B28" s="17"/>
      <c r="C28" s="16"/>
      <c r="D28" s="16"/>
      <c r="E28" s="16"/>
      <c r="F28" s="16"/>
      <c r="G28" s="16"/>
      <c r="H28" s="16"/>
      <c r="I28" s="16"/>
      <c r="J28" s="16"/>
      <c r="K28" s="16"/>
      <c r="L28" s="16"/>
      <c r="M28" s="16"/>
      <c r="N28" s="16"/>
      <c r="O28" s="16"/>
      <c r="P28" s="16"/>
      <c r="Q28" s="16"/>
      <c r="R28" s="16"/>
      <c r="S28" s="16"/>
      <c r="T28" s="16"/>
      <c r="U28" s="16"/>
      <c r="V28" s="16"/>
      <c r="W28" s="16"/>
      <c r="X28" s="16"/>
      <c r="Y28" s="16"/>
      <c r="Z28" s="16"/>
      <c r="AA28" s="16"/>
      <c r="AB28" s="16"/>
      <c r="AC28" s="16"/>
      <c r="AD28" s="16"/>
      <c r="AE28" s="16"/>
      <c r="AF28" s="18">
        <f t="shared" si="0"/>
        <v>0</v>
      </c>
    </row>
    <row r="29" spans="1:32">
      <c r="A29" s="16"/>
      <c r="B29" s="17"/>
      <c r="C29" s="16"/>
      <c r="D29" s="16"/>
      <c r="E29" s="16"/>
      <c r="F29" s="16"/>
      <c r="G29" s="16"/>
      <c r="H29" s="16"/>
      <c r="I29" s="16"/>
      <c r="J29" s="16"/>
      <c r="K29" s="16"/>
      <c r="L29" s="16"/>
      <c r="M29" s="16"/>
      <c r="N29" s="16"/>
      <c r="O29" s="16"/>
      <c r="P29" s="16"/>
      <c r="Q29" s="16"/>
      <c r="R29" s="16"/>
      <c r="S29" s="16"/>
      <c r="T29" s="16"/>
      <c r="U29" s="16"/>
      <c r="V29" s="16"/>
      <c r="W29" s="16"/>
      <c r="X29" s="16"/>
      <c r="Y29" s="16"/>
      <c r="Z29" s="16"/>
      <c r="AA29" s="16"/>
      <c r="AB29" s="16"/>
      <c r="AC29" s="16"/>
      <c r="AD29" s="16"/>
      <c r="AE29" s="16"/>
      <c r="AF29" s="18">
        <f t="shared" si="0"/>
        <v>0</v>
      </c>
    </row>
    <row r="30" spans="1:32">
      <c r="A30" s="16"/>
      <c r="B30" s="17"/>
      <c r="C30" s="16"/>
      <c r="D30" s="16"/>
      <c r="E30" s="16"/>
      <c r="F30" s="16"/>
      <c r="G30" s="16"/>
      <c r="H30" s="16"/>
      <c r="I30" s="16"/>
      <c r="J30" s="16"/>
      <c r="K30" s="16"/>
      <c r="L30" s="16"/>
      <c r="M30" s="16"/>
      <c r="N30" s="16"/>
      <c r="O30" s="16"/>
      <c r="P30" s="16"/>
      <c r="Q30" s="16"/>
      <c r="R30" s="16"/>
      <c r="S30" s="16"/>
      <c r="T30" s="16"/>
      <c r="U30" s="16"/>
      <c r="V30" s="16"/>
      <c r="W30" s="16"/>
      <c r="X30" s="16"/>
      <c r="Y30" s="16"/>
      <c r="Z30" s="16"/>
      <c r="AA30" s="16"/>
      <c r="AB30" s="16"/>
      <c r="AC30" s="16"/>
      <c r="AD30" s="16"/>
      <c r="AE30" s="16"/>
      <c r="AF30" s="18">
        <f t="shared" si="0"/>
        <v>0</v>
      </c>
    </row>
    <row r="31" spans="1:32">
      <c r="A31" s="16"/>
      <c r="B31" s="17"/>
      <c r="C31" s="16"/>
      <c r="D31" s="16"/>
      <c r="E31" s="16"/>
      <c r="F31" s="16"/>
      <c r="G31" s="16"/>
      <c r="H31" s="16"/>
      <c r="I31" s="16"/>
      <c r="J31" s="16"/>
      <c r="K31" s="16"/>
      <c r="L31" s="16"/>
      <c r="M31" s="16"/>
      <c r="N31" s="16"/>
      <c r="O31" s="16"/>
      <c r="P31" s="16"/>
      <c r="Q31" s="16"/>
      <c r="R31" s="16"/>
      <c r="S31" s="16"/>
      <c r="T31" s="16"/>
      <c r="U31" s="16"/>
      <c r="V31" s="16"/>
      <c r="W31" s="16"/>
      <c r="X31" s="16"/>
      <c r="Y31" s="16"/>
      <c r="Z31" s="16"/>
      <c r="AA31" s="16"/>
      <c r="AB31" s="16"/>
      <c r="AC31" s="16"/>
      <c r="AD31" s="16"/>
      <c r="AE31" s="16"/>
      <c r="AF31" s="18">
        <f t="shared" si="0"/>
        <v>0</v>
      </c>
    </row>
    <row r="32" spans="1:32">
      <c r="A32" s="16"/>
      <c r="B32" s="17"/>
      <c r="C32" s="16"/>
      <c r="D32" s="16"/>
      <c r="E32" s="16"/>
      <c r="F32" s="16"/>
      <c r="G32" s="16"/>
      <c r="H32" s="16"/>
      <c r="I32" s="16"/>
      <c r="J32" s="16"/>
      <c r="K32" s="16"/>
      <c r="L32" s="16"/>
      <c r="M32" s="16"/>
      <c r="N32" s="16"/>
      <c r="O32" s="16"/>
      <c r="P32" s="16"/>
      <c r="Q32" s="16"/>
      <c r="R32" s="16"/>
      <c r="S32" s="16"/>
      <c r="T32" s="16"/>
      <c r="U32" s="16"/>
      <c r="V32" s="16"/>
      <c r="W32" s="16"/>
      <c r="X32" s="16"/>
      <c r="Y32" s="16"/>
      <c r="Z32" s="16"/>
      <c r="AA32" s="16"/>
      <c r="AB32" s="16"/>
      <c r="AC32" s="16"/>
      <c r="AD32" s="16"/>
      <c r="AE32" s="16"/>
      <c r="AF32" s="18">
        <f t="shared" si="0"/>
        <v>0</v>
      </c>
    </row>
    <row r="33" spans="1:32">
      <c r="A33" s="16"/>
      <c r="B33" s="17"/>
      <c r="C33" s="16"/>
      <c r="D33" s="16"/>
      <c r="E33" s="16"/>
      <c r="F33" s="16"/>
      <c r="G33" s="16"/>
      <c r="H33" s="16"/>
      <c r="I33" s="16"/>
      <c r="J33" s="16"/>
      <c r="K33" s="16"/>
      <c r="L33" s="16"/>
      <c r="M33" s="16"/>
      <c r="N33" s="16"/>
      <c r="O33" s="16"/>
      <c r="P33" s="16"/>
      <c r="Q33" s="16"/>
      <c r="R33" s="16"/>
      <c r="S33" s="16"/>
      <c r="T33" s="16"/>
      <c r="U33" s="16"/>
      <c r="V33" s="16"/>
      <c r="W33" s="16"/>
      <c r="X33" s="16"/>
      <c r="Y33" s="16"/>
      <c r="Z33" s="16"/>
      <c r="AA33" s="16"/>
      <c r="AB33" s="16"/>
      <c r="AC33" s="16"/>
      <c r="AD33" s="16"/>
      <c r="AE33" s="16"/>
      <c r="AF33" s="18">
        <f t="shared" si="0"/>
        <v>0</v>
      </c>
    </row>
    <row r="34" spans="1:32">
      <c r="A34" s="16"/>
      <c r="B34" s="17"/>
      <c r="C34" s="16"/>
      <c r="D34" s="16"/>
      <c r="E34" s="16"/>
      <c r="F34" s="16"/>
      <c r="G34" s="16"/>
      <c r="H34" s="16"/>
      <c r="I34" s="16"/>
      <c r="J34" s="16"/>
      <c r="K34" s="16"/>
      <c r="L34" s="16"/>
      <c r="M34" s="16"/>
      <c r="N34" s="16"/>
      <c r="O34" s="16"/>
      <c r="P34" s="16"/>
      <c r="Q34" s="16"/>
      <c r="R34" s="16"/>
      <c r="S34" s="16"/>
      <c r="T34" s="16"/>
      <c r="U34" s="16"/>
      <c r="V34" s="16"/>
      <c r="W34" s="16"/>
      <c r="X34" s="16"/>
      <c r="Y34" s="16"/>
      <c r="Z34" s="16"/>
      <c r="AA34" s="16"/>
      <c r="AB34" s="16"/>
      <c r="AC34" s="16"/>
      <c r="AD34" s="16"/>
      <c r="AE34" s="16"/>
      <c r="AF34" s="18">
        <f t="shared" si="0"/>
        <v>0</v>
      </c>
    </row>
    <row r="35" spans="1:32">
      <c r="A35" s="16"/>
      <c r="B35" s="17"/>
      <c r="C35" s="16"/>
      <c r="D35" s="16"/>
      <c r="E35" s="16"/>
      <c r="F35" s="16"/>
      <c r="G35" s="16"/>
      <c r="H35" s="16"/>
      <c r="I35" s="16"/>
      <c r="J35" s="16"/>
      <c r="K35" s="16"/>
      <c r="L35" s="16"/>
      <c r="M35" s="16"/>
      <c r="N35" s="16"/>
      <c r="O35" s="16"/>
      <c r="P35" s="16"/>
      <c r="Q35" s="16"/>
      <c r="R35" s="16"/>
      <c r="S35" s="16"/>
      <c r="T35" s="16"/>
      <c r="U35" s="16"/>
      <c r="V35" s="16"/>
      <c r="W35" s="16"/>
      <c r="X35" s="16"/>
      <c r="Y35" s="16"/>
      <c r="Z35" s="16"/>
      <c r="AA35" s="16"/>
      <c r="AB35" s="16"/>
      <c r="AC35" s="16"/>
      <c r="AD35" s="16"/>
      <c r="AE35" s="16"/>
      <c r="AF35" s="18">
        <f t="shared" si="0"/>
        <v>0</v>
      </c>
    </row>
    <row r="36" spans="1:32">
      <c r="A36" s="16"/>
      <c r="B36" s="17"/>
      <c r="C36" s="16"/>
      <c r="D36" s="16"/>
      <c r="E36" s="16"/>
      <c r="F36" s="16"/>
      <c r="G36" s="16"/>
      <c r="H36" s="16"/>
      <c r="I36" s="16"/>
      <c r="J36" s="16"/>
      <c r="K36" s="16"/>
      <c r="L36" s="16"/>
      <c r="M36" s="16"/>
      <c r="N36" s="16"/>
      <c r="O36" s="16"/>
      <c r="P36" s="16"/>
      <c r="Q36" s="16"/>
      <c r="R36" s="16"/>
      <c r="S36" s="16"/>
      <c r="T36" s="16"/>
      <c r="U36" s="16"/>
      <c r="V36" s="16"/>
      <c r="W36" s="16"/>
      <c r="X36" s="16"/>
      <c r="Y36" s="16"/>
      <c r="Z36" s="16"/>
      <c r="AA36" s="16"/>
      <c r="AB36" s="16"/>
      <c r="AC36" s="16"/>
      <c r="AD36" s="16"/>
      <c r="AE36" s="16"/>
      <c r="AF36" s="18">
        <f t="shared" si="0"/>
        <v>0</v>
      </c>
    </row>
    <row r="37" spans="1:32">
      <c r="A37" s="16"/>
      <c r="B37" s="17"/>
      <c r="C37" s="16"/>
      <c r="D37" s="16"/>
      <c r="E37" s="16"/>
      <c r="F37" s="16"/>
      <c r="G37" s="16"/>
      <c r="H37" s="16"/>
      <c r="I37" s="16"/>
      <c r="J37" s="16"/>
      <c r="K37" s="16"/>
      <c r="L37" s="16"/>
      <c r="M37" s="16"/>
      <c r="N37" s="16"/>
      <c r="O37" s="16"/>
      <c r="P37" s="16"/>
      <c r="Q37" s="16"/>
      <c r="R37" s="16"/>
      <c r="S37" s="16"/>
      <c r="T37" s="16"/>
      <c r="U37" s="16"/>
      <c r="V37" s="16"/>
      <c r="W37" s="16"/>
      <c r="X37" s="16"/>
      <c r="Y37" s="16"/>
      <c r="Z37" s="16"/>
      <c r="AA37" s="16"/>
      <c r="AB37" s="16"/>
      <c r="AC37" s="16"/>
      <c r="AD37" s="16"/>
      <c r="AE37" s="16"/>
      <c r="AF37" s="18">
        <f t="shared" si="0"/>
        <v>0</v>
      </c>
    </row>
    <row r="38" spans="1:32">
      <c r="A38" s="16"/>
      <c r="B38" s="17"/>
      <c r="C38" s="16"/>
      <c r="D38" s="16"/>
      <c r="E38" s="16"/>
      <c r="F38" s="16"/>
      <c r="G38" s="16"/>
      <c r="H38" s="16"/>
      <c r="I38" s="16"/>
      <c r="J38" s="16"/>
      <c r="K38" s="16"/>
      <c r="L38" s="16"/>
      <c r="M38" s="16"/>
      <c r="N38" s="16"/>
      <c r="O38" s="16"/>
      <c r="P38" s="16"/>
      <c r="Q38" s="16"/>
      <c r="R38" s="16"/>
      <c r="S38" s="16"/>
      <c r="T38" s="16"/>
      <c r="U38" s="16"/>
      <c r="V38" s="16"/>
      <c r="W38" s="16"/>
      <c r="X38" s="16"/>
      <c r="Y38" s="16"/>
      <c r="Z38" s="16"/>
      <c r="AA38" s="16"/>
      <c r="AB38" s="16"/>
      <c r="AC38" s="16"/>
      <c r="AD38" s="16"/>
      <c r="AE38" s="16"/>
      <c r="AF38" s="18">
        <f t="shared" si="0"/>
        <v>0</v>
      </c>
    </row>
    <row r="39" spans="1:32">
      <c r="A39" s="16"/>
      <c r="B39" s="17"/>
      <c r="C39" s="16"/>
      <c r="D39" s="16"/>
      <c r="E39" s="16"/>
      <c r="F39" s="16"/>
      <c r="G39" s="16"/>
      <c r="H39" s="16"/>
      <c r="I39" s="16"/>
      <c r="J39" s="16"/>
      <c r="K39" s="16"/>
      <c r="L39" s="16"/>
      <c r="M39" s="16"/>
      <c r="N39" s="16"/>
      <c r="O39" s="16"/>
      <c r="P39" s="16"/>
      <c r="Q39" s="16"/>
      <c r="R39" s="16"/>
      <c r="S39" s="16"/>
      <c r="T39" s="16"/>
      <c r="U39" s="16"/>
      <c r="V39" s="16"/>
      <c r="W39" s="16"/>
      <c r="X39" s="16"/>
      <c r="Y39" s="16"/>
      <c r="Z39" s="16"/>
      <c r="AA39" s="16"/>
      <c r="AB39" s="16"/>
      <c r="AC39" s="16"/>
      <c r="AD39" s="16"/>
      <c r="AE39" s="16"/>
      <c r="AF39" s="18">
        <f t="shared" si="0"/>
        <v>0</v>
      </c>
    </row>
    <row r="40" spans="1:32">
      <c r="A40" s="16"/>
      <c r="B40" s="17"/>
      <c r="C40" s="16"/>
      <c r="D40" s="16"/>
      <c r="E40" s="16"/>
      <c r="F40" s="16"/>
      <c r="G40" s="16"/>
      <c r="H40" s="16"/>
      <c r="I40" s="16"/>
      <c r="J40" s="16"/>
      <c r="K40" s="16"/>
      <c r="L40" s="16"/>
      <c r="M40" s="16"/>
      <c r="N40" s="16"/>
      <c r="O40" s="16"/>
      <c r="P40" s="16"/>
      <c r="Q40" s="16"/>
      <c r="R40" s="16"/>
      <c r="S40" s="16"/>
      <c r="T40" s="16"/>
      <c r="U40" s="16"/>
      <c r="V40" s="16"/>
      <c r="W40" s="16"/>
      <c r="X40" s="16"/>
      <c r="Y40" s="16"/>
      <c r="Z40" s="16"/>
      <c r="AA40" s="16"/>
      <c r="AB40" s="16"/>
      <c r="AC40" s="16"/>
      <c r="AD40" s="16"/>
      <c r="AE40" s="16"/>
      <c r="AF40" s="18">
        <f t="shared" si="0"/>
        <v>0</v>
      </c>
    </row>
    <row r="41" spans="1:32">
      <c r="A41" s="16"/>
      <c r="B41" s="17"/>
      <c r="C41" s="16"/>
      <c r="D41" s="16"/>
      <c r="E41" s="16"/>
      <c r="F41" s="16"/>
      <c r="G41" s="16"/>
      <c r="H41" s="16"/>
      <c r="I41" s="16"/>
      <c r="J41" s="16"/>
      <c r="K41" s="16"/>
      <c r="L41" s="16"/>
      <c r="M41" s="16"/>
      <c r="N41" s="16"/>
      <c r="O41" s="16"/>
      <c r="P41" s="16"/>
      <c r="Q41" s="16"/>
      <c r="R41" s="16"/>
      <c r="S41" s="16"/>
      <c r="T41" s="16"/>
      <c r="U41" s="16"/>
      <c r="V41" s="16"/>
      <c r="W41" s="16"/>
      <c r="X41" s="16"/>
      <c r="Y41" s="16"/>
      <c r="Z41" s="16"/>
      <c r="AA41" s="16"/>
      <c r="AB41" s="16"/>
      <c r="AC41" s="16"/>
      <c r="AD41" s="16"/>
      <c r="AE41" s="16"/>
      <c r="AF41" s="18">
        <f t="shared" si="0"/>
        <v>0</v>
      </c>
    </row>
    <row r="42" spans="1:32">
      <c r="A42" s="16"/>
      <c r="B42" s="17"/>
      <c r="C42" s="16"/>
      <c r="D42" s="16"/>
      <c r="E42" s="16"/>
      <c r="F42" s="16"/>
      <c r="G42" s="16"/>
      <c r="H42" s="16"/>
      <c r="I42" s="16"/>
      <c r="J42" s="16"/>
      <c r="K42" s="16"/>
      <c r="L42" s="16"/>
      <c r="M42" s="16"/>
      <c r="N42" s="16"/>
      <c r="O42" s="16"/>
      <c r="P42" s="16"/>
      <c r="Q42" s="16"/>
      <c r="R42" s="16"/>
      <c r="S42" s="16"/>
      <c r="T42" s="16"/>
      <c r="U42" s="16"/>
      <c r="V42" s="16"/>
      <c r="W42" s="16"/>
      <c r="X42" s="16"/>
      <c r="Y42" s="16"/>
      <c r="Z42" s="16"/>
      <c r="AA42" s="16"/>
      <c r="AB42" s="16"/>
      <c r="AC42" s="16"/>
      <c r="AD42" s="16"/>
      <c r="AE42" s="16"/>
      <c r="AF42" s="18">
        <f t="shared" si="0"/>
        <v>0</v>
      </c>
    </row>
    <row r="43" spans="1:32">
      <c r="A43" s="16"/>
      <c r="B43" s="17"/>
      <c r="C43" s="16"/>
      <c r="D43" s="16"/>
      <c r="E43" s="16"/>
      <c r="F43" s="16"/>
      <c r="G43" s="16"/>
      <c r="H43" s="16"/>
      <c r="I43" s="16"/>
      <c r="J43" s="16"/>
      <c r="K43" s="16"/>
      <c r="L43" s="16"/>
      <c r="M43" s="16"/>
      <c r="N43" s="16"/>
      <c r="O43" s="16"/>
      <c r="P43" s="16"/>
      <c r="Q43" s="16"/>
      <c r="R43" s="16"/>
      <c r="S43" s="16"/>
      <c r="T43" s="16"/>
      <c r="U43" s="16"/>
      <c r="V43" s="16"/>
      <c r="W43" s="16"/>
      <c r="X43" s="16"/>
      <c r="Y43" s="16"/>
      <c r="Z43" s="16"/>
      <c r="AA43" s="16"/>
      <c r="AB43" s="16"/>
      <c r="AC43" s="16"/>
      <c r="AD43" s="16"/>
      <c r="AE43" s="16"/>
      <c r="AF43" s="18">
        <f t="shared" si="0"/>
        <v>0</v>
      </c>
    </row>
    <row r="44" spans="1:32">
      <c r="A44" s="16"/>
      <c r="B44" s="17"/>
      <c r="C44" s="16"/>
      <c r="D44" s="16"/>
      <c r="E44" s="16"/>
      <c r="F44" s="16"/>
      <c r="G44" s="16"/>
      <c r="H44" s="16"/>
      <c r="I44" s="16"/>
      <c r="J44" s="16"/>
      <c r="K44" s="16"/>
      <c r="L44" s="16"/>
      <c r="M44" s="16"/>
      <c r="N44" s="16"/>
      <c r="O44" s="16"/>
      <c r="P44" s="16"/>
      <c r="Q44" s="16"/>
      <c r="R44" s="16"/>
      <c r="S44" s="16"/>
      <c r="T44" s="16"/>
      <c r="U44" s="16"/>
      <c r="V44" s="16"/>
      <c r="W44" s="16"/>
      <c r="X44" s="16"/>
      <c r="Y44" s="16"/>
      <c r="Z44" s="16"/>
      <c r="AA44" s="16"/>
      <c r="AB44" s="16"/>
      <c r="AC44" s="16"/>
      <c r="AD44" s="16"/>
      <c r="AE44" s="16"/>
      <c r="AF44" s="18">
        <f t="shared" si="0"/>
        <v>0</v>
      </c>
    </row>
    <row r="45" spans="1:32">
      <c r="A45" s="16"/>
      <c r="B45" s="17"/>
      <c r="C45" s="16"/>
      <c r="D45" s="16"/>
      <c r="E45" s="16"/>
      <c r="F45" s="16"/>
      <c r="G45" s="16"/>
      <c r="H45" s="16"/>
      <c r="I45" s="16"/>
      <c r="J45" s="16"/>
      <c r="K45" s="16"/>
      <c r="L45" s="16"/>
      <c r="M45" s="16"/>
      <c r="N45" s="16"/>
      <c r="O45" s="16"/>
      <c r="P45" s="16"/>
      <c r="Q45" s="16"/>
      <c r="R45" s="16"/>
      <c r="S45" s="16"/>
      <c r="T45" s="16"/>
      <c r="U45" s="16"/>
      <c r="V45" s="16"/>
      <c r="W45" s="16"/>
      <c r="X45" s="16"/>
      <c r="Y45" s="16"/>
      <c r="Z45" s="16"/>
      <c r="AA45" s="16"/>
      <c r="AB45" s="16"/>
      <c r="AC45" s="16"/>
      <c r="AD45" s="16"/>
      <c r="AE45" s="16"/>
      <c r="AF45" s="18">
        <f t="shared" si="0"/>
        <v>0</v>
      </c>
    </row>
    <row r="46" spans="1:32">
      <c r="A46" s="16"/>
      <c r="B46" s="17"/>
      <c r="C46" s="16"/>
      <c r="D46" s="16"/>
      <c r="E46" s="16"/>
      <c r="F46" s="16"/>
      <c r="G46" s="16"/>
      <c r="H46" s="16"/>
      <c r="I46" s="16"/>
      <c r="J46" s="16"/>
      <c r="K46" s="16"/>
      <c r="L46" s="16"/>
      <c r="M46" s="16"/>
      <c r="N46" s="16"/>
      <c r="O46" s="16"/>
      <c r="P46" s="16"/>
      <c r="Q46" s="16"/>
      <c r="R46" s="16"/>
      <c r="S46" s="16"/>
      <c r="T46" s="16"/>
      <c r="U46" s="16"/>
      <c r="V46" s="16"/>
      <c r="W46" s="16"/>
      <c r="X46" s="16"/>
      <c r="Y46" s="16"/>
      <c r="Z46" s="16"/>
      <c r="AA46" s="16"/>
      <c r="AB46" s="16"/>
      <c r="AC46" s="16"/>
      <c r="AD46" s="16"/>
      <c r="AE46" s="16"/>
      <c r="AF46" s="18">
        <f t="shared" si="0"/>
        <v>0</v>
      </c>
    </row>
    <row r="47" spans="1:32">
      <c r="A47" s="16"/>
      <c r="B47" s="17"/>
      <c r="C47" s="16"/>
      <c r="D47" s="16"/>
      <c r="E47" s="16"/>
      <c r="F47" s="16"/>
      <c r="G47" s="16"/>
      <c r="H47" s="16"/>
      <c r="I47" s="16"/>
      <c r="J47" s="16"/>
      <c r="K47" s="16"/>
      <c r="L47" s="16"/>
      <c r="M47" s="16"/>
      <c r="N47" s="16"/>
      <c r="O47" s="16"/>
      <c r="P47" s="16"/>
      <c r="Q47" s="16"/>
      <c r="R47" s="16"/>
      <c r="S47" s="16"/>
      <c r="T47" s="16"/>
      <c r="U47" s="16"/>
      <c r="V47" s="16"/>
      <c r="W47" s="16"/>
      <c r="X47" s="16"/>
      <c r="Y47" s="16"/>
      <c r="Z47" s="16"/>
      <c r="AA47" s="16"/>
      <c r="AB47" s="16"/>
      <c r="AC47" s="16"/>
      <c r="AD47" s="16"/>
      <c r="AE47" s="16"/>
      <c r="AF47" s="18">
        <f t="shared" si="0"/>
        <v>0</v>
      </c>
    </row>
    <row r="48" spans="1:32">
      <c r="A48" s="16"/>
      <c r="B48" s="17"/>
      <c r="C48" s="16"/>
      <c r="D48" s="16"/>
      <c r="E48" s="16"/>
      <c r="F48" s="16"/>
      <c r="G48" s="16"/>
      <c r="H48" s="16"/>
      <c r="I48" s="16"/>
      <c r="J48" s="16"/>
      <c r="K48" s="16"/>
      <c r="L48" s="16"/>
      <c r="M48" s="16"/>
      <c r="N48" s="16"/>
      <c r="O48" s="16"/>
      <c r="P48" s="16"/>
      <c r="Q48" s="16"/>
      <c r="R48" s="16"/>
      <c r="S48" s="16"/>
      <c r="T48" s="16"/>
      <c r="U48" s="16"/>
      <c r="V48" s="16"/>
      <c r="W48" s="16"/>
      <c r="X48" s="16"/>
      <c r="Y48" s="16"/>
      <c r="Z48" s="16"/>
      <c r="AA48" s="16"/>
      <c r="AB48" s="16"/>
      <c r="AC48" s="16"/>
      <c r="AD48" s="16"/>
      <c r="AE48" s="16"/>
      <c r="AF48" s="18">
        <f t="shared" si="0"/>
        <v>0</v>
      </c>
    </row>
    <row r="49" spans="1:32">
      <c r="A49" s="16"/>
      <c r="B49" s="17"/>
      <c r="C49" s="16"/>
      <c r="D49" s="16"/>
      <c r="E49" s="16"/>
      <c r="F49" s="16"/>
      <c r="G49" s="16"/>
      <c r="H49" s="16"/>
      <c r="I49" s="16"/>
      <c r="J49" s="16"/>
      <c r="K49" s="16"/>
      <c r="L49" s="16"/>
      <c r="M49" s="16"/>
      <c r="N49" s="16"/>
      <c r="O49" s="16"/>
      <c r="P49" s="16"/>
      <c r="Q49" s="16"/>
      <c r="R49" s="16"/>
      <c r="S49" s="16"/>
      <c r="T49" s="16"/>
      <c r="U49" s="16"/>
      <c r="V49" s="16"/>
      <c r="W49" s="16"/>
      <c r="X49" s="16"/>
      <c r="Y49" s="16"/>
      <c r="Z49" s="16"/>
      <c r="AA49" s="16"/>
      <c r="AB49" s="16"/>
      <c r="AC49" s="16"/>
      <c r="AD49" s="16"/>
      <c r="AE49" s="16"/>
      <c r="AF49" s="18">
        <f t="shared" si="0"/>
        <v>0</v>
      </c>
    </row>
    <row r="50" spans="1:32">
      <c r="A50" s="16"/>
      <c r="B50" s="17"/>
      <c r="C50" s="16"/>
      <c r="D50" s="16"/>
      <c r="E50" s="16"/>
      <c r="F50" s="16"/>
      <c r="G50" s="16"/>
      <c r="H50" s="16"/>
      <c r="I50" s="16"/>
      <c r="J50" s="16"/>
      <c r="K50" s="16"/>
      <c r="L50" s="16"/>
      <c r="M50" s="16"/>
      <c r="N50" s="16"/>
      <c r="O50" s="16"/>
      <c r="P50" s="16"/>
      <c r="Q50" s="16"/>
      <c r="R50" s="16"/>
      <c r="S50" s="16"/>
      <c r="T50" s="16"/>
      <c r="U50" s="16"/>
      <c r="V50" s="16"/>
      <c r="W50" s="16"/>
      <c r="X50" s="16"/>
      <c r="Y50" s="16"/>
      <c r="Z50" s="16"/>
      <c r="AA50" s="16"/>
      <c r="AB50" s="16"/>
      <c r="AC50" s="16"/>
      <c r="AD50" s="16"/>
      <c r="AE50" s="16"/>
      <c r="AF50" s="18">
        <f t="shared" si="0"/>
        <v>0</v>
      </c>
    </row>
    <row r="51" spans="1:32">
      <c r="A51" s="16"/>
      <c r="B51" s="17"/>
      <c r="C51" s="16"/>
      <c r="D51" s="16"/>
      <c r="E51" s="16"/>
      <c r="F51" s="16"/>
      <c r="G51" s="16"/>
      <c r="H51" s="16"/>
      <c r="I51" s="16"/>
      <c r="J51" s="16"/>
      <c r="K51" s="16"/>
      <c r="L51" s="16"/>
      <c r="M51" s="16"/>
      <c r="N51" s="16"/>
      <c r="O51" s="16"/>
      <c r="P51" s="16"/>
      <c r="Q51" s="16"/>
      <c r="R51" s="16"/>
      <c r="S51" s="16"/>
      <c r="T51" s="16"/>
      <c r="U51" s="16"/>
      <c r="V51" s="16"/>
      <c r="W51" s="16"/>
      <c r="X51" s="16"/>
      <c r="Y51" s="16"/>
      <c r="Z51" s="16"/>
      <c r="AA51" s="16"/>
      <c r="AB51" s="16"/>
      <c r="AC51" s="16"/>
      <c r="AD51" s="16"/>
      <c r="AE51" s="16"/>
      <c r="AF51" s="18">
        <f t="shared" si="0"/>
        <v>0</v>
      </c>
    </row>
    <row r="52" spans="1:32">
      <c r="A52" s="16"/>
      <c r="B52" s="17"/>
      <c r="C52" s="16"/>
      <c r="D52" s="16"/>
      <c r="E52" s="16"/>
      <c r="F52" s="16"/>
      <c r="G52" s="16"/>
      <c r="H52" s="16"/>
      <c r="I52" s="16"/>
      <c r="J52" s="16"/>
      <c r="K52" s="16"/>
      <c r="L52" s="16"/>
      <c r="M52" s="16"/>
      <c r="N52" s="16"/>
      <c r="O52" s="16"/>
      <c r="P52" s="16"/>
      <c r="Q52" s="16"/>
      <c r="R52" s="16"/>
      <c r="S52" s="16"/>
      <c r="T52" s="16"/>
      <c r="U52" s="16"/>
      <c r="V52" s="16"/>
      <c r="W52" s="16"/>
      <c r="X52" s="16"/>
      <c r="Y52" s="16"/>
      <c r="Z52" s="16"/>
      <c r="AA52" s="16"/>
      <c r="AB52" s="16"/>
      <c r="AC52" s="16"/>
      <c r="AD52" s="16"/>
      <c r="AE52" s="16"/>
      <c r="AF52" s="18">
        <f t="shared" si="0"/>
        <v>0</v>
      </c>
    </row>
    <row r="53" spans="1:32">
      <c r="A53" s="16"/>
      <c r="B53" s="17"/>
      <c r="C53" s="16"/>
      <c r="D53" s="16"/>
      <c r="E53" s="16"/>
      <c r="F53" s="16"/>
      <c r="G53" s="16"/>
      <c r="H53" s="16"/>
      <c r="I53" s="16"/>
      <c r="J53" s="16"/>
      <c r="K53" s="16"/>
      <c r="L53" s="16"/>
      <c r="M53" s="16"/>
      <c r="N53" s="16"/>
      <c r="O53" s="16"/>
      <c r="P53" s="16"/>
      <c r="Q53" s="16"/>
      <c r="R53" s="16"/>
      <c r="S53" s="16"/>
      <c r="T53" s="16"/>
      <c r="U53" s="16"/>
      <c r="V53" s="16"/>
      <c r="W53" s="16"/>
      <c r="X53" s="16"/>
      <c r="Y53" s="16"/>
      <c r="Z53" s="16"/>
      <c r="AA53" s="16"/>
      <c r="AB53" s="16"/>
      <c r="AC53" s="16"/>
      <c r="AD53" s="16"/>
      <c r="AE53" s="16"/>
      <c r="AF53" s="18">
        <f t="shared" si="0"/>
        <v>0</v>
      </c>
    </row>
    <row r="54" spans="1:32">
      <c r="A54" s="16"/>
      <c r="B54" s="17"/>
      <c r="C54" s="16"/>
      <c r="D54" s="16"/>
      <c r="E54" s="16"/>
      <c r="F54" s="16"/>
      <c r="G54" s="16"/>
      <c r="H54" s="16"/>
      <c r="I54" s="16"/>
      <c r="J54" s="16"/>
      <c r="K54" s="16"/>
      <c r="L54" s="16"/>
      <c r="M54" s="16"/>
      <c r="N54" s="16"/>
      <c r="O54" s="16"/>
      <c r="P54" s="16"/>
      <c r="Q54" s="16"/>
      <c r="R54" s="16"/>
      <c r="S54" s="16"/>
      <c r="T54" s="16"/>
      <c r="U54" s="16"/>
      <c r="V54" s="16"/>
      <c r="W54" s="16"/>
      <c r="X54" s="16"/>
      <c r="Y54" s="16"/>
      <c r="Z54" s="16"/>
      <c r="AA54" s="16"/>
      <c r="AB54" s="16"/>
      <c r="AC54" s="16"/>
      <c r="AD54" s="16"/>
      <c r="AE54" s="16"/>
      <c r="AF54" s="18">
        <f t="shared" si="0"/>
        <v>0</v>
      </c>
    </row>
    <row r="55" spans="1:32">
      <c r="A55" s="16"/>
      <c r="B55" s="17"/>
      <c r="C55" s="16"/>
      <c r="D55" s="16"/>
      <c r="E55" s="16"/>
      <c r="F55" s="16"/>
      <c r="G55" s="16"/>
      <c r="H55" s="16"/>
      <c r="I55" s="16"/>
      <c r="J55" s="16"/>
      <c r="K55" s="16"/>
      <c r="L55" s="16"/>
      <c r="M55" s="16"/>
      <c r="N55" s="16"/>
      <c r="O55" s="16"/>
      <c r="P55" s="16"/>
      <c r="Q55" s="16"/>
      <c r="R55" s="16"/>
      <c r="S55" s="16"/>
      <c r="T55" s="16"/>
      <c r="U55" s="16"/>
      <c r="V55" s="16"/>
      <c r="W55" s="16"/>
      <c r="X55" s="16"/>
      <c r="Y55" s="16"/>
      <c r="Z55" s="16"/>
      <c r="AA55" s="16"/>
      <c r="AB55" s="16"/>
      <c r="AC55" s="16"/>
      <c r="AD55" s="16"/>
      <c r="AE55" s="16"/>
      <c r="AF55" s="18">
        <f t="shared" si="0"/>
        <v>0</v>
      </c>
    </row>
    <row r="56" spans="1:32">
      <c r="A56" s="16"/>
      <c r="B56" s="17"/>
      <c r="C56" s="16"/>
      <c r="D56" s="16"/>
      <c r="E56" s="16"/>
      <c r="F56" s="16"/>
      <c r="G56" s="16"/>
      <c r="H56" s="16"/>
      <c r="I56" s="16"/>
      <c r="J56" s="16"/>
      <c r="K56" s="16"/>
      <c r="L56" s="16"/>
      <c r="M56" s="16"/>
      <c r="N56" s="16"/>
      <c r="O56" s="16"/>
      <c r="P56" s="16"/>
      <c r="Q56" s="16"/>
      <c r="R56" s="16"/>
      <c r="S56" s="16"/>
      <c r="T56" s="16"/>
      <c r="U56" s="16"/>
      <c r="V56" s="16"/>
      <c r="W56" s="16"/>
      <c r="X56" s="16"/>
      <c r="Y56" s="16"/>
      <c r="Z56" s="16"/>
      <c r="AA56" s="16"/>
      <c r="AB56" s="16"/>
      <c r="AC56" s="16"/>
      <c r="AD56" s="16"/>
      <c r="AE56" s="16"/>
      <c r="AF56" s="18">
        <f t="shared" si="0"/>
        <v>0</v>
      </c>
    </row>
    <row r="57" spans="1:32">
      <c r="A57" s="16"/>
      <c r="B57" s="17"/>
      <c r="C57" s="16"/>
      <c r="D57" s="16"/>
      <c r="E57" s="16"/>
      <c r="F57" s="16"/>
      <c r="G57" s="16"/>
      <c r="H57" s="16"/>
      <c r="I57" s="16"/>
      <c r="J57" s="16"/>
      <c r="K57" s="16"/>
      <c r="L57" s="16"/>
      <c r="M57" s="16"/>
      <c r="N57" s="16"/>
      <c r="O57" s="16"/>
      <c r="P57" s="16"/>
      <c r="Q57" s="16"/>
      <c r="R57" s="16"/>
      <c r="S57" s="16"/>
      <c r="T57" s="16"/>
      <c r="U57" s="16"/>
      <c r="V57" s="16"/>
      <c r="W57" s="16"/>
      <c r="X57" s="16"/>
      <c r="Y57" s="16"/>
      <c r="Z57" s="16"/>
      <c r="AA57" s="16"/>
      <c r="AB57" s="16"/>
      <c r="AC57" s="16"/>
      <c r="AD57" s="16"/>
      <c r="AE57" s="16"/>
      <c r="AF57" s="18">
        <f t="shared" si="0"/>
        <v>0</v>
      </c>
    </row>
    <row r="58" spans="1:32">
      <c r="A58" s="16"/>
      <c r="B58" s="17"/>
      <c r="C58" s="16"/>
      <c r="D58" s="16"/>
      <c r="E58" s="16"/>
      <c r="F58" s="16"/>
      <c r="G58" s="16"/>
      <c r="H58" s="16"/>
      <c r="I58" s="16"/>
      <c r="J58" s="16"/>
      <c r="K58" s="16"/>
      <c r="L58" s="16"/>
      <c r="M58" s="16"/>
      <c r="N58" s="16"/>
      <c r="O58" s="16"/>
      <c r="P58" s="16"/>
      <c r="Q58" s="16"/>
      <c r="R58" s="16"/>
      <c r="S58" s="16"/>
      <c r="T58" s="16"/>
      <c r="U58" s="16"/>
      <c r="V58" s="16"/>
      <c r="W58" s="16"/>
      <c r="X58" s="16"/>
      <c r="Y58" s="16"/>
      <c r="Z58" s="16"/>
      <c r="AA58" s="16"/>
      <c r="AB58" s="16"/>
      <c r="AC58" s="16"/>
      <c r="AD58" s="16"/>
      <c r="AE58" s="16"/>
      <c r="AF58" s="18">
        <f t="shared" si="0"/>
        <v>0</v>
      </c>
    </row>
    <row r="59" spans="1:32">
      <c r="A59" s="249" t="s">
        <v>104</v>
      </c>
      <c r="B59" s="250"/>
      <c r="C59" s="251"/>
      <c r="D59" s="18">
        <f>SUM(D9:D58)</f>
        <v>0</v>
      </c>
      <c r="E59" s="18">
        <f t="shared" ref="E59:AF59" si="1">SUM(E9:E58)</f>
        <v>0</v>
      </c>
      <c r="F59" s="18">
        <f t="shared" si="1"/>
        <v>0</v>
      </c>
      <c r="G59" s="18">
        <f t="shared" si="1"/>
        <v>0</v>
      </c>
      <c r="H59" s="18">
        <f t="shared" si="1"/>
        <v>0</v>
      </c>
      <c r="I59" s="18">
        <f t="shared" si="1"/>
        <v>0</v>
      </c>
      <c r="J59" s="18">
        <f t="shared" si="1"/>
        <v>0</v>
      </c>
      <c r="K59" s="18">
        <f t="shared" si="1"/>
        <v>0</v>
      </c>
      <c r="L59" s="18">
        <f t="shared" si="1"/>
        <v>0</v>
      </c>
      <c r="M59" s="18">
        <f t="shared" si="1"/>
        <v>0</v>
      </c>
      <c r="N59" s="18">
        <f t="shared" si="1"/>
        <v>0</v>
      </c>
      <c r="O59" s="18">
        <f t="shared" si="1"/>
        <v>0</v>
      </c>
      <c r="P59" s="18">
        <f t="shared" si="1"/>
        <v>0</v>
      </c>
      <c r="Q59" s="18">
        <f t="shared" si="1"/>
        <v>0</v>
      </c>
      <c r="R59" s="18">
        <f t="shared" si="1"/>
        <v>0</v>
      </c>
      <c r="S59" s="18">
        <f t="shared" si="1"/>
        <v>0</v>
      </c>
      <c r="T59" s="18">
        <f t="shared" si="1"/>
        <v>0</v>
      </c>
      <c r="U59" s="18">
        <f t="shared" si="1"/>
        <v>0</v>
      </c>
      <c r="V59" s="18">
        <f t="shared" si="1"/>
        <v>0</v>
      </c>
      <c r="W59" s="18">
        <f t="shared" si="1"/>
        <v>0</v>
      </c>
      <c r="X59" s="18">
        <f t="shared" si="1"/>
        <v>0</v>
      </c>
      <c r="Y59" s="18">
        <f t="shared" si="1"/>
        <v>0</v>
      </c>
      <c r="Z59" s="18">
        <f t="shared" si="1"/>
        <v>0</v>
      </c>
      <c r="AA59" s="18">
        <f t="shared" si="1"/>
        <v>0</v>
      </c>
      <c r="AB59" s="18">
        <f t="shared" si="1"/>
        <v>0</v>
      </c>
      <c r="AC59" s="18">
        <f t="shared" si="1"/>
        <v>0</v>
      </c>
      <c r="AD59" s="18">
        <f t="shared" si="1"/>
        <v>0</v>
      </c>
      <c r="AE59" s="18">
        <f t="shared" si="1"/>
        <v>0</v>
      </c>
      <c r="AF59" s="18">
        <f t="shared" si="1"/>
        <v>0</v>
      </c>
    </row>
  </sheetData>
  <mergeCells count="23">
    <mergeCell ref="A59:C59"/>
    <mergeCell ref="A6:A8"/>
    <mergeCell ref="B6:B8"/>
    <mergeCell ref="C6:C8"/>
    <mergeCell ref="D6:AE6"/>
    <mergeCell ref="S7:U7"/>
    <mergeCell ref="V7:X7"/>
    <mergeCell ref="Y7:AA7"/>
    <mergeCell ref="AB7:AD7"/>
    <mergeCell ref="AE7:AE8"/>
    <mergeCell ref="AF6:AF8"/>
    <mergeCell ref="D7:F7"/>
    <mergeCell ref="G7:I7"/>
    <mergeCell ref="J7:L7"/>
    <mergeCell ref="M7:O7"/>
    <mergeCell ref="P7:R7"/>
    <mergeCell ref="B3:C3"/>
    <mergeCell ref="E3:O3"/>
    <mergeCell ref="B4:C4"/>
    <mergeCell ref="E4:F4"/>
    <mergeCell ref="H4:I4"/>
    <mergeCell ref="K4:L4"/>
    <mergeCell ref="N4:O4"/>
  </mergeCells>
  <phoneticPr fontId="3"/>
  <pageMargins left="0.7" right="0.7" top="0.75" bottom="0.75" header="0.3" footer="0.3"/>
  <pageSetup paperSize="9" orientation="portrait" horizontalDpi="300" verticalDpi="300"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100-000000000000}">
          <x14:formula1>
            <xm:f>リストマスタ!$L$3:$L$4</xm:f>
          </x14:formula1>
          <xm:sqref>A9:A58</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13"/>
  <sheetViews>
    <sheetView workbookViewId="0">
      <selection activeCell="F16" sqref="F16"/>
    </sheetView>
  </sheetViews>
  <sheetFormatPr defaultColWidth="8.625" defaultRowHeight="18.75"/>
  <cols>
    <col min="1" max="1" width="4.625" style="21" customWidth="1"/>
    <col min="2" max="2" width="10.5" style="21" customWidth="1"/>
    <col min="3" max="3" width="22" style="21" customWidth="1"/>
    <col min="4" max="4" width="15.125" style="21" customWidth="1"/>
    <col min="5" max="5" width="11.125" style="21" customWidth="1"/>
    <col min="6" max="6" width="58.375" style="21" bestFit="1" customWidth="1"/>
    <col min="7" max="7" width="11.125" style="21" customWidth="1"/>
    <col min="8" max="8" width="5.875" style="21" customWidth="1"/>
    <col min="9" max="9" width="11.875" style="21" customWidth="1"/>
    <col min="10" max="10" width="11.125" style="21" customWidth="1"/>
    <col min="11" max="11" width="17.125" style="21" bestFit="1" customWidth="1"/>
    <col min="12" max="12" width="11.125" style="21" customWidth="1"/>
    <col min="13" max="16384" width="8.625" style="21"/>
  </cols>
  <sheetData>
    <row r="1" spans="1:12">
      <c r="A1" s="279" t="s">
        <v>18</v>
      </c>
      <c r="B1" s="20" t="s">
        <v>152</v>
      </c>
      <c r="C1" s="279" t="s">
        <v>153</v>
      </c>
      <c r="D1" s="279" t="s">
        <v>154</v>
      </c>
      <c r="E1" s="279" t="s">
        <v>155</v>
      </c>
      <c r="F1" s="279" t="s">
        <v>156</v>
      </c>
      <c r="G1" s="279" t="s">
        <v>157</v>
      </c>
      <c r="H1" s="277" t="s">
        <v>158</v>
      </c>
      <c r="I1" s="278"/>
      <c r="J1" s="279" t="s">
        <v>159</v>
      </c>
      <c r="K1" s="279" t="s">
        <v>160</v>
      </c>
      <c r="L1" s="279" t="s">
        <v>161</v>
      </c>
    </row>
    <row r="2" spans="1:12">
      <c r="A2" s="279"/>
      <c r="B2" s="20" t="s">
        <v>162</v>
      </c>
      <c r="C2" s="279"/>
      <c r="D2" s="279"/>
      <c r="E2" s="279"/>
      <c r="F2" s="279"/>
      <c r="G2" s="279"/>
      <c r="H2" s="20" t="s">
        <v>18</v>
      </c>
      <c r="I2" s="20" t="s">
        <v>163</v>
      </c>
      <c r="J2" s="279"/>
      <c r="K2" s="279"/>
      <c r="L2" s="279"/>
    </row>
    <row r="3" spans="1:12">
      <c r="A3" s="22">
        <v>1</v>
      </c>
      <c r="B3" s="23">
        <v>0.1</v>
      </c>
      <c r="C3" s="22" t="s">
        <v>164</v>
      </c>
      <c r="D3" s="22" t="s">
        <v>165</v>
      </c>
      <c r="E3" s="22" t="s">
        <v>166</v>
      </c>
      <c r="F3" s="22" t="s">
        <v>167</v>
      </c>
      <c r="G3" s="22" t="s">
        <v>168</v>
      </c>
      <c r="H3" s="22">
        <v>1</v>
      </c>
      <c r="I3" s="22" t="s">
        <v>169</v>
      </c>
      <c r="J3" s="22" t="s">
        <v>170</v>
      </c>
      <c r="K3" s="22" t="s">
        <v>171</v>
      </c>
      <c r="L3" s="22" t="s">
        <v>172</v>
      </c>
    </row>
    <row r="4" spans="1:12">
      <c r="A4" s="22">
        <v>2</v>
      </c>
      <c r="B4" s="23"/>
      <c r="C4" s="22"/>
      <c r="D4" s="22"/>
      <c r="E4" s="22" t="s">
        <v>173</v>
      </c>
      <c r="F4" s="22" t="s">
        <v>174</v>
      </c>
      <c r="G4" s="22" t="s">
        <v>175</v>
      </c>
      <c r="H4" s="22">
        <v>2</v>
      </c>
      <c r="I4" s="22" t="s">
        <v>176</v>
      </c>
      <c r="J4" s="22" t="s">
        <v>177</v>
      </c>
      <c r="K4" s="22" t="s">
        <v>178</v>
      </c>
      <c r="L4" s="22" t="s">
        <v>179</v>
      </c>
    </row>
    <row r="5" spans="1:12">
      <c r="A5" s="22">
        <v>3</v>
      </c>
      <c r="B5" s="22"/>
      <c r="C5" s="22"/>
      <c r="D5" s="22"/>
      <c r="E5" s="22"/>
      <c r="F5" s="22" t="s">
        <v>180</v>
      </c>
      <c r="G5" s="22" t="s">
        <v>181</v>
      </c>
      <c r="H5" s="22">
        <v>3</v>
      </c>
      <c r="I5" s="22" t="s">
        <v>182</v>
      </c>
      <c r="J5" s="22" t="s">
        <v>183</v>
      </c>
      <c r="K5" s="22" t="s">
        <v>184</v>
      </c>
      <c r="L5" s="22"/>
    </row>
    <row r="6" spans="1:12">
      <c r="A6" s="22">
        <v>4</v>
      </c>
      <c r="B6" s="22"/>
      <c r="C6" s="22"/>
      <c r="D6" s="22"/>
      <c r="E6" s="22"/>
      <c r="F6" s="22"/>
      <c r="G6" s="22"/>
      <c r="H6" s="22"/>
      <c r="I6" s="22"/>
      <c r="J6" s="22"/>
      <c r="K6" s="22" t="s">
        <v>185</v>
      </c>
      <c r="L6" s="22"/>
    </row>
    <row r="7" spans="1:12">
      <c r="A7" s="22">
        <v>5</v>
      </c>
      <c r="B7" s="22"/>
      <c r="C7" s="22"/>
      <c r="D7" s="22"/>
      <c r="E7" s="22"/>
      <c r="F7" s="22"/>
      <c r="G7" s="22"/>
      <c r="H7" s="22"/>
      <c r="I7" s="22"/>
      <c r="J7" s="22"/>
      <c r="K7" s="22" t="s">
        <v>186</v>
      </c>
      <c r="L7" s="22"/>
    </row>
    <row r="8" spans="1:12">
      <c r="A8" s="22">
        <v>6</v>
      </c>
      <c r="B8" s="22"/>
      <c r="C8" s="22"/>
      <c r="D8" s="22"/>
      <c r="E8" s="22"/>
      <c r="F8" s="22"/>
      <c r="G8" s="22"/>
      <c r="H8" s="22"/>
      <c r="I8" s="22"/>
      <c r="J8" s="22"/>
      <c r="K8" s="22" t="s">
        <v>187</v>
      </c>
      <c r="L8" s="22"/>
    </row>
    <row r="9" spans="1:12">
      <c r="A9" s="22">
        <v>7</v>
      </c>
      <c r="B9" s="22"/>
      <c r="C9" s="22"/>
      <c r="D9" s="22"/>
      <c r="E9" s="22"/>
      <c r="F9" s="22"/>
      <c r="G9" s="22"/>
      <c r="H9" s="22"/>
      <c r="I9" s="22"/>
      <c r="J9" s="22"/>
      <c r="K9" s="22" t="s">
        <v>188</v>
      </c>
      <c r="L9" s="22"/>
    </row>
    <row r="10" spans="1:12">
      <c r="A10" s="22">
        <v>8</v>
      </c>
      <c r="B10" s="22"/>
      <c r="C10" s="22"/>
      <c r="D10" s="22"/>
      <c r="E10" s="22"/>
      <c r="F10" s="22"/>
      <c r="G10" s="22"/>
      <c r="H10" s="22"/>
      <c r="I10" s="22"/>
      <c r="J10" s="22"/>
      <c r="K10" s="22" t="s">
        <v>189</v>
      </c>
      <c r="L10" s="22"/>
    </row>
    <row r="11" spans="1:12">
      <c r="A11" s="22">
        <v>9</v>
      </c>
      <c r="B11" s="22"/>
      <c r="C11" s="22"/>
      <c r="D11" s="22"/>
      <c r="E11" s="22"/>
      <c r="F11" s="22"/>
      <c r="G11" s="22"/>
      <c r="H11" s="22"/>
      <c r="I11" s="22"/>
      <c r="J11" s="22"/>
      <c r="K11" s="22" t="s">
        <v>190</v>
      </c>
      <c r="L11" s="22"/>
    </row>
    <row r="12" spans="1:12">
      <c r="A12" s="22">
        <v>10</v>
      </c>
      <c r="B12" s="22"/>
      <c r="C12" s="22"/>
      <c r="D12" s="22"/>
      <c r="E12" s="22"/>
      <c r="F12" s="22"/>
      <c r="G12" s="22"/>
      <c r="H12" s="22"/>
      <c r="I12" s="22"/>
      <c r="J12" s="22"/>
      <c r="K12" s="22" t="s">
        <v>191</v>
      </c>
      <c r="L12" s="22"/>
    </row>
    <row r="13" spans="1:12">
      <c r="A13" s="22">
        <v>11</v>
      </c>
      <c r="B13" s="22"/>
      <c r="C13" s="22"/>
      <c r="D13" s="22"/>
      <c r="E13" s="22"/>
      <c r="F13" s="22"/>
      <c r="G13" s="22"/>
      <c r="H13" s="22"/>
      <c r="I13" s="22"/>
      <c r="J13" s="22"/>
      <c r="K13" s="22"/>
      <c r="L13" s="22"/>
    </row>
  </sheetData>
  <mergeCells count="10">
    <mergeCell ref="H1:I1"/>
    <mergeCell ref="J1:J2"/>
    <mergeCell ref="K1:K2"/>
    <mergeCell ref="L1:L2"/>
    <mergeCell ref="A1:A2"/>
    <mergeCell ref="C1:C2"/>
    <mergeCell ref="D1:D2"/>
    <mergeCell ref="E1:E2"/>
    <mergeCell ref="F1:F2"/>
    <mergeCell ref="G1:G2"/>
  </mergeCells>
  <phoneticPr fontId="3"/>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ドキュメント" ma:contentTypeID="0x0101008B207C222D4A704392DD812ABE7F848A" ma:contentTypeVersion="10" ma:contentTypeDescription="新しいドキュメントを作成します。" ma:contentTypeScope="" ma:versionID="cd2f88ee6a2934efb41cd9289b91e144">
  <xsd:schema xmlns:xsd="http://www.w3.org/2001/XMLSchema" xmlns:xs="http://www.w3.org/2001/XMLSchema" xmlns:p="http://schemas.microsoft.com/office/2006/metadata/properties" xmlns:ns2="2fd442da-66a9-4fa6-ba31-eb0d54ad1381" targetNamespace="http://schemas.microsoft.com/office/2006/metadata/properties" ma:root="true" ma:fieldsID="a4c4fd50c0b00be67728f9d39ce10164" ns2:_="">
    <xsd:import namespace="2fd442da-66a9-4fa6-ba31-eb0d54ad1381"/>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fd442da-66a9-4fa6-ba31-eb0d54ad138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a5fcdd6f-42ce-4fb7-9ce2-d9614ea932c1" ma:termSetId="09814cd3-568e-fe90-9814-8d621ff8fb84" ma:anchorId="fba54fb3-c3e1-fe81-a776-ca4b69148c4d" ma:open="true" ma:isKeyword="false">
      <xsd:complexType>
        <xsd:sequence>
          <xsd:element ref="pc:Terms" minOccurs="0" maxOccurs="1"/>
        </xsd:sequence>
      </xsd:complex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2fd442da-66a9-4fa6-ba31-eb0d54ad1381">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549F6D62-890C-4F99-9EFD-D76DA9D640DE}">
  <ds:schemaRefs>
    <ds:schemaRef ds:uri="http://schemas.microsoft.com/sharepoint/v3/contenttype/forms"/>
  </ds:schemaRefs>
</ds:datastoreItem>
</file>

<file path=customXml/itemProps2.xml><?xml version="1.0" encoding="utf-8"?>
<ds:datastoreItem xmlns:ds="http://schemas.openxmlformats.org/officeDocument/2006/customXml" ds:itemID="{A13212D3-11F9-44D2-BE9D-7CF6575E4C7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fd442da-66a9-4fa6-ba31-eb0d54ad138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FC881CCC-D800-4BA5-B75D-17201FC3BAE4}">
  <ds:schemaRefs>
    <ds:schemaRef ds:uri="http://schemas.openxmlformats.org/package/2006/metadata/core-properties"/>
    <ds:schemaRef ds:uri="http://purl.org/dc/dcmitype/"/>
    <ds:schemaRef ds:uri="http://purl.org/dc/elements/1.1/"/>
    <ds:schemaRef ds:uri="http://schemas.microsoft.com/office/infopath/2007/PartnerControls"/>
    <ds:schemaRef ds:uri="http://www.w3.org/XML/1998/namespace"/>
    <ds:schemaRef ds:uri="http://schemas.microsoft.com/office/2006/documentManagement/types"/>
    <ds:schemaRef ds:uri="http://purl.org/dc/terms/"/>
    <ds:schemaRef ds:uri="2fd442da-66a9-4fa6-ba31-eb0d54ad1381"/>
    <ds:schemaRef ds:uri="http://schemas.microsoft.com/office/2006/metadata/propertie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9</vt:i4>
      </vt:variant>
      <vt:variant>
        <vt:lpstr>名前付き一覧</vt:lpstr>
      </vt:variant>
      <vt:variant>
        <vt:i4>2</vt:i4>
      </vt:variant>
    </vt:vector>
  </HeadingPairs>
  <TitlesOfParts>
    <vt:vector size="11" baseType="lpstr">
      <vt:lpstr>概算見積③12月～1月</vt:lpstr>
      <vt:lpstr>工数明細③12月～1月</vt:lpstr>
      <vt:lpstr>工数明細③12月～1月_bk</vt:lpstr>
      <vt:lpstr>概算見積③2月</vt:lpstr>
      <vt:lpstr>工数明細③2月</vt:lpstr>
      <vt:lpstr>工数明細 (2)</vt:lpstr>
      <vt:lpstr>社員工数</vt:lpstr>
      <vt:lpstr>外注費・経費</vt:lpstr>
      <vt:lpstr>リストマスタ</vt:lpstr>
      <vt:lpstr>'概算見積③12月～1月'!Print_Area</vt:lpstr>
      <vt:lpstr>概算見積③2月!Print_Area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髙浦 祐朗</dc:creator>
  <cp:keywords/>
  <dc:description/>
  <cp:lastModifiedBy>川名翔太</cp:lastModifiedBy>
  <cp:revision/>
  <dcterms:created xsi:type="dcterms:W3CDTF">2021-04-22T09:34:49Z</dcterms:created>
  <dcterms:modified xsi:type="dcterms:W3CDTF">2025-11-10T02:45:26Z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0x0101008B207C222D4A704392DD812ABE7F848A</vt:lpwstr>
  </property>
  <property fmtid="{D5CDD505-2E9C-101B-9397-08002B2CF9AE}" pid="3" name="MediaServiceImageTags">
    <vt:lpwstr/>
  </property>
</Properties>
</file>