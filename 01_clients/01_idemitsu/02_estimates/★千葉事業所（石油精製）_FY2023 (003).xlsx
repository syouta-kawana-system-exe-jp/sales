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19011572\Desktop\"/>
    </mc:Choice>
  </mc:AlternateContent>
  <xr:revisionPtr revIDLastSave="0" documentId="8_{CFCF732F-E099-4F86-9AC2-1100AF1959C1}" xr6:coauthVersionLast="47" xr6:coauthVersionMax="47" xr10:uidLastSave="{00000000-0000-0000-0000-000000000000}"/>
  <bookViews>
    <workbookView xWindow="-120" yWindow="-120" windowWidth="38640" windowHeight="15720" xr2:uid="{74C9DC50-BF65-4829-9A1C-5793B0AD1517}"/>
  </bookViews>
  <sheets>
    <sheet name="★千葉石油_GGX＆GXLまとめ" sheetId="45" r:id="rId1"/>
    <sheet name="Sheet1" sheetId="46" r:id="rId2"/>
    <sheet name="【参考】温対法排出係数" sheetId="44" r:id="rId3"/>
  </sheets>
  <externalReferences>
    <externalReference r:id="rId4"/>
  </externalReferences>
  <definedNames>
    <definedName name="_xlnm._FilterDatabase" localSheetId="0" hidden="1">'★千葉石油_GGX＆GXLまとめ'!$C$11:$V$110</definedName>
    <definedName name="MP_パターンA">[1]選択肢①!$N$38</definedName>
    <definedName name="MP_パターンB">[1]選択肢①!$N$32:$N$37</definedName>
    <definedName name="MPY_パターンB">[1]選択肢①!$N$32:$N$35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45" l="1"/>
  <c r="N101" i="45"/>
  <c r="U18" i="45"/>
  <c r="U48" i="45"/>
  <c r="AQ19" i="45"/>
  <c r="AV19" i="45" s="1"/>
  <c r="AQ29" i="45"/>
  <c r="AQ43" i="45"/>
  <c r="AQ41" i="45"/>
  <c r="AQ39" i="45"/>
  <c r="AQ37" i="45"/>
  <c r="AQ35" i="45"/>
  <c r="AQ33" i="45"/>
  <c r="AQ31" i="45"/>
  <c r="AQ30" i="45"/>
  <c r="AQ27" i="45"/>
  <c r="AQ25" i="45"/>
  <c r="AV25" i="45" s="1"/>
  <c r="AQ23" i="45"/>
  <c r="AV23" i="45" s="1"/>
  <c r="AQ17" i="45"/>
  <c r="AV17" i="45" s="1"/>
  <c r="AQ15" i="45"/>
  <c r="AV15" i="45" s="1"/>
  <c r="AQ13" i="45"/>
  <c r="AV13" i="45" s="1"/>
  <c r="H24" i="45" l="1"/>
  <c r="U91" i="45"/>
  <c r="H88" i="45"/>
  <c r="U88" i="45" s="1"/>
  <c r="N93" i="45"/>
  <c r="N91" i="45"/>
  <c r="U93" i="45"/>
  <c r="U87" i="45"/>
  <c r="U92" i="45"/>
  <c r="U90" i="45"/>
  <c r="N92" i="45"/>
  <c r="P92" i="45" s="1"/>
  <c r="N90" i="45"/>
  <c r="P90" i="45" s="1"/>
  <c r="U14" i="45"/>
  <c r="U73" i="45"/>
  <c r="U89" i="45" l="1"/>
  <c r="AQ47" i="45" l="1"/>
  <c r="AS47" i="45" s="1"/>
  <c r="H17" i="45"/>
  <c r="N24" i="45"/>
  <c r="P24" i="45" s="1"/>
  <c r="H27" i="45"/>
  <c r="N27" i="45" s="1"/>
  <c r="P27" i="45" s="1"/>
  <c r="N13" i="45"/>
  <c r="P13" i="45" s="1"/>
  <c r="N14" i="45"/>
  <c r="P14" i="45" s="1"/>
  <c r="N15" i="45"/>
  <c r="P15" i="45" s="1"/>
  <c r="N16" i="45"/>
  <c r="P16" i="45" s="1"/>
  <c r="N18" i="45"/>
  <c r="P18" i="45" s="1"/>
  <c r="N19" i="45"/>
  <c r="P19" i="45" s="1"/>
  <c r="N20" i="45"/>
  <c r="P20" i="45" s="1"/>
  <c r="N21" i="45"/>
  <c r="N22" i="45"/>
  <c r="P22" i="45" s="1"/>
  <c r="N23" i="45"/>
  <c r="P23" i="45" s="1"/>
  <c r="N25" i="45"/>
  <c r="P25" i="45" s="1"/>
  <c r="N26" i="45"/>
  <c r="P26" i="45" s="1"/>
  <c r="N28" i="45"/>
  <c r="P28" i="45" s="1"/>
  <c r="N29" i="45"/>
  <c r="P29" i="45" s="1"/>
  <c r="N30" i="45"/>
  <c r="P30" i="45" s="1"/>
  <c r="N31" i="45"/>
  <c r="P31" i="45" s="1"/>
  <c r="N32" i="45"/>
  <c r="P32" i="45" s="1"/>
  <c r="N33" i="45"/>
  <c r="P33" i="45" s="1"/>
  <c r="N34" i="45"/>
  <c r="P34" i="45" s="1"/>
  <c r="N35" i="45"/>
  <c r="P35" i="45" s="1"/>
  <c r="N36" i="45"/>
  <c r="P36" i="45" s="1"/>
  <c r="N37" i="45"/>
  <c r="P37" i="45" s="1"/>
  <c r="N38" i="45"/>
  <c r="P38" i="45" s="1"/>
  <c r="N39" i="45"/>
  <c r="P39" i="45" s="1"/>
  <c r="N40" i="45"/>
  <c r="P40" i="45" s="1"/>
  <c r="N41" i="45"/>
  <c r="P41" i="45" s="1"/>
  <c r="N42" i="45"/>
  <c r="P42" i="45" s="1"/>
  <c r="N43" i="45"/>
  <c r="P43" i="45" s="1"/>
  <c r="N44" i="45"/>
  <c r="P44" i="45" s="1"/>
  <c r="N45" i="45"/>
  <c r="P45" i="45" s="1"/>
  <c r="N46" i="45"/>
  <c r="P46" i="45" s="1"/>
  <c r="N47" i="45"/>
  <c r="P47" i="45" s="1"/>
  <c r="N48" i="45"/>
  <c r="P48" i="45" s="1"/>
  <c r="N49" i="45"/>
  <c r="P49" i="45" s="1"/>
  <c r="N50" i="45"/>
  <c r="P50" i="45" s="1"/>
  <c r="N51" i="45"/>
  <c r="P51" i="45" s="1"/>
  <c r="N52" i="45"/>
  <c r="P52" i="45" s="1"/>
  <c r="N53" i="45"/>
  <c r="P53" i="45" s="1"/>
  <c r="N54" i="45"/>
  <c r="P54" i="45" s="1"/>
  <c r="N55" i="45"/>
  <c r="P55" i="45" s="1"/>
  <c r="N56" i="45"/>
  <c r="P56" i="45" s="1"/>
  <c r="N57" i="45"/>
  <c r="P57" i="45" s="1"/>
  <c r="N58" i="45"/>
  <c r="P58" i="45" s="1"/>
  <c r="N59" i="45"/>
  <c r="P59" i="45" s="1"/>
  <c r="N60" i="45"/>
  <c r="P60" i="45" s="1"/>
  <c r="N61" i="45"/>
  <c r="P61" i="45" s="1"/>
  <c r="N62" i="45"/>
  <c r="P62" i="45" s="1"/>
  <c r="N63" i="45"/>
  <c r="P63" i="45" s="1"/>
  <c r="N64" i="45"/>
  <c r="P64" i="45" s="1"/>
  <c r="N65" i="45"/>
  <c r="P65" i="45" s="1"/>
  <c r="N66" i="45"/>
  <c r="P66" i="45" s="1"/>
  <c r="N67" i="45"/>
  <c r="P67" i="45" s="1"/>
  <c r="N68" i="45"/>
  <c r="P68" i="45" s="1"/>
  <c r="N69" i="45"/>
  <c r="P69" i="45" s="1"/>
  <c r="N70" i="45"/>
  <c r="P70" i="45" s="1"/>
  <c r="N71" i="45"/>
  <c r="P71" i="45" s="1"/>
  <c r="N72" i="45"/>
  <c r="P72" i="45" s="1"/>
  <c r="N73" i="45"/>
  <c r="P73" i="45" s="1"/>
  <c r="N74" i="45"/>
  <c r="P74" i="45" s="1"/>
  <c r="N75" i="45"/>
  <c r="P75" i="45" s="1"/>
  <c r="N76" i="45"/>
  <c r="P76" i="45" s="1"/>
  <c r="N77" i="45"/>
  <c r="P77" i="45" s="1"/>
  <c r="N78" i="45"/>
  <c r="P78" i="45" s="1"/>
  <c r="N79" i="45"/>
  <c r="P79" i="45" s="1"/>
  <c r="N80" i="45"/>
  <c r="P80" i="45" s="1"/>
  <c r="N81" i="45"/>
  <c r="P81" i="45" s="1"/>
  <c r="N82" i="45"/>
  <c r="P82" i="45" s="1"/>
  <c r="N83" i="45"/>
  <c r="P83" i="45" s="1"/>
  <c r="N84" i="45"/>
  <c r="P84" i="45" s="1"/>
  <c r="N85" i="45"/>
  <c r="P85" i="45" s="1"/>
  <c r="N86" i="45"/>
  <c r="P86" i="45" s="1"/>
  <c r="P91" i="45"/>
  <c r="P93" i="45"/>
  <c r="P101" i="45"/>
  <c r="N102" i="45"/>
  <c r="P102" i="45" s="1"/>
  <c r="N103" i="45"/>
  <c r="P103" i="45" s="1"/>
  <c r="N104" i="45"/>
  <c r="P104" i="45" s="1"/>
  <c r="N105" i="45"/>
  <c r="P105" i="45" s="1"/>
  <c r="N106" i="45"/>
  <c r="P106" i="45" s="1"/>
  <c r="N107" i="45"/>
  <c r="P107" i="45" s="1"/>
  <c r="N108" i="45"/>
  <c r="P108" i="45" s="1"/>
  <c r="N109" i="45"/>
  <c r="P109" i="45" s="1"/>
  <c r="N110" i="45"/>
  <c r="P110" i="45" s="1"/>
  <c r="U12" i="45"/>
  <c r="N12" i="45"/>
  <c r="P12" i="45" s="1"/>
  <c r="N17" i="45" l="1"/>
  <c r="P17" i="45" s="1"/>
  <c r="U17" i="45"/>
  <c r="AV44" i="45"/>
  <c r="AV48" i="45"/>
  <c r="AQ45" i="45"/>
  <c r="AV30" i="45"/>
  <c r="AQ14" i="45"/>
  <c r="AV14" i="45" s="1"/>
  <c r="AQ16" i="45"/>
  <c r="AV16" i="45" s="1"/>
  <c r="AQ18" i="45"/>
  <c r="AV18" i="45" s="1"/>
  <c r="AQ20" i="45"/>
  <c r="AV20" i="45" s="1"/>
  <c r="AQ12" i="45"/>
  <c r="AV12" i="45" s="1"/>
  <c r="AQ24" i="45"/>
  <c r="AV24" i="45" s="1"/>
  <c r="AQ26" i="45"/>
  <c r="AV26" i="45" s="1"/>
  <c r="AQ28" i="45"/>
  <c r="AV28" i="45" s="1"/>
  <c r="AQ32" i="45"/>
  <c r="AV32" i="45" s="1"/>
  <c r="AQ34" i="45"/>
  <c r="AV34" i="45" s="1"/>
  <c r="AQ36" i="45"/>
  <c r="AV36" i="45" s="1"/>
  <c r="AQ38" i="45"/>
  <c r="AV38" i="45" s="1"/>
  <c r="AQ40" i="45"/>
  <c r="AV40" i="45" s="1"/>
  <c r="AQ42" i="45"/>
  <c r="AV42" i="45" s="1"/>
  <c r="AQ22" i="45"/>
  <c r="AV22" i="45" s="1"/>
  <c r="AQ46" i="45"/>
  <c r="AV46" i="45" s="1"/>
  <c r="AQ21" i="45"/>
  <c r="AV21" i="45" s="1"/>
  <c r="AV29" i="45"/>
  <c r="AV31" i="45"/>
  <c r="AV33" i="45"/>
  <c r="AV35" i="45"/>
  <c r="AV37" i="45"/>
  <c r="AV39" i="45"/>
  <c r="AV41" i="45"/>
  <c r="AV43" i="45"/>
  <c r="AV27" i="45"/>
  <c r="U20" i="45" l="1"/>
  <c r="U108" i="45" l="1"/>
  <c r="U107" i="45"/>
  <c r="U103" i="45"/>
  <c r="U102" i="45"/>
  <c r="U101" i="45"/>
  <c r="U104" i="45"/>
  <c r="U84" i="45"/>
  <c r="U82" i="45"/>
  <c r="U80" i="45"/>
  <c r="U78" i="45"/>
  <c r="U76" i="45"/>
  <c r="U86" i="45"/>
  <c r="U110" i="45"/>
  <c r="U109" i="45"/>
  <c r="U106" i="45"/>
  <c r="U105" i="45"/>
  <c r="U100" i="45" l="1"/>
  <c r="U99" i="45"/>
  <c r="U96" i="45"/>
  <c r="U95" i="45"/>
  <c r="U98" i="45"/>
  <c r="U97" i="45"/>
  <c r="U94" i="45"/>
  <c r="U85" i="45"/>
  <c r="U79" i="45"/>
  <c r="U81" i="45"/>
  <c r="U83" i="45"/>
  <c r="U77" i="45"/>
  <c r="U75" i="45"/>
  <c r="U72" i="45"/>
  <c r="U71" i="45"/>
  <c r="U30" i="45"/>
  <c r="U29" i="45"/>
  <c r="U27" i="45"/>
  <c r="U26" i="45"/>
  <c r="U24" i="45"/>
  <c r="U21" i="45"/>
  <c r="U22" i="45"/>
  <c r="U23" i="45"/>
  <c r="U19" i="45"/>
  <c r="U15" i="45"/>
  <c r="U32" i="45"/>
  <c r="U33" i="45"/>
  <c r="U34" i="45"/>
  <c r="U35" i="45"/>
  <c r="U36" i="45"/>
  <c r="U37" i="45"/>
  <c r="U38" i="45"/>
  <c r="U39" i="45"/>
  <c r="U40" i="45"/>
  <c r="U41" i="45"/>
  <c r="U42" i="45"/>
  <c r="U43" i="45"/>
  <c r="U44" i="45"/>
  <c r="U45" i="45"/>
  <c r="U46" i="45"/>
  <c r="U47" i="45"/>
  <c r="U49" i="45"/>
  <c r="U50" i="45"/>
  <c r="U51" i="45"/>
  <c r="U52" i="45"/>
  <c r="U53" i="45"/>
  <c r="U54" i="45"/>
  <c r="U55" i="45"/>
  <c r="U56" i="45"/>
  <c r="U57" i="45"/>
  <c r="U58" i="45"/>
  <c r="U59" i="45"/>
  <c r="U60" i="45"/>
  <c r="U61" i="45"/>
  <c r="U62" i="45"/>
  <c r="U63" i="45"/>
  <c r="U64" i="45"/>
  <c r="U65" i="45"/>
  <c r="U66" i="45"/>
  <c r="U67" i="45"/>
  <c r="U68" i="45"/>
  <c r="U69" i="45"/>
  <c r="U70" i="45"/>
  <c r="U13" i="45"/>
  <c r="Z115" i="45" s="1"/>
  <c r="U16" i="45"/>
  <c r="U74" i="45" l="1"/>
  <c r="U31" i="45"/>
  <c r="U28" i="45"/>
  <c r="Z116"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tc={55C435F3-66BC-40AE-9516-DD20C1A221D1}</author>
    <author>tc={7345BE04-54E5-4201-8406-F4AA6711D186}</author>
    <author>tc={0C6A6E6C-CE23-46B4-BD7A-7FB1D85E5ABA}</author>
    <author>tc={DE972F91-7A83-458D-AAB8-6299549FF922}</author>
    <author>tc={001F9395-1FD4-4A5D-A89F-1CC01FF6E6E6}</author>
    <author>tc={D4ABB523-83BC-4532-9BAE-C9789012A051}</author>
    <author>tc={17666952-0C74-4301-95D1-02C40BF08328}</author>
    <author>tc={A4EEE755-5D92-4B74-96B7-32BB733DCB3D}</author>
    <author>tc={A46D0CE1-3211-41CC-8DBE-F7896FFBD2F6}</author>
    <author>tc={4A2F9D2A-5B84-418F-A148-B5AC8A87219B}</author>
    <author>tc={291B2269-A989-4A70-9FA3-26E06285B403}</author>
    <author>tc={892550E2-F17F-4640-A009-6904FEE95746}</author>
    <author>tc={3E490A7B-AD3F-4E9C-91CB-AAEDC903D4C6}</author>
    <author>tc={0E2DD779-2943-4A4D-AE73-6BA0C778D209}</author>
    <author>tc={CE783600-C041-4CB2-9ACF-1F4395DB28E4}</author>
    <author>tc={9F539611-B95F-45C7-B2D5-22C01E7B2396}</author>
    <author>tc={058FA059-690A-41D5-A01B-A9015911D90C}</author>
    <author>tc={E14032DB-A6CF-45DF-99BB-AB3F56E0590D}</author>
    <author>tc={69112045-1B96-41BD-A982-2C64E4AC1B38}</author>
    <author>tc={D8CE1ED3-BBE8-40C8-B88F-D2729FD78BDA}</author>
    <author>tc={8DE185A9-9CD8-4421-81C3-E4C8500A2925}</author>
    <author>tc={9CCB083D-C740-41E1-BD6F-963A389E953A}</author>
    <author>tc={9507BCE1-EC72-40AF-8350-B08BD151C491}</author>
    <author>tc={2887DF62-5240-4767-B5BF-79BDCC60825C}</author>
    <author>tc={E592D5F3-1C76-49A4-8CA9-20E1F88E9F67}</author>
    <author>tc={14455F85-CC94-4CC8-B662-3BDEC7AB4D41}</author>
    <author>tc={FE89AB3E-33E0-4B4F-88BE-716D01FEE7EB}</author>
    <author>tc={3D8CD8D6-3BC4-4BC2-BC04-90A299C93856}</author>
    <author>tc={D3CED9BF-F559-418C-A7C0-F482BA873436}</author>
    <author>tc={4C8C5AE1-E9F3-4D7F-B4B6-6DDD686CDE3A}</author>
    <author>tc={D8FB3E30-8F7B-4882-BCA0-E0D410E0EF26}</author>
    <author>tc={9D6B31F4-5762-453D-9F72-E2B8E2873D15}</author>
    <author>tc={1F4B8B8E-C084-48D3-9D67-72409122E3F0}</author>
    <author>tc={E62EB584-5783-4A47-817D-A4A62F9677BA}</author>
    <author>tc={57554CFD-3F4A-4CF3-8D59-35D9D0F54B28}</author>
    <author>tc={68B6187D-9D86-4B33-9714-0B93A0D13AB0}</author>
    <author>tc={A655142B-DF06-4806-BD34-0343F056402A}</author>
    <author>tc={E06D1F37-AC8C-4882-A49A-3099A1B9EA38}</author>
    <author>tc={62DF4351-AA8D-408B-A7DE-E1A8F63BAA6D}</author>
    <author>tc={520F9A0B-9EA4-4D9B-850B-2188F985F19A}</author>
    <author>tc={41151E61-CD97-46F6-A88D-A6BC4F21C4C2}</author>
    <author>tc={5174AE04-69EA-44B1-A8A8-E8A568E294E5}</author>
    <author>tc={B733BE9E-3F30-4644-92F0-0E38C4A35734}</author>
    <author>tc={C14C0498-AB8C-4EBB-9657-BD55DE55D73E}</author>
    <author>tc={C6D2935E-64F2-4F1F-AF22-C4C326C10F3A}</author>
    <author>tc={2A6532C7-D859-495B-9AE0-9577F9B16D07}</author>
    <author>tc={81DF8B9D-B58E-4A22-973F-2C6B10026823}</author>
    <author>tc={BD0F4A2E-4244-4451-8B04-843BBDBC328F}</author>
    <author>tc={D1BB20CF-9869-479A-80EA-B18B84D72E00}</author>
    <author>tc={68FEDB77-C264-4E85-80AA-A4B285F7CF63}</author>
    <author>tc={CCE95CC2-3C85-488D-A788-C3F67B3B5C18}</author>
    <author>tc={EF004E88-C9FC-4FF6-B179-0AA18C595EBA}</author>
    <author>tc={D5E5B0AA-CAD8-4C0C-85C2-B72EFA4CCE2E}</author>
    <author>tc={425DA55F-19F1-45FC-A85F-01085C74D755}</author>
    <author>tc={F1902BA7-58DD-4ABC-827D-6C95C113DFDA}</author>
    <author>tc={052E32FC-7ECD-4C6E-A421-B74CEDC3F471}</author>
    <author>tc={F9D206A4-F011-4020-B2CD-DE642D0C29BB}</author>
    <author>tc={15133DEC-A00E-47EF-B1C4-866D75717784}</author>
    <author>tc={9A43D262-BB23-4139-92A2-969806349316}</author>
    <author>tc={FA910EFE-270A-4CCB-B183-99C3FFBA5FBA}</author>
    <author>tc={F1FC844D-EA8F-4986-BBAF-9C44AA717D4A}</author>
    <author>tc={BBF96058-25A5-497B-A606-5DA6BCD63ECA}</author>
    <author>tc={0C437123-CD2D-451F-8ABA-463C2CC3724B}</author>
    <author>tc={672FD272-F3AF-4B8C-9017-33C2A9D7410E}</author>
    <author>tc={0B1B6D61-5C8B-4D6F-9C88-7E1DFB58E9DC}</author>
    <author>tc={D885DD05-392E-4034-BD22-CABD2AD34A69}</author>
    <author>tc={389F6FF8-DF68-47D8-B756-093E2EAE120A}</author>
    <author>tc={B6ECB1D8-A351-44F8-B319-A14D43EE93CD}</author>
    <author>tc={CFEC992B-EE40-40B0-89BE-746EAE168722}</author>
    <author>tc={4CE4DA2D-8D22-4F78-9749-B36FB388F1D0}</author>
    <author>tc={1AE45177-1E39-40D2-B68C-B95092C055D7}</author>
    <author>tc={41E5E003-59FB-4281-8035-A23D2BE737A1}</author>
    <author>tc={1EC6DD34-01DD-4A04-B3D4-336A084C24A4}</author>
    <author>tc={CCCDE05A-348F-4873-9A1A-47B140938D54}</author>
  </authors>
  <commentList>
    <comment ref="AH22" authorId="0" shapeId="0" xr:uid="{55C435F3-66BC-40AE-9516-DD20C1A221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H23" authorId="1" shapeId="0" xr:uid="{7345BE04-54E5-4201-8406-F4AA6711D1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H24" authorId="2" shapeId="0" xr:uid="{0C6A6E6C-CE23-46B4-BD7A-7FB1D85E5A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H25" authorId="3" shapeId="0" xr:uid="{DE972F91-7A83-458D-AAB8-6299549FF9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H26" authorId="4" shapeId="0" xr:uid="{001F9395-1FD4-4A5D-A89F-1CC01FF6E6E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N26" authorId="5" shapeId="0" xr:uid="{D4ABB523-83BC-4532-9BAE-C9789012A0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排出係数リストでは、0.0000045のはず。</t>
      </text>
    </comment>
    <comment ref="AH27" authorId="6" shapeId="0" xr:uid="{17666952-0C74-4301-95D1-02C40BF083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AH28" authorId="7" shapeId="0" xr:uid="{A4EEE755-5D92-4B74-96B7-32BB733DCB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J29" authorId="8" shapeId="0" xr:uid="{A46D0CE1-3211-41CC-8DBE-F7896FFBD2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GXリーグでは、石炭は使用量ではなく、購入量としている。
（事業所内の一時貯蔵による使用量のブレは、全体に対して誤差と扱えるため。）</t>
      </text>
    </comment>
    <comment ref="AH29" authorId="9" shapeId="0" xr:uid="{4A2F9D2A-5B84-418F-A148-B5AC8A8721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J30" authorId="10" shapeId="0" xr:uid="{291B2269-A989-4A70-9FA3-26E06285B4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GXリーグでは、石炭は使用量ではなく、購入量としている。
（事業所内の一時貯蔵による使用量のブレは、全体に対して誤差と扱えるため。）</t>
      </text>
    </comment>
    <comment ref="AH30" authorId="11" shapeId="0" xr:uid="{892550E2-F17F-4640-A009-6904FEE957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W31" authorId="12" shapeId="0" xr:uid="{3E490A7B-AD3F-4E9C-91CB-AAEDC903D4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調査票Bでは、①-1と同じフローになっている。</t>
      </text>
    </comment>
    <comment ref="AH31" authorId="13" shapeId="0" xr:uid="{0E2DD779-2943-4A4D-AE73-6BA0C778D2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2" authorId="14" shapeId="0" xr:uid="{CE783600-C041-4CB2-9ACF-1F4395DB28E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2" authorId="15" shapeId="0" xr:uid="{9F539611-B95F-45C7-B2D5-22C01E7B239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3" authorId="16" shapeId="0" xr:uid="{058FA059-690A-41D5-A01B-A9015911D9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3" authorId="17" shapeId="0" xr:uid="{E14032DB-A6CF-45DF-99BB-AB3F56E059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4" authorId="18" shapeId="0" xr:uid="{69112045-1B96-41BD-A982-2C64E4AC1B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4" authorId="19" shapeId="0" xr:uid="{D8CE1ED3-BBE8-40C8-B88F-D2729FD78B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5" authorId="20" shapeId="0" xr:uid="{8DE185A9-9CD8-4421-81C3-E4C8500A29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5" authorId="21" shapeId="0" xr:uid="{9CCB083D-C740-41E1-BD6F-963A389E95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6" authorId="22" shapeId="0" xr:uid="{9507BCE1-EC72-40AF-8350-B08BD151C4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6" authorId="23" shapeId="0" xr:uid="{2887DF62-5240-4767-B5BF-79BDCC6082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7" authorId="24" shapeId="0" xr:uid="{E592D5F3-1C76-49A4-8CA9-20E1F88E9F6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7" authorId="25" shapeId="0" xr:uid="{14455F85-CC94-4CC8-B662-3BDEC7AB4D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8" authorId="26" shapeId="0" xr:uid="{FE89AB3E-33E0-4B4F-88BE-716D01FEE7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8" authorId="27" shapeId="0" xr:uid="{3D8CD8D6-3BC4-4BC2-BC04-90A299C938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39" authorId="28" shapeId="0" xr:uid="{D3CED9BF-F559-418C-A7C0-F482BA8734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39" authorId="29" shapeId="0" xr:uid="{4C8C5AE1-E9F3-4D7F-B4B6-6DDD686CDE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40" authorId="30" shapeId="0" xr:uid="{D8FB3E30-8F7B-4882-BCA0-E0D410E0EF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40" authorId="31" shapeId="0" xr:uid="{9D6B31F4-5762-453D-9F72-E2B8E2873D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41" authorId="32" shapeId="0" xr:uid="{1F4B8B8E-C084-48D3-9D67-72409122E3F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41" authorId="33" shapeId="0" xr:uid="{E62EB584-5783-4A47-817D-A4A62F9677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42" authorId="34" shapeId="0" xr:uid="{57554CFD-3F4A-4CF3-8D59-35D9D0F54B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42" authorId="35" shapeId="0" xr:uid="{68B6187D-9D86-4B33-9714-0B93A0D13A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43" authorId="36" shapeId="0" xr:uid="{A655142B-DF06-4806-BD34-0343F056402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H43" authorId="37" shapeId="0" xr:uid="{E06D1F37-AC8C-4882-A49A-3099A1B9EA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装置毎のエネルギー使用量。タグデータでとれるか要検討</t>
      </text>
    </comment>
    <comment ref="M44" authorId="38" shapeId="0" xr:uid="{62DF4351-AA8D-408B-A7DE-E1A8F63BAA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45" authorId="39" shapeId="0" xr:uid="{520F9A0B-9EA4-4D9B-850B-2188F985F1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N45" authorId="40" shapeId="0" xr:uid="{41151E61-CD97-46F6-A88D-A6BC4F21C4C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温対法上は0.02のはず</t>
      </text>
    </comment>
    <comment ref="M46" authorId="41" shapeId="0" xr:uid="{5174AE04-69EA-44B1-A8A8-E8A568E294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47" authorId="42" shapeId="0" xr:uid="{B733BE9E-3F30-4644-92F0-0E38C4A357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S47" authorId="43" shapeId="0" xr:uid="{C14C0498-AB8C-4EBB-9657-BD55DE55D73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係数リストにないため、この数値でよいかは要確認</t>
      </text>
    </comment>
    <comment ref="M48" authorId="44" shapeId="0" xr:uid="{C6D2935E-64F2-4F1F-AF22-C4C326C10F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Q48" authorId="45" shapeId="0" xr:uid="{2A6532C7-D859-495B-9AE0-9577F9B16D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活動量×0.001×使用期間（使用期間データはGGXとは別で集計していたと思われる）</t>
      </text>
    </comment>
    <comment ref="M49" authorId="46" shapeId="0" xr:uid="{81DF8B9D-B58E-4A22-973F-2C6B100268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AI49" authorId="47" shapeId="0" xr:uid="{BD0F4A2E-4244-4451-8B04-843BBDBC32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使用期間の１年間に対する比率。現状はGGX外で収集している？</t>
      </text>
    </comment>
    <comment ref="M50" authorId="48" shapeId="0" xr:uid="{D1BB20CF-9869-479A-80EA-B18B84D72E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1" authorId="49" shapeId="0" xr:uid="{68FEDB77-C264-4E85-80AA-A4B285F7CF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2" authorId="50" shapeId="0" xr:uid="{CCE95CC2-3C85-488D-A788-C3F67B3B5C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3" authorId="51" shapeId="0" xr:uid="{EF004E88-C9FC-4FF6-B179-0AA18C595E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4" authorId="52" shapeId="0" xr:uid="{D5E5B0AA-CAD8-4C0C-85C2-B72EFA4CCE2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5" authorId="53" shapeId="0" xr:uid="{425DA55F-19F1-45FC-A85F-01085C74D7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6" authorId="54" shapeId="0" xr:uid="{F1902BA7-58DD-4ABC-827D-6C95C113DF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7" authorId="55" shapeId="0" xr:uid="{052E32FC-7ECD-4C6E-A421-B74CEDC3F4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8" authorId="56" shapeId="0" xr:uid="{F9D206A4-F011-4020-B2CD-DE642D0C29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59" authorId="57" shapeId="0" xr:uid="{15133DEC-A00E-47EF-B1C4-866D7571778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0" authorId="58" shapeId="0" xr:uid="{9A43D262-BB23-4139-92A2-9698063493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1" authorId="59" shapeId="0" xr:uid="{FA910EFE-270A-4CCB-B183-99C3FFBA5F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2" authorId="60" shapeId="0" xr:uid="{F1FC844D-EA8F-4986-BBAF-9C44AA717D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3" authorId="61" shapeId="0" xr:uid="{BBF96058-25A5-497B-A606-5DA6BCD63E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4" authorId="62" shapeId="0" xr:uid="{0C437123-CD2D-451F-8ABA-463C2CC372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5" authorId="63" shapeId="0" xr:uid="{672FD272-F3AF-4B8C-9017-33C2A9D741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6" authorId="64" shapeId="0" xr:uid="{0B1B6D61-5C8B-4D6F-9C88-7E1DFB58E9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7" authorId="65" shapeId="0" xr:uid="{D885DD05-392E-4034-BD22-CABD2AD34A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8" authorId="66" shapeId="0" xr:uid="{389F6FF8-DF68-47D8-B756-093E2EAE12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69" authorId="67" shapeId="0" xr:uid="{B6ECB1D8-A351-44F8-B319-A14D43EE93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M70" authorId="68" shapeId="0" xr:uid="{CFEC992B-EE40-40B0-89BE-746EAE1687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ガス比重ー熱量の相関式（年度実績の加重平均）</t>
      </text>
    </comment>
    <comment ref="H71" authorId="69" shapeId="0" xr:uid="{4CE4DA2D-8D22-4F78-9749-B36FB388F1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基礎データ作成時は、NG使用先装置の数量確定をした後、石油系炭化水素ガスの数量確定。
石油系炭化水素ガスは、GGXとGXリーグでは異なる基礎データを使用する。GGXは、各装置の使用量合計値（FOE-KL）を単位換算（FOE-KL→GJ）の上、温対法の排出係数デフォルト値（46.1tC/GJ）を乗じて算定している。一方、GXリーグでは、モニタリングポイント毎の実測に基づいた値が必要であるため、実流量（千m3）の各TAGデータに、実測ベースの単位発熱量（千m3/GJ）を乗じて計算している。</t>
      </text>
    </comment>
    <comment ref="H72" authorId="70" shapeId="0" xr:uid="{1AE45177-1E39-40D2-B68C-B95092C055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基礎データ作成時は、NG使用量を各装置に振り分けて集計。</t>
      </text>
    </comment>
    <comment ref="H73" authorId="71" shapeId="0" xr:uid="{41E5E003-59FB-4281-8035-A23D2BE737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基礎データ作成時は、NG使用先装置の数量確定をした後、石油系炭化水素ガスの数量確定。
石油系炭化水素ガスは、GGXとGXリーグでは異なる基礎データを使用する。GGXは、各装置の使用量合計値（FOE-KL）を単位換算（FOE-KL→GJ）の上、温対法の排出係数デフォルト値（46.1tC/GJ）を乗じて算定している。一方、GXリーグでは、モニタリングポイント毎の実測に基づいた値が必要であるため、実流量（千m3）の各TAGデータに、実測ベースの単位発熱量（千m3/GJ）を乗じて計算している。</t>
      </text>
    </comment>
    <comment ref="H74" authorId="72" shapeId="0" xr:uid="{1EC6DD34-01DD-4A04-B3D4-336A084C24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基礎データ作成時は、NG使用量を各装置に振り分けて集計。</t>
      </text>
    </comment>
    <comment ref="K109" authorId="73" shapeId="0" xr:uid="{CCCDE05A-348F-4873-9A1A-47B140938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購入エネルギー量（I列）から、蒸気を生成する際の投入エネルギー量（＝I列×1.17）を算出していると思われる</t>
      </text>
    </comment>
  </commentList>
</comments>
</file>

<file path=xl/sharedStrings.xml><?xml version="1.0" encoding="utf-8"?>
<sst xmlns="http://schemas.openxmlformats.org/spreadsheetml/2006/main" count="3267" uniqueCount="448">
  <si>
    <t>CO2排出量</t>
    <rPh sb="3" eb="6">
      <t>ハイシュツリョウ</t>
    </rPh>
    <phoneticPr fontId="4"/>
  </si>
  <si>
    <t>大分類</t>
  </si>
  <si>
    <t>中分類</t>
  </si>
  <si>
    <t>小分類</t>
  </si>
  <si>
    <t>ガソリン</t>
  </si>
  <si>
    <t>－</t>
  </si>
  <si>
    <t>KL</t>
  </si>
  <si>
    <t>軽油</t>
  </si>
  <si>
    <t>モニタリングポイント</t>
  </si>
  <si>
    <t>単位発熱量</t>
    <rPh sb="0" eb="5">
      <t>タンイハツネツリョウ</t>
    </rPh>
    <phoneticPr fontId="4"/>
  </si>
  <si>
    <t>排出係数</t>
    <rPh sb="0" eb="4">
      <t>ハイシュツケイスウ</t>
    </rPh>
    <phoneticPr fontId="4"/>
  </si>
  <si>
    <t>液化石油ガス(LPG)</t>
  </si>
  <si>
    <t>ton</t>
  </si>
  <si>
    <t>識別コード</t>
  </si>
  <si>
    <t>名称</t>
    <rPh sb="0" eb="2">
      <t>メイショウ</t>
    </rPh>
    <phoneticPr fontId="4"/>
  </si>
  <si>
    <t>単位</t>
    <rPh sb="0" eb="2">
      <t>タンイ</t>
    </rPh>
    <phoneticPr fontId="4"/>
  </si>
  <si>
    <t>石油系炭化水素ガス</t>
  </si>
  <si>
    <t>千m3</t>
  </si>
  <si>
    <t>その他可燃性天然ガス</t>
  </si>
  <si>
    <t>C2FK059</t>
  </si>
  <si>
    <t>2C-FI-59</t>
  </si>
  <si>
    <t>GJ/千m3</t>
  </si>
  <si>
    <t>tC/GJ</t>
  </si>
  <si>
    <t>A重油</t>
  </si>
  <si>
    <t>一般炭</t>
  </si>
  <si>
    <t>NHFK028</t>
  </si>
  <si>
    <t>2NH-FI-28</t>
  </si>
  <si>
    <t>B・C重油</t>
  </si>
  <si>
    <t>ブラックペレット</t>
  </si>
  <si>
    <t>-</t>
  </si>
  <si>
    <t>P2FK024</t>
  </si>
  <si>
    <t>2P-FI-24</t>
  </si>
  <si>
    <t>FCCコーク</t>
  </si>
  <si>
    <t>LXFK048</t>
  </si>
  <si>
    <t>LX-FI-48</t>
  </si>
  <si>
    <t>産業用蒸気(千葉事業所(石油))</t>
  </si>
  <si>
    <t>GJ</t>
  </si>
  <si>
    <t>H1FK012</t>
  </si>
  <si>
    <t>HY-FI-12</t>
  </si>
  <si>
    <t>輸入一般炭</t>
  </si>
  <si>
    <t>千kWh</t>
  </si>
  <si>
    <t>D3FK029</t>
  </si>
  <si>
    <t>3DH-FI-29</t>
  </si>
  <si>
    <t>GHFK015</t>
  </si>
  <si>
    <t>GH-FI-15</t>
  </si>
  <si>
    <t>石油コークス又はFCCコーク(流動接触分解で使用された触媒に析出する炭素)</t>
  </si>
  <si>
    <t>VHFK010</t>
  </si>
  <si>
    <t>VH-FI-10</t>
  </si>
  <si>
    <t>VHFK039</t>
  </si>
  <si>
    <t>VH-FI-39</t>
  </si>
  <si>
    <t>LWFP009</t>
  </si>
  <si>
    <t>LW-FI-9</t>
  </si>
  <si>
    <t>ドライアイスの使用</t>
  </si>
  <si>
    <t>LWFP042</t>
  </si>
  <si>
    <t>LW-FI-42</t>
  </si>
  <si>
    <t>-</t>
    <phoneticPr fontId="2"/>
  </si>
  <si>
    <t>N3FP301</t>
  </si>
  <si>
    <t>3NH-FI-802</t>
  </si>
  <si>
    <t>N2O</t>
  </si>
  <si>
    <t>燃料の使用(ton)</t>
  </si>
  <si>
    <t>常圧流動床式ボイラー(固体化石燃料)</t>
  </si>
  <si>
    <t>LRFK003</t>
  </si>
  <si>
    <t>LNR-FI-3</t>
  </si>
  <si>
    <t>CH4</t>
  </si>
  <si>
    <t>D2FP031</t>
  </si>
  <si>
    <t>2DH-FI-31</t>
  </si>
  <si>
    <t>ボイラー(その他バイオマス燃料)</t>
  </si>
  <si>
    <t>千葉乾燥汚泥</t>
  </si>
  <si>
    <t>BUFK802</t>
  </si>
  <si>
    <t>BU-FI-802</t>
  </si>
  <si>
    <t>FCFP028</t>
  </si>
  <si>
    <t>FCC-FI-28</t>
  </si>
  <si>
    <t>出光グリーンエナジーペレット（IGEP）</t>
  </si>
  <si>
    <t>CBFK007</t>
  </si>
  <si>
    <t>CO-FI-7</t>
  </si>
  <si>
    <t>FHFK801</t>
  </si>
  <si>
    <t>FH-FI-801</t>
  </si>
  <si>
    <t>触媒再生塔(石炭を除く固体化石燃料)</t>
  </si>
  <si>
    <t>S6FK007</t>
  </si>
  <si>
    <t>6S-FI-7</t>
  </si>
  <si>
    <t>STFK001</t>
  </si>
  <si>
    <t>ST-FI-1</t>
  </si>
  <si>
    <t>業務用のこんろ、湯沸器、ストーブその他の事業者が事業活動の用に供する機械器具(気体化石燃料)</t>
  </si>
  <si>
    <t>STFK019</t>
  </si>
  <si>
    <t>ST-FI-9</t>
  </si>
  <si>
    <t>VAFP207S</t>
  </si>
  <si>
    <t>V-FI-207</t>
  </si>
  <si>
    <t>燃料の使用(KL)</t>
  </si>
  <si>
    <t>ボイラー(液体化石燃料)</t>
  </si>
  <si>
    <t>VAFP208S</t>
  </si>
  <si>
    <t>V-FI-208</t>
  </si>
  <si>
    <t>PDFP042S</t>
  </si>
  <si>
    <t>PD-FI-42</t>
  </si>
  <si>
    <t>B･C重油</t>
  </si>
  <si>
    <t>LHFP012S</t>
  </si>
  <si>
    <t>LH-FI-12</t>
  </si>
  <si>
    <t>LHFP013S</t>
  </si>
  <si>
    <t>LH-FI-13</t>
  </si>
  <si>
    <t>燃料の使用(千m3)</t>
  </si>
  <si>
    <t>ボイラー(気体化石燃料)</t>
  </si>
  <si>
    <t>LHFP107S</t>
  </si>
  <si>
    <t>LH-FI-107</t>
  </si>
  <si>
    <t>LHFP108S</t>
  </si>
  <si>
    <t>LH-FI-108</t>
  </si>
  <si>
    <t>LHFP109S</t>
  </si>
  <si>
    <t>LH-FI-109</t>
  </si>
  <si>
    <t>DWFP084S</t>
  </si>
  <si>
    <t>DW-FI-84</t>
  </si>
  <si>
    <t>石油製品、石油化学製品、コールタール製品製造用の加熱炉又はガス加熱炉(気体化石燃料)</t>
  </si>
  <si>
    <t>LLFP008S</t>
  </si>
  <si>
    <t>2LH-FI-8</t>
  </si>
  <si>
    <t>LLFP016S</t>
  </si>
  <si>
    <t>2LH-FI-16</t>
  </si>
  <si>
    <t>L3FP033S</t>
  </si>
  <si>
    <t>3LH-FI-33</t>
  </si>
  <si>
    <t>L3FP034S</t>
  </si>
  <si>
    <t>3LH-FI-34</t>
  </si>
  <si>
    <t>原油の精製</t>
  </si>
  <si>
    <t>原油(コンデンセート(NGL)を除く。) の貯蔵及び精製</t>
  </si>
  <si>
    <t>貯蔵時</t>
  </si>
  <si>
    <t>L3FP035S</t>
  </si>
  <si>
    <t>3LH-FI-35</t>
  </si>
  <si>
    <t>精製時</t>
  </si>
  <si>
    <t>LFFP027S</t>
  </si>
  <si>
    <t>LF-FI-27</t>
  </si>
  <si>
    <t>工場廃水の処理(kgBOD)</t>
  </si>
  <si>
    <t>化学工業に係る工業廃水</t>
  </si>
  <si>
    <t>B5FP104Z</t>
  </si>
  <si>
    <t>5B-FI-104</t>
  </si>
  <si>
    <t>工場廃水の処理(tN)</t>
  </si>
  <si>
    <t>tN</t>
  </si>
  <si>
    <t>B5FP204Z</t>
  </si>
  <si>
    <t>5B-FI-204</t>
  </si>
  <si>
    <t>下水､し尿等の処理(人)</t>
  </si>
  <si>
    <t>生活排水処理施設におけるし尿及び雑排水の処理</t>
  </si>
  <si>
    <t>単独処理浄化槽</t>
  </si>
  <si>
    <t>人</t>
  </si>
  <si>
    <t>S5FP024</t>
  </si>
  <si>
    <t>5S-FI-24</t>
  </si>
  <si>
    <t>B3FP104(LSA)</t>
  </si>
  <si>
    <t>3B-FI-104</t>
  </si>
  <si>
    <t>kl</t>
  </si>
  <si>
    <t>GJ/kl</t>
  </si>
  <si>
    <t>合併処理浄化槽（窒素除去型高度処理、窒素・リン除去型高度処理又は BOD 除去型高度処理の性能評価型に限る。）</t>
  </si>
  <si>
    <t>B3FP104(C重油)</t>
  </si>
  <si>
    <t>B5FP105（LSA）</t>
  </si>
  <si>
    <t>5B-FSD-105</t>
  </si>
  <si>
    <t>くみ取便所の便槽</t>
  </si>
  <si>
    <t>B5FP105（C重油）</t>
  </si>
  <si>
    <t>B5FP205（LSA）</t>
  </si>
  <si>
    <t>5B-FSD-205</t>
  </si>
  <si>
    <t>HFC</t>
  </si>
  <si>
    <t>HFC-23</t>
  </si>
  <si>
    <t>業務用冷凍空気調和機器の使用開始におけるHFCの封入</t>
  </si>
  <si>
    <t>業務用冷凍空気調和機器（自動販売機を除く｡）</t>
  </si>
  <si>
    <t>tHFC</t>
  </si>
  <si>
    <t>B5FP205（C重油）</t>
  </si>
  <si>
    <t>R410A</t>
  </si>
  <si>
    <t>B6FP210（LSA）</t>
  </si>
  <si>
    <t>5B-FI-210</t>
  </si>
  <si>
    <t>B6FP210（C重油）</t>
  </si>
  <si>
    <t>業務用冷凍空気調和機器の整備におけるHFCの回収及び封入(tHFC)</t>
  </si>
  <si>
    <t>HFC-23(再封入時使用量)</t>
  </si>
  <si>
    <t>石炭　外部からの購入量</t>
  </si>
  <si>
    <t>t</t>
  </si>
  <si>
    <t>GJ/t</t>
  </si>
  <si>
    <t>R410A(再封入時使用量)</t>
  </si>
  <si>
    <t>起動用熱風炉使用</t>
  </si>
  <si>
    <t>6B-FI-209</t>
  </si>
  <si>
    <t>電力メーター</t>
  </si>
  <si>
    <t>tCO2/kWh</t>
  </si>
  <si>
    <t>SF6</t>
  </si>
  <si>
    <t>変圧器等電気機械器具の使用(SF6)</t>
  </si>
  <si>
    <t>機器使用開始時に封入されていたSF6の量</t>
  </si>
  <si>
    <t>tSF6</t>
  </si>
  <si>
    <t>水素製造装置-CO2</t>
  </si>
  <si>
    <t>H1FK008,換算係数,他社販売数量</t>
  </si>
  <si>
    <t>その他（要事務局承認）</t>
  </si>
  <si>
    <t>tCO2</t>
  </si>
  <si>
    <t>tCH4/GJ</t>
  </si>
  <si>
    <t>FCCコーク-CO2</t>
  </si>
  <si>
    <t>計算値</t>
  </si>
  <si>
    <t>CBFK005</t>
  </si>
  <si>
    <t>CO-FI-5</t>
  </si>
  <si>
    <t>活性汚泥</t>
  </si>
  <si>
    <t>③</t>
  </si>
  <si>
    <t>tCO2</t>
    <phoneticPr fontId="2"/>
  </si>
  <si>
    <t>〇</t>
  </si>
  <si>
    <t>kl</t>
    <phoneticPr fontId="2"/>
  </si>
  <si>
    <t>https://policies.env.go.jp/earth/ghg-santeikohyo/files/calc/itiran_2023_rev4.pdf</t>
    <phoneticPr fontId="2"/>
  </si>
  <si>
    <t>温対法</t>
    <rPh sb="0" eb="1">
      <t>オン</t>
    </rPh>
    <rPh sb="1" eb="2">
      <t>タイ</t>
    </rPh>
    <rPh sb="2" eb="3">
      <t>ホウ</t>
    </rPh>
    <phoneticPr fontId="2"/>
  </si>
  <si>
    <t>独自</t>
    <rPh sb="0" eb="2">
      <t>ドクジ</t>
    </rPh>
    <phoneticPr fontId="2"/>
  </si>
  <si>
    <t>温対法</t>
    <rPh sb="0" eb="1">
      <t>オン</t>
    </rPh>
    <rPh sb="1" eb="3">
      <t>タイホウ</t>
    </rPh>
    <phoneticPr fontId="2"/>
  </si>
  <si>
    <t>独自？</t>
    <rPh sb="0" eb="2">
      <t>ドクジ</t>
    </rPh>
    <phoneticPr fontId="2"/>
  </si>
  <si>
    <t>？</t>
    <phoneticPr fontId="2"/>
  </si>
  <si>
    <t>GJ/千kWh</t>
    <phoneticPr fontId="2"/>
  </si>
  <si>
    <t>×</t>
  </si>
  <si>
    <t>①-1</t>
  </si>
  <si>
    <t>20○○年石油＿省エネ定期報告計算シート</t>
    <rPh sb="4" eb="5">
      <t>ネン</t>
    </rPh>
    <rPh sb="5" eb="7">
      <t>セキユ</t>
    </rPh>
    <rPh sb="8" eb="9">
      <t>ショウ</t>
    </rPh>
    <rPh sb="11" eb="13">
      <t>テイキ</t>
    </rPh>
    <rPh sb="13" eb="15">
      <t>ホウコク</t>
    </rPh>
    <rPh sb="15" eb="17">
      <t>ケイサン</t>
    </rPh>
    <phoneticPr fontId="1"/>
  </si>
  <si>
    <t>②-1</t>
  </si>
  <si>
    <t>構内給油所燃料使用量20○○</t>
    <rPh sb="0" eb="2">
      <t>コウナイ</t>
    </rPh>
    <rPh sb="2" eb="5">
      <t>キュウユジョ</t>
    </rPh>
    <rPh sb="5" eb="7">
      <t>ネンリョウ</t>
    </rPh>
    <rPh sb="7" eb="10">
      <t>シヨウリョウ</t>
    </rPh>
    <phoneticPr fontId="1"/>
  </si>
  <si>
    <t>各構内施設燃料使用実績</t>
    <rPh sb="0" eb="1">
      <t>カク</t>
    </rPh>
    <rPh sb="1" eb="3">
      <t>コウナイ</t>
    </rPh>
    <rPh sb="3" eb="5">
      <t>シセツ</t>
    </rPh>
    <rPh sb="5" eb="7">
      <t>ネンリョウ</t>
    </rPh>
    <rPh sb="7" eb="9">
      <t>シヨウ</t>
    </rPh>
    <rPh sb="9" eb="11">
      <t>ジッセキ</t>
    </rPh>
    <phoneticPr fontId="1"/>
  </si>
  <si>
    <t>工場授受月実績(パターン①－1)
大陽日酸・日本液炭（国際炭酸）協定書
　（パターン②-2）</t>
    <rPh sb="0" eb="2">
      <t>コウジョウ</t>
    </rPh>
    <rPh sb="2" eb="4">
      <t>ジュジュ</t>
    </rPh>
    <rPh sb="4" eb="5">
      <t>ツキ</t>
    </rPh>
    <rPh sb="5" eb="7">
      <t>ジッセキ</t>
    </rPh>
    <phoneticPr fontId="1"/>
  </si>
  <si>
    <t>20○○年度定期報告用買電データ
20○○年石油＿省エネ定期報告計算シート</t>
    <rPh sb="4" eb="6">
      <t>ネンド</t>
    </rPh>
    <rPh sb="6" eb="8">
      <t>テイキ</t>
    </rPh>
    <rPh sb="8" eb="10">
      <t>ホウコク</t>
    </rPh>
    <rPh sb="10" eb="11">
      <t>ヨウ</t>
    </rPh>
    <rPh sb="11" eb="12">
      <t>カ</t>
    </rPh>
    <rPh sb="12" eb="13">
      <t>デン</t>
    </rPh>
    <phoneticPr fontId="1"/>
  </si>
  <si>
    <t>②-2</t>
  </si>
  <si>
    <t>日本液炭（国際炭酸）協定書</t>
    <rPh sb="0" eb="2">
      <t>ニホン</t>
    </rPh>
    <rPh sb="2" eb="4">
      <t>エキタン</t>
    </rPh>
    <rPh sb="5" eb="7">
      <t>コクサイ</t>
    </rPh>
    <rPh sb="7" eb="9">
      <t>タンサン</t>
    </rPh>
    <rPh sb="10" eb="13">
      <t>キョウテイショ</t>
    </rPh>
    <phoneticPr fontId="1"/>
  </si>
  <si>
    <t>20○○年石油＿省エネ定期報告計算シート</t>
  </si>
  <si>
    <t>基礎データ</t>
    <rPh sb="0" eb="2">
      <t>キソ</t>
    </rPh>
    <phoneticPr fontId="2"/>
  </si>
  <si>
    <t>コメント</t>
    <phoneticPr fontId="2"/>
  </si>
  <si>
    <t>数値</t>
    <rPh sb="0" eb="2">
      <t>スウチ</t>
    </rPh>
    <phoneticPr fontId="2"/>
  </si>
  <si>
    <t>数値</t>
    <phoneticPr fontId="2"/>
  </si>
  <si>
    <t>出典</t>
    <rPh sb="0" eb="2">
      <t>シュッテン</t>
    </rPh>
    <phoneticPr fontId="2"/>
  </si>
  <si>
    <t>GXL</t>
    <phoneticPr fontId="2"/>
  </si>
  <si>
    <t>温対法/SSBJ</t>
    <rPh sb="0" eb="1">
      <t>オン</t>
    </rPh>
    <rPh sb="1" eb="2">
      <t>タイ</t>
    </rPh>
    <rPh sb="2" eb="3">
      <t>ホウ</t>
    </rPh>
    <phoneticPr fontId="2"/>
  </si>
  <si>
    <t>【参考】GGX</t>
    <rPh sb="1" eb="3">
      <t>サンコウ</t>
    </rPh>
    <phoneticPr fontId="2"/>
  </si>
  <si>
    <t>A重油</t>
    <phoneticPr fontId="2"/>
  </si>
  <si>
    <t>モニタリングポイント合計</t>
    <rPh sb="10" eb="12">
      <t>ゴウケイ</t>
    </rPh>
    <phoneticPr fontId="2"/>
  </si>
  <si>
    <t>燃料種</t>
    <rPh sb="0" eb="3">
      <t>ネンリョウシュ</t>
    </rPh>
    <phoneticPr fontId="2"/>
  </si>
  <si>
    <t>一般炭</t>
    <rPh sb="0" eb="2">
      <t>イッパン</t>
    </rPh>
    <rPh sb="2" eb="3">
      <t>スミ</t>
    </rPh>
    <phoneticPr fontId="2"/>
  </si>
  <si>
    <t>購入量</t>
    <rPh sb="0" eb="3">
      <t>コウニュウリョウ</t>
    </rPh>
    <phoneticPr fontId="2"/>
  </si>
  <si>
    <t>使用量</t>
    <rPh sb="0" eb="3">
      <t>シヨウリョウ</t>
    </rPh>
    <phoneticPr fontId="2"/>
  </si>
  <si>
    <t>温対法</t>
  </si>
  <si>
    <t>ｔ</t>
  </si>
  <si>
    <t>GJ/GJ</t>
  </si>
  <si>
    <t>？</t>
  </si>
  <si>
    <t>GJ/千kWh</t>
  </si>
  <si>
    <t>電気事業者(特定規模)：昼間電力</t>
    <rPh sb="12" eb="14">
      <t>ヒルマ</t>
    </rPh>
    <rPh sb="14" eb="16">
      <t>デンリョク</t>
    </rPh>
    <phoneticPr fontId="2"/>
  </si>
  <si>
    <t>電気事業者(特定規模)：夜間電力</t>
    <rPh sb="12" eb="14">
      <t>ヤカン</t>
    </rPh>
    <rPh sb="14" eb="16">
      <t>デンリョク</t>
    </rPh>
    <phoneticPr fontId="2"/>
  </si>
  <si>
    <t>千葉石油と千葉化学の合算値</t>
    <rPh sb="0" eb="2">
      <t>チバ</t>
    </rPh>
    <rPh sb="2" eb="4">
      <t>セキユ</t>
    </rPh>
    <rPh sb="5" eb="9">
      <t>チバカガク</t>
    </rPh>
    <rPh sb="10" eb="13">
      <t>ガッサンチ</t>
    </rPh>
    <phoneticPr fontId="2"/>
  </si>
  <si>
    <t>水素製造装置-CO2_自家使用</t>
    <rPh sb="11" eb="13">
      <t>ジカ</t>
    </rPh>
    <rPh sb="13" eb="15">
      <t>シヨウ</t>
    </rPh>
    <phoneticPr fontId="2"/>
  </si>
  <si>
    <t>水素製造装置-CO2_控除分（他社販売）</t>
    <rPh sb="11" eb="13">
      <t>コウジョ</t>
    </rPh>
    <rPh sb="13" eb="14">
      <t>ブン</t>
    </rPh>
    <rPh sb="15" eb="17">
      <t>タシャ</t>
    </rPh>
    <rPh sb="17" eb="19">
      <t>ハンバイ</t>
    </rPh>
    <phoneticPr fontId="2"/>
  </si>
  <si>
    <t>収集フロー</t>
    <rPh sb="0" eb="2">
      <t>シュウシュウ</t>
    </rPh>
    <phoneticPr fontId="2"/>
  </si>
  <si>
    <t>GXL排出量</t>
    <rPh sb="3" eb="6">
      <t>ハイシュツリョウ</t>
    </rPh>
    <phoneticPr fontId="2"/>
  </si>
  <si>
    <t>GGX排出量</t>
    <rPh sb="3" eb="6">
      <t>ハイシュツリョウ</t>
    </rPh>
    <phoneticPr fontId="2"/>
  </si>
  <si>
    <t>電気（自家発電）：化石燃料/千葉事業所（石油）</t>
    <rPh sb="9" eb="11">
      <t>カセキ</t>
    </rPh>
    <rPh sb="11" eb="13">
      <t>ネンリョウ</t>
    </rPh>
    <rPh sb="14" eb="16">
      <t>チバ</t>
    </rPh>
    <rPh sb="16" eb="19">
      <t>ジギョウショ</t>
    </rPh>
    <rPh sb="20" eb="22">
      <t>セキユ</t>
    </rPh>
    <phoneticPr fontId="2"/>
  </si>
  <si>
    <t>電気（自家発電）：社内融通/千葉事業所(化学)からの買電（24年度以降使用禁止）</t>
    <rPh sb="14" eb="16">
      <t>チバ</t>
    </rPh>
    <rPh sb="16" eb="19">
      <t>ジギョウショ</t>
    </rPh>
    <rPh sb="20" eb="22">
      <t>カガク</t>
    </rPh>
    <rPh sb="26" eb="27">
      <t>カ</t>
    </rPh>
    <rPh sb="27" eb="28">
      <t>デン</t>
    </rPh>
    <rPh sb="31" eb="33">
      <t>ネンド</t>
    </rPh>
    <rPh sb="33" eb="35">
      <t>イコウ</t>
    </rPh>
    <rPh sb="35" eb="37">
      <t>シヨウ</t>
    </rPh>
    <rPh sb="37" eb="39">
      <t>キンシ</t>
    </rPh>
    <phoneticPr fontId="2"/>
  </si>
  <si>
    <t>他社への供給：産業用蒸気</t>
    <phoneticPr fontId="2"/>
  </si>
  <si>
    <t>天然ガス以外の石油系炭化水素ガス</t>
    <rPh sb="0" eb="2">
      <t>テンネン</t>
    </rPh>
    <rPh sb="4" eb="6">
      <t>イガイ</t>
    </rPh>
    <rPh sb="7" eb="10">
      <t>セキユケイ</t>
    </rPh>
    <rPh sb="10" eb="12">
      <t>タンカ</t>
    </rPh>
    <rPh sb="12" eb="14">
      <t>スイソ</t>
    </rPh>
    <phoneticPr fontId="2"/>
  </si>
  <si>
    <t>電気（自家発電）：徳山事業所からの買電（24年度以降使用禁止）</t>
  </si>
  <si>
    <t>他社への供給：産業用蒸気</t>
  </si>
  <si>
    <t>運転課→生産管理課</t>
    <rPh sb="0" eb="3">
      <t>ウンテンカ</t>
    </rPh>
    <rPh sb="4" eb="6">
      <t>セイサン</t>
    </rPh>
    <rPh sb="6" eb="9">
      <t>カンリカ</t>
    </rPh>
    <phoneticPr fontId="2"/>
  </si>
  <si>
    <t>集計頻度</t>
    <rPh sb="0" eb="2">
      <t>シュウケイ</t>
    </rPh>
    <rPh sb="2" eb="4">
      <t>ヒンド</t>
    </rPh>
    <phoneticPr fontId="2"/>
  </si>
  <si>
    <t>月次</t>
    <rPh sb="0" eb="2">
      <t>ゲツジ</t>
    </rPh>
    <phoneticPr fontId="2"/>
  </si>
  <si>
    <t>集計部門：基礎データ→GGX元データ</t>
    <rPh sb="0" eb="2">
      <t>シュウケイ</t>
    </rPh>
    <rPh sb="2" eb="4">
      <t>ブモン</t>
    </rPh>
    <rPh sb="5" eb="7">
      <t>キソ</t>
    </rPh>
    <rPh sb="14" eb="15">
      <t>モト</t>
    </rPh>
    <phoneticPr fontId="2"/>
  </si>
  <si>
    <t>生産管理課→生産管理課</t>
    <rPh sb="0" eb="2">
      <t>セイサン</t>
    </rPh>
    <rPh sb="2" eb="4">
      <t>カンリ</t>
    </rPh>
    <rPh sb="4" eb="5">
      <t>カ</t>
    </rPh>
    <rPh sb="6" eb="8">
      <t>セイサン</t>
    </rPh>
    <rPh sb="8" eb="11">
      <t>カンリカ</t>
    </rPh>
    <phoneticPr fontId="2"/>
  </si>
  <si>
    <t>天然ガス。各装置のNG使用量の振り分けを実施。</t>
    <rPh sb="0" eb="2">
      <t>テンネン</t>
    </rPh>
    <phoneticPr fontId="2"/>
  </si>
  <si>
    <t>総務課→生産管理課</t>
    <rPh sb="0" eb="3">
      <t>ソウムカ</t>
    </rPh>
    <rPh sb="4" eb="6">
      <t>セイサン</t>
    </rPh>
    <rPh sb="6" eb="9">
      <t>カンリカ</t>
    </rPh>
    <phoneticPr fontId="2"/>
  </si>
  <si>
    <t>運転課からは実績水分で報告される為、法定報告時は水分補正を実施。</t>
    <phoneticPr fontId="2"/>
  </si>
  <si>
    <t>20○○年度定期報告用買電データ・20○○年石油＿省エネ定期報告計算シート</t>
    <rPh sb="4" eb="6">
      <t>ネンド</t>
    </rPh>
    <rPh sb="6" eb="8">
      <t>テイキ</t>
    </rPh>
    <rPh sb="8" eb="10">
      <t>ホウコク</t>
    </rPh>
    <rPh sb="10" eb="11">
      <t>ヨウ</t>
    </rPh>
    <rPh sb="11" eb="12">
      <t>カ</t>
    </rPh>
    <rPh sb="12" eb="13">
      <t>デン</t>
    </rPh>
    <phoneticPr fontId="1"/>
  </si>
  <si>
    <t>基礎データ出力システム</t>
    <rPh sb="0" eb="2">
      <t>キソ</t>
    </rPh>
    <rPh sb="5" eb="7">
      <t>シュツリョク</t>
    </rPh>
    <phoneticPr fontId="2"/>
  </si>
  <si>
    <t>日報</t>
  </si>
  <si>
    <t>日報</t>
    <rPh sb="0" eb="2">
      <t>ニッポウ</t>
    </rPh>
    <phoneticPr fontId="2"/>
  </si>
  <si>
    <t>燃料消費計画実績報告・燃料集計表</t>
    <phoneticPr fontId="2"/>
  </si>
  <si>
    <t>工場授受月実績・20○○年石油＿省エネ定期報告計算シート</t>
    <phoneticPr fontId="2"/>
  </si>
  <si>
    <t>千葉地区の受電量を石油・化学で振り分ける。</t>
    <phoneticPr fontId="2"/>
  </si>
  <si>
    <t>（他社）→生産管理課→生産管理課</t>
    <rPh sb="1" eb="3">
      <t>タシャ</t>
    </rPh>
    <rPh sb="5" eb="7">
      <t>セイサン</t>
    </rPh>
    <rPh sb="7" eb="9">
      <t>カンリ</t>
    </rPh>
    <rPh sb="9" eb="10">
      <t>カ</t>
    </rPh>
    <rPh sb="11" eb="13">
      <t>セイサン</t>
    </rPh>
    <rPh sb="13" eb="16">
      <t>カンリカ</t>
    </rPh>
    <phoneticPr fontId="2"/>
  </si>
  <si>
    <t>①-1</t>
    <phoneticPr fontId="2"/>
  </si>
  <si>
    <t>自家発半期報報Excel</t>
    <phoneticPr fontId="1"/>
  </si>
  <si>
    <t>千葉地区の受電量を石油・化学で振り分ける。</t>
    <rPh sb="0" eb="2">
      <t>チバ</t>
    </rPh>
    <rPh sb="2" eb="4">
      <t>チク</t>
    </rPh>
    <rPh sb="5" eb="7">
      <t>ジュデン</t>
    </rPh>
    <rPh sb="7" eb="8">
      <t>リョウ</t>
    </rPh>
    <rPh sb="9" eb="11">
      <t>セキユ</t>
    </rPh>
    <rPh sb="12" eb="14">
      <t>カガク</t>
    </rPh>
    <rPh sb="15" eb="16">
      <t>フ</t>
    </rPh>
    <rPh sb="17" eb="18">
      <t>ワ</t>
    </rPh>
    <phoneticPr fontId="1"/>
  </si>
  <si>
    <t>他社への供給：電力</t>
    <phoneticPr fontId="2"/>
  </si>
  <si>
    <t>他社への供給：電力</t>
    <phoneticPr fontId="2"/>
  </si>
  <si>
    <t>×</t>
    <phoneticPr fontId="2"/>
  </si>
  <si>
    <t>〇</t>
    <phoneticPr fontId="2"/>
  </si>
  <si>
    <t>△（タグ＋その他？）</t>
  </si>
  <si>
    <t>△（タグ＋その他？）</t>
    <rPh sb="7" eb="8">
      <t>ホカ</t>
    </rPh>
    <phoneticPr fontId="2"/>
  </si>
  <si>
    <t>？</t>
    <phoneticPr fontId="2"/>
  </si>
  <si>
    <t>-</t>
    <phoneticPr fontId="2"/>
  </si>
  <si>
    <t>電気（自家発電）：社内融通/千徳山事業所からの買電（24年度以降使用禁止）</t>
    <phoneticPr fontId="2"/>
  </si>
  <si>
    <t>開示</t>
    <rPh sb="0" eb="2">
      <t>カイジ</t>
    </rPh>
    <phoneticPr fontId="2"/>
  </si>
  <si>
    <t>活動量</t>
    <rPh sb="0" eb="3">
      <t>カツドウリョウ</t>
    </rPh>
    <phoneticPr fontId="2"/>
  </si>
  <si>
    <t>tCH4/人</t>
    <rPh sb="5" eb="6">
      <t>ヒト</t>
    </rPh>
    <phoneticPr fontId="2"/>
  </si>
  <si>
    <t>tCH4</t>
    <phoneticPr fontId="2"/>
  </si>
  <si>
    <t>tCO2e</t>
    <phoneticPr fontId="2"/>
  </si>
  <si>
    <t>tCH4/KL</t>
    <phoneticPr fontId="2"/>
  </si>
  <si>
    <t>kgBOD</t>
    <phoneticPr fontId="2"/>
  </si>
  <si>
    <t>tCH4/kgBOD</t>
    <phoneticPr fontId="2"/>
  </si>
  <si>
    <t>GJ/kl</t>
    <phoneticPr fontId="2"/>
  </si>
  <si>
    <t>GJ/t</t>
    <phoneticPr fontId="2"/>
  </si>
  <si>
    <t>独自（拠点により異なる）</t>
    <rPh sb="0" eb="2">
      <t>ドクジ</t>
    </rPh>
    <rPh sb="3" eb="5">
      <t>キョテン</t>
    </rPh>
    <rPh sb="8" eb="9">
      <t>コト</t>
    </rPh>
    <phoneticPr fontId="2"/>
  </si>
  <si>
    <t>千m3</t>
    <phoneticPr fontId="2"/>
  </si>
  <si>
    <t>GJ/千m3</t>
    <phoneticPr fontId="2"/>
  </si>
  <si>
    <t>tCH4/GJ</t>
    <phoneticPr fontId="2"/>
  </si>
  <si>
    <t>業務用冷凍空気調和機器（自動販売機を除く｡）</t>
    <phoneticPr fontId="2"/>
  </si>
  <si>
    <t>tHFC/tHFC</t>
    <phoneticPr fontId="2"/>
  </si>
  <si>
    <t>tN2O/人</t>
    <rPh sb="5" eb="6">
      <t>ヒト</t>
    </rPh>
    <phoneticPr fontId="2"/>
  </si>
  <si>
    <t>tN2O</t>
    <phoneticPr fontId="2"/>
  </si>
  <si>
    <t>化学工業に係る工業廃水</t>
    <phoneticPr fontId="2"/>
  </si>
  <si>
    <t>tN2O/tN</t>
    <phoneticPr fontId="2"/>
  </si>
  <si>
    <t>tN2O/GJ</t>
    <phoneticPr fontId="2"/>
  </si>
  <si>
    <t>tSF6/tSF6/年</t>
    <phoneticPr fontId="2"/>
  </si>
  <si>
    <t>％</t>
    <phoneticPr fontId="2"/>
  </si>
  <si>
    <t>地球温暖化係数</t>
    <rPh sb="0" eb="5">
      <t>チキュウオンダンカ</t>
    </rPh>
    <rPh sb="5" eb="7">
      <t>ケイスウ</t>
    </rPh>
    <phoneticPr fontId="4"/>
  </si>
  <si>
    <t>tCO2e/tCH4</t>
    <phoneticPr fontId="2"/>
  </si>
  <si>
    <t>tHFC</t>
    <phoneticPr fontId="2"/>
  </si>
  <si>
    <t>tCO2e/tHFC</t>
    <phoneticPr fontId="2"/>
  </si>
  <si>
    <t>tCO2e/N2O</t>
    <phoneticPr fontId="2"/>
  </si>
  <si>
    <t>tSF6</t>
    <phoneticPr fontId="2"/>
  </si>
  <si>
    <t>tCO2e/tSF6</t>
    <phoneticPr fontId="2"/>
  </si>
  <si>
    <t>温室効果ガス排出量（調整後排出係数）</t>
    <phoneticPr fontId="2"/>
  </si>
  <si>
    <t>CO2換算温室効果ガス排出量（調整後排出係数）</t>
    <phoneticPr fontId="2"/>
  </si>
  <si>
    <t>タグデータの使用（推測）</t>
    <rPh sb="6" eb="8">
      <t>シヨウ</t>
    </rPh>
    <rPh sb="9" eb="11">
      <t>スイソク</t>
    </rPh>
    <phoneticPr fontId="2"/>
  </si>
  <si>
    <t>タグデータの使用（推測）</t>
    <rPh sb="6" eb="8">
      <t>シヨウ</t>
    </rPh>
    <phoneticPr fontId="2"/>
  </si>
  <si>
    <t>温室効果ガス</t>
    <phoneticPr fontId="2"/>
  </si>
  <si>
    <t>GJ</t>
    <phoneticPr fontId="2"/>
  </si>
  <si>
    <t>数値</t>
    <rPh sb="0" eb="2">
      <t>スウチ</t>
    </rPh>
    <phoneticPr fontId="2"/>
  </si>
  <si>
    <t>活動量</t>
    <rPh sb="0" eb="3">
      <t>カツドウリョウ</t>
    </rPh>
    <phoneticPr fontId="4"/>
  </si>
  <si>
    <t>※温対法/SSBJの収集・算定項目（GXリーグは報告対象外）</t>
    <rPh sb="1" eb="2">
      <t>オン</t>
    </rPh>
    <rPh sb="2" eb="3">
      <t>タイ</t>
    </rPh>
    <rPh sb="3" eb="4">
      <t>ホウ</t>
    </rPh>
    <rPh sb="10" eb="12">
      <t>シュウシュウ</t>
    </rPh>
    <rPh sb="13" eb="15">
      <t>サンテイ</t>
    </rPh>
    <rPh sb="15" eb="17">
      <t>コウモク</t>
    </rPh>
    <rPh sb="24" eb="26">
      <t>ホウコク</t>
    </rPh>
    <rPh sb="26" eb="28">
      <t>タイショウ</t>
    </rPh>
    <rPh sb="28" eb="29">
      <t>ソト</t>
    </rPh>
    <phoneticPr fontId="2"/>
  </si>
  <si>
    <t>FY2023 千葉事業所/石油： Scope1+2排出量（CO2）</t>
    <rPh sb="7" eb="9">
      <t>チバ</t>
    </rPh>
    <rPh sb="9" eb="12">
      <t>ジギョウショ</t>
    </rPh>
    <rPh sb="13" eb="15">
      <t>セキユ</t>
    </rPh>
    <rPh sb="25" eb="28">
      <t>ハイシュツリョウ</t>
    </rPh>
    <phoneticPr fontId="2"/>
  </si>
  <si>
    <t>FY2023 千葉事業所/石油： Scope1+2排出量（CO2以外のGHG）</t>
    <rPh sb="7" eb="9">
      <t>チバ</t>
    </rPh>
    <rPh sb="9" eb="12">
      <t>ジギョウショ</t>
    </rPh>
    <rPh sb="13" eb="15">
      <t>セキユ</t>
    </rPh>
    <rPh sb="25" eb="28">
      <t>ハイシュツリョウ</t>
    </rPh>
    <phoneticPr fontId="2"/>
  </si>
  <si>
    <t>※GXリーグ（GXL）/温対法/SSBJの収集・算定項目</t>
    <rPh sb="12" eb="13">
      <t>オン</t>
    </rPh>
    <rPh sb="13" eb="14">
      <t>タイ</t>
    </rPh>
    <rPh sb="14" eb="15">
      <t>ホウ</t>
    </rPh>
    <rPh sb="21" eb="23">
      <t>シュウシュウ</t>
    </rPh>
    <rPh sb="24" eb="26">
      <t>サンテイ</t>
    </rPh>
    <rPh sb="26" eb="28">
      <t>コウモク</t>
    </rPh>
    <phoneticPr fontId="2"/>
  </si>
  <si>
    <t>【参考】調査票B確認結果</t>
    <rPh sb="1" eb="3">
      <t>サンコウ</t>
    </rPh>
    <rPh sb="4" eb="7">
      <t>チョウサヒョウ</t>
    </rPh>
    <rPh sb="8" eb="10">
      <t>カクニン</t>
    </rPh>
    <rPh sb="10" eb="12">
      <t>ケッカ</t>
    </rPh>
    <phoneticPr fontId="2"/>
  </si>
  <si>
    <t>排出係数</t>
    <rPh sb="0" eb="2">
      <t>ハイシュツ</t>
    </rPh>
    <rPh sb="2" eb="4">
      <t>ケイスウ</t>
    </rPh>
    <phoneticPr fontId="4"/>
  </si>
  <si>
    <t>自家使用＋社外取引</t>
    <rPh sb="0" eb="4">
      <t>ジカシヨウ</t>
    </rPh>
    <rPh sb="5" eb="7">
      <t>シャガイ</t>
    </rPh>
    <rPh sb="7" eb="9">
      <t>トリヒキ</t>
    </rPh>
    <phoneticPr fontId="2"/>
  </si>
  <si>
    <t>ー</t>
  </si>
  <si>
    <t>ー</t>
    <phoneticPr fontId="2"/>
  </si>
  <si>
    <t>熱量換算値（GJ）</t>
  </si>
  <si>
    <t>原油換算値（KL）</t>
    <rPh sb="0" eb="2">
      <t>ゲンユ</t>
    </rPh>
    <phoneticPr fontId="2"/>
  </si>
  <si>
    <t>KL</t>
    <phoneticPr fontId="2"/>
  </si>
  <si>
    <t>調整後排出係数（出光グリーンパワー/メニューD(残差)）</t>
    <rPh sb="0" eb="3">
      <t>チョウセイアト</t>
    </rPh>
    <rPh sb="3" eb="7">
      <t>ハイシュツケイスウ</t>
    </rPh>
    <phoneticPr fontId="2"/>
  </si>
  <si>
    <t>基礎排出係数（日本）</t>
  </si>
  <si>
    <t>基礎排出係数（日本）</t>
    <rPh sb="0" eb="2">
      <t>キソ</t>
    </rPh>
    <rPh sb="2" eb="6">
      <t>ハイシュツケイスウ</t>
    </rPh>
    <rPh sb="7" eb="9">
      <t>ニホン</t>
    </rPh>
    <phoneticPr fontId="2"/>
  </si>
  <si>
    <t>モニタリングポイント合計（千葉石油分のみ）</t>
    <rPh sb="10" eb="12">
      <t>ゴウケイ</t>
    </rPh>
    <rPh sb="13" eb="15">
      <t>チバ</t>
    </rPh>
    <rPh sb="15" eb="17">
      <t>セキユ</t>
    </rPh>
    <rPh sb="17" eb="18">
      <t>ブン</t>
    </rPh>
    <phoneticPr fontId="2"/>
  </si>
  <si>
    <t>他人から供給された電気の使用</t>
    <phoneticPr fontId="2"/>
  </si>
  <si>
    <t>他人から供給された電気の使用（昼間＋夜間）</t>
    <rPh sb="15" eb="17">
      <t>ヒルマ</t>
    </rPh>
    <rPh sb="18" eb="20">
      <t>ヤカン</t>
    </rPh>
    <phoneticPr fontId="2"/>
  </si>
  <si>
    <t>GXリーグは、GGXで収集していた「その他可燃性天然ガス」も「石油系炭化水素ガス」に含めている</t>
    <rPh sb="11" eb="13">
      <t>シュウシュウ</t>
    </rPh>
    <rPh sb="20" eb="21">
      <t>ホカ</t>
    </rPh>
    <rPh sb="21" eb="24">
      <t>カネンセイ</t>
    </rPh>
    <rPh sb="24" eb="26">
      <t>テンネン</t>
    </rPh>
    <rPh sb="31" eb="33">
      <t>セキユ</t>
    </rPh>
    <rPh sb="33" eb="34">
      <t>ケイ</t>
    </rPh>
    <rPh sb="34" eb="36">
      <t>タンカ</t>
    </rPh>
    <rPh sb="36" eb="38">
      <t>スイソ</t>
    </rPh>
    <rPh sb="42" eb="43">
      <t>フク</t>
    </rPh>
    <phoneticPr fontId="2"/>
  </si>
  <si>
    <t>GXL/SSBJ</t>
    <phoneticPr fontId="2"/>
  </si>
  <si>
    <t>天然ガス</t>
    <phoneticPr fontId="2"/>
  </si>
  <si>
    <t>※黄色セル：ETLで収集する可能性のあるタグデータ等</t>
    <rPh sb="1" eb="3">
      <t>キイロ</t>
    </rPh>
    <rPh sb="10" eb="12">
      <t>シュウシュウ</t>
    </rPh>
    <rPh sb="14" eb="17">
      <t>カノウセイ</t>
    </rPh>
    <rPh sb="25" eb="26">
      <t>トウ</t>
    </rPh>
    <phoneticPr fontId="2"/>
  </si>
  <si>
    <t>電気・ガス・熱に関する排出における事業者別の情報</t>
    <rPh sb="0" eb="2">
      <t>デンキ</t>
    </rPh>
    <rPh sb="6" eb="7">
      <t>ネツ</t>
    </rPh>
    <rPh sb="8" eb="9">
      <t>カン</t>
    </rPh>
    <rPh sb="11" eb="13">
      <t>ハイシュツ</t>
    </rPh>
    <rPh sb="17" eb="21">
      <t>ジギョウシャベツ</t>
    </rPh>
    <rPh sb="22" eb="24">
      <t>ジョウホウ</t>
    </rPh>
    <phoneticPr fontId="4"/>
  </si>
  <si>
    <t>活動量（値）</t>
    <rPh sb="0" eb="3">
      <t>カツドウリョウ</t>
    </rPh>
    <rPh sb="4" eb="5">
      <t>アタイ</t>
    </rPh>
    <phoneticPr fontId="4"/>
  </si>
  <si>
    <t>地球温暖化係数</t>
    <rPh sb="0" eb="7">
      <t>チキュウオンダンカケイスウ</t>
    </rPh>
    <phoneticPr fontId="4"/>
  </si>
  <si>
    <t>デフォルト値以外の使用</t>
  </si>
  <si>
    <t>区分（小分類）</t>
    <rPh sb="0" eb="2">
      <t>クブン</t>
    </rPh>
    <rPh sb="3" eb="6">
      <t>ショウブンルイ</t>
    </rPh>
    <phoneticPr fontId="4"/>
  </si>
  <si>
    <t>供給事業者名</t>
    <rPh sb="0" eb="2">
      <t>キョウキュウ</t>
    </rPh>
    <rPh sb="2" eb="4">
      <t>ジギョウ</t>
    </rPh>
    <rPh sb="4" eb="5">
      <t>シャ</t>
    </rPh>
    <rPh sb="5" eb="6">
      <t>メイ</t>
    </rPh>
    <phoneticPr fontId="4"/>
  </si>
  <si>
    <t>（単位）</t>
    <rPh sb="1" eb="3">
      <t>タンイ</t>
    </rPh>
    <phoneticPr fontId="4"/>
  </si>
  <si>
    <t>単位発熱量</t>
    <rPh sb="0" eb="2">
      <t>タンイ</t>
    </rPh>
    <rPh sb="2" eb="5">
      <t>ハツネツリョウ</t>
    </rPh>
    <phoneticPr fontId="4"/>
  </si>
  <si>
    <t>根拠</t>
  </si>
  <si>
    <t>ガス比重ー熱量の相関式（年度実績の加重平均）</t>
    <rPh sb="2" eb="4">
      <t>ヒジュウ</t>
    </rPh>
    <rPh sb="5" eb="7">
      <t>ネツリョウ</t>
    </rPh>
    <rPh sb="8" eb="10">
      <t>ソウカン</t>
    </rPh>
    <rPh sb="10" eb="11">
      <t>シキ</t>
    </rPh>
    <rPh sb="12" eb="14">
      <t>ネンド</t>
    </rPh>
    <rPh sb="14" eb="16">
      <t>ジッセキ</t>
    </rPh>
    <rPh sb="17" eb="19">
      <t>カジュウ</t>
    </rPh>
    <rPh sb="19" eb="21">
      <t>ヘイキン</t>
    </rPh>
    <phoneticPr fontId="4"/>
  </si>
  <si>
    <t>同上</t>
    <rPh sb="0" eb="2">
      <t>ドウウエ</t>
    </rPh>
    <phoneticPr fontId="4"/>
  </si>
  <si>
    <t>出光グリーンパワー</t>
    <rPh sb="0" eb="2">
      <t>イデミツ</t>
    </rPh>
    <phoneticPr fontId="4"/>
  </si>
  <si>
    <t>※</t>
  </si>
  <si>
    <t>排出係数</t>
  </si>
  <si>
    <t/>
  </si>
  <si>
    <t>出光興産</t>
  </si>
  <si>
    <t>kWh</t>
  </si>
  <si>
    <t>C2FK059-CH4</t>
  </si>
  <si>
    <t>NHFK028-CH4</t>
  </si>
  <si>
    <t>P2FK024-CH4</t>
  </si>
  <si>
    <t>LXFK048-CH4</t>
  </si>
  <si>
    <t>H1FK012-CH4</t>
  </si>
  <si>
    <t>D3FK029-CH4</t>
  </si>
  <si>
    <t>GHFK015-CH4</t>
  </si>
  <si>
    <t>VHFK010-CH4</t>
  </si>
  <si>
    <t>VHFK039-CH4</t>
  </si>
  <si>
    <t>LWFP009-CH4</t>
  </si>
  <si>
    <t>LWFP042-CH4</t>
  </si>
  <si>
    <t>N3FP301-CH4</t>
  </si>
  <si>
    <t>LRFK003-CH4</t>
  </si>
  <si>
    <t>D2FP031-CH4</t>
  </si>
  <si>
    <t>BUFK802-CH4</t>
  </si>
  <si>
    <t>FCFP028-CH4</t>
  </si>
  <si>
    <t>CBFK007-CH4</t>
  </si>
  <si>
    <t>FHFK801-CH4</t>
  </si>
  <si>
    <t>S6FK007-CH4</t>
  </si>
  <si>
    <t>STFK001-CH4</t>
  </si>
  <si>
    <t>STFK019-CH4</t>
  </si>
  <si>
    <t>VAFP207S-CH4</t>
  </si>
  <si>
    <t>VAFP208S-CH4</t>
  </si>
  <si>
    <t>PDFP042S-CH4</t>
  </si>
  <si>
    <t>LHFP012S-CH4</t>
  </si>
  <si>
    <t>LHFP013S-CH4</t>
  </si>
  <si>
    <t>LHFP107S-CH4</t>
  </si>
  <si>
    <t>LHFP108S-CH4</t>
  </si>
  <si>
    <t>LHFP109S-CH4</t>
  </si>
  <si>
    <t>DWFP084S-CH4</t>
  </si>
  <si>
    <t>LLFP008S-CH4</t>
  </si>
  <si>
    <t>LLFP016S-CH4</t>
  </si>
  <si>
    <t>L3FP033S-CH4</t>
  </si>
  <si>
    <t>L3FP034S-CH4</t>
  </si>
  <si>
    <t>L3FP035S-CH4</t>
  </si>
  <si>
    <t>LFFP027S-CH4</t>
  </si>
  <si>
    <t>B5FP104Z-CH4</t>
  </si>
  <si>
    <t>B5FP204Z-CH4</t>
  </si>
  <si>
    <t>S5FP024-CH4</t>
  </si>
  <si>
    <t>B3FP104(LSA)-CH4</t>
  </si>
  <si>
    <t>B3FP104(C重油)-CH4</t>
  </si>
  <si>
    <t>B5FP105（LSA）-CH4</t>
  </si>
  <si>
    <t>B5FP105（C重油）-CH4</t>
  </si>
  <si>
    <t>B5FP205（LSA）-CH4</t>
  </si>
  <si>
    <t>B5FP205（C重油）-CH4</t>
  </si>
  <si>
    <t>B6FP210（LSA）-CH4</t>
  </si>
  <si>
    <t>B6FP210（C重油）-CH4</t>
  </si>
  <si>
    <t>石炭　外部からの購入量-CH4</t>
  </si>
  <si>
    <t>起動用熱風炉使用-CH4</t>
  </si>
  <si>
    <t>FCCコーク-CH4</t>
  </si>
  <si>
    <t>CBFK005-CH4</t>
  </si>
  <si>
    <t>C2FK059-N2O</t>
  </si>
  <si>
    <t>tN2O/GJ</t>
  </si>
  <si>
    <t>NHFK028-N2O</t>
  </si>
  <si>
    <t>P2FK024-N2O</t>
  </si>
  <si>
    <t>LXFK048-N2O</t>
  </si>
  <si>
    <t>H1FK012-N2O</t>
  </si>
  <si>
    <t>D3FK029-N2O</t>
  </si>
  <si>
    <t>GHFK015-N2O</t>
  </si>
  <si>
    <t>VHFK010-N2O</t>
  </si>
  <si>
    <t>VHFK039-N2O</t>
  </si>
  <si>
    <t>LWFP009-N2O</t>
  </si>
  <si>
    <t>LWFP042-N2O</t>
  </si>
  <si>
    <t>N3FP301-N2O</t>
  </si>
  <si>
    <t>LRFK003-N2O</t>
  </si>
  <si>
    <t>D2FP031-N2O</t>
  </si>
  <si>
    <t>BUFK802-N2O</t>
  </si>
  <si>
    <t>FCFP028-N2O</t>
  </si>
  <si>
    <t>CBFK007-N2O</t>
  </si>
  <si>
    <t>FHFK801-N2O</t>
  </si>
  <si>
    <t>S6FK007-N2O</t>
  </si>
  <si>
    <t>STFK001-N2O</t>
  </si>
  <si>
    <t>STFK019-N2O</t>
  </si>
  <si>
    <t>VAFP207S-N2O</t>
  </si>
  <si>
    <t>VAFP208S-N2O</t>
  </si>
  <si>
    <t>PDFP042S-N2O</t>
  </si>
  <si>
    <t>LHFP012S-N2O</t>
  </si>
  <si>
    <t>LHFP013S-N2O</t>
  </si>
  <si>
    <t>LHFP107S-N2O</t>
  </si>
  <si>
    <t>LHFP108S-N2O</t>
  </si>
  <si>
    <t>LHFP109S-N2O</t>
  </si>
  <si>
    <t>DWFP084S-N2O</t>
  </si>
  <si>
    <t>LLFP008S-N2O</t>
  </si>
  <si>
    <t>LLFP016S-N2O</t>
  </si>
  <si>
    <t>L3FP033S-N2O</t>
  </si>
  <si>
    <t>L3FP034S-N2O</t>
  </si>
  <si>
    <t>L3FP035S-N2O</t>
  </si>
  <si>
    <t>LFFP027S-N2O</t>
  </si>
  <si>
    <t>B5FP104Z-N2O</t>
  </si>
  <si>
    <t>B5FP204Z-N2O</t>
  </si>
  <si>
    <t>S5FP024-N2O</t>
  </si>
  <si>
    <t>B3FP104(LSA)-N2O</t>
  </si>
  <si>
    <t>B3FP104(C重油)-N2O</t>
  </si>
  <si>
    <t>B5FP105（LSA）-N2O</t>
  </si>
  <si>
    <t>B5FP105（C重油）-N2O</t>
  </si>
  <si>
    <t>B5FP205（LSA）-N2O</t>
  </si>
  <si>
    <t>B5FP205（C重油）-N2O</t>
  </si>
  <si>
    <t>B6FP210（LSA）-N2O</t>
  </si>
  <si>
    <t>B6FP210（C重油）-N2O</t>
  </si>
  <si>
    <t>石炭　外部からの購入量-N2O</t>
  </si>
  <si>
    <t>起動用熱風炉使用-N2O</t>
  </si>
  <si>
    <t>FCCコーク-N2O</t>
  </si>
  <si>
    <t>CBFK005-N2O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</si>
</sst>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00000;[Red]\-#,##0.000000"/>
    <numFmt numFmtId="177" formatCode="#,##0.0000000;[Red]\-#,##0.0000000"/>
    <numFmt numFmtId="178" formatCode="#,##0.0;[Red]\-#,##0.0"/>
    <numFmt numFmtId="179" formatCode="#,##0.0000;[Red]\-#,##0.0000"/>
    <numFmt numFmtId="180" formatCode="#,##0.000;[Red]\-#,##0.000"/>
    <numFmt numFmtId="181" formatCode="#,##0.00000;[Red]\-#,##0.00000"/>
    <numFmt numFmtId="182" formatCode="#,##0.00000000;[Red]\-#,##0.00000000"/>
    <numFmt numFmtId="183" formatCode="#,##0.000000000;[Red]\-#,##0.000000000"/>
  </numFmts>
  <fonts count="15" x14ac:knownFonts="1">
    <font>
      <sz val="11"/>
      <color indexed="8"/>
      <name val="游ゴシック"/>
      <family val="2"/>
      <scheme val="minor"/>
    </font>
    <font>
      <sz val="11"/>
      <color indexed="8"/>
      <name val="游ゴシック"/>
      <family val="2"/>
      <scheme val="minor"/>
    </font>
    <font>
      <sz val="6"/>
      <name val="游ゴシック"/>
      <family val="3"/>
      <charset val="128"/>
      <scheme val="minor"/>
    </font>
    <font>
      <sz val="11"/>
      <name val="ＭＳ Ｐゴシック"/>
      <family val="3"/>
      <charset val="128"/>
    </font>
    <font>
      <sz val="11"/>
      <color indexed="8"/>
      <name val="Meiryo UI"/>
      <family val="3"/>
      <charset val="128"/>
    </font>
    <font>
      <sz val="11"/>
      <color rgb="FFFF0000"/>
      <name val="Meiryo UI"/>
      <family val="3"/>
      <charset val="128"/>
    </font>
    <font>
      <sz val="11"/>
      <color theme="1"/>
      <name val="Meiryo UI"/>
      <family val="3"/>
      <charset val="128"/>
    </font>
    <font>
      <u/>
      <sz val="11"/>
      <color theme="10"/>
      <name val="游ゴシック"/>
      <family val="2"/>
      <scheme val="minor"/>
    </font>
    <font>
      <b/>
      <sz val="11"/>
      <color theme="0"/>
      <name val="Meiryo UI"/>
      <family val="3"/>
      <charset val="128"/>
    </font>
    <font>
      <sz val="26"/>
      <color indexed="8"/>
      <name val="Meiryo UI"/>
      <family val="3"/>
      <charset val="128"/>
    </font>
    <font>
      <sz val="18"/>
      <color indexed="8"/>
      <name val="Meiryo UI"/>
      <family val="3"/>
      <charset val="128"/>
    </font>
    <font>
      <b/>
      <sz val="11"/>
      <color theme="1"/>
      <name val="Meiryo UI"/>
      <family val="3"/>
      <charset val="128"/>
    </font>
    <font>
      <sz val="16"/>
      <color indexed="8"/>
      <name val="Meiryo UI"/>
      <family val="3"/>
      <charset val="128"/>
    </font>
    <font>
      <sz val="16"/>
      <color indexed="8"/>
      <name val="游ゴシック"/>
      <family val="2"/>
      <scheme val="minor"/>
    </font>
    <font>
      <b/>
      <sz val="18"/>
      <color rgb="FFFF0000"/>
      <name val="Meiryo UI"/>
      <family val="3"/>
      <charset val="128"/>
    </font>
  </fonts>
  <fills count="1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rgb="FFFFCCFF"/>
        <bgColor indexed="64"/>
      </patternFill>
    </fill>
    <fill>
      <patternFill patternType="solid">
        <fgColor theme="8" tint="-0.249977111117893"/>
        <bgColor indexed="64"/>
      </patternFill>
    </fill>
    <fill>
      <patternFill patternType="solid">
        <fgColor rgb="FF0070C0"/>
        <bgColor indexed="64"/>
      </patternFill>
    </fill>
    <fill>
      <patternFill patternType="solid">
        <fgColor theme="2" tint="-0.499984740745262"/>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medium">
        <color auto="1"/>
      </left>
      <right style="medium">
        <color auto="1"/>
      </right>
      <top/>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bottom style="thin">
        <color auto="1"/>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3" fillId="0" borderId="0"/>
    <xf numFmtId="0" fontId="7" fillId="0" borderId="0" applyNumberFormat="0" applyFill="0" applyBorder="0" applyAlignment="0" applyProtection="0">
      <alignment vertical="center"/>
    </xf>
  </cellStyleXfs>
  <cellXfs count="221">
    <xf numFmtId="0" fontId="0" fillId="0" borderId="0" xfId="0">
      <alignment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7" xfId="0" applyFont="1" applyFill="1" applyBorder="1" applyAlignment="1">
      <alignment horizontal="center" vertical="center"/>
    </xf>
    <xf numFmtId="0" fontId="7" fillId="0" borderId="0" xfId="3">
      <alignment vertical="center"/>
    </xf>
    <xf numFmtId="0" fontId="4" fillId="6" borderId="2" xfId="0" applyFont="1" applyFill="1" applyBorder="1" applyAlignment="1">
      <alignment horizontal="center" vertical="center"/>
    </xf>
    <xf numFmtId="38" fontId="4" fillId="6" borderId="7" xfId="1" applyFont="1" applyFill="1" applyBorder="1" applyAlignment="1">
      <alignment horizontal="center" vertical="center"/>
    </xf>
    <xf numFmtId="38" fontId="4" fillId="6" borderId="1" xfId="1" applyFont="1" applyFill="1" applyBorder="1" applyAlignment="1">
      <alignment horizontal="center" vertical="center"/>
    </xf>
    <xf numFmtId="0" fontId="4" fillId="6" borderId="0" xfId="0" applyFont="1" applyFill="1" applyAlignment="1">
      <alignment horizontal="center" vertical="center"/>
    </xf>
    <xf numFmtId="0" fontId="4" fillId="6" borderId="0" xfId="0" applyFont="1" applyFill="1">
      <alignment vertical="center"/>
    </xf>
    <xf numFmtId="0" fontId="4" fillId="6" borderId="5"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7" xfId="0" applyFont="1" applyFill="1" applyBorder="1" applyAlignment="1">
      <alignment horizontal="center" vertical="center"/>
    </xf>
    <xf numFmtId="38" fontId="4" fillId="6" borderId="0" xfId="1" applyFont="1" applyFill="1" applyAlignment="1">
      <alignment horizontal="center" vertical="center"/>
    </xf>
    <xf numFmtId="0" fontId="4" fillId="6" borderId="0" xfId="0" applyFont="1" applyFill="1" applyAlignment="1">
      <alignment horizontal="left" vertical="center"/>
    </xf>
    <xf numFmtId="0" fontId="0" fillId="6" borderId="0" xfId="0" applyFill="1" applyAlignment="1">
      <alignment horizontal="center" vertical="center"/>
    </xf>
    <xf numFmtId="0" fontId="9" fillId="6" borderId="0" xfId="0" applyFont="1" applyFill="1" applyAlignment="1">
      <alignment horizontal="left" vertical="center"/>
    </xf>
    <xf numFmtId="11" fontId="4" fillId="6" borderId="0" xfId="0" applyNumberFormat="1" applyFont="1" applyFill="1" applyAlignment="1">
      <alignment horizontal="center" vertical="center"/>
    </xf>
    <xf numFmtId="0" fontId="8" fillId="9" borderId="1" xfId="0" applyFont="1" applyFill="1" applyBorder="1" applyAlignment="1">
      <alignment horizontal="center" vertical="center" wrapText="1"/>
    </xf>
    <xf numFmtId="176" fontId="4" fillId="0" borderId="1" xfId="1" applyNumberFormat="1" applyFont="1" applyBorder="1" applyAlignment="1">
      <alignment horizontal="center" vertical="center"/>
    </xf>
    <xf numFmtId="0" fontId="8" fillId="9" borderId="26" xfId="0" applyFont="1" applyFill="1" applyBorder="1" applyAlignment="1">
      <alignment horizontal="center" vertical="center" wrapText="1"/>
    </xf>
    <xf numFmtId="0" fontId="4" fillId="6" borderId="26" xfId="0" applyFont="1" applyFill="1" applyBorder="1" applyAlignment="1">
      <alignment horizontal="center" vertical="center"/>
    </xf>
    <xf numFmtId="0" fontId="4" fillId="6" borderId="19" xfId="0" applyFont="1" applyFill="1" applyBorder="1" applyAlignment="1">
      <alignment horizontal="center" vertical="center"/>
    </xf>
    <xf numFmtId="0" fontId="4" fillId="6" borderId="20" xfId="0" applyFont="1" applyFill="1" applyBorder="1" applyAlignment="1">
      <alignment horizontal="center" vertical="center"/>
    </xf>
    <xf numFmtId="0" fontId="4" fillId="6" borderId="30" xfId="0" applyFont="1" applyFill="1" applyBorder="1">
      <alignment vertical="center"/>
    </xf>
    <xf numFmtId="0" fontId="4" fillId="6" borderId="31" xfId="0" applyFont="1" applyFill="1" applyBorder="1">
      <alignment vertical="center"/>
    </xf>
    <xf numFmtId="0" fontId="4" fillId="6" borderId="29" xfId="0" applyFont="1" applyFill="1" applyBorder="1">
      <alignment vertical="center"/>
    </xf>
    <xf numFmtId="0" fontId="4" fillId="6" borderId="32" xfId="0" applyFont="1" applyFill="1" applyBorder="1">
      <alignment vertical="center"/>
    </xf>
    <xf numFmtId="0" fontId="4" fillId="6" borderId="35" xfId="0" applyFont="1" applyFill="1" applyBorder="1">
      <alignment vertical="center"/>
    </xf>
    <xf numFmtId="0" fontId="4" fillId="6" borderId="12" xfId="0" applyFont="1" applyFill="1" applyBorder="1">
      <alignment vertical="center"/>
    </xf>
    <xf numFmtId="0" fontId="4" fillId="6" borderId="34" xfId="0" applyFont="1" applyFill="1" applyBorder="1">
      <alignment vertical="center"/>
    </xf>
    <xf numFmtId="0" fontId="4" fillId="6" borderId="36" xfId="0" applyFont="1" applyFill="1" applyBorder="1">
      <alignment vertical="center"/>
    </xf>
    <xf numFmtId="0" fontId="4" fillId="6" borderId="37" xfId="0" applyFont="1" applyFill="1" applyBorder="1">
      <alignment vertical="center"/>
    </xf>
    <xf numFmtId="0" fontId="4" fillId="6" borderId="6" xfId="0" applyFont="1" applyFill="1" applyBorder="1" applyAlignment="1">
      <alignment horizontal="center" vertical="center"/>
    </xf>
    <xf numFmtId="0" fontId="4" fillId="6" borderId="39" xfId="0" applyFont="1" applyFill="1" applyBorder="1" applyAlignment="1">
      <alignment horizontal="center" vertical="center"/>
    </xf>
    <xf numFmtId="0" fontId="4" fillId="6" borderId="13" xfId="0" applyFont="1" applyFill="1" applyBorder="1">
      <alignment vertical="center"/>
    </xf>
    <xf numFmtId="0" fontId="8" fillId="9" borderId="41" xfId="0" applyFont="1" applyFill="1" applyBorder="1" applyAlignment="1">
      <alignment horizontal="center" vertical="center" wrapText="1"/>
    </xf>
    <xf numFmtId="0" fontId="4" fillId="6" borderId="41" xfId="0" applyFont="1" applyFill="1" applyBorder="1" applyAlignment="1">
      <alignment horizontal="center" vertical="center"/>
    </xf>
    <xf numFmtId="0" fontId="4" fillId="0" borderId="26" xfId="0" applyFont="1" applyBorder="1" applyAlignment="1">
      <alignment horizontal="center" vertical="center"/>
    </xf>
    <xf numFmtId="0" fontId="4" fillId="6" borderId="17" xfId="0" applyFont="1" applyFill="1" applyBorder="1" applyAlignment="1">
      <alignment horizontal="center" vertical="center"/>
    </xf>
    <xf numFmtId="0" fontId="8" fillId="9" borderId="5" xfId="0" applyFont="1" applyFill="1" applyBorder="1" applyAlignment="1">
      <alignment horizontal="center" vertical="center" wrapText="1"/>
    </xf>
    <xf numFmtId="0" fontId="4" fillId="6" borderId="18" xfId="0" applyFont="1" applyFill="1" applyBorder="1" applyAlignment="1">
      <alignment horizontal="center" vertical="center"/>
    </xf>
    <xf numFmtId="38" fontId="4" fillId="6" borderId="6" xfId="1" applyFont="1" applyFill="1" applyBorder="1" applyAlignment="1">
      <alignment horizontal="center" vertical="center"/>
    </xf>
    <xf numFmtId="176" fontId="4" fillId="0" borderId="41" xfId="1" applyNumberFormat="1" applyFont="1" applyBorder="1" applyAlignment="1">
      <alignment horizontal="center" vertical="center"/>
    </xf>
    <xf numFmtId="0" fontId="4" fillId="0" borderId="41" xfId="0" applyFont="1" applyBorder="1" applyAlignment="1">
      <alignment horizontal="center" vertical="center"/>
    </xf>
    <xf numFmtId="177" fontId="4" fillId="6" borderId="26" xfId="1" applyNumberFormat="1" applyFont="1" applyFill="1" applyBorder="1" applyAlignment="1">
      <alignment horizontal="center" vertical="center"/>
    </xf>
    <xf numFmtId="38" fontId="4" fillId="6" borderId="41" xfId="1" applyFont="1" applyFill="1" applyBorder="1" applyAlignment="1">
      <alignment horizontal="center" vertical="center"/>
    </xf>
    <xf numFmtId="0" fontId="8" fillId="9" borderId="40" xfId="0" applyFont="1" applyFill="1" applyBorder="1" applyAlignment="1">
      <alignment horizontal="centerContinuous" vertical="center"/>
    </xf>
    <xf numFmtId="0" fontId="8" fillId="9" borderId="24" xfId="0" applyFont="1" applyFill="1" applyBorder="1" applyAlignment="1">
      <alignment horizontal="centerContinuous" vertical="center"/>
    </xf>
    <xf numFmtId="0" fontId="8" fillId="9" borderId="38" xfId="0" applyFont="1" applyFill="1" applyBorder="1" applyAlignment="1">
      <alignment horizontal="centerContinuous" vertical="center"/>
    </xf>
    <xf numFmtId="0" fontId="8" fillId="9" borderId="23" xfId="0" applyFont="1" applyFill="1" applyBorder="1" applyAlignment="1">
      <alignment horizontal="centerContinuous" vertical="center"/>
    </xf>
    <xf numFmtId="0" fontId="8" fillId="9" borderId="42" xfId="0" applyFont="1" applyFill="1" applyBorder="1" applyAlignment="1">
      <alignment horizontal="centerContinuous" vertical="center"/>
    </xf>
    <xf numFmtId="180" fontId="4" fillId="6" borderId="6" xfId="1" applyNumberFormat="1" applyFont="1" applyFill="1" applyBorder="1" applyAlignment="1">
      <alignment horizontal="center" vertical="center"/>
    </xf>
    <xf numFmtId="180" fontId="4" fillId="0" borderId="41" xfId="1" applyNumberFormat="1" applyFont="1" applyBorder="1" applyAlignment="1">
      <alignment horizontal="center" vertical="center"/>
    </xf>
    <xf numFmtId="181" fontId="4" fillId="0" borderId="41" xfId="1" applyNumberFormat="1" applyFont="1" applyBorder="1" applyAlignment="1">
      <alignment horizontal="center" vertical="center"/>
    </xf>
    <xf numFmtId="177" fontId="4" fillId="0" borderId="41" xfId="1" applyNumberFormat="1" applyFont="1" applyBorder="1" applyAlignment="1">
      <alignment horizontal="center" vertical="center"/>
    </xf>
    <xf numFmtId="183" fontId="4" fillId="0" borderId="41" xfId="1" applyNumberFormat="1" applyFont="1" applyBorder="1" applyAlignment="1">
      <alignment horizontal="center" vertical="center"/>
    </xf>
    <xf numFmtId="182" fontId="4" fillId="0" borderId="41" xfId="1" applyNumberFormat="1" applyFont="1" applyBorder="1" applyAlignment="1">
      <alignment horizontal="center" vertical="center"/>
    </xf>
    <xf numFmtId="182" fontId="4" fillId="5" borderId="41" xfId="1" applyNumberFormat="1" applyFont="1" applyFill="1" applyBorder="1" applyAlignment="1">
      <alignment horizontal="center" vertical="center"/>
    </xf>
    <xf numFmtId="0" fontId="4" fillId="5" borderId="26" xfId="0" applyFont="1" applyFill="1" applyBorder="1" applyAlignment="1">
      <alignment horizontal="center" vertical="center"/>
    </xf>
    <xf numFmtId="0" fontId="8" fillId="9" borderId="40" xfId="0" applyFont="1" applyFill="1" applyBorder="1" applyAlignment="1">
      <alignment horizontal="centerContinuous" vertical="center" wrapText="1"/>
    </xf>
    <xf numFmtId="0" fontId="10" fillId="6" borderId="0" xfId="0" applyFont="1" applyFill="1">
      <alignment vertical="center"/>
    </xf>
    <xf numFmtId="0" fontId="4" fillId="6" borderId="43" xfId="0" applyFont="1" applyFill="1" applyBorder="1">
      <alignment vertical="center"/>
    </xf>
    <xf numFmtId="0" fontId="4" fillId="6" borderId="29" xfId="0" applyFont="1" applyFill="1" applyBorder="1" applyAlignment="1">
      <alignment horizontal="center" vertical="center"/>
    </xf>
    <xf numFmtId="0" fontId="4" fillId="6" borderId="43" xfId="0" applyFont="1" applyFill="1" applyBorder="1" applyAlignment="1">
      <alignment horizontal="center" vertical="center"/>
    </xf>
    <xf numFmtId="0" fontId="4" fillId="6" borderId="44" xfId="0" applyFont="1" applyFill="1" applyBorder="1" applyAlignment="1">
      <alignment horizontal="center" vertical="center"/>
    </xf>
    <xf numFmtId="0" fontId="4" fillId="6" borderId="10" xfId="0" applyFont="1" applyFill="1" applyBorder="1" applyAlignment="1">
      <alignment horizontal="center" vertical="center"/>
    </xf>
    <xf numFmtId="38" fontId="4" fillId="4" borderId="5" xfId="1" applyFont="1" applyFill="1" applyBorder="1" applyAlignment="1">
      <alignment horizontal="center" vertical="center"/>
    </xf>
    <xf numFmtId="0" fontId="12" fillId="6" borderId="0" xfId="0" applyFont="1" applyFill="1" applyAlignment="1">
      <alignment horizontal="center" vertical="center"/>
    </xf>
    <xf numFmtId="0" fontId="13" fillId="6" borderId="0" xfId="0" applyFont="1" applyFill="1" applyAlignment="1">
      <alignment horizontal="center" vertical="center"/>
    </xf>
    <xf numFmtId="38" fontId="12" fillId="6" borderId="0" xfId="1" applyFont="1" applyFill="1" applyAlignment="1">
      <alignment horizontal="left" vertical="center"/>
    </xf>
    <xf numFmtId="0" fontId="12" fillId="6" borderId="0" xfId="0" applyFont="1" applyFill="1" applyAlignment="1">
      <alignment horizontal="left" vertical="center"/>
    </xf>
    <xf numFmtId="0" fontId="12" fillId="6" borderId="0" xfId="0" applyFont="1" applyFill="1">
      <alignment vertical="center"/>
    </xf>
    <xf numFmtId="0" fontId="8" fillId="10" borderId="28" xfId="0" applyFont="1" applyFill="1" applyBorder="1">
      <alignment vertical="center"/>
    </xf>
    <xf numFmtId="0" fontId="8" fillId="10" borderId="33" xfId="0" applyFont="1" applyFill="1" applyBorder="1">
      <alignment vertical="center"/>
    </xf>
    <xf numFmtId="0" fontId="8" fillId="10" borderId="33" xfId="0" applyFont="1" applyFill="1" applyBorder="1" applyAlignment="1">
      <alignment horizontal="center" vertical="center" wrapText="1"/>
    </xf>
    <xf numFmtId="0" fontId="8" fillId="10" borderId="29" xfId="0" applyFont="1" applyFill="1" applyBorder="1">
      <alignment vertical="center"/>
    </xf>
    <xf numFmtId="0" fontId="8" fillId="10" borderId="34" xfId="0" applyFont="1" applyFill="1" applyBorder="1">
      <alignment vertical="center"/>
    </xf>
    <xf numFmtId="0" fontId="8" fillId="10" borderId="34" xfId="0" applyFont="1" applyFill="1" applyBorder="1" applyAlignment="1">
      <alignment horizontal="center" vertical="center" wrapText="1"/>
    </xf>
    <xf numFmtId="0" fontId="4" fillId="6" borderId="0" xfId="0" applyFont="1" applyFill="1" applyAlignment="1">
      <alignment horizontal="right" vertical="center"/>
    </xf>
    <xf numFmtId="0" fontId="4" fillId="4" borderId="41" xfId="0" applyFont="1" applyFill="1" applyBorder="1" applyAlignment="1">
      <alignment horizontal="center" vertical="center"/>
    </xf>
    <xf numFmtId="0" fontId="11" fillId="7" borderId="38" xfId="0" applyFont="1" applyFill="1" applyBorder="1" applyAlignment="1">
      <alignment horizontal="centerContinuous" vertical="center"/>
    </xf>
    <xf numFmtId="0" fontId="11" fillId="7" borderId="24" xfId="0" applyFont="1" applyFill="1" applyBorder="1" applyAlignment="1">
      <alignment horizontal="centerContinuous" vertical="center"/>
    </xf>
    <xf numFmtId="0" fontId="11" fillId="7" borderId="6" xfId="0" applyFont="1" applyFill="1" applyBorder="1" applyAlignment="1">
      <alignment horizontal="center" vertical="center" wrapText="1"/>
    </xf>
    <xf numFmtId="0" fontId="11" fillId="7" borderId="26" xfId="0" applyFont="1" applyFill="1" applyBorder="1" applyAlignment="1">
      <alignment horizontal="center" vertical="center" wrapText="1"/>
    </xf>
    <xf numFmtId="0" fontId="11" fillId="7" borderId="23" xfId="0" applyFont="1" applyFill="1" applyBorder="1" applyAlignment="1">
      <alignment horizontal="centerContinuous" vertical="center"/>
    </xf>
    <xf numFmtId="38" fontId="4" fillId="5" borderId="41" xfId="1" applyFont="1" applyFill="1" applyBorder="1" applyAlignment="1">
      <alignment horizontal="center" vertical="center"/>
    </xf>
    <xf numFmtId="0" fontId="14" fillId="6" borderId="0" xfId="0" applyFont="1" applyFill="1">
      <alignment vertical="center"/>
    </xf>
    <xf numFmtId="0" fontId="4" fillId="6" borderId="3" xfId="0" applyFont="1" applyFill="1" applyBorder="1" applyAlignment="1">
      <alignment horizontal="center" vertical="center"/>
    </xf>
    <xf numFmtId="0" fontId="4" fillId="6" borderId="11" xfId="0" applyFont="1" applyFill="1" applyBorder="1" applyAlignment="1">
      <alignment horizontal="center" vertical="center"/>
    </xf>
    <xf numFmtId="38" fontId="4" fillId="4" borderId="1" xfId="1" applyFont="1" applyFill="1" applyBorder="1" applyAlignment="1">
      <alignment horizontal="center" vertical="center"/>
    </xf>
    <xf numFmtId="0" fontId="4" fillId="4" borderId="1" xfId="0" applyFont="1" applyFill="1" applyBorder="1" applyAlignment="1">
      <alignment horizontal="center" vertical="center" wrapText="1"/>
    </xf>
    <xf numFmtId="0" fontId="0" fillId="4" borderId="1" xfId="0" applyFill="1" applyBorder="1" applyAlignment="1">
      <alignment horizontal="center" vertical="center"/>
    </xf>
    <xf numFmtId="38" fontId="4" fillId="4" borderId="1" xfId="1" applyFont="1" applyFill="1" applyBorder="1" applyAlignment="1">
      <alignment horizontal="center" vertical="center" wrapText="1"/>
    </xf>
    <xf numFmtId="0" fontId="8" fillId="10" borderId="28" xfId="0" applyFont="1" applyFill="1" applyBorder="1" applyAlignment="1">
      <alignment horizontal="center" vertical="center"/>
    </xf>
    <xf numFmtId="0" fontId="8" fillId="8" borderId="23" xfId="0" applyFont="1" applyFill="1" applyBorder="1" applyAlignment="1">
      <alignment horizontal="centerContinuous" vertical="center" wrapText="1"/>
    </xf>
    <xf numFmtId="0" fontId="8" fillId="8" borderId="42" xfId="0" applyFont="1" applyFill="1" applyBorder="1" applyAlignment="1">
      <alignment horizontal="centerContinuous" vertical="center" wrapText="1"/>
    </xf>
    <xf numFmtId="0" fontId="8" fillId="8" borderId="38" xfId="0" applyFont="1" applyFill="1" applyBorder="1" applyAlignment="1">
      <alignment horizontal="centerContinuous" vertical="center" wrapText="1"/>
    </xf>
    <xf numFmtId="0" fontId="8" fillId="10" borderId="22" xfId="0" applyFont="1" applyFill="1" applyBorder="1" applyAlignment="1">
      <alignment horizontal="centerContinuous" vertical="center" wrapText="1"/>
    </xf>
    <xf numFmtId="0" fontId="8" fillId="10" borderId="48" xfId="0" applyFont="1" applyFill="1" applyBorder="1" applyAlignment="1">
      <alignment horizontal="centerContinuous" vertical="center" wrapText="1"/>
    </xf>
    <xf numFmtId="0" fontId="4" fillId="4" borderId="26" xfId="0" applyFont="1" applyFill="1" applyBorder="1" applyAlignment="1">
      <alignment horizontal="center" vertical="center"/>
    </xf>
    <xf numFmtId="38" fontId="4" fillId="4" borderId="26" xfId="1" applyFont="1" applyFill="1" applyBorder="1" applyAlignment="1">
      <alignment horizontal="center" vertical="center"/>
    </xf>
    <xf numFmtId="0" fontId="4" fillId="4" borderId="17" xfId="0" applyFont="1" applyFill="1" applyBorder="1" applyAlignment="1">
      <alignment horizontal="center" vertical="center"/>
    </xf>
    <xf numFmtId="0" fontId="4" fillId="4" borderId="19" xfId="0" applyFont="1" applyFill="1" applyBorder="1" applyAlignment="1">
      <alignment horizontal="center" vertical="center"/>
    </xf>
    <xf numFmtId="38" fontId="4" fillId="4" borderId="19" xfId="1" applyFont="1" applyFill="1" applyBorder="1" applyAlignment="1">
      <alignment horizontal="center" vertical="center"/>
    </xf>
    <xf numFmtId="0" fontId="0" fillId="4" borderId="19" xfId="0" applyFill="1" applyBorder="1" applyAlignment="1">
      <alignment horizontal="center" vertical="center"/>
    </xf>
    <xf numFmtId="0" fontId="4" fillId="4" borderId="19" xfId="0" applyFont="1" applyFill="1" applyBorder="1" applyAlignment="1">
      <alignment horizontal="center" vertical="center" wrapText="1"/>
    </xf>
    <xf numFmtId="0" fontId="4" fillId="4" borderId="20" xfId="0" applyFont="1" applyFill="1" applyBorder="1" applyAlignment="1">
      <alignment horizontal="center" vertical="center"/>
    </xf>
    <xf numFmtId="0" fontId="4" fillId="6" borderId="25" xfId="0" applyFont="1" applyFill="1" applyBorder="1" applyAlignment="1">
      <alignment horizontal="center" vertical="center"/>
    </xf>
    <xf numFmtId="0" fontId="4" fillId="6" borderId="49" xfId="0" applyFont="1" applyFill="1" applyBorder="1" applyAlignment="1">
      <alignment horizontal="center" vertical="center"/>
    </xf>
    <xf numFmtId="0" fontId="8" fillId="10" borderId="32" xfId="0" applyFont="1" applyFill="1" applyBorder="1" applyAlignment="1">
      <alignment horizontal="center" vertical="center"/>
    </xf>
    <xf numFmtId="0" fontId="8" fillId="8" borderId="19" xfId="0" applyFont="1" applyFill="1" applyBorder="1" applyAlignment="1">
      <alignment horizontal="center" vertical="center" wrapText="1"/>
    </xf>
    <xf numFmtId="0" fontId="8" fillId="8" borderId="18" xfId="0" applyFont="1" applyFill="1" applyBorder="1" applyAlignment="1">
      <alignment horizontal="center" vertical="center" wrapText="1"/>
    </xf>
    <xf numFmtId="0" fontId="8" fillId="8" borderId="39" xfId="0" applyFont="1" applyFill="1" applyBorder="1" applyAlignment="1">
      <alignment horizontal="center" vertical="center" wrapText="1"/>
    </xf>
    <xf numFmtId="0" fontId="8" fillId="10" borderId="19" xfId="0" applyFont="1" applyFill="1" applyBorder="1" applyAlignment="1">
      <alignment horizontal="center" vertical="center" wrapText="1"/>
    </xf>
    <xf numFmtId="0" fontId="8" fillId="10" borderId="46" xfId="0" applyFont="1" applyFill="1" applyBorder="1" applyAlignment="1">
      <alignment horizontal="center" vertical="center" wrapText="1"/>
    </xf>
    <xf numFmtId="0" fontId="4" fillId="4" borderId="43" xfId="0" applyFont="1" applyFill="1" applyBorder="1" applyAlignment="1">
      <alignment horizontal="center" vertical="center"/>
    </xf>
    <xf numFmtId="0" fontId="4" fillId="4" borderId="44" xfId="0" applyFont="1" applyFill="1" applyBorder="1" applyAlignment="1">
      <alignment horizontal="center" vertical="center"/>
    </xf>
    <xf numFmtId="0" fontId="4" fillId="6" borderId="9"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39" xfId="0" applyFont="1" applyFill="1" applyBorder="1" applyAlignment="1">
      <alignment horizontal="center" vertical="center"/>
    </xf>
    <xf numFmtId="0" fontId="8" fillId="10" borderId="37" xfId="0" applyFont="1" applyFill="1" applyBorder="1" applyAlignment="1">
      <alignment horizontal="center" vertical="center" wrapText="1"/>
    </xf>
    <xf numFmtId="0" fontId="4" fillId="6" borderId="34" xfId="0" applyFont="1" applyFill="1" applyBorder="1" applyAlignment="1">
      <alignment horizontal="center" vertical="center"/>
    </xf>
    <xf numFmtId="0" fontId="4" fillId="6" borderId="36" xfId="0" applyFont="1" applyFill="1" applyBorder="1" applyAlignment="1">
      <alignment horizontal="center" vertical="center"/>
    </xf>
    <xf numFmtId="0" fontId="4" fillId="4" borderId="36" xfId="0" applyFont="1" applyFill="1" applyBorder="1" applyAlignment="1">
      <alignment horizontal="center" vertical="center"/>
    </xf>
    <xf numFmtId="0" fontId="4" fillId="6" borderId="36" xfId="0" applyFont="1" applyFill="1" applyBorder="1" applyAlignment="1">
      <alignment horizontal="left" vertical="center"/>
    </xf>
    <xf numFmtId="0" fontId="4" fillId="4" borderId="36" xfId="0" applyFont="1" applyFill="1" applyBorder="1" applyAlignment="1">
      <alignment horizontal="left" vertical="center"/>
    </xf>
    <xf numFmtId="0" fontId="4" fillId="4" borderId="13" xfId="0" applyFont="1" applyFill="1" applyBorder="1" applyAlignment="1">
      <alignment horizontal="left" vertical="center"/>
    </xf>
    <xf numFmtId="0" fontId="8" fillId="10" borderId="4" xfId="0" applyFont="1" applyFill="1" applyBorder="1" applyAlignment="1">
      <alignment horizontal="center" vertical="center" wrapText="1"/>
    </xf>
    <xf numFmtId="0" fontId="8" fillId="10" borderId="40" xfId="0" applyFont="1" applyFill="1" applyBorder="1" applyAlignment="1">
      <alignment horizontal="centerContinuous" vertical="center" wrapText="1"/>
    </xf>
    <xf numFmtId="0" fontId="8" fillId="10" borderId="24" xfId="0" applyFont="1" applyFill="1" applyBorder="1" applyAlignment="1">
      <alignment horizontal="centerContinuous" vertical="center" wrapText="1"/>
    </xf>
    <xf numFmtId="0" fontId="8" fillId="10" borderId="17" xfId="0" applyFont="1" applyFill="1" applyBorder="1" applyAlignment="1">
      <alignment horizontal="center" vertical="center" wrapText="1"/>
    </xf>
    <xf numFmtId="0" fontId="8" fillId="10" borderId="20"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4" borderId="45" xfId="0" applyFont="1" applyFill="1" applyBorder="1" applyAlignment="1">
      <alignment horizontal="center" vertical="center"/>
    </xf>
    <xf numFmtId="178" fontId="4" fillId="6" borderId="9" xfId="1" applyNumberFormat="1" applyFont="1" applyFill="1" applyBorder="1" applyAlignment="1">
      <alignment horizontal="center" vertical="center"/>
    </xf>
    <xf numFmtId="178" fontId="4" fillId="6" borderId="6" xfId="1" applyNumberFormat="1" applyFont="1" applyFill="1" applyBorder="1" applyAlignment="1">
      <alignment horizontal="center" vertical="center"/>
    </xf>
    <xf numFmtId="178" fontId="4" fillId="4" borderId="6" xfId="1" applyNumberFormat="1" applyFont="1" applyFill="1" applyBorder="1" applyAlignment="1">
      <alignment horizontal="center" vertical="center"/>
    </xf>
    <xf numFmtId="180" fontId="4" fillId="4" borderId="6" xfId="1" applyNumberFormat="1" applyFont="1" applyFill="1" applyBorder="1" applyAlignment="1">
      <alignment horizontal="center" vertical="center"/>
    </xf>
    <xf numFmtId="40" fontId="4" fillId="6" borderId="6" xfId="1" applyNumberFormat="1" applyFont="1" applyFill="1" applyBorder="1" applyAlignment="1">
      <alignment horizontal="center" vertical="center"/>
    </xf>
    <xf numFmtId="40" fontId="4" fillId="4" borderId="6" xfId="1" applyNumberFormat="1" applyFont="1" applyFill="1" applyBorder="1" applyAlignment="1">
      <alignment horizontal="center" vertical="center"/>
    </xf>
    <xf numFmtId="40" fontId="4" fillId="4" borderId="39" xfId="1" applyNumberFormat="1" applyFont="1" applyFill="1" applyBorder="1" applyAlignment="1">
      <alignment horizontal="center" vertical="center"/>
    </xf>
    <xf numFmtId="38" fontId="8" fillId="8" borderId="40" xfId="1" applyFont="1" applyFill="1" applyBorder="1" applyAlignment="1">
      <alignment horizontal="centerContinuous" vertical="center" wrapText="1"/>
    </xf>
    <xf numFmtId="0" fontId="8" fillId="8" borderId="24" xfId="0" applyFont="1" applyFill="1" applyBorder="1" applyAlignment="1">
      <alignment horizontal="centerContinuous" vertical="center" wrapText="1"/>
    </xf>
    <xf numFmtId="38" fontId="8" fillId="8" borderId="17" xfId="1" applyFont="1" applyFill="1" applyBorder="1" applyAlignment="1">
      <alignment horizontal="center" vertical="center" wrapText="1"/>
    </xf>
    <xf numFmtId="0" fontId="8" fillId="8" borderId="20" xfId="0" applyFont="1" applyFill="1" applyBorder="1" applyAlignment="1">
      <alignment horizontal="center" vertical="center"/>
    </xf>
    <xf numFmtId="38" fontId="4" fillId="6" borderId="25" xfId="1" applyFont="1" applyFill="1" applyBorder="1" applyAlignment="1">
      <alignment horizontal="center" vertical="center"/>
    </xf>
    <xf numFmtId="0" fontId="5" fillId="6" borderId="26" xfId="0" applyFont="1" applyFill="1" applyBorder="1" applyAlignment="1">
      <alignment horizontal="center" vertical="center"/>
    </xf>
    <xf numFmtId="38" fontId="4" fillId="4" borderId="41" xfId="1" applyFont="1" applyFill="1" applyBorder="1" applyAlignment="1">
      <alignment horizontal="center" vertical="center"/>
    </xf>
    <xf numFmtId="0" fontId="4" fillId="4" borderId="26" xfId="0" applyFont="1" applyFill="1" applyBorder="1" applyAlignment="1">
      <alignment horizontal="left" vertical="center"/>
    </xf>
    <xf numFmtId="0" fontId="5" fillId="4" borderId="26" xfId="0" applyFont="1" applyFill="1" applyBorder="1" applyAlignment="1">
      <alignment horizontal="center" vertical="center"/>
    </xf>
    <xf numFmtId="0" fontId="6" fillId="4" borderId="26" xfId="0" applyFont="1" applyFill="1" applyBorder="1" applyAlignment="1">
      <alignment horizontal="center" vertical="center"/>
    </xf>
    <xf numFmtId="38" fontId="4" fillId="4" borderId="17" xfId="1" applyFont="1" applyFill="1" applyBorder="1" applyAlignment="1">
      <alignment horizontal="center" vertical="center"/>
    </xf>
    <xf numFmtId="0" fontId="4" fillId="6" borderId="21" xfId="0" applyFont="1" applyFill="1" applyBorder="1" applyAlignment="1">
      <alignment horizontal="center" vertical="center"/>
    </xf>
    <xf numFmtId="0" fontId="4" fillId="4" borderId="5" xfId="0" applyFont="1" applyFill="1" applyBorder="1" applyAlignment="1">
      <alignment horizontal="center" vertical="center"/>
    </xf>
    <xf numFmtId="38" fontId="4" fillId="4" borderId="18" xfId="1" applyFont="1" applyFill="1" applyBorder="1" applyAlignment="1">
      <alignment horizontal="center" vertical="center"/>
    </xf>
    <xf numFmtId="38" fontId="4" fillId="6" borderId="9" xfId="1" applyFont="1" applyFill="1" applyBorder="1" applyAlignment="1">
      <alignment horizontal="center" vertical="center"/>
    </xf>
    <xf numFmtId="38" fontId="11" fillId="7" borderId="15" xfId="1" applyFont="1" applyFill="1" applyBorder="1" applyAlignment="1">
      <alignment horizontal="centerContinuous" vertical="center" wrapText="1"/>
    </xf>
    <xf numFmtId="0" fontId="11" fillId="7" borderId="24" xfId="0" applyFont="1" applyFill="1" applyBorder="1" applyAlignment="1">
      <alignment horizontal="centerContinuous" vertical="center" wrapText="1"/>
    </xf>
    <xf numFmtId="38" fontId="11" fillId="7" borderId="44" xfId="1" applyFont="1" applyFill="1" applyBorder="1" applyAlignment="1">
      <alignment horizontal="center" vertical="center" wrapText="1"/>
    </xf>
    <xf numFmtId="0" fontId="11" fillId="7" borderId="20" xfId="0" applyFont="1" applyFill="1" applyBorder="1" applyAlignment="1">
      <alignment horizontal="center" vertical="center" wrapText="1"/>
    </xf>
    <xf numFmtId="38" fontId="4" fillId="4" borderId="20" xfId="1" applyFont="1" applyFill="1" applyBorder="1" applyAlignment="1">
      <alignment horizontal="center" vertical="center"/>
    </xf>
    <xf numFmtId="179" fontId="4" fillId="6" borderId="6" xfId="1" applyNumberFormat="1" applyFont="1" applyFill="1" applyBorder="1" applyAlignment="1">
      <alignment horizontal="center" vertical="center"/>
    </xf>
    <xf numFmtId="179" fontId="4" fillId="4" borderId="6" xfId="1" applyNumberFormat="1" applyFont="1" applyFill="1" applyBorder="1" applyAlignment="1">
      <alignment horizontal="center" vertical="center"/>
    </xf>
    <xf numFmtId="179" fontId="4" fillId="4" borderId="39" xfId="1" applyNumberFormat="1" applyFont="1" applyFill="1" applyBorder="1" applyAlignment="1">
      <alignment horizontal="center" vertical="center"/>
    </xf>
    <xf numFmtId="0" fontId="8" fillId="8" borderId="16" xfId="0" applyFont="1" applyFill="1" applyBorder="1" applyAlignment="1">
      <alignment horizontal="centerContinuous" vertical="center" wrapText="1"/>
    </xf>
    <xf numFmtId="0" fontId="4" fillId="4" borderId="18" xfId="0" applyFont="1" applyFill="1" applyBorder="1" applyAlignment="1">
      <alignment horizontal="center" vertical="center"/>
    </xf>
    <xf numFmtId="0" fontId="8" fillId="10" borderId="14" xfId="0" applyFont="1" applyFill="1" applyBorder="1" applyAlignment="1">
      <alignment horizontal="centerContinuous" vertical="center" wrapText="1"/>
    </xf>
    <xf numFmtId="0" fontId="8" fillId="10" borderId="45" xfId="0" applyFont="1" applyFill="1" applyBorder="1" applyAlignment="1">
      <alignment horizontal="center" vertical="center" wrapText="1"/>
    </xf>
    <xf numFmtId="38" fontId="4" fillId="4" borderId="6" xfId="1" applyFont="1" applyFill="1" applyBorder="1" applyAlignment="1">
      <alignment horizontal="center" vertical="center"/>
    </xf>
    <xf numFmtId="0" fontId="4" fillId="4" borderId="6" xfId="0" applyFont="1" applyFill="1" applyBorder="1" applyAlignment="1">
      <alignment horizontal="center" vertical="center" wrapText="1"/>
    </xf>
    <xf numFmtId="0" fontId="11" fillId="7" borderId="40" xfId="0" applyFont="1" applyFill="1" applyBorder="1" applyAlignment="1">
      <alignment horizontal="centerContinuous" vertical="center" wrapText="1"/>
    </xf>
    <xf numFmtId="0" fontId="11" fillId="7" borderId="17" xfId="0" applyFont="1" applyFill="1" applyBorder="1" applyAlignment="1">
      <alignment horizontal="center" vertical="center" wrapText="1"/>
    </xf>
    <xf numFmtId="176" fontId="4" fillId="4" borderId="6" xfId="1" applyNumberFormat="1" applyFont="1" applyFill="1" applyBorder="1" applyAlignment="1">
      <alignment horizontal="center" vertical="center"/>
    </xf>
    <xf numFmtId="0" fontId="4" fillId="6" borderId="5" xfId="0" applyFont="1" applyFill="1" applyBorder="1">
      <alignment vertical="center"/>
    </xf>
    <xf numFmtId="0" fontId="4" fillId="4" borderId="5" xfId="0" applyFont="1" applyFill="1" applyBorder="1">
      <alignment vertical="center"/>
    </xf>
    <xf numFmtId="176" fontId="4" fillId="6" borderId="6" xfId="1" applyNumberFormat="1" applyFont="1" applyFill="1" applyBorder="1" applyAlignment="1">
      <alignment horizontal="center" vertical="center"/>
    </xf>
    <xf numFmtId="0" fontId="4" fillId="6" borderId="35" xfId="0" applyFont="1" applyFill="1" applyBorder="1" applyAlignment="1">
      <alignment horizontal="center" vertical="center"/>
    </xf>
    <xf numFmtId="0" fontId="4" fillId="6" borderId="27" xfId="0" applyFont="1" applyFill="1" applyBorder="1" applyAlignment="1">
      <alignment horizontal="center" vertical="center"/>
    </xf>
    <xf numFmtId="0" fontId="4" fillId="6" borderId="47" xfId="0" applyFont="1" applyFill="1" applyBorder="1" applyAlignment="1">
      <alignment horizontal="center" vertical="center"/>
    </xf>
    <xf numFmtId="38" fontId="4" fillId="6" borderId="27" xfId="1" applyFont="1" applyFill="1" applyBorder="1" applyAlignment="1">
      <alignment horizontal="center" vertical="center"/>
    </xf>
    <xf numFmtId="0" fontId="4" fillId="4" borderId="35" xfId="0" applyFont="1" applyFill="1" applyBorder="1" applyAlignment="1">
      <alignment horizontal="left" vertical="center"/>
    </xf>
    <xf numFmtId="0" fontId="4" fillId="4" borderId="27" xfId="0" applyFont="1" applyFill="1" applyBorder="1" applyAlignment="1">
      <alignment horizontal="center" vertical="center"/>
    </xf>
    <xf numFmtId="0" fontId="4" fillId="4" borderId="47" xfId="0" applyFont="1" applyFill="1" applyBorder="1" applyAlignment="1">
      <alignment horizontal="center" vertical="center"/>
    </xf>
    <xf numFmtId="0" fontId="4" fillId="4" borderId="3" xfId="0" applyFont="1" applyFill="1" applyBorder="1" applyAlignment="1">
      <alignment horizontal="center" vertical="center"/>
    </xf>
    <xf numFmtId="38" fontId="4" fillId="4" borderId="27" xfId="1" applyFont="1" applyFill="1" applyBorder="1" applyAlignment="1">
      <alignment horizontal="center" vertical="center"/>
    </xf>
    <xf numFmtId="0" fontId="4" fillId="4" borderId="2" xfId="0" applyFont="1" applyFill="1" applyBorder="1" applyAlignment="1">
      <alignment horizontal="center" vertical="center"/>
    </xf>
    <xf numFmtId="0" fontId="6" fillId="4" borderId="47" xfId="0" applyFont="1" applyFill="1" applyBorder="1" applyAlignment="1">
      <alignment horizontal="center" vertical="center"/>
    </xf>
    <xf numFmtId="0" fontId="4" fillId="4" borderId="34" xfId="0" applyFont="1" applyFill="1" applyBorder="1" applyAlignment="1">
      <alignment horizontal="left" vertical="center"/>
    </xf>
    <xf numFmtId="0" fontId="4" fillId="4" borderId="25" xfId="0" applyFont="1" applyFill="1" applyBorder="1" applyAlignment="1">
      <alignment horizontal="center" vertical="center"/>
    </xf>
    <xf numFmtId="0" fontId="4" fillId="4" borderId="49" xfId="0" applyFont="1" applyFill="1" applyBorder="1" applyAlignment="1">
      <alignment horizontal="center" vertical="center"/>
    </xf>
    <xf numFmtId="38" fontId="4" fillId="4" borderId="25" xfId="1" applyFont="1" applyFill="1" applyBorder="1" applyAlignment="1">
      <alignment horizontal="center" vertical="center"/>
    </xf>
    <xf numFmtId="0" fontId="6" fillId="4" borderId="49" xfId="0" applyFont="1" applyFill="1" applyBorder="1" applyAlignment="1">
      <alignment horizontal="center" vertical="center"/>
    </xf>
    <xf numFmtId="38" fontId="4" fillId="2" borderId="25" xfId="1" applyFont="1" applyFill="1" applyBorder="1" applyAlignment="1">
      <alignment horizontal="center" vertical="center"/>
    </xf>
    <xf numFmtId="0" fontId="4" fillId="2" borderId="7" xfId="0" applyFont="1" applyFill="1" applyBorder="1" applyAlignment="1">
      <alignment horizontal="center" vertical="center"/>
    </xf>
    <xf numFmtId="38" fontId="4" fillId="2" borderId="41" xfId="1" applyFont="1" applyFill="1" applyBorder="1" applyAlignment="1">
      <alignment horizontal="center" vertical="center"/>
    </xf>
    <xf numFmtId="0" fontId="4" fillId="2" borderId="1" xfId="0" applyFont="1" applyFill="1" applyBorder="1" applyAlignment="1">
      <alignment horizontal="center" vertical="center"/>
    </xf>
    <xf numFmtId="178" fontId="4" fillId="2" borderId="6" xfId="1" applyNumberFormat="1" applyFont="1" applyFill="1" applyBorder="1" applyAlignment="1">
      <alignment horizontal="center" vertical="center"/>
    </xf>
    <xf numFmtId="38" fontId="4" fillId="2" borderId="27" xfId="1" applyFont="1" applyFill="1" applyBorder="1" applyAlignment="1">
      <alignment horizontal="center" vertical="center"/>
    </xf>
    <xf numFmtId="0" fontId="4" fillId="2" borderId="2" xfId="0" applyFont="1" applyFill="1" applyBorder="1" applyAlignment="1">
      <alignment horizontal="center" vertical="center"/>
    </xf>
    <xf numFmtId="0" fontId="0" fillId="2" borderId="1" xfId="0" applyFill="1" applyBorder="1" applyAlignment="1">
      <alignment horizontal="center" vertical="center"/>
    </xf>
    <xf numFmtId="0" fontId="4" fillId="2" borderId="5" xfId="0" applyFont="1" applyFill="1" applyBorder="1" applyAlignment="1">
      <alignment horizontal="center" vertical="center"/>
    </xf>
    <xf numFmtId="0" fontId="4" fillId="2" borderId="49" xfId="0" applyFont="1" applyFill="1" applyBorder="1" applyAlignment="1">
      <alignment horizontal="center" vertical="center"/>
    </xf>
    <xf numFmtId="0" fontId="4" fillId="2" borderId="26" xfId="0" applyFont="1" applyFill="1" applyBorder="1" applyAlignment="1">
      <alignment horizontal="center" vertical="center"/>
    </xf>
    <xf numFmtId="0" fontId="5" fillId="2" borderId="26" xfId="0" applyFont="1" applyFill="1" applyBorder="1" applyAlignment="1">
      <alignment horizontal="center" vertical="center"/>
    </xf>
    <xf numFmtId="0" fontId="4" fillId="2" borderId="26" xfId="0" applyFont="1" applyFill="1" applyBorder="1" applyAlignment="1">
      <alignment horizontal="left" vertical="center"/>
    </xf>
    <xf numFmtId="0" fontId="6" fillId="2" borderId="26" xfId="0" applyFont="1" applyFill="1" applyBorder="1" applyAlignment="1">
      <alignment horizontal="left" vertical="center"/>
    </xf>
    <xf numFmtId="0" fontId="5" fillId="2" borderId="47" xfId="0" applyFont="1" applyFill="1" applyBorder="1" applyAlignment="1">
      <alignment horizontal="left" vertical="center"/>
    </xf>
    <xf numFmtId="0" fontId="5" fillId="2" borderId="49" xfId="0" applyFont="1" applyFill="1" applyBorder="1" applyAlignment="1">
      <alignment horizontal="left" vertical="center"/>
    </xf>
    <xf numFmtId="0" fontId="6" fillId="2" borderId="26" xfId="0" applyFont="1" applyFill="1" applyBorder="1" applyAlignment="1">
      <alignment horizontal="center" vertical="center"/>
    </xf>
    <xf numFmtId="38" fontId="4" fillId="3" borderId="6" xfId="1" applyFont="1" applyFill="1" applyBorder="1" applyAlignment="1">
      <alignment horizontal="center" vertical="center"/>
    </xf>
    <xf numFmtId="0" fontId="4" fillId="6" borderId="8" xfId="0" applyFont="1" applyFill="1" applyBorder="1" applyAlignment="1">
      <alignment horizontal="center" vertical="center"/>
    </xf>
    <xf numFmtId="0" fontId="8" fillId="10" borderId="14" xfId="0" applyFont="1" applyFill="1" applyBorder="1" applyAlignment="1">
      <alignment horizontal="center" vertical="center"/>
    </xf>
    <xf numFmtId="0" fontId="8" fillId="10" borderId="11" xfId="0" applyFont="1" applyFill="1" applyBorder="1" applyAlignment="1">
      <alignment horizontal="center" vertical="center"/>
    </xf>
    <xf numFmtId="0" fontId="4" fillId="6" borderId="37"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5" xfId="0" applyFont="1" applyFill="1" applyBorder="1" applyAlignment="1">
      <alignment horizontal="center" vertical="center"/>
    </xf>
    <xf numFmtId="38" fontId="4" fillId="6" borderId="0" xfId="0" applyNumberFormat="1" applyFont="1" applyFill="1" applyAlignment="1">
      <alignment horizontal="center" vertical="center"/>
    </xf>
  </cellXfs>
  <cellStyles count="4">
    <cellStyle name="ハイパーリンク" xfId="3" builtinId="8"/>
    <cellStyle name="桁区切り" xfId="1" builtinId="6"/>
    <cellStyle name="標準" xfId="0" builtinId="0"/>
    <cellStyle name="標準 2" xfId="2" xr:uid="{7DC4BBA8-2731-4192-9452-A083AA19AFF1}"/>
  </cellStyles>
  <dxfs count="8">
    <dxf>
      <fill>
        <patternFill>
          <bgColor theme="8" tint="0.79998168889431442"/>
        </patternFill>
      </fill>
    </dxf>
    <dxf>
      <fill>
        <patternFill>
          <bgColor theme="8" tint="0.79998168889431442"/>
        </patternFill>
      </fill>
    </dxf>
    <dxf>
      <fill>
        <patternFill>
          <bgColor theme="0" tint="-0.34998626667073579"/>
        </patternFill>
      </fill>
    </dxf>
    <dxf>
      <fill>
        <patternFill>
          <bgColor theme="0" tint="-0.34998626667073579"/>
        </patternFill>
      </fill>
    </dxf>
    <dxf>
      <fill>
        <patternFill>
          <bgColor theme="8" tint="0.79998168889431442"/>
        </patternFill>
      </fill>
    </dxf>
    <dxf>
      <fill>
        <patternFill>
          <bgColor theme="0" tint="-0.34998626667073579"/>
        </patternFill>
      </fill>
    </dxf>
    <dxf>
      <fill>
        <patternFill>
          <bgColor theme="8" tint="0.79998168889431442"/>
        </patternFill>
      </fill>
    </dxf>
    <dxf>
      <fill>
        <patternFill>
          <bgColor theme="8" tint="0.79998168889431442"/>
        </patternFill>
      </fill>
    </dxf>
  </dxfs>
  <tableStyles count="0" defaultTableStyle="TableStyleMedium2" defaultPivotStyle="PivotStyleLight16"/>
  <colors>
    <mruColors>
      <color rgb="FFFFFF00"/>
      <color rgb="FFFFCCFF"/>
      <color rgb="FFFF99FF"/>
      <color rgb="FFFF00FF"/>
      <color rgb="FF0000FF"/>
      <color rgb="FF4472C4"/>
      <color rgb="FFFF0066"/>
      <color rgb="FFCCFF33"/>
      <color rgb="FF9999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27</xdr:col>
      <xdr:colOff>288642</xdr:colOff>
      <xdr:row>63</xdr:row>
      <xdr:rowOff>230331</xdr:rowOff>
    </xdr:from>
    <xdr:to>
      <xdr:col>29</xdr:col>
      <xdr:colOff>796636</xdr:colOff>
      <xdr:row>68</xdr:row>
      <xdr:rowOff>46066</xdr:rowOff>
    </xdr:to>
    <xdr:sp macro="" textlink="">
      <xdr:nvSpPr>
        <xdr:cNvPr id="2" name="吹き出し: 四角形 1">
          <a:extLst>
            <a:ext uri="{FF2B5EF4-FFF2-40B4-BE49-F238E27FC236}">
              <a16:creationId xmlns:a16="http://schemas.microsoft.com/office/drawing/2014/main" id="{DFA8F5AA-7ECA-CEB9-BF37-F07910653E50}"/>
            </a:ext>
          </a:extLst>
        </xdr:cNvPr>
        <xdr:cNvSpPr/>
      </xdr:nvSpPr>
      <xdr:spPr>
        <a:xfrm>
          <a:off x="41886915" y="16215013"/>
          <a:ext cx="2516903" cy="1028008"/>
        </a:xfrm>
        <a:prstGeom prst="wedgeRectCallout">
          <a:avLst>
            <a:gd name="adj1" fmla="val -73016"/>
            <a:gd name="adj2" fmla="val 15386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SSBJ</a:t>
          </a:r>
          <a:r>
            <a:rPr kumimoji="1" lang="ja-JP" altLang="en-US" sz="1100">
              <a:latin typeface="Meiryo UI" panose="020B0604030504040204" pitchFamily="50" charset="-128"/>
              <a:ea typeface="Meiryo UI" panose="020B0604030504040204" pitchFamily="50" charset="-128"/>
            </a:rPr>
            <a:t>の石油系炭化水素ガスは、</a:t>
          </a:r>
          <a:r>
            <a:rPr kumimoji="1" lang="en-US" altLang="ja-JP" sz="1100">
              <a:latin typeface="Meiryo UI" panose="020B0604030504040204" pitchFamily="50" charset="-128"/>
              <a:ea typeface="Meiryo UI" panose="020B0604030504040204" pitchFamily="50" charset="-128"/>
            </a:rPr>
            <a:t>GX</a:t>
          </a:r>
          <a:r>
            <a:rPr kumimoji="1" lang="ja-JP" altLang="en-US" sz="1100">
              <a:latin typeface="Meiryo UI" panose="020B0604030504040204" pitchFamily="50" charset="-128"/>
              <a:ea typeface="Meiryo UI" panose="020B0604030504040204" pitchFamily="50" charset="-128"/>
            </a:rPr>
            <a:t>リーグの算定方法（実流量</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実単位発熱量</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排出係数）で良いかを要検討</a:t>
          </a:r>
        </a:p>
      </xdr:txBody>
    </xdr:sp>
    <xdr:clientData/>
  </xdr:twoCellAnchor>
  <xdr:twoCellAnchor>
    <xdr:from>
      <xdr:col>27</xdr:col>
      <xdr:colOff>696212</xdr:colOff>
      <xdr:row>77</xdr:row>
      <xdr:rowOff>55193</xdr:rowOff>
    </xdr:from>
    <xdr:to>
      <xdr:col>29</xdr:col>
      <xdr:colOff>1801091</xdr:colOff>
      <xdr:row>85</xdr:row>
      <xdr:rowOff>101235</xdr:rowOff>
    </xdr:to>
    <xdr:sp macro="" textlink="">
      <xdr:nvSpPr>
        <xdr:cNvPr id="3" name="吹き出し: 四角形 2">
          <a:extLst>
            <a:ext uri="{FF2B5EF4-FFF2-40B4-BE49-F238E27FC236}">
              <a16:creationId xmlns:a16="http://schemas.microsoft.com/office/drawing/2014/main" id="{BA5A00A5-A235-4AFD-A7B8-F334B0E90D69}"/>
            </a:ext>
          </a:extLst>
        </xdr:cNvPr>
        <xdr:cNvSpPr/>
      </xdr:nvSpPr>
      <xdr:spPr>
        <a:xfrm>
          <a:off x="42294485" y="19434238"/>
          <a:ext cx="3113788" cy="1985679"/>
        </a:xfrm>
        <a:prstGeom prst="wedgeRectCallout">
          <a:avLst>
            <a:gd name="adj1" fmla="val -94736"/>
            <a:gd name="adj2" fmla="val 501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「他社への供給</a:t>
          </a:r>
          <a:r>
            <a:rPr kumimoji="1" lang="en-US" altLang="ja-JP" sz="1100">
              <a:latin typeface="Meiryo UI" panose="020B0604030504040204" pitchFamily="50" charset="-128"/>
              <a:ea typeface="Meiryo UI" panose="020B0604030504040204" pitchFamily="50" charset="-128"/>
            </a:rPr>
            <a:t>_</a:t>
          </a:r>
          <a:r>
            <a:rPr kumimoji="1" lang="ja-JP" altLang="en-US" sz="1100">
              <a:latin typeface="Meiryo UI" panose="020B0604030504040204" pitchFamily="50" charset="-128"/>
              <a:ea typeface="Meiryo UI" panose="020B0604030504040204" pitchFamily="50" charset="-128"/>
            </a:rPr>
            <a:t>産業用蒸気」は、社内融通を含む拠点外へ販売した産業用蒸気となる。</a:t>
          </a:r>
          <a:br>
            <a:rPr kumimoji="1" lang="en-US" altLang="ja-JP" sz="1100">
              <a:latin typeface="Meiryo UI" panose="020B0604030504040204" pitchFamily="50" charset="-128"/>
              <a:ea typeface="Meiryo UI" panose="020B0604030504040204" pitchFamily="50" charset="-128"/>
            </a:rPr>
          </a:br>
          <a:r>
            <a:rPr kumimoji="1" lang="ja-JP" altLang="en-US" sz="1100">
              <a:latin typeface="Meiryo UI" panose="020B0604030504040204" pitchFamily="50" charset="-128"/>
              <a:ea typeface="Meiryo UI" panose="020B0604030504040204" pitchFamily="50" charset="-128"/>
            </a:rPr>
            <a:t>現状の</a:t>
          </a:r>
          <a:r>
            <a:rPr kumimoji="1" lang="en-US" altLang="ja-JP" sz="1100">
              <a:latin typeface="Meiryo UI" panose="020B0604030504040204" pitchFamily="50" charset="-128"/>
              <a:ea typeface="Meiryo UI" panose="020B0604030504040204" pitchFamily="50" charset="-128"/>
            </a:rPr>
            <a:t>ESG</a:t>
          </a:r>
          <a:r>
            <a:rPr kumimoji="1" lang="ja-JP" altLang="en-US" sz="1100">
              <a:latin typeface="Meiryo UI" panose="020B0604030504040204" pitchFamily="50" charset="-128"/>
              <a:ea typeface="Meiryo UI" panose="020B0604030504040204" pitchFamily="50" charset="-128"/>
            </a:rPr>
            <a:t>データブック開示では、「他社への供給」を排出量より差し引いていたため、本来控除すべきでない「</a:t>
          </a:r>
          <a:r>
            <a:rPr kumimoji="1" lang="ja-JP" altLang="ja-JP" sz="1100">
              <a:solidFill>
                <a:schemeClr val="lt1"/>
              </a:solidFill>
              <a:effectLst/>
              <a:latin typeface="Meiryo UI" panose="020B0604030504040204" pitchFamily="50" charset="-128"/>
              <a:ea typeface="Meiryo UI" panose="020B0604030504040204" pitchFamily="50" charset="-128"/>
              <a:cs typeface="+mn-cs"/>
            </a:rPr>
            <a:t>社内融通</a:t>
          </a:r>
          <a:r>
            <a:rPr kumimoji="1" lang="en-US" altLang="ja-JP" sz="1100">
              <a:solidFill>
                <a:schemeClr val="lt1"/>
              </a:solidFill>
              <a:effectLst/>
              <a:latin typeface="Meiryo UI" panose="020B0604030504040204" pitchFamily="50" charset="-128"/>
              <a:ea typeface="Meiryo UI" panose="020B0604030504040204" pitchFamily="50" charset="-128"/>
              <a:cs typeface="+mn-cs"/>
            </a:rPr>
            <a:t>/</a:t>
          </a:r>
          <a:r>
            <a:rPr kumimoji="1" lang="ja-JP" altLang="ja-JP" sz="1100">
              <a:solidFill>
                <a:schemeClr val="lt1"/>
              </a:solidFill>
              <a:effectLst/>
              <a:latin typeface="Meiryo UI" panose="020B0604030504040204" pitchFamily="50" charset="-128"/>
              <a:ea typeface="Meiryo UI" panose="020B0604030504040204" pitchFamily="50" charset="-128"/>
              <a:cs typeface="+mn-cs"/>
            </a:rPr>
            <a:t>産業用蒸気（千葉石油）</a:t>
          </a:r>
          <a:r>
            <a:rPr kumimoji="1" lang="ja-JP" altLang="en-US" sz="1100">
              <a:solidFill>
                <a:schemeClr val="lt1"/>
              </a:solidFill>
              <a:effectLst/>
              <a:latin typeface="Meiryo UI" panose="020B0604030504040204" pitchFamily="50" charset="-128"/>
              <a:ea typeface="Meiryo UI" panose="020B0604030504040204" pitchFamily="50" charset="-128"/>
              <a:cs typeface="+mn-cs"/>
            </a:rPr>
            <a:t>」を＋で</a:t>
          </a:r>
          <a:r>
            <a:rPr kumimoji="1" lang="ja-JP" altLang="en-US" sz="1100">
              <a:latin typeface="Meiryo UI" panose="020B0604030504040204" pitchFamily="50" charset="-128"/>
              <a:ea typeface="Meiryo UI" panose="020B0604030504040204" pitchFamily="50" charset="-128"/>
            </a:rPr>
            <a:t>計上している。</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SSBJ</a:t>
          </a:r>
          <a:r>
            <a:rPr kumimoji="1" lang="ja-JP" altLang="en-US" sz="1100">
              <a:latin typeface="Meiryo UI" panose="020B0604030504040204" pitchFamily="50" charset="-128"/>
              <a:ea typeface="Meiryo UI" panose="020B0604030504040204" pitchFamily="50" charset="-128"/>
            </a:rPr>
            <a:t>では、「他社への供給」を控除しないため、本項目は計上する必要はない。（</a:t>
          </a:r>
          <a:r>
            <a:rPr kumimoji="1" lang="en-US" altLang="ja-JP" sz="1100">
              <a:latin typeface="Meiryo UI" panose="020B0604030504040204" pitchFamily="50" charset="-128"/>
              <a:ea typeface="Meiryo UI" panose="020B0604030504040204" pitchFamily="50" charset="-128"/>
            </a:rPr>
            <a:t>GX</a:t>
          </a:r>
          <a:r>
            <a:rPr kumimoji="1" lang="ja-JP" altLang="en-US" sz="1100">
              <a:latin typeface="Meiryo UI" panose="020B0604030504040204" pitchFamily="50" charset="-128"/>
              <a:ea typeface="Meiryo UI" panose="020B0604030504040204" pitchFamily="50" charset="-128"/>
            </a:rPr>
            <a:t>リーグでも社内融通として計上していない）</a:t>
          </a:r>
        </a:p>
      </xdr:txBody>
    </xdr:sp>
    <xdr:clientData/>
  </xdr:twoCellAnchor>
  <xdr:twoCellAnchor>
    <xdr:from>
      <xdr:col>27</xdr:col>
      <xdr:colOff>633823</xdr:colOff>
      <xdr:row>92</xdr:row>
      <xdr:rowOff>146163</xdr:rowOff>
    </xdr:from>
    <xdr:to>
      <xdr:col>29</xdr:col>
      <xdr:colOff>1853046</xdr:colOff>
      <xdr:row>97</xdr:row>
      <xdr:rowOff>217517</xdr:rowOff>
    </xdr:to>
    <xdr:sp macro="" textlink="">
      <xdr:nvSpPr>
        <xdr:cNvPr id="4" name="吹き出し: 四角形 3">
          <a:extLst>
            <a:ext uri="{FF2B5EF4-FFF2-40B4-BE49-F238E27FC236}">
              <a16:creationId xmlns:a16="http://schemas.microsoft.com/office/drawing/2014/main" id="{5B84B683-6DE3-4C29-BBF9-FC9F137F16DB}"/>
            </a:ext>
          </a:extLst>
        </xdr:cNvPr>
        <xdr:cNvSpPr/>
      </xdr:nvSpPr>
      <xdr:spPr>
        <a:xfrm>
          <a:off x="42232096" y="23646936"/>
          <a:ext cx="3228132" cy="1283626"/>
        </a:xfrm>
        <a:prstGeom prst="wedgeRectCallout">
          <a:avLst>
            <a:gd name="adj1" fmla="val -89218"/>
            <a:gd name="adj2" fmla="val 352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GX</a:t>
          </a:r>
          <a:r>
            <a:rPr kumimoji="1" lang="ja-JP" altLang="en-US" sz="1100">
              <a:latin typeface="Meiryo UI" panose="020B0604030504040204" pitchFamily="50" charset="-128"/>
              <a:ea typeface="Meiryo UI" panose="020B0604030504040204" pitchFamily="50" charset="-128"/>
            </a:rPr>
            <a:t>リーグ（自家使用＋社外取引に相当）と、</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GGX</a:t>
          </a:r>
          <a:r>
            <a:rPr kumimoji="1" lang="ja-JP" altLang="en-US" sz="1100">
              <a:latin typeface="Meiryo UI" panose="020B0604030504040204" pitchFamily="50" charset="-128"/>
              <a:ea typeface="Meiryo UI" panose="020B0604030504040204" pitchFamily="50" charset="-128"/>
            </a:rPr>
            <a:t>の自家使用、社外取引の合計値が約</a:t>
          </a:r>
          <a:r>
            <a:rPr kumimoji="1" lang="en-US" altLang="ja-JP" sz="1100">
              <a:latin typeface="Meiryo UI" panose="020B0604030504040204" pitchFamily="50" charset="-128"/>
              <a:ea typeface="Meiryo UI" panose="020B0604030504040204" pitchFamily="50" charset="-128"/>
            </a:rPr>
            <a:t>3,500tCO2</a:t>
          </a:r>
          <a:r>
            <a:rPr kumimoji="1" lang="ja-JP" altLang="en-US" sz="1100">
              <a:latin typeface="Meiryo UI" panose="020B0604030504040204" pitchFamily="50" charset="-128"/>
              <a:ea typeface="Meiryo UI" panose="020B0604030504040204" pitchFamily="50" charset="-128"/>
            </a:rPr>
            <a:t>ずれる。おそらく、集計誤差と思われる。</a:t>
          </a:r>
        </a:p>
      </xdr:txBody>
    </xdr:sp>
    <xdr:clientData/>
  </xdr:twoCellAnchor>
  <xdr:twoCellAnchor>
    <xdr:from>
      <xdr:col>27</xdr:col>
      <xdr:colOff>550024</xdr:colOff>
      <xdr:row>100</xdr:row>
      <xdr:rowOff>126274</xdr:rowOff>
    </xdr:from>
    <xdr:to>
      <xdr:col>29</xdr:col>
      <xdr:colOff>1993495</xdr:colOff>
      <xdr:row>110</xdr:row>
      <xdr:rowOff>103909</xdr:rowOff>
    </xdr:to>
    <xdr:sp macro="" textlink="">
      <xdr:nvSpPr>
        <xdr:cNvPr id="5" name="吹き出し: 四角形 4">
          <a:extLst>
            <a:ext uri="{FF2B5EF4-FFF2-40B4-BE49-F238E27FC236}">
              <a16:creationId xmlns:a16="http://schemas.microsoft.com/office/drawing/2014/main" id="{26370240-CFB9-4B89-B557-D89C20F021D6}"/>
            </a:ext>
          </a:extLst>
        </xdr:cNvPr>
        <xdr:cNvSpPr/>
      </xdr:nvSpPr>
      <xdr:spPr>
        <a:xfrm>
          <a:off x="42148297" y="25566683"/>
          <a:ext cx="3452380" cy="2384862"/>
        </a:xfrm>
        <a:prstGeom prst="wedgeRectCallout">
          <a:avLst>
            <a:gd name="adj1" fmla="val -80209"/>
            <a:gd name="adj2" fmla="val 25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chemeClr val="lt1"/>
              </a:solidFill>
              <a:effectLst/>
              <a:latin typeface="Meiryo UI" panose="020B0604030504040204" pitchFamily="50" charset="-128"/>
              <a:ea typeface="Meiryo UI" panose="020B0604030504040204" pitchFamily="50" charset="-128"/>
              <a:cs typeface="+mn-cs"/>
            </a:rPr>
            <a:t>「他社への供給</a:t>
          </a:r>
          <a:r>
            <a:rPr kumimoji="1" lang="en-US" altLang="ja-JP" sz="1100">
              <a:solidFill>
                <a:schemeClr val="lt1"/>
              </a:solidFill>
              <a:effectLst/>
              <a:latin typeface="Meiryo UI" panose="020B0604030504040204" pitchFamily="50" charset="-128"/>
              <a:ea typeface="Meiryo UI" panose="020B0604030504040204" pitchFamily="50" charset="-128"/>
              <a:cs typeface="+mn-cs"/>
            </a:rPr>
            <a:t>_</a:t>
          </a:r>
          <a:r>
            <a:rPr kumimoji="1" lang="ja-JP" altLang="en-US" sz="1100">
              <a:solidFill>
                <a:schemeClr val="lt1"/>
              </a:solidFill>
              <a:effectLst/>
              <a:latin typeface="Meiryo UI" panose="020B0604030504040204" pitchFamily="50" charset="-128"/>
              <a:ea typeface="Meiryo UI" panose="020B0604030504040204" pitchFamily="50" charset="-128"/>
              <a:cs typeface="+mn-cs"/>
            </a:rPr>
            <a:t>電力</a:t>
          </a:r>
          <a:r>
            <a:rPr kumimoji="1" lang="ja-JP" altLang="ja-JP" sz="1100">
              <a:solidFill>
                <a:schemeClr val="lt1"/>
              </a:solidFill>
              <a:effectLst/>
              <a:latin typeface="Meiryo UI" panose="020B0604030504040204" pitchFamily="50" charset="-128"/>
              <a:ea typeface="Meiryo UI" panose="020B0604030504040204" pitchFamily="50" charset="-128"/>
              <a:cs typeface="+mn-cs"/>
            </a:rPr>
            <a:t>」は、社内融通を含む拠点外へ販売した</a:t>
          </a:r>
          <a:r>
            <a:rPr kumimoji="1" lang="ja-JP" altLang="en-US" sz="1100">
              <a:solidFill>
                <a:schemeClr val="lt1"/>
              </a:solidFill>
              <a:effectLst/>
              <a:latin typeface="Meiryo UI" panose="020B0604030504040204" pitchFamily="50" charset="-128"/>
              <a:ea typeface="Meiryo UI" panose="020B0604030504040204" pitchFamily="50" charset="-128"/>
              <a:cs typeface="+mn-cs"/>
            </a:rPr>
            <a:t>電力</a:t>
          </a:r>
          <a:r>
            <a:rPr kumimoji="1" lang="ja-JP" altLang="ja-JP" sz="1100">
              <a:solidFill>
                <a:schemeClr val="lt1"/>
              </a:solidFill>
              <a:effectLst/>
              <a:latin typeface="Meiryo UI" panose="020B0604030504040204" pitchFamily="50" charset="-128"/>
              <a:ea typeface="Meiryo UI" panose="020B0604030504040204" pitchFamily="50" charset="-128"/>
              <a:cs typeface="+mn-cs"/>
            </a:rPr>
            <a:t>となる。</a:t>
          </a:r>
          <a:br>
            <a:rPr kumimoji="1" lang="en-US" altLang="ja-JP" sz="1100">
              <a:solidFill>
                <a:schemeClr val="lt1"/>
              </a:solidFill>
              <a:effectLst/>
              <a:latin typeface="Meiryo UI" panose="020B0604030504040204" pitchFamily="50" charset="-128"/>
              <a:ea typeface="Meiryo UI" panose="020B0604030504040204" pitchFamily="50" charset="-128"/>
              <a:cs typeface="+mn-cs"/>
            </a:rPr>
          </a:br>
          <a:r>
            <a:rPr kumimoji="1" lang="ja-JP" altLang="ja-JP" sz="1100">
              <a:solidFill>
                <a:schemeClr val="lt1"/>
              </a:solidFill>
              <a:effectLst/>
              <a:latin typeface="Meiryo UI" panose="020B0604030504040204" pitchFamily="50" charset="-128"/>
              <a:ea typeface="Meiryo UI" panose="020B0604030504040204" pitchFamily="50" charset="-128"/>
              <a:cs typeface="+mn-cs"/>
            </a:rPr>
            <a:t>現状の</a:t>
          </a:r>
          <a:r>
            <a:rPr kumimoji="1" lang="en-US" altLang="ja-JP" sz="1100">
              <a:solidFill>
                <a:schemeClr val="lt1"/>
              </a:solidFill>
              <a:effectLst/>
              <a:latin typeface="Meiryo UI" panose="020B0604030504040204" pitchFamily="50" charset="-128"/>
              <a:ea typeface="Meiryo UI" panose="020B0604030504040204" pitchFamily="50" charset="-128"/>
              <a:cs typeface="+mn-cs"/>
            </a:rPr>
            <a:t>ESG</a:t>
          </a:r>
          <a:r>
            <a:rPr kumimoji="1" lang="ja-JP" altLang="ja-JP" sz="1100">
              <a:solidFill>
                <a:schemeClr val="lt1"/>
              </a:solidFill>
              <a:effectLst/>
              <a:latin typeface="Meiryo UI" panose="020B0604030504040204" pitchFamily="50" charset="-128"/>
              <a:ea typeface="Meiryo UI" panose="020B0604030504040204" pitchFamily="50" charset="-128"/>
              <a:cs typeface="+mn-cs"/>
            </a:rPr>
            <a:t>データブック開示では、「他社への供給」を排出量より差し引いていたため、本来控除すべきでない「社内融通</a:t>
          </a:r>
          <a:r>
            <a:rPr kumimoji="1" lang="en-US" altLang="ja-JP" sz="1100">
              <a:solidFill>
                <a:schemeClr val="lt1"/>
              </a:solidFill>
              <a:effectLst/>
              <a:latin typeface="Meiryo UI" panose="020B0604030504040204" pitchFamily="50" charset="-128"/>
              <a:ea typeface="Meiryo UI" panose="020B0604030504040204" pitchFamily="50" charset="-128"/>
              <a:cs typeface="+mn-cs"/>
            </a:rPr>
            <a:t>/</a:t>
          </a:r>
          <a:r>
            <a:rPr kumimoji="1" lang="ja-JP" altLang="en-US" sz="1100">
              <a:solidFill>
                <a:schemeClr val="lt1"/>
              </a:solidFill>
              <a:effectLst/>
              <a:latin typeface="Meiryo UI" panose="020B0604030504040204" pitchFamily="50" charset="-128"/>
              <a:ea typeface="Meiryo UI" panose="020B0604030504040204" pitchFamily="50" charset="-128"/>
              <a:cs typeface="+mn-cs"/>
            </a:rPr>
            <a:t>自家発電（〇〇からの買電</a:t>
          </a:r>
          <a:r>
            <a:rPr kumimoji="1" lang="ja-JP" altLang="ja-JP" sz="1100">
              <a:solidFill>
                <a:schemeClr val="lt1"/>
              </a:solidFill>
              <a:effectLst/>
              <a:latin typeface="Meiryo UI" panose="020B0604030504040204" pitchFamily="50" charset="-128"/>
              <a:ea typeface="Meiryo UI" panose="020B0604030504040204" pitchFamily="50" charset="-128"/>
              <a:cs typeface="+mn-cs"/>
            </a:rPr>
            <a:t>）」を＋で計上している。</a:t>
          </a:r>
          <a:endParaRPr lang="ja-JP" altLang="ja-JP">
            <a:effectLst/>
            <a:latin typeface="Meiryo UI" panose="020B0604030504040204" pitchFamily="50" charset="-128"/>
            <a:ea typeface="Meiryo UI" panose="020B0604030504040204" pitchFamily="50" charset="-128"/>
          </a:endParaRPr>
        </a:p>
        <a:p>
          <a:r>
            <a:rPr kumimoji="1" lang="en-US" altLang="ja-JP" sz="1100">
              <a:solidFill>
                <a:schemeClr val="lt1"/>
              </a:solidFill>
              <a:effectLst/>
              <a:latin typeface="Meiryo UI" panose="020B0604030504040204" pitchFamily="50" charset="-128"/>
              <a:ea typeface="Meiryo UI" panose="020B0604030504040204" pitchFamily="50" charset="-128"/>
              <a:cs typeface="+mn-cs"/>
            </a:rPr>
            <a:t>SSBJ</a:t>
          </a:r>
          <a:r>
            <a:rPr kumimoji="1" lang="ja-JP" altLang="ja-JP" sz="1100">
              <a:solidFill>
                <a:schemeClr val="lt1"/>
              </a:solidFill>
              <a:effectLst/>
              <a:latin typeface="Meiryo UI" panose="020B0604030504040204" pitchFamily="50" charset="-128"/>
              <a:ea typeface="Meiryo UI" panose="020B0604030504040204" pitchFamily="50" charset="-128"/>
              <a:cs typeface="+mn-cs"/>
            </a:rPr>
            <a:t>では、「他社への供給」を控除しないため、本項目は計上する必要はない。（</a:t>
          </a:r>
          <a:r>
            <a:rPr kumimoji="1" lang="en-US" altLang="ja-JP" sz="1100">
              <a:solidFill>
                <a:schemeClr val="lt1"/>
              </a:solidFill>
              <a:effectLst/>
              <a:latin typeface="Meiryo UI" panose="020B0604030504040204" pitchFamily="50" charset="-128"/>
              <a:ea typeface="Meiryo UI" panose="020B0604030504040204" pitchFamily="50" charset="-128"/>
              <a:cs typeface="+mn-cs"/>
            </a:rPr>
            <a:t>GX</a:t>
          </a:r>
          <a:r>
            <a:rPr kumimoji="1" lang="ja-JP" altLang="ja-JP" sz="1100">
              <a:solidFill>
                <a:schemeClr val="lt1"/>
              </a:solidFill>
              <a:effectLst/>
              <a:latin typeface="Meiryo UI" panose="020B0604030504040204" pitchFamily="50" charset="-128"/>
              <a:ea typeface="Meiryo UI" panose="020B0604030504040204" pitchFamily="50" charset="-128"/>
              <a:cs typeface="+mn-cs"/>
            </a:rPr>
            <a:t>リーグでも社内融通として計上していない）</a:t>
          </a:r>
          <a:endParaRPr lang="ja-JP" altLang="ja-JP">
            <a:effectLst/>
            <a:latin typeface="Meiryo UI" panose="020B0604030504040204" pitchFamily="50" charset="-128"/>
            <a:ea typeface="Meiryo UI" panose="020B0604030504040204" pitchFamily="50" charset="-128"/>
          </a:endParaRPr>
        </a:p>
      </xdr:txBody>
    </xdr:sp>
    <xdr:clientData/>
  </xdr:twoCellAnchor>
  <xdr:twoCellAnchor>
    <xdr:from>
      <xdr:col>6</xdr:col>
      <xdr:colOff>1801091</xdr:colOff>
      <xdr:row>2</xdr:row>
      <xdr:rowOff>34636</xdr:rowOff>
    </xdr:from>
    <xdr:to>
      <xdr:col>9</xdr:col>
      <xdr:colOff>1502873</xdr:colOff>
      <xdr:row>7</xdr:row>
      <xdr:rowOff>94384</xdr:rowOff>
    </xdr:to>
    <xdr:sp macro="" textlink="">
      <xdr:nvSpPr>
        <xdr:cNvPr id="6" name="吹き出し: 四角形 5">
          <a:extLst>
            <a:ext uri="{FF2B5EF4-FFF2-40B4-BE49-F238E27FC236}">
              <a16:creationId xmlns:a16="http://schemas.microsoft.com/office/drawing/2014/main" id="{89459BC8-17BE-C7E8-15DE-D508F856DC38}"/>
            </a:ext>
          </a:extLst>
        </xdr:cNvPr>
        <xdr:cNvSpPr/>
      </xdr:nvSpPr>
      <xdr:spPr>
        <a:xfrm>
          <a:off x="11083636" y="710045"/>
          <a:ext cx="3684964" cy="1618384"/>
        </a:xfrm>
        <a:prstGeom prst="wedgeRectCallout">
          <a:avLst>
            <a:gd name="adj1" fmla="val -27733"/>
            <a:gd name="adj2" fmla="val 9857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活動量（エネルギー使用量）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en-US" altLang="ja-JP" sz="1800">
              <a:solidFill>
                <a:srgbClr val="FF0000"/>
              </a:solidFill>
              <a:latin typeface="Meiryo UI" panose="020B0604030504040204" pitchFamily="50" charset="-128"/>
              <a:ea typeface="Meiryo UI" panose="020B0604030504040204" pitchFamily="50" charset="-128"/>
            </a:rPr>
            <a:t>ETL</a:t>
          </a:r>
          <a:r>
            <a:rPr kumimoji="1" lang="ja-JP" altLang="en-US" sz="1800">
              <a:solidFill>
                <a:srgbClr val="FF0000"/>
              </a:solidFill>
              <a:latin typeface="Meiryo UI" panose="020B0604030504040204" pitchFamily="50" charset="-128"/>
              <a:ea typeface="Meiryo UI" panose="020B0604030504040204" pitchFamily="50" charset="-128"/>
            </a:rPr>
            <a:t>にてタグデータ収集、</a:t>
          </a:r>
          <a:endParaRPr kumimoji="1" lang="en-US" altLang="ja-JP" sz="1800">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または拠点にて直接入力・アップロード</a:t>
          </a:r>
        </a:p>
      </xdr:txBody>
    </xdr:sp>
    <xdr:clientData/>
  </xdr:twoCellAnchor>
  <xdr:twoCellAnchor>
    <xdr:from>
      <xdr:col>10</xdr:col>
      <xdr:colOff>69273</xdr:colOff>
      <xdr:row>0</xdr:row>
      <xdr:rowOff>225135</xdr:rowOff>
    </xdr:from>
    <xdr:to>
      <xdr:col>12</xdr:col>
      <xdr:colOff>1989167</xdr:colOff>
      <xdr:row>8</xdr:row>
      <xdr:rowOff>180109</xdr:rowOff>
    </xdr:to>
    <xdr:sp macro="" textlink="">
      <xdr:nvSpPr>
        <xdr:cNvPr id="7" name="吹き出し: 四角形 6">
          <a:extLst>
            <a:ext uri="{FF2B5EF4-FFF2-40B4-BE49-F238E27FC236}">
              <a16:creationId xmlns:a16="http://schemas.microsoft.com/office/drawing/2014/main" id="{1372943F-1C7E-48CB-9FF8-21A5521640A3}"/>
            </a:ext>
          </a:extLst>
        </xdr:cNvPr>
        <xdr:cNvSpPr/>
      </xdr:nvSpPr>
      <xdr:spPr>
        <a:xfrm>
          <a:off x="15004473" y="225135"/>
          <a:ext cx="4233603" cy="2545774"/>
        </a:xfrm>
        <a:prstGeom prst="wedgeRectCallout">
          <a:avLst>
            <a:gd name="adj1" fmla="val -31493"/>
            <a:gd name="adj2" fmla="val 81309"/>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単位発熱量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温対法</a:t>
          </a:r>
          <a:r>
            <a:rPr kumimoji="1" lang="en-US" altLang="ja-JP" sz="1800">
              <a:solidFill>
                <a:srgbClr val="FF0000"/>
              </a:solidFill>
              <a:latin typeface="Meiryo UI" panose="020B0604030504040204" pitchFamily="50" charset="-128"/>
              <a:ea typeface="Meiryo UI" panose="020B0604030504040204" pitchFamily="50" charset="-128"/>
            </a:rPr>
            <a:t>/SSBJ】</a:t>
          </a:r>
          <a:r>
            <a:rPr kumimoji="1" lang="ja-JP" altLang="en-US" sz="1800">
              <a:solidFill>
                <a:srgbClr val="FF0000"/>
              </a:solidFill>
              <a:latin typeface="Meiryo UI" panose="020B0604030504040204" pitchFamily="50" charset="-128"/>
              <a:ea typeface="Meiryo UI" panose="020B0604030504040204" pitchFamily="50" charset="-128"/>
            </a:rPr>
            <a:t>　本社側で新システムで設定・入力</a:t>
          </a:r>
          <a:endParaRPr kumimoji="1" lang="en-US" altLang="ja-JP" sz="1800">
            <a:solidFill>
              <a:srgbClr val="FF0000"/>
            </a:solidFill>
            <a:latin typeface="Meiryo UI" panose="020B0604030504040204" pitchFamily="50" charset="-128"/>
            <a:ea typeface="Meiryo UI" panose="020B0604030504040204" pitchFamily="50" charset="-128"/>
          </a:endParaRPr>
        </a:p>
        <a:p>
          <a:pPr algn="l"/>
          <a:r>
            <a:rPr kumimoji="1" lang="en-US" altLang="ja-JP" sz="1800">
              <a:solidFill>
                <a:srgbClr val="FF0000"/>
              </a:solidFill>
              <a:latin typeface="Meiryo UI" panose="020B0604030504040204" pitchFamily="50" charset="-128"/>
              <a:ea typeface="Meiryo UI" panose="020B0604030504040204" pitchFamily="50" charset="-128"/>
            </a:rPr>
            <a:t>【GXL】</a:t>
          </a:r>
          <a:r>
            <a:rPr kumimoji="1" lang="ja-JP" altLang="en-US" sz="1800">
              <a:solidFill>
                <a:srgbClr val="FF0000"/>
              </a:solidFill>
              <a:latin typeface="Meiryo UI" panose="020B0604030504040204" pitchFamily="50" charset="-128"/>
              <a:ea typeface="Meiryo UI" panose="020B0604030504040204" pitchFamily="50" charset="-128"/>
            </a:rPr>
            <a:t>　独自係数は</a:t>
          </a:r>
          <a:r>
            <a:rPr kumimoji="1" lang="en-US" altLang="ja-JP" sz="1800">
              <a:solidFill>
                <a:srgbClr val="FF0000"/>
              </a:solidFill>
              <a:latin typeface="Meiryo UI" panose="020B0604030504040204" pitchFamily="50" charset="-128"/>
              <a:ea typeface="Meiryo UI" panose="020B0604030504040204" pitchFamily="50" charset="-128"/>
            </a:rPr>
            <a:t>ETL</a:t>
          </a:r>
          <a:r>
            <a:rPr kumimoji="1" lang="ja-JP" altLang="en-US" sz="1800">
              <a:solidFill>
                <a:srgbClr val="FF0000"/>
              </a:solidFill>
              <a:latin typeface="Meiryo UI" panose="020B0604030504040204" pitchFamily="50" charset="-128"/>
              <a:ea typeface="Meiryo UI" panose="020B0604030504040204" pitchFamily="50" charset="-128"/>
            </a:rPr>
            <a:t>で収集？　温対法係数は報告書で設定済</a:t>
          </a:r>
          <a:endParaRPr kumimoji="1" lang="en-US" altLang="ja-JP" sz="1800">
            <a:solidFill>
              <a:srgbClr val="FF0000"/>
            </a:solidFill>
            <a:latin typeface="Meiryo UI" panose="020B0604030504040204" pitchFamily="50" charset="-128"/>
            <a:ea typeface="Meiryo UI" panose="020B0604030504040204" pitchFamily="50" charset="-128"/>
          </a:endParaRPr>
        </a:p>
        <a:p>
          <a:pPr algn="l"/>
          <a:r>
            <a:rPr kumimoji="1" lang="ja-JP" altLang="en-US" sz="1800" b="1" u="sng">
              <a:solidFill>
                <a:srgbClr val="FF0000"/>
              </a:solidFill>
              <a:latin typeface="Meiryo UI" panose="020B0604030504040204" pitchFamily="50" charset="-128"/>
              <a:ea typeface="Meiryo UI" panose="020B0604030504040204" pitchFamily="50" charset="-128"/>
            </a:rPr>
            <a:t>独自係数のロジックを千葉に確認</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endParaRPr kumimoji="1" lang="ja-JP" altLang="en-US" sz="1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13</xdr:col>
      <xdr:colOff>21648</xdr:colOff>
      <xdr:row>1</xdr:row>
      <xdr:rowOff>313631</xdr:rowOff>
    </xdr:from>
    <xdr:to>
      <xdr:col>15</xdr:col>
      <xdr:colOff>155864</xdr:colOff>
      <xdr:row>6</xdr:row>
      <xdr:rowOff>273452</xdr:rowOff>
    </xdr:to>
    <xdr:sp macro="" textlink="">
      <xdr:nvSpPr>
        <xdr:cNvPr id="8" name="吹き出し: 四角形 7">
          <a:extLst>
            <a:ext uri="{FF2B5EF4-FFF2-40B4-BE49-F238E27FC236}">
              <a16:creationId xmlns:a16="http://schemas.microsoft.com/office/drawing/2014/main" id="{EB57AB80-A125-4496-A05D-B7AC89B29384}"/>
            </a:ext>
          </a:extLst>
        </xdr:cNvPr>
        <xdr:cNvSpPr/>
      </xdr:nvSpPr>
      <xdr:spPr>
        <a:xfrm>
          <a:off x="17253239" y="538767"/>
          <a:ext cx="3667125" cy="1657003"/>
        </a:xfrm>
        <a:prstGeom prst="wedgeRectCallout">
          <a:avLst>
            <a:gd name="adj1" fmla="val -33082"/>
            <a:gd name="adj2" fmla="val 10974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熱量換算値（</a:t>
          </a:r>
          <a:r>
            <a:rPr kumimoji="1" lang="en-US" altLang="ja-JP" sz="1800" b="1" u="sng">
              <a:solidFill>
                <a:srgbClr val="FF0000"/>
              </a:solidFill>
              <a:latin typeface="Meiryo UI" panose="020B0604030504040204" pitchFamily="50" charset="-128"/>
              <a:ea typeface="Meiryo UI" panose="020B0604030504040204" pitchFamily="50" charset="-128"/>
            </a:rPr>
            <a:t>GJ</a:t>
          </a:r>
          <a:r>
            <a:rPr kumimoji="1" lang="ja-JP" altLang="en-US" sz="1800" b="1" u="sng">
              <a:solidFill>
                <a:srgbClr val="FF0000"/>
              </a:solidFill>
              <a:latin typeface="Meiryo UI" panose="020B0604030504040204" pitchFamily="50" charset="-128"/>
              <a:ea typeface="Meiryo UI" panose="020B0604030504040204" pitchFamily="50" charset="-128"/>
            </a:rPr>
            <a:t>）</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計算結果（＝活動量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単位発熱量）</a:t>
          </a:r>
        </a:p>
      </xdr:txBody>
    </xdr:sp>
    <xdr:clientData/>
  </xdr:twoCellAnchor>
  <xdr:twoCellAnchor>
    <xdr:from>
      <xdr:col>17</xdr:col>
      <xdr:colOff>205914</xdr:colOff>
      <xdr:row>1</xdr:row>
      <xdr:rowOff>73082</xdr:rowOff>
    </xdr:from>
    <xdr:to>
      <xdr:col>20</xdr:col>
      <xdr:colOff>175087</xdr:colOff>
      <xdr:row>7</xdr:row>
      <xdr:rowOff>113606</xdr:rowOff>
    </xdr:to>
    <xdr:sp macro="" textlink="">
      <xdr:nvSpPr>
        <xdr:cNvPr id="9" name="吹き出し: 四角形 8">
          <a:extLst>
            <a:ext uri="{FF2B5EF4-FFF2-40B4-BE49-F238E27FC236}">
              <a16:creationId xmlns:a16="http://schemas.microsoft.com/office/drawing/2014/main" id="{1310DB31-F5EF-4CDD-8EBD-7C2E695CA957}"/>
            </a:ext>
          </a:extLst>
        </xdr:cNvPr>
        <xdr:cNvSpPr/>
      </xdr:nvSpPr>
      <xdr:spPr>
        <a:xfrm>
          <a:off x="21836323" y="298218"/>
          <a:ext cx="4004309" cy="2049433"/>
        </a:xfrm>
        <a:prstGeom prst="wedgeRectCallout">
          <a:avLst>
            <a:gd name="adj1" fmla="val -33082"/>
            <a:gd name="adj2" fmla="val 10974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排出係数（基礎・調整後）</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温対法</a:t>
          </a:r>
          <a:r>
            <a:rPr kumimoji="1" lang="en-US" altLang="ja-JP" sz="1800">
              <a:solidFill>
                <a:srgbClr val="FF0000"/>
              </a:solidFill>
              <a:latin typeface="Meiryo UI" panose="020B0604030504040204" pitchFamily="50" charset="-128"/>
              <a:ea typeface="Meiryo UI" panose="020B0604030504040204" pitchFamily="50" charset="-128"/>
            </a:rPr>
            <a:t>/SSBJ】</a:t>
          </a:r>
          <a:r>
            <a:rPr kumimoji="1" lang="ja-JP" altLang="en-US" sz="1800">
              <a:solidFill>
                <a:srgbClr val="FF0000"/>
              </a:solidFill>
              <a:latin typeface="Meiryo UI" panose="020B0604030504040204" pitchFamily="50" charset="-128"/>
              <a:ea typeface="Meiryo UI" panose="020B0604030504040204" pitchFamily="50" charset="-128"/>
            </a:rPr>
            <a:t>　本社側で新システムで設定・入力</a:t>
          </a:r>
        </a:p>
        <a:p>
          <a:pPr algn="l"/>
          <a:r>
            <a:rPr kumimoji="1" lang="en-US" altLang="ja-JP" sz="1800">
              <a:solidFill>
                <a:srgbClr val="FF0000"/>
              </a:solidFill>
              <a:latin typeface="Meiryo UI" panose="020B0604030504040204" pitchFamily="50" charset="-128"/>
              <a:ea typeface="Meiryo UI" panose="020B0604030504040204" pitchFamily="50" charset="-128"/>
            </a:rPr>
            <a:t>【GXL】</a:t>
          </a:r>
          <a:r>
            <a:rPr kumimoji="1" lang="ja-JP" altLang="en-US" sz="1800">
              <a:solidFill>
                <a:srgbClr val="FF0000"/>
              </a:solidFill>
              <a:latin typeface="Meiryo UI" panose="020B0604030504040204" pitchFamily="50" charset="-128"/>
              <a:ea typeface="Meiryo UI" panose="020B0604030504040204" pitchFamily="50" charset="-128"/>
            </a:rPr>
            <a:t>　温対法排出係数は報告書で設定済</a:t>
          </a:r>
        </a:p>
      </xdr:txBody>
    </xdr:sp>
    <xdr:clientData/>
  </xdr:twoCellAnchor>
  <xdr:twoCellAnchor>
    <xdr:from>
      <xdr:col>20</xdr:col>
      <xdr:colOff>473306</xdr:colOff>
      <xdr:row>1</xdr:row>
      <xdr:rowOff>280903</xdr:rowOff>
    </xdr:from>
    <xdr:to>
      <xdr:col>24</xdr:col>
      <xdr:colOff>885132</xdr:colOff>
      <xdr:row>6</xdr:row>
      <xdr:rowOff>204009</xdr:rowOff>
    </xdr:to>
    <xdr:sp macro="" textlink="">
      <xdr:nvSpPr>
        <xdr:cNvPr id="10" name="吹き出し: 四角形 9">
          <a:extLst>
            <a:ext uri="{FF2B5EF4-FFF2-40B4-BE49-F238E27FC236}">
              <a16:creationId xmlns:a16="http://schemas.microsoft.com/office/drawing/2014/main" id="{37B31C24-1742-4D38-A089-2D6455C2D33A}"/>
            </a:ext>
          </a:extLst>
        </xdr:cNvPr>
        <xdr:cNvSpPr/>
      </xdr:nvSpPr>
      <xdr:spPr>
        <a:xfrm>
          <a:off x="31126488" y="506039"/>
          <a:ext cx="6196099" cy="1620288"/>
        </a:xfrm>
        <a:prstGeom prst="wedgeRectCallout">
          <a:avLst>
            <a:gd name="adj1" fmla="val -33082"/>
            <a:gd name="adj2" fmla="val 10974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800" b="1" u="sng">
              <a:solidFill>
                <a:srgbClr val="FF0000"/>
              </a:solidFill>
              <a:latin typeface="Meiryo UI" panose="020B0604030504040204" pitchFamily="50" charset="-128"/>
              <a:ea typeface="Meiryo UI" panose="020B0604030504040204" pitchFamily="50" charset="-128"/>
            </a:rPr>
            <a:t>CO2</a:t>
          </a:r>
          <a:r>
            <a:rPr kumimoji="1" lang="ja-JP" altLang="en-US" sz="1800" b="1" u="sng">
              <a:solidFill>
                <a:srgbClr val="FF0000"/>
              </a:solidFill>
              <a:latin typeface="Meiryo UI" panose="020B0604030504040204" pitchFamily="50" charset="-128"/>
              <a:ea typeface="Meiryo UI" panose="020B0604030504040204" pitchFamily="50" charset="-128"/>
            </a:rPr>
            <a:t>排出量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計算結果</a:t>
          </a:r>
        </a:p>
        <a:p>
          <a:pPr algn="l"/>
          <a:r>
            <a:rPr kumimoji="1" lang="ja-JP" altLang="en-US" sz="1800">
              <a:solidFill>
                <a:srgbClr val="FF0000"/>
              </a:solidFill>
              <a:latin typeface="Meiryo UI" panose="020B0604030504040204" pitchFamily="50" charset="-128"/>
              <a:ea typeface="Meiryo UI" panose="020B0604030504040204" pitchFamily="50" charset="-128"/>
            </a:rPr>
            <a:t>＊活動量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単位発熱量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排出係数（</a:t>
          </a:r>
          <a:r>
            <a:rPr kumimoji="1" lang="en-US" altLang="ja-JP" sz="1800">
              <a:solidFill>
                <a:srgbClr val="FF0000"/>
              </a:solidFill>
              <a:latin typeface="Meiryo UI" panose="020B0604030504040204" pitchFamily="50" charset="-128"/>
              <a:ea typeface="Meiryo UI" panose="020B0604030504040204" pitchFamily="50" charset="-128"/>
            </a:rPr>
            <a:t>tC/GJ</a:t>
          </a:r>
          <a:r>
            <a:rPr kumimoji="1" lang="ja-JP" altLang="en-US" sz="1800">
              <a:solidFill>
                <a:srgbClr val="FF0000"/>
              </a:solidFill>
              <a:latin typeface="Meiryo UI" panose="020B0604030504040204" pitchFamily="50" charset="-128"/>
              <a:ea typeface="Meiryo UI" panose="020B0604030504040204" pitchFamily="50" charset="-128"/>
            </a:rPr>
            <a:t>）</a:t>
          </a:r>
          <a:r>
            <a:rPr kumimoji="1" lang="en-US" altLang="ja-JP" sz="1800">
              <a:solidFill>
                <a:srgbClr val="FF0000"/>
              </a:solidFill>
              <a:latin typeface="Meiryo UI" panose="020B0604030504040204" pitchFamily="50" charset="-128"/>
              <a:ea typeface="Meiryo UI" panose="020B0604030504040204" pitchFamily="50" charset="-128"/>
            </a:rPr>
            <a:t>×44/12</a:t>
          </a:r>
        </a:p>
        <a:p>
          <a:pPr algn="l"/>
          <a:r>
            <a:rPr kumimoji="1" lang="ja-JP" altLang="en-US" sz="1800">
              <a:solidFill>
                <a:srgbClr val="FF0000"/>
              </a:solidFill>
              <a:latin typeface="Meiryo UI" panose="020B0604030504040204" pitchFamily="50" charset="-128"/>
              <a:ea typeface="Meiryo UI" panose="020B0604030504040204" pitchFamily="50" charset="-128"/>
            </a:rPr>
            <a:t>＊活動量（千</a:t>
          </a:r>
          <a:r>
            <a:rPr kumimoji="1" lang="en-US" altLang="ja-JP" sz="1800">
              <a:solidFill>
                <a:srgbClr val="FF0000"/>
              </a:solidFill>
              <a:latin typeface="Meiryo UI" panose="020B0604030504040204" pitchFamily="50" charset="-128"/>
              <a:ea typeface="Meiryo UI" panose="020B0604030504040204" pitchFamily="50" charset="-128"/>
            </a:rPr>
            <a:t>kWh</a:t>
          </a:r>
          <a:r>
            <a:rPr kumimoji="1" lang="ja-JP" altLang="en-US" sz="1800">
              <a:solidFill>
                <a:srgbClr val="FF0000"/>
              </a:solidFill>
              <a:latin typeface="Meiryo UI" panose="020B0604030504040204" pitchFamily="50" charset="-128"/>
              <a:ea typeface="Meiryo UI" panose="020B0604030504040204" pitchFamily="50" charset="-128"/>
            </a:rPr>
            <a:t>）</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排出係数（</a:t>
          </a:r>
          <a:r>
            <a:rPr kumimoji="1" lang="en-US" altLang="ja-JP" sz="1800">
              <a:solidFill>
                <a:srgbClr val="FF0000"/>
              </a:solidFill>
              <a:latin typeface="Meiryo UI" panose="020B0604030504040204" pitchFamily="50" charset="-128"/>
              <a:ea typeface="Meiryo UI" panose="020B0604030504040204" pitchFamily="50" charset="-128"/>
            </a:rPr>
            <a:t>tCO2/</a:t>
          </a:r>
          <a:r>
            <a:rPr kumimoji="1" lang="ja-JP" altLang="en-US" sz="1800">
              <a:solidFill>
                <a:srgbClr val="FF0000"/>
              </a:solidFill>
              <a:latin typeface="Meiryo UI" panose="020B0604030504040204" pitchFamily="50" charset="-128"/>
              <a:ea typeface="Meiryo UI" panose="020B0604030504040204" pitchFamily="50" charset="-128"/>
            </a:rPr>
            <a:t>千</a:t>
          </a:r>
          <a:r>
            <a:rPr kumimoji="1" lang="en-US" altLang="ja-JP" sz="1800">
              <a:solidFill>
                <a:srgbClr val="FF0000"/>
              </a:solidFill>
              <a:latin typeface="Meiryo UI" panose="020B0604030504040204" pitchFamily="50" charset="-128"/>
              <a:ea typeface="Meiryo UI" panose="020B0604030504040204" pitchFamily="50" charset="-128"/>
            </a:rPr>
            <a:t>kWh</a:t>
          </a:r>
          <a:r>
            <a:rPr kumimoji="1" lang="ja-JP" altLang="en-US" sz="1800">
              <a:solidFill>
                <a:srgbClr val="FF0000"/>
              </a:solidFill>
              <a:latin typeface="Meiryo UI" panose="020B0604030504040204" pitchFamily="50" charset="-128"/>
              <a:ea typeface="Meiryo UI" panose="020B0604030504040204" pitchFamily="50" charset="-128"/>
            </a:rPr>
            <a:t>）</a:t>
          </a:r>
          <a:endParaRPr kumimoji="1" lang="en-US" altLang="ja-JP" sz="1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32</xdr:col>
      <xdr:colOff>188249</xdr:colOff>
      <xdr:row>2</xdr:row>
      <xdr:rowOff>51955</xdr:rowOff>
    </xdr:from>
    <xdr:to>
      <xdr:col>35</xdr:col>
      <xdr:colOff>121227</xdr:colOff>
      <xdr:row>7</xdr:row>
      <xdr:rowOff>109798</xdr:rowOff>
    </xdr:to>
    <xdr:sp macro="" textlink="">
      <xdr:nvSpPr>
        <xdr:cNvPr id="11" name="吹き出し: 四角形 10">
          <a:extLst>
            <a:ext uri="{FF2B5EF4-FFF2-40B4-BE49-F238E27FC236}">
              <a16:creationId xmlns:a16="http://schemas.microsoft.com/office/drawing/2014/main" id="{9B5CB3D3-DB9E-4ABA-B8CF-3A845F7667C0}"/>
            </a:ext>
          </a:extLst>
        </xdr:cNvPr>
        <xdr:cNvSpPr/>
      </xdr:nvSpPr>
      <xdr:spPr>
        <a:xfrm>
          <a:off x="52696976" y="727364"/>
          <a:ext cx="4141296" cy="1616479"/>
        </a:xfrm>
        <a:prstGeom prst="wedgeRectCallout">
          <a:avLst>
            <a:gd name="adj1" fmla="val 45053"/>
            <a:gd name="adj2" fmla="val 94283"/>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活動量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en-US" altLang="ja-JP" sz="1800">
              <a:solidFill>
                <a:srgbClr val="FF0000"/>
              </a:solidFill>
              <a:latin typeface="Meiryo UI" panose="020B0604030504040204" pitchFamily="50" charset="-128"/>
              <a:ea typeface="Meiryo UI" panose="020B0604030504040204" pitchFamily="50" charset="-128"/>
            </a:rPr>
            <a:t>ETL</a:t>
          </a:r>
          <a:r>
            <a:rPr kumimoji="1" lang="ja-JP" altLang="en-US" sz="1800">
              <a:solidFill>
                <a:srgbClr val="FF0000"/>
              </a:solidFill>
              <a:latin typeface="Meiryo UI" panose="020B0604030504040204" pitchFamily="50" charset="-128"/>
              <a:ea typeface="Meiryo UI" panose="020B0604030504040204" pitchFamily="50" charset="-128"/>
            </a:rPr>
            <a:t>にてタグデータ収集、</a:t>
          </a:r>
          <a:endParaRPr kumimoji="1" lang="en-US" altLang="ja-JP" sz="1800">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または拠点にて直接入力・アップロード</a:t>
          </a:r>
        </a:p>
      </xdr:txBody>
    </xdr:sp>
    <xdr:clientData/>
  </xdr:twoCellAnchor>
  <xdr:twoCellAnchor>
    <xdr:from>
      <xdr:col>36</xdr:col>
      <xdr:colOff>244359</xdr:colOff>
      <xdr:row>2</xdr:row>
      <xdr:rowOff>207818</xdr:rowOff>
    </xdr:from>
    <xdr:to>
      <xdr:col>39</xdr:col>
      <xdr:colOff>746587</xdr:colOff>
      <xdr:row>7</xdr:row>
      <xdr:rowOff>1904</xdr:rowOff>
    </xdr:to>
    <xdr:sp macro="" textlink="">
      <xdr:nvSpPr>
        <xdr:cNvPr id="12" name="吹き出し: 四角形 11">
          <a:extLst>
            <a:ext uri="{FF2B5EF4-FFF2-40B4-BE49-F238E27FC236}">
              <a16:creationId xmlns:a16="http://schemas.microsoft.com/office/drawing/2014/main" id="{4EC2F766-F073-4621-B1B6-26DB27FBF54F}"/>
            </a:ext>
          </a:extLst>
        </xdr:cNvPr>
        <xdr:cNvSpPr/>
      </xdr:nvSpPr>
      <xdr:spPr>
        <a:xfrm>
          <a:off x="53168723" y="883227"/>
          <a:ext cx="3255819" cy="1352722"/>
        </a:xfrm>
        <a:prstGeom prst="wedgeRectCallout">
          <a:avLst>
            <a:gd name="adj1" fmla="val -7568"/>
            <a:gd name="adj2" fmla="val 10313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単位発熱量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本社側で新システムで設定・入力</a:t>
          </a:r>
          <a:endParaRPr kumimoji="1" lang="en-US" altLang="ja-JP" sz="1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40</xdr:col>
      <xdr:colOff>90400</xdr:colOff>
      <xdr:row>2</xdr:row>
      <xdr:rowOff>211629</xdr:rowOff>
    </xdr:from>
    <xdr:to>
      <xdr:col>43</xdr:col>
      <xdr:colOff>309822</xdr:colOff>
      <xdr:row>7</xdr:row>
      <xdr:rowOff>0</xdr:rowOff>
    </xdr:to>
    <xdr:sp macro="" textlink="">
      <xdr:nvSpPr>
        <xdr:cNvPr id="13" name="吹き出し: 四角形 12">
          <a:extLst>
            <a:ext uri="{FF2B5EF4-FFF2-40B4-BE49-F238E27FC236}">
              <a16:creationId xmlns:a16="http://schemas.microsoft.com/office/drawing/2014/main" id="{A89B8655-68E9-456C-ABED-52DCA27DFD0F}"/>
            </a:ext>
          </a:extLst>
        </xdr:cNvPr>
        <xdr:cNvSpPr/>
      </xdr:nvSpPr>
      <xdr:spPr>
        <a:xfrm>
          <a:off x="56651582" y="887038"/>
          <a:ext cx="3250104" cy="1347007"/>
        </a:xfrm>
        <a:prstGeom prst="wedgeRectCallout">
          <a:avLst>
            <a:gd name="adj1" fmla="val -29377"/>
            <a:gd name="adj2" fmla="val 10313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排出係数</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本社側で新システムで設定・入力</a:t>
          </a:r>
          <a:endParaRPr kumimoji="1" lang="en-US" altLang="ja-JP" sz="1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43</xdr:col>
      <xdr:colOff>386714</xdr:colOff>
      <xdr:row>2</xdr:row>
      <xdr:rowOff>192405</xdr:rowOff>
    </xdr:from>
    <xdr:to>
      <xdr:col>45</xdr:col>
      <xdr:colOff>484909</xdr:colOff>
      <xdr:row>7</xdr:row>
      <xdr:rowOff>40350</xdr:rowOff>
    </xdr:to>
    <xdr:sp macro="" textlink="">
      <xdr:nvSpPr>
        <xdr:cNvPr id="14" name="吹き出し: 四角形 13">
          <a:extLst>
            <a:ext uri="{FF2B5EF4-FFF2-40B4-BE49-F238E27FC236}">
              <a16:creationId xmlns:a16="http://schemas.microsoft.com/office/drawing/2014/main" id="{379FFDE5-34E0-4A0F-84ED-93044F7F78DC}"/>
            </a:ext>
          </a:extLst>
        </xdr:cNvPr>
        <xdr:cNvSpPr/>
      </xdr:nvSpPr>
      <xdr:spPr>
        <a:xfrm>
          <a:off x="59978578" y="867814"/>
          <a:ext cx="2747876" cy="1406581"/>
        </a:xfrm>
        <a:prstGeom prst="wedgeRectCallout">
          <a:avLst>
            <a:gd name="adj1" fmla="val -33082"/>
            <a:gd name="adj2" fmla="val 10974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温室効果ガス排出量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計算結果（＝活動量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単位発熱量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排出係数）</a:t>
          </a:r>
        </a:p>
      </xdr:txBody>
    </xdr:sp>
    <xdr:clientData/>
  </xdr:twoCellAnchor>
  <xdr:twoCellAnchor>
    <xdr:from>
      <xdr:col>45</xdr:col>
      <xdr:colOff>713857</xdr:colOff>
      <xdr:row>2</xdr:row>
      <xdr:rowOff>278996</xdr:rowOff>
    </xdr:from>
    <xdr:to>
      <xdr:col>48</xdr:col>
      <xdr:colOff>794733</xdr:colOff>
      <xdr:row>7</xdr:row>
      <xdr:rowOff>57842</xdr:rowOff>
    </xdr:to>
    <xdr:sp macro="" textlink="">
      <xdr:nvSpPr>
        <xdr:cNvPr id="15" name="吹き出し: 四角形 14">
          <a:extLst>
            <a:ext uri="{FF2B5EF4-FFF2-40B4-BE49-F238E27FC236}">
              <a16:creationId xmlns:a16="http://schemas.microsoft.com/office/drawing/2014/main" id="{BD31BAE3-378F-43DF-A32E-EAADDCFCD8B6}"/>
            </a:ext>
          </a:extLst>
        </xdr:cNvPr>
        <xdr:cNvSpPr/>
      </xdr:nvSpPr>
      <xdr:spPr>
        <a:xfrm>
          <a:off x="68254766" y="954405"/>
          <a:ext cx="3250103" cy="1337482"/>
        </a:xfrm>
        <a:prstGeom prst="wedgeRectCallout">
          <a:avLst>
            <a:gd name="adj1" fmla="val -29377"/>
            <a:gd name="adj2" fmla="val 103135"/>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地球温暖化係数</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本社側で新システムで設定・入力</a:t>
          </a:r>
          <a:endParaRPr kumimoji="1" lang="en-US" altLang="ja-JP" sz="1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48</xdr:col>
      <xdr:colOff>1121871</xdr:colOff>
      <xdr:row>2</xdr:row>
      <xdr:rowOff>134735</xdr:rowOff>
    </xdr:from>
    <xdr:to>
      <xdr:col>52</xdr:col>
      <xdr:colOff>175087</xdr:colOff>
      <xdr:row>6</xdr:row>
      <xdr:rowOff>298217</xdr:rowOff>
    </xdr:to>
    <xdr:sp macro="" textlink="">
      <xdr:nvSpPr>
        <xdr:cNvPr id="16" name="吹き出し: 四角形 15">
          <a:extLst>
            <a:ext uri="{FF2B5EF4-FFF2-40B4-BE49-F238E27FC236}">
              <a16:creationId xmlns:a16="http://schemas.microsoft.com/office/drawing/2014/main" id="{DDFA185A-71A9-4325-973A-7C4E9DEAC9C6}"/>
            </a:ext>
          </a:extLst>
        </xdr:cNvPr>
        <xdr:cNvSpPr/>
      </xdr:nvSpPr>
      <xdr:spPr>
        <a:xfrm>
          <a:off x="71832007" y="810144"/>
          <a:ext cx="3625216" cy="1410391"/>
        </a:xfrm>
        <a:prstGeom prst="wedgeRectCallout">
          <a:avLst>
            <a:gd name="adj1" fmla="val -53624"/>
            <a:gd name="adj2" fmla="val 113426"/>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800" b="1" u="sng">
              <a:solidFill>
                <a:srgbClr val="FF0000"/>
              </a:solidFill>
              <a:latin typeface="Meiryo UI" panose="020B0604030504040204" pitchFamily="50" charset="-128"/>
              <a:ea typeface="Meiryo UI" panose="020B0604030504040204" pitchFamily="50" charset="-128"/>
            </a:rPr>
            <a:t>CO2</a:t>
          </a:r>
          <a:r>
            <a:rPr kumimoji="1" lang="ja-JP" altLang="en-US" sz="1800" b="1" u="sng">
              <a:solidFill>
                <a:srgbClr val="FF0000"/>
              </a:solidFill>
              <a:latin typeface="Meiryo UI" panose="020B0604030504040204" pitchFamily="50" charset="-128"/>
              <a:ea typeface="Meiryo UI" panose="020B0604030504040204" pitchFamily="50" charset="-128"/>
            </a:rPr>
            <a:t>換算温室効果ガス排出量</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計算結果（＝温室効果ガス排出量</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地球温暖化係数）</a:t>
          </a:r>
        </a:p>
      </xdr:txBody>
    </xdr:sp>
    <xdr:clientData/>
  </xdr:twoCellAnchor>
  <xdr:twoCellAnchor>
    <xdr:from>
      <xdr:col>15</xdr:col>
      <xdr:colOff>155864</xdr:colOff>
      <xdr:row>1</xdr:row>
      <xdr:rowOff>334761</xdr:rowOff>
    </xdr:from>
    <xdr:to>
      <xdr:col>17</xdr:col>
      <xdr:colOff>21129</xdr:colOff>
      <xdr:row>6</xdr:row>
      <xdr:rowOff>290772</xdr:rowOff>
    </xdr:to>
    <xdr:sp macro="" textlink="">
      <xdr:nvSpPr>
        <xdr:cNvPr id="17" name="吹き出し: 四角形 16">
          <a:extLst>
            <a:ext uri="{FF2B5EF4-FFF2-40B4-BE49-F238E27FC236}">
              <a16:creationId xmlns:a16="http://schemas.microsoft.com/office/drawing/2014/main" id="{CA5C4CC9-FC0D-4795-BFB0-C21724ABDEFB}"/>
            </a:ext>
          </a:extLst>
        </xdr:cNvPr>
        <xdr:cNvSpPr/>
      </xdr:nvSpPr>
      <xdr:spPr>
        <a:xfrm>
          <a:off x="20920364" y="559897"/>
          <a:ext cx="3398174" cy="1653193"/>
        </a:xfrm>
        <a:prstGeom prst="wedgeRectCallout">
          <a:avLst>
            <a:gd name="adj1" fmla="val -33082"/>
            <a:gd name="adj2" fmla="val 109742"/>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1" u="sng">
              <a:solidFill>
                <a:srgbClr val="FF0000"/>
              </a:solidFill>
              <a:latin typeface="Meiryo UI" panose="020B0604030504040204" pitchFamily="50" charset="-128"/>
              <a:ea typeface="Meiryo UI" panose="020B0604030504040204" pitchFamily="50" charset="-128"/>
            </a:rPr>
            <a:t>原油換算値（</a:t>
          </a:r>
          <a:r>
            <a:rPr kumimoji="1" lang="en-US" altLang="ja-JP" sz="1800" b="1" u="sng">
              <a:solidFill>
                <a:srgbClr val="FF0000"/>
              </a:solidFill>
              <a:latin typeface="Meiryo UI" panose="020B0604030504040204" pitchFamily="50" charset="-128"/>
              <a:ea typeface="Meiryo UI" panose="020B0604030504040204" pitchFamily="50" charset="-128"/>
            </a:rPr>
            <a:t>KL</a:t>
          </a:r>
          <a:r>
            <a:rPr kumimoji="1" lang="ja-JP" altLang="en-US" sz="1800" b="1" u="sng">
              <a:solidFill>
                <a:srgbClr val="FF0000"/>
              </a:solidFill>
              <a:latin typeface="Meiryo UI" panose="020B0604030504040204" pitchFamily="50" charset="-128"/>
              <a:ea typeface="Meiryo UI" panose="020B0604030504040204" pitchFamily="50" charset="-128"/>
            </a:rPr>
            <a:t>）</a:t>
          </a:r>
          <a:endParaRPr kumimoji="1" lang="en-US" altLang="ja-JP" sz="1800" b="1" u="sng">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計算結果（＝熱量換算値</a:t>
          </a:r>
          <a:r>
            <a:rPr kumimoji="1" lang="en-US" altLang="ja-JP" sz="1800">
              <a:solidFill>
                <a:srgbClr val="FF0000"/>
              </a:solidFill>
              <a:latin typeface="Meiryo UI" panose="020B0604030504040204" pitchFamily="50" charset="-128"/>
              <a:ea typeface="Meiryo UI" panose="020B0604030504040204" pitchFamily="50" charset="-128"/>
            </a:rPr>
            <a:t>×0.258</a:t>
          </a:r>
          <a:r>
            <a:rPr kumimoji="1" lang="ja-JP" altLang="en-US" sz="1800">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1</xdr:col>
      <xdr:colOff>346364</xdr:colOff>
      <xdr:row>4</xdr:row>
      <xdr:rowOff>126942</xdr:rowOff>
    </xdr:from>
    <xdr:to>
      <xdr:col>3</xdr:col>
      <xdr:colOff>3221182</xdr:colOff>
      <xdr:row>7</xdr:row>
      <xdr:rowOff>205915</xdr:rowOff>
    </xdr:to>
    <xdr:sp macro="" textlink="">
      <xdr:nvSpPr>
        <xdr:cNvPr id="18" name="吹き出し: 四角形 17">
          <a:extLst>
            <a:ext uri="{FF2B5EF4-FFF2-40B4-BE49-F238E27FC236}">
              <a16:creationId xmlns:a16="http://schemas.microsoft.com/office/drawing/2014/main" id="{C766C0E6-9091-4C82-9166-2980AECB8D7A}"/>
            </a:ext>
          </a:extLst>
        </xdr:cNvPr>
        <xdr:cNvSpPr/>
      </xdr:nvSpPr>
      <xdr:spPr>
        <a:xfrm>
          <a:off x="1021773" y="1425806"/>
          <a:ext cx="4710545" cy="1014154"/>
        </a:xfrm>
        <a:prstGeom prst="wedgeRectCallout">
          <a:avLst>
            <a:gd name="adj1" fmla="val -27733"/>
            <a:gd name="adj2" fmla="val 9857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a:solidFill>
                <a:srgbClr val="FF0000"/>
              </a:solidFill>
              <a:latin typeface="Meiryo UI" panose="020B0604030504040204" pitchFamily="50" charset="-128"/>
              <a:ea typeface="Meiryo UI" panose="020B0604030504040204" pitchFamily="50" charset="-128"/>
            </a:rPr>
            <a:t>データ項目毎の開示対象</a:t>
          </a:r>
          <a:endParaRPr kumimoji="1" lang="en-US" altLang="ja-JP" sz="1800">
            <a:solidFill>
              <a:srgbClr val="FF0000"/>
            </a:solidFill>
            <a:latin typeface="Meiryo UI" panose="020B0604030504040204" pitchFamily="50" charset="-128"/>
            <a:ea typeface="Meiryo UI" panose="020B0604030504040204" pitchFamily="50" charset="-128"/>
          </a:endParaRPr>
        </a:p>
        <a:p>
          <a:pPr algn="l"/>
          <a:r>
            <a:rPr kumimoji="1" lang="ja-JP" altLang="en-US" sz="1800">
              <a:solidFill>
                <a:srgbClr val="FF0000"/>
              </a:solidFill>
              <a:latin typeface="Meiryo UI" panose="020B0604030504040204" pitchFamily="50" charset="-128"/>
              <a:ea typeface="Meiryo UI" panose="020B0604030504040204" pitchFamily="50" charset="-128"/>
            </a:rPr>
            <a:t>（「</a:t>
          </a:r>
          <a:r>
            <a:rPr kumimoji="1" lang="en-US" altLang="ja-JP" sz="1800">
              <a:solidFill>
                <a:srgbClr val="FF0000"/>
              </a:solidFill>
              <a:latin typeface="Meiryo UI" panose="020B0604030504040204" pitchFamily="50" charset="-128"/>
              <a:ea typeface="Meiryo UI" panose="020B0604030504040204" pitchFamily="50" charset="-128"/>
            </a:rPr>
            <a:t>【</a:t>
          </a:r>
          <a:r>
            <a:rPr kumimoji="1" lang="ja-JP" altLang="en-US" sz="1800">
              <a:solidFill>
                <a:srgbClr val="FF0000"/>
              </a:solidFill>
              <a:latin typeface="Meiryo UI" panose="020B0604030504040204" pitchFamily="50" charset="-128"/>
              <a:ea typeface="Meiryo UI" panose="020B0604030504040204" pitchFamily="50" charset="-128"/>
            </a:rPr>
            <a:t>参考</a:t>
          </a:r>
          <a:r>
            <a:rPr kumimoji="1" lang="en-US" altLang="ja-JP" sz="1800">
              <a:solidFill>
                <a:srgbClr val="FF0000"/>
              </a:solidFill>
              <a:latin typeface="Meiryo UI" panose="020B0604030504040204" pitchFamily="50" charset="-128"/>
              <a:ea typeface="Meiryo UI" panose="020B0604030504040204" pitchFamily="50" charset="-128"/>
            </a:rPr>
            <a:t>】GGX</a:t>
          </a:r>
          <a:r>
            <a:rPr kumimoji="1" lang="ja-JP" altLang="en-US" sz="1800">
              <a:solidFill>
                <a:srgbClr val="FF0000"/>
              </a:solidFill>
              <a:latin typeface="Meiryo UI" panose="020B0604030504040204" pitchFamily="50" charset="-128"/>
              <a:ea typeface="Meiryo UI" panose="020B0604030504040204" pitchFamily="50" charset="-128"/>
            </a:rPr>
            <a:t>」は、</a:t>
          </a:r>
          <a:r>
            <a:rPr kumimoji="1" lang="en-US" altLang="ja-JP" sz="1800">
              <a:solidFill>
                <a:srgbClr val="FF0000"/>
              </a:solidFill>
              <a:latin typeface="Meiryo UI" panose="020B0604030504040204" pitchFamily="50" charset="-128"/>
              <a:ea typeface="Meiryo UI" panose="020B0604030504040204" pitchFamily="50" charset="-128"/>
            </a:rPr>
            <a:t>FY2023</a:t>
          </a:r>
          <a:r>
            <a:rPr kumimoji="1" lang="ja-JP" altLang="en-US" sz="1800">
              <a:solidFill>
                <a:srgbClr val="FF0000"/>
              </a:solidFill>
              <a:latin typeface="Meiryo UI" panose="020B0604030504040204" pitchFamily="50" charset="-128"/>
              <a:ea typeface="Meiryo UI" panose="020B0604030504040204" pitchFamily="50" charset="-128"/>
            </a:rPr>
            <a:t>の</a:t>
          </a:r>
          <a:r>
            <a:rPr kumimoji="1" lang="en-US" altLang="ja-JP" sz="1800">
              <a:solidFill>
                <a:srgbClr val="FF0000"/>
              </a:solidFill>
              <a:latin typeface="Meiryo UI" panose="020B0604030504040204" pitchFamily="50" charset="-128"/>
              <a:ea typeface="Meiryo UI" panose="020B0604030504040204" pitchFamily="50" charset="-128"/>
            </a:rPr>
            <a:t>GGX</a:t>
          </a:r>
          <a:r>
            <a:rPr kumimoji="1" lang="ja-JP" altLang="en-US" sz="1800">
              <a:solidFill>
                <a:srgbClr val="FF0000"/>
              </a:solidFill>
              <a:latin typeface="Meiryo UI" panose="020B0604030504040204" pitchFamily="50" charset="-128"/>
              <a:ea typeface="Meiryo UI" panose="020B0604030504040204" pitchFamily="50" charset="-128"/>
            </a:rPr>
            <a:t>による収集項目）</a:t>
          </a:r>
        </a:p>
      </xdr:txBody>
    </xdr:sp>
    <xdr:clientData/>
  </xdr:twoCellAnchor>
  <xdr:twoCellAnchor>
    <xdr:from>
      <xdr:col>4</xdr:col>
      <xdr:colOff>827463</xdr:colOff>
      <xdr:row>4</xdr:row>
      <xdr:rowOff>67366</xdr:rowOff>
    </xdr:from>
    <xdr:to>
      <xdr:col>6</xdr:col>
      <xdr:colOff>1474125</xdr:colOff>
      <xdr:row>7</xdr:row>
      <xdr:rowOff>244359</xdr:rowOff>
    </xdr:to>
    <xdr:sp macro="" textlink="">
      <xdr:nvSpPr>
        <xdr:cNvPr id="19" name="吹き出し: 四角形 18">
          <a:extLst>
            <a:ext uri="{FF2B5EF4-FFF2-40B4-BE49-F238E27FC236}">
              <a16:creationId xmlns:a16="http://schemas.microsoft.com/office/drawing/2014/main" id="{020CBA65-1B6C-425F-B9F4-31AB311EA58D}"/>
            </a:ext>
          </a:extLst>
        </xdr:cNvPr>
        <xdr:cNvSpPr/>
      </xdr:nvSpPr>
      <xdr:spPr>
        <a:xfrm>
          <a:off x="6819554" y="1366230"/>
          <a:ext cx="3937116" cy="1112174"/>
        </a:xfrm>
        <a:prstGeom prst="wedgeRectCallout">
          <a:avLst>
            <a:gd name="adj1" fmla="val 36959"/>
            <a:gd name="adj2" fmla="val 98908"/>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800" b="0" i="1" u="none">
              <a:solidFill>
                <a:srgbClr val="FF0000"/>
              </a:solidFill>
              <a:latin typeface="Meiryo UI" panose="020B0604030504040204" pitchFamily="50" charset="-128"/>
              <a:ea typeface="Meiryo UI" panose="020B0604030504040204" pitchFamily="50" charset="-128"/>
            </a:rPr>
            <a:t>タグデータの使用については、今後、製油所等にヒアリングして精査する必要あり。</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110836</xdr:colOff>
      <xdr:row>2</xdr:row>
      <xdr:rowOff>68580</xdr:rowOff>
    </xdr:from>
    <xdr:to>
      <xdr:col>11</xdr:col>
      <xdr:colOff>617845</xdr:colOff>
      <xdr:row>45</xdr:row>
      <xdr:rowOff>218470</xdr:rowOff>
    </xdr:to>
    <xdr:grpSp>
      <xdr:nvGrpSpPr>
        <xdr:cNvPr id="6" name="グループ化 5">
          <a:extLst>
            <a:ext uri="{FF2B5EF4-FFF2-40B4-BE49-F238E27FC236}">
              <a16:creationId xmlns:a16="http://schemas.microsoft.com/office/drawing/2014/main" id="{71BECC28-B228-01BD-66AB-EE60E1489B35}"/>
            </a:ext>
          </a:extLst>
        </xdr:cNvPr>
        <xdr:cNvGrpSpPr/>
      </xdr:nvGrpSpPr>
      <xdr:grpSpPr>
        <a:xfrm>
          <a:off x="794395" y="539227"/>
          <a:ext cx="7342597" cy="10268802"/>
          <a:chOff x="775854" y="539635"/>
          <a:chExt cx="7157191" cy="10277562"/>
        </a:xfrm>
      </xdr:grpSpPr>
      <xdr:pic>
        <xdr:nvPicPr>
          <xdr:cNvPr id="2" name="図 1">
            <a:extLst>
              <a:ext uri="{FF2B5EF4-FFF2-40B4-BE49-F238E27FC236}">
                <a16:creationId xmlns:a16="http://schemas.microsoft.com/office/drawing/2014/main" id="{A78EDAB2-2CFB-E71F-2F7B-CCD6941FCF75}"/>
              </a:ext>
            </a:extLst>
          </xdr:cNvPr>
          <xdr:cNvPicPr>
            <a:picLocks noChangeAspect="1"/>
          </xdr:cNvPicPr>
        </xdr:nvPicPr>
        <xdr:blipFill>
          <a:blip xmlns:r="http://schemas.openxmlformats.org/officeDocument/2006/relationships" r:embed="rId1"/>
          <a:stretch>
            <a:fillRect/>
          </a:stretch>
        </xdr:blipFill>
        <xdr:spPr>
          <a:xfrm>
            <a:off x="779318" y="539635"/>
            <a:ext cx="7153727" cy="7248615"/>
          </a:xfrm>
          <a:prstGeom prst="rect">
            <a:avLst/>
          </a:prstGeom>
        </xdr:spPr>
      </xdr:pic>
      <xdr:pic>
        <xdr:nvPicPr>
          <xdr:cNvPr id="3" name="図 2">
            <a:extLst>
              <a:ext uri="{FF2B5EF4-FFF2-40B4-BE49-F238E27FC236}">
                <a16:creationId xmlns:a16="http://schemas.microsoft.com/office/drawing/2014/main" id="{F086FCB2-9C17-B39D-9734-BFC3B2C5A0DF}"/>
              </a:ext>
            </a:extLst>
          </xdr:cNvPr>
          <xdr:cNvPicPr>
            <a:picLocks noChangeAspect="1"/>
          </xdr:cNvPicPr>
        </xdr:nvPicPr>
        <xdr:blipFill>
          <a:blip xmlns:r="http://schemas.openxmlformats.org/officeDocument/2006/relationships" r:embed="rId2"/>
          <a:stretch>
            <a:fillRect/>
          </a:stretch>
        </xdr:blipFill>
        <xdr:spPr>
          <a:xfrm>
            <a:off x="775854" y="7716982"/>
            <a:ext cx="7115623" cy="3100215"/>
          </a:xfrm>
          <a:prstGeom prst="rect">
            <a:avLst/>
          </a:prstGeom>
        </xdr:spPr>
      </xdr:pic>
    </xdr:grpSp>
    <xdr:clientData/>
  </xdr:twoCellAnchor>
  <xdr:twoCellAnchor>
    <xdr:from>
      <xdr:col>13</xdr:col>
      <xdr:colOff>124691</xdr:colOff>
      <xdr:row>2</xdr:row>
      <xdr:rowOff>110837</xdr:rowOff>
    </xdr:from>
    <xdr:to>
      <xdr:col>23</xdr:col>
      <xdr:colOff>582511</xdr:colOff>
      <xdr:row>40</xdr:row>
      <xdr:rowOff>52117</xdr:rowOff>
    </xdr:to>
    <xdr:grpSp>
      <xdr:nvGrpSpPr>
        <xdr:cNvPr id="7" name="グループ化 6">
          <a:extLst>
            <a:ext uri="{FF2B5EF4-FFF2-40B4-BE49-F238E27FC236}">
              <a16:creationId xmlns:a16="http://schemas.microsoft.com/office/drawing/2014/main" id="{7D076C6A-E3EF-12C4-C99A-686A1EFD97F4}"/>
            </a:ext>
          </a:extLst>
        </xdr:cNvPr>
        <xdr:cNvGrpSpPr/>
      </xdr:nvGrpSpPr>
      <xdr:grpSpPr>
        <a:xfrm>
          <a:off x="9010956" y="581484"/>
          <a:ext cx="7293408" cy="8883574"/>
          <a:chOff x="9310255" y="471055"/>
          <a:chExt cx="7108002" cy="8891316"/>
        </a:xfrm>
      </xdr:grpSpPr>
      <xdr:pic>
        <xdr:nvPicPr>
          <xdr:cNvPr id="4" name="図 3">
            <a:extLst>
              <a:ext uri="{FF2B5EF4-FFF2-40B4-BE49-F238E27FC236}">
                <a16:creationId xmlns:a16="http://schemas.microsoft.com/office/drawing/2014/main" id="{96043576-CCB2-B9CF-A389-84AEEC6B75ED}"/>
              </a:ext>
            </a:extLst>
          </xdr:cNvPr>
          <xdr:cNvPicPr>
            <a:picLocks noChangeAspect="1"/>
          </xdr:cNvPicPr>
        </xdr:nvPicPr>
        <xdr:blipFill>
          <a:blip xmlns:r="http://schemas.openxmlformats.org/officeDocument/2006/relationships" r:embed="rId3"/>
          <a:stretch>
            <a:fillRect/>
          </a:stretch>
        </xdr:blipFill>
        <xdr:spPr>
          <a:xfrm>
            <a:off x="9310255" y="471055"/>
            <a:ext cx="7108002" cy="6990898"/>
          </a:xfrm>
          <a:prstGeom prst="rect">
            <a:avLst/>
          </a:prstGeom>
        </xdr:spPr>
      </xdr:pic>
      <xdr:pic>
        <xdr:nvPicPr>
          <xdr:cNvPr id="5" name="図 4">
            <a:extLst>
              <a:ext uri="{FF2B5EF4-FFF2-40B4-BE49-F238E27FC236}">
                <a16:creationId xmlns:a16="http://schemas.microsoft.com/office/drawing/2014/main" id="{A630E3C7-3076-2A29-1DF8-E8FC5CFF6559}"/>
              </a:ext>
            </a:extLst>
          </xdr:cNvPr>
          <xdr:cNvPicPr>
            <a:picLocks noChangeAspect="1"/>
          </xdr:cNvPicPr>
        </xdr:nvPicPr>
        <xdr:blipFill>
          <a:blip xmlns:r="http://schemas.openxmlformats.org/officeDocument/2006/relationships" r:embed="rId4"/>
          <a:stretch>
            <a:fillRect/>
          </a:stretch>
        </xdr:blipFill>
        <xdr:spPr>
          <a:xfrm>
            <a:off x="9310255" y="7439891"/>
            <a:ext cx="7108002" cy="1922480"/>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ox\&#65339;&#31038;&#22806;&#65341;GX&#12522;&#12540;&#12464;&#65288;&#20986;&#20809;&#12464;&#12523;&#12540;&#12503;&#29992;&#65289;\GX&#12522;&#12540;&#12464;%20&#35069;&#27833;&#25152;&#12539;&#20107;&#26989;&#25152;\GX&#12522;&#12540;&#12464;%20&#21271;&#28023;&#36947;&#35069;&#27833;&#25152;\2023&#24180;&#24230;%20&#25490;&#20986;&#37327;&#23455;&#32318;&#22577;&#21578;\02%20&#25552;&#20986;&#12501;&#12449;&#12452;&#12523;\&#27096;&#24335;5_&#25490;&#20986;&#37327;&#23455;&#32318;&#22577;&#21578;%20&#20837;&#21147;&#29992;&#12501;&#12449;&#12452;&#12523;&#65288;&#21271;&#28023;&#36947;&#35069;&#27833;&#25152;&#65289;&#12540;&#38750;&#12456;&#12493;&#12523;&#12462;&#12540;&#36215;&#28304;CO2&#12289;&#20182;GHG%20rev2.xlsx" TargetMode="External"/><Relationship Id="rId1" Type="http://schemas.openxmlformats.org/officeDocument/2006/relationships/externalLinkPath" Target="file:///D:\Box\&#65339;&#31038;&#22806;&#65341;GX&#12522;&#12540;&#12464;&#65288;&#20986;&#20809;&#12464;&#12523;&#12540;&#12503;&#29992;&#65289;\GX&#12522;&#12540;&#12464;%20&#35069;&#27833;&#25152;&#12539;&#20107;&#26989;&#25152;\GX&#12522;&#12540;&#12464;%20&#21271;&#28023;&#36947;&#35069;&#27833;&#25152;\2023&#24180;&#24230;%20&#25490;&#20986;&#37327;&#23455;&#32318;&#22577;&#21578;\02%20&#25552;&#20986;&#12501;&#12449;&#12452;&#12523;\&#27096;&#24335;5_&#25490;&#20986;&#37327;&#23455;&#32318;&#22577;&#21578;%20&#20837;&#21147;&#29992;&#12501;&#12449;&#12452;&#12523;&#65288;&#21271;&#28023;&#36947;&#35069;&#27833;&#25152;&#65289;&#12540;&#38750;&#12456;&#12493;&#12523;&#12462;&#12540;&#36215;&#28304;CO2&#12289;&#20182;GHG%20re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選択肢①"/>
      <sheetName val="排出活動_Master"/>
      <sheetName val="⇔事務局利用"/>
      <sheetName val="凡例"/>
      <sheetName val="S1"/>
      <sheetName val="S2"/>
      <sheetName val="S3"/>
      <sheetName val="S4"/>
      <sheetName val="S5"/>
      <sheetName val="S6"/>
      <sheetName val="S7-S00001"/>
      <sheetName val="S8-S00001"/>
      <sheetName val="S7-S00002"/>
      <sheetName val="S8-S00002"/>
      <sheetName val="S7-S00003"/>
      <sheetName val="S8-S00003"/>
      <sheetName val="S7-S00004"/>
      <sheetName val="S8-S00004"/>
      <sheetName val="S7-S00005"/>
      <sheetName val="S8-S00005"/>
      <sheetName val="S7-S00006"/>
      <sheetName val="S8-S00006"/>
      <sheetName val="S7-S00007"/>
      <sheetName val="S8-S00007"/>
      <sheetName val="S7-S00008"/>
      <sheetName val="S8-S00008"/>
      <sheetName val="S7-S00009"/>
      <sheetName val="S8-S00009"/>
      <sheetName val="S7-S00010"/>
      <sheetName val="S8-S00010"/>
      <sheetName val="SA"/>
      <sheetName val="SB"/>
      <sheetName val="階層1.2 使用量"/>
      <sheetName val="階層3 使用量"/>
      <sheetName val="（補助ツール1）報告年度中に階層２法人の取込比率が変化する場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persons/person.xml><?xml version="1.0" encoding="utf-8"?>
<personList xmlns="http://schemas.microsoft.com/office/spreadsheetml/2018/threadedcomments" xmlns:x="http://schemas.openxmlformats.org/spreadsheetml/2006/main">
  <person displayName="竹平　野枝" id="{9CECB4F3-3ED8-446E-983E-6117B121161D}" userId="S::45305871@idemitsu.com::c140cc99-bef2-402c-9b22-7b4d6a5bf3d9"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22" dT="2025-09-03T05:32:50.69" personId="{9CECB4F3-3ED8-446E-983E-6117B121161D}" id="{55C435F3-66BC-40AE-9516-DD20C1A221D1}">
    <text>装置毎のエネルギー使用量。タグデータでとれるか要検討</text>
  </threadedComment>
  <threadedComment ref="AH23" dT="2025-09-03T05:32:50.69" personId="{9CECB4F3-3ED8-446E-983E-6117B121161D}" id="{7345BE04-54E5-4201-8406-F4AA6711D186}">
    <text>装置毎のエネルギー使用量。タグデータでとれるか要検討</text>
  </threadedComment>
  <threadedComment ref="AH24" dT="2025-09-03T05:32:50.69" personId="{9CECB4F3-3ED8-446E-983E-6117B121161D}" id="{0C6A6E6C-CE23-46B4-BD7A-7FB1D85E5ABA}">
    <text>装置毎のエネルギー使用量。タグデータでとれるか要検討</text>
  </threadedComment>
  <threadedComment ref="AH25" dT="2025-09-03T05:32:50.69" personId="{9CECB4F3-3ED8-446E-983E-6117B121161D}" id="{DE972F91-7A83-458D-AAB8-6299549FF922}">
    <text>装置毎のエネルギー使用量。タグデータでとれるか要検討</text>
  </threadedComment>
  <threadedComment ref="AH26" dT="2025-09-03T05:32:50.69" personId="{9CECB4F3-3ED8-446E-983E-6117B121161D}" id="{001F9395-1FD4-4A5D-A89F-1CC01FF6E6E6}">
    <text>装置毎のエネルギー使用量。タグデータでとれるか要検討</text>
  </threadedComment>
  <threadedComment ref="AN26" dT="2025-09-02T17:44:46.65" personId="{9CECB4F3-3ED8-446E-983E-6117B121161D}" id="{D4ABB523-83BC-4532-9BAE-C9789012A051}">
    <text>排出係数リストでは、0.0000045のはず。</text>
  </threadedComment>
  <threadedComment ref="AH27" dT="2025-09-03T05:32:50.69" personId="{9CECB4F3-3ED8-446E-983E-6117B121161D}" id="{17666952-0C74-4301-95D1-02C40BF08328}">
    <text>装置毎のエネルギー使用量。タグデータでとれるか要検討</text>
  </threadedComment>
  <threadedComment ref="AH28" dT="2025-09-03T05:32:50.69" personId="{9CECB4F3-3ED8-446E-983E-6117B121161D}" id="{A4EEE755-5D92-4B74-96B7-32BB733DCB3D}">
    <text>装置毎のエネルギー使用量。タグデータでとれるか要検討</text>
  </threadedComment>
  <threadedComment ref="J29" dT="2025-09-02T05:00:45.91" personId="{9CECB4F3-3ED8-446E-983E-6117B121161D}" id="{A46D0CE1-3211-41CC-8DBE-F7896FFBD2F6}">
    <text>GXリーグでは、石炭は使用量ではなく、購入量としている。
（事業所内の一時貯蔵による使用量のブレは、全体に対して誤差と扱えるため。）</text>
  </threadedComment>
  <threadedComment ref="AH29" dT="2025-09-03T05:32:50.69" personId="{9CECB4F3-3ED8-446E-983E-6117B121161D}" id="{4A2F9D2A-5B84-418F-A148-B5AC8A87219B}">
    <text>装置毎のエネルギー使用量。タグデータでとれるか要検討</text>
  </threadedComment>
  <threadedComment ref="J30" dT="2025-09-02T05:00:45.91" personId="{9CECB4F3-3ED8-446E-983E-6117B121161D}" id="{291B2269-A989-4A70-9FA3-26E06285B403}">
    <text>GXリーグでは、石炭は使用量ではなく、購入量としている。
（事業所内の一時貯蔵による使用量のブレは、全体に対して誤差と扱えるため。）</text>
  </threadedComment>
  <threadedComment ref="AH30" dT="2025-09-03T05:32:50.69" personId="{9CECB4F3-3ED8-446E-983E-6117B121161D}" id="{892550E2-F17F-4640-A009-6904FEE95746}">
    <text>装置毎のエネルギー使用量。タグデータでとれるか要検討</text>
  </threadedComment>
  <threadedComment ref="W31" dT="2025-09-02T15:49:59.86" personId="{9CECB4F3-3ED8-446E-983E-6117B121161D}" id="{3E490A7B-AD3F-4E9C-91CB-AAEDC903D4C6}">
    <text>調査票Bでは、①-1と同じフローになっている。</text>
  </threadedComment>
  <threadedComment ref="AH31" dT="2025-09-03T05:32:50.69" personId="{9CECB4F3-3ED8-446E-983E-6117B121161D}" id="{0E2DD779-2943-4A4D-AE73-6BA0C778D209}">
    <text>装置毎のエネルギー使用量。タグデータでとれるか要検討</text>
  </threadedComment>
  <threadedComment ref="M32" dT="2025-09-02T05:08:40.04" personId="{9CECB4F3-3ED8-446E-983E-6117B121161D}" id="{CE783600-C041-4CB2-9ACF-1F4395DB28E4}">
    <text>ガス比重ー熱量の相関式（年度実績の加重平均）</text>
  </threadedComment>
  <threadedComment ref="AH32" dT="2025-09-03T05:32:50.69" personId="{9CECB4F3-3ED8-446E-983E-6117B121161D}" id="{9F539611-B95F-45C7-B2D5-22C01E7B2396}">
    <text>装置毎のエネルギー使用量。タグデータでとれるか要検討</text>
  </threadedComment>
  <threadedComment ref="M33" dT="2025-09-02T05:08:40.04" personId="{9CECB4F3-3ED8-446E-983E-6117B121161D}" id="{058FA059-690A-41D5-A01B-A9015911D90C}">
    <text>ガス比重ー熱量の相関式（年度実績の加重平均）</text>
  </threadedComment>
  <threadedComment ref="AH33" dT="2025-09-03T05:32:50.69" personId="{9CECB4F3-3ED8-446E-983E-6117B121161D}" id="{E14032DB-A6CF-45DF-99BB-AB3F56E0590D}">
    <text>装置毎のエネルギー使用量。タグデータでとれるか要検討</text>
  </threadedComment>
  <threadedComment ref="M34" dT="2025-09-02T05:08:40.04" personId="{9CECB4F3-3ED8-446E-983E-6117B121161D}" id="{69112045-1B96-41BD-A982-2C64E4AC1B38}">
    <text>ガス比重ー熱量の相関式（年度実績の加重平均）</text>
  </threadedComment>
  <threadedComment ref="AH34" dT="2025-09-03T05:32:50.69" personId="{9CECB4F3-3ED8-446E-983E-6117B121161D}" id="{D8CE1ED3-BBE8-40C8-B88F-D2729FD78BDA}">
    <text>装置毎のエネルギー使用量。タグデータでとれるか要検討</text>
  </threadedComment>
  <threadedComment ref="M35" dT="2025-09-02T05:08:40.04" personId="{9CECB4F3-3ED8-446E-983E-6117B121161D}" id="{8DE185A9-9CD8-4421-81C3-E4C8500A2925}">
    <text>ガス比重ー熱量の相関式（年度実績の加重平均）</text>
  </threadedComment>
  <threadedComment ref="AH35" dT="2025-09-03T05:32:50.69" personId="{9CECB4F3-3ED8-446E-983E-6117B121161D}" id="{9CCB083D-C740-41E1-BD6F-963A389E953A}">
    <text>装置毎のエネルギー使用量。タグデータでとれるか要検討</text>
  </threadedComment>
  <threadedComment ref="M36" dT="2025-09-02T05:08:40.04" personId="{9CECB4F3-3ED8-446E-983E-6117B121161D}" id="{9507BCE1-EC72-40AF-8350-B08BD151C491}">
    <text>ガス比重ー熱量の相関式（年度実績の加重平均）</text>
  </threadedComment>
  <threadedComment ref="AH36" dT="2025-09-03T05:32:50.69" personId="{9CECB4F3-3ED8-446E-983E-6117B121161D}" id="{2887DF62-5240-4767-B5BF-79BDCC60825C}">
    <text>装置毎のエネルギー使用量。タグデータでとれるか要検討</text>
  </threadedComment>
  <threadedComment ref="M37" dT="2025-09-02T05:08:40.04" personId="{9CECB4F3-3ED8-446E-983E-6117B121161D}" id="{E592D5F3-1C76-49A4-8CA9-20E1F88E9F67}">
    <text>ガス比重ー熱量の相関式（年度実績の加重平均）</text>
  </threadedComment>
  <threadedComment ref="AH37" dT="2025-09-03T05:32:50.69" personId="{9CECB4F3-3ED8-446E-983E-6117B121161D}" id="{14455F85-CC94-4CC8-B662-3BDEC7AB4D41}">
    <text>装置毎のエネルギー使用量。タグデータでとれるか要検討</text>
  </threadedComment>
  <threadedComment ref="M38" dT="2025-09-02T05:08:40.04" personId="{9CECB4F3-3ED8-446E-983E-6117B121161D}" id="{FE89AB3E-33E0-4B4F-88BE-716D01FEE7EB}">
    <text>ガス比重ー熱量の相関式（年度実績の加重平均）</text>
  </threadedComment>
  <threadedComment ref="AH38" dT="2025-09-03T05:32:50.69" personId="{9CECB4F3-3ED8-446E-983E-6117B121161D}" id="{3D8CD8D6-3BC4-4BC2-BC04-90A299C93856}">
    <text>装置毎のエネルギー使用量。タグデータでとれるか要検討</text>
  </threadedComment>
  <threadedComment ref="M39" dT="2025-09-02T05:08:40.04" personId="{9CECB4F3-3ED8-446E-983E-6117B121161D}" id="{D3CED9BF-F559-418C-A7C0-F482BA873436}">
    <text>ガス比重ー熱量の相関式（年度実績の加重平均）</text>
  </threadedComment>
  <threadedComment ref="AH39" dT="2025-09-03T05:32:50.69" personId="{9CECB4F3-3ED8-446E-983E-6117B121161D}" id="{4C8C5AE1-E9F3-4D7F-B4B6-6DDD686CDE3A}">
    <text>装置毎のエネルギー使用量。タグデータでとれるか要検討</text>
  </threadedComment>
  <threadedComment ref="M40" dT="2025-09-02T05:08:40.04" personId="{9CECB4F3-3ED8-446E-983E-6117B121161D}" id="{D8FB3E30-8F7B-4882-BCA0-E0D410E0EF26}">
    <text>ガス比重ー熱量の相関式（年度実績の加重平均）</text>
  </threadedComment>
  <threadedComment ref="AH40" dT="2025-09-03T05:32:50.69" personId="{9CECB4F3-3ED8-446E-983E-6117B121161D}" id="{9D6B31F4-5762-453D-9F72-E2B8E2873D15}">
    <text>装置毎のエネルギー使用量。タグデータでとれるか要検討</text>
  </threadedComment>
  <threadedComment ref="M41" dT="2025-09-02T05:08:40.04" personId="{9CECB4F3-3ED8-446E-983E-6117B121161D}" id="{1F4B8B8E-C084-48D3-9D67-72409122E3F0}">
    <text>ガス比重ー熱量の相関式（年度実績の加重平均）</text>
  </threadedComment>
  <threadedComment ref="AH41" dT="2025-09-03T05:32:50.69" personId="{9CECB4F3-3ED8-446E-983E-6117B121161D}" id="{E62EB584-5783-4A47-817D-A4A62F9677BA}">
    <text>装置毎のエネルギー使用量。タグデータでとれるか要検討</text>
  </threadedComment>
  <threadedComment ref="M42" dT="2025-09-02T05:08:40.04" personId="{9CECB4F3-3ED8-446E-983E-6117B121161D}" id="{57554CFD-3F4A-4CF3-8D59-35D9D0F54B28}">
    <text>ガス比重ー熱量の相関式（年度実績の加重平均）</text>
  </threadedComment>
  <threadedComment ref="AH42" dT="2025-09-03T05:32:50.69" personId="{9CECB4F3-3ED8-446E-983E-6117B121161D}" id="{68B6187D-9D86-4B33-9714-0B93A0D13AB0}">
    <text>装置毎のエネルギー使用量。タグデータでとれるか要検討</text>
  </threadedComment>
  <threadedComment ref="M43" dT="2025-09-02T05:08:40.04" personId="{9CECB4F3-3ED8-446E-983E-6117B121161D}" id="{A655142B-DF06-4806-BD34-0343F056402A}">
    <text>ガス比重ー熱量の相関式（年度実績の加重平均）</text>
  </threadedComment>
  <threadedComment ref="AH43" dT="2025-09-03T05:32:50.69" personId="{9CECB4F3-3ED8-446E-983E-6117B121161D}" id="{E06D1F37-AC8C-4882-A49A-3099A1B9EA38}">
    <text>装置毎のエネルギー使用量。タグデータでとれるか要検討</text>
  </threadedComment>
  <threadedComment ref="M44" dT="2025-09-02T05:08:40.04" personId="{9CECB4F3-3ED8-446E-983E-6117B121161D}" id="{62DF4351-AA8D-408B-A7DE-E1A8F63BAA6D}">
    <text>ガス比重ー熱量の相関式（年度実績の加重平均）</text>
  </threadedComment>
  <threadedComment ref="M45" dT="2025-09-02T05:08:40.04" personId="{9CECB4F3-3ED8-446E-983E-6117B121161D}" id="{520F9A0B-9EA4-4D9B-850B-2188F985F19A}">
    <text>ガス比重ー熱量の相関式（年度実績の加重平均）</text>
  </threadedComment>
  <threadedComment ref="AN45" dT="2025-09-03T00:56:15.30" personId="{9CECB4F3-3ED8-446E-983E-6117B121161D}" id="{41151E61-CD97-46F6-A88D-A6BC4F21C4C2}">
    <text>温対法上は0.02のはず</text>
  </threadedComment>
  <threadedComment ref="M46" dT="2025-09-02T05:08:40.04" personId="{9CECB4F3-3ED8-446E-983E-6117B121161D}" id="{5174AE04-69EA-44B1-A8A8-E8A568E294E5}">
    <text>ガス比重ー熱量の相関式（年度実績の加重平均）</text>
  </threadedComment>
  <threadedComment ref="M47" dT="2025-09-02T05:08:40.04" personId="{9CECB4F3-3ED8-446E-983E-6117B121161D}" id="{B733BE9E-3F30-4644-92F0-0E38C4A35734}">
    <text>ガス比重ー熱量の相関式（年度実績の加重平均）</text>
  </threadedComment>
  <threadedComment ref="AS47" dT="2025-09-03T06:55:54.86" personId="{9CECB4F3-3ED8-446E-983E-6117B121161D}" id="{C14C0498-AB8C-4EBB-9657-BD55DE55D73E}">
    <text>係数リストにないため、この数値でよいかは要確認</text>
  </threadedComment>
  <threadedComment ref="M48" dT="2025-09-02T05:08:40.04" personId="{9CECB4F3-3ED8-446E-983E-6117B121161D}" id="{C6D2935E-64F2-4F1F-AF22-C4C326C10F3A}">
    <text>ガス比重ー熱量の相関式（年度実績の加重平均）</text>
  </threadedComment>
  <threadedComment ref="AQ48" dT="2025-09-03T00:56:48.60" personId="{9CECB4F3-3ED8-446E-983E-6117B121161D}" id="{2A6532C7-D859-495B-9AE0-9577F9B16D07}">
    <text>活動量×0.001×使用期間（使用期間データはGGXとは別で集計していたと思われる）</text>
  </threadedComment>
  <threadedComment ref="M49" dT="2025-09-02T05:08:40.04" personId="{9CECB4F3-3ED8-446E-983E-6117B121161D}" id="{81DF8B9D-B58E-4A22-973F-2C6B10026823}">
    <text>ガス比重ー熱量の相関式（年度実績の加重平均）</text>
  </threadedComment>
  <threadedComment ref="AI49" dT="2025-09-03T00:58:42.89" personId="{9CECB4F3-3ED8-446E-983E-6117B121161D}" id="{BD0F4A2E-4244-4451-8B04-843BBDBC328F}">
    <text>使用期間の１年間に対する比率。現状はGGX外で収集している？</text>
  </threadedComment>
  <threadedComment ref="M50" dT="2025-09-02T05:08:40.04" personId="{9CECB4F3-3ED8-446E-983E-6117B121161D}" id="{D1BB20CF-9869-479A-80EA-B18B84D72E00}">
    <text>ガス比重ー熱量の相関式（年度実績の加重平均）</text>
  </threadedComment>
  <threadedComment ref="M51" dT="2025-09-02T05:08:40.04" personId="{9CECB4F3-3ED8-446E-983E-6117B121161D}" id="{68FEDB77-C264-4E85-80AA-A4B285F7CF63}">
    <text>ガス比重ー熱量の相関式（年度実績の加重平均）</text>
  </threadedComment>
  <threadedComment ref="M52" dT="2025-09-02T05:08:40.04" personId="{9CECB4F3-3ED8-446E-983E-6117B121161D}" id="{CCE95CC2-3C85-488D-A788-C3F67B3B5C18}">
    <text>ガス比重ー熱量の相関式（年度実績の加重平均）</text>
  </threadedComment>
  <threadedComment ref="M53" dT="2025-09-02T05:08:40.04" personId="{9CECB4F3-3ED8-446E-983E-6117B121161D}" id="{EF004E88-C9FC-4FF6-B179-0AA18C595EBA}">
    <text>ガス比重ー熱量の相関式（年度実績の加重平均）</text>
  </threadedComment>
  <threadedComment ref="M54" dT="2025-09-02T05:08:40.04" personId="{9CECB4F3-3ED8-446E-983E-6117B121161D}" id="{D5E5B0AA-CAD8-4C0C-85C2-B72EFA4CCE2E}">
    <text>ガス比重ー熱量の相関式（年度実績の加重平均）</text>
  </threadedComment>
  <threadedComment ref="M55" dT="2025-09-02T05:08:40.04" personId="{9CECB4F3-3ED8-446E-983E-6117B121161D}" id="{425DA55F-19F1-45FC-A85F-01085C74D755}">
    <text>ガス比重ー熱量の相関式（年度実績の加重平均）</text>
  </threadedComment>
  <threadedComment ref="M56" dT="2025-09-02T05:08:40.04" personId="{9CECB4F3-3ED8-446E-983E-6117B121161D}" id="{F1902BA7-58DD-4ABC-827D-6C95C113DFDA}">
    <text>ガス比重ー熱量の相関式（年度実績の加重平均）</text>
  </threadedComment>
  <threadedComment ref="M57" dT="2025-09-02T05:08:40.04" personId="{9CECB4F3-3ED8-446E-983E-6117B121161D}" id="{052E32FC-7ECD-4C6E-A421-B74CEDC3F471}">
    <text>ガス比重ー熱量の相関式（年度実績の加重平均）</text>
  </threadedComment>
  <threadedComment ref="M58" dT="2025-09-02T05:08:40.04" personId="{9CECB4F3-3ED8-446E-983E-6117B121161D}" id="{F9D206A4-F011-4020-B2CD-DE642D0C29BB}">
    <text>ガス比重ー熱量の相関式（年度実績の加重平均）</text>
  </threadedComment>
  <threadedComment ref="M59" dT="2025-09-02T05:08:40.04" personId="{9CECB4F3-3ED8-446E-983E-6117B121161D}" id="{15133DEC-A00E-47EF-B1C4-866D75717784}">
    <text>ガス比重ー熱量の相関式（年度実績の加重平均）</text>
  </threadedComment>
  <threadedComment ref="M60" dT="2025-09-02T05:08:40.04" personId="{9CECB4F3-3ED8-446E-983E-6117B121161D}" id="{9A43D262-BB23-4139-92A2-969806349316}">
    <text>ガス比重ー熱量の相関式（年度実績の加重平均）</text>
  </threadedComment>
  <threadedComment ref="M61" dT="2025-09-02T05:08:40.04" personId="{9CECB4F3-3ED8-446E-983E-6117B121161D}" id="{FA910EFE-270A-4CCB-B183-99C3FFBA5FBA}">
    <text>ガス比重ー熱量の相関式（年度実績の加重平均）</text>
  </threadedComment>
  <threadedComment ref="M62" dT="2025-09-02T05:08:40.04" personId="{9CECB4F3-3ED8-446E-983E-6117B121161D}" id="{F1FC844D-EA8F-4986-BBAF-9C44AA717D4A}">
    <text>ガス比重ー熱量の相関式（年度実績の加重平均）</text>
  </threadedComment>
  <threadedComment ref="M63" dT="2025-09-02T05:08:40.04" personId="{9CECB4F3-3ED8-446E-983E-6117B121161D}" id="{BBF96058-25A5-497B-A606-5DA6BCD63ECA}">
    <text>ガス比重ー熱量の相関式（年度実績の加重平均）</text>
  </threadedComment>
  <threadedComment ref="M64" dT="2025-09-02T05:08:40.04" personId="{9CECB4F3-3ED8-446E-983E-6117B121161D}" id="{0C437123-CD2D-451F-8ABA-463C2CC3724B}">
    <text>ガス比重ー熱量の相関式（年度実績の加重平均）</text>
  </threadedComment>
  <threadedComment ref="M65" dT="2025-09-02T05:08:40.04" personId="{9CECB4F3-3ED8-446E-983E-6117B121161D}" id="{672FD272-F3AF-4B8C-9017-33C2A9D7410E}">
    <text>ガス比重ー熱量の相関式（年度実績の加重平均）</text>
  </threadedComment>
  <threadedComment ref="M66" dT="2025-09-02T05:08:40.04" personId="{9CECB4F3-3ED8-446E-983E-6117B121161D}" id="{0B1B6D61-5C8B-4D6F-9C88-7E1DFB58E9DC}">
    <text>ガス比重ー熱量の相関式（年度実績の加重平均）</text>
  </threadedComment>
  <threadedComment ref="M67" dT="2025-09-02T05:08:40.04" personId="{9CECB4F3-3ED8-446E-983E-6117B121161D}" id="{D885DD05-392E-4034-BD22-CABD2AD34A69}">
    <text>ガス比重ー熱量の相関式（年度実績の加重平均）</text>
  </threadedComment>
  <threadedComment ref="M68" dT="2025-09-02T05:08:40.04" personId="{9CECB4F3-3ED8-446E-983E-6117B121161D}" id="{389F6FF8-DF68-47D8-B756-093E2EAE120A}">
    <text>ガス比重ー熱量の相関式（年度実績の加重平均）</text>
  </threadedComment>
  <threadedComment ref="M69" dT="2025-09-02T05:08:40.04" personId="{9CECB4F3-3ED8-446E-983E-6117B121161D}" id="{B6ECB1D8-A351-44F8-B319-A14D43EE93CD}">
    <text>ガス比重ー熱量の相関式（年度実績の加重平均）</text>
  </threadedComment>
  <threadedComment ref="M70" dT="2025-09-02T05:08:40.04" personId="{9CECB4F3-3ED8-446E-983E-6117B121161D}" id="{CFEC992B-EE40-40B0-89BE-746EAE168722}">
    <text>ガス比重ー熱量の相関式（年度実績の加重平均）</text>
  </threadedComment>
  <threadedComment ref="H71" dT="2025-09-01T03:59:46.64" personId="{9CECB4F3-3ED8-446E-983E-6117B121161D}" id="{4CE4DA2D-8D22-4F78-9749-B36FB388F1D0}">
    <text>基礎データ作成時は、NG使用先装置の数量確定をした後、石油系炭化水素ガスの数量確定。
石油系炭化水素ガスは、GGXとGXリーグでは異なる基礎データを使用する。GGXは、各装置の使用量合計値（FOE-KL）を単位換算（FOE-KL→GJ）の上、温対法の排出係数デフォルト値（46.1tC/GJ）を乗じて算定している。一方、GXリーグでは、モニタリングポイント毎の実測に基づいた値が必要であるため、実流量（千m3）の各TAGデータに、実測ベースの単位発熱量（千m3/GJ）を乗じて計算している。</text>
  </threadedComment>
  <threadedComment ref="H72" dT="2025-09-01T03:59:46.64" personId="{9CECB4F3-3ED8-446E-983E-6117B121161D}" id="{1AE45177-1E39-40D2-B68C-B95092C055D7}">
    <text>基礎データ作成時は、NG使用量を各装置に振り分けて集計。</text>
  </threadedComment>
  <threadedComment ref="H73" dT="2025-09-01T03:59:46.64" personId="{9CECB4F3-3ED8-446E-983E-6117B121161D}" id="{41E5E003-59FB-4281-8035-A23D2BE737A1}">
    <text>基礎データ作成時は、NG使用先装置の数量確定をした後、石油系炭化水素ガスの数量確定。
石油系炭化水素ガスは、GGXとGXリーグでは異なる基礎データを使用する。GGXは、各装置の使用量合計値（FOE-KL）を単位換算（FOE-KL→GJ）の上、温対法の排出係数デフォルト値（46.1tC/GJ）を乗じて算定している。一方、GXリーグでは、モニタリングポイント毎の実測に基づいた値が必要であるため、実流量（千m3）の各TAGデータに、実測ベースの単位発熱量（千m3/GJ）を乗じて計算している。</text>
  </threadedComment>
  <threadedComment ref="H74" dT="2025-09-01T03:59:46.64" personId="{9CECB4F3-3ED8-446E-983E-6117B121161D}" id="{1EC6DD34-01DD-4A04-B3D4-336A084C24A4}">
    <text>基礎データ作成時は、NG使用量を各装置に振り分けて集計。</text>
  </threadedComment>
  <threadedComment ref="K109" dT="2025-09-01T04:21:39.37" personId="{9CECB4F3-3ED8-446E-983E-6117B121161D}" id="{CCCDE05A-348F-4873-9A1A-47B140938D54}">
    <text>購入エネルギー量（I列）から、蒸気を生成する際の投入エネルギー量（＝I列×1.17）を算出していると思われる</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olicies.env.go.jp/earth/ghg-santeikohyo/files/calc/itiran_2023_rev4.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38C5-FCF4-4FE2-9BD4-9ED2EF4AC8A5}">
  <sheetPr>
    <tabColor rgb="FFFFCCFF"/>
  </sheetPr>
  <dimension ref="C2:AX118"/>
  <sheetViews>
    <sheetView tabSelected="1" topLeftCell="I1" zoomScale="85" zoomScaleNormal="85" workbookViewId="0">
      <pane ySplit="11" topLeftCell="A89" activePane="bottomLeft" state="frozen"/>
      <selection pane="bottomLeft" activeCell="P17" sqref="P17:T19"/>
    </sheetView>
  </sheetViews>
  <sheetFormatPr defaultColWidth="8.75" defaultRowHeight="18.75" x14ac:dyDescent="0.4"/>
  <cols>
    <col min="1" max="2" width="8.75" style="10"/>
    <col min="3" max="3" width="15.25" style="9" customWidth="1"/>
    <col min="4" max="4" width="45.75" style="9" customWidth="1"/>
    <col min="5" max="5" width="21.875" style="9" customWidth="1"/>
    <col min="6" max="6" width="21.25" style="9" customWidth="1"/>
    <col min="7" max="7" width="24.75" style="9" customWidth="1"/>
    <col min="8" max="8" width="15.5" style="14" customWidth="1"/>
    <col min="9" max="9" width="12" style="16" customWidth="1"/>
    <col min="10" max="10" width="22.125" style="9" customWidth="1"/>
    <col min="11" max="11" width="18" style="9" customWidth="1"/>
    <col min="12" max="12" width="12.25" style="9" customWidth="1"/>
    <col min="13" max="13" width="26.125" style="9" customWidth="1"/>
    <col min="14" max="14" width="29.625" style="14" customWidth="1"/>
    <col min="15" max="15" width="16.75" style="9" customWidth="1"/>
    <col min="16" max="16" width="29.625" style="14" customWidth="1"/>
    <col min="17" max="17" width="16.75" style="9" customWidth="1"/>
    <col min="18" max="18" width="17.875" style="9" customWidth="1"/>
    <col min="19" max="19" width="19.75" style="9" customWidth="1"/>
    <col min="20" max="20" width="25.75" style="9" customWidth="1"/>
    <col min="21" max="21" width="19.75" style="9" customWidth="1"/>
    <col min="22" max="22" width="23.875" style="9" customWidth="1"/>
    <col min="23" max="23" width="12.375" style="9" customWidth="1"/>
    <col min="24" max="24" width="20" style="9" customWidth="1"/>
    <col min="25" max="26" width="21.75" style="9" customWidth="1"/>
    <col min="27" max="27" width="17.75" style="9" customWidth="1"/>
    <col min="28" max="28" width="13.25" style="10" customWidth="1"/>
    <col min="29" max="29" width="13.25" style="10" bestFit="1" customWidth="1"/>
    <col min="30" max="30" width="28.75" style="10" customWidth="1"/>
    <col min="31" max="31" width="30.25" style="10" customWidth="1"/>
    <col min="32" max="32" width="38" style="10" customWidth="1"/>
    <col min="33" max="33" width="13.375" style="10" customWidth="1"/>
    <col min="34" max="34" width="22" style="10" customWidth="1"/>
    <col min="35" max="35" width="26.125" style="9" customWidth="1"/>
    <col min="36" max="36" width="12.5" style="9" customWidth="1"/>
    <col min="37" max="37" width="13.125" style="9" customWidth="1"/>
    <col min="38" max="38" width="11.625" style="9" customWidth="1"/>
    <col min="39" max="39" width="11.25" style="9" customWidth="1"/>
    <col min="40" max="40" width="18.875" style="9" customWidth="1"/>
    <col min="41" max="41" width="16.75" style="9" customWidth="1"/>
    <col min="42" max="42" width="12.25" style="9" customWidth="1"/>
    <col min="43" max="43" width="10.75" style="9" customWidth="1"/>
    <col min="44" max="44" width="24" style="9" customWidth="1"/>
    <col min="45" max="45" width="10.75" style="9" customWidth="1"/>
    <col min="46" max="47" width="13.875" style="9" customWidth="1"/>
    <col min="48" max="48" width="26.75" style="9" customWidth="1"/>
    <col min="49" max="49" width="13" style="9" customWidth="1"/>
    <col min="50" max="50" width="19.75" style="9" customWidth="1"/>
    <col min="51" max="16384" width="8.75" style="10"/>
  </cols>
  <sheetData>
    <row r="2" spans="3:50" ht="35.25" x14ac:dyDescent="0.4">
      <c r="C2" s="17" t="s">
        <v>307</v>
      </c>
      <c r="AD2" s="17" t="s">
        <v>308</v>
      </c>
      <c r="AO2" s="18"/>
    </row>
    <row r="3" spans="3:50" ht="24" x14ac:dyDescent="0.4">
      <c r="C3" s="88" t="s">
        <v>309</v>
      </c>
      <c r="K3" s="72"/>
      <c r="R3" s="72"/>
      <c r="AD3" s="88" t="s">
        <v>306</v>
      </c>
    </row>
    <row r="4" spans="3:50" ht="24" x14ac:dyDescent="0.4">
      <c r="C4" s="62" t="s">
        <v>327</v>
      </c>
      <c r="K4" s="72"/>
      <c r="R4" s="72"/>
      <c r="AD4" s="62" t="s">
        <v>327</v>
      </c>
    </row>
    <row r="5" spans="3:50" ht="24" x14ac:dyDescent="0.4">
      <c r="C5" s="62"/>
      <c r="K5" s="72"/>
      <c r="R5" s="72"/>
    </row>
    <row r="6" spans="3:50" ht="24" x14ac:dyDescent="0.4">
      <c r="C6" s="62"/>
      <c r="K6" s="72"/>
      <c r="R6" s="72"/>
    </row>
    <row r="7" spans="3:50" ht="24" x14ac:dyDescent="0.4">
      <c r="C7" s="62"/>
      <c r="K7" s="72"/>
      <c r="R7" s="72"/>
    </row>
    <row r="8" spans="3:50" ht="24" x14ac:dyDescent="0.4">
      <c r="C8" s="62"/>
      <c r="K8" s="72"/>
      <c r="R8" s="72"/>
    </row>
    <row r="9" spans="3:50" s="73" customFormat="1" ht="26.25" thickBot="1" x14ac:dyDescent="0.45">
      <c r="C9" s="69"/>
      <c r="D9" s="69"/>
      <c r="E9" s="69"/>
      <c r="F9" s="69"/>
      <c r="G9" s="69"/>
      <c r="H9" s="71"/>
      <c r="I9" s="70"/>
      <c r="J9" s="69"/>
      <c r="K9" s="72"/>
      <c r="L9" s="69"/>
      <c r="M9" s="69"/>
      <c r="N9" s="71"/>
      <c r="O9" s="69"/>
      <c r="P9" s="71"/>
      <c r="Q9" s="69"/>
      <c r="R9" s="72"/>
      <c r="S9" s="69"/>
      <c r="T9" s="69"/>
      <c r="U9" s="71"/>
      <c r="V9" s="69"/>
      <c r="W9" s="69"/>
      <c r="X9" s="69"/>
      <c r="Y9" s="69"/>
      <c r="Z9" s="69"/>
      <c r="AA9" s="69"/>
      <c r="AI9" s="69"/>
      <c r="AJ9" s="71"/>
      <c r="AK9" s="72"/>
      <c r="AL9" s="72"/>
      <c r="AM9" s="72"/>
      <c r="AN9" s="72"/>
      <c r="AO9" s="72"/>
      <c r="AP9" s="72"/>
      <c r="AQ9" s="72"/>
      <c r="AR9" s="71"/>
      <c r="AS9" s="72"/>
      <c r="AT9" s="72"/>
      <c r="AU9" s="69"/>
      <c r="AV9" s="69"/>
      <c r="AW9" s="71"/>
      <c r="AX9" s="69"/>
    </row>
    <row r="10" spans="3:50" ht="19.899999999999999" customHeight="1" x14ac:dyDescent="0.4">
      <c r="C10" s="95" t="s">
        <v>268</v>
      </c>
      <c r="D10" s="76" t="s">
        <v>217</v>
      </c>
      <c r="E10" s="130" t="s">
        <v>8</v>
      </c>
      <c r="F10" s="131"/>
      <c r="G10" s="134" t="s">
        <v>301</v>
      </c>
      <c r="H10" s="144" t="s">
        <v>305</v>
      </c>
      <c r="I10" s="96"/>
      <c r="J10" s="145"/>
      <c r="K10" s="98" t="s">
        <v>9</v>
      </c>
      <c r="L10" s="96"/>
      <c r="M10" s="97"/>
      <c r="N10" s="159" t="s">
        <v>315</v>
      </c>
      <c r="O10" s="160"/>
      <c r="P10" s="159" t="s">
        <v>316</v>
      </c>
      <c r="Q10" s="160"/>
      <c r="R10" s="98" t="s">
        <v>10</v>
      </c>
      <c r="S10" s="97"/>
      <c r="T10" s="167"/>
      <c r="U10" s="173" t="s">
        <v>0</v>
      </c>
      <c r="V10" s="160"/>
      <c r="W10" s="169" t="s">
        <v>310</v>
      </c>
      <c r="X10" s="99"/>
      <c r="Y10" s="99"/>
      <c r="Z10" s="99"/>
      <c r="AA10" s="100"/>
      <c r="AC10" s="9"/>
      <c r="AD10" s="74" t="s">
        <v>1</v>
      </c>
      <c r="AE10" s="75" t="s">
        <v>2</v>
      </c>
      <c r="AF10" s="75" t="s">
        <v>3</v>
      </c>
      <c r="AG10" s="214" t="s">
        <v>302</v>
      </c>
      <c r="AH10" s="76" t="s">
        <v>300</v>
      </c>
      <c r="AI10" s="48" t="s">
        <v>269</v>
      </c>
      <c r="AJ10" s="52"/>
      <c r="AK10" s="48" t="s">
        <v>9</v>
      </c>
      <c r="AL10" s="51"/>
      <c r="AM10" s="49"/>
      <c r="AN10" s="61" t="s">
        <v>311</v>
      </c>
      <c r="AO10" s="51"/>
      <c r="AP10" s="49"/>
      <c r="AQ10" s="82" t="s">
        <v>298</v>
      </c>
      <c r="AR10" s="83"/>
      <c r="AS10" s="48" t="s">
        <v>291</v>
      </c>
      <c r="AT10" s="49"/>
      <c r="AU10" s="50"/>
      <c r="AV10" s="86" t="s">
        <v>299</v>
      </c>
      <c r="AW10" s="83"/>
    </row>
    <row r="11" spans="3:50" ht="19.899999999999999" customHeight="1" thickBot="1" x14ac:dyDescent="0.45">
      <c r="C11" s="111"/>
      <c r="D11" s="122"/>
      <c r="E11" s="132" t="s">
        <v>13</v>
      </c>
      <c r="F11" s="133" t="s">
        <v>14</v>
      </c>
      <c r="G11" s="129"/>
      <c r="H11" s="146" t="s">
        <v>209</v>
      </c>
      <c r="I11" s="112" t="s">
        <v>15</v>
      </c>
      <c r="J11" s="147" t="s">
        <v>208</v>
      </c>
      <c r="K11" s="114" t="s">
        <v>210</v>
      </c>
      <c r="L11" s="112" t="s">
        <v>15</v>
      </c>
      <c r="M11" s="113" t="s">
        <v>211</v>
      </c>
      <c r="N11" s="161" t="s">
        <v>304</v>
      </c>
      <c r="O11" s="162" t="s">
        <v>15</v>
      </c>
      <c r="P11" s="161" t="s">
        <v>304</v>
      </c>
      <c r="Q11" s="162" t="s">
        <v>15</v>
      </c>
      <c r="R11" s="114" t="s">
        <v>210</v>
      </c>
      <c r="S11" s="113" t="s">
        <v>15</v>
      </c>
      <c r="T11" s="113" t="s">
        <v>211</v>
      </c>
      <c r="U11" s="174" t="s">
        <v>210</v>
      </c>
      <c r="V11" s="162" t="s">
        <v>15</v>
      </c>
      <c r="W11" s="170" t="s">
        <v>231</v>
      </c>
      <c r="X11" s="115" t="s">
        <v>249</v>
      </c>
      <c r="Y11" s="115" t="s">
        <v>207</v>
      </c>
      <c r="Z11" s="115" t="s">
        <v>243</v>
      </c>
      <c r="AA11" s="116" t="s">
        <v>241</v>
      </c>
      <c r="AC11" s="9"/>
      <c r="AD11" s="77"/>
      <c r="AE11" s="78"/>
      <c r="AF11" s="78"/>
      <c r="AG11" s="215"/>
      <c r="AH11" s="79"/>
      <c r="AI11" s="37" t="s">
        <v>210</v>
      </c>
      <c r="AJ11" s="41" t="s">
        <v>15</v>
      </c>
      <c r="AK11" s="37" t="s">
        <v>210</v>
      </c>
      <c r="AL11" s="19" t="s">
        <v>15</v>
      </c>
      <c r="AM11" s="21" t="s">
        <v>211</v>
      </c>
      <c r="AN11" s="37" t="s">
        <v>210</v>
      </c>
      <c r="AO11" s="19" t="s">
        <v>15</v>
      </c>
      <c r="AP11" s="21" t="s">
        <v>211</v>
      </c>
      <c r="AQ11" s="84" t="s">
        <v>210</v>
      </c>
      <c r="AR11" s="85" t="s">
        <v>15</v>
      </c>
      <c r="AS11" s="37" t="s">
        <v>210</v>
      </c>
      <c r="AT11" s="41" t="s">
        <v>15</v>
      </c>
      <c r="AU11" s="21" t="s">
        <v>211</v>
      </c>
      <c r="AV11" s="84" t="s">
        <v>210</v>
      </c>
      <c r="AW11" s="85" t="s">
        <v>15</v>
      </c>
    </row>
    <row r="12" spans="3:50" ht="19.899999999999999" customHeight="1" x14ac:dyDescent="0.4">
      <c r="C12" s="64" t="s">
        <v>212</v>
      </c>
      <c r="D12" s="123" t="s">
        <v>215</v>
      </c>
      <c r="E12" s="109" t="s">
        <v>139</v>
      </c>
      <c r="F12" s="110" t="s">
        <v>140</v>
      </c>
      <c r="G12" s="90" t="s">
        <v>262</v>
      </c>
      <c r="H12" s="195">
        <v>548</v>
      </c>
      <c r="I12" s="196" t="s">
        <v>188</v>
      </c>
      <c r="J12" s="204"/>
      <c r="K12" s="137">
        <v>38.9</v>
      </c>
      <c r="L12" s="4" t="s">
        <v>142</v>
      </c>
      <c r="M12" s="155" t="s">
        <v>192</v>
      </c>
      <c r="N12" s="148">
        <f>H12*K12</f>
        <v>21317.200000000001</v>
      </c>
      <c r="O12" s="110" t="s">
        <v>303</v>
      </c>
      <c r="P12" s="148">
        <f>N12*0.258</f>
        <v>5499.8376000000007</v>
      </c>
      <c r="Q12" s="110" t="s">
        <v>317</v>
      </c>
      <c r="R12" s="119">
        <v>1.9300000000000001E-2</v>
      </c>
      <c r="S12" s="4" t="s">
        <v>22</v>
      </c>
      <c r="T12" s="155" t="s">
        <v>192</v>
      </c>
      <c r="U12" s="148">
        <f>INT(H12*K12*R12*44/12)</f>
        <v>1508</v>
      </c>
      <c r="V12" s="110" t="s">
        <v>186</v>
      </c>
      <c r="W12" s="158"/>
      <c r="X12" s="7"/>
      <c r="Y12" s="4"/>
      <c r="Z12" s="4"/>
      <c r="AA12" s="110"/>
      <c r="AD12" s="25" t="s">
        <v>133</v>
      </c>
      <c r="AE12" s="29" t="s">
        <v>134</v>
      </c>
      <c r="AF12" s="29" t="s">
        <v>147</v>
      </c>
      <c r="AG12" s="89" t="s">
        <v>63</v>
      </c>
      <c r="AH12" s="64" t="s">
        <v>261</v>
      </c>
      <c r="AI12" s="182">
        <v>745.66700000000003</v>
      </c>
      <c r="AJ12" s="213" t="s">
        <v>136</v>
      </c>
      <c r="AK12" s="180" t="s">
        <v>314</v>
      </c>
      <c r="AL12" s="6" t="s">
        <v>314</v>
      </c>
      <c r="AM12" s="181" t="s">
        <v>314</v>
      </c>
      <c r="AN12" s="44">
        <v>6.2000000000000003E-5</v>
      </c>
      <c r="AO12" s="20" t="s">
        <v>270</v>
      </c>
      <c r="AP12" s="39" t="s">
        <v>192</v>
      </c>
      <c r="AQ12" s="53">
        <f>AI12*AN12</f>
        <v>4.6231354000000002E-2</v>
      </c>
      <c r="AR12" s="22" t="s">
        <v>271</v>
      </c>
      <c r="AS12" s="38">
        <v>28</v>
      </c>
      <c r="AT12" s="11" t="s">
        <v>292</v>
      </c>
      <c r="AU12" s="22"/>
      <c r="AV12" s="43">
        <f t="shared" ref="AV12:AV44" si="0">AQ12*AS12</f>
        <v>1.2944779120000001</v>
      </c>
      <c r="AW12" s="22" t="s">
        <v>272</v>
      </c>
    </row>
    <row r="13" spans="3:50" ht="19.899999999999999" customHeight="1" x14ac:dyDescent="0.4">
      <c r="C13" s="65" t="s">
        <v>212</v>
      </c>
      <c r="D13" s="124" t="s">
        <v>23</v>
      </c>
      <c r="E13" s="38" t="s">
        <v>145</v>
      </c>
      <c r="F13" s="22" t="s">
        <v>146</v>
      </c>
      <c r="G13" s="67" t="s">
        <v>187</v>
      </c>
      <c r="H13" s="197">
        <v>1038</v>
      </c>
      <c r="I13" s="198" t="s">
        <v>141</v>
      </c>
      <c r="J13" s="205"/>
      <c r="K13" s="138">
        <v>38.9</v>
      </c>
      <c r="L13" s="3" t="s">
        <v>142</v>
      </c>
      <c r="M13" s="11" t="s">
        <v>192</v>
      </c>
      <c r="N13" s="47">
        <f t="shared" ref="N13:N74" si="1">H13*K13</f>
        <v>40378.199999999997</v>
      </c>
      <c r="O13" s="22" t="s">
        <v>303</v>
      </c>
      <c r="P13" s="47">
        <f t="shared" ref="P13:P74" si="2">N13*0.258</f>
        <v>10417.5756</v>
      </c>
      <c r="Q13" s="22" t="s">
        <v>317</v>
      </c>
      <c r="R13" s="34">
        <v>1.9300000000000001E-2</v>
      </c>
      <c r="S13" s="3" t="s">
        <v>22</v>
      </c>
      <c r="T13" s="11" t="s">
        <v>192</v>
      </c>
      <c r="U13" s="47">
        <f>INT(H13*K13*R13*44/12)</f>
        <v>2857</v>
      </c>
      <c r="V13" s="22" t="s">
        <v>186</v>
      </c>
      <c r="W13" s="43"/>
      <c r="X13" s="8"/>
      <c r="Y13" s="3"/>
      <c r="Z13" s="3"/>
      <c r="AA13" s="22"/>
      <c r="AD13" s="26"/>
      <c r="AE13" s="30"/>
      <c r="AF13" s="31"/>
      <c r="AG13" s="89" t="s">
        <v>58</v>
      </c>
      <c r="AH13" s="65" t="s">
        <v>261</v>
      </c>
      <c r="AI13" s="148"/>
      <c r="AJ13" s="155" t="s">
        <v>136</v>
      </c>
      <c r="AK13" s="109" t="s">
        <v>314</v>
      </c>
      <c r="AL13" s="4" t="s">
        <v>314</v>
      </c>
      <c r="AM13" s="110" t="s">
        <v>314</v>
      </c>
      <c r="AN13" s="57">
        <v>2.1999999999999998E-8</v>
      </c>
      <c r="AO13" s="20" t="s">
        <v>284</v>
      </c>
      <c r="AP13" s="39" t="s">
        <v>192</v>
      </c>
      <c r="AQ13" s="53">
        <f>AI12*AN13</f>
        <v>1.6404673999999998E-5</v>
      </c>
      <c r="AR13" s="46" t="s">
        <v>285</v>
      </c>
      <c r="AS13" s="47">
        <v>265</v>
      </c>
      <c r="AT13" s="11" t="s">
        <v>295</v>
      </c>
      <c r="AU13" s="22"/>
      <c r="AV13" s="43">
        <f t="shared" si="0"/>
        <v>4.3472386099999991E-3</v>
      </c>
      <c r="AW13" s="22" t="s">
        <v>272</v>
      </c>
    </row>
    <row r="14" spans="3:50" ht="19.899999999999999" customHeight="1" x14ac:dyDescent="0.4">
      <c r="C14" s="65" t="s">
        <v>212</v>
      </c>
      <c r="D14" s="124" t="s">
        <v>23</v>
      </c>
      <c r="E14" s="38" t="s">
        <v>149</v>
      </c>
      <c r="F14" s="22" t="s">
        <v>150</v>
      </c>
      <c r="G14" s="67" t="s">
        <v>187</v>
      </c>
      <c r="H14" s="197">
        <v>629</v>
      </c>
      <c r="I14" s="198" t="s">
        <v>141</v>
      </c>
      <c r="J14" s="205"/>
      <c r="K14" s="138">
        <v>38.9</v>
      </c>
      <c r="L14" s="3" t="s">
        <v>142</v>
      </c>
      <c r="M14" s="11" t="s">
        <v>192</v>
      </c>
      <c r="N14" s="47">
        <f t="shared" si="1"/>
        <v>24468.1</v>
      </c>
      <c r="O14" s="22" t="s">
        <v>303</v>
      </c>
      <c r="P14" s="47">
        <f t="shared" si="2"/>
        <v>6312.7698</v>
      </c>
      <c r="Q14" s="22" t="s">
        <v>317</v>
      </c>
      <c r="R14" s="34">
        <v>1.9300000000000001E-2</v>
      </c>
      <c r="S14" s="3" t="s">
        <v>22</v>
      </c>
      <c r="T14" s="11" t="s">
        <v>192</v>
      </c>
      <c r="U14" s="47">
        <f>INT(H14*K14*R14*44/12)</f>
        <v>1731</v>
      </c>
      <c r="V14" s="22" t="s">
        <v>186</v>
      </c>
      <c r="W14" s="43"/>
      <c r="X14" s="8"/>
      <c r="Y14" s="3"/>
      <c r="Z14" s="3"/>
      <c r="AA14" s="22"/>
      <c r="AC14" s="9"/>
      <c r="AD14" s="26"/>
      <c r="AE14" s="30"/>
      <c r="AF14" s="29" t="s">
        <v>143</v>
      </c>
      <c r="AG14" s="89" t="s">
        <v>63</v>
      </c>
      <c r="AH14" s="65" t="s">
        <v>196</v>
      </c>
      <c r="AI14" s="182">
        <v>564</v>
      </c>
      <c r="AJ14" s="213" t="s">
        <v>136</v>
      </c>
      <c r="AK14" s="180" t="s">
        <v>314</v>
      </c>
      <c r="AL14" s="213" t="s">
        <v>314</v>
      </c>
      <c r="AM14" s="181" t="s">
        <v>314</v>
      </c>
      <c r="AN14" s="54">
        <v>1E-3</v>
      </c>
      <c r="AO14" s="20" t="s">
        <v>270</v>
      </c>
      <c r="AP14" s="39" t="s">
        <v>192</v>
      </c>
      <c r="AQ14" s="53">
        <f>AI14*AN14</f>
        <v>0.56400000000000006</v>
      </c>
      <c r="AR14" s="22" t="s">
        <v>271</v>
      </c>
      <c r="AS14" s="38">
        <v>28</v>
      </c>
      <c r="AT14" s="11" t="s">
        <v>292</v>
      </c>
      <c r="AU14" s="22"/>
      <c r="AV14" s="43">
        <f t="shared" si="0"/>
        <v>15.792000000000002</v>
      </c>
      <c r="AW14" s="22" t="s">
        <v>272</v>
      </c>
    </row>
    <row r="15" spans="3:50" ht="19.899999999999999" customHeight="1" x14ac:dyDescent="0.4">
      <c r="C15" s="65" t="s">
        <v>212</v>
      </c>
      <c r="D15" s="124" t="s">
        <v>23</v>
      </c>
      <c r="E15" s="38" t="s">
        <v>158</v>
      </c>
      <c r="F15" s="22" t="s">
        <v>159</v>
      </c>
      <c r="G15" s="67" t="s">
        <v>187</v>
      </c>
      <c r="H15" s="197">
        <v>584</v>
      </c>
      <c r="I15" s="198" t="s">
        <v>141</v>
      </c>
      <c r="J15" s="205"/>
      <c r="K15" s="138">
        <v>38.9</v>
      </c>
      <c r="L15" s="3" t="s">
        <v>142</v>
      </c>
      <c r="M15" s="11" t="s">
        <v>192</v>
      </c>
      <c r="N15" s="47">
        <f t="shared" si="1"/>
        <v>22717.599999999999</v>
      </c>
      <c r="O15" s="22" t="s">
        <v>303</v>
      </c>
      <c r="P15" s="47">
        <f t="shared" si="2"/>
        <v>5861.1408000000001</v>
      </c>
      <c r="Q15" s="22" t="s">
        <v>317</v>
      </c>
      <c r="R15" s="34">
        <v>1.9300000000000001E-2</v>
      </c>
      <c r="S15" s="3" t="s">
        <v>22</v>
      </c>
      <c r="T15" s="11" t="s">
        <v>192</v>
      </c>
      <c r="U15" s="47">
        <f>INT(H15*K15*R15*44/12)</f>
        <v>1607</v>
      </c>
      <c r="V15" s="22" t="s">
        <v>186</v>
      </c>
      <c r="W15" s="43"/>
      <c r="X15" s="8"/>
      <c r="Y15" s="3"/>
      <c r="Z15" s="3"/>
      <c r="AA15" s="22"/>
      <c r="AC15" s="9"/>
      <c r="AD15" s="26"/>
      <c r="AE15" s="30"/>
      <c r="AF15" s="31"/>
      <c r="AG15" s="89" t="s">
        <v>58</v>
      </c>
      <c r="AH15" s="65" t="s">
        <v>261</v>
      </c>
      <c r="AI15" s="148"/>
      <c r="AJ15" s="155" t="s">
        <v>136</v>
      </c>
      <c r="AK15" s="109" t="s">
        <v>314</v>
      </c>
      <c r="AL15" s="155" t="s">
        <v>314</v>
      </c>
      <c r="AM15" s="110" t="s">
        <v>314</v>
      </c>
      <c r="AN15" s="58">
        <v>1.2E-4</v>
      </c>
      <c r="AO15" s="20" t="s">
        <v>284</v>
      </c>
      <c r="AP15" s="39" t="s">
        <v>192</v>
      </c>
      <c r="AQ15" s="53">
        <f>AI14*AN15</f>
        <v>6.7680000000000004E-2</v>
      </c>
      <c r="AR15" s="46" t="s">
        <v>285</v>
      </c>
      <c r="AS15" s="47">
        <v>265</v>
      </c>
      <c r="AT15" s="11" t="s">
        <v>295</v>
      </c>
      <c r="AU15" s="22"/>
      <c r="AV15" s="43">
        <f t="shared" si="0"/>
        <v>17.935200000000002</v>
      </c>
      <c r="AW15" s="22" t="s">
        <v>272</v>
      </c>
    </row>
    <row r="16" spans="3:50" ht="19.899999999999999" customHeight="1" x14ac:dyDescent="0.4">
      <c r="C16" s="65" t="s">
        <v>212</v>
      </c>
      <c r="D16" s="124" t="s">
        <v>23</v>
      </c>
      <c r="E16" s="38" t="s">
        <v>167</v>
      </c>
      <c r="F16" s="22" t="s">
        <v>168</v>
      </c>
      <c r="G16" s="67" t="s">
        <v>187</v>
      </c>
      <c r="H16" s="197">
        <v>0</v>
      </c>
      <c r="I16" s="198" t="s">
        <v>141</v>
      </c>
      <c r="J16" s="205"/>
      <c r="K16" s="138">
        <v>38.9</v>
      </c>
      <c r="L16" s="3" t="s">
        <v>142</v>
      </c>
      <c r="M16" s="11" t="s">
        <v>192</v>
      </c>
      <c r="N16" s="47">
        <f t="shared" si="1"/>
        <v>0</v>
      </c>
      <c r="O16" s="22" t="s">
        <v>303</v>
      </c>
      <c r="P16" s="47">
        <f t="shared" si="2"/>
        <v>0</v>
      </c>
      <c r="Q16" s="22" t="s">
        <v>317</v>
      </c>
      <c r="R16" s="34">
        <v>1.9300000000000001E-2</v>
      </c>
      <c r="S16" s="3" t="s">
        <v>22</v>
      </c>
      <c r="T16" s="11" t="s">
        <v>192</v>
      </c>
      <c r="U16" s="47">
        <f>INT(H16*K16*R16*44/12)</f>
        <v>0</v>
      </c>
      <c r="V16" s="22" t="s">
        <v>186</v>
      </c>
      <c r="W16" s="43"/>
      <c r="X16" s="8"/>
      <c r="Y16" s="3"/>
      <c r="Z16" s="3"/>
      <c r="AA16" s="22"/>
      <c r="AC16" s="9"/>
      <c r="AD16" s="26"/>
      <c r="AE16" s="30"/>
      <c r="AF16" s="29" t="s">
        <v>135</v>
      </c>
      <c r="AG16" s="89" t="s">
        <v>63</v>
      </c>
      <c r="AH16" s="65" t="s">
        <v>196</v>
      </c>
      <c r="AI16" s="182">
        <v>1088</v>
      </c>
      <c r="AJ16" s="213" t="s">
        <v>136</v>
      </c>
      <c r="AK16" s="180" t="s">
        <v>314</v>
      </c>
      <c r="AL16" s="6" t="s">
        <v>314</v>
      </c>
      <c r="AM16" s="181" t="s">
        <v>314</v>
      </c>
      <c r="AN16" s="55">
        <v>4.6000000000000001E-4</v>
      </c>
      <c r="AO16" s="20" t="s">
        <v>270</v>
      </c>
      <c r="AP16" s="39" t="s">
        <v>192</v>
      </c>
      <c r="AQ16" s="53">
        <f>AI16*AN16</f>
        <v>0.50048000000000004</v>
      </c>
      <c r="AR16" s="22" t="s">
        <v>271</v>
      </c>
      <c r="AS16" s="38">
        <v>28</v>
      </c>
      <c r="AT16" s="11" t="s">
        <v>292</v>
      </c>
      <c r="AU16" s="22"/>
      <c r="AV16" s="43">
        <f t="shared" si="0"/>
        <v>14.013440000000001</v>
      </c>
      <c r="AW16" s="22" t="s">
        <v>272</v>
      </c>
    </row>
    <row r="17" spans="3:49" ht="19.899999999999999" customHeight="1" x14ac:dyDescent="0.4">
      <c r="C17" s="65" t="s">
        <v>213</v>
      </c>
      <c r="D17" s="124" t="s">
        <v>23</v>
      </c>
      <c r="E17" s="38" t="s">
        <v>55</v>
      </c>
      <c r="F17" s="22" t="s">
        <v>55</v>
      </c>
      <c r="G17" s="67" t="s">
        <v>187</v>
      </c>
      <c r="H17" s="197">
        <f>SUM(H12:H16)</f>
        <v>2799</v>
      </c>
      <c r="I17" s="198" t="s">
        <v>141</v>
      </c>
      <c r="J17" s="206" t="s">
        <v>216</v>
      </c>
      <c r="K17" s="138">
        <v>38.9</v>
      </c>
      <c r="L17" s="3" t="s">
        <v>142</v>
      </c>
      <c r="M17" s="11" t="s">
        <v>192</v>
      </c>
      <c r="N17" s="47">
        <f t="shared" si="1"/>
        <v>108881.09999999999</v>
      </c>
      <c r="O17" s="22" t="s">
        <v>303</v>
      </c>
      <c r="P17" s="47">
        <f t="shared" si="2"/>
        <v>28091.323799999998</v>
      </c>
      <c r="Q17" s="22" t="s">
        <v>317</v>
      </c>
      <c r="R17" s="34">
        <v>1.9300000000000001E-2</v>
      </c>
      <c r="S17" s="3" t="s">
        <v>22</v>
      </c>
      <c r="T17" s="11" t="s">
        <v>192</v>
      </c>
      <c r="U17" s="47">
        <f>H17*K17*R17*44/12</f>
        <v>7705.1525099999999</v>
      </c>
      <c r="V17" s="22" t="s">
        <v>186</v>
      </c>
      <c r="W17" s="43"/>
      <c r="X17" s="8"/>
      <c r="Y17" s="3"/>
      <c r="Z17" s="3"/>
      <c r="AA17" s="22"/>
      <c r="AC17" s="9"/>
      <c r="AD17" s="27"/>
      <c r="AE17" s="31"/>
      <c r="AF17" s="31"/>
      <c r="AG17" s="89" t="s">
        <v>58</v>
      </c>
      <c r="AH17" s="65" t="s">
        <v>261</v>
      </c>
      <c r="AI17" s="148"/>
      <c r="AJ17" s="155" t="s">
        <v>136</v>
      </c>
      <c r="AK17" s="109" t="s">
        <v>314</v>
      </c>
      <c r="AL17" s="4" t="s">
        <v>314</v>
      </c>
      <c r="AM17" s="110" t="s">
        <v>314</v>
      </c>
      <c r="AN17" s="58">
        <v>3.8999999999999999E-5</v>
      </c>
      <c r="AO17" s="20" t="s">
        <v>284</v>
      </c>
      <c r="AP17" s="39" t="s">
        <v>192</v>
      </c>
      <c r="AQ17" s="53">
        <f>AI16*AN17</f>
        <v>4.2431999999999997E-2</v>
      </c>
      <c r="AR17" s="46" t="s">
        <v>285</v>
      </c>
      <c r="AS17" s="47">
        <v>265</v>
      </c>
      <c r="AT17" s="11" t="s">
        <v>295</v>
      </c>
      <c r="AU17" s="22"/>
      <c r="AV17" s="43">
        <f t="shared" si="0"/>
        <v>11.244479999999999</v>
      </c>
      <c r="AW17" s="22" t="s">
        <v>272</v>
      </c>
    </row>
    <row r="18" spans="3:49" ht="19.899999999999999" customHeight="1" x14ac:dyDescent="0.4">
      <c r="C18" s="117" t="s">
        <v>214</v>
      </c>
      <c r="D18" s="125" t="s">
        <v>23</v>
      </c>
      <c r="E18" s="81" t="s">
        <v>55</v>
      </c>
      <c r="F18" s="101" t="s">
        <v>55</v>
      </c>
      <c r="G18" s="135" t="s">
        <v>261</v>
      </c>
      <c r="H18" s="150">
        <v>2798.4840000000004</v>
      </c>
      <c r="I18" s="2" t="s">
        <v>141</v>
      </c>
      <c r="J18" s="101"/>
      <c r="K18" s="139">
        <v>38.900000142934523</v>
      </c>
      <c r="L18" s="2" t="s">
        <v>142</v>
      </c>
      <c r="M18" s="156" t="s">
        <v>192</v>
      </c>
      <c r="N18" s="150">
        <f t="shared" si="1"/>
        <v>108861.02799999999</v>
      </c>
      <c r="O18" s="101" t="s">
        <v>303</v>
      </c>
      <c r="P18" s="150">
        <f t="shared" si="2"/>
        <v>28086.145224</v>
      </c>
      <c r="Q18" s="101" t="s">
        <v>317</v>
      </c>
      <c r="R18" s="165">
        <v>1.9300002301182485E-2</v>
      </c>
      <c r="S18" s="2" t="s">
        <v>22</v>
      </c>
      <c r="T18" s="156" t="s">
        <v>192</v>
      </c>
      <c r="U18" s="150">
        <f>H18*K18*R18*44/12</f>
        <v>7703.7330000000002</v>
      </c>
      <c r="V18" s="101" t="s">
        <v>186</v>
      </c>
      <c r="W18" s="171" t="s">
        <v>197</v>
      </c>
      <c r="X18" s="91" t="s">
        <v>251</v>
      </c>
      <c r="Y18" s="92" t="s">
        <v>252</v>
      </c>
      <c r="Z18" s="2" t="s">
        <v>240</v>
      </c>
      <c r="AA18" s="101" t="s">
        <v>242</v>
      </c>
      <c r="AC18" s="9"/>
      <c r="AD18" s="25" t="s">
        <v>117</v>
      </c>
      <c r="AE18" s="29" t="s">
        <v>118</v>
      </c>
      <c r="AF18" s="32" t="s">
        <v>122</v>
      </c>
      <c r="AG18" s="89" t="s">
        <v>63</v>
      </c>
      <c r="AH18" s="65" t="s">
        <v>261</v>
      </c>
      <c r="AI18" s="47">
        <v>9531562.3019999992</v>
      </c>
      <c r="AJ18" s="11" t="s">
        <v>6</v>
      </c>
      <c r="AK18" s="38" t="s">
        <v>314</v>
      </c>
      <c r="AL18" s="3" t="s">
        <v>314</v>
      </c>
      <c r="AM18" s="22" t="s">
        <v>314</v>
      </c>
      <c r="AN18" s="56">
        <v>2.6000000000000001E-6</v>
      </c>
      <c r="AO18" s="20" t="s">
        <v>273</v>
      </c>
      <c r="AP18" s="39" t="s">
        <v>192</v>
      </c>
      <c r="AQ18" s="53">
        <f>AI18*AN18</f>
        <v>24.782061985199999</v>
      </c>
      <c r="AR18" s="22" t="s">
        <v>271</v>
      </c>
      <c r="AS18" s="38">
        <v>28</v>
      </c>
      <c r="AT18" s="11" t="s">
        <v>292</v>
      </c>
      <c r="AU18" s="22"/>
      <c r="AV18" s="43">
        <f t="shared" si="0"/>
        <v>693.8977355856</v>
      </c>
      <c r="AW18" s="22" t="s">
        <v>272</v>
      </c>
    </row>
    <row r="19" spans="3:49" ht="19.899999999999999" customHeight="1" x14ac:dyDescent="0.4">
      <c r="C19" s="65" t="s">
        <v>212</v>
      </c>
      <c r="D19" s="124" t="s">
        <v>27</v>
      </c>
      <c r="E19" s="38" t="s">
        <v>144</v>
      </c>
      <c r="F19" s="22" t="s">
        <v>140</v>
      </c>
      <c r="G19" s="67" t="s">
        <v>262</v>
      </c>
      <c r="H19" s="197">
        <v>7584</v>
      </c>
      <c r="I19" s="198" t="s">
        <v>141</v>
      </c>
      <c r="J19" s="205"/>
      <c r="K19" s="138">
        <v>41.8</v>
      </c>
      <c r="L19" s="3" t="s">
        <v>142</v>
      </c>
      <c r="M19" s="11" t="s">
        <v>192</v>
      </c>
      <c r="N19" s="47">
        <f t="shared" si="1"/>
        <v>317011.19999999995</v>
      </c>
      <c r="O19" s="22" t="s">
        <v>36</v>
      </c>
      <c r="P19" s="47">
        <f t="shared" si="2"/>
        <v>81788.889599999995</v>
      </c>
      <c r="Q19" s="22" t="s">
        <v>317</v>
      </c>
      <c r="R19" s="34">
        <v>2.0199999999999999E-2</v>
      </c>
      <c r="S19" s="3" t="s">
        <v>22</v>
      </c>
      <c r="T19" s="11" t="s">
        <v>192</v>
      </c>
      <c r="U19" s="47">
        <f>INT(H19*K19*R19*44/12)</f>
        <v>23479</v>
      </c>
      <c r="V19" s="22" t="s">
        <v>186</v>
      </c>
      <c r="W19" s="43"/>
      <c r="X19" s="8"/>
      <c r="Y19" s="3"/>
      <c r="Z19" s="3"/>
      <c r="AA19" s="22"/>
      <c r="AC19" s="9"/>
      <c r="AD19" s="27"/>
      <c r="AE19" s="31"/>
      <c r="AF19" s="32" t="s">
        <v>119</v>
      </c>
      <c r="AG19" s="89" t="s">
        <v>63</v>
      </c>
      <c r="AH19" s="65" t="s">
        <v>261</v>
      </c>
      <c r="AI19" s="47">
        <v>9531562.3019999992</v>
      </c>
      <c r="AJ19" s="11" t="s">
        <v>6</v>
      </c>
      <c r="AK19" s="38" t="s">
        <v>314</v>
      </c>
      <c r="AL19" s="3" t="s">
        <v>314</v>
      </c>
      <c r="AM19" s="22" t="s">
        <v>314</v>
      </c>
      <c r="AN19" s="57">
        <v>2.9000000000000002E-8</v>
      </c>
      <c r="AO19" s="20" t="s">
        <v>273</v>
      </c>
      <c r="AP19" s="39" t="s">
        <v>192</v>
      </c>
      <c r="AQ19" s="53">
        <f>AI19*AN19</f>
        <v>0.27641530675799997</v>
      </c>
      <c r="AR19" s="22" t="s">
        <v>271</v>
      </c>
      <c r="AS19" s="38">
        <v>28</v>
      </c>
      <c r="AT19" s="11" t="s">
        <v>292</v>
      </c>
      <c r="AU19" s="22"/>
      <c r="AV19" s="43">
        <f t="shared" si="0"/>
        <v>7.7396285892239991</v>
      </c>
      <c r="AW19" s="22" t="s">
        <v>272</v>
      </c>
    </row>
    <row r="20" spans="3:49" ht="19.899999999999999" customHeight="1" x14ac:dyDescent="0.4">
      <c r="C20" s="65" t="s">
        <v>212</v>
      </c>
      <c r="D20" s="124" t="s">
        <v>27</v>
      </c>
      <c r="E20" s="38" t="s">
        <v>148</v>
      </c>
      <c r="F20" s="22" t="s">
        <v>146</v>
      </c>
      <c r="G20" s="67" t="s">
        <v>187</v>
      </c>
      <c r="H20" s="197">
        <v>28502</v>
      </c>
      <c r="I20" s="198" t="s">
        <v>141</v>
      </c>
      <c r="J20" s="205"/>
      <c r="K20" s="138">
        <v>41.8</v>
      </c>
      <c r="L20" s="3" t="s">
        <v>142</v>
      </c>
      <c r="M20" s="11" t="s">
        <v>192</v>
      </c>
      <c r="N20" s="47">
        <f t="shared" si="1"/>
        <v>1191383.5999999999</v>
      </c>
      <c r="O20" s="22" t="s">
        <v>36</v>
      </c>
      <c r="P20" s="47">
        <f t="shared" si="2"/>
        <v>307376.96879999997</v>
      </c>
      <c r="Q20" s="22" t="s">
        <v>317</v>
      </c>
      <c r="R20" s="34">
        <v>2.0199999999999999E-2</v>
      </c>
      <c r="S20" s="3" t="s">
        <v>22</v>
      </c>
      <c r="T20" s="11" t="s">
        <v>192</v>
      </c>
      <c r="U20" s="47">
        <f>INT(H20*K20*R20*44/12)</f>
        <v>88241</v>
      </c>
      <c r="V20" s="22" t="s">
        <v>186</v>
      </c>
      <c r="W20" s="43"/>
      <c r="X20" s="8"/>
      <c r="Y20" s="3"/>
      <c r="Z20" s="3"/>
      <c r="AA20" s="22"/>
      <c r="AC20" s="9"/>
      <c r="AD20" s="63" t="s">
        <v>125</v>
      </c>
      <c r="AE20" s="32" t="s">
        <v>5</v>
      </c>
      <c r="AF20" s="32" t="s">
        <v>126</v>
      </c>
      <c r="AG20" s="89" t="s">
        <v>63</v>
      </c>
      <c r="AH20" s="65" t="s">
        <v>261</v>
      </c>
      <c r="AI20" s="47">
        <v>98388.445999999996</v>
      </c>
      <c r="AJ20" s="11" t="s">
        <v>274</v>
      </c>
      <c r="AK20" s="38" t="s">
        <v>314</v>
      </c>
      <c r="AL20" s="3" t="s">
        <v>314</v>
      </c>
      <c r="AM20" s="22" t="s">
        <v>314</v>
      </c>
      <c r="AN20" s="58">
        <v>9.1999999999999998E-7</v>
      </c>
      <c r="AO20" s="20" t="s">
        <v>275</v>
      </c>
      <c r="AP20" s="39" t="s">
        <v>192</v>
      </c>
      <c r="AQ20" s="53">
        <f>AI20*AN20</f>
        <v>9.0517370319999998E-2</v>
      </c>
      <c r="AR20" s="22" t="s">
        <v>271</v>
      </c>
      <c r="AS20" s="38">
        <v>28</v>
      </c>
      <c r="AT20" s="11" t="s">
        <v>292</v>
      </c>
      <c r="AU20" s="22"/>
      <c r="AV20" s="43">
        <f t="shared" si="0"/>
        <v>2.5344863689600001</v>
      </c>
      <c r="AW20" s="22" t="s">
        <v>272</v>
      </c>
    </row>
    <row r="21" spans="3:49" ht="19.899999999999999" customHeight="1" x14ac:dyDescent="0.4">
      <c r="C21" s="65" t="s">
        <v>212</v>
      </c>
      <c r="D21" s="124" t="s">
        <v>27</v>
      </c>
      <c r="E21" s="38" t="s">
        <v>156</v>
      </c>
      <c r="F21" s="22" t="s">
        <v>150</v>
      </c>
      <c r="G21" s="67" t="s">
        <v>187</v>
      </c>
      <c r="H21" s="197">
        <v>77034</v>
      </c>
      <c r="I21" s="198" t="s">
        <v>141</v>
      </c>
      <c r="J21" s="205"/>
      <c r="K21" s="138">
        <v>41.8</v>
      </c>
      <c r="L21" s="3" t="s">
        <v>142</v>
      </c>
      <c r="M21" s="11" t="s">
        <v>192</v>
      </c>
      <c r="N21" s="47">
        <f t="shared" si="1"/>
        <v>3220021.1999999997</v>
      </c>
      <c r="O21" s="22" t="s">
        <v>36</v>
      </c>
      <c r="P21" s="47">
        <f>N21*0.258</f>
        <v>830765.46959999995</v>
      </c>
      <c r="Q21" s="22" t="s">
        <v>317</v>
      </c>
      <c r="R21" s="34">
        <v>2.0199999999999999E-2</v>
      </c>
      <c r="S21" s="3" t="s">
        <v>22</v>
      </c>
      <c r="T21" s="11" t="s">
        <v>192</v>
      </c>
      <c r="U21" s="47">
        <f>INT(H21*K21*R21*44/12)</f>
        <v>238496</v>
      </c>
      <c r="V21" s="22" t="s">
        <v>186</v>
      </c>
      <c r="W21" s="43"/>
      <c r="X21" s="8"/>
      <c r="Y21" s="3"/>
      <c r="Z21" s="3"/>
      <c r="AA21" s="22"/>
      <c r="AC21" s="9"/>
      <c r="AD21" s="63" t="s">
        <v>129</v>
      </c>
      <c r="AE21" s="32" t="s">
        <v>5</v>
      </c>
      <c r="AF21" s="32" t="s">
        <v>286</v>
      </c>
      <c r="AG21" s="89" t="s">
        <v>58</v>
      </c>
      <c r="AH21" s="65" t="s">
        <v>261</v>
      </c>
      <c r="AI21" s="47">
        <v>17</v>
      </c>
      <c r="AJ21" s="11" t="s">
        <v>130</v>
      </c>
      <c r="AK21" s="38" t="s">
        <v>314</v>
      </c>
      <c r="AL21" s="3" t="s">
        <v>314</v>
      </c>
      <c r="AM21" s="22" t="s">
        <v>314</v>
      </c>
      <c r="AN21" s="45">
        <v>1.7000000000000001E-2</v>
      </c>
      <c r="AO21" s="1" t="s">
        <v>287</v>
      </c>
      <c r="AP21" s="39" t="s">
        <v>192</v>
      </c>
      <c r="AQ21" s="53">
        <f>AI21*AN21</f>
        <v>0.28900000000000003</v>
      </c>
      <c r="AR21" s="46" t="s">
        <v>285</v>
      </c>
      <c r="AS21" s="47">
        <v>265</v>
      </c>
      <c r="AT21" s="11" t="s">
        <v>295</v>
      </c>
      <c r="AU21" s="22"/>
      <c r="AV21" s="43">
        <f t="shared" si="0"/>
        <v>76.585000000000008</v>
      </c>
      <c r="AW21" s="22" t="s">
        <v>272</v>
      </c>
    </row>
    <row r="22" spans="3:49" ht="19.899999999999999" customHeight="1" x14ac:dyDescent="0.4">
      <c r="C22" s="65" t="s">
        <v>212</v>
      </c>
      <c r="D22" s="124" t="s">
        <v>27</v>
      </c>
      <c r="E22" s="38" t="s">
        <v>160</v>
      </c>
      <c r="F22" s="22" t="s">
        <v>159</v>
      </c>
      <c r="G22" s="67" t="s">
        <v>187</v>
      </c>
      <c r="H22" s="197">
        <v>10260</v>
      </c>
      <c r="I22" s="198" t="s">
        <v>141</v>
      </c>
      <c r="J22" s="205"/>
      <c r="K22" s="138">
        <v>41.8</v>
      </c>
      <c r="L22" s="3" t="s">
        <v>142</v>
      </c>
      <c r="M22" s="11" t="s">
        <v>192</v>
      </c>
      <c r="N22" s="47">
        <f t="shared" si="1"/>
        <v>428867.99999999994</v>
      </c>
      <c r="O22" s="22" t="s">
        <v>36</v>
      </c>
      <c r="P22" s="47">
        <f t="shared" si="2"/>
        <v>110647.94399999999</v>
      </c>
      <c r="Q22" s="22" t="s">
        <v>317</v>
      </c>
      <c r="R22" s="34">
        <v>2.0199999999999999E-2</v>
      </c>
      <c r="S22" s="3" t="s">
        <v>22</v>
      </c>
      <c r="T22" s="11" t="s">
        <v>192</v>
      </c>
      <c r="U22" s="47">
        <f>INT(H22*K22*R22*44/12)</f>
        <v>31764</v>
      </c>
      <c r="V22" s="22" t="s">
        <v>186</v>
      </c>
      <c r="W22" s="43"/>
      <c r="X22" s="8"/>
      <c r="Y22" s="3"/>
      <c r="Z22" s="3"/>
      <c r="AA22" s="22"/>
      <c r="AC22" s="9"/>
      <c r="AD22" s="25" t="s">
        <v>87</v>
      </c>
      <c r="AE22" s="29" t="s">
        <v>88</v>
      </c>
      <c r="AF22" s="29" t="s">
        <v>23</v>
      </c>
      <c r="AG22" s="89" t="s">
        <v>63</v>
      </c>
      <c r="AH22" s="65" t="s">
        <v>265</v>
      </c>
      <c r="AI22" s="200">
        <v>2798.4839999999999</v>
      </c>
      <c r="AJ22" s="217" t="s">
        <v>6</v>
      </c>
      <c r="AK22" s="180">
        <v>38.9</v>
      </c>
      <c r="AL22" s="6" t="s">
        <v>276</v>
      </c>
      <c r="AM22" s="181" t="s">
        <v>192</v>
      </c>
      <c r="AN22" s="58">
        <v>2.6E-7</v>
      </c>
      <c r="AO22" s="20" t="s">
        <v>281</v>
      </c>
      <c r="AP22" s="39" t="s">
        <v>192</v>
      </c>
      <c r="AQ22" s="53">
        <f>AI22*AK22*AN22</f>
        <v>2.8303867175999996E-2</v>
      </c>
      <c r="AR22" s="22" t="s">
        <v>271</v>
      </c>
      <c r="AS22" s="38">
        <v>28</v>
      </c>
      <c r="AT22" s="11" t="s">
        <v>292</v>
      </c>
      <c r="AU22" s="22"/>
      <c r="AV22" s="43">
        <f t="shared" si="0"/>
        <v>0.79250828092799985</v>
      </c>
      <c r="AW22" s="22" t="s">
        <v>272</v>
      </c>
    </row>
    <row r="23" spans="3:49" ht="19.899999999999999" customHeight="1" x14ac:dyDescent="0.4">
      <c r="C23" s="65" t="s">
        <v>212</v>
      </c>
      <c r="D23" s="124" t="s">
        <v>27</v>
      </c>
      <c r="E23" s="38" t="s">
        <v>182</v>
      </c>
      <c r="F23" s="22" t="s">
        <v>183</v>
      </c>
      <c r="G23" s="67" t="s">
        <v>187</v>
      </c>
      <c r="H23" s="197">
        <v>46</v>
      </c>
      <c r="I23" s="198" t="s">
        <v>141</v>
      </c>
      <c r="J23" s="205"/>
      <c r="K23" s="138">
        <v>41.8</v>
      </c>
      <c r="L23" s="3" t="s">
        <v>142</v>
      </c>
      <c r="M23" s="11" t="s">
        <v>192</v>
      </c>
      <c r="N23" s="47">
        <f t="shared" si="1"/>
        <v>1922.8</v>
      </c>
      <c r="O23" s="22" t="s">
        <v>36</v>
      </c>
      <c r="P23" s="47">
        <f t="shared" si="2"/>
        <v>496.08240000000001</v>
      </c>
      <c r="Q23" s="22" t="s">
        <v>317</v>
      </c>
      <c r="R23" s="34">
        <v>2.0199999999999999E-2</v>
      </c>
      <c r="S23" s="3" t="s">
        <v>22</v>
      </c>
      <c r="T23" s="11" t="s">
        <v>192</v>
      </c>
      <c r="U23" s="47">
        <f>INT(H23*K23*R23*44/12)</f>
        <v>142</v>
      </c>
      <c r="V23" s="22" t="s">
        <v>186</v>
      </c>
      <c r="W23" s="43"/>
      <c r="X23" s="8"/>
      <c r="Y23" s="3"/>
      <c r="Z23" s="3"/>
      <c r="AA23" s="22"/>
      <c r="AC23" s="9"/>
      <c r="AD23" s="26"/>
      <c r="AE23" s="30"/>
      <c r="AF23" s="31"/>
      <c r="AG23" s="89" t="s">
        <v>58</v>
      </c>
      <c r="AH23" s="65" t="s">
        <v>265</v>
      </c>
      <c r="AI23" s="195"/>
      <c r="AJ23" s="204" t="s">
        <v>6</v>
      </c>
      <c r="AK23" s="109"/>
      <c r="AL23" s="4"/>
      <c r="AM23" s="110"/>
      <c r="AN23" s="45">
        <v>1.9000000000000001E-7</v>
      </c>
      <c r="AO23" s="1" t="s">
        <v>288</v>
      </c>
      <c r="AP23" s="39" t="s">
        <v>192</v>
      </c>
      <c r="AQ23" s="53">
        <f>AI22*AK22*AN23</f>
        <v>2.0683595244E-2</v>
      </c>
      <c r="AR23" s="46" t="s">
        <v>285</v>
      </c>
      <c r="AS23" s="47">
        <v>265</v>
      </c>
      <c r="AT23" s="11" t="s">
        <v>295</v>
      </c>
      <c r="AU23" s="22"/>
      <c r="AV23" s="43">
        <f t="shared" si="0"/>
        <v>5.4811527396599997</v>
      </c>
      <c r="AW23" s="22" t="s">
        <v>272</v>
      </c>
    </row>
    <row r="24" spans="3:49" ht="19.899999999999999" customHeight="1" x14ac:dyDescent="0.4">
      <c r="C24" s="65" t="s">
        <v>213</v>
      </c>
      <c r="D24" s="124" t="s">
        <v>27</v>
      </c>
      <c r="E24" s="38" t="s">
        <v>55</v>
      </c>
      <c r="F24" s="22" t="s">
        <v>55</v>
      </c>
      <c r="G24" s="67" t="s">
        <v>187</v>
      </c>
      <c r="H24" s="197">
        <f>SUM(H19:H23)</f>
        <v>123426</v>
      </c>
      <c r="I24" s="198" t="s">
        <v>141</v>
      </c>
      <c r="J24" s="206" t="s">
        <v>216</v>
      </c>
      <c r="K24" s="138">
        <v>41.8</v>
      </c>
      <c r="L24" s="3" t="s">
        <v>142</v>
      </c>
      <c r="M24" s="11" t="s">
        <v>192</v>
      </c>
      <c r="N24" s="47">
        <f t="shared" si="1"/>
        <v>5159206.8</v>
      </c>
      <c r="O24" s="22" t="s">
        <v>36</v>
      </c>
      <c r="P24" s="47">
        <f t="shared" si="2"/>
        <v>1331075.3544000001</v>
      </c>
      <c r="Q24" s="22" t="s">
        <v>317</v>
      </c>
      <c r="R24" s="34">
        <v>2.0199999999999999E-2</v>
      </c>
      <c r="S24" s="3" t="s">
        <v>22</v>
      </c>
      <c r="T24" s="11" t="s">
        <v>192</v>
      </c>
      <c r="U24" s="47">
        <f>H24*K24*R24*44/12</f>
        <v>382125.25031999993</v>
      </c>
      <c r="V24" s="22" t="s">
        <v>186</v>
      </c>
      <c r="W24" s="43"/>
      <c r="X24" s="8"/>
      <c r="Y24" s="3"/>
      <c r="Z24" s="3"/>
      <c r="AA24" s="22"/>
      <c r="AC24" s="9"/>
      <c r="AD24" s="26"/>
      <c r="AE24" s="30"/>
      <c r="AF24" s="29" t="s">
        <v>93</v>
      </c>
      <c r="AG24" s="89" t="s">
        <v>63</v>
      </c>
      <c r="AH24" s="65" t="s">
        <v>265</v>
      </c>
      <c r="AI24" s="200">
        <v>123425.745</v>
      </c>
      <c r="AJ24" s="217" t="s">
        <v>6</v>
      </c>
      <c r="AK24" s="180">
        <v>41.8</v>
      </c>
      <c r="AL24" s="6" t="s">
        <v>276</v>
      </c>
      <c r="AM24" s="181" t="s">
        <v>192</v>
      </c>
      <c r="AN24" s="58">
        <v>9.9999999999999995E-8</v>
      </c>
      <c r="AO24" s="20" t="s">
        <v>281</v>
      </c>
      <c r="AP24" s="39" t="s">
        <v>192</v>
      </c>
      <c r="AQ24" s="53">
        <f>AI24*AK24*AN24</f>
        <v>0.51591961409999998</v>
      </c>
      <c r="AR24" s="22" t="s">
        <v>271</v>
      </c>
      <c r="AS24" s="38">
        <v>28</v>
      </c>
      <c r="AT24" s="11" t="s">
        <v>292</v>
      </c>
      <c r="AU24" s="22"/>
      <c r="AV24" s="43">
        <f t="shared" si="0"/>
        <v>14.445749194799999</v>
      </c>
      <c r="AW24" s="22" t="s">
        <v>272</v>
      </c>
    </row>
    <row r="25" spans="3:49" ht="19.899999999999999" customHeight="1" x14ac:dyDescent="0.4">
      <c r="C25" s="117" t="s">
        <v>214</v>
      </c>
      <c r="D25" s="125" t="s">
        <v>27</v>
      </c>
      <c r="E25" s="81" t="s">
        <v>55</v>
      </c>
      <c r="F25" s="101" t="s">
        <v>55</v>
      </c>
      <c r="G25" s="135" t="s">
        <v>261</v>
      </c>
      <c r="H25" s="150">
        <v>123425.746</v>
      </c>
      <c r="I25" s="2" t="s">
        <v>141</v>
      </c>
      <c r="J25" s="101"/>
      <c r="K25" s="139">
        <v>41.8</v>
      </c>
      <c r="L25" s="2" t="s">
        <v>142</v>
      </c>
      <c r="M25" s="156" t="s">
        <v>192</v>
      </c>
      <c r="N25" s="150">
        <f t="shared" si="1"/>
        <v>5159196.1827999996</v>
      </c>
      <c r="O25" s="101" t="s">
        <v>36</v>
      </c>
      <c r="P25" s="150">
        <f t="shared" si="2"/>
        <v>1331072.6151623998</v>
      </c>
      <c r="Q25" s="101" t="s">
        <v>317</v>
      </c>
      <c r="R25" s="120">
        <v>2.0199999999999999E-2</v>
      </c>
      <c r="S25" s="2" t="s">
        <v>22</v>
      </c>
      <c r="T25" s="156" t="s">
        <v>192</v>
      </c>
      <c r="U25" s="150">
        <v>382124.46400000004</v>
      </c>
      <c r="V25" s="101" t="s">
        <v>186</v>
      </c>
      <c r="W25" s="171" t="s">
        <v>197</v>
      </c>
      <c r="X25" s="91" t="s">
        <v>251</v>
      </c>
      <c r="Y25" s="92" t="s">
        <v>252</v>
      </c>
      <c r="Z25" s="2" t="s">
        <v>240</v>
      </c>
      <c r="AA25" s="101" t="s">
        <v>242</v>
      </c>
      <c r="AC25" s="9"/>
      <c r="AD25" s="27"/>
      <c r="AE25" s="31"/>
      <c r="AF25" s="31"/>
      <c r="AG25" s="89" t="s">
        <v>58</v>
      </c>
      <c r="AH25" s="65" t="s">
        <v>265</v>
      </c>
      <c r="AI25" s="195"/>
      <c r="AJ25" s="204" t="s">
        <v>6</v>
      </c>
      <c r="AK25" s="109"/>
      <c r="AL25" s="4"/>
      <c r="AM25" s="110"/>
      <c r="AN25" s="45">
        <v>2.2000000000000001E-7</v>
      </c>
      <c r="AO25" s="1" t="s">
        <v>288</v>
      </c>
      <c r="AP25" s="39" t="s">
        <v>192</v>
      </c>
      <c r="AQ25" s="53">
        <f>AI24*AK24*AN25</f>
        <v>1.13502315102</v>
      </c>
      <c r="AR25" s="46" t="s">
        <v>285</v>
      </c>
      <c r="AS25" s="47">
        <v>265</v>
      </c>
      <c r="AT25" s="11" t="s">
        <v>295</v>
      </c>
      <c r="AU25" s="22"/>
      <c r="AV25" s="43">
        <f t="shared" si="0"/>
        <v>300.78113502029998</v>
      </c>
      <c r="AW25" s="22" t="s">
        <v>272</v>
      </c>
    </row>
    <row r="26" spans="3:49" ht="19.899999999999999" customHeight="1" x14ac:dyDescent="0.4">
      <c r="C26" s="65" t="s">
        <v>212</v>
      </c>
      <c r="D26" s="124" t="s">
        <v>45</v>
      </c>
      <c r="E26" s="38" t="s">
        <v>180</v>
      </c>
      <c r="F26" s="22" t="s">
        <v>181</v>
      </c>
      <c r="G26" s="67" t="s">
        <v>264</v>
      </c>
      <c r="H26" s="197">
        <v>99217</v>
      </c>
      <c r="I26" s="198" t="s">
        <v>164</v>
      </c>
      <c r="J26" s="205"/>
      <c r="K26" s="199">
        <v>41</v>
      </c>
      <c r="L26" s="198" t="s">
        <v>165</v>
      </c>
      <c r="M26" s="203" t="s">
        <v>191</v>
      </c>
      <c r="N26" s="47">
        <f t="shared" si="1"/>
        <v>4067897</v>
      </c>
      <c r="O26" s="22" t="s">
        <v>36</v>
      </c>
      <c r="P26" s="47">
        <f t="shared" si="2"/>
        <v>1049517.426</v>
      </c>
      <c r="Q26" s="22" t="s">
        <v>317</v>
      </c>
      <c r="R26" s="34">
        <v>2.2800000000000001E-2</v>
      </c>
      <c r="S26" s="3" t="s">
        <v>179</v>
      </c>
      <c r="T26" s="11" t="s">
        <v>191</v>
      </c>
      <c r="U26" s="47">
        <f>INT(H26*K26*R26*44/12)</f>
        <v>340076</v>
      </c>
      <c r="V26" s="22" t="s">
        <v>186</v>
      </c>
      <c r="W26" s="43"/>
      <c r="X26" s="8"/>
      <c r="Y26" s="3"/>
      <c r="Z26" s="3"/>
      <c r="AA26" s="22"/>
      <c r="AC26" s="9"/>
      <c r="AD26" s="25" t="s">
        <v>59</v>
      </c>
      <c r="AE26" s="29" t="s">
        <v>82</v>
      </c>
      <c r="AF26" s="29" t="s">
        <v>11</v>
      </c>
      <c r="AG26" s="89" t="s">
        <v>63</v>
      </c>
      <c r="AH26" s="65" t="s">
        <v>265</v>
      </c>
      <c r="AI26" s="200">
        <v>14.535</v>
      </c>
      <c r="AJ26" s="217" t="s">
        <v>12</v>
      </c>
      <c r="AK26" s="180">
        <v>50.1</v>
      </c>
      <c r="AL26" s="6" t="s">
        <v>277</v>
      </c>
      <c r="AM26" s="181" t="s">
        <v>192</v>
      </c>
      <c r="AN26" s="59">
        <v>4.1197275212217497E-6</v>
      </c>
      <c r="AO26" s="20" t="s">
        <v>281</v>
      </c>
      <c r="AP26" s="60" t="s">
        <v>265</v>
      </c>
      <c r="AQ26" s="53">
        <f>AI26*AK26*AN26</f>
        <v>3.0000000000000027E-3</v>
      </c>
      <c r="AR26" s="22" t="s">
        <v>271</v>
      </c>
      <c r="AS26" s="38">
        <v>28</v>
      </c>
      <c r="AT26" s="11" t="s">
        <v>292</v>
      </c>
      <c r="AU26" s="22"/>
      <c r="AV26" s="43">
        <f t="shared" si="0"/>
        <v>8.4000000000000075E-2</v>
      </c>
      <c r="AW26" s="22" t="s">
        <v>272</v>
      </c>
    </row>
    <row r="27" spans="3:49" ht="19.899999999999999" customHeight="1" x14ac:dyDescent="0.4">
      <c r="C27" s="65" t="s">
        <v>213</v>
      </c>
      <c r="D27" s="124" t="s">
        <v>32</v>
      </c>
      <c r="E27" s="38" t="s">
        <v>55</v>
      </c>
      <c r="F27" s="22" t="s">
        <v>55</v>
      </c>
      <c r="G27" s="67" t="s">
        <v>263</v>
      </c>
      <c r="H27" s="197">
        <f>H26</f>
        <v>99217</v>
      </c>
      <c r="I27" s="198" t="s">
        <v>164</v>
      </c>
      <c r="J27" s="206" t="s">
        <v>216</v>
      </c>
      <c r="K27" s="199">
        <v>41</v>
      </c>
      <c r="L27" s="198" t="s">
        <v>165</v>
      </c>
      <c r="M27" s="203" t="s">
        <v>191</v>
      </c>
      <c r="N27" s="47">
        <f t="shared" si="1"/>
        <v>4067897</v>
      </c>
      <c r="O27" s="22" t="s">
        <v>36</v>
      </c>
      <c r="P27" s="47">
        <f t="shared" si="2"/>
        <v>1049517.426</v>
      </c>
      <c r="Q27" s="22" t="s">
        <v>317</v>
      </c>
      <c r="R27" s="34">
        <v>2.2800000000000001E-2</v>
      </c>
      <c r="S27" s="3" t="s">
        <v>179</v>
      </c>
      <c r="T27" s="11" t="s">
        <v>191</v>
      </c>
      <c r="U27" s="47">
        <f>H27*K27*R27*44/12</f>
        <v>340076.18920000002</v>
      </c>
      <c r="V27" s="22" t="s">
        <v>186</v>
      </c>
      <c r="W27" s="43"/>
      <c r="X27" s="8"/>
      <c r="Y27" s="3"/>
      <c r="Z27" s="3"/>
      <c r="AA27" s="22"/>
      <c r="AC27" s="9"/>
      <c r="AD27" s="26"/>
      <c r="AE27" s="31"/>
      <c r="AF27" s="31"/>
      <c r="AG27" s="89" t="s">
        <v>58</v>
      </c>
      <c r="AH27" s="65" t="s">
        <v>265</v>
      </c>
      <c r="AI27" s="195"/>
      <c r="AJ27" s="204" t="s">
        <v>12</v>
      </c>
      <c r="AK27" s="109"/>
      <c r="AL27" s="4"/>
      <c r="AM27" s="110"/>
      <c r="AN27" s="45">
        <v>8.9999999999999999E-8</v>
      </c>
      <c r="AO27" s="1" t="s">
        <v>288</v>
      </c>
      <c r="AP27" s="39" t="s">
        <v>192</v>
      </c>
      <c r="AQ27" s="53">
        <f>AI26*AK26*AN27</f>
        <v>6.553831500000001E-5</v>
      </c>
      <c r="AR27" s="46" t="s">
        <v>285</v>
      </c>
      <c r="AS27" s="47">
        <v>265</v>
      </c>
      <c r="AT27" s="11" t="s">
        <v>295</v>
      </c>
      <c r="AU27" s="22"/>
      <c r="AV27" s="43">
        <f t="shared" si="0"/>
        <v>1.7367653475000001E-2</v>
      </c>
      <c r="AW27" s="22" t="s">
        <v>272</v>
      </c>
    </row>
    <row r="28" spans="3:49" ht="19.899999999999999" customHeight="1" x14ac:dyDescent="0.4">
      <c r="C28" s="117" t="s">
        <v>214</v>
      </c>
      <c r="D28" s="125" t="s">
        <v>32</v>
      </c>
      <c r="E28" s="81" t="s">
        <v>55</v>
      </c>
      <c r="F28" s="101" t="s">
        <v>55</v>
      </c>
      <c r="G28" s="135" t="s">
        <v>261</v>
      </c>
      <c r="H28" s="150">
        <v>99216.805999999997</v>
      </c>
      <c r="I28" s="2" t="s">
        <v>164</v>
      </c>
      <c r="J28" s="101"/>
      <c r="K28" s="139">
        <v>41</v>
      </c>
      <c r="L28" s="2" t="s">
        <v>165</v>
      </c>
      <c r="M28" s="156" t="s">
        <v>191</v>
      </c>
      <c r="N28" s="150">
        <f t="shared" si="1"/>
        <v>4067889.0460000001</v>
      </c>
      <c r="O28" s="101" t="s">
        <v>36</v>
      </c>
      <c r="P28" s="150">
        <f t="shared" si="2"/>
        <v>1049515.373868</v>
      </c>
      <c r="Q28" s="101" t="s">
        <v>317</v>
      </c>
      <c r="R28" s="120">
        <v>2.2799999916490083E-2</v>
      </c>
      <c r="S28" s="2" t="s">
        <v>179</v>
      </c>
      <c r="T28" s="156" t="s">
        <v>191</v>
      </c>
      <c r="U28" s="150">
        <f>H28*K28*R28*44/12</f>
        <v>340075.52300000004</v>
      </c>
      <c r="V28" s="101" t="s">
        <v>186</v>
      </c>
      <c r="W28" s="171" t="s">
        <v>185</v>
      </c>
      <c r="X28" s="91" t="s">
        <v>251</v>
      </c>
      <c r="Y28" s="2" t="s">
        <v>198</v>
      </c>
      <c r="Z28" s="2" t="s">
        <v>244</v>
      </c>
      <c r="AA28" s="101" t="s">
        <v>242</v>
      </c>
      <c r="AC28" s="9"/>
      <c r="AD28" s="26"/>
      <c r="AE28" s="29" t="s">
        <v>77</v>
      </c>
      <c r="AF28" s="29" t="s">
        <v>45</v>
      </c>
      <c r="AG28" s="89" t="s">
        <v>63</v>
      </c>
      <c r="AH28" s="65" t="s">
        <v>265</v>
      </c>
      <c r="AI28" s="200">
        <v>99216.807000000001</v>
      </c>
      <c r="AJ28" s="217" t="s">
        <v>12</v>
      </c>
      <c r="AK28" s="218">
        <v>34.1</v>
      </c>
      <c r="AL28" s="201" t="s">
        <v>277</v>
      </c>
      <c r="AM28" s="217" t="s">
        <v>278</v>
      </c>
      <c r="AN28" s="57">
        <v>5.4E-8</v>
      </c>
      <c r="AO28" s="20" t="s">
        <v>281</v>
      </c>
      <c r="AP28" s="39" t="s">
        <v>192</v>
      </c>
      <c r="AQ28" s="53">
        <f>AI28*AK28*AN28</f>
        <v>0.18269782840980001</v>
      </c>
      <c r="AR28" s="22" t="s">
        <v>271</v>
      </c>
      <c r="AS28" s="38">
        <v>28</v>
      </c>
      <c r="AT28" s="11" t="s">
        <v>292</v>
      </c>
      <c r="AU28" s="22"/>
      <c r="AV28" s="43">
        <f t="shared" si="0"/>
        <v>5.1155391954744003</v>
      </c>
      <c r="AW28" s="22" t="s">
        <v>272</v>
      </c>
    </row>
    <row r="29" spans="3:49" ht="19.899999999999999" customHeight="1" x14ac:dyDescent="0.4">
      <c r="C29" s="65" t="s">
        <v>212</v>
      </c>
      <c r="D29" s="124" t="s">
        <v>39</v>
      </c>
      <c r="E29" s="38" t="s">
        <v>163</v>
      </c>
      <c r="F29" s="22" t="s">
        <v>163</v>
      </c>
      <c r="G29" s="67" t="s">
        <v>265</v>
      </c>
      <c r="H29" s="197">
        <v>187718</v>
      </c>
      <c r="I29" s="198" t="s">
        <v>164</v>
      </c>
      <c r="J29" s="205" t="s">
        <v>219</v>
      </c>
      <c r="K29" s="138">
        <v>26.1</v>
      </c>
      <c r="L29" s="3" t="s">
        <v>165</v>
      </c>
      <c r="M29" s="11" t="s">
        <v>192</v>
      </c>
      <c r="N29" s="47">
        <f t="shared" si="1"/>
        <v>4899439.8</v>
      </c>
      <c r="O29" s="22" t="s">
        <v>36</v>
      </c>
      <c r="P29" s="47">
        <f t="shared" si="2"/>
        <v>1264055.4683999999</v>
      </c>
      <c r="Q29" s="22" t="s">
        <v>317</v>
      </c>
      <c r="R29" s="34">
        <v>2.4299999999999999E-2</v>
      </c>
      <c r="S29" s="3" t="s">
        <v>22</v>
      </c>
      <c r="T29" s="11" t="s">
        <v>192</v>
      </c>
      <c r="U29" s="47">
        <f>INT(H29*K29*R29*44/12)</f>
        <v>436540</v>
      </c>
      <c r="V29" s="22" t="s">
        <v>186</v>
      </c>
      <c r="W29" s="43"/>
      <c r="X29" s="8"/>
      <c r="Y29" s="3"/>
      <c r="Z29" s="3"/>
      <c r="AA29" s="22"/>
      <c r="AD29" s="26"/>
      <c r="AE29" s="31"/>
      <c r="AF29" s="31"/>
      <c r="AG29" s="89" t="s">
        <v>58</v>
      </c>
      <c r="AH29" s="65" t="s">
        <v>265</v>
      </c>
      <c r="AI29" s="195"/>
      <c r="AJ29" s="204" t="s">
        <v>12</v>
      </c>
      <c r="AK29" s="219"/>
      <c r="AL29" s="196"/>
      <c r="AM29" s="204"/>
      <c r="AN29" s="45">
        <v>7.3000000000000004E-6</v>
      </c>
      <c r="AO29" s="1" t="s">
        <v>288</v>
      </c>
      <c r="AP29" s="39" t="s">
        <v>192</v>
      </c>
      <c r="AQ29" s="53">
        <f>AI28*AK28*AN29</f>
        <v>24.69803976651</v>
      </c>
      <c r="AR29" s="46" t="s">
        <v>285</v>
      </c>
      <c r="AS29" s="47">
        <v>265</v>
      </c>
      <c r="AT29" s="11" t="s">
        <v>295</v>
      </c>
      <c r="AU29" s="22"/>
      <c r="AV29" s="43">
        <f t="shared" si="0"/>
        <v>6544.9805381251499</v>
      </c>
      <c r="AW29" s="22" t="s">
        <v>272</v>
      </c>
    </row>
    <row r="30" spans="3:49" ht="19.899999999999999" customHeight="1" x14ac:dyDescent="0.4">
      <c r="C30" s="65" t="s">
        <v>213</v>
      </c>
      <c r="D30" s="124" t="s">
        <v>218</v>
      </c>
      <c r="E30" s="38" t="s">
        <v>55</v>
      </c>
      <c r="F30" s="22" t="s">
        <v>55</v>
      </c>
      <c r="G30" s="67" t="s">
        <v>261</v>
      </c>
      <c r="H30" s="47">
        <v>187718</v>
      </c>
      <c r="I30" s="3" t="s">
        <v>164</v>
      </c>
      <c r="J30" s="22" t="s">
        <v>220</v>
      </c>
      <c r="K30" s="138">
        <v>26.1</v>
      </c>
      <c r="L30" s="3" t="s">
        <v>165</v>
      </c>
      <c r="M30" s="11" t="s">
        <v>192</v>
      </c>
      <c r="N30" s="47">
        <f t="shared" si="1"/>
        <v>4899439.8</v>
      </c>
      <c r="O30" s="22" t="s">
        <v>36</v>
      </c>
      <c r="P30" s="47">
        <f t="shared" si="2"/>
        <v>1264055.4683999999</v>
      </c>
      <c r="Q30" s="22" t="s">
        <v>317</v>
      </c>
      <c r="R30" s="34">
        <v>2.4299999999999999E-2</v>
      </c>
      <c r="S30" s="3" t="s">
        <v>22</v>
      </c>
      <c r="T30" s="11" t="s">
        <v>192</v>
      </c>
      <c r="U30" s="47">
        <f>H30*K30*R30*44/12</f>
        <v>436540.08617999993</v>
      </c>
      <c r="V30" s="22" t="s">
        <v>186</v>
      </c>
      <c r="W30" s="43"/>
      <c r="X30" s="8"/>
      <c r="Y30" s="3"/>
      <c r="Z30" s="3"/>
      <c r="AA30" s="22"/>
      <c r="AC30" s="9"/>
      <c r="AD30" s="26"/>
      <c r="AE30" s="29" t="s">
        <v>60</v>
      </c>
      <c r="AF30" s="29" t="s">
        <v>24</v>
      </c>
      <c r="AG30" s="89" t="s">
        <v>63</v>
      </c>
      <c r="AH30" s="65" t="s">
        <v>265</v>
      </c>
      <c r="AI30" s="200">
        <v>187718.3</v>
      </c>
      <c r="AJ30" s="217" t="s">
        <v>12</v>
      </c>
      <c r="AK30" s="180">
        <v>26.1</v>
      </c>
      <c r="AL30" s="6" t="s">
        <v>277</v>
      </c>
      <c r="AM30" s="181" t="s">
        <v>192</v>
      </c>
      <c r="AN30" s="58">
        <v>1.3E-7</v>
      </c>
      <c r="AO30" s="20" t="s">
        <v>281</v>
      </c>
      <c r="AP30" s="39" t="s">
        <v>192</v>
      </c>
      <c r="AQ30" s="53">
        <f>AI30*AK30*AN30</f>
        <v>0.63692819189999994</v>
      </c>
      <c r="AR30" s="22" t="s">
        <v>271</v>
      </c>
      <c r="AS30" s="38">
        <v>28</v>
      </c>
      <c r="AT30" s="11" t="s">
        <v>292</v>
      </c>
      <c r="AU30" s="22"/>
      <c r="AV30" s="43">
        <f t="shared" si="0"/>
        <v>17.833989373199998</v>
      </c>
      <c r="AW30" s="22" t="s">
        <v>272</v>
      </c>
    </row>
    <row r="31" spans="3:49" ht="19.899999999999999" customHeight="1" x14ac:dyDescent="0.4">
      <c r="C31" s="117" t="s">
        <v>214</v>
      </c>
      <c r="D31" s="125" t="s">
        <v>218</v>
      </c>
      <c r="E31" s="81" t="s">
        <v>55</v>
      </c>
      <c r="F31" s="101" t="s">
        <v>55</v>
      </c>
      <c r="G31" s="135" t="s">
        <v>261</v>
      </c>
      <c r="H31" s="150">
        <v>187718.3</v>
      </c>
      <c r="I31" s="2" t="s">
        <v>164</v>
      </c>
      <c r="J31" s="101"/>
      <c r="K31" s="139">
        <v>26.1</v>
      </c>
      <c r="L31" s="2" t="s">
        <v>165</v>
      </c>
      <c r="M31" s="156" t="s">
        <v>192</v>
      </c>
      <c r="N31" s="150">
        <f t="shared" si="1"/>
        <v>4899447.63</v>
      </c>
      <c r="O31" s="101" t="s">
        <v>36</v>
      </c>
      <c r="P31" s="150">
        <f t="shared" si="2"/>
        <v>1264057.48854</v>
      </c>
      <c r="Q31" s="101" t="s">
        <v>317</v>
      </c>
      <c r="R31" s="120">
        <v>2.4299999999999999E-2</v>
      </c>
      <c r="S31" s="2" t="s">
        <v>22</v>
      </c>
      <c r="T31" s="156" t="s">
        <v>192</v>
      </c>
      <c r="U31" s="150">
        <f>H31*K31*R31*44/12</f>
        <v>436540.78383299994</v>
      </c>
      <c r="V31" s="101" t="s">
        <v>186</v>
      </c>
      <c r="W31" s="171" t="s">
        <v>185</v>
      </c>
      <c r="X31" s="91" t="s">
        <v>251</v>
      </c>
      <c r="Y31" s="92" t="s">
        <v>252</v>
      </c>
      <c r="Z31" s="2" t="s">
        <v>240</v>
      </c>
      <c r="AA31" s="101" t="s">
        <v>242</v>
      </c>
      <c r="AD31" s="26"/>
      <c r="AE31" s="31"/>
      <c r="AF31" s="31"/>
      <c r="AG31" s="89" t="s">
        <v>58</v>
      </c>
      <c r="AH31" s="65" t="s">
        <v>265</v>
      </c>
      <c r="AI31" s="195"/>
      <c r="AJ31" s="204" t="s">
        <v>12</v>
      </c>
      <c r="AK31" s="109"/>
      <c r="AL31" s="4"/>
      <c r="AM31" s="110"/>
      <c r="AN31" s="45">
        <v>5.3999999999999998E-5</v>
      </c>
      <c r="AO31" s="1" t="s">
        <v>288</v>
      </c>
      <c r="AP31" s="39" t="s">
        <v>192</v>
      </c>
      <c r="AQ31" s="53">
        <f>AI30*AK30*AN31</f>
        <v>264.57017201999997</v>
      </c>
      <c r="AR31" s="46" t="s">
        <v>285</v>
      </c>
      <c r="AS31" s="47">
        <v>265</v>
      </c>
      <c r="AT31" s="11" t="s">
        <v>295</v>
      </c>
      <c r="AU31" s="22"/>
      <c r="AV31" s="43">
        <f t="shared" si="0"/>
        <v>70111.09558529999</v>
      </c>
      <c r="AW31" s="22" t="s">
        <v>272</v>
      </c>
    </row>
    <row r="32" spans="3:49" ht="19.899999999999999" customHeight="1" x14ac:dyDescent="0.4">
      <c r="C32" s="65" t="s">
        <v>325</v>
      </c>
      <c r="D32" s="124" t="s">
        <v>16</v>
      </c>
      <c r="E32" s="38" t="s">
        <v>19</v>
      </c>
      <c r="F32" s="22" t="s">
        <v>20</v>
      </c>
      <c r="G32" s="67" t="s">
        <v>262</v>
      </c>
      <c r="H32" s="197">
        <v>97814.699999999953</v>
      </c>
      <c r="I32" s="198" t="s">
        <v>17</v>
      </c>
      <c r="J32" s="207" t="s">
        <v>324</v>
      </c>
      <c r="K32" s="199">
        <v>38.378923072329194</v>
      </c>
      <c r="L32" s="198" t="s">
        <v>21</v>
      </c>
      <c r="M32" s="203" t="s">
        <v>191</v>
      </c>
      <c r="N32" s="47">
        <f t="shared" si="1"/>
        <v>3754022.8466429566</v>
      </c>
      <c r="O32" s="22" t="s">
        <v>36</v>
      </c>
      <c r="P32" s="47">
        <f t="shared" si="2"/>
        <v>968537.89443388279</v>
      </c>
      <c r="Q32" s="22" t="s">
        <v>317</v>
      </c>
      <c r="R32" s="34">
        <v>1.44E-2</v>
      </c>
      <c r="S32" s="3" t="s">
        <v>22</v>
      </c>
      <c r="T32" s="11" t="s">
        <v>192</v>
      </c>
      <c r="U32" s="47">
        <f t="shared" ref="U32:U70" si="3">INT(H32*K32*R32*44/12)</f>
        <v>198212</v>
      </c>
      <c r="V32" s="22" t="s">
        <v>186</v>
      </c>
      <c r="W32" s="43"/>
      <c r="X32" s="8"/>
      <c r="Y32" s="3"/>
      <c r="Z32" s="3"/>
      <c r="AA32" s="22"/>
      <c r="AD32" s="26"/>
      <c r="AE32" s="29" t="s">
        <v>66</v>
      </c>
      <c r="AF32" s="29" t="s">
        <v>72</v>
      </c>
      <c r="AG32" s="89" t="s">
        <v>63</v>
      </c>
      <c r="AH32" s="65" t="s">
        <v>265</v>
      </c>
      <c r="AI32" s="200">
        <v>565.11</v>
      </c>
      <c r="AJ32" s="217" t="s">
        <v>12</v>
      </c>
      <c r="AK32" s="180">
        <v>13.2</v>
      </c>
      <c r="AL32" s="6" t="s">
        <v>277</v>
      </c>
      <c r="AM32" s="181" t="s">
        <v>192</v>
      </c>
      <c r="AN32" s="44">
        <v>1.5999999999999999E-5</v>
      </c>
      <c r="AO32" s="20" t="s">
        <v>281</v>
      </c>
      <c r="AP32" s="39" t="s">
        <v>192</v>
      </c>
      <c r="AQ32" s="53">
        <f>AI32*AK32*AN32</f>
        <v>0.119351232</v>
      </c>
      <c r="AR32" s="22" t="s">
        <v>271</v>
      </c>
      <c r="AS32" s="38">
        <v>28</v>
      </c>
      <c r="AT32" s="11" t="s">
        <v>292</v>
      </c>
      <c r="AU32" s="22"/>
      <c r="AV32" s="43">
        <f t="shared" si="0"/>
        <v>3.3418344960000002</v>
      </c>
      <c r="AW32" s="22" t="s">
        <v>272</v>
      </c>
    </row>
    <row r="33" spans="3:49" ht="19.899999999999999" customHeight="1" x14ac:dyDescent="0.4">
      <c r="C33" s="65" t="s">
        <v>325</v>
      </c>
      <c r="D33" s="124" t="s">
        <v>16</v>
      </c>
      <c r="E33" s="38" t="s">
        <v>25</v>
      </c>
      <c r="F33" s="22" t="s">
        <v>26</v>
      </c>
      <c r="G33" s="67" t="s">
        <v>187</v>
      </c>
      <c r="H33" s="197">
        <v>3736.7000000000021</v>
      </c>
      <c r="I33" s="198" t="s">
        <v>17</v>
      </c>
      <c r="J33" s="205"/>
      <c r="K33" s="199">
        <v>35.156443967935878</v>
      </c>
      <c r="L33" s="198" t="s">
        <v>21</v>
      </c>
      <c r="M33" s="203" t="s">
        <v>191</v>
      </c>
      <c r="N33" s="47">
        <f t="shared" si="1"/>
        <v>131369.08417498608</v>
      </c>
      <c r="O33" s="22" t="s">
        <v>36</v>
      </c>
      <c r="P33" s="47">
        <f t="shared" si="2"/>
        <v>33893.223717146408</v>
      </c>
      <c r="Q33" s="22" t="s">
        <v>317</v>
      </c>
      <c r="R33" s="34">
        <v>1.44E-2</v>
      </c>
      <c r="S33" s="3" t="s">
        <v>22</v>
      </c>
      <c r="T33" s="11" t="s">
        <v>192</v>
      </c>
      <c r="U33" s="47">
        <f t="shared" si="3"/>
        <v>6936</v>
      </c>
      <c r="V33" s="22" t="s">
        <v>186</v>
      </c>
      <c r="W33" s="43"/>
      <c r="X33" s="8"/>
      <c r="Y33" s="3"/>
      <c r="Z33" s="3"/>
      <c r="AA33" s="22"/>
      <c r="AD33" s="26"/>
      <c r="AE33" s="30"/>
      <c r="AF33" s="31"/>
      <c r="AG33" s="89" t="s">
        <v>58</v>
      </c>
      <c r="AH33" s="65" t="s">
        <v>265</v>
      </c>
      <c r="AI33" s="195"/>
      <c r="AJ33" s="204" t="s">
        <v>12</v>
      </c>
      <c r="AK33" s="109"/>
      <c r="AL33" s="4"/>
      <c r="AM33" s="110"/>
      <c r="AN33" s="45">
        <v>1.5999999999999999E-6</v>
      </c>
      <c r="AO33" s="1" t="s">
        <v>288</v>
      </c>
      <c r="AP33" s="39" t="s">
        <v>192</v>
      </c>
      <c r="AQ33" s="53">
        <f>AI32*AK32*AN33</f>
        <v>1.19351232E-2</v>
      </c>
      <c r="AR33" s="46" t="s">
        <v>285</v>
      </c>
      <c r="AS33" s="47">
        <v>265</v>
      </c>
      <c r="AT33" s="11" t="s">
        <v>295</v>
      </c>
      <c r="AU33" s="22"/>
      <c r="AV33" s="43">
        <f t="shared" si="0"/>
        <v>3.1628076479999998</v>
      </c>
      <c r="AW33" s="22" t="s">
        <v>272</v>
      </c>
    </row>
    <row r="34" spans="3:49" ht="19.899999999999999" customHeight="1" x14ac:dyDescent="0.4">
      <c r="C34" s="65" t="s">
        <v>325</v>
      </c>
      <c r="D34" s="124" t="s">
        <v>16</v>
      </c>
      <c r="E34" s="38" t="s">
        <v>30</v>
      </c>
      <c r="F34" s="22" t="s">
        <v>31</v>
      </c>
      <c r="G34" s="67" t="s">
        <v>187</v>
      </c>
      <c r="H34" s="197">
        <v>20745.399999999987</v>
      </c>
      <c r="I34" s="198" t="s">
        <v>17</v>
      </c>
      <c r="J34" s="205"/>
      <c r="K34" s="199">
        <v>35.041310280908334</v>
      </c>
      <c r="L34" s="198" t="s">
        <v>21</v>
      </c>
      <c r="M34" s="203" t="s">
        <v>191</v>
      </c>
      <c r="N34" s="47">
        <f t="shared" si="1"/>
        <v>726945.99830155529</v>
      </c>
      <c r="O34" s="22" t="s">
        <v>36</v>
      </c>
      <c r="P34" s="47">
        <f t="shared" si="2"/>
        <v>187552.06756180126</v>
      </c>
      <c r="Q34" s="22" t="s">
        <v>317</v>
      </c>
      <c r="R34" s="34">
        <v>1.44E-2</v>
      </c>
      <c r="S34" s="3" t="s">
        <v>22</v>
      </c>
      <c r="T34" s="11" t="s">
        <v>192</v>
      </c>
      <c r="U34" s="47">
        <f t="shared" si="3"/>
        <v>38382</v>
      </c>
      <c r="V34" s="22" t="s">
        <v>186</v>
      </c>
      <c r="W34" s="43"/>
      <c r="X34" s="8"/>
      <c r="Y34" s="3"/>
      <c r="Z34" s="3"/>
      <c r="AA34" s="22"/>
      <c r="AD34" s="26"/>
      <c r="AE34" s="30"/>
      <c r="AF34" s="29" t="s">
        <v>67</v>
      </c>
      <c r="AG34" s="89" t="s">
        <v>63</v>
      </c>
      <c r="AH34" s="65" t="s">
        <v>265</v>
      </c>
      <c r="AI34" s="200">
        <v>719.79</v>
      </c>
      <c r="AJ34" s="217" t="s">
        <v>12</v>
      </c>
      <c r="AK34" s="180">
        <v>13.2</v>
      </c>
      <c r="AL34" s="6" t="s">
        <v>277</v>
      </c>
      <c r="AM34" s="181" t="s">
        <v>192</v>
      </c>
      <c r="AN34" s="44">
        <v>1.5999999999999999E-5</v>
      </c>
      <c r="AO34" s="20" t="s">
        <v>281</v>
      </c>
      <c r="AP34" s="39" t="s">
        <v>192</v>
      </c>
      <c r="AQ34" s="53">
        <f>AI34*AK34*AN34</f>
        <v>0.15201964799999998</v>
      </c>
      <c r="AR34" s="22" t="s">
        <v>271</v>
      </c>
      <c r="AS34" s="38">
        <v>28</v>
      </c>
      <c r="AT34" s="11" t="s">
        <v>292</v>
      </c>
      <c r="AU34" s="22"/>
      <c r="AV34" s="43">
        <f t="shared" si="0"/>
        <v>4.2565501439999993</v>
      </c>
      <c r="AW34" s="22" t="s">
        <v>272</v>
      </c>
    </row>
    <row r="35" spans="3:49" ht="19.899999999999999" customHeight="1" x14ac:dyDescent="0.4">
      <c r="C35" s="65" t="s">
        <v>325</v>
      </c>
      <c r="D35" s="124" t="s">
        <v>16</v>
      </c>
      <c r="E35" s="38" t="s">
        <v>33</v>
      </c>
      <c r="F35" s="22" t="s">
        <v>34</v>
      </c>
      <c r="G35" s="67" t="s">
        <v>187</v>
      </c>
      <c r="H35" s="197">
        <v>13097.499999999991</v>
      </c>
      <c r="I35" s="198" t="s">
        <v>17</v>
      </c>
      <c r="J35" s="205"/>
      <c r="K35" s="199">
        <v>34.700361372417269</v>
      </c>
      <c r="L35" s="198" t="s">
        <v>21</v>
      </c>
      <c r="M35" s="203" t="s">
        <v>191</v>
      </c>
      <c r="N35" s="47">
        <f t="shared" si="1"/>
        <v>454487.98307523486</v>
      </c>
      <c r="O35" s="22" t="s">
        <v>36</v>
      </c>
      <c r="P35" s="47">
        <f t="shared" si="2"/>
        <v>117257.89963341061</v>
      </c>
      <c r="Q35" s="22" t="s">
        <v>317</v>
      </c>
      <c r="R35" s="34">
        <v>1.44E-2</v>
      </c>
      <c r="S35" s="3" t="s">
        <v>22</v>
      </c>
      <c r="T35" s="11" t="s">
        <v>192</v>
      </c>
      <c r="U35" s="47">
        <f t="shared" si="3"/>
        <v>23996</v>
      </c>
      <c r="V35" s="22" t="s">
        <v>186</v>
      </c>
      <c r="W35" s="43"/>
      <c r="X35" s="8"/>
      <c r="Y35" s="3"/>
      <c r="Z35" s="3"/>
      <c r="AA35" s="22"/>
      <c r="AD35" s="27"/>
      <c r="AE35" s="31"/>
      <c r="AF35" s="31"/>
      <c r="AG35" s="89" t="s">
        <v>58</v>
      </c>
      <c r="AH35" s="65" t="s">
        <v>265</v>
      </c>
      <c r="AI35" s="195"/>
      <c r="AJ35" s="204" t="s">
        <v>12</v>
      </c>
      <c r="AK35" s="109"/>
      <c r="AL35" s="4"/>
      <c r="AM35" s="110"/>
      <c r="AN35" s="45">
        <v>1.5999999999999999E-6</v>
      </c>
      <c r="AO35" s="1" t="s">
        <v>288</v>
      </c>
      <c r="AP35" s="39" t="s">
        <v>192</v>
      </c>
      <c r="AQ35" s="53">
        <f>AI34*AK34*AN35</f>
        <v>1.5201964799999999E-2</v>
      </c>
      <c r="AR35" s="46" t="s">
        <v>285</v>
      </c>
      <c r="AS35" s="47">
        <v>265</v>
      </c>
      <c r="AT35" s="11" t="s">
        <v>295</v>
      </c>
      <c r="AU35" s="22"/>
      <c r="AV35" s="43">
        <f t="shared" si="0"/>
        <v>4.028520672</v>
      </c>
      <c r="AW35" s="22" t="s">
        <v>272</v>
      </c>
    </row>
    <row r="36" spans="3:49" ht="19.899999999999999" customHeight="1" x14ac:dyDescent="0.4">
      <c r="C36" s="65" t="s">
        <v>325</v>
      </c>
      <c r="D36" s="124" t="s">
        <v>16</v>
      </c>
      <c r="E36" s="38" t="s">
        <v>37</v>
      </c>
      <c r="F36" s="22" t="s">
        <v>38</v>
      </c>
      <c r="G36" s="67" t="s">
        <v>187</v>
      </c>
      <c r="H36" s="197">
        <v>39429.900000000016</v>
      </c>
      <c r="I36" s="198" t="s">
        <v>17</v>
      </c>
      <c r="J36" s="205"/>
      <c r="K36" s="199">
        <v>35.160286839082069</v>
      </c>
      <c r="L36" s="198" t="s">
        <v>21</v>
      </c>
      <c r="M36" s="203" t="s">
        <v>191</v>
      </c>
      <c r="N36" s="47">
        <f t="shared" si="1"/>
        <v>1386366.5940363226</v>
      </c>
      <c r="O36" s="22" t="s">
        <v>36</v>
      </c>
      <c r="P36" s="47">
        <f t="shared" si="2"/>
        <v>357682.5812613712</v>
      </c>
      <c r="Q36" s="22" t="s">
        <v>317</v>
      </c>
      <c r="R36" s="34">
        <v>1.44E-2</v>
      </c>
      <c r="S36" s="3" t="s">
        <v>22</v>
      </c>
      <c r="T36" s="11" t="s">
        <v>192</v>
      </c>
      <c r="U36" s="47">
        <f t="shared" si="3"/>
        <v>73200</v>
      </c>
      <c r="V36" s="22" t="s">
        <v>186</v>
      </c>
      <c r="W36" s="43"/>
      <c r="X36" s="8"/>
      <c r="Y36" s="3"/>
      <c r="Z36" s="3"/>
      <c r="AA36" s="22"/>
      <c r="AD36" s="25" t="s">
        <v>98</v>
      </c>
      <c r="AE36" s="29" t="s">
        <v>99</v>
      </c>
      <c r="AF36" s="29" t="s">
        <v>18</v>
      </c>
      <c r="AG36" s="89" t="s">
        <v>63</v>
      </c>
      <c r="AH36" s="65" t="s">
        <v>265</v>
      </c>
      <c r="AI36" s="200">
        <v>4070.5210000000002</v>
      </c>
      <c r="AJ36" s="217" t="s">
        <v>279</v>
      </c>
      <c r="AK36" s="180">
        <v>38.4</v>
      </c>
      <c r="AL36" s="6" t="s">
        <v>280</v>
      </c>
      <c r="AM36" s="181" t="s">
        <v>192</v>
      </c>
      <c r="AN36" s="58">
        <v>2.2999999999999999E-7</v>
      </c>
      <c r="AO36" s="20" t="s">
        <v>281</v>
      </c>
      <c r="AP36" s="39" t="s">
        <v>192</v>
      </c>
      <c r="AQ36" s="53">
        <f>AI36*AK36*AN36</f>
        <v>3.5950841471999999E-2</v>
      </c>
      <c r="AR36" s="22" t="s">
        <v>271</v>
      </c>
      <c r="AS36" s="38">
        <v>28</v>
      </c>
      <c r="AT36" s="11" t="s">
        <v>292</v>
      </c>
      <c r="AU36" s="22"/>
      <c r="AV36" s="43">
        <f t="shared" si="0"/>
        <v>1.0066235612159999</v>
      </c>
      <c r="AW36" s="22" t="s">
        <v>272</v>
      </c>
    </row>
    <row r="37" spans="3:49" ht="19.899999999999999" customHeight="1" x14ac:dyDescent="0.4">
      <c r="C37" s="65" t="s">
        <v>325</v>
      </c>
      <c r="D37" s="124" t="s">
        <v>16</v>
      </c>
      <c r="E37" s="38" t="s">
        <v>41</v>
      </c>
      <c r="F37" s="22" t="s">
        <v>42</v>
      </c>
      <c r="G37" s="67" t="s">
        <v>187</v>
      </c>
      <c r="H37" s="197">
        <v>9098.7999999999993</v>
      </c>
      <c r="I37" s="198" t="s">
        <v>17</v>
      </c>
      <c r="J37" s="205"/>
      <c r="K37" s="199">
        <v>36.704468433544307</v>
      </c>
      <c r="L37" s="198" t="s">
        <v>21</v>
      </c>
      <c r="M37" s="203" t="s">
        <v>191</v>
      </c>
      <c r="N37" s="47">
        <f t="shared" si="1"/>
        <v>333966.61738313292</v>
      </c>
      <c r="O37" s="22" t="s">
        <v>36</v>
      </c>
      <c r="P37" s="47">
        <f t="shared" si="2"/>
        <v>86163.387284848301</v>
      </c>
      <c r="Q37" s="22" t="s">
        <v>317</v>
      </c>
      <c r="R37" s="34">
        <v>1.44E-2</v>
      </c>
      <c r="S37" s="3" t="s">
        <v>22</v>
      </c>
      <c r="T37" s="11" t="s">
        <v>192</v>
      </c>
      <c r="U37" s="47">
        <f t="shared" si="3"/>
        <v>17633</v>
      </c>
      <c r="V37" s="22" t="s">
        <v>186</v>
      </c>
      <c r="W37" s="43"/>
      <c r="X37" s="8"/>
      <c r="Y37" s="3"/>
      <c r="Z37" s="3"/>
      <c r="AA37" s="22"/>
      <c r="AD37" s="26"/>
      <c r="AE37" s="30"/>
      <c r="AF37" s="31"/>
      <c r="AG37" s="89" t="s">
        <v>58</v>
      </c>
      <c r="AH37" s="65" t="s">
        <v>265</v>
      </c>
      <c r="AI37" s="195"/>
      <c r="AJ37" s="204" t="s">
        <v>17</v>
      </c>
      <c r="AK37" s="109"/>
      <c r="AL37" s="4"/>
      <c r="AM37" s="110"/>
      <c r="AN37" s="45">
        <v>1.6999999999999999E-7</v>
      </c>
      <c r="AO37" s="1" t="s">
        <v>288</v>
      </c>
      <c r="AP37" s="39" t="s">
        <v>192</v>
      </c>
      <c r="AQ37" s="53">
        <f>AI36*AK36*AN37</f>
        <v>2.6572361087999999E-2</v>
      </c>
      <c r="AR37" s="46" t="s">
        <v>285</v>
      </c>
      <c r="AS37" s="47">
        <v>265</v>
      </c>
      <c r="AT37" s="11" t="s">
        <v>295</v>
      </c>
      <c r="AU37" s="22"/>
      <c r="AV37" s="43">
        <f t="shared" si="0"/>
        <v>7.0416756883199998</v>
      </c>
      <c r="AW37" s="22" t="s">
        <v>272</v>
      </c>
    </row>
    <row r="38" spans="3:49" ht="19.899999999999999" customHeight="1" x14ac:dyDescent="0.4">
      <c r="C38" s="65" t="s">
        <v>325</v>
      </c>
      <c r="D38" s="124" t="s">
        <v>16</v>
      </c>
      <c r="E38" s="38" t="s">
        <v>43</v>
      </c>
      <c r="F38" s="22" t="s">
        <v>44</v>
      </c>
      <c r="G38" s="67" t="s">
        <v>187</v>
      </c>
      <c r="H38" s="197">
        <v>1745.5000000000005</v>
      </c>
      <c r="I38" s="198" t="s">
        <v>17</v>
      </c>
      <c r="J38" s="205"/>
      <c r="K38" s="199">
        <v>34.906808695652174</v>
      </c>
      <c r="L38" s="198" t="s">
        <v>21</v>
      </c>
      <c r="M38" s="203" t="s">
        <v>191</v>
      </c>
      <c r="N38" s="47">
        <f t="shared" si="1"/>
        <v>60929.834578260889</v>
      </c>
      <c r="O38" s="22" t="s">
        <v>36</v>
      </c>
      <c r="P38" s="47">
        <f t="shared" si="2"/>
        <v>15719.897321191309</v>
      </c>
      <c r="Q38" s="22" t="s">
        <v>317</v>
      </c>
      <c r="R38" s="34">
        <v>1.44E-2</v>
      </c>
      <c r="S38" s="3" t="s">
        <v>22</v>
      </c>
      <c r="T38" s="11" t="s">
        <v>192</v>
      </c>
      <c r="U38" s="47">
        <f t="shared" si="3"/>
        <v>3217</v>
      </c>
      <c r="V38" s="22" t="s">
        <v>186</v>
      </c>
      <c r="W38" s="43"/>
      <c r="X38" s="8"/>
      <c r="Y38" s="3"/>
      <c r="Z38" s="3"/>
      <c r="AA38" s="22"/>
      <c r="AD38" s="26"/>
      <c r="AE38" s="30"/>
      <c r="AF38" s="29" t="s">
        <v>16</v>
      </c>
      <c r="AG38" s="89" t="s">
        <v>63</v>
      </c>
      <c r="AH38" s="65" t="s">
        <v>265</v>
      </c>
      <c r="AI38" s="200">
        <v>22019.903999999999</v>
      </c>
      <c r="AJ38" s="217" t="s">
        <v>17</v>
      </c>
      <c r="AK38" s="180">
        <v>46.1</v>
      </c>
      <c r="AL38" s="6" t="s">
        <v>280</v>
      </c>
      <c r="AM38" s="181" t="s">
        <v>192</v>
      </c>
      <c r="AN38" s="58">
        <v>2.2999999999999999E-7</v>
      </c>
      <c r="AO38" s="20" t="s">
        <v>281</v>
      </c>
      <c r="AP38" s="39" t="s">
        <v>192</v>
      </c>
      <c r="AQ38" s="53">
        <f>AI38*AK38*AN38</f>
        <v>0.23347704211199999</v>
      </c>
      <c r="AR38" s="22" t="s">
        <v>271</v>
      </c>
      <c r="AS38" s="38">
        <v>28</v>
      </c>
      <c r="AT38" s="11" t="s">
        <v>292</v>
      </c>
      <c r="AU38" s="22"/>
      <c r="AV38" s="43">
        <f t="shared" si="0"/>
        <v>6.5373571791359995</v>
      </c>
      <c r="AW38" s="22" t="s">
        <v>272</v>
      </c>
    </row>
    <row r="39" spans="3:49" ht="19.899999999999999" customHeight="1" x14ac:dyDescent="0.4">
      <c r="C39" s="65" t="s">
        <v>325</v>
      </c>
      <c r="D39" s="124" t="s">
        <v>16</v>
      </c>
      <c r="E39" s="38" t="s">
        <v>46</v>
      </c>
      <c r="F39" s="22" t="s">
        <v>47</v>
      </c>
      <c r="G39" s="67" t="s">
        <v>187</v>
      </c>
      <c r="H39" s="197">
        <v>3064.7999999999997</v>
      </c>
      <c r="I39" s="198" t="s">
        <v>17</v>
      </c>
      <c r="J39" s="205"/>
      <c r="K39" s="199">
        <v>43.918302835223486</v>
      </c>
      <c r="L39" s="198" t="s">
        <v>21</v>
      </c>
      <c r="M39" s="203" t="s">
        <v>191</v>
      </c>
      <c r="N39" s="47">
        <f t="shared" si="1"/>
        <v>134600.81452939293</v>
      </c>
      <c r="O39" s="22" t="s">
        <v>36</v>
      </c>
      <c r="P39" s="47">
        <f t="shared" si="2"/>
        <v>34727.010148583373</v>
      </c>
      <c r="Q39" s="22" t="s">
        <v>317</v>
      </c>
      <c r="R39" s="34">
        <v>1.44E-2</v>
      </c>
      <c r="S39" s="3" t="s">
        <v>22</v>
      </c>
      <c r="T39" s="11" t="s">
        <v>192</v>
      </c>
      <c r="U39" s="47">
        <f t="shared" si="3"/>
        <v>7106</v>
      </c>
      <c r="V39" s="22" t="s">
        <v>186</v>
      </c>
      <c r="W39" s="43"/>
      <c r="X39" s="8"/>
      <c r="Y39" s="3"/>
      <c r="Z39" s="3"/>
      <c r="AA39" s="22"/>
      <c r="AD39" s="26"/>
      <c r="AE39" s="31"/>
      <c r="AF39" s="31"/>
      <c r="AG39" s="89" t="s">
        <v>58</v>
      </c>
      <c r="AH39" s="65" t="s">
        <v>265</v>
      </c>
      <c r="AI39" s="195"/>
      <c r="AJ39" s="204" t="s">
        <v>17</v>
      </c>
      <c r="AK39" s="109"/>
      <c r="AL39" s="4"/>
      <c r="AM39" s="110"/>
      <c r="AN39" s="45">
        <v>1.6999999999999999E-7</v>
      </c>
      <c r="AO39" s="1" t="s">
        <v>288</v>
      </c>
      <c r="AP39" s="39" t="s">
        <v>192</v>
      </c>
      <c r="AQ39" s="53">
        <f>AI38*AK38*AN39</f>
        <v>0.17256998764799997</v>
      </c>
      <c r="AR39" s="46" t="s">
        <v>285</v>
      </c>
      <c r="AS39" s="47">
        <v>265</v>
      </c>
      <c r="AT39" s="11" t="s">
        <v>295</v>
      </c>
      <c r="AU39" s="22"/>
      <c r="AV39" s="43">
        <f t="shared" si="0"/>
        <v>45.731046726719988</v>
      </c>
      <c r="AW39" s="22" t="s">
        <v>272</v>
      </c>
    </row>
    <row r="40" spans="3:49" ht="19.899999999999999" customHeight="1" x14ac:dyDescent="0.4">
      <c r="C40" s="65" t="s">
        <v>325</v>
      </c>
      <c r="D40" s="124" t="s">
        <v>16</v>
      </c>
      <c r="E40" s="38" t="s">
        <v>48</v>
      </c>
      <c r="F40" s="22" t="s">
        <v>49</v>
      </c>
      <c r="G40" s="67" t="s">
        <v>187</v>
      </c>
      <c r="H40" s="197">
        <v>6827.6999999999971</v>
      </c>
      <c r="I40" s="198" t="s">
        <v>17</v>
      </c>
      <c r="J40" s="205"/>
      <c r="K40" s="199">
        <v>43.918302835223486</v>
      </c>
      <c r="L40" s="198" t="s">
        <v>21</v>
      </c>
      <c r="M40" s="203" t="s">
        <v>191</v>
      </c>
      <c r="N40" s="47">
        <f t="shared" si="1"/>
        <v>299860.99626805529</v>
      </c>
      <c r="O40" s="22" t="s">
        <v>36</v>
      </c>
      <c r="P40" s="47">
        <f t="shared" si="2"/>
        <v>77364.13703715826</v>
      </c>
      <c r="Q40" s="22" t="s">
        <v>317</v>
      </c>
      <c r="R40" s="34">
        <v>1.44E-2</v>
      </c>
      <c r="S40" s="3" t="s">
        <v>22</v>
      </c>
      <c r="T40" s="11" t="s">
        <v>192</v>
      </c>
      <c r="U40" s="47">
        <f t="shared" si="3"/>
        <v>15832</v>
      </c>
      <c r="V40" s="22" t="s">
        <v>186</v>
      </c>
      <c r="W40" s="43"/>
      <c r="X40" s="8"/>
      <c r="Y40" s="3"/>
      <c r="Z40" s="3"/>
      <c r="AA40" s="22"/>
      <c r="AD40" s="26"/>
      <c r="AE40" s="29" t="s">
        <v>108</v>
      </c>
      <c r="AF40" s="29" t="s">
        <v>18</v>
      </c>
      <c r="AG40" s="89" t="s">
        <v>63</v>
      </c>
      <c r="AH40" s="65" t="s">
        <v>265</v>
      </c>
      <c r="AI40" s="200">
        <v>44450.853999999999</v>
      </c>
      <c r="AJ40" s="217" t="s">
        <v>17</v>
      </c>
      <c r="AK40" s="180">
        <v>38.4</v>
      </c>
      <c r="AL40" s="6" t="s">
        <v>280</v>
      </c>
      <c r="AM40" s="181" t="s">
        <v>192</v>
      </c>
      <c r="AN40" s="58">
        <v>1.6E-7</v>
      </c>
      <c r="AO40" s="20" t="s">
        <v>281</v>
      </c>
      <c r="AP40" s="39" t="s">
        <v>192</v>
      </c>
      <c r="AQ40" s="53">
        <f>AI40*AK40*AN40</f>
        <v>0.27310604697599999</v>
      </c>
      <c r="AR40" s="22" t="s">
        <v>271</v>
      </c>
      <c r="AS40" s="38">
        <v>28</v>
      </c>
      <c r="AT40" s="11" t="s">
        <v>292</v>
      </c>
      <c r="AU40" s="22"/>
      <c r="AV40" s="43">
        <f t="shared" si="0"/>
        <v>7.6469693153279996</v>
      </c>
      <c r="AW40" s="22" t="s">
        <v>272</v>
      </c>
    </row>
    <row r="41" spans="3:49" ht="19.899999999999999" customHeight="1" x14ac:dyDescent="0.4">
      <c r="C41" s="65" t="s">
        <v>325</v>
      </c>
      <c r="D41" s="124" t="s">
        <v>16</v>
      </c>
      <c r="E41" s="38" t="s">
        <v>50</v>
      </c>
      <c r="F41" s="22" t="s">
        <v>51</v>
      </c>
      <c r="G41" s="67" t="s">
        <v>187</v>
      </c>
      <c r="H41" s="197">
        <v>521.49999999999989</v>
      </c>
      <c r="I41" s="198" t="s">
        <v>17</v>
      </c>
      <c r="J41" s="205"/>
      <c r="K41" s="199">
        <v>43.52343727439024</v>
      </c>
      <c r="L41" s="198" t="s">
        <v>21</v>
      </c>
      <c r="M41" s="203" t="s">
        <v>191</v>
      </c>
      <c r="N41" s="47">
        <f t="shared" si="1"/>
        <v>22697.472538594506</v>
      </c>
      <c r="O41" s="22" t="s">
        <v>36</v>
      </c>
      <c r="P41" s="47">
        <f t="shared" si="2"/>
        <v>5855.9479149573826</v>
      </c>
      <c r="Q41" s="22" t="s">
        <v>317</v>
      </c>
      <c r="R41" s="34">
        <v>1.44E-2</v>
      </c>
      <c r="S41" s="3" t="s">
        <v>22</v>
      </c>
      <c r="T41" s="11" t="s">
        <v>192</v>
      </c>
      <c r="U41" s="47">
        <f t="shared" si="3"/>
        <v>1198</v>
      </c>
      <c r="V41" s="22" t="s">
        <v>186</v>
      </c>
      <c r="W41" s="43"/>
      <c r="X41" s="8"/>
      <c r="Y41" s="3"/>
      <c r="Z41" s="3"/>
      <c r="AA41" s="22"/>
      <c r="AD41" s="26"/>
      <c r="AE41" s="30"/>
      <c r="AF41" s="31"/>
      <c r="AG41" s="89" t="s">
        <v>58</v>
      </c>
      <c r="AH41" s="65" t="s">
        <v>265</v>
      </c>
      <c r="AI41" s="195"/>
      <c r="AJ41" s="204" t="s">
        <v>17</v>
      </c>
      <c r="AK41" s="109"/>
      <c r="AL41" s="4"/>
      <c r="AM41" s="110"/>
      <c r="AN41" s="45">
        <v>2.1E-7</v>
      </c>
      <c r="AO41" s="1" t="s">
        <v>288</v>
      </c>
      <c r="AP41" s="39" t="s">
        <v>192</v>
      </c>
      <c r="AQ41" s="53">
        <f>AI40*AK40*AN41</f>
        <v>0.35845168665600002</v>
      </c>
      <c r="AR41" s="46" t="s">
        <v>285</v>
      </c>
      <c r="AS41" s="47">
        <v>265</v>
      </c>
      <c r="AT41" s="11" t="s">
        <v>295</v>
      </c>
      <c r="AU41" s="22"/>
      <c r="AV41" s="43">
        <f t="shared" si="0"/>
        <v>94.989696963840004</v>
      </c>
      <c r="AW41" s="22" t="s">
        <v>272</v>
      </c>
    </row>
    <row r="42" spans="3:49" ht="19.899999999999999" customHeight="1" x14ac:dyDescent="0.4">
      <c r="C42" s="65" t="s">
        <v>325</v>
      </c>
      <c r="D42" s="124" t="s">
        <v>16</v>
      </c>
      <c r="E42" s="38" t="s">
        <v>53</v>
      </c>
      <c r="F42" s="22" t="s">
        <v>54</v>
      </c>
      <c r="G42" s="67" t="s">
        <v>187</v>
      </c>
      <c r="H42" s="197">
        <v>463.80000000000024</v>
      </c>
      <c r="I42" s="198" t="s">
        <v>17</v>
      </c>
      <c r="J42" s="205"/>
      <c r="K42" s="199">
        <v>43.52343727439024</v>
      </c>
      <c r="L42" s="198" t="s">
        <v>21</v>
      </c>
      <c r="M42" s="203" t="s">
        <v>191</v>
      </c>
      <c r="N42" s="47">
        <f t="shared" si="1"/>
        <v>20186.170207862204</v>
      </c>
      <c r="O42" s="22" t="s">
        <v>36</v>
      </c>
      <c r="P42" s="47">
        <f t="shared" si="2"/>
        <v>5208.0319136284488</v>
      </c>
      <c r="Q42" s="22" t="s">
        <v>317</v>
      </c>
      <c r="R42" s="34">
        <v>1.44E-2</v>
      </c>
      <c r="S42" s="3" t="s">
        <v>22</v>
      </c>
      <c r="T42" s="11" t="s">
        <v>192</v>
      </c>
      <c r="U42" s="47">
        <f t="shared" si="3"/>
        <v>1065</v>
      </c>
      <c r="V42" s="22" t="s">
        <v>186</v>
      </c>
      <c r="W42" s="43"/>
      <c r="X42" s="8"/>
      <c r="Y42" s="3"/>
      <c r="Z42" s="3"/>
      <c r="AA42" s="22"/>
      <c r="AD42" s="26"/>
      <c r="AE42" s="30"/>
      <c r="AF42" s="29" t="s">
        <v>16</v>
      </c>
      <c r="AG42" s="89" t="s">
        <v>63</v>
      </c>
      <c r="AH42" s="65" t="s">
        <v>265</v>
      </c>
      <c r="AI42" s="200">
        <v>239010.3</v>
      </c>
      <c r="AJ42" s="217" t="s">
        <v>17</v>
      </c>
      <c r="AK42" s="180">
        <v>46.1</v>
      </c>
      <c r="AL42" s="6" t="s">
        <v>280</v>
      </c>
      <c r="AM42" s="181" t="s">
        <v>192</v>
      </c>
      <c r="AN42" s="58">
        <v>1.6E-7</v>
      </c>
      <c r="AO42" s="20" t="s">
        <v>281</v>
      </c>
      <c r="AP42" s="39" t="s">
        <v>192</v>
      </c>
      <c r="AQ42" s="53">
        <f>AI42*AK42*AN42</f>
        <v>1.7629399728000001</v>
      </c>
      <c r="AR42" s="22" t="s">
        <v>271</v>
      </c>
      <c r="AS42" s="38">
        <v>28</v>
      </c>
      <c r="AT42" s="11" t="s">
        <v>292</v>
      </c>
      <c r="AU42" s="22"/>
      <c r="AV42" s="43">
        <f t="shared" si="0"/>
        <v>49.362319238400005</v>
      </c>
      <c r="AW42" s="22" t="s">
        <v>272</v>
      </c>
    </row>
    <row r="43" spans="3:49" ht="19.899999999999999" customHeight="1" x14ac:dyDescent="0.4">
      <c r="C43" s="65" t="s">
        <v>325</v>
      </c>
      <c r="D43" s="124" t="s">
        <v>16</v>
      </c>
      <c r="E43" s="38" t="s">
        <v>56</v>
      </c>
      <c r="F43" s="22" t="s">
        <v>57</v>
      </c>
      <c r="G43" s="67" t="s">
        <v>187</v>
      </c>
      <c r="H43" s="197">
        <v>1720.8</v>
      </c>
      <c r="I43" s="198" t="s">
        <v>17</v>
      </c>
      <c r="J43" s="205"/>
      <c r="K43" s="199">
        <v>43.287103939279646</v>
      </c>
      <c r="L43" s="198" t="s">
        <v>21</v>
      </c>
      <c r="M43" s="203" t="s">
        <v>191</v>
      </c>
      <c r="N43" s="47">
        <f t="shared" si="1"/>
        <v>74488.448458712417</v>
      </c>
      <c r="O43" s="22" t="s">
        <v>36</v>
      </c>
      <c r="P43" s="47">
        <f t="shared" si="2"/>
        <v>19218.019702347803</v>
      </c>
      <c r="Q43" s="22" t="s">
        <v>317</v>
      </c>
      <c r="R43" s="34">
        <v>1.44E-2</v>
      </c>
      <c r="S43" s="3" t="s">
        <v>22</v>
      </c>
      <c r="T43" s="11" t="s">
        <v>192</v>
      </c>
      <c r="U43" s="47">
        <f t="shared" si="3"/>
        <v>3932</v>
      </c>
      <c r="V43" s="22" t="s">
        <v>186</v>
      </c>
      <c r="W43" s="43"/>
      <c r="X43" s="8"/>
      <c r="Y43" s="3"/>
      <c r="Z43" s="3"/>
      <c r="AA43" s="22"/>
      <c r="AD43" s="27"/>
      <c r="AE43" s="31"/>
      <c r="AF43" s="31"/>
      <c r="AG43" s="89" t="s">
        <v>58</v>
      </c>
      <c r="AH43" s="65" t="s">
        <v>265</v>
      </c>
      <c r="AI43" s="195"/>
      <c r="AJ43" s="204" t="s">
        <v>17</v>
      </c>
      <c r="AK43" s="109"/>
      <c r="AL43" s="4"/>
      <c r="AM43" s="110"/>
      <c r="AN43" s="45">
        <v>2.1E-7</v>
      </c>
      <c r="AO43" s="1" t="s">
        <v>288</v>
      </c>
      <c r="AP43" s="39" t="s">
        <v>192</v>
      </c>
      <c r="AQ43" s="53">
        <f>AI42*AK42*AN43</f>
        <v>2.3138587143000002</v>
      </c>
      <c r="AR43" s="46" t="s">
        <v>285</v>
      </c>
      <c r="AS43" s="47">
        <v>265</v>
      </c>
      <c r="AT43" s="11" t="s">
        <v>295</v>
      </c>
      <c r="AU43" s="22"/>
      <c r="AV43" s="43">
        <f t="shared" si="0"/>
        <v>613.1725592895001</v>
      </c>
      <c r="AW43" s="22" t="s">
        <v>272</v>
      </c>
    </row>
    <row r="44" spans="3:49" ht="19.899999999999999" customHeight="1" x14ac:dyDescent="0.4">
      <c r="C44" s="65" t="s">
        <v>325</v>
      </c>
      <c r="D44" s="124" t="s">
        <v>16</v>
      </c>
      <c r="E44" s="38" t="s">
        <v>61</v>
      </c>
      <c r="F44" s="22" t="s">
        <v>62</v>
      </c>
      <c r="G44" s="67" t="s">
        <v>187</v>
      </c>
      <c r="H44" s="197">
        <v>51199.800000000032</v>
      </c>
      <c r="I44" s="198" t="s">
        <v>17</v>
      </c>
      <c r="J44" s="205"/>
      <c r="K44" s="199">
        <v>29.136601781731546</v>
      </c>
      <c r="L44" s="198" t="s">
        <v>21</v>
      </c>
      <c r="M44" s="203" t="s">
        <v>191</v>
      </c>
      <c r="N44" s="47">
        <f t="shared" si="1"/>
        <v>1491788.1839042997</v>
      </c>
      <c r="O44" s="22" t="s">
        <v>36</v>
      </c>
      <c r="P44" s="47">
        <f t="shared" si="2"/>
        <v>384881.35144730937</v>
      </c>
      <c r="Q44" s="22" t="s">
        <v>317</v>
      </c>
      <c r="R44" s="34">
        <v>1.44E-2</v>
      </c>
      <c r="S44" s="3" t="s">
        <v>22</v>
      </c>
      <c r="T44" s="11" t="s">
        <v>192</v>
      </c>
      <c r="U44" s="47">
        <f t="shared" si="3"/>
        <v>78766</v>
      </c>
      <c r="V44" s="22" t="s">
        <v>186</v>
      </c>
      <c r="W44" s="43"/>
      <c r="X44" s="8"/>
      <c r="Y44" s="3"/>
      <c r="Z44" s="3"/>
      <c r="AA44" s="22"/>
      <c r="AD44" s="25" t="s">
        <v>153</v>
      </c>
      <c r="AE44" s="29" t="s">
        <v>282</v>
      </c>
      <c r="AF44" s="32" t="s">
        <v>152</v>
      </c>
      <c r="AG44" s="89" t="s">
        <v>151</v>
      </c>
      <c r="AH44" s="65" t="s">
        <v>261</v>
      </c>
      <c r="AI44" s="38">
        <v>0</v>
      </c>
      <c r="AJ44" s="11" t="s">
        <v>155</v>
      </c>
      <c r="AK44" s="38" t="s">
        <v>314</v>
      </c>
      <c r="AL44" s="3" t="s">
        <v>314</v>
      </c>
      <c r="AM44" s="22" t="s">
        <v>314</v>
      </c>
      <c r="AN44" s="45" t="s">
        <v>314</v>
      </c>
      <c r="AO44" s="1" t="s">
        <v>314</v>
      </c>
      <c r="AP44" s="39" t="s">
        <v>314</v>
      </c>
      <c r="AQ44" s="34">
        <v>0</v>
      </c>
      <c r="AR44" s="39" t="s">
        <v>155</v>
      </c>
      <c r="AS44" s="45">
        <v>12400</v>
      </c>
      <c r="AT44" s="11" t="s">
        <v>294</v>
      </c>
      <c r="AU44" s="22"/>
      <c r="AV44" s="43">
        <f t="shared" si="0"/>
        <v>0</v>
      </c>
      <c r="AW44" s="22" t="s">
        <v>272</v>
      </c>
    </row>
    <row r="45" spans="3:49" ht="19.899999999999999" customHeight="1" x14ac:dyDescent="0.4">
      <c r="C45" s="65" t="s">
        <v>325</v>
      </c>
      <c r="D45" s="124" t="s">
        <v>16</v>
      </c>
      <c r="E45" s="38" t="s">
        <v>64</v>
      </c>
      <c r="F45" s="22" t="s">
        <v>65</v>
      </c>
      <c r="G45" s="67" t="s">
        <v>187</v>
      </c>
      <c r="H45" s="197">
        <v>8878.9000000000033</v>
      </c>
      <c r="I45" s="198" t="s">
        <v>17</v>
      </c>
      <c r="J45" s="205"/>
      <c r="K45" s="199">
        <v>43.593370106507351</v>
      </c>
      <c r="L45" s="198" t="s">
        <v>21</v>
      </c>
      <c r="M45" s="203" t="s">
        <v>191</v>
      </c>
      <c r="N45" s="47">
        <f t="shared" si="1"/>
        <v>387061.17383866827</v>
      </c>
      <c r="O45" s="22" t="s">
        <v>36</v>
      </c>
      <c r="P45" s="47">
        <f t="shared" si="2"/>
        <v>99861.782850376418</v>
      </c>
      <c r="Q45" s="22" t="s">
        <v>317</v>
      </c>
      <c r="R45" s="34">
        <v>1.44E-2</v>
      </c>
      <c r="S45" s="3" t="s">
        <v>22</v>
      </c>
      <c r="T45" s="11" t="s">
        <v>192</v>
      </c>
      <c r="U45" s="47">
        <f t="shared" si="3"/>
        <v>20436</v>
      </c>
      <c r="V45" s="22" t="s">
        <v>186</v>
      </c>
      <c r="W45" s="43"/>
      <c r="X45" s="8"/>
      <c r="Y45" s="3"/>
      <c r="Z45" s="3"/>
      <c r="AA45" s="22"/>
      <c r="AD45" s="27"/>
      <c r="AE45" s="31"/>
      <c r="AF45" s="32" t="s">
        <v>157</v>
      </c>
      <c r="AG45" s="9"/>
      <c r="AH45" s="65" t="s">
        <v>261</v>
      </c>
      <c r="AI45" s="38">
        <v>5.5E-2</v>
      </c>
      <c r="AJ45" s="11" t="s">
        <v>293</v>
      </c>
      <c r="AK45" s="38" t="s">
        <v>314</v>
      </c>
      <c r="AL45" s="3" t="s">
        <v>314</v>
      </c>
      <c r="AM45" s="22" t="s">
        <v>314</v>
      </c>
      <c r="AN45" s="59">
        <v>3.6363636363636397E-2</v>
      </c>
      <c r="AO45" s="1" t="s">
        <v>283</v>
      </c>
      <c r="AP45" s="60" t="s">
        <v>265</v>
      </c>
      <c r="AQ45" s="53">
        <f>AI45*AN45</f>
        <v>2.0000000000000018E-3</v>
      </c>
      <c r="AR45" s="39" t="s">
        <v>155</v>
      </c>
      <c r="AS45" s="45"/>
      <c r="AT45" s="11" t="s">
        <v>294</v>
      </c>
      <c r="AU45" s="22"/>
      <c r="AV45" s="212">
        <v>2.1160000000000001</v>
      </c>
      <c r="AW45" s="22" t="s">
        <v>272</v>
      </c>
    </row>
    <row r="46" spans="3:49" ht="19.899999999999999" customHeight="1" x14ac:dyDescent="0.4">
      <c r="C46" s="65" t="s">
        <v>325</v>
      </c>
      <c r="D46" s="124" t="s">
        <v>16</v>
      </c>
      <c r="E46" s="38" t="s">
        <v>68</v>
      </c>
      <c r="F46" s="22" t="s">
        <v>69</v>
      </c>
      <c r="G46" s="67" t="s">
        <v>187</v>
      </c>
      <c r="H46" s="197">
        <v>2610.7000000000012</v>
      </c>
      <c r="I46" s="198" t="s">
        <v>17</v>
      </c>
      <c r="J46" s="205"/>
      <c r="K46" s="199">
        <v>43.766018764755195</v>
      </c>
      <c r="L46" s="198" t="s">
        <v>21</v>
      </c>
      <c r="M46" s="203" t="s">
        <v>191</v>
      </c>
      <c r="N46" s="47">
        <f t="shared" si="1"/>
        <v>114259.94518914644</v>
      </c>
      <c r="O46" s="22" t="s">
        <v>36</v>
      </c>
      <c r="P46" s="47">
        <f t="shared" si="2"/>
        <v>29479.065858799782</v>
      </c>
      <c r="Q46" s="22" t="s">
        <v>317</v>
      </c>
      <c r="R46" s="34">
        <v>1.44E-2</v>
      </c>
      <c r="S46" s="3" t="s">
        <v>22</v>
      </c>
      <c r="T46" s="11" t="s">
        <v>192</v>
      </c>
      <c r="U46" s="47">
        <f t="shared" si="3"/>
        <v>6032</v>
      </c>
      <c r="V46" s="22" t="s">
        <v>186</v>
      </c>
      <c r="W46" s="43"/>
      <c r="X46" s="8"/>
      <c r="Y46" s="3"/>
      <c r="Z46" s="3"/>
      <c r="AA46" s="22"/>
      <c r="AD46" s="25" t="s">
        <v>161</v>
      </c>
      <c r="AE46" s="29" t="s">
        <v>154</v>
      </c>
      <c r="AF46" s="32" t="s">
        <v>162</v>
      </c>
      <c r="AG46" s="89" t="s">
        <v>151</v>
      </c>
      <c r="AH46" s="65" t="s">
        <v>261</v>
      </c>
      <c r="AI46" s="38">
        <v>3.0000000000000001E-3</v>
      </c>
      <c r="AJ46" s="11" t="s">
        <v>155</v>
      </c>
      <c r="AK46" s="38" t="s">
        <v>314</v>
      </c>
      <c r="AL46" s="3" t="s">
        <v>314</v>
      </c>
      <c r="AM46" s="22" t="s">
        <v>314</v>
      </c>
      <c r="AN46" s="58">
        <v>0.01</v>
      </c>
      <c r="AO46" s="1" t="s">
        <v>283</v>
      </c>
      <c r="AP46" s="39" t="s">
        <v>192</v>
      </c>
      <c r="AQ46" s="53">
        <f>AI46*AN46</f>
        <v>3.0000000000000001E-5</v>
      </c>
      <c r="AR46" s="39" t="s">
        <v>155</v>
      </c>
      <c r="AS46" s="45">
        <v>12400</v>
      </c>
      <c r="AT46" s="11" t="s">
        <v>294</v>
      </c>
      <c r="AU46" s="22"/>
      <c r="AV46" s="43">
        <f>AQ46*AS46</f>
        <v>0.372</v>
      </c>
      <c r="AW46" s="22" t="s">
        <v>272</v>
      </c>
    </row>
    <row r="47" spans="3:49" ht="19.899999999999999" customHeight="1" x14ac:dyDescent="0.4">
      <c r="C47" s="65" t="s">
        <v>325</v>
      </c>
      <c r="D47" s="124" t="s">
        <v>16</v>
      </c>
      <c r="E47" s="38" t="s">
        <v>70</v>
      </c>
      <c r="F47" s="22" t="s">
        <v>71</v>
      </c>
      <c r="G47" s="67" t="s">
        <v>187</v>
      </c>
      <c r="H47" s="197">
        <v>33.700000000000003</v>
      </c>
      <c r="I47" s="198" t="s">
        <v>17</v>
      </c>
      <c r="J47" s="205"/>
      <c r="K47" s="199">
        <v>47.928067497881273</v>
      </c>
      <c r="L47" s="198" t="s">
        <v>21</v>
      </c>
      <c r="M47" s="203" t="s">
        <v>191</v>
      </c>
      <c r="N47" s="47">
        <f t="shared" si="1"/>
        <v>1615.175874678599</v>
      </c>
      <c r="O47" s="22" t="s">
        <v>36</v>
      </c>
      <c r="P47" s="47">
        <f t="shared" si="2"/>
        <v>416.71537566707855</v>
      </c>
      <c r="Q47" s="22" t="s">
        <v>317</v>
      </c>
      <c r="R47" s="34">
        <v>1.44E-2</v>
      </c>
      <c r="S47" s="3" t="s">
        <v>22</v>
      </c>
      <c r="T47" s="11" t="s">
        <v>192</v>
      </c>
      <c r="U47" s="47">
        <f t="shared" si="3"/>
        <v>85</v>
      </c>
      <c r="V47" s="22" t="s">
        <v>186</v>
      </c>
      <c r="W47" s="43"/>
      <c r="X47" s="8"/>
      <c r="Y47" s="3"/>
      <c r="Z47" s="3"/>
      <c r="AA47" s="22"/>
      <c r="AD47" s="27"/>
      <c r="AE47" s="31"/>
      <c r="AF47" s="32" t="s">
        <v>166</v>
      </c>
      <c r="AG47" s="90"/>
      <c r="AH47" s="65" t="s">
        <v>261</v>
      </c>
      <c r="AI47" s="38">
        <v>1.2999999999999999E-2</v>
      </c>
      <c r="AJ47" s="11" t="s">
        <v>155</v>
      </c>
      <c r="AK47" s="38" t="s">
        <v>314</v>
      </c>
      <c r="AL47" s="3" t="s">
        <v>314</v>
      </c>
      <c r="AM47" s="22" t="s">
        <v>314</v>
      </c>
      <c r="AN47" s="58">
        <v>0.01</v>
      </c>
      <c r="AO47" s="1" t="s">
        <v>283</v>
      </c>
      <c r="AP47" s="39" t="s">
        <v>192</v>
      </c>
      <c r="AQ47" s="53">
        <f>AI47*AN47</f>
        <v>1.2999999999999999E-4</v>
      </c>
      <c r="AR47" s="39" t="s">
        <v>155</v>
      </c>
      <c r="AS47" s="87">
        <f>AV47/AQ47</f>
        <v>1923.0769230769233</v>
      </c>
      <c r="AT47" s="11" t="s">
        <v>294</v>
      </c>
      <c r="AU47" s="22"/>
      <c r="AV47" s="43">
        <v>0.25</v>
      </c>
      <c r="AW47" s="22" t="s">
        <v>272</v>
      </c>
    </row>
    <row r="48" spans="3:49" ht="19.899999999999999" customHeight="1" x14ac:dyDescent="0.4">
      <c r="C48" s="65" t="s">
        <v>325</v>
      </c>
      <c r="D48" s="124" t="s">
        <v>16</v>
      </c>
      <c r="E48" s="38" t="s">
        <v>73</v>
      </c>
      <c r="F48" s="22" t="s">
        <v>74</v>
      </c>
      <c r="G48" s="67" t="s">
        <v>187</v>
      </c>
      <c r="H48" s="197">
        <v>23538.200000000012</v>
      </c>
      <c r="I48" s="198" t="s">
        <v>17</v>
      </c>
      <c r="J48" s="205"/>
      <c r="K48" s="199">
        <v>43.732579557333594</v>
      </c>
      <c r="L48" s="198" t="s">
        <v>21</v>
      </c>
      <c r="M48" s="203" t="s">
        <v>191</v>
      </c>
      <c r="N48" s="47">
        <f t="shared" si="1"/>
        <v>1029386.2041364301</v>
      </c>
      <c r="O48" s="22" t="s">
        <v>36</v>
      </c>
      <c r="P48" s="47">
        <f t="shared" si="2"/>
        <v>265581.64066719898</v>
      </c>
      <c r="Q48" s="22" t="s">
        <v>317</v>
      </c>
      <c r="R48" s="34">
        <v>1.44E-2</v>
      </c>
      <c r="S48" s="3" t="s">
        <v>22</v>
      </c>
      <c r="T48" s="11" t="s">
        <v>192</v>
      </c>
      <c r="U48" s="47">
        <f>INT(H48*K48*R48*44/12)</f>
        <v>54351</v>
      </c>
      <c r="V48" s="22" t="s">
        <v>186</v>
      </c>
      <c r="W48" s="43"/>
      <c r="X48" s="8"/>
      <c r="Y48" s="3"/>
      <c r="Z48" s="3"/>
      <c r="AA48" s="22"/>
      <c r="AD48" s="25" t="s">
        <v>172</v>
      </c>
      <c r="AE48" s="29" t="s">
        <v>5</v>
      </c>
      <c r="AF48" s="32" t="s">
        <v>173</v>
      </c>
      <c r="AG48" s="179" t="s">
        <v>171</v>
      </c>
      <c r="AH48" s="65" t="s">
        <v>261</v>
      </c>
      <c r="AI48" s="38">
        <v>1.1100000000000001</v>
      </c>
      <c r="AJ48" s="11" t="s">
        <v>296</v>
      </c>
      <c r="AK48" s="38" t="s">
        <v>314</v>
      </c>
      <c r="AL48" s="3" t="s">
        <v>314</v>
      </c>
      <c r="AM48" s="22" t="s">
        <v>314</v>
      </c>
      <c r="AN48" s="45">
        <v>1E-3</v>
      </c>
      <c r="AO48" s="1" t="s">
        <v>289</v>
      </c>
      <c r="AP48" s="39" t="s">
        <v>192</v>
      </c>
      <c r="AQ48" s="53">
        <v>1.1100000000000001E-3</v>
      </c>
      <c r="AR48" s="22" t="s">
        <v>174</v>
      </c>
      <c r="AS48" s="38">
        <v>23500</v>
      </c>
      <c r="AT48" s="11" t="s">
        <v>297</v>
      </c>
      <c r="AU48" s="22"/>
      <c r="AV48" s="43">
        <f>AQ48*AS48</f>
        <v>26.085000000000001</v>
      </c>
      <c r="AW48" s="22" t="s">
        <v>272</v>
      </c>
    </row>
    <row r="49" spans="3:49" ht="19.899999999999999" customHeight="1" thickBot="1" x14ac:dyDescent="0.45">
      <c r="C49" s="65" t="s">
        <v>325</v>
      </c>
      <c r="D49" s="124" t="s">
        <v>16</v>
      </c>
      <c r="E49" s="38" t="s">
        <v>75</v>
      </c>
      <c r="F49" s="22" t="s">
        <v>76</v>
      </c>
      <c r="G49" s="67" t="s">
        <v>187</v>
      </c>
      <c r="H49" s="197">
        <v>1550.3000000000004</v>
      </c>
      <c r="I49" s="198" t="s">
        <v>17</v>
      </c>
      <c r="J49" s="205"/>
      <c r="K49" s="199">
        <v>45.866283861060701</v>
      </c>
      <c r="L49" s="198" t="s">
        <v>21</v>
      </c>
      <c r="M49" s="203" t="s">
        <v>191</v>
      </c>
      <c r="N49" s="47">
        <f t="shared" si="1"/>
        <v>71106.499869802428</v>
      </c>
      <c r="O49" s="22" t="s">
        <v>36</v>
      </c>
      <c r="P49" s="47">
        <f t="shared" si="2"/>
        <v>18345.476966409027</v>
      </c>
      <c r="Q49" s="22" t="s">
        <v>317</v>
      </c>
      <c r="R49" s="34">
        <v>1.44E-2</v>
      </c>
      <c r="S49" s="3" t="s">
        <v>22</v>
      </c>
      <c r="T49" s="11" t="s">
        <v>192</v>
      </c>
      <c r="U49" s="47">
        <f t="shared" si="3"/>
        <v>3754</v>
      </c>
      <c r="V49" s="22" t="s">
        <v>186</v>
      </c>
      <c r="W49" s="43"/>
      <c r="X49" s="8"/>
      <c r="Y49" s="3"/>
      <c r="Z49" s="3"/>
      <c r="AA49" s="22"/>
      <c r="AD49" s="28"/>
      <c r="AE49" s="33"/>
      <c r="AF49" s="36" t="s">
        <v>173</v>
      </c>
      <c r="AG49" s="216"/>
      <c r="AH49" s="66" t="s">
        <v>261</v>
      </c>
      <c r="AI49" s="40" t="s">
        <v>265</v>
      </c>
      <c r="AJ49" s="42" t="s">
        <v>290</v>
      </c>
      <c r="AK49" s="40" t="s">
        <v>313</v>
      </c>
      <c r="AL49" s="23" t="s">
        <v>313</v>
      </c>
      <c r="AM49" s="24" t="s">
        <v>313</v>
      </c>
      <c r="AN49" s="40" t="s">
        <v>313</v>
      </c>
      <c r="AO49" s="23" t="s">
        <v>313</v>
      </c>
      <c r="AP49" s="24" t="s">
        <v>313</v>
      </c>
      <c r="AQ49" s="35" t="s">
        <v>266</v>
      </c>
      <c r="AR49" s="24" t="s">
        <v>266</v>
      </c>
      <c r="AS49" s="40" t="s">
        <v>266</v>
      </c>
      <c r="AT49" s="42" t="s">
        <v>266</v>
      </c>
      <c r="AU49" s="24"/>
      <c r="AV49" s="35" t="s">
        <v>266</v>
      </c>
      <c r="AW49" s="24" t="s">
        <v>266</v>
      </c>
    </row>
    <row r="50" spans="3:49" ht="19.899999999999999" customHeight="1" x14ac:dyDescent="0.4">
      <c r="C50" s="65" t="s">
        <v>325</v>
      </c>
      <c r="D50" s="124" t="s">
        <v>16</v>
      </c>
      <c r="E50" s="38" t="s">
        <v>78</v>
      </c>
      <c r="F50" s="22" t="s">
        <v>79</v>
      </c>
      <c r="G50" s="67" t="s">
        <v>187</v>
      </c>
      <c r="H50" s="197">
        <v>245.6</v>
      </c>
      <c r="I50" s="198" t="s">
        <v>17</v>
      </c>
      <c r="J50" s="205"/>
      <c r="K50" s="199">
        <v>43.38223290740757</v>
      </c>
      <c r="L50" s="198" t="s">
        <v>21</v>
      </c>
      <c r="M50" s="203" t="s">
        <v>191</v>
      </c>
      <c r="N50" s="47">
        <f t="shared" si="1"/>
        <v>10654.676402059298</v>
      </c>
      <c r="O50" s="22" t="s">
        <v>36</v>
      </c>
      <c r="P50" s="47">
        <f t="shared" si="2"/>
        <v>2748.9065117312989</v>
      </c>
      <c r="Q50" s="22" t="s">
        <v>317</v>
      </c>
      <c r="R50" s="34">
        <v>1.44E-2</v>
      </c>
      <c r="S50" s="3" t="s">
        <v>22</v>
      </c>
      <c r="T50" s="11" t="s">
        <v>192</v>
      </c>
      <c r="U50" s="47">
        <f t="shared" si="3"/>
        <v>562</v>
      </c>
      <c r="V50" s="22" t="s">
        <v>186</v>
      </c>
      <c r="W50" s="43"/>
      <c r="X50" s="8"/>
      <c r="Y50" s="3"/>
      <c r="Z50" s="3"/>
      <c r="AA50" s="22"/>
    </row>
    <row r="51" spans="3:49" ht="19.899999999999999" customHeight="1" x14ac:dyDescent="0.4">
      <c r="C51" s="65" t="s">
        <v>325</v>
      </c>
      <c r="D51" s="124" t="s">
        <v>16</v>
      </c>
      <c r="E51" s="38" t="s">
        <v>80</v>
      </c>
      <c r="F51" s="22" t="s">
        <v>81</v>
      </c>
      <c r="G51" s="67" t="s">
        <v>187</v>
      </c>
      <c r="H51" s="197">
        <v>1141.2000000000003</v>
      </c>
      <c r="I51" s="198" t="s">
        <v>17</v>
      </c>
      <c r="J51" s="205"/>
      <c r="K51" s="199">
        <v>43.906016813711055</v>
      </c>
      <c r="L51" s="198" t="s">
        <v>21</v>
      </c>
      <c r="M51" s="203" t="s">
        <v>191</v>
      </c>
      <c r="N51" s="47">
        <f t="shared" si="1"/>
        <v>50105.546387807066</v>
      </c>
      <c r="O51" s="22" t="s">
        <v>36</v>
      </c>
      <c r="P51" s="47">
        <f t="shared" si="2"/>
        <v>12927.230968054224</v>
      </c>
      <c r="Q51" s="22" t="s">
        <v>317</v>
      </c>
      <c r="R51" s="34">
        <v>1.44E-2</v>
      </c>
      <c r="S51" s="3" t="s">
        <v>22</v>
      </c>
      <c r="T51" s="11" t="s">
        <v>192</v>
      </c>
      <c r="U51" s="47">
        <f t="shared" si="3"/>
        <v>2645</v>
      </c>
      <c r="V51" s="22" t="s">
        <v>186</v>
      </c>
      <c r="W51" s="43"/>
      <c r="X51" s="8"/>
      <c r="Y51" s="3"/>
      <c r="Z51" s="3"/>
      <c r="AA51" s="22"/>
    </row>
    <row r="52" spans="3:49" ht="19.899999999999999" customHeight="1" x14ac:dyDescent="0.4">
      <c r="C52" s="65" t="s">
        <v>325</v>
      </c>
      <c r="D52" s="124" t="s">
        <v>16</v>
      </c>
      <c r="E52" s="38" t="s">
        <v>83</v>
      </c>
      <c r="F52" s="22" t="s">
        <v>84</v>
      </c>
      <c r="G52" s="67" t="s">
        <v>187</v>
      </c>
      <c r="H52" s="197">
        <v>566.79999999999905</v>
      </c>
      <c r="I52" s="198" t="s">
        <v>17</v>
      </c>
      <c r="J52" s="205"/>
      <c r="K52" s="199">
        <v>43.906016813711055</v>
      </c>
      <c r="L52" s="198" t="s">
        <v>21</v>
      </c>
      <c r="M52" s="203" t="s">
        <v>191</v>
      </c>
      <c r="N52" s="47">
        <f t="shared" si="1"/>
        <v>24885.930330011382</v>
      </c>
      <c r="O52" s="22" t="s">
        <v>36</v>
      </c>
      <c r="P52" s="47">
        <f t="shared" si="2"/>
        <v>6420.5700251429371</v>
      </c>
      <c r="Q52" s="22" t="s">
        <v>317</v>
      </c>
      <c r="R52" s="34">
        <v>1.44E-2</v>
      </c>
      <c r="S52" s="3" t="s">
        <v>22</v>
      </c>
      <c r="T52" s="11" t="s">
        <v>192</v>
      </c>
      <c r="U52" s="47">
        <f t="shared" si="3"/>
        <v>1313</v>
      </c>
      <c r="V52" s="22" t="s">
        <v>186</v>
      </c>
      <c r="W52" s="43"/>
      <c r="X52" s="8"/>
      <c r="Y52" s="3"/>
      <c r="Z52" s="3"/>
      <c r="AA52" s="22"/>
    </row>
    <row r="53" spans="3:49" ht="19.899999999999999" customHeight="1" x14ac:dyDescent="0.4">
      <c r="C53" s="65" t="s">
        <v>325</v>
      </c>
      <c r="D53" s="124" t="s">
        <v>16</v>
      </c>
      <c r="E53" s="38" t="s">
        <v>85</v>
      </c>
      <c r="F53" s="22" t="s">
        <v>86</v>
      </c>
      <c r="G53" s="67" t="s">
        <v>187</v>
      </c>
      <c r="H53" s="197">
        <v>12211.100000000002</v>
      </c>
      <c r="I53" s="198" t="s">
        <v>17</v>
      </c>
      <c r="J53" s="205"/>
      <c r="K53" s="199">
        <v>36.41699448530283</v>
      </c>
      <c r="L53" s="198" t="s">
        <v>21</v>
      </c>
      <c r="M53" s="203" t="s">
        <v>191</v>
      </c>
      <c r="N53" s="47">
        <f t="shared" si="1"/>
        <v>444691.56135948148</v>
      </c>
      <c r="O53" s="22" t="s">
        <v>36</v>
      </c>
      <c r="P53" s="47">
        <f t="shared" si="2"/>
        <v>114730.42283074622</v>
      </c>
      <c r="Q53" s="22" t="s">
        <v>317</v>
      </c>
      <c r="R53" s="34">
        <v>1.44E-2</v>
      </c>
      <c r="S53" s="3" t="s">
        <v>22</v>
      </c>
      <c r="T53" s="11" t="s">
        <v>192</v>
      </c>
      <c r="U53" s="47">
        <f t="shared" si="3"/>
        <v>23479</v>
      </c>
      <c r="V53" s="22" t="s">
        <v>186</v>
      </c>
      <c r="W53" s="43"/>
      <c r="X53" s="8"/>
      <c r="Y53" s="3"/>
      <c r="Z53" s="3"/>
      <c r="AA53" s="22"/>
    </row>
    <row r="54" spans="3:49" ht="19.899999999999999" customHeight="1" x14ac:dyDescent="0.4">
      <c r="C54" s="65" t="s">
        <v>325</v>
      </c>
      <c r="D54" s="124" t="s">
        <v>16</v>
      </c>
      <c r="E54" s="38" t="s">
        <v>89</v>
      </c>
      <c r="F54" s="22" t="s">
        <v>90</v>
      </c>
      <c r="G54" s="67" t="s">
        <v>187</v>
      </c>
      <c r="H54" s="197">
        <v>11994.099999999995</v>
      </c>
      <c r="I54" s="198" t="s">
        <v>17</v>
      </c>
      <c r="J54" s="205"/>
      <c r="K54" s="199">
        <v>36.41699448530283</v>
      </c>
      <c r="L54" s="198" t="s">
        <v>21</v>
      </c>
      <c r="M54" s="203" t="s">
        <v>191</v>
      </c>
      <c r="N54" s="47">
        <f t="shared" si="1"/>
        <v>436789.07355617051</v>
      </c>
      <c r="O54" s="22" t="s">
        <v>36</v>
      </c>
      <c r="P54" s="47">
        <f t="shared" si="2"/>
        <v>112691.58097749199</v>
      </c>
      <c r="Q54" s="22" t="s">
        <v>317</v>
      </c>
      <c r="R54" s="34">
        <v>1.44E-2</v>
      </c>
      <c r="S54" s="3" t="s">
        <v>22</v>
      </c>
      <c r="T54" s="11" t="s">
        <v>192</v>
      </c>
      <c r="U54" s="47">
        <f t="shared" si="3"/>
        <v>23062</v>
      </c>
      <c r="V54" s="22" t="s">
        <v>186</v>
      </c>
      <c r="W54" s="43"/>
      <c r="X54" s="8"/>
      <c r="Y54" s="3"/>
      <c r="Z54" s="3"/>
      <c r="AA54" s="22"/>
    </row>
    <row r="55" spans="3:49" ht="19.899999999999999" customHeight="1" x14ac:dyDescent="0.4">
      <c r="C55" s="65" t="s">
        <v>325</v>
      </c>
      <c r="D55" s="124" t="s">
        <v>16</v>
      </c>
      <c r="E55" s="38" t="s">
        <v>91</v>
      </c>
      <c r="F55" s="22" t="s">
        <v>92</v>
      </c>
      <c r="G55" s="67" t="s">
        <v>187</v>
      </c>
      <c r="H55" s="197">
        <v>5022.0999999999995</v>
      </c>
      <c r="I55" s="198" t="s">
        <v>17</v>
      </c>
      <c r="J55" s="205"/>
      <c r="K55" s="199">
        <v>36.394502472498289</v>
      </c>
      <c r="L55" s="198" t="s">
        <v>21</v>
      </c>
      <c r="M55" s="203" t="s">
        <v>191</v>
      </c>
      <c r="N55" s="47">
        <f t="shared" si="1"/>
        <v>182776.83086713363</v>
      </c>
      <c r="O55" s="22" t="s">
        <v>36</v>
      </c>
      <c r="P55" s="47">
        <f t="shared" si="2"/>
        <v>47156.422363720478</v>
      </c>
      <c r="Q55" s="22" t="s">
        <v>317</v>
      </c>
      <c r="R55" s="34">
        <v>1.44E-2</v>
      </c>
      <c r="S55" s="3" t="s">
        <v>22</v>
      </c>
      <c r="T55" s="11" t="s">
        <v>192</v>
      </c>
      <c r="U55" s="47">
        <f t="shared" si="3"/>
        <v>9650</v>
      </c>
      <c r="V55" s="22" t="s">
        <v>186</v>
      </c>
      <c r="W55" s="43"/>
      <c r="X55" s="8"/>
      <c r="Y55" s="3"/>
      <c r="Z55" s="3"/>
      <c r="AA55" s="22"/>
    </row>
    <row r="56" spans="3:49" ht="19.899999999999999" customHeight="1" x14ac:dyDescent="0.4">
      <c r="C56" s="65" t="s">
        <v>325</v>
      </c>
      <c r="D56" s="124" t="s">
        <v>16</v>
      </c>
      <c r="E56" s="38" t="s">
        <v>94</v>
      </c>
      <c r="F56" s="22" t="s">
        <v>95</v>
      </c>
      <c r="G56" s="67" t="s">
        <v>187</v>
      </c>
      <c r="H56" s="197">
        <v>1892.6999999999998</v>
      </c>
      <c r="I56" s="198" t="s">
        <v>17</v>
      </c>
      <c r="J56" s="205"/>
      <c r="K56" s="199">
        <v>36.368477401292324</v>
      </c>
      <c r="L56" s="198" t="s">
        <v>21</v>
      </c>
      <c r="M56" s="203" t="s">
        <v>191</v>
      </c>
      <c r="N56" s="47">
        <f t="shared" si="1"/>
        <v>68834.617177425971</v>
      </c>
      <c r="O56" s="22" t="s">
        <v>36</v>
      </c>
      <c r="P56" s="47">
        <f t="shared" si="2"/>
        <v>17759.331231775901</v>
      </c>
      <c r="Q56" s="22" t="s">
        <v>317</v>
      </c>
      <c r="R56" s="34">
        <v>1.44E-2</v>
      </c>
      <c r="S56" s="3" t="s">
        <v>22</v>
      </c>
      <c r="T56" s="11" t="s">
        <v>192</v>
      </c>
      <c r="U56" s="47">
        <f t="shared" si="3"/>
        <v>3634</v>
      </c>
      <c r="V56" s="22" t="s">
        <v>186</v>
      </c>
      <c r="W56" s="43"/>
      <c r="X56" s="8"/>
      <c r="Y56" s="3"/>
      <c r="Z56" s="3"/>
      <c r="AA56" s="22"/>
    </row>
    <row r="57" spans="3:49" ht="19.899999999999999" customHeight="1" x14ac:dyDescent="0.4">
      <c r="C57" s="65" t="s">
        <v>325</v>
      </c>
      <c r="D57" s="124" t="s">
        <v>16</v>
      </c>
      <c r="E57" s="38" t="s">
        <v>96</v>
      </c>
      <c r="F57" s="22" t="s">
        <v>97</v>
      </c>
      <c r="G57" s="67" t="s">
        <v>187</v>
      </c>
      <c r="H57" s="197">
        <v>1468.2999999999993</v>
      </c>
      <c r="I57" s="198" t="s">
        <v>17</v>
      </c>
      <c r="J57" s="205"/>
      <c r="K57" s="199">
        <v>36.368477401292324</v>
      </c>
      <c r="L57" s="198" t="s">
        <v>21</v>
      </c>
      <c r="M57" s="203" t="s">
        <v>191</v>
      </c>
      <c r="N57" s="47">
        <f t="shared" si="1"/>
        <v>53399.835368317494</v>
      </c>
      <c r="O57" s="22" t="s">
        <v>36</v>
      </c>
      <c r="P57" s="47">
        <f t="shared" si="2"/>
        <v>13777.157525025914</v>
      </c>
      <c r="Q57" s="22" t="s">
        <v>317</v>
      </c>
      <c r="R57" s="34">
        <v>1.44E-2</v>
      </c>
      <c r="S57" s="3" t="s">
        <v>22</v>
      </c>
      <c r="T57" s="11" t="s">
        <v>192</v>
      </c>
      <c r="U57" s="47">
        <f t="shared" si="3"/>
        <v>2819</v>
      </c>
      <c r="V57" s="22" t="s">
        <v>186</v>
      </c>
      <c r="W57" s="43"/>
      <c r="X57" s="8"/>
      <c r="Y57" s="3"/>
      <c r="Z57" s="3"/>
      <c r="AA57" s="22"/>
    </row>
    <row r="58" spans="3:49" ht="19.899999999999999" customHeight="1" x14ac:dyDescent="0.4">
      <c r="C58" s="65" t="s">
        <v>325</v>
      </c>
      <c r="D58" s="124" t="s">
        <v>16</v>
      </c>
      <c r="E58" s="38" t="s">
        <v>100</v>
      </c>
      <c r="F58" s="22" t="s">
        <v>101</v>
      </c>
      <c r="G58" s="67" t="s">
        <v>187</v>
      </c>
      <c r="H58" s="197">
        <v>7201.9999999999991</v>
      </c>
      <c r="I58" s="198" t="s">
        <v>17</v>
      </c>
      <c r="J58" s="205"/>
      <c r="K58" s="199">
        <v>36.368477401292324</v>
      </c>
      <c r="L58" s="198" t="s">
        <v>21</v>
      </c>
      <c r="M58" s="203" t="s">
        <v>191</v>
      </c>
      <c r="N58" s="47">
        <f t="shared" si="1"/>
        <v>261925.77424410728</v>
      </c>
      <c r="O58" s="22" t="s">
        <v>36</v>
      </c>
      <c r="P58" s="47">
        <f t="shared" si="2"/>
        <v>67576.849754979674</v>
      </c>
      <c r="Q58" s="22" t="s">
        <v>317</v>
      </c>
      <c r="R58" s="34">
        <v>1.44E-2</v>
      </c>
      <c r="S58" s="3" t="s">
        <v>22</v>
      </c>
      <c r="T58" s="11" t="s">
        <v>192</v>
      </c>
      <c r="U58" s="47">
        <f t="shared" si="3"/>
        <v>13829</v>
      </c>
      <c r="V58" s="22" t="s">
        <v>186</v>
      </c>
      <c r="W58" s="43"/>
      <c r="X58" s="8"/>
      <c r="Y58" s="3"/>
      <c r="Z58" s="3"/>
      <c r="AA58" s="22"/>
    </row>
    <row r="59" spans="3:49" ht="19.899999999999999" customHeight="1" x14ac:dyDescent="0.4">
      <c r="C59" s="65" t="s">
        <v>325</v>
      </c>
      <c r="D59" s="124" t="s">
        <v>16</v>
      </c>
      <c r="E59" s="38" t="s">
        <v>102</v>
      </c>
      <c r="F59" s="22" t="s">
        <v>103</v>
      </c>
      <c r="G59" s="67" t="s">
        <v>187</v>
      </c>
      <c r="H59" s="197">
        <v>3491.3999999999992</v>
      </c>
      <c r="I59" s="198" t="s">
        <v>17</v>
      </c>
      <c r="J59" s="205"/>
      <c r="K59" s="199">
        <v>36.368477401292324</v>
      </c>
      <c r="L59" s="198" t="s">
        <v>21</v>
      </c>
      <c r="M59" s="203" t="s">
        <v>191</v>
      </c>
      <c r="N59" s="47">
        <f t="shared" si="1"/>
        <v>126976.901998872</v>
      </c>
      <c r="O59" s="22" t="s">
        <v>36</v>
      </c>
      <c r="P59" s="47">
        <f t="shared" si="2"/>
        <v>32760.040715708976</v>
      </c>
      <c r="Q59" s="22" t="s">
        <v>317</v>
      </c>
      <c r="R59" s="34">
        <v>1.44E-2</v>
      </c>
      <c r="S59" s="3" t="s">
        <v>22</v>
      </c>
      <c r="T59" s="11" t="s">
        <v>192</v>
      </c>
      <c r="U59" s="47">
        <f t="shared" si="3"/>
        <v>6704</v>
      </c>
      <c r="V59" s="22" t="s">
        <v>186</v>
      </c>
      <c r="W59" s="43"/>
      <c r="X59" s="8"/>
      <c r="Y59" s="3"/>
      <c r="Z59" s="3"/>
      <c r="AA59" s="22"/>
    </row>
    <row r="60" spans="3:49" ht="19.899999999999999" customHeight="1" x14ac:dyDescent="0.4">
      <c r="C60" s="65" t="s">
        <v>325</v>
      </c>
      <c r="D60" s="124" t="s">
        <v>16</v>
      </c>
      <c r="E60" s="38" t="s">
        <v>104</v>
      </c>
      <c r="F60" s="22" t="s">
        <v>105</v>
      </c>
      <c r="G60" s="67" t="s">
        <v>187</v>
      </c>
      <c r="H60" s="197">
        <v>3930.5000000000018</v>
      </c>
      <c r="I60" s="198" t="s">
        <v>17</v>
      </c>
      <c r="J60" s="205"/>
      <c r="K60" s="199">
        <v>36.368477401292324</v>
      </c>
      <c r="L60" s="198" t="s">
        <v>21</v>
      </c>
      <c r="M60" s="203" t="s">
        <v>191</v>
      </c>
      <c r="N60" s="47">
        <f t="shared" si="1"/>
        <v>142946.30042577954</v>
      </c>
      <c r="O60" s="22" t="s">
        <v>36</v>
      </c>
      <c r="P60" s="47">
        <f t="shared" si="2"/>
        <v>36880.145509851121</v>
      </c>
      <c r="Q60" s="22" t="s">
        <v>317</v>
      </c>
      <c r="R60" s="34">
        <v>1.44E-2</v>
      </c>
      <c r="S60" s="3" t="s">
        <v>22</v>
      </c>
      <c r="T60" s="11" t="s">
        <v>192</v>
      </c>
      <c r="U60" s="47">
        <f t="shared" si="3"/>
        <v>7547</v>
      </c>
      <c r="V60" s="22" t="s">
        <v>186</v>
      </c>
      <c r="W60" s="43"/>
      <c r="X60" s="8"/>
      <c r="Y60" s="3"/>
      <c r="Z60" s="3"/>
      <c r="AA60" s="22"/>
    </row>
    <row r="61" spans="3:49" ht="19.899999999999999" customHeight="1" x14ac:dyDescent="0.4">
      <c r="C61" s="65" t="s">
        <v>325</v>
      </c>
      <c r="D61" s="124" t="s">
        <v>16</v>
      </c>
      <c r="E61" s="38" t="s">
        <v>106</v>
      </c>
      <c r="F61" s="22" t="s">
        <v>107</v>
      </c>
      <c r="G61" s="67" t="s">
        <v>187</v>
      </c>
      <c r="H61" s="197">
        <v>6016.1</v>
      </c>
      <c r="I61" s="198" t="s">
        <v>17</v>
      </c>
      <c r="J61" s="205"/>
      <c r="K61" s="199">
        <v>36.561768745805594</v>
      </c>
      <c r="L61" s="198" t="s">
        <v>21</v>
      </c>
      <c r="M61" s="203" t="s">
        <v>191</v>
      </c>
      <c r="N61" s="47">
        <f t="shared" si="1"/>
        <v>219959.25695164106</v>
      </c>
      <c r="O61" s="22" t="s">
        <v>36</v>
      </c>
      <c r="P61" s="47">
        <f t="shared" si="2"/>
        <v>56749.488293523398</v>
      </c>
      <c r="Q61" s="22" t="s">
        <v>317</v>
      </c>
      <c r="R61" s="34">
        <v>1.44E-2</v>
      </c>
      <c r="S61" s="3" t="s">
        <v>22</v>
      </c>
      <c r="T61" s="11" t="s">
        <v>192</v>
      </c>
      <c r="U61" s="47">
        <f t="shared" si="3"/>
        <v>11613</v>
      </c>
      <c r="V61" s="22" t="s">
        <v>186</v>
      </c>
      <c r="W61" s="43"/>
      <c r="X61" s="8"/>
      <c r="Y61" s="3"/>
      <c r="Z61" s="3"/>
      <c r="AA61" s="22"/>
    </row>
    <row r="62" spans="3:49" ht="19.899999999999999" customHeight="1" x14ac:dyDescent="0.4">
      <c r="C62" s="65" t="s">
        <v>325</v>
      </c>
      <c r="D62" s="124" t="s">
        <v>16</v>
      </c>
      <c r="E62" s="38" t="s">
        <v>109</v>
      </c>
      <c r="F62" s="22" t="s">
        <v>110</v>
      </c>
      <c r="G62" s="67" t="s">
        <v>187</v>
      </c>
      <c r="H62" s="197">
        <v>904.1</v>
      </c>
      <c r="I62" s="198" t="s">
        <v>17</v>
      </c>
      <c r="J62" s="205"/>
      <c r="K62" s="199">
        <v>35.930751569509695</v>
      </c>
      <c r="L62" s="198" t="s">
        <v>21</v>
      </c>
      <c r="M62" s="203" t="s">
        <v>191</v>
      </c>
      <c r="N62" s="47">
        <f t="shared" si="1"/>
        <v>32484.992493993715</v>
      </c>
      <c r="O62" s="22" t="s">
        <v>36</v>
      </c>
      <c r="P62" s="47">
        <f t="shared" si="2"/>
        <v>8381.1280634503782</v>
      </c>
      <c r="Q62" s="22" t="s">
        <v>317</v>
      </c>
      <c r="R62" s="34">
        <v>1.44E-2</v>
      </c>
      <c r="S62" s="3" t="s">
        <v>22</v>
      </c>
      <c r="T62" s="11" t="s">
        <v>192</v>
      </c>
      <c r="U62" s="47">
        <f t="shared" si="3"/>
        <v>1715</v>
      </c>
      <c r="V62" s="22" t="s">
        <v>186</v>
      </c>
      <c r="W62" s="43"/>
      <c r="X62" s="8"/>
      <c r="Y62" s="3"/>
      <c r="Z62" s="3"/>
      <c r="AA62" s="22"/>
    </row>
    <row r="63" spans="3:49" ht="19.899999999999999" customHeight="1" x14ac:dyDescent="0.4">
      <c r="C63" s="65" t="s">
        <v>325</v>
      </c>
      <c r="D63" s="124" t="s">
        <v>16</v>
      </c>
      <c r="E63" s="38" t="s">
        <v>111</v>
      </c>
      <c r="F63" s="22" t="s">
        <v>112</v>
      </c>
      <c r="G63" s="67" t="s">
        <v>187</v>
      </c>
      <c r="H63" s="197">
        <v>600.49999999999955</v>
      </c>
      <c r="I63" s="198" t="s">
        <v>17</v>
      </c>
      <c r="J63" s="205"/>
      <c r="K63" s="199">
        <v>35.930751569509695</v>
      </c>
      <c r="L63" s="198" t="s">
        <v>21</v>
      </c>
      <c r="M63" s="203" t="s">
        <v>191</v>
      </c>
      <c r="N63" s="47">
        <f t="shared" si="1"/>
        <v>21576.416317490555</v>
      </c>
      <c r="O63" s="22" t="s">
        <v>36</v>
      </c>
      <c r="P63" s="47">
        <f t="shared" si="2"/>
        <v>5566.7154099125637</v>
      </c>
      <c r="Q63" s="22" t="s">
        <v>317</v>
      </c>
      <c r="R63" s="34">
        <v>1.44E-2</v>
      </c>
      <c r="S63" s="3" t="s">
        <v>22</v>
      </c>
      <c r="T63" s="11" t="s">
        <v>192</v>
      </c>
      <c r="U63" s="47">
        <f t="shared" si="3"/>
        <v>1139</v>
      </c>
      <c r="V63" s="22" t="s">
        <v>186</v>
      </c>
      <c r="W63" s="43"/>
      <c r="X63" s="8"/>
      <c r="Y63" s="3"/>
      <c r="Z63" s="3"/>
      <c r="AA63" s="22"/>
    </row>
    <row r="64" spans="3:49" ht="19.899999999999999" customHeight="1" x14ac:dyDescent="0.4">
      <c r="C64" s="65" t="s">
        <v>325</v>
      </c>
      <c r="D64" s="124" t="s">
        <v>16</v>
      </c>
      <c r="E64" s="38" t="s">
        <v>113</v>
      </c>
      <c r="F64" s="22" t="s">
        <v>114</v>
      </c>
      <c r="G64" s="67" t="s">
        <v>187</v>
      </c>
      <c r="H64" s="197">
        <v>1049.9000000000001</v>
      </c>
      <c r="I64" s="198" t="s">
        <v>17</v>
      </c>
      <c r="J64" s="205"/>
      <c r="K64" s="199">
        <v>36.730210783832369</v>
      </c>
      <c r="L64" s="198" t="s">
        <v>21</v>
      </c>
      <c r="M64" s="203" t="s">
        <v>191</v>
      </c>
      <c r="N64" s="47">
        <f t="shared" si="1"/>
        <v>38563.048301945608</v>
      </c>
      <c r="O64" s="22" t="s">
        <v>36</v>
      </c>
      <c r="P64" s="47">
        <f t="shared" si="2"/>
        <v>9949.266461901967</v>
      </c>
      <c r="Q64" s="22" t="s">
        <v>317</v>
      </c>
      <c r="R64" s="34">
        <v>1.44E-2</v>
      </c>
      <c r="S64" s="3" t="s">
        <v>22</v>
      </c>
      <c r="T64" s="11" t="s">
        <v>192</v>
      </c>
      <c r="U64" s="47">
        <f t="shared" si="3"/>
        <v>2036</v>
      </c>
      <c r="V64" s="22" t="s">
        <v>186</v>
      </c>
      <c r="W64" s="43"/>
      <c r="X64" s="8"/>
      <c r="Y64" s="3"/>
      <c r="Z64" s="3"/>
      <c r="AA64" s="22"/>
    </row>
    <row r="65" spans="3:27" ht="19.899999999999999" customHeight="1" x14ac:dyDescent="0.4">
      <c r="C65" s="65" t="s">
        <v>325</v>
      </c>
      <c r="D65" s="124" t="s">
        <v>16</v>
      </c>
      <c r="E65" s="38" t="s">
        <v>115</v>
      </c>
      <c r="F65" s="22" t="s">
        <v>116</v>
      </c>
      <c r="G65" s="67" t="s">
        <v>187</v>
      </c>
      <c r="H65" s="197">
        <v>297.20000000000016</v>
      </c>
      <c r="I65" s="198" t="s">
        <v>17</v>
      </c>
      <c r="J65" s="205"/>
      <c r="K65" s="199">
        <v>36.730210783832369</v>
      </c>
      <c r="L65" s="198" t="s">
        <v>21</v>
      </c>
      <c r="M65" s="203" t="s">
        <v>191</v>
      </c>
      <c r="N65" s="47">
        <f t="shared" si="1"/>
        <v>10916.218644954986</v>
      </c>
      <c r="O65" s="22" t="s">
        <v>36</v>
      </c>
      <c r="P65" s="47">
        <f t="shared" si="2"/>
        <v>2816.3844103983865</v>
      </c>
      <c r="Q65" s="22" t="s">
        <v>317</v>
      </c>
      <c r="R65" s="34">
        <v>1.44E-2</v>
      </c>
      <c r="S65" s="3" t="s">
        <v>22</v>
      </c>
      <c r="T65" s="11" t="s">
        <v>192</v>
      </c>
      <c r="U65" s="47">
        <f t="shared" si="3"/>
        <v>576</v>
      </c>
      <c r="V65" s="22" t="s">
        <v>186</v>
      </c>
      <c r="W65" s="43"/>
      <c r="X65" s="8"/>
      <c r="Y65" s="3"/>
      <c r="Z65" s="3"/>
      <c r="AA65" s="22"/>
    </row>
    <row r="66" spans="3:27" ht="19.899999999999999" customHeight="1" x14ac:dyDescent="0.4">
      <c r="C66" s="65" t="s">
        <v>325</v>
      </c>
      <c r="D66" s="124" t="s">
        <v>16</v>
      </c>
      <c r="E66" s="38" t="s">
        <v>120</v>
      </c>
      <c r="F66" s="22" t="s">
        <v>121</v>
      </c>
      <c r="G66" s="67" t="s">
        <v>187</v>
      </c>
      <c r="H66" s="197">
        <v>125.40000000000018</v>
      </c>
      <c r="I66" s="198" t="s">
        <v>17</v>
      </c>
      <c r="J66" s="205"/>
      <c r="K66" s="199">
        <v>36.730210783832369</v>
      </c>
      <c r="L66" s="198" t="s">
        <v>21</v>
      </c>
      <c r="M66" s="203" t="s">
        <v>191</v>
      </c>
      <c r="N66" s="47">
        <f t="shared" si="1"/>
        <v>4605.9684322925859</v>
      </c>
      <c r="O66" s="22" t="s">
        <v>36</v>
      </c>
      <c r="P66" s="47">
        <f t="shared" si="2"/>
        <v>1188.3398555314873</v>
      </c>
      <c r="Q66" s="22" t="s">
        <v>317</v>
      </c>
      <c r="R66" s="34">
        <v>1.44E-2</v>
      </c>
      <c r="S66" s="3" t="s">
        <v>22</v>
      </c>
      <c r="T66" s="11" t="s">
        <v>192</v>
      </c>
      <c r="U66" s="47">
        <f t="shared" si="3"/>
        <v>243</v>
      </c>
      <c r="V66" s="22" t="s">
        <v>186</v>
      </c>
      <c r="W66" s="43"/>
      <c r="X66" s="8"/>
      <c r="Y66" s="3"/>
      <c r="Z66" s="3"/>
      <c r="AA66" s="22"/>
    </row>
    <row r="67" spans="3:27" ht="19.899999999999999" customHeight="1" x14ac:dyDescent="0.4">
      <c r="C67" s="65" t="s">
        <v>325</v>
      </c>
      <c r="D67" s="124" t="s">
        <v>16</v>
      </c>
      <c r="E67" s="38" t="s">
        <v>123</v>
      </c>
      <c r="F67" s="22" t="s">
        <v>124</v>
      </c>
      <c r="G67" s="67" t="s">
        <v>187</v>
      </c>
      <c r="H67" s="197">
        <v>1454.5000000000002</v>
      </c>
      <c r="I67" s="198" t="s">
        <v>17</v>
      </c>
      <c r="J67" s="205"/>
      <c r="K67" s="199">
        <v>36.118622937735566</v>
      </c>
      <c r="L67" s="198" t="s">
        <v>21</v>
      </c>
      <c r="M67" s="203" t="s">
        <v>191</v>
      </c>
      <c r="N67" s="47">
        <f t="shared" si="1"/>
        <v>52534.53706293639</v>
      </c>
      <c r="O67" s="22" t="s">
        <v>36</v>
      </c>
      <c r="P67" s="47">
        <f t="shared" si="2"/>
        <v>13553.910562237588</v>
      </c>
      <c r="Q67" s="22" t="s">
        <v>317</v>
      </c>
      <c r="R67" s="34">
        <v>1.44E-2</v>
      </c>
      <c r="S67" s="3" t="s">
        <v>22</v>
      </c>
      <c r="T67" s="11" t="s">
        <v>192</v>
      </c>
      <c r="U67" s="47">
        <f t="shared" si="3"/>
        <v>2773</v>
      </c>
      <c r="V67" s="22" t="s">
        <v>186</v>
      </c>
      <c r="W67" s="43"/>
      <c r="X67" s="8"/>
      <c r="Y67" s="3"/>
      <c r="Z67" s="3"/>
      <c r="AA67" s="22"/>
    </row>
    <row r="68" spans="3:27" ht="19.899999999999999" customHeight="1" x14ac:dyDescent="0.4">
      <c r="C68" s="65" t="s">
        <v>325</v>
      </c>
      <c r="D68" s="124" t="s">
        <v>16</v>
      </c>
      <c r="E68" s="38" t="s">
        <v>127</v>
      </c>
      <c r="F68" s="22" t="s">
        <v>128</v>
      </c>
      <c r="G68" s="67" t="s">
        <v>187</v>
      </c>
      <c r="H68" s="197">
        <v>24325.7</v>
      </c>
      <c r="I68" s="198" t="s">
        <v>17</v>
      </c>
      <c r="J68" s="205"/>
      <c r="K68" s="199">
        <v>43.196608415051323</v>
      </c>
      <c r="L68" s="198" t="s">
        <v>21</v>
      </c>
      <c r="M68" s="203" t="s">
        <v>191</v>
      </c>
      <c r="N68" s="47">
        <f t="shared" si="1"/>
        <v>1050787.7373220141</v>
      </c>
      <c r="O68" s="22" t="s">
        <v>36</v>
      </c>
      <c r="P68" s="47">
        <f t="shared" si="2"/>
        <v>271103.23622907966</v>
      </c>
      <c r="Q68" s="22" t="s">
        <v>317</v>
      </c>
      <c r="R68" s="34">
        <v>1.44E-2</v>
      </c>
      <c r="S68" s="3" t="s">
        <v>22</v>
      </c>
      <c r="T68" s="11" t="s">
        <v>192</v>
      </c>
      <c r="U68" s="47">
        <f t="shared" si="3"/>
        <v>55481</v>
      </c>
      <c r="V68" s="22" t="s">
        <v>186</v>
      </c>
      <c r="W68" s="43"/>
      <c r="X68" s="8"/>
      <c r="Y68" s="3"/>
      <c r="Z68" s="3"/>
      <c r="AA68" s="22"/>
    </row>
    <row r="69" spans="3:27" ht="19.899999999999999" customHeight="1" x14ac:dyDescent="0.4">
      <c r="C69" s="65" t="s">
        <v>325</v>
      </c>
      <c r="D69" s="124" t="s">
        <v>16</v>
      </c>
      <c r="E69" s="38" t="s">
        <v>131</v>
      </c>
      <c r="F69" s="22" t="s">
        <v>132</v>
      </c>
      <c r="G69" s="67" t="s">
        <v>187</v>
      </c>
      <c r="H69" s="197">
        <v>2562.1999999999998</v>
      </c>
      <c r="I69" s="198" t="s">
        <v>17</v>
      </c>
      <c r="J69" s="205"/>
      <c r="K69" s="199">
        <v>44.537429246019357</v>
      </c>
      <c r="L69" s="198" t="s">
        <v>21</v>
      </c>
      <c r="M69" s="203" t="s">
        <v>191</v>
      </c>
      <c r="N69" s="47">
        <f t="shared" si="1"/>
        <v>114113.80121415079</v>
      </c>
      <c r="O69" s="22" t="s">
        <v>36</v>
      </c>
      <c r="P69" s="47">
        <f t="shared" si="2"/>
        <v>29441.360713250906</v>
      </c>
      <c r="Q69" s="22" t="s">
        <v>317</v>
      </c>
      <c r="R69" s="34">
        <v>1.44E-2</v>
      </c>
      <c r="S69" s="3" t="s">
        <v>22</v>
      </c>
      <c r="T69" s="11" t="s">
        <v>192</v>
      </c>
      <c r="U69" s="47">
        <f t="shared" si="3"/>
        <v>6025</v>
      </c>
      <c r="V69" s="22" t="s">
        <v>186</v>
      </c>
      <c r="W69" s="43"/>
      <c r="X69" s="8"/>
      <c r="Y69" s="3"/>
      <c r="Z69" s="3"/>
      <c r="AA69" s="22"/>
    </row>
    <row r="70" spans="3:27" ht="19.899999999999999" customHeight="1" x14ac:dyDescent="0.4">
      <c r="C70" s="65" t="s">
        <v>325</v>
      </c>
      <c r="D70" s="124" t="s">
        <v>16</v>
      </c>
      <c r="E70" s="38" t="s">
        <v>137</v>
      </c>
      <c r="F70" s="22" t="s">
        <v>138</v>
      </c>
      <c r="G70" s="67" t="s">
        <v>187</v>
      </c>
      <c r="H70" s="197">
        <v>1452.8000000000002</v>
      </c>
      <c r="I70" s="198" t="s">
        <v>17</v>
      </c>
      <c r="J70" s="205"/>
      <c r="K70" s="199">
        <v>42.39227340657029</v>
      </c>
      <c r="L70" s="198" t="s">
        <v>21</v>
      </c>
      <c r="M70" s="203" t="s">
        <v>191</v>
      </c>
      <c r="N70" s="47">
        <f t="shared" si="1"/>
        <v>61587.494805065326</v>
      </c>
      <c r="O70" s="22" t="s">
        <v>36</v>
      </c>
      <c r="P70" s="47">
        <f t="shared" si="2"/>
        <v>15889.573659706855</v>
      </c>
      <c r="Q70" s="22" t="s">
        <v>317</v>
      </c>
      <c r="R70" s="34">
        <v>1.44E-2</v>
      </c>
      <c r="S70" s="3" t="s">
        <v>22</v>
      </c>
      <c r="T70" s="11" t="s">
        <v>192</v>
      </c>
      <c r="U70" s="47">
        <f t="shared" si="3"/>
        <v>3251</v>
      </c>
      <c r="V70" s="22" t="s">
        <v>186</v>
      </c>
      <c r="W70" s="43"/>
      <c r="X70" s="8"/>
      <c r="Y70" s="3"/>
      <c r="Z70" s="3"/>
      <c r="AA70" s="22"/>
    </row>
    <row r="71" spans="3:27" ht="19.899999999999999" customHeight="1" x14ac:dyDescent="0.4">
      <c r="C71" s="65" t="s">
        <v>190</v>
      </c>
      <c r="D71" s="124" t="s">
        <v>16</v>
      </c>
      <c r="E71" s="38" t="s">
        <v>55</v>
      </c>
      <c r="F71" s="22" t="s">
        <v>55</v>
      </c>
      <c r="G71" s="67" t="s">
        <v>265</v>
      </c>
      <c r="H71" s="197">
        <v>261030.20200000005</v>
      </c>
      <c r="I71" s="198" t="s">
        <v>17</v>
      </c>
      <c r="J71" s="207" t="s">
        <v>237</v>
      </c>
      <c r="K71" s="138">
        <v>46.100000003064778</v>
      </c>
      <c r="L71" s="3" t="s">
        <v>21</v>
      </c>
      <c r="M71" s="11" t="s">
        <v>192</v>
      </c>
      <c r="N71" s="47">
        <f t="shared" si="1"/>
        <v>12033492.313000001</v>
      </c>
      <c r="O71" s="22" t="s">
        <v>36</v>
      </c>
      <c r="P71" s="47">
        <f t="shared" si="2"/>
        <v>3104641.0167540004</v>
      </c>
      <c r="Q71" s="22" t="s">
        <v>317</v>
      </c>
      <c r="R71" s="34">
        <v>1.4399999974471249E-2</v>
      </c>
      <c r="S71" s="3" t="s">
        <v>22</v>
      </c>
      <c r="T71" s="11" t="s">
        <v>192</v>
      </c>
      <c r="U71" s="47">
        <f>INT(H71*K71*R71*44/12)</f>
        <v>635368</v>
      </c>
      <c r="V71" s="22" t="s">
        <v>186</v>
      </c>
      <c r="W71" s="43"/>
      <c r="X71" s="8"/>
      <c r="Y71" s="3"/>
      <c r="Z71" s="3"/>
      <c r="AA71" s="22"/>
    </row>
    <row r="72" spans="3:27" ht="19.899999999999999" customHeight="1" x14ac:dyDescent="0.4">
      <c r="C72" s="65" t="s">
        <v>190</v>
      </c>
      <c r="D72" s="124" t="s">
        <v>18</v>
      </c>
      <c r="E72" s="38" t="s">
        <v>55</v>
      </c>
      <c r="F72" s="22" t="s">
        <v>55</v>
      </c>
      <c r="G72" s="67" t="s">
        <v>265</v>
      </c>
      <c r="H72" s="197">
        <v>48521.375</v>
      </c>
      <c r="I72" s="198" t="s">
        <v>17</v>
      </c>
      <c r="J72" s="207" t="s">
        <v>326</v>
      </c>
      <c r="K72" s="138">
        <v>38.4</v>
      </c>
      <c r="L72" s="3" t="s">
        <v>21</v>
      </c>
      <c r="M72" s="11" t="s">
        <v>192</v>
      </c>
      <c r="N72" s="47">
        <f t="shared" si="1"/>
        <v>1863220.8</v>
      </c>
      <c r="O72" s="22" t="s">
        <v>36</v>
      </c>
      <c r="P72" s="47">
        <f t="shared" si="2"/>
        <v>480710.96640000003</v>
      </c>
      <c r="Q72" s="22" t="s">
        <v>317</v>
      </c>
      <c r="R72" s="34">
        <v>1.39000002283436E-2</v>
      </c>
      <c r="S72" s="3" t="s">
        <v>22</v>
      </c>
      <c r="T72" s="11" t="s">
        <v>221</v>
      </c>
      <c r="U72" s="47">
        <f>INT(H72*K72*R72*44/12)</f>
        <v>94962</v>
      </c>
      <c r="V72" s="22" t="s">
        <v>186</v>
      </c>
      <c r="W72" s="43"/>
      <c r="X72" s="8"/>
      <c r="Y72" s="3"/>
      <c r="Z72" s="3"/>
      <c r="AA72" s="22"/>
    </row>
    <row r="73" spans="3:27" ht="19.899999999999999" customHeight="1" x14ac:dyDescent="0.4">
      <c r="C73" s="117" t="s">
        <v>214</v>
      </c>
      <c r="D73" s="125" t="s">
        <v>16</v>
      </c>
      <c r="E73" s="81" t="s">
        <v>55</v>
      </c>
      <c r="F73" s="101" t="s">
        <v>55</v>
      </c>
      <c r="G73" s="135" t="s">
        <v>261</v>
      </c>
      <c r="H73" s="150">
        <v>261030.20200000005</v>
      </c>
      <c r="I73" s="2" t="s">
        <v>17</v>
      </c>
      <c r="J73" s="151" t="s">
        <v>237</v>
      </c>
      <c r="K73" s="139">
        <v>46.100000003064778</v>
      </c>
      <c r="L73" s="2" t="s">
        <v>21</v>
      </c>
      <c r="M73" s="156" t="s">
        <v>192</v>
      </c>
      <c r="N73" s="150">
        <f t="shared" si="1"/>
        <v>12033492.313000001</v>
      </c>
      <c r="O73" s="101" t="s">
        <v>36</v>
      </c>
      <c r="P73" s="150">
        <f t="shared" si="2"/>
        <v>3104641.0167540004</v>
      </c>
      <c r="Q73" s="101" t="s">
        <v>317</v>
      </c>
      <c r="R73" s="120">
        <v>1.4399999974471249E-2</v>
      </c>
      <c r="S73" s="2" t="s">
        <v>22</v>
      </c>
      <c r="T73" s="156" t="s">
        <v>192</v>
      </c>
      <c r="U73" s="150">
        <f t="shared" ref="U73:U78" si="4">H73*K73*R73*44/12</f>
        <v>635368.39300000004</v>
      </c>
      <c r="V73" s="101" t="s">
        <v>186</v>
      </c>
      <c r="W73" s="171" t="s">
        <v>185</v>
      </c>
      <c r="X73" s="91" t="s">
        <v>251</v>
      </c>
      <c r="Y73" s="2" t="s">
        <v>252</v>
      </c>
      <c r="Z73" s="2" t="s">
        <v>244</v>
      </c>
      <c r="AA73" s="101" t="s">
        <v>242</v>
      </c>
    </row>
    <row r="74" spans="3:27" ht="19.899999999999999" customHeight="1" x14ac:dyDescent="0.4">
      <c r="C74" s="117" t="s">
        <v>214</v>
      </c>
      <c r="D74" s="125" t="s">
        <v>18</v>
      </c>
      <c r="E74" s="81" t="s">
        <v>55</v>
      </c>
      <c r="F74" s="101" t="s">
        <v>55</v>
      </c>
      <c r="G74" s="135" t="s">
        <v>261</v>
      </c>
      <c r="H74" s="150">
        <v>48521.375</v>
      </c>
      <c r="I74" s="2" t="s">
        <v>17</v>
      </c>
      <c r="J74" s="151" t="s">
        <v>245</v>
      </c>
      <c r="K74" s="139">
        <v>38.4</v>
      </c>
      <c r="L74" s="2" t="s">
        <v>21</v>
      </c>
      <c r="M74" s="156" t="s">
        <v>192</v>
      </c>
      <c r="N74" s="150">
        <f t="shared" si="1"/>
        <v>1863220.8</v>
      </c>
      <c r="O74" s="101" t="s">
        <v>36</v>
      </c>
      <c r="P74" s="150">
        <f t="shared" si="2"/>
        <v>480710.96640000003</v>
      </c>
      <c r="Q74" s="101" t="s">
        <v>317</v>
      </c>
      <c r="R74" s="120">
        <v>1.39000002283436E-2</v>
      </c>
      <c r="S74" s="2" t="s">
        <v>22</v>
      </c>
      <c r="T74" s="156" t="s">
        <v>192</v>
      </c>
      <c r="U74" s="150">
        <f t="shared" si="4"/>
        <v>94962.155000000013</v>
      </c>
      <c r="V74" s="101" t="s">
        <v>186</v>
      </c>
      <c r="W74" s="171" t="s">
        <v>185</v>
      </c>
      <c r="X74" s="91" t="s">
        <v>251</v>
      </c>
      <c r="Y74" s="2" t="s">
        <v>252</v>
      </c>
      <c r="Z74" s="2" t="s">
        <v>244</v>
      </c>
      <c r="AA74" s="101" t="s">
        <v>242</v>
      </c>
    </row>
    <row r="75" spans="3:27" ht="19.899999999999999" customHeight="1" x14ac:dyDescent="0.4">
      <c r="C75" s="65" t="s">
        <v>213</v>
      </c>
      <c r="D75" s="124" t="s">
        <v>4</v>
      </c>
      <c r="E75" s="38" t="s">
        <v>55</v>
      </c>
      <c r="F75" s="22" t="s">
        <v>55</v>
      </c>
      <c r="G75" s="67" t="s">
        <v>261</v>
      </c>
      <c r="H75" s="47">
        <v>58.018000000000001</v>
      </c>
      <c r="I75" s="3" t="s">
        <v>141</v>
      </c>
      <c r="J75" s="149"/>
      <c r="K75" s="138">
        <v>33.399996552793958</v>
      </c>
      <c r="L75" s="3" t="s">
        <v>142</v>
      </c>
      <c r="M75" s="11" t="s">
        <v>190</v>
      </c>
      <c r="N75" s="47">
        <f t="shared" ref="N75:N110" si="5">H75*K75</f>
        <v>1937.8009999999999</v>
      </c>
      <c r="O75" s="22" t="s">
        <v>36</v>
      </c>
      <c r="P75" s="47">
        <f t="shared" ref="P75:P110" si="6">N75*0.258</f>
        <v>499.95265799999999</v>
      </c>
      <c r="Q75" s="22" t="s">
        <v>317</v>
      </c>
      <c r="R75" s="164">
        <v>1.8699781115529689E-2</v>
      </c>
      <c r="S75" s="3" t="s">
        <v>22</v>
      </c>
      <c r="T75" s="11" t="s">
        <v>192</v>
      </c>
      <c r="U75" s="47">
        <f t="shared" si="4"/>
        <v>132.86699999999999</v>
      </c>
      <c r="V75" s="22" t="s">
        <v>186</v>
      </c>
      <c r="W75" s="43"/>
      <c r="X75" s="8"/>
      <c r="Y75" s="3"/>
      <c r="Z75" s="3"/>
      <c r="AA75" s="22"/>
    </row>
    <row r="76" spans="3:27" ht="19.899999999999999" customHeight="1" x14ac:dyDescent="0.4">
      <c r="C76" s="117" t="s">
        <v>214</v>
      </c>
      <c r="D76" s="125" t="s">
        <v>4</v>
      </c>
      <c r="E76" s="81" t="s">
        <v>55</v>
      </c>
      <c r="F76" s="101" t="s">
        <v>55</v>
      </c>
      <c r="G76" s="135" t="s">
        <v>261</v>
      </c>
      <c r="H76" s="150">
        <v>58.018000000000001</v>
      </c>
      <c r="I76" s="2" t="s">
        <v>141</v>
      </c>
      <c r="J76" s="152"/>
      <c r="K76" s="139">
        <v>33.399996552793958</v>
      </c>
      <c r="L76" s="2" t="s">
        <v>142</v>
      </c>
      <c r="M76" s="156" t="s">
        <v>190</v>
      </c>
      <c r="N76" s="150">
        <f t="shared" si="5"/>
        <v>1937.8009999999999</v>
      </c>
      <c r="O76" s="101" t="s">
        <v>36</v>
      </c>
      <c r="P76" s="150">
        <f t="shared" si="6"/>
        <v>499.95265799999999</v>
      </c>
      <c r="Q76" s="101" t="s">
        <v>317</v>
      </c>
      <c r="R76" s="165">
        <v>1.8699781115529689E-2</v>
      </c>
      <c r="S76" s="2" t="s">
        <v>22</v>
      </c>
      <c r="T76" s="156" t="s">
        <v>192</v>
      </c>
      <c r="U76" s="150">
        <f t="shared" si="4"/>
        <v>132.86699999999999</v>
      </c>
      <c r="V76" s="101" t="s">
        <v>186</v>
      </c>
      <c r="W76" s="171" t="s">
        <v>199</v>
      </c>
      <c r="X76" s="91"/>
      <c r="Y76" s="2" t="s">
        <v>200</v>
      </c>
      <c r="Z76" s="2" t="s">
        <v>246</v>
      </c>
      <c r="AA76" s="101" t="s">
        <v>242</v>
      </c>
    </row>
    <row r="77" spans="3:27" ht="19.899999999999999" customHeight="1" x14ac:dyDescent="0.4">
      <c r="C77" s="65" t="s">
        <v>213</v>
      </c>
      <c r="D77" s="124" t="s">
        <v>28</v>
      </c>
      <c r="E77" s="38" t="s">
        <v>55</v>
      </c>
      <c r="F77" s="22" t="s">
        <v>55</v>
      </c>
      <c r="G77" s="67" t="s">
        <v>265</v>
      </c>
      <c r="H77" s="197">
        <v>565.11</v>
      </c>
      <c r="I77" s="198" t="s">
        <v>222</v>
      </c>
      <c r="J77" s="206"/>
      <c r="K77" s="138">
        <v>13.2</v>
      </c>
      <c r="L77" s="3" t="s">
        <v>165</v>
      </c>
      <c r="M77" s="11" t="s">
        <v>190</v>
      </c>
      <c r="N77" s="47">
        <f t="shared" si="5"/>
        <v>7459.4520000000002</v>
      </c>
      <c r="O77" s="22" t="s">
        <v>36</v>
      </c>
      <c r="P77" s="47">
        <f t="shared" si="6"/>
        <v>1924.538616</v>
      </c>
      <c r="Q77" s="22" t="s">
        <v>317</v>
      </c>
      <c r="R77" s="164">
        <v>0</v>
      </c>
      <c r="S77" s="3" t="s">
        <v>22</v>
      </c>
      <c r="T77" s="11" t="s">
        <v>193</v>
      </c>
      <c r="U77" s="47">
        <f t="shared" si="4"/>
        <v>0</v>
      </c>
      <c r="V77" s="22" t="s">
        <v>178</v>
      </c>
      <c r="W77" s="43"/>
      <c r="X77" s="8"/>
      <c r="Y77" s="3"/>
      <c r="Z77" s="3"/>
      <c r="AA77" s="22"/>
    </row>
    <row r="78" spans="3:27" ht="19.899999999999999" customHeight="1" x14ac:dyDescent="0.4">
      <c r="C78" s="117" t="s">
        <v>214</v>
      </c>
      <c r="D78" s="125" t="s">
        <v>28</v>
      </c>
      <c r="E78" s="81" t="s">
        <v>55</v>
      </c>
      <c r="F78" s="101" t="s">
        <v>55</v>
      </c>
      <c r="G78" s="135" t="s">
        <v>265</v>
      </c>
      <c r="H78" s="150">
        <v>565.11</v>
      </c>
      <c r="I78" s="2" t="s">
        <v>222</v>
      </c>
      <c r="J78" s="152"/>
      <c r="K78" s="139">
        <v>13.2</v>
      </c>
      <c r="L78" s="2" t="s">
        <v>165</v>
      </c>
      <c r="M78" s="156" t="s">
        <v>190</v>
      </c>
      <c r="N78" s="150">
        <f t="shared" si="5"/>
        <v>7459.4520000000002</v>
      </c>
      <c r="O78" s="101" t="s">
        <v>36</v>
      </c>
      <c r="P78" s="150">
        <f t="shared" si="6"/>
        <v>1924.538616</v>
      </c>
      <c r="Q78" s="101" t="s">
        <v>317</v>
      </c>
      <c r="R78" s="165">
        <v>0</v>
      </c>
      <c r="S78" s="2" t="s">
        <v>22</v>
      </c>
      <c r="T78" s="156" t="s">
        <v>193</v>
      </c>
      <c r="U78" s="150">
        <f t="shared" si="4"/>
        <v>0</v>
      </c>
      <c r="V78" s="101" t="s">
        <v>178</v>
      </c>
      <c r="W78" s="171" t="s">
        <v>185</v>
      </c>
      <c r="X78" s="91" t="s">
        <v>251</v>
      </c>
      <c r="Y78" s="2" t="s">
        <v>198</v>
      </c>
      <c r="Z78" s="2" t="s">
        <v>240</v>
      </c>
      <c r="AA78" s="101" t="s">
        <v>242</v>
      </c>
    </row>
    <row r="79" spans="3:27" ht="19.899999999999999" customHeight="1" x14ac:dyDescent="0.4">
      <c r="C79" s="65" t="s">
        <v>213</v>
      </c>
      <c r="D79" s="124" t="s">
        <v>11</v>
      </c>
      <c r="E79" s="38" t="s">
        <v>55</v>
      </c>
      <c r="F79" s="22" t="s">
        <v>55</v>
      </c>
      <c r="G79" s="67" t="s">
        <v>261</v>
      </c>
      <c r="H79" s="47">
        <v>14.534000000000001</v>
      </c>
      <c r="I79" s="3" t="s">
        <v>222</v>
      </c>
      <c r="J79" s="149"/>
      <c r="K79" s="138">
        <v>50.100110086693277</v>
      </c>
      <c r="L79" s="3" t="s">
        <v>165</v>
      </c>
      <c r="M79" s="11" t="s">
        <v>190</v>
      </c>
      <c r="N79" s="47">
        <f t="shared" si="5"/>
        <v>728.15500000000009</v>
      </c>
      <c r="O79" s="22" t="s">
        <v>36</v>
      </c>
      <c r="P79" s="47">
        <f t="shared" si="6"/>
        <v>187.86399000000003</v>
      </c>
      <c r="Q79" s="22" t="s">
        <v>317</v>
      </c>
      <c r="R79" s="164">
        <v>1.6299851242960881E-2</v>
      </c>
      <c r="S79" s="3" t="s">
        <v>22</v>
      </c>
      <c r="T79" s="11" t="s">
        <v>192</v>
      </c>
      <c r="U79" s="47">
        <f t="shared" ref="U79:U86" si="7">H79*K79*R79*44/12</f>
        <v>43.518999999999998</v>
      </c>
      <c r="V79" s="22" t="s">
        <v>178</v>
      </c>
      <c r="W79" s="43"/>
      <c r="X79" s="8"/>
      <c r="Y79" s="3"/>
      <c r="Z79" s="3"/>
      <c r="AA79" s="22"/>
    </row>
    <row r="80" spans="3:27" ht="19.899999999999999" customHeight="1" x14ac:dyDescent="0.4">
      <c r="C80" s="117" t="s">
        <v>214</v>
      </c>
      <c r="D80" s="125" t="s">
        <v>11</v>
      </c>
      <c r="E80" s="81" t="s">
        <v>55</v>
      </c>
      <c r="F80" s="101" t="s">
        <v>55</v>
      </c>
      <c r="G80" s="135" t="s">
        <v>261</v>
      </c>
      <c r="H80" s="150">
        <v>14.534000000000001</v>
      </c>
      <c r="I80" s="2" t="s">
        <v>222</v>
      </c>
      <c r="J80" s="152"/>
      <c r="K80" s="139">
        <v>50.100110086693277</v>
      </c>
      <c r="L80" s="2" t="s">
        <v>165</v>
      </c>
      <c r="M80" s="156" t="s">
        <v>190</v>
      </c>
      <c r="N80" s="150">
        <f t="shared" si="5"/>
        <v>728.15500000000009</v>
      </c>
      <c r="O80" s="101" t="s">
        <v>36</v>
      </c>
      <c r="P80" s="150">
        <f t="shared" si="6"/>
        <v>187.86399000000003</v>
      </c>
      <c r="Q80" s="101" t="s">
        <v>317</v>
      </c>
      <c r="R80" s="165">
        <v>1.6299851242960881E-2</v>
      </c>
      <c r="S80" s="2" t="s">
        <v>22</v>
      </c>
      <c r="T80" s="156" t="s">
        <v>192</v>
      </c>
      <c r="U80" s="150">
        <f t="shared" si="7"/>
        <v>43.518999999999998</v>
      </c>
      <c r="V80" s="101" t="s">
        <v>178</v>
      </c>
      <c r="W80" s="171" t="s">
        <v>199</v>
      </c>
      <c r="X80" s="91"/>
      <c r="Y80" s="2" t="s">
        <v>201</v>
      </c>
      <c r="Z80" s="2" t="s">
        <v>246</v>
      </c>
      <c r="AA80" s="101" t="s">
        <v>242</v>
      </c>
    </row>
    <row r="81" spans="3:27" ht="19.899999999999999" customHeight="1" x14ac:dyDescent="0.4">
      <c r="C81" s="65" t="s">
        <v>213</v>
      </c>
      <c r="D81" s="124" t="s">
        <v>184</v>
      </c>
      <c r="E81" s="38" t="s">
        <v>55</v>
      </c>
      <c r="F81" s="22" t="s">
        <v>55</v>
      </c>
      <c r="G81" s="67" t="s">
        <v>265</v>
      </c>
      <c r="H81" s="197">
        <v>719.78999999999985</v>
      </c>
      <c r="I81" s="198" t="s">
        <v>222</v>
      </c>
      <c r="J81" s="206"/>
      <c r="K81" s="138">
        <v>13.200000000000001</v>
      </c>
      <c r="L81" s="3" t="s">
        <v>142</v>
      </c>
      <c r="M81" s="11" t="s">
        <v>190</v>
      </c>
      <c r="N81" s="47">
        <f t="shared" si="5"/>
        <v>9501.2279999999992</v>
      </c>
      <c r="O81" s="22" t="s">
        <v>36</v>
      </c>
      <c r="P81" s="47">
        <f t="shared" si="6"/>
        <v>2451.316824</v>
      </c>
      <c r="Q81" s="22" t="s">
        <v>317</v>
      </c>
      <c r="R81" s="164">
        <v>0</v>
      </c>
      <c r="S81" s="3" t="s">
        <v>22</v>
      </c>
      <c r="T81" s="11" t="s">
        <v>193</v>
      </c>
      <c r="U81" s="47">
        <f t="shared" si="7"/>
        <v>0</v>
      </c>
      <c r="V81" s="22" t="s">
        <v>178</v>
      </c>
      <c r="W81" s="43"/>
      <c r="X81" s="8"/>
      <c r="Y81" s="3"/>
      <c r="Z81" s="3"/>
      <c r="AA81" s="22"/>
    </row>
    <row r="82" spans="3:27" ht="19.899999999999999" customHeight="1" x14ac:dyDescent="0.4">
      <c r="C82" s="117" t="s">
        <v>214</v>
      </c>
      <c r="D82" s="125" t="s">
        <v>184</v>
      </c>
      <c r="E82" s="81" t="s">
        <v>55</v>
      </c>
      <c r="F82" s="101" t="s">
        <v>55</v>
      </c>
      <c r="G82" s="135" t="s">
        <v>265</v>
      </c>
      <c r="H82" s="150">
        <v>719.78999999999985</v>
      </c>
      <c r="I82" s="2" t="s">
        <v>222</v>
      </c>
      <c r="J82" s="153" t="s">
        <v>247</v>
      </c>
      <c r="K82" s="139">
        <v>13.200000000000001</v>
      </c>
      <c r="L82" s="2" t="s">
        <v>142</v>
      </c>
      <c r="M82" s="156" t="s">
        <v>190</v>
      </c>
      <c r="N82" s="150">
        <f t="shared" si="5"/>
        <v>9501.2279999999992</v>
      </c>
      <c r="O82" s="101" t="s">
        <v>36</v>
      </c>
      <c r="P82" s="150">
        <f t="shared" si="6"/>
        <v>2451.316824</v>
      </c>
      <c r="Q82" s="101" t="s">
        <v>317</v>
      </c>
      <c r="R82" s="165">
        <v>0</v>
      </c>
      <c r="S82" s="2" t="s">
        <v>22</v>
      </c>
      <c r="T82" s="156" t="s">
        <v>193</v>
      </c>
      <c r="U82" s="150">
        <f t="shared" si="7"/>
        <v>0</v>
      </c>
      <c r="V82" s="101" t="s">
        <v>178</v>
      </c>
      <c r="W82" s="171" t="s">
        <v>185</v>
      </c>
      <c r="X82" s="91" t="s">
        <v>251</v>
      </c>
      <c r="Y82" s="2" t="s">
        <v>198</v>
      </c>
      <c r="Z82" s="2" t="s">
        <v>240</v>
      </c>
      <c r="AA82" s="101" t="s">
        <v>242</v>
      </c>
    </row>
    <row r="83" spans="3:27" ht="19.899999999999999" customHeight="1" x14ac:dyDescent="0.4">
      <c r="C83" s="65" t="s">
        <v>213</v>
      </c>
      <c r="D83" s="124" t="s">
        <v>7</v>
      </c>
      <c r="E83" s="38" t="s">
        <v>55</v>
      </c>
      <c r="F83" s="22" t="s">
        <v>55</v>
      </c>
      <c r="G83" s="67" t="s">
        <v>261</v>
      </c>
      <c r="H83" s="47">
        <v>31.655000000000001</v>
      </c>
      <c r="I83" s="3" t="s">
        <v>141</v>
      </c>
      <c r="J83" s="149"/>
      <c r="K83" s="138">
        <v>38</v>
      </c>
      <c r="L83" s="3" t="s">
        <v>142</v>
      </c>
      <c r="M83" s="11" t="s">
        <v>190</v>
      </c>
      <c r="N83" s="47">
        <f t="shared" si="5"/>
        <v>1202.8900000000001</v>
      </c>
      <c r="O83" s="22" t="s">
        <v>36</v>
      </c>
      <c r="P83" s="47">
        <f t="shared" si="6"/>
        <v>310.34562000000005</v>
      </c>
      <c r="Q83" s="22" t="s">
        <v>317</v>
      </c>
      <c r="R83" s="164">
        <v>1.880017745142569E-2</v>
      </c>
      <c r="S83" s="3" t="s">
        <v>22</v>
      </c>
      <c r="T83" s="11" t="s">
        <v>192</v>
      </c>
      <c r="U83" s="47">
        <f t="shared" si="7"/>
        <v>82.919999999999973</v>
      </c>
      <c r="V83" s="22" t="s">
        <v>178</v>
      </c>
      <c r="W83" s="43"/>
      <c r="X83" s="8"/>
      <c r="Y83" s="3"/>
      <c r="Z83" s="3"/>
      <c r="AA83" s="22"/>
    </row>
    <row r="84" spans="3:27" ht="19.899999999999999" customHeight="1" x14ac:dyDescent="0.4">
      <c r="C84" s="117" t="s">
        <v>214</v>
      </c>
      <c r="D84" s="125" t="s">
        <v>7</v>
      </c>
      <c r="E84" s="81" t="s">
        <v>55</v>
      </c>
      <c r="F84" s="101" t="s">
        <v>55</v>
      </c>
      <c r="G84" s="135" t="s">
        <v>261</v>
      </c>
      <c r="H84" s="150">
        <v>31.655000000000001</v>
      </c>
      <c r="I84" s="2" t="s">
        <v>141</v>
      </c>
      <c r="J84" s="152"/>
      <c r="K84" s="139">
        <v>38</v>
      </c>
      <c r="L84" s="2" t="s">
        <v>142</v>
      </c>
      <c r="M84" s="156" t="s">
        <v>190</v>
      </c>
      <c r="N84" s="150">
        <f t="shared" si="5"/>
        <v>1202.8900000000001</v>
      </c>
      <c r="O84" s="101" t="s">
        <v>36</v>
      </c>
      <c r="P84" s="150">
        <f t="shared" si="6"/>
        <v>310.34562000000005</v>
      </c>
      <c r="Q84" s="101" t="s">
        <v>317</v>
      </c>
      <c r="R84" s="165">
        <v>1.880017745142569E-2</v>
      </c>
      <c r="S84" s="2" t="s">
        <v>22</v>
      </c>
      <c r="T84" s="156" t="s">
        <v>192</v>
      </c>
      <c r="U84" s="150">
        <f t="shared" si="7"/>
        <v>82.919999999999973</v>
      </c>
      <c r="V84" s="101" t="s">
        <v>178</v>
      </c>
      <c r="W84" s="171" t="s">
        <v>199</v>
      </c>
      <c r="X84" s="91"/>
      <c r="Y84" s="2" t="s">
        <v>200</v>
      </c>
      <c r="Z84" s="2" t="s">
        <v>246</v>
      </c>
      <c r="AA84" s="101" t="s">
        <v>242</v>
      </c>
    </row>
    <row r="85" spans="3:27" ht="19.899999999999999" customHeight="1" x14ac:dyDescent="0.4">
      <c r="C85" s="65" t="s">
        <v>213</v>
      </c>
      <c r="D85" s="124" t="s">
        <v>35</v>
      </c>
      <c r="E85" s="38"/>
      <c r="F85" s="22"/>
      <c r="G85" s="67" t="s">
        <v>265</v>
      </c>
      <c r="H85" s="197">
        <v>1255108.4720000001</v>
      </c>
      <c r="I85" s="198" t="s">
        <v>36</v>
      </c>
      <c r="J85" s="206"/>
      <c r="K85" s="138">
        <v>1.1699999990120376</v>
      </c>
      <c r="L85" s="3" t="s">
        <v>223</v>
      </c>
      <c r="M85" s="11" t="s">
        <v>224</v>
      </c>
      <c r="N85" s="47">
        <f t="shared" si="5"/>
        <v>1468476.9110000001</v>
      </c>
      <c r="O85" s="22" t="s">
        <v>36</v>
      </c>
      <c r="P85" s="47">
        <f t="shared" si="6"/>
        <v>378867.043038</v>
      </c>
      <c r="Q85" s="22" t="s">
        <v>317</v>
      </c>
      <c r="R85" s="164">
        <v>1.5244755430571669E-2</v>
      </c>
      <c r="S85" s="3" t="s">
        <v>22</v>
      </c>
      <c r="T85" s="11" t="s">
        <v>224</v>
      </c>
      <c r="U85" s="47">
        <f t="shared" si="7"/>
        <v>82084.094999999987</v>
      </c>
      <c r="V85" s="22" t="s">
        <v>178</v>
      </c>
      <c r="W85" s="43"/>
      <c r="X85" s="8"/>
      <c r="Y85" s="3"/>
      <c r="Z85" s="3"/>
      <c r="AA85" s="22"/>
    </row>
    <row r="86" spans="3:27" ht="19.899999999999999" customHeight="1" x14ac:dyDescent="0.4">
      <c r="C86" s="117" t="s">
        <v>214</v>
      </c>
      <c r="D86" s="125" t="s">
        <v>35</v>
      </c>
      <c r="E86" s="81"/>
      <c r="F86" s="101"/>
      <c r="G86" s="135" t="s">
        <v>265</v>
      </c>
      <c r="H86" s="150">
        <v>1255108.4720000001</v>
      </c>
      <c r="I86" s="2" t="s">
        <v>36</v>
      </c>
      <c r="J86" s="152"/>
      <c r="K86" s="139">
        <v>1.1699999990120376</v>
      </c>
      <c r="L86" s="2" t="s">
        <v>223</v>
      </c>
      <c r="M86" s="156" t="s">
        <v>224</v>
      </c>
      <c r="N86" s="150">
        <f t="shared" si="5"/>
        <v>1468476.9110000001</v>
      </c>
      <c r="O86" s="101" t="s">
        <v>36</v>
      </c>
      <c r="P86" s="150">
        <f t="shared" si="6"/>
        <v>378867.043038</v>
      </c>
      <c r="Q86" s="101" t="s">
        <v>317</v>
      </c>
      <c r="R86" s="165">
        <v>1.5244755430571669E-2</v>
      </c>
      <c r="S86" s="2" t="s">
        <v>22</v>
      </c>
      <c r="T86" s="156" t="s">
        <v>224</v>
      </c>
      <c r="U86" s="150">
        <f t="shared" si="7"/>
        <v>82084.094999999987</v>
      </c>
      <c r="V86" s="101" t="s">
        <v>178</v>
      </c>
      <c r="W86" s="171" t="s">
        <v>197</v>
      </c>
      <c r="X86" s="91" t="s">
        <v>251</v>
      </c>
      <c r="Y86" s="2" t="s">
        <v>253</v>
      </c>
      <c r="Z86" s="2" t="s">
        <v>240</v>
      </c>
      <c r="AA86" s="101" t="s">
        <v>242</v>
      </c>
    </row>
    <row r="87" spans="3:27" ht="19.899999999999999" customHeight="1" x14ac:dyDescent="0.4">
      <c r="C87" s="65" t="s">
        <v>212</v>
      </c>
      <c r="D87" s="124" t="s">
        <v>322</v>
      </c>
      <c r="E87" s="38"/>
      <c r="F87" s="22" t="s">
        <v>169</v>
      </c>
      <c r="G87" s="67" t="s">
        <v>224</v>
      </c>
      <c r="H87" s="197">
        <v>36917.230000000003</v>
      </c>
      <c r="I87" s="198" t="s">
        <v>40</v>
      </c>
      <c r="J87" s="208" t="s">
        <v>228</v>
      </c>
      <c r="K87" s="138" t="s">
        <v>55</v>
      </c>
      <c r="L87" s="3" t="s">
        <v>55</v>
      </c>
      <c r="M87" s="11" t="s">
        <v>55</v>
      </c>
      <c r="N87" s="38" t="s">
        <v>29</v>
      </c>
      <c r="O87" s="22" t="s">
        <v>29</v>
      </c>
      <c r="P87" s="47" t="s">
        <v>29</v>
      </c>
      <c r="Q87" s="22" t="s">
        <v>29</v>
      </c>
      <c r="R87" s="178">
        <v>4.95E-4</v>
      </c>
      <c r="S87" s="3" t="s">
        <v>170</v>
      </c>
      <c r="T87" s="176" t="s">
        <v>318</v>
      </c>
      <c r="U87" s="47">
        <f>H87*1000*R87</f>
        <v>18274.028849999999</v>
      </c>
      <c r="V87" s="22" t="s">
        <v>178</v>
      </c>
      <c r="W87" s="43"/>
      <c r="X87" s="8"/>
      <c r="Y87" s="3"/>
      <c r="Z87" s="3"/>
      <c r="AA87" s="22"/>
    </row>
    <row r="88" spans="3:27" ht="19.899999999999999" customHeight="1" x14ac:dyDescent="0.4">
      <c r="C88" s="65" t="s">
        <v>213</v>
      </c>
      <c r="D88" s="179" t="s">
        <v>323</v>
      </c>
      <c r="E88" s="180"/>
      <c r="F88" s="181"/>
      <c r="G88" s="89" t="s">
        <v>224</v>
      </c>
      <c r="H88" s="200">
        <f>H90+H92</f>
        <v>32304.217999999997</v>
      </c>
      <c r="I88" s="201" t="s">
        <v>40</v>
      </c>
      <c r="J88" s="209" t="s">
        <v>321</v>
      </c>
      <c r="K88" s="138" t="s">
        <v>55</v>
      </c>
      <c r="L88" s="3" t="s">
        <v>55</v>
      </c>
      <c r="M88" s="11" t="s">
        <v>55</v>
      </c>
      <c r="N88" s="38" t="s">
        <v>29</v>
      </c>
      <c r="O88" s="22" t="s">
        <v>29</v>
      </c>
      <c r="P88" s="47" t="s">
        <v>29</v>
      </c>
      <c r="Q88" s="22" t="s">
        <v>29</v>
      </c>
      <c r="R88" s="178">
        <v>4.95E-4</v>
      </c>
      <c r="S88" s="3" t="s">
        <v>170</v>
      </c>
      <c r="T88" s="176" t="s">
        <v>318</v>
      </c>
      <c r="U88" s="47">
        <f>H88*1000*R88</f>
        <v>15990.587909999998</v>
      </c>
      <c r="V88" s="22" t="s">
        <v>178</v>
      </c>
      <c r="W88" s="43"/>
      <c r="X88" s="8"/>
      <c r="Y88" s="3"/>
      <c r="Z88" s="3"/>
      <c r="AA88" s="22"/>
    </row>
    <row r="89" spans="3:27" ht="19.899999999999999" customHeight="1" x14ac:dyDescent="0.4">
      <c r="C89" s="65" t="s">
        <v>213</v>
      </c>
      <c r="D89" s="123"/>
      <c r="E89" s="109"/>
      <c r="F89" s="110"/>
      <c r="G89" s="90"/>
      <c r="H89" s="195"/>
      <c r="I89" s="196"/>
      <c r="J89" s="210"/>
      <c r="K89" s="138" t="s">
        <v>55</v>
      </c>
      <c r="L89" s="3" t="s">
        <v>55</v>
      </c>
      <c r="M89" s="11" t="s">
        <v>55</v>
      </c>
      <c r="N89" s="38" t="s">
        <v>29</v>
      </c>
      <c r="O89" s="22" t="s">
        <v>29</v>
      </c>
      <c r="P89" s="47" t="s">
        <v>29</v>
      </c>
      <c r="Q89" s="22" t="s">
        <v>29</v>
      </c>
      <c r="R89" s="178">
        <v>2.5999999999999998E-4</v>
      </c>
      <c r="S89" s="3" t="s">
        <v>170</v>
      </c>
      <c r="T89" s="176" t="s">
        <v>320</v>
      </c>
      <c r="U89" s="47">
        <f>H88*1000*R89</f>
        <v>8399.0966799999987</v>
      </c>
      <c r="V89" s="22" t="s">
        <v>178</v>
      </c>
      <c r="W89" s="43"/>
      <c r="X89" s="8"/>
      <c r="Y89" s="3"/>
      <c r="Z89" s="3"/>
      <c r="AA89" s="22"/>
    </row>
    <row r="90" spans="3:27" ht="19.899999999999999" customHeight="1" x14ac:dyDescent="0.4">
      <c r="C90" s="117" t="s">
        <v>214</v>
      </c>
      <c r="D90" s="183" t="s">
        <v>226</v>
      </c>
      <c r="E90" s="184"/>
      <c r="F90" s="185"/>
      <c r="G90" s="186" t="s">
        <v>224</v>
      </c>
      <c r="H90" s="187">
        <v>20299.838999999996</v>
      </c>
      <c r="I90" s="188" t="s">
        <v>40</v>
      </c>
      <c r="J90" s="189" t="s">
        <v>254</v>
      </c>
      <c r="K90" s="139">
        <v>8.6400000019704581</v>
      </c>
      <c r="L90" s="2" t="s">
        <v>225</v>
      </c>
      <c r="M90" s="156" t="s">
        <v>190</v>
      </c>
      <c r="N90" s="150">
        <f>H90*K90</f>
        <v>175390.60899999994</v>
      </c>
      <c r="O90" s="101" t="s">
        <v>36</v>
      </c>
      <c r="P90" s="150">
        <f>N90*0.258</f>
        <v>45250.777121999985</v>
      </c>
      <c r="Q90" s="101" t="s">
        <v>317</v>
      </c>
      <c r="R90" s="175">
        <v>4.95E-4</v>
      </c>
      <c r="S90" s="2" t="s">
        <v>170</v>
      </c>
      <c r="T90" s="177" t="s">
        <v>318</v>
      </c>
      <c r="U90" s="150">
        <f>H90*R90*1000</f>
        <v>10048.420304999998</v>
      </c>
      <c r="V90" s="101" t="s">
        <v>178</v>
      </c>
      <c r="W90" s="171" t="s">
        <v>185</v>
      </c>
      <c r="X90" s="91" t="s">
        <v>250</v>
      </c>
      <c r="Y90" s="92" t="s">
        <v>248</v>
      </c>
      <c r="Z90" s="2" t="s">
        <v>244</v>
      </c>
      <c r="AA90" s="101" t="s">
        <v>242</v>
      </c>
    </row>
    <row r="91" spans="3:27" ht="19.899999999999999" customHeight="1" x14ac:dyDescent="0.4">
      <c r="C91" s="117" t="s">
        <v>214</v>
      </c>
      <c r="D91" s="190"/>
      <c r="E91" s="191"/>
      <c r="F91" s="192"/>
      <c r="G91" s="12"/>
      <c r="H91" s="193"/>
      <c r="I91" s="13"/>
      <c r="J91" s="194"/>
      <c r="K91" s="139">
        <v>8.6400000019704581</v>
      </c>
      <c r="L91" s="2" t="s">
        <v>225</v>
      </c>
      <c r="M91" s="156" t="s">
        <v>190</v>
      </c>
      <c r="N91" s="150">
        <f>H90*K91</f>
        <v>175390.60899999994</v>
      </c>
      <c r="O91" s="101" t="s">
        <v>36</v>
      </c>
      <c r="P91" s="150">
        <f t="shared" si="6"/>
        <v>45250.777121999985</v>
      </c>
      <c r="Q91" s="101" t="s">
        <v>317</v>
      </c>
      <c r="R91" s="175">
        <v>2.5999999999999998E-4</v>
      </c>
      <c r="S91" s="2" t="s">
        <v>170</v>
      </c>
      <c r="T91" s="177" t="s">
        <v>320</v>
      </c>
      <c r="U91" s="150">
        <f>H90*R91*1000</f>
        <v>5277.9581399999979</v>
      </c>
      <c r="V91" s="101" t="s">
        <v>178</v>
      </c>
      <c r="W91" s="171" t="s">
        <v>185</v>
      </c>
      <c r="X91" s="91" t="s">
        <v>250</v>
      </c>
      <c r="Y91" s="92" t="s">
        <v>248</v>
      </c>
      <c r="Z91" s="2" t="s">
        <v>244</v>
      </c>
      <c r="AA91" s="101" t="s">
        <v>242</v>
      </c>
    </row>
    <row r="92" spans="3:27" ht="19.899999999999999" customHeight="1" x14ac:dyDescent="0.4">
      <c r="C92" s="117" t="s">
        <v>214</v>
      </c>
      <c r="D92" s="183" t="s">
        <v>227</v>
      </c>
      <c r="E92" s="184"/>
      <c r="F92" s="185"/>
      <c r="G92" s="186" t="s">
        <v>224</v>
      </c>
      <c r="H92" s="187">
        <v>12004.379000000001</v>
      </c>
      <c r="I92" s="188" t="s">
        <v>40</v>
      </c>
      <c r="J92" s="189" t="s">
        <v>254</v>
      </c>
      <c r="K92" s="139">
        <v>8.6400000019704581</v>
      </c>
      <c r="L92" s="2" t="s">
        <v>225</v>
      </c>
      <c r="M92" s="156" t="s">
        <v>190</v>
      </c>
      <c r="N92" s="150">
        <f>H92*K92</f>
        <v>103717.83458365413</v>
      </c>
      <c r="O92" s="101" t="s">
        <v>36</v>
      </c>
      <c r="P92" s="150">
        <f>N92*0.258</f>
        <v>26759.201322582765</v>
      </c>
      <c r="Q92" s="101" t="s">
        <v>317</v>
      </c>
      <c r="R92" s="175">
        <v>4.95E-4</v>
      </c>
      <c r="S92" s="2" t="s">
        <v>170</v>
      </c>
      <c r="T92" s="177" t="s">
        <v>318</v>
      </c>
      <c r="U92" s="150">
        <f>H92*R92*1000</f>
        <v>5942.1676050000005</v>
      </c>
      <c r="V92" s="101" t="s">
        <v>178</v>
      </c>
      <c r="W92" s="171" t="s">
        <v>185</v>
      </c>
      <c r="X92" s="91" t="s">
        <v>250</v>
      </c>
      <c r="Y92" s="92" t="s">
        <v>248</v>
      </c>
      <c r="Z92" s="2" t="s">
        <v>244</v>
      </c>
      <c r="AA92" s="101" t="s">
        <v>242</v>
      </c>
    </row>
    <row r="93" spans="3:27" ht="19.899999999999999" customHeight="1" x14ac:dyDescent="0.4">
      <c r="C93" s="117" t="s">
        <v>214</v>
      </c>
      <c r="D93" s="190"/>
      <c r="E93" s="191"/>
      <c r="F93" s="192"/>
      <c r="G93" s="12"/>
      <c r="H93" s="193"/>
      <c r="I93" s="13"/>
      <c r="J93" s="194"/>
      <c r="K93" s="139">
        <v>8.6399999533503546</v>
      </c>
      <c r="L93" s="2" t="s">
        <v>225</v>
      </c>
      <c r="M93" s="156" t="s">
        <v>190</v>
      </c>
      <c r="N93" s="150">
        <f>H92*K93</f>
        <v>103717.83399999999</v>
      </c>
      <c r="O93" s="101" t="s">
        <v>36</v>
      </c>
      <c r="P93" s="150">
        <f>N93*0.258</f>
        <v>26759.201171999997</v>
      </c>
      <c r="Q93" s="101" t="s">
        <v>317</v>
      </c>
      <c r="R93" s="175">
        <v>2.5999999999999998E-4</v>
      </c>
      <c r="S93" s="2" t="s">
        <v>170</v>
      </c>
      <c r="T93" s="177" t="s">
        <v>319</v>
      </c>
      <c r="U93" s="150">
        <f>H92*R93*1000</f>
        <v>3121.1385399999999</v>
      </c>
      <c r="V93" s="101" t="s">
        <v>178</v>
      </c>
      <c r="W93" s="171" t="s">
        <v>185</v>
      </c>
      <c r="X93" s="91" t="s">
        <v>250</v>
      </c>
      <c r="Y93" s="92" t="s">
        <v>203</v>
      </c>
      <c r="Z93" s="2" t="s">
        <v>244</v>
      </c>
      <c r="AA93" s="101" t="s">
        <v>242</v>
      </c>
    </row>
    <row r="94" spans="3:27" ht="19.899999999999999" customHeight="1" x14ac:dyDescent="0.4">
      <c r="C94" s="65" t="s">
        <v>212</v>
      </c>
      <c r="D94" s="124" t="s">
        <v>175</v>
      </c>
      <c r="E94" s="38" t="s">
        <v>176</v>
      </c>
      <c r="F94" s="22" t="s">
        <v>177</v>
      </c>
      <c r="G94" s="67" t="s">
        <v>264</v>
      </c>
      <c r="H94" s="197">
        <v>125024</v>
      </c>
      <c r="I94" s="198" t="s">
        <v>178</v>
      </c>
      <c r="J94" s="211" t="s">
        <v>312</v>
      </c>
      <c r="K94" s="138" t="s">
        <v>266</v>
      </c>
      <c r="L94" s="3" t="s">
        <v>266</v>
      </c>
      <c r="M94" s="11" t="s">
        <v>266</v>
      </c>
      <c r="N94" s="47" t="s">
        <v>29</v>
      </c>
      <c r="O94" s="22" t="s">
        <v>29</v>
      </c>
      <c r="P94" s="47" t="s">
        <v>29</v>
      </c>
      <c r="Q94" s="22" t="s">
        <v>29</v>
      </c>
      <c r="R94" s="34" t="s">
        <v>29</v>
      </c>
      <c r="S94" s="3" t="s">
        <v>29</v>
      </c>
      <c r="T94" s="11" t="s">
        <v>29</v>
      </c>
      <c r="U94" s="47">
        <f t="shared" ref="U94:U100" si="8">H94</f>
        <v>125024</v>
      </c>
      <c r="V94" s="22" t="s">
        <v>178</v>
      </c>
      <c r="W94" s="43"/>
      <c r="X94" s="8"/>
      <c r="Y94" s="3"/>
      <c r="Z94" s="3"/>
      <c r="AA94" s="22"/>
    </row>
    <row r="95" spans="3:27" ht="19.899999999999999" customHeight="1" x14ac:dyDescent="0.4">
      <c r="C95" s="65" t="s">
        <v>213</v>
      </c>
      <c r="D95" s="124" t="s">
        <v>229</v>
      </c>
      <c r="E95" s="38"/>
      <c r="F95" s="22"/>
      <c r="G95" s="67" t="s">
        <v>263</v>
      </c>
      <c r="H95" s="197">
        <v>50996.180000000008</v>
      </c>
      <c r="I95" s="198" t="s">
        <v>178</v>
      </c>
      <c r="J95" s="206"/>
      <c r="K95" s="138" t="s">
        <v>29</v>
      </c>
      <c r="L95" s="3" t="s">
        <v>29</v>
      </c>
      <c r="M95" s="11" t="s">
        <v>29</v>
      </c>
      <c r="N95" s="47" t="s">
        <v>29</v>
      </c>
      <c r="O95" s="22" t="s">
        <v>29</v>
      </c>
      <c r="P95" s="47" t="s">
        <v>29</v>
      </c>
      <c r="Q95" s="22" t="s">
        <v>29</v>
      </c>
      <c r="R95" s="34" t="s">
        <v>29</v>
      </c>
      <c r="S95" s="3" t="s">
        <v>29</v>
      </c>
      <c r="T95" s="11" t="s">
        <v>29</v>
      </c>
      <c r="U95" s="47">
        <f t="shared" si="8"/>
        <v>50996.180000000008</v>
      </c>
      <c r="V95" s="22" t="s">
        <v>178</v>
      </c>
      <c r="W95" s="43"/>
      <c r="X95" s="8"/>
      <c r="Y95" s="3"/>
      <c r="Z95" s="3"/>
      <c r="AA95" s="22"/>
    </row>
    <row r="96" spans="3:27" ht="19.899999999999999" customHeight="1" x14ac:dyDescent="0.4">
      <c r="C96" s="65" t="s">
        <v>213</v>
      </c>
      <c r="D96" s="124" t="s">
        <v>230</v>
      </c>
      <c r="E96" s="38"/>
      <c r="F96" s="22"/>
      <c r="G96" s="67" t="s">
        <v>196</v>
      </c>
      <c r="H96" s="197">
        <v>77566.251999999993</v>
      </c>
      <c r="I96" s="198" t="s">
        <v>178</v>
      </c>
      <c r="J96" s="206"/>
      <c r="K96" s="138" t="s">
        <v>29</v>
      </c>
      <c r="L96" s="3" t="s">
        <v>29</v>
      </c>
      <c r="M96" s="11" t="s">
        <v>29</v>
      </c>
      <c r="N96" s="47" t="s">
        <v>29</v>
      </c>
      <c r="O96" s="22" t="s">
        <v>29</v>
      </c>
      <c r="P96" s="47" t="s">
        <v>29</v>
      </c>
      <c r="Q96" s="22" t="s">
        <v>29</v>
      </c>
      <c r="R96" s="34" t="s">
        <v>29</v>
      </c>
      <c r="S96" s="3" t="s">
        <v>29</v>
      </c>
      <c r="T96" s="11" t="s">
        <v>29</v>
      </c>
      <c r="U96" s="47">
        <f t="shared" si="8"/>
        <v>77566.251999999993</v>
      </c>
      <c r="V96" s="22" t="s">
        <v>178</v>
      </c>
      <c r="W96" s="43"/>
      <c r="X96" s="8"/>
      <c r="Y96" s="3"/>
      <c r="Z96" s="3"/>
      <c r="AA96" s="22"/>
    </row>
    <row r="97" spans="3:27" ht="19.899999999999999" customHeight="1" x14ac:dyDescent="0.4">
      <c r="C97" s="117" t="s">
        <v>214</v>
      </c>
      <c r="D97" s="125" t="s">
        <v>229</v>
      </c>
      <c r="E97" s="81"/>
      <c r="F97" s="101"/>
      <c r="G97" s="135" t="s">
        <v>263</v>
      </c>
      <c r="H97" s="150">
        <v>50996.180000000008</v>
      </c>
      <c r="I97" s="2" t="s">
        <v>178</v>
      </c>
      <c r="J97" s="152"/>
      <c r="K97" s="139" t="s">
        <v>29</v>
      </c>
      <c r="L97" s="2" t="s">
        <v>29</v>
      </c>
      <c r="M97" s="156" t="s">
        <v>29</v>
      </c>
      <c r="N97" s="150" t="s">
        <v>29</v>
      </c>
      <c r="O97" s="101" t="s">
        <v>29</v>
      </c>
      <c r="P97" s="150" t="s">
        <v>29</v>
      </c>
      <c r="Q97" s="101" t="s">
        <v>29</v>
      </c>
      <c r="R97" s="120" t="s">
        <v>29</v>
      </c>
      <c r="S97" s="2" t="s">
        <v>29</v>
      </c>
      <c r="T97" s="156" t="s">
        <v>29</v>
      </c>
      <c r="U97" s="150">
        <f t="shared" si="8"/>
        <v>50996.180000000008</v>
      </c>
      <c r="V97" s="101" t="s">
        <v>178</v>
      </c>
      <c r="W97" s="172" t="s">
        <v>256</v>
      </c>
      <c r="X97" s="91" t="s">
        <v>250</v>
      </c>
      <c r="Y97" s="2" t="s">
        <v>206</v>
      </c>
      <c r="Z97" s="2" t="s">
        <v>240</v>
      </c>
      <c r="AA97" s="101" t="s">
        <v>242</v>
      </c>
    </row>
    <row r="98" spans="3:27" ht="19.899999999999999" customHeight="1" x14ac:dyDescent="0.4">
      <c r="C98" s="117" t="s">
        <v>214</v>
      </c>
      <c r="D98" s="125" t="s">
        <v>230</v>
      </c>
      <c r="E98" s="81"/>
      <c r="F98" s="101"/>
      <c r="G98" s="135" t="s">
        <v>261</v>
      </c>
      <c r="H98" s="150">
        <v>77566.251999999993</v>
      </c>
      <c r="I98" s="2" t="s">
        <v>178</v>
      </c>
      <c r="J98" s="152"/>
      <c r="K98" s="139" t="s">
        <v>29</v>
      </c>
      <c r="L98" s="2" t="s">
        <v>29</v>
      </c>
      <c r="M98" s="156" t="s">
        <v>29</v>
      </c>
      <c r="N98" s="150" t="s">
        <v>29</v>
      </c>
      <c r="O98" s="101" t="s">
        <v>29</v>
      </c>
      <c r="P98" s="150" t="s">
        <v>29</v>
      </c>
      <c r="Q98" s="101" t="s">
        <v>29</v>
      </c>
      <c r="R98" s="120" t="s">
        <v>29</v>
      </c>
      <c r="S98" s="2" t="s">
        <v>29</v>
      </c>
      <c r="T98" s="156" t="s">
        <v>29</v>
      </c>
      <c r="U98" s="150">
        <f t="shared" si="8"/>
        <v>77566.251999999993</v>
      </c>
      <c r="V98" s="101" t="s">
        <v>178</v>
      </c>
      <c r="W98" s="171" t="s">
        <v>204</v>
      </c>
      <c r="X98" s="91" t="s">
        <v>250</v>
      </c>
      <c r="Y98" s="2" t="s">
        <v>205</v>
      </c>
      <c r="Z98" s="2" t="s">
        <v>255</v>
      </c>
      <c r="AA98" s="101" t="s">
        <v>242</v>
      </c>
    </row>
    <row r="99" spans="3:27" ht="19.899999999999999" customHeight="1" x14ac:dyDescent="0.4">
      <c r="C99" s="65" t="s">
        <v>213</v>
      </c>
      <c r="D99" s="124" t="s">
        <v>52</v>
      </c>
      <c r="E99" s="38"/>
      <c r="F99" s="22"/>
      <c r="G99" s="67" t="s">
        <v>261</v>
      </c>
      <c r="H99" s="47">
        <v>16.943999999999999</v>
      </c>
      <c r="I99" s="3" t="s">
        <v>178</v>
      </c>
      <c r="J99" s="22"/>
      <c r="K99" s="34" t="s">
        <v>29</v>
      </c>
      <c r="L99" s="3" t="s">
        <v>29</v>
      </c>
      <c r="M99" s="11" t="s">
        <v>29</v>
      </c>
      <c r="N99" s="47" t="s">
        <v>29</v>
      </c>
      <c r="O99" s="22" t="s">
        <v>29</v>
      </c>
      <c r="P99" s="47" t="s">
        <v>29</v>
      </c>
      <c r="Q99" s="22" t="s">
        <v>29</v>
      </c>
      <c r="R99" s="34" t="s">
        <v>29</v>
      </c>
      <c r="S99" s="3" t="s">
        <v>29</v>
      </c>
      <c r="T99" s="11" t="s">
        <v>29</v>
      </c>
      <c r="U99" s="47">
        <f t="shared" si="8"/>
        <v>16.943999999999999</v>
      </c>
      <c r="V99" s="22" t="s">
        <v>178</v>
      </c>
      <c r="W99" s="43"/>
      <c r="X99" s="8"/>
      <c r="Y99" s="3"/>
      <c r="Z99" s="3"/>
      <c r="AA99" s="22"/>
    </row>
    <row r="100" spans="3:27" ht="19.899999999999999" customHeight="1" x14ac:dyDescent="0.4">
      <c r="C100" s="117" t="s">
        <v>214</v>
      </c>
      <c r="D100" s="125" t="s">
        <v>52</v>
      </c>
      <c r="E100" s="81"/>
      <c r="F100" s="101"/>
      <c r="G100" s="135"/>
      <c r="H100" s="150">
        <v>16.943999999999999</v>
      </c>
      <c r="I100" s="2" t="s">
        <v>178</v>
      </c>
      <c r="J100" s="101"/>
      <c r="K100" s="120" t="s">
        <v>29</v>
      </c>
      <c r="L100" s="2" t="s">
        <v>29</v>
      </c>
      <c r="M100" s="156" t="s">
        <v>29</v>
      </c>
      <c r="N100" s="150" t="s">
        <v>29</v>
      </c>
      <c r="O100" s="101" t="s">
        <v>29</v>
      </c>
      <c r="P100" s="150" t="s">
        <v>29</v>
      </c>
      <c r="Q100" s="101" t="s">
        <v>29</v>
      </c>
      <c r="R100" s="120" t="s">
        <v>29</v>
      </c>
      <c r="S100" s="2" t="s">
        <v>29</v>
      </c>
      <c r="T100" s="156" t="s">
        <v>29</v>
      </c>
      <c r="U100" s="150">
        <f t="shared" si="8"/>
        <v>16.943999999999999</v>
      </c>
      <c r="V100" s="101" t="s">
        <v>178</v>
      </c>
      <c r="W100" s="171"/>
      <c r="X100" s="91"/>
      <c r="Y100" s="2"/>
      <c r="Z100" s="2"/>
      <c r="AA100" s="101"/>
    </row>
    <row r="101" spans="3:27" ht="19.899999999999999" customHeight="1" x14ac:dyDescent="0.4">
      <c r="C101" s="65" t="s">
        <v>190</v>
      </c>
      <c r="D101" s="126" t="s">
        <v>234</v>
      </c>
      <c r="E101" s="38"/>
      <c r="F101" s="22"/>
      <c r="G101" s="67" t="s">
        <v>187</v>
      </c>
      <c r="H101" s="197">
        <v>432978.69899999996</v>
      </c>
      <c r="I101" s="198" t="s">
        <v>40</v>
      </c>
      <c r="J101" s="205"/>
      <c r="K101" s="53">
        <v>0</v>
      </c>
      <c r="L101" s="3" t="s">
        <v>225</v>
      </c>
      <c r="M101" s="11"/>
      <c r="N101" s="47">
        <f>H101*K101</f>
        <v>0</v>
      </c>
      <c r="O101" s="22" t="s">
        <v>36</v>
      </c>
      <c r="P101" s="47">
        <f t="shared" si="6"/>
        <v>0</v>
      </c>
      <c r="Q101" s="22" t="s">
        <v>317</v>
      </c>
      <c r="R101" s="164">
        <v>0</v>
      </c>
      <c r="S101" s="3" t="s">
        <v>22</v>
      </c>
      <c r="T101" s="11"/>
      <c r="U101" s="47">
        <f t="shared" ref="U101:U106" si="9">H101*K101*R101*44/12</f>
        <v>0</v>
      </c>
      <c r="V101" s="22" t="s">
        <v>186</v>
      </c>
      <c r="W101" s="43"/>
      <c r="X101" s="8"/>
      <c r="Y101" s="3"/>
      <c r="Z101" s="3"/>
      <c r="AA101" s="22"/>
    </row>
    <row r="102" spans="3:27" ht="19.899999999999999" customHeight="1" x14ac:dyDescent="0.4">
      <c r="C102" s="65" t="s">
        <v>190</v>
      </c>
      <c r="D102" s="126" t="s">
        <v>235</v>
      </c>
      <c r="E102" s="38"/>
      <c r="F102" s="22"/>
      <c r="G102" s="67" t="s">
        <v>187</v>
      </c>
      <c r="H102" s="197">
        <v>85715.633000000002</v>
      </c>
      <c r="I102" s="198" t="s">
        <v>40</v>
      </c>
      <c r="J102" s="205"/>
      <c r="K102" s="53">
        <v>8.6399999869335389</v>
      </c>
      <c r="L102" s="3" t="s">
        <v>225</v>
      </c>
      <c r="M102" s="11" t="s">
        <v>190</v>
      </c>
      <c r="N102" s="47">
        <f t="shared" si="5"/>
        <v>740583.06799999997</v>
      </c>
      <c r="O102" s="22" t="s">
        <v>36</v>
      </c>
      <c r="P102" s="47">
        <f t="shared" si="6"/>
        <v>191070.43154399999</v>
      </c>
      <c r="Q102" s="22" t="s">
        <v>317</v>
      </c>
      <c r="R102" s="164">
        <v>1.6758207096050873E-2</v>
      </c>
      <c r="S102" s="3" t="s">
        <v>22</v>
      </c>
      <c r="T102" s="11" t="s">
        <v>192</v>
      </c>
      <c r="U102" s="47">
        <f t="shared" si="9"/>
        <v>45506.429559699987</v>
      </c>
      <c r="V102" s="22" t="s">
        <v>178</v>
      </c>
      <c r="W102" s="43"/>
      <c r="X102" s="8"/>
      <c r="Y102" s="3"/>
      <c r="Z102" s="3"/>
      <c r="AA102" s="22"/>
    </row>
    <row r="103" spans="3:27" ht="19.899999999999999" customHeight="1" x14ac:dyDescent="0.4">
      <c r="C103" s="65" t="s">
        <v>190</v>
      </c>
      <c r="D103" s="126" t="s">
        <v>238</v>
      </c>
      <c r="E103" s="38"/>
      <c r="F103" s="22"/>
      <c r="G103" s="67" t="s">
        <v>224</v>
      </c>
      <c r="H103" s="197">
        <v>6214.7599999999993</v>
      </c>
      <c r="I103" s="198" t="s">
        <v>40</v>
      </c>
      <c r="J103" s="205"/>
      <c r="K103" s="53">
        <v>8.6400000965443571</v>
      </c>
      <c r="L103" s="3" t="s">
        <v>225</v>
      </c>
      <c r="M103" s="11" t="s">
        <v>190</v>
      </c>
      <c r="N103" s="47">
        <f t="shared" si="5"/>
        <v>53695.527000000002</v>
      </c>
      <c r="O103" s="22" t="s">
        <v>36</v>
      </c>
      <c r="P103" s="47">
        <f t="shared" si="6"/>
        <v>13853.445966000001</v>
      </c>
      <c r="Q103" s="22" t="s">
        <v>317</v>
      </c>
      <c r="R103" s="164">
        <v>1.2638884156115006E-2</v>
      </c>
      <c r="S103" s="3" t="s">
        <v>22</v>
      </c>
      <c r="T103" s="11" t="s">
        <v>192</v>
      </c>
      <c r="U103" s="47">
        <f t="shared" si="9"/>
        <v>2488.3890000000001</v>
      </c>
      <c r="V103" s="22" t="s">
        <v>178</v>
      </c>
      <c r="W103" s="43"/>
      <c r="X103" s="8"/>
      <c r="Y103" s="3"/>
      <c r="Z103" s="3"/>
      <c r="AA103" s="22"/>
    </row>
    <row r="104" spans="3:27" x14ac:dyDescent="0.4">
      <c r="C104" s="117" t="s">
        <v>214</v>
      </c>
      <c r="D104" s="127" t="s">
        <v>234</v>
      </c>
      <c r="E104" s="81"/>
      <c r="F104" s="101"/>
      <c r="G104" s="135" t="s">
        <v>262</v>
      </c>
      <c r="H104" s="150">
        <v>432978.69899999996</v>
      </c>
      <c r="I104" s="93" t="s">
        <v>40</v>
      </c>
      <c r="J104" s="101"/>
      <c r="K104" s="140">
        <v>0</v>
      </c>
      <c r="L104" s="2" t="s">
        <v>225</v>
      </c>
      <c r="M104" s="156"/>
      <c r="N104" s="150">
        <f t="shared" si="5"/>
        <v>0</v>
      </c>
      <c r="O104" s="101" t="s">
        <v>36</v>
      </c>
      <c r="P104" s="150">
        <f t="shared" si="6"/>
        <v>0</v>
      </c>
      <c r="Q104" s="101" t="s">
        <v>317</v>
      </c>
      <c r="R104" s="165">
        <v>0</v>
      </c>
      <c r="S104" s="2" t="s">
        <v>22</v>
      </c>
      <c r="T104" s="156"/>
      <c r="U104" s="150">
        <f t="shared" si="9"/>
        <v>0</v>
      </c>
      <c r="V104" s="101" t="s">
        <v>178</v>
      </c>
      <c r="W104" s="172" t="s">
        <v>256</v>
      </c>
      <c r="X104" s="92" t="s">
        <v>251</v>
      </c>
      <c r="Y104" s="92" t="s">
        <v>257</v>
      </c>
      <c r="Z104" s="2" t="s">
        <v>240</v>
      </c>
      <c r="AA104" s="101" t="s">
        <v>242</v>
      </c>
    </row>
    <row r="105" spans="3:27" ht="19.899999999999999" customHeight="1" x14ac:dyDescent="0.4">
      <c r="C105" s="117" t="s">
        <v>214</v>
      </c>
      <c r="D105" s="127" t="s">
        <v>235</v>
      </c>
      <c r="E105" s="81"/>
      <c r="F105" s="101"/>
      <c r="G105" s="135" t="s">
        <v>262</v>
      </c>
      <c r="H105" s="150">
        <v>85715.633000000002</v>
      </c>
      <c r="I105" s="93" t="s">
        <v>40</v>
      </c>
      <c r="J105" s="101"/>
      <c r="K105" s="140">
        <v>8.6399999869335389</v>
      </c>
      <c r="L105" s="2" t="s">
        <v>225</v>
      </c>
      <c r="M105" s="156" t="s">
        <v>190</v>
      </c>
      <c r="N105" s="150">
        <f t="shared" si="5"/>
        <v>740583.06799999997</v>
      </c>
      <c r="O105" s="101" t="s">
        <v>36</v>
      </c>
      <c r="P105" s="150">
        <f t="shared" si="6"/>
        <v>191070.43154399999</v>
      </c>
      <c r="Q105" s="101" t="s">
        <v>317</v>
      </c>
      <c r="R105" s="165">
        <v>1.6758207096050873E-2</v>
      </c>
      <c r="S105" s="2" t="s">
        <v>22</v>
      </c>
      <c r="T105" s="156" t="s">
        <v>192</v>
      </c>
      <c r="U105" s="150">
        <f t="shared" si="9"/>
        <v>45506.429559699987</v>
      </c>
      <c r="V105" s="101" t="s">
        <v>178</v>
      </c>
      <c r="W105" s="120" t="s">
        <v>197</v>
      </c>
      <c r="X105" s="92" t="s">
        <v>251</v>
      </c>
      <c r="Y105" s="2" t="s">
        <v>203</v>
      </c>
      <c r="Z105" s="2" t="s">
        <v>244</v>
      </c>
      <c r="AA105" s="101" t="s">
        <v>242</v>
      </c>
    </row>
    <row r="106" spans="3:27" ht="19.899999999999999" customHeight="1" x14ac:dyDescent="0.4">
      <c r="C106" s="117" t="s">
        <v>214</v>
      </c>
      <c r="D106" s="127" t="s">
        <v>267</v>
      </c>
      <c r="E106" s="81"/>
      <c r="F106" s="101"/>
      <c r="G106" s="135" t="s">
        <v>265</v>
      </c>
      <c r="H106" s="150">
        <v>6214.7599999999993</v>
      </c>
      <c r="I106" s="93" t="s">
        <v>40</v>
      </c>
      <c r="J106" s="101" t="s">
        <v>258</v>
      </c>
      <c r="K106" s="140">
        <v>8.6400000965443571</v>
      </c>
      <c r="L106" s="2" t="s">
        <v>225</v>
      </c>
      <c r="M106" s="156" t="s">
        <v>190</v>
      </c>
      <c r="N106" s="150">
        <f t="shared" si="5"/>
        <v>53695.527000000002</v>
      </c>
      <c r="O106" s="101" t="s">
        <v>36</v>
      </c>
      <c r="P106" s="150">
        <f t="shared" si="6"/>
        <v>13853.445966000001</v>
      </c>
      <c r="Q106" s="101" t="s">
        <v>317</v>
      </c>
      <c r="R106" s="165">
        <v>1.2638884156115006E-2</v>
      </c>
      <c r="S106" s="2" t="s">
        <v>22</v>
      </c>
      <c r="T106" s="156" t="s">
        <v>192</v>
      </c>
      <c r="U106" s="150">
        <f t="shared" si="9"/>
        <v>2488.3890000000001</v>
      </c>
      <c r="V106" s="101" t="s">
        <v>178</v>
      </c>
      <c r="W106" s="120" t="s">
        <v>185</v>
      </c>
      <c r="X106" s="2" t="s">
        <v>251</v>
      </c>
      <c r="Y106" s="2" t="s">
        <v>203</v>
      </c>
      <c r="Z106" s="2" t="s">
        <v>244</v>
      </c>
      <c r="AA106" s="101" t="s">
        <v>242</v>
      </c>
    </row>
    <row r="107" spans="3:27" ht="19.899999999999999" customHeight="1" x14ac:dyDescent="0.4">
      <c r="C107" s="65" t="s">
        <v>190</v>
      </c>
      <c r="D107" s="126" t="s">
        <v>239</v>
      </c>
      <c r="E107" s="38"/>
      <c r="F107" s="22"/>
      <c r="G107" s="67" t="s">
        <v>264</v>
      </c>
      <c r="H107" s="197">
        <v>1127076.1330000001</v>
      </c>
      <c r="I107" s="202" t="s">
        <v>40</v>
      </c>
      <c r="J107" s="205"/>
      <c r="K107" s="53">
        <v>1.1700000003460278</v>
      </c>
      <c r="L107" s="3" t="s">
        <v>225</v>
      </c>
      <c r="M107" s="11" t="s">
        <v>224</v>
      </c>
      <c r="N107" s="47">
        <f t="shared" si="5"/>
        <v>1318679.0759999999</v>
      </c>
      <c r="O107" s="22" t="s">
        <v>36</v>
      </c>
      <c r="P107" s="47">
        <f t="shared" si="6"/>
        <v>340219.20160799997</v>
      </c>
      <c r="Q107" s="22" t="s">
        <v>317</v>
      </c>
      <c r="R107" s="164">
        <v>1.5244755426755555E-2</v>
      </c>
      <c r="S107" s="3" t="s">
        <v>22</v>
      </c>
      <c r="T107" s="11" t="s">
        <v>192</v>
      </c>
      <c r="U107" s="47">
        <f>-H107*K107*R107*44/12</f>
        <v>-73710.78</v>
      </c>
      <c r="V107" s="22" t="s">
        <v>178</v>
      </c>
      <c r="W107" s="34"/>
      <c r="X107" s="3"/>
      <c r="Y107" s="3"/>
      <c r="Z107" s="3"/>
      <c r="AA107" s="22"/>
    </row>
    <row r="108" spans="3:27" ht="19.899999999999999" customHeight="1" x14ac:dyDescent="0.4">
      <c r="C108" s="65" t="s">
        <v>190</v>
      </c>
      <c r="D108" s="126" t="s">
        <v>259</v>
      </c>
      <c r="E108" s="38"/>
      <c r="F108" s="22"/>
      <c r="G108" s="67" t="s">
        <v>264</v>
      </c>
      <c r="H108" s="197">
        <v>41421.98599999999</v>
      </c>
      <c r="I108" s="202" t="s">
        <v>40</v>
      </c>
      <c r="J108" s="205"/>
      <c r="K108" s="141">
        <v>8.6400000231761016</v>
      </c>
      <c r="L108" s="3" t="s">
        <v>225</v>
      </c>
      <c r="M108" s="11" t="s">
        <v>190</v>
      </c>
      <c r="N108" s="47">
        <f t="shared" si="5"/>
        <v>357885.96000000008</v>
      </c>
      <c r="O108" s="22" t="s">
        <v>36</v>
      </c>
      <c r="P108" s="47">
        <f t="shared" si="6"/>
        <v>92334.577680000017</v>
      </c>
      <c r="Q108" s="22" t="s">
        <v>317</v>
      </c>
      <c r="R108" s="164">
        <v>1.4453913805900115E-2</v>
      </c>
      <c r="S108" s="3" t="s">
        <v>22</v>
      </c>
      <c r="T108" s="11" t="s">
        <v>192</v>
      </c>
      <c r="U108" s="47">
        <f>-H108*K108*R108*44/12</f>
        <v>-18967.126999999997</v>
      </c>
      <c r="V108" s="22" t="s">
        <v>178</v>
      </c>
      <c r="W108" s="34"/>
      <c r="X108" s="3"/>
      <c r="Y108" s="3"/>
      <c r="Z108" s="3"/>
      <c r="AA108" s="22"/>
    </row>
    <row r="109" spans="3:27" ht="19.899999999999999" customHeight="1" x14ac:dyDescent="0.4">
      <c r="C109" s="117" t="s">
        <v>214</v>
      </c>
      <c r="D109" s="127" t="s">
        <v>236</v>
      </c>
      <c r="E109" s="81"/>
      <c r="F109" s="101"/>
      <c r="G109" s="135" t="s">
        <v>264</v>
      </c>
      <c r="H109" s="150">
        <v>1127076.1330000001</v>
      </c>
      <c r="I109" s="93" t="s">
        <v>40</v>
      </c>
      <c r="J109" s="101"/>
      <c r="K109" s="142">
        <v>1.1700000003460278</v>
      </c>
      <c r="L109" s="91" t="s">
        <v>195</v>
      </c>
      <c r="M109" s="68" t="s">
        <v>194</v>
      </c>
      <c r="N109" s="150">
        <f t="shared" si="5"/>
        <v>1318679.0759999999</v>
      </c>
      <c r="O109" s="102" t="s">
        <v>36</v>
      </c>
      <c r="P109" s="150">
        <f t="shared" si="6"/>
        <v>340219.20160799997</v>
      </c>
      <c r="Q109" s="101" t="s">
        <v>317</v>
      </c>
      <c r="R109" s="165">
        <v>1.5244755426755555E-2</v>
      </c>
      <c r="S109" s="2" t="s">
        <v>22</v>
      </c>
      <c r="T109" s="156" t="s">
        <v>192</v>
      </c>
      <c r="U109" s="150">
        <f>-H109*K109*R109*44/12</f>
        <v>-73710.78</v>
      </c>
      <c r="V109" s="101" t="s">
        <v>178</v>
      </c>
      <c r="W109" s="171" t="s">
        <v>197</v>
      </c>
      <c r="X109" s="92" t="s">
        <v>251</v>
      </c>
      <c r="Y109" s="94" t="s">
        <v>202</v>
      </c>
      <c r="Z109" s="91" t="s">
        <v>255</v>
      </c>
      <c r="AA109" s="102" t="s">
        <v>242</v>
      </c>
    </row>
    <row r="110" spans="3:27" ht="19.899999999999999" customHeight="1" thickBot="1" x14ac:dyDescent="0.45">
      <c r="C110" s="118" t="s">
        <v>214</v>
      </c>
      <c r="D110" s="128" t="s">
        <v>260</v>
      </c>
      <c r="E110" s="103"/>
      <c r="F110" s="108"/>
      <c r="G110" s="136" t="s">
        <v>264</v>
      </c>
      <c r="H110" s="154">
        <v>41421.98599999999</v>
      </c>
      <c r="I110" s="106" t="s">
        <v>40</v>
      </c>
      <c r="J110" s="108"/>
      <c r="K110" s="143">
        <v>8.6400000231761016</v>
      </c>
      <c r="L110" s="105" t="s">
        <v>195</v>
      </c>
      <c r="M110" s="157" t="s">
        <v>190</v>
      </c>
      <c r="N110" s="154">
        <f t="shared" si="5"/>
        <v>357885.96000000008</v>
      </c>
      <c r="O110" s="163" t="s">
        <v>36</v>
      </c>
      <c r="P110" s="154">
        <f t="shared" si="6"/>
        <v>92334.577680000017</v>
      </c>
      <c r="Q110" s="108" t="s">
        <v>317</v>
      </c>
      <c r="R110" s="166">
        <v>1.4453913805900115E-2</v>
      </c>
      <c r="S110" s="104" t="s">
        <v>22</v>
      </c>
      <c r="T110" s="168" t="s">
        <v>192</v>
      </c>
      <c r="U110" s="154">
        <f>-H110*K110*R110*44/12</f>
        <v>-18967.126999999997</v>
      </c>
      <c r="V110" s="108" t="s">
        <v>178</v>
      </c>
      <c r="W110" s="121" t="s">
        <v>197</v>
      </c>
      <c r="X110" s="104" t="s">
        <v>251</v>
      </c>
      <c r="Y110" s="107" t="s">
        <v>202</v>
      </c>
      <c r="Z110" s="104" t="s">
        <v>255</v>
      </c>
      <c r="AA110" s="108" t="s">
        <v>242</v>
      </c>
    </row>
    <row r="111" spans="3:27" x14ac:dyDescent="0.4">
      <c r="D111" s="15"/>
    </row>
    <row r="112" spans="3:27" x14ac:dyDescent="0.4">
      <c r="D112" s="15"/>
    </row>
    <row r="115" spans="25:27" x14ac:dyDescent="0.4">
      <c r="Y115" s="80" t="s">
        <v>232</v>
      </c>
      <c r="Z115" s="8">
        <f>SUMIF(C:C,$C$12, U:U)+SUMIF(C:C,$C$32, U:U)</f>
        <v>2043968.0288499999</v>
      </c>
      <c r="AA115" s="9" t="s">
        <v>186</v>
      </c>
    </row>
    <row r="116" spans="25:27" x14ac:dyDescent="0.4">
      <c r="Y116" s="80" t="s">
        <v>233</v>
      </c>
      <c r="Z116" s="8">
        <f>SUMIF(C:C,$C$18,U:U)-U100-U98-U91-U93</f>
        <v>2001422.1323027008</v>
      </c>
      <c r="AA116" s="9" t="s">
        <v>186</v>
      </c>
    </row>
    <row r="117" spans="25:27" x14ac:dyDescent="0.4">
      <c r="Z117" s="220"/>
    </row>
    <row r="118" spans="25:27" x14ac:dyDescent="0.4">
      <c r="Z118" s="220"/>
    </row>
  </sheetData>
  <autoFilter ref="C11:V110" xr:uid="{79FE38C5-FCF4-4FE2-9BD4-9ED2EF4AC8A5}"/>
  <phoneticPr fontId="2"/>
  <dataValidations count="1">
    <dataValidation type="list" allowBlank="1" showInputMessage="1" showErrorMessage="1" sqref="F29" xr:uid="{1E045B56-C30E-4A39-A623-77A8128F25DE}">
      <formula1>"〇, ×, -"</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9FAEB-AD17-457F-8DDB-B272D45783F3}">
  <sheetPr>
    <tabColor rgb="FFFFCCFF"/>
  </sheetPr>
  <dimension ref="A1:T157"/>
  <sheetViews>
    <sheetView workbookViewId="0">
      <selection activeCell="I5" sqref="I5"/>
    </sheetView>
  </sheetViews>
  <sheetFormatPr defaultRowHeight="18.75" x14ac:dyDescent="0.4"/>
  <sheetData>
    <row r="1" spans="1:20" x14ac:dyDescent="0.4">
      <c r="A1" t="s">
        <v>8</v>
      </c>
      <c r="D1" t="s">
        <v>328</v>
      </c>
      <c r="E1" t="s">
        <v>329</v>
      </c>
      <c r="G1" t="s">
        <v>9</v>
      </c>
      <c r="I1" t="s">
        <v>10</v>
      </c>
      <c r="K1" t="s">
        <v>330</v>
      </c>
      <c r="L1" t="s">
        <v>0</v>
      </c>
      <c r="M1" t="s">
        <v>331</v>
      </c>
      <c r="Q1" t="s">
        <v>331</v>
      </c>
    </row>
    <row r="2" spans="1:20" x14ac:dyDescent="0.4">
      <c r="A2" t="s">
        <v>13</v>
      </c>
      <c r="B2" t="s">
        <v>14</v>
      </c>
      <c r="C2" t="s">
        <v>332</v>
      </c>
      <c r="D2" t="s">
        <v>333</v>
      </c>
      <c r="F2" t="s">
        <v>334</v>
      </c>
      <c r="H2" t="s">
        <v>334</v>
      </c>
      <c r="J2" t="s">
        <v>15</v>
      </c>
      <c r="K2" t="s">
        <v>340</v>
      </c>
      <c r="M2" t="s">
        <v>335</v>
      </c>
      <c r="N2" t="s">
        <v>15</v>
      </c>
      <c r="P2" t="s">
        <v>336</v>
      </c>
      <c r="Q2" t="s">
        <v>341</v>
      </c>
      <c r="R2" t="s">
        <v>15</v>
      </c>
      <c r="T2" t="s">
        <v>336</v>
      </c>
    </row>
    <row r="3" spans="1:20" x14ac:dyDescent="0.4">
      <c r="A3" t="s">
        <v>19</v>
      </c>
      <c r="B3" t="s">
        <v>20</v>
      </c>
      <c r="C3" t="s">
        <v>16</v>
      </c>
      <c r="E3">
        <v>97814.699999999953</v>
      </c>
      <c r="F3" t="s">
        <v>17</v>
      </c>
      <c r="G3">
        <v>46.1</v>
      </c>
      <c r="H3" t="s">
        <v>21</v>
      </c>
      <c r="I3">
        <v>1.44E-2</v>
      </c>
      <c r="J3" t="s">
        <v>22</v>
      </c>
      <c r="K3">
        <v>1</v>
      </c>
      <c r="L3">
        <v>198212</v>
      </c>
      <c r="M3">
        <v>38.378923072329194</v>
      </c>
      <c r="N3" t="s">
        <v>21</v>
      </c>
      <c r="P3" t="s">
        <v>337</v>
      </c>
      <c r="R3" t="s">
        <v>22</v>
      </c>
    </row>
    <row r="4" spans="1:20" x14ac:dyDescent="0.4">
      <c r="A4" t="s">
        <v>25</v>
      </c>
      <c r="B4" t="s">
        <v>26</v>
      </c>
      <c r="C4" t="s">
        <v>16</v>
      </c>
      <c r="E4">
        <v>3736.7000000000021</v>
      </c>
      <c r="F4" t="s">
        <v>17</v>
      </c>
      <c r="G4">
        <v>46.1</v>
      </c>
      <c r="H4" t="s">
        <v>21</v>
      </c>
      <c r="I4">
        <v>1.44E-2</v>
      </c>
      <c r="J4" t="s">
        <v>22</v>
      </c>
      <c r="K4">
        <v>1</v>
      </c>
      <c r="L4">
        <v>6936</v>
      </c>
      <c r="M4">
        <v>35.156443967935878</v>
      </c>
      <c r="N4" t="s">
        <v>21</v>
      </c>
      <c r="P4" t="s">
        <v>338</v>
      </c>
      <c r="R4" t="s">
        <v>22</v>
      </c>
    </row>
    <row r="5" spans="1:20" x14ac:dyDescent="0.4">
      <c r="A5" t="s">
        <v>30</v>
      </c>
      <c r="B5" t="s">
        <v>31</v>
      </c>
      <c r="C5" t="s">
        <v>16</v>
      </c>
      <c r="E5">
        <v>20745.399999999987</v>
      </c>
      <c r="F5" t="s">
        <v>17</v>
      </c>
      <c r="G5">
        <v>46.1</v>
      </c>
      <c r="H5" t="s">
        <v>21</v>
      </c>
      <c r="I5">
        <v>1.44E-2</v>
      </c>
      <c r="J5" t="s">
        <v>22</v>
      </c>
      <c r="K5">
        <v>1</v>
      </c>
      <c r="L5">
        <v>38382</v>
      </c>
      <c r="M5">
        <v>35.041310280908334</v>
      </c>
      <c r="N5" t="s">
        <v>21</v>
      </c>
      <c r="P5" t="s">
        <v>338</v>
      </c>
      <c r="R5" t="s">
        <v>22</v>
      </c>
    </row>
    <row r="6" spans="1:20" x14ac:dyDescent="0.4">
      <c r="A6" t="s">
        <v>33</v>
      </c>
      <c r="B6" t="s">
        <v>34</v>
      </c>
      <c r="C6" t="s">
        <v>16</v>
      </c>
      <c r="E6">
        <v>13097.499999999991</v>
      </c>
      <c r="F6" t="s">
        <v>17</v>
      </c>
      <c r="G6">
        <v>46.1</v>
      </c>
      <c r="H6" t="s">
        <v>21</v>
      </c>
      <c r="I6">
        <v>1.44E-2</v>
      </c>
      <c r="J6" t="s">
        <v>22</v>
      </c>
      <c r="K6">
        <v>1</v>
      </c>
      <c r="L6">
        <v>23996</v>
      </c>
      <c r="M6">
        <v>34.700361372417269</v>
      </c>
      <c r="N6" t="s">
        <v>21</v>
      </c>
      <c r="P6" t="s">
        <v>338</v>
      </c>
      <c r="R6" t="s">
        <v>22</v>
      </c>
    </row>
    <row r="7" spans="1:20" x14ac:dyDescent="0.4">
      <c r="A7" t="s">
        <v>37</v>
      </c>
      <c r="B7" t="s">
        <v>38</v>
      </c>
      <c r="C7" t="s">
        <v>16</v>
      </c>
      <c r="E7">
        <v>39429.900000000016</v>
      </c>
      <c r="F7" t="s">
        <v>17</v>
      </c>
      <c r="G7">
        <v>46.1</v>
      </c>
      <c r="H7" t="s">
        <v>21</v>
      </c>
      <c r="I7">
        <v>1.44E-2</v>
      </c>
      <c r="J7" t="s">
        <v>22</v>
      </c>
      <c r="K7">
        <v>1</v>
      </c>
      <c r="L7">
        <v>73200</v>
      </c>
      <c r="M7">
        <v>35.160286839082069</v>
      </c>
      <c r="N7" t="s">
        <v>21</v>
      </c>
      <c r="P7" t="s">
        <v>338</v>
      </c>
      <c r="R7" t="s">
        <v>22</v>
      </c>
    </row>
    <row r="8" spans="1:20" x14ac:dyDescent="0.4">
      <c r="A8" t="s">
        <v>41</v>
      </c>
      <c r="B8" t="s">
        <v>42</v>
      </c>
      <c r="C8" t="s">
        <v>16</v>
      </c>
      <c r="E8">
        <v>9098.7999999999993</v>
      </c>
      <c r="F8" t="s">
        <v>17</v>
      </c>
      <c r="G8">
        <v>46.1</v>
      </c>
      <c r="H8" t="s">
        <v>21</v>
      </c>
      <c r="I8">
        <v>1.44E-2</v>
      </c>
      <c r="J8" t="s">
        <v>22</v>
      </c>
      <c r="K8">
        <v>1</v>
      </c>
      <c r="L8">
        <v>17633</v>
      </c>
      <c r="M8">
        <v>36.704468433544307</v>
      </c>
      <c r="N8" t="s">
        <v>21</v>
      </c>
      <c r="P8" t="s">
        <v>338</v>
      </c>
      <c r="R8" t="s">
        <v>22</v>
      </c>
    </row>
    <row r="9" spans="1:20" x14ac:dyDescent="0.4">
      <c r="A9" t="s">
        <v>43</v>
      </c>
      <c r="B9" t="s">
        <v>44</v>
      </c>
      <c r="C9" t="s">
        <v>16</v>
      </c>
      <c r="E9">
        <v>1745.5000000000005</v>
      </c>
      <c r="F9" t="s">
        <v>17</v>
      </c>
      <c r="G9">
        <v>46.1</v>
      </c>
      <c r="H9" t="s">
        <v>21</v>
      </c>
      <c r="I9">
        <v>1.44E-2</v>
      </c>
      <c r="J9" t="s">
        <v>22</v>
      </c>
      <c r="K9">
        <v>1</v>
      </c>
      <c r="L9">
        <v>3217</v>
      </c>
      <c r="M9">
        <v>34.906808695652174</v>
      </c>
      <c r="N9" t="s">
        <v>21</v>
      </c>
      <c r="P9" t="s">
        <v>338</v>
      </c>
      <c r="R9" t="s">
        <v>22</v>
      </c>
    </row>
    <row r="10" spans="1:20" x14ac:dyDescent="0.4">
      <c r="A10" t="s">
        <v>46</v>
      </c>
      <c r="B10" t="s">
        <v>47</v>
      </c>
      <c r="C10" t="s">
        <v>16</v>
      </c>
      <c r="E10">
        <v>3064.7999999999997</v>
      </c>
      <c r="F10" t="s">
        <v>17</v>
      </c>
      <c r="G10">
        <v>46.1</v>
      </c>
      <c r="H10" t="s">
        <v>21</v>
      </c>
      <c r="I10">
        <v>1.44E-2</v>
      </c>
      <c r="J10" t="s">
        <v>22</v>
      </c>
      <c r="K10">
        <v>1</v>
      </c>
      <c r="L10">
        <v>7106</v>
      </c>
      <c r="M10">
        <v>43.918302835223486</v>
      </c>
      <c r="N10" t="s">
        <v>21</v>
      </c>
      <c r="P10" t="s">
        <v>338</v>
      </c>
      <c r="R10" t="s">
        <v>22</v>
      </c>
    </row>
    <row r="11" spans="1:20" x14ac:dyDescent="0.4">
      <c r="A11" t="s">
        <v>48</v>
      </c>
      <c r="B11" t="s">
        <v>49</v>
      </c>
      <c r="C11" t="s">
        <v>16</v>
      </c>
      <c r="E11">
        <v>6827.6999999999971</v>
      </c>
      <c r="F11" t="s">
        <v>17</v>
      </c>
      <c r="G11">
        <v>46.1</v>
      </c>
      <c r="H11" t="s">
        <v>21</v>
      </c>
      <c r="I11">
        <v>1.44E-2</v>
      </c>
      <c r="J11" t="s">
        <v>22</v>
      </c>
      <c r="K11">
        <v>1</v>
      </c>
      <c r="L11">
        <v>15832</v>
      </c>
      <c r="M11">
        <v>43.918302835223486</v>
      </c>
      <c r="N11" t="s">
        <v>21</v>
      </c>
      <c r="P11" t="s">
        <v>338</v>
      </c>
      <c r="R11" t="s">
        <v>22</v>
      </c>
    </row>
    <row r="12" spans="1:20" x14ac:dyDescent="0.4">
      <c r="A12" t="s">
        <v>50</v>
      </c>
      <c r="B12" t="s">
        <v>51</v>
      </c>
      <c r="C12" t="s">
        <v>16</v>
      </c>
      <c r="E12">
        <v>521.49999999999989</v>
      </c>
      <c r="F12" t="s">
        <v>17</v>
      </c>
      <c r="G12">
        <v>46.1</v>
      </c>
      <c r="H12" t="s">
        <v>21</v>
      </c>
      <c r="I12">
        <v>1.44E-2</v>
      </c>
      <c r="J12" t="s">
        <v>22</v>
      </c>
      <c r="K12">
        <v>1</v>
      </c>
      <c r="L12">
        <v>1198</v>
      </c>
      <c r="M12">
        <v>43.52343727439024</v>
      </c>
      <c r="N12" t="s">
        <v>21</v>
      </c>
      <c r="P12" t="s">
        <v>338</v>
      </c>
      <c r="R12" t="s">
        <v>22</v>
      </c>
    </row>
    <row r="13" spans="1:20" x14ac:dyDescent="0.4">
      <c r="A13" t="s">
        <v>53</v>
      </c>
      <c r="B13" t="s">
        <v>54</v>
      </c>
      <c r="C13" t="s">
        <v>16</v>
      </c>
      <c r="E13">
        <v>463.80000000000024</v>
      </c>
      <c r="F13" t="s">
        <v>17</v>
      </c>
      <c r="G13">
        <v>46.1</v>
      </c>
      <c r="H13" t="s">
        <v>21</v>
      </c>
      <c r="I13">
        <v>1.44E-2</v>
      </c>
      <c r="J13" t="s">
        <v>22</v>
      </c>
      <c r="K13">
        <v>1</v>
      </c>
      <c r="L13">
        <v>1065</v>
      </c>
      <c r="M13">
        <v>43.52343727439024</v>
      </c>
      <c r="N13" t="s">
        <v>21</v>
      </c>
      <c r="P13" t="s">
        <v>338</v>
      </c>
      <c r="R13" t="s">
        <v>22</v>
      </c>
    </row>
    <row r="14" spans="1:20" x14ac:dyDescent="0.4">
      <c r="A14" t="s">
        <v>56</v>
      </c>
      <c r="B14" t="s">
        <v>57</v>
      </c>
      <c r="C14" t="s">
        <v>16</v>
      </c>
      <c r="E14">
        <v>1720.8</v>
      </c>
      <c r="F14" t="s">
        <v>17</v>
      </c>
      <c r="G14">
        <v>46.1</v>
      </c>
      <c r="H14" t="s">
        <v>21</v>
      </c>
      <c r="I14">
        <v>1.44E-2</v>
      </c>
      <c r="J14" t="s">
        <v>22</v>
      </c>
      <c r="K14">
        <v>1</v>
      </c>
      <c r="L14">
        <v>3932</v>
      </c>
      <c r="M14">
        <v>43.287103939279646</v>
      </c>
      <c r="N14" t="s">
        <v>21</v>
      </c>
      <c r="P14" t="s">
        <v>338</v>
      </c>
      <c r="R14" t="s">
        <v>22</v>
      </c>
    </row>
    <row r="15" spans="1:20" x14ac:dyDescent="0.4">
      <c r="A15" t="s">
        <v>61</v>
      </c>
      <c r="B15" t="s">
        <v>62</v>
      </c>
      <c r="C15" t="s">
        <v>16</v>
      </c>
      <c r="E15">
        <v>51199.800000000032</v>
      </c>
      <c r="F15" t="s">
        <v>17</v>
      </c>
      <c r="G15">
        <v>46.1</v>
      </c>
      <c r="H15" t="s">
        <v>21</v>
      </c>
      <c r="I15">
        <v>1.44E-2</v>
      </c>
      <c r="J15" t="s">
        <v>22</v>
      </c>
      <c r="K15">
        <v>1</v>
      </c>
      <c r="L15">
        <v>78766</v>
      </c>
      <c r="M15">
        <v>29.136601781731546</v>
      </c>
      <c r="N15" t="s">
        <v>21</v>
      </c>
      <c r="P15" t="s">
        <v>338</v>
      </c>
      <c r="R15" t="s">
        <v>22</v>
      </c>
    </row>
    <row r="16" spans="1:20" x14ac:dyDescent="0.4">
      <c r="A16" t="s">
        <v>64</v>
      </c>
      <c r="B16" t="s">
        <v>65</v>
      </c>
      <c r="C16" t="s">
        <v>16</v>
      </c>
      <c r="E16">
        <v>8878.9000000000033</v>
      </c>
      <c r="F16" t="s">
        <v>17</v>
      </c>
      <c r="G16">
        <v>46.1</v>
      </c>
      <c r="H16" t="s">
        <v>21</v>
      </c>
      <c r="I16">
        <v>1.44E-2</v>
      </c>
      <c r="J16" t="s">
        <v>22</v>
      </c>
      <c r="K16">
        <v>1</v>
      </c>
      <c r="L16">
        <v>20436</v>
      </c>
      <c r="M16">
        <v>43.593370106507351</v>
      </c>
      <c r="N16" t="s">
        <v>21</v>
      </c>
      <c r="P16" t="s">
        <v>338</v>
      </c>
      <c r="R16" t="s">
        <v>22</v>
      </c>
    </row>
    <row r="17" spans="1:18" x14ac:dyDescent="0.4">
      <c r="A17" t="s">
        <v>68</v>
      </c>
      <c r="B17" t="s">
        <v>69</v>
      </c>
      <c r="C17" t="s">
        <v>16</v>
      </c>
      <c r="E17">
        <v>2610.7000000000012</v>
      </c>
      <c r="F17" t="s">
        <v>17</v>
      </c>
      <c r="G17">
        <v>46.1</v>
      </c>
      <c r="H17" t="s">
        <v>21</v>
      </c>
      <c r="I17">
        <v>1.44E-2</v>
      </c>
      <c r="J17" t="s">
        <v>22</v>
      </c>
      <c r="K17">
        <v>1</v>
      </c>
      <c r="L17">
        <v>6032</v>
      </c>
      <c r="M17">
        <v>43.766018764755195</v>
      </c>
      <c r="N17" t="s">
        <v>21</v>
      </c>
      <c r="P17" t="s">
        <v>338</v>
      </c>
      <c r="R17" t="s">
        <v>22</v>
      </c>
    </row>
    <row r="18" spans="1:18" x14ac:dyDescent="0.4">
      <c r="A18" t="s">
        <v>70</v>
      </c>
      <c r="B18" t="s">
        <v>71</v>
      </c>
      <c r="C18" t="s">
        <v>16</v>
      </c>
      <c r="E18">
        <v>33.700000000000003</v>
      </c>
      <c r="F18" t="s">
        <v>17</v>
      </c>
      <c r="G18">
        <v>46.1</v>
      </c>
      <c r="H18" t="s">
        <v>21</v>
      </c>
      <c r="I18">
        <v>1.44E-2</v>
      </c>
      <c r="J18" t="s">
        <v>22</v>
      </c>
      <c r="K18">
        <v>1</v>
      </c>
      <c r="L18">
        <v>85</v>
      </c>
      <c r="M18">
        <v>47.928067497881273</v>
      </c>
      <c r="N18" t="s">
        <v>21</v>
      </c>
      <c r="P18" t="s">
        <v>338</v>
      </c>
      <c r="R18" t="s">
        <v>22</v>
      </c>
    </row>
    <row r="19" spans="1:18" x14ac:dyDescent="0.4">
      <c r="A19" t="s">
        <v>73</v>
      </c>
      <c r="B19" t="s">
        <v>74</v>
      </c>
      <c r="C19" t="s">
        <v>16</v>
      </c>
      <c r="E19">
        <v>23538.200000000012</v>
      </c>
      <c r="F19" t="s">
        <v>17</v>
      </c>
      <c r="G19">
        <v>46.1</v>
      </c>
      <c r="H19" t="s">
        <v>21</v>
      </c>
      <c r="I19">
        <v>1.44E-2</v>
      </c>
      <c r="J19" t="s">
        <v>22</v>
      </c>
      <c r="K19">
        <v>1</v>
      </c>
      <c r="L19">
        <v>54351</v>
      </c>
      <c r="M19">
        <v>43.732579557333594</v>
      </c>
      <c r="N19" t="s">
        <v>21</v>
      </c>
      <c r="P19" t="s">
        <v>338</v>
      </c>
      <c r="R19" t="s">
        <v>22</v>
      </c>
    </row>
    <row r="20" spans="1:18" x14ac:dyDescent="0.4">
      <c r="A20" t="s">
        <v>75</v>
      </c>
      <c r="B20" t="s">
        <v>76</v>
      </c>
      <c r="C20" t="s">
        <v>16</v>
      </c>
      <c r="E20">
        <v>1550.3000000000004</v>
      </c>
      <c r="F20" t="s">
        <v>17</v>
      </c>
      <c r="G20">
        <v>46.1</v>
      </c>
      <c r="H20" t="s">
        <v>21</v>
      </c>
      <c r="I20">
        <v>1.44E-2</v>
      </c>
      <c r="J20" t="s">
        <v>22</v>
      </c>
      <c r="K20">
        <v>1</v>
      </c>
      <c r="L20">
        <v>3754</v>
      </c>
      <c r="M20">
        <v>45.866283861060701</v>
      </c>
      <c r="N20" t="s">
        <v>21</v>
      </c>
      <c r="P20" t="s">
        <v>338</v>
      </c>
      <c r="R20" t="s">
        <v>22</v>
      </c>
    </row>
    <row r="21" spans="1:18" x14ac:dyDescent="0.4">
      <c r="A21" t="s">
        <v>78</v>
      </c>
      <c r="B21" t="s">
        <v>79</v>
      </c>
      <c r="C21" t="s">
        <v>16</v>
      </c>
      <c r="E21">
        <v>245.6</v>
      </c>
      <c r="F21" t="s">
        <v>17</v>
      </c>
      <c r="G21">
        <v>46.1</v>
      </c>
      <c r="H21" t="s">
        <v>21</v>
      </c>
      <c r="I21">
        <v>1.44E-2</v>
      </c>
      <c r="J21" t="s">
        <v>22</v>
      </c>
      <c r="K21">
        <v>1</v>
      </c>
      <c r="L21">
        <v>562</v>
      </c>
      <c r="M21">
        <v>43.38223290740757</v>
      </c>
      <c r="N21" t="s">
        <v>21</v>
      </c>
      <c r="P21" t="s">
        <v>338</v>
      </c>
      <c r="R21" t="s">
        <v>22</v>
      </c>
    </row>
    <row r="22" spans="1:18" x14ac:dyDescent="0.4">
      <c r="A22" t="s">
        <v>80</v>
      </c>
      <c r="B22" t="s">
        <v>81</v>
      </c>
      <c r="C22" t="s">
        <v>16</v>
      </c>
      <c r="E22">
        <v>1141.2000000000003</v>
      </c>
      <c r="F22" t="s">
        <v>17</v>
      </c>
      <c r="G22">
        <v>46.1</v>
      </c>
      <c r="H22" t="s">
        <v>21</v>
      </c>
      <c r="I22">
        <v>1.44E-2</v>
      </c>
      <c r="J22" t="s">
        <v>22</v>
      </c>
      <c r="K22">
        <v>1</v>
      </c>
      <c r="L22">
        <v>2645</v>
      </c>
      <c r="M22">
        <v>43.906016813711055</v>
      </c>
      <c r="N22" t="s">
        <v>21</v>
      </c>
      <c r="P22" t="s">
        <v>338</v>
      </c>
      <c r="R22" t="s">
        <v>22</v>
      </c>
    </row>
    <row r="23" spans="1:18" x14ac:dyDescent="0.4">
      <c r="A23" t="s">
        <v>83</v>
      </c>
      <c r="B23" t="s">
        <v>84</v>
      </c>
      <c r="C23" t="s">
        <v>16</v>
      </c>
      <c r="E23">
        <v>566.79999999999905</v>
      </c>
      <c r="F23" t="s">
        <v>17</v>
      </c>
      <c r="G23">
        <v>46.1</v>
      </c>
      <c r="H23" t="s">
        <v>21</v>
      </c>
      <c r="I23">
        <v>1.44E-2</v>
      </c>
      <c r="J23" t="s">
        <v>22</v>
      </c>
      <c r="K23">
        <v>1</v>
      </c>
      <c r="L23">
        <v>1313</v>
      </c>
      <c r="M23">
        <v>43.906016813711055</v>
      </c>
      <c r="N23" t="s">
        <v>21</v>
      </c>
      <c r="P23" t="s">
        <v>338</v>
      </c>
      <c r="R23" t="s">
        <v>22</v>
      </c>
    </row>
    <row r="24" spans="1:18" x14ac:dyDescent="0.4">
      <c r="A24" t="s">
        <v>85</v>
      </c>
      <c r="B24" t="s">
        <v>86</v>
      </c>
      <c r="C24" t="s">
        <v>16</v>
      </c>
      <c r="E24">
        <v>12211.100000000002</v>
      </c>
      <c r="F24" t="s">
        <v>17</v>
      </c>
      <c r="G24">
        <v>46.1</v>
      </c>
      <c r="H24" t="s">
        <v>21</v>
      </c>
      <c r="I24">
        <v>1.44E-2</v>
      </c>
      <c r="J24" t="s">
        <v>22</v>
      </c>
      <c r="K24">
        <v>1</v>
      </c>
      <c r="L24">
        <v>23479</v>
      </c>
      <c r="M24">
        <v>36.41699448530283</v>
      </c>
      <c r="N24" t="s">
        <v>21</v>
      </c>
      <c r="P24" t="s">
        <v>338</v>
      </c>
      <c r="R24" t="s">
        <v>22</v>
      </c>
    </row>
    <row r="25" spans="1:18" x14ac:dyDescent="0.4">
      <c r="A25" t="s">
        <v>89</v>
      </c>
      <c r="B25" t="s">
        <v>90</v>
      </c>
      <c r="C25" t="s">
        <v>16</v>
      </c>
      <c r="E25">
        <v>11994.099999999995</v>
      </c>
      <c r="F25" t="s">
        <v>17</v>
      </c>
      <c r="G25">
        <v>46.1</v>
      </c>
      <c r="H25" t="s">
        <v>21</v>
      </c>
      <c r="I25">
        <v>1.44E-2</v>
      </c>
      <c r="J25" t="s">
        <v>22</v>
      </c>
      <c r="K25">
        <v>1</v>
      </c>
      <c r="L25">
        <v>23062</v>
      </c>
      <c r="M25">
        <v>36.41699448530283</v>
      </c>
      <c r="N25" t="s">
        <v>21</v>
      </c>
      <c r="P25" t="s">
        <v>338</v>
      </c>
      <c r="R25" t="s">
        <v>22</v>
      </c>
    </row>
    <row r="26" spans="1:18" x14ac:dyDescent="0.4">
      <c r="A26" t="s">
        <v>91</v>
      </c>
      <c r="B26" t="s">
        <v>92</v>
      </c>
      <c r="C26" t="s">
        <v>16</v>
      </c>
      <c r="E26">
        <v>5022.0999999999995</v>
      </c>
      <c r="F26" t="s">
        <v>17</v>
      </c>
      <c r="G26">
        <v>46.1</v>
      </c>
      <c r="H26" t="s">
        <v>21</v>
      </c>
      <c r="I26">
        <v>1.44E-2</v>
      </c>
      <c r="J26" t="s">
        <v>22</v>
      </c>
      <c r="K26">
        <v>1</v>
      </c>
      <c r="L26">
        <v>9650</v>
      </c>
      <c r="M26">
        <v>36.394502472498289</v>
      </c>
      <c r="N26" t="s">
        <v>21</v>
      </c>
      <c r="P26" t="s">
        <v>338</v>
      </c>
      <c r="R26" t="s">
        <v>22</v>
      </c>
    </row>
    <row r="27" spans="1:18" x14ac:dyDescent="0.4">
      <c r="A27" t="s">
        <v>94</v>
      </c>
      <c r="B27" t="s">
        <v>95</v>
      </c>
      <c r="C27" t="s">
        <v>16</v>
      </c>
      <c r="E27">
        <v>1892.6999999999998</v>
      </c>
      <c r="F27" t="s">
        <v>17</v>
      </c>
      <c r="G27">
        <v>46.1</v>
      </c>
      <c r="H27" t="s">
        <v>21</v>
      </c>
      <c r="I27">
        <v>1.44E-2</v>
      </c>
      <c r="J27" t="s">
        <v>22</v>
      </c>
      <c r="K27">
        <v>1</v>
      </c>
      <c r="L27">
        <v>3634</v>
      </c>
      <c r="M27">
        <v>36.368477401292324</v>
      </c>
      <c r="N27" t="s">
        <v>21</v>
      </c>
      <c r="P27" t="s">
        <v>338</v>
      </c>
      <c r="R27" t="s">
        <v>22</v>
      </c>
    </row>
    <row r="28" spans="1:18" x14ac:dyDescent="0.4">
      <c r="A28" t="s">
        <v>96</v>
      </c>
      <c r="B28" t="s">
        <v>97</v>
      </c>
      <c r="C28" t="s">
        <v>16</v>
      </c>
      <c r="E28">
        <v>1468.2999999999993</v>
      </c>
      <c r="F28" t="s">
        <v>17</v>
      </c>
      <c r="G28">
        <v>46.1</v>
      </c>
      <c r="H28" t="s">
        <v>21</v>
      </c>
      <c r="I28">
        <v>1.44E-2</v>
      </c>
      <c r="J28" t="s">
        <v>22</v>
      </c>
      <c r="K28">
        <v>1</v>
      </c>
      <c r="L28">
        <v>2819</v>
      </c>
      <c r="M28">
        <v>36.368477401292324</v>
      </c>
      <c r="N28" t="s">
        <v>21</v>
      </c>
      <c r="P28" t="s">
        <v>338</v>
      </c>
      <c r="R28" t="s">
        <v>22</v>
      </c>
    </row>
    <row r="29" spans="1:18" x14ac:dyDescent="0.4">
      <c r="A29" t="s">
        <v>100</v>
      </c>
      <c r="B29" t="s">
        <v>101</v>
      </c>
      <c r="C29" t="s">
        <v>16</v>
      </c>
      <c r="E29">
        <v>7201.9999999999991</v>
      </c>
      <c r="F29" t="s">
        <v>17</v>
      </c>
      <c r="G29">
        <v>46.1</v>
      </c>
      <c r="H29" t="s">
        <v>21</v>
      </c>
      <c r="I29">
        <v>1.44E-2</v>
      </c>
      <c r="J29" t="s">
        <v>22</v>
      </c>
      <c r="K29">
        <v>1</v>
      </c>
      <c r="L29">
        <v>13829</v>
      </c>
      <c r="M29">
        <v>36.368477401292324</v>
      </c>
      <c r="N29" t="s">
        <v>21</v>
      </c>
      <c r="P29" t="s">
        <v>338</v>
      </c>
      <c r="R29" t="s">
        <v>22</v>
      </c>
    </row>
    <row r="30" spans="1:18" x14ac:dyDescent="0.4">
      <c r="A30" t="s">
        <v>102</v>
      </c>
      <c r="B30" t="s">
        <v>103</v>
      </c>
      <c r="C30" t="s">
        <v>16</v>
      </c>
      <c r="E30">
        <v>3491.3999999999992</v>
      </c>
      <c r="F30" t="s">
        <v>17</v>
      </c>
      <c r="G30">
        <v>46.1</v>
      </c>
      <c r="H30" t="s">
        <v>21</v>
      </c>
      <c r="I30">
        <v>1.44E-2</v>
      </c>
      <c r="J30" t="s">
        <v>22</v>
      </c>
      <c r="K30">
        <v>1</v>
      </c>
      <c r="L30">
        <v>6704</v>
      </c>
      <c r="M30">
        <v>36.368477401292324</v>
      </c>
      <c r="N30" t="s">
        <v>21</v>
      </c>
      <c r="P30" t="s">
        <v>338</v>
      </c>
      <c r="R30" t="s">
        <v>22</v>
      </c>
    </row>
    <row r="31" spans="1:18" x14ac:dyDescent="0.4">
      <c r="A31" t="s">
        <v>104</v>
      </c>
      <c r="B31" t="s">
        <v>105</v>
      </c>
      <c r="C31" t="s">
        <v>16</v>
      </c>
      <c r="E31">
        <v>3930.5000000000018</v>
      </c>
      <c r="F31" t="s">
        <v>17</v>
      </c>
      <c r="G31">
        <v>46.1</v>
      </c>
      <c r="H31" t="s">
        <v>21</v>
      </c>
      <c r="I31">
        <v>1.44E-2</v>
      </c>
      <c r="J31" t="s">
        <v>22</v>
      </c>
      <c r="K31">
        <v>1</v>
      </c>
      <c r="L31">
        <v>7547</v>
      </c>
      <c r="M31">
        <v>36.368477401292324</v>
      </c>
      <c r="N31" t="s">
        <v>21</v>
      </c>
      <c r="P31" t="s">
        <v>338</v>
      </c>
      <c r="R31" t="s">
        <v>22</v>
      </c>
    </row>
    <row r="32" spans="1:18" x14ac:dyDescent="0.4">
      <c r="A32" t="s">
        <v>106</v>
      </c>
      <c r="B32" t="s">
        <v>107</v>
      </c>
      <c r="C32" t="s">
        <v>16</v>
      </c>
      <c r="E32">
        <v>6016.1</v>
      </c>
      <c r="F32" t="s">
        <v>17</v>
      </c>
      <c r="G32">
        <v>46.1</v>
      </c>
      <c r="H32" t="s">
        <v>21</v>
      </c>
      <c r="I32">
        <v>1.44E-2</v>
      </c>
      <c r="J32" t="s">
        <v>22</v>
      </c>
      <c r="K32">
        <v>1</v>
      </c>
      <c r="L32">
        <v>11613</v>
      </c>
      <c r="M32">
        <v>36.561768745805594</v>
      </c>
      <c r="N32" t="s">
        <v>21</v>
      </c>
      <c r="P32" t="s">
        <v>338</v>
      </c>
      <c r="R32" t="s">
        <v>22</v>
      </c>
    </row>
    <row r="33" spans="1:18" x14ac:dyDescent="0.4">
      <c r="A33" t="s">
        <v>109</v>
      </c>
      <c r="B33" t="s">
        <v>110</v>
      </c>
      <c r="C33" t="s">
        <v>16</v>
      </c>
      <c r="E33">
        <v>904.1</v>
      </c>
      <c r="F33" t="s">
        <v>17</v>
      </c>
      <c r="G33">
        <v>46.1</v>
      </c>
      <c r="H33" t="s">
        <v>21</v>
      </c>
      <c r="I33">
        <v>1.44E-2</v>
      </c>
      <c r="J33" t="s">
        <v>22</v>
      </c>
      <c r="K33">
        <v>1</v>
      </c>
      <c r="L33">
        <v>1715</v>
      </c>
      <c r="M33">
        <v>35.930751569509695</v>
      </c>
      <c r="N33" t="s">
        <v>21</v>
      </c>
      <c r="P33" t="s">
        <v>338</v>
      </c>
      <c r="R33" t="s">
        <v>22</v>
      </c>
    </row>
    <row r="34" spans="1:18" x14ac:dyDescent="0.4">
      <c r="A34" t="s">
        <v>111</v>
      </c>
      <c r="B34" t="s">
        <v>112</v>
      </c>
      <c r="C34" t="s">
        <v>16</v>
      </c>
      <c r="E34">
        <v>600.49999999999955</v>
      </c>
      <c r="F34" t="s">
        <v>17</v>
      </c>
      <c r="G34">
        <v>46.1</v>
      </c>
      <c r="H34" t="s">
        <v>21</v>
      </c>
      <c r="I34">
        <v>1.44E-2</v>
      </c>
      <c r="J34" t="s">
        <v>22</v>
      </c>
      <c r="K34">
        <v>1</v>
      </c>
      <c r="L34">
        <v>1139</v>
      </c>
      <c r="M34">
        <v>35.930751569509695</v>
      </c>
      <c r="N34" t="s">
        <v>21</v>
      </c>
      <c r="P34" t="s">
        <v>338</v>
      </c>
      <c r="R34" t="s">
        <v>22</v>
      </c>
    </row>
    <row r="35" spans="1:18" x14ac:dyDescent="0.4">
      <c r="A35" t="s">
        <v>113</v>
      </c>
      <c r="B35" t="s">
        <v>114</v>
      </c>
      <c r="C35" t="s">
        <v>16</v>
      </c>
      <c r="E35">
        <v>1049.9000000000001</v>
      </c>
      <c r="F35" t="s">
        <v>17</v>
      </c>
      <c r="G35">
        <v>46.1</v>
      </c>
      <c r="H35" t="s">
        <v>21</v>
      </c>
      <c r="I35">
        <v>1.44E-2</v>
      </c>
      <c r="J35" t="s">
        <v>22</v>
      </c>
      <c r="K35">
        <v>1</v>
      </c>
      <c r="L35">
        <v>2036</v>
      </c>
      <c r="M35">
        <v>36.730210783832369</v>
      </c>
      <c r="N35" t="s">
        <v>21</v>
      </c>
      <c r="P35" t="s">
        <v>338</v>
      </c>
      <c r="R35" t="s">
        <v>22</v>
      </c>
    </row>
    <row r="36" spans="1:18" x14ac:dyDescent="0.4">
      <c r="A36" t="s">
        <v>115</v>
      </c>
      <c r="B36" t="s">
        <v>116</v>
      </c>
      <c r="C36" t="s">
        <v>16</v>
      </c>
      <c r="E36">
        <v>297.20000000000016</v>
      </c>
      <c r="F36" t="s">
        <v>17</v>
      </c>
      <c r="G36">
        <v>46.1</v>
      </c>
      <c r="H36" t="s">
        <v>21</v>
      </c>
      <c r="I36">
        <v>1.44E-2</v>
      </c>
      <c r="J36" t="s">
        <v>22</v>
      </c>
      <c r="K36">
        <v>1</v>
      </c>
      <c r="L36">
        <v>576</v>
      </c>
      <c r="M36">
        <v>36.730210783832369</v>
      </c>
      <c r="N36" t="s">
        <v>21</v>
      </c>
      <c r="P36" t="s">
        <v>338</v>
      </c>
      <c r="R36" t="s">
        <v>22</v>
      </c>
    </row>
    <row r="37" spans="1:18" x14ac:dyDescent="0.4">
      <c r="A37" t="s">
        <v>120</v>
      </c>
      <c r="B37" t="s">
        <v>121</v>
      </c>
      <c r="C37" t="s">
        <v>16</v>
      </c>
      <c r="E37">
        <v>125.40000000000018</v>
      </c>
      <c r="F37" t="s">
        <v>17</v>
      </c>
      <c r="G37">
        <v>46.1</v>
      </c>
      <c r="H37" t="s">
        <v>21</v>
      </c>
      <c r="I37">
        <v>1.44E-2</v>
      </c>
      <c r="J37" t="s">
        <v>22</v>
      </c>
      <c r="K37">
        <v>1</v>
      </c>
      <c r="L37">
        <v>243</v>
      </c>
      <c r="M37">
        <v>36.730210783832369</v>
      </c>
      <c r="N37" t="s">
        <v>21</v>
      </c>
      <c r="P37" t="s">
        <v>338</v>
      </c>
      <c r="R37" t="s">
        <v>22</v>
      </c>
    </row>
    <row r="38" spans="1:18" x14ac:dyDescent="0.4">
      <c r="A38" t="s">
        <v>123</v>
      </c>
      <c r="B38" t="s">
        <v>124</v>
      </c>
      <c r="C38" t="s">
        <v>16</v>
      </c>
      <c r="E38">
        <v>1454.5000000000002</v>
      </c>
      <c r="F38" t="s">
        <v>17</v>
      </c>
      <c r="G38">
        <v>46.1</v>
      </c>
      <c r="H38" t="s">
        <v>21</v>
      </c>
      <c r="I38">
        <v>1.44E-2</v>
      </c>
      <c r="J38" t="s">
        <v>22</v>
      </c>
      <c r="K38">
        <v>1</v>
      </c>
      <c r="L38">
        <v>2773</v>
      </c>
      <c r="M38">
        <v>36.118622937735566</v>
      </c>
      <c r="N38" t="s">
        <v>21</v>
      </c>
      <c r="P38" t="s">
        <v>338</v>
      </c>
      <c r="R38" t="s">
        <v>22</v>
      </c>
    </row>
    <row r="39" spans="1:18" x14ac:dyDescent="0.4">
      <c r="A39" t="s">
        <v>127</v>
      </c>
      <c r="B39" t="s">
        <v>128</v>
      </c>
      <c r="C39" t="s">
        <v>16</v>
      </c>
      <c r="E39">
        <v>24325.7</v>
      </c>
      <c r="F39" t="s">
        <v>17</v>
      </c>
      <c r="G39">
        <v>46.1</v>
      </c>
      <c r="H39" t="s">
        <v>21</v>
      </c>
      <c r="I39">
        <v>1.44E-2</v>
      </c>
      <c r="J39" t="s">
        <v>22</v>
      </c>
      <c r="K39">
        <v>1</v>
      </c>
      <c r="L39">
        <v>55481</v>
      </c>
      <c r="M39">
        <v>43.196608415051323</v>
      </c>
      <c r="N39" t="s">
        <v>21</v>
      </c>
      <c r="P39" t="s">
        <v>338</v>
      </c>
      <c r="R39" t="s">
        <v>22</v>
      </c>
    </row>
    <row r="40" spans="1:18" x14ac:dyDescent="0.4">
      <c r="A40" t="s">
        <v>131</v>
      </c>
      <c r="B40" t="s">
        <v>132</v>
      </c>
      <c r="C40" t="s">
        <v>16</v>
      </c>
      <c r="E40">
        <v>2562.1999999999998</v>
      </c>
      <c r="F40" t="s">
        <v>17</v>
      </c>
      <c r="G40">
        <v>46.1</v>
      </c>
      <c r="H40" t="s">
        <v>21</v>
      </c>
      <c r="I40">
        <v>1.44E-2</v>
      </c>
      <c r="J40" t="s">
        <v>22</v>
      </c>
      <c r="K40">
        <v>1</v>
      </c>
      <c r="L40">
        <v>6025</v>
      </c>
      <c r="M40">
        <v>44.537429246019357</v>
      </c>
      <c r="N40" t="s">
        <v>21</v>
      </c>
      <c r="P40" t="s">
        <v>338</v>
      </c>
      <c r="R40" t="s">
        <v>22</v>
      </c>
    </row>
    <row r="41" spans="1:18" x14ac:dyDescent="0.4">
      <c r="A41" t="s">
        <v>137</v>
      </c>
      <c r="B41" t="s">
        <v>138</v>
      </c>
      <c r="C41" t="s">
        <v>16</v>
      </c>
      <c r="E41">
        <v>1452.8000000000002</v>
      </c>
      <c r="F41" t="s">
        <v>17</v>
      </c>
      <c r="G41">
        <v>46.1</v>
      </c>
      <c r="H41" t="s">
        <v>21</v>
      </c>
      <c r="I41">
        <v>1.44E-2</v>
      </c>
      <c r="J41" t="s">
        <v>22</v>
      </c>
      <c r="K41">
        <v>1</v>
      </c>
      <c r="L41">
        <v>3251</v>
      </c>
      <c r="M41">
        <v>42.39227340657029</v>
      </c>
      <c r="N41" t="s">
        <v>21</v>
      </c>
      <c r="P41" t="s">
        <v>338</v>
      </c>
      <c r="R41" t="s">
        <v>22</v>
      </c>
    </row>
    <row r="42" spans="1:18" x14ac:dyDescent="0.4">
      <c r="A42" t="s">
        <v>139</v>
      </c>
      <c r="B42" t="s">
        <v>140</v>
      </c>
      <c r="C42" t="s">
        <v>23</v>
      </c>
      <c r="E42">
        <v>548</v>
      </c>
      <c r="F42" t="s">
        <v>141</v>
      </c>
      <c r="G42">
        <v>38.9</v>
      </c>
      <c r="H42" t="s">
        <v>142</v>
      </c>
      <c r="I42">
        <v>1.9300000000000001E-2</v>
      </c>
      <c r="J42" t="s">
        <v>22</v>
      </c>
      <c r="K42">
        <v>1</v>
      </c>
      <c r="L42">
        <v>1508</v>
      </c>
      <c r="N42" t="s">
        <v>142</v>
      </c>
      <c r="R42" t="s">
        <v>22</v>
      </c>
    </row>
    <row r="43" spans="1:18" x14ac:dyDescent="0.4">
      <c r="A43" t="s">
        <v>144</v>
      </c>
      <c r="B43" t="s">
        <v>140</v>
      </c>
      <c r="C43" t="s">
        <v>27</v>
      </c>
      <c r="E43">
        <v>7584</v>
      </c>
      <c r="F43" t="s">
        <v>141</v>
      </c>
      <c r="G43">
        <v>41.8</v>
      </c>
      <c r="H43" t="s">
        <v>142</v>
      </c>
      <c r="I43">
        <v>2.0199999999999999E-2</v>
      </c>
      <c r="J43" t="s">
        <v>22</v>
      </c>
      <c r="K43">
        <v>1</v>
      </c>
      <c r="L43">
        <v>23479</v>
      </c>
      <c r="N43" t="s">
        <v>142</v>
      </c>
      <c r="R43" t="s">
        <v>22</v>
      </c>
    </row>
    <row r="44" spans="1:18" x14ac:dyDescent="0.4">
      <c r="A44" t="s">
        <v>145</v>
      </c>
      <c r="B44" t="s">
        <v>146</v>
      </c>
      <c r="C44" t="s">
        <v>23</v>
      </c>
      <c r="E44">
        <v>1038</v>
      </c>
      <c r="F44" t="s">
        <v>141</v>
      </c>
      <c r="G44">
        <v>38.9</v>
      </c>
      <c r="H44" t="s">
        <v>142</v>
      </c>
      <c r="I44">
        <v>1.9300000000000001E-2</v>
      </c>
      <c r="J44" t="s">
        <v>22</v>
      </c>
      <c r="K44">
        <v>1</v>
      </c>
      <c r="L44">
        <v>2857</v>
      </c>
      <c r="N44" t="s">
        <v>142</v>
      </c>
      <c r="R44" t="s">
        <v>22</v>
      </c>
    </row>
    <row r="45" spans="1:18" x14ac:dyDescent="0.4">
      <c r="A45" t="s">
        <v>148</v>
      </c>
      <c r="B45" t="s">
        <v>146</v>
      </c>
      <c r="C45" t="s">
        <v>27</v>
      </c>
      <c r="E45">
        <v>28502</v>
      </c>
      <c r="F45" t="s">
        <v>141</v>
      </c>
      <c r="G45">
        <v>41.8</v>
      </c>
      <c r="H45" t="s">
        <v>142</v>
      </c>
      <c r="I45">
        <v>2.0199999999999999E-2</v>
      </c>
      <c r="J45" t="s">
        <v>22</v>
      </c>
      <c r="K45">
        <v>1</v>
      </c>
      <c r="L45">
        <v>88241</v>
      </c>
      <c r="N45" t="s">
        <v>142</v>
      </c>
      <c r="R45" t="s">
        <v>22</v>
      </c>
    </row>
    <row r="46" spans="1:18" x14ac:dyDescent="0.4">
      <c r="A46" t="s">
        <v>149</v>
      </c>
      <c r="B46" t="s">
        <v>150</v>
      </c>
      <c r="C46" t="s">
        <v>23</v>
      </c>
      <c r="E46">
        <v>629</v>
      </c>
      <c r="F46" t="s">
        <v>141</v>
      </c>
      <c r="G46">
        <v>38.9</v>
      </c>
      <c r="H46" t="s">
        <v>142</v>
      </c>
      <c r="I46">
        <v>1.9300000000000001E-2</v>
      </c>
      <c r="J46" t="s">
        <v>22</v>
      </c>
      <c r="K46">
        <v>1</v>
      </c>
      <c r="L46">
        <v>1731</v>
      </c>
      <c r="N46" t="s">
        <v>142</v>
      </c>
      <c r="R46" t="s">
        <v>22</v>
      </c>
    </row>
    <row r="47" spans="1:18" x14ac:dyDescent="0.4">
      <c r="A47" t="s">
        <v>156</v>
      </c>
      <c r="B47" t="s">
        <v>150</v>
      </c>
      <c r="C47" t="s">
        <v>27</v>
      </c>
      <c r="E47">
        <v>77034</v>
      </c>
      <c r="F47" t="s">
        <v>141</v>
      </c>
      <c r="G47">
        <v>41.8</v>
      </c>
      <c r="H47" t="s">
        <v>142</v>
      </c>
      <c r="I47">
        <v>2.0199999999999999E-2</v>
      </c>
      <c r="J47" t="s">
        <v>22</v>
      </c>
      <c r="K47">
        <v>1</v>
      </c>
      <c r="L47">
        <v>238496</v>
      </c>
      <c r="N47" t="s">
        <v>142</v>
      </c>
      <c r="R47" t="s">
        <v>22</v>
      </c>
    </row>
    <row r="48" spans="1:18" x14ac:dyDescent="0.4">
      <c r="A48" t="s">
        <v>158</v>
      </c>
      <c r="B48" t="s">
        <v>159</v>
      </c>
      <c r="C48" t="s">
        <v>23</v>
      </c>
      <c r="E48">
        <v>584</v>
      </c>
      <c r="F48" t="s">
        <v>141</v>
      </c>
      <c r="G48">
        <v>38.9</v>
      </c>
      <c r="H48" t="s">
        <v>142</v>
      </c>
      <c r="I48">
        <v>1.9300000000000001E-2</v>
      </c>
      <c r="J48" t="s">
        <v>22</v>
      </c>
      <c r="K48">
        <v>1</v>
      </c>
      <c r="L48">
        <v>1607</v>
      </c>
      <c r="N48" t="s">
        <v>142</v>
      </c>
      <c r="R48" t="s">
        <v>22</v>
      </c>
    </row>
    <row r="49" spans="1:18" x14ac:dyDescent="0.4">
      <c r="A49" t="s">
        <v>160</v>
      </c>
      <c r="B49" t="s">
        <v>159</v>
      </c>
      <c r="C49" t="s">
        <v>27</v>
      </c>
      <c r="E49">
        <v>10260</v>
      </c>
      <c r="F49" t="s">
        <v>141</v>
      </c>
      <c r="G49">
        <v>41.8</v>
      </c>
      <c r="H49" t="s">
        <v>142</v>
      </c>
      <c r="I49">
        <v>2.0199999999999999E-2</v>
      </c>
      <c r="J49" t="s">
        <v>22</v>
      </c>
      <c r="K49">
        <v>1</v>
      </c>
      <c r="L49">
        <v>31764</v>
      </c>
      <c r="N49" t="s">
        <v>142</v>
      </c>
      <c r="R49" t="s">
        <v>22</v>
      </c>
    </row>
    <row r="50" spans="1:18" x14ac:dyDescent="0.4">
      <c r="A50" t="s">
        <v>163</v>
      </c>
      <c r="B50" t="s">
        <v>163</v>
      </c>
      <c r="C50" t="s">
        <v>39</v>
      </c>
      <c r="E50">
        <v>187718</v>
      </c>
      <c r="F50" t="s">
        <v>164</v>
      </c>
      <c r="G50">
        <v>26.1</v>
      </c>
      <c r="H50" t="s">
        <v>165</v>
      </c>
      <c r="I50">
        <v>2.4299999999999999E-2</v>
      </c>
      <c r="J50" t="s">
        <v>22</v>
      </c>
      <c r="K50">
        <v>1</v>
      </c>
      <c r="L50">
        <v>436540</v>
      </c>
      <c r="N50" t="s">
        <v>165</v>
      </c>
      <c r="R50" t="s">
        <v>22</v>
      </c>
    </row>
    <row r="51" spans="1:18" x14ac:dyDescent="0.4">
      <c r="A51" t="s">
        <v>167</v>
      </c>
      <c r="B51" t="s">
        <v>168</v>
      </c>
      <c r="C51" t="s">
        <v>23</v>
      </c>
      <c r="E51">
        <v>0</v>
      </c>
      <c r="F51" t="s">
        <v>141</v>
      </c>
      <c r="G51">
        <v>38.9</v>
      </c>
      <c r="H51" t="s">
        <v>142</v>
      </c>
      <c r="I51">
        <v>1.9300000000000001E-2</v>
      </c>
      <c r="J51" t="s">
        <v>22</v>
      </c>
      <c r="K51">
        <v>1</v>
      </c>
      <c r="L51">
        <v>0</v>
      </c>
      <c r="N51" t="s">
        <v>142</v>
      </c>
      <c r="R51" t="s">
        <v>22</v>
      </c>
    </row>
    <row r="52" spans="1:18" x14ac:dyDescent="0.4">
      <c r="A52" t="s">
        <v>343</v>
      </c>
      <c r="B52" t="s">
        <v>169</v>
      </c>
      <c r="D52" t="s">
        <v>339</v>
      </c>
      <c r="E52">
        <v>36917230</v>
      </c>
      <c r="F52" t="s">
        <v>344</v>
      </c>
      <c r="G52" t="s">
        <v>29</v>
      </c>
      <c r="H52" t="s">
        <v>29</v>
      </c>
      <c r="I52">
        <v>4.95E-4</v>
      </c>
      <c r="J52" t="s">
        <v>170</v>
      </c>
      <c r="K52">
        <v>1</v>
      </c>
      <c r="L52">
        <v>18274</v>
      </c>
      <c r="N52" t="s">
        <v>29</v>
      </c>
      <c r="R52" t="s">
        <v>170</v>
      </c>
    </row>
    <row r="53" spans="1:18" x14ac:dyDescent="0.4">
      <c r="A53" t="s">
        <v>175</v>
      </c>
      <c r="B53" t="s">
        <v>176</v>
      </c>
      <c r="E53">
        <v>125024</v>
      </c>
      <c r="F53" t="s">
        <v>342</v>
      </c>
      <c r="G53" t="s">
        <v>29</v>
      </c>
      <c r="H53" t="s">
        <v>29</v>
      </c>
      <c r="I53" t="s">
        <v>29</v>
      </c>
      <c r="J53" t="s">
        <v>29</v>
      </c>
      <c r="K53">
        <v>1</v>
      </c>
      <c r="L53">
        <v>125024</v>
      </c>
      <c r="M53">
        <v>1</v>
      </c>
      <c r="N53" t="s">
        <v>29</v>
      </c>
      <c r="Q53">
        <v>1</v>
      </c>
      <c r="R53" t="s">
        <v>179</v>
      </c>
    </row>
    <row r="54" spans="1:18" x14ac:dyDescent="0.4">
      <c r="A54" t="s">
        <v>180</v>
      </c>
      <c r="B54" t="s">
        <v>181</v>
      </c>
      <c r="C54" t="s">
        <v>45</v>
      </c>
      <c r="E54">
        <v>99217</v>
      </c>
      <c r="F54" t="s">
        <v>164</v>
      </c>
      <c r="G54">
        <v>34.1</v>
      </c>
      <c r="H54" t="s">
        <v>165</v>
      </c>
      <c r="I54">
        <v>2.4500000000000001E-2</v>
      </c>
      <c r="J54" t="s">
        <v>22</v>
      </c>
      <c r="K54">
        <v>1</v>
      </c>
      <c r="L54">
        <v>340076</v>
      </c>
      <c r="M54">
        <v>41</v>
      </c>
      <c r="N54" t="s">
        <v>165</v>
      </c>
      <c r="Q54">
        <v>2.2800000000000001E-2</v>
      </c>
      <c r="R54" t="s">
        <v>179</v>
      </c>
    </row>
    <row r="55" spans="1:18" x14ac:dyDescent="0.4">
      <c r="A55" t="s">
        <v>182</v>
      </c>
      <c r="B55" t="s">
        <v>183</v>
      </c>
      <c r="C55" t="s">
        <v>27</v>
      </c>
      <c r="E55">
        <v>46</v>
      </c>
      <c r="F55" t="s">
        <v>141</v>
      </c>
      <c r="G55">
        <v>41.8</v>
      </c>
      <c r="H55" t="s">
        <v>142</v>
      </c>
      <c r="I55">
        <v>2.0199999999999999E-2</v>
      </c>
      <c r="J55" t="s">
        <v>22</v>
      </c>
      <c r="K55">
        <v>1</v>
      </c>
      <c r="L55">
        <v>142</v>
      </c>
      <c r="N55" t="s">
        <v>142</v>
      </c>
      <c r="R55" t="s">
        <v>179</v>
      </c>
    </row>
    <row r="56" spans="1:18" x14ac:dyDescent="0.4">
      <c r="A56" t="s">
        <v>345</v>
      </c>
      <c r="B56" t="s">
        <v>20</v>
      </c>
      <c r="C56" t="s">
        <v>16</v>
      </c>
      <c r="E56">
        <v>97814.699999999953</v>
      </c>
      <c r="F56" t="s">
        <v>17</v>
      </c>
      <c r="G56">
        <v>46.1</v>
      </c>
      <c r="H56" t="s">
        <v>21</v>
      </c>
      <c r="I56">
        <v>1.6E-7</v>
      </c>
      <c r="J56" t="s">
        <v>179</v>
      </c>
      <c r="K56">
        <v>28</v>
      </c>
      <c r="L56">
        <v>16</v>
      </c>
      <c r="M56">
        <v>38.378923072329194</v>
      </c>
      <c r="N56" t="s">
        <v>21</v>
      </c>
      <c r="P56" t="s">
        <v>337</v>
      </c>
      <c r="R56" t="s">
        <v>179</v>
      </c>
    </row>
    <row r="57" spans="1:18" x14ac:dyDescent="0.4">
      <c r="A57" t="s">
        <v>346</v>
      </c>
      <c r="B57" t="s">
        <v>26</v>
      </c>
      <c r="C57" t="s">
        <v>16</v>
      </c>
      <c r="E57">
        <v>3736.7000000000021</v>
      </c>
      <c r="F57" t="s">
        <v>17</v>
      </c>
      <c r="G57">
        <v>46.1</v>
      </c>
      <c r="H57" t="s">
        <v>21</v>
      </c>
      <c r="I57">
        <v>1.6E-7</v>
      </c>
      <c r="J57" t="s">
        <v>179</v>
      </c>
      <c r="K57">
        <v>28</v>
      </c>
      <c r="L57">
        <v>0</v>
      </c>
      <c r="M57">
        <v>35.156443967935878</v>
      </c>
      <c r="N57" t="s">
        <v>21</v>
      </c>
      <c r="P57" t="s">
        <v>338</v>
      </c>
      <c r="R57" t="s">
        <v>179</v>
      </c>
    </row>
    <row r="58" spans="1:18" x14ac:dyDescent="0.4">
      <c r="A58" t="s">
        <v>347</v>
      </c>
      <c r="B58" t="s">
        <v>31</v>
      </c>
      <c r="C58" t="s">
        <v>16</v>
      </c>
      <c r="E58">
        <v>20745.399999999987</v>
      </c>
      <c r="F58" t="s">
        <v>17</v>
      </c>
      <c r="G58">
        <v>46.1</v>
      </c>
      <c r="H58" t="s">
        <v>21</v>
      </c>
      <c r="I58">
        <v>1.6E-7</v>
      </c>
      <c r="J58" t="s">
        <v>179</v>
      </c>
      <c r="K58">
        <v>28</v>
      </c>
      <c r="L58">
        <v>3</v>
      </c>
      <c r="M58">
        <v>35.041310280908334</v>
      </c>
      <c r="N58" t="s">
        <v>21</v>
      </c>
      <c r="P58" t="s">
        <v>338</v>
      </c>
      <c r="R58" t="s">
        <v>179</v>
      </c>
    </row>
    <row r="59" spans="1:18" x14ac:dyDescent="0.4">
      <c r="A59" t="s">
        <v>348</v>
      </c>
      <c r="B59" t="s">
        <v>34</v>
      </c>
      <c r="C59" t="s">
        <v>16</v>
      </c>
      <c r="E59">
        <v>13097.499999999991</v>
      </c>
      <c r="F59" t="s">
        <v>17</v>
      </c>
      <c r="G59">
        <v>46.1</v>
      </c>
      <c r="H59" t="s">
        <v>21</v>
      </c>
      <c r="I59">
        <v>1.6E-7</v>
      </c>
      <c r="J59" t="s">
        <v>179</v>
      </c>
      <c r="K59">
        <v>28</v>
      </c>
      <c r="L59">
        <v>2</v>
      </c>
      <c r="M59">
        <v>34.700361372417269</v>
      </c>
      <c r="N59" t="s">
        <v>21</v>
      </c>
      <c r="P59" t="s">
        <v>338</v>
      </c>
      <c r="R59" t="s">
        <v>179</v>
      </c>
    </row>
    <row r="60" spans="1:18" x14ac:dyDescent="0.4">
      <c r="A60" t="s">
        <v>349</v>
      </c>
      <c r="B60" t="s">
        <v>38</v>
      </c>
      <c r="C60" t="s">
        <v>16</v>
      </c>
      <c r="E60">
        <v>39429.900000000016</v>
      </c>
      <c r="F60" t="s">
        <v>17</v>
      </c>
      <c r="G60">
        <v>46.1</v>
      </c>
      <c r="H60" t="s">
        <v>21</v>
      </c>
      <c r="I60">
        <v>1.6E-7</v>
      </c>
      <c r="J60" t="s">
        <v>179</v>
      </c>
      <c r="K60">
        <v>28</v>
      </c>
      <c r="L60">
        <v>6</v>
      </c>
      <c r="M60">
        <v>35.160286839082069</v>
      </c>
      <c r="N60" t="s">
        <v>21</v>
      </c>
      <c r="P60" t="s">
        <v>338</v>
      </c>
      <c r="R60" t="s">
        <v>179</v>
      </c>
    </row>
    <row r="61" spans="1:18" x14ac:dyDescent="0.4">
      <c r="A61" t="s">
        <v>350</v>
      </c>
      <c r="B61" t="s">
        <v>42</v>
      </c>
      <c r="C61" t="s">
        <v>16</v>
      </c>
      <c r="E61">
        <v>9098.7999999999993</v>
      </c>
      <c r="F61" t="s">
        <v>17</v>
      </c>
      <c r="G61">
        <v>46.1</v>
      </c>
      <c r="H61" t="s">
        <v>21</v>
      </c>
      <c r="I61">
        <v>1.6E-7</v>
      </c>
      <c r="J61" t="s">
        <v>179</v>
      </c>
      <c r="K61">
        <v>28</v>
      </c>
      <c r="L61">
        <v>1</v>
      </c>
      <c r="M61">
        <v>36.704468433544307</v>
      </c>
      <c r="N61" t="s">
        <v>21</v>
      </c>
      <c r="P61" t="s">
        <v>338</v>
      </c>
      <c r="R61" t="s">
        <v>179</v>
      </c>
    </row>
    <row r="62" spans="1:18" x14ac:dyDescent="0.4">
      <c r="A62" t="s">
        <v>351</v>
      </c>
      <c r="B62" t="s">
        <v>44</v>
      </c>
      <c r="C62" t="s">
        <v>16</v>
      </c>
      <c r="E62">
        <v>1745.5000000000005</v>
      </c>
      <c r="F62" t="s">
        <v>17</v>
      </c>
      <c r="G62">
        <v>46.1</v>
      </c>
      <c r="H62" t="s">
        <v>21</v>
      </c>
      <c r="I62">
        <v>1.6E-7</v>
      </c>
      <c r="J62" t="s">
        <v>179</v>
      </c>
      <c r="K62">
        <v>28</v>
      </c>
      <c r="L62">
        <v>0</v>
      </c>
      <c r="M62">
        <v>34.906808695652174</v>
      </c>
      <c r="N62" t="s">
        <v>21</v>
      </c>
      <c r="P62" t="s">
        <v>338</v>
      </c>
      <c r="R62" t="s">
        <v>179</v>
      </c>
    </row>
    <row r="63" spans="1:18" x14ac:dyDescent="0.4">
      <c r="A63" t="s">
        <v>352</v>
      </c>
      <c r="B63" t="s">
        <v>47</v>
      </c>
      <c r="C63" t="s">
        <v>16</v>
      </c>
      <c r="E63">
        <v>3064.7999999999997</v>
      </c>
      <c r="F63" t="s">
        <v>17</v>
      </c>
      <c r="G63">
        <v>46.1</v>
      </c>
      <c r="H63" t="s">
        <v>21</v>
      </c>
      <c r="I63">
        <v>1.6E-7</v>
      </c>
      <c r="J63" t="s">
        <v>179</v>
      </c>
      <c r="K63">
        <v>28</v>
      </c>
      <c r="L63">
        <v>0</v>
      </c>
      <c r="M63">
        <v>43.918302835223486</v>
      </c>
      <c r="N63" t="s">
        <v>21</v>
      </c>
      <c r="P63" t="s">
        <v>338</v>
      </c>
      <c r="R63" t="s">
        <v>179</v>
      </c>
    </row>
    <row r="64" spans="1:18" x14ac:dyDescent="0.4">
      <c r="A64" t="s">
        <v>353</v>
      </c>
      <c r="B64" t="s">
        <v>49</v>
      </c>
      <c r="C64" t="s">
        <v>16</v>
      </c>
      <c r="E64">
        <v>6827.6999999999971</v>
      </c>
      <c r="F64" t="s">
        <v>17</v>
      </c>
      <c r="G64">
        <v>46.1</v>
      </c>
      <c r="H64" t="s">
        <v>21</v>
      </c>
      <c r="I64">
        <v>1.6E-7</v>
      </c>
      <c r="J64" t="s">
        <v>179</v>
      </c>
      <c r="K64">
        <v>28</v>
      </c>
      <c r="L64">
        <v>1</v>
      </c>
      <c r="M64">
        <v>43.918302835223486</v>
      </c>
      <c r="N64" t="s">
        <v>21</v>
      </c>
      <c r="P64" t="s">
        <v>338</v>
      </c>
      <c r="R64" t="s">
        <v>179</v>
      </c>
    </row>
    <row r="65" spans="1:18" x14ac:dyDescent="0.4">
      <c r="A65" t="s">
        <v>354</v>
      </c>
      <c r="B65" t="s">
        <v>51</v>
      </c>
      <c r="C65" t="s">
        <v>16</v>
      </c>
      <c r="E65">
        <v>521.49999999999989</v>
      </c>
      <c r="F65" t="s">
        <v>17</v>
      </c>
      <c r="G65">
        <v>46.1</v>
      </c>
      <c r="H65" t="s">
        <v>21</v>
      </c>
      <c r="I65">
        <v>1.6E-7</v>
      </c>
      <c r="J65" t="s">
        <v>179</v>
      </c>
      <c r="K65">
        <v>28</v>
      </c>
      <c r="L65">
        <v>0</v>
      </c>
      <c r="M65">
        <v>43.52343727439024</v>
      </c>
      <c r="N65" t="s">
        <v>21</v>
      </c>
      <c r="P65" t="s">
        <v>338</v>
      </c>
      <c r="R65" t="s">
        <v>179</v>
      </c>
    </row>
    <row r="66" spans="1:18" x14ac:dyDescent="0.4">
      <c r="A66" t="s">
        <v>355</v>
      </c>
      <c r="B66" t="s">
        <v>54</v>
      </c>
      <c r="C66" t="s">
        <v>16</v>
      </c>
      <c r="E66">
        <v>463.80000000000024</v>
      </c>
      <c r="F66" t="s">
        <v>17</v>
      </c>
      <c r="G66">
        <v>46.1</v>
      </c>
      <c r="H66" t="s">
        <v>21</v>
      </c>
      <c r="I66">
        <v>1.6E-7</v>
      </c>
      <c r="J66" t="s">
        <v>179</v>
      </c>
      <c r="K66">
        <v>28</v>
      </c>
      <c r="L66">
        <v>0</v>
      </c>
      <c r="M66">
        <v>43.52343727439024</v>
      </c>
      <c r="N66" t="s">
        <v>21</v>
      </c>
      <c r="P66" t="s">
        <v>338</v>
      </c>
      <c r="R66" t="s">
        <v>179</v>
      </c>
    </row>
    <row r="67" spans="1:18" x14ac:dyDescent="0.4">
      <c r="A67" t="s">
        <v>356</v>
      </c>
      <c r="B67" t="s">
        <v>57</v>
      </c>
      <c r="C67" t="s">
        <v>16</v>
      </c>
      <c r="E67">
        <v>1720.8</v>
      </c>
      <c r="F67" t="s">
        <v>17</v>
      </c>
      <c r="G67">
        <v>46.1</v>
      </c>
      <c r="H67" t="s">
        <v>21</v>
      </c>
      <c r="I67">
        <v>1.6E-7</v>
      </c>
      <c r="J67" t="s">
        <v>179</v>
      </c>
      <c r="K67">
        <v>28</v>
      </c>
      <c r="L67">
        <v>0</v>
      </c>
      <c r="M67">
        <v>43.287103939279646</v>
      </c>
      <c r="N67" t="s">
        <v>21</v>
      </c>
      <c r="P67" t="s">
        <v>338</v>
      </c>
      <c r="R67" t="s">
        <v>179</v>
      </c>
    </row>
    <row r="68" spans="1:18" x14ac:dyDescent="0.4">
      <c r="A68" t="s">
        <v>357</v>
      </c>
      <c r="B68" t="s">
        <v>62</v>
      </c>
      <c r="C68" t="s">
        <v>16</v>
      </c>
      <c r="E68">
        <v>51199.800000000032</v>
      </c>
      <c r="F68" t="s">
        <v>17</v>
      </c>
      <c r="G68">
        <v>46.1</v>
      </c>
      <c r="H68" t="s">
        <v>21</v>
      </c>
      <c r="I68">
        <v>1.6E-7</v>
      </c>
      <c r="J68" t="s">
        <v>179</v>
      </c>
      <c r="K68">
        <v>28</v>
      </c>
      <c r="L68">
        <v>6</v>
      </c>
      <c r="M68">
        <v>29.136601781731546</v>
      </c>
      <c r="N68" t="s">
        <v>21</v>
      </c>
      <c r="P68" t="s">
        <v>338</v>
      </c>
      <c r="R68" t="s">
        <v>179</v>
      </c>
    </row>
    <row r="69" spans="1:18" x14ac:dyDescent="0.4">
      <c r="A69" t="s">
        <v>358</v>
      </c>
      <c r="B69" t="s">
        <v>65</v>
      </c>
      <c r="C69" t="s">
        <v>16</v>
      </c>
      <c r="E69">
        <v>8878.9000000000033</v>
      </c>
      <c r="F69" t="s">
        <v>17</v>
      </c>
      <c r="G69">
        <v>46.1</v>
      </c>
      <c r="H69" t="s">
        <v>21</v>
      </c>
      <c r="I69">
        <v>1.6E-7</v>
      </c>
      <c r="J69" t="s">
        <v>179</v>
      </c>
      <c r="K69">
        <v>28</v>
      </c>
      <c r="L69">
        <v>1</v>
      </c>
      <c r="M69">
        <v>43.593370106507351</v>
      </c>
      <c r="N69" t="s">
        <v>21</v>
      </c>
      <c r="P69" t="s">
        <v>338</v>
      </c>
      <c r="R69" t="s">
        <v>179</v>
      </c>
    </row>
    <row r="70" spans="1:18" x14ac:dyDescent="0.4">
      <c r="A70" t="s">
        <v>359</v>
      </c>
      <c r="B70" t="s">
        <v>69</v>
      </c>
      <c r="C70" t="s">
        <v>16</v>
      </c>
      <c r="E70">
        <v>2610.7000000000012</v>
      </c>
      <c r="F70" t="s">
        <v>17</v>
      </c>
      <c r="G70">
        <v>46.1</v>
      </c>
      <c r="H70" t="s">
        <v>21</v>
      </c>
      <c r="I70">
        <v>1.6E-7</v>
      </c>
      <c r="J70" t="s">
        <v>179</v>
      </c>
      <c r="K70">
        <v>28</v>
      </c>
      <c r="L70">
        <v>0</v>
      </c>
      <c r="M70">
        <v>43.766018764755195</v>
      </c>
      <c r="N70" t="s">
        <v>21</v>
      </c>
      <c r="P70" t="s">
        <v>338</v>
      </c>
      <c r="R70" t="s">
        <v>179</v>
      </c>
    </row>
    <row r="71" spans="1:18" x14ac:dyDescent="0.4">
      <c r="A71" t="s">
        <v>360</v>
      </c>
      <c r="B71" t="s">
        <v>71</v>
      </c>
      <c r="C71" t="s">
        <v>16</v>
      </c>
      <c r="E71">
        <v>33.700000000000003</v>
      </c>
      <c r="F71" t="s">
        <v>17</v>
      </c>
      <c r="G71">
        <v>46.1</v>
      </c>
      <c r="H71" t="s">
        <v>21</v>
      </c>
      <c r="I71">
        <v>1.6E-7</v>
      </c>
      <c r="J71" t="s">
        <v>179</v>
      </c>
      <c r="K71">
        <v>28</v>
      </c>
      <c r="L71">
        <v>0</v>
      </c>
      <c r="M71">
        <v>47.928067497881273</v>
      </c>
      <c r="N71" t="s">
        <v>21</v>
      </c>
      <c r="P71" t="s">
        <v>338</v>
      </c>
      <c r="R71" t="s">
        <v>179</v>
      </c>
    </row>
    <row r="72" spans="1:18" x14ac:dyDescent="0.4">
      <c r="A72" t="s">
        <v>361</v>
      </c>
      <c r="B72" t="s">
        <v>74</v>
      </c>
      <c r="C72" t="s">
        <v>16</v>
      </c>
      <c r="E72">
        <v>23538.200000000012</v>
      </c>
      <c r="F72" t="s">
        <v>17</v>
      </c>
      <c r="G72">
        <v>46.1</v>
      </c>
      <c r="H72" t="s">
        <v>21</v>
      </c>
      <c r="I72">
        <v>1.6E-7</v>
      </c>
      <c r="J72" t="s">
        <v>179</v>
      </c>
      <c r="K72">
        <v>28</v>
      </c>
      <c r="L72">
        <v>4</v>
      </c>
      <c r="M72">
        <v>43.732579557333594</v>
      </c>
      <c r="N72" t="s">
        <v>21</v>
      </c>
      <c r="P72" t="s">
        <v>338</v>
      </c>
      <c r="R72" t="s">
        <v>179</v>
      </c>
    </row>
    <row r="73" spans="1:18" x14ac:dyDescent="0.4">
      <c r="A73" t="s">
        <v>362</v>
      </c>
      <c r="B73" t="s">
        <v>76</v>
      </c>
      <c r="C73" t="s">
        <v>16</v>
      </c>
      <c r="E73">
        <v>1550.3000000000004</v>
      </c>
      <c r="F73" t="s">
        <v>17</v>
      </c>
      <c r="G73">
        <v>46.1</v>
      </c>
      <c r="H73" t="s">
        <v>21</v>
      </c>
      <c r="I73">
        <v>1.6E-7</v>
      </c>
      <c r="J73" t="s">
        <v>179</v>
      </c>
      <c r="K73">
        <v>28</v>
      </c>
      <c r="L73">
        <v>0</v>
      </c>
      <c r="M73">
        <v>45.866283861060701</v>
      </c>
      <c r="N73" t="s">
        <v>21</v>
      </c>
      <c r="P73" t="s">
        <v>338</v>
      </c>
      <c r="R73" t="s">
        <v>179</v>
      </c>
    </row>
    <row r="74" spans="1:18" x14ac:dyDescent="0.4">
      <c r="A74" t="s">
        <v>363</v>
      </c>
      <c r="B74" t="s">
        <v>79</v>
      </c>
      <c r="C74" t="s">
        <v>16</v>
      </c>
      <c r="E74">
        <v>245.6</v>
      </c>
      <c r="F74" t="s">
        <v>17</v>
      </c>
      <c r="G74">
        <v>46.1</v>
      </c>
      <c r="H74" t="s">
        <v>21</v>
      </c>
      <c r="I74">
        <v>1.6E-7</v>
      </c>
      <c r="J74" t="s">
        <v>179</v>
      </c>
      <c r="K74">
        <v>28</v>
      </c>
      <c r="L74">
        <v>0</v>
      </c>
      <c r="M74">
        <v>43.38223290740757</v>
      </c>
      <c r="N74" t="s">
        <v>21</v>
      </c>
      <c r="P74" t="s">
        <v>338</v>
      </c>
      <c r="R74" t="s">
        <v>179</v>
      </c>
    </row>
    <row r="75" spans="1:18" x14ac:dyDescent="0.4">
      <c r="A75" t="s">
        <v>364</v>
      </c>
      <c r="B75" t="s">
        <v>81</v>
      </c>
      <c r="C75" t="s">
        <v>16</v>
      </c>
      <c r="E75">
        <v>1141.2000000000003</v>
      </c>
      <c r="F75" t="s">
        <v>17</v>
      </c>
      <c r="G75">
        <v>46.1</v>
      </c>
      <c r="H75" t="s">
        <v>21</v>
      </c>
      <c r="I75">
        <v>1.6E-7</v>
      </c>
      <c r="J75" t="s">
        <v>179</v>
      </c>
      <c r="K75">
        <v>28</v>
      </c>
      <c r="L75">
        <v>0</v>
      </c>
      <c r="M75">
        <v>43.906016813711055</v>
      </c>
      <c r="N75" t="s">
        <v>21</v>
      </c>
      <c r="P75" t="s">
        <v>338</v>
      </c>
      <c r="R75" t="s">
        <v>179</v>
      </c>
    </row>
    <row r="76" spans="1:18" x14ac:dyDescent="0.4">
      <c r="A76" t="s">
        <v>365</v>
      </c>
      <c r="B76" t="s">
        <v>84</v>
      </c>
      <c r="C76" t="s">
        <v>16</v>
      </c>
      <c r="E76">
        <v>566.79999999999905</v>
      </c>
      <c r="F76" t="s">
        <v>17</v>
      </c>
      <c r="G76">
        <v>46.1</v>
      </c>
      <c r="H76" t="s">
        <v>21</v>
      </c>
      <c r="I76">
        <v>1.6E-7</v>
      </c>
      <c r="J76" t="s">
        <v>179</v>
      </c>
      <c r="K76">
        <v>28</v>
      </c>
      <c r="L76">
        <v>0</v>
      </c>
      <c r="M76">
        <v>43.906016813711055</v>
      </c>
      <c r="N76" t="s">
        <v>21</v>
      </c>
      <c r="P76" t="s">
        <v>338</v>
      </c>
      <c r="R76" t="s">
        <v>179</v>
      </c>
    </row>
    <row r="77" spans="1:18" x14ac:dyDescent="0.4">
      <c r="A77" t="s">
        <v>366</v>
      </c>
      <c r="B77" t="s">
        <v>86</v>
      </c>
      <c r="C77" t="s">
        <v>16</v>
      </c>
      <c r="E77">
        <v>12211.100000000002</v>
      </c>
      <c r="F77" t="s">
        <v>17</v>
      </c>
      <c r="G77">
        <v>46.1</v>
      </c>
      <c r="H77" t="s">
        <v>21</v>
      </c>
      <c r="I77">
        <v>1.6E-7</v>
      </c>
      <c r="J77" t="s">
        <v>179</v>
      </c>
      <c r="K77">
        <v>28</v>
      </c>
      <c r="L77">
        <v>1</v>
      </c>
      <c r="M77">
        <v>36.41699448530283</v>
      </c>
      <c r="N77" t="s">
        <v>21</v>
      </c>
      <c r="P77" t="s">
        <v>338</v>
      </c>
      <c r="R77" t="s">
        <v>179</v>
      </c>
    </row>
    <row r="78" spans="1:18" x14ac:dyDescent="0.4">
      <c r="A78" t="s">
        <v>367</v>
      </c>
      <c r="B78" t="s">
        <v>90</v>
      </c>
      <c r="C78" t="s">
        <v>16</v>
      </c>
      <c r="E78">
        <v>11994.099999999995</v>
      </c>
      <c r="F78" t="s">
        <v>17</v>
      </c>
      <c r="G78">
        <v>46.1</v>
      </c>
      <c r="H78" t="s">
        <v>21</v>
      </c>
      <c r="I78">
        <v>1.6E-7</v>
      </c>
      <c r="J78" t="s">
        <v>179</v>
      </c>
      <c r="K78">
        <v>28</v>
      </c>
      <c r="L78">
        <v>1</v>
      </c>
      <c r="M78">
        <v>36.41699448530283</v>
      </c>
      <c r="N78" t="s">
        <v>21</v>
      </c>
      <c r="P78" t="s">
        <v>338</v>
      </c>
      <c r="R78" t="s">
        <v>179</v>
      </c>
    </row>
    <row r="79" spans="1:18" x14ac:dyDescent="0.4">
      <c r="A79" t="s">
        <v>368</v>
      </c>
      <c r="B79" t="s">
        <v>92</v>
      </c>
      <c r="C79" t="s">
        <v>16</v>
      </c>
      <c r="E79">
        <v>5022.0999999999995</v>
      </c>
      <c r="F79" t="s">
        <v>17</v>
      </c>
      <c r="G79">
        <v>46.1</v>
      </c>
      <c r="H79" t="s">
        <v>21</v>
      </c>
      <c r="I79">
        <v>1.6E-7</v>
      </c>
      <c r="J79" t="s">
        <v>179</v>
      </c>
      <c r="K79">
        <v>28</v>
      </c>
      <c r="L79">
        <v>0</v>
      </c>
      <c r="M79">
        <v>36.394502472498289</v>
      </c>
      <c r="N79" t="s">
        <v>21</v>
      </c>
      <c r="P79" t="s">
        <v>338</v>
      </c>
      <c r="R79" t="s">
        <v>179</v>
      </c>
    </row>
    <row r="80" spans="1:18" x14ac:dyDescent="0.4">
      <c r="A80" t="s">
        <v>369</v>
      </c>
      <c r="B80" t="s">
        <v>95</v>
      </c>
      <c r="C80" t="s">
        <v>16</v>
      </c>
      <c r="E80">
        <v>1892.6999999999998</v>
      </c>
      <c r="F80" t="s">
        <v>17</v>
      </c>
      <c r="G80">
        <v>46.1</v>
      </c>
      <c r="H80" t="s">
        <v>21</v>
      </c>
      <c r="I80">
        <v>1.6E-7</v>
      </c>
      <c r="J80" t="s">
        <v>179</v>
      </c>
      <c r="K80">
        <v>28</v>
      </c>
      <c r="L80">
        <v>0</v>
      </c>
      <c r="M80">
        <v>36.368477401292324</v>
      </c>
      <c r="N80" t="s">
        <v>21</v>
      </c>
      <c r="P80" t="s">
        <v>338</v>
      </c>
      <c r="R80" t="s">
        <v>179</v>
      </c>
    </row>
    <row r="81" spans="1:18" x14ac:dyDescent="0.4">
      <c r="A81" t="s">
        <v>370</v>
      </c>
      <c r="B81" t="s">
        <v>97</v>
      </c>
      <c r="C81" t="s">
        <v>16</v>
      </c>
      <c r="E81">
        <v>1468.2999999999993</v>
      </c>
      <c r="F81" t="s">
        <v>17</v>
      </c>
      <c r="G81">
        <v>46.1</v>
      </c>
      <c r="H81" t="s">
        <v>21</v>
      </c>
      <c r="I81">
        <v>1.6E-7</v>
      </c>
      <c r="J81" t="s">
        <v>179</v>
      </c>
      <c r="K81">
        <v>28</v>
      </c>
      <c r="L81">
        <v>0</v>
      </c>
      <c r="M81">
        <v>36.368477401292324</v>
      </c>
      <c r="N81" t="s">
        <v>21</v>
      </c>
      <c r="P81" t="s">
        <v>338</v>
      </c>
      <c r="R81" t="s">
        <v>179</v>
      </c>
    </row>
    <row r="82" spans="1:18" x14ac:dyDescent="0.4">
      <c r="A82" t="s">
        <v>371</v>
      </c>
      <c r="B82" t="s">
        <v>101</v>
      </c>
      <c r="C82" t="s">
        <v>16</v>
      </c>
      <c r="E82">
        <v>7201.9999999999991</v>
      </c>
      <c r="F82" t="s">
        <v>17</v>
      </c>
      <c r="G82">
        <v>46.1</v>
      </c>
      <c r="H82" t="s">
        <v>21</v>
      </c>
      <c r="I82">
        <v>1.6E-7</v>
      </c>
      <c r="J82" t="s">
        <v>179</v>
      </c>
      <c r="K82">
        <v>28</v>
      </c>
      <c r="L82">
        <v>1</v>
      </c>
      <c r="M82">
        <v>36.368477401292324</v>
      </c>
      <c r="N82" t="s">
        <v>21</v>
      </c>
      <c r="P82" t="s">
        <v>338</v>
      </c>
      <c r="R82" t="s">
        <v>179</v>
      </c>
    </row>
    <row r="83" spans="1:18" x14ac:dyDescent="0.4">
      <c r="A83" t="s">
        <v>372</v>
      </c>
      <c r="B83" t="s">
        <v>103</v>
      </c>
      <c r="C83" t="s">
        <v>16</v>
      </c>
      <c r="E83">
        <v>3491.3999999999992</v>
      </c>
      <c r="F83" t="s">
        <v>17</v>
      </c>
      <c r="G83">
        <v>46.1</v>
      </c>
      <c r="H83" t="s">
        <v>21</v>
      </c>
      <c r="I83">
        <v>1.6E-7</v>
      </c>
      <c r="J83" t="s">
        <v>179</v>
      </c>
      <c r="K83">
        <v>28</v>
      </c>
      <c r="L83">
        <v>0</v>
      </c>
      <c r="M83">
        <v>36.368477401292324</v>
      </c>
      <c r="N83" t="s">
        <v>21</v>
      </c>
      <c r="P83" t="s">
        <v>338</v>
      </c>
      <c r="R83" t="s">
        <v>179</v>
      </c>
    </row>
    <row r="84" spans="1:18" x14ac:dyDescent="0.4">
      <c r="A84" t="s">
        <v>373</v>
      </c>
      <c r="B84" t="s">
        <v>105</v>
      </c>
      <c r="C84" t="s">
        <v>16</v>
      </c>
      <c r="E84">
        <v>3930.5000000000018</v>
      </c>
      <c r="F84" t="s">
        <v>17</v>
      </c>
      <c r="G84">
        <v>46.1</v>
      </c>
      <c r="H84" t="s">
        <v>21</v>
      </c>
      <c r="I84">
        <v>1.6E-7</v>
      </c>
      <c r="J84" t="s">
        <v>179</v>
      </c>
      <c r="K84">
        <v>28</v>
      </c>
      <c r="L84">
        <v>0</v>
      </c>
      <c r="M84">
        <v>36.368477401292324</v>
      </c>
      <c r="N84" t="s">
        <v>21</v>
      </c>
      <c r="P84" t="s">
        <v>338</v>
      </c>
      <c r="R84" t="s">
        <v>179</v>
      </c>
    </row>
    <row r="85" spans="1:18" x14ac:dyDescent="0.4">
      <c r="A85" t="s">
        <v>374</v>
      </c>
      <c r="B85" t="s">
        <v>107</v>
      </c>
      <c r="C85" t="s">
        <v>16</v>
      </c>
      <c r="E85">
        <v>6016.1</v>
      </c>
      <c r="F85" t="s">
        <v>17</v>
      </c>
      <c r="G85">
        <v>46.1</v>
      </c>
      <c r="H85" t="s">
        <v>21</v>
      </c>
      <c r="I85">
        <v>1.6E-7</v>
      </c>
      <c r="J85" t="s">
        <v>179</v>
      </c>
      <c r="K85">
        <v>28</v>
      </c>
      <c r="L85">
        <v>0</v>
      </c>
      <c r="M85">
        <v>36.561768745805594</v>
      </c>
      <c r="N85" t="s">
        <v>21</v>
      </c>
      <c r="P85" t="s">
        <v>338</v>
      </c>
      <c r="R85" t="s">
        <v>179</v>
      </c>
    </row>
    <row r="86" spans="1:18" x14ac:dyDescent="0.4">
      <c r="A86" t="s">
        <v>375</v>
      </c>
      <c r="B86" t="s">
        <v>110</v>
      </c>
      <c r="C86" t="s">
        <v>16</v>
      </c>
      <c r="E86">
        <v>904.1</v>
      </c>
      <c r="F86" t="s">
        <v>17</v>
      </c>
      <c r="G86">
        <v>46.1</v>
      </c>
      <c r="H86" t="s">
        <v>21</v>
      </c>
      <c r="I86">
        <v>1.6E-7</v>
      </c>
      <c r="J86" t="s">
        <v>179</v>
      </c>
      <c r="K86">
        <v>28</v>
      </c>
      <c r="L86">
        <v>0</v>
      </c>
      <c r="M86">
        <v>35.930751569509695</v>
      </c>
      <c r="N86" t="s">
        <v>21</v>
      </c>
      <c r="P86" t="s">
        <v>338</v>
      </c>
      <c r="R86" t="s">
        <v>179</v>
      </c>
    </row>
    <row r="87" spans="1:18" x14ac:dyDescent="0.4">
      <c r="A87" t="s">
        <v>376</v>
      </c>
      <c r="B87" t="s">
        <v>112</v>
      </c>
      <c r="C87" t="s">
        <v>16</v>
      </c>
      <c r="E87">
        <v>600.49999999999955</v>
      </c>
      <c r="F87" t="s">
        <v>17</v>
      </c>
      <c r="G87">
        <v>46.1</v>
      </c>
      <c r="H87" t="s">
        <v>21</v>
      </c>
      <c r="I87">
        <v>1.6E-7</v>
      </c>
      <c r="J87" t="s">
        <v>179</v>
      </c>
      <c r="K87">
        <v>28</v>
      </c>
      <c r="L87">
        <v>0</v>
      </c>
      <c r="M87">
        <v>35.930751569509695</v>
      </c>
      <c r="N87" t="s">
        <v>21</v>
      </c>
      <c r="P87" t="s">
        <v>338</v>
      </c>
      <c r="R87" t="s">
        <v>179</v>
      </c>
    </row>
    <row r="88" spans="1:18" x14ac:dyDescent="0.4">
      <c r="A88" t="s">
        <v>377</v>
      </c>
      <c r="B88" t="s">
        <v>114</v>
      </c>
      <c r="C88" t="s">
        <v>16</v>
      </c>
      <c r="E88">
        <v>1049.9000000000001</v>
      </c>
      <c r="F88" t="s">
        <v>17</v>
      </c>
      <c r="G88">
        <v>46.1</v>
      </c>
      <c r="H88" t="s">
        <v>21</v>
      </c>
      <c r="I88">
        <v>1.6E-7</v>
      </c>
      <c r="J88" t="s">
        <v>179</v>
      </c>
      <c r="K88">
        <v>28</v>
      </c>
      <c r="L88">
        <v>0</v>
      </c>
      <c r="M88">
        <v>36.730210783832369</v>
      </c>
      <c r="N88" t="s">
        <v>21</v>
      </c>
      <c r="P88" t="s">
        <v>338</v>
      </c>
      <c r="R88" t="s">
        <v>179</v>
      </c>
    </row>
    <row r="89" spans="1:18" x14ac:dyDescent="0.4">
      <c r="A89" t="s">
        <v>378</v>
      </c>
      <c r="B89" t="s">
        <v>116</v>
      </c>
      <c r="C89" t="s">
        <v>16</v>
      </c>
      <c r="E89">
        <v>297.20000000000016</v>
      </c>
      <c r="F89" t="s">
        <v>17</v>
      </c>
      <c r="G89">
        <v>46.1</v>
      </c>
      <c r="H89" t="s">
        <v>21</v>
      </c>
      <c r="I89">
        <v>1.6E-7</v>
      </c>
      <c r="J89" t="s">
        <v>179</v>
      </c>
      <c r="K89">
        <v>28</v>
      </c>
      <c r="L89">
        <v>0</v>
      </c>
      <c r="M89">
        <v>36.730210783832369</v>
      </c>
      <c r="N89" t="s">
        <v>21</v>
      </c>
      <c r="P89" t="s">
        <v>338</v>
      </c>
      <c r="R89" t="s">
        <v>179</v>
      </c>
    </row>
    <row r="90" spans="1:18" x14ac:dyDescent="0.4">
      <c r="A90" t="s">
        <v>379</v>
      </c>
      <c r="B90" t="s">
        <v>121</v>
      </c>
      <c r="C90" t="s">
        <v>16</v>
      </c>
      <c r="E90">
        <v>125.40000000000018</v>
      </c>
      <c r="F90" t="s">
        <v>17</v>
      </c>
      <c r="G90">
        <v>46.1</v>
      </c>
      <c r="H90" t="s">
        <v>21</v>
      </c>
      <c r="I90">
        <v>1.6E-7</v>
      </c>
      <c r="J90" t="s">
        <v>179</v>
      </c>
      <c r="K90">
        <v>28</v>
      </c>
      <c r="L90">
        <v>0</v>
      </c>
      <c r="M90">
        <v>36.730210783832369</v>
      </c>
      <c r="N90" t="s">
        <v>21</v>
      </c>
      <c r="P90" t="s">
        <v>338</v>
      </c>
      <c r="R90" t="s">
        <v>179</v>
      </c>
    </row>
    <row r="91" spans="1:18" x14ac:dyDescent="0.4">
      <c r="A91" t="s">
        <v>380</v>
      </c>
      <c r="B91" t="s">
        <v>124</v>
      </c>
      <c r="C91" t="s">
        <v>16</v>
      </c>
      <c r="E91">
        <v>1454.5000000000002</v>
      </c>
      <c r="F91" t="s">
        <v>17</v>
      </c>
      <c r="G91">
        <v>46.1</v>
      </c>
      <c r="H91" t="s">
        <v>21</v>
      </c>
      <c r="I91">
        <v>1.6E-7</v>
      </c>
      <c r="J91" t="s">
        <v>179</v>
      </c>
      <c r="K91">
        <v>28</v>
      </c>
      <c r="L91">
        <v>0</v>
      </c>
      <c r="M91">
        <v>36.118622937735566</v>
      </c>
      <c r="N91" t="s">
        <v>21</v>
      </c>
      <c r="P91" t="s">
        <v>338</v>
      </c>
      <c r="R91" t="s">
        <v>179</v>
      </c>
    </row>
    <row r="92" spans="1:18" x14ac:dyDescent="0.4">
      <c r="A92" t="s">
        <v>381</v>
      </c>
      <c r="B92" t="s">
        <v>128</v>
      </c>
      <c r="C92" t="s">
        <v>16</v>
      </c>
      <c r="E92">
        <v>24325.7</v>
      </c>
      <c r="F92" t="s">
        <v>17</v>
      </c>
      <c r="G92">
        <v>46.1</v>
      </c>
      <c r="H92" t="s">
        <v>21</v>
      </c>
      <c r="I92">
        <v>2.2999999999999999E-7</v>
      </c>
      <c r="J92" t="s">
        <v>179</v>
      </c>
      <c r="K92">
        <v>28</v>
      </c>
      <c r="L92">
        <v>6</v>
      </c>
      <c r="M92">
        <v>43.196608415051323</v>
      </c>
      <c r="N92" t="s">
        <v>21</v>
      </c>
      <c r="P92" t="s">
        <v>338</v>
      </c>
      <c r="R92" t="s">
        <v>179</v>
      </c>
    </row>
    <row r="93" spans="1:18" x14ac:dyDescent="0.4">
      <c r="A93" t="s">
        <v>382</v>
      </c>
      <c r="B93" t="s">
        <v>132</v>
      </c>
      <c r="C93" t="s">
        <v>16</v>
      </c>
      <c r="E93">
        <v>2562.1999999999998</v>
      </c>
      <c r="F93" t="s">
        <v>17</v>
      </c>
      <c r="G93">
        <v>46.1</v>
      </c>
      <c r="H93" t="s">
        <v>21</v>
      </c>
      <c r="I93">
        <v>2.2999999999999999E-7</v>
      </c>
      <c r="J93" t="s">
        <v>179</v>
      </c>
      <c r="K93">
        <v>28</v>
      </c>
      <c r="L93">
        <v>0</v>
      </c>
      <c r="M93">
        <v>44.537429246019357</v>
      </c>
      <c r="N93" t="s">
        <v>21</v>
      </c>
      <c r="P93" t="s">
        <v>338</v>
      </c>
      <c r="R93" t="s">
        <v>179</v>
      </c>
    </row>
    <row r="94" spans="1:18" x14ac:dyDescent="0.4">
      <c r="A94" t="s">
        <v>383</v>
      </c>
      <c r="B94" t="s">
        <v>138</v>
      </c>
      <c r="C94" t="s">
        <v>16</v>
      </c>
      <c r="E94">
        <v>1452.8000000000002</v>
      </c>
      <c r="F94" t="s">
        <v>17</v>
      </c>
      <c r="G94">
        <v>46.1</v>
      </c>
      <c r="H94" t="s">
        <v>21</v>
      </c>
      <c r="I94">
        <v>1.6E-7</v>
      </c>
      <c r="J94" t="s">
        <v>179</v>
      </c>
      <c r="K94">
        <v>28</v>
      </c>
      <c r="L94">
        <v>0</v>
      </c>
      <c r="M94">
        <v>42.39227340657029</v>
      </c>
      <c r="N94" t="s">
        <v>21</v>
      </c>
      <c r="P94" t="s">
        <v>338</v>
      </c>
      <c r="R94" t="s">
        <v>179</v>
      </c>
    </row>
    <row r="95" spans="1:18" x14ac:dyDescent="0.4">
      <c r="A95" t="s">
        <v>384</v>
      </c>
      <c r="B95" t="s">
        <v>140</v>
      </c>
      <c r="C95" t="s">
        <v>23</v>
      </c>
      <c r="E95">
        <v>548</v>
      </c>
      <c r="F95" t="s">
        <v>141</v>
      </c>
      <c r="G95">
        <v>38.9</v>
      </c>
      <c r="H95" t="s">
        <v>142</v>
      </c>
      <c r="I95">
        <v>2.6E-7</v>
      </c>
      <c r="J95" t="s">
        <v>179</v>
      </c>
      <c r="K95">
        <v>28</v>
      </c>
      <c r="L95">
        <v>0</v>
      </c>
      <c r="N95" t="s">
        <v>142</v>
      </c>
      <c r="R95" t="s">
        <v>179</v>
      </c>
    </row>
    <row r="96" spans="1:18" x14ac:dyDescent="0.4">
      <c r="A96" t="s">
        <v>385</v>
      </c>
      <c r="B96" t="s">
        <v>140</v>
      </c>
      <c r="C96" t="s">
        <v>27</v>
      </c>
      <c r="E96">
        <v>7584</v>
      </c>
      <c r="F96" t="s">
        <v>141</v>
      </c>
      <c r="G96">
        <v>41.8</v>
      </c>
      <c r="H96" t="s">
        <v>142</v>
      </c>
      <c r="I96">
        <v>9.9999999999999995E-8</v>
      </c>
      <c r="J96" t="s">
        <v>179</v>
      </c>
      <c r="K96">
        <v>28</v>
      </c>
      <c r="L96">
        <v>0</v>
      </c>
      <c r="N96" t="s">
        <v>142</v>
      </c>
      <c r="R96" t="s">
        <v>179</v>
      </c>
    </row>
    <row r="97" spans="1:18" x14ac:dyDescent="0.4">
      <c r="A97" t="s">
        <v>386</v>
      </c>
      <c r="B97" t="s">
        <v>146</v>
      </c>
      <c r="C97" t="s">
        <v>23</v>
      </c>
      <c r="E97">
        <v>1038</v>
      </c>
      <c r="F97" t="s">
        <v>141</v>
      </c>
      <c r="G97">
        <v>38.9</v>
      </c>
      <c r="H97" t="s">
        <v>142</v>
      </c>
      <c r="I97">
        <v>2.6E-7</v>
      </c>
      <c r="J97" t="s">
        <v>179</v>
      </c>
      <c r="K97">
        <v>28</v>
      </c>
      <c r="L97">
        <v>0</v>
      </c>
      <c r="N97" t="s">
        <v>142</v>
      </c>
      <c r="R97" t="s">
        <v>179</v>
      </c>
    </row>
    <row r="98" spans="1:18" x14ac:dyDescent="0.4">
      <c r="A98" t="s">
        <v>387</v>
      </c>
      <c r="B98" t="s">
        <v>146</v>
      </c>
      <c r="C98" t="s">
        <v>27</v>
      </c>
      <c r="E98">
        <v>28502</v>
      </c>
      <c r="F98" t="s">
        <v>141</v>
      </c>
      <c r="G98">
        <v>41.8</v>
      </c>
      <c r="H98" t="s">
        <v>142</v>
      </c>
      <c r="I98">
        <v>9.9999999999999995E-8</v>
      </c>
      <c r="J98" t="s">
        <v>179</v>
      </c>
      <c r="K98">
        <v>28</v>
      </c>
      <c r="L98">
        <v>3</v>
      </c>
      <c r="N98" t="s">
        <v>142</v>
      </c>
      <c r="R98" t="s">
        <v>179</v>
      </c>
    </row>
    <row r="99" spans="1:18" x14ac:dyDescent="0.4">
      <c r="A99" t="s">
        <v>388</v>
      </c>
      <c r="B99" t="s">
        <v>150</v>
      </c>
      <c r="C99" t="s">
        <v>23</v>
      </c>
      <c r="E99">
        <v>629</v>
      </c>
      <c r="F99" t="s">
        <v>141</v>
      </c>
      <c r="G99">
        <v>38.9</v>
      </c>
      <c r="H99" t="s">
        <v>142</v>
      </c>
      <c r="I99">
        <v>2.6E-7</v>
      </c>
      <c r="J99" t="s">
        <v>179</v>
      </c>
      <c r="K99">
        <v>28</v>
      </c>
      <c r="L99">
        <v>0</v>
      </c>
      <c r="N99" t="s">
        <v>142</v>
      </c>
      <c r="R99" t="s">
        <v>179</v>
      </c>
    </row>
    <row r="100" spans="1:18" x14ac:dyDescent="0.4">
      <c r="A100" t="s">
        <v>389</v>
      </c>
      <c r="B100" t="s">
        <v>150</v>
      </c>
      <c r="C100" t="s">
        <v>27</v>
      </c>
      <c r="E100">
        <v>77034</v>
      </c>
      <c r="F100" t="s">
        <v>141</v>
      </c>
      <c r="G100">
        <v>41.8</v>
      </c>
      <c r="H100" t="s">
        <v>142</v>
      </c>
      <c r="I100">
        <v>9.9999999999999995E-8</v>
      </c>
      <c r="J100" t="s">
        <v>179</v>
      </c>
      <c r="K100">
        <v>28</v>
      </c>
      <c r="L100">
        <v>9</v>
      </c>
      <c r="N100" t="s">
        <v>142</v>
      </c>
      <c r="R100" t="s">
        <v>179</v>
      </c>
    </row>
    <row r="101" spans="1:18" x14ac:dyDescent="0.4">
      <c r="A101" t="s">
        <v>390</v>
      </c>
      <c r="B101" t="s">
        <v>159</v>
      </c>
      <c r="C101" t="s">
        <v>23</v>
      </c>
      <c r="E101">
        <v>584</v>
      </c>
      <c r="F101" t="s">
        <v>141</v>
      </c>
      <c r="G101">
        <v>38.9</v>
      </c>
      <c r="H101" t="s">
        <v>142</v>
      </c>
      <c r="I101">
        <v>2.6E-7</v>
      </c>
      <c r="J101" t="s">
        <v>179</v>
      </c>
      <c r="K101">
        <v>28</v>
      </c>
      <c r="L101">
        <v>0</v>
      </c>
      <c r="N101" t="s">
        <v>142</v>
      </c>
      <c r="R101" t="s">
        <v>179</v>
      </c>
    </row>
    <row r="102" spans="1:18" x14ac:dyDescent="0.4">
      <c r="A102" t="s">
        <v>391</v>
      </c>
      <c r="B102" t="s">
        <v>159</v>
      </c>
      <c r="C102" t="s">
        <v>27</v>
      </c>
      <c r="E102">
        <v>10260</v>
      </c>
      <c r="F102" t="s">
        <v>141</v>
      </c>
      <c r="G102">
        <v>41.8</v>
      </c>
      <c r="H102" t="s">
        <v>142</v>
      </c>
      <c r="I102">
        <v>9.9999999999999995E-8</v>
      </c>
      <c r="J102" t="s">
        <v>179</v>
      </c>
      <c r="K102">
        <v>28</v>
      </c>
      <c r="L102">
        <v>1</v>
      </c>
      <c r="N102" t="s">
        <v>142</v>
      </c>
      <c r="R102" t="s">
        <v>179</v>
      </c>
    </row>
    <row r="103" spans="1:18" x14ac:dyDescent="0.4">
      <c r="A103" t="s">
        <v>392</v>
      </c>
      <c r="B103" t="s">
        <v>163</v>
      </c>
      <c r="C103" t="s">
        <v>39</v>
      </c>
      <c r="E103">
        <v>187718</v>
      </c>
      <c r="F103" t="s">
        <v>164</v>
      </c>
      <c r="G103">
        <v>26.1</v>
      </c>
      <c r="H103" t="s">
        <v>165</v>
      </c>
      <c r="I103">
        <v>1.3E-7</v>
      </c>
      <c r="J103" t="s">
        <v>179</v>
      </c>
      <c r="K103">
        <v>28</v>
      </c>
      <c r="L103">
        <v>17</v>
      </c>
      <c r="N103" t="s">
        <v>165</v>
      </c>
      <c r="R103" t="s">
        <v>179</v>
      </c>
    </row>
    <row r="104" spans="1:18" x14ac:dyDescent="0.4">
      <c r="A104" t="s">
        <v>393</v>
      </c>
      <c r="B104" t="s">
        <v>168</v>
      </c>
      <c r="C104" t="s">
        <v>23</v>
      </c>
      <c r="E104">
        <v>0</v>
      </c>
      <c r="F104" t="s">
        <v>141</v>
      </c>
      <c r="G104">
        <v>38.9</v>
      </c>
      <c r="H104" t="s">
        <v>142</v>
      </c>
      <c r="I104">
        <v>2.6E-7</v>
      </c>
      <c r="J104" t="s">
        <v>179</v>
      </c>
      <c r="K104">
        <v>28</v>
      </c>
      <c r="L104">
        <v>0</v>
      </c>
      <c r="N104" t="s">
        <v>142</v>
      </c>
      <c r="R104" t="s">
        <v>179</v>
      </c>
    </row>
    <row r="105" spans="1:18" x14ac:dyDescent="0.4">
      <c r="A105" t="s">
        <v>394</v>
      </c>
      <c r="B105" t="s">
        <v>181</v>
      </c>
      <c r="C105" t="s">
        <v>45</v>
      </c>
      <c r="E105">
        <v>99217</v>
      </c>
      <c r="F105" t="s">
        <v>164</v>
      </c>
      <c r="G105">
        <v>34.1</v>
      </c>
      <c r="H105" t="s">
        <v>165</v>
      </c>
      <c r="I105">
        <v>5.4E-8</v>
      </c>
      <c r="J105" t="s">
        <v>179</v>
      </c>
      <c r="K105">
        <v>28</v>
      </c>
      <c r="L105">
        <v>6</v>
      </c>
      <c r="M105">
        <v>41</v>
      </c>
      <c r="N105" t="s">
        <v>165</v>
      </c>
      <c r="R105" t="s">
        <v>179</v>
      </c>
    </row>
    <row r="106" spans="1:18" x14ac:dyDescent="0.4">
      <c r="A106" t="s">
        <v>395</v>
      </c>
      <c r="B106" t="s">
        <v>183</v>
      </c>
      <c r="C106" t="s">
        <v>27</v>
      </c>
      <c r="E106">
        <v>46</v>
      </c>
      <c r="F106" t="s">
        <v>141</v>
      </c>
      <c r="G106">
        <v>41.8</v>
      </c>
      <c r="H106" t="s">
        <v>142</v>
      </c>
      <c r="I106">
        <v>9.9999999999999995E-8</v>
      </c>
      <c r="J106" t="s">
        <v>179</v>
      </c>
      <c r="K106">
        <v>28</v>
      </c>
      <c r="L106">
        <v>0</v>
      </c>
      <c r="N106" t="s">
        <v>142</v>
      </c>
      <c r="R106" t="s">
        <v>179</v>
      </c>
    </row>
    <row r="107" spans="1:18" x14ac:dyDescent="0.4">
      <c r="A107" t="s">
        <v>396</v>
      </c>
      <c r="B107" t="s">
        <v>20</v>
      </c>
      <c r="C107" t="s">
        <v>16</v>
      </c>
      <c r="E107">
        <v>97814.699999999953</v>
      </c>
      <c r="F107" t="s">
        <v>17</v>
      </c>
      <c r="G107">
        <v>46.1</v>
      </c>
      <c r="H107" t="s">
        <v>21</v>
      </c>
      <c r="I107">
        <v>2.1E-7</v>
      </c>
      <c r="J107" t="s">
        <v>397</v>
      </c>
      <c r="K107">
        <v>265</v>
      </c>
      <c r="L107">
        <v>208</v>
      </c>
      <c r="M107">
        <v>38.378923072329194</v>
      </c>
      <c r="N107" t="s">
        <v>21</v>
      </c>
      <c r="P107" t="s">
        <v>337</v>
      </c>
      <c r="R107" t="s">
        <v>397</v>
      </c>
    </row>
    <row r="108" spans="1:18" x14ac:dyDescent="0.4">
      <c r="A108" t="s">
        <v>398</v>
      </c>
      <c r="B108" t="s">
        <v>26</v>
      </c>
      <c r="C108" t="s">
        <v>16</v>
      </c>
      <c r="E108">
        <v>3736.7000000000021</v>
      </c>
      <c r="F108" t="s">
        <v>17</v>
      </c>
      <c r="G108">
        <v>46.1</v>
      </c>
      <c r="H108" t="s">
        <v>21</v>
      </c>
      <c r="I108">
        <v>2.1E-7</v>
      </c>
      <c r="J108" t="s">
        <v>397</v>
      </c>
      <c r="K108">
        <v>265</v>
      </c>
      <c r="L108">
        <v>7</v>
      </c>
      <c r="M108">
        <v>35.156443967935878</v>
      </c>
      <c r="N108" t="s">
        <v>21</v>
      </c>
      <c r="P108" t="s">
        <v>338</v>
      </c>
      <c r="R108" t="s">
        <v>397</v>
      </c>
    </row>
    <row r="109" spans="1:18" x14ac:dyDescent="0.4">
      <c r="A109" t="s">
        <v>399</v>
      </c>
      <c r="B109" t="s">
        <v>31</v>
      </c>
      <c r="C109" t="s">
        <v>16</v>
      </c>
      <c r="E109">
        <v>20745.399999999987</v>
      </c>
      <c r="F109" t="s">
        <v>17</v>
      </c>
      <c r="G109">
        <v>46.1</v>
      </c>
      <c r="H109" t="s">
        <v>21</v>
      </c>
      <c r="I109">
        <v>2.1E-7</v>
      </c>
      <c r="J109" t="s">
        <v>397</v>
      </c>
      <c r="K109">
        <v>265</v>
      </c>
      <c r="L109">
        <v>40</v>
      </c>
      <c r="M109">
        <v>35.041310280908334</v>
      </c>
      <c r="N109" t="s">
        <v>21</v>
      </c>
      <c r="P109" t="s">
        <v>338</v>
      </c>
      <c r="R109" t="s">
        <v>397</v>
      </c>
    </row>
    <row r="110" spans="1:18" x14ac:dyDescent="0.4">
      <c r="A110" t="s">
        <v>400</v>
      </c>
      <c r="B110" t="s">
        <v>34</v>
      </c>
      <c r="C110" t="s">
        <v>16</v>
      </c>
      <c r="E110">
        <v>13097.499999999991</v>
      </c>
      <c r="F110" t="s">
        <v>17</v>
      </c>
      <c r="G110">
        <v>46.1</v>
      </c>
      <c r="H110" t="s">
        <v>21</v>
      </c>
      <c r="I110">
        <v>2.1E-7</v>
      </c>
      <c r="J110" t="s">
        <v>397</v>
      </c>
      <c r="K110">
        <v>265</v>
      </c>
      <c r="L110">
        <v>25</v>
      </c>
      <c r="M110">
        <v>34.700361372417269</v>
      </c>
      <c r="N110" t="s">
        <v>21</v>
      </c>
      <c r="P110" t="s">
        <v>338</v>
      </c>
      <c r="R110" t="s">
        <v>397</v>
      </c>
    </row>
    <row r="111" spans="1:18" x14ac:dyDescent="0.4">
      <c r="A111" t="s">
        <v>401</v>
      </c>
      <c r="B111" t="s">
        <v>38</v>
      </c>
      <c r="C111" t="s">
        <v>16</v>
      </c>
      <c r="E111">
        <v>39429.900000000016</v>
      </c>
      <c r="F111" t="s">
        <v>17</v>
      </c>
      <c r="G111">
        <v>46.1</v>
      </c>
      <c r="H111" t="s">
        <v>21</v>
      </c>
      <c r="I111">
        <v>2.1E-7</v>
      </c>
      <c r="J111" t="s">
        <v>397</v>
      </c>
      <c r="K111">
        <v>265</v>
      </c>
      <c r="L111">
        <v>77</v>
      </c>
      <c r="M111">
        <v>35.160286839082069</v>
      </c>
      <c r="N111" t="s">
        <v>21</v>
      </c>
      <c r="P111" t="s">
        <v>338</v>
      </c>
      <c r="R111" t="s">
        <v>397</v>
      </c>
    </row>
    <row r="112" spans="1:18" x14ac:dyDescent="0.4">
      <c r="A112" t="s">
        <v>402</v>
      </c>
      <c r="B112" t="s">
        <v>42</v>
      </c>
      <c r="C112" t="s">
        <v>16</v>
      </c>
      <c r="E112">
        <v>9098.7999999999993</v>
      </c>
      <c r="F112" t="s">
        <v>17</v>
      </c>
      <c r="G112">
        <v>46.1</v>
      </c>
      <c r="H112" t="s">
        <v>21</v>
      </c>
      <c r="I112">
        <v>2.1E-7</v>
      </c>
      <c r="J112" t="s">
        <v>397</v>
      </c>
      <c r="K112">
        <v>265</v>
      </c>
      <c r="L112">
        <v>18</v>
      </c>
      <c r="M112">
        <v>36.704468433544307</v>
      </c>
      <c r="N112" t="s">
        <v>21</v>
      </c>
      <c r="P112" t="s">
        <v>338</v>
      </c>
      <c r="R112" t="s">
        <v>397</v>
      </c>
    </row>
    <row r="113" spans="1:18" x14ac:dyDescent="0.4">
      <c r="A113" t="s">
        <v>403</v>
      </c>
      <c r="B113" t="s">
        <v>44</v>
      </c>
      <c r="C113" t="s">
        <v>16</v>
      </c>
      <c r="E113">
        <v>1745.5000000000005</v>
      </c>
      <c r="F113" t="s">
        <v>17</v>
      </c>
      <c r="G113">
        <v>46.1</v>
      </c>
      <c r="H113" t="s">
        <v>21</v>
      </c>
      <c r="I113">
        <v>2.1E-7</v>
      </c>
      <c r="J113" t="s">
        <v>397</v>
      </c>
      <c r="K113">
        <v>265</v>
      </c>
      <c r="L113">
        <v>3</v>
      </c>
      <c r="M113">
        <v>34.906808695652174</v>
      </c>
      <c r="N113" t="s">
        <v>21</v>
      </c>
      <c r="P113" t="s">
        <v>338</v>
      </c>
      <c r="R113" t="s">
        <v>397</v>
      </c>
    </row>
    <row r="114" spans="1:18" x14ac:dyDescent="0.4">
      <c r="A114" t="s">
        <v>404</v>
      </c>
      <c r="B114" t="s">
        <v>47</v>
      </c>
      <c r="C114" t="s">
        <v>16</v>
      </c>
      <c r="E114">
        <v>3064.7999999999997</v>
      </c>
      <c r="F114" t="s">
        <v>17</v>
      </c>
      <c r="G114">
        <v>46.1</v>
      </c>
      <c r="H114" t="s">
        <v>21</v>
      </c>
      <c r="I114">
        <v>2.1E-7</v>
      </c>
      <c r="J114" t="s">
        <v>397</v>
      </c>
      <c r="K114">
        <v>265</v>
      </c>
      <c r="L114">
        <v>7</v>
      </c>
      <c r="M114">
        <v>43.918302835223486</v>
      </c>
      <c r="N114" t="s">
        <v>21</v>
      </c>
      <c r="P114" t="s">
        <v>338</v>
      </c>
      <c r="R114" t="s">
        <v>397</v>
      </c>
    </row>
    <row r="115" spans="1:18" x14ac:dyDescent="0.4">
      <c r="A115" t="s">
        <v>405</v>
      </c>
      <c r="B115" t="s">
        <v>49</v>
      </c>
      <c r="C115" t="s">
        <v>16</v>
      </c>
      <c r="E115">
        <v>6827.6999999999971</v>
      </c>
      <c r="F115" t="s">
        <v>17</v>
      </c>
      <c r="G115">
        <v>46.1</v>
      </c>
      <c r="H115" t="s">
        <v>21</v>
      </c>
      <c r="I115">
        <v>2.1E-7</v>
      </c>
      <c r="J115" t="s">
        <v>397</v>
      </c>
      <c r="K115">
        <v>265</v>
      </c>
      <c r="L115">
        <v>16</v>
      </c>
      <c r="M115">
        <v>43.918302835223486</v>
      </c>
      <c r="N115" t="s">
        <v>21</v>
      </c>
      <c r="P115" t="s">
        <v>338</v>
      </c>
      <c r="R115" t="s">
        <v>397</v>
      </c>
    </row>
    <row r="116" spans="1:18" x14ac:dyDescent="0.4">
      <c r="A116" t="s">
        <v>406</v>
      </c>
      <c r="B116" t="s">
        <v>51</v>
      </c>
      <c r="C116" t="s">
        <v>16</v>
      </c>
      <c r="E116">
        <v>521.49999999999989</v>
      </c>
      <c r="F116" t="s">
        <v>17</v>
      </c>
      <c r="G116">
        <v>46.1</v>
      </c>
      <c r="H116" t="s">
        <v>21</v>
      </c>
      <c r="I116">
        <v>2.1E-7</v>
      </c>
      <c r="J116" t="s">
        <v>397</v>
      </c>
      <c r="K116">
        <v>265</v>
      </c>
      <c r="L116">
        <v>1</v>
      </c>
      <c r="M116">
        <v>43.52343727439024</v>
      </c>
      <c r="N116" t="s">
        <v>21</v>
      </c>
      <c r="P116" t="s">
        <v>338</v>
      </c>
      <c r="R116" t="s">
        <v>397</v>
      </c>
    </row>
    <row r="117" spans="1:18" x14ac:dyDescent="0.4">
      <c r="A117" t="s">
        <v>407</v>
      </c>
      <c r="B117" t="s">
        <v>54</v>
      </c>
      <c r="C117" t="s">
        <v>16</v>
      </c>
      <c r="E117">
        <v>463.80000000000024</v>
      </c>
      <c r="F117" t="s">
        <v>17</v>
      </c>
      <c r="G117">
        <v>46.1</v>
      </c>
      <c r="H117" t="s">
        <v>21</v>
      </c>
      <c r="I117">
        <v>2.1E-7</v>
      </c>
      <c r="J117" t="s">
        <v>397</v>
      </c>
      <c r="K117">
        <v>265</v>
      </c>
      <c r="L117">
        <v>1</v>
      </c>
      <c r="M117">
        <v>43.52343727439024</v>
      </c>
      <c r="N117" t="s">
        <v>21</v>
      </c>
      <c r="P117" t="s">
        <v>338</v>
      </c>
      <c r="R117" t="s">
        <v>397</v>
      </c>
    </row>
    <row r="118" spans="1:18" x14ac:dyDescent="0.4">
      <c r="A118" t="s">
        <v>408</v>
      </c>
      <c r="B118" t="s">
        <v>57</v>
      </c>
      <c r="C118" t="s">
        <v>16</v>
      </c>
      <c r="E118">
        <v>1720.8</v>
      </c>
      <c r="F118" t="s">
        <v>17</v>
      </c>
      <c r="G118">
        <v>46.1</v>
      </c>
      <c r="H118" t="s">
        <v>21</v>
      </c>
      <c r="I118">
        <v>2.1E-7</v>
      </c>
      <c r="J118" t="s">
        <v>397</v>
      </c>
      <c r="K118">
        <v>265</v>
      </c>
      <c r="L118">
        <v>4</v>
      </c>
      <c r="M118">
        <v>43.287103939279646</v>
      </c>
      <c r="N118" t="s">
        <v>21</v>
      </c>
      <c r="P118" t="s">
        <v>338</v>
      </c>
      <c r="R118" t="s">
        <v>397</v>
      </c>
    </row>
    <row r="119" spans="1:18" x14ac:dyDescent="0.4">
      <c r="A119" t="s">
        <v>409</v>
      </c>
      <c r="B119" t="s">
        <v>62</v>
      </c>
      <c r="C119" t="s">
        <v>16</v>
      </c>
      <c r="E119">
        <v>51199.800000000032</v>
      </c>
      <c r="F119" t="s">
        <v>17</v>
      </c>
      <c r="G119">
        <v>46.1</v>
      </c>
      <c r="H119" t="s">
        <v>21</v>
      </c>
      <c r="I119">
        <v>2.1E-7</v>
      </c>
      <c r="J119" t="s">
        <v>397</v>
      </c>
      <c r="K119">
        <v>265</v>
      </c>
      <c r="L119">
        <v>83</v>
      </c>
      <c r="M119">
        <v>29.136601781731546</v>
      </c>
      <c r="N119" t="s">
        <v>21</v>
      </c>
      <c r="P119" t="s">
        <v>338</v>
      </c>
      <c r="R119" t="s">
        <v>397</v>
      </c>
    </row>
    <row r="120" spans="1:18" x14ac:dyDescent="0.4">
      <c r="A120" t="s">
        <v>410</v>
      </c>
      <c r="B120" t="s">
        <v>65</v>
      </c>
      <c r="C120" t="s">
        <v>16</v>
      </c>
      <c r="E120">
        <v>8878.9000000000033</v>
      </c>
      <c r="F120" t="s">
        <v>17</v>
      </c>
      <c r="G120">
        <v>46.1</v>
      </c>
      <c r="H120" t="s">
        <v>21</v>
      </c>
      <c r="I120">
        <v>2.1E-7</v>
      </c>
      <c r="J120" t="s">
        <v>397</v>
      </c>
      <c r="K120">
        <v>265</v>
      </c>
      <c r="L120">
        <v>21</v>
      </c>
      <c r="M120">
        <v>43.593370106507351</v>
      </c>
      <c r="N120" t="s">
        <v>21</v>
      </c>
      <c r="P120" t="s">
        <v>338</v>
      </c>
      <c r="R120" t="s">
        <v>397</v>
      </c>
    </row>
    <row r="121" spans="1:18" x14ac:dyDescent="0.4">
      <c r="A121" t="s">
        <v>411</v>
      </c>
      <c r="B121" t="s">
        <v>69</v>
      </c>
      <c r="C121" t="s">
        <v>16</v>
      </c>
      <c r="E121">
        <v>2610.7000000000012</v>
      </c>
      <c r="F121" t="s">
        <v>17</v>
      </c>
      <c r="G121">
        <v>46.1</v>
      </c>
      <c r="H121" t="s">
        <v>21</v>
      </c>
      <c r="I121">
        <v>2.1E-7</v>
      </c>
      <c r="J121" t="s">
        <v>397</v>
      </c>
      <c r="K121">
        <v>265</v>
      </c>
      <c r="L121">
        <v>6</v>
      </c>
      <c r="M121">
        <v>43.766018764755195</v>
      </c>
      <c r="N121" t="s">
        <v>21</v>
      </c>
      <c r="P121" t="s">
        <v>338</v>
      </c>
      <c r="R121" t="s">
        <v>397</v>
      </c>
    </row>
    <row r="122" spans="1:18" x14ac:dyDescent="0.4">
      <c r="A122" t="s">
        <v>412</v>
      </c>
      <c r="B122" t="s">
        <v>71</v>
      </c>
      <c r="C122" t="s">
        <v>16</v>
      </c>
      <c r="E122">
        <v>33.700000000000003</v>
      </c>
      <c r="F122" t="s">
        <v>17</v>
      </c>
      <c r="G122">
        <v>46.1</v>
      </c>
      <c r="H122" t="s">
        <v>21</v>
      </c>
      <c r="I122">
        <v>2.1E-7</v>
      </c>
      <c r="J122" t="s">
        <v>397</v>
      </c>
      <c r="K122">
        <v>265</v>
      </c>
      <c r="L122">
        <v>0</v>
      </c>
      <c r="M122">
        <v>47.928067497881273</v>
      </c>
      <c r="N122" t="s">
        <v>21</v>
      </c>
      <c r="P122" t="s">
        <v>338</v>
      </c>
      <c r="R122" t="s">
        <v>397</v>
      </c>
    </row>
    <row r="123" spans="1:18" x14ac:dyDescent="0.4">
      <c r="A123" t="s">
        <v>413</v>
      </c>
      <c r="B123" t="s">
        <v>74</v>
      </c>
      <c r="C123" t="s">
        <v>16</v>
      </c>
      <c r="E123">
        <v>23538.200000000012</v>
      </c>
      <c r="F123" t="s">
        <v>17</v>
      </c>
      <c r="G123">
        <v>46.1</v>
      </c>
      <c r="H123" t="s">
        <v>21</v>
      </c>
      <c r="I123">
        <v>2.1E-7</v>
      </c>
      <c r="J123" t="s">
        <v>397</v>
      </c>
      <c r="K123">
        <v>265</v>
      </c>
      <c r="L123">
        <v>57</v>
      </c>
      <c r="M123">
        <v>43.732579557333594</v>
      </c>
      <c r="N123" t="s">
        <v>21</v>
      </c>
      <c r="P123" t="s">
        <v>338</v>
      </c>
      <c r="R123" t="s">
        <v>397</v>
      </c>
    </row>
    <row r="124" spans="1:18" x14ac:dyDescent="0.4">
      <c r="A124" t="s">
        <v>414</v>
      </c>
      <c r="B124" t="s">
        <v>76</v>
      </c>
      <c r="C124" t="s">
        <v>16</v>
      </c>
      <c r="E124">
        <v>1550.3000000000004</v>
      </c>
      <c r="F124" t="s">
        <v>17</v>
      </c>
      <c r="G124">
        <v>46.1</v>
      </c>
      <c r="H124" t="s">
        <v>21</v>
      </c>
      <c r="I124">
        <v>2.1E-7</v>
      </c>
      <c r="J124" t="s">
        <v>397</v>
      </c>
      <c r="K124">
        <v>265</v>
      </c>
      <c r="L124">
        <v>3</v>
      </c>
      <c r="M124">
        <v>45.866283861060701</v>
      </c>
      <c r="N124" t="s">
        <v>21</v>
      </c>
      <c r="P124" t="s">
        <v>338</v>
      </c>
      <c r="R124" t="s">
        <v>397</v>
      </c>
    </row>
    <row r="125" spans="1:18" x14ac:dyDescent="0.4">
      <c r="A125" t="s">
        <v>415</v>
      </c>
      <c r="B125" t="s">
        <v>79</v>
      </c>
      <c r="C125" t="s">
        <v>16</v>
      </c>
      <c r="E125">
        <v>245.6</v>
      </c>
      <c r="F125" t="s">
        <v>17</v>
      </c>
      <c r="G125">
        <v>46.1</v>
      </c>
      <c r="H125" t="s">
        <v>21</v>
      </c>
      <c r="I125">
        <v>2.1E-7</v>
      </c>
      <c r="J125" t="s">
        <v>397</v>
      </c>
      <c r="K125">
        <v>265</v>
      </c>
      <c r="L125">
        <v>0</v>
      </c>
      <c r="M125">
        <v>43.38223290740757</v>
      </c>
      <c r="N125" t="s">
        <v>21</v>
      </c>
      <c r="P125" t="s">
        <v>338</v>
      </c>
      <c r="R125" t="s">
        <v>397</v>
      </c>
    </row>
    <row r="126" spans="1:18" x14ac:dyDescent="0.4">
      <c r="A126" t="s">
        <v>416</v>
      </c>
      <c r="B126" t="s">
        <v>81</v>
      </c>
      <c r="C126" t="s">
        <v>16</v>
      </c>
      <c r="E126">
        <v>1141.2000000000003</v>
      </c>
      <c r="F126" t="s">
        <v>17</v>
      </c>
      <c r="G126">
        <v>46.1</v>
      </c>
      <c r="H126" t="s">
        <v>21</v>
      </c>
      <c r="I126">
        <v>2.1E-7</v>
      </c>
      <c r="J126" t="s">
        <v>397</v>
      </c>
      <c r="K126">
        <v>265</v>
      </c>
      <c r="L126">
        <v>2</v>
      </c>
      <c r="M126">
        <v>43.906016813711055</v>
      </c>
      <c r="N126" t="s">
        <v>21</v>
      </c>
      <c r="P126" t="s">
        <v>338</v>
      </c>
      <c r="R126" t="s">
        <v>397</v>
      </c>
    </row>
    <row r="127" spans="1:18" x14ac:dyDescent="0.4">
      <c r="A127" t="s">
        <v>417</v>
      </c>
      <c r="B127" t="s">
        <v>84</v>
      </c>
      <c r="C127" t="s">
        <v>16</v>
      </c>
      <c r="E127">
        <v>566.79999999999905</v>
      </c>
      <c r="F127" t="s">
        <v>17</v>
      </c>
      <c r="G127">
        <v>46.1</v>
      </c>
      <c r="H127" t="s">
        <v>21</v>
      </c>
      <c r="I127">
        <v>2.1E-7</v>
      </c>
      <c r="J127" t="s">
        <v>397</v>
      </c>
      <c r="K127">
        <v>265</v>
      </c>
      <c r="L127">
        <v>1</v>
      </c>
      <c r="M127">
        <v>43.906016813711055</v>
      </c>
      <c r="N127" t="s">
        <v>21</v>
      </c>
      <c r="P127" t="s">
        <v>338</v>
      </c>
      <c r="R127" t="s">
        <v>397</v>
      </c>
    </row>
    <row r="128" spans="1:18" x14ac:dyDescent="0.4">
      <c r="A128" t="s">
        <v>418</v>
      </c>
      <c r="B128" t="s">
        <v>86</v>
      </c>
      <c r="C128" t="s">
        <v>16</v>
      </c>
      <c r="E128">
        <v>12211.100000000002</v>
      </c>
      <c r="F128" t="s">
        <v>17</v>
      </c>
      <c r="G128">
        <v>46.1</v>
      </c>
      <c r="H128" t="s">
        <v>21</v>
      </c>
      <c r="I128">
        <v>2.1E-7</v>
      </c>
      <c r="J128" t="s">
        <v>397</v>
      </c>
      <c r="K128">
        <v>265</v>
      </c>
      <c r="L128">
        <v>24</v>
      </c>
      <c r="M128">
        <v>36.41699448530283</v>
      </c>
      <c r="N128" t="s">
        <v>21</v>
      </c>
      <c r="P128" t="s">
        <v>338</v>
      </c>
      <c r="R128" t="s">
        <v>397</v>
      </c>
    </row>
    <row r="129" spans="1:18" x14ac:dyDescent="0.4">
      <c r="A129" t="s">
        <v>419</v>
      </c>
      <c r="B129" t="s">
        <v>90</v>
      </c>
      <c r="C129" t="s">
        <v>16</v>
      </c>
      <c r="E129">
        <v>11994.099999999995</v>
      </c>
      <c r="F129" t="s">
        <v>17</v>
      </c>
      <c r="G129">
        <v>46.1</v>
      </c>
      <c r="H129" t="s">
        <v>21</v>
      </c>
      <c r="I129">
        <v>2.1E-7</v>
      </c>
      <c r="J129" t="s">
        <v>397</v>
      </c>
      <c r="K129">
        <v>265</v>
      </c>
      <c r="L129">
        <v>24</v>
      </c>
      <c r="M129">
        <v>36.41699448530283</v>
      </c>
      <c r="N129" t="s">
        <v>21</v>
      </c>
      <c r="P129" t="s">
        <v>338</v>
      </c>
      <c r="R129" t="s">
        <v>397</v>
      </c>
    </row>
    <row r="130" spans="1:18" x14ac:dyDescent="0.4">
      <c r="A130" t="s">
        <v>420</v>
      </c>
      <c r="B130" t="s">
        <v>92</v>
      </c>
      <c r="C130" t="s">
        <v>16</v>
      </c>
      <c r="E130">
        <v>5022.0999999999995</v>
      </c>
      <c r="F130" t="s">
        <v>17</v>
      </c>
      <c r="G130">
        <v>46.1</v>
      </c>
      <c r="H130" t="s">
        <v>21</v>
      </c>
      <c r="I130">
        <v>2.1E-7</v>
      </c>
      <c r="J130" t="s">
        <v>397</v>
      </c>
      <c r="K130">
        <v>265</v>
      </c>
      <c r="L130">
        <v>10</v>
      </c>
      <c r="M130">
        <v>36.394502472498289</v>
      </c>
      <c r="N130" t="s">
        <v>21</v>
      </c>
      <c r="P130" t="s">
        <v>338</v>
      </c>
      <c r="R130" t="s">
        <v>397</v>
      </c>
    </row>
    <row r="131" spans="1:18" x14ac:dyDescent="0.4">
      <c r="A131" t="s">
        <v>421</v>
      </c>
      <c r="B131" t="s">
        <v>95</v>
      </c>
      <c r="C131" t="s">
        <v>16</v>
      </c>
      <c r="E131">
        <v>1892.6999999999998</v>
      </c>
      <c r="F131" t="s">
        <v>17</v>
      </c>
      <c r="G131">
        <v>46.1</v>
      </c>
      <c r="H131" t="s">
        <v>21</v>
      </c>
      <c r="I131">
        <v>2.1E-7</v>
      </c>
      <c r="J131" t="s">
        <v>397</v>
      </c>
      <c r="K131">
        <v>265</v>
      </c>
      <c r="L131">
        <v>3</v>
      </c>
      <c r="M131">
        <v>36.368477401292324</v>
      </c>
      <c r="N131" t="s">
        <v>21</v>
      </c>
      <c r="P131" t="s">
        <v>338</v>
      </c>
      <c r="R131" t="s">
        <v>397</v>
      </c>
    </row>
    <row r="132" spans="1:18" x14ac:dyDescent="0.4">
      <c r="A132" t="s">
        <v>422</v>
      </c>
      <c r="B132" t="s">
        <v>97</v>
      </c>
      <c r="C132" t="s">
        <v>16</v>
      </c>
      <c r="E132">
        <v>1468.2999999999993</v>
      </c>
      <c r="F132" t="s">
        <v>17</v>
      </c>
      <c r="G132">
        <v>46.1</v>
      </c>
      <c r="H132" t="s">
        <v>21</v>
      </c>
      <c r="I132">
        <v>2.1E-7</v>
      </c>
      <c r="J132" t="s">
        <v>397</v>
      </c>
      <c r="K132">
        <v>265</v>
      </c>
      <c r="L132">
        <v>2</v>
      </c>
      <c r="M132">
        <v>36.368477401292324</v>
      </c>
      <c r="N132" t="s">
        <v>21</v>
      </c>
      <c r="P132" t="s">
        <v>338</v>
      </c>
      <c r="R132" t="s">
        <v>397</v>
      </c>
    </row>
    <row r="133" spans="1:18" x14ac:dyDescent="0.4">
      <c r="A133" t="s">
        <v>423</v>
      </c>
      <c r="B133" t="s">
        <v>101</v>
      </c>
      <c r="C133" t="s">
        <v>16</v>
      </c>
      <c r="E133">
        <v>7201.9999999999991</v>
      </c>
      <c r="F133" t="s">
        <v>17</v>
      </c>
      <c r="G133">
        <v>46.1</v>
      </c>
      <c r="H133" t="s">
        <v>21</v>
      </c>
      <c r="I133">
        <v>2.1E-7</v>
      </c>
      <c r="J133" t="s">
        <v>397</v>
      </c>
      <c r="K133">
        <v>265</v>
      </c>
      <c r="L133">
        <v>14</v>
      </c>
      <c r="M133">
        <v>36.368477401292324</v>
      </c>
      <c r="N133" t="s">
        <v>21</v>
      </c>
      <c r="P133" t="s">
        <v>338</v>
      </c>
      <c r="R133" t="s">
        <v>397</v>
      </c>
    </row>
    <row r="134" spans="1:18" x14ac:dyDescent="0.4">
      <c r="A134" t="s">
        <v>424</v>
      </c>
      <c r="B134" t="s">
        <v>103</v>
      </c>
      <c r="C134" t="s">
        <v>16</v>
      </c>
      <c r="E134">
        <v>3491.3999999999992</v>
      </c>
      <c r="F134" t="s">
        <v>17</v>
      </c>
      <c r="G134">
        <v>46.1</v>
      </c>
      <c r="H134" t="s">
        <v>21</v>
      </c>
      <c r="I134">
        <v>2.1E-7</v>
      </c>
      <c r="J134" t="s">
        <v>397</v>
      </c>
      <c r="K134">
        <v>265</v>
      </c>
      <c r="L134">
        <v>7</v>
      </c>
      <c r="M134">
        <v>36.368477401292324</v>
      </c>
      <c r="N134" t="s">
        <v>21</v>
      </c>
      <c r="P134" t="s">
        <v>338</v>
      </c>
      <c r="R134" t="s">
        <v>397</v>
      </c>
    </row>
    <row r="135" spans="1:18" x14ac:dyDescent="0.4">
      <c r="A135" t="s">
        <v>425</v>
      </c>
      <c r="B135" t="s">
        <v>105</v>
      </c>
      <c r="C135" t="s">
        <v>16</v>
      </c>
      <c r="E135">
        <v>3930.5000000000018</v>
      </c>
      <c r="F135" t="s">
        <v>17</v>
      </c>
      <c r="G135">
        <v>46.1</v>
      </c>
      <c r="H135" t="s">
        <v>21</v>
      </c>
      <c r="I135">
        <v>2.1E-7</v>
      </c>
      <c r="J135" t="s">
        <v>397</v>
      </c>
      <c r="K135">
        <v>265</v>
      </c>
      <c r="L135">
        <v>7</v>
      </c>
      <c r="M135">
        <v>36.368477401292324</v>
      </c>
      <c r="N135" t="s">
        <v>21</v>
      </c>
      <c r="P135" t="s">
        <v>338</v>
      </c>
      <c r="R135" t="s">
        <v>397</v>
      </c>
    </row>
    <row r="136" spans="1:18" x14ac:dyDescent="0.4">
      <c r="A136" t="s">
        <v>426</v>
      </c>
      <c r="B136" t="s">
        <v>107</v>
      </c>
      <c r="C136" t="s">
        <v>16</v>
      </c>
      <c r="E136">
        <v>6016.1</v>
      </c>
      <c r="F136" t="s">
        <v>17</v>
      </c>
      <c r="G136">
        <v>46.1</v>
      </c>
      <c r="H136" t="s">
        <v>21</v>
      </c>
      <c r="I136">
        <v>2.1E-7</v>
      </c>
      <c r="J136" t="s">
        <v>397</v>
      </c>
      <c r="K136">
        <v>265</v>
      </c>
      <c r="L136">
        <v>12</v>
      </c>
      <c r="M136">
        <v>36.561768745805594</v>
      </c>
      <c r="N136" t="s">
        <v>21</v>
      </c>
      <c r="P136" t="s">
        <v>338</v>
      </c>
      <c r="R136" t="s">
        <v>397</v>
      </c>
    </row>
    <row r="137" spans="1:18" x14ac:dyDescent="0.4">
      <c r="A137" t="s">
        <v>427</v>
      </c>
      <c r="B137" t="s">
        <v>110</v>
      </c>
      <c r="C137" t="s">
        <v>16</v>
      </c>
      <c r="E137">
        <v>904.1</v>
      </c>
      <c r="F137" t="s">
        <v>17</v>
      </c>
      <c r="G137">
        <v>46.1</v>
      </c>
      <c r="H137" t="s">
        <v>21</v>
      </c>
      <c r="I137">
        <v>2.1E-7</v>
      </c>
      <c r="J137" t="s">
        <v>397</v>
      </c>
      <c r="K137">
        <v>265</v>
      </c>
      <c r="L137">
        <v>1</v>
      </c>
      <c r="M137">
        <v>35.930751569509695</v>
      </c>
      <c r="N137" t="s">
        <v>21</v>
      </c>
      <c r="P137" t="s">
        <v>338</v>
      </c>
      <c r="R137" t="s">
        <v>397</v>
      </c>
    </row>
    <row r="138" spans="1:18" x14ac:dyDescent="0.4">
      <c r="A138" t="s">
        <v>428</v>
      </c>
      <c r="B138" t="s">
        <v>112</v>
      </c>
      <c r="C138" t="s">
        <v>16</v>
      </c>
      <c r="E138">
        <v>600.49999999999955</v>
      </c>
      <c r="F138" t="s">
        <v>17</v>
      </c>
      <c r="G138">
        <v>46.1</v>
      </c>
      <c r="H138" t="s">
        <v>21</v>
      </c>
      <c r="I138">
        <v>2.1E-7</v>
      </c>
      <c r="J138" t="s">
        <v>397</v>
      </c>
      <c r="K138">
        <v>265</v>
      </c>
      <c r="L138">
        <v>1</v>
      </c>
      <c r="M138">
        <v>35.930751569509695</v>
      </c>
      <c r="N138" t="s">
        <v>21</v>
      </c>
      <c r="P138" t="s">
        <v>338</v>
      </c>
      <c r="R138" t="s">
        <v>397</v>
      </c>
    </row>
    <row r="139" spans="1:18" x14ac:dyDescent="0.4">
      <c r="A139" t="s">
        <v>429</v>
      </c>
      <c r="B139" t="s">
        <v>114</v>
      </c>
      <c r="C139" t="s">
        <v>16</v>
      </c>
      <c r="E139">
        <v>1049.9000000000001</v>
      </c>
      <c r="F139" t="s">
        <v>17</v>
      </c>
      <c r="G139">
        <v>46.1</v>
      </c>
      <c r="H139" t="s">
        <v>21</v>
      </c>
      <c r="I139">
        <v>2.1E-7</v>
      </c>
      <c r="J139" t="s">
        <v>397</v>
      </c>
      <c r="K139">
        <v>265</v>
      </c>
      <c r="L139">
        <v>2</v>
      </c>
      <c r="M139">
        <v>36.730210783832369</v>
      </c>
      <c r="N139" t="s">
        <v>21</v>
      </c>
      <c r="P139" t="s">
        <v>338</v>
      </c>
      <c r="R139" t="s">
        <v>397</v>
      </c>
    </row>
    <row r="140" spans="1:18" x14ac:dyDescent="0.4">
      <c r="A140" t="s">
        <v>430</v>
      </c>
      <c r="B140" t="s">
        <v>116</v>
      </c>
      <c r="C140" t="s">
        <v>16</v>
      </c>
      <c r="E140">
        <v>297.20000000000016</v>
      </c>
      <c r="F140" t="s">
        <v>17</v>
      </c>
      <c r="G140">
        <v>46.1</v>
      </c>
      <c r="H140" t="s">
        <v>21</v>
      </c>
      <c r="I140">
        <v>2.1E-7</v>
      </c>
      <c r="J140" t="s">
        <v>397</v>
      </c>
      <c r="K140">
        <v>265</v>
      </c>
      <c r="L140">
        <v>0</v>
      </c>
      <c r="M140">
        <v>36.730210783832369</v>
      </c>
      <c r="N140" t="s">
        <v>21</v>
      </c>
      <c r="P140" t="s">
        <v>338</v>
      </c>
      <c r="R140" t="s">
        <v>397</v>
      </c>
    </row>
    <row r="141" spans="1:18" x14ac:dyDescent="0.4">
      <c r="A141" t="s">
        <v>431</v>
      </c>
      <c r="B141" t="s">
        <v>121</v>
      </c>
      <c r="C141" t="s">
        <v>16</v>
      </c>
      <c r="E141">
        <v>125.40000000000018</v>
      </c>
      <c r="F141" t="s">
        <v>17</v>
      </c>
      <c r="G141">
        <v>46.1</v>
      </c>
      <c r="H141" t="s">
        <v>21</v>
      </c>
      <c r="I141">
        <v>2.1E-7</v>
      </c>
      <c r="J141" t="s">
        <v>397</v>
      </c>
      <c r="K141">
        <v>265</v>
      </c>
      <c r="L141">
        <v>0</v>
      </c>
      <c r="M141">
        <v>36.730210783832369</v>
      </c>
      <c r="N141" t="s">
        <v>21</v>
      </c>
      <c r="P141" t="s">
        <v>338</v>
      </c>
      <c r="R141" t="s">
        <v>397</v>
      </c>
    </row>
    <row r="142" spans="1:18" x14ac:dyDescent="0.4">
      <c r="A142" t="s">
        <v>432</v>
      </c>
      <c r="B142" t="s">
        <v>124</v>
      </c>
      <c r="C142" t="s">
        <v>16</v>
      </c>
      <c r="E142">
        <v>1454.5000000000002</v>
      </c>
      <c r="F142" t="s">
        <v>17</v>
      </c>
      <c r="G142">
        <v>46.1</v>
      </c>
      <c r="H142" t="s">
        <v>21</v>
      </c>
      <c r="I142">
        <v>2.1E-7</v>
      </c>
      <c r="J142" t="s">
        <v>397</v>
      </c>
      <c r="K142">
        <v>265</v>
      </c>
      <c r="L142">
        <v>2</v>
      </c>
      <c r="M142">
        <v>36.118622937735566</v>
      </c>
      <c r="N142" t="s">
        <v>21</v>
      </c>
      <c r="P142" t="s">
        <v>338</v>
      </c>
      <c r="R142" t="s">
        <v>397</v>
      </c>
    </row>
    <row r="143" spans="1:18" x14ac:dyDescent="0.4">
      <c r="A143" t="s">
        <v>433</v>
      </c>
      <c r="B143" t="s">
        <v>128</v>
      </c>
      <c r="C143" t="s">
        <v>16</v>
      </c>
      <c r="E143">
        <v>24325.7</v>
      </c>
      <c r="F143" t="s">
        <v>17</v>
      </c>
      <c r="G143">
        <v>46.1</v>
      </c>
      <c r="H143" t="s">
        <v>21</v>
      </c>
      <c r="I143">
        <v>1.6999999999999999E-7</v>
      </c>
      <c r="J143" t="s">
        <v>397</v>
      </c>
      <c r="K143">
        <v>265</v>
      </c>
      <c r="L143">
        <v>47</v>
      </c>
      <c r="M143">
        <v>43.196608415051323</v>
      </c>
      <c r="N143" t="s">
        <v>21</v>
      </c>
      <c r="P143" t="s">
        <v>338</v>
      </c>
      <c r="R143" t="s">
        <v>397</v>
      </c>
    </row>
    <row r="144" spans="1:18" x14ac:dyDescent="0.4">
      <c r="A144" t="s">
        <v>434</v>
      </c>
      <c r="B144" t="s">
        <v>132</v>
      </c>
      <c r="C144" t="s">
        <v>16</v>
      </c>
      <c r="E144">
        <v>2562.1999999999998</v>
      </c>
      <c r="F144" t="s">
        <v>17</v>
      </c>
      <c r="G144">
        <v>46.1</v>
      </c>
      <c r="H144" t="s">
        <v>21</v>
      </c>
      <c r="I144">
        <v>1.6999999999999999E-7</v>
      </c>
      <c r="J144" t="s">
        <v>397</v>
      </c>
      <c r="K144">
        <v>265</v>
      </c>
      <c r="L144">
        <v>5</v>
      </c>
      <c r="M144">
        <v>44.537429246019357</v>
      </c>
      <c r="N144" t="s">
        <v>21</v>
      </c>
      <c r="P144" t="s">
        <v>338</v>
      </c>
      <c r="R144" t="s">
        <v>397</v>
      </c>
    </row>
    <row r="145" spans="1:18" x14ac:dyDescent="0.4">
      <c r="A145" t="s">
        <v>435</v>
      </c>
      <c r="B145" t="s">
        <v>138</v>
      </c>
      <c r="C145" t="s">
        <v>16</v>
      </c>
      <c r="E145">
        <v>1452.8000000000002</v>
      </c>
      <c r="F145" t="s">
        <v>17</v>
      </c>
      <c r="G145">
        <v>46.1</v>
      </c>
      <c r="H145" t="s">
        <v>21</v>
      </c>
      <c r="I145">
        <v>2.1E-7</v>
      </c>
      <c r="J145" t="s">
        <v>397</v>
      </c>
      <c r="K145">
        <v>265</v>
      </c>
      <c r="L145">
        <v>3</v>
      </c>
      <c r="M145">
        <v>42.39227340657029</v>
      </c>
      <c r="N145" t="s">
        <v>21</v>
      </c>
      <c r="P145" t="s">
        <v>338</v>
      </c>
      <c r="R145" t="s">
        <v>397</v>
      </c>
    </row>
    <row r="146" spans="1:18" x14ac:dyDescent="0.4">
      <c r="A146" t="s">
        <v>436</v>
      </c>
      <c r="B146" t="s">
        <v>140</v>
      </c>
      <c r="C146" t="s">
        <v>23</v>
      </c>
      <c r="E146">
        <v>548</v>
      </c>
      <c r="F146" t="s">
        <v>141</v>
      </c>
      <c r="G146">
        <v>38.9</v>
      </c>
      <c r="H146" t="s">
        <v>142</v>
      </c>
      <c r="I146">
        <v>1.9000000000000001E-7</v>
      </c>
      <c r="J146" t="s">
        <v>397</v>
      </c>
      <c r="K146">
        <v>265</v>
      </c>
      <c r="L146">
        <v>1</v>
      </c>
      <c r="N146" t="s">
        <v>142</v>
      </c>
      <c r="R146" t="s">
        <v>397</v>
      </c>
    </row>
    <row r="147" spans="1:18" x14ac:dyDescent="0.4">
      <c r="A147" t="s">
        <v>437</v>
      </c>
      <c r="B147" t="s">
        <v>140</v>
      </c>
      <c r="C147" t="s">
        <v>27</v>
      </c>
      <c r="E147">
        <v>7584</v>
      </c>
      <c r="F147" t="s">
        <v>141</v>
      </c>
      <c r="G147">
        <v>41.8</v>
      </c>
      <c r="H147" t="s">
        <v>142</v>
      </c>
      <c r="I147">
        <v>2.2000000000000001E-7</v>
      </c>
      <c r="J147" t="s">
        <v>397</v>
      </c>
      <c r="K147">
        <v>265</v>
      </c>
      <c r="L147">
        <v>18</v>
      </c>
      <c r="N147" t="s">
        <v>142</v>
      </c>
      <c r="R147" t="s">
        <v>397</v>
      </c>
    </row>
    <row r="148" spans="1:18" x14ac:dyDescent="0.4">
      <c r="A148" t="s">
        <v>438</v>
      </c>
      <c r="B148" t="s">
        <v>146</v>
      </c>
      <c r="C148" t="s">
        <v>23</v>
      </c>
      <c r="E148">
        <v>1038</v>
      </c>
      <c r="F148" t="s">
        <v>141</v>
      </c>
      <c r="G148">
        <v>38.9</v>
      </c>
      <c r="H148" t="s">
        <v>142</v>
      </c>
      <c r="I148">
        <v>1.9000000000000001E-7</v>
      </c>
      <c r="J148" t="s">
        <v>397</v>
      </c>
      <c r="K148">
        <v>265</v>
      </c>
      <c r="L148">
        <v>2</v>
      </c>
      <c r="N148" t="s">
        <v>142</v>
      </c>
      <c r="R148" t="s">
        <v>397</v>
      </c>
    </row>
    <row r="149" spans="1:18" x14ac:dyDescent="0.4">
      <c r="A149" t="s">
        <v>439</v>
      </c>
      <c r="B149" t="s">
        <v>146</v>
      </c>
      <c r="C149" t="s">
        <v>27</v>
      </c>
      <c r="E149">
        <v>28502</v>
      </c>
      <c r="F149" t="s">
        <v>141</v>
      </c>
      <c r="G149">
        <v>41.8</v>
      </c>
      <c r="H149" t="s">
        <v>142</v>
      </c>
      <c r="I149">
        <v>2.2000000000000001E-7</v>
      </c>
      <c r="J149" t="s">
        <v>397</v>
      </c>
      <c r="K149">
        <v>265</v>
      </c>
      <c r="L149">
        <v>69</v>
      </c>
      <c r="N149" t="s">
        <v>142</v>
      </c>
      <c r="R149" t="s">
        <v>397</v>
      </c>
    </row>
    <row r="150" spans="1:18" x14ac:dyDescent="0.4">
      <c r="A150" t="s">
        <v>440</v>
      </c>
      <c r="B150" t="s">
        <v>150</v>
      </c>
      <c r="C150" t="s">
        <v>23</v>
      </c>
      <c r="E150">
        <v>629</v>
      </c>
      <c r="F150" t="s">
        <v>141</v>
      </c>
      <c r="G150">
        <v>38.9</v>
      </c>
      <c r="H150" t="s">
        <v>142</v>
      </c>
      <c r="I150">
        <v>1.9000000000000001E-7</v>
      </c>
      <c r="J150" t="s">
        <v>397</v>
      </c>
      <c r="K150">
        <v>265</v>
      </c>
      <c r="L150">
        <v>1</v>
      </c>
      <c r="N150" t="s">
        <v>142</v>
      </c>
      <c r="R150" t="s">
        <v>397</v>
      </c>
    </row>
    <row r="151" spans="1:18" x14ac:dyDescent="0.4">
      <c r="A151" t="s">
        <v>441</v>
      </c>
      <c r="B151" t="s">
        <v>150</v>
      </c>
      <c r="C151" t="s">
        <v>27</v>
      </c>
      <c r="E151">
        <v>77034</v>
      </c>
      <c r="F151" t="s">
        <v>141</v>
      </c>
      <c r="G151">
        <v>41.8</v>
      </c>
      <c r="H151" t="s">
        <v>142</v>
      </c>
      <c r="I151">
        <v>2.2000000000000001E-7</v>
      </c>
      <c r="J151" t="s">
        <v>397</v>
      </c>
      <c r="K151">
        <v>265</v>
      </c>
      <c r="L151">
        <v>187</v>
      </c>
      <c r="N151" t="s">
        <v>142</v>
      </c>
      <c r="R151" t="s">
        <v>397</v>
      </c>
    </row>
    <row r="152" spans="1:18" x14ac:dyDescent="0.4">
      <c r="A152" t="s">
        <v>442</v>
      </c>
      <c r="B152" t="s">
        <v>159</v>
      </c>
      <c r="C152" t="s">
        <v>23</v>
      </c>
      <c r="E152">
        <v>584</v>
      </c>
      <c r="F152" t="s">
        <v>141</v>
      </c>
      <c r="G152">
        <v>38.9</v>
      </c>
      <c r="H152" t="s">
        <v>142</v>
      </c>
      <c r="I152">
        <v>1.9000000000000001E-7</v>
      </c>
      <c r="J152" t="s">
        <v>397</v>
      </c>
      <c r="K152">
        <v>265</v>
      </c>
      <c r="L152">
        <v>1</v>
      </c>
      <c r="N152" t="s">
        <v>142</v>
      </c>
      <c r="R152" t="s">
        <v>397</v>
      </c>
    </row>
    <row r="153" spans="1:18" x14ac:dyDescent="0.4">
      <c r="A153" t="s">
        <v>443</v>
      </c>
      <c r="B153" t="s">
        <v>159</v>
      </c>
      <c r="C153" t="s">
        <v>27</v>
      </c>
      <c r="E153">
        <v>10260</v>
      </c>
      <c r="F153" t="s">
        <v>141</v>
      </c>
      <c r="G153">
        <v>41.8</v>
      </c>
      <c r="H153" t="s">
        <v>142</v>
      </c>
      <c r="I153">
        <v>2.2000000000000001E-7</v>
      </c>
      <c r="J153" t="s">
        <v>397</v>
      </c>
      <c r="K153">
        <v>265</v>
      </c>
      <c r="L153">
        <v>25</v>
      </c>
      <c r="N153" t="s">
        <v>142</v>
      </c>
      <c r="R153" t="s">
        <v>29</v>
      </c>
    </row>
    <row r="154" spans="1:18" x14ac:dyDescent="0.4">
      <c r="A154" t="s">
        <v>444</v>
      </c>
      <c r="B154" t="s">
        <v>163</v>
      </c>
      <c r="C154" t="s">
        <v>39</v>
      </c>
      <c r="E154">
        <v>187718</v>
      </c>
      <c r="F154" t="s">
        <v>164</v>
      </c>
      <c r="G154">
        <v>26.1</v>
      </c>
      <c r="H154" t="s">
        <v>165</v>
      </c>
      <c r="I154">
        <v>5.3999999999999998E-5</v>
      </c>
      <c r="J154" t="s">
        <v>397</v>
      </c>
      <c r="K154">
        <v>265</v>
      </c>
      <c r="L154">
        <v>70110</v>
      </c>
      <c r="N154" t="s">
        <v>165</v>
      </c>
      <c r="R154" t="s">
        <v>29</v>
      </c>
    </row>
    <row r="155" spans="1:18" x14ac:dyDescent="0.4">
      <c r="A155" t="s">
        <v>445</v>
      </c>
      <c r="B155" t="s">
        <v>168</v>
      </c>
      <c r="C155" t="s">
        <v>23</v>
      </c>
      <c r="E155">
        <v>0</v>
      </c>
      <c r="F155" t="s">
        <v>141</v>
      </c>
      <c r="G155">
        <v>38.9</v>
      </c>
      <c r="H155" t="s">
        <v>142</v>
      </c>
      <c r="I155">
        <v>1.9000000000000001E-7</v>
      </c>
      <c r="J155" t="s">
        <v>397</v>
      </c>
      <c r="K155">
        <v>265</v>
      </c>
      <c r="L155">
        <v>0</v>
      </c>
      <c r="N155" t="s">
        <v>142</v>
      </c>
      <c r="R155" t="s">
        <v>29</v>
      </c>
    </row>
    <row r="156" spans="1:18" x14ac:dyDescent="0.4">
      <c r="A156" t="s">
        <v>446</v>
      </c>
      <c r="B156" t="s">
        <v>181</v>
      </c>
      <c r="C156" t="s">
        <v>45</v>
      </c>
      <c r="E156">
        <v>99217</v>
      </c>
      <c r="F156" t="s">
        <v>164</v>
      </c>
      <c r="G156">
        <v>34.1</v>
      </c>
      <c r="H156" t="s">
        <v>165</v>
      </c>
      <c r="I156">
        <v>7.3000000000000004E-6</v>
      </c>
      <c r="J156" t="s">
        <v>397</v>
      </c>
      <c r="K156">
        <v>265</v>
      </c>
      <c r="L156">
        <v>7869</v>
      </c>
      <c r="M156">
        <v>41</v>
      </c>
      <c r="N156" t="s">
        <v>165</v>
      </c>
      <c r="R156" t="s">
        <v>29</v>
      </c>
    </row>
    <row r="157" spans="1:18" x14ac:dyDescent="0.4">
      <c r="A157" t="s">
        <v>447</v>
      </c>
      <c r="B157" t="s">
        <v>183</v>
      </c>
      <c r="C157" t="s">
        <v>27</v>
      </c>
      <c r="E157">
        <v>46</v>
      </c>
      <c r="F157" t="s">
        <v>141</v>
      </c>
      <c r="G157">
        <v>41.8</v>
      </c>
      <c r="H157" t="s">
        <v>142</v>
      </c>
      <c r="I157">
        <v>2.2000000000000001E-7</v>
      </c>
      <c r="J157" t="s">
        <v>397</v>
      </c>
      <c r="K157">
        <v>265</v>
      </c>
      <c r="L157">
        <v>0</v>
      </c>
      <c r="N157" t="s">
        <v>142</v>
      </c>
      <c r="R157" t="s">
        <v>29</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6DEA-C431-4D7E-814E-1FDAFE55A8E7}">
  <sheetPr>
    <tabColor rgb="FFFFCCFF"/>
  </sheetPr>
  <dimension ref="C1"/>
  <sheetViews>
    <sheetView topLeftCell="C10" zoomScale="85" zoomScaleNormal="85" workbookViewId="0">
      <selection activeCell="O48" sqref="O48"/>
    </sheetView>
  </sheetViews>
  <sheetFormatPr defaultRowHeight="18.75" x14ac:dyDescent="0.4"/>
  <sheetData>
    <row r="1" spans="3:3" x14ac:dyDescent="0.4">
      <c r="C1" s="5" t="s">
        <v>189</v>
      </c>
    </row>
  </sheetData>
  <phoneticPr fontId="2"/>
  <hyperlinks>
    <hyperlink ref="C1" r:id="rId1" xr:uid="{079E54FE-B3B6-489D-A26E-C5E4A6771358}"/>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0D8469A-1EFE-4131-B11B-CD90D022009B}"/>
</file>

<file path=customXml/itemProps2.xml><?xml version="1.0" encoding="utf-8"?>
<ds:datastoreItem xmlns:ds="http://schemas.openxmlformats.org/officeDocument/2006/customXml" ds:itemID="{45A2E3F4-2132-4596-9F4D-BFF84B956DCF}"/>
</file>

<file path=customXml/itemProps3.xml><?xml version="1.0" encoding="utf-8"?>
<ds:datastoreItem xmlns:ds="http://schemas.openxmlformats.org/officeDocument/2006/customXml" ds:itemID="{72846379-527C-4132-BEAC-57A46BC79F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★千葉石油_GGX＆GXLまとめ</vt:lpstr>
      <vt:lpstr>Sheet1</vt:lpstr>
      <vt:lpstr>【参考】温対法排出係数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Okuda, Keita</cp:lastModifiedBy>
  <cp:revision/>
  <dcterms:created xsi:type="dcterms:W3CDTF">2024-07-04T01:04:40Z</dcterms:created>
  <dcterms:modified xsi:type="dcterms:W3CDTF">2025-09-11T13:28:49Z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