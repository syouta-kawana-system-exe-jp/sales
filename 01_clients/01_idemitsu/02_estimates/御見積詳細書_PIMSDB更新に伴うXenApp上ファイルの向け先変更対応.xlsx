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filterPrivacy="1" defaultThemeVersion="124226"/>
  <xr:revisionPtr revIDLastSave="4" documentId="11_8B6681B75915FFA15AA8BEC537154AAE90C8D21D" xr6:coauthVersionLast="47" xr6:coauthVersionMax="47" xr10:uidLastSave="{D69CA2BA-01BC-4A56-867D-FAF4D68AE8BF}"/>
  <bookViews>
    <workbookView xWindow="-98" yWindow="-98" windowWidth="20715" windowHeight="13875" tabRatio="787" xr2:uid="{00000000-000D-0000-FFFF-FFFF00000000}"/>
  </bookViews>
  <sheets>
    <sheet name="御見積詳細書 (顧客用)" sheetId="3" r:id="rId1"/>
    <sheet name="御見積詳細書（社内用）" sheetId="1" r:id="rId2"/>
    <sheet name="スケジュール" sheetId="4" r:id="rId3"/>
  </sheets>
  <definedNames>
    <definedName name="_xlnm.Print_Area" localSheetId="0">'御見積詳細書 (顧客用)'!$A$1:$AJ$143</definedName>
    <definedName name="_xlnm.Print_Area" localSheetId="1">'御見積詳細書（社内用）'!$A$1:$AJ$45</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部門名" localSheetId="0">#REF!</definedName>
    <definedName name="部門名">#REF!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42" i="1" l="1"/>
  <c r="AE43" i="3" l="1"/>
  <c r="B15" i="1" l="1"/>
  <c r="B30" i="1" l="1"/>
  <c r="Y43" i="1" l="1"/>
  <c r="AE42" i="1" l="1"/>
  <c r="AE41" i="1"/>
  <c r="AE40" i="1"/>
  <c r="AE39" i="1"/>
  <c r="AE38" i="1"/>
  <c r="AE37" i="1"/>
  <c r="AE36" i="1"/>
  <c r="AE43" i="1" l="1"/>
  <c r="F9" i="3"/>
  <c r="F9" i="1" l="1"/>
</calcChain>
</file>

<file path=xl/sharedStrings.xml><?xml version="1.0" encoding="utf-8"?>
<sst xmlns="http://schemas.openxmlformats.org/spreadsheetml/2006/main" count="262" uniqueCount="138">
  <si>
    <t>概 算 御 見 積 書</t>
    <rPh sb="0" eb="2">
      <t>ガイサン</t>
    </rPh>
    <rPh sb="2" eb="3">
      <t>サン</t>
    </rPh>
    <rPh sb="4" eb="5">
      <t>ゴ</t>
    </rPh>
    <rPh sb="6" eb="7">
      <t>ミ</t>
    </rPh>
    <rPh sb="8" eb="9">
      <t>セキ</t>
    </rPh>
    <rPh sb="10" eb="11">
      <t>ショ</t>
    </rPh>
    <phoneticPr fontId="4"/>
  </si>
  <si>
    <t>見積番号　</t>
    <rPh sb="0" eb="2">
      <t>ミツ</t>
    </rPh>
    <rPh sb="2" eb="4">
      <t>バンゴウ</t>
    </rPh>
    <phoneticPr fontId="4"/>
  </si>
  <si>
    <t>-</t>
    <phoneticPr fontId="3"/>
  </si>
  <si>
    <t>見積年月日</t>
    <rPh sb="0" eb="2">
      <t>ミツモリ</t>
    </rPh>
    <rPh sb="2" eb="5">
      <t>ネンガッピ</t>
    </rPh>
    <phoneticPr fontId="4"/>
  </si>
  <si>
    <t>出光興産株式会社　御中</t>
    <rPh sb="0" eb="2">
      <t>イデミツ</t>
    </rPh>
    <rPh sb="2" eb="4">
      <t>コウサン</t>
    </rPh>
    <rPh sb="4" eb="8">
      <t>カブシキガイシャ</t>
    </rPh>
    <rPh sb="9" eb="11">
      <t>オンチュウ</t>
    </rPh>
    <phoneticPr fontId="4"/>
  </si>
  <si>
    <t>見積金額</t>
    <rPh sb="0" eb="2">
      <t>ミツモリ</t>
    </rPh>
    <rPh sb="2" eb="4">
      <t>キンガク</t>
    </rPh>
    <phoneticPr fontId="3"/>
  </si>
  <si>
    <t>件名</t>
    <rPh sb="0" eb="2">
      <t>ケンメイ</t>
    </rPh>
    <phoneticPr fontId="4"/>
  </si>
  <si>
    <t>作業形態</t>
    <rPh sb="0" eb="2">
      <t>サギョウ</t>
    </rPh>
    <rPh sb="2" eb="4">
      <t>ケイタイ</t>
    </rPh>
    <phoneticPr fontId="3"/>
  </si>
  <si>
    <t>請負契約</t>
    <rPh sb="0" eb="2">
      <t>ウケオイ</t>
    </rPh>
    <rPh sb="2" eb="4">
      <t>ケイヤク</t>
    </rPh>
    <phoneticPr fontId="3"/>
  </si>
  <si>
    <t>作業場所</t>
    <rPh sb="0" eb="2">
      <t>サギョウ</t>
    </rPh>
    <rPh sb="2" eb="4">
      <t>バショ</t>
    </rPh>
    <phoneticPr fontId="3"/>
  </si>
  <si>
    <t>弊社内（在宅勤務を含む）　※ お打合せ等、必要に応じて貴社へお伺いします。</t>
    <rPh sb="0" eb="2">
      <t>ヘイシャ</t>
    </rPh>
    <rPh sb="2" eb="3">
      <t>ナイ</t>
    </rPh>
    <rPh sb="4" eb="6">
      <t>ザイタク</t>
    </rPh>
    <rPh sb="6" eb="8">
      <t>キンム</t>
    </rPh>
    <rPh sb="9" eb="10">
      <t>フク</t>
    </rPh>
    <rPh sb="16" eb="18">
      <t>ウチアワ</t>
    </rPh>
    <rPh sb="19" eb="20">
      <t>トウ</t>
    </rPh>
    <rPh sb="21" eb="23">
      <t>ヒツヨウ</t>
    </rPh>
    <rPh sb="24" eb="25">
      <t>オウ</t>
    </rPh>
    <rPh sb="27" eb="29">
      <t>キシャ</t>
    </rPh>
    <rPh sb="31" eb="32">
      <t>ウカガ</t>
    </rPh>
    <phoneticPr fontId="3"/>
  </si>
  <si>
    <t>作業期間</t>
    <rPh sb="0" eb="2">
      <t>サギョウ</t>
    </rPh>
    <rPh sb="2" eb="4">
      <t>キカン</t>
    </rPh>
    <phoneticPr fontId="3"/>
  </si>
  <si>
    <t>９か月</t>
    <rPh sb="2" eb="3">
      <t>ゲツ</t>
    </rPh>
    <phoneticPr fontId="3"/>
  </si>
  <si>
    <t>見積金額内訳</t>
    <rPh sb="0" eb="2">
      <t>ミツモリ</t>
    </rPh>
    <rPh sb="2" eb="4">
      <t>キンガク</t>
    </rPh>
    <rPh sb="4" eb="6">
      <t>ウチワケ</t>
    </rPh>
    <phoneticPr fontId="4"/>
  </si>
  <si>
    <t>No</t>
    <phoneticPr fontId="4"/>
  </si>
  <si>
    <t>項目</t>
    <rPh sb="0" eb="2">
      <t>コウモク</t>
    </rPh>
    <phoneticPr fontId="4"/>
  </si>
  <si>
    <t>金額</t>
    <rPh sb="0" eb="2">
      <t>キンガク</t>
    </rPh>
    <phoneticPr fontId="3"/>
  </si>
  <si>
    <t xml:space="preserve"> 要件定義</t>
    <rPh sb="1" eb="5">
      <t>ヨウケンテイギ</t>
    </rPh>
    <phoneticPr fontId="4"/>
  </si>
  <si>
    <t xml:space="preserve"> 基本・詳細設計</t>
    <rPh sb="1" eb="3">
      <t>キホン</t>
    </rPh>
    <rPh sb="4" eb="6">
      <t>ショウサイ</t>
    </rPh>
    <rPh sb="6" eb="8">
      <t>セッケイ</t>
    </rPh>
    <phoneticPr fontId="3"/>
  </si>
  <si>
    <t xml:space="preserve"> 開発</t>
  </si>
  <si>
    <t xml:space="preserve"> 結合テスト</t>
    <rPh sb="1" eb="3">
      <t>ケツゴウ</t>
    </rPh>
    <phoneticPr fontId="4"/>
  </si>
  <si>
    <t xml:space="preserve"> 受入テスト</t>
    <rPh sb="1" eb="3">
      <t>ウケイレ</t>
    </rPh>
    <phoneticPr fontId="4"/>
  </si>
  <si>
    <t xml:space="preserve"> 本番作業・初期流動</t>
    <rPh sb="1" eb="3">
      <t>ホンバン</t>
    </rPh>
    <rPh sb="3" eb="5">
      <t>サギョウ</t>
    </rPh>
    <rPh sb="6" eb="10">
      <t>ショキリュウドウ</t>
    </rPh>
    <phoneticPr fontId="4"/>
  </si>
  <si>
    <t xml:space="preserve"> プロジェクト管理</t>
    <rPh sb="7" eb="9">
      <t>カンリ</t>
    </rPh>
    <phoneticPr fontId="4"/>
  </si>
  <si>
    <t>合計</t>
    <rPh sb="0" eb="2">
      <t>ゴウケイ</t>
    </rPh>
    <phoneticPr fontId="4"/>
  </si>
  <si>
    <t>納品物</t>
    <rPh sb="0" eb="2">
      <t>ノウヒン</t>
    </rPh>
    <rPh sb="2" eb="3">
      <t>ブツ</t>
    </rPh>
    <phoneticPr fontId="4"/>
  </si>
  <si>
    <t>・</t>
    <phoneticPr fontId="3"/>
  </si>
  <si>
    <t>設計書</t>
    <rPh sb="0" eb="3">
      <t>セッケイショ</t>
    </rPh>
    <phoneticPr fontId="3"/>
  </si>
  <si>
    <t>結合テスト仕様書兼結果報告書</t>
    <rPh sb="0" eb="2">
      <t>ケツゴウ</t>
    </rPh>
    <rPh sb="5" eb="7">
      <t>シヨウ</t>
    </rPh>
    <rPh sb="8" eb="9">
      <t>ケン</t>
    </rPh>
    <rPh sb="9" eb="11">
      <t>ケッカ</t>
    </rPh>
    <phoneticPr fontId="3"/>
  </si>
  <si>
    <t>実行ファイル</t>
    <rPh sb="0" eb="2">
      <t>ジッコウ</t>
    </rPh>
    <phoneticPr fontId="3"/>
  </si>
  <si>
    <t>作業内容</t>
    <rPh sb="0" eb="2">
      <t>サギョウ</t>
    </rPh>
    <rPh sb="2" eb="4">
      <t>ナイヨウ</t>
    </rPh>
    <phoneticPr fontId="3"/>
  </si>
  <si>
    <t>PIMSDB接続しているファイルの向け先を変更する</t>
    <rPh sb="6" eb="8">
      <t>セツゾク</t>
    </rPh>
    <rPh sb="17" eb="18">
      <t>ム</t>
    </rPh>
    <rPh sb="19" eb="20">
      <t>サキ</t>
    </rPh>
    <rPh sb="21" eb="23">
      <t>ヘンコウ</t>
    </rPh>
    <phoneticPr fontId="3"/>
  </si>
  <si>
    <t>表.工程ごとの作業内容一覧</t>
    <rPh sb="0" eb="1">
      <t>ヒョウ</t>
    </rPh>
    <rPh sb="2" eb="4">
      <t>コウテイ</t>
    </rPh>
    <rPh sb="7" eb="9">
      <t>サギョウ</t>
    </rPh>
    <rPh sb="9" eb="11">
      <t>ナイヨウ</t>
    </rPh>
    <rPh sb="11" eb="13">
      <t>イチラン</t>
    </rPh>
    <phoneticPr fontId="3"/>
  </si>
  <si>
    <t>工程</t>
    <rPh sb="0" eb="2">
      <t>コウテイ</t>
    </rPh>
    <phoneticPr fontId="4"/>
  </si>
  <si>
    <t>要件定義</t>
    <rPh sb="0" eb="4">
      <t>ヨウケンテイギ</t>
    </rPh>
    <phoneticPr fontId="4"/>
  </si>
  <si>
    <t>修正対象の特定、修正方の検討、テスト範囲テスト方法の確定</t>
    <rPh sb="0" eb="2">
      <t>シュウセイ</t>
    </rPh>
    <rPh sb="2" eb="4">
      <t>タイショウ</t>
    </rPh>
    <rPh sb="5" eb="7">
      <t>トクテイ</t>
    </rPh>
    <rPh sb="8" eb="10">
      <t>シュウセイ</t>
    </rPh>
    <rPh sb="10" eb="11">
      <t>カタ</t>
    </rPh>
    <rPh sb="12" eb="14">
      <t>ケントウ</t>
    </rPh>
    <rPh sb="18" eb="20">
      <t>ハンイ</t>
    </rPh>
    <rPh sb="23" eb="25">
      <t>ホウホウ</t>
    </rPh>
    <rPh sb="26" eb="28">
      <t>カクテイ</t>
    </rPh>
    <phoneticPr fontId="3"/>
  </si>
  <si>
    <t>移行方式の検討を実施します。</t>
    <rPh sb="0" eb="2">
      <t>イコウ</t>
    </rPh>
    <rPh sb="2" eb="4">
      <t>ホウシキ</t>
    </rPh>
    <rPh sb="5" eb="7">
      <t>ケントウ</t>
    </rPh>
    <rPh sb="8" eb="10">
      <t>ジッシ</t>
    </rPh>
    <phoneticPr fontId="3"/>
  </si>
  <si>
    <t>基本・詳細設計</t>
    <rPh sb="0" eb="2">
      <t>キホン</t>
    </rPh>
    <rPh sb="3" eb="5">
      <t>ショウサイ</t>
    </rPh>
    <rPh sb="5" eb="7">
      <t>セッケイ</t>
    </rPh>
    <phoneticPr fontId="3"/>
  </si>
  <si>
    <t>変更仕様書の作成、テスト仕様書の作成、移行ツールの設計を実施します。</t>
    <rPh sb="0" eb="2">
      <t>ヘンコウ</t>
    </rPh>
    <rPh sb="2" eb="5">
      <t>シヨウショ</t>
    </rPh>
    <rPh sb="6" eb="8">
      <t>サクセイ</t>
    </rPh>
    <rPh sb="12" eb="15">
      <t>シヨウショ</t>
    </rPh>
    <rPh sb="16" eb="18">
      <t>サクセイ</t>
    </rPh>
    <rPh sb="19" eb="21">
      <t>イコウ</t>
    </rPh>
    <rPh sb="25" eb="27">
      <t>セッケイ</t>
    </rPh>
    <rPh sb="28" eb="30">
      <t>ジッシ</t>
    </rPh>
    <phoneticPr fontId="3"/>
  </si>
  <si>
    <t>開発</t>
  </si>
  <si>
    <t>コーディングを実施します。</t>
  </si>
  <si>
    <t>結合ﾃｽﾄ</t>
    <rPh sb="0" eb="2">
      <t>ケツゴウ</t>
    </rPh>
    <phoneticPr fontId="4"/>
  </si>
  <si>
    <t>貴社環境にて結合テスト実施、実施結果の分析、不具合の対応を実施し、</t>
  </si>
  <si>
    <t>結合テスト仕様書および結合テスト結果報告書を作成します。</t>
    <rPh sb="0" eb="2">
      <t>ケツゴウ</t>
    </rPh>
    <rPh sb="5" eb="8">
      <t>シヨウショ</t>
    </rPh>
    <rPh sb="11" eb="13">
      <t>ケツゴウ</t>
    </rPh>
    <rPh sb="16" eb="18">
      <t>ケッカ</t>
    </rPh>
    <rPh sb="18" eb="21">
      <t>ホウコクショ</t>
    </rPh>
    <rPh sb="22" eb="24">
      <t>サクセイ</t>
    </rPh>
    <phoneticPr fontId="3"/>
  </si>
  <si>
    <t>受入ﾃｽﾄ</t>
    <rPh sb="0" eb="2">
      <t>ウケイレ</t>
    </rPh>
    <phoneticPr fontId="4"/>
  </si>
  <si>
    <t>貴社環境にて受入テスト実施するための、環境整備と、</t>
    <rPh sb="6" eb="8">
      <t>ウケイレ</t>
    </rPh>
    <rPh sb="19" eb="21">
      <t>カンキョウ</t>
    </rPh>
    <rPh sb="21" eb="23">
      <t>セイビ</t>
    </rPh>
    <phoneticPr fontId="3"/>
  </si>
  <si>
    <t>受入テスト時の問い合わせ対応を実施します。</t>
    <rPh sb="0" eb="2">
      <t>ウケイレ</t>
    </rPh>
    <rPh sb="5" eb="6">
      <t>ジ</t>
    </rPh>
    <rPh sb="7" eb="8">
      <t>ト</t>
    </rPh>
    <rPh sb="9" eb="10">
      <t>ア</t>
    </rPh>
    <rPh sb="12" eb="14">
      <t>タイオウ</t>
    </rPh>
    <rPh sb="15" eb="17">
      <t>ジッシ</t>
    </rPh>
    <phoneticPr fontId="3"/>
  </si>
  <si>
    <t>本番作業</t>
    <rPh sb="0" eb="4">
      <t>ホンバンサギョウ</t>
    </rPh>
    <phoneticPr fontId="4"/>
  </si>
  <si>
    <t>本番作業手順書の作成及び、本番作業の実施を5所分実施します。</t>
    <rPh sb="0" eb="4">
      <t>ホンバンサギョウ</t>
    </rPh>
    <rPh sb="4" eb="7">
      <t>テジュンショ</t>
    </rPh>
    <rPh sb="8" eb="10">
      <t>サクセイ</t>
    </rPh>
    <rPh sb="10" eb="11">
      <t>オヨ</t>
    </rPh>
    <rPh sb="13" eb="15">
      <t>ホンバン</t>
    </rPh>
    <rPh sb="15" eb="17">
      <t>サギョウ</t>
    </rPh>
    <rPh sb="18" eb="20">
      <t>ジッシ</t>
    </rPh>
    <rPh sb="22" eb="23">
      <t>ショ</t>
    </rPh>
    <rPh sb="23" eb="24">
      <t>ブン</t>
    </rPh>
    <rPh sb="24" eb="26">
      <t>ジッシ</t>
    </rPh>
    <phoneticPr fontId="3"/>
  </si>
  <si>
    <t>初期流動</t>
    <rPh sb="0" eb="4">
      <t>ショキリュウドウ</t>
    </rPh>
    <phoneticPr fontId="3"/>
  </si>
  <si>
    <t>初期流動として、各所5日間、2名を確保し、問い合わせ対応をを行います。</t>
    <rPh sb="0" eb="4">
      <t>ショキリュウドウ</t>
    </rPh>
    <rPh sb="8" eb="10">
      <t>カクショ</t>
    </rPh>
    <rPh sb="11" eb="12">
      <t>ニチ</t>
    </rPh>
    <rPh sb="12" eb="13">
      <t>カン</t>
    </rPh>
    <rPh sb="15" eb="16">
      <t>メイ</t>
    </rPh>
    <rPh sb="17" eb="19">
      <t>カクホ</t>
    </rPh>
    <rPh sb="21" eb="22">
      <t>ト</t>
    </rPh>
    <rPh sb="23" eb="24">
      <t>ア</t>
    </rPh>
    <rPh sb="26" eb="28">
      <t>タイオウ</t>
    </rPh>
    <rPh sb="30" eb="31">
      <t>オコナ</t>
    </rPh>
    <phoneticPr fontId="3"/>
  </si>
  <si>
    <t>ﾌﾟﾛｼﾞｪｸﾄ管理</t>
    <rPh sb="8" eb="10">
      <t>カンリ</t>
    </rPh>
    <phoneticPr fontId="3"/>
  </si>
  <si>
    <t>進捗管理、品質管理、要員管理、課題管理等を実施します。</t>
    <rPh sb="0" eb="2">
      <t>シンチョク</t>
    </rPh>
    <rPh sb="2" eb="4">
      <t>カンリ</t>
    </rPh>
    <rPh sb="5" eb="7">
      <t>ヒンシツ</t>
    </rPh>
    <rPh sb="7" eb="9">
      <t>カンリ</t>
    </rPh>
    <rPh sb="10" eb="12">
      <t>ヨウイン</t>
    </rPh>
    <rPh sb="12" eb="14">
      <t>カンリ</t>
    </rPh>
    <rPh sb="15" eb="17">
      <t>カダイ</t>
    </rPh>
    <rPh sb="17" eb="19">
      <t>カンリ</t>
    </rPh>
    <rPh sb="19" eb="20">
      <t>トウ</t>
    </rPh>
    <rPh sb="21" eb="23">
      <t>ジッシ</t>
    </rPh>
    <phoneticPr fontId="3"/>
  </si>
  <si>
    <t>スケジュール</t>
    <phoneticPr fontId="4"/>
  </si>
  <si>
    <t>工程</t>
    <rPh sb="0" eb="1">
      <t>コウテイ</t>
    </rPh>
    <phoneticPr fontId="4"/>
  </si>
  <si>
    <t>4月</t>
    <rPh sb="0" eb="1">
      <t>ガツ</t>
    </rPh>
    <phoneticPr fontId="4"/>
  </si>
  <si>
    <t>5月</t>
    <rPh sb="0" eb="1">
      <t>ガツ</t>
    </rPh>
    <phoneticPr fontId="3"/>
  </si>
  <si>
    <t>6月</t>
  </si>
  <si>
    <t>7月</t>
  </si>
  <si>
    <t>8月</t>
  </si>
  <si>
    <t>9月</t>
  </si>
  <si>
    <t>10月</t>
  </si>
  <si>
    <t>11月</t>
  </si>
  <si>
    <t>12月</t>
  </si>
  <si>
    <t>結合テスト</t>
    <rPh sb="0" eb="2">
      <t>ケツゴウ</t>
    </rPh>
    <phoneticPr fontId="3"/>
  </si>
  <si>
    <t>受入テスト</t>
    <rPh sb="0" eb="2">
      <t>ウケイレ</t>
    </rPh>
    <phoneticPr fontId="3"/>
  </si>
  <si>
    <t>本番作業・初期流動</t>
    <rPh sb="0" eb="2">
      <t>ホンバン</t>
    </rPh>
    <rPh sb="2" eb="4">
      <t>サギョウ</t>
    </rPh>
    <rPh sb="5" eb="9">
      <t>ショキリュウドウ</t>
    </rPh>
    <phoneticPr fontId="3"/>
  </si>
  <si>
    <t>体制</t>
    <rPh sb="0" eb="2">
      <t>タイセイ</t>
    </rPh>
    <phoneticPr fontId="3"/>
  </si>
  <si>
    <t xml:space="preserve"> 責任者
 野村　康二</t>
    <rPh sb="1" eb="4">
      <t>セキニンシャ</t>
    </rPh>
    <rPh sb="6" eb="8">
      <t>ノムラ</t>
    </rPh>
    <rPh sb="9" eb="11">
      <t>コウジ</t>
    </rPh>
    <phoneticPr fontId="4"/>
  </si>
  <si>
    <t xml:space="preserve"> PM
 </t>
    <phoneticPr fontId="3"/>
  </si>
  <si>
    <t xml:space="preserve"> メンバー
　</t>
    <phoneticPr fontId="3"/>
  </si>
  <si>
    <t>サポート
　保守</t>
    <rPh sb="6" eb="8">
      <t>ホシュ</t>
    </rPh>
    <phoneticPr fontId="3"/>
  </si>
  <si>
    <t>※体制は受注時の状況により変わる場合がございます。</t>
    <rPh sb="1" eb="3">
      <t>タイセイ</t>
    </rPh>
    <rPh sb="4" eb="7">
      <t>ジュチュウジ</t>
    </rPh>
    <rPh sb="8" eb="10">
      <t>ジョウキョウ</t>
    </rPh>
    <rPh sb="13" eb="14">
      <t>カ</t>
    </rPh>
    <rPh sb="16" eb="18">
      <t>バアイ</t>
    </rPh>
    <phoneticPr fontId="3"/>
  </si>
  <si>
    <t>その他の前提条件</t>
    <rPh sb="2" eb="3">
      <t>タ</t>
    </rPh>
    <rPh sb="4" eb="6">
      <t>ゼンテイ</t>
    </rPh>
    <rPh sb="6" eb="8">
      <t>ジョウケン</t>
    </rPh>
    <phoneticPr fontId="4"/>
  </si>
  <si>
    <t>１．お見積金額について</t>
    <rPh sb="3" eb="5">
      <t>ミツモリ</t>
    </rPh>
    <rPh sb="5" eb="7">
      <t>キンガク</t>
    </rPh>
    <phoneticPr fontId="4"/>
  </si>
  <si>
    <t>金額は税抜きで記載しております。</t>
    <rPh sb="0" eb="2">
      <t>キンガク</t>
    </rPh>
    <rPh sb="3" eb="5">
      <t>ゼイヌ</t>
    </rPh>
    <rPh sb="7" eb="9">
      <t>キサイ</t>
    </rPh>
    <phoneticPr fontId="3"/>
  </si>
  <si>
    <t>　　</t>
    <phoneticPr fontId="4"/>
  </si>
  <si>
    <t>２．お見積範囲について</t>
    <rPh sb="3" eb="5">
      <t>ミツモリ</t>
    </rPh>
    <rPh sb="5" eb="7">
      <t>ハンイ</t>
    </rPh>
    <phoneticPr fontId="4"/>
  </si>
  <si>
    <t>前回PJの実績を元に工数を算出しております。</t>
    <rPh sb="0" eb="2">
      <t>ゼンカイ</t>
    </rPh>
    <rPh sb="5" eb="7">
      <t>ジッセキ</t>
    </rPh>
    <rPh sb="8" eb="9">
      <t>モト</t>
    </rPh>
    <rPh sb="10" eb="12">
      <t>コウスウ</t>
    </rPh>
    <rPh sb="13" eb="15">
      <t>サンシュツ</t>
    </rPh>
    <phoneticPr fontId="3"/>
  </si>
  <si>
    <t>３．作業場所について</t>
    <rPh sb="2" eb="4">
      <t>サギョウ</t>
    </rPh>
    <rPh sb="4" eb="6">
      <t>バショ</t>
    </rPh>
    <phoneticPr fontId="4"/>
  </si>
  <si>
    <t>作業場所は弊社内（在宅勤務含む）にて実施します。お打合せは、Web会議を想定します。</t>
    <rPh sb="0" eb="2">
      <t>サギョウ</t>
    </rPh>
    <rPh sb="2" eb="4">
      <t>バショ</t>
    </rPh>
    <rPh sb="5" eb="7">
      <t>ヘイシャ</t>
    </rPh>
    <rPh sb="7" eb="8">
      <t>ナイ</t>
    </rPh>
    <rPh sb="9" eb="13">
      <t>ザイタクキンム</t>
    </rPh>
    <rPh sb="13" eb="14">
      <t>フク</t>
    </rPh>
    <rPh sb="18" eb="20">
      <t>ジッシ</t>
    </rPh>
    <rPh sb="33" eb="35">
      <t>カイギ</t>
    </rPh>
    <phoneticPr fontId="4"/>
  </si>
  <si>
    <t>上記以外での作業が発生した場合には交通費・宿泊費等を別途ご請求させていただきます。</t>
    <rPh sb="0" eb="2">
      <t>ジョウキ</t>
    </rPh>
    <rPh sb="2" eb="4">
      <t>イガイ</t>
    </rPh>
    <phoneticPr fontId="4"/>
  </si>
  <si>
    <t>４．瑕疵担保期間について</t>
    <rPh sb="2" eb="4">
      <t>カシ</t>
    </rPh>
    <rPh sb="4" eb="6">
      <t>タンポ</t>
    </rPh>
    <rPh sb="6" eb="8">
      <t>キカン</t>
    </rPh>
    <phoneticPr fontId="3"/>
  </si>
  <si>
    <t>瑕疵担保責任期間は検収日より１年間とします。</t>
    <rPh sb="0" eb="2">
      <t>カシ</t>
    </rPh>
    <rPh sb="2" eb="4">
      <t>タンポ</t>
    </rPh>
    <rPh sb="4" eb="6">
      <t>セキニン</t>
    </rPh>
    <rPh sb="6" eb="8">
      <t>キカン</t>
    </rPh>
    <rPh sb="9" eb="11">
      <t>ケンシュウ</t>
    </rPh>
    <rPh sb="11" eb="12">
      <t>ビ</t>
    </rPh>
    <rPh sb="15" eb="17">
      <t>ネンカン</t>
    </rPh>
    <phoneticPr fontId="3"/>
  </si>
  <si>
    <t>（検収日より1年間に限り契約不適合責任を追及できることとします。）</t>
    <phoneticPr fontId="3"/>
  </si>
  <si>
    <t>５．開発のエクセルの工数について</t>
    <rPh sb="2" eb="4">
      <t>カイハツ</t>
    </rPh>
    <rPh sb="10" eb="12">
      <t>コウスウ</t>
    </rPh>
    <phoneticPr fontId="3"/>
  </si>
  <si>
    <t>２０１９年から２０２２年にかけて行った「情報系ヒストリアン更新対応」案件で実際に修正した</t>
    <phoneticPr fontId="3"/>
  </si>
  <si>
    <t>ファイルの本数をベースにしております。</t>
  </si>
  <si>
    <t>６．開発する実際のファイルについて</t>
    <rPh sb="2" eb="4">
      <t>カイハツ</t>
    </rPh>
    <rPh sb="6" eb="8">
      <t>ジッサイ</t>
    </rPh>
    <phoneticPr fontId="3"/>
  </si>
  <si>
    <t>エクセルの本数については、要件定義時に精査し確定させます。</t>
    <phoneticPr fontId="3"/>
  </si>
  <si>
    <t>７．修正内容について</t>
    <rPh sb="2" eb="4">
      <t>シュウセイ</t>
    </rPh>
    <rPh sb="4" eb="6">
      <t>ナイヨウ</t>
    </rPh>
    <phoneticPr fontId="3"/>
  </si>
  <si>
    <t>本案件の対応内容は、向け先の変更のみで、ロジックの修正は実施しない想定をしております。</t>
    <phoneticPr fontId="3"/>
  </si>
  <si>
    <t>８．結合テストについて</t>
    <rPh sb="2" eb="4">
      <t>ケツゴウ</t>
    </rPh>
    <phoneticPr fontId="3"/>
  </si>
  <si>
    <t>テストでは、エラー時にのみエビデンスを取得します。</t>
    <phoneticPr fontId="3"/>
  </si>
  <si>
    <t>９．テスト範囲について</t>
    <rPh sb="5" eb="7">
      <t>ハンイ</t>
    </rPh>
    <phoneticPr fontId="3"/>
  </si>
  <si>
    <t>改修対象のエクセルの１割を対象にサンプリングしテストすることを想定しております。</t>
    <phoneticPr fontId="3"/>
  </si>
  <si>
    <t>１０．初期流動について</t>
    <rPh sb="3" eb="7">
      <t>ショキリュウドウ</t>
    </rPh>
    <phoneticPr fontId="3"/>
  </si>
  <si>
    <t>初期流動は、準委任契約を想定しております。</t>
    <phoneticPr fontId="3"/>
  </si>
  <si>
    <t>期間中は、対象外のファイルでも可能な限り対応することを想定しております。</t>
    <phoneticPr fontId="3"/>
  </si>
  <si>
    <t>単価</t>
    <rPh sb="0" eb="2">
      <t>タンカ</t>
    </rPh>
    <phoneticPr fontId="4"/>
  </si>
  <si>
    <t>数量</t>
    <rPh sb="0" eb="2">
      <t>スウリョウ</t>
    </rPh>
    <phoneticPr fontId="4"/>
  </si>
  <si>
    <t>人日</t>
    <rPh sb="0" eb="2">
      <t>ニンニチ</t>
    </rPh>
    <phoneticPr fontId="3"/>
  </si>
  <si>
    <t xml:space="preserve"> 設計</t>
  </si>
  <si>
    <t xml:space="preserve"> 統合テスト</t>
    <rPh sb="1" eb="3">
      <t>トウゴウ</t>
    </rPh>
    <phoneticPr fontId="4"/>
  </si>
  <si>
    <t xml:space="preserve"> 本稼働</t>
  </si>
  <si>
    <t>昨年度、愛知で実施した対応を他3所にも同様に反映する。</t>
    <rPh sb="0" eb="3">
      <t>サクネンド</t>
    </rPh>
    <rPh sb="4" eb="6">
      <t>アイチ</t>
    </rPh>
    <rPh sb="7" eb="9">
      <t>ジッシ</t>
    </rPh>
    <rPh sb="11" eb="13">
      <t>タイオウ</t>
    </rPh>
    <rPh sb="14" eb="15">
      <t>ホカ</t>
    </rPh>
    <rPh sb="16" eb="17">
      <t>ショ</t>
    </rPh>
    <rPh sb="19" eb="21">
      <t>ドウヨウ</t>
    </rPh>
    <rPh sb="22" eb="24">
      <t>ハンエイ</t>
    </rPh>
    <phoneticPr fontId="3"/>
  </si>
  <si>
    <t>ただし、各所別モジュールのため、それぞれで対応が必要となる。</t>
    <rPh sb="4" eb="6">
      <t>カクショ</t>
    </rPh>
    <rPh sb="6" eb="7">
      <t>ベツ</t>
    </rPh>
    <rPh sb="21" eb="23">
      <t>タイオウ</t>
    </rPh>
    <rPh sb="24" eb="27">
      <t>ヒツヨウ</t>
    </rPh>
    <phoneticPr fontId="3"/>
  </si>
  <si>
    <t>ざっくりスケジュール</t>
    <phoneticPr fontId="3"/>
  </si>
  <si>
    <t>２０２５年</t>
    <rPh sb="4" eb="5">
      <t>ネン</t>
    </rPh>
    <phoneticPr fontId="3"/>
  </si>
  <si>
    <t>PIMSDBスケジュール</t>
    <phoneticPr fontId="3"/>
  </si>
  <si>
    <t>４月</t>
    <rPh sb="1" eb="2">
      <t>ガツ</t>
    </rPh>
    <phoneticPr fontId="3"/>
  </si>
  <si>
    <t>５月</t>
    <rPh sb="1" eb="2">
      <t>ガツ</t>
    </rPh>
    <phoneticPr fontId="3"/>
  </si>
  <si>
    <t>６月</t>
  </si>
  <si>
    <t>７月</t>
  </si>
  <si>
    <t>８月</t>
  </si>
  <si>
    <t>９月</t>
  </si>
  <si>
    <t>１０月</t>
  </si>
  <si>
    <t>１１月</t>
  </si>
  <si>
    <t>１２月</t>
  </si>
  <si>
    <t>１月</t>
  </si>
  <si>
    <t>２月</t>
  </si>
  <si>
    <t>３月</t>
  </si>
  <si>
    <t>北海道</t>
    <rPh sb="0" eb="3">
      <t>ホッカイドウ</t>
    </rPh>
    <phoneticPr fontId="3"/>
  </si>
  <si>
    <t>リリース</t>
    <phoneticPr fontId="3"/>
  </si>
  <si>
    <t>千葉</t>
    <rPh sb="0" eb="2">
      <t>チバ</t>
    </rPh>
    <phoneticPr fontId="3"/>
  </si>
  <si>
    <t>愛知</t>
    <rPh sb="0" eb="2">
      <t>アイチ</t>
    </rPh>
    <phoneticPr fontId="3"/>
  </si>
  <si>
    <t>徳山</t>
    <rPh sb="0" eb="2">
      <t>トクヤマ</t>
    </rPh>
    <phoneticPr fontId="3"/>
  </si>
  <si>
    <t>四日市</t>
    <rPh sb="0" eb="3">
      <t>ヨッカイチ</t>
    </rPh>
    <phoneticPr fontId="3"/>
  </si>
  <si>
    <t>XenApp移行スケジュール</t>
    <rPh sb="6" eb="8">
      <t>イコウ</t>
    </rPh>
    <phoneticPr fontId="3"/>
  </si>
  <si>
    <t>要件定義</t>
    <rPh sb="0" eb="4">
      <t>ヨウケンテイギ</t>
    </rPh>
    <phoneticPr fontId="3"/>
  </si>
  <si>
    <t>　愛知</t>
    <rPh sb="1" eb="3">
      <t>アイチ</t>
    </rPh>
    <phoneticPr fontId="3"/>
  </si>
  <si>
    <t>開発</t>
    <rPh sb="0" eb="2">
      <t>カイハツ</t>
    </rPh>
    <phoneticPr fontId="3"/>
  </si>
  <si>
    <t>本番作業</t>
    <rPh sb="0" eb="4">
      <t>ホンバンサギョウ</t>
    </rPh>
    <phoneticPr fontId="3"/>
  </si>
  <si>
    <t>　北海道</t>
    <rPh sb="1" eb="4">
      <t>ホッカイドウ</t>
    </rPh>
    <phoneticPr fontId="3"/>
  </si>
  <si>
    <t>　千葉</t>
    <rPh sb="1" eb="3">
      <t>チバ</t>
    </rPh>
    <phoneticPr fontId="3"/>
  </si>
  <si>
    <t>　徳山</t>
    <rPh sb="1" eb="3">
      <t>トクヤマ</t>
    </rPh>
    <phoneticPr fontId="3"/>
  </si>
  <si>
    <t>　四日市</t>
    <rPh sb="1" eb="4">
      <t>ヨッカイチ</t>
    </rPh>
    <phoneticPr fontId="3"/>
  </si>
  <si>
    <t>PIMSDB更新に伴うXenApp上ファイルの向け先変更対応</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</si>
</sst>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5" formatCode="&quot;¥&quot;#,##0;&quot;¥&quot;\-#,##0"/>
    <numFmt numFmtId="176" formatCode="&quot;¥&quot;#,##0_);\(&quot;¥&quot;#,##0\)"/>
    <numFmt numFmtId="177" formatCode="&quot;¥&quot;#,##0.\-"/>
    <numFmt numFmtId="178" formatCode="0.00_);[Red]\(0.00\)"/>
  </numFmts>
  <fonts count="18" x14ac:knownFonts="1">
    <font>
      <sz val="11"/>
      <color theme="1"/>
      <name val="ＭＳ Ｐゴシック"/>
      <family val="2"/>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scheme val="minor"/>
    </font>
    <font>
      <sz val="6"/>
      <name val="ＭＳ Ｐゴシック"/>
      <family val="3"/>
      <charset val="128"/>
    </font>
    <font>
      <sz val="9"/>
      <name val="ＭＳ 明朝"/>
      <family val="1"/>
      <charset val="128"/>
    </font>
    <font>
      <sz val="12"/>
      <name val="ＭＳ 明朝"/>
      <family val="1"/>
      <charset val="128"/>
    </font>
    <font>
      <b/>
      <sz val="9"/>
      <name val="ＭＳ 明朝"/>
      <family val="1"/>
      <charset val="128"/>
    </font>
    <font>
      <sz val="11"/>
      <name val="ＭＳ Ｐゴシック"/>
      <family val="3"/>
      <charset val="128"/>
    </font>
    <font>
      <b/>
      <sz val="12"/>
      <name val="ＭＳ 明朝"/>
      <family val="1"/>
      <charset val="128"/>
    </font>
    <font>
      <sz val="20"/>
      <name val="ＭＳ 明朝"/>
      <family val="1"/>
      <charset val="128"/>
    </font>
    <font>
      <b/>
      <sz val="26"/>
      <name val="ＭＳ 明朝"/>
      <family val="1"/>
      <charset val="128"/>
    </font>
    <font>
      <b/>
      <sz val="10"/>
      <name val="ＭＳ 明朝"/>
      <family val="1"/>
      <charset val="128"/>
    </font>
    <font>
      <sz val="10"/>
      <name val="ＭＳ 明朝"/>
      <family val="1"/>
      <charset val="128"/>
    </font>
    <font>
      <u/>
      <sz val="10"/>
      <name val="ＭＳ 明朝"/>
      <family val="1"/>
      <charset val="128"/>
    </font>
    <font>
      <sz val="10"/>
      <color theme="0"/>
      <name val="ＭＳ 明朝"/>
      <family val="1"/>
      <charset val="128"/>
    </font>
    <font>
      <sz val="10"/>
      <color rgb="FFFF0000"/>
      <name val="ＭＳ 明朝"/>
      <family val="1"/>
      <charset val="128"/>
    </font>
    <font>
      <sz val="8"/>
      <name val="ＭＳ 明朝"/>
      <family val="1"/>
      <charset val="128"/>
    </font>
  </fonts>
  <fills count="4">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s>
  <borders count="31">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hair">
        <color indexed="64"/>
      </bottom>
      <diagonal/>
    </border>
    <border>
      <left/>
      <right/>
      <top style="hair">
        <color indexed="64"/>
      </top>
      <bottom style="hair">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style="thin">
        <color indexed="64"/>
      </bottom>
      <diagonal/>
    </border>
    <border>
      <left/>
      <right style="double">
        <color indexed="64"/>
      </right>
      <top/>
      <bottom style="thin">
        <color indexed="64"/>
      </bottom>
      <diagonal/>
    </border>
    <border>
      <left style="double">
        <color indexed="64"/>
      </left>
      <right/>
      <top/>
      <bottom style="double">
        <color indexed="64"/>
      </bottom>
      <diagonal/>
    </border>
    <border>
      <left/>
      <right/>
      <top/>
      <bottom style="double">
        <color auto="1"/>
      </bottom>
      <diagonal/>
    </border>
    <border>
      <left/>
      <right style="double">
        <color indexed="64"/>
      </right>
      <top/>
      <bottom style="double">
        <color indexed="64"/>
      </bottom>
      <diagonal/>
    </border>
    <border>
      <left style="thin">
        <color indexed="64"/>
      </left>
      <right style="thin">
        <color indexed="64"/>
      </right>
      <top style="thin">
        <color indexed="64"/>
      </top>
      <bottom style="thin">
        <color indexed="64"/>
      </bottom>
      <diagonal/>
    </border>
    <border>
      <left style="double">
        <color indexed="64"/>
      </left>
      <right/>
      <top/>
      <bottom/>
      <diagonal/>
    </border>
    <border>
      <left/>
      <right style="double">
        <color indexed="64"/>
      </right>
      <top/>
      <bottom/>
      <diagonal/>
    </border>
    <border>
      <left/>
      <right style="double">
        <color indexed="64"/>
      </right>
      <top style="thin">
        <color indexed="64"/>
      </top>
      <bottom/>
      <diagonal/>
    </border>
    <border>
      <left style="thin">
        <color auto="1"/>
      </left>
      <right/>
      <top style="double">
        <color auto="1"/>
      </top>
      <bottom style="double">
        <color indexed="64"/>
      </bottom>
      <diagonal/>
    </border>
    <border>
      <left/>
      <right/>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6">
    <xf numFmtId="0" fontId="0" fillId="0" borderId="0"/>
    <xf numFmtId="0" fontId="8" fillId="0" borderId="0">
      <alignment vertical="center"/>
    </xf>
    <xf numFmtId="0" fontId="8" fillId="0" borderId="0">
      <alignment vertical="center"/>
    </xf>
    <xf numFmtId="0" fontId="2" fillId="0" borderId="0">
      <alignment vertical="center"/>
    </xf>
    <xf numFmtId="0" fontId="8" fillId="0" borderId="0"/>
    <xf numFmtId="0" fontId="1" fillId="0" borderId="0">
      <alignment vertical="center"/>
    </xf>
  </cellStyleXfs>
  <cellXfs count="110">
    <xf numFmtId="0" fontId="0" fillId="0" borderId="0" xfId="0"/>
    <xf numFmtId="0" fontId="5" fillId="0" borderId="0" xfId="0" applyFont="1" applyAlignment="1">
      <alignment vertical="center"/>
    </xf>
    <xf numFmtId="0" fontId="7" fillId="0" borderId="0" xfId="0" applyFont="1" applyAlignment="1">
      <alignment vertical="center"/>
    </xf>
    <xf numFmtId="0" fontId="12" fillId="0" borderId="0" xfId="0" applyFont="1" applyAlignment="1">
      <alignment vertical="center"/>
    </xf>
    <xf numFmtId="0" fontId="13" fillId="0" borderId="0" xfId="0" applyFont="1" applyAlignment="1">
      <alignment vertical="center"/>
    </xf>
    <xf numFmtId="0" fontId="13" fillId="2" borderId="10" xfId="0" applyFont="1" applyFill="1" applyBorder="1" applyAlignment="1">
      <alignment horizontal="centerContinuous" vertical="center"/>
    </xf>
    <xf numFmtId="0" fontId="13" fillId="2" borderId="11" xfId="0" applyFont="1" applyFill="1" applyBorder="1" applyAlignment="1">
      <alignment horizontal="centerContinuous" vertical="center"/>
    </xf>
    <xf numFmtId="0" fontId="13" fillId="2" borderId="2" xfId="0" applyFont="1" applyFill="1" applyBorder="1" applyAlignment="1">
      <alignment horizontal="centerContinuous" vertical="center"/>
    </xf>
    <xf numFmtId="0" fontId="14" fillId="0" borderId="0" xfId="0" applyFont="1" applyAlignment="1">
      <alignment vertical="center"/>
    </xf>
    <xf numFmtId="0" fontId="13" fillId="0" borderId="12" xfId="0" applyFont="1" applyBorder="1" applyAlignment="1">
      <alignment vertical="center"/>
    </xf>
    <xf numFmtId="0" fontId="13" fillId="0" borderId="12" xfId="0" applyFont="1" applyBorder="1" applyAlignment="1">
      <alignment horizontal="right" vertical="center"/>
    </xf>
    <xf numFmtId="0" fontId="13" fillId="0" borderId="13" xfId="0" applyFont="1" applyBorder="1" applyAlignment="1">
      <alignment vertical="center"/>
    </xf>
    <xf numFmtId="0" fontId="13" fillId="0" borderId="0" xfId="0" applyFont="1" applyAlignment="1">
      <alignment horizontal="centerContinuous" vertical="center"/>
    </xf>
    <xf numFmtId="178" fontId="13" fillId="0" borderId="0" xfId="0" applyNumberFormat="1" applyFont="1" applyAlignment="1">
      <alignment vertical="center"/>
    </xf>
    <xf numFmtId="0" fontId="16" fillId="0" borderId="0" xfId="0" applyFont="1" applyAlignment="1">
      <alignment vertical="center"/>
    </xf>
    <xf numFmtId="0" fontId="13" fillId="0" borderId="6" xfId="0" applyFont="1" applyBorder="1" applyAlignment="1">
      <alignment horizontal="left" vertical="center"/>
    </xf>
    <xf numFmtId="0" fontId="13" fillId="0" borderId="8" xfId="0" applyFont="1" applyBorder="1" applyAlignment="1">
      <alignment horizontal="left" vertical="center"/>
    </xf>
    <xf numFmtId="0" fontId="5" fillId="0" borderId="25" xfId="0" applyFont="1" applyBorder="1" applyAlignment="1">
      <alignment vertical="center"/>
    </xf>
    <xf numFmtId="0" fontId="13" fillId="0" borderId="0" xfId="0" applyFont="1" applyAlignment="1">
      <alignment horizontal="left" vertical="center"/>
    </xf>
    <xf numFmtId="0" fontId="13" fillId="0" borderId="4" xfId="0" applyFont="1" applyBorder="1" applyAlignment="1">
      <alignment horizontal="left" vertical="center"/>
    </xf>
    <xf numFmtId="0" fontId="13" fillId="0" borderId="7" xfId="0" applyFont="1" applyBorder="1" applyAlignment="1">
      <alignment vertical="center"/>
    </xf>
    <xf numFmtId="0" fontId="13" fillId="0" borderId="1" xfId="0" applyFont="1" applyBorder="1" applyAlignment="1">
      <alignment horizontal="left" vertical="center"/>
    </xf>
    <xf numFmtId="0" fontId="13" fillId="0" borderId="8" xfId="0" applyFont="1" applyBorder="1" applyAlignment="1">
      <alignment vertical="center"/>
    </xf>
    <xf numFmtId="0" fontId="13" fillId="0" borderId="1" xfId="0" applyFont="1" applyBorder="1" applyAlignment="1">
      <alignment vertical="center"/>
    </xf>
    <xf numFmtId="0" fontId="13" fillId="0" borderId="9" xfId="0" applyFont="1" applyBorder="1" applyAlignment="1">
      <alignment vertical="center"/>
    </xf>
    <xf numFmtId="0" fontId="15" fillId="0" borderId="0" xfId="0" applyFont="1" applyAlignment="1">
      <alignment vertical="center"/>
    </xf>
    <xf numFmtId="0" fontId="13" fillId="0" borderId="0" xfId="1" applyFont="1" applyAlignment="1">
      <alignment horizontal="left" vertical="center"/>
    </xf>
    <xf numFmtId="0" fontId="13" fillId="0" borderId="6" xfId="0" applyFont="1" applyBorder="1" applyAlignment="1">
      <alignment vertical="center"/>
    </xf>
    <xf numFmtId="0" fontId="5" fillId="0" borderId="1" xfId="0" applyFont="1" applyBorder="1" applyAlignment="1">
      <alignment vertical="center"/>
    </xf>
    <xf numFmtId="0" fontId="5" fillId="0" borderId="17" xfId="0" applyFont="1" applyBorder="1" applyAlignment="1">
      <alignment vertical="center"/>
    </xf>
    <xf numFmtId="0" fontId="5" fillId="0" borderId="18" xfId="0" applyFont="1" applyBorder="1" applyAlignment="1">
      <alignment vertical="center"/>
    </xf>
    <xf numFmtId="0" fontId="5" fillId="0" borderId="4" xfId="0" applyFont="1" applyBorder="1" applyAlignment="1">
      <alignment vertical="center"/>
    </xf>
    <xf numFmtId="0" fontId="13" fillId="0" borderId="3" xfId="0" applyFont="1" applyBorder="1" applyAlignment="1">
      <alignment vertical="center"/>
    </xf>
    <xf numFmtId="0" fontId="13" fillId="0" borderId="4" xfId="0" applyFont="1" applyBorder="1" applyAlignment="1">
      <alignment vertical="center"/>
    </xf>
    <xf numFmtId="0" fontId="13" fillId="0" borderId="5" xfId="0" applyFont="1" applyBorder="1" applyAlignment="1">
      <alignment vertical="center"/>
    </xf>
    <xf numFmtId="0" fontId="13" fillId="0" borderId="0" xfId="0" applyFont="1" applyAlignment="1">
      <alignment vertical="top"/>
    </xf>
    <xf numFmtId="0" fontId="13" fillId="2" borderId="2" xfId="0" applyFont="1" applyFill="1" applyBorder="1" applyAlignment="1">
      <alignment horizontal="center" vertical="center"/>
    </xf>
    <xf numFmtId="0" fontId="13" fillId="2" borderId="11" xfId="0" applyFont="1" applyFill="1" applyBorder="1" applyAlignment="1">
      <alignment horizontal="center" vertical="center"/>
    </xf>
    <xf numFmtId="17" fontId="17" fillId="2" borderId="11" xfId="0" quotePrefix="1" applyNumberFormat="1" applyFont="1" applyFill="1" applyBorder="1" applyAlignment="1">
      <alignment horizontal="center" vertical="center"/>
    </xf>
    <xf numFmtId="0" fontId="5" fillId="0" borderId="2" xfId="0" applyFont="1" applyBorder="1" applyAlignment="1">
      <alignment vertical="center"/>
    </xf>
    <xf numFmtId="0" fontId="5" fillId="0" borderId="11" xfId="0" applyFont="1" applyBorder="1" applyAlignment="1">
      <alignment vertical="center"/>
    </xf>
    <xf numFmtId="0" fontId="5" fillId="0" borderId="2" xfId="0" applyFont="1" applyBorder="1" applyAlignment="1">
      <alignment horizontal="left" vertical="center" indent="1"/>
    </xf>
    <xf numFmtId="0" fontId="5" fillId="0" borderId="11" xfId="0" applyFont="1" applyBorder="1" applyAlignment="1">
      <alignment horizontal="left" vertical="center" indent="1"/>
    </xf>
    <xf numFmtId="0" fontId="13" fillId="0" borderId="10" xfId="0" applyFont="1" applyBorder="1" applyAlignment="1">
      <alignment horizontal="left" vertical="center"/>
    </xf>
    <xf numFmtId="0" fontId="13" fillId="0" borderId="0" xfId="0" applyFont="1" applyAlignment="1">
      <alignment horizontal="center" vertical="center"/>
    </xf>
    <xf numFmtId="0" fontId="13" fillId="0" borderId="3" xfId="0" applyFont="1" applyBorder="1" applyAlignment="1">
      <alignment horizontal="left" vertical="center"/>
    </xf>
    <xf numFmtId="17" fontId="17" fillId="2" borderId="2" xfId="0" quotePrefix="1" applyNumberFormat="1" applyFont="1" applyFill="1" applyBorder="1" applyAlignment="1">
      <alignment vertical="center"/>
    </xf>
    <xf numFmtId="0" fontId="15" fillId="0" borderId="26" xfId="0" applyFont="1" applyBorder="1" applyAlignment="1">
      <alignment vertical="center"/>
    </xf>
    <xf numFmtId="0" fontId="13" fillId="0" borderId="0" xfId="1" applyFont="1">
      <alignment vertical="center"/>
    </xf>
    <xf numFmtId="0" fontId="5" fillId="0" borderId="27" xfId="0" applyFont="1" applyBorder="1" applyAlignment="1">
      <alignment vertical="center"/>
    </xf>
    <xf numFmtId="0" fontId="0" fillId="0" borderId="10" xfId="0" applyBorder="1"/>
    <xf numFmtId="0" fontId="0" fillId="0" borderId="11"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28" xfId="0" applyBorder="1"/>
    <xf numFmtId="0" fontId="0" fillId="0" borderId="29" xfId="0" applyBorder="1"/>
    <xf numFmtId="0" fontId="0" fillId="0" borderId="8" xfId="0" applyBorder="1"/>
    <xf numFmtId="0" fontId="0" fillId="0" borderId="9" xfId="0" applyBorder="1"/>
    <xf numFmtId="0" fontId="0" fillId="0" borderId="30" xfId="0" applyBorder="1"/>
    <xf numFmtId="0" fontId="13" fillId="2" borderId="22" xfId="0" applyFont="1" applyFill="1" applyBorder="1" applyAlignment="1">
      <alignment horizontal="center" vertical="center"/>
    </xf>
    <xf numFmtId="0" fontId="11" fillId="0" borderId="0" xfId="0" applyFont="1" applyAlignment="1">
      <alignment horizontal="left" vertical="center"/>
    </xf>
    <xf numFmtId="14" fontId="13" fillId="0" borderId="13" xfId="0" applyNumberFormat="1" applyFont="1" applyBorder="1" applyAlignment="1">
      <alignment horizontal="right" vertical="center"/>
    </xf>
    <xf numFmtId="0" fontId="13" fillId="0" borderId="13" xfId="0" applyFont="1" applyBorder="1" applyAlignment="1">
      <alignment horizontal="right" vertical="center"/>
    </xf>
    <xf numFmtId="0" fontId="6" fillId="0" borderId="0" xfId="0" applyFont="1" applyAlignment="1">
      <alignment horizontal="left" vertical="center"/>
    </xf>
    <xf numFmtId="0" fontId="6" fillId="0" borderId="1" xfId="0" applyFont="1" applyBorder="1" applyAlignment="1">
      <alignment horizontal="left" vertical="center"/>
    </xf>
    <xf numFmtId="0" fontId="9" fillId="0" borderId="0" xfId="0" applyFont="1" applyAlignment="1">
      <alignment horizontal="left" vertical="center"/>
    </xf>
    <xf numFmtId="0" fontId="9" fillId="0" borderId="1" xfId="0" applyFont="1" applyBorder="1" applyAlignment="1">
      <alignment horizontal="left" vertical="center"/>
    </xf>
    <xf numFmtId="177" fontId="10" fillId="0" borderId="0" xfId="0" applyNumberFormat="1" applyFont="1" applyAlignment="1">
      <alignment horizontal="right" vertical="center"/>
    </xf>
    <xf numFmtId="177" fontId="10" fillId="0" borderId="1" xfId="0" applyNumberFormat="1" applyFont="1" applyBorder="1" applyAlignment="1">
      <alignment horizontal="right" vertical="center"/>
    </xf>
    <xf numFmtId="0" fontId="13" fillId="0" borderId="10" xfId="0" applyFont="1" applyBorder="1" applyAlignment="1">
      <alignment horizontal="center" vertical="center"/>
    </xf>
    <xf numFmtId="0" fontId="13" fillId="0" borderId="11" xfId="0" applyFont="1" applyBorder="1" applyAlignment="1">
      <alignment horizontal="center" vertical="center"/>
    </xf>
    <xf numFmtId="176" fontId="13" fillId="0" borderId="10" xfId="0" applyNumberFormat="1" applyFont="1" applyBorder="1" applyAlignment="1">
      <alignment horizontal="right" vertical="center"/>
    </xf>
    <xf numFmtId="176" fontId="13" fillId="0" borderId="2" xfId="0" applyNumberFormat="1" applyFont="1" applyBorder="1" applyAlignment="1">
      <alignment horizontal="right" vertical="center"/>
    </xf>
    <xf numFmtId="176" fontId="13" fillId="0" borderId="11" xfId="0" applyNumberFormat="1" applyFont="1" applyBorder="1" applyAlignment="1">
      <alignment horizontal="right" vertical="center"/>
    </xf>
    <xf numFmtId="0" fontId="12" fillId="3" borderId="10" xfId="0" applyFont="1" applyFill="1" applyBorder="1" applyAlignment="1">
      <alignment horizontal="right" vertical="center"/>
    </xf>
    <xf numFmtId="0" fontId="12" fillId="3" borderId="2" xfId="0" applyFont="1" applyFill="1" applyBorder="1" applyAlignment="1">
      <alignment horizontal="right" vertical="center"/>
    </xf>
    <xf numFmtId="0" fontId="12" fillId="3" borderId="11" xfId="0" applyFont="1" applyFill="1" applyBorder="1" applyAlignment="1">
      <alignment horizontal="right" vertical="center"/>
    </xf>
    <xf numFmtId="176" fontId="12" fillId="0" borderId="22" xfId="0" applyNumberFormat="1" applyFont="1" applyBorder="1" applyAlignment="1">
      <alignment horizontal="right" vertical="center"/>
    </xf>
    <xf numFmtId="0" fontId="5" fillId="0" borderId="0" xfId="0" applyFont="1" applyAlignment="1">
      <alignment horizontal="left" vertical="center" wrapText="1"/>
    </xf>
    <xf numFmtId="0" fontId="5" fillId="0" borderId="0" xfId="0" applyFont="1" applyAlignment="1">
      <alignment horizontal="left" vertical="center"/>
    </xf>
    <xf numFmtId="0" fontId="5" fillId="0" borderId="14" xfId="0" applyFont="1" applyBorder="1" applyAlignment="1">
      <alignment horizontal="left" vertical="center" wrapText="1"/>
    </xf>
    <xf numFmtId="0" fontId="5" fillId="0" borderId="15" xfId="0" applyFont="1" applyBorder="1" applyAlignment="1">
      <alignment horizontal="left" vertical="center"/>
    </xf>
    <xf numFmtId="0" fontId="5" fillId="0" borderId="16" xfId="0" applyFont="1" applyBorder="1" applyAlignment="1">
      <alignment horizontal="left" vertical="center"/>
    </xf>
    <xf numFmtId="0" fontId="5" fillId="0" borderId="23" xfId="0" applyFont="1" applyBorder="1" applyAlignment="1">
      <alignment horizontal="left" vertical="center" wrapText="1"/>
    </xf>
    <xf numFmtId="0" fontId="5" fillId="0" borderId="24" xfId="0" applyFont="1" applyBorder="1" applyAlignment="1">
      <alignment horizontal="left" vertical="center"/>
    </xf>
    <xf numFmtId="0" fontId="5" fillId="0" borderId="19" xfId="0" applyFont="1" applyBorder="1" applyAlignment="1">
      <alignment horizontal="left" vertical="center"/>
    </xf>
    <xf numFmtId="0" fontId="5" fillId="0" borderId="20" xfId="0" applyFont="1" applyBorder="1" applyAlignment="1">
      <alignment horizontal="left" vertical="center"/>
    </xf>
    <xf numFmtId="0" fontId="5" fillId="0" borderId="21" xfId="0" applyFont="1" applyBorder="1" applyAlignment="1">
      <alignment horizontal="left" vertical="center"/>
    </xf>
    <xf numFmtId="17" fontId="13" fillId="2" borderId="10" xfId="0" quotePrefix="1" applyNumberFormat="1" applyFont="1" applyFill="1" applyBorder="1" applyAlignment="1">
      <alignment horizontal="center" vertical="center"/>
    </xf>
    <xf numFmtId="0" fontId="13" fillId="2" borderId="2" xfId="0" applyFont="1" applyFill="1" applyBorder="1" applyAlignment="1">
      <alignment horizontal="center" vertical="center"/>
    </xf>
    <xf numFmtId="0" fontId="13" fillId="0" borderId="3" xfId="0" applyFont="1" applyBorder="1" applyAlignment="1">
      <alignment horizontal="center" vertical="top"/>
    </xf>
    <xf numFmtId="0" fontId="13" fillId="0" borderId="5" xfId="0" applyFont="1" applyBorder="1" applyAlignment="1">
      <alignment horizontal="center" vertical="top"/>
    </xf>
    <xf numFmtId="0" fontId="13" fillId="0" borderId="8" xfId="0" applyFont="1" applyBorder="1" applyAlignment="1">
      <alignment horizontal="center" vertical="top"/>
    </xf>
    <xf numFmtId="0" fontId="13" fillId="0" borderId="9" xfId="0" applyFont="1" applyBorder="1" applyAlignment="1">
      <alignment horizontal="center" vertical="top"/>
    </xf>
    <xf numFmtId="5" fontId="13" fillId="0" borderId="2" xfId="0" applyNumberFormat="1" applyFont="1" applyBorder="1" applyAlignment="1">
      <alignment horizontal="center" vertical="center"/>
    </xf>
    <xf numFmtId="5" fontId="13" fillId="0" borderId="11" xfId="0" applyNumberFormat="1" applyFont="1" applyBorder="1" applyAlignment="1">
      <alignment horizontal="center" vertical="center"/>
    </xf>
    <xf numFmtId="5" fontId="13" fillId="0" borderId="10" xfId="0" applyNumberFormat="1" applyFont="1" applyBorder="1" applyAlignment="1">
      <alignment horizontal="right" vertical="center" indent="1"/>
    </xf>
    <xf numFmtId="5" fontId="13" fillId="0" borderId="2" xfId="0" applyNumberFormat="1" applyFont="1" applyBorder="1" applyAlignment="1">
      <alignment horizontal="right" vertical="center" indent="1"/>
    </xf>
    <xf numFmtId="5" fontId="13" fillId="0" borderId="11" xfId="0" applyNumberFormat="1" applyFont="1" applyBorder="1" applyAlignment="1">
      <alignment horizontal="right" vertical="center" indent="1"/>
    </xf>
    <xf numFmtId="178" fontId="13" fillId="0" borderId="10" xfId="0" applyNumberFormat="1" applyFont="1" applyBorder="1" applyAlignment="1">
      <alignment vertical="center"/>
    </xf>
    <xf numFmtId="178" fontId="13" fillId="0" borderId="2" xfId="0" applyNumberFormat="1" applyFont="1" applyBorder="1" applyAlignment="1">
      <alignment vertical="center"/>
    </xf>
    <xf numFmtId="0" fontId="13" fillId="2" borderId="10" xfId="0" applyFont="1" applyFill="1" applyBorder="1" applyAlignment="1">
      <alignment horizontal="center" vertical="center"/>
    </xf>
    <xf numFmtId="0" fontId="13" fillId="2" borderId="11" xfId="0" applyFont="1" applyFill="1" applyBorder="1" applyAlignment="1">
      <alignment horizontal="center" vertical="center"/>
    </xf>
    <xf numFmtId="0" fontId="13" fillId="2" borderId="10" xfId="0" applyFont="1" applyFill="1" applyBorder="1" applyAlignment="1">
      <alignment vertical="center"/>
    </xf>
    <xf numFmtId="0" fontId="13" fillId="2" borderId="2" xfId="0" applyFont="1" applyFill="1" applyBorder="1" applyAlignment="1">
      <alignment vertical="center"/>
    </xf>
    <xf numFmtId="0" fontId="13" fillId="2" borderId="11" xfId="0" applyFont="1" applyFill="1" applyBorder="1" applyAlignment="1">
      <alignment vertical="center"/>
    </xf>
    <xf numFmtId="0" fontId="12" fillId="3" borderId="10" xfId="0" applyFont="1" applyFill="1" applyBorder="1" applyAlignment="1">
      <alignment horizontal="center" vertical="center"/>
    </xf>
    <xf numFmtId="0" fontId="12" fillId="3" borderId="2" xfId="0" applyFont="1" applyFill="1" applyBorder="1" applyAlignment="1">
      <alignment horizontal="center" vertical="center"/>
    </xf>
  </cellXfs>
  <cellStyles count="6">
    <cellStyle name="標準" xfId="0" builtinId="0"/>
    <cellStyle name="標準 2" xfId="1" xr:uid="{00000000-0005-0000-0000-000001000000}"/>
    <cellStyle name="標準 2 2" xfId="2" xr:uid="{00000000-0005-0000-0000-000002000000}"/>
    <cellStyle name="標準 3" xfId="4" xr:uid="{00000000-0005-0000-0000-000003000000}"/>
    <cellStyle name="標準 6" xfId="3" xr:uid="{00000000-0005-0000-0000-000004000000}"/>
    <cellStyle name="標準 8" xfId="5" xr:uid="{00000000-0005-0000-0000-000005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12</xdr:col>
      <xdr:colOff>95250</xdr:colOff>
      <xdr:row>78</xdr:row>
      <xdr:rowOff>47625</xdr:rowOff>
    </xdr:from>
    <xdr:to>
      <xdr:col>15</xdr:col>
      <xdr:colOff>95250</xdr:colOff>
      <xdr:row>79</xdr:row>
      <xdr:rowOff>154305</xdr:rowOff>
    </xdr:to>
    <xdr:sp macro="" textlink="">
      <xdr:nvSpPr>
        <xdr:cNvPr id="22" name="ホームベース 120">
          <a:extLst>
            <a:ext uri="{FF2B5EF4-FFF2-40B4-BE49-F238E27FC236}">
              <a16:creationId xmlns:a16="http://schemas.microsoft.com/office/drawing/2014/main" id="{00000000-0008-0000-0000-000016000000}"/>
            </a:ext>
          </a:extLst>
        </xdr:cNvPr>
        <xdr:cNvSpPr/>
      </xdr:nvSpPr>
      <xdr:spPr bwMode="auto">
        <a:xfrm>
          <a:off x="2495550" y="14906625"/>
          <a:ext cx="600075" cy="297180"/>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overflow" horzOverflow="overflow" wrap="none" lIns="0" tIns="0" rIns="0" bIns="0" rtlCol="0" anchor="ctr" upright="1"/>
        <a:lstStyle/>
        <a:p>
          <a:pPr algn="ctr"/>
          <a:endParaRPr kumimoji="1" lang="ja-JP" altLang="en-US" sz="800">
            <a:latin typeface="ＭＳ 明朝" panose="02020609040205080304" pitchFamily="17" charset="-128"/>
            <a:ea typeface="ＭＳ 明朝" panose="02020609040205080304" pitchFamily="17" charset="-128"/>
          </a:endParaRPr>
        </a:p>
      </xdr:txBody>
    </xdr:sp>
    <xdr:clientData/>
  </xdr:twoCellAnchor>
  <xdr:twoCellAnchor>
    <xdr:from>
      <xdr:col>16</xdr:col>
      <xdr:colOff>171451</xdr:colOff>
      <xdr:row>82</xdr:row>
      <xdr:rowOff>47625</xdr:rowOff>
    </xdr:from>
    <xdr:to>
      <xdr:col>28</xdr:col>
      <xdr:colOff>104775</xdr:colOff>
      <xdr:row>83</xdr:row>
      <xdr:rowOff>154305</xdr:rowOff>
    </xdr:to>
    <xdr:sp macro="" textlink="">
      <xdr:nvSpPr>
        <xdr:cNvPr id="24" name="ホームベース 120">
          <a:extLst>
            <a:ext uri="{FF2B5EF4-FFF2-40B4-BE49-F238E27FC236}">
              <a16:creationId xmlns:a16="http://schemas.microsoft.com/office/drawing/2014/main" id="{00000000-0008-0000-0000-000018000000}"/>
            </a:ext>
          </a:extLst>
        </xdr:cNvPr>
        <xdr:cNvSpPr/>
      </xdr:nvSpPr>
      <xdr:spPr bwMode="auto">
        <a:xfrm>
          <a:off x="3371851" y="15668625"/>
          <a:ext cx="2333624" cy="297180"/>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overflow" horzOverflow="overflow" wrap="none" lIns="0" tIns="0" rIns="0" bIns="0" rtlCol="0" anchor="ctr" upright="1"/>
        <a:lstStyle/>
        <a:p>
          <a:pPr algn="ctr"/>
          <a:endParaRPr kumimoji="1" lang="ja-JP" altLang="en-US" sz="800">
            <a:latin typeface="ＭＳ 明朝" panose="02020609040205080304" pitchFamily="17" charset="-128"/>
            <a:ea typeface="ＭＳ 明朝" panose="02020609040205080304" pitchFamily="17" charset="-128"/>
          </a:endParaRPr>
        </a:p>
      </xdr:txBody>
    </xdr:sp>
    <xdr:clientData/>
  </xdr:twoCellAnchor>
  <xdr:twoCellAnchor>
    <xdr:from>
      <xdr:col>21</xdr:col>
      <xdr:colOff>9524</xdr:colOff>
      <xdr:row>88</xdr:row>
      <xdr:rowOff>47625</xdr:rowOff>
    </xdr:from>
    <xdr:to>
      <xdr:col>35</xdr:col>
      <xdr:colOff>190499</xdr:colOff>
      <xdr:row>89</xdr:row>
      <xdr:rowOff>154305</xdr:rowOff>
    </xdr:to>
    <xdr:sp macro="" textlink="">
      <xdr:nvSpPr>
        <xdr:cNvPr id="27" name="ホームベース 120">
          <a:extLst>
            <a:ext uri="{FF2B5EF4-FFF2-40B4-BE49-F238E27FC236}">
              <a16:creationId xmlns:a16="http://schemas.microsoft.com/office/drawing/2014/main" id="{00000000-0008-0000-0000-00001B000000}"/>
            </a:ext>
          </a:extLst>
        </xdr:cNvPr>
        <xdr:cNvSpPr/>
      </xdr:nvSpPr>
      <xdr:spPr bwMode="auto">
        <a:xfrm>
          <a:off x="4210049" y="16811625"/>
          <a:ext cx="2981325" cy="297180"/>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overflow" horzOverflow="overflow" wrap="none" lIns="0" tIns="0" rIns="0" bIns="0" rtlCol="0" anchor="ctr" upright="1"/>
        <a:lstStyle/>
        <a:p>
          <a:pPr algn="ctr"/>
          <a:endParaRPr kumimoji="1" lang="ja-JP" altLang="en-US" sz="800">
            <a:latin typeface="ＭＳ 明朝" panose="02020609040205080304" pitchFamily="17" charset="-128"/>
            <a:ea typeface="ＭＳ 明朝" panose="02020609040205080304" pitchFamily="17" charset="-128"/>
          </a:endParaRPr>
        </a:p>
      </xdr:txBody>
    </xdr:sp>
    <xdr:clientData/>
  </xdr:twoCellAnchor>
  <xdr:twoCellAnchor>
    <xdr:from>
      <xdr:col>15</xdr:col>
      <xdr:colOff>28576</xdr:colOff>
      <xdr:row>80</xdr:row>
      <xdr:rowOff>47625</xdr:rowOff>
    </xdr:from>
    <xdr:to>
      <xdr:col>16</xdr:col>
      <xdr:colOff>190500</xdr:colOff>
      <xdr:row>81</xdr:row>
      <xdr:rowOff>154305</xdr:rowOff>
    </xdr:to>
    <xdr:sp macro="" textlink="">
      <xdr:nvSpPr>
        <xdr:cNvPr id="5" name="ホームベース 120">
          <a:extLst>
            <a:ext uri="{FF2B5EF4-FFF2-40B4-BE49-F238E27FC236}">
              <a16:creationId xmlns:a16="http://schemas.microsoft.com/office/drawing/2014/main" id="{00000000-0008-0000-0000-000005000000}"/>
            </a:ext>
          </a:extLst>
        </xdr:cNvPr>
        <xdr:cNvSpPr/>
      </xdr:nvSpPr>
      <xdr:spPr bwMode="auto">
        <a:xfrm>
          <a:off x="3028951" y="15287625"/>
          <a:ext cx="361949" cy="297180"/>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overflow" horzOverflow="overflow" wrap="none" lIns="0" tIns="0" rIns="0" bIns="0" rtlCol="0" anchor="ctr" upright="1"/>
        <a:lstStyle/>
        <a:p>
          <a:pPr algn="ctr"/>
          <a:endParaRPr kumimoji="1" lang="ja-JP" altLang="en-US" sz="800">
            <a:latin typeface="ＭＳ 明朝" panose="02020609040205080304" pitchFamily="17" charset="-128"/>
            <a:ea typeface="ＭＳ 明朝" panose="02020609040205080304" pitchFamily="17" charset="-128"/>
          </a:endParaRPr>
        </a:p>
      </xdr:txBody>
    </xdr:sp>
    <xdr:clientData/>
  </xdr:twoCellAnchor>
  <xdr:twoCellAnchor>
    <xdr:from>
      <xdr:col>18</xdr:col>
      <xdr:colOff>66675</xdr:colOff>
      <xdr:row>84</xdr:row>
      <xdr:rowOff>47625</xdr:rowOff>
    </xdr:from>
    <xdr:to>
      <xdr:col>29</xdr:col>
      <xdr:colOff>133350</xdr:colOff>
      <xdr:row>85</xdr:row>
      <xdr:rowOff>154305</xdr:rowOff>
    </xdr:to>
    <xdr:sp macro="" textlink="">
      <xdr:nvSpPr>
        <xdr:cNvPr id="6" name="ホームベース 120">
          <a:extLst>
            <a:ext uri="{FF2B5EF4-FFF2-40B4-BE49-F238E27FC236}">
              <a16:creationId xmlns:a16="http://schemas.microsoft.com/office/drawing/2014/main" id="{00000000-0008-0000-0000-000006000000}"/>
            </a:ext>
          </a:extLst>
        </xdr:cNvPr>
        <xdr:cNvSpPr/>
      </xdr:nvSpPr>
      <xdr:spPr bwMode="auto">
        <a:xfrm>
          <a:off x="3667125" y="16049625"/>
          <a:ext cx="2266950" cy="297180"/>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overflow" horzOverflow="overflow" wrap="none" lIns="0" tIns="0" rIns="0" bIns="0" rtlCol="0" anchor="ctr" upright="1"/>
        <a:lstStyle/>
        <a:p>
          <a:pPr algn="ctr"/>
          <a:endParaRPr kumimoji="1" lang="ja-JP" altLang="en-US" sz="800">
            <a:latin typeface="ＭＳ 明朝" panose="02020609040205080304" pitchFamily="17" charset="-128"/>
            <a:ea typeface="ＭＳ 明朝" panose="02020609040205080304" pitchFamily="17" charset="-128"/>
          </a:endParaRPr>
        </a:p>
      </xdr:txBody>
    </xdr:sp>
    <xdr:clientData/>
  </xdr:twoCellAnchor>
  <xdr:twoCellAnchor>
    <xdr:from>
      <xdr:col>19</xdr:col>
      <xdr:colOff>38099</xdr:colOff>
      <xdr:row>86</xdr:row>
      <xdr:rowOff>47625</xdr:rowOff>
    </xdr:from>
    <xdr:to>
      <xdr:col>32</xdr:col>
      <xdr:colOff>38099</xdr:colOff>
      <xdr:row>87</xdr:row>
      <xdr:rowOff>154305</xdr:rowOff>
    </xdr:to>
    <xdr:sp macro="" textlink="">
      <xdr:nvSpPr>
        <xdr:cNvPr id="7" name="ホームベース 120">
          <a:extLst>
            <a:ext uri="{FF2B5EF4-FFF2-40B4-BE49-F238E27FC236}">
              <a16:creationId xmlns:a16="http://schemas.microsoft.com/office/drawing/2014/main" id="{00000000-0008-0000-0000-000007000000}"/>
            </a:ext>
          </a:extLst>
        </xdr:cNvPr>
        <xdr:cNvSpPr/>
      </xdr:nvSpPr>
      <xdr:spPr bwMode="auto">
        <a:xfrm>
          <a:off x="3838574" y="16430625"/>
          <a:ext cx="2600325" cy="297180"/>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overflow" horzOverflow="overflow" wrap="none" lIns="0" tIns="0" rIns="0" bIns="0" rtlCol="0" anchor="ctr" upright="1"/>
        <a:lstStyle/>
        <a:p>
          <a:pPr algn="ctr"/>
          <a:endParaRPr kumimoji="1" lang="ja-JP" altLang="en-US" sz="800">
            <a:latin typeface="ＭＳ 明朝" panose="02020609040205080304" pitchFamily="17" charset="-128"/>
            <a:ea typeface="ＭＳ 明朝" panose="02020609040205080304" pitchFamily="17" charset="-128"/>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19050</xdr:colOff>
      <xdr:row>17</xdr:row>
      <xdr:rowOff>28575</xdr:rowOff>
    </xdr:from>
    <xdr:to>
      <xdr:col>5</xdr:col>
      <xdr:colOff>0</xdr:colOff>
      <xdr:row>17</xdr:row>
      <xdr:rowOff>209550</xdr:rowOff>
    </xdr:to>
    <xdr:sp macro="" textlink="">
      <xdr:nvSpPr>
        <xdr:cNvPr id="2" name="ホームベース 1">
          <a:extLst>
            <a:ext uri="{FF2B5EF4-FFF2-40B4-BE49-F238E27FC236}">
              <a16:creationId xmlns:a16="http://schemas.microsoft.com/office/drawing/2014/main" id="{00000000-0008-0000-0200-000002000000}"/>
            </a:ext>
          </a:extLst>
        </xdr:cNvPr>
        <xdr:cNvSpPr/>
      </xdr:nvSpPr>
      <xdr:spPr>
        <a:xfrm>
          <a:off x="4305300" y="2647950"/>
          <a:ext cx="666750" cy="180975"/>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19050</xdr:colOff>
      <xdr:row>18</xdr:row>
      <xdr:rowOff>28576</xdr:rowOff>
    </xdr:from>
    <xdr:to>
      <xdr:col>5</xdr:col>
      <xdr:colOff>333375</xdr:colOff>
      <xdr:row>18</xdr:row>
      <xdr:rowOff>209550</xdr:rowOff>
    </xdr:to>
    <xdr:sp macro="" textlink="">
      <xdr:nvSpPr>
        <xdr:cNvPr id="3" name="ホームベース 2">
          <a:extLst>
            <a:ext uri="{FF2B5EF4-FFF2-40B4-BE49-F238E27FC236}">
              <a16:creationId xmlns:a16="http://schemas.microsoft.com/office/drawing/2014/main" id="{00000000-0008-0000-0200-000003000000}"/>
            </a:ext>
          </a:extLst>
        </xdr:cNvPr>
        <xdr:cNvSpPr/>
      </xdr:nvSpPr>
      <xdr:spPr>
        <a:xfrm>
          <a:off x="4991100" y="2886076"/>
          <a:ext cx="314325" cy="180974"/>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314325</xdr:colOff>
      <xdr:row>21</xdr:row>
      <xdr:rowOff>19051</xdr:rowOff>
    </xdr:from>
    <xdr:to>
      <xdr:col>6</xdr:col>
      <xdr:colOff>657224</xdr:colOff>
      <xdr:row>21</xdr:row>
      <xdr:rowOff>200025</xdr:rowOff>
    </xdr:to>
    <xdr:sp macro="" textlink="">
      <xdr:nvSpPr>
        <xdr:cNvPr id="4" name="ホームベース 3">
          <a:extLst>
            <a:ext uri="{FF2B5EF4-FFF2-40B4-BE49-F238E27FC236}">
              <a16:creationId xmlns:a16="http://schemas.microsoft.com/office/drawing/2014/main" id="{00000000-0008-0000-0200-000004000000}"/>
            </a:ext>
          </a:extLst>
        </xdr:cNvPr>
        <xdr:cNvSpPr/>
      </xdr:nvSpPr>
      <xdr:spPr>
        <a:xfrm>
          <a:off x="5972175" y="3590926"/>
          <a:ext cx="342899" cy="180974"/>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371475</xdr:colOff>
      <xdr:row>19</xdr:row>
      <xdr:rowOff>38099</xdr:rowOff>
    </xdr:from>
    <xdr:to>
      <xdr:col>5</xdr:col>
      <xdr:colOff>666750</xdr:colOff>
      <xdr:row>19</xdr:row>
      <xdr:rowOff>200024</xdr:rowOff>
    </xdr:to>
    <xdr:sp macro="" textlink="">
      <xdr:nvSpPr>
        <xdr:cNvPr id="5" name="ホームベース 4">
          <a:extLst>
            <a:ext uri="{FF2B5EF4-FFF2-40B4-BE49-F238E27FC236}">
              <a16:creationId xmlns:a16="http://schemas.microsoft.com/office/drawing/2014/main" id="{00000000-0008-0000-0200-000005000000}"/>
            </a:ext>
          </a:extLst>
        </xdr:cNvPr>
        <xdr:cNvSpPr/>
      </xdr:nvSpPr>
      <xdr:spPr>
        <a:xfrm>
          <a:off x="5343525" y="3133724"/>
          <a:ext cx="295275" cy="161925"/>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28575</xdr:colOff>
      <xdr:row>20</xdr:row>
      <xdr:rowOff>47625</xdr:rowOff>
    </xdr:from>
    <xdr:to>
      <xdr:col>6</xdr:col>
      <xdr:colOff>266701</xdr:colOff>
      <xdr:row>20</xdr:row>
      <xdr:rowOff>200025</xdr:rowOff>
    </xdr:to>
    <xdr:sp macro="" textlink="">
      <xdr:nvSpPr>
        <xdr:cNvPr id="6" name="ホームベース 5">
          <a:extLst>
            <a:ext uri="{FF2B5EF4-FFF2-40B4-BE49-F238E27FC236}">
              <a16:creationId xmlns:a16="http://schemas.microsoft.com/office/drawing/2014/main" id="{00000000-0008-0000-0200-000006000000}"/>
            </a:ext>
          </a:extLst>
        </xdr:cNvPr>
        <xdr:cNvSpPr/>
      </xdr:nvSpPr>
      <xdr:spPr>
        <a:xfrm>
          <a:off x="5686425" y="3381375"/>
          <a:ext cx="238126" cy="1524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238125</xdr:colOff>
      <xdr:row>23</xdr:row>
      <xdr:rowOff>47625</xdr:rowOff>
    </xdr:from>
    <xdr:to>
      <xdr:col>7</xdr:col>
      <xdr:colOff>447675</xdr:colOff>
      <xdr:row>23</xdr:row>
      <xdr:rowOff>190500</xdr:rowOff>
    </xdr:to>
    <xdr:sp macro="" textlink="">
      <xdr:nvSpPr>
        <xdr:cNvPr id="7" name="ホームベース 6">
          <a:extLst>
            <a:ext uri="{FF2B5EF4-FFF2-40B4-BE49-F238E27FC236}">
              <a16:creationId xmlns:a16="http://schemas.microsoft.com/office/drawing/2014/main" id="{00000000-0008-0000-0200-000007000000}"/>
            </a:ext>
          </a:extLst>
        </xdr:cNvPr>
        <xdr:cNvSpPr/>
      </xdr:nvSpPr>
      <xdr:spPr>
        <a:xfrm>
          <a:off x="6581775" y="4095750"/>
          <a:ext cx="209550" cy="142875"/>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285750</xdr:colOff>
      <xdr:row>28</xdr:row>
      <xdr:rowOff>57150</xdr:rowOff>
    </xdr:from>
    <xdr:to>
      <xdr:col>8</xdr:col>
      <xdr:colOff>495300</xdr:colOff>
      <xdr:row>28</xdr:row>
      <xdr:rowOff>200025</xdr:rowOff>
    </xdr:to>
    <xdr:sp macro="" textlink="">
      <xdr:nvSpPr>
        <xdr:cNvPr id="8" name="ホームベース 7">
          <a:extLst>
            <a:ext uri="{FF2B5EF4-FFF2-40B4-BE49-F238E27FC236}">
              <a16:creationId xmlns:a16="http://schemas.microsoft.com/office/drawing/2014/main" id="{00000000-0008-0000-0200-000008000000}"/>
            </a:ext>
          </a:extLst>
        </xdr:cNvPr>
        <xdr:cNvSpPr/>
      </xdr:nvSpPr>
      <xdr:spPr>
        <a:xfrm>
          <a:off x="7315200" y="5295900"/>
          <a:ext cx="209550" cy="142875"/>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228600</xdr:colOff>
      <xdr:row>33</xdr:row>
      <xdr:rowOff>57150</xdr:rowOff>
    </xdr:from>
    <xdr:to>
      <xdr:col>9</xdr:col>
      <xdr:colOff>438150</xdr:colOff>
      <xdr:row>33</xdr:row>
      <xdr:rowOff>200025</xdr:rowOff>
    </xdr:to>
    <xdr:sp macro="" textlink="">
      <xdr:nvSpPr>
        <xdr:cNvPr id="9" name="ホームベース 8">
          <a:extLst>
            <a:ext uri="{FF2B5EF4-FFF2-40B4-BE49-F238E27FC236}">
              <a16:creationId xmlns:a16="http://schemas.microsoft.com/office/drawing/2014/main" id="{00000000-0008-0000-0200-000009000000}"/>
            </a:ext>
          </a:extLst>
        </xdr:cNvPr>
        <xdr:cNvSpPr/>
      </xdr:nvSpPr>
      <xdr:spPr>
        <a:xfrm>
          <a:off x="7943850" y="6486525"/>
          <a:ext cx="209550" cy="142875"/>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285750</xdr:colOff>
      <xdr:row>38</xdr:row>
      <xdr:rowOff>66675</xdr:rowOff>
    </xdr:from>
    <xdr:to>
      <xdr:col>10</xdr:col>
      <xdr:colOff>495300</xdr:colOff>
      <xdr:row>38</xdr:row>
      <xdr:rowOff>209550</xdr:rowOff>
    </xdr:to>
    <xdr:sp macro="" textlink="">
      <xdr:nvSpPr>
        <xdr:cNvPr id="10" name="ホームベース 9">
          <a:extLst>
            <a:ext uri="{FF2B5EF4-FFF2-40B4-BE49-F238E27FC236}">
              <a16:creationId xmlns:a16="http://schemas.microsoft.com/office/drawing/2014/main" id="{00000000-0008-0000-0200-00000A000000}"/>
            </a:ext>
          </a:extLst>
        </xdr:cNvPr>
        <xdr:cNvSpPr/>
      </xdr:nvSpPr>
      <xdr:spPr>
        <a:xfrm>
          <a:off x="8686800" y="7686675"/>
          <a:ext cx="209550" cy="142875"/>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285750</xdr:colOff>
      <xdr:row>43</xdr:row>
      <xdr:rowOff>47625</xdr:rowOff>
    </xdr:from>
    <xdr:to>
      <xdr:col>12</xdr:col>
      <xdr:colOff>495300</xdr:colOff>
      <xdr:row>43</xdr:row>
      <xdr:rowOff>190500</xdr:rowOff>
    </xdr:to>
    <xdr:sp macro="" textlink="">
      <xdr:nvSpPr>
        <xdr:cNvPr id="11" name="ホームベース 10">
          <a:extLst>
            <a:ext uri="{FF2B5EF4-FFF2-40B4-BE49-F238E27FC236}">
              <a16:creationId xmlns:a16="http://schemas.microsoft.com/office/drawing/2014/main" id="{00000000-0008-0000-0200-00000B000000}"/>
            </a:ext>
          </a:extLst>
        </xdr:cNvPr>
        <xdr:cNvSpPr/>
      </xdr:nvSpPr>
      <xdr:spPr>
        <a:xfrm>
          <a:off x="10058400" y="8858250"/>
          <a:ext cx="209550" cy="142875"/>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380999</xdr:colOff>
      <xdr:row>29</xdr:row>
      <xdr:rowOff>47625</xdr:rowOff>
    </xdr:from>
    <xdr:to>
      <xdr:col>7</xdr:col>
      <xdr:colOff>314324</xdr:colOff>
      <xdr:row>29</xdr:row>
      <xdr:rowOff>200025</xdr:rowOff>
    </xdr:to>
    <xdr:sp macro="" textlink="">
      <xdr:nvSpPr>
        <xdr:cNvPr id="12" name="ホームベース 11">
          <a:extLst>
            <a:ext uri="{FF2B5EF4-FFF2-40B4-BE49-F238E27FC236}">
              <a16:creationId xmlns:a16="http://schemas.microsoft.com/office/drawing/2014/main" id="{00000000-0008-0000-0200-00000C000000}"/>
            </a:ext>
          </a:extLst>
        </xdr:cNvPr>
        <xdr:cNvSpPr/>
      </xdr:nvSpPr>
      <xdr:spPr>
        <a:xfrm>
          <a:off x="5353049" y="5524500"/>
          <a:ext cx="1304925" cy="1524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19050</xdr:colOff>
      <xdr:row>24</xdr:row>
      <xdr:rowOff>28575</xdr:rowOff>
    </xdr:from>
    <xdr:to>
      <xdr:col>6</xdr:col>
      <xdr:colOff>276225</xdr:colOff>
      <xdr:row>24</xdr:row>
      <xdr:rowOff>200025</xdr:rowOff>
    </xdr:to>
    <xdr:sp macro="" textlink="">
      <xdr:nvSpPr>
        <xdr:cNvPr id="13" name="ホームベース 12">
          <a:extLst>
            <a:ext uri="{FF2B5EF4-FFF2-40B4-BE49-F238E27FC236}">
              <a16:creationId xmlns:a16="http://schemas.microsoft.com/office/drawing/2014/main" id="{00000000-0008-0000-0200-00000D000000}"/>
            </a:ext>
          </a:extLst>
        </xdr:cNvPr>
        <xdr:cNvSpPr/>
      </xdr:nvSpPr>
      <xdr:spPr>
        <a:xfrm>
          <a:off x="5676900" y="4314825"/>
          <a:ext cx="257175" cy="17145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466724</xdr:colOff>
      <xdr:row>34</xdr:row>
      <xdr:rowOff>38100</xdr:rowOff>
    </xdr:from>
    <xdr:to>
      <xdr:col>8</xdr:col>
      <xdr:colOff>161925</xdr:colOff>
      <xdr:row>34</xdr:row>
      <xdr:rowOff>200025</xdr:rowOff>
    </xdr:to>
    <xdr:sp macro="" textlink="">
      <xdr:nvSpPr>
        <xdr:cNvPr id="14" name="ホームベース 13">
          <a:extLst>
            <a:ext uri="{FF2B5EF4-FFF2-40B4-BE49-F238E27FC236}">
              <a16:creationId xmlns:a16="http://schemas.microsoft.com/office/drawing/2014/main" id="{00000000-0008-0000-0200-00000E000000}"/>
            </a:ext>
          </a:extLst>
        </xdr:cNvPr>
        <xdr:cNvSpPr/>
      </xdr:nvSpPr>
      <xdr:spPr>
        <a:xfrm>
          <a:off x="6810374" y="6705600"/>
          <a:ext cx="381001" cy="161925"/>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485775</xdr:colOff>
      <xdr:row>39</xdr:row>
      <xdr:rowOff>28575</xdr:rowOff>
    </xdr:from>
    <xdr:to>
      <xdr:col>10</xdr:col>
      <xdr:colOff>104775</xdr:colOff>
      <xdr:row>39</xdr:row>
      <xdr:rowOff>190500</xdr:rowOff>
    </xdr:to>
    <xdr:sp macro="" textlink="">
      <xdr:nvSpPr>
        <xdr:cNvPr id="15" name="ホームベース 14">
          <a:extLst>
            <a:ext uri="{FF2B5EF4-FFF2-40B4-BE49-F238E27FC236}">
              <a16:creationId xmlns:a16="http://schemas.microsoft.com/office/drawing/2014/main" id="{00000000-0008-0000-0200-00000F000000}"/>
            </a:ext>
          </a:extLst>
        </xdr:cNvPr>
        <xdr:cNvSpPr/>
      </xdr:nvSpPr>
      <xdr:spPr>
        <a:xfrm>
          <a:off x="6829425" y="7886700"/>
          <a:ext cx="1676400" cy="161925"/>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285750</xdr:colOff>
      <xdr:row>25</xdr:row>
      <xdr:rowOff>38100</xdr:rowOff>
    </xdr:from>
    <xdr:to>
      <xdr:col>6</xdr:col>
      <xdr:colOff>533400</xdr:colOff>
      <xdr:row>25</xdr:row>
      <xdr:rowOff>190499</xdr:rowOff>
    </xdr:to>
    <xdr:sp macro="" textlink="">
      <xdr:nvSpPr>
        <xdr:cNvPr id="16" name="ホームベース 15">
          <a:extLst>
            <a:ext uri="{FF2B5EF4-FFF2-40B4-BE49-F238E27FC236}">
              <a16:creationId xmlns:a16="http://schemas.microsoft.com/office/drawing/2014/main" id="{00000000-0008-0000-0200-000010000000}"/>
            </a:ext>
          </a:extLst>
        </xdr:cNvPr>
        <xdr:cNvSpPr/>
      </xdr:nvSpPr>
      <xdr:spPr>
        <a:xfrm>
          <a:off x="5943600" y="4562475"/>
          <a:ext cx="247650" cy="152399"/>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333375</xdr:colOff>
      <xdr:row>30</xdr:row>
      <xdr:rowOff>57151</xdr:rowOff>
    </xdr:from>
    <xdr:to>
      <xdr:col>7</xdr:col>
      <xdr:colOff>590550</xdr:colOff>
      <xdr:row>30</xdr:row>
      <xdr:rowOff>180975</xdr:rowOff>
    </xdr:to>
    <xdr:sp macro="" textlink="">
      <xdr:nvSpPr>
        <xdr:cNvPr id="17" name="ホームベース 16">
          <a:extLst>
            <a:ext uri="{FF2B5EF4-FFF2-40B4-BE49-F238E27FC236}">
              <a16:creationId xmlns:a16="http://schemas.microsoft.com/office/drawing/2014/main" id="{00000000-0008-0000-0200-000011000000}"/>
            </a:ext>
          </a:extLst>
        </xdr:cNvPr>
        <xdr:cNvSpPr/>
      </xdr:nvSpPr>
      <xdr:spPr>
        <a:xfrm>
          <a:off x="6677025" y="5772151"/>
          <a:ext cx="257175" cy="123824"/>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152400</xdr:colOff>
      <xdr:row>35</xdr:row>
      <xdr:rowOff>28575</xdr:rowOff>
    </xdr:from>
    <xdr:to>
      <xdr:col>8</xdr:col>
      <xdr:colOff>400050</xdr:colOff>
      <xdr:row>35</xdr:row>
      <xdr:rowOff>200024</xdr:rowOff>
    </xdr:to>
    <xdr:sp macro="" textlink="">
      <xdr:nvSpPr>
        <xdr:cNvPr id="18" name="ホームベース 17">
          <a:extLst>
            <a:ext uri="{FF2B5EF4-FFF2-40B4-BE49-F238E27FC236}">
              <a16:creationId xmlns:a16="http://schemas.microsoft.com/office/drawing/2014/main" id="{00000000-0008-0000-0200-000012000000}"/>
            </a:ext>
          </a:extLst>
        </xdr:cNvPr>
        <xdr:cNvSpPr/>
      </xdr:nvSpPr>
      <xdr:spPr>
        <a:xfrm>
          <a:off x="7181850" y="6934200"/>
          <a:ext cx="247650" cy="171449"/>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171450</xdr:colOff>
      <xdr:row>40</xdr:row>
      <xdr:rowOff>38101</xdr:rowOff>
    </xdr:from>
    <xdr:to>
      <xdr:col>10</xdr:col>
      <xdr:colOff>647700</xdr:colOff>
      <xdr:row>40</xdr:row>
      <xdr:rowOff>219075</xdr:rowOff>
    </xdr:to>
    <xdr:sp macro="" textlink="">
      <xdr:nvSpPr>
        <xdr:cNvPr id="19" name="ホームベース 18">
          <a:extLst>
            <a:ext uri="{FF2B5EF4-FFF2-40B4-BE49-F238E27FC236}">
              <a16:creationId xmlns:a16="http://schemas.microsoft.com/office/drawing/2014/main" id="{00000000-0008-0000-0200-000013000000}"/>
            </a:ext>
          </a:extLst>
        </xdr:cNvPr>
        <xdr:cNvSpPr/>
      </xdr:nvSpPr>
      <xdr:spPr>
        <a:xfrm>
          <a:off x="8572500" y="8134351"/>
          <a:ext cx="476250" cy="180974"/>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142875</xdr:colOff>
      <xdr:row>26</xdr:row>
      <xdr:rowOff>28575</xdr:rowOff>
    </xdr:from>
    <xdr:to>
      <xdr:col>7</xdr:col>
      <xdr:colOff>485775</xdr:colOff>
      <xdr:row>26</xdr:row>
      <xdr:rowOff>200025</xdr:rowOff>
    </xdr:to>
    <xdr:sp macro="" textlink="">
      <xdr:nvSpPr>
        <xdr:cNvPr id="20" name="ホームベース 19">
          <a:extLst>
            <a:ext uri="{FF2B5EF4-FFF2-40B4-BE49-F238E27FC236}">
              <a16:creationId xmlns:a16="http://schemas.microsoft.com/office/drawing/2014/main" id="{00000000-0008-0000-0200-000014000000}"/>
            </a:ext>
          </a:extLst>
        </xdr:cNvPr>
        <xdr:cNvSpPr/>
      </xdr:nvSpPr>
      <xdr:spPr>
        <a:xfrm>
          <a:off x="6486525" y="4791075"/>
          <a:ext cx="342900" cy="17145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66675</xdr:colOff>
      <xdr:row>31</xdr:row>
      <xdr:rowOff>57150</xdr:rowOff>
    </xdr:from>
    <xdr:to>
      <xdr:col>8</xdr:col>
      <xdr:colOff>561975</xdr:colOff>
      <xdr:row>31</xdr:row>
      <xdr:rowOff>200025</xdr:rowOff>
    </xdr:to>
    <xdr:sp macro="" textlink="">
      <xdr:nvSpPr>
        <xdr:cNvPr id="21" name="ホームベース 20">
          <a:extLst>
            <a:ext uri="{FF2B5EF4-FFF2-40B4-BE49-F238E27FC236}">
              <a16:creationId xmlns:a16="http://schemas.microsoft.com/office/drawing/2014/main" id="{00000000-0008-0000-0200-000015000000}"/>
            </a:ext>
          </a:extLst>
        </xdr:cNvPr>
        <xdr:cNvSpPr/>
      </xdr:nvSpPr>
      <xdr:spPr>
        <a:xfrm>
          <a:off x="7096125" y="6010275"/>
          <a:ext cx="495300" cy="142875"/>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447675</xdr:colOff>
      <xdr:row>36</xdr:row>
      <xdr:rowOff>28575</xdr:rowOff>
    </xdr:from>
    <xdr:to>
      <xdr:col>9</xdr:col>
      <xdr:colOff>666751</xdr:colOff>
      <xdr:row>36</xdr:row>
      <xdr:rowOff>200025</xdr:rowOff>
    </xdr:to>
    <xdr:sp macro="" textlink="">
      <xdr:nvSpPr>
        <xdr:cNvPr id="22" name="ホームベース 21">
          <a:extLst>
            <a:ext uri="{FF2B5EF4-FFF2-40B4-BE49-F238E27FC236}">
              <a16:creationId xmlns:a16="http://schemas.microsoft.com/office/drawing/2014/main" id="{00000000-0008-0000-0200-000016000000}"/>
            </a:ext>
          </a:extLst>
        </xdr:cNvPr>
        <xdr:cNvSpPr/>
      </xdr:nvSpPr>
      <xdr:spPr>
        <a:xfrm>
          <a:off x="7477125" y="7172325"/>
          <a:ext cx="904876" cy="17145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19049</xdr:colOff>
      <xdr:row>41</xdr:row>
      <xdr:rowOff>28575</xdr:rowOff>
    </xdr:from>
    <xdr:to>
      <xdr:col>11</xdr:col>
      <xdr:colOff>676274</xdr:colOff>
      <xdr:row>41</xdr:row>
      <xdr:rowOff>200025</xdr:rowOff>
    </xdr:to>
    <xdr:sp macro="" textlink="">
      <xdr:nvSpPr>
        <xdr:cNvPr id="23" name="ホームベース 22">
          <a:extLst>
            <a:ext uri="{FF2B5EF4-FFF2-40B4-BE49-F238E27FC236}">
              <a16:creationId xmlns:a16="http://schemas.microsoft.com/office/drawing/2014/main" id="{00000000-0008-0000-0200-000017000000}"/>
            </a:ext>
          </a:extLst>
        </xdr:cNvPr>
        <xdr:cNvSpPr/>
      </xdr:nvSpPr>
      <xdr:spPr>
        <a:xfrm>
          <a:off x="9105899" y="8362950"/>
          <a:ext cx="657225" cy="17145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19050</xdr:colOff>
      <xdr:row>22</xdr:row>
      <xdr:rowOff>38100</xdr:rowOff>
    </xdr:from>
    <xdr:to>
      <xdr:col>7</xdr:col>
      <xdr:colOff>190500</xdr:colOff>
      <xdr:row>22</xdr:row>
      <xdr:rowOff>219075</xdr:rowOff>
    </xdr:to>
    <xdr:sp macro="" textlink="">
      <xdr:nvSpPr>
        <xdr:cNvPr id="24" name="フローチャート: 結合子 23">
          <a:extLst>
            <a:ext uri="{FF2B5EF4-FFF2-40B4-BE49-F238E27FC236}">
              <a16:creationId xmlns:a16="http://schemas.microsoft.com/office/drawing/2014/main" id="{00000000-0008-0000-0200-000018000000}"/>
            </a:ext>
          </a:extLst>
        </xdr:cNvPr>
        <xdr:cNvSpPr/>
      </xdr:nvSpPr>
      <xdr:spPr>
        <a:xfrm>
          <a:off x="6362700" y="3848100"/>
          <a:ext cx="171450" cy="180975"/>
        </a:xfrm>
        <a:prstGeom prst="flowChartConnector">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47625</xdr:colOff>
      <xdr:row>27</xdr:row>
      <xdr:rowOff>28575</xdr:rowOff>
    </xdr:from>
    <xdr:to>
      <xdr:col>8</xdr:col>
      <xdr:colOff>219075</xdr:colOff>
      <xdr:row>27</xdr:row>
      <xdr:rowOff>209550</xdr:rowOff>
    </xdr:to>
    <xdr:sp macro="" textlink="">
      <xdr:nvSpPr>
        <xdr:cNvPr id="25" name="フローチャート: 結合子 24">
          <a:extLst>
            <a:ext uri="{FF2B5EF4-FFF2-40B4-BE49-F238E27FC236}">
              <a16:creationId xmlns:a16="http://schemas.microsoft.com/office/drawing/2014/main" id="{00000000-0008-0000-0200-000019000000}"/>
            </a:ext>
          </a:extLst>
        </xdr:cNvPr>
        <xdr:cNvSpPr/>
      </xdr:nvSpPr>
      <xdr:spPr>
        <a:xfrm>
          <a:off x="7077075" y="5029200"/>
          <a:ext cx="171450" cy="180975"/>
        </a:xfrm>
        <a:prstGeom prst="flowChartConnector">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28575</xdr:colOff>
      <xdr:row>32</xdr:row>
      <xdr:rowOff>38100</xdr:rowOff>
    </xdr:from>
    <xdr:to>
      <xdr:col>9</xdr:col>
      <xdr:colOff>200025</xdr:colOff>
      <xdr:row>32</xdr:row>
      <xdr:rowOff>219075</xdr:rowOff>
    </xdr:to>
    <xdr:sp macro="" textlink="">
      <xdr:nvSpPr>
        <xdr:cNvPr id="26" name="フローチャート: 結合子 25">
          <a:extLst>
            <a:ext uri="{FF2B5EF4-FFF2-40B4-BE49-F238E27FC236}">
              <a16:creationId xmlns:a16="http://schemas.microsoft.com/office/drawing/2014/main" id="{00000000-0008-0000-0200-00001A000000}"/>
            </a:ext>
          </a:extLst>
        </xdr:cNvPr>
        <xdr:cNvSpPr/>
      </xdr:nvSpPr>
      <xdr:spPr>
        <a:xfrm>
          <a:off x="7743825" y="6229350"/>
          <a:ext cx="171450" cy="180975"/>
        </a:xfrm>
        <a:prstGeom prst="flowChartConnector">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76200</xdr:colOff>
      <xdr:row>37</xdr:row>
      <xdr:rowOff>28575</xdr:rowOff>
    </xdr:from>
    <xdr:to>
      <xdr:col>10</xdr:col>
      <xdr:colOff>247650</xdr:colOff>
      <xdr:row>37</xdr:row>
      <xdr:rowOff>209550</xdr:rowOff>
    </xdr:to>
    <xdr:sp macro="" textlink="">
      <xdr:nvSpPr>
        <xdr:cNvPr id="27" name="フローチャート: 結合子 26">
          <a:extLst>
            <a:ext uri="{FF2B5EF4-FFF2-40B4-BE49-F238E27FC236}">
              <a16:creationId xmlns:a16="http://schemas.microsoft.com/office/drawing/2014/main" id="{00000000-0008-0000-0200-00001B000000}"/>
            </a:ext>
          </a:extLst>
        </xdr:cNvPr>
        <xdr:cNvSpPr/>
      </xdr:nvSpPr>
      <xdr:spPr>
        <a:xfrm>
          <a:off x="8477250" y="7410450"/>
          <a:ext cx="171450" cy="180975"/>
        </a:xfrm>
        <a:prstGeom prst="flowChartConnector">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47625</xdr:colOff>
      <xdr:row>42</xdr:row>
      <xdr:rowOff>28575</xdr:rowOff>
    </xdr:from>
    <xdr:to>
      <xdr:col>12</xdr:col>
      <xdr:colOff>219075</xdr:colOff>
      <xdr:row>42</xdr:row>
      <xdr:rowOff>209550</xdr:rowOff>
    </xdr:to>
    <xdr:sp macro="" textlink="">
      <xdr:nvSpPr>
        <xdr:cNvPr id="28" name="フローチャート: 結合子 27">
          <a:extLst>
            <a:ext uri="{FF2B5EF4-FFF2-40B4-BE49-F238E27FC236}">
              <a16:creationId xmlns:a16="http://schemas.microsoft.com/office/drawing/2014/main" id="{00000000-0008-0000-0200-00001C000000}"/>
            </a:ext>
          </a:extLst>
        </xdr:cNvPr>
        <xdr:cNvSpPr/>
      </xdr:nvSpPr>
      <xdr:spPr>
        <a:xfrm>
          <a:off x="9820275" y="8601075"/>
          <a:ext cx="171450" cy="180975"/>
        </a:xfrm>
        <a:prstGeom prst="flowChartConnector">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150"/>
  <sheetViews>
    <sheetView showGridLines="0" tabSelected="1" view="pageBreakPreview" zoomScaleNormal="100" zoomScaleSheetLayoutView="100" workbookViewId="0">
      <selection activeCell="H20" sqref="H20"/>
    </sheetView>
  </sheetViews>
  <sheetFormatPr defaultColWidth="2.59765625" defaultRowHeight="15" customHeight="1" x14ac:dyDescent="0.25"/>
  <cols>
    <col min="1" max="1" width="2.59765625" style="3"/>
    <col min="2" max="2" width="36.59765625" style="4" bestFit="1" customWidth="1"/>
    <col min="3" max="27" width="2.59765625" style="4"/>
    <col min="28" max="28" width="2.59765625" style="4" customWidth="1"/>
    <col min="29" max="16384" width="2.59765625" style="4"/>
  </cols>
  <sheetData>
    <row r="1" spans="1:37" s="1" customFormat="1" ht="15" customHeight="1" x14ac:dyDescent="0.25">
      <c r="A1" s="62" t="s">
        <v>0</v>
      </c>
      <c r="B1" s="62"/>
      <c r="C1" s="62"/>
      <c r="D1" s="62"/>
      <c r="E1" s="62"/>
      <c r="F1" s="62"/>
      <c r="G1" s="62"/>
      <c r="H1" s="62"/>
      <c r="I1" s="62"/>
      <c r="J1" s="62"/>
      <c r="K1" s="62"/>
      <c r="L1" s="62"/>
      <c r="M1" s="62"/>
      <c r="N1" s="62"/>
      <c r="O1" s="62"/>
      <c r="P1" s="62"/>
      <c r="Q1" s="62"/>
      <c r="Y1" s="9" t="s">
        <v>1</v>
      </c>
      <c r="Z1" s="9"/>
      <c r="AA1" s="9"/>
      <c r="AB1" s="9"/>
      <c r="AC1" s="9"/>
      <c r="AD1" s="9"/>
      <c r="AE1" s="9"/>
      <c r="AF1" s="9"/>
      <c r="AG1" s="9"/>
      <c r="AH1" s="9"/>
      <c r="AI1" s="9"/>
      <c r="AJ1" s="10" t="s">
        <v>2</v>
      </c>
      <c r="AK1" s="4"/>
    </row>
    <row r="2" spans="1:37" s="1" customFormat="1" ht="15" customHeight="1" x14ac:dyDescent="0.25">
      <c r="A2" s="62"/>
      <c r="B2" s="62"/>
      <c r="C2" s="62"/>
      <c r="D2" s="62"/>
      <c r="E2" s="62"/>
      <c r="F2" s="62"/>
      <c r="G2" s="62"/>
      <c r="H2" s="62"/>
      <c r="I2" s="62"/>
      <c r="J2" s="62"/>
      <c r="K2" s="62"/>
      <c r="L2" s="62"/>
      <c r="M2" s="62"/>
      <c r="N2" s="62"/>
      <c r="O2" s="62"/>
      <c r="P2" s="62"/>
      <c r="Q2" s="62"/>
      <c r="Y2" s="11" t="s">
        <v>3</v>
      </c>
      <c r="Z2" s="11"/>
      <c r="AA2" s="11"/>
      <c r="AB2" s="11"/>
      <c r="AC2" s="11"/>
      <c r="AD2" s="11"/>
      <c r="AE2" s="11"/>
      <c r="AF2" s="63"/>
      <c r="AG2" s="64"/>
      <c r="AH2" s="64"/>
      <c r="AI2" s="64"/>
      <c r="AJ2" s="64"/>
      <c r="AK2" s="4"/>
    </row>
    <row r="3" spans="1:37" s="1" customFormat="1" ht="15" customHeight="1" x14ac:dyDescent="0.25">
      <c r="A3" s="2"/>
      <c r="Z3" s="4"/>
      <c r="AA3" s="4"/>
      <c r="AB3" s="4"/>
      <c r="AC3" s="4"/>
      <c r="AD3" s="4"/>
      <c r="AE3" s="4"/>
      <c r="AF3" s="4"/>
      <c r="AG3" s="4"/>
      <c r="AH3" s="4"/>
      <c r="AI3" s="4"/>
      <c r="AJ3" s="4"/>
      <c r="AK3" s="4"/>
    </row>
    <row r="4" spans="1:37" s="1" customFormat="1" ht="15" customHeight="1" x14ac:dyDescent="0.25">
      <c r="A4" s="2"/>
      <c r="Z4" s="4"/>
      <c r="AA4" s="4"/>
      <c r="AB4" s="4"/>
      <c r="AC4" s="4"/>
      <c r="AD4" s="4"/>
      <c r="AE4" s="4"/>
      <c r="AF4" s="4"/>
      <c r="AG4" s="4"/>
      <c r="AH4" s="4"/>
      <c r="AI4" s="4"/>
      <c r="AJ4" s="4"/>
      <c r="AK4" s="4"/>
    </row>
    <row r="5" spans="1:37" s="1" customFormat="1" ht="15" customHeight="1" x14ac:dyDescent="0.25">
      <c r="A5" s="65" t="s">
        <v>4</v>
      </c>
      <c r="B5" s="65"/>
      <c r="C5" s="65"/>
      <c r="D5" s="65"/>
      <c r="E5" s="65"/>
      <c r="F5" s="65"/>
      <c r="G5" s="65"/>
      <c r="H5" s="65"/>
      <c r="I5" s="65"/>
      <c r="J5" s="65"/>
      <c r="K5" s="65"/>
      <c r="L5" s="65"/>
      <c r="M5" s="65"/>
      <c r="N5" s="65"/>
      <c r="O5" s="65"/>
      <c r="P5" s="65"/>
      <c r="Q5" s="65"/>
      <c r="Z5" s="4"/>
      <c r="AA5" s="4"/>
      <c r="AB5" s="4"/>
      <c r="AC5" s="4"/>
      <c r="AD5" s="4"/>
      <c r="AE5" s="4"/>
      <c r="AF5" s="4"/>
      <c r="AG5" s="4"/>
      <c r="AH5" s="4"/>
      <c r="AI5" s="4"/>
      <c r="AJ5" s="4"/>
      <c r="AK5" s="4"/>
    </row>
    <row r="6" spans="1:37" s="1" customFormat="1" ht="15" customHeight="1" x14ac:dyDescent="0.25">
      <c r="A6" s="66"/>
      <c r="B6" s="66"/>
      <c r="C6" s="66"/>
      <c r="D6" s="66"/>
      <c r="E6" s="66"/>
      <c r="F6" s="66"/>
      <c r="G6" s="66"/>
      <c r="H6" s="66"/>
      <c r="I6" s="66"/>
      <c r="J6" s="66"/>
      <c r="K6" s="66"/>
      <c r="L6" s="66"/>
      <c r="M6" s="66"/>
      <c r="N6" s="66"/>
      <c r="O6" s="66"/>
      <c r="P6" s="66"/>
      <c r="Q6" s="66"/>
      <c r="Z6" s="4"/>
      <c r="AA6" s="4"/>
      <c r="AB6" s="4"/>
      <c r="AC6" s="4"/>
      <c r="AD6" s="4"/>
      <c r="AE6" s="4"/>
      <c r="AF6" s="4"/>
      <c r="AG6" s="4"/>
      <c r="AH6" s="4"/>
      <c r="AI6" s="4"/>
      <c r="AJ6" s="4"/>
      <c r="AK6" s="4"/>
    </row>
    <row r="7" spans="1:37" s="1" customFormat="1" ht="15" customHeight="1" x14ac:dyDescent="0.25">
      <c r="A7" s="2"/>
      <c r="AA7" s="4"/>
      <c r="AB7" s="4"/>
      <c r="AC7" s="4"/>
      <c r="AD7" s="4"/>
      <c r="AE7" s="4"/>
      <c r="AF7" s="4"/>
      <c r="AG7" s="4"/>
      <c r="AH7" s="4"/>
      <c r="AI7" s="4"/>
      <c r="AJ7" s="4"/>
      <c r="AK7" s="4"/>
    </row>
    <row r="8" spans="1:37" s="1" customFormat="1" ht="15" customHeight="1" x14ac:dyDescent="0.25">
      <c r="A8" s="2"/>
      <c r="Y8" s="4"/>
      <c r="AA8" s="4"/>
      <c r="AB8" s="4"/>
      <c r="AC8" s="4"/>
      <c r="AD8" s="4"/>
      <c r="AE8" s="4"/>
      <c r="AF8" s="4"/>
      <c r="AG8" s="4"/>
      <c r="AH8" s="4"/>
      <c r="AI8" s="4"/>
      <c r="AJ8" s="4"/>
      <c r="AK8" s="4"/>
    </row>
    <row r="9" spans="1:37" s="1" customFormat="1" ht="15" customHeight="1" x14ac:dyDescent="0.25">
      <c r="A9" s="67" t="s">
        <v>5</v>
      </c>
      <c r="B9" s="67"/>
      <c r="C9" s="67"/>
      <c r="D9" s="67"/>
      <c r="E9" s="67"/>
      <c r="F9" s="69">
        <f>AE43</f>
        <v>15327500</v>
      </c>
      <c r="G9" s="69"/>
      <c r="H9" s="69"/>
      <c r="I9" s="69"/>
      <c r="J9" s="69"/>
      <c r="K9" s="69"/>
      <c r="L9" s="69"/>
      <c r="M9" s="69"/>
      <c r="N9" s="69"/>
      <c r="O9" s="69"/>
      <c r="P9" s="69"/>
      <c r="Q9" s="69"/>
      <c r="Y9" s="4"/>
      <c r="AA9" s="4"/>
      <c r="AB9" s="4"/>
      <c r="AC9" s="4"/>
      <c r="AD9" s="4"/>
      <c r="AE9" s="4"/>
      <c r="AF9" s="4"/>
      <c r="AG9" s="4"/>
      <c r="AH9" s="4"/>
      <c r="AI9" s="4"/>
      <c r="AJ9" s="4"/>
      <c r="AK9" s="4"/>
    </row>
    <row r="10" spans="1:37" s="1" customFormat="1" ht="15" customHeight="1" x14ac:dyDescent="0.25">
      <c r="A10" s="68"/>
      <c r="B10" s="68"/>
      <c r="C10" s="68"/>
      <c r="D10" s="68"/>
      <c r="E10" s="68"/>
      <c r="F10" s="70"/>
      <c r="G10" s="70"/>
      <c r="H10" s="70"/>
      <c r="I10" s="70"/>
      <c r="J10" s="70"/>
      <c r="K10" s="70"/>
      <c r="L10" s="70"/>
      <c r="M10" s="70"/>
      <c r="N10" s="70"/>
      <c r="O10" s="70"/>
      <c r="P10" s="70"/>
      <c r="Q10" s="70"/>
      <c r="Y10" s="4"/>
      <c r="AA10" s="4"/>
      <c r="AB10" s="4"/>
      <c r="AC10" s="4"/>
      <c r="AD10" s="4"/>
      <c r="AE10" s="4"/>
      <c r="AF10" s="4"/>
      <c r="AG10" s="4"/>
      <c r="AH10" s="4"/>
      <c r="AI10" s="4"/>
      <c r="AJ10" s="4"/>
      <c r="AK10" s="4"/>
    </row>
    <row r="11" spans="1:37" s="1" customFormat="1" ht="15" customHeight="1" x14ac:dyDescent="0.25">
      <c r="A11" s="2"/>
    </row>
    <row r="12" spans="1:37" s="1" customFormat="1" ht="15" customHeight="1" x14ac:dyDescent="0.25">
      <c r="A12" s="2"/>
    </row>
    <row r="13" spans="1:37" ht="15" customHeight="1" x14ac:dyDescent="0.25">
      <c r="A13" s="3" t="s">
        <v>6</v>
      </c>
    </row>
    <row r="15" spans="1:37" ht="15" customHeight="1" x14ac:dyDescent="0.25">
      <c r="B15" s="4" t="s">
        <v>137</v>
      </c>
    </row>
    <row r="17" spans="1:16" ht="15" customHeight="1" x14ac:dyDescent="0.25">
      <c r="A17" s="4"/>
    </row>
    <row r="18" spans="1:16" ht="15" customHeight="1" x14ac:dyDescent="0.25">
      <c r="A18" s="3" t="s">
        <v>7</v>
      </c>
      <c r="P18" s="3"/>
    </row>
    <row r="19" spans="1:16" ht="15" customHeight="1" x14ac:dyDescent="0.25">
      <c r="A19" s="4"/>
    </row>
    <row r="20" spans="1:16" ht="15" customHeight="1" x14ac:dyDescent="0.25">
      <c r="A20" s="4"/>
      <c r="B20" s="4" t="s">
        <v>8</v>
      </c>
    </row>
    <row r="21" spans="1:16" ht="15" customHeight="1" x14ac:dyDescent="0.25">
      <c r="A21" s="4"/>
    </row>
    <row r="22" spans="1:16" ht="15" customHeight="1" x14ac:dyDescent="0.25">
      <c r="A22" s="4"/>
    </row>
    <row r="23" spans="1:16" ht="15" customHeight="1" x14ac:dyDescent="0.25">
      <c r="A23" s="3" t="s">
        <v>9</v>
      </c>
    </row>
    <row r="24" spans="1:16" ht="15" customHeight="1" x14ac:dyDescent="0.25">
      <c r="A24" s="4"/>
    </row>
    <row r="25" spans="1:16" ht="15" customHeight="1" x14ac:dyDescent="0.25">
      <c r="A25" s="4"/>
      <c r="B25" s="4" t="s">
        <v>10</v>
      </c>
    </row>
    <row r="26" spans="1:16" ht="15" customHeight="1" x14ac:dyDescent="0.25">
      <c r="A26" s="4"/>
    </row>
    <row r="27" spans="1:16" ht="15" customHeight="1" x14ac:dyDescent="0.25">
      <c r="A27" s="4"/>
    </row>
    <row r="28" spans="1:16" ht="15" customHeight="1" x14ac:dyDescent="0.25">
      <c r="A28" s="3" t="s">
        <v>11</v>
      </c>
    </row>
    <row r="30" spans="1:16" ht="15" customHeight="1" x14ac:dyDescent="0.25">
      <c r="A30" s="4"/>
      <c r="B30" s="4" t="s">
        <v>12</v>
      </c>
    </row>
    <row r="31" spans="1:16" ht="15" customHeight="1" x14ac:dyDescent="0.25">
      <c r="A31" s="4"/>
    </row>
    <row r="32" spans="1:16" ht="15" customHeight="1" x14ac:dyDescent="0.25">
      <c r="A32" s="4"/>
    </row>
    <row r="33" spans="1:36" ht="15" customHeight="1" x14ac:dyDescent="0.25">
      <c r="A33" s="3" t="s">
        <v>13</v>
      </c>
    </row>
    <row r="34" spans="1:36" ht="15" customHeight="1" x14ac:dyDescent="0.25">
      <c r="A34" s="4"/>
    </row>
    <row r="35" spans="1:36" ht="15" customHeight="1" x14ac:dyDescent="0.25">
      <c r="A35" s="4"/>
      <c r="B35" s="5" t="s">
        <v>14</v>
      </c>
      <c r="C35" s="6"/>
      <c r="D35" s="61" t="s">
        <v>15</v>
      </c>
      <c r="E35" s="61"/>
      <c r="F35" s="61"/>
      <c r="G35" s="61"/>
      <c r="H35" s="61"/>
      <c r="I35" s="61"/>
      <c r="J35" s="61"/>
      <c r="K35" s="61"/>
      <c r="L35" s="61"/>
      <c r="M35" s="61"/>
      <c r="N35" s="61"/>
      <c r="O35" s="61"/>
      <c r="P35" s="61"/>
      <c r="Q35" s="61"/>
      <c r="R35" s="61"/>
      <c r="S35" s="61"/>
      <c r="T35" s="61"/>
      <c r="U35" s="61"/>
      <c r="V35" s="61"/>
      <c r="W35" s="61"/>
      <c r="X35" s="61"/>
      <c r="Y35" s="61"/>
      <c r="Z35" s="61"/>
      <c r="AA35" s="61"/>
      <c r="AB35" s="61"/>
      <c r="AC35" s="61"/>
      <c r="AD35" s="61"/>
      <c r="AE35" s="5" t="s">
        <v>16</v>
      </c>
      <c r="AF35" s="7"/>
      <c r="AG35" s="7"/>
      <c r="AH35" s="7"/>
      <c r="AI35" s="7"/>
      <c r="AJ35" s="6"/>
    </row>
    <row r="36" spans="1:36" ht="15" customHeight="1" x14ac:dyDescent="0.25">
      <c r="A36" s="4"/>
      <c r="B36" s="71">
        <v>1</v>
      </c>
      <c r="C36" s="72"/>
      <c r="D36" s="43" t="s">
        <v>17</v>
      </c>
      <c r="E36" s="39"/>
      <c r="F36" s="39"/>
      <c r="G36" s="39"/>
      <c r="H36" s="39"/>
      <c r="I36" s="39"/>
      <c r="J36" s="39"/>
      <c r="K36" s="39"/>
      <c r="L36" s="39"/>
      <c r="M36" s="39"/>
      <c r="N36" s="39"/>
      <c r="O36" s="39"/>
      <c r="P36" s="39"/>
      <c r="Q36" s="39"/>
      <c r="R36" s="39"/>
      <c r="S36" s="39"/>
      <c r="T36" s="39"/>
      <c r="U36" s="39"/>
      <c r="V36" s="39"/>
      <c r="W36" s="39"/>
      <c r="X36" s="39"/>
      <c r="Y36" s="39"/>
      <c r="Z36" s="39"/>
      <c r="AA36" s="39"/>
      <c r="AB36" s="39"/>
      <c r="AC36" s="39"/>
      <c r="AD36" s="40"/>
      <c r="AE36" s="73">
        <v>1000000</v>
      </c>
      <c r="AF36" s="74"/>
      <c r="AG36" s="74"/>
      <c r="AH36" s="74"/>
      <c r="AI36" s="74"/>
      <c r="AJ36" s="75"/>
    </row>
    <row r="37" spans="1:36" ht="15" customHeight="1" x14ac:dyDescent="0.25">
      <c r="A37" s="4"/>
      <c r="B37" s="71">
        <v>2</v>
      </c>
      <c r="C37" s="72"/>
      <c r="D37" s="43" t="s">
        <v>18</v>
      </c>
      <c r="E37" s="39"/>
      <c r="F37" s="39"/>
      <c r="G37" s="39"/>
      <c r="H37" s="39"/>
      <c r="I37" s="39"/>
      <c r="J37" s="39"/>
      <c r="K37" s="39"/>
      <c r="L37" s="39"/>
      <c r="M37" s="39"/>
      <c r="N37" s="39"/>
      <c r="O37" s="39"/>
      <c r="P37" s="39"/>
      <c r="Q37" s="39"/>
      <c r="R37" s="39"/>
      <c r="S37" s="39"/>
      <c r="T37" s="39"/>
      <c r="U37" s="39"/>
      <c r="V37" s="39"/>
      <c r="W37" s="39"/>
      <c r="X37" s="39"/>
      <c r="Y37" s="39"/>
      <c r="Z37" s="39"/>
      <c r="AA37" s="39"/>
      <c r="AB37" s="39"/>
      <c r="AC37" s="39"/>
      <c r="AD37" s="40"/>
      <c r="AE37" s="73">
        <v>550000</v>
      </c>
      <c r="AF37" s="74"/>
      <c r="AG37" s="74"/>
      <c r="AH37" s="74"/>
      <c r="AI37" s="74"/>
      <c r="AJ37" s="75"/>
    </row>
    <row r="38" spans="1:36" ht="15" customHeight="1" x14ac:dyDescent="0.25">
      <c r="A38" s="4"/>
      <c r="B38" s="71">
        <v>3</v>
      </c>
      <c r="C38" s="72"/>
      <c r="D38" s="43" t="s">
        <v>19</v>
      </c>
      <c r="E38" s="39"/>
      <c r="F38" s="39"/>
      <c r="G38" s="39"/>
      <c r="H38" s="39"/>
      <c r="I38" s="39"/>
      <c r="J38" s="39"/>
      <c r="K38" s="39"/>
      <c r="L38" s="39"/>
      <c r="M38" s="39"/>
      <c r="N38" s="39"/>
      <c r="O38" s="39"/>
      <c r="P38" s="39"/>
      <c r="Q38" s="39"/>
      <c r="R38" s="39"/>
      <c r="S38" s="39"/>
      <c r="T38" s="39"/>
      <c r="U38" s="39"/>
      <c r="V38" s="39"/>
      <c r="W38" s="39"/>
      <c r="X38" s="39"/>
      <c r="Y38" s="39"/>
      <c r="Z38" s="39"/>
      <c r="AA38" s="39"/>
      <c r="AB38" s="39"/>
      <c r="AC38" s="39"/>
      <c r="AD38" s="40"/>
      <c r="AE38" s="73">
        <v>5412500</v>
      </c>
      <c r="AF38" s="74"/>
      <c r="AG38" s="74"/>
      <c r="AH38" s="74"/>
      <c r="AI38" s="74"/>
      <c r="AJ38" s="75"/>
    </row>
    <row r="39" spans="1:36" ht="15" customHeight="1" x14ac:dyDescent="0.25">
      <c r="A39" s="4"/>
      <c r="B39" s="71">
        <v>4</v>
      </c>
      <c r="C39" s="72"/>
      <c r="D39" s="43" t="s">
        <v>20</v>
      </c>
      <c r="E39" s="39"/>
      <c r="F39" s="39"/>
      <c r="G39" s="39"/>
      <c r="H39" s="39"/>
      <c r="I39" s="39"/>
      <c r="J39" s="39"/>
      <c r="K39" s="39"/>
      <c r="L39" s="39"/>
      <c r="M39" s="39"/>
      <c r="N39" s="39"/>
      <c r="O39" s="39"/>
      <c r="P39" s="39"/>
      <c r="Q39" s="39"/>
      <c r="R39" s="39"/>
      <c r="S39" s="39"/>
      <c r="T39" s="39"/>
      <c r="U39" s="39"/>
      <c r="V39" s="39"/>
      <c r="W39" s="39"/>
      <c r="X39" s="39"/>
      <c r="Y39" s="39"/>
      <c r="Z39" s="39"/>
      <c r="AA39" s="39"/>
      <c r="AB39" s="39"/>
      <c r="AC39" s="39"/>
      <c r="AD39" s="40"/>
      <c r="AE39" s="73">
        <v>875000</v>
      </c>
      <c r="AF39" s="74"/>
      <c r="AG39" s="74"/>
      <c r="AH39" s="74"/>
      <c r="AI39" s="74"/>
      <c r="AJ39" s="75"/>
    </row>
    <row r="40" spans="1:36" ht="15" customHeight="1" x14ac:dyDescent="0.25">
      <c r="A40" s="4"/>
      <c r="B40" s="71">
        <v>5</v>
      </c>
      <c r="C40" s="72"/>
      <c r="D40" s="43" t="s">
        <v>21</v>
      </c>
      <c r="E40" s="39"/>
      <c r="F40" s="39"/>
      <c r="G40" s="39"/>
      <c r="H40" s="39"/>
      <c r="I40" s="39"/>
      <c r="J40" s="39"/>
      <c r="K40" s="39"/>
      <c r="L40" s="39"/>
      <c r="M40" s="39"/>
      <c r="N40" s="39"/>
      <c r="O40" s="39"/>
      <c r="P40" s="39"/>
      <c r="Q40" s="39"/>
      <c r="R40" s="39"/>
      <c r="S40" s="39"/>
      <c r="T40" s="39"/>
      <c r="U40" s="39"/>
      <c r="V40" s="39"/>
      <c r="W40" s="39"/>
      <c r="X40" s="39"/>
      <c r="Y40" s="39"/>
      <c r="Z40" s="39"/>
      <c r="AA40" s="39"/>
      <c r="AB40" s="39"/>
      <c r="AC40" s="39"/>
      <c r="AD40" s="40"/>
      <c r="AE40" s="73">
        <v>400000</v>
      </c>
      <c r="AF40" s="74"/>
      <c r="AG40" s="74"/>
      <c r="AH40" s="74"/>
      <c r="AI40" s="74"/>
      <c r="AJ40" s="75"/>
    </row>
    <row r="41" spans="1:36" ht="15" customHeight="1" x14ac:dyDescent="0.25">
      <c r="A41" s="4"/>
      <c r="B41" s="71">
        <v>6</v>
      </c>
      <c r="C41" s="72"/>
      <c r="D41" s="43" t="s">
        <v>22</v>
      </c>
      <c r="E41" s="39"/>
      <c r="F41" s="39"/>
      <c r="G41" s="39"/>
      <c r="H41" s="39"/>
      <c r="I41" s="39"/>
      <c r="J41" s="39"/>
      <c r="K41" s="39"/>
      <c r="L41" s="39"/>
      <c r="M41" s="39"/>
      <c r="N41" s="39"/>
      <c r="O41" s="39"/>
      <c r="P41" s="39"/>
      <c r="Q41" s="39"/>
      <c r="R41" s="39"/>
      <c r="S41" s="39"/>
      <c r="T41" s="39"/>
      <c r="U41" s="39"/>
      <c r="V41" s="39"/>
      <c r="W41" s="39"/>
      <c r="X41" s="39"/>
      <c r="Y41" s="39"/>
      <c r="Z41" s="39"/>
      <c r="AA41" s="39"/>
      <c r="AB41" s="39"/>
      <c r="AC41" s="39"/>
      <c r="AD41" s="40"/>
      <c r="AE41" s="73">
        <v>3625000</v>
      </c>
      <c r="AF41" s="74"/>
      <c r="AG41" s="74"/>
      <c r="AH41" s="74"/>
      <c r="AI41" s="74"/>
      <c r="AJ41" s="75"/>
    </row>
    <row r="42" spans="1:36" ht="15" customHeight="1" x14ac:dyDescent="0.25">
      <c r="A42" s="4"/>
      <c r="B42" s="71">
        <v>7</v>
      </c>
      <c r="C42" s="72"/>
      <c r="D42" s="43" t="s">
        <v>23</v>
      </c>
      <c r="E42" s="41"/>
      <c r="F42" s="41"/>
      <c r="G42" s="41"/>
      <c r="H42" s="41"/>
      <c r="I42" s="41"/>
      <c r="J42" s="41"/>
      <c r="K42" s="41"/>
      <c r="L42" s="41"/>
      <c r="M42" s="41"/>
      <c r="N42" s="41"/>
      <c r="O42" s="41"/>
      <c r="P42" s="41"/>
      <c r="Q42" s="41"/>
      <c r="R42" s="41"/>
      <c r="S42" s="41"/>
      <c r="T42" s="41"/>
      <c r="U42" s="41"/>
      <c r="V42" s="41"/>
      <c r="W42" s="41"/>
      <c r="X42" s="41"/>
      <c r="Y42" s="41"/>
      <c r="Z42" s="41"/>
      <c r="AA42" s="41"/>
      <c r="AB42" s="41"/>
      <c r="AC42" s="41"/>
      <c r="AD42" s="42"/>
      <c r="AE42" s="73">
        <v>3465000</v>
      </c>
      <c r="AF42" s="74"/>
      <c r="AG42" s="74"/>
      <c r="AH42" s="74"/>
      <c r="AI42" s="74"/>
      <c r="AJ42" s="75"/>
    </row>
    <row r="43" spans="1:36" ht="15" customHeight="1" x14ac:dyDescent="0.25">
      <c r="A43" s="4"/>
      <c r="B43" s="76" t="s">
        <v>24</v>
      </c>
      <c r="C43" s="77"/>
      <c r="D43" s="77"/>
      <c r="E43" s="77"/>
      <c r="F43" s="77"/>
      <c r="G43" s="77"/>
      <c r="H43" s="77"/>
      <c r="I43" s="77"/>
      <c r="J43" s="77"/>
      <c r="K43" s="77"/>
      <c r="L43" s="77"/>
      <c r="M43" s="77"/>
      <c r="N43" s="77"/>
      <c r="O43" s="77"/>
      <c r="P43" s="77"/>
      <c r="Q43" s="77"/>
      <c r="R43" s="77"/>
      <c r="S43" s="77"/>
      <c r="T43" s="77"/>
      <c r="U43" s="77"/>
      <c r="V43" s="77"/>
      <c r="W43" s="77"/>
      <c r="X43" s="77"/>
      <c r="Y43" s="77"/>
      <c r="Z43" s="77"/>
      <c r="AA43" s="77"/>
      <c r="AB43" s="77"/>
      <c r="AC43" s="77"/>
      <c r="AD43" s="78"/>
      <c r="AE43" s="79">
        <f>SUM(AE33:AJ42)</f>
        <v>15327500</v>
      </c>
      <c r="AF43" s="79"/>
      <c r="AG43" s="79"/>
      <c r="AH43" s="79"/>
      <c r="AI43" s="79"/>
      <c r="AJ43" s="79"/>
    </row>
    <row r="44" spans="1:36" ht="15" customHeight="1" x14ac:dyDescent="0.25">
      <c r="A44" s="4"/>
      <c r="AB44" s="13"/>
    </row>
    <row r="45" spans="1:36" ht="15" customHeight="1" x14ac:dyDescent="0.25">
      <c r="A45" s="4"/>
      <c r="AB45" s="13"/>
    </row>
    <row r="46" spans="1:36" ht="15" customHeight="1" x14ac:dyDescent="0.25">
      <c r="A46" s="3" t="s">
        <v>25</v>
      </c>
    </row>
    <row r="48" spans="1:36" ht="15" customHeight="1" x14ac:dyDescent="0.25">
      <c r="A48" s="4"/>
      <c r="B48" s="44" t="s">
        <v>26</v>
      </c>
      <c r="C48" s="4" t="s">
        <v>27</v>
      </c>
      <c r="K48" s="44" t="s">
        <v>26</v>
      </c>
      <c r="L48" s="4" t="s">
        <v>28</v>
      </c>
    </row>
    <row r="49" spans="1:36" ht="15" customHeight="1" x14ac:dyDescent="0.25">
      <c r="A49" s="4"/>
      <c r="B49" s="44" t="s">
        <v>26</v>
      </c>
      <c r="C49" s="4" t="s">
        <v>29</v>
      </c>
    </row>
    <row r="50" spans="1:36" ht="15" customHeight="1" x14ac:dyDescent="0.25">
      <c r="A50" s="4"/>
    </row>
    <row r="52" spans="1:36" ht="15" customHeight="1" x14ac:dyDescent="0.25">
      <c r="A52" s="4"/>
      <c r="B52" s="8"/>
    </row>
    <row r="53" spans="1:36" ht="15" customHeight="1" x14ac:dyDescent="0.25">
      <c r="A53" s="3" t="s">
        <v>30</v>
      </c>
    </row>
    <row r="55" spans="1:36" ht="15" customHeight="1" x14ac:dyDescent="0.25">
      <c r="B55" s="4" t="s">
        <v>31</v>
      </c>
    </row>
    <row r="56" spans="1:36" ht="15" customHeight="1" x14ac:dyDescent="0.25">
      <c r="A56" s="4"/>
    </row>
    <row r="57" spans="1:36" ht="15" customHeight="1" x14ac:dyDescent="0.25">
      <c r="A57" s="4"/>
    </row>
    <row r="58" spans="1:36" ht="15" customHeight="1" x14ac:dyDescent="0.25">
      <c r="A58" s="4"/>
      <c r="B58" s="4" t="s">
        <v>32</v>
      </c>
    </row>
    <row r="59" spans="1:36" ht="15" customHeight="1" x14ac:dyDescent="0.25">
      <c r="A59" s="4"/>
      <c r="B59" s="5" t="s">
        <v>14</v>
      </c>
      <c r="C59" s="6"/>
      <c r="D59" s="5" t="s">
        <v>33</v>
      </c>
      <c r="E59" s="7"/>
      <c r="F59" s="7"/>
      <c r="G59" s="7"/>
      <c r="H59" s="6"/>
      <c r="I59" s="5" t="s">
        <v>30</v>
      </c>
      <c r="J59" s="7"/>
      <c r="K59" s="7"/>
      <c r="L59" s="7"/>
      <c r="M59" s="7"/>
      <c r="N59" s="7"/>
      <c r="O59" s="7"/>
      <c r="P59" s="7"/>
      <c r="Q59" s="7"/>
      <c r="R59" s="7"/>
      <c r="S59" s="7"/>
      <c r="T59" s="7"/>
      <c r="U59" s="7"/>
      <c r="V59" s="7"/>
      <c r="W59" s="7"/>
      <c r="X59" s="7"/>
      <c r="Y59" s="7"/>
      <c r="Z59" s="7"/>
      <c r="AA59" s="7"/>
      <c r="AB59" s="7"/>
      <c r="AC59" s="7"/>
      <c r="AD59" s="7"/>
      <c r="AE59" s="7"/>
      <c r="AF59" s="7"/>
      <c r="AG59" s="7"/>
      <c r="AH59" s="7"/>
      <c r="AI59" s="7"/>
      <c r="AJ59" s="6"/>
    </row>
    <row r="60" spans="1:36" ht="15" customHeight="1" x14ac:dyDescent="0.25">
      <c r="A60" s="4"/>
      <c r="B60" s="92">
        <v>1</v>
      </c>
      <c r="C60" s="93"/>
      <c r="D60" s="15" t="s">
        <v>34</v>
      </c>
      <c r="E60" s="18"/>
      <c r="F60" s="18"/>
      <c r="G60" s="18"/>
      <c r="H60" s="18"/>
      <c r="I60" s="32" t="s">
        <v>35</v>
      </c>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4"/>
    </row>
    <row r="61" spans="1:36" ht="15" customHeight="1" x14ac:dyDescent="0.25">
      <c r="A61" s="4"/>
      <c r="B61" s="94"/>
      <c r="C61" s="95"/>
      <c r="D61" s="16"/>
      <c r="E61" s="21"/>
      <c r="F61" s="21"/>
      <c r="G61" s="21"/>
      <c r="H61" s="21"/>
      <c r="I61" s="22" t="s">
        <v>36</v>
      </c>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4"/>
    </row>
    <row r="62" spans="1:36" ht="15" customHeight="1" x14ac:dyDescent="0.25">
      <c r="A62" s="4"/>
      <c r="B62" s="92">
        <v>2</v>
      </c>
      <c r="C62" s="93"/>
      <c r="D62" s="45" t="s">
        <v>37</v>
      </c>
      <c r="E62" s="19"/>
      <c r="F62" s="19"/>
      <c r="G62" s="19"/>
      <c r="H62" s="19"/>
      <c r="I62" s="32" t="s">
        <v>38</v>
      </c>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4"/>
    </row>
    <row r="63" spans="1:36" ht="15" customHeight="1" x14ac:dyDescent="0.25">
      <c r="A63" s="4"/>
      <c r="B63" s="94"/>
      <c r="C63" s="95"/>
      <c r="D63" s="16"/>
      <c r="E63" s="21"/>
      <c r="F63" s="21"/>
      <c r="G63" s="21"/>
      <c r="H63" s="21"/>
      <c r="I63" s="22"/>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4"/>
    </row>
    <row r="64" spans="1:36" ht="15" customHeight="1" x14ac:dyDescent="0.25">
      <c r="A64" s="4"/>
      <c r="B64" s="92">
        <v>3</v>
      </c>
      <c r="C64" s="93"/>
      <c r="D64" s="45" t="s">
        <v>39</v>
      </c>
      <c r="E64" s="19"/>
      <c r="F64" s="19"/>
      <c r="G64" s="19"/>
      <c r="H64" s="19"/>
      <c r="I64" s="27" t="s">
        <v>40</v>
      </c>
      <c r="AJ64" s="20"/>
    </row>
    <row r="65" spans="1:36" ht="15" customHeight="1" x14ac:dyDescent="0.25">
      <c r="A65" s="4"/>
      <c r="B65" s="94"/>
      <c r="C65" s="95"/>
      <c r="D65" s="16"/>
      <c r="E65" s="21"/>
      <c r="F65" s="21"/>
      <c r="G65" s="21"/>
      <c r="H65" s="21"/>
      <c r="I65" s="27"/>
      <c r="AJ65" s="20"/>
    </row>
    <row r="66" spans="1:36" ht="15" customHeight="1" x14ac:dyDescent="0.25">
      <c r="A66" s="4"/>
      <c r="B66" s="92">
        <v>4</v>
      </c>
      <c r="C66" s="93"/>
      <c r="D66" s="15" t="s">
        <v>41</v>
      </c>
      <c r="E66" s="18"/>
      <c r="F66" s="18"/>
      <c r="G66" s="18"/>
      <c r="H66" s="18"/>
      <c r="I66" s="32" t="s">
        <v>42</v>
      </c>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4"/>
    </row>
    <row r="67" spans="1:36" ht="15" customHeight="1" x14ac:dyDescent="0.25">
      <c r="A67" s="4"/>
      <c r="B67" s="94"/>
      <c r="C67" s="95"/>
      <c r="D67" s="16"/>
      <c r="E67" s="21"/>
      <c r="F67" s="21"/>
      <c r="G67" s="21"/>
      <c r="H67" s="21"/>
      <c r="I67" s="22" t="s">
        <v>43</v>
      </c>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4"/>
    </row>
    <row r="68" spans="1:36" ht="15" customHeight="1" x14ac:dyDescent="0.25">
      <c r="A68" s="4"/>
      <c r="B68" s="92">
        <v>5</v>
      </c>
      <c r="C68" s="93"/>
      <c r="D68" s="15" t="s">
        <v>44</v>
      </c>
      <c r="E68" s="18"/>
      <c r="F68" s="18"/>
      <c r="G68" s="18"/>
      <c r="H68" s="18"/>
      <c r="I68" s="32" t="s">
        <v>45</v>
      </c>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4"/>
    </row>
    <row r="69" spans="1:36" ht="15" customHeight="1" x14ac:dyDescent="0.25">
      <c r="A69" s="4"/>
      <c r="B69" s="94"/>
      <c r="C69" s="95"/>
      <c r="D69" s="16"/>
      <c r="E69" s="21"/>
      <c r="F69" s="21"/>
      <c r="G69" s="21"/>
      <c r="H69" s="21"/>
      <c r="I69" s="22" t="s">
        <v>46</v>
      </c>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4"/>
    </row>
    <row r="70" spans="1:36" ht="15" customHeight="1" x14ac:dyDescent="0.25">
      <c r="A70" s="4"/>
      <c r="B70" s="92">
        <v>6</v>
      </c>
      <c r="C70" s="93"/>
      <c r="D70" s="15" t="s">
        <v>47</v>
      </c>
      <c r="E70" s="18"/>
      <c r="F70" s="18"/>
      <c r="G70" s="18"/>
      <c r="H70" s="18"/>
      <c r="I70" s="32" t="s">
        <v>48</v>
      </c>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4"/>
    </row>
    <row r="71" spans="1:36" ht="15" customHeight="1" x14ac:dyDescent="0.25">
      <c r="A71" s="4"/>
      <c r="B71" s="94"/>
      <c r="C71" s="95"/>
      <c r="D71" s="16" t="s">
        <v>49</v>
      </c>
      <c r="E71" s="21"/>
      <c r="F71" s="21"/>
      <c r="G71" s="21"/>
      <c r="H71" s="21"/>
      <c r="I71" s="22" t="s">
        <v>50</v>
      </c>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4"/>
    </row>
    <row r="72" spans="1:36" ht="15" customHeight="1" x14ac:dyDescent="0.25">
      <c r="A72" s="4"/>
      <c r="B72" s="92">
        <v>7</v>
      </c>
      <c r="C72" s="93"/>
      <c r="D72" s="45" t="s">
        <v>51</v>
      </c>
      <c r="E72" s="19"/>
      <c r="F72" s="19"/>
      <c r="G72" s="19"/>
      <c r="H72" s="19"/>
      <c r="I72" s="27" t="s">
        <v>52</v>
      </c>
      <c r="AJ72" s="20"/>
    </row>
    <row r="73" spans="1:36" ht="15" customHeight="1" x14ac:dyDescent="0.25">
      <c r="A73" s="4"/>
      <c r="B73" s="94"/>
      <c r="C73" s="95"/>
      <c r="D73" s="16"/>
      <c r="E73" s="21"/>
      <c r="F73" s="21"/>
      <c r="G73" s="21"/>
      <c r="H73" s="21"/>
      <c r="I73" s="22"/>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4"/>
    </row>
    <row r="74" spans="1:36" ht="15" customHeight="1" x14ac:dyDescent="0.25">
      <c r="A74" s="4"/>
      <c r="C74" s="12"/>
      <c r="J74" s="18"/>
      <c r="K74" s="18"/>
      <c r="AA74" s="35"/>
      <c r="AB74" s="35"/>
      <c r="AC74" s="35"/>
      <c r="AD74" s="35"/>
      <c r="AE74" s="35"/>
      <c r="AF74" s="35"/>
      <c r="AG74" s="35"/>
    </row>
    <row r="76" spans="1:36" ht="15" customHeight="1" x14ac:dyDescent="0.25">
      <c r="A76" s="3" t="s">
        <v>53</v>
      </c>
    </row>
    <row r="78" spans="1:36" ht="15" customHeight="1" x14ac:dyDescent="0.25">
      <c r="B78" s="90" t="s">
        <v>54</v>
      </c>
      <c r="C78" s="91"/>
      <c r="D78" s="91"/>
      <c r="E78" s="91"/>
      <c r="F78" s="36"/>
      <c r="G78" s="36"/>
      <c r="H78" s="36"/>
      <c r="I78" s="37"/>
      <c r="J78" s="46" t="s">
        <v>55</v>
      </c>
      <c r="K78" s="46"/>
      <c r="L78" s="46"/>
      <c r="M78" s="46" t="s">
        <v>56</v>
      </c>
      <c r="N78" s="46"/>
      <c r="O78" s="46"/>
      <c r="P78" s="46" t="s">
        <v>57</v>
      </c>
      <c r="Q78" s="46"/>
      <c r="R78" s="46"/>
      <c r="S78" s="46" t="s">
        <v>58</v>
      </c>
      <c r="T78" s="46"/>
      <c r="U78" s="46"/>
      <c r="V78" s="46" t="s">
        <v>59</v>
      </c>
      <c r="W78" s="46"/>
      <c r="X78" s="46"/>
      <c r="Y78" s="46" t="s">
        <v>60</v>
      </c>
      <c r="Z78" s="46"/>
      <c r="AA78" s="46"/>
      <c r="AB78" s="46" t="s">
        <v>61</v>
      </c>
      <c r="AC78" s="46"/>
      <c r="AD78" s="46"/>
      <c r="AE78" s="46" t="s">
        <v>62</v>
      </c>
      <c r="AF78" s="46"/>
      <c r="AG78" s="46"/>
      <c r="AH78" s="46" t="s">
        <v>63</v>
      </c>
      <c r="AI78" s="46"/>
      <c r="AJ78" s="38"/>
    </row>
    <row r="79" spans="1:36" ht="15" customHeight="1" x14ac:dyDescent="0.25">
      <c r="B79" s="15" t="s">
        <v>34</v>
      </c>
      <c r="C79" s="33"/>
      <c r="D79" s="33"/>
      <c r="E79" s="33"/>
      <c r="F79" s="33"/>
      <c r="G79" s="33"/>
      <c r="H79" s="33"/>
      <c r="I79" s="34"/>
      <c r="J79" s="32"/>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4"/>
    </row>
    <row r="80" spans="1:36" ht="15" customHeight="1" x14ac:dyDescent="0.25">
      <c r="B80" s="16"/>
      <c r="C80" s="23"/>
      <c r="D80" s="23"/>
      <c r="E80" s="23"/>
      <c r="F80" s="23"/>
      <c r="G80" s="23"/>
      <c r="H80" s="23"/>
      <c r="I80" s="24"/>
      <c r="J80" s="22"/>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4"/>
    </row>
    <row r="81" spans="1:36" ht="15" customHeight="1" x14ac:dyDescent="0.25">
      <c r="B81" s="45" t="s">
        <v>37</v>
      </c>
      <c r="C81" s="33"/>
      <c r="D81" s="33"/>
      <c r="E81" s="33"/>
      <c r="F81" s="33"/>
      <c r="G81" s="33"/>
      <c r="H81" s="33"/>
      <c r="I81" s="34"/>
      <c r="J81" s="32"/>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4"/>
    </row>
    <row r="82" spans="1:36" ht="15" customHeight="1" x14ac:dyDescent="0.25">
      <c r="B82" s="16"/>
      <c r="C82" s="23"/>
      <c r="D82" s="23"/>
      <c r="E82" s="23"/>
      <c r="F82" s="23"/>
      <c r="G82" s="23"/>
      <c r="H82" s="23"/>
      <c r="I82" s="24"/>
      <c r="J82" s="22"/>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4"/>
    </row>
    <row r="83" spans="1:36" ht="15" customHeight="1" x14ac:dyDescent="0.25">
      <c r="B83" s="15" t="s">
        <v>39</v>
      </c>
      <c r="I83" s="20"/>
      <c r="J83" s="27"/>
      <c r="AJ83" s="20"/>
    </row>
    <row r="84" spans="1:36" ht="15" customHeight="1" x14ac:dyDescent="0.25">
      <c r="B84" s="16"/>
      <c r="I84" s="20"/>
      <c r="J84" s="27"/>
      <c r="AJ84" s="20"/>
    </row>
    <row r="85" spans="1:36" ht="15" customHeight="1" x14ac:dyDescent="0.25">
      <c r="B85" s="45" t="s">
        <v>64</v>
      </c>
      <c r="C85" s="33"/>
      <c r="D85" s="33"/>
      <c r="E85" s="33"/>
      <c r="F85" s="33"/>
      <c r="G85" s="33"/>
      <c r="H85" s="33"/>
      <c r="I85" s="34"/>
      <c r="J85" s="32"/>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4"/>
    </row>
    <row r="86" spans="1:36" ht="15" customHeight="1" x14ac:dyDescent="0.25">
      <c r="B86" s="16"/>
      <c r="C86" s="23"/>
      <c r="D86" s="23"/>
      <c r="E86" s="23"/>
      <c r="F86" s="23"/>
      <c r="G86" s="23"/>
      <c r="H86" s="23"/>
      <c r="I86" s="24"/>
      <c r="J86" s="22"/>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4"/>
    </row>
    <row r="87" spans="1:36" ht="15" customHeight="1" x14ac:dyDescent="0.25">
      <c r="B87" s="45" t="s">
        <v>65</v>
      </c>
      <c r="C87" s="33"/>
      <c r="D87" s="33"/>
      <c r="E87" s="33"/>
      <c r="F87" s="33"/>
      <c r="G87" s="33"/>
      <c r="H87" s="33"/>
      <c r="I87" s="34"/>
      <c r="J87" s="32"/>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4"/>
    </row>
    <row r="88" spans="1:36" ht="15" customHeight="1" x14ac:dyDescent="0.25">
      <c r="B88" s="16"/>
      <c r="C88" s="23"/>
      <c r="D88" s="23"/>
      <c r="E88" s="23"/>
      <c r="F88" s="23"/>
      <c r="G88" s="23"/>
      <c r="H88" s="23"/>
      <c r="I88" s="24"/>
      <c r="J88" s="22"/>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4"/>
    </row>
    <row r="89" spans="1:36" ht="15" customHeight="1" x14ac:dyDescent="0.25">
      <c r="B89" s="45" t="s">
        <v>66</v>
      </c>
      <c r="C89" s="33"/>
      <c r="D89" s="33"/>
      <c r="E89" s="33"/>
      <c r="F89" s="33"/>
      <c r="G89" s="33"/>
      <c r="H89" s="33"/>
      <c r="I89" s="34"/>
      <c r="J89" s="32"/>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4"/>
    </row>
    <row r="90" spans="1:36" ht="15" customHeight="1" x14ac:dyDescent="0.25">
      <c r="B90" s="16"/>
      <c r="C90" s="23"/>
      <c r="D90" s="23"/>
      <c r="E90" s="23"/>
      <c r="F90" s="23"/>
      <c r="G90" s="23"/>
      <c r="H90" s="23"/>
      <c r="I90" s="24"/>
      <c r="J90" s="22"/>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4"/>
    </row>
    <row r="91" spans="1:36" ht="15" customHeight="1" x14ac:dyDescent="0.25">
      <c r="A91" s="4"/>
      <c r="I91" s="25"/>
      <c r="J91" s="25"/>
      <c r="K91" s="25"/>
      <c r="L91" s="25"/>
      <c r="M91" s="25"/>
      <c r="N91" s="25"/>
      <c r="O91" s="25"/>
      <c r="P91" s="25"/>
      <c r="Q91" s="25"/>
      <c r="R91" s="25"/>
      <c r="V91" s="25"/>
      <c r="AA91" s="25"/>
      <c r="AB91" s="25"/>
    </row>
    <row r="93" spans="1:36" ht="15" customHeight="1" x14ac:dyDescent="0.25">
      <c r="A93" s="4"/>
      <c r="V93" s="14"/>
    </row>
    <row r="94" spans="1:36" ht="15" customHeight="1" x14ac:dyDescent="0.25">
      <c r="A94" s="3" t="s">
        <v>67</v>
      </c>
    </row>
    <row r="95" spans="1:36" ht="15" customHeight="1" thickBot="1" x14ac:dyDescent="0.3">
      <c r="A95" s="4"/>
      <c r="I95" s="25"/>
      <c r="J95" s="25"/>
      <c r="K95" s="25"/>
      <c r="L95" s="25"/>
      <c r="M95" s="25"/>
      <c r="N95" s="25"/>
      <c r="O95" s="25"/>
      <c r="P95" s="25"/>
      <c r="Q95" s="25"/>
      <c r="R95" s="25"/>
      <c r="S95" s="25"/>
      <c r="T95" s="25"/>
      <c r="U95" s="25"/>
      <c r="V95" s="25"/>
      <c r="W95" s="25"/>
      <c r="X95" s="25"/>
      <c r="Y95" s="25"/>
      <c r="Z95" s="25"/>
      <c r="AA95" s="25"/>
      <c r="AB95" s="25"/>
      <c r="AC95" s="25"/>
      <c r="AD95" s="25"/>
      <c r="AE95" s="25"/>
      <c r="AF95" s="25"/>
      <c r="AG95" s="25"/>
    </row>
    <row r="96" spans="1:36" ht="15" customHeight="1" x14ac:dyDescent="0.25">
      <c r="C96" s="82" t="s">
        <v>68</v>
      </c>
      <c r="D96" s="83"/>
      <c r="E96" s="83"/>
      <c r="F96" s="83"/>
      <c r="G96" s="83"/>
      <c r="H96" s="84"/>
      <c r="I96" s="28"/>
      <c r="J96" s="28"/>
      <c r="K96" s="28"/>
      <c r="L96" s="28"/>
      <c r="M96" s="82" t="s">
        <v>69</v>
      </c>
      <c r="N96" s="83"/>
      <c r="O96" s="83"/>
      <c r="P96" s="83"/>
      <c r="Q96" s="83"/>
      <c r="R96" s="84"/>
      <c r="S96" s="29"/>
      <c r="T96" s="28"/>
      <c r="U96" s="49"/>
      <c r="V96" s="30"/>
      <c r="W96" s="82" t="s">
        <v>70</v>
      </c>
      <c r="X96" s="83"/>
      <c r="Y96" s="83"/>
      <c r="Z96" s="83"/>
      <c r="AA96" s="83"/>
      <c r="AB96" s="84"/>
      <c r="AC96" s="25"/>
      <c r="AD96" s="25"/>
      <c r="AE96" s="25"/>
      <c r="AF96" s="25"/>
      <c r="AG96" s="25"/>
    </row>
    <row r="97" spans="1:33" ht="15" customHeight="1" x14ac:dyDescent="0.25">
      <c r="C97" s="85"/>
      <c r="D97" s="81"/>
      <c r="E97" s="81"/>
      <c r="F97" s="81"/>
      <c r="G97" s="81"/>
      <c r="H97" s="86"/>
      <c r="I97" s="1"/>
      <c r="J97" s="1"/>
      <c r="K97" s="31"/>
      <c r="L97" s="17"/>
      <c r="M97" s="85"/>
      <c r="N97" s="81"/>
      <c r="O97" s="81"/>
      <c r="P97" s="81"/>
      <c r="Q97" s="81"/>
      <c r="R97" s="86"/>
      <c r="S97" s="1"/>
      <c r="T97" s="1"/>
      <c r="U97" s="1"/>
      <c r="V97" s="1"/>
      <c r="W97" s="85"/>
      <c r="X97" s="81"/>
      <c r="Y97" s="81"/>
      <c r="Z97" s="81"/>
      <c r="AA97" s="81"/>
      <c r="AB97" s="86"/>
      <c r="AC97" s="25"/>
      <c r="AD97" s="25"/>
      <c r="AE97" s="25"/>
      <c r="AF97" s="25"/>
      <c r="AG97" s="25"/>
    </row>
    <row r="98" spans="1:33" ht="15" customHeight="1" thickBot="1" x14ac:dyDescent="0.3">
      <c r="A98" s="4"/>
      <c r="C98" s="87"/>
      <c r="D98" s="88"/>
      <c r="E98" s="88"/>
      <c r="F98" s="88"/>
      <c r="G98" s="88"/>
      <c r="H98" s="89"/>
      <c r="I98" s="1"/>
      <c r="J98" s="1"/>
      <c r="K98" s="1"/>
      <c r="L98" s="1"/>
      <c r="M98" s="87"/>
      <c r="N98" s="88"/>
      <c r="O98" s="88"/>
      <c r="P98" s="88"/>
      <c r="Q98" s="88"/>
      <c r="R98" s="89"/>
      <c r="S98" s="1"/>
      <c r="T98" s="1"/>
      <c r="U98" s="1"/>
      <c r="V98" s="1"/>
      <c r="W98" s="87"/>
      <c r="X98" s="88"/>
      <c r="Y98" s="88"/>
      <c r="Z98" s="88"/>
      <c r="AA98" s="88"/>
      <c r="AB98" s="89"/>
      <c r="AC98" s="25"/>
      <c r="AD98" s="25"/>
      <c r="AE98" s="25"/>
      <c r="AF98" s="25"/>
      <c r="AG98" s="25"/>
    </row>
    <row r="99" spans="1:33" ht="15" customHeight="1" x14ac:dyDescent="0.25">
      <c r="A99" s="4"/>
      <c r="I99" s="25"/>
      <c r="J99" s="25"/>
      <c r="K99" s="25"/>
      <c r="L99" s="25"/>
      <c r="M99" s="25"/>
      <c r="N99" s="25"/>
      <c r="O99" s="25"/>
      <c r="P99" s="47"/>
      <c r="Q99" s="25"/>
      <c r="R99" s="25"/>
      <c r="S99" s="25"/>
      <c r="T99" s="25"/>
      <c r="U99" s="1"/>
      <c r="V99" s="1"/>
      <c r="W99" s="1"/>
      <c r="X99" s="1"/>
      <c r="Y99" s="1"/>
      <c r="Z99" s="1"/>
      <c r="AA99" s="1"/>
      <c r="AB99" s="1"/>
      <c r="AC99" s="25"/>
      <c r="AD99" s="25"/>
      <c r="AE99" s="25"/>
      <c r="AF99" s="25"/>
      <c r="AG99" s="25"/>
    </row>
    <row r="100" spans="1:33" ht="15" customHeight="1" x14ac:dyDescent="0.25">
      <c r="A100" s="4"/>
      <c r="I100" s="25"/>
      <c r="J100" s="25"/>
      <c r="K100" s="25"/>
      <c r="L100" s="25"/>
      <c r="M100" s="82" t="s">
        <v>71</v>
      </c>
      <c r="N100" s="83"/>
      <c r="O100" s="83"/>
      <c r="P100" s="83"/>
      <c r="Q100" s="83"/>
      <c r="R100" s="84"/>
      <c r="S100" s="25"/>
      <c r="T100" s="25"/>
      <c r="U100" s="25"/>
      <c r="V100" s="25"/>
    </row>
    <row r="101" spans="1:33" ht="15" customHeight="1" x14ac:dyDescent="0.25">
      <c r="M101" s="87"/>
      <c r="N101" s="88"/>
      <c r="O101" s="88"/>
      <c r="P101" s="88"/>
      <c r="Q101" s="88"/>
      <c r="R101" s="89"/>
    </row>
    <row r="103" spans="1:33" ht="15" customHeight="1" x14ac:dyDescent="0.25">
      <c r="A103" s="4"/>
      <c r="I103" s="25"/>
      <c r="J103" s="25"/>
      <c r="K103" s="25"/>
      <c r="L103" s="25"/>
      <c r="M103" s="25"/>
      <c r="N103" s="25"/>
      <c r="O103" s="25"/>
      <c r="P103" s="25"/>
      <c r="Q103" s="25"/>
      <c r="R103" s="25"/>
      <c r="S103" s="25"/>
      <c r="T103" s="25"/>
      <c r="U103" s="1"/>
      <c r="V103" s="1"/>
      <c r="W103" s="80"/>
      <c r="X103" s="81"/>
      <c r="Y103" s="81"/>
      <c r="Z103" s="81"/>
      <c r="AA103" s="81"/>
      <c r="AB103" s="81"/>
      <c r="AC103" s="25"/>
      <c r="AD103" s="25"/>
      <c r="AE103" s="25"/>
      <c r="AF103" s="25"/>
      <c r="AG103" s="25"/>
    </row>
    <row r="104" spans="1:33" ht="15" customHeight="1" x14ac:dyDescent="0.25">
      <c r="U104" s="1"/>
      <c r="V104" s="1"/>
      <c r="W104" s="81"/>
      <c r="X104" s="81"/>
      <c r="Y104" s="81"/>
      <c r="Z104" s="81"/>
      <c r="AA104" s="81"/>
      <c r="AB104" s="81"/>
    </row>
    <row r="105" spans="1:33" ht="15" customHeight="1" x14ac:dyDescent="0.25">
      <c r="C105" s="4" t="s">
        <v>72</v>
      </c>
    </row>
    <row r="106" spans="1:33" ht="15" customHeight="1" x14ac:dyDescent="0.25">
      <c r="A106" s="4"/>
      <c r="I106" s="25"/>
      <c r="J106" s="25"/>
      <c r="K106" s="25"/>
      <c r="L106" s="25"/>
      <c r="M106" s="25"/>
      <c r="N106" s="25"/>
      <c r="O106" s="25"/>
      <c r="P106" s="25"/>
      <c r="Q106" s="25"/>
      <c r="R106" s="25"/>
      <c r="S106" s="25"/>
      <c r="T106" s="25"/>
      <c r="U106" s="25"/>
      <c r="V106" s="25"/>
      <c r="W106" s="25"/>
      <c r="X106" s="25"/>
      <c r="Y106" s="25"/>
      <c r="Z106" s="25"/>
      <c r="AA106" s="25"/>
      <c r="AB106" s="25"/>
      <c r="AC106" s="25"/>
      <c r="AD106" s="25"/>
      <c r="AE106" s="25"/>
      <c r="AF106" s="25"/>
      <c r="AG106" s="25"/>
    </row>
    <row r="107" spans="1:33" ht="15" customHeight="1" x14ac:dyDescent="0.25">
      <c r="A107" s="3" t="s">
        <v>73</v>
      </c>
    </row>
    <row r="109" spans="1:33" ht="15" customHeight="1" x14ac:dyDescent="0.25">
      <c r="B109" s="4" t="s">
        <v>74</v>
      </c>
    </row>
    <row r="110" spans="1:33" ht="15" customHeight="1" x14ac:dyDescent="0.25">
      <c r="C110" s="4" t="s">
        <v>75</v>
      </c>
    </row>
    <row r="111" spans="1:33" ht="15" customHeight="1" x14ac:dyDescent="0.25">
      <c r="B111" s="26" t="s">
        <v>76</v>
      </c>
      <c r="C111" s="48"/>
    </row>
    <row r="112" spans="1:33" ht="15" customHeight="1" x14ac:dyDescent="0.25">
      <c r="B112" s="4" t="s">
        <v>77</v>
      </c>
    </row>
    <row r="113" spans="1:3" ht="15" customHeight="1" x14ac:dyDescent="0.25">
      <c r="C113" s="4" t="s">
        <v>78</v>
      </c>
    </row>
    <row r="114" spans="1:3" ht="15" customHeight="1" x14ac:dyDescent="0.25">
      <c r="B114" s="26" t="s">
        <v>76</v>
      </c>
      <c r="C114" s="48"/>
    </row>
    <row r="115" spans="1:3" ht="15" customHeight="1" x14ac:dyDescent="0.25">
      <c r="B115" s="4" t="s">
        <v>79</v>
      </c>
      <c r="C115" s="26"/>
    </row>
    <row r="116" spans="1:3" ht="15" customHeight="1" x14ac:dyDescent="0.25">
      <c r="C116" s="26" t="s">
        <v>80</v>
      </c>
    </row>
    <row r="117" spans="1:3" ht="15" customHeight="1" x14ac:dyDescent="0.25">
      <c r="C117" s="4" t="s">
        <v>81</v>
      </c>
    </row>
    <row r="119" spans="1:3" ht="15" customHeight="1" x14ac:dyDescent="0.25">
      <c r="A119" s="4"/>
      <c r="B119" s="4" t="s">
        <v>82</v>
      </c>
    </row>
    <row r="120" spans="1:3" ht="15" customHeight="1" x14ac:dyDescent="0.25">
      <c r="A120" s="4"/>
      <c r="C120" s="4" t="s">
        <v>83</v>
      </c>
    </row>
    <row r="121" spans="1:3" ht="15" customHeight="1" x14ac:dyDescent="0.25">
      <c r="A121" s="4"/>
      <c r="C121" s="4" t="s">
        <v>84</v>
      </c>
    </row>
    <row r="122" spans="1:3" ht="15" customHeight="1" x14ac:dyDescent="0.25">
      <c r="A122" s="4"/>
    </row>
    <row r="123" spans="1:3" ht="15" customHeight="1" x14ac:dyDescent="0.25">
      <c r="B123" s="4" t="s">
        <v>85</v>
      </c>
    </row>
    <row r="124" spans="1:3" ht="15" customHeight="1" x14ac:dyDescent="0.25">
      <c r="C124" s="4" t="s">
        <v>86</v>
      </c>
    </row>
    <row r="125" spans="1:3" ht="15" customHeight="1" x14ac:dyDescent="0.25">
      <c r="C125" s="4" t="s">
        <v>87</v>
      </c>
    </row>
    <row r="127" spans="1:3" ht="15" customHeight="1" x14ac:dyDescent="0.25">
      <c r="B127" s="4" t="s">
        <v>88</v>
      </c>
    </row>
    <row r="128" spans="1:3" ht="15" customHeight="1" x14ac:dyDescent="0.25">
      <c r="C128" s="4" t="s">
        <v>89</v>
      </c>
    </row>
    <row r="130" spans="2:3" ht="15" customHeight="1" x14ac:dyDescent="0.25">
      <c r="B130" s="4" t="s">
        <v>90</v>
      </c>
    </row>
    <row r="131" spans="2:3" ht="15" customHeight="1" x14ac:dyDescent="0.25">
      <c r="C131" s="4" t="s">
        <v>91</v>
      </c>
    </row>
    <row r="133" spans="2:3" ht="15" customHeight="1" x14ac:dyDescent="0.25">
      <c r="B133" s="4" t="s">
        <v>92</v>
      </c>
    </row>
    <row r="134" spans="2:3" ht="15" customHeight="1" x14ac:dyDescent="0.25">
      <c r="C134" s="4" t="s">
        <v>93</v>
      </c>
    </row>
    <row r="136" spans="2:3" ht="15" customHeight="1" x14ac:dyDescent="0.25">
      <c r="B136" s="4" t="s">
        <v>94</v>
      </c>
    </row>
    <row r="137" spans="2:3" ht="15" customHeight="1" x14ac:dyDescent="0.25">
      <c r="C137" s="4" t="s">
        <v>95</v>
      </c>
    </row>
    <row r="139" spans="2:3" ht="15" customHeight="1" x14ac:dyDescent="0.25">
      <c r="B139" s="4" t="s">
        <v>96</v>
      </c>
    </row>
    <row r="140" spans="2:3" ht="15" customHeight="1" x14ac:dyDescent="0.25">
      <c r="C140" s="4" t="s">
        <v>97</v>
      </c>
    </row>
    <row r="141" spans="2:3" ht="15" customHeight="1" x14ac:dyDescent="0.25">
      <c r="C141" s="4" t="s">
        <v>98</v>
      </c>
    </row>
    <row r="148" spans="3:3" ht="15" customHeight="1" x14ac:dyDescent="0.25">
      <c r="C148" s="26"/>
    </row>
    <row r="149" spans="3:3" ht="15" customHeight="1" x14ac:dyDescent="0.25">
      <c r="C149" s="26"/>
    </row>
    <row r="150" spans="3:3" ht="15" customHeight="1" x14ac:dyDescent="0.25">
      <c r="C150" s="26"/>
    </row>
  </sheetData>
  <mergeCells count="35">
    <mergeCell ref="B78:E78"/>
    <mergeCell ref="B72:C73"/>
    <mergeCell ref="B60:C61"/>
    <mergeCell ref="B64:C65"/>
    <mergeCell ref="B70:C71"/>
    <mergeCell ref="B62:C63"/>
    <mergeCell ref="B68:C69"/>
    <mergeCell ref="B66:C67"/>
    <mergeCell ref="W103:AB104"/>
    <mergeCell ref="C96:H98"/>
    <mergeCell ref="M96:R98"/>
    <mergeCell ref="W96:AB98"/>
    <mergeCell ref="M100:R101"/>
    <mergeCell ref="B38:C38"/>
    <mergeCell ref="AE38:AJ38"/>
    <mergeCell ref="B36:C36"/>
    <mergeCell ref="AE36:AJ36"/>
    <mergeCell ref="B43:AD43"/>
    <mergeCell ref="AE43:AJ43"/>
    <mergeCell ref="B39:C39"/>
    <mergeCell ref="AE39:AJ39"/>
    <mergeCell ref="B42:C42"/>
    <mergeCell ref="AE42:AJ42"/>
    <mergeCell ref="B37:C37"/>
    <mergeCell ref="B40:C40"/>
    <mergeCell ref="B41:C41"/>
    <mergeCell ref="AE37:AJ37"/>
    <mergeCell ref="AE40:AJ40"/>
    <mergeCell ref="AE41:AJ41"/>
    <mergeCell ref="D35:AD35"/>
    <mergeCell ref="A1:Q2"/>
    <mergeCell ref="AF2:AJ2"/>
    <mergeCell ref="A5:Q6"/>
    <mergeCell ref="A9:E10"/>
    <mergeCell ref="F9:Q10"/>
  </mergeCells>
  <phoneticPr fontId="3"/>
  <printOptions horizontalCentered="1"/>
  <pageMargins left="0.39370078740157483" right="0.39370078740157483" top="0.78740157480314965" bottom="0.39370078740157483" header="0.31496062992125984" footer="0.31496062992125984"/>
  <pageSetup paperSize="9" orientation="portrait" r:id="rId1"/>
  <headerFooter>
    <oddFooter>&amp;C&amp;10&amp;P / &amp;N</oddFooter>
  </headerFooter>
  <rowBreaks count="3" manualBreakCount="3">
    <brk id="52" max="35" man="1"/>
    <brk id="106" max="35" man="1"/>
    <brk id="145" max="35"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W64"/>
  <sheetViews>
    <sheetView showGridLines="0" view="pageBreakPreview" topLeftCell="A4" zoomScaleNormal="100" zoomScaleSheetLayoutView="100" workbookViewId="0">
      <selection activeCell="B15" sqref="B15"/>
    </sheetView>
  </sheetViews>
  <sheetFormatPr defaultColWidth="2.59765625" defaultRowHeight="15" customHeight="1" x14ac:dyDescent="0.25"/>
  <cols>
    <col min="1" max="1" width="2.59765625" style="3"/>
    <col min="2" max="27" width="2.59765625" style="4"/>
    <col min="28" max="28" width="2.59765625" style="4" customWidth="1"/>
    <col min="29" max="45" width="2.59765625" style="4"/>
    <col min="46" max="46" width="5.3984375" style="4" customWidth="1"/>
    <col min="47" max="16384" width="2.59765625" style="4"/>
  </cols>
  <sheetData>
    <row r="1" spans="1:37" s="1" customFormat="1" ht="15" customHeight="1" x14ac:dyDescent="0.25">
      <c r="A1" s="62" t="s">
        <v>0</v>
      </c>
      <c r="B1" s="62"/>
      <c r="C1" s="62"/>
      <c r="D1" s="62"/>
      <c r="E1" s="62"/>
      <c r="F1" s="62"/>
      <c r="G1" s="62"/>
      <c r="H1" s="62"/>
      <c r="I1" s="62"/>
      <c r="J1" s="62"/>
      <c r="K1" s="62"/>
      <c r="L1" s="62"/>
      <c r="M1" s="62"/>
      <c r="N1" s="62"/>
      <c r="O1" s="62"/>
      <c r="P1" s="62"/>
      <c r="Q1" s="62"/>
      <c r="Y1" s="9" t="s">
        <v>1</v>
      </c>
      <c r="Z1" s="9"/>
      <c r="AA1" s="9"/>
      <c r="AB1" s="9"/>
      <c r="AC1" s="9"/>
      <c r="AD1" s="9"/>
      <c r="AE1" s="9"/>
      <c r="AF1" s="9"/>
      <c r="AG1" s="9"/>
      <c r="AH1" s="9"/>
      <c r="AI1" s="9"/>
      <c r="AJ1" s="10" t="s">
        <v>2</v>
      </c>
      <c r="AK1" s="4"/>
    </row>
    <row r="2" spans="1:37" s="1" customFormat="1" ht="15" customHeight="1" x14ac:dyDescent="0.25">
      <c r="A2" s="62"/>
      <c r="B2" s="62"/>
      <c r="C2" s="62"/>
      <c r="D2" s="62"/>
      <c r="E2" s="62"/>
      <c r="F2" s="62"/>
      <c r="G2" s="62"/>
      <c r="H2" s="62"/>
      <c r="I2" s="62"/>
      <c r="J2" s="62"/>
      <c r="K2" s="62"/>
      <c r="L2" s="62"/>
      <c r="M2" s="62"/>
      <c r="N2" s="62"/>
      <c r="O2" s="62"/>
      <c r="P2" s="62"/>
      <c r="Q2" s="62"/>
      <c r="Y2" s="11" t="s">
        <v>3</v>
      </c>
      <c r="Z2" s="11"/>
      <c r="AA2" s="11"/>
      <c r="AB2" s="11"/>
      <c r="AC2" s="11"/>
      <c r="AD2" s="11"/>
      <c r="AE2" s="11"/>
      <c r="AF2" s="63"/>
      <c r="AG2" s="64"/>
      <c r="AH2" s="64"/>
      <c r="AI2" s="64"/>
      <c r="AJ2" s="64"/>
      <c r="AK2" s="4"/>
    </row>
    <row r="3" spans="1:37" s="1" customFormat="1" ht="15" customHeight="1" x14ac:dyDescent="0.25">
      <c r="A3" s="2"/>
      <c r="Z3" s="4"/>
      <c r="AA3" s="4"/>
      <c r="AB3" s="4"/>
      <c r="AC3" s="4"/>
      <c r="AD3" s="4"/>
      <c r="AE3" s="4"/>
      <c r="AF3" s="4"/>
      <c r="AG3" s="4"/>
      <c r="AH3" s="4"/>
      <c r="AI3" s="4"/>
      <c r="AJ3" s="4"/>
      <c r="AK3" s="4"/>
    </row>
    <row r="4" spans="1:37" s="1" customFormat="1" ht="15" customHeight="1" x14ac:dyDescent="0.25">
      <c r="A4" s="2"/>
      <c r="Z4" s="4"/>
      <c r="AA4" s="4"/>
      <c r="AB4" s="4"/>
      <c r="AC4" s="4"/>
      <c r="AD4" s="4"/>
      <c r="AE4" s="4"/>
      <c r="AF4" s="4"/>
      <c r="AG4" s="4"/>
      <c r="AH4" s="4"/>
      <c r="AI4" s="4"/>
      <c r="AJ4" s="4"/>
      <c r="AK4" s="4"/>
    </row>
    <row r="5" spans="1:37" s="1" customFormat="1" ht="15" customHeight="1" x14ac:dyDescent="0.25">
      <c r="A5" s="65" t="s">
        <v>4</v>
      </c>
      <c r="B5" s="65"/>
      <c r="C5" s="65"/>
      <c r="D5" s="65"/>
      <c r="E5" s="65"/>
      <c r="F5" s="65"/>
      <c r="G5" s="65"/>
      <c r="H5" s="65"/>
      <c r="I5" s="65"/>
      <c r="J5" s="65"/>
      <c r="K5" s="65"/>
      <c r="L5" s="65"/>
      <c r="M5" s="65"/>
      <c r="N5" s="65"/>
      <c r="O5" s="65"/>
      <c r="P5" s="65"/>
      <c r="Q5" s="65"/>
      <c r="Z5" s="4"/>
      <c r="AA5" s="4"/>
      <c r="AB5" s="4"/>
      <c r="AC5" s="4"/>
      <c r="AD5" s="4"/>
      <c r="AE5" s="4"/>
      <c r="AF5" s="4"/>
      <c r="AG5" s="4"/>
      <c r="AH5" s="4"/>
      <c r="AI5" s="4"/>
      <c r="AJ5" s="4"/>
      <c r="AK5" s="4"/>
    </row>
    <row r="6" spans="1:37" s="1" customFormat="1" ht="15" customHeight="1" x14ac:dyDescent="0.25">
      <c r="A6" s="66"/>
      <c r="B6" s="66"/>
      <c r="C6" s="66"/>
      <c r="D6" s="66"/>
      <c r="E6" s="66"/>
      <c r="F6" s="66"/>
      <c r="G6" s="66"/>
      <c r="H6" s="66"/>
      <c r="I6" s="66"/>
      <c r="J6" s="66"/>
      <c r="K6" s="66"/>
      <c r="L6" s="66"/>
      <c r="M6" s="66"/>
      <c r="N6" s="66"/>
      <c r="O6" s="66"/>
      <c r="P6" s="66"/>
      <c r="Q6" s="66"/>
      <c r="Z6" s="4"/>
      <c r="AA6" s="4"/>
      <c r="AB6" s="4"/>
      <c r="AC6" s="4"/>
      <c r="AD6" s="4"/>
      <c r="AE6" s="4"/>
      <c r="AF6" s="4"/>
      <c r="AG6" s="4"/>
      <c r="AH6" s="4"/>
      <c r="AI6" s="4"/>
      <c r="AJ6" s="4"/>
      <c r="AK6" s="4"/>
    </row>
    <row r="7" spans="1:37" s="1" customFormat="1" ht="15" customHeight="1" x14ac:dyDescent="0.25">
      <c r="A7" s="2"/>
      <c r="AA7" s="4"/>
      <c r="AB7" s="4"/>
      <c r="AC7" s="4"/>
      <c r="AD7" s="4"/>
      <c r="AE7" s="4"/>
      <c r="AF7" s="4"/>
      <c r="AG7" s="4"/>
      <c r="AH7" s="4"/>
      <c r="AI7" s="4"/>
      <c r="AJ7" s="4"/>
      <c r="AK7" s="4"/>
    </row>
    <row r="8" spans="1:37" s="1" customFormat="1" ht="15" customHeight="1" x14ac:dyDescent="0.25">
      <c r="A8" s="2"/>
      <c r="Y8" s="4"/>
      <c r="AA8" s="4"/>
      <c r="AB8" s="4"/>
      <c r="AC8" s="4"/>
      <c r="AD8" s="4"/>
      <c r="AE8" s="4"/>
      <c r="AF8" s="4"/>
      <c r="AG8" s="4"/>
      <c r="AH8" s="4"/>
      <c r="AI8" s="4"/>
      <c r="AJ8" s="4"/>
      <c r="AK8" s="4"/>
    </row>
    <row r="9" spans="1:37" s="1" customFormat="1" ht="15" customHeight="1" x14ac:dyDescent="0.25">
      <c r="A9" s="67" t="s">
        <v>5</v>
      </c>
      <c r="B9" s="67"/>
      <c r="C9" s="67"/>
      <c r="D9" s="67"/>
      <c r="E9" s="67"/>
      <c r="F9" s="69">
        <f>AE43</f>
        <v>15327500</v>
      </c>
      <c r="G9" s="69"/>
      <c r="H9" s="69"/>
      <c r="I9" s="69"/>
      <c r="J9" s="69"/>
      <c r="K9" s="69"/>
      <c r="L9" s="69"/>
      <c r="M9" s="69"/>
      <c r="N9" s="69"/>
      <c r="O9" s="69"/>
      <c r="P9" s="69"/>
      <c r="Q9" s="69"/>
      <c r="Y9" s="4"/>
      <c r="AA9" s="4"/>
      <c r="AB9" s="4"/>
      <c r="AC9" s="4"/>
      <c r="AD9" s="4"/>
      <c r="AE9" s="4"/>
      <c r="AF9" s="4"/>
      <c r="AG9" s="4"/>
      <c r="AH9" s="4"/>
      <c r="AI9" s="4"/>
      <c r="AJ9" s="4"/>
      <c r="AK9" s="4"/>
    </row>
    <row r="10" spans="1:37" s="1" customFormat="1" ht="15" customHeight="1" x14ac:dyDescent="0.25">
      <c r="A10" s="68"/>
      <c r="B10" s="68"/>
      <c r="C10" s="68"/>
      <c r="D10" s="68"/>
      <c r="E10" s="68"/>
      <c r="F10" s="70"/>
      <c r="G10" s="70"/>
      <c r="H10" s="70"/>
      <c r="I10" s="70"/>
      <c r="J10" s="70"/>
      <c r="K10" s="70"/>
      <c r="L10" s="70"/>
      <c r="M10" s="70"/>
      <c r="N10" s="70"/>
      <c r="O10" s="70"/>
      <c r="P10" s="70"/>
      <c r="Q10" s="70"/>
      <c r="Y10" s="4"/>
      <c r="AA10" s="4"/>
      <c r="AB10" s="4"/>
      <c r="AC10" s="4"/>
      <c r="AD10" s="4"/>
      <c r="AE10" s="4"/>
      <c r="AF10" s="4"/>
      <c r="AG10" s="4"/>
      <c r="AH10" s="4"/>
      <c r="AI10" s="4"/>
      <c r="AJ10" s="4"/>
      <c r="AK10" s="4"/>
    </row>
    <row r="11" spans="1:37" s="1" customFormat="1" ht="15" customHeight="1" x14ac:dyDescent="0.25">
      <c r="A11" s="2"/>
    </row>
    <row r="12" spans="1:37" s="1" customFormat="1" ht="15" customHeight="1" x14ac:dyDescent="0.25">
      <c r="A12" s="2"/>
    </row>
    <row r="13" spans="1:37" ht="15" customHeight="1" x14ac:dyDescent="0.25">
      <c r="A13" s="3" t="s">
        <v>6</v>
      </c>
    </row>
    <row r="15" spans="1:37" ht="15" customHeight="1" x14ac:dyDescent="0.25">
      <c r="B15" s="4" t="str">
        <f>'御見積詳細書 (顧客用)'!B15</f>
        <v>PIMSDB更新に伴うXenApp上ファイルの向け先変更対応</v>
      </c>
    </row>
    <row r="17" spans="1:16" ht="15" customHeight="1" x14ac:dyDescent="0.25">
      <c r="A17" s="4"/>
    </row>
    <row r="18" spans="1:16" ht="15" customHeight="1" x14ac:dyDescent="0.25">
      <c r="A18" s="3" t="s">
        <v>7</v>
      </c>
      <c r="P18" s="3"/>
    </row>
    <row r="19" spans="1:16" ht="15" customHeight="1" x14ac:dyDescent="0.25">
      <c r="A19" s="4"/>
    </row>
    <row r="20" spans="1:16" ht="15" customHeight="1" x14ac:dyDescent="0.25">
      <c r="A20" s="4"/>
      <c r="B20" s="4" t="s">
        <v>8</v>
      </c>
    </row>
    <row r="21" spans="1:16" ht="15" customHeight="1" x14ac:dyDescent="0.25">
      <c r="A21" s="4"/>
    </row>
    <row r="22" spans="1:16" ht="15" customHeight="1" x14ac:dyDescent="0.25">
      <c r="A22" s="4"/>
    </row>
    <row r="23" spans="1:16" ht="15" customHeight="1" x14ac:dyDescent="0.25">
      <c r="A23" s="3" t="s">
        <v>9</v>
      </c>
    </row>
    <row r="24" spans="1:16" ht="15" customHeight="1" x14ac:dyDescent="0.25">
      <c r="A24" s="4"/>
    </row>
    <row r="25" spans="1:16" ht="15" customHeight="1" x14ac:dyDescent="0.25">
      <c r="A25" s="4"/>
      <c r="B25" s="4" t="s">
        <v>10</v>
      </c>
    </row>
    <row r="26" spans="1:16" ht="15" customHeight="1" x14ac:dyDescent="0.25">
      <c r="A26" s="4"/>
    </row>
    <row r="27" spans="1:16" ht="15" customHeight="1" x14ac:dyDescent="0.25">
      <c r="A27" s="4"/>
    </row>
    <row r="28" spans="1:16" ht="15" customHeight="1" x14ac:dyDescent="0.25">
      <c r="A28" s="3" t="s">
        <v>11</v>
      </c>
    </row>
    <row r="30" spans="1:16" ht="15" customHeight="1" x14ac:dyDescent="0.25">
      <c r="A30" s="4"/>
      <c r="B30" s="4" t="str">
        <f>'御見積詳細書 (顧客用)'!B30</f>
        <v>９か月</v>
      </c>
    </row>
    <row r="31" spans="1:16" ht="15" customHeight="1" x14ac:dyDescent="0.25">
      <c r="A31" s="4"/>
    </row>
    <row r="32" spans="1:16" ht="15" customHeight="1" x14ac:dyDescent="0.25">
      <c r="A32" s="4"/>
    </row>
    <row r="33" spans="1:49" ht="15" customHeight="1" x14ac:dyDescent="0.25">
      <c r="A33" s="3" t="s">
        <v>13</v>
      </c>
    </row>
    <row r="34" spans="1:49" ht="15" customHeight="1" x14ac:dyDescent="0.25">
      <c r="A34" s="4"/>
    </row>
    <row r="35" spans="1:49" ht="15" customHeight="1" x14ac:dyDescent="0.25">
      <c r="A35" s="4"/>
      <c r="B35" s="5" t="s">
        <v>14</v>
      </c>
      <c r="C35" s="6"/>
      <c r="D35" s="105" t="s">
        <v>15</v>
      </c>
      <c r="E35" s="106"/>
      <c r="F35" s="106"/>
      <c r="G35" s="106"/>
      <c r="H35" s="106"/>
      <c r="I35" s="106"/>
      <c r="J35" s="106"/>
      <c r="K35" s="106"/>
      <c r="L35" s="106"/>
      <c r="M35" s="106"/>
      <c r="N35" s="106"/>
      <c r="O35" s="106"/>
      <c r="P35" s="106"/>
      <c r="Q35" s="106"/>
      <c r="R35" s="107"/>
      <c r="S35" s="103" t="s">
        <v>99</v>
      </c>
      <c r="T35" s="91"/>
      <c r="U35" s="91"/>
      <c r="V35" s="91"/>
      <c r="W35" s="91"/>
      <c r="X35" s="104"/>
      <c r="Y35" s="5" t="s">
        <v>100</v>
      </c>
      <c r="Z35" s="7"/>
      <c r="AA35" s="7"/>
      <c r="AB35" s="7"/>
      <c r="AC35" s="7"/>
      <c r="AD35" s="7"/>
      <c r="AE35" s="5" t="s">
        <v>16</v>
      </c>
      <c r="AF35" s="7"/>
      <c r="AG35" s="7"/>
      <c r="AH35" s="7"/>
      <c r="AI35" s="7"/>
      <c r="AJ35" s="6"/>
    </row>
    <row r="36" spans="1:49" ht="15" customHeight="1" x14ac:dyDescent="0.25">
      <c r="A36" s="4"/>
      <c r="B36" s="71">
        <v>1</v>
      </c>
      <c r="C36" s="72"/>
      <c r="D36" s="43" t="s">
        <v>17</v>
      </c>
      <c r="E36" s="39"/>
      <c r="F36" s="39"/>
      <c r="G36" s="39"/>
      <c r="H36" s="39"/>
      <c r="I36" s="39"/>
      <c r="J36" s="39"/>
      <c r="K36" s="39"/>
      <c r="L36" s="39"/>
      <c r="M36" s="39"/>
      <c r="N36" s="39"/>
      <c r="O36" s="39"/>
      <c r="P36" s="39"/>
      <c r="Q36" s="39"/>
      <c r="R36" s="40"/>
      <c r="S36" s="98">
        <v>1000000</v>
      </c>
      <c r="T36" s="99"/>
      <c r="U36" s="99"/>
      <c r="V36" s="99"/>
      <c r="W36" s="99"/>
      <c r="X36" s="100"/>
      <c r="Y36" s="101">
        <v>20</v>
      </c>
      <c r="Z36" s="102"/>
      <c r="AA36" s="102"/>
      <c r="AB36" s="102"/>
      <c r="AC36" s="96" t="s">
        <v>101</v>
      </c>
      <c r="AD36" s="97"/>
      <c r="AE36" s="73">
        <f t="shared" ref="AE36:AE42" si="0">S36/20*Y36</f>
        <v>1000000</v>
      </c>
      <c r="AF36" s="74"/>
      <c r="AG36" s="74"/>
      <c r="AH36" s="74"/>
      <c r="AI36" s="74"/>
      <c r="AJ36" s="75"/>
    </row>
    <row r="37" spans="1:49" ht="15" customHeight="1" x14ac:dyDescent="0.25">
      <c r="A37" s="4"/>
      <c r="B37" s="71">
        <v>2</v>
      </c>
      <c r="C37" s="72"/>
      <c r="D37" s="43" t="s">
        <v>102</v>
      </c>
      <c r="E37" s="39"/>
      <c r="F37" s="39"/>
      <c r="G37" s="39"/>
      <c r="H37" s="39"/>
      <c r="I37" s="39"/>
      <c r="J37" s="39"/>
      <c r="K37" s="39"/>
      <c r="L37" s="39"/>
      <c r="M37" s="39"/>
      <c r="N37" s="39"/>
      <c r="O37" s="39"/>
      <c r="P37" s="39"/>
      <c r="Q37" s="39"/>
      <c r="R37" s="40"/>
      <c r="S37" s="98">
        <v>1000000</v>
      </c>
      <c r="T37" s="99"/>
      <c r="U37" s="99"/>
      <c r="V37" s="99"/>
      <c r="W37" s="99"/>
      <c r="X37" s="100"/>
      <c r="Y37" s="101">
        <v>11</v>
      </c>
      <c r="Z37" s="102"/>
      <c r="AA37" s="102"/>
      <c r="AB37" s="102"/>
      <c r="AC37" s="96" t="s">
        <v>101</v>
      </c>
      <c r="AD37" s="97"/>
      <c r="AE37" s="73">
        <f t="shared" si="0"/>
        <v>550000</v>
      </c>
      <c r="AF37" s="74"/>
      <c r="AG37" s="74"/>
      <c r="AH37" s="74"/>
      <c r="AI37" s="74"/>
      <c r="AJ37" s="75"/>
    </row>
    <row r="38" spans="1:49" ht="15" customHeight="1" x14ac:dyDescent="0.25">
      <c r="A38" s="4"/>
      <c r="B38" s="71">
        <v>3</v>
      </c>
      <c r="C38" s="72"/>
      <c r="D38" s="43" t="s">
        <v>19</v>
      </c>
      <c r="E38" s="39"/>
      <c r="F38" s="39"/>
      <c r="G38" s="39"/>
      <c r="H38" s="39"/>
      <c r="I38" s="39"/>
      <c r="J38" s="39"/>
      <c r="K38" s="39"/>
      <c r="L38" s="39"/>
      <c r="M38" s="39"/>
      <c r="N38" s="39"/>
      <c r="O38" s="39"/>
      <c r="P38" s="39"/>
      <c r="Q38" s="39"/>
      <c r="R38" s="40"/>
      <c r="S38" s="98">
        <v>1000000</v>
      </c>
      <c r="T38" s="99"/>
      <c r="U38" s="99"/>
      <c r="V38" s="99"/>
      <c r="W38" s="99"/>
      <c r="X38" s="100"/>
      <c r="Y38" s="101">
        <v>108.25</v>
      </c>
      <c r="Z38" s="102"/>
      <c r="AA38" s="102"/>
      <c r="AB38" s="102"/>
      <c r="AC38" s="96" t="s">
        <v>101</v>
      </c>
      <c r="AD38" s="97"/>
      <c r="AE38" s="73">
        <f t="shared" si="0"/>
        <v>5412500</v>
      </c>
      <c r="AF38" s="74"/>
      <c r="AG38" s="74"/>
      <c r="AH38" s="74"/>
      <c r="AI38" s="74"/>
      <c r="AJ38" s="75"/>
    </row>
    <row r="39" spans="1:49" ht="15" customHeight="1" x14ac:dyDescent="0.25">
      <c r="A39" s="4"/>
      <c r="B39" s="71">
        <v>4</v>
      </c>
      <c r="C39" s="72"/>
      <c r="D39" s="43" t="s">
        <v>20</v>
      </c>
      <c r="E39" s="39"/>
      <c r="F39" s="39"/>
      <c r="G39" s="39"/>
      <c r="H39" s="39"/>
      <c r="I39" s="39"/>
      <c r="J39" s="39"/>
      <c r="K39" s="39"/>
      <c r="L39" s="39"/>
      <c r="M39" s="39"/>
      <c r="N39" s="39"/>
      <c r="O39" s="39"/>
      <c r="P39" s="39"/>
      <c r="Q39" s="39"/>
      <c r="R39" s="40"/>
      <c r="S39" s="98">
        <v>1000000</v>
      </c>
      <c r="T39" s="99"/>
      <c r="U39" s="99"/>
      <c r="V39" s="99"/>
      <c r="W39" s="99"/>
      <c r="X39" s="100"/>
      <c r="Y39" s="101">
        <v>17.5</v>
      </c>
      <c r="Z39" s="102"/>
      <c r="AA39" s="102"/>
      <c r="AB39" s="102"/>
      <c r="AC39" s="96" t="s">
        <v>101</v>
      </c>
      <c r="AD39" s="97"/>
      <c r="AE39" s="73">
        <f t="shared" si="0"/>
        <v>875000</v>
      </c>
      <c r="AF39" s="74"/>
      <c r="AG39" s="74"/>
      <c r="AH39" s="74"/>
      <c r="AI39" s="74"/>
      <c r="AJ39" s="75"/>
    </row>
    <row r="40" spans="1:49" ht="15" customHeight="1" x14ac:dyDescent="0.25">
      <c r="A40" s="4"/>
      <c r="B40" s="71">
        <v>5</v>
      </c>
      <c r="C40" s="72"/>
      <c r="D40" s="43" t="s">
        <v>103</v>
      </c>
      <c r="E40" s="39"/>
      <c r="F40" s="39"/>
      <c r="G40" s="39"/>
      <c r="H40" s="39"/>
      <c r="I40" s="39"/>
      <c r="J40" s="39"/>
      <c r="K40" s="39"/>
      <c r="L40" s="39"/>
      <c r="M40" s="39"/>
      <c r="N40" s="39"/>
      <c r="O40" s="39"/>
      <c r="P40" s="39"/>
      <c r="Q40" s="39"/>
      <c r="R40" s="40"/>
      <c r="S40" s="98">
        <v>1000000</v>
      </c>
      <c r="T40" s="99"/>
      <c r="U40" s="99"/>
      <c r="V40" s="99"/>
      <c r="W40" s="99"/>
      <c r="X40" s="100"/>
      <c r="Y40" s="101">
        <v>8</v>
      </c>
      <c r="Z40" s="102"/>
      <c r="AA40" s="102"/>
      <c r="AB40" s="102"/>
      <c r="AC40" s="96" t="s">
        <v>101</v>
      </c>
      <c r="AD40" s="97"/>
      <c r="AE40" s="73">
        <f t="shared" si="0"/>
        <v>400000</v>
      </c>
      <c r="AF40" s="74"/>
      <c r="AG40" s="74"/>
      <c r="AH40" s="74"/>
      <c r="AI40" s="74"/>
      <c r="AJ40" s="75"/>
    </row>
    <row r="41" spans="1:49" ht="15" customHeight="1" x14ac:dyDescent="0.25">
      <c r="A41" s="4"/>
      <c r="B41" s="71">
        <v>6</v>
      </c>
      <c r="C41" s="72"/>
      <c r="D41" s="43" t="s">
        <v>104</v>
      </c>
      <c r="E41" s="39"/>
      <c r="F41" s="39"/>
      <c r="G41" s="39"/>
      <c r="H41" s="39"/>
      <c r="I41" s="39"/>
      <c r="J41" s="39"/>
      <c r="K41" s="39"/>
      <c r="L41" s="39"/>
      <c r="M41" s="39"/>
      <c r="N41" s="39"/>
      <c r="O41" s="39"/>
      <c r="P41" s="39"/>
      <c r="Q41" s="39"/>
      <c r="R41" s="39"/>
      <c r="S41" s="98">
        <v>1000000</v>
      </c>
      <c r="T41" s="99"/>
      <c r="U41" s="99"/>
      <c r="V41" s="99"/>
      <c r="W41" s="99"/>
      <c r="X41" s="100"/>
      <c r="Y41" s="101">
        <v>72.5</v>
      </c>
      <c r="Z41" s="102"/>
      <c r="AA41" s="102"/>
      <c r="AB41" s="102"/>
      <c r="AC41" s="96" t="s">
        <v>101</v>
      </c>
      <c r="AD41" s="97"/>
      <c r="AE41" s="73">
        <f t="shared" si="0"/>
        <v>3625000</v>
      </c>
      <c r="AF41" s="74"/>
      <c r="AG41" s="74"/>
      <c r="AH41" s="74"/>
      <c r="AI41" s="74"/>
      <c r="AJ41" s="75"/>
    </row>
    <row r="42" spans="1:49" ht="15" customHeight="1" x14ac:dyDescent="0.25">
      <c r="A42" s="4"/>
      <c r="B42" s="71">
        <v>7</v>
      </c>
      <c r="C42" s="72"/>
      <c r="D42" s="43" t="s">
        <v>23</v>
      </c>
      <c r="E42" s="39"/>
      <c r="F42" s="39"/>
      <c r="G42" s="39"/>
      <c r="H42" s="39"/>
      <c r="I42" s="39"/>
      <c r="J42" s="39"/>
      <c r="K42" s="39"/>
      <c r="L42" s="39"/>
      <c r="M42" s="39"/>
      <c r="N42" s="39"/>
      <c r="O42" s="39"/>
      <c r="P42" s="39"/>
      <c r="Q42" s="39"/>
      <c r="R42" s="39"/>
      <c r="S42" s="98">
        <v>1400000</v>
      </c>
      <c r="T42" s="99"/>
      <c r="U42" s="99"/>
      <c r="V42" s="99"/>
      <c r="W42" s="99"/>
      <c r="X42" s="100"/>
      <c r="Y42" s="101">
        <f>ROUNDUP(SUM(Y36:AB41)*0.15,0)+13.5</f>
        <v>49.5</v>
      </c>
      <c r="Z42" s="102"/>
      <c r="AA42" s="102"/>
      <c r="AB42" s="102"/>
      <c r="AC42" s="96" t="s">
        <v>101</v>
      </c>
      <c r="AD42" s="97"/>
      <c r="AE42" s="73">
        <f t="shared" si="0"/>
        <v>3465000</v>
      </c>
      <c r="AF42" s="74"/>
      <c r="AG42" s="74"/>
      <c r="AH42" s="74"/>
      <c r="AI42" s="74"/>
      <c r="AJ42" s="75"/>
      <c r="AT42" s="13"/>
      <c r="AU42" s="13"/>
      <c r="AV42" s="13"/>
      <c r="AW42" s="13"/>
    </row>
    <row r="43" spans="1:49" ht="15" customHeight="1" x14ac:dyDescent="0.25">
      <c r="A43" s="4"/>
      <c r="B43" s="108" t="s">
        <v>24</v>
      </c>
      <c r="C43" s="109"/>
      <c r="D43" s="109"/>
      <c r="E43" s="109"/>
      <c r="F43" s="109"/>
      <c r="G43" s="109"/>
      <c r="H43" s="109"/>
      <c r="I43" s="109"/>
      <c r="J43" s="109"/>
      <c r="K43" s="109"/>
      <c r="L43" s="109"/>
      <c r="M43" s="109"/>
      <c r="N43" s="109"/>
      <c r="O43" s="109"/>
      <c r="P43" s="109"/>
      <c r="Q43" s="109"/>
      <c r="R43" s="109"/>
      <c r="S43" s="109"/>
      <c r="T43" s="109"/>
      <c r="U43" s="109"/>
      <c r="V43" s="109"/>
      <c r="W43" s="109"/>
      <c r="X43" s="109"/>
      <c r="Y43" s="101">
        <f>SUM(Y36:AB42)</f>
        <v>286.75</v>
      </c>
      <c r="Z43" s="102"/>
      <c r="AA43" s="102"/>
      <c r="AB43" s="102"/>
      <c r="AC43" s="96" t="s">
        <v>101</v>
      </c>
      <c r="AD43" s="97"/>
      <c r="AE43" s="79">
        <f>SUM(AE36:AJ42)</f>
        <v>15327500</v>
      </c>
      <c r="AF43" s="79"/>
      <c r="AG43" s="79"/>
      <c r="AH43" s="79"/>
      <c r="AI43" s="79"/>
      <c r="AJ43" s="79"/>
    </row>
    <row r="44" spans="1:49" ht="15" customHeight="1" x14ac:dyDescent="0.25">
      <c r="A44" s="4"/>
      <c r="AB44" s="13"/>
    </row>
    <row r="45" spans="1:49" ht="15" customHeight="1" x14ac:dyDescent="0.25">
      <c r="A45" s="4"/>
      <c r="AB45" s="13"/>
    </row>
    <row r="46" spans="1:49" ht="15" customHeight="1" x14ac:dyDescent="0.25">
      <c r="A46" s="3" t="s">
        <v>30</v>
      </c>
    </row>
    <row r="48" spans="1:49" ht="15" customHeight="1" x14ac:dyDescent="0.25">
      <c r="B48" s="4" t="s">
        <v>105</v>
      </c>
    </row>
    <row r="49" spans="1:36" ht="15" customHeight="1" x14ac:dyDescent="0.25">
      <c r="A49" s="4"/>
      <c r="B49" s="4" t="s">
        <v>106</v>
      </c>
    </row>
    <row r="50" spans="1:36" ht="15" customHeight="1" x14ac:dyDescent="0.25">
      <c r="A50" s="4"/>
      <c r="B50" s="5" t="s">
        <v>14</v>
      </c>
      <c r="C50" s="6"/>
      <c r="D50" s="5" t="s">
        <v>33</v>
      </c>
      <c r="E50" s="7"/>
      <c r="F50" s="7"/>
      <c r="G50" s="7"/>
      <c r="H50" s="6"/>
      <c r="I50" s="5" t="s">
        <v>30</v>
      </c>
      <c r="J50" s="7"/>
      <c r="K50" s="7"/>
      <c r="L50" s="7"/>
      <c r="M50" s="7"/>
      <c r="N50" s="7"/>
      <c r="O50" s="7"/>
      <c r="P50" s="7"/>
      <c r="Q50" s="7"/>
      <c r="R50" s="7"/>
      <c r="S50" s="7"/>
      <c r="T50" s="7"/>
      <c r="U50" s="7"/>
      <c r="V50" s="7"/>
      <c r="W50" s="7"/>
      <c r="X50" s="7"/>
      <c r="Y50" s="7"/>
      <c r="Z50" s="7"/>
      <c r="AA50" s="7"/>
      <c r="AB50" s="7"/>
      <c r="AC50" s="7"/>
      <c r="AD50" s="7"/>
      <c r="AE50" s="7"/>
      <c r="AF50" s="7"/>
      <c r="AG50" s="7"/>
      <c r="AH50" s="7"/>
      <c r="AI50" s="7"/>
      <c r="AJ50" s="6"/>
    </row>
    <row r="51" spans="1:36" ht="15" customHeight="1" x14ac:dyDescent="0.25">
      <c r="A51" s="4"/>
      <c r="B51" s="92">
        <v>1</v>
      </c>
      <c r="C51" s="93"/>
      <c r="D51" s="15" t="s">
        <v>34</v>
      </c>
      <c r="E51" s="18"/>
      <c r="F51" s="18"/>
      <c r="G51" s="18"/>
      <c r="H51" s="18"/>
      <c r="I51" s="32" t="s">
        <v>35</v>
      </c>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4"/>
    </row>
    <row r="52" spans="1:36" ht="15" customHeight="1" x14ac:dyDescent="0.25">
      <c r="A52" s="4"/>
      <c r="B52" s="94"/>
      <c r="C52" s="95"/>
      <c r="D52" s="16"/>
      <c r="E52" s="21"/>
      <c r="F52" s="21"/>
      <c r="G52" s="21"/>
      <c r="H52" s="21"/>
      <c r="I52" s="22" t="s">
        <v>36</v>
      </c>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4"/>
    </row>
    <row r="53" spans="1:36" ht="15" customHeight="1" x14ac:dyDescent="0.25">
      <c r="A53" s="4"/>
      <c r="B53" s="92">
        <v>2</v>
      </c>
      <c r="C53" s="93"/>
      <c r="D53" s="45" t="s">
        <v>37</v>
      </c>
      <c r="E53" s="19"/>
      <c r="F53" s="19"/>
      <c r="G53" s="19"/>
      <c r="H53" s="19"/>
      <c r="I53" s="32" t="s">
        <v>38</v>
      </c>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4"/>
    </row>
    <row r="54" spans="1:36" ht="15" customHeight="1" x14ac:dyDescent="0.25">
      <c r="A54" s="4"/>
      <c r="B54" s="94"/>
      <c r="C54" s="95"/>
      <c r="D54" s="16"/>
      <c r="E54" s="21"/>
      <c r="F54" s="21"/>
      <c r="G54" s="21"/>
      <c r="H54" s="21"/>
      <c r="I54" s="22"/>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4"/>
    </row>
    <row r="55" spans="1:36" ht="15" customHeight="1" x14ac:dyDescent="0.25">
      <c r="A55" s="4"/>
      <c r="B55" s="92">
        <v>3</v>
      </c>
      <c r="C55" s="93"/>
      <c r="D55" s="45" t="s">
        <v>39</v>
      </c>
      <c r="E55" s="19"/>
      <c r="F55" s="19"/>
      <c r="G55" s="19"/>
      <c r="H55" s="19"/>
      <c r="I55" s="27" t="s">
        <v>40</v>
      </c>
      <c r="AJ55" s="20"/>
    </row>
    <row r="56" spans="1:36" ht="15" customHeight="1" x14ac:dyDescent="0.25">
      <c r="A56" s="4"/>
      <c r="B56" s="94"/>
      <c r="C56" s="95"/>
      <c r="D56" s="16"/>
      <c r="E56" s="21"/>
      <c r="F56" s="21"/>
      <c r="G56" s="21"/>
      <c r="H56" s="21"/>
      <c r="I56" s="27"/>
      <c r="AJ56" s="20"/>
    </row>
    <row r="57" spans="1:36" ht="15" customHeight="1" x14ac:dyDescent="0.25">
      <c r="A57" s="4"/>
      <c r="B57" s="92">
        <v>4</v>
      </c>
      <c r="C57" s="93"/>
      <c r="D57" s="15" t="s">
        <v>41</v>
      </c>
      <c r="E57" s="18"/>
      <c r="F57" s="18"/>
      <c r="G57" s="18"/>
      <c r="H57" s="18"/>
      <c r="I57" s="32" t="s">
        <v>42</v>
      </c>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4"/>
    </row>
    <row r="58" spans="1:36" ht="15" customHeight="1" x14ac:dyDescent="0.25">
      <c r="A58" s="4"/>
      <c r="B58" s="94"/>
      <c r="C58" s="95"/>
      <c r="D58" s="16"/>
      <c r="E58" s="21"/>
      <c r="F58" s="21"/>
      <c r="G58" s="21"/>
      <c r="H58" s="21"/>
      <c r="I58" s="22" t="s">
        <v>43</v>
      </c>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4"/>
    </row>
    <row r="59" spans="1:36" ht="15" customHeight="1" x14ac:dyDescent="0.25">
      <c r="A59" s="4"/>
      <c r="B59" s="92">
        <v>5</v>
      </c>
      <c r="C59" s="93"/>
      <c r="D59" s="15" t="s">
        <v>44</v>
      </c>
      <c r="E59" s="18"/>
      <c r="F59" s="18"/>
      <c r="G59" s="18"/>
      <c r="H59" s="18"/>
      <c r="I59" s="32" t="s">
        <v>45</v>
      </c>
      <c r="J59" s="33"/>
      <c r="K59" s="33"/>
      <c r="AJ59" s="20"/>
    </row>
    <row r="60" spans="1:36" ht="15" customHeight="1" x14ac:dyDescent="0.25">
      <c r="A60" s="4"/>
      <c r="B60" s="94"/>
      <c r="C60" s="95"/>
      <c r="D60" s="16"/>
      <c r="E60" s="21"/>
      <c r="F60" s="21"/>
      <c r="G60" s="21"/>
      <c r="H60" s="21"/>
      <c r="I60" s="22" t="s">
        <v>46</v>
      </c>
      <c r="J60" s="23"/>
      <c r="K60" s="23"/>
      <c r="AJ60" s="20"/>
    </row>
    <row r="61" spans="1:36" ht="15" customHeight="1" x14ac:dyDescent="0.25">
      <c r="A61" s="4"/>
      <c r="B61" s="92">
        <v>6</v>
      </c>
      <c r="C61" s="93"/>
      <c r="D61" s="15" t="s">
        <v>47</v>
      </c>
      <c r="E61" s="18"/>
      <c r="F61" s="18"/>
      <c r="G61" s="18"/>
      <c r="H61" s="18"/>
      <c r="I61" s="32" t="s">
        <v>48</v>
      </c>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4"/>
    </row>
    <row r="62" spans="1:36" ht="15" customHeight="1" x14ac:dyDescent="0.25">
      <c r="A62" s="4"/>
      <c r="B62" s="94"/>
      <c r="C62" s="95"/>
      <c r="D62" s="16" t="s">
        <v>49</v>
      </c>
      <c r="E62" s="21"/>
      <c r="F62" s="21"/>
      <c r="G62" s="21"/>
      <c r="H62" s="21"/>
      <c r="I62" s="22" t="s">
        <v>50</v>
      </c>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4"/>
    </row>
    <row r="63" spans="1:36" ht="15" customHeight="1" x14ac:dyDescent="0.25">
      <c r="A63" s="4"/>
      <c r="B63" s="92">
        <v>7</v>
      </c>
      <c r="C63" s="93"/>
      <c r="D63" s="45" t="s">
        <v>51</v>
      </c>
      <c r="E63" s="19"/>
      <c r="F63" s="19"/>
      <c r="G63" s="19"/>
      <c r="H63" s="19"/>
      <c r="I63" s="27" t="s">
        <v>52</v>
      </c>
      <c r="AJ63" s="20"/>
    </row>
    <row r="64" spans="1:36" ht="15" customHeight="1" x14ac:dyDescent="0.25">
      <c r="A64" s="4"/>
      <c r="B64" s="94"/>
      <c r="C64" s="95"/>
      <c r="D64" s="16"/>
      <c r="E64" s="21"/>
      <c r="F64" s="21"/>
      <c r="G64" s="21"/>
      <c r="H64" s="21"/>
      <c r="I64" s="22"/>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4"/>
    </row>
  </sheetData>
  <mergeCells count="53">
    <mergeCell ref="B61:C62"/>
    <mergeCell ref="B63:C64"/>
    <mergeCell ref="B43:X43"/>
    <mergeCell ref="Y43:AB43"/>
    <mergeCell ref="AC43:AD43"/>
    <mergeCell ref="B51:C52"/>
    <mergeCell ref="B53:C54"/>
    <mergeCell ref="B55:C56"/>
    <mergeCell ref="B57:C58"/>
    <mergeCell ref="B59:C60"/>
    <mergeCell ref="AE41:AJ41"/>
    <mergeCell ref="S42:X42"/>
    <mergeCell ref="Y42:AB42"/>
    <mergeCell ref="AC42:AD42"/>
    <mergeCell ref="AE42:AJ42"/>
    <mergeCell ref="B41:C41"/>
    <mergeCell ref="B42:C42"/>
    <mergeCell ref="S41:X41"/>
    <mergeCell ref="Y41:AB41"/>
    <mergeCell ref="AC41:AD41"/>
    <mergeCell ref="AE43:AJ43"/>
    <mergeCell ref="AF2:AJ2"/>
    <mergeCell ref="A1:Q2"/>
    <mergeCell ref="A5:Q6"/>
    <mergeCell ref="B36:C36"/>
    <mergeCell ref="AE36:AJ36"/>
    <mergeCell ref="A9:E10"/>
    <mergeCell ref="F9:Q10"/>
    <mergeCell ref="S35:X35"/>
    <mergeCell ref="S36:X36"/>
    <mergeCell ref="Y36:AB36"/>
    <mergeCell ref="AC36:AD36"/>
    <mergeCell ref="D35:R35"/>
    <mergeCell ref="B37:C37"/>
    <mergeCell ref="AE37:AJ37"/>
    <mergeCell ref="B40:C40"/>
    <mergeCell ref="B39:C39"/>
    <mergeCell ref="AE39:AJ39"/>
    <mergeCell ref="B38:C38"/>
    <mergeCell ref="AC39:AD39"/>
    <mergeCell ref="Y38:AB38"/>
    <mergeCell ref="AC38:AD38"/>
    <mergeCell ref="S38:X38"/>
    <mergeCell ref="S39:X39"/>
    <mergeCell ref="Y39:AB39"/>
    <mergeCell ref="AC37:AD37"/>
    <mergeCell ref="S37:X37"/>
    <mergeCell ref="Y40:AB40"/>
    <mergeCell ref="AC40:AD40"/>
    <mergeCell ref="AE38:AJ38"/>
    <mergeCell ref="Y37:AB37"/>
    <mergeCell ref="AE40:AJ40"/>
    <mergeCell ref="S40:X40"/>
  </mergeCells>
  <phoneticPr fontId="4"/>
  <printOptions horizontalCentered="1"/>
  <pageMargins left="0.39370078740157483" right="0.39370078740157483" top="0.78740157480314965" bottom="0.39370078740157483" header="0.31496062992125984" footer="0.31496062992125984"/>
  <pageSetup paperSize="9" orientation="portrait" r:id="rId1"/>
  <headerFooter>
    <oddFooter>&amp;C&amp;10&amp;P /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3:O44"/>
  <sheetViews>
    <sheetView workbookViewId="0">
      <selection activeCell="C42" sqref="C42"/>
    </sheetView>
  </sheetViews>
  <sheetFormatPr defaultRowHeight="12.75" x14ac:dyDescent="0.25"/>
  <cols>
    <col min="2" max="2" width="24.3984375" customWidth="1"/>
    <col min="3" max="3" width="13.73046875" customWidth="1"/>
  </cols>
  <sheetData>
    <row r="3" spans="2:15" x14ac:dyDescent="0.25">
      <c r="B3" s="50" t="s">
        <v>107</v>
      </c>
      <c r="C3" s="51"/>
      <c r="D3" s="52" t="s">
        <v>108</v>
      </c>
      <c r="E3" s="53"/>
      <c r="F3" s="53"/>
      <c r="G3" s="53"/>
      <c r="H3" s="53"/>
      <c r="I3" s="53"/>
      <c r="J3" s="53"/>
      <c r="K3" s="53"/>
      <c r="L3" s="53"/>
      <c r="M3" s="53">
        <v>2026</v>
      </c>
      <c r="N3" s="53"/>
      <c r="O3" s="54"/>
    </row>
    <row r="4" spans="2:15" x14ac:dyDescent="0.25">
      <c r="B4" s="55" t="s">
        <v>109</v>
      </c>
      <c r="D4" s="56" t="s">
        <v>110</v>
      </c>
      <c r="E4" s="56" t="s">
        <v>111</v>
      </c>
      <c r="F4" s="56" t="s">
        <v>112</v>
      </c>
      <c r="G4" s="56" t="s">
        <v>113</v>
      </c>
      <c r="H4" s="56" t="s">
        <v>114</v>
      </c>
      <c r="I4" s="56" t="s">
        <v>115</v>
      </c>
      <c r="J4" s="56" t="s">
        <v>116</v>
      </c>
      <c r="K4" s="56" t="s">
        <v>117</v>
      </c>
      <c r="L4" s="56" t="s">
        <v>118</v>
      </c>
      <c r="M4" s="56" t="s">
        <v>119</v>
      </c>
      <c r="N4" s="56" t="s">
        <v>120</v>
      </c>
      <c r="O4" s="56" t="s">
        <v>121</v>
      </c>
    </row>
    <row r="5" spans="2:15" x14ac:dyDescent="0.25">
      <c r="B5" s="55" t="s">
        <v>122</v>
      </c>
      <c r="D5" s="57"/>
      <c r="E5" s="57"/>
      <c r="F5" s="57"/>
      <c r="G5" s="57"/>
      <c r="H5" s="57"/>
      <c r="I5" s="57" t="s">
        <v>123</v>
      </c>
      <c r="J5" s="57"/>
      <c r="K5" s="57"/>
      <c r="L5" s="57"/>
      <c r="M5" s="57"/>
      <c r="N5" s="57"/>
      <c r="O5" s="57"/>
    </row>
    <row r="6" spans="2:15" x14ac:dyDescent="0.25">
      <c r="B6" s="55" t="s">
        <v>124</v>
      </c>
      <c r="D6" s="57"/>
      <c r="E6" s="57"/>
      <c r="F6" s="57"/>
      <c r="G6" s="57"/>
      <c r="H6" s="57"/>
      <c r="I6" s="57"/>
      <c r="J6" s="57" t="s">
        <v>123</v>
      </c>
      <c r="K6" s="57"/>
      <c r="L6" s="57"/>
      <c r="M6" s="57"/>
      <c r="N6" s="57"/>
      <c r="O6" s="57"/>
    </row>
    <row r="7" spans="2:15" x14ac:dyDescent="0.25">
      <c r="B7" s="55" t="s">
        <v>125</v>
      </c>
      <c r="D7" s="57"/>
      <c r="E7" s="57"/>
      <c r="F7" s="57"/>
      <c r="G7" s="57"/>
      <c r="H7" s="57" t="s">
        <v>123</v>
      </c>
      <c r="I7" s="57"/>
      <c r="J7" s="57"/>
      <c r="K7" s="57"/>
      <c r="L7" s="57"/>
      <c r="M7" s="57"/>
      <c r="N7" s="57"/>
      <c r="O7" s="57"/>
    </row>
    <row r="8" spans="2:15" x14ac:dyDescent="0.25">
      <c r="B8" s="55" t="s">
        <v>126</v>
      </c>
      <c r="D8" s="57"/>
      <c r="E8" s="57"/>
      <c r="F8" s="57"/>
      <c r="G8" s="57"/>
      <c r="H8" s="57"/>
      <c r="I8" s="57"/>
      <c r="J8" s="57"/>
      <c r="K8" s="57" t="s">
        <v>123</v>
      </c>
      <c r="L8" s="57"/>
      <c r="M8" s="57"/>
      <c r="N8" s="57"/>
      <c r="O8" s="57"/>
    </row>
    <row r="9" spans="2:15" x14ac:dyDescent="0.25">
      <c r="B9" s="55" t="s">
        <v>127</v>
      </c>
      <c r="D9" s="57"/>
      <c r="E9" s="57"/>
      <c r="F9" s="57"/>
      <c r="G9" s="57"/>
      <c r="H9" s="57"/>
      <c r="I9" s="57"/>
      <c r="J9" s="57"/>
      <c r="K9" s="57"/>
      <c r="L9" s="57"/>
      <c r="M9" s="57" t="s">
        <v>123</v>
      </c>
      <c r="N9" s="57"/>
      <c r="O9" s="57"/>
    </row>
    <row r="10" spans="2:15" x14ac:dyDescent="0.25">
      <c r="B10" s="58"/>
      <c r="C10" s="59"/>
      <c r="D10" s="57"/>
      <c r="E10" s="57"/>
      <c r="F10" s="57"/>
      <c r="G10" s="57"/>
      <c r="H10" s="57"/>
      <c r="I10" s="57"/>
      <c r="J10" s="57"/>
      <c r="K10" s="57"/>
      <c r="L10" s="57"/>
      <c r="M10" s="57"/>
      <c r="N10" s="57"/>
      <c r="O10" s="57"/>
    </row>
    <row r="11" spans="2:15" x14ac:dyDescent="0.25">
      <c r="B11" s="55" t="s">
        <v>128</v>
      </c>
      <c r="D11" s="56" t="s">
        <v>110</v>
      </c>
      <c r="E11" s="56" t="s">
        <v>111</v>
      </c>
      <c r="F11" s="56" t="s">
        <v>112</v>
      </c>
      <c r="G11" s="56" t="s">
        <v>113</v>
      </c>
      <c r="H11" s="56" t="s">
        <v>114</v>
      </c>
      <c r="I11" s="56" t="s">
        <v>115</v>
      </c>
      <c r="J11" s="56" t="s">
        <v>116</v>
      </c>
      <c r="K11" s="56" t="s">
        <v>117</v>
      </c>
      <c r="L11" s="56" t="s">
        <v>118</v>
      </c>
      <c r="M11" s="56" t="s">
        <v>119</v>
      </c>
      <c r="N11" s="56" t="s">
        <v>120</v>
      </c>
      <c r="O11" s="56" t="s">
        <v>121</v>
      </c>
    </row>
    <row r="12" spans="2:15" hidden="1" x14ac:dyDescent="0.25">
      <c r="B12" s="55" t="s">
        <v>122</v>
      </c>
      <c r="D12" s="57"/>
      <c r="E12" s="57"/>
      <c r="F12" s="57"/>
      <c r="G12" s="57"/>
      <c r="H12" s="57"/>
      <c r="I12" s="57"/>
      <c r="J12" s="57"/>
      <c r="K12" s="57"/>
      <c r="L12" s="57"/>
      <c r="M12" s="57"/>
      <c r="N12" s="57"/>
      <c r="O12" s="57"/>
    </row>
    <row r="13" spans="2:15" hidden="1" x14ac:dyDescent="0.25">
      <c r="B13" s="55" t="s">
        <v>124</v>
      </c>
      <c r="D13" s="57"/>
      <c r="E13" s="57"/>
      <c r="F13" s="57"/>
      <c r="G13" s="57"/>
      <c r="H13" s="57"/>
      <c r="I13" s="57"/>
      <c r="J13" s="57"/>
      <c r="K13" s="57"/>
      <c r="L13" s="57"/>
      <c r="M13" s="57"/>
      <c r="N13" s="57"/>
      <c r="O13" s="57"/>
    </row>
    <row r="14" spans="2:15" hidden="1" x14ac:dyDescent="0.25">
      <c r="B14" s="55" t="s">
        <v>125</v>
      </c>
      <c r="D14" s="57"/>
      <c r="E14" s="57"/>
      <c r="F14" s="57"/>
      <c r="G14" s="57"/>
      <c r="H14" s="57"/>
      <c r="I14" s="57"/>
      <c r="J14" s="57"/>
      <c r="K14" s="57"/>
      <c r="L14" s="57"/>
      <c r="M14" s="57"/>
      <c r="N14" s="57"/>
      <c r="O14" s="57"/>
    </row>
    <row r="15" spans="2:15" hidden="1" x14ac:dyDescent="0.25">
      <c r="B15" s="55" t="s">
        <v>126</v>
      </c>
      <c r="D15" s="57"/>
      <c r="E15" s="57"/>
      <c r="F15" s="57"/>
      <c r="G15" s="57"/>
      <c r="H15" s="57"/>
      <c r="I15" s="57"/>
      <c r="J15" s="57"/>
      <c r="K15" s="57"/>
      <c r="L15" s="57"/>
      <c r="M15" s="57"/>
      <c r="N15" s="57"/>
      <c r="O15" s="57"/>
    </row>
    <row r="16" spans="2:15" hidden="1" x14ac:dyDescent="0.25">
      <c r="B16" s="55" t="s">
        <v>127</v>
      </c>
      <c r="D16" s="57"/>
      <c r="E16" s="57"/>
      <c r="F16" s="57"/>
      <c r="G16" s="57"/>
      <c r="H16" s="57"/>
      <c r="I16" s="57"/>
      <c r="J16" s="57"/>
      <c r="K16" s="57"/>
      <c r="L16" s="57"/>
      <c r="M16" s="57"/>
      <c r="N16" s="57"/>
      <c r="O16" s="57"/>
    </row>
    <row r="17" spans="2:15" hidden="1" x14ac:dyDescent="0.25">
      <c r="B17" s="55"/>
      <c r="D17" s="57"/>
      <c r="E17" s="57"/>
      <c r="F17" s="57"/>
      <c r="G17" s="57"/>
      <c r="H17" s="57"/>
      <c r="I17" s="57"/>
      <c r="J17" s="57"/>
      <c r="K17" s="57"/>
      <c r="L17" s="57"/>
      <c r="M17" s="57"/>
      <c r="N17" s="57"/>
      <c r="O17" s="57"/>
    </row>
    <row r="18" spans="2:15" x14ac:dyDescent="0.25">
      <c r="B18" s="55" t="s">
        <v>129</v>
      </c>
      <c r="D18" s="57"/>
      <c r="E18" s="57"/>
      <c r="F18" s="57"/>
      <c r="G18" s="57"/>
      <c r="H18" s="57"/>
      <c r="I18" s="57"/>
      <c r="J18" s="57"/>
      <c r="K18" s="57"/>
      <c r="L18" s="57"/>
      <c r="M18" s="57"/>
      <c r="N18" s="57"/>
      <c r="O18" s="57"/>
    </row>
    <row r="19" spans="2:15" x14ac:dyDescent="0.25">
      <c r="B19" s="55" t="s">
        <v>37</v>
      </c>
      <c r="D19" s="57"/>
      <c r="E19" s="57"/>
      <c r="F19" s="57"/>
      <c r="G19" s="57"/>
      <c r="H19" s="57"/>
      <c r="I19" s="57"/>
      <c r="J19" s="57"/>
      <c r="K19" s="57"/>
      <c r="L19" s="57"/>
      <c r="M19" s="57"/>
      <c r="N19" s="57"/>
      <c r="O19" s="57"/>
    </row>
    <row r="20" spans="2:15" x14ac:dyDescent="0.25">
      <c r="B20" s="55" t="s">
        <v>130</v>
      </c>
      <c r="C20" t="s">
        <v>131</v>
      </c>
      <c r="D20" s="57"/>
      <c r="E20" s="57"/>
      <c r="F20" s="57"/>
      <c r="G20" s="57"/>
      <c r="H20" s="57"/>
      <c r="I20" s="57"/>
      <c r="J20" s="57"/>
      <c r="K20" s="57"/>
      <c r="L20" s="57"/>
      <c r="M20" s="57"/>
      <c r="N20" s="57"/>
      <c r="O20" s="57"/>
    </row>
    <row r="21" spans="2:15" x14ac:dyDescent="0.25">
      <c r="B21" s="55" t="s">
        <v>130</v>
      </c>
      <c r="C21" t="s">
        <v>64</v>
      </c>
      <c r="D21" s="57"/>
      <c r="E21" s="57"/>
      <c r="F21" s="57"/>
      <c r="G21" s="57"/>
      <c r="H21" s="57"/>
      <c r="I21" s="57"/>
      <c r="J21" s="57"/>
      <c r="K21" s="57"/>
      <c r="L21" s="57"/>
      <c r="M21" s="57"/>
      <c r="N21" s="57"/>
      <c r="O21" s="57"/>
    </row>
    <row r="22" spans="2:15" x14ac:dyDescent="0.25">
      <c r="B22" s="55" t="s">
        <v>130</v>
      </c>
      <c r="C22" t="s">
        <v>65</v>
      </c>
      <c r="D22" s="57"/>
      <c r="E22" s="57"/>
      <c r="F22" s="57"/>
      <c r="G22" s="57"/>
      <c r="H22" s="57"/>
      <c r="I22" s="57"/>
      <c r="J22" s="57"/>
      <c r="K22" s="57"/>
      <c r="L22" s="57"/>
      <c r="M22" s="57"/>
      <c r="N22" s="57"/>
      <c r="O22" s="57"/>
    </row>
    <row r="23" spans="2:15" x14ac:dyDescent="0.25">
      <c r="B23" s="55" t="s">
        <v>130</v>
      </c>
      <c r="C23" t="s">
        <v>132</v>
      </c>
      <c r="D23" s="57"/>
      <c r="E23" s="57"/>
      <c r="F23" s="57"/>
      <c r="G23" s="57"/>
      <c r="H23" s="57"/>
      <c r="I23" s="57"/>
      <c r="J23" s="57"/>
      <c r="K23" s="57"/>
      <c r="L23" s="57"/>
      <c r="M23" s="57"/>
      <c r="N23" s="57"/>
      <c r="O23" s="57"/>
    </row>
    <row r="24" spans="2:15" x14ac:dyDescent="0.25">
      <c r="B24" s="55" t="s">
        <v>130</v>
      </c>
      <c r="C24" t="s">
        <v>49</v>
      </c>
      <c r="D24" s="57"/>
      <c r="E24" s="57"/>
      <c r="F24" s="57"/>
      <c r="G24" s="57"/>
      <c r="H24" s="57"/>
      <c r="I24" s="57"/>
      <c r="J24" s="57"/>
      <c r="K24" s="57"/>
      <c r="L24" s="57"/>
      <c r="M24" s="57"/>
      <c r="N24" s="57"/>
      <c r="O24" s="57"/>
    </row>
    <row r="25" spans="2:15" x14ac:dyDescent="0.25">
      <c r="B25" s="55" t="s">
        <v>133</v>
      </c>
      <c r="C25" t="s">
        <v>131</v>
      </c>
      <c r="D25" s="57"/>
      <c r="E25" s="57"/>
      <c r="F25" s="57"/>
      <c r="G25" s="57"/>
      <c r="H25" s="57"/>
      <c r="I25" s="57"/>
      <c r="J25" s="57"/>
      <c r="K25" s="57"/>
      <c r="L25" s="57"/>
      <c r="M25" s="57"/>
      <c r="N25" s="57"/>
      <c r="O25" s="57"/>
    </row>
    <row r="26" spans="2:15" x14ac:dyDescent="0.25">
      <c r="B26" s="55" t="s">
        <v>133</v>
      </c>
      <c r="C26" t="s">
        <v>64</v>
      </c>
      <c r="D26" s="57"/>
      <c r="E26" s="57"/>
      <c r="F26" s="57"/>
      <c r="G26" s="57"/>
      <c r="H26" s="57"/>
      <c r="I26" s="57"/>
      <c r="J26" s="57"/>
      <c r="K26" s="57"/>
      <c r="L26" s="57"/>
      <c r="M26" s="57"/>
      <c r="N26" s="57"/>
      <c r="O26" s="57"/>
    </row>
    <row r="27" spans="2:15" x14ac:dyDescent="0.25">
      <c r="B27" s="55" t="s">
        <v>133</v>
      </c>
      <c r="C27" t="s">
        <v>65</v>
      </c>
      <c r="D27" s="57"/>
      <c r="E27" s="57"/>
      <c r="F27" s="57"/>
      <c r="G27" s="57"/>
      <c r="H27" s="57"/>
      <c r="I27" s="57"/>
      <c r="J27" s="57"/>
      <c r="K27" s="57"/>
      <c r="L27" s="57"/>
      <c r="M27" s="57"/>
      <c r="N27" s="57"/>
      <c r="O27" s="57"/>
    </row>
    <row r="28" spans="2:15" x14ac:dyDescent="0.25">
      <c r="B28" s="55" t="s">
        <v>133</v>
      </c>
      <c r="C28" t="s">
        <v>132</v>
      </c>
      <c r="D28" s="57"/>
      <c r="E28" s="57"/>
      <c r="F28" s="57"/>
      <c r="G28" s="57"/>
      <c r="H28" s="57"/>
      <c r="I28" s="57"/>
      <c r="J28" s="57"/>
      <c r="K28" s="57"/>
      <c r="L28" s="57"/>
      <c r="M28" s="57"/>
      <c r="N28" s="57"/>
      <c r="O28" s="57"/>
    </row>
    <row r="29" spans="2:15" x14ac:dyDescent="0.25">
      <c r="B29" s="55" t="s">
        <v>133</v>
      </c>
      <c r="C29" t="s">
        <v>49</v>
      </c>
      <c r="D29" s="57"/>
      <c r="E29" s="57"/>
      <c r="F29" s="57"/>
      <c r="G29" s="57"/>
      <c r="H29" s="57"/>
      <c r="I29" s="57"/>
      <c r="J29" s="57"/>
      <c r="K29" s="57"/>
      <c r="L29" s="57"/>
      <c r="M29" s="57"/>
      <c r="N29" s="57"/>
      <c r="O29" s="57"/>
    </row>
    <row r="30" spans="2:15" x14ac:dyDescent="0.25">
      <c r="B30" s="55" t="s">
        <v>134</v>
      </c>
      <c r="C30" t="s">
        <v>131</v>
      </c>
      <c r="D30" s="57"/>
      <c r="E30" s="57"/>
      <c r="F30" s="57"/>
      <c r="G30" s="57"/>
      <c r="H30" s="57"/>
      <c r="I30" s="57"/>
      <c r="J30" s="57"/>
      <c r="K30" s="57"/>
      <c r="L30" s="57"/>
      <c r="M30" s="57"/>
      <c r="N30" s="57"/>
      <c r="O30" s="57"/>
    </row>
    <row r="31" spans="2:15" x14ac:dyDescent="0.25">
      <c r="B31" s="55" t="s">
        <v>134</v>
      </c>
      <c r="C31" t="s">
        <v>64</v>
      </c>
      <c r="D31" s="57"/>
      <c r="E31" s="57"/>
      <c r="F31" s="57"/>
      <c r="G31" s="57"/>
      <c r="H31" s="57"/>
      <c r="I31" s="57"/>
      <c r="J31" s="57"/>
      <c r="K31" s="57"/>
      <c r="L31" s="57"/>
      <c r="M31" s="57"/>
      <c r="N31" s="57"/>
      <c r="O31" s="57"/>
    </row>
    <row r="32" spans="2:15" x14ac:dyDescent="0.25">
      <c r="B32" s="55" t="s">
        <v>134</v>
      </c>
      <c r="C32" t="s">
        <v>65</v>
      </c>
      <c r="D32" s="57"/>
      <c r="E32" s="57"/>
      <c r="F32" s="57"/>
      <c r="G32" s="57"/>
      <c r="H32" s="57"/>
      <c r="I32" s="57"/>
      <c r="J32" s="57"/>
      <c r="K32" s="57"/>
      <c r="L32" s="57"/>
      <c r="M32" s="57"/>
      <c r="N32" s="57"/>
      <c r="O32" s="57"/>
    </row>
    <row r="33" spans="2:15" x14ac:dyDescent="0.25">
      <c r="B33" s="55" t="s">
        <v>134</v>
      </c>
      <c r="C33" t="s">
        <v>132</v>
      </c>
      <c r="D33" s="57"/>
      <c r="E33" s="57"/>
      <c r="F33" s="57"/>
      <c r="G33" s="57"/>
      <c r="H33" s="57"/>
      <c r="I33" s="57"/>
      <c r="J33" s="57"/>
      <c r="K33" s="57"/>
      <c r="L33" s="57"/>
      <c r="M33" s="57"/>
      <c r="N33" s="57"/>
      <c r="O33" s="57"/>
    </row>
    <row r="34" spans="2:15" x14ac:dyDescent="0.25">
      <c r="B34" s="55" t="s">
        <v>134</v>
      </c>
      <c r="C34" t="s">
        <v>49</v>
      </c>
      <c r="D34" s="57"/>
      <c r="E34" s="57"/>
      <c r="F34" s="57"/>
      <c r="G34" s="57"/>
      <c r="H34" s="57"/>
      <c r="I34" s="57"/>
      <c r="J34" s="57"/>
      <c r="K34" s="57"/>
      <c r="L34" s="57"/>
      <c r="M34" s="57"/>
      <c r="N34" s="57"/>
      <c r="O34" s="57"/>
    </row>
    <row r="35" spans="2:15" x14ac:dyDescent="0.25">
      <c r="B35" s="55" t="s">
        <v>135</v>
      </c>
      <c r="C35" t="s">
        <v>131</v>
      </c>
      <c r="D35" s="57"/>
      <c r="E35" s="57"/>
      <c r="F35" s="57"/>
      <c r="G35" s="57"/>
      <c r="H35" s="57"/>
      <c r="I35" s="57"/>
      <c r="J35" s="57"/>
      <c r="K35" s="57"/>
      <c r="L35" s="57"/>
      <c r="M35" s="57"/>
      <c r="N35" s="57"/>
      <c r="O35" s="57"/>
    </row>
    <row r="36" spans="2:15" x14ac:dyDescent="0.25">
      <c r="B36" s="55" t="s">
        <v>135</v>
      </c>
      <c r="C36" t="s">
        <v>64</v>
      </c>
      <c r="D36" s="57"/>
      <c r="E36" s="57"/>
      <c r="F36" s="57"/>
      <c r="G36" s="57"/>
      <c r="H36" s="57"/>
      <c r="I36" s="57"/>
      <c r="J36" s="57"/>
      <c r="K36" s="57"/>
      <c r="L36" s="57"/>
      <c r="M36" s="57"/>
      <c r="N36" s="57"/>
      <c r="O36" s="57"/>
    </row>
    <row r="37" spans="2:15" x14ac:dyDescent="0.25">
      <c r="B37" s="55" t="s">
        <v>135</v>
      </c>
      <c r="C37" t="s">
        <v>65</v>
      </c>
      <c r="D37" s="57"/>
      <c r="E37" s="57"/>
      <c r="F37" s="57"/>
      <c r="G37" s="57"/>
      <c r="H37" s="57"/>
      <c r="I37" s="57"/>
      <c r="J37" s="57"/>
      <c r="K37" s="57"/>
      <c r="L37" s="57"/>
      <c r="M37" s="57"/>
      <c r="N37" s="57"/>
      <c r="O37" s="57"/>
    </row>
    <row r="38" spans="2:15" x14ac:dyDescent="0.25">
      <c r="B38" s="55" t="s">
        <v>135</v>
      </c>
      <c r="C38" t="s">
        <v>132</v>
      </c>
      <c r="D38" s="57"/>
      <c r="E38" s="57"/>
      <c r="F38" s="57"/>
      <c r="G38" s="57"/>
      <c r="H38" s="57"/>
      <c r="I38" s="57"/>
      <c r="J38" s="57"/>
      <c r="K38" s="57"/>
      <c r="L38" s="57"/>
      <c r="M38" s="57"/>
      <c r="N38" s="57"/>
      <c r="O38" s="57"/>
    </row>
    <row r="39" spans="2:15" x14ac:dyDescent="0.25">
      <c r="B39" s="55" t="s">
        <v>135</v>
      </c>
      <c r="C39" t="s">
        <v>49</v>
      </c>
      <c r="D39" s="57"/>
      <c r="E39" s="57"/>
      <c r="F39" s="57"/>
      <c r="G39" s="57"/>
      <c r="H39" s="57"/>
      <c r="I39" s="57"/>
      <c r="J39" s="57"/>
      <c r="K39" s="57"/>
      <c r="L39" s="57"/>
      <c r="M39" s="57"/>
      <c r="N39" s="57"/>
      <c r="O39" s="57"/>
    </row>
    <row r="40" spans="2:15" x14ac:dyDescent="0.25">
      <c r="B40" s="55" t="s">
        <v>136</v>
      </c>
      <c r="C40" t="s">
        <v>131</v>
      </c>
      <c r="D40" s="57"/>
      <c r="E40" s="57"/>
      <c r="F40" s="57"/>
      <c r="G40" s="57"/>
      <c r="H40" s="57"/>
      <c r="I40" s="57"/>
      <c r="J40" s="57"/>
      <c r="K40" s="57"/>
      <c r="L40" s="57"/>
      <c r="M40" s="57"/>
      <c r="N40" s="57"/>
      <c r="O40" s="57"/>
    </row>
    <row r="41" spans="2:15" x14ac:dyDescent="0.25">
      <c r="B41" s="55" t="s">
        <v>136</v>
      </c>
      <c r="C41" t="s">
        <v>64</v>
      </c>
      <c r="D41" s="57"/>
      <c r="E41" s="57"/>
      <c r="F41" s="57"/>
      <c r="G41" s="57"/>
      <c r="H41" s="57"/>
      <c r="I41" s="57"/>
      <c r="J41" s="57"/>
      <c r="K41" s="57"/>
      <c r="L41" s="57"/>
      <c r="M41" s="57"/>
      <c r="N41" s="57"/>
      <c r="O41" s="57"/>
    </row>
    <row r="42" spans="2:15" x14ac:dyDescent="0.25">
      <c r="B42" s="55" t="s">
        <v>136</v>
      </c>
      <c r="C42" t="s">
        <v>65</v>
      </c>
      <c r="D42" s="57"/>
      <c r="E42" s="57"/>
      <c r="F42" s="57"/>
      <c r="G42" s="57"/>
      <c r="H42" s="57"/>
      <c r="I42" s="57"/>
      <c r="J42" s="57"/>
      <c r="K42" s="57"/>
      <c r="L42" s="57"/>
      <c r="M42" s="57"/>
      <c r="N42" s="57"/>
      <c r="O42" s="57"/>
    </row>
    <row r="43" spans="2:15" x14ac:dyDescent="0.25">
      <c r="B43" s="55" t="s">
        <v>136</v>
      </c>
      <c r="C43" t="s">
        <v>132</v>
      </c>
      <c r="D43" s="57"/>
      <c r="E43" s="57"/>
      <c r="F43" s="57"/>
      <c r="G43" s="57"/>
      <c r="H43" s="57"/>
      <c r="I43" s="57"/>
      <c r="J43" s="57"/>
      <c r="K43" s="57"/>
      <c r="L43" s="57"/>
      <c r="M43" s="57"/>
      <c r="N43" s="57"/>
      <c r="O43" s="57"/>
    </row>
    <row r="44" spans="2:15" x14ac:dyDescent="0.25">
      <c r="B44" s="58" t="s">
        <v>136</v>
      </c>
      <c r="C44" s="59" t="s">
        <v>49</v>
      </c>
      <c r="D44" s="60"/>
      <c r="E44" s="60"/>
      <c r="F44" s="60"/>
      <c r="G44" s="60"/>
      <c r="H44" s="60"/>
      <c r="I44" s="60"/>
      <c r="J44" s="60"/>
      <c r="K44" s="60"/>
      <c r="L44" s="60"/>
      <c r="M44" s="60"/>
      <c r="N44" s="60"/>
      <c r="O44" s="60"/>
    </row>
  </sheetData>
  <phoneticPr fontId="3"/>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B207C222D4A704392DD812ABE7F848A" ma:contentTypeVersion="4" ma:contentTypeDescription="新しいドキュメントを作成します。" ma:contentTypeScope="" ma:versionID="8d136f6bca879cb90346a66279902dfa">
  <xsd:schema xmlns:xsd="http://www.w3.org/2001/XMLSchema" xmlns:xs="http://www.w3.org/2001/XMLSchema" xmlns:p="http://schemas.microsoft.com/office/2006/metadata/properties" xmlns:ns2="2fd442da-66a9-4fa6-ba31-eb0d54ad1381" targetNamespace="http://schemas.microsoft.com/office/2006/metadata/properties" ma:root="true" ma:fieldsID="5b8a779dc52d08a32251a6f3465a5e55" ns2:_="">
    <xsd:import namespace="2fd442da-66a9-4fa6-ba31-eb0d54ad138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d442da-66a9-4fa6-ba31-eb0d54ad13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EABEFC8-2BE1-49AB-B2A8-94A0B5A9620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fd442da-66a9-4fa6-ba31-eb0d54ad138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746999F-13C4-4EF3-A154-5D2F28446717}">
  <ds:schemaRefs>
    <ds:schemaRef ds:uri="http://purl.org/dc/elements/1.1/"/>
    <ds:schemaRef ds:uri="http://www.w3.org/XML/1998/namespace"/>
    <ds:schemaRef ds:uri="http://purl.org/dc/dcmitype/"/>
    <ds:schemaRef ds:uri="http://schemas.microsoft.com/office/2006/documentManagement/types"/>
    <ds:schemaRef ds:uri="2fd442da-66a9-4fa6-ba31-eb0d54ad1381"/>
    <ds:schemaRef ds:uri="http://schemas.openxmlformats.org/package/2006/metadata/core-properties"/>
    <ds:schemaRef ds:uri="http://schemas.microsoft.com/office/infopath/2007/PartnerControls"/>
    <ds:schemaRef ds:uri="http://schemas.microsoft.com/office/2006/metadata/properties"/>
    <ds:schemaRef ds:uri="http://purl.org/dc/terms/"/>
  </ds:schemaRefs>
</ds:datastoreItem>
</file>

<file path=customXml/itemProps3.xml><?xml version="1.0" encoding="utf-8"?>
<ds:datastoreItem xmlns:ds="http://schemas.openxmlformats.org/officeDocument/2006/customXml" ds:itemID="{C0841E61-4E9C-4B46-A2F6-3731895F112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2</vt:i4>
      </vt:variant>
    </vt:vector>
  </HeadingPairs>
  <TitlesOfParts>
    <vt:vector size="5" baseType="lpstr">
      <vt:lpstr>御見積詳細書 (顧客用)</vt:lpstr>
      <vt:lpstr>御見積詳細書（社内用）</vt:lpstr>
      <vt:lpstr>スケジュール</vt:lpstr>
      <vt:lpstr>'御見積詳細書 (顧客用)'!Print_Area</vt:lpstr>
      <vt:lpstr>'御見積詳細書（社内用）'!Print_Area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2025-04-03T12:33:15Z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0x0101008B207C222D4A704392DD812ABE7F848A</vt:lpwstr>
  </property>
  <property fmtid="{D5CDD505-2E9C-101B-9397-08002B2CF9AE}" pid="3" name="MediaServiceImageTags">
    <vt:lpwstr/>
  </property>
</Properties>
</file>