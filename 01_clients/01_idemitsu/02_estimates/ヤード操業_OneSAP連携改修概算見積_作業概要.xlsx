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03"/>
  <workbookPr/>
  <mc:AlternateContent xmlns:mc="http://schemas.openxmlformats.org/markup-compatibility/2006">
    <mc:Choice Requires="x15">
      <x15ac:absPath xmlns:x15ac="http://schemas.microsoft.com/office/spreadsheetml/2010/11/ac" url="C:\Users\s-date.SYSTEM-EXE\Downloads\"/>
    </mc:Choice>
  </mc:AlternateContent>
  <xr:revisionPtr revIDLastSave="4" documentId="11_1572CFBE9D050A2D29C5177738577260A223EC13" xr6:coauthVersionLast="47" xr6:coauthVersionMax="47" xr10:uidLastSave="{FFC47062-D6A2-42C4-B1F5-4BDAF9DEC84E}"/>
  <bookViews>
    <workbookView xWindow="0" yWindow="0" windowWidth="24000" windowHeight="9670" tabRatio="790" firstSheet="3" activeTab="3" xr2:uid="{00000000-000D-0000-FFFF-FFFF00000000}"/>
  </bookViews>
  <sheets>
    <sheet name="想定作業" sheetId="7" state="hidden" r:id="rId1"/>
    <sheet name="スケジュール案＿" sheetId="3" state="hidden" r:id="rId2"/>
    <sheet name="概要図(千葉)" sheetId="8" state="hidden" r:id="rId3"/>
    <sheet name="対応概要" sheetId="26" r:id="rId4"/>
    <sheet name="概要図(徳山)" sheetId="9" state="hidden" r:id="rId5"/>
    <sheet name="システム概要" sheetId="2" state="hidden" r:id="rId6"/>
    <sheet name="見積（数量確定システム）_bk" sheetId="5" state="hidden" r:id="rId7"/>
    <sheet name="見積（〇〇システム）" sheetId="11" state="hidden" r:id="rId8"/>
    <sheet name="見積 (サマリ)" sheetId="10" r:id="rId9"/>
    <sheet name="見積" sheetId="23" r:id="rId10"/>
    <sheet name="スケジュール案" sheetId="25" r:id="rId11"/>
    <sheet name="Sheet1" sheetId="1" state="hidden" r:id="rId12"/>
  </sheets>
  <definedNames>
    <definedName name="_xlnm._FilterDatabase" localSheetId="9" hidden="1">見積!$B$3:$G$12</definedName>
    <definedName name="_xlnm._FilterDatabase" localSheetId="8" hidden="1">'見積 (サマリ)'!$B$4:$Q$5</definedName>
    <definedName name="_xlnm._FilterDatabase" localSheetId="7" hidden="1">'見積（〇〇システム）'!$B$4:$Y$31</definedName>
    <definedName name="_xlnm._FilterDatabase" localSheetId="6" hidden="1">'見積（数量確定システム）_bk'!$B$4:$Y$14</definedName>
    <definedName name="AccessDatabase" hidden="1">"C:\Documents and Settings\kawana.OHSAKI\My Documents\作業中\ＤＢらいぶらり.mdb"</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23" l="1"/>
  <c r="H7" i="23"/>
  <c r="H9" i="23"/>
  <c r="H5" i="23"/>
  <c r="H11" i="23" s="1"/>
  <c r="D4" i="23" l="1"/>
  <c r="D5" i="23" l="1"/>
  <c r="D8" i="23"/>
  <c r="D11" i="23" l="1"/>
  <c r="D6" i="23"/>
  <c r="D7" i="23"/>
  <c r="D9" i="23"/>
  <c r="D10" i="23"/>
  <c r="H12" i="23" l="1"/>
  <c r="I5" i="10"/>
  <c r="I6" i="10" s="1"/>
  <c r="H5" i="10"/>
  <c r="H6" i="10" s="1"/>
  <c r="G5" i="10"/>
  <c r="G6" i="10" s="1"/>
  <c r="F5" i="10"/>
  <c r="F6" i="10" s="1"/>
  <c r="E5" i="10"/>
  <c r="E6" i="10" s="1"/>
  <c r="D5" i="10"/>
  <c r="D6" i="10" s="1"/>
  <c r="J6" i="10" l="1"/>
  <c r="K5" i="10"/>
  <c r="K6" i="10" s="1"/>
  <c r="E12" i="23"/>
  <c r="AR18" i="3" l="1"/>
  <c r="AR17" i="3"/>
  <c r="AQ14" i="3"/>
  <c r="AP14" i="3"/>
  <c r="AO14" i="3"/>
  <c r="AN14" i="3"/>
  <c r="AM14" i="3"/>
  <c r="AL14" i="3"/>
  <c r="AK14" i="3"/>
  <c r="AJ14" i="3"/>
  <c r="AI14" i="3"/>
  <c r="AH14" i="3"/>
  <c r="AG14" i="3"/>
  <c r="AF14" i="3"/>
  <c r="AE14" i="3"/>
  <c r="AD14" i="3"/>
  <c r="AC14" i="3"/>
  <c r="AB14" i="3"/>
  <c r="AA14" i="3"/>
  <c r="Z14" i="3"/>
  <c r="Y14" i="3"/>
  <c r="X14" i="3"/>
  <c r="W14" i="3"/>
  <c r="V14" i="3"/>
  <c r="U14" i="3"/>
  <c r="T14" i="3"/>
  <c r="S14" i="3"/>
  <c r="R14" i="3"/>
  <c r="Q14" i="3"/>
  <c r="P14" i="3"/>
  <c r="O14" i="3"/>
  <c r="N14" i="3"/>
  <c r="M14" i="3"/>
  <c r="L14" i="3"/>
  <c r="K14" i="3"/>
  <c r="J14" i="3"/>
  <c r="I14" i="3"/>
  <c r="H14" i="3"/>
  <c r="G14" i="3"/>
  <c r="F14" i="3"/>
  <c r="E14" i="3"/>
  <c r="D14" i="3"/>
  <c r="C14" i="3"/>
  <c r="C16" i="3" l="1"/>
  <c r="C15" i="3"/>
  <c r="D16" i="3"/>
  <c r="D15" i="3"/>
  <c r="E16" i="3"/>
  <c r="E15" i="3"/>
  <c r="F16" i="3"/>
  <c r="F15" i="3"/>
  <c r="G16" i="3"/>
  <c r="G15" i="3"/>
  <c r="H16" i="3"/>
  <c r="H15" i="3"/>
  <c r="I16" i="3"/>
  <c r="I15" i="3"/>
  <c r="J16" i="3"/>
  <c r="J15" i="3"/>
  <c r="K16" i="3"/>
  <c r="K15" i="3"/>
  <c r="L16" i="3"/>
  <c r="L15" i="3"/>
  <c r="M16" i="3"/>
  <c r="M15" i="3"/>
  <c r="N16" i="3"/>
  <c r="N15" i="3"/>
  <c r="O16" i="3"/>
  <c r="O15" i="3"/>
  <c r="P16" i="3"/>
  <c r="P15" i="3"/>
  <c r="Q16" i="3"/>
  <c r="Q15" i="3"/>
  <c r="R16" i="3"/>
  <c r="R15" i="3"/>
  <c r="S16" i="3"/>
  <c r="S15" i="3"/>
  <c r="T16" i="3"/>
  <c r="T15" i="3"/>
  <c r="U16" i="3"/>
  <c r="U15" i="3"/>
  <c r="V16" i="3"/>
  <c r="V15" i="3"/>
  <c r="W16" i="3"/>
  <c r="W15" i="3"/>
  <c r="X16" i="3"/>
  <c r="X15" i="3"/>
  <c r="Y16" i="3"/>
  <c r="Y15" i="3"/>
  <c r="Z16" i="3"/>
  <c r="Z15" i="3"/>
  <c r="AA16" i="3"/>
  <c r="AA15" i="3"/>
  <c r="AB16" i="3"/>
  <c r="AB15" i="3"/>
  <c r="AC16" i="3"/>
  <c r="AC15" i="3"/>
  <c r="AD16" i="3"/>
  <c r="AD15" i="3"/>
  <c r="AE16" i="3"/>
  <c r="AE15" i="3"/>
  <c r="AF16" i="3"/>
  <c r="AF15" i="3"/>
  <c r="AG16" i="3"/>
  <c r="AG15" i="3"/>
  <c r="AH16" i="3"/>
  <c r="AH15" i="3"/>
  <c r="AI16" i="3"/>
  <c r="AI15" i="3"/>
  <c r="AJ16" i="3"/>
  <c r="AJ15" i="3"/>
  <c r="AK16" i="3"/>
  <c r="AK15" i="3"/>
  <c r="AL16" i="3"/>
  <c r="AL15" i="3"/>
  <c r="AM16" i="3"/>
  <c r="AM15" i="3"/>
  <c r="AN16" i="3"/>
  <c r="AN15" i="3"/>
  <c r="AO16" i="3"/>
  <c r="AO15" i="3"/>
  <c r="AP16" i="3"/>
  <c r="AP15" i="3"/>
  <c r="AQ16" i="3"/>
  <c r="AQ15" i="3"/>
  <c r="AR15" i="3" l="1"/>
  <c r="AR19" i="3" s="1"/>
  <c r="AR16" i="3"/>
  <c r="AR20" i="3" s="1"/>
  <c r="AR21" i="3" l="1"/>
  <c r="AR22" i="3" s="1"/>
  <c r="E8" i="10" l="1"/>
  <c r="H8" i="10"/>
  <c r="D8" i="10"/>
  <c r="J5" i="10"/>
  <c r="F8" i="10" l="1"/>
  <c r="G8" i="10" l="1"/>
  <c r="H6" i="5"/>
  <c r="I6" i="5" s="1"/>
  <c r="H7" i="5"/>
  <c r="I7" i="5"/>
  <c r="H8" i="5"/>
  <c r="I8" i="5" s="1"/>
  <c r="H9" i="5"/>
  <c r="I9" i="5"/>
  <c r="H10" i="5"/>
  <c r="I10" i="5" s="1"/>
  <c r="H11" i="5"/>
  <c r="I11" i="5"/>
  <c r="H12" i="5"/>
  <c r="I12" i="5"/>
  <c r="H13" i="5"/>
  <c r="I13" i="5"/>
  <c r="H14" i="5"/>
  <c r="I14" i="5" s="1"/>
  <c r="M6" i="5" l="1"/>
  <c r="N6" i="5" s="1"/>
  <c r="M7" i="5"/>
  <c r="N7" i="5" s="1"/>
  <c r="M11" i="5"/>
  <c r="N11" i="5" s="1"/>
  <c r="M8" i="5"/>
  <c r="N8" i="5" s="1"/>
  <c r="M9" i="5"/>
  <c r="N9" i="5" s="1"/>
  <c r="M10" i="5"/>
  <c r="N10" i="5" s="1"/>
  <c r="M12" i="5"/>
  <c r="N12" i="5" s="1"/>
  <c r="M13" i="5"/>
  <c r="N13" i="5" s="1"/>
  <c r="M14" i="5"/>
  <c r="N14" i="5" s="1"/>
  <c r="Q16" i="5"/>
  <c r="P16" i="5"/>
  <c r="O16" i="5"/>
  <c r="S35" i="11"/>
  <c r="N35" i="11"/>
  <c r="I35" i="11"/>
  <c r="Q33" i="11"/>
  <c r="Q36" i="11" s="1"/>
  <c r="P33" i="11"/>
  <c r="P36" i="11" s="1"/>
  <c r="O33" i="11"/>
  <c r="O36" i="11" s="1"/>
  <c r="L33" i="11"/>
  <c r="L36" i="11" s="1"/>
  <c r="K33" i="11"/>
  <c r="K36" i="11" s="1"/>
  <c r="J33" i="11"/>
  <c r="J36" i="11" s="1"/>
  <c r="G33" i="11"/>
  <c r="G36" i="11" s="1"/>
  <c r="F33" i="11"/>
  <c r="F36" i="11" s="1"/>
  <c r="E33" i="11"/>
  <c r="E36" i="11" s="1"/>
  <c r="R31" i="11"/>
  <c r="S31" i="11" s="1"/>
  <c r="M31" i="11"/>
  <c r="N31" i="11" s="1"/>
  <c r="H31" i="11"/>
  <c r="I31" i="11" s="1"/>
  <c r="R30" i="11"/>
  <c r="S30" i="11" s="1"/>
  <c r="M30" i="11"/>
  <c r="N30" i="11" s="1"/>
  <c r="H30" i="11"/>
  <c r="I30" i="11" s="1"/>
  <c r="R29" i="11"/>
  <c r="S29" i="11" s="1"/>
  <c r="M29" i="11"/>
  <c r="N29" i="11" s="1"/>
  <c r="H29" i="11"/>
  <c r="I29" i="11" s="1"/>
  <c r="R28" i="11"/>
  <c r="S28" i="11" s="1"/>
  <c r="M28" i="11"/>
  <c r="N28" i="11" s="1"/>
  <c r="H28" i="11"/>
  <c r="I28" i="11" s="1"/>
  <c r="R27" i="11"/>
  <c r="S27" i="11" s="1"/>
  <c r="M27" i="11"/>
  <c r="N27" i="11" s="1"/>
  <c r="H27" i="11"/>
  <c r="I27" i="11" s="1"/>
  <c r="R26" i="11"/>
  <c r="S26" i="11" s="1"/>
  <c r="M26" i="11"/>
  <c r="N26" i="11" s="1"/>
  <c r="H26" i="11"/>
  <c r="I26" i="11" s="1"/>
  <c r="R25" i="11"/>
  <c r="S25" i="11" s="1"/>
  <c r="M25" i="11"/>
  <c r="N25" i="11" s="1"/>
  <c r="H25" i="11"/>
  <c r="I25" i="11" s="1"/>
  <c r="R24" i="11"/>
  <c r="S24" i="11" s="1"/>
  <c r="M24" i="11"/>
  <c r="N24" i="11" s="1"/>
  <c r="H24" i="11"/>
  <c r="I24" i="11" s="1"/>
  <c r="R23" i="11"/>
  <c r="S23" i="11" s="1"/>
  <c r="M23" i="11"/>
  <c r="N23" i="11" s="1"/>
  <c r="H23" i="11"/>
  <c r="I23" i="11" s="1"/>
  <c r="R22" i="11"/>
  <c r="S22" i="11" s="1"/>
  <c r="M22" i="11"/>
  <c r="N22" i="11" s="1"/>
  <c r="H22" i="11"/>
  <c r="I22" i="11" s="1"/>
  <c r="R21" i="11"/>
  <c r="S21" i="11" s="1"/>
  <c r="M21" i="11"/>
  <c r="N21" i="11" s="1"/>
  <c r="H21" i="11"/>
  <c r="I21" i="11" s="1"/>
  <c r="R20" i="11"/>
  <c r="S20" i="11" s="1"/>
  <c r="M20" i="11"/>
  <c r="N20" i="11" s="1"/>
  <c r="H20" i="11"/>
  <c r="I20" i="11" s="1"/>
  <c r="R19" i="11"/>
  <c r="S19" i="11" s="1"/>
  <c r="M19" i="11"/>
  <c r="N19" i="11" s="1"/>
  <c r="H19" i="11"/>
  <c r="I19" i="11" s="1"/>
  <c r="R18" i="11"/>
  <c r="S18" i="11" s="1"/>
  <c r="M18" i="11"/>
  <c r="N18" i="11" s="1"/>
  <c r="H18" i="11"/>
  <c r="I18" i="11" s="1"/>
  <c r="R17" i="11"/>
  <c r="M17" i="11"/>
  <c r="H17" i="11"/>
  <c r="R16" i="11"/>
  <c r="S16" i="11" s="1"/>
  <c r="M16" i="11"/>
  <c r="N16" i="11" s="1"/>
  <c r="H16" i="11"/>
  <c r="I16" i="11" s="1"/>
  <c r="R15" i="11"/>
  <c r="S15" i="11" s="1"/>
  <c r="M15" i="11"/>
  <c r="N15" i="11" s="1"/>
  <c r="H15" i="11"/>
  <c r="I15" i="11" s="1"/>
  <c r="R14" i="11"/>
  <c r="S14" i="11" s="1"/>
  <c r="M14" i="11"/>
  <c r="N14" i="11" s="1"/>
  <c r="H14" i="11"/>
  <c r="I14" i="11" s="1"/>
  <c r="R13" i="11"/>
  <c r="S13" i="11" s="1"/>
  <c r="M13" i="11"/>
  <c r="N13" i="11" s="1"/>
  <c r="H13" i="11"/>
  <c r="I13" i="11" s="1"/>
  <c r="R12" i="11"/>
  <c r="S12" i="11" s="1"/>
  <c r="M12" i="11"/>
  <c r="N12" i="11" s="1"/>
  <c r="H12" i="11"/>
  <c r="I12" i="11" s="1"/>
  <c r="R11" i="11"/>
  <c r="S11" i="11" s="1"/>
  <c r="M11" i="11"/>
  <c r="N11" i="11" s="1"/>
  <c r="H11" i="11"/>
  <c r="I11" i="11" s="1"/>
  <c r="R10" i="11"/>
  <c r="S10" i="11" s="1"/>
  <c r="M10" i="11"/>
  <c r="N10" i="11" s="1"/>
  <c r="H10" i="11"/>
  <c r="I10" i="11" s="1"/>
  <c r="R9" i="11"/>
  <c r="S9" i="11" s="1"/>
  <c r="M9" i="11"/>
  <c r="N9" i="11" s="1"/>
  <c r="H9" i="11"/>
  <c r="I9" i="11" s="1"/>
  <c r="R8" i="11"/>
  <c r="S8" i="11" s="1"/>
  <c r="M8" i="11"/>
  <c r="N8" i="11" s="1"/>
  <c r="H8" i="11"/>
  <c r="I8" i="11" s="1"/>
  <c r="R7" i="11"/>
  <c r="S7" i="11" s="1"/>
  <c r="M7" i="11"/>
  <c r="N7" i="11" s="1"/>
  <c r="H7" i="11"/>
  <c r="I7" i="11" s="1"/>
  <c r="R6" i="11"/>
  <c r="S6" i="11" s="1"/>
  <c r="M6" i="11"/>
  <c r="N6" i="11" s="1"/>
  <c r="H6" i="11"/>
  <c r="I6" i="11" s="1"/>
  <c r="R5" i="11"/>
  <c r="S5" i="11" s="1"/>
  <c r="M5" i="11"/>
  <c r="N5" i="11" s="1"/>
  <c r="H5" i="11"/>
  <c r="I5" i="11" s="1"/>
  <c r="I8" i="10" l="1"/>
  <c r="H33" i="11"/>
  <c r="H36" i="11" s="1"/>
  <c r="I17" i="11"/>
  <c r="M33" i="11"/>
  <c r="M36" i="11" s="1"/>
  <c r="N17" i="11"/>
  <c r="N33" i="11" s="1"/>
  <c r="R33" i="11"/>
  <c r="R36" i="11" s="1"/>
  <c r="S36" i="11" s="1"/>
  <c r="S17" i="11"/>
  <c r="S33" i="11" s="1"/>
  <c r="N36" i="11"/>
  <c r="I36" i="11"/>
  <c r="I33" i="11"/>
  <c r="L16" i="5" l="1"/>
  <c r="K16" i="5"/>
  <c r="J16" i="5"/>
  <c r="G16" i="5"/>
  <c r="F16" i="5"/>
  <c r="E16" i="5"/>
  <c r="E19" i="5" s="1"/>
  <c r="R14" i="5" l="1"/>
  <c r="S14" i="5" s="1"/>
  <c r="R13" i="5"/>
  <c r="S13" i="5" s="1"/>
  <c r="R12" i="5"/>
  <c r="S12" i="5" s="1"/>
  <c r="R8" i="5"/>
  <c r="S8" i="5" s="1"/>
  <c r="S18" i="5"/>
  <c r="N18" i="5"/>
  <c r="I18" i="5"/>
  <c r="Q19" i="5"/>
  <c r="P19" i="5"/>
  <c r="O19" i="5"/>
  <c r="L19" i="5"/>
  <c r="K19" i="5"/>
  <c r="J19" i="5"/>
  <c r="G19" i="5"/>
  <c r="F19" i="5"/>
  <c r="R11" i="5"/>
  <c r="R7" i="5"/>
  <c r="S7" i="5" s="1"/>
  <c r="R5" i="5"/>
  <c r="M5" i="5"/>
  <c r="H5" i="5"/>
  <c r="N5" i="5" l="1"/>
  <c r="N16" i="5" s="1"/>
  <c r="M16" i="5"/>
  <c r="M19" i="5" s="1"/>
  <c r="N19" i="5" s="1"/>
  <c r="H16" i="5"/>
  <c r="H19" i="5" s="1"/>
  <c r="I19" i="5" s="1"/>
  <c r="S5" i="5"/>
  <c r="R16" i="5"/>
  <c r="R19" i="5" s="1"/>
  <c r="S19" i="5" s="1"/>
  <c r="S11" i="5"/>
  <c r="I5" i="5"/>
  <c r="J11" i="1"/>
  <c r="J10" i="1"/>
  <c r="I16" i="5" l="1"/>
  <c r="S16" i="5"/>
  <c r="J15" i="1"/>
  <c r="J13" i="1"/>
  <c r="J12" i="1"/>
  <c r="H28" i="1" l="1"/>
  <c r="H27" i="1"/>
  <c r="F28" i="1"/>
  <c r="F31" i="1"/>
  <c r="F32" i="1"/>
  <c r="F30" i="1"/>
  <c r="F33" i="1" l="1"/>
  <c r="F29" i="1"/>
</calcChain>
</file>

<file path=xl/sharedStrings.xml><?xml version="1.0" encoding="utf-8"?>
<sst xmlns="http://schemas.openxmlformats.org/spreadsheetml/2006/main" count="626" uniqueCount="323">
  <si>
    <t>前提</t>
  </si>
  <si>
    <t>業務・機能変更は行わない。</t>
  </si>
  <si>
    <t>サーバ構成は現行踏襲とする。</t>
  </si>
  <si>
    <t>DBは現行踏襲（Oracle、SQLSever継続）</t>
  </si>
  <si>
    <t>JavaフレームワークはStruts継続</t>
    <phoneticPr fontId="2"/>
  </si>
  <si>
    <t>テストは新規構築した本番環境（次期本番機）にて行う。</t>
  </si>
  <si>
    <t>※検証、予備環境は最低限の動作確認（アプリ起動、ログイン確認程度）を想定</t>
  </si>
  <si>
    <t>想定作業</t>
  </si>
  <si>
    <t>全パターン共通</t>
    <rPh sb="0" eb="1">
      <t>ゼン</t>
    </rPh>
    <rPh sb="5" eb="7">
      <t>キョウツウ</t>
    </rPh>
    <phoneticPr fontId="2"/>
  </si>
  <si>
    <t>IP,ホスト名変更に伴う各種（IF、DB等）向け先変更、検証</t>
    <rPh sb="6" eb="7">
      <t>メイ</t>
    </rPh>
    <rPh sb="7" eb="9">
      <t>ヘンコウ</t>
    </rPh>
    <rPh sb="10" eb="11">
      <t>トモナ</t>
    </rPh>
    <rPh sb="12" eb="14">
      <t>カクシュ</t>
    </rPh>
    <rPh sb="20" eb="21">
      <t>トウ</t>
    </rPh>
    <rPh sb="22" eb="23">
      <t>ム</t>
    </rPh>
    <rPh sb="24" eb="25">
      <t>サキ</t>
    </rPh>
    <rPh sb="25" eb="27">
      <t>ヘンコウ</t>
    </rPh>
    <rPh sb="28" eb="30">
      <t>ケンショウ</t>
    </rPh>
    <phoneticPr fontId="2"/>
  </si>
  <si>
    <t>データ移行</t>
  </si>
  <si>
    <t>アプリ動作検証（全画面、帳票、バッチ、IF打鍵※現新比較）</t>
  </si>
  <si>
    <t>アプリケーション構築、ミドルウェアのセットアップ</t>
  </si>
  <si>
    <t>IF連携ID変更（連携NASを利用しているもの）※新システム</t>
  </si>
  <si>
    <t>（１）次期アーキテクチャとしてAzure環境に再構築</t>
  </si>
  <si>
    <t>DB構築（構成の検討から）</t>
    <rPh sb="2" eb="4">
      <t>コウチク</t>
    </rPh>
    <rPh sb="5" eb="7">
      <t>コウセイ</t>
    </rPh>
    <rPh sb="8" eb="10">
      <t>ケントウ</t>
    </rPh>
    <phoneticPr fontId="2"/>
  </si>
  <si>
    <t>※本見積は各システム毎に個別にOracle構築を想定</t>
  </si>
  <si>
    <t>Office 365化に伴うExcel帳票の非互換調査、対応</t>
    <rPh sb="10" eb="11">
      <t>カ</t>
    </rPh>
    <rPh sb="12" eb="13">
      <t>トモナ</t>
    </rPh>
    <rPh sb="19" eb="21">
      <t>チョウヒョウ</t>
    </rPh>
    <rPh sb="22" eb="27">
      <t>ヒゴカンチョウサ</t>
    </rPh>
    <rPh sb="28" eb="30">
      <t>タイオウ</t>
    </rPh>
    <phoneticPr fontId="2"/>
  </si>
  <si>
    <t>DBバージョンアップ（19c⇒22c）に伴う非互換調査、対応</t>
  </si>
  <si>
    <t>WebLogic⇒Tomcat移行に伴う非互換調査、対応</t>
  </si>
  <si>
    <t>スケジューラ変更（Systemwalker Operation Manager⇒A-AUTO）に伴う非互換調査、対応</t>
  </si>
  <si>
    <t>（２）Azureに構築される縮小版の共通基盤に移行</t>
    <phoneticPr fontId="2"/>
  </si>
  <si>
    <t>全パターン共通の作業のみ</t>
    <rPh sb="8" eb="10">
      <t>サギョウ</t>
    </rPh>
    <phoneticPr fontId="2"/>
  </si>
  <si>
    <t>JDKとWLSはマイナーバージョンアップされるが、Strutsへの非互換は無い認識</t>
    <rPh sb="33" eb="36">
      <t>ヒゴカン</t>
    </rPh>
    <rPh sb="37" eb="38">
      <t>ナ</t>
    </rPh>
    <rPh sb="39" eb="41">
      <t>ニンシキ</t>
    </rPh>
    <phoneticPr fontId="2"/>
  </si>
  <si>
    <t>※DBを個別構築する場合は以下が追加</t>
  </si>
  <si>
    <t>（３）現地Windows2016サーバ再構築</t>
  </si>
  <si>
    <t>サーバ構築（実際の構築作業は出光だが、スペック見積等）</t>
  </si>
  <si>
    <t>DB構築</t>
  </si>
  <si>
    <t>DBバージョンアップ（Oracle19c⇒22c、SQLServer2016⇒2022）に伴う非互換調査、対応</t>
  </si>
  <si>
    <t>.NET Framework非互換調査、64bit非互換調査（製品倉庫、ABC、数量ポリマー）</t>
    <phoneticPr fontId="2"/>
  </si>
  <si>
    <t>Office 365化に伴うExcel帳票の非互換調査、対応（製品倉庫のみ）</t>
  </si>
  <si>
    <t>Azure環境制約（Dドライブ、OSユーザ）※ヤード予備機がAzure構築のため、現地本番も構成合わせる必要</t>
  </si>
  <si>
    <t>システム</t>
  </si>
  <si>
    <t>担当</t>
  </si>
  <si>
    <t>2025年</t>
    <rPh sb="4" eb="5">
      <t>ネン</t>
    </rPh>
    <phoneticPr fontId="2"/>
  </si>
  <si>
    <t>2026年</t>
    <rPh sb="4" eb="5">
      <t>ネン</t>
    </rPh>
    <phoneticPr fontId="2"/>
  </si>
  <si>
    <t>2027年</t>
    <rPh sb="4" eb="5">
      <t>ネン</t>
    </rPh>
    <phoneticPr fontId="2"/>
  </si>
  <si>
    <t>2027年</t>
    <phoneticPr fontId="2"/>
  </si>
  <si>
    <t>1月</t>
    <rPh sb="1" eb="2">
      <t>ガツ</t>
    </rPh>
    <phoneticPr fontId="2"/>
  </si>
  <si>
    <t>2月</t>
  </si>
  <si>
    <t>3月</t>
  </si>
  <si>
    <t>4月</t>
  </si>
  <si>
    <t>5月</t>
  </si>
  <si>
    <t>6月</t>
  </si>
  <si>
    <t>7月</t>
  </si>
  <si>
    <t>8月</t>
  </si>
  <si>
    <t>9月</t>
  </si>
  <si>
    <t>10月</t>
  </si>
  <si>
    <t>11月</t>
  </si>
  <si>
    <t>12月</t>
  </si>
  <si>
    <t>マイルストン</t>
  </si>
  <si>
    <t>★千葉切替</t>
    <rPh sb="1" eb="3">
      <t>チバ</t>
    </rPh>
    <rPh sb="3" eb="5">
      <t>キリカエ</t>
    </rPh>
    <phoneticPr fontId="2"/>
  </si>
  <si>
    <t>★徳山切替</t>
    <rPh sb="1" eb="3">
      <t>トクヤマ</t>
    </rPh>
    <rPh sb="3" eb="5">
      <t>キリカエ</t>
    </rPh>
    <phoneticPr fontId="2"/>
  </si>
  <si>
    <t>千葉PIMS</t>
    <rPh sb="0" eb="2">
      <t>チバ</t>
    </rPh>
    <phoneticPr fontId="2"/>
  </si>
  <si>
    <t>徳山PIMS</t>
    <rPh sb="0" eb="2">
      <t>トクヤマ</t>
    </rPh>
    <phoneticPr fontId="2"/>
  </si>
  <si>
    <t>想定要員数（作業者のみ）</t>
  </si>
  <si>
    <t>合計</t>
  </si>
  <si>
    <t>作業者</t>
  </si>
  <si>
    <t>売上(1,000k)</t>
  </si>
  <si>
    <t>経費(800k)</t>
  </si>
  <si>
    <t>管理者</t>
  </si>
  <si>
    <t>売上(1,400k)</t>
  </si>
  <si>
    <t>経費(1,000k)</t>
  </si>
  <si>
    <t>売上合計</t>
  </si>
  <si>
    <t>経費合計</t>
  </si>
  <si>
    <t>粗利</t>
  </si>
  <si>
    <t>粗利率</t>
  </si>
  <si>
    <t>ファイル連携</t>
    <rPh sb="4" eb="6">
      <t>レンケイ</t>
    </rPh>
    <phoneticPr fontId="4"/>
  </si>
  <si>
    <t>工場系保守対象</t>
    <rPh sb="0" eb="2">
      <t>コウジョウ</t>
    </rPh>
    <rPh sb="2" eb="3">
      <t>ケイ</t>
    </rPh>
    <rPh sb="3" eb="5">
      <t>ホシュ</t>
    </rPh>
    <rPh sb="5" eb="7">
      <t>タイショウ</t>
    </rPh>
    <phoneticPr fontId="4"/>
  </si>
  <si>
    <t>館林管理</t>
    <rPh sb="0" eb="2">
      <t>タテバヤシ</t>
    </rPh>
    <rPh sb="2" eb="4">
      <t>カンリ</t>
    </rPh>
    <phoneticPr fontId="7"/>
  </si>
  <si>
    <t>DBデータ連携</t>
    <rPh sb="5" eb="7">
      <t>レンケイ</t>
    </rPh>
    <phoneticPr fontId="4"/>
  </si>
  <si>
    <t>工場系保守対象外</t>
    <rPh sb="0" eb="2">
      <t>コウジョウ</t>
    </rPh>
    <rPh sb="2" eb="3">
      <t>ケイ</t>
    </rPh>
    <rPh sb="3" eb="5">
      <t>ホシュ</t>
    </rPh>
    <rPh sb="5" eb="8">
      <t>タイショウガイ</t>
    </rPh>
    <phoneticPr fontId="4"/>
  </si>
  <si>
    <t>現地管理</t>
    <rPh sb="0" eb="2">
      <t>ゲンチ</t>
    </rPh>
    <rPh sb="2" eb="4">
      <t>カンリ</t>
    </rPh>
    <phoneticPr fontId="7"/>
  </si>
  <si>
    <t>発生事象</t>
    <rPh sb="0" eb="2">
      <t>ハッセイ</t>
    </rPh>
    <rPh sb="2" eb="4">
      <t>ジショウ</t>
    </rPh>
    <phoneticPr fontId="2"/>
  </si>
  <si>
    <t>OneSAPからのオーダーで輸送形態「990 無関係」が連携されるとヤード操業システムの取込処理が途中で止まってしまう事象が発生している。</t>
    <rPh sb="14" eb="18">
      <t>ユソウケイタイ</t>
    </rPh>
    <rPh sb="23" eb="26">
      <t>ムカンケイ</t>
    </rPh>
    <rPh sb="28" eb="30">
      <t>レンケイ</t>
    </rPh>
    <rPh sb="37" eb="39">
      <t>ソウギョウ</t>
    </rPh>
    <rPh sb="44" eb="46">
      <t>トリコミ</t>
    </rPh>
    <rPh sb="46" eb="48">
      <t>ショリ</t>
    </rPh>
    <rPh sb="49" eb="51">
      <t>トチュウ</t>
    </rPh>
    <rPh sb="52" eb="53">
      <t>ト</t>
    </rPh>
    <rPh sb="59" eb="61">
      <t>ジショウ</t>
    </rPh>
    <rPh sb="62" eb="64">
      <t>ハッセイ</t>
    </rPh>
    <phoneticPr fontId="2"/>
  </si>
  <si>
    <t>対応内容</t>
    <rPh sb="0" eb="2">
      <t>タイオウ</t>
    </rPh>
    <rPh sb="2" eb="4">
      <t>ナイヨウ</t>
    </rPh>
    <phoneticPr fontId="2"/>
  </si>
  <si>
    <t>１．OneSAPからのオーダーで輸送形態「990 無関係」が連携された場合、エラーとして弾き、処理を継続する</t>
    <rPh sb="35" eb="37">
      <t>バアイ</t>
    </rPh>
    <rPh sb="44" eb="45">
      <t>ハジ</t>
    </rPh>
    <rPh sb="47" eb="49">
      <t>ショリ</t>
    </rPh>
    <rPh sb="50" eb="52">
      <t>ケイゾク</t>
    </rPh>
    <phoneticPr fontId="2"/>
  </si>
  <si>
    <t>２．ダッシュボード画面の入出荷オーダ受信ログでエラーとして出力する</t>
    <rPh sb="9" eb="11">
      <t>ガメン</t>
    </rPh>
    <rPh sb="12" eb="15">
      <t>ニュウシュッカ</t>
    </rPh>
    <rPh sb="18" eb="20">
      <t>ジュシン</t>
    </rPh>
    <rPh sb="29" eb="31">
      <t>シュツリョク</t>
    </rPh>
    <phoneticPr fontId="2"/>
  </si>
  <si>
    <t>システム概要</t>
    <rPh sb="4" eb="6">
      <t>ガイヨウ</t>
    </rPh>
    <phoneticPr fontId="2"/>
  </si>
  <si>
    <t>システム規模</t>
    <rPh sb="4" eb="6">
      <t>キボ</t>
    </rPh>
    <phoneticPr fontId="2"/>
  </si>
  <si>
    <t>共通基盤利用状況（現状）</t>
    <rPh sb="0" eb="4">
      <t>キョウツウキバン</t>
    </rPh>
    <rPh sb="4" eb="6">
      <t>リヨウ</t>
    </rPh>
    <rPh sb="6" eb="8">
      <t>ジョウキョウ</t>
    </rPh>
    <rPh sb="9" eb="11">
      <t>ゲンジョウ</t>
    </rPh>
    <phoneticPr fontId="2"/>
  </si>
  <si>
    <t>サービス: サービス番号</t>
  </si>
  <si>
    <t>サービス名</t>
  </si>
  <si>
    <t>保守領域</t>
    <rPh sb="0" eb="2">
      <t>ホシュ</t>
    </rPh>
    <rPh sb="2" eb="4">
      <t>リョウイキ</t>
    </rPh>
    <phoneticPr fontId="4"/>
  </si>
  <si>
    <t>移行状況</t>
    <rPh sb="0" eb="2">
      <t>イコウ</t>
    </rPh>
    <rPh sb="2" eb="4">
      <t>ジョウキョウ</t>
    </rPh>
    <phoneticPr fontId="2"/>
  </si>
  <si>
    <t>作業パターン
※想定作業シート参照</t>
    <rPh sb="0" eb="2">
      <t>サギョウ</t>
    </rPh>
    <rPh sb="8" eb="10">
      <t>ソウテイ</t>
    </rPh>
    <rPh sb="10" eb="12">
      <t>サギョウ</t>
    </rPh>
    <rPh sb="15" eb="17">
      <t>サンショウ</t>
    </rPh>
    <phoneticPr fontId="2"/>
  </si>
  <si>
    <t>業務概要</t>
    <rPh sb="0" eb="2">
      <t>ギョウム</t>
    </rPh>
    <rPh sb="2" eb="4">
      <t>ガイヨウ</t>
    </rPh>
    <phoneticPr fontId="2"/>
  </si>
  <si>
    <t>OS</t>
    <phoneticPr fontId="2"/>
  </si>
  <si>
    <t>アプリ</t>
    <phoneticPr fontId="2"/>
  </si>
  <si>
    <t>DB</t>
    <phoneticPr fontId="2"/>
  </si>
  <si>
    <t>ミドルウェア</t>
    <phoneticPr fontId="2"/>
  </si>
  <si>
    <t>フレームワーク</t>
  </si>
  <si>
    <t>その他</t>
    <rPh sb="2" eb="3">
      <t>タ</t>
    </rPh>
    <phoneticPr fontId="2"/>
  </si>
  <si>
    <t>サーバ構成</t>
  </si>
  <si>
    <t>画面</t>
    <rPh sb="0" eb="2">
      <t>ガメン</t>
    </rPh>
    <phoneticPr fontId="2"/>
  </si>
  <si>
    <t>帳票</t>
    <rPh sb="0" eb="2">
      <t>チョウヒョウ</t>
    </rPh>
    <phoneticPr fontId="2"/>
  </si>
  <si>
    <t>バッチ</t>
    <phoneticPr fontId="2"/>
  </si>
  <si>
    <t>IF</t>
    <phoneticPr fontId="2"/>
  </si>
  <si>
    <t>テーブル</t>
    <phoneticPr fontId="2"/>
  </si>
  <si>
    <t>共通AP</t>
    <phoneticPr fontId="4"/>
  </si>
  <si>
    <t>共通DB</t>
    <phoneticPr fontId="4"/>
  </si>
  <si>
    <t>連携</t>
    <phoneticPr fontId="4"/>
  </si>
  <si>
    <t>レポート</t>
    <phoneticPr fontId="4"/>
  </si>
  <si>
    <t>認証</t>
    <phoneticPr fontId="4"/>
  </si>
  <si>
    <t>バッチ</t>
    <phoneticPr fontId="4"/>
  </si>
  <si>
    <t>SVC-00000710</t>
  </si>
  <si>
    <t>千葉数量確定システム</t>
  </si>
  <si>
    <t>工場系</t>
    <rPh sb="0" eb="2">
      <t>コウジョウ</t>
    </rPh>
    <rPh sb="2" eb="3">
      <t>ケイ</t>
    </rPh>
    <phoneticPr fontId="4"/>
  </si>
  <si>
    <t>未実施（共通基盤）</t>
    <rPh sb="0" eb="3">
      <t>ミジッシ</t>
    </rPh>
    <rPh sb="4" eb="8">
      <t>キョウツウキバン</t>
    </rPh>
    <phoneticPr fontId="2"/>
  </si>
  <si>
    <t>（1）or（2）</t>
    <phoneticPr fontId="2"/>
  </si>
  <si>
    <t>千葉事業所及び徳山事業所の石油化学装置の生産、在庫、PL(パイプライン)出荷、品目転換数量の管理を行うシステム。またタンクヤードの日報作成(ヤード日報)機能も持つ。</t>
    <rPh sb="0" eb="5">
      <t>チバジギョウショ</t>
    </rPh>
    <rPh sb="5" eb="6">
      <t>オヨ</t>
    </rPh>
    <rPh sb="7" eb="9">
      <t>トクヤマ</t>
    </rPh>
    <rPh sb="9" eb="12">
      <t>ジギョウショ</t>
    </rPh>
    <rPh sb="13" eb="15">
      <t>セキユ</t>
    </rPh>
    <rPh sb="15" eb="17">
      <t>カガク</t>
    </rPh>
    <rPh sb="17" eb="19">
      <t>ソウチ</t>
    </rPh>
    <rPh sb="20" eb="22">
      <t>セイサン</t>
    </rPh>
    <rPh sb="23" eb="25">
      <t>ザイコ</t>
    </rPh>
    <rPh sb="36" eb="38">
      <t>シュッカ</t>
    </rPh>
    <rPh sb="39" eb="41">
      <t>ヒンモク</t>
    </rPh>
    <rPh sb="41" eb="43">
      <t>テンカン</t>
    </rPh>
    <rPh sb="43" eb="45">
      <t>スウリョウ</t>
    </rPh>
    <rPh sb="46" eb="48">
      <t>カンリ</t>
    </rPh>
    <rPh sb="49" eb="50">
      <t>オコナ</t>
    </rPh>
    <rPh sb="65" eb="67">
      <t>ニッポウ</t>
    </rPh>
    <rPh sb="67" eb="69">
      <t>サクセイ</t>
    </rPh>
    <rPh sb="73" eb="75">
      <t>ニッポウ</t>
    </rPh>
    <rPh sb="76" eb="78">
      <t>キノウ</t>
    </rPh>
    <rPh sb="79" eb="80">
      <t>モ</t>
    </rPh>
    <phoneticPr fontId="2"/>
  </si>
  <si>
    <t>Red Hat Enterprise Linux7.3</t>
    <phoneticPr fontId="2"/>
  </si>
  <si>
    <t>java 1.8.0_152
WebLogic 12.2.1.2.0</t>
  </si>
  <si>
    <t>Oracle19C</t>
  </si>
  <si>
    <t>Systemwalker Operation Manager</t>
  </si>
  <si>
    <t>struts 1.2.9</t>
    <phoneticPr fontId="2"/>
  </si>
  <si>
    <t>本番
　共通基盤（館林）
検証
　共通基盤（館林）</t>
  </si>
  <si>
    <t>千葉：41
徳山：30</t>
  </si>
  <si>
    <t>千葉：23
徳山：7</t>
  </si>
  <si>
    <t>共通：2
千葉：9
徳山：4</t>
  </si>
  <si>
    <t>千葉：8
徳山：4</t>
  </si>
  <si>
    <t>共通：58
千葉：16
徳山：9</t>
  </si>
  <si>
    <t>〇</t>
  </si>
  <si>
    <t>×</t>
  </si>
  <si>
    <t>e</t>
  </si>
  <si>
    <t>SVC-00000857</t>
  </si>
  <si>
    <t>徳山工場数量確定システム</t>
  </si>
  <si>
    <t>-</t>
    <phoneticPr fontId="2"/>
  </si>
  <si>
    <t>千葉工場用役管理システム</t>
    <rPh sb="0" eb="2">
      <t>チバ</t>
    </rPh>
    <rPh sb="2" eb="4">
      <t>コウジョウ</t>
    </rPh>
    <rPh sb="4" eb="6">
      <t>ヨウエキ</t>
    </rPh>
    <rPh sb="6" eb="8">
      <t>カンリ</t>
    </rPh>
    <phoneticPr fontId="4"/>
  </si>
  <si>
    <t>石油化学装置の生産数量、用役数量の管理を行うシステム。</t>
    <rPh sb="0" eb="2">
      <t>セキユ</t>
    </rPh>
    <rPh sb="2" eb="4">
      <t>カガク</t>
    </rPh>
    <rPh sb="4" eb="6">
      <t>ソウチ</t>
    </rPh>
    <rPh sb="7" eb="9">
      <t>セイサン</t>
    </rPh>
    <rPh sb="9" eb="11">
      <t>スウリョウ</t>
    </rPh>
    <rPh sb="12" eb="14">
      <t>ヨウエキ</t>
    </rPh>
    <rPh sb="14" eb="16">
      <t>スウリョウ</t>
    </rPh>
    <rPh sb="17" eb="19">
      <t>カンリ</t>
    </rPh>
    <rPh sb="20" eb="21">
      <t>オコナ</t>
    </rPh>
    <phoneticPr fontId="2"/>
  </si>
  <si>
    <t>struts 1.2.9</t>
  </si>
  <si>
    <t>千葉：28
徳山：17</t>
  </si>
  <si>
    <t>千葉：43
徳山：6</t>
  </si>
  <si>
    <t>共通：0
千葉：0
徳山：0</t>
  </si>
  <si>
    <t>千葉：0
徳山：0</t>
  </si>
  <si>
    <t>共通：11
千葉：1
徳山：11</t>
  </si>
  <si>
    <t>SVC-00000858</t>
  </si>
  <si>
    <t>徳山工場用役管理システム</t>
  </si>
  <si>
    <t>SVC-00001700</t>
    <phoneticPr fontId="2"/>
  </si>
  <si>
    <t>千葉化学品質管理システム</t>
    <rPh sb="0" eb="2">
      <t>チバ</t>
    </rPh>
    <rPh sb="2" eb="4">
      <t>カガク</t>
    </rPh>
    <rPh sb="4" eb="6">
      <t>ヒンシツ</t>
    </rPh>
    <rPh sb="6" eb="8">
      <t>カンリ</t>
    </rPh>
    <phoneticPr fontId="4"/>
  </si>
  <si>
    <t>千葉事業所(工場)の品質管理課にて行う各種試験(工程、製品、物性)、及びそれに付随する業務(ロット管理、試験料金計算)を行うシステム。</t>
    <rPh sb="0" eb="2">
      <t>チバ</t>
    </rPh>
    <rPh sb="2" eb="5">
      <t>ジギョウショ</t>
    </rPh>
    <rPh sb="6" eb="8">
      <t>コウジョウ</t>
    </rPh>
    <rPh sb="10" eb="12">
      <t>ヒンシツ</t>
    </rPh>
    <rPh sb="12" eb="14">
      <t>カンリ</t>
    </rPh>
    <rPh sb="14" eb="15">
      <t>カ</t>
    </rPh>
    <rPh sb="17" eb="18">
      <t>オコナ</t>
    </rPh>
    <rPh sb="19" eb="21">
      <t>カクシュ</t>
    </rPh>
    <rPh sb="21" eb="23">
      <t>シケン</t>
    </rPh>
    <rPh sb="24" eb="26">
      <t>コウテイ</t>
    </rPh>
    <rPh sb="27" eb="29">
      <t>セイヒン</t>
    </rPh>
    <rPh sb="30" eb="32">
      <t>ブッセイ</t>
    </rPh>
    <rPh sb="34" eb="35">
      <t>オヨ</t>
    </rPh>
    <rPh sb="39" eb="41">
      <t>フズイ</t>
    </rPh>
    <rPh sb="43" eb="45">
      <t>ギョウム</t>
    </rPh>
    <rPh sb="49" eb="51">
      <t>カンリ</t>
    </rPh>
    <rPh sb="52" eb="54">
      <t>シケン</t>
    </rPh>
    <rPh sb="54" eb="56">
      <t>リョウキン</t>
    </rPh>
    <rPh sb="56" eb="58">
      <t>ケイサン</t>
    </rPh>
    <rPh sb="60" eb="61">
      <t>オコナ</t>
    </rPh>
    <phoneticPr fontId="2"/>
  </si>
  <si>
    <t>java 1.8.0_131
WebLogic 12.2.1.2.0</t>
  </si>
  <si>
    <t>List Creatorでの帳票作成</t>
    <rPh sb="14" eb="16">
      <t>チョウヒョウ</t>
    </rPh>
    <rPh sb="16" eb="18">
      <t>サクセイ</t>
    </rPh>
    <phoneticPr fontId="2"/>
  </si>
  <si>
    <t>SVC-00000854</t>
  </si>
  <si>
    <t>ＬＭＰＰ包装システム</t>
    <phoneticPr fontId="2"/>
  </si>
  <si>
    <t>千葉事業所(工場)のSPS、LMPP装置で生産される製品の包装管理を行うシステム。</t>
    <rPh sb="18" eb="20">
      <t>ソウチ</t>
    </rPh>
    <rPh sb="21" eb="23">
      <t>セイサン</t>
    </rPh>
    <rPh sb="26" eb="28">
      <t>セイヒン</t>
    </rPh>
    <rPh sb="29" eb="31">
      <t>ホウソウ</t>
    </rPh>
    <rPh sb="31" eb="33">
      <t>カンリ</t>
    </rPh>
    <rPh sb="34" eb="35">
      <t>オコナ</t>
    </rPh>
    <phoneticPr fontId="2"/>
  </si>
  <si>
    <t>本番
　共通基盤（館林）
検証
　共通基盤（館林）</t>
    <phoneticPr fontId="2"/>
  </si>
  <si>
    <t>SVC-00000877</t>
  </si>
  <si>
    <t>工場DB</t>
  </si>
  <si>
    <t>未実施（共通基盤）
※アプリはXenApp</t>
    <rPh sb="0" eb="3">
      <t>ミジッシ</t>
    </rPh>
    <rPh sb="4" eb="8">
      <t>キョウツウキバン</t>
    </rPh>
    <phoneticPr fontId="2"/>
  </si>
  <si>
    <t>徳山事業所の石油化学装置の生産、在庫の計画値及び実績値を管理するDB及びエクセルマクロ群。</t>
    <rPh sb="19" eb="21">
      <t>ケイカク</t>
    </rPh>
    <rPh sb="21" eb="22">
      <t>チ</t>
    </rPh>
    <rPh sb="22" eb="23">
      <t>オヨ</t>
    </rPh>
    <rPh sb="24" eb="26">
      <t>ジッセキ</t>
    </rPh>
    <rPh sb="26" eb="27">
      <t>チ</t>
    </rPh>
    <rPh sb="28" eb="30">
      <t>カンリ</t>
    </rPh>
    <rPh sb="34" eb="35">
      <t>オヨ</t>
    </rPh>
    <rPh sb="43" eb="44">
      <t>グン</t>
    </rPh>
    <phoneticPr fontId="2"/>
  </si>
  <si>
    <t>Excel</t>
    <phoneticPr fontId="2"/>
  </si>
  <si>
    <t>SVC-00000705</t>
  </si>
  <si>
    <t>千葉ヤ－ド操業システム</t>
  </si>
  <si>
    <t>未実施（共通基盤）</t>
  </si>
  <si>
    <t>（3）</t>
  </si>
  <si>
    <t>千葉事業所及び徳山事業所の石油化学品の入出荷を管理するシステム。</t>
    <rPh sb="17" eb="18">
      <t>ヒン</t>
    </rPh>
    <rPh sb="19" eb="22">
      <t>ニュウシュッカ</t>
    </rPh>
    <rPh sb="23" eb="25">
      <t>カンリ</t>
    </rPh>
    <phoneticPr fontId="2"/>
  </si>
  <si>
    <t>WindowsServer2016</t>
    <phoneticPr fontId="2"/>
  </si>
  <si>
    <t>SQLServer2016</t>
  </si>
  <si>
    <t>Systemwalker Operation Manager
OWFT</t>
  </si>
  <si>
    <t>本番
　AP/DBサーバ×2（現地）
　AP/DB予備×2（館林）
検証
　AP/DBサーバ×2（館林）</t>
  </si>
  <si>
    <t>千葉：20
徳山：19</t>
    <rPh sb="0" eb="2">
      <t>チバ</t>
    </rPh>
    <rPh sb="6" eb="8">
      <t>トクヤマ</t>
    </rPh>
    <phoneticPr fontId="2"/>
  </si>
  <si>
    <t>千葉：16
徳山：15</t>
    <phoneticPr fontId="2"/>
  </si>
  <si>
    <t>SVC-00000707</t>
  </si>
  <si>
    <t>徳山ヤ－ド操業システム</t>
  </si>
  <si>
    <t>SVC-00000704</t>
  </si>
  <si>
    <t>千葉製品倉庫システム</t>
    <phoneticPr fontId="2"/>
  </si>
  <si>
    <t>未実施（現地サーバ）</t>
  </si>
  <si>
    <t>千葉事業所(工場)で生産されているポリマー製品の包装、入出荷、在庫管理を行うシステム。</t>
    <rPh sb="10" eb="12">
      <t>セイサン</t>
    </rPh>
    <rPh sb="21" eb="23">
      <t>セイヒン</t>
    </rPh>
    <rPh sb="24" eb="26">
      <t>ホウソウ</t>
    </rPh>
    <rPh sb="27" eb="30">
      <t>ニュウシュッカ</t>
    </rPh>
    <rPh sb="31" eb="33">
      <t>ザイコ</t>
    </rPh>
    <rPh sb="33" eb="35">
      <t>カンリ</t>
    </rPh>
    <rPh sb="36" eb="37">
      <t>オコナ</t>
    </rPh>
    <phoneticPr fontId="2"/>
  </si>
  <si>
    <t>VB.NET</t>
    <phoneticPr fontId="2"/>
  </si>
  <si>
    <t>Oracle12C</t>
  </si>
  <si>
    <t>本番
　AP/DBサーバ（現地）
検証
　APサーバ（館林）</t>
    <phoneticPr fontId="2"/>
  </si>
  <si>
    <t>SVC-00000901</t>
  </si>
  <si>
    <t>千葉工場数量確定システム（ポリマ－）</t>
    <phoneticPr fontId="2"/>
  </si>
  <si>
    <t>未実施（現地サーバ）</t>
    <rPh sb="0" eb="3">
      <t>ミジッシ</t>
    </rPh>
    <rPh sb="4" eb="6">
      <t>ゲンチ</t>
    </rPh>
    <phoneticPr fontId="2"/>
  </si>
  <si>
    <t>千葉事業所(工場)で生産されているポリマー製品の生産、在庫、PL(パイプライン)出荷、品目転換数量の管理を行うシステム。</t>
    <phoneticPr fontId="2"/>
  </si>
  <si>
    <t>ASP.NET</t>
    <phoneticPr fontId="2"/>
  </si>
  <si>
    <t>SVC-00000711</t>
  </si>
  <si>
    <t>ＡＢＣ数量確定システム</t>
    <phoneticPr fontId="2"/>
  </si>
  <si>
    <t>千葉事業所(工場)のABC装置で生産される製品の生産管理を行うシステム。</t>
    <rPh sb="13" eb="15">
      <t>ソウチ</t>
    </rPh>
    <rPh sb="16" eb="18">
      <t>セイサン</t>
    </rPh>
    <rPh sb="21" eb="23">
      <t>セイヒン</t>
    </rPh>
    <rPh sb="24" eb="26">
      <t>セイサン</t>
    </rPh>
    <rPh sb="26" eb="28">
      <t>カンリ</t>
    </rPh>
    <rPh sb="29" eb="30">
      <t>オコナ</t>
    </rPh>
    <phoneticPr fontId="2"/>
  </si>
  <si>
    <t>C#</t>
    <phoneticPr fontId="2"/>
  </si>
  <si>
    <t>千葉L3.5</t>
    <rPh sb="0" eb="2">
      <t>チバ</t>
    </rPh>
    <phoneticPr fontId="4"/>
  </si>
  <si>
    <t>L3層に存在するシステムとL4層に存在するシステムの中継となるサーバ</t>
    <rPh sb="2" eb="3">
      <t>ソウ</t>
    </rPh>
    <rPh sb="4" eb="6">
      <t>ソンザイ</t>
    </rPh>
    <rPh sb="15" eb="16">
      <t>ソウ</t>
    </rPh>
    <rPh sb="17" eb="19">
      <t>ソンザイ</t>
    </rPh>
    <rPh sb="26" eb="28">
      <t>チュウケイ</t>
    </rPh>
    <phoneticPr fontId="2"/>
  </si>
  <si>
    <t>本番
　APサーバ（現地）
検証
　APサーバ（館林）</t>
    <phoneticPr fontId="2"/>
  </si>
  <si>
    <r>
      <t>千葉：52
徳山：</t>
    </r>
    <r>
      <rPr>
        <sz val="11"/>
        <color rgb="FFFF0000"/>
        <rFont val="游ゴシック"/>
        <family val="3"/>
        <charset val="128"/>
        <scheme val="minor"/>
      </rPr>
      <t>22</t>
    </r>
    <phoneticPr fontId="2"/>
  </si>
  <si>
    <t>徳山L3.5</t>
    <rPh sb="0" eb="2">
      <t>トクヤマ</t>
    </rPh>
    <phoneticPr fontId="4"/>
  </si>
  <si>
    <t>システム名：数量確定システム</t>
    <rPh sb="4" eb="5">
      <t>メイ</t>
    </rPh>
    <rPh sb="6" eb="8">
      <t>スウリョウ</t>
    </rPh>
    <rPh sb="8" eb="10">
      <t>カクテイ</t>
    </rPh>
    <phoneticPr fontId="2"/>
  </si>
  <si>
    <t>パターン</t>
    <phoneticPr fontId="2"/>
  </si>
  <si>
    <t>（１）次期アーキテクチャとしてAzure環境に再構築</t>
    <phoneticPr fontId="2"/>
  </si>
  <si>
    <t>（３）現地Windows2016サーバ再構築</t>
    <phoneticPr fontId="2"/>
  </si>
  <si>
    <t>想定工数(人月)</t>
    <rPh sb="0" eb="4">
      <t>ソウテイコウスウ</t>
    </rPh>
    <rPh sb="5" eb="7">
      <t>ニンゲツ</t>
    </rPh>
    <phoneticPr fontId="7"/>
  </si>
  <si>
    <t>No.</t>
    <phoneticPr fontId="7"/>
  </si>
  <si>
    <t>変更箇所カテゴリ</t>
    <rPh sb="0" eb="2">
      <t>ヘンコウ</t>
    </rPh>
    <rPh sb="2" eb="4">
      <t>カショ</t>
    </rPh>
    <phoneticPr fontId="7"/>
  </si>
  <si>
    <t>タスク</t>
    <phoneticPr fontId="7"/>
  </si>
  <si>
    <t>要件定義・設計</t>
    <rPh sb="0" eb="4">
      <t>ヨウケンテイギ</t>
    </rPh>
    <rPh sb="5" eb="7">
      <t>セッケイ</t>
    </rPh>
    <phoneticPr fontId="7"/>
  </si>
  <si>
    <t>製造</t>
    <rPh sb="0" eb="2">
      <t>セイゾウ</t>
    </rPh>
    <phoneticPr fontId="7"/>
  </si>
  <si>
    <t>試験・本番稼働</t>
    <rPh sb="0" eb="2">
      <t>シケン</t>
    </rPh>
    <rPh sb="3" eb="7">
      <t>ホンバンカドウ</t>
    </rPh>
    <phoneticPr fontId="7"/>
  </si>
  <si>
    <t>管理</t>
    <rPh sb="0" eb="2">
      <t>カンリ</t>
    </rPh>
    <phoneticPr fontId="7"/>
  </si>
  <si>
    <t>全体工数</t>
    <rPh sb="0" eb="2">
      <t>ゼンタイ</t>
    </rPh>
    <rPh sb="2" eb="4">
      <t>コウスウ</t>
    </rPh>
    <phoneticPr fontId="7"/>
  </si>
  <si>
    <t>備考</t>
    <rPh sb="0" eb="2">
      <t>ビコウ</t>
    </rPh>
    <phoneticPr fontId="7"/>
  </si>
  <si>
    <t>Azure移行</t>
    <rPh sb="5" eb="7">
      <t>イコウ</t>
    </rPh>
    <phoneticPr fontId="7"/>
  </si>
  <si>
    <t>IP,ホスト名変更に伴う各種（IF、DB等）向け先変更、検証</t>
    <phoneticPr fontId="2"/>
  </si>
  <si>
    <t>アプリ動作検証（各パターンで検証範囲は異なる）</t>
    <phoneticPr fontId="2"/>
  </si>
  <si>
    <t>サーバ更新</t>
    <rPh sb="3" eb="5">
      <t>コウシン</t>
    </rPh>
    <phoneticPr fontId="2"/>
  </si>
  <si>
    <t>アプリケーション構築、ミドルウェアのセットアップ</t>
    <phoneticPr fontId="2"/>
  </si>
  <si>
    <t>DB移行</t>
    <rPh sb="2" eb="4">
      <t>イコウ</t>
    </rPh>
    <phoneticPr fontId="7"/>
  </si>
  <si>
    <t>データ移行</t>
    <phoneticPr fontId="2"/>
  </si>
  <si>
    <t>DB構築（構成の検討から）</t>
    <phoneticPr fontId="2"/>
  </si>
  <si>
    <t>DBバージョンアップ（19c⇒22c）に伴う非互換調査、対応</t>
    <phoneticPr fontId="2"/>
  </si>
  <si>
    <t>Office更新</t>
    <rPh sb="6" eb="8">
      <t>コウシン</t>
    </rPh>
    <phoneticPr fontId="7"/>
  </si>
  <si>
    <t>テンプレートファイル調査・対応</t>
    <rPh sb="10" eb="12">
      <t>チョウサ</t>
    </rPh>
    <rPh sb="13" eb="15">
      <t>タイオウ</t>
    </rPh>
    <phoneticPr fontId="7"/>
  </si>
  <si>
    <t>TOMCAT移行</t>
    <rPh sb="6" eb="8">
      <t>イコウ</t>
    </rPh>
    <phoneticPr fontId="7"/>
  </si>
  <si>
    <t>アプリケーションの移行</t>
    <rPh sb="9" eb="11">
      <t>イコウ</t>
    </rPh>
    <phoneticPr fontId="7"/>
  </si>
  <si>
    <t>ミドルウェア移行</t>
    <rPh sb="6" eb="8">
      <t>イコウ</t>
    </rPh>
    <phoneticPr fontId="7"/>
  </si>
  <si>
    <t>A-Auto検証</t>
    <rPh sb="6" eb="8">
      <t>ケンショウ</t>
    </rPh>
    <phoneticPr fontId="7"/>
  </si>
  <si>
    <t>非互換検証</t>
    <rPh sb="0" eb="3">
      <t>ヒゴカン</t>
    </rPh>
    <rPh sb="3" eb="5">
      <t>ケンショウ</t>
    </rPh>
    <phoneticPr fontId="7"/>
  </si>
  <si>
    <t>オペマネのA-Auto更新</t>
    <rPh sb="11" eb="13">
      <t>コウシン</t>
    </rPh>
    <phoneticPr fontId="7"/>
  </si>
  <si>
    <t>A-AUTO14本</t>
    <phoneticPr fontId="2"/>
  </si>
  <si>
    <t>合計工数</t>
    <rPh sb="0" eb="2">
      <t>ゴウケイ</t>
    </rPh>
    <rPh sb="2" eb="4">
      <t>コウスウ</t>
    </rPh>
    <phoneticPr fontId="7"/>
  </si>
  <si>
    <t>単価(千円)</t>
    <rPh sb="0" eb="2">
      <t>タンカ</t>
    </rPh>
    <rPh sb="3" eb="5">
      <t>センエン</t>
    </rPh>
    <phoneticPr fontId="7"/>
  </si>
  <si>
    <t>金額(千円)</t>
    <rPh sb="0" eb="2">
      <t>キンガク</t>
    </rPh>
    <rPh sb="3" eb="5">
      <t>センエン</t>
    </rPh>
    <phoneticPr fontId="7"/>
  </si>
  <si>
    <t>システム名：</t>
    <rPh sb="4" eb="5">
      <t>メイ</t>
    </rPh>
    <phoneticPr fontId="2"/>
  </si>
  <si>
    <t>アプリケーション構築、向け先変更、IF検証、ミドルウェアのセットアップ</t>
    <phoneticPr fontId="2"/>
  </si>
  <si>
    <t>参考：Windows Server 2012  更新対応</t>
    <rPh sb="0" eb="2">
      <t>サンコウ</t>
    </rPh>
    <rPh sb="26" eb="28">
      <t>タイオウ</t>
    </rPh>
    <phoneticPr fontId="2"/>
  </si>
  <si>
    <t>アプリケーション構築、向け先変更、IF検証、ミドルウェアのセットアップ</t>
  </si>
  <si>
    <t>向け先変更、IF検証、ミドルウェアのセットアップ</t>
    <phoneticPr fontId="2"/>
  </si>
  <si>
    <t>OS更新</t>
    <rPh sb="2" eb="4">
      <t>コウシン</t>
    </rPh>
    <phoneticPr fontId="7"/>
  </si>
  <si>
    <t>.netFramework非互換調査、64bit非互換調査</t>
    <rPh sb="13" eb="16">
      <t>ヒゴカン</t>
    </rPh>
    <rPh sb="16" eb="18">
      <t>チョウサ</t>
    </rPh>
    <rPh sb="24" eb="27">
      <t>ヒゴカン</t>
    </rPh>
    <rPh sb="27" eb="29">
      <t>チョウサ</t>
    </rPh>
    <phoneticPr fontId="7"/>
  </si>
  <si>
    <t>バージョンアップ、データ移行、向け先変更</t>
    <rPh sb="12" eb="14">
      <t>イコウ</t>
    </rPh>
    <phoneticPr fontId="7"/>
  </si>
  <si>
    <t>A-AUTO6本</t>
    <phoneticPr fontId="2"/>
  </si>
  <si>
    <t>計算機更新対応</t>
    <rPh sb="0" eb="3">
      <t>ケイサンキ</t>
    </rPh>
    <rPh sb="3" eb="5">
      <t>コウシン</t>
    </rPh>
    <rPh sb="5" eb="7">
      <t>タイオウ</t>
    </rPh>
    <phoneticPr fontId="2"/>
  </si>
  <si>
    <t>アプリ</t>
  </si>
  <si>
    <t>システム</t>
    <phoneticPr fontId="7"/>
  </si>
  <si>
    <t>調査・要件定義</t>
  </si>
  <si>
    <t>設計</t>
  </si>
  <si>
    <t>試験</t>
  </si>
  <si>
    <t>本番稼働</t>
  </si>
  <si>
    <t>工数計</t>
  </si>
  <si>
    <t>金額</t>
  </si>
  <si>
    <t>OneSAP連携改修</t>
    <rPh sb="6" eb="8">
      <t>レンケイ</t>
    </rPh>
    <rPh sb="8" eb="10">
      <t>カイシュウ</t>
    </rPh>
    <phoneticPr fontId="2"/>
  </si>
  <si>
    <t>計</t>
  </si>
  <si>
    <t>単価</t>
  </si>
  <si>
    <t>ヤード操業システム</t>
    <rPh sb="3" eb="5">
      <t>ソウギョウ</t>
    </rPh>
    <phoneticPr fontId="2"/>
  </si>
  <si>
    <t>工程</t>
  </si>
  <si>
    <t>タスク</t>
  </si>
  <si>
    <t>概算工数</t>
  </si>
  <si>
    <t>成果物</t>
  </si>
  <si>
    <t>人日</t>
    <rPh sb="0" eb="2">
      <t>ニンニチ</t>
    </rPh>
    <phoneticPr fontId="2"/>
  </si>
  <si>
    <t>調査・要件定義</t>
    <phoneticPr fontId="2"/>
  </si>
  <si>
    <t>※対応内容自体はユーザと認識合わせ済み</t>
    <rPh sb="1" eb="3">
      <t>タイオウ</t>
    </rPh>
    <rPh sb="3" eb="5">
      <t>ナイヨウ</t>
    </rPh>
    <rPh sb="5" eb="7">
      <t>ジタイ</t>
    </rPh>
    <rPh sb="12" eb="14">
      <t>ニンシキ</t>
    </rPh>
    <rPh sb="14" eb="15">
      <t>ア</t>
    </rPh>
    <rPh sb="17" eb="18">
      <t>ズ</t>
    </rPh>
    <phoneticPr fontId="2"/>
  </si>
  <si>
    <t>設計書修正</t>
    <rPh sb="0" eb="3">
      <t>セッケイショ</t>
    </rPh>
    <rPh sb="3" eb="5">
      <t>シュウセイ</t>
    </rPh>
    <phoneticPr fontId="2"/>
  </si>
  <si>
    <t>UI-15 外部システムインタフェース定義.xlsx</t>
  </si>
  <si>
    <t>設計書修正：2h+4h</t>
  </si>
  <si>
    <t>プログラム修正</t>
    <rPh sb="5" eb="7">
      <t>シュウセイ</t>
    </rPh>
    <phoneticPr fontId="2"/>
  </si>
  <si>
    <t>修正後プログラムファイル</t>
    <rPh sb="0" eb="3">
      <t>シュウセイゴ</t>
    </rPh>
    <phoneticPr fontId="2"/>
  </si>
  <si>
    <t>不要輸送形態排除：4h
エラー出力：28h</t>
    <rPh sb="0" eb="2">
      <t>フヨウ</t>
    </rPh>
    <rPh sb="2" eb="4">
      <t>ユソウ</t>
    </rPh>
    <rPh sb="4" eb="6">
      <t>ケイタイ</t>
    </rPh>
    <rPh sb="6" eb="8">
      <t>ハイジョ</t>
    </rPh>
    <rPh sb="15" eb="17">
      <t>シュツリョク</t>
    </rPh>
    <phoneticPr fontId="2"/>
  </si>
  <si>
    <t>結合テスト</t>
    <rPh sb="0" eb="2">
      <t>ケツゴウ</t>
    </rPh>
    <phoneticPr fontId="2"/>
  </si>
  <si>
    <t>テスト仕様書兼結果報告書</t>
  </si>
  <si>
    <t>テスト仕様書作成：4h
テスト実施：3h
レビュー：2h</t>
    <rPh sb="3" eb="6">
      <t>シヨウショ</t>
    </rPh>
    <rPh sb="6" eb="8">
      <t>サクセイ</t>
    </rPh>
    <rPh sb="15" eb="17">
      <t>ジッシ</t>
    </rPh>
    <phoneticPr fontId="2"/>
  </si>
  <si>
    <t>本番リリース</t>
    <rPh sb="0" eb="2">
      <t>ホンバン</t>
    </rPh>
    <phoneticPr fontId="2"/>
  </si>
  <si>
    <t>本番作業手順書</t>
    <rPh sb="0" eb="2">
      <t>ホンバン</t>
    </rPh>
    <rPh sb="2" eb="7">
      <t>サギョウテジュンショ</t>
    </rPh>
    <phoneticPr fontId="2"/>
  </si>
  <si>
    <t>作業手順書作成：4h
本番作業：4h</t>
    <rPh sb="0" eb="2">
      <t>サギョウ</t>
    </rPh>
    <rPh sb="2" eb="5">
      <t>テジュンショ</t>
    </rPh>
    <rPh sb="5" eb="7">
      <t>サクセイ</t>
    </rPh>
    <rPh sb="11" eb="13">
      <t>ホンバン</t>
    </rPh>
    <rPh sb="13" eb="15">
      <t>サギョウ</t>
    </rPh>
    <phoneticPr fontId="2"/>
  </si>
  <si>
    <t>PJ管理</t>
  </si>
  <si>
    <t>プロジェクト計画書
課題管理表
スケジュール（WBS）
議事録
レビュー管理表</t>
    <phoneticPr fontId="2"/>
  </si>
  <si>
    <t>PJ管理、定例会、各工程完了レビュー</t>
    <rPh sb="2" eb="4">
      <t>カンリ</t>
    </rPh>
    <rPh sb="5" eb="7">
      <t>テイレイ</t>
    </rPh>
    <rPh sb="7" eb="8">
      <t>カイ</t>
    </rPh>
    <rPh sb="9" eb="12">
      <t>カクコウテイ</t>
    </rPh>
    <rPh sb="12" eb="14">
      <t>カンリョウ</t>
    </rPh>
    <phoneticPr fontId="2"/>
  </si>
  <si>
    <t>M</t>
    <phoneticPr fontId="2"/>
  </si>
  <si>
    <t>1W</t>
    <phoneticPr fontId="2"/>
  </si>
  <si>
    <t>2W</t>
    <phoneticPr fontId="2"/>
  </si>
  <si>
    <t>3W</t>
  </si>
  <si>
    <t>4W</t>
  </si>
  <si>
    <t>※本件単体で対応を行う場合</t>
    <rPh sb="1" eb="3">
      <t>ホンケン</t>
    </rPh>
    <rPh sb="3" eb="5">
      <t>タンタイ</t>
    </rPh>
    <rPh sb="6" eb="8">
      <t>タイオウ</t>
    </rPh>
    <rPh sb="9" eb="10">
      <t>オコナ</t>
    </rPh>
    <rPh sb="11" eb="13">
      <t>バアイ</t>
    </rPh>
    <phoneticPr fontId="2"/>
  </si>
  <si>
    <t>【対応方針】</t>
    <rPh sb="1" eb="3">
      <t>タイオウ</t>
    </rPh>
    <rPh sb="3" eb="5">
      <t>ホウシン</t>
    </rPh>
    <phoneticPr fontId="2"/>
  </si>
  <si>
    <t>・共通基盤DBに乗っているDB(数量確定、工場DB、品管、包装)は縮小基盤へ移動</t>
    <rPh sb="1" eb="3">
      <t>キョウツウ</t>
    </rPh>
    <rPh sb="3" eb="5">
      <t>キバン</t>
    </rPh>
    <rPh sb="8" eb="9">
      <t>ノ</t>
    </rPh>
    <rPh sb="33" eb="35">
      <t>シュクショウ</t>
    </rPh>
    <rPh sb="35" eb="37">
      <t>キバン</t>
    </rPh>
    <rPh sb="38" eb="40">
      <t>イドウ</t>
    </rPh>
    <phoneticPr fontId="2"/>
  </si>
  <si>
    <t>・基本全てのオペマネはA-AUTOに変更</t>
    <rPh sb="1" eb="3">
      <t>キホン</t>
    </rPh>
    <rPh sb="3" eb="4">
      <t>スベ</t>
    </rPh>
    <rPh sb="18" eb="20">
      <t>ヘンコウ</t>
    </rPh>
    <phoneticPr fontId="2"/>
  </si>
  <si>
    <t>・独立したサーバとして寄せられるシステムは寄せる(数量確定システムと用役管理システム、品管と包装)</t>
    <rPh sb="1" eb="3">
      <t>ドクリツ</t>
    </rPh>
    <rPh sb="11" eb="12">
      <t>ヨ</t>
    </rPh>
    <rPh sb="21" eb="22">
      <t>ヨ</t>
    </rPh>
    <rPh sb="25" eb="27">
      <t>スウリョウ</t>
    </rPh>
    <rPh sb="27" eb="29">
      <t>カクテイ</t>
    </rPh>
    <rPh sb="34" eb="36">
      <t>ヨウエキ</t>
    </rPh>
    <rPh sb="36" eb="38">
      <t>カンリ</t>
    </rPh>
    <rPh sb="43" eb="45">
      <t>ヒンカン</t>
    </rPh>
    <rPh sb="46" eb="48">
      <t>ホウソウ</t>
    </rPh>
    <phoneticPr fontId="2"/>
  </si>
  <si>
    <t>【対象】</t>
    <rPh sb="1" eb="3">
      <t>タイショウ</t>
    </rPh>
    <phoneticPr fontId="2"/>
  </si>
  <si>
    <t>No</t>
    <phoneticPr fontId="2"/>
  </si>
  <si>
    <t>サーバ名</t>
  </si>
  <si>
    <t>構成</t>
    <rPh sb="0" eb="2">
      <t>コウセイ</t>
    </rPh>
    <phoneticPr fontId="2"/>
  </si>
  <si>
    <t>超概算(人月)</t>
    <rPh sb="0" eb="1">
      <t>チョウ</t>
    </rPh>
    <rPh sb="1" eb="3">
      <t>ガイサン</t>
    </rPh>
    <rPh sb="4" eb="6">
      <t>ニンゲツ</t>
    </rPh>
    <phoneticPr fontId="2"/>
  </si>
  <si>
    <t>内訳</t>
    <phoneticPr fontId="2"/>
  </si>
  <si>
    <t>内訳(端数切り上げ)</t>
    <rPh sb="0" eb="2">
      <t>ウチワケ</t>
    </rPh>
    <rPh sb="3" eb="5">
      <t>ハスウ</t>
    </rPh>
    <rPh sb="5" eb="6">
      <t>キ</t>
    </rPh>
    <rPh sb="7" eb="8">
      <t>ア</t>
    </rPh>
    <phoneticPr fontId="2"/>
  </si>
  <si>
    <t>備考</t>
    <rPh sb="0" eb="2">
      <t>ビコウ</t>
    </rPh>
    <phoneticPr fontId="2"/>
  </si>
  <si>
    <t>千葉ヤード操業サーバ</t>
    <rPh sb="0" eb="2">
      <t>チバ</t>
    </rPh>
    <rPh sb="5" eb="7">
      <t>ソウギョウ</t>
    </rPh>
    <phoneticPr fontId="2"/>
  </si>
  <si>
    <t>WindowsServer2022
SQLServer2022</t>
    <phoneticPr fontId="2"/>
  </si>
  <si>
    <t>ベース金額
+webシステムテスト
+webシステムテスト修正
+tomcat非互換
+個別DB</t>
    <phoneticPr fontId="2"/>
  </si>
  <si>
    <t>4
+0.5
+0.25
+0.5
+0.5</t>
    <phoneticPr fontId="2"/>
  </si>
  <si>
    <t>Azure構築
A-AOUT化無し</t>
    <rPh sb="5" eb="7">
      <t>コウチク</t>
    </rPh>
    <phoneticPr fontId="2"/>
  </si>
  <si>
    <t>徳山ヤード操業サーバ</t>
    <rPh sb="0" eb="2">
      <t>トクヤマ</t>
    </rPh>
    <rPh sb="5" eb="7">
      <t>ソウギョウ</t>
    </rPh>
    <phoneticPr fontId="2"/>
  </si>
  <si>
    <t>数量用役システムサーバ</t>
    <rPh sb="0" eb="2">
      <t>スウリョウ</t>
    </rPh>
    <rPh sb="2" eb="4">
      <t>ヨウエキ</t>
    </rPh>
    <phoneticPr fontId="2"/>
  </si>
  <si>
    <t>Red Hat Enterprise Linux8.6</t>
    <phoneticPr fontId="2"/>
  </si>
  <si>
    <t>ベース金額
+webシステムテスト×4
+webシステムテスト修正×4
+tomcat非互換×2
+A-AUTO14本</t>
    <rPh sb="58" eb="59">
      <t>ホン</t>
    </rPh>
    <phoneticPr fontId="2"/>
  </si>
  <si>
    <t>4
+0.5*4
+0.25*4
+0.5*2
+0.5(14*5/8/20)</t>
    <phoneticPr fontId="2"/>
  </si>
  <si>
    <t>Azure構築</t>
    <rPh sb="5" eb="7">
      <t>コウチク</t>
    </rPh>
    <phoneticPr fontId="2"/>
  </si>
  <si>
    <t>品管包装システムサーバ</t>
    <rPh sb="0" eb="2">
      <t>ヒンカン</t>
    </rPh>
    <rPh sb="2" eb="4">
      <t>ホウソウ</t>
    </rPh>
    <phoneticPr fontId="2"/>
  </si>
  <si>
    <t xml:space="preserve">Red Hat Enterprise Linux8.6 </t>
    <phoneticPr fontId="2"/>
  </si>
  <si>
    <t>ベース金額
+webシステムテスト×2
+webシステムテスト修正×2
+tomcat非互換×2
+A-AUTO6本</t>
    <rPh sb="57" eb="58">
      <t>ホン</t>
    </rPh>
    <phoneticPr fontId="2"/>
  </si>
  <si>
    <t>4
+0.5*2
+0.25*2
+0.5*2
+0.25(6*5/8/20)</t>
    <phoneticPr fontId="2"/>
  </si>
  <si>
    <t>工場DB</t>
    <rPh sb="0" eb="2">
      <t>コウジョウ</t>
    </rPh>
    <phoneticPr fontId="2"/>
  </si>
  <si>
    <t>システムテスト</t>
    <phoneticPr fontId="2"/>
  </si>
  <si>
    <t>Azure構築、DB構築後のエクセルでのテスト実施</t>
    <rPh sb="5" eb="7">
      <t>コウチク</t>
    </rPh>
    <rPh sb="10" eb="12">
      <t>コウチク</t>
    </rPh>
    <rPh sb="12" eb="13">
      <t>アト</t>
    </rPh>
    <rPh sb="23" eb="25">
      <t>ジッシ</t>
    </rPh>
    <phoneticPr fontId="2"/>
  </si>
  <si>
    <t>PRMサーバ</t>
    <phoneticPr fontId="2"/>
  </si>
  <si>
    <t>WindowsServer2022
Oracle22c</t>
    <phoneticPr fontId="2"/>
  </si>
  <si>
    <t>ベース金額
+webシステムテスト×3
+webシステムテスト修正×3
+個別DB</t>
    <rPh sb="37" eb="39">
      <t>コベツ</t>
    </rPh>
    <phoneticPr fontId="2"/>
  </si>
  <si>
    <t>4
+0.5*3
+0.25*3
+0.5</t>
    <phoneticPr fontId="2"/>
  </si>
  <si>
    <t>Azure構築、
PRM資産の為DB個別構築想定</t>
    <rPh sb="5" eb="7">
      <t>コウチク</t>
    </rPh>
    <rPh sb="12" eb="14">
      <t>シサン</t>
    </rPh>
    <rPh sb="15" eb="16">
      <t>タメ</t>
    </rPh>
    <rPh sb="18" eb="20">
      <t>コベツ</t>
    </rPh>
    <rPh sb="20" eb="22">
      <t>コウチク</t>
    </rPh>
    <rPh sb="22" eb="24">
      <t>ソウテイ</t>
    </rPh>
    <phoneticPr fontId="2"/>
  </si>
  <si>
    <t>千葉L3.5サーバ</t>
    <rPh sb="0" eb="2">
      <t>チバ</t>
    </rPh>
    <phoneticPr fontId="2"/>
  </si>
  <si>
    <t>WindowsServer2022</t>
    <phoneticPr fontId="2"/>
  </si>
  <si>
    <t>ベース金額</t>
    <phoneticPr fontId="2"/>
  </si>
  <si>
    <t>現地作成
A-AOUT化無し</t>
    <rPh sb="11" eb="12">
      <t>カ</t>
    </rPh>
    <rPh sb="12" eb="13">
      <t>ナ</t>
    </rPh>
    <phoneticPr fontId="2"/>
  </si>
  <si>
    <t>徳山L3.5サーバ</t>
    <rPh sb="0" eb="2">
      <t>トクヤマ</t>
    </rPh>
    <phoneticPr fontId="2"/>
  </si>
  <si>
    <t xml:space="preserve">ベース金額
</t>
    <phoneticPr fontId="2"/>
  </si>
  <si>
    <t>現地作成
A-AOUT化無し</t>
    <phoneticPr fontId="2"/>
  </si>
  <si>
    <t>DBサーバ</t>
    <phoneticPr fontId="2"/>
  </si>
  <si>
    <t>Oracle22c</t>
    <phoneticPr fontId="2"/>
  </si>
  <si>
    <t>縮小基盤への移設</t>
    <rPh sb="0" eb="4">
      <t>シュクショウキバン</t>
    </rPh>
    <rPh sb="6" eb="8">
      <t>イセツ</t>
    </rPh>
    <phoneticPr fontId="2"/>
  </si>
  <si>
    <t>(参考)2012サーバ更新</t>
    <rPh sb="1" eb="3">
      <t>サンコウ</t>
    </rPh>
    <phoneticPr fontId="2"/>
  </si>
  <si>
    <t>ベース金額：4人月(内容：調査、基本設計、環境構築、結合テスト 、システムテスト、本番移行・初期流動、プロジェクト管理)</t>
    <rPh sb="3" eb="5">
      <t>キンガク</t>
    </rPh>
    <rPh sb="7" eb="9">
      <t>ニンゲツ</t>
    </rPh>
    <rPh sb="10" eb="12">
      <t>ナイヨウ</t>
    </rPh>
    <phoneticPr fontId="2"/>
  </si>
  <si>
    <t>webシステムテスト：0.5人月</t>
    <rPh sb="14" eb="16">
      <t>ニンゲツ</t>
    </rPh>
    <phoneticPr fontId="2"/>
  </si>
  <si>
    <t>webシステムテスト修正：0.25人月</t>
    <rPh sb="10" eb="12">
      <t>シュウセイ</t>
    </rPh>
    <rPh sb="17" eb="19">
      <t>ニンゲツ</t>
    </rPh>
    <phoneticPr fontId="2"/>
  </si>
  <si>
    <t>tomcat非互換：0.5人月</t>
    <rPh sb="6" eb="9">
      <t>ヒゴカン</t>
    </rPh>
    <rPh sb="13" eb="15">
      <t>ニンゲツ</t>
    </rPh>
    <phoneticPr fontId="2"/>
  </si>
  <si>
    <t>個別DB：0.5人月</t>
    <rPh sb="0" eb="2">
      <t>コベツ</t>
    </rPh>
    <rPh sb="8" eb="10">
      <t>ニンゲツ</t>
    </rPh>
    <phoneticPr fontId="2"/>
  </si>
  <si>
    <t>A-AUTO：1本＊5H</t>
    <rPh sb="8" eb="9">
      <t>ホン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</si>
</sst>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_);[Red]\(0\)"/>
    <numFmt numFmtId="177" formatCode="0.0_);[Red]\(0.0\)"/>
    <numFmt numFmtId="178" formatCode="0.00_);[Red]\(0.00\)"/>
    <numFmt numFmtId="179" formatCode="_-[$¥-411]* #,##0_-;\-[$¥-411]* #,##0_-;_-[$¥-411]* &quot;-&quot;??_-;_-@_-"/>
    <numFmt numFmtId="180" formatCode="0.000"/>
  </numFmts>
  <fonts count="18">
    <font>
      <sz val="11"/>
      <color theme="1"/>
      <name val="游ゴシック"/>
      <family val="2"/>
      <charset val="128"/>
      <scheme val="minor"/>
    </font>
    <font>
      <sz val="11"/>
      <color theme="1"/>
      <name val="メイリオ"/>
      <family val="3"/>
      <charset val="128"/>
    </font>
    <font>
      <sz val="6"/>
      <name val="游ゴシック"/>
      <family val="2"/>
      <charset val="128"/>
      <scheme val="minor"/>
    </font>
    <font>
      <b/>
      <sz val="11"/>
      <color theme="1"/>
      <name val="游ゴシック"/>
      <family val="3"/>
      <charset val="128"/>
      <scheme val="minor"/>
    </font>
    <font>
      <sz val="6"/>
      <name val="ＭＳ ゴシック"/>
      <family val="2"/>
      <charset val="128"/>
    </font>
    <font>
      <sz val="11"/>
      <color theme="1"/>
      <name val="游ゴシック"/>
      <family val="3"/>
      <charset val="128"/>
      <scheme val="minor"/>
    </font>
    <font>
      <sz val="11"/>
      <color theme="1"/>
      <name val="游ゴシック"/>
      <family val="2"/>
      <scheme val="minor"/>
    </font>
    <font>
      <sz val="6"/>
      <name val="游ゴシック"/>
      <family val="3"/>
      <charset val="128"/>
      <scheme val="minor"/>
    </font>
    <font>
      <sz val="11"/>
      <color rgb="FFFF0000"/>
      <name val="游ゴシック"/>
      <family val="2"/>
      <scheme val="minor"/>
    </font>
    <font>
      <sz val="11"/>
      <color theme="1"/>
      <name val="ＭＳ ゴシック"/>
      <family val="2"/>
      <charset val="128"/>
    </font>
    <font>
      <sz val="11"/>
      <color rgb="FFFF0000"/>
      <name val="ＭＳ ゴシック"/>
      <family val="2"/>
      <charset val="128"/>
    </font>
    <font>
      <b/>
      <sz val="11"/>
      <color theme="1"/>
      <name val="ＭＳ ゴシック"/>
      <family val="3"/>
      <charset val="128"/>
    </font>
    <font>
      <b/>
      <sz val="11"/>
      <color theme="1"/>
      <name val="游ゴシック"/>
      <family val="2"/>
      <scheme val="minor"/>
    </font>
    <font>
      <b/>
      <sz val="11"/>
      <color theme="1"/>
      <name val="游ゴシック"/>
      <family val="2"/>
      <charset val="128"/>
      <scheme val="minor"/>
    </font>
    <font>
      <strike/>
      <sz val="11"/>
      <color theme="1"/>
      <name val="游ゴシック"/>
      <family val="2"/>
      <charset val="128"/>
      <scheme val="minor"/>
    </font>
    <font>
      <sz val="11"/>
      <name val="游ゴシック"/>
      <family val="3"/>
      <charset val="128"/>
      <scheme val="minor"/>
    </font>
    <font>
      <sz val="11"/>
      <color rgb="FFFF0000"/>
      <name val="游ゴシック"/>
      <family val="3"/>
      <charset val="128"/>
      <scheme val="minor"/>
    </font>
    <font>
      <b/>
      <sz val="11"/>
      <color rgb="FFFF0000"/>
      <name val="游ゴシック"/>
      <family val="3"/>
      <charset val="128"/>
      <scheme val="minor"/>
    </font>
  </fonts>
  <fills count="11">
    <fill>
      <patternFill patternType="none"/>
    </fill>
    <fill>
      <patternFill patternType="gray125"/>
    </fill>
    <fill>
      <patternFill patternType="solid">
        <fgColor theme="0" tint="-0.14999847407452621"/>
        <bgColor indexed="64"/>
      </patternFill>
    </fill>
    <fill>
      <patternFill patternType="solid">
        <fgColor rgb="FF92D050"/>
        <bgColor indexed="64"/>
      </patternFill>
    </fill>
    <fill>
      <patternFill patternType="solid">
        <fgColor rgb="FFFFFF00"/>
        <bgColor indexed="64"/>
      </patternFill>
    </fill>
    <fill>
      <patternFill patternType="solid">
        <fgColor theme="0"/>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7" tint="0.79998168889431442"/>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auto="1"/>
      </top>
      <bottom style="thin">
        <color auto="1"/>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medium">
        <color rgb="FF000000"/>
      </right>
      <top/>
      <bottom/>
      <diagonal/>
    </border>
    <border>
      <left/>
      <right/>
      <top style="thin">
        <color rgb="FF000000"/>
      </top>
      <bottom style="thin">
        <color rgb="FF000000"/>
      </bottom>
      <diagonal/>
    </border>
    <border>
      <left style="medium">
        <color rgb="FF000000"/>
      </left>
      <right/>
      <top style="medium">
        <color rgb="FF000000"/>
      </top>
      <bottom/>
      <diagonal/>
    </border>
    <border>
      <left style="medium">
        <color rgb="FF000000"/>
      </left>
      <right style="thin">
        <color indexed="64"/>
      </right>
      <top/>
      <bottom style="thin">
        <color indexed="64"/>
      </bottom>
      <diagonal/>
    </border>
    <border>
      <left style="medium">
        <color rgb="FF000000"/>
      </left>
      <right style="thin">
        <color indexed="64"/>
      </right>
      <top style="thin">
        <color indexed="64"/>
      </top>
      <bottom style="thin">
        <color indexed="64"/>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indexed="64"/>
      </left>
      <right/>
      <top style="medium">
        <color rgb="FF000000"/>
      </top>
      <bottom style="thin">
        <color indexed="64"/>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style="medium">
        <color rgb="FF000000"/>
      </right>
      <top style="medium">
        <color rgb="FF000000"/>
      </top>
      <bottom/>
      <diagonal/>
    </border>
    <border>
      <left/>
      <right style="medium">
        <color rgb="FF000000"/>
      </right>
      <top/>
      <bottom style="thin">
        <color rgb="FF000000"/>
      </bottom>
      <diagonal/>
    </border>
    <border>
      <left style="medium">
        <color rgb="FF000000"/>
      </left>
      <right style="thin">
        <color indexed="64"/>
      </right>
      <top/>
      <bottom/>
      <diagonal/>
    </border>
    <border>
      <left style="thin">
        <color indexed="64"/>
      </left>
      <right/>
      <top/>
      <bottom/>
      <diagonal/>
    </border>
    <border>
      <left/>
      <right style="thin">
        <color rgb="FF000000"/>
      </right>
      <top style="thin">
        <color rgb="FF000000"/>
      </top>
      <bottom style="medium">
        <color rgb="FF000000"/>
      </bottom>
      <diagonal/>
    </border>
    <border>
      <left/>
      <right/>
      <top style="thin">
        <color rgb="FF000000"/>
      </top>
      <bottom/>
      <diagonal/>
    </border>
    <border>
      <left style="thin">
        <color rgb="FF000000"/>
      </left>
      <right/>
      <top style="thin">
        <color rgb="FF000000"/>
      </top>
      <bottom/>
      <diagonal/>
    </border>
  </borders>
  <cellStyleXfs count="4">
    <xf numFmtId="0" fontId="0" fillId="0" borderId="0">
      <alignment vertical="center"/>
    </xf>
    <xf numFmtId="0" fontId="6" fillId="0" borderId="0"/>
    <xf numFmtId="38" fontId="6" fillId="0" borderId="0" applyFont="0" applyFill="0" applyBorder="0" applyAlignment="0" applyProtection="0">
      <alignment vertical="center"/>
    </xf>
    <xf numFmtId="0" fontId="9" fillId="0" borderId="0">
      <alignment vertical="center"/>
    </xf>
  </cellStyleXfs>
  <cellXfs count="186">
    <xf numFmtId="0" fontId="0" fillId="0" borderId="0" xfId="0">
      <alignment vertical="center"/>
    </xf>
    <xf numFmtId="0" fontId="1" fillId="0" borderId="0" xfId="0" applyFont="1">
      <alignment vertical="center"/>
    </xf>
    <xf numFmtId="0" fontId="1" fillId="2" borderId="1" xfId="0" applyFont="1" applyFill="1" applyBorder="1">
      <alignment vertical="center"/>
    </xf>
    <xf numFmtId="49" fontId="1" fillId="2" borderId="1" xfId="0" applyNumberFormat="1" applyFont="1" applyFill="1" applyBorder="1">
      <alignment vertical="center"/>
    </xf>
    <xf numFmtId="0" fontId="1" fillId="0" borderId="1" xfId="0" applyFont="1" applyBorder="1">
      <alignment vertical="center"/>
    </xf>
    <xf numFmtId="49" fontId="1" fillId="0" borderId="1" xfId="0" applyNumberFormat="1" applyFont="1" applyBorder="1" applyAlignment="1">
      <alignment vertical="center" wrapText="1"/>
    </xf>
    <xf numFmtId="49" fontId="1" fillId="0" borderId="1" xfId="0" applyNumberFormat="1" applyFont="1" applyBorder="1">
      <alignment vertical="center"/>
    </xf>
    <xf numFmtId="0" fontId="3" fillId="3" borderId="1" xfId="0" applyFont="1" applyFill="1" applyBorder="1" applyAlignment="1">
      <alignment horizontal="center" vertical="center" wrapText="1"/>
    </xf>
    <xf numFmtId="49" fontId="5" fillId="0" borderId="1" xfId="0" applyNumberFormat="1" applyFont="1" applyBorder="1" applyAlignment="1">
      <alignment vertical="center" wrapText="1"/>
    </xf>
    <xf numFmtId="49" fontId="5" fillId="0" borderId="1" xfId="0" applyNumberFormat="1" applyFont="1" applyBorder="1" applyAlignment="1">
      <alignment horizontal="center" vertical="center" wrapText="1"/>
    </xf>
    <xf numFmtId="0" fontId="5" fillId="0" borderId="1" xfId="0" applyFont="1" applyBorder="1">
      <alignment vertical="center"/>
    </xf>
    <xf numFmtId="0" fontId="5" fillId="0" borderId="1" xfId="0" applyFont="1" applyBorder="1" applyAlignment="1">
      <alignment horizontal="center" vertical="center"/>
    </xf>
    <xf numFmtId="0" fontId="5" fillId="0" borderId="0" xfId="0" applyFont="1">
      <alignment vertical="center"/>
    </xf>
    <xf numFmtId="0" fontId="5" fillId="0" borderId="0" xfId="0" applyFont="1" applyAlignment="1">
      <alignment horizontal="center" vertical="center"/>
    </xf>
    <xf numFmtId="0" fontId="0" fillId="0" borderId="1" xfId="0" applyBorder="1">
      <alignment vertical="center"/>
    </xf>
    <xf numFmtId="176" fontId="1" fillId="0" borderId="1" xfId="0" applyNumberFormat="1" applyFont="1" applyBorder="1" applyAlignment="1">
      <alignment vertical="center" wrapText="1"/>
    </xf>
    <xf numFmtId="177" fontId="1" fillId="0" borderId="1" xfId="0" applyNumberFormat="1" applyFont="1" applyBorder="1" applyAlignment="1">
      <alignment vertical="center" wrapText="1"/>
    </xf>
    <xf numFmtId="178" fontId="1" fillId="0" borderId="1" xfId="0" applyNumberFormat="1" applyFont="1" applyBorder="1" applyAlignment="1">
      <alignment vertical="center" wrapText="1"/>
    </xf>
    <xf numFmtId="2" fontId="0" fillId="0" borderId="0" xfId="0" applyNumberFormat="1">
      <alignment vertical="center"/>
    </xf>
    <xf numFmtId="0" fontId="6" fillId="4" borderId="4" xfId="1" applyFill="1" applyBorder="1"/>
    <xf numFmtId="0" fontId="6" fillId="4" borderId="5" xfId="1" applyFill="1" applyBorder="1"/>
    <xf numFmtId="0" fontId="6" fillId="0" borderId="0" xfId="1"/>
    <xf numFmtId="0" fontId="6" fillId="4" borderId="7" xfId="1" applyFill="1" applyBorder="1"/>
    <xf numFmtId="0" fontId="6" fillId="4" borderId="7" xfId="1" applyFill="1" applyBorder="1" applyAlignment="1">
      <alignment wrapText="1"/>
    </xf>
    <xf numFmtId="0" fontId="6" fillId="0" borderId="1" xfId="1" applyBorder="1"/>
    <xf numFmtId="0" fontId="6" fillId="0" borderId="1" xfId="1" applyBorder="1" applyAlignment="1">
      <alignment wrapText="1"/>
    </xf>
    <xf numFmtId="2" fontId="6" fillId="0" borderId="1" xfId="1" applyNumberFormat="1" applyBorder="1"/>
    <xf numFmtId="14" fontId="6" fillId="0" borderId="1" xfId="1" applyNumberFormat="1" applyBorder="1"/>
    <xf numFmtId="0" fontId="8" fillId="0" borderId="0" xfId="1" applyFont="1"/>
    <xf numFmtId="38" fontId="0" fillId="0" borderId="1" xfId="2" applyFont="1" applyBorder="1" applyAlignment="1"/>
    <xf numFmtId="49" fontId="5" fillId="5" borderId="1" xfId="0" applyNumberFormat="1" applyFont="1" applyFill="1" applyBorder="1" applyAlignment="1">
      <alignment horizontal="center" vertical="center" wrapText="1"/>
    </xf>
    <xf numFmtId="49" fontId="5" fillId="5" borderId="1" xfId="0" applyNumberFormat="1" applyFont="1" applyFill="1" applyBorder="1" applyAlignment="1">
      <alignment vertical="center" wrapText="1"/>
    </xf>
    <xf numFmtId="0" fontId="9" fillId="0" borderId="0" xfId="3">
      <alignment vertical="center"/>
    </xf>
    <xf numFmtId="0" fontId="9" fillId="6" borderId="0" xfId="3" applyFill="1">
      <alignment vertical="center"/>
    </xf>
    <xf numFmtId="0" fontId="10" fillId="7" borderId="0" xfId="3" applyFont="1" applyFill="1">
      <alignment vertical="center"/>
    </xf>
    <xf numFmtId="0" fontId="9" fillId="2" borderId="0" xfId="3" applyFill="1">
      <alignment vertical="center"/>
    </xf>
    <xf numFmtId="0" fontId="9" fillId="8" borderId="0" xfId="3" applyFill="1">
      <alignment vertical="center"/>
    </xf>
    <xf numFmtId="0" fontId="11" fillId="0" borderId="0" xfId="3" applyFont="1">
      <alignment vertical="center"/>
    </xf>
    <xf numFmtId="0" fontId="6" fillId="4" borderId="14" xfId="1" applyFill="1" applyBorder="1" applyAlignment="1">
      <alignment wrapText="1"/>
    </xf>
    <xf numFmtId="0" fontId="6" fillId="4" borderId="15" xfId="1" applyFill="1" applyBorder="1" applyAlignment="1">
      <alignment wrapText="1"/>
    </xf>
    <xf numFmtId="0" fontId="6" fillId="4" borderId="16" xfId="1" applyFill="1" applyBorder="1" applyAlignment="1">
      <alignment wrapText="1"/>
    </xf>
    <xf numFmtId="2" fontId="6" fillId="0" borderId="17" xfId="1" applyNumberFormat="1" applyBorder="1"/>
    <xf numFmtId="2" fontId="6" fillId="0" borderId="18" xfId="1" applyNumberFormat="1" applyBorder="1"/>
    <xf numFmtId="0" fontId="6" fillId="0" borderId="19" xfId="1" applyBorder="1"/>
    <xf numFmtId="0" fontId="6" fillId="0" borderId="20" xfId="1" applyBorder="1"/>
    <xf numFmtId="38" fontId="0" fillId="0" borderId="17" xfId="2" applyFont="1" applyBorder="1" applyAlignment="1"/>
    <xf numFmtId="38" fontId="0" fillId="0" borderId="18" xfId="2" applyFont="1" applyBorder="1" applyAlignment="1"/>
    <xf numFmtId="38" fontId="0" fillId="0" borderId="21" xfId="2" applyFont="1" applyBorder="1" applyAlignment="1"/>
    <xf numFmtId="38" fontId="0" fillId="0" borderId="22" xfId="2" applyFont="1" applyBorder="1" applyAlignment="1"/>
    <xf numFmtId="38" fontId="0" fillId="0" borderId="23" xfId="2" applyFont="1" applyBorder="1" applyAlignment="1"/>
    <xf numFmtId="0" fontId="6" fillId="4" borderId="1" xfId="1" applyFill="1" applyBorder="1" applyAlignment="1">
      <alignment horizontal="right"/>
    </xf>
    <xf numFmtId="2" fontId="6" fillId="0" borderId="1" xfId="0" applyNumberFormat="1" applyFont="1" applyBorder="1" applyAlignment="1"/>
    <xf numFmtId="0" fontId="0" fillId="0" borderId="0" xfId="1" applyFont="1"/>
    <xf numFmtId="0" fontId="3" fillId="3" borderId="9" xfId="0" applyFont="1" applyFill="1" applyBorder="1" applyAlignment="1">
      <alignment horizontal="center" vertical="center" wrapText="1"/>
    </xf>
    <xf numFmtId="0" fontId="5" fillId="0" borderId="1" xfId="0" applyFont="1" applyBorder="1" applyAlignment="1">
      <alignment vertical="center" wrapText="1"/>
    </xf>
    <xf numFmtId="179" fontId="12" fillId="0" borderId="33" xfId="1" applyNumberFormat="1" applyFont="1" applyBorder="1" applyAlignment="1">
      <alignment horizontal="right" vertical="center"/>
    </xf>
    <xf numFmtId="0" fontId="6" fillId="0" borderId="0" xfId="1" applyAlignment="1">
      <alignment vertical="center"/>
    </xf>
    <xf numFmtId="0" fontId="12" fillId="2" borderId="36" xfId="1" applyFont="1" applyFill="1" applyBorder="1" applyAlignment="1">
      <alignment vertical="center"/>
    </xf>
    <xf numFmtId="0" fontId="12" fillId="2" borderId="41" xfId="1" applyFont="1" applyFill="1" applyBorder="1" applyAlignment="1">
      <alignment horizontal="right" vertical="center"/>
    </xf>
    <xf numFmtId="0" fontId="12" fillId="9" borderId="25" xfId="1" applyFont="1" applyFill="1" applyBorder="1" applyAlignment="1">
      <alignment vertical="center" wrapText="1"/>
    </xf>
    <xf numFmtId="0" fontId="12" fillId="2" borderId="37" xfId="1" applyFont="1" applyFill="1" applyBorder="1" applyAlignment="1">
      <alignment vertical="center"/>
    </xf>
    <xf numFmtId="0" fontId="12" fillId="2" borderId="8" xfId="1" applyFont="1" applyFill="1" applyBorder="1" applyAlignment="1">
      <alignment vertical="center"/>
    </xf>
    <xf numFmtId="0" fontId="6" fillId="0" borderId="38" xfId="1" applyBorder="1" applyAlignment="1">
      <alignment vertical="center"/>
    </xf>
    <xf numFmtId="0" fontId="5" fillId="0" borderId="2" xfId="0" applyFont="1" applyBorder="1">
      <alignment vertical="center"/>
    </xf>
    <xf numFmtId="14" fontId="6" fillId="0" borderId="40" xfId="1" applyNumberFormat="1" applyBorder="1" applyAlignment="1">
      <alignment vertical="center"/>
    </xf>
    <xf numFmtId="0" fontId="8" fillId="0" borderId="49" xfId="1" applyFont="1" applyBorder="1" applyAlignment="1">
      <alignment vertical="center"/>
    </xf>
    <xf numFmtId="179" fontId="13" fillId="0" borderId="25" xfId="2" applyNumberFormat="1" applyFont="1" applyBorder="1" applyAlignment="1">
      <alignment vertical="center"/>
    </xf>
    <xf numFmtId="179" fontId="13" fillId="0" borderId="33" xfId="2" applyNumberFormat="1" applyFont="1" applyBorder="1" applyAlignment="1">
      <alignment vertical="center"/>
    </xf>
    <xf numFmtId="0" fontId="6" fillId="0" borderId="48" xfId="1" applyBorder="1" applyAlignment="1">
      <alignment vertical="center"/>
    </xf>
    <xf numFmtId="179" fontId="13" fillId="0" borderId="42" xfId="2" applyNumberFormat="1" applyFont="1" applyBorder="1" applyAlignment="1">
      <alignment vertical="center"/>
    </xf>
    <xf numFmtId="179" fontId="13" fillId="0" borderId="43" xfId="2" applyNumberFormat="1" applyFont="1" applyBorder="1" applyAlignment="1">
      <alignment vertical="center"/>
    </xf>
    <xf numFmtId="0" fontId="6" fillId="0" borderId="50" xfId="1" applyBorder="1" applyAlignment="1">
      <alignment vertical="center"/>
    </xf>
    <xf numFmtId="0" fontId="12" fillId="2" borderId="53" xfId="1" applyFont="1" applyFill="1" applyBorder="1" applyAlignment="1">
      <alignment vertical="center"/>
    </xf>
    <xf numFmtId="0" fontId="12" fillId="2" borderId="54" xfId="1" applyFont="1" applyFill="1" applyBorder="1" applyAlignment="1">
      <alignment vertical="center"/>
    </xf>
    <xf numFmtId="179" fontId="13" fillId="0" borderId="30" xfId="2" applyNumberFormat="1" applyFont="1" applyBorder="1" applyAlignment="1">
      <alignment vertical="center"/>
    </xf>
    <xf numFmtId="179" fontId="13" fillId="0" borderId="55" xfId="2" applyNumberFormat="1" applyFont="1" applyBorder="1" applyAlignment="1">
      <alignment vertical="center"/>
    </xf>
    <xf numFmtId="0" fontId="12" fillId="9" borderId="33" xfId="1" applyFont="1" applyFill="1" applyBorder="1" applyAlignment="1">
      <alignment vertical="center" wrapText="1"/>
    </xf>
    <xf numFmtId="0" fontId="12" fillId="9" borderId="30" xfId="1" applyFont="1" applyFill="1" applyBorder="1" applyAlignment="1">
      <alignment vertical="center" wrapText="1"/>
    </xf>
    <xf numFmtId="179" fontId="12" fillId="0" borderId="31" xfId="1" applyNumberFormat="1" applyFont="1" applyBorder="1" applyAlignment="1">
      <alignment horizontal="right" vertical="center"/>
    </xf>
    <xf numFmtId="0" fontId="0" fillId="0" borderId="25" xfId="0" applyBorder="1">
      <alignment vertical="center"/>
    </xf>
    <xf numFmtId="0" fontId="0" fillId="10" borderId="25" xfId="0" applyFill="1" applyBorder="1">
      <alignment vertical="center"/>
    </xf>
    <xf numFmtId="49" fontId="5" fillId="10" borderId="25" xfId="0" applyNumberFormat="1" applyFont="1" applyFill="1" applyBorder="1" applyAlignment="1">
      <alignment vertical="center" wrapText="1"/>
    </xf>
    <xf numFmtId="0" fontId="5" fillId="10" borderId="25" xfId="0" applyFont="1" applyFill="1" applyBorder="1">
      <alignment vertical="center"/>
    </xf>
    <xf numFmtId="0" fontId="14" fillId="0" borderId="0" xfId="0" applyFont="1">
      <alignment vertical="center"/>
    </xf>
    <xf numFmtId="0" fontId="0" fillId="0" borderId="33" xfId="0" applyBorder="1">
      <alignment vertical="center"/>
    </xf>
    <xf numFmtId="14" fontId="0" fillId="0" borderId="33" xfId="1" applyNumberFormat="1" applyFont="1" applyBorder="1"/>
    <xf numFmtId="0" fontId="0" fillId="10" borderId="33" xfId="0" applyFill="1" applyBorder="1">
      <alignment vertical="center"/>
    </xf>
    <xf numFmtId="0" fontId="0" fillId="10" borderId="7" xfId="0" applyFill="1" applyBorder="1">
      <alignment vertical="center"/>
    </xf>
    <xf numFmtId="0" fontId="0" fillId="10" borderId="28" xfId="0" applyFill="1" applyBorder="1">
      <alignment vertical="center"/>
    </xf>
    <xf numFmtId="0" fontId="13" fillId="0" borderId="25" xfId="0" applyFont="1" applyBorder="1">
      <alignment vertical="center"/>
    </xf>
    <xf numFmtId="0" fontId="0" fillId="0" borderId="26" xfId="0" applyBorder="1">
      <alignment vertical="center"/>
    </xf>
    <xf numFmtId="0" fontId="0" fillId="0" borderId="28" xfId="0" applyBorder="1">
      <alignment vertical="center"/>
    </xf>
    <xf numFmtId="0" fontId="0" fillId="10" borderId="31" xfId="0" applyFill="1" applyBorder="1">
      <alignment vertical="center"/>
    </xf>
    <xf numFmtId="0" fontId="13" fillId="0" borderId="0" xfId="0" applyFont="1">
      <alignment vertical="center"/>
    </xf>
    <xf numFmtId="0" fontId="0" fillId="10" borderId="57" xfId="0" applyFill="1" applyBorder="1">
      <alignment vertical="center"/>
    </xf>
    <xf numFmtId="0" fontId="13" fillId="0" borderId="30" xfId="0" applyFont="1" applyBorder="1">
      <alignment vertical="center"/>
    </xf>
    <xf numFmtId="179" fontId="0" fillId="0" borderId="0" xfId="0" applyNumberFormat="1">
      <alignment vertical="center"/>
    </xf>
    <xf numFmtId="179" fontId="0" fillId="4" borderId="25" xfId="0" applyNumberFormat="1" applyFill="1" applyBorder="1">
      <alignment vertical="center"/>
    </xf>
    <xf numFmtId="9" fontId="0" fillId="4" borderId="25" xfId="0" applyNumberFormat="1" applyFill="1" applyBorder="1">
      <alignment vertical="center"/>
    </xf>
    <xf numFmtId="0" fontId="15" fillId="4" borderId="25" xfId="1" applyFont="1" applyFill="1" applyBorder="1"/>
    <xf numFmtId="0" fontId="15" fillId="4" borderId="25" xfId="1" applyFont="1" applyFill="1" applyBorder="1" applyAlignment="1">
      <alignment wrapText="1"/>
    </xf>
    <xf numFmtId="0" fontId="15" fillId="0" borderId="25" xfId="1" applyFont="1" applyBorder="1" applyAlignment="1">
      <alignment vertical="top" wrapText="1"/>
    </xf>
    <xf numFmtId="0" fontId="15" fillId="0" borderId="33" xfId="1" applyFont="1" applyBorder="1" applyAlignment="1">
      <alignment wrapText="1"/>
    </xf>
    <xf numFmtId="0" fontId="15" fillId="0" borderId="33" xfId="1" applyFont="1" applyBorder="1"/>
    <xf numFmtId="0" fontId="15" fillId="0" borderId="25" xfId="1" applyFont="1" applyBorder="1" applyAlignment="1">
      <alignment vertical="top"/>
    </xf>
    <xf numFmtId="14" fontId="15" fillId="0" borderId="33" xfId="1" applyNumberFormat="1" applyFont="1" applyBorder="1" applyAlignment="1">
      <alignment wrapText="1"/>
    </xf>
    <xf numFmtId="0" fontId="15" fillId="0" borderId="33" xfId="1" applyFont="1" applyBorder="1" applyAlignment="1">
      <alignment vertical="center" wrapText="1"/>
    </xf>
    <xf numFmtId="0" fontId="15" fillId="0" borderId="33" xfId="1" applyFont="1" applyBorder="1" applyAlignment="1">
      <alignment horizontal="left" vertical="center" wrapText="1"/>
    </xf>
    <xf numFmtId="0" fontId="15" fillId="0" borderId="33" xfId="1" applyFont="1" applyBorder="1" applyAlignment="1">
      <alignment horizontal="left" vertical="center"/>
    </xf>
    <xf numFmtId="0" fontId="15" fillId="5" borderId="26" xfId="1" applyFont="1" applyFill="1" applyBorder="1" applyAlignment="1">
      <alignment horizontal="left" vertical="center" wrapText="1"/>
    </xf>
    <xf numFmtId="0" fontId="15" fillId="0" borderId="26" xfId="1" applyFont="1" applyBorder="1" applyAlignment="1">
      <alignment horizontal="left" vertical="center" wrapText="1"/>
    </xf>
    <xf numFmtId="0" fontId="15" fillId="0" borderId="28" xfId="1" applyFont="1" applyBorder="1" applyAlignment="1">
      <alignment horizontal="left" vertical="center" wrapText="1"/>
    </xf>
    <xf numFmtId="0" fontId="15" fillId="5" borderId="27" xfId="1" applyFont="1" applyFill="1" applyBorder="1" applyAlignment="1">
      <alignment horizontal="left" vertical="center" wrapText="1"/>
    </xf>
    <xf numFmtId="0" fontId="15" fillId="5" borderId="26" xfId="1" applyFont="1" applyFill="1" applyBorder="1" applyAlignment="1">
      <alignment vertical="center" wrapText="1"/>
    </xf>
    <xf numFmtId="180" fontId="15" fillId="0" borderId="27" xfId="1" applyNumberFormat="1" applyFont="1" applyBorder="1" applyAlignment="1">
      <alignment horizontal="center" vertical="center" wrapText="1"/>
    </xf>
    <xf numFmtId="180" fontId="15" fillId="0" borderId="26" xfId="1" applyNumberFormat="1" applyFont="1" applyBorder="1" applyAlignment="1">
      <alignment horizontal="center" vertical="center"/>
    </xf>
    <xf numFmtId="180" fontId="0" fillId="0" borderId="25" xfId="1" applyNumberFormat="1" applyFont="1" applyBorder="1" applyAlignment="1">
      <alignment horizontal="center" vertical="center"/>
    </xf>
    <xf numFmtId="180" fontId="6" fillId="0" borderId="30" xfId="1" applyNumberFormat="1" applyBorder="1" applyAlignment="1">
      <alignment vertical="center"/>
    </xf>
    <xf numFmtId="180" fontId="6" fillId="0" borderId="25" xfId="1" applyNumberFormat="1" applyBorder="1" applyAlignment="1">
      <alignment vertical="center"/>
    </xf>
    <xf numFmtId="180" fontId="12" fillId="0" borderId="25" xfId="1" applyNumberFormat="1" applyFont="1" applyBorder="1" applyAlignment="1">
      <alignment vertical="center"/>
    </xf>
    <xf numFmtId="180" fontId="12" fillId="0" borderId="32" xfId="1" applyNumberFormat="1" applyFont="1" applyBorder="1" applyAlignment="1">
      <alignment vertical="center"/>
    </xf>
    <xf numFmtId="180" fontId="12" fillId="0" borderId="28" xfId="1" applyNumberFormat="1" applyFont="1" applyBorder="1" applyAlignment="1">
      <alignment vertical="center"/>
    </xf>
    <xf numFmtId="180" fontId="15" fillId="0" borderId="25" xfId="1" applyNumberFormat="1" applyFont="1" applyBorder="1"/>
    <xf numFmtId="0" fontId="17" fillId="0" borderId="0" xfId="1" applyFont="1"/>
    <xf numFmtId="0" fontId="17" fillId="0" borderId="0" xfId="1" applyFont="1" applyAlignment="1">
      <alignment horizontal="right"/>
    </xf>
    <xf numFmtId="0" fontId="0" fillId="0" borderId="0" xfId="1" applyFont="1" applyAlignment="1">
      <alignment horizontal="right"/>
    </xf>
    <xf numFmtId="0" fontId="0" fillId="7" borderId="1" xfId="0" applyFill="1" applyBorder="1">
      <alignment vertical="center"/>
    </xf>
    <xf numFmtId="0" fontId="0" fillId="9" borderId="1" xfId="0" applyFill="1" applyBorder="1">
      <alignment vertical="center"/>
    </xf>
    <xf numFmtId="0" fontId="0" fillId="4" borderId="25" xfId="0" applyFill="1" applyBorder="1" applyAlignment="1">
      <alignment horizontal="center" vertical="center"/>
    </xf>
    <xf numFmtId="0" fontId="0" fillId="0" borderId="56" xfId="0" applyBorder="1" applyAlignment="1">
      <alignment horizontal="center" vertical="center"/>
    </xf>
    <xf numFmtId="0" fontId="0" fillId="0" borderId="0" xfId="0" applyAlignment="1">
      <alignment horizontal="center" vertical="center"/>
    </xf>
    <xf numFmtId="0" fontId="0" fillId="10" borderId="33" xfId="0" applyFill="1" applyBorder="1" applyAlignment="1">
      <alignment horizontal="center" vertical="center"/>
    </xf>
    <xf numFmtId="0" fontId="0" fillId="10" borderId="30" xfId="0" applyFill="1" applyBorder="1" applyAlignment="1">
      <alignment horizontal="center" vertical="center"/>
    </xf>
    <xf numFmtId="0" fontId="0" fillId="10" borderId="26" xfId="0" applyFill="1" applyBorder="1" applyAlignment="1">
      <alignment horizontal="center" vertical="center"/>
    </xf>
    <xf numFmtId="0" fontId="0" fillId="10" borderId="28" xfId="0" applyFill="1" applyBorder="1" applyAlignment="1">
      <alignment horizontal="center" vertical="center"/>
    </xf>
    <xf numFmtId="0" fontId="13" fillId="10" borderId="25" xfId="0" applyFont="1" applyFill="1" applyBorder="1" applyAlignment="1">
      <alignment horizontal="right" vertical="center"/>
    </xf>
    <xf numFmtId="0" fontId="0" fillId="10" borderId="35" xfId="0" applyFill="1" applyBorder="1" applyAlignment="1">
      <alignment horizontal="center" vertical="center"/>
    </xf>
    <xf numFmtId="0" fontId="0" fillId="10" borderId="25" xfId="0" applyFill="1" applyBorder="1" applyAlignment="1">
      <alignment horizontal="center" vertical="center"/>
    </xf>
    <xf numFmtId="0" fontId="5" fillId="0" borderId="4" xfId="0" applyFont="1" applyBorder="1" applyAlignment="1">
      <alignment vertical="center" wrapText="1"/>
    </xf>
    <xf numFmtId="49" fontId="5" fillId="0" borderId="4" xfId="0" applyNumberFormat="1" applyFont="1" applyBorder="1" applyAlignment="1">
      <alignment vertical="center" wrapText="1"/>
    </xf>
    <xf numFmtId="49" fontId="5" fillId="0" borderId="29" xfId="0" applyNumberFormat="1" applyFont="1" applyBorder="1" applyAlignment="1">
      <alignment vertical="center" wrapText="1"/>
    </xf>
    <xf numFmtId="49" fontId="5" fillId="0" borderId="7" xfId="0" applyNumberFormat="1" applyFont="1" applyBorder="1" applyAlignment="1">
      <alignment vertical="center" wrapText="1"/>
    </xf>
    <xf numFmtId="49" fontId="5" fillId="0" borderId="4" xfId="0" applyNumberFormat="1" applyFont="1" applyBorder="1" applyAlignment="1">
      <alignment horizontal="center" vertical="center" wrapText="1"/>
    </xf>
    <xf numFmtId="49" fontId="5" fillId="0" borderId="7" xfId="0" applyNumberFormat="1" applyFont="1" applyBorder="1" applyAlignment="1">
      <alignment horizontal="center" vertical="center" wrapText="1"/>
    </xf>
    <xf numFmtId="0" fontId="3" fillId="3" borderId="8" xfId="0" applyFont="1" applyFill="1" applyBorder="1" applyAlignment="1">
      <alignment horizontal="center" vertical="center" wrapText="1"/>
    </xf>
    <xf numFmtId="0" fontId="3" fillId="3" borderId="9" xfId="0" applyFont="1" applyFill="1" applyBorder="1" applyAlignment="1">
      <alignment horizontal="center" vertical="center" wrapText="1"/>
    </xf>
    <xf numFmtId="49" fontId="5" fillId="0" borderId="1" xfId="0" applyNumberFormat="1" applyFont="1" applyBorder="1" applyAlignment="1">
      <alignment vertical="center" wrapText="1"/>
    </xf>
    <xf numFmtId="0" fontId="5" fillId="0" borderId="7" xfId="0" applyFont="1" applyBorder="1" applyAlignment="1">
      <alignment vertical="center" wrapText="1"/>
    </xf>
    <xf numFmtId="0" fontId="5" fillId="0" borderId="1" xfId="0" applyFont="1" applyBorder="1" applyAlignment="1">
      <alignment vertical="center" wrapText="1"/>
    </xf>
    <xf numFmtId="0" fontId="0" fillId="0" borderId="4" xfId="0" applyBorder="1" applyAlignment="1">
      <alignment horizontal="left" vertical="top" wrapText="1"/>
    </xf>
    <xf numFmtId="0" fontId="0" fillId="0" borderId="7" xfId="0" applyBorder="1" applyAlignment="1">
      <alignment horizontal="left" vertical="top"/>
    </xf>
    <xf numFmtId="0" fontId="6" fillId="4" borderId="13" xfId="1" applyFill="1" applyBorder="1" applyAlignment="1">
      <alignment wrapText="1"/>
    </xf>
    <xf numFmtId="0" fontId="6" fillId="4" borderId="6" xfId="1" applyFill="1" applyBorder="1" applyAlignment="1">
      <alignment wrapText="1"/>
    </xf>
    <xf numFmtId="0" fontId="6" fillId="4" borderId="3" xfId="1" applyFill="1" applyBorder="1" applyAlignment="1">
      <alignment wrapText="1"/>
    </xf>
    <xf numFmtId="0" fontId="6" fillId="4" borderId="24" xfId="1" applyFill="1" applyBorder="1" applyAlignment="1">
      <alignment horizontal="center"/>
    </xf>
    <xf numFmtId="0" fontId="6" fillId="4" borderId="11" xfId="1" applyFill="1" applyBorder="1" applyAlignment="1">
      <alignment horizontal="center"/>
    </xf>
    <xf numFmtId="0" fontId="6" fillId="4" borderId="12" xfId="1" applyFill="1" applyBorder="1" applyAlignment="1">
      <alignment horizontal="center"/>
    </xf>
    <xf numFmtId="0" fontId="6" fillId="4" borderId="10" xfId="1" applyFill="1" applyBorder="1" applyAlignment="1">
      <alignment horizontal="center"/>
    </xf>
    <xf numFmtId="0" fontId="12" fillId="4" borderId="44" xfId="1" applyFont="1" applyFill="1" applyBorder="1" applyAlignment="1">
      <alignment horizontal="right" vertical="center"/>
    </xf>
    <xf numFmtId="0" fontId="12" fillId="4" borderId="45" xfId="1" applyFont="1" applyFill="1" applyBorder="1" applyAlignment="1">
      <alignment horizontal="right" vertical="center"/>
    </xf>
    <xf numFmtId="0" fontId="12" fillId="4" borderId="39" xfId="1" applyFont="1" applyFill="1" applyBorder="1" applyAlignment="1">
      <alignment horizontal="right" vertical="center"/>
    </xf>
    <xf numFmtId="0" fontId="12" fillId="4" borderId="35" xfId="1" applyFont="1" applyFill="1" applyBorder="1" applyAlignment="1">
      <alignment horizontal="right" vertical="center"/>
    </xf>
    <xf numFmtId="0" fontId="12" fillId="4" borderId="46" xfId="1" applyFont="1" applyFill="1" applyBorder="1" applyAlignment="1">
      <alignment horizontal="right" vertical="center"/>
    </xf>
    <xf numFmtId="0" fontId="12" fillId="4" borderId="47" xfId="1" applyFont="1" applyFill="1" applyBorder="1" applyAlignment="1">
      <alignment horizontal="right" vertical="center"/>
    </xf>
    <xf numFmtId="0" fontId="12" fillId="2" borderId="51" xfId="1" applyFont="1" applyFill="1" applyBorder="1" applyAlignment="1">
      <alignment horizontal="center" vertical="center"/>
    </xf>
    <xf numFmtId="0" fontId="12" fillId="2" borderId="34" xfId="1" applyFont="1" applyFill="1" applyBorder="1" applyAlignment="1">
      <alignment horizontal="center" vertical="center"/>
    </xf>
    <xf numFmtId="0" fontId="12" fillId="2" borderId="52" xfId="1" applyFont="1" applyFill="1" applyBorder="1" applyAlignment="1">
      <alignment horizontal="center" vertical="center"/>
    </xf>
    <xf numFmtId="0" fontId="12" fillId="9" borderId="45" xfId="1" applyFont="1" applyFill="1" applyBorder="1" applyAlignment="1">
      <alignment horizontal="left" vertical="center"/>
    </xf>
    <xf numFmtId="0" fontId="12" fillId="9" borderId="35" xfId="1" applyFont="1" applyFill="1" applyBorder="1" applyAlignment="1">
      <alignment horizontal="center" vertical="center" wrapText="1"/>
    </xf>
    <xf numFmtId="0" fontId="15" fillId="5" borderId="26" xfId="1" applyFont="1" applyFill="1" applyBorder="1" applyAlignment="1">
      <alignment horizontal="left" vertical="center" wrapText="1"/>
    </xf>
    <xf numFmtId="0" fontId="15" fillId="5" borderId="28" xfId="1" applyFont="1" applyFill="1" applyBorder="1" applyAlignment="1">
      <alignment horizontal="left" vertical="center" wrapText="1"/>
    </xf>
    <xf numFmtId="180" fontId="15" fillId="0" borderId="26" xfId="1" applyNumberFormat="1" applyFont="1" applyBorder="1" applyAlignment="1">
      <alignment horizontal="center" vertical="center"/>
    </xf>
    <xf numFmtId="180" fontId="15" fillId="0" borderId="28" xfId="1" applyNumberFormat="1" applyFont="1" applyBorder="1" applyAlignment="1">
      <alignment horizontal="center" vertical="center"/>
    </xf>
    <xf numFmtId="0" fontId="0" fillId="4" borderId="25" xfId="1" applyFont="1" applyFill="1" applyBorder="1" applyAlignment="1">
      <alignment horizontal="right"/>
    </xf>
    <xf numFmtId="0" fontId="15" fillId="5" borderId="26" xfId="1" applyFont="1" applyFill="1" applyBorder="1" applyAlignment="1">
      <alignment vertical="center" wrapText="1"/>
    </xf>
    <xf numFmtId="0" fontId="15" fillId="5" borderId="28" xfId="1" applyFont="1" applyFill="1" applyBorder="1" applyAlignment="1">
      <alignment vertical="center" wrapText="1"/>
    </xf>
    <xf numFmtId="0" fontId="0" fillId="9" borderId="1" xfId="0" applyFill="1" applyBorder="1" applyAlignment="1">
      <alignment horizontal="center" vertical="center"/>
    </xf>
    <xf numFmtId="49" fontId="1" fillId="2" borderId="1" xfId="0" applyNumberFormat="1" applyFont="1" applyFill="1" applyBorder="1" applyAlignment="1">
      <alignment horizontal="left" vertical="center"/>
    </xf>
    <xf numFmtId="49" fontId="1" fillId="0" borderId="1" xfId="0" applyNumberFormat="1" applyFont="1" applyBorder="1" applyAlignment="1">
      <alignment horizontal="left" vertical="center"/>
    </xf>
    <xf numFmtId="49" fontId="1" fillId="0" borderId="2" xfId="0" applyNumberFormat="1" applyFont="1" applyBorder="1" applyAlignment="1">
      <alignment horizontal="left" vertical="center"/>
    </xf>
    <xf numFmtId="49" fontId="1" fillId="0" borderId="3" xfId="0" applyNumberFormat="1" applyFont="1" applyBorder="1" applyAlignment="1">
      <alignment horizontal="left" vertical="center"/>
    </xf>
    <xf numFmtId="0" fontId="0" fillId="10" borderId="1" xfId="0" applyFill="1" applyBorder="1" applyAlignment="1">
      <alignment vertical="center"/>
    </xf>
    <xf numFmtId="0" fontId="5" fillId="0" borderId="7" xfId="0" applyFont="1" applyBorder="1" applyAlignment="1">
      <alignment vertical="center"/>
    </xf>
    <xf numFmtId="0" fontId="5" fillId="0" borderId="4" xfId="0" applyFont="1" applyBorder="1" applyAlignment="1">
      <alignment vertical="center"/>
    </xf>
    <xf numFmtId="0" fontId="5" fillId="0" borderId="1" xfId="0" quotePrefix="1" applyFont="1" applyBorder="1" applyAlignment="1">
      <alignment vertical="center"/>
    </xf>
    <xf numFmtId="0" fontId="5" fillId="0" borderId="1" xfId="0" applyFont="1" applyBorder="1" applyAlignment="1">
      <alignment vertical="center"/>
    </xf>
  </cellXfs>
  <cellStyles count="4">
    <cellStyle name="桁区切り 2" xfId="2" xr:uid="{00000000-0005-0000-0000-000000000000}"/>
    <cellStyle name="標準" xfId="0" builtinId="0"/>
    <cellStyle name="標準 2" xfId="1" xr:uid="{00000000-0005-0000-0000-000002000000}"/>
    <cellStyle name="標準 28" xfId="3" xr:uid="{00000000-0005-0000-0000-000003000000}"/>
  </cellStyles>
  <dxfs count="0"/>
  <tableStyles count="0" defaultTableStyle="TableStyleMedium2" defaultPivotStyle="PivotStyleLight16"/>
  <colors>
    <mruColors>
      <color rgb="FF1581E6"/>
      <color rgb="FF1B9FCF"/>
      <color rgb="FF2863C9"/>
      <color rgb="FF5383DB"/>
      <color rgb="FF7DB4E8"/>
      <color rgb="FF91BC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161925</xdr:colOff>
      <xdr:row>27</xdr:row>
      <xdr:rowOff>209550</xdr:rowOff>
    </xdr:from>
    <xdr:to>
      <xdr:col>6</xdr:col>
      <xdr:colOff>419100</xdr:colOff>
      <xdr:row>29</xdr:row>
      <xdr:rowOff>190500</xdr:rowOff>
    </xdr:to>
    <xdr:sp macro="" textlink="">
      <xdr:nvSpPr>
        <xdr:cNvPr id="2" name="テキスト ボックス 1">
          <a:extLst>
            <a:ext uri="{FF2B5EF4-FFF2-40B4-BE49-F238E27FC236}">
              <a16:creationId xmlns:a16="http://schemas.microsoft.com/office/drawing/2014/main" id="{6EE3AF5C-72BB-715B-9E4C-AFD7BF015742}"/>
            </a:ext>
          </a:extLst>
        </xdr:cNvPr>
        <xdr:cNvSpPr txBox="1"/>
      </xdr:nvSpPr>
      <xdr:spPr>
        <a:xfrm>
          <a:off x="161925" y="6181725"/>
          <a:ext cx="3914775" cy="438150"/>
        </a:xfrm>
        <a:prstGeom prst="rect">
          <a:avLst/>
        </a:prstGeom>
        <a:solidFill>
          <a:srgbClr val="FFFF00"/>
        </a:solidFill>
        <a:ln w="9525" cmpd="sng">
          <a:solidFill>
            <a:schemeClr val="tx1"/>
          </a:solidFill>
        </a:ln>
      </xdr:spPr>
      <xdr:txBody>
        <a:bodyPr spcFirstLastPara="0" vertOverflow="clip" horzOverflow="clip" wrap="square" lIns="91440" tIns="45720" rIns="91440" bIns="45720" rtlCol="0" anchor="t">
          <a:noAutofit/>
        </a:bodyPr>
        <a:lstStyle/>
        <a:p>
          <a:pPr marL="0" indent="0" algn="l"/>
          <a:r>
            <a:rPr lang="ja-JP" altLang="en-US" sz="1100" b="0" i="0" u="none" strike="noStrike">
              <a:solidFill>
                <a:srgbClr val="000000"/>
              </a:solidFill>
              <a:latin typeface="Calibri" panose="020F0502020204030204" pitchFamily="34" charset="0"/>
              <a:cs typeface="Calibri" panose="020F0502020204030204" pitchFamily="34" charset="0"/>
            </a:rPr>
            <a:t>メリットが感じられないため、個別構築パターンは本見積では考えない</a:t>
          </a:r>
          <a:endParaRPr lang="ja-JP" altLang="en-US" sz="1100" b="0" i="0" u="none" strike="noStrike">
            <a:solidFill>
              <a:srgbClr val="000000"/>
            </a:solidFill>
            <a:latin typeface="+mn-lt"/>
            <a:ea typeface="+mn-lt"/>
            <a:cs typeface="+mn-lt"/>
          </a:endParaRPr>
        </a:p>
        <a:p>
          <a:pPr marL="0" indent="0" algn="l"/>
          <a:endParaRPr lang="ja-JP" altLang="en-US" sz="1100">
            <a:latin typeface="+mn-lt"/>
            <a:ea typeface="+mn-lt"/>
            <a:cs typeface="+mn-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311150</xdr:colOff>
      <xdr:row>4</xdr:row>
      <xdr:rowOff>0</xdr:rowOff>
    </xdr:from>
    <xdr:to>
      <xdr:col>9</xdr:col>
      <xdr:colOff>450850</xdr:colOff>
      <xdr:row>5</xdr:row>
      <xdr:rowOff>209550</xdr:rowOff>
    </xdr:to>
    <xdr:sp macro="" textlink="">
      <xdr:nvSpPr>
        <xdr:cNvPr id="22" name="五角形 21">
          <a:extLst>
            <a:ext uri="{FF2B5EF4-FFF2-40B4-BE49-F238E27FC236}">
              <a16:creationId xmlns:a16="http://schemas.microsoft.com/office/drawing/2014/main" id="{DCD0FA00-438B-4F3B-B60D-568F39371084}"/>
            </a:ext>
            <a:ext uri="{147F2762-F138-4A5C-976F-8EAC2B608ADB}">
              <a16:predDERef xmlns:a16="http://schemas.microsoft.com/office/drawing/2014/main" pred="{2ED0E677-487D-4105-B3A7-71E0F4B8D0B2}"/>
            </a:ext>
          </a:extLst>
        </xdr:cNvPr>
        <xdr:cNvSpPr/>
      </xdr:nvSpPr>
      <xdr:spPr>
        <a:xfrm>
          <a:off x="8204200" y="914400"/>
          <a:ext cx="139700" cy="43815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調査</a:t>
          </a:r>
        </a:p>
      </xdr:txBody>
    </xdr:sp>
    <xdr:clientData/>
  </xdr:twoCellAnchor>
  <xdr:twoCellAnchor>
    <xdr:from>
      <xdr:col>9</xdr:col>
      <xdr:colOff>488950</xdr:colOff>
      <xdr:row>4</xdr:row>
      <xdr:rowOff>0</xdr:rowOff>
    </xdr:from>
    <xdr:to>
      <xdr:col>10</xdr:col>
      <xdr:colOff>95250</xdr:colOff>
      <xdr:row>6</xdr:row>
      <xdr:rowOff>0</xdr:rowOff>
    </xdr:to>
    <xdr:sp macro="" textlink="">
      <xdr:nvSpPr>
        <xdr:cNvPr id="24" name="五角形 23">
          <a:extLst>
            <a:ext uri="{FF2B5EF4-FFF2-40B4-BE49-F238E27FC236}">
              <a16:creationId xmlns:a16="http://schemas.microsoft.com/office/drawing/2014/main" id="{85C0FA77-C317-4B4B-ADAC-2906025B8A19}"/>
            </a:ext>
            <a:ext uri="{147F2762-F138-4A5C-976F-8EAC2B608ADB}">
              <a16:predDERef xmlns:a16="http://schemas.microsoft.com/office/drawing/2014/main" pred="{DCD0FA00-438B-4F3B-B60D-568F39371084}"/>
            </a:ext>
          </a:extLst>
        </xdr:cNvPr>
        <xdr:cNvSpPr/>
      </xdr:nvSpPr>
      <xdr:spPr>
        <a:xfrm>
          <a:off x="8382000" y="914400"/>
          <a:ext cx="107950" cy="45720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設計</a:t>
          </a:r>
        </a:p>
      </xdr:txBody>
    </xdr:sp>
    <xdr:clientData/>
  </xdr:twoCellAnchor>
  <xdr:twoCellAnchor>
    <xdr:from>
      <xdr:col>10</xdr:col>
      <xdr:colOff>146050</xdr:colOff>
      <xdr:row>4</xdr:row>
      <xdr:rowOff>0</xdr:rowOff>
    </xdr:from>
    <xdr:to>
      <xdr:col>10</xdr:col>
      <xdr:colOff>381000</xdr:colOff>
      <xdr:row>5</xdr:row>
      <xdr:rowOff>215900</xdr:rowOff>
    </xdr:to>
    <xdr:sp macro="" textlink="">
      <xdr:nvSpPr>
        <xdr:cNvPr id="25" name="五角形 24">
          <a:extLst>
            <a:ext uri="{FF2B5EF4-FFF2-40B4-BE49-F238E27FC236}">
              <a16:creationId xmlns:a16="http://schemas.microsoft.com/office/drawing/2014/main" id="{217976E8-218C-4C18-8600-D795A43A7F74}"/>
            </a:ext>
            <a:ext uri="{147F2762-F138-4A5C-976F-8EAC2B608ADB}">
              <a16:predDERef xmlns:a16="http://schemas.microsoft.com/office/drawing/2014/main" pred="{85C0FA77-C317-4B4B-ADAC-2906025B8A19}"/>
            </a:ext>
          </a:extLst>
        </xdr:cNvPr>
        <xdr:cNvSpPr/>
      </xdr:nvSpPr>
      <xdr:spPr>
        <a:xfrm>
          <a:off x="8540750" y="914400"/>
          <a:ext cx="234950" cy="444500"/>
        </a:xfrm>
        <a:prstGeom prst="homePlate">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製造</a:t>
          </a:r>
        </a:p>
      </xdr:txBody>
    </xdr:sp>
    <xdr:clientData/>
  </xdr:twoCellAnchor>
  <xdr:twoCellAnchor>
    <xdr:from>
      <xdr:col>10</xdr:col>
      <xdr:colOff>387350</xdr:colOff>
      <xdr:row>4</xdr:row>
      <xdr:rowOff>12700</xdr:rowOff>
    </xdr:from>
    <xdr:to>
      <xdr:col>11</xdr:col>
      <xdr:colOff>25400</xdr:colOff>
      <xdr:row>5</xdr:row>
      <xdr:rowOff>209550</xdr:rowOff>
    </xdr:to>
    <xdr:sp macro="" textlink="">
      <xdr:nvSpPr>
        <xdr:cNvPr id="26" name="五角形 25">
          <a:extLst>
            <a:ext uri="{FF2B5EF4-FFF2-40B4-BE49-F238E27FC236}">
              <a16:creationId xmlns:a16="http://schemas.microsoft.com/office/drawing/2014/main" id="{C95C4AAE-E55C-4332-B7C5-D1FBAEA0415C}"/>
            </a:ext>
            <a:ext uri="{147F2762-F138-4A5C-976F-8EAC2B608ADB}">
              <a16:predDERef xmlns:a16="http://schemas.microsoft.com/office/drawing/2014/main" pred="{217976E8-218C-4C18-8600-D795A43A7F74}"/>
            </a:ext>
          </a:extLst>
        </xdr:cNvPr>
        <xdr:cNvSpPr/>
      </xdr:nvSpPr>
      <xdr:spPr>
        <a:xfrm>
          <a:off x="8782050" y="927100"/>
          <a:ext cx="139700" cy="42545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テスト</a:t>
          </a:r>
        </a:p>
      </xdr:txBody>
    </xdr:sp>
    <xdr:clientData/>
  </xdr:twoCellAnchor>
  <xdr:twoCellAnchor>
    <xdr:from>
      <xdr:col>33</xdr:col>
      <xdr:colOff>15875</xdr:colOff>
      <xdr:row>6</xdr:row>
      <xdr:rowOff>222250</xdr:rowOff>
    </xdr:from>
    <xdr:to>
      <xdr:col>35</xdr:col>
      <xdr:colOff>492125</xdr:colOff>
      <xdr:row>7</xdr:row>
      <xdr:rowOff>222250</xdr:rowOff>
    </xdr:to>
    <xdr:sp macro="" textlink="">
      <xdr:nvSpPr>
        <xdr:cNvPr id="23" name="五角形 22">
          <a:extLst>
            <a:ext uri="{FF2B5EF4-FFF2-40B4-BE49-F238E27FC236}">
              <a16:creationId xmlns:a16="http://schemas.microsoft.com/office/drawing/2014/main" id="{236D222F-948C-4D61-B445-C8B89F217513}"/>
            </a:ext>
            <a:ext uri="{147F2762-F138-4A5C-976F-8EAC2B608ADB}">
              <a16:predDERef xmlns:a16="http://schemas.microsoft.com/office/drawing/2014/main" pred="{C95C4AAE-E55C-4332-B7C5-D1FBAEA0415C}"/>
            </a:ext>
          </a:extLst>
        </xdr:cNvPr>
        <xdr:cNvSpPr/>
      </xdr:nvSpPr>
      <xdr:spPr>
        <a:xfrm>
          <a:off x="19948525" y="1593850"/>
          <a:ext cx="1479550" cy="22860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本番移行・</a:t>
          </a:r>
        </a:p>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初期流動</a:t>
          </a:r>
        </a:p>
      </xdr:txBody>
    </xdr:sp>
    <xdr:clientData/>
  </xdr:twoCellAnchor>
  <xdr:twoCellAnchor>
    <xdr:from>
      <xdr:col>33</xdr:col>
      <xdr:colOff>200025</xdr:colOff>
      <xdr:row>4</xdr:row>
      <xdr:rowOff>276225</xdr:rowOff>
    </xdr:from>
    <xdr:to>
      <xdr:col>36</xdr:col>
      <xdr:colOff>457200</xdr:colOff>
      <xdr:row>6</xdr:row>
      <xdr:rowOff>9525</xdr:rowOff>
    </xdr:to>
    <xdr:sp macro="" textlink="">
      <xdr:nvSpPr>
        <xdr:cNvPr id="27" name="五角形 26">
          <a:extLst>
            <a:ext uri="{FF2B5EF4-FFF2-40B4-BE49-F238E27FC236}">
              <a16:creationId xmlns:a16="http://schemas.microsoft.com/office/drawing/2014/main" id="{7A4CC7A3-37C8-4389-8A73-8C18045C17D4}"/>
            </a:ext>
            <a:ext uri="{147F2762-F138-4A5C-976F-8EAC2B608ADB}">
              <a16:predDERef xmlns:a16="http://schemas.microsoft.com/office/drawing/2014/main" pred="{236D222F-948C-4D61-B445-C8B89F217513}"/>
            </a:ext>
          </a:extLst>
        </xdr:cNvPr>
        <xdr:cNvSpPr/>
      </xdr:nvSpPr>
      <xdr:spPr>
        <a:xfrm>
          <a:off x="18192750" y="3876675"/>
          <a:ext cx="1771650" cy="257175"/>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テスト</a:t>
          </a:r>
        </a:p>
      </xdr:txBody>
    </xdr:sp>
    <xdr:clientData/>
  </xdr:twoCellAnchor>
  <xdr:twoCellAnchor>
    <xdr:from>
      <xdr:col>32</xdr:col>
      <xdr:colOff>0</xdr:colOff>
      <xdr:row>5</xdr:row>
      <xdr:rowOff>0</xdr:rowOff>
    </xdr:from>
    <xdr:to>
      <xdr:col>33</xdr:col>
      <xdr:colOff>180975</xdr:colOff>
      <xdr:row>6</xdr:row>
      <xdr:rowOff>0</xdr:rowOff>
    </xdr:to>
    <xdr:sp macro="" textlink="">
      <xdr:nvSpPr>
        <xdr:cNvPr id="28" name="五角形 27">
          <a:extLst>
            <a:ext uri="{FF2B5EF4-FFF2-40B4-BE49-F238E27FC236}">
              <a16:creationId xmlns:a16="http://schemas.microsoft.com/office/drawing/2014/main" id="{93E79E9A-AC97-4026-A3D5-D377E9EF8D7E}"/>
            </a:ext>
            <a:ext uri="{147F2762-F138-4A5C-976F-8EAC2B608ADB}">
              <a16:predDERef xmlns:a16="http://schemas.microsoft.com/office/drawing/2014/main" pred="{7A4CC7A3-37C8-4389-8A73-8C18045C17D4}"/>
            </a:ext>
          </a:extLst>
        </xdr:cNvPr>
        <xdr:cNvSpPr/>
      </xdr:nvSpPr>
      <xdr:spPr>
        <a:xfrm>
          <a:off x="17487900" y="3886200"/>
          <a:ext cx="685800" cy="238125"/>
        </a:xfrm>
        <a:prstGeom prst="homePlate">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製造</a:t>
          </a:r>
        </a:p>
      </xdr:txBody>
    </xdr:sp>
    <xdr:clientData/>
  </xdr:twoCellAnchor>
  <xdr:twoCellAnchor>
    <xdr:from>
      <xdr:col>31</xdr:col>
      <xdr:colOff>28575</xdr:colOff>
      <xdr:row>5</xdr:row>
      <xdr:rowOff>0</xdr:rowOff>
    </xdr:from>
    <xdr:to>
      <xdr:col>32</xdr:col>
      <xdr:colOff>28575</xdr:colOff>
      <xdr:row>6</xdr:row>
      <xdr:rowOff>47625</xdr:rowOff>
    </xdr:to>
    <xdr:sp macro="" textlink="">
      <xdr:nvSpPr>
        <xdr:cNvPr id="30" name="五角形 29">
          <a:extLst>
            <a:ext uri="{FF2B5EF4-FFF2-40B4-BE49-F238E27FC236}">
              <a16:creationId xmlns:a16="http://schemas.microsoft.com/office/drawing/2014/main" id="{330ECDA5-6994-4B41-8DCB-40FE7BC4236C}"/>
            </a:ext>
            <a:ext uri="{147F2762-F138-4A5C-976F-8EAC2B608ADB}">
              <a16:predDERef xmlns:a16="http://schemas.microsoft.com/office/drawing/2014/main" pred="{93E79E9A-AC97-4026-A3D5-D377E9EF8D7E}"/>
            </a:ext>
          </a:extLst>
        </xdr:cNvPr>
        <xdr:cNvSpPr/>
      </xdr:nvSpPr>
      <xdr:spPr>
        <a:xfrm>
          <a:off x="17011650" y="3886200"/>
          <a:ext cx="504825" cy="28575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設計</a:t>
          </a:r>
        </a:p>
      </xdr:txBody>
    </xdr:sp>
    <xdr:clientData/>
  </xdr:twoCellAnchor>
  <xdr:twoCellAnchor>
    <xdr:from>
      <xdr:col>30</xdr:col>
      <xdr:colOff>0</xdr:colOff>
      <xdr:row>5</xdr:row>
      <xdr:rowOff>0</xdr:rowOff>
    </xdr:from>
    <xdr:to>
      <xdr:col>31</xdr:col>
      <xdr:colOff>28575</xdr:colOff>
      <xdr:row>6</xdr:row>
      <xdr:rowOff>47625</xdr:rowOff>
    </xdr:to>
    <xdr:sp macro="" textlink="">
      <xdr:nvSpPr>
        <xdr:cNvPr id="31" name="五角形 30">
          <a:extLst>
            <a:ext uri="{FF2B5EF4-FFF2-40B4-BE49-F238E27FC236}">
              <a16:creationId xmlns:a16="http://schemas.microsoft.com/office/drawing/2014/main" id="{0FA1BF52-BF95-4C03-B9E3-F17E7F190481}"/>
            </a:ext>
            <a:ext uri="{147F2762-F138-4A5C-976F-8EAC2B608ADB}">
              <a16:predDERef xmlns:a16="http://schemas.microsoft.com/office/drawing/2014/main" pred="{330ECDA5-6994-4B41-8DCB-40FE7BC4236C}"/>
            </a:ext>
          </a:extLst>
        </xdr:cNvPr>
        <xdr:cNvSpPr/>
      </xdr:nvSpPr>
      <xdr:spPr>
        <a:xfrm>
          <a:off x="16478250" y="3886200"/>
          <a:ext cx="533400" cy="28575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要件定義</a:t>
          </a:r>
        </a:p>
      </xdr:txBody>
    </xdr:sp>
    <xdr:clientData/>
  </xdr:twoCellAnchor>
  <xdr:twoCellAnchor>
    <xdr:from>
      <xdr:col>11</xdr:col>
      <xdr:colOff>158751</xdr:colOff>
      <xdr:row>3</xdr:row>
      <xdr:rowOff>215900</xdr:rowOff>
    </xdr:from>
    <xdr:to>
      <xdr:col>11</xdr:col>
      <xdr:colOff>254000</xdr:colOff>
      <xdr:row>5</xdr:row>
      <xdr:rowOff>12700</xdr:rowOff>
    </xdr:to>
    <xdr:sp macro="" textlink="">
      <xdr:nvSpPr>
        <xdr:cNvPr id="32" name="五角形 31">
          <a:extLst>
            <a:ext uri="{FF2B5EF4-FFF2-40B4-BE49-F238E27FC236}">
              <a16:creationId xmlns:a16="http://schemas.microsoft.com/office/drawing/2014/main" id="{3D08BA9F-8F28-4AE6-BBA3-248A410DF1DB}"/>
            </a:ext>
            <a:ext uri="{147F2762-F138-4A5C-976F-8EAC2B608ADB}">
              <a16:predDERef xmlns:a16="http://schemas.microsoft.com/office/drawing/2014/main" pred="{0FA1BF52-BF95-4C03-B9E3-F17E7F190481}"/>
            </a:ext>
          </a:extLst>
        </xdr:cNvPr>
        <xdr:cNvSpPr/>
      </xdr:nvSpPr>
      <xdr:spPr>
        <a:xfrm>
          <a:off x="9055101" y="901700"/>
          <a:ext cx="95249" cy="25400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本番移行・</a:t>
          </a:r>
        </a:p>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初期流動</a:t>
          </a:r>
        </a:p>
      </xdr:txBody>
    </xdr:sp>
    <xdr:clientData/>
  </xdr:twoCellAnchor>
  <xdr:twoCellAnchor>
    <xdr:from>
      <xdr:col>12</xdr:col>
      <xdr:colOff>158751</xdr:colOff>
      <xdr:row>4</xdr:row>
      <xdr:rowOff>209550</xdr:rowOff>
    </xdr:from>
    <xdr:to>
      <xdr:col>12</xdr:col>
      <xdr:colOff>254000</xdr:colOff>
      <xdr:row>6</xdr:row>
      <xdr:rowOff>6350</xdr:rowOff>
    </xdr:to>
    <xdr:sp macro="" textlink="">
      <xdr:nvSpPr>
        <xdr:cNvPr id="33" name="五角形 31">
          <a:extLst>
            <a:ext uri="{FF2B5EF4-FFF2-40B4-BE49-F238E27FC236}">
              <a16:creationId xmlns:a16="http://schemas.microsoft.com/office/drawing/2014/main" id="{3D08BA9F-8F28-4AE6-BBA3-248A410DF1DB}"/>
            </a:ext>
            <a:ext uri="{147F2762-F138-4A5C-976F-8EAC2B608ADB}">
              <a16:predDERef xmlns:a16="http://schemas.microsoft.com/office/drawing/2014/main" pred="{0FA1BF52-BF95-4C03-B9E3-F17E7F190481}"/>
            </a:ext>
          </a:extLst>
        </xdr:cNvPr>
        <xdr:cNvSpPr/>
      </xdr:nvSpPr>
      <xdr:spPr>
        <a:xfrm>
          <a:off x="9556751" y="1123950"/>
          <a:ext cx="95249" cy="25400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本番移行・</a:t>
          </a:r>
        </a:p>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初期流動</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285749</xdr:colOff>
      <xdr:row>20</xdr:row>
      <xdr:rowOff>71437</xdr:rowOff>
    </xdr:from>
    <xdr:to>
      <xdr:col>22</xdr:col>
      <xdr:colOff>21167</xdr:colOff>
      <xdr:row>29</xdr:row>
      <xdr:rowOff>11906</xdr:rowOff>
    </xdr:to>
    <xdr:sp macro="" textlink="">
      <xdr:nvSpPr>
        <xdr:cNvPr id="6" name="正方形/長方形 5">
          <a:extLst>
            <a:ext uri="{FF2B5EF4-FFF2-40B4-BE49-F238E27FC236}">
              <a16:creationId xmlns:a16="http://schemas.microsoft.com/office/drawing/2014/main" id="{00000000-0008-0000-0200-000006000000}"/>
            </a:ext>
          </a:extLst>
        </xdr:cNvPr>
        <xdr:cNvSpPr/>
      </xdr:nvSpPr>
      <xdr:spPr>
        <a:xfrm>
          <a:off x="285749" y="3458104"/>
          <a:ext cx="13239751" cy="1464469"/>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297657</xdr:colOff>
      <xdr:row>29</xdr:row>
      <xdr:rowOff>11906</xdr:rowOff>
    </xdr:from>
    <xdr:to>
      <xdr:col>16</xdr:col>
      <xdr:colOff>369095</xdr:colOff>
      <xdr:row>37</xdr:row>
      <xdr:rowOff>11906</xdr:rowOff>
    </xdr:to>
    <xdr:sp macro="" textlink="">
      <xdr:nvSpPr>
        <xdr:cNvPr id="3" name="正方形/長方形 2">
          <a:extLst>
            <a:ext uri="{FF2B5EF4-FFF2-40B4-BE49-F238E27FC236}">
              <a16:creationId xmlns:a16="http://schemas.microsoft.com/office/drawing/2014/main" id="{00000000-0008-0000-0200-000003000000}"/>
            </a:ext>
          </a:extLst>
        </xdr:cNvPr>
        <xdr:cNvSpPr/>
      </xdr:nvSpPr>
      <xdr:spPr>
        <a:xfrm>
          <a:off x="297657" y="4469606"/>
          <a:ext cx="10129838" cy="1320800"/>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285750</xdr:colOff>
      <xdr:row>29</xdr:row>
      <xdr:rowOff>-1</xdr:rowOff>
    </xdr:from>
    <xdr:to>
      <xdr:col>13</xdr:col>
      <xdr:colOff>476249</xdr:colOff>
      <xdr:row>53</xdr:row>
      <xdr:rowOff>11906</xdr:rowOff>
    </xdr:to>
    <xdr:sp macro="" textlink="">
      <xdr:nvSpPr>
        <xdr:cNvPr id="4" name="正方形/長方形 3">
          <a:extLst>
            <a:ext uri="{FF2B5EF4-FFF2-40B4-BE49-F238E27FC236}">
              <a16:creationId xmlns:a16="http://schemas.microsoft.com/office/drawing/2014/main" id="{00000000-0008-0000-0200-000004000000}"/>
            </a:ext>
          </a:extLst>
        </xdr:cNvPr>
        <xdr:cNvSpPr/>
      </xdr:nvSpPr>
      <xdr:spPr>
        <a:xfrm>
          <a:off x="285750" y="4457699"/>
          <a:ext cx="8362949" cy="397430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297656</xdr:colOff>
      <xdr:row>5</xdr:row>
      <xdr:rowOff>0</xdr:rowOff>
    </xdr:from>
    <xdr:to>
      <xdr:col>22</xdr:col>
      <xdr:colOff>10584</xdr:colOff>
      <xdr:row>21</xdr:row>
      <xdr:rowOff>11906</xdr:rowOff>
    </xdr:to>
    <xdr:sp macro="" textlink="">
      <xdr:nvSpPr>
        <xdr:cNvPr id="2" name="正方形/長方形 1">
          <a:extLst>
            <a:ext uri="{FF2B5EF4-FFF2-40B4-BE49-F238E27FC236}">
              <a16:creationId xmlns:a16="http://schemas.microsoft.com/office/drawing/2014/main" id="{00000000-0008-0000-0200-000002000000}"/>
            </a:ext>
          </a:extLst>
        </xdr:cNvPr>
        <xdr:cNvSpPr/>
      </xdr:nvSpPr>
      <xdr:spPr>
        <a:xfrm>
          <a:off x="2752989" y="846667"/>
          <a:ext cx="10761928" cy="2721239"/>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11906</xdr:colOff>
      <xdr:row>45</xdr:row>
      <xdr:rowOff>0</xdr:rowOff>
    </xdr:from>
    <xdr:to>
      <xdr:col>14</xdr:col>
      <xdr:colOff>357187</xdr:colOff>
      <xdr:row>53</xdr:row>
      <xdr:rowOff>0</xdr:rowOff>
    </xdr:to>
    <xdr:sp macro="" textlink="">
      <xdr:nvSpPr>
        <xdr:cNvPr id="5" name="正方形/長方形 4">
          <a:extLst>
            <a:ext uri="{FF2B5EF4-FFF2-40B4-BE49-F238E27FC236}">
              <a16:creationId xmlns:a16="http://schemas.microsoft.com/office/drawing/2014/main" id="{00000000-0008-0000-0200-000005000000}"/>
            </a:ext>
          </a:extLst>
        </xdr:cNvPr>
        <xdr:cNvSpPr/>
      </xdr:nvSpPr>
      <xdr:spPr>
        <a:xfrm>
          <a:off x="5669756" y="7099300"/>
          <a:ext cx="3488531" cy="1320800"/>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371474</xdr:colOff>
      <xdr:row>7</xdr:row>
      <xdr:rowOff>9525</xdr:rowOff>
    </xdr:from>
    <xdr:to>
      <xdr:col>16</xdr:col>
      <xdr:colOff>361949</xdr:colOff>
      <xdr:row>22</xdr:row>
      <xdr:rowOff>161924</xdr:rowOff>
    </xdr:to>
    <xdr:sp macro="" textlink="">
      <xdr:nvSpPr>
        <xdr:cNvPr id="7" name="正方形/長方形 6">
          <a:extLst>
            <a:ext uri="{FF2B5EF4-FFF2-40B4-BE49-F238E27FC236}">
              <a16:creationId xmlns:a16="http://schemas.microsoft.com/office/drawing/2014/main" id="{00000000-0008-0000-0200-000007000000}"/>
            </a:ext>
          </a:extLst>
        </xdr:cNvPr>
        <xdr:cNvSpPr/>
      </xdr:nvSpPr>
      <xdr:spPr>
        <a:xfrm>
          <a:off x="6029324" y="835025"/>
          <a:ext cx="4391025" cy="2628899"/>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p>
      </xdr:txBody>
    </xdr:sp>
    <xdr:clientData/>
  </xdr:twoCellAnchor>
  <xdr:twoCellAnchor>
    <xdr:from>
      <xdr:col>5</xdr:col>
      <xdr:colOff>0</xdr:colOff>
      <xdr:row>6</xdr:row>
      <xdr:rowOff>0</xdr:rowOff>
    </xdr:from>
    <xdr:to>
      <xdr:col>8</xdr:col>
      <xdr:colOff>0</xdr:colOff>
      <xdr:row>12</xdr:row>
      <xdr:rowOff>0</xdr:rowOff>
    </xdr:to>
    <xdr:sp macro="" textlink="">
      <xdr:nvSpPr>
        <xdr:cNvPr id="8" name="正方形/長方形 7">
          <a:extLst>
            <a:ext uri="{FF2B5EF4-FFF2-40B4-BE49-F238E27FC236}">
              <a16:creationId xmlns:a16="http://schemas.microsoft.com/office/drawing/2014/main" id="{00000000-0008-0000-0200-000008000000}"/>
            </a:ext>
          </a:extLst>
        </xdr:cNvPr>
        <xdr:cNvSpPr/>
      </xdr:nvSpPr>
      <xdr:spPr>
        <a:xfrm>
          <a:off x="3143250" y="660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0</xdr:colOff>
      <xdr:row>14</xdr:row>
      <xdr:rowOff>0</xdr:rowOff>
    </xdr:from>
    <xdr:to>
      <xdr:col>8</xdr:col>
      <xdr:colOff>0</xdr:colOff>
      <xdr:row>20</xdr:row>
      <xdr:rowOff>0</xdr:rowOff>
    </xdr:to>
    <xdr:sp macro="" textlink="">
      <xdr:nvSpPr>
        <xdr:cNvPr id="9" name="正方形/長方形 8">
          <a:extLst>
            <a:ext uri="{FF2B5EF4-FFF2-40B4-BE49-F238E27FC236}">
              <a16:creationId xmlns:a16="http://schemas.microsoft.com/office/drawing/2014/main" id="{00000000-0008-0000-0200-000009000000}"/>
            </a:ext>
          </a:extLst>
        </xdr:cNvPr>
        <xdr:cNvSpPr/>
      </xdr:nvSpPr>
      <xdr:spPr>
        <a:xfrm>
          <a:off x="3143250" y="19812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SAP</a:t>
          </a:r>
          <a:r>
            <a:rPr kumimoji="1" lang="ja-JP" altLang="ja-JP" sz="1100">
              <a:solidFill>
                <a:sysClr val="windowText" lastClr="000000"/>
              </a:solidFill>
              <a:effectLst/>
              <a:latin typeface="+mn-lt"/>
              <a:ea typeface="+mn-ea"/>
              <a:cs typeface="+mn-cs"/>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0</xdr:colOff>
      <xdr:row>30</xdr:row>
      <xdr:rowOff>0</xdr:rowOff>
    </xdr:from>
    <xdr:to>
      <xdr:col>8</xdr:col>
      <xdr:colOff>0</xdr:colOff>
      <xdr:row>36</xdr:row>
      <xdr:rowOff>0</xdr:rowOff>
    </xdr:to>
    <xdr:sp macro="" textlink="">
      <xdr:nvSpPr>
        <xdr:cNvPr id="10" name="正方形/長方形 9">
          <a:extLst>
            <a:ext uri="{FF2B5EF4-FFF2-40B4-BE49-F238E27FC236}">
              <a16:creationId xmlns:a16="http://schemas.microsoft.com/office/drawing/2014/main" id="{00000000-0008-0000-0200-00000A000000}"/>
            </a:ext>
          </a:extLst>
        </xdr:cNvPr>
        <xdr:cNvSpPr/>
      </xdr:nvSpPr>
      <xdr:spPr>
        <a:xfrm>
          <a:off x="3143250" y="46228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AP/DB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150.92.14.110</a:t>
          </a:r>
        </a:p>
        <a:p>
          <a:pPr algn="l"/>
          <a:r>
            <a:rPr kumimoji="1" lang="ja-JP" altLang="en-US" sz="800">
              <a:solidFill>
                <a:sysClr val="windowText" lastClr="000000"/>
              </a:solidFill>
            </a:rPr>
            <a:t>・製品倉庫システム</a:t>
          </a:r>
          <a:endParaRPr kumimoji="1" lang="en-US" altLang="ja-JP" sz="800">
            <a:solidFill>
              <a:sysClr val="windowText" lastClr="000000"/>
            </a:solidFill>
          </a:endParaRPr>
        </a:p>
        <a:p>
          <a:pPr algn="l"/>
          <a:r>
            <a:rPr kumimoji="1" lang="ja-JP" altLang="en-US" sz="800">
              <a:solidFill>
                <a:sysClr val="windowText" lastClr="000000"/>
              </a:solidFill>
            </a:rPr>
            <a:t>・</a:t>
          </a:r>
          <a:r>
            <a:rPr kumimoji="1" lang="en-US" altLang="ja-JP" sz="800">
              <a:solidFill>
                <a:sysClr val="windowText" lastClr="000000"/>
              </a:solidFill>
            </a:rPr>
            <a:t>ABC</a:t>
          </a:r>
          <a:r>
            <a:rPr kumimoji="1" lang="ja-JP" altLang="en-US" sz="800">
              <a:solidFill>
                <a:sysClr val="windowText" lastClr="000000"/>
              </a:solidFill>
            </a:rPr>
            <a:t>数量実績</a:t>
          </a:r>
          <a:endParaRPr kumimoji="1" lang="en-US" altLang="ja-JP" sz="8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800">
              <a:solidFill>
                <a:sysClr val="windowText" lastClr="000000"/>
              </a:solidFill>
              <a:effectLst/>
              <a:latin typeface="+mn-lt"/>
              <a:ea typeface="+mn-ea"/>
              <a:cs typeface="+mn-cs"/>
            </a:rPr>
            <a:t>・数量確定ポリマー</a:t>
          </a:r>
          <a:endParaRPr lang="ja-JP" altLang="ja-JP" sz="800">
            <a:solidFill>
              <a:sysClr val="windowText" lastClr="000000"/>
            </a:solidFill>
            <a:effectLst/>
          </a:endParaRPr>
        </a:p>
        <a:p>
          <a:pPr algn="l"/>
          <a:endParaRPr kumimoji="1" lang="ja-JP" altLang="en-US" sz="800">
            <a:solidFill>
              <a:sysClr val="windowText" lastClr="000000"/>
            </a:solidFill>
          </a:endParaRPr>
        </a:p>
      </xdr:txBody>
    </xdr:sp>
    <xdr:clientData/>
  </xdr:twoCellAnchor>
  <xdr:twoCellAnchor>
    <xdr:from>
      <xdr:col>9</xdr:col>
      <xdr:colOff>0</xdr:colOff>
      <xdr:row>30</xdr:row>
      <xdr:rowOff>0</xdr:rowOff>
    </xdr:from>
    <xdr:to>
      <xdr:col>12</xdr:col>
      <xdr:colOff>0</xdr:colOff>
      <xdr:row>36</xdr:row>
      <xdr:rowOff>0</xdr:rowOff>
    </xdr:to>
    <xdr:sp macro="" textlink="">
      <xdr:nvSpPr>
        <xdr:cNvPr id="11" name="正方形/長方形 10">
          <a:extLst>
            <a:ext uri="{FF2B5EF4-FFF2-40B4-BE49-F238E27FC236}">
              <a16:creationId xmlns:a16="http://schemas.microsoft.com/office/drawing/2014/main" id="{00000000-0008-0000-0200-00000B000000}"/>
            </a:ext>
          </a:extLst>
        </xdr:cNvPr>
        <xdr:cNvSpPr/>
      </xdr:nvSpPr>
      <xdr:spPr>
        <a:xfrm>
          <a:off x="5657850" y="46228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千葉ヤード操業サーバ</a:t>
          </a:r>
          <a:endParaRPr kumimoji="1" lang="en-US" altLang="ja-JP" sz="1100">
            <a:solidFill>
              <a:sysClr val="windowText" lastClr="000000"/>
            </a:solidFill>
          </a:endParaRPr>
        </a:p>
        <a:p>
          <a:pPr algn="l"/>
          <a:r>
            <a:rPr kumimoji="1" lang="en-US" altLang="ja-JP" sz="1100">
              <a:solidFill>
                <a:sysClr val="windowText" lastClr="000000"/>
              </a:solidFill>
            </a:rPr>
            <a:t>150.92.21.226</a:t>
          </a: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7</xdr:col>
      <xdr:colOff>0</xdr:colOff>
      <xdr:row>38</xdr:row>
      <xdr:rowOff>0</xdr:rowOff>
    </xdr:from>
    <xdr:to>
      <xdr:col>10</xdr:col>
      <xdr:colOff>0</xdr:colOff>
      <xdr:row>44</xdr:row>
      <xdr:rowOff>0</xdr:rowOff>
    </xdr:to>
    <xdr:sp macro="" textlink="">
      <xdr:nvSpPr>
        <xdr:cNvPr id="12" name="正方形/長方形 11">
          <a:extLst>
            <a:ext uri="{FF2B5EF4-FFF2-40B4-BE49-F238E27FC236}">
              <a16:creationId xmlns:a16="http://schemas.microsoft.com/office/drawing/2014/main" id="{00000000-0008-0000-0200-00000C000000}"/>
            </a:ext>
          </a:extLst>
        </xdr:cNvPr>
        <xdr:cNvSpPr/>
      </xdr:nvSpPr>
      <xdr:spPr>
        <a:xfrm>
          <a:off x="4400550" y="59436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10.178.150.1</a:t>
          </a:r>
        </a:p>
        <a:p>
          <a:pPr algn="l"/>
          <a:r>
            <a:rPr kumimoji="1" lang="ja-JP" altLang="en-US" sz="1100">
              <a:solidFill>
                <a:sysClr val="windowText" lastClr="000000"/>
              </a:solidFill>
            </a:rPr>
            <a:t>・</a:t>
          </a:r>
          <a:r>
            <a:rPr kumimoji="1" lang="en-US" altLang="ja-JP" sz="1100">
              <a:solidFill>
                <a:sysClr val="windowText" lastClr="000000"/>
              </a:solidFill>
            </a:rPr>
            <a:t>L3</a:t>
          </a:r>
          <a:r>
            <a:rPr kumimoji="1" lang="ja-JP" altLang="en-US" sz="1100">
              <a:solidFill>
                <a:sysClr val="windowText" lastClr="000000"/>
              </a:solidFill>
            </a:rPr>
            <a:t>層とのファイル連携用</a:t>
          </a:r>
          <a:endParaRPr kumimoji="1" lang="en-US" altLang="ja-JP" sz="1100">
            <a:solidFill>
              <a:sysClr val="windowText" lastClr="000000"/>
            </a:solidFill>
          </a:endParaRPr>
        </a:p>
      </xdr:txBody>
    </xdr:sp>
    <xdr:clientData/>
  </xdr:twoCellAnchor>
  <xdr:twoCellAnchor>
    <xdr:from>
      <xdr:col>10</xdr:col>
      <xdr:colOff>0</xdr:colOff>
      <xdr:row>16</xdr:row>
      <xdr:rowOff>9525</xdr:rowOff>
    </xdr:from>
    <xdr:to>
      <xdr:col>13</xdr:col>
      <xdr:colOff>0</xdr:colOff>
      <xdr:row>22</xdr:row>
      <xdr:rowOff>9525</xdr:rowOff>
    </xdr:to>
    <xdr:sp macro="" textlink="">
      <xdr:nvSpPr>
        <xdr:cNvPr id="13" name="正方形/長方形 12">
          <a:extLst>
            <a:ext uri="{FF2B5EF4-FFF2-40B4-BE49-F238E27FC236}">
              <a16:creationId xmlns:a16="http://schemas.microsoft.com/office/drawing/2014/main" id="{00000000-0008-0000-0200-00000D000000}"/>
            </a:ext>
            <a:ext uri="{147F2762-F138-4A5C-976F-8EAC2B608ADB}">
              <a16:predDERef xmlns:a16="http://schemas.microsoft.com/office/drawing/2014/main" pred="{00000000-0008-0000-0200-00000C000000}"/>
            </a:ext>
          </a:extLst>
        </xdr:cNvPr>
        <xdr:cNvSpPr/>
      </xdr:nvSpPr>
      <xdr:spPr>
        <a:xfrm>
          <a:off x="6168571" y="2622096"/>
          <a:ext cx="1850572" cy="979715"/>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p>
        <a:p>
          <a:pPr algn="l"/>
          <a:endParaRPr kumimoji="1" lang="en-US" altLang="ja-JP" sz="800">
            <a:solidFill>
              <a:sysClr val="windowText" lastClr="000000"/>
            </a:solidFill>
          </a:endParaRPr>
        </a:p>
        <a:p>
          <a:pPr algn="l"/>
          <a:endParaRPr kumimoji="1" lang="ja-JP" altLang="en-US" sz="800">
            <a:solidFill>
              <a:sysClr val="windowText" lastClr="000000"/>
            </a:solidFill>
          </a:endParaRPr>
        </a:p>
      </xdr:txBody>
    </xdr:sp>
    <xdr:clientData/>
  </xdr:twoCellAnchor>
  <xdr:twoCellAnchor>
    <xdr:from>
      <xdr:col>13</xdr:col>
      <xdr:colOff>0</xdr:colOff>
      <xdr:row>16</xdr:row>
      <xdr:rowOff>0</xdr:rowOff>
    </xdr:from>
    <xdr:to>
      <xdr:col>16</xdr:col>
      <xdr:colOff>0</xdr:colOff>
      <xdr:row>22</xdr:row>
      <xdr:rowOff>0</xdr:rowOff>
    </xdr:to>
    <xdr:sp macro="" textlink="">
      <xdr:nvSpPr>
        <xdr:cNvPr id="14" name="正方形/長方形 13">
          <a:extLst>
            <a:ext uri="{FF2B5EF4-FFF2-40B4-BE49-F238E27FC236}">
              <a16:creationId xmlns:a16="http://schemas.microsoft.com/office/drawing/2014/main" id="{00000000-0008-0000-0200-00000E000000}"/>
            </a:ext>
          </a:extLst>
        </xdr:cNvPr>
        <xdr:cNvSpPr/>
      </xdr:nvSpPr>
      <xdr:spPr>
        <a:xfrm>
          <a:off x="8172450" y="2311400"/>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endParaRPr kumimoji="1" lang="ja-JP" altLang="en-US" sz="800">
            <a:solidFill>
              <a:sysClr val="windowText" lastClr="000000"/>
            </a:solidFill>
          </a:endParaRPr>
        </a:p>
      </xdr:txBody>
    </xdr:sp>
    <xdr:clientData/>
  </xdr:twoCellAnchor>
  <xdr:twoCellAnchor>
    <xdr:from>
      <xdr:col>1</xdr:col>
      <xdr:colOff>0</xdr:colOff>
      <xdr:row>14</xdr:row>
      <xdr:rowOff>0</xdr:rowOff>
    </xdr:from>
    <xdr:to>
      <xdr:col>4</xdr:col>
      <xdr:colOff>0</xdr:colOff>
      <xdr:row>20</xdr:row>
      <xdr:rowOff>0</xdr:rowOff>
    </xdr:to>
    <xdr:sp macro="" textlink="">
      <xdr:nvSpPr>
        <xdr:cNvPr id="15" name="正方形/長方形 14">
          <a:extLst>
            <a:ext uri="{FF2B5EF4-FFF2-40B4-BE49-F238E27FC236}">
              <a16:creationId xmlns:a16="http://schemas.microsoft.com/office/drawing/2014/main" id="{00000000-0008-0000-0200-00000F000000}"/>
            </a:ext>
          </a:extLst>
        </xdr:cNvPr>
        <xdr:cNvSpPr/>
      </xdr:nvSpPr>
      <xdr:spPr>
        <a:xfrm>
          <a:off x="628650" y="19812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HULFT</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10.180.0.54</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p>
        <a:p>
          <a:pPr algn="l"/>
          <a:endParaRPr kumimoji="1" lang="ja-JP" altLang="en-US" sz="1100">
            <a:solidFill>
              <a:sysClr val="windowText" lastClr="000000"/>
            </a:solidFill>
          </a:endParaRPr>
        </a:p>
      </xdr:txBody>
    </xdr:sp>
    <xdr:clientData/>
  </xdr:twoCellAnchor>
  <xdr:twoCellAnchor>
    <xdr:from>
      <xdr:col>1</xdr:col>
      <xdr:colOff>0</xdr:colOff>
      <xdr:row>6</xdr:row>
      <xdr:rowOff>0</xdr:rowOff>
    </xdr:from>
    <xdr:to>
      <xdr:col>4</xdr:col>
      <xdr:colOff>0</xdr:colOff>
      <xdr:row>12</xdr:row>
      <xdr:rowOff>0</xdr:rowOff>
    </xdr:to>
    <xdr:sp macro="" textlink="">
      <xdr:nvSpPr>
        <xdr:cNvPr id="16" name="正方形/長方形 15">
          <a:extLst>
            <a:ext uri="{FF2B5EF4-FFF2-40B4-BE49-F238E27FC236}">
              <a16:creationId xmlns:a16="http://schemas.microsoft.com/office/drawing/2014/main" id="{00000000-0008-0000-0200-000010000000}"/>
            </a:ext>
          </a:extLst>
        </xdr:cNvPr>
        <xdr:cNvSpPr/>
      </xdr:nvSpPr>
      <xdr:spPr>
        <a:xfrm>
          <a:off x="628650" y="660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OneSAP</a:t>
          </a:r>
        </a:p>
        <a:p>
          <a:pPr algn="l"/>
          <a:endParaRPr kumimoji="1" lang="ja-JP" altLang="en-US" sz="1100">
            <a:solidFill>
              <a:sysClr val="windowText" lastClr="000000"/>
            </a:solidFill>
          </a:endParaRPr>
        </a:p>
      </xdr:txBody>
    </xdr:sp>
    <xdr:clientData/>
  </xdr:twoCellAnchor>
  <xdr:twoCellAnchor>
    <xdr:from>
      <xdr:col>7</xdr:col>
      <xdr:colOff>0</xdr:colOff>
      <xdr:row>46</xdr:row>
      <xdr:rowOff>0</xdr:rowOff>
    </xdr:from>
    <xdr:to>
      <xdr:col>10</xdr:col>
      <xdr:colOff>0</xdr:colOff>
      <xdr:row>52</xdr:row>
      <xdr:rowOff>0</xdr:rowOff>
    </xdr:to>
    <xdr:sp macro="" textlink="">
      <xdr:nvSpPr>
        <xdr:cNvPr id="17" name="正方形/長方形 16">
          <a:extLst>
            <a:ext uri="{FF2B5EF4-FFF2-40B4-BE49-F238E27FC236}">
              <a16:creationId xmlns:a16="http://schemas.microsoft.com/office/drawing/2014/main" id="{00000000-0008-0000-0200-000011000000}"/>
            </a:ext>
          </a:extLst>
        </xdr:cNvPr>
        <xdr:cNvSpPr/>
      </xdr:nvSpPr>
      <xdr:spPr>
        <a:xfrm>
          <a:off x="44005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UX7000</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endParaRPr kumimoji="1" lang="en-US" altLang="ja-JP" sz="1100">
            <a:solidFill>
              <a:sysClr val="windowText" lastClr="000000"/>
            </a:solidFill>
          </a:endParaRPr>
        </a:p>
      </xdr:txBody>
    </xdr:sp>
    <xdr:clientData/>
  </xdr:twoCellAnchor>
  <xdr:twoCellAnchor>
    <xdr:from>
      <xdr:col>11</xdr:col>
      <xdr:colOff>0</xdr:colOff>
      <xdr:row>46</xdr:row>
      <xdr:rowOff>0</xdr:rowOff>
    </xdr:from>
    <xdr:to>
      <xdr:col>14</xdr:col>
      <xdr:colOff>0</xdr:colOff>
      <xdr:row>52</xdr:row>
      <xdr:rowOff>0</xdr:rowOff>
    </xdr:to>
    <xdr:sp macro="" textlink="">
      <xdr:nvSpPr>
        <xdr:cNvPr id="18" name="正方形/長方形 17">
          <a:extLst>
            <a:ext uri="{FF2B5EF4-FFF2-40B4-BE49-F238E27FC236}">
              <a16:creationId xmlns:a16="http://schemas.microsoft.com/office/drawing/2014/main" id="{00000000-0008-0000-0200-000012000000}"/>
            </a:ext>
          </a:extLst>
        </xdr:cNvPr>
        <xdr:cNvSpPr/>
      </xdr:nvSpPr>
      <xdr:spPr>
        <a:xfrm>
          <a:off x="69151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0</xdr:colOff>
      <xdr:row>46</xdr:row>
      <xdr:rowOff>0</xdr:rowOff>
    </xdr:from>
    <xdr:to>
      <xdr:col>6</xdr:col>
      <xdr:colOff>0</xdr:colOff>
      <xdr:row>52</xdr:row>
      <xdr:rowOff>0</xdr:rowOff>
    </xdr:to>
    <xdr:sp macro="" textlink="">
      <xdr:nvSpPr>
        <xdr:cNvPr id="19" name="正方形/長方形 18">
          <a:extLst>
            <a:ext uri="{FF2B5EF4-FFF2-40B4-BE49-F238E27FC236}">
              <a16:creationId xmlns:a16="http://schemas.microsoft.com/office/drawing/2014/main" id="{00000000-0008-0000-0200-000013000000}"/>
            </a:ext>
          </a:extLst>
        </xdr:cNvPr>
        <xdr:cNvSpPr/>
      </xdr:nvSpPr>
      <xdr:spPr>
        <a:xfrm>
          <a:off x="18859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TCM</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p>
      </xdr:txBody>
    </xdr:sp>
    <xdr:clientData/>
  </xdr:twoCellAnchor>
  <xdr:twoCellAnchor>
    <xdr:from>
      <xdr:col>2</xdr:col>
      <xdr:colOff>342900</xdr:colOff>
      <xdr:row>12</xdr:row>
      <xdr:rowOff>0</xdr:rowOff>
    </xdr:from>
    <xdr:to>
      <xdr:col>2</xdr:col>
      <xdr:colOff>342900</xdr:colOff>
      <xdr:row>14</xdr:row>
      <xdr:rowOff>0</xdr:rowOff>
    </xdr:to>
    <xdr:cxnSp macro="">
      <xdr:nvCxnSpPr>
        <xdr:cNvPr id="20" name="直線コネクタ 19">
          <a:extLst>
            <a:ext uri="{FF2B5EF4-FFF2-40B4-BE49-F238E27FC236}">
              <a16:creationId xmlns:a16="http://schemas.microsoft.com/office/drawing/2014/main" id="{00000000-0008-0000-0200-000014000000}"/>
            </a:ext>
          </a:extLst>
        </xdr:cNvPr>
        <xdr:cNvCxnSpPr>
          <a:stCxn id="16" idx="2"/>
          <a:endCxn id="15" idx="0"/>
        </xdr:cNvCxnSpPr>
      </xdr:nvCxnSpPr>
      <xdr:spPr>
        <a:xfrm>
          <a:off x="1600200" y="16510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309563</xdr:colOff>
      <xdr:row>20</xdr:row>
      <xdr:rowOff>0</xdr:rowOff>
    </xdr:from>
    <xdr:to>
      <xdr:col>5</xdr:col>
      <xdr:colOff>0</xdr:colOff>
      <xdr:row>33</xdr:row>
      <xdr:rowOff>0</xdr:rowOff>
    </xdr:to>
    <xdr:cxnSp macro="">
      <xdr:nvCxnSpPr>
        <xdr:cNvPr id="21" name="カギ線コネクタ 20">
          <a:extLst>
            <a:ext uri="{FF2B5EF4-FFF2-40B4-BE49-F238E27FC236}">
              <a16:creationId xmlns:a16="http://schemas.microsoft.com/office/drawing/2014/main" id="{00000000-0008-0000-0200-000015000000}"/>
            </a:ext>
          </a:extLst>
        </xdr:cNvPr>
        <xdr:cNvCxnSpPr>
          <a:stCxn id="15" idx="2"/>
          <a:endCxn id="10" idx="1"/>
        </xdr:cNvCxnSpPr>
      </xdr:nvCxnSpPr>
      <xdr:spPr>
        <a:xfrm rot="16200000" flipH="1">
          <a:off x="1281907" y="3256756"/>
          <a:ext cx="2146300" cy="157638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12</xdr:row>
      <xdr:rowOff>0</xdr:rowOff>
    </xdr:from>
    <xdr:to>
      <xdr:col>6</xdr:col>
      <xdr:colOff>342900</xdr:colOff>
      <xdr:row>14</xdr:row>
      <xdr:rowOff>0</xdr:rowOff>
    </xdr:to>
    <xdr:cxnSp macro="">
      <xdr:nvCxnSpPr>
        <xdr:cNvPr id="22" name="直線コネクタ 21">
          <a:extLst>
            <a:ext uri="{FF2B5EF4-FFF2-40B4-BE49-F238E27FC236}">
              <a16:creationId xmlns:a16="http://schemas.microsoft.com/office/drawing/2014/main" id="{00000000-0008-0000-0200-000016000000}"/>
            </a:ext>
          </a:extLst>
        </xdr:cNvPr>
        <xdr:cNvCxnSpPr>
          <a:stCxn id="8" idx="2"/>
          <a:endCxn id="9" idx="0"/>
        </xdr:cNvCxnSpPr>
      </xdr:nvCxnSpPr>
      <xdr:spPr>
        <a:xfrm>
          <a:off x="4114800" y="16510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309563</xdr:colOff>
      <xdr:row>20</xdr:row>
      <xdr:rowOff>0</xdr:rowOff>
    </xdr:from>
    <xdr:to>
      <xdr:col>6</xdr:col>
      <xdr:colOff>309563</xdr:colOff>
      <xdr:row>30</xdr:row>
      <xdr:rowOff>0</xdr:rowOff>
    </xdr:to>
    <xdr:cxnSp macro="">
      <xdr:nvCxnSpPr>
        <xdr:cNvPr id="23" name="直線コネクタ 22">
          <a:extLst>
            <a:ext uri="{FF2B5EF4-FFF2-40B4-BE49-F238E27FC236}">
              <a16:creationId xmlns:a16="http://schemas.microsoft.com/office/drawing/2014/main" id="{00000000-0008-0000-0200-000017000000}"/>
            </a:ext>
          </a:extLst>
        </xdr:cNvPr>
        <xdr:cNvCxnSpPr>
          <a:stCxn id="9" idx="2"/>
          <a:endCxn id="10" idx="0"/>
        </xdr:cNvCxnSpPr>
      </xdr:nvCxnSpPr>
      <xdr:spPr>
        <a:xfrm>
          <a:off x="4081463" y="2971800"/>
          <a:ext cx="0" cy="16510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333375</xdr:colOff>
      <xdr:row>19</xdr:row>
      <xdr:rowOff>47624</xdr:rowOff>
    </xdr:from>
    <xdr:to>
      <xdr:col>10</xdr:col>
      <xdr:colOff>345282</xdr:colOff>
      <xdr:row>30</xdr:row>
      <xdr:rowOff>0</xdr:rowOff>
    </xdr:to>
    <xdr:cxnSp macro="">
      <xdr:nvCxnSpPr>
        <xdr:cNvPr id="24" name="カギ線コネクタ 23">
          <a:extLst>
            <a:ext uri="{FF2B5EF4-FFF2-40B4-BE49-F238E27FC236}">
              <a16:creationId xmlns:a16="http://schemas.microsoft.com/office/drawing/2014/main" id="{00000000-0008-0000-0200-000018000000}"/>
            </a:ext>
          </a:extLst>
        </xdr:cNvPr>
        <xdr:cNvCxnSpPr>
          <a:endCxn id="11" idx="0"/>
        </xdr:cNvCxnSpPr>
      </xdr:nvCxnSpPr>
      <xdr:spPr>
        <a:xfrm rot="16200000" flipH="1">
          <a:off x="5112941" y="3103958"/>
          <a:ext cx="1768476" cy="1269207"/>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342900</xdr:colOff>
      <xdr:row>36</xdr:row>
      <xdr:rowOff>0</xdr:rowOff>
    </xdr:from>
    <xdr:to>
      <xdr:col>10</xdr:col>
      <xdr:colOff>342900</xdr:colOff>
      <xdr:row>38</xdr:row>
      <xdr:rowOff>0</xdr:rowOff>
    </xdr:to>
    <xdr:cxnSp macro="">
      <xdr:nvCxnSpPr>
        <xdr:cNvPr id="25" name="カギ線コネクタ 24">
          <a:extLst>
            <a:ext uri="{FF2B5EF4-FFF2-40B4-BE49-F238E27FC236}">
              <a16:creationId xmlns:a16="http://schemas.microsoft.com/office/drawing/2014/main" id="{00000000-0008-0000-0200-000019000000}"/>
            </a:ext>
          </a:extLst>
        </xdr:cNvPr>
        <xdr:cNvCxnSpPr>
          <a:stCxn id="11" idx="2"/>
          <a:endCxn id="12" idx="0"/>
        </xdr:cNvCxnSpPr>
      </xdr:nvCxnSpPr>
      <xdr:spPr>
        <a:xfrm rot="5400000">
          <a:off x="5835650" y="5149850"/>
          <a:ext cx="330200" cy="1257300"/>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36</xdr:row>
      <xdr:rowOff>0</xdr:rowOff>
    </xdr:from>
    <xdr:to>
      <xdr:col>7</xdr:col>
      <xdr:colOff>0</xdr:colOff>
      <xdr:row>41</xdr:row>
      <xdr:rowOff>0</xdr:rowOff>
    </xdr:to>
    <xdr:cxnSp macro="">
      <xdr:nvCxnSpPr>
        <xdr:cNvPr id="26" name="カギ線コネクタ 25">
          <a:extLst>
            <a:ext uri="{FF2B5EF4-FFF2-40B4-BE49-F238E27FC236}">
              <a16:creationId xmlns:a16="http://schemas.microsoft.com/office/drawing/2014/main" id="{00000000-0008-0000-0200-00001A000000}"/>
            </a:ext>
          </a:extLst>
        </xdr:cNvPr>
        <xdr:cNvCxnSpPr>
          <a:stCxn id="10" idx="2"/>
          <a:endCxn id="12" idx="1"/>
        </xdr:cNvCxnSpPr>
      </xdr:nvCxnSpPr>
      <xdr:spPr>
        <a:xfrm rot="16200000" flipH="1">
          <a:off x="3844925" y="5883275"/>
          <a:ext cx="825500" cy="285750"/>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342900</xdr:colOff>
      <xdr:row>44</xdr:row>
      <xdr:rowOff>0</xdr:rowOff>
    </xdr:from>
    <xdr:to>
      <xdr:col>8</xdr:col>
      <xdr:colOff>342900</xdr:colOff>
      <xdr:row>46</xdr:row>
      <xdr:rowOff>0</xdr:rowOff>
    </xdr:to>
    <xdr:cxnSp macro="">
      <xdr:nvCxnSpPr>
        <xdr:cNvPr id="27" name="カギ線コネクタ 26">
          <a:extLst>
            <a:ext uri="{FF2B5EF4-FFF2-40B4-BE49-F238E27FC236}">
              <a16:creationId xmlns:a16="http://schemas.microsoft.com/office/drawing/2014/main" id="{00000000-0008-0000-0200-00001B000000}"/>
            </a:ext>
          </a:extLst>
        </xdr:cNvPr>
        <xdr:cNvCxnSpPr>
          <a:stCxn id="12" idx="2"/>
          <a:endCxn id="19" idx="0"/>
        </xdr:cNvCxnSpPr>
      </xdr:nvCxnSpPr>
      <xdr:spPr>
        <a:xfrm rot="5400000">
          <a:off x="3949700" y="5842000"/>
          <a:ext cx="330200" cy="2514600"/>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342900</xdr:colOff>
      <xdr:row>44</xdr:row>
      <xdr:rowOff>0</xdr:rowOff>
    </xdr:from>
    <xdr:to>
      <xdr:col>12</xdr:col>
      <xdr:colOff>342900</xdr:colOff>
      <xdr:row>46</xdr:row>
      <xdr:rowOff>0</xdr:rowOff>
    </xdr:to>
    <xdr:cxnSp macro="">
      <xdr:nvCxnSpPr>
        <xdr:cNvPr id="28" name="カギ線コネクタ 27">
          <a:extLst>
            <a:ext uri="{FF2B5EF4-FFF2-40B4-BE49-F238E27FC236}">
              <a16:creationId xmlns:a16="http://schemas.microsoft.com/office/drawing/2014/main" id="{00000000-0008-0000-0200-00001C000000}"/>
            </a:ext>
          </a:extLst>
        </xdr:cNvPr>
        <xdr:cNvCxnSpPr>
          <a:stCxn id="12" idx="2"/>
          <a:endCxn id="18" idx="0"/>
        </xdr:cNvCxnSpPr>
      </xdr:nvCxnSpPr>
      <xdr:spPr>
        <a:xfrm rot="16200000" flipH="1">
          <a:off x="6464300" y="5842000"/>
          <a:ext cx="330200" cy="2514600"/>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342900</xdr:colOff>
      <xdr:row>44</xdr:row>
      <xdr:rowOff>0</xdr:rowOff>
    </xdr:from>
    <xdr:to>
      <xdr:col>8</xdr:col>
      <xdr:colOff>342900</xdr:colOff>
      <xdr:row>46</xdr:row>
      <xdr:rowOff>0</xdr:rowOff>
    </xdr:to>
    <xdr:cxnSp macro="">
      <xdr:nvCxnSpPr>
        <xdr:cNvPr id="29" name="直線コネクタ 28">
          <a:extLst>
            <a:ext uri="{FF2B5EF4-FFF2-40B4-BE49-F238E27FC236}">
              <a16:creationId xmlns:a16="http://schemas.microsoft.com/office/drawing/2014/main" id="{00000000-0008-0000-0200-00001D000000}"/>
            </a:ext>
          </a:extLst>
        </xdr:cNvPr>
        <xdr:cNvCxnSpPr>
          <a:stCxn id="12" idx="2"/>
          <a:endCxn id="17" idx="0"/>
        </xdr:cNvCxnSpPr>
      </xdr:nvCxnSpPr>
      <xdr:spPr>
        <a:xfrm>
          <a:off x="5372100" y="69342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15</xdr:row>
      <xdr:rowOff>9525</xdr:rowOff>
    </xdr:from>
    <xdr:to>
      <xdr:col>10</xdr:col>
      <xdr:colOff>19050</xdr:colOff>
      <xdr:row>15</xdr:row>
      <xdr:rowOff>9525</xdr:rowOff>
    </xdr:to>
    <xdr:cxnSp macro="">
      <xdr:nvCxnSpPr>
        <xdr:cNvPr id="30" name="直線コネクタ 29">
          <a:extLst>
            <a:ext uri="{FF2B5EF4-FFF2-40B4-BE49-F238E27FC236}">
              <a16:creationId xmlns:a16="http://schemas.microsoft.com/office/drawing/2014/main" id="{00000000-0008-0000-0200-00001E000000}"/>
            </a:ext>
          </a:extLst>
        </xdr:cNvPr>
        <xdr:cNvCxnSpPr/>
      </xdr:nvCxnSpPr>
      <xdr:spPr>
        <a:xfrm>
          <a:off x="5029200" y="2155825"/>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23814</xdr:colOff>
      <xdr:row>38</xdr:row>
      <xdr:rowOff>0</xdr:rowOff>
    </xdr:from>
    <xdr:to>
      <xdr:col>17</xdr:col>
      <xdr:colOff>23813</xdr:colOff>
      <xdr:row>44</xdr:row>
      <xdr:rowOff>0</xdr:rowOff>
    </xdr:to>
    <xdr:sp macro="" textlink="">
      <xdr:nvSpPr>
        <xdr:cNvPr id="31" name="正方形/長方形 30">
          <a:extLst>
            <a:ext uri="{FF2B5EF4-FFF2-40B4-BE49-F238E27FC236}">
              <a16:creationId xmlns:a16="http://schemas.microsoft.com/office/drawing/2014/main" id="{00000000-0008-0000-0200-00001F000000}"/>
            </a:ext>
          </a:extLst>
        </xdr:cNvPr>
        <xdr:cNvSpPr/>
      </xdr:nvSpPr>
      <xdr:spPr>
        <a:xfrm>
          <a:off x="8824914" y="5943600"/>
          <a:ext cx="1885949"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データ取込元</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データ書込み先</a:t>
          </a:r>
        </a:p>
      </xdr:txBody>
    </xdr:sp>
    <xdr:clientData/>
  </xdr:twoCellAnchor>
  <xdr:twoCellAnchor>
    <xdr:from>
      <xdr:col>11</xdr:col>
      <xdr:colOff>323417</xdr:colOff>
      <xdr:row>35</xdr:row>
      <xdr:rowOff>146971</xdr:rowOff>
    </xdr:from>
    <xdr:to>
      <xdr:col>15</xdr:col>
      <xdr:colOff>365847</xdr:colOff>
      <xdr:row>38</xdr:row>
      <xdr:rowOff>0</xdr:rowOff>
    </xdr:to>
    <xdr:cxnSp macro="">
      <xdr:nvCxnSpPr>
        <xdr:cNvPr id="32" name="カギ線コネクタ 31">
          <a:extLst>
            <a:ext uri="{FF2B5EF4-FFF2-40B4-BE49-F238E27FC236}">
              <a16:creationId xmlns:a16="http://schemas.microsoft.com/office/drawing/2014/main" id="{00000000-0008-0000-0200-000020000000}"/>
            </a:ext>
          </a:extLst>
        </xdr:cNvPr>
        <xdr:cNvCxnSpPr>
          <a:endCxn id="31" idx="0"/>
        </xdr:cNvCxnSpPr>
      </xdr:nvCxnSpPr>
      <xdr:spPr>
        <a:xfrm rot="16200000" flipH="1">
          <a:off x="8342917" y="4490921"/>
          <a:ext cx="348329" cy="2557030"/>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345280</xdr:colOff>
      <xdr:row>10</xdr:row>
      <xdr:rowOff>0</xdr:rowOff>
    </xdr:from>
    <xdr:to>
      <xdr:col>17</xdr:col>
      <xdr:colOff>23812</xdr:colOff>
      <xdr:row>41</xdr:row>
      <xdr:rowOff>0</xdr:rowOff>
    </xdr:to>
    <xdr:cxnSp macro="">
      <xdr:nvCxnSpPr>
        <xdr:cNvPr id="33" name="カギ線コネクタ 32">
          <a:extLst>
            <a:ext uri="{FF2B5EF4-FFF2-40B4-BE49-F238E27FC236}">
              <a16:creationId xmlns:a16="http://schemas.microsoft.com/office/drawing/2014/main" id="{00000000-0008-0000-0200-000021000000}"/>
            </a:ext>
          </a:extLst>
        </xdr:cNvPr>
        <xdr:cNvCxnSpPr>
          <a:stCxn id="35" idx="0"/>
          <a:endCxn id="31" idx="3"/>
        </xdr:cNvCxnSpPr>
      </xdr:nvCxnSpPr>
      <xdr:spPr>
        <a:xfrm rot="16200000" flipH="1">
          <a:off x="6426596" y="2154634"/>
          <a:ext cx="5118100" cy="3450432"/>
        </a:xfrm>
        <a:prstGeom prst="bentConnector4">
          <a:avLst>
            <a:gd name="adj1" fmla="val -3295"/>
            <a:gd name="adj2" fmla="val 105981"/>
          </a:avLst>
        </a:prstGeom>
        <a:ln w="57150">
          <a:solidFill>
            <a:srgbClr val="00B05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5</xdr:col>
      <xdr:colOff>428624</xdr:colOff>
      <xdr:row>41</xdr:row>
      <xdr:rowOff>-1</xdr:rowOff>
    </xdr:from>
    <xdr:to>
      <xdr:col>15</xdr:col>
      <xdr:colOff>369095</xdr:colOff>
      <xdr:row>44</xdr:row>
      <xdr:rowOff>0</xdr:rowOff>
    </xdr:to>
    <xdr:cxnSp macro="">
      <xdr:nvCxnSpPr>
        <xdr:cNvPr id="34" name="カギ線コネクタ 33">
          <a:extLst>
            <a:ext uri="{FF2B5EF4-FFF2-40B4-BE49-F238E27FC236}">
              <a16:creationId xmlns:a16="http://schemas.microsoft.com/office/drawing/2014/main" id="{00000000-0008-0000-0200-000022000000}"/>
            </a:ext>
          </a:extLst>
        </xdr:cNvPr>
        <xdr:cNvCxnSpPr>
          <a:endCxn id="31" idx="2"/>
        </xdr:cNvCxnSpPr>
      </xdr:nvCxnSpPr>
      <xdr:spPr>
        <a:xfrm>
          <a:off x="3571874" y="6438899"/>
          <a:ext cx="6226971" cy="495301"/>
        </a:xfrm>
        <a:prstGeom prst="bentConnector4">
          <a:avLst>
            <a:gd name="adj1" fmla="val -38608"/>
            <a:gd name="adj2" fmla="val 426666"/>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10</xdr:row>
      <xdr:rowOff>0</xdr:rowOff>
    </xdr:from>
    <xdr:to>
      <xdr:col>13</xdr:col>
      <xdr:colOff>0</xdr:colOff>
      <xdr:row>16</xdr:row>
      <xdr:rowOff>0</xdr:rowOff>
    </xdr:to>
    <xdr:sp macro="" textlink="">
      <xdr:nvSpPr>
        <xdr:cNvPr id="35" name="正方形/長方形 34">
          <a:extLst>
            <a:ext uri="{FF2B5EF4-FFF2-40B4-BE49-F238E27FC236}">
              <a16:creationId xmlns:a16="http://schemas.microsoft.com/office/drawing/2014/main" id="{00000000-0008-0000-0200-000023000000}"/>
            </a:ext>
          </a:extLst>
        </xdr:cNvPr>
        <xdr:cNvSpPr/>
      </xdr:nvSpPr>
      <xdr:spPr>
        <a:xfrm>
          <a:off x="6286500" y="1320800"/>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endParaRPr kumimoji="1" lang="en-US" altLang="ja-JP" sz="800">
            <a:solidFill>
              <a:sysClr val="windowText" lastClr="000000"/>
            </a:solidFill>
          </a:endParaRP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endParaRPr kumimoji="1" lang="en-US" altLang="ja-JP" sz="800">
            <a:solidFill>
              <a:sysClr val="windowText" lastClr="000000"/>
            </a:solidFill>
          </a:endParaRPr>
        </a:p>
        <a:p>
          <a:pPr algn="l"/>
          <a:r>
            <a:rPr kumimoji="1" lang="ja-JP" altLang="en-US" sz="800">
              <a:solidFill>
                <a:sysClr val="windowText" lastClr="000000"/>
              </a:solidFill>
            </a:rPr>
            <a:t>・用役管理システム</a:t>
          </a:r>
          <a:endParaRPr kumimoji="1" lang="en-US" altLang="ja-JP" sz="800">
            <a:solidFill>
              <a:sysClr val="windowText" lastClr="000000"/>
            </a:solidFill>
          </a:endParaRPr>
        </a:p>
      </xdr:txBody>
    </xdr:sp>
    <xdr:clientData/>
  </xdr:twoCellAnchor>
  <xdr:twoCellAnchor>
    <xdr:from>
      <xdr:col>13</xdr:col>
      <xdr:colOff>0</xdr:colOff>
      <xdr:row>10</xdr:row>
      <xdr:rowOff>0</xdr:rowOff>
    </xdr:from>
    <xdr:to>
      <xdr:col>16</xdr:col>
      <xdr:colOff>0</xdr:colOff>
      <xdr:row>16</xdr:row>
      <xdr:rowOff>0</xdr:rowOff>
    </xdr:to>
    <xdr:sp macro="" textlink="">
      <xdr:nvSpPr>
        <xdr:cNvPr id="36" name="正方形/長方形 35">
          <a:extLst>
            <a:ext uri="{FF2B5EF4-FFF2-40B4-BE49-F238E27FC236}">
              <a16:creationId xmlns:a16="http://schemas.microsoft.com/office/drawing/2014/main" id="{00000000-0008-0000-0200-000024000000}"/>
            </a:ext>
          </a:extLst>
        </xdr:cNvPr>
        <xdr:cNvSpPr/>
      </xdr:nvSpPr>
      <xdr:spPr>
        <a:xfrm>
          <a:off x="8172450" y="1320800"/>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p>
        <a:p>
          <a:pPr algn="l"/>
          <a:endParaRPr kumimoji="1" lang="ja-JP" altLang="en-US" sz="800">
            <a:solidFill>
              <a:sysClr val="windowText" lastClr="000000"/>
            </a:solidFill>
          </a:endParaRPr>
        </a:p>
      </xdr:txBody>
    </xdr:sp>
    <xdr:clientData/>
  </xdr:twoCellAnchor>
  <xdr:twoCellAnchor>
    <xdr:from>
      <xdr:col>11</xdr:col>
      <xdr:colOff>119066</xdr:colOff>
      <xdr:row>22</xdr:row>
      <xdr:rowOff>35719</xdr:rowOff>
    </xdr:from>
    <xdr:to>
      <xdr:col>12</xdr:col>
      <xdr:colOff>4</xdr:colOff>
      <xdr:row>25</xdr:row>
      <xdr:rowOff>137585</xdr:rowOff>
    </xdr:to>
    <xdr:cxnSp macro="">
      <xdr:nvCxnSpPr>
        <xdr:cNvPr id="37" name="カギ線コネクタ 36">
          <a:extLst>
            <a:ext uri="{FF2B5EF4-FFF2-40B4-BE49-F238E27FC236}">
              <a16:creationId xmlns:a16="http://schemas.microsoft.com/office/drawing/2014/main" id="{00000000-0008-0000-0200-000025000000}"/>
            </a:ext>
          </a:extLst>
        </xdr:cNvPr>
        <xdr:cNvCxnSpPr>
          <a:stCxn id="38" idx="1"/>
        </xdr:cNvCxnSpPr>
      </xdr:nvCxnSpPr>
      <xdr:spPr>
        <a:xfrm rot="10800000">
          <a:off x="6987649" y="3761052"/>
          <a:ext cx="505355" cy="609866"/>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xdr:colOff>
      <xdr:row>25</xdr:row>
      <xdr:rowOff>2</xdr:rowOff>
    </xdr:from>
    <xdr:to>
      <xdr:col>15</xdr:col>
      <xdr:colOff>116417</xdr:colOff>
      <xdr:row>26</xdr:row>
      <xdr:rowOff>105833</xdr:rowOff>
    </xdr:to>
    <xdr:sp macro="" textlink="">
      <xdr:nvSpPr>
        <xdr:cNvPr id="38" name="正方形/長方形 37">
          <a:extLst>
            <a:ext uri="{FF2B5EF4-FFF2-40B4-BE49-F238E27FC236}">
              <a16:creationId xmlns:a16="http://schemas.microsoft.com/office/drawing/2014/main" id="{00000000-0008-0000-0200-000026000000}"/>
            </a:ext>
          </a:extLst>
        </xdr:cNvPr>
        <xdr:cNvSpPr/>
      </xdr:nvSpPr>
      <xdr:spPr>
        <a:xfrm>
          <a:off x="7493003" y="4233335"/>
          <a:ext cx="1989664" cy="275165"/>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IRIS</a:t>
          </a:r>
          <a:r>
            <a:rPr kumimoji="1" lang="ja-JP" altLang="en-US" sz="1100">
              <a:solidFill>
                <a:sysClr val="windowText" lastClr="000000"/>
              </a:solidFill>
            </a:rPr>
            <a:t>操業品質管理</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xdr:txBody>
    </xdr:sp>
    <xdr:clientData/>
  </xdr:twoCellAnchor>
  <xdr:twoCellAnchor>
    <xdr:from>
      <xdr:col>1</xdr:col>
      <xdr:colOff>9525</xdr:colOff>
      <xdr:row>0</xdr:row>
      <xdr:rowOff>92869</xdr:rowOff>
    </xdr:from>
    <xdr:to>
      <xdr:col>2</xdr:col>
      <xdr:colOff>9525</xdr:colOff>
      <xdr:row>0</xdr:row>
      <xdr:rowOff>92869</xdr:rowOff>
    </xdr:to>
    <xdr:cxnSp macro="">
      <xdr:nvCxnSpPr>
        <xdr:cNvPr id="39" name="直線コネクタ 38">
          <a:extLst>
            <a:ext uri="{FF2B5EF4-FFF2-40B4-BE49-F238E27FC236}">
              <a16:creationId xmlns:a16="http://schemas.microsoft.com/office/drawing/2014/main" id="{00000000-0008-0000-0200-000027000000}"/>
            </a:ext>
          </a:extLst>
        </xdr:cNvPr>
        <xdr:cNvCxnSpPr/>
      </xdr:nvCxnSpPr>
      <xdr:spPr>
        <a:xfrm>
          <a:off x="638175" y="92869"/>
          <a:ext cx="6286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1</xdr:row>
      <xdr:rowOff>92869</xdr:rowOff>
    </xdr:from>
    <xdr:to>
      <xdr:col>2</xdr:col>
      <xdr:colOff>9525</xdr:colOff>
      <xdr:row>1</xdr:row>
      <xdr:rowOff>92869</xdr:rowOff>
    </xdr:to>
    <xdr:cxnSp macro="">
      <xdr:nvCxnSpPr>
        <xdr:cNvPr id="40" name="直線コネクタ 39">
          <a:extLst>
            <a:ext uri="{FF2B5EF4-FFF2-40B4-BE49-F238E27FC236}">
              <a16:creationId xmlns:a16="http://schemas.microsoft.com/office/drawing/2014/main" id="{00000000-0008-0000-0200-000028000000}"/>
            </a:ext>
          </a:extLst>
        </xdr:cNvPr>
        <xdr:cNvCxnSpPr/>
      </xdr:nvCxnSpPr>
      <xdr:spPr>
        <a:xfrm>
          <a:off x="638175" y="257969"/>
          <a:ext cx="628650"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171450</xdr:colOff>
      <xdr:row>24</xdr:row>
      <xdr:rowOff>19050</xdr:rowOff>
    </xdr:from>
    <xdr:to>
      <xdr:col>2</xdr:col>
      <xdr:colOff>171450</xdr:colOff>
      <xdr:row>25</xdr:row>
      <xdr:rowOff>133351</xdr:rowOff>
    </xdr:to>
    <xdr:cxnSp macro="">
      <xdr:nvCxnSpPr>
        <xdr:cNvPr id="41" name="直線矢印コネクタ 40">
          <a:extLst>
            <a:ext uri="{FF2B5EF4-FFF2-40B4-BE49-F238E27FC236}">
              <a16:creationId xmlns:a16="http://schemas.microsoft.com/office/drawing/2014/main" id="{00000000-0008-0000-0200-000029000000}"/>
            </a:ext>
          </a:extLst>
        </xdr:cNvPr>
        <xdr:cNvCxnSpPr/>
      </xdr:nvCxnSpPr>
      <xdr:spPr>
        <a:xfrm flipV="1">
          <a:off x="1428750" y="36512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497681</xdr:colOff>
      <xdr:row>25</xdr:row>
      <xdr:rowOff>90488</xdr:rowOff>
    </xdr:from>
    <xdr:to>
      <xdr:col>9</xdr:col>
      <xdr:colOff>173831</xdr:colOff>
      <xdr:row>25</xdr:row>
      <xdr:rowOff>90489</xdr:rowOff>
    </xdr:to>
    <xdr:cxnSp macro="">
      <xdr:nvCxnSpPr>
        <xdr:cNvPr id="42" name="直線矢印コネクタ 41">
          <a:extLst>
            <a:ext uri="{FF2B5EF4-FFF2-40B4-BE49-F238E27FC236}">
              <a16:creationId xmlns:a16="http://schemas.microsoft.com/office/drawing/2014/main" id="{00000000-0008-0000-0200-00002A000000}"/>
            </a:ext>
          </a:extLst>
        </xdr:cNvPr>
        <xdr:cNvCxnSpPr/>
      </xdr:nvCxnSpPr>
      <xdr:spPr>
        <a:xfrm flipH="1">
          <a:off x="5526881" y="3887788"/>
          <a:ext cx="30480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200025</xdr:colOff>
      <xdr:row>37</xdr:row>
      <xdr:rowOff>28575</xdr:rowOff>
    </xdr:from>
    <xdr:to>
      <xdr:col>6</xdr:col>
      <xdr:colOff>200025</xdr:colOff>
      <xdr:row>38</xdr:row>
      <xdr:rowOff>142876</xdr:rowOff>
    </xdr:to>
    <xdr:cxnSp macro="">
      <xdr:nvCxnSpPr>
        <xdr:cNvPr id="43" name="直線矢印コネクタ 42">
          <a:extLst>
            <a:ext uri="{FF2B5EF4-FFF2-40B4-BE49-F238E27FC236}">
              <a16:creationId xmlns:a16="http://schemas.microsoft.com/office/drawing/2014/main" id="{00000000-0008-0000-0200-00002B000000}"/>
            </a:ext>
          </a:extLst>
        </xdr:cNvPr>
        <xdr:cNvCxnSpPr/>
      </xdr:nvCxnSpPr>
      <xdr:spPr>
        <a:xfrm flipV="1">
          <a:off x="3971925" y="58070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9524</xdr:colOff>
      <xdr:row>24</xdr:row>
      <xdr:rowOff>14287</xdr:rowOff>
    </xdr:from>
    <xdr:to>
      <xdr:col>11</xdr:col>
      <xdr:colOff>9524</xdr:colOff>
      <xdr:row>25</xdr:row>
      <xdr:rowOff>133351</xdr:rowOff>
    </xdr:to>
    <xdr:cxnSp macro="">
      <xdr:nvCxnSpPr>
        <xdr:cNvPr id="44" name="直線矢印コネクタ 43">
          <a:extLst>
            <a:ext uri="{FF2B5EF4-FFF2-40B4-BE49-F238E27FC236}">
              <a16:creationId xmlns:a16="http://schemas.microsoft.com/office/drawing/2014/main" id="{00000000-0008-0000-0200-00002C000000}"/>
            </a:ext>
          </a:extLst>
        </xdr:cNvPr>
        <xdr:cNvCxnSpPr/>
      </xdr:nvCxnSpPr>
      <xdr:spPr>
        <a:xfrm flipV="1">
          <a:off x="6924674" y="3646487"/>
          <a:ext cx="0" cy="28416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497682</xdr:colOff>
      <xdr:row>36</xdr:row>
      <xdr:rowOff>76200</xdr:rowOff>
    </xdr:from>
    <xdr:to>
      <xdr:col>9</xdr:col>
      <xdr:colOff>173832</xdr:colOff>
      <xdr:row>36</xdr:row>
      <xdr:rowOff>76201</xdr:rowOff>
    </xdr:to>
    <xdr:cxnSp macro="">
      <xdr:nvCxnSpPr>
        <xdr:cNvPr id="45" name="直線矢印コネクタ 44">
          <a:extLst>
            <a:ext uri="{FF2B5EF4-FFF2-40B4-BE49-F238E27FC236}">
              <a16:creationId xmlns:a16="http://schemas.microsoft.com/office/drawing/2014/main" id="{00000000-0008-0000-0200-00002D000000}"/>
            </a:ext>
          </a:extLst>
        </xdr:cNvPr>
        <xdr:cNvCxnSpPr/>
      </xdr:nvCxnSpPr>
      <xdr:spPr>
        <a:xfrm flipH="1">
          <a:off x="5526882" y="5689600"/>
          <a:ext cx="30480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100012</xdr:colOff>
      <xdr:row>36</xdr:row>
      <xdr:rowOff>76200</xdr:rowOff>
    </xdr:from>
    <xdr:to>
      <xdr:col>12</xdr:col>
      <xdr:colOff>461962</xdr:colOff>
      <xdr:row>36</xdr:row>
      <xdr:rowOff>76201</xdr:rowOff>
    </xdr:to>
    <xdr:cxnSp macro="">
      <xdr:nvCxnSpPr>
        <xdr:cNvPr id="46" name="直線矢印コネクタ 45">
          <a:extLst>
            <a:ext uri="{FF2B5EF4-FFF2-40B4-BE49-F238E27FC236}">
              <a16:creationId xmlns:a16="http://schemas.microsoft.com/office/drawing/2014/main" id="{00000000-0008-0000-0200-00002E000000}"/>
            </a:ext>
          </a:extLst>
        </xdr:cNvPr>
        <xdr:cNvCxnSpPr/>
      </xdr:nvCxnSpPr>
      <xdr:spPr>
        <a:xfrm flipH="1">
          <a:off x="7643812" y="5689600"/>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176646</xdr:colOff>
      <xdr:row>44</xdr:row>
      <xdr:rowOff>162792</xdr:rowOff>
    </xdr:from>
    <xdr:to>
      <xdr:col>15</xdr:col>
      <xdr:colOff>181841</xdr:colOff>
      <xdr:row>47</xdr:row>
      <xdr:rowOff>8659</xdr:rowOff>
    </xdr:to>
    <xdr:cxnSp macro="">
      <xdr:nvCxnSpPr>
        <xdr:cNvPr id="47" name="直線矢印コネクタ 46">
          <a:extLst>
            <a:ext uri="{FF2B5EF4-FFF2-40B4-BE49-F238E27FC236}">
              <a16:creationId xmlns:a16="http://schemas.microsoft.com/office/drawing/2014/main" id="{00000000-0008-0000-0200-00002F000000}"/>
            </a:ext>
          </a:extLst>
        </xdr:cNvPr>
        <xdr:cNvCxnSpPr/>
      </xdr:nvCxnSpPr>
      <xdr:spPr>
        <a:xfrm flipH="1" flipV="1">
          <a:off x="9606396" y="7096992"/>
          <a:ext cx="5195" cy="341167"/>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190500</xdr:colOff>
      <xdr:row>24</xdr:row>
      <xdr:rowOff>19050</xdr:rowOff>
    </xdr:from>
    <xdr:to>
      <xdr:col>6</xdr:col>
      <xdr:colOff>190500</xdr:colOff>
      <xdr:row>25</xdr:row>
      <xdr:rowOff>133351</xdr:rowOff>
    </xdr:to>
    <xdr:cxnSp macro="">
      <xdr:nvCxnSpPr>
        <xdr:cNvPr id="48" name="直線矢印コネクタ 47">
          <a:extLst>
            <a:ext uri="{FF2B5EF4-FFF2-40B4-BE49-F238E27FC236}">
              <a16:creationId xmlns:a16="http://schemas.microsoft.com/office/drawing/2014/main" id="{00000000-0008-0000-0200-000030000000}"/>
            </a:ext>
          </a:extLst>
        </xdr:cNvPr>
        <xdr:cNvCxnSpPr/>
      </xdr:nvCxnSpPr>
      <xdr:spPr>
        <a:xfrm flipV="1">
          <a:off x="3962400" y="36512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333375</xdr:colOff>
      <xdr:row>8</xdr:row>
      <xdr:rowOff>76200</xdr:rowOff>
    </xdr:from>
    <xdr:to>
      <xdr:col>12</xdr:col>
      <xdr:colOff>9525</xdr:colOff>
      <xdr:row>8</xdr:row>
      <xdr:rowOff>76201</xdr:rowOff>
    </xdr:to>
    <xdr:cxnSp macro="">
      <xdr:nvCxnSpPr>
        <xdr:cNvPr id="49" name="直線矢印コネクタ 48">
          <a:extLst>
            <a:ext uri="{FF2B5EF4-FFF2-40B4-BE49-F238E27FC236}">
              <a16:creationId xmlns:a16="http://schemas.microsoft.com/office/drawing/2014/main" id="{00000000-0008-0000-0200-000031000000}"/>
            </a:ext>
          </a:extLst>
        </xdr:cNvPr>
        <xdr:cNvCxnSpPr/>
      </xdr:nvCxnSpPr>
      <xdr:spPr>
        <a:xfrm flipH="1">
          <a:off x="7248525" y="1066800"/>
          <a:ext cx="30480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18</xdr:row>
      <xdr:rowOff>0</xdr:rowOff>
    </xdr:from>
    <xdr:to>
      <xdr:col>10</xdr:col>
      <xdr:colOff>19050</xdr:colOff>
      <xdr:row>18</xdr:row>
      <xdr:rowOff>0</xdr:rowOff>
    </xdr:to>
    <xdr:cxnSp macro="">
      <xdr:nvCxnSpPr>
        <xdr:cNvPr id="50" name="直線コネクタ 49">
          <a:extLst>
            <a:ext uri="{FF2B5EF4-FFF2-40B4-BE49-F238E27FC236}">
              <a16:creationId xmlns:a16="http://schemas.microsoft.com/office/drawing/2014/main" id="{00000000-0008-0000-0200-000032000000}"/>
            </a:ext>
          </a:extLst>
        </xdr:cNvPr>
        <xdr:cNvCxnSpPr/>
      </xdr:nvCxnSpPr>
      <xdr:spPr>
        <a:xfrm>
          <a:off x="5029200" y="2641600"/>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14</xdr:row>
      <xdr:rowOff>76200</xdr:rowOff>
    </xdr:from>
    <xdr:to>
      <xdr:col>9</xdr:col>
      <xdr:colOff>171450</xdr:colOff>
      <xdr:row>14</xdr:row>
      <xdr:rowOff>76201</xdr:rowOff>
    </xdr:to>
    <xdr:cxnSp macro="">
      <xdr:nvCxnSpPr>
        <xdr:cNvPr id="51" name="直線矢印コネクタ 50">
          <a:extLst>
            <a:ext uri="{FF2B5EF4-FFF2-40B4-BE49-F238E27FC236}">
              <a16:creationId xmlns:a16="http://schemas.microsoft.com/office/drawing/2014/main" id="{00000000-0008-0000-0200-000033000000}"/>
            </a:ext>
          </a:extLst>
        </xdr:cNvPr>
        <xdr:cNvCxnSpPr/>
      </xdr:nvCxnSpPr>
      <xdr:spPr>
        <a:xfrm flipH="1">
          <a:off x="5524500" y="2057400"/>
          <a:ext cx="304800"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18</xdr:row>
      <xdr:rowOff>95250</xdr:rowOff>
    </xdr:from>
    <xdr:to>
      <xdr:col>9</xdr:col>
      <xdr:colOff>171450</xdr:colOff>
      <xdr:row>18</xdr:row>
      <xdr:rowOff>95251</xdr:rowOff>
    </xdr:to>
    <xdr:cxnSp macro="">
      <xdr:nvCxnSpPr>
        <xdr:cNvPr id="52" name="直線矢印コネクタ 51">
          <a:extLst>
            <a:ext uri="{FF2B5EF4-FFF2-40B4-BE49-F238E27FC236}">
              <a16:creationId xmlns:a16="http://schemas.microsoft.com/office/drawing/2014/main" id="{00000000-0008-0000-0200-000034000000}"/>
            </a:ext>
          </a:extLst>
        </xdr:cNvPr>
        <xdr:cNvCxnSpPr/>
      </xdr:nvCxnSpPr>
      <xdr:spPr>
        <a:xfrm flipH="1">
          <a:off x="5524500" y="2736850"/>
          <a:ext cx="304800"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190500</xdr:colOff>
      <xdr:row>12</xdr:row>
      <xdr:rowOff>28575</xdr:rowOff>
    </xdr:from>
    <xdr:to>
      <xdr:col>6</xdr:col>
      <xdr:colOff>190500</xdr:colOff>
      <xdr:row>13</xdr:row>
      <xdr:rowOff>142876</xdr:rowOff>
    </xdr:to>
    <xdr:cxnSp macro="">
      <xdr:nvCxnSpPr>
        <xdr:cNvPr id="53" name="直線矢印コネクタ 52">
          <a:extLst>
            <a:ext uri="{FF2B5EF4-FFF2-40B4-BE49-F238E27FC236}">
              <a16:creationId xmlns:a16="http://schemas.microsoft.com/office/drawing/2014/main" id="{00000000-0008-0000-0200-000035000000}"/>
            </a:ext>
          </a:extLst>
        </xdr:cNvPr>
        <xdr:cNvCxnSpPr/>
      </xdr:nvCxnSpPr>
      <xdr:spPr>
        <a:xfrm flipV="1">
          <a:off x="3962400" y="16795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171450</xdr:colOff>
      <xdr:row>12</xdr:row>
      <xdr:rowOff>19050</xdr:rowOff>
    </xdr:from>
    <xdr:to>
      <xdr:col>2</xdr:col>
      <xdr:colOff>171450</xdr:colOff>
      <xdr:row>13</xdr:row>
      <xdr:rowOff>133351</xdr:rowOff>
    </xdr:to>
    <xdr:cxnSp macro="">
      <xdr:nvCxnSpPr>
        <xdr:cNvPr id="54" name="直線矢印コネクタ 53">
          <a:extLst>
            <a:ext uri="{FF2B5EF4-FFF2-40B4-BE49-F238E27FC236}">
              <a16:creationId xmlns:a16="http://schemas.microsoft.com/office/drawing/2014/main" id="{00000000-0008-0000-0200-000036000000}"/>
            </a:ext>
          </a:extLst>
        </xdr:cNvPr>
        <xdr:cNvCxnSpPr/>
      </xdr:nvCxnSpPr>
      <xdr:spPr>
        <a:xfrm flipV="1">
          <a:off x="1428750" y="16700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190500</xdr:colOff>
      <xdr:row>44</xdr:row>
      <xdr:rowOff>28575</xdr:rowOff>
    </xdr:from>
    <xdr:to>
      <xdr:col>8</xdr:col>
      <xdr:colOff>190500</xdr:colOff>
      <xdr:row>45</xdr:row>
      <xdr:rowOff>142876</xdr:rowOff>
    </xdr:to>
    <xdr:cxnSp macro="">
      <xdr:nvCxnSpPr>
        <xdr:cNvPr id="55" name="直線矢印コネクタ 54">
          <a:extLst>
            <a:ext uri="{FF2B5EF4-FFF2-40B4-BE49-F238E27FC236}">
              <a16:creationId xmlns:a16="http://schemas.microsoft.com/office/drawing/2014/main" id="{00000000-0008-0000-0200-000037000000}"/>
            </a:ext>
          </a:extLst>
        </xdr:cNvPr>
        <xdr:cNvCxnSpPr/>
      </xdr:nvCxnSpPr>
      <xdr:spPr>
        <a:xfrm flipV="1">
          <a:off x="5219700" y="69627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171450</xdr:colOff>
      <xdr:row>44</xdr:row>
      <xdr:rowOff>76200</xdr:rowOff>
    </xdr:from>
    <xdr:to>
      <xdr:col>6</xdr:col>
      <xdr:colOff>533400</xdr:colOff>
      <xdr:row>44</xdr:row>
      <xdr:rowOff>76201</xdr:rowOff>
    </xdr:to>
    <xdr:cxnSp macro="">
      <xdr:nvCxnSpPr>
        <xdr:cNvPr id="56" name="直線矢印コネクタ 55">
          <a:extLst>
            <a:ext uri="{FF2B5EF4-FFF2-40B4-BE49-F238E27FC236}">
              <a16:creationId xmlns:a16="http://schemas.microsoft.com/office/drawing/2014/main" id="{00000000-0008-0000-0200-000038000000}"/>
            </a:ext>
          </a:extLst>
        </xdr:cNvPr>
        <xdr:cNvCxnSpPr/>
      </xdr:nvCxnSpPr>
      <xdr:spPr>
        <a:xfrm flipH="1">
          <a:off x="3943350" y="701040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161925</xdr:colOff>
      <xdr:row>44</xdr:row>
      <xdr:rowOff>76200</xdr:rowOff>
    </xdr:from>
    <xdr:to>
      <xdr:col>10</xdr:col>
      <xdr:colOff>523875</xdr:colOff>
      <xdr:row>44</xdr:row>
      <xdr:rowOff>76201</xdr:rowOff>
    </xdr:to>
    <xdr:cxnSp macro="">
      <xdr:nvCxnSpPr>
        <xdr:cNvPr id="57" name="直線矢印コネクタ 56">
          <a:extLst>
            <a:ext uri="{FF2B5EF4-FFF2-40B4-BE49-F238E27FC236}">
              <a16:creationId xmlns:a16="http://schemas.microsoft.com/office/drawing/2014/main" id="{00000000-0008-0000-0200-000039000000}"/>
            </a:ext>
          </a:extLst>
        </xdr:cNvPr>
        <xdr:cNvCxnSpPr/>
      </xdr:nvCxnSpPr>
      <xdr:spPr>
        <a:xfrm flipH="1">
          <a:off x="6448425" y="701040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280987</xdr:colOff>
      <xdr:row>33</xdr:row>
      <xdr:rowOff>130969</xdr:rowOff>
    </xdr:from>
    <xdr:to>
      <xdr:col>7</xdr:col>
      <xdr:colOff>652462</xdr:colOff>
      <xdr:row>35</xdr:row>
      <xdr:rowOff>146971</xdr:rowOff>
    </xdr:to>
    <xdr:sp macro="" textlink="">
      <xdr:nvSpPr>
        <xdr:cNvPr id="58" name="円柱 57">
          <a:extLst>
            <a:ext uri="{FF2B5EF4-FFF2-40B4-BE49-F238E27FC236}">
              <a16:creationId xmlns:a16="http://schemas.microsoft.com/office/drawing/2014/main" id="{00000000-0008-0000-0200-00003A000000}"/>
            </a:ext>
          </a:extLst>
        </xdr:cNvPr>
        <xdr:cNvSpPr/>
      </xdr:nvSpPr>
      <xdr:spPr>
        <a:xfrm>
          <a:off x="4681537" y="5249069"/>
          <a:ext cx="346075" cy="34620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15</xdr:col>
      <xdr:colOff>276225</xdr:colOff>
      <xdr:row>13</xdr:row>
      <xdr:rowOff>123825</xdr:rowOff>
    </xdr:from>
    <xdr:to>
      <xdr:col>15</xdr:col>
      <xdr:colOff>647700</xdr:colOff>
      <xdr:row>15</xdr:row>
      <xdr:rowOff>139827</xdr:rowOff>
    </xdr:to>
    <xdr:sp macro="" textlink="">
      <xdr:nvSpPr>
        <xdr:cNvPr id="59" name="円柱 58">
          <a:extLst>
            <a:ext uri="{FF2B5EF4-FFF2-40B4-BE49-F238E27FC236}">
              <a16:creationId xmlns:a16="http://schemas.microsoft.com/office/drawing/2014/main" id="{00000000-0008-0000-0200-00003B000000}"/>
            </a:ext>
          </a:extLst>
        </xdr:cNvPr>
        <xdr:cNvSpPr/>
      </xdr:nvSpPr>
      <xdr:spPr>
        <a:xfrm>
          <a:off x="9705975" y="1939925"/>
          <a:ext cx="352425" cy="346202"/>
        </a:xfrm>
        <a:prstGeom prst="can">
          <a:avLst/>
        </a:prstGeom>
        <a:gradFill>
          <a:gsLst>
            <a:gs pos="50000">
              <a:schemeClr val="bg1">
                <a:lumMod val="75000"/>
              </a:schemeClr>
            </a:gs>
            <a:gs pos="50000">
              <a:schemeClr val="bg1">
                <a:lumMod val="75000"/>
              </a:schemeClr>
            </a:gs>
            <a:gs pos="50000">
              <a:schemeClr val="accent6"/>
            </a:gs>
          </a:gsLst>
          <a:lin ang="2700000" scaled="1"/>
        </a:gra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323850</xdr:colOff>
      <xdr:row>12</xdr:row>
      <xdr:rowOff>150813</xdr:rowOff>
    </xdr:from>
    <xdr:to>
      <xdr:col>16</xdr:col>
      <xdr:colOff>314325</xdr:colOff>
      <xdr:row>30</xdr:row>
      <xdr:rowOff>8659</xdr:rowOff>
    </xdr:to>
    <xdr:grpSp>
      <xdr:nvGrpSpPr>
        <xdr:cNvPr id="60" name="グループ化 59">
          <a:extLst>
            <a:ext uri="{FF2B5EF4-FFF2-40B4-BE49-F238E27FC236}">
              <a16:creationId xmlns:a16="http://schemas.microsoft.com/office/drawing/2014/main" id="{00000000-0008-0000-0200-00003C000000}"/>
            </a:ext>
          </a:extLst>
        </xdr:cNvPr>
        <xdr:cNvGrpSpPr/>
      </xdr:nvGrpSpPr>
      <xdr:grpSpPr>
        <a:xfrm>
          <a:off x="7134225" y="2093913"/>
          <a:ext cx="3086100" cy="2772496"/>
          <a:chOff x="7867650" y="1350963"/>
          <a:chExt cx="3419475" cy="2945528"/>
        </a:xfrm>
      </xdr:grpSpPr>
      <xdr:cxnSp macro="">
        <xdr:nvCxnSpPr>
          <xdr:cNvPr id="61" name="直線コネクタ 60">
            <a:extLst>
              <a:ext uri="{FF2B5EF4-FFF2-40B4-BE49-F238E27FC236}">
                <a16:creationId xmlns:a16="http://schemas.microsoft.com/office/drawing/2014/main" id="{00000000-0008-0000-0200-00003D000000}"/>
              </a:ext>
            </a:extLst>
          </xdr:cNvPr>
          <xdr:cNvCxnSpPr>
            <a:stCxn id="36" idx="3"/>
          </xdr:cNvCxnSpPr>
        </xdr:nvCxnSpPr>
        <xdr:spPr>
          <a:xfrm>
            <a:off x="10972800" y="1371600"/>
            <a:ext cx="31432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62" name="直線コネクタ 61">
            <a:extLst>
              <a:ext uri="{FF2B5EF4-FFF2-40B4-BE49-F238E27FC236}">
                <a16:creationId xmlns:a16="http://schemas.microsoft.com/office/drawing/2014/main" id="{00000000-0008-0000-0200-00003E000000}"/>
              </a:ext>
            </a:extLst>
          </xdr:cNvPr>
          <xdr:cNvCxnSpPr/>
        </xdr:nvCxnSpPr>
        <xdr:spPr>
          <a:xfrm>
            <a:off x="11277600" y="1350963"/>
            <a:ext cx="0" cy="278765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63" name="直線コネクタ 62">
            <a:extLst>
              <a:ext uri="{FF2B5EF4-FFF2-40B4-BE49-F238E27FC236}">
                <a16:creationId xmlns:a16="http://schemas.microsoft.com/office/drawing/2014/main" id="{00000000-0008-0000-0200-00003F000000}"/>
              </a:ext>
            </a:extLst>
          </xdr:cNvPr>
          <xdr:cNvCxnSpPr/>
        </xdr:nvCxnSpPr>
        <xdr:spPr>
          <a:xfrm flipH="1">
            <a:off x="7867650" y="4114800"/>
            <a:ext cx="341947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64" name="直線コネクタ 63">
            <a:extLst>
              <a:ext uri="{FF2B5EF4-FFF2-40B4-BE49-F238E27FC236}">
                <a16:creationId xmlns:a16="http://schemas.microsoft.com/office/drawing/2014/main" id="{00000000-0008-0000-0200-000040000000}"/>
              </a:ext>
            </a:extLst>
          </xdr:cNvPr>
          <xdr:cNvCxnSpPr/>
        </xdr:nvCxnSpPr>
        <xdr:spPr>
          <a:xfrm>
            <a:off x="7867650" y="4086225"/>
            <a:ext cx="0" cy="210266"/>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14</xdr:col>
      <xdr:colOff>161925</xdr:colOff>
      <xdr:row>28</xdr:row>
      <xdr:rowOff>66675</xdr:rowOff>
    </xdr:from>
    <xdr:to>
      <xdr:col>14</xdr:col>
      <xdr:colOff>523875</xdr:colOff>
      <xdr:row>28</xdr:row>
      <xdr:rowOff>66676</xdr:rowOff>
    </xdr:to>
    <xdr:cxnSp macro="">
      <xdr:nvCxnSpPr>
        <xdr:cNvPr id="65" name="直線矢印コネクタ 64">
          <a:extLst>
            <a:ext uri="{FF2B5EF4-FFF2-40B4-BE49-F238E27FC236}">
              <a16:creationId xmlns:a16="http://schemas.microsoft.com/office/drawing/2014/main" id="{00000000-0008-0000-0200-000041000000}"/>
            </a:ext>
          </a:extLst>
        </xdr:cNvPr>
        <xdr:cNvCxnSpPr/>
      </xdr:nvCxnSpPr>
      <xdr:spPr>
        <a:xfrm flipH="1">
          <a:off x="8963025" y="4359275"/>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319090</xdr:colOff>
      <xdr:row>38</xdr:row>
      <xdr:rowOff>0</xdr:rowOff>
    </xdr:from>
    <xdr:to>
      <xdr:col>13</xdr:col>
      <xdr:colOff>321468</xdr:colOff>
      <xdr:row>43</xdr:row>
      <xdr:rowOff>154781</xdr:rowOff>
    </xdr:to>
    <xdr:sp macro="" textlink="">
      <xdr:nvSpPr>
        <xdr:cNvPr id="66" name="正方形/長方形 65">
          <a:extLst>
            <a:ext uri="{FF2B5EF4-FFF2-40B4-BE49-F238E27FC236}">
              <a16:creationId xmlns:a16="http://schemas.microsoft.com/office/drawing/2014/main" id="{00000000-0008-0000-0200-000042000000}"/>
            </a:ext>
          </a:extLst>
        </xdr:cNvPr>
        <xdr:cNvSpPr/>
      </xdr:nvSpPr>
      <xdr:spPr>
        <a:xfrm>
          <a:off x="6605590" y="5943600"/>
          <a:ext cx="1888328" cy="98028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11</xdr:col>
      <xdr:colOff>277091</xdr:colOff>
      <xdr:row>33</xdr:row>
      <xdr:rowOff>129887</xdr:rowOff>
    </xdr:from>
    <xdr:to>
      <xdr:col>11</xdr:col>
      <xdr:colOff>648566</xdr:colOff>
      <xdr:row>35</xdr:row>
      <xdr:rowOff>145889</xdr:rowOff>
    </xdr:to>
    <xdr:sp macro="" textlink="">
      <xdr:nvSpPr>
        <xdr:cNvPr id="67" name="円柱 66">
          <a:extLst>
            <a:ext uri="{FF2B5EF4-FFF2-40B4-BE49-F238E27FC236}">
              <a16:creationId xmlns:a16="http://schemas.microsoft.com/office/drawing/2014/main" id="{00000000-0008-0000-0200-000043000000}"/>
            </a:ext>
          </a:extLst>
        </xdr:cNvPr>
        <xdr:cNvSpPr/>
      </xdr:nvSpPr>
      <xdr:spPr>
        <a:xfrm>
          <a:off x="7192241" y="5247987"/>
          <a:ext cx="352425" cy="34620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35718</xdr:colOff>
      <xdr:row>36</xdr:row>
      <xdr:rowOff>0</xdr:rowOff>
    </xdr:from>
    <xdr:to>
      <xdr:col>11</xdr:col>
      <xdr:colOff>35718</xdr:colOff>
      <xdr:row>37</xdr:row>
      <xdr:rowOff>154781</xdr:rowOff>
    </xdr:to>
    <xdr:cxnSp macro="">
      <xdr:nvCxnSpPr>
        <xdr:cNvPr id="68" name="直線コネクタ 67">
          <a:extLst>
            <a:ext uri="{FF2B5EF4-FFF2-40B4-BE49-F238E27FC236}">
              <a16:creationId xmlns:a16="http://schemas.microsoft.com/office/drawing/2014/main" id="{00000000-0008-0000-0200-000044000000}"/>
            </a:ext>
          </a:extLst>
        </xdr:cNvPr>
        <xdr:cNvCxnSpPr/>
      </xdr:nvCxnSpPr>
      <xdr:spPr>
        <a:xfrm>
          <a:off x="6950868" y="5613400"/>
          <a:ext cx="0" cy="31988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581025</xdr:colOff>
      <xdr:row>36</xdr:row>
      <xdr:rowOff>16671</xdr:rowOff>
    </xdr:from>
    <xdr:to>
      <xdr:col>10</xdr:col>
      <xdr:colOff>581025</xdr:colOff>
      <xdr:row>37</xdr:row>
      <xdr:rowOff>130972</xdr:rowOff>
    </xdr:to>
    <xdr:cxnSp macro="">
      <xdr:nvCxnSpPr>
        <xdr:cNvPr id="69" name="直線矢印コネクタ 68">
          <a:extLst>
            <a:ext uri="{FF2B5EF4-FFF2-40B4-BE49-F238E27FC236}">
              <a16:creationId xmlns:a16="http://schemas.microsoft.com/office/drawing/2014/main" id="{00000000-0008-0000-0200-000045000000}"/>
            </a:ext>
          </a:extLst>
        </xdr:cNvPr>
        <xdr:cNvCxnSpPr/>
      </xdr:nvCxnSpPr>
      <xdr:spPr>
        <a:xfrm flipV="1">
          <a:off x="6867525" y="5630071"/>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416719</xdr:colOff>
      <xdr:row>35</xdr:row>
      <xdr:rowOff>154781</xdr:rowOff>
    </xdr:from>
    <xdr:to>
      <xdr:col>5</xdr:col>
      <xdr:colOff>416719</xdr:colOff>
      <xdr:row>41</xdr:row>
      <xdr:rowOff>0</xdr:rowOff>
    </xdr:to>
    <xdr:cxnSp macro="">
      <xdr:nvCxnSpPr>
        <xdr:cNvPr id="70" name="直線コネクタ 69">
          <a:extLst>
            <a:ext uri="{FF2B5EF4-FFF2-40B4-BE49-F238E27FC236}">
              <a16:creationId xmlns:a16="http://schemas.microsoft.com/office/drawing/2014/main" id="{00000000-0008-0000-0200-000046000000}"/>
            </a:ext>
          </a:extLst>
        </xdr:cNvPr>
        <xdr:cNvCxnSpPr/>
      </xdr:nvCxnSpPr>
      <xdr:spPr>
        <a:xfrm>
          <a:off x="3559969" y="5603081"/>
          <a:ext cx="0" cy="835819"/>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652462</xdr:colOff>
      <xdr:row>19</xdr:row>
      <xdr:rowOff>64293</xdr:rowOff>
    </xdr:from>
    <xdr:to>
      <xdr:col>8</xdr:col>
      <xdr:colOff>345281</xdr:colOff>
      <xdr:row>19</xdr:row>
      <xdr:rowOff>64293</xdr:rowOff>
    </xdr:to>
    <xdr:cxnSp macro="">
      <xdr:nvCxnSpPr>
        <xdr:cNvPr id="71" name="直線コネクタ 70">
          <a:extLst>
            <a:ext uri="{FF2B5EF4-FFF2-40B4-BE49-F238E27FC236}">
              <a16:creationId xmlns:a16="http://schemas.microsoft.com/office/drawing/2014/main" id="{00000000-0008-0000-0200-000047000000}"/>
            </a:ext>
          </a:extLst>
        </xdr:cNvPr>
        <xdr:cNvCxnSpPr/>
      </xdr:nvCxnSpPr>
      <xdr:spPr>
        <a:xfrm>
          <a:off x="5027612" y="2870993"/>
          <a:ext cx="346869"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559592</xdr:colOff>
      <xdr:row>21</xdr:row>
      <xdr:rowOff>83344</xdr:rowOff>
    </xdr:from>
    <xdr:to>
      <xdr:col>5</xdr:col>
      <xdr:colOff>10583</xdr:colOff>
      <xdr:row>23</xdr:row>
      <xdr:rowOff>1</xdr:rowOff>
    </xdr:to>
    <xdr:sp macro="" textlink="">
      <xdr:nvSpPr>
        <xdr:cNvPr id="72" name="正方形/長方形 71">
          <a:extLst>
            <a:ext uri="{FF2B5EF4-FFF2-40B4-BE49-F238E27FC236}">
              <a16:creationId xmlns:a16="http://schemas.microsoft.com/office/drawing/2014/main" id="{00000000-0008-0000-0200-000048000000}"/>
            </a:ext>
          </a:extLst>
        </xdr:cNvPr>
        <xdr:cNvSpPr/>
      </xdr:nvSpPr>
      <xdr:spPr>
        <a:xfrm>
          <a:off x="1808425" y="3639344"/>
          <a:ext cx="1324241" cy="25532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オフラスとの連携</a:t>
          </a:r>
          <a:endParaRPr kumimoji="1" lang="en-US" altLang="ja-JP" sz="1100">
            <a:solidFill>
              <a:sysClr val="windowText" lastClr="000000"/>
            </a:solidFill>
          </a:endParaRPr>
        </a:p>
      </xdr:txBody>
    </xdr:sp>
    <xdr:clientData/>
  </xdr:twoCellAnchor>
  <xdr:twoCellAnchor>
    <xdr:from>
      <xdr:col>4</xdr:col>
      <xdr:colOff>321470</xdr:colOff>
      <xdr:row>17</xdr:row>
      <xdr:rowOff>0</xdr:rowOff>
    </xdr:from>
    <xdr:to>
      <xdr:col>5</xdr:col>
      <xdr:colOff>1</xdr:colOff>
      <xdr:row>21</xdr:row>
      <xdr:rowOff>83343</xdr:rowOff>
    </xdr:to>
    <xdr:cxnSp macro="">
      <xdr:nvCxnSpPr>
        <xdr:cNvPr id="73" name="カギ線コネクタ 72">
          <a:extLst>
            <a:ext uri="{FF2B5EF4-FFF2-40B4-BE49-F238E27FC236}">
              <a16:creationId xmlns:a16="http://schemas.microsoft.com/office/drawing/2014/main" id="{00000000-0008-0000-0200-000049000000}"/>
            </a:ext>
          </a:extLst>
        </xdr:cNvPr>
        <xdr:cNvCxnSpPr>
          <a:endCxn id="9" idx="1"/>
        </xdr:cNvCxnSpPr>
      </xdr:nvCxnSpPr>
      <xdr:spPr>
        <a:xfrm rot="5400000" flipH="1" flipV="1">
          <a:off x="2617789" y="2694781"/>
          <a:ext cx="743743" cy="307181"/>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438150</xdr:colOff>
      <xdr:row>18</xdr:row>
      <xdr:rowOff>40482</xdr:rowOff>
    </xdr:from>
    <xdr:to>
      <xdr:col>4</xdr:col>
      <xdr:colOff>438150</xdr:colOff>
      <xdr:row>19</xdr:row>
      <xdr:rowOff>154783</xdr:rowOff>
    </xdr:to>
    <xdr:cxnSp macro="">
      <xdr:nvCxnSpPr>
        <xdr:cNvPr id="74" name="直線矢印コネクタ 73">
          <a:extLst>
            <a:ext uri="{FF2B5EF4-FFF2-40B4-BE49-F238E27FC236}">
              <a16:creationId xmlns:a16="http://schemas.microsoft.com/office/drawing/2014/main" id="{00000000-0008-0000-0200-00004A000000}"/>
            </a:ext>
          </a:extLst>
        </xdr:cNvPr>
        <xdr:cNvCxnSpPr/>
      </xdr:nvCxnSpPr>
      <xdr:spPr>
        <a:xfrm flipV="1">
          <a:off x="2952750" y="2682082"/>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0</xdr:colOff>
      <xdr:row>16</xdr:row>
      <xdr:rowOff>1</xdr:rowOff>
    </xdr:from>
    <xdr:to>
      <xdr:col>21</xdr:col>
      <xdr:colOff>0</xdr:colOff>
      <xdr:row>22</xdr:row>
      <xdr:rowOff>1</xdr:rowOff>
    </xdr:to>
    <xdr:sp macro="" textlink="">
      <xdr:nvSpPr>
        <xdr:cNvPr id="226" name="正方形/長方形 225">
          <a:extLst>
            <a:ext uri="{FF2B5EF4-FFF2-40B4-BE49-F238E27FC236}">
              <a16:creationId xmlns:a16="http://schemas.microsoft.com/office/drawing/2014/main" id="{00000000-0008-0000-0200-0000E2000000}"/>
            </a:ext>
          </a:extLst>
        </xdr:cNvPr>
        <xdr:cNvSpPr/>
      </xdr:nvSpPr>
      <xdr:spPr>
        <a:xfrm>
          <a:off x="11049000" y="2709334"/>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en-US" altLang="ja-JP" sz="1100">
              <a:solidFill>
                <a:sysClr val="windowText" lastClr="000000"/>
              </a:solidFill>
            </a:rPr>
            <a:t>10.240.2.92</a:t>
          </a: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xdr:txBody>
    </xdr:sp>
    <xdr:clientData/>
  </xdr:twoCellAnchor>
  <xdr:twoCellAnchor>
    <xdr:from>
      <xdr:col>20</xdr:col>
      <xdr:colOff>247650</xdr:colOff>
      <xdr:row>19</xdr:row>
      <xdr:rowOff>123825</xdr:rowOff>
    </xdr:from>
    <xdr:to>
      <xdr:col>20</xdr:col>
      <xdr:colOff>590550</xdr:colOff>
      <xdr:row>21</xdr:row>
      <xdr:rowOff>139827</xdr:rowOff>
    </xdr:to>
    <xdr:sp macro="" textlink="">
      <xdr:nvSpPr>
        <xdr:cNvPr id="82" name="Can 81">
          <a:extLst>
            <a:ext uri="{FF2B5EF4-FFF2-40B4-BE49-F238E27FC236}">
              <a16:creationId xmlns:a16="http://schemas.microsoft.com/office/drawing/2014/main" id="{5DB3981E-A136-4BFC-AEFE-44F92EDE149A}"/>
            </a:ext>
            <a:ext uri="{147F2762-F138-4A5C-976F-8EAC2B608ADB}">
              <a16:predDERef xmlns:a16="http://schemas.microsoft.com/office/drawing/2014/main" pred="{00000000-0008-0000-0200-0000E5000000}"/>
            </a:ext>
          </a:extLst>
        </xdr:cNvPr>
        <xdr:cNvSpPr/>
      </xdr:nvSpPr>
      <xdr:spPr>
        <a:xfrm>
          <a:off x="12630150" y="3200400"/>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twoCellAnchor>
    <xdr:from>
      <xdr:col>8</xdr:col>
      <xdr:colOff>18143</xdr:colOff>
      <xdr:row>23</xdr:row>
      <xdr:rowOff>90713</xdr:rowOff>
    </xdr:from>
    <xdr:to>
      <xdr:col>10</xdr:col>
      <xdr:colOff>489858</xdr:colOff>
      <xdr:row>29</xdr:row>
      <xdr:rowOff>99785</xdr:rowOff>
    </xdr:to>
    <xdr:sp macro="" textlink="">
      <xdr:nvSpPr>
        <xdr:cNvPr id="224" name="正方形/長方形 223">
          <a:extLst>
            <a:ext uri="{FF2B5EF4-FFF2-40B4-BE49-F238E27FC236}">
              <a16:creationId xmlns:a16="http://schemas.microsoft.com/office/drawing/2014/main" id="{00000000-0008-0000-0200-0000E0000000}"/>
            </a:ext>
          </a:extLst>
        </xdr:cNvPr>
        <xdr:cNvSpPr/>
      </xdr:nvSpPr>
      <xdr:spPr>
        <a:xfrm>
          <a:off x="4953000" y="3846284"/>
          <a:ext cx="1705429" cy="988787"/>
        </a:xfrm>
        <a:prstGeom prst="rect">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7</xdr:row>
      <xdr:rowOff>0</xdr:rowOff>
    </xdr:from>
    <xdr:to>
      <xdr:col>5</xdr:col>
      <xdr:colOff>482209</xdr:colOff>
      <xdr:row>13</xdr:row>
      <xdr:rowOff>152210</xdr:rowOff>
    </xdr:to>
    <xdr:pic>
      <xdr:nvPicPr>
        <xdr:cNvPr id="2" name="図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660400" y="1600200"/>
          <a:ext cx="3123809" cy="15238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345282</xdr:colOff>
      <xdr:row>27</xdr:row>
      <xdr:rowOff>11907</xdr:rowOff>
    </xdr:from>
    <xdr:to>
      <xdr:col>8</xdr:col>
      <xdr:colOff>333376</xdr:colOff>
      <xdr:row>42</xdr:row>
      <xdr:rowOff>23813</xdr:rowOff>
    </xdr:to>
    <xdr:sp macro="" textlink="">
      <xdr:nvSpPr>
        <xdr:cNvPr id="2" name="正方形/長方形 1">
          <a:extLst>
            <a:ext uri="{FF2B5EF4-FFF2-40B4-BE49-F238E27FC236}">
              <a16:creationId xmlns:a16="http://schemas.microsoft.com/office/drawing/2014/main" id="{00000000-0008-0000-0300-000002000000}"/>
            </a:ext>
          </a:extLst>
        </xdr:cNvPr>
        <xdr:cNvSpPr/>
      </xdr:nvSpPr>
      <xdr:spPr>
        <a:xfrm>
          <a:off x="2859882" y="4469607"/>
          <a:ext cx="2502694" cy="248840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xdr:colOff>
      <xdr:row>35</xdr:row>
      <xdr:rowOff>11904</xdr:rowOff>
    </xdr:from>
    <xdr:to>
      <xdr:col>8</xdr:col>
      <xdr:colOff>333375</xdr:colOff>
      <xdr:row>51</xdr:row>
      <xdr:rowOff>11905</xdr:rowOff>
    </xdr:to>
    <xdr:sp macro="" textlink="">
      <xdr:nvSpPr>
        <xdr:cNvPr id="3" name="正方形/長方形 2">
          <a:extLst>
            <a:ext uri="{FF2B5EF4-FFF2-40B4-BE49-F238E27FC236}">
              <a16:creationId xmlns:a16="http://schemas.microsoft.com/office/drawing/2014/main" id="{00000000-0008-0000-0300-000003000000}"/>
            </a:ext>
          </a:extLst>
        </xdr:cNvPr>
        <xdr:cNvSpPr/>
      </xdr:nvSpPr>
      <xdr:spPr>
        <a:xfrm>
          <a:off x="628649" y="5790404"/>
          <a:ext cx="4733926" cy="2641601"/>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345281</xdr:colOff>
      <xdr:row>2</xdr:row>
      <xdr:rowOff>166686</xdr:rowOff>
    </xdr:from>
    <xdr:to>
      <xdr:col>22</xdr:col>
      <xdr:colOff>21167</xdr:colOff>
      <xdr:row>26</xdr:row>
      <xdr:rowOff>162982</xdr:rowOff>
    </xdr:to>
    <xdr:sp macro="" textlink="">
      <xdr:nvSpPr>
        <xdr:cNvPr id="4" name="正方形/長方形 3">
          <a:extLst>
            <a:ext uri="{FF2B5EF4-FFF2-40B4-BE49-F238E27FC236}">
              <a16:creationId xmlns:a16="http://schemas.microsoft.com/office/drawing/2014/main" id="{00000000-0008-0000-0300-000004000000}"/>
            </a:ext>
          </a:extLst>
        </xdr:cNvPr>
        <xdr:cNvSpPr/>
      </xdr:nvSpPr>
      <xdr:spPr>
        <a:xfrm>
          <a:off x="2800614" y="505353"/>
          <a:ext cx="10724886" cy="4060296"/>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0</xdr:colOff>
      <xdr:row>4</xdr:row>
      <xdr:rowOff>0</xdr:rowOff>
    </xdr:from>
    <xdr:to>
      <xdr:col>8</xdr:col>
      <xdr:colOff>0</xdr:colOff>
      <xdr:row>10</xdr:row>
      <xdr:rowOff>0</xdr:rowOff>
    </xdr:to>
    <xdr:sp macro="" textlink="">
      <xdr:nvSpPr>
        <xdr:cNvPr id="5" name="正方形/長方形 4">
          <a:extLst>
            <a:ext uri="{FF2B5EF4-FFF2-40B4-BE49-F238E27FC236}">
              <a16:creationId xmlns:a16="http://schemas.microsoft.com/office/drawing/2014/main" id="{00000000-0008-0000-0300-000005000000}"/>
            </a:ext>
          </a:extLst>
        </xdr:cNvPr>
        <xdr:cNvSpPr/>
      </xdr:nvSpPr>
      <xdr:spPr>
        <a:xfrm>
          <a:off x="3143250" y="660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0</xdr:colOff>
      <xdr:row>12</xdr:row>
      <xdr:rowOff>0</xdr:rowOff>
    </xdr:from>
    <xdr:to>
      <xdr:col>8</xdr:col>
      <xdr:colOff>0</xdr:colOff>
      <xdr:row>18</xdr:row>
      <xdr:rowOff>0</xdr:rowOff>
    </xdr:to>
    <xdr:sp macro="" textlink="">
      <xdr:nvSpPr>
        <xdr:cNvPr id="6" name="正方形/長方形 5">
          <a:extLst>
            <a:ext uri="{FF2B5EF4-FFF2-40B4-BE49-F238E27FC236}">
              <a16:creationId xmlns:a16="http://schemas.microsoft.com/office/drawing/2014/main" id="{00000000-0008-0000-0300-000006000000}"/>
            </a:ext>
          </a:extLst>
        </xdr:cNvPr>
        <xdr:cNvSpPr/>
      </xdr:nvSpPr>
      <xdr:spPr>
        <a:xfrm>
          <a:off x="3143250" y="19812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0</xdr:colOff>
      <xdr:row>28</xdr:row>
      <xdr:rowOff>0</xdr:rowOff>
    </xdr:from>
    <xdr:to>
      <xdr:col>8</xdr:col>
      <xdr:colOff>0</xdr:colOff>
      <xdr:row>34</xdr:row>
      <xdr:rowOff>0</xdr:rowOff>
    </xdr:to>
    <xdr:sp macro="" textlink="">
      <xdr:nvSpPr>
        <xdr:cNvPr id="7" name="正方形/長方形 6">
          <a:extLst>
            <a:ext uri="{FF2B5EF4-FFF2-40B4-BE49-F238E27FC236}">
              <a16:creationId xmlns:a16="http://schemas.microsoft.com/office/drawing/2014/main" id="{00000000-0008-0000-0300-000007000000}"/>
            </a:ext>
          </a:extLst>
        </xdr:cNvPr>
        <xdr:cNvSpPr/>
      </xdr:nvSpPr>
      <xdr:spPr>
        <a:xfrm>
          <a:off x="3143250" y="46228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150.92.61.16</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5</xdr:col>
      <xdr:colOff>0</xdr:colOff>
      <xdr:row>36</xdr:row>
      <xdr:rowOff>0</xdr:rowOff>
    </xdr:from>
    <xdr:to>
      <xdr:col>8</xdr:col>
      <xdr:colOff>0</xdr:colOff>
      <xdr:row>42</xdr:row>
      <xdr:rowOff>0</xdr:rowOff>
    </xdr:to>
    <xdr:sp macro="" textlink="">
      <xdr:nvSpPr>
        <xdr:cNvPr id="8" name="正方形/長方形 7">
          <a:extLst>
            <a:ext uri="{FF2B5EF4-FFF2-40B4-BE49-F238E27FC236}">
              <a16:creationId xmlns:a16="http://schemas.microsoft.com/office/drawing/2014/main" id="{00000000-0008-0000-0300-000008000000}"/>
            </a:ext>
          </a:extLst>
        </xdr:cNvPr>
        <xdr:cNvSpPr/>
      </xdr:nvSpPr>
      <xdr:spPr>
        <a:xfrm>
          <a:off x="3143250" y="59436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10.160.123.1</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L3</a:t>
          </a:r>
          <a:r>
            <a:rPr kumimoji="1" lang="ja-JP" altLang="ja-JP" sz="1100">
              <a:solidFill>
                <a:sysClr val="windowText" lastClr="000000"/>
              </a:solidFill>
              <a:effectLst/>
              <a:latin typeface="+mn-lt"/>
              <a:ea typeface="+mn-ea"/>
              <a:cs typeface="+mn-cs"/>
            </a:rPr>
            <a:t>層とのファイル連携用</a:t>
          </a:r>
          <a:endParaRPr lang="ja-JP" altLang="ja-JP">
            <a:solidFill>
              <a:sysClr val="windowText" lastClr="000000"/>
            </a:solidFill>
            <a:effectLst/>
          </a:endParaRPr>
        </a:p>
      </xdr:txBody>
    </xdr:sp>
    <xdr:clientData/>
  </xdr:twoCellAnchor>
  <xdr:twoCellAnchor>
    <xdr:from>
      <xdr:col>9</xdr:col>
      <xdr:colOff>0</xdr:colOff>
      <xdr:row>36</xdr:row>
      <xdr:rowOff>0</xdr:rowOff>
    </xdr:from>
    <xdr:to>
      <xdr:col>12</xdr:col>
      <xdr:colOff>0</xdr:colOff>
      <xdr:row>42</xdr:row>
      <xdr:rowOff>0</xdr:rowOff>
    </xdr:to>
    <xdr:sp macro="" textlink="">
      <xdr:nvSpPr>
        <xdr:cNvPr id="9" name="正方形/長方形 8">
          <a:extLst>
            <a:ext uri="{FF2B5EF4-FFF2-40B4-BE49-F238E27FC236}">
              <a16:creationId xmlns:a16="http://schemas.microsoft.com/office/drawing/2014/main" id="{00000000-0008-0000-0300-000009000000}"/>
            </a:ext>
          </a:extLst>
        </xdr:cNvPr>
        <xdr:cNvSpPr/>
      </xdr:nvSpPr>
      <xdr:spPr>
        <a:xfrm>
          <a:off x="5657850" y="59436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PHX</a:t>
          </a:r>
          <a:r>
            <a:rPr kumimoji="1" lang="ja-JP" altLang="ja-JP" sz="1100">
              <a:solidFill>
                <a:sysClr val="windowText" lastClr="000000"/>
              </a:solidFill>
              <a:effectLst/>
              <a:latin typeface="+mn-lt"/>
              <a:ea typeface="+mn-ea"/>
              <a:cs typeface="+mn-cs"/>
            </a:rPr>
            <a:t>データ取込元</a:t>
          </a:r>
          <a:endParaRPr lang="ja-JP" altLang="ja-JP">
            <a:solidFill>
              <a:sysClr val="windowText" lastClr="000000"/>
            </a:solidFill>
            <a:effectLst/>
          </a:endParaRPr>
        </a:p>
      </xdr:txBody>
    </xdr:sp>
    <xdr:clientData/>
  </xdr:twoCellAnchor>
  <xdr:twoCellAnchor>
    <xdr:from>
      <xdr:col>6</xdr:col>
      <xdr:colOff>345282</xdr:colOff>
      <xdr:row>18</xdr:row>
      <xdr:rowOff>0</xdr:rowOff>
    </xdr:from>
    <xdr:to>
      <xdr:col>6</xdr:col>
      <xdr:colOff>345282</xdr:colOff>
      <xdr:row>28</xdr:row>
      <xdr:rowOff>0</xdr:rowOff>
    </xdr:to>
    <xdr:cxnSp macro="">
      <xdr:nvCxnSpPr>
        <xdr:cNvPr id="10" name="直線コネクタ 9">
          <a:extLst>
            <a:ext uri="{FF2B5EF4-FFF2-40B4-BE49-F238E27FC236}">
              <a16:creationId xmlns:a16="http://schemas.microsoft.com/office/drawing/2014/main" id="{00000000-0008-0000-0300-00000A000000}"/>
            </a:ext>
          </a:extLst>
        </xdr:cNvPr>
        <xdr:cNvCxnSpPr>
          <a:stCxn id="6" idx="2"/>
          <a:endCxn id="7" idx="0"/>
        </xdr:cNvCxnSpPr>
      </xdr:nvCxnSpPr>
      <xdr:spPr>
        <a:xfrm>
          <a:off x="4117182" y="2971800"/>
          <a:ext cx="0" cy="16510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34</xdr:row>
      <xdr:rowOff>0</xdr:rowOff>
    </xdr:from>
    <xdr:to>
      <xdr:col>10</xdr:col>
      <xdr:colOff>342900</xdr:colOff>
      <xdr:row>36</xdr:row>
      <xdr:rowOff>0</xdr:rowOff>
    </xdr:to>
    <xdr:cxnSp macro="">
      <xdr:nvCxnSpPr>
        <xdr:cNvPr id="11" name="カギ線コネクタ 10">
          <a:extLst>
            <a:ext uri="{FF2B5EF4-FFF2-40B4-BE49-F238E27FC236}">
              <a16:creationId xmlns:a16="http://schemas.microsoft.com/office/drawing/2014/main" id="{00000000-0008-0000-0300-00000B000000}"/>
            </a:ext>
          </a:extLst>
        </xdr:cNvPr>
        <xdr:cNvCxnSpPr>
          <a:stCxn id="7" idx="2"/>
          <a:endCxn id="9" idx="0"/>
        </xdr:cNvCxnSpPr>
      </xdr:nvCxnSpPr>
      <xdr:spPr>
        <a:xfrm rot="16200000" flipH="1">
          <a:off x="5207000" y="4521200"/>
          <a:ext cx="330200" cy="2514600"/>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10</xdr:row>
      <xdr:rowOff>0</xdr:rowOff>
    </xdr:from>
    <xdr:to>
      <xdr:col>6</xdr:col>
      <xdr:colOff>342900</xdr:colOff>
      <xdr:row>12</xdr:row>
      <xdr:rowOff>0</xdr:rowOff>
    </xdr:to>
    <xdr:cxnSp macro="">
      <xdr:nvCxnSpPr>
        <xdr:cNvPr id="12" name="直線コネクタ 11">
          <a:extLst>
            <a:ext uri="{FF2B5EF4-FFF2-40B4-BE49-F238E27FC236}">
              <a16:creationId xmlns:a16="http://schemas.microsoft.com/office/drawing/2014/main" id="{00000000-0008-0000-0300-00000C000000}"/>
            </a:ext>
          </a:extLst>
        </xdr:cNvPr>
        <xdr:cNvCxnSpPr>
          <a:stCxn id="5" idx="2"/>
          <a:endCxn id="6" idx="0"/>
        </xdr:cNvCxnSpPr>
      </xdr:nvCxnSpPr>
      <xdr:spPr>
        <a:xfrm>
          <a:off x="4114800" y="16510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228600</xdr:colOff>
      <xdr:row>34</xdr:row>
      <xdr:rowOff>0</xdr:rowOff>
    </xdr:from>
    <xdr:to>
      <xdr:col>6</xdr:col>
      <xdr:colOff>228600</xdr:colOff>
      <xdr:row>36</xdr:row>
      <xdr:rowOff>0</xdr:rowOff>
    </xdr:to>
    <xdr:cxnSp macro="">
      <xdr:nvCxnSpPr>
        <xdr:cNvPr id="13" name="直線コネクタ 12">
          <a:extLst>
            <a:ext uri="{FF2B5EF4-FFF2-40B4-BE49-F238E27FC236}">
              <a16:creationId xmlns:a16="http://schemas.microsoft.com/office/drawing/2014/main" id="{00000000-0008-0000-0300-00000D000000}"/>
            </a:ext>
          </a:extLst>
        </xdr:cNvPr>
        <xdr:cNvCxnSpPr/>
      </xdr:nvCxnSpPr>
      <xdr:spPr>
        <a:xfrm>
          <a:off x="4000500" y="5613400"/>
          <a:ext cx="0" cy="330200"/>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0</xdr:row>
      <xdr:rowOff>95250</xdr:rowOff>
    </xdr:from>
    <xdr:to>
      <xdr:col>2</xdr:col>
      <xdr:colOff>9525</xdr:colOff>
      <xdr:row>0</xdr:row>
      <xdr:rowOff>95250</xdr:rowOff>
    </xdr:to>
    <xdr:cxnSp macro="">
      <xdr:nvCxnSpPr>
        <xdr:cNvPr id="14" name="直線コネクタ 13">
          <a:extLst>
            <a:ext uri="{FF2B5EF4-FFF2-40B4-BE49-F238E27FC236}">
              <a16:creationId xmlns:a16="http://schemas.microsoft.com/office/drawing/2014/main" id="{00000000-0008-0000-0300-00000E000000}"/>
            </a:ext>
          </a:extLst>
        </xdr:cNvPr>
        <xdr:cNvCxnSpPr/>
      </xdr:nvCxnSpPr>
      <xdr:spPr>
        <a:xfrm>
          <a:off x="638175" y="95250"/>
          <a:ext cx="6286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1</xdr:row>
      <xdr:rowOff>95250</xdr:rowOff>
    </xdr:from>
    <xdr:to>
      <xdr:col>2</xdr:col>
      <xdr:colOff>9525</xdr:colOff>
      <xdr:row>1</xdr:row>
      <xdr:rowOff>95250</xdr:rowOff>
    </xdr:to>
    <xdr:cxnSp macro="">
      <xdr:nvCxnSpPr>
        <xdr:cNvPr id="15" name="直線コネクタ 14">
          <a:extLst>
            <a:ext uri="{FF2B5EF4-FFF2-40B4-BE49-F238E27FC236}">
              <a16:creationId xmlns:a16="http://schemas.microsoft.com/office/drawing/2014/main" id="{00000000-0008-0000-0300-00000F000000}"/>
            </a:ext>
          </a:extLst>
        </xdr:cNvPr>
        <xdr:cNvCxnSpPr/>
      </xdr:nvCxnSpPr>
      <xdr:spPr>
        <a:xfrm>
          <a:off x="638175" y="260350"/>
          <a:ext cx="628650"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44</xdr:row>
      <xdr:rowOff>0</xdr:rowOff>
    </xdr:from>
    <xdr:to>
      <xdr:col>8</xdr:col>
      <xdr:colOff>0</xdr:colOff>
      <xdr:row>50</xdr:row>
      <xdr:rowOff>0</xdr:rowOff>
    </xdr:to>
    <xdr:sp macro="" textlink="">
      <xdr:nvSpPr>
        <xdr:cNvPr id="16" name="正方形/長方形 15">
          <a:extLst>
            <a:ext uri="{FF2B5EF4-FFF2-40B4-BE49-F238E27FC236}">
              <a16:creationId xmlns:a16="http://schemas.microsoft.com/office/drawing/2014/main" id="{00000000-0008-0000-0300-000010000000}"/>
            </a:ext>
          </a:extLst>
        </xdr:cNvPr>
        <xdr:cNvSpPr/>
      </xdr:nvSpPr>
      <xdr:spPr>
        <a:xfrm>
          <a:off x="31432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6</xdr:col>
      <xdr:colOff>342900</xdr:colOff>
      <xdr:row>42</xdr:row>
      <xdr:rowOff>0</xdr:rowOff>
    </xdr:from>
    <xdr:to>
      <xdr:col>6</xdr:col>
      <xdr:colOff>342900</xdr:colOff>
      <xdr:row>44</xdr:row>
      <xdr:rowOff>0</xdr:rowOff>
    </xdr:to>
    <xdr:cxnSp macro="">
      <xdr:nvCxnSpPr>
        <xdr:cNvPr id="17" name="直線コネクタ 16">
          <a:extLst>
            <a:ext uri="{FF2B5EF4-FFF2-40B4-BE49-F238E27FC236}">
              <a16:creationId xmlns:a16="http://schemas.microsoft.com/office/drawing/2014/main" id="{00000000-0008-0000-0300-000011000000}"/>
            </a:ext>
          </a:extLst>
        </xdr:cNvPr>
        <xdr:cNvCxnSpPr>
          <a:stCxn id="8" idx="2"/>
          <a:endCxn id="16" idx="0"/>
        </xdr:cNvCxnSpPr>
      </xdr:nvCxnSpPr>
      <xdr:spPr>
        <a:xfrm>
          <a:off x="4114800" y="6934200"/>
          <a:ext cx="0" cy="330200"/>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95250</xdr:colOff>
      <xdr:row>34</xdr:row>
      <xdr:rowOff>28575</xdr:rowOff>
    </xdr:from>
    <xdr:to>
      <xdr:col>6</xdr:col>
      <xdr:colOff>95250</xdr:colOff>
      <xdr:row>35</xdr:row>
      <xdr:rowOff>142876</xdr:rowOff>
    </xdr:to>
    <xdr:cxnSp macro="">
      <xdr:nvCxnSpPr>
        <xdr:cNvPr id="18" name="直線矢印コネクタ 17">
          <a:extLst>
            <a:ext uri="{FF2B5EF4-FFF2-40B4-BE49-F238E27FC236}">
              <a16:creationId xmlns:a16="http://schemas.microsoft.com/office/drawing/2014/main" id="{00000000-0008-0000-0300-000012000000}"/>
            </a:ext>
          </a:extLst>
        </xdr:cNvPr>
        <xdr:cNvCxnSpPr/>
      </xdr:nvCxnSpPr>
      <xdr:spPr>
        <a:xfrm flipV="1">
          <a:off x="3867150" y="56419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473866</xdr:colOff>
      <xdr:row>42</xdr:row>
      <xdr:rowOff>28575</xdr:rowOff>
    </xdr:from>
    <xdr:to>
      <xdr:col>6</xdr:col>
      <xdr:colOff>473866</xdr:colOff>
      <xdr:row>43</xdr:row>
      <xdr:rowOff>142876</xdr:rowOff>
    </xdr:to>
    <xdr:cxnSp macro="">
      <xdr:nvCxnSpPr>
        <xdr:cNvPr id="19" name="直線矢印コネクタ 18">
          <a:extLst>
            <a:ext uri="{FF2B5EF4-FFF2-40B4-BE49-F238E27FC236}">
              <a16:creationId xmlns:a16="http://schemas.microsoft.com/office/drawing/2014/main" id="{00000000-0008-0000-0300-000013000000}"/>
            </a:ext>
          </a:extLst>
        </xdr:cNvPr>
        <xdr:cNvCxnSpPr/>
      </xdr:nvCxnSpPr>
      <xdr:spPr>
        <a:xfrm flipV="1">
          <a:off x="4245766" y="69627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188119</xdr:colOff>
      <xdr:row>22</xdr:row>
      <xdr:rowOff>76200</xdr:rowOff>
    </xdr:from>
    <xdr:to>
      <xdr:col>6</xdr:col>
      <xdr:colOff>188119</xdr:colOff>
      <xdr:row>24</xdr:row>
      <xdr:rowOff>23814</xdr:rowOff>
    </xdr:to>
    <xdr:cxnSp macro="">
      <xdr:nvCxnSpPr>
        <xdr:cNvPr id="20" name="直線矢印コネクタ 19">
          <a:extLst>
            <a:ext uri="{FF2B5EF4-FFF2-40B4-BE49-F238E27FC236}">
              <a16:creationId xmlns:a16="http://schemas.microsoft.com/office/drawing/2014/main" id="{00000000-0008-0000-0300-000014000000}"/>
            </a:ext>
          </a:extLst>
        </xdr:cNvPr>
        <xdr:cNvCxnSpPr/>
      </xdr:nvCxnSpPr>
      <xdr:spPr>
        <a:xfrm flipV="1">
          <a:off x="3960019" y="3708400"/>
          <a:ext cx="0" cy="27781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133350</xdr:colOff>
      <xdr:row>34</xdr:row>
      <xdr:rowOff>76200</xdr:rowOff>
    </xdr:from>
    <xdr:to>
      <xdr:col>8</xdr:col>
      <xdr:colOff>495300</xdr:colOff>
      <xdr:row>34</xdr:row>
      <xdr:rowOff>76201</xdr:rowOff>
    </xdr:to>
    <xdr:cxnSp macro="">
      <xdr:nvCxnSpPr>
        <xdr:cNvPr id="21" name="直線矢印コネクタ 20">
          <a:extLst>
            <a:ext uri="{FF2B5EF4-FFF2-40B4-BE49-F238E27FC236}">
              <a16:creationId xmlns:a16="http://schemas.microsoft.com/office/drawing/2014/main" id="{00000000-0008-0000-0300-000015000000}"/>
            </a:ext>
          </a:extLst>
        </xdr:cNvPr>
        <xdr:cNvCxnSpPr/>
      </xdr:nvCxnSpPr>
      <xdr:spPr>
        <a:xfrm flipH="1">
          <a:off x="5162550" y="5689600"/>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188119</xdr:colOff>
      <xdr:row>10</xdr:row>
      <xdr:rowOff>19050</xdr:rowOff>
    </xdr:from>
    <xdr:to>
      <xdr:col>6</xdr:col>
      <xdr:colOff>188119</xdr:colOff>
      <xdr:row>11</xdr:row>
      <xdr:rowOff>133351</xdr:rowOff>
    </xdr:to>
    <xdr:cxnSp macro="">
      <xdr:nvCxnSpPr>
        <xdr:cNvPr id="22" name="直線矢印コネクタ 21">
          <a:extLst>
            <a:ext uri="{FF2B5EF4-FFF2-40B4-BE49-F238E27FC236}">
              <a16:creationId xmlns:a16="http://schemas.microsoft.com/office/drawing/2014/main" id="{00000000-0008-0000-0300-000016000000}"/>
            </a:ext>
          </a:extLst>
        </xdr:cNvPr>
        <xdr:cNvCxnSpPr/>
      </xdr:nvCxnSpPr>
      <xdr:spPr>
        <a:xfrm flipV="1">
          <a:off x="3960019" y="16700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392906</xdr:colOff>
      <xdr:row>30</xdr:row>
      <xdr:rowOff>50007</xdr:rowOff>
    </xdr:from>
    <xdr:to>
      <xdr:col>10</xdr:col>
      <xdr:colOff>64294</xdr:colOff>
      <xdr:row>30</xdr:row>
      <xdr:rowOff>50008</xdr:rowOff>
    </xdr:to>
    <xdr:cxnSp macro="">
      <xdr:nvCxnSpPr>
        <xdr:cNvPr id="23" name="直線矢印コネクタ 22">
          <a:extLst>
            <a:ext uri="{FF2B5EF4-FFF2-40B4-BE49-F238E27FC236}">
              <a16:creationId xmlns:a16="http://schemas.microsoft.com/office/drawing/2014/main" id="{00000000-0008-0000-0300-000017000000}"/>
            </a:ext>
          </a:extLst>
        </xdr:cNvPr>
        <xdr:cNvCxnSpPr/>
      </xdr:nvCxnSpPr>
      <xdr:spPr>
        <a:xfrm flipH="1">
          <a:off x="6050756" y="5003007"/>
          <a:ext cx="300038"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277091</xdr:colOff>
      <xdr:row>31</xdr:row>
      <xdr:rowOff>133350</xdr:rowOff>
    </xdr:from>
    <xdr:to>
      <xdr:col>7</xdr:col>
      <xdr:colOff>648566</xdr:colOff>
      <xdr:row>33</xdr:row>
      <xdr:rowOff>149352</xdr:rowOff>
    </xdr:to>
    <xdr:sp macro="" textlink="">
      <xdr:nvSpPr>
        <xdr:cNvPr id="24" name="円柱 23">
          <a:extLst>
            <a:ext uri="{FF2B5EF4-FFF2-40B4-BE49-F238E27FC236}">
              <a16:creationId xmlns:a16="http://schemas.microsoft.com/office/drawing/2014/main" id="{00000000-0008-0000-0300-000018000000}"/>
            </a:ext>
          </a:extLst>
        </xdr:cNvPr>
        <xdr:cNvSpPr/>
      </xdr:nvSpPr>
      <xdr:spPr>
        <a:xfrm>
          <a:off x="4677641" y="5251450"/>
          <a:ext cx="352425" cy="34620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380999</xdr:colOff>
      <xdr:row>5</xdr:row>
      <xdr:rowOff>95250</xdr:rowOff>
    </xdr:from>
    <xdr:to>
      <xdr:col>16</xdr:col>
      <xdr:colOff>371474</xdr:colOff>
      <xdr:row>21</xdr:row>
      <xdr:rowOff>80961</xdr:rowOff>
    </xdr:to>
    <xdr:sp macro="" textlink="">
      <xdr:nvSpPr>
        <xdr:cNvPr id="25" name="正方形/長方形 24">
          <a:extLst>
            <a:ext uri="{FF2B5EF4-FFF2-40B4-BE49-F238E27FC236}">
              <a16:creationId xmlns:a16="http://schemas.microsoft.com/office/drawing/2014/main" id="{00000000-0008-0000-0300-000019000000}"/>
            </a:ext>
          </a:extLst>
        </xdr:cNvPr>
        <xdr:cNvSpPr/>
      </xdr:nvSpPr>
      <xdr:spPr>
        <a:xfrm>
          <a:off x="6038849" y="920750"/>
          <a:ext cx="4391025" cy="262731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p>
      </xdr:txBody>
    </xdr:sp>
    <xdr:clientData/>
  </xdr:twoCellAnchor>
  <xdr:twoCellAnchor>
    <xdr:from>
      <xdr:col>10</xdr:col>
      <xdr:colOff>9525</xdr:colOff>
      <xdr:row>14</xdr:row>
      <xdr:rowOff>85725</xdr:rowOff>
    </xdr:from>
    <xdr:to>
      <xdr:col>13</xdr:col>
      <xdr:colOff>9525</xdr:colOff>
      <xdr:row>20</xdr:row>
      <xdr:rowOff>85725</xdr:rowOff>
    </xdr:to>
    <xdr:sp macro="" textlink="">
      <xdr:nvSpPr>
        <xdr:cNvPr id="26" name="正方形/長方形 25">
          <a:extLst>
            <a:ext uri="{FF2B5EF4-FFF2-40B4-BE49-F238E27FC236}">
              <a16:creationId xmlns:a16="http://schemas.microsoft.com/office/drawing/2014/main" id="{00000000-0008-0000-0300-00001A000000}"/>
            </a:ext>
          </a:extLst>
        </xdr:cNvPr>
        <xdr:cNvSpPr/>
      </xdr:nvSpPr>
      <xdr:spPr>
        <a:xfrm>
          <a:off x="6296025" y="23971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13</xdr:col>
      <xdr:colOff>9525</xdr:colOff>
      <xdr:row>14</xdr:row>
      <xdr:rowOff>85725</xdr:rowOff>
    </xdr:from>
    <xdr:to>
      <xdr:col>16</xdr:col>
      <xdr:colOff>9525</xdr:colOff>
      <xdr:row>20</xdr:row>
      <xdr:rowOff>85725</xdr:rowOff>
    </xdr:to>
    <xdr:sp macro="" textlink="">
      <xdr:nvSpPr>
        <xdr:cNvPr id="27" name="正方形/長方形 26">
          <a:extLst>
            <a:ext uri="{FF2B5EF4-FFF2-40B4-BE49-F238E27FC236}">
              <a16:creationId xmlns:a16="http://schemas.microsoft.com/office/drawing/2014/main" id="{00000000-0008-0000-0300-00001B000000}"/>
            </a:ext>
          </a:extLst>
        </xdr:cNvPr>
        <xdr:cNvSpPr/>
      </xdr:nvSpPr>
      <xdr:spPr>
        <a:xfrm>
          <a:off x="8181975" y="23971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10</xdr:col>
      <xdr:colOff>9525</xdr:colOff>
      <xdr:row>8</xdr:row>
      <xdr:rowOff>85725</xdr:rowOff>
    </xdr:from>
    <xdr:to>
      <xdr:col>13</xdr:col>
      <xdr:colOff>9525</xdr:colOff>
      <xdr:row>14</xdr:row>
      <xdr:rowOff>85725</xdr:rowOff>
    </xdr:to>
    <xdr:sp macro="" textlink="">
      <xdr:nvSpPr>
        <xdr:cNvPr id="28" name="正方形/長方形 27">
          <a:extLst>
            <a:ext uri="{FF2B5EF4-FFF2-40B4-BE49-F238E27FC236}">
              <a16:creationId xmlns:a16="http://schemas.microsoft.com/office/drawing/2014/main" id="{00000000-0008-0000-0300-00001C000000}"/>
            </a:ext>
          </a:extLst>
        </xdr:cNvPr>
        <xdr:cNvSpPr/>
      </xdr:nvSpPr>
      <xdr:spPr>
        <a:xfrm>
          <a:off x="6296025" y="14065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endParaRPr kumimoji="1" lang="en-US" altLang="ja-JP" sz="1100">
            <a:solidFill>
              <a:sysClr val="windowText" lastClr="000000"/>
            </a:solidFill>
          </a:endParaRPr>
        </a:p>
        <a:p>
          <a:pPr algn="l"/>
          <a:r>
            <a:rPr kumimoji="1" lang="ja-JP" altLang="en-US" sz="1100">
              <a:solidFill>
                <a:sysClr val="windowText" lastClr="000000"/>
              </a:solidFill>
            </a:rPr>
            <a:t>・用役管理システム</a:t>
          </a:r>
          <a:endParaRPr kumimoji="1" lang="en-US" altLang="ja-JP" sz="1100">
            <a:solidFill>
              <a:sysClr val="windowText" lastClr="000000"/>
            </a:solidFill>
          </a:endParaRPr>
        </a:p>
      </xdr:txBody>
    </xdr:sp>
    <xdr:clientData/>
  </xdr:twoCellAnchor>
  <xdr:twoCellAnchor>
    <xdr:from>
      <xdr:col>13</xdr:col>
      <xdr:colOff>9525</xdr:colOff>
      <xdr:row>8</xdr:row>
      <xdr:rowOff>85725</xdr:rowOff>
    </xdr:from>
    <xdr:to>
      <xdr:col>16</xdr:col>
      <xdr:colOff>9525</xdr:colOff>
      <xdr:row>14</xdr:row>
      <xdr:rowOff>85725</xdr:rowOff>
    </xdr:to>
    <xdr:sp macro="" textlink="">
      <xdr:nvSpPr>
        <xdr:cNvPr id="29" name="正方形/長方形 28">
          <a:extLst>
            <a:ext uri="{FF2B5EF4-FFF2-40B4-BE49-F238E27FC236}">
              <a16:creationId xmlns:a16="http://schemas.microsoft.com/office/drawing/2014/main" id="{00000000-0008-0000-0300-00001D000000}"/>
            </a:ext>
          </a:extLst>
        </xdr:cNvPr>
        <xdr:cNvSpPr/>
      </xdr:nvSpPr>
      <xdr:spPr>
        <a:xfrm>
          <a:off x="8181975" y="14065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ja-JP" altLang="en-US" sz="1100">
            <a:solidFill>
              <a:sysClr val="windowText" lastClr="000000"/>
            </a:solidFill>
          </a:endParaRPr>
        </a:p>
      </xdr:txBody>
    </xdr:sp>
    <xdr:clientData/>
  </xdr:twoCellAnchor>
  <xdr:twoCellAnchor>
    <xdr:from>
      <xdr:col>15</xdr:col>
      <xdr:colOff>285750</xdr:colOff>
      <xdr:row>12</xdr:row>
      <xdr:rowOff>42863</xdr:rowOff>
    </xdr:from>
    <xdr:to>
      <xdr:col>15</xdr:col>
      <xdr:colOff>657225</xdr:colOff>
      <xdr:row>14</xdr:row>
      <xdr:rowOff>58865</xdr:rowOff>
    </xdr:to>
    <xdr:sp macro="" textlink="">
      <xdr:nvSpPr>
        <xdr:cNvPr id="30" name="円柱 29">
          <a:extLst>
            <a:ext uri="{FF2B5EF4-FFF2-40B4-BE49-F238E27FC236}">
              <a16:creationId xmlns:a16="http://schemas.microsoft.com/office/drawing/2014/main" id="{00000000-0008-0000-0300-00001E000000}"/>
            </a:ext>
          </a:extLst>
        </xdr:cNvPr>
        <xdr:cNvSpPr/>
      </xdr:nvSpPr>
      <xdr:spPr>
        <a:xfrm>
          <a:off x="9715500" y="2024063"/>
          <a:ext cx="339725" cy="346202"/>
        </a:xfrm>
        <a:prstGeom prst="can">
          <a:avLst/>
        </a:prstGeom>
        <a:gradFill>
          <a:gsLst>
            <a:gs pos="50000">
              <a:schemeClr val="bg1">
                <a:lumMod val="75000"/>
              </a:schemeClr>
            </a:gs>
            <a:gs pos="50000">
              <a:schemeClr val="bg1">
                <a:lumMod val="75000"/>
              </a:schemeClr>
            </a:gs>
            <a:gs pos="50000">
              <a:schemeClr val="accent6"/>
            </a:gs>
          </a:gsLst>
          <a:lin ang="2700000" scaled="1"/>
        </a:gra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8</xdr:col>
      <xdr:colOff>0</xdr:colOff>
      <xdr:row>13</xdr:row>
      <xdr:rowOff>64295</xdr:rowOff>
    </xdr:from>
    <xdr:to>
      <xdr:col>10</xdr:col>
      <xdr:colOff>19050</xdr:colOff>
      <xdr:row>13</xdr:row>
      <xdr:rowOff>64295</xdr:rowOff>
    </xdr:to>
    <xdr:cxnSp macro="">
      <xdr:nvCxnSpPr>
        <xdr:cNvPr id="31" name="直線コネクタ 30">
          <a:extLst>
            <a:ext uri="{FF2B5EF4-FFF2-40B4-BE49-F238E27FC236}">
              <a16:creationId xmlns:a16="http://schemas.microsoft.com/office/drawing/2014/main" id="{00000000-0008-0000-0300-00001F000000}"/>
            </a:ext>
          </a:extLst>
        </xdr:cNvPr>
        <xdr:cNvCxnSpPr/>
      </xdr:nvCxnSpPr>
      <xdr:spPr>
        <a:xfrm>
          <a:off x="5029200" y="2210595"/>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16</xdr:row>
      <xdr:rowOff>54770</xdr:rowOff>
    </xdr:from>
    <xdr:to>
      <xdr:col>10</xdr:col>
      <xdr:colOff>19050</xdr:colOff>
      <xdr:row>16</xdr:row>
      <xdr:rowOff>54770</xdr:rowOff>
    </xdr:to>
    <xdr:cxnSp macro="">
      <xdr:nvCxnSpPr>
        <xdr:cNvPr id="32" name="直線コネクタ 31">
          <a:extLst>
            <a:ext uri="{FF2B5EF4-FFF2-40B4-BE49-F238E27FC236}">
              <a16:creationId xmlns:a16="http://schemas.microsoft.com/office/drawing/2014/main" id="{00000000-0008-0000-0300-000020000000}"/>
            </a:ext>
          </a:extLst>
        </xdr:cNvPr>
        <xdr:cNvCxnSpPr/>
      </xdr:nvCxnSpPr>
      <xdr:spPr>
        <a:xfrm>
          <a:off x="5029200" y="2696370"/>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12</xdr:row>
      <xdr:rowOff>130970</xdr:rowOff>
    </xdr:from>
    <xdr:to>
      <xdr:col>9</xdr:col>
      <xdr:colOff>171450</xdr:colOff>
      <xdr:row>12</xdr:row>
      <xdr:rowOff>130971</xdr:rowOff>
    </xdr:to>
    <xdr:cxnSp macro="">
      <xdr:nvCxnSpPr>
        <xdr:cNvPr id="33" name="直線矢印コネクタ 32">
          <a:extLst>
            <a:ext uri="{FF2B5EF4-FFF2-40B4-BE49-F238E27FC236}">
              <a16:creationId xmlns:a16="http://schemas.microsoft.com/office/drawing/2014/main" id="{00000000-0008-0000-0300-000021000000}"/>
            </a:ext>
          </a:extLst>
        </xdr:cNvPr>
        <xdr:cNvCxnSpPr/>
      </xdr:nvCxnSpPr>
      <xdr:spPr>
        <a:xfrm flipH="1">
          <a:off x="5524500" y="2112170"/>
          <a:ext cx="304800"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16</xdr:row>
      <xdr:rowOff>150020</xdr:rowOff>
    </xdr:from>
    <xdr:to>
      <xdr:col>9</xdr:col>
      <xdr:colOff>171450</xdr:colOff>
      <xdr:row>16</xdr:row>
      <xdr:rowOff>150021</xdr:rowOff>
    </xdr:to>
    <xdr:cxnSp macro="">
      <xdr:nvCxnSpPr>
        <xdr:cNvPr id="34" name="直線矢印コネクタ 33">
          <a:extLst>
            <a:ext uri="{FF2B5EF4-FFF2-40B4-BE49-F238E27FC236}">
              <a16:creationId xmlns:a16="http://schemas.microsoft.com/office/drawing/2014/main" id="{00000000-0008-0000-0300-000022000000}"/>
            </a:ext>
          </a:extLst>
        </xdr:cNvPr>
        <xdr:cNvCxnSpPr/>
      </xdr:nvCxnSpPr>
      <xdr:spPr>
        <a:xfrm flipH="1">
          <a:off x="5524500" y="2791620"/>
          <a:ext cx="304800"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11906</xdr:colOff>
      <xdr:row>28</xdr:row>
      <xdr:rowOff>11907</xdr:rowOff>
    </xdr:from>
    <xdr:to>
      <xdr:col>4</xdr:col>
      <xdr:colOff>14285</xdr:colOff>
      <xdr:row>34</xdr:row>
      <xdr:rowOff>1</xdr:rowOff>
    </xdr:to>
    <xdr:sp macro="" textlink="">
      <xdr:nvSpPr>
        <xdr:cNvPr id="35" name="正方形/長方形 34">
          <a:extLst>
            <a:ext uri="{FF2B5EF4-FFF2-40B4-BE49-F238E27FC236}">
              <a16:creationId xmlns:a16="http://schemas.microsoft.com/office/drawing/2014/main" id="{00000000-0008-0000-0300-000023000000}"/>
            </a:ext>
          </a:extLst>
        </xdr:cNvPr>
        <xdr:cNvSpPr/>
      </xdr:nvSpPr>
      <xdr:spPr>
        <a:xfrm>
          <a:off x="640556" y="4634707"/>
          <a:ext cx="1888329" cy="97869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4</xdr:col>
      <xdr:colOff>14285</xdr:colOff>
      <xdr:row>31</xdr:row>
      <xdr:rowOff>0</xdr:rowOff>
    </xdr:from>
    <xdr:to>
      <xdr:col>5</xdr:col>
      <xdr:colOff>0</xdr:colOff>
      <xdr:row>31</xdr:row>
      <xdr:rowOff>5954</xdr:rowOff>
    </xdr:to>
    <xdr:cxnSp macro="">
      <xdr:nvCxnSpPr>
        <xdr:cNvPr id="36" name="直線コネクタ 35">
          <a:extLst>
            <a:ext uri="{FF2B5EF4-FFF2-40B4-BE49-F238E27FC236}">
              <a16:creationId xmlns:a16="http://schemas.microsoft.com/office/drawing/2014/main" id="{00000000-0008-0000-0300-000024000000}"/>
            </a:ext>
          </a:extLst>
        </xdr:cNvPr>
        <xdr:cNvCxnSpPr>
          <a:stCxn id="7" idx="1"/>
          <a:endCxn id="35" idx="3"/>
        </xdr:cNvCxnSpPr>
      </xdr:nvCxnSpPr>
      <xdr:spPr>
        <a:xfrm flipH="1">
          <a:off x="2528885" y="5118100"/>
          <a:ext cx="614365" cy="595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21</xdr:row>
      <xdr:rowOff>80961</xdr:rowOff>
    </xdr:from>
    <xdr:to>
      <xdr:col>13</xdr:col>
      <xdr:colOff>30955</xdr:colOff>
      <xdr:row>31</xdr:row>
      <xdr:rowOff>0</xdr:rowOff>
    </xdr:to>
    <xdr:cxnSp macro="">
      <xdr:nvCxnSpPr>
        <xdr:cNvPr id="37" name="カギ線コネクタ 36">
          <a:extLst>
            <a:ext uri="{FF2B5EF4-FFF2-40B4-BE49-F238E27FC236}">
              <a16:creationId xmlns:a16="http://schemas.microsoft.com/office/drawing/2014/main" id="{00000000-0008-0000-0300-000025000000}"/>
            </a:ext>
          </a:extLst>
        </xdr:cNvPr>
        <xdr:cNvCxnSpPr>
          <a:stCxn id="25" idx="2"/>
          <a:endCxn id="7" idx="3"/>
        </xdr:cNvCxnSpPr>
      </xdr:nvCxnSpPr>
      <xdr:spPr>
        <a:xfrm rot="5400000">
          <a:off x="5831283" y="2745978"/>
          <a:ext cx="1570039" cy="3174205"/>
        </a:xfrm>
        <a:prstGeom prst="bentConnector2">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440531</xdr:colOff>
      <xdr:row>44</xdr:row>
      <xdr:rowOff>0</xdr:rowOff>
    </xdr:from>
    <xdr:to>
      <xdr:col>4</xdr:col>
      <xdr:colOff>440531</xdr:colOff>
      <xdr:row>50</xdr:row>
      <xdr:rowOff>0</xdr:rowOff>
    </xdr:to>
    <xdr:sp macro="" textlink="">
      <xdr:nvSpPr>
        <xdr:cNvPr id="38" name="正方形/長方形 37">
          <a:extLst>
            <a:ext uri="{FF2B5EF4-FFF2-40B4-BE49-F238E27FC236}">
              <a16:creationId xmlns:a16="http://schemas.microsoft.com/office/drawing/2014/main" id="{00000000-0008-0000-0300-000026000000}"/>
            </a:ext>
          </a:extLst>
        </xdr:cNvPr>
        <xdr:cNvSpPr/>
      </xdr:nvSpPr>
      <xdr:spPr>
        <a:xfrm>
          <a:off x="1069181"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陸上出荷システム</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95251</xdr:colOff>
      <xdr:row>42</xdr:row>
      <xdr:rowOff>0</xdr:rowOff>
    </xdr:from>
    <xdr:to>
      <xdr:col>6</xdr:col>
      <xdr:colOff>345283</xdr:colOff>
      <xdr:row>44</xdr:row>
      <xdr:rowOff>0</xdr:rowOff>
    </xdr:to>
    <xdr:cxnSp macro="">
      <xdr:nvCxnSpPr>
        <xdr:cNvPr id="39" name="カギ線コネクタ 38">
          <a:extLst>
            <a:ext uri="{FF2B5EF4-FFF2-40B4-BE49-F238E27FC236}">
              <a16:creationId xmlns:a16="http://schemas.microsoft.com/office/drawing/2014/main" id="{00000000-0008-0000-0300-000027000000}"/>
            </a:ext>
          </a:extLst>
        </xdr:cNvPr>
        <xdr:cNvCxnSpPr>
          <a:stCxn id="8" idx="2"/>
          <a:endCxn id="38" idx="0"/>
        </xdr:cNvCxnSpPr>
      </xdr:nvCxnSpPr>
      <xdr:spPr>
        <a:xfrm rot="5400000">
          <a:off x="2884092" y="6031309"/>
          <a:ext cx="330200" cy="2135982"/>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130969</xdr:colOff>
      <xdr:row>42</xdr:row>
      <xdr:rowOff>71438</xdr:rowOff>
    </xdr:from>
    <xdr:to>
      <xdr:col>4</xdr:col>
      <xdr:colOff>492919</xdr:colOff>
      <xdr:row>42</xdr:row>
      <xdr:rowOff>71439</xdr:rowOff>
    </xdr:to>
    <xdr:cxnSp macro="">
      <xdr:nvCxnSpPr>
        <xdr:cNvPr id="40" name="直線矢印コネクタ 39">
          <a:extLst>
            <a:ext uri="{FF2B5EF4-FFF2-40B4-BE49-F238E27FC236}">
              <a16:creationId xmlns:a16="http://schemas.microsoft.com/office/drawing/2014/main" id="{00000000-0008-0000-0300-000028000000}"/>
            </a:ext>
          </a:extLst>
        </xdr:cNvPr>
        <xdr:cNvCxnSpPr/>
      </xdr:nvCxnSpPr>
      <xdr:spPr>
        <a:xfrm flipH="1">
          <a:off x="2645569" y="7005638"/>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178594</xdr:colOff>
      <xdr:row>30</xdr:row>
      <xdr:rowOff>47626</xdr:rowOff>
    </xdr:from>
    <xdr:to>
      <xdr:col>4</xdr:col>
      <xdr:colOff>540544</xdr:colOff>
      <xdr:row>30</xdr:row>
      <xdr:rowOff>47627</xdr:rowOff>
    </xdr:to>
    <xdr:cxnSp macro="">
      <xdr:nvCxnSpPr>
        <xdr:cNvPr id="41" name="直線矢印コネクタ 40">
          <a:extLst>
            <a:ext uri="{FF2B5EF4-FFF2-40B4-BE49-F238E27FC236}">
              <a16:creationId xmlns:a16="http://schemas.microsoft.com/office/drawing/2014/main" id="{00000000-0008-0000-0300-000029000000}"/>
            </a:ext>
          </a:extLst>
        </xdr:cNvPr>
        <xdr:cNvCxnSpPr/>
      </xdr:nvCxnSpPr>
      <xdr:spPr>
        <a:xfrm flipH="1">
          <a:off x="2693194" y="5000626"/>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0</xdr:colOff>
      <xdr:row>14</xdr:row>
      <xdr:rowOff>0</xdr:rowOff>
    </xdr:from>
    <xdr:to>
      <xdr:col>21</xdr:col>
      <xdr:colOff>0</xdr:colOff>
      <xdr:row>20</xdr:row>
      <xdr:rowOff>0</xdr:rowOff>
    </xdr:to>
    <xdr:sp macro="" textlink="">
      <xdr:nvSpPr>
        <xdr:cNvPr id="126" name="正方形/長方形 125">
          <a:extLst>
            <a:ext uri="{FF2B5EF4-FFF2-40B4-BE49-F238E27FC236}">
              <a16:creationId xmlns:a16="http://schemas.microsoft.com/office/drawing/2014/main" id="{00000000-0008-0000-0300-00007E000000}"/>
            </a:ext>
          </a:extLst>
        </xdr:cNvPr>
        <xdr:cNvSpPr/>
      </xdr:nvSpPr>
      <xdr:spPr>
        <a:xfrm>
          <a:off x="11049000" y="2370667"/>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en-US" altLang="ja-JP" sz="1100">
              <a:solidFill>
                <a:sysClr val="windowText" lastClr="000000"/>
              </a:solidFill>
            </a:rPr>
            <a:t>10.240.2.87</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xdr:txBody>
    </xdr:sp>
    <xdr:clientData/>
  </xdr:twoCellAnchor>
  <xdr:twoCellAnchor>
    <xdr:from>
      <xdr:col>20</xdr:col>
      <xdr:colOff>257175</xdr:colOff>
      <xdr:row>17</xdr:row>
      <xdr:rowOff>123825</xdr:rowOff>
    </xdr:from>
    <xdr:to>
      <xdr:col>20</xdr:col>
      <xdr:colOff>600075</xdr:colOff>
      <xdr:row>19</xdr:row>
      <xdr:rowOff>139827</xdr:rowOff>
    </xdr:to>
    <xdr:sp macro="" textlink="">
      <xdr:nvSpPr>
        <xdr:cNvPr id="82" name="Can 81">
          <a:extLst>
            <a:ext uri="{FF2B5EF4-FFF2-40B4-BE49-F238E27FC236}">
              <a16:creationId xmlns:a16="http://schemas.microsoft.com/office/drawing/2014/main" id="{46113F12-8830-40B8-BEA4-E966581A8A08}"/>
            </a:ext>
            <a:ext uri="{147F2762-F138-4A5C-976F-8EAC2B608ADB}">
              <a16:predDERef xmlns:a16="http://schemas.microsoft.com/office/drawing/2014/main" pred="{00000000-0008-0000-0300-000082000000}"/>
            </a:ext>
          </a:extLst>
        </xdr:cNvPr>
        <xdr:cNvSpPr/>
      </xdr:nvSpPr>
      <xdr:spPr>
        <a:xfrm>
          <a:off x="12639675" y="2876550"/>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38100</xdr:colOff>
      <xdr:row>5</xdr:row>
      <xdr:rowOff>19050</xdr:rowOff>
    </xdr:from>
    <xdr:to>
      <xdr:col>1</xdr:col>
      <xdr:colOff>190500</xdr:colOff>
      <xdr:row>5</xdr:row>
      <xdr:rowOff>476250</xdr:rowOff>
    </xdr:to>
    <xdr:sp macro="" textlink="">
      <xdr:nvSpPr>
        <xdr:cNvPr id="4" name="五角形 23">
          <a:extLst>
            <a:ext uri="{FF2B5EF4-FFF2-40B4-BE49-F238E27FC236}">
              <a16:creationId xmlns:a16="http://schemas.microsoft.com/office/drawing/2014/main" id="{85C0FA77-C317-4B4B-ADAC-2906025B8A19}"/>
            </a:ext>
            <a:ext uri="{147F2762-F138-4A5C-976F-8EAC2B608ADB}">
              <a16:predDERef xmlns:a16="http://schemas.microsoft.com/office/drawing/2014/main" pred="{DCD0FA00-438B-4F3B-B60D-568F39371084}"/>
            </a:ext>
          </a:extLst>
        </xdr:cNvPr>
        <xdr:cNvSpPr/>
      </xdr:nvSpPr>
      <xdr:spPr>
        <a:xfrm>
          <a:off x="698500" y="1162050"/>
          <a:ext cx="152400" cy="45720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設計</a:t>
          </a:r>
        </a:p>
      </xdr:txBody>
    </xdr:sp>
    <xdr:clientData/>
  </xdr:twoCellAnchor>
  <xdr:twoCellAnchor>
    <xdr:from>
      <xdr:col>1</xdr:col>
      <xdr:colOff>215900</xdr:colOff>
      <xdr:row>5</xdr:row>
      <xdr:rowOff>38100</xdr:rowOff>
    </xdr:from>
    <xdr:to>
      <xdr:col>1</xdr:col>
      <xdr:colOff>654050</xdr:colOff>
      <xdr:row>5</xdr:row>
      <xdr:rowOff>482600</xdr:rowOff>
    </xdr:to>
    <xdr:sp macro="" textlink="">
      <xdr:nvSpPr>
        <xdr:cNvPr id="5" name="五角形 24">
          <a:extLst>
            <a:ext uri="{FF2B5EF4-FFF2-40B4-BE49-F238E27FC236}">
              <a16:creationId xmlns:a16="http://schemas.microsoft.com/office/drawing/2014/main" id="{217976E8-218C-4C18-8600-D795A43A7F74}"/>
            </a:ext>
            <a:ext uri="{147F2762-F138-4A5C-976F-8EAC2B608ADB}">
              <a16:predDERef xmlns:a16="http://schemas.microsoft.com/office/drawing/2014/main" pred="{85C0FA77-C317-4B4B-ADAC-2906025B8A19}"/>
            </a:ext>
          </a:extLst>
        </xdr:cNvPr>
        <xdr:cNvSpPr/>
      </xdr:nvSpPr>
      <xdr:spPr>
        <a:xfrm>
          <a:off x="876300" y="1181100"/>
          <a:ext cx="438150" cy="444500"/>
        </a:xfrm>
        <a:prstGeom prst="homePlate">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製造</a:t>
          </a:r>
        </a:p>
      </xdr:txBody>
    </xdr:sp>
    <xdr:clientData/>
  </xdr:twoCellAnchor>
  <xdr:twoCellAnchor>
    <xdr:from>
      <xdr:col>2</xdr:col>
      <xdr:colOff>19050</xdr:colOff>
      <xdr:row>5</xdr:row>
      <xdr:rowOff>44450</xdr:rowOff>
    </xdr:from>
    <xdr:to>
      <xdr:col>2</xdr:col>
      <xdr:colOff>215900</xdr:colOff>
      <xdr:row>5</xdr:row>
      <xdr:rowOff>469900</xdr:rowOff>
    </xdr:to>
    <xdr:sp macro="" textlink="">
      <xdr:nvSpPr>
        <xdr:cNvPr id="6" name="五角形 25">
          <a:extLst>
            <a:ext uri="{FF2B5EF4-FFF2-40B4-BE49-F238E27FC236}">
              <a16:creationId xmlns:a16="http://schemas.microsoft.com/office/drawing/2014/main" id="{C95C4AAE-E55C-4332-B7C5-D1FBAEA0415C}"/>
            </a:ext>
            <a:ext uri="{147F2762-F138-4A5C-976F-8EAC2B608ADB}">
              <a16:predDERef xmlns:a16="http://schemas.microsoft.com/office/drawing/2014/main" pred="{217976E8-218C-4C18-8600-D795A43A7F74}"/>
            </a:ext>
          </a:extLst>
        </xdr:cNvPr>
        <xdr:cNvSpPr/>
      </xdr:nvSpPr>
      <xdr:spPr>
        <a:xfrm>
          <a:off x="1339850" y="1187450"/>
          <a:ext cx="196850" cy="42545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テスト</a:t>
          </a:r>
        </a:p>
      </xdr:txBody>
    </xdr:sp>
    <xdr:clientData/>
  </xdr:twoCellAnchor>
  <xdr:twoCellAnchor>
    <xdr:from>
      <xdr:col>3</xdr:col>
      <xdr:colOff>25400</xdr:colOff>
      <xdr:row>5</xdr:row>
      <xdr:rowOff>6350</xdr:rowOff>
    </xdr:from>
    <xdr:to>
      <xdr:col>3</xdr:col>
      <xdr:colOff>273050</xdr:colOff>
      <xdr:row>5</xdr:row>
      <xdr:rowOff>482600</xdr:rowOff>
    </xdr:to>
    <xdr:sp macro="" textlink="">
      <xdr:nvSpPr>
        <xdr:cNvPr id="8" name="五角形 31">
          <a:extLst>
            <a:ext uri="{FF2B5EF4-FFF2-40B4-BE49-F238E27FC236}">
              <a16:creationId xmlns:a16="http://schemas.microsoft.com/office/drawing/2014/main" id="{3D08BA9F-8F28-4AE6-BBA3-248A410DF1DB}"/>
            </a:ext>
            <a:ext uri="{147F2762-F138-4A5C-976F-8EAC2B608ADB}">
              <a16:predDERef xmlns:a16="http://schemas.microsoft.com/office/drawing/2014/main" pred="{0FA1BF52-BF95-4C03-B9E3-F17E7F190481}"/>
            </a:ext>
          </a:extLst>
        </xdr:cNvPr>
        <xdr:cNvSpPr/>
      </xdr:nvSpPr>
      <xdr:spPr>
        <a:xfrm>
          <a:off x="2006600" y="1149350"/>
          <a:ext cx="247650" cy="47625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endParaRPr lang="en-US" altLang="ja-JP" sz="1100" b="1" i="0" u="none" strike="noStrike">
            <a:solidFill>
              <a:srgbClr val="000000"/>
            </a:solidFill>
            <a:latin typeface="Calibri" panose="020F0502020204030204" pitchFamily="34" charset="0"/>
            <a:cs typeface="Calibri" panose="020F0502020204030204" pitchFamily="34" charset="0"/>
          </a:endParaRPr>
        </a:p>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本番</a:t>
          </a:r>
        </a:p>
        <a:p>
          <a:pPr marL="0" indent="0" algn="ct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oneCellAnchor>
    <xdr:from>
      <xdr:col>2</xdr:col>
      <xdr:colOff>279400</xdr:colOff>
      <xdr:row>3</xdr:row>
      <xdr:rowOff>190501</xdr:rowOff>
    </xdr:from>
    <xdr:ext cx="1181099" cy="500650"/>
    <xdr:sp macro="" textlink="">
      <xdr:nvSpPr>
        <xdr:cNvPr id="12" name="テキスト ボックス 11">
          <a:extLst>
            <a:ext uri="{FF2B5EF4-FFF2-40B4-BE49-F238E27FC236}">
              <a16:creationId xmlns:a16="http://schemas.microsoft.com/office/drawing/2014/main" id="{00000000-0008-0000-0A00-00000C000000}"/>
            </a:ext>
          </a:extLst>
        </xdr:cNvPr>
        <xdr:cNvSpPr txBox="1"/>
      </xdr:nvSpPr>
      <xdr:spPr>
        <a:xfrm>
          <a:off x="1600200" y="876301"/>
          <a:ext cx="1181099"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a:t>★４課様確認</a:t>
          </a:r>
          <a:endParaRPr kumimoji="1" lang="en-US" altLang="ja-JP" sz="1100"/>
        </a:p>
        <a:p>
          <a:endParaRPr kumimoji="1" lang="ja-JP" altLang="en-US" sz="1100"/>
        </a:p>
      </xdr:txBody>
    </xdr:sp>
    <xdr:clientData/>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8"/>
  <sheetViews>
    <sheetView workbookViewId="0">
      <selection activeCell="B3" sqref="B3"/>
    </sheetView>
  </sheetViews>
  <sheetFormatPr defaultRowHeight="18"/>
  <cols>
    <col min="1" max="1" width="3" customWidth="1"/>
  </cols>
  <sheetData>
    <row r="1" spans="1:2">
      <c r="A1" t="s">
        <v>0</v>
      </c>
    </row>
    <row r="2" spans="1:2">
      <c r="B2" t="s">
        <v>1</v>
      </c>
    </row>
    <row r="3" spans="1:2">
      <c r="B3" t="s">
        <v>2</v>
      </c>
    </row>
    <row r="4" spans="1:2">
      <c r="B4" t="s">
        <v>3</v>
      </c>
    </row>
    <row r="5" spans="1:2">
      <c r="B5" t="s">
        <v>4</v>
      </c>
    </row>
    <row r="6" spans="1:2">
      <c r="B6" t="s">
        <v>5</v>
      </c>
    </row>
    <row r="7" spans="1:2">
      <c r="B7" t="s">
        <v>6</v>
      </c>
    </row>
    <row r="10" spans="1:2">
      <c r="A10" t="s">
        <v>7</v>
      </c>
    </row>
    <row r="11" spans="1:2">
      <c r="A11" t="s">
        <v>8</v>
      </c>
    </row>
    <row r="12" spans="1:2">
      <c r="B12" t="s">
        <v>9</v>
      </c>
    </row>
    <row r="13" spans="1:2">
      <c r="B13" t="s">
        <v>10</v>
      </c>
    </row>
    <row r="14" spans="1:2">
      <c r="B14" t="s">
        <v>11</v>
      </c>
    </row>
    <row r="15" spans="1:2">
      <c r="B15" t="s">
        <v>12</v>
      </c>
    </row>
    <row r="16" spans="1:2">
      <c r="B16" t="s">
        <v>13</v>
      </c>
    </row>
    <row r="18" spans="1:5">
      <c r="A18" s="21" t="s">
        <v>14</v>
      </c>
      <c r="B18" s="21"/>
    </row>
    <row r="19" spans="1:5">
      <c r="B19" t="s">
        <v>15</v>
      </c>
      <c r="E19" t="s">
        <v>16</v>
      </c>
    </row>
    <row r="20" spans="1:5">
      <c r="B20" s="83" t="s">
        <v>17</v>
      </c>
    </row>
    <row r="21" spans="1:5">
      <c r="B21" t="s">
        <v>18</v>
      </c>
    </row>
    <row r="22" spans="1:5">
      <c r="B22" t="s">
        <v>19</v>
      </c>
    </row>
    <row r="23" spans="1:5">
      <c r="B23" t="s">
        <v>20</v>
      </c>
    </row>
    <row r="25" spans="1:5">
      <c r="A25" s="21" t="s">
        <v>21</v>
      </c>
      <c r="B25" s="21"/>
    </row>
    <row r="26" spans="1:5">
      <c r="A26" s="21"/>
      <c r="B26" t="s">
        <v>22</v>
      </c>
    </row>
    <row r="27" spans="1:5">
      <c r="A27" s="21"/>
      <c r="B27" t="s">
        <v>23</v>
      </c>
    </row>
    <row r="28" spans="1:5">
      <c r="A28" s="21"/>
      <c r="B28" t="s">
        <v>24</v>
      </c>
    </row>
    <row r="29" spans="1:5">
      <c r="A29" s="21"/>
      <c r="B29" t="s">
        <v>15</v>
      </c>
    </row>
    <row r="30" spans="1:5">
      <c r="A30" s="21"/>
      <c r="B30" t="s">
        <v>18</v>
      </c>
    </row>
    <row r="32" spans="1:5">
      <c r="A32" s="21" t="s">
        <v>25</v>
      </c>
      <c r="B32" s="21"/>
    </row>
    <row r="33" spans="2:2">
      <c r="B33" t="s">
        <v>26</v>
      </c>
    </row>
    <row r="34" spans="2:2">
      <c r="B34" t="s">
        <v>27</v>
      </c>
    </row>
    <row r="35" spans="2:2">
      <c r="B35" t="s">
        <v>28</v>
      </c>
    </row>
    <row r="36" spans="2:2">
      <c r="B36" t="s">
        <v>29</v>
      </c>
    </row>
    <row r="37" spans="2:2">
      <c r="B37" t="s">
        <v>30</v>
      </c>
    </row>
    <row r="38" spans="2:2">
      <c r="B38" t="s">
        <v>31</v>
      </c>
    </row>
  </sheetData>
  <phoneticPr fontId="2"/>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0.34998626667073579"/>
  </sheetPr>
  <dimension ref="A1:AR22"/>
  <sheetViews>
    <sheetView workbookViewId="0">
      <selection activeCell="J8" sqref="J8"/>
    </sheetView>
  </sheetViews>
  <sheetFormatPr defaultRowHeight="18.75" customHeight="1"/>
  <cols>
    <col min="1" max="1" width="30.75" customWidth="1"/>
    <col min="2" max="2" width="21" customWidth="1"/>
    <col min="3" max="5" width="6.625" customWidth="1"/>
    <col min="6" max="8" width="8.5" bestFit="1" customWidth="1"/>
    <col min="9" max="43" width="6.625" customWidth="1"/>
    <col min="44" max="44" width="17.125" customWidth="1"/>
  </cols>
  <sheetData>
    <row r="1" spans="1:44" ht="18"/>
    <row r="2" spans="1:44" ht="18">
      <c r="A2" s="133" t="s">
        <v>32</v>
      </c>
      <c r="B2" s="133" t="s">
        <v>33</v>
      </c>
      <c r="C2" s="137" t="s">
        <v>34</v>
      </c>
      <c r="D2" s="137"/>
      <c r="E2" s="137"/>
      <c r="F2" s="137"/>
      <c r="G2" s="137"/>
      <c r="H2" s="137"/>
      <c r="I2" s="137"/>
      <c r="J2" s="137"/>
      <c r="K2" s="137"/>
      <c r="L2" s="137"/>
      <c r="M2" s="137"/>
      <c r="N2" s="137"/>
      <c r="O2" s="137" t="s">
        <v>35</v>
      </c>
      <c r="P2" s="137"/>
      <c r="Q2" s="137"/>
      <c r="R2" s="137"/>
      <c r="S2" s="137"/>
      <c r="T2" s="137"/>
      <c r="U2" s="137"/>
      <c r="V2" s="137"/>
      <c r="W2" s="137"/>
      <c r="X2" s="137"/>
      <c r="Y2" s="137"/>
      <c r="Z2" s="137"/>
      <c r="AA2" s="131" t="s">
        <v>36</v>
      </c>
      <c r="AB2" s="136"/>
      <c r="AC2" s="136"/>
      <c r="AD2" s="136"/>
      <c r="AE2" s="136"/>
      <c r="AF2" s="136"/>
      <c r="AG2" s="136"/>
      <c r="AH2" s="136"/>
      <c r="AI2" s="136"/>
      <c r="AJ2" s="136"/>
      <c r="AK2" s="136"/>
      <c r="AL2" s="136"/>
      <c r="AM2" s="181" t="s">
        <v>37</v>
      </c>
      <c r="AN2" s="181"/>
      <c r="AO2" s="181"/>
      <c r="AP2" s="181"/>
      <c r="AQ2" s="181"/>
    </row>
    <row r="3" spans="1:44" ht="18">
      <c r="A3" s="134"/>
      <c r="B3" s="134"/>
      <c r="C3" s="80" t="s">
        <v>38</v>
      </c>
      <c r="D3" s="80" t="s">
        <v>39</v>
      </c>
      <c r="E3" s="80" t="s">
        <v>40</v>
      </c>
      <c r="F3" s="80" t="s">
        <v>41</v>
      </c>
      <c r="G3" s="80" t="s">
        <v>42</v>
      </c>
      <c r="H3" s="80" t="s">
        <v>43</v>
      </c>
      <c r="I3" s="80" t="s">
        <v>44</v>
      </c>
      <c r="J3" s="80" t="s">
        <v>45</v>
      </c>
      <c r="K3" s="80" t="s">
        <v>46</v>
      </c>
      <c r="L3" s="80" t="s">
        <v>47</v>
      </c>
      <c r="M3" s="80" t="s">
        <v>48</v>
      </c>
      <c r="N3" s="80" t="s">
        <v>49</v>
      </c>
      <c r="O3" s="80" t="s">
        <v>38</v>
      </c>
      <c r="P3" s="80" t="s">
        <v>39</v>
      </c>
      <c r="Q3" s="80" t="s">
        <v>40</v>
      </c>
      <c r="R3" s="80" t="s">
        <v>41</v>
      </c>
      <c r="S3" s="80" t="s">
        <v>42</v>
      </c>
      <c r="T3" s="80" t="s">
        <v>43</v>
      </c>
      <c r="U3" s="80" t="s">
        <v>44</v>
      </c>
      <c r="V3" s="80" t="s">
        <v>45</v>
      </c>
      <c r="W3" s="80" t="s">
        <v>46</v>
      </c>
      <c r="X3" s="80" t="s">
        <v>47</v>
      </c>
      <c r="Y3" s="80" t="s">
        <v>48</v>
      </c>
      <c r="Z3" s="80" t="s">
        <v>49</v>
      </c>
      <c r="AA3" s="80" t="s">
        <v>38</v>
      </c>
      <c r="AB3" s="80" t="s">
        <v>39</v>
      </c>
      <c r="AC3" s="80" t="s">
        <v>40</v>
      </c>
      <c r="AD3" s="80" t="s">
        <v>41</v>
      </c>
      <c r="AE3" s="80" t="s">
        <v>42</v>
      </c>
      <c r="AF3" s="80" t="s">
        <v>43</v>
      </c>
      <c r="AG3" s="80" t="s">
        <v>44</v>
      </c>
      <c r="AH3" s="80" t="s">
        <v>45</v>
      </c>
      <c r="AI3" s="80" t="s">
        <v>46</v>
      </c>
      <c r="AJ3" s="80" t="s">
        <v>47</v>
      </c>
      <c r="AK3" s="80" t="s">
        <v>48</v>
      </c>
      <c r="AL3" s="86" t="s">
        <v>49</v>
      </c>
      <c r="AM3" s="87" t="s">
        <v>38</v>
      </c>
      <c r="AN3" s="87" t="s">
        <v>39</v>
      </c>
      <c r="AO3" s="87" t="s">
        <v>40</v>
      </c>
      <c r="AP3" s="87" t="s">
        <v>41</v>
      </c>
      <c r="AQ3" s="88" t="s">
        <v>42</v>
      </c>
    </row>
    <row r="4" spans="1:44" ht="18">
      <c r="A4" s="131" t="s">
        <v>50</v>
      </c>
      <c r="B4" s="132"/>
      <c r="C4" s="79"/>
      <c r="D4" s="79"/>
      <c r="E4" s="79"/>
      <c r="F4" s="79"/>
      <c r="G4" s="79"/>
      <c r="H4" s="79"/>
      <c r="I4" s="79"/>
      <c r="J4" s="79"/>
      <c r="K4" s="79"/>
      <c r="L4" s="79" t="s">
        <v>51</v>
      </c>
      <c r="M4" s="79" t="s">
        <v>52</v>
      </c>
      <c r="N4" s="79"/>
      <c r="O4" s="79"/>
      <c r="P4" s="79"/>
      <c r="Q4" s="79"/>
      <c r="R4" s="79"/>
      <c r="S4" s="79"/>
      <c r="T4" s="79"/>
      <c r="U4" s="79"/>
      <c r="V4" s="79"/>
      <c r="W4" s="79"/>
      <c r="X4" s="79"/>
      <c r="Y4" s="79"/>
      <c r="Z4" s="79"/>
      <c r="AA4" s="79"/>
      <c r="AB4" s="79"/>
      <c r="AC4" s="79"/>
      <c r="AD4" s="79"/>
      <c r="AE4" s="79"/>
      <c r="AF4" s="79"/>
      <c r="AG4" s="79"/>
      <c r="AH4" s="79"/>
      <c r="AI4" s="79"/>
      <c r="AJ4" s="79"/>
      <c r="AK4" s="79"/>
      <c r="AL4" s="84"/>
      <c r="AM4" s="14"/>
      <c r="AN4" s="14"/>
      <c r="AO4" s="14"/>
      <c r="AP4" s="14"/>
      <c r="AQ4" s="14"/>
    </row>
    <row r="5" spans="1:44" ht="18">
      <c r="A5" s="81" t="s">
        <v>53</v>
      </c>
      <c r="B5" s="81"/>
      <c r="C5" s="79"/>
      <c r="D5" s="79"/>
      <c r="E5" s="79"/>
      <c r="F5" s="79"/>
      <c r="G5" s="79"/>
      <c r="H5" s="79"/>
      <c r="I5" s="79"/>
      <c r="J5" s="79"/>
      <c r="K5" s="79"/>
      <c r="L5" s="79"/>
      <c r="M5" s="79"/>
      <c r="N5" s="79"/>
      <c r="O5" s="79"/>
      <c r="P5" s="79"/>
      <c r="Q5" s="79"/>
      <c r="R5" s="79"/>
      <c r="S5" s="79"/>
      <c r="T5" s="79"/>
      <c r="U5" s="79"/>
      <c r="V5" s="79"/>
      <c r="W5" s="79"/>
      <c r="X5" s="79"/>
      <c r="Y5" s="79"/>
      <c r="Z5" s="79"/>
      <c r="AA5" s="79"/>
      <c r="AB5" s="79"/>
      <c r="AC5" s="79"/>
      <c r="AD5" s="79"/>
      <c r="AE5" s="79"/>
      <c r="AF5" s="79"/>
      <c r="AG5" s="79"/>
      <c r="AH5" s="79"/>
      <c r="AI5" s="79"/>
      <c r="AJ5" s="79"/>
      <c r="AK5" s="79"/>
      <c r="AL5" s="84"/>
      <c r="AM5" s="14"/>
      <c r="AN5" s="14"/>
      <c r="AO5" s="14"/>
      <c r="AP5" s="14"/>
      <c r="AQ5" s="14"/>
    </row>
    <row r="6" spans="1:44" ht="18">
      <c r="A6" s="82" t="s">
        <v>54</v>
      </c>
      <c r="B6" s="82"/>
      <c r="C6" s="79"/>
      <c r="D6" s="79"/>
      <c r="E6" s="79"/>
      <c r="F6" s="79"/>
      <c r="G6" s="79"/>
      <c r="H6" s="79"/>
      <c r="I6" s="79"/>
      <c r="J6" s="79"/>
      <c r="K6" s="79"/>
      <c r="L6" s="79"/>
      <c r="M6" s="79"/>
      <c r="N6" s="79"/>
      <c r="O6" s="79"/>
      <c r="P6" s="79"/>
      <c r="Q6" s="79"/>
      <c r="R6" s="79"/>
      <c r="S6" s="79"/>
      <c r="T6" s="79"/>
      <c r="U6" s="79"/>
      <c r="V6" s="79"/>
      <c r="W6" s="79"/>
      <c r="X6" s="79"/>
      <c r="Y6" s="79"/>
      <c r="Z6" s="79"/>
      <c r="AA6" s="79"/>
      <c r="AB6" s="79"/>
      <c r="AC6" s="79"/>
      <c r="AD6" s="79"/>
      <c r="AE6" s="79"/>
      <c r="AF6" s="79"/>
      <c r="AG6" s="79"/>
      <c r="AH6" s="79"/>
      <c r="AI6" s="79"/>
      <c r="AJ6" s="79"/>
      <c r="AK6" s="79"/>
      <c r="AL6" s="79"/>
      <c r="AM6" s="79"/>
      <c r="AN6" s="84"/>
      <c r="AO6" s="14"/>
      <c r="AP6" s="14"/>
      <c r="AQ6" s="14"/>
    </row>
    <row r="7" spans="1:44" ht="18"/>
    <row r="8" spans="1:44" ht="18">
      <c r="A8" s="93" t="s">
        <v>55</v>
      </c>
      <c r="B8" s="93"/>
    </row>
    <row r="9" spans="1:44" ht="18">
      <c r="A9" s="80"/>
      <c r="B9" s="80"/>
      <c r="C9" s="79"/>
      <c r="D9" s="79"/>
      <c r="E9" s="79"/>
      <c r="F9" s="79"/>
      <c r="G9" s="79"/>
      <c r="H9" s="79"/>
      <c r="I9" s="79"/>
      <c r="J9" s="79"/>
      <c r="K9" s="79"/>
      <c r="L9" s="79"/>
      <c r="M9" s="79"/>
      <c r="N9" s="79"/>
      <c r="O9" s="79"/>
      <c r="P9" s="79"/>
      <c r="Q9" s="79"/>
      <c r="R9" s="79"/>
      <c r="S9" s="79"/>
      <c r="T9" s="79"/>
      <c r="U9" s="79"/>
      <c r="V9" s="79"/>
      <c r="W9" s="79"/>
      <c r="X9" s="79"/>
      <c r="Y9" s="79"/>
      <c r="Z9" s="79"/>
      <c r="AA9" s="79"/>
      <c r="AB9" s="79"/>
      <c r="AC9" s="79"/>
      <c r="AD9" s="79"/>
      <c r="AE9" s="79"/>
      <c r="AF9" s="79"/>
      <c r="AG9" s="79"/>
      <c r="AH9" s="79"/>
      <c r="AI9" s="79"/>
      <c r="AJ9" s="79"/>
      <c r="AK9" s="79"/>
      <c r="AL9" s="79"/>
      <c r="AM9" s="79"/>
      <c r="AN9" s="79"/>
      <c r="AO9" s="79"/>
      <c r="AP9" s="79"/>
      <c r="AQ9" s="79"/>
    </row>
    <row r="10" spans="1:44" ht="18.75" customHeight="1">
      <c r="A10" s="92"/>
      <c r="B10" s="92"/>
      <c r="C10" s="91"/>
      <c r="D10" s="91"/>
      <c r="E10" s="91"/>
      <c r="F10" s="91"/>
      <c r="G10" s="91"/>
      <c r="H10" s="91"/>
      <c r="I10" s="91"/>
      <c r="J10" s="91"/>
      <c r="K10" s="91"/>
      <c r="L10" s="91"/>
      <c r="M10" s="91"/>
      <c r="N10" s="91"/>
      <c r="O10" s="91"/>
      <c r="P10" s="91"/>
      <c r="Q10" s="91"/>
      <c r="R10" s="91"/>
      <c r="S10" s="91"/>
      <c r="T10" s="91"/>
      <c r="U10" s="91"/>
      <c r="V10" s="91"/>
      <c r="W10" s="91"/>
      <c r="X10" s="91"/>
      <c r="Y10" s="91"/>
      <c r="Z10" s="91"/>
      <c r="AA10" s="91"/>
      <c r="AB10" s="91"/>
      <c r="AC10" s="91"/>
      <c r="AD10" s="91"/>
      <c r="AE10" s="91"/>
      <c r="AF10" s="91"/>
      <c r="AG10" s="91"/>
      <c r="AH10" s="91"/>
      <c r="AI10" s="91"/>
      <c r="AJ10" s="91"/>
      <c r="AK10" s="91"/>
      <c r="AL10" s="91"/>
      <c r="AM10" s="91"/>
      <c r="AN10" s="91"/>
      <c r="AO10" s="91"/>
      <c r="AP10" s="91"/>
      <c r="AQ10" s="91"/>
    </row>
    <row r="11" spans="1:44" ht="18.75" customHeight="1">
      <c r="A11" s="94"/>
      <c r="B11" s="94"/>
      <c r="C11" s="90"/>
      <c r="D11" s="90"/>
      <c r="E11" s="90"/>
      <c r="F11" s="90"/>
      <c r="G11" s="90"/>
      <c r="H11" s="90"/>
      <c r="I11" s="90"/>
      <c r="J11" s="90"/>
      <c r="K11" s="90"/>
      <c r="L11" s="90"/>
      <c r="M11" s="90"/>
      <c r="N11" s="90"/>
      <c r="O11" s="90"/>
      <c r="P11" s="90"/>
      <c r="Q11" s="90"/>
      <c r="R11" s="90"/>
      <c r="S11" s="90"/>
      <c r="T11" s="90"/>
      <c r="U11" s="90"/>
      <c r="V11" s="90"/>
      <c r="W11" s="90"/>
      <c r="X11" s="90"/>
      <c r="Y11" s="90"/>
      <c r="Z11" s="90"/>
      <c r="AA11" s="90"/>
      <c r="AB11" s="90"/>
      <c r="AC11" s="90"/>
      <c r="AD11" s="90"/>
      <c r="AE11" s="90"/>
      <c r="AF11" s="90"/>
      <c r="AG11" s="90"/>
      <c r="AH11" s="90"/>
      <c r="AI11" s="90"/>
      <c r="AJ11" s="90"/>
      <c r="AK11" s="90"/>
      <c r="AL11" s="90"/>
      <c r="AM11" s="90"/>
      <c r="AN11" s="90"/>
      <c r="AO11" s="90"/>
      <c r="AP11" s="90"/>
      <c r="AQ11" s="90"/>
    </row>
    <row r="12" spans="1:44" ht="18.75" customHeight="1">
      <c r="A12" s="94"/>
      <c r="B12" s="94"/>
      <c r="C12" s="79"/>
      <c r="D12" s="79"/>
      <c r="E12" s="79"/>
      <c r="F12" s="79"/>
      <c r="G12" s="79"/>
      <c r="H12" s="79"/>
      <c r="I12" s="79"/>
      <c r="J12" s="79"/>
      <c r="K12" s="79"/>
      <c r="L12" s="79"/>
      <c r="M12" s="79"/>
      <c r="N12" s="79"/>
      <c r="O12" s="79"/>
      <c r="P12" s="79"/>
      <c r="Q12" s="79"/>
      <c r="R12" s="79"/>
      <c r="S12" s="79"/>
      <c r="T12" s="79"/>
      <c r="U12" s="79"/>
      <c r="V12" s="79"/>
      <c r="W12" s="79"/>
      <c r="X12" s="79"/>
      <c r="Y12" s="79"/>
      <c r="Z12" s="79"/>
      <c r="AA12" s="79"/>
      <c r="AB12" s="79"/>
      <c r="AC12" s="79"/>
      <c r="AD12" s="79"/>
      <c r="AE12" s="79"/>
      <c r="AF12" s="79"/>
      <c r="AG12" s="79"/>
      <c r="AH12" s="79"/>
      <c r="AI12" s="79"/>
      <c r="AJ12" s="79"/>
      <c r="AK12" s="79"/>
      <c r="AL12" s="79"/>
      <c r="AM12" s="79"/>
      <c r="AN12" s="79"/>
      <c r="AO12" s="79"/>
      <c r="AP12" s="79"/>
      <c r="AQ12" s="79"/>
    </row>
    <row r="13" spans="1:44" ht="18.75" customHeight="1">
      <c r="A13" s="94"/>
      <c r="B13" s="94"/>
      <c r="C13" s="90"/>
      <c r="D13" s="90"/>
      <c r="E13" s="90"/>
      <c r="F13" s="90"/>
      <c r="G13" s="90"/>
      <c r="H13" s="90"/>
      <c r="I13" s="90"/>
      <c r="J13" s="90"/>
      <c r="K13" s="90"/>
      <c r="L13" s="90"/>
      <c r="M13" s="90"/>
      <c r="N13" s="90"/>
      <c r="O13" s="90"/>
      <c r="P13" s="90"/>
      <c r="Q13" s="90"/>
      <c r="R13" s="90"/>
      <c r="S13" s="90"/>
      <c r="T13" s="90"/>
      <c r="U13" s="90"/>
      <c r="V13" s="90"/>
      <c r="W13" s="90"/>
      <c r="X13" s="90"/>
      <c r="Y13" s="90"/>
      <c r="Z13" s="90"/>
      <c r="AA13" s="90"/>
      <c r="AB13" s="90"/>
      <c r="AC13" s="90"/>
      <c r="AD13" s="90"/>
      <c r="AE13" s="90"/>
      <c r="AF13" s="90"/>
      <c r="AG13" s="90"/>
      <c r="AH13" s="90"/>
      <c r="AI13" s="90"/>
      <c r="AJ13" s="90"/>
      <c r="AK13" s="90"/>
      <c r="AL13" s="90"/>
      <c r="AM13" s="90"/>
      <c r="AN13" s="90"/>
      <c r="AO13" s="90"/>
      <c r="AP13" s="90"/>
      <c r="AQ13" s="90"/>
    </row>
    <row r="14" spans="1:44" ht="18.75" customHeight="1">
      <c r="A14" s="135" t="s">
        <v>56</v>
      </c>
      <c r="B14" s="135"/>
      <c r="C14" s="95">
        <f>SUM(C9:C13)</f>
        <v>0</v>
      </c>
      <c r="D14" s="89">
        <f t="shared" ref="D14:AQ14" si="0">SUM(D9:D13)</f>
        <v>0</v>
      </c>
      <c r="E14" s="89">
        <f t="shared" si="0"/>
        <v>0</v>
      </c>
      <c r="F14" s="89">
        <f t="shared" si="0"/>
        <v>0</v>
      </c>
      <c r="G14" s="89">
        <f t="shared" si="0"/>
        <v>0</v>
      </c>
      <c r="H14" s="89">
        <f t="shared" si="0"/>
        <v>0</v>
      </c>
      <c r="I14" s="89">
        <f t="shared" si="0"/>
        <v>0</v>
      </c>
      <c r="J14" s="89">
        <f t="shared" si="0"/>
        <v>0</v>
      </c>
      <c r="K14" s="89">
        <f t="shared" si="0"/>
        <v>0</v>
      </c>
      <c r="L14" s="89">
        <f t="shared" si="0"/>
        <v>0</v>
      </c>
      <c r="M14" s="89">
        <f t="shared" si="0"/>
        <v>0</v>
      </c>
      <c r="N14" s="89">
        <f t="shared" si="0"/>
        <v>0</v>
      </c>
      <c r="O14" s="89">
        <f t="shared" si="0"/>
        <v>0</v>
      </c>
      <c r="P14" s="89">
        <f t="shared" si="0"/>
        <v>0</v>
      </c>
      <c r="Q14" s="89">
        <f t="shared" si="0"/>
        <v>0</v>
      </c>
      <c r="R14" s="89">
        <f t="shared" si="0"/>
        <v>0</v>
      </c>
      <c r="S14" s="89">
        <f t="shared" si="0"/>
        <v>0</v>
      </c>
      <c r="T14" s="89">
        <f t="shared" si="0"/>
        <v>0</v>
      </c>
      <c r="U14" s="89">
        <f t="shared" si="0"/>
        <v>0</v>
      </c>
      <c r="V14" s="89">
        <f t="shared" si="0"/>
        <v>0</v>
      </c>
      <c r="W14" s="89">
        <f t="shared" si="0"/>
        <v>0</v>
      </c>
      <c r="X14" s="89">
        <f t="shared" si="0"/>
        <v>0</v>
      </c>
      <c r="Y14" s="89">
        <f t="shared" si="0"/>
        <v>0</v>
      </c>
      <c r="Z14" s="89">
        <f t="shared" si="0"/>
        <v>0</v>
      </c>
      <c r="AA14" s="89">
        <f t="shared" si="0"/>
        <v>0</v>
      </c>
      <c r="AB14" s="89">
        <f t="shared" si="0"/>
        <v>0</v>
      </c>
      <c r="AC14" s="89">
        <f t="shared" si="0"/>
        <v>0</v>
      </c>
      <c r="AD14" s="89">
        <f t="shared" si="0"/>
        <v>0</v>
      </c>
      <c r="AE14" s="89">
        <f t="shared" si="0"/>
        <v>0</v>
      </c>
      <c r="AF14" s="89">
        <f t="shared" si="0"/>
        <v>0</v>
      </c>
      <c r="AG14" s="89">
        <f t="shared" si="0"/>
        <v>0</v>
      </c>
      <c r="AH14" s="89">
        <f t="shared" si="0"/>
        <v>0</v>
      </c>
      <c r="AI14" s="89">
        <f t="shared" si="0"/>
        <v>0</v>
      </c>
      <c r="AJ14" s="89">
        <f t="shared" si="0"/>
        <v>0</v>
      </c>
      <c r="AK14" s="89">
        <f t="shared" si="0"/>
        <v>0</v>
      </c>
      <c r="AL14" s="89">
        <f t="shared" si="0"/>
        <v>0</v>
      </c>
      <c r="AM14" s="89">
        <f t="shared" si="0"/>
        <v>0</v>
      </c>
      <c r="AN14" s="89">
        <f t="shared" si="0"/>
        <v>0</v>
      </c>
      <c r="AO14" s="89">
        <f t="shared" si="0"/>
        <v>0</v>
      </c>
      <c r="AP14" s="89">
        <f t="shared" si="0"/>
        <v>0</v>
      </c>
      <c r="AQ14" s="89">
        <f t="shared" si="0"/>
        <v>0</v>
      </c>
    </row>
    <row r="15" spans="1:44" ht="18.75" customHeight="1">
      <c r="A15" s="129" t="s">
        <v>57</v>
      </c>
      <c r="B15" t="s">
        <v>58</v>
      </c>
      <c r="C15">
        <f>C14*1000000</f>
        <v>0</v>
      </c>
      <c r="D15">
        <f t="shared" ref="D15:AQ15" si="1">D14*1000000</f>
        <v>0</v>
      </c>
      <c r="E15">
        <f t="shared" si="1"/>
        <v>0</v>
      </c>
      <c r="F15">
        <f t="shared" si="1"/>
        <v>0</v>
      </c>
      <c r="G15">
        <f t="shared" si="1"/>
        <v>0</v>
      </c>
      <c r="H15">
        <f t="shared" si="1"/>
        <v>0</v>
      </c>
      <c r="I15">
        <f t="shared" si="1"/>
        <v>0</v>
      </c>
      <c r="J15">
        <f t="shared" si="1"/>
        <v>0</v>
      </c>
      <c r="K15">
        <f t="shared" si="1"/>
        <v>0</v>
      </c>
      <c r="L15">
        <f t="shared" si="1"/>
        <v>0</v>
      </c>
      <c r="M15">
        <f t="shared" si="1"/>
        <v>0</v>
      </c>
      <c r="N15">
        <f t="shared" si="1"/>
        <v>0</v>
      </c>
      <c r="O15">
        <f t="shared" si="1"/>
        <v>0</v>
      </c>
      <c r="P15">
        <f t="shared" si="1"/>
        <v>0</v>
      </c>
      <c r="Q15">
        <f t="shared" si="1"/>
        <v>0</v>
      </c>
      <c r="R15">
        <f t="shared" si="1"/>
        <v>0</v>
      </c>
      <c r="S15">
        <f t="shared" si="1"/>
        <v>0</v>
      </c>
      <c r="T15">
        <f t="shared" si="1"/>
        <v>0</v>
      </c>
      <c r="U15">
        <f t="shared" si="1"/>
        <v>0</v>
      </c>
      <c r="V15">
        <f t="shared" si="1"/>
        <v>0</v>
      </c>
      <c r="W15">
        <f t="shared" si="1"/>
        <v>0</v>
      </c>
      <c r="X15">
        <f t="shared" si="1"/>
        <v>0</v>
      </c>
      <c r="Y15">
        <f t="shared" si="1"/>
        <v>0</v>
      </c>
      <c r="Z15">
        <f t="shared" si="1"/>
        <v>0</v>
      </c>
      <c r="AA15">
        <f t="shared" si="1"/>
        <v>0</v>
      </c>
      <c r="AB15">
        <f t="shared" si="1"/>
        <v>0</v>
      </c>
      <c r="AC15">
        <f t="shared" si="1"/>
        <v>0</v>
      </c>
      <c r="AD15">
        <f t="shared" si="1"/>
        <v>0</v>
      </c>
      <c r="AE15">
        <f t="shared" si="1"/>
        <v>0</v>
      </c>
      <c r="AF15">
        <f t="shared" si="1"/>
        <v>0</v>
      </c>
      <c r="AG15">
        <f t="shared" si="1"/>
        <v>0</v>
      </c>
      <c r="AH15">
        <f t="shared" si="1"/>
        <v>0</v>
      </c>
      <c r="AI15">
        <f t="shared" si="1"/>
        <v>0</v>
      </c>
      <c r="AJ15">
        <f t="shared" si="1"/>
        <v>0</v>
      </c>
      <c r="AK15">
        <f t="shared" si="1"/>
        <v>0</v>
      </c>
      <c r="AL15">
        <f t="shared" si="1"/>
        <v>0</v>
      </c>
      <c r="AM15">
        <f t="shared" si="1"/>
        <v>0</v>
      </c>
      <c r="AN15">
        <f t="shared" si="1"/>
        <v>0</v>
      </c>
      <c r="AO15">
        <f t="shared" si="1"/>
        <v>0</v>
      </c>
      <c r="AP15">
        <f t="shared" si="1"/>
        <v>0</v>
      </c>
      <c r="AQ15">
        <f t="shared" si="1"/>
        <v>0</v>
      </c>
      <c r="AR15" s="96">
        <f>SUM(C15:AQ15)</f>
        <v>0</v>
      </c>
    </row>
    <row r="16" spans="1:44" ht="18.75" customHeight="1">
      <c r="A16" s="130"/>
      <c r="B16" t="s">
        <v>59</v>
      </c>
      <c r="C16">
        <f>C14*800000</f>
        <v>0</v>
      </c>
      <c r="D16">
        <f t="shared" ref="D16:AQ16" si="2">D14*800000</f>
        <v>0</v>
      </c>
      <c r="E16">
        <f t="shared" si="2"/>
        <v>0</v>
      </c>
      <c r="F16">
        <f t="shared" si="2"/>
        <v>0</v>
      </c>
      <c r="G16">
        <f t="shared" si="2"/>
        <v>0</v>
      </c>
      <c r="H16">
        <f t="shared" si="2"/>
        <v>0</v>
      </c>
      <c r="I16">
        <f t="shared" si="2"/>
        <v>0</v>
      </c>
      <c r="J16">
        <f t="shared" si="2"/>
        <v>0</v>
      </c>
      <c r="K16">
        <f t="shared" si="2"/>
        <v>0</v>
      </c>
      <c r="L16">
        <f t="shared" si="2"/>
        <v>0</v>
      </c>
      <c r="M16">
        <f t="shared" si="2"/>
        <v>0</v>
      </c>
      <c r="N16">
        <f t="shared" si="2"/>
        <v>0</v>
      </c>
      <c r="O16">
        <f t="shared" si="2"/>
        <v>0</v>
      </c>
      <c r="P16">
        <f t="shared" si="2"/>
        <v>0</v>
      </c>
      <c r="Q16">
        <f t="shared" si="2"/>
        <v>0</v>
      </c>
      <c r="R16">
        <f t="shared" si="2"/>
        <v>0</v>
      </c>
      <c r="S16">
        <f t="shared" si="2"/>
        <v>0</v>
      </c>
      <c r="T16">
        <f t="shared" si="2"/>
        <v>0</v>
      </c>
      <c r="U16">
        <f t="shared" si="2"/>
        <v>0</v>
      </c>
      <c r="V16">
        <f t="shared" si="2"/>
        <v>0</v>
      </c>
      <c r="W16">
        <f t="shared" si="2"/>
        <v>0</v>
      </c>
      <c r="X16">
        <f t="shared" si="2"/>
        <v>0</v>
      </c>
      <c r="Y16">
        <f t="shared" si="2"/>
        <v>0</v>
      </c>
      <c r="Z16">
        <f t="shared" si="2"/>
        <v>0</v>
      </c>
      <c r="AA16">
        <f t="shared" si="2"/>
        <v>0</v>
      </c>
      <c r="AB16">
        <f t="shared" si="2"/>
        <v>0</v>
      </c>
      <c r="AC16">
        <f t="shared" si="2"/>
        <v>0</v>
      </c>
      <c r="AD16">
        <f t="shared" si="2"/>
        <v>0</v>
      </c>
      <c r="AE16">
        <f t="shared" si="2"/>
        <v>0</v>
      </c>
      <c r="AF16">
        <f t="shared" si="2"/>
        <v>0</v>
      </c>
      <c r="AG16">
        <f t="shared" si="2"/>
        <v>0</v>
      </c>
      <c r="AH16">
        <f t="shared" si="2"/>
        <v>0</v>
      </c>
      <c r="AI16">
        <f t="shared" si="2"/>
        <v>0</v>
      </c>
      <c r="AJ16">
        <f t="shared" si="2"/>
        <v>0</v>
      </c>
      <c r="AK16">
        <f t="shared" si="2"/>
        <v>0</v>
      </c>
      <c r="AL16">
        <f t="shared" si="2"/>
        <v>0</v>
      </c>
      <c r="AM16">
        <f t="shared" si="2"/>
        <v>0</v>
      </c>
      <c r="AN16">
        <f t="shared" si="2"/>
        <v>0</v>
      </c>
      <c r="AO16">
        <f t="shared" si="2"/>
        <v>0</v>
      </c>
      <c r="AP16">
        <f t="shared" si="2"/>
        <v>0</v>
      </c>
      <c r="AQ16">
        <f t="shared" si="2"/>
        <v>0</v>
      </c>
      <c r="AR16" s="96">
        <f>SUM(C16:AQ16)</f>
        <v>0</v>
      </c>
    </row>
    <row r="17" spans="1:44" ht="18.75" customHeight="1">
      <c r="A17" s="130" t="s">
        <v>60</v>
      </c>
      <c r="B17" t="s">
        <v>61</v>
      </c>
      <c r="F17">
        <v>1400000</v>
      </c>
      <c r="G17">
        <v>1400000</v>
      </c>
      <c r="H17">
        <v>1400000</v>
      </c>
      <c r="I17">
        <v>1400000</v>
      </c>
      <c r="J17">
        <v>1400000</v>
      </c>
      <c r="K17">
        <v>1400000</v>
      </c>
      <c r="L17">
        <v>1400000</v>
      </c>
      <c r="M17">
        <v>1400000</v>
      </c>
      <c r="N17">
        <v>1400000</v>
      </c>
      <c r="O17">
        <v>1400000</v>
      </c>
      <c r="P17">
        <v>1400000</v>
      </c>
      <c r="Q17">
        <v>1400000</v>
      </c>
      <c r="R17">
        <v>1400000</v>
      </c>
      <c r="S17">
        <v>1400000</v>
      </c>
      <c r="T17">
        <v>1400000</v>
      </c>
      <c r="U17">
        <v>1400000</v>
      </c>
      <c r="V17">
        <v>1400000</v>
      </c>
      <c r="W17">
        <v>1400000</v>
      </c>
      <c r="X17">
        <v>1400000</v>
      </c>
      <c r="Y17">
        <v>1400000</v>
      </c>
      <c r="Z17">
        <v>1400000</v>
      </c>
      <c r="AA17">
        <v>1400000</v>
      </c>
      <c r="AB17">
        <v>1400000</v>
      </c>
      <c r="AC17">
        <v>1400000</v>
      </c>
      <c r="AD17">
        <v>1400000</v>
      </c>
      <c r="AE17">
        <v>1400000</v>
      </c>
      <c r="AF17">
        <v>1400000</v>
      </c>
      <c r="AG17">
        <v>1400000</v>
      </c>
      <c r="AH17">
        <v>1400000</v>
      </c>
      <c r="AI17">
        <v>1400000</v>
      </c>
      <c r="AJ17">
        <v>1400000</v>
      </c>
      <c r="AK17">
        <v>1400000</v>
      </c>
      <c r="AL17">
        <v>1400000</v>
      </c>
      <c r="AM17">
        <v>1400000</v>
      </c>
      <c r="AN17">
        <v>1400000</v>
      </c>
      <c r="AO17">
        <v>1400000</v>
      </c>
      <c r="AR17" s="96">
        <f>SUM(C17:AQ17)</f>
        <v>50400000</v>
      </c>
    </row>
    <row r="18" spans="1:44" ht="18.75" customHeight="1">
      <c r="A18" s="130"/>
      <c r="B18" t="s">
        <v>62</v>
      </c>
      <c r="F18">
        <v>1000000</v>
      </c>
      <c r="G18">
        <v>1000000</v>
      </c>
      <c r="H18">
        <v>1000000</v>
      </c>
      <c r="I18">
        <v>1000000</v>
      </c>
      <c r="J18">
        <v>1000000</v>
      </c>
      <c r="K18">
        <v>1000000</v>
      </c>
      <c r="L18">
        <v>1000000</v>
      </c>
      <c r="M18">
        <v>1000000</v>
      </c>
      <c r="N18">
        <v>1000000</v>
      </c>
      <c r="O18">
        <v>1000000</v>
      </c>
      <c r="P18">
        <v>1000000</v>
      </c>
      <c r="Q18">
        <v>1000000</v>
      </c>
      <c r="R18">
        <v>1000000</v>
      </c>
      <c r="S18">
        <v>1000000</v>
      </c>
      <c r="T18">
        <v>1000000</v>
      </c>
      <c r="U18">
        <v>1000000</v>
      </c>
      <c r="V18">
        <v>1000000</v>
      </c>
      <c r="W18">
        <v>1000000</v>
      </c>
      <c r="X18">
        <v>1000000</v>
      </c>
      <c r="Y18">
        <v>1000000</v>
      </c>
      <c r="Z18">
        <v>1000000</v>
      </c>
      <c r="AA18">
        <v>1000000</v>
      </c>
      <c r="AB18">
        <v>1000000</v>
      </c>
      <c r="AC18">
        <v>1000000</v>
      </c>
      <c r="AD18">
        <v>1000000</v>
      </c>
      <c r="AE18">
        <v>1000000</v>
      </c>
      <c r="AF18">
        <v>1000000</v>
      </c>
      <c r="AG18">
        <v>1000000</v>
      </c>
      <c r="AH18">
        <v>1000000</v>
      </c>
      <c r="AI18">
        <v>1000000</v>
      </c>
      <c r="AJ18">
        <v>1000000</v>
      </c>
      <c r="AK18">
        <v>1000000</v>
      </c>
      <c r="AL18">
        <v>1000000</v>
      </c>
      <c r="AM18">
        <v>1000000</v>
      </c>
      <c r="AN18">
        <v>1000000</v>
      </c>
      <c r="AO18">
        <v>1000000</v>
      </c>
      <c r="AR18" s="96">
        <f>SUM(C18:AQ18)</f>
        <v>36000000</v>
      </c>
    </row>
    <row r="19" spans="1:44" ht="18.75" customHeight="1">
      <c r="AP19" s="128" t="s">
        <v>63</v>
      </c>
      <c r="AQ19" s="128"/>
      <c r="AR19" s="97">
        <f>AR15+AR17</f>
        <v>50400000</v>
      </c>
    </row>
    <row r="20" spans="1:44" ht="18.75" customHeight="1">
      <c r="AP20" s="128" t="s">
        <v>64</v>
      </c>
      <c r="AQ20" s="128"/>
      <c r="AR20" s="97">
        <f>AR16+AR18</f>
        <v>36000000</v>
      </c>
    </row>
    <row r="21" spans="1:44" ht="18.75" customHeight="1">
      <c r="AP21" s="128" t="s">
        <v>65</v>
      </c>
      <c r="AQ21" s="128"/>
      <c r="AR21" s="97">
        <f>AR19-AR20</f>
        <v>14400000</v>
      </c>
    </row>
    <row r="22" spans="1:44" ht="18.75" customHeight="1">
      <c r="AP22" s="128" t="s">
        <v>66</v>
      </c>
      <c r="AQ22" s="128"/>
      <c r="AR22" s="98">
        <f>AR21/AR19</f>
        <v>0.2857142857142857</v>
      </c>
    </row>
  </sheetData>
  <mergeCells count="14">
    <mergeCell ref="AM2:AQ2"/>
    <mergeCell ref="A4:B4"/>
    <mergeCell ref="B2:B3"/>
    <mergeCell ref="A2:A3"/>
    <mergeCell ref="A14:B14"/>
    <mergeCell ref="AA2:AL2"/>
    <mergeCell ref="C2:N2"/>
    <mergeCell ref="O2:Z2"/>
    <mergeCell ref="AP22:AQ22"/>
    <mergeCell ref="A15:A16"/>
    <mergeCell ref="A17:A18"/>
    <mergeCell ref="AP19:AQ19"/>
    <mergeCell ref="AP20:AQ20"/>
    <mergeCell ref="AP21:AQ21"/>
  </mergeCells>
  <phoneticPr fontId="2"/>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1:O18"/>
  <sheetViews>
    <sheetView zoomScale="70" zoomScaleNormal="70" workbookViewId="0">
      <selection activeCell="V37" sqref="V37"/>
    </sheetView>
  </sheetViews>
  <sheetFormatPr defaultColWidth="8.125" defaultRowHeight="12.95"/>
  <cols>
    <col min="1" max="16384" width="8.125" style="32"/>
  </cols>
  <sheetData>
    <row r="1" spans="3:9">
      <c r="C1" s="32" t="s">
        <v>67</v>
      </c>
      <c r="E1" s="33"/>
      <c r="F1" s="32" t="s">
        <v>68</v>
      </c>
      <c r="H1" s="34"/>
      <c r="I1" s="32" t="s">
        <v>69</v>
      </c>
    </row>
    <row r="2" spans="3:9">
      <c r="C2" s="32" t="s">
        <v>70</v>
      </c>
      <c r="E2" s="35"/>
      <c r="F2" s="32" t="s">
        <v>71</v>
      </c>
      <c r="H2" s="36"/>
      <c r="I2" s="32" t="s">
        <v>72</v>
      </c>
    </row>
    <row r="17" spans="15:15">
      <c r="O17" s="37"/>
    </row>
    <row r="18" spans="15:15">
      <c r="O18" s="37"/>
    </row>
  </sheetData>
  <phoneticPr fontId="2"/>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A7"/>
  <sheetViews>
    <sheetView tabSelected="1" workbookViewId="0"/>
  </sheetViews>
  <sheetFormatPr defaultRowHeight="18"/>
  <sheetData>
    <row r="2" spans="1:1">
      <c r="A2" t="s">
        <v>73</v>
      </c>
    </row>
    <row r="3" spans="1:1">
      <c r="A3" t="s">
        <v>74</v>
      </c>
    </row>
    <row r="5" spans="1:1">
      <c r="A5" t="s">
        <v>75</v>
      </c>
    </row>
    <row r="6" spans="1:1">
      <c r="A6" t="s">
        <v>76</v>
      </c>
    </row>
    <row r="7" spans="1:1">
      <c r="A7" t="s">
        <v>77</v>
      </c>
    </row>
  </sheetData>
  <phoneticPr fontId="2"/>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C1:I2"/>
  <sheetViews>
    <sheetView zoomScale="60" zoomScaleNormal="60" workbookViewId="0"/>
  </sheetViews>
  <sheetFormatPr defaultColWidth="8.125" defaultRowHeight="12.95"/>
  <cols>
    <col min="1" max="16384" width="8.125" style="32"/>
  </cols>
  <sheetData>
    <row r="1" spans="3:9">
      <c r="C1" s="32" t="s">
        <v>67</v>
      </c>
      <c r="E1" s="33"/>
      <c r="F1" s="32" t="s">
        <v>68</v>
      </c>
      <c r="H1" s="34"/>
      <c r="I1" s="32" t="s">
        <v>69</v>
      </c>
    </row>
    <row r="2" spans="3:9">
      <c r="C2" s="32" t="s">
        <v>70</v>
      </c>
      <c r="E2" s="35"/>
      <c r="F2" s="32" t="s">
        <v>71</v>
      </c>
      <c r="H2" s="36"/>
      <c r="I2" s="32" t="s">
        <v>72</v>
      </c>
    </row>
  </sheetData>
  <phoneticPr fontId="2"/>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6"/>
  <sheetViews>
    <sheetView zoomScale="80" zoomScaleNormal="80" workbookViewId="0">
      <pane xSplit="2" ySplit="2" topLeftCell="N3" activePane="bottomRight" state="frozen"/>
      <selection pane="bottomRight" activeCell="Q17" sqref="Q17"/>
      <selection pane="bottomLeft" activeCell="A3" sqref="A3"/>
      <selection pane="topRight" activeCell="C1" sqref="C1"/>
    </sheetView>
  </sheetViews>
  <sheetFormatPr defaultRowHeight="18.75" customHeight="1" outlineLevelCol="1"/>
  <cols>
    <col min="1" max="1" width="15.625" style="12" bestFit="1" customWidth="1"/>
    <col min="2" max="2" width="35" style="12" customWidth="1"/>
    <col min="3" max="3" width="8.625" style="12" customWidth="1"/>
    <col min="4" max="5" width="20.625" style="12" customWidth="1"/>
    <col min="6" max="6" width="35.125" style="12" customWidth="1"/>
    <col min="7" max="7" width="20.625" style="12" customWidth="1" outlineLevel="1"/>
    <col min="8" max="12" width="17.625" style="12" customWidth="1" outlineLevel="1"/>
    <col min="13" max="13" width="29.875" style="12" customWidth="1" outlineLevel="1"/>
    <col min="14" max="19" width="8.625" style="12" customWidth="1"/>
    <col min="20" max="25" width="9" style="13"/>
  </cols>
  <sheetData>
    <row r="1" spans="1:26" ht="18">
      <c r="A1"/>
      <c r="B1"/>
      <c r="C1"/>
      <c r="D1"/>
      <c r="E1"/>
      <c r="F1" s="144" t="s">
        <v>78</v>
      </c>
      <c r="G1" s="145"/>
      <c r="H1" s="145"/>
      <c r="I1" s="145"/>
      <c r="J1" s="145"/>
      <c r="K1" s="145"/>
      <c r="L1" s="145"/>
      <c r="M1" s="53"/>
      <c r="N1" s="144" t="s">
        <v>79</v>
      </c>
      <c r="O1" s="145"/>
      <c r="P1" s="145"/>
      <c r="Q1" s="145"/>
      <c r="R1" s="145"/>
      <c r="S1" s="145"/>
      <c r="T1" s="144" t="s">
        <v>80</v>
      </c>
      <c r="U1" s="145"/>
      <c r="V1" s="145"/>
      <c r="W1" s="145"/>
      <c r="X1" s="145"/>
      <c r="Y1" s="145"/>
    </row>
    <row r="2" spans="1:26" ht="36">
      <c r="A2" s="7" t="s">
        <v>81</v>
      </c>
      <c r="B2" s="7" t="s">
        <v>82</v>
      </c>
      <c r="C2" s="7" t="s">
        <v>83</v>
      </c>
      <c r="D2" s="7" t="s">
        <v>84</v>
      </c>
      <c r="E2" s="7" t="s">
        <v>85</v>
      </c>
      <c r="F2" s="7" t="s">
        <v>86</v>
      </c>
      <c r="G2" s="7" t="s">
        <v>87</v>
      </c>
      <c r="H2" s="7" t="s">
        <v>88</v>
      </c>
      <c r="I2" s="7" t="s">
        <v>89</v>
      </c>
      <c r="J2" s="7" t="s">
        <v>90</v>
      </c>
      <c r="K2" s="7" t="s">
        <v>91</v>
      </c>
      <c r="L2" s="7" t="s">
        <v>92</v>
      </c>
      <c r="M2" s="7" t="s">
        <v>93</v>
      </c>
      <c r="N2" s="7" t="s">
        <v>94</v>
      </c>
      <c r="O2" s="7" t="s">
        <v>95</v>
      </c>
      <c r="P2" s="7" t="s">
        <v>96</v>
      </c>
      <c r="Q2" s="7" t="s">
        <v>97</v>
      </c>
      <c r="R2" s="7" t="s">
        <v>98</v>
      </c>
      <c r="S2" s="7" t="s">
        <v>92</v>
      </c>
      <c r="T2" s="7" t="s">
        <v>99</v>
      </c>
      <c r="U2" s="7" t="s">
        <v>100</v>
      </c>
      <c r="V2" s="7" t="s">
        <v>101</v>
      </c>
      <c r="W2" s="7" t="s">
        <v>102</v>
      </c>
      <c r="X2" s="7" t="s">
        <v>103</v>
      </c>
      <c r="Y2" s="7" t="s">
        <v>104</v>
      </c>
    </row>
    <row r="3" spans="1:26" ht="36" customHeight="1">
      <c r="A3" s="8" t="s">
        <v>105</v>
      </c>
      <c r="B3" s="8" t="s">
        <v>106</v>
      </c>
      <c r="C3" s="139" t="s">
        <v>107</v>
      </c>
      <c r="D3" s="139" t="s">
        <v>108</v>
      </c>
      <c r="E3" s="139" t="s">
        <v>109</v>
      </c>
      <c r="F3" s="139" t="s">
        <v>110</v>
      </c>
      <c r="G3" s="139" t="s">
        <v>111</v>
      </c>
      <c r="H3" s="139" t="s">
        <v>112</v>
      </c>
      <c r="I3" s="139" t="s">
        <v>113</v>
      </c>
      <c r="J3" s="139" t="s">
        <v>114</v>
      </c>
      <c r="K3" s="139" t="s">
        <v>115</v>
      </c>
      <c r="L3" s="139"/>
      <c r="M3" s="139" t="s">
        <v>116</v>
      </c>
      <c r="N3" s="138" t="s">
        <v>117</v>
      </c>
      <c r="O3" s="138" t="s">
        <v>118</v>
      </c>
      <c r="P3" s="139" t="s">
        <v>119</v>
      </c>
      <c r="Q3" s="138" t="s">
        <v>120</v>
      </c>
      <c r="R3" s="139" t="s">
        <v>121</v>
      </c>
      <c r="S3" s="139"/>
      <c r="T3" s="142" t="s">
        <v>122</v>
      </c>
      <c r="U3" s="142" t="s">
        <v>122</v>
      </c>
      <c r="V3" s="142" t="s">
        <v>122</v>
      </c>
      <c r="W3" s="142" t="s">
        <v>123</v>
      </c>
      <c r="X3" s="142" t="s">
        <v>122</v>
      </c>
      <c r="Y3" s="142" t="s">
        <v>122</v>
      </c>
      <c r="Z3" t="s">
        <v>124</v>
      </c>
    </row>
    <row r="4" spans="1:26" ht="36" customHeight="1">
      <c r="A4" s="8" t="s">
        <v>125</v>
      </c>
      <c r="B4" s="8" t="s">
        <v>126</v>
      </c>
      <c r="C4" s="141"/>
      <c r="D4" s="141"/>
      <c r="E4" s="141"/>
      <c r="F4" s="141"/>
      <c r="G4" s="141"/>
      <c r="H4" s="141"/>
      <c r="I4" s="141"/>
      <c r="J4" s="141"/>
      <c r="K4" s="141"/>
      <c r="L4" s="141"/>
      <c r="M4" s="141"/>
      <c r="N4" s="182"/>
      <c r="O4" s="182"/>
      <c r="P4" s="141"/>
      <c r="Q4" s="182"/>
      <c r="R4" s="141"/>
      <c r="S4" s="141"/>
      <c r="T4" s="143"/>
      <c r="U4" s="143"/>
      <c r="V4" s="143"/>
      <c r="W4" s="143"/>
      <c r="X4" s="143"/>
      <c r="Y4" s="143"/>
      <c r="Z4" t="s">
        <v>124</v>
      </c>
    </row>
    <row r="5" spans="1:26" ht="36" customHeight="1">
      <c r="A5" s="10" t="s">
        <v>127</v>
      </c>
      <c r="B5" s="10" t="s">
        <v>128</v>
      </c>
      <c r="C5" s="139" t="s">
        <v>107</v>
      </c>
      <c r="D5" s="139" t="s">
        <v>108</v>
      </c>
      <c r="E5" s="139" t="s">
        <v>109</v>
      </c>
      <c r="F5" s="139" t="s">
        <v>129</v>
      </c>
      <c r="G5" s="139" t="s">
        <v>111</v>
      </c>
      <c r="H5" s="139" t="s">
        <v>112</v>
      </c>
      <c r="I5" s="139" t="s">
        <v>113</v>
      </c>
      <c r="J5" s="139" t="s">
        <v>114</v>
      </c>
      <c r="K5" s="139" t="s">
        <v>130</v>
      </c>
      <c r="L5" s="139"/>
      <c r="M5" s="139" t="s">
        <v>116</v>
      </c>
      <c r="N5" s="138" t="s">
        <v>131</v>
      </c>
      <c r="O5" s="138" t="s">
        <v>132</v>
      </c>
      <c r="P5" s="139" t="s">
        <v>133</v>
      </c>
      <c r="Q5" s="138" t="s">
        <v>134</v>
      </c>
      <c r="R5" s="139" t="s">
        <v>135</v>
      </c>
      <c r="S5" s="139"/>
      <c r="T5" s="142" t="s">
        <v>122</v>
      </c>
      <c r="U5" s="142" t="s">
        <v>122</v>
      </c>
      <c r="V5" s="142" t="s">
        <v>122</v>
      </c>
      <c r="W5" s="142" t="s">
        <v>123</v>
      </c>
      <c r="X5" s="142" t="s">
        <v>122</v>
      </c>
      <c r="Y5" s="142" t="s">
        <v>122</v>
      </c>
      <c r="Z5" t="s">
        <v>124</v>
      </c>
    </row>
    <row r="6" spans="1:26" ht="36" customHeight="1">
      <c r="A6" s="8" t="s">
        <v>136</v>
      </c>
      <c r="B6" s="8" t="s">
        <v>137</v>
      </c>
      <c r="C6" s="141"/>
      <c r="D6" s="141"/>
      <c r="E6" s="141"/>
      <c r="F6" s="141"/>
      <c r="G6" s="141"/>
      <c r="H6" s="141"/>
      <c r="I6" s="141"/>
      <c r="J6" s="141"/>
      <c r="K6" s="141"/>
      <c r="L6" s="141"/>
      <c r="M6" s="141"/>
      <c r="N6" s="182"/>
      <c r="O6" s="182"/>
      <c r="P6" s="141"/>
      <c r="Q6" s="182"/>
      <c r="R6" s="141"/>
      <c r="S6" s="141"/>
      <c r="T6" s="143"/>
      <c r="U6" s="143"/>
      <c r="V6" s="143"/>
      <c r="W6" s="143"/>
      <c r="X6" s="143"/>
      <c r="Y6" s="143"/>
      <c r="Z6" t="s">
        <v>124</v>
      </c>
    </row>
    <row r="7" spans="1:26" ht="72">
      <c r="A7" s="10" t="s">
        <v>138</v>
      </c>
      <c r="B7" s="10" t="s">
        <v>139</v>
      </c>
      <c r="C7" s="10" t="s">
        <v>107</v>
      </c>
      <c r="D7" s="8" t="s">
        <v>108</v>
      </c>
      <c r="E7" s="8" t="s">
        <v>109</v>
      </c>
      <c r="F7" s="54" t="s">
        <v>140</v>
      </c>
      <c r="G7" s="8" t="s">
        <v>111</v>
      </c>
      <c r="H7" s="8" t="s">
        <v>141</v>
      </c>
      <c r="I7" s="8" t="s">
        <v>113</v>
      </c>
      <c r="J7" s="10" t="s">
        <v>114</v>
      </c>
      <c r="K7" s="10" t="s">
        <v>130</v>
      </c>
      <c r="L7" s="54" t="s">
        <v>142</v>
      </c>
      <c r="M7" s="54" t="s">
        <v>116</v>
      </c>
      <c r="N7" s="10">
        <v>83</v>
      </c>
      <c r="O7" s="10">
        <v>25</v>
      </c>
      <c r="P7" s="10">
        <v>5</v>
      </c>
      <c r="Q7" s="10">
        <v>4</v>
      </c>
      <c r="R7" s="10">
        <v>67</v>
      </c>
      <c r="S7" s="10"/>
      <c r="T7" s="11" t="s">
        <v>122</v>
      </c>
      <c r="U7" s="11" t="s">
        <v>122</v>
      </c>
      <c r="V7" s="11" t="s">
        <v>122</v>
      </c>
      <c r="W7" s="11" t="s">
        <v>122</v>
      </c>
      <c r="X7" s="11" t="s">
        <v>122</v>
      </c>
      <c r="Y7" s="11" t="s">
        <v>122</v>
      </c>
      <c r="Z7" t="s">
        <v>124</v>
      </c>
    </row>
    <row r="8" spans="1:26" ht="72">
      <c r="A8" s="8" t="s">
        <v>143</v>
      </c>
      <c r="B8" s="8" t="s">
        <v>144</v>
      </c>
      <c r="C8" s="8" t="s">
        <v>107</v>
      </c>
      <c r="D8" s="8" t="s">
        <v>108</v>
      </c>
      <c r="E8" s="8" t="s">
        <v>109</v>
      </c>
      <c r="F8" s="8" t="s">
        <v>145</v>
      </c>
      <c r="G8" s="8" t="s">
        <v>111</v>
      </c>
      <c r="H8" s="8" t="s">
        <v>141</v>
      </c>
      <c r="I8" s="8" t="s">
        <v>113</v>
      </c>
      <c r="J8" s="10" t="s">
        <v>114</v>
      </c>
      <c r="K8" s="10" t="s">
        <v>130</v>
      </c>
      <c r="L8" s="54" t="s">
        <v>142</v>
      </c>
      <c r="M8" s="8" t="s">
        <v>146</v>
      </c>
      <c r="N8" s="10">
        <v>17</v>
      </c>
      <c r="O8" s="10">
        <v>3</v>
      </c>
      <c r="P8" s="54">
        <v>1</v>
      </c>
      <c r="Q8" s="10">
        <v>3</v>
      </c>
      <c r="R8" s="54">
        <v>12</v>
      </c>
      <c r="S8" s="8"/>
      <c r="T8" s="9" t="s">
        <v>122</v>
      </c>
      <c r="U8" s="9" t="s">
        <v>122</v>
      </c>
      <c r="V8" s="9" t="s">
        <v>122</v>
      </c>
      <c r="W8" s="9" t="s">
        <v>122</v>
      </c>
      <c r="X8" s="9" t="s">
        <v>122</v>
      </c>
      <c r="Y8" s="9" t="s">
        <v>122</v>
      </c>
      <c r="Z8" t="s">
        <v>124</v>
      </c>
    </row>
    <row r="9" spans="1:26" ht="72">
      <c r="A9" s="8" t="s">
        <v>147</v>
      </c>
      <c r="B9" s="8" t="s">
        <v>148</v>
      </c>
      <c r="C9" s="8" t="s">
        <v>107</v>
      </c>
      <c r="D9" s="8" t="s">
        <v>149</v>
      </c>
      <c r="E9" s="8" t="s">
        <v>109</v>
      </c>
      <c r="F9" s="8" t="s">
        <v>150</v>
      </c>
      <c r="G9" s="8" t="s">
        <v>127</v>
      </c>
      <c r="H9" s="31" t="s">
        <v>151</v>
      </c>
      <c r="I9" s="8" t="s">
        <v>113</v>
      </c>
      <c r="J9" s="8" t="s">
        <v>127</v>
      </c>
      <c r="K9" s="8" t="s">
        <v>127</v>
      </c>
      <c r="L9" s="8"/>
      <c r="M9" s="8" t="s">
        <v>146</v>
      </c>
      <c r="N9" s="10">
        <v>0</v>
      </c>
      <c r="O9" s="10">
        <v>0</v>
      </c>
      <c r="P9" s="54">
        <v>0</v>
      </c>
      <c r="Q9" s="10">
        <v>0</v>
      </c>
      <c r="R9" s="54">
        <v>211</v>
      </c>
      <c r="S9" s="8"/>
      <c r="T9" s="9" t="s">
        <v>123</v>
      </c>
      <c r="U9" s="9" t="s">
        <v>122</v>
      </c>
      <c r="V9" s="9" t="s">
        <v>123</v>
      </c>
      <c r="W9" s="9" t="s">
        <v>123</v>
      </c>
      <c r="X9" s="9" t="s">
        <v>123</v>
      </c>
      <c r="Y9" s="9" t="s">
        <v>123</v>
      </c>
      <c r="Z9" t="s">
        <v>124</v>
      </c>
    </row>
    <row r="10" spans="1:26" ht="49.5" customHeight="1">
      <c r="A10" s="8" t="s">
        <v>152</v>
      </c>
      <c r="B10" s="8" t="s">
        <v>153</v>
      </c>
      <c r="C10" s="139" t="s">
        <v>107</v>
      </c>
      <c r="D10" s="139" t="s">
        <v>154</v>
      </c>
      <c r="E10" s="139" t="s">
        <v>155</v>
      </c>
      <c r="F10" s="139" t="s">
        <v>156</v>
      </c>
      <c r="G10" s="139" t="s">
        <v>157</v>
      </c>
      <c r="H10" s="139" t="s">
        <v>112</v>
      </c>
      <c r="I10" s="139" t="s">
        <v>158</v>
      </c>
      <c r="J10" s="138" t="s">
        <v>159</v>
      </c>
      <c r="K10" s="183" t="s">
        <v>130</v>
      </c>
      <c r="L10" s="183"/>
      <c r="M10" s="149" t="s">
        <v>160</v>
      </c>
      <c r="N10" s="183">
        <v>80</v>
      </c>
      <c r="O10" s="183">
        <v>20</v>
      </c>
      <c r="P10" s="138" t="s">
        <v>161</v>
      </c>
      <c r="Q10" s="138" t="s">
        <v>162</v>
      </c>
      <c r="R10" s="183">
        <v>75</v>
      </c>
      <c r="S10" s="183"/>
      <c r="T10" s="9" t="s">
        <v>123</v>
      </c>
      <c r="U10" s="9" t="s">
        <v>122</v>
      </c>
      <c r="V10" s="9" t="s">
        <v>122</v>
      </c>
      <c r="W10" s="9" t="s">
        <v>123</v>
      </c>
      <c r="X10" s="9" t="s">
        <v>123</v>
      </c>
      <c r="Y10" s="9" t="s">
        <v>123</v>
      </c>
      <c r="Z10" t="s">
        <v>124</v>
      </c>
    </row>
    <row r="11" spans="1:26" ht="49.5" customHeight="1">
      <c r="A11" s="8" t="s">
        <v>163</v>
      </c>
      <c r="B11" s="8" t="s">
        <v>164</v>
      </c>
      <c r="C11" s="141"/>
      <c r="D11" s="141"/>
      <c r="E11" s="141"/>
      <c r="F11" s="141"/>
      <c r="G11" s="141"/>
      <c r="H11" s="141"/>
      <c r="I11" s="141"/>
      <c r="J11" s="147"/>
      <c r="K11" s="182"/>
      <c r="L11" s="182"/>
      <c r="M11" s="150"/>
      <c r="N11" s="182"/>
      <c r="O11" s="182"/>
      <c r="P11" s="182"/>
      <c r="Q11" s="182"/>
      <c r="R11" s="182"/>
      <c r="S11" s="182"/>
      <c r="T11" s="9" t="s">
        <v>123</v>
      </c>
      <c r="U11" s="9" t="s">
        <v>122</v>
      </c>
      <c r="V11" s="9" t="s">
        <v>122</v>
      </c>
      <c r="W11" s="9" t="s">
        <v>123</v>
      </c>
      <c r="X11" s="9" t="s">
        <v>123</v>
      </c>
      <c r="Y11" s="9" t="s">
        <v>123</v>
      </c>
      <c r="Z11" t="s">
        <v>124</v>
      </c>
    </row>
    <row r="12" spans="1:26" ht="74.45" customHeight="1">
      <c r="A12" s="8" t="s">
        <v>165</v>
      </c>
      <c r="B12" s="8" t="s">
        <v>166</v>
      </c>
      <c r="C12" s="8" t="s">
        <v>107</v>
      </c>
      <c r="D12" s="8" t="s">
        <v>167</v>
      </c>
      <c r="E12" s="8" t="s">
        <v>155</v>
      </c>
      <c r="F12" s="8" t="s">
        <v>168</v>
      </c>
      <c r="G12" s="8" t="s">
        <v>157</v>
      </c>
      <c r="H12" s="8" t="s">
        <v>169</v>
      </c>
      <c r="I12" s="8" t="s">
        <v>170</v>
      </c>
      <c r="J12" s="54" t="s">
        <v>159</v>
      </c>
      <c r="K12" s="10"/>
      <c r="L12" s="8"/>
      <c r="M12" s="139" t="s">
        <v>171</v>
      </c>
      <c r="N12" s="10">
        <v>68</v>
      </c>
      <c r="O12" s="10">
        <v>43</v>
      </c>
      <c r="P12" s="54">
        <v>9</v>
      </c>
      <c r="Q12" s="10">
        <v>45</v>
      </c>
      <c r="R12" s="54">
        <v>205</v>
      </c>
      <c r="S12" s="8"/>
      <c r="T12" s="9" t="s">
        <v>123</v>
      </c>
      <c r="U12" s="9" t="s">
        <v>123</v>
      </c>
      <c r="V12" s="9" t="s">
        <v>122</v>
      </c>
      <c r="W12" s="9" t="s">
        <v>123</v>
      </c>
      <c r="X12" s="9" t="s">
        <v>123</v>
      </c>
      <c r="Y12" s="9" t="s">
        <v>123</v>
      </c>
      <c r="Z12" t="s">
        <v>124</v>
      </c>
    </row>
    <row r="13" spans="1:26" ht="74.45" customHeight="1">
      <c r="A13" s="8" t="s">
        <v>172</v>
      </c>
      <c r="B13" s="8" t="s">
        <v>173</v>
      </c>
      <c r="C13" s="8" t="s">
        <v>107</v>
      </c>
      <c r="D13" s="8" t="s">
        <v>174</v>
      </c>
      <c r="E13" s="8" t="s">
        <v>155</v>
      </c>
      <c r="F13" s="8" t="s">
        <v>175</v>
      </c>
      <c r="G13" s="8" t="s">
        <v>157</v>
      </c>
      <c r="H13" s="8" t="s">
        <v>176</v>
      </c>
      <c r="I13" s="8" t="s">
        <v>170</v>
      </c>
      <c r="J13" s="54" t="s">
        <v>159</v>
      </c>
      <c r="K13" s="10"/>
      <c r="L13" s="8"/>
      <c r="M13" s="140"/>
      <c r="N13" s="10">
        <v>20</v>
      </c>
      <c r="O13" s="10">
        <v>4</v>
      </c>
      <c r="P13" s="54">
        <v>2</v>
      </c>
      <c r="Q13" s="10">
        <v>2</v>
      </c>
      <c r="R13" s="54">
        <v>30</v>
      </c>
      <c r="S13" s="8"/>
      <c r="T13" s="9" t="s">
        <v>123</v>
      </c>
      <c r="U13" s="9" t="s">
        <v>123</v>
      </c>
      <c r="V13" s="9" t="s">
        <v>123</v>
      </c>
      <c r="W13" s="9" t="s">
        <v>123</v>
      </c>
      <c r="X13" s="9" t="s">
        <v>123</v>
      </c>
      <c r="Y13" s="9" t="s">
        <v>123</v>
      </c>
      <c r="Z13" t="s">
        <v>124</v>
      </c>
    </row>
    <row r="14" spans="1:26" ht="74.45" customHeight="1">
      <c r="A14" s="8" t="s">
        <v>177</v>
      </c>
      <c r="B14" s="8" t="s">
        <v>178</v>
      </c>
      <c r="C14" s="8" t="s">
        <v>107</v>
      </c>
      <c r="D14" s="8" t="s">
        <v>167</v>
      </c>
      <c r="E14" s="8" t="s">
        <v>155</v>
      </c>
      <c r="F14" s="8" t="s">
        <v>179</v>
      </c>
      <c r="G14" s="8" t="s">
        <v>157</v>
      </c>
      <c r="H14" s="8" t="s">
        <v>180</v>
      </c>
      <c r="I14" s="8" t="s">
        <v>170</v>
      </c>
      <c r="J14" s="54" t="s">
        <v>159</v>
      </c>
      <c r="K14" s="10"/>
      <c r="L14" s="8"/>
      <c r="M14" s="141"/>
      <c r="N14" s="10">
        <v>15</v>
      </c>
      <c r="O14" s="10">
        <v>0</v>
      </c>
      <c r="P14" s="54">
        <v>12</v>
      </c>
      <c r="Q14" s="10">
        <v>5</v>
      </c>
      <c r="R14" s="54">
        <v>24</v>
      </c>
      <c r="S14" s="8"/>
      <c r="T14" s="30" t="s">
        <v>123</v>
      </c>
      <c r="U14" s="9" t="s">
        <v>123</v>
      </c>
      <c r="V14" s="9" t="s">
        <v>123</v>
      </c>
      <c r="W14" s="9" t="s">
        <v>123</v>
      </c>
      <c r="X14" s="9" t="s">
        <v>123</v>
      </c>
      <c r="Y14" s="9" t="s">
        <v>123</v>
      </c>
      <c r="Z14" t="s">
        <v>124</v>
      </c>
    </row>
    <row r="15" spans="1:26" ht="39" customHeight="1">
      <c r="A15" s="10" t="s">
        <v>127</v>
      </c>
      <c r="B15" s="10" t="s">
        <v>181</v>
      </c>
      <c r="C15" s="146" t="s">
        <v>107</v>
      </c>
      <c r="D15" s="146" t="s">
        <v>167</v>
      </c>
      <c r="E15" s="146" t="s">
        <v>155</v>
      </c>
      <c r="F15" s="146" t="s">
        <v>182</v>
      </c>
      <c r="G15" s="146" t="s">
        <v>157</v>
      </c>
      <c r="H15" s="184" t="s">
        <v>127</v>
      </c>
      <c r="I15" s="184" t="s">
        <v>127</v>
      </c>
      <c r="J15" s="148" t="s">
        <v>159</v>
      </c>
      <c r="K15" s="184" t="s">
        <v>127</v>
      </c>
      <c r="L15" s="185"/>
      <c r="M15" s="148" t="s">
        <v>183</v>
      </c>
      <c r="N15" s="185">
        <v>0</v>
      </c>
      <c r="O15" s="185">
        <v>0</v>
      </c>
      <c r="P15" s="185">
        <v>2</v>
      </c>
      <c r="Q15" s="148" t="s">
        <v>184</v>
      </c>
      <c r="R15" s="185">
        <v>0</v>
      </c>
      <c r="S15" s="185"/>
      <c r="T15" s="30" t="s">
        <v>123</v>
      </c>
      <c r="U15" s="9" t="s">
        <v>123</v>
      </c>
      <c r="V15" s="9" t="s">
        <v>123</v>
      </c>
      <c r="W15" s="9" t="s">
        <v>123</v>
      </c>
      <c r="X15" s="9" t="s">
        <v>123</v>
      </c>
      <c r="Y15" s="9" t="s">
        <v>123</v>
      </c>
    </row>
    <row r="16" spans="1:26" ht="39" customHeight="1">
      <c r="A16" s="10" t="s">
        <v>127</v>
      </c>
      <c r="B16" s="10" t="s">
        <v>185</v>
      </c>
      <c r="C16" s="146"/>
      <c r="D16" s="146"/>
      <c r="E16" s="146"/>
      <c r="F16" s="146"/>
      <c r="G16" s="146"/>
      <c r="H16" s="185"/>
      <c r="I16" s="185"/>
      <c r="J16" s="148"/>
      <c r="K16" s="185"/>
      <c r="L16" s="185"/>
      <c r="M16" s="185"/>
      <c r="N16" s="185"/>
      <c r="O16" s="185"/>
      <c r="P16" s="185"/>
      <c r="Q16" s="185"/>
      <c r="R16" s="185"/>
      <c r="S16" s="185"/>
      <c r="T16" s="30" t="s">
        <v>123</v>
      </c>
      <c r="U16" s="9" t="s">
        <v>123</v>
      </c>
      <c r="V16" s="9" t="s">
        <v>123</v>
      </c>
      <c r="W16" s="9" t="s">
        <v>123</v>
      </c>
      <c r="X16" s="9" t="s">
        <v>123</v>
      </c>
      <c r="Y16" s="9" t="s">
        <v>123</v>
      </c>
    </row>
  </sheetData>
  <mergeCells count="84">
    <mergeCell ref="V5:V6"/>
    <mergeCell ref="W5:W6"/>
    <mergeCell ref="X5:X6"/>
    <mergeCell ref="M15:M16"/>
    <mergeCell ref="P5:P6"/>
    <mergeCell ref="O5:O6"/>
    <mergeCell ref="N5:N6"/>
    <mergeCell ref="R5:R6"/>
    <mergeCell ref="U5:U6"/>
    <mergeCell ref="M10:M11"/>
    <mergeCell ref="P15:P16"/>
    <mergeCell ref="Q15:Q16"/>
    <mergeCell ref="R10:R11"/>
    <mergeCell ref="S10:S11"/>
    <mergeCell ref="R15:R16"/>
    <mergeCell ref="S15:S16"/>
    <mergeCell ref="L10:L11"/>
    <mergeCell ref="N10:N11"/>
    <mergeCell ref="O10:O11"/>
    <mergeCell ref="P10:P11"/>
    <mergeCell ref="Q10:Q11"/>
    <mergeCell ref="L15:L16"/>
    <mergeCell ref="N15:N16"/>
    <mergeCell ref="O15:O16"/>
    <mergeCell ref="I15:I16"/>
    <mergeCell ref="J15:J16"/>
    <mergeCell ref="I10:I11"/>
    <mergeCell ref="J10:J11"/>
    <mergeCell ref="K10:K11"/>
    <mergeCell ref="K15:K16"/>
    <mergeCell ref="F10:F11"/>
    <mergeCell ref="F15:F16"/>
    <mergeCell ref="G10:G11"/>
    <mergeCell ref="G15:G16"/>
    <mergeCell ref="H10:H11"/>
    <mergeCell ref="H15:H16"/>
    <mergeCell ref="C10:C11"/>
    <mergeCell ref="D10:D11"/>
    <mergeCell ref="E10:E11"/>
    <mergeCell ref="C15:C16"/>
    <mergeCell ref="D15:D16"/>
    <mergeCell ref="E15:E16"/>
    <mergeCell ref="Y3:Y4"/>
    <mergeCell ref="C3:C4"/>
    <mergeCell ref="C5:C6"/>
    <mergeCell ref="D5:D6"/>
    <mergeCell ref="E5:E6"/>
    <mergeCell ref="F5:F6"/>
    <mergeCell ref="G5:G6"/>
    <mergeCell ref="H5:H6"/>
    <mergeCell ref="I5:I6"/>
    <mergeCell ref="J5:J6"/>
    <mergeCell ref="K5:K6"/>
    <mergeCell ref="L5:L6"/>
    <mergeCell ref="S5:S6"/>
    <mergeCell ref="M3:M4"/>
    <mergeCell ref="M5:M6"/>
    <mergeCell ref="Q5:Q6"/>
    <mergeCell ref="F1:L1"/>
    <mergeCell ref="D3:D4"/>
    <mergeCell ref="E3:E4"/>
    <mergeCell ref="F3:F4"/>
    <mergeCell ref="G3:G4"/>
    <mergeCell ref="H3:H4"/>
    <mergeCell ref="I3:I4"/>
    <mergeCell ref="J3:J4"/>
    <mergeCell ref="K3:K4"/>
    <mergeCell ref="L3:L4"/>
    <mergeCell ref="Q3:Q4"/>
    <mergeCell ref="M12:M14"/>
    <mergeCell ref="V3:V4"/>
    <mergeCell ref="N1:S1"/>
    <mergeCell ref="T1:Y1"/>
    <mergeCell ref="N3:N4"/>
    <mergeCell ref="O3:O4"/>
    <mergeCell ref="P3:P4"/>
    <mergeCell ref="T5:T6"/>
    <mergeCell ref="R3:R4"/>
    <mergeCell ref="S3:S4"/>
    <mergeCell ref="T3:T4"/>
    <mergeCell ref="U3:U4"/>
    <mergeCell ref="Y5:Y6"/>
    <mergeCell ref="W3:W4"/>
    <mergeCell ref="X3:X4"/>
  </mergeCells>
  <phoneticPr fontId="2"/>
  <dataValidations count="1">
    <dataValidation type="list" allowBlank="1" showInputMessage="1" showErrorMessage="1" sqref="T3:Y3 T7:Y16 T5:Y5" xr:uid="{00000000-0002-0000-0500-000000000000}">
      <formula1>"〇,×,不明,-"</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T19"/>
  <sheetViews>
    <sheetView topLeftCell="A4" zoomScale="80" zoomScaleNormal="80" workbookViewId="0">
      <selection activeCell="D8" sqref="D8"/>
    </sheetView>
  </sheetViews>
  <sheetFormatPr defaultColWidth="8.625" defaultRowHeight="18"/>
  <cols>
    <col min="1" max="1" width="2.625" style="21" customWidth="1"/>
    <col min="2" max="2" width="4.125" style="21" bestFit="1" customWidth="1"/>
    <col min="3" max="3" width="37.625" style="21" customWidth="1"/>
    <col min="4" max="4" width="44.625" style="21" customWidth="1"/>
    <col min="5" max="19" width="9.875" style="21" customWidth="1"/>
    <col min="20" max="20" width="53.125" style="21" customWidth="1"/>
    <col min="21" max="16384" width="8.625" style="21"/>
  </cols>
  <sheetData>
    <row r="1" spans="2:20" ht="18.600000000000001" thickBot="1">
      <c r="C1" s="21" t="s">
        <v>186</v>
      </c>
    </row>
    <row r="2" spans="2:20">
      <c r="D2" s="50" t="s">
        <v>187</v>
      </c>
      <c r="E2" s="154" t="s">
        <v>188</v>
      </c>
      <c r="F2" s="155"/>
      <c r="G2" s="155"/>
      <c r="H2" s="155"/>
      <c r="I2" s="156"/>
      <c r="J2" s="157" t="s">
        <v>21</v>
      </c>
      <c r="K2" s="155"/>
      <c r="L2" s="155"/>
      <c r="M2" s="155"/>
      <c r="N2" s="156"/>
      <c r="O2" s="157" t="s">
        <v>189</v>
      </c>
      <c r="P2" s="155"/>
      <c r="Q2" s="155"/>
      <c r="R2" s="155"/>
      <c r="S2" s="156"/>
    </row>
    <row r="3" spans="2:20">
      <c r="B3" s="19"/>
      <c r="C3" s="19"/>
      <c r="D3" s="20"/>
      <c r="E3" s="151" t="s">
        <v>190</v>
      </c>
      <c r="F3" s="152"/>
      <c r="G3" s="152"/>
      <c r="H3" s="153"/>
      <c r="I3" s="38"/>
      <c r="J3" s="151" t="s">
        <v>190</v>
      </c>
      <c r="K3" s="152"/>
      <c r="L3" s="152"/>
      <c r="M3" s="153"/>
      <c r="N3" s="38"/>
      <c r="O3" s="151" t="s">
        <v>190</v>
      </c>
      <c r="P3" s="152"/>
      <c r="Q3" s="152"/>
      <c r="R3" s="153"/>
      <c r="S3" s="38"/>
      <c r="T3" s="19"/>
    </row>
    <row r="4" spans="2:20" ht="39.75" customHeight="1">
      <c r="B4" s="22" t="s">
        <v>191</v>
      </c>
      <c r="C4" s="22" t="s">
        <v>192</v>
      </c>
      <c r="D4" s="22" t="s">
        <v>193</v>
      </c>
      <c r="E4" s="39" t="s">
        <v>194</v>
      </c>
      <c r="F4" s="23" t="s">
        <v>195</v>
      </c>
      <c r="G4" s="23" t="s">
        <v>196</v>
      </c>
      <c r="H4" s="23" t="s">
        <v>197</v>
      </c>
      <c r="I4" s="40" t="s">
        <v>198</v>
      </c>
      <c r="J4" s="39" t="s">
        <v>194</v>
      </c>
      <c r="K4" s="23" t="s">
        <v>195</v>
      </c>
      <c r="L4" s="23" t="s">
        <v>196</v>
      </c>
      <c r="M4" s="23" t="s">
        <v>197</v>
      </c>
      <c r="N4" s="40" t="s">
        <v>198</v>
      </c>
      <c r="O4" s="39" t="s">
        <v>194</v>
      </c>
      <c r="P4" s="23" t="s">
        <v>195</v>
      </c>
      <c r="Q4" s="23" t="s">
        <v>196</v>
      </c>
      <c r="R4" s="23" t="s">
        <v>197</v>
      </c>
      <c r="S4" s="40" t="s">
        <v>198</v>
      </c>
      <c r="T4" s="22" t="s">
        <v>199</v>
      </c>
    </row>
    <row r="5" spans="2:20" ht="36">
      <c r="B5" s="24">
        <v>1</v>
      </c>
      <c r="C5" s="24" t="s">
        <v>200</v>
      </c>
      <c r="D5" s="25" t="s">
        <v>201</v>
      </c>
      <c r="E5" s="41">
        <v>1</v>
      </c>
      <c r="F5" s="26">
        <v>0.5</v>
      </c>
      <c r="G5" s="26">
        <v>1</v>
      </c>
      <c r="H5" s="26">
        <f>SUM(E5:G5)*0.15</f>
        <v>0.375</v>
      </c>
      <c r="I5" s="42">
        <f>SUM(E5:H5)</f>
        <v>2.875</v>
      </c>
      <c r="J5" s="41">
        <v>1</v>
      </c>
      <c r="K5" s="26">
        <v>0.5</v>
      </c>
      <c r="L5" s="26">
        <v>1</v>
      </c>
      <c r="M5" s="26">
        <f>SUM(J5:L5)*0.15</f>
        <v>0.375</v>
      </c>
      <c r="N5" s="42">
        <f>SUM(J5:M5)</f>
        <v>2.875</v>
      </c>
      <c r="O5" s="41"/>
      <c r="P5" s="26"/>
      <c r="Q5" s="26"/>
      <c r="R5" s="26">
        <f>SUM(O5:Q5)*0.15</f>
        <v>0</v>
      </c>
      <c r="S5" s="42">
        <f>SUM(O5:R5)</f>
        <v>0</v>
      </c>
      <c r="T5" s="24"/>
    </row>
    <row r="6" spans="2:20">
      <c r="B6" s="24">
        <v>2</v>
      </c>
      <c r="C6" s="24" t="s">
        <v>200</v>
      </c>
      <c r="D6" s="25" t="s">
        <v>202</v>
      </c>
      <c r="E6" s="41">
        <v>1.25</v>
      </c>
      <c r="F6" s="26">
        <v>0.5</v>
      </c>
      <c r="G6" s="26">
        <v>1</v>
      </c>
      <c r="H6" s="26">
        <f t="shared" ref="H6:H14" si="0">SUM(E6:G6)*0.15</f>
        <v>0.41249999999999998</v>
      </c>
      <c r="I6" s="42">
        <f t="shared" ref="I6:I14" si="1">SUM(E6:H6)</f>
        <v>3.1625000000000001</v>
      </c>
      <c r="J6" s="41">
        <v>0.25</v>
      </c>
      <c r="K6" s="26">
        <v>0.25</v>
      </c>
      <c r="L6" s="26">
        <v>0.5</v>
      </c>
      <c r="M6" s="26">
        <f t="shared" ref="M6:M14" si="2">SUM(J6:L6)*0.15</f>
        <v>0.15</v>
      </c>
      <c r="N6" s="42">
        <f t="shared" ref="N6:N13" si="3">SUM(J6:M6)</f>
        <v>1.1499999999999999</v>
      </c>
      <c r="O6" s="41"/>
      <c r="P6" s="26"/>
      <c r="Q6" s="26"/>
      <c r="R6" s="26"/>
      <c r="S6" s="42"/>
      <c r="T6" s="24"/>
    </row>
    <row r="7" spans="2:20">
      <c r="B7" s="24">
        <v>3</v>
      </c>
      <c r="C7" s="24" t="s">
        <v>203</v>
      </c>
      <c r="D7" s="24" t="s">
        <v>204</v>
      </c>
      <c r="E7" s="41">
        <v>1</v>
      </c>
      <c r="F7" s="26">
        <v>1</v>
      </c>
      <c r="G7" s="26">
        <v>0.5</v>
      </c>
      <c r="H7" s="26">
        <f t="shared" si="0"/>
        <v>0.375</v>
      </c>
      <c r="I7" s="42">
        <f t="shared" si="1"/>
        <v>2.875</v>
      </c>
      <c r="J7" s="41">
        <v>0.5</v>
      </c>
      <c r="K7" s="26">
        <v>0.5</v>
      </c>
      <c r="L7" s="26">
        <v>0.5</v>
      </c>
      <c r="M7" s="26">
        <f t="shared" si="2"/>
        <v>0.22499999999999998</v>
      </c>
      <c r="N7" s="42">
        <f t="shared" si="3"/>
        <v>1.7250000000000001</v>
      </c>
      <c r="O7" s="41"/>
      <c r="P7" s="26"/>
      <c r="Q7" s="26"/>
      <c r="R7" s="26">
        <f t="shared" ref="R7" si="4">SUM(O7:Q7)*0.15</f>
        <v>0</v>
      </c>
      <c r="S7" s="42">
        <f t="shared" ref="S7" si="5">SUM(O7:R7)</f>
        <v>0</v>
      </c>
      <c r="T7" s="27"/>
    </row>
    <row r="8" spans="2:20">
      <c r="B8" s="24">
        <v>4</v>
      </c>
      <c r="C8" s="24" t="s">
        <v>205</v>
      </c>
      <c r="D8" s="25" t="s">
        <v>206</v>
      </c>
      <c r="E8" s="41">
        <v>0.25</v>
      </c>
      <c r="F8" s="26">
        <v>0.1</v>
      </c>
      <c r="G8" s="26">
        <v>0.1</v>
      </c>
      <c r="H8" s="26">
        <f t="shared" si="0"/>
        <v>6.7499999999999991E-2</v>
      </c>
      <c r="I8" s="42">
        <f t="shared" si="1"/>
        <v>0.51749999999999996</v>
      </c>
      <c r="J8" s="41">
        <v>0.1</v>
      </c>
      <c r="K8" s="51">
        <v>0.1</v>
      </c>
      <c r="L8" s="51">
        <v>0.25</v>
      </c>
      <c r="M8" s="26">
        <f t="shared" si="2"/>
        <v>6.7500000000000004E-2</v>
      </c>
      <c r="N8" s="42">
        <f t="shared" si="3"/>
        <v>0.51750000000000007</v>
      </c>
      <c r="O8" s="41"/>
      <c r="P8" s="26"/>
      <c r="Q8" s="26"/>
      <c r="R8" s="26">
        <f t="shared" ref="R8:R14" si="6">SUM(O8:Q8)*0.15</f>
        <v>0</v>
      </c>
      <c r="S8" s="42">
        <f t="shared" ref="S8:S14" si="7">SUM(O8:R8)</f>
        <v>0</v>
      </c>
      <c r="T8" s="27"/>
    </row>
    <row r="9" spans="2:20">
      <c r="B9" s="24">
        <v>5</v>
      </c>
      <c r="C9" s="24" t="s">
        <v>205</v>
      </c>
      <c r="D9" s="25" t="s">
        <v>207</v>
      </c>
      <c r="E9" s="41">
        <v>1.5</v>
      </c>
      <c r="F9" s="26">
        <v>1</v>
      </c>
      <c r="G9" s="26">
        <v>0.5</v>
      </c>
      <c r="H9" s="26">
        <f t="shared" si="0"/>
        <v>0.44999999999999996</v>
      </c>
      <c r="I9" s="42">
        <f t="shared" si="1"/>
        <v>3.45</v>
      </c>
      <c r="J9" s="41"/>
      <c r="K9" s="26"/>
      <c r="L9" s="26"/>
      <c r="M9" s="26">
        <f t="shared" si="2"/>
        <v>0</v>
      </c>
      <c r="N9" s="42">
        <f t="shared" si="3"/>
        <v>0</v>
      </c>
      <c r="O9" s="41"/>
      <c r="P9" s="26"/>
      <c r="Q9" s="26"/>
      <c r="R9" s="26"/>
      <c r="S9" s="42"/>
      <c r="T9" s="27"/>
    </row>
    <row r="10" spans="2:20" ht="36">
      <c r="B10" s="24">
        <v>6</v>
      </c>
      <c r="C10" s="24" t="s">
        <v>205</v>
      </c>
      <c r="D10" s="25" t="s">
        <v>208</v>
      </c>
      <c r="E10" s="41">
        <v>1</v>
      </c>
      <c r="F10" s="26">
        <v>1</v>
      </c>
      <c r="G10" s="26">
        <v>0.5</v>
      </c>
      <c r="H10" s="26">
        <f t="shared" si="0"/>
        <v>0.375</v>
      </c>
      <c r="I10" s="42">
        <f t="shared" si="1"/>
        <v>2.875</v>
      </c>
      <c r="J10" s="41"/>
      <c r="K10" s="26"/>
      <c r="L10" s="26"/>
      <c r="M10" s="26">
        <f t="shared" si="2"/>
        <v>0</v>
      </c>
      <c r="N10" s="42">
        <f t="shared" si="3"/>
        <v>0</v>
      </c>
      <c r="O10" s="41"/>
      <c r="P10" s="26"/>
      <c r="Q10" s="26"/>
      <c r="R10" s="26"/>
      <c r="S10" s="42"/>
      <c r="T10" s="27"/>
    </row>
    <row r="11" spans="2:20">
      <c r="B11" s="24">
        <v>7</v>
      </c>
      <c r="C11" s="24" t="s">
        <v>209</v>
      </c>
      <c r="D11" s="24" t="s">
        <v>210</v>
      </c>
      <c r="E11" s="41">
        <v>0.1</v>
      </c>
      <c r="F11" s="26">
        <v>0.1</v>
      </c>
      <c r="G11" s="26">
        <v>0.1</v>
      </c>
      <c r="H11" s="26">
        <f t="shared" si="0"/>
        <v>4.5000000000000005E-2</v>
      </c>
      <c r="I11" s="42">
        <f t="shared" si="1"/>
        <v>0.34500000000000003</v>
      </c>
      <c r="J11" s="41"/>
      <c r="K11" s="26"/>
      <c r="L11" s="26"/>
      <c r="M11" s="26">
        <f>SUM(J11:L11)*0.15</f>
        <v>0</v>
      </c>
      <c r="N11" s="42">
        <f>SUM(J11:M11)</f>
        <v>0</v>
      </c>
      <c r="O11" s="41"/>
      <c r="P11" s="26"/>
      <c r="Q11" s="26"/>
      <c r="R11" s="26">
        <f>SUM(O11:Q11)*0.15</f>
        <v>0</v>
      </c>
      <c r="S11" s="42">
        <f>SUM(O11:R11)</f>
        <v>0</v>
      </c>
      <c r="T11" s="27"/>
    </row>
    <row r="12" spans="2:20">
      <c r="B12" s="24">
        <v>8</v>
      </c>
      <c r="C12" s="24" t="s">
        <v>211</v>
      </c>
      <c r="D12" s="24" t="s">
        <v>212</v>
      </c>
      <c r="E12" s="41">
        <v>0.1</v>
      </c>
      <c r="F12" s="26">
        <v>0.1</v>
      </c>
      <c r="G12" s="26">
        <v>0.1</v>
      </c>
      <c r="H12" s="26">
        <f t="shared" si="0"/>
        <v>4.5000000000000005E-2</v>
      </c>
      <c r="I12" s="42">
        <f t="shared" si="1"/>
        <v>0.34500000000000003</v>
      </c>
      <c r="J12" s="41"/>
      <c r="K12" s="26"/>
      <c r="L12" s="26"/>
      <c r="M12" s="26">
        <f t="shared" si="2"/>
        <v>0</v>
      </c>
      <c r="N12" s="42">
        <f t="shared" si="3"/>
        <v>0</v>
      </c>
      <c r="O12" s="41"/>
      <c r="P12" s="26"/>
      <c r="Q12" s="26"/>
      <c r="R12" s="26">
        <f t="shared" si="6"/>
        <v>0</v>
      </c>
      <c r="S12" s="42">
        <f t="shared" si="7"/>
        <v>0</v>
      </c>
      <c r="T12" s="27"/>
    </row>
    <row r="13" spans="2:20">
      <c r="B13" s="24">
        <v>9</v>
      </c>
      <c r="C13" s="24" t="s">
        <v>213</v>
      </c>
      <c r="D13" s="25" t="s">
        <v>214</v>
      </c>
      <c r="E13" s="41">
        <v>0.1</v>
      </c>
      <c r="F13" s="26">
        <v>0.1</v>
      </c>
      <c r="G13" s="26">
        <v>0.1</v>
      </c>
      <c r="H13" s="26">
        <f t="shared" si="0"/>
        <v>4.5000000000000005E-2</v>
      </c>
      <c r="I13" s="42">
        <f t="shared" si="1"/>
        <v>0.34500000000000003</v>
      </c>
      <c r="J13" s="41"/>
      <c r="K13" s="26"/>
      <c r="L13" s="26"/>
      <c r="M13" s="26">
        <f t="shared" si="2"/>
        <v>0</v>
      </c>
      <c r="N13" s="42">
        <f t="shared" si="3"/>
        <v>0</v>
      </c>
      <c r="O13" s="41"/>
      <c r="P13" s="26"/>
      <c r="Q13" s="26"/>
      <c r="R13" s="26">
        <f t="shared" si="6"/>
        <v>0</v>
      </c>
      <c r="S13" s="42">
        <f t="shared" si="7"/>
        <v>0</v>
      </c>
      <c r="T13" s="27" t="s">
        <v>215</v>
      </c>
    </row>
    <row r="14" spans="2:20">
      <c r="B14" s="24">
        <v>10</v>
      </c>
      <c r="C14" s="24" t="s">
        <v>213</v>
      </c>
      <c r="D14" s="24" t="s">
        <v>216</v>
      </c>
      <c r="E14" s="26">
        <v>0.5</v>
      </c>
      <c r="F14" s="26">
        <v>0.25</v>
      </c>
      <c r="G14" s="26">
        <v>0.25</v>
      </c>
      <c r="H14" s="26">
        <f t="shared" si="0"/>
        <v>0.15</v>
      </c>
      <c r="I14" s="42">
        <f t="shared" si="1"/>
        <v>1.1499999999999999</v>
      </c>
      <c r="J14" s="41"/>
      <c r="K14" s="26"/>
      <c r="L14" s="26"/>
      <c r="M14" s="26">
        <f t="shared" si="2"/>
        <v>0</v>
      </c>
      <c r="N14" s="42">
        <f>SUM(J14:M14)</f>
        <v>0</v>
      </c>
      <c r="O14" s="41"/>
      <c r="P14" s="26"/>
      <c r="Q14" s="26"/>
      <c r="R14" s="26">
        <f t="shared" si="6"/>
        <v>0</v>
      </c>
      <c r="S14" s="42">
        <f t="shared" si="7"/>
        <v>0</v>
      </c>
      <c r="T14" s="27" t="s">
        <v>217</v>
      </c>
    </row>
    <row r="15" spans="2:20">
      <c r="E15" s="43"/>
      <c r="I15" s="44"/>
      <c r="J15" s="43"/>
      <c r="N15" s="44"/>
      <c r="O15" s="43"/>
      <c r="S15" s="44"/>
    </row>
    <row r="16" spans="2:20">
      <c r="D16" s="24" t="s">
        <v>218</v>
      </c>
      <c r="E16" s="41">
        <f t="shared" ref="E16:S16" si="8">SUM(E5:E14)</f>
        <v>6.7999999999999989</v>
      </c>
      <c r="F16" s="26">
        <f t="shared" si="8"/>
        <v>4.6499999999999986</v>
      </c>
      <c r="G16" s="26">
        <f t="shared" si="8"/>
        <v>4.1500000000000004</v>
      </c>
      <c r="H16" s="26">
        <f t="shared" si="8"/>
        <v>2.3399999999999994</v>
      </c>
      <c r="I16" s="42">
        <f t="shared" si="8"/>
        <v>17.939999999999994</v>
      </c>
      <c r="J16" s="41">
        <f t="shared" si="8"/>
        <v>1.85</v>
      </c>
      <c r="K16" s="26">
        <f t="shared" si="8"/>
        <v>1.35</v>
      </c>
      <c r="L16" s="26">
        <f t="shared" si="8"/>
        <v>2.25</v>
      </c>
      <c r="M16" s="26">
        <f t="shared" si="8"/>
        <v>0.8175</v>
      </c>
      <c r="N16" s="42">
        <f t="shared" si="8"/>
        <v>6.2675000000000001</v>
      </c>
      <c r="O16" s="41">
        <f t="shared" si="8"/>
        <v>0</v>
      </c>
      <c r="P16" s="26">
        <f t="shared" si="8"/>
        <v>0</v>
      </c>
      <c r="Q16" s="26">
        <f t="shared" si="8"/>
        <v>0</v>
      </c>
      <c r="R16" s="26">
        <f t="shared" si="8"/>
        <v>0</v>
      </c>
      <c r="S16" s="42">
        <f t="shared" si="8"/>
        <v>0</v>
      </c>
      <c r="T16" s="28"/>
    </row>
    <row r="17" spans="4:19">
      <c r="E17" s="43"/>
      <c r="I17" s="44"/>
      <c r="J17" s="43"/>
      <c r="N17" s="44"/>
      <c r="O17" s="43"/>
      <c r="S17" s="44"/>
    </row>
    <row r="18" spans="4:19">
      <c r="D18" s="24" t="s">
        <v>219</v>
      </c>
      <c r="E18" s="45">
        <v>1000</v>
      </c>
      <c r="F18" s="29">
        <v>1000</v>
      </c>
      <c r="G18" s="29">
        <v>1000</v>
      </c>
      <c r="H18" s="29">
        <v>1200</v>
      </c>
      <c r="I18" s="46">
        <f>AVERAGE(E18:H18)</f>
        <v>1050</v>
      </c>
      <c r="J18" s="45">
        <v>1000</v>
      </c>
      <c r="K18" s="29">
        <v>1000</v>
      </c>
      <c r="L18" s="29">
        <v>1000</v>
      </c>
      <c r="M18" s="29">
        <v>1200</v>
      </c>
      <c r="N18" s="46">
        <f>AVERAGE(J18:M18)</f>
        <v>1050</v>
      </c>
      <c r="O18" s="45">
        <v>1000</v>
      </c>
      <c r="P18" s="29">
        <v>1000</v>
      </c>
      <c r="Q18" s="29">
        <v>1000</v>
      </c>
      <c r="R18" s="29">
        <v>1200</v>
      </c>
      <c r="S18" s="46">
        <f>AVERAGE(O18:R18)</f>
        <v>1050</v>
      </c>
    </row>
    <row r="19" spans="4:19" ht="18.600000000000001" thickBot="1">
      <c r="D19" s="24" t="s">
        <v>220</v>
      </c>
      <c r="E19" s="47">
        <f>E16*E18</f>
        <v>6799.9999999999991</v>
      </c>
      <c r="F19" s="48">
        <f t="shared" ref="F19:G19" si="9">F16*F18</f>
        <v>4649.9999999999982</v>
      </c>
      <c r="G19" s="48">
        <f t="shared" si="9"/>
        <v>4150</v>
      </c>
      <c r="H19" s="48">
        <f>H16*H18</f>
        <v>2807.9999999999991</v>
      </c>
      <c r="I19" s="49">
        <f>SUM(E19:H19)</f>
        <v>18407.999999999996</v>
      </c>
      <c r="J19" s="47">
        <f>J16*J18</f>
        <v>1850</v>
      </c>
      <c r="K19" s="48">
        <f t="shared" ref="K19:L19" si="10">K16*K18</f>
        <v>1350</v>
      </c>
      <c r="L19" s="48">
        <f t="shared" si="10"/>
        <v>2250</v>
      </c>
      <c r="M19" s="48">
        <f>M16*M18</f>
        <v>981</v>
      </c>
      <c r="N19" s="49">
        <f>SUM(J19:M19)</f>
        <v>6431</v>
      </c>
      <c r="O19" s="47">
        <f>O16*O18</f>
        <v>0</v>
      </c>
      <c r="P19" s="48">
        <f t="shared" ref="P19:Q19" si="11">P16*P18</f>
        <v>0</v>
      </c>
      <c r="Q19" s="48">
        <f t="shared" si="11"/>
        <v>0</v>
      </c>
      <c r="R19" s="48">
        <f>R16*R18</f>
        <v>0</v>
      </c>
      <c r="S19" s="49">
        <f>SUM(O19:R19)</f>
        <v>0</v>
      </c>
    </row>
  </sheetData>
  <autoFilter ref="B4:Y14" xr:uid="{00000000-0009-0000-0000-000006000000}"/>
  <mergeCells count="6">
    <mergeCell ref="E3:H3"/>
    <mergeCell ref="E2:I2"/>
    <mergeCell ref="J2:N2"/>
    <mergeCell ref="O2:S2"/>
    <mergeCell ref="J3:M3"/>
    <mergeCell ref="O3:R3"/>
  </mergeCells>
  <phoneticPr fontId="2"/>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T36"/>
  <sheetViews>
    <sheetView zoomScale="80" zoomScaleNormal="80" workbookViewId="0">
      <selection activeCell="C1" sqref="C1"/>
    </sheetView>
  </sheetViews>
  <sheetFormatPr defaultColWidth="8.625" defaultRowHeight="18"/>
  <cols>
    <col min="1" max="1" width="2.625" style="21" customWidth="1"/>
    <col min="2" max="2" width="4.125" style="21" bestFit="1" customWidth="1"/>
    <col min="3" max="3" width="37.625" style="21" customWidth="1"/>
    <col min="4" max="4" width="44.625" style="21" customWidth="1"/>
    <col min="5" max="19" width="9.875" style="21" customWidth="1"/>
    <col min="20" max="20" width="53.125" style="21" customWidth="1"/>
    <col min="21" max="16384" width="8.625" style="21"/>
  </cols>
  <sheetData>
    <row r="1" spans="2:20" ht="18.600000000000001" thickBot="1">
      <c r="C1" s="21" t="s">
        <v>221</v>
      </c>
    </row>
    <row r="2" spans="2:20">
      <c r="D2" s="50" t="s">
        <v>187</v>
      </c>
      <c r="E2" s="154" t="s">
        <v>188</v>
      </c>
      <c r="F2" s="155"/>
      <c r="G2" s="155"/>
      <c r="H2" s="155"/>
      <c r="I2" s="156"/>
      <c r="J2" s="157" t="s">
        <v>21</v>
      </c>
      <c r="K2" s="155"/>
      <c r="L2" s="155"/>
      <c r="M2" s="155"/>
      <c r="N2" s="156"/>
      <c r="O2" s="157" t="s">
        <v>189</v>
      </c>
      <c r="P2" s="155"/>
      <c r="Q2" s="155"/>
      <c r="R2" s="155"/>
      <c r="S2" s="156"/>
    </row>
    <row r="3" spans="2:20">
      <c r="B3" s="19"/>
      <c r="C3" s="19"/>
      <c r="D3" s="20"/>
      <c r="E3" s="151" t="s">
        <v>190</v>
      </c>
      <c r="F3" s="152"/>
      <c r="G3" s="152"/>
      <c r="H3" s="153"/>
      <c r="I3" s="38"/>
      <c r="J3" s="151" t="s">
        <v>190</v>
      </c>
      <c r="K3" s="152"/>
      <c r="L3" s="152"/>
      <c r="M3" s="153"/>
      <c r="N3" s="38"/>
      <c r="O3" s="151" t="s">
        <v>190</v>
      </c>
      <c r="P3" s="152"/>
      <c r="Q3" s="152"/>
      <c r="R3" s="153"/>
      <c r="S3" s="38"/>
      <c r="T3" s="19"/>
    </row>
    <row r="4" spans="2:20" ht="39.75" customHeight="1">
      <c r="B4" s="22" t="s">
        <v>191</v>
      </c>
      <c r="C4" s="22" t="s">
        <v>192</v>
      </c>
      <c r="D4" s="22" t="s">
        <v>193</v>
      </c>
      <c r="E4" s="39" t="s">
        <v>194</v>
      </c>
      <c r="F4" s="23" t="s">
        <v>195</v>
      </c>
      <c r="G4" s="23" t="s">
        <v>196</v>
      </c>
      <c r="H4" s="23" t="s">
        <v>197</v>
      </c>
      <c r="I4" s="40" t="s">
        <v>198</v>
      </c>
      <c r="J4" s="39" t="s">
        <v>194</v>
      </c>
      <c r="K4" s="23" t="s">
        <v>195</v>
      </c>
      <c r="L4" s="23" t="s">
        <v>196</v>
      </c>
      <c r="M4" s="23" t="s">
        <v>197</v>
      </c>
      <c r="N4" s="40" t="s">
        <v>198</v>
      </c>
      <c r="O4" s="39" t="s">
        <v>194</v>
      </c>
      <c r="P4" s="23" t="s">
        <v>195</v>
      </c>
      <c r="Q4" s="23" t="s">
        <v>196</v>
      </c>
      <c r="R4" s="23" t="s">
        <v>197</v>
      </c>
      <c r="S4" s="40" t="s">
        <v>198</v>
      </c>
      <c r="T4" s="22" t="s">
        <v>199</v>
      </c>
    </row>
    <row r="5" spans="2:20" ht="36">
      <c r="B5" s="24">
        <v>1</v>
      </c>
      <c r="C5" s="24" t="s">
        <v>200</v>
      </c>
      <c r="D5" s="25" t="s">
        <v>222</v>
      </c>
      <c r="E5" s="41">
        <v>1</v>
      </c>
      <c r="F5" s="26">
        <v>0.5</v>
      </c>
      <c r="G5" s="26">
        <v>1</v>
      </c>
      <c r="H5" s="26">
        <f>SUM(E5:G5)*0.15</f>
        <v>0.375</v>
      </c>
      <c r="I5" s="42">
        <f>SUM(E5:H5)</f>
        <v>2.875</v>
      </c>
      <c r="J5" s="41">
        <v>1</v>
      </c>
      <c r="K5" s="26">
        <v>0.5</v>
      </c>
      <c r="L5" s="26">
        <v>1</v>
      </c>
      <c r="M5" s="26">
        <f>SUM(J5:L5)*0.15</f>
        <v>0.375</v>
      </c>
      <c r="N5" s="42">
        <f>SUM(J5:M5)</f>
        <v>2.875</v>
      </c>
      <c r="O5" s="41">
        <v>1</v>
      </c>
      <c r="P5" s="26">
        <v>0.5</v>
      </c>
      <c r="Q5" s="26">
        <v>1</v>
      </c>
      <c r="R5" s="26">
        <f>SUM(O5:Q5)*0.15</f>
        <v>0.375</v>
      </c>
      <c r="S5" s="42">
        <f>SUM(O5:R5)</f>
        <v>2.875</v>
      </c>
      <c r="T5" s="24" t="s">
        <v>223</v>
      </c>
    </row>
    <row r="6" spans="2:20" ht="36">
      <c r="B6" s="24">
        <v>2</v>
      </c>
      <c r="C6" s="24" t="s">
        <v>200</v>
      </c>
      <c r="D6" s="25" t="s">
        <v>224</v>
      </c>
      <c r="E6" s="41">
        <v>0.25</v>
      </c>
      <c r="F6" s="26">
        <v>0.5</v>
      </c>
      <c r="G6" s="26">
        <v>1</v>
      </c>
      <c r="H6" s="26">
        <f>SUM(E6:G6)*0.15</f>
        <v>0.26250000000000001</v>
      </c>
      <c r="I6" s="42">
        <f t="shared" ref="I6:I31" si="0">SUM(E6:H6)</f>
        <v>2.0125000000000002</v>
      </c>
      <c r="J6" s="41">
        <v>0.25</v>
      </c>
      <c r="K6" s="26">
        <v>0.5</v>
      </c>
      <c r="L6" s="26">
        <v>1</v>
      </c>
      <c r="M6" s="26">
        <f>SUM(J6:L6)*0.15</f>
        <v>0.26250000000000001</v>
      </c>
      <c r="N6" s="42">
        <f t="shared" ref="N6:N31" si="1">SUM(J6:M6)</f>
        <v>2.0125000000000002</v>
      </c>
      <c r="O6" s="41">
        <v>0.25</v>
      </c>
      <c r="P6" s="26">
        <v>0.5</v>
      </c>
      <c r="Q6" s="26">
        <v>1</v>
      </c>
      <c r="R6" s="26">
        <f>SUM(O6:Q6)*0.15</f>
        <v>0.26250000000000001</v>
      </c>
      <c r="S6" s="42">
        <f t="shared" ref="S6:S31" si="2">SUM(O6:R6)</f>
        <v>2.0125000000000002</v>
      </c>
      <c r="T6" s="24" t="s">
        <v>223</v>
      </c>
    </row>
    <row r="7" spans="2:20" ht="36">
      <c r="B7" s="24">
        <v>3</v>
      </c>
      <c r="C7" s="24" t="s">
        <v>200</v>
      </c>
      <c r="D7" s="25" t="s">
        <v>224</v>
      </c>
      <c r="E7" s="41">
        <v>1</v>
      </c>
      <c r="F7" s="26">
        <v>0.5</v>
      </c>
      <c r="G7" s="26">
        <v>1</v>
      </c>
      <c r="H7" s="26">
        <f>SUM(E7:G7)*0.15</f>
        <v>0.375</v>
      </c>
      <c r="I7" s="42">
        <f t="shared" si="0"/>
        <v>2.875</v>
      </c>
      <c r="J7" s="41">
        <v>1</v>
      </c>
      <c r="K7" s="26">
        <v>0.5</v>
      </c>
      <c r="L7" s="26">
        <v>1</v>
      </c>
      <c r="M7" s="26">
        <f>SUM(J7:L7)*0.15</f>
        <v>0.375</v>
      </c>
      <c r="N7" s="42">
        <f t="shared" si="1"/>
        <v>2.875</v>
      </c>
      <c r="O7" s="41">
        <v>1</v>
      </c>
      <c r="P7" s="26">
        <v>0.5</v>
      </c>
      <c r="Q7" s="26">
        <v>1</v>
      </c>
      <c r="R7" s="26">
        <f>SUM(O7:Q7)*0.15</f>
        <v>0.375</v>
      </c>
      <c r="S7" s="42">
        <f t="shared" si="2"/>
        <v>2.875</v>
      </c>
      <c r="T7" s="24" t="s">
        <v>223</v>
      </c>
    </row>
    <row r="8" spans="2:20" ht="36">
      <c r="B8" s="24">
        <v>4</v>
      </c>
      <c r="C8" s="24" t="s">
        <v>200</v>
      </c>
      <c r="D8" s="25" t="s">
        <v>224</v>
      </c>
      <c r="E8" s="41">
        <v>1</v>
      </c>
      <c r="F8" s="26">
        <v>0.5</v>
      </c>
      <c r="G8" s="26">
        <v>1</v>
      </c>
      <c r="H8" s="26">
        <f t="shared" ref="H8:H31" si="3">SUM(E8:G8)*0.15</f>
        <v>0.375</v>
      </c>
      <c r="I8" s="42">
        <f t="shared" si="0"/>
        <v>2.875</v>
      </c>
      <c r="J8" s="41">
        <v>1</v>
      </c>
      <c r="K8" s="26">
        <v>0.5</v>
      </c>
      <c r="L8" s="26">
        <v>1</v>
      </c>
      <c r="M8" s="26">
        <f t="shared" ref="M8:M31" si="4">SUM(J8:L8)*0.15</f>
        <v>0.375</v>
      </c>
      <c r="N8" s="42">
        <f t="shared" si="1"/>
        <v>2.875</v>
      </c>
      <c r="O8" s="41">
        <v>1</v>
      </c>
      <c r="P8" s="26">
        <v>0.5</v>
      </c>
      <c r="Q8" s="26">
        <v>1</v>
      </c>
      <c r="R8" s="26">
        <f t="shared" ref="R8:R31" si="5">SUM(O8:Q8)*0.15</f>
        <v>0.375</v>
      </c>
      <c r="S8" s="42">
        <f t="shared" si="2"/>
        <v>2.875</v>
      </c>
      <c r="T8" s="24" t="s">
        <v>223</v>
      </c>
    </row>
    <row r="9" spans="2:20" ht="36">
      <c r="B9" s="24">
        <v>5</v>
      </c>
      <c r="C9" s="24" t="s">
        <v>200</v>
      </c>
      <c r="D9" s="25" t="s">
        <v>222</v>
      </c>
      <c r="E9" s="41">
        <v>1</v>
      </c>
      <c r="F9" s="26">
        <v>0.5</v>
      </c>
      <c r="G9" s="26">
        <v>1</v>
      </c>
      <c r="H9" s="26">
        <f t="shared" si="3"/>
        <v>0.375</v>
      </c>
      <c r="I9" s="42">
        <f t="shared" si="0"/>
        <v>2.875</v>
      </c>
      <c r="J9" s="41">
        <v>1</v>
      </c>
      <c r="K9" s="26">
        <v>0.5</v>
      </c>
      <c r="L9" s="26">
        <v>1</v>
      </c>
      <c r="M9" s="26">
        <f t="shared" si="4"/>
        <v>0.375</v>
      </c>
      <c r="N9" s="42">
        <f t="shared" si="1"/>
        <v>2.875</v>
      </c>
      <c r="O9" s="41">
        <v>1</v>
      </c>
      <c r="P9" s="26">
        <v>0.5</v>
      </c>
      <c r="Q9" s="26">
        <v>1</v>
      </c>
      <c r="R9" s="26">
        <f t="shared" si="5"/>
        <v>0.375</v>
      </c>
      <c r="S9" s="42">
        <f t="shared" si="2"/>
        <v>2.875</v>
      </c>
      <c r="T9" s="24" t="s">
        <v>223</v>
      </c>
    </row>
    <row r="10" spans="2:20">
      <c r="B10" s="24">
        <v>6</v>
      </c>
      <c r="C10" s="24" t="s">
        <v>203</v>
      </c>
      <c r="D10" s="24" t="s">
        <v>225</v>
      </c>
      <c r="E10" s="41">
        <v>1</v>
      </c>
      <c r="F10" s="26">
        <v>0.25</v>
      </c>
      <c r="G10" s="26">
        <v>0.5</v>
      </c>
      <c r="H10" s="26">
        <f t="shared" si="3"/>
        <v>0.26250000000000001</v>
      </c>
      <c r="I10" s="42">
        <f t="shared" si="0"/>
        <v>2.0125000000000002</v>
      </c>
      <c r="J10" s="41">
        <v>1</v>
      </c>
      <c r="K10" s="26">
        <v>0.25</v>
      </c>
      <c r="L10" s="26">
        <v>0.5</v>
      </c>
      <c r="M10" s="26">
        <f t="shared" si="4"/>
        <v>0.26250000000000001</v>
      </c>
      <c r="N10" s="42">
        <f t="shared" si="1"/>
        <v>2.0125000000000002</v>
      </c>
      <c r="O10" s="41">
        <v>1</v>
      </c>
      <c r="P10" s="26">
        <v>0.25</v>
      </c>
      <c r="Q10" s="26">
        <v>0.5</v>
      </c>
      <c r="R10" s="26">
        <f t="shared" si="5"/>
        <v>0.26250000000000001</v>
      </c>
      <c r="S10" s="42">
        <f t="shared" si="2"/>
        <v>2.0125000000000002</v>
      </c>
      <c r="T10" s="27"/>
    </row>
    <row r="11" spans="2:20">
      <c r="B11" s="24">
        <v>7</v>
      </c>
      <c r="C11" s="24" t="s">
        <v>203</v>
      </c>
      <c r="D11" s="24" t="s">
        <v>225</v>
      </c>
      <c r="E11" s="41">
        <v>0.25</v>
      </c>
      <c r="F11" s="26">
        <v>0.25</v>
      </c>
      <c r="G11" s="26">
        <v>0.5</v>
      </c>
      <c r="H11" s="26">
        <f t="shared" si="3"/>
        <v>0.15</v>
      </c>
      <c r="I11" s="42">
        <f t="shared" si="0"/>
        <v>1.1499999999999999</v>
      </c>
      <c r="J11" s="41">
        <v>0.25</v>
      </c>
      <c r="K11" s="26">
        <v>0.25</v>
      </c>
      <c r="L11" s="26">
        <v>0.5</v>
      </c>
      <c r="M11" s="26">
        <f t="shared" si="4"/>
        <v>0.15</v>
      </c>
      <c r="N11" s="42">
        <f t="shared" si="1"/>
        <v>1.1499999999999999</v>
      </c>
      <c r="O11" s="41">
        <v>0.25</v>
      </c>
      <c r="P11" s="26">
        <v>0.25</v>
      </c>
      <c r="Q11" s="26">
        <v>0.5</v>
      </c>
      <c r="R11" s="26">
        <f t="shared" si="5"/>
        <v>0.15</v>
      </c>
      <c r="S11" s="42">
        <f t="shared" si="2"/>
        <v>1.1499999999999999</v>
      </c>
      <c r="T11" s="27"/>
    </row>
    <row r="12" spans="2:20">
      <c r="B12" s="24">
        <v>8</v>
      </c>
      <c r="C12" s="24" t="s">
        <v>226</v>
      </c>
      <c r="D12" s="24" t="s">
        <v>227</v>
      </c>
      <c r="E12" s="41">
        <v>0.5</v>
      </c>
      <c r="F12" s="26">
        <v>0.5</v>
      </c>
      <c r="G12" s="26">
        <v>1</v>
      </c>
      <c r="H12" s="26">
        <f t="shared" si="3"/>
        <v>0.3</v>
      </c>
      <c r="I12" s="42">
        <f t="shared" si="0"/>
        <v>2.2999999999999998</v>
      </c>
      <c r="J12" s="41">
        <v>0.5</v>
      </c>
      <c r="K12" s="26">
        <v>0.5</v>
      </c>
      <c r="L12" s="26">
        <v>1</v>
      </c>
      <c r="M12" s="26">
        <f t="shared" si="4"/>
        <v>0.3</v>
      </c>
      <c r="N12" s="42">
        <f t="shared" si="1"/>
        <v>2.2999999999999998</v>
      </c>
      <c r="O12" s="41">
        <v>0.5</v>
      </c>
      <c r="P12" s="26">
        <v>0.5</v>
      </c>
      <c r="Q12" s="26">
        <v>1</v>
      </c>
      <c r="R12" s="26">
        <f t="shared" si="5"/>
        <v>0.3</v>
      </c>
      <c r="S12" s="42">
        <f t="shared" si="2"/>
        <v>2.2999999999999998</v>
      </c>
      <c r="T12" s="27"/>
    </row>
    <row r="13" spans="2:20">
      <c r="B13" s="24">
        <v>9</v>
      </c>
      <c r="C13" s="24" t="s">
        <v>226</v>
      </c>
      <c r="D13" s="24" t="s">
        <v>227</v>
      </c>
      <c r="E13" s="41">
        <v>0.5</v>
      </c>
      <c r="F13" s="26">
        <v>0.25</v>
      </c>
      <c r="G13" s="26">
        <v>1</v>
      </c>
      <c r="H13" s="26">
        <f t="shared" si="3"/>
        <v>0.26250000000000001</v>
      </c>
      <c r="I13" s="42">
        <f t="shared" si="0"/>
        <v>2.0125000000000002</v>
      </c>
      <c r="J13" s="41">
        <v>0.5</v>
      </c>
      <c r="K13" s="26">
        <v>0.25</v>
      </c>
      <c r="L13" s="26">
        <v>1</v>
      </c>
      <c r="M13" s="26">
        <f t="shared" si="4"/>
        <v>0.26250000000000001</v>
      </c>
      <c r="N13" s="42">
        <f t="shared" si="1"/>
        <v>2.0125000000000002</v>
      </c>
      <c r="O13" s="41">
        <v>0.5</v>
      </c>
      <c r="P13" s="26">
        <v>0.25</v>
      </c>
      <c r="Q13" s="26">
        <v>1</v>
      </c>
      <c r="R13" s="26">
        <f t="shared" si="5"/>
        <v>0.26250000000000001</v>
      </c>
      <c r="S13" s="42">
        <f t="shared" si="2"/>
        <v>2.0125000000000002</v>
      </c>
      <c r="T13" s="27"/>
    </row>
    <row r="14" spans="2:20">
      <c r="B14" s="24">
        <v>10</v>
      </c>
      <c r="C14" s="24" t="s">
        <v>226</v>
      </c>
      <c r="D14" s="24" t="s">
        <v>227</v>
      </c>
      <c r="E14" s="41">
        <v>0.5</v>
      </c>
      <c r="F14" s="26">
        <v>0.25</v>
      </c>
      <c r="G14" s="26">
        <v>0.5</v>
      </c>
      <c r="H14" s="26">
        <f t="shared" si="3"/>
        <v>0.1875</v>
      </c>
      <c r="I14" s="42">
        <f t="shared" si="0"/>
        <v>1.4375</v>
      </c>
      <c r="J14" s="41">
        <v>0.5</v>
      </c>
      <c r="K14" s="26">
        <v>0.25</v>
      </c>
      <c r="L14" s="26">
        <v>0.5</v>
      </c>
      <c r="M14" s="26">
        <f t="shared" si="4"/>
        <v>0.1875</v>
      </c>
      <c r="N14" s="42">
        <f t="shared" si="1"/>
        <v>1.4375</v>
      </c>
      <c r="O14" s="41">
        <v>0.5</v>
      </c>
      <c r="P14" s="26">
        <v>0.25</v>
      </c>
      <c r="Q14" s="26">
        <v>0.5</v>
      </c>
      <c r="R14" s="26">
        <f t="shared" si="5"/>
        <v>0.1875</v>
      </c>
      <c r="S14" s="42">
        <f t="shared" si="2"/>
        <v>1.4375</v>
      </c>
      <c r="T14" s="27"/>
    </row>
    <row r="15" spans="2:20">
      <c r="B15" s="24">
        <v>11</v>
      </c>
      <c r="C15" s="24" t="s">
        <v>226</v>
      </c>
      <c r="D15" s="24" t="s">
        <v>227</v>
      </c>
      <c r="E15" s="41">
        <v>1</v>
      </c>
      <c r="F15" s="26">
        <v>1</v>
      </c>
      <c r="G15" s="26">
        <v>1</v>
      </c>
      <c r="H15" s="26">
        <f t="shared" si="3"/>
        <v>0.44999999999999996</v>
      </c>
      <c r="I15" s="42">
        <f t="shared" si="0"/>
        <v>3.45</v>
      </c>
      <c r="J15" s="41">
        <v>1</v>
      </c>
      <c r="K15" s="26">
        <v>1</v>
      </c>
      <c r="L15" s="26">
        <v>1</v>
      </c>
      <c r="M15" s="26">
        <f t="shared" si="4"/>
        <v>0.44999999999999996</v>
      </c>
      <c r="N15" s="42">
        <f t="shared" si="1"/>
        <v>3.45</v>
      </c>
      <c r="O15" s="41">
        <v>1</v>
      </c>
      <c r="P15" s="26">
        <v>1</v>
      </c>
      <c r="Q15" s="26">
        <v>1</v>
      </c>
      <c r="R15" s="26">
        <f t="shared" si="5"/>
        <v>0.44999999999999996</v>
      </c>
      <c r="S15" s="42">
        <f t="shared" si="2"/>
        <v>3.45</v>
      </c>
      <c r="T15" s="27"/>
    </row>
    <row r="16" spans="2:20">
      <c r="B16" s="24">
        <v>12</v>
      </c>
      <c r="C16" s="24" t="s">
        <v>226</v>
      </c>
      <c r="D16" s="24" t="s">
        <v>227</v>
      </c>
      <c r="E16" s="41" t="s">
        <v>127</v>
      </c>
      <c r="F16" s="26">
        <v>0.25</v>
      </c>
      <c r="G16" s="26">
        <v>0.5</v>
      </c>
      <c r="H16" s="26">
        <f t="shared" si="3"/>
        <v>0.11249999999999999</v>
      </c>
      <c r="I16" s="42">
        <f t="shared" si="0"/>
        <v>0.86250000000000004</v>
      </c>
      <c r="J16" s="41" t="s">
        <v>127</v>
      </c>
      <c r="K16" s="26">
        <v>0.25</v>
      </c>
      <c r="L16" s="26">
        <v>0.5</v>
      </c>
      <c r="M16" s="26">
        <f t="shared" si="4"/>
        <v>0.11249999999999999</v>
      </c>
      <c r="N16" s="42">
        <f t="shared" si="1"/>
        <v>0.86250000000000004</v>
      </c>
      <c r="O16" s="41" t="s">
        <v>127</v>
      </c>
      <c r="P16" s="26">
        <v>0.25</v>
      </c>
      <c r="Q16" s="26">
        <v>0.5</v>
      </c>
      <c r="R16" s="26">
        <f t="shared" si="5"/>
        <v>0.11249999999999999</v>
      </c>
      <c r="S16" s="42">
        <f t="shared" si="2"/>
        <v>0.86250000000000004</v>
      </c>
      <c r="T16" s="27"/>
    </row>
    <row r="17" spans="2:20">
      <c r="B17" s="24">
        <v>13</v>
      </c>
      <c r="C17" s="24" t="s">
        <v>209</v>
      </c>
      <c r="D17" s="24" t="s">
        <v>210</v>
      </c>
      <c r="E17" s="41">
        <v>0.1</v>
      </c>
      <c r="F17" s="26">
        <v>0.1</v>
      </c>
      <c r="G17" s="26">
        <v>0.1</v>
      </c>
      <c r="H17" s="26">
        <f t="shared" si="3"/>
        <v>4.5000000000000005E-2</v>
      </c>
      <c r="I17" s="42">
        <f t="shared" si="0"/>
        <v>0.34500000000000003</v>
      </c>
      <c r="J17" s="41">
        <v>0.1</v>
      </c>
      <c r="K17" s="26">
        <v>0.1</v>
      </c>
      <c r="L17" s="26">
        <v>0.1</v>
      </c>
      <c r="M17" s="26">
        <f t="shared" si="4"/>
        <v>4.5000000000000005E-2</v>
      </c>
      <c r="N17" s="42">
        <f t="shared" si="1"/>
        <v>0.34500000000000003</v>
      </c>
      <c r="O17" s="41">
        <v>0.1</v>
      </c>
      <c r="P17" s="26">
        <v>0.1</v>
      </c>
      <c r="Q17" s="26">
        <v>0.1</v>
      </c>
      <c r="R17" s="26">
        <f t="shared" si="5"/>
        <v>4.5000000000000005E-2</v>
      </c>
      <c r="S17" s="42">
        <f t="shared" si="2"/>
        <v>0.34500000000000003</v>
      </c>
      <c r="T17" s="27"/>
    </row>
    <row r="18" spans="2:20">
      <c r="B18" s="24">
        <v>14</v>
      </c>
      <c r="C18" s="24" t="s">
        <v>209</v>
      </c>
      <c r="D18" s="24" t="s">
        <v>210</v>
      </c>
      <c r="E18" s="41">
        <v>0.1</v>
      </c>
      <c r="F18" s="26">
        <v>0.1</v>
      </c>
      <c r="G18" s="26">
        <v>0.1</v>
      </c>
      <c r="H18" s="26">
        <f t="shared" si="3"/>
        <v>4.5000000000000005E-2</v>
      </c>
      <c r="I18" s="42">
        <f t="shared" si="0"/>
        <v>0.34500000000000003</v>
      </c>
      <c r="J18" s="41">
        <v>0.1</v>
      </c>
      <c r="K18" s="26">
        <v>0.1</v>
      </c>
      <c r="L18" s="26">
        <v>0.1</v>
      </c>
      <c r="M18" s="26">
        <f t="shared" si="4"/>
        <v>4.5000000000000005E-2</v>
      </c>
      <c r="N18" s="42">
        <f t="shared" si="1"/>
        <v>0.34500000000000003</v>
      </c>
      <c r="O18" s="41">
        <v>0.1</v>
      </c>
      <c r="P18" s="26">
        <v>0.1</v>
      </c>
      <c r="Q18" s="26">
        <v>0.1</v>
      </c>
      <c r="R18" s="26">
        <f t="shared" si="5"/>
        <v>4.5000000000000005E-2</v>
      </c>
      <c r="S18" s="42">
        <f t="shared" si="2"/>
        <v>0.34500000000000003</v>
      </c>
      <c r="T18" s="27"/>
    </row>
    <row r="19" spans="2:20">
      <c r="B19" s="24">
        <v>15</v>
      </c>
      <c r="C19" s="24" t="s">
        <v>209</v>
      </c>
      <c r="D19" s="24" t="s">
        <v>210</v>
      </c>
      <c r="E19" s="41">
        <v>0.1</v>
      </c>
      <c r="F19" s="26">
        <v>0.1</v>
      </c>
      <c r="G19" s="26">
        <v>0.1</v>
      </c>
      <c r="H19" s="26">
        <f t="shared" si="3"/>
        <v>4.5000000000000005E-2</v>
      </c>
      <c r="I19" s="42">
        <f t="shared" si="0"/>
        <v>0.34500000000000003</v>
      </c>
      <c r="J19" s="41">
        <v>0.1</v>
      </c>
      <c r="K19" s="26">
        <v>0.1</v>
      </c>
      <c r="L19" s="26">
        <v>0.1</v>
      </c>
      <c r="M19" s="26">
        <f t="shared" si="4"/>
        <v>4.5000000000000005E-2</v>
      </c>
      <c r="N19" s="42">
        <f t="shared" si="1"/>
        <v>0.34500000000000003</v>
      </c>
      <c r="O19" s="41">
        <v>0.1</v>
      </c>
      <c r="P19" s="26">
        <v>0.1</v>
      </c>
      <c r="Q19" s="26">
        <v>0.1</v>
      </c>
      <c r="R19" s="26">
        <f t="shared" si="5"/>
        <v>4.5000000000000005E-2</v>
      </c>
      <c r="S19" s="42">
        <f t="shared" si="2"/>
        <v>0.34500000000000003</v>
      </c>
      <c r="T19" s="27"/>
    </row>
    <row r="20" spans="2:20">
      <c r="B20" s="24">
        <v>16</v>
      </c>
      <c r="C20" s="24" t="s">
        <v>205</v>
      </c>
      <c r="D20" s="25" t="s">
        <v>228</v>
      </c>
      <c r="E20" s="41">
        <v>0.1</v>
      </c>
      <c r="F20" s="26">
        <v>0.1</v>
      </c>
      <c r="G20" s="26">
        <v>0.1</v>
      </c>
      <c r="H20" s="26">
        <f t="shared" si="3"/>
        <v>4.5000000000000005E-2</v>
      </c>
      <c r="I20" s="42">
        <f t="shared" si="0"/>
        <v>0.34500000000000003</v>
      </c>
      <c r="J20" s="41">
        <v>0.1</v>
      </c>
      <c r="K20" s="26">
        <v>0.1</v>
      </c>
      <c r="L20" s="26">
        <v>0.1</v>
      </c>
      <c r="M20" s="26">
        <f t="shared" si="4"/>
        <v>4.5000000000000005E-2</v>
      </c>
      <c r="N20" s="42">
        <f t="shared" si="1"/>
        <v>0.34500000000000003</v>
      </c>
      <c r="O20" s="41">
        <v>0.1</v>
      </c>
      <c r="P20" s="26">
        <v>0.1</v>
      </c>
      <c r="Q20" s="26">
        <v>0.1</v>
      </c>
      <c r="R20" s="26">
        <f t="shared" si="5"/>
        <v>4.5000000000000005E-2</v>
      </c>
      <c r="S20" s="42">
        <f t="shared" si="2"/>
        <v>0.34500000000000003</v>
      </c>
      <c r="T20" s="27"/>
    </row>
    <row r="21" spans="2:20">
      <c r="B21" s="24">
        <v>17</v>
      </c>
      <c r="C21" s="24" t="s">
        <v>205</v>
      </c>
      <c r="D21" s="25" t="s">
        <v>228</v>
      </c>
      <c r="E21" s="41">
        <v>0.1</v>
      </c>
      <c r="F21" s="26">
        <v>0.1</v>
      </c>
      <c r="G21" s="26">
        <v>0.1</v>
      </c>
      <c r="H21" s="26">
        <f t="shared" si="3"/>
        <v>4.5000000000000005E-2</v>
      </c>
      <c r="I21" s="42">
        <f t="shared" si="0"/>
        <v>0.34500000000000003</v>
      </c>
      <c r="J21" s="41">
        <v>0.1</v>
      </c>
      <c r="K21" s="26">
        <v>0.1</v>
      </c>
      <c r="L21" s="26">
        <v>0.1</v>
      </c>
      <c r="M21" s="26">
        <f t="shared" si="4"/>
        <v>4.5000000000000005E-2</v>
      </c>
      <c r="N21" s="42">
        <f t="shared" si="1"/>
        <v>0.34500000000000003</v>
      </c>
      <c r="O21" s="41">
        <v>0.1</v>
      </c>
      <c r="P21" s="26">
        <v>0.1</v>
      </c>
      <c r="Q21" s="26">
        <v>0.1</v>
      </c>
      <c r="R21" s="26">
        <f t="shared" si="5"/>
        <v>4.5000000000000005E-2</v>
      </c>
      <c r="S21" s="42">
        <f t="shared" si="2"/>
        <v>0.34500000000000003</v>
      </c>
      <c r="T21" s="27"/>
    </row>
    <row r="22" spans="2:20">
      <c r="B22" s="24">
        <v>18</v>
      </c>
      <c r="C22" s="24" t="s">
        <v>205</v>
      </c>
      <c r="D22" s="25" t="s">
        <v>228</v>
      </c>
      <c r="E22" s="41">
        <v>0.1</v>
      </c>
      <c r="F22" s="26">
        <v>0.1</v>
      </c>
      <c r="G22" s="26">
        <v>0.1</v>
      </c>
      <c r="H22" s="26">
        <f t="shared" si="3"/>
        <v>4.5000000000000005E-2</v>
      </c>
      <c r="I22" s="42">
        <f t="shared" si="0"/>
        <v>0.34500000000000003</v>
      </c>
      <c r="J22" s="41">
        <v>0.1</v>
      </c>
      <c r="K22" s="26">
        <v>0.1</v>
      </c>
      <c r="L22" s="26">
        <v>0.1</v>
      </c>
      <c r="M22" s="26">
        <f t="shared" si="4"/>
        <v>4.5000000000000005E-2</v>
      </c>
      <c r="N22" s="42">
        <f t="shared" si="1"/>
        <v>0.34500000000000003</v>
      </c>
      <c r="O22" s="41">
        <v>0.1</v>
      </c>
      <c r="P22" s="26">
        <v>0.1</v>
      </c>
      <c r="Q22" s="26">
        <v>0.1</v>
      </c>
      <c r="R22" s="26">
        <f t="shared" si="5"/>
        <v>4.5000000000000005E-2</v>
      </c>
      <c r="S22" s="42">
        <f t="shared" si="2"/>
        <v>0.34500000000000003</v>
      </c>
      <c r="T22" s="27"/>
    </row>
    <row r="23" spans="2:20">
      <c r="B23" s="24">
        <v>19</v>
      </c>
      <c r="C23" s="24" t="s">
        <v>205</v>
      </c>
      <c r="D23" s="25" t="s">
        <v>228</v>
      </c>
      <c r="E23" s="41">
        <v>0.1</v>
      </c>
      <c r="F23" s="26">
        <v>0.1</v>
      </c>
      <c r="G23" s="26">
        <v>0.1</v>
      </c>
      <c r="H23" s="26">
        <f t="shared" si="3"/>
        <v>4.5000000000000005E-2</v>
      </c>
      <c r="I23" s="42">
        <f t="shared" si="0"/>
        <v>0.34500000000000003</v>
      </c>
      <c r="J23" s="41">
        <v>0.1</v>
      </c>
      <c r="K23" s="26">
        <v>0.1</v>
      </c>
      <c r="L23" s="26">
        <v>0.1</v>
      </c>
      <c r="M23" s="26">
        <f t="shared" si="4"/>
        <v>4.5000000000000005E-2</v>
      </c>
      <c r="N23" s="42">
        <f t="shared" si="1"/>
        <v>0.34500000000000003</v>
      </c>
      <c r="O23" s="41">
        <v>0.1</v>
      </c>
      <c r="P23" s="26">
        <v>0.1</v>
      </c>
      <c r="Q23" s="26">
        <v>0.1</v>
      </c>
      <c r="R23" s="26">
        <f t="shared" si="5"/>
        <v>4.5000000000000005E-2</v>
      </c>
      <c r="S23" s="42">
        <f t="shared" si="2"/>
        <v>0.34500000000000003</v>
      </c>
      <c r="T23" s="27"/>
    </row>
    <row r="24" spans="2:20">
      <c r="B24" s="24">
        <v>20</v>
      </c>
      <c r="C24" s="24" t="s">
        <v>205</v>
      </c>
      <c r="D24" s="25" t="s">
        <v>228</v>
      </c>
      <c r="E24" s="41">
        <v>0.1</v>
      </c>
      <c r="F24" s="26">
        <v>0.1</v>
      </c>
      <c r="G24" s="26">
        <v>0.1</v>
      </c>
      <c r="H24" s="26">
        <f t="shared" si="3"/>
        <v>4.5000000000000005E-2</v>
      </c>
      <c r="I24" s="42">
        <f t="shared" si="0"/>
        <v>0.34500000000000003</v>
      </c>
      <c r="J24" s="41">
        <v>0.1</v>
      </c>
      <c r="K24" s="26">
        <v>0.1</v>
      </c>
      <c r="L24" s="26">
        <v>0.1</v>
      </c>
      <c r="M24" s="26">
        <f t="shared" si="4"/>
        <v>4.5000000000000005E-2</v>
      </c>
      <c r="N24" s="42">
        <f t="shared" si="1"/>
        <v>0.34500000000000003</v>
      </c>
      <c r="O24" s="41">
        <v>0.1</v>
      </c>
      <c r="P24" s="26">
        <v>0.1</v>
      </c>
      <c r="Q24" s="26">
        <v>0.1</v>
      </c>
      <c r="R24" s="26">
        <f t="shared" si="5"/>
        <v>4.5000000000000005E-2</v>
      </c>
      <c r="S24" s="42">
        <f t="shared" si="2"/>
        <v>0.34500000000000003</v>
      </c>
      <c r="T24" s="27"/>
    </row>
    <row r="25" spans="2:20">
      <c r="B25" s="24">
        <v>21</v>
      </c>
      <c r="C25" s="24" t="s">
        <v>211</v>
      </c>
      <c r="D25" s="24" t="s">
        <v>212</v>
      </c>
      <c r="E25" s="41">
        <v>0.1</v>
      </c>
      <c r="F25" s="26">
        <v>0.1</v>
      </c>
      <c r="G25" s="26">
        <v>0.1</v>
      </c>
      <c r="H25" s="26">
        <f t="shared" si="3"/>
        <v>4.5000000000000005E-2</v>
      </c>
      <c r="I25" s="42">
        <f t="shared" si="0"/>
        <v>0.34500000000000003</v>
      </c>
      <c r="J25" s="41">
        <v>0.1</v>
      </c>
      <c r="K25" s="26">
        <v>0.1</v>
      </c>
      <c r="L25" s="26">
        <v>0.1</v>
      </c>
      <c r="M25" s="26">
        <f t="shared" si="4"/>
        <v>4.5000000000000005E-2</v>
      </c>
      <c r="N25" s="42">
        <f t="shared" si="1"/>
        <v>0.34500000000000003</v>
      </c>
      <c r="O25" s="41">
        <v>0.1</v>
      </c>
      <c r="P25" s="26">
        <v>0.1</v>
      </c>
      <c r="Q25" s="26">
        <v>0.1</v>
      </c>
      <c r="R25" s="26">
        <f t="shared" si="5"/>
        <v>4.5000000000000005E-2</v>
      </c>
      <c r="S25" s="42">
        <f t="shared" si="2"/>
        <v>0.34500000000000003</v>
      </c>
      <c r="T25" s="27"/>
    </row>
    <row r="26" spans="2:20">
      <c r="B26" s="24">
        <v>22</v>
      </c>
      <c r="C26" s="24" t="s">
        <v>211</v>
      </c>
      <c r="D26" s="24" t="s">
        <v>212</v>
      </c>
      <c r="E26" s="41">
        <v>0.1</v>
      </c>
      <c r="F26" s="26">
        <v>0.1</v>
      </c>
      <c r="G26" s="26">
        <v>0.1</v>
      </c>
      <c r="H26" s="26">
        <f t="shared" si="3"/>
        <v>4.5000000000000005E-2</v>
      </c>
      <c r="I26" s="42">
        <f t="shared" si="0"/>
        <v>0.34500000000000003</v>
      </c>
      <c r="J26" s="41">
        <v>0.1</v>
      </c>
      <c r="K26" s="26">
        <v>0.1</v>
      </c>
      <c r="L26" s="26">
        <v>0.1</v>
      </c>
      <c r="M26" s="26">
        <f t="shared" si="4"/>
        <v>4.5000000000000005E-2</v>
      </c>
      <c r="N26" s="42">
        <f t="shared" si="1"/>
        <v>0.34500000000000003</v>
      </c>
      <c r="O26" s="41">
        <v>0.1</v>
      </c>
      <c r="P26" s="26">
        <v>0.1</v>
      </c>
      <c r="Q26" s="26">
        <v>0.1</v>
      </c>
      <c r="R26" s="26">
        <f t="shared" si="5"/>
        <v>4.5000000000000005E-2</v>
      </c>
      <c r="S26" s="42">
        <f t="shared" si="2"/>
        <v>0.34500000000000003</v>
      </c>
      <c r="T26" s="27"/>
    </row>
    <row r="27" spans="2:20">
      <c r="B27" s="24">
        <v>23</v>
      </c>
      <c r="C27" s="24" t="s">
        <v>211</v>
      </c>
      <c r="D27" s="24" t="s">
        <v>212</v>
      </c>
      <c r="E27" s="41">
        <v>0.1</v>
      </c>
      <c r="F27" s="26">
        <v>0.1</v>
      </c>
      <c r="G27" s="26">
        <v>0.1</v>
      </c>
      <c r="H27" s="26">
        <f t="shared" si="3"/>
        <v>4.5000000000000005E-2</v>
      </c>
      <c r="I27" s="42">
        <f t="shared" si="0"/>
        <v>0.34500000000000003</v>
      </c>
      <c r="J27" s="41">
        <v>0.1</v>
      </c>
      <c r="K27" s="26">
        <v>0.1</v>
      </c>
      <c r="L27" s="26">
        <v>0.1</v>
      </c>
      <c r="M27" s="26">
        <f t="shared" si="4"/>
        <v>4.5000000000000005E-2</v>
      </c>
      <c r="N27" s="42">
        <f t="shared" si="1"/>
        <v>0.34500000000000003</v>
      </c>
      <c r="O27" s="41">
        <v>0.1</v>
      </c>
      <c r="P27" s="26">
        <v>0.1</v>
      </c>
      <c r="Q27" s="26">
        <v>0.1</v>
      </c>
      <c r="R27" s="26">
        <f t="shared" si="5"/>
        <v>4.5000000000000005E-2</v>
      </c>
      <c r="S27" s="42">
        <f t="shared" si="2"/>
        <v>0.34500000000000003</v>
      </c>
      <c r="T27" s="27"/>
    </row>
    <row r="28" spans="2:20">
      <c r="B28" s="24">
        <v>24</v>
      </c>
      <c r="C28" s="24" t="s">
        <v>211</v>
      </c>
      <c r="D28" s="24" t="s">
        <v>212</v>
      </c>
      <c r="E28" s="41">
        <v>0.1</v>
      </c>
      <c r="F28" s="26">
        <v>0.1</v>
      </c>
      <c r="G28" s="26">
        <v>0.1</v>
      </c>
      <c r="H28" s="26">
        <f t="shared" si="3"/>
        <v>4.5000000000000005E-2</v>
      </c>
      <c r="I28" s="42">
        <f t="shared" si="0"/>
        <v>0.34500000000000003</v>
      </c>
      <c r="J28" s="41">
        <v>0.1</v>
      </c>
      <c r="K28" s="26">
        <v>0.1</v>
      </c>
      <c r="L28" s="26">
        <v>0.1</v>
      </c>
      <c r="M28" s="26">
        <f t="shared" si="4"/>
        <v>4.5000000000000005E-2</v>
      </c>
      <c r="N28" s="42">
        <f t="shared" si="1"/>
        <v>0.34500000000000003</v>
      </c>
      <c r="O28" s="41">
        <v>0.1</v>
      </c>
      <c r="P28" s="26">
        <v>0.1</v>
      </c>
      <c r="Q28" s="26">
        <v>0.1</v>
      </c>
      <c r="R28" s="26">
        <f t="shared" si="5"/>
        <v>4.5000000000000005E-2</v>
      </c>
      <c r="S28" s="42">
        <f t="shared" si="2"/>
        <v>0.34500000000000003</v>
      </c>
      <c r="T28" s="27"/>
    </row>
    <row r="29" spans="2:20">
      <c r="B29" s="24">
        <v>25</v>
      </c>
      <c r="C29" s="24" t="s">
        <v>213</v>
      </c>
      <c r="D29" s="25" t="s">
        <v>214</v>
      </c>
      <c r="E29" s="41">
        <v>0.1</v>
      </c>
      <c r="F29" s="26">
        <v>0.1</v>
      </c>
      <c r="G29" s="26">
        <v>0.1</v>
      </c>
      <c r="H29" s="26">
        <f t="shared" si="3"/>
        <v>4.5000000000000005E-2</v>
      </c>
      <c r="I29" s="42">
        <f t="shared" si="0"/>
        <v>0.34500000000000003</v>
      </c>
      <c r="J29" s="41">
        <v>0.1</v>
      </c>
      <c r="K29" s="26">
        <v>0.1</v>
      </c>
      <c r="L29" s="26">
        <v>0.1</v>
      </c>
      <c r="M29" s="26">
        <f t="shared" si="4"/>
        <v>4.5000000000000005E-2</v>
      </c>
      <c r="N29" s="42">
        <f t="shared" si="1"/>
        <v>0.34500000000000003</v>
      </c>
      <c r="O29" s="41">
        <v>0.1</v>
      </c>
      <c r="P29" s="26">
        <v>0.1</v>
      </c>
      <c r="Q29" s="26">
        <v>0.1</v>
      </c>
      <c r="R29" s="26">
        <f t="shared" si="5"/>
        <v>4.5000000000000005E-2</v>
      </c>
      <c r="S29" s="42">
        <f t="shared" si="2"/>
        <v>0.34500000000000003</v>
      </c>
      <c r="T29" s="27" t="s">
        <v>215</v>
      </c>
    </row>
    <row r="30" spans="2:20">
      <c r="B30" s="24">
        <v>26</v>
      </c>
      <c r="C30" s="24" t="s">
        <v>213</v>
      </c>
      <c r="D30" s="24" t="s">
        <v>216</v>
      </c>
      <c r="E30" s="41">
        <v>0.1</v>
      </c>
      <c r="F30" s="26">
        <v>0.1</v>
      </c>
      <c r="G30" s="26">
        <v>0.1</v>
      </c>
      <c r="H30" s="26">
        <f t="shared" si="3"/>
        <v>4.5000000000000005E-2</v>
      </c>
      <c r="I30" s="42">
        <f t="shared" si="0"/>
        <v>0.34500000000000003</v>
      </c>
      <c r="J30" s="41">
        <v>0.1</v>
      </c>
      <c r="K30" s="26">
        <v>0.1</v>
      </c>
      <c r="L30" s="26">
        <v>0.1</v>
      </c>
      <c r="M30" s="26">
        <f t="shared" si="4"/>
        <v>4.5000000000000005E-2</v>
      </c>
      <c r="N30" s="42">
        <f t="shared" si="1"/>
        <v>0.34500000000000003</v>
      </c>
      <c r="O30" s="41">
        <v>0.1</v>
      </c>
      <c r="P30" s="26">
        <v>0.1</v>
      </c>
      <c r="Q30" s="26">
        <v>0.1</v>
      </c>
      <c r="R30" s="26">
        <f t="shared" si="5"/>
        <v>4.5000000000000005E-2</v>
      </c>
      <c r="S30" s="42">
        <f t="shared" si="2"/>
        <v>0.34500000000000003</v>
      </c>
      <c r="T30" s="27" t="s">
        <v>217</v>
      </c>
    </row>
    <row r="31" spans="2:20">
      <c r="B31" s="24">
        <v>27</v>
      </c>
      <c r="C31" s="24" t="s">
        <v>213</v>
      </c>
      <c r="D31" s="24" t="s">
        <v>216</v>
      </c>
      <c r="E31" s="41">
        <v>0.1</v>
      </c>
      <c r="F31" s="26">
        <v>0.1</v>
      </c>
      <c r="G31" s="26">
        <v>0.1</v>
      </c>
      <c r="H31" s="26">
        <f t="shared" si="3"/>
        <v>4.5000000000000005E-2</v>
      </c>
      <c r="I31" s="42">
        <f t="shared" si="0"/>
        <v>0.34500000000000003</v>
      </c>
      <c r="J31" s="41">
        <v>0.1</v>
      </c>
      <c r="K31" s="26">
        <v>0.1</v>
      </c>
      <c r="L31" s="26">
        <v>0.1</v>
      </c>
      <c r="M31" s="26">
        <f t="shared" si="4"/>
        <v>4.5000000000000005E-2</v>
      </c>
      <c r="N31" s="42">
        <f t="shared" si="1"/>
        <v>0.34500000000000003</v>
      </c>
      <c r="O31" s="41">
        <v>0.1</v>
      </c>
      <c r="P31" s="26">
        <v>0.1</v>
      </c>
      <c r="Q31" s="26">
        <v>0.1</v>
      </c>
      <c r="R31" s="26">
        <f t="shared" si="5"/>
        <v>4.5000000000000005E-2</v>
      </c>
      <c r="S31" s="42">
        <f t="shared" si="2"/>
        <v>0.34500000000000003</v>
      </c>
      <c r="T31" s="27" t="s">
        <v>229</v>
      </c>
    </row>
    <row r="32" spans="2:20">
      <c r="E32" s="43"/>
      <c r="I32" s="44"/>
      <c r="J32" s="43"/>
      <c r="N32" s="44"/>
      <c r="O32" s="43"/>
      <c r="S32" s="44"/>
    </row>
    <row r="33" spans="4:20">
      <c r="D33" s="24" t="s">
        <v>218</v>
      </c>
      <c r="E33" s="41">
        <f t="shared" ref="E33:S33" si="6">SUM(E17:E31)</f>
        <v>1.5000000000000002</v>
      </c>
      <c r="F33" s="26">
        <f t="shared" si="6"/>
        <v>1.5000000000000002</v>
      </c>
      <c r="G33" s="26">
        <f t="shared" si="6"/>
        <v>1.5000000000000002</v>
      </c>
      <c r="H33" s="26">
        <f t="shared" si="6"/>
        <v>0.67500000000000004</v>
      </c>
      <c r="I33" s="42">
        <f t="shared" si="6"/>
        <v>5.1750000000000007</v>
      </c>
      <c r="J33" s="41">
        <f t="shared" si="6"/>
        <v>1.5000000000000002</v>
      </c>
      <c r="K33" s="26">
        <f t="shared" si="6"/>
        <v>1.5000000000000002</v>
      </c>
      <c r="L33" s="26">
        <f t="shared" si="6"/>
        <v>1.5000000000000002</v>
      </c>
      <c r="M33" s="26">
        <f t="shared" si="6"/>
        <v>0.67500000000000004</v>
      </c>
      <c r="N33" s="42">
        <f t="shared" si="6"/>
        <v>5.1750000000000007</v>
      </c>
      <c r="O33" s="41">
        <f t="shared" si="6"/>
        <v>1.5000000000000002</v>
      </c>
      <c r="P33" s="26">
        <f t="shared" si="6"/>
        <v>1.5000000000000002</v>
      </c>
      <c r="Q33" s="26">
        <f t="shared" si="6"/>
        <v>1.5000000000000002</v>
      </c>
      <c r="R33" s="26">
        <f t="shared" si="6"/>
        <v>0.67500000000000004</v>
      </c>
      <c r="S33" s="42">
        <f t="shared" si="6"/>
        <v>5.1750000000000007</v>
      </c>
      <c r="T33" s="28"/>
    </row>
    <row r="34" spans="4:20">
      <c r="E34" s="43"/>
      <c r="I34" s="44"/>
      <c r="J34" s="43"/>
      <c r="N34" s="44"/>
      <c r="O34" s="43"/>
      <c r="S34" s="44"/>
    </row>
    <row r="35" spans="4:20">
      <c r="D35" s="24" t="s">
        <v>219</v>
      </c>
      <c r="E35" s="45">
        <v>1000</v>
      </c>
      <c r="F35" s="29">
        <v>1000</v>
      </c>
      <c r="G35" s="29">
        <v>1000</v>
      </c>
      <c r="H35" s="29">
        <v>1200</v>
      </c>
      <c r="I35" s="46">
        <f>AVERAGE(E35:H35)</f>
        <v>1050</v>
      </c>
      <c r="J35" s="45">
        <v>1000</v>
      </c>
      <c r="K35" s="29">
        <v>1000</v>
      </c>
      <c r="L35" s="29">
        <v>1000</v>
      </c>
      <c r="M35" s="29">
        <v>1200</v>
      </c>
      <c r="N35" s="46">
        <f>AVERAGE(J35:M35)</f>
        <v>1050</v>
      </c>
      <c r="O35" s="45">
        <v>1000</v>
      </c>
      <c r="P35" s="29">
        <v>1000</v>
      </c>
      <c r="Q35" s="29">
        <v>1000</v>
      </c>
      <c r="R35" s="29">
        <v>1200</v>
      </c>
      <c r="S35" s="46">
        <f>AVERAGE(O35:R35)</f>
        <v>1050</v>
      </c>
    </row>
    <row r="36" spans="4:20" ht="18.600000000000001" thickBot="1">
      <c r="D36" s="24" t="s">
        <v>220</v>
      </c>
      <c r="E36" s="47">
        <f>E33*E35</f>
        <v>1500.0000000000002</v>
      </c>
      <c r="F36" s="48">
        <f t="shared" ref="F36:G36" si="7">F33*F35</f>
        <v>1500.0000000000002</v>
      </c>
      <c r="G36" s="48">
        <f t="shared" si="7"/>
        <v>1500.0000000000002</v>
      </c>
      <c r="H36" s="48">
        <f>H33*H35</f>
        <v>810</v>
      </c>
      <c r="I36" s="49">
        <f>SUM(E36:H36)</f>
        <v>5310.0000000000009</v>
      </c>
      <c r="J36" s="47">
        <f>J33*J35</f>
        <v>1500.0000000000002</v>
      </c>
      <c r="K36" s="48">
        <f t="shared" ref="K36:L36" si="8">K33*K35</f>
        <v>1500.0000000000002</v>
      </c>
      <c r="L36" s="48">
        <f t="shared" si="8"/>
        <v>1500.0000000000002</v>
      </c>
      <c r="M36" s="48">
        <f>M33*M35</f>
        <v>810</v>
      </c>
      <c r="N36" s="49">
        <f>SUM(J36:M36)</f>
        <v>5310.0000000000009</v>
      </c>
      <c r="O36" s="47">
        <f>O33*O35</f>
        <v>1500.0000000000002</v>
      </c>
      <c r="P36" s="48">
        <f t="shared" ref="P36:Q36" si="9">P33*P35</f>
        <v>1500.0000000000002</v>
      </c>
      <c r="Q36" s="48">
        <f t="shared" si="9"/>
        <v>1500.0000000000002</v>
      </c>
      <c r="R36" s="48">
        <f>R33*R35</f>
        <v>810</v>
      </c>
      <c r="S36" s="49">
        <f>SUM(O36:R36)</f>
        <v>5310.0000000000009</v>
      </c>
    </row>
  </sheetData>
  <autoFilter ref="B4:Y31" xr:uid="{00000000-0009-0000-0000-000007000000}"/>
  <mergeCells count="6">
    <mergeCell ref="E2:I2"/>
    <mergeCell ref="J2:N2"/>
    <mergeCell ref="O2:S2"/>
    <mergeCell ref="E3:H3"/>
    <mergeCell ref="J3:M3"/>
    <mergeCell ref="O3:R3"/>
  </mergeCells>
  <phoneticPr fontId="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L8"/>
  <sheetViews>
    <sheetView zoomScale="80" zoomScaleNormal="80" workbookViewId="0">
      <pane xSplit="3" ySplit="4" topLeftCell="I5" activePane="bottomRight" state="frozen"/>
      <selection pane="bottomRight" activeCell="I5" sqref="I5"/>
      <selection pane="bottomLeft"/>
      <selection pane="topRight"/>
    </sheetView>
  </sheetViews>
  <sheetFormatPr defaultColWidth="8.625" defaultRowHeight="18.75" customHeight="1" outlineLevelCol="1"/>
  <cols>
    <col min="1" max="1" width="2.625" style="56" customWidth="1"/>
    <col min="2" max="2" width="4.125" style="56" bestFit="1" customWidth="1"/>
    <col min="3" max="3" width="31.375" style="56" customWidth="1"/>
    <col min="4" max="4" width="15.5" style="56" customWidth="1" outlineLevel="1"/>
    <col min="5" max="9" width="14" style="56" customWidth="1" outlineLevel="1"/>
    <col min="10" max="10" width="11.375" style="56" bestFit="1" customWidth="1"/>
    <col min="11" max="11" width="14.5" style="56" customWidth="1"/>
    <col min="12" max="12" width="53.125" style="56" customWidth="1"/>
    <col min="13" max="16384" width="8.625" style="56"/>
  </cols>
  <sheetData>
    <row r="1" spans="2:12" ht="18.600000000000001" thickBot="1"/>
    <row r="2" spans="2:12" ht="18">
      <c r="B2" s="57"/>
      <c r="C2" s="58"/>
      <c r="D2" s="167" t="s">
        <v>230</v>
      </c>
      <c r="E2" s="167"/>
      <c r="F2" s="167"/>
      <c r="G2" s="167"/>
      <c r="H2" s="167"/>
      <c r="I2" s="167"/>
      <c r="J2" s="167"/>
      <c r="K2" s="167"/>
      <c r="L2" s="164" t="s">
        <v>199</v>
      </c>
    </row>
    <row r="3" spans="2:12" ht="22.5" customHeight="1">
      <c r="B3" s="72"/>
      <c r="C3" s="73"/>
      <c r="D3" s="168" t="s">
        <v>231</v>
      </c>
      <c r="E3" s="168"/>
      <c r="F3" s="168"/>
      <c r="G3" s="168"/>
      <c r="H3" s="168"/>
      <c r="I3" s="168"/>
      <c r="J3" s="168"/>
      <c r="K3" s="168"/>
      <c r="L3" s="165"/>
    </row>
    <row r="4" spans="2:12" ht="18">
      <c r="B4" s="60" t="s">
        <v>191</v>
      </c>
      <c r="C4" s="61" t="s">
        <v>232</v>
      </c>
      <c r="D4" s="77" t="s">
        <v>233</v>
      </c>
      <c r="E4" s="59" t="s">
        <v>234</v>
      </c>
      <c r="F4" s="59" t="s">
        <v>195</v>
      </c>
      <c r="G4" s="59" t="s">
        <v>235</v>
      </c>
      <c r="H4" s="59" t="s">
        <v>236</v>
      </c>
      <c r="I4" s="59" t="s">
        <v>197</v>
      </c>
      <c r="J4" s="59" t="s">
        <v>237</v>
      </c>
      <c r="K4" s="76" t="s">
        <v>238</v>
      </c>
      <c r="L4" s="166"/>
    </row>
    <row r="5" spans="2:12" ht="18.600000000000001" thickBot="1">
      <c r="B5" s="62">
        <v>1</v>
      </c>
      <c r="C5" s="63" t="s">
        <v>239</v>
      </c>
      <c r="D5" s="117">
        <f>見積!E4</f>
        <v>0</v>
      </c>
      <c r="E5" s="118">
        <f>見積!E5</f>
        <v>0.05</v>
      </c>
      <c r="F5" s="118">
        <f>見積!E6</f>
        <v>0.2</v>
      </c>
      <c r="G5" s="118">
        <f>見積!E7</f>
        <v>0.1</v>
      </c>
      <c r="H5" s="118">
        <f>見積!E9</f>
        <v>0.05</v>
      </c>
      <c r="I5" s="118">
        <f>見積!E11</f>
        <v>0.06</v>
      </c>
      <c r="J5" s="119">
        <f t="shared" ref="J5" si="0">SUM(D5:I5)</f>
        <v>0.45999999999999996</v>
      </c>
      <c r="K5" s="55">
        <f t="shared" ref="K5" si="1">SUM(D5:H5)*1000000+I5*1400000</f>
        <v>483999.99999999994</v>
      </c>
      <c r="L5" s="64"/>
    </row>
    <row r="6" spans="2:12" ht="18">
      <c r="B6" s="158" t="s">
        <v>240</v>
      </c>
      <c r="C6" s="159"/>
      <c r="D6" s="120">
        <f>SUM(D5:D5)</f>
        <v>0</v>
      </c>
      <c r="E6" s="121">
        <f>SUM(E5:E5)</f>
        <v>0.05</v>
      </c>
      <c r="F6" s="121">
        <f>SUM(F5:F5)</f>
        <v>0.2</v>
      </c>
      <c r="G6" s="121">
        <f>SUM(G5:G5)</f>
        <v>0.1</v>
      </c>
      <c r="H6" s="121">
        <f>SUM(H5:H5)</f>
        <v>0.05</v>
      </c>
      <c r="I6" s="121">
        <f>SUM(I5:I5)</f>
        <v>0.06</v>
      </c>
      <c r="J6" s="121">
        <f>SUM(D6:I6)</f>
        <v>0.45999999999999996</v>
      </c>
      <c r="K6" s="78">
        <f>SUM(K5:K5)</f>
        <v>483999.99999999994</v>
      </c>
      <c r="L6" s="65"/>
    </row>
    <row r="7" spans="2:12" ht="18">
      <c r="B7" s="160" t="s">
        <v>241</v>
      </c>
      <c r="C7" s="161"/>
      <c r="D7" s="74">
        <v>1000000</v>
      </c>
      <c r="E7" s="66">
        <v>1000000</v>
      </c>
      <c r="F7" s="66">
        <v>1000000</v>
      </c>
      <c r="G7" s="66">
        <v>1000000</v>
      </c>
      <c r="H7" s="66">
        <v>1000000</v>
      </c>
      <c r="I7" s="66">
        <v>1400000</v>
      </c>
      <c r="J7" s="66"/>
      <c r="K7" s="67"/>
      <c r="L7" s="68"/>
    </row>
    <row r="8" spans="2:12" ht="18.600000000000001" thickBot="1">
      <c r="B8" s="162" t="s">
        <v>238</v>
      </c>
      <c r="C8" s="163"/>
      <c r="D8" s="75">
        <f t="shared" ref="D8:I8" si="2">D6*D7</f>
        <v>0</v>
      </c>
      <c r="E8" s="69">
        <f t="shared" si="2"/>
        <v>50000</v>
      </c>
      <c r="F8" s="69">
        <f t="shared" si="2"/>
        <v>200000</v>
      </c>
      <c r="G8" s="69">
        <f t="shared" si="2"/>
        <v>100000</v>
      </c>
      <c r="H8" s="69">
        <f t="shared" si="2"/>
        <v>50000</v>
      </c>
      <c r="I8" s="69">
        <f t="shared" si="2"/>
        <v>84000</v>
      </c>
      <c r="J8" s="69"/>
      <c r="K8" s="70"/>
      <c r="L8" s="71"/>
    </row>
  </sheetData>
  <autoFilter ref="B4:Q5" xr:uid="{00000000-0009-0000-0000-000008000000}"/>
  <mergeCells count="6">
    <mergeCell ref="B6:C6"/>
    <mergeCell ref="B7:C7"/>
    <mergeCell ref="B8:C8"/>
    <mergeCell ref="L2:L4"/>
    <mergeCell ref="D2:K2"/>
    <mergeCell ref="D3:K3"/>
  </mergeCells>
  <phoneticPr fontId="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I12"/>
  <sheetViews>
    <sheetView zoomScale="80" zoomScaleNormal="80" workbookViewId="0"/>
  </sheetViews>
  <sheetFormatPr defaultColWidth="8.625" defaultRowHeight="18.75" customHeight="1"/>
  <cols>
    <col min="1" max="1" width="2.625" style="52" customWidth="1"/>
    <col min="2" max="2" width="13.875" style="52" customWidth="1"/>
    <col min="3" max="3" width="37.625" style="52" customWidth="1"/>
    <col min="4" max="4" width="14" style="52" customWidth="1"/>
    <col min="5" max="5" width="9.875" style="52" customWidth="1"/>
    <col min="6" max="7" width="53.125" style="52" customWidth="1"/>
    <col min="8" max="16384" width="8.625" style="52"/>
  </cols>
  <sheetData>
    <row r="1" spans="2:9" ht="18">
      <c r="B1" s="125" t="s">
        <v>221</v>
      </c>
      <c r="C1" s="52" t="s">
        <v>242</v>
      </c>
    </row>
    <row r="2" spans="2:9" ht="18">
      <c r="B2" s="124"/>
      <c r="C2" s="123"/>
    </row>
    <row r="3" spans="2:9" ht="39.75" customHeight="1">
      <c r="B3" s="99" t="s">
        <v>243</v>
      </c>
      <c r="C3" s="99" t="s">
        <v>244</v>
      </c>
      <c r="D3" s="99" t="s">
        <v>245</v>
      </c>
      <c r="E3" s="100" t="s">
        <v>237</v>
      </c>
      <c r="F3" s="99" t="s">
        <v>246</v>
      </c>
      <c r="G3" s="99" t="s">
        <v>199</v>
      </c>
      <c r="H3" s="52" t="s">
        <v>247</v>
      </c>
    </row>
    <row r="4" spans="2:9" ht="39" customHeight="1">
      <c r="B4" s="112" t="s">
        <v>248</v>
      </c>
      <c r="C4" s="101"/>
      <c r="D4" s="122">
        <f>ROUND(H4/20,2)</f>
        <v>0</v>
      </c>
      <c r="E4" s="114">
        <v>0</v>
      </c>
      <c r="F4" s="111"/>
      <c r="G4" s="102" t="s">
        <v>249</v>
      </c>
    </row>
    <row r="5" spans="2:9" ht="56.45" customHeight="1">
      <c r="B5" s="113" t="s">
        <v>234</v>
      </c>
      <c r="C5" s="101" t="s">
        <v>250</v>
      </c>
      <c r="D5" s="122">
        <f>ROUND(H5/20,2)</f>
        <v>0.05</v>
      </c>
      <c r="E5" s="115">
        <v>0.05</v>
      </c>
      <c r="F5" s="106" t="s">
        <v>251</v>
      </c>
      <c r="G5" s="102" t="s">
        <v>252</v>
      </c>
      <c r="H5" s="52">
        <f>ROUNDUP((2*1+4)/8,0)</f>
        <v>1</v>
      </c>
    </row>
    <row r="6" spans="2:9" ht="71.25" customHeight="1">
      <c r="B6" s="113" t="s">
        <v>195</v>
      </c>
      <c r="C6" s="101" t="s">
        <v>253</v>
      </c>
      <c r="D6" s="122">
        <f t="shared" ref="D6:D10" si="0">ROUND(H6/20,2)</f>
        <v>0.2</v>
      </c>
      <c r="E6" s="115">
        <v>0.2</v>
      </c>
      <c r="F6" s="110" t="s">
        <v>254</v>
      </c>
      <c r="G6" s="102" t="s">
        <v>255</v>
      </c>
      <c r="H6" s="52">
        <f>32/8</f>
        <v>4</v>
      </c>
    </row>
    <row r="7" spans="2:9" ht="82.5" customHeight="1">
      <c r="B7" s="169" t="s">
        <v>235</v>
      </c>
      <c r="C7" s="101" t="s">
        <v>256</v>
      </c>
      <c r="D7" s="122">
        <f t="shared" si="0"/>
        <v>0.1</v>
      </c>
      <c r="E7" s="171">
        <v>0.1</v>
      </c>
      <c r="F7" s="110" t="s">
        <v>257</v>
      </c>
      <c r="G7" s="102" t="s">
        <v>258</v>
      </c>
      <c r="H7" s="52">
        <f>ROUNDUP(9/8,0)</f>
        <v>2</v>
      </c>
    </row>
    <row r="8" spans="2:9" ht="82.5" customHeight="1">
      <c r="B8" s="170"/>
      <c r="C8" s="101"/>
      <c r="D8" s="122">
        <f>ROUND(H8/20,2)</f>
        <v>0</v>
      </c>
      <c r="E8" s="172"/>
      <c r="F8" s="110"/>
      <c r="G8" s="102"/>
    </row>
    <row r="9" spans="2:9" ht="37.5" customHeight="1">
      <c r="B9" s="174" t="s">
        <v>236</v>
      </c>
      <c r="C9" s="101" t="s">
        <v>259</v>
      </c>
      <c r="D9" s="122">
        <f t="shared" si="0"/>
        <v>0.05</v>
      </c>
      <c r="E9" s="171">
        <v>0.05</v>
      </c>
      <c r="F9" s="107" t="s">
        <v>260</v>
      </c>
      <c r="G9" s="102" t="s">
        <v>261</v>
      </c>
      <c r="H9" s="52">
        <f>ROUNDUP(8/8,0)</f>
        <v>1</v>
      </c>
    </row>
    <row r="10" spans="2:9" ht="39.75" customHeight="1">
      <c r="B10" s="175"/>
      <c r="C10" s="101"/>
      <c r="D10" s="122">
        <f t="shared" si="0"/>
        <v>0</v>
      </c>
      <c r="E10" s="172"/>
      <c r="F10" s="108"/>
      <c r="G10" s="103"/>
    </row>
    <row r="11" spans="2:9" ht="110.1" customHeight="1">
      <c r="B11" s="109" t="s">
        <v>197</v>
      </c>
      <c r="C11" s="104" t="s">
        <v>262</v>
      </c>
      <c r="D11" s="122">
        <f>ROUND(H11/20,2)</f>
        <v>0.06</v>
      </c>
      <c r="E11" s="115">
        <v>0.06</v>
      </c>
      <c r="F11" s="105" t="s">
        <v>263</v>
      </c>
      <c r="G11" s="105" t="s">
        <v>264</v>
      </c>
      <c r="H11" s="52">
        <f>SUM(H4:H10)*0.15+I11</f>
        <v>1.2</v>
      </c>
      <c r="I11" s="52">
        <v>0</v>
      </c>
    </row>
    <row r="12" spans="2:9" ht="18">
      <c r="B12" s="173" t="s">
        <v>56</v>
      </c>
      <c r="C12" s="173"/>
      <c r="D12" s="173"/>
      <c r="E12" s="116">
        <f>SUM(E4:E11)</f>
        <v>0.45999999999999996</v>
      </c>
      <c r="F12" s="85"/>
      <c r="G12" s="85"/>
      <c r="H12" s="116">
        <f>SUM(H4:H11)</f>
        <v>9.1999999999999993</v>
      </c>
    </row>
  </sheetData>
  <autoFilter ref="B3:G12" xr:uid="{00000000-0009-0000-0000-000009000000}"/>
  <mergeCells count="5">
    <mergeCell ref="B7:B8"/>
    <mergeCell ref="E7:E8"/>
    <mergeCell ref="B12:D12"/>
    <mergeCell ref="B9:B10"/>
    <mergeCell ref="E9:E10"/>
  </mergeCells>
  <phoneticPr fontId="2"/>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3:E7"/>
  <sheetViews>
    <sheetView workbookViewId="0"/>
  </sheetViews>
  <sheetFormatPr defaultRowHeight="18"/>
  <sheetData>
    <row r="3" spans="2:5">
      <c r="B3" s="176" t="s">
        <v>265</v>
      </c>
      <c r="C3" s="176"/>
      <c r="D3" s="176"/>
      <c r="E3" s="176"/>
    </row>
    <row r="4" spans="2:5">
      <c r="B4" s="127" t="s">
        <v>266</v>
      </c>
      <c r="C4" s="127" t="s">
        <v>267</v>
      </c>
      <c r="D4" s="127" t="s">
        <v>268</v>
      </c>
      <c r="E4" s="127" t="s">
        <v>269</v>
      </c>
    </row>
    <row r="5" spans="2:5">
      <c r="B5" s="126"/>
      <c r="C5" s="126"/>
      <c r="D5" s="126"/>
      <c r="E5" s="126"/>
    </row>
    <row r="6" spans="2:5" ht="39.6" customHeight="1">
      <c r="B6" s="14"/>
      <c r="C6" s="14"/>
      <c r="D6" s="14"/>
      <c r="E6" s="14"/>
    </row>
    <row r="7" spans="2:5">
      <c r="B7" t="s">
        <v>270</v>
      </c>
    </row>
  </sheetData>
  <mergeCells count="1">
    <mergeCell ref="B3:E3"/>
  </mergeCells>
  <phoneticPr fontId="2"/>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J33"/>
  <sheetViews>
    <sheetView zoomScale="90" zoomScaleNormal="90" workbookViewId="0">
      <selection activeCell="F13" sqref="F13"/>
    </sheetView>
  </sheetViews>
  <sheetFormatPr defaultRowHeight="18"/>
  <cols>
    <col min="1" max="1" width="3.125" customWidth="1"/>
    <col min="2" max="2" width="3.625" bestFit="1" customWidth="1"/>
    <col min="3" max="4" width="13.625" customWidth="1"/>
    <col min="5" max="5" width="27.125" customWidth="1"/>
    <col min="6" max="6" width="11.625" customWidth="1"/>
    <col min="7" max="7" width="26.625" customWidth="1"/>
    <col min="8" max="8" width="25.625" customWidth="1"/>
    <col min="9" max="9" width="26.5" customWidth="1"/>
  </cols>
  <sheetData>
    <row r="2" spans="2:10">
      <c r="B2" s="1" t="s">
        <v>271</v>
      </c>
    </row>
    <row r="3" spans="2:10">
      <c r="C3" t="s">
        <v>272</v>
      </c>
    </row>
    <row r="4" spans="2:10">
      <c r="C4" t="s">
        <v>273</v>
      </c>
    </row>
    <row r="5" spans="2:10">
      <c r="C5" t="s">
        <v>274</v>
      </c>
    </row>
    <row r="8" spans="2:10">
      <c r="B8" s="1" t="s">
        <v>275</v>
      </c>
      <c r="C8" s="1"/>
      <c r="D8" s="1"/>
      <c r="E8" s="1"/>
    </row>
    <row r="9" spans="2:10">
      <c r="B9" s="2" t="s">
        <v>276</v>
      </c>
      <c r="C9" s="177" t="s">
        <v>277</v>
      </c>
      <c r="D9" s="177"/>
      <c r="E9" s="3" t="s">
        <v>278</v>
      </c>
      <c r="F9" s="3" t="s">
        <v>279</v>
      </c>
      <c r="G9" s="3" t="s">
        <v>280</v>
      </c>
      <c r="H9" s="3" t="s">
        <v>281</v>
      </c>
      <c r="I9" s="3" t="s">
        <v>282</v>
      </c>
    </row>
    <row r="10" spans="2:10" ht="89.45" customHeight="1">
      <c r="B10" s="4">
        <v>1</v>
      </c>
      <c r="C10" s="178" t="s">
        <v>283</v>
      </c>
      <c r="D10" s="178"/>
      <c r="E10" s="5" t="s">
        <v>284</v>
      </c>
      <c r="F10" s="17">
        <v>5.75</v>
      </c>
      <c r="G10" s="15" t="s">
        <v>285</v>
      </c>
      <c r="H10" s="15" t="s">
        <v>286</v>
      </c>
      <c r="I10" s="5" t="s">
        <v>287</v>
      </c>
      <c r="J10">
        <f>4
+0.5
+0.25
+0.5
+0.5</f>
        <v>5.75</v>
      </c>
    </row>
    <row r="11" spans="2:10" ht="89.45" customHeight="1">
      <c r="B11" s="4">
        <v>2</v>
      </c>
      <c r="C11" s="178" t="s">
        <v>288</v>
      </c>
      <c r="D11" s="178"/>
      <c r="E11" s="5" t="s">
        <v>284</v>
      </c>
      <c r="F11" s="17">
        <v>5.75</v>
      </c>
      <c r="G11" s="15" t="s">
        <v>285</v>
      </c>
      <c r="H11" s="15" t="s">
        <v>286</v>
      </c>
      <c r="I11" s="5" t="s">
        <v>287</v>
      </c>
      <c r="J11">
        <f>4
+0.5
+0.25
+0.5
+0.5</f>
        <v>5.75</v>
      </c>
    </row>
    <row r="12" spans="2:10" ht="87.6">
      <c r="B12" s="4">
        <v>3</v>
      </c>
      <c r="C12" s="178" t="s">
        <v>289</v>
      </c>
      <c r="D12" s="178"/>
      <c r="E12" s="6" t="s">
        <v>290</v>
      </c>
      <c r="F12" s="17">
        <v>8.5</v>
      </c>
      <c r="G12" s="15" t="s">
        <v>291</v>
      </c>
      <c r="H12" s="15" t="s">
        <v>292</v>
      </c>
      <c r="I12" s="5" t="s">
        <v>293</v>
      </c>
      <c r="J12" s="18">
        <f>4
+0.5*4
+0.25*4
+0.5*2
+0.5</f>
        <v>8.5</v>
      </c>
    </row>
    <row r="13" spans="2:10" ht="87.6">
      <c r="B13" s="4">
        <v>4</v>
      </c>
      <c r="C13" s="178" t="s">
        <v>294</v>
      </c>
      <c r="D13" s="178"/>
      <c r="E13" s="6" t="s">
        <v>295</v>
      </c>
      <c r="F13" s="17">
        <v>6.75</v>
      </c>
      <c r="G13" s="15" t="s">
        <v>296</v>
      </c>
      <c r="H13" s="15" t="s">
        <v>297</v>
      </c>
      <c r="I13" s="5" t="s">
        <v>293</v>
      </c>
      <c r="J13">
        <f>4
+0.5*2
+0.25*2
+0.5*2
+0.25</f>
        <v>6.75</v>
      </c>
    </row>
    <row r="14" spans="2:10" ht="35.1">
      <c r="B14" s="4">
        <v>5</v>
      </c>
      <c r="C14" s="179" t="s">
        <v>298</v>
      </c>
      <c r="D14" s="180"/>
      <c r="E14" s="6"/>
      <c r="F14" s="17">
        <v>0.5</v>
      </c>
      <c r="G14" s="15" t="s">
        <v>299</v>
      </c>
      <c r="H14" s="16">
        <v>0.5</v>
      </c>
      <c r="I14" s="5" t="s">
        <v>300</v>
      </c>
    </row>
    <row r="15" spans="2:10" ht="69.95">
      <c r="B15" s="4">
        <v>6</v>
      </c>
      <c r="C15" s="178" t="s">
        <v>301</v>
      </c>
      <c r="D15" s="178"/>
      <c r="E15" s="5" t="s">
        <v>302</v>
      </c>
      <c r="F15" s="17">
        <v>6.75</v>
      </c>
      <c r="G15" s="15" t="s">
        <v>303</v>
      </c>
      <c r="H15" s="15" t="s">
        <v>304</v>
      </c>
      <c r="I15" s="5" t="s">
        <v>305</v>
      </c>
      <c r="J15">
        <f>4
+0.5*3
+0.25*3
+0.5</f>
        <v>6.75</v>
      </c>
    </row>
    <row r="16" spans="2:10" ht="35.1">
      <c r="B16" s="4">
        <v>7</v>
      </c>
      <c r="C16" s="178" t="s">
        <v>306</v>
      </c>
      <c r="D16" s="178"/>
      <c r="E16" s="6" t="s">
        <v>307</v>
      </c>
      <c r="F16" s="15">
        <v>4</v>
      </c>
      <c r="G16" s="15" t="s">
        <v>308</v>
      </c>
      <c r="H16" s="15">
        <v>4</v>
      </c>
      <c r="I16" s="5" t="s">
        <v>309</v>
      </c>
    </row>
    <row r="17" spans="2:9" ht="35.1">
      <c r="B17" s="4">
        <v>8</v>
      </c>
      <c r="C17" s="178" t="s">
        <v>310</v>
      </c>
      <c r="D17" s="178"/>
      <c r="E17" s="6" t="s">
        <v>307</v>
      </c>
      <c r="F17" s="15">
        <v>4</v>
      </c>
      <c r="G17" s="15" t="s">
        <v>311</v>
      </c>
      <c r="H17" s="15">
        <v>4</v>
      </c>
      <c r="I17" s="5" t="s">
        <v>312</v>
      </c>
    </row>
    <row r="18" spans="2:9">
      <c r="B18" s="4">
        <v>9</v>
      </c>
      <c r="C18" s="178" t="s">
        <v>313</v>
      </c>
      <c r="D18" s="178"/>
      <c r="E18" s="6" t="s">
        <v>314</v>
      </c>
      <c r="F18" s="15"/>
      <c r="G18" s="15"/>
      <c r="H18" s="15"/>
      <c r="I18" s="6" t="s">
        <v>315</v>
      </c>
    </row>
    <row r="19" spans="2:9">
      <c r="B19" s="14"/>
      <c r="C19" s="178" t="s">
        <v>316</v>
      </c>
      <c r="D19" s="178"/>
      <c r="E19" s="14"/>
      <c r="F19" s="17">
        <v>3.35</v>
      </c>
      <c r="G19" s="15"/>
      <c r="H19" s="15"/>
      <c r="I19" s="5" t="s">
        <v>293</v>
      </c>
    </row>
    <row r="21" spans="2:9">
      <c r="F21" t="s">
        <v>317</v>
      </c>
    </row>
    <row r="22" spans="2:9">
      <c r="F22" t="s">
        <v>318</v>
      </c>
    </row>
    <row r="23" spans="2:9">
      <c r="F23" t="s">
        <v>319</v>
      </c>
    </row>
    <row r="24" spans="2:9">
      <c r="F24" t="s">
        <v>320</v>
      </c>
    </row>
    <row r="25" spans="2:9">
      <c r="F25" t="s">
        <v>321</v>
      </c>
    </row>
    <row r="26" spans="2:9">
      <c r="F26" t="s">
        <v>322</v>
      </c>
    </row>
    <row r="27" spans="2:9">
      <c r="H27">
        <f>350+50*4+20*4+50*2+50</f>
        <v>780</v>
      </c>
    </row>
    <row r="28" spans="2:9">
      <c r="F28">
        <f>14*5/8*(100/20)</f>
        <v>43.75</v>
      </c>
      <c r="H28">
        <f>350+50*3+20*3+80</f>
        <v>640</v>
      </c>
    </row>
    <row r="29" spans="2:9">
      <c r="F29">
        <f>12*5/8*(100/20)</f>
        <v>37.5</v>
      </c>
    </row>
    <row r="30" spans="2:9">
      <c r="F30">
        <f>19*5/8*(100/20)</f>
        <v>59.375</v>
      </c>
    </row>
    <row r="31" spans="2:9">
      <c r="F31">
        <f>6*5/8*(100/20)</f>
        <v>18.75</v>
      </c>
    </row>
    <row r="32" spans="2:9">
      <c r="F32">
        <f>24*5/8*(100/20)</f>
        <v>75</v>
      </c>
    </row>
    <row r="33" spans="6:6">
      <c r="F33">
        <f>3*5/8*(100/20)</f>
        <v>9.375</v>
      </c>
    </row>
  </sheetData>
  <mergeCells count="11">
    <mergeCell ref="C14:D14"/>
    <mergeCell ref="C16:D16"/>
    <mergeCell ref="C17:D17"/>
    <mergeCell ref="C19:D19"/>
    <mergeCell ref="C18:D18"/>
    <mergeCell ref="C15:D15"/>
    <mergeCell ref="C9:D9"/>
    <mergeCell ref="C10:D10"/>
    <mergeCell ref="C11:D11"/>
    <mergeCell ref="C12:D12"/>
    <mergeCell ref="C13:D13"/>
  </mergeCells>
  <phoneticPr fontId="2"/>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10" ma:contentTypeDescription="新しいドキュメントを作成します。" ma:contentTypeScope="" ma:versionID="69aef985f427d6df22868eedf41448bf">
  <xsd:schema xmlns:xsd="http://www.w3.org/2001/XMLSchema" xmlns:xs="http://www.w3.org/2001/XMLSchema" xmlns:p="http://schemas.microsoft.com/office/2006/metadata/properties" xmlns:ns2="2fd442da-66a9-4fa6-ba31-eb0d54ad1381" targetNamespace="http://schemas.microsoft.com/office/2006/metadata/properties" ma:root="true" ma:fieldsID="5ea8d7fed5e91ecceba9cbd3c6ab47c3"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a5fcdd6f-42ce-4fb7-9ce2-d9614ea932c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fd442da-66a9-4fa6-ba31-eb0d54ad138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BD6512D-A18B-4320-B63D-7ECD6E39B95B}"/>
</file>

<file path=customXml/itemProps2.xml><?xml version="1.0" encoding="utf-8"?>
<ds:datastoreItem xmlns:ds="http://schemas.openxmlformats.org/officeDocument/2006/customXml" ds:itemID="{AE541B1C-15E9-405A-BE94-169395D6B7D3}"/>
</file>

<file path=customXml/itemProps3.xml><?xml version="1.0" encoding="utf-8"?>
<ds:datastoreItem xmlns:ds="http://schemas.openxmlformats.org/officeDocument/2006/customXml" ds:itemID="{4A864CA5-6A36-4D32-A246-460A558B2DC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伊達 翔互</dc:creator>
  <cp:keywords/>
  <dc:description/>
  <cp:lastModifiedBy>伊達翔互</cp:lastModifiedBy>
  <cp:revision/>
  <dcterms:created xsi:type="dcterms:W3CDTF">2023-12-19T04:33:48Z</dcterms:created>
  <dcterms:modified xsi:type="dcterms:W3CDTF">2025-08-12T00:36:17Z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y fmtid="{D5CDD505-2E9C-101B-9397-08002B2CF9AE}" pid="3" name="MediaServiceImageTags">
    <vt:lpwstr/>
  </property>
</Properties>
</file>