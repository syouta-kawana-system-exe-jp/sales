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8" documentId="13_ncr:1_{D82F307F-3071-40BC-AA91-83D873BD40A8}" xr6:coauthVersionLast="47" xr6:coauthVersionMax="47" xr10:uidLastSave="{7FE38893-24C8-4FE1-856D-FF2A5AF3C4DA}"/>
  <bookViews>
    <workbookView xWindow="28680" yWindow="-120" windowWidth="29040" windowHeight="1644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概算見積!$A$1:$AJ$119</definedName>
    <definedName name="_xlnm.Print_Area" localSheetId="1">作業範囲!$A$1:$K$89</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2" i="4" l="1"/>
  <c r="Y43" i="4" s="1"/>
  <c r="AE39" i="4"/>
  <c r="AE40" i="4" l="1"/>
  <c r="AE41" i="4"/>
  <c r="AE42" i="4" l="1"/>
  <c r="AE43" i="4" l="1"/>
  <c r="F11" i="4" s="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<sst xmlns="http://schemas.openxmlformats.org/spreadsheetml/2006/main" count="195" uniqueCount="167">
  <si>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</si>
  <si>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</si>
  <si>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</si>
  <si>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</si>
  <si>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</si>
  <si>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</si>
  <si>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</si>
  <si>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</si>
  <si>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</si>
  <si>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高木　義尚</t>
    <rPh sb="0" eb="2">
      <t>タントウ</t>
    </rPh>
    <rPh sb="4" eb="6">
      <t>タカギ</t>
    </rPh>
    <rPh sb="7" eb="9">
      <t>ヨシナオ</t>
    </rPh>
    <phoneticPr fontId="7"/>
  </si>
  <si>
    <t>MAIL: yoshinao.takagi＠system-exe.jp</t>
    <phoneticPr fontId="7"/>
  </si>
  <si>
    <t>件名</t>
    <rPh sb="0" eb="2">
      <t>ケンメイ</t>
    </rPh>
    <phoneticPr fontId="7"/>
  </si>
  <si>
    <t>海上入出荷計画業務システム（千葉）_新IRIS需給調整システム移行に伴う向け先変更対応</t>
    <rPh sb="18" eb="19">
      <t>シン</t>
    </rPh>
    <rPh sb="23" eb="25">
      <t>ジュキュウ</t>
    </rPh>
    <rPh sb="25" eb="27">
      <t>チョウセイ</t>
    </rPh>
    <rPh sb="31" eb="33">
      <t>イコウ</t>
    </rPh>
    <rPh sb="34" eb="35">
      <t>トモナ</t>
    </rPh>
    <rPh sb="36" eb="37">
      <t>ム</t>
    </rPh>
    <rPh sb="38" eb="39">
      <t>サキ</t>
    </rPh>
    <rPh sb="39" eb="41">
      <t>ヘンコウ</t>
    </rPh>
    <rPh sb="41" eb="43">
      <t>タイオウ</t>
    </rPh>
    <phoneticPr fontId="7"/>
  </si>
  <si>
    <t>作業形態</t>
    <rPh sb="0" eb="2">
      <t>サギョウ</t>
    </rPh>
    <rPh sb="2" eb="4">
      <t>ケイタイ</t>
    </rPh>
    <phoneticPr fontId="18"/>
  </si>
  <si>
    <t>準委任契約（履行割合型）</t>
  </si>
  <si>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</si>
  <si>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</si>
  <si>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</si>
  <si>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2026年3月3日 ～ 2026年3月23日</t>
    <rPh sb="4" eb="5">
      <t>ネン</t>
    </rPh>
    <rPh sb="6" eb="7">
      <t>ガツ</t>
    </rPh>
    <rPh sb="8" eb="9">
      <t>ニチ</t>
    </rPh>
    <rPh sb="16" eb="17">
      <t>ネン</t>
    </rPh>
    <rPh sb="18" eb="19">
      <t>ガツ</t>
    </rPh>
    <rPh sb="21" eb="22">
      <t>ニチ</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</si>
  <si>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</si>
  <si>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</si>
  <si>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</si>
  <si>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</si>
  <si>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</si>
  <si>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</si>
  <si>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リリース前作業</t>
    <rPh sb="4" eb="5">
      <t>マエ</t>
    </rPh>
    <rPh sb="5" eb="7">
      <t>サギョウ</t>
    </rPh>
    <phoneticPr fontId="7"/>
  </si>
  <si>
    <t>人月</t>
    <rPh sb="0" eb="2">
      <t>ニンゲツ</t>
    </rPh>
    <phoneticPr fontId="18"/>
  </si>
  <si>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</si>
  <si>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</si>
  <si>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</si>
  <si>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</si>
  <si>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</si>
  <si>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</si>
  <si>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</si>
  <si>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切替作業手順書</t>
    <rPh sb="0" eb="1">
      <t>キ</t>
    </rPh>
    <rPh sb="1" eb="2">
      <t>カ</t>
    </rPh>
    <rPh sb="2" eb="4">
      <t>サギョウ</t>
    </rPh>
    <rPh sb="4" eb="7">
      <t>テジュンショ</t>
    </rPh>
    <phoneticPr fontId="18"/>
  </si>
  <si>
    <t>作業内容</t>
    <rPh sb="0" eb="2">
      <t>サギョウ</t>
    </rPh>
    <rPh sb="2" eb="4">
      <t>ナイヨウ</t>
    </rPh>
    <phoneticPr fontId="18"/>
  </si>
  <si>
    <t>工程</t>
    <rPh sb="0" eb="2">
      <t>コウテイ</t>
    </rPh>
    <phoneticPr fontId="7"/>
  </si>
  <si>
    <t>リリース前作業</t>
    <rPh sb="4" eb="5">
      <t>マエ</t>
    </rPh>
    <rPh sb="5" eb="7">
      <t>サギョウ</t>
    </rPh>
    <phoneticPr fontId="18"/>
  </si>
  <si>
    <t>リリース作業の調整を行います。</t>
    <rPh sb="4" eb="6">
      <t>サギョウ</t>
    </rPh>
    <rPh sb="7" eb="9">
      <t>チョウセイ</t>
    </rPh>
    <rPh sb="10" eb="11">
      <t>オコナ</t>
    </rPh>
    <phoneticPr fontId="18"/>
  </si>
  <si>
    <t>新システムへの疎通確認を実施します。</t>
    <rPh sb="0" eb="1">
      <t>シン</t>
    </rPh>
    <rPh sb="7" eb="9">
      <t>ソツウ</t>
    </rPh>
    <rPh sb="9" eb="11">
      <t>カクニン</t>
    </rPh>
    <rPh sb="12" eb="14">
      <t>ジッシ</t>
    </rPh>
    <phoneticPr fontId="18"/>
  </si>
  <si>
    <t>切替作業手順書を作成します。</t>
    <rPh sb="2" eb="4">
      <t>サギョウ</t>
    </rPh>
    <rPh sb="8" eb="10">
      <t>サクセイ</t>
    </rPh>
    <phoneticPr fontId="18"/>
  </si>
  <si>
    <t>リリース</t>
    <phoneticPr fontId="18"/>
  </si>
  <si>
    <t>切替作業を実施します。</t>
    <rPh sb="0" eb="2">
      <t>キリカエ</t>
    </rPh>
    <rPh sb="2" eb="4">
      <t>サギョウ</t>
    </rPh>
    <rPh sb="5" eb="7">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</si>
  <si>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</si>
  <si>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</si>
  <si>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</si>
  <si>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</si>
  <si>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</si>
  <si>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改修対象</t>
    <rPh sb="0" eb="2">
      <t>カイシュウ</t>
    </rPh>
    <rPh sb="2" eb="4">
      <t>タイショウ</t>
    </rPh>
    <phoneticPr fontId="18"/>
  </si>
  <si>
    <t>●新IRIS需給調整システムのデータベースサーバのIPアドレス更新に伴う連携バッチの向け先変更対応</t>
    <rPh sb="1" eb="2">
      <t>シン</t>
    </rPh>
    <rPh sb="6" eb="8">
      <t>ジュキュウ</t>
    </rPh>
    <rPh sb="8" eb="10">
      <t>チョウセイ</t>
    </rPh>
    <rPh sb="36" eb="38">
      <t>レンケイ</t>
    </rPh>
    <phoneticPr fontId="18"/>
  </si>
  <si>
    <t>・海上入出荷計画業務システム（千葉）</t>
    <rPh sb="1" eb="3">
      <t>カイジョウ</t>
    </rPh>
    <rPh sb="3" eb="6">
      <t>ニュウシュッカ</t>
    </rPh>
    <rPh sb="6" eb="8">
      <t>ケイカク</t>
    </rPh>
    <rPh sb="8" eb="10">
      <t>ギョウム</t>
    </rPh>
    <rPh sb="15" eb="17">
      <t>チバ</t>
    </rPh>
    <phoneticPr fontId="18"/>
  </si>
  <si>
    <t>1. 新サーバへの接続確認（TNSPING）</t>
    <rPh sb="3" eb="4">
      <t>シン</t>
    </rPh>
    <rPh sb="9" eb="11">
      <t>セツゾク</t>
    </rPh>
    <rPh sb="11" eb="13">
      <t>カクニン</t>
    </rPh>
    <phoneticPr fontId="18"/>
  </si>
  <si>
    <t>2. 連携バッチの接続設定変更（ODBC）</t>
    <rPh sb="3" eb="5">
      <t>レンケイ</t>
    </rPh>
    <rPh sb="9" eb="11">
      <t>セツゾク</t>
    </rPh>
    <rPh sb="11" eb="13">
      <t>セッテイ</t>
    </rPh>
    <rPh sb="13" eb="15">
      <t>ヘンコウ</t>
    </rPh>
    <phoneticPr fontId="18"/>
  </si>
  <si>
    <t>3. 定周期タスクの停止</t>
    <rPh sb="3" eb="6">
      <t>テイシュウキ</t>
    </rPh>
    <rPh sb="10" eb="12">
      <t>テイシ</t>
    </rPh>
    <phoneticPr fontId="18"/>
  </si>
  <si>
    <t>4. 定周期タスクの起動</t>
    <rPh sb="3" eb="6">
      <t>テイシュウキ</t>
    </rPh>
    <rPh sb="10" eb="12">
      <t>キドウ</t>
    </rPh>
    <phoneticPr fontId="18"/>
  </si>
  <si>
    <t>※作業はいずれも2名体制で実施します</t>
    <rPh sb="1" eb="3">
      <t>サギョウ</t>
    </rPh>
    <rPh sb="9" eb="10">
      <t>メイ</t>
    </rPh>
    <rPh sb="10" eb="12">
      <t>タイセイ</t>
    </rPh>
    <rPh sb="13" eb="15">
      <t>ジッシ</t>
    </rPh>
    <phoneticPr fontId="18"/>
  </si>
  <si>
    <t>スケジュール</t>
    <phoneticPr fontId="7"/>
  </si>
  <si>
    <t>3/2週</t>
    <rPh sb="3" eb="4">
      <t>シュウ</t>
    </rPh>
    <phoneticPr fontId="18"/>
  </si>
  <si>
    <t>3/9週</t>
    <rPh sb="3" eb="4">
      <t>シュウ</t>
    </rPh>
    <phoneticPr fontId="18"/>
  </si>
  <si>
    <t>3/16週</t>
    <rPh sb="4" eb="5">
      <t>シュウ</t>
    </rPh>
    <phoneticPr fontId="18"/>
  </si>
  <si>
    <t>3/23週</t>
    <rPh sb="4" eb="5">
      <t>シュウ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</si>
  <si>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</si>
  <si>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</si>
  <si>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</si>
  <si>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</si>
  <si>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</si>
  <si>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</si>
  <si>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</si>
  <si>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</si>
  <si>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</si>
  <si>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プログラマー</t>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</si>
  <si>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</si>
  <si>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</si>
  <si>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</si>
  <si>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</si>
  <si>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</si>
  <si>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</si>
  <si>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</si>
  <si>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</si>
  <si>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</si>
  <si>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</si>
  <si>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</si>
  <si>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</si>
  <si>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上記以外での作業が発生した場合には交通費・宿泊費等を別途ご請求させていただきます。</t>
    <rPh sb="0" eb="2">
      <t>ジョウキ</t>
    </rPh>
    <rPh sb="2" eb="4">
      <t>イガイ</t>
    </rPh>
    <phoneticPr fontId="7"/>
  </si>
  <si>
    <t>３．需給調整システムの変更箇所について</t>
    <rPh sb="2" eb="4">
      <t>ジュキュウ</t>
    </rPh>
    <rPh sb="4" eb="6">
      <t>チョウセイ</t>
    </rPh>
    <rPh sb="11" eb="13">
      <t>ヘンコウ</t>
    </rPh>
    <rPh sb="13" eb="15">
      <t>カショ</t>
    </rPh>
    <phoneticPr fontId="18"/>
  </si>
  <si>
    <t>需給調整システムのIPアドレス以外に変更箇所がないこととさせていただきます。</t>
    <rPh sb="0" eb="4">
      <t>ジュキュウチョウセイ</t>
    </rPh>
    <rPh sb="15" eb="17">
      <t>イガイ</t>
    </rPh>
    <rPh sb="18" eb="20">
      <t>ヘンコウ</t>
    </rPh>
    <rPh sb="20" eb="22">
      <t>カショ</t>
    </rPh>
    <phoneticPr fontId="18"/>
  </si>
  <si>
    <t>４．受入テストについて</t>
    <rPh sb="2" eb="4">
      <t>ウケイレ</t>
    </rPh>
    <phoneticPr fontId="18"/>
  </si>
  <si>
    <t>受入テストにつきましては、貴社にて実施をお願い致します。</t>
    <rPh sb="0" eb="2">
      <t>ウケイレ</t>
    </rPh>
    <rPh sb="13" eb="15">
      <t>キシャ</t>
    </rPh>
    <rPh sb="17" eb="19">
      <t>ジッシ</t>
    </rPh>
    <rPh sb="21" eb="22">
      <t>ネガイ</t>
    </rPh>
    <rPh sb="23" eb="24">
      <t>タ</t>
    </rPh>
    <phoneticPr fontId="18"/>
  </si>
  <si>
    <t>５．切り戻しした場合の再切替作業について</t>
    <rPh sb="2" eb="3">
      <t>キ</t>
    </rPh>
    <rPh sb="4" eb="5">
      <t>モド</t>
    </rPh>
    <rPh sb="8" eb="10">
      <t>バアイ</t>
    </rPh>
    <rPh sb="11" eb="14">
      <t>サイキリカエ</t>
    </rPh>
    <rPh sb="14" eb="16">
      <t>サギョウ</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</si>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</sst>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s>
  <fonts count="25">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3">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0" fontId="15" fillId="0" borderId="29" xfId="4" applyFont="1" applyBorder="1" applyAlignment="1">
      <alignment horizontal="lef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6" fontId="4" fillId="3" borderId="4" xfId="2" applyNumberFormat="1" applyFont="1" applyFill="1" applyBorder="1" applyAlignment="1" applyProtection="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xf numFmtId="0" fontId="4" fillId="3" borderId="2" xfId="1" applyFont="1" applyFill="1" applyBorder="1" applyAlignment="1">
      <alignment vertical="center"/>
    </xf>
    <xf numFmtId="0" fontId="4" fillId="3" borderId="3" xfId="1" applyFont="1" applyFill="1" applyBorder="1" applyAlignment="1">
      <alignment vertical="center"/>
    </xf>
    <xf numFmtId="0" fontId="4" fillId="3" borderId="5" xfId="1" applyFont="1" applyFill="1" applyBorder="1" applyAlignment="1">
      <alignment vertical="center"/>
    </xf>
    <xf numFmtId="176" fontId="4" fillId="3" borderId="4" xfId="1" applyNumberFormat="1" applyFont="1" applyFill="1" applyBorder="1" applyAlignment="1">
      <alignment vertical="center"/>
    </xf>
    <xf numFmtId="5" fontId="4" fillId="3" borderId="4" xfId="1" applyNumberFormat="1" applyFont="1" applyFill="1" applyBorder="1" applyAlignment="1">
      <alignment vertical="center"/>
    </xf>
    <xf numFmtId="179" fontId="4" fillId="3" borderId="4" xfId="1" applyNumberFormat="1" applyFont="1" applyFill="1" applyBorder="1" applyAlignment="1">
      <alignment vertical="center"/>
    </xf>
    <xf numFmtId="180" fontId="4" fillId="3" borderId="4" xfId="1" applyNumberFormat="1" applyFont="1" applyFill="1" applyBorder="1" applyAlignment="1">
      <alignment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30</xdr:col>
      <xdr:colOff>0</xdr:colOff>
      <xdr:row>85</xdr:row>
      <xdr:rowOff>28575</xdr:rowOff>
    </xdr:from>
    <xdr:to>
      <xdr:col>31</xdr:col>
      <xdr:colOff>169500</xdr:colOff>
      <xdr:row>85</xdr:row>
      <xdr:rowOff>172575</xdr:rowOff>
    </xdr:to>
    <xdr:sp macro="" textlink="">
      <xdr:nvSpPr>
        <xdr:cNvPr id="2" name="ホームベース 120">
          <a:extLst>
            <a:ext uri="{FF2B5EF4-FFF2-40B4-BE49-F238E27FC236}">
              <a16:creationId xmlns:a16="http://schemas.microsoft.com/office/drawing/2014/main" id="{B247DDCD-AF6D-4851-BFC0-B5F3FF6B0CAA}"/>
            </a:ext>
          </a:extLst>
        </xdr:cNvPr>
        <xdr:cNvSpPr/>
      </xdr:nvSpPr>
      <xdr:spPr bwMode="auto">
        <a:xfrm>
          <a:off x="6000750" y="21555075"/>
          <a:ext cx="369525" cy="144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9</xdr:col>
      <xdr:colOff>6350</xdr:colOff>
      <xdr:row>79</xdr:row>
      <xdr:rowOff>47625</xdr:rowOff>
    </xdr:from>
    <xdr:to>
      <xdr:col>19</xdr:col>
      <xdr:colOff>177800</xdr:colOff>
      <xdr:row>80</xdr:row>
      <xdr:rowOff>145125</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778000" y="15097125"/>
          <a:ext cx="21399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85</xdr:row>
      <xdr:rowOff>30480</xdr:rowOff>
    </xdr:from>
    <xdr:to>
      <xdr:col>25</xdr:col>
      <xdr:colOff>169500</xdr:colOff>
      <xdr:row>85</xdr:row>
      <xdr:rowOff>174480</xdr:rowOff>
    </xdr:to>
    <xdr:sp macro="" textlink="">
      <xdr:nvSpPr>
        <xdr:cNvPr id="13" name="ホームベース 13">
          <a:extLst>
            <a:ext uri="{FF2B5EF4-FFF2-40B4-BE49-F238E27FC236}">
              <a16:creationId xmlns:a16="http://schemas.microsoft.com/office/drawing/2014/main" id="{3EF7067C-86EF-49BF-BDCC-8D695BFF9D9A}"/>
            </a:ext>
          </a:extLst>
        </xdr:cNvPr>
        <xdr:cNvSpPr/>
      </xdr:nvSpPr>
      <xdr:spPr bwMode="auto">
        <a:xfrm>
          <a:off x="4800600" y="21556980"/>
          <a:ext cx="369525" cy="1440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26</xdr:col>
      <xdr:colOff>12700</xdr:colOff>
      <xdr:row>81</xdr:row>
      <xdr:rowOff>47625</xdr:rowOff>
    </xdr:from>
    <xdr:to>
      <xdr:col>27</xdr:col>
      <xdr:colOff>6350</xdr:colOff>
      <xdr:row>82</xdr:row>
      <xdr:rowOff>145125</xdr:rowOff>
    </xdr:to>
    <xdr:sp macro="" textlink="">
      <xdr:nvSpPr>
        <xdr:cNvPr id="7" name="ホームベース 35">
          <a:extLst>
            <a:ext uri="{FF2B5EF4-FFF2-40B4-BE49-F238E27FC236}">
              <a16:creationId xmlns:a16="http://schemas.microsoft.com/office/drawing/2014/main" id="{2780ABBD-04D8-E226-0D87-224FCBDB4E4C}"/>
            </a:ext>
          </a:extLst>
        </xdr:cNvPr>
        <xdr:cNvSpPr/>
      </xdr:nvSpPr>
      <xdr:spPr bwMode="auto">
        <a:xfrm>
          <a:off x="5130800" y="15478125"/>
          <a:ext cx="1905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29</xdr:col>
      <xdr:colOff>6350</xdr:colOff>
      <xdr:row>83</xdr:row>
      <xdr:rowOff>47625</xdr:rowOff>
    </xdr:from>
    <xdr:to>
      <xdr:col>29</xdr:col>
      <xdr:colOff>184150</xdr:colOff>
      <xdr:row>84</xdr:row>
      <xdr:rowOff>145125</xdr:rowOff>
    </xdr:to>
    <xdr:sp macro="" textlink="">
      <xdr:nvSpPr>
        <xdr:cNvPr id="8" name="ホームベース 35">
          <a:extLst>
            <a:ext uri="{FF2B5EF4-FFF2-40B4-BE49-F238E27FC236}">
              <a16:creationId xmlns:a16="http://schemas.microsoft.com/office/drawing/2014/main" id="{372599ED-ECB4-1E6E-AE3B-A18850076620}"/>
            </a:ext>
          </a:extLst>
        </xdr:cNvPr>
        <xdr:cNvSpPr/>
      </xdr:nvSpPr>
      <xdr:spPr bwMode="auto">
        <a:xfrm>
          <a:off x="5715000" y="15859125"/>
          <a:ext cx="1778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25</xdr:col>
      <xdr:colOff>107950</xdr:colOff>
      <xdr:row>81</xdr:row>
      <xdr:rowOff>47625</xdr:rowOff>
    </xdr:from>
    <xdr:to>
      <xdr:col>26</xdr:col>
      <xdr:colOff>6350</xdr:colOff>
      <xdr:row>82</xdr:row>
      <xdr:rowOff>145125</xdr:rowOff>
    </xdr:to>
    <xdr:sp macro="" textlink="">
      <xdr:nvSpPr>
        <xdr:cNvPr id="3" name="ホームベース 35">
          <a:extLst>
            <a:ext uri="{FF2B5EF4-FFF2-40B4-BE49-F238E27FC236}">
              <a16:creationId xmlns:a16="http://schemas.microsoft.com/office/drawing/2014/main" id="{B2C117D2-288C-B75D-E2F8-1AECCFA686CE}"/>
            </a:ext>
          </a:extLst>
        </xdr:cNvPr>
        <xdr:cNvSpPr/>
      </xdr:nvSpPr>
      <xdr:spPr bwMode="auto">
        <a:xfrm>
          <a:off x="5029200" y="15478125"/>
          <a:ext cx="952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25</xdr:col>
      <xdr:colOff>107950</xdr:colOff>
      <xdr:row>79</xdr:row>
      <xdr:rowOff>76200</xdr:rowOff>
    </xdr:from>
    <xdr:to>
      <xdr:col>30</xdr:col>
      <xdr:colOff>114300</xdr:colOff>
      <xdr:row>80</xdr:row>
      <xdr:rowOff>107950</xdr:rowOff>
    </xdr:to>
    <xdr:sp macro="" textlink="">
      <xdr:nvSpPr>
        <xdr:cNvPr id="6" name="吹き出し: 四角形 5">
          <a:extLst>
            <a:ext uri="{FF2B5EF4-FFF2-40B4-BE49-F238E27FC236}">
              <a16:creationId xmlns:a16="http://schemas.microsoft.com/office/drawing/2014/main" id="{06177498-2E9D-19A3-87CD-5FC7DDCA6BDA}"/>
            </a:ext>
          </a:extLst>
        </xdr:cNvPr>
        <xdr:cNvSpPr/>
      </xdr:nvSpPr>
      <xdr:spPr>
        <a:xfrm>
          <a:off x="5029200" y="15125700"/>
          <a:ext cx="990600" cy="222250"/>
        </a:xfrm>
        <a:prstGeom prst="wedgeRectCallout">
          <a:avLst>
            <a:gd name="adj1" fmla="val -35002"/>
            <a:gd name="adj2" fmla="val 102500"/>
          </a:avLst>
        </a:prstGeom>
      </xdr:spPr>
      <xdr:style>
        <a:lnRef idx="1">
          <a:schemeClr val="accent2"/>
        </a:lnRef>
        <a:fillRef idx="2">
          <a:schemeClr val="accent2"/>
        </a:fillRef>
        <a:effectRef idx="1">
          <a:schemeClr val="accent2"/>
        </a:effectRef>
        <a:fontRef idx="minor">
          <a:schemeClr val="dk1"/>
        </a:fontRef>
      </xdr:style>
      <xdr:txBody>
        <a:bodyPr vertOverflow="clip" horzOverflow="clip" lIns="36000" tIns="36000" rIns="36000" bIns="36000" rtlCol="0" anchor="ctr"/>
        <a:lstStyle/>
        <a:p>
          <a:pPr algn="ctr"/>
          <a:r>
            <a:rPr kumimoji="1" lang="en-US" altLang="ja-JP" sz="900"/>
            <a:t>3/20</a:t>
          </a:r>
          <a:r>
            <a:rPr kumimoji="1" lang="ja-JP" altLang="en-US" sz="900"/>
            <a:t>リリース予定</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156167</xdr:rowOff>
    </xdr:to>
    <xdr:pic>
      <xdr:nvPicPr>
        <xdr:cNvPr id="3" name="図 2">
          <a:extLst>
            <a:ext uri="{FF2B5EF4-FFF2-40B4-BE49-F238E27FC236}">
              <a16:creationId xmlns:a16="http://schemas.microsoft.com/office/drawing/2014/main" id="{B3C537D6-2825-1F8B-E471-DABD1CAC69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818" y="115456"/>
          <a:ext cx="6580909" cy="3619802"/>
        </a:xfrm>
        <a:prstGeom prst="rect">
          <a:avLst/>
        </a:prstGeom>
        <a:ln>
          <a:solidFill>
            <a:schemeClr val="tx1"/>
          </a:solidFill>
        </a:ln>
      </xdr:spPr>
    </xdr:pic>
    <xdr:clientData/>
  </xdr:twoCellAnchor>
  <xdr:twoCellAnchor editAs="oneCell">
    <xdr:from>
      <xdr:col>1</xdr:col>
      <xdr:colOff>1</xdr:colOff>
      <xdr:row>18</xdr:row>
      <xdr:rowOff>0</xdr:rowOff>
    </xdr:from>
    <xdr:to>
      <xdr:col>11</xdr:col>
      <xdr:colOff>0</xdr:colOff>
      <xdr:row>35</xdr:row>
      <xdr:rowOff>189738</xdr:rowOff>
    </xdr:to>
    <xdr:pic>
      <xdr:nvPicPr>
        <xdr:cNvPr id="6" name="図 5">
          <a:extLst>
            <a:ext uri="{FF2B5EF4-FFF2-40B4-BE49-F238E27FC236}">
              <a16:creationId xmlns:a16="http://schemas.microsoft.com/office/drawing/2014/main" id="{DE5E55EF-EC36-16E4-7938-1A5D0EA9C3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819" y="3971636"/>
          <a:ext cx="6580908" cy="4115193"/>
        </a:xfrm>
        <a:prstGeom prst="rect">
          <a:avLst/>
        </a:prstGeom>
        <a:ln>
          <a:solidFill>
            <a:schemeClr val="tx1"/>
          </a:solidFill>
        </a:ln>
      </xdr:spPr>
    </xdr:pic>
    <xdr:clientData/>
  </xdr:twoCellAnchor>
  <xdr:twoCellAnchor editAs="oneCell">
    <xdr:from>
      <xdr:col>1</xdr:col>
      <xdr:colOff>0</xdr:colOff>
      <xdr:row>37</xdr:row>
      <xdr:rowOff>0</xdr:rowOff>
    </xdr:from>
    <xdr:to>
      <xdr:col>11</xdr:col>
      <xdr:colOff>0</xdr:colOff>
      <xdr:row>54</xdr:row>
      <xdr:rowOff>197593</xdr:rowOff>
    </xdr:to>
    <xdr:pic>
      <xdr:nvPicPr>
        <xdr:cNvPr id="10" name="図 9">
          <a:extLst>
            <a:ext uri="{FF2B5EF4-FFF2-40B4-BE49-F238E27FC236}">
              <a16:creationId xmlns:a16="http://schemas.microsoft.com/office/drawing/2014/main" id="{0531BA23-2482-8C2D-A338-A69BEEF820F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7818" y="8358909"/>
          <a:ext cx="6580909" cy="4123048"/>
        </a:xfrm>
        <a:prstGeom prst="rect">
          <a:avLst/>
        </a:prstGeom>
        <a:ln>
          <a:solidFill>
            <a:schemeClr val="tx1"/>
          </a:solidFill>
        </a:ln>
      </xdr:spPr>
    </xdr:pic>
    <xdr:clientData/>
  </xdr:twoCellAnchor>
  <xdr:twoCellAnchor editAs="oneCell">
    <xdr:from>
      <xdr:col>1</xdr:col>
      <xdr:colOff>0</xdr:colOff>
      <xdr:row>56</xdr:row>
      <xdr:rowOff>0</xdr:rowOff>
    </xdr:from>
    <xdr:to>
      <xdr:col>11</xdr:col>
      <xdr:colOff>0</xdr:colOff>
      <xdr:row>68</xdr:row>
      <xdr:rowOff>2721</xdr:rowOff>
    </xdr:to>
    <xdr:pic>
      <xdr:nvPicPr>
        <xdr:cNvPr id="14" name="図 13">
          <a:extLst>
            <a:ext uri="{FF2B5EF4-FFF2-40B4-BE49-F238E27FC236}">
              <a16:creationId xmlns:a16="http://schemas.microsoft.com/office/drawing/2014/main" id="{C0FD63A1-11FA-0735-59DD-9564AFEFFC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7818" y="12653818"/>
          <a:ext cx="6580909" cy="2773630"/>
        </a:xfrm>
        <a:prstGeom prst="rect">
          <a:avLst/>
        </a:prstGeom>
        <a:ln>
          <a:solidFill>
            <a:schemeClr val="tx1"/>
          </a:solidFill>
        </a:ln>
      </xdr:spPr>
    </xdr:pic>
    <xdr:clientData/>
  </xdr:twoCellAnchor>
  <xdr:twoCellAnchor editAs="oneCell">
    <xdr:from>
      <xdr:col>1</xdr:col>
      <xdr:colOff>0</xdr:colOff>
      <xdr:row>69</xdr:row>
      <xdr:rowOff>0</xdr:rowOff>
    </xdr:from>
    <xdr:to>
      <xdr:col>11</xdr:col>
      <xdr:colOff>0</xdr:colOff>
      <xdr:row>88</xdr:row>
      <xdr:rowOff>56446</xdr:rowOff>
    </xdr:to>
    <xdr:pic>
      <xdr:nvPicPr>
        <xdr:cNvPr id="18" name="図 17">
          <a:extLst>
            <a:ext uri="{FF2B5EF4-FFF2-40B4-BE49-F238E27FC236}">
              <a16:creationId xmlns:a16="http://schemas.microsoft.com/office/drawing/2014/main" id="{F1DD5B9F-2B6E-F9A4-90F2-C312045A89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7818" y="15655636"/>
          <a:ext cx="6580909" cy="4443719"/>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18"/>
  <sheetViews>
    <sheetView tabSelected="1" view="pageBreakPreview" topLeftCell="A88" zoomScaleNormal="100" zoomScaleSheetLayoutView="100" workbookViewId="0">
      <selection activeCell="B117" sqref="B117"/>
    </sheetView>
  </sheetViews>
  <sheetFormatPr defaultColWidth="2.625" defaultRowHeight="15" customHeight="1"/>
  <cols>
    <col min="1" max="1" width="2.625" style="30"/>
    <col min="2" max="16384" width="2.625" style="27"/>
  </cols>
  <sheetData>
    <row r="1" spans="1:37" s="25" customFormat="1" ht="15" customHeight="1">
      <c r="A1" s="79" t="s">
        <v>0</v>
      </c>
      <c r="B1" s="79"/>
      <c r="C1" s="79"/>
      <c r="D1" s="79"/>
      <c r="E1" s="79"/>
      <c r="F1" s="79"/>
      <c r="G1" s="79"/>
      <c r="H1" s="79"/>
      <c r="I1" s="79"/>
      <c r="J1" s="79"/>
      <c r="K1" s="79"/>
      <c r="L1" s="79"/>
      <c r="M1" s="79"/>
      <c r="N1" s="79"/>
      <c r="O1" s="79"/>
      <c r="P1" s="79"/>
      <c r="Q1" s="79"/>
      <c r="X1" s="26" t="s">
        <v>1</v>
      </c>
      <c r="Z1" s="26"/>
      <c r="AA1" s="26"/>
      <c r="AB1" s="26"/>
      <c r="AC1" s="26"/>
      <c r="AD1" s="26"/>
      <c r="AE1" s="26"/>
      <c r="AF1" s="88" t="s">
        <v>2</v>
      </c>
      <c r="AG1" s="89"/>
      <c r="AH1" s="89"/>
      <c r="AI1" s="89"/>
      <c r="AJ1" s="89"/>
      <c r="AK1" s="27"/>
    </row>
    <row r="2" spans="1:37" s="25" customFormat="1" ht="15" customHeight="1">
      <c r="A2" s="79"/>
      <c r="B2" s="79"/>
      <c r="C2" s="79"/>
      <c r="D2" s="79"/>
      <c r="E2" s="79"/>
      <c r="F2" s="79"/>
      <c r="G2" s="79"/>
      <c r="H2" s="79"/>
      <c r="I2" s="79"/>
      <c r="J2" s="79"/>
      <c r="K2" s="79"/>
      <c r="L2" s="79"/>
      <c r="M2" s="79"/>
      <c r="N2" s="79"/>
      <c r="O2" s="79"/>
      <c r="P2" s="79"/>
      <c r="Q2" s="79"/>
      <c r="X2" s="28" t="s">
        <v>3</v>
      </c>
      <c r="Y2" s="62"/>
      <c r="Z2" s="28"/>
      <c r="AA2" s="28"/>
      <c r="AB2" s="28"/>
      <c r="AC2" s="28"/>
      <c r="AD2" s="28"/>
      <c r="AE2" s="28"/>
      <c r="AF2" s="80">
        <v>45916</v>
      </c>
      <c r="AG2" s="81"/>
      <c r="AH2" s="81"/>
      <c r="AI2" s="81"/>
      <c r="AJ2" s="81"/>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82" t="s">
        <v>4</v>
      </c>
      <c r="B5" s="82"/>
      <c r="C5" s="82"/>
      <c r="D5" s="82"/>
      <c r="E5" s="82"/>
      <c r="F5" s="82"/>
      <c r="G5" s="82"/>
      <c r="H5" s="82"/>
      <c r="I5" s="82"/>
      <c r="J5" s="82"/>
      <c r="K5" s="82"/>
      <c r="L5" s="82"/>
      <c r="M5" s="82"/>
      <c r="N5" s="82"/>
      <c r="O5" s="82"/>
      <c r="P5" s="82"/>
      <c r="Q5" s="82"/>
      <c r="Z5" s="27"/>
      <c r="AA5" s="27"/>
      <c r="AB5" s="27"/>
      <c r="AC5" s="27"/>
      <c r="AD5" s="27"/>
      <c r="AE5" s="27"/>
      <c r="AF5" s="27"/>
      <c r="AG5" s="27"/>
      <c r="AH5" s="27"/>
      <c r="AI5" s="27"/>
      <c r="AJ5" s="27"/>
      <c r="AK5" s="27"/>
    </row>
    <row r="6" spans="1:37" s="25" customFormat="1" ht="15" customHeight="1">
      <c r="A6" s="83"/>
      <c r="B6" s="83"/>
      <c r="C6" s="83"/>
      <c r="D6" s="83"/>
      <c r="E6" s="83"/>
      <c r="F6" s="83"/>
      <c r="G6" s="83"/>
      <c r="H6" s="83"/>
      <c r="I6" s="83"/>
      <c r="J6" s="83"/>
      <c r="K6" s="83"/>
      <c r="L6" s="83"/>
      <c r="M6" s="83"/>
      <c r="N6" s="83"/>
      <c r="O6" s="83"/>
      <c r="P6" s="83"/>
      <c r="Q6" s="83"/>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84" t="s">
        <v>8</v>
      </c>
      <c r="B11" s="84"/>
      <c r="C11" s="84"/>
      <c r="D11" s="84"/>
      <c r="E11" s="84"/>
      <c r="F11" s="86">
        <f>AE43</f>
        <v>548000</v>
      </c>
      <c r="G11" s="86"/>
      <c r="H11" s="86"/>
      <c r="I11" s="86"/>
      <c r="J11" s="86"/>
      <c r="K11" s="86"/>
      <c r="L11" s="86"/>
      <c r="M11" s="86"/>
      <c r="N11" s="86"/>
      <c r="O11" s="86"/>
      <c r="P11" s="86"/>
      <c r="Q11" s="86"/>
      <c r="X11" s="27" t="s">
        <v>9</v>
      </c>
      <c r="AA11" s="27"/>
      <c r="AB11" s="27"/>
      <c r="AC11" s="27"/>
      <c r="AD11" s="27"/>
      <c r="AE11" s="27"/>
      <c r="AF11" s="27"/>
      <c r="AG11" s="27"/>
      <c r="AH11" s="27"/>
      <c r="AI11" s="27"/>
      <c r="AJ11" s="27"/>
      <c r="AK11" s="27"/>
    </row>
    <row r="12" spans="1:37" s="25" customFormat="1" ht="15" customHeight="1">
      <c r="A12" s="85"/>
      <c r="B12" s="85"/>
      <c r="C12" s="85"/>
      <c r="D12" s="85"/>
      <c r="E12" s="85"/>
      <c r="F12" s="87"/>
      <c r="G12" s="87"/>
      <c r="H12" s="87"/>
      <c r="I12" s="87"/>
      <c r="J12" s="87"/>
      <c r="K12" s="87"/>
      <c r="L12" s="87"/>
      <c r="M12" s="87"/>
      <c r="N12" s="87"/>
      <c r="O12" s="87"/>
      <c r="P12" s="87"/>
      <c r="Q12" s="87"/>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12</v>
      </c>
    </row>
    <row r="20" spans="1:16" ht="15" customHeight="1">
      <c r="A20" s="27"/>
    </row>
    <row r="21" spans="1:16" ht="15" customHeight="1">
      <c r="A21" s="30" t="s">
        <v>13</v>
      </c>
      <c r="P21" s="30"/>
    </row>
    <row r="22" spans="1:16" ht="15" customHeight="1">
      <c r="A22" s="27"/>
    </row>
    <row r="23" spans="1:16" ht="15" customHeight="1">
      <c r="A23" s="27"/>
      <c r="B23" s="27" t="s">
        <v>14</v>
      </c>
    </row>
    <row r="24" spans="1:16" ht="15" customHeight="1">
      <c r="A24" s="27"/>
    </row>
    <row r="25" spans="1:16" ht="15" customHeight="1">
      <c r="A25" s="27"/>
    </row>
    <row r="26" spans="1:16" ht="15" customHeight="1">
      <c r="A26" s="30" t="s">
        <v>15</v>
      </c>
    </row>
    <row r="27" spans="1:16" ht="15" customHeight="1">
      <c r="A27" s="27"/>
    </row>
    <row r="28" spans="1:16" ht="15" customHeight="1">
      <c r="A28" s="27"/>
      <c r="B28" s="27" t="s">
        <v>16</v>
      </c>
    </row>
    <row r="29" spans="1:16" ht="15" customHeight="1">
      <c r="A29" s="27"/>
    </row>
    <row r="30" spans="1:16" ht="15" customHeight="1">
      <c r="A30" s="27"/>
    </row>
    <row r="31" spans="1:16" ht="15" customHeight="1">
      <c r="A31" s="30" t="s">
        <v>17</v>
      </c>
    </row>
    <row r="33" spans="1:43" ht="15" customHeight="1">
      <c r="A33" s="27"/>
      <c r="B33" s="27" t="s">
        <v>18</v>
      </c>
    </row>
    <row r="34" spans="1:43" ht="15" customHeight="1">
      <c r="A34" s="27"/>
    </row>
    <row r="35" spans="1:43" ht="15" customHeight="1">
      <c r="A35" s="27"/>
    </row>
    <row r="36" spans="1:43" ht="15" customHeight="1">
      <c r="A36" s="30" t="s">
        <v>19</v>
      </c>
    </row>
    <row r="37" spans="1:43" ht="15" customHeight="1">
      <c r="A37" s="27"/>
    </row>
    <row r="38" spans="1:43" ht="15" customHeight="1">
      <c r="A38" s="27"/>
      <c r="B38" s="31" t="s">
        <v>20</v>
      </c>
      <c r="C38" s="32"/>
      <c r="D38" s="31" t="s">
        <v>21</v>
      </c>
      <c r="E38" s="33"/>
      <c r="F38" s="33"/>
      <c r="G38" s="33"/>
      <c r="H38" s="33"/>
      <c r="I38" s="33"/>
      <c r="J38" s="33"/>
      <c r="K38" s="33"/>
      <c r="L38" s="33"/>
      <c r="M38" s="33"/>
      <c r="N38" s="33"/>
      <c r="O38" s="33"/>
      <c r="P38" s="33"/>
      <c r="Q38" s="33"/>
      <c r="R38" s="33"/>
      <c r="S38" s="33"/>
      <c r="T38" s="31"/>
      <c r="U38" s="33"/>
      <c r="V38" s="33"/>
      <c r="W38" s="33"/>
      <c r="X38" s="32"/>
      <c r="Y38" s="31" t="s">
        <v>22</v>
      </c>
      <c r="Z38" s="33"/>
      <c r="AA38" s="33"/>
      <c r="AB38" s="33"/>
      <c r="AC38" s="33"/>
      <c r="AD38" s="33"/>
      <c r="AE38" s="31" t="s">
        <v>23</v>
      </c>
      <c r="AF38" s="33"/>
      <c r="AG38" s="33"/>
      <c r="AH38" s="33"/>
      <c r="AI38" s="33"/>
      <c r="AJ38" s="32"/>
      <c r="AM38" s="31" t="s">
        <v>24</v>
      </c>
      <c r="AN38" s="33"/>
      <c r="AO38" s="33"/>
      <c r="AP38" s="33"/>
      <c r="AQ38" s="32"/>
    </row>
    <row r="39" spans="1:43" ht="15" customHeight="1">
      <c r="A39" s="27"/>
      <c r="B39" s="70">
        <v>1</v>
      </c>
      <c r="C39" s="71"/>
      <c r="D39" s="34" t="s">
        <v>25</v>
      </c>
      <c r="E39" s="35"/>
      <c r="F39" s="35"/>
      <c r="G39" s="35"/>
      <c r="H39" s="35"/>
      <c r="I39" s="35"/>
      <c r="J39" s="35"/>
      <c r="K39" s="35"/>
      <c r="L39" s="35"/>
      <c r="M39" s="35"/>
      <c r="N39" s="35"/>
      <c r="O39" s="35"/>
      <c r="P39" s="35"/>
      <c r="Q39" s="35"/>
      <c r="R39" s="35"/>
      <c r="S39" s="35"/>
      <c r="T39" s="63"/>
      <c r="U39" s="63"/>
      <c r="V39" s="63"/>
      <c r="W39" s="63"/>
      <c r="X39" s="64"/>
      <c r="Y39" s="72">
        <v>0.15</v>
      </c>
      <c r="Z39" s="73"/>
      <c r="AA39" s="73"/>
      <c r="AB39" s="73"/>
      <c r="AC39" s="74" t="s">
        <v>26</v>
      </c>
      <c r="AD39" s="75"/>
      <c r="AE39" s="76">
        <f t="shared" ref="AE39" si="0">AM39*Y39</f>
        <v>150000</v>
      </c>
      <c r="AF39" s="77"/>
      <c r="AG39" s="77"/>
      <c r="AH39" s="77"/>
      <c r="AI39" s="77"/>
      <c r="AJ39" s="78"/>
      <c r="AM39" s="76">
        <v>1000000</v>
      </c>
      <c r="AN39" s="77"/>
      <c r="AO39" s="77"/>
      <c r="AP39" s="77"/>
      <c r="AQ39" s="78"/>
    </row>
    <row r="40" spans="1:43" ht="15" customHeight="1">
      <c r="A40" s="27"/>
      <c r="B40" s="70">
        <v>2</v>
      </c>
      <c r="C40" s="71"/>
      <c r="D40" s="34" t="s">
        <v>27</v>
      </c>
      <c r="E40" s="35"/>
      <c r="F40" s="35"/>
      <c r="G40" s="35"/>
      <c r="H40" s="35"/>
      <c r="I40" s="35"/>
      <c r="J40" s="35"/>
      <c r="K40" s="35"/>
      <c r="L40" s="35"/>
      <c r="M40" s="35"/>
      <c r="N40" s="35"/>
      <c r="O40" s="35"/>
      <c r="P40" s="35"/>
      <c r="Q40" s="35"/>
      <c r="R40" s="35"/>
      <c r="S40" s="35"/>
      <c r="T40" s="63"/>
      <c r="U40" s="63"/>
      <c r="V40" s="63"/>
      <c r="W40" s="63"/>
      <c r="X40" s="64"/>
      <c r="Y40" s="72">
        <v>0.2</v>
      </c>
      <c r="Z40" s="73"/>
      <c r="AA40" s="73"/>
      <c r="AB40" s="73"/>
      <c r="AC40" s="74" t="s">
        <v>26</v>
      </c>
      <c r="AD40" s="75"/>
      <c r="AE40" s="76">
        <f t="shared" ref="AE40:AE42" si="1">AM40*Y40</f>
        <v>200000</v>
      </c>
      <c r="AF40" s="77"/>
      <c r="AG40" s="77"/>
      <c r="AH40" s="77"/>
      <c r="AI40" s="77"/>
      <c r="AJ40" s="78"/>
      <c r="AM40" s="76">
        <v>1000000</v>
      </c>
      <c r="AN40" s="77"/>
      <c r="AO40" s="77"/>
      <c r="AP40" s="77"/>
      <c r="AQ40" s="78"/>
    </row>
    <row r="41" spans="1:43" ht="15" customHeight="1">
      <c r="A41" s="27"/>
      <c r="B41" s="70">
        <v>3</v>
      </c>
      <c r="C41" s="71"/>
      <c r="D41" s="34" t="s">
        <v>28</v>
      </c>
      <c r="E41" s="35"/>
      <c r="F41" s="35"/>
      <c r="G41" s="35"/>
      <c r="H41" s="35"/>
      <c r="I41" s="35"/>
      <c r="J41" s="35"/>
      <c r="K41" s="35"/>
      <c r="L41" s="35"/>
      <c r="M41" s="35"/>
      <c r="N41" s="35"/>
      <c r="O41" s="35"/>
      <c r="P41" s="35"/>
      <c r="Q41" s="35"/>
      <c r="R41" s="35"/>
      <c r="S41" s="35"/>
      <c r="T41" s="63"/>
      <c r="U41" s="63"/>
      <c r="V41" s="63"/>
      <c r="W41" s="63"/>
      <c r="X41" s="64"/>
      <c r="Y41" s="72">
        <v>0.1</v>
      </c>
      <c r="Z41" s="73"/>
      <c r="AA41" s="73"/>
      <c r="AB41" s="73"/>
      <c r="AC41" s="74" t="s">
        <v>26</v>
      </c>
      <c r="AD41" s="75"/>
      <c r="AE41" s="76">
        <f t="shared" si="1"/>
        <v>100000</v>
      </c>
      <c r="AF41" s="77"/>
      <c r="AG41" s="77"/>
      <c r="AH41" s="77"/>
      <c r="AI41" s="77"/>
      <c r="AJ41" s="78"/>
      <c r="AM41" s="76">
        <v>1000000</v>
      </c>
      <c r="AN41" s="77"/>
      <c r="AO41" s="77"/>
      <c r="AP41" s="77"/>
      <c r="AQ41" s="78"/>
    </row>
    <row r="42" spans="1:43" ht="15" customHeight="1">
      <c r="A42" s="27"/>
      <c r="B42" s="70">
        <v>4</v>
      </c>
      <c r="C42" s="71"/>
      <c r="D42" s="34" t="s">
        <v>29</v>
      </c>
      <c r="E42" s="35"/>
      <c r="F42" s="35"/>
      <c r="G42" s="35"/>
      <c r="H42" s="35"/>
      <c r="I42" s="35"/>
      <c r="J42" s="35"/>
      <c r="K42" s="35"/>
      <c r="L42" s="35"/>
      <c r="M42" s="35"/>
      <c r="N42" s="35"/>
      <c r="O42" s="35"/>
      <c r="P42" s="35"/>
      <c r="Q42" s="35"/>
      <c r="R42" s="35"/>
      <c r="S42" s="35"/>
      <c r="T42" s="63"/>
      <c r="U42" s="63"/>
      <c r="V42" s="63"/>
      <c r="W42" s="63"/>
      <c r="X42" s="64"/>
      <c r="Y42" s="72">
        <f>ROUNDUP(SUM(Y39:AB41)*0.15,2)</f>
        <v>6.9999999999999993E-2</v>
      </c>
      <c r="Z42" s="73"/>
      <c r="AA42" s="73"/>
      <c r="AB42" s="73"/>
      <c r="AC42" s="74" t="s">
        <v>26</v>
      </c>
      <c r="AD42" s="75"/>
      <c r="AE42" s="76">
        <f t="shared" si="1"/>
        <v>97999.999999999985</v>
      </c>
      <c r="AF42" s="77"/>
      <c r="AG42" s="77"/>
      <c r="AH42" s="77"/>
      <c r="AI42" s="77"/>
      <c r="AJ42" s="78"/>
      <c r="AM42" s="76">
        <v>1400000</v>
      </c>
      <c r="AN42" s="77"/>
      <c r="AO42" s="77"/>
      <c r="AP42" s="77"/>
      <c r="AQ42" s="78"/>
    </row>
    <row r="43" spans="1:43" ht="15" customHeight="1">
      <c r="A43" s="27"/>
      <c r="B43" s="70"/>
      <c r="C43" s="71"/>
      <c r="D43" s="34" t="s">
        <v>30</v>
      </c>
      <c r="E43" s="35"/>
      <c r="F43" s="35"/>
      <c r="G43" s="35"/>
      <c r="H43" s="35"/>
      <c r="I43" s="35"/>
      <c r="J43" s="35"/>
      <c r="K43" s="35"/>
      <c r="L43" s="35"/>
      <c r="M43" s="35"/>
      <c r="N43" s="35"/>
      <c r="O43" s="35"/>
      <c r="P43" s="35"/>
      <c r="Q43" s="35"/>
      <c r="R43" s="35"/>
      <c r="S43" s="35"/>
      <c r="T43" s="63"/>
      <c r="U43" s="63"/>
      <c r="V43" s="63"/>
      <c r="W43" s="63"/>
      <c r="X43" s="64"/>
      <c r="Y43" s="72">
        <f>SUM(Y39:AB42)</f>
        <v>0.51999999999999991</v>
      </c>
      <c r="Z43" s="73"/>
      <c r="AA43" s="73"/>
      <c r="AB43" s="73"/>
      <c r="AC43" s="74" t="s">
        <v>26</v>
      </c>
      <c r="AD43" s="75"/>
      <c r="AE43" s="76">
        <f>SUM(AE39:AJ42)</f>
        <v>548000</v>
      </c>
      <c r="AF43" s="77"/>
      <c r="AG43" s="77"/>
      <c r="AH43" s="77"/>
      <c r="AI43" s="77"/>
      <c r="AJ43" s="78"/>
      <c r="AM43" s="76" t="s">
        <v>31</v>
      </c>
      <c r="AN43" s="77"/>
      <c r="AO43" s="77"/>
      <c r="AP43" s="77"/>
      <c r="AQ43" s="78"/>
    </row>
    <row r="44" spans="1:43" ht="15" customHeight="1">
      <c r="A44" s="27"/>
    </row>
    <row r="45" spans="1:43" ht="15" customHeight="1">
      <c r="A45" s="27"/>
    </row>
    <row r="46" spans="1:43" ht="15" customHeight="1">
      <c r="A46" s="30" t="s">
        <v>32</v>
      </c>
      <c r="T46" s="48"/>
    </row>
    <row r="47" spans="1:43" ht="15" customHeight="1">
      <c r="A47" s="27"/>
    </row>
    <row r="48" spans="1:43" ht="15" customHeight="1">
      <c r="A48" s="27"/>
      <c r="B48" s="36" t="s">
        <v>33</v>
      </c>
      <c r="C48" s="27" t="s">
        <v>34</v>
      </c>
      <c r="T48" s="36"/>
    </row>
    <row r="49" spans="1:36" ht="15" customHeight="1">
      <c r="A49" s="27"/>
      <c r="B49" s="36"/>
      <c r="C49" s="48"/>
      <c r="T49" s="48"/>
    </row>
    <row r="50" spans="1:36" ht="15" customHeight="1">
      <c r="A50" s="27"/>
      <c r="B50" s="37"/>
    </row>
    <row r="51" spans="1:36" ht="15" customHeight="1">
      <c r="A51" s="30" t="s">
        <v>35</v>
      </c>
    </row>
    <row r="52" spans="1:36" ht="15" customHeight="1">
      <c r="A52" s="27"/>
    </row>
    <row r="53" spans="1:36" ht="15" customHeight="1">
      <c r="A53" s="27"/>
      <c r="B53" s="38" t="s">
        <v>20</v>
      </c>
      <c r="C53" s="39"/>
      <c r="D53" s="38" t="s">
        <v>36</v>
      </c>
      <c r="E53" s="40"/>
      <c r="F53" s="40"/>
      <c r="G53" s="40"/>
      <c r="H53" s="40"/>
      <c r="I53" s="31" t="s">
        <v>35</v>
      </c>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2"/>
    </row>
    <row r="54" spans="1:36" ht="15" customHeight="1">
      <c r="A54" s="27"/>
      <c r="B54" s="41">
        <v>1</v>
      </c>
      <c r="C54" s="42"/>
      <c r="D54" s="43" t="s">
        <v>37</v>
      </c>
      <c r="E54" s="44"/>
      <c r="F54" s="44"/>
      <c r="G54" s="44"/>
      <c r="H54" s="44"/>
      <c r="I54" s="49" t="s">
        <v>38</v>
      </c>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1"/>
    </row>
    <row r="55" spans="1:36" ht="15" customHeight="1">
      <c r="A55" s="27"/>
      <c r="B55" s="65"/>
      <c r="C55" s="66"/>
      <c r="D55" s="47"/>
      <c r="E55" s="48"/>
      <c r="F55" s="48"/>
      <c r="G55" s="48"/>
      <c r="H55" s="48"/>
      <c r="I55" s="45" t="s">
        <v>39</v>
      </c>
      <c r="AJ55" s="46"/>
    </row>
    <row r="56" spans="1:36" ht="15" customHeight="1">
      <c r="A56" s="27"/>
      <c r="B56" s="52"/>
      <c r="C56" s="53"/>
      <c r="D56" s="54"/>
      <c r="E56" s="55"/>
      <c r="F56" s="55"/>
      <c r="G56" s="55"/>
      <c r="H56" s="55"/>
      <c r="I56" s="56" t="s">
        <v>40</v>
      </c>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8"/>
    </row>
    <row r="57" spans="1:36" ht="15" customHeight="1">
      <c r="A57" s="27"/>
      <c r="B57" s="41">
        <v>2</v>
      </c>
      <c r="C57" s="42"/>
      <c r="D57" s="43" t="s">
        <v>41</v>
      </c>
      <c r="E57" s="44"/>
      <c r="F57" s="44"/>
      <c r="G57" s="44"/>
      <c r="H57" s="44"/>
      <c r="I57" s="49" t="s">
        <v>42</v>
      </c>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1"/>
    </row>
    <row r="58" spans="1:36" ht="15" customHeight="1">
      <c r="A58" s="27"/>
      <c r="B58" s="52"/>
      <c r="C58" s="53"/>
      <c r="D58" s="54"/>
      <c r="E58" s="55"/>
      <c r="F58" s="55"/>
      <c r="G58" s="55"/>
      <c r="H58" s="55"/>
      <c r="I58" s="56" t="s">
        <v>43</v>
      </c>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8"/>
    </row>
    <row r="59" spans="1:36" ht="15" customHeight="1">
      <c r="A59" s="27"/>
      <c r="B59" s="41">
        <v>3</v>
      </c>
      <c r="C59" s="42"/>
      <c r="D59" s="43" t="s">
        <v>44</v>
      </c>
      <c r="E59" s="48"/>
      <c r="F59" s="48"/>
      <c r="G59" s="48"/>
      <c r="H59" s="48"/>
      <c r="I59" s="49" t="s">
        <v>45</v>
      </c>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1"/>
    </row>
    <row r="60" spans="1:36" ht="15" customHeight="1">
      <c r="A60" s="27"/>
      <c r="B60" s="52"/>
      <c r="C60" s="53"/>
      <c r="D60" s="54"/>
      <c r="E60" s="55"/>
      <c r="F60" s="55"/>
      <c r="G60" s="55"/>
      <c r="H60" s="55"/>
      <c r="I60" s="56"/>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8"/>
    </row>
    <row r="61" spans="1:36" ht="15" customHeight="1">
      <c r="A61" s="27"/>
      <c r="B61" s="41">
        <v>4</v>
      </c>
      <c r="C61" s="42"/>
      <c r="D61" s="43" t="s">
        <v>46</v>
      </c>
      <c r="E61" s="44"/>
      <c r="F61" s="44"/>
      <c r="G61" s="44"/>
      <c r="H61" s="44"/>
      <c r="I61" s="45" t="s">
        <v>47</v>
      </c>
      <c r="AJ61" s="46"/>
    </row>
    <row r="62" spans="1:36" ht="15" customHeight="1">
      <c r="A62" s="27"/>
      <c r="B62" s="52"/>
      <c r="C62" s="53"/>
      <c r="D62" s="54"/>
      <c r="E62" s="55"/>
      <c r="F62" s="55"/>
      <c r="G62" s="55"/>
      <c r="H62" s="55"/>
      <c r="I62" s="56"/>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8"/>
    </row>
    <row r="63" spans="1:36" ht="15" customHeight="1">
      <c r="A63" s="27"/>
    </row>
    <row r="64" spans="1:36" ht="15" customHeight="1">
      <c r="A64" s="27"/>
    </row>
    <row r="65" spans="1:35" ht="15" customHeight="1">
      <c r="A65" s="30" t="s">
        <v>48</v>
      </c>
    </row>
    <row r="66" spans="1:35" ht="15" customHeight="1">
      <c r="A66" s="27"/>
    </row>
    <row r="67" spans="1:35" ht="15" customHeight="1">
      <c r="A67" s="27"/>
      <c r="B67" s="27" t="s">
        <v>49</v>
      </c>
    </row>
    <row r="68" spans="1:35" ht="15" customHeight="1">
      <c r="A68" s="27"/>
      <c r="B68" s="27" t="s">
        <v>50</v>
      </c>
    </row>
    <row r="69" spans="1:35" ht="15" customHeight="1">
      <c r="A69" s="27"/>
      <c r="C69" s="27" t="s">
        <v>51</v>
      </c>
    </row>
    <row r="70" spans="1:35" ht="15" customHeight="1">
      <c r="A70" s="27"/>
      <c r="C70" s="27" t="s">
        <v>52</v>
      </c>
    </row>
    <row r="71" spans="1:35" ht="15" customHeight="1">
      <c r="A71" s="27"/>
      <c r="C71" s="27" t="s">
        <v>53</v>
      </c>
    </row>
    <row r="72" spans="1:35" ht="15" customHeight="1">
      <c r="A72" s="27"/>
      <c r="C72" s="27" t="s">
        <v>54</v>
      </c>
    </row>
    <row r="73" spans="1:35" ht="15" customHeight="1">
      <c r="A73" s="27"/>
    </row>
    <row r="74" spans="1:35" ht="15" customHeight="1">
      <c r="A74" s="27"/>
      <c r="C74" s="27" t="s">
        <v>55</v>
      </c>
    </row>
    <row r="75" spans="1:35" ht="15" customHeight="1">
      <c r="A75" s="27"/>
    </row>
    <row r="76" spans="1:35" ht="15" customHeight="1">
      <c r="A76" s="27"/>
    </row>
    <row r="77" spans="1:35" ht="15" customHeight="1">
      <c r="A77" s="30" t="s">
        <v>56</v>
      </c>
    </row>
    <row r="78" spans="1:35" ht="15" customHeight="1">
      <c r="B78" s="37"/>
    </row>
    <row r="79" spans="1:35" ht="15" customHeight="1">
      <c r="A79" s="27"/>
      <c r="B79" s="38" t="s">
        <v>20</v>
      </c>
      <c r="C79" s="39"/>
      <c r="D79" s="38" t="s">
        <v>36</v>
      </c>
      <c r="E79" s="40"/>
      <c r="F79" s="40"/>
      <c r="G79" s="40"/>
      <c r="H79" s="40"/>
      <c r="I79" s="31" t="s">
        <v>57</v>
      </c>
      <c r="J79" s="33"/>
      <c r="K79" s="33"/>
      <c r="L79" s="33"/>
      <c r="M79" s="33"/>
      <c r="N79" s="33"/>
      <c r="O79" s="32"/>
      <c r="P79" s="31" t="s">
        <v>58</v>
      </c>
      <c r="Q79" s="33"/>
      <c r="R79" s="33"/>
      <c r="S79" s="33"/>
      <c r="T79" s="33"/>
      <c r="U79" s="33"/>
      <c r="V79" s="32"/>
      <c r="W79" s="31" t="s">
        <v>59</v>
      </c>
      <c r="X79" s="33"/>
      <c r="Y79" s="33"/>
      <c r="Z79" s="33"/>
      <c r="AA79" s="33"/>
      <c r="AB79" s="33"/>
      <c r="AC79" s="32"/>
      <c r="AD79" s="31" t="s">
        <v>60</v>
      </c>
      <c r="AE79" s="33"/>
      <c r="AF79" s="33"/>
      <c r="AG79" s="33"/>
      <c r="AH79" s="33"/>
      <c r="AI79" s="32"/>
    </row>
    <row r="80" spans="1:35" ht="15" customHeight="1">
      <c r="A80" s="27"/>
      <c r="B80" s="41">
        <v>1</v>
      </c>
      <c r="C80" s="42"/>
      <c r="D80" s="43" t="s">
        <v>37</v>
      </c>
      <c r="E80" s="44"/>
      <c r="F80" s="44"/>
      <c r="G80" s="44"/>
      <c r="H80" s="44"/>
      <c r="I80" s="43"/>
      <c r="J80" s="50"/>
      <c r="K80" s="50"/>
      <c r="L80" s="44"/>
      <c r="M80" s="50"/>
      <c r="N80" s="50"/>
      <c r="O80" s="67"/>
      <c r="P80" s="49"/>
      <c r="Q80" s="50"/>
      <c r="R80" s="44"/>
      <c r="S80" s="50"/>
      <c r="T80" s="50"/>
      <c r="U80" s="44"/>
      <c r="V80" s="51"/>
      <c r="W80" s="49"/>
      <c r="X80" s="44"/>
      <c r="Y80" s="50"/>
      <c r="Z80" s="50"/>
      <c r="AA80" s="50"/>
      <c r="AB80" s="50"/>
      <c r="AC80" s="51"/>
      <c r="AD80" s="49"/>
      <c r="AE80" s="50"/>
      <c r="AF80" s="50"/>
      <c r="AG80" s="50"/>
      <c r="AH80" s="50"/>
      <c r="AI80" s="51"/>
    </row>
    <row r="81" spans="1:35" ht="15" customHeight="1">
      <c r="A81" s="27"/>
      <c r="B81" s="52"/>
      <c r="C81" s="53"/>
      <c r="D81" s="54"/>
      <c r="E81" s="55"/>
      <c r="F81" s="55"/>
      <c r="G81" s="55"/>
      <c r="H81" s="55"/>
      <c r="I81" s="54"/>
      <c r="J81" s="57"/>
      <c r="K81" s="57"/>
      <c r="L81" s="55"/>
      <c r="M81" s="57"/>
      <c r="N81" s="57"/>
      <c r="O81" s="68"/>
      <c r="P81" s="56"/>
      <c r="Q81" s="57"/>
      <c r="R81" s="55"/>
      <c r="S81" s="57"/>
      <c r="T81" s="57"/>
      <c r="U81" s="55"/>
      <c r="V81" s="58"/>
      <c r="W81" s="56"/>
      <c r="X81" s="55"/>
      <c r="Y81" s="57"/>
      <c r="Z81" s="57"/>
      <c r="AA81" s="57"/>
      <c r="AB81" s="57"/>
      <c r="AC81" s="58"/>
      <c r="AD81" s="56"/>
      <c r="AE81" s="57"/>
      <c r="AF81" s="57"/>
      <c r="AG81" s="57"/>
      <c r="AH81" s="57"/>
      <c r="AI81" s="58"/>
    </row>
    <row r="82" spans="1:35" ht="15" customHeight="1">
      <c r="A82" s="27"/>
      <c r="B82" s="41">
        <v>2</v>
      </c>
      <c r="C82" s="42"/>
      <c r="D82" s="43" t="s">
        <v>41</v>
      </c>
      <c r="E82" s="44"/>
      <c r="F82" s="44"/>
      <c r="G82" s="44"/>
      <c r="H82" s="44"/>
      <c r="I82" s="43"/>
      <c r="J82" s="50"/>
      <c r="K82" s="50"/>
      <c r="L82" s="44"/>
      <c r="M82" s="50"/>
      <c r="N82" s="50"/>
      <c r="O82" s="67"/>
      <c r="P82" s="49"/>
      <c r="Q82" s="50"/>
      <c r="R82" s="44"/>
      <c r="S82" s="50"/>
      <c r="T82" s="50"/>
      <c r="U82" s="44"/>
      <c r="V82" s="51"/>
      <c r="W82" s="49"/>
      <c r="X82" s="44"/>
      <c r="Y82" s="50"/>
      <c r="Z82" s="50"/>
      <c r="AA82" s="50"/>
      <c r="AB82" s="50"/>
      <c r="AC82" s="51"/>
      <c r="AD82" s="49"/>
      <c r="AE82" s="50"/>
      <c r="AF82" s="50"/>
      <c r="AG82" s="50"/>
      <c r="AH82" s="50"/>
      <c r="AI82" s="51"/>
    </row>
    <row r="83" spans="1:35" ht="15" customHeight="1">
      <c r="A83" s="27"/>
      <c r="B83" s="52"/>
      <c r="C83" s="53"/>
      <c r="D83" s="54"/>
      <c r="E83" s="55"/>
      <c r="F83" s="55"/>
      <c r="G83" s="55"/>
      <c r="H83" s="55"/>
      <c r="I83" s="54"/>
      <c r="J83" s="57"/>
      <c r="K83" s="57"/>
      <c r="L83" s="55"/>
      <c r="M83" s="57"/>
      <c r="N83" s="57"/>
      <c r="O83" s="68"/>
      <c r="P83" s="56"/>
      <c r="Q83" s="57"/>
      <c r="R83" s="55"/>
      <c r="S83" s="57"/>
      <c r="T83" s="57"/>
      <c r="U83" s="55"/>
      <c r="V83" s="58"/>
      <c r="W83" s="56"/>
      <c r="X83" s="55"/>
      <c r="Y83" s="57"/>
      <c r="Z83" s="57"/>
      <c r="AA83" s="57"/>
      <c r="AB83" s="57"/>
      <c r="AC83" s="58"/>
      <c r="AD83" s="56"/>
      <c r="AE83" s="57"/>
      <c r="AF83" s="57"/>
      <c r="AG83" s="57"/>
      <c r="AH83" s="57"/>
      <c r="AI83" s="58"/>
    </row>
    <row r="84" spans="1:35" ht="15" customHeight="1">
      <c r="A84" s="27"/>
      <c r="B84" s="41">
        <v>3</v>
      </c>
      <c r="C84" s="42"/>
      <c r="D84" s="43" t="s">
        <v>44</v>
      </c>
      <c r="E84" s="48"/>
      <c r="F84" s="48"/>
      <c r="G84" s="48"/>
      <c r="H84" s="48"/>
      <c r="I84" s="47"/>
      <c r="L84" s="48"/>
      <c r="O84" s="69"/>
      <c r="P84" s="45"/>
      <c r="R84" s="48"/>
      <c r="U84" s="48"/>
      <c r="V84" s="46"/>
      <c r="W84" s="45"/>
      <c r="X84" s="48"/>
      <c r="AC84" s="46"/>
      <c r="AD84" s="45"/>
      <c r="AI84" s="46"/>
    </row>
    <row r="85" spans="1:35" ht="15" customHeight="1">
      <c r="A85" s="27"/>
      <c r="B85" s="52"/>
      <c r="C85" s="53"/>
      <c r="D85" s="54"/>
      <c r="E85" s="55"/>
      <c r="F85" s="55"/>
      <c r="G85" s="55"/>
      <c r="H85" s="55"/>
      <c r="I85" s="54"/>
      <c r="J85" s="57"/>
      <c r="K85" s="57"/>
      <c r="L85" s="55"/>
      <c r="M85" s="57"/>
      <c r="N85" s="57"/>
      <c r="O85" s="68"/>
      <c r="P85" s="56"/>
      <c r="Q85" s="57"/>
      <c r="R85" s="55"/>
      <c r="S85" s="57"/>
      <c r="T85" s="57"/>
      <c r="U85" s="55"/>
      <c r="V85" s="58"/>
      <c r="W85" s="56"/>
      <c r="X85" s="55"/>
      <c r="Y85" s="57"/>
      <c r="Z85" s="57"/>
      <c r="AA85" s="57"/>
      <c r="AB85" s="57"/>
      <c r="AC85" s="58"/>
      <c r="AD85" s="56"/>
      <c r="AE85" s="57"/>
      <c r="AF85" s="57"/>
      <c r="AG85" s="57"/>
      <c r="AH85" s="57"/>
      <c r="AI85" s="58"/>
    </row>
    <row r="86" spans="1:35" ht="15" customHeight="1">
      <c r="A86" s="27"/>
      <c r="I86" s="59"/>
      <c r="J86" s="59"/>
      <c r="K86" s="59"/>
      <c r="L86" s="59"/>
      <c r="M86" s="59"/>
      <c r="N86" s="59"/>
      <c r="O86" s="59"/>
      <c r="P86" s="59"/>
      <c r="Q86" s="59"/>
      <c r="R86" s="59"/>
      <c r="S86" s="59"/>
      <c r="T86" s="59"/>
      <c r="V86" s="59"/>
      <c r="W86" s="27" t="s">
        <v>61</v>
      </c>
      <c r="X86" s="59"/>
      <c r="Z86" s="59"/>
      <c r="AA86" s="27" t="s">
        <v>62</v>
      </c>
      <c r="AC86" s="59"/>
      <c r="AD86" s="59"/>
      <c r="AG86" s="27" t="s">
        <v>63</v>
      </c>
    </row>
    <row r="87" spans="1:35" ht="15" customHeight="1">
      <c r="A87" s="27"/>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spans="1:35" ht="15" customHeight="1">
      <c r="A88" s="30" t="s">
        <v>64</v>
      </c>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spans="1:35" ht="15" customHeight="1">
      <c r="A89" s="27"/>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spans="1:35" ht="15" customHeight="1">
      <c r="A90" s="27"/>
      <c r="B90" s="27" t="s">
        <v>65</v>
      </c>
      <c r="G90" s="27" t="s">
        <v>66</v>
      </c>
      <c r="H90" s="27" t="s">
        <v>67</v>
      </c>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spans="1:35" ht="15" customHeight="1">
      <c r="A91" s="27"/>
      <c r="B91" s="27" t="s">
        <v>68</v>
      </c>
      <c r="G91" s="27" t="s">
        <v>66</v>
      </c>
      <c r="H91" s="27" t="s">
        <v>69</v>
      </c>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spans="1:35" ht="15" customHeight="1">
      <c r="A92" s="27"/>
      <c r="B92" s="27" t="s">
        <v>70</v>
      </c>
      <c r="G92" s="27" t="s">
        <v>66</v>
      </c>
      <c r="H92" s="27" t="s">
        <v>71</v>
      </c>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spans="1:35" ht="15" customHeight="1">
      <c r="A93" s="27"/>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spans="1:35" ht="15" customHeight="1">
      <c r="A94" s="27"/>
      <c r="B94" s="27" t="s">
        <v>72</v>
      </c>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spans="1:35" ht="15" customHeight="1">
      <c r="A95" s="27"/>
      <c r="B95" s="27" t="s">
        <v>73</v>
      </c>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spans="1:35" ht="15" customHeight="1">
      <c r="A96" s="27"/>
      <c r="B96" s="27" t="s">
        <v>74</v>
      </c>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spans="1:33" ht="15" customHeight="1">
      <c r="A97" s="27"/>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spans="1:33" ht="15" customHeight="1">
      <c r="A98" s="27"/>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spans="1:33" ht="15" customHeight="1">
      <c r="A99" s="30" t="s">
        <v>75</v>
      </c>
    </row>
    <row r="101" spans="1:33" ht="15" customHeight="1">
      <c r="B101" s="27" t="s">
        <v>76</v>
      </c>
    </row>
    <row r="102" spans="1:33" ht="15" customHeight="1">
      <c r="C102" s="27" t="s">
        <v>77</v>
      </c>
    </row>
    <row r="103" spans="1:33" ht="15" customHeight="1">
      <c r="C103" s="27" t="s">
        <v>78</v>
      </c>
    </row>
    <row r="104" spans="1:33" ht="15" customHeight="1">
      <c r="C104" s="27" t="s">
        <v>79</v>
      </c>
    </row>
    <row r="105" spans="1:33" ht="15" customHeight="1">
      <c r="B105" s="60" t="s">
        <v>80</v>
      </c>
      <c r="C105" s="61"/>
    </row>
    <row r="106" spans="1:33" ht="15" customHeight="1">
      <c r="B106" s="27" t="s">
        <v>81</v>
      </c>
      <c r="C106" s="60"/>
    </row>
    <row r="107" spans="1:33" ht="15" customHeight="1">
      <c r="C107" s="60" t="s">
        <v>82</v>
      </c>
    </row>
    <row r="108" spans="1:33" ht="15" customHeight="1">
      <c r="C108" s="27" t="s">
        <v>83</v>
      </c>
    </row>
    <row r="110" spans="1:33" ht="15" customHeight="1">
      <c r="A110" s="27"/>
      <c r="B110" s="27" t="s">
        <v>84</v>
      </c>
    </row>
    <row r="111" spans="1:33" ht="15" customHeight="1">
      <c r="A111" s="27"/>
      <c r="C111" s="27" t="s">
        <v>85</v>
      </c>
    </row>
    <row r="113" spans="1:3" ht="15" customHeight="1">
      <c r="A113" s="27"/>
      <c r="B113" s="27" t="s">
        <v>86</v>
      </c>
    </row>
    <row r="114" spans="1:3" ht="15" customHeight="1">
      <c r="A114" s="27"/>
      <c r="C114" s="27" t="s">
        <v>87</v>
      </c>
    </row>
    <row r="115" spans="1:3" ht="15" customHeight="1">
      <c r="A115" s="27"/>
    </row>
    <row r="116" spans="1:3" ht="15" customHeight="1">
      <c r="A116" s="27"/>
      <c r="B116" s="27" t="s">
        <v>88</v>
      </c>
    </row>
    <row r="117" spans="1:3" ht="15" customHeight="1">
      <c r="A117" s="27"/>
      <c r="C117" s="27" t="s">
        <v>89</v>
      </c>
    </row>
    <row r="118" spans="1:3" ht="15" customHeight="1">
      <c r="A118" s="27"/>
    </row>
  </sheetData>
  <mergeCells count="31">
    <mergeCell ref="AC41:AD41"/>
    <mergeCell ref="AE41:AJ41"/>
    <mergeCell ref="B43:C43"/>
    <mergeCell ref="Y43:AB43"/>
    <mergeCell ref="AC43:AD43"/>
    <mergeCell ref="AE43:AJ43"/>
    <mergeCell ref="B42:C42"/>
    <mergeCell ref="Y42:AB42"/>
    <mergeCell ref="AC42:AD42"/>
    <mergeCell ref="AE42:AJ42"/>
    <mergeCell ref="AM41:AQ41"/>
    <mergeCell ref="AM42:AQ42"/>
    <mergeCell ref="AM43:AQ43"/>
    <mergeCell ref="AM40:AQ40"/>
    <mergeCell ref="A1:Q2"/>
    <mergeCell ref="AF2:AJ2"/>
    <mergeCell ref="A5:Q6"/>
    <mergeCell ref="A11:E12"/>
    <mergeCell ref="F11:Q12"/>
    <mergeCell ref="AF1:AJ1"/>
    <mergeCell ref="B41:C41"/>
    <mergeCell ref="B40:C40"/>
    <mergeCell ref="Y40:AB40"/>
    <mergeCell ref="AC40:AD40"/>
    <mergeCell ref="AE40:AJ40"/>
    <mergeCell ref="Y41:AB41"/>
    <mergeCell ref="B39:C39"/>
    <mergeCell ref="Y39:AB39"/>
    <mergeCell ref="AC39:AD39"/>
    <mergeCell ref="AE39:AJ39"/>
    <mergeCell ref="AM39:AQ39"/>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2" manualBreakCount="2">
    <brk id="50" max="35" man="1"/>
    <brk id="98"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A1:A56"/>
  <sheetViews>
    <sheetView view="pageBreakPreview" zoomScale="55" zoomScaleNormal="100" zoomScaleSheetLayoutView="55" workbookViewId="0">
      <selection activeCell="P77" sqref="P77"/>
    </sheetView>
  </sheetViews>
  <sheetFormatPr defaultRowHeight="18"/>
  <cols>
    <col min="1" max="1" width="2.75" customWidth="1"/>
    <col min="12" max="12" width="5.375" customWidth="1"/>
  </cols>
  <sheetData>
    <row r="1" ht="9" customHeight="1"/>
    <row r="18" ht="12.95" customHeight="1"/>
    <row r="56" ht="10.5" customHeight="1"/>
  </sheetData>
  <phoneticPr fontId="3"/>
  <pageMargins left="0.7" right="0.7" top="0.75" bottom="0.75" header="0.3" footer="0.3"/>
  <pageSetup paperSize="9" scale="88" fitToHeight="0" orientation="portrait" r:id="rId1"/>
  <rowBreaks count="2" manualBreakCount="2">
    <brk id="37" max="16383" man="1"/>
    <brk id="69"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125" defaultRowHeight="12.6"/>
  <cols>
    <col min="1" max="1" width="14.625" style="2" customWidth="1"/>
    <col min="2" max="2" width="7.875" style="2" bestFit="1" customWidth="1"/>
    <col min="3" max="3" width="14.625" style="2" customWidth="1"/>
    <col min="4" max="31" width="7" style="2" customWidth="1"/>
    <col min="32" max="32" width="7.875" style="2" customWidth="1"/>
    <col min="33" max="16384" width="8.125" style="2"/>
  </cols>
  <sheetData>
    <row r="1" spans="1:32" ht="19.5">
      <c r="A1" s="1" t="s">
        <v>90</v>
      </c>
      <c r="D1" s="3"/>
    </row>
    <row r="2" spans="1:32" ht="5.25" customHeight="1">
      <c r="A2" s="1"/>
    </row>
    <row r="3" spans="1:32">
      <c r="A3" s="4" t="s">
        <v>91</v>
      </c>
      <c r="B3" s="126"/>
      <c r="C3" s="127"/>
      <c r="D3" s="5" t="s">
        <v>92</v>
      </c>
      <c r="E3" s="126"/>
      <c r="F3" s="128"/>
      <c r="G3" s="128"/>
      <c r="H3" s="128"/>
      <c r="I3" s="128"/>
      <c r="J3" s="128"/>
      <c r="K3" s="128"/>
      <c r="L3" s="128"/>
      <c r="M3" s="128"/>
      <c r="N3" s="128"/>
      <c r="O3" s="127"/>
    </row>
    <row r="4" spans="1:32">
      <c r="A4" s="5" t="s">
        <v>93</v>
      </c>
      <c r="B4" s="126" t="s">
        <v>94</v>
      </c>
      <c r="C4" s="127"/>
      <c r="D4" s="5" t="s">
        <v>95</v>
      </c>
      <c r="E4" s="90"/>
      <c r="F4" s="90"/>
      <c r="G4" s="5" t="s">
        <v>96</v>
      </c>
      <c r="H4" s="129">
        <f>AF59</f>
        <v>0</v>
      </c>
      <c r="I4" s="129"/>
      <c r="J4" s="5" t="s">
        <v>97</v>
      </c>
      <c r="K4" s="130">
        <f>外注費・経費!K4</f>
        <v>0</v>
      </c>
      <c r="L4" s="130"/>
      <c r="M4" s="5" t="s">
        <v>98</v>
      </c>
      <c r="N4" s="130">
        <v>0</v>
      </c>
      <c r="O4" s="130"/>
    </row>
    <row r="5" spans="1:32" ht="6" customHeight="1"/>
    <row r="6" spans="1:32" s="6" customFormat="1">
      <c r="A6" s="100" t="s">
        <v>99</v>
      </c>
      <c r="B6" s="103" t="s">
        <v>100</v>
      </c>
      <c r="C6" s="103" t="s">
        <v>101</v>
      </c>
      <c r="D6" s="106" t="s">
        <v>102</v>
      </c>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91" t="s">
        <v>103</v>
      </c>
    </row>
    <row r="7" spans="1:32" s="6" customFormat="1" ht="12" customHeight="1">
      <c r="A7" s="101"/>
      <c r="B7" s="104"/>
      <c r="C7" s="104"/>
      <c r="D7" s="94" t="s">
        <v>104</v>
      </c>
      <c r="E7" s="95"/>
      <c r="F7" s="96"/>
      <c r="G7" s="94" t="s">
        <v>105</v>
      </c>
      <c r="H7" s="95"/>
      <c r="I7" s="96"/>
      <c r="J7" s="94" t="s">
        <v>106</v>
      </c>
      <c r="K7" s="95"/>
      <c r="L7" s="96"/>
      <c r="M7" s="94" t="s">
        <v>107</v>
      </c>
      <c r="N7" s="95"/>
      <c r="O7" s="96"/>
      <c r="P7" s="94" t="s">
        <v>108</v>
      </c>
      <c r="Q7" s="95"/>
      <c r="R7" s="96"/>
      <c r="S7" s="94" t="s">
        <v>109</v>
      </c>
      <c r="T7" s="95"/>
      <c r="U7" s="96"/>
      <c r="V7" s="94" t="s">
        <v>110</v>
      </c>
      <c r="W7" s="95"/>
      <c r="X7" s="96"/>
      <c r="Y7" s="94" t="s">
        <v>111</v>
      </c>
      <c r="Z7" s="95"/>
      <c r="AA7" s="96"/>
      <c r="AB7" s="94" t="s">
        <v>112</v>
      </c>
      <c r="AC7" s="95"/>
      <c r="AD7" s="96"/>
      <c r="AE7" s="107" t="s">
        <v>113</v>
      </c>
      <c r="AF7" s="92"/>
    </row>
    <row r="8" spans="1:32" s="6" customFormat="1">
      <c r="A8" s="102"/>
      <c r="B8" s="105"/>
      <c r="C8" s="105"/>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105"/>
      <c r="AF8" s="93"/>
    </row>
    <row r="9" spans="1:32">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c r="A59" s="97" t="s">
        <v>103</v>
      </c>
      <c r="B59" s="98"/>
      <c r="C59" s="99"/>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125" defaultRowHeight="12.6"/>
  <cols>
    <col min="1" max="1" width="14.625" style="2" customWidth="1"/>
    <col min="2" max="2" width="7.875" style="2" customWidth="1"/>
    <col min="3" max="3" width="14.625" style="2" customWidth="1"/>
    <col min="4" max="31" width="8.375" style="2" customWidth="1"/>
    <col min="32" max="32" width="11.125" style="2" customWidth="1"/>
    <col min="33" max="16384" width="8.125" style="2"/>
  </cols>
  <sheetData>
    <row r="1" spans="1:32" ht="19.5">
      <c r="A1" s="1" t="s">
        <v>114</v>
      </c>
    </row>
    <row r="2" spans="1:32" ht="5.25" customHeight="1">
      <c r="A2" s="1"/>
    </row>
    <row r="3" spans="1:32">
      <c r="A3" s="12" t="s">
        <v>91</v>
      </c>
      <c r="B3" s="126"/>
      <c r="C3" s="127"/>
      <c r="D3" s="13" t="s">
        <v>92</v>
      </c>
      <c r="E3" s="126">
        <f>社員工数!E3</f>
        <v>0</v>
      </c>
      <c r="F3" s="128"/>
      <c r="G3" s="128"/>
      <c r="H3" s="128"/>
      <c r="I3" s="128"/>
      <c r="J3" s="128"/>
      <c r="K3" s="128"/>
      <c r="L3" s="128"/>
      <c r="M3" s="128"/>
      <c r="N3" s="128"/>
      <c r="O3" s="127"/>
    </row>
    <row r="4" spans="1:32">
      <c r="A4" s="12" t="s">
        <v>93</v>
      </c>
      <c r="B4" s="126" t="s">
        <v>115</v>
      </c>
      <c r="C4" s="127"/>
      <c r="D4" s="14" t="s">
        <v>95</v>
      </c>
      <c r="E4" s="108">
        <f>社員工数!E4</f>
        <v>0</v>
      </c>
      <c r="F4" s="108"/>
      <c r="G4" s="14" t="s">
        <v>96</v>
      </c>
      <c r="H4" s="131">
        <f>社員工数!H4</f>
        <v>0</v>
      </c>
      <c r="I4" s="131"/>
      <c r="J4" s="14" t="s">
        <v>97</v>
      </c>
      <c r="K4" s="132">
        <f>AF59</f>
        <v>0</v>
      </c>
      <c r="L4" s="132"/>
      <c r="M4" s="14" t="s">
        <v>98</v>
      </c>
      <c r="N4" s="132">
        <f>SUMIF(A:A,"経費",AF:AF)</f>
        <v>0</v>
      </c>
      <c r="O4" s="132"/>
    </row>
    <row r="5" spans="1:32" ht="6" customHeight="1"/>
    <row r="6" spans="1:32" s="6" customFormat="1">
      <c r="A6" s="115" t="s">
        <v>99</v>
      </c>
      <c r="B6" s="118" t="s">
        <v>116</v>
      </c>
      <c r="C6" s="118" t="s">
        <v>101</v>
      </c>
      <c r="D6" s="121" t="s">
        <v>117</v>
      </c>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09" t="s">
        <v>103</v>
      </c>
    </row>
    <row r="7" spans="1:32" s="6" customFormat="1" ht="12" customHeight="1">
      <c r="A7" s="116"/>
      <c r="B7" s="119"/>
      <c r="C7" s="119"/>
      <c r="D7" s="112" t="s">
        <v>118</v>
      </c>
      <c r="E7" s="113"/>
      <c r="F7" s="114"/>
      <c r="G7" s="112" t="s">
        <v>119</v>
      </c>
      <c r="H7" s="113"/>
      <c r="I7" s="114"/>
      <c r="J7" s="112" t="s">
        <v>120</v>
      </c>
      <c r="K7" s="113"/>
      <c r="L7" s="114"/>
      <c r="M7" s="112" t="s">
        <v>121</v>
      </c>
      <c r="N7" s="113"/>
      <c r="O7" s="114"/>
      <c r="P7" s="112" t="s">
        <v>122</v>
      </c>
      <c r="Q7" s="113"/>
      <c r="R7" s="114"/>
      <c r="S7" s="112" t="s">
        <v>123</v>
      </c>
      <c r="T7" s="113"/>
      <c r="U7" s="114"/>
      <c r="V7" s="112" t="s">
        <v>124</v>
      </c>
      <c r="W7" s="113"/>
      <c r="X7" s="114"/>
      <c r="Y7" s="112" t="s">
        <v>125</v>
      </c>
      <c r="Z7" s="113"/>
      <c r="AA7" s="114"/>
      <c r="AB7" s="112" t="s">
        <v>126</v>
      </c>
      <c r="AC7" s="113"/>
      <c r="AD7" s="114"/>
      <c r="AE7" s="122" t="s">
        <v>113</v>
      </c>
      <c r="AF7" s="110"/>
    </row>
    <row r="8" spans="1:32" s="6" customFormat="1">
      <c r="A8" s="117"/>
      <c r="B8" s="120"/>
      <c r="C8" s="120"/>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20"/>
      <c r="AF8" s="111"/>
    </row>
    <row r="9" spans="1:32">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c r="A59" s="97" t="s">
        <v>103</v>
      </c>
      <c r="B59" s="98"/>
      <c r="C59" s="99"/>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625" defaultRowHeight="18"/>
  <cols>
    <col min="1" max="1" width="4.625" style="21" customWidth="1"/>
    <col min="2" max="2" width="10.5" style="21" customWidth="1"/>
    <col min="3" max="3" width="22" style="21" customWidth="1"/>
    <col min="4" max="4" width="15.125" style="21" customWidth="1"/>
    <col min="5" max="5" width="11.125" style="21" customWidth="1"/>
    <col min="6" max="6" width="58.375" style="21" bestFit="1" customWidth="1"/>
    <col min="7" max="7" width="11.125" style="21" customWidth="1"/>
    <col min="8" max="8" width="5.875" style="21" customWidth="1"/>
    <col min="9" max="9" width="11.875" style="21" customWidth="1"/>
    <col min="10" max="10" width="11.125" style="21" customWidth="1"/>
    <col min="11" max="11" width="17.125" style="21" bestFit="1" customWidth="1"/>
    <col min="12" max="12" width="11.125" style="21" customWidth="1"/>
    <col min="13" max="16384" width="8.625" style="21"/>
  </cols>
  <sheetData>
    <row r="1" spans="1:12">
      <c r="A1" s="125" t="s">
        <v>20</v>
      </c>
      <c r="B1" s="20" t="s">
        <v>127</v>
      </c>
      <c r="C1" s="125" t="s">
        <v>128</v>
      </c>
      <c r="D1" s="125" t="s">
        <v>129</v>
      </c>
      <c r="E1" s="125" t="s">
        <v>130</v>
      </c>
      <c r="F1" s="125" t="s">
        <v>131</v>
      </c>
      <c r="G1" s="125" t="s">
        <v>132</v>
      </c>
      <c r="H1" s="123" t="s">
        <v>133</v>
      </c>
      <c r="I1" s="124"/>
      <c r="J1" s="125" t="s">
        <v>134</v>
      </c>
      <c r="K1" s="125" t="s">
        <v>135</v>
      </c>
      <c r="L1" s="125" t="s">
        <v>136</v>
      </c>
    </row>
    <row r="2" spans="1:12">
      <c r="A2" s="125"/>
      <c r="B2" s="20" t="s">
        <v>137</v>
      </c>
      <c r="C2" s="125"/>
      <c r="D2" s="125"/>
      <c r="E2" s="125"/>
      <c r="F2" s="125"/>
      <c r="G2" s="125"/>
      <c r="H2" s="20" t="s">
        <v>20</v>
      </c>
      <c r="I2" s="20" t="s">
        <v>138</v>
      </c>
      <c r="J2" s="125"/>
      <c r="K2" s="125"/>
      <c r="L2" s="125"/>
    </row>
    <row r="3" spans="1:12">
      <c r="A3" s="22">
        <v>1</v>
      </c>
      <c r="B3" s="23">
        <v>0.1</v>
      </c>
      <c r="C3" s="22" t="s">
        <v>139</v>
      </c>
      <c r="D3" s="22" t="s">
        <v>140</v>
      </c>
      <c r="E3" s="22" t="s">
        <v>141</v>
      </c>
      <c r="F3" s="22" t="s">
        <v>142</v>
      </c>
      <c r="G3" s="22" t="s">
        <v>143</v>
      </c>
      <c r="H3" s="22">
        <v>1</v>
      </c>
      <c r="I3" s="22" t="s">
        <v>144</v>
      </c>
      <c r="J3" s="22" t="s">
        <v>145</v>
      </c>
      <c r="K3" s="22" t="s">
        <v>146</v>
      </c>
      <c r="L3" s="22" t="s">
        <v>147</v>
      </c>
    </row>
    <row r="4" spans="1:12">
      <c r="A4" s="22">
        <v>2</v>
      </c>
      <c r="B4" s="23"/>
      <c r="C4" s="22"/>
      <c r="D4" s="22"/>
      <c r="E4" s="22" t="s">
        <v>148</v>
      </c>
      <c r="F4" s="22" t="s">
        <v>149</v>
      </c>
      <c r="G4" s="22" t="s">
        <v>150</v>
      </c>
      <c r="H4" s="22">
        <v>2</v>
      </c>
      <c r="I4" s="22" t="s">
        <v>151</v>
      </c>
      <c r="J4" s="22" t="s">
        <v>152</v>
      </c>
      <c r="K4" s="22" t="s">
        <v>153</v>
      </c>
      <c r="L4" s="22" t="s">
        <v>154</v>
      </c>
    </row>
    <row r="5" spans="1:12">
      <c r="A5" s="22">
        <v>3</v>
      </c>
      <c r="B5" s="22"/>
      <c r="C5" s="22"/>
      <c r="D5" s="22"/>
      <c r="E5" s="22"/>
      <c r="F5" s="22" t="s">
        <v>155</v>
      </c>
      <c r="G5" s="22" t="s">
        <v>156</v>
      </c>
      <c r="H5" s="22">
        <v>3</v>
      </c>
      <c r="I5" s="22" t="s">
        <v>157</v>
      </c>
      <c r="J5" s="22" t="s">
        <v>158</v>
      </c>
      <c r="K5" s="22" t="s">
        <v>159</v>
      </c>
      <c r="L5" s="22"/>
    </row>
    <row r="6" spans="1:12">
      <c r="A6" s="22">
        <v>4</v>
      </c>
      <c r="B6" s="22"/>
      <c r="C6" s="22"/>
      <c r="D6" s="22"/>
      <c r="E6" s="22"/>
      <c r="F6" s="22"/>
      <c r="G6" s="22"/>
      <c r="H6" s="22"/>
      <c r="I6" s="22"/>
      <c r="J6" s="22"/>
      <c r="K6" s="22" t="s">
        <v>160</v>
      </c>
      <c r="L6" s="22"/>
    </row>
    <row r="7" spans="1:12">
      <c r="A7" s="22">
        <v>5</v>
      </c>
      <c r="B7" s="22"/>
      <c r="C7" s="22"/>
      <c r="D7" s="22"/>
      <c r="E7" s="22"/>
      <c r="F7" s="22"/>
      <c r="G7" s="22"/>
      <c r="H7" s="22"/>
      <c r="I7" s="22"/>
      <c r="J7" s="22"/>
      <c r="K7" s="22" t="s">
        <v>161</v>
      </c>
      <c r="L7" s="22"/>
    </row>
    <row r="8" spans="1:12">
      <c r="A8" s="22">
        <v>6</v>
      </c>
      <c r="B8" s="22"/>
      <c r="C8" s="22"/>
      <c r="D8" s="22"/>
      <c r="E8" s="22"/>
      <c r="F8" s="22"/>
      <c r="G8" s="22"/>
      <c r="H8" s="22"/>
      <c r="I8" s="22"/>
      <c r="J8" s="22"/>
      <c r="K8" s="22" t="s">
        <v>162</v>
      </c>
      <c r="L8" s="22"/>
    </row>
    <row r="9" spans="1:12">
      <c r="A9" s="22">
        <v>7</v>
      </c>
      <c r="B9" s="22"/>
      <c r="C9" s="22"/>
      <c r="D9" s="22"/>
      <c r="E9" s="22"/>
      <c r="F9" s="22"/>
      <c r="G9" s="22"/>
      <c r="H9" s="22"/>
      <c r="I9" s="22"/>
      <c r="J9" s="22"/>
      <c r="K9" s="22" t="s">
        <v>163</v>
      </c>
      <c r="L9" s="22"/>
    </row>
    <row r="10" spans="1:12">
      <c r="A10" s="22">
        <v>8</v>
      </c>
      <c r="B10" s="22"/>
      <c r="C10" s="22"/>
      <c r="D10" s="22"/>
      <c r="E10" s="22"/>
      <c r="F10" s="22"/>
      <c r="G10" s="22"/>
      <c r="H10" s="22"/>
      <c r="I10" s="22"/>
      <c r="J10" s="22"/>
      <c r="K10" s="22" t="s">
        <v>164</v>
      </c>
      <c r="L10" s="22"/>
    </row>
    <row r="11" spans="1:12">
      <c r="A11" s="22">
        <v>9</v>
      </c>
      <c r="B11" s="22"/>
      <c r="C11" s="22"/>
      <c r="D11" s="22"/>
      <c r="E11" s="22"/>
      <c r="F11" s="22"/>
      <c r="G11" s="22"/>
      <c r="H11" s="22"/>
      <c r="I11" s="22"/>
      <c r="J11" s="22"/>
      <c r="K11" s="22" t="s">
        <v>165</v>
      </c>
      <c r="L11" s="22"/>
    </row>
    <row r="12" spans="1:12">
      <c r="A12" s="22">
        <v>10</v>
      </c>
      <c r="B12" s="22"/>
      <c r="C12" s="22"/>
      <c r="D12" s="22"/>
      <c r="E12" s="22"/>
      <c r="F12" s="22"/>
      <c r="G12" s="22"/>
      <c r="H12" s="22"/>
      <c r="I12" s="22"/>
      <c r="J12" s="22"/>
      <c r="K12" s="22" t="s">
        <v>166</v>
      </c>
      <c r="L12" s="22"/>
    </row>
    <row r="13" spans="1:12">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953aeccd9ace8a274a342e9812f8a4e2">
  <xsd:schema xmlns:xsd="http://www.w3.org/2001/XMLSchema" xmlns:xs="http://www.w3.org/2001/XMLSchema" xmlns:p="http://schemas.microsoft.com/office/2006/metadata/properties" xmlns:ns2="2fd442da-66a9-4fa6-ba31-eb0d54ad1381" targetNamespace="http://schemas.microsoft.com/office/2006/metadata/properties" ma:root="true" ma:fieldsID="c4eb906e6efcc6a727ef3f3cae49e6dc"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CE913C-C223-419A-9E5E-B83989BF0BCE}"/>
</file>

<file path=customXml/itemProps2.xml><?xml version="1.0" encoding="utf-8"?>
<ds:datastoreItem xmlns:ds="http://schemas.openxmlformats.org/officeDocument/2006/customXml" ds:itemID="{7B6362B3-F254-4A11-A5C7-FD82C4C06CDB}"/>
</file>

<file path=customXml/itemProps3.xml><?xml version="1.0" encoding="utf-8"?>
<ds:datastoreItem xmlns:ds="http://schemas.openxmlformats.org/officeDocument/2006/customXml" ds:itemID="{684B01A1-F851-4DC1-B86B-3480D6CB2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髙木義尚</cp:lastModifiedBy>
  <cp:revision/>
  <dcterms:created xsi:type="dcterms:W3CDTF">2021-04-22T09:34:49Z</dcterms:created>
  <dcterms:modified xsi:type="dcterms:W3CDTF">2026-02-03T04:40:16Z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