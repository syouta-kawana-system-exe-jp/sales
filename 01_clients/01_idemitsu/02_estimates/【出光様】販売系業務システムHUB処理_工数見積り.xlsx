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販売系業務システムHUB処理\見積り\"/>
    </mc:Choice>
  </mc:AlternateContent>
  <xr:revisionPtr revIDLastSave="0" documentId="13_ncr:1_{9A3680A9-D4E6-4369-85E5-F058BFD9C1BA}" xr6:coauthVersionLast="47" xr6:coauthVersionMax="47" xr10:uidLastSave="{00000000-0000-0000-0000-000000000000}"/>
  <bookViews>
    <workbookView xWindow="30" yWindow="190" windowWidth="18880" windowHeight="10080" tabRatio="745" firstSheet="1" activeTab="1" xr2:uid="{00000000-000D-0000-FFFF-FFFF00000000}"/>
  </bookViews>
  <sheets>
    <sheet name="スケジュール・要員計画" sheetId="12" r:id="rId1"/>
    <sheet name="御見積(画面・機能)（2.5倍）" sheetId="1" r:id="rId2"/>
    <sheet name="概算" sheetId="13" r:id="rId3"/>
    <sheet name="御見積(画面・機能) (1.5倍)" sheetId="15" r:id="rId4"/>
    <sheet name="御見積(画面・機能) (1倍)" sheetId="14" r:id="rId5"/>
    <sheet name="積算基準" sheetId="5" r:id="rId6"/>
  </sheets>
  <externalReferences>
    <externalReference r:id="rId7"/>
    <externalReference r:id="rId8"/>
  </externalReferences>
  <definedNames>
    <definedName name="_xlnm._FilterDatabase" localSheetId="3" hidden="1">'御見積(画面・機能) (1.5倍)'!$A$2:$W$56</definedName>
    <definedName name="_xlnm._FilterDatabase" localSheetId="4" hidden="1">'御見積(画面・機能) (1倍)'!$A$2:$W$56</definedName>
    <definedName name="_xlnm._FilterDatabase" localSheetId="1" hidden="1">'御見積(画面・機能)（2.5倍）'!$A$2:$W$56</definedName>
    <definedName name="aa" localSheetId="5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5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3">'御見積(画面・機能) (1.5倍)'!$A$1:$W$58</definedName>
    <definedName name="_xlnm.Print_Area" localSheetId="4">'御見積(画面・機能) (1倍)'!$A$1:$W$58</definedName>
    <definedName name="_xlnm.Print_Area" localSheetId="1">'御見積(画面・機能)（2.5倍）'!$A$1:$W$58</definedName>
    <definedName name="_xlnm.Print_Titles" localSheetId="3">'御見積(画面・機能) (1.5倍)'!$2:$3</definedName>
    <definedName name="_xlnm.Print_Titles" localSheetId="4">'御見積(画面・機能) (1倍)'!$2:$3</definedName>
    <definedName name="_xlnm.Print_Titles" localSheetId="1">'御見積(画面・機能)（2.5倍）'!$2:$3</definedName>
    <definedName name="qqq" localSheetId="5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5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5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5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5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>積算基準!$D$49</definedName>
    <definedName name="高係数_IF">積算基準!$D$50</definedName>
    <definedName name="参照上限高" localSheetId="5">積算基準!$D$17</definedName>
    <definedName name="参照上限中" localSheetId="5">積算基準!$E$17</definedName>
    <definedName name="参照上限低" localSheetId="5">積算基準!$F$17</definedName>
    <definedName name="参照上限特高" localSheetId="5">積算基準!$C$17</definedName>
    <definedName name="参照上限特低" localSheetId="5">積算基準!$G$17</definedName>
    <definedName name="成形原料処置">'[2]【参考】UI-22 業務コード定義'!$C$15</definedName>
    <definedName name="単価ランク">[1]IFPUG法・FP概算法!$J$10:$J$14</definedName>
    <definedName name="中係数">積算基準!$E$49</definedName>
    <definedName name="中係数_IF">積算基準!$E$50</definedName>
    <definedName name="低係数">積算基準!$F$49</definedName>
    <definedName name="低係数_IF">積算基準!$F$50</definedName>
    <definedName name="登録上限高" localSheetId="5">積算基準!$D$16</definedName>
    <definedName name="登録上限中" localSheetId="5">積算基準!$E$16</definedName>
    <definedName name="登録上限低" localSheetId="5">積算基準!$F$16</definedName>
    <definedName name="登録上限特高" localSheetId="5">積算基準!$C$16</definedName>
    <definedName name="登録上限特低" localSheetId="5">積算基準!$G$16</definedName>
    <definedName name="特高係数">積算基準!$C$49</definedName>
    <definedName name="特高係数_IF">積算基準!$C$50</definedName>
    <definedName name="特低係数">積算基準!$G$49</definedName>
    <definedName name="特低係数_IF">積算基準!$G$50</definedName>
    <definedName name="標準成形不可時">'[2]【参考】UI-22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2" i="15" l="1"/>
  <c r="S52" i="15"/>
  <c r="R52" i="15"/>
  <c r="T52" i="14"/>
  <c r="S52" i="14"/>
  <c r="R52" i="14"/>
  <c r="T52" i="1"/>
  <c r="S52" i="1"/>
  <c r="R52" i="1"/>
  <c r="T4" i="15" l="1"/>
  <c r="S4" i="15"/>
  <c r="S49" i="15"/>
  <c r="R49" i="15"/>
  <c r="M49" i="15"/>
  <c r="L49" i="15"/>
  <c r="J49" i="15"/>
  <c r="A49" i="15"/>
  <c r="R48" i="15"/>
  <c r="L48" i="15"/>
  <c r="M48" i="15" s="1"/>
  <c r="J48" i="15"/>
  <c r="A48" i="15"/>
  <c r="T47" i="15"/>
  <c r="S47" i="15"/>
  <c r="U47" i="15" s="1"/>
  <c r="V47" i="15" s="1"/>
  <c r="R47" i="15"/>
  <c r="M47" i="15"/>
  <c r="J47" i="15"/>
  <c r="R46" i="15"/>
  <c r="L46" i="15"/>
  <c r="M46" i="15" s="1"/>
  <c r="J46" i="15"/>
  <c r="R45" i="15"/>
  <c r="L45" i="15"/>
  <c r="M45" i="15" s="1"/>
  <c r="J45" i="15"/>
  <c r="T44" i="15"/>
  <c r="S44" i="15"/>
  <c r="R44" i="15"/>
  <c r="M44" i="15"/>
  <c r="J44" i="15"/>
  <c r="A44" i="15"/>
  <c r="R43" i="15"/>
  <c r="L43" i="15"/>
  <c r="M43" i="15" s="1"/>
  <c r="J43" i="15"/>
  <c r="R42" i="15"/>
  <c r="L42" i="15"/>
  <c r="M42" i="15" s="1"/>
  <c r="J42" i="15"/>
  <c r="R41" i="15"/>
  <c r="L41" i="15"/>
  <c r="M41" i="15" s="1"/>
  <c r="J41" i="15"/>
  <c r="R40" i="15"/>
  <c r="L40" i="15"/>
  <c r="M40" i="15" s="1"/>
  <c r="J40" i="15"/>
  <c r="R39" i="15"/>
  <c r="L39" i="15"/>
  <c r="M39" i="15" s="1"/>
  <c r="J39" i="15"/>
  <c r="A39" i="15"/>
  <c r="S38" i="15"/>
  <c r="R38" i="15"/>
  <c r="L38" i="15"/>
  <c r="M38" i="15" s="1"/>
  <c r="J38" i="15"/>
  <c r="S37" i="15"/>
  <c r="R37" i="15"/>
  <c r="L37" i="15"/>
  <c r="M37" i="15" s="1"/>
  <c r="J37" i="15"/>
  <c r="A37" i="15"/>
  <c r="R36" i="15"/>
  <c r="M36" i="15"/>
  <c r="L36" i="15"/>
  <c r="J36" i="15"/>
  <c r="R35" i="15"/>
  <c r="M35" i="15"/>
  <c r="L35" i="15"/>
  <c r="J35" i="15"/>
  <c r="R34" i="15"/>
  <c r="M34" i="15"/>
  <c r="L34" i="15"/>
  <c r="J34" i="15"/>
  <c r="R33" i="15"/>
  <c r="M33" i="15"/>
  <c r="L33" i="15"/>
  <c r="J33" i="15"/>
  <c r="A33" i="15"/>
  <c r="T32" i="15"/>
  <c r="S32" i="15"/>
  <c r="R32" i="15"/>
  <c r="M32" i="15"/>
  <c r="J32" i="15"/>
  <c r="T31" i="15"/>
  <c r="S31" i="15"/>
  <c r="R31" i="15"/>
  <c r="M31" i="15"/>
  <c r="J31" i="15"/>
  <c r="S30" i="15"/>
  <c r="R30" i="15"/>
  <c r="L30" i="15"/>
  <c r="M30" i="15" s="1"/>
  <c r="J30" i="15"/>
  <c r="S29" i="15"/>
  <c r="R29" i="15"/>
  <c r="L29" i="15"/>
  <c r="M29" i="15" s="1"/>
  <c r="J29" i="15"/>
  <c r="A29" i="15"/>
  <c r="T28" i="15"/>
  <c r="S28" i="15"/>
  <c r="R28" i="15"/>
  <c r="M28" i="15"/>
  <c r="J28" i="15"/>
  <c r="T27" i="15"/>
  <c r="S27" i="15"/>
  <c r="R27" i="15"/>
  <c r="M27" i="15"/>
  <c r="J27" i="15"/>
  <c r="R26" i="15"/>
  <c r="L26" i="15"/>
  <c r="M26" i="15" s="1"/>
  <c r="J26" i="15"/>
  <c r="R25" i="15"/>
  <c r="L25" i="15"/>
  <c r="M25" i="15" s="1"/>
  <c r="J25" i="15"/>
  <c r="R24" i="15"/>
  <c r="L24" i="15"/>
  <c r="M24" i="15" s="1"/>
  <c r="J24" i="15"/>
  <c r="A24" i="15"/>
  <c r="S23" i="15"/>
  <c r="R23" i="15"/>
  <c r="L23" i="15"/>
  <c r="M23" i="15" s="1"/>
  <c r="J23" i="15"/>
  <c r="T22" i="15"/>
  <c r="S22" i="15"/>
  <c r="R22" i="15"/>
  <c r="M22" i="15"/>
  <c r="J22" i="15"/>
  <c r="T21" i="15"/>
  <c r="S21" i="15"/>
  <c r="R21" i="15"/>
  <c r="M21" i="15"/>
  <c r="J21" i="15"/>
  <c r="S20" i="15"/>
  <c r="R20" i="15"/>
  <c r="M20" i="15"/>
  <c r="L20" i="15"/>
  <c r="J20" i="15"/>
  <c r="T19" i="15"/>
  <c r="S19" i="15"/>
  <c r="R19" i="15"/>
  <c r="M19" i="15"/>
  <c r="J19" i="15"/>
  <c r="A19" i="15"/>
  <c r="T18" i="15"/>
  <c r="S18" i="15"/>
  <c r="R18" i="15"/>
  <c r="M18" i="15"/>
  <c r="J18" i="15"/>
  <c r="R17" i="15"/>
  <c r="L17" i="15"/>
  <c r="M17" i="15" s="1"/>
  <c r="J17" i="15"/>
  <c r="R16" i="15"/>
  <c r="L16" i="15"/>
  <c r="M16" i="15" s="1"/>
  <c r="J16" i="15"/>
  <c r="R15" i="15"/>
  <c r="L15" i="15"/>
  <c r="M15" i="15" s="1"/>
  <c r="J15" i="15"/>
  <c r="R14" i="15"/>
  <c r="L14" i="15"/>
  <c r="M14" i="15" s="1"/>
  <c r="J14" i="15"/>
  <c r="R13" i="15"/>
  <c r="L13" i="15"/>
  <c r="M13" i="15" s="1"/>
  <c r="J13" i="15"/>
  <c r="R12" i="15"/>
  <c r="L12" i="15"/>
  <c r="M12" i="15" s="1"/>
  <c r="J12" i="15"/>
  <c r="R11" i="15"/>
  <c r="L11" i="15"/>
  <c r="M11" i="15" s="1"/>
  <c r="J11" i="15"/>
  <c r="R10" i="15"/>
  <c r="R50" i="15" s="1"/>
  <c r="L10" i="15"/>
  <c r="M10" i="15" s="1"/>
  <c r="J10" i="15"/>
  <c r="A10" i="15"/>
  <c r="S9" i="15"/>
  <c r="S7" i="15"/>
  <c r="S6" i="15"/>
  <c r="S5" i="15"/>
  <c r="A5" i="15"/>
  <c r="T8" i="15"/>
  <c r="S36" i="15"/>
  <c r="T4" i="1"/>
  <c r="S4" i="1"/>
  <c r="U22" i="15" l="1"/>
  <c r="V22" i="15" s="1"/>
  <c r="U18" i="15"/>
  <c r="V18" i="15" s="1"/>
  <c r="U21" i="15"/>
  <c r="V21" i="15" s="1"/>
  <c r="U27" i="15"/>
  <c r="V27" i="15" s="1"/>
  <c r="U32" i="15"/>
  <c r="V32" i="15" s="1"/>
  <c r="U31" i="15"/>
  <c r="V31" i="15" s="1"/>
  <c r="U19" i="15"/>
  <c r="V19" i="15" s="1"/>
  <c r="U28" i="15"/>
  <c r="V28" i="15" s="1"/>
  <c r="U44" i="15"/>
  <c r="V44" i="15" s="1"/>
  <c r="R51" i="15"/>
  <c r="U30" i="15"/>
  <c r="V30" i="15" s="1"/>
  <c r="T34" i="15"/>
  <c r="T23" i="15"/>
  <c r="U23" i="15" s="1"/>
  <c r="V23" i="15" s="1"/>
  <c r="S24" i="15"/>
  <c r="S25" i="15"/>
  <c r="S26" i="15"/>
  <c r="T29" i="15"/>
  <c r="U29" i="15" s="1"/>
  <c r="V29" i="15" s="1"/>
  <c r="T30" i="15"/>
  <c r="T37" i="15"/>
  <c r="U37" i="15" s="1"/>
  <c r="V37" i="15" s="1"/>
  <c r="T38" i="15"/>
  <c r="U38" i="15" s="1"/>
  <c r="V38" i="15" s="1"/>
  <c r="S39" i="15"/>
  <c r="U39" i="15" s="1"/>
  <c r="V39" i="15" s="1"/>
  <c r="S40" i="15"/>
  <c r="S41" i="15"/>
  <c r="S42" i="15"/>
  <c r="S43" i="15"/>
  <c r="S45" i="15"/>
  <c r="S46" i="15"/>
  <c r="S48" i="15"/>
  <c r="T35" i="15"/>
  <c r="T24" i="15"/>
  <c r="T26" i="15"/>
  <c r="T40" i="15"/>
  <c r="T43" i="15"/>
  <c r="T5" i="15"/>
  <c r="T7" i="15"/>
  <c r="U7" i="15" s="1"/>
  <c r="V7" i="15" s="1"/>
  <c r="T9" i="15"/>
  <c r="U9" i="15" s="1"/>
  <c r="V9" i="15" s="1"/>
  <c r="S10" i="15"/>
  <c r="U10" i="15" s="1"/>
  <c r="V10" i="15" s="1"/>
  <c r="S11" i="15"/>
  <c r="S12" i="15"/>
  <c r="S13" i="15"/>
  <c r="S14" i="15"/>
  <c r="S15" i="15"/>
  <c r="S16" i="15"/>
  <c r="S17" i="15"/>
  <c r="T20" i="15"/>
  <c r="U20" i="15" s="1"/>
  <c r="V20" i="15" s="1"/>
  <c r="T49" i="15"/>
  <c r="U49" i="15" s="1"/>
  <c r="V49" i="15" s="1"/>
  <c r="T33" i="15"/>
  <c r="T25" i="15"/>
  <c r="T39" i="15"/>
  <c r="T41" i="15"/>
  <c r="T42" i="15"/>
  <c r="T45" i="15"/>
  <c r="T46" i="15"/>
  <c r="T48" i="15"/>
  <c r="T10" i="15"/>
  <c r="T11" i="15"/>
  <c r="T12" i="15"/>
  <c r="T13" i="15"/>
  <c r="T14" i="15"/>
  <c r="U14" i="15" s="1"/>
  <c r="V14" i="15" s="1"/>
  <c r="T15" i="15"/>
  <c r="T16" i="15"/>
  <c r="T17" i="15"/>
  <c r="T36" i="15"/>
  <c r="U36" i="15" s="1"/>
  <c r="V36" i="15" s="1"/>
  <c r="S8" i="15"/>
  <c r="U8" i="15" s="1"/>
  <c r="V8" i="15" s="1"/>
  <c r="T6" i="15"/>
  <c r="U6" i="15" s="1"/>
  <c r="V6" i="15" s="1"/>
  <c r="S33" i="15"/>
  <c r="U33" i="15" s="1"/>
  <c r="V33" i="15" s="1"/>
  <c r="S34" i="15"/>
  <c r="S35" i="15"/>
  <c r="T7" i="1"/>
  <c r="R10" i="14"/>
  <c r="R17" i="14"/>
  <c r="R25" i="14"/>
  <c r="R33" i="14"/>
  <c r="R41" i="14"/>
  <c r="R48" i="14"/>
  <c r="R49" i="14"/>
  <c r="L49" i="14"/>
  <c r="M49" i="14" s="1"/>
  <c r="J49" i="14"/>
  <c r="A49" i="14"/>
  <c r="L48" i="14"/>
  <c r="M48" i="14" s="1"/>
  <c r="J48" i="14"/>
  <c r="A48" i="14"/>
  <c r="S47" i="14"/>
  <c r="M47" i="14"/>
  <c r="J47" i="14"/>
  <c r="L46" i="14"/>
  <c r="M46" i="14" s="1"/>
  <c r="J46" i="14"/>
  <c r="L45" i="14"/>
  <c r="M45" i="14" s="1"/>
  <c r="J45" i="14"/>
  <c r="M44" i="14"/>
  <c r="J44" i="14"/>
  <c r="A44" i="14"/>
  <c r="L43" i="14"/>
  <c r="M43" i="14" s="1"/>
  <c r="J43" i="14"/>
  <c r="L42" i="14"/>
  <c r="M42" i="14" s="1"/>
  <c r="J42" i="14"/>
  <c r="L41" i="14"/>
  <c r="M41" i="14" s="1"/>
  <c r="J41" i="14"/>
  <c r="L40" i="14"/>
  <c r="M40" i="14" s="1"/>
  <c r="J40" i="14"/>
  <c r="L39" i="14"/>
  <c r="M39" i="14" s="1"/>
  <c r="J39" i="14"/>
  <c r="A39" i="14"/>
  <c r="L38" i="14"/>
  <c r="M38" i="14" s="1"/>
  <c r="J38" i="14"/>
  <c r="S37" i="14"/>
  <c r="L37" i="14"/>
  <c r="M37" i="14" s="1"/>
  <c r="J37" i="14"/>
  <c r="A37" i="14"/>
  <c r="L36" i="14"/>
  <c r="M36" i="14" s="1"/>
  <c r="J36" i="14"/>
  <c r="L35" i="14"/>
  <c r="M35" i="14" s="1"/>
  <c r="J35" i="14"/>
  <c r="L34" i="14"/>
  <c r="M34" i="14" s="1"/>
  <c r="J34" i="14"/>
  <c r="L33" i="14"/>
  <c r="M33" i="14" s="1"/>
  <c r="J33" i="14"/>
  <c r="A33" i="14"/>
  <c r="M32" i="14"/>
  <c r="J32" i="14"/>
  <c r="T31" i="14"/>
  <c r="M31" i="14"/>
  <c r="J31" i="14"/>
  <c r="L30" i="14"/>
  <c r="M30" i="14" s="1"/>
  <c r="J30" i="14"/>
  <c r="L29" i="14"/>
  <c r="M29" i="14" s="1"/>
  <c r="J29" i="14"/>
  <c r="A29" i="14"/>
  <c r="T28" i="14"/>
  <c r="M28" i="14"/>
  <c r="J28" i="14"/>
  <c r="S27" i="14"/>
  <c r="M27" i="14"/>
  <c r="J27" i="14"/>
  <c r="L26" i="14"/>
  <c r="M26" i="14" s="1"/>
  <c r="J26" i="14"/>
  <c r="L25" i="14"/>
  <c r="M25" i="14" s="1"/>
  <c r="J25" i="14"/>
  <c r="L24" i="14"/>
  <c r="M24" i="14" s="1"/>
  <c r="J24" i="14"/>
  <c r="A24" i="14"/>
  <c r="L23" i="14"/>
  <c r="M23" i="14" s="1"/>
  <c r="J23" i="14"/>
  <c r="S22" i="14"/>
  <c r="M22" i="14"/>
  <c r="J22" i="14"/>
  <c r="M21" i="14"/>
  <c r="J21" i="14"/>
  <c r="L20" i="14"/>
  <c r="M20" i="14" s="1"/>
  <c r="J20" i="14"/>
  <c r="M19" i="14"/>
  <c r="J19" i="14"/>
  <c r="A19" i="14"/>
  <c r="M18" i="14"/>
  <c r="J18" i="14"/>
  <c r="L17" i="14"/>
  <c r="M17" i="14" s="1"/>
  <c r="J17" i="14"/>
  <c r="L16" i="14"/>
  <c r="M16" i="14" s="1"/>
  <c r="J16" i="14"/>
  <c r="L15" i="14"/>
  <c r="M15" i="14" s="1"/>
  <c r="J15" i="14"/>
  <c r="L14" i="14"/>
  <c r="M14" i="14" s="1"/>
  <c r="J14" i="14"/>
  <c r="L13" i="14"/>
  <c r="M13" i="14" s="1"/>
  <c r="J13" i="14"/>
  <c r="L12" i="14"/>
  <c r="M12" i="14" s="1"/>
  <c r="J12" i="14"/>
  <c r="L11" i="14"/>
  <c r="M11" i="14" s="1"/>
  <c r="J11" i="14"/>
  <c r="L10" i="14"/>
  <c r="M10" i="14" s="1"/>
  <c r="J10" i="14"/>
  <c r="A10" i="14"/>
  <c r="A5" i="14"/>
  <c r="T4" i="14"/>
  <c r="T7" i="14" s="1"/>
  <c r="S4" i="14"/>
  <c r="S7" i="14" s="1"/>
  <c r="U7" i="14" s="1"/>
  <c r="V7" i="14" s="1"/>
  <c r="U28" i="13"/>
  <c r="U27" i="13"/>
  <c r="U26" i="13"/>
  <c r="U25" i="13"/>
  <c r="U24" i="13"/>
  <c r="U23" i="13"/>
  <c r="U22" i="13"/>
  <c r="U21" i="13"/>
  <c r="U20" i="13"/>
  <c r="U19" i="13"/>
  <c r="U18" i="13"/>
  <c r="U3" i="13"/>
  <c r="U5" i="13" s="1"/>
  <c r="U6" i="13" s="1"/>
  <c r="T3" i="13"/>
  <c r="T4" i="13" s="1"/>
  <c r="S3" i="13"/>
  <c r="S5" i="13" s="1"/>
  <c r="S6" i="13" s="1"/>
  <c r="U13" i="13"/>
  <c r="U14" i="13"/>
  <c r="U15" i="13"/>
  <c r="U16" i="13"/>
  <c r="U17" i="13"/>
  <c r="U12" i="13"/>
  <c r="V12" i="13" s="1"/>
  <c r="R5" i="13"/>
  <c r="R6" i="13" s="1"/>
  <c r="R4" i="13"/>
  <c r="L49" i="1"/>
  <c r="M49" i="1" s="1"/>
  <c r="L48" i="1"/>
  <c r="M48" i="1" s="1"/>
  <c r="L46" i="1"/>
  <c r="M46" i="1" s="1"/>
  <c r="L45" i="1"/>
  <c r="M45" i="1" s="1"/>
  <c r="L43" i="1"/>
  <c r="M43" i="1" s="1"/>
  <c r="L42" i="1"/>
  <c r="M42" i="1" s="1"/>
  <c r="L41" i="1"/>
  <c r="M41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20" i="1"/>
  <c r="M20" i="1" s="1"/>
  <c r="L26" i="1"/>
  <c r="M26" i="1" s="1"/>
  <c r="L25" i="1"/>
  <c r="M25" i="1" s="1"/>
  <c r="L24" i="1"/>
  <c r="M24" i="1" s="1"/>
  <c r="L23" i="1"/>
  <c r="M23" i="1" s="1"/>
  <c r="L30" i="1"/>
  <c r="M30" i="1" s="1"/>
  <c r="L29" i="1"/>
  <c r="M29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40" i="1"/>
  <c r="M40" i="1" s="1"/>
  <c r="T39" i="1"/>
  <c r="S39" i="1"/>
  <c r="R39" i="1"/>
  <c r="T29" i="1"/>
  <c r="R29" i="1"/>
  <c r="T25" i="1"/>
  <c r="R25" i="1"/>
  <c r="M47" i="1"/>
  <c r="M44" i="1"/>
  <c r="M32" i="1"/>
  <c r="M31" i="1"/>
  <c r="M28" i="1"/>
  <c r="M27" i="1"/>
  <c r="M22" i="1"/>
  <c r="M21" i="1"/>
  <c r="M19" i="1"/>
  <c r="M18" i="1"/>
  <c r="J49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10" i="1"/>
  <c r="I58" i="5"/>
  <c r="U35" i="15" l="1"/>
  <c r="V35" i="15" s="1"/>
  <c r="U17" i="15"/>
  <c r="V17" i="15" s="1"/>
  <c r="U48" i="15"/>
  <c r="V48" i="15" s="1"/>
  <c r="U16" i="15"/>
  <c r="V16" i="15" s="1"/>
  <c r="U15" i="15"/>
  <c r="V15" i="15" s="1"/>
  <c r="U45" i="15"/>
  <c r="V45" i="15" s="1"/>
  <c r="U43" i="15"/>
  <c r="V43" i="15" s="1"/>
  <c r="U13" i="15"/>
  <c r="V13" i="15" s="1"/>
  <c r="U42" i="15"/>
  <c r="V42" i="15" s="1"/>
  <c r="U26" i="15"/>
  <c r="V26" i="15" s="1"/>
  <c r="U12" i="15"/>
  <c r="V12" i="15" s="1"/>
  <c r="U41" i="15"/>
  <c r="V41" i="15" s="1"/>
  <c r="U25" i="15"/>
  <c r="V25" i="15" s="1"/>
  <c r="U46" i="15"/>
  <c r="V46" i="15" s="1"/>
  <c r="U11" i="15"/>
  <c r="V11" i="15" s="1"/>
  <c r="U40" i="15"/>
  <c r="V40" i="15" s="1"/>
  <c r="U24" i="15"/>
  <c r="V24" i="15" s="1"/>
  <c r="T50" i="15"/>
  <c r="T51" i="15" s="1"/>
  <c r="U5" i="15"/>
  <c r="V5" i="15" s="1"/>
  <c r="S50" i="15"/>
  <c r="R53" i="15"/>
  <c r="U34" i="15"/>
  <c r="V34" i="15" s="1"/>
  <c r="T33" i="14"/>
  <c r="S8" i="1"/>
  <c r="S7" i="1"/>
  <c r="U7" i="1" s="1"/>
  <c r="V7" i="1" s="1"/>
  <c r="T6" i="1"/>
  <c r="T8" i="1"/>
  <c r="S30" i="14"/>
  <c r="S9" i="14"/>
  <c r="T34" i="14"/>
  <c r="T9" i="14"/>
  <c r="T35" i="14"/>
  <c r="S38" i="14"/>
  <c r="S29" i="1"/>
  <c r="S6" i="1"/>
  <c r="S36" i="14"/>
  <c r="S6" i="14"/>
  <c r="T36" i="14"/>
  <c r="S23" i="14"/>
  <c r="T32" i="14"/>
  <c r="T6" i="14"/>
  <c r="S29" i="14"/>
  <c r="S25" i="1"/>
  <c r="R40" i="14"/>
  <c r="R16" i="14"/>
  <c r="R47" i="14"/>
  <c r="R39" i="14"/>
  <c r="R31" i="14"/>
  <c r="R23" i="14"/>
  <c r="R15" i="14"/>
  <c r="R32" i="14"/>
  <c r="R24" i="14"/>
  <c r="R46" i="14"/>
  <c r="R38" i="14"/>
  <c r="R30" i="14"/>
  <c r="R22" i="14"/>
  <c r="R14" i="14"/>
  <c r="R13" i="14"/>
  <c r="R29" i="14"/>
  <c r="R44" i="14"/>
  <c r="R36" i="14"/>
  <c r="R28" i="14"/>
  <c r="R20" i="14"/>
  <c r="R12" i="14"/>
  <c r="R21" i="14"/>
  <c r="R43" i="14"/>
  <c r="R35" i="14"/>
  <c r="R27" i="14"/>
  <c r="R19" i="14"/>
  <c r="R11" i="14"/>
  <c r="R45" i="14"/>
  <c r="R37" i="14"/>
  <c r="R42" i="14"/>
  <c r="R34" i="14"/>
  <c r="R26" i="14"/>
  <c r="R18" i="14"/>
  <c r="S21" i="14"/>
  <c r="T22" i="14"/>
  <c r="T23" i="14"/>
  <c r="S24" i="14"/>
  <c r="S25" i="14"/>
  <c r="S26" i="14"/>
  <c r="T27" i="14"/>
  <c r="T29" i="14"/>
  <c r="T30" i="14"/>
  <c r="T37" i="14"/>
  <c r="T38" i="14"/>
  <c r="S39" i="14"/>
  <c r="S40" i="14"/>
  <c r="S41" i="14"/>
  <c r="S42" i="14"/>
  <c r="S43" i="14"/>
  <c r="S44" i="14"/>
  <c r="S45" i="14"/>
  <c r="S46" i="14"/>
  <c r="T47" i="14"/>
  <c r="S48" i="14"/>
  <c r="S8" i="14"/>
  <c r="S18" i="14"/>
  <c r="S19" i="14"/>
  <c r="S20" i="14"/>
  <c r="T21" i="14"/>
  <c r="T24" i="14"/>
  <c r="T25" i="14"/>
  <c r="T26" i="14"/>
  <c r="T39" i="14"/>
  <c r="T40" i="14"/>
  <c r="T41" i="14"/>
  <c r="T42" i="14"/>
  <c r="T43" i="14"/>
  <c r="T44" i="14"/>
  <c r="T45" i="14"/>
  <c r="T46" i="14"/>
  <c r="T48" i="14"/>
  <c r="S49" i="14"/>
  <c r="T8" i="14"/>
  <c r="S10" i="14"/>
  <c r="S11" i="14"/>
  <c r="S12" i="14"/>
  <c r="S13" i="14"/>
  <c r="S14" i="14"/>
  <c r="S15" i="14"/>
  <c r="S16" i="14"/>
  <c r="S17" i="14"/>
  <c r="T18" i="14"/>
  <c r="T19" i="14"/>
  <c r="T20" i="14"/>
  <c r="T49" i="14"/>
  <c r="T10" i="14"/>
  <c r="T11" i="14"/>
  <c r="T12" i="14"/>
  <c r="T13" i="14"/>
  <c r="T14" i="14"/>
  <c r="T15" i="14"/>
  <c r="T16" i="14"/>
  <c r="T17" i="14"/>
  <c r="S5" i="14"/>
  <c r="T5" i="14"/>
  <c r="S32" i="14"/>
  <c r="U32" i="14" s="1"/>
  <c r="V32" i="14" s="1"/>
  <c r="S28" i="14"/>
  <c r="S31" i="14"/>
  <c r="S33" i="14"/>
  <c r="S34" i="14"/>
  <c r="S35" i="14"/>
  <c r="V14" i="13"/>
  <c r="S4" i="13"/>
  <c r="S7" i="13" s="1"/>
  <c r="R7" i="13"/>
  <c r="T5" i="13"/>
  <c r="U4" i="13"/>
  <c r="U7" i="13" s="1"/>
  <c r="A29" i="1"/>
  <c r="A24" i="1"/>
  <c r="A37" i="1"/>
  <c r="A39" i="1"/>
  <c r="A48" i="1"/>
  <c r="A44" i="1"/>
  <c r="R55" i="15" l="1"/>
  <c r="S51" i="15"/>
  <c r="U50" i="15"/>
  <c r="U56" i="15" s="1"/>
  <c r="R54" i="15"/>
  <c r="T53" i="15"/>
  <c r="T54" i="15" s="1"/>
  <c r="T55" i="15"/>
  <c r="U6" i="1"/>
  <c r="V6" i="1" s="1"/>
  <c r="U8" i="1"/>
  <c r="V8" i="1" s="1"/>
  <c r="U36" i="14"/>
  <c r="V36" i="14" s="1"/>
  <c r="U27" i="14"/>
  <c r="V27" i="14" s="1"/>
  <c r="U9" i="14"/>
  <c r="V9" i="14" s="1"/>
  <c r="U25" i="14"/>
  <c r="V25" i="14" s="1"/>
  <c r="U6" i="14"/>
  <c r="V6" i="14" s="1"/>
  <c r="U40" i="14"/>
  <c r="V40" i="14" s="1"/>
  <c r="U48" i="14"/>
  <c r="V48" i="14" s="1"/>
  <c r="U42" i="14"/>
  <c r="V42" i="14" s="1"/>
  <c r="U26" i="14"/>
  <c r="V26" i="14" s="1"/>
  <c r="U35" i="14"/>
  <c r="V35" i="14" s="1"/>
  <c r="U47" i="14"/>
  <c r="V47" i="14" s="1"/>
  <c r="U30" i="14"/>
  <c r="V30" i="14" s="1"/>
  <c r="T50" i="14"/>
  <c r="T51" i="14" s="1"/>
  <c r="T53" i="14" s="1"/>
  <c r="T54" i="14" s="1"/>
  <c r="U15" i="14"/>
  <c r="V15" i="14" s="1"/>
  <c r="U43" i="14"/>
  <c r="V43" i="14" s="1"/>
  <c r="U38" i="14"/>
  <c r="V38" i="14" s="1"/>
  <c r="U44" i="14"/>
  <c r="V44" i="14" s="1"/>
  <c r="U39" i="14"/>
  <c r="V39" i="14" s="1"/>
  <c r="U20" i="14"/>
  <c r="V20" i="14" s="1"/>
  <c r="U34" i="14"/>
  <c r="V34" i="14" s="1"/>
  <c r="U23" i="14"/>
  <c r="V23" i="14" s="1"/>
  <c r="U33" i="14"/>
  <c r="V33" i="14" s="1"/>
  <c r="U46" i="14"/>
  <c r="V46" i="14" s="1"/>
  <c r="U29" i="14"/>
  <c r="V29" i="14" s="1"/>
  <c r="U14" i="14"/>
  <c r="V14" i="14" s="1"/>
  <c r="U41" i="14"/>
  <c r="V41" i="14" s="1"/>
  <c r="U37" i="14"/>
  <c r="V37" i="14" s="1"/>
  <c r="S50" i="14"/>
  <c r="S51" i="14" s="1"/>
  <c r="U12" i="14"/>
  <c r="V12" i="14" s="1"/>
  <c r="U24" i="14"/>
  <c r="V24" i="14" s="1"/>
  <c r="U19" i="14"/>
  <c r="V19" i="14" s="1"/>
  <c r="U5" i="14"/>
  <c r="V5" i="14" s="1"/>
  <c r="R50" i="14"/>
  <c r="U11" i="14"/>
  <c r="V11" i="14" s="1"/>
  <c r="U49" i="14"/>
  <c r="V49" i="14" s="1"/>
  <c r="U18" i="14"/>
  <c r="V18" i="14" s="1"/>
  <c r="U10" i="14"/>
  <c r="V10" i="14" s="1"/>
  <c r="U8" i="14"/>
  <c r="V8" i="14" s="1"/>
  <c r="U13" i="14"/>
  <c r="V13" i="14" s="1"/>
  <c r="U22" i="14"/>
  <c r="V22" i="14" s="1"/>
  <c r="U31" i="14"/>
  <c r="V31" i="14" s="1"/>
  <c r="U17" i="14"/>
  <c r="V17" i="14" s="1"/>
  <c r="U21" i="14"/>
  <c r="V21" i="14" s="1"/>
  <c r="U28" i="14"/>
  <c r="V28" i="14" s="1"/>
  <c r="U16" i="14"/>
  <c r="V16" i="14" s="1"/>
  <c r="U45" i="14"/>
  <c r="V45" i="14" s="1"/>
  <c r="T6" i="13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S53" i="15" l="1"/>
  <c r="V51" i="15"/>
  <c r="T55" i="14"/>
  <c r="R51" i="14"/>
  <c r="U50" i="14"/>
  <c r="U56" i="14" s="1"/>
  <c r="S53" i="14"/>
  <c r="S54" i="14" s="1"/>
  <c r="T7" i="13"/>
  <c r="S25" i="12"/>
  <c r="S26" i="12" s="1"/>
  <c r="U20" i="12"/>
  <c r="U25" i="12" s="1"/>
  <c r="Q34" i="12"/>
  <c r="S27" i="12"/>
  <c r="S34" i="12" s="1"/>
  <c r="S35" i="12" s="1"/>
  <c r="Q25" i="12"/>
  <c r="S54" i="15" l="1"/>
  <c r="V54" i="15" s="1"/>
  <c r="V53" i="15"/>
  <c r="V56" i="15" s="1"/>
  <c r="S55" i="15"/>
  <c r="V55" i="15" s="1"/>
  <c r="V52" i="15"/>
  <c r="V51" i="14"/>
  <c r="R53" i="14"/>
  <c r="S55" i="14"/>
  <c r="V25" i="12"/>
  <c r="U27" i="12"/>
  <c r="U34" i="12" s="1"/>
  <c r="V34" i="12" s="1"/>
  <c r="V52" i="14" l="1"/>
  <c r="R54" i="14"/>
  <c r="V54" i="14" s="1"/>
  <c r="V53" i="14"/>
  <c r="V56" i="14" s="1"/>
  <c r="A33" i="1"/>
  <c r="A49" i="1"/>
  <c r="R55" i="14" l="1"/>
  <c r="V55" i="14" s="1"/>
  <c r="E30" i="5"/>
  <c r="A19" i="1" l="1"/>
  <c r="D34" i="5" l="1"/>
  <c r="F42" i="5" s="1"/>
  <c r="E34" i="5"/>
  <c r="G42" i="5" s="1"/>
  <c r="F34" i="5"/>
  <c r="H42" i="5" s="1"/>
  <c r="K42" i="5" s="1"/>
  <c r="G34" i="5"/>
  <c r="I42" i="5" s="1"/>
  <c r="C34" i="5"/>
  <c r="E42" i="5" s="1"/>
  <c r="E59" i="5" l="1"/>
  <c r="D42" i="5"/>
  <c r="L42" i="5" s="1"/>
  <c r="F59" i="5"/>
  <c r="J42" i="5"/>
  <c r="A10" i="1"/>
  <c r="A5" i="1"/>
  <c r="G57" i="5" l="1"/>
  <c r="F57" i="5"/>
  <c r="E57" i="5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F58" i="5"/>
  <c r="S9" i="1" s="1"/>
  <c r="H41" i="5"/>
  <c r="H58" i="5" s="1"/>
  <c r="G58" i="5"/>
  <c r="T9" i="1" s="1"/>
  <c r="J41" i="5"/>
  <c r="K41" i="5"/>
  <c r="T44" i="1" l="1"/>
  <c r="T36" i="1"/>
  <c r="T28" i="1"/>
  <c r="T20" i="1"/>
  <c r="T21" i="1"/>
  <c r="T34" i="1"/>
  <c r="T14" i="1"/>
  <c r="T41" i="1"/>
  <c r="T33" i="1"/>
  <c r="T17" i="1"/>
  <c r="T23" i="1"/>
  <c r="T46" i="1"/>
  <c r="T38" i="1"/>
  <c r="T30" i="1"/>
  <c r="T22" i="1"/>
  <c r="T10" i="1"/>
  <c r="T37" i="1"/>
  <c r="T42" i="1"/>
  <c r="T18" i="1"/>
  <c r="T47" i="1"/>
  <c r="T31" i="1"/>
  <c r="T16" i="1"/>
  <c r="T43" i="1"/>
  <c r="T35" i="1"/>
  <c r="T27" i="1"/>
  <c r="T19" i="1"/>
  <c r="T45" i="1"/>
  <c r="T15" i="1"/>
  <c r="T26" i="1"/>
  <c r="T13" i="1"/>
  <c r="T40" i="1"/>
  <c r="T32" i="1"/>
  <c r="T24" i="1"/>
  <c r="T12" i="1"/>
  <c r="T11" i="1"/>
  <c r="S47" i="1"/>
  <c r="S31" i="1"/>
  <c r="S23" i="1"/>
  <c r="S11" i="1"/>
  <c r="S13" i="1"/>
  <c r="S45" i="1"/>
  <c r="S26" i="1"/>
  <c r="S44" i="1"/>
  <c r="S36" i="1"/>
  <c r="S28" i="1"/>
  <c r="S20" i="1"/>
  <c r="S40" i="1"/>
  <c r="S14" i="1"/>
  <c r="S41" i="1"/>
  <c r="S33" i="1"/>
  <c r="S17" i="1"/>
  <c r="S24" i="1"/>
  <c r="S12" i="1"/>
  <c r="S46" i="1"/>
  <c r="S38" i="1"/>
  <c r="S30" i="1"/>
  <c r="S22" i="1"/>
  <c r="S10" i="1"/>
  <c r="S32" i="1"/>
  <c r="S18" i="1"/>
  <c r="S16" i="1"/>
  <c r="S43" i="1"/>
  <c r="S35" i="1"/>
  <c r="S27" i="1"/>
  <c r="S19" i="1"/>
  <c r="S37" i="1"/>
  <c r="S21" i="1"/>
  <c r="S15" i="1"/>
  <c r="S42" i="1"/>
  <c r="S34" i="1"/>
  <c r="D41" i="5"/>
  <c r="D58" i="5"/>
  <c r="U9" i="1" s="1"/>
  <c r="V9" i="1" s="1"/>
  <c r="T48" i="1"/>
  <c r="S48" i="1"/>
  <c r="T49" i="1"/>
  <c r="S49" i="1"/>
  <c r="T5" i="1"/>
  <c r="S5" i="1"/>
  <c r="L41" i="5"/>
  <c r="R15" i="1" l="1"/>
  <c r="U15" i="1" s="1"/>
  <c r="V15" i="1" s="1"/>
  <c r="R42" i="1"/>
  <c r="U42" i="1" s="1"/>
  <c r="V42" i="1" s="1"/>
  <c r="R34" i="1"/>
  <c r="U34" i="1" s="1"/>
  <c r="V34" i="1" s="1"/>
  <c r="R26" i="1"/>
  <c r="U26" i="1" s="1"/>
  <c r="V26" i="1" s="1"/>
  <c r="R18" i="1"/>
  <c r="U18" i="1" s="1"/>
  <c r="V18" i="1" s="1"/>
  <c r="R35" i="1"/>
  <c r="U35" i="1" s="1"/>
  <c r="V35" i="1" s="1"/>
  <c r="R24" i="1"/>
  <c r="U24" i="1" s="1"/>
  <c r="V24" i="1" s="1"/>
  <c r="R47" i="1"/>
  <c r="U47" i="1" s="1"/>
  <c r="V47" i="1" s="1"/>
  <c r="U39" i="1"/>
  <c r="V39" i="1" s="1"/>
  <c r="R31" i="1"/>
  <c r="U31" i="1" s="1"/>
  <c r="V31" i="1" s="1"/>
  <c r="R23" i="1"/>
  <c r="U23" i="1" s="1"/>
  <c r="V23" i="1" s="1"/>
  <c r="R11" i="1"/>
  <c r="U11" i="1" s="1"/>
  <c r="V11" i="1" s="1"/>
  <c r="R44" i="1"/>
  <c r="U44" i="1" s="1"/>
  <c r="V44" i="1" s="1"/>
  <c r="R36" i="1"/>
  <c r="U36" i="1" s="1"/>
  <c r="V36" i="1" s="1"/>
  <c r="R28" i="1"/>
  <c r="U28" i="1" s="1"/>
  <c r="V28" i="1" s="1"/>
  <c r="R20" i="1"/>
  <c r="U20" i="1" s="1"/>
  <c r="V20" i="1" s="1"/>
  <c r="R16" i="1"/>
  <c r="U16" i="1" s="1"/>
  <c r="V16" i="1" s="1"/>
  <c r="R32" i="1"/>
  <c r="U32" i="1" s="1"/>
  <c r="V32" i="1" s="1"/>
  <c r="R37" i="1"/>
  <c r="U37" i="1" s="1"/>
  <c r="V37" i="1" s="1"/>
  <c r="R21" i="1"/>
  <c r="U21" i="1" s="1"/>
  <c r="V21" i="1" s="1"/>
  <c r="R14" i="1"/>
  <c r="U14" i="1" s="1"/>
  <c r="V14" i="1" s="1"/>
  <c r="R41" i="1"/>
  <c r="U41" i="1" s="1"/>
  <c r="V41" i="1" s="1"/>
  <c r="R33" i="1"/>
  <c r="U33" i="1" s="1"/>
  <c r="V33" i="1" s="1"/>
  <c r="U25" i="1"/>
  <c r="V25" i="1" s="1"/>
  <c r="R17" i="1"/>
  <c r="U17" i="1" s="1"/>
  <c r="V17" i="1" s="1"/>
  <c r="R19" i="1"/>
  <c r="U19" i="1" s="1"/>
  <c r="V19" i="1" s="1"/>
  <c r="R40" i="1"/>
  <c r="U40" i="1" s="1"/>
  <c r="V40" i="1" s="1"/>
  <c r="R12" i="1"/>
  <c r="U12" i="1" s="1"/>
  <c r="V12" i="1" s="1"/>
  <c r="R45" i="1"/>
  <c r="U45" i="1" s="1"/>
  <c r="V45" i="1" s="1"/>
  <c r="U29" i="1"/>
  <c r="V29" i="1" s="1"/>
  <c r="R46" i="1"/>
  <c r="U46" i="1" s="1"/>
  <c r="V46" i="1" s="1"/>
  <c r="R38" i="1"/>
  <c r="U38" i="1" s="1"/>
  <c r="V38" i="1" s="1"/>
  <c r="R30" i="1"/>
  <c r="U30" i="1" s="1"/>
  <c r="V30" i="1" s="1"/>
  <c r="R22" i="1"/>
  <c r="U22" i="1" s="1"/>
  <c r="V22" i="1" s="1"/>
  <c r="R10" i="1"/>
  <c r="U10" i="1" s="1"/>
  <c r="V10" i="1" s="1"/>
  <c r="R43" i="1"/>
  <c r="U43" i="1" s="1"/>
  <c r="V43" i="1" s="1"/>
  <c r="R27" i="1"/>
  <c r="U27" i="1" s="1"/>
  <c r="V27" i="1" s="1"/>
  <c r="R13" i="1"/>
  <c r="U13" i="1" s="1"/>
  <c r="V13" i="1" s="1"/>
  <c r="R48" i="1"/>
  <c r="R49" i="1"/>
  <c r="S50" i="1"/>
  <c r="S51" i="1" s="1"/>
  <c r="C58" i="5"/>
  <c r="C59" i="5"/>
  <c r="T50" i="1"/>
  <c r="T51" i="1" s="1"/>
  <c r="C41" i="5"/>
  <c r="C42" i="5"/>
  <c r="T53" i="1" l="1"/>
  <c r="T54" i="1" s="1"/>
  <c r="S53" i="1"/>
  <c r="S54" i="1" s="1"/>
  <c r="U48" i="1"/>
  <c r="V48" i="1" s="1"/>
  <c r="U49" i="1"/>
  <c r="V49" i="1" s="1"/>
  <c r="T55" i="1" l="1"/>
  <c r="S55" i="1"/>
  <c r="U5" i="1"/>
  <c r="V5" i="1" s="1"/>
  <c r="R50" i="1"/>
  <c r="R51" i="1" l="1"/>
  <c r="R53" i="1" s="1"/>
  <c r="V53" i="1" l="1"/>
  <c r="U50" i="1"/>
  <c r="U56" i="1" s="1"/>
  <c r="V51" i="1"/>
  <c r="R54" i="1" l="1"/>
  <c r="V54" i="1" s="1"/>
  <c r="V56" i="1"/>
  <c r="V52" i="1"/>
  <c r="R55" i="1" l="1"/>
  <c r="V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3B8436E4-B601-4B5E-8015-80ABC164C230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01E6E731-0E8F-454F-9D6B-B7357D2D929F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4E9E2887-2816-410F-9FB4-E151A701F879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F9D48B60-5A27-4DE6-A5CF-8458A0B94BA6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7B7BF67E-F3C0-4025-8852-B965907AAFB9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FBF02B2-E44C-487C-BE76-86B8523B0DB3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968B4D70-C998-432A-A75A-A5C2922721CB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DF1184F7-B537-40CE-81DA-2C5ABBF75DD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96AFF688-532D-4AA0-AD73-050B84E75451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45136F9C-7C26-442D-A018-8A1452C1274E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1AEEB52-B3ED-42FF-B639-CAA4649B0694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DF8A553F-7D62-427D-8632-1EF25642A8D9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16045D43-FE85-45D1-BC66-474AFFA0C20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CD6F070A-7A6B-4D17-AB64-F9902043BBAC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20B3C2E6-5631-49B1-8B1B-59BD018AC1E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71F7D78B-1569-4498-9FB7-CD7D3653030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2A11B47-F498-4B84-B88C-371D3E63F90C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5FA028F-969C-4266-99D1-8480C675CA98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<sst xmlns="http://schemas.openxmlformats.org/spreadsheetml/2006/main" count="778" uniqueCount="219">
  <si>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</si>
  <si>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</si>
  <si>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</si>
  <si>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</si>
  <si>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</si>
  <si>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</si>
  <si>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</si>
  <si>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</si>
  <si>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</si>
  <si>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</si>
  <si>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</si>
  <si>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</si>
  <si>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</si>
  <si>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</si>
  <si>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</si>
  <si>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</si>
  <si>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</si>
  <si>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</si>
  <si>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</si>
  <si>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</si>
  <si>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</si>
  <si>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</si>
  <si>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</si>
  <si>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</si>
  <si>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</si>
  <si>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</si>
  <si>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</si>
  <si>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</si>
  <si>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</si>
  <si>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</si>
  <si>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</si>
  <si>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</si>
  <si>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</si>
  <si>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</si>
  <si>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</si>
  <si>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</si>
  <si>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</si>
  <si>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</si>
  <si>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</si>
  <si>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</si>
  <si>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</si>
  <si>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</si>
  <si>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</si>
  <si>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</si>
  <si>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</si>
  <si>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</si>
  <si>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</si>
  <si>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</si>
  <si>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</si>
  <si>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</si>
  <si>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</si>
  <si>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</si>
  <si>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</si>
  <si>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</si>
  <si>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</si>
  <si>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</si>
  <si>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</si>
  <si>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</si>
  <si>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</si>
  <si>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</si>
  <si>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</si>
  <si>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</si>
  <si>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</si>
  <si>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</si>
  <si>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</si>
  <si>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</si>
  <si>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</si>
  <si>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</si>
  <si>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</si>
  <si>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</si>
  <si>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</si>
  <si>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</si>
  <si>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</si>
  <si>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</si>
  <si>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</si>
  <si>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</si>
  <si>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</si>
  <si>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</si>
  <si>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中</t>
    <rPh sb="0" eb="1">
      <t>チュウ</t>
    </rPh>
    <phoneticPr fontId="3"/>
  </si>
  <si>
    <t>新規</t>
  </si>
  <si>
    <t>低</t>
    <rPh sb="0" eb="1">
      <t>テイ</t>
    </rPh>
    <phoneticPr fontId="3"/>
  </si>
  <si>
    <t>高</t>
    <rPh sb="0" eb="1">
      <t>コウ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</si>
  <si>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</si>
  <si>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</si>
  <si>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作業金額</t>
    <rPh sb="0" eb="4">
      <t>サギョウキンガク</t>
    </rPh>
    <phoneticPr fontId="3"/>
  </si>
  <si>
    <t>管理 + プレ工数</t>
    <rPh sb="0" eb="2">
      <t>カンリ</t>
    </rPh>
    <rPh sb="7" eb="9">
      <t>コウスウ</t>
    </rPh>
    <phoneticPr fontId="3"/>
  </si>
  <si>
    <t>管理 + プレ工数 金額</t>
    <rPh sb="0" eb="2">
      <t>カンリ</t>
    </rPh>
    <rPh sb="7" eb="9">
      <t>コウスウ</t>
    </rPh>
    <rPh sb="10" eb="12">
      <t>キンガク</t>
    </rPh>
    <phoneticPr fontId="3"/>
  </si>
  <si>
    <t>合計</t>
    <rPh sb="0" eb="2">
      <t>ゴウケイ</t>
    </rPh>
    <phoneticPr fontId="3"/>
  </si>
  <si>
    <t>総工数</t>
    <rPh sb="0" eb="1">
      <t>ソウ</t>
    </rPh>
    <rPh sb="1" eb="3">
      <t>コウスウ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</si>
  <si>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</si>
  <si>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</si>
  <si>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</si>
  <si>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特低</t>
    <rPh sb="0" eb="1">
      <t>トク</t>
    </rPh>
    <rPh sb="1" eb="2">
      <t>テイ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</si>
  <si>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</si>
  <si>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</si>
  <si>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</si>
  <si>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</si>
  <si>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</si>
  <si>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</si>
  <si>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</si>
  <si>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</si>
  <si>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</si>
  <si>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</si>
  <si>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</si>
  <si>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</si>
  <si>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</si>
  <si>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</si>
  <si>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</si>
  <si>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</si>
  <si>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</si>
  <si>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</si>
  <si>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</si>
  <si>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</si>
  <si>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</si>
  <si>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</si>
  <si>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</si>
  <si>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</si>
  <si>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</si>
  <si>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</si>
  <si>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</si>
  <si>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セルイン</t>
  </si>
  <si>
    <t>セルアウト</t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</si>
  <si>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</si>
  <si>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</si>
  <si>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</si>
  <si>
    <t>エントリ向け_まいどプラス発券</t>
  </si>
  <si>
    <t>ｱｽﾄﾓｽ入出荷</t>
  </si>
  <si>
    <t>全国版SS更新</t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</si>
  <si>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</si>
  <si>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</si>
  <si>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セルインTBL</t>
  </si>
  <si>
    <t>売上原価伝送データ</t>
    <rPh sb="4" eb="6">
      <t>デンソウ</t>
    </rPh>
    <phoneticPr fontId="1"/>
  </si>
  <si>
    <t>セルインデータ伝送</t>
  </si>
  <si>
    <t>セルイン月次TBL</t>
  </si>
  <si>
    <t>セルアウト日別過去データ伝送</t>
  </si>
  <si>
    <t>セルアウト日毎テーブル伝送</t>
  </si>
  <si>
    <t>セルアウト月次テーブル伝送</t>
  </si>
  <si>
    <t>ｍｙｄｏ情報データ伝送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</si>
  <si>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</si>
  <si>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</si>
  <si>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</si>
  <si>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</si>
  <si>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</si>
  <si>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</si>
  <si>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</si>
  <si>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</si>
  <si>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</si>
  <si>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</si>
  <si>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</si>
  <si>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</si>
  <si>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Mydoプラス発券実績</t>
  </si>
  <si>
    <t>MYDOPlus発券実績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</si>
  <si>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</si>
  <si>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</si>
  <si>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</si>
  <si>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</si>
  <si>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</si>
  <si>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ＰＯＳ給油所マスタ更新</t>
    <rPh sb="9" eb="11">
      <t>コウシン</t>
    </rPh>
    <phoneticPr fontId="1"/>
  </si>
  <si>
    <t>CTC向け全国版SSﾏｽﾀ</t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</si>
  <si>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</si>
  <si>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</si>
  <si>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企業情報検索</t>
    <phoneticPr fontId="3"/>
  </si>
  <si>
    <t>新SS台帳から処理用SS台帳の作成（バッチ処理）</t>
    <rPh sb="0" eb="1">
      <t>シン</t>
    </rPh>
    <rPh sb="3" eb="5">
      <t>ダイチョウ</t>
    </rPh>
    <rPh sb="7" eb="10">
      <t>ショリヨウ</t>
    </rPh>
    <rPh sb="12" eb="14">
      <t>ダイチョウ</t>
    </rPh>
    <rPh sb="15" eb="17">
      <t>サクセイ</t>
    </rPh>
    <rPh sb="21" eb="23">
      <t>ショリ</t>
    </rPh>
    <phoneticPr fontId="3"/>
  </si>
  <si>
    <t>JCC見積</t>
    <rPh sb="3" eb="5">
      <t>ミツモリ</t>
    </rPh>
    <phoneticPr fontId="3"/>
  </si>
  <si>
    <t>製造単体工数</t>
    <phoneticPr fontId="3"/>
  </si>
  <si>
    <t>結合試験工数</t>
    <phoneticPr fontId="3"/>
  </si>
  <si>
    <t>DB</t>
  </si>
  <si>
    <t>BO</t>
  </si>
  <si>
    <t>帳票</t>
    <rPh sb="0" eb="2">
      <t>チョウヒョウ</t>
    </rPh>
    <phoneticPr fontId="1"/>
  </si>
  <si>
    <t>内部TBL</t>
  </si>
  <si>
    <t>機能</t>
    <rPh sb="0" eb="2">
      <t>キノウ</t>
    </rPh>
    <phoneticPr fontId="1"/>
  </si>
  <si>
    <t>連携</t>
    <rPh sb="0" eb="2">
      <t>レンケイ</t>
    </rPh>
    <phoneticPr fontId="1"/>
  </si>
  <si>
    <t>外部接続</t>
    <rPh sb="0" eb="2">
      <t>ガイブ</t>
    </rPh>
    <rPh sb="2" eb="4">
      <t>セツゾク</t>
    </rPh>
    <phoneticPr fontId="1"/>
  </si>
  <si>
    <t>JCC詳細設計</t>
    <rPh sb="3" eb="7">
      <t>ショウサイセッケイ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</si>
  <si>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</si>
  <si>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</si>
  <si>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概要把握
設計レビュー</t>
    <rPh sb="0" eb="2">
      <t>ガイヨウ</t>
    </rPh>
    <rPh sb="2" eb="4">
      <t>ハアク</t>
    </rPh>
    <rPh sb="5" eb="7">
      <t>セッケイ</t>
    </rPh>
    <phoneticPr fontId="3"/>
  </si>
  <si>
    <t>開発環境・把握・構築</t>
    <rPh sb="0" eb="4">
      <t>カイハツカンキョウ</t>
    </rPh>
    <rPh sb="5" eb="7">
      <t>ハアク</t>
    </rPh>
    <rPh sb="8" eb="10">
      <t>コウチク</t>
    </rPh>
    <phoneticPr fontId="3"/>
  </si>
  <si>
    <t>DB</t>
    <phoneticPr fontId="3"/>
  </si>
  <si>
    <t>低</t>
    <rPh sb="0" eb="1">
      <t>テイ</t>
    </rPh>
    <phoneticPr fontId="3"/>
  </si>
  <si>
    <t>合計</t>
    <rPh sb="0" eb="2">
      <t>ゴウケイ</t>
    </rPh>
    <phoneticPr fontId="3"/>
  </si>
  <si>
    <t>特高</t>
    <rPh sb="0" eb="1">
      <t>トク</t>
    </rPh>
    <rPh sb="1" eb="2">
      <t>コウ</t>
    </rPh>
    <phoneticPr fontId="3"/>
  </si>
  <si>
    <t>エグゼ見積</t>
    <rPh sb="3" eb="5">
      <t>ミツモリ</t>
    </rPh>
    <phoneticPr fontId="3"/>
  </si>
  <si>
    <t>2.5倍</t>
    <rPh sb="3" eb="4">
      <t>バイ</t>
    </rPh>
    <phoneticPr fontId="3"/>
  </si>
  <si>
    <t>3倍</t>
    <rPh sb="1" eb="2">
      <t>バイ</t>
    </rPh>
    <phoneticPr fontId="3"/>
  </si>
  <si>
    <t>5月</t>
    <rPh sb="1" eb="2">
      <t>ガツ</t>
    </rPh>
    <phoneticPr fontId="3"/>
  </si>
  <si>
    <t>A</t>
    <phoneticPr fontId="3"/>
  </si>
  <si>
    <t>B</t>
    <phoneticPr fontId="3"/>
  </si>
  <si>
    <t>2倍</t>
    <rPh sb="1" eb="2">
      <t>バイ</t>
    </rPh>
    <phoneticPr fontId="3"/>
  </si>
  <si>
    <t>要員1</t>
    <rPh sb="0" eb="2">
      <t>ヨウイン</t>
    </rPh>
    <phoneticPr fontId="3"/>
  </si>
  <si>
    <t>要員2</t>
    <rPh sb="0" eb="2">
      <t>ヨウイン</t>
    </rPh>
    <phoneticPr fontId="3"/>
  </si>
  <si>
    <t>要員3</t>
    <rPh sb="0" eb="2">
      <t>ヨウイン</t>
    </rPh>
    <phoneticPr fontId="3"/>
  </si>
  <si>
    <t>要員4</t>
    <rPh sb="0" eb="2">
      <t>ヨウイン</t>
    </rPh>
    <phoneticPr fontId="3"/>
  </si>
  <si>
    <t>要員5</t>
    <rPh sb="0" eb="2">
      <t>ヨウイン</t>
    </rPh>
    <phoneticPr fontId="3"/>
  </si>
  <si>
    <t>要員6</t>
    <rPh sb="0" eb="2">
      <t>ヨウイン</t>
    </rPh>
    <phoneticPr fontId="3"/>
  </si>
  <si>
    <t>要員7</t>
    <rPh sb="0" eb="2">
      <t>ヨウイン</t>
    </rPh>
    <phoneticPr fontId="3"/>
  </si>
  <si>
    <t>要員8</t>
    <rPh sb="0" eb="2">
      <t>ヨウイン</t>
    </rPh>
    <phoneticPr fontId="3"/>
  </si>
  <si>
    <t>要員9</t>
    <rPh sb="0" eb="2">
      <t>ヨウイン</t>
    </rPh>
    <phoneticPr fontId="3"/>
  </si>
  <si>
    <t>要員10</t>
    <rPh sb="0" eb="2">
      <t>ヨウイン</t>
    </rPh>
    <phoneticPr fontId="3"/>
  </si>
  <si>
    <t>要員11</t>
    <rPh sb="0" eb="2">
      <t>ヨウイン</t>
    </rPh>
    <phoneticPr fontId="3"/>
  </si>
  <si>
    <t>要員12</t>
    <rPh sb="0" eb="2">
      <t>ヨウイン</t>
    </rPh>
    <phoneticPr fontId="3"/>
  </si>
  <si>
    <t>JCC様
見積り工数</t>
    <rPh sb="3" eb="4">
      <t>サマ</t>
    </rPh>
    <rPh sb="5" eb="7">
      <t>ミツモ</t>
    </rPh>
    <rPh sb="8" eb="10">
      <t>コウスウ</t>
    </rPh>
    <phoneticPr fontId="3"/>
  </si>
  <si>
    <t>要員13</t>
    <rPh sb="0" eb="2">
      <t>ヨウイン</t>
    </rPh>
    <phoneticPr fontId="3"/>
  </si>
  <si>
    <t>要員14</t>
    <rPh sb="0" eb="2">
      <t>ヨウイン</t>
    </rPh>
    <phoneticPr fontId="3"/>
  </si>
  <si>
    <t>要員15</t>
    <rPh sb="0" eb="2">
      <t>ヨウイン</t>
    </rPh>
    <phoneticPr fontId="3"/>
  </si>
  <si>
    <t>販売実績数量価格推移表　1</t>
    <phoneticPr fontId="3"/>
  </si>
  <si>
    <t>販売実績数量価格推移表　2</t>
  </si>
  <si>
    <t>販売実績数量価格推移表　3</t>
  </si>
  <si>
    <t>販売実績数量価格推移表　4</t>
  </si>
  <si>
    <t>販売実績数量価格推移表　5</t>
  </si>
  <si>
    <t>販売実績数量価格推移表 1</t>
    <phoneticPr fontId="3"/>
  </si>
  <si>
    <t>販売実績数量価格推移表 2</t>
  </si>
  <si>
    <t>販売実績数量価格推移表 3</t>
  </si>
  <si>
    <t>販売実績数量価格推移表 4</t>
  </si>
  <si>
    <t>販売実績数量価格推移表 5</t>
  </si>
  <si>
    <t>結合テスト計画作成</t>
    <rPh sb="0" eb="2">
      <t>ケツゴウ</t>
    </rPh>
    <rPh sb="5" eb="7">
      <t>ケイカク</t>
    </rPh>
    <rPh sb="7" eb="9">
      <t>サクセイ</t>
    </rPh>
    <phoneticPr fontId="3"/>
  </si>
  <si>
    <t>A-AUTO設定</t>
    <rPh sb="6" eb="8">
      <t>セッテイ</t>
    </rPh>
    <phoneticPr fontId="3"/>
  </si>
  <si>
    <t>Azure環境構築（データレイク含む）</t>
    <rPh sb="5" eb="7">
      <t>カンキョウ</t>
    </rPh>
    <rPh sb="7" eb="9">
      <t>コウチク</t>
    </rPh>
    <rPh sb="16" eb="17">
      <t>フク</t>
    </rPh>
    <phoneticPr fontId="3"/>
  </si>
  <si>
    <t>60人月の場合の要員</t>
    <rPh sb="2" eb="4">
      <t>ニンゲツ</t>
    </rPh>
    <rPh sb="5" eb="7">
      <t>バアイ</t>
    </rPh>
    <rPh sb="8" eb="10">
      <t>ヨウイン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</si>
</sst>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&quot;¥&quot;#,##0_);[Red]\(&quot;¥&quot;#,##0\)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8" fontId="4" fillId="3" borderId="11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4" borderId="29" xfId="1" applyNumberFormat="1" applyFont="1" applyFill="1" applyBorder="1" applyAlignment="1">
      <alignment horizontal="right" vertical="center"/>
    </xf>
    <xf numFmtId="177" fontId="4" fillId="4" borderId="34" xfId="1" applyNumberFormat="1" applyFont="1" applyFill="1" applyBorder="1" applyAlignment="1">
      <alignment horizontal="right" vertical="center"/>
    </xf>
    <xf numFmtId="177" fontId="4" fillId="4" borderId="35" xfId="1" applyNumberFormat="1" applyFont="1" applyFill="1" applyBorder="1" applyAlignment="1">
      <alignment horizontal="right" vertical="center"/>
    </xf>
    <xf numFmtId="178" fontId="4" fillId="4" borderId="30" xfId="1" applyNumberFormat="1" applyFont="1" applyFill="1" applyBorder="1" applyAlignment="1">
      <alignment horizontal="right" vertical="center"/>
    </xf>
    <xf numFmtId="179" fontId="4" fillId="4" borderId="36" xfId="1" applyNumberFormat="1" applyFont="1" applyFill="1" applyBorder="1" applyAlignment="1">
      <alignment horizontal="left" vertical="center"/>
    </xf>
    <xf numFmtId="179" fontId="4" fillId="4" borderId="37" xfId="1" applyNumberFormat="1" applyFont="1" applyFill="1" applyBorder="1" applyAlignment="1">
      <alignment horizontal="left" vertical="center"/>
    </xf>
    <xf numFmtId="177" fontId="4" fillId="4" borderId="41" xfId="1" applyNumberFormat="1" applyFont="1" applyFill="1" applyBorder="1" applyAlignment="1">
      <alignment horizontal="right" vertical="center"/>
    </xf>
    <xf numFmtId="177" fontId="4" fillId="4" borderId="43" xfId="1" applyNumberFormat="1" applyFont="1" applyFill="1" applyBorder="1" applyAlignment="1">
      <alignment horizontal="right" vertical="center"/>
    </xf>
    <xf numFmtId="178" fontId="4" fillId="4" borderId="42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0" fontId="6" fillId="0" borderId="0" xfId="3"/>
    <xf numFmtId="0" fontId="6" fillId="6" borderId="0" xfId="3" applyFill="1"/>
    <xf numFmtId="38" fontId="0" fillId="0" borderId="0" xfId="5" applyFont="1" applyAlignment="1"/>
    <xf numFmtId="38" fontId="0" fillId="6" borderId="0" xfId="5" applyFont="1" applyFill="1" applyAlignment="1"/>
    <xf numFmtId="0" fontId="6" fillId="7" borderId="0" xfId="3" applyFill="1"/>
    <xf numFmtId="38" fontId="0" fillId="7" borderId="0" xfId="5" applyFont="1" applyFill="1" applyAlignment="1"/>
    <xf numFmtId="9" fontId="0" fillId="7" borderId="0" xfId="5" applyNumberFormat="1" applyFont="1" applyFill="1" applyAlignment="1"/>
    <xf numFmtId="176" fontId="10" fillId="0" borderId="13" xfId="1" applyNumberFormat="1" applyFont="1" applyBorder="1" applyAlignment="1">
      <alignment horizontal="center" vertical="center"/>
    </xf>
    <xf numFmtId="179" fontId="4" fillId="2" borderId="16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10" fillId="2" borderId="13" xfId="1" applyNumberFormat="1" applyFont="1" applyFill="1" applyBorder="1">
      <alignment vertical="center"/>
    </xf>
    <xf numFmtId="0" fontId="4" fillId="4" borderId="45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46" xfId="1" applyFont="1" applyFill="1" applyBorder="1" applyAlignment="1">
      <alignment horizontal="right" vertical="center"/>
    </xf>
    <xf numFmtId="179" fontId="4" fillId="4" borderId="47" xfId="1" applyNumberFormat="1" applyFont="1" applyFill="1" applyBorder="1" applyAlignment="1">
      <alignment horizontal="left" vertical="center"/>
    </xf>
    <xf numFmtId="176" fontId="10" fillId="0" borderId="13" xfId="1" applyNumberFormat="1" applyFont="1" applyBorder="1" applyAlignment="1">
      <alignment horizontal="left" vertical="center" wrapText="1"/>
    </xf>
    <xf numFmtId="177" fontId="4" fillId="0" borderId="14" xfId="1" applyNumberFormat="1" applyFont="1" applyBorder="1" applyAlignment="1">
      <alignment horizontal="right" vertical="center"/>
    </xf>
    <xf numFmtId="178" fontId="4" fillId="0" borderId="15" xfId="1" applyNumberFormat="1" applyFont="1" applyBorder="1" applyAlignment="1">
      <alignment horizontal="right" vertical="center"/>
    </xf>
    <xf numFmtId="0" fontId="4" fillId="8" borderId="46" xfId="1" applyFont="1" applyFill="1" applyBorder="1" applyAlignment="1">
      <alignment horizontal="right" vertical="center"/>
    </xf>
    <xf numFmtId="189" fontId="4" fillId="4" borderId="44" xfId="1" applyNumberFormat="1" applyFont="1" applyFill="1" applyBorder="1" applyAlignment="1">
      <alignment horizontal="right" vertical="center"/>
    </xf>
    <xf numFmtId="177" fontId="4" fillId="4" borderId="45" xfId="1" applyNumberFormat="1" applyFont="1" applyFill="1" applyBorder="1" applyAlignment="1">
      <alignment horizontal="right" vertical="center"/>
    </xf>
    <xf numFmtId="189" fontId="4" fillId="4" borderId="49" xfId="1" applyNumberFormat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78" fontId="4" fillId="4" borderId="48" xfId="1" applyNumberFormat="1" applyFont="1" applyFill="1" applyBorder="1" applyAlignment="1">
      <alignment horizontal="right" vertical="center"/>
    </xf>
    <xf numFmtId="179" fontId="4" fillId="4" borderId="50" xfId="1" applyNumberFormat="1" applyFont="1" applyFill="1" applyBorder="1" applyAlignment="1">
      <alignment horizontal="left" vertical="center"/>
    </xf>
    <xf numFmtId="189" fontId="4" fillId="4" borderId="48" xfId="1" applyNumberFormat="1" applyFont="1" applyFill="1" applyBorder="1" applyAlignment="1">
      <alignment horizontal="right" vertical="center"/>
    </xf>
    <xf numFmtId="189" fontId="4" fillId="8" borderId="44" xfId="1" applyNumberFormat="1" applyFont="1" applyFill="1" applyBorder="1" applyAlignment="1">
      <alignment horizontal="right" vertical="center"/>
    </xf>
    <xf numFmtId="177" fontId="4" fillId="8" borderId="45" xfId="1" applyNumberFormat="1" applyFont="1" applyFill="1" applyBorder="1" applyAlignment="1">
      <alignment horizontal="right" vertical="center"/>
    </xf>
    <xf numFmtId="189" fontId="4" fillId="4" borderId="51" xfId="1" applyNumberFormat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4" fontId="4" fillId="0" borderId="24" xfId="1" applyNumberFormat="1" applyFont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10" fillId="0" borderId="13" xfId="1" applyNumberFormat="1" applyFont="1" applyBorder="1">
      <alignment vertical="center"/>
    </xf>
    <xf numFmtId="176" fontId="10" fillId="0" borderId="13" xfId="1" applyNumberFormat="1" applyFont="1" applyBorder="1" applyAlignment="1">
      <alignment horizontal="left" vertical="center"/>
    </xf>
    <xf numFmtId="179" fontId="4" fillId="0" borderId="16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44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right" vertical="center"/>
    </xf>
    <xf numFmtId="179" fontId="4" fillId="0" borderId="12" xfId="1" applyNumberFormat="1" applyFont="1" applyBorder="1" applyAlignment="1">
      <alignment horizontal="left" vertical="center"/>
    </xf>
    <xf numFmtId="176" fontId="10" fillId="9" borderId="13" xfId="1" applyNumberFormat="1" applyFont="1" applyFill="1" applyBorder="1" applyAlignment="1">
      <alignment horizontal="center" vertical="center"/>
    </xf>
    <xf numFmtId="177" fontId="4" fillId="9" borderId="13" xfId="1" applyNumberFormat="1" applyFont="1" applyFill="1" applyBorder="1" applyAlignment="1">
      <alignment horizontal="right" vertical="center"/>
    </xf>
    <xf numFmtId="177" fontId="4" fillId="9" borderId="9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9" borderId="0" xfId="0" applyFill="1">
      <alignment vertical="center"/>
    </xf>
    <xf numFmtId="177" fontId="4" fillId="9" borderId="22" xfId="1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 wrapText="1"/>
    </xf>
    <xf numFmtId="179" fontId="4" fillId="4" borderId="52" xfId="1" applyNumberFormat="1" applyFont="1" applyFill="1" applyBorder="1" applyAlignment="1">
      <alignment horizontal="left" vertical="center"/>
    </xf>
    <xf numFmtId="178" fontId="4" fillId="4" borderId="53" xfId="1" applyNumberFormat="1" applyFont="1" applyFill="1" applyBorder="1" applyAlignment="1">
      <alignment horizontal="right" vertical="center"/>
    </xf>
    <xf numFmtId="189" fontId="4" fillId="4" borderId="53" xfId="1" applyNumberFormat="1" applyFont="1" applyFill="1" applyBorder="1" applyAlignment="1">
      <alignment horizontal="right" vertical="center"/>
    </xf>
    <xf numFmtId="179" fontId="4" fillId="4" borderId="54" xfId="1" applyNumberFormat="1" applyFont="1" applyFill="1" applyBorder="1" applyAlignment="1">
      <alignment horizontal="left"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4" fillId="4" borderId="26" xfId="1" applyFont="1" applyFill="1" applyBorder="1" applyAlignment="1">
      <alignment horizontal="right" vertical="center"/>
    </xf>
    <xf numFmtId="0" fontId="4" fillId="4" borderId="27" xfId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31" xfId="1" applyFont="1" applyFill="1" applyBorder="1" applyAlignment="1">
      <alignment horizontal="right" vertical="center"/>
    </xf>
    <xf numFmtId="0" fontId="4" fillId="4" borderId="32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8" xfId="1" applyFont="1" applyFill="1" applyBorder="1" applyAlignment="1">
      <alignment horizontal="right" vertical="center"/>
    </xf>
    <xf numFmtId="0" fontId="4" fillId="4" borderId="39" xfId="1" applyFont="1" applyFill="1" applyBorder="1" applyAlignment="1">
      <alignment horizontal="right" vertical="center"/>
    </xf>
    <xf numFmtId="0" fontId="4" fillId="4" borderId="40" xfId="1" applyFont="1" applyFill="1" applyBorder="1" applyAlignment="1">
      <alignment horizontal="right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44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</cellXfs>
  <cellStyles count="6">
    <cellStyle name="桁区切り 2" xfId="5" xr:uid="{BBFBCDFF-EB88-4A82-9A9A-AB0290A913EC}"/>
    <cellStyle name="通貨 2" xfId="4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9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workbookViewId="0">
      <selection activeCell="S25" sqref="S25"/>
    </sheetView>
  </sheetViews>
  <sheetFormatPr defaultColWidth="9" defaultRowHeight="18"/>
  <cols>
    <col min="1" max="1" width="9" style="43" customWidth="1"/>
    <col min="2" max="2" width="18.5" style="43" customWidth="1"/>
    <col min="3" max="15" width="7.08203125" style="43" customWidth="1"/>
    <col min="16" max="17" width="9" style="43"/>
    <col min="18" max="19" width="9" style="45"/>
    <col min="20" max="16384" width="9" style="43"/>
  </cols>
  <sheetData>
    <row r="1" spans="2:17">
      <c r="C1" s="44" t="s">
        <v>0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44" t="s">
        <v>10</v>
      </c>
      <c r="N1" s="44" t="s">
        <v>11</v>
      </c>
      <c r="O1" s="44" t="s">
        <v>12</v>
      </c>
    </row>
    <row r="2" spans="2:17">
      <c r="B2" s="44" t="s">
        <v>13</v>
      </c>
      <c r="Q2" s="43" t="s">
        <v>14</v>
      </c>
    </row>
    <row r="3" spans="2:17">
      <c r="B3" s="44" t="s">
        <v>15</v>
      </c>
      <c r="Q3" s="43" t="s">
        <v>16</v>
      </c>
    </row>
    <row r="4" spans="2:17">
      <c r="B4" s="44" t="s">
        <v>17</v>
      </c>
      <c r="Q4" s="43" t="s">
        <v>18</v>
      </c>
    </row>
    <row r="5" spans="2:17">
      <c r="B5" s="44" t="s">
        <v>19</v>
      </c>
      <c r="Q5" s="43" t="s">
        <v>20</v>
      </c>
    </row>
    <row r="6" spans="2:17">
      <c r="B6" s="44" t="s">
        <v>21</v>
      </c>
      <c r="Q6" s="43" t="s">
        <v>22</v>
      </c>
    </row>
    <row r="7" spans="2:17">
      <c r="B7" s="44" t="s">
        <v>23</v>
      </c>
      <c r="Q7" s="43" t="s">
        <v>24</v>
      </c>
    </row>
    <row r="8" spans="2:17">
      <c r="B8" s="44" t="s">
        <v>25</v>
      </c>
      <c r="Q8" s="43" t="s">
        <v>26</v>
      </c>
    </row>
    <row r="9" spans="2:17">
      <c r="B9" s="44" t="s">
        <v>27</v>
      </c>
      <c r="Q9" s="43" t="s">
        <v>28</v>
      </c>
    </row>
    <row r="10" spans="2:17">
      <c r="B10" s="44" t="s">
        <v>29</v>
      </c>
      <c r="Q10" s="43" t="s">
        <v>30</v>
      </c>
    </row>
    <row r="11" spans="2:17">
      <c r="B11" s="44" t="s">
        <v>31</v>
      </c>
      <c r="Q11" s="43" t="s">
        <v>32</v>
      </c>
    </row>
    <row r="12" spans="2:17">
      <c r="B12" s="44" t="s">
        <v>33</v>
      </c>
      <c r="Q12" s="43" t="s">
        <v>34</v>
      </c>
    </row>
    <row r="13" spans="2:17">
      <c r="B13" s="44"/>
      <c r="Q13" s="43" t="s">
        <v>35</v>
      </c>
    </row>
    <row r="14" spans="2:17">
      <c r="B14" s="44"/>
      <c r="Q14" s="43" t="s">
        <v>36</v>
      </c>
    </row>
    <row r="15" spans="2:17">
      <c r="B15" s="44"/>
      <c r="Q15" s="43" t="s">
        <v>37</v>
      </c>
    </row>
    <row r="19" spans="1:22">
      <c r="Q19" s="44" t="s">
        <v>38</v>
      </c>
      <c r="R19" s="46" t="s">
        <v>39</v>
      </c>
      <c r="S19" s="46" t="s">
        <v>40</v>
      </c>
      <c r="T19" s="46" t="s">
        <v>41</v>
      </c>
      <c r="U19" s="46" t="s">
        <v>42</v>
      </c>
      <c r="V19" s="46" t="s">
        <v>43</v>
      </c>
    </row>
    <row r="20" spans="1:22">
      <c r="A20" s="43" t="s">
        <v>44</v>
      </c>
      <c r="B20" s="44" t="s">
        <v>45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0.5</v>
      </c>
      <c r="J20" s="43">
        <v>0.5</v>
      </c>
      <c r="K20" s="43">
        <v>0.5</v>
      </c>
      <c r="L20" s="43">
        <v>0.5</v>
      </c>
      <c r="M20" s="43">
        <v>0.5</v>
      </c>
      <c r="N20" s="43">
        <v>0.5</v>
      </c>
      <c r="Q20" s="43">
        <f>SUM(C20:O20)</f>
        <v>8</v>
      </c>
      <c r="R20" s="45">
        <v>140</v>
      </c>
      <c r="S20" s="45">
        <f>Q20*R20</f>
        <v>1120</v>
      </c>
      <c r="T20" s="43">
        <v>65</v>
      </c>
      <c r="U20" s="43">
        <f>S20-(T20*Q20)</f>
        <v>600</v>
      </c>
    </row>
    <row r="21" spans="1:22">
      <c r="A21" s="43" t="s">
        <v>44</v>
      </c>
      <c r="B21" s="44" t="s">
        <v>46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Q21" s="43">
        <f t="shared" ref="Q21:Q24" si="0">SUM(C21:O21)</f>
        <v>11</v>
      </c>
      <c r="R21" s="45">
        <v>110</v>
      </c>
      <c r="S21" s="45">
        <f t="shared" ref="S21:S24" si="1">Q21*R21</f>
        <v>1210</v>
      </c>
      <c r="T21" s="43">
        <v>90</v>
      </c>
      <c r="U21" s="43">
        <f>S21-(T21*Q21)</f>
        <v>220</v>
      </c>
    </row>
    <row r="22" spans="1:22">
      <c r="A22" s="43" t="s">
        <v>44</v>
      </c>
      <c r="B22" s="44" t="s">
        <v>46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Q22" s="43">
        <f t="shared" si="0"/>
        <v>5</v>
      </c>
      <c r="R22" s="45">
        <v>110</v>
      </c>
      <c r="S22" s="45">
        <f t="shared" si="1"/>
        <v>550</v>
      </c>
      <c r="T22" s="43">
        <v>90</v>
      </c>
      <c r="U22" s="43">
        <f>S22-(T22*Q22)</f>
        <v>100</v>
      </c>
    </row>
    <row r="23" spans="1:22">
      <c r="A23" s="43" t="s">
        <v>44</v>
      </c>
      <c r="B23" s="44" t="s">
        <v>47</v>
      </c>
      <c r="Q23" s="43">
        <f t="shared" si="0"/>
        <v>0</v>
      </c>
      <c r="R23" s="45">
        <v>100</v>
      </c>
      <c r="S23" s="45">
        <f t="shared" si="1"/>
        <v>0</v>
      </c>
      <c r="T23" s="43">
        <v>90</v>
      </c>
      <c r="U23" s="43">
        <f>S23-(T23*Q23)</f>
        <v>0</v>
      </c>
    </row>
    <row r="24" spans="1:22">
      <c r="A24" s="43" t="s">
        <v>44</v>
      </c>
      <c r="B24" s="44" t="s">
        <v>47</v>
      </c>
      <c r="Q24" s="43">
        <f t="shared" si="0"/>
        <v>0</v>
      </c>
      <c r="R24" s="45">
        <v>100</v>
      </c>
      <c r="S24" s="45">
        <f t="shared" si="1"/>
        <v>0</v>
      </c>
      <c r="T24" s="43">
        <v>90</v>
      </c>
      <c r="U24" s="43">
        <f>S24-(T24*Q24)</f>
        <v>0</v>
      </c>
    </row>
    <row r="25" spans="1:22">
      <c r="Q25" s="47">
        <f>SUM(Q20:Q24)</f>
        <v>24</v>
      </c>
      <c r="S25" s="48">
        <f t="shared" ref="S25:U25" si="2">SUM(S20:S24)</f>
        <v>2880</v>
      </c>
      <c r="U25" s="48">
        <f t="shared" si="2"/>
        <v>920</v>
      </c>
      <c r="V25" s="49">
        <f>U25/S25</f>
        <v>0.31944444444444442</v>
      </c>
    </row>
    <row r="26" spans="1:22">
      <c r="S26" s="45">
        <f>S25*1.2</f>
        <v>3456</v>
      </c>
    </row>
    <row r="27" spans="1:22">
      <c r="A27" s="43" t="s">
        <v>44</v>
      </c>
      <c r="B27" s="44" t="s">
        <v>45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0.5</v>
      </c>
      <c r="J27" s="43">
        <v>0.5</v>
      </c>
      <c r="K27" s="43">
        <v>0.5</v>
      </c>
      <c r="L27" s="43">
        <v>0.5</v>
      </c>
      <c r="M27" s="43">
        <v>0.5</v>
      </c>
      <c r="N27" s="43">
        <v>0.5</v>
      </c>
      <c r="Q27" s="43">
        <f>SUM(C27:O27)</f>
        <v>8</v>
      </c>
      <c r="R27" s="45">
        <v>140</v>
      </c>
      <c r="S27" s="45">
        <f t="shared" ref="S27:S33" si="3">Q27*R27</f>
        <v>1120</v>
      </c>
      <c r="T27" s="43">
        <v>65</v>
      </c>
      <c r="U27" s="43">
        <f t="shared" ref="U27:U33" si="4">S27-(T27*Q27)</f>
        <v>600</v>
      </c>
    </row>
    <row r="28" spans="1:22">
      <c r="A28" s="43" t="s">
        <v>44</v>
      </c>
      <c r="B28" s="44" t="s">
        <v>48</v>
      </c>
      <c r="Q28" s="43">
        <f t="shared" ref="Q28:Q33" si="5">SUM(C28:O28)</f>
        <v>0</v>
      </c>
      <c r="R28" s="45">
        <v>120</v>
      </c>
      <c r="S28" s="45">
        <f t="shared" si="3"/>
        <v>0</v>
      </c>
      <c r="T28" s="43">
        <v>65</v>
      </c>
      <c r="U28" s="43">
        <f t="shared" si="4"/>
        <v>0</v>
      </c>
    </row>
    <row r="29" spans="1:22">
      <c r="A29" s="43" t="s">
        <v>44</v>
      </c>
      <c r="B29" s="44" t="s">
        <v>46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Q29" s="43">
        <f t="shared" si="5"/>
        <v>11</v>
      </c>
      <c r="R29" s="45">
        <v>110</v>
      </c>
      <c r="S29" s="45">
        <f t="shared" si="3"/>
        <v>1210</v>
      </c>
      <c r="T29" s="43">
        <v>90</v>
      </c>
      <c r="U29" s="43">
        <f t="shared" si="4"/>
        <v>220</v>
      </c>
    </row>
    <row r="30" spans="1:22">
      <c r="A30" s="43" t="s">
        <v>49</v>
      </c>
      <c r="B30" s="44" t="s">
        <v>50</v>
      </c>
      <c r="G30" s="43">
        <v>0.5</v>
      </c>
      <c r="H30" s="43">
        <v>0.5</v>
      </c>
      <c r="I30" s="43">
        <v>0.5</v>
      </c>
      <c r="J30" s="43">
        <v>0.5</v>
      </c>
      <c r="K30" s="43">
        <v>0.5</v>
      </c>
      <c r="L30" s="43">
        <v>0.5</v>
      </c>
      <c r="M30" s="43">
        <v>0.5</v>
      </c>
      <c r="N30" s="43">
        <v>0.5</v>
      </c>
      <c r="Q30" s="43">
        <f>SUM(C30:O30)</f>
        <v>4</v>
      </c>
      <c r="R30" s="45">
        <v>80</v>
      </c>
      <c r="S30" s="45">
        <f t="shared" si="3"/>
        <v>320</v>
      </c>
      <c r="T30" s="43">
        <v>50</v>
      </c>
      <c r="U30" s="43">
        <f t="shared" si="4"/>
        <v>120</v>
      </c>
    </row>
    <row r="31" spans="1:22">
      <c r="A31" s="43" t="s">
        <v>49</v>
      </c>
      <c r="B31" s="44" t="s">
        <v>51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Q31" s="43">
        <f>SUM(C31:O31)</f>
        <v>8</v>
      </c>
      <c r="R31" s="45">
        <v>70</v>
      </c>
      <c r="S31" s="45">
        <f t="shared" si="3"/>
        <v>560</v>
      </c>
      <c r="T31" s="43">
        <v>35</v>
      </c>
      <c r="U31" s="43">
        <f t="shared" si="4"/>
        <v>280</v>
      </c>
    </row>
    <row r="32" spans="1:22">
      <c r="A32" s="43" t="s">
        <v>49</v>
      </c>
      <c r="B32" s="44" t="s">
        <v>52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Q32" s="43">
        <f t="shared" si="5"/>
        <v>7</v>
      </c>
      <c r="R32" s="45">
        <v>70</v>
      </c>
      <c r="S32" s="45">
        <f t="shared" si="3"/>
        <v>490</v>
      </c>
      <c r="T32" s="43">
        <v>35</v>
      </c>
      <c r="U32" s="43">
        <f t="shared" si="4"/>
        <v>245</v>
      </c>
    </row>
    <row r="33" spans="1:22">
      <c r="A33" s="43" t="s">
        <v>49</v>
      </c>
      <c r="B33" s="44" t="s">
        <v>52</v>
      </c>
      <c r="Q33" s="43">
        <f t="shared" si="5"/>
        <v>0</v>
      </c>
      <c r="R33" s="45">
        <v>70</v>
      </c>
      <c r="S33" s="45">
        <f t="shared" si="3"/>
        <v>0</v>
      </c>
      <c r="T33" s="43">
        <v>35</v>
      </c>
      <c r="U33" s="43">
        <f t="shared" si="4"/>
        <v>0</v>
      </c>
    </row>
    <row r="34" spans="1:22">
      <c r="Q34" s="47">
        <f>SUM(Q27:Q33)</f>
        <v>38</v>
      </c>
      <c r="S34" s="48">
        <f>SUM(S27:S33)</f>
        <v>3700</v>
      </c>
      <c r="U34" s="48">
        <f>SUM(U27:U33)</f>
        <v>1465</v>
      </c>
      <c r="V34" s="49">
        <f>U34/S34</f>
        <v>0.39594594594594595</v>
      </c>
    </row>
    <row r="35" spans="1:22">
      <c r="S35" s="45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6"/>
  <sheetViews>
    <sheetView tabSelected="1" view="pageBreakPreview" topLeftCell="G39" zoomScale="85" zoomScaleNormal="100" zoomScaleSheetLayoutView="85" workbookViewId="0">
      <selection activeCell="O45" sqref="O45"/>
    </sheetView>
  </sheetViews>
  <sheetFormatPr defaultRowHeight="18"/>
  <cols>
    <col min="1" max="1" width="3.83203125" bestFit="1" customWidth="1"/>
    <col min="2" max="2" width="28.58203125" customWidth="1"/>
    <col min="3" max="3" width="18.75" customWidth="1"/>
    <col min="4" max="4" width="35.75" bestFit="1" customWidth="1"/>
    <col min="5" max="5" width="5.33203125" customWidth="1"/>
    <col min="6" max="9" width="10.58203125" bestFit="1" customWidth="1"/>
    <col min="10" max="10" width="8.9140625" customWidth="1"/>
    <col min="11" max="11" width="10.5" customWidth="1"/>
    <col min="12" max="12" width="10.58203125" bestFit="1" customWidth="1"/>
    <col min="13" max="13" width="8.9140625" customWidth="1"/>
    <col min="14" max="14" width="7.75" customWidth="1"/>
    <col min="15" max="15" width="19.3320312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58203125" bestFit="1" customWidth="1"/>
    <col min="23" max="23" width="43.75" customWidth="1"/>
  </cols>
  <sheetData>
    <row r="1" spans="1:23" ht="18.5" thickBot="1"/>
    <row r="2" spans="1:23">
      <c r="A2" s="128" t="s">
        <v>53</v>
      </c>
      <c r="B2" s="106" t="s">
        <v>54</v>
      </c>
      <c r="C2" s="104" t="s">
        <v>55</v>
      </c>
      <c r="D2" s="105"/>
      <c r="E2" s="103"/>
      <c r="F2" s="104" t="s">
        <v>173</v>
      </c>
      <c r="G2" s="103"/>
      <c r="H2" s="104" t="s">
        <v>163</v>
      </c>
      <c r="I2" s="103"/>
      <c r="J2" s="74"/>
      <c r="K2" s="117" t="s">
        <v>182</v>
      </c>
      <c r="L2" s="118"/>
      <c r="M2" s="23"/>
      <c r="N2" s="106" t="s">
        <v>56</v>
      </c>
      <c r="O2" s="111" t="s">
        <v>57</v>
      </c>
      <c r="P2" s="106" t="s">
        <v>58</v>
      </c>
      <c r="Q2" s="113" t="s">
        <v>59</v>
      </c>
      <c r="R2" s="106" t="s">
        <v>60</v>
      </c>
      <c r="S2" s="106"/>
      <c r="T2" s="106"/>
      <c r="U2" s="107" t="s">
        <v>61</v>
      </c>
      <c r="V2" s="109" t="s">
        <v>62</v>
      </c>
      <c r="W2" s="103" t="s">
        <v>63</v>
      </c>
    </row>
    <row r="3" spans="1:23" ht="25">
      <c r="A3" s="128"/>
      <c r="B3" s="106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180</v>
      </c>
      <c r="K3" s="17" t="s">
        <v>164</v>
      </c>
      <c r="L3" s="17" t="s">
        <v>165</v>
      </c>
      <c r="M3" s="17" t="s">
        <v>87</v>
      </c>
      <c r="N3" s="106"/>
      <c r="O3" s="112"/>
      <c r="P3" s="106"/>
      <c r="Q3" s="113"/>
      <c r="R3" s="72" t="s">
        <v>176</v>
      </c>
      <c r="S3" s="1" t="s">
        <v>69</v>
      </c>
      <c r="T3" s="1" t="s">
        <v>70</v>
      </c>
      <c r="U3" s="108"/>
      <c r="V3" s="110"/>
      <c r="W3" s="103"/>
    </row>
    <row r="4" spans="1:23">
      <c r="A4" s="114" t="s">
        <v>73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6"/>
      <c r="R4" s="90">
        <v>0.5</v>
      </c>
      <c r="S4" s="90">
        <f>2.5*1.2*積算基準!F58</f>
        <v>9.75</v>
      </c>
      <c r="T4" s="90">
        <f>2.5*1.2*積算基準!G58</f>
        <v>7.875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97"/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6.875</v>
      </c>
      <c r="T5" s="84">
        <f t="shared" si="1"/>
        <v>5.625</v>
      </c>
      <c r="U5" s="85">
        <f>SUM(R5:T5)</f>
        <v>12.5</v>
      </c>
      <c r="V5" s="86">
        <f>U5/20</f>
        <v>0.625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80</v>
      </c>
      <c r="Q6" s="7" t="s">
        <v>79</v>
      </c>
      <c r="R6" s="89"/>
      <c r="S6" s="8">
        <f t="shared" si="1"/>
        <v>6.875</v>
      </c>
      <c r="T6" s="8">
        <f t="shared" si="1"/>
        <v>5.625</v>
      </c>
      <c r="U6" s="59">
        <f t="shared" ref="U6:U8" si="2">SUM(R6:T6)</f>
        <v>12.5</v>
      </c>
      <c r="V6" s="60">
        <f t="shared" ref="V6:V8" si="3">U6/20</f>
        <v>0.625</v>
      </c>
      <c r="W6" s="77"/>
    </row>
    <row r="7" spans="1:23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80</v>
      </c>
      <c r="Q7" s="7" t="s">
        <v>79</v>
      </c>
      <c r="R7" s="89"/>
      <c r="S7" s="8">
        <f t="shared" si="1"/>
        <v>6.875</v>
      </c>
      <c r="T7" s="8">
        <f t="shared" si="1"/>
        <v>5.625</v>
      </c>
      <c r="U7" s="59">
        <f t="shared" ref="U7" si="4">SUM(R7:T7)</f>
        <v>12.5</v>
      </c>
      <c r="V7" s="60">
        <f t="shared" ref="V7" si="5">U7/20</f>
        <v>0.625</v>
      </c>
      <c r="W7" s="77"/>
    </row>
    <row r="8" spans="1:23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80</v>
      </c>
      <c r="Q8" s="7" t="s">
        <v>79</v>
      </c>
      <c r="R8" s="89"/>
      <c r="S8" s="8">
        <f t="shared" si="1"/>
        <v>6.875</v>
      </c>
      <c r="T8" s="8">
        <f t="shared" si="1"/>
        <v>5.625</v>
      </c>
      <c r="U8" s="59">
        <f t="shared" si="2"/>
        <v>12.5</v>
      </c>
      <c r="V8" s="60">
        <f t="shared" si="3"/>
        <v>0.625</v>
      </c>
      <c r="W8" s="77"/>
    </row>
    <row r="9" spans="1:23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80</v>
      </c>
      <c r="Q9" s="7" t="s">
        <v>79</v>
      </c>
      <c r="R9" s="89"/>
      <c r="S9" s="8">
        <f t="shared" si="1"/>
        <v>6.875</v>
      </c>
      <c r="T9" s="8">
        <f t="shared" si="1"/>
        <v>5.625</v>
      </c>
      <c r="U9" s="59">
        <f t="shared" ref="U9" si="6">SUM(R9:T9)</f>
        <v>12.5</v>
      </c>
      <c r="V9" s="60">
        <f t="shared" ref="V9:V47" si="7">U9/20</f>
        <v>0.625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19.5</v>
      </c>
      <c r="T10" s="8">
        <f t="shared" si="1"/>
        <v>15.75</v>
      </c>
      <c r="U10" s="59">
        <f t="shared" ref="U10:U47" si="9">SUM(R10:T10)</f>
        <v>36.25</v>
      </c>
      <c r="V10" s="60">
        <f t="shared" si="7"/>
        <v>1.8125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10">SUM(H11:I11)</f>
        <v>12</v>
      </c>
      <c r="K11" s="6"/>
      <c r="L11" s="79">
        <f t="shared" si="8"/>
        <v>0</v>
      </c>
      <c r="M11" s="6">
        <f t="shared" ref="M11:M48" si="11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19.5</v>
      </c>
      <c r="T11" s="8">
        <f t="shared" si="1"/>
        <v>15.75</v>
      </c>
      <c r="U11" s="59">
        <f t="shared" si="9"/>
        <v>36.25</v>
      </c>
      <c r="V11" s="60">
        <f t="shared" si="7"/>
        <v>1.8125</v>
      </c>
      <c r="W11" s="77"/>
    </row>
    <row r="12" spans="1:23">
      <c r="A12" s="5"/>
      <c r="B12" s="6"/>
      <c r="D12" s="6" t="s">
        <v>210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10"/>
        <v>27</v>
      </c>
      <c r="K12" s="6"/>
      <c r="L12" s="79">
        <f t="shared" si="8"/>
        <v>0</v>
      </c>
      <c r="M12" s="6">
        <f t="shared" si="11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19.5</v>
      </c>
      <c r="T12" s="8">
        <f t="shared" si="1"/>
        <v>15.75</v>
      </c>
      <c r="U12" s="59">
        <f t="shared" si="9"/>
        <v>36.25</v>
      </c>
      <c r="V12" s="60">
        <f t="shared" si="7"/>
        <v>1.8125</v>
      </c>
      <c r="W12" s="77"/>
    </row>
    <row r="13" spans="1:23">
      <c r="A13" s="5"/>
      <c r="B13" s="6"/>
      <c r="D13" s="6" t="s">
        <v>211</v>
      </c>
      <c r="E13" s="6"/>
      <c r="F13" s="73">
        <v>45754</v>
      </c>
      <c r="G13" s="73">
        <v>45838</v>
      </c>
      <c r="H13" s="6"/>
      <c r="I13" s="6"/>
      <c r="J13" s="6">
        <f t="shared" si="10"/>
        <v>0</v>
      </c>
      <c r="K13" s="6"/>
      <c r="L13" s="79">
        <f t="shared" si="8"/>
        <v>0</v>
      </c>
      <c r="M13" s="6">
        <f t="shared" si="11"/>
        <v>0</v>
      </c>
      <c r="N13" s="7" t="s">
        <v>168</v>
      </c>
      <c r="O13" s="78"/>
      <c r="P13" s="7" t="s">
        <v>179</v>
      </c>
      <c r="Q13" s="7" t="s">
        <v>79</v>
      </c>
      <c r="R13" s="8">
        <f t="shared" si="1"/>
        <v>0.375</v>
      </c>
      <c r="S13" s="8">
        <f t="shared" si="1"/>
        <v>6.875</v>
      </c>
      <c r="T13" s="8">
        <f t="shared" si="1"/>
        <v>5.625</v>
      </c>
      <c r="U13" s="59">
        <f t="shared" si="9"/>
        <v>12.875</v>
      </c>
      <c r="V13" s="60">
        <f t="shared" si="7"/>
        <v>0.64375000000000004</v>
      </c>
      <c r="W13" s="77"/>
    </row>
    <row r="14" spans="1:23">
      <c r="A14" s="5"/>
      <c r="B14" s="6"/>
      <c r="D14" s="6" t="s">
        <v>212</v>
      </c>
      <c r="E14" s="6"/>
      <c r="F14" s="73">
        <v>45754</v>
      </c>
      <c r="G14" s="73">
        <v>45838</v>
      </c>
      <c r="H14" s="6"/>
      <c r="I14" s="6"/>
      <c r="J14" s="6">
        <f t="shared" si="10"/>
        <v>0</v>
      </c>
      <c r="K14" s="6"/>
      <c r="L14" s="79">
        <f t="shared" si="8"/>
        <v>0</v>
      </c>
      <c r="M14" s="6">
        <f t="shared" si="11"/>
        <v>0</v>
      </c>
      <c r="N14" s="7" t="s">
        <v>168</v>
      </c>
      <c r="O14" s="78"/>
      <c r="P14" s="7" t="s">
        <v>179</v>
      </c>
      <c r="Q14" s="7" t="s">
        <v>79</v>
      </c>
      <c r="R14" s="8">
        <f t="shared" si="1"/>
        <v>0.375</v>
      </c>
      <c r="S14" s="8">
        <f t="shared" si="1"/>
        <v>6.875</v>
      </c>
      <c r="T14" s="8">
        <f t="shared" si="1"/>
        <v>5.625</v>
      </c>
      <c r="U14" s="59">
        <f t="shared" si="9"/>
        <v>12.875</v>
      </c>
      <c r="V14" s="60">
        <f t="shared" si="7"/>
        <v>0.64375000000000004</v>
      </c>
      <c r="W14" s="77"/>
    </row>
    <row r="15" spans="1:23">
      <c r="A15" s="5"/>
      <c r="B15" s="6"/>
      <c r="D15" s="6" t="s">
        <v>213</v>
      </c>
      <c r="E15" s="6"/>
      <c r="F15" s="73">
        <v>45754</v>
      </c>
      <c r="G15" s="73">
        <v>45838</v>
      </c>
      <c r="H15" s="6"/>
      <c r="I15" s="6"/>
      <c r="J15" s="6">
        <f t="shared" si="10"/>
        <v>0</v>
      </c>
      <c r="K15" s="6"/>
      <c r="L15" s="79">
        <f t="shared" si="8"/>
        <v>0</v>
      </c>
      <c r="M15" s="6">
        <f t="shared" si="11"/>
        <v>0</v>
      </c>
      <c r="N15" s="7" t="s">
        <v>168</v>
      </c>
      <c r="O15" s="78"/>
      <c r="P15" s="7" t="s">
        <v>179</v>
      </c>
      <c r="Q15" s="7" t="s">
        <v>79</v>
      </c>
      <c r="R15" s="8">
        <f t="shared" si="1"/>
        <v>0.375</v>
      </c>
      <c r="S15" s="8">
        <f t="shared" si="1"/>
        <v>6.875</v>
      </c>
      <c r="T15" s="8">
        <f t="shared" si="1"/>
        <v>5.625</v>
      </c>
      <c r="U15" s="59">
        <f t="shared" si="9"/>
        <v>12.875</v>
      </c>
      <c r="V15" s="60">
        <f t="shared" si="7"/>
        <v>0.64375000000000004</v>
      </c>
      <c r="W15" s="77"/>
    </row>
    <row r="16" spans="1:23">
      <c r="A16" s="5"/>
      <c r="B16" s="6"/>
      <c r="D16" s="6" t="s">
        <v>214</v>
      </c>
      <c r="E16" s="6"/>
      <c r="F16" s="73">
        <v>45754</v>
      </c>
      <c r="G16" s="73">
        <v>45838</v>
      </c>
      <c r="H16" s="6"/>
      <c r="I16" s="6"/>
      <c r="J16" s="6">
        <f t="shared" si="10"/>
        <v>0</v>
      </c>
      <c r="K16" s="6"/>
      <c r="L16" s="79">
        <f t="shared" si="8"/>
        <v>0</v>
      </c>
      <c r="M16" s="6">
        <f t="shared" si="11"/>
        <v>0</v>
      </c>
      <c r="N16" s="7" t="s">
        <v>168</v>
      </c>
      <c r="O16" s="78"/>
      <c r="P16" s="7" t="s">
        <v>179</v>
      </c>
      <c r="Q16" s="7" t="s">
        <v>79</v>
      </c>
      <c r="R16" s="8">
        <f t="shared" si="1"/>
        <v>0.375</v>
      </c>
      <c r="S16" s="8">
        <f t="shared" si="1"/>
        <v>6.875</v>
      </c>
      <c r="T16" s="8">
        <f t="shared" si="1"/>
        <v>5.625</v>
      </c>
      <c r="U16" s="59">
        <f t="shared" si="9"/>
        <v>12.875</v>
      </c>
      <c r="V16" s="60">
        <f t="shared" si="7"/>
        <v>0.64375000000000004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10"/>
        <v>12</v>
      </c>
      <c r="K17" s="6"/>
      <c r="L17" s="79">
        <f t="shared" si="8"/>
        <v>0</v>
      </c>
      <c r="M17" s="6">
        <f t="shared" si="11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19.5</v>
      </c>
      <c r="T17" s="8">
        <f t="shared" si="1"/>
        <v>15.75</v>
      </c>
      <c r="U17" s="59">
        <f t="shared" si="9"/>
        <v>36.25</v>
      </c>
      <c r="V17" s="60">
        <f t="shared" si="7"/>
        <v>1.8125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10"/>
        <v>0</v>
      </c>
      <c r="K18" s="6">
        <v>0</v>
      </c>
      <c r="L18" s="6">
        <v>0</v>
      </c>
      <c r="M18" s="6">
        <f t="shared" si="11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9"/>
        <v>0</v>
      </c>
      <c r="V18" s="60">
        <f t="shared" si="7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10"/>
        <v>0</v>
      </c>
      <c r="K19" s="6">
        <v>0</v>
      </c>
      <c r="L19" s="6">
        <v>0</v>
      </c>
      <c r="M19" s="6">
        <f t="shared" si="11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9"/>
        <v>0</v>
      </c>
      <c r="V19" s="60">
        <f t="shared" si="7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10"/>
        <v>12</v>
      </c>
      <c r="K20" s="79"/>
      <c r="L20" s="79">
        <f>K20*0.8</f>
        <v>0</v>
      </c>
      <c r="M20" s="6">
        <f t="shared" si="11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19.5</v>
      </c>
      <c r="T20" s="8">
        <f t="shared" si="1"/>
        <v>15.75</v>
      </c>
      <c r="U20" s="59">
        <f t="shared" si="9"/>
        <v>36.25</v>
      </c>
      <c r="V20" s="60">
        <f t="shared" si="7"/>
        <v>1.8125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10"/>
        <v>0</v>
      </c>
      <c r="K21" s="79">
        <v>0</v>
      </c>
      <c r="L21" s="79">
        <v>0</v>
      </c>
      <c r="M21" s="6">
        <f t="shared" si="11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9"/>
        <v>0</v>
      </c>
      <c r="V21" s="60">
        <f t="shared" si="7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10"/>
        <v>0</v>
      </c>
      <c r="K22" s="79">
        <v>0</v>
      </c>
      <c r="L22" s="79">
        <v>0</v>
      </c>
      <c r="M22" s="6">
        <f t="shared" si="11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9"/>
        <v>0</v>
      </c>
      <c r="V22" s="60">
        <f t="shared" si="7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10"/>
        <v>16</v>
      </c>
      <c r="K23" s="79"/>
      <c r="L23" s="79">
        <f t="shared" ref="L23:L26" si="12">K23*0.8</f>
        <v>0</v>
      </c>
      <c r="M23" s="6">
        <f t="shared" si="11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25.375</v>
      </c>
      <c r="T23" s="8">
        <f t="shared" si="1"/>
        <v>20.5</v>
      </c>
      <c r="U23" s="59">
        <f t="shared" si="9"/>
        <v>47.25</v>
      </c>
      <c r="V23" s="60">
        <f t="shared" si="7"/>
        <v>2.3624999999999998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10"/>
        <v>16</v>
      </c>
      <c r="K24" s="79"/>
      <c r="L24" s="79">
        <f t="shared" si="12"/>
        <v>0</v>
      </c>
      <c r="M24" s="6">
        <f t="shared" si="11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25.375</v>
      </c>
      <c r="T24" s="8">
        <f t="shared" si="1"/>
        <v>20.5</v>
      </c>
      <c r="U24" s="59">
        <f t="shared" si="9"/>
        <v>47.25</v>
      </c>
      <c r="V24" s="60">
        <f t="shared" si="7"/>
        <v>2.3624999999999998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10"/>
        <v>27</v>
      </c>
      <c r="K25" s="79"/>
      <c r="L25" s="79">
        <f t="shared" si="12"/>
        <v>0</v>
      </c>
      <c r="M25" s="6">
        <f t="shared" si="11"/>
        <v>0</v>
      </c>
      <c r="N25" s="80" t="s">
        <v>171</v>
      </c>
      <c r="O25" s="58"/>
      <c r="P25" s="88" t="s">
        <v>181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45.675000000000004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36.9</v>
      </c>
      <c r="U25" s="59">
        <f t="shared" si="9"/>
        <v>85.050000000000011</v>
      </c>
      <c r="V25" s="60">
        <f t="shared" si="7"/>
        <v>4.2525000000000004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10"/>
        <v>18</v>
      </c>
      <c r="K26" s="79"/>
      <c r="L26" s="79">
        <f t="shared" si="12"/>
        <v>0</v>
      </c>
      <c r="M26" s="6">
        <f t="shared" si="11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25.375</v>
      </c>
      <c r="T26" s="8">
        <f t="shared" si="1"/>
        <v>20.5</v>
      </c>
      <c r="U26" s="59">
        <f t="shared" si="9"/>
        <v>47.25</v>
      </c>
      <c r="V26" s="60">
        <f t="shared" si="7"/>
        <v>2.3624999999999998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10"/>
        <v>0</v>
      </c>
      <c r="K27" s="79">
        <v>0</v>
      </c>
      <c r="L27" s="79">
        <v>0</v>
      </c>
      <c r="M27" s="6">
        <f t="shared" si="11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9"/>
        <v>0</v>
      </c>
      <c r="V27" s="60">
        <f t="shared" si="7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10"/>
        <v>0</v>
      </c>
      <c r="K28" s="79">
        <v>0</v>
      </c>
      <c r="L28" s="79">
        <v>0</v>
      </c>
      <c r="M28" s="6">
        <f t="shared" si="11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9"/>
        <v>0</v>
      </c>
      <c r="V28" s="60">
        <f t="shared" si="7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10"/>
        <v>27</v>
      </c>
      <c r="K29" s="79"/>
      <c r="L29" s="79">
        <f t="shared" ref="L29:L30" si="13">K29*0.8</f>
        <v>0</v>
      </c>
      <c r="M29" s="6">
        <f t="shared" si="11"/>
        <v>0</v>
      </c>
      <c r="N29" s="80" t="s">
        <v>171</v>
      </c>
      <c r="O29" s="58"/>
      <c r="P29" s="88" t="s">
        <v>181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45.675000000000004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36.9</v>
      </c>
      <c r="U29" s="59">
        <f t="shared" si="9"/>
        <v>85.050000000000011</v>
      </c>
      <c r="V29" s="60">
        <f t="shared" si="7"/>
        <v>4.2525000000000004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10"/>
        <v>6</v>
      </c>
      <c r="K30" s="79"/>
      <c r="L30" s="79">
        <f t="shared" si="13"/>
        <v>0</v>
      </c>
      <c r="M30" s="6">
        <f t="shared" si="11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6.875</v>
      </c>
      <c r="T30" s="8">
        <f t="shared" si="1"/>
        <v>5.625</v>
      </c>
      <c r="U30" s="59">
        <f t="shared" si="9"/>
        <v>12.875</v>
      </c>
      <c r="V30" s="60">
        <f t="shared" si="7"/>
        <v>0.64375000000000004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10"/>
        <v>0</v>
      </c>
      <c r="K31" s="79">
        <v>0</v>
      </c>
      <c r="L31" s="79">
        <v>0</v>
      </c>
      <c r="M31" s="6">
        <f t="shared" si="11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9"/>
        <v>0</v>
      </c>
      <c r="V31" s="60">
        <f t="shared" si="7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10"/>
        <v>0</v>
      </c>
      <c r="K32" s="79">
        <v>0</v>
      </c>
      <c r="L32" s="79">
        <v>0</v>
      </c>
      <c r="M32" s="6">
        <f t="shared" si="11"/>
        <v>0</v>
      </c>
      <c r="N32" s="80" t="s">
        <v>171</v>
      </c>
      <c r="O32" s="58"/>
      <c r="P32" s="7"/>
      <c r="Q32" s="7"/>
      <c r="R32" s="8">
        <f t="shared" ref="R32:T49" si="14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4"/>
        <v>0</v>
      </c>
      <c r="T32" s="8">
        <f t="shared" si="14"/>
        <v>0</v>
      </c>
      <c r="U32" s="59">
        <f t="shared" si="9"/>
        <v>0</v>
      </c>
      <c r="V32" s="60">
        <f t="shared" si="7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10"/>
        <v>12</v>
      </c>
      <c r="K33" s="6"/>
      <c r="L33" s="79">
        <f t="shared" ref="L33:L39" si="15">K33*0.8</f>
        <v>0</v>
      </c>
      <c r="M33" s="6">
        <f t="shared" si="11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4"/>
        <v>1</v>
      </c>
      <c r="S33" s="8">
        <f t="shared" si="14"/>
        <v>19.5</v>
      </c>
      <c r="T33" s="8">
        <f t="shared" si="14"/>
        <v>15.75</v>
      </c>
      <c r="U33" s="59">
        <f t="shared" si="9"/>
        <v>36.25</v>
      </c>
      <c r="V33" s="60">
        <f t="shared" si="7"/>
        <v>1.8125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10"/>
        <v>12</v>
      </c>
      <c r="K34" s="79"/>
      <c r="L34" s="79">
        <f t="shared" si="15"/>
        <v>0</v>
      </c>
      <c r="M34" s="6">
        <f t="shared" si="11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4"/>
        <v>1</v>
      </c>
      <c r="S34" s="8">
        <f t="shared" si="14"/>
        <v>19.5</v>
      </c>
      <c r="T34" s="8">
        <f t="shared" si="14"/>
        <v>15.75</v>
      </c>
      <c r="U34" s="59">
        <f t="shared" si="9"/>
        <v>36.25</v>
      </c>
      <c r="V34" s="60">
        <f t="shared" si="7"/>
        <v>1.8125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10"/>
        <v>12</v>
      </c>
      <c r="K35" s="79"/>
      <c r="L35" s="79">
        <f t="shared" si="15"/>
        <v>0</v>
      </c>
      <c r="M35" s="6">
        <f t="shared" si="11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4"/>
        <v>1</v>
      </c>
      <c r="S35" s="8">
        <f t="shared" si="14"/>
        <v>19.5</v>
      </c>
      <c r="T35" s="8">
        <f t="shared" si="14"/>
        <v>15.75</v>
      </c>
      <c r="U35" s="59">
        <f t="shared" si="9"/>
        <v>36.25</v>
      </c>
      <c r="V35" s="60">
        <f t="shared" si="7"/>
        <v>1.8125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10"/>
        <v>12</v>
      </c>
      <c r="K36" s="79">
        <v>12</v>
      </c>
      <c r="L36" s="79">
        <f t="shared" si="15"/>
        <v>9.6000000000000014</v>
      </c>
      <c r="M36" s="6">
        <f t="shared" si="11"/>
        <v>21.6</v>
      </c>
      <c r="N36" s="80" t="s">
        <v>168</v>
      </c>
      <c r="O36" s="78"/>
      <c r="P36" s="7" t="s">
        <v>81</v>
      </c>
      <c r="Q36" s="7" t="s">
        <v>79</v>
      </c>
      <c r="R36" s="8">
        <f t="shared" si="14"/>
        <v>1</v>
      </c>
      <c r="S36" s="8">
        <f t="shared" si="14"/>
        <v>19.5</v>
      </c>
      <c r="T36" s="8">
        <f t="shared" si="14"/>
        <v>15.75</v>
      </c>
      <c r="U36" s="59">
        <f t="shared" si="9"/>
        <v>36.25</v>
      </c>
      <c r="V36" s="60">
        <f t="shared" si="7"/>
        <v>1.8125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10"/>
        <v>12</v>
      </c>
      <c r="K37" s="79"/>
      <c r="L37" s="79">
        <f t="shared" si="15"/>
        <v>0</v>
      </c>
      <c r="M37" s="6">
        <f t="shared" si="11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4"/>
        <v>1</v>
      </c>
      <c r="S37" s="8">
        <f t="shared" si="14"/>
        <v>19.5</v>
      </c>
      <c r="T37" s="8">
        <f t="shared" si="14"/>
        <v>15.75</v>
      </c>
      <c r="U37" s="59">
        <f t="shared" si="9"/>
        <v>36.25</v>
      </c>
      <c r="V37" s="60">
        <f t="shared" si="7"/>
        <v>1.8125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10"/>
        <v>6</v>
      </c>
      <c r="K38" s="79"/>
      <c r="L38" s="79">
        <f t="shared" si="15"/>
        <v>0</v>
      </c>
      <c r="M38" s="6">
        <f t="shared" si="11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4"/>
        <v>0.375</v>
      </c>
      <c r="S38" s="8">
        <f t="shared" si="14"/>
        <v>6.875</v>
      </c>
      <c r="T38" s="8">
        <f t="shared" si="14"/>
        <v>5.625</v>
      </c>
      <c r="U38" s="59">
        <f t="shared" si="9"/>
        <v>12.875</v>
      </c>
      <c r="V38" s="60">
        <f t="shared" si="7"/>
        <v>0.64375000000000004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10"/>
        <v>27</v>
      </c>
      <c r="K39" s="79"/>
      <c r="L39" s="79">
        <f t="shared" si="15"/>
        <v>0</v>
      </c>
      <c r="M39" s="6">
        <f t="shared" si="11"/>
        <v>0</v>
      </c>
      <c r="N39" s="80" t="s">
        <v>171</v>
      </c>
      <c r="O39" s="78"/>
      <c r="P39" s="88" t="s">
        <v>181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45.675000000000004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36.9</v>
      </c>
      <c r="U39" s="59">
        <f t="shared" si="9"/>
        <v>85.050000000000011</v>
      </c>
      <c r="V39" s="60">
        <f t="shared" si="7"/>
        <v>4.2525000000000004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10"/>
        <v>18</v>
      </c>
      <c r="K40" s="79">
        <v>20</v>
      </c>
      <c r="L40" s="79">
        <f>K40*0.8</f>
        <v>16</v>
      </c>
      <c r="M40" s="6">
        <f t="shared" si="11"/>
        <v>36</v>
      </c>
      <c r="N40" s="80" t="s">
        <v>168</v>
      </c>
      <c r="O40" s="78"/>
      <c r="P40" s="7" t="s">
        <v>91</v>
      </c>
      <c r="Q40" s="7" t="s">
        <v>79</v>
      </c>
      <c r="R40" s="8">
        <f t="shared" si="14"/>
        <v>1.375</v>
      </c>
      <c r="S40" s="8">
        <f t="shared" si="14"/>
        <v>25.375</v>
      </c>
      <c r="T40" s="8">
        <f t="shared" si="14"/>
        <v>20.5</v>
      </c>
      <c r="U40" s="59">
        <f t="shared" si="9"/>
        <v>47.25</v>
      </c>
      <c r="V40" s="60">
        <f t="shared" si="7"/>
        <v>2.3624999999999998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10"/>
        <v>16</v>
      </c>
      <c r="K41" s="79"/>
      <c r="L41" s="79">
        <f t="shared" ref="L41:L43" si="16">K41*0.8</f>
        <v>0</v>
      </c>
      <c r="M41" s="6">
        <f t="shared" si="11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4"/>
        <v>1.375</v>
      </c>
      <c r="S41" s="8">
        <f t="shared" si="14"/>
        <v>25.375</v>
      </c>
      <c r="T41" s="8">
        <f t="shared" si="14"/>
        <v>20.5</v>
      </c>
      <c r="U41" s="59">
        <f t="shared" si="9"/>
        <v>47.25</v>
      </c>
      <c r="V41" s="60">
        <f t="shared" si="7"/>
        <v>2.3624999999999998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10"/>
        <v>12</v>
      </c>
      <c r="K42" s="79">
        <v>12</v>
      </c>
      <c r="L42" s="79">
        <f t="shared" si="16"/>
        <v>9.6000000000000014</v>
      </c>
      <c r="M42" s="6">
        <f t="shared" si="11"/>
        <v>21.6</v>
      </c>
      <c r="N42" s="80" t="s">
        <v>168</v>
      </c>
      <c r="O42" s="78"/>
      <c r="P42" s="7" t="s">
        <v>81</v>
      </c>
      <c r="Q42" s="7" t="s">
        <v>79</v>
      </c>
      <c r="R42" s="8">
        <f t="shared" si="14"/>
        <v>1</v>
      </c>
      <c r="S42" s="8">
        <f t="shared" si="14"/>
        <v>19.5</v>
      </c>
      <c r="T42" s="8">
        <f t="shared" si="14"/>
        <v>15.75</v>
      </c>
      <c r="U42" s="59">
        <f t="shared" si="9"/>
        <v>36.25</v>
      </c>
      <c r="V42" s="60">
        <f t="shared" si="7"/>
        <v>1.8125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10"/>
        <v>12</v>
      </c>
      <c r="K43" s="79">
        <v>20</v>
      </c>
      <c r="L43" s="79">
        <f t="shared" si="16"/>
        <v>16</v>
      </c>
      <c r="M43" s="6">
        <f t="shared" si="11"/>
        <v>36</v>
      </c>
      <c r="N43" s="80" t="s">
        <v>168</v>
      </c>
      <c r="O43" s="78"/>
      <c r="P43" s="7" t="s">
        <v>81</v>
      </c>
      <c r="Q43" s="7" t="s">
        <v>79</v>
      </c>
      <c r="R43" s="8">
        <f t="shared" si="14"/>
        <v>1</v>
      </c>
      <c r="S43" s="8">
        <f t="shared" si="14"/>
        <v>19.5</v>
      </c>
      <c r="T43" s="8">
        <f t="shared" si="14"/>
        <v>15.75</v>
      </c>
      <c r="U43" s="59">
        <f t="shared" si="9"/>
        <v>36.25</v>
      </c>
      <c r="V43" s="60">
        <f t="shared" si="7"/>
        <v>1.8125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10"/>
        <v>0</v>
      </c>
      <c r="K44" s="79">
        <v>0</v>
      </c>
      <c r="L44" s="79">
        <v>0</v>
      </c>
      <c r="M44" s="6">
        <f t="shared" si="11"/>
        <v>0</v>
      </c>
      <c r="N44" s="80"/>
      <c r="O44" s="78"/>
      <c r="P44" s="50"/>
      <c r="Q44" s="7"/>
      <c r="R44" s="8">
        <f t="shared" si="14"/>
        <v>0</v>
      </c>
      <c r="S44" s="8">
        <f t="shared" si="14"/>
        <v>0</v>
      </c>
      <c r="T44" s="8">
        <f t="shared" si="14"/>
        <v>0</v>
      </c>
      <c r="U44" s="59">
        <f t="shared" si="9"/>
        <v>0</v>
      </c>
      <c r="V44" s="60">
        <f t="shared" si="7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10"/>
        <v>16</v>
      </c>
      <c r="K45" s="79">
        <v>32</v>
      </c>
      <c r="L45" s="79">
        <f t="shared" ref="L45:L46" si="17">K45*0.8</f>
        <v>25.6</v>
      </c>
      <c r="M45" s="6">
        <f t="shared" si="11"/>
        <v>57.6</v>
      </c>
      <c r="N45" s="80"/>
      <c r="O45" s="78"/>
      <c r="P45" s="7" t="s">
        <v>91</v>
      </c>
      <c r="Q45" s="7" t="s">
        <v>79</v>
      </c>
      <c r="R45" s="8">
        <f t="shared" si="14"/>
        <v>1.375</v>
      </c>
      <c r="S45" s="8">
        <f t="shared" si="14"/>
        <v>25.375</v>
      </c>
      <c r="T45" s="8">
        <f t="shared" si="14"/>
        <v>20.5</v>
      </c>
      <c r="U45" s="59">
        <f t="shared" si="9"/>
        <v>47.25</v>
      </c>
      <c r="V45" s="60">
        <f t="shared" si="7"/>
        <v>2.3624999999999998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10"/>
        <v>12</v>
      </c>
      <c r="K46" s="79"/>
      <c r="L46" s="79">
        <f t="shared" si="17"/>
        <v>0</v>
      </c>
      <c r="M46" s="6">
        <f t="shared" si="11"/>
        <v>0</v>
      </c>
      <c r="N46" s="80"/>
      <c r="O46" s="78"/>
      <c r="P46" s="7" t="s">
        <v>81</v>
      </c>
      <c r="Q46" s="7" t="s">
        <v>79</v>
      </c>
      <c r="R46" s="8">
        <f t="shared" si="14"/>
        <v>1</v>
      </c>
      <c r="S46" s="8">
        <f t="shared" si="14"/>
        <v>19.5</v>
      </c>
      <c r="T46" s="8">
        <f t="shared" si="14"/>
        <v>15.75</v>
      </c>
      <c r="U46" s="59">
        <f t="shared" si="9"/>
        <v>36.25</v>
      </c>
      <c r="V46" s="60">
        <f t="shared" si="7"/>
        <v>1.8125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10"/>
        <v>0</v>
      </c>
      <c r="K47" s="79">
        <v>0</v>
      </c>
      <c r="L47" s="79">
        <v>0</v>
      </c>
      <c r="M47" s="6">
        <f t="shared" si="11"/>
        <v>0</v>
      </c>
      <c r="N47" s="80"/>
      <c r="O47" s="78"/>
      <c r="P47" s="7"/>
      <c r="Q47" s="7"/>
      <c r="R47" s="8">
        <f t="shared" si="14"/>
        <v>0</v>
      </c>
      <c r="S47" s="8">
        <f t="shared" si="14"/>
        <v>0</v>
      </c>
      <c r="T47" s="8">
        <f t="shared" si="14"/>
        <v>0</v>
      </c>
      <c r="U47" s="59">
        <f t="shared" si="9"/>
        <v>0</v>
      </c>
      <c r="V47" s="60">
        <f t="shared" si="7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10"/>
        <v>12</v>
      </c>
      <c r="K48" s="79">
        <v>16</v>
      </c>
      <c r="L48" s="79">
        <f t="shared" ref="L48:L49" si="18">K48*0.8</f>
        <v>12.8</v>
      </c>
      <c r="M48" s="6">
        <f t="shared" si="11"/>
        <v>28.8</v>
      </c>
      <c r="N48" s="80" t="s">
        <v>172</v>
      </c>
      <c r="O48" s="78"/>
      <c r="P48" s="7" t="s">
        <v>81</v>
      </c>
      <c r="Q48" s="7" t="s">
        <v>79</v>
      </c>
      <c r="R48" s="8">
        <f t="shared" si="14"/>
        <v>1</v>
      </c>
      <c r="S48" s="8">
        <f t="shared" si="14"/>
        <v>19.5</v>
      </c>
      <c r="T48" s="8">
        <f t="shared" si="14"/>
        <v>15.75</v>
      </c>
      <c r="U48" s="59">
        <f>SUM(R48:T48)</f>
        <v>36.25</v>
      </c>
      <c r="V48" s="60">
        <f t="shared" ref="V48" si="19">U48/20</f>
        <v>1.8125</v>
      </c>
      <c r="W48" s="77"/>
    </row>
    <row r="49" spans="1:23" s="52" customFormat="1" ht="18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8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4"/>
        <v>1.375</v>
      </c>
      <c r="S49" s="8">
        <f t="shared" si="14"/>
        <v>25.375</v>
      </c>
      <c r="T49" s="8">
        <f t="shared" si="14"/>
        <v>20.5</v>
      </c>
      <c r="U49" s="59">
        <f>SUM(R49:T49)</f>
        <v>47.25</v>
      </c>
      <c r="V49" s="60">
        <f t="shared" ref="V49" si="20">U49/20</f>
        <v>2.3624999999999998</v>
      </c>
      <c r="W49" s="51"/>
    </row>
    <row r="50" spans="1:23">
      <c r="A50" s="119" t="s">
        <v>82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1"/>
      <c r="R50" s="32">
        <f t="shared" ref="R50:T50" si="21">SUM(R5:R49)</f>
        <v>33.299999999999997</v>
      </c>
      <c r="S50" s="32">
        <f t="shared" si="21"/>
        <v>663.27500000000009</v>
      </c>
      <c r="T50" s="32">
        <f t="shared" si="21"/>
        <v>536.57500000000005</v>
      </c>
      <c r="U50" s="34">
        <f>SUM(R50:T50)</f>
        <v>1233.1500000000001</v>
      </c>
      <c r="V50" s="35"/>
      <c r="W50" s="36"/>
    </row>
    <row r="51" spans="1:23" ht="18.5" thickBot="1">
      <c r="A51" s="122" t="s">
        <v>83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4"/>
      <c r="R51" s="33">
        <f>R50/20</f>
        <v>1.6649999999999998</v>
      </c>
      <c r="S51" s="33">
        <f t="shared" ref="S51:T51" si="22">S50/20</f>
        <v>33.163750000000007</v>
      </c>
      <c r="T51" s="33">
        <f t="shared" si="22"/>
        <v>26.828750000000003</v>
      </c>
      <c r="U51" s="10"/>
      <c r="V51" s="11">
        <f>SUM(R51:T51)</f>
        <v>61.657500000000013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33200000.000000004</v>
      </c>
      <c r="T52" s="62">
        <f>ROUNDUP(T51, 1) * 1000000</f>
        <v>26900000.000000004</v>
      </c>
      <c r="U52" s="63"/>
      <c r="V52" s="64">
        <f>SUM(R52:T52)</f>
        <v>61800000.000000015</v>
      </c>
      <c r="W52" s="99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6.6999999999999993</v>
      </c>
      <c r="T53" s="65">
        <f>ROUNDUP(SUM(T51)*0.2,1)</f>
        <v>5.3999999999999995</v>
      </c>
      <c r="U53" s="63"/>
      <c r="V53" s="100">
        <f>SUM(R53:T53)</f>
        <v>12.5</v>
      </c>
      <c r="W53" s="5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3">S53 * 1400000</f>
        <v>9379999.9999999981</v>
      </c>
      <c r="T54" s="62">
        <f t="shared" si="23"/>
        <v>7559999.9999999991</v>
      </c>
      <c r="U54" s="63"/>
      <c r="V54" s="101">
        <f>SUM(R54:T54)</f>
        <v>17499999.999999996</v>
      </c>
      <c r="W54" s="57"/>
    </row>
    <row r="55" spans="1:23" ht="18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4">S52 + S54</f>
        <v>42580000</v>
      </c>
      <c r="T55" s="69">
        <f t="shared" si="24"/>
        <v>34460000</v>
      </c>
      <c r="U55" s="70"/>
      <c r="V55" s="71">
        <f>SUM(R55:T55)</f>
        <v>79300000</v>
      </c>
      <c r="W55" s="102"/>
    </row>
    <row r="56" spans="1:23" ht="18.5" thickBot="1">
      <c r="A56" s="125" t="s">
        <v>88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38"/>
      <c r="S56" s="38"/>
      <c r="T56" s="38"/>
      <c r="U56" s="39">
        <f>SUM(U50:U55)</f>
        <v>1233.1500000000001</v>
      </c>
      <c r="V56" s="40">
        <f>V51+V53</f>
        <v>74.157500000000013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A4:Q4"/>
    <mergeCell ref="K2:L2"/>
    <mergeCell ref="A50:Q50"/>
    <mergeCell ref="A51:Q51"/>
    <mergeCell ref="A56:Q56"/>
    <mergeCell ref="A2:A3"/>
    <mergeCell ref="B2:B3"/>
    <mergeCell ref="W2:W3"/>
    <mergeCell ref="C2:E2"/>
    <mergeCell ref="R2:T2"/>
    <mergeCell ref="U2:U3"/>
    <mergeCell ref="V2:V3"/>
    <mergeCell ref="O2:O3"/>
    <mergeCell ref="Q2:Q3"/>
    <mergeCell ref="P2:P3"/>
    <mergeCell ref="N2:N3"/>
    <mergeCell ref="H2:I2"/>
    <mergeCell ref="F2:G2"/>
  </mergeCells>
  <phoneticPr fontId="3"/>
  <conditionalFormatting sqref="A6:D9">
    <cfRule type="expression" dxfId="8" priority="1">
      <formula>$Q6="削除"</formula>
    </cfRule>
  </conditionalFormatting>
  <conditionalFormatting sqref="A5:W5 E6:W8 E9:J9 K9:W49 A10:J48 A49:C49 E49:J49">
    <cfRule type="expression" dxfId="7" priority="4">
      <formula>$Q5="削除"</formula>
    </cfRule>
  </conditionalFormatting>
  <conditionalFormatting sqref="D49">
    <cfRule type="expression" dxfId="6" priority="9">
      <formula>#REF!="削除"</formula>
    </cfRule>
  </conditionalFormatting>
  <dataValidations count="1">
    <dataValidation type="list" allowBlank="1" showInputMessage="1" showErrorMessage="1" sqref="Q5:Q49" xr:uid="{00000000-0002-0000-0000-000000000000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F65-1984-44DF-92B6-491F84835B77}">
  <dimension ref="A2:V28"/>
  <sheetViews>
    <sheetView topLeftCell="P1" workbookViewId="0">
      <selection activeCell="V14" sqref="V14"/>
    </sheetView>
  </sheetViews>
  <sheetFormatPr defaultRowHeight="18"/>
  <cols>
    <col min="1" max="1" width="8.6640625" hidden="1" customWidth="1"/>
    <col min="2" max="15" width="0" hidden="1" customWidth="1"/>
    <col min="18" max="21" width="11.1640625" bestFit="1" customWidth="1"/>
  </cols>
  <sheetData>
    <row r="2" spans="1:22" ht="36">
      <c r="R2" s="98" t="s">
        <v>201</v>
      </c>
      <c r="S2" s="94" t="s">
        <v>188</v>
      </c>
      <c r="T2" s="96" t="s">
        <v>183</v>
      </c>
      <c r="U2" s="95" t="s">
        <v>184</v>
      </c>
    </row>
    <row r="3" spans="1:22" ht="18.5" thickBot="1">
      <c r="A3" s="122" t="s">
        <v>83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4"/>
      <c r="R3" s="33">
        <v>19.7</v>
      </c>
      <c r="S3" s="33">
        <f>R3*2</f>
        <v>39.4</v>
      </c>
      <c r="T3" s="33">
        <f>R3*2.5</f>
        <v>49.25</v>
      </c>
      <c r="U3" s="33">
        <f>R3*3</f>
        <v>59.099999999999994</v>
      </c>
    </row>
    <row r="4" spans="1:22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 t="s">
        <v>84</v>
      </c>
      <c r="R4" s="62">
        <f>ROUNDUP(R3, 1) * 1200000</f>
        <v>23640000</v>
      </c>
      <c r="S4" s="62">
        <f>ROUNDUP(S3, 1) * 1200000</f>
        <v>47280000</v>
      </c>
      <c r="T4" s="62">
        <f>ROUNDUP(T3, 1) * 1200000</f>
        <v>59160000.000000007</v>
      </c>
      <c r="U4" s="62">
        <f t="shared" ref="U4" si="0">ROUNDUP(U3, 1) * 1200000</f>
        <v>70920000</v>
      </c>
    </row>
    <row r="5" spans="1:22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 t="s">
        <v>85</v>
      </c>
      <c r="R5" s="65">
        <f>ROUNDUP(SUM(R3:R3)*0.2,1)</f>
        <v>4</v>
      </c>
      <c r="S5" s="65">
        <f>ROUNDUP(SUM(S3:S3)*0.2,1)</f>
        <v>7.8999999999999995</v>
      </c>
      <c r="T5" s="65">
        <f>ROUNDUP(SUM(T3:T3)*0.2,1)</f>
        <v>9.9</v>
      </c>
      <c r="U5" s="65">
        <f>ROUNDUP(SUM(U3)*0.2,1)</f>
        <v>11.9</v>
      </c>
    </row>
    <row r="6" spans="1:22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 t="s">
        <v>86</v>
      </c>
      <c r="R6" s="62">
        <f>R5 * 1400000</f>
        <v>5600000</v>
      </c>
      <c r="S6" s="62">
        <f>S5 * 1400000</f>
        <v>11060000</v>
      </c>
      <c r="T6" s="62">
        <f>T5 * 1400000</f>
        <v>13860000</v>
      </c>
      <c r="U6" s="62">
        <f t="shared" ref="U6" si="1">U5 * 1400000</f>
        <v>16660000</v>
      </c>
    </row>
    <row r="7" spans="1:22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61" t="s">
        <v>87</v>
      </c>
      <c r="R7" s="69">
        <f>R4 + R6</f>
        <v>29240000</v>
      </c>
      <c r="S7" s="69">
        <f>S4 + S6</f>
        <v>58340000</v>
      </c>
      <c r="T7" s="69">
        <f>T4 + T6</f>
        <v>73020000</v>
      </c>
      <c r="U7" s="69">
        <f t="shared" ref="U7" si="2">U4 + U6</f>
        <v>87580000</v>
      </c>
    </row>
    <row r="10" spans="1:22">
      <c r="P10" t="s">
        <v>218</v>
      </c>
    </row>
    <row r="11" spans="1:22">
      <c r="P11" s="92"/>
      <c r="Q11" s="92" t="s">
        <v>185</v>
      </c>
      <c r="R11" s="92" t="s">
        <v>2</v>
      </c>
      <c r="S11" s="92" t="s">
        <v>3</v>
      </c>
      <c r="T11" s="92" t="s">
        <v>4</v>
      </c>
      <c r="U11" s="92" t="s">
        <v>87</v>
      </c>
    </row>
    <row r="12" spans="1:22">
      <c r="P12" s="93" t="s">
        <v>186</v>
      </c>
      <c r="Q12" s="91">
        <v>0.5</v>
      </c>
      <c r="R12" s="91">
        <v>0.5</v>
      </c>
      <c r="S12" s="91">
        <v>0.5</v>
      </c>
      <c r="T12" s="91">
        <v>0.5</v>
      </c>
      <c r="U12" s="91">
        <f>SUM(Q12:T12)</f>
        <v>2</v>
      </c>
      <c r="V12">
        <f>SUM(U12:U13)</f>
        <v>4</v>
      </c>
    </row>
    <row r="13" spans="1:22">
      <c r="P13" s="93" t="s">
        <v>187</v>
      </c>
      <c r="Q13" s="91">
        <v>0.5</v>
      </c>
      <c r="R13" s="91">
        <v>0.5</v>
      </c>
      <c r="S13" s="91">
        <v>0.5</v>
      </c>
      <c r="T13" s="91">
        <v>0.5</v>
      </c>
      <c r="U13" s="91">
        <f t="shared" ref="U13:U28" si="3">SUM(Q13:T13)</f>
        <v>2</v>
      </c>
    </row>
    <row r="14" spans="1:22">
      <c r="P14" s="93" t="s">
        <v>189</v>
      </c>
      <c r="Q14" s="91">
        <v>1</v>
      </c>
      <c r="R14" s="91">
        <v>1</v>
      </c>
      <c r="S14" s="91">
        <v>1</v>
      </c>
      <c r="T14" s="91">
        <v>1</v>
      </c>
      <c r="U14" s="91">
        <f t="shared" si="3"/>
        <v>4</v>
      </c>
      <c r="V14">
        <f>SUM(U14:U28)</f>
        <v>60</v>
      </c>
    </row>
    <row r="15" spans="1:22">
      <c r="P15" s="93" t="s">
        <v>190</v>
      </c>
      <c r="Q15" s="91">
        <v>1</v>
      </c>
      <c r="R15" s="91">
        <v>1</v>
      </c>
      <c r="S15" s="91">
        <v>1</v>
      </c>
      <c r="T15" s="91">
        <v>1</v>
      </c>
      <c r="U15" s="91">
        <f t="shared" si="3"/>
        <v>4</v>
      </c>
    </row>
    <row r="16" spans="1:22">
      <c r="P16" s="93" t="s">
        <v>191</v>
      </c>
      <c r="Q16" s="91">
        <v>1</v>
      </c>
      <c r="R16" s="91">
        <v>1</v>
      </c>
      <c r="S16" s="91">
        <v>1</v>
      </c>
      <c r="T16" s="91">
        <v>1</v>
      </c>
      <c r="U16" s="91">
        <f t="shared" si="3"/>
        <v>4</v>
      </c>
    </row>
    <row r="17" spans="16:21">
      <c r="P17" s="93" t="s">
        <v>192</v>
      </c>
      <c r="Q17" s="91">
        <v>1</v>
      </c>
      <c r="R17" s="91">
        <v>1</v>
      </c>
      <c r="S17" s="91">
        <v>1</v>
      </c>
      <c r="T17" s="91">
        <v>1</v>
      </c>
      <c r="U17" s="91">
        <f t="shared" si="3"/>
        <v>4</v>
      </c>
    </row>
    <row r="18" spans="16:21">
      <c r="P18" s="93" t="s">
        <v>193</v>
      </c>
      <c r="Q18" s="91">
        <v>1</v>
      </c>
      <c r="R18" s="91">
        <v>1</v>
      </c>
      <c r="S18" s="91">
        <v>1</v>
      </c>
      <c r="T18" s="91">
        <v>1</v>
      </c>
      <c r="U18" s="91">
        <f t="shared" si="3"/>
        <v>4</v>
      </c>
    </row>
    <row r="19" spans="16:21">
      <c r="P19" s="93" t="s">
        <v>194</v>
      </c>
      <c r="Q19" s="91">
        <v>1</v>
      </c>
      <c r="R19" s="91">
        <v>1</v>
      </c>
      <c r="S19" s="91">
        <v>1</v>
      </c>
      <c r="T19" s="91">
        <v>1</v>
      </c>
      <c r="U19" s="91">
        <f t="shared" si="3"/>
        <v>4</v>
      </c>
    </row>
    <row r="20" spans="16:21">
      <c r="P20" s="93" t="s">
        <v>195</v>
      </c>
      <c r="Q20" s="91">
        <v>1</v>
      </c>
      <c r="R20" s="91">
        <v>1</v>
      </c>
      <c r="S20" s="91">
        <v>1</v>
      </c>
      <c r="T20" s="91">
        <v>1</v>
      </c>
      <c r="U20" s="91">
        <f t="shared" si="3"/>
        <v>4</v>
      </c>
    </row>
    <row r="21" spans="16:21">
      <c r="P21" s="93" t="s">
        <v>196</v>
      </c>
      <c r="Q21" s="91">
        <v>1</v>
      </c>
      <c r="R21" s="91">
        <v>1</v>
      </c>
      <c r="S21" s="91">
        <v>1</v>
      </c>
      <c r="T21" s="91">
        <v>1</v>
      </c>
      <c r="U21" s="91">
        <f t="shared" si="3"/>
        <v>4</v>
      </c>
    </row>
    <row r="22" spans="16:21">
      <c r="P22" s="93" t="s">
        <v>197</v>
      </c>
      <c r="Q22" s="91">
        <v>1</v>
      </c>
      <c r="R22" s="91">
        <v>1</v>
      </c>
      <c r="S22" s="91">
        <v>1</v>
      </c>
      <c r="T22" s="91">
        <v>1</v>
      </c>
      <c r="U22" s="91">
        <f t="shared" si="3"/>
        <v>4</v>
      </c>
    </row>
    <row r="23" spans="16:21">
      <c r="P23" s="93" t="s">
        <v>198</v>
      </c>
      <c r="Q23" s="91">
        <v>1</v>
      </c>
      <c r="R23" s="91">
        <v>1</v>
      </c>
      <c r="S23" s="91">
        <v>1</v>
      </c>
      <c r="T23" s="91">
        <v>1</v>
      </c>
      <c r="U23" s="91">
        <f t="shared" si="3"/>
        <v>4</v>
      </c>
    </row>
    <row r="24" spans="16:21">
      <c r="P24" s="93" t="s">
        <v>199</v>
      </c>
      <c r="Q24" s="91">
        <v>1</v>
      </c>
      <c r="R24" s="91">
        <v>1</v>
      </c>
      <c r="S24" s="91">
        <v>1</v>
      </c>
      <c r="T24" s="91">
        <v>1</v>
      </c>
      <c r="U24" s="91">
        <f t="shared" si="3"/>
        <v>4</v>
      </c>
    </row>
    <row r="25" spans="16:21">
      <c r="P25" s="93" t="s">
        <v>200</v>
      </c>
      <c r="Q25" s="91">
        <v>1</v>
      </c>
      <c r="R25" s="91">
        <v>1</v>
      </c>
      <c r="S25" s="91">
        <v>1</v>
      </c>
      <c r="T25" s="91">
        <v>1</v>
      </c>
      <c r="U25" s="91">
        <f t="shared" si="3"/>
        <v>4</v>
      </c>
    </row>
    <row r="26" spans="16:21">
      <c r="P26" s="93" t="s">
        <v>202</v>
      </c>
      <c r="Q26" s="91">
        <v>1</v>
      </c>
      <c r="R26" s="91">
        <v>1</v>
      </c>
      <c r="S26" s="91">
        <v>1</v>
      </c>
      <c r="T26" s="91">
        <v>1</v>
      </c>
      <c r="U26" s="91">
        <f t="shared" si="3"/>
        <v>4</v>
      </c>
    </row>
    <row r="27" spans="16:21">
      <c r="P27" s="93" t="s">
        <v>203</v>
      </c>
      <c r="Q27" s="91">
        <v>1</v>
      </c>
      <c r="R27" s="91">
        <v>1</v>
      </c>
      <c r="S27" s="91">
        <v>1</v>
      </c>
      <c r="T27" s="91">
        <v>1</v>
      </c>
      <c r="U27" s="91">
        <f t="shared" si="3"/>
        <v>4</v>
      </c>
    </row>
    <row r="28" spans="16:21">
      <c r="P28" s="93" t="s">
        <v>204</v>
      </c>
      <c r="Q28" s="91">
        <v>1</v>
      </c>
      <c r="R28" s="91">
        <v>1</v>
      </c>
      <c r="S28" s="91">
        <v>1</v>
      </c>
      <c r="T28" s="91">
        <v>1</v>
      </c>
      <c r="U28" s="91">
        <f t="shared" si="3"/>
        <v>4</v>
      </c>
    </row>
  </sheetData>
  <mergeCells count="1">
    <mergeCell ref="A3:Q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58C0-DDE9-4D4C-9767-D5625173A5B0}">
  <sheetPr>
    <pageSetUpPr fitToPage="1"/>
  </sheetPr>
  <dimension ref="A1:W56"/>
  <sheetViews>
    <sheetView view="pageBreakPreview" topLeftCell="E30" zoomScale="70" zoomScaleNormal="100" zoomScaleSheetLayoutView="70" workbookViewId="0">
      <selection activeCell="T52" sqref="T52"/>
    </sheetView>
  </sheetViews>
  <sheetFormatPr defaultRowHeight="18"/>
  <cols>
    <col min="1" max="1" width="3.83203125" bestFit="1" customWidth="1"/>
    <col min="2" max="2" width="28.58203125" customWidth="1"/>
    <col min="3" max="3" width="18.75" customWidth="1"/>
    <col min="4" max="4" width="35.75" bestFit="1" customWidth="1"/>
    <col min="5" max="5" width="5.33203125" customWidth="1"/>
    <col min="6" max="9" width="10.58203125" bestFit="1" customWidth="1"/>
    <col min="10" max="10" width="8.9140625" customWidth="1"/>
    <col min="11" max="11" width="10.5" customWidth="1"/>
    <col min="12" max="12" width="10.58203125" bestFit="1" customWidth="1"/>
    <col min="13" max="13" width="8.9140625" customWidth="1"/>
    <col min="14" max="14" width="7.75" customWidth="1"/>
    <col min="15" max="15" width="19.3320312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58203125" bestFit="1" customWidth="1"/>
    <col min="23" max="23" width="43.75" customWidth="1"/>
  </cols>
  <sheetData>
    <row r="1" spans="1:23" ht="18.5" thickBot="1"/>
    <row r="2" spans="1:23">
      <c r="A2" s="128" t="s">
        <v>53</v>
      </c>
      <c r="B2" s="106" t="s">
        <v>54</v>
      </c>
      <c r="C2" s="104" t="s">
        <v>55</v>
      </c>
      <c r="D2" s="105"/>
      <c r="E2" s="103"/>
      <c r="F2" s="104" t="s">
        <v>173</v>
      </c>
      <c r="G2" s="103"/>
      <c r="H2" s="104" t="s">
        <v>163</v>
      </c>
      <c r="I2" s="103"/>
      <c r="J2" s="74"/>
      <c r="K2" s="117" t="s">
        <v>182</v>
      </c>
      <c r="L2" s="118"/>
      <c r="M2" s="23"/>
      <c r="N2" s="106" t="s">
        <v>56</v>
      </c>
      <c r="O2" s="111" t="s">
        <v>57</v>
      </c>
      <c r="P2" s="106" t="s">
        <v>58</v>
      </c>
      <c r="Q2" s="113" t="s">
        <v>59</v>
      </c>
      <c r="R2" s="106" t="s">
        <v>60</v>
      </c>
      <c r="S2" s="106"/>
      <c r="T2" s="106"/>
      <c r="U2" s="107" t="s">
        <v>61</v>
      </c>
      <c r="V2" s="109" t="s">
        <v>62</v>
      </c>
      <c r="W2" s="103" t="s">
        <v>63</v>
      </c>
    </row>
    <row r="3" spans="1:23" ht="25">
      <c r="A3" s="128"/>
      <c r="B3" s="106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06"/>
      <c r="O3" s="112"/>
      <c r="P3" s="106"/>
      <c r="Q3" s="113"/>
      <c r="R3" s="72" t="s">
        <v>176</v>
      </c>
      <c r="S3" s="1" t="s">
        <v>69</v>
      </c>
      <c r="T3" s="1" t="s">
        <v>70</v>
      </c>
      <c r="U3" s="108"/>
      <c r="V3" s="110"/>
      <c r="W3" s="103"/>
    </row>
    <row r="4" spans="1:23">
      <c r="A4" s="114" t="s">
        <v>73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6"/>
      <c r="R4" s="90">
        <v>0.5</v>
      </c>
      <c r="S4" s="90">
        <f>1.5*1.2*積算基準!F58</f>
        <v>5.85</v>
      </c>
      <c r="T4" s="90">
        <f>1.5*1.2*積算基準!G58</f>
        <v>4.7249999999999996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97"/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4.125</v>
      </c>
      <c r="T5" s="84">
        <f t="shared" si="1"/>
        <v>3.375</v>
      </c>
      <c r="U5" s="85">
        <f>SUM(R5:T5)</f>
        <v>7.5</v>
      </c>
      <c r="V5" s="86">
        <f>U5/20</f>
        <v>0.375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80</v>
      </c>
      <c r="Q6" s="7" t="s">
        <v>79</v>
      </c>
      <c r="R6" s="89"/>
      <c r="S6" s="8">
        <f t="shared" si="1"/>
        <v>4.125</v>
      </c>
      <c r="T6" s="8">
        <f t="shared" si="1"/>
        <v>3.375</v>
      </c>
      <c r="U6" s="59">
        <f t="shared" ref="U6:U47" si="2">SUM(R6:T6)</f>
        <v>7.5</v>
      </c>
      <c r="V6" s="60">
        <f t="shared" ref="V6:V49" si="3">U6/20</f>
        <v>0.375</v>
      </c>
      <c r="W6" s="77"/>
    </row>
    <row r="7" spans="1:23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80</v>
      </c>
      <c r="Q7" s="7" t="s">
        <v>79</v>
      </c>
      <c r="R7" s="89"/>
      <c r="S7" s="8">
        <f t="shared" si="1"/>
        <v>4.125</v>
      </c>
      <c r="T7" s="8">
        <f t="shared" si="1"/>
        <v>3.375</v>
      </c>
      <c r="U7" s="59">
        <f t="shared" si="2"/>
        <v>7.5</v>
      </c>
      <c r="V7" s="60">
        <f t="shared" si="3"/>
        <v>0.375</v>
      </c>
      <c r="W7" s="77"/>
    </row>
    <row r="8" spans="1:23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80</v>
      </c>
      <c r="Q8" s="7" t="s">
        <v>79</v>
      </c>
      <c r="R8" s="89"/>
      <c r="S8" s="8">
        <f t="shared" si="1"/>
        <v>4.125</v>
      </c>
      <c r="T8" s="8">
        <f t="shared" si="1"/>
        <v>3.375</v>
      </c>
      <c r="U8" s="59">
        <f t="shared" si="2"/>
        <v>7.5</v>
      </c>
      <c r="V8" s="60">
        <f t="shared" si="3"/>
        <v>0.375</v>
      </c>
      <c r="W8" s="77"/>
    </row>
    <row r="9" spans="1:23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80</v>
      </c>
      <c r="Q9" s="7" t="s">
        <v>79</v>
      </c>
      <c r="R9" s="89"/>
      <c r="S9" s="8">
        <f t="shared" si="1"/>
        <v>4.125</v>
      </c>
      <c r="T9" s="8">
        <f t="shared" si="1"/>
        <v>3.375</v>
      </c>
      <c r="U9" s="59">
        <f t="shared" si="2"/>
        <v>7.5</v>
      </c>
      <c r="V9" s="60">
        <f t="shared" si="3"/>
        <v>0.375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4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11.75</v>
      </c>
      <c r="T10" s="8">
        <f t="shared" si="1"/>
        <v>9.5</v>
      </c>
      <c r="U10" s="59">
        <f t="shared" si="2"/>
        <v>22.25</v>
      </c>
      <c r="V10" s="60">
        <f t="shared" si="3"/>
        <v>1.1125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5">SUM(H11:I11)</f>
        <v>12</v>
      </c>
      <c r="K11" s="6"/>
      <c r="L11" s="79">
        <f t="shared" si="4"/>
        <v>0</v>
      </c>
      <c r="M11" s="6">
        <f t="shared" ref="M11:M48" si="6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11.75</v>
      </c>
      <c r="T11" s="8">
        <f t="shared" si="1"/>
        <v>9.5</v>
      </c>
      <c r="U11" s="59">
        <f t="shared" si="2"/>
        <v>22.25</v>
      </c>
      <c r="V11" s="60">
        <f t="shared" si="3"/>
        <v>1.1125</v>
      </c>
      <c r="W11" s="77"/>
    </row>
    <row r="12" spans="1:23">
      <c r="A12" s="5"/>
      <c r="B12" s="6"/>
      <c r="D12" s="6" t="s">
        <v>210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5"/>
        <v>27</v>
      </c>
      <c r="K12" s="6"/>
      <c r="L12" s="79">
        <f t="shared" si="4"/>
        <v>0</v>
      </c>
      <c r="M12" s="6">
        <f t="shared" si="6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11.75</v>
      </c>
      <c r="T12" s="8">
        <f t="shared" si="1"/>
        <v>9.5</v>
      </c>
      <c r="U12" s="59">
        <f t="shared" si="2"/>
        <v>22.25</v>
      </c>
      <c r="V12" s="60">
        <f t="shared" si="3"/>
        <v>1.1125</v>
      </c>
      <c r="W12" s="77"/>
    </row>
    <row r="13" spans="1:23">
      <c r="A13" s="5"/>
      <c r="B13" s="6"/>
      <c r="D13" s="6" t="s">
        <v>211</v>
      </c>
      <c r="E13" s="6"/>
      <c r="F13" s="73">
        <v>45754</v>
      </c>
      <c r="G13" s="73">
        <v>45838</v>
      </c>
      <c r="H13" s="6"/>
      <c r="I13" s="6"/>
      <c r="J13" s="6">
        <f t="shared" si="5"/>
        <v>0</v>
      </c>
      <c r="K13" s="6"/>
      <c r="L13" s="79">
        <f t="shared" si="4"/>
        <v>0</v>
      </c>
      <c r="M13" s="6">
        <f t="shared" si="6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4.125</v>
      </c>
      <c r="T13" s="8">
        <f t="shared" si="1"/>
        <v>3.375</v>
      </c>
      <c r="U13" s="59">
        <f t="shared" si="2"/>
        <v>7.875</v>
      </c>
      <c r="V13" s="60">
        <f t="shared" si="3"/>
        <v>0.39374999999999999</v>
      </c>
      <c r="W13" s="77"/>
    </row>
    <row r="14" spans="1:23">
      <c r="A14" s="5"/>
      <c r="B14" s="6"/>
      <c r="D14" s="6" t="s">
        <v>212</v>
      </c>
      <c r="E14" s="6"/>
      <c r="F14" s="73">
        <v>45754</v>
      </c>
      <c r="G14" s="73">
        <v>45838</v>
      </c>
      <c r="H14" s="6"/>
      <c r="I14" s="6"/>
      <c r="J14" s="6">
        <f t="shared" si="5"/>
        <v>0</v>
      </c>
      <c r="K14" s="6"/>
      <c r="L14" s="79">
        <f t="shared" si="4"/>
        <v>0</v>
      </c>
      <c r="M14" s="6">
        <f t="shared" si="6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4.125</v>
      </c>
      <c r="T14" s="8">
        <f t="shared" si="1"/>
        <v>3.375</v>
      </c>
      <c r="U14" s="59">
        <f t="shared" si="2"/>
        <v>7.875</v>
      </c>
      <c r="V14" s="60">
        <f t="shared" si="3"/>
        <v>0.39374999999999999</v>
      </c>
      <c r="W14" s="77"/>
    </row>
    <row r="15" spans="1:23">
      <c r="A15" s="5"/>
      <c r="B15" s="6"/>
      <c r="D15" s="6" t="s">
        <v>213</v>
      </c>
      <c r="E15" s="6"/>
      <c r="F15" s="73">
        <v>45754</v>
      </c>
      <c r="G15" s="73">
        <v>45838</v>
      </c>
      <c r="H15" s="6"/>
      <c r="I15" s="6"/>
      <c r="J15" s="6">
        <f t="shared" si="5"/>
        <v>0</v>
      </c>
      <c r="K15" s="6"/>
      <c r="L15" s="79">
        <f t="shared" si="4"/>
        <v>0</v>
      </c>
      <c r="M15" s="6">
        <f t="shared" si="6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4.125</v>
      </c>
      <c r="T15" s="8">
        <f t="shared" si="1"/>
        <v>3.375</v>
      </c>
      <c r="U15" s="59">
        <f t="shared" si="2"/>
        <v>7.875</v>
      </c>
      <c r="V15" s="60">
        <f t="shared" si="3"/>
        <v>0.39374999999999999</v>
      </c>
      <c r="W15" s="77"/>
    </row>
    <row r="16" spans="1:23">
      <c r="A16" s="5"/>
      <c r="B16" s="6"/>
      <c r="D16" s="6" t="s">
        <v>214</v>
      </c>
      <c r="E16" s="6"/>
      <c r="F16" s="73">
        <v>45754</v>
      </c>
      <c r="G16" s="73">
        <v>45838</v>
      </c>
      <c r="H16" s="6"/>
      <c r="I16" s="6"/>
      <c r="J16" s="6">
        <f t="shared" si="5"/>
        <v>0</v>
      </c>
      <c r="K16" s="6"/>
      <c r="L16" s="79">
        <f t="shared" si="4"/>
        <v>0</v>
      </c>
      <c r="M16" s="6">
        <f t="shared" si="6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4.125</v>
      </c>
      <c r="T16" s="8">
        <f t="shared" si="1"/>
        <v>3.375</v>
      </c>
      <c r="U16" s="59">
        <f t="shared" si="2"/>
        <v>7.875</v>
      </c>
      <c r="V16" s="60">
        <f t="shared" si="3"/>
        <v>0.39374999999999999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5"/>
        <v>12</v>
      </c>
      <c r="K17" s="6"/>
      <c r="L17" s="79">
        <f t="shared" si="4"/>
        <v>0</v>
      </c>
      <c r="M17" s="6">
        <f t="shared" si="6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11.75</v>
      </c>
      <c r="T17" s="8">
        <f t="shared" si="1"/>
        <v>9.5</v>
      </c>
      <c r="U17" s="59">
        <f t="shared" si="2"/>
        <v>22.25</v>
      </c>
      <c r="V17" s="60">
        <f t="shared" si="3"/>
        <v>1.1125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5"/>
        <v>0</v>
      </c>
      <c r="K18" s="6">
        <v>0</v>
      </c>
      <c r="L18" s="6">
        <v>0</v>
      </c>
      <c r="M18" s="6">
        <f t="shared" si="6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2"/>
        <v>0</v>
      </c>
      <c r="V18" s="60">
        <f t="shared" si="3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5"/>
        <v>0</v>
      </c>
      <c r="K19" s="6">
        <v>0</v>
      </c>
      <c r="L19" s="6">
        <v>0</v>
      </c>
      <c r="M19" s="6">
        <f t="shared" si="6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2"/>
        <v>0</v>
      </c>
      <c r="V19" s="60">
        <f t="shared" si="3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5"/>
        <v>12</v>
      </c>
      <c r="K20" s="79"/>
      <c r="L20" s="79">
        <f>K20*0.8</f>
        <v>0</v>
      </c>
      <c r="M20" s="6">
        <f t="shared" si="6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11.75</v>
      </c>
      <c r="T20" s="8">
        <f t="shared" si="1"/>
        <v>9.5</v>
      </c>
      <c r="U20" s="59">
        <f t="shared" si="2"/>
        <v>22.25</v>
      </c>
      <c r="V20" s="60">
        <f t="shared" si="3"/>
        <v>1.1125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5"/>
        <v>0</v>
      </c>
      <c r="K21" s="79">
        <v>0</v>
      </c>
      <c r="L21" s="79">
        <v>0</v>
      </c>
      <c r="M21" s="6">
        <f t="shared" si="6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2"/>
        <v>0</v>
      </c>
      <c r="V21" s="60">
        <f t="shared" si="3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5"/>
        <v>0</v>
      </c>
      <c r="K22" s="79">
        <v>0</v>
      </c>
      <c r="L22" s="79">
        <v>0</v>
      </c>
      <c r="M22" s="6">
        <f t="shared" si="6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2"/>
        <v>0</v>
      </c>
      <c r="V22" s="60">
        <f t="shared" si="3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5"/>
        <v>16</v>
      </c>
      <c r="K23" s="79"/>
      <c r="L23" s="79">
        <f t="shared" ref="L23:L26" si="7">K23*0.8</f>
        <v>0</v>
      </c>
      <c r="M23" s="6">
        <f t="shared" si="6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15.25</v>
      </c>
      <c r="T23" s="8">
        <f t="shared" si="1"/>
        <v>12.375</v>
      </c>
      <c r="U23" s="59">
        <f t="shared" si="2"/>
        <v>29</v>
      </c>
      <c r="V23" s="60">
        <f t="shared" si="3"/>
        <v>1.45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5"/>
        <v>16</v>
      </c>
      <c r="K24" s="79"/>
      <c r="L24" s="79">
        <f t="shared" si="7"/>
        <v>0</v>
      </c>
      <c r="M24" s="6">
        <f t="shared" si="6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15.25</v>
      </c>
      <c r="T24" s="8">
        <f t="shared" si="1"/>
        <v>12.375</v>
      </c>
      <c r="U24" s="59">
        <f t="shared" si="2"/>
        <v>29</v>
      </c>
      <c r="V24" s="60">
        <f t="shared" si="3"/>
        <v>1.45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5"/>
        <v>27</v>
      </c>
      <c r="K25" s="79"/>
      <c r="L25" s="79">
        <f t="shared" si="7"/>
        <v>0</v>
      </c>
      <c r="M25" s="6">
        <f t="shared" si="6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27.45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22.275000000000002</v>
      </c>
      <c r="U25" s="59">
        <f t="shared" si="2"/>
        <v>52.2</v>
      </c>
      <c r="V25" s="60">
        <f t="shared" si="3"/>
        <v>2.6100000000000003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5"/>
        <v>18</v>
      </c>
      <c r="K26" s="79"/>
      <c r="L26" s="79">
        <f t="shared" si="7"/>
        <v>0</v>
      </c>
      <c r="M26" s="6">
        <f t="shared" si="6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15.25</v>
      </c>
      <c r="T26" s="8">
        <f t="shared" si="1"/>
        <v>12.375</v>
      </c>
      <c r="U26" s="59">
        <f t="shared" si="2"/>
        <v>29</v>
      </c>
      <c r="V26" s="60">
        <f t="shared" si="3"/>
        <v>1.45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5"/>
        <v>0</v>
      </c>
      <c r="K27" s="79">
        <v>0</v>
      </c>
      <c r="L27" s="79">
        <v>0</v>
      </c>
      <c r="M27" s="6">
        <f t="shared" si="6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2"/>
        <v>0</v>
      </c>
      <c r="V27" s="60">
        <f t="shared" si="3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5"/>
        <v>0</v>
      </c>
      <c r="K28" s="79">
        <v>0</v>
      </c>
      <c r="L28" s="79">
        <v>0</v>
      </c>
      <c r="M28" s="6">
        <f t="shared" si="6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2"/>
        <v>0</v>
      </c>
      <c r="V28" s="60">
        <f t="shared" si="3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5"/>
        <v>27</v>
      </c>
      <c r="K29" s="79"/>
      <c r="L29" s="79">
        <f t="shared" ref="L29:L30" si="8">K29*0.8</f>
        <v>0</v>
      </c>
      <c r="M29" s="6">
        <f t="shared" si="6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27.45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22.275000000000002</v>
      </c>
      <c r="U29" s="59">
        <f t="shared" si="2"/>
        <v>52.2</v>
      </c>
      <c r="V29" s="60">
        <f t="shared" si="3"/>
        <v>2.6100000000000003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5"/>
        <v>6</v>
      </c>
      <c r="K30" s="79"/>
      <c r="L30" s="79">
        <f t="shared" si="8"/>
        <v>0</v>
      </c>
      <c r="M30" s="6">
        <f t="shared" si="6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4.125</v>
      </c>
      <c r="T30" s="8">
        <f t="shared" si="1"/>
        <v>3.375</v>
      </c>
      <c r="U30" s="59">
        <f t="shared" si="2"/>
        <v>7.875</v>
      </c>
      <c r="V30" s="60">
        <f t="shared" si="3"/>
        <v>0.39374999999999999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5"/>
        <v>0</v>
      </c>
      <c r="K31" s="79">
        <v>0</v>
      </c>
      <c r="L31" s="79">
        <v>0</v>
      </c>
      <c r="M31" s="6">
        <f t="shared" si="6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2"/>
        <v>0</v>
      </c>
      <c r="V31" s="60">
        <f t="shared" si="3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5"/>
        <v>0</v>
      </c>
      <c r="K32" s="79">
        <v>0</v>
      </c>
      <c r="L32" s="79">
        <v>0</v>
      </c>
      <c r="M32" s="6">
        <f t="shared" si="6"/>
        <v>0</v>
      </c>
      <c r="N32" s="80" t="s">
        <v>171</v>
      </c>
      <c r="O32" s="58"/>
      <c r="P32" s="7"/>
      <c r="Q32" s="7"/>
      <c r="R32" s="8">
        <f t="shared" ref="R32:T49" si="9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9"/>
        <v>0</v>
      </c>
      <c r="T32" s="8">
        <f t="shared" si="9"/>
        <v>0</v>
      </c>
      <c r="U32" s="59">
        <f t="shared" si="2"/>
        <v>0</v>
      </c>
      <c r="V32" s="60">
        <f t="shared" si="3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5"/>
        <v>12</v>
      </c>
      <c r="K33" s="6"/>
      <c r="L33" s="79">
        <f t="shared" ref="L33:L39" si="10">K33*0.8</f>
        <v>0</v>
      </c>
      <c r="M33" s="6">
        <f t="shared" si="6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9"/>
        <v>1</v>
      </c>
      <c r="S33" s="8">
        <f t="shared" si="9"/>
        <v>11.75</v>
      </c>
      <c r="T33" s="8">
        <f t="shared" si="9"/>
        <v>9.5</v>
      </c>
      <c r="U33" s="59">
        <f t="shared" si="2"/>
        <v>22.25</v>
      </c>
      <c r="V33" s="60">
        <f t="shared" si="3"/>
        <v>1.1125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5"/>
        <v>12</v>
      </c>
      <c r="K34" s="79"/>
      <c r="L34" s="79">
        <f t="shared" si="10"/>
        <v>0</v>
      </c>
      <c r="M34" s="6">
        <f t="shared" si="6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9"/>
        <v>1</v>
      </c>
      <c r="S34" s="8">
        <f t="shared" si="9"/>
        <v>11.75</v>
      </c>
      <c r="T34" s="8">
        <f t="shared" si="9"/>
        <v>9.5</v>
      </c>
      <c r="U34" s="59">
        <f t="shared" si="2"/>
        <v>22.25</v>
      </c>
      <c r="V34" s="60">
        <f t="shared" si="3"/>
        <v>1.1125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5"/>
        <v>12</v>
      </c>
      <c r="K35" s="79"/>
      <c r="L35" s="79">
        <f t="shared" si="10"/>
        <v>0</v>
      </c>
      <c r="M35" s="6">
        <f t="shared" si="6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9"/>
        <v>1</v>
      </c>
      <c r="S35" s="8">
        <f t="shared" si="9"/>
        <v>11.75</v>
      </c>
      <c r="T35" s="8">
        <f t="shared" si="9"/>
        <v>9.5</v>
      </c>
      <c r="U35" s="59">
        <f t="shared" si="2"/>
        <v>22.25</v>
      </c>
      <c r="V35" s="60">
        <f t="shared" si="3"/>
        <v>1.1125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5"/>
        <v>12</v>
      </c>
      <c r="K36" s="79">
        <v>12</v>
      </c>
      <c r="L36" s="79">
        <f t="shared" si="10"/>
        <v>9.6000000000000014</v>
      </c>
      <c r="M36" s="6">
        <f t="shared" si="6"/>
        <v>21.6</v>
      </c>
      <c r="N36" s="80" t="s">
        <v>168</v>
      </c>
      <c r="O36" s="78"/>
      <c r="P36" s="7" t="s">
        <v>81</v>
      </c>
      <c r="Q36" s="7" t="s">
        <v>79</v>
      </c>
      <c r="R36" s="8">
        <f t="shared" si="9"/>
        <v>1</v>
      </c>
      <c r="S36" s="8">
        <f t="shared" si="9"/>
        <v>11.75</v>
      </c>
      <c r="T36" s="8">
        <f t="shared" si="9"/>
        <v>9.5</v>
      </c>
      <c r="U36" s="59">
        <f t="shared" si="2"/>
        <v>22.25</v>
      </c>
      <c r="V36" s="60">
        <f t="shared" si="3"/>
        <v>1.1125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5"/>
        <v>12</v>
      </c>
      <c r="K37" s="79"/>
      <c r="L37" s="79">
        <f t="shared" si="10"/>
        <v>0</v>
      </c>
      <c r="M37" s="6">
        <f t="shared" si="6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9"/>
        <v>1</v>
      </c>
      <c r="S37" s="8">
        <f t="shared" si="9"/>
        <v>11.75</v>
      </c>
      <c r="T37" s="8">
        <f t="shared" si="9"/>
        <v>9.5</v>
      </c>
      <c r="U37" s="59">
        <f t="shared" si="2"/>
        <v>22.25</v>
      </c>
      <c r="V37" s="60">
        <f t="shared" si="3"/>
        <v>1.1125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5"/>
        <v>6</v>
      </c>
      <c r="K38" s="79"/>
      <c r="L38" s="79">
        <f t="shared" si="10"/>
        <v>0</v>
      </c>
      <c r="M38" s="6">
        <f t="shared" si="6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9"/>
        <v>0.375</v>
      </c>
      <c r="S38" s="8">
        <f t="shared" si="9"/>
        <v>4.125</v>
      </c>
      <c r="T38" s="8">
        <f t="shared" si="9"/>
        <v>3.375</v>
      </c>
      <c r="U38" s="59">
        <f t="shared" si="2"/>
        <v>7.875</v>
      </c>
      <c r="V38" s="60">
        <f t="shared" si="3"/>
        <v>0.39374999999999999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5"/>
        <v>27</v>
      </c>
      <c r="K39" s="79"/>
      <c r="L39" s="79">
        <f t="shared" si="10"/>
        <v>0</v>
      </c>
      <c r="M39" s="6">
        <f t="shared" si="6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27.45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22.275000000000002</v>
      </c>
      <c r="U39" s="59">
        <f t="shared" si="2"/>
        <v>52.2</v>
      </c>
      <c r="V39" s="60">
        <f t="shared" si="3"/>
        <v>2.6100000000000003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5"/>
        <v>18</v>
      </c>
      <c r="K40" s="79">
        <v>20</v>
      </c>
      <c r="L40" s="79">
        <f>K40*0.8</f>
        <v>16</v>
      </c>
      <c r="M40" s="6">
        <f t="shared" si="6"/>
        <v>36</v>
      </c>
      <c r="N40" s="80" t="s">
        <v>168</v>
      </c>
      <c r="O40" s="78"/>
      <c r="P40" s="7" t="s">
        <v>91</v>
      </c>
      <c r="Q40" s="7" t="s">
        <v>79</v>
      </c>
      <c r="R40" s="8">
        <f t="shared" si="9"/>
        <v>1.375</v>
      </c>
      <c r="S40" s="8">
        <f t="shared" si="9"/>
        <v>15.25</v>
      </c>
      <c r="T40" s="8">
        <f t="shared" si="9"/>
        <v>12.375</v>
      </c>
      <c r="U40" s="59">
        <f t="shared" si="2"/>
        <v>29</v>
      </c>
      <c r="V40" s="60">
        <f t="shared" si="3"/>
        <v>1.45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5"/>
        <v>16</v>
      </c>
      <c r="K41" s="79"/>
      <c r="L41" s="79">
        <f t="shared" ref="L41:L43" si="11">K41*0.8</f>
        <v>0</v>
      </c>
      <c r="M41" s="6">
        <f t="shared" si="6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9"/>
        <v>1.375</v>
      </c>
      <c r="S41" s="8">
        <f t="shared" si="9"/>
        <v>15.25</v>
      </c>
      <c r="T41" s="8">
        <f t="shared" si="9"/>
        <v>12.375</v>
      </c>
      <c r="U41" s="59">
        <f t="shared" si="2"/>
        <v>29</v>
      </c>
      <c r="V41" s="60">
        <f t="shared" si="3"/>
        <v>1.45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5"/>
        <v>12</v>
      </c>
      <c r="K42" s="79">
        <v>12</v>
      </c>
      <c r="L42" s="79">
        <f t="shared" si="11"/>
        <v>9.6000000000000014</v>
      </c>
      <c r="M42" s="6">
        <f t="shared" si="6"/>
        <v>21.6</v>
      </c>
      <c r="N42" s="80" t="s">
        <v>168</v>
      </c>
      <c r="O42" s="78"/>
      <c r="P42" s="7" t="s">
        <v>81</v>
      </c>
      <c r="Q42" s="7" t="s">
        <v>79</v>
      </c>
      <c r="R42" s="8">
        <f t="shared" si="9"/>
        <v>1</v>
      </c>
      <c r="S42" s="8">
        <f t="shared" si="9"/>
        <v>11.75</v>
      </c>
      <c r="T42" s="8">
        <f t="shared" si="9"/>
        <v>9.5</v>
      </c>
      <c r="U42" s="59">
        <f t="shared" si="2"/>
        <v>22.25</v>
      </c>
      <c r="V42" s="60">
        <f t="shared" si="3"/>
        <v>1.1125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5"/>
        <v>12</v>
      </c>
      <c r="K43" s="79">
        <v>20</v>
      </c>
      <c r="L43" s="79">
        <f t="shared" si="11"/>
        <v>16</v>
      </c>
      <c r="M43" s="6">
        <f t="shared" si="6"/>
        <v>36</v>
      </c>
      <c r="N43" s="80" t="s">
        <v>168</v>
      </c>
      <c r="O43" s="78"/>
      <c r="P43" s="7" t="s">
        <v>81</v>
      </c>
      <c r="Q43" s="7" t="s">
        <v>79</v>
      </c>
      <c r="R43" s="8">
        <f t="shared" si="9"/>
        <v>1</v>
      </c>
      <c r="S43" s="8">
        <f t="shared" si="9"/>
        <v>11.75</v>
      </c>
      <c r="T43" s="8">
        <f t="shared" si="9"/>
        <v>9.5</v>
      </c>
      <c r="U43" s="59">
        <f t="shared" si="2"/>
        <v>22.25</v>
      </c>
      <c r="V43" s="60">
        <f t="shared" si="3"/>
        <v>1.1125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5"/>
        <v>0</v>
      </c>
      <c r="K44" s="79">
        <v>0</v>
      </c>
      <c r="L44" s="79">
        <v>0</v>
      </c>
      <c r="M44" s="6">
        <f t="shared" si="6"/>
        <v>0</v>
      </c>
      <c r="N44" s="80"/>
      <c r="O44" s="78"/>
      <c r="P44" s="50"/>
      <c r="Q44" s="7"/>
      <c r="R44" s="8">
        <f t="shared" si="9"/>
        <v>0</v>
      </c>
      <c r="S44" s="8">
        <f t="shared" si="9"/>
        <v>0</v>
      </c>
      <c r="T44" s="8">
        <f t="shared" si="9"/>
        <v>0</v>
      </c>
      <c r="U44" s="59">
        <f t="shared" si="2"/>
        <v>0</v>
      </c>
      <c r="V44" s="60">
        <f t="shared" si="3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5"/>
        <v>16</v>
      </c>
      <c r="K45" s="79">
        <v>32</v>
      </c>
      <c r="L45" s="79">
        <f t="shared" ref="L45:L46" si="12">K45*0.8</f>
        <v>25.6</v>
      </c>
      <c r="M45" s="6">
        <f t="shared" si="6"/>
        <v>57.6</v>
      </c>
      <c r="N45" s="80"/>
      <c r="O45" s="78"/>
      <c r="P45" s="7" t="s">
        <v>91</v>
      </c>
      <c r="Q45" s="7" t="s">
        <v>79</v>
      </c>
      <c r="R45" s="8">
        <f t="shared" si="9"/>
        <v>1.375</v>
      </c>
      <c r="S45" s="8">
        <f t="shared" si="9"/>
        <v>15.25</v>
      </c>
      <c r="T45" s="8">
        <f t="shared" si="9"/>
        <v>12.375</v>
      </c>
      <c r="U45" s="59">
        <f t="shared" si="2"/>
        <v>29</v>
      </c>
      <c r="V45" s="60">
        <f t="shared" si="3"/>
        <v>1.45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5"/>
        <v>12</v>
      </c>
      <c r="K46" s="79"/>
      <c r="L46" s="79">
        <f t="shared" si="12"/>
        <v>0</v>
      </c>
      <c r="M46" s="6">
        <f t="shared" si="6"/>
        <v>0</v>
      </c>
      <c r="N46" s="80"/>
      <c r="O46" s="78"/>
      <c r="P46" s="7" t="s">
        <v>81</v>
      </c>
      <c r="Q46" s="7" t="s">
        <v>79</v>
      </c>
      <c r="R46" s="8">
        <f t="shared" si="9"/>
        <v>1</v>
      </c>
      <c r="S46" s="8">
        <f t="shared" si="9"/>
        <v>11.75</v>
      </c>
      <c r="T46" s="8">
        <f t="shared" si="9"/>
        <v>9.5</v>
      </c>
      <c r="U46" s="59">
        <f t="shared" si="2"/>
        <v>22.25</v>
      </c>
      <c r="V46" s="60">
        <f t="shared" si="3"/>
        <v>1.1125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5"/>
        <v>0</v>
      </c>
      <c r="K47" s="79">
        <v>0</v>
      </c>
      <c r="L47" s="79">
        <v>0</v>
      </c>
      <c r="M47" s="6">
        <f t="shared" si="6"/>
        <v>0</v>
      </c>
      <c r="N47" s="80"/>
      <c r="O47" s="78"/>
      <c r="P47" s="7"/>
      <c r="Q47" s="7"/>
      <c r="R47" s="8">
        <f t="shared" si="9"/>
        <v>0</v>
      </c>
      <c r="S47" s="8">
        <f t="shared" si="9"/>
        <v>0</v>
      </c>
      <c r="T47" s="8">
        <f t="shared" si="9"/>
        <v>0</v>
      </c>
      <c r="U47" s="59">
        <f t="shared" si="2"/>
        <v>0</v>
      </c>
      <c r="V47" s="60">
        <f t="shared" si="3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5"/>
        <v>12</v>
      </c>
      <c r="K48" s="79">
        <v>16</v>
      </c>
      <c r="L48" s="79">
        <f t="shared" ref="L48:L49" si="13">K48*0.8</f>
        <v>12.8</v>
      </c>
      <c r="M48" s="6">
        <f t="shared" si="6"/>
        <v>28.8</v>
      </c>
      <c r="N48" s="80" t="s">
        <v>172</v>
      </c>
      <c r="O48" s="78"/>
      <c r="P48" s="7" t="s">
        <v>81</v>
      </c>
      <c r="Q48" s="7" t="s">
        <v>79</v>
      </c>
      <c r="R48" s="8">
        <f t="shared" si="9"/>
        <v>1</v>
      </c>
      <c r="S48" s="8">
        <f t="shared" si="9"/>
        <v>11.75</v>
      </c>
      <c r="T48" s="8">
        <f t="shared" si="9"/>
        <v>9.5</v>
      </c>
      <c r="U48" s="59">
        <f>SUM(R48:T48)</f>
        <v>22.25</v>
      </c>
      <c r="V48" s="60">
        <f t="shared" si="3"/>
        <v>1.1125</v>
      </c>
      <c r="W48" s="77"/>
    </row>
    <row r="49" spans="1:23" s="52" customFormat="1" ht="18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3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9"/>
        <v>1.375</v>
      </c>
      <c r="S49" s="8">
        <f t="shared" si="9"/>
        <v>15.25</v>
      </c>
      <c r="T49" s="8">
        <f t="shared" si="9"/>
        <v>12.375</v>
      </c>
      <c r="U49" s="59">
        <f>SUM(R49:T49)</f>
        <v>29</v>
      </c>
      <c r="V49" s="60">
        <f t="shared" si="3"/>
        <v>1.45</v>
      </c>
      <c r="W49" s="51"/>
    </row>
    <row r="50" spans="1:23">
      <c r="A50" s="119" t="s">
        <v>82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1"/>
      <c r="R50" s="32">
        <f t="shared" ref="R50:T50" si="14">SUM(R5:R49)</f>
        <v>33.299999999999997</v>
      </c>
      <c r="S50" s="32">
        <f t="shared" si="14"/>
        <v>398.97499999999997</v>
      </c>
      <c r="T50" s="32">
        <f t="shared" si="14"/>
        <v>323.57500000000005</v>
      </c>
      <c r="U50" s="34">
        <f>SUM(R50:T50)</f>
        <v>755.85</v>
      </c>
      <c r="V50" s="35"/>
      <c r="W50" s="36"/>
    </row>
    <row r="51" spans="1:23" ht="18.5" thickBot="1">
      <c r="A51" s="122" t="s">
        <v>83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4"/>
      <c r="R51" s="33">
        <f>R50/20</f>
        <v>1.6649999999999998</v>
      </c>
      <c r="S51" s="33">
        <f t="shared" ref="S51:T51" si="15">S50/20</f>
        <v>19.948749999999997</v>
      </c>
      <c r="T51" s="33">
        <f t="shared" si="15"/>
        <v>16.178750000000001</v>
      </c>
      <c r="U51" s="10"/>
      <c r="V51" s="11">
        <f>SUM(R51:T51)</f>
        <v>37.792499999999997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20000000</v>
      </c>
      <c r="T52" s="62">
        <f>ROUNDUP(T51, 1) * 1000000</f>
        <v>16200000.000000004</v>
      </c>
      <c r="U52" s="63"/>
      <c r="V52" s="64">
        <f>SUM(R52:T52)</f>
        <v>37900000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4</v>
      </c>
      <c r="T53" s="65">
        <f>ROUNDUP(SUM(T51)*0.2,1)</f>
        <v>3.3000000000000003</v>
      </c>
      <c r="U53" s="63"/>
      <c r="V53" s="66">
        <f>SUM(R53:T53)</f>
        <v>7.7000000000000011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16">S53 * 1400000</f>
        <v>5600000</v>
      </c>
      <c r="T54" s="62">
        <f t="shared" si="16"/>
        <v>4620000</v>
      </c>
      <c r="U54" s="63"/>
      <c r="V54" s="68">
        <f>SUM(R54:T54)</f>
        <v>10780000</v>
      </c>
      <c r="W54" s="67"/>
    </row>
    <row r="55" spans="1:23" ht="18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17">S52 + S54</f>
        <v>25600000</v>
      </c>
      <c r="T55" s="69">
        <f t="shared" si="17"/>
        <v>20820000.000000004</v>
      </c>
      <c r="U55" s="70"/>
      <c r="V55" s="71">
        <f>SUM(R55:T55)</f>
        <v>48680000</v>
      </c>
      <c r="W55" s="57"/>
    </row>
    <row r="56" spans="1:23" ht="18.5" thickBot="1">
      <c r="A56" s="125" t="s">
        <v>88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38"/>
      <c r="S56" s="38"/>
      <c r="T56" s="38"/>
      <c r="U56" s="39">
        <f>SUM(U50:U55)</f>
        <v>755.85</v>
      </c>
      <c r="V56" s="40">
        <f>V51+V53</f>
        <v>45.4925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  <mergeCell ref="V2:V3"/>
    <mergeCell ref="W2:W3"/>
    <mergeCell ref="A4:Q4"/>
    <mergeCell ref="A50:Q50"/>
    <mergeCell ref="A51:Q51"/>
    <mergeCell ref="R2:T2"/>
    <mergeCell ref="U2:U3"/>
  </mergeCells>
  <phoneticPr fontId="3"/>
  <conditionalFormatting sqref="A6:D9">
    <cfRule type="expression" dxfId="5" priority="1">
      <formula>$Q6="削除"</formula>
    </cfRule>
  </conditionalFormatting>
  <conditionalFormatting sqref="A5:W5 E6:W8 E9:J9 K9:W49 A10:J48 A49:C49 E49:J49">
    <cfRule type="expression" dxfId="4" priority="2">
      <formula>$Q5="削除"</formula>
    </cfRule>
  </conditionalFormatting>
  <conditionalFormatting sqref="D49">
    <cfRule type="expression" dxfId="3" priority="3">
      <formula>#REF!="削除"</formula>
    </cfRule>
  </conditionalFormatting>
  <dataValidations count="1">
    <dataValidation type="list" allowBlank="1" showInputMessage="1" showErrorMessage="1" sqref="Q5:Q49" xr:uid="{66866883-8FA6-4500-B90C-2E3511879174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7124-BF36-4B25-85DA-4CC3E277BFA8}">
  <sheetPr>
    <pageSetUpPr fitToPage="1"/>
  </sheetPr>
  <dimension ref="A1:W56"/>
  <sheetViews>
    <sheetView view="pageBreakPreview" topLeftCell="E36" zoomScale="70" zoomScaleNormal="100" zoomScaleSheetLayoutView="70" workbookViewId="0">
      <selection activeCell="U52" sqref="U52"/>
    </sheetView>
  </sheetViews>
  <sheetFormatPr defaultRowHeight="18"/>
  <cols>
    <col min="1" max="1" width="3.83203125" bestFit="1" customWidth="1"/>
    <col min="2" max="2" width="28.58203125" customWidth="1"/>
    <col min="3" max="3" width="18.75" customWidth="1"/>
    <col min="4" max="4" width="35.75" bestFit="1" customWidth="1"/>
    <col min="5" max="5" width="5.33203125" customWidth="1"/>
    <col min="6" max="9" width="10.58203125" bestFit="1" customWidth="1"/>
    <col min="10" max="10" width="8.9140625" customWidth="1"/>
    <col min="11" max="12" width="10.58203125" bestFit="1" customWidth="1"/>
    <col min="13" max="13" width="8.9140625" customWidth="1"/>
    <col min="14" max="14" width="7.75" customWidth="1"/>
    <col min="15" max="15" width="19.3320312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58203125" bestFit="1" customWidth="1"/>
    <col min="23" max="23" width="43.75" customWidth="1"/>
  </cols>
  <sheetData>
    <row r="1" spans="1:23" ht="18.5" thickBot="1"/>
    <row r="2" spans="1:23">
      <c r="A2" s="128" t="s">
        <v>53</v>
      </c>
      <c r="B2" s="106" t="s">
        <v>54</v>
      </c>
      <c r="C2" s="104" t="s">
        <v>55</v>
      </c>
      <c r="D2" s="105"/>
      <c r="E2" s="103"/>
      <c r="F2" s="104" t="s">
        <v>173</v>
      </c>
      <c r="G2" s="103"/>
      <c r="H2" s="104" t="s">
        <v>163</v>
      </c>
      <c r="I2" s="103"/>
      <c r="J2" s="74"/>
      <c r="K2" s="117" t="s">
        <v>182</v>
      </c>
      <c r="L2" s="118"/>
      <c r="M2" s="23"/>
      <c r="N2" s="106" t="s">
        <v>56</v>
      </c>
      <c r="O2" s="111" t="s">
        <v>57</v>
      </c>
      <c r="P2" s="106" t="s">
        <v>58</v>
      </c>
      <c r="Q2" s="113" t="s">
        <v>59</v>
      </c>
      <c r="R2" s="106" t="s">
        <v>60</v>
      </c>
      <c r="S2" s="106"/>
      <c r="T2" s="106"/>
      <c r="U2" s="107" t="s">
        <v>61</v>
      </c>
      <c r="V2" s="109" t="s">
        <v>62</v>
      </c>
      <c r="W2" s="103" t="s">
        <v>63</v>
      </c>
    </row>
    <row r="3" spans="1:23" ht="25">
      <c r="A3" s="128"/>
      <c r="B3" s="106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06"/>
      <c r="O3" s="112"/>
      <c r="P3" s="106"/>
      <c r="Q3" s="113"/>
      <c r="R3" s="72" t="s">
        <v>176</v>
      </c>
      <c r="S3" s="1" t="s">
        <v>69</v>
      </c>
      <c r="T3" s="1" t="s">
        <v>70</v>
      </c>
      <c r="U3" s="108"/>
      <c r="V3" s="110"/>
      <c r="W3" s="103"/>
    </row>
    <row r="4" spans="1:23">
      <c r="A4" s="114" t="s">
        <v>73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6"/>
      <c r="R4" s="2">
        <v>0.5</v>
      </c>
      <c r="S4" s="90">
        <f>1.2*積算基準!F58</f>
        <v>3.9</v>
      </c>
      <c r="T4" s="90">
        <f>1.2*積算基準!G58</f>
        <v>3.15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78</v>
      </c>
      <c r="Q5" s="83" t="s">
        <v>79</v>
      </c>
      <c r="R5" s="84">
        <v>0</v>
      </c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6.25</v>
      </c>
      <c r="T5" s="84">
        <f t="shared" si="1"/>
        <v>5.125</v>
      </c>
      <c r="U5" s="85">
        <f>SUM(R5:T5)</f>
        <v>11.375</v>
      </c>
      <c r="V5" s="86">
        <f>U5/20</f>
        <v>0.56874999999999998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78</v>
      </c>
      <c r="Q6" s="7" t="s">
        <v>79</v>
      </c>
      <c r="R6" s="8">
        <v>0</v>
      </c>
      <c r="S6" s="8">
        <f t="shared" si="1"/>
        <v>6.25</v>
      </c>
      <c r="T6" s="8">
        <f t="shared" si="1"/>
        <v>5.125</v>
      </c>
      <c r="U6" s="59">
        <f t="shared" ref="U6:U7" si="2">SUM(R6:T6)</f>
        <v>11.375</v>
      </c>
      <c r="V6" s="60">
        <f t="shared" ref="V6:V7" si="3">U6/20</f>
        <v>0.56874999999999998</v>
      </c>
      <c r="W6" s="77"/>
    </row>
    <row r="7" spans="1:23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78</v>
      </c>
      <c r="Q7" s="7" t="s">
        <v>79</v>
      </c>
      <c r="R7" s="8">
        <v>0</v>
      </c>
      <c r="S7" s="8">
        <f t="shared" si="1"/>
        <v>6.25</v>
      </c>
      <c r="T7" s="8">
        <f t="shared" si="1"/>
        <v>5.125</v>
      </c>
      <c r="U7" s="59">
        <f t="shared" si="2"/>
        <v>11.375</v>
      </c>
      <c r="V7" s="60">
        <f t="shared" si="3"/>
        <v>0.56874999999999998</v>
      </c>
      <c r="W7" s="77"/>
    </row>
    <row r="8" spans="1:23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78</v>
      </c>
      <c r="Q8" s="7" t="s">
        <v>79</v>
      </c>
      <c r="R8" s="8">
        <v>0</v>
      </c>
      <c r="S8" s="8">
        <f t="shared" si="1"/>
        <v>6.25</v>
      </c>
      <c r="T8" s="8">
        <f t="shared" si="1"/>
        <v>5.125</v>
      </c>
      <c r="U8" s="59">
        <f t="shared" ref="U8:U47" si="4">SUM(R8:T8)</f>
        <v>11.375</v>
      </c>
      <c r="V8" s="60">
        <f t="shared" ref="V8:V49" si="5">U8/20</f>
        <v>0.56874999999999998</v>
      </c>
      <c r="W8" s="77"/>
    </row>
    <row r="9" spans="1:23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78</v>
      </c>
      <c r="Q9" s="7" t="s">
        <v>79</v>
      </c>
      <c r="R9" s="8">
        <v>0</v>
      </c>
      <c r="S9" s="8">
        <f t="shared" si="1"/>
        <v>6.25</v>
      </c>
      <c r="T9" s="8">
        <f t="shared" si="1"/>
        <v>5.125</v>
      </c>
      <c r="U9" s="59">
        <f t="shared" ref="U9" si="6">SUM(R9:T9)</f>
        <v>11.375</v>
      </c>
      <c r="V9" s="60">
        <f t="shared" ref="V9" si="7">U9/20</f>
        <v>0.56874999999999998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7.875</v>
      </c>
      <c r="T10" s="8">
        <f t="shared" si="1"/>
        <v>6.375</v>
      </c>
      <c r="U10" s="59">
        <f t="shared" si="4"/>
        <v>15.25</v>
      </c>
      <c r="V10" s="60">
        <f t="shared" si="5"/>
        <v>0.76249999999999996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6"/>
      <c r="L11" s="79">
        <f t="shared" si="8"/>
        <v>0</v>
      </c>
      <c r="M11" s="6">
        <f t="shared" ref="M11:M48" si="10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7.875</v>
      </c>
      <c r="T11" s="8">
        <f t="shared" si="1"/>
        <v>6.375</v>
      </c>
      <c r="U11" s="59">
        <f t="shared" si="4"/>
        <v>15.25</v>
      </c>
      <c r="V11" s="60">
        <f t="shared" si="5"/>
        <v>0.76249999999999996</v>
      </c>
      <c r="W11" s="77"/>
    </row>
    <row r="12" spans="1:23">
      <c r="A12" s="5"/>
      <c r="B12" s="6"/>
      <c r="D12" s="6" t="s">
        <v>205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6"/>
      <c r="L12" s="79">
        <f t="shared" si="8"/>
        <v>0</v>
      </c>
      <c r="M12" s="6">
        <f t="shared" si="10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7.875</v>
      </c>
      <c r="T12" s="8">
        <f t="shared" si="1"/>
        <v>6.375</v>
      </c>
      <c r="U12" s="59">
        <f t="shared" si="4"/>
        <v>15.25</v>
      </c>
      <c r="V12" s="60">
        <f t="shared" si="5"/>
        <v>0.76249999999999996</v>
      </c>
      <c r="W12" s="77"/>
    </row>
    <row r="13" spans="1:23">
      <c r="A13" s="5"/>
      <c r="B13" s="6"/>
      <c r="D13" s="6" t="s">
        <v>206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6"/>
      <c r="L13" s="79">
        <f t="shared" si="8"/>
        <v>0</v>
      </c>
      <c r="M13" s="6">
        <f t="shared" si="10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2.75</v>
      </c>
      <c r="T13" s="8">
        <f t="shared" si="1"/>
        <v>2.25</v>
      </c>
      <c r="U13" s="59">
        <f t="shared" si="4"/>
        <v>5.375</v>
      </c>
      <c r="V13" s="60">
        <f t="shared" si="5"/>
        <v>0.26874999999999999</v>
      </c>
      <c r="W13" s="77"/>
    </row>
    <row r="14" spans="1:23">
      <c r="A14" s="5"/>
      <c r="B14" s="6"/>
      <c r="D14" s="6" t="s">
        <v>207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6"/>
      <c r="L14" s="79">
        <f t="shared" si="8"/>
        <v>0</v>
      </c>
      <c r="M14" s="6">
        <f t="shared" si="10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2.75</v>
      </c>
      <c r="T14" s="8">
        <f t="shared" si="1"/>
        <v>2.25</v>
      </c>
      <c r="U14" s="59">
        <f t="shared" si="4"/>
        <v>5.375</v>
      </c>
      <c r="V14" s="60">
        <f t="shared" si="5"/>
        <v>0.26874999999999999</v>
      </c>
      <c r="W14" s="77"/>
    </row>
    <row r="15" spans="1:23">
      <c r="A15" s="5"/>
      <c r="B15" s="6"/>
      <c r="D15" s="6" t="s">
        <v>208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6"/>
      <c r="L15" s="79">
        <f t="shared" si="8"/>
        <v>0</v>
      </c>
      <c r="M15" s="6">
        <f t="shared" si="10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2.75</v>
      </c>
      <c r="T15" s="8">
        <f t="shared" si="1"/>
        <v>2.25</v>
      </c>
      <c r="U15" s="59">
        <f t="shared" si="4"/>
        <v>5.375</v>
      </c>
      <c r="V15" s="60">
        <f t="shared" si="5"/>
        <v>0.26874999999999999</v>
      </c>
      <c r="W15" s="77"/>
    </row>
    <row r="16" spans="1:23">
      <c r="A16" s="5"/>
      <c r="B16" s="6"/>
      <c r="D16" s="6" t="s">
        <v>209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6"/>
      <c r="L16" s="79">
        <f t="shared" si="8"/>
        <v>0</v>
      </c>
      <c r="M16" s="6">
        <f t="shared" si="10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2.75</v>
      </c>
      <c r="T16" s="8">
        <f t="shared" si="1"/>
        <v>2.25</v>
      </c>
      <c r="U16" s="59">
        <f t="shared" si="4"/>
        <v>5.375</v>
      </c>
      <c r="V16" s="60">
        <f t="shared" si="5"/>
        <v>0.26874999999999999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6"/>
      <c r="L17" s="79">
        <f t="shared" si="8"/>
        <v>0</v>
      </c>
      <c r="M17" s="6">
        <f t="shared" si="10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7.875</v>
      </c>
      <c r="T17" s="8">
        <f t="shared" si="1"/>
        <v>6.375</v>
      </c>
      <c r="U17" s="59">
        <f t="shared" si="4"/>
        <v>15.25</v>
      </c>
      <c r="V17" s="60">
        <f t="shared" si="5"/>
        <v>0.76249999999999996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6">
        <v>0</v>
      </c>
      <c r="L18" s="6">
        <v>0</v>
      </c>
      <c r="M18" s="6">
        <f t="shared" si="10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4"/>
        <v>0</v>
      </c>
      <c r="V18" s="60">
        <f t="shared" si="5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6">
        <v>0</v>
      </c>
      <c r="L19" s="6">
        <v>0</v>
      </c>
      <c r="M19" s="6">
        <f t="shared" si="10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4"/>
        <v>0</v>
      </c>
      <c r="V19" s="60">
        <f t="shared" si="5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79"/>
      <c r="L20" s="79">
        <f>K20*0.8</f>
        <v>0</v>
      </c>
      <c r="M20" s="6">
        <f t="shared" si="10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7.875</v>
      </c>
      <c r="T20" s="8">
        <f t="shared" si="1"/>
        <v>6.375</v>
      </c>
      <c r="U20" s="59">
        <f t="shared" si="4"/>
        <v>15.25</v>
      </c>
      <c r="V20" s="60">
        <f t="shared" si="5"/>
        <v>0.76249999999999996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79">
        <v>0</v>
      </c>
      <c r="L21" s="79">
        <v>0</v>
      </c>
      <c r="M21" s="6">
        <f t="shared" si="10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4"/>
        <v>0</v>
      </c>
      <c r="V21" s="60">
        <f t="shared" si="5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79">
        <v>0</v>
      </c>
      <c r="L22" s="79">
        <v>0</v>
      </c>
      <c r="M22" s="6">
        <f t="shared" si="10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4"/>
        <v>0</v>
      </c>
      <c r="V22" s="60">
        <f t="shared" si="5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79"/>
      <c r="L23" s="79">
        <f t="shared" ref="L23:L26" si="11">K23*0.8</f>
        <v>0</v>
      </c>
      <c r="M23" s="6">
        <f t="shared" si="10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10.25</v>
      </c>
      <c r="T23" s="8">
        <f t="shared" si="1"/>
        <v>8.25</v>
      </c>
      <c r="U23" s="59">
        <f t="shared" si="4"/>
        <v>19.875</v>
      </c>
      <c r="V23" s="60">
        <f t="shared" si="5"/>
        <v>0.99375000000000002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79"/>
      <c r="L24" s="79">
        <f t="shared" si="11"/>
        <v>0</v>
      </c>
      <c r="M24" s="6">
        <f t="shared" si="10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10.25</v>
      </c>
      <c r="T24" s="8">
        <f t="shared" si="1"/>
        <v>8.25</v>
      </c>
      <c r="U24" s="59">
        <f t="shared" si="4"/>
        <v>19.875</v>
      </c>
      <c r="V24" s="60">
        <f t="shared" si="5"/>
        <v>0.99375000000000002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79"/>
      <c r="L25" s="79">
        <f t="shared" si="11"/>
        <v>0</v>
      </c>
      <c r="M25" s="6">
        <f t="shared" si="10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18.45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14.85</v>
      </c>
      <c r="U25" s="59">
        <f t="shared" si="4"/>
        <v>35.774999999999999</v>
      </c>
      <c r="V25" s="60">
        <f t="shared" si="5"/>
        <v>1.7887499999999998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79"/>
      <c r="L26" s="79">
        <f t="shared" si="11"/>
        <v>0</v>
      </c>
      <c r="M26" s="6">
        <f t="shared" si="10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10.25</v>
      </c>
      <c r="T26" s="8">
        <f t="shared" si="1"/>
        <v>8.25</v>
      </c>
      <c r="U26" s="59">
        <f t="shared" si="4"/>
        <v>19.875</v>
      </c>
      <c r="V26" s="60">
        <f t="shared" si="5"/>
        <v>0.99375000000000002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79">
        <v>0</v>
      </c>
      <c r="L27" s="79">
        <v>0</v>
      </c>
      <c r="M27" s="6">
        <f t="shared" si="10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4"/>
        <v>0</v>
      </c>
      <c r="V27" s="60">
        <f t="shared" si="5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79">
        <v>0</v>
      </c>
      <c r="L28" s="79">
        <v>0</v>
      </c>
      <c r="M28" s="6">
        <f t="shared" si="10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4"/>
        <v>0</v>
      </c>
      <c r="V28" s="60">
        <f t="shared" si="5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79"/>
      <c r="L29" s="79">
        <f t="shared" ref="L29:L30" si="12">K29*0.8</f>
        <v>0</v>
      </c>
      <c r="M29" s="6">
        <f t="shared" si="10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18.45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14.85</v>
      </c>
      <c r="U29" s="59">
        <f t="shared" si="4"/>
        <v>35.774999999999999</v>
      </c>
      <c r="V29" s="60">
        <f t="shared" si="5"/>
        <v>1.7887499999999998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79"/>
      <c r="L30" s="79">
        <f t="shared" si="12"/>
        <v>0</v>
      </c>
      <c r="M30" s="6">
        <f t="shared" si="10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2.75</v>
      </c>
      <c r="T30" s="8">
        <f t="shared" si="1"/>
        <v>2.25</v>
      </c>
      <c r="U30" s="59">
        <f t="shared" si="4"/>
        <v>5.375</v>
      </c>
      <c r="V30" s="60">
        <f t="shared" si="5"/>
        <v>0.26874999999999999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79">
        <v>0</v>
      </c>
      <c r="L31" s="79">
        <v>0</v>
      </c>
      <c r="M31" s="6">
        <f t="shared" si="10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4"/>
        <v>0</v>
      </c>
      <c r="V31" s="60">
        <f t="shared" si="5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79">
        <v>0</v>
      </c>
      <c r="L32" s="79">
        <v>0</v>
      </c>
      <c r="M32" s="6">
        <f t="shared" si="10"/>
        <v>0</v>
      </c>
      <c r="N32" s="80" t="s">
        <v>171</v>
      </c>
      <c r="O32" s="58"/>
      <c r="P32" s="7"/>
      <c r="Q32" s="7"/>
      <c r="R32" s="8">
        <f t="shared" ref="R32:T49" si="13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3"/>
        <v>0</v>
      </c>
      <c r="T32" s="8">
        <f t="shared" si="13"/>
        <v>0</v>
      </c>
      <c r="U32" s="59">
        <f t="shared" si="4"/>
        <v>0</v>
      </c>
      <c r="V32" s="60">
        <f t="shared" si="5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6"/>
      <c r="L33" s="79">
        <f t="shared" ref="L33:L39" si="14">K33*0.8</f>
        <v>0</v>
      </c>
      <c r="M33" s="6">
        <f t="shared" si="10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3"/>
        <v>1</v>
      </c>
      <c r="S33" s="8">
        <f t="shared" si="13"/>
        <v>7.875</v>
      </c>
      <c r="T33" s="8">
        <f t="shared" si="13"/>
        <v>6.375</v>
      </c>
      <c r="U33" s="59">
        <f t="shared" si="4"/>
        <v>15.25</v>
      </c>
      <c r="V33" s="60">
        <f t="shared" si="5"/>
        <v>0.76249999999999996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79"/>
      <c r="L34" s="79">
        <f t="shared" si="14"/>
        <v>0</v>
      </c>
      <c r="M34" s="6">
        <f t="shared" si="10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3"/>
        <v>1</v>
      </c>
      <c r="S34" s="8">
        <f t="shared" si="13"/>
        <v>7.875</v>
      </c>
      <c r="T34" s="8">
        <f t="shared" si="13"/>
        <v>6.375</v>
      </c>
      <c r="U34" s="59">
        <f t="shared" si="4"/>
        <v>15.25</v>
      </c>
      <c r="V34" s="60">
        <f t="shared" si="5"/>
        <v>0.76249999999999996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79"/>
      <c r="L35" s="79">
        <f t="shared" si="14"/>
        <v>0</v>
      </c>
      <c r="M35" s="6">
        <f t="shared" si="10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1</v>
      </c>
      <c r="S35" s="8">
        <f t="shared" si="13"/>
        <v>7.875</v>
      </c>
      <c r="T35" s="8">
        <f t="shared" si="13"/>
        <v>6.375</v>
      </c>
      <c r="U35" s="59">
        <f t="shared" si="4"/>
        <v>15.25</v>
      </c>
      <c r="V35" s="60">
        <f t="shared" si="5"/>
        <v>0.76249999999999996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79">
        <v>15</v>
      </c>
      <c r="L36" s="79">
        <f t="shared" si="14"/>
        <v>12</v>
      </c>
      <c r="M36" s="6">
        <f t="shared" si="10"/>
        <v>27</v>
      </c>
      <c r="N36" s="80" t="s">
        <v>168</v>
      </c>
      <c r="O36" s="78"/>
      <c r="P36" s="7" t="s">
        <v>81</v>
      </c>
      <c r="Q36" s="7" t="s">
        <v>79</v>
      </c>
      <c r="R36" s="8">
        <f t="shared" si="13"/>
        <v>1</v>
      </c>
      <c r="S36" s="8">
        <f t="shared" si="13"/>
        <v>7.875</v>
      </c>
      <c r="T36" s="8">
        <f t="shared" si="13"/>
        <v>6.375</v>
      </c>
      <c r="U36" s="59">
        <f t="shared" si="4"/>
        <v>15.25</v>
      </c>
      <c r="V36" s="60">
        <f t="shared" si="5"/>
        <v>0.76249999999999996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79"/>
      <c r="L37" s="79">
        <f t="shared" si="14"/>
        <v>0</v>
      </c>
      <c r="M37" s="6">
        <f t="shared" si="10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3"/>
        <v>1</v>
      </c>
      <c r="S37" s="8">
        <f t="shared" si="13"/>
        <v>7.875</v>
      </c>
      <c r="T37" s="8">
        <f t="shared" si="13"/>
        <v>6.375</v>
      </c>
      <c r="U37" s="59">
        <f t="shared" si="4"/>
        <v>15.25</v>
      </c>
      <c r="V37" s="60">
        <f t="shared" si="5"/>
        <v>0.76249999999999996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79"/>
      <c r="L38" s="79">
        <f t="shared" si="14"/>
        <v>0</v>
      </c>
      <c r="M38" s="6">
        <f t="shared" si="10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3"/>
        <v>0.375</v>
      </c>
      <c r="S38" s="8">
        <f t="shared" si="13"/>
        <v>2.75</v>
      </c>
      <c r="T38" s="8">
        <f t="shared" si="13"/>
        <v>2.25</v>
      </c>
      <c r="U38" s="59">
        <f t="shared" si="4"/>
        <v>5.375</v>
      </c>
      <c r="V38" s="60">
        <f t="shared" si="5"/>
        <v>0.26874999999999999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9"/>
        <v>27</v>
      </c>
      <c r="K39" s="79"/>
      <c r="L39" s="79">
        <f t="shared" si="14"/>
        <v>0</v>
      </c>
      <c r="M39" s="6">
        <f t="shared" si="10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18.45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14.85</v>
      </c>
      <c r="U39" s="59">
        <f t="shared" si="4"/>
        <v>35.774999999999999</v>
      </c>
      <c r="V39" s="60">
        <f t="shared" si="5"/>
        <v>1.7887499999999998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9"/>
        <v>18</v>
      </c>
      <c r="K40" s="79">
        <v>25</v>
      </c>
      <c r="L40" s="79">
        <f>K40*0.8</f>
        <v>20</v>
      </c>
      <c r="M40" s="6">
        <f t="shared" si="10"/>
        <v>45</v>
      </c>
      <c r="N40" s="80" t="s">
        <v>168</v>
      </c>
      <c r="O40" s="78"/>
      <c r="P40" s="7" t="s">
        <v>91</v>
      </c>
      <c r="Q40" s="7" t="s">
        <v>79</v>
      </c>
      <c r="R40" s="8">
        <f t="shared" si="13"/>
        <v>1.375</v>
      </c>
      <c r="S40" s="8">
        <f t="shared" si="13"/>
        <v>10.25</v>
      </c>
      <c r="T40" s="8">
        <f t="shared" si="13"/>
        <v>8.25</v>
      </c>
      <c r="U40" s="59">
        <f t="shared" si="4"/>
        <v>19.875</v>
      </c>
      <c r="V40" s="60">
        <f t="shared" si="5"/>
        <v>0.99375000000000002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79"/>
      <c r="L41" s="79">
        <f t="shared" ref="L41:L43" si="15">K41*0.8</f>
        <v>0</v>
      </c>
      <c r="M41" s="6">
        <f t="shared" si="10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3"/>
        <v>1.375</v>
      </c>
      <c r="S41" s="8">
        <f t="shared" si="13"/>
        <v>10.25</v>
      </c>
      <c r="T41" s="8">
        <f t="shared" si="13"/>
        <v>8.25</v>
      </c>
      <c r="U41" s="59">
        <f t="shared" si="4"/>
        <v>19.875</v>
      </c>
      <c r="V41" s="60">
        <f t="shared" si="5"/>
        <v>0.99375000000000002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79">
        <v>15</v>
      </c>
      <c r="L42" s="79">
        <f t="shared" si="15"/>
        <v>12</v>
      </c>
      <c r="M42" s="6">
        <f t="shared" si="10"/>
        <v>27</v>
      </c>
      <c r="N42" s="80" t="s">
        <v>168</v>
      </c>
      <c r="O42" s="78"/>
      <c r="P42" s="7" t="s">
        <v>81</v>
      </c>
      <c r="Q42" s="7" t="s">
        <v>79</v>
      </c>
      <c r="R42" s="8">
        <f t="shared" si="13"/>
        <v>1</v>
      </c>
      <c r="S42" s="8">
        <f t="shared" si="13"/>
        <v>7.875</v>
      </c>
      <c r="T42" s="8">
        <f t="shared" si="13"/>
        <v>6.375</v>
      </c>
      <c r="U42" s="59">
        <f t="shared" si="4"/>
        <v>15.25</v>
      </c>
      <c r="V42" s="60">
        <f t="shared" si="5"/>
        <v>0.76249999999999996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9"/>
        <v>12</v>
      </c>
      <c r="K43" s="79">
        <v>25</v>
      </c>
      <c r="L43" s="79">
        <f t="shared" si="15"/>
        <v>20</v>
      </c>
      <c r="M43" s="6">
        <f t="shared" si="10"/>
        <v>45</v>
      </c>
      <c r="N43" s="80" t="s">
        <v>168</v>
      </c>
      <c r="O43" s="78"/>
      <c r="P43" s="7" t="s">
        <v>81</v>
      </c>
      <c r="Q43" s="7" t="s">
        <v>79</v>
      </c>
      <c r="R43" s="8">
        <f t="shared" si="13"/>
        <v>1</v>
      </c>
      <c r="S43" s="8">
        <f t="shared" si="13"/>
        <v>7.875</v>
      </c>
      <c r="T43" s="8">
        <f t="shared" si="13"/>
        <v>6.375</v>
      </c>
      <c r="U43" s="59">
        <f t="shared" si="4"/>
        <v>15.25</v>
      </c>
      <c r="V43" s="60">
        <f t="shared" si="5"/>
        <v>0.76249999999999996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79">
        <v>0</v>
      </c>
      <c r="L44" s="79">
        <v>0</v>
      </c>
      <c r="M44" s="6">
        <f t="shared" si="10"/>
        <v>0</v>
      </c>
      <c r="N44" s="80"/>
      <c r="O44" s="78"/>
      <c r="P44" s="50"/>
      <c r="Q44" s="7"/>
      <c r="R44" s="8">
        <f t="shared" si="13"/>
        <v>0</v>
      </c>
      <c r="S44" s="8">
        <f t="shared" si="13"/>
        <v>0</v>
      </c>
      <c r="T44" s="8">
        <f t="shared" si="13"/>
        <v>0</v>
      </c>
      <c r="U44" s="59">
        <f t="shared" si="4"/>
        <v>0</v>
      </c>
      <c r="V44" s="60">
        <f t="shared" si="5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9"/>
        <v>16</v>
      </c>
      <c r="K45" s="79">
        <v>40</v>
      </c>
      <c r="L45" s="79">
        <f t="shared" ref="L45:L46" si="16">K45*0.8</f>
        <v>32</v>
      </c>
      <c r="M45" s="6">
        <f t="shared" si="10"/>
        <v>72</v>
      </c>
      <c r="N45" s="80"/>
      <c r="O45" s="78"/>
      <c r="P45" s="7" t="s">
        <v>91</v>
      </c>
      <c r="Q45" s="7" t="s">
        <v>79</v>
      </c>
      <c r="R45" s="8">
        <f t="shared" si="13"/>
        <v>1.375</v>
      </c>
      <c r="S45" s="8">
        <f t="shared" si="13"/>
        <v>10.25</v>
      </c>
      <c r="T45" s="8">
        <f t="shared" si="13"/>
        <v>8.25</v>
      </c>
      <c r="U45" s="59">
        <f t="shared" si="4"/>
        <v>19.875</v>
      </c>
      <c r="V45" s="60">
        <f t="shared" si="5"/>
        <v>0.99375000000000002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79"/>
      <c r="L46" s="79">
        <f t="shared" si="16"/>
        <v>0</v>
      </c>
      <c r="M46" s="6">
        <f t="shared" si="10"/>
        <v>0</v>
      </c>
      <c r="N46" s="80"/>
      <c r="O46" s="78"/>
      <c r="P46" s="7" t="s">
        <v>81</v>
      </c>
      <c r="Q46" s="7" t="s">
        <v>79</v>
      </c>
      <c r="R46" s="8">
        <f t="shared" si="13"/>
        <v>1</v>
      </c>
      <c r="S46" s="8">
        <f t="shared" si="13"/>
        <v>7.875</v>
      </c>
      <c r="T46" s="8">
        <f t="shared" si="13"/>
        <v>6.375</v>
      </c>
      <c r="U46" s="59">
        <f t="shared" si="4"/>
        <v>15.25</v>
      </c>
      <c r="V46" s="60">
        <f t="shared" si="5"/>
        <v>0.76249999999999996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79">
        <v>0</v>
      </c>
      <c r="L47" s="79">
        <v>0</v>
      </c>
      <c r="M47" s="6">
        <f t="shared" si="10"/>
        <v>0</v>
      </c>
      <c r="N47" s="80"/>
      <c r="O47" s="78"/>
      <c r="P47" s="7"/>
      <c r="Q47" s="7"/>
      <c r="R47" s="8">
        <f t="shared" si="13"/>
        <v>0</v>
      </c>
      <c r="S47" s="8">
        <f t="shared" si="13"/>
        <v>0</v>
      </c>
      <c r="T47" s="8">
        <f t="shared" si="13"/>
        <v>0</v>
      </c>
      <c r="U47" s="59">
        <f t="shared" si="4"/>
        <v>0</v>
      </c>
      <c r="V47" s="60">
        <f t="shared" si="5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9"/>
        <v>12</v>
      </c>
      <c r="K48" s="79">
        <v>20</v>
      </c>
      <c r="L48" s="79">
        <f t="shared" ref="L48:L49" si="17">K48*0.8</f>
        <v>16</v>
      </c>
      <c r="M48" s="6">
        <f t="shared" si="10"/>
        <v>36</v>
      </c>
      <c r="N48" s="80" t="s">
        <v>172</v>
      </c>
      <c r="O48" s="78"/>
      <c r="P48" s="7" t="s">
        <v>81</v>
      </c>
      <c r="Q48" s="7" t="s">
        <v>79</v>
      </c>
      <c r="R48" s="8">
        <f t="shared" si="13"/>
        <v>1</v>
      </c>
      <c r="S48" s="8">
        <f t="shared" si="13"/>
        <v>7.875</v>
      </c>
      <c r="T48" s="8">
        <f t="shared" si="13"/>
        <v>6.375</v>
      </c>
      <c r="U48" s="59">
        <f>SUM(R48:T48)</f>
        <v>15.25</v>
      </c>
      <c r="V48" s="60">
        <f t="shared" si="5"/>
        <v>0.76249999999999996</v>
      </c>
      <c r="W48" s="77"/>
    </row>
    <row r="49" spans="1:23" s="52" customFormat="1" ht="18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7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3"/>
        <v>1.375</v>
      </c>
      <c r="S49" s="8">
        <f t="shared" si="13"/>
        <v>10.25</v>
      </c>
      <c r="T49" s="8">
        <f t="shared" si="13"/>
        <v>8.25</v>
      </c>
      <c r="U49" s="59">
        <f>SUM(R49:T49)</f>
        <v>19.875</v>
      </c>
      <c r="V49" s="60">
        <f t="shared" si="5"/>
        <v>0.99375000000000002</v>
      </c>
      <c r="W49" s="51"/>
    </row>
    <row r="50" spans="1:23">
      <c r="A50" s="119" t="s">
        <v>82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1"/>
      <c r="R50" s="32">
        <f t="shared" ref="R50:T50" si="18">SUM(R5:R49)</f>
        <v>33.299999999999997</v>
      </c>
      <c r="S50" s="32">
        <f t="shared" si="18"/>
        <v>285.09999999999997</v>
      </c>
      <c r="T50" s="32">
        <f t="shared" si="18"/>
        <v>230.67499999999998</v>
      </c>
      <c r="U50" s="34">
        <f>SUM(R50:T50)</f>
        <v>549.07499999999993</v>
      </c>
      <c r="V50" s="35"/>
      <c r="W50" s="36"/>
    </row>
    <row r="51" spans="1:23" ht="18.5" thickBot="1">
      <c r="A51" s="122" t="s">
        <v>83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4"/>
      <c r="R51" s="33">
        <f>R50/20</f>
        <v>1.6649999999999998</v>
      </c>
      <c r="S51" s="33">
        <f t="shared" ref="S51:T51" si="19">S50/20</f>
        <v>14.254999999999999</v>
      </c>
      <c r="T51" s="33">
        <f t="shared" si="19"/>
        <v>11.53375</v>
      </c>
      <c r="U51" s="10"/>
      <c r="V51" s="11">
        <f>SUM(R51:T51)</f>
        <v>27.453749999999999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14299999.999999998</v>
      </c>
      <c r="T52" s="62">
        <f>ROUNDUP(T51, 1) * 1000000</f>
        <v>11600000</v>
      </c>
      <c r="U52" s="63"/>
      <c r="V52" s="64">
        <f>SUM(R52:T52)</f>
        <v>27600000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2.9</v>
      </c>
      <c r="T53" s="65">
        <f>ROUNDUP(SUM(T51)*0.2,1)</f>
        <v>2.4</v>
      </c>
      <c r="U53" s="63"/>
      <c r="V53" s="66">
        <f>SUM(R53:T53)</f>
        <v>5.6999999999999993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0">S53 * 1400000</f>
        <v>4060000</v>
      </c>
      <c r="T54" s="62">
        <f t="shared" si="20"/>
        <v>3360000</v>
      </c>
      <c r="U54" s="63"/>
      <c r="V54" s="68">
        <f>SUM(R54:T54)</f>
        <v>7980000</v>
      </c>
      <c r="W54" s="67"/>
    </row>
    <row r="55" spans="1:23" ht="18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1">S52 + S54</f>
        <v>18360000</v>
      </c>
      <c r="T55" s="69">
        <f t="shared" si="21"/>
        <v>14960000</v>
      </c>
      <c r="U55" s="70"/>
      <c r="V55" s="71">
        <f>SUM(R55:T55)</f>
        <v>35580000</v>
      </c>
      <c r="W55" s="57"/>
    </row>
    <row r="56" spans="1:23" ht="18.5" thickBot="1">
      <c r="A56" s="125" t="s">
        <v>88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38"/>
      <c r="S56" s="38"/>
      <c r="T56" s="38"/>
      <c r="U56" s="39">
        <f>SUM(U50:U55)</f>
        <v>549.07499999999993</v>
      </c>
      <c r="V56" s="40">
        <f>V51+V53</f>
        <v>33.153750000000002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V2:V3"/>
    <mergeCell ref="W2:W3"/>
    <mergeCell ref="A4:Q4"/>
    <mergeCell ref="A50:Q50"/>
    <mergeCell ref="A51:Q51"/>
    <mergeCell ref="R2:T2"/>
    <mergeCell ref="U2:U3"/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</mergeCells>
  <phoneticPr fontId="3"/>
  <conditionalFormatting sqref="A10:J48 K10:W49 A49:C49 E49:J49">
    <cfRule type="expression" dxfId="2" priority="2">
      <formula>$Q10="削除"</formula>
    </cfRule>
  </conditionalFormatting>
  <conditionalFormatting sqref="A5:W9">
    <cfRule type="expression" dxfId="1" priority="1">
      <formula>$Q5="削除"</formula>
    </cfRule>
  </conditionalFormatting>
  <conditionalFormatting sqref="D49">
    <cfRule type="expression" dxfId="0" priority="3">
      <formula>#REF!="削除"</formula>
    </cfRule>
  </conditionalFormatting>
  <dataValidations count="1">
    <dataValidation type="list" allowBlank="1" showInputMessage="1" showErrorMessage="1" sqref="Q5:Q49" xr:uid="{C1F583E5-BD18-4BAC-9C9A-A8FF30A83A24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zoomScale="130" zoomScaleNormal="130" workbookViewId="0"/>
  </sheetViews>
  <sheetFormatPr defaultColWidth="9" defaultRowHeight="12.5"/>
  <cols>
    <col min="1" max="1" width="3.58203125" style="13" customWidth="1"/>
    <col min="2" max="12" width="18.83203125" style="13" customWidth="1"/>
    <col min="13" max="16384" width="9" style="13"/>
  </cols>
  <sheetData>
    <row r="1" spans="1:8" ht="16">
      <c r="A1" s="12" t="s">
        <v>89</v>
      </c>
    </row>
    <row r="3" spans="1:8">
      <c r="A3" s="13" t="s">
        <v>90</v>
      </c>
    </row>
    <row r="5" spans="1:8">
      <c r="B5" s="14" t="s">
        <v>58</v>
      </c>
    </row>
    <row r="6" spans="1:8">
      <c r="B6" s="15" t="s">
        <v>91</v>
      </c>
    </row>
    <row r="7" spans="1:8">
      <c r="B7" s="15" t="s">
        <v>81</v>
      </c>
    </row>
    <row r="8" spans="1:8">
      <c r="B8" s="15" t="s">
        <v>78</v>
      </c>
    </row>
    <row r="9" spans="1:8">
      <c r="B9" s="15" t="s">
        <v>80</v>
      </c>
    </row>
    <row r="10" spans="1:8">
      <c r="B10" s="15" t="s">
        <v>92</v>
      </c>
    </row>
    <row r="12" spans="1:8">
      <c r="A12" s="13" t="s">
        <v>93</v>
      </c>
    </row>
    <row r="14" spans="1:8">
      <c r="B14" s="16" t="s">
        <v>94</v>
      </c>
    </row>
    <row r="15" spans="1:8">
      <c r="B15" s="14" t="s">
        <v>56</v>
      </c>
      <c r="C15" s="17" t="s">
        <v>91</v>
      </c>
      <c r="D15" s="17" t="s">
        <v>81</v>
      </c>
      <c r="E15" s="17" t="s">
        <v>78</v>
      </c>
      <c r="F15" s="17" t="s">
        <v>80</v>
      </c>
      <c r="G15" s="17" t="s">
        <v>92</v>
      </c>
      <c r="H15" s="18"/>
    </row>
    <row r="16" spans="1:8">
      <c r="B16" s="19" t="s">
        <v>95</v>
      </c>
      <c r="C16" s="20">
        <v>40</v>
      </c>
      <c r="D16" s="20">
        <v>30</v>
      </c>
      <c r="E16" s="20">
        <v>20</v>
      </c>
      <c r="F16" s="20">
        <v>10</v>
      </c>
      <c r="G16" s="20">
        <v>0</v>
      </c>
      <c r="H16" s="18"/>
    </row>
    <row r="17" spans="1:8">
      <c r="B17" s="19" t="s">
        <v>96</v>
      </c>
      <c r="C17" s="20">
        <v>50</v>
      </c>
      <c r="D17" s="20">
        <v>40</v>
      </c>
      <c r="E17" s="20">
        <v>30</v>
      </c>
      <c r="F17" s="20">
        <v>20</v>
      </c>
      <c r="G17" s="20">
        <v>10</v>
      </c>
      <c r="H17" s="16"/>
    </row>
    <row r="18" spans="1:8">
      <c r="B18" s="16"/>
      <c r="C18" s="16"/>
      <c r="D18" s="16"/>
      <c r="E18" s="16"/>
      <c r="F18" s="16"/>
      <c r="G18" s="16"/>
      <c r="H18" s="16"/>
    </row>
    <row r="19" spans="1:8">
      <c r="A19" s="13" t="s">
        <v>97</v>
      </c>
    </row>
    <row r="21" spans="1:8">
      <c r="B21" s="13" t="s">
        <v>98</v>
      </c>
    </row>
    <row r="22" spans="1:8">
      <c r="B22" s="17" t="s">
        <v>99</v>
      </c>
      <c r="C22" s="17" t="s">
        <v>100</v>
      </c>
      <c r="D22" s="17" t="s">
        <v>69</v>
      </c>
      <c r="E22" s="17" t="s">
        <v>70</v>
      </c>
      <c r="F22" s="14" t="s">
        <v>71</v>
      </c>
      <c r="G22" s="17" t="s">
        <v>87</v>
      </c>
    </row>
    <row r="23" spans="1:8">
      <c r="B23" s="21">
        <v>0.161</v>
      </c>
      <c r="C23" s="21">
        <v>0.17499999999999999</v>
      </c>
      <c r="D23" s="21">
        <v>0.37</v>
      </c>
      <c r="E23" s="21">
        <v>0.16700000000000001</v>
      </c>
      <c r="F23" s="21">
        <v>0.127</v>
      </c>
      <c r="G23" s="21">
        <f>SUM(B23:F23)</f>
        <v>1</v>
      </c>
    </row>
    <row r="26" spans="1:8">
      <c r="A26" s="13" t="s">
        <v>101</v>
      </c>
    </row>
    <row r="28" spans="1:8" ht="13" thickBot="1">
      <c r="B28" s="13" t="s">
        <v>102</v>
      </c>
    </row>
    <row r="29" spans="1:8">
      <c r="B29" s="22" t="s">
        <v>87</v>
      </c>
      <c r="C29" s="23" t="s">
        <v>99</v>
      </c>
      <c r="D29" s="17" t="s">
        <v>100</v>
      </c>
      <c r="E29" s="17" t="s">
        <v>69</v>
      </c>
      <c r="F29" s="17" t="s">
        <v>70</v>
      </c>
      <c r="G29" s="14" t="s">
        <v>71</v>
      </c>
    </row>
    <row r="30" spans="1:8" ht="13" thickBot="1">
      <c r="B30" s="24">
        <v>8.75</v>
      </c>
      <c r="C30" s="25">
        <f>CEILING($B30*B23,0.125)</f>
        <v>1.5</v>
      </c>
      <c r="D30" s="26">
        <f>CEILING($B30*C23,0.125)</f>
        <v>1.625</v>
      </c>
      <c r="E30" s="26">
        <f>CEILING($B30*D23,0.125)</f>
        <v>3.25</v>
      </c>
      <c r="F30" s="26">
        <f>CEILING($B30*E23,0.125)</f>
        <v>1.5</v>
      </c>
      <c r="G30" s="26">
        <f>CEILING($B30*F23,0.125)</f>
        <v>1.125</v>
      </c>
    </row>
    <row r="32" spans="1:8" ht="13" thickBot="1">
      <c r="B32" s="13" t="s">
        <v>103</v>
      </c>
    </row>
    <row r="33" spans="1:12">
      <c r="B33" s="22" t="s">
        <v>87</v>
      </c>
      <c r="C33" s="23" t="s">
        <v>99</v>
      </c>
      <c r="D33" s="17" t="s">
        <v>100</v>
      </c>
      <c r="E33" s="17" t="s">
        <v>69</v>
      </c>
      <c r="F33" s="17" t="s">
        <v>70</v>
      </c>
      <c r="G33" s="14" t="s">
        <v>71</v>
      </c>
    </row>
    <row r="34" spans="1:12" ht="13" thickBot="1">
      <c r="B34" s="24">
        <v>3.5</v>
      </c>
      <c r="C34" s="25">
        <f>CEILING($B34*B23,0.125)</f>
        <v>0.625</v>
      </c>
      <c r="D34" s="25">
        <f t="shared" ref="D34:G34" si="0">CEILING($B34*C23,0.125)</f>
        <v>0.625</v>
      </c>
      <c r="E34" s="25">
        <f t="shared" si="0"/>
        <v>1.375</v>
      </c>
      <c r="F34" s="25">
        <f t="shared" si="0"/>
        <v>0.625</v>
      </c>
      <c r="G34" s="25">
        <f t="shared" si="0"/>
        <v>0.5</v>
      </c>
    </row>
    <row r="35" spans="1:12">
      <c r="B35" s="42"/>
      <c r="C35" s="42"/>
      <c r="D35" s="42"/>
      <c r="E35" s="42"/>
      <c r="F35" s="42"/>
      <c r="G35" s="42"/>
    </row>
    <row r="36" spans="1:12">
      <c r="A36" s="13" t="s">
        <v>104</v>
      </c>
    </row>
    <row r="38" spans="1:12">
      <c r="B38" s="16" t="s">
        <v>105</v>
      </c>
      <c r="C38" s="16"/>
      <c r="D38" s="16"/>
      <c r="E38" s="16"/>
      <c r="F38" s="16"/>
      <c r="G38" s="16"/>
      <c r="H38" s="16"/>
    </row>
    <row r="39" spans="1:12">
      <c r="B39" s="17" t="s">
        <v>106</v>
      </c>
      <c r="C39" s="129" t="s">
        <v>87</v>
      </c>
      <c r="D39" s="14" t="s">
        <v>67</v>
      </c>
      <c r="E39" s="14" t="s">
        <v>99</v>
      </c>
      <c r="F39" s="14" t="s">
        <v>100</v>
      </c>
      <c r="G39" s="17" t="s">
        <v>69</v>
      </c>
      <c r="H39" s="14" t="s">
        <v>70</v>
      </c>
      <c r="I39" s="14" t="s">
        <v>71</v>
      </c>
      <c r="J39" s="14" t="s">
        <v>72</v>
      </c>
      <c r="K39" s="14" t="s">
        <v>107</v>
      </c>
      <c r="L39" s="14" t="s">
        <v>108</v>
      </c>
    </row>
    <row r="40" spans="1:12">
      <c r="B40" s="17" t="s">
        <v>109</v>
      </c>
      <c r="C40" s="130"/>
      <c r="D40" s="27">
        <v>0.1</v>
      </c>
      <c r="E40" s="21">
        <f>B23</f>
        <v>0.161</v>
      </c>
      <c r="F40" s="21">
        <f>C23</f>
        <v>0.17499999999999999</v>
      </c>
      <c r="G40" s="21">
        <f>D23</f>
        <v>0.37</v>
      </c>
      <c r="H40" s="21">
        <f>E23</f>
        <v>0.16700000000000001</v>
      </c>
      <c r="I40" s="21">
        <f>F23</f>
        <v>0.127</v>
      </c>
      <c r="J40" s="28">
        <v>0.5</v>
      </c>
      <c r="K40" s="28">
        <v>0.25</v>
      </c>
      <c r="L40" s="29">
        <v>0.15</v>
      </c>
    </row>
    <row r="41" spans="1:12">
      <c r="B41" s="17" t="s">
        <v>110</v>
      </c>
      <c r="C41" s="30">
        <f>SUM(D41:L41)</f>
        <v>12.875</v>
      </c>
      <c r="D41" s="30">
        <f>CEILING(SUM(E41:I41)*D40,0.125)</f>
        <v>1</v>
      </c>
      <c r="E41" s="30">
        <f>C30</f>
        <v>1.5</v>
      </c>
      <c r="F41" s="30">
        <f>D30</f>
        <v>1.625</v>
      </c>
      <c r="G41" s="30">
        <f>E30</f>
        <v>3.25</v>
      </c>
      <c r="H41" s="30">
        <f>F30</f>
        <v>1.5</v>
      </c>
      <c r="I41" s="30">
        <f>G30</f>
        <v>1.125</v>
      </c>
      <c r="J41" s="30">
        <f>CEILING(H41*J40,0.125)</f>
        <v>0.75</v>
      </c>
      <c r="K41" s="30">
        <f>CEILING(H41*K40,0.125)</f>
        <v>0.375</v>
      </c>
      <c r="L41" s="30">
        <f>CEILING(SUM(D41:K41)*L40,0.125)</f>
        <v>1.75</v>
      </c>
    </row>
    <row r="42" spans="1:12">
      <c r="B42" s="17" t="s">
        <v>111</v>
      </c>
      <c r="C42" s="30">
        <f>SUM(D42:L42)</f>
        <v>5.5</v>
      </c>
      <c r="D42" s="30">
        <f>CEILING(D40*SUM(E42:I42),0.125)</f>
        <v>0.375</v>
      </c>
      <c r="E42" s="30">
        <f>C34</f>
        <v>0.625</v>
      </c>
      <c r="F42" s="30">
        <f>D34</f>
        <v>0.625</v>
      </c>
      <c r="G42" s="30">
        <f>E34</f>
        <v>1.375</v>
      </c>
      <c r="H42" s="30">
        <f>F34</f>
        <v>0.625</v>
      </c>
      <c r="I42" s="30">
        <f>G34</f>
        <v>0.5</v>
      </c>
      <c r="J42" s="30">
        <f>CEILING(J40*H42,0.125)</f>
        <v>0.375</v>
      </c>
      <c r="K42" s="30">
        <f>CEILING(K40*H42,0.125)</f>
        <v>0.25</v>
      </c>
      <c r="L42" s="30">
        <f>CEILING(L40*SUM(D42:K42),0.125)</f>
        <v>0.75</v>
      </c>
    </row>
    <row r="43" spans="1:12">
      <c r="B43" s="131">
        <v>0.5</v>
      </c>
      <c r="C43" s="131"/>
    </row>
    <row r="45" spans="1:12">
      <c r="A45" s="13" t="s">
        <v>112</v>
      </c>
    </row>
    <row r="47" spans="1:12">
      <c r="B47" s="16" t="s">
        <v>113</v>
      </c>
      <c r="C47" s="16"/>
      <c r="D47" s="16"/>
      <c r="E47" s="16"/>
      <c r="F47" s="16"/>
      <c r="G47" s="16"/>
    </row>
    <row r="48" spans="1:12">
      <c r="B48" s="132" t="s">
        <v>114</v>
      </c>
      <c r="C48" s="17" t="s">
        <v>91</v>
      </c>
      <c r="D48" s="17" t="s">
        <v>81</v>
      </c>
      <c r="E48" s="17" t="s">
        <v>78</v>
      </c>
      <c r="F48" s="17" t="s">
        <v>80</v>
      </c>
      <c r="G48" s="17" t="s">
        <v>92</v>
      </c>
    </row>
    <row r="49" spans="1:9">
      <c r="B49" s="133"/>
      <c r="C49" s="31">
        <v>2.6</v>
      </c>
      <c r="D49" s="31">
        <v>2</v>
      </c>
      <c r="E49" s="31">
        <v>1.6</v>
      </c>
      <c r="F49" s="31">
        <v>0.7</v>
      </c>
      <c r="G49" s="31">
        <v>0.3</v>
      </c>
      <c r="H49" s="13" t="s">
        <v>115</v>
      </c>
    </row>
    <row r="50" spans="1:9">
      <c r="B50" s="134"/>
      <c r="C50" s="31">
        <v>1.5</v>
      </c>
      <c r="D50" s="31">
        <v>1.25</v>
      </c>
      <c r="E50" s="31">
        <v>1</v>
      </c>
      <c r="F50" s="31">
        <v>0.75</v>
      </c>
      <c r="G50" s="31">
        <v>0.2</v>
      </c>
      <c r="H50" s="13" t="s">
        <v>116</v>
      </c>
    </row>
    <row r="53" spans="1:9">
      <c r="A53" s="13" t="s">
        <v>117</v>
      </c>
    </row>
    <row r="55" spans="1:9">
      <c r="B55" s="16" t="s">
        <v>105</v>
      </c>
      <c r="C55" s="16"/>
      <c r="D55" s="16"/>
      <c r="E55" s="16"/>
      <c r="F55" s="16"/>
      <c r="G55" s="16"/>
      <c r="H55" s="16"/>
    </row>
    <row r="56" spans="1:9">
      <c r="B56" s="17" t="s">
        <v>106</v>
      </c>
      <c r="C56" s="129" t="s">
        <v>87</v>
      </c>
      <c r="D56" s="14" t="s">
        <v>67</v>
      </c>
      <c r="E56" s="14" t="s">
        <v>68</v>
      </c>
      <c r="F56" s="14" t="s">
        <v>69</v>
      </c>
      <c r="G56" s="14" t="s">
        <v>70</v>
      </c>
      <c r="H56" s="14" t="s">
        <v>72</v>
      </c>
      <c r="I56" s="14" t="s">
        <v>108</v>
      </c>
    </row>
    <row r="57" spans="1:9">
      <c r="B57" s="17" t="s">
        <v>118</v>
      </c>
      <c r="C57" s="130"/>
      <c r="D57" s="27">
        <v>0.1</v>
      </c>
      <c r="E57" s="21">
        <f>SUM(B23:C23)</f>
        <v>0.33599999999999997</v>
      </c>
      <c r="F57" s="21">
        <f>D23</f>
        <v>0.37</v>
      </c>
      <c r="G57" s="21">
        <f>SUM(E23:F23)</f>
        <v>0.29400000000000004</v>
      </c>
      <c r="H57" s="28">
        <v>0.25</v>
      </c>
      <c r="I57" s="29">
        <v>0.15</v>
      </c>
    </row>
    <row r="58" spans="1:9">
      <c r="B58" s="17" t="s">
        <v>110</v>
      </c>
      <c r="C58" s="30">
        <f>SUM(D58:I58)</f>
        <v>12</v>
      </c>
      <c r="D58" s="30">
        <f>CEILING(SUM(E58:G58)*D57,0.125)</f>
        <v>1</v>
      </c>
      <c r="E58" s="30">
        <f>SUM(C30:D30)</f>
        <v>3.125</v>
      </c>
      <c r="F58" s="30">
        <f>E30</f>
        <v>3.25</v>
      </c>
      <c r="G58" s="30">
        <f>SUM(F30:G30)</f>
        <v>2.625</v>
      </c>
      <c r="H58" s="30">
        <f>CEILING(H41*H57,0.125)</f>
        <v>0.375</v>
      </c>
      <c r="I58" s="30">
        <f>CEILING(SUM(D58:H58)*I57,0.125)</f>
        <v>1.625</v>
      </c>
    </row>
    <row r="59" spans="1:9">
      <c r="B59" s="17" t="s">
        <v>111</v>
      </c>
      <c r="C59" s="30">
        <f>SUM(D59:I59)</f>
        <v>2.625</v>
      </c>
      <c r="D59" s="30">
        <v>0</v>
      </c>
      <c r="E59" s="30">
        <f>SUM(C34:D34)</f>
        <v>1.25</v>
      </c>
      <c r="F59" s="30">
        <f>E34</f>
        <v>1.375</v>
      </c>
      <c r="G59" s="30">
        <v>0</v>
      </c>
      <c r="H59" s="30">
        <v>0</v>
      </c>
      <c r="I59" s="30">
        <v>0</v>
      </c>
    </row>
    <row r="60" spans="1:9">
      <c r="B60" s="131"/>
      <c r="C60" s="131"/>
    </row>
    <row r="61" spans="1:9">
      <c r="B61" s="17" t="s">
        <v>119</v>
      </c>
      <c r="C61" s="20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FCB5C-E335-40F6-B391-B701A85E5A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F13A7B2-F313-43A3-9F29-4ED57B3EE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E9BFD8-0041-4904-BAE2-99553EBC3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26</vt:i4>
      </vt:variant>
    </vt:vector>
  </HeadingPairs>
  <TitlesOfParts>
    <vt:vector size="32" baseType="lpstr">
      <vt:lpstr>スケジュール・要員計画</vt:lpstr>
      <vt:lpstr>御見積(画面・機能)（2.5倍）</vt:lpstr>
      <vt:lpstr>概算</vt:lpstr>
      <vt:lpstr>御見積(画面・機能) (1.5倍)</vt:lpstr>
      <vt:lpstr>御見積(画面・機能) (1倍)</vt:lpstr>
      <vt:lpstr>積算基準</vt:lpstr>
      <vt:lpstr>'御見積(画面・機能) (1.5倍)'!Print_Area</vt:lpstr>
      <vt:lpstr>'御見積(画面・機能) (1倍)'!Print_Area</vt:lpstr>
      <vt:lpstr>'御見積(画面・機能)（2.5倍）'!Print_Area</vt:lpstr>
      <vt:lpstr>'御見積(画面・機能) (1.5倍)'!Print_Titles</vt:lpstr>
      <vt:lpstr>'御見積(画面・機能) (1倍)'!Print_Titles</vt:lpstr>
      <vt:lpstr>'御見積(画面・機能)（2.5倍）'!Print_Titles</vt:lpstr>
      <vt:lpstr>高係数</vt:lpstr>
      <vt:lpstr>高係数_IF</vt:lpstr>
      <vt:lpstr>積算基準!参照上限高</vt:lpstr>
      <vt:lpstr>積算基準!参照上限中</vt:lpstr>
      <vt:lpstr>積算基準!参照上限低</vt:lpstr>
      <vt:lpstr>積算基準!参照上限特高</vt:lpstr>
      <vt:lpstr>積算基準!参照上限特低</vt:lpstr>
      <vt:lpstr>中係数</vt:lpstr>
      <vt:lpstr>中係数_IF</vt:lpstr>
      <vt:lpstr>低係数</vt:lpstr>
      <vt:lpstr>低係数_IF</vt:lpstr>
      <vt:lpstr>積算基準!登録上限高</vt:lpstr>
      <vt:lpstr>積算基準!登録上限中</vt:lpstr>
      <vt:lpstr>積算基準!登録上限低</vt:lpstr>
      <vt:lpstr>積算基準!登録上限特高</vt:lpstr>
      <vt:lpstr>積算基準!登録上限特低</vt:lpstr>
      <vt:lpstr>特高係数</vt:lpstr>
      <vt:lpstr>特高係数_IF</vt:lpstr>
      <vt:lpstr>特低係数</vt:lpstr>
      <vt:lpstr>特低係数_IF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髙木義尚</cp:lastModifiedBy>
  <cp:revision/>
  <dcterms:created xsi:type="dcterms:W3CDTF">2018-08-28T04:32:00Z</dcterms:created>
  <dcterms:modified xsi:type="dcterms:W3CDTF">2025-04-11T08:07:38Z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