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97" documentId="13_ncr:1_{D32E2F98-70AD-4702-A041-D36180AA30C9}" xr6:coauthVersionLast="47" xr6:coauthVersionMax="47" xr10:uidLastSave="{6A9B85AC-D7EE-4C77-B58F-CF7D2B9D67C3}"/>
  <bookViews>
    <workbookView xWindow="-110" yWindow="-110" windowWidth="19420" windowHeight="10300" xr2:uid="{00000000-000D-0000-FFFF-FFFF00000000}"/>
  </bookViews>
  <sheets>
    <sheet name="概算見積" sheetId="16" r:id="rId1"/>
    <sheet name="IFCポータル_概算見積（内部用）" sheetId="15" r:id="rId2"/>
    <sheet name="スケジュール概算" sheetId="14" r:id="rId3"/>
  </sheets>
  <externalReferences>
    <externalReference r:id="rId4"/>
  </externalReferences>
  <definedNames>
    <definedName name="_xlnm.Print_Area" localSheetId="0">概算見積!$A$1:$AJ$139</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4" l="1"/>
  <c r="K3" i="14"/>
  <c r="P4" i="15"/>
  <c r="Y5" i="15"/>
  <c r="AG4" i="15" s="1"/>
  <c r="AI4" i="15" s="1"/>
  <c r="X4" i="15"/>
  <c r="Y44" i="16"/>
  <c r="W4" i="15"/>
  <c r="V4" i="15"/>
  <c r="U4" i="15"/>
  <c r="T4" i="15"/>
  <c r="S4" i="15"/>
  <c r="R4" i="15"/>
  <c r="Y4" i="15" s="1"/>
  <c r="D3" i="14"/>
  <c r="AE44" i="16" l="1"/>
  <c r="AE43" i="16"/>
  <c r="AE42" i="16"/>
  <c r="AE41" i="16"/>
  <c r="AE40" i="16"/>
  <c r="AE39" i="16"/>
  <c r="AE45" i="16" l="1"/>
  <c r="F11" i="16" s="1"/>
  <c r="Y45" i="16"/>
  <c r="F3" i="14" l="1"/>
  <c r="R4" i="14" s="1"/>
  <c r="G3" i="14"/>
  <c r="R5" i="14" s="1"/>
  <c r="H3" i="14"/>
  <c r="R6" i="14" s="1"/>
  <c r="I3" i="14"/>
  <c r="R7" i="14" s="1"/>
  <c r="E3" i="14"/>
  <c r="R3" i="14" s="1"/>
  <c r="C3" i="14" l="1"/>
  <c r="B3" i="14"/>
  <c r="A3" i="14"/>
  <c r="AN4" i="15" l="1"/>
  <c r="AO4" i="15"/>
  <c r="AP4" i="15"/>
  <c r="AQ4" i="15"/>
  <c r="AR4" i="15"/>
  <c r="AM4" i="15"/>
  <c r="AV4" i="15" l="1"/>
  <c r="AW4" i="15"/>
  <c r="AZ4" i="15"/>
  <c r="AY4" i="15"/>
  <c r="AX4" i="15"/>
  <c r="AU4" i="15"/>
  <c r="F4" i="15" l="1"/>
  <c r="G4" i="15"/>
  <c r="AS4" i="15"/>
  <c r="BA4" i="15"/>
  <c r="AA4" i="15"/>
  <c r="AC4" i="15" l="1"/>
  <c r="H4" i="15" s="1"/>
  <c r="AB4" i="15"/>
  <c r="AD4" i="15" l="1"/>
  <c r="AE4" i="15" s="1"/>
  <c r="M3" i="14"/>
  <c r="AH4" i="15"/>
  <c r="AJ4" i="15"/>
  <c r="AK4" i="15" l="1"/>
</calcChain>
</file>

<file path=xl/sharedStrings.xml><?xml version="1.0" encoding="utf-8"?>
<sst xmlns="http://schemas.openxmlformats.org/spreadsheetml/2006/main" count="254" uniqueCount="178">
  <si>
    <t>人日</t>
    <rPh sb="0" eb="2">
      <t>ニンニチ</t>
    </rPh>
    <phoneticPr fontId="1"/>
  </si>
  <si>
    <t>人月</t>
    <rPh sb="0" eb="2">
      <t>ニンゲツ</t>
    </rPh>
    <phoneticPr fontId="1"/>
  </si>
  <si>
    <t>工程別作業工数合算</t>
    <rPh sb="0" eb="3">
      <t>コウテイベツ</t>
    </rPh>
    <rPh sb="3" eb="7">
      <t>サギョウコウスウ</t>
    </rPh>
    <rPh sb="7" eb="9">
      <t>ガッサン</t>
    </rPh>
    <phoneticPr fontId="1"/>
  </si>
  <si>
    <t>開発</t>
    <rPh sb="0" eb="2">
      <t>カイハツ</t>
    </rPh>
    <phoneticPr fontId="1"/>
  </si>
  <si>
    <t>管理</t>
    <rPh sb="0" eb="2">
      <t>カンリ</t>
    </rPh>
    <phoneticPr fontId="1"/>
  </si>
  <si>
    <t>No.</t>
    <phoneticPr fontId="1"/>
  </si>
  <si>
    <t>案件名</t>
    <rPh sb="0" eb="2">
      <t>アンケン</t>
    </rPh>
    <rPh sb="2" eb="3">
      <t>メイ</t>
    </rPh>
    <phoneticPr fontId="1"/>
  </si>
  <si>
    <t>内容</t>
    <rPh sb="0" eb="2">
      <t>ナイヨウ</t>
    </rPh>
    <phoneticPr fontId="1"/>
  </si>
  <si>
    <t>改修内容</t>
    <rPh sb="0" eb="2">
      <t>カイシュウ</t>
    </rPh>
    <rPh sb="2" eb="4">
      <t>ナイヨウ</t>
    </rPh>
    <phoneticPr fontId="1"/>
  </si>
  <si>
    <t>概算工数
開発工数内訳（人日）</t>
    <rPh sb="0" eb="2">
      <t>ガイサン</t>
    </rPh>
    <rPh sb="2" eb="4">
      <t>コウスウ</t>
    </rPh>
    <rPh sb="5" eb="7">
      <t>カイハツ</t>
    </rPh>
    <rPh sb="7" eb="9">
      <t>コウスウ</t>
    </rPh>
    <rPh sb="9" eb="11">
      <t>ウチワケ</t>
    </rPh>
    <rPh sb="12" eb="14">
      <t>ニンニチ</t>
    </rPh>
    <phoneticPr fontId="1"/>
  </si>
  <si>
    <t>概算工数
開発工数（人日）</t>
    <rPh sb="0" eb="2">
      <t>ガイサン</t>
    </rPh>
    <rPh sb="2" eb="4">
      <t>コウスウ</t>
    </rPh>
    <rPh sb="5" eb="7">
      <t>カイハツ</t>
    </rPh>
    <rPh sb="7" eb="9">
      <t>コウスウ</t>
    </rPh>
    <rPh sb="10" eb="12">
      <t>ニンニチ</t>
    </rPh>
    <phoneticPr fontId="1"/>
  </si>
  <si>
    <t>調査・設計</t>
    <rPh sb="0" eb="2">
      <t>チョウサ</t>
    </rPh>
    <rPh sb="3" eb="5">
      <t>セッケイ</t>
    </rPh>
    <phoneticPr fontId="1"/>
  </si>
  <si>
    <t>IT</t>
    <phoneticPr fontId="1"/>
  </si>
  <si>
    <t>ST</t>
    <phoneticPr fontId="1"/>
  </si>
  <si>
    <t>リリース</t>
    <phoneticPr fontId="1"/>
  </si>
  <si>
    <t>合計</t>
    <rPh sb="0" eb="2">
      <t>ゴウケイ</t>
    </rPh>
    <phoneticPr fontId="1"/>
  </si>
  <si>
    <t>備考</t>
    <rPh sb="0" eb="2">
      <t>ビコウ</t>
    </rPh>
    <phoneticPr fontId="1"/>
  </si>
  <si>
    <t>金額</t>
    <rPh sb="0" eb="2">
      <t>キンガク</t>
    </rPh>
    <phoneticPr fontId="1"/>
  </si>
  <si>
    <t>合計金額</t>
    <rPh sb="0" eb="4">
      <t>ゴウケイキンガク</t>
    </rPh>
    <phoneticPr fontId="1"/>
  </si>
  <si>
    <t>管理工数込み（人日）</t>
    <rPh sb="0" eb="5">
      <t>カンリコウスウコ</t>
    </rPh>
    <phoneticPr fontId="1"/>
  </si>
  <si>
    <t>PG</t>
    <phoneticPr fontId="1"/>
  </si>
  <si>
    <t>完成希望日</t>
    <phoneticPr fontId="1"/>
  </si>
  <si>
    <t>合計</t>
    <phoneticPr fontId="1"/>
  </si>
  <si>
    <t>体制</t>
    <rPh sb="0" eb="2">
      <t>タイセイ</t>
    </rPh>
    <phoneticPr fontId="1"/>
  </si>
  <si>
    <t>髙橋裕輔</t>
    <rPh sb="0" eb="4">
      <t>タカハシユウスケ</t>
    </rPh>
    <phoneticPr fontId="1"/>
  </si>
  <si>
    <t>小計</t>
    <rPh sb="0" eb="2">
      <t>ショウケイ</t>
    </rPh>
    <phoneticPr fontId="1"/>
  </si>
  <si>
    <t>内容</t>
    <phoneticPr fontId="1"/>
  </si>
  <si>
    <t>管理工数込み</t>
    <phoneticPr fontId="1"/>
  </si>
  <si>
    <t>着手</t>
    <rPh sb="0" eb="2">
      <t>チャクシュ</t>
    </rPh>
    <phoneticPr fontId="1"/>
  </si>
  <si>
    <t>(人日)</t>
    <rPh sb="1" eb="3">
      <t>ニンニチ</t>
    </rPh>
    <phoneticPr fontId="1"/>
  </si>
  <si>
    <t>PM</t>
    <phoneticPr fontId="1"/>
  </si>
  <si>
    <t>SE</t>
    <phoneticPr fontId="1"/>
  </si>
  <si>
    <t>下請法対応概算見積</t>
    <phoneticPr fontId="1"/>
  </si>
  <si>
    <t>UAT</t>
    <phoneticPr fontId="1"/>
  </si>
  <si>
    <t>PG</t>
  </si>
  <si>
    <t>IT</t>
  </si>
  <si>
    <t>UAT</t>
  </si>
  <si>
    <t>リリース</t>
  </si>
  <si>
    <t>見積の前提条件</t>
    <rPh sb="3" eb="5">
      <t>ゼンテイ</t>
    </rPh>
    <rPh sb="5" eb="7">
      <t>ジョウケン</t>
    </rPh>
    <phoneticPr fontId="1"/>
  </si>
  <si>
    <t>費用は開発業務と管理業務別々に算出しております。</t>
  </si>
  <si>
    <t>作業は弊社千葉事業所（在宅勤務を含む）で行うことを前提としています。</t>
  </si>
  <si>
    <t>遠隔地での作業が発生した場合、工数を変更する可能性があります。</t>
  </si>
  <si>
    <t>遠隔地での作業が発生した場合は、交通費や宿泊費等の必要経費を別途請求させていただきます。</t>
  </si>
  <si>
    <t>見積もりの工数にはハードウェアやミドルウェア等にかかる費用は含まれておりません。</t>
  </si>
  <si>
    <t>リリース作業は2名で対応いたします。なお、連携NASの準備は見積もりに含まれません。</t>
  </si>
  <si>
    <t>プロジェクト期間は1.5か月から2か月を想定しています。&lt;例&gt;5月開始の場合は、6月後半にリリースを予定しております。</t>
  </si>
  <si>
    <t>5月開始をご希望される場合は、契約を4月23日までに締結できるようご協力をお願いいたします。</t>
  </si>
  <si>
    <t>上記の対応が難しい場合、5月以降に現在の担当者の空きが発生し、別案件対応をお願いする可能性がございます。この場合、ご希望のタイミングでの案件開始が難しくなる場合がありますので、ご了承ください。</t>
    <rPh sb="34" eb="36">
      <t>タイオウ</t>
    </rPh>
    <rPh sb="38" eb="39">
      <t>ネガ</t>
    </rPh>
    <phoneticPr fontId="1"/>
  </si>
  <si>
    <t>改修案件について、初期流動工数は含まれておりません。なお、問い合わせ対応は保守工数で処理する想定です。</t>
    <rPh sb="46" eb="48">
      <t>ソウテイ</t>
    </rPh>
    <phoneticPr fontId="1"/>
  </si>
  <si>
    <t>概 算 御 見 積 書</t>
    <rPh sb="0" eb="1">
      <t>ガイ</t>
    </rPh>
    <rPh sb="2" eb="3">
      <t>サン</t>
    </rPh>
    <rPh sb="4" eb="5">
      <t>ゴ</t>
    </rPh>
    <rPh sb="6" eb="7">
      <t>ミ</t>
    </rPh>
    <rPh sb="8" eb="9">
      <t>セキ</t>
    </rPh>
    <rPh sb="10" eb="11">
      <t>ショ</t>
    </rPh>
    <phoneticPr fontId="12"/>
  </si>
  <si>
    <t>見積番号　</t>
    <rPh sb="0" eb="2">
      <t>ミツ</t>
    </rPh>
    <rPh sb="2" eb="4">
      <t>バンゴウ</t>
    </rPh>
    <phoneticPr fontId="12"/>
  </si>
  <si>
    <t>-</t>
    <phoneticPr fontId="1"/>
  </si>
  <si>
    <t>見積年月日</t>
    <rPh sb="0" eb="2">
      <t>ミツモリ</t>
    </rPh>
    <rPh sb="2" eb="5">
      <t>ネンガッピ</t>
    </rPh>
    <phoneticPr fontId="12"/>
  </si>
  <si>
    <t>出光興産株式会社　御中</t>
    <rPh sb="0" eb="2">
      <t>イデミツ</t>
    </rPh>
    <rPh sb="2" eb="4">
      <t>コウサン</t>
    </rPh>
    <rPh sb="4" eb="8">
      <t>カブシキガイシャ</t>
    </rPh>
    <rPh sb="9" eb="11">
      <t>オンチュウ</t>
    </rPh>
    <phoneticPr fontId="12"/>
  </si>
  <si>
    <t>株式会社システムエグゼ</t>
    <rPh sb="0" eb="4">
      <t>カブシキガイシャ</t>
    </rPh>
    <phoneticPr fontId="12"/>
  </si>
  <si>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7"/>
  </si>
  <si>
    <t>OVOL日本橋ビル7階</t>
    <phoneticPr fontId="17"/>
  </si>
  <si>
    <t>見積金額</t>
    <rPh sb="0" eb="2">
      <t>ミツモリ</t>
    </rPh>
    <rPh sb="2" eb="4">
      <t>キンガク</t>
    </rPh>
    <phoneticPr fontId="17"/>
  </si>
  <si>
    <t>担当: 髙橋　裕輔</t>
    <rPh sb="0" eb="2">
      <t>タントウ</t>
    </rPh>
    <rPh sb="4" eb="6">
      <t>タカハシ</t>
    </rPh>
    <rPh sb="7" eb="9">
      <t>ユウスケ</t>
    </rPh>
    <phoneticPr fontId="12"/>
  </si>
  <si>
    <t>MAIL: yusuke.takahashi@system-exe.jp</t>
    <phoneticPr fontId="12"/>
  </si>
  <si>
    <t>件名</t>
    <rPh sb="0" eb="2">
      <t>ケンメイ</t>
    </rPh>
    <phoneticPr fontId="12"/>
  </si>
  <si>
    <t>作業形態</t>
    <rPh sb="0" eb="2">
      <t>サギョウ</t>
    </rPh>
    <rPh sb="2" eb="4">
      <t>ケイタイ</t>
    </rPh>
    <phoneticPr fontId="17"/>
  </si>
  <si>
    <t>請負契約</t>
    <rPh sb="0" eb="2">
      <t>ウケオイ</t>
    </rPh>
    <rPh sb="2" eb="4">
      <t>ケイヤク</t>
    </rPh>
    <phoneticPr fontId="17"/>
  </si>
  <si>
    <t>作業場所</t>
    <rPh sb="0" eb="2">
      <t>サギョウ</t>
    </rPh>
    <rPh sb="2" eb="4">
      <t>バショ</t>
    </rPh>
    <phoneticPr fontId="17"/>
  </si>
  <si>
    <t>弊社内（在宅勤務を含む）</t>
    <rPh sb="0" eb="2">
      <t>ヘイシャ</t>
    </rPh>
    <rPh sb="2" eb="3">
      <t>ナイ</t>
    </rPh>
    <rPh sb="4" eb="6">
      <t>ザイタク</t>
    </rPh>
    <rPh sb="6" eb="8">
      <t>キンム</t>
    </rPh>
    <rPh sb="9" eb="10">
      <t>フク</t>
    </rPh>
    <phoneticPr fontId="17"/>
  </si>
  <si>
    <t>作業期間</t>
    <rPh sb="0" eb="2">
      <t>サギョウ</t>
    </rPh>
    <rPh sb="2" eb="4">
      <t>キカン</t>
    </rPh>
    <phoneticPr fontId="17"/>
  </si>
  <si>
    <t>見積金額内訳</t>
    <rPh sb="0" eb="2">
      <t>ミツモリ</t>
    </rPh>
    <rPh sb="2" eb="4">
      <t>キンガク</t>
    </rPh>
    <rPh sb="4" eb="6">
      <t>ウチワケ</t>
    </rPh>
    <phoneticPr fontId="12"/>
  </si>
  <si>
    <t>No</t>
    <phoneticPr fontId="12"/>
  </si>
  <si>
    <t>項目</t>
    <rPh sb="0" eb="2">
      <t>コウモク</t>
    </rPh>
    <phoneticPr fontId="12"/>
  </si>
  <si>
    <t>数量</t>
    <rPh sb="0" eb="2">
      <t>スウリョウ</t>
    </rPh>
    <phoneticPr fontId="12"/>
  </si>
  <si>
    <t>金額</t>
    <rPh sb="0" eb="2">
      <t>キンガク</t>
    </rPh>
    <phoneticPr fontId="17"/>
  </si>
  <si>
    <t>単価</t>
    <rPh sb="0" eb="2">
      <t>タンカ</t>
    </rPh>
    <phoneticPr fontId="12"/>
  </si>
  <si>
    <t>人月</t>
    <rPh sb="0" eb="2">
      <t>ニンゲツ</t>
    </rPh>
    <phoneticPr fontId="17"/>
  </si>
  <si>
    <t>設計</t>
    <rPh sb="0" eb="2">
      <t>セッケイ</t>
    </rPh>
    <phoneticPr fontId="12"/>
  </si>
  <si>
    <t>改修</t>
    <rPh sb="0" eb="2">
      <t>カイシュウ</t>
    </rPh>
    <phoneticPr fontId="12"/>
  </si>
  <si>
    <t>テスト</t>
    <phoneticPr fontId="12"/>
  </si>
  <si>
    <t>リリース</t>
    <phoneticPr fontId="12"/>
  </si>
  <si>
    <t>初期流動</t>
    <phoneticPr fontId="12"/>
  </si>
  <si>
    <t>プロジェクト管理</t>
    <rPh sb="6" eb="8">
      <t>カンリ</t>
    </rPh>
    <phoneticPr fontId="12"/>
  </si>
  <si>
    <t>合計</t>
    <rPh sb="0" eb="2">
      <t>ゴウケイ</t>
    </rPh>
    <phoneticPr fontId="12"/>
  </si>
  <si>
    <t>-</t>
    <phoneticPr fontId="17"/>
  </si>
  <si>
    <t>納品物</t>
    <rPh sb="0" eb="2">
      <t>ノウヒン</t>
    </rPh>
    <rPh sb="2" eb="3">
      <t>ブツ</t>
    </rPh>
    <phoneticPr fontId="12"/>
  </si>
  <si>
    <t>・</t>
    <phoneticPr fontId="17"/>
  </si>
  <si>
    <t>設計書</t>
    <rPh sb="0" eb="3">
      <t>セッケイショ</t>
    </rPh>
    <phoneticPr fontId="17"/>
  </si>
  <si>
    <t>結合テスト仕様書兼結果報告書</t>
    <rPh sb="0" eb="2">
      <t>ケツゴウ</t>
    </rPh>
    <rPh sb="5" eb="7">
      <t>シヨウ</t>
    </rPh>
    <rPh sb="8" eb="9">
      <t>ケン</t>
    </rPh>
    <rPh sb="9" eb="11">
      <t>ケッカ</t>
    </rPh>
    <phoneticPr fontId="17"/>
  </si>
  <si>
    <t>ソースコード</t>
    <phoneticPr fontId="17"/>
  </si>
  <si>
    <t>本番作業手順書</t>
    <phoneticPr fontId="21"/>
  </si>
  <si>
    <t>作業内容</t>
    <rPh sb="0" eb="2">
      <t>サギョウ</t>
    </rPh>
    <rPh sb="2" eb="4">
      <t>ナイヨウ</t>
    </rPh>
    <phoneticPr fontId="17"/>
  </si>
  <si>
    <t>工程</t>
    <rPh sb="0" eb="2">
      <t>コウテイ</t>
    </rPh>
    <phoneticPr fontId="12"/>
  </si>
  <si>
    <t>成果物</t>
    <phoneticPr fontId="17"/>
  </si>
  <si>
    <t>・</t>
  </si>
  <si>
    <t>基本設計書</t>
    <rPh sb="0" eb="4">
      <t>キホンセッケイ</t>
    </rPh>
    <rPh sb="4" eb="5">
      <t>ショ</t>
    </rPh>
    <phoneticPr fontId="1"/>
  </si>
  <si>
    <t>詳細設計書</t>
    <phoneticPr fontId="1"/>
  </si>
  <si>
    <t>開発・単体テスト</t>
    <phoneticPr fontId="12"/>
  </si>
  <si>
    <t>「改修対象」を参照</t>
    <rPh sb="1" eb="3">
      <t>カイシュウ</t>
    </rPh>
    <rPh sb="3" eb="5">
      <t>タイショウ</t>
    </rPh>
    <rPh sb="7" eb="9">
      <t>サンショウ</t>
    </rPh>
    <phoneticPr fontId="17"/>
  </si>
  <si>
    <t>プログラム一式</t>
    <rPh sb="5" eb="7">
      <t>イッシキ</t>
    </rPh>
    <phoneticPr fontId="17"/>
  </si>
  <si>
    <t>結合テスト</t>
    <phoneticPr fontId="12"/>
  </si>
  <si>
    <t>結合テスト実施</t>
    <rPh sb="5" eb="7">
      <t>ジッシ</t>
    </rPh>
    <phoneticPr fontId="1"/>
  </si>
  <si>
    <t>・</t>
    <phoneticPr fontId="12"/>
  </si>
  <si>
    <t>結合テスト仕様書</t>
    <phoneticPr fontId="1"/>
  </si>
  <si>
    <t>受入テスト</t>
    <phoneticPr fontId="12"/>
  </si>
  <si>
    <t>受入テスト対応</t>
  </si>
  <si>
    <t>作業手順書作成</t>
    <rPh sb="0" eb="5">
      <t>サギョウテジュンショ</t>
    </rPh>
    <rPh sb="5" eb="7">
      <t>サクセイ</t>
    </rPh>
    <phoneticPr fontId="1"/>
  </si>
  <si>
    <t>本番作業手順書</t>
    <phoneticPr fontId="1"/>
  </si>
  <si>
    <t>リリース作業実施</t>
    <rPh sb="4" eb="6">
      <t>サギョウ</t>
    </rPh>
    <rPh sb="6" eb="8">
      <t>ジッシ</t>
    </rPh>
    <phoneticPr fontId="1"/>
  </si>
  <si>
    <t>スケジュール管理</t>
    <phoneticPr fontId="17"/>
  </si>
  <si>
    <t>進捗報告書</t>
    <rPh sb="0" eb="4">
      <t>シンチョクホウ</t>
    </rPh>
    <rPh sb="4" eb="5">
      <t>ショ</t>
    </rPh>
    <phoneticPr fontId="17"/>
  </si>
  <si>
    <t>レビュー、進捗管理・報告</t>
    <phoneticPr fontId="17"/>
  </si>
  <si>
    <t>課題管理表</t>
    <rPh sb="0" eb="2">
      <t>カダイ</t>
    </rPh>
    <rPh sb="2" eb="4">
      <t>カンリ</t>
    </rPh>
    <rPh sb="4" eb="5">
      <t>ヒョウ</t>
    </rPh>
    <phoneticPr fontId="17"/>
  </si>
  <si>
    <t>打ち合わせ等</t>
    <rPh sb="0" eb="1">
      <t>ウ</t>
    </rPh>
    <rPh sb="2" eb="3">
      <t>ア</t>
    </rPh>
    <rPh sb="5" eb="6">
      <t>トウ</t>
    </rPh>
    <phoneticPr fontId="21"/>
  </si>
  <si>
    <t>改修対象</t>
    <rPh sb="0" eb="2">
      <t>カイシュウ</t>
    </rPh>
    <rPh sb="2" eb="4">
      <t>タイショウ</t>
    </rPh>
    <phoneticPr fontId="17"/>
  </si>
  <si>
    <t>【検索関連】</t>
    <phoneticPr fontId="17"/>
  </si>
  <si>
    <t>スケジュール</t>
    <phoneticPr fontId="12"/>
  </si>
  <si>
    <t>開発・単体テスト</t>
    <phoneticPr fontId="17"/>
  </si>
  <si>
    <t>結合テスト</t>
    <rPh sb="0" eb="2">
      <t>ケツゴウ</t>
    </rPh>
    <phoneticPr fontId="17"/>
  </si>
  <si>
    <t>受入テスト</t>
    <phoneticPr fontId="17"/>
  </si>
  <si>
    <t>受入支援</t>
    <rPh sb="2" eb="4">
      <t>シエン</t>
    </rPh>
    <phoneticPr fontId="17"/>
  </si>
  <si>
    <t>リリース・本稼働</t>
    <rPh sb="5" eb="6">
      <t>ホン</t>
    </rPh>
    <rPh sb="6" eb="8">
      <t>カドウ</t>
    </rPh>
    <phoneticPr fontId="17"/>
  </si>
  <si>
    <t>凡例</t>
    <rPh sb="0" eb="2">
      <t>ハンレイ</t>
    </rPh>
    <phoneticPr fontId="17"/>
  </si>
  <si>
    <t>貴社作業</t>
    <rPh sb="0" eb="2">
      <t>キシャ</t>
    </rPh>
    <rPh sb="2" eb="4">
      <t>サギョウ</t>
    </rPh>
    <phoneticPr fontId="17"/>
  </si>
  <si>
    <t>弊社作業</t>
    <rPh sb="0" eb="2">
      <t>ヘイシャ</t>
    </rPh>
    <rPh sb="2" eb="4">
      <t>サギョウ</t>
    </rPh>
    <phoneticPr fontId="17"/>
  </si>
  <si>
    <t>体制</t>
    <rPh sb="0" eb="2">
      <t>タイセイ</t>
    </rPh>
    <phoneticPr fontId="17"/>
  </si>
  <si>
    <t xml:space="preserve"> 責任者
 川名翔太</t>
    <rPh sb="1" eb="4">
      <t>セキニンシャ</t>
    </rPh>
    <phoneticPr fontId="12"/>
  </si>
  <si>
    <t xml:space="preserve"> PM
 髙橋裕輔</t>
    <rPh sb="5" eb="7">
      <t>タカハシ</t>
    </rPh>
    <rPh sb="7" eb="9">
      <t>ユウスケ</t>
    </rPh>
    <phoneticPr fontId="17"/>
  </si>
  <si>
    <t>その他の前提条件</t>
    <rPh sb="2" eb="3">
      <t>タ</t>
    </rPh>
    <rPh sb="4" eb="6">
      <t>ゼンテイ</t>
    </rPh>
    <rPh sb="6" eb="8">
      <t>ジョウケン</t>
    </rPh>
    <phoneticPr fontId="12"/>
  </si>
  <si>
    <t>１．御見積範囲について</t>
    <rPh sb="5" eb="7">
      <t>ハンイ</t>
    </rPh>
    <phoneticPr fontId="12"/>
  </si>
  <si>
    <t>以下の費用は本見積には含まれておりません。</t>
    <rPh sb="0" eb="2">
      <t>イカ</t>
    </rPh>
    <rPh sb="3" eb="5">
      <t>ヒヨウ</t>
    </rPh>
    <rPh sb="6" eb="7">
      <t>ホン</t>
    </rPh>
    <rPh sb="7" eb="9">
      <t>ミツモリ</t>
    </rPh>
    <rPh sb="11" eb="12">
      <t>フク</t>
    </rPh>
    <phoneticPr fontId="17"/>
  </si>
  <si>
    <t>・ハードウェア・ミドルウェアの調達に係る費用および設置等に係る作業費用</t>
    <rPh sb="15" eb="17">
      <t>チョウタツ</t>
    </rPh>
    <rPh sb="18" eb="19">
      <t>カカ</t>
    </rPh>
    <rPh sb="20" eb="22">
      <t>ヒヨウ</t>
    </rPh>
    <phoneticPr fontId="12"/>
  </si>
  <si>
    <t>・ネットワーク費用およびネットワークの設置やセットアップ等に係る作業費用</t>
    <phoneticPr fontId="12"/>
  </si>
  <si>
    <t>　　</t>
    <phoneticPr fontId="12"/>
  </si>
  <si>
    <t>２．作業場所について</t>
    <rPh sb="2" eb="4">
      <t>サギョウ</t>
    </rPh>
    <rPh sb="4" eb="6">
      <t>バショ</t>
    </rPh>
    <phoneticPr fontId="12"/>
  </si>
  <si>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12"/>
  </si>
  <si>
    <t>上記以外での作業が発生した場合には交通費・宿泊費等を別途ご請求させていただきます。</t>
    <rPh sb="0" eb="2">
      <t>ジョウキ</t>
    </rPh>
    <rPh sb="2" eb="4">
      <t>イガイ</t>
    </rPh>
    <phoneticPr fontId="12"/>
  </si>
  <si>
    <t>３．瑕疵担保期間について</t>
    <rPh sb="2" eb="4">
      <t>カシ</t>
    </rPh>
    <rPh sb="4" eb="6">
      <t>タンポ</t>
    </rPh>
    <rPh sb="6" eb="8">
      <t>キカン</t>
    </rPh>
    <phoneticPr fontId="17"/>
  </si>
  <si>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7"/>
  </si>
  <si>
    <t>（検収日より1年間に限り契約不適合責任を追及できることとします。）</t>
    <phoneticPr fontId="17"/>
  </si>
  <si>
    <t>受入テストにつきましては、貴社にて実施をお願いいたします。</t>
    <rPh sb="0" eb="2">
      <t>ウケイレ</t>
    </rPh>
    <rPh sb="13" eb="15">
      <t>キシャ</t>
    </rPh>
    <rPh sb="17" eb="19">
      <t>ジッシ</t>
    </rPh>
    <rPh sb="21" eb="22">
      <t>ネガイ</t>
    </rPh>
    <phoneticPr fontId="17"/>
  </si>
  <si>
    <t>本御見積書記載以外の作業が発生時した場合は、両社協議の上、追加見積させていただく</t>
  </si>
  <si>
    <t>場合がございます。</t>
    <phoneticPr fontId="12"/>
  </si>
  <si>
    <t>IFC生産委託ポータル　下請法対応概算見積②</t>
    <rPh sb="3" eb="7">
      <t>セイサンイタク</t>
    </rPh>
    <rPh sb="12" eb="15">
      <t>シタウケホウ</t>
    </rPh>
    <rPh sb="15" eb="17">
      <t>タイオウ</t>
    </rPh>
    <rPh sb="17" eb="21">
      <t>ガイサンミツモリ</t>
    </rPh>
    <phoneticPr fontId="1"/>
  </si>
  <si>
    <t>下請法対応機能を追加する。
（文言表示機能）</t>
    <rPh sb="0" eb="3">
      <t>シタウケホウ</t>
    </rPh>
    <rPh sb="3" eb="5">
      <t>タイオウ</t>
    </rPh>
    <rPh sb="5" eb="7">
      <t>キノウ</t>
    </rPh>
    <rPh sb="8" eb="10">
      <t>ツイカ</t>
    </rPh>
    <rPh sb="15" eb="19">
      <t>モンゴンヒョウジ</t>
    </rPh>
    <rPh sb="19" eb="21">
      <t>キノウ</t>
    </rPh>
    <phoneticPr fontId="1"/>
  </si>
  <si>
    <t>【試験結果確認画面】
　・下請法に関するメッセージを表示する
　　　文言：検査を完了する期日（検収日：即日）
　　　場所：一覧表の上部若しくは下部
　　　条件：下請法対象の委託先の場合
【委託先マスタ】
　・下請法対象フラグを追加
　・初期データ登録</t>
    <rPh sb="13" eb="16">
      <t>シタウケホウ</t>
    </rPh>
    <rPh sb="17" eb="18">
      <t>カン</t>
    </rPh>
    <rPh sb="26" eb="28">
      <t>ヒョウジ</t>
    </rPh>
    <rPh sb="34" eb="36">
      <t>モンゴン</t>
    </rPh>
    <rPh sb="58" eb="60">
      <t>バショ</t>
    </rPh>
    <rPh sb="61" eb="64">
      <t>イチランヒョウ</t>
    </rPh>
    <rPh sb="65" eb="67">
      <t>ジョウブ</t>
    </rPh>
    <rPh sb="67" eb="68">
      <t>モ</t>
    </rPh>
    <rPh sb="71" eb="73">
      <t>カブ</t>
    </rPh>
    <rPh sb="77" eb="79">
      <t>ジョウケン</t>
    </rPh>
    <rPh sb="86" eb="89">
      <t>イタクサキ</t>
    </rPh>
    <rPh sb="90" eb="92">
      <t>バアイ</t>
    </rPh>
    <rPh sb="94" eb="97">
      <t>イタクサキ</t>
    </rPh>
    <rPh sb="104" eb="107">
      <t>シタウケホウ</t>
    </rPh>
    <rPh sb="107" eb="109">
      <t>タイショウ</t>
    </rPh>
    <rPh sb="113" eb="115">
      <t>ツイカ</t>
    </rPh>
    <rPh sb="118" eb="120">
      <t>ショキ</t>
    </rPh>
    <rPh sb="123" eb="125">
      <t>トウロク</t>
    </rPh>
    <phoneticPr fontId="1"/>
  </si>
  <si>
    <t>【試験結果確認画面】</t>
  </si>
  <si>
    <t>　・下請法に関するメッセージを表示する</t>
  </si>
  <si>
    <t>　　　文言：検査を完了する期日（検収日：即日）</t>
  </si>
  <si>
    <t>　　　場所：一覧表の上部若しくは下部</t>
  </si>
  <si>
    <t>　　　条件：下請法対象の委託先の場合</t>
  </si>
  <si>
    <t>【委託先マスタ】</t>
  </si>
  <si>
    <t>　・下請法対象フラグを追加</t>
  </si>
  <si>
    <t>　・初期データ登録</t>
  </si>
  <si>
    <t>（仮）2025年8月18日 ～ 2025年8月29日</t>
    <rPh sb="7" eb="8">
      <t>ネン</t>
    </rPh>
    <rPh sb="9" eb="10">
      <t>ガツ</t>
    </rPh>
    <rPh sb="12" eb="13">
      <t>ニチ</t>
    </rPh>
    <rPh sb="20" eb="21">
      <t>ネン</t>
    </rPh>
    <rPh sb="22" eb="23">
      <t>ガツ</t>
    </rPh>
    <rPh sb="25" eb="26">
      <t>ニチ</t>
    </rPh>
    <phoneticPr fontId="17"/>
  </si>
  <si>
    <t>１D</t>
    <phoneticPr fontId="17"/>
  </si>
  <si>
    <t>２D</t>
  </si>
  <si>
    <t>３D</t>
  </si>
  <si>
    <t>４D</t>
  </si>
  <si>
    <t>５D</t>
  </si>
  <si>
    <t>６D</t>
  </si>
  <si>
    <t>７D</t>
  </si>
  <si>
    <t>８D</t>
  </si>
  <si>
    <t>９D</t>
  </si>
  <si>
    <t>１０D</t>
  </si>
  <si>
    <t>設計</t>
    <rPh sb="0" eb="2">
      <t>セッケイ</t>
    </rPh>
    <phoneticPr fontId="1"/>
  </si>
  <si>
    <t>設計</t>
    <rPh sb="0" eb="2">
      <t>セッケイ</t>
    </rPh>
    <phoneticPr fontId="17"/>
  </si>
  <si>
    <t>下請法対象企業一覧につきましては、7月中旬までにご提示お願いいたします。</t>
    <rPh sb="0" eb="7">
      <t>シタウケホウタイショウキギョウ</t>
    </rPh>
    <rPh sb="7" eb="9">
      <t>イチラン</t>
    </rPh>
    <rPh sb="18" eb="19">
      <t>ガツ</t>
    </rPh>
    <rPh sb="19" eb="21">
      <t>チュウジュン</t>
    </rPh>
    <rPh sb="25" eb="27">
      <t>テイジ</t>
    </rPh>
    <rPh sb="28" eb="29">
      <t>ネガ</t>
    </rPh>
    <phoneticPr fontId="1"/>
  </si>
  <si>
    <t>基本設計作成（既存更新）</t>
    <rPh sb="0" eb="4">
      <t>キホンセッケイ</t>
    </rPh>
    <rPh sb="4" eb="6">
      <t>サクセイ</t>
    </rPh>
    <rPh sb="7" eb="9">
      <t>キゾン</t>
    </rPh>
    <rPh sb="9" eb="11">
      <t>コウシン</t>
    </rPh>
    <phoneticPr fontId="1"/>
  </si>
  <si>
    <t>詳細設計作成（既存更新）</t>
    <rPh sb="4" eb="6">
      <t>サクセイ</t>
    </rPh>
    <phoneticPr fontId="1"/>
  </si>
  <si>
    <t>夏季休暇</t>
    <rPh sb="0" eb="4">
      <t>カキキュウカ</t>
    </rPh>
    <phoneticPr fontId="1"/>
  </si>
  <si>
    <t>初期流動</t>
    <rPh sb="0" eb="4">
      <t>ショキリュウドウ</t>
    </rPh>
    <phoneticPr fontId="1"/>
  </si>
  <si>
    <t>IFC生産委託ポータル 下請法対応</t>
    <rPh sb="3" eb="5">
      <t>セイサン</t>
    </rPh>
    <rPh sb="5" eb="7">
      <t>イタク</t>
    </rPh>
    <rPh sb="12" eb="17">
      <t>シタウケホウタイオウ</t>
    </rPh>
    <phoneticPr fontId="12"/>
  </si>
  <si>
    <t>他の機能改修と併せて対応することを前提とした工数を記載いたしております。</t>
    <rPh sb="0" eb="1">
      <t>ホカ</t>
    </rPh>
    <rPh sb="2" eb="4">
      <t>キノウ</t>
    </rPh>
    <rPh sb="4" eb="6">
      <t>カイシュウ</t>
    </rPh>
    <rPh sb="7" eb="8">
      <t>アワ</t>
    </rPh>
    <rPh sb="10" eb="12">
      <t>タイオウ</t>
    </rPh>
    <rPh sb="17" eb="19">
      <t>ゼンテイ</t>
    </rPh>
    <rPh sb="22" eb="24">
      <t>コウスウ</t>
    </rPh>
    <rPh sb="25" eb="27">
      <t>キサイ</t>
    </rPh>
    <phoneticPr fontId="1"/>
  </si>
  <si>
    <t>４．システムテストについて</t>
    <phoneticPr fontId="17"/>
  </si>
  <si>
    <t>５．受入テストについて</t>
    <rPh sb="2" eb="4">
      <t>ウケイレ</t>
    </rPh>
    <phoneticPr fontId="17"/>
  </si>
  <si>
    <t>６．リリースについて</t>
    <phoneticPr fontId="17"/>
  </si>
  <si>
    <t>結合テストにて全ての開発内容を確認できるため、システムテストは省略いたします。</t>
    <rPh sb="0" eb="2">
      <t>ケツゴウ</t>
    </rPh>
    <rPh sb="7" eb="8">
      <t>スベ</t>
    </rPh>
    <rPh sb="10" eb="12">
      <t>カイハツ</t>
    </rPh>
    <rPh sb="12" eb="14">
      <t>ナイヨウ</t>
    </rPh>
    <rPh sb="15" eb="17">
      <t>カクニン</t>
    </rPh>
    <rPh sb="31" eb="33">
      <t>ショウリャク</t>
    </rPh>
    <phoneticPr fontId="1"/>
  </si>
  <si>
    <t>リリース後の下請法対象企業のメンテナンスにつきましては、保守対応とさせていただきます。</t>
    <rPh sb="4" eb="5">
      <t>ゴ</t>
    </rPh>
    <rPh sb="6" eb="13">
      <t>シタウケホウタイショウキギョウ</t>
    </rPh>
    <rPh sb="28" eb="32">
      <t>ホシュタイオウ</t>
    </rPh>
    <phoneticPr fontId="1"/>
  </si>
  <si>
    <t>７．リリース後の下請法対象企業マスタメンテナンス</t>
    <rPh sb="6" eb="7">
      <t>ゴ</t>
    </rPh>
    <rPh sb="8" eb="11">
      <t>シタウケホウ</t>
    </rPh>
    <rPh sb="11" eb="13">
      <t>タイショウ</t>
    </rPh>
    <rPh sb="13" eb="15">
      <t>キギョウ</t>
    </rPh>
    <phoneticPr fontId="17"/>
  </si>
  <si>
    <t>８．下請法対象企業一覧について</t>
    <rPh sb="9" eb="11">
      <t>イチラン</t>
    </rPh>
    <phoneticPr fontId="17"/>
  </si>
  <si>
    <t>９．その他</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</si>
</sst>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6" formatCode="&quot;¥&quot;#,##0;[Red]&quot;¥&quot;\-#,##0"/>
    <numFmt numFmtId="176" formatCode="#,##0.0_ "/>
    <numFmt numFmtId="177" formatCode="0.0"/>
    <numFmt numFmtId="178" formatCode="&quot;¥&quot;#,##0_);[Red]\(&quot;¥&quot;#,##0\)"/>
    <numFmt numFmtId="179" formatCode="#,##0.00_ "/>
    <numFmt numFmtId="180" formatCode="m/d;@"/>
    <numFmt numFmtId="181" formatCode="&quot;¥&quot;#,##0.\-"/>
    <numFmt numFmtId="182" formatCode="0.000_);[Red]\(0.000\)"/>
  </numFmts>
  <fonts count="26"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b/>
      <sz val="11"/>
      <color theme="0"/>
      <name val="游ゴシック"/>
      <family val="3"/>
      <charset val="128"/>
      <scheme val="minor"/>
    </font>
    <font>
      <b/>
      <sz val="14"/>
      <color theme="1"/>
      <name val="游ゴシック"/>
      <family val="3"/>
      <charset val="128"/>
      <scheme val="minor"/>
    </font>
    <font>
      <b/>
      <sz val="11"/>
      <color theme="1"/>
      <name val="游ゴシック"/>
      <family val="3"/>
      <charset val="128"/>
      <scheme val="minor"/>
    </font>
    <font>
      <sz val="11"/>
      <color theme="1"/>
      <name val="游ゴシック"/>
      <family val="2"/>
      <charset val="128"/>
      <scheme val="minor"/>
    </font>
    <font>
      <b/>
      <sz val="10"/>
      <color theme="0"/>
      <name val="游ゴシック"/>
      <family val="3"/>
      <charset val="128"/>
      <scheme val="minor"/>
    </font>
    <font>
      <b/>
      <sz val="9"/>
      <color theme="0"/>
      <name val="游ゴシック"/>
      <family val="3"/>
      <charset val="128"/>
      <scheme val="minor"/>
    </font>
    <font>
      <b/>
      <sz val="11"/>
      <color rgb="FFFF0000"/>
      <name val="游ゴシック"/>
      <family val="3"/>
      <charset val="128"/>
      <scheme val="minor"/>
    </font>
    <font>
      <sz val="11"/>
      <color theme="1"/>
      <name val="游ゴシック"/>
      <family val="2"/>
      <scheme val="minor"/>
    </font>
    <font>
      <b/>
      <sz val="26"/>
      <name val="ＭＳ 明朝"/>
      <family val="1"/>
      <charset val="128"/>
    </font>
    <font>
      <sz val="6"/>
      <name val="ＭＳ Ｐゴシック"/>
      <family val="3"/>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sz val="9"/>
      <color theme="1"/>
      <name val="Meiryo UI"/>
      <family val="3"/>
      <charset val="128"/>
    </font>
    <font>
      <u/>
      <sz val="10"/>
      <name val="ＭＳ 明朝"/>
      <family val="1"/>
      <charset val="128"/>
    </font>
    <font>
      <sz val="10"/>
      <name val="ＭＳ 明朝"/>
      <family val="1"/>
    </font>
    <font>
      <sz val="10"/>
      <color theme="0"/>
      <name val="ＭＳ 明朝"/>
      <family val="1"/>
      <charset val="128"/>
    </font>
    <font>
      <sz val="11"/>
      <name val="ＭＳ Ｐゴシック"/>
      <family val="3"/>
      <charset val="128"/>
    </font>
  </fonts>
  <fills count="7">
    <fill>
      <patternFill patternType="none"/>
    </fill>
    <fill>
      <patternFill patternType="gray125"/>
    </fill>
    <fill>
      <patternFill patternType="solid">
        <fgColor theme="6"/>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CFF"/>
        <bgColor indexed="64"/>
      </patternFill>
    </fill>
    <fill>
      <patternFill patternType="solid">
        <fgColor theme="0" tint="-0.149998474074526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hair">
        <color indexed="64"/>
      </bottom>
      <diagonal/>
    </border>
    <border>
      <left/>
      <right/>
      <top style="hair">
        <color indexed="64"/>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s>
  <cellStyleXfs count="5">
    <xf numFmtId="0" fontId="0" fillId="0" borderId="0">
      <alignment vertical="center"/>
    </xf>
    <xf numFmtId="0" fontId="2" fillId="0" borderId="0">
      <alignment vertical="center"/>
    </xf>
    <xf numFmtId="6" fontId="6" fillId="0" borderId="0" applyFont="0" applyFill="0" applyBorder="0" applyAlignment="0" applyProtection="0">
      <alignment vertical="center"/>
    </xf>
    <xf numFmtId="0" fontId="10" fillId="0" borderId="0"/>
    <xf numFmtId="0" fontId="25" fillId="0" borderId="0">
      <alignment vertical="center"/>
    </xf>
  </cellStyleXfs>
  <cellXfs count="167">
    <xf numFmtId="0" fontId="0" fillId="0" borderId="0" xfId="0">
      <alignment vertical="center"/>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3" fillId="2" borderId="1" xfId="0" applyFont="1" applyFill="1" applyBorder="1" applyAlignment="1">
      <alignment horizontal="left" vertical="top"/>
    </xf>
    <xf numFmtId="0" fontId="3" fillId="2" borderId="1" xfId="0" applyFont="1" applyFill="1" applyBorder="1" applyAlignment="1">
      <alignment vertical="top" wrapText="1"/>
    </xf>
    <xf numFmtId="176" fontId="0" fillId="0" borderId="0" xfId="0" applyNumberFormat="1" applyAlignment="1">
      <alignment vertical="top"/>
    </xf>
    <xf numFmtId="0" fontId="4" fillId="0" borderId="0" xfId="0" applyFont="1" applyAlignment="1">
      <alignment horizontal="left" vertical="top"/>
    </xf>
    <xf numFmtId="0" fontId="0" fillId="0" borderId="2" xfId="0" applyBorder="1" applyAlignment="1">
      <alignment horizontal="left"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vertical="top"/>
    </xf>
    <xf numFmtId="0" fontId="0" fillId="0" borderId="6" xfId="0" applyBorder="1" applyAlignment="1">
      <alignment vertical="top" wrapText="1"/>
    </xf>
    <xf numFmtId="176" fontId="0" fillId="0" borderId="7" xfId="0" applyNumberFormat="1" applyBorder="1" applyAlignment="1">
      <alignment vertical="top"/>
    </xf>
    <xf numFmtId="176" fontId="0" fillId="0" borderId="8" xfId="0" applyNumberFormat="1" applyBorder="1" applyAlignment="1">
      <alignment vertical="top"/>
    </xf>
    <xf numFmtId="176" fontId="0" fillId="0" borderId="9" xfId="0" applyNumberFormat="1" applyBorder="1" applyAlignment="1">
      <alignment vertical="top"/>
    </xf>
    <xf numFmtId="176" fontId="3" fillId="2" borderId="1" xfId="0" applyNumberFormat="1"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vertical="top"/>
    </xf>
    <xf numFmtId="176" fontId="3" fillId="2" borderId="12" xfId="0" applyNumberFormat="1" applyFont="1" applyFill="1" applyBorder="1" applyAlignment="1">
      <alignment horizontal="center" vertical="top" wrapText="1"/>
    </xf>
    <xf numFmtId="176" fontId="3" fillId="0" borderId="0" xfId="0" applyNumberFormat="1" applyFont="1" applyAlignment="1">
      <alignment horizontal="center" vertical="top" wrapText="1"/>
    </xf>
    <xf numFmtId="0" fontId="5" fillId="0" borderId="0" xfId="0" applyFont="1" applyAlignment="1">
      <alignment horizontal="center" vertical="center"/>
    </xf>
    <xf numFmtId="178" fontId="0" fillId="0" borderId="1" xfId="0" applyNumberFormat="1" applyBorder="1" applyAlignment="1">
      <alignment vertical="top"/>
    </xf>
    <xf numFmtId="176" fontId="0" fillId="0" borderId="1" xfId="0" applyNumberFormat="1" applyBorder="1" applyAlignment="1">
      <alignment vertical="top"/>
    </xf>
    <xf numFmtId="176" fontId="0" fillId="0" borderId="0" xfId="0" applyNumberFormat="1">
      <alignment vertical="center"/>
    </xf>
    <xf numFmtId="177" fontId="0" fillId="0" borderId="10" xfId="0" applyNumberFormat="1" applyBorder="1" applyAlignment="1">
      <alignment vertical="top" wrapText="1"/>
    </xf>
    <xf numFmtId="177" fontId="0" fillId="0" borderId="11" xfId="0" applyNumberFormat="1" applyBorder="1" applyAlignment="1">
      <alignment vertical="top" wrapText="1"/>
    </xf>
    <xf numFmtId="0" fontId="2" fillId="0" borderId="0" xfId="0" applyFont="1" applyAlignment="1">
      <alignment vertical="top" wrapText="1"/>
    </xf>
    <xf numFmtId="14" fontId="0" fillId="0" borderId="0" xfId="0" applyNumberFormat="1" applyAlignment="1">
      <alignment vertical="top" wrapText="1"/>
    </xf>
    <xf numFmtId="177" fontId="0" fillId="0" borderId="0" xfId="0" applyNumberFormat="1" applyAlignment="1">
      <alignment vertical="top" wrapText="1"/>
    </xf>
    <xf numFmtId="180" fontId="3" fillId="2" borderId="1" xfId="0" applyNumberFormat="1" applyFont="1" applyFill="1" applyBorder="1" applyAlignment="1">
      <alignment vertical="top" wrapText="1"/>
    </xf>
    <xf numFmtId="0" fontId="2" fillId="0" borderId="1" xfId="0" applyFont="1" applyBorder="1" applyAlignment="1">
      <alignment vertical="top" wrapText="1"/>
    </xf>
    <xf numFmtId="176" fontId="0" fillId="0" borderId="11" xfId="0" applyNumberFormat="1" applyBorder="1" applyAlignment="1">
      <alignment horizontal="right" vertical="top"/>
    </xf>
    <xf numFmtId="176" fontId="0" fillId="0" borderId="1" xfId="0" applyNumberFormat="1" applyBorder="1" applyAlignment="1">
      <alignment horizontal="right" vertical="top"/>
    </xf>
    <xf numFmtId="177" fontId="0" fillId="0" borderId="0" xfId="0" applyNumberFormat="1" applyAlignment="1">
      <alignment vertical="top"/>
    </xf>
    <xf numFmtId="179" fontId="0" fillId="0" borderId="1" xfId="0" applyNumberFormat="1" applyBorder="1" applyAlignment="1">
      <alignment horizontal="right" vertical="top"/>
    </xf>
    <xf numFmtId="49" fontId="0" fillId="0" borderId="0" xfId="0" applyNumberFormat="1" applyAlignment="1">
      <alignment horizontal="right" vertical="top"/>
    </xf>
    <xf numFmtId="14" fontId="0" fillId="0" borderId="1" xfId="0" quotePrefix="1" applyNumberFormat="1" applyBorder="1" applyAlignment="1">
      <alignment vertical="top" wrapText="1"/>
    </xf>
    <xf numFmtId="177" fontId="0" fillId="0" borderId="1" xfId="0" applyNumberFormat="1" applyBorder="1" applyAlignment="1">
      <alignment vertical="top"/>
    </xf>
    <xf numFmtId="6" fontId="0" fillId="0" borderId="1" xfId="2" applyFont="1" applyFill="1" applyBorder="1" applyAlignment="1">
      <alignment vertical="top"/>
    </xf>
    <xf numFmtId="14" fontId="0" fillId="0" borderId="10" xfId="0" applyNumberFormat="1" applyBorder="1" applyAlignment="1">
      <alignment vertical="top" wrapText="1"/>
    </xf>
    <xf numFmtId="180" fontId="3" fillId="5" borderId="1" xfId="0" applyNumberFormat="1" applyFont="1" applyFill="1" applyBorder="1" applyAlignment="1">
      <alignment vertical="top" wrapText="1"/>
    </xf>
    <xf numFmtId="0" fontId="7" fillId="2" borderId="1" xfId="0" applyFont="1" applyFill="1" applyBorder="1" applyAlignment="1">
      <alignment vertical="top" wrapText="1"/>
    </xf>
    <xf numFmtId="0" fontId="8" fillId="2" borderId="1" xfId="0" applyFont="1" applyFill="1" applyBorder="1" applyAlignment="1">
      <alignment vertical="top" wrapText="1"/>
    </xf>
    <xf numFmtId="14" fontId="0" fillId="0" borderId="1" xfId="0" applyNumberFormat="1" applyBorder="1" applyAlignment="1">
      <alignment vertical="top" wrapText="1"/>
    </xf>
    <xf numFmtId="0" fontId="0" fillId="0" borderId="1" xfId="0" applyBorder="1">
      <alignment vertical="center"/>
    </xf>
    <xf numFmtId="14" fontId="0" fillId="0" borderId="13" xfId="0" applyNumberFormat="1" applyBorder="1" applyAlignment="1">
      <alignment vertical="top" wrapText="1"/>
    </xf>
    <xf numFmtId="0" fontId="0" fillId="0" borderId="13" xfId="0" applyBorder="1">
      <alignment vertical="center"/>
    </xf>
    <xf numFmtId="0" fontId="0" fillId="0" borderId="11" xfId="0" applyBorder="1">
      <alignment vertical="center"/>
    </xf>
    <xf numFmtId="177" fontId="7" fillId="2" borderId="1" xfId="0" applyNumberFormat="1" applyFont="1" applyFill="1" applyBorder="1" applyAlignment="1">
      <alignment vertical="top" wrapText="1"/>
    </xf>
    <xf numFmtId="0" fontId="9" fillId="0" borderId="0" xfId="0" applyFont="1" applyAlignment="1">
      <alignment vertical="top"/>
    </xf>
    <xf numFmtId="0" fontId="13" fillId="0" borderId="0" xfId="3" applyFont="1" applyAlignment="1">
      <alignment vertical="center"/>
    </xf>
    <xf numFmtId="0" fontId="14" fillId="0" borderId="14" xfId="3" applyFont="1" applyBorder="1" applyAlignment="1">
      <alignment vertical="center"/>
    </xf>
    <xf numFmtId="0" fontId="14" fillId="0" borderId="0" xfId="3" applyFont="1" applyAlignment="1">
      <alignment vertical="center"/>
    </xf>
    <xf numFmtId="0" fontId="14" fillId="0" borderId="15" xfId="3" applyFont="1" applyBorder="1" applyAlignment="1">
      <alignment vertical="center"/>
    </xf>
    <xf numFmtId="0" fontId="13" fillId="0" borderId="15" xfId="3" applyFont="1" applyBorder="1" applyAlignment="1">
      <alignment vertical="center"/>
    </xf>
    <xf numFmtId="0" fontId="15" fillId="0" borderId="0" xfId="3" applyFont="1" applyAlignment="1">
      <alignment vertical="center"/>
    </xf>
    <xf numFmtId="0" fontId="20" fillId="0" borderId="0" xfId="3" applyFont="1" applyAlignment="1">
      <alignment vertical="center"/>
    </xf>
    <xf numFmtId="0" fontId="14" fillId="6" borderId="12" xfId="3" applyFont="1" applyFill="1" applyBorder="1" applyAlignment="1">
      <alignment horizontal="centerContinuous" vertical="center"/>
    </xf>
    <xf numFmtId="0" fontId="14" fillId="6" borderId="16" xfId="3" applyFont="1" applyFill="1" applyBorder="1" applyAlignment="1">
      <alignment horizontal="centerContinuous" vertical="center"/>
    </xf>
    <xf numFmtId="0" fontId="14" fillId="6" borderId="17" xfId="3" applyFont="1" applyFill="1" applyBorder="1" applyAlignment="1">
      <alignment horizontal="centerContinuous" vertical="center"/>
    </xf>
    <xf numFmtId="0" fontId="14" fillId="0" borderId="12" xfId="3" applyFont="1" applyBorder="1" applyAlignment="1">
      <alignment horizontal="left" vertical="center" indent="1"/>
    </xf>
    <xf numFmtId="0" fontId="14" fillId="0" borderId="17" xfId="3" applyFont="1" applyBorder="1" applyAlignment="1">
      <alignment vertical="center"/>
    </xf>
    <xf numFmtId="5" fontId="14" fillId="0" borderId="17" xfId="3" applyNumberFormat="1" applyFont="1" applyBorder="1" applyAlignment="1">
      <alignment vertical="center"/>
    </xf>
    <xf numFmtId="5" fontId="14" fillId="0" borderId="16" xfId="3" applyNumberFormat="1" applyFont="1" applyBorder="1" applyAlignment="1">
      <alignment vertical="center"/>
    </xf>
    <xf numFmtId="0" fontId="14" fillId="0" borderId="0" xfId="3" applyFont="1" applyAlignment="1">
      <alignment horizontal="left" vertical="center"/>
    </xf>
    <xf numFmtId="0" fontId="14" fillId="0" borderId="0" xfId="3" applyFont="1" applyAlignment="1">
      <alignment horizontal="center" vertical="center"/>
    </xf>
    <xf numFmtId="0" fontId="14" fillId="0" borderId="0" xfId="0" applyFont="1">
      <alignment vertical="center"/>
    </xf>
    <xf numFmtId="0" fontId="14" fillId="0" borderId="0" xfId="0" applyFont="1" applyAlignment="1">
      <alignment horizontal="center" vertical="center"/>
    </xf>
    <xf numFmtId="0" fontId="22" fillId="0" borderId="0" xfId="3" applyFont="1" applyAlignment="1">
      <alignment vertical="center"/>
    </xf>
    <xf numFmtId="0" fontId="14" fillId="6" borderId="2" xfId="3" applyFont="1" applyFill="1" applyBorder="1" applyAlignment="1">
      <alignment horizontal="centerContinuous" vertical="center"/>
    </xf>
    <xf numFmtId="0" fontId="14" fillId="6" borderId="7" xfId="3" applyFont="1" applyFill="1" applyBorder="1" applyAlignment="1">
      <alignment horizontal="centerContinuous" vertical="center"/>
    </xf>
    <xf numFmtId="0" fontId="14" fillId="6" borderId="3" xfId="3" applyFont="1" applyFill="1" applyBorder="1" applyAlignment="1">
      <alignment horizontal="centerContinuous" vertical="center"/>
    </xf>
    <xf numFmtId="0" fontId="14" fillId="6" borderId="12" xfId="0" applyFont="1" applyFill="1" applyBorder="1" applyAlignment="1">
      <alignment horizontal="centerContinuous" vertical="center"/>
    </xf>
    <xf numFmtId="0" fontId="14" fillId="6" borderId="17" xfId="0" applyFont="1" applyFill="1" applyBorder="1" applyAlignment="1">
      <alignment horizontal="centerContinuous" vertical="center"/>
    </xf>
    <xf numFmtId="0" fontId="14" fillId="6" borderId="16" xfId="0" applyFont="1" applyFill="1" applyBorder="1">
      <alignment vertical="center"/>
    </xf>
    <xf numFmtId="0" fontId="14" fillId="0" borderId="2" xfId="3" applyFont="1" applyBorder="1" applyAlignment="1">
      <alignment horizontal="centerContinuous" vertical="center"/>
    </xf>
    <xf numFmtId="0" fontId="14" fillId="0" borderId="7" xfId="3" applyFont="1" applyBorder="1" applyAlignment="1">
      <alignment horizontal="centerContinuous" vertical="center"/>
    </xf>
    <xf numFmtId="0" fontId="14" fillId="0" borderId="2" xfId="3" applyFont="1" applyBorder="1" applyAlignment="1">
      <alignment vertical="center"/>
    </xf>
    <xf numFmtId="0" fontId="14" fillId="0" borderId="3" xfId="3" applyFont="1" applyBorder="1" applyAlignment="1">
      <alignment vertical="center"/>
    </xf>
    <xf numFmtId="0" fontId="14" fillId="0" borderId="7" xfId="3" applyFont="1" applyBorder="1" applyAlignment="1">
      <alignment vertical="center"/>
    </xf>
    <xf numFmtId="0" fontId="14" fillId="0" borderId="4" xfId="3" applyFont="1" applyBorder="1" applyAlignment="1">
      <alignment horizontal="centerContinuous" vertical="center"/>
    </xf>
    <xf numFmtId="0" fontId="14" fillId="0" borderId="8" xfId="3" applyFont="1" applyBorder="1" applyAlignment="1">
      <alignment horizontal="centerContinuous" vertical="center"/>
    </xf>
    <xf numFmtId="0" fontId="14" fillId="0" borderId="4" xfId="0" applyFont="1" applyBorder="1">
      <alignment vertical="center"/>
    </xf>
    <xf numFmtId="0" fontId="14" fillId="0" borderId="4" xfId="3" applyFont="1" applyBorder="1" applyAlignment="1">
      <alignment vertical="center"/>
    </xf>
    <xf numFmtId="0" fontId="14" fillId="0" borderId="8" xfId="3" applyFont="1" applyBorder="1" applyAlignment="1">
      <alignment vertical="center"/>
    </xf>
    <xf numFmtId="0" fontId="14" fillId="0" borderId="5" xfId="3" applyFont="1" applyBorder="1" applyAlignment="1">
      <alignment horizontal="centerContinuous" vertical="center"/>
    </xf>
    <xf numFmtId="0" fontId="14" fillId="0" borderId="9" xfId="3" applyFont="1" applyBorder="1" applyAlignment="1">
      <alignment horizontal="centerContinuous" vertical="center"/>
    </xf>
    <xf numFmtId="0" fontId="14" fillId="0" borderId="5" xfId="3" applyFont="1" applyBorder="1" applyAlignment="1">
      <alignment horizontal="left" vertical="center"/>
    </xf>
    <xf numFmtId="0" fontId="14" fillId="0" borderId="6" xfId="3" applyFont="1" applyBorder="1" applyAlignment="1">
      <alignment horizontal="left" vertical="center"/>
    </xf>
    <xf numFmtId="0" fontId="14" fillId="0" borderId="5" xfId="3" applyFont="1" applyBorder="1" applyAlignment="1">
      <alignment vertical="center"/>
    </xf>
    <xf numFmtId="0" fontId="14" fillId="0" borderId="6" xfId="3" applyFont="1" applyBorder="1" applyAlignment="1">
      <alignment vertical="center"/>
    </xf>
    <xf numFmtId="0" fontId="14" fillId="0" borderId="9" xfId="3" applyFont="1" applyBorder="1" applyAlignment="1">
      <alignment vertical="center"/>
    </xf>
    <xf numFmtId="0" fontId="14" fillId="0" borderId="4" xfId="3" applyFont="1" applyBorder="1" applyAlignment="1">
      <alignment horizontal="left" vertical="center"/>
    </xf>
    <xf numFmtId="0" fontId="24" fillId="0" borderId="0" xfId="3" applyFont="1" applyAlignment="1">
      <alignment vertical="center"/>
    </xf>
    <xf numFmtId="0" fontId="20" fillId="0" borderId="0" xfId="0" applyFont="1">
      <alignment vertical="center"/>
    </xf>
    <xf numFmtId="0" fontId="13" fillId="0" borderId="6" xfId="0" applyFont="1" applyBorder="1">
      <alignment vertical="center"/>
    </xf>
    <xf numFmtId="0" fontId="24" fillId="0" borderId="0" xfId="0" applyFont="1">
      <alignment vertical="center"/>
    </xf>
    <xf numFmtId="0" fontId="13" fillId="0" borderId="0" xfId="0" applyFont="1">
      <alignment vertical="center"/>
    </xf>
    <xf numFmtId="0" fontId="13" fillId="0" borderId="3" xfId="0" applyFont="1" applyBorder="1">
      <alignment vertical="center"/>
    </xf>
    <xf numFmtId="0" fontId="13" fillId="0" borderId="23" xfId="0" applyFont="1" applyBorder="1">
      <alignment vertical="center"/>
    </xf>
    <xf numFmtId="0" fontId="14" fillId="0" borderId="0" xfId="4" applyFont="1" applyAlignment="1">
      <alignment horizontal="left" vertical="center"/>
    </xf>
    <xf numFmtId="0" fontId="14" fillId="0" borderId="0" xfId="4" applyFont="1">
      <alignment vertical="center"/>
    </xf>
    <xf numFmtId="0" fontId="23" fillId="0" borderId="0" xfId="0" applyFont="1">
      <alignment vertical="center"/>
    </xf>
    <xf numFmtId="0" fontId="23" fillId="0" borderId="0" xfId="3" applyFont="1" applyAlignment="1">
      <alignment vertical="center"/>
    </xf>
    <xf numFmtId="0" fontId="14" fillId="0" borderId="5" xfId="0" applyFont="1" applyBorder="1">
      <alignment vertical="center"/>
    </xf>
    <xf numFmtId="2" fontId="0" fillId="0" borderId="1" xfId="0" applyNumberFormat="1" applyBorder="1" applyAlignment="1">
      <alignment vertical="top"/>
    </xf>
    <xf numFmtId="0" fontId="14" fillId="0" borderId="5" xfId="3" applyFont="1" applyBorder="1" applyAlignment="1">
      <alignment vertical="center" shrinkToFit="1"/>
    </xf>
    <xf numFmtId="0" fontId="14" fillId="0" borderId="6" xfId="3" applyFont="1" applyBorder="1" applyAlignment="1">
      <alignment vertical="center" shrinkToFit="1"/>
    </xf>
    <xf numFmtId="0" fontId="14" fillId="0" borderId="9" xfId="3" applyFont="1" applyBorder="1" applyAlignment="1">
      <alignment vertical="center" shrinkToFit="1"/>
    </xf>
    <xf numFmtId="0" fontId="14" fillId="0" borderId="2" xfId="3" applyFont="1" applyBorder="1" applyAlignment="1">
      <alignment vertical="center" shrinkToFit="1"/>
    </xf>
    <xf numFmtId="0" fontId="14" fillId="0" borderId="3" xfId="3" applyFont="1" applyBorder="1" applyAlignment="1">
      <alignment vertical="center" shrinkToFit="1"/>
    </xf>
    <xf numFmtId="0" fontId="14" fillId="0" borderId="7" xfId="3" applyFont="1" applyBorder="1" applyAlignment="1">
      <alignment vertical="center" shrinkToFit="1"/>
    </xf>
    <xf numFmtId="0" fontId="13" fillId="0" borderId="18" xfId="0" applyFont="1" applyBorder="1" applyAlignment="1">
      <alignment horizontal="left" vertical="center" wrapText="1"/>
    </xf>
    <xf numFmtId="0" fontId="13" fillId="0" borderId="19" xfId="0" applyFont="1" applyBorder="1" applyAlignment="1">
      <alignment horizontal="left" vertical="center"/>
    </xf>
    <xf numFmtId="0" fontId="13" fillId="0" borderId="20" xfId="0" applyFont="1" applyBorder="1" applyAlignment="1">
      <alignment horizontal="left" vertical="center"/>
    </xf>
    <xf numFmtId="0" fontId="13" fillId="0" borderId="21" xfId="0" applyFont="1" applyBorder="1" applyAlignment="1">
      <alignment horizontal="left" vertical="center" wrapText="1"/>
    </xf>
    <xf numFmtId="0" fontId="13" fillId="0" borderId="0" xfId="0" applyFont="1" applyAlignment="1">
      <alignment horizontal="left" vertical="center"/>
    </xf>
    <xf numFmtId="0" fontId="13" fillId="0" borderId="22" xfId="0" applyFont="1" applyBorder="1" applyAlignment="1">
      <alignment horizontal="left" vertical="center"/>
    </xf>
    <xf numFmtId="0" fontId="13" fillId="0" borderId="24" xfId="0" applyFont="1" applyBorder="1" applyAlignment="1">
      <alignment horizontal="left" vertical="center"/>
    </xf>
    <xf numFmtId="0" fontId="13" fillId="0" borderId="25" xfId="0" applyFont="1" applyBorder="1" applyAlignment="1">
      <alignment horizontal="left" vertical="center"/>
    </xf>
    <xf numFmtId="0" fontId="13" fillId="0" borderId="26" xfId="0" applyFont="1" applyBorder="1" applyAlignment="1">
      <alignment horizontal="left" vertical="center"/>
    </xf>
    <xf numFmtId="0" fontId="14" fillId="6" borderId="12" xfId="3" applyFont="1" applyFill="1" applyBorder="1" applyAlignment="1">
      <alignment horizontal="center" vertical="center"/>
    </xf>
    <xf numFmtId="0" fontId="14" fillId="6" borderId="16" xfId="3" applyFont="1" applyFill="1" applyBorder="1" applyAlignment="1">
      <alignment horizontal="center" vertical="center"/>
    </xf>
    <xf numFmtId="0" fontId="14" fillId="0" borderId="2" xfId="0" applyFont="1" applyBorder="1" applyAlignment="1">
      <alignment vertical="center" shrinkToFit="1"/>
    </xf>
    <xf numFmtId="0" fontId="14" fillId="0" borderId="3" xfId="0" applyFont="1" applyBorder="1" applyAlignment="1">
      <alignment vertical="center" shrinkToFit="1"/>
    </xf>
    <xf numFmtId="0" fontId="23" fillId="0" borderId="0" xfId="3" applyFont="1" applyAlignment="1">
      <alignment vertical="center" shrinkToFit="1"/>
    </xf>
    <xf numFmtId="0" fontId="23" fillId="0" borderId="8" xfId="3" applyFont="1" applyBorder="1" applyAlignment="1">
      <alignment vertical="center" shrinkToFit="1"/>
    </xf>
    <xf numFmtId="0" fontId="23" fillId="0" borderId="6" xfId="3" applyFont="1" applyBorder="1" applyAlignment="1">
      <alignment vertical="center" shrinkToFit="1"/>
    </xf>
    <xf numFmtId="0" fontId="23" fillId="0" borderId="9" xfId="3" applyFont="1" applyBorder="1" applyAlignment="1">
      <alignment vertical="center" shrinkToFit="1"/>
    </xf>
    <xf numFmtId="0" fontId="14" fillId="0" borderId="4" xfId="0" applyFont="1" applyBorder="1" applyAlignment="1">
      <alignment vertical="center" shrinkToFit="1"/>
    </xf>
    <xf numFmtId="0" fontId="14" fillId="0" borderId="0" xfId="0" applyFont="1" applyAlignment="1">
      <alignment vertical="center" shrinkToFit="1"/>
    </xf>
    <xf numFmtId="0" fontId="14" fillId="0" borderId="12" xfId="3" applyFont="1" applyBorder="1" applyAlignment="1">
      <alignment horizontal="center" vertical="center"/>
    </xf>
    <xf numFmtId="0" fontId="14" fillId="0" borderId="16" xfId="3" applyFont="1" applyBorder="1" applyAlignment="1">
      <alignment horizontal="center" vertical="center"/>
    </xf>
    <xf numFmtId="182" fontId="14" fillId="0" borderId="12" xfId="3" applyNumberFormat="1" applyFont="1" applyBorder="1" applyAlignment="1">
      <alignment horizontal="right" vertical="center"/>
    </xf>
    <xf numFmtId="182" fontId="14" fillId="0" borderId="17" xfId="3" applyNumberFormat="1" applyFont="1" applyBorder="1" applyAlignment="1">
      <alignment horizontal="right" vertical="center"/>
    </xf>
    <xf numFmtId="5" fontId="14" fillId="0" borderId="17" xfId="3" applyNumberFormat="1" applyFont="1" applyBorder="1" applyAlignment="1">
      <alignment horizontal="center" vertical="center"/>
    </xf>
    <xf numFmtId="5" fontId="14" fillId="0" borderId="16" xfId="3" applyNumberFormat="1" applyFont="1" applyBorder="1" applyAlignment="1">
      <alignment horizontal="center" vertical="center"/>
    </xf>
    <xf numFmtId="5" fontId="14" fillId="0" borderId="12" xfId="3" applyNumberFormat="1" applyFont="1" applyBorder="1" applyAlignment="1">
      <alignment horizontal="right" vertical="center" indent="1"/>
    </xf>
    <xf numFmtId="5" fontId="14" fillId="0" borderId="17" xfId="3" applyNumberFormat="1" applyFont="1" applyBorder="1" applyAlignment="1">
      <alignment horizontal="right" vertical="center" indent="1"/>
    </xf>
    <xf numFmtId="5" fontId="14" fillId="0" borderId="16" xfId="3" applyNumberFormat="1" applyFont="1" applyBorder="1" applyAlignment="1">
      <alignment horizontal="right" vertical="center" indent="1"/>
    </xf>
    <xf numFmtId="0" fontId="11" fillId="0" borderId="0" xfId="3" applyFont="1" applyAlignment="1">
      <alignment horizontal="left" vertical="center"/>
    </xf>
    <xf numFmtId="14" fontId="14" fillId="0" borderId="14" xfId="3" applyNumberFormat="1" applyFont="1" applyBorder="1" applyAlignment="1">
      <alignment horizontal="right" vertical="center"/>
    </xf>
    <xf numFmtId="0" fontId="14" fillId="0" borderId="14" xfId="3" applyFont="1" applyBorder="1" applyAlignment="1">
      <alignment horizontal="right" vertical="center"/>
    </xf>
    <xf numFmtId="14" fontId="14" fillId="0" borderId="15" xfId="3" applyNumberFormat="1" applyFont="1" applyBorder="1" applyAlignment="1">
      <alignment horizontal="right" vertical="center"/>
    </xf>
    <xf numFmtId="0" fontId="14" fillId="0" borderId="15" xfId="3" applyFont="1" applyBorder="1" applyAlignment="1">
      <alignment horizontal="right" vertical="center"/>
    </xf>
    <xf numFmtId="0" fontId="16" fillId="0" borderId="0" xfId="3" applyFont="1" applyAlignment="1">
      <alignment horizontal="left" vertical="center"/>
    </xf>
    <xf numFmtId="0" fontId="16" fillId="0" borderId="6" xfId="3" applyFont="1" applyBorder="1" applyAlignment="1">
      <alignment horizontal="left" vertical="center"/>
    </xf>
    <xf numFmtId="0" fontId="18" fillId="0" borderId="0" xfId="3" applyFont="1" applyAlignment="1">
      <alignment horizontal="left" vertical="center"/>
    </xf>
    <xf numFmtId="0" fontId="18" fillId="0" borderId="6" xfId="3" applyFont="1" applyBorder="1" applyAlignment="1">
      <alignment horizontal="left" vertical="center"/>
    </xf>
    <xf numFmtId="181" fontId="19" fillId="0" borderId="0" xfId="3" applyNumberFormat="1" applyFont="1" applyAlignment="1">
      <alignment horizontal="right" vertical="center"/>
    </xf>
    <xf numFmtId="181" fontId="19" fillId="0" borderId="6" xfId="3" applyNumberFormat="1" applyFont="1" applyBorder="1" applyAlignment="1">
      <alignment horizontal="right" vertical="center"/>
    </xf>
    <xf numFmtId="0" fontId="5" fillId="4" borderId="1" xfId="0" applyFont="1" applyFill="1" applyBorder="1" applyAlignment="1">
      <alignment horizontal="center" vertical="top"/>
    </xf>
    <xf numFmtId="0" fontId="5" fillId="3" borderId="1" xfId="0" applyFont="1" applyFill="1" applyBorder="1" applyAlignment="1">
      <alignment horizontal="center" vertical="top"/>
    </xf>
    <xf numFmtId="0" fontId="0" fillId="0" borderId="1" xfId="0" applyBorder="1" applyAlignment="1">
      <alignment horizontal="center" vertical="top"/>
    </xf>
    <xf numFmtId="0" fontId="5" fillId="4" borderId="11" xfId="0" applyFont="1" applyFill="1" applyBorder="1" applyAlignment="1">
      <alignment horizontal="center" vertical="top"/>
    </xf>
    <xf numFmtId="0" fontId="5" fillId="3" borderId="11" xfId="0" applyFont="1" applyFill="1" applyBorder="1" applyAlignment="1">
      <alignment horizontal="center" vertical="top"/>
    </xf>
    <xf numFmtId="0" fontId="0" fillId="0" borderId="10" xfId="0" applyBorder="1" applyAlignment="1">
      <alignment vertical="top"/>
    </xf>
    <xf numFmtId="0" fontId="0" fillId="0" borderId="11" xfId="0" applyBorder="1" applyAlignment="1">
      <alignment vertical="top"/>
    </xf>
    <xf numFmtId="0" fontId="0" fillId="0" borderId="10" xfId="0" applyBorder="1" applyAlignment="1">
      <alignment vertical="top" wrapText="1"/>
    </xf>
    <xf numFmtId="0" fontId="0" fillId="0" borderId="11" xfId="0" applyBorder="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14" fontId="0" fillId="0" borderId="10" xfId="0" applyNumberFormat="1" applyBorder="1" applyAlignment="1">
      <alignment horizontal="center" vertical="top" wrapText="1"/>
    </xf>
    <xf numFmtId="14" fontId="0" fillId="0" borderId="11" xfId="0" applyNumberFormat="1" applyBorder="1" applyAlignment="1">
      <alignment horizontal="center" vertical="top" wrapText="1"/>
    </xf>
  </cellXfs>
  <cellStyles count="5">
    <cellStyle name="通貨" xfId="2" builtinId="7"/>
    <cellStyle name="標準" xfId="0" builtinId="0"/>
    <cellStyle name="標準 2 3" xfId="4" xr:uid="{EC27888B-BAAA-43A4-8113-76A1074237B4}"/>
    <cellStyle name="標準 3" xfId="1" xr:uid="{00000000-0005-0000-0000-000001000000}"/>
    <cellStyle name="標準 3 2" xfId="3" xr:uid="{8709FC50-EC44-4F9E-A21F-C191ABF8E2D4}"/>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23</xdr:col>
      <xdr:colOff>0</xdr:colOff>
      <xdr:row>96</xdr:row>
      <xdr:rowOff>28575</xdr:rowOff>
    </xdr:from>
    <xdr:to>
      <xdr:col>24</xdr:col>
      <xdr:colOff>169500</xdr:colOff>
      <xdr:row>96</xdr:row>
      <xdr:rowOff>172575</xdr:rowOff>
    </xdr:to>
    <xdr:sp macro="" textlink="">
      <xdr:nvSpPr>
        <xdr:cNvPr id="2" name="ホームベース 120">
          <a:extLst>
            <a:ext uri="{FF2B5EF4-FFF2-40B4-BE49-F238E27FC236}">
              <a16:creationId xmlns:a16="http://schemas.microsoft.com/office/drawing/2014/main" id="{32104305-BF45-4BEB-BEB2-94D578F4FCE1}"/>
            </a:ext>
          </a:extLst>
        </xdr:cNvPr>
        <xdr:cNvSpPr/>
      </xdr:nvSpPr>
      <xdr:spPr bwMode="auto">
        <a:xfrm>
          <a:off x="6000750" y="26885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1</xdr:colOff>
      <xdr:row>86</xdr:row>
      <xdr:rowOff>0</xdr:rowOff>
    </xdr:from>
    <xdr:to>
      <xdr:col>9</xdr:col>
      <xdr:colOff>1</xdr:colOff>
      <xdr:row>88</xdr:row>
      <xdr:rowOff>0</xdr:rowOff>
    </xdr:to>
    <xdr:sp macro="" textlink="">
      <xdr:nvSpPr>
        <xdr:cNvPr id="3" name="ホームベース 35">
          <a:extLst>
            <a:ext uri="{FF2B5EF4-FFF2-40B4-BE49-F238E27FC236}">
              <a16:creationId xmlns:a16="http://schemas.microsoft.com/office/drawing/2014/main" id="{B4AD353A-57DF-4DFD-A880-5A4A8123F3D4}"/>
            </a:ext>
          </a:extLst>
        </xdr:cNvPr>
        <xdr:cNvSpPr/>
      </xdr:nvSpPr>
      <xdr:spPr bwMode="auto">
        <a:xfrm>
          <a:off x="1590262" y="17200217"/>
          <a:ext cx="198782" cy="386522"/>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17</xdr:col>
      <xdr:colOff>0</xdr:colOff>
      <xdr:row>96</xdr:row>
      <xdr:rowOff>30480</xdr:rowOff>
    </xdr:from>
    <xdr:to>
      <xdr:col>18</xdr:col>
      <xdr:colOff>169500</xdr:colOff>
      <xdr:row>96</xdr:row>
      <xdr:rowOff>174480</xdr:rowOff>
    </xdr:to>
    <xdr:sp macro="" textlink="">
      <xdr:nvSpPr>
        <xdr:cNvPr id="4" name="ホームベース 13">
          <a:extLst>
            <a:ext uri="{FF2B5EF4-FFF2-40B4-BE49-F238E27FC236}">
              <a16:creationId xmlns:a16="http://schemas.microsoft.com/office/drawing/2014/main" id="{009C4388-E894-4D88-8908-3536E7716D95}"/>
            </a:ext>
          </a:extLst>
        </xdr:cNvPr>
        <xdr:cNvSpPr/>
      </xdr:nvSpPr>
      <xdr:spPr bwMode="auto">
        <a:xfrm>
          <a:off x="4800600" y="26887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9</xdr:col>
      <xdr:colOff>1</xdr:colOff>
      <xdr:row>88</xdr:row>
      <xdr:rowOff>0</xdr:rowOff>
    </xdr:from>
    <xdr:to>
      <xdr:col>11</xdr:col>
      <xdr:colOff>0</xdr:colOff>
      <xdr:row>90</xdr:row>
      <xdr:rowOff>0</xdr:rowOff>
    </xdr:to>
    <xdr:sp macro="" textlink="">
      <xdr:nvSpPr>
        <xdr:cNvPr id="5" name="ホームベース 35">
          <a:extLst>
            <a:ext uri="{FF2B5EF4-FFF2-40B4-BE49-F238E27FC236}">
              <a16:creationId xmlns:a16="http://schemas.microsoft.com/office/drawing/2014/main" id="{398FC598-5AEA-401D-A6FD-9101C5CD4360}"/>
            </a:ext>
          </a:extLst>
        </xdr:cNvPr>
        <xdr:cNvSpPr/>
      </xdr:nvSpPr>
      <xdr:spPr bwMode="auto">
        <a:xfrm>
          <a:off x="1789044" y="17586739"/>
          <a:ext cx="397565" cy="386522"/>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10</xdr:col>
      <xdr:colOff>198782</xdr:colOff>
      <xdr:row>90</xdr:row>
      <xdr:rowOff>0</xdr:rowOff>
    </xdr:from>
    <xdr:to>
      <xdr:col>13</xdr:col>
      <xdr:colOff>0</xdr:colOff>
      <xdr:row>92</xdr:row>
      <xdr:rowOff>0</xdr:rowOff>
    </xdr:to>
    <xdr:sp macro="" textlink="">
      <xdr:nvSpPr>
        <xdr:cNvPr id="6" name="ホームベース 35">
          <a:extLst>
            <a:ext uri="{FF2B5EF4-FFF2-40B4-BE49-F238E27FC236}">
              <a16:creationId xmlns:a16="http://schemas.microsoft.com/office/drawing/2014/main" id="{D83E5870-091F-4787-B874-E84CBB02D91E}"/>
            </a:ext>
          </a:extLst>
        </xdr:cNvPr>
        <xdr:cNvSpPr/>
      </xdr:nvSpPr>
      <xdr:spPr bwMode="auto">
        <a:xfrm>
          <a:off x="2186608" y="17973261"/>
          <a:ext cx="397566" cy="386522"/>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13</xdr:col>
      <xdr:colOff>0</xdr:colOff>
      <xdr:row>92</xdr:row>
      <xdr:rowOff>1</xdr:rowOff>
    </xdr:from>
    <xdr:to>
      <xdr:col>18</xdr:col>
      <xdr:colOff>0</xdr:colOff>
      <xdr:row>92</xdr:row>
      <xdr:rowOff>190499</xdr:rowOff>
    </xdr:to>
    <xdr:sp macro="" textlink="">
      <xdr:nvSpPr>
        <xdr:cNvPr id="8" name="ホームベース 35">
          <a:extLst>
            <a:ext uri="{FF2B5EF4-FFF2-40B4-BE49-F238E27FC236}">
              <a16:creationId xmlns:a16="http://schemas.microsoft.com/office/drawing/2014/main" id="{A56BEBDE-3CA7-4E19-8CDB-F075FC3407EB}"/>
            </a:ext>
          </a:extLst>
        </xdr:cNvPr>
        <xdr:cNvSpPr/>
      </xdr:nvSpPr>
      <xdr:spPr bwMode="auto">
        <a:xfrm>
          <a:off x="2584174" y="18359784"/>
          <a:ext cx="993913" cy="190498"/>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18</xdr:col>
      <xdr:colOff>0</xdr:colOff>
      <xdr:row>94</xdr:row>
      <xdr:rowOff>0</xdr:rowOff>
    </xdr:from>
    <xdr:to>
      <xdr:col>19</xdr:col>
      <xdr:colOff>0</xdr:colOff>
      <xdr:row>96</xdr:row>
      <xdr:rowOff>0</xdr:rowOff>
    </xdr:to>
    <xdr:sp macro="" textlink="">
      <xdr:nvSpPr>
        <xdr:cNvPr id="9" name="ホームベース 35">
          <a:extLst>
            <a:ext uri="{FF2B5EF4-FFF2-40B4-BE49-F238E27FC236}">
              <a16:creationId xmlns:a16="http://schemas.microsoft.com/office/drawing/2014/main" id="{39865D9E-4D86-4847-BB81-005CD77F11AE}"/>
            </a:ext>
          </a:extLst>
        </xdr:cNvPr>
        <xdr:cNvSpPr/>
      </xdr:nvSpPr>
      <xdr:spPr bwMode="auto">
        <a:xfrm>
          <a:off x="3578087" y="18746304"/>
          <a:ext cx="198783" cy="386522"/>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13</xdr:col>
      <xdr:colOff>0</xdr:colOff>
      <xdr:row>93</xdr:row>
      <xdr:rowOff>3</xdr:rowOff>
    </xdr:from>
    <xdr:to>
      <xdr:col>18</xdr:col>
      <xdr:colOff>0</xdr:colOff>
      <xdr:row>94</xdr:row>
      <xdr:rowOff>0</xdr:rowOff>
    </xdr:to>
    <xdr:sp macro="" textlink="">
      <xdr:nvSpPr>
        <xdr:cNvPr id="10" name="ホームベース 35">
          <a:extLst>
            <a:ext uri="{FF2B5EF4-FFF2-40B4-BE49-F238E27FC236}">
              <a16:creationId xmlns:a16="http://schemas.microsoft.com/office/drawing/2014/main" id="{9195EEED-5581-4CA6-B61C-F6FFA445CA91}"/>
            </a:ext>
          </a:extLst>
        </xdr:cNvPr>
        <xdr:cNvSpPr/>
      </xdr:nvSpPr>
      <xdr:spPr bwMode="auto">
        <a:xfrm>
          <a:off x="2584174" y="18553046"/>
          <a:ext cx="993913" cy="193258"/>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0</xdr:colOff>
      <xdr:row>3</xdr:row>
      <xdr:rowOff>0</xdr:rowOff>
    </xdr:from>
    <xdr:to>
      <xdr:col>20</xdr:col>
      <xdr:colOff>0</xdr:colOff>
      <xdr:row>4</xdr:row>
      <xdr:rowOff>0</xdr:rowOff>
    </xdr:to>
    <xdr:sp macro="" textlink="">
      <xdr:nvSpPr>
        <xdr:cNvPr id="12" name="正方形/長方形 11">
          <a:extLst>
            <a:ext uri="{FF2B5EF4-FFF2-40B4-BE49-F238E27FC236}">
              <a16:creationId xmlns:a16="http://schemas.microsoft.com/office/drawing/2014/main" id="{1BDFC181-0BED-903C-2883-F0EB412D2CD4}"/>
            </a:ext>
          </a:extLst>
        </xdr:cNvPr>
        <xdr:cNvSpPr/>
      </xdr:nvSpPr>
      <xdr:spPr>
        <a:xfrm>
          <a:off x="13036550" y="876300"/>
          <a:ext cx="46355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0</xdr:colOff>
      <xdr:row>4</xdr:row>
      <xdr:rowOff>0</xdr:rowOff>
    </xdr:from>
    <xdr:to>
      <xdr:col>21</xdr:col>
      <xdr:colOff>0</xdr:colOff>
      <xdr:row>5</xdr:row>
      <xdr:rowOff>0</xdr:rowOff>
    </xdr:to>
    <xdr:sp macro="" textlink="">
      <xdr:nvSpPr>
        <xdr:cNvPr id="9" name="正方形/長方形 8">
          <a:extLst>
            <a:ext uri="{FF2B5EF4-FFF2-40B4-BE49-F238E27FC236}">
              <a16:creationId xmlns:a16="http://schemas.microsoft.com/office/drawing/2014/main" id="{F5E3B758-A966-21F9-9586-52BAFA072C3F}"/>
            </a:ext>
          </a:extLst>
        </xdr:cNvPr>
        <xdr:cNvSpPr/>
      </xdr:nvSpPr>
      <xdr:spPr>
        <a:xfrm>
          <a:off x="13500100" y="1104900"/>
          <a:ext cx="46355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0</xdr:colOff>
      <xdr:row>5</xdr:row>
      <xdr:rowOff>0</xdr:rowOff>
    </xdr:from>
    <xdr:to>
      <xdr:col>35</xdr:col>
      <xdr:colOff>0</xdr:colOff>
      <xdr:row>6</xdr:row>
      <xdr:rowOff>0</xdr:rowOff>
    </xdr:to>
    <xdr:sp macro="" textlink="">
      <xdr:nvSpPr>
        <xdr:cNvPr id="10" name="正方形/長方形 9">
          <a:extLst>
            <a:ext uri="{FF2B5EF4-FFF2-40B4-BE49-F238E27FC236}">
              <a16:creationId xmlns:a16="http://schemas.microsoft.com/office/drawing/2014/main" id="{00B69A8F-5BA0-2C62-291F-31FD9711C2A8}"/>
            </a:ext>
          </a:extLst>
        </xdr:cNvPr>
        <xdr:cNvSpPr/>
      </xdr:nvSpPr>
      <xdr:spPr>
        <a:xfrm>
          <a:off x="19138900" y="1333500"/>
          <a:ext cx="139065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0</xdr:colOff>
      <xdr:row>2</xdr:row>
      <xdr:rowOff>6350</xdr:rowOff>
    </xdr:from>
    <xdr:to>
      <xdr:col>19</xdr:col>
      <xdr:colOff>0</xdr:colOff>
      <xdr:row>3</xdr:row>
      <xdr:rowOff>0</xdr:rowOff>
    </xdr:to>
    <xdr:sp macro="" textlink="">
      <xdr:nvSpPr>
        <xdr:cNvPr id="3" name="正方形/長方形 2">
          <a:extLst>
            <a:ext uri="{FF2B5EF4-FFF2-40B4-BE49-F238E27FC236}">
              <a16:creationId xmlns:a16="http://schemas.microsoft.com/office/drawing/2014/main" id="{654B1C29-1380-4953-9CA3-59DF45EF6A0C}"/>
            </a:ext>
          </a:extLst>
        </xdr:cNvPr>
        <xdr:cNvSpPr/>
      </xdr:nvSpPr>
      <xdr:spPr>
        <a:xfrm>
          <a:off x="12573000" y="654050"/>
          <a:ext cx="463550" cy="222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0</xdr:colOff>
      <xdr:row>6</xdr:row>
      <xdr:rowOff>0</xdr:rowOff>
    </xdr:from>
    <xdr:to>
      <xdr:col>36</xdr:col>
      <xdr:colOff>0</xdr:colOff>
      <xdr:row>7</xdr:row>
      <xdr:rowOff>0</xdr:rowOff>
    </xdr:to>
    <xdr:sp macro="" textlink="">
      <xdr:nvSpPr>
        <xdr:cNvPr id="5" name="正方形/長方形 4">
          <a:extLst>
            <a:ext uri="{FF2B5EF4-FFF2-40B4-BE49-F238E27FC236}">
              <a16:creationId xmlns:a16="http://schemas.microsoft.com/office/drawing/2014/main" id="{EBED0FFA-336E-74AF-247B-15D7328CE313}"/>
            </a:ext>
          </a:extLst>
        </xdr:cNvPr>
        <xdr:cNvSpPr/>
      </xdr:nvSpPr>
      <xdr:spPr>
        <a:xfrm>
          <a:off x="20529550" y="1562100"/>
          <a:ext cx="46355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0</xdr:colOff>
      <xdr:row>5</xdr:row>
      <xdr:rowOff>0</xdr:rowOff>
    </xdr:from>
    <xdr:to>
      <xdr:col>23</xdr:col>
      <xdr:colOff>0</xdr:colOff>
      <xdr:row>6</xdr:row>
      <xdr:rowOff>0</xdr:rowOff>
    </xdr:to>
    <xdr:sp macro="" textlink="">
      <xdr:nvSpPr>
        <xdr:cNvPr id="6" name="正方形/長方形 5">
          <a:extLst>
            <a:ext uri="{FF2B5EF4-FFF2-40B4-BE49-F238E27FC236}">
              <a16:creationId xmlns:a16="http://schemas.microsoft.com/office/drawing/2014/main" id="{0735B866-ACF3-2EA7-142B-5B1B9A85BD53}"/>
            </a:ext>
          </a:extLst>
        </xdr:cNvPr>
        <xdr:cNvSpPr/>
      </xdr:nvSpPr>
      <xdr:spPr>
        <a:xfrm>
          <a:off x="13963650" y="1333500"/>
          <a:ext cx="927100" cy="22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A2DC-D079-47F3-819B-A8B24D73E09A}">
  <dimension ref="A1:AQ138"/>
  <sheetViews>
    <sheetView tabSelected="1" view="pageBreakPreview" zoomScale="154" zoomScaleNormal="100" zoomScaleSheetLayoutView="115" workbookViewId="0">
      <selection activeCell="AF3" sqref="AF3"/>
    </sheetView>
  </sheetViews>
  <sheetFormatPr defaultColWidth="2.58203125" defaultRowHeight="15" customHeight="1" x14ac:dyDescent="0.55000000000000004"/>
  <cols>
    <col min="1" max="1" width="2.58203125" style="59"/>
    <col min="2" max="16384" width="2.58203125" style="55"/>
  </cols>
  <sheetData>
    <row r="1" spans="1:37" s="53" customFormat="1" ht="15" customHeight="1" x14ac:dyDescent="0.55000000000000004">
      <c r="A1" s="143" t="s">
        <v>49</v>
      </c>
      <c r="B1" s="143"/>
      <c r="C1" s="143"/>
      <c r="D1" s="143"/>
      <c r="E1" s="143"/>
      <c r="F1" s="143"/>
      <c r="G1" s="143"/>
      <c r="H1" s="143"/>
      <c r="I1" s="143"/>
      <c r="J1" s="143"/>
      <c r="K1" s="143"/>
      <c r="L1" s="143"/>
      <c r="M1" s="143"/>
      <c r="N1" s="143"/>
      <c r="O1" s="143"/>
      <c r="P1" s="143"/>
      <c r="Q1" s="143"/>
      <c r="X1" s="54" t="s">
        <v>50</v>
      </c>
      <c r="Z1" s="54"/>
      <c r="AA1" s="54"/>
      <c r="AB1" s="54"/>
      <c r="AC1" s="54"/>
      <c r="AD1" s="54"/>
      <c r="AE1" s="54"/>
      <c r="AF1" s="144" t="s">
        <v>51</v>
      </c>
      <c r="AG1" s="145"/>
      <c r="AH1" s="145"/>
      <c r="AI1" s="145"/>
      <c r="AJ1" s="145"/>
      <c r="AK1" s="55"/>
    </row>
    <row r="2" spans="1:37" s="53" customFormat="1" ht="15" customHeight="1" x14ac:dyDescent="0.55000000000000004">
      <c r="A2" s="143"/>
      <c r="B2" s="143"/>
      <c r="C2" s="143"/>
      <c r="D2" s="143"/>
      <c r="E2" s="143"/>
      <c r="F2" s="143"/>
      <c r="G2" s="143"/>
      <c r="H2" s="143"/>
      <c r="I2" s="143"/>
      <c r="J2" s="143"/>
      <c r="K2" s="143"/>
      <c r="L2" s="143"/>
      <c r="M2" s="143"/>
      <c r="N2" s="143"/>
      <c r="O2" s="143"/>
      <c r="P2" s="143"/>
      <c r="Q2" s="143"/>
      <c r="X2" s="56" t="s">
        <v>52</v>
      </c>
      <c r="Y2" s="57"/>
      <c r="Z2" s="56"/>
      <c r="AA2" s="56"/>
      <c r="AB2" s="56"/>
      <c r="AC2" s="56"/>
      <c r="AD2" s="56"/>
      <c r="AE2" s="56"/>
      <c r="AF2" s="146">
        <v>45770</v>
      </c>
      <c r="AG2" s="147"/>
      <c r="AH2" s="147"/>
      <c r="AI2" s="147"/>
      <c r="AJ2" s="147"/>
      <c r="AK2" s="55"/>
    </row>
    <row r="3" spans="1:37" s="53" customFormat="1" ht="15" customHeight="1" x14ac:dyDescent="0.55000000000000004">
      <c r="A3" s="58"/>
      <c r="Z3" s="55"/>
      <c r="AA3" s="55"/>
      <c r="AB3" s="55"/>
      <c r="AC3" s="55"/>
      <c r="AD3" s="55"/>
      <c r="AE3" s="55"/>
      <c r="AF3" s="55"/>
      <c r="AG3" s="55"/>
      <c r="AH3" s="55"/>
      <c r="AI3" s="55"/>
      <c r="AJ3" s="55"/>
      <c r="AK3" s="55"/>
    </row>
    <row r="4" spans="1:37" s="53" customFormat="1" ht="15" customHeight="1" x14ac:dyDescent="0.55000000000000004">
      <c r="A4" s="58"/>
      <c r="Z4" s="55"/>
      <c r="AA4" s="55"/>
      <c r="AB4" s="55"/>
      <c r="AC4" s="55"/>
      <c r="AD4" s="55"/>
      <c r="AE4" s="55"/>
      <c r="AF4" s="55"/>
      <c r="AG4" s="55"/>
      <c r="AH4" s="55"/>
      <c r="AI4" s="55"/>
      <c r="AJ4" s="55"/>
      <c r="AK4" s="55"/>
    </row>
    <row r="5" spans="1:37" s="53" customFormat="1" ht="15" customHeight="1" x14ac:dyDescent="0.55000000000000004">
      <c r="A5" s="148" t="s">
        <v>53</v>
      </c>
      <c r="B5" s="148"/>
      <c r="C5" s="148"/>
      <c r="D5" s="148"/>
      <c r="E5" s="148"/>
      <c r="F5" s="148"/>
      <c r="G5" s="148"/>
      <c r="H5" s="148"/>
      <c r="I5" s="148"/>
      <c r="J5" s="148"/>
      <c r="K5" s="148"/>
      <c r="L5" s="148"/>
      <c r="M5" s="148"/>
      <c r="N5" s="148"/>
      <c r="O5" s="148"/>
      <c r="P5" s="148"/>
      <c r="Q5" s="148"/>
      <c r="Z5" s="55"/>
      <c r="AA5" s="55"/>
      <c r="AB5" s="55"/>
      <c r="AC5" s="55"/>
      <c r="AD5" s="55"/>
      <c r="AE5" s="55"/>
      <c r="AF5" s="55"/>
      <c r="AG5" s="55"/>
      <c r="AH5" s="55"/>
      <c r="AI5" s="55"/>
      <c r="AJ5" s="55"/>
      <c r="AK5" s="55"/>
    </row>
    <row r="6" spans="1:37" s="53" customFormat="1" ht="15" customHeight="1" x14ac:dyDescent="0.55000000000000004">
      <c r="A6" s="149"/>
      <c r="B6" s="149"/>
      <c r="C6" s="149"/>
      <c r="D6" s="149"/>
      <c r="E6" s="149"/>
      <c r="F6" s="149"/>
      <c r="G6" s="149"/>
      <c r="H6" s="149"/>
      <c r="I6" s="149"/>
      <c r="J6" s="149"/>
      <c r="K6" s="149"/>
      <c r="L6" s="149"/>
      <c r="M6" s="149"/>
      <c r="N6" s="149"/>
      <c r="O6" s="149"/>
      <c r="P6" s="149"/>
      <c r="Q6" s="149"/>
      <c r="Z6" s="55"/>
      <c r="AA6" s="55"/>
      <c r="AB6" s="55"/>
      <c r="AC6" s="55"/>
      <c r="AD6" s="55"/>
      <c r="AE6" s="55"/>
      <c r="AF6" s="55"/>
      <c r="AG6" s="55"/>
      <c r="AH6" s="55"/>
      <c r="AI6" s="55"/>
      <c r="AJ6" s="55"/>
      <c r="AK6" s="55"/>
    </row>
    <row r="7" spans="1:37" s="53" customFormat="1" ht="15" customHeight="1" x14ac:dyDescent="0.55000000000000004">
      <c r="A7" s="58"/>
      <c r="AA7" s="55"/>
      <c r="AB7" s="55"/>
      <c r="AC7" s="55"/>
      <c r="AD7" s="55"/>
      <c r="AE7" s="55"/>
      <c r="AF7" s="55"/>
      <c r="AG7" s="55"/>
      <c r="AH7" s="55"/>
      <c r="AI7" s="55"/>
      <c r="AJ7" s="55"/>
      <c r="AK7" s="55"/>
    </row>
    <row r="8" spans="1:37" s="53" customFormat="1" ht="15" customHeight="1" x14ac:dyDescent="0.55000000000000004">
      <c r="A8" s="58"/>
      <c r="X8" s="55" t="s">
        <v>54</v>
      </c>
      <c r="AA8" s="55"/>
      <c r="AB8" s="55"/>
      <c r="AC8" s="55"/>
      <c r="AD8" s="55"/>
      <c r="AE8" s="55"/>
      <c r="AF8" s="55"/>
      <c r="AG8" s="55"/>
      <c r="AH8" s="55"/>
      <c r="AI8" s="55"/>
      <c r="AJ8" s="55"/>
      <c r="AK8" s="55"/>
    </row>
    <row r="9" spans="1:37" s="53" customFormat="1" ht="15" customHeight="1" x14ac:dyDescent="0.55000000000000004">
      <c r="A9" s="58"/>
      <c r="X9" s="55" t="s">
        <v>55</v>
      </c>
      <c r="AA9" s="55"/>
      <c r="AB9" s="55"/>
      <c r="AC9" s="55"/>
      <c r="AD9" s="55"/>
      <c r="AE9" s="55"/>
      <c r="AF9" s="55"/>
      <c r="AG9" s="55"/>
      <c r="AH9" s="55"/>
      <c r="AI9" s="55"/>
      <c r="AJ9" s="55"/>
      <c r="AK9" s="55"/>
    </row>
    <row r="10" spans="1:37" s="53" customFormat="1" ht="15" customHeight="1" x14ac:dyDescent="0.55000000000000004">
      <c r="A10" s="58"/>
      <c r="X10" s="55" t="s">
        <v>56</v>
      </c>
      <c r="AA10" s="55"/>
      <c r="AB10" s="55"/>
      <c r="AC10" s="55"/>
      <c r="AD10" s="55"/>
      <c r="AE10" s="55"/>
      <c r="AF10" s="55"/>
      <c r="AG10" s="55"/>
      <c r="AH10" s="55"/>
      <c r="AI10" s="55"/>
      <c r="AJ10" s="55"/>
      <c r="AK10" s="55"/>
    </row>
    <row r="11" spans="1:37" s="53" customFormat="1" ht="15" customHeight="1" x14ac:dyDescent="0.55000000000000004">
      <c r="A11" s="150" t="s">
        <v>57</v>
      </c>
      <c r="B11" s="150"/>
      <c r="C11" s="150"/>
      <c r="D11" s="150"/>
      <c r="E11" s="150"/>
      <c r="F11" s="152">
        <f>AE45</f>
        <v>300000</v>
      </c>
      <c r="G11" s="152"/>
      <c r="H11" s="152"/>
      <c r="I11" s="152"/>
      <c r="J11" s="152"/>
      <c r="K11" s="152"/>
      <c r="L11" s="152"/>
      <c r="M11" s="152"/>
      <c r="N11" s="152"/>
      <c r="O11" s="152"/>
      <c r="P11" s="152"/>
      <c r="Q11" s="152"/>
      <c r="X11" s="55" t="s">
        <v>58</v>
      </c>
      <c r="AA11" s="55"/>
      <c r="AB11" s="55"/>
      <c r="AC11" s="55"/>
      <c r="AD11" s="55"/>
      <c r="AE11" s="55"/>
      <c r="AF11" s="55"/>
      <c r="AG11" s="55"/>
      <c r="AH11" s="55"/>
      <c r="AI11" s="55"/>
      <c r="AJ11" s="55"/>
      <c r="AK11" s="55"/>
    </row>
    <row r="12" spans="1:37" s="53" customFormat="1" ht="15" customHeight="1" x14ac:dyDescent="0.55000000000000004">
      <c r="A12" s="151"/>
      <c r="B12" s="151"/>
      <c r="C12" s="151"/>
      <c r="D12" s="151"/>
      <c r="E12" s="151"/>
      <c r="F12" s="153"/>
      <c r="G12" s="153"/>
      <c r="H12" s="153"/>
      <c r="I12" s="153"/>
      <c r="J12" s="153"/>
      <c r="K12" s="153"/>
      <c r="L12" s="153"/>
      <c r="M12" s="153"/>
      <c r="N12" s="153"/>
      <c r="O12" s="153"/>
      <c r="P12" s="153"/>
      <c r="Q12" s="153"/>
      <c r="X12" s="55" t="s">
        <v>59</v>
      </c>
      <c r="AA12" s="55"/>
      <c r="AB12" s="55"/>
      <c r="AC12" s="55"/>
      <c r="AD12" s="55"/>
      <c r="AE12" s="55"/>
      <c r="AF12" s="55"/>
      <c r="AG12" s="55"/>
      <c r="AH12" s="55"/>
      <c r="AI12" s="55"/>
      <c r="AJ12" s="55"/>
      <c r="AK12" s="55"/>
    </row>
    <row r="13" spans="1:37" s="53" customFormat="1" ht="15" customHeight="1" x14ac:dyDescent="0.55000000000000004">
      <c r="A13" s="58"/>
    </row>
    <row r="14" spans="1:37" s="53" customFormat="1" ht="15" customHeight="1" x14ac:dyDescent="0.55000000000000004">
      <c r="A14" s="58"/>
    </row>
    <row r="15" spans="1:37" s="53" customFormat="1" ht="15" customHeight="1" x14ac:dyDescent="0.55000000000000004">
      <c r="A15" s="58"/>
    </row>
    <row r="16" spans="1:37" ht="15" customHeight="1" x14ac:dyDescent="0.55000000000000004">
      <c r="A16" s="59" t="s">
        <v>60</v>
      </c>
    </row>
    <row r="18" spans="1:16" ht="15" customHeight="1" x14ac:dyDescent="0.55000000000000004">
      <c r="B18" s="55" t="s">
        <v>168</v>
      </c>
    </row>
    <row r="20" spans="1:16" ht="15" customHeight="1" x14ac:dyDescent="0.55000000000000004">
      <c r="A20" s="55"/>
    </row>
    <row r="21" spans="1:16" ht="15" customHeight="1" x14ac:dyDescent="0.55000000000000004">
      <c r="A21" s="59" t="s">
        <v>61</v>
      </c>
      <c r="P21" s="59"/>
    </row>
    <row r="22" spans="1:16" ht="15" customHeight="1" x14ac:dyDescent="0.55000000000000004">
      <c r="A22" s="55"/>
    </row>
    <row r="23" spans="1:16" ht="15" customHeight="1" x14ac:dyDescent="0.55000000000000004">
      <c r="A23" s="55"/>
      <c r="B23" s="55" t="s">
        <v>62</v>
      </c>
    </row>
    <row r="24" spans="1:16" ht="15" customHeight="1" x14ac:dyDescent="0.55000000000000004">
      <c r="A24" s="55"/>
    </row>
    <row r="25" spans="1:16" ht="15" customHeight="1" x14ac:dyDescent="0.55000000000000004">
      <c r="A25" s="55"/>
    </row>
    <row r="26" spans="1:16" ht="15" customHeight="1" x14ac:dyDescent="0.55000000000000004">
      <c r="A26" s="59" t="s">
        <v>63</v>
      </c>
    </row>
    <row r="27" spans="1:16" ht="15" customHeight="1" x14ac:dyDescent="0.55000000000000004">
      <c r="A27" s="55"/>
    </row>
    <row r="28" spans="1:16" ht="15" customHeight="1" x14ac:dyDescent="0.55000000000000004">
      <c r="A28" s="55"/>
      <c r="B28" s="55" t="s">
        <v>64</v>
      </c>
    </row>
    <row r="29" spans="1:16" ht="15" customHeight="1" x14ac:dyDescent="0.55000000000000004">
      <c r="A29" s="55"/>
    </row>
    <row r="30" spans="1:16" ht="15" customHeight="1" x14ac:dyDescent="0.55000000000000004">
      <c r="A30" s="55"/>
    </row>
    <row r="31" spans="1:16" ht="15" customHeight="1" x14ac:dyDescent="0.55000000000000004">
      <c r="A31" s="59" t="s">
        <v>65</v>
      </c>
    </row>
    <row r="33" spans="1:43" ht="15" customHeight="1" x14ac:dyDescent="0.55000000000000004">
      <c r="A33" s="55"/>
      <c r="B33" s="55" t="s">
        <v>150</v>
      </c>
    </row>
    <row r="34" spans="1:43" ht="15" customHeight="1" x14ac:dyDescent="0.55000000000000004">
      <c r="A34" s="55"/>
    </row>
    <row r="35" spans="1:43" ht="15" customHeight="1" x14ac:dyDescent="0.55000000000000004">
      <c r="A35" s="55"/>
    </row>
    <row r="36" spans="1:43" ht="15" customHeight="1" x14ac:dyDescent="0.55000000000000004">
      <c r="A36" s="59" t="s">
        <v>66</v>
      </c>
    </row>
    <row r="37" spans="1:43" ht="15" customHeight="1" x14ac:dyDescent="0.55000000000000004">
      <c r="A37" s="55"/>
    </row>
    <row r="38" spans="1:43" ht="15" customHeight="1" x14ac:dyDescent="0.55000000000000004">
      <c r="A38" s="55"/>
      <c r="B38" s="60" t="s">
        <v>67</v>
      </c>
      <c r="C38" s="61"/>
      <c r="D38" s="60" t="s">
        <v>68</v>
      </c>
      <c r="E38" s="62"/>
      <c r="F38" s="62"/>
      <c r="G38" s="62"/>
      <c r="H38" s="62"/>
      <c r="I38" s="62"/>
      <c r="J38" s="62"/>
      <c r="K38" s="62"/>
      <c r="L38" s="62"/>
      <c r="M38" s="62"/>
      <c r="N38" s="62"/>
      <c r="O38" s="62"/>
      <c r="P38" s="62"/>
      <c r="Q38" s="62"/>
      <c r="R38" s="62"/>
      <c r="S38" s="62"/>
      <c r="T38" s="60"/>
      <c r="U38" s="62"/>
      <c r="V38" s="62"/>
      <c r="W38" s="62"/>
      <c r="X38" s="61"/>
      <c r="Y38" s="60" t="s">
        <v>69</v>
      </c>
      <c r="Z38" s="62"/>
      <c r="AA38" s="62"/>
      <c r="AB38" s="62"/>
      <c r="AC38" s="62"/>
      <c r="AD38" s="62"/>
      <c r="AE38" s="60" t="s">
        <v>70</v>
      </c>
      <c r="AF38" s="62"/>
      <c r="AG38" s="62"/>
      <c r="AH38" s="62"/>
      <c r="AI38" s="62"/>
      <c r="AJ38" s="61"/>
      <c r="AM38" s="60" t="s">
        <v>71</v>
      </c>
      <c r="AN38" s="62"/>
      <c r="AO38" s="62"/>
      <c r="AP38" s="62"/>
      <c r="AQ38" s="61"/>
    </row>
    <row r="39" spans="1:43" ht="15" customHeight="1" x14ac:dyDescent="0.55000000000000004">
      <c r="A39" s="55"/>
      <c r="B39" s="134">
        <v>1</v>
      </c>
      <c r="C39" s="135"/>
      <c r="D39" s="63" t="s">
        <v>73</v>
      </c>
      <c r="E39" s="64"/>
      <c r="F39" s="64"/>
      <c r="G39" s="64"/>
      <c r="H39" s="64"/>
      <c r="I39" s="64"/>
      <c r="J39" s="64"/>
      <c r="K39" s="64"/>
      <c r="L39" s="64"/>
      <c r="M39" s="64"/>
      <c r="N39" s="64"/>
      <c r="O39" s="64"/>
      <c r="P39" s="64"/>
      <c r="Q39" s="64"/>
      <c r="R39" s="64"/>
      <c r="S39" s="64"/>
      <c r="T39" s="65"/>
      <c r="U39" s="65"/>
      <c r="V39" s="65"/>
      <c r="W39" s="65"/>
      <c r="X39" s="66"/>
      <c r="Y39" s="136">
        <v>0.03</v>
      </c>
      <c r="Z39" s="137"/>
      <c r="AA39" s="137"/>
      <c r="AB39" s="137"/>
      <c r="AC39" s="138" t="s">
        <v>72</v>
      </c>
      <c r="AD39" s="139"/>
      <c r="AE39" s="140">
        <f t="shared" ref="AE39:AE43" si="0">AM39*Y39</f>
        <v>30000</v>
      </c>
      <c r="AF39" s="141"/>
      <c r="AG39" s="141"/>
      <c r="AH39" s="141"/>
      <c r="AI39" s="141"/>
      <c r="AJ39" s="142"/>
      <c r="AM39" s="140">
        <v>1000000</v>
      </c>
      <c r="AN39" s="141"/>
      <c r="AO39" s="141"/>
      <c r="AP39" s="141"/>
      <c r="AQ39" s="142"/>
    </row>
    <row r="40" spans="1:43" ht="15" customHeight="1" x14ac:dyDescent="0.55000000000000004">
      <c r="A40" s="55"/>
      <c r="B40" s="134">
        <v>2</v>
      </c>
      <c r="C40" s="135"/>
      <c r="D40" s="63" t="s">
        <v>74</v>
      </c>
      <c r="E40" s="64"/>
      <c r="F40" s="64"/>
      <c r="G40" s="64"/>
      <c r="H40" s="64"/>
      <c r="I40" s="64"/>
      <c r="J40" s="64"/>
      <c r="K40" s="64"/>
      <c r="L40" s="64"/>
      <c r="M40" s="64"/>
      <c r="N40" s="64"/>
      <c r="O40" s="64"/>
      <c r="P40" s="64"/>
      <c r="Q40" s="64"/>
      <c r="R40" s="64"/>
      <c r="S40" s="64"/>
      <c r="T40" s="65"/>
      <c r="U40" s="65"/>
      <c r="V40" s="65"/>
      <c r="W40" s="65"/>
      <c r="X40" s="66"/>
      <c r="Y40" s="136">
        <v>0.05</v>
      </c>
      <c r="Z40" s="137"/>
      <c r="AA40" s="137"/>
      <c r="AB40" s="137"/>
      <c r="AC40" s="138" t="s">
        <v>72</v>
      </c>
      <c r="AD40" s="139"/>
      <c r="AE40" s="140">
        <f t="shared" si="0"/>
        <v>50000</v>
      </c>
      <c r="AF40" s="141"/>
      <c r="AG40" s="141"/>
      <c r="AH40" s="141"/>
      <c r="AI40" s="141"/>
      <c r="AJ40" s="142"/>
      <c r="AM40" s="140">
        <v>1000000</v>
      </c>
      <c r="AN40" s="141"/>
      <c r="AO40" s="141"/>
      <c r="AP40" s="141"/>
      <c r="AQ40" s="142"/>
    </row>
    <row r="41" spans="1:43" ht="15" customHeight="1" x14ac:dyDescent="0.55000000000000004">
      <c r="A41" s="55"/>
      <c r="B41" s="134">
        <v>3</v>
      </c>
      <c r="C41" s="135"/>
      <c r="D41" s="63" t="s">
        <v>75</v>
      </c>
      <c r="E41" s="64"/>
      <c r="F41" s="64"/>
      <c r="G41" s="64"/>
      <c r="H41" s="64"/>
      <c r="I41" s="64"/>
      <c r="J41" s="64"/>
      <c r="K41" s="64"/>
      <c r="L41" s="64"/>
      <c r="M41" s="64"/>
      <c r="N41" s="64"/>
      <c r="O41" s="64"/>
      <c r="P41" s="64"/>
      <c r="Q41" s="64"/>
      <c r="R41" s="64"/>
      <c r="S41" s="64"/>
      <c r="T41" s="65"/>
      <c r="U41" s="65"/>
      <c r="V41" s="65"/>
      <c r="W41" s="65"/>
      <c r="X41" s="66"/>
      <c r="Y41" s="136">
        <v>0.08</v>
      </c>
      <c r="Z41" s="137"/>
      <c r="AA41" s="137"/>
      <c r="AB41" s="137"/>
      <c r="AC41" s="138" t="s">
        <v>72</v>
      </c>
      <c r="AD41" s="139"/>
      <c r="AE41" s="140">
        <f t="shared" si="0"/>
        <v>80000</v>
      </c>
      <c r="AF41" s="141"/>
      <c r="AG41" s="141"/>
      <c r="AH41" s="141"/>
      <c r="AI41" s="141"/>
      <c r="AJ41" s="142"/>
      <c r="AM41" s="140">
        <v>1000000</v>
      </c>
      <c r="AN41" s="141"/>
      <c r="AO41" s="141"/>
      <c r="AP41" s="141"/>
      <c r="AQ41" s="142"/>
    </row>
    <row r="42" spans="1:43" ht="15" customHeight="1" x14ac:dyDescent="0.55000000000000004">
      <c r="A42" s="55"/>
      <c r="B42" s="134">
        <v>4</v>
      </c>
      <c r="C42" s="135"/>
      <c r="D42" s="63" t="s">
        <v>76</v>
      </c>
      <c r="E42" s="64"/>
      <c r="F42" s="64"/>
      <c r="G42" s="64"/>
      <c r="H42" s="64"/>
      <c r="I42" s="64"/>
      <c r="J42" s="64"/>
      <c r="K42" s="64"/>
      <c r="L42" s="64"/>
      <c r="M42" s="64"/>
      <c r="N42" s="64"/>
      <c r="O42" s="64"/>
      <c r="P42" s="64"/>
      <c r="Q42" s="64"/>
      <c r="R42" s="64"/>
      <c r="S42" s="64"/>
      <c r="T42" s="65"/>
      <c r="U42" s="65"/>
      <c r="V42" s="65"/>
      <c r="W42" s="65"/>
      <c r="X42" s="66"/>
      <c r="Y42" s="136">
        <v>0.05</v>
      </c>
      <c r="Z42" s="137"/>
      <c r="AA42" s="137"/>
      <c r="AB42" s="137"/>
      <c r="AC42" s="138" t="s">
        <v>72</v>
      </c>
      <c r="AD42" s="139"/>
      <c r="AE42" s="140">
        <f t="shared" si="0"/>
        <v>50000</v>
      </c>
      <c r="AF42" s="141"/>
      <c r="AG42" s="141"/>
      <c r="AH42" s="141"/>
      <c r="AI42" s="141"/>
      <c r="AJ42" s="142"/>
      <c r="AM42" s="140">
        <v>1000000</v>
      </c>
      <c r="AN42" s="141"/>
      <c r="AO42" s="141"/>
      <c r="AP42" s="141"/>
      <c r="AQ42" s="142"/>
    </row>
    <row r="43" spans="1:43" ht="15" customHeight="1" x14ac:dyDescent="0.55000000000000004">
      <c r="A43" s="55"/>
      <c r="B43" s="134">
        <v>5</v>
      </c>
      <c r="C43" s="135"/>
      <c r="D43" s="63" t="s">
        <v>77</v>
      </c>
      <c r="E43" s="64"/>
      <c r="F43" s="64"/>
      <c r="G43" s="64"/>
      <c r="H43" s="64"/>
      <c r="I43" s="64"/>
      <c r="J43" s="64"/>
      <c r="K43" s="64"/>
      <c r="L43" s="64"/>
      <c r="M43" s="64"/>
      <c r="N43" s="64"/>
      <c r="O43" s="64"/>
      <c r="P43" s="64"/>
      <c r="Q43" s="64"/>
      <c r="R43" s="64"/>
      <c r="S43" s="64"/>
      <c r="T43" s="65"/>
      <c r="U43" s="65"/>
      <c r="V43" s="65"/>
      <c r="W43" s="65"/>
      <c r="X43" s="66"/>
      <c r="Y43" s="136">
        <v>0.02</v>
      </c>
      <c r="Z43" s="137"/>
      <c r="AA43" s="137"/>
      <c r="AB43" s="137"/>
      <c r="AC43" s="138" t="s">
        <v>72</v>
      </c>
      <c r="AD43" s="139"/>
      <c r="AE43" s="140">
        <f t="shared" si="0"/>
        <v>20000</v>
      </c>
      <c r="AF43" s="141"/>
      <c r="AG43" s="141"/>
      <c r="AH43" s="141"/>
      <c r="AI43" s="141"/>
      <c r="AJ43" s="142"/>
      <c r="AM43" s="140">
        <v>1000000</v>
      </c>
      <c r="AN43" s="141"/>
      <c r="AO43" s="141"/>
      <c r="AP43" s="141"/>
      <c r="AQ43" s="142"/>
    </row>
    <row r="44" spans="1:43" ht="15" customHeight="1" x14ac:dyDescent="0.55000000000000004">
      <c r="A44" s="55"/>
      <c r="B44" s="134">
        <v>6</v>
      </c>
      <c r="C44" s="135"/>
      <c r="D44" s="63" t="s">
        <v>78</v>
      </c>
      <c r="E44" s="64"/>
      <c r="F44" s="64"/>
      <c r="G44" s="64"/>
      <c r="H44" s="64"/>
      <c r="I44" s="64"/>
      <c r="J44" s="64"/>
      <c r="K44" s="64"/>
      <c r="L44" s="64"/>
      <c r="M44" s="64"/>
      <c r="N44" s="64"/>
      <c r="O44" s="64"/>
      <c r="P44" s="64"/>
      <c r="Q44" s="64"/>
      <c r="R44" s="64"/>
      <c r="S44" s="64"/>
      <c r="T44" s="65"/>
      <c r="U44" s="65"/>
      <c r="V44" s="65"/>
      <c r="W44" s="65"/>
      <c r="X44" s="66"/>
      <c r="Y44" s="136">
        <f>ROUNDUP(SUM(Y39:AB43)*0.2,2)</f>
        <v>0.05</v>
      </c>
      <c r="Z44" s="137"/>
      <c r="AA44" s="137"/>
      <c r="AB44" s="137"/>
      <c r="AC44" s="138" t="s">
        <v>72</v>
      </c>
      <c r="AD44" s="139"/>
      <c r="AE44" s="140">
        <f>AM44*Y44</f>
        <v>70000</v>
      </c>
      <c r="AF44" s="141"/>
      <c r="AG44" s="141"/>
      <c r="AH44" s="141"/>
      <c r="AI44" s="141"/>
      <c r="AJ44" s="142"/>
      <c r="AM44" s="140">
        <v>1400000</v>
      </c>
      <c r="AN44" s="141"/>
      <c r="AO44" s="141"/>
      <c r="AP44" s="141"/>
      <c r="AQ44" s="142"/>
    </row>
    <row r="45" spans="1:43" ht="15" customHeight="1" x14ac:dyDescent="0.55000000000000004">
      <c r="A45" s="55"/>
      <c r="B45" s="134"/>
      <c r="C45" s="135"/>
      <c r="D45" s="63" t="s">
        <v>79</v>
      </c>
      <c r="E45" s="64"/>
      <c r="F45" s="64"/>
      <c r="G45" s="64"/>
      <c r="H45" s="64"/>
      <c r="I45" s="64"/>
      <c r="J45" s="64"/>
      <c r="K45" s="64"/>
      <c r="L45" s="64"/>
      <c r="M45" s="64"/>
      <c r="N45" s="64"/>
      <c r="O45" s="64"/>
      <c r="P45" s="64"/>
      <c r="Q45" s="64"/>
      <c r="R45" s="64"/>
      <c r="S45" s="64"/>
      <c r="T45" s="65"/>
      <c r="U45" s="65"/>
      <c r="V45" s="65"/>
      <c r="W45" s="65"/>
      <c r="X45" s="66"/>
      <c r="Y45" s="136">
        <f>SUM(Y39:AB44)</f>
        <v>0.28000000000000003</v>
      </c>
      <c r="Z45" s="137"/>
      <c r="AA45" s="137"/>
      <c r="AB45" s="137"/>
      <c r="AC45" s="138" t="s">
        <v>72</v>
      </c>
      <c r="AD45" s="139"/>
      <c r="AE45" s="140">
        <f>SUM(AE39:AJ44)</f>
        <v>300000</v>
      </c>
      <c r="AF45" s="141"/>
      <c r="AG45" s="141"/>
      <c r="AH45" s="141"/>
      <c r="AI45" s="141"/>
      <c r="AJ45" s="142"/>
      <c r="AM45" s="140" t="s">
        <v>80</v>
      </c>
      <c r="AN45" s="141"/>
      <c r="AO45" s="141"/>
      <c r="AP45" s="141"/>
      <c r="AQ45" s="142"/>
    </row>
    <row r="46" spans="1:43" ht="15" customHeight="1" x14ac:dyDescent="0.55000000000000004">
      <c r="A46" s="55"/>
    </row>
    <row r="47" spans="1:43" ht="15" customHeight="1" x14ac:dyDescent="0.55000000000000004">
      <c r="A47" s="55"/>
    </row>
    <row r="48" spans="1:43" ht="15" customHeight="1" x14ac:dyDescent="0.55000000000000004">
      <c r="A48" s="59" t="s">
        <v>81</v>
      </c>
      <c r="T48" s="67"/>
    </row>
    <row r="49" spans="1:32" ht="15" customHeight="1" x14ac:dyDescent="0.55000000000000004">
      <c r="A49" s="55"/>
    </row>
    <row r="50" spans="1:32" ht="15" customHeight="1" x14ac:dyDescent="0.55000000000000004">
      <c r="A50" s="55"/>
      <c r="B50" s="68" t="s">
        <v>82</v>
      </c>
      <c r="C50" s="69" t="s">
        <v>83</v>
      </c>
      <c r="D50" s="69"/>
      <c r="E50" s="69"/>
      <c r="F50" s="69"/>
      <c r="G50" s="69"/>
      <c r="H50" s="69"/>
      <c r="I50" s="69"/>
      <c r="J50" s="69"/>
      <c r="K50" s="69"/>
      <c r="L50" s="69"/>
      <c r="M50" s="69"/>
      <c r="N50" s="69"/>
      <c r="O50" s="69"/>
      <c r="P50" s="69"/>
      <c r="Q50" s="69"/>
      <c r="R50" s="69"/>
      <c r="S50" s="69"/>
      <c r="T50" s="70" t="s">
        <v>82</v>
      </c>
      <c r="U50" s="69" t="s">
        <v>84</v>
      </c>
    </row>
    <row r="51" spans="1:32" ht="15" customHeight="1" x14ac:dyDescent="0.55000000000000004">
      <c r="A51" s="55"/>
      <c r="B51" s="68" t="s">
        <v>82</v>
      </c>
      <c r="C51" s="69" t="s">
        <v>85</v>
      </c>
      <c r="D51" s="69"/>
      <c r="E51" s="69"/>
      <c r="F51" s="69"/>
      <c r="G51" s="69"/>
      <c r="H51" s="69"/>
      <c r="I51" s="69"/>
      <c r="J51" s="69"/>
      <c r="K51" s="69"/>
      <c r="L51" s="69"/>
      <c r="M51" s="69"/>
      <c r="N51" s="69"/>
      <c r="O51" s="69"/>
      <c r="P51" s="69"/>
      <c r="Q51" s="69"/>
      <c r="R51" s="69"/>
      <c r="S51" s="69"/>
      <c r="T51" s="68" t="s">
        <v>82</v>
      </c>
      <c r="U51" s="69" t="s">
        <v>86</v>
      </c>
    </row>
    <row r="52" spans="1:32" ht="15" customHeight="1" x14ac:dyDescent="0.55000000000000004">
      <c r="A52" s="55"/>
      <c r="B52" s="71"/>
    </row>
    <row r="53" spans="1:32" ht="15" customHeight="1" x14ac:dyDescent="0.55000000000000004">
      <c r="A53" s="59" t="s">
        <v>87</v>
      </c>
    </row>
    <row r="54" spans="1:32" ht="15" customHeight="1" x14ac:dyDescent="0.55000000000000004">
      <c r="A54" s="55"/>
    </row>
    <row r="55" spans="1:32" ht="15" customHeight="1" x14ac:dyDescent="0.55000000000000004">
      <c r="A55" s="55"/>
      <c r="B55" s="72" t="s">
        <v>67</v>
      </c>
      <c r="C55" s="73"/>
      <c r="D55" s="72" t="s">
        <v>88</v>
      </c>
      <c r="E55" s="74"/>
      <c r="F55" s="74"/>
      <c r="G55" s="74"/>
      <c r="H55" s="74"/>
      <c r="I55" s="75" t="s">
        <v>87</v>
      </c>
      <c r="J55" s="76"/>
      <c r="K55" s="76"/>
      <c r="L55" s="76"/>
      <c r="M55" s="76"/>
      <c r="N55" s="76"/>
      <c r="O55" s="76"/>
      <c r="P55" s="76"/>
      <c r="Q55" s="76"/>
      <c r="R55" s="76"/>
      <c r="S55" s="76"/>
      <c r="T55" s="77"/>
      <c r="U55" s="75" t="s">
        <v>89</v>
      </c>
      <c r="V55" s="76"/>
      <c r="W55" s="76"/>
      <c r="X55" s="76"/>
      <c r="Y55" s="76"/>
      <c r="Z55" s="76"/>
      <c r="AA55" s="76"/>
      <c r="AB55" s="76"/>
      <c r="AC55" s="76"/>
      <c r="AD55" s="76"/>
      <c r="AE55" s="76"/>
      <c r="AF55" s="77"/>
    </row>
    <row r="56" spans="1:32" ht="15" customHeight="1" x14ac:dyDescent="0.55000000000000004">
      <c r="A56" s="55"/>
      <c r="B56" s="78">
        <v>1</v>
      </c>
      <c r="C56" s="79"/>
      <c r="D56" s="126" t="s">
        <v>73</v>
      </c>
      <c r="E56" s="127"/>
      <c r="F56" s="127"/>
      <c r="G56" s="127"/>
      <c r="H56" s="127"/>
      <c r="I56" s="86" t="s">
        <v>90</v>
      </c>
      <c r="J56" s="128" t="s">
        <v>164</v>
      </c>
      <c r="K56" s="128"/>
      <c r="L56" s="128"/>
      <c r="M56" s="128"/>
      <c r="N56" s="128"/>
      <c r="O56" s="128"/>
      <c r="P56" s="128"/>
      <c r="Q56" s="128"/>
      <c r="R56" s="128"/>
      <c r="S56" s="128"/>
      <c r="T56" s="129"/>
      <c r="U56" s="81" t="s">
        <v>90</v>
      </c>
      <c r="V56" s="81" t="s">
        <v>91</v>
      </c>
      <c r="W56" s="81"/>
      <c r="X56" s="81"/>
      <c r="Y56" s="81"/>
      <c r="Z56" s="81"/>
      <c r="AA56" s="81"/>
      <c r="AB56" s="81"/>
      <c r="AC56" s="81"/>
      <c r="AD56" s="81"/>
      <c r="AE56" s="81"/>
      <c r="AF56" s="82"/>
    </row>
    <row r="57" spans="1:32" ht="15" customHeight="1" x14ac:dyDescent="0.55000000000000004">
      <c r="A57" s="55"/>
      <c r="B57" s="88"/>
      <c r="C57" s="89"/>
      <c r="D57" s="107"/>
      <c r="E57" s="91"/>
      <c r="F57" s="91"/>
      <c r="G57" s="91"/>
      <c r="H57" s="91"/>
      <c r="I57" s="92" t="s">
        <v>90</v>
      </c>
      <c r="J57" s="130" t="s">
        <v>165</v>
      </c>
      <c r="K57" s="130"/>
      <c r="L57" s="130"/>
      <c r="M57" s="130"/>
      <c r="N57" s="130"/>
      <c r="O57" s="130"/>
      <c r="P57" s="130"/>
      <c r="Q57" s="130"/>
      <c r="R57" s="130"/>
      <c r="S57" s="130"/>
      <c r="T57" s="131"/>
      <c r="U57" s="93" t="s">
        <v>90</v>
      </c>
      <c r="V57" s="93" t="s">
        <v>92</v>
      </c>
      <c r="W57" s="93"/>
      <c r="X57" s="93"/>
      <c r="Y57" s="93"/>
      <c r="Z57" s="93"/>
      <c r="AA57" s="93"/>
      <c r="AB57" s="93"/>
      <c r="AC57" s="93"/>
      <c r="AD57" s="93"/>
      <c r="AE57" s="93"/>
      <c r="AF57" s="94"/>
    </row>
    <row r="58" spans="1:32" ht="15" customHeight="1" x14ac:dyDescent="0.55000000000000004">
      <c r="A58" s="55"/>
      <c r="B58" s="83">
        <v>2</v>
      </c>
      <c r="C58" s="84"/>
      <c r="D58" s="132" t="s">
        <v>93</v>
      </c>
      <c r="E58" s="133"/>
      <c r="F58" s="133"/>
      <c r="G58" s="133"/>
      <c r="H58" s="133"/>
      <c r="I58" s="86" t="s">
        <v>94</v>
      </c>
      <c r="T58" s="87"/>
      <c r="U58" s="86" t="s">
        <v>82</v>
      </c>
      <c r="V58" s="55" t="s">
        <v>95</v>
      </c>
      <c r="AF58" s="87"/>
    </row>
    <row r="59" spans="1:32" ht="15" customHeight="1" x14ac:dyDescent="0.55000000000000004">
      <c r="A59" s="55"/>
      <c r="B59" s="88"/>
      <c r="C59" s="89"/>
      <c r="D59" s="90"/>
      <c r="E59" s="91"/>
      <c r="F59" s="91"/>
      <c r="G59" s="91"/>
      <c r="H59" s="91"/>
      <c r="I59" s="92"/>
      <c r="T59" s="87"/>
      <c r="U59" s="92"/>
      <c r="AF59" s="87"/>
    </row>
    <row r="60" spans="1:32" ht="15" customHeight="1" x14ac:dyDescent="0.55000000000000004">
      <c r="A60" s="55"/>
      <c r="B60" s="78">
        <v>3</v>
      </c>
      <c r="C60" s="79"/>
      <c r="D60" s="126" t="s">
        <v>96</v>
      </c>
      <c r="E60" s="127"/>
      <c r="F60" s="127"/>
      <c r="G60" s="127"/>
      <c r="H60" s="127"/>
      <c r="I60" s="86" t="s">
        <v>90</v>
      </c>
      <c r="J60" s="81" t="s">
        <v>97</v>
      </c>
      <c r="K60" s="81"/>
      <c r="L60" s="81"/>
      <c r="M60" s="81"/>
      <c r="N60" s="81"/>
      <c r="O60" s="81"/>
      <c r="P60" s="81"/>
      <c r="Q60" s="81"/>
      <c r="R60" s="81"/>
      <c r="S60" s="81"/>
      <c r="T60" s="82"/>
      <c r="U60" s="86" t="s">
        <v>98</v>
      </c>
      <c r="V60" s="81" t="s">
        <v>99</v>
      </c>
      <c r="W60" s="81"/>
      <c r="X60" s="81"/>
      <c r="Y60" s="81"/>
      <c r="Z60" s="81"/>
      <c r="AA60" s="81"/>
      <c r="AB60" s="81"/>
      <c r="AC60" s="81"/>
      <c r="AD60" s="81"/>
      <c r="AE60" s="81"/>
      <c r="AF60" s="82"/>
    </row>
    <row r="61" spans="1:32" ht="15" customHeight="1" x14ac:dyDescent="0.55000000000000004">
      <c r="A61" s="55"/>
      <c r="B61" s="88"/>
      <c r="C61" s="89"/>
      <c r="D61" s="85"/>
      <c r="E61" s="91"/>
      <c r="F61" s="91"/>
      <c r="G61" s="91"/>
      <c r="H61" s="91"/>
      <c r="I61" s="86"/>
      <c r="J61" s="93"/>
      <c r="K61" s="93"/>
      <c r="L61" s="93"/>
      <c r="M61" s="93"/>
      <c r="N61" s="93"/>
      <c r="O61" s="93"/>
      <c r="P61" s="93"/>
      <c r="Q61" s="93"/>
      <c r="R61" s="93"/>
      <c r="S61" s="93"/>
      <c r="T61" s="94"/>
      <c r="U61" s="86"/>
      <c r="V61" s="93"/>
      <c r="W61" s="93"/>
      <c r="X61" s="93"/>
      <c r="Y61" s="93"/>
      <c r="Z61" s="93"/>
      <c r="AA61" s="93"/>
      <c r="AB61" s="93"/>
      <c r="AC61" s="93"/>
      <c r="AD61" s="93"/>
      <c r="AE61" s="93"/>
      <c r="AF61" s="94"/>
    </row>
    <row r="62" spans="1:32" ht="15" customHeight="1" x14ac:dyDescent="0.55000000000000004">
      <c r="A62" s="55"/>
      <c r="B62" s="78">
        <v>4</v>
      </c>
      <c r="C62" s="79"/>
      <c r="D62" s="126" t="s">
        <v>100</v>
      </c>
      <c r="E62" s="127"/>
      <c r="F62" s="127"/>
      <c r="G62" s="127"/>
      <c r="H62" s="127"/>
      <c r="I62" s="80" t="s">
        <v>90</v>
      </c>
      <c r="J62" s="81" t="s">
        <v>101</v>
      </c>
      <c r="K62" s="81"/>
      <c r="L62" s="81"/>
      <c r="M62" s="81"/>
      <c r="N62" s="81"/>
      <c r="O62" s="81"/>
      <c r="P62" s="81"/>
      <c r="Q62" s="81"/>
      <c r="R62" s="81"/>
      <c r="S62" s="81"/>
      <c r="T62" s="82"/>
      <c r="U62" s="80"/>
      <c r="V62" s="81"/>
      <c r="W62" s="81"/>
      <c r="X62" s="81"/>
      <c r="Y62" s="81"/>
      <c r="Z62" s="81"/>
      <c r="AA62" s="81"/>
      <c r="AB62" s="81"/>
      <c r="AC62" s="81"/>
      <c r="AD62" s="81"/>
      <c r="AE62" s="81"/>
      <c r="AF62" s="82"/>
    </row>
    <row r="63" spans="1:32" ht="15" customHeight="1" x14ac:dyDescent="0.55000000000000004">
      <c r="A63" s="55"/>
      <c r="B63" s="88"/>
      <c r="C63" s="89"/>
      <c r="D63" s="85"/>
      <c r="E63" s="91"/>
      <c r="F63" s="91"/>
      <c r="G63" s="91"/>
      <c r="H63" s="91"/>
      <c r="I63" s="92"/>
      <c r="J63" s="93"/>
      <c r="K63" s="93"/>
      <c r="L63" s="93"/>
      <c r="M63" s="93"/>
      <c r="N63" s="93"/>
      <c r="O63" s="93"/>
      <c r="P63" s="93"/>
      <c r="Q63" s="93"/>
      <c r="R63" s="93"/>
      <c r="S63" s="93"/>
      <c r="T63" s="94"/>
      <c r="U63" s="92"/>
      <c r="V63" s="93"/>
      <c r="W63" s="93"/>
      <c r="X63" s="93"/>
      <c r="Y63" s="93"/>
      <c r="Z63" s="93"/>
      <c r="AA63" s="93"/>
      <c r="AB63" s="93"/>
      <c r="AC63" s="93"/>
      <c r="AD63" s="93"/>
      <c r="AE63" s="93"/>
      <c r="AF63" s="94"/>
    </row>
    <row r="64" spans="1:32" ht="15" customHeight="1" x14ac:dyDescent="0.55000000000000004">
      <c r="A64" s="55"/>
      <c r="B64" s="78">
        <v>5</v>
      </c>
      <c r="C64" s="79"/>
      <c r="D64" s="126" t="s">
        <v>76</v>
      </c>
      <c r="E64" s="127"/>
      <c r="F64" s="127"/>
      <c r="G64" s="127"/>
      <c r="H64" s="127"/>
      <c r="I64" s="80" t="s">
        <v>90</v>
      </c>
      <c r="J64" s="81" t="s">
        <v>102</v>
      </c>
      <c r="K64" s="81"/>
      <c r="L64" s="81"/>
      <c r="M64" s="81"/>
      <c r="N64" s="81"/>
      <c r="O64" s="81"/>
      <c r="P64" s="81"/>
      <c r="Q64" s="81"/>
      <c r="R64" s="81"/>
      <c r="S64" s="81"/>
      <c r="T64" s="82"/>
      <c r="U64" s="80" t="s">
        <v>98</v>
      </c>
      <c r="V64" s="81" t="s">
        <v>103</v>
      </c>
      <c r="W64" s="81"/>
      <c r="X64" s="81"/>
      <c r="Y64" s="81"/>
      <c r="Z64" s="81"/>
      <c r="AA64" s="81"/>
      <c r="AB64" s="81"/>
      <c r="AC64" s="81"/>
      <c r="AD64" s="81"/>
      <c r="AE64" s="81"/>
      <c r="AF64" s="82"/>
    </row>
    <row r="65" spans="1:32" ht="15" customHeight="1" x14ac:dyDescent="0.55000000000000004">
      <c r="A65" s="55"/>
      <c r="B65" s="88"/>
      <c r="C65" s="89"/>
      <c r="D65" s="85"/>
      <c r="E65" s="91"/>
      <c r="F65" s="91"/>
      <c r="G65" s="91"/>
      <c r="H65" s="91"/>
      <c r="I65" s="92" t="s">
        <v>90</v>
      </c>
      <c r="J65" s="93" t="s">
        <v>104</v>
      </c>
      <c r="K65" s="93"/>
      <c r="L65" s="93"/>
      <c r="M65" s="93"/>
      <c r="N65" s="93"/>
      <c r="O65" s="93"/>
      <c r="P65" s="93"/>
      <c r="Q65" s="93"/>
      <c r="R65" s="93"/>
      <c r="S65" s="93"/>
      <c r="T65" s="94"/>
      <c r="U65" s="92"/>
      <c r="V65" s="93"/>
      <c r="W65" s="93"/>
      <c r="X65" s="93"/>
      <c r="Y65" s="93"/>
      <c r="Z65" s="93"/>
      <c r="AA65" s="93"/>
      <c r="AB65" s="93"/>
      <c r="AC65" s="93"/>
      <c r="AD65" s="93"/>
      <c r="AE65" s="93"/>
      <c r="AF65" s="94"/>
    </row>
    <row r="66" spans="1:32" ht="15" customHeight="1" x14ac:dyDescent="0.55000000000000004">
      <c r="A66" s="55"/>
      <c r="B66" s="78">
        <v>6</v>
      </c>
      <c r="C66" s="79"/>
      <c r="D66" s="126" t="s">
        <v>78</v>
      </c>
      <c r="E66" s="127"/>
      <c r="F66" s="127"/>
      <c r="G66" s="127"/>
      <c r="H66" s="127"/>
      <c r="I66" s="86" t="s">
        <v>82</v>
      </c>
      <c r="J66" s="55" t="s">
        <v>105</v>
      </c>
      <c r="T66" s="87"/>
      <c r="U66" s="86" t="s">
        <v>82</v>
      </c>
      <c r="V66" s="55" t="s">
        <v>106</v>
      </c>
      <c r="AF66" s="87"/>
    </row>
    <row r="67" spans="1:32" ht="15" customHeight="1" x14ac:dyDescent="0.55000000000000004">
      <c r="A67" s="55"/>
      <c r="B67" s="83"/>
      <c r="C67" s="84"/>
      <c r="D67" s="95"/>
      <c r="E67" s="67"/>
      <c r="F67" s="67"/>
      <c r="G67" s="67"/>
      <c r="H67" s="67"/>
      <c r="I67" s="86" t="s">
        <v>82</v>
      </c>
      <c r="J67" s="55" t="s">
        <v>107</v>
      </c>
      <c r="T67" s="87"/>
      <c r="U67" s="86" t="s">
        <v>82</v>
      </c>
      <c r="V67" s="55" t="s">
        <v>108</v>
      </c>
      <c r="AF67" s="87"/>
    </row>
    <row r="68" spans="1:32" ht="15" customHeight="1" x14ac:dyDescent="0.55000000000000004">
      <c r="A68" s="55"/>
      <c r="B68" s="88"/>
      <c r="C68" s="89"/>
      <c r="D68" s="90"/>
      <c r="E68" s="91"/>
      <c r="F68" s="91"/>
      <c r="G68" s="91"/>
      <c r="H68" s="91"/>
      <c r="I68" s="92" t="s">
        <v>90</v>
      </c>
      <c r="J68" s="93" t="s">
        <v>109</v>
      </c>
      <c r="K68" s="93"/>
      <c r="L68" s="93"/>
      <c r="M68" s="93"/>
      <c r="N68" s="93"/>
      <c r="O68" s="93"/>
      <c r="P68" s="93"/>
      <c r="Q68" s="93"/>
      <c r="R68" s="93"/>
      <c r="S68" s="93"/>
      <c r="T68" s="94"/>
      <c r="U68" s="92"/>
      <c r="V68" s="93"/>
      <c r="W68" s="93"/>
      <c r="X68" s="93"/>
      <c r="Y68" s="93"/>
      <c r="Z68" s="93"/>
      <c r="AA68" s="93"/>
      <c r="AB68" s="93"/>
      <c r="AC68" s="93"/>
      <c r="AD68" s="93"/>
      <c r="AE68" s="93"/>
      <c r="AF68" s="94"/>
    </row>
    <row r="69" spans="1:32" ht="15" customHeight="1" x14ac:dyDescent="0.55000000000000004">
      <c r="A69" s="55"/>
    </row>
    <row r="70" spans="1:32" ht="15" customHeight="1" x14ac:dyDescent="0.55000000000000004">
      <c r="A70" s="55"/>
    </row>
    <row r="71" spans="1:32" ht="15" customHeight="1" x14ac:dyDescent="0.55000000000000004">
      <c r="A71" s="59" t="s">
        <v>110</v>
      </c>
    </row>
    <row r="72" spans="1:32" ht="15" customHeight="1" x14ac:dyDescent="0.55000000000000004">
      <c r="A72" s="55"/>
    </row>
    <row r="73" spans="1:32" ht="15" customHeight="1" x14ac:dyDescent="0.55000000000000004">
      <c r="A73" s="55"/>
      <c r="B73" s="55" t="s">
        <v>111</v>
      </c>
      <c r="I73" s="106"/>
    </row>
    <row r="74" spans="1:32" ht="15" customHeight="1" x14ac:dyDescent="0.55000000000000004">
      <c r="A74" s="55"/>
      <c r="B74" s="55" t="s">
        <v>142</v>
      </c>
    </row>
    <row r="75" spans="1:32" ht="15" customHeight="1" x14ac:dyDescent="0.55000000000000004">
      <c r="A75" s="55"/>
      <c r="B75" s="55" t="s">
        <v>143</v>
      </c>
    </row>
    <row r="76" spans="1:32" ht="15" customHeight="1" x14ac:dyDescent="0.55000000000000004">
      <c r="A76" s="55"/>
      <c r="B76" s="55" t="s">
        <v>144</v>
      </c>
    </row>
    <row r="77" spans="1:32" ht="15" customHeight="1" x14ac:dyDescent="0.55000000000000004">
      <c r="A77" s="55"/>
      <c r="B77" s="55" t="s">
        <v>145</v>
      </c>
    </row>
    <row r="78" spans="1:32" ht="15" customHeight="1" x14ac:dyDescent="0.55000000000000004">
      <c r="A78" s="55"/>
      <c r="B78" s="55" t="s">
        <v>146</v>
      </c>
    </row>
    <row r="79" spans="1:32" ht="15" customHeight="1" x14ac:dyDescent="0.55000000000000004">
      <c r="A79" s="55"/>
      <c r="B79" s="55" t="s">
        <v>147</v>
      </c>
    </row>
    <row r="80" spans="1:32" ht="15" customHeight="1" x14ac:dyDescent="0.55000000000000004">
      <c r="A80" s="55"/>
      <c r="B80" s="55" t="s">
        <v>148</v>
      </c>
    </row>
    <row r="81" spans="1:28" ht="15" customHeight="1" x14ac:dyDescent="0.55000000000000004">
      <c r="A81" s="55"/>
      <c r="B81" s="55" t="s">
        <v>149</v>
      </c>
    </row>
    <row r="82" spans="1:28" ht="15" customHeight="1" x14ac:dyDescent="0.55000000000000004">
      <c r="A82" s="55"/>
    </row>
    <row r="83" spans="1:28" ht="15" customHeight="1" x14ac:dyDescent="0.55000000000000004">
      <c r="A83" s="55"/>
    </row>
    <row r="84" spans="1:28" ht="15" customHeight="1" x14ac:dyDescent="0.55000000000000004">
      <c r="A84" s="59" t="s">
        <v>112</v>
      </c>
    </row>
    <row r="85" spans="1:28" ht="15" customHeight="1" x14ac:dyDescent="0.55000000000000004">
      <c r="B85" s="71"/>
    </row>
    <row r="86" spans="1:28" ht="15" customHeight="1" x14ac:dyDescent="0.55000000000000004">
      <c r="A86" s="55"/>
      <c r="B86" s="72" t="s">
        <v>67</v>
      </c>
      <c r="C86" s="73"/>
      <c r="D86" s="72" t="s">
        <v>88</v>
      </c>
      <c r="E86" s="74"/>
      <c r="F86" s="74"/>
      <c r="G86" s="74"/>
      <c r="H86" s="74"/>
      <c r="I86" s="124" t="s">
        <v>151</v>
      </c>
      <c r="J86" s="125"/>
      <c r="K86" s="124" t="s">
        <v>152</v>
      </c>
      <c r="L86" s="125"/>
      <c r="M86" s="124" t="s">
        <v>153</v>
      </c>
      <c r="N86" s="125"/>
      <c r="O86" s="124" t="s">
        <v>154</v>
      </c>
      <c r="P86" s="125"/>
      <c r="Q86" s="124" t="s">
        <v>155</v>
      </c>
      <c r="R86" s="125"/>
      <c r="S86" s="124" t="s">
        <v>156</v>
      </c>
      <c r="T86" s="125"/>
      <c r="U86" s="124" t="s">
        <v>157</v>
      </c>
      <c r="V86" s="125"/>
      <c r="W86" s="124" t="s">
        <v>158</v>
      </c>
      <c r="X86" s="125"/>
      <c r="Y86" s="124" t="s">
        <v>159</v>
      </c>
      <c r="Z86" s="125"/>
      <c r="AA86" s="124" t="s">
        <v>160</v>
      </c>
      <c r="AB86" s="125"/>
    </row>
    <row r="87" spans="1:28" ht="15" customHeight="1" x14ac:dyDescent="0.55000000000000004">
      <c r="A87" s="55"/>
      <c r="B87" s="78">
        <v>1</v>
      </c>
      <c r="C87" s="79"/>
      <c r="D87" s="112" t="s">
        <v>162</v>
      </c>
      <c r="E87" s="113"/>
      <c r="F87" s="113"/>
      <c r="G87" s="113"/>
      <c r="H87" s="114"/>
      <c r="I87" s="78"/>
      <c r="J87" s="79"/>
      <c r="K87" s="78"/>
      <c r="L87" s="79"/>
      <c r="M87" s="78"/>
      <c r="N87" s="79"/>
      <c r="O87" s="78"/>
      <c r="P87" s="79"/>
      <c r="Q87" s="78"/>
      <c r="R87" s="79"/>
      <c r="S87" s="78"/>
      <c r="T87" s="79"/>
      <c r="U87" s="78"/>
      <c r="V87" s="79"/>
      <c r="W87" s="78"/>
      <c r="X87" s="79"/>
      <c r="Y87" s="78"/>
      <c r="Z87" s="79"/>
      <c r="AA87" s="78"/>
      <c r="AB87" s="79"/>
    </row>
    <row r="88" spans="1:28" ht="15" customHeight="1" x14ac:dyDescent="0.55000000000000004">
      <c r="A88" s="55"/>
      <c r="B88" s="88"/>
      <c r="C88" s="89"/>
      <c r="D88" s="90"/>
      <c r="E88" s="91"/>
      <c r="F88" s="91"/>
      <c r="G88" s="91"/>
      <c r="H88" s="91"/>
      <c r="I88" s="88"/>
      <c r="J88" s="89"/>
      <c r="K88" s="88"/>
      <c r="L88" s="89"/>
      <c r="M88" s="88"/>
      <c r="N88" s="89"/>
      <c r="O88" s="88"/>
      <c r="P88" s="89"/>
      <c r="Q88" s="88"/>
      <c r="R88" s="89"/>
      <c r="S88" s="88"/>
      <c r="T88" s="89"/>
      <c r="U88" s="88"/>
      <c r="V88" s="89"/>
      <c r="W88" s="88"/>
      <c r="X88" s="89"/>
      <c r="Y88" s="88"/>
      <c r="Z88" s="89"/>
      <c r="AA88" s="88"/>
      <c r="AB88" s="89"/>
    </row>
    <row r="89" spans="1:28" ht="15" customHeight="1" x14ac:dyDescent="0.55000000000000004">
      <c r="A89" s="55"/>
      <c r="B89" s="78">
        <v>2</v>
      </c>
      <c r="C89" s="79"/>
      <c r="D89" s="112" t="s">
        <v>113</v>
      </c>
      <c r="E89" s="113"/>
      <c r="F89" s="113"/>
      <c r="G89" s="113"/>
      <c r="H89" s="114"/>
      <c r="I89" s="78"/>
      <c r="J89" s="79"/>
      <c r="K89" s="78"/>
      <c r="L89" s="79"/>
      <c r="M89" s="78"/>
      <c r="N89" s="79"/>
      <c r="O89" s="78"/>
      <c r="P89" s="79"/>
      <c r="Q89" s="78"/>
      <c r="R89" s="79"/>
      <c r="S89" s="78"/>
      <c r="T89" s="79"/>
      <c r="U89" s="78"/>
      <c r="V89" s="79"/>
      <c r="W89" s="78"/>
      <c r="X89" s="79"/>
      <c r="Y89" s="78"/>
      <c r="Z89" s="79"/>
      <c r="AA89" s="78"/>
      <c r="AB89" s="79"/>
    </row>
    <row r="90" spans="1:28" ht="15" customHeight="1" x14ac:dyDescent="0.55000000000000004">
      <c r="A90" s="55"/>
      <c r="B90" s="88"/>
      <c r="C90" s="89"/>
      <c r="D90" s="90"/>
      <c r="E90" s="91"/>
      <c r="F90" s="91"/>
      <c r="G90" s="91"/>
      <c r="H90" s="91"/>
      <c r="I90" s="88"/>
      <c r="J90" s="89"/>
      <c r="K90" s="88"/>
      <c r="L90" s="89"/>
      <c r="M90" s="88"/>
      <c r="N90" s="89"/>
      <c r="O90" s="88"/>
      <c r="P90" s="89"/>
      <c r="Q90" s="88"/>
      <c r="R90" s="89"/>
      <c r="S90" s="88"/>
      <c r="T90" s="89"/>
      <c r="U90" s="88"/>
      <c r="V90" s="89"/>
      <c r="W90" s="88"/>
      <c r="X90" s="89"/>
      <c r="Y90" s="88"/>
      <c r="Z90" s="89"/>
      <c r="AA90" s="88"/>
      <c r="AB90" s="89"/>
    </row>
    <row r="91" spans="1:28" ht="15" customHeight="1" x14ac:dyDescent="0.55000000000000004">
      <c r="A91" s="55"/>
      <c r="B91" s="78">
        <v>3</v>
      </c>
      <c r="C91" s="79"/>
      <c r="D91" s="112" t="s">
        <v>114</v>
      </c>
      <c r="E91" s="113"/>
      <c r="F91" s="113"/>
      <c r="G91" s="113"/>
      <c r="H91" s="114"/>
      <c r="I91" s="78"/>
      <c r="J91" s="79"/>
      <c r="K91" s="78"/>
      <c r="L91" s="79"/>
      <c r="M91" s="78"/>
      <c r="N91" s="79"/>
      <c r="O91" s="78"/>
      <c r="P91" s="79"/>
      <c r="Q91" s="78"/>
      <c r="R91" s="79"/>
      <c r="S91" s="78"/>
      <c r="T91" s="79"/>
      <c r="U91" s="78"/>
      <c r="V91" s="79"/>
      <c r="W91" s="78"/>
      <c r="X91" s="79"/>
      <c r="Y91" s="78"/>
      <c r="Z91" s="79"/>
      <c r="AA91" s="78"/>
      <c r="AB91" s="79"/>
    </row>
    <row r="92" spans="1:28" ht="15" customHeight="1" x14ac:dyDescent="0.55000000000000004">
      <c r="A92" s="55"/>
      <c r="B92" s="88"/>
      <c r="C92" s="89"/>
      <c r="D92" s="90"/>
      <c r="E92" s="91"/>
      <c r="F92" s="91"/>
      <c r="G92" s="91"/>
      <c r="H92" s="91"/>
      <c r="I92" s="88"/>
      <c r="J92" s="89"/>
      <c r="K92" s="88"/>
      <c r="L92" s="89"/>
      <c r="M92" s="88"/>
      <c r="N92" s="89"/>
      <c r="O92" s="88"/>
      <c r="P92" s="89"/>
      <c r="Q92" s="88"/>
      <c r="R92" s="89"/>
      <c r="S92" s="88"/>
      <c r="T92" s="89"/>
      <c r="U92" s="88"/>
      <c r="V92" s="89"/>
      <c r="W92" s="88"/>
      <c r="X92" s="89"/>
      <c r="Y92" s="88"/>
      <c r="Z92" s="89"/>
      <c r="AA92" s="88"/>
      <c r="AB92" s="89"/>
    </row>
    <row r="93" spans="1:28" ht="15" customHeight="1" x14ac:dyDescent="0.55000000000000004">
      <c r="A93" s="55"/>
      <c r="B93" s="78">
        <v>4</v>
      </c>
      <c r="C93" s="79"/>
      <c r="D93" s="112" t="s">
        <v>115</v>
      </c>
      <c r="E93" s="113"/>
      <c r="F93" s="113"/>
      <c r="G93" s="113"/>
      <c r="H93" s="114"/>
      <c r="I93" s="78"/>
      <c r="J93" s="79"/>
      <c r="K93" s="78"/>
      <c r="L93" s="79"/>
      <c r="M93" s="78"/>
      <c r="N93" s="79"/>
      <c r="O93" s="78"/>
      <c r="P93" s="79"/>
      <c r="Q93" s="78"/>
      <c r="R93" s="79"/>
      <c r="S93" s="78"/>
      <c r="T93" s="79"/>
      <c r="U93" s="78"/>
      <c r="V93" s="79"/>
      <c r="W93" s="78"/>
      <c r="X93" s="79"/>
      <c r="Y93" s="78"/>
      <c r="Z93" s="79"/>
      <c r="AA93" s="78"/>
      <c r="AB93" s="79"/>
    </row>
    <row r="94" spans="1:28" ht="15" customHeight="1" x14ac:dyDescent="0.55000000000000004">
      <c r="A94" s="55"/>
      <c r="B94" s="88"/>
      <c r="C94" s="89"/>
      <c r="D94" s="109" t="s">
        <v>116</v>
      </c>
      <c r="E94" s="110"/>
      <c r="F94" s="110"/>
      <c r="G94" s="110"/>
      <c r="H94" s="111"/>
      <c r="I94" s="88"/>
      <c r="J94" s="89"/>
      <c r="K94" s="88"/>
      <c r="L94" s="89"/>
      <c r="M94" s="88"/>
      <c r="N94" s="89"/>
      <c r="O94" s="88"/>
      <c r="P94" s="89"/>
      <c r="Q94" s="88"/>
      <c r="R94" s="89"/>
      <c r="S94" s="88"/>
      <c r="T94" s="89"/>
      <c r="U94" s="88"/>
      <c r="V94" s="89"/>
      <c r="W94" s="88"/>
      <c r="X94" s="89"/>
      <c r="Y94" s="88"/>
      <c r="Z94" s="89"/>
      <c r="AA94" s="88"/>
      <c r="AB94" s="89"/>
    </row>
    <row r="95" spans="1:28" ht="15" customHeight="1" x14ac:dyDescent="0.55000000000000004">
      <c r="A95" s="55"/>
      <c r="B95" s="78">
        <v>5</v>
      </c>
      <c r="C95" s="79"/>
      <c r="D95" s="112" t="s">
        <v>117</v>
      </c>
      <c r="E95" s="113"/>
      <c r="F95" s="113"/>
      <c r="G95" s="113"/>
      <c r="H95" s="114"/>
      <c r="I95" s="78"/>
      <c r="J95" s="79"/>
      <c r="K95" s="78"/>
      <c r="L95" s="79"/>
      <c r="M95" s="78"/>
      <c r="N95" s="79"/>
      <c r="O95" s="78"/>
      <c r="P95" s="79"/>
      <c r="Q95" s="78"/>
      <c r="R95" s="79"/>
      <c r="S95" s="78"/>
      <c r="T95" s="79"/>
      <c r="U95" s="78"/>
      <c r="V95" s="79"/>
      <c r="W95" s="78"/>
      <c r="X95" s="79"/>
      <c r="Y95" s="78"/>
      <c r="Z95" s="79"/>
      <c r="AA95" s="78"/>
      <c r="AB95" s="79"/>
    </row>
    <row r="96" spans="1:28" ht="15" customHeight="1" x14ac:dyDescent="0.55000000000000004">
      <c r="A96" s="55"/>
      <c r="B96" s="88"/>
      <c r="C96" s="89"/>
      <c r="D96" s="90"/>
      <c r="E96" s="91"/>
      <c r="F96" s="91"/>
      <c r="G96" s="91"/>
      <c r="H96" s="91"/>
      <c r="I96" s="88"/>
      <c r="J96" s="89"/>
      <c r="K96" s="88"/>
      <c r="L96" s="89"/>
      <c r="M96" s="88"/>
      <c r="N96" s="89"/>
      <c r="O96" s="88"/>
      <c r="P96" s="89"/>
      <c r="Q96" s="88"/>
      <c r="R96" s="89"/>
      <c r="S96" s="88"/>
      <c r="T96" s="89"/>
      <c r="U96" s="88"/>
      <c r="V96" s="89"/>
      <c r="W96" s="88"/>
      <c r="X96" s="89"/>
      <c r="Y96" s="88"/>
      <c r="Z96" s="89"/>
      <c r="AA96" s="88"/>
      <c r="AB96" s="89"/>
    </row>
    <row r="97" spans="1:33" ht="15" customHeight="1" x14ac:dyDescent="0.55000000000000004">
      <c r="A97" s="55"/>
      <c r="I97" s="96"/>
      <c r="J97" s="96"/>
      <c r="K97" s="96"/>
      <c r="L97" s="96"/>
      <c r="M97" s="96"/>
      <c r="N97" s="96"/>
      <c r="O97" s="96"/>
      <c r="P97" s="55" t="s">
        <v>118</v>
      </c>
      <c r="Q97" s="96"/>
      <c r="S97" s="96"/>
      <c r="T97" s="55" t="s">
        <v>119</v>
      </c>
      <c r="V97" s="96"/>
      <c r="W97" s="96"/>
      <c r="Z97" s="55" t="s">
        <v>120</v>
      </c>
    </row>
    <row r="98" spans="1:33" ht="15" customHeight="1" x14ac:dyDescent="0.55000000000000004">
      <c r="A98" s="55"/>
      <c r="I98" s="96"/>
      <c r="J98" s="96"/>
      <c r="K98" s="96"/>
      <c r="L98" s="96"/>
      <c r="M98" s="96"/>
      <c r="N98" s="96"/>
      <c r="O98" s="96"/>
      <c r="P98" s="96"/>
      <c r="Q98" s="96"/>
      <c r="R98" s="96"/>
      <c r="S98" s="96"/>
      <c r="T98" s="96"/>
      <c r="U98" s="96"/>
      <c r="V98" s="96"/>
      <c r="W98" s="96"/>
      <c r="X98" s="96"/>
      <c r="Y98" s="96"/>
      <c r="Z98" s="96"/>
      <c r="AA98" s="96"/>
      <c r="AB98" s="96"/>
      <c r="AC98" s="96"/>
      <c r="AD98" s="96"/>
      <c r="AE98" s="96"/>
      <c r="AF98" s="96"/>
      <c r="AG98" s="96"/>
    </row>
    <row r="99" spans="1:33" ht="15" customHeight="1" x14ac:dyDescent="0.55000000000000004">
      <c r="A99" s="59" t="s">
        <v>121</v>
      </c>
      <c r="I99" s="96"/>
      <c r="J99" s="96"/>
      <c r="K99" s="96"/>
      <c r="L99" s="96"/>
      <c r="M99" s="96"/>
      <c r="N99" s="96"/>
      <c r="O99" s="96"/>
      <c r="P99" s="96"/>
      <c r="Q99" s="96"/>
      <c r="R99" s="96"/>
      <c r="S99" s="96"/>
      <c r="T99" s="96"/>
      <c r="U99" s="96"/>
      <c r="V99" s="96"/>
      <c r="W99" s="96"/>
      <c r="X99" s="96"/>
      <c r="Y99" s="96"/>
      <c r="Z99" s="96"/>
      <c r="AA99" s="96"/>
      <c r="AB99" s="96"/>
      <c r="AC99" s="96"/>
      <c r="AD99" s="96"/>
      <c r="AE99" s="96"/>
      <c r="AF99" s="96"/>
      <c r="AG99" s="96"/>
    </row>
    <row r="100" spans="1:33" ht="15" customHeight="1" thickBot="1" x14ac:dyDescent="0.6">
      <c r="A100" s="55"/>
      <c r="I100" s="96"/>
      <c r="J100" s="96"/>
      <c r="K100" s="96"/>
      <c r="L100" s="96"/>
      <c r="M100" s="96"/>
      <c r="N100" s="96"/>
      <c r="O100" s="96"/>
      <c r="P100" s="96"/>
      <c r="Q100" s="96"/>
      <c r="R100" s="96"/>
      <c r="S100" s="96"/>
      <c r="T100" s="96"/>
      <c r="U100" s="96"/>
      <c r="V100" s="96"/>
      <c r="W100" s="96"/>
      <c r="X100" s="96"/>
      <c r="Y100" s="96"/>
      <c r="Z100" s="96"/>
      <c r="AA100" s="96"/>
      <c r="AB100" s="96"/>
      <c r="AC100" s="96"/>
      <c r="AD100" s="96"/>
      <c r="AE100" s="96"/>
      <c r="AF100" s="96"/>
      <c r="AG100" s="96"/>
    </row>
    <row r="101" spans="1:33" s="69" customFormat="1" ht="15" customHeight="1" thickTop="1" x14ac:dyDescent="0.55000000000000004">
      <c r="A101" s="97"/>
      <c r="C101" s="115" t="s">
        <v>122</v>
      </c>
      <c r="D101" s="116"/>
      <c r="E101" s="116"/>
      <c r="F101" s="116"/>
      <c r="G101" s="116"/>
      <c r="H101" s="117"/>
      <c r="I101" s="98"/>
      <c r="J101" s="98"/>
      <c r="K101" s="98"/>
      <c r="L101" s="98"/>
      <c r="M101" s="115" t="s">
        <v>123</v>
      </c>
      <c r="N101" s="116"/>
      <c r="O101" s="116"/>
      <c r="P101" s="116"/>
      <c r="Q101" s="116"/>
      <c r="R101" s="117"/>
      <c r="S101" s="96"/>
      <c r="T101" s="96"/>
      <c r="U101" s="96"/>
      <c r="V101" s="96"/>
      <c r="W101" s="96"/>
      <c r="X101" s="96"/>
      <c r="Y101" s="96"/>
      <c r="Z101" s="96"/>
      <c r="AA101" s="96"/>
      <c r="AB101" s="96"/>
      <c r="AC101" s="99"/>
      <c r="AD101" s="99"/>
      <c r="AE101" s="99"/>
      <c r="AF101" s="99"/>
      <c r="AG101" s="99"/>
    </row>
    <row r="102" spans="1:33" s="69" customFormat="1" ht="15" customHeight="1" x14ac:dyDescent="0.55000000000000004">
      <c r="A102" s="97"/>
      <c r="C102" s="118"/>
      <c r="D102" s="119"/>
      <c r="E102" s="119"/>
      <c r="F102" s="119"/>
      <c r="G102" s="119"/>
      <c r="H102" s="120"/>
      <c r="I102" s="100"/>
      <c r="J102" s="100"/>
      <c r="K102" s="101"/>
      <c r="L102" s="102"/>
      <c r="M102" s="118"/>
      <c r="N102" s="119"/>
      <c r="O102" s="119"/>
      <c r="P102" s="119"/>
      <c r="Q102" s="119"/>
      <c r="R102" s="120"/>
      <c r="S102" s="55"/>
      <c r="T102" s="55"/>
      <c r="U102" s="55"/>
      <c r="V102" s="55"/>
      <c r="W102" s="55"/>
      <c r="X102" s="55"/>
      <c r="Y102" s="55"/>
      <c r="Z102" s="55"/>
      <c r="AA102" s="55"/>
      <c r="AB102" s="55"/>
      <c r="AC102" s="99"/>
      <c r="AD102" s="99"/>
      <c r="AE102" s="99"/>
      <c r="AF102" s="99"/>
      <c r="AG102" s="99"/>
    </row>
    <row r="103" spans="1:33" s="69" customFormat="1" ht="15" customHeight="1" thickBot="1" x14ac:dyDescent="0.6">
      <c r="C103" s="121"/>
      <c r="D103" s="122"/>
      <c r="E103" s="122"/>
      <c r="F103" s="122"/>
      <c r="G103" s="122"/>
      <c r="H103" s="123"/>
      <c r="I103" s="100"/>
      <c r="J103" s="100"/>
      <c r="K103" s="100"/>
      <c r="L103" s="100"/>
      <c r="M103" s="121"/>
      <c r="N103" s="122"/>
      <c r="O103" s="122"/>
      <c r="P103" s="122"/>
      <c r="Q103" s="122"/>
      <c r="R103" s="123"/>
      <c r="S103" s="55"/>
      <c r="T103" s="55"/>
      <c r="U103" s="55"/>
      <c r="V103" s="55"/>
      <c r="W103" s="55"/>
      <c r="X103" s="55"/>
      <c r="Y103" s="55"/>
      <c r="Z103" s="55"/>
      <c r="AA103" s="55"/>
      <c r="AB103" s="55"/>
      <c r="AC103" s="99"/>
      <c r="AD103" s="99"/>
      <c r="AE103" s="99"/>
      <c r="AF103" s="99"/>
      <c r="AG103" s="99"/>
    </row>
    <row r="104" spans="1:33" ht="15" customHeight="1" thickTop="1" x14ac:dyDescent="0.55000000000000004">
      <c r="A104" s="55"/>
      <c r="I104" s="96"/>
      <c r="J104" s="96"/>
      <c r="K104" s="96"/>
      <c r="L104" s="96"/>
      <c r="M104" s="96"/>
      <c r="N104" s="96"/>
      <c r="O104" s="96"/>
      <c r="P104" s="96"/>
      <c r="Q104" s="96"/>
      <c r="R104" s="96"/>
      <c r="S104" s="96"/>
      <c r="T104" s="96"/>
      <c r="U104" s="96"/>
      <c r="V104" s="96"/>
      <c r="W104" s="96"/>
      <c r="X104" s="96"/>
      <c r="Y104" s="96"/>
      <c r="Z104" s="96"/>
      <c r="AA104" s="96"/>
      <c r="AB104" s="96"/>
      <c r="AC104" s="96"/>
      <c r="AD104" s="96"/>
      <c r="AE104" s="96"/>
      <c r="AF104" s="96"/>
      <c r="AG104" s="96"/>
    </row>
    <row r="105" spans="1:33" ht="15" customHeight="1" x14ac:dyDescent="0.55000000000000004">
      <c r="A105" s="55"/>
      <c r="I105" s="96"/>
      <c r="J105" s="96"/>
      <c r="K105" s="96"/>
      <c r="L105" s="96"/>
      <c r="M105" s="96"/>
      <c r="N105" s="96"/>
      <c r="O105" s="96"/>
      <c r="P105" s="96"/>
      <c r="Q105" s="96"/>
      <c r="R105" s="96"/>
      <c r="S105" s="96"/>
      <c r="T105" s="96"/>
      <c r="U105" s="96"/>
      <c r="V105" s="96"/>
      <c r="AC105" s="96"/>
      <c r="AD105" s="96"/>
      <c r="AE105" s="96"/>
      <c r="AF105" s="96"/>
      <c r="AG105" s="96"/>
    </row>
    <row r="106" spans="1:33" ht="15" customHeight="1" x14ac:dyDescent="0.55000000000000004">
      <c r="A106" s="59" t="s">
        <v>124</v>
      </c>
    </row>
    <row r="108" spans="1:33" ht="15" customHeight="1" x14ac:dyDescent="0.55000000000000004">
      <c r="B108" s="55" t="s">
        <v>125</v>
      </c>
    </row>
    <row r="109" spans="1:33" ht="15" customHeight="1" x14ac:dyDescent="0.55000000000000004">
      <c r="C109" s="55" t="s">
        <v>126</v>
      </c>
    </row>
    <row r="110" spans="1:33" ht="15" customHeight="1" x14ac:dyDescent="0.55000000000000004">
      <c r="C110" s="55" t="s">
        <v>127</v>
      </c>
    </row>
    <row r="111" spans="1:33" ht="15" customHeight="1" x14ac:dyDescent="0.55000000000000004">
      <c r="C111" s="55" t="s">
        <v>128</v>
      </c>
    </row>
    <row r="112" spans="1:33" ht="15" customHeight="1" x14ac:dyDescent="0.55000000000000004">
      <c r="B112" s="103" t="s">
        <v>129</v>
      </c>
      <c r="C112" s="104"/>
    </row>
    <row r="113" spans="1:3" ht="15" customHeight="1" x14ac:dyDescent="0.55000000000000004">
      <c r="B113" s="55" t="s">
        <v>130</v>
      </c>
      <c r="C113" s="103"/>
    </row>
    <row r="114" spans="1:3" ht="15" customHeight="1" x14ac:dyDescent="0.55000000000000004">
      <c r="C114" s="103" t="s">
        <v>131</v>
      </c>
    </row>
    <row r="115" spans="1:3" ht="15" customHeight="1" x14ac:dyDescent="0.55000000000000004">
      <c r="C115" s="55" t="s">
        <v>132</v>
      </c>
    </row>
    <row r="117" spans="1:3" ht="15" customHeight="1" x14ac:dyDescent="0.55000000000000004">
      <c r="A117" s="55"/>
      <c r="B117" s="55" t="s">
        <v>133</v>
      </c>
    </row>
    <row r="118" spans="1:3" ht="15" customHeight="1" x14ac:dyDescent="0.55000000000000004">
      <c r="A118" s="55"/>
      <c r="C118" s="55" t="s">
        <v>134</v>
      </c>
    </row>
    <row r="119" spans="1:3" ht="15" customHeight="1" x14ac:dyDescent="0.55000000000000004">
      <c r="A119" s="55"/>
      <c r="C119" s="55" t="s">
        <v>135</v>
      </c>
    </row>
    <row r="120" spans="1:3" ht="15" customHeight="1" x14ac:dyDescent="0.55000000000000004">
      <c r="A120" s="55"/>
    </row>
    <row r="121" spans="1:3" ht="15" customHeight="1" x14ac:dyDescent="0.55000000000000004">
      <c r="A121" s="55"/>
      <c r="B121" s="55" t="s">
        <v>170</v>
      </c>
    </row>
    <row r="122" spans="1:3" ht="15" customHeight="1" x14ac:dyDescent="0.55000000000000004">
      <c r="A122" s="55"/>
      <c r="C122" s="55" t="s">
        <v>173</v>
      </c>
    </row>
    <row r="123" spans="1:3" ht="15" customHeight="1" x14ac:dyDescent="0.55000000000000004">
      <c r="A123" s="55"/>
    </row>
    <row r="124" spans="1:3" ht="15" customHeight="1" x14ac:dyDescent="0.55000000000000004">
      <c r="A124" s="55"/>
      <c r="B124" s="55" t="s">
        <v>171</v>
      </c>
    </row>
    <row r="125" spans="1:3" ht="15" customHeight="1" x14ac:dyDescent="0.55000000000000004">
      <c r="A125" s="55"/>
      <c r="C125" s="55" t="s">
        <v>136</v>
      </c>
    </row>
    <row r="126" spans="1:3" ht="15" customHeight="1" x14ac:dyDescent="0.55000000000000004">
      <c r="A126" s="55"/>
    </row>
    <row r="127" spans="1:3" ht="15" customHeight="1" x14ac:dyDescent="0.55000000000000004">
      <c r="A127" s="55"/>
      <c r="B127" s="105" t="s">
        <v>172</v>
      </c>
    </row>
    <row r="128" spans="1:3" ht="15" customHeight="1" x14ac:dyDescent="0.55000000000000004">
      <c r="A128" s="55"/>
      <c r="C128" s="55" t="s">
        <v>169</v>
      </c>
    </row>
    <row r="129" spans="1:4" ht="15" customHeight="1" x14ac:dyDescent="0.55000000000000004">
      <c r="A129" s="55"/>
    </row>
    <row r="130" spans="1:4" ht="15" customHeight="1" x14ac:dyDescent="0.55000000000000004">
      <c r="A130" s="55"/>
      <c r="B130" s="69" t="s">
        <v>175</v>
      </c>
    </row>
    <row r="131" spans="1:4" ht="15" customHeight="1" x14ac:dyDescent="0.55000000000000004">
      <c r="C131" s="55" t="s">
        <v>174</v>
      </c>
    </row>
    <row r="132" spans="1:4" ht="15" customHeight="1" x14ac:dyDescent="0.55000000000000004">
      <c r="A132" s="55"/>
    </row>
    <row r="133" spans="1:4" ht="15" customHeight="1" x14ac:dyDescent="0.55000000000000004">
      <c r="A133" s="55"/>
      <c r="B133" s="69" t="s">
        <v>176</v>
      </c>
    </row>
    <row r="134" spans="1:4" ht="15" customHeight="1" x14ac:dyDescent="0.55000000000000004">
      <c r="A134" s="55"/>
      <c r="B134" s="69"/>
      <c r="C134" s="69" t="s">
        <v>163</v>
      </c>
      <c r="D134" s="69"/>
    </row>
    <row r="135" spans="1:4" ht="15" customHeight="1" x14ac:dyDescent="0.55000000000000004">
      <c r="A135" s="55"/>
    </row>
    <row r="136" spans="1:4" ht="15" customHeight="1" x14ac:dyDescent="0.55000000000000004">
      <c r="A136" s="55"/>
      <c r="B136" s="69" t="s">
        <v>177</v>
      </c>
      <c r="C136" s="69"/>
      <c r="D136" s="69"/>
    </row>
    <row r="137" spans="1:4" ht="15" customHeight="1" x14ac:dyDescent="0.55000000000000004">
      <c r="A137" s="55"/>
      <c r="B137" s="69"/>
      <c r="C137" s="69" t="s">
        <v>137</v>
      </c>
      <c r="D137" s="69"/>
    </row>
    <row r="138" spans="1:4" ht="15" customHeight="1" x14ac:dyDescent="0.55000000000000004">
      <c r="A138" s="55"/>
      <c r="B138" s="69"/>
      <c r="C138" s="69" t="s">
        <v>138</v>
      </c>
      <c r="D138" s="69"/>
    </row>
  </sheetData>
  <mergeCells count="67">
    <mergeCell ref="A1:Q2"/>
    <mergeCell ref="AF1:AJ1"/>
    <mergeCell ref="AF2:AJ2"/>
    <mergeCell ref="A5:Q6"/>
    <mergeCell ref="A11:E12"/>
    <mergeCell ref="F11:Q12"/>
    <mergeCell ref="B39:C39"/>
    <mergeCell ref="Y39:AB39"/>
    <mergeCell ref="AC39:AD39"/>
    <mergeCell ref="AE39:AJ39"/>
    <mergeCell ref="AM39:AQ39"/>
    <mergeCell ref="B41:C41"/>
    <mergeCell ref="Y41:AB41"/>
    <mergeCell ref="AC41:AD41"/>
    <mergeCell ref="AE41:AJ41"/>
    <mergeCell ref="AM41:AQ41"/>
    <mergeCell ref="B40:C40"/>
    <mergeCell ref="Y40:AB40"/>
    <mergeCell ref="AC40:AD40"/>
    <mergeCell ref="AE40:AJ40"/>
    <mergeCell ref="AM40:AQ40"/>
    <mergeCell ref="B43:C43"/>
    <mergeCell ref="Y43:AB43"/>
    <mergeCell ref="AC43:AD43"/>
    <mergeCell ref="AE43:AJ43"/>
    <mergeCell ref="AM43:AQ43"/>
    <mergeCell ref="B42:C42"/>
    <mergeCell ref="Y42:AB42"/>
    <mergeCell ref="AC42:AD42"/>
    <mergeCell ref="AE42:AJ42"/>
    <mergeCell ref="AM42:AQ42"/>
    <mergeCell ref="B45:C45"/>
    <mergeCell ref="Y45:AB45"/>
    <mergeCell ref="AC45:AD45"/>
    <mergeCell ref="AE45:AJ45"/>
    <mergeCell ref="AM45:AQ45"/>
    <mergeCell ref="B44:C44"/>
    <mergeCell ref="Y44:AB44"/>
    <mergeCell ref="AC44:AD44"/>
    <mergeCell ref="AE44:AJ44"/>
    <mergeCell ref="AM44:AQ44"/>
    <mergeCell ref="AA86:AB86"/>
    <mergeCell ref="D56:H56"/>
    <mergeCell ref="J56:T56"/>
    <mergeCell ref="J57:T57"/>
    <mergeCell ref="D58:H58"/>
    <mergeCell ref="D60:H60"/>
    <mergeCell ref="S86:T86"/>
    <mergeCell ref="U86:V86"/>
    <mergeCell ref="W86:X86"/>
    <mergeCell ref="Y86:Z86"/>
    <mergeCell ref="D62:H62"/>
    <mergeCell ref="D64:H64"/>
    <mergeCell ref="D66:H66"/>
    <mergeCell ref="D94:H94"/>
    <mergeCell ref="D95:H95"/>
    <mergeCell ref="C101:H103"/>
    <mergeCell ref="M101:R103"/>
    <mergeCell ref="I86:J86"/>
    <mergeCell ref="K86:L86"/>
    <mergeCell ref="M86:N86"/>
    <mergeCell ref="O86:P86"/>
    <mergeCell ref="Q86:R86"/>
    <mergeCell ref="D87:H87"/>
    <mergeCell ref="D89:H89"/>
    <mergeCell ref="D91:H91"/>
    <mergeCell ref="D93:H93"/>
  </mergeCells>
  <phoneticPr fontId="1"/>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2" max="35" man="1"/>
    <brk id="82"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3C37-BF8E-4EC3-96EA-6A44BABB0DCF}">
  <dimension ref="A1:BB17"/>
  <sheetViews>
    <sheetView showGridLines="0" zoomScale="85" zoomScaleNormal="85" workbookViewId="0">
      <selection activeCell="AD7" sqref="AD7"/>
    </sheetView>
  </sheetViews>
  <sheetFormatPr defaultRowHeight="18" outlineLevelCol="1" x14ac:dyDescent="0.55000000000000004"/>
  <cols>
    <col min="1" max="1" width="4.33203125" style="3" bestFit="1" customWidth="1"/>
    <col min="2" max="2" width="19.83203125" style="1" customWidth="1"/>
    <col min="3" max="3" width="17.58203125" style="2" customWidth="1"/>
    <col min="4" max="4" width="27.5" style="2" bestFit="1" customWidth="1"/>
    <col min="5" max="5" width="112.5" style="2" customWidth="1"/>
    <col min="6" max="8" width="9.58203125" style="6" customWidth="1"/>
    <col min="9" max="16" width="9.58203125" style="1" customWidth="1" outlineLevel="1"/>
    <col min="17" max="17" width="1.58203125" style="1" customWidth="1"/>
    <col min="18" max="25" width="9.58203125" style="1" customWidth="1" outlineLevel="1"/>
    <col min="26" max="26" width="13.83203125" style="1" customWidth="1"/>
    <col min="27" max="27" width="9.58203125" style="1" customWidth="1" outlineLevel="1"/>
    <col min="28" max="28" width="14.08203125" style="1" customWidth="1" outlineLevel="1"/>
    <col min="29" max="29" width="9.58203125" style="1" customWidth="1" outlineLevel="1"/>
    <col min="30" max="31" width="14.08203125" style="1" customWidth="1" outlineLevel="1"/>
    <col min="32" max="32" width="2.58203125" style="1" customWidth="1"/>
    <col min="33" max="33" width="9.58203125" style="1" customWidth="1" outlineLevel="1"/>
    <col min="34" max="34" width="14.08203125" style="1" customWidth="1" outlineLevel="1"/>
    <col min="35" max="35" width="9.58203125" style="1" customWidth="1" outlineLevel="1"/>
    <col min="36" max="37" width="14.08203125" style="1" customWidth="1" outlineLevel="1"/>
    <col min="38" max="38" width="5" style="1" customWidth="1"/>
    <col min="39" max="45" width="9.58203125" style="1" hidden="1" customWidth="1" outlineLevel="1"/>
    <col min="46" max="46" width="3.58203125" style="1" customWidth="1" collapsed="1"/>
    <col min="47" max="53" width="9" style="1" hidden="1" customWidth="1" outlineLevel="1"/>
    <col min="54" max="54" width="8.58203125" collapsed="1"/>
  </cols>
  <sheetData>
    <row r="1" spans="1:53" ht="22.5" x14ac:dyDescent="0.55000000000000004">
      <c r="A1" s="7" t="s">
        <v>139</v>
      </c>
      <c r="AA1" s="154" t="s">
        <v>0</v>
      </c>
      <c r="AB1" s="154"/>
      <c r="AC1" s="154"/>
      <c r="AD1" s="154"/>
      <c r="AE1" s="154"/>
      <c r="AG1" s="155" t="s">
        <v>1</v>
      </c>
      <c r="AH1" s="155"/>
      <c r="AI1" s="155"/>
      <c r="AJ1" s="155"/>
      <c r="AK1" s="155"/>
      <c r="AM1" s="156" t="s">
        <v>2</v>
      </c>
      <c r="AN1" s="156"/>
      <c r="AO1" s="156"/>
      <c r="AP1" s="156"/>
      <c r="AQ1" s="156"/>
      <c r="AR1" s="156"/>
      <c r="AS1" s="156"/>
      <c r="AT1" s="156"/>
      <c r="AU1" s="156"/>
      <c r="AV1" s="156"/>
      <c r="AW1" s="156"/>
      <c r="AX1" s="156"/>
      <c r="AY1" s="156"/>
      <c r="AZ1" s="156"/>
      <c r="BA1" s="156"/>
    </row>
    <row r="2" spans="1:53" x14ac:dyDescent="0.55000000000000004">
      <c r="I2" s="154" t="s">
        <v>0</v>
      </c>
      <c r="J2" s="154"/>
      <c r="K2" s="154"/>
      <c r="L2" s="154"/>
      <c r="M2" s="154"/>
      <c r="N2" s="154"/>
      <c r="O2" s="154"/>
      <c r="P2" s="154"/>
      <c r="R2" s="155" t="s">
        <v>1</v>
      </c>
      <c r="S2" s="155"/>
      <c r="T2" s="155"/>
      <c r="U2" s="155"/>
      <c r="V2" s="155"/>
      <c r="W2" s="155"/>
      <c r="X2" s="155"/>
      <c r="Y2" s="155"/>
      <c r="AA2" s="20" t="s">
        <v>3</v>
      </c>
      <c r="AB2" s="24">
        <v>50000</v>
      </c>
      <c r="AC2" s="20" t="s">
        <v>4</v>
      </c>
      <c r="AD2" s="24">
        <v>70000</v>
      </c>
      <c r="AE2" s="20"/>
      <c r="AG2" s="20" t="s">
        <v>3</v>
      </c>
      <c r="AH2" s="24">
        <v>1000000</v>
      </c>
      <c r="AI2" s="20" t="s">
        <v>4</v>
      </c>
      <c r="AJ2" s="24">
        <v>1400000</v>
      </c>
      <c r="AK2" s="20"/>
      <c r="AM2" s="157" t="s">
        <v>0</v>
      </c>
      <c r="AN2" s="157"/>
      <c r="AO2" s="157"/>
      <c r="AP2" s="157"/>
      <c r="AQ2" s="157"/>
      <c r="AR2" s="157"/>
      <c r="AS2" s="157"/>
      <c r="AU2" s="158" t="s">
        <v>1</v>
      </c>
      <c r="AV2" s="158"/>
      <c r="AW2" s="158"/>
      <c r="AX2" s="158"/>
      <c r="AY2" s="158"/>
      <c r="AZ2" s="158"/>
      <c r="BA2" s="158"/>
    </row>
    <row r="3" spans="1:53" ht="72" x14ac:dyDescent="0.55000000000000004">
      <c r="A3" s="4" t="s">
        <v>5</v>
      </c>
      <c r="B3" s="5" t="s">
        <v>6</v>
      </c>
      <c r="C3" s="5" t="s">
        <v>21</v>
      </c>
      <c r="D3" s="5" t="s">
        <v>7</v>
      </c>
      <c r="E3" s="5" t="s">
        <v>8</v>
      </c>
      <c r="F3" s="18" t="s">
        <v>9</v>
      </c>
      <c r="G3" s="21" t="s">
        <v>10</v>
      </c>
      <c r="H3" s="21" t="s">
        <v>19</v>
      </c>
      <c r="I3" s="19" t="s">
        <v>161</v>
      </c>
      <c r="J3" s="20" t="s">
        <v>20</v>
      </c>
      <c r="K3" s="20" t="s">
        <v>12</v>
      </c>
      <c r="L3" s="20" t="s">
        <v>13</v>
      </c>
      <c r="M3" s="20" t="s">
        <v>33</v>
      </c>
      <c r="N3" s="20" t="s">
        <v>14</v>
      </c>
      <c r="O3" s="20" t="s">
        <v>167</v>
      </c>
      <c r="P3" s="20" t="s">
        <v>15</v>
      </c>
      <c r="R3" s="19" t="s">
        <v>161</v>
      </c>
      <c r="S3" s="20" t="s">
        <v>20</v>
      </c>
      <c r="T3" s="20" t="s">
        <v>12</v>
      </c>
      <c r="U3" s="20" t="s">
        <v>13</v>
      </c>
      <c r="V3" s="20" t="s">
        <v>33</v>
      </c>
      <c r="W3" s="20" t="s">
        <v>14</v>
      </c>
      <c r="X3" s="20" t="s">
        <v>167</v>
      </c>
      <c r="Y3" s="20" t="s">
        <v>15</v>
      </c>
      <c r="Z3" s="23" t="s">
        <v>16</v>
      </c>
      <c r="AA3" s="18" t="s">
        <v>0</v>
      </c>
      <c r="AB3" s="18" t="s">
        <v>17</v>
      </c>
      <c r="AC3" s="18" t="s">
        <v>0</v>
      </c>
      <c r="AD3" s="18" t="s">
        <v>17</v>
      </c>
      <c r="AE3" s="18" t="s">
        <v>18</v>
      </c>
      <c r="AF3" s="22"/>
      <c r="AG3" s="18" t="s">
        <v>1</v>
      </c>
      <c r="AH3" s="18" t="s">
        <v>17</v>
      </c>
      <c r="AI3" s="18" t="s">
        <v>1</v>
      </c>
      <c r="AJ3" s="18" t="s">
        <v>17</v>
      </c>
      <c r="AK3" s="18" t="s">
        <v>18</v>
      </c>
      <c r="AM3" s="19" t="s">
        <v>11</v>
      </c>
      <c r="AN3" s="20" t="s">
        <v>20</v>
      </c>
      <c r="AO3" s="20" t="s">
        <v>12</v>
      </c>
      <c r="AP3" s="20" t="s">
        <v>13</v>
      </c>
      <c r="AQ3" s="20" t="s">
        <v>33</v>
      </c>
      <c r="AR3" s="20" t="s">
        <v>14</v>
      </c>
      <c r="AS3" s="20" t="s">
        <v>15</v>
      </c>
      <c r="AU3" s="19" t="s">
        <v>11</v>
      </c>
      <c r="AV3" s="20" t="s">
        <v>20</v>
      </c>
      <c r="AW3" s="20" t="s">
        <v>12</v>
      </c>
      <c r="AX3" s="20" t="s">
        <v>13</v>
      </c>
      <c r="AY3" s="20" t="s">
        <v>33</v>
      </c>
      <c r="AZ3" s="20" t="s">
        <v>14</v>
      </c>
      <c r="BA3" s="20" t="s">
        <v>15</v>
      </c>
    </row>
    <row r="4" spans="1:53" ht="144" x14ac:dyDescent="0.55000000000000004">
      <c r="A4" s="20">
        <v>1</v>
      </c>
      <c r="B4" s="19" t="s">
        <v>32</v>
      </c>
      <c r="C4" s="39">
        <v>45900</v>
      </c>
      <c r="D4" s="19" t="s">
        <v>140</v>
      </c>
      <c r="E4" s="33" t="s">
        <v>141</v>
      </c>
      <c r="F4" s="34">
        <f>P4</f>
        <v>4.4000000000000004</v>
      </c>
      <c r="G4" s="34">
        <f>P4</f>
        <v>4.4000000000000004</v>
      </c>
      <c r="H4" s="25">
        <f>AA4+AC4</f>
        <v>5.28</v>
      </c>
      <c r="I4" s="35">
        <v>0.5</v>
      </c>
      <c r="J4" s="35">
        <v>1</v>
      </c>
      <c r="K4" s="35">
        <v>0.5</v>
      </c>
      <c r="L4" s="35">
        <v>0</v>
      </c>
      <c r="M4" s="35">
        <v>1</v>
      </c>
      <c r="N4" s="35">
        <v>1</v>
      </c>
      <c r="O4" s="35">
        <v>0.4</v>
      </c>
      <c r="P4" s="35">
        <f>SUM(I4:O4)</f>
        <v>4.4000000000000004</v>
      </c>
      <c r="Q4" s="36"/>
      <c r="R4" s="37">
        <f t="shared" ref="R4:X4" si="0">ROUNDUP(I4/20,3)</f>
        <v>2.5000000000000001E-2</v>
      </c>
      <c r="S4" s="37">
        <f t="shared" si="0"/>
        <v>0.05</v>
      </c>
      <c r="T4" s="37">
        <f t="shared" si="0"/>
        <v>2.5000000000000001E-2</v>
      </c>
      <c r="U4" s="37">
        <f t="shared" si="0"/>
        <v>0</v>
      </c>
      <c r="V4" s="37">
        <f t="shared" si="0"/>
        <v>0.05</v>
      </c>
      <c r="W4" s="37">
        <f t="shared" si="0"/>
        <v>0.05</v>
      </c>
      <c r="X4" s="37">
        <f t="shared" si="0"/>
        <v>0.02</v>
      </c>
      <c r="Y4" s="37">
        <f>SUM(R4:W4)</f>
        <v>0.2</v>
      </c>
      <c r="Z4" s="38"/>
      <c r="AA4" s="40">
        <f>P4</f>
        <v>4.4000000000000004</v>
      </c>
      <c r="AB4" s="41">
        <f>AA4*$AB$2</f>
        <v>220000.00000000003</v>
      </c>
      <c r="AC4" s="40">
        <f>ROUNDUP(AA4*0.2,2)</f>
        <v>0.88</v>
      </c>
      <c r="AD4" s="41">
        <f>ROUNDUP(AC4*$AD$2,-3)</f>
        <v>62000</v>
      </c>
      <c r="AE4" s="41">
        <f>SUM(AB4,AD4)</f>
        <v>282000</v>
      </c>
      <c r="AG4" s="108">
        <f>Y5</f>
        <v>0.23</v>
      </c>
      <c r="AH4" s="41">
        <f>AG4*$AH$2</f>
        <v>230000</v>
      </c>
      <c r="AI4" s="108">
        <f>ROUNDUP(AG4*0.2,3)</f>
        <v>4.5999999999999999E-2</v>
      </c>
      <c r="AJ4" s="41">
        <f>AI4*$AJ$2</f>
        <v>64400</v>
      </c>
      <c r="AK4" s="41">
        <f>ROUNDUP(SUM(AH4,AJ4),-3)</f>
        <v>295000</v>
      </c>
      <c r="AM4" s="40">
        <f t="shared" ref="AM4:AR4" si="1">SUM(I4:I4)</f>
        <v>0.5</v>
      </c>
      <c r="AN4" s="40">
        <f t="shared" si="1"/>
        <v>1</v>
      </c>
      <c r="AO4" s="40">
        <f t="shared" si="1"/>
        <v>0.5</v>
      </c>
      <c r="AP4" s="40">
        <f t="shared" si="1"/>
        <v>0</v>
      </c>
      <c r="AQ4" s="40">
        <f t="shared" si="1"/>
        <v>1</v>
      </c>
      <c r="AR4" s="40">
        <f t="shared" si="1"/>
        <v>1</v>
      </c>
      <c r="AS4" s="40">
        <f>SUM(P4:P4)</f>
        <v>4.4000000000000004</v>
      </c>
      <c r="AU4" s="40">
        <f t="shared" ref="AU4:AZ4" si="2">SUM(R4:R4)</f>
        <v>2.5000000000000001E-2</v>
      </c>
      <c r="AV4" s="40">
        <f t="shared" si="2"/>
        <v>0.05</v>
      </c>
      <c r="AW4" s="40">
        <f t="shared" si="2"/>
        <v>2.5000000000000001E-2</v>
      </c>
      <c r="AX4" s="40">
        <f t="shared" si="2"/>
        <v>0</v>
      </c>
      <c r="AY4" s="40">
        <f t="shared" si="2"/>
        <v>0.05</v>
      </c>
      <c r="AZ4" s="40">
        <f t="shared" si="2"/>
        <v>0.05</v>
      </c>
      <c r="BA4" s="40">
        <f t="shared" ref="BA4" si="3">SUM(Y4:Y4)</f>
        <v>0.2</v>
      </c>
    </row>
    <row r="5" spans="1:53" x14ac:dyDescent="0.55000000000000004">
      <c r="A5" s="8" t="s">
        <v>38</v>
      </c>
      <c r="B5" s="9"/>
      <c r="C5" s="10"/>
      <c r="D5" s="10"/>
      <c r="E5" s="10"/>
      <c r="F5" s="15"/>
      <c r="R5" s="20">
        <v>0.03</v>
      </c>
      <c r="S5" s="20">
        <v>0.05</v>
      </c>
      <c r="T5" s="20">
        <v>0.03</v>
      </c>
      <c r="U5" s="20">
        <v>0</v>
      </c>
      <c r="V5" s="20">
        <v>0.05</v>
      </c>
      <c r="W5" s="20">
        <v>0.05</v>
      </c>
      <c r="X5" s="20">
        <v>0.02</v>
      </c>
      <c r="Y5" s="37">
        <f>SUM(R5:X5)</f>
        <v>0.23</v>
      </c>
    </row>
    <row r="6" spans="1:53" x14ac:dyDescent="0.55000000000000004">
      <c r="A6" s="11"/>
      <c r="F6" s="16"/>
    </row>
    <row r="7" spans="1:53" x14ac:dyDescent="0.55000000000000004">
      <c r="A7" s="11"/>
      <c r="B7" s="3" t="s">
        <v>48</v>
      </c>
      <c r="F7" s="16"/>
    </row>
    <row r="8" spans="1:53" x14ac:dyDescent="0.55000000000000004">
      <c r="A8" s="11"/>
      <c r="B8" s="3" t="s">
        <v>39</v>
      </c>
      <c r="F8" s="16"/>
    </row>
    <row r="9" spans="1:53" x14ac:dyDescent="0.55000000000000004">
      <c r="A9" s="11"/>
      <c r="B9" s="3" t="s">
        <v>40</v>
      </c>
      <c r="F9" s="16"/>
    </row>
    <row r="10" spans="1:53" x14ac:dyDescent="0.55000000000000004">
      <c r="A10" s="11"/>
      <c r="B10" s="1" t="s">
        <v>41</v>
      </c>
      <c r="F10" s="16"/>
    </row>
    <row r="11" spans="1:53" x14ac:dyDescent="0.55000000000000004">
      <c r="A11" s="11"/>
      <c r="B11" s="1" t="s">
        <v>42</v>
      </c>
      <c r="F11" s="16"/>
    </row>
    <row r="12" spans="1:53" s="1" customFormat="1" x14ac:dyDescent="0.55000000000000004">
      <c r="A12" s="11"/>
      <c r="B12" s="1" t="s">
        <v>43</v>
      </c>
      <c r="C12" s="2"/>
      <c r="D12" s="2"/>
      <c r="E12" s="2"/>
      <c r="F12" s="16"/>
      <c r="H12" s="6"/>
      <c r="I12" s="6"/>
    </row>
    <row r="13" spans="1:53" s="1" customFormat="1" x14ac:dyDescent="0.55000000000000004">
      <c r="A13" s="11"/>
      <c r="B13" s="1" t="s">
        <v>44</v>
      </c>
      <c r="C13" s="2"/>
      <c r="D13" s="2"/>
      <c r="F13" s="16"/>
    </row>
    <row r="14" spans="1:53" s="1" customFormat="1" x14ac:dyDescent="0.55000000000000004">
      <c r="A14" s="11"/>
      <c r="B14" s="52" t="s">
        <v>45</v>
      </c>
      <c r="C14" s="2"/>
      <c r="D14" s="2"/>
      <c r="F14" s="16"/>
    </row>
    <row r="15" spans="1:53" s="1" customFormat="1" x14ac:dyDescent="0.55000000000000004">
      <c r="A15" s="11"/>
      <c r="B15" s="52" t="s">
        <v>46</v>
      </c>
      <c r="C15" s="2"/>
      <c r="D15" s="2"/>
      <c r="F15" s="16"/>
      <c r="H15" s="6"/>
      <c r="I15" s="6"/>
    </row>
    <row r="16" spans="1:53" s="1" customFormat="1" x14ac:dyDescent="0.55000000000000004">
      <c r="A16" s="11"/>
      <c r="B16" s="52" t="s">
        <v>47</v>
      </c>
      <c r="C16" s="2"/>
      <c r="D16" s="2"/>
      <c r="F16" s="16"/>
    </row>
    <row r="17" spans="1:6" x14ac:dyDescent="0.55000000000000004">
      <c r="A17" s="12"/>
      <c r="B17" s="13"/>
      <c r="C17" s="14"/>
      <c r="D17" s="14"/>
      <c r="E17" s="14"/>
      <c r="F17" s="17"/>
    </row>
  </sheetData>
  <mergeCells count="7">
    <mergeCell ref="AA1:AE1"/>
    <mergeCell ref="AG1:AK1"/>
    <mergeCell ref="AM1:BA1"/>
    <mergeCell ref="I2:P2"/>
    <mergeCell ref="R2:Y2"/>
    <mergeCell ref="AM2:AS2"/>
    <mergeCell ref="AU2:BA2"/>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32F26-AF8A-4228-8EB0-CB0850D0D530}">
  <dimension ref="A1:AT22"/>
  <sheetViews>
    <sheetView showGridLines="0" workbookViewId="0">
      <selection activeCell="L10" sqref="L10"/>
    </sheetView>
  </sheetViews>
  <sheetFormatPr defaultRowHeight="18" x14ac:dyDescent="0.55000000000000004"/>
  <cols>
    <col min="1" max="1" width="4.33203125" style="3" customWidth="1"/>
    <col min="2" max="2" width="19.83203125" style="1" customWidth="1"/>
    <col min="3" max="3" width="26" style="2" customWidth="1"/>
    <col min="4" max="4" width="10.08203125" style="2" bestFit="1" customWidth="1"/>
    <col min="5" max="5" width="6.08203125" style="2" customWidth="1"/>
    <col min="6" max="12" width="6.08203125" customWidth="1"/>
    <col min="13" max="13" width="8.58203125" customWidth="1"/>
    <col min="15" max="16" width="11.33203125" customWidth="1"/>
    <col min="17" max="17" width="9.58203125" bestFit="1" customWidth="1"/>
    <col min="18" max="18" width="6.58203125" customWidth="1"/>
    <col min="19" max="23" width="6.08203125" customWidth="1"/>
    <col min="24" max="25" width="6.58203125" customWidth="1"/>
    <col min="26" max="71" width="6.08203125" customWidth="1"/>
  </cols>
  <sheetData>
    <row r="1" spans="1:46" x14ac:dyDescent="0.55000000000000004">
      <c r="N1" t="s">
        <v>29</v>
      </c>
      <c r="R1">
        <v>2025</v>
      </c>
      <c r="X1" t="s">
        <v>166</v>
      </c>
    </row>
    <row r="2" spans="1:46" ht="33" x14ac:dyDescent="0.55000000000000004">
      <c r="A2" s="4" t="s">
        <v>5</v>
      </c>
      <c r="B2" s="5" t="s">
        <v>6</v>
      </c>
      <c r="C2" s="5" t="s">
        <v>26</v>
      </c>
      <c r="D2" s="45" t="s">
        <v>21</v>
      </c>
      <c r="E2" s="44" t="s">
        <v>161</v>
      </c>
      <c r="F2" s="44" t="s">
        <v>34</v>
      </c>
      <c r="G2" s="44" t="s">
        <v>35</v>
      </c>
      <c r="H2" s="44" t="s">
        <v>36</v>
      </c>
      <c r="I2" s="44" t="s">
        <v>37</v>
      </c>
      <c r="J2" s="44" t="s">
        <v>167</v>
      </c>
      <c r="K2" s="44" t="s">
        <v>25</v>
      </c>
      <c r="L2" s="44" t="s">
        <v>22</v>
      </c>
      <c r="M2" s="44" t="s">
        <v>27</v>
      </c>
      <c r="O2" s="5" t="s">
        <v>28</v>
      </c>
      <c r="P2" s="5" t="s">
        <v>14</v>
      </c>
      <c r="Q2" s="5"/>
      <c r="R2" s="5"/>
      <c r="S2" s="32">
        <v>45873</v>
      </c>
      <c r="T2" s="32">
        <v>45874</v>
      </c>
      <c r="U2" s="32">
        <v>45875</v>
      </c>
      <c r="V2" s="32">
        <v>45876</v>
      </c>
      <c r="W2" s="32">
        <v>45877</v>
      </c>
      <c r="X2" s="43">
        <v>45878</v>
      </c>
      <c r="Y2" s="43">
        <v>45879</v>
      </c>
      <c r="Z2" s="43">
        <v>45880</v>
      </c>
      <c r="AA2" s="43">
        <v>45881</v>
      </c>
      <c r="AB2" s="43">
        <v>45882</v>
      </c>
      <c r="AC2" s="43">
        <v>45883</v>
      </c>
      <c r="AD2" s="43">
        <v>45884</v>
      </c>
      <c r="AE2" s="43">
        <v>45885</v>
      </c>
      <c r="AF2" s="43">
        <v>45886</v>
      </c>
      <c r="AG2" s="32">
        <v>45887</v>
      </c>
      <c r="AH2" s="32">
        <v>45888</v>
      </c>
      <c r="AI2" s="32">
        <v>45889</v>
      </c>
      <c r="AJ2" s="32">
        <v>45890</v>
      </c>
      <c r="AK2" s="32">
        <v>45891</v>
      </c>
      <c r="AL2" s="43">
        <v>45892</v>
      </c>
      <c r="AM2" s="43">
        <v>45893</v>
      </c>
      <c r="AN2" s="32">
        <v>45894</v>
      </c>
      <c r="AO2" s="32">
        <v>45895</v>
      </c>
      <c r="AP2" s="32">
        <v>45896</v>
      </c>
      <c r="AQ2" s="32">
        <v>45897</v>
      </c>
      <c r="AR2" s="32">
        <v>45898</v>
      </c>
      <c r="AS2" s="43">
        <v>45899</v>
      </c>
      <c r="AT2" s="43">
        <v>45900</v>
      </c>
    </row>
    <row r="3" spans="1:46" s="1" customFormat="1" ht="18" customHeight="1" x14ac:dyDescent="0.55000000000000004">
      <c r="A3" s="159">
        <f>'IFCポータル_概算見積（内部用）'!A4</f>
        <v>1</v>
      </c>
      <c r="B3" s="161" t="str">
        <f>'IFCポータル_概算見積（内部用）'!B4</f>
        <v>下請法対応概算見積</v>
      </c>
      <c r="C3" s="163" t="str">
        <f>'IFCポータル_概算見積（内部用）'!D4</f>
        <v>下請法対応機能を追加する。
（文言表示機能）</v>
      </c>
      <c r="D3" s="165">
        <f>'IFCポータル_概算見積（内部用）'!C4</f>
        <v>45900</v>
      </c>
      <c r="E3" s="27">
        <f>'IFCポータル_概算見積（内部用）'!I4</f>
        <v>0.5</v>
      </c>
      <c r="F3" s="27">
        <f>'IFCポータル_概算見積（内部用）'!J4</f>
        <v>1</v>
      </c>
      <c r="G3" s="27">
        <f>'IFCポータル_概算見積（内部用）'!K4</f>
        <v>0.5</v>
      </c>
      <c r="H3" s="27">
        <f>'IFCポータル_概算見積（内部用）'!M4</f>
        <v>1</v>
      </c>
      <c r="I3" s="27">
        <f>'IFCポータル_概算見積（内部用）'!N4</f>
        <v>1</v>
      </c>
      <c r="J3" s="27">
        <v>0.4</v>
      </c>
      <c r="K3" s="27">
        <f>SUM(E3:J3)</f>
        <v>4.4000000000000004</v>
      </c>
      <c r="L3" s="27">
        <f>K3</f>
        <v>4.4000000000000004</v>
      </c>
      <c r="M3" s="27">
        <f>'IFCポータル_概算見積（内部用）'!H4</f>
        <v>5.28</v>
      </c>
      <c r="N3"/>
      <c r="O3" s="42">
        <v>45887</v>
      </c>
      <c r="P3" s="42">
        <v>45896</v>
      </c>
      <c r="Q3" s="44" t="s">
        <v>161</v>
      </c>
      <c r="R3" s="51">
        <f>E3</f>
        <v>0.5</v>
      </c>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row>
    <row r="4" spans="1:46" s="1" customFormat="1" x14ac:dyDescent="0.55000000000000004">
      <c r="A4" s="160"/>
      <c r="B4" s="162"/>
      <c r="C4" s="164"/>
      <c r="D4" s="166"/>
      <c r="E4" s="28"/>
      <c r="F4" s="28"/>
      <c r="G4" s="28"/>
      <c r="H4" s="28"/>
      <c r="I4" s="28"/>
      <c r="J4" s="28"/>
      <c r="K4" s="28"/>
      <c r="L4" s="28"/>
      <c r="M4" s="28"/>
      <c r="N4"/>
      <c r="O4" s="48"/>
      <c r="P4" s="48"/>
      <c r="Q4" s="44" t="s">
        <v>34</v>
      </c>
      <c r="R4" s="51">
        <f>F3</f>
        <v>1</v>
      </c>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row>
    <row r="5" spans="1:46" x14ac:dyDescent="0.55000000000000004">
      <c r="A5" s="1"/>
      <c r="B5" s="2"/>
      <c r="D5" s="29"/>
      <c r="E5" s="30"/>
      <c r="F5" s="31"/>
      <c r="G5" s="31"/>
      <c r="H5" s="31"/>
      <c r="I5" s="31"/>
      <c r="J5" s="31"/>
      <c r="K5" s="31"/>
      <c r="L5" s="31"/>
      <c r="M5" s="31"/>
      <c r="N5" s="31"/>
      <c r="O5" s="49"/>
      <c r="P5" s="49"/>
      <c r="Q5" s="44" t="s">
        <v>35</v>
      </c>
      <c r="R5" s="51">
        <f>G3</f>
        <v>0.5</v>
      </c>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row>
    <row r="6" spans="1:46" x14ac:dyDescent="0.55000000000000004">
      <c r="A6" s="3" t="s">
        <v>23</v>
      </c>
      <c r="O6" s="49"/>
      <c r="P6" s="49"/>
      <c r="Q6" s="44" t="s">
        <v>36</v>
      </c>
      <c r="R6" s="51">
        <f>H3</f>
        <v>1</v>
      </c>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row>
    <row r="7" spans="1:46" x14ac:dyDescent="0.55000000000000004">
      <c r="B7" s="1" t="s">
        <v>30</v>
      </c>
      <c r="C7" s="1" t="s">
        <v>24</v>
      </c>
      <c r="O7" s="50"/>
      <c r="P7" s="50"/>
      <c r="Q7" s="44" t="s">
        <v>37</v>
      </c>
      <c r="R7" s="51">
        <f>I3</f>
        <v>1</v>
      </c>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row>
    <row r="8" spans="1:46" x14ac:dyDescent="0.55000000000000004">
      <c r="B8" s="1" t="s">
        <v>31</v>
      </c>
      <c r="C8" s="1"/>
    </row>
    <row r="9" spans="1:46" x14ac:dyDescent="0.55000000000000004">
      <c r="F9" s="26"/>
      <c r="G9" s="26"/>
    </row>
    <row r="10" spans="1:46" x14ac:dyDescent="0.55000000000000004">
      <c r="F10" s="26"/>
      <c r="G10" s="26"/>
    </row>
    <row r="11" spans="1:46" x14ac:dyDescent="0.55000000000000004">
      <c r="F11" s="26"/>
      <c r="G11" s="26"/>
    </row>
    <row r="12" spans="1:46" x14ac:dyDescent="0.55000000000000004">
      <c r="F12" s="26"/>
      <c r="G12" s="26"/>
    </row>
    <row r="13" spans="1:46" x14ac:dyDescent="0.55000000000000004">
      <c r="F13" s="26"/>
      <c r="G13" s="26"/>
    </row>
    <row r="14" spans="1:46" x14ac:dyDescent="0.55000000000000004">
      <c r="F14" s="26"/>
      <c r="G14" s="26"/>
    </row>
    <row r="15" spans="1:46" x14ac:dyDescent="0.55000000000000004">
      <c r="F15" s="26"/>
      <c r="G15" s="26"/>
    </row>
    <row r="16" spans="1:46" x14ac:dyDescent="0.55000000000000004">
      <c r="F16" s="26"/>
      <c r="G16" s="26"/>
    </row>
    <row r="17" spans="6:7" x14ac:dyDescent="0.55000000000000004">
      <c r="F17" s="26"/>
      <c r="G17" s="26"/>
    </row>
    <row r="18" spans="6:7" ht="18" customHeight="1" x14ac:dyDescent="0.55000000000000004">
      <c r="F18" s="26"/>
      <c r="G18" s="26"/>
    </row>
    <row r="19" spans="6:7" x14ac:dyDescent="0.55000000000000004">
      <c r="F19" s="26"/>
      <c r="G19" s="26"/>
    </row>
    <row r="20" spans="6:7" x14ac:dyDescent="0.55000000000000004">
      <c r="F20" s="26"/>
      <c r="G20" s="26"/>
    </row>
    <row r="21" spans="6:7" x14ac:dyDescent="0.55000000000000004">
      <c r="F21" s="26"/>
      <c r="G21" s="26"/>
    </row>
    <row r="22" spans="6:7" x14ac:dyDescent="0.55000000000000004">
      <c r="F22" s="26"/>
      <c r="G22" s="26"/>
    </row>
  </sheetData>
  <mergeCells count="4">
    <mergeCell ref="A3:A4"/>
    <mergeCell ref="B3:B4"/>
    <mergeCell ref="C3:C4"/>
    <mergeCell ref="D3:D4"/>
  </mergeCells>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88540A-5945-4146-8B07-A28EAF53F433}">
  <ds:schemaRefs>
    <ds:schemaRef ds:uri="http://purl.org/dc/terms/"/>
    <ds:schemaRef ds:uri="http://purl.org/dc/elements/1.1/"/>
    <ds:schemaRef ds:uri="http://www.w3.org/XML/1998/namespace"/>
    <ds:schemaRef ds:uri="http://schemas.microsoft.com/office/2006/metadata/properties"/>
    <ds:schemaRef ds:uri="http://purl.org/dc/dcmitype/"/>
    <ds:schemaRef ds:uri="http://schemas.microsoft.com/office/infopath/2007/PartnerControls"/>
    <ds:schemaRef ds:uri="2fd442da-66a9-4fa6-ba31-eb0d54ad1381"/>
    <ds:schemaRef ds:uri="http://schemas.microsoft.com/office/2006/documentManagement/types"/>
    <ds:schemaRef ds:uri="http://schemas.openxmlformats.org/package/2006/metadata/core-properties"/>
  </ds:schemaRefs>
</ds:datastoreItem>
</file>

<file path=customXml/itemProps2.xml><?xml version="1.0" encoding="utf-8"?>
<ds:datastoreItem xmlns:ds="http://schemas.openxmlformats.org/officeDocument/2006/customXml" ds:itemID="{85B6FB0D-85F6-4733-BA78-E1D5BD145FF9}">
  <ds:schemaRefs>
    <ds:schemaRef ds:uri="http://schemas.microsoft.com/sharepoint/v3/contenttype/forms"/>
  </ds:schemaRefs>
</ds:datastoreItem>
</file>

<file path=customXml/itemProps3.xml><?xml version="1.0" encoding="utf-8"?>
<ds:datastoreItem xmlns:ds="http://schemas.openxmlformats.org/officeDocument/2006/customXml" ds:itemID="{06CA30F4-D254-4FA6-B01E-97418D7D54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概算見積</vt:lpstr>
      <vt:lpstr>IFCポータル_概算見積（内部用）</vt:lpstr>
      <vt:lpstr>スケジュール概算</vt:lpstr>
      <vt:lpstr>概算見積!Print_Area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m-fukuda</dc:creator>
  <cp:keywords/>
  <dc:description/>
  <cp:lastModifiedBy>髙橋裕輔</cp:lastModifiedBy>
  <cp:revision/>
  <dcterms:created xsi:type="dcterms:W3CDTF">2019-12-18T08:19:30Z</dcterms:created>
  <dcterms:modified xsi:type="dcterms:W3CDTF">2025-04-23T02:05:17Z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