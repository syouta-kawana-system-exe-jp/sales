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6" documentId="11_D768651C421AFA29D4C53625F61FC998DDF1784C" xr6:coauthVersionLast="47" xr6:coauthVersionMax="47" xr10:uidLastSave="{4733DE59-2050-4854-BC75-B8ED271A1E51}"/>
  <bookViews>
    <workbookView xWindow="-28920" yWindow="-120" windowWidth="29040" windowHeight="16440" tabRatio="787" xr2:uid="{00000000-000D-0000-FFFF-FFFF00000000}"/>
  </bookViews>
  <sheets>
    <sheet name="御見積詳細書 (顧客用)" sheetId="3" r:id="rId1"/>
    <sheet name="御見積詳細書（社内用）" sheetId="1" r:id="rId2"/>
  </sheets>
  <definedNames>
    <definedName name="_xlnm.Print_Area" localSheetId="0">'御見積詳細書 (顧客用)'!$A$1:$AJ$125</definedName>
    <definedName name="_xlnm.Print_Area" localSheetId="1">'御見積詳細書（社内用）'!$A$1:$AJ$45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部門名" localSheetId="0">#REF!</definedName>
    <definedName name="部門名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0" i="3" l="1"/>
  <c r="Y42" i="1" l="1"/>
  <c r="B15" i="1" l="1"/>
  <c r="B30" i="1" l="1"/>
  <c r="Y43" i="1" l="1"/>
  <c r="AE42" i="1" l="1"/>
  <c r="AE41" i="1"/>
  <c r="AE40" i="1"/>
  <c r="AE39" i="1"/>
  <c r="AE38" i="1"/>
  <c r="AE37" i="1"/>
  <c r="AE36" i="1"/>
  <c r="AE43" i="1" l="1"/>
  <c r="F9" i="3"/>
  <c r="F9" i="1" l="1"/>
</calcChain>
</file>

<file path=xl/sharedStrings.xml><?xml version="1.0" encoding="utf-8"?>
<sst xmlns="http://schemas.openxmlformats.org/spreadsheetml/2006/main" count="146" uniqueCount="99">
  <si>
    <t>御 見 積 書</t>
    <rPh sb="0" eb="1">
      <t>ゴ</t>
    </rPh>
    <rPh sb="2" eb="3">
      <t>ミ</t>
    </rPh>
    <rPh sb="4" eb="5">
      <t>セキ</t>
    </rPh>
    <rPh sb="6" eb="7">
      <t>ショ</t>
    </rPh>
    <phoneticPr fontId="4"/>
  </si>
  <si>
    <t>見積番号　</t>
    <rPh sb="0" eb="2">
      <t>ミツ</t>
    </rPh>
    <rPh sb="2" eb="4">
      <t>バンゴウ</t>
    </rPh>
    <phoneticPr fontId="4"/>
  </si>
  <si>
    <t>-</t>
    <phoneticPr fontId="3"/>
  </si>
  <si>
    <t>見積年月日</t>
    <rPh sb="0" eb="2">
      <t>ミツモリ</t>
    </rPh>
    <rPh sb="2" eb="5">
      <t>ネンガッピ</t>
    </rPh>
    <phoneticPr fontId="4"/>
  </si>
  <si>
    <t>出光興産株式会社　御中</t>
    <rPh sb="0" eb="2">
      <t>イデミツ</t>
    </rPh>
    <rPh sb="2" eb="4">
      <t>コウサン</t>
    </rPh>
    <rPh sb="4" eb="8">
      <t>カブシキガイシャ</t>
    </rPh>
    <rPh sb="9" eb="11">
      <t>オンチュウ</t>
    </rPh>
    <phoneticPr fontId="4"/>
  </si>
  <si>
    <t>見積金額</t>
    <rPh sb="0" eb="2">
      <t>ミツモリ</t>
    </rPh>
    <rPh sb="2" eb="4">
      <t>キンガク</t>
    </rPh>
    <phoneticPr fontId="3"/>
  </si>
  <si>
    <t>件名</t>
    <rPh sb="0" eb="2">
      <t>ケンメイ</t>
    </rPh>
    <phoneticPr fontId="4"/>
  </si>
  <si>
    <t>次世代研SWAN薬品管理機能移行に伴うデータ連携処理作成対応(SWAN-CRIS)簡略版対応</t>
  </si>
  <si>
    <t>作業形態</t>
    <rPh sb="0" eb="2">
      <t>サギョウ</t>
    </rPh>
    <rPh sb="2" eb="4">
      <t>ケイタイ</t>
    </rPh>
    <phoneticPr fontId="3"/>
  </si>
  <si>
    <t>請負契約</t>
    <rPh sb="0" eb="2">
      <t>ウケオイ</t>
    </rPh>
    <rPh sb="2" eb="4">
      <t>ケイヤク</t>
    </rPh>
    <phoneticPr fontId="3"/>
  </si>
  <si>
    <t>作業場所</t>
    <rPh sb="0" eb="2">
      <t>サギョウ</t>
    </rPh>
    <rPh sb="2" eb="4">
      <t>バショ</t>
    </rPh>
    <phoneticPr fontId="3"/>
  </si>
  <si>
    <t>弊社内（在宅勤務を含む）　※ お打合せ等、必要に応じて貴社へお伺いします。</t>
    <rPh sb="0" eb="2">
      <t>ヘイシャ</t>
    </rPh>
    <rPh sb="2" eb="3">
      <t>ナイ</t>
    </rPh>
    <rPh sb="4" eb="6">
      <t>ザイタク</t>
    </rPh>
    <rPh sb="6" eb="8">
      <t>キンム</t>
    </rPh>
    <rPh sb="9" eb="10">
      <t>フク</t>
    </rPh>
    <rPh sb="16" eb="18">
      <t>ウチアワ</t>
    </rPh>
    <rPh sb="19" eb="20">
      <t>トウ</t>
    </rPh>
    <rPh sb="21" eb="23">
      <t>ヒツヨウ</t>
    </rPh>
    <rPh sb="24" eb="25">
      <t>オウ</t>
    </rPh>
    <rPh sb="27" eb="29">
      <t>キシャ</t>
    </rPh>
    <rPh sb="31" eb="32">
      <t>ウカガ</t>
    </rPh>
    <phoneticPr fontId="3"/>
  </si>
  <si>
    <t>作業期間</t>
    <rPh sb="0" eb="2">
      <t>サギョウ</t>
    </rPh>
    <rPh sb="2" eb="4">
      <t>キカン</t>
    </rPh>
    <phoneticPr fontId="3"/>
  </si>
  <si>
    <t>1か月弱想定</t>
    <rPh sb="2" eb="3">
      <t>ゲツ</t>
    </rPh>
    <rPh sb="3" eb="4">
      <t>ジャク</t>
    </rPh>
    <rPh sb="4" eb="6">
      <t>ソウテイ</t>
    </rPh>
    <phoneticPr fontId="3"/>
  </si>
  <si>
    <t>見積金額内訳</t>
    <rPh sb="0" eb="2">
      <t>ミツモリ</t>
    </rPh>
    <rPh sb="2" eb="4">
      <t>キンガク</t>
    </rPh>
    <rPh sb="4" eb="6">
      <t>ウチワケ</t>
    </rPh>
    <phoneticPr fontId="4"/>
  </si>
  <si>
    <t>No</t>
    <phoneticPr fontId="4"/>
  </si>
  <si>
    <t>項目</t>
    <rPh sb="0" eb="2">
      <t>コウモク</t>
    </rPh>
    <phoneticPr fontId="4"/>
  </si>
  <si>
    <t>金額</t>
    <rPh sb="0" eb="2">
      <t>キンガク</t>
    </rPh>
    <phoneticPr fontId="3"/>
  </si>
  <si>
    <t xml:space="preserve"> 要件定義</t>
    <rPh sb="1" eb="5">
      <t>ヨウケンテイギ</t>
    </rPh>
    <phoneticPr fontId="4"/>
  </si>
  <si>
    <t xml:space="preserve"> 開発</t>
  </si>
  <si>
    <t xml:space="preserve"> 結合テスト</t>
    <rPh sb="1" eb="3">
      <t>ケツゴウ</t>
    </rPh>
    <phoneticPr fontId="4"/>
  </si>
  <si>
    <t xml:space="preserve"> プロジェクト管理</t>
    <rPh sb="7" eb="9">
      <t>カンリ</t>
    </rPh>
    <phoneticPr fontId="4"/>
  </si>
  <si>
    <t>合計</t>
    <rPh sb="0" eb="2">
      <t>ゴウケイ</t>
    </rPh>
    <phoneticPr fontId="4"/>
  </si>
  <si>
    <t>納品物</t>
    <rPh sb="0" eb="2">
      <t>ノウヒン</t>
    </rPh>
    <rPh sb="2" eb="3">
      <t>ブツ</t>
    </rPh>
    <phoneticPr fontId="4"/>
  </si>
  <si>
    <t>・</t>
    <phoneticPr fontId="3"/>
  </si>
  <si>
    <t>設計書</t>
    <rPh sb="0" eb="3">
      <t>セッケイショ</t>
    </rPh>
    <phoneticPr fontId="3"/>
  </si>
  <si>
    <t>結合テスト仕様書兼結果報告書</t>
    <rPh sb="0" eb="2">
      <t>ケツゴウ</t>
    </rPh>
    <rPh sb="5" eb="7">
      <t>シヨウ</t>
    </rPh>
    <rPh sb="8" eb="9">
      <t>ケン</t>
    </rPh>
    <rPh sb="9" eb="11">
      <t>ケッカ</t>
    </rPh>
    <phoneticPr fontId="3"/>
  </si>
  <si>
    <t>実行ファイル</t>
    <rPh sb="0" eb="2">
      <t>ジッコウ</t>
    </rPh>
    <phoneticPr fontId="3"/>
  </si>
  <si>
    <t>作業内容</t>
    <rPh sb="0" eb="2">
      <t>サギョウ</t>
    </rPh>
    <rPh sb="2" eb="4">
      <t>ナイヨウ</t>
    </rPh>
    <phoneticPr fontId="3"/>
  </si>
  <si>
    <t>SWANに蓄積されたデータを取得後、CRISのフォーマットに合わせてシート上で変換を行う</t>
    <rPh sb="5" eb="7">
      <t>チクセキ</t>
    </rPh>
    <rPh sb="14" eb="17">
      <t>シュトクゴ</t>
    </rPh>
    <rPh sb="30" eb="31">
      <t>ア</t>
    </rPh>
    <rPh sb="37" eb="38">
      <t>ジョウ</t>
    </rPh>
    <rPh sb="39" eb="41">
      <t>ヘンカン</t>
    </rPh>
    <rPh sb="42" eb="43">
      <t>オコナ</t>
    </rPh>
    <phoneticPr fontId="3"/>
  </si>
  <si>
    <t>エクセルツールを開発する</t>
    <phoneticPr fontId="3"/>
  </si>
  <si>
    <t>表.工程ごとの作業内容一覧</t>
    <rPh sb="0" eb="1">
      <t>ヒョウ</t>
    </rPh>
    <rPh sb="2" eb="4">
      <t>コウテイ</t>
    </rPh>
    <rPh sb="7" eb="9">
      <t>サギョウ</t>
    </rPh>
    <rPh sb="9" eb="11">
      <t>ナイヨウ</t>
    </rPh>
    <rPh sb="11" eb="13">
      <t>イチラン</t>
    </rPh>
    <phoneticPr fontId="3"/>
  </si>
  <si>
    <t>工程</t>
    <rPh sb="0" eb="2">
      <t>コウテイ</t>
    </rPh>
    <phoneticPr fontId="4"/>
  </si>
  <si>
    <t>要件定義</t>
    <rPh sb="0" eb="4">
      <t>ヨウケンテイギ</t>
    </rPh>
    <phoneticPr fontId="4"/>
  </si>
  <si>
    <t>修正方針の確定、不明瞭箇所の特定、エクセルの修正方</t>
    <rPh sb="0" eb="2">
      <t>シュウセイ</t>
    </rPh>
    <rPh sb="2" eb="4">
      <t>ホウシン</t>
    </rPh>
    <rPh sb="5" eb="7">
      <t>カクテイ</t>
    </rPh>
    <rPh sb="8" eb="11">
      <t>フメイリョウ</t>
    </rPh>
    <rPh sb="11" eb="13">
      <t>カショ</t>
    </rPh>
    <rPh sb="14" eb="16">
      <t>トクテイ</t>
    </rPh>
    <rPh sb="22" eb="24">
      <t>シュウセイ</t>
    </rPh>
    <rPh sb="24" eb="25">
      <t>カタ</t>
    </rPh>
    <phoneticPr fontId="3"/>
  </si>
  <si>
    <t>針の決定等細かい仕様について決定します。</t>
    <phoneticPr fontId="3"/>
  </si>
  <si>
    <t>開発</t>
  </si>
  <si>
    <t>コーディングを実施します。</t>
  </si>
  <si>
    <t>結合ﾃｽﾄ</t>
    <rPh sb="0" eb="2">
      <t>ケツゴウ</t>
    </rPh>
    <phoneticPr fontId="4"/>
  </si>
  <si>
    <t>貴社環境にて結合テスト実施、実施結果の分析、不具合の対応を実施し、</t>
  </si>
  <si>
    <t>結合テスト仕様書および結合テスト結果報告書を作成します。ユーザ確認も実施します。</t>
    <rPh sb="0" eb="2">
      <t>ケツゴウ</t>
    </rPh>
    <rPh sb="5" eb="8">
      <t>シヨウショ</t>
    </rPh>
    <rPh sb="11" eb="13">
      <t>ケツゴウ</t>
    </rPh>
    <rPh sb="16" eb="18">
      <t>ケッカ</t>
    </rPh>
    <rPh sb="18" eb="21">
      <t>ホウコクショ</t>
    </rPh>
    <rPh sb="22" eb="24">
      <t>サクセイ</t>
    </rPh>
    <rPh sb="31" eb="33">
      <t>カクニン</t>
    </rPh>
    <rPh sb="34" eb="36">
      <t>ジッシ</t>
    </rPh>
    <phoneticPr fontId="3"/>
  </si>
  <si>
    <t>ﾌﾟﾛｼﾞｪｸﾄ管理</t>
    <rPh sb="8" eb="10">
      <t>カンリ</t>
    </rPh>
    <phoneticPr fontId="3"/>
  </si>
  <si>
    <t>進捗管理、品質管理、要員管理、課題管理等を実施します。</t>
    <rPh sb="0" eb="2">
      <t>シンチョク</t>
    </rPh>
    <rPh sb="2" eb="4">
      <t>カンリ</t>
    </rPh>
    <rPh sb="5" eb="7">
      <t>ヒンシツ</t>
    </rPh>
    <rPh sb="7" eb="9">
      <t>カンリ</t>
    </rPh>
    <rPh sb="10" eb="12">
      <t>ヨウイン</t>
    </rPh>
    <rPh sb="12" eb="14">
      <t>カンリ</t>
    </rPh>
    <rPh sb="15" eb="17">
      <t>カダイ</t>
    </rPh>
    <rPh sb="17" eb="19">
      <t>カンリ</t>
    </rPh>
    <rPh sb="19" eb="20">
      <t>トウ</t>
    </rPh>
    <rPh sb="21" eb="23">
      <t>ジッシ</t>
    </rPh>
    <phoneticPr fontId="3"/>
  </si>
  <si>
    <t>スケジュール</t>
    <phoneticPr fontId="4"/>
  </si>
  <si>
    <t>工程</t>
    <rPh sb="0" eb="1">
      <t>コウテイ</t>
    </rPh>
    <phoneticPr fontId="4"/>
  </si>
  <si>
    <t>1W</t>
    <phoneticPr fontId="4"/>
  </si>
  <si>
    <t>2W</t>
    <phoneticPr fontId="3"/>
  </si>
  <si>
    <t>3W</t>
    <phoneticPr fontId="4"/>
  </si>
  <si>
    <t>4W</t>
    <phoneticPr fontId="4"/>
  </si>
  <si>
    <t>5W</t>
    <phoneticPr fontId="4"/>
  </si>
  <si>
    <t>結合テスト</t>
    <rPh sb="0" eb="2">
      <t>ケツゴウ</t>
    </rPh>
    <phoneticPr fontId="3"/>
  </si>
  <si>
    <t>体制</t>
    <rPh sb="0" eb="2">
      <t>タイセイ</t>
    </rPh>
    <phoneticPr fontId="3"/>
  </si>
  <si>
    <t xml:space="preserve"> 責任者
 野村康二</t>
  </si>
  <si>
    <t xml:space="preserve"> PM
　東条
 </t>
  </si>
  <si>
    <t xml:space="preserve"> メンバー
　東条（兼務）</t>
  </si>
  <si>
    <t>保守サポート
　吉田</t>
  </si>
  <si>
    <t>※体制は受注時の状況により変わる場合がございます。</t>
    <rPh sb="1" eb="3">
      <t>タイセイ</t>
    </rPh>
    <rPh sb="4" eb="7">
      <t>ジュチュウジ</t>
    </rPh>
    <rPh sb="8" eb="10">
      <t>ジョウキョウ</t>
    </rPh>
    <rPh sb="13" eb="14">
      <t>カ</t>
    </rPh>
    <rPh sb="16" eb="18">
      <t>バアイ</t>
    </rPh>
    <phoneticPr fontId="3"/>
  </si>
  <si>
    <t>その他の前提条件</t>
    <rPh sb="2" eb="3">
      <t>タ</t>
    </rPh>
    <rPh sb="4" eb="6">
      <t>ゼンテイ</t>
    </rPh>
    <rPh sb="6" eb="8">
      <t>ジョウケン</t>
    </rPh>
    <phoneticPr fontId="4"/>
  </si>
  <si>
    <t>１．お見積金額について</t>
    <rPh sb="3" eb="5">
      <t>ミツモリ</t>
    </rPh>
    <rPh sb="5" eb="7">
      <t>キンガク</t>
    </rPh>
    <phoneticPr fontId="4"/>
  </si>
  <si>
    <t>金額は税抜きで記載しております。</t>
    <rPh sb="0" eb="2">
      <t>キンガク</t>
    </rPh>
    <rPh sb="3" eb="5">
      <t>ゼイヌ</t>
    </rPh>
    <rPh sb="7" eb="9">
      <t>キサイ</t>
    </rPh>
    <phoneticPr fontId="3"/>
  </si>
  <si>
    <t>　　</t>
    <phoneticPr fontId="4"/>
  </si>
  <si>
    <t>２．お見積範囲について</t>
    <rPh sb="3" eb="5">
      <t>ミツモリ</t>
    </rPh>
    <rPh sb="5" eb="7">
      <t>ハンイ</t>
    </rPh>
    <phoneticPr fontId="4"/>
  </si>
  <si>
    <t>前回PJの実績を元に工数を算出しております。</t>
    <rPh sb="0" eb="2">
      <t>ゼンカイ</t>
    </rPh>
    <rPh sb="5" eb="7">
      <t>ジッセキ</t>
    </rPh>
    <rPh sb="8" eb="9">
      <t>モト</t>
    </rPh>
    <rPh sb="10" eb="12">
      <t>コウスウ</t>
    </rPh>
    <rPh sb="13" eb="15">
      <t>サンシュツ</t>
    </rPh>
    <phoneticPr fontId="3"/>
  </si>
  <si>
    <t>３．作業場所について</t>
    <rPh sb="2" eb="4">
      <t>サギョウ</t>
    </rPh>
    <rPh sb="4" eb="6">
      <t>バショ</t>
    </rPh>
    <phoneticPr fontId="4"/>
  </si>
  <si>
    <t>作業場所は弊社内（在宅勤務含む）にて実施します。お打合せは、Web会議を想定します。</t>
    <rPh sb="0" eb="2">
      <t>サギョウ</t>
    </rPh>
    <rPh sb="2" eb="4">
      <t>バショ</t>
    </rPh>
    <rPh sb="5" eb="7">
      <t>ヘイシャ</t>
    </rPh>
    <rPh sb="7" eb="8">
      <t>ナイ</t>
    </rPh>
    <rPh sb="9" eb="13">
      <t>ザイタクキンム</t>
    </rPh>
    <rPh sb="13" eb="14">
      <t>フク</t>
    </rPh>
    <rPh sb="18" eb="20">
      <t>ジッシ</t>
    </rPh>
    <rPh sb="33" eb="35">
      <t>カイギ</t>
    </rPh>
    <phoneticPr fontId="4"/>
  </si>
  <si>
    <t>上記以外での作業が発生した場合には交通費・宿泊費等を別途ご請求させていただきます。</t>
    <rPh sb="0" eb="2">
      <t>ジョウキ</t>
    </rPh>
    <rPh sb="2" eb="4">
      <t>イガイ</t>
    </rPh>
    <phoneticPr fontId="4"/>
  </si>
  <si>
    <t>４．瑕疵担保期間について</t>
    <rPh sb="2" eb="4">
      <t>カシ</t>
    </rPh>
    <rPh sb="4" eb="6">
      <t>タンポ</t>
    </rPh>
    <rPh sb="6" eb="8">
      <t>キカン</t>
    </rPh>
    <phoneticPr fontId="3"/>
  </si>
  <si>
    <t>瑕疵担保責任期間は検収日より１年間とします。</t>
    <rPh sb="0" eb="2">
      <t>カシ</t>
    </rPh>
    <rPh sb="2" eb="4">
      <t>タンポ</t>
    </rPh>
    <rPh sb="4" eb="6">
      <t>セキニン</t>
    </rPh>
    <rPh sb="6" eb="8">
      <t>キカン</t>
    </rPh>
    <rPh sb="9" eb="11">
      <t>ケンシュウ</t>
    </rPh>
    <rPh sb="11" eb="12">
      <t>ビ</t>
    </rPh>
    <rPh sb="15" eb="17">
      <t>ネンカン</t>
    </rPh>
    <phoneticPr fontId="3"/>
  </si>
  <si>
    <t>（検収日より1年間に限り契約不適合責任を追及できることとします。）</t>
    <phoneticPr fontId="3"/>
  </si>
  <si>
    <t>５．仕組みを展開する端末のOSについて</t>
    <rPh sb="2" eb="4">
      <t>シク</t>
    </rPh>
    <rPh sb="6" eb="8">
      <t>テンカイ</t>
    </rPh>
    <rPh sb="10" eb="12">
      <t>タンマツ</t>
    </rPh>
    <phoneticPr fontId="3"/>
  </si>
  <si>
    <t>WindowsOSを想定しています。WindowsOSでない場合は、方式を再検討いたします。</t>
    <rPh sb="10" eb="12">
      <t>ソウテイ</t>
    </rPh>
    <rPh sb="30" eb="32">
      <t>バアイ</t>
    </rPh>
    <rPh sb="34" eb="36">
      <t>ホウシキ</t>
    </rPh>
    <rPh sb="37" eb="40">
      <t>サイケントウ</t>
    </rPh>
    <phoneticPr fontId="3"/>
  </si>
  <si>
    <t>端末には、下記がインストールされていることを想定しております。</t>
    <rPh sb="5" eb="7">
      <t>カキ</t>
    </rPh>
    <phoneticPr fontId="3"/>
  </si>
  <si>
    <t>・Excel</t>
    <phoneticPr fontId="3"/>
  </si>
  <si>
    <t>・OracleClient</t>
    <phoneticPr fontId="3"/>
  </si>
  <si>
    <t>６．環境について</t>
    <rPh sb="2" eb="4">
      <t>カンキョウ</t>
    </rPh>
    <phoneticPr fontId="3"/>
  </si>
  <si>
    <t>ツールを配置する端末、連携ファイルを配置するNAS、ネットワークなどの環境は</t>
    <rPh sb="4" eb="6">
      <t>ハイチ</t>
    </rPh>
    <rPh sb="8" eb="10">
      <t>タンマツ</t>
    </rPh>
    <rPh sb="11" eb="13">
      <t>レンケイ</t>
    </rPh>
    <rPh sb="18" eb="20">
      <t>ハイチ</t>
    </rPh>
    <rPh sb="35" eb="37">
      <t>カンキョウ</t>
    </rPh>
    <phoneticPr fontId="3"/>
  </si>
  <si>
    <t>出光様にて準備いただくことを想定しております。</t>
  </si>
  <si>
    <t>７．仕様について</t>
    <rPh sb="2" eb="4">
      <t>シヨウ</t>
    </rPh>
    <phoneticPr fontId="3"/>
  </si>
  <si>
    <t>Excelで実装した機能は、ユーザの手動実行を想定しております。</t>
    <rPh sb="6" eb="8">
      <t>ジッソウ</t>
    </rPh>
    <rPh sb="10" eb="12">
      <t>キノウ</t>
    </rPh>
    <rPh sb="18" eb="20">
      <t>シュドウ</t>
    </rPh>
    <rPh sb="20" eb="22">
      <t>ジッコウ</t>
    </rPh>
    <rPh sb="23" eb="25">
      <t>ソウテイ</t>
    </rPh>
    <phoneticPr fontId="3"/>
  </si>
  <si>
    <t>SWANから取得したデータは、Excelのシート上に出力することを想定しております。</t>
    <rPh sb="6" eb="8">
      <t>シュトク</t>
    </rPh>
    <rPh sb="24" eb="25">
      <t>ジョウ</t>
    </rPh>
    <rPh sb="26" eb="28">
      <t>シュツリョク</t>
    </rPh>
    <rPh sb="33" eb="35">
      <t>ソウテイ</t>
    </rPh>
    <phoneticPr fontId="3"/>
  </si>
  <si>
    <t>CSVなどのファイルは出力しないことを想定しております。</t>
    <rPh sb="11" eb="13">
      <t>シュツリョク</t>
    </rPh>
    <rPh sb="19" eb="21">
      <t>ソウテイ</t>
    </rPh>
    <phoneticPr fontId="3"/>
  </si>
  <si>
    <t>ExcelからNASサーバへのデータコピー等は実施しないことを想定しております。</t>
    <rPh sb="21" eb="22">
      <t>トウ</t>
    </rPh>
    <rPh sb="23" eb="25">
      <t>ジッシ</t>
    </rPh>
    <rPh sb="31" eb="33">
      <t>ソウテイ</t>
    </rPh>
    <phoneticPr fontId="3"/>
  </si>
  <si>
    <t>概 算 御 見 積 書</t>
    <rPh sb="0" eb="2">
      <t>ガイサン</t>
    </rPh>
    <rPh sb="2" eb="3">
      <t>サン</t>
    </rPh>
    <rPh sb="4" eb="5">
      <t>ゴ</t>
    </rPh>
    <rPh sb="6" eb="7">
      <t>ミ</t>
    </rPh>
    <rPh sb="8" eb="9">
      <t>セキ</t>
    </rPh>
    <rPh sb="10" eb="11">
      <t>ショ</t>
    </rPh>
    <phoneticPr fontId="4"/>
  </si>
  <si>
    <t>単価</t>
    <rPh sb="0" eb="2">
      <t>タンカ</t>
    </rPh>
    <phoneticPr fontId="4"/>
  </si>
  <si>
    <t>数量</t>
    <rPh sb="0" eb="2">
      <t>スウリョウ</t>
    </rPh>
    <phoneticPr fontId="4"/>
  </si>
  <si>
    <t>人日</t>
    <rPh sb="0" eb="2">
      <t>ニンニチ</t>
    </rPh>
    <phoneticPr fontId="3"/>
  </si>
  <si>
    <t xml:space="preserve"> 設計</t>
  </si>
  <si>
    <t xml:space="preserve"> 統合テスト</t>
    <rPh sb="1" eb="3">
      <t>トウゴウ</t>
    </rPh>
    <phoneticPr fontId="4"/>
  </si>
  <si>
    <t xml:space="preserve"> 本稼働</t>
  </si>
  <si>
    <t>昨年度、愛知で実施した対応を他3所にも同様に反映する。</t>
    <rPh sb="0" eb="3">
      <t>サクネンド</t>
    </rPh>
    <rPh sb="4" eb="6">
      <t>アイチ</t>
    </rPh>
    <rPh sb="7" eb="9">
      <t>ジッシ</t>
    </rPh>
    <rPh sb="11" eb="13">
      <t>タイオウ</t>
    </rPh>
    <rPh sb="14" eb="15">
      <t>ホカ</t>
    </rPh>
    <rPh sb="16" eb="17">
      <t>ショ</t>
    </rPh>
    <rPh sb="19" eb="21">
      <t>ドウヨウ</t>
    </rPh>
    <rPh sb="22" eb="24">
      <t>ハンエイ</t>
    </rPh>
    <phoneticPr fontId="3"/>
  </si>
  <si>
    <t>ただし、各所別モジュールのため、それぞれで対応が必要となる。</t>
    <rPh sb="4" eb="6">
      <t>カクショ</t>
    </rPh>
    <rPh sb="6" eb="7">
      <t>ベツ</t>
    </rPh>
    <rPh sb="21" eb="23">
      <t>タイオウ</t>
    </rPh>
    <rPh sb="24" eb="27">
      <t>ヒツヨウ</t>
    </rPh>
    <phoneticPr fontId="3"/>
  </si>
  <si>
    <t>修正方針の確定、不明瞭箇所の特定、対象エクセルの選定、エクセルの修正方</t>
    <rPh sb="0" eb="2">
      <t>シュウセイ</t>
    </rPh>
    <rPh sb="2" eb="4">
      <t>ホウシン</t>
    </rPh>
    <rPh sb="5" eb="7">
      <t>カクテイ</t>
    </rPh>
    <rPh sb="8" eb="11">
      <t>フメイリョウ</t>
    </rPh>
    <rPh sb="11" eb="13">
      <t>カショ</t>
    </rPh>
    <rPh sb="14" eb="16">
      <t>トクテイ</t>
    </rPh>
    <rPh sb="17" eb="19">
      <t>タイショウ</t>
    </rPh>
    <rPh sb="24" eb="26">
      <t>センテイ</t>
    </rPh>
    <rPh sb="32" eb="34">
      <t>シュウセイ</t>
    </rPh>
    <rPh sb="34" eb="35">
      <t>カタ</t>
    </rPh>
    <phoneticPr fontId="3"/>
  </si>
  <si>
    <t>設計</t>
    <rPh sb="0" eb="2">
      <t>セッケイ</t>
    </rPh>
    <phoneticPr fontId="4"/>
  </si>
  <si>
    <t>バッチの処理内容、エクセルの処理内容を決定します。</t>
    <rPh sb="4" eb="6">
      <t>ショリ</t>
    </rPh>
    <rPh sb="6" eb="8">
      <t>ナイヨウ</t>
    </rPh>
    <rPh sb="14" eb="18">
      <t>ショリナイヨウ</t>
    </rPh>
    <rPh sb="19" eb="21">
      <t>ケッテイ</t>
    </rPh>
    <phoneticPr fontId="3"/>
  </si>
  <si>
    <t>結合テスト、システムテストの計画を実施します。</t>
  </si>
  <si>
    <t>結合テスト仕様書および結合テスト結果報告書を作成します。</t>
    <rPh sb="0" eb="2">
      <t>ケツゴウ</t>
    </rPh>
    <rPh sb="5" eb="8">
      <t>シヨウショ</t>
    </rPh>
    <rPh sb="11" eb="13">
      <t>ケツゴウ</t>
    </rPh>
    <rPh sb="16" eb="18">
      <t>ケッカ</t>
    </rPh>
    <rPh sb="18" eb="21">
      <t>ホウコクショ</t>
    </rPh>
    <rPh sb="22" eb="24">
      <t>サクセイ</t>
    </rPh>
    <phoneticPr fontId="3"/>
  </si>
  <si>
    <t>統合テスト</t>
    <rPh sb="0" eb="2">
      <t>トウゴウ</t>
    </rPh>
    <phoneticPr fontId="4"/>
  </si>
  <si>
    <t>実施しない</t>
    <rPh sb="0" eb="2">
      <t>ジッシ</t>
    </rPh>
    <phoneticPr fontId="4"/>
  </si>
  <si>
    <t>本稼働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</si>
</sst>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¥&quot;#,##0;&quot;¥&quot;\-#,##0"/>
    <numFmt numFmtId="176" formatCode="&quot;¥&quot;#,##0_);\(&quot;¥&quot;#,##0\)"/>
    <numFmt numFmtId="177" formatCode="&quot;¥&quot;#,##0.\-"/>
    <numFmt numFmtId="178" formatCode="0.00_);[Red]\(0.00\)"/>
  </numFmts>
  <fonts count="18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b/>
      <sz val="9"/>
      <name val="ＭＳ 明朝"/>
      <family val="1"/>
      <charset val="128"/>
    </font>
    <font>
      <sz val="11"/>
      <name val="ＭＳ Ｐゴシック"/>
      <family val="3"/>
      <charset val="128"/>
    </font>
    <font>
      <b/>
      <sz val="12"/>
      <name val="ＭＳ 明朝"/>
      <family val="1"/>
      <charset val="128"/>
    </font>
    <font>
      <sz val="20"/>
      <name val="ＭＳ 明朝"/>
      <family val="1"/>
      <charset val="128"/>
    </font>
    <font>
      <b/>
      <sz val="26"/>
      <name val="ＭＳ 明朝"/>
      <family val="1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u/>
      <sz val="10"/>
      <name val="ＭＳ 明朝"/>
      <family val="1"/>
      <charset val="128"/>
    </font>
    <font>
      <sz val="10"/>
      <color theme="0"/>
      <name val="ＭＳ 明朝"/>
      <family val="1"/>
      <charset val="128"/>
    </font>
    <font>
      <sz val="10"/>
      <color rgb="FFFF0000"/>
      <name val="ＭＳ 明朝"/>
      <family val="1"/>
      <charset val="128"/>
    </font>
    <font>
      <sz val="8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auto="1"/>
      </left>
      <right/>
      <top style="double">
        <color auto="1"/>
      </top>
      <bottom style="double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0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8" fillId="0" borderId="0"/>
    <xf numFmtId="0" fontId="1" fillId="0" borderId="0">
      <alignment vertical="center"/>
    </xf>
  </cellStyleXfs>
  <cellXfs count="114">
    <xf numFmtId="0" fontId="0" fillId="0" borderId="0" xfId="0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2" borderId="10" xfId="0" applyFont="1" applyFill="1" applyBorder="1" applyAlignment="1">
      <alignment horizontal="centerContinuous" vertical="center"/>
    </xf>
    <xf numFmtId="0" fontId="13" fillId="2" borderId="11" xfId="0" applyFont="1" applyFill="1" applyBorder="1" applyAlignment="1">
      <alignment horizontal="centerContinuous" vertical="center"/>
    </xf>
    <xf numFmtId="0" fontId="13" fillId="2" borderId="2" xfId="0" applyFont="1" applyFill="1" applyBorder="1" applyAlignment="1">
      <alignment horizontal="centerContinuous" vertical="center"/>
    </xf>
    <xf numFmtId="0" fontId="14" fillId="0" borderId="0" xfId="0" applyFont="1" applyAlignment="1">
      <alignment vertical="center"/>
    </xf>
    <xf numFmtId="0" fontId="13" fillId="0" borderId="12" xfId="0" applyFont="1" applyBorder="1" applyAlignment="1">
      <alignment vertical="center"/>
    </xf>
    <xf numFmtId="0" fontId="13" fillId="0" borderId="12" xfId="0" applyFont="1" applyBorder="1" applyAlignment="1">
      <alignment horizontal="right" vertical="center"/>
    </xf>
    <xf numFmtId="0" fontId="13" fillId="0" borderId="13" xfId="0" applyFont="1" applyBorder="1" applyAlignment="1">
      <alignment vertical="center"/>
    </xf>
    <xf numFmtId="0" fontId="13" fillId="0" borderId="0" xfId="0" applyFont="1" applyAlignment="1">
      <alignment horizontal="centerContinuous" vertical="center"/>
    </xf>
    <xf numFmtId="178" fontId="13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3" fillId="0" borderId="6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5" fillId="0" borderId="25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3" fillId="0" borderId="0" xfId="1" applyFont="1" applyAlignment="1">
      <alignment horizontal="left" vertical="center"/>
    </xf>
    <xf numFmtId="0" fontId="13" fillId="0" borderId="6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0" xfId="0" applyFont="1" applyAlignment="1">
      <alignment vertical="top"/>
    </xf>
    <xf numFmtId="0" fontId="13" fillId="2" borderId="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" fontId="17" fillId="2" borderId="11" xfId="0" quotePrefix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2" xfId="0" applyFont="1" applyBorder="1" applyAlignment="1">
      <alignment horizontal="left" vertical="center" indent="1"/>
    </xf>
    <xf numFmtId="0" fontId="5" fillId="0" borderId="11" xfId="0" applyFont="1" applyBorder="1" applyAlignment="1">
      <alignment horizontal="left" vertical="center" indent="1"/>
    </xf>
    <xf numFmtId="0" fontId="13" fillId="0" borderId="10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17" fontId="17" fillId="2" borderId="2" xfId="0" quotePrefix="1" applyNumberFormat="1" applyFont="1" applyFill="1" applyBorder="1" applyAlignment="1">
      <alignment vertical="center"/>
    </xf>
    <xf numFmtId="0" fontId="15" fillId="0" borderId="26" xfId="0" applyFont="1" applyBorder="1" applyAlignment="1">
      <alignment vertical="center"/>
    </xf>
    <xf numFmtId="0" fontId="13" fillId="0" borderId="0" xfId="1" applyFont="1">
      <alignment vertical="center"/>
    </xf>
    <xf numFmtId="0" fontId="13" fillId="2" borderId="2" xfId="0" applyFont="1" applyFill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13" fillId="0" borderId="0" xfId="0" applyFont="1" applyAlignment="1">
      <alignment vertical="center" wrapText="1"/>
    </xf>
    <xf numFmtId="17" fontId="13" fillId="2" borderId="10" xfId="0" quotePrefix="1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top"/>
    </xf>
    <xf numFmtId="0" fontId="13" fillId="0" borderId="5" xfId="0" applyFont="1" applyBorder="1" applyAlignment="1">
      <alignment horizontal="center" vertical="top"/>
    </xf>
    <xf numFmtId="0" fontId="13" fillId="0" borderId="8" xfId="0" applyFont="1" applyBorder="1" applyAlignment="1">
      <alignment horizontal="center" vertical="top"/>
    </xf>
    <xf numFmtId="0" fontId="13" fillId="0" borderId="9" xfId="0" applyFont="1" applyBorder="1" applyAlignment="1">
      <alignment horizontal="center" vertical="top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76" fontId="13" fillId="0" borderId="10" xfId="0" applyNumberFormat="1" applyFont="1" applyBorder="1" applyAlignment="1">
      <alignment horizontal="right" vertical="center"/>
    </xf>
    <xf numFmtId="176" fontId="13" fillId="0" borderId="2" xfId="0" applyNumberFormat="1" applyFont="1" applyBorder="1" applyAlignment="1">
      <alignment horizontal="right" vertical="center"/>
    </xf>
    <xf numFmtId="176" fontId="13" fillId="0" borderId="11" xfId="0" applyNumberFormat="1" applyFont="1" applyBorder="1" applyAlignment="1">
      <alignment horizontal="right" vertical="center"/>
    </xf>
    <xf numFmtId="0" fontId="12" fillId="3" borderId="10" xfId="0" applyFont="1" applyFill="1" applyBorder="1" applyAlignment="1">
      <alignment horizontal="right" vertical="center"/>
    </xf>
    <xf numFmtId="0" fontId="12" fillId="3" borderId="2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right" vertical="center"/>
    </xf>
    <xf numFmtId="176" fontId="12" fillId="0" borderId="22" xfId="0" applyNumberFormat="1" applyFont="1" applyBorder="1" applyAlignment="1">
      <alignment horizontal="right" vertical="center"/>
    </xf>
    <xf numFmtId="0" fontId="13" fillId="2" borderId="22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14" fontId="13" fillId="0" borderId="13" xfId="0" applyNumberFormat="1" applyFont="1" applyBorder="1" applyAlignment="1">
      <alignment horizontal="right" vertical="center"/>
    </xf>
    <xf numFmtId="0" fontId="13" fillId="0" borderId="13" xfId="0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77" fontId="10" fillId="0" borderId="0" xfId="0" applyNumberFormat="1" applyFont="1" applyAlignment="1">
      <alignment horizontal="right" vertical="center"/>
    </xf>
    <xf numFmtId="177" fontId="10" fillId="0" borderId="1" xfId="0" applyNumberFormat="1" applyFont="1" applyBorder="1" applyAlignment="1">
      <alignment horizontal="right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178" fontId="13" fillId="0" borderId="10" xfId="0" applyNumberFormat="1" applyFont="1" applyBorder="1" applyAlignment="1">
      <alignment vertical="center"/>
    </xf>
    <xf numFmtId="178" fontId="13" fillId="0" borderId="2" xfId="0" applyNumberFormat="1" applyFont="1" applyBorder="1" applyAlignment="1">
      <alignment vertical="center"/>
    </xf>
    <xf numFmtId="5" fontId="13" fillId="0" borderId="2" xfId="0" applyNumberFormat="1" applyFont="1" applyBorder="1" applyAlignment="1">
      <alignment horizontal="center" vertical="center"/>
    </xf>
    <xf numFmtId="5" fontId="13" fillId="0" borderId="11" xfId="0" applyNumberFormat="1" applyFont="1" applyBorder="1" applyAlignment="1">
      <alignment horizontal="center" vertical="center"/>
    </xf>
    <xf numFmtId="5" fontId="13" fillId="0" borderId="10" xfId="0" applyNumberFormat="1" applyFont="1" applyBorder="1" applyAlignment="1">
      <alignment horizontal="right" vertical="center" indent="1"/>
    </xf>
    <xf numFmtId="5" fontId="13" fillId="0" borderId="2" xfId="0" applyNumberFormat="1" applyFont="1" applyBorder="1" applyAlignment="1">
      <alignment horizontal="right" vertical="center" indent="1"/>
    </xf>
    <xf numFmtId="5" fontId="13" fillId="0" borderId="11" xfId="0" applyNumberFormat="1" applyFont="1" applyBorder="1" applyAlignment="1">
      <alignment horizontal="right" vertical="center" indent="1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2" borderId="11" xfId="0" applyFont="1" applyFill="1" applyBorder="1" applyAlignment="1">
      <alignment vertical="center"/>
    </xf>
    <xf numFmtId="0" fontId="13" fillId="2" borderId="10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5" fontId="13" fillId="2" borderId="10" xfId="0" applyNumberFormat="1" applyFont="1" applyFill="1" applyBorder="1" applyAlignment="1">
      <alignment horizontal="right" vertical="center" indent="1"/>
    </xf>
    <xf numFmtId="5" fontId="13" fillId="2" borderId="2" xfId="0" applyNumberFormat="1" applyFont="1" applyFill="1" applyBorder="1" applyAlignment="1">
      <alignment horizontal="right" vertical="center" indent="1"/>
    </xf>
    <xf numFmtId="5" fontId="13" fillId="2" borderId="11" xfId="0" applyNumberFormat="1" applyFont="1" applyFill="1" applyBorder="1" applyAlignment="1">
      <alignment horizontal="right" vertical="center" indent="1"/>
    </xf>
    <xf numFmtId="178" fontId="13" fillId="2" borderId="10" xfId="0" applyNumberFormat="1" applyFont="1" applyFill="1" applyBorder="1" applyAlignment="1">
      <alignment vertical="center"/>
    </xf>
    <xf numFmtId="178" fontId="13" fillId="2" borderId="2" xfId="0" applyNumberFormat="1" applyFont="1" applyFill="1" applyBorder="1" applyAlignment="1">
      <alignment vertical="center"/>
    </xf>
    <xf numFmtId="5" fontId="13" fillId="2" borderId="2" xfId="0" applyNumberFormat="1" applyFont="1" applyFill="1" applyBorder="1" applyAlignment="1">
      <alignment horizontal="center" vertical="center"/>
    </xf>
    <xf numFmtId="5" fontId="13" fillId="2" borderId="11" xfId="0" applyNumberFormat="1" applyFont="1" applyFill="1" applyBorder="1" applyAlignment="1">
      <alignment horizontal="center" vertical="center"/>
    </xf>
    <xf numFmtId="176" fontId="13" fillId="2" borderId="10" xfId="0" applyNumberFormat="1" applyFont="1" applyFill="1" applyBorder="1" applyAlignment="1">
      <alignment horizontal="right" vertical="center"/>
    </xf>
    <xf numFmtId="176" fontId="13" fillId="2" borderId="2" xfId="0" applyNumberFormat="1" applyFont="1" applyFill="1" applyBorder="1" applyAlignment="1">
      <alignment horizontal="right" vertical="center"/>
    </xf>
    <xf numFmtId="176" fontId="13" fillId="2" borderId="11" xfId="0" applyNumberFormat="1" applyFont="1" applyFill="1" applyBorder="1" applyAlignment="1">
      <alignment horizontal="right" vertical="center"/>
    </xf>
  </cellXfs>
  <cellStyles count="6">
    <cellStyle name="標準" xfId="0" builtinId="0"/>
    <cellStyle name="標準 2" xfId="1" xr:uid="{00000000-0005-0000-0000-000001000000}"/>
    <cellStyle name="標準 2 2" xfId="2" xr:uid="{00000000-0005-0000-0000-000002000000}"/>
    <cellStyle name="標準 3" xfId="4" xr:uid="{00000000-0005-0000-0000-000003000000}"/>
    <cellStyle name="標準 6" xfId="3" xr:uid="{00000000-0005-0000-0000-000004000000}"/>
    <cellStyle name="標準 8" xfId="5" xr:uid="{00000000-0005-0000-0000-000005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123825</xdr:colOff>
      <xdr:row>69</xdr:row>
      <xdr:rowOff>47625</xdr:rowOff>
    </xdr:from>
    <xdr:to>
      <xdr:col>14</xdr:col>
      <xdr:colOff>66675</xdr:colOff>
      <xdr:row>70</xdr:row>
      <xdr:rowOff>154305</xdr:rowOff>
    </xdr:to>
    <xdr:sp macro="" textlink="">
      <xdr:nvSpPr>
        <xdr:cNvPr id="22" name="ホームベース 12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 bwMode="auto">
        <a:xfrm>
          <a:off x="1924050" y="13192125"/>
          <a:ext cx="942975" cy="29718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15</xdr:col>
      <xdr:colOff>28576</xdr:colOff>
      <xdr:row>71</xdr:row>
      <xdr:rowOff>47625</xdr:rowOff>
    </xdr:from>
    <xdr:to>
      <xdr:col>17</xdr:col>
      <xdr:colOff>76200</xdr:colOff>
      <xdr:row>72</xdr:row>
      <xdr:rowOff>154305</xdr:rowOff>
    </xdr:to>
    <xdr:sp macro="" textlink="">
      <xdr:nvSpPr>
        <xdr:cNvPr id="24" name="ホームベース 12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 bwMode="auto">
        <a:xfrm>
          <a:off x="3028951" y="13573125"/>
          <a:ext cx="447674" cy="29718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17</xdr:col>
      <xdr:colOff>190500</xdr:colOff>
      <xdr:row>73</xdr:row>
      <xdr:rowOff>47625</xdr:rowOff>
    </xdr:from>
    <xdr:to>
      <xdr:col>21</xdr:col>
      <xdr:colOff>0</xdr:colOff>
      <xdr:row>74</xdr:row>
      <xdr:rowOff>154305</xdr:rowOff>
    </xdr:to>
    <xdr:sp macro="" textlink="">
      <xdr:nvSpPr>
        <xdr:cNvPr id="27" name="ホームベース 12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 bwMode="auto">
        <a:xfrm>
          <a:off x="3590925" y="13954125"/>
          <a:ext cx="609600" cy="29718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5"/>
  <sheetViews>
    <sheetView showGridLines="0" tabSelected="1" view="pageBreakPreview" topLeftCell="A31" zoomScaleNormal="100" zoomScaleSheetLayoutView="100" workbookViewId="0">
      <selection activeCell="E36" sqref="E36:E37"/>
    </sheetView>
  </sheetViews>
  <sheetFormatPr defaultColWidth="2.54296875" defaultRowHeight="15" customHeight="1" x14ac:dyDescent="0.2"/>
  <cols>
    <col min="1" max="1" width="2.54296875" style="3"/>
    <col min="2" max="2" width="36.54296875" style="4" bestFit="1" customWidth="1"/>
    <col min="3" max="27" width="2.54296875" style="4"/>
    <col min="28" max="28" width="2.54296875" style="4" customWidth="1"/>
    <col min="29" max="16384" width="2.54296875" style="4"/>
  </cols>
  <sheetData>
    <row r="1" spans="1:37" s="1" customFormat="1" ht="15" customHeight="1" x14ac:dyDescent="0.2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Y1" s="9" t="s">
        <v>1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10" t="s">
        <v>2</v>
      </c>
      <c r="AK1" s="4"/>
    </row>
    <row r="2" spans="1:37" s="1" customFormat="1" ht="15" customHeight="1" x14ac:dyDescent="0.2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Y2" s="11" t="s">
        <v>3</v>
      </c>
      <c r="Z2" s="11"/>
      <c r="AA2" s="11"/>
      <c r="AB2" s="11"/>
      <c r="AC2" s="11"/>
      <c r="AD2" s="11"/>
      <c r="AE2" s="11"/>
      <c r="AF2" s="79"/>
      <c r="AG2" s="80"/>
      <c r="AH2" s="80"/>
      <c r="AI2" s="80"/>
      <c r="AJ2" s="80"/>
      <c r="AK2" s="4"/>
    </row>
    <row r="3" spans="1:37" s="1" customFormat="1" ht="15" customHeight="1" x14ac:dyDescent="0.2">
      <c r="A3" s="2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s="1" customFormat="1" ht="15" customHeight="1" x14ac:dyDescent="0.2">
      <c r="A4" s="2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s="1" customFormat="1" ht="15" customHeight="1" x14ac:dyDescent="0.2">
      <c r="A5" s="81" t="s">
        <v>4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s="1" customFormat="1" ht="15" customHeight="1" x14ac:dyDescent="0.2">
      <c r="A6" s="82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s="1" customFormat="1" ht="15" customHeight="1" x14ac:dyDescent="0.2">
      <c r="A7" s="2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s="1" customFormat="1" ht="15" customHeight="1" x14ac:dyDescent="0.2">
      <c r="A8" s="2"/>
      <c r="Y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s="1" customFormat="1" ht="15" customHeight="1" x14ac:dyDescent="0.2">
      <c r="A9" s="83" t="s">
        <v>5</v>
      </c>
      <c r="B9" s="83"/>
      <c r="C9" s="83"/>
      <c r="D9" s="83"/>
      <c r="E9" s="83"/>
      <c r="F9" s="85">
        <f>AE40</f>
        <v>615000</v>
      </c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Y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s="1" customFormat="1" ht="15" customHeight="1" x14ac:dyDescent="0.2">
      <c r="A10" s="84"/>
      <c r="B10" s="84"/>
      <c r="C10" s="84"/>
      <c r="D10" s="84"/>
      <c r="E10" s="84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Y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s="1" customFormat="1" ht="15" customHeight="1" x14ac:dyDescent="0.2">
      <c r="A11" s="2"/>
    </row>
    <row r="12" spans="1:37" s="1" customFormat="1" ht="15" customHeight="1" x14ac:dyDescent="0.2">
      <c r="A12" s="2"/>
    </row>
    <row r="13" spans="1:37" ht="15" customHeight="1" x14ac:dyDescent="0.2">
      <c r="A13" s="3" t="s">
        <v>6</v>
      </c>
    </row>
    <row r="15" spans="1:37" ht="15" customHeight="1" x14ac:dyDescent="0.2">
      <c r="B15" s="51" t="s">
        <v>7</v>
      </c>
    </row>
    <row r="17" spans="1:16" ht="15" customHeight="1" x14ac:dyDescent="0.2">
      <c r="A17" s="4"/>
    </row>
    <row r="18" spans="1:16" ht="15" customHeight="1" x14ac:dyDescent="0.2">
      <c r="A18" s="3" t="s">
        <v>8</v>
      </c>
      <c r="P18" s="3"/>
    </row>
    <row r="19" spans="1:16" ht="15" customHeight="1" x14ac:dyDescent="0.2">
      <c r="A19" s="4"/>
    </row>
    <row r="20" spans="1:16" ht="15" customHeight="1" x14ac:dyDescent="0.2">
      <c r="A20" s="4"/>
      <c r="B20" s="4" t="s">
        <v>9</v>
      </c>
    </row>
    <row r="21" spans="1:16" ht="15" customHeight="1" x14ac:dyDescent="0.2">
      <c r="A21" s="4"/>
    </row>
    <row r="22" spans="1:16" ht="15" customHeight="1" x14ac:dyDescent="0.2">
      <c r="A22" s="4"/>
    </row>
    <row r="23" spans="1:16" ht="15" customHeight="1" x14ac:dyDescent="0.2">
      <c r="A23" s="3" t="s">
        <v>10</v>
      </c>
    </row>
    <row r="24" spans="1:16" ht="15" customHeight="1" x14ac:dyDescent="0.2">
      <c r="A24" s="4"/>
    </row>
    <row r="25" spans="1:16" ht="15" customHeight="1" x14ac:dyDescent="0.2">
      <c r="A25" s="4"/>
      <c r="B25" s="4" t="s">
        <v>11</v>
      </c>
    </row>
    <row r="26" spans="1:16" ht="15" customHeight="1" x14ac:dyDescent="0.2">
      <c r="A26" s="4"/>
    </row>
    <row r="27" spans="1:16" ht="15" customHeight="1" x14ac:dyDescent="0.2">
      <c r="A27" s="4"/>
    </row>
    <row r="28" spans="1:16" ht="15" customHeight="1" x14ac:dyDescent="0.2">
      <c r="A28" s="3" t="s">
        <v>12</v>
      </c>
    </row>
    <row r="30" spans="1:16" ht="15" customHeight="1" x14ac:dyDescent="0.2">
      <c r="A30" s="4"/>
      <c r="B30" s="4" t="s">
        <v>13</v>
      </c>
    </row>
    <row r="31" spans="1:16" ht="15" customHeight="1" x14ac:dyDescent="0.2">
      <c r="A31" s="4"/>
    </row>
    <row r="32" spans="1:16" ht="15" customHeight="1" x14ac:dyDescent="0.2">
      <c r="A32" s="4"/>
    </row>
    <row r="33" spans="1:36" ht="15" customHeight="1" x14ac:dyDescent="0.2">
      <c r="A33" s="3" t="s">
        <v>14</v>
      </c>
    </row>
    <row r="34" spans="1:36" ht="15" customHeight="1" x14ac:dyDescent="0.2">
      <c r="A34" s="4"/>
    </row>
    <row r="35" spans="1:36" ht="15" customHeight="1" x14ac:dyDescent="0.2">
      <c r="A35" s="4"/>
      <c r="B35" s="5" t="s">
        <v>15</v>
      </c>
      <c r="C35" s="6"/>
      <c r="D35" s="77" t="s">
        <v>16</v>
      </c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5" t="s">
        <v>17</v>
      </c>
      <c r="AF35" s="7"/>
      <c r="AG35" s="7"/>
      <c r="AH35" s="7"/>
      <c r="AI35" s="7"/>
      <c r="AJ35" s="6"/>
    </row>
    <row r="36" spans="1:36" ht="15" customHeight="1" x14ac:dyDescent="0.2">
      <c r="A36" s="4"/>
      <c r="B36" s="68">
        <v>1</v>
      </c>
      <c r="C36" s="69"/>
      <c r="D36" s="43" t="s">
        <v>18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40"/>
      <c r="AE36" s="70">
        <v>250000</v>
      </c>
      <c r="AF36" s="71"/>
      <c r="AG36" s="71"/>
      <c r="AH36" s="71"/>
      <c r="AI36" s="71"/>
      <c r="AJ36" s="72"/>
    </row>
    <row r="37" spans="1:36" ht="15" customHeight="1" x14ac:dyDescent="0.2">
      <c r="A37" s="4"/>
      <c r="B37" s="68">
        <v>3</v>
      </c>
      <c r="C37" s="69"/>
      <c r="D37" s="43" t="s">
        <v>19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40"/>
      <c r="AE37" s="70">
        <v>75000</v>
      </c>
      <c r="AF37" s="71"/>
      <c r="AG37" s="71"/>
      <c r="AH37" s="71"/>
      <c r="AI37" s="71"/>
      <c r="AJ37" s="72"/>
    </row>
    <row r="38" spans="1:36" ht="15" customHeight="1" x14ac:dyDescent="0.2">
      <c r="A38" s="4"/>
      <c r="B38" s="68">
        <v>4</v>
      </c>
      <c r="C38" s="69"/>
      <c r="D38" s="43" t="s">
        <v>20</v>
      </c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40"/>
      <c r="AE38" s="70">
        <v>150000</v>
      </c>
      <c r="AF38" s="71"/>
      <c r="AG38" s="71"/>
      <c r="AH38" s="71"/>
      <c r="AI38" s="71"/>
      <c r="AJ38" s="72"/>
    </row>
    <row r="39" spans="1:36" ht="15" customHeight="1" x14ac:dyDescent="0.2">
      <c r="A39" s="4"/>
      <c r="B39" s="68">
        <v>5</v>
      </c>
      <c r="C39" s="69"/>
      <c r="D39" s="43" t="s">
        <v>21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2"/>
      <c r="AE39" s="70">
        <v>140000</v>
      </c>
      <c r="AF39" s="71"/>
      <c r="AG39" s="71"/>
      <c r="AH39" s="71"/>
      <c r="AI39" s="71"/>
      <c r="AJ39" s="72"/>
    </row>
    <row r="40" spans="1:36" ht="15" customHeight="1" x14ac:dyDescent="0.2">
      <c r="A40" s="4"/>
      <c r="B40" s="73" t="s">
        <v>22</v>
      </c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5"/>
      <c r="AE40" s="76">
        <f>SUM(AE33:AJ39)</f>
        <v>615000</v>
      </c>
      <c r="AF40" s="76"/>
      <c r="AG40" s="76"/>
      <c r="AH40" s="76"/>
      <c r="AI40" s="76"/>
      <c r="AJ40" s="76"/>
    </row>
    <row r="41" spans="1:36" ht="15" customHeight="1" x14ac:dyDescent="0.2">
      <c r="A41" s="4"/>
      <c r="AB41" s="13"/>
    </row>
    <row r="42" spans="1:36" ht="15" customHeight="1" x14ac:dyDescent="0.2">
      <c r="A42" s="4"/>
      <c r="AB42" s="13"/>
    </row>
    <row r="43" spans="1:36" ht="15" customHeight="1" x14ac:dyDescent="0.2">
      <c r="A43" s="3" t="s">
        <v>23</v>
      </c>
    </row>
    <row r="45" spans="1:36" ht="15" customHeight="1" x14ac:dyDescent="0.2">
      <c r="A45" s="4"/>
      <c r="B45" s="44" t="s">
        <v>24</v>
      </c>
      <c r="C45" s="4" t="s">
        <v>25</v>
      </c>
      <c r="K45" s="44" t="s">
        <v>24</v>
      </c>
      <c r="L45" s="4" t="s">
        <v>26</v>
      </c>
    </row>
    <row r="46" spans="1:36" ht="15" customHeight="1" x14ac:dyDescent="0.2">
      <c r="A46" s="4"/>
      <c r="B46" s="44" t="s">
        <v>24</v>
      </c>
      <c r="C46" s="4" t="s">
        <v>27</v>
      </c>
    </row>
    <row r="47" spans="1:36" ht="15" customHeight="1" x14ac:dyDescent="0.2">
      <c r="A47" s="4"/>
    </row>
    <row r="49" spans="1:36" ht="15" customHeight="1" x14ac:dyDescent="0.2">
      <c r="A49" s="4"/>
      <c r="B49" s="8"/>
    </row>
    <row r="50" spans="1:36" ht="15" customHeight="1" x14ac:dyDescent="0.2">
      <c r="A50" s="3" t="s">
        <v>28</v>
      </c>
    </row>
    <row r="52" spans="1:36" ht="15" customHeight="1" x14ac:dyDescent="0.2">
      <c r="B52" s="4" t="s">
        <v>29</v>
      </c>
    </row>
    <row r="53" spans="1:36" ht="15" customHeight="1" x14ac:dyDescent="0.2">
      <c r="A53" s="4"/>
      <c r="B53" s="4" t="s">
        <v>30</v>
      </c>
    </row>
    <row r="54" spans="1:36" ht="15" customHeight="1" x14ac:dyDescent="0.2">
      <c r="A54" s="4"/>
    </row>
    <row r="55" spans="1:36" ht="15" customHeight="1" x14ac:dyDescent="0.2">
      <c r="A55" s="4"/>
      <c r="B55" s="4" t="s">
        <v>31</v>
      </c>
    </row>
    <row r="56" spans="1:36" ht="15" customHeight="1" x14ac:dyDescent="0.2">
      <c r="A56" s="4"/>
      <c r="B56" s="5" t="s">
        <v>15</v>
      </c>
      <c r="C56" s="6"/>
      <c r="D56" s="5" t="s">
        <v>32</v>
      </c>
      <c r="E56" s="7"/>
      <c r="F56" s="7"/>
      <c r="G56" s="7"/>
      <c r="H56" s="6"/>
      <c r="I56" s="5" t="s">
        <v>28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6"/>
    </row>
    <row r="57" spans="1:36" ht="15" customHeight="1" x14ac:dyDescent="0.2">
      <c r="A57" s="4"/>
      <c r="B57" s="54">
        <v>1</v>
      </c>
      <c r="C57" s="55"/>
      <c r="D57" s="15" t="s">
        <v>33</v>
      </c>
      <c r="E57" s="18"/>
      <c r="F57" s="18"/>
      <c r="G57" s="18"/>
      <c r="H57" s="18"/>
      <c r="I57" s="32" t="s">
        <v>34</v>
      </c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4"/>
    </row>
    <row r="58" spans="1:36" ht="15" customHeight="1" x14ac:dyDescent="0.2">
      <c r="A58" s="4"/>
      <c r="B58" s="56"/>
      <c r="C58" s="57"/>
      <c r="D58" s="16"/>
      <c r="E58" s="21"/>
      <c r="F58" s="21"/>
      <c r="G58" s="21"/>
      <c r="H58" s="21"/>
      <c r="I58" s="22" t="s">
        <v>35</v>
      </c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4"/>
    </row>
    <row r="59" spans="1:36" ht="15" customHeight="1" x14ac:dyDescent="0.2">
      <c r="A59" s="4"/>
      <c r="B59" s="54">
        <v>2</v>
      </c>
      <c r="C59" s="55"/>
      <c r="D59" s="45" t="s">
        <v>36</v>
      </c>
      <c r="E59" s="19"/>
      <c r="F59" s="19"/>
      <c r="G59" s="19"/>
      <c r="H59" s="19"/>
      <c r="I59" s="27" t="s">
        <v>37</v>
      </c>
      <c r="AJ59" s="20"/>
    </row>
    <row r="60" spans="1:36" ht="15" customHeight="1" x14ac:dyDescent="0.2">
      <c r="A60" s="4"/>
      <c r="B60" s="56"/>
      <c r="C60" s="57"/>
      <c r="D60" s="16"/>
      <c r="E60" s="21"/>
      <c r="F60" s="21"/>
      <c r="G60" s="21"/>
      <c r="H60" s="21"/>
      <c r="I60" s="27"/>
      <c r="AJ60" s="20"/>
    </row>
    <row r="61" spans="1:36" ht="15" customHeight="1" x14ac:dyDescent="0.2">
      <c r="A61" s="4"/>
      <c r="B61" s="54">
        <v>3</v>
      </c>
      <c r="C61" s="55"/>
      <c r="D61" s="15" t="s">
        <v>38</v>
      </c>
      <c r="E61" s="18"/>
      <c r="F61" s="18"/>
      <c r="G61" s="18"/>
      <c r="H61" s="18"/>
      <c r="I61" s="32" t="s">
        <v>39</v>
      </c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4"/>
    </row>
    <row r="62" spans="1:36" ht="15" customHeight="1" x14ac:dyDescent="0.2">
      <c r="A62" s="4"/>
      <c r="B62" s="56"/>
      <c r="C62" s="57"/>
      <c r="D62" s="16"/>
      <c r="E62" s="21"/>
      <c r="F62" s="21"/>
      <c r="G62" s="21"/>
      <c r="H62" s="21"/>
      <c r="I62" s="22" t="s">
        <v>40</v>
      </c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4"/>
    </row>
    <row r="63" spans="1:36" ht="15" customHeight="1" x14ac:dyDescent="0.2">
      <c r="A63" s="4"/>
      <c r="B63" s="54">
        <v>4</v>
      </c>
      <c r="C63" s="55"/>
      <c r="D63" s="45" t="s">
        <v>41</v>
      </c>
      <c r="E63" s="19"/>
      <c r="F63" s="19"/>
      <c r="G63" s="19"/>
      <c r="H63" s="19"/>
      <c r="I63" s="27" t="s">
        <v>42</v>
      </c>
      <c r="AJ63" s="20"/>
    </row>
    <row r="64" spans="1:36" ht="15" customHeight="1" x14ac:dyDescent="0.2">
      <c r="A64" s="4"/>
      <c r="B64" s="56"/>
      <c r="C64" s="57"/>
      <c r="D64" s="16"/>
      <c r="E64" s="21"/>
      <c r="F64" s="21"/>
      <c r="G64" s="21"/>
      <c r="H64" s="21"/>
      <c r="I64" s="22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4"/>
    </row>
    <row r="65" spans="1:36" ht="15" customHeight="1" x14ac:dyDescent="0.2">
      <c r="A65" s="4"/>
      <c r="C65" s="12"/>
      <c r="J65" s="18"/>
      <c r="K65" s="18"/>
      <c r="AA65" s="35"/>
      <c r="AB65" s="35"/>
      <c r="AC65" s="35"/>
      <c r="AD65" s="35"/>
      <c r="AE65" s="35"/>
      <c r="AF65" s="35"/>
      <c r="AG65" s="35"/>
    </row>
    <row r="67" spans="1:36" ht="15" customHeight="1" x14ac:dyDescent="0.2">
      <c r="A67" s="3" t="s">
        <v>43</v>
      </c>
    </row>
    <row r="69" spans="1:36" ht="15" customHeight="1" x14ac:dyDescent="0.2">
      <c r="B69" s="52" t="s">
        <v>44</v>
      </c>
      <c r="C69" s="53"/>
      <c r="D69" s="53"/>
      <c r="E69" s="53"/>
      <c r="F69" s="36"/>
      <c r="G69" s="36"/>
      <c r="H69" s="36"/>
      <c r="I69" s="37"/>
      <c r="J69" s="46" t="s">
        <v>45</v>
      </c>
      <c r="K69" s="46"/>
      <c r="L69" s="49"/>
      <c r="M69" s="46"/>
      <c r="N69" s="46"/>
      <c r="O69" s="49"/>
      <c r="P69" s="46" t="s">
        <v>46</v>
      </c>
      <c r="Q69" s="46"/>
      <c r="R69" s="49"/>
      <c r="S69" s="46"/>
      <c r="T69" s="46"/>
      <c r="U69" s="49"/>
      <c r="V69" s="46" t="s">
        <v>47</v>
      </c>
      <c r="W69" s="46"/>
      <c r="X69" s="46"/>
      <c r="Y69" s="46"/>
      <c r="Z69" s="46"/>
      <c r="AA69" s="46"/>
      <c r="AB69" s="46" t="s">
        <v>48</v>
      </c>
      <c r="AC69" s="46"/>
      <c r="AD69" s="46"/>
      <c r="AE69" s="46"/>
      <c r="AF69" s="46"/>
      <c r="AG69" s="46"/>
      <c r="AH69" s="46" t="s">
        <v>49</v>
      </c>
      <c r="AI69" s="46"/>
      <c r="AJ69" s="38"/>
    </row>
    <row r="70" spans="1:36" ht="15" customHeight="1" x14ac:dyDescent="0.2">
      <c r="B70" s="15" t="s">
        <v>33</v>
      </c>
      <c r="C70" s="33"/>
      <c r="D70" s="33"/>
      <c r="E70" s="33"/>
      <c r="F70" s="33"/>
      <c r="G70" s="33"/>
      <c r="H70" s="33"/>
      <c r="I70" s="34"/>
      <c r="J70" s="32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4"/>
    </row>
    <row r="71" spans="1:36" ht="15" customHeight="1" x14ac:dyDescent="0.2">
      <c r="B71" s="16"/>
      <c r="C71" s="23"/>
      <c r="D71" s="23"/>
      <c r="E71" s="23"/>
      <c r="F71" s="23"/>
      <c r="G71" s="23"/>
      <c r="H71" s="23"/>
      <c r="I71" s="24"/>
      <c r="J71" s="22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4"/>
    </row>
    <row r="72" spans="1:36" ht="15" customHeight="1" x14ac:dyDescent="0.2">
      <c r="B72" s="45" t="s">
        <v>36</v>
      </c>
      <c r="I72" s="20"/>
      <c r="J72" s="27"/>
      <c r="AJ72" s="20"/>
    </row>
    <row r="73" spans="1:36" ht="15" customHeight="1" x14ac:dyDescent="0.2">
      <c r="B73" s="16"/>
      <c r="I73" s="20"/>
      <c r="J73" s="27"/>
      <c r="AJ73" s="20"/>
    </row>
    <row r="74" spans="1:36" ht="15" customHeight="1" x14ac:dyDescent="0.2">
      <c r="B74" s="45" t="s">
        <v>50</v>
      </c>
      <c r="C74" s="33"/>
      <c r="D74" s="33"/>
      <c r="E74" s="33"/>
      <c r="F74" s="33"/>
      <c r="G74" s="33"/>
      <c r="H74" s="33"/>
      <c r="I74" s="34"/>
      <c r="J74" s="32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4"/>
    </row>
    <row r="75" spans="1:36" ht="15" customHeight="1" x14ac:dyDescent="0.2">
      <c r="B75" s="16"/>
      <c r="C75" s="23"/>
      <c r="D75" s="23"/>
      <c r="E75" s="23"/>
      <c r="F75" s="23"/>
      <c r="G75" s="23"/>
      <c r="H75" s="23"/>
      <c r="I75" s="24"/>
      <c r="J75" s="22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4"/>
    </row>
    <row r="76" spans="1:36" ht="15" customHeight="1" x14ac:dyDescent="0.2">
      <c r="A76" s="4"/>
      <c r="I76" s="25"/>
      <c r="J76" s="25"/>
      <c r="K76" s="25"/>
      <c r="L76" s="25"/>
      <c r="M76" s="25"/>
      <c r="N76" s="25"/>
      <c r="O76" s="25"/>
      <c r="P76" s="25"/>
      <c r="Q76" s="25"/>
      <c r="R76" s="25"/>
      <c r="V76" s="25"/>
      <c r="AA76" s="25"/>
      <c r="AB76" s="25"/>
    </row>
    <row r="78" spans="1:36" ht="15" customHeight="1" x14ac:dyDescent="0.2">
      <c r="A78" s="4"/>
      <c r="V78" s="14"/>
    </row>
    <row r="79" spans="1:36" ht="15" customHeight="1" x14ac:dyDescent="0.2">
      <c r="A79" s="3" t="s">
        <v>51</v>
      </c>
    </row>
    <row r="80" spans="1:36" ht="15" customHeight="1" thickBot="1" x14ac:dyDescent="0.25">
      <c r="A80" s="4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</row>
    <row r="81" spans="1:33" ht="15" customHeight="1" x14ac:dyDescent="0.2">
      <c r="C81" s="60" t="s">
        <v>52</v>
      </c>
      <c r="D81" s="61"/>
      <c r="E81" s="61"/>
      <c r="F81" s="61"/>
      <c r="G81" s="61"/>
      <c r="H81" s="62"/>
      <c r="I81" s="28"/>
      <c r="J81" s="28"/>
      <c r="K81" s="28"/>
      <c r="L81" s="28"/>
      <c r="M81" s="60" t="s">
        <v>53</v>
      </c>
      <c r="N81" s="61"/>
      <c r="O81" s="61"/>
      <c r="P81" s="61"/>
      <c r="Q81" s="61"/>
      <c r="R81" s="62"/>
      <c r="S81" s="29"/>
      <c r="T81" s="28"/>
      <c r="U81" s="50"/>
      <c r="V81" s="30"/>
      <c r="W81" s="60" t="s">
        <v>54</v>
      </c>
      <c r="X81" s="61"/>
      <c r="Y81" s="61"/>
      <c r="Z81" s="61"/>
      <c r="AA81" s="61"/>
      <c r="AB81" s="62"/>
      <c r="AC81" s="25"/>
      <c r="AD81" s="25"/>
      <c r="AE81" s="25"/>
      <c r="AF81" s="25"/>
      <c r="AG81" s="25"/>
    </row>
    <row r="82" spans="1:33" ht="15" customHeight="1" x14ac:dyDescent="0.2">
      <c r="C82" s="63"/>
      <c r="D82" s="59"/>
      <c r="E82" s="59"/>
      <c r="F82" s="59"/>
      <c r="G82" s="59"/>
      <c r="H82" s="64"/>
      <c r="I82" s="1"/>
      <c r="J82" s="1"/>
      <c r="K82" s="31"/>
      <c r="L82" s="17"/>
      <c r="M82" s="63"/>
      <c r="N82" s="59"/>
      <c r="O82" s="59"/>
      <c r="P82" s="59"/>
      <c r="Q82" s="59"/>
      <c r="R82" s="64"/>
      <c r="S82" s="1"/>
      <c r="T82" s="1"/>
      <c r="U82" s="1"/>
      <c r="V82" s="1"/>
      <c r="W82" s="63"/>
      <c r="X82" s="59"/>
      <c r="Y82" s="59"/>
      <c r="Z82" s="59"/>
      <c r="AA82" s="59"/>
      <c r="AB82" s="64"/>
      <c r="AC82" s="25"/>
      <c r="AD82" s="25"/>
      <c r="AE82" s="25"/>
      <c r="AF82" s="25"/>
      <c r="AG82" s="25"/>
    </row>
    <row r="83" spans="1:33" ht="15" customHeight="1" thickBot="1" x14ac:dyDescent="0.25">
      <c r="A83" s="4"/>
      <c r="C83" s="65"/>
      <c r="D83" s="66"/>
      <c r="E83" s="66"/>
      <c r="F83" s="66"/>
      <c r="G83" s="66"/>
      <c r="H83" s="67"/>
      <c r="I83" s="1"/>
      <c r="J83" s="1"/>
      <c r="K83" s="1"/>
      <c r="L83" s="1"/>
      <c r="M83" s="65"/>
      <c r="N83" s="66"/>
      <c r="O83" s="66"/>
      <c r="P83" s="66"/>
      <c r="Q83" s="66"/>
      <c r="R83" s="67"/>
      <c r="S83" s="1"/>
      <c r="T83" s="1"/>
      <c r="U83" s="1"/>
      <c r="V83" s="1"/>
      <c r="W83" s="65"/>
      <c r="X83" s="66"/>
      <c r="Y83" s="66"/>
      <c r="Z83" s="66"/>
      <c r="AA83" s="66"/>
      <c r="AB83" s="67"/>
      <c r="AC83" s="25"/>
      <c r="AD83" s="25"/>
      <c r="AE83" s="25"/>
      <c r="AF83" s="25"/>
      <c r="AG83" s="25"/>
    </row>
    <row r="84" spans="1:33" ht="15" customHeight="1" x14ac:dyDescent="0.2">
      <c r="A84" s="4"/>
      <c r="I84" s="25"/>
      <c r="J84" s="25"/>
      <c r="K84" s="25"/>
      <c r="L84" s="25"/>
      <c r="M84" s="25"/>
      <c r="N84" s="25"/>
      <c r="O84" s="25"/>
      <c r="P84" s="47"/>
      <c r="Q84" s="25"/>
      <c r="R84" s="25"/>
      <c r="S84" s="25"/>
      <c r="T84" s="25"/>
      <c r="U84" s="1"/>
      <c r="V84" s="1"/>
      <c r="W84" s="1"/>
      <c r="X84" s="1"/>
      <c r="Y84" s="1"/>
      <c r="Z84" s="1"/>
      <c r="AA84" s="1"/>
      <c r="AB84" s="1"/>
      <c r="AC84" s="25"/>
      <c r="AD84" s="25"/>
      <c r="AE84" s="25"/>
      <c r="AF84" s="25"/>
      <c r="AG84" s="25"/>
    </row>
    <row r="85" spans="1:33" ht="15" customHeight="1" x14ac:dyDescent="0.2">
      <c r="A85" s="4"/>
      <c r="I85" s="25"/>
      <c r="J85" s="25"/>
      <c r="K85" s="25"/>
      <c r="L85" s="25"/>
      <c r="M85" s="60" t="s">
        <v>55</v>
      </c>
      <c r="N85" s="61"/>
      <c r="O85" s="61"/>
      <c r="P85" s="61"/>
      <c r="Q85" s="61"/>
      <c r="R85" s="62"/>
      <c r="S85" s="25"/>
      <c r="T85" s="25"/>
      <c r="U85" s="25"/>
      <c r="V85" s="25"/>
    </row>
    <row r="86" spans="1:33" ht="15" customHeight="1" x14ac:dyDescent="0.2">
      <c r="M86" s="65"/>
      <c r="N86" s="66"/>
      <c r="O86" s="66"/>
      <c r="P86" s="66"/>
      <c r="Q86" s="66"/>
      <c r="R86" s="67"/>
    </row>
    <row r="88" spans="1:33" ht="15" customHeight="1" x14ac:dyDescent="0.2">
      <c r="A88" s="4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1"/>
      <c r="V88" s="1"/>
      <c r="W88" s="58"/>
      <c r="X88" s="59"/>
      <c r="Y88" s="59"/>
      <c r="Z88" s="59"/>
      <c r="AA88" s="59"/>
      <c r="AB88" s="59"/>
      <c r="AC88" s="25"/>
      <c r="AD88" s="25"/>
      <c r="AE88" s="25"/>
      <c r="AF88" s="25"/>
      <c r="AG88" s="25"/>
    </row>
    <row r="89" spans="1:33" ht="15" customHeight="1" x14ac:dyDescent="0.2">
      <c r="U89" s="1"/>
      <c r="V89" s="1"/>
      <c r="W89" s="59"/>
      <c r="X89" s="59"/>
      <c r="Y89" s="59"/>
      <c r="Z89" s="59"/>
      <c r="AA89" s="59"/>
      <c r="AB89" s="59"/>
    </row>
    <row r="90" spans="1:33" ht="15" customHeight="1" x14ac:dyDescent="0.2">
      <c r="C90" s="4" t="s">
        <v>56</v>
      </c>
    </row>
    <row r="91" spans="1:33" ht="15" customHeight="1" x14ac:dyDescent="0.2">
      <c r="A91" s="4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</row>
    <row r="92" spans="1:33" ht="15" customHeight="1" x14ac:dyDescent="0.2">
      <c r="A92" s="3" t="s">
        <v>57</v>
      </c>
    </row>
    <row r="94" spans="1:33" ht="15" customHeight="1" x14ac:dyDescent="0.2">
      <c r="B94" s="4" t="s">
        <v>58</v>
      </c>
    </row>
    <row r="95" spans="1:33" ht="15" customHeight="1" x14ac:dyDescent="0.2">
      <c r="C95" s="4" t="s">
        <v>59</v>
      </c>
    </row>
    <row r="96" spans="1:33" ht="15" customHeight="1" x14ac:dyDescent="0.2">
      <c r="B96" s="26" t="s">
        <v>60</v>
      </c>
      <c r="C96" s="48"/>
    </row>
    <row r="97" spans="1:4" ht="15" customHeight="1" x14ac:dyDescent="0.2">
      <c r="B97" s="4" t="s">
        <v>61</v>
      </c>
    </row>
    <row r="98" spans="1:4" ht="15" customHeight="1" x14ac:dyDescent="0.2">
      <c r="C98" s="4" t="s">
        <v>62</v>
      </c>
    </row>
    <row r="99" spans="1:4" ht="15" customHeight="1" x14ac:dyDescent="0.2">
      <c r="B99" s="26" t="s">
        <v>60</v>
      </c>
      <c r="C99" s="48"/>
    </row>
    <row r="100" spans="1:4" ht="15" customHeight="1" x14ac:dyDescent="0.2">
      <c r="B100" s="4" t="s">
        <v>63</v>
      </c>
      <c r="C100" s="26"/>
    </row>
    <row r="101" spans="1:4" ht="15" customHeight="1" x14ac:dyDescent="0.2">
      <c r="C101" s="26" t="s">
        <v>64</v>
      </c>
    </row>
    <row r="102" spans="1:4" ht="15" customHeight="1" x14ac:dyDescent="0.2">
      <c r="C102" s="4" t="s">
        <v>65</v>
      </c>
    </row>
    <row r="104" spans="1:4" ht="15" customHeight="1" x14ac:dyDescent="0.2">
      <c r="A104" s="4"/>
      <c r="B104" s="4" t="s">
        <v>66</v>
      </c>
    </row>
    <row r="105" spans="1:4" ht="15" customHeight="1" x14ac:dyDescent="0.2">
      <c r="A105" s="4"/>
      <c r="C105" s="4" t="s">
        <v>67</v>
      </c>
    </row>
    <row r="106" spans="1:4" ht="15" customHeight="1" x14ac:dyDescent="0.2">
      <c r="A106" s="4"/>
      <c r="C106" s="4" t="s">
        <v>68</v>
      </c>
    </row>
    <row r="107" spans="1:4" ht="15" customHeight="1" x14ac:dyDescent="0.2">
      <c r="A107" s="4"/>
    </row>
    <row r="108" spans="1:4" ht="15" customHeight="1" x14ac:dyDescent="0.2">
      <c r="B108" s="4" t="s">
        <v>69</v>
      </c>
    </row>
    <row r="109" spans="1:4" ht="15" customHeight="1" x14ac:dyDescent="0.2">
      <c r="C109" s="4" t="s">
        <v>70</v>
      </c>
    </row>
    <row r="110" spans="1:4" ht="15" customHeight="1" x14ac:dyDescent="0.2">
      <c r="C110" s="4" t="s">
        <v>71</v>
      </c>
    </row>
    <row r="111" spans="1:4" ht="15" customHeight="1" x14ac:dyDescent="0.2">
      <c r="D111" s="4" t="s">
        <v>72</v>
      </c>
    </row>
    <row r="112" spans="1:4" ht="15" customHeight="1" x14ac:dyDescent="0.2">
      <c r="D112" s="4" t="s">
        <v>73</v>
      </c>
    </row>
    <row r="114" spans="2:3" ht="15" customHeight="1" x14ac:dyDescent="0.2">
      <c r="B114" s="4" t="s">
        <v>74</v>
      </c>
    </row>
    <row r="115" spans="2:3" ht="15" customHeight="1" x14ac:dyDescent="0.2">
      <c r="C115" s="4" t="s">
        <v>75</v>
      </c>
    </row>
    <row r="116" spans="2:3" ht="15" customHeight="1" x14ac:dyDescent="0.2">
      <c r="C116" s="4" t="s">
        <v>76</v>
      </c>
    </row>
    <row r="118" spans="2:3" ht="15" customHeight="1" x14ac:dyDescent="0.2">
      <c r="B118" s="4" t="s">
        <v>77</v>
      </c>
    </row>
    <row r="119" spans="2:3" ht="15" customHeight="1" x14ac:dyDescent="0.2">
      <c r="C119" s="4" t="s">
        <v>78</v>
      </c>
    </row>
    <row r="120" spans="2:3" ht="15" customHeight="1" x14ac:dyDescent="0.2">
      <c r="C120" s="4" t="s">
        <v>79</v>
      </c>
    </row>
    <row r="121" spans="2:3" ht="15" customHeight="1" x14ac:dyDescent="0.2">
      <c r="C121" s="4" t="s">
        <v>80</v>
      </c>
    </row>
    <row r="122" spans="2:3" ht="15" customHeight="1" x14ac:dyDescent="0.2">
      <c r="C122" s="4" t="s">
        <v>81</v>
      </c>
    </row>
    <row r="123" spans="2:3" ht="15" customHeight="1" x14ac:dyDescent="0.2">
      <c r="C123" s="26"/>
    </row>
    <row r="124" spans="2:3" ht="15" customHeight="1" x14ac:dyDescent="0.2">
      <c r="C124" s="26"/>
    </row>
    <row r="125" spans="2:3" ht="15" customHeight="1" x14ac:dyDescent="0.2">
      <c r="C125" s="26"/>
    </row>
  </sheetData>
  <mergeCells count="26">
    <mergeCell ref="D35:AD35"/>
    <mergeCell ref="A1:Q2"/>
    <mergeCell ref="AF2:AJ2"/>
    <mergeCell ref="A5:Q6"/>
    <mergeCell ref="A9:E10"/>
    <mergeCell ref="F9:Q10"/>
    <mergeCell ref="B37:C37"/>
    <mergeCell ref="AE37:AJ37"/>
    <mergeCell ref="B36:C36"/>
    <mergeCell ref="AE36:AJ36"/>
    <mergeCell ref="B40:AD40"/>
    <mergeCell ref="AE40:AJ40"/>
    <mergeCell ref="B38:C38"/>
    <mergeCell ref="AE38:AJ38"/>
    <mergeCell ref="B39:C39"/>
    <mergeCell ref="AE39:AJ39"/>
    <mergeCell ref="W88:AB89"/>
    <mergeCell ref="C81:H83"/>
    <mergeCell ref="M81:R83"/>
    <mergeCell ref="W81:AB83"/>
    <mergeCell ref="M85:R86"/>
    <mergeCell ref="B69:E69"/>
    <mergeCell ref="B63:C64"/>
    <mergeCell ref="B57:C58"/>
    <mergeCell ref="B59:C60"/>
    <mergeCell ref="B61:C62"/>
  </mergeCells>
  <phoneticPr fontId="3"/>
  <printOptions horizontalCentered="1"/>
  <pageMargins left="0.39370078740157483" right="0.39370078740157483" top="0.78740157480314965" bottom="0.39370078740157483" header="0.31496062992125984" footer="0.31496062992125984"/>
  <pageSetup paperSize="9" orientation="portrait" r:id="rId1"/>
  <headerFooter>
    <oddFooter>&amp;C&amp;10&amp;P / &amp;N</oddFooter>
  </headerFooter>
  <rowBreaks count="2" manualBreakCount="2">
    <brk id="49" max="35" man="1"/>
    <brk id="91" max="3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64"/>
  <sheetViews>
    <sheetView showGridLines="0" view="pageBreakPreview" topLeftCell="A26" zoomScaleNormal="100" zoomScaleSheetLayoutView="100" workbookViewId="0">
      <selection activeCell="AT45" sqref="AT45"/>
    </sheetView>
  </sheetViews>
  <sheetFormatPr defaultColWidth="2.54296875" defaultRowHeight="15" customHeight="1" x14ac:dyDescent="0.2"/>
  <cols>
    <col min="1" max="1" width="2.54296875" style="3"/>
    <col min="2" max="27" width="2.54296875" style="4"/>
    <col min="28" max="28" width="2.54296875" style="4" customWidth="1"/>
    <col min="29" max="45" width="2.54296875" style="4"/>
    <col min="46" max="46" width="5.453125" style="4" customWidth="1"/>
    <col min="47" max="16384" width="2.54296875" style="4"/>
  </cols>
  <sheetData>
    <row r="1" spans="1:37" s="1" customFormat="1" ht="15" customHeight="1" x14ac:dyDescent="0.2">
      <c r="A1" s="78" t="s">
        <v>82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Y1" s="9" t="s">
        <v>1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10" t="s">
        <v>2</v>
      </c>
      <c r="AK1" s="4"/>
    </row>
    <row r="2" spans="1:37" s="1" customFormat="1" ht="15" customHeight="1" x14ac:dyDescent="0.2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Y2" s="11" t="s">
        <v>3</v>
      </c>
      <c r="Z2" s="11"/>
      <c r="AA2" s="11"/>
      <c r="AB2" s="11"/>
      <c r="AC2" s="11"/>
      <c r="AD2" s="11"/>
      <c r="AE2" s="11"/>
      <c r="AF2" s="79"/>
      <c r="AG2" s="80"/>
      <c r="AH2" s="80"/>
      <c r="AI2" s="80"/>
      <c r="AJ2" s="80"/>
      <c r="AK2" s="4"/>
    </row>
    <row r="3" spans="1:37" s="1" customFormat="1" ht="15" customHeight="1" x14ac:dyDescent="0.2">
      <c r="A3" s="2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s="1" customFormat="1" ht="15" customHeight="1" x14ac:dyDescent="0.2">
      <c r="A4" s="2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s="1" customFormat="1" ht="15" customHeight="1" x14ac:dyDescent="0.2">
      <c r="A5" s="81" t="s">
        <v>4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s="1" customFormat="1" ht="15" customHeight="1" x14ac:dyDescent="0.2">
      <c r="A6" s="82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s="1" customFormat="1" ht="15" customHeight="1" x14ac:dyDescent="0.2">
      <c r="A7" s="2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s="1" customFormat="1" ht="15" customHeight="1" x14ac:dyDescent="0.2">
      <c r="A8" s="2"/>
      <c r="Y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s="1" customFormat="1" ht="15" customHeight="1" x14ac:dyDescent="0.2">
      <c r="A9" s="83" t="s">
        <v>5</v>
      </c>
      <c r="B9" s="83"/>
      <c r="C9" s="83"/>
      <c r="D9" s="83"/>
      <c r="E9" s="83"/>
      <c r="F9" s="85">
        <f>AE43</f>
        <v>615000</v>
      </c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Y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s="1" customFormat="1" ht="15" customHeight="1" x14ac:dyDescent="0.2">
      <c r="A10" s="84"/>
      <c r="B10" s="84"/>
      <c r="C10" s="84"/>
      <c r="D10" s="84"/>
      <c r="E10" s="84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Y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s="1" customFormat="1" ht="15" customHeight="1" x14ac:dyDescent="0.2">
      <c r="A11" s="2"/>
    </row>
    <row r="12" spans="1:37" s="1" customFormat="1" ht="15" customHeight="1" x14ac:dyDescent="0.2">
      <c r="A12" s="2"/>
    </row>
    <row r="13" spans="1:37" ht="15" customHeight="1" x14ac:dyDescent="0.2">
      <c r="A13" s="3" t="s">
        <v>6</v>
      </c>
    </row>
    <row r="15" spans="1:37" ht="15" customHeight="1" x14ac:dyDescent="0.2">
      <c r="B15" s="4" t="str">
        <f>'御見積詳細書 (顧客用)'!B15</f>
        <v>次世代研SWAN薬品管理機能移行に伴うデータ連携処理作成対応(SWAN-CRIS)簡略版対応</v>
      </c>
    </row>
    <row r="17" spans="1:16" ht="15" customHeight="1" x14ac:dyDescent="0.2">
      <c r="A17" s="4"/>
    </row>
    <row r="18" spans="1:16" ht="15" customHeight="1" x14ac:dyDescent="0.2">
      <c r="A18" s="3" t="s">
        <v>8</v>
      </c>
      <c r="P18" s="3"/>
    </row>
    <row r="19" spans="1:16" ht="15" customHeight="1" x14ac:dyDescent="0.2">
      <c r="A19" s="4"/>
    </row>
    <row r="20" spans="1:16" ht="15" customHeight="1" x14ac:dyDescent="0.2">
      <c r="A20" s="4"/>
      <c r="B20" s="4" t="s">
        <v>9</v>
      </c>
    </row>
    <row r="21" spans="1:16" ht="15" customHeight="1" x14ac:dyDescent="0.2">
      <c r="A21" s="4"/>
    </row>
    <row r="22" spans="1:16" ht="15" customHeight="1" x14ac:dyDescent="0.2">
      <c r="A22" s="4"/>
    </row>
    <row r="23" spans="1:16" ht="15" customHeight="1" x14ac:dyDescent="0.2">
      <c r="A23" s="3" t="s">
        <v>10</v>
      </c>
    </row>
    <row r="24" spans="1:16" ht="15" customHeight="1" x14ac:dyDescent="0.2">
      <c r="A24" s="4"/>
    </row>
    <row r="25" spans="1:16" ht="15" customHeight="1" x14ac:dyDescent="0.2">
      <c r="A25" s="4"/>
      <c r="B25" s="4" t="s">
        <v>11</v>
      </c>
    </row>
    <row r="26" spans="1:16" ht="15" customHeight="1" x14ac:dyDescent="0.2">
      <c r="A26" s="4"/>
    </row>
    <row r="27" spans="1:16" ht="15" customHeight="1" x14ac:dyDescent="0.2">
      <c r="A27" s="4"/>
    </row>
    <row r="28" spans="1:16" ht="15" customHeight="1" x14ac:dyDescent="0.2">
      <c r="A28" s="3" t="s">
        <v>12</v>
      </c>
    </row>
    <row r="30" spans="1:16" ht="15" customHeight="1" x14ac:dyDescent="0.2">
      <c r="A30" s="4"/>
      <c r="B30" s="4" t="str">
        <f>'御見積詳細書 (顧客用)'!B30</f>
        <v>1か月弱想定</v>
      </c>
    </row>
    <row r="31" spans="1:16" ht="15" customHeight="1" x14ac:dyDescent="0.2">
      <c r="A31" s="4"/>
    </row>
    <row r="32" spans="1:16" ht="15" customHeight="1" x14ac:dyDescent="0.2">
      <c r="A32" s="4"/>
    </row>
    <row r="33" spans="1:49" ht="15" customHeight="1" x14ac:dyDescent="0.2">
      <c r="A33" s="3" t="s">
        <v>14</v>
      </c>
    </row>
    <row r="34" spans="1:49" ht="15" customHeight="1" x14ac:dyDescent="0.2">
      <c r="A34" s="4"/>
    </row>
    <row r="35" spans="1:49" ht="15" customHeight="1" x14ac:dyDescent="0.2">
      <c r="A35" s="4"/>
      <c r="B35" s="5" t="s">
        <v>15</v>
      </c>
      <c r="C35" s="6"/>
      <c r="D35" s="98" t="s">
        <v>16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100"/>
      <c r="S35" s="96" t="s">
        <v>83</v>
      </c>
      <c r="T35" s="53"/>
      <c r="U35" s="53"/>
      <c r="V35" s="53"/>
      <c r="W35" s="53"/>
      <c r="X35" s="97"/>
      <c r="Y35" s="5" t="s">
        <v>84</v>
      </c>
      <c r="Z35" s="7"/>
      <c r="AA35" s="7"/>
      <c r="AB35" s="7"/>
      <c r="AC35" s="7"/>
      <c r="AD35" s="7"/>
      <c r="AE35" s="5" t="s">
        <v>17</v>
      </c>
      <c r="AF35" s="7"/>
      <c r="AG35" s="7"/>
      <c r="AH35" s="7"/>
      <c r="AI35" s="7"/>
      <c r="AJ35" s="6"/>
    </row>
    <row r="36" spans="1:49" ht="15" customHeight="1" x14ac:dyDescent="0.2">
      <c r="A36" s="4"/>
      <c r="B36" s="68">
        <v>1</v>
      </c>
      <c r="C36" s="69"/>
      <c r="D36" s="43" t="s">
        <v>18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40"/>
      <c r="S36" s="93">
        <v>1000000</v>
      </c>
      <c r="T36" s="94"/>
      <c r="U36" s="94"/>
      <c r="V36" s="94"/>
      <c r="W36" s="94"/>
      <c r="X36" s="95"/>
      <c r="Y36" s="89">
        <v>5</v>
      </c>
      <c r="Z36" s="90"/>
      <c r="AA36" s="90"/>
      <c r="AB36" s="90"/>
      <c r="AC36" s="91" t="s">
        <v>85</v>
      </c>
      <c r="AD36" s="92"/>
      <c r="AE36" s="70">
        <f t="shared" ref="AE36:AE42" si="0">S36/20*Y36</f>
        <v>250000</v>
      </c>
      <c r="AF36" s="71"/>
      <c r="AG36" s="71"/>
      <c r="AH36" s="71"/>
      <c r="AI36" s="71"/>
      <c r="AJ36" s="72"/>
    </row>
    <row r="37" spans="1:49" ht="15" customHeight="1" x14ac:dyDescent="0.2">
      <c r="A37" s="4"/>
      <c r="B37" s="96">
        <v>2</v>
      </c>
      <c r="C37" s="97"/>
      <c r="D37" s="101" t="s">
        <v>86</v>
      </c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3"/>
      <c r="S37" s="104">
        <v>1000000</v>
      </c>
      <c r="T37" s="105"/>
      <c r="U37" s="105"/>
      <c r="V37" s="105"/>
      <c r="W37" s="105"/>
      <c r="X37" s="106"/>
      <c r="Y37" s="107">
        <v>0</v>
      </c>
      <c r="Z37" s="108"/>
      <c r="AA37" s="108"/>
      <c r="AB37" s="108"/>
      <c r="AC37" s="109" t="s">
        <v>85</v>
      </c>
      <c r="AD37" s="110"/>
      <c r="AE37" s="111">
        <f t="shared" si="0"/>
        <v>0</v>
      </c>
      <c r="AF37" s="112"/>
      <c r="AG37" s="112"/>
      <c r="AH37" s="112"/>
      <c r="AI37" s="112"/>
      <c r="AJ37" s="113"/>
    </row>
    <row r="38" spans="1:49" ht="15" customHeight="1" x14ac:dyDescent="0.2">
      <c r="A38" s="4"/>
      <c r="B38" s="68">
        <v>3</v>
      </c>
      <c r="C38" s="69"/>
      <c r="D38" s="43" t="s">
        <v>19</v>
      </c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40"/>
      <c r="S38" s="93">
        <v>1000000</v>
      </c>
      <c r="T38" s="94"/>
      <c r="U38" s="94"/>
      <c r="V38" s="94"/>
      <c r="W38" s="94"/>
      <c r="X38" s="95"/>
      <c r="Y38" s="89">
        <v>1.5</v>
      </c>
      <c r="Z38" s="90"/>
      <c r="AA38" s="90"/>
      <c r="AB38" s="90"/>
      <c r="AC38" s="91" t="s">
        <v>85</v>
      </c>
      <c r="AD38" s="92"/>
      <c r="AE38" s="70">
        <f t="shared" si="0"/>
        <v>75000</v>
      </c>
      <c r="AF38" s="71"/>
      <c r="AG38" s="71"/>
      <c r="AH38" s="71"/>
      <c r="AI38" s="71"/>
      <c r="AJ38" s="72"/>
    </row>
    <row r="39" spans="1:49" ht="15" customHeight="1" x14ac:dyDescent="0.2">
      <c r="A39" s="4"/>
      <c r="B39" s="68">
        <v>4</v>
      </c>
      <c r="C39" s="69"/>
      <c r="D39" s="43" t="s">
        <v>20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40"/>
      <c r="S39" s="93">
        <v>1000000</v>
      </c>
      <c r="T39" s="94"/>
      <c r="U39" s="94"/>
      <c r="V39" s="94"/>
      <c r="W39" s="94"/>
      <c r="X39" s="95"/>
      <c r="Y39" s="89">
        <v>3</v>
      </c>
      <c r="Z39" s="90"/>
      <c r="AA39" s="90"/>
      <c r="AB39" s="90"/>
      <c r="AC39" s="91" t="s">
        <v>85</v>
      </c>
      <c r="AD39" s="92"/>
      <c r="AE39" s="70">
        <f t="shared" si="0"/>
        <v>150000</v>
      </c>
      <c r="AF39" s="71"/>
      <c r="AG39" s="71"/>
      <c r="AH39" s="71"/>
      <c r="AI39" s="71"/>
      <c r="AJ39" s="72"/>
    </row>
    <row r="40" spans="1:49" ht="15" customHeight="1" x14ac:dyDescent="0.2">
      <c r="A40" s="4"/>
      <c r="B40" s="96">
        <v>5</v>
      </c>
      <c r="C40" s="97"/>
      <c r="D40" s="101" t="s">
        <v>87</v>
      </c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3"/>
      <c r="S40" s="104">
        <v>1000000</v>
      </c>
      <c r="T40" s="105"/>
      <c r="U40" s="105"/>
      <c r="V40" s="105"/>
      <c r="W40" s="105"/>
      <c r="X40" s="106"/>
      <c r="Y40" s="107">
        <v>0</v>
      </c>
      <c r="Z40" s="108"/>
      <c r="AA40" s="108"/>
      <c r="AB40" s="108"/>
      <c r="AC40" s="109" t="s">
        <v>85</v>
      </c>
      <c r="AD40" s="110"/>
      <c r="AE40" s="111">
        <f t="shared" si="0"/>
        <v>0</v>
      </c>
      <c r="AF40" s="112"/>
      <c r="AG40" s="112"/>
      <c r="AH40" s="112"/>
      <c r="AI40" s="112"/>
      <c r="AJ40" s="113"/>
    </row>
    <row r="41" spans="1:49" ht="15" customHeight="1" x14ac:dyDescent="0.2">
      <c r="A41" s="4"/>
      <c r="B41" s="96">
        <v>6</v>
      </c>
      <c r="C41" s="97"/>
      <c r="D41" s="101" t="s">
        <v>88</v>
      </c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4">
        <v>1000000</v>
      </c>
      <c r="T41" s="105"/>
      <c r="U41" s="105"/>
      <c r="V41" s="105"/>
      <c r="W41" s="105"/>
      <c r="X41" s="106"/>
      <c r="Y41" s="107">
        <v>0</v>
      </c>
      <c r="Z41" s="108"/>
      <c r="AA41" s="108"/>
      <c r="AB41" s="108"/>
      <c r="AC41" s="109" t="s">
        <v>85</v>
      </c>
      <c r="AD41" s="110"/>
      <c r="AE41" s="111">
        <f t="shared" si="0"/>
        <v>0</v>
      </c>
      <c r="AF41" s="112"/>
      <c r="AG41" s="112"/>
      <c r="AH41" s="112"/>
      <c r="AI41" s="112"/>
      <c r="AJ41" s="113"/>
    </row>
    <row r="42" spans="1:49" ht="15" customHeight="1" x14ac:dyDescent="0.2">
      <c r="A42" s="4"/>
      <c r="B42" s="68">
        <v>7</v>
      </c>
      <c r="C42" s="69"/>
      <c r="D42" s="43" t="s">
        <v>21</v>
      </c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93">
        <v>1400000</v>
      </c>
      <c r="T42" s="94"/>
      <c r="U42" s="94"/>
      <c r="V42" s="94"/>
      <c r="W42" s="94"/>
      <c r="X42" s="95"/>
      <c r="Y42" s="89">
        <f>ROUNDUP(SUM(Y36:AB41)*0.15,0)</f>
        <v>2</v>
      </c>
      <c r="Z42" s="90"/>
      <c r="AA42" s="90"/>
      <c r="AB42" s="90"/>
      <c r="AC42" s="91" t="s">
        <v>85</v>
      </c>
      <c r="AD42" s="92"/>
      <c r="AE42" s="70">
        <f t="shared" si="0"/>
        <v>140000</v>
      </c>
      <c r="AF42" s="71"/>
      <c r="AG42" s="71"/>
      <c r="AH42" s="71"/>
      <c r="AI42" s="71"/>
      <c r="AJ42" s="72"/>
      <c r="AT42" s="13"/>
      <c r="AU42" s="13"/>
      <c r="AV42" s="13"/>
      <c r="AW42" s="13"/>
    </row>
    <row r="43" spans="1:49" ht="15" customHeight="1" x14ac:dyDescent="0.2">
      <c r="A43" s="4"/>
      <c r="B43" s="87" t="s">
        <v>22</v>
      </c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9">
        <f>SUM(Y36:AB42)</f>
        <v>11.5</v>
      </c>
      <c r="Z43" s="90"/>
      <c r="AA43" s="90"/>
      <c r="AB43" s="90"/>
      <c r="AC43" s="91" t="s">
        <v>85</v>
      </c>
      <c r="AD43" s="92"/>
      <c r="AE43" s="76">
        <f>SUM(AE36:AJ42)</f>
        <v>615000</v>
      </c>
      <c r="AF43" s="76"/>
      <c r="AG43" s="76"/>
      <c r="AH43" s="76"/>
      <c r="AI43" s="76"/>
      <c r="AJ43" s="76"/>
    </row>
    <row r="44" spans="1:49" ht="15" customHeight="1" x14ac:dyDescent="0.2">
      <c r="A44" s="4"/>
      <c r="AB44" s="13"/>
    </row>
    <row r="45" spans="1:49" ht="15" customHeight="1" x14ac:dyDescent="0.2">
      <c r="A45" s="4"/>
      <c r="AB45" s="13"/>
    </row>
    <row r="46" spans="1:49" ht="15" customHeight="1" x14ac:dyDescent="0.2">
      <c r="A46" s="3" t="s">
        <v>28</v>
      </c>
    </row>
    <row r="48" spans="1:49" ht="15" customHeight="1" x14ac:dyDescent="0.2">
      <c r="B48" s="4" t="s">
        <v>89</v>
      </c>
    </row>
    <row r="49" spans="1:36" ht="15" customHeight="1" x14ac:dyDescent="0.2">
      <c r="A49" s="4"/>
      <c r="B49" s="4" t="s">
        <v>90</v>
      </c>
    </row>
    <row r="50" spans="1:36" ht="15" customHeight="1" x14ac:dyDescent="0.2">
      <c r="A50" s="4"/>
      <c r="B50" s="5" t="s">
        <v>15</v>
      </c>
      <c r="C50" s="6"/>
      <c r="D50" s="5" t="s">
        <v>32</v>
      </c>
      <c r="E50" s="7"/>
      <c r="F50" s="7"/>
      <c r="G50" s="7"/>
      <c r="H50" s="6"/>
      <c r="I50" s="5" t="s">
        <v>28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6"/>
    </row>
    <row r="51" spans="1:36" ht="15" customHeight="1" x14ac:dyDescent="0.2">
      <c r="A51" s="4"/>
      <c r="B51" s="54">
        <v>1</v>
      </c>
      <c r="C51" s="55"/>
      <c r="D51" s="15" t="s">
        <v>33</v>
      </c>
      <c r="E51" s="18"/>
      <c r="F51" s="18"/>
      <c r="G51" s="18"/>
      <c r="H51" s="18"/>
      <c r="I51" s="32" t="s">
        <v>91</v>
      </c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4"/>
    </row>
    <row r="52" spans="1:36" ht="15" customHeight="1" x14ac:dyDescent="0.2">
      <c r="A52" s="4"/>
      <c r="B52" s="56"/>
      <c r="C52" s="57"/>
      <c r="D52" s="16"/>
      <c r="E52" s="21"/>
      <c r="F52" s="21"/>
      <c r="G52" s="21"/>
      <c r="H52" s="21"/>
      <c r="I52" s="22" t="s">
        <v>35</v>
      </c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4"/>
    </row>
    <row r="53" spans="1:36" ht="15" customHeight="1" x14ac:dyDescent="0.2">
      <c r="A53" s="4"/>
      <c r="B53" s="54">
        <v>2</v>
      </c>
      <c r="C53" s="55"/>
      <c r="D53" s="15" t="s">
        <v>92</v>
      </c>
      <c r="E53" s="18"/>
      <c r="F53" s="18"/>
      <c r="G53" s="18"/>
      <c r="H53" s="18"/>
      <c r="I53" s="32" t="s">
        <v>93</v>
      </c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4"/>
    </row>
    <row r="54" spans="1:36" ht="15" customHeight="1" x14ac:dyDescent="0.2">
      <c r="A54" s="4"/>
      <c r="B54" s="56"/>
      <c r="C54" s="57"/>
      <c r="D54" s="16"/>
      <c r="E54" s="21"/>
      <c r="F54" s="21"/>
      <c r="G54" s="21"/>
      <c r="H54" s="21"/>
      <c r="I54" s="22" t="s">
        <v>94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4"/>
    </row>
    <row r="55" spans="1:36" ht="15" customHeight="1" x14ac:dyDescent="0.2">
      <c r="A55" s="4"/>
      <c r="B55" s="54">
        <v>3</v>
      </c>
      <c r="C55" s="55"/>
      <c r="D55" s="45" t="s">
        <v>36</v>
      </c>
      <c r="E55" s="19"/>
      <c r="F55" s="19"/>
      <c r="G55" s="19"/>
      <c r="H55" s="19"/>
      <c r="I55" s="27" t="s">
        <v>37</v>
      </c>
      <c r="AJ55" s="20"/>
    </row>
    <row r="56" spans="1:36" ht="15" customHeight="1" x14ac:dyDescent="0.2">
      <c r="A56" s="4"/>
      <c r="B56" s="56"/>
      <c r="C56" s="57"/>
      <c r="D56" s="16"/>
      <c r="E56" s="21"/>
      <c r="F56" s="21"/>
      <c r="G56" s="21"/>
      <c r="H56" s="21"/>
      <c r="I56" s="27"/>
      <c r="AJ56" s="20"/>
    </row>
    <row r="57" spans="1:36" ht="15" customHeight="1" x14ac:dyDescent="0.2">
      <c r="A57" s="4"/>
      <c r="B57" s="54">
        <v>4</v>
      </c>
      <c r="C57" s="55"/>
      <c r="D57" s="15" t="s">
        <v>38</v>
      </c>
      <c r="E57" s="18"/>
      <c r="F57" s="18"/>
      <c r="G57" s="18"/>
      <c r="H57" s="18"/>
      <c r="I57" s="32" t="s">
        <v>39</v>
      </c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4"/>
    </row>
    <row r="58" spans="1:36" ht="15" customHeight="1" x14ac:dyDescent="0.2">
      <c r="A58" s="4"/>
      <c r="B58" s="56"/>
      <c r="C58" s="57"/>
      <c r="D58" s="16"/>
      <c r="E58" s="21"/>
      <c r="F58" s="21"/>
      <c r="G58" s="21"/>
      <c r="H58" s="21"/>
      <c r="I58" s="22" t="s">
        <v>95</v>
      </c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4"/>
    </row>
    <row r="59" spans="1:36" ht="15" customHeight="1" x14ac:dyDescent="0.2">
      <c r="A59" s="4"/>
      <c r="B59" s="54">
        <v>5</v>
      </c>
      <c r="C59" s="55"/>
      <c r="D59" s="15" t="s">
        <v>96</v>
      </c>
      <c r="E59" s="18"/>
      <c r="F59" s="18"/>
      <c r="G59" s="18"/>
      <c r="H59" s="18"/>
      <c r="I59" s="32" t="s">
        <v>97</v>
      </c>
      <c r="AJ59" s="20"/>
    </row>
    <row r="60" spans="1:36" ht="15" customHeight="1" x14ac:dyDescent="0.2">
      <c r="A60" s="4"/>
      <c r="B60" s="56"/>
      <c r="C60" s="57"/>
      <c r="D60" s="16"/>
      <c r="E60" s="21"/>
      <c r="F60" s="21"/>
      <c r="G60" s="21"/>
      <c r="H60" s="21"/>
      <c r="I60" s="27"/>
      <c r="AJ60" s="20"/>
    </row>
    <row r="61" spans="1:36" ht="15" customHeight="1" x14ac:dyDescent="0.2">
      <c r="A61" s="4"/>
      <c r="B61" s="54">
        <v>6</v>
      </c>
      <c r="C61" s="55"/>
      <c r="D61" s="45" t="s">
        <v>98</v>
      </c>
      <c r="E61" s="18"/>
      <c r="F61" s="18"/>
      <c r="G61" s="18"/>
      <c r="H61" s="18"/>
      <c r="I61" s="32" t="s">
        <v>97</v>
      </c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4"/>
    </row>
    <row r="62" spans="1:36" ht="15" customHeight="1" x14ac:dyDescent="0.2">
      <c r="A62" s="4"/>
      <c r="B62" s="56"/>
      <c r="C62" s="57"/>
      <c r="D62" s="16"/>
      <c r="E62" s="21"/>
      <c r="F62" s="21"/>
      <c r="G62" s="21"/>
      <c r="H62" s="21"/>
      <c r="I62" s="22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4"/>
    </row>
    <row r="63" spans="1:36" ht="15" customHeight="1" x14ac:dyDescent="0.2">
      <c r="A63" s="4"/>
      <c r="B63" s="54">
        <v>7</v>
      </c>
      <c r="C63" s="55"/>
      <c r="D63" s="45" t="s">
        <v>41</v>
      </c>
      <c r="E63" s="19"/>
      <c r="F63" s="19"/>
      <c r="G63" s="19"/>
      <c r="H63" s="19"/>
      <c r="I63" s="27" t="s">
        <v>42</v>
      </c>
      <c r="AJ63" s="20"/>
    </row>
    <row r="64" spans="1:36" ht="15" customHeight="1" x14ac:dyDescent="0.2">
      <c r="A64" s="4"/>
      <c r="B64" s="56"/>
      <c r="C64" s="57"/>
      <c r="D64" s="16"/>
      <c r="E64" s="21"/>
      <c r="F64" s="21"/>
      <c r="G64" s="21"/>
      <c r="H64" s="21"/>
      <c r="I64" s="22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4"/>
    </row>
  </sheetData>
  <mergeCells count="53">
    <mergeCell ref="AC37:AD37"/>
    <mergeCell ref="S37:X37"/>
    <mergeCell ref="Y40:AB40"/>
    <mergeCell ref="AC40:AD40"/>
    <mergeCell ref="AE38:AJ38"/>
    <mergeCell ref="Y37:AB37"/>
    <mergeCell ref="AE40:AJ40"/>
    <mergeCell ref="S40:X40"/>
    <mergeCell ref="B39:C39"/>
    <mergeCell ref="AE39:AJ39"/>
    <mergeCell ref="B38:C38"/>
    <mergeCell ref="AC39:AD39"/>
    <mergeCell ref="Y38:AB38"/>
    <mergeCell ref="AC38:AD38"/>
    <mergeCell ref="S38:X38"/>
    <mergeCell ref="S39:X39"/>
    <mergeCell ref="Y39:AB39"/>
    <mergeCell ref="AE43:AJ43"/>
    <mergeCell ref="AF2:AJ2"/>
    <mergeCell ref="A1:Q2"/>
    <mergeCell ref="A5:Q6"/>
    <mergeCell ref="B36:C36"/>
    <mergeCell ref="AE36:AJ36"/>
    <mergeCell ref="A9:E10"/>
    <mergeCell ref="F9:Q10"/>
    <mergeCell ref="S35:X35"/>
    <mergeCell ref="S36:X36"/>
    <mergeCell ref="Y36:AB36"/>
    <mergeCell ref="AC36:AD36"/>
    <mergeCell ref="D35:R35"/>
    <mergeCell ref="B37:C37"/>
    <mergeCell ref="AE37:AJ37"/>
    <mergeCell ref="B40:C40"/>
    <mergeCell ref="B41:C41"/>
    <mergeCell ref="B42:C42"/>
    <mergeCell ref="S41:X41"/>
    <mergeCell ref="Y41:AB41"/>
    <mergeCell ref="AC41:AD41"/>
    <mergeCell ref="AE41:AJ41"/>
    <mergeCell ref="S42:X42"/>
    <mergeCell ref="Y42:AB42"/>
    <mergeCell ref="AC42:AD42"/>
    <mergeCell ref="AE42:AJ42"/>
    <mergeCell ref="B61:C62"/>
    <mergeCell ref="B63:C64"/>
    <mergeCell ref="B43:X43"/>
    <mergeCell ref="Y43:AB43"/>
    <mergeCell ref="AC43:AD43"/>
    <mergeCell ref="B51:C52"/>
    <mergeCell ref="B53:C54"/>
    <mergeCell ref="B55:C56"/>
    <mergeCell ref="B57:C58"/>
    <mergeCell ref="B59:C60"/>
  </mergeCells>
  <phoneticPr fontId="4"/>
  <printOptions horizontalCentered="1"/>
  <pageMargins left="0.39370078740157483" right="0.39370078740157483" top="0.78740157480314965" bottom="0.39370078740157483" header="0.31496062992125984" footer="0.31496062992125984"/>
  <pageSetup paperSize="9" orientation="portrait" r:id="rId1"/>
  <headerFooter>
    <oddFooter>&amp;C&amp;10&amp;P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4" ma:contentTypeDescription="新しいドキュメントを作成します。" ma:contentTypeScope="" ma:versionID="8d136f6bca879cb90346a66279902df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b8a779dc52d08a32251a6f3465a5e55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82831A-F83E-4002-94A7-C654A6BA3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841E61-4E9C-4B46-A2F6-3731895F11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46999F-13C4-4EF3-A154-5D2F28446717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2fd442da-66a9-4fa6-ba31-eb0d54ad138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御見積詳細書 (顧客用)</vt:lpstr>
      <vt:lpstr>御見積詳細書（社内用）</vt:lpstr>
      <vt:lpstr>'御見積詳細書 (顧客用)'!Print_Area</vt:lpstr>
      <vt:lpstr>'御見積詳細書（社内用）'!Print_Area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2025-03-27T06:19:02Z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