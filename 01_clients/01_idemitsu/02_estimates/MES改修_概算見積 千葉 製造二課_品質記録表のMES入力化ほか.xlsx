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Exefile11\組織共有\システムソリューション本部\システムソリューション本部共有\08.品質管理\04.本部プロジェクトレビュー\01.記録\2024年度\04.エネルギーソリューション部\【037】MESシステム25年度改修\見積書\"/>
    </mc:Choice>
  </mc:AlternateContent>
  <xr:revisionPtr revIDLastSave="0" documentId="13_ncr:1_{DF37AD00-BD93-4FAD-AFD5-CABD14A0AFB9}" xr6:coauthVersionLast="47" xr6:coauthVersionMax="47" xr10:uidLastSave="{00000000-0000-0000-0000-000000000000}"/>
  <bookViews>
    <workbookView xWindow="-110" yWindow="-110" windowWidth="19420" windowHeight="10300" xr2:uid="{00000000-000D-0000-FFFF-FFFF00000000}"/>
  </bookViews>
  <sheets>
    <sheet name="MES_概算御見積（内部用）" sheetId="11" r:id="rId1"/>
    <sheet name="MES_概算御見積（顧客提出用）" sheetId="13" r:id="rId2"/>
    <sheet name="スケジュール概算" sheetId="14" r:id="rId3"/>
  </sheets>
  <definedNames>
    <definedName name="_xlnm.Print_Area" localSheetId="1">'MES_概算御見積（顧客提出用）'!$A$1:$J$23</definedName>
    <definedName name="_xlnm.Print_Titles" localSheetId="1">'MES_概算御見積（顧客提出用）'!$1:$3</definedName>
    <definedName name="_xlnm.Print_Titles" localSheetId="0">'MES_概算御見積（内部用）'!$1:$3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 i="14" l="1"/>
  <c r="E8" i="14"/>
  <c r="E7" i="14"/>
  <c r="R2" i="14"/>
  <c r="P3" i="14" s="1"/>
  <c r="F4" i="14"/>
  <c r="G4" i="14"/>
  <c r="H4" i="14"/>
  <c r="I4" i="14"/>
  <c r="J4" i="14"/>
  <c r="K4" i="14"/>
  <c r="F5" i="14"/>
  <c r="G5" i="14"/>
  <c r="H5" i="14"/>
  <c r="I5" i="14"/>
  <c r="J5" i="14"/>
  <c r="K5" i="14"/>
  <c r="F6" i="14"/>
  <c r="G6" i="14"/>
  <c r="H6" i="14"/>
  <c r="I6" i="14"/>
  <c r="J6" i="14"/>
  <c r="K6" i="14"/>
  <c r="F7" i="14"/>
  <c r="G7" i="14"/>
  <c r="H7" i="14"/>
  <c r="I7" i="14"/>
  <c r="J7" i="14"/>
  <c r="K7" i="14"/>
  <c r="F8" i="14"/>
  <c r="G8" i="14"/>
  <c r="H8" i="14"/>
  <c r="I8" i="14"/>
  <c r="J8" i="14"/>
  <c r="K8" i="14"/>
  <c r="E4" i="14"/>
  <c r="E5" i="14"/>
  <c r="E6" i="14"/>
  <c r="D4" i="14"/>
  <c r="D5" i="14"/>
  <c r="D6" i="14"/>
  <c r="D7" i="14"/>
  <c r="D8" i="14"/>
  <c r="D9" i="14"/>
  <c r="C4" i="14"/>
  <c r="C5" i="14"/>
  <c r="C6" i="14"/>
  <c r="C7" i="14"/>
  <c r="C8" i="14"/>
  <c r="C9" i="14"/>
  <c r="E5" i="13"/>
  <c r="F5" i="13"/>
  <c r="E6" i="13"/>
  <c r="F6" i="13"/>
  <c r="E7" i="13"/>
  <c r="F7" i="13"/>
  <c r="E8" i="13"/>
  <c r="F8" i="13"/>
  <c r="E9" i="13"/>
  <c r="F9" i="13"/>
  <c r="E10" i="13"/>
  <c r="F10" i="13"/>
  <c r="D5" i="13"/>
  <c r="D6" i="13"/>
  <c r="D7" i="13"/>
  <c r="D8" i="13"/>
  <c r="D9" i="13"/>
  <c r="D10" i="13"/>
  <c r="C5" i="13"/>
  <c r="C6" i="13"/>
  <c r="C7" i="13"/>
  <c r="C8" i="13"/>
  <c r="C9" i="13"/>
  <c r="C10" i="13"/>
  <c r="S6" i="11"/>
  <c r="T6" i="11"/>
  <c r="U6" i="11"/>
  <c r="V6" i="11"/>
  <c r="W6" i="11"/>
  <c r="X6" i="11"/>
  <c r="S7" i="11"/>
  <c r="T7" i="11"/>
  <c r="U7" i="11"/>
  <c r="V7" i="11"/>
  <c r="W7" i="11"/>
  <c r="X7" i="11"/>
  <c r="S8" i="11"/>
  <c r="T8" i="11"/>
  <c r="U8" i="11"/>
  <c r="V8" i="11"/>
  <c r="W8" i="11"/>
  <c r="X8" i="11"/>
  <c r="S9" i="11"/>
  <c r="T9" i="11"/>
  <c r="U9" i="11"/>
  <c r="V9" i="11"/>
  <c r="W9" i="11"/>
  <c r="X9" i="11"/>
  <c r="S10" i="11"/>
  <c r="T10" i="11"/>
  <c r="U10" i="11"/>
  <c r="V10" i="11"/>
  <c r="W10" i="11"/>
  <c r="X10" i="11"/>
  <c r="Q10" i="11"/>
  <c r="Y10" i="11" s="1"/>
  <c r="AG10" i="11" s="1"/>
  <c r="Q9" i="11"/>
  <c r="Y9" i="11" s="1"/>
  <c r="AG9" i="11" s="1"/>
  <c r="Q8" i="11"/>
  <c r="L7" i="14" s="1"/>
  <c r="M7" i="14" s="1"/>
  <c r="Q6" i="11"/>
  <c r="AA6" i="11" s="1"/>
  <c r="AH10" i="11" l="1"/>
  <c r="AI10" i="11"/>
  <c r="AJ10" i="11" s="1"/>
  <c r="AA10" i="11"/>
  <c r="AH9" i="11"/>
  <c r="AI9" i="11"/>
  <c r="AJ9" i="11" s="1"/>
  <c r="AA9" i="11"/>
  <c r="L8" i="14"/>
  <c r="M8" i="14" s="1"/>
  <c r="Y8" i="11"/>
  <c r="AG8" i="11" s="1"/>
  <c r="AA8" i="11"/>
  <c r="AC6" i="11"/>
  <c r="AD6" i="11" s="1"/>
  <c r="AB6" i="11"/>
  <c r="L5" i="14"/>
  <c r="M5" i="14" s="1"/>
  <c r="Y6" i="11"/>
  <c r="AG6" i="11" s="1"/>
  <c r="H6" i="11"/>
  <c r="G6" i="13" s="1"/>
  <c r="H8" i="11"/>
  <c r="G8" i="13" s="1"/>
  <c r="H9" i="11"/>
  <c r="G9" i="13" s="1"/>
  <c r="H10" i="11"/>
  <c r="G10" i="13" s="1"/>
  <c r="Q7" i="11"/>
  <c r="D3" i="14"/>
  <c r="C3" i="14"/>
  <c r="B3" i="14"/>
  <c r="E3" i="14"/>
  <c r="Q4" i="11"/>
  <c r="AA4" i="11" s="1"/>
  <c r="N5" i="14" l="1"/>
  <c r="AE6" i="11"/>
  <c r="I6" i="13" s="1"/>
  <c r="AC10" i="11"/>
  <c r="AD10" i="11" s="1"/>
  <c r="H10" i="13"/>
  <c r="AB10" i="11"/>
  <c r="AK10" i="11"/>
  <c r="AB9" i="11"/>
  <c r="AC9" i="11"/>
  <c r="AD9" i="11" s="1"/>
  <c r="AK9" i="11"/>
  <c r="AB8" i="11"/>
  <c r="AC8" i="11"/>
  <c r="AH8" i="11"/>
  <c r="AI8" i="11"/>
  <c r="AJ8" i="11" s="1"/>
  <c r="H7" i="11"/>
  <c r="G7" i="13" s="1"/>
  <c r="Y7" i="11"/>
  <c r="AG7" i="11" s="1"/>
  <c r="AA7" i="11"/>
  <c r="L6" i="14"/>
  <c r="M6" i="14" s="1"/>
  <c r="AI6" i="11"/>
  <c r="AJ6" i="11" s="1"/>
  <c r="AH6" i="11"/>
  <c r="AK6" i="11" s="1"/>
  <c r="H6" i="13"/>
  <c r="AB4" i="11"/>
  <c r="G3" i="14"/>
  <c r="H3" i="14"/>
  <c r="I3" i="14"/>
  <c r="J3" i="14"/>
  <c r="K3" i="14"/>
  <c r="G9" i="14"/>
  <c r="H9" i="14"/>
  <c r="I9" i="14"/>
  <c r="J9" i="14"/>
  <c r="K9" i="14"/>
  <c r="F9" i="14"/>
  <c r="F3" i="14"/>
  <c r="E4" i="13"/>
  <c r="D4" i="13"/>
  <c r="C4" i="13"/>
  <c r="AE10" i="11" l="1"/>
  <c r="I10" i="13" s="1"/>
  <c r="AE9" i="11"/>
  <c r="I9" i="13" s="1"/>
  <c r="H9" i="13"/>
  <c r="N8" i="14"/>
  <c r="AK8" i="11"/>
  <c r="AD8" i="11"/>
  <c r="N7" i="14"/>
  <c r="H8" i="13"/>
  <c r="AE8" i="11"/>
  <c r="I8" i="13" s="1"/>
  <c r="AC7" i="11"/>
  <c r="AD7" i="11" s="1"/>
  <c r="AB7" i="11"/>
  <c r="AI7" i="11"/>
  <c r="AJ7" i="11" s="1"/>
  <c r="AH7" i="11"/>
  <c r="X5" i="11"/>
  <c r="W5" i="11"/>
  <c r="V5" i="11"/>
  <c r="U5" i="11"/>
  <c r="T5" i="11"/>
  <c r="S5" i="11"/>
  <c r="Q5" i="11"/>
  <c r="S2" i="14"/>
  <c r="T2" i="14" s="1"/>
  <c r="U2" i="14" s="1"/>
  <c r="F4" i="13"/>
  <c r="B4" i="13"/>
  <c r="H7" i="13" l="1"/>
  <c r="AE7" i="11"/>
  <c r="I7" i="13" s="1"/>
  <c r="AK7" i="11"/>
  <c r="N6" i="14"/>
  <c r="H5" i="11"/>
  <c r="G5" i="13" s="1"/>
  <c r="L4" i="14"/>
  <c r="M4" i="14" s="1"/>
  <c r="V2" i="14"/>
  <c r="W2" i="14" s="1"/>
  <c r="AA5" i="11"/>
  <c r="L9" i="14"/>
  <c r="M9" i="14" s="1"/>
  <c r="Y5" i="11"/>
  <c r="AG5" i="11" s="1"/>
  <c r="AO4" i="11"/>
  <c r="AP4" i="11"/>
  <c r="AQ4" i="11"/>
  <c r="AR4" i="11"/>
  <c r="AN4" i="11"/>
  <c r="AM4" i="11"/>
  <c r="S4" i="11"/>
  <c r="S11" i="11" s="1"/>
  <c r="X4" i="11"/>
  <c r="W4" i="11"/>
  <c r="W11" i="11" s="1"/>
  <c r="V4" i="11"/>
  <c r="V11" i="11" s="1"/>
  <c r="U4" i="11"/>
  <c r="U11" i="11" s="1"/>
  <c r="T4" i="11"/>
  <c r="T11" i="11" s="1"/>
  <c r="AZ4" i="11" l="1"/>
  <c r="X11" i="11"/>
  <c r="X2" i="14"/>
  <c r="Q3" i="14" s="1"/>
  <c r="AI5" i="11"/>
  <c r="AJ5" i="11" s="1"/>
  <c r="AH5" i="11"/>
  <c r="N9" i="14"/>
  <c r="J10" i="11"/>
  <c r="AC5" i="11"/>
  <c r="H5" i="13" s="1"/>
  <c r="AB5" i="11"/>
  <c r="Y4" i="11"/>
  <c r="AG4" i="11" s="1"/>
  <c r="L3" i="14"/>
  <c r="M3" i="14" s="1"/>
  <c r="AW4" i="11"/>
  <c r="AU4" i="11"/>
  <c r="AY4" i="11"/>
  <c r="AV4" i="11"/>
  <c r="AX4" i="11"/>
  <c r="AS4" i="11"/>
  <c r="H4" i="11"/>
  <c r="I4" i="11" s="1"/>
  <c r="AK5" i="11" l="1"/>
  <c r="N4" i="14"/>
  <c r="Y2" i="14"/>
  <c r="AD5" i="11"/>
  <c r="AE5" i="11" s="1"/>
  <c r="I5" i="13" s="1"/>
  <c r="J5" i="11"/>
  <c r="G4" i="13"/>
  <c r="BA4" i="11"/>
  <c r="AH4" i="11"/>
  <c r="AI4" i="11"/>
  <c r="AJ4" i="11" s="1"/>
  <c r="Z2" i="14" l="1"/>
  <c r="AA2" i="14" s="1"/>
  <c r="P4" i="14"/>
  <c r="AK4" i="11"/>
  <c r="AB2" i="14"/>
  <c r="AC2" i="14" l="1"/>
  <c r="P6" i="14"/>
  <c r="AC4" i="11"/>
  <c r="AD2" i="14" l="1"/>
  <c r="Q4" i="14"/>
  <c r="J4" i="11"/>
  <c r="H4" i="13"/>
  <c r="AD4" i="11"/>
  <c r="AE4" i="11" s="1"/>
  <c r="I4" i="13" s="1"/>
  <c r="N3" i="14"/>
  <c r="P5" i="14" l="1"/>
  <c r="AE2" i="14"/>
  <c r="AF2" i="14" s="1"/>
  <c r="AG2" i="14" s="1"/>
  <c r="AH2" i="14" s="1"/>
  <c r="AI2" i="14" s="1"/>
  <c r="AJ2" i="14" s="1"/>
  <c r="AK2" i="14" l="1"/>
  <c r="Q5" i="14"/>
  <c r="AL2" i="14" l="1"/>
  <c r="AM2" i="14" s="1"/>
  <c r="AN2" i="14" s="1"/>
  <c r="AO2" i="14" s="1"/>
  <c r="AP2" i="14" s="1"/>
  <c r="P7" i="14"/>
  <c r="AQ2" i="14" l="1"/>
  <c r="Q7" i="14"/>
  <c r="AR2" i="14" l="1"/>
  <c r="AS2" i="14" s="1"/>
  <c r="AT2" i="14" s="1"/>
  <c r="P8" i="14"/>
  <c r="AU2" i="14" l="1"/>
  <c r="Q8" i="14"/>
  <c r="AV2" i="14" l="1"/>
  <c r="AW2" i="14" s="1"/>
  <c r="AX2" i="14" s="1"/>
  <c r="AY2" i="14" s="1"/>
  <c r="AZ2" i="14" s="1"/>
  <c r="BA2" i="14" s="1"/>
  <c r="BB2" i="14" s="1"/>
  <c r="BC2" i="14" s="1"/>
  <c r="BD2" i="14" s="1"/>
  <c r="P9" i="14"/>
  <c r="BE2" i="14" l="1"/>
  <c r="BF2" i="14" s="1"/>
  <c r="BG2" i="14" s="1"/>
  <c r="BH2" i="14" s="1"/>
  <c r="BI2" i="14" s="1"/>
  <c r="BJ2" i="14" s="1"/>
  <c r="BK2" i="14" s="1"/>
  <c r="BL2" i="14" s="1"/>
  <c r="BM2" i="14" s="1"/>
  <c r="BN2" i="14" s="1"/>
  <c r="BO2" i="14" s="1"/>
  <c r="BP2" i="14" s="1"/>
  <c r="BQ2" i="14" s="1"/>
  <c r="Q6" i="14" s="1"/>
  <c r="Q9" i="14"/>
</calcChain>
</file>

<file path=xl/sharedStrings.xml><?xml version="1.0" encoding="utf-8"?>
<sst xmlns="http://schemas.openxmlformats.org/spreadsheetml/2006/main" count="146" uniqueCount="83">
  <si>
    <t>2025年度 MESシステム改修 御見積</t>
    <rPh sb="4" eb="6">
      <t>ネンド</t>
    </rPh>
    <rPh sb="14" eb="16">
      <t>カイシュウ</t>
    </rPh>
    <phoneticPr fontId="1"/>
  </si>
  <si>
    <t>人日</t>
    <rPh sb="0" eb="2">
      <t>ニンニチ</t>
    </rPh>
    <phoneticPr fontId="1"/>
  </si>
  <si>
    <t>人月</t>
    <rPh sb="0" eb="2">
      <t>ニンゲツ</t>
    </rPh>
    <phoneticPr fontId="1"/>
  </si>
  <si>
    <t>工程別作業工数合算</t>
    <rPh sb="0" eb="3">
      <t>コウテイベツ</t>
    </rPh>
    <rPh sb="3" eb="7">
      <t>サギョウコウスウ</t>
    </rPh>
    <rPh sb="7" eb="9">
      <t>ガッサン</t>
    </rPh>
    <phoneticPr fontId="1"/>
  </si>
  <si>
    <t>※リリース作業は2人対応とする</t>
    <phoneticPr fontId="1"/>
  </si>
  <si>
    <t>開発</t>
    <rPh sb="0" eb="2">
      <t>カイハツ</t>
    </rPh>
    <phoneticPr fontId="1"/>
  </si>
  <si>
    <t>管理</t>
    <rPh sb="0" eb="2">
      <t>カンリ</t>
    </rPh>
    <phoneticPr fontId="1"/>
  </si>
  <si>
    <t>No.</t>
    <phoneticPr fontId="1"/>
  </si>
  <si>
    <t>工場</t>
    <rPh sb="0" eb="2">
      <t>コウジョウ</t>
    </rPh>
    <phoneticPr fontId="1"/>
  </si>
  <si>
    <t>案件名</t>
    <rPh sb="0" eb="2">
      <t>アンケン</t>
    </rPh>
    <rPh sb="2" eb="3">
      <t>メイ</t>
    </rPh>
    <phoneticPr fontId="1"/>
  </si>
  <si>
    <t>完成希望日</t>
    <phoneticPr fontId="1"/>
  </si>
  <si>
    <t>開発目的</t>
    <rPh sb="0" eb="2">
      <t>カイハツ</t>
    </rPh>
    <rPh sb="2" eb="4">
      <t>モクテキ</t>
    </rPh>
    <phoneticPr fontId="1"/>
  </si>
  <si>
    <t>内容</t>
    <rPh sb="0" eb="2">
      <t>ナイヨウ</t>
    </rPh>
    <phoneticPr fontId="1"/>
  </si>
  <si>
    <t>改修内容</t>
    <rPh sb="0" eb="2">
      <t>カイシュウ</t>
    </rPh>
    <rPh sb="2" eb="4">
      <t>ナイヨウ</t>
    </rPh>
    <phoneticPr fontId="1"/>
  </si>
  <si>
    <t>概算工数
開発工数内訳（人日）</t>
    <rPh sb="0" eb="2">
      <t>ガイサン</t>
    </rPh>
    <rPh sb="2" eb="4">
      <t>コウスウ</t>
    </rPh>
    <rPh sb="5" eb="7">
      <t>カイハツ</t>
    </rPh>
    <rPh sb="7" eb="9">
      <t>コウスウ</t>
    </rPh>
    <rPh sb="9" eb="11">
      <t>ウチワケ</t>
    </rPh>
    <rPh sb="12" eb="14">
      <t>ニンニチ</t>
    </rPh>
    <phoneticPr fontId="1"/>
  </si>
  <si>
    <t>概算工数
開発工数（人日）</t>
    <rPh sb="0" eb="2">
      <t>ガイサン</t>
    </rPh>
    <rPh sb="2" eb="4">
      <t>コウスウ</t>
    </rPh>
    <rPh sb="5" eb="7">
      <t>カイハツ</t>
    </rPh>
    <rPh sb="7" eb="9">
      <t>コウスウ</t>
    </rPh>
    <rPh sb="10" eb="12">
      <t>ニンニチ</t>
    </rPh>
    <phoneticPr fontId="1"/>
  </si>
  <si>
    <t>管理工数込み（人日）</t>
    <rPh sb="0" eb="5">
      <t>カンリコウスウコ</t>
    </rPh>
    <phoneticPr fontId="1"/>
  </si>
  <si>
    <t>調査・設計</t>
    <rPh sb="0" eb="2">
      <t>チョウサ</t>
    </rPh>
    <rPh sb="3" eb="5">
      <t>セッケイ</t>
    </rPh>
    <phoneticPr fontId="1"/>
  </si>
  <si>
    <t>PG</t>
    <phoneticPr fontId="1"/>
  </si>
  <si>
    <t>IT</t>
    <phoneticPr fontId="1"/>
  </si>
  <si>
    <t>ST</t>
    <phoneticPr fontId="1"/>
  </si>
  <si>
    <t>OT</t>
    <phoneticPr fontId="1"/>
  </si>
  <si>
    <t>リリース</t>
    <phoneticPr fontId="1"/>
  </si>
  <si>
    <t>合計</t>
    <rPh sb="0" eb="2">
      <t>ゴウケイ</t>
    </rPh>
    <phoneticPr fontId="1"/>
  </si>
  <si>
    <t>PGPT</t>
    <phoneticPr fontId="1"/>
  </si>
  <si>
    <t>備考</t>
    <rPh sb="0" eb="2">
      <t>ビコウ</t>
    </rPh>
    <phoneticPr fontId="1"/>
  </si>
  <si>
    <t>金額</t>
    <rPh sb="0" eb="2">
      <t>キンガク</t>
    </rPh>
    <phoneticPr fontId="1"/>
  </si>
  <si>
    <t>合計金額</t>
    <rPh sb="0" eb="4">
      <t>ゴウケイキンガク</t>
    </rPh>
    <phoneticPr fontId="1"/>
  </si>
  <si>
    <t>千葉工場
製造二課</t>
    <rPh sb="0" eb="4">
      <t>チバコウジョウ</t>
    </rPh>
    <rPh sb="5" eb="7">
      <t>セイゾウ</t>
    </rPh>
    <rPh sb="7" eb="8">
      <t>ニ</t>
    </rPh>
    <rPh sb="8" eb="9">
      <t>カ</t>
    </rPh>
    <phoneticPr fontId="1"/>
  </si>
  <si>
    <t>品質記録表のMES入力化</t>
    <phoneticPr fontId="1"/>
  </si>
  <si>
    <t>品質記録表記載事項を直接PCからMESへ入力し、製造記録と紐づけをして管理を行いたい</t>
  </si>
  <si>
    <t>品質記録記載事項をMESへ入力したい</t>
  </si>
  <si>
    <t>■PG改修
・インフレ品質記録画面作成（製造実績一覧画面にボタンを配置し遷移可能とする）
・検索項目を設ける。製造実績一覧画面の検索条件と同様。
・CSV出力機能を設ける。</t>
    <rPh sb="11" eb="13">
      <t>ヒンシツ</t>
    </rPh>
    <rPh sb="13" eb="15">
      <t>キロク</t>
    </rPh>
    <rPh sb="15" eb="17">
      <t>ガメン</t>
    </rPh>
    <rPh sb="17" eb="19">
      <t>サクセイ</t>
    </rPh>
    <rPh sb="20" eb="22">
      <t>セイゾウ</t>
    </rPh>
    <rPh sb="22" eb="24">
      <t>ジッセキ</t>
    </rPh>
    <rPh sb="24" eb="26">
      <t>イチラン</t>
    </rPh>
    <rPh sb="26" eb="28">
      <t>ガメン</t>
    </rPh>
    <rPh sb="33" eb="35">
      <t>ハイチ</t>
    </rPh>
    <rPh sb="36" eb="38">
      <t>センイ</t>
    </rPh>
    <rPh sb="38" eb="40">
      <t>カノウ</t>
    </rPh>
    <rPh sb="46" eb="48">
      <t>ケンサク</t>
    </rPh>
    <rPh sb="48" eb="50">
      <t>コウモク</t>
    </rPh>
    <rPh sb="51" eb="52">
      <t>モウ</t>
    </rPh>
    <rPh sb="55" eb="61">
      <t>セイゾウジッセキイチラン</t>
    </rPh>
    <rPh sb="61" eb="63">
      <t>ガメン</t>
    </rPh>
    <rPh sb="64" eb="68">
      <t>ケンサクジョウケン</t>
    </rPh>
    <rPh sb="69" eb="71">
      <t>ドウヨウ</t>
    </rPh>
    <rPh sb="77" eb="81">
      <t>シュツリョクキノウ</t>
    </rPh>
    <rPh sb="82" eb="83">
      <t>モウ</t>
    </rPh>
    <phoneticPr fontId="1"/>
  </si>
  <si>
    <t>製造指示書の特記事項欄を大きくするもしくは、文字サイズ調整や入力数を変更</t>
  </si>
  <si>
    <t>■PG改修
・特記事項欄の入力可能文字数を増やす。（項目拡大もしくは、文字サイズ縮小可）</t>
    <rPh sb="7" eb="11">
      <t>トッキジコウ</t>
    </rPh>
    <rPh sb="11" eb="12">
      <t>ラン</t>
    </rPh>
    <rPh sb="13" eb="15">
      <t>ニュウリョク</t>
    </rPh>
    <rPh sb="15" eb="17">
      <t>カノウ</t>
    </rPh>
    <rPh sb="17" eb="20">
      <t>モジスウ</t>
    </rPh>
    <rPh sb="21" eb="22">
      <t>フ</t>
    </rPh>
    <rPh sb="26" eb="28">
      <t>コウモク</t>
    </rPh>
    <rPh sb="28" eb="30">
      <t>カクダイ</t>
    </rPh>
    <rPh sb="35" eb="37">
      <t>モジ</t>
    </rPh>
    <rPh sb="40" eb="42">
      <t>シュクショウ</t>
    </rPh>
    <rPh sb="42" eb="43">
      <t>カ</t>
    </rPh>
    <phoneticPr fontId="1"/>
  </si>
  <si>
    <t>製品重量を製造記録表へ記載し、その情報をMESへ入力している</t>
  </si>
  <si>
    <t>兵庫工場と同様に製品リフターで計測した重量を自動でMESへ取り込みたい</t>
  </si>
  <si>
    <t>■前提条件
・計測PCおよび、それに接続する重量計等の設備の準備をいただく。
・現地動作確認PCは1台を想定。
■PG改修
・三重MESの台秤アプリを流用する。
・重量計で測定した値を計測PC経由でMESデータベースに登録する。</t>
    <rPh sb="1" eb="5">
      <t>ゼンテイジョウケン</t>
    </rPh>
    <rPh sb="7" eb="9">
      <t>ケイソク</t>
    </rPh>
    <rPh sb="18" eb="20">
      <t>セツゾク</t>
    </rPh>
    <rPh sb="22" eb="25">
      <t>ジュウリョウケイ</t>
    </rPh>
    <rPh sb="25" eb="26">
      <t>トウ</t>
    </rPh>
    <rPh sb="27" eb="29">
      <t>セツビ</t>
    </rPh>
    <rPh sb="30" eb="32">
      <t>ジュンビ</t>
    </rPh>
    <rPh sb="40" eb="42">
      <t>ゲンチ</t>
    </rPh>
    <rPh sb="42" eb="46">
      <t>ドウサカクニン</t>
    </rPh>
    <rPh sb="50" eb="51">
      <t>ダイ</t>
    </rPh>
    <rPh sb="52" eb="54">
      <t>ソウテイ</t>
    </rPh>
    <rPh sb="59" eb="61">
      <t>カイシュウ</t>
    </rPh>
    <rPh sb="63" eb="65">
      <t>ミエ</t>
    </rPh>
    <rPh sb="69" eb="71">
      <t>ダイバカリ</t>
    </rPh>
    <rPh sb="75" eb="77">
      <t>リュウヨウ</t>
    </rPh>
    <rPh sb="82" eb="85">
      <t>ジュウリョウケイ</t>
    </rPh>
    <rPh sb="86" eb="88">
      <t>ソクテイ</t>
    </rPh>
    <rPh sb="90" eb="91">
      <t>アタイ</t>
    </rPh>
    <rPh sb="92" eb="94">
      <t>ケイソク</t>
    </rPh>
    <rPh sb="96" eb="98">
      <t>ケイユ</t>
    </rPh>
    <rPh sb="109" eb="111">
      <t>トウロク</t>
    </rPh>
    <phoneticPr fontId="1"/>
  </si>
  <si>
    <t>運転記録表をiPadまたはPC入力としMESで製造記録表と紐づけを行う</t>
  </si>
  <si>
    <t>運転記録表をPC等で入力しMESで製造記録表と紐づけを行う</t>
  </si>
  <si>
    <t>二次加工一覧における指示書の一括および個別印刷</t>
    <rPh sb="0" eb="4">
      <t>ニジカコウ</t>
    </rPh>
    <rPh sb="4" eb="6">
      <t>イチラン</t>
    </rPh>
    <rPh sb="10" eb="13">
      <t>シジショ</t>
    </rPh>
    <rPh sb="14" eb="16">
      <t>イッカツ</t>
    </rPh>
    <rPh sb="19" eb="23">
      <t>コベツインサツ</t>
    </rPh>
    <phoneticPr fontId="1"/>
  </si>
  <si>
    <t>作業時間の短縮</t>
    <rPh sb="0" eb="4">
      <t>サギョウジカン</t>
    </rPh>
    <rPh sb="5" eb="7">
      <t>タンシュク</t>
    </rPh>
    <phoneticPr fontId="1"/>
  </si>
  <si>
    <t>二次加工一覧において、各品転指示番号を選択し、選択された指示番号が印刷できるようにしたい。</t>
    <rPh sb="0" eb="6">
      <t>ニジカコウイチラン</t>
    </rPh>
    <rPh sb="11" eb="18">
      <t>カクヒンテンシジバンゴウ</t>
    </rPh>
    <rPh sb="19" eb="21">
      <t>センタク</t>
    </rPh>
    <rPh sb="23" eb="25">
      <t>センタク</t>
    </rPh>
    <rPh sb="28" eb="32">
      <t>シジバンゴウ</t>
    </rPh>
    <rPh sb="33" eb="35">
      <t>インサツ</t>
    </rPh>
    <phoneticPr fontId="1"/>
  </si>
  <si>
    <t>■PG改修
・加工依頼一覧画面で選択した加工依頼書をまとめて印刷できるようにする。
　（現行のシステムでは、加工依頼書作成画面に遷移し、一見ずつ印刷する。）
・印刷済みフラグは不要。複数回印刷可能。
・全選択ボタンは不要。</t>
    <rPh sb="3" eb="5">
      <t>カイシュウ</t>
    </rPh>
    <rPh sb="7" eb="13">
      <t>カコウイライイチラン</t>
    </rPh>
    <rPh sb="13" eb="15">
      <t>ガメン</t>
    </rPh>
    <rPh sb="16" eb="18">
      <t>センタク</t>
    </rPh>
    <rPh sb="20" eb="22">
      <t>カコウ</t>
    </rPh>
    <rPh sb="22" eb="25">
      <t>イライショ</t>
    </rPh>
    <rPh sb="30" eb="32">
      <t>インサツ</t>
    </rPh>
    <rPh sb="44" eb="46">
      <t>ゲンコウ</t>
    </rPh>
    <rPh sb="54" eb="58">
      <t>カコウイライ</t>
    </rPh>
    <rPh sb="58" eb="59">
      <t>ショ</t>
    </rPh>
    <rPh sb="59" eb="61">
      <t>サクセイ</t>
    </rPh>
    <rPh sb="61" eb="63">
      <t>ガメン</t>
    </rPh>
    <rPh sb="64" eb="66">
      <t>センイ</t>
    </rPh>
    <rPh sb="68" eb="70">
      <t>イッケン</t>
    </rPh>
    <rPh sb="72" eb="74">
      <t>インサツ</t>
    </rPh>
    <rPh sb="80" eb="83">
      <t>インサツズ</t>
    </rPh>
    <rPh sb="88" eb="90">
      <t>フヨウ</t>
    </rPh>
    <rPh sb="91" eb="94">
      <t>フクスウカイ</t>
    </rPh>
    <rPh sb="94" eb="96">
      <t>インサツ</t>
    </rPh>
    <rPh sb="96" eb="98">
      <t>カノウ</t>
    </rPh>
    <rPh sb="101" eb="104">
      <t>ゼンセンタク</t>
    </rPh>
    <rPh sb="108" eb="110">
      <t>フヨウ</t>
    </rPh>
    <phoneticPr fontId="1"/>
  </si>
  <si>
    <t>納入先一覧の50音表示</t>
    <rPh sb="0" eb="5">
      <t>ノウニュウサキイチラン</t>
    </rPh>
    <rPh sb="8" eb="11">
      <t>オンヒョウジ</t>
    </rPh>
    <phoneticPr fontId="1"/>
  </si>
  <si>
    <t>納入先マスタが増え、指示書で選択する際に時間を要すため</t>
    <rPh sb="0" eb="3">
      <t>ノウニュウサキ</t>
    </rPh>
    <rPh sb="7" eb="8">
      <t>フ</t>
    </rPh>
    <rPh sb="10" eb="13">
      <t>シジショ</t>
    </rPh>
    <rPh sb="14" eb="16">
      <t>センタク</t>
    </rPh>
    <rPh sb="18" eb="19">
      <t>サイ</t>
    </rPh>
    <rPh sb="20" eb="22">
      <t>ジカン</t>
    </rPh>
    <rPh sb="23" eb="24">
      <t>ヨウ</t>
    </rPh>
    <phoneticPr fontId="1"/>
  </si>
  <si>
    <t>納入先一覧を、登録番号順のほかに、50音順表示も追加してほしい。</t>
    <rPh sb="0" eb="5">
      <t>ノウニュウサキイチラン</t>
    </rPh>
    <rPh sb="7" eb="12">
      <t>トウロクバンゴウジュン</t>
    </rPh>
    <rPh sb="19" eb="20">
      <t>オン</t>
    </rPh>
    <rPh sb="20" eb="21">
      <t>ジュン</t>
    </rPh>
    <rPh sb="21" eb="23">
      <t>ヒョウジ</t>
    </rPh>
    <rPh sb="24" eb="26">
      <t>ツイカ</t>
    </rPh>
    <phoneticPr fontId="1"/>
  </si>
  <si>
    <t>■PG改修
・検索（納入先）画面のソート番号を追加する。
・ソート番号はマスタ管理画面から登録、変更可能。
・ソート番号は検索（納入先）画面には表示しない。</t>
    <rPh sb="3" eb="5">
      <t>カイシュウ</t>
    </rPh>
    <rPh sb="7" eb="9">
      <t>ケンサク</t>
    </rPh>
    <rPh sb="10" eb="13">
      <t>ノウニュウサキ</t>
    </rPh>
    <rPh sb="14" eb="16">
      <t>ガメン</t>
    </rPh>
    <rPh sb="20" eb="22">
      <t>バンゴウ</t>
    </rPh>
    <rPh sb="23" eb="25">
      <t>ツイカ</t>
    </rPh>
    <rPh sb="39" eb="43">
      <t>カンリガメン</t>
    </rPh>
    <rPh sb="45" eb="47">
      <t>トウロク</t>
    </rPh>
    <rPh sb="48" eb="50">
      <t>ヘンコウ</t>
    </rPh>
    <rPh sb="50" eb="52">
      <t>カノウ</t>
    </rPh>
    <rPh sb="58" eb="60">
      <t>バンゴウ</t>
    </rPh>
    <rPh sb="61" eb="63">
      <t>ケンサク</t>
    </rPh>
    <rPh sb="64" eb="67">
      <t>ノウニュウサキ</t>
    </rPh>
    <rPh sb="68" eb="70">
      <t>ガメン</t>
    </rPh>
    <rPh sb="72" eb="74">
      <t>ヒョウジ</t>
    </rPh>
    <phoneticPr fontId="1"/>
  </si>
  <si>
    <t>同一品転指示内容の複写</t>
    <rPh sb="0" eb="2">
      <t>ドウイツ</t>
    </rPh>
    <rPh sb="2" eb="4">
      <t>ヒンテン</t>
    </rPh>
    <rPh sb="4" eb="6">
      <t>シジ</t>
    </rPh>
    <rPh sb="6" eb="8">
      <t>ナイヨウ</t>
    </rPh>
    <rPh sb="9" eb="11">
      <t>フクシャ</t>
    </rPh>
    <phoneticPr fontId="1"/>
  </si>
  <si>
    <t>クレストでは、パレット積載本数による品転指示が基本となっているため、同一内容の品転指示を一度に複数回入力しているが、この同一内容の品転指示を、別の新規の品転指示No.にコピーできるようにしたい</t>
    <rPh sb="11" eb="15">
      <t>セキサイホンスウ</t>
    </rPh>
    <rPh sb="18" eb="22">
      <t>ヒンテンシジ</t>
    </rPh>
    <rPh sb="23" eb="25">
      <t>キホン</t>
    </rPh>
    <rPh sb="34" eb="38">
      <t>ドウイツナイヨウ</t>
    </rPh>
    <rPh sb="39" eb="43">
      <t>ヒンテンシジ</t>
    </rPh>
    <rPh sb="44" eb="46">
      <t>イチド</t>
    </rPh>
    <rPh sb="47" eb="50">
      <t>フクスウカイ</t>
    </rPh>
    <rPh sb="50" eb="52">
      <t>ニュウリョク</t>
    </rPh>
    <rPh sb="60" eb="62">
      <t>ドウイツ</t>
    </rPh>
    <rPh sb="62" eb="64">
      <t>ナイヨウ</t>
    </rPh>
    <rPh sb="65" eb="69">
      <t>ヒンテンシジ</t>
    </rPh>
    <rPh sb="71" eb="72">
      <t>ベツ</t>
    </rPh>
    <rPh sb="73" eb="75">
      <t>シンキ</t>
    </rPh>
    <rPh sb="76" eb="80">
      <t>ヒンテンシジ</t>
    </rPh>
    <phoneticPr fontId="1"/>
  </si>
  <si>
    <t>■PG改修
・加工依頼書作成画面にコピー（複写）ボタンを追加する。
・コピー（複写）ボタン押下すると、値はそのままに新指示Noに複写可能となる。
・加工指示タブ、加工/検品タブ、梱包仕様タブが対象。</t>
    <rPh sb="3" eb="5">
      <t>カイシュウ</t>
    </rPh>
    <rPh sb="7" eb="12">
      <t>カコウイライショ</t>
    </rPh>
    <rPh sb="12" eb="14">
      <t>サクセイ</t>
    </rPh>
    <rPh sb="14" eb="16">
      <t>ガメン</t>
    </rPh>
    <rPh sb="21" eb="23">
      <t>フクシャ</t>
    </rPh>
    <rPh sb="28" eb="30">
      <t>ツイカ</t>
    </rPh>
    <rPh sb="39" eb="41">
      <t>フクシャ</t>
    </rPh>
    <rPh sb="45" eb="47">
      <t>オウカ</t>
    </rPh>
    <rPh sb="51" eb="52">
      <t>アタイ</t>
    </rPh>
    <rPh sb="58" eb="59">
      <t>シン</t>
    </rPh>
    <rPh sb="59" eb="61">
      <t>シジ</t>
    </rPh>
    <rPh sb="64" eb="66">
      <t>フクシャ</t>
    </rPh>
    <rPh sb="66" eb="68">
      <t>カノウ</t>
    </rPh>
    <rPh sb="74" eb="78">
      <t>カコウシジ</t>
    </rPh>
    <rPh sb="81" eb="83">
      <t>カコウ</t>
    </rPh>
    <rPh sb="84" eb="86">
      <t>ケンピン</t>
    </rPh>
    <rPh sb="89" eb="93">
      <t>コンポウシヨウ</t>
    </rPh>
    <rPh sb="96" eb="98">
      <t>タイショウ</t>
    </rPh>
    <phoneticPr fontId="1"/>
  </si>
  <si>
    <t>御見積の前提条件</t>
    <rPh sb="0" eb="3">
      <t>オミツモリ</t>
    </rPh>
    <rPh sb="4" eb="6">
      <t>ゼンテイ</t>
    </rPh>
    <rPh sb="6" eb="8">
      <t>ジョウケン</t>
    </rPh>
    <phoneticPr fontId="1"/>
  </si>
  <si>
    <t>リリース工数、初期流動工数を含んでおります。</t>
    <rPh sb="4" eb="6">
      <t>コウスウ</t>
    </rPh>
    <rPh sb="7" eb="11">
      <t>ショキリュウドウ</t>
    </rPh>
    <rPh sb="11" eb="13">
      <t>コウスウ</t>
    </rPh>
    <rPh sb="14" eb="15">
      <t>フク</t>
    </rPh>
    <phoneticPr fontId="1"/>
  </si>
  <si>
    <t>費用は開発業務と管理業務で算出しております。</t>
    <phoneticPr fontId="1"/>
  </si>
  <si>
    <t>弊社千葉事業所（在宅勤務を含む）での作業を前提としております。現地等遠隔地での作業が発生する場合は、工数を変更する場合があります。</t>
    <rPh sb="8" eb="10">
      <t>ザイタク</t>
    </rPh>
    <rPh sb="10" eb="12">
      <t>キンム</t>
    </rPh>
    <rPh sb="13" eb="14">
      <t>フク</t>
    </rPh>
    <phoneticPr fontId="1"/>
  </si>
  <si>
    <t>現地等遠隔地での作業が発生した場合は、交通費・宿泊費等の必要経費を別途ご請求させて頂きます。</t>
  </si>
  <si>
    <t>御見積の工数には、ハードウェア・ミドルウェア等にかかる費用は含まれておりません。</t>
  </si>
  <si>
    <t>開発概算工数内訳
（人日）</t>
    <rPh sb="0" eb="2">
      <t>カイハツ</t>
    </rPh>
    <rPh sb="2" eb="4">
      <t>ガイサン</t>
    </rPh>
    <rPh sb="4" eb="6">
      <t>コウスウ</t>
    </rPh>
    <rPh sb="6" eb="8">
      <t>ウチワケ</t>
    </rPh>
    <rPh sb="10" eb="12">
      <t>ニンニチ</t>
    </rPh>
    <phoneticPr fontId="1"/>
  </si>
  <si>
    <t>管理工数込み
（人日）</t>
    <rPh sb="0" eb="2">
      <t>カンリ</t>
    </rPh>
    <rPh sb="2" eb="4">
      <t>コウスウ</t>
    </rPh>
    <rPh sb="4" eb="5">
      <t>コ</t>
    </rPh>
    <rPh sb="8" eb="10">
      <t>ニンニチ</t>
    </rPh>
    <phoneticPr fontId="1"/>
  </si>
  <si>
    <t>(人日)</t>
    <rPh sb="1" eb="3">
      <t>ニンニチ</t>
    </rPh>
    <phoneticPr fontId="1"/>
  </si>
  <si>
    <t>内容</t>
    <phoneticPr fontId="1"/>
  </si>
  <si>
    <t>調査
設計</t>
    <phoneticPr fontId="1"/>
  </si>
  <si>
    <t>リリ
ース</t>
    <phoneticPr fontId="1"/>
  </si>
  <si>
    <t>小計</t>
    <rPh sb="0" eb="2">
      <t>ショウケイ</t>
    </rPh>
    <phoneticPr fontId="1"/>
  </si>
  <si>
    <t>合計</t>
    <phoneticPr fontId="1"/>
  </si>
  <si>
    <t>管理工数込み</t>
    <phoneticPr fontId="1"/>
  </si>
  <si>
    <t>着手</t>
    <rPh sb="0" eb="2">
      <t>チャクシュ</t>
    </rPh>
    <phoneticPr fontId="1"/>
  </si>
  <si>
    <t>体制</t>
    <rPh sb="0" eb="2">
      <t>タイセイ</t>
    </rPh>
    <phoneticPr fontId="1"/>
  </si>
  <si>
    <t>PM</t>
    <phoneticPr fontId="1"/>
  </si>
  <si>
    <t>髙橋裕輔</t>
    <rPh sb="0" eb="4">
      <t>タカハシユウスケ</t>
    </rPh>
    <phoneticPr fontId="1"/>
  </si>
  <si>
    <t>PL</t>
    <phoneticPr fontId="1"/>
  </si>
  <si>
    <t>関谷亮</t>
    <rPh sb="0" eb="2">
      <t>セキヤ</t>
    </rPh>
    <rPh sb="2" eb="3">
      <t>リョウ</t>
    </rPh>
    <phoneticPr fontId="1"/>
  </si>
  <si>
    <t>SE</t>
    <phoneticPr fontId="1"/>
  </si>
  <si>
    <t>森田泰博</t>
    <phoneticPr fontId="1"/>
  </si>
  <si>
    <t>製造指示書改修</t>
    <phoneticPr fontId="1"/>
  </si>
  <si>
    <t>製造指示書の特記事項欄文字入力数を増やして手書き対応をやめる</t>
    <phoneticPr fontId="1"/>
  </si>
  <si>
    <t>製品重量をMESへ自動取り込み</t>
    <phoneticPr fontId="1"/>
  </si>
  <si>
    <t>運転記録表の電子化</t>
    <phoneticPr fontId="1"/>
  </si>
  <si>
    <t>■PG改修
・インフレ運転記録画面作成（製造実績一覧画面にボタンを配置し遷移可能とする）
・対象は次の7画面（号機で項目が異なる）：IS-1、IS-2、IS-5（ナチュラル）、IS-5（色物）、IS-7（単層）、IS-7（多層）、IS-8
・検索項目を設ける。製造実績一覧画面の検索条件と同様。
・CSV出力機能を設ける。</t>
    <phoneticPr fontId="1"/>
  </si>
  <si>
    <t>2026/3/31
未定</t>
    <rPh sb="10" eb="12">
      <t>ミテイ</t>
    </rPh>
    <phoneticPr fontId="1"/>
  </si>
  <si>
    <t>作業者1名</t>
    <rPh sb="0" eb="3">
      <t>サギョウシャ</t>
    </rPh>
    <rPh sb="4" eb="5">
      <t>メイ</t>
    </rPh>
    <phoneticPr fontId="1"/>
  </si>
  <si>
    <t>納品物：設計書、結合テスト仕様書兼結果報告書、ソースコード、システムテスト仕様書兼結果報告書</t>
    <rPh sb="0" eb="3">
      <t>ノウヒンブツ</t>
    </rPh>
    <phoneticPr fontId="1"/>
  </si>
  <si>
    <t>（納品物が追加となる場合、工数が変動する場合がございます。）</t>
    <rPh sb="1" eb="4">
      <t>ノウヒンブツ</t>
    </rPh>
    <rPh sb="5" eb="7">
      <t>ツイカ</t>
    </rPh>
    <rPh sb="10" eb="12">
      <t>バアイ</t>
    </rPh>
    <rPh sb="13" eb="15">
      <t>コウスウ</t>
    </rPh>
    <rPh sb="16" eb="18">
      <t>ヘンドウ</t>
    </rPh>
    <rPh sb="20" eb="22">
      <t>バアイ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</si>
</sst>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Red]&quot;¥&quot;\-#,##0"/>
    <numFmt numFmtId="176" formatCode="#,##0.0_ "/>
    <numFmt numFmtId="177" formatCode="0.0"/>
    <numFmt numFmtId="178" formatCode="&quot;¥&quot;#,##0_);[Red]\(&quot;¥&quot;#,##0\)"/>
    <numFmt numFmtId="179" formatCode="#,##0.00_ "/>
    <numFmt numFmtId="180" formatCode="m/d;@"/>
  </numFmts>
  <fonts count="9"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scheme val="minor"/>
    </font>
    <font>
      <b/>
      <sz val="11"/>
      <color theme="0"/>
      <name val="游ゴシック"/>
      <family val="3"/>
      <charset val="128"/>
      <scheme val="minor"/>
    </font>
    <font>
      <b/>
      <sz val="14"/>
      <color theme="1"/>
      <name val="游ゴシック"/>
      <family val="3"/>
      <charset val="128"/>
      <scheme val="minor"/>
    </font>
    <font>
      <b/>
      <sz val="11"/>
      <color theme="1"/>
      <name val="游ゴシック"/>
      <family val="3"/>
      <charset val="128"/>
      <scheme val="minor"/>
    </font>
    <font>
      <sz val="11"/>
      <color theme="1"/>
      <name val="游ゴシック"/>
      <family val="2"/>
      <charset val="128"/>
      <scheme val="minor"/>
    </font>
    <font>
      <sz val="11"/>
      <name val="游ゴシック"/>
      <family val="2"/>
      <charset val="128"/>
      <scheme val="minor"/>
    </font>
    <font>
      <sz val="11"/>
      <name val="游ゴシック"/>
      <family val="3"/>
      <charset val="128"/>
      <scheme val="minor"/>
    </font>
  </fonts>
  <fills count="5">
    <fill>
      <patternFill patternType="none"/>
    </fill>
    <fill>
      <patternFill patternType="gray125"/>
    </fill>
    <fill>
      <patternFill patternType="solid">
        <fgColor theme="6"/>
        <bgColor indexed="64"/>
      </patternFill>
    </fill>
    <fill>
      <patternFill patternType="solid">
        <fgColor theme="8" tint="0.79998168889431442"/>
        <bgColor indexed="64"/>
      </patternFill>
    </fill>
    <fill>
      <patternFill patternType="solid">
        <fgColor theme="9" tint="0.79998168889431442"/>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s>
  <cellStyleXfs count="3">
    <xf numFmtId="0" fontId="0" fillId="0" borderId="0">
      <alignment vertical="center"/>
    </xf>
    <xf numFmtId="0" fontId="2" fillId="0" borderId="0">
      <alignment vertical="center"/>
    </xf>
    <xf numFmtId="6" fontId="6" fillId="0" borderId="0" applyFont="0" applyFill="0" applyBorder="0" applyAlignment="0" applyProtection="0">
      <alignment vertical="center"/>
    </xf>
  </cellStyleXfs>
  <cellXfs count="71">
    <xf numFmtId="0" fontId="0" fillId="0" borderId="0" xfId="0">
      <alignment vertical="center"/>
    </xf>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xf>
    <xf numFmtId="0" fontId="3" fillId="2" borderId="1" xfId="0" applyFont="1" applyFill="1" applyBorder="1" applyAlignment="1">
      <alignment horizontal="left" vertical="top"/>
    </xf>
    <xf numFmtId="0" fontId="3" fillId="2" borderId="1" xfId="0" applyFont="1" applyFill="1" applyBorder="1" applyAlignment="1">
      <alignment vertical="top"/>
    </xf>
    <xf numFmtId="0" fontId="3" fillId="2" borderId="1" xfId="0" applyFont="1" applyFill="1" applyBorder="1" applyAlignment="1">
      <alignment vertical="top" wrapText="1"/>
    </xf>
    <xf numFmtId="176" fontId="0" fillId="0" borderId="0" xfId="0" applyNumberFormat="1" applyAlignment="1">
      <alignment vertical="top"/>
    </xf>
    <xf numFmtId="0" fontId="4" fillId="0" borderId="0" xfId="0" applyFont="1" applyAlignment="1">
      <alignment horizontal="left" vertical="top"/>
    </xf>
    <xf numFmtId="0" fontId="0" fillId="0" borderId="2" xfId="0" applyBorder="1" applyAlignment="1">
      <alignment horizontal="left" vertical="top"/>
    </xf>
    <xf numFmtId="0" fontId="0" fillId="0" borderId="3" xfId="0" applyBorder="1" applyAlignment="1">
      <alignment vertical="top"/>
    </xf>
    <xf numFmtId="0" fontId="0" fillId="0" borderId="3" xfId="0" applyBorder="1" applyAlignment="1">
      <alignment vertical="top" wrapText="1"/>
    </xf>
    <xf numFmtId="0" fontId="0" fillId="0" borderId="4" xfId="0" applyBorder="1" applyAlignment="1">
      <alignment horizontal="left" vertical="top"/>
    </xf>
    <xf numFmtId="0" fontId="0" fillId="0" borderId="5" xfId="0" applyBorder="1" applyAlignment="1">
      <alignment horizontal="left" vertical="top"/>
    </xf>
    <xf numFmtId="0" fontId="0" fillId="0" borderId="6" xfId="0" applyBorder="1" applyAlignment="1">
      <alignment vertical="top"/>
    </xf>
    <xf numFmtId="0" fontId="0" fillId="0" borderId="6" xfId="0" applyBorder="1" applyAlignment="1">
      <alignment vertical="top" wrapText="1"/>
    </xf>
    <xf numFmtId="176" fontId="0" fillId="0" borderId="7" xfId="0" applyNumberFormat="1" applyBorder="1" applyAlignment="1">
      <alignment vertical="top"/>
    </xf>
    <xf numFmtId="176" fontId="0" fillId="0" borderId="8" xfId="0" applyNumberFormat="1" applyBorder="1" applyAlignment="1">
      <alignment vertical="top"/>
    </xf>
    <xf numFmtId="176" fontId="0" fillId="0" borderId="9" xfId="0" applyNumberFormat="1" applyBorder="1" applyAlignment="1">
      <alignment vertical="top"/>
    </xf>
    <xf numFmtId="176" fontId="3" fillId="2" borderId="1" xfId="0" applyNumberFormat="1" applyFont="1" applyFill="1" applyBorder="1" applyAlignment="1">
      <alignment horizontal="center" vertical="top" wrapText="1"/>
    </xf>
    <xf numFmtId="0" fontId="0" fillId="0" borderId="1" xfId="0" applyBorder="1" applyAlignment="1">
      <alignment vertical="top" wrapText="1"/>
    </xf>
    <xf numFmtId="0" fontId="2" fillId="0" borderId="1" xfId="0" applyFont="1" applyBorder="1" applyAlignment="1">
      <alignment vertical="top" wrapText="1"/>
    </xf>
    <xf numFmtId="177" fontId="0" fillId="0" borderId="0" xfId="0" applyNumberFormat="1" applyAlignment="1">
      <alignment vertical="top"/>
    </xf>
    <xf numFmtId="0" fontId="0" fillId="0" borderId="1" xfId="0" applyBorder="1" applyAlignment="1">
      <alignment vertical="top"/>
    </xf>
    <xf numFmtId="176" fontId="3" fillId="2" borderId="12" xfId="0" applyNumberFormat="1" applyFont="1" applyFill="1" applyBorder="1" applyAlignment="1">
      <alignment horizontal="center" vertical="top" wrapText="1"/>
    </xf>
    <xf numFmtId="176" fontId="3" fillId="0" borderId="0" xfId="0" applyNumberFormat="1" applyFont="1" applyAlignment="1">
      <alignment horizontal="center" vertical="top" wrapText="1"/>
    </xf>
    <xf numFmtId="0" fontId="5" fillId="0" borderId="0" xfId="0" applyFont="1" applyAlignment="1">
      <alignment horizontal="center" vertical="center"/>
    </xf>
    <xf numFmtId="178" fontId="0" fillId="0" borderId="1" xfId="0" applyNumberFormat="1" applyBorder="1" applyAlignment="1">
      <alignment vertical="top"/>
    </xf>
    <xf numFmtId="0" fontId="0" fillId="0" borderId="1" xfId="0" applyBorder="1" applyAlignment="1">
      <alignment horizontal="left" vertical="top" wrapText="1"/>
    </xf>
    <xf numFmtId="176" fontId="0" fillId="0" borderId="1" xfId="0" applyNumberFormat="1" applyBorder="1" applyAlignment="1">
      <alignment horizontal="right" vertical="top"/>
    </xf>
    <xf numFmtId="176" fontId="0" fillId="0" borderId="1" xfId="0" applyNumberFormat="1" applyBorder="1" applyAlignment="1">
      <alignment vertical="top"/>
    </xf>
    <xf numFmtId="176" fontId="0" fillId="0" borderId="11" xfId="0" applyNumberFormat="1" applyBorder="1" applyAlignment="1">
      <alignment horizontal="right" vertical="top"/>
    </xf>
    <xf numFmtId="49" fontId="0" fillId="0" borderId="0" xfId="0" applyNumberFormat="1" applyAlignment="1">
      <alignment horizontal="right" vertical="top"/>
    </xf>
    <xf numFmtId="179" fontId="0" fillId="0" borderId="1" xfId="0" applyNumberFormat="1" applyBorder="1" applyAlignment="1">
      <alignment horizontal="right" vertical="top"/>
    </xf>
    <xf numFmtId="0" fontId="0" fillId="0" borderId="11" xfId="0" applyBorder="1" applyAlignment="1">
      <alignment vertical="top" wrapText="1"/>
    </xf>
    <xf numFmtId="6" fontId="0" fillId="0" borderId="10" xfId="2" applyFont="1" applyBorder="1" applyAlignment="1">
      <alignment horizontal="right" vertical="top" wrapText="1"/>
    </xf>
    <xf numFmtId="176" fontId="0" fillId="0" borderId="0" xfId="0" applyNumberFormat="1">
      <alignment vertical="center"/>
    </xf>
    <xf numFmtId="14" fontId="0" fillId="0" borderId="11" xfId="0" applyNumberFormat="1" applyBorder="1" applyAlignment="1">
      <alignment vertical="top" wrapText="1"/>
    </xf>
    <xf numFmtId="0" fontId="2" fillId="0" borderId="0" xfId="0" applyFont="1" applyAlignment="1">
      <alignment vertical="top" wrapText="1"/>
    </xf>
    <xf numFmtId="14" fontId="0" fillId="0" borderId="0" xfId="0" applyNumberFormat="1" applyAlignment="1">
      <alignment vertical="top" wrapText="1"/>
    </xf>
    <xf numFmtId="177" fontId="0" fillId="0" borderId="0" xfId="0" applyNumberFormat="1" applyAlignment="1">
      <alignment vertical="top" wrapText="1"/>
    </xf>
    <xf numFmtId="180" fontId="3" fillId="2" borderId="1" xfId="0" applyNumberFormat="1" applyFont="1" applyFill="1" applyBorder="1" applyAlignment="1">
      <alignment vertical="top" wrapText="1"/>
    </xf>
    <xf numFmtId="177" fontId="0" fillId="0" borderId="1" xfId="0" applyNumberFormat="1" applyBorder="1" applyAlignment="1">
      <alignment vertical="top" wrapText="1"/>
    </xf>
    <xf numFmtId="6" fontId="0" fillId="0" borderId="1" xfId="2" applyFont="1" applyFill="1" applyBorder="1" applyAlignment="1">
      <alignment vertical="top"/>
    </xf>
    <xf numFmtId="0" fontId="0" fillId="0" borderId="0" xfId="0" applyAlignment="1">
      <alignment horizontal="left" vertical="top" wrapText="1"/>
    </xf>
    <xf numFmtId="6" fontId="0" fillId="0" borderId="1" xfId="2" applyFont="1" applyBorder="1" applyAlignment="1">
      <alignment horizontal="right" vertical="top" wrapText="1"/>
    </xf>
    <xf numFmtId="14" fontId="0" fillId="0" borderId="1" xfId="0" applyNumberFormat="1" applyBorder="1" applyAlignment="1">
      <alignment vertical="top" wrapText="1"/>
    </xf>
    <xf numFmtId="0" fontId="0" fillId="0" borderId="1" xfId="0" applyBorder="1" applyAlignment="1">
      <alignment horizontal="left" vertical="top"/>
    </xf>
    <xf numFmtId="14" fontId="0" fillId="0" borderId="14" xfId="0" applyNumberFormat="1" applyBorder="1" applyAlignment="1">
      <alignment vertical="top" wrapText="1"/>
    </xf>
    <xf numFmtId="14" fontId="0" fillId="0" borderId="15" xfId="0" applyNumberFormat="1" applyBorder="1" applyAlignment="1">
      <alignment vertical="top" wrapText="1"/>
    </xf>
    <xf numFmtId="14" fontId="0" fillId="0" borderId="16" xfId="0" applyNumberFormat="1" applyBorder="1" applyAlignment="1">
      <alignment vertical="top" wrapText="1"/>
    </xf>
    <xf numFmtId="14" fontId="0" fillId="0" borderId="17" xfId="0" applyNumberFormat="1" applyBorder="1" applyAlignment="1">
      <alignment vertical="top" wrapText="1"/>
    </xf>
    <xf numFmtId="179" fontId="0" fillId="0" borderId="0" xfId="0" applyNumberFormat="1" applyAlignment="1">
      <alignment vertical="top"/>
    </xf>
    <xf numFmtId="14" fontId="0" fillId="0" borderId="15" xfId="0" applyNumberFormat="1" applyBorder="1" applyAlignment="1">
      <alignment vertical="top"/>
    </xf>
    <xf numFmtId="14" fontId="0" fillId="0" borderId="0" xfId="0" applyNumberFormat="1">
      <alignment vertical="center"/>
    </xf>
    <xf numFmtId="14" fontId="0" fillId="0" borderId="1" xfId="0" applyNumberFormat="1" applyBorder="1" applyAlignment="1">
      <alignment horizontal="right" vertical="top" wrapText="1"/>
    </xf>
    <xf numFmtId="177" fontId="0" fillId="0" borderId="10" xfId="0" applyNumberFormat="1" applyBorder="1" applyAlignment="1">
      <alignment vertical="top"/>
    </xf>
    <xf numFmtId="177" fontId="0" fillId="0" borderId="13" xfId="0" applyNumberFormat="1" applyBorder="1" applyAlignment="1">
      <alignment vertical="top"/>
    </xf>
    <xf numFmtId="177" fontId="0" fillId="0" borderId="11" xfId="0" applyNumberFormat="1" applyBorder="1" applyAlignment="1">
      <alignment vertical="top"/>
    </xf>
    <xf numFmtId="0" fontId="5" fillId="4" borderId="1" xfId="0" applyFont="1" applyFill="1" applyBorder="1" applyAlignment="1">
      <alignment horizontal="center" vertical="top"/>
    </xf>
    <xf numFmtId="0" fontId="5" fillId="3" borderId="1" xfId="0" applyFont="1" applyFill="1" applyBorder="1" applyAlignment="1">
      <alignment horizontal="center" vertical="top"/>
    </xf>
    <xf numFmtId="0" fontId="5" fillId="4" borderId="11" xfId="0" applyFont="1" applyFill="1" applyBorder="1" applyAlignment="1">
      <alignment horizontal="center" vertical="top"/>
    </xf>
    <xf numFmtId="0" fontId="0" fillId="0" borderId="1" xfId="0" applyBorder="1" applyAlignment="1">
      <alignment horizontal="center" vertical="top"/>
    </xf>
    <xf numFmtId="0" fontId="5" fillId="3" borderId="11" xfId="0" applyFont="1" applyFill="1" applyBorder="1" applyAlignment="1">
      <alignment horizontal="center" vertical="top"/>
    </xf>
    <xf numFmtId="0" fontId="0" fillId="0" borderId="1" xfId="0" applyBorder="1" applyAlignment="1">
      <alignment vertical="top" wrapText="1"/>
    </xf>
    <xf numFmtId="176" fontId="0" fillId="0" borderId="10" xfId="0" applyNumberFormat="1" applyBorder="1" applyAlignment="1">
      <alignment vertical="top"/>
    </xf>
    <xf numFmtId="176" fontId="0" fillId="0" borderId="13" xfId="0" applyNumberFormat="1" applyBorder="1" applyAlignment="1">
      <alignment vertical="top"/>
    </xf>
    <xf numFmtId="176" fontId="0" fillId="0" borderId="11" xfId="0" applyNumberFormat="1" applyBorder="1" applyAlignment="1">
      <alignment vertical="top"/>
    </xf>
    <xf numFmtId="0" fontId="0" fillId="0" borderId="1" xfId="0" applyBorder="1" applyAlignment="1" applyProtection="1">
      <alignment vertical="top" wrapText="1"/>
      <protection locked="0"/>
    </xf>
    <xf numFmtId="0" fontId="7" fillId="0" borderId="0" xfId="0" applyFont="1" applyAlignment="1">
      <alignment vertical="top"/>
    </xf>
    <xf numFmtId="0" fontId="8" fillId="0" borderId="0" xfId="0" applyFont="1" applyAlignment="1">
      <alignment vertical="top"/>
    </xf>
  </cellXfs>
  <cellStyles count="3">
    <cellStyle name="通貨" xfId="2" builtinId="7"/>
    <cellStyle name="標準" xfId="0" builtinId="0"/>
    <cellStyle name="標準 3" xfId="1" xr:uid="{00000000-0005-0000-0000-000001000000}"/>
  </cellStyles>
  <dxfs count="0"/>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17</xdr:col>
      <xdr:colOff>1</xdr:colOff>
      <xdr:row>2</xdr:row>
      <xdr:rowOff>0</xdr:rowOff>
    </xdr:from>
    <xdr:to>
      <xdr:col>24</xdr:col>
      <xdr:colOff>0</xdr:colOff>
      <xdr:row>3</xdr:row>
      <xdr:rowOff>0</xdr:rowOff>
    </xdr:to>
    <xdr:sp macro="" textlink="">
      <xdr:nvSpPr>
        <xdr:cNvPr id="4" name="正方形/長方形 3">
          <a:extLst>
            <a:ext uri="{FF2B5EF4-FFF2-40B4-BE49-F238E27FC236}">
              <a16:creationId xmlns:a16="http://schemas.microsoft.com/office/drawing/2014/main" id="{25556FA9-62FC-437D-E13C-6B95002CDAF9}"/>
            </a:ext>
          </a:extLst>
        </xdr:cNvPr>
        <xdr:cNvSpPr/>
      </xdr:nvSpPr>
      <xdr:spPr>
        <a:xfrm>
          <a:off x="15525751" y="693964"/>
          <a:ext cx="3428999" cy="1143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483506</xdr:colOff>
      <xdr:row>3</xdr:row>
      <xdr:rowOff>0</xdr:rowOff>
    </xdr:from>
    <xdr:to>
      <xdr:col>29</xdr:col>
      <xdr:colOff>0</xdr:colOff>
      <xdr:row>4</xdr:row>
      <xdr:rowOff>0</xdr:rowOff>
    </xdr:to>
    <xdr:sp macro="" textlink="">
      <xdr:nvSpPr>
        <xdr:cNvPr id="2" name="正方形/長方形 1">
          <a:extLst>
            <a:ext uri="{FF2B5EF4-FFF2-40B4-BE49-F238E27FC236}">
              <a16:creationId xmlns:a16="http://schemas.microsoft.com/office/drawing/2014/main" id="{0537B36F-CA65-1163-CC6D-C735A96AE0EC}"/>
            </a:ext>
          </a:extLst>
        </xdr:cNvPr>
        <xdr:cNvSpPr/>
      </xdr:nvSpPr>
      <xdr:spPr>
        <a:xfrm>
          <a:off x="18866756" y="1828800"/>
          <a:ext cx="2431144" cy="1143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1</xdr:colOff>
      <xdr:row>8</xdr:row>
      <xdr:rowOff>0</xdr:rowOff>
    </xdr:from>
    <xdr:to>
      <xdr:col>56</xdr:col>
      <xdr:colOff>0</xdr:colOff>
      <xdr:row>9</xdr:row>
      <xdr:rowOff>0</xdr:rowOff>
    </xdr:to>
    <xdr:sp macro="" textlink="">
      <xdr:nvSpPr>
        <xdr:cNvPr id="3" name="正方形/長方形 2">
          <a:extLst>
            <a:ext uri="{FF2B5EF4-FFF2-40B4-BE49-F238E27FC236}">
              <a16:creationId xmlns:a16="http://schemas.microsoft.com/office/drawing/2014/main" id="{9E049C66-A536-9931-2552-F1AAAE0DC93A}"/>
            </a:ext>
          </a:extLst>
        </xdr:cNvPr>
        <xdr:cNvSpPr/>
      </xdr:nvSpPr>
      <xdr:spPr>
        <a:xfrm>
          <a:off x="29731608" y="7551964"/>
          <a:ext cx="4898571" cy="1143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0</xdr:colOff>
      <xdr:row>4</xdr:row>
      <xdr:rowOff>0</xdr:rowOff>
    </xdr:from>
    <xdr:to>
      <xdr:col>36</xdr:col>
      <xdr:colOff>9527</xdr:colOff>
      <xdr:row>5</xdr:row>
      <xdr:rowOff>0</xdr:rowOff>
    </xdr:to>
    <xdr:sp macro="" textlink="">
      <xdr:nvSpPr>
        <xdr:cNvPr id="5" name="正方形/長方形 4">
          <a:extLst>
            <a:ext uri="{FF2B5EF4-FFF2-40B4-BE49-F238E27FC236}">
              <a16:creationId xmlns:a16="http://schemas.microsoft.com/office/drawing/2014/main" id="{A9AA35DC-82AB-8257-0564-C363B78B572C}"/>
            </a:ext>
          </a:extLst>
        </xdr:cNvPr>
        <xdr:cNvSpPr/>
      </xdr:nvSpPr>
      <xdr:spPr>
        <a:xfrm>
          <a:off x="21404036" y="2979964"/>
          <a:ext cx="3438527" cy="1143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0</xdr:colOff>
      <xdr:row>5</xdr:row>
      <xdr:rowOff>0</xdr:rowOff>
    </xdr:from>
    <xdr:to>
      <xdr:col>68</xdr:col>
      <xdr:colOff>486682</xdr:colOff>
      <xdr:row>6</xdr:row>
      <xdr:rowOff>0</xdr:rowOff>
    </xdr:to>
    <xdr:sp macro="" textlink="">
      <xdr:nvSpPr>
        <xdr:cNvPr id="6" name="正方形/長方形 5">
          <a:extLst>
            <a:ext uri="{FF2B5EF4-FFF2-40B4-BE49-F238E27FC236}">
              <a16:creationId xmlns:a16="http://schemas.microsoft.com/office/drawing/2014/main" id="{1F66A8FF-C091-3469-4655-1D2F243057B3}"/>
            </a:ext>
          </a:extLst>
        </xdr:cNvPr>
        <xdr:cNvSpPr/>
      </xdr:nvSpPr>
      <xdr:spPr>
        <a:xfrm>
          <a:off x="20424321" y="4122964"/>
          <a:ext cx="20570825" cy="1143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0</xdr:colOff>
      <xdr:row>6</xdr:row>
      <xdr:rowOff>0</xdr:rowOff>
    </xdr:from>
    <xdr:to>
      <xdr:col>42</xdr:col>
      <xdr:colOff>0</xdr:colOff>
      <xdr:row>7</xdr:row>
      <xdr:rowOff>0</xdr:rowOff>
    </xdr:to>
    <xdr:sp macro="" textlink="">
      <xdr:nvSpPr>
        <xdr:cNvPr id="7" name="正方形/長方形 6">
          <a:extLst>
            <a:ext uri="{FF2B5EF4-FFF2-40B4-BE49-F238E27FC236}">
              <a16:creationId xmlns:a16="http://schemas.microsoft.com/office/drawing/2014/main" id="{334EC7CA-EA5B-48DD-864F-649372BB708A}"/>
            </a:ext>
          </a:extLst>
        </xdr:cNvPr>
        <xdr:cNvSpPr/>
      </xdr:nvSpPr>
      <xdr:spPr>
        <a:xfrm>
          <a:off x="24833036" y="5265964"/>
          <a:ext cx="2939143" cy="1143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0</xdr:colOff>
      <xdr:row>7</xdr:row>
      <xdr:rowOff>0</xdr:rowOff>
    </xdr:from>
    <xdr:to>
      <xdr:col>46</xdr:col>
      <xdr:colOff>1</xdr:colOff>
      <xdr:row>8</xdr:row>
      <xdr:rowOff>0</xdr:rowOff>
    </xdr:to>
    <xdr:sp macro="" textlink="">
      <xdr:nvSpPr>
        <xdr:cNvPr id="8" name="正方形/長方形 7">
          <a:extLst>
            <a:ext uri="{FF2B5EF4-FFF2-40B4-BE49-F238E27FC236}">
              <a16:creationId xmlns:a16="http://schemas.microsoft.com/office/drawing/2014/main" id="{5006F01B-8805-40E4-929F-DF0A8C38909C}"/>
            </a:ext>
          </a:extLst>
        </xdr:cNvPr>
        <xdr:cNvSpPr/>
      </xdr:nvSpPr>
      <xdr:spPr>
        <a:xfrm>
          <a:off x="27772179" y="6408964"/>
          <a:ext cx="1959429" cy="1143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48AF3-8481-4968-BD30-BC17825ED7D3}">
  <sheetPr>
    <pageSetUpPr fitToPage="1"/>
  </sheetPr>
  <dimension ref="A1:BB22"/>
  <sheetViews>
    <sheetView showGridLines="0" tabSelected="1" zoomScale="85" zoomScaleNormal="85" workbookViewId="0">
      <pane ySplit="3" topLeftCell="A4" activePane="bottomLeft" state="frozen"/>
      <selection activeCell="D1" sqref="D1"/>
      <selection pane="bottomLeft" activeCell="C24" sqref="C24"/>
    </sheetView>
  </sheetViews>
  <sheetFormatPr defaultColWidth="9" defaultRowHeight="18" outlineLevelCol="1" x14ac:dyDescent="0.55000000000000004"/>
  <cols>
    <col min="1" max="1" width="4.33203125" style="3" bestFit="1" customWidth="1"/>
    <col min="2" max="2" width="9" style="1" bestFit="1" customWidth="1"/>
    <col min="3" max="4" width="17.58203125" style="2" customWidth="1"/>
    <col min="5" max="5" width="53.25" style="2" customWidth="1"/>
    <col min="6" max="6" width="80.25" style="2" customWidth="1"/>
    <col min="7" max="7" width="112.5" style="2" customWidth="1"/>
    <col min="8" max="10" width="9.58203125" style="7" customWidth="1"/>
    <col min="11" max="17" width="9.58203125" style="1" customWidth="1" outlineLevel="1"/>
    <col min="18" max="18" width="1.75" style="1" customWidth="1"/>
    <col min="19" max="25" width="9.58203125" style="1" customWidth="1" outlineLevel="1"/>
    <col min="26" max="26" width="13.83203125" style="1" customWidth="1"/>
    <col min="27" max="27" width="9.58203125" style="1" customWidth="1" outlineLevel="1"/>
    <col min="28" max="28" width="14.08203125" style="1" customWidth="1" outlineLevel="1"/>
    <col min="29" max="29" width="9.58203125" style="1" customWidth="1" outlineLevel="1"/>
    <col min="30" max="31" width="14.08203125" style="1" customWidth="1" outlineLevel="1"/>
    <col min="32" max="32" width="2.58203125" style="1" customWidth="1"/>
    <col min="33" max="33" width="9.58203125" style="1" customWidth="1" outlineLevel="1"/>
    <col min="34" max="34" width="14.08203125" style="1" customWidth="1" outlineLevel="1"/>
    <col min="35" max="35" width="9.58203125" style="1" customWidth="1" outlineLevel="1"/>
    <col min="36" max="37" width="14.08203125" style="1" customWidth="1" outlineLevel="1"/>
    <col min="38" max="38" width="5" style="1" customWidth="1"/>
    <col min="39" max="45" width="9.58203125" style="1" hidden="1" customWidth="1" outlineLevel="1"/>
    <col min="46" max="46" width="3.75" style="1" customWidth="1" collapsed="1"/>
    <col min="47" max="53" width="9" style="1" hidden="1" customWidth="1" outlineLevel="1"/>
    <col min="54" max="54" width="9" style="1" collapsed="1"/>
    <col min="55" max="16384" width="9" style="1"/>
  </cols>
  <sheetData>
    <row r="1" spans="1:53" ht="22.5" x14ac:dyDescent="0.55000000000000004">
      <c r="A1" s="8" t="s">
        <v>0</v>
      </c>
      <c r="AA1" s="59" t="s">
        <v>1</v>
      </c>
      <c r="AB1" s="59"/>
      <c r="AC1" s="59"/>
      <c r="AD1" s="59"/>
      <c r="AE1" s="59"/>
      <c r="AG1" s="60" t="s">
        <v>2</v>
      </c>
      <c r="AH1" s="60"/>
      <c r="AI1" s="60"/>
      <c r="AJ1" s="60"/>
      <c r="AK1" s="60"/>
      <c r="AM1" s="62" t="s">
        <v>3</v>
      </c>
      <c r="AN1" s="62"/>
      <c r="AO1" s="62"/>
      <c r="AP1" s="62"/>
      <c r="AQ1" s="62"/>
      <c r="AR1" s="62"/>
      <c r="AS1" s="62"/>
      <c r="AT1" s="62"/>
      <c r="AU1" s="62"/>
      <c r="AV1" s="62"/>
      <c r="AW1" s="62"/>
      <c r="AX1" s="62"/>
      <c r="AY1" s="62"/>
      <c r="AZ1" s="62"/>
      <c r="BA1" s="62"/>
    </row>
    <row r="2" spans="1:53" x14ac:dyDescent="0.55000000000000004">
      <c r="A2" s="3" t="s">
        <v>4</v>
      </c>
      <c r="K2" s="59" t="s">
        <v>1</v>
      </c>
      <c r="L2" s="59"/>
      <c r="M2" s="59"/>
      <c r="N2" s="59"/>
      <c r="O2" s="59"/>
      <c r="P2" s="59"/>
      <c r="Q2" s="59"/>
      <c r="S2" s="60" t="s">
        <v>2</v>
      </c>
      <c r="T2" s="60"/>
      <c r="U2" s="60"/>
      <c r="V2" s="60"/>
      <c r="W2" s="60"/>
      <c r="X2" s="60"/>
      <c r="Y2" s="60"/>
      <c r="AA2" s="23" t="s">
        <v>5</v>
      </c>
      <c r="AB2" s="27">
        <v>50000</v>
      </c>
      <c r="AC2" s="23" t="s">
        <v>6</v>
      </c>
      <c r="AD2" s="27">
        <v>70000</v>
      </c>
      <c r="AE2" s="23"/>
      <c r="AG2" s="23" t="s">
        <v>5</v>
      </c>
      <c r="AH2" s="27">
        <v>1000000</v>
      </c>
      <c r="AI2" s="23" t="s">
        <v>6</v>
      </c>
      <c r="AJ2" s="27">
        <v>1400000</v>
      </c>
      <c r="AK2" s="23"/>
      <c r="AM2" s="61" t="s">
        <v>1</v>
      </c>
      <c r="AN2" s="61"/>
      <c r="AO2" s="61"/>
      <c r="AP2" s="61"/>
      <c r="AQ2" s="61"/>
      <c r="AR2" s="61"/>
      <c r="AS2" s="61"/>
      <c r="AU2" s="63" t="s">
        <v>2</v>
      </c>
      <c r="AV2" s="63"/>
      <c r="AW2" s="63"/>
      <c r="AX2" s="63"/>
      <c r="AY2" s="63"/>
      <c r="AZ2" s="63"/>
      <c r="BA2" s="63"/>
    </row>
    <row r="3" spans="1:53" ht="72" x14ac:dyDescent="0.55000000000000004">
      <c r="A3" s="4" t="s">
        <v>7</v>
      </c>
      <c r="B3" s="5" t="s">
        <v>8</v>
      </c>
      <c r="C3" s="6" t="s">
        <v>9</v>
      </c>
      <c r="D3" s="6" t="s">
        <v>10</v>
      </c>
      <c r="E3" s="6" t="s">
        <v>11</v>
      </c>
      <c r="F3" s="6" t="s">
        <v>12</v>
      </c>
      <c r="G3" s="6" t="s">
        <v>13</v>
      </c>
      <c r="H3" s="19" t="s">
        <v>14</v>
      </c>
      <c r="I3" s="24" t="s">
        <v>15</v>
      </c>
      <c r="J3" s="24" t="s">
        <v>16</v>
      </c>
      <c r="K3" s="20" t="s">
        <v>17</v>
      </c>
      <c r="L3" s="23" t="s">
        <v>18</v>
      </c>
      <c r="M3" s="23" t="s">
        <v>19</v>
      </c>
      <c r="N3" s="23" t="s">
        <v>20</v>
      </c>
      <c r="O3" s="23" t="s">
        <v>21</v>
      </c>
      <c r="P3" s="23" t="s">
        <v>22</v>
      </c>
      <c r="Q3" s="23" t="s">
        <v>23</v>
      </c>
      <c r="S3" s="20" t="s">
        <v>17</v>
      </c>
      <c r="T3" s="23" t="s">
        <v>24</v>
      </c>
      <c r="U3" s="23" t="s">
        <v>19</v>
      </c>
      <c r="V3" s="23" t="s">
        <v>20</v>
      </c>
      <c r="W3" s="23" t="s">
        <v>21</v>
      </c>
      <c r="X3" s="23" t="s">
        <v>22</v>
      </c>
      <c r="Y3" s="23" t="s">
        <v>23</v>
      </c>
      <c r="Z3" s="26" t="s">
        <v>25</v>
      </c>
      <c r="AA3" s="19" t="s">
        <v>1</v>
      </c>
      <c r="AB3" s="19" t="s">
        <v>26</v>
      </c>
      <c r="AC3" s="19" t="s">
        <v>1</v>
      </c>
      <c r="AD3" s="19" t="s">
        <v>26</v>
      </c>
      <c r="AE3" s="19" t="s">
        <v>27</v>
      </c>
      <c r="AF3" s="25"/>
      <c r="AG3" s="19" t="s">
        <v>2</v>
      </c>
      <c r="AH3" s="19" t="s">
        <v>26</v>
      </c>
      <c r="AI3" s="19" t="s">
        <v>2</v>
      </c>
      <c r="AJ3" s="19" t="s">
        <v>26</v>
      </c>
      <c r="AK3" s="19" t="s">
        <v>27</v>
      </c>
      <c r="AM3" s="20" t="s">
        <v>17</v>
      </c>
      <c r="AN3" s="23" t="s">
        <v>24</v>
      </c>
      <c r="AO3" s="23" t="s">
        <v>19</v>
      </c>
      <c r="AP3" s="23" t="s">
        <v>20</v>
      </c>
      <c r="AQ3" s="23" t="s">
        <v>21</v>
      </c>
      <c r="AR3" s="23" t="s">
        <v>22</v>
      </c>
      <c r="AS3" s="23" t="s">
        <v>23</v>
      </c>
      <c r="AU3" s="20" t="s">
        <v>17</v>
      </c>
      <c r="AV3" s="23" t="s">
        <v>24</v>
      </c>
      <c r="AW3" s="23" t="s">
        <v>19</v>
      </c>
      <c r="AX3" s="23" t="s">
        <v>20</v>
      </c>
      <c r="AY3" s="23" t="s">
        <v>21</v>
      </c>
      <c r="AZ3" s="23" t="s">
        <v>22</v>
      </c>
      <c r="BA3" s="23" t="s">
        <v>23</v>
      </c>
    </row>
    <row r="4" spans="1:53" ht="72" x14ac:dyDescent="0.55000000000000004">
      <c r="A4" s="23">
        <v>1</v>
      </c>
      <c r="B4" s="64" t="s">
        <v>28</v>
      </c>
      <c r="C4" s="20" t="s">
        <v>29</v>
      </c>
      <c r="D4" s="46">
        <v>46022</v>
      </c>
      <c r="E4" s="20" t="s">
        <v>30</v>
      </c>
      <c r="F4" s="20" t="s">
        <v>31</v>
      </c>
      <c r="G4" s="21" t="s">
        <v>32</v>
      </c>
      <c r="H4" s="31">
        <f t="shared" ref="H4:H10" si="0">Q4</f>
        <v>29</v>
      </c>
      <c r="I4" s="65">
        <f>SUM(H4:H10)</f>
        <v>279</v>
      </c>
      <c r="J4" s="65">
        <f>AA4+AC4</f>
        <v>33.35</v>
      </c>
      <c r="K4" s="29">
        <v>4</v>
      </c>
      <c r="L4" s="29">
        <v>13</v>
      </c>
      <c r="M4" s="29">
        <v>4</v>
      </c>
      <c r="N4" s="29">
        <v>4</v>
      </c>
      <c r="O4" s="29">
        <v>2</v>
      </c>
      <c r="P4" s="29">
        <v>2</v>
      </c>
      <c r="Q4" s="29">
        <f t="shared" ref="Q4" si="1">SUM(K4:P4)</f>
        <v>29</v>
      </c>
      <c r="R4" s="22"/>
      <c r="S4" s="33">
        <f t="shared" ref="S4" si="2">ROUNDUP(K4/20,3)</f>
        <v>0.2</v>
      </c>
      <c r="T4" s="33">
        <f>ROUNDUP(L4/20,3)</f>
        <v>0.65</v>
      </c>
      <c r="U4" s="33">
        <f>ROUNDUP(N4/20,3)</f>
        <v>0.2</v>
      </c>
      <c r="V4" s="33">
        <f t="shared" ref="V4" si="3">ROUNDUP(N4/20,3)</f>
        <v>0.2</v>
      </c>
      <c r="W4" s="33">
        <f t="shared" ref="W4" si="4">ROUNDUP(O4/20,3)</f>
        <v>0.1</v>
      </c>
      <c r="X4" s="33">
        <f t="shared" ref="X4" si="5">ROUNDUP(P4/20,3)</f>
        <v>0.1</v>
      </c>
      <c r="Y4" s="33">
        <f t="shared" ref="Y4:Y5" si="6">ROUNDUP(Q4/20,3)</f>
        <v>1.45</v>
      </c>
      <c r="Z4" s="32"/>
      <c r="AA4" s="30">
        <f>SUM(Q4)</f>
        <v>29</v>
      </c>
      <c r="AB4" s="43">
        <f>AA4*$AB$2</f>
        <v>1450000</v>
      </c>
      <c r="AC4" s="30">
        <f>ROUNDUP(AA4*0.15,2)</f>
        <v>4.3499999999999996</v>
      </c>
      <c r="AD4" s="43">
        <f>AC4*$AD$2</f>
        <v>304500</v>
      </c>
      <c r="AE4" s="43">
        <f>ROUNDUP(SUM(AB4,AD4),-3)</f>
        <v>1755000</v>
      </c>
      <c r="AG4" s="30">
        <f>SUM(Y4)</f>
        <v>1.45</v>
      </c>
      <c r="AH4" s="43">
        <f>AG4*$AH$2</f>
        <v>1450000</v>
      </c>
      <c r="AI4" s="30">
        <f>ROUNDUP(AG4*0.15,3)</f>
        <v>0.218</v>
      </c>
      <c r="AJ4" s="43">
        <f>AI4*$AJ$2</f>
        <v>305200</v>
      </c>
      <c r="AK4" s="43">
        <f>ROUNDUP(SUM(AH4,AJ4),-3)</f>
        <v>1756000</v>
      </c>
      <c r="AM4" s="56">
        <f t="shared" ref="AM4:AS4" si="7">SUM(K4:K10)</f>
        <v>35</v>
      </c>
      <c r="AN4" s="56">
        <f t="shared" si="7"/>
        <v>156</v>
      </c>
      <c r="AO4" s="56">
        <f t="shared" si="7"/>
        <v>24</v>
      </c>
      <c r="AP4" s="56">
        <f t="shared" si="7"/>
        <v>23</v>
      </c>
      <c r="AQ4" s="56">
        <f t="shared" si="7"/>
        <v>20</v>
      </c>
      <c r="AR4" s="56">
        <f t="shared" si="7"/>
        <v>21</v>
      </c>
      <c r="AS4" s="56">
        <f t="shared" si="7"/>
        <v>279</v>
      </c>
      <c r="AU4" s="56">
        <f t="shared" ref="AU4:BA4" si="8">SUM(S4:S10)</f>
        <v>1.75</v>
      </c>
      <c r="AV4" s="56">
        <f t="shared" si="8"/>
        <v>7.8</v>
      </c>
      <c r="AW4" s="56">
        <f t="shared" si="8"/>
        <v>1.2</v>
      </c>
      <c r="AX4" s="56">
        <f t="shared" si="8"/>
        <v>1.1499999999999999</v>
      </c>
      <c r="AY4" s="56">
        <f t="shared" si="8"/>
        <v>1</v>
      </c>
      <c r="AZ4" s="56">
        <f t="shared" si="8"/>
        <v>1.05</v>
      </c>
      <c r="BA4" s="56">
        <f t="shared" si="8"/>
        <v>13.95</v>
      </c>
    </row>
    <row r="5" spans="1:53" ht="36" x14ac:dyDescent="0.55000000000000004">
      <c r="A5" s="23">
        <v>2</v>
      </c>
      <c r="B5" s="64"/>
      <c r="C5" s="20" t="s">
        <v>74</v>
      </c>
      <c r="D5" s="46">
        <v>46022</v>
      </c>
      <c r="E5" s="20" t="s">
        <v>75</v>
      </c>
      <c r="F5" s="20" t="s">
        <v>33</v>
      </c>
      <c r="G5" s="21" t="s">
        <v>34</v>
      </c>
      <c r="H5" s="31">
        <f t="shared" si="0"/>
        <v>12</v>
      </c>
      <c r="I5" s="66"/>
      <c r="J5" s="66">
        <f t="shared" ref="J5:J10" si="9">AA5+AC5</f>
        <v>13.8</v>
      </c>
      <c r="K5" s="29">
        <v>2</v>
      </c>
      <c r="L5" s="29">
        <v>3</v>
      </c>
      <c r="M5" s="29">
        <v>2</v>
      </c>
      <c r="N5" s="29">
        <v>1</v>
      </c>
      <c r="O5" s="29">
        <v>2</v>
      </c>
      <c r="P5" s="29">
        <v>2</v>
      </c>
      <c r="Q5" s="29">
        <f t="shared" ref="Q5:Q6" si="10">SUM(K5:P5)</f>
        <v>12</v>
      </c>
      <c r="R5" s="22"/>
      <c r="S5" s="33">
        <f t="shared" ref="S5" si="11">ROUNDUP(K5/20,3)</f>
        <v>0.1</v>
      </c>
      <c r="T5" s="33">
        <f t="shared" ref="T5" si="12">ROUNDUP(L5/20,3)</f>
        <v>0.15</v>
      </c>
      <c r="U5" s="33">
        <f t="shared" ref="U5" si="13">ROUNDUP(M5/20,3)</f>
        <v>0.1</v>
      </c>
      <c r="V5" s="33">
        <f t="shared" ref="V5" si="14">ROUNDUP(N5/20,3)</f>
        <v>0.05</v>
      </c>
      <c r="W5" s="33">
        <f t="shared" ref="W5" si="15">ROUNDUP(O5/20,3)</f>
        <v>0.1</v>
      </c>
      <c r="X5" s="33">
        <f t="shared" ref="X5" si="16">ROUNDUP(P5/20,3)</f>
        <v>0.1</v>
      </c>
      <c r="Y5" s="33">
        <f t="shared" si="6"/>
        <v>0.6</v>
      </c>
      <c r="Z5" s="32"/>
      <c r="AA5" s="30">
        <f t="shared" ref="AA5" si="17">SUM(Q5)</f>
        <v>12</v>
      </c>
      <c r="AB5" s="43">
        <f t="shared" ref="AB5" si="18">AA5*$AB$2</f>
        <v>600000</v>
      </c>
      <c r="AC5" s="30">
        <f t="shared" ref="AC5" si="19">ROUNDUP(AA5*0.15,2)</f>
        <v>1.8</v>
      </c>
      <c r="AD5" s="43">
        <f t="shared" ref="AD5" si="20">AC5*$AD$2</f>
        <v>126000</v>
      </c>
      <c r="AE5" s="43">
        <f t="shared" ref="AE5:AE10" si="21">ROUNDUP(SUM(AB5,AD5),-3)</f>
        <v>726000</v>
      </c>
      <c r="AG5" s="30">
        <f t="shared" ref="AG5" si="22">SUM(Y5)</f>
        <v>0.6</v>
      </c>
      <c r="AH5" s="43">
        <f>AG5*$AH$2</f>
        <v>600000</v>
      </c>
      <c r="AI5" s="30">
        <f t="shared" ref="AI5" si="23">ROUNDUP(AG5*0.15,3)</f>
        <v>0.09</v>
      </c>
      <c r="AJ5" s="43">
        <f t="shared" ref="AJ5" si="24">AI5*$AJ$2</f>
        <v>126000</v>
      </c>
      <c r="AK5" s="43">
        <f t="shared" ref="AK5:AK10" si="25">ROUNDUP(SUM(AH5,AJ5),-3)</f>
        <v>726000</v>
      </c>
      <c r="AM5" s="57"/>
      <c r="AN5" s="57"/>
      <c r="AO5" s="57"/>
      <c r="AP5" s="57"/>
      <c r="AQ5" s="57"/>
      <c r="AR5" s="57"/>
      <c r="AS5" s="57"/>
      <c r="AU5" s="57"/>
      <c r="AV5" s="57"/>
      <c r="AW5" s="57"/>
      <c r="AX5" s="57"/>
      <c r="AY5" s="57"/>
      <c r="AZ5" s="57"/>
      <c r="BA5" s="57"/>
    </row>
    <row r="6" spans="1:53" ht="108" x14ac:dyDescent="0.55000000000000004">
      <c r="A6" s="23">
        <v>3</v>
      </c>
      <c r="B6" s="64"/>
      <c r="C6" s="20" t="s">
        <v>76</v>
      </c>
      <c r="D6" s="37">
        <v>46112</v>
      </c>
      <c r="E6" s="20" t="s">
        <v>35</v>
      </c>
      <c r="F6" s="34" t="s">
        <v>36</v>
      </c>
      <c r="G6" s="21" t="s">
        <v>37</v>
      </c>
      <c r="H6" s="31">
        <f t="shared" si="0"/>
        <v>28</v>
      </c>
      <c r="I6" s="66"/>
      <c r="J6" s="66"/>
      <c r="K6" s="29">
        <v>4</v>
      </c>
      <c r="L6" s="29">
        <v>10</v>
      </c>
      <c r="M6" s="29">
        <v>4</v>
      </c>
      <c r="N6" s="29">
        <v>4</v>
      </c>
      <c r="O6" s="29">
        <v>2</v>
      </c>
      <c r="P6" s="29">
        <v>4</v>
      </c>
      <c r="Q6" s="29">
        <f t="shared" si="10"/>
        <v>28</v>
      </c>
      <c r="R6" s="22"/>
      <c r="S6" s="33">
        <f t="shared" ref="S6:S10" si="26">ROUNDUP(K6/20,3)</f>
        <v>0.2</v>
      </c>
      <c r="T6" s="33">
        <f t="shared" ref="T6:T10" si="27">ROUNDUP(L6/20,3)</f>
        <v>0.5</v>
      </c>
      <c r="U6" s="33">
        <f t="shared" ref="U6:U10" si="28">ROUNDUP(M6/20,3)</f>
        <v>0.2</v>
      </c>
      <c r="V6" s="33">
        <f t="shared" ref="V6:V10" si="29">ROUNDUP(N6/20,3)</f>
        <v>0.2</v>
      </c>
      <c r="W6" s="33">
        <f t="shared" ref="W6:W10" si="30">ROUNDUP(O6/20,3)</f>
        <v>0.1</v>
      </c>
      <c r="X6" s="33">
        <f t="shared" ref="X6:X10" si="31">ROUNDUP(P6/20,3)</f>
        <v>0.2</v>
      </c>
      <c r="Y6" s="33">
        <f t="shared" ref="Y6:Y10" si="32">ROUNDUP(Q6/20,3)</f>
        <v>1.4</v>
      </c>
      <c r="Z6" s="32"/>
      <c r="AA6" s="30">
        <f t="shared" ref="AA6:AA10" si="33">SUM(Q6)</f>
        <v>28</v>
      </c>
      <c r="AB6" s="43">
        <f t="shared" ref="AB6:AB10" si="34">AA6*$AB$2</f>
        <v>1400000</v>
      </c>
      <c r="AC6" s="30">
        <f t="shared" ref="AC6:AC10" si="35">ROUNDUP(AA6*0.15,2)</f>
        <v>4.2</v>
      </c>
      <c r="AD6" s="43">
        <f t="shared" ref="AD6:AD10" si="36">AC6*$AD$2</f>
        <v>294000</v>
      </c>
      <c r="AE6" s="43">
        <f t="shared" si="21"/>
        <v>1694000</v>
      </c>
      <c r="AG6" s="30">
        <f t="shared" ref="AG6:AG10" si="37">SUM(Y6)</f>
        <v>1.4</v>
      </c>
      <c r="AH6" s="43">
        <f t="shared" ref="AH6:AH10" si="38">AG6*$AH$2</f>
        <v>1400000</v>
      </c>
      <c r="AI6" s="30">
        <f t="shared" ref="AI6:AI10" si="39">ROUNDUP(AG6*0.15,3)</f>
        <v>0.21</v>
      </c>
      <c r="AJ6" s="43">
        <f t="shared" ref="AJ6:AJ10" si="40">AI6*$AJ$2</f>
        <v>294000</v>
      </c>
      <c r="AK6" s="43">
        <f t="shared" si="25"/>
        <v>1694000</v>
      </c>
      <c r="AM6" s="57"/>
      <c r="AN6" s="57"/>
      <c r="AO6" s="57"/>
      <c r="AP6" s="57"/>
      <c r="AQ6" s="57"/>
      <c r="AR6" s="57"/>
      <c r="AS6" s="57"/>
      <c r="AU6" s="57"/>
      <c r="AV6" s="57"/>
      <c r="AW6" s="57"/>
      <c r="AX6" s="57"/>
      <c r="AY6" s="57"/>
      <c r="AZ6" s="57"/>
      <c r="BA6" s="57"/>
    </row>
    <row r="7" spans="1:53" ht="90" x14ac:dyDescent="0.55000000000000004">
      <c r="A7" s="23">
        <v>4</v>
      </c>
      <c r="B7" s="64"/>
      <c r="C7" s="20" t="s">
        <v>77</v>
      </c>
      <c r="D7" s="37">
        <v>46112</v>
      </c>
      <c r="E7" s="20" t="s">
        <v>38</v>
      </c>
      <c r="F7" s="34" t="s">
        <v>39</v>
      </c>
      <c r="G7" s="21" t="s">
        <v>78</v>
      </c>
      <c r="H7" s="31">
        <f t="shared" si="0"/>
        <v>140</v>
      </c>
      <c r="I7" s="66"/>
      <c r="J7" s="66"/>
      <c r="K7" s="29">
        <v>15</v>
      </c>
      <c r="L7" s="29">
        <v>105</v>
      </c>
      <c r="M7" s="29">
        <v>5</v>
      </c>
      <c r="N7" s="29">
        <v>5</v>
      </c>
      <c r="O7" s="29">
        <v>5</v>
      </c>
      <c r="P7" s="29">
        <v>5</v>
      </c>
      <c r="Q7" s="29">
        <f t="shared" ref="Q7:Q10" si="41">SUM(K7:P7)</f>
        <v>140</v>
      </c>
      <c r="R7" s="22"/>
      <c r="S7" s="33">
        <f t="shared" si="26"/>
        <v>0.75</v>
      </c>
      <c r="T7" s="33">
        <f t="shared" si="27"/>
        <v>5.25</v>
      </c>
      <c r="U7" s="33">
        <f t="shared" si="28"/>
        <v>0.25</v>
      </c>
      <c r="V7" s="33">
        <f t="shared" si="29"/>
        <v>0.25</v>
      </c>
      <c r="W7" s="33">
        <f t="shared" si="30"/>
        <v>0.25</v>
      </c>
      <c r="X7" s="33">
        <f t="shared" si="31"/>
        <v>0.25</v>
      </c>
      <c r="Y7" s="33">
        <f t="shared" si="32"/>
        <v>7</v>
      </c>
      <c r="Z7" s="32"/>
      <c r="AA7" s="30">
        <f t="shared" si="33"/>
        <v>140</v>
      </c>
      <c r="AB7" s="43">
        <f t="shared" si="34"/>
        <v>7000000</v>
      </c>
      <c r="AC7" s="30">
        <f t="shared" si="35"/>
        <v>21</v>
      </c>
      <c r="AD7" s="43">
        <f t="shared" si="36"/>
        <v>1470000</v>
      </c>
      <c r="AE7" s="43">
        <f t="shared" si="21"/>
        <v>8470000</v>
      </c>
      <c r="AG7" s="30">
        <f t="shared" si="37"/>
        <v>7</v>
      </c>
      <c r="AH7" s="43">
        <f t="shared" si="38"/>
        <v>7000000</v>
      </c>
      <c r="AI7" s="30">
        <f t="shared" si="39"/>
        <v>1.05</v>
      </c>
      <c r="AJ7" s="43">
        <f t="shared" si="40"/>
        <v>1470000</v>
      </c>
      <c r="AK7" s="43">
        <f t="shared" si="25"/>
        <v>8470000</v>
      </c>
      <c r="AM7" s="57"/>
      <c r="AN7" s="57"/>
      <c r="AO7" s="57"/>
      <c r="AP7" s="57"/>
      <c r="AQ7" s="57"/>
      <c r="AR7" s="57"/>
      <c r="AS7" s="57"/>
      <c r="AU7" s="57"/>
      <c r="AV7" s="57"/>
      <c r="AW7" s="57"/>
      <c r="AX7" s="57"/>
      <c r="AY7" s="57"/>
      <c r="AZ7" s="57"/>
      <c r="BA7" s="57"/>
    </row>
    <row r="8" spans="1:53" ht="90" x14ac:dyDescent="0.55000000000000004">
      <c r="A8" s="23">
        <v>5</v>
      </c>
      <c r="B8" s="64"/>
      <c r="C8" s="20" t="s">
        <v>40</v>
      </c>
      <c r="D8" s="37" t="s">
        <v>79</v>
      </c>
      <c r="E8" s="20" t="s">
        <v>41</v>
      </c>
      <c r="F8" s="34" t="s">
        <v>42</v>
      </c>
      <c r="G8" s="21" t="s">
        <v>43</v>
      </c>
      <c r="H8" s="31">
        <f t="shared" si="0"/>
        <v>20</v>
      </c>
      <c r="I8" s="66"/>
      <c r="J8" s="66"/>
      <c r="K8" s="29">
        <v>4</v>
      </c>
      <c r="L8" s="29">
        <v>8</v>
      </c>
      <c r="M8" s="29">
        <v>2</v>
      </c>
      <c r="N8" s="29">
        <v>2</v>
      </c>
      <c r="O8" s="29">
        <v>2</v>
      </c>
      <c r="P8" s="29">
        <v>2</v>
      </c>
      <c r="Q8" s="29">
        <f t="shared" si="41"/>
        <v>20</v>
      </c>
      <c r="R8" s="22"/>
      <c r="S8" s="33">
        <f t="shared" si="26"/>
        <v>0.2</v>
      </c>
      <c r="T8" s="33">
        <f t="shared" si="27"/>
        <v>0.4</v>
      </c>
      <c r="U8" s="33">
        <f t="shared" si="28"/>
        <v>0.1</v>
      </c>
      <c r="V8" s="33">
        <f t="shared" si="29"/>
        <v>0.1</v>
      </c>
      <c r="W8" s="33">
        <f t="shared" si="30"/>
        <v>0.1</v>
      </c>
      <c r="X8" s="33">
        <f t="shared" si="31"/>
        <v>0.1</v>
      </c>
      <c r="Y8" s="33">
        <f t="shared" si="32"/>
        <v>1</v>
      </c>
      <c r="Z8" s="32"/>
      <c r="AA8" s="30">
        <f t="shared" si="33"/>
        <v>20</v>
      </c>
      <c r="AB8" s="43">
        <f t="shared" si="34"/>
        <v>1000000</v>
      </c>
      <c r="AC8" s="30">
        <f t="shared" si="35"/>
        <v>3</v>
      </c>
      <c r="AD8" s="43">
        <f t="shared" si="36"/>
        <v>210000</v>
      </c>
      <c r="AE8" s="43">
        <f t="shared" si="21"/>
        <v>1210000</v>
      </c>
      <c r="AG8" s="30">
        <f t="shared" si="37"/>
        <v>1</v>
      </c>
      <c r="AH8" s="43">
        <f t="shared" si="38"/>
        <v>1000000</v>
      </c>
      <c r="AI8" s="30">
        <f t="shared" si="39"/>
        <v>0.15</v>
      </c>
      <c r="AJ8" s="43">
        <f t="shared" si="40"/>
        <v>210000</v>
      </c>
      <c r="AK8" s="43">
        <f t="shared" si="25"/>
        <v>1210000</v>
      </c>
      <c r="AM8" s="57"/>
      <c r="AN8" s="57"/>
      <c r="AO8" s="57"/>
      <c r="AP8" s="57"/>
      <c r="AQ8" s="57"/>
      <c r="AR8" s="57"/>
      <c r="AS8" s="57"/>
      <c r="AU8" s="57"/>
      <c r="AV8" s="57"/>
      <c r="AW8" s="57"/>
      <c r="AX8" s="57"/>
      <c r="AY8" s="57"/>
      <c r="AZ8" s="57"/>
      <c r="BA8" s="57"/>
    </row>
    <row r="9" spans="1:53" ht="72" x14ac:dyDescent="0.55000000000000004">
      <c r="A9" s="23">
        <v>6</v>
      </c>
      <c r="B9" s="64"/>
      <c r="C9" s="20" t="s">
        <v>44</v>
      </c>
      <c r="D9" s="37" t="s">
        <v>79</v>
      </c>
      <c r="E9" s="20" t="s">
        <v>45</v>
      </c>
      <c r="F9" s="34" t="s">
        <v>46</v>
      </c>
      <c r="G9" s="21" t="s">
        <v>47</v>
      </c>
      <c r="H9" s="31">
        <f t="shared" si="0"/>
        <v>12</v>
      </c>
      <c r="I9" s="66"/>
      <c r="J9" s="66"/>
      <c r="K9" s="29">
        <v>2</v>
      </c>
      <c r="L9" s="29">
        <v>2</v>
      </c>
      <c r="M9" s="29">
        <v>2</v>
      </c>
      <c r="N9" s="29">
        <v>2</v>
      </c>
      <c r="O9" s="29">
        <v>2</v>
      </c>
      <c r="P9" s="29">
        <v>2</v>
      </c>
      <c r="Q9" s="29">
        <f t="shared" si="41"/>
        <v>12</v>
      </c>
      <c r="R9" s="22"/>
      <c r="S9" s="33">
        <f t="shared" si="26"/>
        <v>0.1</v>
      </c>
      <c r="T9" s="33">
        <f t="shared" si="27"/>
        <v>0.1</v>
      </c>
      <c r="U9" s="33">
        <f t="shared" si="28"/>
        <v>0.1</v>
      </c>
      <c r="V9" s="33">
        <f t="shared" si="29"/>
        <v>0.1</v>
      </c>
      <c r="W9" s="33">
        <f t="shared" si="30"/>
        <v>0.1</v>
      </c>
      <c r="X9" s="33">
        <f t="shared" si="31"/>
        <v>0.1</v>
      </c>
      <c r="Y9" s="33">
        <f t="shared" si="32"/>
        <v>0.6</v>
      </c>
      <c r="Z9" s="32"/>
      <c r="AA9" s="30">
        <f t="shared" si="33"/>
        <v>12</v>
      </c>
      <c r="AB9" s="43">
        <f t="shared" si="34"/>
        <v>600000</v>
      </c>
      <c r="AC9" s="30">
        <f t="shared" si="35"/>
        <v>1.8</v>
      </c>
      <c r="AD9" s="43">
        <f t="shared" si="36"/>
        <v>126000</v>
      </c>
      <c r="AE9" s="43">
        <f t="shared" si="21"/>
        <v>726000</v>
      </c>
      <c r="AG9" s="30">
        <f t="shared" si="37"/>
        <v>0.6</v>
      </c>
      <c r="AH9" s="43">
        <f t="shared" si="38"/>
        <v>600000</v>
      </c>
      <c r="AI9" s="30">
        <f t="shared" si="39"/>
        <v>0.09</v>
      </c>
      <c r="AJ9" s="43">
        <f t="shared" si="40"/>
        <v>126000</v>
      </c>
      <c r="AK9" s="43">
        <f t="shared" si="25"/>
        <v>726000</v>
      </c>
      <c r="AM9" s="57"/>
      <c r="AN9" s="57"/>
      <c r="AO9" s="57"/>
      <c r="AP9" s="57"/>
      <c r="AQ9" s="57"/>
      <c r="AR9" s="57"/>
      <c r="AS9" s="57"/>
      <c r="AU9" s="57"/>
      <c r="AV9" s="57"/>
      <c r="AW9" s="57"/>
      <c r="AX9" s="57"/>
      <c r="AY9" s="57"/>
      <c r="AZ9" s="57"/>
      <c r="BA9" s="57"/>
    </row>
    <row r="10" spans="1:53" ht="72" x14ac:dyDescent="0.55000000000000004">
      <c r="A10" s="23">
        <v>7</v>
      </c>
      <c r="B10" s="64"/>
      <c r="C10" s="20" t="s">
        <v>48</v>
      </c>
      <c r="D10" s="37" t="s">
        <v>79</v>
      </c>
      <c r="E10" s="20" t="s">
        <v>41</v>
      </c>
      <c r="F10" s="34" t="s">
        <v>49</v>
      </c>
      <c r="G10" s="21" t="s">
        <v>50</v>
      </c>
      <c r="H10" s="31">
        <f t="shared" si="0"/>
        <v>38</v>
      </c>
      <c r="I10" s="67"/>
      <c r="J10" s="67">
        <f t="shared" si="9"/>
        <v>43.7</v>
      </c>
      <c r="K10" s="29">
        <v>4</v>
      </c>
      <c r="L10" s="29">
        <v>15</v>
      </c>
      <c r="M10" s="29">
        <v>5</v>
      </c>
      <c r="N10" s="29">
        <v>5</v>
      </c>
      <c r="O10" s="29">
        <v>5</v>
      </c>
      <c r="P10" s="29">
        <v>4</v>
      </c>
      <c r="Q10" s="29">
        <f t="shared" si="41"/>
        <v>38</v>
      </c>
      <c r="R10" s="22"/>
      <c r="S10" s="33">
        <f t="shared" si="26"/>
        <v>0.2</v>
      </c>
      <c r="T10" s="33">
        <f t="shared" si="27"/>
        <v>0.75</v>
      </c>
      <c r="U10" s="33">
        <f t="shared" si="28"/>
        <v>0.25</v>
      </c>
      <c r="V10" s="33">
        <f t="shared" si="29"/>
        <v>0.25</v>
      </c>
      <c r="W10" s="33">
        <f t="shared" si="30"/>
        <v>0.25</v>
      </c>
      <c r="X10" s="33">
        <f t="shared" si="31"/>
        <v>0.2</v>
      </c>
      <c r="Y10" s="33">
        <f t="shared" si="32"/>
        <v>1.9</v>
      </c>
      <c r="Z10" s="32"/>
      <c r="AA10" s="30">
        <f t="shared" si="33"/>
        <v>38</v>
      </c>
      <c r="AB10" s="43">
        <f t="shared" si="34"/>
        <v>1900000</v>
      </c>
      <c r="AC10" s="30">
        <f t="shared" si="35"/>
        <v>5.7</v>
      </c>
      <c r="AD10" s="43">
        <f t="shared" si="36"/>
        <v>399000</v>
      </c>
      <c r="AE10" s="43">
        <f t="shared" si="21"/>
        <v>2299000</v>
      </c>
      <c r="AG10" s="30">
        <f t="shared" si="37"/>
        <v>1.9</v>
      </c>
      <c r="AH10" s="43">
        <f t="shared" si="38"/>
        <v>1900000</v>
      </c>
      <c r="AI10" s="30">
        <f t="shared" si="39"/>
        <v>0.28499999999999998</v>
      </c>
      <c r="AJ10" s="43">
        <f t="shared" si="40"/>
        <v>398999.99999999994</v>
      </c>
      <c r="AK10" s="43">
        <f t="shared" si="25"/>
        <v>2299000</v>
      </c>
      <c r="AM10" s="58"/>
      <c r="AN10" s="58"/>
      <c r="AO10" s="58"/>
      <c r="AP10" s="58"/>
      <c r="AQ10" s="58"/>
      <c r="AR10" s="58"/>
      <c r="AS10" s="58"/>
      <c r="AU10" s="58"/>
      <c r="AV10" s="58"/>
      <c r="AW10" s="58"/>
      <c r="AX10" s="58"/>
      <c r="AY10" s="58"/>
      <c r="AZ10" s="58"/>
      <c r="BA10" s="58"/>
    </row>
    <row r="11" spans="1:53" x14ac:dyDescent="0.55000000000000004">
      <c r="S11" s="52">
        <f>SUM(S4:S10)</f>
        <v>1.75</v>
      </c>
      <c r="T11" s="52">
        <f t="shared" ref="T11:X11" si="42">SUM(T4:T10)</f>
        <v>7.8</v>
      </c>
      <c r="U11" s="52">
        <f t="shared" si="42"/>
        <v>1.2</v>
      </c>
      <c r="V11" s="52">
        <f t="shared" si="42"/>
        <v>1.1499999999999999</v>
      </c>
      <c r="W11" s="52">
        <f t="shared" si="42"/>
        <v>1</v>
      </c>
      <c r="X11" s="52">
        <f t="shared" si="42"/>
        <v>1.05</v>
      </c>
    </row>
    <row r="13" spans="1:53" x14ac:dyDescent="0.55000000000000004">
      <c r="A13" s="9" t="s">
        <v>51</v>
      </c>
      <c r="B13" s="10"/>
      <c r="C13" s="11"/>
      <c r="D13" s="11"/>
      <c r="E13" s="11"/>
      <c r="F13" s="11"/>
      <c r="G13" s="11"/>
      <c r="H13" s="16"/>
      <c r="I13" s="16"/>
    </row>
    <row r="14" spans="1:53" x14ac:dyDescent="0.55000000000000004">
      <c r="A14" s="12"/>
      <c r="H14" s="17"/>
      <c r="I14" s="17"/>
    </row>
    <row r="15" spans="1:53" x14ac:dyDescent="0.55000000000000004">
      <c r="A15" s="12"/>
      <c r="B15" s="3" t="s">
        <v>52</v>
      </c>
      <c r="H15" s="17"/>
      <c r="I15" s="17"/>
    </row>
    <row r="16" spans="1:53" x14ac:dyDescent="0.55000000000000004">
      <c r="A16" s="12"/>
      <c r="B16" s="3" t="s">
        <v>53</v>
      </c>
      <c r="H16" s="17"/>
      <c r="I16" s="17"/>
    </row>
    <row r="17" spans="1:10" x14ac:dyDescent="0.55000000000000004">
      <c r="A17" s="12"/>
      <c r="B17" s="3" t="s">
        <v>54</v>
      </c>
      <c r="H17" s="17"/>
      <c r="I17" s="17"/>
    </row>
    <row r="18" spans="1:10" x14ac:dyDescent="0.55000000000000004">
      <c r="A18" s="12"/>
      <c r="B18" s="1" t="s">
        <v>55</v>
      </c>
      <c r="H18" s="17"/>
      <c r="I18" s="17"/>
    </row>
    <row r="19" spans="1:10" x14ac:dyDescent="0.55000000000000004">
      <c r="A19" s="12"/>
      <c r="B19" s="1" t="s">
        <v>56</v>
      </c>
      <c r="H19" s="17"/>
      <c r="I19" s="17"/>
    </row>
    <row r="20" spans="1:10" x14ac:dyDescent="0.55000000000000004">
      <c r="A20" s="12"/>
      <c r="B20" s="69" t="s">
        <v>81</v>
      </c>
      <c r="G20" s="17"/>
      <c r="J20" s="1"/>
    </row>
    <row r="21" spans="1:10" x14ac:dyDescent="0.55000000000000004">
      <c r="A21" s="12"/>
      <c r="B21" s="70" t="s">
        <v>82</v>
      </c>
      <c r="G21" s="17"/>
      <c r="J21" s="1"/>
    </row>
    <row r="22" spans="1:10" x14ac:dyDescent="0.55000000000000004">
      <c r="A22" s="13"/>
      <c r="B22" s="14"/>
      <c r="C22" s="15"/>
      <c r="D22" s="15"/>
      <c r="E22" s="15"/>
      <c r="F22" s="15"/>
      <c r="G22" s="15"/>
      <c r="H22" s="18"/>
      <c r="I22" s="18"/>
    </row>
  </sheetData>
  <mergeCells count="24">
    <mergeCell ref="K2:Q2"/>
    <mergeCell ref="AU2:BA2"/>
    <mergeCell ref="S2:Y2"/>
    <mergeCell ref="B4:B10"/>
    <mergeCell ref="AW4:AW10"/>
    <mergeCell ref="AX4:AX10"/>
    <mergeCell ref="AP4:AP10"/>
    <mergeCell ref="AQ4:AQ10"/>
    <mergeCell ref="AR4:AR10"/>
    <mergeCell ref="AS4:AS10"/>
    <mergeCell ref="AU4:AU10"/>
    <mergeCell ref="J4:J10"/>
    <mergeCell ref="I4:I10"/>
    <mergeCell ref="AM4:AM10"/>
    <mergeCell ref="AN4:AN10"/>
    <mergeCell ref="AO4:AO10"/>
    <mergeCell ref="BA4:BA10"/>
    <mergeCell ref="AY4:AY10"/>
    <mergeCell ref="AZ4:AZ10"/>
    <mergeCell ref="AV4:AV10"/>
    <mergeCell ref="AA1:AE1"/>
    <mergeCell ref="AG1:AK1"/>
    <mergeCell ref="AM2:AS2"/>
    <mergeCell ref="AM1:BA1"/>
  </mergeCells>
  <phoneticPr fontId="1"/>
  <pageMargins left="0.23622047244094491" right="0.23622047244094491" top="0.74803149606299213" bottom="0.74803149606299213" header="0.31496062992125984" footer="0.31496062992125984"/>
  <pageSetup paperSize="9" scale="59" fitToHeight="0" orientation="landscape" horizontalDpi="300" verticalDpi="300" r:id="rId1"/>
  <headerFooter>
    <oddFooter>&amp;C&amp;P /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C1AE3-EFB2-47D0-B03F-6BE3BB1F703E}">
  <sheetPr>
    <pageSetUpPr fitToPage="1"/>
  </sheetPr>
  <dimension ref="A1:J23"/>
  <sheetViews>
    <sheetView showGridLines="0" zoomScale="85" zoomScaleNormal="85" workbookViewId="0">
      <pane ySplit="3" topLeftCell="A14" activePane="bottomLeft" state="frozen"/>
      <selection activeCell="D1" sqref="D1"/>
      <selection pane="bottomLeft" activeCell="A21" sqref="A21:XFD22"/>
    </sheetView>
  </sheetViews>
  <sheetFormatPr defaultColWidth="9" defaultRowHeight="18" x14ac:dyDescent="0.55000000000000004"/>
  <cols>
    <col min="1" max="1" width="4.33203125" style="3" bestFit="1" customWidth="1"/>
    <col min="2" max="2" width="9" style="1" customWidth="1"/>
    <col min="3" max="3" width="17.58203125" style="2" customWidth="1"/>
    <col min="4" max="4" width="53.25" style="2" customWidth="1"/>
    <col min="5" max="5" width="80.25" style="2" customWidth="1"/>
    <col min="6" max="6" width="112.5" style="2" bestFit="1" customWidth="1"/>
    <col min="7" max="9" width="16.58203125" style="7" customWidth="1"/>
    <col min="10" max="10" width="16.58203125" style="1" customWidth="1"/>
    <col min="11" max="16384" width="9" style="1"/>
  </cols>
  <sheetData>
    <row r="1" spans="1:10" ht="22.5" x14ac:dyDescent="0.55000000000000004">
      <c r="A1" s="8" t="s">
        <v>0</v>
      </c>
      <c r="I1" s="1"/>
    </row>
    <row r="2" spans="1:10" x14ac:dyDescent="0.55000000000000004">
      <c r="A2" s="3" t="s">
        <v>4</v>
      </c>
    </row>
    <row r="3" spans="1:10" ht="36" x14ac:dyDescent="0.55000000000000004">
      <c r="A3" s="4" t="s">
        <v>7</v>
      </c>
      <c r="B3" s="5" t="s">
        <v>8</v>
      </c>
      <c r="C3" s="6" t="s">
        <v>9</v>
      </c>
      <c r="D3" s="6" t="s">
        <v>11</v>
      </c>
      <c r="E3" s="6" t="s">
        <v>12</v>
      </c>
      <c r="F3" s="6" t="s">
        <v>13</v>
      </c>
      <c r="G3" s="19" t="s">
        <v>57</v>
      </c>
      <c r="H3" s="24" t="s">
        <v>58</v>
      </c>
      <c r="I3" s="19" t="s">
        <v>27</v>
      </c>
    </row>
    <row r="4" spans="1:10" ht="72" x14ac:dyDescent="0.55000000000000004">
      <c r="A4" s="47">
        <v>1</v>
      </c>
      <c r="B4" s="64" t="str">
        <f>'MES_概算御見積（内部用）'!B4</f>
        <v>千葉工場
製造二課</v>
      </c>
      <c r="C4" s="20" t="str">
        <f>'MES_概算御見積（内部用）'!C4</f>
        <v>品質記録表のMES入力化</v>
      </c>
      <c r="D4" s="20" t="str">
        <f>'MES_概算御見積（内部用）'!E4</f>
        <v>品質記録表記載事項を直接PCからMESへ入力し、製造記録と紐づけをして管理を行いたい</v>
      </c>
      <c r="E4" s="20" t="str">
        <f>'MES_概算御見積（内部用）'!F4</f>
        <v>品質記録記載事項をMESへ入力したい</v>
      </c>
      <c r="F4" s="28" t="str">
        <f>'MES_概算御見積（内部用）'!G4</f>
        <v>■PG改修
・インフレ品質記録画面作成（製造実績一覧画面にボタンを配置し遷移可能とする）
・検索項目を設ける。製造実績一覧画面の検索条件と同様。
・CSV出力機能を設ける。</v>
      </c>
      <c r="G4" s="30">
        <f>'MES_概算御見積（内部用）'!H4</f>
        <v>29</v>
      </c>
      <c r="H4" s="30">
        <f>'MES_概算御見積（内部用）'!AA4+'MES_概算御見積（内部用）'!AC4</f>
        <v>33.35</v>
      </c>
      <c r="I4" s="35">
        <f>'MES_概算御見積（内部用）'!AE4</f>
        <v>1755000</v>
      </c>
    </row>
    <row r="5" spans="1:10" ht="36" x14ac:dyDescent="0.55000000000000004">
      <c r="A5" s="47">
        <v>2</v>
      </c>
      <c r="B5" s="64"/>
      <c r="C5" s="20" t="str">
        <f>'MES_概算御見積（内部用）'!C5</f>
        <v>製造指示書改修</v>
      </c>
      <c r="D5" s="20" t="str">
        <f>'MES_概算御見積（内部用）'!E5</f>
        <v>製造指示書の特記事項欄文字入力数を増やして手書き対応をやめる</v>
      </c>
      <c r="E5" s="20" t="str">
        <f>'MES_概算御見積（内部用）'!F5</f>
        <v>製造指示書の特記事項欄を大きくするもしくは、文字サイズ調整や入力数を変更</v>
      </c>
      <c r="F5" s="28" t="str">
        <f>'MES_概算御見積（内部用）'!G5</f>
        <v>■PG改修
・特記事項欄の入力可能文字数を増やす。（項目拡大もしくは、文字サイズ縮小可）</v>
      </c>
      <c r="G5" s="30">
        <f>'MES_概算御見積（内部用）'!H5</f>
        <v>12</v>
      </c>
      <c r="H5" s="30">
        <f>'MES_概算御見積（内部用）'!AA5+'MES_概算御見積（内部用）'!AC5</f>
        <v>13.8</v>
      </c>
      <c r="I5" s="35">
        <f>'MES_概算御見積（内部用）'!AE5</f>
        <v>726000</v>
      </c>
    </row>
    <row r="6" spans="1:10" ht="108" x14ac:dyDescent="0.55000000000000004">
      <c r="A6" s="47">
        <v>3</v>
      </c>
      <c r="B6" s="64"/>
      <c r="C6" s="20" t="str">
        <f>'MES_概算御見積（内部用）'!C6</f>
        <v>製品重量をMESへ自動取り込み</v>
      </c>
      <c r="D6" s="20" t="str">
        <f>'MES_概算御見積（内部用）'!E6</f>
        <v>製品重量を製造記録表へ記載し、その情報をMESへ入力している</v>
      </c>
      <c r="E6" s="20" t="str">
        <f>'MES_概算御見積（内部用）'!F6</f>
        <v>兵庫工場と同様に製品リフターで計測した重量を自動でMESへ取り込みたい</v>
      </c>
      <c r="F6" s="28" t="str">
        <f>'MES_概算御見積（内部用）'!G6</f>
        <v>■前提条件
・計測PCおよび、それに接続する重量計等の設備の準備をいただく。
・現地動作確認PCは1台を想定。
■PG改修
・三重MESの台秤アプリを流用する。
・重量計で測定した値を計測PC経由でMESデータベースに登録する。</v>
      </c>
      <c r="G6" s="30">
        <f>'MES_概算御見積（内部用）'!H6</f>
        <v>28</v>
      </c>
      <c r="H6" s="30">
        <f>'MES_概算御見積（内部用）'!AA6+'MES_概算御見積（内部用）'!AC6</f>
        <v>32.200000000000003</v>
      </c>
      <c r="I6" s="35">
        <f>'MES_概算御見積（内部用）'!AE6</f>
        <v>1694000</v>
      </c>
    </row>
    <row r="7" spans="1:10" ht="90" x14ac:dyDescent="0.55000000000000004">
      <c r="A7" s="47">
        <v>4</v>
      </c>
      <c r="B7" s="64"/>
      <c r="C7" s="20" t="str">
        <f>'MES_概算御見積（内部用）'!C7</f>
        <v>運転記録表の電子化</v>
      </c>
      <c r="D7" s="20" t="str">
        <f>'MES_概算御見積（内部用）'!E7</f>
        <v>運転記録表をiPadまたはPC入力としMESで製造記録表と紐づけを行う</v>
      </c>
      <c r="E7" s="20" t="str">
        <f>'MES_概算御見積（内部用）'!F7</f>
        <v>運転記録表をPC等で入力しMESで製造記録表と紐づけを行う</v>
      </c>
      <c r="F7" s="28" t="str">
        <f>'MES_概算御見積（内部用）'!G7</f>
        <v>■PG改修
・インフレ運転記録画面作成（製造実績一覧画面にボタンを配置し遷移可能とする）
・対象は次の7画面（号機で項目が異なる）：IS-1、IS-2、IS-5（ナチュラル）、IS-5（色物）、IS-7（単層）、IS-7（多層）、IS-8
・検索項目を設ける。製造実績一覧画面の検索条件と同様。
・CSV出力機能を設ける。</v>
      </c>
      <c r="G7" s="30">
        <f>'MES_概算御見積（内部用）'!H7</f>
        <v>140</v>
      </c>
      <c r="H7" s="30">
        <f>'MES_概算御見積（内部用）'!AA7+'MES_概算御見積（内部用）'!AC7</f>
        <v>161</v>
      </c>
      <c r="I7" s="35">
        <f>'MES_概算御見積（内部用）'!AE7</f>
        <v>8470000</v>
      </c>
    </row>
    <row r="8" spans="1:10" ht="90" x14ac:dyDescent="0.55000000000000004">
      <c r="A8" s="47">
        <v>5</v>
      </c>
      <c r="B8" s="64"/>
      <c r="C8" s="20" t="str">
        <f>'MES_概算御見積（内部用）'!C8</f>
        <v>二次加工一覧における指示書の一括および個別印刷</v>
      </c>
      <c r="D8" s="20" t="str">
        <f>'MES_概算御見積（内部用）'!E8</f>
        <v>作業時間の短縮</v>
      </c>
      <c r="E8" s="20" t="str">
        <f>'MES_概算御見積（内部用）'!F8</f>
        <v>二次加工一覧において、各品転指示番号を選択し、選択された指示番号が印刷できるようにしたい。</v>
      </c>
      <c r="F8" s="28" t="str">
        <f>'MES_概算御見積（内部用）'!G8</f>
        <v>■PG改修
・加工依頼一覧画面で選択した加工依頼書をまとめて印刷できるようにする。
　（現行のシステムでは、加工依頼書作成画面に遷移し、一見ずつ印刷する。）
・印刷済みフラグは不要。複数回印刷可能。
・全選択ボタンは不要。</v>
      </c>
      <c r="G8" s="30">
        <f>'MES_概算御見積（内部用）'!H8</f>
        <v>20</v>
      </c>
      <c r="H8" s="30">
        <f>'MES_概算御見積（内部用）'!AA8+'MES_概算御見積（内部用）'!AC8</f>
        <v>23</v>
      </c>
      <c r="I8" s="35">
        <f>'MES_概算御見積（内部用）'!AE8</f>
        <v>1210000</v>
      </c>
    </row>
    <row r="9" spans="1:10" ht="72" x14ac:dyDescent="0.55000000000000004">
      <c r="A9" s="47">
        <v>6</v>
      </c>
      <c r="B9" s="64"/>
      <c r="C9" s="20" t="str">
        <f>'MES_概算御見積（内部用）'!C9</f>
        <v>納入先一覧の50音表示</v>
      </c>
      <c r="D9" s="20" t="str">
        <f>'MES_概算御見積（内部用）'!E9</f>
        <v>納入先マスタが増え、指示書で選択する際に時間を要すため</v>
      </c>
      <c r="E9" s="20" t="str">
        <f>'MES_概算御見積（内部用）'!F9</f>
        <v>納入先一覧を、登録番号順のほかに、50音順表示も追加してほしい。</v>
      </c>
      <c r="F9" s="28" t="str">
        <f>'MES_概算御見積（内部用）'!G9</f>
        <v>■PG改修
・検索（納入先）画面のソート番号を追加する。
・ソート番号はマスタ管理画面から登録、変更可能。
・ソート番号は検索（納入先）画面には表示しない。</v>
      </c>
      <c r="G9" s="30">
        <f>'MES_概算御見積（内部用）'!H9</f>
        <v>12</v>
      </c>
      <c r="H9" s="30">
        <f>'MES_概算御見積（内部用）'!AA9+'MES_概算御見積（内部用）'!AC9</f>
        <v>13.8</v>
      </c>
      <c r="I9" s="35">
        <f>'MES_概算御見積（内部用）'!AE9</f>
        <v>726000</v>
      </c>
    </row>
    <row r="10" spans="1:10" ht="72" x14ac:dyDescent="0.55000000000000004">
      <c r="A10" s="47">
        <v>7</v>
      </c>
      <c r="B10" s="64"/>
      <c r="C10" s="20" t="str">
        <f>'MES_概算御見積（内部用）'!C10</f>
        <v>同一品転指示内容の複写</v>
      </c>
      <c r="D10" s="20" t="str">
        <f>'MES_概算御見積（内部用）'!E10</f>
        <v>作業時間の短縮</v>
      </c>
      <c r="E10" s="20" t="str">
        <f>'MES_概算御見積（内部用）'!F10</f>
        <v>クレストでは、パレット積載本数による品転指示が基本となっているため、同一内容の品転指示を一度に複数回入力しているが、この同一内容の品転指示を、別の新規の品転指示No.にコピーできるようにしたい</v>
      </c>
      <c r="F10" s="28" t="str">
        <f>'MES_概算御見積（内部用）'!G10</f>
        <v>■PG改修
・加工依頼書作成画面にコピー（複写）ボタンを追加する。
・コピー（複写）ボタン押下すると、値はそのままに新指示Noに複写可能となる。
・加工指示タブ、加工/検品タブ、梱包仕様タブが対象。</v>
      </c>
      <c r="G10" s="30">
        <f>'MES_概算御見積（内部用）'!H10</f>
        <v>38</v>
      </c>
      <c r="H10" s="30">
        <f>'MES_概算御見積（内部用）'!AA10+'MES_概算御見積（内部用）'!AC10</f>
        <v>43.7</v>
      </c>
      <c r="I10" s="45">
        <f>'MES_概算御見積（内部用）'!AE10</f>
        <v>2299000</v>
      </c>
    </row>
    <row r="11" spans="1:10" ht="18" customHeight="1" x14ac:dyDescent="0.55000000000000004">
      <c r="B11" s="44"/>
      <c r="C11" s="44"/>
      <c r="D11" s="44"/>
      <c r="E11" s="44"/>
      <c r="H11" s="44"/>
      <c r="J11" s="7"/>
    </row>
    <row r="12" spans="1:10" ht="18" customHeight="1" x14ac:dyDescent="0.55000000000000004">
      <c r="H12" s="2"/>
      <c r="J12" s="7"/>
    </row>
    <row r="14" spans="1:10" x14ac:dyDescent="0.55000000000000004">
      <c r="A14" s="9" t="s">
        <v>51</v>
      </c>
      <c r="B14" s="10"/>
      <c r="C14" s="11"/>
      <c r="D14" s="11"/>
      <c r="E14" s="11"/>
      <c r="F14" s="11"/>
      <c r="G14" s="16"/>
    </row>
    <row r="15" spans="1:10" x14ac:dyDescent="0.55000000000000004">
      <c r="A15" s="12"/>
      <c r="G15" s="17"/>
    </row>
    <row r="16" spans="1:10" x14ac:dyDescent="0.55000000000000004">
      <c r="A16" s="12"/>
      <c r="B16" s="3" t="s">
        <v>52</v>
      </c>
      <c r="G16" s="17"/>
    </row>
    <row r="17" spans="1:7" x14ac:dyDescent="0.55000000000000004">
      <c r="A17" s="12"/>
      <c r="B17" s="3" t="s">
        <v>53</v>
      </c>
      <c r="G17" s="17"/>
    </row>
    <row r="18" spans="1:7" x14ac:dyDescent="0.55000000000000004">
      <c r="A18" s="12"/>
      <c r="B18" s="3" t="s">
        <v>54</v>
      </c>
      <c r="G18" s="17"/>
    </row>
    <row r="19" spans="1:7" x14ac:dyDescent="0.55000000000000004">
      <c r="A19" s="12"/>
      <c r="B19" s="1" t="s">
        <v>55</v>
      </c>
      <c r="G19" s="17"/>
    </row>
    <row r="20" spans="1:7" x14ac:dyDescent="0.55000000000000004">
      <c r="A20" s="12"/>
      <c r="B20" s="1" t="s">
        <v>56</v>
      </c>
      <c r="G20" s="17"/>
    </row>
    <row r="21" spans="1:7" x14ac:dyDescent="0.55000000000000004">
      <c r="A21" s="12"/>
      <c r="B21" s="69" t="s">
        <v>81</v>
      </c>
      <c r="G21" s="17"/>
    </row>
    <row r="22" spans="1:7" x14ac:dyDescent="0.55000000000000004">
      <c r="A22" s="12"/>
      <c r="B22" s="70" t="s">
        <v>82</v>
      </c>
      <c r="G22" s="17"/>
    </row>
    <row r="23" spans="1:7" x14ac:dyDescent="0.55000000000000004">
      <c r="A23" s="13"/>
      <c r="B23" s="14"/>
      <c r="C23" s="15"/>
      <c r="D23" s="15"/>
      <c r="E23" s="15"/>
      <c r="F23" s="15"/>
      <c r="G23" s="18"/>
    </row>
  </sheetData>
  <mergeCells count="1">
    <mergeCell ref="B4:B10"/>
  </mergeCells>
  <phoneticPr fontId="1"/>
  <pageMargins left="0.23622047244094491" right="0.23622047244094491" top="0.74803149606299213" bottom="0.74803149606299213" header="0.31496062992125984" footer="0.31496062992125984"/>
  <pageSetup paperSize="9" scale="54" fitToHeight="0" orientation="landscape" horizontalDpi="300" verticalDpi="300" r:id="rId1"/>
  <headerFooter>
    <oddFooter>&amp;C&amp;P /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32F26-AF8A-4228-8EB0-CB0850D0D530}">
  <dimension ref="A1:BQ27"/>
  <sheetViews>
    <sheetView showGridLines="0" zoomScale="115" zoomScaleNormal="115" workbookViewId="0">
      <pane xSplit="3" topLeftCell="D1" activePane="topRight" state="frozen"/>
      <selection pane="topRight" activeCell="H14" sqref="H14"/>
    </sheetView>
  </sheetViews>
  <sheetFormatPr defaultRowHeight="18" x14ac:dyDescent="0.55000000000000004"/>
  <cols>
    <col min="1" max="1" width="4.33203125" style="3" bestFit="1" customWidth="1"/>
    <col min="2" max="2" width="9" style="1" bestFit="1" customWidth="1"/>
    <col min="3" max="3" width="46" style="2" customWidth="1"/>
    <col min="4" max="4" width="44.25" style="2" bestFit="1" customWidth="1"/>
    <col min="5" max="5" width="11.33203125" style="2" bestFit="1" customWidth="1"/>
    <col min="6" max="12" width="5.58203125" customWidth="1"/>
    <col min="13" max="13" width="8.58203125" customWidth="1"/>
    <col min="16" max="17" width="11.33203125" customWidth="1"/>
    <col min="18" max="69" width="6.33203125" customWidth="1"/>
  </cols>
  <sheetData>
    <row r="1" spans="1:69" x14ac:dyDescent="0.55000000000000004">
      <c r="N1" t="s">
        <v>59</v>
      </c>
      <c r="P1" s="54"/>
      <c r="R1">
        <v>2025</v>
      </c>
    </row>
    <row r="2" spans="1:69" ht="36" x14ac:dyDescent="0.55000000000000004">
      <c r="A2" s="4" t="s">
        <v>7</v>
      </c>
      <c r="B2" s="5" t="s">
        <v>8</v>
      </c>
      <c r="C2" s="6" t="s">
        <v>9</v>
      </c>
      <c r="D2" s="6" t="s">
        <v>60</v>
      </c>
      <c r="E2" s="6" t="s">
        <v>10</v>
      </c>
      <c r="F2" s="6" t="s">
        <v>61</v>
      </c>
      <c r="G2" s="6" t="s">
        <v>18</v>
      </c>
      <c r="H2" s="6" t="s">
        <v>19</v>
      </c>
      <c r="I2" s="6" t="s">
        <v>20</v>
      </c>
      <c r="J2" s="6" t="s">
        <v>21</v>
      </c>
      <c r="K2" s="6" t="s">
        <v>62</v>
      </c>
      <c r="L2" s="6" t="s">
        <v>63</v>
      </c>
      <c r="M2" s="6" t="s">
        <v>64</v>
      </c>
      <c r="N2" s="6" t="s">
        <v>65</v>
      </c>
      <c r="P2" s="6" t="s">
        <v>66</v>
      </c>
      <c r="Q2" s="6" t="s">
        <v>22</v>
      </c>
      <c r="R2" s="41">
        <f>DATE(R1,4,7)</f>
        <v>45754</v>
      </c>
      <c r="S2" s="41">
        <f>R2+7</f>
        <v>45761</v>
      </c>
      <c r="T2" s="41">
        <f t="shared" ref="T2:BE2" si="0">S2+7</f>
        <v>45768</v>
      </c>
      <c r="U2" s="41">
        <f t="shared" si="0"/>
        <v>45775</v>
      </c>
      <c r="V2" s="41">
        <f t="shared" si="0"/>
        <v>45782</v>
      </c>
      <c r="W2" s="41">
        <f t="shared" si="0"/>
        <v>45789</v>
      </c>
      <c r="X2" s="41">
        <f t="shared" si="0"/>
        <v>45796</v>
      </c>
      <c r="Y2" s="41">
        <f t="shared" si="0"/>
        <v>45803</v>
      </c>
      <c r="Z2" s="41">
        <f t="shared" si="0"/>
        <v>45810</v>
      </c>
      <c r="AA2" s="41">
        <f t="shared" si="0"/>
        <v>45817</v>
      </c>
      <c r="AB2" s="41">
        <f t="shared" si="0"/>
        <v>45824</v>
      </c>
      <c r="AC2" s="41">
        <f t="shared" si="0"/>
        <v>45831</v>
      </c>
      <c r="AD2" s="41">
        <f t="shared" si="0"/>
        <v>45838</v>
      </c>
      <c r="AE2" s="41">
        <f t="shared" si="0"/>
        <v>45845</v>
      </c>
      <c r="AF2" s="41">
        <f t="shared" si="0"/>
        <v>45852</v>
      </c>
      <c r="AG2" s="41">
        <f t="shared" si="0"/>
        <v>45859</v>
      </c>
      <c r="AH2" s="41">
        <f t="shared" si="0"/>
        <v>45866</v>
      </c>
      <c r="AI2" s="41">
        <f t="shared" si="0"/>
        <v>45873</v>
      </c>
      <c r="AJ2" s="41">
        <f t="shared" si="0"/>
        <v>45880</v>
      </c>
      <c r="AK2" s="41">
        <f t="shared" si="0"/>
        <v>45887</v>
      </c>
      <c r="AL2" s="41">
        <f t="shared" si="0"/>
        <v>45894</v>
      </c>
      <c r="AM2" s="41">
        <f t="shared" si="0"/>
        <v>45901</v>
      </c>
      <c r="AN2" s="41">
        <f t="shared" si="0"/>
        <v>45908</v>
      </c>
      <c r="AO2" s="41">
        <f t="shared" si="0"/>
        <v>45915</v>
      </c>
      <c r="AP2" s="41">
        <f t="shared" si="0"/>
        <v>45922</v>
      </c>
      <c r="AQ2" s="41">
        <f t="shared" si="0"/>
        <v>45929</v>
      </c>
      <c r="AR2" s="41">
        <f t="shared" si="0"/>
        <v>45936</v>
      </c>
      <c r="AS2" s="41">
        <f t="shared" si="0"/>
        <v>45943</v>
      </c>
      <c r="AT2" s="41">
        <f t="shared" si="0"/>
        <v>45950</v>
      </c>
      <c r="AU2" s="41">
        <f t="shared" si="0"/>
        <v>45957</v>
      </c>
      <c r="AV2" s="41">
        <f t="shared" si="0"/>
        <v>45964</v>
      </c>
      <c r="AW2" s="41">
        <f t="shared" si="0"/>
        <v>45971</v>
      </c>
      <c r="AX2" s="41">
        <f t="shared" si="0"/>
        <v>45978</v>
      </c>
      <c r="AY2" s="41">
        <f t="shared" si="0"/>
        <v>45985</v>
      </c>
      <c r="AZ2" s="41">
        <f t="shared" si="0"/>
        <v>45992</v>
      </c>
      <c r="BA2" s="41">
        <f t="shared" si="0"/>
        <v>45999</v>
      </c>
      <c r="BB2" s="41">
        <f t="shared" si="0"/>
        <v>46006</v>
      </c>
      <c r="BC2" s="41">
        <f t="shared" si="0"/>
        <v>46013</v>
      </c>
      <c r="BD2" s="41">
        <f t="shared" si="0"/>
        <v>46020</v>
      </c>
      <c r="BE2" s="41">
        <f t="shared" si="0"/>
        <v>46027</v>
      </c>
      <c r="BF2" s="41">
        <f t="shared" ref="BF2" si="1">BE2+7</f>
        <v>46034</v>
      </c>
      <c r="BG2" s="41">
        <f t="shared" ref="BG2" si="2">BF2+7</f>
        <v>46041</v>
      </c>
      <c r="BH2" s="41">
        <f t="shared" ref="BH2" si="3">BG2+7</f>
        <v>46048</v>
      </c>
      <c r="BI2" s="41">
        <f t="shared" ref="BI2" si="4">BH2+7</f>
        <v>46055</v>
      </c>
      <c r="BJ2" s="41">
        <f t="shared" ref="BJ2" si="5">BI2+7</f>
        <v>46062</v>
      </c>
      <c r="BK2" s="41">
        <f t="shared" ref="BK2" si="6">BJ2+7</f>
        <v>46069</v>
      </c>
      <c r="BL2" s="41">
        <f t="shared" ref="BL2" si="7">BK2+7</f>
        <v>46076</v>
      </c>
      <c r="BM2" s="41">
        <f t="shared" ref="BM2" si="8">BL2+7</f>
        <v>46083</v>
      </c>
      <c r="BN2" s="41">
        <f t="shared" ref="BN2" si="9">BM2+7</f>
        <v>46090</v>
      </c>
      <c r="BO2" s="41">
        <f t="shared" ref="BO2" si="10">BN2+7</f>
        <v>46097</v>
      </c>
      <c r="BP2" s="41">
        <f t="shared" ref="BP2" si="11">BO2+7</f>
        <v>46104</v>
      </c>
      <c r="BQ2" s="41">
        <f t="shared" ref="BQ2" si="12">BP2+7</f>
        <v>46111</v>
      </c>
    </row>
    <row r="3" spans="1:69" ht="90" customHeight="1" x14ac:dyDescent="0.55000000000000004">
      <c r="A3" s="23">
        <v>1</v>
      </c>
      <c r="B3" s="68" t="str">
        <f>'MES_概算御見積（内部用）'!B4</f>
        <v>千葉工場
製造二課</v>
      </c>
      <c r="C3" s="20" t="str">
        <f>'MES_概算御見積（内部用）'!C4</f>
        <v>品質記録表のMES入力化</v>
      </c>
      <c r="D3" s="21" t="str">
        <f>'MES_概算御見積（内部用）'!F4</f>
        <v>品質記録記載事項をMESへ入力したい</v>
      </c>
      <c r="E3" s="46">
        <f>'MES_概算御見積（内部用）'!D4</f>
        <v>46022</v>
      </c>
      <c r="F3" s="42">
        <f>'MES_概算御見積（内部用）'!K4</f>
        <v>4</v>
      </c>
      <c r="G3" s="42">
        <f>'MES_概算御見積（内部用）'!L4</f>
        <v>13</v>
      </c>
      <c r="H3" s="42">
        <f>'MES_概算御見積（内部用）'!M4</f>
        <v>4</v>
      </c>
      <c r="I3" s="42">
        <f>'MES_概算御見積（内部用）'!N4</f>
        <v>4</v>
      </c>
      <c r="J3" s="42">
        <f>'MES_概算御見積（内部用）'!O4</f>
        <v>2</v>
      </c>
      <c r="K3" s="42">
        <f>'MES_概算御見積（内部用）'!P4</f>
        <v>2</v>
      </c>
      <c r="L3" s="42">
        <f>'MES_概算御見積（内部用）'!Q4</f>
        <v>29</v>
      </c>
      <c r="M3" s="42">
        <f>L3</f>
        <v>29</v>
      </c>
      <c r="N3" s="42">
        <f>M3+'MES_概算御見積（内部用）'!AC4</f>
        <v>33.35</v>
      </c>
      <c r="P3" s="53">
        <f>R2</f>
        <v>45754</v>
      </c>
      <c r="Q3" s="48">
        <f>X2</f>
        <v>45796</v>
      </c>
      <c r="R3" s="48"/>
      <c r="S3" s="48"/>
      <c r="T3" s="48"/>
      <c r="U3" s="48"/>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c r="BD3" s="48"/>
      <c r="BE3" s="48"/>
      <c r="BF3" s="48"/>
      <c r="BG3" s="48"/>
      <c r="BH3" s="48"/>
      <c r="BI3" s="48"/>
      <c r="BJ3" s="48"/>
      <c r="BK3" s="48"/>
      <c r="BL3" s="48"/>
      <c r="BM3" s="48"/>
      <c r="BN3" s="48"/>
      <c r="BO3" s="48"/>
      <c r="BP3" s="48"/>
      <c r="BQ3" s="48"/>
    </row>
    <row r="4" spans="1:69" ht="90" customHeight="1" x14ac:dyDescent="0.55000000000000004">
      <c r="A4" s="23">
        <v>2</v>
      </c>
      <c r="B4" s="68"/>
      <c r="C4" s="20" t="str">
        <f>'MES_概算御見積（内部用）'!C5</f>
        <v>製造指示書改修</v>
      </c>
      <c r="D4" s="21" t="str">
        <f>'MES_概算御見積（内部用）'!F5</f>
        <v>製造指示書の特記事項欄を大きくするもしくは、文字サイズ調整や入力数を変更</v>
      </c>
      <c r="E4" s="46">
        <f>'MES_概算御見積（内部用）'!D5</f>
        <v>46022</v>
      </c>
      <c r="F4" s="42">
        <f>'MES_概算御見積（内部用）'!K5</f>
        <v>2</v>
      </c>
      <c r="G4" s="42">
        <f>'MES_概算御見積（内部用）'!L5</f>
        <v>3</v>
      </c>
      <c r="H4" s="42">
        <f>'MES_概算御見積（内部用）'!M5</f>
        <v>2</v>
      </c>
      <c r="I4" s="42">
        <f>'MES_概算御見積（内部用）'!N5</f>
        <v>1</v>
      </c>
      <c r="J4" s="42">
        <f>'MES_概算御見積（内部用）'!O5</f>
        <v>2</v>
      </c>
      <c r="K4" s="42">
        <f>'MES_概算御見積（内部用）'!P5</f>
        <v>2</v>
      </c>
      <c r="L4" s="42">
        <f>'MES_概算御見積（内部用）'!Q5</f>
        <v>12</v>
      </c>
      <c r="M4" s="42">
        <f t="shared" ref="M4:M8" si="13">L4</f>
        <v>12</v>
      </c>
      <c r="N4" s="42">
        <f>M4+'MES_概算御見積（内部用）'!AC5</f>
        <v>13.8</v>
      </c>
      <c r="P4" s="49">
        <f>Y2</f>
        <v>45803</v>
      </c>
      <c r="Q4" s="49">
        <f>AC2</f>
        <v>45831</v>
      </c>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49"/>
      <c r="BA4" s="49"/>
      <c r="BB4" s="49"/>
      <c r="BC4" s="49"/>
      <c r="BD4" s="49"/>
      <c r="BE4" s="49"/>
      <c r="BF4" s="49"/>
      <c r="BG4" s="49"/>
      <c r="BH4" s="49"/>
      <c r="BI4" s="49"/>
      <c r="BJ4" s="49"/>
      <c r="BK4" s="49"/>
      <c r="BL4" s="49"/>
      <c r="BM4" s="49"/>
      <c r="BN4" s="49"/>
      <c r="BO4" s="49"/>
      <c r="BP4" s="49"/>
      <c r="BQ4" s="49"/>
    </row>
    <row r="5" spans="1:69" ht="90" customHeight="1" x14ac:dyDescent="0.55000000000000004">
      <c r="A5" s="23">
        <v>3</v>
      </c>
      <c r="B5" s="68"/>
      <c r="C5" s="20" t="str">
        <f>'MES_概算御見積（内部用）'!C6</f>
        <v>製品重量をMESへ自動取り込み</v>
      </c>
      <c r="D5" s="21" t="str">
        <f>'MES_概算御見積（内部用）'!F6</f>
        <v>兵庫工場と同様に製品リフターで計測した重量を自動でMESへ取り込みたい</v>
      </c>
      <c r="E5" s="46">
        <f>'MES_概算御見積（内部用）'!D6</f>
        <v>46112</v>
      </c>
      <c r="F5" s="42">
        <f>'MES_概算御見積（内部用）'!K6</f>
        <v>4</v>
      </c>
      <c r="G5" s="42">
        <f>'MES_概算御見積（内部用）'!L6</f>
        <v>10</v>
      </c>
      <c r="H5" s="42">
        <f>'MES_概算御見積（内部用）'!M6</f>
        <v>4</v>
      </c>
      <c r="I5" s="42">
        <f>'MES_概算御見積（内部用）'!N6</f>
        <v>4</v>
      </c>
      <c r="J5" s="42">
        <f>'MES_概算御見積（内部用）'!O6</f>
        <v>2</v>
      </c>
      <c r="K5" s="42">
        <f>'MES_概算御見積（内部用）'!P6</f>
        <v>4</v>
      </c>
      <c r="L5" s="42">
        <f>'MES_概算御見積（内部用）'!Q6</f>
        <v>28</v>
      </c>
      <c r="M5" s="42">
        <f t="shared" si="13"/>
        <v>28</v>
      </c>
      <c r="N5" s="42">
        <f>M5+'MES_概算御見積（内部用）'!AC6</f>
        <v>32.200000000000003</v>
      </c>
      <c r="P5" s="49">
        <f>AD2</f>
        <v>45838</v>
      </c>
      <c r="Q5" s="49">
        <f>AJ2</f>
        <v>45880</v>
      </c>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51"/>
      <c r="BD5" s="51"/>
      <c r="BE5" s="51"/>
      <c r="BF5" s="51"/>
      <c r="BG5" s="51"/>
      <c r="BH5" s="51"/>
      <c r="BI5" s="51"/>
      <c r="BJ5" s="51"/>
      <c r="BK5" s="51"/>
      <c r="BL5" s="51"/>
      <c r="BM5" s="51"/>
      <c r="BN5" s="51"/>
      <c r="BO5" s="51"/>
      <c r="BP5" s="51"/>
      <c r="BQ5" s="51"/>
    </row>
    <row r="6" spans="1:69" ht="90" customHeight="1" x14ac:dyDescent="0.55000000000000004">
      <c r="A6" s="23">
        <v>4</v>
      </c>
      <c r="B6" s="68"/>
      <c r="C6" s="20" t="str">
        <f>'MES_概算御見積（内部用）'!C7</f>
        <v>運転記録表の電子化</v>
      </c>
      <c r="D6" s="21" t="str">
        <f>'MES_概算御見積（内部用）'!F7</f>
        <v>運転記録表をPC等で入力しMESで製造記録表と紐づけを行う</v>
      </c>
      <c r="E6" s="46">
        <f>'MES_概算御見積（内部用）'!D7</f>
        <v>46112</v>
      </c>
      <c r="F6" s="42">
        <f>'MES_概算御見積（内部用）'!K7</f>
        <v>15</v>
      </c>
      <c r="G6" s="42">
        <f>'MES_概算御見積（内部用）'!L7</f>
        <v>105</v>
      </c>
      <c r="H6" s="42">
        <f>'MES_概算御見積（内部用）'!M7</f>
        <v>5</v>
      </c>
      <c r="I6" s="42">
        <f>'MES_概算御見積（内部用）'!N7</f>
        <v>5</v>
      </c>
      <c r="J6" s="42">
        <f>'MES_概算御見積（内部用）'!O7</f>
        <v>5</v>
      </c>
      <c r="K6" s="42">
        <f>'MES_概算御見積（内部用）'!P7</f>
        <v>5</v>
      </c>
      <c r="L6" s="42">
        <f>'MES_概算御見積（内部用）'!Q7</f>
        <v>140</v>
      </c>
      <c r="M6" s="42">
        <f t="shared" si="13"/>
        <v>140</v>
      </c>
      <c r="N6" s="42">
        <f>M6+'MES_概算御見積（内部用）'!AC7</f>
        <v>161</v>
      </c>
      <c r="P6" s="49">
        <f>AB2</f>
        <v>45824</v>
      </c>
      <c r="Q6" s="49">
        <f>BQ2</f>
        <v>46111</v>
      </c>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51"/>
      <c r="BD6" s="51"/>
      <c r="BE6" s="51"/>
      <c r="BF6" s="51"/>
      <c r="BG6" s="51"/>
      <c r="BH6" s="51"/>
      <c r="BI6" s="51"/>
      <c r="BJ6" s="51"/>
      <c r="BK6" s="51"/>
      <c r="BL6" s="51"/>
      <c r="BM6" s="51"/>
      <c r="BN6" s="51"/>
      <c r="BO6" s="51"/>
      <c r="BP6" s="51"/>
      <c r="BQ6" s="51"/>
    </row>
    <row r="7" spans="1:69" ht="90" customHeight="1" x14ac:dyDescent="0.55000000000000004">
      <c r="A7" s="23">
        <v>5</v>
      </c>
      <c r="B7" s="68"/>
      <c r="C7" s="20" t="str">
        <f>'MES_概算御見積（内部用）'!C8</f>
        <v>二次加工一覧における指示書の一括および個別印刷</v>
      </c>
      <c r="D7" s="21" t="str">
        <f>'MES_概算御見積（内部用）'!F8</f>
        <v>二次加工一覧において、各品転指示番号を選択し、選択された指示番号が印刷できるようにしたい。</v>
      </c>
      <c r="E7" s="55" t="str">
        <f>'MES_概算御見積（内部用）'!D8</f>
        <v>2026/3/31
未定</v>
      </c>
      <c r="F7" s="42">
        <f>'MES_概算御見積（内部用）'!K8</f>
        <v>4</v>
      </c>
      <c r="G7" s="42">
        <f>'MES_概算御見積（内部用）'!L8</f>
        <v>8</v>
      </c>
      <c r="H7" s="42">
        <f>'MES_概算御見積（内部用）'!M8</f>
        <v>2</v>
      </c>
      <c r="I7" s="42">
        <f>'MES_概算御見積（内部用）'!N8</f>
        <v>2</v>
      </c>
      <c r="J7" s="42">
        <f>'MES_概算御見積（内部用）'!O8</f>
        <v>2</v>
      </c>
      <c r="K7" s="42">
        <f>'MES_概算御見積（内部用）'!P8</f>
        <v>2</v>
      </c>
      <c r="L7" s="42">
        <f>'MES_概算御見積（内部用）'!Q8</f>
        <v>20</v>
      </c>
      <c r="M7" s="42">
        <f t="shared" si="13"/>
        <v>20</v>
      </c>
      <c r="N7" s="42">
        <f>M7+'MES_概算御見積（内部用）'!AC8</f>
        <v>23</v>
      </c>
      <c r="P7" s="49">
        <f>AK2</f>
        <v>45887</v>
      </c>
      <c r="Q7" s="49">
        <f>AP2</f>
        <v>45922</v>
      </c>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c r="AV7" s="51"/>
      <c r="AW7" s="51"/>
      <c r="AX7" s="51"/>
      <c r="AY7" s="51"/>
      <c r="AZ7" s="51"/>
      <c r="BA7" s="51"/>
      <c r="BB7" s="51"/>
      <c r="BC7" s="51"/>
      <c r="BD7" s="51"/>
      <c r="BE7" s="51"/>
      <c r="BF7" s="51"/>
      <c r="BG7" s="51"/>
      <c r="BH7" s="51"/>
      <c r="BI7" s="51"/>
      <c r="BJ7" s="51"/>
      <c r="BK7" s="51"/>
      <c r="BL7" s="51"/>
      <c r="BM7" s="51"/>
      <c r="BN7" s="51"/>
      <c r="BO7" s="51"/>
      <c r="BP7" s="51"/>
      <c r="BQ7" s="51"/>
    </row>
    <row r="8" spans="1:69" ht="90" customHeight="1" x14ac:dyDescent="0.55000000000000004">
      <c r="A8" s="23">
        <v>6</v>
      </c>
      <c r="B8" s="68"/>
      <c r="C8" s="20" t="str">
        <f>'MES_概算御見積（内部用）'!C9</f>
        <v>納入先一覧の50音表示</v>
      </c>
      <c r="D8" s="21" t="str">
        <f>'MES_概算御見積（内部用）'!F9</f>
        <v>納入先一覧を、登録番号順のほかに、50音順表示も追加してほしい。</v>
      </c>
      <c r="E8" s="55" t="str">
        <f>'MES_概算御見積（内部用）'!D9</f>
        <v>2026/3/31
未定</v>
      </c>
      <c r="F8" s="42">
        <f>'MES_概算御見積（内部用）'!K9</f>
        <v>2</v>
      </c>
      <c r="G8" s="42">
        <f>'MES_概算御見積（内部用）'!L9</f>
        <v>2</v>
      </c>
      <c r="H8" s="42">
        <f>'MES_概算御見積（内部用）'!M9</f>
        <v>2</v>
      </c>
      <c r="I8" s="42">
        <f>'MES_概算御見積（内部用）'!N9</f>
        <v>2</v>
      </c>
      <c r="J8" s="42">
        <f>'MES_概算御見積（内部用）'!O9</f>
        <v>2</v>
      </c>
      <c r="K8" s="42">
        <f>'MES_概算御見積（内部用）'!P9</f>
        <v>2</v>
      </c>
      <c r="L8" s="42">
        <f>'MES_概算御見積（内部用）'!Q9</f>
        <v>12</v>
      </c>
      <c r="M8" s="42">
        <f t="shared" si="13"/>
        <v>12</v>
      </c>
      <c r="N8" s="42">
        <f>M8+'MES_概算御見積（内部用）'!AC9</f>
        <v>13.8</v>
      </c>
      <c r="P8" s="49">
        <f>AQ2</f>
        <v>45929</v>
      </c>
      <c r="Q8" s="49">
        <f>AT2</f>
        <v>45950</v>
      </c>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c r="AV8" s="51"/>
      <c r="AW8" s="51"/>
      <c r="AX8" s="51"/>
      <c r="AY8" s="51"/>
      <c r="AZ8" s="51"/>
      <c r="BA8" s="51"/>
      <c r="BB8" s="51"/>
      <c r="BC8" s="51"/>
      <c r="BD8" s="51"/>
      <c r="BE8" s="51"/>
      <c r="BF8" s="51"/>
      <c r="BG8" s="51"/>
      <c r="BH8" s="51"/>
      <c r="BI8" s="51"/>
      <c r="BJ8" s="51"/>
      <c r="BK8" s="51"/>
      <c r="BL8" s="51"/>
      <c r="BM8" s="51"/>
      <c r="BN8" s="51"/>
      <c r="BO8" s="51"/>
      <c r="BP8" s="51"/>
      <c r="BQ8" s="51"/>
    </row>
    <row r="9" spans="1:69" ht="90" x14ac:dyDescent="0.55000000000000004">
      <c r="A9" s="23">
        <v>7</v>
      </c>
      <c r="B9" s="68"/>
      <c r="C9" s="20" t="str">
        <f>'MES_概算御見積（内部用）'!C10</f>
        <v>同一品転指示内容の複写</v>
      </c>
      <c r="D9" s="21" t="str">
        <f>'MES_概算御見積（内部用）'!F10</f>
        <v>クレストでは、パレット積載本数による品転指示が基本となっているため、同一内容の品転指示を一度に複数回入力しているが、この同一内容の品転指示を、別の新規の品転指示No.にコピーできるようにしたい</v>
      </c>
      <c r="E9" s="55" t="str">
        <f>'MES_概算御見積（内部用）'!D10</f>
        <v>2026/3/31
未定</v>
      </c>
      <c r="F9" s="42">
        <f>'MES_概算御見積（内部用）'!K10</f>
        <v>4</v>
      </c>
      <c r="G9" s="42">
        <f>'MES_概算御見積（内部用）'!L10</f>
        <v>15</v>
      </c>
      <c r="H9" s="42">
        <f>'MES_概算御見積（内部用）'!M10</f>
        <v>5</v>
      </c>
      <c r="I9" s="42">
        <f>'MES_概算御見積（内部用）'!N10</f>
        <v>5</v>
      </c>
      <c r="J9" s="42">
        <f>'MES_概算御見積（内部用）'!O10</f>
        <v>5</v>
      </c>
      <c r="K9" s="42">
        <f>'MES_概算御見積（内部用）'!P10</f>
        <v>4</v>
      </c>
      <c r="L9" s="42">
        <f>'MES_概算御見積（内部用）'!Q10</f>
        <v>38</v>
      </c>
      <c r="M9" s="42">
        <f t="shared" ref="M9" si="14">L9</f>
        <v>38</v>
      </c>
      <c r="N9" s="42">
        <f>M9+'MES_概算御見積（内部用）'!AC10</f>
        <v>43.7</v>
      </c>
      <c r="P9" s="50">
        <f>AU2</f>
        <v>45957</v>
      </c>
      <c r="Q9" s="50">
        <f>BD2</f>
        <v>46020</v>
      </c>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c r="BM9" s="50"/>
      <c r="BN9" s="50"/>
      <c r="BO9" s="50"/>
      <c r="BP9" s="50"/>
      <c r="BQ9" s="50"/>
    </row>
    <row r="10" spans="1:69" x14ac:dyDescent="0.55000000000000004">
      <c r="A10" s="1"/>
      <c r="B10" s="2"/>
      <c r="D10" s="38"/>
      <c r="E10" s="39"/>
      <c r="F10" s="40"/>
      <c r="G10" s="40"/>
      <c r="H10" s="40"/>
      <c r="I10" s="40"/>
      <c r="J10" s="40"/>
      <c r="K10" s="40"/>
      <c r="L10" s="40"/>
      <c r="M10" s="40"/>
      <c r="N10" s="40"/>
    </row>
    <row r="11" spans="1:69" x14ac:dyDescent="0.55000000000000004">
      <c r="A11" s="3" t="s">
        <v>67</v>
      </c>
    </row>
    <row r="12" spans="1:69" x14ac:dyDescent="0.55000000000000004">
      <c r="B12" s="1" t="s">
        <v>68</v>
      </c>
      <c r="C12" s="1" t="s">
        <v>69</v>
      </c>
    </row>
    <row r="13" spans="1:69" x14ac:dyDescent="0.55000000000000004">
      <c r="B13" s="1" t="s">
        <v>70</v>
      </c>
      <c r="C13" s="2" t="s">
        <v>71</v>
      </c>
    </row>
    <row r="14" spans="1:69" x14ac:dyDescent="0.55000000000000004">
      <c r="B14" s="1" t="s">
        <v>72</v>
      </c>
      <c r="C14" s="1" t="s">
        <v>73</v>
      </c>
      <c r="F14" s="36"/>
      <c r="G14" s="36"/>
    </row>
    <row r="15" spans="1:69" x14ac:dyDescent="0.55000000000000004">
      <c r="C15" s="2" t="s">
        <v>80</v>
      </c>
      <c r="F15" s="36"/>
      <c r="G15" s="36"/>
    </row>
    <row r="16" spans="1:69" x14ac:dyDescent="0.55000000000000004">
      <c r="F16" s="36"/>
      <c r="G16" s="36"/>
    </row>
    <row r="17" spans="6:7" x14ac:dyDescent="0.55000000000000004">
      <c r="F17" s="36"/>
      <c r="G17" s="36"/>
    </row>
    <row r="18" spans="6:7" x14ac:dyDescent="0.55000000000000004">
      <c r="F18" s="36"/>
      <c r="G18" s="36"/>
    </row>
    <row r="19" spans="6:7" x14ac:dyDescent="0.55000000000000004">
      <c r="F19" s="36"/>
      <c r="G19" s="36"/>
    </row>
    <row r="20" spans="6:7" x14ac:dyDescent="0.55000000000000004">
      <c r="F20" s="36"/>
      <c r="G20" s="36"/>
    </row>
    <row r="21" spans="6:7" x14ac:dyDescent="0.55000000000000004">
      <c r="F21" s="36"/>
      <c r="G21" s="36"/>
    </row>
    <row r="22" spans="6:7" x14ac:dyDescent="0.55000000000000004">
      <c r="F22" s="36"/>
      <c r="G22" s="36"/>
    </row>
    <row r="23" spans="6:7" x14ac:dyDescent="0.55000000000000004">
      <c r="F23" s="36"/>
      <c r="G23" s="36"/>
    </row>
    <row r="24" spans="6:7" x14ac:dyDescent="0.55000000000000004">
      <c r="F24" s="36"/>
      <c r="G24" s="36"/>
    </row>
    <row r="25" spans="6:7" x14ac:dyDescent="0.55000000000000004">
      <c r="F25" s="36"/>
      <c r="G25" s="36"/>
    </row>
    <row r="26" spans="6:7" x14ac:dyDescent="0.55000000000000004">
      <c r="F26" s="36"/>
      <c r="G26" s="36"/>
    </row>
    <row r="27" spans="6:7" x14ac:dyDescent="0.55000000000000004">
      <c r="F27" s="36"/>
      <c r="G27" s="36"/>
    </row>
  </sheetData>
  <mergeCells count="1">
    <mergeCell ref="B3:B9"/>
  </mergeCells>
  <phoneticPr fontId="1"/>
  <pageMargins left="0.7" right="0.7" top="0.75" bottom="0.75" header="0.3" footer="0.3"/>
  <ignoredErrors>
    <ignoredError sqref="Q3"/>
  </ignoredError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cd2f88ee6a2934efb41cd9289b91e144">
  <xsd:schema xmlns:xsd="http://www.w3.org/2001/XMLSchema" xmlns:xs="http://www.w3.org/2001/XMLSchema" xmlns:p="http://schemas.microsoft.com/office/2006/metadata/properties" xmlns:ns2="2fd442da-66a9-4fa6-ba31-eb0d54ad1381" targetNamespace="http://schemas.microsoft.com/office/2006/metadata/properties" ma:root="true" ma:fieldsID="a4c4fd50c0b00be67728f9d39ce10164"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6C34C7E-376B-471B-AA75-45C5FFA00634}"/>
</file>

<file path=customXml/itemProps2.xml><?xml version="1.0" encoding="utf-8"?>
<ds:datastoreItem xmlns:ds="http://schemas.openxmlformats.org/officeDocument/2006/customXml" ds:itemID="{6CE0915A-3A26-43FD-B312-3114AFA6C00D}">
  <ds:schemaRefs>
    <ds:schemaRef ds:uri="http://schemas.microsoft.com/office/2006/metadata/properties"/>
    <ds:schemaRef ds:uri="http://schemas.microsoft.com/office/infopath/2007/PartnerControls"/>
    <ds:schemaRef ds:uri="c3646003-1fe8-4c7b-b8fa-d7ba2835bde6"/>
    <ds:schemaRef ds:uri="187f30ad-8167-4588-9c3a-cb4f36143cdf"/>
  </ds:schemaRefs>
</ds:datastoreItem>
</file>

<file path=customXml/itemProps3.xml><?xml version="1.0" encoding="utf-8"?>
<ds:datastoreItem xmlns:ds="http://schemas.openxmlformats.org/officeDocument/2006/customXml" ds:itemID="{85B6FB0D-85F6-4733-BA78-E1D5BD145FF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3</vt:i4>
      </vt:variant>
    </vt:vector>
  </HeadingPairs>
  <TitlesOfParts>
    <vt:vector size="6" baseType="lpstr">
      <vt:lpstr>MES_概算御見積（内部用）</vt:lpstr>
      <vt:lpstr>MES_概算御見積（顧客提出用）</vt:lpstr>
      <vt:lpstr>スケジュール概算</vt:lpstr>
      <vt:lpstr>'MES_概算御見積（顧客提出用）'!Print_Area</vt:lpstr>
      <vt:lpstr>'MES_概算御見積（顧客提出用）'!Print_Titles</vt:lpstr>
      <vt:lpstr>'MES_概算御見積（内部用）'!Print_Titles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m-fukuda</dc:creator>
  <cp:keywords/>
  <dc:description/>
  <cp:lastModifiedBy>髙橋裕輔</cp:lastModifiedBy>
  <cp:revision/>
  <dcterms:created xsi:type="dcterms:W3CDTF">2019-12-18T08:19:30Z</dcterms:created>
  <dcterms:modified xsi:type="dcterms:W3CDTF">2024-11-15T01:25:43Z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