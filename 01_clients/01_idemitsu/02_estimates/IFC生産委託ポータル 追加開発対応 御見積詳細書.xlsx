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takaura\Desktop\IFC生産委託ポータル 追加開発対応\"/>
    </mc:Choice>
  </mc:AlternateContent>
  <xr:revisionPtr revIDLastSave="0" documentId="13_ncr:1_{4222CAA5-448D-4901-89EB-FCC2177F5789}" xr6:coauthVersionLast="47" xr6:coauthVersionMax="47" xr10:uidLastSave="{00000000-0000-0000-0000-000000000000}"/>
  <bookViews>
    <workbookView xWindow="-28920" yWindow="-120" windowWidth="29040" windowHeight="16440" xr2:uid="{00000000-000D-0000-FFFF-FFFF00000000}"/>
  </bookViews>
  <sheets>
    <sheet name="概算見積" sheetId="11" r:id="rId1"/>
    <sheet name="old概算見積" sheetId="4" r:id="rId2"/>
    <sheet name="工数明細" sheetId="10" r:id="rId3"/>
    <sheet name="社員工数" sheetId="1" state="hidden" r:id="rId4"/>
    <sheet name="外注費・経費" sheetId="2" state="hidden" r:id="rId5"/>
    <sheet name="リストマスタ" sheetId="3" state="hidden" r:id="rId6"/>
  </sheets>
  <externalReferences>
    <externalReference r:id="rId7"/>
  </externalReferences>
  <definedNames>
    <definedName name="_xlnm.Print_Area" localSheetId="1">old概算見積!$A$1:$AJ$179</definedName>
    <definedName name="_xlnm.Print_Area" localSheetId="0">概算見積!$A$1:$AJ$176</definedName>
    <definedName name="作業ステータス">[1]コード内訳!$A$125:$A$132</definedName>
    <definedName name="発生場所">[1]コード内訳!$A$115:$A$120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5" i="11" l="1"/>
  <c r="Y46" i="11" s="1"/>
  <c r="AE44" i="11"/>
  <c r="AE43" i="11"/>
  <c r="AE42" i="11"/>
  <c r="AE41" i="11"/>
  <c r="AE40" i="11"/>
  <c r="AE39" i="11"/>
  <c r="Y45" i="4"/>
  <c r="AE45" i="4" s="1"/>
  <c r="AG9" i="10"/>
  <c r="AH9" i="10" s="1"/>
  <c r="AI9" i="10" s="1"/>
  <c r="AG8" i="10"/>
  <c r="AH8" i="10" s="1"/>
  <c r="AG7" i="10"/>
  <c r="AG6" i="10"/>
  <c r="AG5" i="10"/>
  <c r="AA9" i="10"/>
  <c r="AB9" i="10" s="1"/>
  <c r="AC9" i="10" s="1"/>
  <c r="AA8" i="10"/>
  <c r="AA7" i="10"/>
  <c r="AA6" i="10"/>
  <c r="AA5" i="10"/>
  <c r="R8" i="10"/>
  <c r="S8" i="10"/>
  <c r="T8" i="10"/>
  <c r="U8" i="10"/>
  <c r="V8" i="10"/>
  <c r="Q8" i="10"/>
  <c r="R7" i="10"/>
  <c r="S7" i="10"/>
  <c r="T7" i="10"/>
  <c r="U7" i="10"/>
  <c r="V7" i="10"/>
  <c r="Q7" i="10"/>
  <c r="R6" i="10"/>
  <c r="S6" i="10"/>
  <c r="T6" i="10"/>
  <c r="U6" i="10"/>
  <c r="V6" i="10"/>
  <c r="Q6" i="10"/>
  <c r="R5" i="10"/>
  <c r="W5" i="10" s="1"/>
  <c r="AE5" i="10" s="1"/>
  <c r="S5" i="10"/>
  <c r="T5" i="10"/>
  <c r="U5" i="10"/>
  <c r="V5" i="10"/>
  <c r="Q5" i="10"/>
  <c r="U4" i="10"/>
  <c r="T4" i="10"/>
  <c r="S4" i="10"/>
  <c r="R4" i="10"/>
  <c r="V4" i="10"/>
  <c r="Q4" i="10"/>
  <c r="AF9" i="10"/>
  <c r="AE9" i="10"/>
  <c r="Z9" i="10"/>
  <c r="AE39" i="4"/>
  <c r="O8" i="10"/>
  <c r="F8" i="10" s="1"/>
  <c r="A8" i="10"/>
  <c r="O7" i="10"/>
  <c r="A7" i="10"/>
  <c r="O6" i="10"/>
  <c r="F6" i="10"/>
  <c r="A6" i="10"/>
  <c r="Y5" i="10"/>
  <c r="O5" i="10"/>
  <c r="F5" i="10" s="1"/>
  <c r="A5" i="10"/>
  <c r="AP4" i="10"/>
  <c r="AO4" i="10"/>
  <c r="AN4" i="10"/>
  <c r="AM4" i="10"/>
  <c r="AL4" i="10"/>
  <c r="AK4" i="10"/>
  <c r="O4" i="10"/>
  <c r="A4" i="10"/>
  <c r="AE45" i="11" l="1"/>
  <c r="AE46" i="11" s="1"/>
  <c r="F11" i="11" s="1"/>
  <c r="W8" i="10"/>
  <c r="W7" i="10"/>
  <c r="AE7" i="10" s="1"/>
  <c r="W6" i="10"/>
  <c r="AE6" i="10" s="1"/>
  <c r="AH6" i="10" s="1"/>
  <c r="AX4" i="10"/>
  <c r="AW4" i="10"/>
  <c r="AF5" i="10"/>
  <c r="AH5" i="10"/>
  <c r="AE8" i="10"/>
  <c r="W4" i="10"/>
  <c r="AE4" i="10" s="1"/>
  <c r="AS4" i="10"/>
  <c r="Y4" i="10"/>
  <c r="AA4" i="10" s="1"/>
  <c r="AB5" i="10"/>
  <c r="AT4" i="10"/>
  <c r="AV4" i="10"/>
  <c r="AU4" i="10"/>
  <c r="Y7" i="10"/>
  <c r="F7" i="10"/>
  <c r="AQ4" i="10"/>
  <c r="AI5" i="10"/>
  <c r="Y8" i="10"/>
  <c r="Z5" i="10"/>
  <c r="F4" i="10"/>
  <c r="Y6" i="10"/>
  <c r="AE43" i="4"/>
  <c r="AE42" i="4"/>
  <c r="AG4" i="10" l="1"/>
  <c r="AH4" i="10" s="1"/>
  <c r="AF8" i="10"/>
  <c r="AH7" i="10"/>
  <c r="AF7" i="10"/>
  <c r="AI7" i="10" s="1"/>
  <c r="AF6" i="10"/>
  <c r="AI6" i="10" s="1"/>
  <c r="AF4" i="10"/>
  <c r="G4" i="10"/>
  <c r="AB7" i="10"/>
  <c r="AB4" i="10"/>
  <c r="Z4" i="10"/>
  <c r="AC5" i="10"/>
  <c r="Z7" i="10"/>
  <c r="AB8" i="10"/>
  <c r="Z8" i="10"/>
  <c r="Z6" i="10"/>
  <c r="AB6" i="10"/>
  <c r="AY4" i="10"/>
  <c r="AE40" i="4"/>
  <c r="AE41" i="4"/>
  <c r="AE44" i="4"/>
  <c r="Y46" i="4"/>
  <c r="AI4" i="10" l="1"/>
  <c r="AC7" i="10"/>
  <c r="AC4" i="10"/>
  <c r="AI8" i="10"/>
  <c r="H4" i="10"/>
  <c r="AC6" i="10"/>
  <c r="AC8" i="10"/>
  <c r="AE46" i="4"/>
  <c r="F11" i="4" s="1"/>
  <c r="AI10" i="10" l="1"/>
  <c r="E3" i="2"/>
  <c r="E4" i="2" l="1"/>
  <c r="AE59" i="1"/>
  <c r="AD59" i="1"/>
  <c r="AC59" i="1"/>
  <c r="AB59" i="1"/>
  <c r="AA59" i="1"/>
  <c r="Z59" i="1"/>
  <c r="Y59" i="1"/>
  <c r="X59" i="1"/>
  <c r="W59" i="1"/>
  <c r="V59" i="1"/>
  <c r="U59" i="1"/>
  <c r="T59" i="1"/>
  <c r="S59" i="1"/>
  <c r="R59" i="1"/>
  <c r="Q59" i="1"/>
  <c r="P59" i="1"/>
  <c r="O59" i="1"/>
  <c r="N59" i="1"/>
  <c r="M59" i="1"/>
  <c r="L59" i="1"/>
  <c r="K59" i="1"/>
  <c r="J59" i="1"/>
  <c r="I59" i="1"/>
  <c r="H59" i="1"/>
  <c r="G59" i="1"/>
  <c r="F59" i="1"/>
  <c r="E59" i="1"/>
  <c r="D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AF58" i="2"/>
  <c r="AF57" i="2"/>
  <c r="AF56" i="2"/>
  <c r="AF55" i="2"/>
  <c r="AF54" i="2"/>
  <c r="AF53" i="2"/>
  <c r="AF52" i="2"/>
  <c r="AF51" i="2"/>
  <c r="AF50" i="2"/>
  <c r="AF49" i="2"/>
  <c r="AF48" i="2"/>
  <c r="AF47" i="2"/>
  <c r="AF46" i="2"/>
  <c r="AF45" i="2"/>
  <c r="AF44" i="2"/>
  <c r="AF43" i="2"/>
  <c r="AF42" i="2"/>
  <c r="AF41" i="2"/>
  <c r="AF40" i="2"/>
  <c r="AF39" i="2"/>
  <c r="AF38" i="2"/>
  <c r="AF37" i="2"/>
  <c r="AF36" i="2"/>
  <c r="AF35" i="2"/>
  <c r="AF34" i="2"/>
  <c r="AF33" i="2"/>
  <c r="AF32" i="2"/>
  <c r="AF31" i="2"/>
  <c r="AF30" i="2"/>
  <c r="AF29" i="2"/>
  <c r="AF28" i="2"/>
  <c r="AF27" i="2"/>
  <c r="AF26" i="2"/>
  <c r="AF25" i="2"/>
  <c r="AF24" i="2"/>
  <c r="AF23" i="2"/>
  <c r="AF22" i="2"/>
  <c r="AF21" i="2"/>
  <c r="AF20" i="2"/>
  <c r="AF19" i="2"/>
  <c r="AF18" i="2"/>
  <c r="AF17" i="2"/>
  <c r="AF16" i="2"/>
  <c r="AF15" i="2"/>
  <c r="AF14" i="2"/>
  <c r="AF13" i="2"/>
  <c r="AF12" i="2"/>
  <c r="AF11" i="2"/>
  <c r="AF10" i="2"/>
  <c r="AF9" i="2"/>
  <c r="N4" i="2"/>
  <c r="AF59" i="1" l="1"/>
  <c r="H4" i="1" s="1"/>
  <c r="H4" i="2" s="1"/>
  <c r="AF59" i="2"/>
  <c r="K4" i="2" s="1"/>
  <c r="K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渡辺圭</author>
  </authors>
  <commentList>
    <comment ref="B3" authorId="0" shapeId="0" xr:uid="{00000000-0006-0000-0000-000001000000}">
      <text>
        <r>
          <rPr>
            <b/>
            <sz val="9"/>
            <color indexed="81"/>
            <rFont val="ＭＳ Ｐゴシック"/>
            <family val="3"/>
            <charset val="128"/>
          </rPr>
          <t>初回申請時は空欄ですが問題ありません。</t>
        </r>
      </text>
    </comment>
  </commentList>
</comments>
</file>

<file path=xl/sharedStrings.xml><?xml version="1.0" encoding="utf-8"?>
<sst xmlns="http://schemas.openxmlformats.org/spreadsheetml/2006/main" count="567" uniqueCount="292">
  <si>
    <t>概 算 御 見 積 書</t>
    <rPh sb="0" eb="1">
      <t>ガイ</t>
    </rPh>
    <rPh sb="2" eb="3">
      <t>サン</t>
    </rPh>
    <rPh sb="4" eb="5">
      <t>ゴ</t>
    </rPh>
    <rPh sb="6" eb="7">
      <t>ミ</t>
    </rPh>
    <rPh sb="8" eb="9">
      <t>セキ</t>
    </rPh>
    <rPh sb="10" eb="11">
      <t>ショ</t>
    </rPh>
    <phoneticPr fontId="7"/>
  </si>
  <si>
    <t>見積番号　</t>
    <rPh sb="0" eb="2">
      <t>ミツ</t>
    </rPh>
    <rPh sb="2" eb="4">
      <t>バンゴウ</t>
    </rPh>
    <phoneticPr fontId="7"/>
  </si>
  <si>
    <t>-</t>
    <phoneticPr fontId="3"/>
  </si>
  <si>
    <t>見積年月日</t>
    <rPh sb="0" eb="2">
      <t>ミツモリ</t>
    </rPh>
    <rPh sb="2" eb="5">
      <t>ネンガッピ</t>
    </rPh>
    <phoneticPr fontId="7"/>
  </si>
  <si>
    <t>出光興産株式会社　御中</t>
    <rPh sb="0" eb="2">
      <t>イデミツ</t>
    </rPh>
    <rPh sb="2" eb="4">
      <t>コウサン</t>
    </rPh>
    <rPh sb="4" eb="8">
      <t>カブシキガイシャ</t>
    </rPh>
    <rPh sb="9" eb="11">
      <t>オンチュウ</t>
    </rPh>
    <phoneticPr fontId="7"/>
  </si>
  <si>
    <t>株式会社システムエグゼ</t>
    <rPh sb="0" eb="4">
      <t>カブシキガイシャ</t>
    </rPh>
    <phoneticPr fontId="7"/>
  </si>
  <si>
    <t>東京都中央区日本橋室町三丁目4番4号</t>
    <rPh sb="0" eb="3">
      <t>トウキョウト</t>
    </rPh>
    <rPh sb="3" eb="6">
      <t>チュウオウク</t>
    </rPh>
    <rPh sb="6" eb="11">
      <t>ニホンバシムロマチ</t>
    </rPh>
    <rPh sb="11" eb="12">
      <t>ミ</t>
    </rPh>
    <rPh sb="12" eb="14">
      <t>チョウメ</t>
    </rPh>
    <rPh sb="15" eb="16">
      <t>バン</t>
    </rPh>
    <rPh sb="17" eb="18">
      <t>ゴウ</t>
    </rPh>
    <phoneticPr fontId="18"/>
  </si>
  <si>
    <t>OVOL日本橋ビル7階</t>
    <phoneticPr fontId="18"/>
  </si>
  <si>
    <t>見積金額</t>
    <rPh sb="0" eb="2">
      <t>ミツモリ</t>
    </rPh>
    <rPh sb="2" eb="4">
      <t>キンガク</t>
    </rPh>
    <phoneticPr fontId="18"/>
  </si>
  <si>
    <t>担当: 髙橋　裕輔</t>
    <rPh sb="0" eb="2">
      <t>タントウ</t>
    </rPh>
    <rPh sb="4" eb="6">
      <t>タカハシ</t>
    </rPh>
    <rPh sb="7" eb="9">
      <t>ユウスケ</t>
    </rPh>
    <phoneticPr fontId="7"/>
  </si>
  <si>
    <t>MAIL: yusuke.takahashi@system-exe.jp</t>
    <phoneticPr fontId="7"/>
  </si>
  <si>
    <t>件名</t>
    <rPh sb="0" eb="2">
      <t>ケンメイ</t>
    </rPh>
    <phoneticPr fontId="7"/>
  </si>
  <si>
    <t>作業形態</t>
    <rPh sb="0" eb="2">
      <t>サギョウ</t>
    </rPh>
    <rPh sb="2" eb="4">
      <t>ケイタイ</t>
    </rPh>
    <phoneticPr fontId="18"/>
  </si>
  <si>
    <t>請負契約</t>
    <rPh sb="0" eb="2">
      <t>ウケオイ</t>
    </rPh>
    <rPh sb="2" eb="4">
      <t>ケイヤク</t>
    </rPh>
    <phoneticPr fontId="18"/>
  </si>
  <si>
    <t>作業場所</t>
    <rPh sb="0" eb="2">
      <t>サギョウ</t>
    </rPh>
    <rPh sb="2" eb="4">
      <t>バショ</t>
    </rPh>
    <phoneticPr fontId="18"/>
  </si>
  <si>
    <t>弊社内（在宅勤務を含む）</t>
    <rPh sb="0" eb="2">
      <t>ヘイシャ</t>
    </rPh>
    <rPh sb="2" eb="3">
      <t>ナイ</t>
    </rPh>
    <rPh sb="4" eb="6">
      <t>ザイタク</t>
    </rPh>
    <rPh sb="6" eb="8">
      <t>キンム</t>
    </rPh>
    <rPh sb="9" eb="10">
      <t>フク</t>
    </rPh>
    <phoneticPr fontId="18"/>
  </si>
  <si>
    <t>作業期間</t>
    <rPh sb="0" eb="2">
      <t>サギョウ</t>
    </rPh>
    <rPh sb="2" eb="4">
      <t>キカン</t>
    </rPh>
    <phoneticPr fontId="18"/>
  </si>
  <si>
    <t>見積金額内訳</t>
    <rPh sb="0" eb="2">
      <t>ミツモリ</t>
    </rPh>
    <rPh sb="2" eb="4">
      <t>キンガク</t>
    </rPh>
    <rPh sb="4" eb="6">
      <t>ウチワケ</t>
    </rPh>
    <phoneticPr fontId="7"/>
  </si>
  <si>
    <t>No</t>
    <phoneticPr fontId="7"/>
  </si>
  <si>
    <t>項目</t>
    <rPh sb="0" eb="2">
      <t>コウモク</t>
    </rPh>
    <phoneticPr fontId="7"/>
  </si>
  <si>
    <t>数量</t>
    <rPh sb="0" eb="2">
      <t>スウリョウ</t>
    </rPh>
    <phoneticPr fontId="7"/>
  </si>
  <si>
    <t>金額</t>
    <rPh sb="0" eb="2">
      <t>キンガク</t>
    </rPh>
    <phoneticPr fontId="18"/>
  </si>
  <si>
    <t>単価</t>
    <rPh sb="0" eb="2">
      <t>タンカ</t>
    </rPh>
    <phoneticPr fontId="7"/>
  </si>
  <si>
    <t>調査</t>
    <rPh sb="0" eb="2">
      <t>チョウサ</t>
    </rPh>
    <phoneticPr fontId="7"/>
  </si>
  <si>
    <t>人月</t>
    <rPh sb="0" eb="2">
      <t>ニンゲツ</t>
    </rPh>
    <phoneticPr fontId="18"/>
  </si>
  <si>
    <t>設計</t>
    <rPh sb="0" eb="2">
      <t>セッケイ</t>
    </rPh>
    <phoneticPr fontId="7"/>
  </si>
  <si>
    <t>改修</t>
    <rPh sb="0" eb="2">
      <t>カイシュウ</t>
    </rPh>
    <phoneticPr fontId="7"/>
  </si>
  <si>
    <t>テスト</t>
    <phoneticPr fontId="7"/>
  </si>
  <si>
    <t>リリース</t>
    <phoneticPr fontId="7"/>
  </si>
  <si>
    <t>初期流動</t>
    <phoneticPr fontId="7"/>
  </si>
  <si>
    <t>プロジェクト管理</t>
    <rPh sb="6" eb="8">
      <t>カンリ</t>
    </rPh>
    <phoneticPr fontId="7"/>
  </si>
  <si>
    <t>合計</t>
    <rPh sb="0" eb="2">
      <t>ゴウケイ</t>
    </rPh>
    <phoneticPr fontId="7"/>
  </si>
  <si>
    <t>-</t>
    <phoneticPr fontId="18"/>
  </si>
  <si>
    <t>納品物</t>
    <rPh sb="0" eb="2">
      <t>ノウヒン</t>
    </rPh>
    <rPh sb="2" eb="3">
      <t>ブツ</t>
    </rPh>
    <phoneticPr fontId="7"/>
  </si>
  <si>
    <t>・</t>
    <phoneticPr fontId="18"/>
  </si>
  <si>
    <t>設計書</t>
    <rPh sb="0" eb="3">
      <t>セッケイショ</t>
    </rPh>
    <phoneticPr fontId="18"/>
  </si>
  <si>
    <t>結合テスト仕様書兼結果報告書</t>
    <rPh sb="0" eb="2">
      <t>ケツゴウ</t>
    </rPh>
    <rPh sb="5" eb="7">
      <t>シヨウ</t>
    </rPh>
    <rPh sb="8" eb="9">
      <t>ケン</t>
    </rPh>
    <rPh sb="9" eb="11">
      <t>ケッカ</t>
    </rPh>
    <phoneticPr fontId="18"/>
  </si>
  <si>
    <t>ソースコード</t>
    <phoneticPr fontId="18"/>
  </si>
  <si>
    <t>システムテスト仕様書兼結果報告書</t>
    <rPh sb="7" eb="9">
      <t>シヨウ</t>
    </rPh>
    <rPh sb="10" eb="11">
      <t>ケン</t>
    </rPh>
    <rPh sb="11" eb="13">
      <t>ケッカ</t>
    </rPh>
    <phoneticPr fontId="18"/>
  </si>
  <si>
    <t>作業内容</t>
    <rPh sb="0" eb="2">
      <t>サギョウ</t>
    </rPh>
    <rPh sb="2" eb="4">
      <t>ナイヨウ</t>
    </rPh>
    <phoneticPr fontId="18"/>
  </si>
  <si>
    <t>工程</t>
    <rPh sb="0" eb="2">
      <t>コウテイ</t>
    </rPh>
    <phoneticPr fontId="7"/>
  </si>
  <si>
    <t>成果物</t>
    <phoneticPr fontId="18"/>
  </si>
  <si>
    <t>調査・設計</t>
    <rPh sb="0" eb="2">
      <t>チョウサ</t>
    </rPh>
    <rPh sb="3" eb="5">
      <t>セッケイ</t>
    </rPh>
    <phoneticPr fontId="7"/>
  </si>
  <si>
    <t>・</t>
  </si>
  <si>
    <t>対象箇所及び影響調査</t>
    <rPh sb="0" eb="4">
      <t>タイショウカショ</t>
    </rPh>
    <rPh sb="4" eb="5">
      <t>オヨ</t>
    </rPh>
    <rPh sb="6" eb="8">
      <t>エイキョウ</t>
    </rPh>
    <rPh sb="8" eb="10">
      <t>チョウサ</t>
    </rPh>
    <phoneticPr fontId="3"/>
  </si>
  <si>
    <t>基本設計書</t>
    <rPh sb="0" eb="4">
      <t>キホンセッケイ</t>
    </rPh>
    <rPh sb="4" eb="5">
      <t>ショ</t>
    </rPh>
    <phoneticPr fontId="3"/>
  </si>
  <si>
    <t>詳細設計書</t>
    <phoneticPr fontId="3"/>
  </si>
  <si>
    <t>開発・単体テスト</t>
    <phoneticPr fontId="7"/>
  </si>
  <si>
    <t>「改修対象」を参照</t>
    <rPh sb="1" eb="3">
      <t>カイシュウ</t>
    </rPh>
    <rPh sb="3" eb="5">
      <t>タイショウ</t>
    </rPh>
    <rPh sb="7" eb="9">
      <t>サンショウ</t>
    </rPh>
    <phoneticPr fontId="18"/>
  </si>
  <si>
    <t>プログラム一式</t>
    <rPh sb="5" eb="7">
      <t>イッシキ</t>
    </rPh>
    <phoneticPr fontId="18"/>
  </si>
  <si>
    <t>結合テスト</t>
    <phoneticPr fontId="7"/>
  </si>
  <si>
    <t>結合テスト実施</t>
    <rPh sb="5" eb="7">
      <t>ジッシ</t>
    </rPh>
    <phoneticPr fontId="3"/>
  </si>
  <si>
    <t>・</t>
    <phoneticPr fontId="7"/>
  </si>
  <si>
    <t>結合テスト仕様書</t>
    <phoneticPr fontId="3"/>
  </si>
  <si>
    <t>システムテスト</t>
    <phoneticPr fontId="7"/>
  </si>
  <si>
    <t>システムテスト実施</t>
    <rPh sb="7" eb="9">
      <t>ジッシ</t>
    </rPh>
    <phoneticPr fontId="3"/>
  </si>
  <si>
    <t>システムテスト仕様書</t>
    <phoneticPr fontId="3"/>
  </si>
  <si>
    <t>受入テスト</t>
    <phoneticPr fontId="7"/>
  </si>
  <si>
    <t>受入テスト対応</t>
  </si>
  <si>
    <t>作業手順書作成</t>
    <rPh sb="0" eb="5">
      <t>サギョウテジュンショ</t>
    </rPh>
    <rPh sb="5" eb="7">
      <t>サクセイ</t>
    </rPh>
    <phoneticPr fontId="3"/>
  </si>
  <si>
    <t>本番作業手順書</t>
    <phoneticPr fontId="3"/>
  </si>
  <si>
    <t>リリース作業実施</t>
    <rPh sb="4" eb="6">
      <t>サギョウ</t>
    </rPh>
    <rPh sb="6" eb="8">
      <t>ジッシ</t>
    </rPh>
    <phoneticPr fontId="3"/>
  </si>
  <si>
    <t>スケジュール管理</t>
    <phoneticPr fontId="18"/>
  </si>
  <si>
    <t>進捗報告書</t>
    <rPh sb="0" eb="4">
      <t>シンチョクホウ</t>
    </rPh>
    <rPh sb="4" eb="5">
      <t>ショ</t>
    </rPh>
    <phoneticPr fontId="18"/>
  </si>
  <si>
    <t>レビュー、進捗管理・報告</t>
    <phoneticPr fontId="18"/>
  </si>
  <si>
    <t>課題管理表</t>
    <rPh sb="0" eb="2">
      <t>カダイ</t>
    </rPh>
    <rPh sb="2" eb="4">
      <t>カンリ</t>
    </rPh>
    <rPh sb="4" eb="5">
      <t>ヒョウ</t>
    </rPh>
    <phoneticPr fontId="18"/>
  </si>
  <si>
    <t>打ち合わせ等</t>
    <rPh sb="0" eb="1">
      <t>ウ</t>
    </rPh>
    <rPh sb="2" eb="3">
      <t>ア</t>
    </rPh>
    <rPh sb="5" eb="6">
      <t>トウ</t>
    </rPh>
    <phoneticPr fontId="4"/>
  </si>
  <si>
    <t>改修対象</t>
    <rPh sb="0" eb="2">
      <t>カイシュウ</t>
    </rPh>
    <rPh sb="2" eb="4">
      <t>タイショウ</t>
    </rPh>
    <phoneticPr fontId="18"/>
  </si>
  <si>
    <t>【検索関連】</t>
    <phoneticPr fontId="18"/>
  </si>
  <si>
    <t>　検索機能追加</t>
    <phoneticPr fontId="18"/>
  </si>
  <si>
    <t>　　・納期回答NG</t>
    <phoneticPr fontId="18"/>
  </si>
  <si>
    <t>　　・委託先完了日</t>
    <phoneticPr fontId="18"/>
  </si>
  <si>
    <t>　　・IFC完了日</t>
    <phoneticPr fontId="18"/>
  </si>
  <si>
    <t>　　・生産完了（表示、非表示）</t>
    <phoneticPr fontId="18"/>
  </si>
  <si>
    <t>　　・ステータス（新規、変更、キャンセル）</t>
    <phoneticPr fontId="18"/>
  </si>
  <si>
    <t>　　・生産完了報告未了</t>
    <phoneticPr fontId="18"/>
  </si>
  <si>
    <t>　　・試験報告未了</t>
    <phoneticPr fontId="18"/>
  </si>
  <si>
    <t>　　・試験判定未了</t>
    <phoneticPr fontId="18"/>
  </si>
  <si>
    <t>【レイアウト関連】</t>
  </si>
  <si>
    <t>　トップページ</t>
  </si>
  <si>
    <t>　　・処理状況に委託先名を追加</t>
  </si>
  <si>
    <t>　生産状況確認、納期回答、生産完了、横持情報、試験結果</t>
    <phoneticPr fontId="18"/>
  </si>
  <si>
    <t>　　・ロットNo.の位置変更（カラーの後ろ[固定列]、仕上り数量の前にそれぞれ移動）</t>
  </si>
  <si>
    <t>　　・ステータス項目追加（新規、変更、キャンセル）</t>
  </si>
  <si>
    <t>【バリデーションチェック関連】</t>
  </si>
  <si>
    <t>　日付項目（全画面）</t>
    <rPh sb="6" eb="9">
      <t>ゼンガメン</t>
    </rPh>
    <phoneticPr fontId="18"/>
  </si>
  <si>
    <t>　　・2020年～2040年まで入力可能とする</t>
  </si>
  <si>
    <t>【メール関連】</t>
  </si>
  <si>
    <t>　生産状況更新、納期回答送信、納期回答確認、完了報告送信、完了報告確認、試験結果送信、合否結果判定</t>
  </si>
  <si>
    <t>　　・件名に委託先名を入れる</t>
  </si>
  <si>
    <t>　納期回答送信、納期回答確認、完了報告送信、完了報告確認</t>
  </si>
  <si>
    <t>　　・内容に明細を載せる（発注日、依頼No.、SAPNo.、グレード、カラー、荷姿）</t>
  </si>
  <si>
    <t>　試験結果入力ファイル展開時間短縮</t>
  </si>
  <si>
    <t>　　・マスタに対象フラグを追加</t>
  </si>
  <si>
    <t>　　・対象フラグがTrueのレコードをマクロ取込対象とする</t>
  </si>
  <si>
    <t>【権限関連】</t>
  </si>
  <si>
    <t>　生産状況確認表のみ閲覧機能追加</t>
  </si>
  <si>
    <t>　　・生産状況確認表以外のタブを非表示とする</t>
  </si>
  <si>
    <t>　　・Azure申請</t>
    <rPh sb="8" eb="10">
      <t>シンセイ</t>
    </rPh>
    <phoneticPr fontId="18"/>
  </si>
  <si>
    <t>スケジュール</t>
    <phoneticPr fontId="7"/>
  </si>
  <si>
    <t>１M</t>
    <phoneticPr fontId="18"/>
  </si>
  <si>
    <t>２M</t>
  </si>
  <si>
    <t>３M</t>
  </si>
  <si>
    <t>調査・設計</t>
    <rPh sb="0" eb="2">
      <t>チョウサ</t>
    </rPh>
    <rPh sb="3" eb="5">
      <t>セッケイ</t>
    </rPh>
    <phoneticPr fontId="18"/>
  </si>
  <si>
    <t>開発・単体テスト</t>
    <phoneticPr fontId="18"/>
  </si>
  <si>
    <t>結合テスト</t>
    <rPh sb="0" eb="2">
      <t>ケツゴウ</t>
    </rPh>
    <phoneticPr fontId="18"/>
  </si>
  <si>
    <t>システムテスト</t>
    <phoneticPr fontId="18"/>
  </si>
  <si>
    <t>受入テスト</t>
    <phoneticPr fontId="18"/>
  </si>
  <si>
    <t>リリース・本稼働</t>
    <rPh sb="5" eb="6">
      <t>ホン</t>
    </rPh>
    <rPh sb="6" eb="8">
      <t>カドウ</t>
    </rPh>
    <phoneticPr fontId="18"/>
  </si>
  <si>
    <t>凡例</t>
    <rPh sb="0" eb="2">
      <t>ハンレイ</t>
    </rPh>
    <phoneticPr fontId="18"/>
  </si>
  <si>
    <t>貴社作業</t>
    <rPh sb="0" eb="2">
      <t>キシャ</t>
    </rPh>
    <rPh sb="2" eb="4">
      <t>サギョウ</t>
    </rPh>
    <phoneticPr fontId="18"/>
  </si>
  <si>
    <t>弊社作業</t>
    <rPh sb="0" eb="2">
      <t>ヘイシャ</t>
    </rPh>
    <rPh sb="2" eb="4">
      <t>サギョウ</t>
    </rPh>
    <phoneticPr fontId="18"/>
  </si>
  <si>
    <t>体制</t>
    <rPh sb="0" eb="2">
      <t>タイセイ</t>
    </rPh>
    <phoneticPr fontId="18"/>
  </si>
  <si>
    <t xml:space="preserve"> 責任者
 川名翔太</t>
    <rPh sb="1" eb="4">
      <t>セキニンシャ</t>
    </rPh>
    <phoneticPr fontId="7"/>
  </si>
  <si>
    <t xml:space="preserve"> PM
 髙橋裕輔</t>
    <rPh sb="5" eb="7">
      <t>タカハシ</t>
    </rPh>
    <rPh sb="7" eb="9">
      <t>ユウスケ</t>
    </rPh>
    <phoneticPr fontId="18"/>
  </si>
  <si>
    <t>その他の前提条件</t>
    <rPh sb="2" eb="3">
      <t>タ</t>
    </rPh>
    <rPh sb="4" eb="6">
      <t>ゼンテイ</t>
    </rPh>
    <rPh sb="6" eb="8">
      <t>ジョウケン</t>
    </rPh>
    <phoneticPr fontId="7"/>
  </si>
  <si>
    <t>以下の費用は本見積には含まれておりません。</t>
    <rPh sb="0" eb="2">
      <t>イカ</t>
    </rPh>
    <rPh sb="3" eb="5">
      <t>ヒヨウ</t>
    </rPh>
    <rPh sb="6" eb="7">
      <t>ホン</t>
    </rPh>
    <rPh sb="7" eb="9">
      <t>ミツモリ</t>
    </rPh>
    <rPh sb="11" eb="12">
      <t>フク</t>
    </rPh>
    <phoneticPr fontId="18"/>
  </si>
  <si>
    <t>・ハードウェア・ミドルウェアの調達に係る費用および設置等に係る作業費用</t>
    <rPh sb="15" eb="17">
      <t>チョウタツ</t>
    </rPh>
    <rPh sb="18" eb="19">
      <t>カカ</t>
    </rPh>
    <rPh sb="20" eb="22">
      <t>ヒヨウ</t>
    </rPh>
    <phoneticPr fontId="7"/>
  </si>
  <si>
    <t>・ネットワーク費用およびネットワークの設置やセットアップ等に係る作業費用</t>
    <phoneticPr fontId="7"/>
  </si>
  <si>
    <t>　　</t>
    <phoneticPr fontId="7"/>
  </si>
  <si>
    <t>２．作業場所について</t>
    <rPh sb="2" eb="4">
      <t>サギョウ</t>
    </rPh>
    <rPh sb="4" eb="6">
      <t>バショ</t>
    </rPh>
    <phoneticPr fontId="7"/>
  </si>
  <si>
    <t>作業場所は打合せを除き弊社内にて実施します。お打合せは、WEB会議を想定します。</t>
    <rPh sb="0" eb="2">
      <t>サギョウ</t>
    </rPh>
    <rPh sb="2" eb="4">
      <t>バショ</t>
    </rPh>
    <rPh sb="5" eb="7">
      <t>ウチアワ</t>
    </rPh>
    <rPh sb="9" eb="10">
      <t>ノゾ</t>
    </rPh>
    <rPh sb="11" eb="13">
      <t>ヘイシャ</t>
    </rPh>
    <rPh sb="13" eb="14">
      <t>ナイ</t>
    </rPh>
    <rPh sb="16" eb="18">
      <t>ジッシ</t>
    </rPh>
    <rPh sb="31" eb="33">
      <t>カイギ</t>
    </rPh>
    <phoneticPr fontId="7"/>
  </si>
  <si>
    <t>３．瑕疵担保期間について</t>
    <rPh sb="2" eb="4">
      <t>カシ</t>
    </rPh>
    <rPh sb="4" eb="6">
      <t>タンポ</t>
    </rPh>
    <rPh sb="6" eb="8">
      <t>キカン</t>
    </rPh>
    <phoneticPr fontId="18"/>
  </si>
  <si>
    <t>瑕疵担保責任期間は検収日より１年間とします。</t>
    <rPh sb="0" eb="2">
      <t>カシ</t>
    </rPh>
    <rPh sb="2" eb="4">
      <t>タンポ</t>
    </rPh>
    <rPh sb="4" eb="6">
      <t>セキニン</t>
    </rPh>
    <rPh sb="6" eb="8">
      <t>キカン</t>
    </rPh>
    <rPh sb="9" eb="11">
      <t>ケンシュウ</t>
    </rPh>
    <rPh sb="11" eb="12">
      <t>ビ</t>
    </rPh>
    <rPh sb="15" eb="17">
      <t>ネンカン</t>
    </rPh>
    <phoneticPr fontId="18"/>
  </si>
  <si>
    <t>（検収日より1年間に限り契約不適合責任を追及できることとします。）</t>
    <phoneticPr fontId="18"/>
  </si>
  <si>
    <t>４．受入テストについて</t>
    <rPh sb="2" eb="4">
      <t>ウケイレ</t>
    </rPh>
    <phoneticPr fontId="18"/>
  </si>
  <si>
    <t>受入テストにつきましては、貴社にて実施をお願いいたします。</t>
    <rPh sb="0" eb="2">
      <t>ウケイレ</t>
    </rPh>
    <rPh sb="13" eb="15">
      <t>キシャ</t>
    </rPh>
    <rPh sb="17" eb="19">
      <t>ジッシ</t>
    </rPh>
    <rPh sb="21" eb="22">
      <t>ネガイ</t>
    </rPh>
    <phoneticPr fontId="18"/>
  </si>
  <si>
    <t>場合がございます。</t>
    <phoneticPr fontId="7"/>
  </si>
  <si>
    <t>IFC生産委託システム追加開発対応</t>
    <rPh sb="3" eb="5">
      <t>セイサン</t>
    </rPh>
    <rPh sb="5" eb="7">
      <t>イタク</t>
    </rPh>
    <rPh sb="11" eb="13">
      <t>ツイカ</t>
    </rPh>
    <rPh sb="13" eb="15">
      <t>カイハツ</t>
    </rPh>
    <rPh sb="15" eb="17">
      <t>タイオウ</t>
    </rPh>
    <phoneticPr fontId="3"/>
  </si>
  <si>
    <t>人日</t>
    <rPh sb="0" eb="2">
      <t>ニンニチ</t>
    </rPh>
    <phoneticPr fontId="3"/>
  </si>
  <si>
    <t>人月</t>
    <rPh sb="0" eb="2">
      <t>ニンゲツ</t>
    </rPh>
    <phoneticPr fontId="3"/>
  </si>
  <si>
    <t>工程別作業工数合算</t>
    <rPh sb="0" eb="3">
      <t>コウテイベツ</t>
    </rPh>
    <rPh sb="3" eb="7">
      <t>サギョウコウスウ</t>
    </rPh>
    <rPh sb="7" eb="9">
      <t>ガッサン</t>
    </rPh>
    <phoneticPr fontId="3"/>
  </si>
  <si>
    <t>開発</t>
    <rPh sb="0" eb="2">
      <t>カイハツ</t>
    </rPh>
    <phoneticPr fontId="3"/>
  </si>
  <si>
    <t>管理</t>
    <rPh sb="0" eb="2">
      <t>カンリ</t>
    </rPh>
    <phoneticPr fontId="3"/>
  </si>
  <si>
    <t>No.</t>
    <phoneticPr fontId="3"/>
  </si>
  <si>
    <t>案件名</t>
    <rPh sb="0" eb="2">
      <t>アンケン</t>
    </rPh>
    <rPh sb="2" eb="3">
      <t>メイ</t>
    </rPh>
    <phoneticPr fontId="3"/>
  </si>
  <si>
    <t>完成希望日</t>
    <phoneticPr fontId="3"/>
  </si>
  <si>
    <t>内容</t>
    <rPh sb="0" eb="2">
      <t>ナイヨウ</t>
    </rPh>
    <phoneticPr fontId="3"/>
  </si>
  <si>
    <t>改修内容</t>
    <rPh sb="0" eb="2">
      <t>カイシュウ</t>
    </rPh>
    <rPh sb="2" eb="4">
      <t>ナイヨウ</t>
    </rPh>
    <phoneticPr fontId="3"/>
  </si>
  <si>
    <t>概算工数
開発工数内訳（人日）</t>
    <rPh sb="0" eb="2">
      <t>ガイサン</t>
    </rPh>
    <rPh sb="2" eb="4">
      <t>コウスウ</t>
    </rPh>
    <rPh sb="5" eb="7">
      <t>カイハツ</t>
    </rPh>
    <rPh sb="7" eb="9">
      <t>コウスウ</t>
    </rPh>
    <rPh sb="9" eb="11">
      <t>ウチワケ</t>
    </rPh>
    <rPh sb="12" eb="14">
      <t>ニンニチ</t>
    </rPh>
    <phoneticPr fontId="3"/>
  </si>
  <si>
    <t>概算工数
開発工数（人日）</t>
    <rPh sb="0" eb="2">
      <t>ガイサン</t>
    </rPh>
    <rPh sb="2" eb="4">
      <t>コウスウ</t>
    </rPh>
    <rPh sb="5" eb="7">
      <t>カイハツ</t>
    </rPh>
    <rPh sb="7" eb="9">
      <t>コウスウ</t>
    </rPh>
    <rPh sb="10" eb="12">
      <t>ニンニチ</t>
    </rPh>
    <phoneticPr fontId="3"/>
  </si>
  <si>
    <t>管理工数込み（人日）</t>
    <rPh sb="0" eb="5">
      <t>カンリコウスウコ</t>
    </rPh>
    <phoneticPr fontId="3"/>
  </si>
  <si>
    <t>調査・設計</t>
    <rPh sb="0" eb="2">
      <t>チョウサ</t>
    </rPh>
    <rPh sb="3" eb="5">
      <t>セッケイ</t>
    </rPh>
    <phoneticPr fontId="3"/>
  </si>
  <si>
    <t>PG</t>
    <phoneticPr fontId="3"/>
  </si>
  <si>
    <t>IT</t>
    <phoneticPr fontId="3"/>
  </si>
  <si>
    <t>ST</t>
    <phoneticPr fontId="3"/>
  </si>
  <si>
    <t>UAT</t>
    <phoneticPr fontId="3"/>
  </si>
  <si>
    <t>リリース</t>
    <phoneticPr fontId="3"/>
  </si>
  <si>
    <t>合計</t>
    <rPh sb="0" eb="2">
      <t>ゴウケイ</t>
    </rPh>
    <phoneticPr fontId="3"/>
  </si>
  <si>
    <t>備考</t>
    <rPh sb="0" eb="2">
      <t>ビコウ</t>
    </rPh>
    <phoneticPr fontId="3"/>
  </si>
  <si>
    <t>金額</t>
    <rPh sb="0" eb="2">
      <t>キンガク</t>
    </rPh>
    <phoneticPr fontId="3"/>
  </si>
  <si>
    <t>合計金額</t>
    <rPh sb="0" eb="4">
      <t>ゴウケイキンガク</t>
    </rPh>
    <phoneticPr fontId="3"/>
  </si>
  <si>
    <t>IFC生産委託システム追加開発対応</t>
    <phoneticPr fontId="3"/>
  </si>
  <si>
    <t>未定</t>
    <rPh sb="0" eb="1">
      <t>ミテイ</t>
    </rPh>
    <phoneticPr fontId="3"/>
  </si>
  <si>
    <t>【メール関連】
　生産状況更新、納期回答送信、納期回答確認、完了報告送信、完了報告確認、試験結果送信、合否結果判定
　　・件名に委託先名を入れる
　納期回答送信、納期回答確認、完了報告送信、完了報告確認
　　・内容に明細を載せる（発注日、依頼No.、SAPNo.、グレード、カラー、荷姿）</t>
    <rPh sb="9" eb="11">
      <t>セイサン</t>
    </rPh>
    <rPh sb="11" eb="13">
      <t>ジョウキョウ</t>
    </rPh>
    <rPh sb="13" eb="15">
      <t>コウシン</t>
    </rPh>
    <rPh sb="30" eb="32">
      <t>カンリョウ</t>
    </rPh>
    <rPh sb="32" eb="34">
      <t>ホウコク</t>
    </rPh>
    <rPh sb="34" eb="36">
      <t>ソウシン</t>
    </rPh>
    <rPh sb="44" eb="46">
      <t>シケン</t>
    </rPh>
    <rPh sb="46" eb="48">
      <t>ケッカ</t>
    </rPh>
    <rPh sb="48" eb="50">
      <t>ソウシン</t>
    </rPh>
    <rPh sb="51" eb="53">
      <t>ゴウヒ</t>
    </rPh>
    <rPh sb="53" eb="55">
      <t>ケッカ</t>
    </rPh>
    <rPh sb="55" eb="57">
      <t>ハンテイ</t>
    </rPh>
    <rPh sb="115" eb="118">
      <t>ハッチュウビ</t>
    </rPh>
    <rPh sb="119" eb="121">
      <t>イライ</t>
    </rPh>
    <rPh sb="141" eb="143">
      <t>ニスガタ</t>
    </rPh>
    <phoneticPr fontId="3"/>
  </si>
  <si>
    <t>【権限関連】
　生産状況確認表のみ閲覧機能追加
　　・生産状況確認表以外のタブを非表示とする
　※Azure登録依頼作業を含む</t>
    <rPh sb="34" eb="36">
      <t>イガイ</t>
    </rPh>
    <rPh sb="40" eb="43">
      <t>ヒヒョウジ</t>
    </rPh>
    <rPh sb="54" eb="58">
      <t>トウロクイライ</t>
    </rPh>
    <rPh sb="58" eb="60">
      <t>サギョウ</t>
    </rPh>
    <rPh sb="61" eb="62">
      <t>フク</t>
    </rPh>
    <phoneticPr fontId="3"/>
  </si>
  <si>
    <t>御見積の前提条件</t>
    <rPh sb="0" eb="3">
      <t>オミツモリ</t>
    </rPh>
    <rPh sb="4" eb="6">
      <t>ゼンテイ</t>
    </rPh>
    <rPh sb="6" eb="8">
      <t>ジョウケン</t>
    </rPh>
    <phoneticPr fontId="3"/>
  </si>
  <si>
    <t>※リリース工数は一番上の項目に集約</t>
    <rPh sb="5" eb="7">
      <t>コウスウ</t>
    </rPh>
    <rPh sb="8" eb="11">
      <t>イチバンウエ</t>
    </rPh>
    <rPh sb="12" eb="14">
      <t>コウモク</t>
    </rPh>
    <rPh sb="15" eb="17">
      <t>シュウヤク</t>
    </rPh>
    <phoneticPr fontId="3"/>
  </si>
  <si>
    <t>リリース工数、初期流動工数を含んでおります。</t>
    <rPh sb="4" eb="6">
      <t>コウスウ</t>
    </rPh>
    <rPh sb="7" eb="11">
      <t>ショキリュウドウ</t>
    </rPh>
    <rPh sb="11" eb="13">
      <t>コウスウ</t>
    </rPh>
    <rPh sb="14" eb="15">
      <t>フク</t>
    </rPh>
    <phoneticPr fontId="3"/>
  </si>
  <si>
    <t>費用は開発業務と管理業務で算出しております。</t>
    <phoneticPr fontId="3"/>
  </si>
  <si>
    <t>弊社千葉事業所（在宅勤務を含む）での作業を前提としております。現地等遠隔地での作業が発生する場合は、工数を変更する場合があります。</t>
    <rPh sb="8" eb="10">
      <t>ザイタク</t>
    </rPh>
    <rPh sb="10" eb="12">
      <t>キンム</t>
    </rPh>
    <rPh sb="13" eb="14">
      <t>フク</t>
    </rPh>
    <phoneticPr fontId="3"/>
  </si>
  <si>
    <t>現地等遠隔地での作業が発生した場合は、交通費・宿泊費等の必要経費を別途ご請求させて頂きます。</t>
  </si>
  <si>
    <t>御見積の工数には、ハードウェア・ミドルウェア等にかかる費用は含まれておりません。</t>
  </si>
  <si>
    <t>リリース作業は2人対応といたします。</t>
    <phoneticPr fontId="3"/>
  </si>
  <si>
    <t>社員工数入力（単位：人月）</t>
    <rPh sb="7" eb="9">
      <t>タンイ</t>
    </rPh>
    <rPh sb="10" eb="12">
      <t>ニンゲツ</t>
    </rPh>
    <phoneticPr fontId="3"/>
  </si>
  <si>
    <t>見積番号</t>
    <rPh sb="0" eb="2">
      <t>ミツモリ</t>
    </rPh>
    <rPh sb="2" eb="4">
      <t>バンゴウ</t>
    </rPh>
    <phoneticPr fontId="3"/>
  </si>
  <si>
    <t>受注番号</t>
    <rPh sb="0" eb="2">
      <t>ジュチュウ</t>
    </rPh>
    <rPh sb="2" eb="4">
      <t>バンゴウ</t>
    </rPh>
    <phoneticPr fontId="3"/>
  </si>
  <si>
    <t>-</t>
    <phoneticPr fontId="7"/>
  </si>
  <si>
    <t>契約金額</t>
    <rPh sb="0" eb="2">
      <t>ケイヤク</t>
    </rPh>
    <rPh sb="2" eb="4">
      <t>キンガク</t>
    </rPh>
    <phoneticPr fontId="3"/>
  </si>
  <si>
    <t>社員工数</t>
    <rPh sb="0" eb="2">
      <t>シャイン</t>
    </rPh>
    <rPh sb="2" eb="4">
      <t>コウスウ</t>
    </rPh>
    <phoneticPr fontId="3"/>
  </si>
  <si>
    <t>外注費金額</t>
    <rPh sb="0" eb="3">
      <t>ガイチュウヒ</t>
    </rPh>
    <rPh sb="3" eb="5">
      <t>キンガク</t>
    </rPh>
    <phoneticPr fontId="3"/>
  </si>
  <si>
    <t>経費金額</t>
    <rPh sb="0" eb="2">
      <t>ケイヒ</t>
    </rPh>
    <rPh sb="2" eb="4">
      <t>キンガク</t>
    </rPh>
    <phoneticPr fontId="3"/>
  </si>
  <si>
    <t>区分</t>
    <rPh sb="0" eb="2">
      <t>クブン</t>
    </rPh>
    <phoneticPr fontId="3"/>
  </si>
  <si>
    <t>社員番号</t>
    <rPh sb="0" eb="2">
      <t>シャイン</t>
    </rPh>
    <rPh sb="2" eb="4">
      <t>バンゴウ</t>
    </rPh>
    <phoneticPr fontId="3"/>
  </si>
  <si>
    <t>氏名</t>
    <rPh sb="0" eb="2">
      <t>シメイ</t>
    </rPh>
    <phoneticPr fontId="3"/>
  </si>
  <si>
    <t>見積工数</t>
    <rPh sb="2" eb="4">
      <t>コウスウ</t>
    </rPh>
    <phoneticPr fontId="3"/>
  </si>
  <si>
    <t>2021年度4Q</t>
    <phoneticPr fontId="3"/>
  </si>
  <si>
    <t>2022年度1Q</t>
    <phoneticPr fontId="3"/>
  </si>
  <si>
    <t>2022年度2Q</t>
    <phoneticPr fontId="3"/>
  </si>
  <si>
    <t>2022年度3Q</t>
    <phoneticPr fontId="3"/>
  </si>
  <si>
    <t>2022年度4Q</t>
    <phoneticPr fontId="3"/>
  </si>
  <si>
    <t>2023年度1Q</t>
    <phoneticPr fontId="3"/>
  </si>
  <si>
    <t>2023年度2Q</t>
    <phoneticPr fontId="3"/>
  </si>
  <si>
    <t>2023年度3Q</t>
    <phoneticPr fontId="3"/>
  </si>
  <si>
    <t>2023年度4Q</t>
    <phoneticPr fontId="3"/>
  </si>
  <si>
    <t>それ以降</t>
    <rPh sb="2" eb="4">
      <t>イコウ</t>
    </rPh>
    <phoneticPr fontId="3"/>
  </si>
  <si>
    <t>外注費・経費（単位：円）</t>
    <rPh sb="0" eb="3">
      <t>ガイチュウヒ</t>
    </rPh>
    <rPh sb="4" eb="6">
      <t>ケイヒ</t>
    </rPh>
    <rPh sb="7" eb="9">
      <t>タンイ</t>
    </rPh>
    <rPh sb="10" eb="11">
      <t>エン</t>
    </rPh>
    <phoneticPr fontId="3"/>
  </si>
  <si>
    <t>-</t>
  </si>
  <si>
    <t>BPID</t>
    <phoneticPr fontId="3"/>
  </si>
  <si>
    <t>見積金額</t>
    <rPh sb="2" eb="4">
      <t>キンガク</t>
    </rPh>
    <phoneticPr fontId="3"/>
  </si>
  <si>
    <t>2021年度4Q</t>
  </si>
  <si>
    <t>2022年度1Q</t>
  </si>
  <si>
    <t>2022年度2Q</t>
  </si>
  <si>
    <t>2022年度3Q</t>
  </si>
  <si>
    <t>2022年度4Q</t>
  </si>
  <si>
    <t>2023年度1Q</t>
  </si>
  <si>
    <t>2023年度2Q</t>
  </si>
  <si>
    <t>2023年度3Q</t>
  </si>
  <si>
    <t>2023年度4Q</t>
  </si>
  <si>
    <t>消費税</t>
    <rPh sb="0" eb="3">
      <t>ショウヒゼイ</t>
    </rPh>
    <phoneticPr fontId="7"/>
  </si>
  <si>
    <t>見積有効期限</t>
    <rPh sb="0" eb="2">
      <t>ミツ</t>
    </rPh>
    <rPh sb="2" eb="4">
      <t>ユウコウ</t>
    </rPh>
    <rPh sb="4" eb="6">
      <t>キゲン</t>
    </rPh>
    <phoneticPr fontId="7"/>
  </si>
  <si>
    <t>作業形態</t>
    <rPh sb="0" eb="2">
      <t>サギョウ</t>
    </rPh>
    <rPh sb="2" eb="4">
      <t>ケイタイ</t>
    </rPh>
    <phoneticPr fontId="7"/>
  </si>
  <si>
    <t>作業場所</t>
    <rPh sb="0" eb="2">
      <t>サギョウ</t>
    </rPh>
    <rPh sb="2" eb="4">
      <t>バショ</t>
    </rPh>
    <phoneticPr fontId="7"/>
  </si>
  <si>
    <t>支払条件</t>
    <rPh sb="0" eb="2">
      <t>シハライ</t>
    </rPh>
    <rPh sb="2" eb="4">
      <t>ジョウケン</t>
    </rPh>
    <phoneticPr fontId="7"/>
  </si>
  <si>
    <t>摘要</t>
    <phoneticPr fontId="7"/>
  </si>
  <si>
    <t>契約区分</t>
    <rPh sb="0" eb="2">
      <t>ケイヤク</t>
    </rPh>
    <rPh sb="2" eb="4">
      <t>クブン</t>
    </rPh>
    <phoneticPr fontId="7"/>
  </si>
  <si>
    <t>単位</t>
    <rPh sb="0" eb="2">
      <t>タンイ</t>
    </rPh>
    <phoneticPr fontId="7"/>
  </si>
  <si>
    <t>社員区分</t>
    <rPh sb="0" eb="2">
      <t>シャイン</t>
    </rPh>
    <rPh sb="2" eb="4">
      <t>クブン</t>
    </rPh>
    <phoneticPr fontId="10"/>
  </si>
  <si>
    <t>経費区分</t>
    <rPh sb="0" eb="2">
      <t>ケイヒ</t>
    </rPh>
    <rPh sb="2" eb="4">
      <t>クブン</t>
    </rPh>
    <phoneticPr fontId="10"/>
  </si>
  <si>
    <t>税率</t>
    <rPh sb="0" eb="2">
      <t>ゼイリツ</t>
    </rPh>
    <phoneticPr fontId="7"/>
  </si>
  <si>
    <t>契約名</t>
    <rPh sb="0" eb="2">
      <t>ケイヤク</t>
    </rPh>
    <rPh sb="2" eb="3">
      <t>メイ</t>
    </rPh>
    <phoneticPr fontId="7"/>
  </si>
  <si>
    <t>見積年月日より一ヶ月後</t>
    <rPh sb="0" eb="2">
      <t>ミツモリ</t>
    </rPh>
    <rPh sb="2" eb="5">
      <t>ネンガッピ</t>
    </rPh>
    <rPh sb="7" eb="8">
      <t>イッ</t>
    </rPh>
    <rPh sb="9" eb="11">
      <t>ゲツゴ</t>
    </rPh>
    <phoneticPr fontId="7"/>
  </si>
  <si>
    <t>準委任契約</t>
  </si>
  <si>
    <t>貴社内</t>
    <rPh sb="0" eb="2">
      <t>キシャ</t>
    </rPh>
    <rPh sb="2" eb="3">
      <t>ウチ</t>
    </rPh>
    <phoneticPr fontId="7"/>
  </si>
  <si>
    <t>検収後翌月15日払い（但し、金融機関休業日の場合はその前営業日）</t>
    <rPh sb="7" eb="8">
      <t>ニチ</t>
    </rPh>
    <rPh sb="27" eb="28">
      <t>ゼン</t>
    </rPh>
    <phoneticPr fontId="7"/>
  </si>
  <si>
    <t>ﾌﾟﾛｸﾞﾗﾏ</t>
    <phoneticPr fontId="7"/>
  </si>
  <si>
    <t>固定契約</t>
    <rPh sb="0" eb="2">
      <t>コテイ</t>
    </rPh>
    <rPh sb="2" eb="4">
      <t>ケイヤク</t>
    </rPh>
    <phoneticPr fontId="7"/>
  </si>
  <si>
    <t>人月</t>
    <rPh sb="0" eb="1">
      <t>ニン</t>
    </rPh>
    <rPh sb="1" eb="2">
      <t>ゲツ</t>
    </rPh>
    <phoneticPr fontId="10"/>
  </si>
  <si>
    <t>入社済社員</t>
    <rPh sb="0" eb="2">
      <t>ニュウシャ</t>
    </rPh>
    <rPh sb="2" eb="3">
      <t>ズ</t>
    </rPh>
    <rPh sb="3" eb="5">
      <t>シャイン</t>
    </rPh>
    <phoneticPr fontId="10"/>
  </si>
  <si>
    <t>BP</t>
    <phoneticPr fontId="10"/>
  </si>
  <si>
    <t>弊社内</t>
    <rPh sb="0" eb="2">
      <t>ヘイシャ</t>
    </rPh>
    <rPh sb="2" eb="3">
      <t>ウチ</t>
    </rPh>
    <phoneticPr fontId="7"/>
  </si>
  <si>
    <t>検収後翌月末日払い（但し、金融機関休業日の場合はその翌営業日）</t>
    <phoneticPr fontId="7"/>
  </si>
  <si>
    <t>ｼｽﾃﾑｴﾝｼﾞﾆｱ</t>
    <phoneticPr fontId="7"/>
  </si>
  <si>
    <t>変動契約</t>
    <rPh sb="0" eb="2">
      <t>ヘンドウ</t>
    </rPh>
    <rPh sb="2" eb="4">
      <t>ケイヤク</t>
    </rPh>
    <phoneticPr fontId="7"/>
  </si>
  <si>
    <t>人日</t>
    <rPh sb="0" eb="1">
      <t>ニン</t>
    </rPh>
    <rPh sb="1" eb="2">
      <t>ニチ</t>
    </rPh>
    <phoneticPr fontId="10"/>
  </si>
  <si>
    <t>計画要員（等級1）</t>
    <rPh sb="0" eb="2">
      <t>ケイカク</t>
    </rPh>
    <rPh sb="2" eb="4">
      <t>ヨウイン</t>
    </rPh>
    <rPh sb="5" eb="7">
      <t>トウキュウ</t>
    </rPh>
    <phoneticPr fontId="10"/>
  </si>
  <si>
    <t>経費</t>
    <rPh sb="0" eb="2">
      <t>ケイヒ</t>
    </rPh>
    <phoneticPr fontId="10"/>
  </si>
  <si>
    <t>検収後翌々月10日払い（但し、金融機関休業日の場合はその翌営業日）</t>
    <rPh sb="3" eb="5">
      <t>ヨクヨク</t>
    </rPh>
    <phoneticPr fontId="7"/>
  </si>
  <si>
    <t>ｵﾍﾟﾚｰﾀ</t>
    <phoneticPr fontId="7"/>
  </si>
  <si>
    <t>時間契約</t>
    <rPh sb="0" eb="2">
      <t>ジカン</t>
    </rPh>
    <rPh sb="2" eb="4">
      <t>ケイヤク</t>
    </rPh>
    <phoneticPr fontId="7"/>
  </si>
  <si>
    <t>時給</t>
    <rPh sb="0" eb="1">
      <t>ジ</t>
    </rPh>
    <rPh sb="1" eb="2">
      <t>キュウ</t>
    </rPh>
    <phoneticPr fontId="10"/>
  </si>
  <si>
    <t>計画要員（等級2）</t>
    <rPh sb="0" eb="2">
      <t>ケイカク</t>
    </rPh>
    <rPh sb="2" eb="4">
      <t>ヨウイン</t>
    </rPh>
    <rPh sb="5" eb="7">
      <t>トウキュウ</t>
    </rPh>
    <phoneticPr fontId="10"/>
  </si>
  <si>
    <t>計画要員（等級3）</t>
    <rPh sb="0" eb="2">
      <t>ケイカク</t>
    </rPh>
    <rPh sb="2" eb="4">
      <t>ヨウイン</t>
    </rPh>
    <rPh sb="5" eb="7">
      <t>トウキュウ</t>
    </rPh>
    <phoneticPr fontId="11"/>
  </si>
  <si>
    <t>計画要員（等級4）</t>
    <rPh sb="0" eb="2">
      <t>ケイカク</t>
    </rPh>
    <rPh sb="2" eb="4">
      <t>ヨウイン</t>
    </rPh>
    <rPh sb="5" eb="7">
      <t>トウキュウ</t>
    </rPh>
    <phoneticPr fontId="11"/>
  </si>
  <si>
    <t>計画要員（等級5）</t>
    <rPh sb="0" eb="2">
      <t>ケイカク</t>
    </rPh>
    <rPh sb="2" eb="4">
      <t>ヨウイン</t>
    </rPh>
    <rPh sb="5" eb="7">
      <t>トウキュウ</t>
    </rPh>
    <phoneticPr fontId="11"/>
  </si>
  <si>
    <t>計画要員（等級6）</t>
    <rPh sb="0" eb="2">
      <t>ケイカク</t>
    </rPh>
    <rPh sb="2" eb="4">
      <t>ヨウイン</t>
    </rPh>
    <rPh sb="5" eb="7">
      <t>トウキュウ</t>
    </rPh>
    <phoneticPr fontId="11"/>
  </si>
  <si>
    <t>計画要員（等級7）</t>
    <rPh sb="0" eb="2">
      <t>ケイカク</t>
    </rPh>
    <rPh sb="2" eb="4">
      <t>ヨウイン</t>
    </rPh>
    <rPh sb="5" eb="7">
      <t>トウキュウ</t>
    </rPh>
    <phoneticPr fontId="11"/>
  </si>
  <si>
    <t>計画要員（等級8）</t>
    <rPh sb="0" eb="2">
      <t>ケイカク</t>
    </rPh>
    <rPh sb="2" eb="4">
      <t>ヨウイン</t>
    </rPh>
    <rPh sb="5" eb="7">
      <t>トウキュウ</t>
    </rPh>
    <phoneticPr fontId="11"/>
  </si>
  <si>
    <t>計画要員（等級9）</t>
    <rPh sb="0" eb="2">
      <t>ケイカク</t>
    </rPh>
    <rPh sb="2" eb="4">
      <t>ヨウイン</t>
    </rPh>
    <rPh sb="5" eb="7">
      <t>トウキュウ</t>
    </rPh>
    <phoneticPr fontId="11"/>
  </si>
  <si>
    <t>基本設計作成（新規作成・既存更新）</t>
    <rPh sb="0" eb="4">
      <t>キホンセッケイ</t>
    </rPh>
    <rPh sb="4" eb="6">
      <t>サクセイ</t>
    </rPh>
    <rPh sb="7" eb="11">
      <t>シンキサクセイ</t>
    </rPh>
    <rPh sb="12" eb="14">
      <t>キゾン</t>
    </rPh>
    <rPh sb="14" eb="16">
      <t>コウシン</t>
    </rPh>
    <phoneticPr fontId="3"/>
  </si>
  <si>
    <t>詳細設計作成（新規作成・既存更新）</t>
    <rPh sb="4" eb="6">
      <t>サクセイ</t>
    </rPh>
    <phoneticPr fontId="3"/>
  </si>
  <si>
    <t>５．期間について</t>
    <rPh sb="2" eb="4">
      <t>キカン</t>
    </rPh>
    <phoneticPr fontId="18"/>
  </si>
  <si>
    <t>一部の改修を実施する場合、プロジェクト期間は短くなります。</t>
    <rPh sb="0" eb="2">
      <t>イチブ</t>
    </rPh>
    <rPh sb="3" eb="5">
      <t>カイシュウ</t>
    </rPh>
    <rPh sb="6" eb="8">
      <t>ジッシ</t>
    </rPh>
    <rPh sb="10" eb="12">
      <t>バアイ</t>
    </rPh>
    <rPh sb="19" eb="21">
      <t>キカン</t>
    </rPh>
    <rPh sb="22" eb="23">
      <t>ミジカ</t>
    </rPh>
    <phoneticPr fontId="4"/>
  </si>
  <si>
    <t>６．リリースについて</t>
    <phoneticPr fontId="18"/>
  </si>
  <si>
    <t>すべての改修を実施した後、まとめてリリース作業を実施いたします。</t>
    <rPh sb="4" eb="6">
      <t>カイシュウ</t>
    </rPh>
    <rPh sb="7" eb="9">
      <t>ジッシ</t>
    </rPh>
    <rPh sb="11" eb="12">
      <t>ノチ</t>
    </rPh>
    <rPh sb="21" eb="23">
      <t>サギョウ</t>
    </rPh>
    <rPh sb="24" eb="26">
      <t>ジッシ</t>
    </rPh>
    <phoneticPr fontId="4"/>
  </si>
  <si>
    <t>７．その他</t>
    <phoneticPr fontId="18"/>
  </si>
  <si>
    <t>１．御見積範囲について</t>
    <rPh sb="5" eb="7">
      <t>ハンイ</t>
    </rPh>
    <phoneticPr fontId="7"/>
  </si>
  <si>
    <t>すべての改修対象を実施した場合の御見積りとなります。</t>
    <rPh sb="4" eb="6">
      <t>カイシュウ</t>
    </rPh>
    <rPh sb="6" eb="8">
      <t>タイショウ</t>
    </rPh>
    <rPh sb="9" eb="11">
      <t>ジッシ</t>
    </rPh>
    <rPh sb="13" eb="15">
      <t>バアイ</t>
    </rPh>
    <phoneticPr fontId="4"/>
  </si>
  <si>
    <t>本御見積書記載以外の作業が発生時した場合は、両社協議の上、追加見積させていただく</t>
  </si>
  <si>
    <t>上記以外での作業が発生した場合には交通費・宿泊費等を別途ご請求させていただきます。</t>
    <rPh sb="0" eb="2">
      <t>ジョウキ</t>
    </rPh>
    <rPh sb="2" eb="4">
      <t>イガイ</t>
    </rPh>
    <phoneticPr fontId="7"/>
  </si>
  <si>
    <t>受入支援</t>
    <rPh sb="2" eb="4">
      <t>シエン</t>
    </rPh>
    <phoneticPr fontId="18"/>
  </si>
  <si>
    <t>本番作業手順書</t>
    <phoneticPr fontId="4"/>
  </si>
  <si>
    <t>複数回に分けてリリースする場合、工数が増加となります。</t>
    <rPh sb="0" eb="3">
      <t>フクスウカイ</t>
    </rPh>
    <rPh sb="4" eb="5">
      <t>ワ</t>
    </rPh>
    <rPh sb="13" eb="15">
      <t>バアイ</t>
    </rPh>
    <rPh sb="16" eb="18">
      <t>コウスウ</t>
    </rPh>
    <rPh sb="19" eb="21">
      <t>ゾウカ</t>
    </rPh>
    <phoneticPr fontId="4"/>
  </si>
  <si>
    <t>【リリース関連】</t>
    <rPh sb="5" eb="7">
      <t>カンレン</t>
    </rPh>
    <phoneticPr fontId="18"/>
  </si>
  <si>
    <t>　全案件改修後、まとめてリリースを行う</t>
    <rPh sb="1" eb="4">
      <t>ゼンアンケン</t>
    </rPh>
    <rPh sb="4" eb="7">
      <t>カイシュウゴ</t>
    </rPh>
    <rPh sb="17" eb="18">
      <t>オコナ</t>
    </rPh>
    <phoneticPr fontId="4"/>
  </si>
  <si>
    <t>2人日</t>
    <rPh sb="1" eb="3">
      <t>ニンニチ</t>
    </rPh>
    <phoneticPr fontId="4"/>
  </si>
  <si>
    <t>　生産状況確認、試験結果</t>
    <phoneticPr fontId="18"/>
  </si>
  <si>
    <t>　　・試験結果判定日を「試験結果更新日」列として追加する</t>
    <phoneticPr fontId="4"/>
  </si>
  <si>
    <t>　　・生産状況確認ファイルに試験結果更新日を追加する</t>
    <rPh sb="14" eb="18">
      <t>シケンケッカ</t>
    </rPh>
    <rPh sb="18" eb="21">
      <t>コウシンヒ</t>
    </rPh>
    <rPh sb="22" eb="24">
      <t>ツイカ</t>
    </rPh>
    <phoneticPr fontId="4"/>
  </si>
  <si>
    <t>IFC生産委託ポータル 追加開発対応</t>
    <rPh sb="3" eb="5">
      <t>セイサン</t>
    </rPh>
    <rPh sb="5" eb="7">
      <t>イタク</t>
    </rPh>
    <rPh sb="12" eb="14">
      <t>ツイカ</t>
    </rPh>
    <rPh sb="14" eb="16">
      <t>カイハツ</t>
    </rPh>
    <rPh sb="16" eb="18">
      <t>タイオウ</t>
    </rPh>
    <phoneticPr fontId="7"/>
  </si>
  <si>
    <t>初期流動</t>
    <rPh sb="0" eb="4">
      <t>ショキリュウドウ</t>
    </rPh>
    <phoneticPr fontId="3"/>
  </si>
  <si>
    <t>　トップページ
　　・処理状況に委託先名を追加
　生産状況確認、納期回答、生産完了、横持情報、試験結果
　　・ロットNo.の位置変更（カラーの後ろ[固定列]、仕上り数量の前にそれぞれ移動）
　　・ステータス項目追加（新規、変更、キャンセル）
　　・グレード、カラー検索をテキスト入力とする
　生産状況確認、試験結果
　　・試験結果判定日を「試験結果更新日」列として追加する
　　・生産状況確認ファイルに試験結果更新日を追加する
【バリデーションチェック関連】
　日付項目（全画面）
　　・2020年～2040年まで入力可能とする</t>
    <phoneticPr fontId="3"/>
  </si>
  <si>
    <t>　　・グレード、カラー検索を現行のプルダウンに加え、テキスト検索（部分一致）を追加する</t>
    <rPh sb="14" eb="16">
      <t>ゲンコウ</t>
    </rPh>
    <rPh sb="23" eb="24">
      <t>クワ</t>
    </rPh>
    <rPh sb="30" eb="32">
      <t>ケンサク</t>
    </rPh>
    <rPh sb="33" eb="37">
      <t>ブブンイッチ</t>
    </rPh>
    <rPh sb="39" eb="41">
      <t>ツイカ</t>
    </rPh>
    <phoneticPr fontId="4"/>
  </si>
  <si>
    <t>【検索関連】
　以下検索機能追加
　　・納期回答NG
　　・委託先完了日
　　・IFC完了日
　　・生産完了（表示、非表示）
　　・ステータス（新規、変更、キャンセル）
　　・生産完了報告未了
　　・試験報告未了
　　・試験判定未了
　　・グレード、カラー検索を現行のプルダウンに加え、テキスト検索（部分一致）を追加する
　　・初期画面生産委託先項目ブランク表示
　　　　→明細0件表示とする（全件表示だと画面表示に時間がかかるため）
　　　　→委託先プルダウンが選択されていない状態では生産状況確認表から遷移できないようにする
　　　　→複数委託先が選択できる場合はブランク表示、1件の場合はそれを表示
　　　　→全ユーザ（IFC、委託先、倉庫・運送会社）同じ動作とする</t>
    <rPh sb="8" eb="10">
      <t>イカ</t>
    </rPh>
    <rPh sb="10" eb="12">
      <t>ケンサク</t>
    </rPh>
    <rPh sb="12" eb="16">
      <t>キノウツイカ</t>
    </rPh>
    <rPh sb="50" eb="54">
      <t>セイサンカンリョウ</t>
    </rPh>
    <rPh sb="55" eb="57">
      <t>ヒョウジ</t>
    </rPh>
    <rPh sb="58" eb="61">
      <t>ヒヒョウジ</t>
    </rPh>
    <rPh sb="100" eb="104">
      <t>シケンホウコク</t>
    </rPh>
    <rPh sb="104" eb="106">
      <t>ミリョウ</t>
    </rPh>
    <rPh sb="110" eb="112">
      <t>シケン</t>
    </rPh>
    <rPh sb="112" eb="114">
      <t>ハンテイ</t>
    </rPh>
    <rPh sb="114" eb="116">
      <t>ミリョウ</t>
    </rPh>
    <rPh sb="164" eb="168">
      <t>ショキガメン</t>
    </rPh>
    <phoneticPr fontId="3"/>
  </si>
  <si>
    <t>　　・初期画面生産委託先項目ブランク表示</t>
    <rPh sb="3" eb="7">
      <t>ショキガメン</t>
    </rPh>
    <rPh sb="7" eb="12">
      <t>セイサンイタクサキ</t>
    </rPh>
    <rPh sb="12" eb="14">
      <t>コウモク</t>
    </rPh>
    <rPh sb="18" eb="20">
      <t>ヒョウジ</t>
    </rPh>
    <phoneticPr fontId="4"/>
  </si>
  <si>
    <t>【試験関連】
　試験結果入力ファイル展開時間短縮
　　・マスタに対象フラグを追加
　　・対象フラグがTrueのレコードをマクロ取込対象とする</t>
    <rPh sb="63" eb="65">
      <t>トリコミ</t>
    </rPh>
    <rPh sb="65" eb="67">
      <t>タイショウ</t>
    </rPh>
    <phoneticPr fontId="3"/>
  </si>
  <si>
    <t>４M</t>
    <phoneticPr fontId="4"/>
  </si>
  <si>
    <t>（仮）2025年5月1日 ～ 2025年8月15日</t>
    <rPh sb="7" eb="8">
      <t>ネン</t>
    </rPh>
    <rPh sb="9" eb="10">
      <t>ガツ</t>
    </rPh>
    <rPh sb="11" eb="12">
      <t>ニチ</t>
    </rPh>
    <rPh sb="19" eb="20">
      <t>ネン</t>
    </rPh>
    <rPh sb="21" eb="22">
      <t>ガツ</t>
    </rPh>
    <rPh sb="24" eb="25">
      <t>ニチ</t>
    </rPh>
    <phoneticPr fontId="18"/>
  </si>
  <si>
    <t>　　　　→明細0件表示とする（全件表示だと画面表示に時間がかかるため）</t>
  </si>
  <si>
    <t>　　　　→委託先プルダウンが選択されていない状態では生産状況確認表から遷移できないようにする</t>
  </si>
  <si>
    <t>　　　　→複数委託先が選択できる場合はブランク表示、1件の場合はそれを表示</t>
  </si>
  <si>
    <t>　　　　→全ユーザ（IFC、委託先、倉庫・運送会社）同じ動作とする</t>
  </si>
  <si>
    <t>【試験関連】</t>
    <phoneticPr fontId="4"/>
  </si>
  <si>
    <t>21人日（リリース、初期流動対応は含まれません）</t>
    <rPh sb="2" eb="4">
      <t>ニンニチ</t>
    </rPh>
    <rPh sb="10" eb="12">
      <t>ショキ</t>
    </rPh>
    <rPh sb="12" eb="14">
      <t>リュウドウ</t>
    </rPh>
    <rPh sb="14" eb="16">
      <t>タイオウ</t>
    </rPh>
    <rPh sb="17" eb="18">
      <t>フク</t>
    </rPh>
    <phoneticPr fontId="4"/>
  </si>
  <si>
    <t>11人日（バリデーションチェック含む）（リリース、初期流動対応は含まれません）</t>
    <rPh sb="2" eb="4">
      <t>ニンニチ</t>
    </rPh>
    <rPh sb="16" eb="17">
      <t>フク</t>
    </rPh>
    <phoneticPr fontId="4"/>
  </si>
  <si>
    <t>14.5人日（リリース、初期流動対応は含まれません）</t>
    <rPh sb="4" eb="6">
      <t>ニンニチ</t>
    </rPh>
    <phoneticPr fontId="4"/>
  </si>
  <si>
    <t>9.5人日（リリース、初期流動対応は含まれません）</t>
    <rPh sb="3" eb="5">
      <t>ニンニチ</t>
    </rPh>
    <phoneticPr fontId="4"/>
  </si>
  <si>
    <t>【初期流動対応】</t>
    <rPh sb="1" eb="7">
      <t>ショキリュウドウタイオウ</t>
    </rPh>
    <phoneticPr fontId="18"/>
  </si>
  <si>
    <t>5人日</t>
    <rPh sb="1" eb="3">
      <t>ニンニチ</t>
    </rPh>
    <phoneticPr fontId="4"/>
  </si>
  <si>
    <t>　全案件を対象とした初期流動対応を行う</t>
    <rPh sb="1" eb="4">
      <t>ゼンアンケン</t>
    </rPh>
    <rPh sb="5" eb="7">
      <t>タイショウ</t>
    </rPh>
    <rPh sb="10" eb="16">
      <t>ショキリュウドウタイオウ</t>
    </rPh>
    <rPh sb="17" eb="18">
      <t>オコナ</t>
    </rPh>
    <phoneticPr fontId="4"/>
  </si>
  <si>
    <t>0.1人月</t>
    <rPh sb="3" eb="4">
      <t>ニン</t>
    </rPh>
    <rPh sb="4" eb="5">
      <t>ゲツ</t>
    </rPh>
    <phoneticPr fontId="4"/>
  </si>
  <si>
    <t>0.25人月</t>
    <rPh sb="4" eb="5">
      <t>ニン</t>
    </rPh>
    <rPh sb="5" eb="6">
      <t>ゲツ</t>
    </rPh>
    <phoneticPr fontId="4"/>
  </si>
  <si>
    <t>【プロジェクト管理】</t>
    <rPh sb="7" eb="9">
      <t>カンリ</t>
    </rPh>
    <phoneticPr fontId="18"/>
  </si>
  <si>
    <t>　プロジェクト全体の管理を行う</t>
    <rPh sb="7" eb="9">
      <t>ゼンタイ</t>
    </rPh>
    <rPh sb="10" eb="12">
      <t>カンリ</t>
    </rPh>
    <rPh sb="13" eb="14">
      <t>オコナ</t>
    </rPh>
    <phoneticPr fontId="4"/>
  </si>
  <si>
    <t>0.6人月</t>
    <rPh sb="3" eb="4">
      <t>ニン</t>
    </rPh>
    <rPh sb="4" eb="5">
      <t>ゲツ</t>
    </rPh>
    <phoneticPr fontId="4"/>
  </si>
  <si>
    <t>0.4人月</t>
    <rPh sb="3" eb="4">
      <t>ニン</t>
    </rPh>
    <rPh sb="4" eb="5">
      <t>ゲツ</t>
    </rPh>
    <phoneticPr fontId="4"/>
  </si>
  <si>
    <t>0.45人月</t>
    <rPh sb="4" eb="5">
      <t>ニン</t>
    </rPh>
    <rPh sb="5" eb="6">
      <t>ゲツ</t>
    </rPh>
    <phoneticPr fontId="4"/>
  </si>
  <si>
    <t>御 見 積 詳 細 書</t>
    <rPh sb="0" eb="1">
      <t>ゴ</t>
    </rPh>
    <rPh sb="2" eb="3">
      <t>ミ</t>
    </rPh>
    <rPh sb="4" eb="5">
      <t>セキ</t>
    </rPh>
    <rPh sb="6" eb="7">
      <t>ショウ</t>
    </rPh>
    <rPh sb="8" eb="9">
      <t>ホソ</t>
    </rPh>
    <rPh sb="10" eb="11">
      <t>ショ</t>
    </rPh>
    <phoneticPr fontId="7"/>
  </si>
  <si>
    <t>IFC製造委託ポータル　追加開発対応（一次）</t>
    <rPh sb="3" eb="5">
      <t>セイゾウ</t>
    </rPh>
    <rPh sb="5" eb="7">
      <t>イタク</t>
    </rPh>
    <rPh sb="12" eb="14">
      <t>ツイカ</t>
    </rPh>
    <rPh sb="14" eb="16">
      <t>カイハツ</t>
    </rPh>
    <rPh sb="16" eb="18">
      <t>タイオウ</t>
    </rPh>
    <rPh sb="19" eb="21">
      <t>イチジ</t>
    </rPh>
    <phoneticPr fontId="7"/>
  </si>
  <si>
    <t>2025年5月1日 ～ 2025年8月15日</t>
    <rPh sb="4" eb="5">
      <t>ネン</t>
    </rPh>
    <rPh sb="6" eb="7">
      <t>ガツ</t>
    </rPh>
    <rPh sb="8" eb="9">
      <t>ニチ</t>
    </rPh>
    <rPh sb="16" eb="17">
      <t>ネン</t>
    </rPh>
    <rPh sb="18" eb="19">
      <t>ガツ</t>
    </rPh>
    <rPh sb="21" eb="22">
      <t>ニチ</t>
    </rPh>
    <phoneticPr fontId="18"/>
  </si>
  <si>
    <t>0.5人月</t>
    <rPh sb="3" eb="4">
      <t>ニン</t>
    </rPh>
    <rPh sb="4" eb="5">
      <t>ゲツ</t>
    </rPh>
    <phoneticPr fontId="4"/>
  </si>
  <si>
    <t>0.54人月</t>
    <rPh sb="4" eb="5">
      <t>ニン</t>
    </rPh>
    <rPh sb="5" eb="6">
      <t>ゲツ</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</si>
</sst>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quot;¥&quot;\-#,##0"/>
    <numFmt numFmtId="6" formatCode="&quot;¥&quot;#,##0;[Red]&quot;¥&quot;\-#,##0"/>
    <numFmt numFmtId="176" formatCode="0.000&quot;人&quot;&quot;月&quot;"/>
    <numFmt numFmtId="177" formatCode="m&quot;月&quot;"/>
    <numFmt numFmtId="178" formatCode="0.000_ "/>
    <numFmt numFmtId="179" formatCode="0.00&quot;人&quot;&quot;月&quot;"/>
    <numFmt numFmtId="180" formatCode="&quot;¥&quot;#,##0_);[Red]\(&quot;¥&quot;#,##0\)"/>
    <numFmt numFmtId="181" formatCode="#,##0_ "/>
    <numFmt numFmtId="182" formatCode="&quot;¥&quot;#,##0.\-"/>
    <numFmt numFmtId="183" formatCode="0.00_);[Red]\(0.00\)"/>
    <numFmt numFmtId="184" formatCode="#,##0.0_ "/>
    <numFmt numFmtId="185" formatCode="0.0"/>
    <numFmt numFmtId="186" formatCode="#,##0.00_ "/>
  </numFmts>
  <fonts count="31" x14ac:knownFonts="1">
    <font>
      <sz val="11"/>
      <color theme="1"/>
      <name val="游ゴシック"/>
      <family val="2"/>
      <charset val="128"/>
      <scheme val="minor"/>
    </font>
    <font>
      <sz val="11"/>
      <color theme="1"/>
      <name val="游ゴシック"/>
      <family val="2"/>
      <charset val="128"/>
      <scheme val="minor"/>
    </font>
    <font>
      <sz val="14"/>
      <color theme="1"/>
      <name val="Meiryo UI"/>
      <family val="3"/>
      <charset val="128"/>
    </font>
    <font>
      <sz val="6"/>
      <name val="游ゴシック"/>
      <family val="2"/>
      <charset val="128"/>
      <scheme val="minor"/>
    </font>
    <font>
      <sz val="9"/>
      <color theme="1"/>
      <name val="Meiryo UI"/>
      <family val="3"/>
      <charset val="128"/>
    </font>
    <font>
      <sz val="14"/>
      <color rgb="FFFF0000"/>
      <name val="Meiryo UI"/>
      <family val="3"/>
      <charset val="128"/>
    </font>
    <font>
      <b/>
      <sz val="9"/>
      <color theme="0"/>
      <name val="Meiryo UI"/>
      <family val="3"/>
      <charset val="128"/>
    </font>
    <font>
      <sz val="6"/>
      <name val="ＭＳ Ｐゴシック"/>
      <family val="3"/>
      <charset val="128"/>
    </font>
    <font>
      <b/>
      <sz val="9"/>
      <color indexed="81"/>
      <name val="ＭＳ Ｐゴシック"/>
      <family val="3"/>
      <charset val="128"/>
    </font>
    <font>
      <sz val="11"/>
      <color theme="1" tint="0.24994659260841701"/>
      <name val="Meiryo UI"/>
      <family val="3"/>
      <charset val="128"/>
    </font>
    <font>
      <sz val="11"/>
      <name val="Meiryo UI"/>
      <family val="3"/>
      <charset val="128"/>
    </font>
    <font>
      <b/>
      <sz val="20"/>
      <name val="ＭＳ Ｐ明朝"/>
      <family val="1"/>
      <charset val="128"/>
    </font>
    <font>
      <sz val="11"/>
      <color theme="1"/>
      <name val="游ゴシック"/>
      <family val="2"/>
      <scheme val="minor"/>
    </font>
    <font>
      <b/>
      <sz val="26"/>
      <name val="ＭＳ 明朝"/>
      <family val="1"/>
      <charset val="128"/>
    </font>
    <font>
      <sz val="9"/>
      <name val="ＭＳ 明朝"/>
      <family val="1"/>
      <charset val="128"/>
    </font>
    <font>
      <sz val="10"/>
      <name val="ＭＳ 明朝"/>
      <family val="1"/>
      <charset val="128"/>
    </font>
    <font>
      <b/>
      <sz val="9"/>
      <name val="ＭＳ 明朝"/>
      <family val="1"/>
      <charset val="128"/>
    </font>
    <font>
      <sz val="12"/>
      <name val="ＭＳ 明朝"/>
      <family val="1"/>
      <charset val="128"/>
    </font>
    <font>
      <sz val="6"/>
      <name val="游ゴシック"/>
      <family val="3"/>
      <charset val="128"/>
      <scheme val="minor"/>
    </font>
    <font>
      <b/>
      <sz val="12"/>
      <name val="ＭＳ 明朝"/>
      <family val="1"/>
      <charset val="128"/>
    </font>
    <font>
      <sz val="20"/>
      <name val="ＭＳ 明朝"/>
      <family val="1"/>
      <charset val="128"/>
    </font>
    <font>
      <b/>
      <sz val="10"/>
      <name val="ＭＳ 明朝"/>
      <family val="1"/>
      <charset val="128"/>
    </font>
    <font>
      <u/>
      <sz val="10"/>
      <name val="ＭＳ 明朝"/>
      <family val="1"/>
      <charset val="128"/>
    </font>
    <font>
      <sz val="10"/>
      <color theme="0"/>
      <name val="ＭＳ 明朝"/>
      <family val="1"/>
      <charset val="128"/>
    </font>
    <font>
      <sz val="11"/>
      <name val="ＭＳ Ｐゴシック"/>
      <family val="3"/>
      <charset val="128"/>
    </font>
    <font>
      <b/>
      <sz val="14"/>
      <color theme="1"/>
      <name val="游ゴシック"/>
      <family val="3"/>
      <charset val="128"/>
      <scheme val="minor"/>
    </font>
    <font>
      <b/>
      <sz val="11"/>
      <color theme="1"/>
      <name val="游ゴシック"/>
      <family val="3"/>
      <charset val="128"/>
      <scheme val="minor"/>
    </font>
    <font>
      <b/>
      <sz val="11"/>
      <color theme="0"/>
      <name val="游ゴシック"/>
      <family val="3"/>
      <charset val="128"/>
      <scheme val="minor"/>
    </font>
    <font>
      <sz val="11"/>
      <color theme="1"/>
      <name val="游ゴシック"/>
      <family val="3"/>
      <charset val="128"/>
      <scheme val="minor"/>
    </font>
    <font>
      <sz val="10"/>
      <name val="ＭＳ 明朝"/>
      <family val="1"/>
    </font>
    <font>
      <sz val="11"/>
      <color rgb="FFFF0000"/>
      <name val="游ゴシック"/>
      <family val="2"/>
      <charset val="128"/>
      <scheme val="minor"/>
    </font>
  </fonts>
  <fills count="14">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rgb="FFAFB7D8"/>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bgColor indexed="64"/>
      </patternFill>
    </fill>
    <fill>
      <patternFill patternType="solid">
        <fgColor theme="0" tint="-0.249977111117893"/>
        <bgColor indexed="64"/>
      </patternFill>
    </fill>
    <fill>
      <patternFill patternType="solid">
        <fgColor rgb="FFFFFF00"/>
        <bgColor indexed="64"/>
      </patternFill>
    </fill>
  </fills>
  <borders count="46">
    <border>
      <left/>
      <right/>
      <top/>
      <bottom/>
      <diagonal/>
    </border>
    <border>
      <left style="thin">
        <color indexed="64"/>
      </left>
      <right style="thin">
        <color indexed="64"/>
      </right>
      <top style="thin">
        <color indexed="64"/>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rgb="FF00579D"/>
      </left>
      <right style="thin">
        <color rgb="FF00579D"/>
      </right>
      <top style="thin">
        <color rgb="FF00579D"/>
      </top>
      <bottom style="thin">
        <color rgb="FF00579D"/>
      </bottom>
      <diagonal/>
    </border>
    <border>
      <left style="thin">
        <color rgb="FF00579D"/>
      </left>
      <right/>
      <top style="thin">
        <color rgb="FF00579D"/>
      </top>
      <bottom style="thin">
        <color rgb="FF00579D"/>
      </bottom>
      <diagonal/>
    </border>
    <border>
      <left/>
      <right style="thin">
        <color rgb="FF00579D"/>
      </right>
      <top style="thin">
        <color rgb="FF00579D"/>
      </top>
      <bottom style="thin">
        <color rgb="FF00579D"/>
      </bottom>
      <diagonal/>
    </border>
    <border>
      <left/>
      <right/>
      <top/>
      <bottom style="hair">
        <color indexed="64"/>
      </bottom>
      <diagonal/>
    </border>
    <border>
      <left/>
      <right/>
      <top style="hair">
        <color indexed="64"/>
      </top>
      <bottom style="hair">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right style="double">
        <color indexed="64"/>
      </right>
      <top style="thin">
        <color indexed="64"/>
      </top>
      <bottom/>
      <diagonal/>
    </border>
    <border>
      <left style="double">
        <color indexed="64"/>
      </left>
      <right/>
      <top/>
      <bottom style="double">
        <color indexed="64"/>
      </bottom>
      <diagonal/>
    </border>
    <border>
      <left/>
      <right/>
      <top/>
      <bottom style="double">
        <color auto="1"/>
      </bottom>
      <diagonal/>
    </border>
    <border>
      <left/>
      <right style="double">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s>
  <cellStyleXfs count="7">
    <xf numFmtId="0" fontId="0"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2" fillId="0" borderId="0"/>
    <xf numFmtId="0" fontId="24" fillId="0" borderId="0">
      <alignment vertical="center"/>
    </xf>
    <xf numFmtId="6" fontId="1" fillId="0" borderId="0" applyFont="0" applyFill="0" applyBorder="0" applyAlignment="0" applyProtection="0">
      <alignment vertical="center"/>
    </xf>
  </cellStyleXfs>
  <cellXfs count="225">
    <xf numFmtId="0" fontId="0" fillId="0" borderId="0" xfId="0">
      <alignment vertical="center"/>
    </xf>
    <xf numFmtId="0" fontId="2" fillId="0" borderId="0" xfId="1" applyFont="1">
      <alignment vertical="center"/>
    </xf>
    <xf numFmtId="0" fontId="4" fillId="0" borderId="0" xfId="1" applyFont="1">
      <alignment vertical="center"/>
    </xf>
    <xf numFmtId="0" fontId="5" fillId="0" borderId="0" xfId="1" applyFont="1">
      <alignment vertical="center"/>
    </xf>
    <xf numFmtId="0" fontId="6" fillId="2" borderId="1" xfId="1" applyFont="1" applyFill="1" applyBorder="1" applyAlignment="1">
      <alignment horizontal="center" vertical="center"/>
    </xf>
    <xf numFmtId="0" fontId="6" fillId="2" borderId="4" xfId="1" applyFont="1" applyFill="1" applyBorder="1" applyAlignment="1">
      <alignment horizontal="center" vertical="center"/>
    </xf>
    <xf numFmtId="0" fontId="4" fillId="0" borderId="0" xfId="1" applyFont="1" applyAlignment="1">
      <alignment horizontal="center" vertical="center"/>
    </xf>
    <xf numFmtId="177" fontId="6" fillId="2" borderId="16" xfId="1" applyNumberFormat="1" applyFont="1" applyFill="1" applyBorder="1" applyAlignment="1">
      <alignment horizontal="center" vertical="center"/>
    </xf>
    <xf numFmtId="0" fontId="4" fillId="4" borderId="4" xfId="1" applyFont="1" applyFill="1" applyBorder="1" applyProtection="1">
      <alignment vertical="center"/>
      <protection locked="0"/>
    </xf>
    <xf numFmtId="178" fontId="4" fillId="4" borderId="4" xfId="1" applyNumberFormat="1" applyFont="1" applyFill="1" applyBorder="1" applyProtection="1">
      <alignment vertical="center"/>
      <protection locked="0"/>
    </xf>
    <xf numFmtId="178" fontId="4" fillId="3" borderId="4" xfId="1" applyNumberFormat="1" applyFont="1" applyFill="1" applyBorder="1">
      <alignment vertical="center"/>
    </xf>
    <xf numFmtId="178" fontId="4" fillId="4" borderId="0" xfId="1" applyNumberFormat="1" applyFont="1" applyFill="1" applyProtection="1">
      <alignment vertical="center"/>
      <protection locked="0"/>
    </xf>
    <xf numFmtId="0" fontId="6" fillId="5" borderId="1" xfId="1" applyFont="1" applyFill="1" applyBorder="1" applyAlignment="1">
      <alignment horizontal="center" vertical="center"/>
    </xf>
    <xf numFmtId="0" fontId="6" fillId="5" borderId="18" xfId="1" applyFont="1" applyFill="1" applyBorder="1" applyAlignment="1">
      <alignment horizontal="center" vertical="center"/>
    </xf>
    <xf numFmtId="0" fontId="6" fillId="5" borderId="4" xfId="1" applyFont="1" applyFill="1" applyBorder="1" applyAlignment="1">
      <alignment horizontal="center" vertical="center"/>
    </xf>
    <xf numFmtId="177" fontId="6" fillId="5" borderId="16" xfId="1" applyNumberFormat="1" applyFont="1" applyFill="1" applyBorder="1" applyAlignment="1">
      <alignment horizontal="center" vertical="center"/>
    </xf>
    <xf numFmtId="38" fontId="4" fillId="4" borderId="4" xfId="2" applyFont="1" applyFill="1" applyBorder="1" applyAlignment="1" applyProtection="1">
      <alignment vertical="center"/>
      <protection locked="0"/>
    </xf>
    <xf numFmtId="0" fontId="4" fillId="4" borderId="4" xfId="2" applyNumberFormat="1" applyFont="1" applyFill="1" applyBorder="1" applyAlignment="1" applyProtection="1">
      <alignment vertical="center"/>
      <protection locked="0"/>
    </xf>
    <xf numFmtId="181" fontId="4" fillId="3" borderId="4" xfId="1" applyNumberFormat="1" applyFont="1" applyFill="1" applyBorder="1">
      <alignment vertical="center"/>
    </xf>
    <xf numFmtId="38" fontId="4" fillId="4" borderId="0" xfId="2" applyFont="1" applyFill="1" applyAlignment="1" applyProtection="1">
      <alignment vertical="center"/>
      <protection locked="0"/>
    </xf>
    <xf numFmtId="0" fontId="9" fillId="6" borderId="19" xfId="0" applyFont="1" applyFill="1" applyBorder="1" applyAlignment="1">
      <alignment horizontal="center" vertical="center"/>
    </xf>
    <xf numFmtId="0" fontId="0" fillId="0" borderId="0" xfId="0" applyAlignment="1"/>
    <xf numFmtId="0" fontId="9" fillId="7" borderId="19" xfId="0" applyFont="1" applyFill="1" applyBorder="1" applyAlignment="1"/>
    <xf numFmtId="9" fontId="9" fillId="7" borderId="19" xfId="0" applyNumberFormat="1" applyFont="1" applyFill="1" applyBorder="1" applyAlignment="1"/>
    <xf numFmtId="0" fontId="4" fillId="4" borderId="4" xfId="3" applyFont="1" applyFill="1" applyBorder="1" applyProtection="1">
      <alignment vertical="center"/>
      <protection locked="0"/>
    </xf>
    <xf numFmtId="0" fontId="14" fillId="0" borderId="0" xfId="4" applyFont="1" applyAlignment="1">
      <alignment vertical="center"/>
    </xf>
    <xf numFmtId="0" fontId="15" fillId="0" borderId="22" xfId="4" applyFont="1" applyBorder="1" applyAlignment="1">
      <alignment vertical="center"/>
    </xf>
    <xf numFmtId="0" fontId="15" fillId="0" borderId="0" xfId="4" applyFont="1" applyAlignment="1">
      <alignment vertical="center"/>
    </xf>
    <xf numFmtId="0" fontId="15" fillId="0" borderId="23" xfId="4" applyFont="1" applyBorder="1" applyAlignment="1">
      <alignment vertical="center"/>
    </xf>
    <xf numFmtId="0" fontId="16" fillId="0" borderId="0" xfId="4" applyFont="1" applyAlignment="1">
      <alignment vertical="center"/>
    </xf>
    <xf numFmtId="0" fontId="21" fillId="0" borderId="0" xfId="4" applyFont="1" applyAlignment="1">
      <alignment vertical="center"/>
    </xf>
    <xf numFmtId="0" fontId="15" fillId="8" borderId="2" xfId="4" applyFont="1" applyFill="1" applyBorder="1" applyAlignment="1">
      <alignment horizontal="centerContinuous" vertical="center"/>
    </xf>
    <xf numFmtId="0" fontId="15" fillId="8" borderId="3" xfId="4" applyFont="1" applyFill="1" applyBorder="1" applyAlignment="1">
      <alignment horizontal="centerContinuous" vertical="center"/>
    </xf>
    <xf numFmtId="0" fontId="15" fillId="8" borderId="5" xfId="4" applyFont="1" applyFill="1" applyBorder="1" applyAlignment="1">
      <alignment horizontal="centerContinuous" vertical="center"/>
    </xf>
    <xf numFmtId="0" fontId="15" fillId="0" borderId="2" xfId="4" applyFont="1" applyBorder="1" applyAlignment="1">
      <alignment horizontal="left" vertical="center" indent="1"/>
    </xf>
    <xf numFmtId="0" fontId="15" fillId="0" borderId="5" xfId="4" applyFont="1" applyBorder="1" applyAlignment="1">
      <alignment vertical="center"/>
    </xf>
    <xf numFmtId="0" fontId="15" fillId="0" borderId="0" xfId="4" applyFont="1" applyAlignment="1">
      <alignment horizontal="center" vertical="center"/>
    </xf>
    <xf numFmtId="0" fontId="22" fillId="0" borderId="0" xfId="4" applyFont="1" applyAlignment="1">
      <alignment vertical="center"/>
    </xf>
    <xf numFmtId="0" fontId="15" fillId="8" borderId="25" xfId="4" applyFont="1" applyFill="1" applyBorder="1" applyAlignment="1">
      <alignment horizontal="centerContinuous" vertical="center"/>
    </xf>
    <xf numFmtId="0" fontId="15" fillId="8" borderId="26" xfId="4" applyFont="1" applyFill="1" applyBorder="1" applyAlignment="1">
      <alignment horizontal="centerContinuous" vertical="center"/>
    </xf>
    <xf numFmtId="0" fontId="15" fillId="8" borderId="27" xfId="4" applyFont="1" applyFill="1" applyBorder="1" applyAlignment="1">
      <alignment horizontal="centerContinuous" vertical="center"/>
    </xf>
    <xf numFmtId="0" fontId="15" fillId="0" borderId="25" xfId="4" applyFont="1" applyBorder="1" applyAlignment="1">
      <alignment horizontal="centerContinuous" vertical="center"/>
    </xf>
    <xf numFmtId="0" fontId="15" fillId="0" borderId="26" xfId="4" applyFont="1" applyBorder="1" applyAlignment="1">
      <alignment horizontal="centerContinuous" vertical="center"/>
    </xf>
    <xf numFmtId="0" fontId="15" fillId="0" borderId="28" xfId="4" applyFont="1" applyBorder="1" applyAlignment="1">
      <alignment vertical="center"/>
    </xf>
    <xf numFmtId="0" fontId="15" fillId="0" borderId="29" xfId="4" applyFont="1" applyBorder="1" applyAlignment="1">
      <alignment vertical="center"/>
    </xf>
    <xf numFmtId="0" fontId="15" fillId="0" borderId="28" xfId="4" applyFont="1" applyBorder="1" applyAlignment="1">
      <alignment horizontal="left" vertical="center"/>
    </xf>
    <xf numFmtId="0" fontId="15" fillId="0" borderId="0" xfId="4" applyFont="1" applyAlignment="1">
      <alignment horizontal="left" vertical="center"/>
    </xf>
    <xf numFmtId="0" fontId="15" fillId="0" borderId="25" xfId="4" applyFont="1" applyBorder="1" applyAlignment="1">
      <alignment vertical="center"/>
    </xf>
    <xf numFmtId="0" fontId="15" fillId="0" borderId="27" xfId="4" applyFont="1" applyBorder="1" applyAlignment="1">
      <alignment vertical="center"/>
    </xf>
    <xf numFmtId="0" fontId="15" fillId="0" borderId="26" xfId="4" applyFont="1" applyBorder="1" applyAlignment="1">
      <alignment vertical="center"/>
    </xf>
    <xf numFmtId="0" fontId="15" fillId="0" borderId="30" xfId="4" applyFont="1" applyBorder="1" applyAlignment="1">
      <alignment horizontal="centerContinuous" vertical="center"/>
    </xf>
    <xf numFmtId="0" fontId="15" fillId="0" borderId="31" xfId="4" applyFont="1" applyBorder="1" applyAlignment="1">
      <alignment horizontal="centerContinuous" vertical="center"/>
    </xf>
    <xf numFmtId="0" fontId="15" fillId="0" borderId="30" xfId="4" applyFont="1" applyBorder="1" applyAlignment="1">
      <alignment horizontal="left" vertical="center"/>
    </xf>
    <xf numFmtId="0" fontId="15" fillId="0" borderId="24" xfId="4" applyFont="1" applyBorder="1" applyAlignment="1">
      <alignment horizontal="left" vertical="center"/>
    </xf>
    <xf numFmtId="0" fontId="15" fillId="0" borderId="30" xfId="4" applyFont="1" applyBorder="1" applyAlignment="1">
      <alignment vertical="center"/>
    </xf>
    <xf numFmtId="0" fontId="15" fillId="0" borderId="24" xfId="4" applyFont="1" applyBorder="1" applyAlignment="1">
      <alignment vertical="center"/>
    </xf>
    <xf numFmtId="0" fontId="15" fillId="0" borderId="31" xfId="4" applyFont="1" applyBorder="1" applyAlignment="1">
      <alignment vertical="center"/>
    </xf>
    <xf numFmtId="0" fontId="23" fillId="0" borderId="0" xfId="4" applyFont="1" applyAlignment="1">
      <alignment vertical="center"/>
    </xf>
    <xf numFmtId="0" fontId="15" fillId="0" borderId="0" xfId="5" applyFont="1" applyAlignment="1">
      <alignment horizontal="left" vertical="center"/>
    </xf>
    <xf numFmtId="0" fontId="15" fillId="0" borderId="0" xfId="5" applyFont="1">
      <alignment vertical="center"/>
    </xf>
    <xf numFmtId="0" fontId="14" fillId="0" borderId="23" xfId="4" applyFont="1" applyBorder="1" applyAlignment="1">
      <alignment vertical="center"/>
    </xf>
    <xf numFmtId="5" fontId="15" fillId="0" borderId="5" xfId="4" applyNumberFormat="1" applyFont="1" applyBorder="1" applyAlignment="1">
      <alignment vertical="center"/>
    </xf>
    <xf numFmtId="5" fontId="15" fillId="0" borderId="3" xfId="4" applyNumberFormat="1" applyFont="1" applyBorder="1" applyAlignment="1">
      <alignment vertical="center"/>
    </xf>
    <xf numFmtId="0" fontId="15" fillId="0" borderId="0" xfId="0" applyFont="1">
      <alignment vertical="center"/>
    </xf>
    <xf numFmtId="0" fontId="15" fillId="0" borderId="0" xfId="0" applyFont="1" applyAlignment="1">
      <alignment horizontal="center" vertical="center"/>
    </xf>
    <xf numFmtId="0" fontId="21" fillId="0" borderId="0" xfId="0" applyFont="1">
      <alignment vertical="center"/>
    </xf>
    <xf numFmtId="0" fontId="14" fillId="0" borderId="24" xfId="0" applyFont="1" applyBorder="1">
      <alignment vertical="center"/>
    </xf>
    <xf numFmtId="0" fontId="14" fillId="0" borderId="0" xfId="0" applyFont="1">
      <alignment vertical="center"/>
    </xf>
    <xf numFmtId="0" fontId="23" fillId="0" borderId="0" xfId="0" applyFont="1">
      <alignment vertical="center"/>
    </xf>
    <xf numFmtId="0" fontId="14" fillId="0" borderId="27" xfId="0" applyFont="1" applyBorder="1">
      <alignment vertical="center"/>
    </xf>
    <xf numFmtId="0" fontId="14" fillId="0" borderId="37" xfId="0" applyFont="1" applyBorder="1">
      <alignment vertical="center"/>
    </xf>
    <xf numFmtId="0" fontId="25" fillId="0" borderId="0" xfId="0" applyFont="1" applyAlignment="1">
      <alignment horizontal="left" vertical="top"/>
    </xf>
    <xf numFmtId="0" fontId="0" fillId="0" borderId="0" xfId="0" applyAlignment="1">
      <alignment vertical="top"/>
    </xf>
    <xf numFmtId="0" fontId="0" fillId="0" borderId="0" xfId="0" applyAlignment="1">
      <alignment vertical="top" wrapText="1"/>
    </xf>
    <xf numFmtId="184" fontId="0" fillId="0" borderId="0" xfId="0" applyNumberFormat="1" applyAlignment="1">
      <alignment vertical="top"/>
    </xf>
    <xf numFmtId="0" fontId="0" fillId="0" borderId="0" xfId="0" applyAlignment="1">
      <alignment horizontal="left" vertical="top"/>
    </xf>
    <xf numFmtId="0" fontId="0" fillId="0" borderId="4" xfId="0" applyBorder="1" applyAlignment="1">
      <alignment vertical="top"/>
    </xf>
    <xf numFmtId="180" fontId="0" fillId="0" borderId="4" xfId="0" applyNumberFormat="1" applyBorder="1" applyAlignment="1">
      <alignment vertical="top"/>
    </xf>
    <xf numFmtId="0" fontId="27" fillId="11" borderId="4" xfId="0" applyFont="1" applyFill="1" applyBorder="1" applyAlignment="1">
      <alignment horizontal="left" vertical="top"/>
    </xf>
    <xf numFmtId="0" fontId="27" fillId="11" borderId="4" xfId="0" applyFont="1" applyFill="1" applyBorder="1" applyAlignment="1">
      <alignment vertical="top" wrapText="1"/>
    </xf>
    <xf numFmtId="184" fontId="27" fillId="11" borderId="4" xfId="0" applyNumberFormat="1" applyFont="1" applyFill="1" applyBorder="1" applyAlignment="1">
      <alignment horizontal="center" vertical="top" wrapText="1"/>
    </xf>
    <xf numFmtId="184" fontId="27" fillId="11" borderId="2" xfId="0" applyNumberFormat="1" applyFont="1" applyFill="1" applyBorder="1" applyAlignment="1">
      <alignment horizontal="center" vertical="top" wrapText="1"/>
    </xf>
    <xf numFmtId="0" fontId="0" fillId="0" borderId="4" xfId="0" applyBorder="1" applyAlignment="1">
      <alignment vertical="top" wrapText="1"/>
    </xf>
    <xf numFmtId="0" fontId="26" fillId="0" borderId="0" xfId="0" applyFont="1" applyAlignment="1">
      <alignment horizontal="center" vertical="center"/>
    </xf>
    <xf numFmtId="184" fontId="27" fillId="0" borderId="0" xfId="0" applyNumberFormat="1" applyFont="1" applyAlignment="1">
      <alignment horizontal="center" vertical="top" wrapText="1"/>
    </xf>
    <xf numFmtId="14" fontId="0" fillId="0" borderId="4" xfId="0" quotePrefix="1" applyNumberFormat="1" applyBorder="1" applyAlignment="1">
      <alignment vertical="top" wrapText="1"/>
    </xf>
    <xf numFmtId="0" fontId="28" fillId="0" borderId="42" xfId="0" applyFont="1" applyBorder="1" applyAlignment="1">
      <alignment vertical="top" wrapText="1"/>
    </xf>
    <xf numFmtId="184" fontId="0" fillId="0" borderId="41" xfId="0" applyNumberFormat="1" applyBorder="1" applyAlignment="1">
      <alignment horizontal="right" vertical="top"/>
    </xf>
    <xf numFmtId="184" fontId="0" fillId="0" borderId="42" xfId="0" applyNumberFormat="1" applyBorder="1" applyAlignment="1">
      <alignment horizontal="right" vertical="top"/>
    </xf>
    <xf numFmtId="184" fontId="0" fillId="0" borderId="42" xfId="0" applyNumberFormat="1" applyBorder="1" applyAlignment="1">
      <alignment vertical="top"/>
    </xf>
    <xf numFmtId="184" fontId="0" fillId="0" borderId="4" xfId="0" applyNumberFormat="1" applyBorder="1" applyAlignment="1">
      <alignment horizontal="right" vertical="top"/>
    </xf>
    <xf numFmtId="185" fontId="0" fillId="0" borderId="0" xfId="0" applyNumberFormat="1" applyAlignment="1">
      <alignment vertical="top"/>
    </xf>
    <xf numFmtId="186" fontId="0" fillId="0" borderId="4" xfId="0" applyNumberFormat="1" applyBorder="1" applyAlignment="1">
      <alignment horizontal="right" vertical="top"/>
    </xf>
    <xf numFmtId="49" fontId="0" fillId="0" borderId="0" xfId="0" applyNumberFormat="1" applyAlignment="1">
      <alignment horizontal="right" vertical="top"/>
    </xf>
    <xf numFmtId="185" fontId="0" fillId="0" borderId="4" xfId="0" applyNumberFormat="1" applyBorder="1" applyAlignment="1">
      <alignment vertical="top"/>
    </xf>
    <xf numFmtId="6" fontId="0" fillId="0" borderId="4" xfId="6" applyFont="1" applyFill="1" applyBorder="1" applyAlignment="1">
      <alignment vertical="top"/>
    </xf>
    <xf numFmtId="184" fontId="0" fillId="0" borderId="43" xfId="0" applyNumberFormat="1" applyBorder="1" applyAlignment="1">
      <alignment horizontal="right" vertical="top"/>
    </xf>
    <xf numFmtId="184" fontId="0" fillId="0" borderId="43" xfId="0" applyNumberFormat="1" applyBorder="1" applyAlignment="1">
      <alignment vertical="top"/>
    </xf>
    <xf numFmtId="184" fontId="0" fillId="12" borderId="4" xfId="0" applyNumberFormat="1" applyFill="1" applyBorder="1" applyAlignment="1">
      <alignment horizontal="right" vertical="top"/>
    </xf>
    <xf numFmtId="184" fontId="0" fillId="0" borderId="41" xfId="0" applyNumberFormat="1" applyBorder="1" applyAlignment="1">
      <alignment vertical="top"/>
    </xf>
    <xf numFmtId="0" fontId="0" fillId="0" borderId="25" xfId="0" applyBorder="1" applyAlignment="1">
      <alignment horizontal="left" vertical="top"/>
    </xf>
    <xf numFmtId="0" fontId="0" fillId="0" borderId="27" xfId="0" applyBorder="1" applyAlignment="1">
      <alignment vertical="top"/>
    </xf>
    <xf numFmtId="0" fontId="0" fillId="0" borderId="27" xfId="0" applyBorder="1" applyAlignment="1">
      <alignment vertical="top" wrapText="1"/>
    </xf>
    <xf numFmtId="184" fontId="0" fillId="0" borderId="26" xfId="0" applyNumberFormat="1" applyBorder="1" applyAlignment="1">
      <alignment vertical="top"/>
    </xf>
    <xf numFmtId="0" fontId="0" fillId="0" borderId="28" xfId="0" applyBorder="1" applyAlignment="1">
      <alignment horizontal="left" vertical="top"/>
    </xf>
    <xf numFmtId="184" fontId="0" fillId="0" borderId="29" xfId="0" applyNumberFormat="1" applyBorder="1" applyAlignment="1">
      <alignment vertical="top"/>
    </xf>
    <xf numFmtId="0" fontId="0" fillId="0" borderId="30" xfId="0" applyBorder="1" applyAlignment="1">
      <alignment horizontal="left" vertical="top"/>
    </xf>
    <xf numFmtId="0" fontId="0" fillId="0" borderId="24" xfId="0" applyBorder="1" applyAlignment="1">
      <alignment vertical="top"/>
    </xf>
    <xf numFmtId="0" fontId="0" fillId="0" borderId="24" xfId="0" applyBorder="1" applyAlignment="1">
      <alignment vertical="top" wrapText="1"/>
    </xf>
    <xf numFmtId="184" fontId="0" fillId="0" borderId="31" xfId="0" applyNumberFormat="1" applyBorder="1" applyAlignment="1">
      <alignment vertical="top"/>
    </xf>
    <xf numFmtId="0" fontId="15" fillId="0" borderId="28" xfId="4" applyFont="1" applyBorder="1" applyAlignment="1">
      <alignment horizontal="centerContinuous" vertical="center"/>
    </xf>
    <xf numFmtId="0" fontId="15" fillId="0" borderId="29" xfId="4" applyFont="1" applyBorder="1" applyAlignment="1">
      <alignment horizontal="centerContinuous" vertical="center"/>
    </xf>
    <xf numFmtId="0" fontId="15" fillId="0" borderId="28" xfId="0" applyFont="1" applyBorder="1">
      <alignment vertical="center"/>
    </xf>
    <xf numFmtId="0" fontId="15" fillId="8" borderId="5" xfId="0" applyFont="1" applyFill="1" applyBorder="1" applyAlignment="1">
      <alignment horizontal="centerContinuous" vertical="center"/>
    </xf>
    <xf numFmtId="0" fontId="15" fillId="8" borderId="3" xfId="0" applyFont="1" applyFill="1" applyBorder="1">
      <alignment vertical="center"/>
    </xf>
    <xf numFmtId="0" fontId="15" fillId="8" borderId="2" xfId="0" applyFont="1" applyFill="1" applyBorder="1" applyAlignment="1">
      <alignment horizontal="centerContinuous" vertical="center"/>
    </xf>
    <xf numFmtId="0" fontId="29" fillId="0" borderId="0" xfId="0" applyFont="1">
      <alignment vertical="center"/>
    </xf>
    <xf numFmtId="0" fontId="15" fillId="0" borderId="2" xfId="4" applyFont="1" applyBorder="1" applyAlignment="1">
      <alignment vertical="center"/>
    </xf>
    <xf numFmtId="0" fontId="15" fillId="0" borderId="3" xfId="4" applyFont="1" applyBorder="1" applyAlignment="1">
      <alignment vertical="center"/>
    </xf>
    <xf numFmtId="0" fontId="29" fillId="0" borderId="2" xfId="4" applyFont="1" applyBorder="1" applyAlignment="1">
      <alignment vertical="center"/>
    </xf>
    <xf numFmtId="0" fontId="29" fillId="0" borderId="5" xfId="4" applyFont="1" applyBorder="1" applyAlignment="1">
      <alignment vertical="center"/>
    </xf>
    <xf numFmtId="0" fontId="29" fillId="0" borderId="3" xfId="4" applyFont="1" applyBorder="1" applyAlignment="1">
      <alignment vertical="center"/>
    </xf>
    <xf numFmtId="0" fontId="29" fillId="0" borderId="0" xfId="4" applyFont="1" applyAlignment="1">
      <alignment vertical="center"/>
    </xf>
    <xf numFmtId="0" fontId="29" fillId="0" borderId="30" xfId="4" applyFont="1" applyBorder="1" applyAlignment="1">
      <alignment vertical="center"/>
    </xf>
    <xf numFmtId="0" fontId="29" fillId="0" borderId="24" xfId="4" applyFont="1" applyBorder="1" applyAlignment="1">
      <alignment vertical="center"/>
    </xf>
    <xf numFmtId="0" fontId="29" fillId="0" borderId="31" xfId="4" applyFont="1" applyBorder="1" applyAlignment="1">
      <alignment vertical="center"/>
    </xf>
    <xf numFmtId="2" fontId="0" fillId="0" borderId="4" xfId="0" applyNumberFormat="1" applyBorder="1" applyAlignment="1">
      <alignment vertical="top"/>
    </xf>
    <xf numFmtId="0" fontId="30" fillId="0" borderId="0" xfId="0" applyFont="1" applyAlignment="1">
      <alignment vertical="top"/>
    </xf>
    <xf numFmtId="0" fontId="0" fillId="0" borderId="0" xfId="0" applyAlignment="1">
      <alignment horizontal="right" vertical="top"/>
    </xf>
    <xf numFmtId="6" fontId="0" fillId="0" borderId="42" xfId="6" applyFont="1" applyFill="1" applyBorder="1" applyAlignment="1">
      <alignment vertical="top"/>
    </xf>
    <xf numFmtId="0" fontId="0" fillId="0" borderId="44" xfId="0" applyBorder="1" applyAlignment="1">
      <alignment horizontal="right" vertical="top"/>
    </xf>
    <xf numFmtId="185" fontId="0" fillId="13" borderId="4" xfId="0" applyNumberFormat="1" applyFill="1" applyBorder="1" applyAlignment="1">
      <alignment vertical="top"/>
    </xf>
    <xf numFmtId="6" fontId="0" fillId="13" borderId="45" xfId="0" applyNumberFormat="1" applyFill="1" applyBorder="1" applyAlignment="1">
      <alignment vertical="top"/>
    </xf>
    <xf numFmtId="0" fontId="13" fillId="0" borderId="0" xfId="4" applyFont="1" applyAlignment="1">
      <alignment horizontal="left" vertical="center"/>
    </xf>
    <xf numFmtId="14" fontId="15" fillId="0" borderId="22" xfId="4" applyNumberFormat="1" applyFont="1" applyBorder="1" applyAlignment="1">
      <alignment horizontal="right" vertical="center"/>
    </xf>
    <xf numFmtId="0" fontId="15" fillId="0" borderId="22" xfId="4" applyFont="1" applyBorder="1" applyAlignment="1">
      <alignment horizontal="right" vertical="center"/>
    </xf>
    <xf numFmtId="14" fontId="15" fillId="0" borderId="23" xfId="4" applyNumberFormat="1" applyFont="1" applyBorder="1" applyAlignment="1">
      <alignment horizontal="right" vertical="center"/>
    </xf>
    <xf numFmtId="0" fontId="15" fillId="0" borderId="23" xfId="4" applyFont="1" applyBorder="1" applyAlignment="1">
      <alignment horizontal="right" vertical="center"/>
    </xf>
    <xf numFmtId="0" fontId="17" fillId="0" borderId="0" xfId="4" applyFont="1" applyAlignment="1">
      <alignment horizontal="left" vertical="center"/>
    </xf>
    <xf numFmtId="0" fontId="17" fillId="0" borderId="24" xfId="4" applyFont="1" applyBorder="1" applyAlignment="1">
      <alignment horizontal="left" vertical="center"/>
    </xf>
    <xf numFmtId="0" fontId="19" fillId="0" borderId="0" xfId="4" applyFont="1" applyAlignment="1">
      <alignment horizontal="left" vertical="center"/>
    </xf>
    <xf numFmtId="0" fontId="19" fillId="0" borderId="24" xfId="4" applyFont="1" applyBorder="1" applyAlignment="1">
      <alignment horizontal="left" vertical="center"/>
    </xf>
    <xf numFmtId="182" fontId="20" fillId="0" borderId="0" xfId="4" applyNumberFormat="1" applyFont="1" applyAlignment="1">
      <alignment horizontal="right" vertical="center"/>
    </xf>
    <xf numFmtId="182" fontId="20" fillId="0" borderId="24" xfId="4" applyNumberFormat="1" applyFont="1" applyBorder="1" applyAlignment="1">
      <alignment horizontal="right" vertical="center"/>
    </xf>
    <xf numFmtId="0" fontId="15" fillId="0" borderId="2" xfId="4" applyFont="1" applyBorder="1" applyAlignment="1">
      <alignment horizontal="center" vertical="center"/>
    </xf>
    <xf numFmtId="0" fontId="15" fillId="0" borderId="3" xfId="4" applyFont="1" applyBorder="1" applyAlignment="1">
      <alignment horizontal="center" vertical="center"/>
    </xf>
    <xf numFmtId="183" fontId="15" fillId="0" borderId="2" xfId="4" applyNumberFormat="1" applyFont="1" applyBorder="1" applyAlignment="1">
      <alignment horizontal="right" vertical="center"/>
    </xf>
    <xf numFmtId="183" fontId="15" fillId="0" borderId="5" xfId="4" applyNumberFormat="1" applyFont="1" applyBorder="1" applyAlignment="1">
      <alignment horizontal="right" vertical="center"/>
    </xf>
    <xf numFmtId="5" fontId="15" fillId="0" borderId="5" xfId="4" applyNumberFormat="1" applyFont="1" applyBorder="1" applyAlignment="1">
      <alignment horizontal="center" vertical="center"/>
    </xf>
    <xf numFmtId="5" fontId="15" fillId="0" borderId="3" xfId="4" applyNumberFormat="1" applyFont="1" applyBorder="1" applyAlignment="1">
      <alignment horizontal="center" vertical="center"/>
    </xf>
    <xf numFmtId="5" fontId="15" fillId="0" borderId="2" xfId="4" applyNumberFormat="1" applyFont="1" applyBorder="1" applyAlignment="1">
      <alignment horizontal="right" vertical="center" indent="1"/>
    </xf>
    <xf numFmtId="5" fontId="15" fillId="0" borderId="5" xfId="4" applyNumberFormat="1" applyFont="1" applyBorder="1" applyAlignment="1">
      <alignment horizontal="right" vertical="center" indent="1"/>
    </xf>
    <xf numFmtId="5" fontId="15" fillId="0" borderId="3" xfId="4" applyNumberFormat="1" applyFont="1" applyBorder="1" applyAlignment="1">
      <alignment horizontal="right" vertical="center" indent="1"/>
    </xf>
    <xf numFmtId="0" fontId="15" fillId="0" borderId="25" xfId="0" applyFont="1" applyBorder="1" applyAlignment="1">
      <alignment vertical="center" shrinkToFit="1"/>
    </xf>
    <xf numFmtId="0" fontId="15" fillId="0" borderId="27" xfId="0" applyFont="1" applyBorder="1" applyAlignment="1">
      <alignment vertical="center" shrinkToFit="1"/>
    </xf>
    <xf numFmtId="0" fontId="29" fillId="0" borderId="0" xfId="4" applyFont="1" applyAlignment="1">
      <alignment vertical="center" shrinkToFit="1"/>
    </xf>
    <xf numFmtId="0" fontId="29" fillId="0" borderId="29" xfId="4" applyFont="1" applyBorder="1" applyAlignment="1">
      <alignment vertical="center" shrinkToFit="1"/>
    </xf>
    <xf numFmtId="0" fontId="29" fillId="0" borderId="24" xfId="4" applyFont="1" applyBorder="1" applyAlignment="1">
      <alignment vertical="center" shrinkToFit="1"/>
    </xf>
    <xf numFmtId="0" fontId="29" fillId="0" borderId="31" xfId="4" applyFont="1" applyBorder="1" applyAlignment="1">
      <alignment vertical="center" shrinkToFit="1"/>
    </xf>
    <xf numFmtId="0" fontId="15" fillId="8" borderId="2" xfId="4" applyFont="1" applyFill="1" applyBorder="1" applyAlignment="1">
      <alignment horizontal="center" vertical="center"/>
    </xf>
    <xf numFmtId="0" fontId="15" fillId="8" borderId="5" xfId="4" applyFont="1" applyFill="1" applyBorder="1" applyAlignment="1">
      <alignment horizontal="center" vertical="center"/>
    </xf>
    <xf numFmtId="0" fontId="15" fillId="8" borderId="3" xfId="4" applyFont="1" applyFill="1" applyBorder="1" applyAlignment="1">
      <alignment horizontal="center" vertical="center"/>
    </xf>
    <xf numFmtId="0" fontId="15" fillId="0" borderId="30" xfId="4" applyFont="1" applyBorder="1" applyAlignment="1">
      <alignment vertical="center" shrinkToFit="1"/>
    </xf>
    <xf numFmtId="0" fontId="15" fillId="0" borderId="24" xfId="4" applyFont="1" applyBorder="1" applyAlignment="1">
      <alignment vertical="center" shrinkToFit="1"/>
    </xf>
    <xf numFmtId="0" fontId="15" fillId="0" borderId="31" xfId="4" applyFont="1" applyBorder="1" applyAlignment="1">
      <alignment vertical="center" shrinkToFit="1"/>
    </xf>
    <xf numFmtId="0" fontId="15" fillId="0" borderId="25" xfId="4" applyFont="1" applyBorder="1" applyAlignment="1">
      <alignment vertical="center" shrinkToFit="1"/>
    </xf>
    <xf numFmtId="0" fontId="15" fillId="0" borderId="27" xfId="4" applyFont="1" applyBorder="1" applyAlignment="1">
      <alignment vertical="center" shrinkToFit="1"/>
    </xf>
    <xf numFmtId="0" fontId="15" fillId="0" borderId="26" xfId="4" applyFont="1" applyBorder="1" applyAlignment="1">
      <alignment vertical="center" shrinkToFit="1"/>
    </xf>
    <xf numFmtId="0" fontId="14" fillId="0" borderId="32" xfId="0" applyFont="1" applyBorder="1" applyAlignment="1">
      <alignment horizontal="left" vertical="center" wrapText="1"/>
    </xf>
    <xf numFmtId="0" fontId="14" fillId="0" borderId="33" xfId="0" applyFont="1" applyBorder="1" applyAlignment="1">
      <alignment horizontal="left" vertical="center"/>
    </xf>
    <xf numFmtId="0" fontId="14" fillId="0" borderId="34" xfId="0" applyFont="1" applyBorder="1" applyAlignment="1">
      <alignment horizontal="left" vertical="center"/>
    </xf>
    <xf numFmtId="0" fontId="14" fillId="0" borderId="35" xfId="0" applyFont="1" applyBorder="1" applyAlignment="1">
      <alignment horizontal="left" vertical="center" wrapText="1"/>
    </xf>
    <xf numFmtId="0" fontId="14" fillId="0" borderId="0" xfId="0" applyFont="1" applyAlignment="1">
      <alignment horizontal="left" vertical="center"/>
    </xf>
    <xf numFmtId="0" fontId="14" fillId="0" borderId="36" xfId="0" applyFont="1" applyBorder="1" applyAlignment="1">
      <alignment horizontal="left" vertical="center"/>
    </xf>
    <xf numFmtId="0" fontId="14" fillId="0" borderId="38" xfId="0" applyFont="1" applyBorder="1" applyAlignment="1">
      <alignment horizontal="left" vertical="center"/>
    </xf>
    <xf numFmtId="0" fontId="14" fillId="0" borderId="39" xfId="0" applyFont="1" applyBorder="1" applyAlignment="1">
      <alignment horizontal="left" vertical="center"/>
    </xf>
    <xf numFmtId="0" fontId="14" fillId="0" borderId="40" xfId="0" applyFont="1" applyBorder="1" applyAlignment="1">
      <alignment horizontal="left" vertical="center"/>
    </xf>
    <xf numFmtId="0" fontId="26" fillId="9" borderId="4" xfId="0" applyFont="1" applyFill="1" applyBorder="1" applyAlignment="1">
      <alignment horizontal="center" vertical="top"/>
    </xf>
    <xf numFmtId="0" fontId="26" fillId="10" borderId="4" xfId="0" applyFont="1" applyFill="1" applyBorder="1" applyAlignment="1">
      <alignment horizontal="center" vertical="top"/>
    </xf>
    <xf numFmtId="0" fontId="0" fillId="0" borderId="4" xfId="0" applyBorder="1" applyAlignment="1">
      <alignment horizontal="center" vertical="top"/>
    </xf>
    <xf numFmtId="0" fontId="26" fillId="9" borderId="41" xfId="0" applyFont="1" applyFill="1" applyBorder="1" applyAlignment="1">
      <alignment horizontal="center" vertical="top"/>
    </xf>
    <xf numFmtId="0" fontId="26" fillId="10" borderId="41" xfId="0" applyFont="1" applyFill="1" applyBorder="1" applyAlignment="1">
      <alignment horizontal="center" vertical="top"/>
    </xf>
    <xf numFmtId="0" fontId="4" fillId="3" borderId="2" xfId="1" applyFont="1" applyFill="1" applyBorder="1">
      <alignment vertical="center"/>
    </xf>
    <xf numFmtId="0" fontId="4" fillId="3" borderId="3" xfId="1" applyFont="1" applyFill="1" applyBorder="1">
      <alignment vertical="center"/>
    </xf>
    <xf numFmtId="0" fontId="4" fillId="3" borderId="5" xfId="1" applyFont="1" applyFill="1" applyBorder="1">
      <alignment vertical="center"/>
    </xf>
    <xf numFmtId="6" fontId="4" fillId="3" borderId="4" xfId="2" applyNumberFormat="1" applyFont="1" applyFill="1" applyBorder="1" applyAlignment="1" applyProtection="1">
      <alignment vertical="center"/>
    </xf>
    <xf numFmtId="176" fontId="4" fillId="3" borderId="4" xfId="1" applyNumberFormat="1" applyFont="1" applyFill="1" applyBorder="1">
      <alignment vertical="center"/>
    </xf>
    <xf numFmtId="5" fontId="4" fillId="3" borderId="4" xfId="1" applyNumberFormat="1" applyFont="1" applyFill="1" applyBorder="1">
      <alignment vertical="center"/>
    </xf>
    <xf numFmtId="0" fontId="6" fillId="2" borderId="8" xfId="1" applyFont="1" applyFill="1" applyBorder="1" applyAlignment="1">
      <alignment horizontal="center" vertical="center"/>
    </xf>
    <xf numFmtId="0" fontId="6" fillId="2" borderId="14" xfId="1" applyFont="1" applyFill="1" applyBorder="1" applyAlignment="1">
      <alignment horizontal="center" vertical="center"/>
    </xf>
    <xf numFmtId="0" fontId="6" fillId="2" borderId="17" xfId="1" applyFont="1" applyFill="1" applyBorder="1" applyAlignment="1">
      <alignment horizontal="center" vertical="center"/>
    </xf>
    <xf numFmtId="0" fontId="6" fillId="2" borderId="11" xfId="1" applyFont="1" applyFill="1" applyBorder="1" applyAlignment="1">
      <alignment horizontal="center" vertical="center"/>
    </xf>
    <xf numFmtId="0" fontId="6" fillId="2" borderId="12" xfId="1" applyFont="1" applyFill="1" applyBorder="1" applyAlignment="1">
      <alignment horizontal="center" vertical="center"/>
    </xf>
    <xf numFmtId="0" fontId="6" fillId="2" borderId="13" xfId="1" applyFont="1" applyFill="1" applyBorder="1" applyAlignment="1">
      <alignment horizontal="center" vertical="center"/>
    </xf>
    <xf numFmtId="0" fontId="4" fillId="0" borderId="2" xfId="1" applyFont="1" applyBorder="1" applyAlignment="1">
      <alignment horizontal="right" vertical="center"/>
    </xf>
    <xf numFmtId="0" fontId="4" fillId="0" borderId="5" xfId="1" applyFont="1" applyBorder="1" applyAlignment="1">
      <alignment horizontal="right" vertical="center"/>
    </xf>
    <xf numFmtId="0" fontId="4" fillId="0" borderId="3" xfId="1" applyFont="1" applyBorder="1" applyAlignment="1">
      <alignment horizontal="right" vertical="center"/>
    </xf>
    <xf numFmtId="0" fontId="6" fillId="2" borderId="6" xfId="1" applyFont="1" applyFill="1" applyBorder="1" applyAlignment="1">
      <alignment horizontal="center" vertical="center"/>
    </xf>
    <xf numFmtId="0" fontId="6" fillId="2" borderId="9" xfId="1" applyFont="1" applyFill="1" applyBorder="1" applyAlignment="1">
      <alignment horizontal="center" vertical="center"/>
    </xf>
    <xf numFmtId="0" fontId="6" fillId="2" borderId="15" xfId="1" applyFont="1" applyFill="1" applyBorder="1" applyAlignment="1">
      <alignment horizontal="center" vertical="center"/>
    </xf>
    <xf numFmtId="0" fontId="6" fillId="2" borderId="7" xfId="1" applyFont="1" applyFill="1" applyBorder="1" applyAlignment="1">
      <alignment horizontal="center" vertical="center"/>
    </xf>
    <xf numFmtId="0" fontId="6" fillId="2" borderId="10" xfId="1" applyFont="1" applyFill="1" applyBorder="1" applyAlignment="1">
      <alignment horizontal="center" vertical="center"/>
    </xf>
    <xf numFmtId="0" fontId="6" fillId="2" borderId="16" xfId="1" applyFont="1" applyFill="1" applyBorder="1" applyAlignment="1">
      <alignment horizontal="center" vertical="center"/>
    </xf>
    <xf numFmtId="0" fontId="6" fillId="2" borderId="7" xfId="1" applyFont="1" applyFill="1" applyBorder="1" applyAlignment="1">
      <alignment horizontal="left" vertical="center"/>
    </xf>
    <xf numFmtId="0" fontId="6" fillId="2" borderId="10" xfId="1" applyFont="1" applyFill="1" applyBorder="1" applyAlignment="1">
      <alignment horizontal="center" vertical="center" wrapText="1"/>
    </xf>
    <xf numFmtId="6" fontId="4" fillId="3" borderId="4" xfId="2" applyNumberFormat="1" applyFont="1" applyFill="1" applyBorder="1" applyAlignment="1">
      <alignment vertical="center"/>
    </xf>
    <xf numFmtId="179" fontId="4" fillId="3" borderId="4" xfId="1" applyNumberFormat="1" applyFont="1" applyFill="1" applyBorder="1">
      <alignment vertical="center"/>
    </xf>
    <xf numFmtId="180" fontId="4" fillId="3" borderId="4" xfId="1" applyNumberFormat="1" applyFont="1" applyFill="1" applyBorder="1">
      <alignment vertical="center"/>
    </xf>
    <xf numFmtId="0" fontId="6" fillId="5" borderId="8" xfId="1" applyFont="1" applyFill="1" applyBorder="1" applyAlignment="1">
      <alignment horizontal="center" vertical="center"/>
    </xf>
    <xf numFmtId="0" fontId="6" fillId="5" borderId="14" xfId="1" applyFont="1" applyFill="1" applyBorder="1" applyAlignment="1">
      <alignment horizontal="center" vertical="center"/>
    </xf>
    <xf numFmtId="0" fontId="6" fillId="5" borderId="17" xfId="1" applyFont="1" applyFill="1" applyBorder="1" applyAlignment="1">
      <alignment horizontal="center" vertical="center"/>
    </xf>
    <xf numFmtId="0" fontId="6" fillId="5" borderId="11" xfId="1" applyFont="1" applyFill="1" applyBorder="1" applyAlignment="1">
      <alignment horizontal="center" vertical="center"/>
    </xf>
    <xf numFmtId="0" fontId="6" fillId="5" borderId="12" xfId="1" applyFont="1" applyFill="1" applyBorder="1" applyAlignment="1">
      <alignment horizontal="center" vertical="center"/>
    </xf>
    <xf numFmtId="0" fontId="6" fillId="5" borderId="13" xfId="1" applyFont="1" applyFill="1" applyBorder="1" applyAlignment="1">
      <alignment horizontal="center" vertical="center"/>
    </xf>
    <xf numFmtId="0" fontId="6" fillId="5" borderId="6" xfId="1" applyFont="1" applyFill="1" applyBorder="1" applyAlignment="1">
      <alignment horizontal="center" vertical="center"/>
    </xf>
    <xf numFmtId="0" fontId="6" fillId="5" borderId="9" xfId="1" applyFont="1" applyFill="1" applyBorder="1" applyAlignment="1">
      <alignment horizontal="center" vertical="center"/>
    </xf>
    <xf numFmtId="0" fontId="6" fillId="5" borderId="15" xfId="1" applyFont="1" applyFill="1" applyBorder="1" applyAlignment="1">
      <alignment horizontal="center" vertical="center"/>
    </xf>
    <xf numFmtId="0" fontId="6" fillId="5" borderId="7" xfId="1" applyFont="1" applyFill="1" applyBorder="1" applyAlignment="1">
      <alignment horizontal="center" vertical="center"/>
    </xf>
    <xf numFmtId="0" fontId="6" fillId="5" borderId="10" xfId="1" applyFont="1" applyFill="1" applyBorder="1" applyAlignment="1">
      <alignment horizontal="center" vertical="center"/>
    </xf>
    <xf numFmtId="0" fontId="6" fillId="5" borderId="16" xfId="1" applyFont="1" applyFill="1" applyBorder="1" applyAlignment="1">
      <alignment horizontal="center" vertical="center"/>
    </xf>
    <xf numFmtId="0" fontId="6" fillId="5" borderId="7" xfId="1" applyFont="1" applyFill="1" applyBorder="1" applyAlignment="1">
      <alignment horizontal="left" vertical="center"/>
    </xf>
    <xf numFmtId="0" fontId="6" fillId="5" borderId="10" xfId="1" applyFont="1" applyFill="1" applyBorder="1" applyAlignment="1">
      <alignment horizontal="center" vertical="center" wrapText="1"/>
    </xf>
    <xf numFmtId="0" fontId="9" fillId="6" borderId="20"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19" xfId="0" applyFont="1" applyFill="1" applyBorder="1" applyAlignment="1">
      <alignment horizontal="center" vertical="center"/>
    </xf>
  </cellXfs>
  <cellStyles count="7">
    <cellStyle name="桁区切り 2" xfId="2" xr:uid="{00000000-0005-0000-0000-000000000000}"/>
    <cellStyle name="通貨" xfId="6" builtinId="7"/>
    <cellStyle name="標準" xfId="0" builtinId="0"/>
    <cellStyle name="標準 2" xfId="1" xr:uid="{00000000-0005-0000-0000-000002000000}"/>
    <cellStyle name="標準 2 2" xfId="3" xr:uid="{00000000-0005-0000-0000-000003000000}"/>
    <cellStyle name="標準 2 3" xfId="5" xr:uid="{E5FBA960-A250-48E9-A1AE-46A451B0EE3A}"/>
    <cellStyle name="標準 3" xfId="4" xr:uid="{FF83E7BF-8BED-4E42-A740-53CF93C388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30</xdr:col>
      <xdr:colOff>0</xdr:colOff>
      <xdr:row>136</xdr:row>
      <xdr:rowOff>28575</xdr:rowOff>
    </xdr:from>
    <xdr:to>
      <xdr:col>31</xdr:col>
      <xdr:colOff>169500</xdr:colOff>
      <xdr:row>136</xdr:row>
      <xdr:rowOff>172575</xdr:rowOff>
    </xdr:to>
    <xdr:sp macro="" textlink="">
      <xdr:nvSpPr>
        <xdr:cNvPr id="2" name="ホームベース 120">
          <a:extLst>
            <a:ext uri="{FF2B5EF4-FFF2-40B4-BE49-F238E27FC236}">
              <a16:creationId xmlns:a16="http://schemas.microsoft.com/office/drawing/2014/main" id="{BAAAFC0A-5FC0-46A5-9193-20ABF022D7B7}"/>
            </a:ext>
          </a:extLst>
        </xdr:cNvPr>
        <xdr:cNvSpPr/>
      </xdr:nvSpPr>
      <xdr:spPr bwMode="auto">
        <a:xfrm>
          <a:off x="6000750" y="26504900"/>
          <a:ext cx="369525" cy="147175"/>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8</xdr:col>
      <xdr:colOff>0</xdr:colOff>
      <xdr:row>124</xdr:row>
      <xdr:rowOff>0</xdr:rowOff>
    </xdr:from>
    <xdr:to>
      <xdr:col>13</xdr:col>
      <xdr:colOff>198782</xdr:colOff>
      <xdr:row>126</xdr:row>
      <xdr:rowOff>0</xdr:rowOff>
    </xdr:to>
    <xdr:sp macro="" textlink="">
      <xdr:nvSpPr>
        <xdr:cNvPr id="3" name="ホームベース 35">
          <a:extLst>
            <a:ext uri="{FF2B5EF4-FFF2-40B4-BE49-F238E27FC236}">
              <a16:creationId xmlns:a16="http://schemas.microsoft.com/office/drawing/2014/main" id="{04B1A521-A7F4-418C-B988-2DC929C9545B}"/>
            </a:ext>
          </a:extLst>
        </xdr:cNvPr>
        <xdr:cNvSpPr/>
      </xdr:nvSpPr>
      <xdr:spPr bwMode="auto">
        <a:xfrm>
          <a:off x="1600200" y="24193500"/>
          <a:ext cx="1202082"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136</xdr:row>
      <xdr:rowOff>30480</xdr:rowOff>
    </xdr:from>
    <xdr:to>
      <xdr:col>25</xdr:col>
      <xdr:colOff>169500</xdr:colOff>
      <xdr:row>136</xdr:row>
      <xdr:rowOff>174480</xdr:rowOff>
    </xdr:to>
    <xdr:sp macro="" textlink="">
      <xdr:nvSpPr>
        <xdr:cNvPr id="4" name="ホームベース 13">
          <a:extLst>
            <a:ext uri="{FF2B5EF4-FFF2-40B4-BE49-F238E27FC236}">
              <a16:creationId xmlns:a16="http://schemas.microsoft.com/office/drawing/2014/main" id="{A3693AE3-5DD7-4E35-996F-8FF40888EF76}"/>
            </a:ext>
          </a:extLst>
        </xdr:cNvPr>
        <xdr:cNvSpPr/>
      </xdr:nvSpPr>
      <xdr:spPr bwMode="auto">
        <a:xfrm>
          <a:off x="4800600" y="26506805"/>
          <a:ext cx="369525" cy="147175"/>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14</xdr:col>
      <xdr:colOff>0</xdr:colOff>
      <xdr:row>126</xdr:row>
      <xdr:rowOff>0</xdr:rowOff>
    </xdr:from>
    <xdr:to>
      <xdr:col>23</xdr:col>
      <xdr:colOff>1</xdr:colOff>
      <xdr:row>128</xdr:row>
      <xdr:rowOff>0</xdr:rowOff>
    </xdr:to>
    <xdr:sp macro="" textlink="">
      <xdr:nvSpPr>
        <xdr:cNvPr id="5" name="ホームベース 35">
          <a:extLst>
            <a:ext uri="{FF2B5EF4-FFF2-40B4-BE49-F238E27FC236}">
              <a16:creationId xmlns:a16="http://schemas.microsoft.com/office/drawing/2014/main" id="{9A7C9F62-05BB-4065-814E-198451756903}"/>
            </a:ext>
          </a:extLst>
        </xdr:cNvPr>
        <xdr:cNvSpPr/>
      </xdr:nvSpPr>
      <xdr:spPr bwMode="auto">
        <a:xfrm>
          <a:off x="2800350" y="24574500"/>
          <a:ext cx="1800226"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23</xdr:col>
      <xdr:colOff>3173</xdr:colOff>
      <xdr:row>128</xdr:row>
      <xdr:rowOff>0</xdr:rowOff>
    </xdr:from>
    <xdr:to>
      <xdr:col>27</xdr:col>
      <xdr:colOff>198782</xdr:colOff>
      <xdr:row>130</xdr:row>
      <xdr:rowOff>0</xdr:rowOff>
    </xdr:to>
    <xdr:sp macro="" textlink="">
      <xdr:nvSpPr>
        <xdr:cNvPr id="6" name="ホームベース 35">
          <a:extLst>
            <a:ext uri="{FF2B5EF4-FFF2-40B4-BE49-F238E27FC236}">
              <a16:creationId xmlns:a16="http://schemas.microsoft.com/office/drawing/2014/main" id="{A6D97281-875C-4470-97D0-F39952A985DC}"/>
            </a:ext>
          </a:extLst>
        </xdr:cNvPr>
        <xdr:cNvSpPr/>
      </xdr:nvSpPr>
      <xdr:spPr bwMode="auto">
        <a:xfrm>
          <a:off x="4603748" y="24955500"/>
          <a:ext cx="998884"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28</xdr:col>
      <xdr:colOff>0</xdr:colOff>
      <xdr:row>130</xdr:row>
      <xdr:rowOff>0</xdr:rowOff>
    </xdr:from>
    <xdr:to>
      <xdr:col>33</xdr:col>
      <xdr:colOff>0</xdr:colOff>
      <xdr:row>132</xdr:row>
      <xdr:rowOff>0</xdr:rowOff>
    </xdr:to>
    <xdr:sp macro="" textlink="">
      <xdr:nvSpPr>
        <xdr:cNvPr id="7" name="ホームベース 35">
          <a:extLst>
            <a:ext uri="{FF2B5EF4-FFF2-40B4-BE49-F238E27FC236}">
              <a16:creationId xmlns:a16="http://schemas.microsoft.com/office/drawing/2014/main" id="{7FD75E46-0DE0-4C09-B229-D80F3A2C4CF9}"/>
            </a:ext>
          </a:extLst>
        </xdr:cNvPr>
        <xdr:cNvSpPr/>
      </xdr:nvSpPr>
      <xdr:spPr bwMode="auto">
        <a:xfrm>
          <a:off x="5600700" y="25336500"/>
          <a:ext cx="1000125"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33</xdr:col>
      <xdr:colOff>0</xdr:colOff>
      <xdr:row>132</xdr:row>
      <xdr:rowOff>0</xdr:rowOff>
    </xdr:from>
    <xdr:to>
      <xdr:col>35</xdr:col>
      <xdr:colOff>0</xdr:colOff>
      <xdr:row>133</xdr:row>
      <xdr:rowOff>0</xdr:rowOff>
    </xdr:to>
    <xdr:sp macro="" textlink="">
      <xdr:nvSpPr>
        <xdr:cNvPr id="8" name="ホームベース 35">
          <a:extLst>
            <a:ext uri="{FF2B5EF4-FFF2-40B4-BE49-F238E27FC236}">
              <a16:creationId xmlns:a16="http://schemas.microsoft.com/office/drawing/2014/main" id="{C72E064F-1555-44AA-B43C-210241191C38}"/>
            </a:ext>
          </a:extLst>
        </xdr:cNvPr>
        <xdr:cNvSpPr/>
      </xdr:nvSpPr>
      <xdr:spPr bwMode="auto">
        <a:xfrm>
          <a:off x="6600825" y="25717500"/>
          <a:ext cx="400050" cy="190500"/>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35</xdr:col>
      <xdr:colOff>3174</xdr:colOff>
      <xdr:row>134</xdr:row>
      <xdr:rowOff>0</xdr:rowOff>
    </xdr:from>
    <xdr:to>
      <xdr:col>36</xdr:col>
      <xdr:colOff>3174</xdr:colOff>
      <xdr:row>136</xdr:row>
      <xdr:rowOff>0</xdr:rowOff>
    </xdr:to>
    <xdr:sp macro="" textlink="">
      <xdr:nvSpPr>
        <xdr:cNvPr id="9" name="ホームベース 35">
          <a:extLst>
            <a:ext uri="{FF2B5EF4-FFF2-40B4-BE49-F238E27FC236}">
              <a16:creationId xmlns:a16="http://schemas.microsoft.com/office/drawing/2014/main" id="{BED5E403-165A-4025-A953-568428C2C219}"/>
            </a:ext>
          </a:extLst>
        </xdr:cNvPr>
        <xdr:cNvSpPr/>
      </xdr:nvSpPr>
      <xdr:spPr bwMode="auto">
        <a:xfrm>
          <a:off x="7004049" y="26098500"/>
          <a:ext cx="200025"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33</xdr:col>
      <xdr:colOff>0</xdr:colOff>
      <xdr:row>133</xdr:row>
      <xdr:rowOff>2</xdr:rowOff>
    </xdr:from>
    <xdr:to>
      <xdr:col>35</xdr:col>
      <xdr:colOff>0</xdr:colOff>
      <xdr:row>134</xdr:row>
      <xdr:rowOff>1</xdr:rowOff>
    </xdr:to>
    <xdr:sp macro="" textlink="">
      <xdr:nvSpPr>
        <xdr:cNvPr id="10" name="ホームベース 35">
          <a:extLst>
            <a:ext uri="{FF2B5EF4-FFF2-40B4-BE49-F238E27FC236}">
              <a16:creationId xmlns:a16="http://schemas.microsoft.com/office/drawing/2014/main" id="{A2D8FB7D-F209-47E4-BFE2-E587284BD74D}"/>
            </a:ext>
          </a:extLst>
        </xdr:cNvPr>
        <xdr:cNvSpPr/>
      </xdr:nvSpPr>
      <xdr:spPr bwMode="auto">
        <a:xfrm>
          <a:off x="6600825" y="25908002"/>
          <a:ext cx="400050" cy="190499"/>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30</xdr:col>
      <xdr:colOff>0</xdr:colOff>
      <xdr:row>139</xdr:row>
      <xdr:rowOff>28575</xdr:rowOff>
    </xdr:from>
    <xdr:to>
      <xdr:col>31</xdr:col>
      <xdr:colOff>169500</xdr:colOff>
      <xdr:row>139</xdr:row>
      <xdr:rowOff>172575</xdr:rowOff>
    </xdr:to>
    <xdr:sp macro="" textlink="">
      <xdr:nvSpPr>
        <xdr:cNvPr id="2" name="ホームベース 120">
          <a:extLst>
            <a:ext uri="{FF2B5EF4-FFF2-40B4-BE49-F238E27FC236}">
              <a16:creationId xmlns:a16="http://schemas.microsoft.com/office/drawing/2014/main" id="{B247DDCD-AF6D-4851-BFC0-B5F3FF6B0CAA}"/>
            </a:ext>
          </a:extLst>
        </xdr:cNvPr>
        <xdr:cNvSpPr/>
      </xdr:nvSpPr>
      <xdr:spPr bwMode="auto">
        <a:xfrm>
          <a:off x="6000750" y="21555075"/>
          <a:ext cx="369525" cy="144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8</xdr:col>
      <xdr:colOff>0</xdr:colOff>
      <xdr:row>127</xdr:row>
      <xdr:rowOff>0</xdr:rowOff>
    </xdr:from>
    <xdr:to>
      <xdr:col>13</xdr:col>
      <xdr:colOff>198782</xdr:colOff>
      <xdr:row>129</xdr:row>
      <xdr:rowOff>0</xdr:rowOff>
    </xdr:to>
    <xdr:sp macro="" textlink="">
      <xdr:nvSpPr>
        <xdr:cNvPr id="4" name="ホームベース 35">
          <a:extLst>
            <a:ext uri="{FF2B5EF4-FFF2-40B4-BE49-F238E27FC236}">
              <a16:creationId xmlns:a16="http://schemas.microsoft.com/office/drawing/2014/main" id="{ABAC6196-8194-4939-8EF4-B07448CDAEF3}"/>
            </a:ext>
          </a:extLst>
        </xdr:cNvPr>
        <xdr:cNvSpPr/>
      </xdr:nvSpPr>
      <xdr:spPr bwMode="auto">
        <a:xfrm>
          <a:off x="1590261" y="23050500"/>
          <a:ext cx="1192695"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139</xdr:row>
      <xdr:rowOff>30480</xdr:rowOff>
    </xdr:from>
    <xdr:to>
      <xdr:col>25</xdr:col>
      <xdr:colOff>169500</xdr:colOff>
      <xdr:row>139</xdr:row>
      <xdr:rowOff>174480</xdr:rowOff>
    </xdr:to>
    <xdr:sp macro="" textlink="">
      <xdr:nvSpPr>
        <xdr:cNvPr id="13" name="ホームベース 13">
          <a:extLst>
            <a:ext uri="{FF2B5EF4-FFF2-40B4-BE49-F238E27FC236}">
              <a16:creationId xmlns:a16="http://schemas.microsoft.com/office/drawing/2014/main" id="{3EF7067C-86EF-49BF-BDCC-8D695BFF9D9A}"/>
            </a:ext>
          </a:extLst>
        </xdr:cNvPr>
        <xdr:cNvSpPr/>
      </xdr:nvSpPr>
      <xdr:spPr bwMode="auto">
        <a:xfrm>
          <a:off x="4800600" y="21556980"/>
          <a:ext cx="369525" cy="144000"/>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14</xdr:col>
      <xdr:colOff>0</xdr:colOff>
      <xdr:row>129</xdr:row>
      <xdr:rowOff>0</xdr:rowOff>
    </xdr:from>
    <xdr:to>
      <xdr:col>23</xdr:col>
      <xdr:colOff>1</xdr:colOff>
      <xdr:row>131</xdr:row>
      <xdr:rowOff>0</xdr:rowOff>
    </xdr:to>
    <xdr:sp macro="" textlink="">
      <xdr:nvSpPr>
        <xdr:cNvPr id="15" name="ホームベース 35">
          <a:extLst>
            <a:ext uri="{FF2B5EF4-FFF2-40B4-BE49-F238E27FC236}">
              <a16:creationId xmlns:a16="http://schemas.microsoft.com/office/drawing/2014/main" id="{76113A40-AF28-3F50-B8E5-9E5B0E919CAF}"/>
            </a:ext>
          </a:extLst>
        </xdr:cNvPr>
        <xdr:cNvSpPr/>
      </xdr:nvSpPr>
      <xdr:spPr bwMode="auto">
        <a:xfrm>
          <a:off x="2782957" y="23431500"/>
          <a:ext cx="1789044"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23</xdr:col>
      <xdr:colOff>3173</xdr:colOff>
      <xdr:row>131</xdr:row>
      <xdr:rowOff>0</xdr:rowOff>
    </xdr:from>
    <xdr:to>
      <xdr:col>27</xdr:col>
      <xdr:colOff>198782</xdr:colOff>
      <xdr:row>133</xdr:row>
      <xdr:rowOff>0</xdr:rowOff>
    </xdr:to>
    <xdr:sp macro="" textlink="">
      <xdr:nvSpPr>
        <xdr:cNvPr id="26" name="ホームベース 35">
          <a:extLst>
            <a:ext uri="{FF2B5EF4-FFF2-40B4-BE49-F238E27FC236}">
              <a16:creationId xmlns:a16="http://schemas.microsoft.com/office/drawing/2014/main" id="{73F96BCD-400A-C9F9-C29E-42A675E6A7BC}"/>
            </a:ext>
          </a:extLst>
        </xdr:cNvPr>
        <xdr:cNvSpPr/>
      </xdr:nvSpPr>
      <xdr:spPr bwMode="auto">
        <a:xfrm>
          <a:off x="4575173" y="23812500"/>
          <a:ext cx="990739"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28</xdr:col>
      <xdr:colOff>0</xdr:colOff>
      <xdr:row>133</xdr:row>
      <xdr:rowOff>0</xdr:rowOff>
    </xdr:from>
    <xdr:to>
      <xdr:col>33</xdr:col>
      <xdr:colOff>0</xdr:colOff>
      <xdr:row>135</xdr:row>
      <xdr:rowOff>0</xdr:rowOff>
    </xdr:to>
    <xdr:sp macro="" textlink="">
      <xdr:nvSpPr>
        <xdr:cNvPr id="27" name="ホームベース 35">
          <a:extLst>
            <a:ext uri="{FF2B5EF4-FFF2-40B4-BE49-F238E27FC236}">
              <a16:creationId xmlns:a16="http://schemas.microsoft.com/office/drawing/2014/main" id="{2B5049B6-C8CF-4511-9F6B-46C12632E0F6}"/>
            </a:ext>
          </a:extLst>
        </xdr:cNvPr>
        <xdr:cNvSpPr/>
      </xdr:nvSpPr>
      <xdr:spPr bwMode="auto">
        <a:xfrm>
          <a:off x="5565913" y="24193500"/>
          <a:ext cx="993913"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33</xdr:col>
      <xdr:colOff>0</xdr:colOff>
      <xdr:row>135</xdr:row>
      <xdr:rowOff>0</xdr:rowOff>
    </xdr:from>
    <xdr:to>
      <xdr:col>35</xdr:col>
      <xdr:colOff>0</xdr:colOff>
      <xdr:row>136</xdr:row>
      <xdr:rowOff>0</xdr:rowOff>
    </xdr:to>
    <xdr:sp macro="" textlink="">
      <xdr:nvSpPr>
        <xdr:cNvPr id="5" name="ホームベース 35">
          <a:extLst>
            <a:ext uri="{FF2B5EF4-FFF2-40B4-BE49-F238E27FC236}">
              <a16:creationId xmlns:a16="http://schemas.microsoft.com/office/drawing/2014/main" id="{323125DA-C087-4683-9D2E-8FA88D057E20}"/>
            </a:ext>
          </a:extLst>
        </xdr:cNvPr>
        <xdr:cNvSpPr/>
      </xdr:nvSpPr>
      <xdr:spPr bwMode="auto">
        <a:xfrm>
          <a:off x="6559826" y="24574500"/>
          <a:ext cx="397565" cy="190500"/>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35</xdr:col>
      <xdr:colOff>3174</xdr:colOff>
      <xdr:row>137</xdr:row>
      <xdr:rowOff>0</xdr:rowOff>
    </xdr:from>
    <xdr:to>
      <xdr:col>36</xdr:col>
      <xdr:colOff>3174</xdr:colOff>
      <xdr:row>139</xdr:row>
      <xdr:rowOff>0</xdr:rowOff>
    </xdr:to>
    <xdr:sp macro="" textlink="">
      <xdr:nvSpPr>
        <xdr:cNvPr id="3" name="ホームベース 35">
          <a:extLst>
            <a:ext uri="{FF2B5EF4-FFF2-40B4-BE49-F238E27FC236}">
              <a16:creationId xmlns:a16="http://schemas.microsoft.com/office/drawing/2014/main" id="{135EDAE1-5BF2-4E2B-B18C-A9C80B5840AA}"/>
            </a:ext>
          </a:extLst>
        </xdr:cNvPr>
        <xdr:cNvSpPr/>
      </xdr:nvSpPr>
      <xdr:spPr bwMode="auto">
        <a:xfrm>
          <a:off x="6960565" y="24955500"/>
          <a:ext cx="198783"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33</xdr:col>
      <xdr:colOff>0</xdr:colOff>
      <xdr:row>136</xdr:row>
      <xdr:rowOff>2</xdr:rowOff>
    </xdr:from>
    <xdr:to>
      <xdr:col>35</xdr:col>
      <xdr:colOff>0</xdr:colOff>
      <xdr:row>137</xdr:row>
      <xdr:rowOff>1</xdr:rowOff>
    </xdr:to>
    <xdr:sp macro="" textlink="">
      <xdr:nvSpPr>
        <xdr:cNvPr id="6" name="ホームベース 35">
          <a:extLst>
            <a:ext uri="{FF2B5EF4-FFF2-40B4-BE49-F238E27FC236}">
              <a16:creationId xmlns:a16="http://schemas.microsoft.com/office/drawing/2014/main" id="{0786F896-848C-C223-E437-8A7989F9B0AC}"/>
            </a:ext>
          </a:extLst>
        </xdr:cNvPr>
        <xdr:cNvSpPr/>
      </xdr:nvSpPr>
      <xdr:spPr bwMode="auto">
        <a:xfrm>
          <a:off x="6559826" y="24765002"/>
          <a:ext cx="397565" cy="190499"/>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ypresscorporation.sharepoint.com/sites/msteams_474cc0/Shared%20Documents/General/17%20&#35211;&#31309;/20230406_&#35211;&#31309;&#26360;_&#24859;&#30693;_&#21271;&#28023;&#36947;_&#23637;&#38283;/&#21271;&#28023;&#36947;&#12539;&#24859;&#30693;&#12408;&#12398;&#21453;&#26144;&#26908;&#35342;&#21315;&#33865;&#27531;&#35506;&#38988;_20230713.xlsx" TargetMode="External"/><Relationship Id="rId1" Type="http://schemas.openxmlformats.org/officeDocument/2006/relationships/externalLinkPath" Target="https://cypresscorporation.sharepoint.com/sites/msteams_474cc0/Shared%20Documents/General/17%20&#35211;&#31309;/20241108_&#35211;&#31309;_&#21271;&#28023;&#36947;_&#24859;&#30693;_&#36861;&#21152;/&#21271;&#28023;&#36947;&#12539;&#24859;&#30693;&#12408;&#12398;&#21453;&#26144;&#26908;&#35342;&#21315;&#33865;&#27531;&#35506;&#38988;_202307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障害課題一覧 (検討優先度高のもの)"/>
      <sheetName val="障害課題一覧 (それ以外)"/>
      <sheetName val="コード内訳"/>
    </sheetNames>
    <sheetDataSet>
      <sheetData sheetId="0"/>
      <sheetData sheetId="1"/>
      <sheetData sheetId="2"/>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49CB-CCD1-46F9-9F76-40E7B85EF739}">
  <dimension ref="A1:AQ174"/>
  <sheetViews>
    <sheetView tabSelected="1" view="pageBreakPreview" topLeftCell="A25" zoomScale="115" zoomScaleNormal="100" zoomScaleSheetLayoutView="115" workbookViewId="0">
      <selection activeCell="AD50" sqref="AD50"/>
    </sheetView>
  </sheetViews>
  <sheetFormatPr defaultColWidth="2.58203125" defaultRowHeight="15" customHeight="1" x14ac:dyDescent="0.55000000000000004"/>
  <cols>
    <col min="1" max="1" width="2.58203125" style="30"/>
    <col min="2" max="16384" width="2.58203125" style="27"/>
  </cols>
  <sheetData>
    <row r="1" spans="1:37" s="25" customFormat="1" ht="15" customHeight="1" x14ac:dyDescent="0.55000000000000004">
      <c r="A1" s="133" t="s">
        <v>287</v>
      </c>
      <c r="B1" s="133"/>
      <c r="C1" s="133"/>
      <c r="D1" s="133"/>
      <c r="E1" s="133"/>
      <c r="F1" s="133"/>
      <c r="G1" s="133"/>
      <c r="H1" s="133"/>
      <c r="I1" s="133"/>
      <c r="J1" s="133"/>
      <c r="K1" s="133"/>
      <c r="L1" s="133"/>
      <c r="M1" s="133"/>
      <c r="N1" s="133"/>
      <c r="O1" s="133"/>
      <c r="P1" s="133"/>
      <c r="Q1" s="133"/>
      <c r="X1" s="26" t="s">
        <v>1</v>
      </c>
      <c r="Z1" s="26"/>
      <c r="AA1" s="26"/>
      <c r="AB1" s="26"/>
      <c r="AC1" s="26"/>
      <c r="AD1" s="26"/>
      <c r="AE1" s="26"/>
      <c r="AF1" s="134" t="s">
        <v>2</v>
      </c>
      <c r="AG1" s="135"/>
      <c r="AH1" s="135"/>
      <c r="AI1" s="135"/>
      <c r="AJ1" s="135"/>
      <c r="AK1" s="27"/>
    </row>
    <row r="2" spans="1:37" s="25" customFormat="1" ht="15" customHeight="1" x14ac:dyDescent="0.55000000000000004">
      <c r="A2" s="133"/>
      <c r="B2" s="133"/>
      <c r="C2" s="133"/>
      <c r="D2" s="133"/>
      <c r="E2" s="133"/>
      <c r="F2" s="133"/>
      <c r="G2" s="133"/>
      <c r="H2" s="133"/>
      <c r="I2" s="133"/>
      <c r="J2" s="133"/>
      <c r="K2" s="133"/>
      <c r="L2" s="133"/>
      <c r="M2" s="133"/>
      <c r="N2" s="133"/>
      <c r="O2" s="133"/>
      <c r="P2" s="133"/>
      <c r="Q2" s="133"/>
      <c r="X2" s="28" t="s">
        <v>3</v>
      </c>
      <c r="Y2" s="60"/>
      <c r="Z2" s="28"/>
      <c r="AA2" s="28"/>
      <c r="AB2" s="28"/>
      <c r="AC2" s="28"/>
      <c r="AD2" s="28"/>
      <c r="AE2" s="28"/>
      <c r="AF2" s="136">
        <v>45761</v>
      </c>
      <c r="AG2" s="137"/>
      <c r="AH2" s="137"/>
      <c r="AI2" s="137"/>
      <c r="AJ2" s="137"/>
      <c r="AK2" s="27"/>
    </row>
    <row r="3" spans="1:37" s="25" customFormat="1" ht="15" customHeight="1" x14ac:dyDescent="0.55000000000000004">
      <c r="A3" s="29"/>
      <c r="Z3" s="27"/>
      <c r="AA3" s="27"/>
      <c r="AB3" s="27"/>
      <c r="AC3" s="27"/>
      <c r="AD3" s="27"/>
      <c r="AE3" s="27"/>
      <c r="AF3" s="27"/>
      <c r="AG3" s="27"/>
      <c r="AH3" s="27"/>
      <c r="AI3" s="27"/>
      <c r="AJ3" s="27"/>
      <c r="AK3" s="27"/>
    </row>
    <row r="4" spans="1:37" s="25" customFormat="1" ht="15" customHeight="1" x14ac:dyDescent="0.55000000000000004">
      <c r="A4" s="29"/>
      <c r="Z4" s="27"/>
      <c r="AA4" s="27"/>
      <c r="AB4" s="27"/>
      <c r="AC4" s="27"/>
      <c r="AD4" s="27"/>
      <c r="AE4" s="27"/>
      <c r="AF4" s="27"/>
      <c r="AG4" s="27"/>
      <c r="AH4" s="27"/>
      <c r="AI4" s="27"/>
      <c r="AJ4" s="27"/>
      <c r="AK4" s="27"/>
    </row>
    <row r="5" spans="1:37" s="25" customFormat="1" ht="15" customHeight="1" x14ac:dyDescent="0.55000000000000004">
      <c r="A5" s="138" t="s">
        <v>4</v>
      </c>
      <c r="B5" s="138"/>
      <c r="C5" s="138"/>
      <c r="D5" s="138"/>
      <c r="E5" s="138"/>
      <c r="F5" s="138"/>
      <c r="G5" s="138"/>
      <c r="H5" s="138"/>
      <c r="I5" s="138"/>
      <c r="J5" s="138"/>
      <c r="K5" s="138"/>
      <c r="L5" s="138"/>
      <c r="M5" s="138"/>
      <c r="N5" s="138"/>
      <c r="O5" s="138"/>
      <c r="P5" s="138"/>
      <c r="Q5" s="138"/>
      <c r="Z5" s="27"/>
      <c r="AA5" s="27"/>
      <c r="AB5" s="27"/>
      <c r="AC5" s="27"/>
      <c r="AD5" s="27"/>
      <c r="AE5" s="27"/>
      <c r="AF5" s="27"/>
      <c r="AG5" s="27"/>
      <c r="AH5" s="27"/>
      <c r="AI5" s="27"/>
      <c r="AJ5" s="27"/>
      <c r="AK5" s="27"/>
    </row>
    <row r="6" spans="1:37" s="25" customFormat="1" ht="15" customHeight="1" x14ac:dyDescent="0.55000000000000004">
      <c r="A6" s="139"/>
      <c r="B6" s="139"/>
      <c r="C6" s="139"/>
      <c r="D6" s="139"/>
      <c r="E6" s="139"/>
      <c r="F6" s="139"/>
      <c r="G6" s="139"/>
      <c r="H6" s="139"/>
      <c r="I6" s="139"/>
      <c r="J6" s="139"/>
      <c r="K6" s="139"/>
      <c r="L6" s="139"/>
      <c r="M6" s="139"/>
      <c r="N6" s="139"/>
      <c r="O6" s="139"/>
      <c r="P6" s="139"/>
      <c r="Q6" s="139"/>
      <c r="Z6" s="27"/>
      <c r="AA6" s="27"/>
      <c r="AB6" s="27"/>
      <c r="AC6" s="27"/>
      <c r="AD6" s="27"/>
      <c r="AE6" s="27"/>
      <c r="AF6" s="27"/>
      <c r="AG6" s="27"/>
      <c r="AH6" s="27"/>
      <c r="AI6" s="27"/>
      <c r="AJ6" s="27"/>
      <c r="AK6" s="27"/>
    </row>
    <row r="7" spans="1:37" s="25" customFormat="1" ht="15" customHeight="1" x14ac:dyDescent="0.55000000000000004">
      <c r="A7" s="29"/>
      <c r="AA7" s="27"/>
      <c r="AB7" s="27"/>
      <c r="AC7" s="27"/>
      <c r="AD7" s="27"/>
      <c r="AE7" s="27"/>
      <c r="AF7" s="27"/>
      <c r="AG7" s="27"/>
      <c r="AH7" s="27"/>
      <c r="AI7" s="27"/>
      <c r="AJ7" s="27"/>
      <c r="AK7" s="27"/>
    </row>
    <row r="8" spans="1:37" s="25" customFormat="1" ht="15" customHeight="1" x14ac:dyDescent="0.55000000000000004">
      <c r="A8" s="29"/>
      <c r="X8" s="27" t="s">
        <v>5</v>
      </c>
      <c r="AA8" s="27"/>
      <c r="AB8" s="27"/>
      <c r="AC8" s="27"/>
      <c r="AD8" s="27"/>
      <c r="AE8" s="27"/>
      <c r="AF8" s="27"/>
      <c r="AG8" s="27"/>
      <c r="AH8" s="27"/>
      <c r="AI8" s="27"/>
      <c r="AJ8" s="27"/>
      <c r="AK8" s="27"/>
    </row>
    <row r="9" spans="1:37" s="25" customFormat="1" ht="15" customHeight="1" x14ac:dyDescent="0.55000000000000004">
      <c r="A9" s="29"/>
      <c r="X9" s="27" t="s">
        <v>6</v>
      </c>
      <c r="AA9" s="27"/>
      <c r="AB9" s="27"/>
      <c r="AC9" s="27"/>
      <c r="AD9" s="27"/>
      <c r="AE9" s="27"/>
      <c r="AF9" s="27"/>
      <c r="AG9" s="27"/>
      <c r="AH9" s="27"/>
      <c r="AI9" s="27"/>
      <c r="AJ9" s="27"/>
      <c r="AK9" s="27"/>
    </row>
    <row r="10" spans="1:37" s="25" customFormat="1" ht="15" customHeight="1" x14ac:dyDescent="0.55000000000000004">
      <c r="A10" s="29"/>
      <c r="X10" s="27" t="s">
        <v>7</v>
      </c>
      <c r="AA10" s="27"/>
      <c r="AB10" s="27"/>
      <c r="AC10" s="27"/>
      <c r="AD10" s="27"/>
      <c r="AE10" s="27"/>
      <c r="AF10" s="27"/>
      <c r="AG10" s="27"/>
      <c r="AH10" s="27"/>
      <c r="AI10" s="27"/>
      <c r="AJ10" s="27"/>
      <c r="AK10" s="27"/>
    </row>
    <row r="11" spans="1:37" s="25" customFormat="1" ht="15" customHeight="1" x14ac:dyDescent="0.55000000000000004">
      <c r="A11" s="140" t="s">
        <v>8</v>
      </c>
      <c r="B11" s="140"/>
      <c r="C11" s="140"/>
      <c r="D11" s="140"/>
      <c r="E11" s="140"/>
      <c r="F11" s="142">
        <f>AE46</f>
        <v>3456000</v>
      </c>
      <c r="G11" s="142"/>
      <c r="H11" s="142"/>
      <c r="I11" s="142"/>
      <c r="J11" s="142"/>
      <c r="K11" s="142"/>
      <c r="L11" s="142"/>
      <c r="M11" s="142"/>
      <c r="N11" s="142"/>
      <c r="O11" s="142"/>
      <c r="P11" s="142"/>
      <c r="Q11" s="142"/>
      <c r="X11" s="27" t="s">
        <v>9</v>
      </c>
      <c r="AA11" s="27"/>
      <c r="AB11" s="27"/>
      <c r="AC11" s="27"/>
      <c r="AD11" s="27"/>
      <c r="AE11" s="27"/>
      <c r="AF11" s="27"/>
      <c r="AG11" s="27"/>
      <c r="AH11" s="27"/>
      <c r="AI11" s="27"/>
      <c r="AJ11" s="27"/>
      <c r="AK11" s="27"/>
    </row>
    <row r="12" spans="1:37" s="25" customFormat="1" ht="15" customHeight="1" x14ac:dyDescent="0.55000000000000004">
      <c r="A12" s="141"/>
      <c r="B12" s="141"/>
      <c r="C12" s="141"/>
      <c r="D12" s="141"/>
      <c r="E12" s="141"/>
      <c r="F12" s="143"/>
      <c r="G12" s="143"/>
      <c r="H12" s="143"/>
      <c r="I12" s="143"/>
      <c r="J12" s="143"/>
      <c r="K12" s="143"/>
      <c r="L12" s="143"/>
      <c r="M12" s="143"/>
      <c r="N12" s="143"/>
      <c r="O12" s="143"/>
      <c r="P12" s="143"/>
      <c r="Q12" s="143"/>
      <c r="X12" s="27" t="s">
        <v>10</v>
      </c>
      <c r="AA12" s="27"/>
      <c r="AB12" s="27"/>
      <c r="AC12" s="27"/>
      <c r="AD12" s="27"/>
      <c r="AE12" s="27"/>
      <c r="AF12" s="27"/>
      <c r="AG12" s="27"/>
      <c r="AH12" s="27"/>
      <c r="AI12" s="27"/>
      <c r="AJ12" s="27"/>
      <c r="AK12" s="27"/>
    </row>
    <row r="13" spans="1:37" s="25" customFormat="1" ht="15" customHeight="1" x14ac:dyDescent="0.55000000000000004">
      <c r="A13" s="29"/>
    </row>
    <row r="14" spans="1:37" s="25" customFormat="1" ht="15" customHeight="1" x14ac:dyDescent="0.55000000000000004">
      <c r="A14" s="29"/>
    </row>
    <row r="15" spans="1:37" s="25" customFormat="1" ht="15" customHeight="1" x14ac:dyDescent="0.55000000000000004">
      <c r="A15" s="29"/>
    </row>
    <row r="16" spans="1:37" ht="15" customHeight="1" x14ac:dyDescent="0.55000000000000004">
      <c r="A16" s="30" t="s">
        <v>11</v>
      </c>
    </row>
    <row r="18" spans="1:16" ht="15" customHeight="1" x14ac:dyDescent="0.55000000000000004">
      <c r="B18" s="27" t="s">
        <v>288</v>
      </c>
    </row>
    <row r="20" spans="1:16" ht="15" customHeight="1" x14ac:dyDescent="0.55000000000000004">
      <c r="A20" s="27"/>
    </row>
    <row r="21" spans="1:16" ht="15" customHeight="1" x14ac:dyDescent="0.55000000000000004">
      <c r="A21" s="30" t="s">
        <v>12</v>
      </c>
      <c r="P21" s="30"/>
    </row>
    <row r="22" spans="1:16" ht="15" customHeight="1" x14ac:dyDescent="0.55000000000000004">
      <c r="A22" s="27"/>
    </row>
    <row r="23" spans="1:16" ht="15" customHeight="1" x14ac:dyDescent="0.55000000000000004">
      <c r="A23" s="27"/>
      <c r="B23" s="27" t="s">
        <v>13</v>
      </c>
    </row>
    <row r="24" spans="1:16" ht="15" customHeight="1" x14ac:dyDescent="0.55000000000000004">
      <c r="A24" s="27"/>
    </row>
    <row r="25" spans="1:16" ht="15" customHeight="1" x14ac:dyDescent="0.55000000000000004">
      <c r="A25" s="27"/>
    </row>
    <row r="26" spans="1:16" ht="15" customHeight="1" x14ac:dyDescent="0.55000000000000004">
      <c r="A26" s="30" t="s">
        <v>14</v>
      </c>
    </row>
    <row r="27" spans="1:16" ht="15" customHeight="1" x14ac:dyDescent="0.55000000000000004">
      <c r="A27" s="27"/>
    </row>
    <row r="28" spans="1:16" ht="15" customHeight="1" x14ac:dyDescent="0.55000000000000004">
      <c r="A28" s="27"/>
      <c r="B28" s="27" t="s">
        <v>15</v>
      </c>
    </row>
    <row r="29" spans="1:16" ht="15" customHeight="1" x14ac:dyDescent="0.55000000000000004">
      <c r="A29" s="27"/>
    </row>
    <row r="30" spans="1:16" ht="15" customHeight="1" x14ac:dyDescent="0.55000000000000004">
      <c r="A30" s="27"/>
    </row>
    <row r="31" spans="1:16" ht="15" customHeight="1" x14ac:dyDescent="0.55000000000000004">
      <c r="A31" s="30" t="s">
        <v>16</v>
      </c>
    </row>
    <row r="33" spans="1:43" ht="15" customHeight="1" x14ac:dyDescent="0.55000000000000004">
      <c r="A33" s="27"/>
      <c r="B33" s="27" t="s">
        <v>289</v>
      </c>
    </row>
    <row r="34" spans="1:43" ht="15" customHeight="1" x14ac:dyDescent="0.55000000000000004">
      <c r="A34" s="27"/>
    </row>
    <row r="35" spans="1:43" ht="15" customHeight="1" x14ac:dyDescent="0.55000000000000004">
      <c r="A35" s="27"/>
    </row>
    <row r="36" spans="1:43" ht="15" customHeight="1" x14ac:dyDescent="0.55000000000000004">
      <c r="A36" s="30" t="s">
        <v>17</v>
      </c>
    </row>
    <row r="37" spans="1:43" ht="15" customHeight="1" x14ac:dyDescent="0.55000000000000004">
      <c r="A37" s="27"/>
    </row>
    <row r="38" spans="1:43" ht="15" customHeight="1" x14ac:dyDescent="0.55000000000000004">
      <c r="A38" s="27"/>
      <c r="B38" s="31" t="s">
        <v>18</v>
      </c>
      <c r="C38" s="32"/>
      <c r="D38" s="31" t="s">
        <v>19</v>
      </c>
      <c r="E38" s="33"/>
      <c r="F38" s="33"/>
      <c r="G38" s="33"/>
      <c r="H38" s="33"/>
      <c r="I38" s="33"/>
      <c r="J38" s="33"/>
      <c r="K38" s="33"/>
      <c r="L38" s="33"/>
      <c r="M38" s="33"/>
      <c r="N38" s="33"/>
      <c r="O38" s="33"/>
      <c r="P38" s="33"/>
      <c r="Q38" s="33"/>
      <c r="R38" s="33"/>
      <c r="S38" s="33"/>
      <c r="T38" s="31"/>
      <c r="U38" s="33"/>
      <c r="V38" s="33"/>
      <c r="W38" s="33"/>
      <c r="X38" s="32"/>
      <c r="Y38" s="31" t="s">
        <v>20</v>
      </c>
      <c r="Z38" s="33"/>
      <c r="AA38" s="33"/>
      <c r="AB38" s="33"/>
      <c r="AC38" s="33"/>
      <c r="AD38" s="33"/>
      <c r="AE38" s="31" t="s">
        <v>21</v>
      </c>
      <c r="AF38" s="33"/>
      <c r="AG38" s="33"/>
      <c r="AH38" s="33"/>
      <c r="AI38" s="33"/>
      <c r="AJ38" s="32"/>
      <c r="AM38" s="31" t="s">
        <v>22</v>
      </c>
      <c r="AN38" s="33"/>
      <c r="AO38" s="33"/>
      <c r="AP38" s="33"/>
      <c r="AQ38" s="32"/>
    </row>
    <row r="39" spans="1:43" ht="15" customHeight="1" x14ac:dyDescent="0.55000000000000004">
      <c r="A39" s="27"/>
      <c r="B39" s="144">
        <v>1</v>
      </c>
      <c r="C39" s="145"/>
      <c r="D39" s="34" t="s">
        <v>23</v>
      </c>
      <c r="E39" s="35"/>
      <c r="F39" s="35"/>
      <c r="G39" s="35"/>
      <c r="H39" s="35"/>
      <c r="I39" s="35"/>
      <c r="J39" s="35"/>
      <c r="K39" s="35"/>
      <c r="L39" s="35"/>
      <c r="M39" s="35"/>
      <c r="N39" s="35"/>
      <c r="O39" s="35"/>
      <c r="P39" s="35"/>
      <c r="Q39" s="35"/>
      <c r="R39" s="35"/>
      <c r="S39" s="35"/>
      <c r="T39" s="61"/>
      <c r="U39" s="61"/>
      <c r="V39" s="61"/>
      <c r="W39" s="61"/>
      <c r="X39" s="62"/>
      <c r="Y39" s="146">
        <v>0.25</v>
      </c>
      <c r="Z39" s="147"/>
      <c r="AA39" s="147"/>
      <c r="AB39" s="147"/>
      <c r="AC39" s="148" t="s">
        <v>24</v>
      </c>
      <c r="AD39" s="149"/>
      <c r="AE39" s="150">
        <f>AM39*Y39</f>
        <v>250000</v>
      </c>
      <c r="AF39" s="151"/>
      <c r="AG39" s="151"/>
      <c r="AH39" s="151"/>
      <c r="AI39" s="151"/>
      <c r="AJ39" s="152"/>
      <c r="AM39" s="150">
        <v>1000000</v>
      </c>
      <c r="AN39" s="151"/>
      <c r="AO39" s="151"/>
      <c r="AP39" s="151"/>
      <c r="AQ39" s="152"/>
    </row>
    <row r="40" spans="1:43" ht="15" customHeight="1" x14ac:dyDescent="0.55000000000000004">
      <c r="A40" s="27"/>
      <c r="B40" s="144">
        <v>2</v>
      </c>
      <c r="C40" s="145"/>
      <c r="D40" s="34" t="s">
        <v>25</v>
      </c>
      <c r="E40" s="35"/>
      <c r="F40" s="35"/>
      <c r="G40" s="35"/>
      <c r="H40" s="35"/>
      <c r="I40" s="35"/>
      <c r="J40" s="35"/>
      <c r="K40" s="35"/>
      <c r="L40" s="35"/>
      <c r="M40" s="35"/>
      <c r="N40" s="35"/>
      <c r="O40" s="35"/>
      <c r="P40" s="35"/>
      <c r="Q40" s="35"/>
      <c r="R40" s="35"/>
      <c r="S40" s="35"/>
      <c r="T40" s="61"/>
      <c r="U40" s="61"/>
      <c r="V40" s="61"/>
      <c r="W40" s="61"/>
      <c r="X40" s="62"/>
      <c r="Y40" s="146">
        <v>0.3</v>
      </c>
      <c r="Z40" s="147"/>
      <c r="AA40" s="147"/>
      <c r="AB40" s="147"/>
      <c r="AC40" s="148" t="s">
        <v>24</v>
      </c>
      <c r="AD40" s="149"/>
      <c r="AE40" s="150">
        <f t="shared" ref="AE40:AE44" si="0">AM40*Y40</f>
        <v>300000</v>
      </c>
      <c r="AF40" s="151"/>
      <c r="AG40" s="151"/>
      <c r="AH40" s="151"/>
      <c r="AI40" s="151"/>
      <c r="AJ40" s="152"/>
      <c r="AM40" s="150">
        <v>1000000</v>
      </c>
      <c r="AN40" s="151"/>
      <c r="AO40" s="151"/>
      <c r="AP40" s="151"/>
      <c r="AQ40" s="152"/>
    </row>
    <row r="41" spans="1:43" ht="15" customHeight="1" x14ac:dyDescent="0.55000000000000004">
      <c r="A41" s="27"/>
      <c r="B41" s="144">
        <v>3</v>
      </c>
      <c r="C41" s="145"/>
      <c r="D41" s="34" t="s">
        <v>26</v>
      </c>
      <c r="E41" s="35"/>
      <c r="F41" s="35"/>
      <c r="G41" s="35"/>
      <c r="H41" s="35"/>
      <c r="I41" s="35"/>
      <c r="J41" s="35"/>
      <c r="K41" s="35"/>
      <c r="L41" s="35"/>
      <c r="M41" s="35"/>
      <c r="N41" s="35"/>
      <c r="O41" s="35"/>
      <c r="P41" s="35"/>
      <c r="Q41" s="35"/>
      <c r="R41" s="35"/>
      <c r="S41" s="35"/>
      <c r="T41" s="61"/>
      <c r="U41" s="61"/>
      <c r="V41" s="61"/>
      <c r="W41" s="61"/>
      <c r="X41" s="62"/>
      <c r="Y41" s="146">
        <v>0.8</v>
      </c>
      <c r="Z41" s="147"/>
      <c r="AA41" s="147"/>
      <c r="AB41" s="147"/>
      <c r="AC41" s="148" t="s">
        <v>24</v>
      </c>
      <c r="AD41" s="149"/>
      <c r="AE41" s="150">
        <f t="shared" si="0"/>
        <v>800000</v>
      </c>
      <c r="AF41" s="151"/>
      <c r="AG41" s="151"/>
      <c r="AH41" s="151"/>
      <c r="AI41" s="151"/>
      <c r="AJ41" s="152"/>
      <c r="AM41" s="150">
        <v>1000000</v>
      </c>
      <c r="AN41" s="151"/>
      <c r="AO41" s="151"/>
      <c r="AP41" s="151"/>
      <c r="AQ41" s="152"/>
    </row>
    <row r="42" spans="1:43" ht="15" customHeight="1" x14ac:dyDescent="0.55000000000000004">
      <c r="A42" s="27"/>
      <c r="B42" s="144">
        <v>4</v>
      </c>
      <c r="C42" s="145"/>
      <c r="D42" s="34" t="s">
        <v>27</v>
      </c>
      <c r="E42" s="35"/>
      <c r="F42" s="35"/>
      <c r="G42" s="35"/>
      <c r="H42" s="35"/>
      <c r="I42" s="35"/>
      <c r="J42" s="35"/>
      <c r="K42" s="35"/>
      <c r="L42" s="35"/>
      <c r="M42" s="35"/>
      <c r="N42" s="35"/>
      <c r="O42" s="35"/>
      <c r="P42" s="35"/>
      <c r="Q42" s="35"/>
      <c r="R42" s="35"/>
      <c r="S42" s="35"/>
      <c r="T42" s="61"/>
      <c r="U42" s="61"/>
      <c r="V42" s="61"/>
      <c r="W42" s="61"/>
      <c r="X42" s="62"/>
      <c r="Y42" s="146">
        <v>1</v>
      </c>
      <c r="Z42" s="147"/>
      <c r="AA42" s="147"/>
      <c r="AB42" s="147"/>
      <c r="AC42" s="148" t="s">
        <v>24</v>
      </c>
      <c r="AD42" s="149"/>
      <c r="AE42" s="150">
        <f t="shared" si="0"/>
        <v>1000000</v>
      </c>
      <c r="AF42" s="151"/>
      <c r="AG42" s="151"/>
      <c r="AH42" s="151"/>
      <c r="AI42" s="151"/>
      <c r="AJ42" s="152"/>
      <c r="AM42" s="150">
        <v>1000000</v>
      </c>
      <c r="AN42" s="151"/>
      <c r="AO42" s="151"/>
      <c r="AP42" s="151"/>
      <c r="AQ42" s="152"/>
    </row>
    <row r="43" spans="1:43" ht="15" customHeight="1" x14ac:dyDescent="0.55000000000000004">
      <c r="A43" s="27"/>
      <c r="B43" s="144">
        <v>5</v>
      </c>
      <c r="C43" s="145"/>
      <c r="D43" s="34" t="s">
        <v>28</v>
      </c>
      <c r="E43" s="35"/>
      <c r="F43" s="35"/>
      <c r="G43" s="35"/>
      <c r="H43" s="35"/>
      <c r="I43" s="35"/>
      <c r="J43" s="35"/>
      <c r="K43" s="35"/>
      <c r="L43" s="35"/>
      <c r="M43" s="35"/>
      <c r="N43" s="35"/>
      <c r="O43" s="35"/>
      <c r="P43" s="35"/>
      <c r="Q43" s="35"/>
      <c r="R43" s="35"/>
      <c r="S43" s="35"/>
      <c r="T43" s="61"/>
      <c r="U43" s="61"/>
      <c r="V43" s="61"/>
      <c r="W43" s="61"/>
      <c r="X43" s="62"/>
      <c r="Y43" s="146">
        <v>0.1</v>
      </c>
      <c r="Z43" s="147"/>
      <c r="AA43" s="147"/>
      <c r="AB43" s="147"/>
      <c r="AC43" s="148" t="s">
        <v>24</v>
      </c>
      <c r="AD43" s="149"/>
      <c r="AE43" s="150">
        <f t="shared" si="0"/>
        <v>100000</v>
      </c>
      <c r="AF43" s="151"/>
      <c r="AG43" s="151"/>
      <c r="AH43" s="151"/>
      <c r="AI43" s="151"/>
      <c r="AJ43" s="152"/>
      <c r="AM43" s="150">
        <v>1000000</v>
      </c>
      <c r="AN43" s="151"/>
      <c r="AO43" s="151"/>
      <c r="AP43" s="151"/>
      <c r="AQ43" s="152"/>
    </row>
    <row r="44" spans="1:43" ht="15" customHeight="1" x14ac:dyDescent="0.55000000000000004">
      <c r="A44" s="27"/>
      <c r="B44" s="144">
        <v>6</v>
      </c>
      <c r="C44" s="145"/>
      <c r="D44" s="34" t="s">
        <v>29</v>
      </c>
      <c r="E44" s="35"/>
      <c r="F44" s="35"/>
      <c r="G44" s="35"/>
      <c r="H44" s="35"/>
      <c r="I44" s="35"/>
      <c r="J44" s="35"/>
      <c r="K44" s="35"/>
      <c r="L44" s="35"/>
      <c r="M44" s="35"/>
      <c r="N44" s="35"/>
      <c r="O44" s="35"/>
      <c r="P44" s="35"/>
      <c r="Q44" s="35"/>
      <c r="R44" s="35"/>
      <c r="S44" s="35"/>
      <c r="T44" s="61"/>
      <c r="U44" s="61"/>
      <c r="V44" s="61"/>
      <c r="W44" s="61"/>
      <c r="X44" s="62"/>
      <c r="Y44" s="146">
        <v>0.25</v>
      </c>
      <c r="Z44" s="147"/>
      <c r="AA44" s="147"/>
      <c r="AB44" s="147"/>
      <c r="AC44" s="148" t="s">
        <v>24</v>
      </c>
      <c r="AD44" s="149"/>
      <c r="AE44" s="150">
        <f t="shared" si="0"/>
        <v>250000</v>
      </c>
      <c r="AF44" s="151"/>
      <c r="AG44" s="151"/>
      <c r="AH44" s="151"/>
      <c r="AI44" s="151"/>
      <c r="AJ44" s="152"/>
      <c r="AM44" s="150">
        <v>1000000</v>
      </c>
      <c r="AN44" s="151"/>
      <c r="AO44" s="151"/>
      <c r="AP44" s="151"/>
      <c r="AQ44" s="152"/>
    </row>
    <row r="45" spans="1:43" ht="15" customHeight="1" x14ac:dyDescent="0.55000000000000004">
      <c r="A45" s="27"/>
      <c r="B45" s="144">
        <v>7</v>
      </c>
      <c r="C45" s="145"/>
      <c r="D45" s="34" t="s">
        <v>30</v>
      </c>
      <c r="E45" s="35"/>
      <c r="F45" s="35"/>
      <c r="G45" s="35"/>
      <c r="H45" s="35"/>
      <c r="I45" s="35"/>
      <c r="J45" s="35"/>
      <c r="K45" s="35"/>
      <c r="L45" s="35"/>
      <c r="M45" s="35"/>
      <c r="N45" s="35"/>
      <c r="O45" s="35"/>
      <c r="P45" s="35"/>
      <c r="Q45" s="35"/>
      <c r="R45" s="35"/>
      <c r="S45" s="35"/>
      <c r="T45" s="61"/>
      <c r="U45" s="61"/>
      <c r="V45" s="61"/>
      <c r="W45" s="61"/>
      <c r="X45" s="62"/>
      <c r="Y45" s="146">
        <f>ROUNDUP(SUM(Y39:AB44)*0.2,2)</f>
        <v>0.54</v>
      </c>
      <c r="Z45" s="147"/>
      <c r="AA45" s="147"/>
      <c r="AB45" s="147"/>
      <c r="AC45" s="148" t="s">
        <v>24</v>
      </c>
      <c r="AD45" s="149"/>
      <c r="AE45" s="150">
        <f>AM45*Y45</f>
        <v>756000</v>
      </c>
      <c r="AF45" s="151"/>
      <c r="AG45" s="151"/>
      <c r="AH45" s="151"/>
      <c r="AI45" s="151"/>
      <c r="AJ45" s="152"/>
      <c r="AM45" s="150">
        <v>1400000</v>
      </c>
      <c r="AN45" s="151"/>
      <c r="AO45" s="151"/>
      <c r="AP45" s="151"/>
      <c r="AQ45" s="152"/>
    </row>
    <row r="46" spans="1:43" ht="15" customHeight="1" x14ac:dyDescent="0.55000000000000004">
      <c r="A46" s="27"/>
      <c r="B46" s="144"/>
      <c r="C46" s="145"/>
      <c r="D46" s="34" t="s">
        <v>31</v>
      </c>
      <c r="E46" s="35"/>
      <c r="F46" s="35"/>
      <c r="G46" s="35"/>
      <c r="H46" s="35"/>
      <c r="I46" s="35"/>
      <c r="J46" s="35"/>
      <c r="K46" s="35"/>
      <c r="L46" s="35"/>
      <c r="M46" s="35"/>
      <c r="N46" s="35"/>
      <c r="O46" s="35"/>
      <c r="P46" s="35"/>
      <c r="Q46" s="35"/>
      <c r="R46" s="35"/>
      <c r="S46" s="35"/>
      <c r="T46" s="61"/>
      <c r="U46" s="61"/>
      <c r="V46" s="61"/>
      <c r="W46" s="61"/>
      <c r="X46" s="62"/>
      <c r="Y46" s="146">
        <f>SUM(Y39:AB45)</f>
        <v>3.24</v>
      </c>
      <c r="Z46" s="147"/>
      <c r="AA46" s="147"/>
      <c r="AB46" s="147"/>
      <c r="AC46" s="148" t="s">
        <v>24</v>
      </c>
      <c r="AD46" s="149"/>
      <c r="AE46" s="150">
        <f>SUM(AE39:AJ45)</f>
        <v>3456000</v>
      </c>
      <c r="AF46" s="151"/>
      <c r="AG46" s="151"/>
      <c r="AH46" s="151"/>
      <c r="AI46" s="151"/>
      <c r="AJ46" s="152"/>
      <c r="AM46" s="150" t="s">
        <v>32</v>
      </c>
      <c r="AN46" s="151"/>
      <c r="AO46" s="151"/>
      <c r="AP46" s="151"/>
      <c r="AQ46" s="152"/>
    </row>
    <row r="47" spans="1:43" ht="15" customHeight="1" x14ac:dyDescent="0.55000000000000004">
      <c r="A47" s="27"/>
    </row>
    <row r="48" spans="1:43" ht="15" customHeight="1" x14ac:dyDescent="0.55000000000000004">
      <c r="A48" s="27"/>
    </row>
    <row r="49" spans="1:32" ht="15" customHeight="1" x14ac:dyDescent="0.55000000000000004">
      <c r="A49" s="30" t="s">
        <v>33</v>
      </c>
      <c r="T49" s="46"/>
    </row>
    <row r="50" spans="1:32" ht="15" customHeight="1" x14ac:dyDescent="0.55000000000000004">
      <c r="A50" s="27"/>
    </row>
    <row r="51" spans="1:32" ht="15" customHeight="1" x14ac:dyDescent="0.55000000000000004">
      <c r="A51" s="27"/>
      <c r="B51" s="36" t="s">
        <v>34</v>
      </c>
      <c r="C51" s="63" t="s">
        <v>35</v>
      </c>
      <c r="D51" s="63"/>
      <c r="E51" s="63"/>
      <c r="F51" s="63"/>
      <c r="G51" s="63"/>
      <c r="H51" s="63"/>
      <c r="I51" s="63"/>
      <c r="J51" s="63"/>
      <c r="K51" s="63"/>
      <c r="L51" s="63"/>
      <c r="M51" s="63"/>
      <c r="N51" s="63"/>
      <c r="O51" s="63"/>
      <c r="P51" s="63"/>
      <c r="Q51" s="63"/>
      <c r="R51" s="63"/>
      <c r="S51" s="63"/>
      <c r="T51" s="64" t="s">
        <v>34</v>
      </c>
      <c r="U51" s="63" t="s">
        <v>36</v>
      </c>
    </row>
    <row r="52" spans="1:32" ht="15" customHeight="1" x14ac:dyDescent="0.55000000000000004">
      <c r="A52" s="27"/>
      <c r="B52" s="36" t="s">
        <v>34</v>
      </c>
      <c r="C52" s="63" t="s">
        <v>37</v>
      </c>
      <c r="D52" s="63"/>
      <c r="E52" s="63"/>
      <c r="F52" s="63"/>
      <c r="G52" s="63"/>
      <c r="H52" s="63"/>
      <c r="I52" s="63"/>
      <c r="J52" s="63"/>
      <c r="K52" s="63"/>
      <c r="L52" s="63"/>
      <c r="M52" s="63"/>
      <c r="N52" s="63"/>
      <c r="O52" s="63"/>
      <c r="P52" s="63"/>
      <c r="Q52" s="63"/>
      <c r="R52" s="63"/>
      <c r="S52" s="63"/>
      <c r="T52" s="64" t="s">
        <v>34</v>
      </c>
      <c r="U52" s="63" t="s">
        <v>38</v>
      </c>
    </row>
    <row r="53" spans="1:32" ht="15" customHeight="1" x14ac:dyDescent="0.55000000000000004">
      <c r="A53" s="27"/>
      <c r="B53" s="36" t="s">
        <v>34</v>
      </c>
      <c r="C53" s="63" t="s">
        <v>251</v>
      </c>
      <c r="D53" s="63"/>
      <c r="E53" s="63"/>
      <c r="F53" s="63"/>
      <c r="G53" s="63"/>
      <c r="H53" s="63"/>
      <c r="I53" s="63"/>
      <c r="J53" s="63"/>
      <c r="K53" s="63"/>
      <c r="L53" s="63"/>
      <c r="M53" s="63"/>
      <c r="N53" s="63"/>
      <c r="O53" s="63"/>
      <c r="P53" s="63"/>
      <c r="Q53" s="63"/>
      <c r="R53" s="63"/>
      <c r="S53" s="63"/>
      <c r="T53" s="64"/>
      <c r="U53" s="63"/>
    </row>
    <row r="54" spans="1:32" ht="15" customHeight="1" x14ac:dyDescent="0.55000000000000004">
      <c r="A54" s="27"/>
      <c r="B54" s="37"/>
    </row>
    <row r="55" spans="1:32" ht="15" customHeight="1" x14ac:dyDescent="0.55000000000000004">
      <c r="A55" s="30" t="s">
        <v>39</v>
      </c>
    </row>
    <row r="56" spans="1:32" ht="15" customHeight="1" x14ac:dyDescent="0.55000000000000004">
      <c r="A56" s="27"/>
    </row>
    <row r="57" spans="1:32" ht="15" customHeight="1" x14ac:dyDescent="0.55000000000000004">
      <c r="A57" s="27"/>
      <c r="B57" s="38" t="s">
        <v>18</v>
      </c>
      <c r="C57" s="39"/>
      <c r="D57" s="38" t="s">
        <v>40</v>
      </c>
      <c r="E57" s="40"/>
      <c r="F57" s="40"/>
      <c r="G57" s="40"/>
      <c r="H57" s="40"/>
      <c r="I57" s="115" t="s">
        <v>39</v>
      </c>
      <c r="J57" s="113"/>
      <c r="K57" s="113"/>
      <c r="L57" s="113"/>
      <c r="M57" s="113"/>
      <c r="N57" s="113"/>
      <c r="O57" s="113"/>
      <c r="P57" s="113"/>
      <c r="Q57" s="113"/>
      <c r="R57" s="113"/>
      <c r="S57" s="113"/>
      <c r="T57" s="114"/>
      <c r="U57" s="115" t="s">
        <v>41</v>
      </c>
      <c r="V57" s="113"/>
      <c r="W57" s="113"/>
      <c r="X57" s="113"/>
      <c r="Y57" s="113"/>
      <c r="Z57" s="113"/>
      <c r="AA57" s="113"/>
      <c r="AB57" s="113"/>
      <c r="AC57" s="113"/>
      <c r="AD57" s="113"/>
      <c r="AE57" s="113"/>
      <c r="AF57" s="114"/>
    </row>
    <row r="58" spans="1:32" ht="15" customHeight="1" x14ac:dyDescent="0.55000000000000004">
      <c r="A58" s="27"/>
      <c r="B58" s="41">
        <v>1</v>
      </c>
      <c r="C58" s="42"/>
      <c r="D58" s="153" t="s">
        <v>42</v>
      </c>
      <c r="E58" s="154"/>
      <c r="F58" s="154"/>
      <c r="G58" s="154"/>
      <c r="H58" s="154"/>
      <c r="I58" s="47" t="s">
        <v>43</v>
      </c>
      <c r="J58" s="48" t="s">
        <v>44</v>
      </c>
      <c r="K58" s="48"/>
      <c r="L58" s="48"/>
      <c r="M58" s="48"/>
      <c r="N58" s="48"/>
      <c r="O58" s="48"/>
      <c r="P58" s="48"/>
      <c r="Q58" s="48"/>
      <c r="R58" s="48"/>
      <c r="S58" s="48"/>
      <c r="T58" s="49"/>
      <c r="U58" s="48" t="s">
        <v>43</v>
      </c>
      <c r="V58" s="48" t="s">
        <v>45</v>
      </c>
      <c r="W58" s="48"/>
      <c r="X58" s="48"/>
      <c r="Y58" s="48"/>
      <c r="Z58" s="48"/>
      <c r="AA58" s="48"/>
      <c r="AB58" s="48"/>
      <c r="AC58" s="48"/>
      <c r="AD58" s="48"/>
      <c r="AE58" s="48"/>
      <c r="AF58" s="49"/>
    </row>
    <row r="59" spans="1:32" ht="15" customHeight="1" x14ac:dyDescent="0.55000000000000004">
      <c r="A59" s="27"/>
      <c r="B59" s="110"/>
      <c r="C59" s="111"/>
      <c r="D59" s="112"/>
      <c r="E59" s="46"/>
      <c r="F59" s="46"/>
      <c r="G59" s="46"/>
      <c r="H59" s="46"/>
      <c r="I59" s="43" t="s">
        <v>43</v>
      </c>
      <c r="J59" s="155" t="s">
        <v>239</v>
      </c>
      <c r="K59" s="155"/>
      <c r="L59" s="155"/>
      <c r="M59" s="155"/>
      <c r="N59" s="155"/>
      <c r="O59" s="155"/>
      <c r="P59" s="155"/>
      <c r="Q59" s="155"/>
      <c r="R59" s="155"/>
      <c r="S59" s="155"/>
      <c r="T59" s="156"/>
      <c r="U59" s="27" t="s">
        <v>43</v>
      </c>
      <c r="V59" s="27" t="s">
        <v>46</v>
      </c>
      <c r="AF59" s="44"/>
    </row>
    <row r="60" spans="1:32" ht="15" customHeight="1" x14ac:dyDescent="0.55000000000000004">
      <c r="A60" s="27"/>
      <c r="B60" s="50"/>
      <c r="C60" s="51"/>
      <c r="D60" s="52"/>
      <c r="E60" s="53"/>
      <c r="F60" s="53"/>
      <c r="G60" s="53"/>
      <c r="H60" s="53"/>
      <c r="I60" s="54" t="s">
        <v>43</v>
      </c>
      <c r="J60" s="157" t="s">
        <v>240</v>
      </c>
      <c r="K60" s="157"/>
      <c r="L60" s="157"/>
      <c r="M60" s="157"/>
      <c r="N60" s="157"/>
      <c r="O60" s="157"/>
      <c r="P60" s="157"/>
      <c r="Q60" s="157"/>
      <c r="R60" s="157"/>
      <c r="S60" s="157"/>
      <c r="T60" s="158"/>
      <c r="U60" s="55"/>
      <c r="V60" s="55"/>
      <c r="W60" s="55"/>
      <c r="X60" s="55"/>
      <c r="Y60" s="55"/>
      <c r="Z60" s="55"/>
      <c r="AA60" s="55"/>
      <c r="AB60" s="55"/>
      <c r="AC60" s="55"/>
      <c r="AD60" s="55"/>
      <c r="AE60" s="55"/>
      <c r="AF60" s="56"/>
    </row>
    <row r="61" spans="1:32" ht="15" customHeight="1" x14ac:dyDescent="0.55000000000000004">
      <c r="A61" s="27"/>
      <c r="B61" s="41">
        <v>2</v>
      </c>
      <c r="C61" s="42"/>
      <c r="D61" s="153" t="s">
        <v>47</v>
      </c>
      <c r="E61" s="154"/>
      <c r="F61" s="154"/>
      <c r="G61" s="154"/>
      <c r="H61" s="154"/>
      <c r="I61" s="43" t="s">
        <v>48</v>
      </c>
      <c r="T61" s="44"/>
      <c r="U61" s="47" t="s">
        <v>34</v>
      </c>
      <c r="V61" s="27" t="s">
        <v>49</v>
      </c>
      <c r="AF61" s="44"/>
    </row>
    <row r="62" spans="1:32" ht="15" customHeight="1" x14ac:dyDescent="0.55000000000000004">
      <c r="A62" s="27"/>
      <c r="B62" s="50"/>
      <c r="C62" s="51"/>
      <c r="D62" s="52"/>
      <c r="E62" s="53"/>
      <c r="F62" s="53"/>
      <c r="G62" s="53"/>
      <c r="H62" s="53"/>
      <c r="I62" s="54"/>
      <c r="T62" s="44"/>
      <c r="U62" s="54"/>
      <c r="AF62" s="44"/>
    </row>
    <row r="63" spans="1:32" ht="15" customHeight="1" x14ac:dyDescent="0.55000000000000004">
      <c r="A63" s="27"/>
      <c r="B63" s="41">
        <v>3</v>
      </c>
      <c r="C63" s="42"/>
      <c r="D63" s="153" t="s">
        <v>50</v>
      </c>
      <c r="E63" s="154"/>
      <c r="F63" s="154"/>
      <c r="G63" s="154"/>
      <c r="H63" s="154"/>
      <c r="I63" s="43" t="s">
        <v>43</v>
      </c>
      <c r="J63" s="48" t="s">
        <v>51</v>
      </c>
      <c r="K63" s="48"/>
      <c r="L63" s="48"/>
      <c r="M63" s="48"/>
      <c r="N63" s="48"/>
      <c r="O63" s="48"/>
      <c r="P63" s="48"/>
      <c r="Q63" s="48"/>
      <c r="R63" s="48"/>
      <c r="S63" s="48"/>
      <c r="T63" s="49"/>
      <c r="U63" s="43" t="s">
        <v>52</v>
      </c>
      <c r="V63" s="48" t="s">
        <v>53</v>
      </c>
      <c r="W63" s="48"/>
      <c r="X63" s="48"/>
      <c r="Y63" s="48"/>
      <c r="Z63" s="48"/>
      <c r="AA63" s="48"/>
      <c r="AB63" s="48"/>
      <c r="AC63" s="48"/>
      <c r="AD63" s="48"/>
      <c r="AE63" s="48"/>
      <c r="AF63" s="49"/>
    </row>
    <row r="64" spans="1:32" ht="15" customHeight="1" x14ac:dyDescent="0.55000000000000004">
      <c r="A64" s="27"/>
      <c r="B64" s="50"/>
      <c r="C64" s="51"/>
      <c r="D64" s="112"/>
      <c r="E64" s="53"/>
      <c r="F64" s="53"/>
      <c r="G64" s="53"/>
      <c r="H64" s="53"/>
      <c r="I64" s="43"/>
      <c r="J64" s="55"/>
      <c r="K64" s="55"/>
      <c r="L64" s="55"/>
      <c r="M64" s="55"/>
      <c r="N64" s="55"/>
      <c r="O64" s="55"/>
      <c r="P64" s="55"/>
      <c r="Q64" s="55"/>
      <c r="R64" s="55"/>
      <c r="S64" s="55"/>
      <c r="T64" s="56"/>
      <c r="U64" s="43"/>
      <c r="V64" s="55"/>
      <c r="W64" s="55"/>
      <c r="X64" s="55"/>
      <c r="Y64" s="55"/>
      <c r="Z64" s="55"/>
      <c r="AA64" s="55"/>
      <c r="AB64" s="55"/>
      <c r="AC64" s="55"/>
      <c r="AD64" s="55"/>
      <c r="AE64" s="55"/>
      <c r="AF64" s="56"/>
    </row>
    <row r="65" spans="1:35" ht="15" customHeight="1" x14ac:dyDescent="0.55000000000000004">
      <c r="A65" s="27"/>
      <c r="B65" s="41">
        <v>4</v>
      </c>
      <c r="C65" s="42"/>
      <c r="D65" s="153" t="s">
        <v>54</v>
      </c>
      <c r="E65" s="154"/>
      <c r="F65" s="154"/>
      <c r="G65" s="154"/>
      <c r="H65" s="154"/>
      <c r="I65" s="47" t="s">
        <v>43</v>
      </c>
      <c r="J65" s="48" t="s">
        <v>55</v>
      </c>
      <c r="K65" s="48"/>
      <c r="L65" s="48"/>
      <c r="M65" s="48"/>
      <c r="N65" s="48"/>
      <c r="O65" s="48"/>
      <c r="P65" s="48"/>
      <c r="Q65" s="48"/>
      <c r="R65" s="48"/>
      <c r="S65" s="48"/>
      <c r="T65" s="49"/>
      <c r="U65" s="47" t="s">
        <v>52</v>
      </c>
      <c r="V65" s="48" t="s">
        <v>56</v>
      </c>
      <c r="W65" s="48"/>
      <c r="X65" s="48"/>
      <c r="Y65" s="48"/>
      <c r="Z65" s="48"/>
      <c r="AA65" s="48"/>
      <c r="AB65" s="48"/>
      <c r="AC65" s="48"/>
      <c r="AD65" s="48"/>
      <c r="AE65" s="48"/>
      <c r="AF65" s="49"/>
    </row>
    <row r="66" spans="1:35" ht="15" customHeight="1" x14ac:dyDescent="0.55000000000000004">
      <c r="A66" s="27"/>
      <c r="B66" s="50"/>
      <c r="C66" s="51"/>
      <c r="D66" s="112"/>
      <c r="E66" s="53"/>
      <c r="F66" s="53"/>
      <c r="G66" s="53"/>
      <c r="H66" s="53"/>
      <c r="I66" s="54"/>
      <c r="J66" s="55"/>
      <c r="K66" s="55"/>
      <c r="L66" s="55"/>
      <c r="M66" s="55"/>
      <c r="N66" s="55"/>
      <c r="O66" s="55"/>
      <c r="P66" s="55"/>
      <c r="Q66" s="55"/>
      <c r="R66" s="55"/>
      <c r="S66" s="55"/>
      <c r="T66" s="56"/>
      <c r="U66" s="54"/>
      <c r="V66" s="55"/>
      <c r="W66" s="55"/>
      <c r="X66" s="55"/>
      <c r="Y66" s="55"/>
      <c r="Z66" s="55"/>
      <c r="AA66" s="55"/>
      <c r="AB66" s="55"/>
      <c r="AC66" s="55"/>
      <c r="AD66" s="55"/>
      <c r="AE66" s="55"/>
      <c r="AF66" s="56"/>
    </row>
    <row r="67" spans="1:35" ht="15" customHeight="1" x14ac:dyDescent="0.55000000000000004">
      <c r="A67" s="27"/>
      <c r="B67" s="41">
        <v>5</v>
      </c>
      <c r="C67" s="42"/>
      <c r="D67" s="153" t="s">
        <v>57</v>
      </c>
      <c r="E67" s="154"/>
      <c r="F67" s="154"/>
      <c r="G67" s="154"/>
      <c r="H67" s="154"/>
      <c r="I67" s="47" t="s">
        <v>43</v>
      </c>
      <c r="J67" s="48" t="s">
        <v>58</v>
      </c>
      <c r="K67" s="48"/>
      <c r="L67" s="48"/>
      <c r="M67" s="48"/>
      <c r="N67" s="48"/>
      <c r="O67" s="48"/>
      <c r="P67" s="48"/>
      <c r="Q67" s="48"/>
      <c r="R67" s="48"/>
      <c r="S67" s="48"/>
      <c r="T67" s="49"/>
      <c r="U67" s="47"/>
      <c r="V67" s="48"/>
      <c r="W67" s="48"/>
      <c r="X67" s="48"/>
      <c r="Y67" s="48"/>
      <c r="Z67" s="48"/>
      <c r="AA67" s="48"/>
      <c r="AB67" s="48"/>
      <c r="AC67" s="48"/>
      <c r="AD67" s="48"/>
      <c r="AE67" s="48"/>
      <c r="AF67" s="49"/>
    </row>
    <row r="68" spans="1:35" ht="15" customHeight="1" x14ac:dyDescent="0.55000000000000004">
      <c r="A68" s="27"/>
      <c r="B68" s="50"/>
      <c r="C68" s="51"/>
      <c r="D68" s="112"/>
      <c r="E68" s="53"/>
      <c r="F68" s="53"/>
      <c r="G68" s="53"/>
      <c r="H68" s="53"/>
      <c r="I68" s="54"/>
      <c r="J68" s="55"/>
      <c r="K68" s="55"/>
      <c r="L68" s="55"/>
      <c r="M68" s="55"/>
      <c r="N68" s="55"/>
      <c r="O68" s="55"/>
      <c r="P68" s="55"/>
      <c r="Q68" s="55"/>
      <c r="R68" s="55"/>
      <c r="S68" s="55"/>
      <c r="T68" s="56"/>
      <c r="U68" s="54"/>
      <c r="V68" s="55"/>
      <c r="W68" s="55"/>
      <c r="X68" s="55"/>
      <c r="Y68" s="55"/>
      <c r="Z68" s="55"/>
      <c r="AA68" s="55"/>
      <c r="AB68" s="55"/>
      <c r="AC68" s="55"/>
      <c r="AD68" s="55"/>
      <c r="AE68" s="55"/>
      <c r="AF68" s="56"/>
    </row>
    <row r="69" spans="1:35" ht="15" customHeight="1" x14ac:dyDescent="0.55000000000000004">
      <c r="A69" s="27"/>
      <c r="B69" s="41">
        <v>6</v>
      </c>
      <c r="C69" s="42"/>
      <c r="D69" s="153" t="s">
        <v>28</v>
      </c>
      <c r="E69" s="154"/>
      <c r="F69" s="154"/>
      <c r="G69" s="154"/>
      <c r="H69" s="154"/>
      <c r="I69" s="47" t="s">
        <v>43</v>
      </c>
      <c r="J69" s="48" t="s">
        <v>59</v>
      </c>
      <c r="K69" s="48"/>
      <c r="L69" s="48"/>
      <c r="M69" s="48"/>
      <c r="N69" s="48"/>
      <c r="O69" s="48"/>
      <c r="P69" s="48"/>
      <c r="Q69" s="48"/>
      <c r="R69" s="48"/>
      <c r="S69" s="48"/>
      <c r="T69" s="49"/>
      <c r="U69" s="47" t="s">
        <v>52</v>
      </c>
      <c r="V69" s="48" t="s">
        <v>60</v>
      </c>
      <c r="W69" s="48"/>
      <c r="X69" s="48"/>
      <c r="Y69" s="48"/>
      <c r="Z69" s="48"/>
      <c r="AA69" s="48"/>
      <c r="AB69" s="48"/>
      <c r="AC69" s="48"/>
      <c r="AD69" s="48"/>
      <c r="AE69" s="48"/>
      <c r="AF69" s="49"/>
    </row>
    <row r="70" spans="1:35" ht="15" customHeight="1" x14ac:dyDescent="0.55000000000000004">
      <c r="A70" s="27"/>
      <c r="B70" s="50"/>
      <c r="C70" s="51"/>
      <c r="D70" s="112"/>
      <c r="E70" s="53"/>
      <c r="F70" s="53"/>
      <c r="G70" s="53"/>
      <c r="H70" s="53"/>
      <c r="I70" s="54" t="s">
        <v>43</v>
      </c>
      <c r="J70" s="55" t="s">
        <v>61</v>
      </c>
      <c r="K70" s="55"/>
      <c r="L70" s="55"/>
      <c r="M70" s="55"/>
      <c r="N70" s="55"/>
      <c r="O70" s="55"/>
      <c r="P70" s="55"/>
      <c r="Q70" s="55"/>
      <c r="R70" s="55"/>
      <c r="S70" s="55"/>
      <c r="T70" s="56"/>
      <c r="U70" s="54"/>
      <c r="V70" s="55"/>
      <c r="W70" s="55"/>
      <c r="X70" s="55"/>
      <c r="Y70" s="55"/>
      <c r="Z70" s="55"/>
      <c r="AA70" s="55"/>
      <c r="AB70" s="55"/>
      <c r="AC70" s="55"/>
      <c r="AD70" s="55"/>
      <c r="AE70" s="55"/>
      <c r="AF70" s="56"/>
    </row>
    <row r="71" spans="1:35" ht="15" customHeight="1" x14ac:dyDescent="0.55000000000000004">
      <c r="A71" s="27"/>
      <c r="B71" s="41">
        <v>7</v>
      </c>
      <c r="C71" s="42"/>
      <c r="D71" s="153" t="s">
        <v>30</v>
      </c>
      <c r="E71" s="154"/>
      <c r="F71" s="154"/>
      <c r="G71" s="154"/>
      <c r="H71" s="154"/>
      <c r="I71" s="43" t="s">
        <v>34</v>
      </c>
      <c r="J71" s="27" t="s">
        <v>62</v>
      </c>
      <c r="T71" s="44"/>
      <c r="U71" s="43" t="s">
        <v>34</v>
      </c>
      <c r="V71" s="27" t="s">
        <v>63</v>
      </c>
      <c r="AF71" s="44"/>
    </row>
    <row r="72" spans="1:35" ht="15" customHeight="1" x14ac:dyDescent="0.55000000000000004">
      <c r="A72" s="27"/>
      <c r="B72" s="110"/>
      <c r="C72" s="111"/>
      <c r="D72" s="45"/>
      <c r="E72" s="46"/>
      <c r="F72" s="46"/>
      <c r="G72" s="46"/>
      <c r="H72" s="46"/>
      <c r="I72" s="43" t="s">
        <v>34</v>
      </c>
      <c r="J72" s="27" t="s">
        <v>64</v>
      </c>
      <c r="T72" s="44"/>
      <c r="U72" s="43" t="s">
        <v>34</v>
      </c>
      <c r="V72" s="27" t="s">
        <v>65</v>
      </c>
      <c r="AF72" s="44"/>
    </row>
    <row r="73" spans="1:35" ht="15" customHeight="1" x14ac:dyDescent="0.55000000000000004">
      <c r="A73" s="27"/>
      <c r="B73" s="50"/>
      <c r="C73" s="51"/>
      <c r="D73" s="52"/>
      <c r="E73" s="53"/>
      <c r="F73" s="53"/>
      <c r="G73" s="53"/>
      <c r="H73" s="53"/>
      <c r="I73" s="54" t="s">
        <v>43</v>
      </c>
      <c r="J73" s="55" t="s">
        <v>66</v>
      </c>
      <c r="K73" s="55"/>
      <c r="L73" s="55"/>
      <c r="M73" s="55"/>
      <c r="N73" s="55"/>
      <c r="O73" s="55"/>
      <c r="P73" s="55"/>
      <c r="Q73" s="55"/>
      <c r="R73" s="55"/>
      <c r="S73" s="55"/>
      <c r="T73" s="56"/>
      <c r="U73" s="54"/>
      <c r="V73" s="55"/>
      <c r="W73" s="55"/>
      <c r="X73" s="55"/>
      <c r="Y73" s="55"/>
      <c r="Z73" s="55"/>
      <c r="AA73" s="55"/>
      <c r="AB73" s="55"/>
      <c r="AC73" s="55"/>
      <c r="AD73" s="55"/>
      <c r="AE73" s="55"/>
      <c r="AF73" s="56"/>
    </row>
    <row r="74" spans="1:35" ht="15" customHeight="1" x14ac:dyDescent="0.55000000000000004">
      <c r="A74" s="27"/>
    </row>
    <row r="75" spans="1:35" ht="15" customHeight="1" x14ac:dyDescent="0.55000000000000004">
      <c r="A75" s="27"/>
    </row>
    <row r="76" spans="1:35" ht="15" customHeight="1" x14ac:dyDescent="0.55000000000000004">
      <c r="A76" s="30" t="s">
        <v>67</v>
      </c>
    </row>
    <row r="77" spans="1:35" ht="15" customHeight="1" x14ac:dyDescent="0.55000000000000004">
      <c r="A77" s="27"/>
    </row>
    <row r="78" spans="1:35" ht="15" customHeight="1" x14ac:dyDescent="0.55000000000000004">
      <c r="A78" s="27"/>
      <c r="B78" s="117" t="s">
        <v>68</v>
      </c>
      <c r="C78" s="35"/>
      <c r="D78" s="35"/>
      <c r="E78" s="35"/>
      <c r="F78" s="35"/>
      <c r="G78" s="35"/>
      <c r="H78" s="118"/>
      <c r="I78" s="120" t="s">
        <v>290</v>
      </c>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118"/>
    </row>
    <row r="79" spans="1:35" ht="15" customHeight="1" x14ac:dyDescent="0.55000000000000004">
      <c r="A79" s="27"/>
      <c r="B79" s="43" t="s">
        <v>69</v>
      </c>
      <c r="AI79" s="44"/>
    </row>
    <row r="80" spans="1:35" ht="15" customHeight="1" x14ac:dyDescent="0.55000000000000004">
      <c r="A80" s="27"/>
      <c r="B80" s="43" t="s">
        <v>70</v>
      </c>
      <c r="AI80" s="44"/>
    </row>
    <row r="81" spans="1:35" ht="15" customHeight="1" x14ac:dyDescent="0.55000000000000004">
      <c r="A81" s="27"/>
      <c r="B81" s="43" t="s">
        <v>71</v>
      </c>
      <c r="AI81" s="44"/>
    </row>
    <row r="82" spans="1:35" ht="15" customHeight="1" x14ac:dyDescent="0.55000000000000004">
      <c r="A82" s="27"/>
      <c r="B82" s="43" t="s">
        <v>72</v>
      </c>
      <c r="AI82" s="44"/>
    </row>
    <row r="83" spans="1:35" ht="15" customHeight="1" x14ac:dyDescent="0.55000000000000004">
      <c r="A83" s="27"/>
      <c r="B83" s="43" t="s">
        <v>73</v>
      </c>
      <c r="AI83" s="44"/>
    </row>
    <row r="84" spans="1:35" ht="15" customHeight="1" x14ac:dyDescent="0.55000000000000004">
      <c r="A84" s="27"/>
      <c r="B84" s="43" t="s">
        <v>74</v>
      </c>
      <c r="AI84" s="44"/>
    </row>
    <row r="85" spans="1:35" ht="15" customHeight="1" x14ac:dyDescent="0.55000000000000004">
      <c r="A85" s="27"/>
      <c r="B85" s="43" t="s">
        <v>75</v>
      </c>
      <c r="AI85" s="44"/>
    </row>
    <row r="86" spans="1:35" ht="15" customHeight="1" x14ac:dyDescent="0.55000000000000004">
      <c r="A86" s="27"/>
      <c r="B86" s="43" t="s">
        <v>76</v>
      </c>
      <c r="AI86" s="44"/>
    </row>
    <row r="87" spans="1:35" ht="15" customHeight="1" x14ac:dyDescent="0.55000000000000004">
      <c r="A87" s="27"/>
      <c r="B87" s="43" t="s">
        <v>77</v>
      </c>
      <c r="AI87" s="44"/>
    </row>
    <row r="88" spans="1:35" ht="15" customHeight="1" x14ac:dyDescent="0.55000000000000004">
      <c r="A88" s="27"/>
      <c r="B88" s="43" t="s">
        <v>262</v>
      </c>
      <c r="AI88" s="44"/>
    </row>
    <row r="89" spans="1:35" ht="15" customHeight="1" x14ac:dyDescent="0.55000000000000004">
      <c r="A89" s="27"/>
      <c r="B89" s="119" t="s">
        <v>78</v>
      </c>
      <c r="C89" s="120"/>
      <c r="D89" s="120"/>
      <c r="E89" s="120"/>
      <c r="F89" s="120"/>
      <c r="G89" s="120"/>
      <c r="H89" s="121"/>
      <c r="I89" s="120" t="s">
        <v>286</v>
      </c>
      <c r="J89" s="120"/>
      <c r="K89" s="120"/>
      <c r="L89" s="120"/>
      <c r="M89" s="120"/>
      <c r="N89" s="120"/>
      <c r="O89" s="120"/>
      <c r="P89" s="120"/>
      <c r="Q89" s="120"/>
      <c r="R89" s="120"/>
      <c r="S89" s="120"/>
      <c r="T89" s="120"/>
      <c r="U89" s="120"/>
      <c r="V89" s="120"/>
      <c r="W89" s="120"/>
      <c r="X89" s="120"/>
      <c r="Y89" s="120"/>
      <c r="Z89" s="120"/>
      <c r="AA89" s="120"/>
      <c r="AB89" s="120"/>
      <c r="AC89" s="120"/>
      <c r="AD89" s="120"/>
      <c r="AE89" s="120"/>
      <c r="AF89" s="120"/>
      <c r="AG89" s="120"/>
      <c r="AH89" s="120"/>
      <c r="AI89" s="121"/>
    </row>
    <row r="90" spans="1:35" ht="15" customHeight="1" x14ac:dyDescent="0.55000000000000004">
      <c r="A90" s="27"/>
      <c r="B90" s="43" t="s">
        <v>79</v>
      </c>
      <c r="AI90" s="44"/>
    </row>
    <row r="91" spans="1:35" ht="15" customHeight="1" x14ac:dyDescent="0.55000000000000004">
      <c r="A91" s="27"/>
      <c r="B91" s="43" t="s">
        <v>80</v>
      </c>
      <c r="AI91" s="44"/>
    </row>
    <row r="92" spans="1:35" ht="15" customHeight="1" x14ac:dyDescent="0.55000000000000004">
      <c r="A92" s="27"/>
      <c r="B92" s="43" t="s">
        <v>81</v>
      </c>
      <c r="AI92" s="44"/>
    </row>
    <row r="93" spans="1:35" ht="15" customHeight="1" x14ac:dyDescent="0.55000000000000004">
      <c r="A93" s="27"/>
      <c r="B93" s="43" t="s">
        <v>82</v>
      </c>
      <c r="AI93" s="44"/>
    </row>
    <row r="94" spans="1:35" ht="15" customHeight="1" x14ac:dyDescent="0.55000000000000004">
      <c r="A94" s="27"/>
      <c r="B94" s="43" t="s">
        <v>83</v>
      </c>
      <c r="AI94" s="44"/>
    </row>
    <row r="95" spans="1:35" ht="15" customHeight="1" x14ac:dyDescent="0.55000000000000004">
      <c r="A95" s="27"/>
      <c r="B95" s="43" t="s">
        <v>256</v>
      </c>
      <c r="AI95" s="44"/>
    </row>
    <row r="96" spans="1:35" ht="15" customHeight="1" x14ac:dyDescent="0.55000000000000004">
      <c r="A96" s="27"/>
      <c r="B96" s="43" t="s">
        <v>257</v>
      </c>
      <c r="AI96" s="44"/>
    </row>
    <row r="97" spans="1:35" ht="15" customHeight="1" x14ac:dyDescent="0.55000000000000004">
      <c r="A97" s="27"/>
      <c r="B97" s="43" t="s">
        <v>258</v>
      </c>
      <c r="AI97" s="44"/>
    </row>
    <row r="98" spans="1:35" ht="15" customHeight="1" x14ac:dyDescent="0.55000000000000004">
      <c r="A98" s="27"/>
      <c r="B98" s="43" t="s">
        <v>84</v>
      </c>
      <c r="AI98" s="44"/>
    </row>
    <row r="99" spans="1:35" ht="15" customHeight="1" x14ac:dyDescent="0.55000000000000004">
      <c r="A99" s="27"/>
      <c r="B99" s="43" t="s">
        <v>85</v>
      </c>
      <c r="AI99" s="44"/>
    </row>
    <row r="100" spans="1:35" ht="15" customHeight="1" x14ac:dyDescent="0.55000000000000004">
      <c r="A100" s="27"/>
      <c r="B100" s="43" t="s">
        <v>86</v>
      </c>
      <c r="AI100" s="44"/>
    </row>
    <row r="101" spans="1:35" ht="15" customHeight="1" x14ac:dyDescent="0.55000000000000004">
      <c r="A101" s="27"/>
      <c r="B101" s="119" t="s">
        <v>87</v>
      </c>
      <c r="C101" s="120"/>
      <c r="D101" s="120"/>
      <c r="E101" s="120"/>
      <c r="F101" s="120"/>
      <c r="G101" s="120"/>
      <c r="H101" s="121"/>
      <c r="I101" s="120" t="s">
        <v>285</v>
      </c>
      <c r="J101" s="120"/>
      <c r="K101" s="120"/>
      <c r="L101" s="120"/>
      <c r="M101" s="120"/>
      <c r="N101" s="120"/>
      <c r="O101" s="120"/>
      <c r="P101" s="120"/>
      <c r="Q101" s="120"/>
      <c r="R101" s="120"/>
      <c r="S101" s="120"/>
      <c r="T101" s="120"/>
      <c r="U101" s="120"/>
      <c r="V101" s="120"/>
      <c r="W101" s="120"/>
      <c r="X101" s="120"/>
      <c r="Y101" s="120"/>
      <c r="Z101" s="120"/>
      <c r="AA101" s="120"/>
      <c r="AB101" s="120"/>
      <c r="AC101" s="120"/>
      <c r="AD101" s="120"/>
      <c r="AE101" s="120"/>
      <c r="AF101" s="120"/>
      <c r="AG101" s="120"/>
      <c r="AH101" s="120"/>
      <c r="AI101" s="121"/>
    </row>
    <row r="102" spans="1:35" ht="15" customHeight="1" x14ac:dyDescent="0.55000000000000004">
      <c r="A102" s="27"/>
      <c r="B102" s="43" t="s">
        <v>88</v>
      </c>
      <c r="AI102" s="44"/>
    </row>
    <row r="103" spans="1:35" ht="15" customHeight="1" x14ac:dyDescent="0.55000000000000004">
      <c r="A103" s="27"/>
      <c r="B103" s="43" t="s">
        <v>89</v>
      </c>
      <c r="AI103" s="44"/>
    </row>
    <row r="104" spans="1:35" ht="15" customHeight="1" x14ac:dyDescent="0.55000000000000004">
      <c r="A104" s="27"/>
      <c r="B104" s="43" t="s">
        <v>90</v>
      </c>
      <c r="AI104" s="44"/>
    </row>
    <row r="105" spans="1:35" ht="15" customHeight="1" x14ac:dyDescent="0.55000000000000004">
      <c r="A105" s="27"/>
      <c r="B105" s="43" t="s">
        <v>91</v>
      </c>
      <c r="AI105" s="44"/>
    </row>
    <row r="106" spans="1:35" ht="15" customHeight="1" x14ac:dyDescent="0.55000000000000004">
      <c r="A106" s="27"/>
      <c r="B106" s="119" t="s">
        <v>272</v>
      </c>
      <c r="C106" s="120"/>
      <c r="D106" s="120"/>
      <c r="E106" s="120"/>
      <c r="F106" s="120"/>
      <c r="G106" s="120"/>
      <c r="H106" s="121"/>
      <c r="I106" s="120" t="s">
        <v>285</v>
      </c>
      <c r="J106" s="120"/>
      <c r="K106" s="120"/>
      <c r="L106" s="120"/>
      <c r="M106" s="120"/>
      <c r="N106" s="120"/>
      <c r="O106" s="120"/>
      <c r="P106" s="120"/>
      <c r="Q106" s="120"/>
      <c r="R106" s="120"/>
      <c r="S106" s="120"/>
      <c r="T106" s="120"/>
      <c r="U106" s="120"/>
      <c r="V106" s="120"/>
      <c r="W106" s="120"/>
      <c r="X106" s="120"/>
      <c r="Y106" s="120"/>
      <c r="Z106" s="120"/>
      <c r="AA106" s="120"/>
      <c r="AB106" s="120"/>
      <c r="AC106" s="120"/>
      <c r="AD106" s="120"/>
      <c r="AE106" s="120"/>
      <c r="AF106" s="120"/>
      <c r="AG106" s="120"/>
      <c r="AH106" s="120"/>
      <c r="AI106" s="121"/>
    </row>
    <row r="107" spans="1:35" ht="15" customHeight="1" x14ac:dyDescent="0.55000000000000004">
      <c r="A107" s="27"/>
      <c r="B107" s="43" t="s">
        <v>92</v>
      </c>
      <c r="AI107" s="44"/>
    </row>
    <row r="108" spans="1:35" ht="15" customHeight="1" x14ac:dyDescent="0.55000000000000004">
      <c r="A108" s="27"/>
      <c r="B108" s="43" t="s">
        <v>93</v>
      </c>
      <c r="AI108" s="44"/>
    </row>
    <row r="109" spans="1:35" ht="15" customHeight="1" x14ac:dyDescent="0.55000000000000004">
      <c r="A109" s="27"/>
      <c r="B109" s="43" t="s">
        <v>94</v>
      </c>
      <c r="AI109" s="44"/>
    </row>
    <row r="110" spans="1:35" ht="15" customHeight="1" x14ac:dyDescent="0.55000000000000004">
      <c r="A110" s="27"/>
      <c r="B110" s="119" t="s">
        <v>95</v>
      </c>
      <c r="C110" s="120"/>
      <c r="D110" s="120"/>
      <c r="E110" s="120"/>
      <c r="F110" s="120"/>
      <c r="G110" s="120"/>
      <c r="H110" s="121"/>
      <c r="I110" s="120" t="s">
        <v>284</v>
      </c>
      <c r="J110" s="120"/>
      <c r="K110" s="120"/>
      <c r="L110" s="120"/>
      <c r="M110" s="120"/>
      <c r="N110" s="120"/>
      <c r="O110" s="120"/>
      <c r="P110" s="120"/>
      <c r="Q110" s="120"/>
      <c r="R110" s="120"/>
      <c r="S110" s="120"/>
      <c r="T110" s="120"/>
      <c r="U110" s="120"/>
      <c r="V110" s="120"/>
      <c r="W110" s="120"/>
      <c r="X110" s="120"/>
      <c r="Y110" s="120"/>
      <c r="Z110" s="120"/>
      <c r="AA110" s="120"/>
      <c r="AB110" s="120"/>
      <c r="AC110" s="120"/>
      <c r="AD110" s="120"/>
      <c r="AE110" s="120"/>
      <c r="AF110" s="120"/>
      <c r="AG110" s="120"/>
      <c r="AH110" s="120"/>
      <c r="AI110" s="121"/>
    </row>
    <row r="111" spans="1:35" ht="15" customHeight="1" x14ac:dyDescent="0.55000000000000004">
      <c r="A111" s="27"/>
      <c r="B111" s="43" t="s">
        <v>96</v>
      </c>
      <c r="AI111" s="44"/>
    </row>
    <row r="112" spans="1:35" ht="15" customHeight="1" x14ac:dyDescent="0.55000000000000004">
      <c r="A112" s="27"/>
      <c r="B112" s="43" t="s">
        <v>97</v>
      </c>
      <c r="AI112" s="44"/>
    </row>
    <row r="113" spans="1:43" ht="15" customHeight="1" x14ac:dyDescent="0.55000000000000004">
      <c r="A113" s="27"/>
      <c r="B113" s="54" t="s">
        <v>98</v>
      </c>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6"/>
    </row>
    <row r="114" spans="1:43" ht="15" customHeight="1" x14ac:dyDescent="0.55000000000000004">
      <c r="A114" s="122"/>
      <c r="B114" s="119" t="s">
        <v>253</v>
      </c>
      <c r="C114" s="120"/>
      <c r="D114" s="120"/>
      <c r="E114" s="120"/>
      <c r="F114" s="120"/>
      <c r="G114" s="120"/>
      <c r="H114" s="121"/>
      <c r="I114" s="120" t="s">
        <v>280</v>
      </c>
      <c r="J114" s="120"/>
      <c r="K114" s="120"/>
      <c r="L114" s="120"/>
      <c r="M114" s="120"/>
      <c r="N114" s="120"/>
      <c r="O114" s="120"/>
      <c r="P114" s="120"/>
      <c r="Q114" s="120"/>
      <c r="R114" s="120"/>
      <c r="S114" s="120"/>
      <c r="T114" s="120"/>
      <c r="U114" s="120"/>
      <c r="V114" s="120"/>
      <c r="W114" s="120"/>
      <c r="X114" s="120"/>
      <c r="Y114" s="120"/>
      <c r="Z114" s="120"/>
      <c r="AA114" s="120"/>
      <c r="AB114" s="120"/>
      <c r="AC114" s="120"/>
      <c r="AD114" s="120"/>
      <c r="AE114" s="120"/>
      <c r="AF114" s="120"/>
      <c r="AG114" s="120"/>
      <c r="AH114" s="120"/>
      <c r="AI114" s="121"/>
      <c r="AJ114" s="122"/>
      <c r="AK114" s="122"/>
      <c r="AL114" s="122"/>
      <c r="AM114" s="122"/>
      <c r="AN114" s="122"/>
      <c r="AO114" s="122"/>
      <c r="AP114" s="122"/>
      <c r="AQ114" s="122"/>
    </row>
    <row r="115" spans="1:43" ht="15" customHeight="1" x14ac:dyDescent="0.55000000000000004">
      <c r="A115" s="122"/>
      <c r="B115" s="123" t="s">
        <v>254</v>
      </c>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c r="AB115" s="124"/>
      <c r="AC115" s="124"/>
      <c r="AD115" s="124"/>
      <c r="AE115" s="124"/>
      <c r="AF115" s="124"/>
      <c r="AG115" s="124"/>
      <c r="AH115" s="124"/>
      <c r="AI115" s="125"/>
      <c r="AJ115" s="122"/>
      <c r="AK115" s="122"/>
      <c r="AL115" s="122"/>
      <c r="AM115" s="122"/>
      <c r="AN115" s="122"/>
      <c r="AO115" s="122"/>
      <c r="AP115" s="122"/>
      <c r="AQ115" s="122"/>
    </row>
    <row r="116" spans="1:43" ht="15" customHeight="1" x14ac:dyDescent="0.55000000000000004">
      <c r="A116" s="122"/>
      <c r="B116" s="119" t="s">
        <v>277</v>
      </c>
      <c r="C116" s="120"/>
      <c r="D116" s="120"/>
      <c r="E116" s="120"/>
      <c r="F116" s="120"/>
      <c r="G116" s="120"/>
      <c r="H116" s="121"/>
      <c r="I116" s="120" t="s">
        <v>281</v>
      </c>
      <c r="J116" s="120"/>
      <c r="K116" s="120"/>
      <c r="L116" s="120"/>
      <c r="M116" s="120"/>
      <c r="N116" s="120"/>
      <c r="O116" s="120"/>
      <c r="P116" s="120"/>
      <c r="Q116" s="120"/>
      <c r="R116" s="120"/>
      <c r="S116" s="120"/>
      <c r="T116" s="120"/>
      <c r="U116" s="120"/>
      <c r="V116" s="120"/>
      <c r="W116" s="120"/>
      <c r="X116" s="120"/>
      <c r="Y116" s="120"/>
      <c r="Z116" s="120"/>
      <c r="AA116" s="120"/>
      <c r="AB116" s="120"/>
      <c r="AC116" s="120"/>
      <c r="AD116" s="120"/>
      <c r="AE116" s="120"/>
      <c r="AF116" s="120"/>
      <c r="AG116" s="120"/>
      <c r="AH116" s="120"/>
      <c r="AI116" s="121"/>
      <c r="AJ116" s="122"/>
      <c r="AK116" s="122"/>
      <c r="AL116" s="122"/>
      <c r="AM116" s="122"/>
      <c r="AN116" s="122"/>
      <c r="AO116" s="122"/>
      <c r="AP116" s="122"/>
      <c r="AQ116" s="122"/>
    </row>
    <row r="117" spans="1:43" ht="15" customHeight="1" x14ac:dyDescent="0.55000000000000004">
      <c r="A117" s="122"/>
      <c r="B117" s="123" t="s">
        <v>279</v>
      </c>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c r="AA117" s="124"/>
      <c r="AB117" s="124"/>
      <c r="AC117" s="124"/>
      <c r="AD117" s="124"/>
      <c r="AE117" s="124"/>
      <c r="AF117" s="124"/>
      <c r="AG117" s="124"/>
      <c r="AH117" s="124"/>
      <c r="AI117" s="125"/>
      <c r="AJ117" s="122"/>
      <c r="AK117" s="122"/>
      <c r="AL117" s="122"/>
      <c r="AM117" s="122"/>
      <c r="AN117" s="122"/>
      <c r="AO117" s="122"/>
      <c r="AP117" s="122"/>
      <c r="AQ117" s="122"/>
    </row>
    <row r="118" spans="1:43" ht="15" customHeight="1" x14ac:dyDescent="0.55000000000000004">
      <c r="A118" s="122"/>
      <c r="B118" s="119" t="s">
        <v>282</v>
      </c>
      <c r="C118" s="120"/>
      <c r="D118" s="120"/>
      <c r="E118" s="120"/>
      <c r="F118" s="120"/>
      <c r="G118" s="120"/>
      <c r="H118" s="121"/>
      <c r="I118" s="120" t="s">
        <v>291</v>
      </c>
      <c r="J118" s="120"/>
      <c r="K118" s="120"/>
      <c r="L118" s="120"/>
      <c r="M118" s="120"/>
      <c r="N118" s="120"/>
      <c r="O118" s="120"/>
      <c r="P118" s="120"/>
      <c r="Q118" s="120"/>
      <c r="R118" s="120"/>
      <c r="S118" s="120"/>
      <c r="T118" s="120"/>
      <c r="U118" s="120"/>
      <c r="V118" s="120"/>
      <c r="W118" s="120"/>
      <c r="X118" s="120"/>
      <c r="Y118" s="120"/>
      <c r="Z118" s="120"/>
      <c r="AA118" s="120"/>
      <c r="AB118" s="120"/>
      <c r="AC118" s="120"/>
      <c r="AD118" s="120"/>
      <c r="AE118" s="120"/>
      <c r="AF118" s="120"/>
      <c r="AG118" s="120"/>
      <c r="AH118" s="120"/>
      <c r="AI118" s="121"/>
      <c r="AJ118" s="122"/>
      <c r="AK118" s="122"/>
      <c r="AL118" s="122"/>
      <c r="AM118" s="122"/>
      <c r="AN118" s="122"/>
      <c r="AO118" s="122"/>
      <c r="AP118" s="122"/>
      <c r="AQ118" s="122"/>
    </row>
    <row r="119" spans="1:43" ht="15" customHeight="1" x14ac:dyDescent="0.55000000000000004">
      <c r="A119" s="122"/>
      <c r="B119" s="123" t="s">
        <v>283</v>
      </c>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c r="AA119" s="124"/>
      <c r="AB119" s="124"/>
      <c r="AC119" s="124"/>
      <c r="AD119" s="124"/>
      <c r="AE119" s="124"/>
      <c r="AF119" s="124"/>
      <c r="AG119" s="124"/>
      <c r="AH119" s="124"/>
      <c r="AI119" s="125"/>
      <c r="AJ119" s="122"/>
      <c r="AK119" s="122"/>
      <c r="AL119" s="122"/>
      <c r="AM119" s="122"/>
      <c r="AN119" s="122"/>
      <c r="AO119" s="122"/>
      <c r="AP119" s="122"/>
      <c r="AQ119" s="122"/>
    </row>
    <row r="120" spans="1:43" ht="15" customHeight="1" x14ac:dyDescent="0.55000000000000004">
      <c r="A120" s="27"/>
    </row>
    <row r="121" spans="1:43" ht="15" customHeight="1" x14ac:dyDescent="0.55000000000000004">
      <c r="A121" s="27"/>
    </row>
    <row r="122" spans="1:43" ht="15" customHeight="1" x14ac:dyDescent="0.55000000000000004">
      <c r="A122" s="30" t="s">
        <v>99</v>
      </c>
    </row>
    <row r="123" spans="1:43" ht="15" customHeight="1" x14ac:dyDescent="0.55000000000000004">
      <c r="B123" s="37"/>
    </row>
    <row r="124" spans="1:43" ht="15" customHeight="1" x14ac:dyDescent="0.55000000000000004">
      <c r="A124" s="27"/>
      <c r="B124" s="38" t="s">
        <v>18</v>
      </c>
      <c r="C124" s="39"/>
      <c r="D124" s="38" t="s">
        <v>40</v>
      </c>
      <c r="E124" s="40"/>
      <c r="F124" s="40"/>
      <c r="G124" s="40"/>
      <c r="H124" s="40"/>
      <c r="I124" s="159" t="s">
        <v>100</v>
      </c>
      <c r="J124" s="160"/>
      <c r="K124" s="160"/>
      <c r="L124" s="160"/>
      <c r="M124" s="160"/>
      <c r="N124" s="160"/>
      <c r="O124" s="160"/>
      <c r="P124" s="161"/>
      <c r="Q124" s="159" t="s">
        <v>101</v>
      </c>
      <c r="R124" s="160"/>
      <c r="S124" s="160"/>
      <c r="T124" s="160"/>
      <c r="U124" s="160"/>
      <c r="V124" s="160"/>
      <c r="W124" s="160"/>
      <c r="X124" s="161"/>
      <c r="Y124" s="159" t="s">
        <v>102</v>
      </c>
      <c r="Z124" s="160"/>
      <c r="AA124" s="160"/>
      <c r="AB124" s="160"/>
      <c r="AC124" s="160"/>
      <c r="AD124" s="160"/>
      <c r="AE124" s="160"/>
      <c r="AF124" s="161"/>
      <c r="AG124" s="159" t="s">
        <v>266</v>
      </c>
      <c r="AH124" s="160"/>
      <c r="AI124" s="160"/>
      <c r="AJ124" s="160"/>
    </row>
    <row r="125" spans="1:43" ht="15" customHeight="1" x14ac:dyDescent="0.55000000000000004">
      <c r="A125" s="27"/>
      <c r="B125" s="41">
        <v>1</v>
      </c>
      <c r="C125" s="42"/>
      <c r="D125" s="165" t="s">
        <v>103</v>
      </c>
      <c r="E125" s="166"/>
      <c r="F125" s="166"/>
      <c r="G125" s="166"/>
      <c r="H125" s="167"/>
      <c r="I125" s="41"/>
      <c r="J125" s="42"/>
      <c r="K125" s="41"/>
      <c r="L125" s="42"/>
      <c r="M125" s="41"/>
      <c r="N125" s="42"/>
      <c r="O125" s="41"/>
      <c r="P125" s="42"/>
      <c r="Q125" s="41"/>
      <c r="R125" s="42"/>
      <c r="S125" s="41"/>
      <c r="T125" s="42"/>
      <c r="U125" s="41"/>
      <c r="V125" s="42"/>
      <c r="W125" s="41"/>
      <c r="X125" s="42"/>
      <c r="Y125" s="41"/>
      <c r="Z125" s="42"/>
      <c r="AA125" s="41"/>
      <c r="AB125" s="42"/>
      <c r="AC125" s="41"/>
      <c r="AD125" s="42"/>
      <c r="AE125" s="41"/>
      <c r="AF125" s="42"/>
      <c r="AG125" s="41"/>
      <c r="AH125" s="42"/>
      <c r="AI125" s="41"/>
      <c r="AJ125" s="42"/>
    </row>
    <row r="126" spans="1:43" ht="15" customHeight="1" x14ac:dyDescent="0.55000000000000004">
      <c r="A126" s="27"/>
      <c r="B126" s="50"/>
      <c r="C126" s="51"/>
      <c r="D126" s="52"/>
      <c r="E126" s="53"/>
      <c r="F126" s="53"/>
      <c r="G126" s="53"/>
      <c r="H126" s="53"/>
      <c r="I126" s="50"/>
      <c r="J126" s="51"/>
      <c r="K126" s="50"/>
      <c r="L126" s="51"/>
      <c r="M126" s="50"/>
      <c r="N126" s="51"/>
      <c r="O126" s="50"/>
      <c r="P126" s="51"/>
      <c r="Q126" s="50"/>
      <c r="R126" s="51"/>
      <c r="S126" s="50"/>
      <c r="T126" s="51"/>
      <c r="U126" s="50"/>
      <c r="V126" s="51"/>
      <c r="W126" s="50"/>
      <c r="X126" s="51"/>
      <c r="Y126" s="50"/>
      <c r="Z126" s="51"/>
      <c r="AA126" s="50"/>
      <c r="AB126" s="51"/>
      <c r="AC126" s="50"/>
      <c r="AD126" s="51"/>
      <c r="AE126" s="50"/>
      <c r="AF126" s="51"/>
      <c r="AG126" s="50"/>
      <c r="AH126" s="51"/>
      <c r="AI126" s="50"/>
      <c r="AJ126" s="51"/>
    </row>
    <row r="127" spans="1:43" ht="15" customHeight="1" x14ac:dyDescent="0.55000000000000004">
      <c r="A127" s="27"/>
      <c r="B127" s="41">
        <v>2</v>
      </c>
      <c r="C127" s="42"/>
      <c r="D127" s="165" t="s">
        <v>104</v>
      </c>
      <c r="E127" s="166"/>
      <c r="F127" s="166"/>
      <c r="G127" s="166"/>
      <c r="H127" s="167"/>
      <c r="I127" s="41"/>
      <c r="J127" s="42"/>
      <c r="K127" s="41"/>
      <c r="L127" s="42"/>
      <c r="M127" s="41"/>
      <c r="N127" s="42"/>
      <c r="O127" s="41"/>
      <c r="P127" s="42"/>
      <c r="Q127" s="41"/>
      <c r="R127" s="42"/>
      <c r="S127" s="41"/>
      <c r="T127" s="42"/>
      <c r="U127" s="41"/>
      <c r="V127" s="42"/>
      <c r="W127" s="41"/>
      <c r="X127" s="42"/>
      <c r="Y127" s="41"/>
      <c r="Z127" s="42"/>
      <c r="AA127" s="41"/>
      <c r="AB127" s="42"/>
      <c r="AC127" s="41"/>
      <c r="AD127" s="42"/>
      <c r="AE127" s="41"/>
      <c r="AF127" s="42"/>
      <c r="AG127" s="41"/>
      <c r="AH127" s="42"/>
      <c r="AI127" s="41"/>
      <c r="AJ127" s="42"/>
    </row>
    <row r="128" spans="1:43" ht="15" customHeight="1" x14ac:dyDescent="0.55000000000000004">
      <c r="A128" s="27"/>
      <c r="B128" s="50"/>
      <c r="C128" s="51"/>
      <c r="D128" s="52"/>
      <c r="E128" s="53"/>
      <c r="F128" s="53"/>
      <c r="G128" s="53"/>
      <c r="H128" s="53"/>
      <c r="I128" s="50"/>
      <c r="J128" s="51"/>
      <c r="K128" s="50"/>
      <c r="L128" s="51"/>
      <c r="M128" s="50"/>
      <c r="N128" s="51"/>
      <c r="O128" s="50"/>
      <c r="P128" s="51"/>
      <c r="Q128" s="50"/>
      <c r="R128" s="51"/>
      <c r="S128" s="50"/>
      <c r="T128" s="51"/>
      <c r="U128" s="50"/>
      <c r="V128" s="51"/>
      <c r="W128" s="50"/>
      <c r="X128" s="51"/>
      <c r="Y128" s="50"/>
      <c r="Z128" s="51"/>
      <c r="AA128" s="50"/>
      <c r="AB128" s="51"/>
      <c r="AC128" s="50"/>
      <c r="AD128" s="51"/>
      <c r="AE128" s="50"/>
      <c r="AF128" s="51"/>
      <c r="AG128" s="50"/>
      <c r="AH128" s="51"/>
      <c r="AI128" s="50"/>
      <c r="AJ128" s="51"/>
    </row>
    <row r="129" spans="1:36" ht="15" customHeight="1" x14ac:dyDescent="0.55000000000000004">
      <c r="A129" s="27"/>
      <c r="B129" s="41">
        <v>3</v>
      </c>
      <c r="C129" s="42"/>
      <c r="D129" s="165" t="s">
        <v>105</v>
      </c>
      <c r="E129" s="166"/>
      <c r="F129" s="166"/>
      <c r="G129" s="166"/>
      <c r="H129" s="167"/>
      <c r="I129" s="41"/>
      <c r="J129" s="42"/>
      <c r="K129" s="41"/>
      <c r="L129" s="42"/>
      <c r="M129" s="41"/>
      <c r="N129" s="42"/>
      <c r="O129" s="41"/>
      <c r="P129" s="42"/>
      <c r="Q129" s="41"/>
      <c r="R129" s="42"/>
      <c r="S129" s="41"/>
      <c r="T129" s="42"/>
      <c r="U129" s="41"/>
      <c r="V129" s="42"/>
      <c r="W129" s="41"/>
      <c r="X129" s="42"/>
      <c r="Y129" s="41"/>
      <c r="Z129" s="42"/>
      <c r="AA129" s="41"/>
      <c r="AB129" s="42"/>
      <c r="AC129" s="41"/>
      <c r="AD129" s="42"/>
      <c r="AE129" s="41"/>
      <c r="AF129" s="42"/>
      <c r="AG129" s="41"/>
      <c r="AH129" s="42"/>
      <c r="AI129" s="41"/>
      <c r="AJ129" s="42"/>
    </row>
    <row r="130" spans="1:36" ht="15" customHeight="1" x14ac:dyDescent="0.55000000000000004">
      <c r="A130" s="27"/>
      <c r="B130" s="50"/>
      <c r="C130" s="51"/>
      <c r="D130" s="52"/>
      <c r="E130" s="53"/>
      <c r="F130" s="53"/>
      <c r="G130" s="53"/>
      <c r="H130" s="53"/>
      <c r="I130" s="50"/>
      <c r="J130" s="51"/>
      <c r="K130" s="50"/>
      <c r="L130" s="51"/>
      <c r="M130" s="50"/>
      <c r="N130" s="51"/>
      <c r="O130" s="50"/>
      <c r="P130" s="51"/>
      <c r="Q130" s="50"/>
      <c r="R130" s="51"/>
      <c r="S130" s="50"/>
      <c r="T130" s="51"/>
      <c r="U130" s="50"/>
      <c r="V130" s="51"/>
      <c r="W130" s="50"/>
      <c r="X130" s="51"/>
      <c r="Y130" s="50"/>
      <c r="Z130" s="51"/>
      <c r="AA130" s="50"/>
      <c r="AB130" s="51"/>
      <c r="AC130" s="50"/>
      <c r="AD130" s="51"/>
      <c r="AE130" s="50"/>
      <c r="AF130" s="51"/>
      <c r="AG130" s="50"/>
      <c r="AH130" s="51"/>
      <c r="AI130" s="50"/>
      <c r="AJ130" s="51"/>
    </row>
    <row r="131" spans="1:36" ht="15" customHeight="1" x14ac:dyDescent="0.55000000000000004">
      <c r="A131" s="27"/>
      <c r="B131" s="41">
        <v>4</v>
      </c>
      <c r="C131" s="42"/>
      <c r="D131" s="165" t="s">
        <v>106</v>
      </c>
      <c r="E131" s="166"/>
      <c r="F131" s="166"/>
      <c r="G131" s="166"/>
      <c r="H131" s="167"/>
      <c r="I131" s="41"/>
      <c r="J131" s="42"/>
      <c r="K131" s="41"/>
      <c r="L131" s="42"/>
      <c r="M131" s="41"/>
      <c r="N131" s="42"/>
      <c r="O131" s="41"/>
      <c r="P131" s="42"/>
      <c r="Q131" s="41"/>
      <c r="R131" s="42"/>
      <c r="S131" s="41"/>
      <c r="T131" s="42"/>
      <c r="U131" s="41"/>
      <c r="V131" s="42"/>
      <c r="W131" s="41"/>
      <c r="X131" s="42"/>
      <c r="Y131" s="41"/>
      <c r="Z131" s="42"/>
      <c r="AA131" s="41"/>
      <c r="AB131" s="42"/>
      <c r="AC131" s="41"/>
      <c r="AD131" s="42"/>
      <c r="AE131" s="41"/>
      <c r="AF131" s="42"/>
      <c r="AG131" s="41"/>
      <c r="AH131" s="42"/>
      <c r="AI131" s="41"/>
      <c r="AJ131" s="42"/>
    </row>
    <row r="132" spans="1:36" ht="15" customHeight="1" x14ac:dyDescent="0.55000000000000004">
      <c r="A132" s="27"/>
      <c r="B132" s="50"/>
      <c r="C132" s="51"/>
      <c r="D132" s="52"/>
      <c r="E132" s="53"/>
      <c r="F132" s="53"/>
      <c r="G132" s="53"/>
      <c r="H132" s="53"/>
      <c r="I132" s="50"/>
      <c r="J132" s="51"/>
      <c r="K132" s="50"/>
      <c r="L132" s="51"/>
      <c r="M132" s="50"/>
      <c r="N132" s="51"/>
      <c r="O132" s="50"/>
      <c r="P132" s="51"/>
      <c r="Q132" s="50"/>
      <c r="R132" s="51"/>
      <c r="S132" s="50"/>
      <c r="T132" s="51"/>
      <c r="U132" s="50"/>
      <c r="V132" s="51"/>
      <c r="W132" s="50"/>
      <c r="X132" s="51"/>
      <c r="Y132" s="50"/>
      <c r="Z132" s="51"/>
      <c r="AA132" s="50"/>
      <c r="AB132" s="51"/>
      <c r="AC132" s="50"/>
      <c r="AD132" s="51"/>
      <c r="AE132" s="50"/>
      <c r="AF132" s="51"/>
      <c r="AG132" s="50"/>
      <c r="AH132" s="51"/>
      <c r="AI132" s="50"/>
      <c r="AJ132" s="51"/>
    </row>
    <row r="133" spans="1:36" ht="15" customHeight="1" x14ac:dyDescent="0.55000000000000004">
      <c r="A133" s="27"/>
      <c r="B133" s="41">
        <v>5</v>
      </c>
      <c r="C133" s="42"/>
      <c r="D133" s="165" t="s">
        <v>107</v>
      </c>
      <c r="E133" s="166"/>
      <c r="F133" s="166"/>
      <c r="G133" s="166"/>
      <c r="H133" s="167"/>
      <c r="I133" s="41"/>
      <c r="J133" s="42"/>
      <c r="K133" s="41"/>
      <c r="L133" s="42"/>
      <c r="M133" s="41"/>
      <c r="N133" s="42"/>
      <c r="O133" s="41"/>
      <c r="P133" s="42"/>
      <c r="Q133" s="41"/>
      <c r="R133" s="42"/>
      <c r="S133" s="41"/>
      <c r="T133" s="42"/>
      <c r="U133" s="41"/>
      <c r="V133" s="42"/>
      <c r="W133" s="41"/>
      <c r="X133" s="42"/>
      <c r="Y133" s="41"/>
      <c r="Z133" s="42"/>
      <c r="AA133" s="41"/>
      <c r="AB133" s="42"/>
      <c r="AC133" s="41"/>
      <c r="AD133" s="42"/>
      <c r="AE133" s="41"/>
      <c r="AF133" s="42"/>
      <c r="AG133" s="41"/>
      <c r="AH133" s="42"/>
      <c r="AI133" s="41"/>
      <c r="AJ133" s="42"/>
    </row>
    <row r="134" spans="1:36" ht="15" customHeight="1" x14ac:dyDescent="0.55000000000000004">
      <c r="A134" s="27"/>
      <c r="B134" s="50"/>
      <c r="C134" s="51"/>
      <c r="D134" s="162" t="s">
        <v>250</v>
      </c>
      <c r="E134" s="163"/>
      <c r="F134" s="163"/>
      <c r="G134" s="163"/>
      <c r="H134" s="164"/>
      <c r="I134" s="50"/>
      <c r="J134" s="51"/>
      <c r="K134" s="50"/>
      <c r="L134" s="51"/>
      <c r="M134" s="50"/>
      <c r="N134" s="51"/>
      <c r="O134" s="50"/>
      <c r="P134" s="51"/>
      <c r="Q134" s="50"/>
      <c r="R134" s="51"/>
      <c r="S134" s="50"/>
      <c r="T134" s="51"/>
      <c r="U134" s="50"/>
      <c r="V134" s="51"/>
      <c r="W134" s="50"/>
      <c r="X134" s="51"/>
      <c r="Y134" s="50"/>
      <c r="Z134" s="51"/>
      <c r="AA134" s="50"/>
      <c r="AB134" s="51"/>
      <c r="AC134" s="50"/>
      <c r="AD134" s="51"/>
      <c r="AE134" s="50"/>
      <c r="AF134" s="51"/>
      <c r="AG134" s="50"/>
      <c r="AH134" s="51"/>
      <c r="AI134" s="50"/>
      <c r="AJ134" s="51"/>
    </row>
    <row r="135" spans="1:36" ht="15" customHeight="1" x14ac:dyDescent="0.55000000000000004">
      <c r="A135" s="27"/>
      <c r="B135" s="41">
        <v>6</v>
      </c>
      <c r="C135" s="42"/>
      <c r="D135" s="165" t="s">
        <v>108</v>
      </c>
      <c r="E135" s="166"/>
      <c r="F135" s="166"/>
      <c r="G135" s="166"/>
      <c r="H135" s="167"/>
      <c r="I135" s="41"/>
      <c r="J135" s="42"/>
      <c r="K135" s="41"/>
      <c r="L135" s="42"/>
      <c r="M135" s="41"/>
      <c r="N135" s="42"/>
      <c r="O135" s="41"/>
      <c r="P135" s="42"/>
      <c r="Q135" s="41"/>
      <c r="R135" s="42"/>
      <c r="S135" s="41"/>
      <c r="T135" s="42"/>
      <c r="U135" s="41"/>
      <c r="V135" s="42"/>
      <c r="W135" s="41"/>
      <c r="X135" s="42"/>
      <c r="Y135" s="41"/>
      <c r="Z135" s="42"/>
      <c r="AA135" s="41"/>
      <c r="AB135" s="42"/>
      <c r="AC135" s="41"/>
      <c r="AD135" s="42"/>
      <c r="AE135" s="41"/>
      <c r="AF135" s="42"/>
      <c r="AG135" s="41"/>
      <c r="AH135" s="42"/>
      <c r="AI135" s="41"/>
      <c r="AJ135" s="42"/>
    </row>
    <row r="136" spans="1:36" ht="15" customHeight="1" x14ac:dyDescent="0.55000000000000004">
      <c r="A136" s="27"/>
      <c r="B136" s="50"/>
      <c r="C136" s="51"/>
      <c r="D136" s="52"/>
      <c r="E136" s="53"/>
      <c r="F136" s="53"/>
      <c r="G136" s="53"/>
      <c r="H136" s="53"/>
      <c r="I136" s="50"/>
      <c r="J136" s="51"/>
      <c r="K136" s="50"/>
      <c r="L136" s="51"/>
      <c r="M136" s="50"/>
      <c r="N136" s="51"/>
      <c r="O136" s="50"/>
      <c r="P136" s="51"/>
      <c r="Q136" s="50"/>
      <c r="R136" s="51"/>
      <c r="S136" s="50"/>
      <c r="T136" s="51"/>
      <c r="U136" s="50"/>
      <c r="V136" s="51"/>
      <c r="W136" s="50"/>
      <c r="X136" s="51"/>
      <c r="Y136" s="50"/>
      <c r="Z136" s="51"/>
      <c r="AA136" s="50"/>
      <c r="AB136" s="51"/>
      <c r="AC136" s="50"/>
      <c r="AD136" s="51"/>
      <c r="AE136" s="50"/>
      <c r="AF136" s="51"/>
      <c r="AG136" s="50"/>
      <c r="AH136" s="51"/>
      <c r="AI136" s="50"/>
      <c r="AJ136" s="51"/>
    </row>
    <row r="137" spans="1:36" ht="15" customHeight="1" x14ac:dyDescent="0.55000000000000004">
      <c r="A137" s="27"/>
      <c r="I137" s="57"/>
      <c r="J137" s="57"/>
      <c r="K137" s="57"/>
      <c r="L137" s="57"/>
      <c r="M137" s="57"/>
      <c r="N137" s="57"/>
      <c r="O137" s="57"/>
      <c r="P137" s="57"/>
      <c r="Q137" s="57"/>
      <c r="R137" s="57"/>
      <c r="S137" s="57"/>
      <c r="T137" s="57"/>
      <c r="V137" s="57"/>
      <c r="W137" s="27" t="s">
        <v>109</v>
      </c>
      <c r="X137" s="57"/>
      <c r="Z137" s="57"/>
      <c r="AA137" s="27" t="s">
        <v>110</v>
      </c>
      <c r="AC137" s="57"/>
      <c r="AD137" s="57"/>
      <c r="AG137" s="27" t="s">
        <v>111</v>
      </c>
    </row>
    <row r="138" spans="1:36" ht="15" customHeight="1" x14ac:dyDescent="0.55000000000000004">
      <c r="A138" s="2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row>
    <row r="139" spans="1:36" ht="15" customHeight="1" x14ac:dyDescent="0.55000000000000004">
      <c r="A139" s="30" t="s">
        <v>112</v>
      </c>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row>
    <row r="140" spans="1:36" ht="15" customHeight="1" thickBot="1" x14ac:dyDescent="0.6">
      <c r="A140" s="2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row>
    <row r="141" spans="1:36" s="63" customFormat="1" ht="15" customHeight="1" thickTop="1" x14ac:dyDescent="0.55000000000000004">
      <c r="A141" s="65"/>
      <c r="C141" s="168" t="s">
        <v>113</v>
      </c>
      <c r="D141" s="169"/>
      <c r="E141" s="169"/>
      <c r="F141" s="169"/>
      <c r="G141" s="169"/>
      <c r="H141" s="170"/>
      <c r="I141" s="66"/>
      <c r="J141" s="66"/>
      <c r="K141" s="66"/>
      <c r="L141" s="66"/>
      <c r="M141" s="168" t="s">
        <v>114</v>
      </c>
      <c r="N141" s="169"/>
      <c r="O141" s="169"/>
      <c r="P141" s="169"/>
      <c r="Q141" s="169"/>
      <c r="R141" s="170"/>
      <c r="S141" s="57"/>
      <c r="T141" s="57"/>
      <c r="U141" s="57"/>
      <c r="V141" s="57"/>
      <c r="W141" s="57"/>
      <c r="X141" s="57"/>
      <c r="Y141" s="57"/>
      <c r="Z141" s="57"/>
      <c r="AA141" s="57"/>
      <c r="AB141" s="57"/>
      <c r="AC141" s="68"/>
      <c r="AD141" s="68"/>
      <c r="AE141" s="68"/>
      <c r="AF141" s="68"/>
      <c r="AG141" s="68"/>
    </row>
    <row r="142" spans="1:36" s="63" customFormat="1" ht="15" customHeight="1" x14ac:dyDescent="0.55000000000000004">
      <c r="A142" s="65"/>
      <c r="C142" s="171"/>
      <c r="D142" s="172"/>
      <c r="E142" s="172"/>
      <c r="F142" s="172"/>
      <c r="G142" s="172"/>
      <c r="H142" s="173"/>
      <c r="I142" s="67"/>
      <c r="J142" s="67"/>
      <c r="K142" s="69"/>
      <c r="L142" s="70"/>
      <c r="M142" s="171"/>
      <c r="N142" s="172"/>
      <c r="O142" s="172"/>
      <c r="P142" s="172"/>
      <c r="Q142" s="172"/>
      <c r="R142" s="173"/>
      <c r="S142" s="27"/>
      <c r="T142" s="27"/>
      <c r="U142" s="27"/>
      <c r="V142" s="27"/>
      <c r="W142" s="27"/>
      <c r="X142" s="27"/>
      <c r="Y142" s="27"/>
      <c r="Z142" s="27"/>
      <c r="AA142" s="27"/>
      <c r="AB142" s="27"/>
      <c r="AC142" s="68"/>
      <c r="AD142" s="68"/>
      <c r="AE142" s="68"/>
      <c r="AF142" s="68"/>
      <c r="AG142" s="68"/>
    </row>
    <row r="143" spans="1:36" s="63" customFormat="1" ht="15" customHeight="1" thickBot="1" x14ac:dyDescent="0.6">
      <c r="C143" s="174"/>
      <c r="D143" s="175"/>
      <c r="E143" s="175"/>
      <c r="F143" s="175"/>
      <c r="G143" s="175"/>
      <c r="H143" s="176"/>
      <c r="I143" s="67"/>
      <c r="J143" s="67"/>
      <c r="K143" s="67"/>
      <c r="L143" s="67"/>
      <c r="M143" s="174"/>
      <c r="N143" s="175"/>
      <c r="O143" s="175"/>
      <c r="P143" s="175"/>
      <c r="Q143" s="175"/>
      <c r="R143" s="176"/>
      <c r="S143" s="27"/>
      <c r="T143" s="27"/>
      <c r="U143" s="27"/>
      <c r="V143" s="27"/>
      <c r="W143" s="27"/>
      <c r="X143" s="27"/>
      <c r="Y143" s="27"/>
      <c r="Z143" s="27"/>
      <c r="AA143" s="27"/>
      <c r="AB143" s="27"/>
      <c r="AC143" s="68"/>
      <c r="AD143" s="68"/>
      <c r="AE143" s="68"/>
      <c r="AF143" s="68"/>
      <c r="AG143" s="68"/>
    </row>
    <row r="144" spans="1:36" ht="15" customHeight="1" thickTop="1" x14ac:dyDescent="0.55000000000000004">
      <c r="A144" s="2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row>
    <row r="145" spans="1:33" ht="15" customHeight="1" x14ac:dyDescent="0.55000000000000004">
      <c r="A145" s="27"/>
      <c r="I145" s="57"/>
      <c r="J145" s="57"/>
      <c r="K145" s="57"/>
      <c r="L145" s="57"/>
      <c r="M145" s="57"/>
      <c r="N145" s="57"/>
      <c r="O145" s="57"/>
      <c r="P145" s="57"/>
      <c r="Q145" s="57"/>
      <c r="R145" s="57"/>
      <c r="S145" s="57"/>
      <c r="T145" s="57"/>
      <c r="U145" s="57"/>
      <c r="V145" s="57"/>
      <c r="AC145" s="57"/>
      <c r="AD145" s="57"/>
      <c r="AE145" s="57"/>
      <c r="AF145" s="57"/>
      <c r="AG145" s="57"/>
    </row>
    <row r="146" spans="1:33" ht="15" customHeight="1" x14ac:dyDescent="0.55000000000000004">
      <c r="A146" s="30" t="s">
        <v>115</v>
      </c>
    </row>
    <row r="148" spans="1:33" ht="15" customHeight="1" x14ac:dyDescent="0.55000000000000004">
      <c r="B148" s="27" t="s">
        <v>246</v>
      </c>
    </row>
    <row r="149" spans="1:33" ht="15" customHeight="1" x14ac:dyDescent="0.55000000000000004">
      <c r="C149" s="27" t="s">
        <v>116</v>
      </c>
    </row>
    <row r="150" spans="1:33" ht="15" customHeight="1" x14ac:dyDescent="0.55000000000000004">
      <c r="C150" s="27" t="s">
        <v>117</v>
      </c>
    </row>
    <row r="151" spans="1:33" ht="15" customHeight="1" x14ac:dyDescent="0.55000000000000004">
      <c r="C151" s="27" t="s">
        <v>118</v>
      </c>
    </row>
    <row r="152" spans="1:33" ht="15" customHeight="1" x14ac:dyDescent="0.55000000000000004">
      <c r="B152" s="58" t="s">
        <v>119</v>
      </c>
      <c r="C152" s="59"/>
    </row>
    <row r="153" spans="1:33" ht="15" customHeight="1" x14ac:dyDescent="0.55000000000000004">
      <c r="B153" s="27" t="s">
        <v>120</v>
      </c>
      <c r="C153" s="58"/>
    </row>
    <row r="154" spans="1:33" ht="15" customHeight="1" x14ac:dyDescent="0.55000000000000004">
      <c r="C154" s="58" t="s">
        <v>121</v>
      </c>
    </row>
    <row r="155" spans="1:33" ht="15" customHeight="1" x14ac:dyDescent="0.55000000000000004">
      <c r="C155" s="27" t="s">
        <v>249</v>
      </c>
    </row>
    <row r="157" spans="1:33" ht="15" customHeight="1" x14ac:dyDescent="0.55000000000000004">
      <c r="A157" s="27"/>
      <c r="B157" s="27" t="s">
        <v>122</v>
      </c>
    </row>
    <row r="158" spans="1:33" ht="15" customHeight="1" x14ac:dyDescent="0.55000000000000004">
      <c r="A158" s="27"/>
      <c r="C158" s="27" t="s">
        <v>123</v>
      </c>
    </row>
    <row r="159" spans="1:33" ht="15" customHeight="1" x14ac:dyDescent="0.55000000000000004">
      <c r="A159" s="27"/>
      <c r="C159" s="27" t="s">
        <v>124</v>
      </c>
    </row>
    <row r="160" spans="1:33" ht="15" customHeight="1" x14ac:dyDescent="0.55000000000000004">
      <c r="A160" s="27"/>
    </row>
    <row r="161" spans="1:4" ht="15" customHeight="1" x14ac:dyDescent="0.55000000000000004">
      <c r="A161" s="27"/>
      <c r="B161" s="27" t="s">
        <v>125</v>
      </c>
    </row>
    <row r="162" spans="1:4" ht="15" customHeight="1" x14ac:dyDescent="0.55000000000000004">
      <c r="A162" s="27"/>
      <c r="C162" s="27" t="s">
        <v>126</v>
      </c>
    </row>
    <row r="163" spans="1:4" ht="15" customHeight="1" x14ac:dyDescent="0.55000000000000004">
      <c r="A163" s="27"/>
    </row>
    <row r="164" spans="1:4" ht="15" customHeight="1" x14ac:dyDescent="0.55000000000000004">
      <c r="A164" s="27"/>
      <c r="B164" s="116" t="s">
        <v>241</v>
      </c>
    </row>
    <row r="165" spans="1:4" ht="15" customHeight="1" x14ac:dyDescent="0.55000000000000004">
      <c r="A165" s="27"/>
      <c r="C165" s="27" t="s">
        <v>247</v>
      </c>
    </row>
    <row r="166" spans="1:4" ht="15" customHeight="1" x14ac:dyDescent="0.55000000000000004">
      <c r="A166" s="27"/>
      <c r="C166" s="27" t="s">
        <v>242</v>
      </c>
    </row>
    <row r="167" spans="1:4" ht="15" customHeight="1" x14ac:dyDescent="0.55000000000000004">
      <c r="A167" s="27"/>
    </row>
    <row r="168" spans="1:4" ht="15" customHeight="1" x14ac:dyDescent="0.55000000000000004">
      <c r="A168" s="27"/>
      <c r="B168" s="116" t="s">
        <v>243</v>
      </c>
    </row>
    <row r="169" spans="1:4" ht="15" customHeight="1" x14ac:dyDescent="0.55000000000000004">
      <c r="A169" s="27"/>
      <c r="C169" s="27" t="s">
        <v>244</v>
      </c>
    </row>
    <row r="170" spans="1:4" ht="15" customHeight="1" x14ac:dyDescent="0.55000000000000004">
      <c r="A170" s="27"/>
      <c r="C170" s="27" t="s">
        <v>252</v>
      </c>
    </row>
    <row r="171" spans="1:4" ht="15" customHeight="1" x14ac:dyDescent="0.55000000000000004">
      <c r="A171" s="27"/>
    </row>
    <row r="172" spans="1:4" ht="15" customHeight="1" x14ac:dyDescent="0.55000000000000004">
      <c r="A172" s="27"/>
      <c r="B172" s="63" t="s">
        <v>245</v>
      </c>
      <c r="C172" s="63"/>
      <c r="D172" s="63"/>
    </row>
    <row r="173" spans="1:4" ht="15" customHeight="1" x14ac:dyDescent="0.55000000000000004">
      <c r="A173" s="27"/>
      <c r="B173" s="63"/>
      <c r="C173" s="63" t="s">
        <v>248</v>
      </c>
      <c r="D173" s="63"/>
    </row>
    <row r="174" spans="1:4" ht="15" customHeight="1" x14ac:dyDescent="0.55000000000000004">
      <c r="A174" s="27"/>
      <c r="B174" s="63"/>
      <c r="C174" s="63" t="s">
        <v>127</v>
      </c>
      <c r="D174" s="63"/>
    </row>
  </sheetData>
  <mergeCells count="68">
    <mergeCell ref="D134:H134"/>
    <mergeCell ref="D135:H135"/>
    <mergeCell ref="C141:H143"/>
    <mergeCell ref="M141:R143"/>
    <mergeCell ref="AG124:AJ124"/>
    <mergeCell ref="D125:H125"/>
    <mergeCell ref="D127:H127"/>
    <mergeCell ref="D129:H129"/>
    <mergeCell ref="D131:H131"/>
    <mergeCell ref="D133:H133"/>
    <mergeCell ref="Y124:AF124"/>
    <mergeCell ref="D67:H67"/>
    <mergeCell ref="D69:H69"/>
    <mergeCell ref="D71:H71"/>
    <mergeCell ref="I124:P124"/>
    <mergeCell ref="Q124:X124"/>
    <mergeCell ref="D65:H65"/>
    <mergeCell ref="B45:C45"/>
    <mergeCell ref="Y45:AB45"/>
    <mergeCell ref="AC45:AD45"/>
    <mergeCell ref="AE45:AJ45"/>
    <mergeCell ref="D58:H58"/>
    <mergeCell ref="J59:T59"/>
    <mergeCell ref="J60:T60"/>
    <mergeCell ref="D61:H61"/>
    <mergeCell ref="D63:H63"/>
    <mergeCell ref="AM45:AQ45"/>
    <mergeCell ref="B46:C46"/>
    <mergeCell ref="Y46:AB46"/>
    <mergeCell ref="AC46:AD46"/>
    <mergeCell ref="AE46:AJ46"/>
    <mergeCell ref="AM46:AQ46"/>
    <mergeCell ref="B43:C43"/>
    <mergeCell ref="Y43:AB43"/>
    <mergeCell ref="AC43:AD43"/>
    <mergeCell ref="AE43:AJ43"/>
    <mergeCell ref="AM43:AQ43"/>
    <mergeCell ref="B44:C44"/>
    <mergeCell ref="Y44:AB44"/>
    <mergeCell ref="AC44:AD44"/>
    <mergeCell ref="AE44:AJ44"/>
    <mergeCell ref="AM44:AQ44"/>
    <mergeCell ref="B41:C41"/>
    <mergeCell ref="Y41:AB41"/>
    <mergeCell ref="AC41:AD41"/>
    <mergeCell ref="AE41:AJ41"/>
    <mergeCell ref="AM41:AQ41"/>
    <mergeCell ref="B42:C42"/>
    <mergeCell ref="Y42:AB42"/>
    <mergeCell ref="AC42:AD42"/>
    <mergeCell ref="AE42:AJ42"/>
    <mergeCell ref="AM42:AQ42"/>
    <mergeCell ref="B39:C39"/>
    <mergeCell ref="Y39:AB39"/>
    <mergeCell ref="AC39:AD39"/>
    <mergeCell ref="AE39:AJ39"/>
    <mergeCell ref="AM39:AQ39"/>
    <mergeCell ref="B40:C40"/>
    <mergeCell ref="Y40:AB40"/>
    <mergeCell ref="AC40:AD40"/>
    <mergeCell ref="AE40:AJ40"/>
    <mergeCell ref="AM40:AQ40"/>
    <mergeCell ref="A1:Q2"/>
    <mergeCell ref="AF1:AJ1"/>
    <mergeCell ref="AF2:AJ2"/>
    <mergeCell ref="A5:Q6"/>
    <mergeCell ref="A11:E12"/>
    <mergeCell ref="F11:Q12"/>
  </mergeCells>
  <phoneticPr fontId="3"/>
  <printOptions horizontalCentered="1"/>
  <pageMargins left="0.39370078740157483" right="0.39370078740157483" top="0.78740157480314965" bottom="0.39370078740157483" header="0.31496062992125984" footer="0.31496062992125984"/>
  <pageSetup paperSize="9" scale="86" orientation="portrait" r:id="rId1"/>
  <headerFooter>
    <oddFooter>&amp;C&amp;10&amp;P / &amp;N</oddFooter>
  </headerFooter>
  <rowBreaks count="3" manualBreakCount="3">
    <brk id="54" max="35" man="1"/>
    <brk id="105" max="35" man="1"/>
    <brk id="145" max="3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4CC46-4005-46E9-9468-930B9CFAABC5}">
  <dimension ref="A1:AQ177"/>
  <sheetViews>
    <sheetView view="pageBreakPreview" topLeftCell="A70" zoomScale="115" zoomScaleNormal="100" zoomScaleSheetLayoutView="115" workbookViewId="0">
      <selection activeCell="B123" sqref="B123"/>
    </sheetView>
  </sheetViews>
  <sheetFormatPr defaultColWidth="2.58203125" defaultRowHeight="15" customHeight="1" x14ac:dyDescent="0.55000000000000004"/>
  <cols>
    <col min="1" max="1" width="2.58203125" style="30"/>
    <col min="2" max="16384" width="2.58203125" style="27"/>
  </cols>
  <sheetData>
    <row r="1" spans="1:37" s="25" customFormat="1" ht="15" customHeight="1" x14ac:dyDescent="0.55000000000000004">
      <c r="A1" s="133" t="s">
        <v>0</v>
      </c>
      <c r="B1" s="133"/>
      <c r="C1" s="133"/>
      <c r="D1" s="133"/>
      <c r="E1" s="133"/>
      <c r="F1" s="133"/>
      <c r="G1" s="133"/>
      <c r="H1" s="133"/>
      <c r="I1" s="133"/>
      <c r="J1" s="133"/>
      <c r="K1" s="133"/>
      <c r="L1" s="133"/>
      <c r="M1" s="133"/>
      <c r="N1" s="133"/>
      <c r="O1" s="133"/>
      <c r="P1" s="133"/>
      <c r="Q1" s="133"/>
      <c r="X1" s="26" t="s">
        <v>1</v>
      </c>
      <c r="Z1" s="26"/>
      <c r="AA1" s="26"/>
      <c r="AB1" s="26"/>
      <c r="AC1" s="26"/>
      <c r="AD1" s="26"/>
      <c r="AE1" s="26"/>
      <c r="AF1" s="134" t="s">
        <v>2</v>
      </c>
      <c r="AG1" s="135"/>
      <c r="AH1" s="135"/>
      <c r="AI1" s="135"/>
      <c r="AJ1" s="135"/>
      <c r="AK1" s="27"/>
    </row>
    <row r="2" spans="1:37" s="25" customFormat="1" ht="15" customHeight="1" x14ac:dyDescent="0.55000000000000004">
      <c r="A2" s="133"/>
      <c r="B2" s="133"/>
      <c r="C2" s="133"/>
      <c r="D2" s="133"/>
      <c r="E2" s="133"/>
      <c r="F2" s="133"/>
      <c r="G2" s="133"/>
      <c r="H2" s="133"/>
      <c r="I2" s="133"/>
      <c r="J2" s="133"/>
      <c r="K2" s="133"/>
      <c r="L2" s="133"/>
      <c r="M2" s="133"/>
      <c r="N2" s="133"/>
      <c r="O2" s="133"/>
      <c r="P2" s="133"/>
      <c r="Q2" s="133"/>
      <c r="X2" s="28" t="s">
        <v>3</v>
      </c>
      <c r="Y2" s="60"/>
      <c r="Z2" s="28"/>
      <c r="AA2" s="28"/>
      <c r="AB2" s="28"/>
      <c r="AC2" s="28"/>
      <c r="AD2" s="28"/>
      <c r="AE2" s="28"/>
      <c r="AF2" s="136">
        <v>45755</v>
      </c>
      <c r="AG2" s="137"/>
      <c r="AH2" s="137"/>
      <c r="AI2" s="137"/>
      <c r="AJ2" s="137"/>
      <c r="AK2" s="27"/>
    </row>
    <row r="3" spans="1:37" s="25" customFormat="1" ht="15" customHeight="1" x14ac:dyDescent="0.55000000000000004">
      <c r="A3" s="29"/>
      <c r="Z3" s="27"/>
      <c r="AA3" s="27"/>
      <c r="AB3" s="27"/>
      <c r="AC3" s="27"/>
      <c r="AD3" s="27"/>
      <c r="AE3" s="27"/>
      <c r="AF3" s="27"/>
      <c r="AG3" s="27"/>
      <c r="AH3" s="27"/>
      <c r="AI3" s="27"/>
      <c r="AJ3" s="27"/>
      <c r="AK3" s="27"/>
    </row>
    <row r="4" spans="1:37" s="25" customFormat="1" ht="15" customHeight="1" x14ac:dyDescent="0.55000000000000004">
      <c r="A4" s="29"/>
      <c r="Z4" s="27"/>
      <c r="AA4" s="27"/>
      <c r="AB4" s="27"/>
      <c r="AC4" s="27"/>
      <c r="AD4" s="27"/>
      <c r="AE4" s="27"/>
      <c r="AF4" s="27"/>
      <c r="AG4" s="27"/>
      <c r="AH4" s="27"/>
      <c r="AI4" s="27"/>
      <c r="AJ4" s="27"/>
      <c r="AK4" s="27"/>
    </row>
    <row r="5" spans="1:37" s="25" customFormat="1" ht="15" customHeight="1" x14ac:dyDescent="0.55000000000000004">
      <c r="A5" s="138" t="s">
        <v>4</v>
      </c>
      <c r="B5" s="138"/>
      <c r="C5" s="138"/>
      <c r="D5" s="138"/>
      <c r="E5" s="138"/>
      <c r="F5" s="138"/>
      <c r="G5" s="138"/>
      <c r="H5" s="138"/>
      <c r="I5" s="138"/>
      <c r="J5" s="138"/>
      <c r="K5" s="138"/>
      <c r="L5" s="138"/>
      <c r="M5" s="138"/>
      <c r="N5" s="138"/>
      <c r="O5" s="138"/>
      <c r="P5" s="138"/>
      <c r="Q5" s="138"/>
      <c r="Z5" s="27"/>
      <c r="AA5" s="27"/>
      <c r="AB5" s="27"/>
      <c r="AC5" s="27"/>
      <c r="AD5" s="27"/>
      <c r="AE5" s="27"/>
      <c r="AF5" s="27"/>
      <c r="AG5" s="27"/>
      <c r="AH5" s="27"/>
      <c r="AI5" s="27"/>
      <c r="AJ5" s="27"/>
      <c r="AK5" s="27"/>
    </row>
    <row r="6" spans="1:37" s="25" customFormat="1" ht="15" customHeight="1" x14ac:dyDescent="0.55000000000000004">
      <c r="A6" s="139"/>
      <c r="B6" s="139"/>
      <c r="C6" s="139"/>
      <c r="D6" s="139"/>
      <c r="E6" s="139"/>
      <c r="F6" s="139"/>
      <c r="G6" s="139"/>
      <c r="H6" s="139"/>
      <c r="I6" s="139"/>
      <c r="J6" s="139"/>
      <c r="K6" s="139"/>
      <c r="L6" s="139"/>
      <c r="M6" s="139"/>
      <c r="N6" s="139"/>
      <c r="O6" s="139"/>
      <c r="P6" s="139"/>
      <c r="Q6" s="139"/>
      <c r="Z6" s="27"/>
      <c r="AA6" s="27"/>
      <c r="AB6" s="27"/>
      <c r="AC6" s="27"/>
      <c r="AD6" s="27"/>
      <c r="AE6" s="27"/>
      <c r="AF6" s="27"/>
      <c r="AG6" s="27"/>
      <c r="AH6" s="27"/>
      <c r="AI6" s="27"/>
      <c r="AJ6" s="27"/>
      <c r="AK6" s="27"/>
    </row>
    <row r="7" spans="1:37" s="25" customFormat="1" ht="15" customHeight="1" x14ac:dyDescent="0.55000000000000004">
      <c r="A7" s="29"/>
      <c r="AA7" s="27"/>
      <c r="AB7" s="27"/>
      <c r="AC7" s="27"/>
      <c r="AD7" s="27"/>
      <c r="AE7" s="27"/>
      <c r="AF7" s="27"/>
      <c r="AG7" s="27"/>
      <c r="AH7" s="27"/>
      <c r="AI7" s="27"/>
      <c r="AJ7" s="27"/>
      <c r="AK7" s="27"/>
    </row>
    <row r="8" spans="1:37" s="25" customFormat="1" ht="15" customHeight="1" x14ac:dyDescent="0.55000000000000004">
      <c r="A8" s="29"/>
      <c r="X8" s="27" t="s">
        <v>5</v>
      </c>
      <c r="AA8" s="27"/>
      <c r="AB8" s="27"/>
      <c r="AC8" s="27"/>
      <c r="AD8" s="27"/>
      <c r="AE8" s="27"/>
      <c r="AF8" s="27"/>
      <c r="AG8" s="27"/>
      <c r="AH8" s="27"/>
      <c r="AI8" s="27"/>
      <c r="AJ8" s="27"/>
      <c r="AK8" s="27"/>
    </row>
    <row r="9" spans="1:37" s="25" customFormat="1" ht="15" customHeight="1" x14ac:dyDescent="0.55000000000000004">
      <c r="A9" s="29"/>
      <c r="X9" s="27" t="s">
        <v>6</v>
      </c>
      <c r="AA9" s="27"/>
      <c r="AB9" s="27"/>
      <c r="AC9" s="27"/>
      <c r="AD9" s="27"/>
      <c r="AE9" s="27"/>
      <c r="AF9" s="27"/>
      <c r="AG9" s="27"/>
      <c r="AH9" s="27"/>
      <c r="AI9" s="27"/>
      <c r="AJ9" s="27"/>
      <c r="AK9" s="27"/>
    </row>
    <row r="10" spans="1:37" s="25" customFormat="1" ht="15" customHeight="1" x14ac:dyDescent="0.55000000000000004">
      <c r="A10" s="29"/>
      <c r="X10" s="27" t="s">
        <v>7</v>
      </c>
      <c r="AA10" s="27"/>
      <c r="AB10" s="27"/>
      <c r="AC10" s="27"/>
      <c r="AD10" s="27"/>
      <c r="AE10" s="27"/>
      <c r="AF10" s="27"/>
      <c r="AG10" s="27"/>
      <c r="AH10" s="27"/>
      <c r="AI10" s="27"/>
      <c r="AJ10" s="27"/>
      <c r="AK10" s="27"/>
    </row>
    <row r="11" spans="1:37" s="25" customFormat="1" ht="15" customHeight="1" x14ac:dyDescent="0.55000000000000004">
      <c r="A11" s="140" t="s">
        <v>8</v>
      </c>
      <c r="B11" s="140"/>
      <c r="C11" s="140"/>
      <c r="D11" s="140"/>
      <c r="E11" s="140"/>
      <c r="F11" s="142">
        <f>AE46</f>
        <v>3904000</v>
      </c>
      <c r="G11" s="142"/>
      <c r="H11" s="142"/>
      <c r="I11" s="142"/>
      <c r="J11" s="142"/>
      <c r="K11" s="142"/>
      <c r="L11" s="142"/>
      <c r="M11" s="142"/>
      <c r="N11" s="142"/>
      <c r="O11" s="142"/>
      <c r="P11" s="142"/>
      <c r="Q11" s="142"/>
      <c r="X11" s="27" t="s">
        <v>9</v>
      </c>
      <c r="AA11" s="27"/>
      <c r="AB11" s="27"/>
      <c r="AC11" s="27"/>
      <c r="AD11" s="27"/>
      <c r="AE11" s="27"/>
      <c r="AF11" s="27"/>
      <c r="AG11" s="27"/>
      <c r="AH11" s="27"/>
      <c r="AI11" s="27"/>
      <c r="AJ11" s="27"/>
      <c r="AK11" s="27"/>
    </row>
    <row r="12" spans="1:37" s="25" customFormat="1" ht="15" customHeight="1" x14ac:dyDescent="0.55000000000000004">
      <c r="A12" s="141"/>
      <c r="B12" s="141"/>
      <c r="C12" s="141"/>
      <c r="D12" s="141"/>
      <c r="E12" s="141"/>
      <c r="F12" s="143"/>
      <c r="G12" s="143"/>
      <c r="H12" s="143"/>
      <c r="I12" s="143"/>
      <c r="J12" s="143"/>
      <c r="K12" s="143"/>
      <c r="L12" s="143"/>
      <c r="M12" s="143"/>
      <c r="N12" s="143"/>
      <c r="O12" s="143"/>
      <c r="P12" s="143"/>
      <c r="Q12" s="143"/>
      <c r="X12" s="27" t="s">
        <v>10</v>
      </c>
      <c r="AA12" s="27"/>
      <c r="AB12" s="27"/>
      <c r="AC12" s="27"/>
      <c r="AD12" s="27"/>
      <c r="AE12" s="27"/>
      <c r="AF12" s="27"/>
      <c r="AG12" s="27"/>
      <c r="AH12" s="27"/>
      <c r="AI12" s="27"/>
      <c r="AJ12" s="27"/>
      <c r="AK12" s="27"/>
    </row>
    <row r="13" spans="1:37" s="25" customFormat="1" ht="15" customHeight="1" x14ac:dyDescent="0.55000000000000004">
      <c r="A13" s="29"/>
    </row>
    <row r="14" spans="1:37" s="25" customFormat="1" ht="15" customHeight="1" x14ac:dyDescent="0.55000000000000004">
      <c r="A14" s="29"/>
    </row>
    <row r="15" spans="1:37" s="25" customFormat="1" ht="15" customHeight="1" x14ac:dyDescent="0.55000000000000004">
      <c r="A15" s="29"/>
    </row>
    <row r="16" spans="1:37" ht="15" customHeight="1" x14ac:dyDescent="0.55000000000000004">
      <c r="A16" s="30" t="s">
        <v>11</v>
      </c>
    </row>
    <row r="18" spans="1:16" ht="15" customHeight="1" x14ac:dyDescent="0.55000000000000004">
      <c r="B18" s="27" t="s">
        <v>259</v>
      </c>
    </row>
    <row r="20" spans="1:16" ht="15" customHeight="1" x14ac:dyDescent="0.55000000000000004">
      <c r="A20" s="27"/>
    </row>
    <row r="21" spans="1:16" ht="15" customHeight="1" x14ac:dyDescent="0.55000000000000004">
      <c r="A21" s="30" t="s">
        <v>12</v>
      </c>
      <c r="P21" s="30"/>
    </row>
    <row r="22" spans="1:16" ht="15" customHeight="1" x14ac:dyDescent="0.55000000000000004">
      <c r="A22" s="27"/>
    </row>
    <row r="23" spans="1:16" ht="15" customHeight="1" x14ac:dyDescent="0.55000000000000004">
      <c r="A23" s="27"/>
      <c r="B23" s="27" t="s">
        <v>13</v>
      </c>
    </row>
    <row r="24" spans="1:16" ht="15" customHeight="1" x14ac:dyDescent="0.55000000000000004">
      <c r="A24" s="27"/>
    </row>
    <row r="25" spans="1:16" ht="15" customHeight="1" x14ac:dyDescent="0.55000000000000004">
      <c r="A25" s="27"/>
    </row>
    <row r="26" spans="1:16" ht="15" customHeight="1" x14ac:dyDescent="0.55000000000000004">
      <c r="A26" s="30" t="s">
        <v>14</v>
      </c>
    </row>
    <row r="27" spans="1:16" ht="15" customHeight="1" x14ac:dyDescent="0.55000000000000004">
      <c r="A27" s="27"/>
    </row>
    <row r="28" spans="1:16" ht="15" customHeight="1" x14ac:dyDescent="0.55000000000000004">
      <c r="A28" s="27"/>
      <c r="B28" s="27" t="s">
        <v>15</v>
      </c>
    </row>
    <row r="29" spans="1:16" ht="15" customHeight="1" x14ac:dyDescent="0.55000000000000004">
      <c r="A29" s="27"/>
    </row>
    <row r="30" spans="1:16" ht="15" customHeight="1" x14ac:dyDescent="0.55000000000000004">
      <c r="A30" s="27"/>
    </row>
    <row r="31" spans="1:16" ht="15" customHeight="1" x14ac:dyDescent="0.55000000000000004">
      <c r="A31" s="30" t="s">
        <v>16</v>
      </c>
    </row>
    <row r="33" spans="1:43" ht="15" customHeight="1" x14ac:dyDescent="0.55000000000000004">
      <c r="A33" s="27"/>
      <c r="B33" s="27" t="s">
        <v>267</v>
      </c>
    </row>
    <row r="34" spans="1:43" ht="15" customHeight="1" x14ac:dyDescent="0.55000000000000004">
      <c r="A34" s="27"/>
    </row>
    <row r="35" spans="1:43" ht="15" customHeight="1" x14ac:dyDescent="0.55000000000000004">
      <c r="A35" s="27"/>
    </row>
    <row r="36" spans="1:43" ht="15" customHeight="1" x14ac:dyDescent="0.55000000000000004">
      <c r="A36" s="30" t="s">
        <v>17</v>
      </c>
    </row>
    <row r="37" spans="1:43" ht="15" customHeight="1" x14ac:dyDescent="0.55000000000000004">
      <c r="A37" s="27"/>
    </row>
    <row r="38" spans="1:43" ht="15" customHeight="1" x14ac:dyDescent="0.55000000000000004">
      <c r="A38" s="27"/>
      <c r="B38" s="31" t="s">
        <v>18</v>
      </c>
      <c r="C38" s="32"/>
      <c r="D38" s="31" t="s">
        <v>19</v>
      </c>
      <c r="E38" s="33"/>
      <c r="F38" s="33"/>
      <c r="G38" s="33"/>
      <c r="H38" s="33"/>
      <c r="I38" s="33"/>
      <c r="J38" s="33"/>
      <c r="K38" s="33"/>
      <c r="L38" s="33"/>
      <c r="M38" s="33"/>
      <c r="N38" s="33"/>
      <c r="O38" s="33"/>
      <c r="P38" s="33"/>
      <c r="Q38" s="33"/>
      <c r="R38" s="33"/>
      <c r="S38" s="33"/>
      <c r="T38" s="31"/>
      <c r="U38" s="33"/>
      <c r="V38" s="33"/>
      <c r="W38" s="33"/>
      <c r="X38" s="32"/>
      <c r="Y38" s="31" t="s">
        <v>20</v>
      </c>
      <c r="Z38" s="33"/>
      <c r="AA38" s="33"/>
      <c r="AB38" s="33"/>
      <c r="AC38" s="33"/>
      <c r="AD38" s="33"/>
      <c r="AE38" s="31" t="s">
        <v>21</v>
      </c>
      <c r="AF38" s="33"/>
      <c r="AG38" s="33"/>
      <c r="AH38" s="33"/>
      <c r="AI38" s="33"/>
      <c r="AJ38" s="32"/>
      <c r="AM38" s="31" t="s">
        <v>22</v>
      </c>
      <c r="AN38" s="33"/>
      <c r="AO38" s="33"/>
      <c r="AP38" s="33"/>
      <c r="AQ38" s="32"/>
    </row>
    <row r="39" spans="1:43" ht="15" customHeight="1" x14ac:dyDescent="0.55000000000000004">
      <c r="A39" s="27"/>
      <c r="B39" s="144">
        <v>1</v>
      </c>
      <c r="C39" s="145"/>
      <c r="D39" s="34" t="s">
        <v>23</v>
      </c>
      <c r="E39" s="35"/>
      <c r="F39" s="35"/>
      <c r="G39" s="35"/>
      <c r="H39" s="35"/>
      <c r="I39" s="35"/>
      <c r="J39" s="35"/>
      <c r="K39" s="35"/>
      <c r="L39" s="35"/>
      <c r="M39" s="35"/>
      <c r="N39" s="35"/>
      <c r="O39" s="35"/>
      <c r="P39" s="35"/>
      <c r="Q39" s="35"/>
      <c r="R39" s="35"/>
      <c r="S39" s="35"/>
      <c r="T39" s="61"/>
      <c r="U39" s="61"/>
      <c r="V39" s="61"/>
      <c r="W39" s="61"/>
      <c r="X39" s="62"/>
      <c r="Y39" s="146">
        <v>0.3</v>
      </c>
      <c r="Z39" s="147"/>
      <c r="AA39" s="147"/>
      <c r="AB39" s="147"/>
      <c r="AC39" s="148" t="s">
        <v>24</v>
      </c>
      <c r="AD39" s="149"/>
      <c r="AE39" s="150">
        <f>AM39*Y39</f>
        <v>300000</v>
      </c>
      <c r="AF39" s="151"/>
      <c r="AG39" s="151"/>
      <c r="AH39" s="151"/>
      <c r="AI39" s="151"/>
      <c r="AJ39" s="152"/>
      <c r="AM39" s="150">
        <v>1000000</v>
      </c>
      <c r="AN39" s="151"/>
      <c r="AO39" s="151"/>
      <c r="AP39" s="151"/>
      <c r="AQ39" s="152"/>
    </row>
    <row r="40" spans="1:43" ht="15" customHeight="1" x14ac:dyDescent="0.55000000000000004">
      <c r="A40" s="27"/>
      <c r="B40" s="144">
        <v>2</v>
      </c>
      <c r="C40" s="145"/>
      <c r="D40" s="34" t="s">
        <v>25</v>
      </c>
      <c r="E40" s="35"/>
      <c r="F40" s="35"/>
      <c r="G40" s="35"/>
      <c r="H40" s="35"/>
      <c r="I40" s="35"/>
      <c r="J40" s="35"/>
      <c r="K40" s="35"/>
      <c r="L40" s="35"/>
      <c r="M40" s="35"/>
      <c r="N40" s="35"/>
      <c r="O40" s="35"/>
      <c r="P40" s="35"/>
      <c r="Q40" s="35"/>
      <c r="R40" s="35"/>
      <c r="S40" s="35"/>
      <c r="T40" s="61"/>
      <c r="U40" s="61"/>
      <c r="V40" s="61"/>
      <c r="W40" s="61"/>
      <c r="X40" s="62"/>
      <c r="Y40" s="146">
        <v>0.35</v>
      </c>
      <c r="Z40" s="147"/>
      <c r="AA40" s="147"/>
      <c r="AB40" s="147"/>
      <c r="AC40" s="148" t="s">
        <v>24</v>
      </c>
      <c r="AD40" s="149"/>
      <c r="AE40" s="150">
        <f t="shared" ref="AE40:AE44" si="0">AM40*Y40</f>
        <v>350000</v>
      </c>
      <c r="AF40" s="151"/>
      <c r="AG40" s="151"/>
      <c r="AH40" s="151"/>
      <c r="AI40" s="151"/>
      <c r="AJ40" s="152"/>
      <c r="AM40" s="150">
        <v>1000000</v>
      </c>
      <c r="AN40" s="151"/>
      <c r="AO40" s="151"/>
      <c r="AP40" s="151"/>
      <c r="AQ40" s="152"/>
    </row>
    <row r="41" spans="1:43" ht="15" customHeight="1" x14ac:dyDescent="0.55000000000000004">
      <c r="A41" s="27"/>
      <c r="B41" s="144">
        <v>3</v>
      </c>
      <c r="C41" s="145"/>
      <c r="D41" s="34" t="s">
        <v>26</v>
      </c>
      <c r="E41" s="35"/>
      <c r="F41" s="35"/>
      <c r="G41" s="35"/>
      <c r="H41" s="35"/>
      <c r="I41" s="35"/>
      <c r="J41" s="35"/>
      <c r="K41" s="35"/>
      <c r="L41" s="35"/>
      <c r="M41" s="35"/>
      <c r="N41" s="35"/>
      <c r="O41" s="35"/>
      <c r="P41" s="35"/>
      <c r="Q41" s="35"/>
      <c r="R41" s="35"/>
      <c r="S41" s="35"/>
      <c r="T41" s="61"/>
      <c r="U41" s="61"/>
      <c r="V41" s="61"/>
      <c r="W41" s="61"/>
      <c r="X41" s="62"/>
      <c r="Y41" s="146">
        <v>0.95</v>
      </c>
      <c r="Z41" s="147"/>
      <c r="AA41" s="147"/>
      <c r="AB41" s="147"/>
      <c r="AC41" s="148" t="s">
        <v>24</v>
      </c>
      <c r="AD41" s="149"/>
      <c r="AE41" s="150">
        <f t="shared" si="0"/>
        <v>950000</v>
      </c>
      <c r="AF41" s="151"/>
      <c r="AG41" s="151"/>
      <c r="AH41" s="151"/>
      <c r="AI41" s="151"/>
      <c r="AJ41" s="152"/>
      <c r="AM41" s="150">
        <v>1000000</v>
      </c>
      <c r="AN41" s="151"/>
      <c r="AO41" s="151"/>
      <c r="AP41" s="151"/>
      <c r="AQ41" s="152"/>
    </row>
    <row r="42" spans="1:43" ht="15" customHeight="1" x14ac:dyDescent="0.55000000000000004">
      <c r="A42" s="27"/>
      <c r="B42" s="144">
        <v>4</v>
      </c>
      <c r="C42" s="145"/>
      <c r="D42" s="34" t="s">
        <v>27</v>
      </c>
      <c r="E42" s="35"/>
      <c r="F42" s="35"/>
      <c r="G42" s="35"/>
      <c r="H42" s="35"/>
      <c r="I42" s="35"/>
      <c r="J42" s="35"/>
      <c r="K42" s="35"/>
      <c r="L42" s="35"/>
      <c r="M42" s="35"/>
      <c r="N42" s="35"/>
      <c r="O42" s="35"/>
      <c r="P42" s="35"/>
      <c r="Q42" s="35"/>
      <c r="R42" s="35"/>
      <c r="S42" s="35"/>
      <c r="T42" s="61"/>
      <c r="U42" s="61"/>
      <c r="V42" s="61"/>
      <c r="W42" s="61"/>
      <c r="X42" s="62"/>
      <c r="Y42" s="146">
        <v>1.1000000000000001</v>
      </c>
      <c r="Z42" s="147"/>
      <c r="AA42" s="147"/>
      <c r="AB42" s="147"/>
      <c r="AC42" s="148" t="s">
        <v>24</v>
      </c>
      <c r="AD42" s="149"/>
      <c r="AE42" s="150">
        <f t="shared" ref="AE42:AE43" si="1">AM42*Y42</f>
        <v>1100000</v>
      </c>
      <c r="AF42" s="151"/>
      <c r="AG42" s="151"/>
      <c r="AH42" s="151"/>
      <c r="AI42" s="151"/>
      <c r="AJ42" s="152"/>
      <c r="AM42" s="150">
        <v>1000000</v>
      </c>
      <c r="AN42" s="151"/>
      <c r="AO42" s="151"/>
      <c r="AP42" s="151"/>
      <c r="AQ42" s="152"/>
    </row>
    <row r="43" spans="1:43" ht="15" customHeight="1" x14ac:dyDescent="0.55000000000000004">
      <c r="A43" s="27"/>
      <c r="B43" s="144">
        <v>5</v>
      </c>
      <c r="C43" s="145"/>
      <c r="D43" s="34" t="s">
        <v>28</v>
      </c>
      <c r="E43" s="35"/>
      <c r="F43" s="35"/>
      <c r="G43" s="35"/>
      <c r="H43" s="35"/>
      <c r="I43" s="35"/>
      <c r="J43" s="35"/>
      <c r="K43" s="35"/>
      <c r="L43" s="35"/>
      <c r="M43" s="35"/>
      <c r="N43" s="35"/>
      <c r="O43" s="35"/>
      <c r="P43" s="35"/>
      <c r="Q43" s="35"/>
      <c r="R43" s="35"/>
      <c r="S43" s="35"/>
      <c r="T43" s="61"/>
      <c r="U43" s="61"/>
      <c r="V43" s="61"/>
      <c r="W43" s="61"/>
      <c r="X43" s="62"/>
      <c r="Y43" s="146">
        <v>0.1</v>
      </c>
      <c r="Z43" s="147"/>
      <c r="AA43" s="147"/>
      <c r="AB43" s="147"/>
      <c r="AC43" s="148" t="s">
        <v>24</v>
      </c>
      <c r="AD43" s="149"/>
      <c r="AE43" s="150">
        <f t="shared" si="1"/>
        <v>100000</v>
      </c>
      <c r="AF43" s="151"/>
      <c r="AG43" s="151"/>
      <c r="AH43" s="151"/>
      <c r="AI43" s="151"/>
      <c r="AJ43" s="152"/>
      <c r="AM43" s="150">
        <v>1000000</v>
      </c>
      <c r="AN43" s="151"/>
      <c r="AO43" s="151"/>
      <c r="AP43" s="151"/>
      <c r="AQ43" s="152"/>
    </row>
    <row r="44" spans="1:43" ht="15" customHeight="1" x14ac:dyDescent="0.55000000000000004">
      <c r="A44" s="27"/>
      <c r="B44" s="144">
        <v>6</v>
      </c>
      <c r="C44" s="145"/>
      <c r="D44" s="34" t="s">
        <v>29</v>
      </c>
      <c r="E44" s="35"/>
      <c r="F44" s="35"/>
      <c r="G44" s="35"/>
      <c r="H44" s="35"/>
      <c r="I44" s="35"/>
      <c r="J44" s="35"/>
      <c r="K44" s="35"/>
      <c r="L44" s="35"/>
      <c r="M44" s="35"/>
      <c r="N44" s="35"/>
      <c r="O44" s="35"/>
      <c r="P44" s="35"/>
      <c r="Q44" s="35"/>
      <c r="R44" s="35"/>
      <c r="S44" s="35"/>
      <c r="T44" s="61"/>
      <c r="U44" s="61"/>
      <c r="V44" s="61"/>
      <c r="W44" s="61"/>
      <c r="X44" s="62"/>
      <c r="Y44" s="146">
        <v>0.25</v>
      </c>
      <c r="Z44" s="147"/>
      <c r="AA44" s="147"/>
      <c r="AB44" s="147"/>
      <c r="AC44" s="148" t="s">
        <v>24</v>
      </c>
      <c r="AD44" s="149"/>
      <c r="AE44" s="150">
        <f t="shared" si="0"/>
        <v>250000</v>
      </c>
      <c r="AF44" s="151"/>
      <c r="AG44" s="151"/>
      <c r="AH44" s="151"/>
      <c r="AI44" s="151"/>
      <c r="AJ44" s="152"/>
      <c r="AM44" s="150">
        <v>1000000</v>
      </c>
      <c r="AN44" s="151"/>
      <c r="AO44" s="151"/>
      <c r="AP44" s="151"/>
      <c r="AQ44" s="152"/>
    </row>
    <row r="45" spans="1:43" ht="15" customHeight="1" x14ac:dyDescent="0.55000000000000004">
      <c r="A45" s="27"/>
      <c r="B45" s="144">
        <v>7</v>
      </c>
      <c r="C45" s="145"/>
      <c r="D45" s="34" t="s">
        <v>30</v>
      </c>
      <c r="E45" s="35"/>
      <c r="F45" s="35"/>
      <c r="G45" s="35"/>
      <c r="H45" s="35"/>
      <c r="I45" s="35"/>
      <c r="J45" s="35"/>
      <c r="K45" s="35"/>
      <c r="L45" s="35"/>
      <c r="M45" s="35"/>
      <c r="N45" s="35"/>
      <c r="O45" s="35"/>
      <c r="P45" s="35"/>
      <c r="Q45" s="35"/>
      <c r="R45" s="35"/>
      <c r="S45" s="35"/>
      <c r="T45" s="61"/>
      <c r="U45" s="61"/>
      <c r="V45" s="61"/>
      <c r="W45" s="61"/>
      <c r="X45" s="62"/>
      <c r="Y45" s="146">
        <f>ROUNDUP(SUM(Y39:AB44)*0.2,2)</f>
        <v>0.61</v>
      </c>
      <c r="Z45" s="147"/>
      <c r="AA45" s="147"/>
      <c r="AB45" s="147"/>
      <c r="AC45" s="148" t="s">
        <v>24</v>
      </c>
      <c r="AD45" s="149"/>
      <c r="AE45" s="150">
        <f>AM45*Y45</f>
        <v>854000</v>
      </c>
      <c r="AF45" s="151"/>
      <c r="AG45" s="151"/>
      <c r="AH45" s="151"/>
      <c r="AI45" s="151"/>
      <c r="AJ45" s="152"/>
      <c r="AM45" s="150">
        <v>1400000</v>
      </c>
      <c r="AN45" s="151"/>
      <c r="AO45" s="151"/>
      <c r="AP45" s="151"/>
      <c r="AQ45" s="152"/>
    </row>
    <row r="46" spans="1:43" ht="15" customHeight="1" x14ac:dyDescent="0.55000000000000004">
      <c r="A46" s="27"/>
      <c r="B46" s="144"/>
      <c r="C46" s="145"/>
      <c r="D46" s="34" t="s">
        <v>31</v>
      </c>
      <c r="E46" s="35"/>
      <c r="F46" s="35"/>
      <c r="G46" s="35"/>
      <c r="H46" s="35"/>
      <c r="I46" s="35"/>
      <c r="J46" s="35"/>
      <c r="K46" s="35"/>
      <c r="L46" s="35"/>
      <c r="M46" s="35"/>
      <c r="N46" s="35"/>
      <c r="O46" s="35"/>
      <c r="P46" s="35"/>
      <c r="Q46" s="35"/>
      <c r="R46" s="35"/>
      <c r="S46" s="35"/>
      <c r="T46" s="61"/>
      <c r="U46" s="61"/>
      <c r="V46" s="61"/>
      <c r="W46" s="61"/>
      <c r="X46" s="62"/>
      <c r="Y46" s="146">
        <f>SUM(Y39:AB45)</f>
        <v>3.66</v>
      </c>
      <c r="Z46" s="147"/>
      <c r="AA46" s="147"/>
      <c r="AB46" s="147"/>
      <c r="AC46" s="148" t="s">
        <v>24</v>
      </c>
      <c r="AD46" s="149"/>
      <c r="AE46" s="150">
        <f>SUM(AE39:AJ45)</f>
        <v>3904000</v>
      </c>
      <c r="AF46" s="151"/>
      <c r="AG46" s="151"/>
      <c r="AH46" s="151"/>
      <c r="AI46" s="151"/>
      <c r="AJ46" s="152"/>
      <c r="AM46" s="150" t="s">
        <v>32</v>
      </c>
      <c r="AN46" s="151"/>
      <c r="AO46" s="151"/>
      <c r="AP46" s="151"/>
      <c r="AQ46" s="152"/>
    </row>
    <row r="47" spans="1:43" ht="15" customHeight="1" x14ac:dyDescent="0.55000000000000004">
      <c r="A47" s="27"/>
    </row>
    <row r="48" spans="1:43" ht="15" customHeight="1" x14ac:dyDescent="0.55000000000000004">
      <c r="A48" s="27"/>
    </row>
    <row r="49" spans="1:32" ht="15" customHeight="1" x14ac:dyDescent="0.55000000000000004">
      <c r="A49" s="30" t="s">
        <v>33</v>
      </c>
      <c r="T49" s="46"/>
    </row>
    <row r="50" spans="1:32" ht="15" customHeight="1" x14ac:dyDescent="0.55000000000000004">
      <c r="A50" s="27"/>
    </row>
    <row r="51" spans="1:32" ht="15" customHeight="1" x14ac:dyDescent="0.55000000000000004">
      <c r="A51" s="27"/>
      <c r="B51" s="36" t="s">
        <v>34</v>
      </c>
      <c r="C51" s="63" t="s">
        <v>35</v>
      </c>
      <c r="D51" s="63"/>
      <c r="E51" s="63"/>
      <c r="F51" s="63"/>
      <c r="G51" s="63"/>
      <c r="H51" s="63"/>
      <c r="I51" s="63"/>
      <c r="J51" s="63"/>
      <c r="K51" s="63"/>
      <c r="L51" s="63"/>
      <c r="M51" s="63"/>
      <c r="N51" s="63"/>
      <c r="O51" s="63"/>
      <c r="P51" s="63"/>
      <c r="Q51" s="63"/>
      <c r="R51" s="63"/>
      <c r="S51" s="63"/>
      <c r="T51" s="64" t="s">
        <v>34</v>
      </c>
      <c r="U51" s="63" t="s">
        <v>36</v>
      </c>
    </row>
    <row r="52" spans="1:32" ht="15" customHeight="1" x14ac:dyDescent="0.55000000000000004">
      <c r="A52" s="27"/>
      <c r="B52" s="36" t="s">
        <v>34</v>
      </c>
      <c r="C52" s="63" t="s">
        <v>37</v>
      </c>
      <c r="D52" s="63"/>
      <c r="E52" s="63"/>
      <c r="F52" s="63"/>
      <c r="G52" s="63"/>
      <c r="H52" s="63"/>
      <c r="I52" s="63"/>
      <c r="J52" s="63"/>
      <c r="K52" s="63"/>
      <c r="L52" s="63"/>
      <c r="M52" s="63"/>
      <c r="N52" s="63"/>
      <c r="O52" s="63"/>
      <c r="P52" s="63"/>
      <c r="Q52" s="63"/>
      <c r="R52" s="63"/>
      <c r="S52" s="63"/>
      <c r="T52" s="64" t="s">
        <v>34</v>
      </c>
      <c r="U52" s="63" t="s">
        <v>38</v>
      </c>
    </row>
    <row r="53" spans="1:32" ht="15" customHeight="1" x14ac:dyDescent="0.55000000000000004">
      <c r="A53" s="27"/>
      <c r="B53" s="36" t="s">
        <v>34</v>
      </c>
      <c r="C53" s="63" t="s">
        <v>251</v>
      </c>
      <c r="D53" s="63"/>
      <c r="E53" s="63"/>
      <c r="F53" s="63"/>
      <c r="G53" s="63"/>
      <c r="H53" s="63"/>
      <c r="I53" s="63"/>
      <c r="J53" s="63"/>
      <c r="K53" s="63"/>
      <c r="L53" s="63"/>
      <c r="M53" s="63"/>
      <c r="N53" s="63"/>
      <c r="O53" s="63"/>
      <c r="P53" s="63"/>
      <c r="Q53" s="63"/>
      <c r="R53" s="63"/>
      <c r="S53" s="63"/>
      <c r="T53" s="64"/>
      <c r="U53" s="63"/>
    </row>
    <row r="54" spans="1:32" ht="15" customHeight="1" x14ac:dyDescent="0.55000000000000004">
      <c r="A54" s="27"/>
      <c r="B54" s="37"/>
    </row>
    <row r="55" spans="1:32" ht="15" customHeight="1" x14ac:dyDescent="0.55000000000000004">
      <c r="A55" s="30" t="s">
        <v>39</v>
      </c>
    </row>
    <row r="56" spans="1:32" ht="15" customHeight="1" x14ac:dyDescent="0.55000000000000004">
      <c r="A56" s="27"/>
    </row>
    <row r="57" spans="1:32" ht="15" customHeight="1" x14ac:dyDescent="0.55000000000000004">
      <c r="A57" s="27"/>
      <c r="B57" s="38" t="s">
        <v>18</v>
      </c>
      <c r="C57" s="39"/>
      <c r="D57" s="38" t="s">
        <v>40</v>
      </c>
      <c r="E57" s="40"/>
      <c r="F57" s="40"/>
      <c r="G57" s="40"/>
      <c r="H57" s="40"/>
      <c r="I57" s="115" t="s">
        <v>39</v>
      </c>
      <c r="J57" s="113"/>
      <c r="K57" s="113"/>
      <c r="L57" s="113"/>
      <c r="M57" s="113"/>
      <c r="N57" s="113"/>
      <c r="O57" s="113"/>
      <c r="P57" s="113"/>
      <c r="Q57" s="113"/>
      <c r="R57" s="113"/>
      <c r="S57" s="113"/>
      <c r="T57" s="114"/>
      <c r="U57" s="115" t="s">
        <v>41</v>
      </c>
      <c r="V57" s="113"/>
      <c r="W57" s="113"/>
      <c r="X57" s="113"/>
      <c r="Y57" s="113"/>
      <c r="Z57" s="113"/>
      <c r="AA57" s="113"/>
      <c r="AB57" s="113"/>
      <c r="AC57" s="113"/>
      <c r="AD57" s="113"/>
      <c r="AE57" s="113"/>
      <c r="AF57" s="114"/>
    </row>
    <row r="58" spans="1:32" ht="15" customHeight="1" x14ac:dyDescent="0.55000000000000004">
      <c r="A58" s="27"/>
      <c r="B58" s="41">
        <v>1</v>
      </c>
      <c r="C58" s="42"/>
      <c r="D58" s="153" t="s">
        <v>42</v>
      </c>
      <c r="E58" s="154"/>
      <c r="F58" s="154"/>
      <c r="G58" s="154"/>
      <c r="H58" s="154"/>
      <c r="I58" s="47" t="s">
        <v>43</v>
      </c>
      <c r="J58" s="48" t="s">
        <v>44</v>
      </c>
      <c r="K58" s="48"/>
      <c r="L58" s="48"/>
      <c r="M58" s="48"/>
      <c r="N58" s="48"/>
      <c r="O58" s="48"/>
      <c r="P58" s="48"/>
      <c r="Q58" s="48"/>
      <c r="R58" s="48"/>
      <c r="S58" s="48"/>
      <c r="T58" s="49"/>
      <c r="U58" s="48" t="s">
        <v>43</v>
      </c>
      <c r="V58" s="48" t="s">
        <v>45</v>
      </c>
      <c r="W58" s="48"/>
      <c r="X58" s="48"/>
      <c r="Y58" s="48"/>
      <c r="Z58" s="48"/>
      <c r="AA58" s="48"/>
      <c r="AB58" s="48"/>
      <c r="AC58" s="48"/>
      <c r="AD58" s="48"/>
      <c r="AE58" s="48"/>
      <c r="AF58" s="49"/>
    </row>
    <row r="59" spans="1:32" ht="15" customHeight="1" x14ac:dyDescent="0.55000000000000004">
      <c r="A59" s="27"/>
      <c r="B59" s="110"/>
      <c r="C59" s="111"/>
      <c r="D59" s="112"/>
      <c r="E59" s="46"/>
      <c r="F59" s="46"/>
      <c r="G59" s="46"/>
      <c r="H59" s="46"/>
      <c r="I59" s="43" t="s">
        <v>43</v>
      </c>
      <c r="J59" s="155" t="s">
        <v>239</v>
      </c>
      <c r="K59" s="155"/>
      <c r="L59" s="155"/>
      <c r="M59" s="155"/>
      <c r="N59" s="155"/>
      <c r="O59" s="155"/>
      <c r="P59" s="155"/>
      <c r="Q59" s="155"/>
      <c r="R59" s="155"/>
      <c r="S59" s="155"/>
      <c r="T59" s="156"/>
      <c r="U59" s="27" t="s">
        <v>43</v>
      </c>
      <c r="V59" s="27" t="s">
        <v>46</v>
      </c>
      <c r="AF59" s="44"/>
    </row>
    <row r="60" spans="1:32" ht="15" customHeight="1" x14ac:dyDescent="0.55000000000000004">
      <c r="A60" s="27"/>
      <c r="B60" s="50"/>
      <c r="C60" s="51"/>
      <c r="D60" s="52"/>
      <c r="E60" s="53"/>
      <c r="F60" s="53"/>
      <c r="G60" s="53"/>
      <c r="H60" s="53"/>
      <c r="I60" s="54" t="s">
        <v>43</v>
      </c>
      <c r="J60" s="157" t="s">
        <v>240</v>
      </c>
      <c r="K60" s="157"/>
      <c r="L60" s="157"/>
      <c r="M60" s="157"/>
      <c r="N60" s="157"/>
      <c r="O60" s="157"/>
      <c r="P60" s="157"/>
      <c r="Q60" s="157"/>
      <c r="R60" s="157"/>
      <c r="S60" s="157"/>
      <c r="T60" s="158"/>
      <c r="U60" s="55"/>
      <c r="V60" s="55"/>
      <c r="W60" s="55"/>
      <c r="X60" s="55"/>
      <c r="Y60" s="55"/>
      <c r="Z60" s="55"/>
      <c r="AA60" s="55"/>
      <c r="AB60" s="55"/>
      <c r="AC60" s="55"/>
      <c r="AD60" s="55"/>
      <c r="AE60" s="55"/>
      <c r="AF60" s="56"/>
    </row>
    <row r="61" spans="1:32" ht="15" customHeight="1" x14ac:dyDescent="0.55000000000000004">
      <c r="A61" s="27"/>
      <c r="B61" s="41">
        <v>2</v>
      </c>
      <c r="C61" s="42"/>
      <c r="D61" s="153" t="s">
        <v>47</v>
      </c>
      <c r="E61" s="154"/>
      <c r="F61" s="154"/>
      <c r="G61" s="154"/>
      <c r="H61" s="154"/>
      <c r="I61" s="43" t="s">
        <v>48</v>
      </c>
      <c r="T61" s="44"/>
      <c r="U61" s="47" t="s">
        <v>34</v>
      </c>
      <c r="V61" s="27" t="s">
        <v>49</v>
      </c>
      <c r="AF61" s="44"/>
    </row>
    <row r="62" spans="1:32" ht="15" customHeight="1" x14ac:dyDescent="0.55000000000000004">
      <c r="A62" s="27"/>
      <c r="B62" s="50"/>
      <c r="C62" s="51"/>
      <c r="D62" s="52"/>
      <c r="E62" s="53"/>
      <c r="F62" s="53"/>
      <c r="G62" s="53"/>
      <c r="H62" s="53"/>
      <c r="I62" s="54"/>
      <c r="T62" s="44"/>
      <c r="U62" s="54"/>
      <c r="AF62" s="44"/>
    </row>
    <row r="63" spans="1:32" ht="15" customHeight="1" x14ac:dyDescent="0.55000000000000004">
      <c r="A63" s="27"/>
      <c r="B63" s="41">
        <v>3</v>
      </c>
      <c r="C63" s="42"/>
      <c r="D63" s="153" t="s">
        <v>50</v>
      </c>
      <c r="E63" s="154"/>
      <c r="F63" s="154"/>
      <c r="G63" s="154"/>
      <c r="H63" s="154"/>
      <c r="I63" s="43" t="s">
        <v>43</v>
      </c>
      <c r="J63" s="48" t="s">
        <v>51</v>
      </c>
      <c r="K63" s="48"/>
      <c r="L63" s="48"/>
      <c r="M63" s="48"/>
      <c r="N63" s="48"/>
      <c r="O63" s="48"/>
      <c r="P63" s="48"/>
      <c r="Q63" s="48"/>
      <c r="R63" s="48"/>
      <c r="S63" s="48"/>
      <c r="T63" s="49"/>
      <c r="U63" s="43" t="s">
        <v>52</v>
      </c>
      <c r="V63" s="48" t="s">
        <v>53</v>
      </c>
      <c r="W63" s="48"/>
      <c r="X63" s="48"/>
      <c r="Y63" s="48"/>
      <c r="Z63" s="48"/>
      <c r="AA63" s="48"/>
      <c r="AB63" s="48"/>
      <c r="AC63" s="48"/>
      <c r="AD63" s="48"/>
      <c r="AE63" s="48"/>
      <c r="AF63" s="49"/>
    </row>
    <row r="64" spans="1:32" ht="15" customHeight="1" x14ac:dyDescent="0.55000000000000004">
      <c r="A64" s="27"/>
      <c r="B64" s="50"/>
      <c r="C64" s="51"/>
      <c r="D64" s="112"/>
      <c r="E64" s="53"/>
      <c r="F64" s="53"/>
      <c r="G64" s="53"/>
      <c r="H64" s="53"/>
      <c r="I64" s="43"/>
      <c r="J64" s="55"/>
      <c r="K64" s="55"/>
      <c r="L64" s="55"/>
      <c r="M64" s="55"/>
      <c r="N64" s="55"/>
      <c r="O64" s="55"/>
      <c r="P64" s="55"/>
      <c r="Q64" s="55"/>
      <c r="R64" s="55"/>
      <c r="S64" s="55"/>
      <c r="T64" s="56"/>
      <c r="U64" s="43"/>
      <c r="V64" s="55"/>
      <c r="W64" s="55"/>
      <c r="X64" s="55"/>
      <c r="Y64" s="55"/>
      <c r="Z64" s="55"/>
      <c r="AA64" s="55"/>
      <c r="AB64" s="55"/>
      <c r="AC64" s="55"/>
      <c r="AD64" s="55"/>
      <c r="AE64" s="55"/>
      <c r="AF64" s="56"/>
    </row>
    <row r="65" spans="1:35" ht="15" customHeight="1" x14ac:dyDescent="0.55000000000000004">
      <c r="A65" s="27"/>
      <c r="B65" s="41">
        <v>4</v>
      </c>
      <c r="C65" s="42"/>
      <c r="D65" s="153" t="s">
        <v>54</v>
      </c>
      <c r="E65" s="154"/>
      <c r="F65" s="154"/>
      <c r="G65" s="154"/>
      <c r="H65" s="154"/>
      <c r="I65" s="47" t="s">
        <v>43</v>
      </c>
      <c r="J65" s="48" t="s">
        <v>55</v>
      </c>
      <c r="K65" s="48"/>
      <c r="L65" s="48"/>
      <c r="M65" s="48"/>
      <c r="N65" s="48"/>
      <c r="O65" s="48"/>
      <c r="P65" s="48"/>
      <c r="Q65" s="48"/>
      <c r="R65" s="48"/>
      <c r="S65" s="48"/>
      <c r="T65" s="49"/>
      <c r="U65" s="47" t="s">
        <v>52</v>
      </c>
      <c r="V65" s="48" t="s">
        <v>56</v>
      </c>
      <c r="W65" s="48"/>
      <c r="X65" s="48"/>
      <c r="Y65" s="48"/>
      <c r="Z65" s="48"/>
      <c r="AA65" s="48"/>
      <c r="AB65" s="48"/>
      <c r="AC65" s="48"/>
      <c r="AD65" s="48"/>
      <c r="AE65" s="48"/>
      <c r="AF65" s="49"/>
    </row>
    <row r="66" spans="1:35" ht="15" customHeight="1" x14ac:dyDescent="0.55000000000000004">
      <c r="A66" s="27"/>
      <c r="B66" s="50"/>
      <c r="C66" s="51"/>
      <c r="D66" s="112"/>
      <c r="E66" s="53"/>
      <c r="F66" s="53"/>
      <c r="G66" s="53"/>
      <c r="H66" s="53"/>
      <c r="I66" s="54"/>
      <c r="J66" s="55"/>
      <c r="K66" s="55"/>
      <c r="L66" s="55"/>
      <c r="M66" s="55"/>
      <c r="N66" s="55"/>
      <c r="O66" s="55"/>
      <c r="P66" s="55"/>
      <c r="Q66" s="55"/>
      <c r="R66" s="55"/>
      <c r="S66" s="55"/>
      <c r="T66" s="56"/>
      <c r="U66" s="54"/>
      <c r="V66" s="55"/>
      <c r="W66" s="55"/>
      <c r="X66" s="55"/>
      <c r="Y66" s="55"/>
      <c r="Z66" s="55"/>
      <c r="AA66" s="55"/>
      <c r="AB66" s="55"/>
      <c r="AC66" s="55"/>
      <c r="AD66" s="55"/>
      <c r="AE66" s="55"/>
      <c r="AF66" s="56"/>
    </row>
    <row r="67" spans="1:35" ht="15" customHeight="1" x14ac:dyDescent="0.55000000000000004">
      <c r="A67" s="27"/>
      <c r="B67" s="41">
        <v>5</v>
      </c>
      <c r="C67" s="42"/>
      <c r="D67" s="153" t="s">
        <v>57</v>
      </c>
      <c r="E67" s="154"/>
      <c r="F67" s="154"/>
      <c r="G67" s="154"/>
      <c r="H67" s="154"/>
      <c r="I67" s="47" t="s">
        <v>43</v>
      </c>
      <c r="J67" s="48" t="s">
        <v>58</v>
      </c>
      <c r="K67" s="48"/>
      <c r="L67" s="48"/>
      <c r="M67" s="48"/>
      <c r="N67" s="48"/>
      <c r="O67" s="48"/>
      <c r="P67" s="48"/>
      <c r="Q67" s="48"/>
      <c r="R67" s="48"/>
      <c r="S67" s="48"/>
      <c r="T67" s="49"/>
      <c r="U67" s="47"/>
      <c r="V67" s="48"/>
      <c r="W67" s="48"/>
      <c r="X67" s="48"/>
      <c r="Y67" s="48"/>
      <c r="Z67" s="48"/>
      <c r="AA67" s="48"/>
      <c r="AB67" s="48"/>
      <c r="AC67" s="48"/>
      <c r="AD67" s="48"/>
      <c r="AE67" s="48"/>
      <c r="AF67" s="49"/>
    </row>
    <row r="68" spans="1:35" ht="15" customHeight="1" x14ac:dyDescent="0.55000000000000004">
      <c r="A68" s="27"/>
      <c r="B68" s="50"/>
      <c r="C68" s="51"/>
      <c r="D68" s="112"/>
      <c r="E68" s="53"/>
      <c r="F68" s="53"/>
      <c r="G68" s="53"/>
      <c r="H68" s="53"/>
      <c r="I68" s="54"/>
      <c r="J68" s="55"/>
      <c r="K68" s="55"/>
      <c r="L68" s="55"/>
      <c r="M68" s="55"/>
      <c r="N68" s="55"/>
      <c r="O68" s="55"/>
      <c r="P68" s="55"/>
      <c r="Q68" s="55"/>
      <c r="R68" s="55"/>
      <c r="S68" s="55"/>
      <c r="T68" s="56"/>
      <c r="U68" s="54"/>
      <c r="V68" s="55"/>
      <c r="W68" s="55"/>
      <c r="X68" s="55"/>
      <c r="Y68" s="55"/>
      <c r="Z68" s="55"/>
      <c r="AA68" s="55"/>
      <c r="AB68" s="55"/>
      <c r="AC68" s="55"/>
      <c r="AD68" s="55"/>
      <c r="AE68" s="55"/>
      <c r="AF68" s="56"/>
    </row>
    <row r="69" spans="1:35" ht="15" customHeight="1" x14ac:dyDescent="0.55000000000000004">
      <c r="A69" s="27"/>
      <c r="B69" s="41">
        <v>6</v>
      </c>
      <c r="C69" s="42"/>
      <c r="D69" s="153" t="s">
        <v>28</v>
      </c>
      <c r="E69" s="154"/>
      <c r="F69" s="154"/>
      <c r="G69" s="154"/>
      <c r="H69" s="154"/>
      <c r="I69" s="47" t="s">
        <v>43</v>
      </c>
      <c r="J69" s="48" t="s">
        <v>59</v>
      </c>
      <c r="K69" s="48"/>
      <c r="L69" s="48"/>
      <c r="M69" s="48"/>
      <c r="N69" s="48"/>
      <c r="O69" s="48"/>
      <c r="P69" s="48"/>
      <c r="Q69" s="48"/>
      <c r="R69" s="48"/>
      <c r="S69" s="48"/>
      <c r="T69" s="49"/>
      <c r="U69" s="47" t="s">
        <v>52</v>
      </c>
      <c r="V69" s="48" t="s">
        <v>60</v>
      </c>
      <c r="W69" s="48"/>
      <c r="X69" s="48"/>
      <c r="Y69" s="48"/>
      <c r="Z69" s="48"/>
      <c r="AA69" s="48"/>
      <c r="AB69" s="48"/>
      <c r="AC69" s="48"/>
      <c r="AD69" s="48"/>
      <c r="AE69" s="48"/>
      <c r="AF69" s="49"/>
    </row>
    <row r="70" spans="1:35" ht="15" customHeight="1" x14ac:dyDescent="0.55000000000000004">
      <c r="A70" s="27"/>
      <c r="B70" s="50"/>
      <c r="C70" s="51"/>
      <c r="D70" s="112"/>
      <c r="E70" s="53"/>
      <c r="F70" s="53"/>
      <c r="G70" s="53"/>
      <c r="H70" s="53"/>
      <c r="I70" s="54" t="s">
        <v>43</v>
      </c>
      <c r="J70" s="55" t="s">
        <v>61</v>
      </c>
      <c r="K70" s="55"/>
      <c r="L70" s="55"/>
      <c r="M70" s="55"/>
      <c r="N70" s="55"/>
      <c r="O70" s="55"/>
      <c r="P70" s="55"/>
      <c r="Q70" s="55"/>
      <c r="R70" s="55"/>
      <c r="S70" s="55"/>
      <c r="T70" s="56"/>
      <c r="U70" s="54"/>
      <c r="V70" s="55"/>
      <c r="W70" s="55"/>
      <c r="X70" s="55"/>
      <c r="Y70" s="55"/>
      <c r="Z70" s="55"/>
      <c r="AA70" s="55"/>
      <c r="AB70" s="55"/>
      <c r="AC70" s="55"/>
      <c r="AD70" s="55"/>
      <c r="AE70" s="55"/>
      <c r="AF70" s="56"/>
    </row>
    <row r="71" spans="1:35" ht="15" customHeight="1" x14ac:dyDescent="0.55000000000000004">
      <c r="A71" s="27"/>
      <c r="B71" s="41">
        <v>7</v>
      </c>
      <c r="C71" s="42"/>
      <c r="D71" s="153" t="s">
        <v>30</v>
      </c>
      <c r="E71" s="154"/>
      <c r="F71" s="154"/>
      <c r="G71" s="154"/>
      <c r="H71" s="154"/>
      <c r="I71" s="43" t="s">
        <v>34</v>
      </c>
      <c r="J71" s="27" t="s">
        <v>62</v>
      </c>
      <c r="T71" s="44"/>
      <c r="U71" s="43" t="s">
        <v>34</v>
      </c>
      <c r="V71" s="27" t="s">
        <v>63</v>
      </c>
      <c r="AF71" s="44"/>
    </row>
    <row r="72" spans="1:35" ht="15" customHeight="1" x14ac:dyDescent="0.55000000000000004">
      <c r="A72" s="27"/>
      <c r="B72" s="110"/>
      <c r="C72" s="111"/>
      <c r="D72" s="45"/>
      <c r="E72" s="46"/>
      <c r="F72" s="46"/>
      <c r="G72" s="46"/>
      <c r="H72" s="46"/>
      <c r="I72" s="43" t="s">
        <v>34</v>
      </c>
      <c r="J72" s="27" t="s">
        <v>64</v>
      </c>
      <c r="T72" s="44"/>
      <c r="U72" s="43" t="s">
        <v>34</v>
      </c>
      <c r="V72" s="27" t="s">
        <v>65</v>
      </c>
      <c r="AF72" s="44"/>
    </row>
    <row r="73" spans="1:35" ht="15" customHeight="1" x14ac:dyDescent="0.55000000000000004">
      <c r="A73" s="27"/>
      <c r="B73" s="50"/>
      <c r="C73" s="51"/>
      <c r="D73" s="52"/>
      <c r="E73" s="53"/>
      <c r="F73" s="53"/>
      <c r="G73" s="53"/>
      <c r="H73" s="53"/>
      <c r="I73" s="54" t="s">
        <v>43</v>
      </c>
      <c r="J73" s="55" t="s">
        <v>66</v>
      </c>
      <c r="K73" s="55"/>
      <c r="L73" s="55"/>
      <c r="M73" s="55"/>
      <c r="N73" s="55"/>
      <c r="O73" s="55"/>
      <c r="P73" s="55"/>
      <c r="Q73" s="55"/>
      <c r="R73" s="55"/>
      <c r="S73" s="55"/>
      <c r="T73" s="56"/>
      <c r="U73" s="54"/>
      <c r="V73" s="55"/>
      <c r="W73" s="55"/>
      <c r="X73" s="55"/>
      <c r="Y73" s="55"/>
      <c r="Z73" s="55"/>
      <c r="AA73" s="55"/>
      <c r="AB73" s="55"/>
      <c r="AC73" s="55"/>
      <c r="AD73" s="55"/>
      <c r="AE73" s="55"/>
      <c r="AF73" s="56"/>
    </row>
    <row r="74" spans="1:35" ht="15" customHeight="1" x14ac:dyDescent="0.55000000000000004">
      <c r="A74" s="27"/>
    </row>
    <row r="75" spans="1:35" ht="15" customHeight="1" x14ac:dyDescent="0.55000000000000004">
      <c r="A75" s="27"/>
    </row>
    <row r="76" spans="1:35" ht="15" customHeight="1" x14ac:dyDescent="0.55000000000000004">
      <c r="A76" s="30" t="s">
        <v>67</v>
      </c>
    </row>
    <row r="77" spans="1:35" ht="15" customHeight="1" x14ac:dyDescent="0.55000000000000004">
      <c r="A77" s="27"/>
    </row>
    <row r="78" spans="1:35" ht="15" customHeight="1" x14ac:dyDescent="0.55000000000000004">
      <c r="A78" s="27"/>
      <c r="B78" s="117" t="s">
        <v>68</v>
      </c>
      <c r="C78" s="35"/>
      <c r="D78" s="35"/>
      <c r="E78" s="35"/>
      <c r="F78" s="35"/>
      <c r="G78" s="35"/>
      <c r="H78" s="118"/>
      <c r="I78" s="35" t="s">
        <v>273</v>
      </c>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118"/>
    </row>
    <row r="79" spans="1:35" ht="15" customHeight="1" x14ac:dyDescent="0.55000000000000004">
      <c r="A79" s="27"/>
      <c r="B79" s="43" t="s">
        <v>69</v>
      </c>
      <c r="AI79" s="44"/>
    </row>
    <row r="80" spans="1:35" ht="15" customHeight="1" x14ac:dyDescent="0.55000000000000004">
      <c r="A80" s="27"/>
      <c r="B80" s="43" t="s">
        <v>70</v>
      </c>
      <c r="AI80" s="44"/>
    </row>
    <row r="81" spans="1:35" ht="15" customHeight="1" x14ac:dyDescent="0.55000000000000004">
      <c r="A81" s="27"/>
      <c r="B81" s="43" t="s">
        <v>71</v>
      </c>
      <c r="AI81" s="44"/>
    </row>
    <row r="82" spans="1:35" ht="15" customHeight="1" x14ac:dyDescent="0.55000000000000004">
      <c r="A82" s="27"/>
      <c r="B82" s="43" t="s">
        <v>72</v>
      </c>
      <c r="AI82" s="44"/>
    </row>
    <row r="83" spans="1:35" ht="15" customHeight="1" x14ac:dyDescent="0.55000000000000004">
      <c r="A83" s="27"/>
      <c r="B83" s="43" t="s">
        <v>73</v>
      </c>
      <c r="AI83" s="44"/>
    </row>
    <row r="84" spans="1:35" ht="15" customHeight="1" x14ac:dyDescent="0.55000000000000004">
      <c r="A84" s="27"/>
      <c r="B84" s="43" t="s">
        <v>74</v>
      </c>
      <c r="AI84" s="44"/>
    </row>
    <row r="85" spans="1:35" ht="15" customHeight="1" x14ac:dyDescent="0.55000000000000004">
      <c r="A85" s="27"/>
      <c r="B85" s="43" t="s">
        <v>75</v>
      </c>
      <c r="AI85" s="44"/>
    </row>
    <row r="86" spans="1:35" ht="15" customHeight="1" x14ac:dyDescent="0.55000000000000004">
      <c r="A86" s="27"/>
      <c r="B86" s="43" t="s">
        <v>76</v>
      </c>
      <c r="AI86" s="44"/>
    </row>
    <row r="87" spans="1:35" ht="15" customHeight="1" x14ac:dyDescent="0.55000000000000004">
      <c r="A87" s="27"/>
      <c r="B87" s="43" t="s">
        <v>77</v>
      </c>
      <c r="AI87" s="44"/>
    </row>
    <row r="88" spans="1:35" ht="15" customHeight="1" x14ac:dyDescent="0.55000000000000004">
      <c r="A88" s="27"/>
      <c r="B88" s="43" t="s">
        <v>262</v>
      </c>
      <c r="AI88" s="44"/>
    </row>
    <row r="89" spans="1:35" ht="15" customHeight="1" x14ac:dyDescent="0.55000000000000004">
      <c r="A89" s="27"/>
      <c r="B89" s="43" t="s">
        <v>264</v>
      </c>
      <c r="AI89" s="44"/>
    </row>
    <row r="90" spans="1:35" ht="15" customHeight="1" x14ac:dyDescent="0.55000000000000004">
      <c r="A90" s="27"/>
      <c r="B90" s="43" t="s">
        <v>268</v>
      </c>
      <c r="AI90" s="44"/>
    </row>
    <row r="91" spans="1:35" ht="15" customHeight="1" x14ac:dyDescent="0.55000000000000004">
      <c r="A91" s="27"/>
      <c r="B91" s="43" t="s">
        <v>269</v>
      </c>
      <c r="AI91" s="44"/>
    </row>
    <row r="92" spans="1:35" ht="15" customHeight="1" x14ac:dyDescent="0.55000000000000004">
      <c r="A92" s="27"/>
      <c r="B92" s="43" t="s">
        <v>270</v>
      </c>
      <c r="AI92" s="44"/>
    </row>
    <row r="93" spans="1:35" ht="15" customHeight="1" x14ac:dyDescent="0.55000000000000004">
      <c r="A93" s="27"/>
      <c r="B93" s="43" t="s">
        <v>271</v>
      </c>
      <c r="AI93" s="44"/>
    </row>
    <row r="94" spans="1:35" ht="15" customHeight="1" x14ac:dyDescent="0.55000000000000004">
      <c r="A94" s="27"/>
      <c r="B94" s="119" t="s">
        <v>78</v>
      </c>
      <c r="C94" s="120"/>
      <c r="D94" s="120"/>
      <c r="E94" s="120"/>
      <c r="F94" s="120"/>
      <c r="G94" s="120"/>
      <c r="H94" s="121"/>
      <c r="I94" s="120" t="s">
        <v>274</v>
      </c>
      <c r="J94" s="120"/>
      <c r="K94" s="120"/>
      <c r="L94" s="120"/>
      <c r="M94" s="120"/>
      <c r="N94" s="120"/>
      <c r="O94" s="120"/>
      <c r="P94" s="120"/>
      <c r="Q94" s="120"/>
      <c r="R94" s="120"/>
      <c r="S94" s="120"/>
      <c r="T94" s="120"/>
      <c r="U94" s="120"/>
      <c r="V94" s="120"/>
      <c r="W94" s="120"/>
      <c r="X94" s="120"/>
      <c r="Y94" s="120"/>
      <c r="Z94" s="120"/>
      <c r="AA94" s="120"/>
      <c r="AB94" s="120"/>
      <c r="AC94" s="120"/>
      <c r="AD94" s="120"/>
      <c r="AE94" s="120"/>
      <c r="AF94" s="120"/>
      <c r="AG94" s="120"/>
      <c r="AH94" s="120"/>
      <c r="AI94" s="121"/>
    </row>
    <row r="95" spans="1:35" ht="15" customHeight="1" x14ac:dyDescent="0.55000000000000004">
      <c r="A95" s="27"/>
      <c r="B95" s="43" t="s">
        <v>79</v>
      </c>
      <c r="AI95" s="44"/>
    </row>
    <row r="96" spans="1:35" ht="15" customHeight="1" x14ac:dyDescent="0.55000000000000004">
      <c r="A96" s="27"/>
      <c r="B96" s="43" t="s">
        <v>80</v>
      </c>
      <c r="AI96" s="44"/>
    </row>
    <row r="97" spans="1:35" ht="15" customHeight="1" x14ac:dyDescent="0.55000000000000004">
      <c r="A97" s="27"/>
      <c r="B97" s="43" t="s">
        <v>81</v>
      </c>
      <c r="AI97" s="44"/>
    </row>
    <row r="98" spans="1:35" ht="15" customHeight="1" x14ac:dyDescent="0.55000000000000004">
      <c r="A98" s="27"/>
      <c r="B98" s="43" t="s">
        <v>82</v>
      </c>
      <c r="AI98" s="44"/>
    </row>
    <row r="99" spans="1:35" ht="15" customHeight="1" x14ac:dyDescent="0.55000000000000004">
      <c r="A99" s="27"/>
      <c r="B99" s="43" t="s">
        <v>83</v>
      </c>
      <c r="AI99" s="44"/>
    </row>
    <row r="100" spans="1:35" ht="15" customHeight="1" x14ac:dyDescent="0.55000000000000004">
      <c r="A100" s="27"/>
      <c r="B100" s="43" t="s">
        <v>256</v>
      </c>
      <c r="AI100" s="44"/>
    </row>
    <row r="101" spans="1:35" ht="15" customHeight="1" x14ac:dyDescent="0.55000000000000004">
      <c r="A101" s="27"/>
      <c r="B101" s="43" t="s">
        <v>257</v>
      </c>
      <c r="AI101" s="44"/>
    </row>
    <row r="102" spans="1:35" ht="15" customHeight="1" x14ac:dyDescent="0.55000000000000004">
      <c r="A102" s="27"/>
      <c r="B102" s="43" t="s">
        <v>258</v>
      </c>
      <c r="AI102" s="44"/>
    </row>
    <row r="103" spans="1:35" ht="15" customHeight="1" x14ac:dyDescent="0.55000000000000004">
      <c r="A103" s="27"/>
      <c r="B103" s="43" t="s">
        <v>84</v>
      </c>
      <c r="AI103" s="44"/>
    </row>
    <row r="104" spans="1:35" ht="15" customHeight="1" x14ac:dyDescent="0.55000000000000004">
      <c r="A104" s="27"/>
      <c r="B104" s="43" t="s">
        <v>85</v>
      </c>
      <c r="AI104" s="44"/>
    </row>
    <row r="105" spans="1:35" ht="15" customHeight="1" x14ac:dyDescent="0.55000000000000004">
      <c r="A105" s="27"/>
      <c r="B105" s="43" t="s">
        <v>86</v>
      </c>
      <c r="AI105" s="44"/>
    </row>
    <row r="106" spans="1:35" ht="15" customHeight="1" x14ac:dyDescent="0.55000000000000004">
      <c r="A106" s="27"/>
      <c r="B106" s="119" t="s">
        <v>87</v>
      </c>
      <c r="C106" s="120"/>
      <c r="D106" s="120"/>
      <c r="E106" s="120"/>
      <c r="F106" s="120"/>
      <c r="G106" s="120"/>
      <c r="H106" s="121"/>
      <c r="I106" s="120" t="s">
        <v>276</v>
      </c>
      <c r="J106" s="120"/>
      <c r="K106" s="120"/>
      <c r="L106" s="120"/>
      <c r="M106" s="120"/>
      <c r="N106" s="120"/>
      <c r="O106" s="120"/>
      <c r="P106" s="120"/>
      <c r="Q106" s="120"/>
      <c r="R106" s="120"/>
      <c r="S106" s="120"/>
      <c r="T106" s="120"/>
      <c r="U106" s="120"/>
      <c r="V106" s="120"/>
      <c r="W106" s="120"/>
      <c r="X106" s="120"/>
      <c r="Y106" s="120"/>
      <c r="Z106" s="120"/>
      <c r="AA106" s="120"/>
      <c r="AB106" s="120"/>
      <c r="AC106" s="120"/>
      <c r="AD106" s="120"/>
      <c r="AE106" s="120"/>
      <c r="AF106" s="120"/>
      <c r="AG106" s="120"/>
      <c r="AH106" s="120"/>
      <c r="AI106" s="121"/>
    </row>
    <row r="107" spans="1:35" ht="15" customHeight="1" x14ac:dyDescent="0.55000000000000004">
      <c r="A107" s="27"/>
      <c r="B107" s="43" t="s">
        <v>88</v>
      </c>
      <c r="AI107" s="44"/>
    </row>
    <row r="108" spans="1:35" ht="15" customHeight="1" x14ac:dyDescent="0.55000000000000004">
      <c r="A108" s="27"/>
      <c r="B108" s="43" t="s">
        <v>89</v>
      </c>
      <c r="AI108" s="44"/>
    </row>
    <row r="109" spans="1:35" ht="15" customHeight="1" x14ac:dyDescent="0.55000000000000004">
      <c r="A109" s="27"/>
      <c r="B109" s="43" t="s">
        <v>90</v>
      </c>
      <c r="AI109" s="44"/>
    </row>
    <row r="110" spans="1:35" ht="15" customHeight="1" x14ac:dyDescent="0.55000000000000004">
      <c r="A110" s="27"/>
      <c r="B110" s="43" t="s">
        <v>91</v>
      </c>
      <c r="AI110" s="44"/>
    </row>
    <row r="111" spans="1:35" ht="15" customHeight="1" x14ac:dyDescent="0.55000000000000004">
      <c r="A111" s="27"/>
      <c r="B111" s="119" t="s">
        <v>272</v>
      </c>
      <c r="C111" s="120"/>
      <c r="D111" s="120"/>
      <c r="E111" s="120"/>
      <c r="F111" s="120"/>
      <c r="G111" s="120"/>
      <c r="H111" s="121"/>
      <c r="I111" s="120" t="s">
        <v>276</v>
      </c>
      <c r="J111" s="120"/>
      <c r="K111" s="120"/>
      <c r="L111" s="120"/>
      <c r="M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c r="AI111" s="121"/>
    </row>
    <row r="112" spans="1:35" ht="15" customHeight="1" x14ac:dyDescent="0.55000000000000004">
      <c r="A112" s="27"/>
      <c r="B112" s="43" t="s">
        <v>92</v>
      </c>
      <c r="AI112" s="44"/>
    </row>
    <row r="113" spans="1:43" ht="15" customHeight="1" x14ac:dyDescent="0.55000000000000004">
      <c r="A113" s="27"/>
      <c r="B113" s="43" t="s">
        <v>93</v>
      </c>
      <c r="AI113" s="44"/>
    </row>
    <row r="114" spans="1:43" ht="15" customHeight="1" x14ac:dyDescent="0.55000000000000004">
      <c r="A114" s="27"/>
      <c r="B114" s="43" t="s">
        <v>94</v>
      </c>
      <c r="AI114" s="44"/>
    </row>
    <row r="115" spans="1:43" ht="15" customHeight="1" x14ac:dyDescent="0.55000000000000004">
      <c r="A115" s="27"/>
      <c r="B115" s="119" t="s">
        <v>95</v>
      </c>
      <c r="C115" s="120"/>
      <c r="D115" s="120"/>
      <c r="E115" s="120"/>
      <c r="F115" s="120"/>
      <c r="G115" s="120"/>
      <c r="H115" s="121"/>
      <c r="I115" s="120" t="s">
        <v>275</v>
      </c>
      <c r="J115" s="120"/>
      <c r="K115" s="120"/>
      <c r="L115" s="120"/>
      <c r="M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1"/>
    </row>
    <row r="116" spans="1:43" ht="15" customHeight="1" x14ac:dyDescent="0.55000000000000004">
      <c r="A116" s="27"/>
      <c r="B116" s="43" t="s">
        <v>96</v>
      </c>
      <c r="AI116" s="44"/>
    </row>
    <row r="117" spans="1:43" ht="15" customHeight="1" x14ac:dyDescent="0.55000000000000004">
      <c r="A117" s="27"/>
      <c r="B117" s="43" t="s">
        <v>97</v>
      </c>
      <c r="AI117" s="44"/>
    </row>
    <row r="118" spans="1:43" ht="15" customHeight="1" x14ac:dyDescent="0.55000000000000004">
      <c r="A118" s="27"/>
      <c r="B118" s="54" t="s">
        <v>98</v>
      </c>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6"/>
    </row>
    <row r="119" spans="1:43" ht="15" customHeight="1" x14ac:dyDescent="0.55000000000000004">
      <c r="A119" s="122"/>
      <c r="B119" s="119" t="s">
        <v>253</v>
      </c>
      <c r="C119" s="120"/>
      <c r="D119" s="120"/>
      <c r="E119" s="120"/>
      <c r="F119" s="120"/>
      <c r="G119" s="120"/>
      <c r="H119" s="121"/>
      <c r="I119" s="120" t="s">
        <v>255</v>
      </c>
      <c r="J119" s="120"/>
      <c r="K119" s="120"/>
      <c r="L119" s="120"/>
      <c r="M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1"/>
      <c r="AJ119" s="122"/>
      <c r="AK119" s="122"/>
      <c r="AL119" s="122"/>
      <c r="AM119" s="122"/>
      <c r="AN119" s="122"/>
      <c r="AO119" s="122"/>
      <c r="AP119" s="122"/>
      <c r="AQ119" s="122"/>
    </row>
    <row r="120" spans="1:43" ht="15" customHeight="1" x14ac:dyDescent="0.55000000000000004">
      <c r="A120" s="122"/>
      <c r="B120" s="123" t="s">
        <v>254</v>
      </c>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5"/>
      <c r="AJ120" s="122"/>
      <c r="AK120" s="122"/>
      <c r="AL120" s="122"/>
      <c r="AM120" s="122"/>
      <c r="AN120" s="122"/>
      <c r="AO120" s="122"/>
      <c r="AP120" s="122"/>
      <c r="AQ120" s="122"/>
    </row>
    <row r="121" spans="1:43" ht="15" customHeight="1" x14ac:dyDescent="0.55000000000000004">
      <c r="A121" s="122"/>
      <c r="B121" s="119" t="s">
        <v>277</v>
      </c>
      <c r="C121" s="120"/>
      <c r="D121" s="120"/>
      <c r="E121" s="120"/>
      <c r="F121" s="120"/>
      <c r="G121" s="120"/>
      <c r="H121" s="121"/>
      <c r="I121" s="120" t="s">
        <v>278</v>
      </c>
      <c r="J121" s="120"/>
      <c r="K121" s="120"/>
      <c r="L121" s="120"/>
      <c r="M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1"/>
      <c r="AJ121" s="122"/>
      <c r="AK121" s="122"/>
      <c r="AL121" s="122"/>
      <c r="AM121" s="122"/>
      <c r="AN121" s="122"/>
      <c r="AO121" s="122"/>
      <c r="AP121" s="122"/>
      <c r="AQ121" s="122"/>
    </row>
    <row r="122" spans="1:43" ht="15" customHeight="1" x14ac:dyDescent="0.55000000000000004">
      <c r="A122" s="122"/>
      <c r="B122" s="123" t="s">
        <v>279</v>
      </c>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5"/>
      <c r="AJ122" s="122"/>
      <c r="AK122" s="122"/>
      <c r="AL122" s="122"/>
      <c r="AM122" s="122"/>
      <c r="AN122" s="122"/>
      <c r="AO122" s="122"/>
      <c r="AP122" s="122"/>
      <c r="AQ122" s="122"/>
    </row>
    <row r="123" spans="1:43" ht="15" customHeight="1" x14ac:dyDescent="0.55000000000000004">
      <c r="A123" s="27"/>
    </row>
    <row r="124" spans="1:43" ht="15" customHeight="1" x14ac:dyDescent="0.55000000000000004">
      <c r="A124" s="27"/>
    </row>
    <row r="125" spans="1:43" ht="15" customHeight="1" x14ac:dyDescent="0.55000000000000004">
      <c r="A125" s="30" t="s">
        <v>99</v>
      </c>
    </row>
    <row r="126" spans="1:43" ht="15" customHeight="1" x14ac:dyDescent="0.55000000000000004">
      <c r="B126" s="37"/>
    </row>
    <row r="127" spans="1:43" ht="15" customHeight="1" x14ac:dyDescent="0.55000000000000004">
      <c r="A127" s="27"/>
      <c r="B127" s="38" t="s">
        <v>18</v>
      </c>
      <c r="C127" s="39"/>
      <c r="D127" s="38" t="s">
        <v>40</v>
      </c>
      <c r="E127" s="40"/>
      <c r="F127" s="40"/>
      <c r="G127" s="40"/>
      <c r="H127" s="40"/>
      <c r="I127" s="159" t="s">
        <v>100</v>
      </c>
      <c r="J127" s="160"/>
      <c r="K127" s="160"/>
      <c r="L127" s="160"/>
      <c r="M127" s="160"/>
      <c r="N127" s="160"/>
      <c r="O127" s="160"/>
      <c r="P127" s="161"/>
      <c r="Q127" s="159" t="s">
        <v>101</v>
      </c>
      <c r="R127" s="160"/>
      <c r="S127" s="160"/>
      <c r="T127" s="160"/>
      <c r="U127" s="160"/>
      <c r="V127" s="160"/>
      <c r="W127" s="160"/>
      <c r="X127" s="161"/>
      <c r="Y127" s="159" t="s">
        <v>102</v>
      </c>
      <c r="Z127" s="160"/>
      <c r="AA127" s="160"/>
      <c r="AB127" s="160"/>
      <c r="AC127" s="160"/>
      <c r="AD127" s="160"/>
      <c r="AE127" s="160"/>
      <c r="AF127" s="161"/>
      <c r="AG127" s="159" t="s">
        <v>266</v>
      </c>
      <c r="AH127" s="160"/>
      <c r="AI127" s="160"/>
      <c r="AJ127" s="160"/>
    </row>
    <row r="128" spans="1:43" ht="15" customHeight="1" x14ac:dyDescent="0.55000000000000004">
      <c r="A128" s="27"/>
      <c r="B128" s="41">
        <v>1</v>
      </c>
      <c r="C128" s="42"/>
      <c r="D128" s="165" t="s">
        <v>103</v>
      </c>
      <c r="E128" s="166"/>
      <c r="F128" s="166"/>
      <c r="G128" s="166"/>
      <c r="H128" s="167"/>
      <c r="I128" s="41"/>
      <c r="J128" s="42"/>
      <c r="K128" s="41"/>
      <c r="L128" s="42"/>
      <c r="M128" s="41"/>
      <c r="N128" s="42"/>
      <c r="O128" s="41"/>
      <c r="P128" s="42"/>
      <c r="Q128" s="41"/>
      <c r="R128" s="42"/>
      <c r="S128" s="41"/>
      <c r="T128" s="42"/>
      <c r="U128" s="41"/>
      <c r="V128" s="42"/>
      <c r="W128" s="41"/>
      <c r="X128" s="42"/>
      <c r="Y128" s="41"/>
      <c r="Z128" s="42"/>
      <c r="AA128" s="41"/>
      <c r="AB128" s="42"/>
      <c r="AC128" s="41"/>
      <c r="AD128" s="42"/>
      <c r="AE128" s="41"/>
      <c r="AF128" s="42"/>
      <c r="AG128" s="41"/>
      <c r="AH128" s="42"/>
      <c r="AI128" s="41"/>
      <c r="AJ128" s="42"/>
    </row>
    <row r="129" spans="1:36" ht="15" customHeight="1" x14ac:dyDescent="0.55000000000000004">
      <c r="A129" s="27"/>
      <c r="B129" s="50"/>
      <c r="C129" s="51"/>
      <c r="D129" s="52"/>
      <c r="E129" s="53"/>
      <c r="F129" s="53"/>
      <c r="G129" s="53"/>
      <c r="H129" s="53"/>
      <c r="I129" s="50"/>
      <c r="J129" s="51"/>
      <c r="K129" s="50"/>
      <c r="L129" s="51"/>
      <c r="M129" s="50"/>
      <c r="N129" s="51"/>
      <c r="O129" s="50"/>
      <c r="P129" s="51"/>
      <c r="Q129" s="50"/>
      <c r="R129" s="51"/>
      <c r="S129" s="50"/>
      <c r="T129" s="51"/>
      <c r="U129" s="50"/>
      <c r="V129" s="51"/>
      <c r="W129" s="50"/>
      <c r="X129" s="51"/>
      <c r="Y129" s="50"/>
      <c r="Z129" s="51"/>
      <c r="AA129" s="50"/>
      <c r="AB129" s="51"/>
      <c r="AC129" s="50"/>
      <c r="AD129" s="51"/>
      <c r="AE129" s="50"/>
      <c r="AF129" s="51"/>
      <c r="AG129" s="50"/>
      <c r="AH129" s="51"/>
      <c r="AI129" s="50"/>
      <c r="AJ129" s="51"/>
    </row>
    <row r="130" spans="1:36" ht="15" customHeight="1" x14ac:dyDescent="0.55000000000000004">
      <c r="A130" s="27"/>
      <c r="B130" s="41">
        <v>2</v>
      </c>
      <c r="C130" s="42"/>
      <c r="D130" s="165" t="s">
        <v>104</v>
      </c>
      <c r="E130" s="166"/>
      <c r="F130" s="166"/>
      <c r="G130" s="166"/>
      <c r="H130" s="167"/>
      <c r="I130" s="41"/>
      <c r="J130" s="42"/>
      <c r="K130" s="41"/>
      <c r="L130" s="42"/>
      <c r="M130" s="41"/>
      <c r="N130" s="42"/>
      <c r="O130" s="41"/>
      <c r="P130" s="42"/>
      <c r="Q130" s="41"/>
      <c r="R130" s="42"/>
      <c r="S130" s="41"/>
      <c r="T130" s="42"/>
      <c r="U130" s="41"/>
      <c r="V130" s="42"/>
      <c r="W130" s="41"/>
      <c r="X130" s="42"/>
      <c r="Y130" s="41"/>
      <c r="Z130" s="42"/>
      <c r="AA130" s="41"/>
      <c r="AB130" s="42"/>
      <c r="AC130" s="41"/>
      <c r="AD130" s="42"/>
      <c r="AE130" s="41"/>
      <c r="AF130" s="42"/>
      <c r="AG130" s="41"/>
      <c r="AH130" s="42"/>
      <c r="AI130" s="41"/>
      <c r="AJ130" s="42"/>
    </row>
    <row r="131" spans="1:36" ht="15" customHeight="1" x14ac:dyDescent="0.55000000000000004">
      <c r="A131" s="27"/>
      <c r="B131" s="50"/>
      <c r="C131" s="51"/>
      <c r="D131" s="52"/>
      <c r="E131" s="53"/>
      <c r="F131" s="53"/>
      <c r="G131" s="53"/>
      <c r="H131" s="53"/>
      <c r="I131" s="50"/>
      <c r="J131" s="51"/>
      <c r="K131" s="50"/>
      <c r="L131" s="51"/>
      <c r="M131" s="50"/>
      <c r="N131" s="51"/>
      <c r="O131" s="50"/>
      <c r="P131" s="51"/>
      <c r="Q131" s="50"/>
      <c r="R131" s="51"/>
      <c r="S131" s="50"/>
      <c r="T131" s="51"/>
      <c r="U131" s="50"/>
      <c r="V131" s="51"/>
      <c r="W131" s="50"/>
      <c r="X131" s="51"/>
      <c r="Y131" s="50"/>
      <c r="Z131" s="51"/>
      <c r="AA131" s="50"/>
      <c r="AB131" s="51"/>
      <c r="AC131" s="50"/>
      <c r="AD131" s="51"/>
      <c r="AE131" s="50"/>
      <c r="AF131" s="51"/>
      <c r="AG131" s="50"/>
      <c r="AH131" s="51"/>
      <c r="AI131" s="50"/>
      <c r="AJ131" s="51"/>
    </row>
    <row r="132" spans="1:36" ht="15" customHeight="1" x14ac:dyDescent="0.55000000000000004">
      <c r="A132" s="27"/>
      <c r="B132" s="41">
        <v>3</v>
      </c>
      <c r="C132" s="42"/>
      <c r="D132" s="165" t="s">
        <v>105</v>
      </c>
      <c r="E132" s="166"/>
      <c r="F132" s="166"/>
      <c r="G132" s="166"/>
      <c r="H132" s="167"/>
      <c r="I132" s="41"/>
      <c r="J132" s="42"/>
      <c r="K132" s="41"/>
      <c r="L132" s="42"/>
      <c r="M132" s="41"/>
      <c r="N132" s="42"/>
      <c r="O132" s="41"/>
      <c r="P132" s="42"/>
      <c r="Q132" s="41"/>
      <c r="R132" s="42"/>
      <c r="S132" s="41"/>
      <c r="T132" s="42"/>
      <c r="U132" s="41"/>
      <c r="V132" s="42"/>
      <c r="W132" s="41"/>
      <c r="X132" s="42"/>
      <c r="Y132" s="41"/>
      <c r="Z132" s="42"/>
      <c r="AA132" s="41"/>
      <c r="AB132" s="42"/>
      <c r="AC132" s="41"/>
      <c r="AD132" s="42"/>
      <c r="AE132" s="41"/>
      <c r="AF132" s="42"/>
      <c r="AG132" s="41"/>
      <c r="AH132" s="42"/>
      <c r="AI132" s="41"/>
      <c r="AJ132" s="42"/>
    </row>
    <row r="133" spans="1:36" ht="15" customHeight="1" x14ac:dyDescent="0.55000000000000004">
      <c r="A133" s="27"/>
      <c r="B133" s="50"/>
      <c r="C133" s="51"/>
      <c r="D133" s="52"/>
      <c r="E133" s="53"/>
      <c r="F133" s="53"/>
      <c r="G133" s="53"/>
      <c r="H133" s="53"/>
      <c r="I133" s="50"/>
      <c r="J133" s="51"/>
      <c r="K133" s="50"/>
      <c r="L133" s="51"/>
      <c r="M133" s="50"/>
      <c r="N133" s="51"/>
      <c r="O133" s="50"/>
      <c r="P133" s="51"/>
      <c r="Q133" s="50"/>
      <c r="R133" s="51"/>
      <c r="S133" s="50"/>
      <c r="T133" s="51"/>
      <c r="U133" s="50"/>
      <c r="V133" s="51"/>
      <c r="W133" s="50"/>
      <c r="X133" s="51"/>
      <c r="Y133" s="50"/>
      <c r="Z133" s="51"/>
      <c r="AA133" s="50"/>
      <c r="AB133" s="51"/>
      <c r="AC133" s="50"/>
      <c r="AD133" s="51"/>
      <c r="AE133" s="50"/>
      <c r="AF133" s="51"/>
      <c r="AG133" s="50"/>
      <c r="AH133" s="51"/>
      <c r="AI133" s="50"/>
      <c r="AJ133" s="51"/>
    </row>
    <row r="134" spans="1:36" ht="15" customHeight="1" x14ac:dyDescent="0.55000000000000004">
      <c r="A134" s="27"/>
      <c r="B134" s="41">
        <v>4</v>
      </c>
      <c r="C134" s="42"/>
      <c r="D134" s="165" t="s">
        <v>106</v>
      </c>
      <c r="E134" s="166"/>
      <c r="F134" s="166"/>
      <c r="G134" s="166"/>
      <c r="H134" s="167"/>
      <c r="I134" s="41"/>
      <c r="J134" s="42"/>
      <c r="K134" s="41"/>
      <c r="L134" s="42"/>
      <c r="M134" s="41"/>
      <c r="N134" s="42"/>
      <c r="O134" s="41"/>
      <c r="P134" s="42"/>
      <c r="Q134" s="41"/>
      <c r="R134" s="42"/>
      <c r="S134" s="41"/>
      <c r="T134" s="42"/>
      <c r="U134" s="41"/>
      <c r="V134" s="42"/>
      <c r="W134" s="41"/>
      <c r="X134" s="42"/>
      <c r="Y134" s="41"/>
      <c r="Z134" s="42"/>
      <c r="AA134" s="41"/>
      <c r="AB134" s="42"/>
      <c r="AC134" s="41"/>
      <c r="AD134" s="42"/>
      <c r="AE134" s="41"/>
      <c r="AF134" s="42"/>
      <c r="AG134" s="41"/>
      <c r="AH134" s="42"/>
      <c r="AI134" s="41"/>
      <c r="AJ134" s="42"/>
    </row>
    <row r="135" spans="1:36" ht="15" customHeight="1" x14ac:dyDescent="0.55000000000000004">
      <c r="A135" s="27"/>
      <c r="B135" s="50"/>
      <c r="C135" s="51"/>
      <c r="D135" s="52"/>
      <c r="E135" s="53"/>
      <c r="F135" s="53"/>
      <c r="G135" s="53"/>
      <c r="H135" s="53"/>
      <c r="I135" s="50"/>
      <c r="J135" s="51"/>
      <c r="K135" s="50"/>
      <c r="L135" s="51"/>
      <c r="M135" s="50"/>
      <c r="N135" s="51"/>
      <c r="O135" s="50"/>
      <c r="P135" s="51"/>
      <c r="Q135" s="50"/>
      <c r="R135" s="51"/>
      <c r="S135" s="50"/>
      <c r="T135" s="51"/>
      <c r="U135" s="50"/>
      <c r="V135" s="51"/>
      <c r="W135" s="50"/>
      <c r="X135" s="51"/>
      <c r="Y135" s="50"/>
      <c r="Z135" s="51"/>
      <c r="AA135" s="50"/>
      <c r="AB135" s="51"/>
      <c r="AC135" s="50"/>
      <c r="AD135" s="51"/>
      <c r="AE135" s="50"/>
      <c r="AF135" s="51"/>
      <c r="AG135" s="50"/>
      <c r="AH135" s="51"/>
      <c r="AI135" s="50"/>
      <c r="AJ135" s="51"/>
    </row>
    <row r="136" spans="1:36" ht="15" customHeight="1" x14ac:dyDescent="0.55000000000000004">
      <c r="A136" s="27"/>
      <c r="B136" s="41">
        <v>5</v>
      </c>
      <c r="C136" s="42"/>
      <c r="D136" s="165" t="s">
        <v>107</v>
      </c>
      <c r="E136" s="166"/>
      <c r="F136" s="166"/>
      <c r="G136" s="166"/>
      <c r="H136" s="167"/>
      <c r="I136" s="41"/>
      <c r="J136" s="42"/>
      <c r="K136" s="41"/>
      <c r="L136" s="42"/>
      <c r="M136" s="41"/>
      <c r="N136" s="42"/>
      <c r="O136" s="41"/>
      <c r="P136" s="42"/>
      <c r="Q136" s="41"/>
      <c r="R136" s="42"/>
      <c r="S136" s="41"/>
      <c r="T136" s="42"/>
      <c r="U136" s="41"/>
      <c r="V136" s="42"/>
      <c r="W136" s="41"/>
      <c r="X136" s="42"/>
      <c r="Y136" s="41"/>
      <c r="Z136" s="42"/>
      <c r="AA136" s="41"/>
      <c r="AB136" s="42"/>
      <c r="AC136" s="41"/>
      <c r="AD136" s="42"/>
      <c r="AE136" s="41"/>
      <c r="AF136" s="42"/>
      <c r="AG136" s="41"/>
      <c r="AH136" s="42"/>
      <c r="AI136" s="41"/>
      <c r="AJ136" s="42"/>
    </row>
    <row r="137" spans="1:36" ht="15" customHeight="1" x14ac:dyDescent="0.55000000000000004">
      <c r="A137" s="27"/>
      <c r="B137" s="50"/>
      <c r="C137" s="51"/>
      <c r="D137" s="162" t="s">
        <v>250</v>
      </c>
      <c r="E137" s="163"/>
      <c r="F137" s="163"/>
      <c r="G137" s="163"/>
      <c r="H137" s="164"/>
      <c r="I137" s="50"/>
      <c r="J137" s="51"/>
      <c r="K137" s="50"/>
      <c r="L137" s="51"/>
      <c r="M137" s="50"/>
      <c r="N137" s="51"/>
      <c r="O137" s="50"/>
      <c r="P137" s="51"/>
      <c r="Q137" s="50"/>
      <c r="R137" s="51"/>
      <c r="S137" s="50"/>
      <c r="T137" s="51"/>
      <c r="U137" s="50"/>
      <c r="V137" s="51"/>
      <c r="W137" s="50"/>
      <c r="X137" s="51"/>
      <c r="Y137" s="50"/>
      <c r="Z137" s="51"/>
      <c r="AA137" s="50"/>
      <c r="AB137" s="51"/>
      <c r="AC137" s="50"/>
      <c r="AD137" s="51"/>
      <c r="AE137" s="50"/>
      <c r="AF137" s="51"/>
      <c r="AG137" s="50"/>
      <c r="AH137" s="51"/>
      <c r="AI137" s="50"/>
      <c r="AJ137" s="51"/>
    </row>
    <row r="138" spans="1:36" ht="15" customHeight="1" x14ac:dyDescent="0.55000000000000004">
      <c r="A138" s="27"/>
      <c r="B138" s="41">
        <v>6</v>
      </c>
      <c r="C138" s="42"/>
      <c r="D138" s="165" t="s">
        <v>108</v>
      </c>
      <c r="E138" s="166"/>
      <c r="F138" s="166"/>
      <c r="G138" s="166"/>
      <c r="H138" s="167"/>
      <c r="I138" s="41"/>
      <c r="J138" s="42"/>
      <c r="K138" s="41"/>
      <c r="L138" s="42"/>
      <c r="M138" s="41"/>
      <c r="N138" s="42"/>
      <c r="O138" s="41"/>
      <c r="P138" s="42"/>
      <c r="Q138" s="41"/>
      <c r="R138" s="42"/>
      <c r="S138" s="41"/>
      <c r="T138" s="42"/>
      <c r="U138" s="41"/>
      <c r="V138" s="42"/>
      <c r="W138" s="41"/>
      <c r="X138" s="42"/>
      <c r="Y138" s="41"/>
      <c r="Z138" s="42"/>
      <c r="AA138" s="41"/>
      <c r="AB138" s="42"/>
      <c r="AC138" s="41"/>
      <c r="AD138" s="42"/>
      <c r="AE138" s="41"/>
      <c r="AF138" s="42"/>
      <c r="AG138" s="41"/>
      <c r="AH138" s="42"/>
      <c r="AI138" s="41"/>
      <c r="AJ138" s="42"/>
    </row>
    <row r="139" spans="1:36" ht="15" customHeight="1" x14ac:dyDescent="0.55000000000000004">
      <c r="A139" s="27"/>
      <c r="B139" s="50"/>
      <c r="C139" s="51"/>
      <c r="D139" s="52"/>
      <c r="E139" s="53"/>
      <c r="F139" s="53"/>
      <c r="G139" s="53"/>
      <c r="H139" s="53"/>
      <c r="I139" s="50"/>
      <c r="J139" s="51"/>
      <c r="K139" s="50"/>
      <c r="L139" s="51"/>
      <c r="M139" s="50"/>
      <c r="N139" s="51"/>
      <c r="O139" s="50"/>
      <c r="P139" s="51"/>
      <c r="Q139" s="50"/>
      <c r="R139" s="51"/>
      <c r="S139" s="50"/>
      <c r="T139" s="51"/>
      <c r="U139" s="50"/>
      <c r="V139" s="51"/>
      <c r="W139" s="50"/>
      <c r="X139" s="51"/>
      <c r="Y139" s="50"/>
      <c r="Z139" s="51"/>
      <c r="AA139" s="50"/>
      <c r="AB139" s="51"/>
      <c r="AC139" s="50"/>
      <c r="AD139" s="51"/>
      <c r="AE139" s="50"/>
      <c r="AF139" s="51"/>
      <c r="AG139" s="50"/>
      <c r="AH139" s="51"/>
      <c r="AI139" s="50"/>
      <c r="AJ139" s="51"/>
    </row>
    <row r="140" spans="1:36" ht="15" customHeight="1" x14ac:dyDescent="0.55000000000000004">
      <c r="A140" s="27"/>
      <c r="I140" s="57"/>
      <c r="J140" s="57"/>
      <c r="K140" s="57"/>
      <c r="L140" s="57"/>
      <c r="M140" s="57"/>
      <c r="N140" s="57"/>
      <c r="O140" s="57"/>
      <c r="P140" s="57"/>
      <c r="Q140" s="57"/>
      <c r="R140" s="57"/>
      <c r="S140" s="57"/>
      <c r="T140" s="57"/>
      <c r="V140" s="57"/>
      <c r="W140" s="27" t="s">
        <v>109</v>
      </c>
      <c r="X140" s="57"/>
      <c r="Z140" s="57"/>
      <c r="AA140" s="27" t="s">
        <v>110</v>
      </c>
      <c r="AC140" s="57"/>
      <c r="AD140" s="57"/>
      <c r="AG140" s="27" t="s">
        <v>111</v>
      </c>
    </row>
    <row r="141" spans="1:36" ht="15" customHeight="1" x14ac:dyDescent="0.55000000000000004">
      <c r="A141" s="2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row>
    <row r="142" spans="1:36" ht="15" customHeight="1" x14ac:dyDescent="0.55000000000000004">
      <c r="A142" s="30" t="s">
        <v>112</v>
      </c>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row>
    <row r="143" spans="1:36" ht="15" customHeight="1" thickBot="1" x14ac:dyDescent="0.6">
      <c r="A143" s="2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row>
    <row r="144" spans="1:36" s="63" customFormat="1" ht="15" customHeight="1" thickTop="1" x14ac:dyDescent="0.55000000000000004">
      <c r="A144" s="65"/>
      <c r="C144" s="168" t="s">
        <v>113</v>
      </c>
      <c r="D144" s="169"/>
      <c r="E144" s="169"/>
      <c r="F144" s="169"/>
      <c r="G144" s="169"/>
      <c r="H144" s="170"/>
      <c r="I144" s="66"/>
      <c r="J144" s="66"/>
      <c r="K144" s="66"/>
      <c r="L144" s="66"/>
      <c r="M144" s="168" t="s">
        <v>114</v>
      </c>
      <c r="N144" s="169"/>
      <c r="O144" s="169"/>
      <c r="P144" s="169"/>
      <c r="Q144" s="169"/>
      <c r="R144" s="170"/>
      <c r="S144" s="57"/>
      <c r="T144" s="57"/>
      <c r="U144" s="57"/>
      <c r="V144" s="57"/>
      <c r="W144" s="57"/>
      <c r="X144" s="57"/>
      <c r="Y144" s="57"/>
      <c r="Z144" s="57"/>
      <c r="AA144" s="57"/>
      <c r="AB144" s="57"/>
      <c r="AC144" s="68"/>
      <c r="AD144" s="68"/>
      <c r="AE144" s="68"/>
      <c r="AF144" s="68"/>
      <c r="AG144" s="68"/>
    </row>
    <row r="145" spans="1:33" s="63" customFormat="1" ht="15" customHeight="1" x14ac:dyDescent="0.55000000000000004">
      <c r="A145" s="65"/>
      <c r="C145" s="171"/>
      <c r="D145" s="172"/>
      <c r="E145" s="172"/>
      <c r="F145" s="172"/>
      <c r="G145" s="172"/>
      <c r="H145" s="173"/>
      <c r="I145" s="67"/>
      <c r="J145" s="67"/>
      <c r="K145" s="69"/>
      <c r="L145" s="70"/>
      <c r="M145" s="171"/>
      <c r="N145" s="172"/>
      <c r="O145" s="172"/>
      <c r="P145" s="172"/>
      <c r="Q145" s="172"/>
      <c r="R145" s="173"/>
      <c r="S145" s="27"/>
      <c r="T145" s="27"/>
      <c r="U145" s="27"/>
      <c r="V145" s="27"/>
      <c r="W145" s="27"/>
      <c r="X145" s="27"/>
      <c r="Y145" s="27"/>
      <c r="Z145" s="27"/>
      <c r="AA145" s="27"/>
      <c r="AB145" s="27"/>
      <c r="AC145" s="68"/>
      <c r="AD145" s="68"/>
      <c r="AE145" s="68"/>
      <c r="AF145" s="68"/>
      <c r="AG145" s="68"/>
    </row>
    <row r="146" spans="1:33" s="63" customFormat="1" ht="15" customHeight="1" thickBot="1" x14ac:dyDescent="0.6">
      <c r="C146" s="174"/>
      <c r="D146" s="175"/>
      <c r="E146" s="175"/>
      <c r="F146" s="175"/>
      <c r="G146" s="175"/>
      <c r="H146" s="176"/>
      <c r="I146" s="67"/>
      <c r="J146" s="67"/>
      <c r="K146" s="67"/>
      <c r="L146" s="67"/>
      <c r="M146" s="174"/>
      <c r="N146" s="175"/>
      <c r="O146" s="175"/>
      <c r="P146" s="175"/>
      <c r="Q146" s="175"/>
      <c r="R146" s="176"/>
      <c r="S146" s="27"/>
      <c r="T146" s="27"/>
      <c r="U146" s="27"/>
      <c r="V146" s="27"/>
      <c r="W146" s="27"/>
      <c r="X146" s="27"/>
      <c r="Y146" s="27"/>
      <c r="Z146" s="27"/>
      <c r="AA146" s="27"/>
      <c r="AB146" s="27"/>
      <c r="AC146" s="68"/>
      <c r="AD146" s="68"/>
      <c r="AE146" s="68"/>
      <c r="AF146" s="68"/>
      <c r="AG146" s="68"/>
    </row>
    <row r="147" spans="1:33" ht="15" customHeight="1" thickTop="1" x14ac:dyDescent="0.55000000000000004">
      <c r="A147" s="2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row>
    <row r="148" spans="1:33" ht="15" customHeight="1" x14ac:dyDescent="0.55000000000000004">
      <c r="A148" s="27"/>
      <c r="I148" s="57"/>
      <c r="J148" s="57"/>
      <c r="K148" s="57"/>
      <c r="L148" s="57"/>
      <c r="M148" s="57"/>
      <c r="N148" s="57"/>
      <c r="O148" s="57"/>
      <c r="P148" s="57"/>
      <c r="Q148" s="57"/>
      <c r="R148" s="57"/>
      <c r="S148" s="57"/>
      <c r="T148" s="57"/>
      <c r="U148" s="57"/>
      <c r="V148" s="57"/>
      <c r="AC148" s="57"/>
      <c r="AD148" s="57"/>
      <c r="AE148" s="57"/>
      <c r="AF148" s="57"/>
      <c r="AG148" s="57"/>
    </row>
    <row r="149" spans="1:33" ht="15" customHeight="1" x14ac:dyDescent="0.55000000000000004">
      <c r="A149" s="30" t="s">
        <v>115</v>
      </c>
    </row>
    <row r="151" spans="1:33" ht="15" customHeight="1" x14ac:dyDescent="0.55000000000000004">
      <c r="B151" s="27" t="s">
        <v>246</v>
      </c>
    </row>
    <row r="152" spans="1:33" ht="15" customHeight="1" x14ac:dyDescent="0.55000000000000004">
      <c r="C152" s="27" t="s">
        <v>116</v>
      </c>
    </row>
    <row r="153" spans="1:33" ht="15" customHeight="1" x14ac:dyDescent="0.55000000000000004">
      <c r="C153" s="27" t="s">
        <v>117</v>
      </c>
    </row>
    <row r="154" spans="1:33" ht="15" customHeight="1" x14ac:dyDescent="0.55000000000000004">
      <c r="C154" s="27" t="s">
        <v>118</v>
      </c>
    </row>
    <row r="155" spans="1:33" ht="15" customHeight="1" x14ac:dyDescent="0.55000000000000004">
      <c r="B155" s="58" t="s">
        <v>119</v>
      </c>
      <c r="C155" s="59"/>
    </row>
    <row r="156" spans="1:33" ht="15" customHeight="1" x14ac:dyDescent="0.55000000000000004">
      <c r="B156" s="27" t="s">
        <v>120</v>
      </c>
      <c r="C156" s="58"/>
    </row>
    <row r="157" spans="1:33" ht="15" customHeight="1" x14ac:dyDescent="0.55000000000000004">
      <c r="C157" s="58" t="s">
        <v>121</v>
      </c>
    </row>
    <row r="158" spans="1:33" ht="15" customHeight="1" x14ac:dyDescent="0.55000000000000004">
      <c r="C158" s="27" t="s">
        <v>249</v>
      </c>
    </row>
    <row r="160" spans="1:33" ht="15" customHeight="1" x14ac:dyDescent="0.55000000000000004">
      <c r="A160" s="27"/>
      <c r="B160" s="27" t="s">
        <v>122</v>
      </c>
    </row>
    <row r="161" spans="1:4" ht="15" customHeight="1" x14ac:dyDescent="0.55000000000000004">
      <c r="A161" s="27"/>
      <c r="C161" s="27" t="s">
        <v>123</v>
      </c>
    </row>
    <row r="162" spans="1:4" ht="15" customHeight="1" x14ac:dyDescent="0.55000000000000004">
      <c r="A162" s="27"/>
      <c r="C162" s="27" t="s">
        <v>124</v>
      </c>
    </row>
    <row r="163" spans="1:4" ht="15" customHeight="1" x14ac:dyDescent="0.55000000000000004">
      <c r="A163" s="27"/>
    </row>
    <row r="164" spans="1:4" ht="15" customHeight="1" x14ac:dyDescent="0.55000000000000004">
      <c r="A164" s="27"/>
      <c r="B164" s="27" t="s">
        <v>125</v>
      </c>
    </row>
    <row r="165" spans="1:4" ht="15" customHeight="1" x14ac:dyDescent="0.55000000000000004">
      <c r="A165" s="27"/>
      <c r="C165" s="27" t="s">
        <v>126</v>
      </c>
    </row>
    <row r="166" spans="1:4" ht="15" customHeight="1" x14ac:dyDescent="0.55000000000000004">
      <c r="A166" s="27"/>
    </row>
    <row r="167" spans="1:4" ht="15" customHeight="1" x14ac:dyDescent="0.55000000000000004">
      <c r="A167" s="27"/>
      <c r="B167" s="116" t="s">
        <v>241</v>
      </c>
    </row>
    <row r="168" spans="1:4" ht="15" customHeight="1" x14ac:dyDescent="0.55000000000000004">
      <c r="A168" s="27"/>
      <c r="C168" s="27" t="s">
        <v>247</v>
      </c>
    </row>
    <row r="169" spans="1:4" ht="15" customHeight="1" x14ac:dyDescent="0.55000000000000004">
      <c r="A169" s="27"/>
      <c r="C169" s="27" t="s">
        <v>242</v>
      </c>
    </row>
    <row r="170" spans="1:4" ht="15" customHeight="1" x14ac:dyDescent="0.55000000000000004">
      <c r="A170" s="27"/>
    </row>
    <row r="171" spans="1:4" ht="15" customHeight="1" x14ac:dyDescent="0.55000000000000004">
      <c r="A171" s="27"/>
      <c r="B171" s="116" t="s">
        <v>243</v>
      </c>
    </row>
    <row r="172" spans="1:4" ht="15" customHeight="1" x14ac:dyDescent="0.55000000000000004">
      <c r="A172" s="27"/>
      <c r="C172" s="27" t="s">
        <v>244</v>
      </c>
    </row>
    <row r="173" spans="1:4" ht="15" customHeight="1" x14ac:dyDescent="0.55000000000000004">
      <c r="A173" s="27"/>
      <c r="C173" s="27" t="s">
        <v>252</v>
      </c>
    </row>
    <row r="174" spans="1:4" ht="15" customHeight="1" x14ac:dyDescent="0.55000000000000004">
      <c r="A174" s="27"/>
    </row>
    <row r="175" spans="1:4" ht="15" customHeight="1" x14ac:dyDescent="0.55000000000000004">
      <c r="A175" s="27"/>
      <c r="B175" s="63" t="s">
        <v>245</v>
      </c>
      <c r="C175" s="63"/>
      <c r="D175" s="63"/>
    </row>
    <row r="176" spans="1:4" ht="15" customHeight="1" x14ac:dyDescent="0.55000000000000004">
      <c r="A176" s="27"/>
      <c r="B176" s="63"/>
      <c r="C176" s="63" t="s">
        <v>248</v>
      </c>
      <c r="D176" s="63"/>
    </row>
    <row r="177" spans="1:4" ht="15" customHeight="1" x14ac:dyDescent="0.55000000000000004">
      <c r="A177" s="27"/>
      <c r="B177" s="63"/>
      <c r="C177" s="63" t="s">
        <v>127</v>
      </c>
      <c r="D177" s="63"/>
    </row>
  </sheetData>
  <mergeCells count="68">
    <mergeCell ref="D138:H138"/>
    <mergeCell ref="C144:H146"/>
    <mergeCell ref="M144:R146"/>
    <mergeCell ref="D61:H61"/>
    <mergeCell ref="D71:H71"/>
    <mergeCell ref="D128:H128"/>
    <mergeCell ref="D130:H130"/>
    <mergeCell ref="D132:H132"/>
    <mergeCell ref="D134:H134"/>
    <mergeCell ref="D136:H136"/>
    <mergeCell ref="I127:P127"/>
    <mergeCell ref="Q127:X127"/>
    <mergeCell ref="D63:H63"/>
    <mergeCell ref="D65:H65"/>
    <mergeCell ref="D67:H67"/>
    <mergeCell ref="D69:H69"/>
    <mergeCell ref="B46:C46"/>
    <mergeCell ref="Y46:AB46"/>
    <mergeCell ref="AC46:AD46"/>
    <mergeCell ref="AE46:AJ46"/>
    <mergeCell ref="D58:H58"/>
    <mergeCell ref="B45:C45"/>
    <mergeCell ref="Y45:AB45"/>
    <mergeCell ref="AC45:AD45"/>
    <mergeCell ref="AE45:AJ45"/>
    <mergeCell ref="B44:C44"/>
    <mergeCell ref="Y44:AB44"/>
    <mergeCell ref="AC44:AD44"/>
    <mergeCell ref="AE44:AJ44"/>
    <mergeCell ref="B43:C43"/>
    <mergeCell ref="Y43:AB43"/>
    <mergeCell ref="AC43:AD43"/>
    <mergeCell ref="AE43:AJ43"/>
    <mergeCell ref="B40:C40"/>
    <mergeCell ref="Y40:AB40"/>
    <mergeCell ref="AC40:AD40"/>
    <mergeCell ref="AE40:AJ40"/>
    <mergeCell ref="B41:C41"/>
    <mergeCell ref="Y41:AB41"/>
    <mergeCell ref="AC41:AD41"/>
    <mergeCell ref="AE41:AJ41"/>
    <mergeCell ref="B42:C42"/>
    <mergeCell ref="Y42:AB42"/>
    <mergeCell ref="AC42:AD42"/>
    <mergeCell ref="AE42:AJ42"/>
    <mergeCell ref="B39:C39"/>
    <mergeCell ref="Y39:AB39"/>
    <mergeCell ref="AC39:AD39"/>
    <mergeCell ref="AE39:AJ39"/>
    <mergeCell ref="A1:Q2"/>
    <mergeCell ref="AF2:AJ2"/>
    <mergeCell ref="A5:Q6"/>
    <mergeCell ref="A11:E12"/>
    <mergeCell ref="F11:Q12"/>
    <mergeCell ref="AF1:AJ1"/>
    <mergeCell ref="D137:H137"/>
    <mergeCell ref="AM44:AQ44"/>
    <mergeCell ref="AM45:AQ45"/>
    <mergeCell ref="AM46:AQ46"/>
    <mergeCell ref="AM39:AQ39"/>
    <mergeCell ref="AM40:AQ40"/>
    <mergeCell ref="AM41:AQ41"/>
    <mergeCell ref="AM42:AQ42"/>
    <mergeCell ref="AM43:AQ43"/>
    <mergeCell ref="Y127:AF127"/>
    <mergeCell ref="J59:T59"/>
    <mergeCell ref="J60:T60"/>
    <mergeCell ref="AG127:AJ127"/>
  </mergeCells>
  <phoneticPr fontId="4"/>
  <printOptions horizontalCentered="1"/>
  <pageMargins left="0.39370078740157483" right="0.39370078740157483" top="0.78740157480314965" bottom="0.39370078740157483" header="0.31496062992125984" footer="0.31496062992125984"/>
  <pageSetup paperSize="9" scale="86" orientation="portrait" r:id="rId1"/>
  <headerFooter>
    <oddFooter>&amp;C&amp;10&amp;P / &amp;N</oddFooter>
  </headerFooter>
  <rowBreaks count="2" manualBreakCount="2">
    <brk id="54" max="35" man="1"/>
    <brk id="122" max="35"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F6177-DEAC-46AF-B9DE-B0EEE2B2EBAA}">
  <dimension ref="A1:AZ17"/>
  <sheetViews>
    <sheetView showGridLines="0" zoomScale="70" zoomScaleNormal="70" workbookViewId="0">
      <pane xSplit="5" ySplit="3" topLeftCell="N4" activePane="bottomRight" state="frozen"/>
      <selection pane="topRight" activeCell="F1" sqref="F1"/>
      <selection pane="bottomLeft" activeCell="A4" sqref="A4"/>
      <selection pane="bottomRight" activeCell="N4" sqref="N4"/>
    </sheetView>
  </sheetViews>
  <sheetFormatPr defaultRowHeight="18" outlineLevelCol="1" x14ac:dyDescent="0.55000000000000004"/>
  <cols>
    <col min="1" max="1" width="4.33203125" style="75" bestFit="1" customWidth="1"/>
    <col min="2" max="2" width="19.83203125" style="72" customWidth="1"/>
    <col min="3" max="3" width="17.58203125" style="73" customWidth="1"/>
    <col min="4" max="4" width="27.5" style="73" bestFit="1" customWidth="1"/>
    <col min="5" max="5" width="112.5" style="73" customWidth="1"/>
    <col min="6" max="8" width="9.58203125" style="74" customWidth="1"/>
    <col min="9" max="15" width="9.58203125" style="72" customWidth="1" outlineLevel="1"/>
    <col min="16" max="16" width="1.58203125" style="72" customWidth="1"/>
    <col min="17" max="23" width="9.58203125" style="72" customWidth="1" outlineLevel="1"/>
    <col min="24" max="24" width="13.83203125" style="72" customWidth="1"/>
    <col min="25" max="25" width="9.58203125" style="72" customWidth="1" outlineLevel="1"/>
    <col min="26" max="26" width="14.08203125" style="72" customWidth="1" outlineLevel="1"/>
    <col min="27" max="27" width="9.58203125" style="72" customWidth="1" outlineLevel="1"/>
    <col min="28" max="29" width="14.08203125" style="72" customWidth="1" outlineLevel="1"/>
    <col min="30" max="30" width="2.58203125" style="72" customWidth="1"/>
    <col min="31" max="31" width="9.58203125" style="72" customWidth="1" outlineLevel="1"/>
    <col min="32" max="32" width="14.08203125" style="72" customWidth="1" outlineLevel="1"/>
    <col min="33" max="33" width="9.58203125" style="72" customWidth="1" outlineLevel="1"/>
    <col min="34" max="35" width="14.08203125" style="72" customWidth="1" outlineLevel="1"/>
    <col min="36" max="36" width="5" style="72" customWidth="1"/>
    <col min="37" max="43" width="9.58203125" style="72" hidden="1" customWidth="1" outlineLevel="1"/>
    <col min="44" max="44" width="3.58203125" style="72" customWidth="1" collapsed="1"/>
    <col min="45" max="51" width="9" style="72" hidden="1" customWidth="1" outlineLevel="1"/>
    <col min="52" max="52" width="8.58203125" collapsed="1"/>
  </cols>
  <sheetData>
    <row r="1" spans="1:51" ht="22.5" x14ac:dyDescent="0.55000000000000004">
      <c r="A1" s="71" t="s">
        <v>128</v>
      </c>
      <c r="Y1" s="177" t="s">
        <v>129</v>
      </c>
      <c r="Z1" s="177"/>
      <c r="AA1" s="177"/>
      <c r="AB1" s="177"/>
      <c r="AC1" s="177"/>
      <c r="AE1" s="178" t="s">
        <v>130</v>
      </c>
      <c r="AF1" s="178"/>
      <c r="AG1" s="178"/>
      <c r="AH1" s="178"/>
      <c r="AI1" s="178"/>
      <c r="AK1" s="179" t="s">
        <v>131</v>
      </c>
      <c r="AL1" s="179"/>
      <c r="AM1" s="179"/>
      <c r="AN1" s="179"/>
      <c r="AO1" s="179"/>
      <c r="AP1" s="179"/>
      <c r="AQ1" s="179"/>
      <c r="AR1" s="179"/>
      <c r="AS1" s="179"/>
      <c r="AT1" s="179"/>
      <c r="AU1" s="179"/>
      <c r="AV1" s="179"/>
      <c r="AW1" s="179"/>
      <c r="AX1" s="179"/>
      <c r="AY1" s="179"/>
    </row>
    <row r="2" spans="1:51" x14ac:dyDescent="0.55000000000000004">
      <c r="I2" s="177" t="s">
        <v>129</v>
      </c>
      <c r="J2" s="177"/>
      <c r="K2" s="177"/>
      <c r="L2" s="177"/>
      <c r="M2" s="177"/>
      <c r="N2" s="177"/>
      <c r="O2" s="177"/>
      <c r="Q2" s="178" t="s">
        <v>130</v>
      </c>
      <c r="R2" s="178"/>
      <c r="S2" s="178"/>
      <c r="T2" s="178"/>
      <c r="U2" s="178"/>
      <c r="V2" s="178"/>
      <c r="W2" s="178"/>
      <c r="Y2" s="76" t="s">
        <v>132</v>
      </c>
      <c r="Z2" s="77">
        <v>50000</v>
      </c>
      <c r="AA2" s="76" t="s">
        <v>133</v>
      </c>
      <c r="AB2" s="77">
        <v>70000</v>
      </c>
      <c r="AC2" s="76"/>
      <c r="AE2" s="76" t="s">
        <v>132</v>
      </c>
      <c r="AF2" s="77">
        <v>1000000</v>
      </c>
      <c r="AG2" s="76" t="s">
        <v>133</v>
      </c>
      <c r="AH2" s="77">
        <v>1400000</v>
      </c>
      <c r="AI2" s="76"/>
      <c r="AK2" s="180" t="s">
        <v>129</v>
      </c>
      <c r="AL2" s="180"/>
      <c r="AM2" s="180"/>
      <c r="AN2" s="180"/>
      <c r="AO2" s="180"/>
      <c r="AP2" s="180"/>
      <c r="AQ2" s="180"/>
      <c r="AS2" s="181" t="s">
        <v>130</v>
      </c>
      <c r="AT2" s="181"/>
      <c r="AU2" s="181"/>
      <c r="AV2" s="181"/>
      <c r="AW2" s="181"/>
      <c r="AX2" s="181"/>
      <c r="AY2" s="181"/>
    </row>
    <row r="3" spans="1:51" ht="72" x14ac:dyDescent="0.55000000000000004">
      <c r="A3" s="78" t="s">
        <v>134</v>
      </c>
      <c r="B3" s="79" t="s">
        <v>135</v>
      </c>
      <c r="C3" s="79" t="s">
        <v>136</v>
      </c>
      <c r="D3" s="79" t="s">
        <v>137</v>
      </c>
      <c r="E3" s="79" t="s">
        <v>138</v>
      </c>
      <c r="F3" s="80" t="s">
        <v>139</v>
      </c>
      <c r="G3" s="81" t="s">
        <v>140</v>
      </c>
      <c r="H3" s="81" t="s">
        <v>141</v>
      </c>
      <c r="I3" s="82" t="s">
        <v>142</v>
      </c>
      <c r="J3" s="76" t="s">
        <v>143</v>
      </c>
      <c r="K3" s="76" t="s">
        <v>144</v>
      </c>
      <c r="L3" s="76" t="s">
        <v>145</v>
      </c>
      <c r="M3" s="76" t="s">
        <v>146</v>
      </c>
      <c r="N3" s="76" t="s">
        <v>147</v>
      </c>
      <c r="O3" s="76" t="s">
        <v>148</v>
      </c>
      <c r="Q3" s="82" t="s">
        <v>142</v>
      </c>
      <c r="R3" s="76" t="s">
        <v>143</v>
      </c>
      <c r="S3" s="76" t="s">
        <v>144</v>
      </c>
      <c r="T3" s="76" t="s">
        <v>145</v>
      </c>
      <c r="U3" s="76" t="s">
        <v>146</v>
      </c>
      <c r="V3" s="76" t="s">
        <v>147</v>
      </c>
      <c r="W3" s="76" t="s">
        <v>148</v>
      </c>
      <c r="X3" s="83" t="s">
        <v>149</v>
      </c>
      <c r="Y3" s="80" t="s">
        <v>129</v>
      </c>
      <c r="Z3" s="80" t="s">
        <v>150</v>
      </c>
      <c r="AA3" s="80" t="s">
        <v>129</v>
      </c>
      <c r="AB3" s="80" t="s">
        <v>150</v>
      </c>
      <c r="AC3" s="80" t="s">
        <v>151</v>
      </c>
      <c r="AD3" s="84"/>
      <c r="AE3" s="80" t="s">
        <v>130</v>
      </c>
      <c r="AF3" s="80" t="s">
        <v>150</v>
      </c>
      <c r="AG3" s="80" t="s">
        <v>130</v>
      </c>
      <c r="AH3" s="80" t="s">
        <v>150</v>
      </c>
      <c r="AI3" s="80" t="s">
        <v>151</v>
      </c>
      <c r="AK3" s="82" t="s">
        <v>142</v>
      </c>
      <c r="AL3" s="76" t="s">
        <v>143</v>
      </c>
      <c r="AM3" s="76" t="s">
        <v>144</v>
      </c>
      <c r="AN3" s="76" t="s">
        <v>145</v>
      </c>
      <c r="AO3" s="76" t="s">
        <v>146</v>
      </c>
      <c r="AP3" s="76" t="s">
        <v>147</v>
      </c>
      <c r="AQ3" s="76" t="s">
        <v>148</v>
      </c>
      <c r="AS3" s="82" t="s">
        <v>142</v>
      </c>
      <c r="AT3" s="76" t="s">
        <v>143</v>
      </c>
      <c r="AU3" s="76" t="s">
        <v>144</v>
      </c>
      <c r="AV3" s="76" t="s">
        <v>145</v>
      </c>
      <c r="AW3" s="76" t="s">
        <v>146</v>
      </c>
      <c r="AX3" s="76" t="s">
        <v>147</v>
      </c>
      <c r="AY3" s="76" t="s">
        <v>148</v>
      </c>
    </row>
    <row r="4" spans="1:51" ht="288" x14ac:dyDescent="0.55000000000000004">
      <c r="A4" s="76">
        <f>ROW()-3</f>
        <v>1</v>
      </c>
      <c r="B4" s="82" t="s">
        <v>152</v>
      </c>
      <c r="C4" s="85" t="s">
        <v>153</v>
      </c>
      <c r="D4" s="82" t="s">
        <v>128</v>
      </c>
      <c r="E4" s="86" t="s">
        <v>263</v>
      </c>
      <c r="F4" s="87">
        <f>O4</f>
        <v>19</v>
      </c>
      <c r="G4" s="88">
        <f>SUM(F4:F8)</f>
        <v>56</v>
      </c>
      <c r="H4" s="89">
        <f>SUM(Y4:Y8)+SUM(AA4:AA8)</f>
        <v>67.2</v>
      </c>
      <c r="I4" s="90">
        <v>5</v>
      </c>
      <c r="J4" s="90">
        <v>7</v>
      </c>
      <c r="K4" s="90">
        <v>3</v>
      </c>
      <c r="L4" s="90">
        <v>1</v>
      </c>
      <c r="M4" s="90">
        <v>1</v>
      </c>
      <c r="N4" s="90">
        <v>2</v>
      </c>
      <c r="O4" s="90">
        <f>SUM(I4:N4)</f>
        <v>19</v>
      </c>
      <c r="P4" s="91"/>
      <c r="Q4" s="92">
        <f>ROUNDUP(I4/20,3)</f>
        <v>0.25</v>
      </c>
      <c r="R4" s="92">
        <f>ROUNDUP(J4/20,3)</f>
        <v>0.35</v>
      </c>
      <c r="S4" s="92">
        <f>ROUNDUP(K4/20,3)</f>
        <v>0.15</v>
      </c>
      <c r="T4" s="92">
        <f>ROUNDUP(L4/20,3)</f>
        <v>0.05</v>
      </c>
      <c r="U4" s="92">
        <f>ROUNDUP(M4/20,3)</f>
        <v>0.05</v>
      </c>
      <c r="V4" s="92">
        <f t="shared" ref="V4:V8" si="0">ROUNDUP(N4/20,3)</f>
        <v>0.1</v>
      </c>
      <c r="W4" s="92">
        <f>SUM(Q4:V4)</f>
        <v>0.95000000000000007</v>
      </c>
      <c r="X4" s="93"/>
      <c r="Y4" s="94">
        <f>O4</f>
        <v>19</v>
      </c>
      <c r="Z4" s="95">
        <f>Y4*$Z$2</f>
        <v>950000</v>
      </c>
      <c r="AA4" s="94">
        <f t="shared" ref="AA4:AA9" si="1">ROUNDUP(Y4*0.2,2)</f>
        <v>3.8</v>
      </c>
      <c r="AB4" s="95">
        <f>ROUNDUP(AA4*$AB$2,-3)</f>
        <v>266000</v>
      </c>
      <c r="AC4" s="95">
        <f>SUM(Z4,AB4)</f>
        <v>1216000</v>
      </c>
      <c r="AE4" s="126">
        <f>W4</f>
        <v>0.95000000000000007</v>
      </c>
      <c r="AF4" s="95">
        <f t="shared" ref="AF4:AF9" si="2">AE4*$AF$2</f>
        <v>950000.00000000012</v>
      </c>
      <c r="AG4" s="126">
        <f t="shared" ref="AG4:AG9" si="3">ROUNDUP(AE4*0.2,3)</f>
        <v>0.19</v>
      </c>
      <c r="AH4" s="95">
        <f t="shared" ref="AH4:AH9" si="4">AG4*$AH$2</f>
        <v>266000</v>
      </c>
      <c r="AI4" s="95">
        <f t="shared" ref="AI4:AI8" si="5">ROUNDUP(SUM(AF4,AH4),-3)</f>
        <v>1216000</v>
      </c>
      <c r="AK4" s="94">
        <f t="shared" ref="AK4:AQ4" si="6">SUM(I4:I8)</f>
        <v>13</v>
      </c>
      <c r="AL4" s="94">
        <f t="shared" si="6"/>
        <v>19</v>
      </c>
      <c r="AM4" s="94">
        <f t="shared" si="6"/>
        <v>12</v>
      </c>
      <c r="AN4" s="94">
        <f t="shared" si="6"/>
        <v>5</v>
      </c>
      <c r="AO4" s="94">
        <f t="shared" si="6"/>
        <v>5</v>
      </c>
      <c r="AP4" s="94">
        <f t="shared" si="6"/>
        <v>2</v>
      </c>
      <c r="AQ4" s="94">
        <f t="shared" si="6"/>
        <v>56</v>
      </c>
      <c r="AS4" s="94">
        <f>SUM(Q4:Q8)</f>
        <v>0.64999999999999991</v>
      </c>
      <c r="AT4" s="94">
        <f t="shared" ref="AT4:AX4" si="7">SUM(R4:R8)</f>
        <v>0.95</v>
      </c>
      <c r="AU4" s="94">
        <f>SUM(S4:S8)</f>
        <v>0.6</v>
      </c>
      <c r="AV4" s="94">
        <f>SUM(T4:T8)</f>
        <v>0.25</v>
      </c>
      <c r="AW4" s="94">
        <f t="shared" si="7"/>
        <v>0.25</v>
      </c>
      <c r="AX4" s="94">
        <f t="shared" si="7"/>
        <v>0.1</v>
      </c>
      <c r="AY4" s="94">
        <f>SUM(W4:W8)</f>
        <v>2.8</v>
      </c>
    </row>
    <row r="5" spans="1:51" ht="216" x14ac:dyDescent="0.55000000000000004">
      <c r="A5" s="76">
        <f t="shared" ref="A5:A8" si="8">ROW()-3</f>
        <v>2</v>
      </c>
      <c r="B5" s="82"/>
      <c r="C5" s="85"/>
      <c r="D5" s="82"/>
      <c r="E5" s="86" t="s">
        <v>261</v>
      </c>
      <c r="F5" s="87">
        <f t="shared" ref="F5:F8" si="9">O5</f>
        <v>9</v>
      </c>
      <c r="G5" s="96"/>
      <c r="H5" s="97"/>
      <c r="I5" s="90">
        <v>2</v>
      </c>
      <c r="J5" s="90">
        <v>3</v>
      </c>
      <c r="K5" s="90">
        <v>2</v>
      </c>
      <c r="L5" s="90">
        <v>1</v>
      </c>
      <c r="M5" s="90">
        <v>1</v>
      </c>
      <c r="N5" s="98">
        <v>0</v>
      </c>
      <c r="O5" s="90">
        <f>SUM(I5:N5)</f>
        <v>9</v>
      </c>
      <c r="P5" s="91"/>
      <c r="Q5" s="92">
        <f>ROUNDUP(I5/20,3)</f>
        <v>0.1</v>
      </c>
      <c r="R5" s="92">
        <f t="shared" ref="R5:U8" si="10">ROUNDUP(J5/20,3)</f>
        <v>0.15</v>
      </c>
      <c r="S5" s="92">
        <f t="shared" si="10"/>
        <v>0.1</v>
      </c>
      <c r="T5" s="92">
        <f t="shared" si="10"/>
        <v>0.05</v>
      </c>
      <c r="U5" s="92">
        <f t="shared" si="10"/>
        <v>0.05</v>
      </c>
      <c r="V5" s="92">
        <f t="shared" si="0"/>
        <v>0</v>
      </c>
      <c r="W5" s="92">
        <f t="shared" ref="W5:W7" si="11">SUM(Q5:V5)</f>
        <v>0.44999999999999996</v>
      </c>
      <c r="X5" s="93"/>
      <c r="Y5" s="94">
        <f t="shared" ref="Y5:Y8" si="12">O5</f>
        <v>9</v>
      </c>
      <c r="Z5" s="95">
        <f t="shared" ref="Z5:Z8" si="13">Y5*$Z$2</f>
        <v>450000</v>
      </c>
      <c r="AA5" s="94">
        <f t="shared" si="1"/>
        <v>1.8</v>
      </c>
      <c r="AB5" s="95">
        <f t="shared" ref="AB5:AB8" si="14">ROUNDUP(AA5*$AB$2,-3)</f>
        <v>126000</v>
      </c>
      <c r="AC5" s="95">
        <f t="shared" ref="AC5:AC8" si="15">SUM(Z5,AB5)</f>
        <v>576000</v>
      </c>
      <c r="AE5" s="126">
        <f t="shared" ref="AE5:AE7" si="16">W5</f>
        <v>0.44999999999999996</v>
      </c>
      <c r="AF5" s="95">
        <f t="shared" si="2"/>
        <v>449999.99999999994</v>
      </c>
      <c r="AG5" s="126">
        <f t="shared" si="3"/>
        <v>0.09</v>
      </c>
      <c r="AH5" s="95">
        <f t="shared" si="4"/>
        <v>126000</v>
      </c>
      <c r="AI5" s="95">
        <f t="shared" si="5"/>
        <v>576000</v>
      </c>
      <c r="AK5" s="94"/>
      <c r="AL5" s="94"/>
      <c r="AM5" s="94"/>
      <c r="AN5" s="94"/>
      <c r="AO5" s="94"/>
      <c r="AP5" s="94"/>
      <c r="AQ5" s="94"/>
      <c r="AS5" s="94"/>
      <c r="AT5" s="94"/>
      <c r="AU5" s="94"/>
      <c r="AV5" s="94"/>
      <c r="AW5" s="94"/>
      <c r="AX5" s="94"/>
      <c r="AY5" s="94"/>
    </row>
    <row r="6" spans="1:51" ht="90" x14ac:dyDescent="0.55000000000000004">
      <c r="A6" s="76">
        <f t="shared" si="8"/>
        <v>3</v>
      </c>
      <c r="B6" s="82"/>
      <c r="C6" s="85"/>
      <c r="D6" s="82"/>
      <c r="E6" s="86" t="s">
        <v>154</v>
      </c>
      <c r="F6" s="87">
        <f t="shared" si="9"/>
        <v>8</v>
      </c>
      <c r="G6" s="96"/>
      <c r="H6" s="97"/>
      <c r="I6" s="90">
        <v>2</v>
      </c>
      <c r="J6" s="90">
        <v>2</v>
      </c>
      <c r="K6" s="90">
        <v>2</v>
      </c>
      <c r="L6" s="90">
        <v>1</v>
      </c>
      <c r="M6" s="90">
        <v>1</v>
      </c>
      <c r="N6" s="98">
        <v>0</v>
      </c>
      <c r="O6" s="90">
        <f>SUM(I6:N6)</f>
        <v>8</v>
      </c>
      <c r="P6" s="91"/>
      <c r="Q6" s="92">
        <f>ROUNDUP(I6/20,3)</f>
        <v>0.1</v>
      </c>
      <c r="R6" s="92">
        <f t="shared" si="10"/>
        <v>0.1</v>
      </c>
      <c r="S6" s="92">
        <f t="shared" si="10"/>
        <v>0.1</v>
      </c>
      <c r="T6" s="92">
        <f t="shared" si="10"/>
        <v>0.05</v>
      </c>
      <c r="U6" s="92">
        <f t="shared" si="10"/>
        <v>0.05</v>
      </c>
      <c r="V6" s="92">
        <f t="shared" si="0"/>
        <v>0</v>
      </c>
      <c r="W6" s="92">
        <f t="shared" si="11"/>
        <v>0.4</v>
      </c>
      <c r="X6" s="93"/>
      <c r="Y6" s="94">
        <f t="shared" si="12"/>
        <v>8</v>
      </c>
      <c r="Z6" s="95">
        <f t="shared" si="13"/>
        <v>400000</v>
      </c>
      <c r="AA6" s="94">
        <f t="shared" si="1"/>
        <v>1.6</v>
      </c>
      <c r="AB6" s="95">
        <f t="shared" si="14"/>
        <v>112000</v>
      </c>
      <c r="AC6" s="95">
        <f t="shared" si="15"/>
        <v>512000</v>
      </c>
      <c r="AE6" s="126">
        <f t="shared" si="16"/>
        <v>0.4</v>
      </c>
      <c r="AF6" s="95">
        <f t="shared" si="2"/>
        <v>400000</v>
      </c>
      <c r="AG6" s="126">
        <f t="shared" si="3"/>
        <v>0.08</v>
      </c>
      <c r="AH6" s="95">
        <f t="shared" si="4"/>
        <v>112000</v>
      </c>
      <c r="AI6" s="95">
        <f t="shared" si="5"/>
        <v>512000</v>
      </c>
      <c r="AK6" s="94"/>
      <c r="AL6" s="94"/>
      <c r="AM6" s="94"/>
      <c r="AN6" s="94"/>
      <c r="AO6" s="94"/>
      <c r="AP6" s="94"/>
      <c r="AQ6" s="94"/>
      <c r="AS6" s="94"/>
      <c r="AT6" s="94"/>
      <c r="AU6" s="94"/>
      <c r="AV6" s="94"/>
      <c r="AW6" s="94"/>
      <c r="AX6" s="94"/>
      <c r="AY6" s="94"/>
    </row>
    <row r="7" spans="1:51" ht="72" x14ac:dyDescent="0.55000000000000004">
      <c r="A7" s="76">
        <f t="shared" si="8"/>
        <v>4</v>
      </c>
      <c r="B7" s="82"/>
      <c r="C7" s="85"/>
      <c r="D7" s="82"/>
      <c r="E7" s="86" t="s">
        <v>265</v>
      </c>
      <c r="F7" s="87">
        <f t="shared" si="9"/>
        <v>8</v>
      </c>
      <c r="G7" s="96"/>
      <c r="H7" s="97"/>
      <c r="I7" s="90">
        <v>2</v>
      </c>
      <c r="J7" s="90">
        <v>2</v>
      </c>
      <c r="K7" s="90">
        <v>2</v>
      </c>
      <c r="L7" s="90">
        <v>1</v>
      </c>
      <c r="M7" s="90">
        <v>1</v>
      </c>
      <c r="N7" s="98">
        <v>0</v>
      </c>
      <c r="O7" s="90">
        <f>SUM(I7:N7)</f>
        <v>8</v>
      </c>
      <c r="P7" s="91"/>
      <c r="Q7" s="92">
        <f>ROUNDUP(I7/20,3)</f>
        <v>0.1</v>
      </c>
      <c r="R7" s="92">
        <f t="shared" si="10"/>
        <v>0.1</v>
      </c>
      <c r="S7" s="92">
        <f t="shared" si="10"/>
        <v>0.1</v>
      </c>
      <c r="T7" s="92">
        <f t="shared" si="10"/>
        <v>0.05</v>
      </c>
      <c r="U7" s="92">
        <f t="shared" si="10"/>
        <v>0.05</v>
      </c>
      <c r="V7" s="92">
        <f t="shared" si="0"/>
        <v>0</v>
      </c>
      <c r="W7" s="92">
        <f t="shared" si="11"/>
        <v>0.4</v>
      </c>
      <c r="X7" s="93"/>
      <c r="Y7" s="94">
        <f t="shared" si="12"/>
        <v>8</v>
      </c>
      <c r="Z7" s="95">
        <f t="shared" si="13"/>
        <v>400000</v>
      </c>
      <c r="AA7" s="94">
        <f t="shared" si="1"/>
        <v>1.6</v>
      </c>
      <c r="AB7" s="95">
        <f t="shared" si="14"/>
        <v>112000</v>
      </c>
      <c r="AC7" s="95">
        <f t="shared" si="15"/>
        <v>512000</v>
      </c>
      <c r="AE7" s="126">
        <f t="shared" si="16"/>
        <v>0.4</v>
      </c>
      <c r="AF7" s="95">
        <f t="shared" si="2"/>
        <v>400000</v>
      </c>
      <c r="AG7" s="126">
        <f t="shared" si="3"/>
        <v>0.08</v>
      </c>
      <c r="AH7" s="95">
        <f t="shared" si="4"/>
        <v>112000</v>
      </c>
      <c r="AI7" s="95">
        <f t="shared" si="5"/>
        <v>512000</v>
      </c>
      <c r="AK7" s="94"/>
      <c r="AL7" s="94"/>
      <c r="AM7" s="94"/>
      <c r="AN7" s="94"/>
      <c r="AO7" s="94"/>
      <c r="AP7" s="94"/>
      <c r="AQ7" s="94"/>
      <c r="AS7" s="94"/>
      <c r="AT7" s="94"/>
      <c r="AU7" s="94"/>
      <c r="AV7" s="94"/>
      <c r="AW7" s="94"/>
      <c r="AX7" s="94"/>
      <c r="AY7" s="94"/>
    </row>
    <row r="8" spans="1:51" ht="72" x14ac:dyDescent="0.55000000000000004">
      <c r="A8" s="76">
        <f t="shared" si="8"/>
        <v>5</v>
      </c>
      <c r="B8" s="82"/>
      <c r="C8" s="85"/>
      <c r="D8" s="82"/>
      <c r="E8" s="86" t="s">
        <v>155</v>
      </c>
      <c r="F8" s="87">
        <f t="shared" si="9"/>
        <v>12</v>
      </c>
      <c r="G8" s="87"/>
      <c r="H8" s="99"/>
      <c r="I8" s="90">
        <v>2</v>
      </c>
      <c r="J8" s="90">
        <v>5</v>
      </c>
      <c r="K8" s="90">
        <v>3</v>
      </c>
      <c r="L8" s="90">
        <v>1</v>
      </c>
      <c r="M8" s="90">
        <v>1</v>
      </c>
      <c r="N8" s="98">
        <v>0</v>
      </c>
      <c r="O8" s="90">
        <f>SUM(I8:N8)</f>
        <v>12</v>
      </c>
      <c r="P8" s="91"/>
      <c r="Q8" s="92">
        <f>ROUNDUP(I8/20,3)</f>
        <v>0.1</v>
      </c>
      <c r="R8" s="92">
        <f t="shared" si="10"/>
        <v>0.25</v>
      </c>
      <c r="S8" s="92">
        <f t="shared" si="10"/>
        <v>0.15</v>
      </c>
      <c r="T8" s="92">
        <f t="shared" si="10"/>
        <v>0.05</v>
      </c>
      <c r="U8" s="92">
        <f t="shared" si="10"/>
        <v>0.05</v>
      </c>
      <c r="V8" s="92">
        <f t="shared" si="0"/>
        <v>0</v>
      </c>
      <c r="W8" s="92">
        <f>SUM(Q8:V8)</f>
        <v>0.60000000000000009</v>
      </c>
      <c r="X8" s="93"/>
      <c r="Y8" s="94">
        <f t="shared" si="12"/>
        <v>12</v>
      </c>
      <c r="Z8" s="95">
        <f t="shared" si="13"/>
        <v>600000</v>
      </c>
      <c r="AA8" s="94">
        <f t="shared" si="1"/>
        <v>2.4</v>
      </c>
      <c r="AB8" s="95">
        <f t="shared" si="14"/>
        <v>168000</v>
      </c>
      <c r="AC8" s="95">
        <f t="shared" si="15"/>
        <v>768000</v>
      </c>
      <c r="AE8" s="126">
        <f>W8</f>
        <v>0.60000000000000009</v>
      </c>
      <c r="AF8" s="95">
        <f t="shared" si="2"/>
        <v>600000.00000000012</v>
      </c>
      <c r="AG8" s="126">
        <f t="shared" si="3"/>
        <v>0.12</v>
      </c>
      <c r="AH8" s="95">
        <f>AG8*$AH$2</f>
        <v>168000</v>
      </c>
      <c r="AI8" s="95">
        <f t="shared" si="5"/>
        <v>768000</v>
      </c>
      <c r="AK8" s="94"/>
      <c r="AL8" s="94"/>
      <c r="AM8" s="94"/>
      <c r="AN8" s="94"/>
      <c r="AO8" s="94"/>
      <c r="AP8" s="94"/>
      <c r="AQ8" s="94"/>
      <c r="AS8" s="94"/>
      <c r="AT8" s="94"/>
      <c r="AU8" s="94"/>
      <c r="AV8" s="94"/>
      <c r="AW8" s="94"/>
      <c r="AX8" s="94"/>
      <c r="AY8" s="94"/>
    </row>
    <row r="9" spans="1:51" ht="18.5" thickBot="1" x14ac:dyDescent="0.6">
      <c r="A9" s="100" t="s">
        <v>156</v>
      </c>
      <c r="B9" s="101"/>
      <c r="C9" s="102"/>
      <c r="D9" s="102"/>
      <c r="E9" s="102"/>
      <c r="F9" s="103"/>
      <c r="N9" s="72" t="s">
        <v>157</v>
      </c>
      <c r="X9" s="128" t="s">
        <v>260</v>
      </c>
      <c r="Y9" s="131">
        <v>5</v>
      </c>
      <c r="Z9" s="95">
        <f t="shared" ref="Z9" si="17">Y9*$Z$2</f>
        <v>250000</v>
      </c>
      <c r="AA9" s="94">
        <f t="shared" si="1"/>
        <v>1</v>
      </c>
      <c r="AB9" s="95">
        <f t="shared" ref="AB9" si="18">ROUNDUP(AA9*$AB$2,-3)</f>
        <v>70000</v>
      </c>
      <c r="AC9" s="95">
        <f t="shared" ref="AC9" si="19">SUM(Z9,AB9)</f>
        <v>320000</v>
      </c>
      <c r="AE9" s="126">
        <f>ROUNDUP(Y9/20,3)</f>
        <v>0.25</v>
      </c>
      <c r="AF9" s="95">
        <f t="shared" si="2"/>
        <v>250000</v>
      </c>
      <c r="AG9" s="126">
        <f t="shared" si="3"/>
        <v>0.05</v>
      </c>
      <c r="AH9" s="129">
        <f t="shared" si="4"/>
        <v>70000</v>
      </c>
      <c r="AI9" s="129">
        <f>ROUNDUP(SUM(AF9,AH9),-3)</f>
        <v>320000</v>
      </c>
    </row>
    <row r="10" spans="1:51" ht="18.5" thickBot="1" x14ac:dyDescent="0.6">
      <c r="A10" s="104"/>
      <c r="F10" s="105"/>
      <c r="AH10" s="130" t="s">
        <v>148</v>
      </c>
      <c r="AI10" s="132">
        <f>SUM(AI4:AI9)</f>
        <v>3904000</v>
      </c>
    </row>
    <row r="11" spans="1:51" x14ac:dyDescent="0.55000000000000004">
      <c r="A11" s="104"/>
      <c r="B11" s="75" t="s">
        <v>158</v>
      </c>
      <c r="F11" s="105"/>
      <c r="Y11" s="127"/>
    </row>
    <row r="12" spans="1:51" x14ac:dyDescent="0.55000000000000004">
      <c r="A12" s="104"/>
      <c r="B12" s="75" t="s">
        <v>159</v>
      </c>
      <c r="F12" s="105"/>
    </row>
    <row r="13" spans="1:51" x14ac:dyDescent="0.55000000000000004">
      <c r="A13" s="104"/>
      <c r="B13" s="75" t="s">
        <v>160</v>
      </c>
      <c r="F13" s="105"/>
    </row>
    <row r="14" spans="1:51" x14ac:dyDescent="0.55000000000000004">
      <c r="A14" s="104"/>
      <c r="B14" s="72" t="s">
        <v>161</v>
      </c>
      <c r="F14" s="105"/>
    </row>
    <row r="15" spans="1:51" x14ac:dyDescent="0.55000000000000004">
      <c r="A15" s="104"/>
      <c r="B15" s="72" t="s">
        <v>162</v>
      </c>
      <c r="F15" s="105"/>
    </row>
    <row r="16" spans="1:51" s="72" customFormat="1" x14ac:dyDescent="0.55000000000000004">
      <c r="A16" s="104"/>
      <c r="B16" s="72" t="s">
        <v>163</v>
      </c>
      <c r="C16" s="73"/>
      <c r="D16" s="73"/>
      <c r="E16" s="73"/>
      <c r="F16" s="105"/>
      <c r="H16" s="74"/>
      <c r="I16" s="74"/>
    </row>
    <row r="17" spans="1:6" x14ac:dyDescent="0.55000000000000004">
      <c r="A17" s="106"/>
      <c r="B17" s="107"/>
      <c r="C17" s="108"/>
      <c r="D17" s="108"/>
      <c r="E17" s="108"/>
      <c r="F17" s="109"/>
    </row>
  </sheetData>
  <mergeCells count="7">
    <mergeCell ref="Y1:AC1"/>
    <mergeCell ref="AE1:AI1"/>
    <mergeCell ref="AK1:AY1"/>
    <mergeCell ref="I2:O2"/>
    <mergeCell ref="Q2:W2"/>
    <mergeCell ref="AK2:AQ2"/>
    <mergeCell ref="AS2:AY2"/>
  </mergeCells>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9"/>
  <sheetViews>
    <sheetView workbookViewId="0">
      <selection activeCell="A9" sqref="A9"/>
    </sheetView>
  </sheetViews>
  <sheetFormatPr defaultColWidth="8.08203125" defaultRowHeight="12.5" x14ac:dyDescent="0.55000000000000004"/>
  <cols>
    <col min="1" max="1" width="14.58203125" style="2" customWidth="1"/>
    <col min="2" max="2" width="7.83203125" style="2" bestFit="1" customWidth="1"/>
    <col min="3" max="3" width="14.58203125" style="2" customWidth="1"/>
    <col min="4" max="31" width="7" style="2" customWidth="1"/>
    <col min="32" max="32" width="7.83203125" style="2" customWidth="1"/>
    <col min="33" max="16384" width="8.08203125" style="2"/>
  </cols>
  <sheetData>
    <row r="1" spans="1:32" ht="19.5" x14ac:dyDescent="0.55000000000000004">
      <c r="A1" s="1" t="s">
        <v>164</v>
      </c>
      <c r="D1" s="3"/>
    </row>
    <row r="2" spans="1:32" ht="5.25" customHeight="1" x14ac:dyDescent="0.55000000000000004">
      <c r="A2" s="1"/>
    </row>
    <row r="3" spans="1:32" x14ac:dyDescent="0.55000000000000004">
      <c r="A3" s="4" t="s">
        <v>165</v>
      </c>
      <c r="B3" s="182"/>
      <c r="C3" s="183"/>
      <c r="D3" s="5" t="s">
        <v>135</v>
      </c>
      <c r="E3" s="182"/>
      <c r="F3" s="184"/>
      <c r="G3" s="184"/>
      <c r="H3" s="184"/>
      <c r="I3" s="184"/>
      <c r="J3" s="184"/>
      <c r="K3" s="184"/>
      <c r="L3" s="184"/>
      <c r="M3" s="184"/>
      <c r="N3" s="184"/>
      <c r="O3" s="183"/>
    </row>
    <row r="4" spans="1:32" x14ac:dyDescent="0.55000000000000004">
      <c r="A4" s="5" t="s">
        <v>166</v>
      </c>
      <c r="B4" s="182" t="s">
        <v>167</v>
      </c>
      <c r="C4" s="183"/>
      <c r="D4" s="5" t="s">
        <v>168</v>
      </c>
      <c r="E4" s="185"/>
      <c r="F4" s="185"/>
      <c r="G4" s="5" t="s">
        <v>169</v>
      </c>
      <c r="H4" s="186">
        <f>AF59</f>
        <v>0</v>
      </c>
      <c r="I4" s="186"/>
      <c r="J4" s="5" t="s">
        <v>170</v>
      </c>
      <c r="K4" s="187">
        <f>外注費・経費!K4</f>
        <v>0</v>
      </c>
      <c r="L4" s="187"/>
      <c r="M4" s="5" t="s">
        <v>171</v>
      </c>
      <c r="N4" s="187">
        <v>0</v>
      </c>
      <c r="O4" s="187"/>
    </row>
    <row r="5" spans="1:32" ht="6" customHeight="1" x14ac:dyDescent="0.55000000000000004"/>
    <row r="6" spans="1:32" s="6" customFormat="1" x14ac:dyDescent="0.55000000000000004">
      <c r="A6" s="197" t="s">
        <v>172</v>
      </c>
      <c r="B6" s="200" t="s">
        <v>173</v>
      </c>
      <c r="C6" s="200" t="s">
        <v>174</v>
      </c>
      <c r="D6" s="203" t="s">
        <v>175</v>
      </c>
      <c r="E6" s="203"/>
      <c r="F6" s="203"/>
      <c r="G6" s="203"/>
      <c r="H6" s="203"/>
      <c r="I6" s="203"/>
      <c r="J6" s="203"/>
      <c r="K6" s="203"/>
      <c r="L6" s="203"/>
      <c r="M6" s="203"/>
      <c r="N6" s="203"/>
      <c r="O6" s="203"/>
      <c r="P6" s="203"/>
      <c r="Q6" s="203"/>
      <c r="R6" s="203"/>
      <c r="S6" s="203"/>
      <c r="T6" s="203"/>
      <c r="U6" s="203"/>
      <c r="V6" s="203"/>
      <c r="W6" s="203"/>
      <c r="X6" s="203"/>
      <c r="Y6" s="203"/>
      <c r="Z6" s="203"/>
      <c r="AA6" s="203"/>
      <c r="AB6" s="203"/>
      <c r="AC6" s="203"/>
      <c r="AD6" s="203"/>
      <c r="AE6" s="203"/>
      <c r="AF6" s="188" t="s">
        <v>148</v>
      </c>
    </row>
    <row r="7" spans="1:32" s="6" customFormat="1" ht="12" customHeight="1" x14ac:dyDescent="0.55000000000000004">
      <c r="A7" s="198"/>
      <c r="B7" s="201"/>
      <c r="C7" s="201"/>
      <c r="D7" s="191" t="s">
        <v>176</v>
      </c>
      <c r="E7" s="192"/>
      <c r="F7" s="193"/>
      <c r="G7" s="191" t="s">
        <v>177</v>
      </c>
      <c r="H7" s="192"/>
      <c r="I7" s="193"/>
      <c r="J7" s="191" t="s">
        <v>178</v>
      </c>
      <c r="K7" s="192"/>
      <c r="L7" s="193"/>
      <c r="M7" s="191" t="s">
        <v>179</v>
      </c>
      <c r="N7" s="192"/>
      <c r="O7" s="193"/>
      <c r="P7" s="191" t="s">
        <v>180</v>
      </c>
      <c r="Q7" s="192"/>
      <c r="R7" s="193"/>
      <c r="S7" s="191" t="s">
        <v>181</v>
      </c>
      <c r="T7" s="192"/>
      <c r="U7" s="193"/>
      <c r="V7" s="191" t="s">
        <v>182</v>
      </c>
      <c r="W7" s="192"/>
      <c r="X7" s="193"/>
      <c r="Y7" s="191" t="s">
        <v>183</v>
      </c>
      <c r="Z7" s="192"/>
      <c r="AA7" s="193"/>
      <c r="AB7" s="191" t="s">
        <v>184</v>
      </c>
      <c r="AC7" s="192"/>
      <c r="AD7" s="193"/>
      <c r="AE7" s="204" t="s">
        <v>185</v>
      </c>
      <c r="AF7" s="189"/>
    </row>
    <row r="8" spans="1:32" s="6" customFormat="1" x14ac:dyDescent="0.55000000000000004">
      <c r="A8" s="199"/>
      <c r="B8" s="202"/>
      <c r="C8" s="202"/>
      <c r="D8" s="7">
        <v>44197</v>
      </c>
      <c r="E8" s="7">
        <v>44228</v>
      </c>
      <c r="F8" s="7">
        <v>44256</v>
      </c>
      <c r="G8" s="7">
        <v>44287</v>
      </c>
      <c r="H8" s="7">
        <v>44317</v>
      </c>
      <c r="I8" s="7">
        <v>44348</v>
      </c>
      <c r="J8" s="7">
        <v>44378</v>
      </c>
      <c r="K8" s="7">
        <v>44409</v>
      </c>
      <c r="L8" s="7">
        <v>44440</v>
      </c>
      <c r="M8" s="7">
        <v>44470</v>
      </c>
      <c r="N8" s="7">
        <v>44501</v>
      </c>
      <c r="O8" s="7">
        <v>44531</v>
      </c>
      <c r="P8" s="7">
        <v>44562</v>
      </c>
      <c r="Q8" s="7">
        <v>44593</v>
      </c>
      <c r="R8" s="7">
        <v>44621</v>
      </c>
      <c r="S8" s="7">
        <v>44652</v>
      </c>
      <c r="T8" s="7">
        <v>44682</v>
      </c>
      <c r="U8" s="7">
        <v>44713</v>
      </c>
      <c r="V8" s="7">
        <v>44743</v>
      </c>
      <c r="W8" s="7">
        <v>44774</v>
      </c>
      <c r="X8" s="7">
        <v>44805</v>
      </c>
      <c r="Y8" s="7">
        <v>44835</v>
      </c>
      <c r="Z8" s="7">
        <v>44866</v>
      </c>
      <c r="AA8" s="7">
        <v>44896</v>
      </c>
      <c r="AB8" s="7">
        <v>44927</v>
      </c>
      <c r="AC8" s="7">
        <v>44958</v>
      </c>
      <c r="AD8" s="7">
        <v>44986</v>
      </c>
      <c r="AE8" s="202"/>
      <c r="AF8" s="190"/>
    </row>
    <row r="9" spans="1:32" x14ac:dyDescent="0.55000000000000004">
      <c r="A9" s="24"/>
      <c r="B9" s="8"/>
      <c r="C9" s="8"/>
      <c r="D9" s="9"/>
      <c r="E9" s="9"/>
      <c r="F9" s="9"/>
      <c r="G9" s="9"/>
      <c r="H9" s="9"/>
      <c r="I9" s="9"/>
      <c r="J9" s="9"/>
      <c r="K9" s="9"/>
      <c r="L9" s="9"/>
      <c r="M9" s="9"/>
      <c r="N9" s="9"/>
      <c r="O9" s="9"/>
      <c r="P9" s="9"/>
      <c r="Q9" s="9"/>
      <c r="R9" s="9"/>
      <c r="S9" s="9"/>
      <c r="T9" s="9"/>
      <c r="U9" s="9"/>
      <c r="V9" s="9"/>
      <c r="W9" s="9"/>
      <c r="X9" s="9"/>
      <c r="Y9" s="9"/>
      <c r="Z9" s="9"/>
      <c r="AA9" s="9"/>
      <c r="AB9" s="9"/>
      <c r="AC9" s="9"/>
      <c r="AD9" s="9"/>
      <c r="AE9" s="9"/>
      <c r="AF9" s="10">
        <f>SUM(D9:AE9)</f>
        <v>0</v>
      </c>
    </row>
    <row r="10" spans="1:32" x14ac:dyDescent="0.55000000000000004">
      <c r="A10" s="8"/>
      <c r="B10" s="8"/>
      <c r="C10" s="8"/>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10">
        <f t="shared" ref="AF10:AF58" si="0">SUM(D10:AE10)</f>
        <v>0</v>
      </c>
    </row>
    <row r="11" spans="1:32" x14ac:dyDescent="0.55000000000000004">
      <c r="A11" s="8"/>
      <c r="B11" s="8"/>
      <c r="C11" s="8"/>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10">
        <f t="shared" si="0"/>
        <v>0</v>
      </c>
    </row>
    <row r="12" spans="1:32" x14ac:dyDescent="0.55000000000000004">
      <c r="A12" s="8"/>
      <c r="B12" s="8"/>
      <c r="C12" s="8"/>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10">
        <f t="shared" si="0"/>
        <v>0</v>
      </c>
    </row>
    <row r="13" spans="1:32" x14ac:dyDescent="0.55000000000000004">
      <c r="A13" s="8"/>
      <c r="B13" s="8"/>
      <c r="C13" s="8"/>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10">
        <f t="shared" si="0"/>
        <v>0</v>
      </c>
    </row>
    <row r="14" spans="1:32" x14ac:dyDescent="0.55000000000000004">
      <c r="A14" s="8"/>
      <c r="B14" s="8"/>
      <c r="C14" s="8"/>
      <c r="D14" s="9"/>
      <c r="E14" s="11"/>
      <c r="F14" s="9"/>
      <c r="G14" s="9"/>
      <c r="H14" s="9"/>
      <c r="I14" s="9"/>
      <c r="J14" s="9"/>
      <c r="K14" s="9"/>
      <c r="L14" s="9"/>
      <c r="M14" s="9"/>
      <c r="N14" s="9"/>
      <c r="O14" s="9"/>
      <c r="P14" s="9"/>
      <c r="Q14" s="9"/>
      <c r="R14" s="9"/>
      <c r="S14" s="9"/>
      <c r="T14" s="9"/>
      <c r="U14" s="9"/>
      <c r="V14" s="9"/>
      <c r="W14" s="9"/>
      <c r="X14" s="9"/>
      <c r="Y14" s="9"/>
      <c r="Z14" s="9"/>
      <c r="AA14" s="9"/>
      <c r="AB14" s="9"/>
      <c r="AC14" s="9"/>
      <c r="AD14" s="9"/>
      <c r="AE14" s="9"/>
      <c r="AF14" s="10">
        <f t="shared" si="0"/>
        <v>0</v>
      </c>
    </row>
    <row r="15" spans="1:32" x14ac:dyDescent="0.55000000000000004">
      <c r="A15" s="8"/>
      <c r="B15" s="8"/>
      <c r="C15" s="8"/>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10">
        <f t="shared" si="0"/>
        <v>0</v>
      </c>
    </row>
    <row r="16" spans="1:32" x14ac:dyDescent="0.55000000000000004">
      <c r="A16" s="8"/>
      <c r="B16" s="8"/>
      <c r="C16" s="8"/>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10">
        <f t="shared" si="0"/>
        <v>0</v>
      </c>
    </row>
    <row r="17" spans="1:32" x14ac:dyDescent="0.55000000000000004">
      <c r="A17" s="8"/>
      <c r="B17" s="8"/>
      <c r="C17" s="8"/>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10">
        <f t="shared" si="0"/>
        <v>0</v>
      </c>
    </row>
    <row r="18" spans="1:32" x14ac:dyDescent="0.55000000000000004">
      <c r="A18" s="8"/>
      <c r="B18" s="8"/>
      <c r="C18" s="8"/>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10">
        <f t="shared" si="0"/>
        <v>0</v>
      </c>
    </row>
    <row r="19" spans="1:32" x14ac:dyDescent="0.55000000000000004">
      <c r="A19" s="8"/>
      <c r="B19" s="8"/>
      <c r="C19" s="8"/>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10">
        <f t="shared" si="0"/>
        <v>0</v>
      </c>
    </row>
    <row r="20" spans="1:32" x14ac:dyDescent="0.55000000000000004">
      <c r="A20" s="8"/>
      <c r="B20" s="8"/>
      <c r="C20" s="8"/>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10">
        <f t="shared" si="0"/>
        <v>0</v>
      </c>
    </row>
    <row r="21" spans="1:32" x14ac:dyDescent="0.55000000000000004">
      <c r="A21" s="8"/>
      <c r="B21" s="8"/>
      <c r="C21" s="8"/>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10">
        <f t="shared" si="0"/>
        <v>0</v>
      </c>
    </row>
    <row r="22" spans="1:32" x14ac:dyDescent="0.55000000000000004">
      <c r="A22" s="8"/>
      <c r="B22" s="8"/>
      <c r="C22" s="8"/>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10">
        <f t="shared" si="0"/>
        <v>0</v>
      </c>
    </row>
    <row r="23" spans="1:32" x14ac:dyDescent="0.55000000000000004">
      <c r="A23" s="8"/>
      <c r="B23" s="8"/>
      <c r="C23" s="8"/>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10">
        <f t="shared" si="0"/>
        <v>0</v>
      </c>
    </row>
    <row r="24" spans="1:32" x14ac:dyDescent="0.55000000000000004">
      <c r="A24" s="8"/>
      <c r="B24" s="8"/>
      <c r="C24" s="8"/>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10">
        <f t="shared" si="0"/>
        <v>0</v>
      </c>
    </row>
    <row r="25" spans="1:32" x14ac:dyDescent="0.55000000000000004">
      <c r="A25" s="8"/>
      <c r="B25" s="8"/>
      <c r="C25" s="8"/>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10">
        <f t="shared" si="0"/>
        <v>0</v>
      </c>
    </row>
    <row r="26" spans="1:32" x14ac:dyDescent="0.55000000000000004">
      <c r="A26" s="8"/>
      <c r="B26" s="8"/>
      <c r="C26" s="8"/>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10">
        <f t="shared" si="0"/>
        <v>0</v>
      </c>
    </row>
    <row r="27" spans="1:32" x14ac:dyDescent="0.55000000000000004">
      <c r="A27" s="8"/>
      <c r="B27" s="8"/>
      <c r="C27" s="8"/>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10">
        <f t="shared" si="0"/>
        <v>0</v>
      </c>
    </row>
    <row r="28" spans="1:32" x14ac:dyDescent="0.55000000000000004">
      <c r="A28" s="8"/>
      <c r="B28" s="8"/>
      <c r="C28" s="8"/>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10">
        <f t="shared" si="0"/>
        <v>0</v>
      </c>
    </row>
    <row r="29" spans="1:32" x14ac:dyDescent="0.55000000000000004">
      <c r="A29" s="8"/>
      <c r="B29" s="8"/>
      <c r="C29" s="8"/>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10">
        <f t="shared" si="0"/>
        <v>0</v>
      </c>
    </row>
    <row r="30" spans="1:32" x14ac:dyDescent="0.55000000000000004">
      <c r="A30" s="8"/>
      <c r="B30" s="8"/>
      <c r="C30" s="8"/>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10">
        <f t="shared" si="0"/>
        <v>0</v>
      </c>
    </row>
    <row r="31" spans="1:32" x14ac:dyDescent="0.55000000000000004">
      <c r="A31" s="8"/>
      <c r="B31" s="8"/>
      <c r="C31" s="8"/>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10">
        <f t="shared" si="0"/>
        <v>0</v>
      </c>
    </row>
    <row r="32" spans="1:32" x14ac:dyDescent="0.55000000000000004">
      <c r="A32" s="8"/>
      <c r="B32" s="8"/>
      <c r="C32" s="8"/>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10">
        <f t="shared" si="0"/>
        <v>0</v>
      </c>
    </row>
    <row r="33" spans="1:32" x14ac:dyDescent="0.55000000000000004">
      <c r="A33" s="8"/>
      <c r="B33" s="8"/>
      <c r="C33" s="8"/>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10">
        <f t="shared" si="0"/>
        <v>0</v>
      </c>
    </row>
    <row r="34" spans="1:32" x14ac:dyDescent="0.55000000000000004">
      <c r="A34" s="8"/>
      <c r="B34" s="8"/>
      <c r="C34" s="8"/>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10">
        <f t="shared" si="0"/>
        <v>0</v>
      </c>
    </row>
    <row r="35" spans="1:32" x14ac:dyDescent="0.55000000000000004">
      <c r="A35" s="8"/>
      <c r="B35" s="8"/>
      <c r="C35" s="8"/>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10">
        <f t="shared" si="0"/>
        <v>0</v>
      </c>
    </row>
    <row r="36" spans="1:32" x14ac:dyDescent="0.55000000000000004">
      <c r="A36" s="8"/>
      <c r="B36" s="8"/>
      <c r="C36" s="8"/>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10">
        <f t="shared" si="0"/>
        <v>0</v>
      </c>
    </row>
    <row r="37" spans="1:32" x14ac:dyDescent="0.55000000000000004">
      <c r="A37" s="8"/>
      <c r="B37" s="8"/>
      <c r="C37" s="8"/>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10">
        <f t="shared" si="0"/>
        <v>0</v>
      </c>
    </row>
    <row r="38" spans="1:32" x14ac:dyDescent="0.55000000000000004">
      <c r="A38" s="8"/>
      <c r="B38" s="8"/>
      <c r="C38" s="8"/>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10">
        <f t="shared" si="0"/>
        <v>0</v>
      </c>
    </row>
    <row r="39" spans="1:32" x14ac:dyDescent="0.55000000000000004">
      <c r="A39" s="8"/>
      <c r="B39" s="8"/>
      <c r="C39" s="8"/>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10">
        <f t="shared" si="0"/>
        <v>0</v>
      </c>
    </row>
    <row r="40" spans="1:32" x14ac:dyDescent="0.55000000000000004">
      <c r="A40" s="8"/>
      <c r="B40" s="8"/>
      <c r="C40" s="8"/>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10">
        <f t="shared" si="0"/>
        <v>0</v>
      </c>
    </row>
    <row r="41" spans="1:32" x14ac:dyDescent="0.55000000000000004">
      <c r="A41" s="8"/>
      <c r="B41" s="8"/>
      <c r="C41" s="8"/>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10">
        <f t="shared" si="0"/>
        <v>0</v>
      </c>
    </row>
    <row r="42" spans="1:32" x14ac:dyDescent="0.55000000000000004">
      <c r="A42" s="8"/>
      <c r="B42" s="8"/>
      <c r="C42" s="8"/>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10">
        <f t="shared" si="0"/>
        <v>0</v>
      </c>
    </row>
    <row r="43" spans="1:32" x14ac:dyDescent="0.55000000000000004">
      <c r="A43" s="8"/>
      <c r="B43" s="8"/>
      <c r="C43" s="8"/>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10">
        <f t="shared" si="0"/>
        <v>0</v>
      </c>
    </row>
    <row r="44" spans="1:32" x14ac:dyDescent="0.55000000000000004">
      <c r="A44" s="8"/>
      <c r="B44" s="8"/>
      <c r="C44" s="8"/>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10">
        <f t="shared" si="0"/>
        <v>0</v>
      </c>
    </row>
    <row r="45" spans="1:32" x14ac:dyDescent="0.55000000000000004">
      <c r="A45" s="8"/>
      <c r="B45" s="8"/>
      <c r="C45" s="8"/>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10">
        <f t="shared" si="0"/>
        <v>0</v>
      </c>
    </row>
    <row r="46" spans="1:32" x14ac:dyDescent="0.55000000000000004">
      <c r="A46" s="8"/>
      <c r="B46" s="8"/>
      <c r="C46" s="8"/>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10">
        <f t="shared" si="0"/>
        <v>0</v>
      </c>
    </row>
    <row r="47" spans="1:32" x14ac:dyDescent="0.55000000000000004">
      <c r="A47" s="8"/>
      <c r="B47" s="8"/>
      <c r="C47" s="8"/>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10">
        <f t="shared" si="0"/>
        <v>0</v>
      </c>
    </row>
    <row r="48" spans="1:32" x14ac:dyDescent="0.55000000000000004">
      <c r="A48" s="8"/>
      <c r="B48" s="8"/>
      <c r="C48" s="8"/>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10">
        <f t="shared" si="0"/>
        <v>0</v>
      </c>
    </row>
    <row r="49" spans="1:32" x14ac:dyDescent="0.55000000000000004">
      <c r="A49" s="8"/>
      <c r="B49" s="8"/>
      <c r="C49" s="8"/>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10">
        <f t="shared" si="0"/>
        <v>0</v>
      </c>
    </row>
    <row r="50" spans="1:32" x14ac:dyDescent="0.55000000000000004">
      <c r="A50" s="8"/>
      <c r="B50" s="8"/>
      <c r="C50" s="8"/>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10">
        <f t="shared" si="0"/>
        <v>0</v>
      </c>
    </row>
    <row r="51" spans="1:32" x14ac:dyDescent="0.55000000000000004">
      <c r="A51" s="8"/>
      <c r="B51" s="8"/>
      <c r="C51" s="8"/>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10">
        <f t="shared" si="0"/>
        <v>0</v>
      </c>
    </row>
    <row r="52" spans="1:32" x14ac:dyDescent="0.55000000000000004">
      <c r="A52" s="8"/>
      <c r="B52" s="8"/>
      <c r="C52" s="8"/>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10">
        <f t="shared" si="0"/>
        <v>0</v>
      </c>
    </row>
    <row r="53" spans="1:32" x14ac:dyDescent="0.55000000000000004">
      <c r="A53" s="8"/>
      <c r="B53" s="8"/>
      <c r="C53" s="8"/>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10">
        <f t="shared" si="0"/>
        <v>0</v>
      </c>
    </row>
    <row r="54" spans="1:32" x14ac:dyDescent="0.55000000000000004">
      <c r="A54" s="8"/>
      <c r="B54" s="8"/>
      <c r="C54" s="8"/>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10">
        <f t="shared" si="0"/>
        <v>0</v>
      </c>
    </row>
    <row r="55" spans="1:32" x14ac:dyDescent="0.55000000000000004">
      <c r="A55" s="8"/>
      <c r="B55" s="8"/>
      <c r="C55" s="8"/>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10">
        <f t="shared" si="0"/>
        <v>0</v>
      </c>
    </row>
    <row r="56" spans="1:32" x14ac:dyDescent="0.55000000000000004">
      <c r="A56" s="8"/>
      <c r="B56" s="8"/>
      <c r="C56" s="8"/>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10">
        <f t="shared" si="0"/>
        <v>0</v>
      </c>
    </row>
    <row r="57" spans="1:32" x14ac:dyDescent="0.55000000000000004">
      <c r="A57" s="8"/>
      <c r="B57" s="8"/>
      <c r="C57" s="8"/>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10">
        <f t="shared" si="0"/>
        <v>0</v>
      </c>
    </row>
    <row r="58" spans="1:32" x14ac:dyDescent="0.55000000000000004">
      <c r="A58" s="8"/>
      <c r="B58" s="8"/>
      <c r="C58" s="8"/>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10">
        <f t="shared" si="0"/>
        <v>0</v>
      </c>
    </row>
    <row r="59" spans="1:32" x14ac:dyDescent="0.55000000000000004">
      <c r="A59" s="194" t="s">
        <v>148</v>
      </c>
      <c r="B59" s="195"/>
      <c r="C59" s="196"/>
      <c r="D59" s="10">
        <f>SUM(D9:D58)</f>
        <v>0</v>
      </c>
      <c r="E59" s="10">
        <f t="shared" ref="E59:AF59" si="1">SUM(E9:E58)</f>
        <v>0</v>
      </c>
      <c r="F59" s="10">
        <f t="shared" si="1"/>
        <v>0</v>
      </c>
      <c r="G59" s="10">
        <f t="shared" si="1"/>
        <v>0</v>
      </c>
      <c r="H59" s="10">
        <f t="shared" si="1"/>
        <v>0</v>
      </c>
      <c r="I59" s="10">
        <f t="shared" si="1"/>
        <v>0</v>
      </c>
      <c r="J59" s="10">
        <f t="shared" si="1"/>
        <v>0</v>
      </c>
      <c r="K59" s="10">
        <f t="shared" si="1"/>
        <v>0</v>
      </c>
      <c r="L59" s="10">
        <f t="shared" si="1"/>
        <v>0</v>
      </c>
      <c r="M59" s="10">
        <f t="shared" si="1"/>
        <v>0</v>
      </c>
      <c r="N59" s="10">
        <f t="shared" si="1"/>
        <v>0</v>
      </c>
      <c r="O59" s="10">
        <f t="shared" si="1"/>
        <v>0</v>
      </c>
      <c r="P59" s="10">
        <f t="shared" si="1"/>
        <v>0</v>
      </c>
      <c r="Q59" s="10">
        <f t="shared" si="1"/>
        <v>0</v>
      </c>
      <c r="R59" s="10">
        <f t="shared" si="1"/>
        <v>0</v>
      </c>
      <c r="S59" s="10">
        <f t="shared" si="1"/>
        <v>0</v>
      </c>
      <c r="T59" s="10">
        <f t="shared" si="1"/>
        <v>0</v>
      </c>
      <c r="U59" s="10">
        <f t="shared" si="1"/>
        <v>0</v>
      </c>
      <c r="V59" s="10">
        <f t="shared" si="1"/>
        <v>0</v>
      </c>
      <c r="W59" s="10">
        <f t="shared" si="1"/>
        <v>0</v>
      </c>
      <c r="X59" s="10">
        <f t="shared" si="1"/>
        <v>0</v>
      </c>
      <c r="Y59" s="10">
        <f t="shared" si="1"/>
        <v>0</v>
      </c>
      <c r="Z59" s="10">
        <f t="shared" si="1"/>
        <v>0</v>
      </c>
      <c r="AA59" s="10">
        <f t="shared" si="1"/>
        <v>0</v>
      </c>
      <c r="AB59" s="10">
        <f t="shared" si="1"/>
        <v>0</v>
      </c>
      <c r="AC59" s="10">
        <f t="shared" si="1"/>
        <v>0</v>
      </c>
      <c r="AD59" s="10">
        <f t="shared" si="1"/>
        <v>0</v>
      </c>
      <c r="AE59" s="10">
        <f t="shared" si="1"/>
        <v>0</v>
      </c>
      <c r="AF59" s="10">
        <f t="shared" si="1"/>
        <v>0</v>
      </c>
    </row>
  </sheetData>
  <mergeCells count="23">
    <mergeCell ref="A59:C59"/>
    <mergeCell ref="A6:A8"/>
    <mergeCell ref="B6:B8"/>
    <mergeCell ref="C6:C8"/>
    <mergeCell ref="D6:AE6"/>
    <mergeCell ref="S7:U7"/>
    <mergeCell ref="V7:X7"/>
    <mergeCell ref="Y7:AA7"/>
    <mergeCell ref="AB7:AD7"/>
    <mergeCell ref="AE7:AE8"/>
    <mergeCell ref="AF6:AF8"/>
    <mergeCell ref="D7:F7"/>
    <mergeCell ref="G7:I7"/>
    <mergeCell ref="J7:L7"/>
    <mergeCell ref="M7:O7"/>
    <mergeCell ref="P7:R7"/>
    <mergeCell ref="B3:C3"/>
    <mergeCell ref="E3:O3"/>
    <mergeCell ref="B4:C4"/>
    <mergeCell ref="E4:F4"/>
    <mergeCell ref="H4:I4"/>
    <mergeCell ref="K4:L4"/>
    <mergeCell ref="N4:O4"/>
  </mergeCells>
  <phoneticPr fontId="3"/>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リストマスタ!$K$3:$K$12</xm:f>
          </x14:formula1>
          <xm:sqref>A9:A58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9"/>
  <sheetViews>
    <sheetView workbookViewId="0">
      <selection activeCell="C13" sqref="C13"/>
    </sheetView>
  </sheetViews>
  <sheetFormatPr defaultColWidth="8.08203125" defaultRowHeight="12.5" x14ac:dyDescent="0.55000000000000004"/>
  <cols>
    <col min="1" max="1" width="14.58203125" style="2" customWidth="1"/>
    <col min="2" max="2" width="7.83203125" style="2" customWidth="1"/>
    <col min="3" max="3" width="14.58203125" style="2" customWidth="1"/>
    <col min="4" max="31" width="8.33203125" style="2" customWidth="1"/>
    <col min="32" max="32" width="11.08203125" style="2" customWidth="1"/>
    <col min="33" max="16384" width="8.08203125" style="2"/>
  </cols>
  <sheetData>
    <row r="1" spans="1:32" ht="19.5" x14ac:dyDescent="0.55000000000000004">
      <c r="A1" s="1" t="s">
        <v>186</v>
      </c>
    </row>
    <row r="2" spans="1:32" ht="5.25" customHeight="1" x14ac:dyDescent="0.55000000000000004">
      <c r="A2" s="1"/>
    </row>
    <row r="3" spans="1:32" x14ac:dyDescent="0.55000000000000004">
      <c r="A3" s="12" t="s">
        <v>165</v>
      </c>
      <c r="B3" s="182"/>
      <c r="C3" s="183"/>
      <c r="D3" s="13" t="s">
        <v>135</v>
      </c>
      <c r="E3" s="182">
        <f>社員工数!E3</f>
        <v>0</v>
      </c>
      <c r="F3" s="184"/>
      <c r="G3" s="184"/>
      <c r="H3" s="184"/>
      <c r="I3" s="184"/>
      <c r="J3" s="184"/>
      <c r="K3" s="184"/>
      <c r="L3" s="184"/>
      <c r="M3" s="184"/>
      <c r="N3" s="184"/>
      <c r="O3" s="183"/>
    </row>
    <row r="4" spans="1:32" x14ac:dyDescent="0.55000000000000004">
      <c r="A4" s="12" t="s">
        <v>166</v>
      </c>
      <c r="B4" s="182" t="s">
        <v>187</v>
      </c>
      <c r="C4" s="183"/>
      <c r="D4" s="14" t="s">
        <v>168</v>
      </c>
      <c r="E4" s="205">
        <f>社員工数!E4</f>
        <v>0</v>
      </c>
      <c r="F4" s="205"/>
      <c r="G4" s="14" t="s">
        <v>169</v>
      </c>
      <c r="H4" s="206">
        <f>社員工数!H4</f>
        <v>0</v>
      </c>
      <c r="I4" s="206"/>
      <c r="J4" s="14" t="s">
        <v>170</v>
      </c>
      <c r="K4" s="207">
        <f>AF59</f>
        <v>0</v>
      </c>
      <c r="L4" s="207"/>
      <c r="M4" s="14" t="s">
        <v>171</v>
      </c>
      <c r="N4" s="207">
        <f>SUMIF(A:A,"経費",AF:AF)</f>
        <v>0</v>
      </c>
      <c r="O4" s="207"/>
    </row>
    <row r="5" spans="1:32" ht="6" customHeight="1" x14ac:dyDescent="0.55000000000000004"/>
    <row r="6" spans="1:32" s="6" customFormat="1" x14ac:dyDescent="0.55000000000000004">
      <c r="A6" s="214" t="s">
        <v>172</v>
      </c>
      <c r="B6" s="217" t="s">
        <v>188</v>
      </c>
      <c r="C6" s="217" t="s">
        <v>174</v>
      </c>
      <c r="D6" s="220" t="s">
        <v>189</v>
      </c>
      <c r="E6" s="220"/>
      <c r="F6" s="220"/>
      <c r="G6" s="220"/>
      <c r="H6" s="220"/>
      <c r="I6" s="220"/>
      <c r="J6" s="220"/>
      <c r="K6" s="220"/>
      <c r="L6" s="220"/>
      <c r="M6" s="220"/>
      <c r="N6" s="220"/>
      <c r="O6" s="220"/>
      <c r="P6" s="220"/>
      <c r="Q6" s="220"/>
      <c r="R6" s="220"/>
      <c r="S6" s="220"/>
      <c r="T6" s="220"/>
      <c r="U6" s="220"/>
      <c r="V6" s="220"/>
      <c r="W6" s="220"/>
      <c r="X6" s="220"/>
      <c r="Y6" s="220"/>
      <c r="Z6" s="220"/>
      <c r="AA6" s="220"/>
      <c r="AB6" s="220"/>
      <c r="AC6" s="220"/>
      <c r="AD6" s="220"/>
      <c r="AE6" s="220"/>
      <c r="AF6" s="208" t="s">
        <v>148</v>
      </c>
    </row>
    <row r="7" spans="1:32" s="6" customFormat="1" ht="12" customHeight="1" x14ac:dyDescent="0.55000000000000004">
      <c r="A7" s="215"/>
      <c r="B7" s="218"/>
      <c r="C7" s="218"/>
      <c r="D7" s="211" t="s">
        <v>190</v>
      </c>
      <c r="E7" s="212"/>
      <c r="F7" s="213"/>
      <c r="G7" s="211" t="s">
        <v>191</v>
      </c>
      <c r="H7" s="212"/>
      <c r="I7" s="213"/>
      <c r="J7" s="211" t="s">
        <v>192</v>
      </c>
      <c r="K7" s="212"/>
      <c r="L7" s="213"/>
      <c r="M7" s="211" t="s">
        <v>193</v>
      </c>
      <c r="N7" s="212"/>
      <c r="O7" s="213"/>
      <c r="P7" s="211" t="s">
        <v>194</v>
      </c>
      <c r="Q7" s="212"/>
      <c r="R7" s="213"/>
      <c r="S7" s="211" t="s">
        <v>195</v>
      </c>
      <c r="T7" s="212"/>
      <c r="U7" s="213"/>
      <c r="V7" s="211" t="s">
        <v>196</v>
      </c>
      <c r="W7" s="212"/>
      <c r="X7" s="213"/>
      <c r="Y7" s="211" t="s">
        <v>197</v>
      </c>
      <c r="Z7" s="212"/>
      <c r="AA7" s="213"/>
      <c r="AB7" s="211" t="s">
        <v>198</v>
      </c>
      <c r="AC7" s="212"/>
      <c r="AD7" s="213"/>
      <c r="AE7" s="221" t="s">
        <v>185</v>
      </c>
      <c r="AF7" s="209"/>
    </row>
    <row r="8" spans="1:32" s="6" customFormat="1" x14ac:dyDescent="0.55000000000000004">
      <c r="A8" s="216"/>
      <c r="B8" s="219"/>
      <c r="C8" s="219"/>
      <c r="D8" s="15">
        <v>44197</v>
      </c>
      <c r="E8" s="15">
        <v>44228</v>
      </c>
      <c r="F8" s="15">
        <v>44256</v>
      </c>
      <c r="G8" s="15">
        <v>44287</v>
      </c>
      <c r="H8" s="15">
        <v>44317</v>
      </c>
      <c r="I8" s="15">
        <v>44348</v>
      </c>
      <c r="J8" s="15">
        <v>44378</v>
      </c>
      <c r="K8" s="15">
        <v>44409</v>
      </c>
      <c r="L8" s="15">
        <v>44440</v>
      </c>
      <c r="M8" s="15">
        <v>44470</v>
      </c>
      <c r="N8" s="15">
        <v>44501</v>
      </c>
      <c r="O8" s="15">
        <v>44531</v>
      </c>
      <c r="P8" s="15">
        <v>44562</v>
      </c>
      <c r="Q8" s="15">
        <v>44593</v>
      </c>
      <c r="R8" s="15">
        <v>44621</v>
      </c>
      <c r="S8" s="15">
        <v>44652</v>
      </c>
      <c r="T8" s="15">
        <v>44682</v>
      </c>
      <c r="U8" s="15">
        <v>44713</v>
      </c>
      <c r="V8" s="15">
        <v>44743</v>
      </c>
      <c r="W8" s="15">
        <v>44774</v>
      </c>
      <c r="X8" s="15">
        <v>44805</v>
      </c>
      <c r="Y8" s="15">
        <v>44835</v>
      </c>
      <c r="Z8" s="15">
        <v>44866</v>
      </c>
      <c r="AA8" s="15">
        <v>44896</v>
      </c>
      <c r="AB8" s="15">
        <v>44927</v>
      </c>
      <c r="AC8" s="15">
        <v>44958</v>
      </c>
      <c r="AD8" s="15">
        <v>44986</v>
      </c>
      <c r="AE8" s="219"/>
      <c r="AF8" s="210"/>
    </row>
    <row r="9" spans="1:32" x14ac:dyDescent="0.55000000000000004">
      <c r="A9" s="16"/>
      <c r="B9" s="17"/>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8">
        <f>SUM(D9:AE9)</f>
        <v>0</v>
      </c>
    </row>
    <row r="10" spans="1:32" x14ac:dyDescent="0.55000000000000004">
      <c r="A10" s="16"/>
      <c r="B10" s="17"/>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8">
        <f t="shared" ref="AF10:AF58" si="0">SUM(D10:AE10)</f>
        <v>0</v>
      </c>
    </row>
    <row r="11" spans="1:32" x14ac:dyDescent="0.55000000000000004">
      <c r="A11" s="16"/>
      <c r="B11" s="17"/>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8">
        <f t="shared" si="0"/>
        <v>0</v>
      </c>
    </row>
    <row r="12" spans="1:32" x14ac:dyDescent="0.55000000000000004">
      <c r="A12" s="16"/>
      <c r="B12" s="17"/>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8">
        <f t="shared" si="0"/>
        <v>0</v>
      </c>
    </row>
    <row r="13" spans="1:32" x14ac:dyDescent="0.55000000000000004">
      <c r="A13" s="16"/>
      <c r="B13" s="17"/>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8">
        <f t="shared" si="0"/>
        <v>0</v>
      </c>
    </row>
    <row r="14" spans="1:32" x14ac:dyDescent="0.55000000000000004">
      <c r="A14" s="16"/>
      <c r="B14" s="17"/>
      <c r="C14" s="16"/>
      <c r="D14" s="16"/>
      <c r="E14" s="19"/>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8">
        <f t="shared" si="0"/>
        <v>0</v>
      </c>
    </row>
    <row r="15" spans="1:32" x14ac:dyDescent="0.55000000000000004">
      <c r="A15" s="16"/>
      <c r="B15" s="17"/>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8">
        <f t="shared" si="0"/>
        <v>0</v>
      </c>
    </row>
    <row r="16" spans="1:32" x14ac:dyDescent="0.55000000000000004">
      <c r="A16" s="16"/>
      <c r="B16" s="17"/>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8">
        <f t="shared" si="0"/>
        <v>0</v>
      </c>
    </row>
    <row r="17" spans="1:32" x14ac:dyDescent="0.55000000000000004">
      <c r="A17" s="16"/>
      <c r="B17" s="17"/>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8">
        <f t="shared" si="0"/>
        <v>0</v>
      </c>
    </row>
    <row r="18" spans="1:32" x14ac:dyDescent="0.55000000000000004">
      <c r="A18" s="16"/>
      <c r="B18" s="17"/>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8">
        <f t="shared" si="0"/>
        <v>0</v>
      </c>
    </row>
    <row r="19" spans="1:32" x14ac:dyDescent="0.55000000000000004">
      <c r="A19" s="16"/>
      <c r="B19" s="17"/>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8">
        <f t="shared" si="0"/>
        <v>0</v>
      </c>
    </row>
    <row r="20" spans="1:32" x14ac:dyDescent="0.55000000000000004">
      <c r="A20" s="16"/>
      <c r="B20" s="17"/>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8">
        <f t="shared" si="0"/>
        <v>0</v>
      </c>
    </row>
    <row r="21" spans="1:32" x14ac:dyDescent="0.55000000000000004">
      <c r="A21" s="16"/>
      <c r="B21" s="17"/>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8">
        <f t="shared" si="0"/>
        <v>0</v>
      </c>
    </row>
    <row r="22" spans="1:32" x14ac:dyDescent="0.55000000000000004">
      <c r="A22" s="16"/>
      <c r="B22" s="17"/>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8">
        <f t="shared" si="0"/>
        <v>0</v>
      </c>
    </row>
    <row r="23" spans="1:32" x14ac:dyDescent="0.55000000000000004">
      <c r="A23" s="16"/>
      <c r="B23" s="17"/>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8">
        <f t="shared" si="0"/>
        <v>0</v>
      </c>
    </row>
    <row r="24" spans="1:32" x14ac:dyDescent="0.55000000000000004">
      <c r="A24" s="16"/>
      <c r="B24" s="17"/>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8">
        <f t="shared" si="0"/>
        <v>0</v>
      </c>
    </row>
    <row r="25" spans="1:32" x14ac:dyDescent="0.55000000000000004">
      <c r="A25" s="16"/>
      <c r="B25" s="17"/>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8">
        <f t="shared" si="0"/>
        <v>0</v>
      </c>
    </row>
    <row r="26" spans="1:32" x14ac:dyDescent="0.55000000000000004">
      <c r="A26" s="16"/>
      <c r="B26" s="17"/>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8">
        <f t="shared" si="0"/>
        <v>0</v>
      </c>
    </row>
    <row r="27" spans="1:32" x14ac:dyDescent="0.55000000000000004">
      <c r="A27" s="16"/>
      <c r="B27" s="17"/>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8">
        <f t="shared" si="0"/>
        <v>0</v>
      </c>
    </row>
    <row r="28" spans="1:32" x14ac:dyDescent="0.55000000000000004">
      <c r="A28" s="16"/>
      <c r="B28" s="17"/>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8">
        <f t="shared" si="0"/>
        <v>0</v>
      </c>
    </row>
    <row r="29" spans="1:32" x14ac:dyDescent="0.55000000000000004">
      <c r="A29" s="16"/>
      <c r="B29" s="17"/>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8">
        <f t="shared" si="0"/>
        <v>0</v>
      </c>
    </row>
    <row r="30" spans="1:32" x14ac:dyDescent="0.55000000000000004">
      <c r="A30" s="16"/>
      <c r="B30" s="17"/>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8">
        <f t="shared" si="0"/>
        <v>0</v>
      </c>
    </row>
    <row r="31" spans="1:32" x14ac:dyDescent="0.55000000000000004">
      <c r="A31" s="16"/>
      <c r="B31" s="17"/>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8">
        <f t="shared" si="0"/>
        <v>0</v>
      </c>
    </row>
    <row r="32" spans="1:32" x14ac:dyDescent="0.55000000000000004">
      <c r="A32" s="16"/>
      <c r="B32" s="17"/>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8">
        <f t="shared" si="0"/>
        <v>0</v>
      </c>
    </row>
    <row r="33" spans="1:32" x14ac:dyDescent="0.55000000000000004">
      <c r="A33" s="16"/>
      <c r="B33" s="17"/>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8">
        <f t="shared" si="0"/>
        <v>0</v>
      </c>
    </row>
    <row r="34" spans="1:32" x14ac:dyDescent="0.55000000000000004">
      <c r="A34" s="16"/>
      <c r="B34" s="17"/>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8">
        <f t="shared" si="0"/>
        <v>0</v>
      </c>
    </row>
    <row r="35" spans="1:32" x14ac:dyDescent="0.55000000000000004">
      <c r="A35" s="16"/>
      <c r="B35" s="17"/>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8">
        <f t="shared" si="0"/>
        <v>0</v>
      </c>
    </row>
    <row r="36" spans="1:32" x14ac:dyDescent="0.55000000000000004">
      <c r="A36" s="16"/>
      <c r="B36" s="17"/>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8">
        <f t="shared" si="0"/>
        <v>0</v>
      </c>
    </row>
    <row r="37" spans="1:32" x14ac:dyDescent="0.55000000000000004">
      <c r="A37" s="16"/>
      <c r="B37" s="17"/>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8">
        <f t="shared" si="0"/>
        <v>0</v>
      </c>
    </row>
    <row r="38" spans="1:32" x14ac:dyDescent="0.55000000000000004">
      <c r="A38" s="16"/>
      <c r="B38" s="17"/>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8">
        <f t="shared" si="0"/>
        <v>0</v>
      </c>
    </row>
    <row r="39" spans="1:32" x14ac:dyDescent="0.55000000000000004">
      <c r="A39" s="16"/>
      <c r="B39" s="17"/>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8">
        <f t="shared" si="0"/>
        <v>0</v>
      </c>
    </row>
    <row r="40" spans="1:32" x14ac:dyDescent="0.55000000000000004">
      <c r="A40" s="16"/>
      <c r="B40" s="17"/>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8">
        <f t="shared" si="0"/>
        <v>0</v>
      </c>
    </row>
    <row r="41" spans="1:32" x14ac:dyDescent="0.55000000000000004">
      <c r="A41" s="16"/>
      <c r="B41" s="17"/>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8">
        <f t="shared" si="0"/>
        <v>0</v>
      </c>
    </row>
    <row r="42" spans="1:32" x14ac:dyDescent="0.55000000000000004">
      <c r="A42" s="16"/>
      <c r="B42" s="17"/>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8">
        <f t="shared" si="0"/>
        <v>0</v>
      </c>
    </row>
    <row r="43" spans="1:32" x14ac:dyDescent="0.55000000000000004">
      <c r="A43" s="16"/>
      <c r="B43" s="17"/>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8">
        <f t="shared" si="0"/>
        <v>0</v>
      </c>
    </row>
    <row r="44" spans="1:32" x14ac:dyDescent="0.55000000000000004">
      <c r="A44" s="16"/>
      <c r="B44" s="17"/>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8">
        <f t="shared" si="0"/>
        <v>0</v>
      </c>
    </row>
    <row r="45" spans="1:32" x14ac:dyDescent="0.55000000000000004">
      <c r="A45" s="16"/>
      <c r="B45" s="17"/>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8">
        <f t="shared" si="0"/>
        <v>0</v>
      </c>
    </row>
    <row r="46" spans="1:32" x14ac:dyDescent="0.55000000000000004">
      <c r="A46" s="16"/>
      <c r="B46" s="17"/>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8">
        <f t="shared" si="0"/>
        <v>0</v>
      </c>
    </row>
    <row r="47" spans="1:32" x14ac:dyDescent="0.55000000000000004">
      <c r="A47" s="16"/>
      <c r="B47" s="17"/>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8">
        <f t="shared" si="0"/>
        <v>0</v>
      </c>
    </row>
    <row r="48" spans="1:32" x14ac:dyDescent="0.55000000000000004">
      <c r="A48" s="16"/>
      <c r="B48" s="17"/>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8">
        <f t="shared" si="0"/>
        <v>0</v>
      </c>
    </row>
    <row r="49" spans="1:32" x14ac:dyDescent="0.55000000000000004">
      <c r="A49" s="16"/>
      <c r="B49" s="17"/>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8">
        <f t="shared" si="0"/>
        <v>0</v>
      </c>
    </row>
    <row r="50" spans="1:32" x14ac:dyDescent="0.55000000000000004">
      <c r="A50" s="16"/>
      <c r="B50" s="17"/>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8">
        <f t="shared" si="0"/>
        <v>0</v>
      </c>
    </row>
    <row r="51" spans="1:32" x14ac:dyDescent="0.55000000000000004">
      <c r="A51" s="16"/>
      <c r="B51" s="17"/>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8">
        <f t="shared" si="0"/>
        <v>0</v>
      </c>
    </row>
    <row r="52" spans="1:32" x14ac:dyDescent="0.55000000000000004">
      <c r="A52" s="16"/>
      <c r="B52" s="17"/>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8">
        <f t="shared" si="0"/>
        <v>0</v>
      </c>
    </row>
    <row r="53" spans="1:32" x14ac:dyDescent="0.55000000000000004">
      <c r="A53" s="16"/>
      <c r="B53" s="17"/>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8">
        <f t="shared" si="0"/>
        <v>0</v>
      </c>
    </row>
    <row r="54" spans="1:32" x14ac:dyDescent="0.55000000000000004">
      <c r="A54" s="16"/>
      <c r="B54" s="17"/>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8">
        <f t="shared" si="0"/>
        <v>0</v>
      </c>
    </row>
    <row r="55" spans="1:32" x14ac:dyDescent="0.55000000000000004">
      <c r="A55" s="16"/>
      <c r="B55" s="17"/>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8">
        <f t="shared" si="0"/>
        <v>0</v>
      </c>
    </row>
    <row r="56" spans="1:32" x14ac:dyDescent="0.55000000000000004">
      <c r="A56" s="16"/>
      <c r="B56" s="17"/>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8">
        <f t="shared" si="0"/>
        <v>0</v>
      </c>
    </row>
    <row r="57" spans="1:32" x14ac:dyDescent="0.55000000000000004">
      <c r="A57" s="16"/>
      <c r="B57" s="17"/>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8">
        <f t="shared" si="0"/>
        <v>0</v>
      </c>
    </row>
    <row r="58" spans="1:32" x14ac:dyDescent="0.55000000000000004">
      <c r="A58" s="16"/>
      <c r="B58" s="17"/>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8">
        <f t="shared" si="0"/>
        <v>0</v>
      </c>
    </row>
    <row r="59" spans="1:32" x14ac:dyDescent="0.55000000000000004">
      <c r="A59" s="194" t="s">
        <v>148</v>
      </c>
      <c r="B59" s="195"/>
      <c r="C59" s="196"/>
      <c r="D59" s="18">
        <f>SUM(D9:D58)</f>
        <v>0</v>
      </c>
      <c r="E59" s="18">
        <f t="shared" ref="E59:AF59" si="1">SUM(E9:E58)</f>
        <v>0</v>
      </c>
      <c r="F59" s="18">
        <f t="shared" si="1"/>
        <v>0</v>
      </c>
      <c r="G59" s="18">
        <f t="shared" si="1"/>
        <v>0</v>
      </c>
      <c r="H59" s="18">
        <f t="shared" si="1"/>
        <v>0</v>
      </c>
      <c r="I59" s="18">
        <f t="shared" si="1"/>
        <v>0</v>
      </c>
      <c r="J59" s="18">
        <f t="shared" si="1"/>
        <v>0</v>
      </c>
      <c r="K59" s="18">
        <f t="shared" si="1"/>
        <v>0</v>
      </c>
      <c r="L59" s="18">
        <f t="shared" si="1"/>
        <v>0</v>
      </c>
      <c r="M59" s="18">
        <f t="shared" si="1"/>
        <v>0</v>
      </c>
      <c r="N59" s="18">
        <f t="shared" si="1"/>
        <v>0</v>
      </c>
      <c r="O59" s="18">
        <f t="shared" si="1"/>
        <v>0</v>
      </c>
      <c r="P59" s="18">
        <f t="shared" si="1"/>
        <v>0</v>
      </c>
      <c r="Q59" s="18">
        <f t="shared" si="1"/>
        <v>0</v>
      </c>
      <c r="R59" s="18">
        <f t="shared" si="1"/>
        <v>0</v>
      </c>
      <c r="S59" s="18">
        <f t="shared" si="1"/>
        <v>0</v>
      </c>
      <c r="T59" s="18">
        <f t="shared" si="1"/>
        <v>0</v>
      </c>
      <c r="U59" s="18">
        <f t="shared" si="1"/>
        <v>0</v>
      </c>
      <c r="V59" s="18">
        <f t="shared" si="1"/>
        <v>0</v>
      </c>
      <c r="W59" s="18">
        <f t="shared" si="1"/>
        <v>0</v>
      </c>
      <c r="X59" s="18">
        <f t="shared" si="1"/>
        <v>0</v>
      </c>
      <c r="Y59" s="18">
        <f t="shared" si="1"/>
        <v>0</v>
      </c>
      <c r="Z59" s="18">
        <f t="shared" si="1"/>
        <v>0</v>
      </c>
      <c r="AA59" s="18">
        <f t="shared" si="1"/>
        <v>0</v>
      </c>
      <c r="AB59" s="18">
        <f t="shared" si="1"/>
        <v>0</v>
      </c>
      <c r="AC59" s="18">
        <f t="shared" si="1"/>
        <v>0</v>
      </c>
      <c r="AD59" s="18">
        <f t="shared" si="1"/>
        <v>0</v>
      </c>
      <c r="AE59" s="18">
        <f t="shared" si="1"/>
        <v>0</v>
      </c>
      <c r="AF59" s="18">
        <f t="shared" si="1"/>
        <v>0</v>
      </c>
    </row>
  </sheetData>
  <mergeCells count="23">
    <mergeCell ref="A59:C59"/>
    <mergeCell ref="A6:A8"/>
    <mergeCell ref="B6:B8"/>
    <mergeCell ref="C6:C8"/>
    <mergeCell ref="D6:AE6"/>
    <mergeCell ref="S7:U7"/>
    <mergeCell ref="V7:X7"/>
    <mergeCell ref="Y7:AA7"/>
    <mergeCell ref="AB7:AD7"/>
    <mergeCell ref="AE7:AE8"/>
    <mergeCell ref="AF6:AF8"/>
    <mergeCell ref="D7:F7"/>
    <mergeCell ref="G7:I7"/>
    <mergeCell ref="J7:L7"/>
    <mergeCell ref="M7:O7"/>
    <mergeCell ref="P7:R7"/>
    <mergeCell ref="B3:C3"/>
    <mergeCell ref="E3:O3"/>
    <mergeCell ref="B4:C4"/>
    <mergeCell ref="E4:F4"/>
    <mergeCell ref="H4:I4"/>
    <mergeCell ref="K4:L4"/>
    <mergeCell ref="N4:O4"/>
  </mergeCells>
  <phoneticPr fontId="3"/>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リストマスタ!$L$3:$L$4</xm:f>
          </x14:formula1>
          <xm:sqref>A9:A58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workbookViewId="0">
      <selection activeCell="F16" sqref="F16"/>
    </sheetView>
  </sheetViews>
  <sheetFormatPr defaultColWidth="8.58203125" defaultRowHeight="18" x14ac:dyDescent="0.55000000000000004"/>
  <cols>
    <col min="1" max="1" width="4.58203125" style="21" customWidth="1"/>
    <col min="2" max="2" width="10.5" style="21" customWidth="1"/>
    <col min="3" max="3" width="22" style="21" customWidth="1"/>
    <col min="4" max="4" width="15.08203125" style="21" customWidth="1"/>
    <col min="5" max="5" width="11.08203125" style="21" customWidth="1"/>
    <col min="6" max="6" width="58.33203125" style="21" bestFit="1" customWidth="1"/>
    <col min="7" max="7" width="11.08203125" style="21" customWidth="1"/>
    <col min="8" max="8" width="5.83203125" style="21" customWidth="1"/>
    <col min="9" max="9" width="11.83203125" style="21" customWidth="1"/>
    <col min="10" max="10" width="11.08203125" style="21" customWidth="1"/>
    <col min="11" max="11" width="17.08203125" style="21" bestFit="1" customWidth="1"/>
    <col min="12" max="12" width="11.08203125" style="21" customWidth="1"/>
    <col min="13" max="16384" width="8.58203125" style="21"/>
  </cols>
  <sheetData>
    <row r="1" spans="1:12" x14ac:dyDescent="0.55000000000000004">
      <c r="A1" s="224" t="s">
        <v>18</v>
      </c>
      <c r="B1" s="20" t="s">
        <v>199</v>
      </c>
      <c r="C1" s="224" t="s">
        <v>200</v>
      </c>
      <c r="D1" s="224" t="s">
        <v>201</v>
      </c>
      <c r="E1" s="224" t="s">
        <v>202</v>
      </c>
      <c r="F1" s="224" t="s">
        <v>203</v>
      </c>
      <c r="G1" s="224" t="s">
        <v>204</v>
      </c>
      <c r="H1" s="222" t="s">
        <v>205</v>
      </c>
      <c r="I1" s="223"/>
      <c r="J1" s="224" t="s">
        <v>206</v>
      </c>
      <c r="K1" s="224" t="s">
        <v>207</v>
      </c>
      <c r="L1" s="224" t="s">
        <v>208</v>
      </c>
    </row>
    <row r="2" spans="1:12" x14ac:dyDescent="0.55000000000000004">
      <c r="A2" s="224"/>
      <c r="B2" s="20" t="s">
        <v>209</v>
      </c>
      <c r="C2" s="224"/>
      <c r="D2" s="224"/>
      <c r="E2" s="224"/>
      <c r="F2" s="224"/>
      <c r="G2" s="224"/>
      <c r="H2" s="20" t="s">
        <v>18</v>
      </c>
      <c r="I2" s="20" t="s">
        <v>210</v>
      </c>
      <c r="J2" s="224"/>
      <c r="K2" s="224"/>
      <c r="L2" s="224"/>
    </row>
    <row r="3" spans="1:12" x14ac:dyDescent="0.55000000000000004">
      <c r="A3" s="22">
        <v>1</v>
      </c>
      <c r="B3" s="23">
        <v>0.1</v>
      </c>
      <c r="C3" s="22" t="s">
        <v>211</v>
      </c>
      <c r="D3" s="22" t="s">
        <v>212</v>
      </c>
      <c r="E3" s="22" t="s">
        <v>213</v>
      </c>
      <c r="F3" s="22" t="s">
        <v>214</v>
      </c>
      <c r="G3" s="22" t="s">
        <v>215</v>
      </c>
      <c r="H3" s="22">
        <v>1</v>
      </c>
      <c r="I3" s="22" t="s">
        <v>216</v>
      </c>
      <c r="J3" s="22" t="s">
        <v>217</v>
      </c>
      <c r="K3" s="22" t="s">
        <v>218</v>
      </c>
      <c r="L3" s="22" t="s">
        <v>219</v>
      </c>
    </row>
    <row r="4" spans="1:12" x14ac:dyDescent="0.55000000000000004">
      <c r="A4" s="22">
        <v>2</v>
      </c>
      <c r="B4" s="23"/>
      <c r="C4" s="22"/>
      <c r="D4" s="22"/>
      <c r="E4" s="22" t="s">
        <v>220</v>
      </c>
      <c r="F4" s="22" t="s">
        <v>221</v>
      </c>
      <c r="G4" s="22" t="s">
        <v>222</v>
      </c>
      <c r="H4" s="22">
        <v>2</v>
      </c>
      <c r="I4" s="22" t="s">
        <v>223</v>
      </c>
      <c r="J4" s="22" t="s">
        <v>224</v>
      </c>
      <c r="K4" s="22" t="s">
        <v>225</v>
      </c>
      <c r="L4" s="22" t="s">
        <v>226</v>
      </c>
    </row>
    <row r="5" spans="1:12" x14ac:dyDescent="0.55000000000000004">
      <c r="A5" s="22">
        <v>3</v>
      </c>
      <c r="B5" s="22"/>
      <c r="C5" s="22"/>
      <c r="D5" s="22"/>
      <c r="E5" s="22"/>
      <c r="F5" s="22" t="s">
        <v>227</v>
      </c>
      <c r="G5" s="22" t="s">
        <v>228</v>
      </c>
      <c r="H5" s="22">
        <v>3</v>
      </c>
      <c r="I5" s="22" t="s">
        <v>229</v>
      </c>
      <c r="J5" s="22" t="s">
        <v>230</v>
      </c>
      <c r="K5" s="22" t="s">
        <v>231</v>
      </c>
      <c r="L5" s="22"/>
    </row>
    <row r="6" spans="1:12" x14ac:dyDescent="0.55000000000000004">
      <c r="A6" s="22">
        <v>4</v>
      </c>
      <c r="B6" s="22"/>
      <c r="C6" s="22"/>
      <c r="D6" s="22"/>
      <c r="E6" s="22"/>
      <c r="F6" s="22"/>
      <c r="G6" s="22"/>
      <c r="H6" s="22"/>
      <c r="I6" s="22"/>
      <c r="J6" s="22"/>
      <c r="K6" s="22" t="s">
        <v>232</v>
      </c>
      <c r="L6" s="22"/>
    </row>
    <row r="7" spans="1:12" x14ac:dyDescent="0.55000000000000004">
      <c r="A7" s="22">
        <v>5</v>
      </c>
      <c r="B7" s="22"/>
      <c r="C7" s="22"/>
      <c r="D7" s="22"/>
      <c r="E7" s="22"/>
      <c r="F7" s="22"/>
      <c r="G7" s="22"/>
      <c r="H7" s="22"/>
      <c r="I7" s="22"/>
      <c r="J7" s="22"/>
      <c r="K7" s="22" t="s">
        <v>233</v>
      </c>
      <c r="L7" s="22"/>
    </row>
    <row r="8" spans="1:12" x14ac:dyDescent="0.55000000000000004">
      <c r="A8" s="22">
        <v>6</v>
      </c>
      <c r="B8" s="22"/>
      <c r="C8" s="22"/>
      <c r="D8" s="22"/>
      <c r="E8" s="22"/>
      <c r="F8" s="22"/>
      <c r="G8" s="22"/>
      <c r="H8" s="22"/>
      <c r="I8" s="22"/>
      <c r="J8" s="22"/>
      <c r="K8" s="22" t="s">
        <v>234</v>
      </c>
      <c r="L8" s="22"/>
    </row>
    <row r="9" spans="1:12" x14ac:dyDescent="0.55000000000000004">
      <c r="A9" s="22">
        <v>7</v>
      </c>
      <c r="B9" s="22"/>
      <c r="C9" s="22"/>
      <c r="D9" s="22"/>
      <c r="E9" s="22"/>
      <c r="F9" s="22"/>
      <c r="G9" s="22"/>
      <c r="H9" s="22"/>
      <c r="I9" s="22"/>
      <c r="J9" s="22"/>
      <c r="K9" s="22" t="s">
        <v>235</v>
      </c>
      <c r="L9" s="22"/>
    </row>
    <row r="10" spans="1:12" x14ac:dyDescent="0.55000000000000004">
      <c r="A10" s="22">
        <v>8</v>
      </c>
      <c r="B10" s="22"/>
      <c r="C10" s="22"/>
      <c r="D10" s="22"/>
      <c r="E10" s="22"/>
      <c r="F10" s="22"/>
      <c r="G10" s="22"/>
      <c r="H10" s="22"/>
      <c r="I10" s="22"/>
      <c r="J10" s="22"/>
      <c r="K10" s="22" t="s">
        <v>236</v>
      </c>
      <c r="L10" s="22"/>
    </row>
    <row r="11" spans="1:12" x14ac:dyDescent="0.55000000000000004">
      <c r="A11" s="22">
        <v>9</v>
      </c>
      <c r="B11" s="22"/>
      <c r="C11" s="22"/>
      <c r="D11" s="22"/>
      <c r="E11" s="22"/>
      <c r="F11" s="22"/>
      <c r="G11" s="22"/>
      <c r="H11" s="22"/>
      <c r="I11" s="22"/>
      <c r="J11" s="22"/>
      <c r="K11" s="22" t="s">
        <v>237</v>
      </c>
      <c r="L11" s="22"/>
    </row>
    <row r="12" spans="1:12" x14ac:dyDescent="0.55000000000000004">
      <c r="A12" s="22">
        <v>10</v>
      </c>
      <c r="B12" s="22"/>
      <c r="C12" s="22"/>
      <c r="D12" s="22"/>
      <c r="E12" s="22"/>
      <c r="F12" s="22"/>
      <c r="G12" s="22"/>
      <c r="H12" s="22"/>
      <c r="I12" s="22"/>
      <c r="J12" s="22"/>
      <c r="K12" s="22" t="s">
        <v>238</v>
      </c>
      <c r="L12" s="22"/>
    </row>
    <row r="13" spans="1:12" x14ac:dyDescent="0.55000000000000004">
      <c r="A13" s="22">
        <v>11</v>
      </c>
      <c r="B13" s="22"/>
      <c r="C13" s="22"/>
      <c r="D13" s="22"/>
      <c r="E13" s="22"/>
      <c r="F13" s="22"/>
      <c r="G13" s="22"/>
      <c r="H13" s="22"/>
      <c r="I13" s="22"/>
      <c r="J13" s="22"/>
      <c r="K13" s="22"/>
      <c r="L13" s="22"/>
    </row>
  </sheetData>
  <mergeCells count="10">
    <mergeCell ref="H1:I1"/>
    <mergeCell ref="J1:J2"/>
    <mergeCell ref="K1:K2"/>
    <mergeCell ref="L1:L2"/>
    <mergeCell ref="A1:A2"/>
    <mergeCell ref="C1:C2"/>
    <mergeCell ref="D1:D2"/>
    <mergeCell ref="E1:E2"/>
    <mergeCell ref="F1:F2"/>
    <mergeCell ref="G1:G2"/>
  </mergeCells>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4" ma:contentTypeDescription="新しいドキュメントを作成します。" ma:contentTypeScope="" ma:versionID="8d136f6bca879cb90346a66279902dfa">
  <xsd:schema xmlns:xsd="http://www.w3.org/2001/XMLSchema" xmlns:xs="http://www.w3.org/2001/XMLSchema" xmlns:p="http://schemas.microsoft.com/office/2006/metadata/properties" xmlns:ns2="2fd442da-66a9-4fa6-ba31-eb0d54ad1381" targetNamespace="http://schemas.microsoft.com/office/2006/metadata/properties" ma:root="true" ma:fieldsID="5b8a779dc52d08a32251a6f3465a5e55"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639E9A-BB28-469C-9585-2D7B5C9665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881CCC-D800-4BA5-B75D-17201FC3BAE4}">
  <ds:schemaRefs>
    <ds:schemaRef ds:uri="http://schemas.microsoft.com/office/2006/documentManagement/types"/>
    <ds:schemaRef ds:uri="http://schemas.microsoft.com/office/infopath/2007/PartnerControls"/>
    <ds:schemaRef ds:uri="http://purl.org/dc/terms/"/>
    <ds:schemaRef ds:uri="http://purl.org/dc/elements/1.1/"/>
    <ds:schemaRef ds:uri="http://www.w3.org/XML/1998/namespace"/>
    <ds:schemaRef ds:uri="http://schemas.openxmlformats.org/package/2006/metadata/core-properties"/>
    <ds:schemaRef ds:uri="2fd442da-66a9-4fa6-ba31-eb0d54ad1381"/>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549F6D62-890C-4F99-9EFD-D76DA9D640D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概算見積</vt:lpstr>
      <vt:lpstr>old概算見積</vt:lpstr>
      <vt:lpstr>工数明細</vt:lpstr>
      <vt:lpstr>社員工数</vt:lpstr>
      <vt:lpstr>外注費・経費</vt:lpstr>
      <vt:lpstr>リストマスタ</vt:lpstr>
      <vt:lpstr>old概算見積!Print_Area</vt:lpstr>
      <vt:lpstr>概算見積!Print_Area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髙浦 祐朗</dc:creator>
  <cp:keywords/>
  <dc:description/>
  <cp:lastModifiedBy>髙浦祐朗</cp:lastModifiedBy>
  <cp:revision/>
  <cp:lastPrinted>2025-04-09T11:00:25Z</cp:lastPrinted>
  <dcterms:created xsi:type="dcterms:W3CDTF">2021-04-22T09:34:49Z</dcterms:created>
  <dcterms:modified xsi:type="dcterms:W3CDTF">2025-04-15T07:59:20Z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ies>
</file>