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y-takagi\Documents\バース繰りシステム構築\2025年度対応\90_見積り\"/>
    </mc:Choice>
  </mc:AlternateContent>
  <xr:revisionPtr revIDLastSave="0" documentId="13_ncr:1_{25726CE8-9D84-4D73-B4AB-48BBB9BDE543}" xr6:coauthVersionLast="47" xr6:coauthVersionMax="47" xr10:uidLastSave="{00000000-0000-0000-0000-000000000000}"/>
  <bookViews>
    <workbookView xWindow="1880" yWindow="230" windowWidth="15980" windowHeight="9960" xr2:uid="{00000000-000D-0000-FFFF-FFFF00000000}"/>
  </bookViews>
  <sheets>
    <sheet name="概算見積" sheetId="4" r:id="rId1"/>
    <sheet name="工数明細" sheetId="9" r:id="rId2"/>
    <sheet name="PW変更範囲" sheetId="8" r:id="rId3"/>
    <sheet name="社員工数" sheetId="1" state="hidden" r:id="rId4"/>
    <sheet name="外注費・経費" sheetId="2" state="hidden" r:id="rId5"/>
    <sheet name="リストマスタ" sheetId="3" state="hidden" r:id="rId6"/>
  </sheets>
  <externalReferences>
    <externalReference r:id="rId7"/>
  </externalReferences>
  <definedNames>
    <definedName name="_xlnm.Print_Area" localSheetId="0">概算見積!$A$1:$AJ$148</definedName>
    <definedName name="作業ステータス">[1]コード内訳!$A$125:$A$132</definedName>
    <definedName name="発生場所">[1]コード内訳!$A$115:$A$120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5" i="4" l="1"/>
  <c r="AE43" i="4"/>
  <c r="AE42" i="4"/>
  <c r="D10" i="9"/>
  <c r="AE39" i="4" l="1"/>
  <c r="AE40" i="4"/>
  <c r="AE41" i="4"/>
  <c r="AE44" i="4"/>
  <c r="Y46" i="4"/>
  <c r="AE45" i="4" l="1"/>
  <c r="AE46" i="4" s="1"/>
  <c r="F11" i="4" s="1"/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<sst xmlns="http://schemas.openxmlformats.org/spreadsheetml/2006/main" count="260" uniqueCount="222">
  <si>
    <t>社員工数入力（単位：人月）</t>
    <rPh sb="7" eb="9">
      <t>タンイ</t>
    </rPh>
    <rPh sb="10" eb="12">
      <t>ニンゲツ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</si>
  <si>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</si>
  <si>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</si>
  <si>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</si>
  <si>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</si>
  <si>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</si>
  <si>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</si>
  <si>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</si>
  <si>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</si>
  <si>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</si>
  <si>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</si>
  <si>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</si>
  <si>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</si>
  <si>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</si>
  <si>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それ以降</t>
    <rPh sb="2" eb="4">
      <t>イコウ</t>
    </rPh>
    <phoneticPr fontId="3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</si>
  <si>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</si>
  <si>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BPID</t>
    <phoneticPr fontId="3"/>
  </si>
  <si>
    <t>見積金額</t>
    <rPh sb="2" eb="4">
      <t>キンガク</t>
    </rPh>
    <phoneticPr fontId="3"/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</si>
  <si>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</si>
  <si>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</si>
  <si>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</si>
  <si>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</si>
  <si>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</si>
  <si>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</si>
  <si>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</si>
  <si>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</si>
  <si>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</si>
  <si>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</si>
  <si>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</si>
  <si>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</si>
  <si>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</si>
  <si>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</si>
  <si>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</si>
  <si>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</si>
  <si>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</si>
  <si>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</si>
  <si>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</si>
  <si>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</si>
  <si>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入社済社員</t>
    <rPh sb="0" eb="2">
      <t>ニュウシャ</t>
    </rPh>
    <rPh sb="2" eb="3">
      <t>ズ</t>
    </rPh>
    <rPh sb="3" eb="5">
      <t>シャイン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</si>
  <si>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</si>
  <si>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</si>
  <si>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</si>
  <si>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</si>
  <si>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</si>
  <si>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</si>
  <si>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</si>
  <si>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</si>
  <si>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</si>
  <si>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</si>
  <si>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</si>
  <si>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</si>
  <si>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</si>
  <si>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</si>
  <si>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</si>
  <si>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</si>
  <si>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</si>
  <si>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</si>
  <si>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</si>
  <si>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</si>
  <si>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t>2021年度4Q</t>
  </si>
  <si>
    <t>2022年度1Q</t>
  </si>
  <si>
    <t>2022年度2Q</t>
  </si>
  <si>
    <t>2022年度3Q</t>
  </si>
  <si>
    <t>2022年度4Q</t>
  </si>
  <si>
    <t>-</t>
  </si>
  <si>
    <t>2021年度4Q</t>
    <phoneticPr fontId="3"/>
  </si>
  <si>
    <t>2022年度1Q</t>
    <phoneticPr fontId="3"/>
  </si>
  <si>
    <t>2022年度2Q</t>
    <phoneticPr fontId="3"/>
  </si>
  <si>
    <t>2022年度3Q</t>
    <phoneticPr fontId="3"/>
  </si>
  <si>
    <t>2022年度4Q</t>
    <phoneticPr fontId="3"/>
  </si>
  <si>
    <t>2023年度1Q</t>
  </si>
  <si>
    <t>2023年度1Q</t>
    <phoneticPr fontId="3"/>
  </si>
  <si>
    <t>2023年度2Q</t>
    <phoneticPr fontId="3"/>
  </si>
  <si>
    <t>2023年度3Q</t>
    <phoneticPr fontId="3"/>
  </si>
  <si>
    <t>2023年度4Q</t>
    <phoneticPr fontId="3"/>
  </si>
  <si>
    <t>2023年度2Q</t>
  </si>
  <si>
    <t>2023年度3Q</t>
  </si>
  <si>
    <t>2023年度4Q</t>
  </si>
  <si>
    <t>概 算 御 見 積 書</t>
    <rPh sb="0" eb="1">
      <t>ガイ</t>
    </rPh>
    <rPh sb="2" eb="3">
      <t>サン</t>
    </rPh>
    <rPh sb="4" eb="5">
      <t>ゴ</t>
    </rPh>
    <rPh sb="6" eb="7">
      <t>ミ</t>
    </rPh>
    <rPh sb="8" eb="9">
      <t>セキ</t>
    </rPh>
    <rPh sb="10" eb="11">
      <t>ショ</t>
    </rPh>
    <phoneticPr fontId="7"/>
  </si>
  <si>
    <t>見積番号　</t>
    <rPh sb="0" eb="2">
      <t>ミツ</t>
    </rPh>
    <rPh sb="2" eb="4">
      <t>バンゴウ</t>
    </rPh>
    <phoneticPr fontId="7"/>
  </si>
  <si>
    <t>見積年月日</t>
    <rPh sb="0" eb="2">
      <t>ミツモリ</t>
    </rPh>
    <rPh sb="2" eb="5">
      <t>ネンガッピ</t>
    </rPh>
    <phoneticPr fontId="7"/>
  </si>
  <si>
    <t>株式会社システムエグゼ</t>
    <rPh sb="0" eb="4">
      <t>カブシキガイシャ</t>
    </rPh>
    <phoneticPr fontId="7"/>
  </si>
  <si>
    <t>東京都中央区日本橋室町三丁目4番4号</t>
    <rPh sb="0" eb="3">
      <t>トウキョウト</t>
    </rPh>
    <rPh sb="3" eb="6">
      <t>チュウオウク</t>
    </rPh>
    <rPh sb="6" eb="11">
      <t>ニホンバシムロマチ</t>
    </rPh>
    <rPh sb="11" eb="12">
      <t>ミ</t>
    </rPh>
    <rPh sb="12" eb="14">
      <t>チョウメ</t>
    </rPh>
    <rPh sb="15" eb="16">
      <t>バン</t>
    </rPh>
    <rPh sb="17" eb="18">
      <t>ゴウ</t>
    </rPh>
    <phoneticPr fontId="18"/>
  </si>
  <si>
    <t>OVOL日本橋ビル7階</t>
    <phoneticPr fontId="18"/>
  </si>
  <si>
    <t>見積金額</t>
    <rPh sb="0" eb="2">
      <t>ミツモリ</t>
    </rPh>
    <rPh sb="2" eb="4">
      <t>キンガク</t>
    </rPh>
    <phoneticPr fontId="18"/>
  </si>
  <si>
    <t>件名</t>
    <rPh sb="0" eb="2">
      <t>ケンメイ</t>
    </rPh>
    <phoneticPr fontId="7"/>
  </si>
  <si>
    <t>作業形態</t>
    <rPh sb="0" eb="2">
      <t>サギョウ</t>
    </rPh>
    <rPh sb="2" eb="4">
      <t>ケイタイ</t>
    </rPh>
    <phoneticPr fontId="18"/>
  </si>
  <si>
    <t>作業場所</t>
    <rPh sb="0" eb="2">
      <t>サギョウ</t>
    </rPh>
    <rPh sb="2" eb="4">
      <t>バショ</t>
    </rPh>
    <phoneticPr fontId="18"/>
  </si>
  <si>
    <t>作業期間</t>
    <rPh sb="0" eb="2">
      <t>サギョウ</t>
    </rPh>
    <rPh sb="2" eb="4">
      <t>キカン</t>
    </rPh>
    <phoneticPr fontId="18"/>
  </si>
  <si>
    <t>見積金額内訳</t>
    <rPh sb="0" eb="2">
      <t>ミツモリ</t>
    </rPh>
    <rPh sb="2" eb="4">
      <t>キンガク</t>
    </rPh>
    <rPh sb="4" eb="6">
      <t>ウチワケ</t>
    </rPh>
    <phoneticPr fontId="7"/>
  </si>
  <si>
    <t>項目</t>
    <rPh sb="0" eb="2">
      <t>コウモク</t>
    </rPh>
    <phoneticPr fontId="7"/>
  </si>
  <si>
    <t>単価</t>
    <rPh sb="0" eb="2">
      <t>タンカ</t>
    </rPh>
    <phoneticPr fontId="7"/>
  </si>
  <si>
    <t>数量</t>
    <rPh sb="0" eb="2">
      <t>スウリョウ</t>
    </rPh>
    <phoneticPr fontId="7"/>
  </si>
  <si>
    <t>金額</t>
    <rPh sb="0" eb="2">
      <t>キンガク</t>
    </rPh>
    <phoneticPr fontId="18"/>
  </si>
  <si>
    <t>人月</t>
    <rPh sb="0" eb="2">
      <t>ニンゲツ</t>
    </rPh>
    <phoneticPr fontId="18"/>
  </si>
  <si>
    <t>プロジェクト管理</t>
    <rPh sb="6" eb="8">
      <t>カンリ</t>
    </rPh>
    <phoneticPr fontId="7"/>
  </si>
  <si>
    <t>合計</t>
    <rPh sb="0" eb="2">
      <t>ゴウケイ</t>
    </rPh>
    <phoneticPr fontId="7"/>
  </si>
  <si>
    <t>-</t>
    <phoneticPr fontId="18"/>
  </si>
  <si>
    <t>納品物</t>
    <rPh sb="0" eb="2">
      <t>ノウヒン</t>
    </rPh>
    <rPh sb="2" eb="3">
      <t>ブツ</t>
    </rPh>
    <phoneticPr fontId="7"/>
  </si>
  <si>
    <t>・</t>
    <phoneticPr fontId="18"/>
  </si>
  <si>
    <t>作業内容</t>
    <rPh sb="0" eb="2">
      <t>サギョウ</t>
    </rPh>
    <rPh sb="2" eb="4">
      <t>ナイヨウ</t>
    </rPh>
    <phoneticPr fontId="18"/>
  </si>
  <si>
    <t>工程</t>
    <rPh sb="0" eb="2">
      <t>コウテイ</t>
    </rPh>
    <phoneticPr fontId="7"/>
  </si>
  <si>
    <t>ﾌﾟﾛｼﾞｪｸﾄ管理</t>
    <rPh sb="8" eb="10">
      <t>カンリ</t>
    </rPh>
    <phoneticPr fontId="18"/>
  </si>
  <si>
    <t>進捗管理、品質管理、要員管理、課題管理等を実施します。</t>
    <rPh sb="0" eb="2">
      <t>シンチョク</t>
    </rPh>
    <rPh sb="2" eb="4">
      <t>カンリ</t>
    </rPh>
    <rPh sb="5" eb="7">
      <t>ヒンシツ</t>
    </rPh>
    <rPh sb="7" eb="9">
      <t>カンリ</t>
    </rPh>
    <rPh sb="10" eb="12">
      <t>ヨウイン</t>
    </rPh>
    <rPh sb="12" eb="14">
      <t>カンリ</t>
    </rPh>
    <rPh sb="15" eb="17">
      <t>カダイ</t>
    </rPh>
    <rPh sb="17" eb="19">
      <t>カンリ</t>
    </rPh>
    <rPh sb="19" eb="20">
      <t>トウ</t>
    </rPh>
    <rPh sb="21" eb="23">
      <t>ジッシ</t>
    </rPh>
    <phoneticPr fontId="18"/>
  </si>
  <si>
    <t>スケジュール</t>
    <phoneticPr fontId="7"/>
  </si>
  <si>
    <t>1M</t>
    <phoneticPr fontId="18"/>
  </si>
  <si>
    <t>2M</t>
    <phoneticPr fontId="18"/>
  </si>
  <si>
    <t>3M</t>
    <phoneticPr fontId="18"/>
  </si>
  <si>
    <t>4M</t>
    <phoneticPr fontId="18"/>
  </si>
  <si>
    <t>5M</t>
    <phoneticPr fontId="18"/>
  </si>
  <si>
    <t>6M</t>
    <phoneticPr fontId="18"/>
  </si>
  <si>
    <t>7M</t>
    <phoneticPr fontId="18"/>
  </si>
  <si>
    <t>凡例</t>
    <rPh sb="0" eb="2">
      <t>ハンレイ</t>
    </rPh>
    <phoneticPr fontId="18"/>
  </si>
  <si>
    <t>貴社作業</t>
    <rPh sb="0" eb="2">
      <t>キシャ</t>
    </rPh>
    <rPh sb="2" eb="4">
      <t>サギョウ</t>
    </rPh>
    <phoneticPr fontId="18"/>
  </si>
  <si>
    <t>弊社作業</t>
    <rPh sb="0" eb="2">
      <t>ヘイシャ</t>
    </rPh>
    <rPh sb="2" eb="4">
      <t>サギョウ</t>
    </rPh>
    <phoneticPr fontId="18"/>
  </si>
  <si>
    <t>体制</t>
    <rPh sb="0" eb="2">
      <t>タイセイ</t>
    </rPh>
    <phoneticPr fontId="18"/>
  </si>
  <si>
    <t>PM</t>
    <phoneticPr fontId="18"/>
  </si>
  <si>
    <t>：</t>
    <phoneticPr fontId="18"/>
  </si>
  <si>
    <t>プロジェクト管理を担当します。</t>
    <rPh sb="6" eb="8">
      <t>カンリ</t>
    </rPh>
    <rPh sb="9" eb="11">
      <t>タントウ</t>
    </rPh>
    <phoneticPr fontId="18"/>
  </si>
  <si>
    <t>開発リーダー</t>
    <rPh sb="0" eb="2">
      <t>カイハツ</t>
    </rPh>
    <phoneticPr fontId="18"/>
  </si>
  <si>
    <t>お客様との調整、設計、テスト等を担当します。</t>
    <rPh sb="1" eb="3">
      <t>キャクサマ</t>
    </rPh>
    <rPh sb="5" eb="7">
      <t>チョウセイ</t>
    </rPh>
    <rPh sb="8" eb="10">
      <t>セッケイ</t>
    </rPh>
    <rPh sb="14" eb="15">
      <t>トウ</t>
    </rPh>
    <rPh sb="16" eb="18">
      <t>タントウ</t>
    </rPh>
    <phoneticPr fontId="18"/>
  </si>
  <si>
    <t>プログラマー</t>
    <phoneticPr fontId="18"/>
  </si>
  <si>
    <t>実装・テストを担当します。１名を想定します。</t>
    <rPh sb="0" eb="2">
      <t>ジッソウ</t>
    </rPh>
    <rPh sb="7" eb="9">
      <t>タントウ</t>
    </rPh>
    <rPh sb="14" eb="15">
      <t>メイ</t>
    </rPh>
    <rPh sb="16" eb="18">
      <t>ソウテイ</t>
    </rPh>
    <phoneticPr fontId="18"/>
  </si>
  <si>
    <t>開発リーダーおよびプログラマーにつきましては、弊社の関連会社またはパートナー会社の要員にて対応</t>
    <rPh sb="0" eb="2">
      <t>カイハツ</t>
    </rPh>
    <rPh sb="23" eb="25">
      <t>ヘイシャ</t>
    </rPh>
    <rPh sb="26" eb="28">
      <t>カンレン</t>
    </rPh>
    <rPh sb="28" eb="30">
      <t>カイシャ</t>
    </rPh>
    <rPh sb="38" eb="40">
      <t>カイシャ</t>
    </rPh>
    <rPh sb="41" eb="43">
      <t>ヨウイン</t>
    </rPh>
    <rPh sb="45" eb="47">
      <t>タイオウ</t>
    </rPh>
    <phoneticPr fontId="18"/>
  </si>
  <si>
    <t>する場合がございます。弊社の関連会社またはパートナー会社の要員にて対応する場合は、弊社と機密保</t>
    <rPh sb="2" eb="4">
      <t>バアイ</t>
    </rPh>
    <rPh sb="11" eb="13">
      <t>ヘイシャ</t>
    </rPh>
    <rPh sb="14" eb="16">
      <t>カンレン</t>
    </rPh>
    <rPh sb="16" eb="18">
      <t>カイシャ</t>
    </rPh>
    <rPh sb="26" eb="28">
      <t>カイシャ</t>
    </rPh>
    <rPh sb="29" eb="31">
      <t>ヨウイン</t>
    </rPh>
    <rPh sb="33" eb="35">
      <t>タイオウ</t>
    </rPh>
    <rPh sb="37" eb="39">
      <t>バアイ</t>
    </rPh>
    <rPh sb="41" eb="43">
      <t>ヘイシャ</t>
    </rPh>
    <rPh sb="44" eb="46">
      <t>キミツ</t>
    </rPh>
    <rPh sb="46" eb="47">
      <t>ホ</t>
    </rPh>
    <phoneticPr fontId="18"/>
  </si>
  <si>
    <t>持契約を締結します。</t>
    <rPh sb="4" eb="6">
      <t>テイケツ</t>
    </rPh>
    <phoneticPr fontId="18"/>
  </si>
  <si>
    <t>その他の前提条件</t>
    <rPh sb="2" eb="3">
      <t>タ</t>
    </rPh>
    <rPh sb="4" eb="6">
      <t>ゼンテイ</t>
    </rPh>
    <rPh sb="6" eb="8">
      <t>ジョウケン</t>
    </rPh>
    <phoneticPr fontId="7"/>
  </si>
  <si>
    <t>１．お見積範囲について</t>
    <rPh sb="3" eb="5">
      <t>ミツモリ</t>
    </rPh>
    <rPh sb="5" eb="7">
      <t>ハンイ</t>
    </rPh>
    <phoneticPr fontId="7"/>
  </si>
  <si>
    <t>以下の費用は本見積には含まれておりません。</t>
    <rPh sb="0" eb="2">
      <t>イカ</t>
    </rPh>
    <rPh sb="3" eb="5">
      <t>ヒヨウ</t>
    </rPh>
    <rPh sb="6" eb="7">
      <t>ホン</t>
    </rPh>
    <rPh sb="7" eb="9">
      <t>ミツモリ</t>
    </rPh>
    <rPh sb="11" eb="12">
      <t>フク</t>
    </rPh>
    <phoneticPr fontId="18"/>
  </si>
  <si>
    <t>・ハードウェア・ミドルウェアの調達に係る費用および設置等に係る作業費用</t>
    <rPh sb="15" eb="17">
      <t>チョウタツ</t>
    </rPh>
    <rPh sb="18" eb="19">
      <t>カカ</t>
    </rPh>
    <rPh sb="20" eb="22">
      <t>ヒヨウ</t>
    </rPh>
    <phoneticPr fontId="7"/>
  </si>
  <si>
    <t>・ネットワーク費用およびネットワークの設置やセットアップ等に係る作業費用</t>
    <phoneticPr fontId="7"/>
  </si>
  <si>
    <t>　　</t>
    <phoneticPr fontId="7"/>
  </si>
  <si>
    <t>２．作業場所について</t>
    <rPh sb="2" eb="4">
      <t>サギョウ</t>
    </rPh>
    <rPh sb="4" eb="6">
      <t>バショ</t>
    </rPh>
    <phoneticPr fontId="7"/>
  </si>
  <si>
    <t>上記以外での作業が発生した場合には交通費・宿泊費等を別途ご請求させて頂きます。</t>
    <rPh sb="0" eb="2">
      <t>ジョウキ</t>
    </rPh>
    <rPh sb="2" eb="4">
      <t>イガイ</t>
    </rPh>
    <phoneticPr fontId="7"/>
  </si>
  <si>
    <t>３．瑕疵担保期間について</t>
    <rPh sb="2" eb="4">
      <t>カシ</t>
    </rPh>
    <rPh sb="4" eb="6">
      <t>タンポ</t>
    </rPh>
    <rPh sb="6" eb="8">
      <t>キカン</t>
    </rPh>
    <phoneticPr fontId="18"/>
  </si>
  <si>
    <t>瑕疵担保責任期間は検収日より１年間とします。</t>
    <rPh sb="0" eb="2">
      <t>カシ</t>
    </rPh>
    <rPh sb="2" eb="4">
      <t>タンポ</t>
    </rPh>
    <rPh sb="4" eb="6">
      <t>セキニン</t>
    </rPh>
    <rPh sb="6" eb="8">
      <t>キカン</t>
    </rPh>
    <rPh sb="9" eb="11">
      <t>ケンシュウ</t>
    </rPh>
    <rPh sb="11" eb="12">
      <t>ビ</t>
    </rPh>
    <rPh sb="15" eb="17">
      <t>ネンカン</t>
    </rPh>
    <phoneticPr fontId="18"/>
  </si>
  <si>
    <t>（検収日より1年間に限り契約不適合責任を追及できることとします。）</t>
    <phoneticPr fontId="18"/>
  </si>
  <si>
    <t>４．受入テストについて</t>
    <rPh sb="2" eb="4">
      <t>ウケイレ</t>
    </rPh>
    <phoneticPr fontId="18"/>
  </si>
  <si>
    <t>受入テストにつきましては、貴社にて実施をお願い致します。</t>
    <rPh sb="0" eb="2">
      <t>ウケイレ</t>
    </rPh>
    <rPh sb="13" eb="15">
      <t>キシャ</t>
    </rPh>
    <rPh sb="17" eb="19">
      <t>ジッシ</t>
    </rPh>
    <rPh sb="21" eb="22">
      <t>ネガイ</t>
    </rPh>
    <rPh sb="23" eb="24">
      <t>タ</t>
    </rPh>
    <phoneticPr fontId="18"/>
  </si>
  <si>
    <t>-</t>
    <phoneticPr fontId="3"/>
  </si>
  <si>
    <t>弊社内（在宅勤務を含む）</t>
    <rPh sb="0" eb="2">
      <t>ヘイシャ</t>
    </rPh>
    <rPh sb="2" eb="3">
      <t>ナイ</t>
    </rPh>
    <rPh sb="4" eb="6">
      <t>ザイタク</t>
    </rPh>
    <rPh sb="6" eb="8">
      <t>キンム</t>
    </rPh>
    <rPh sb="9" eb="10">
      <t>フク</t>
    </rPh>
    <phoneticPr fontId="18"/>
  </si>
  <si>
    <t>作業場所は打合せを除き弊社内にて実施します。お打合せは、WEB会議を想定します。</t>
    <rPh sb="0" eb="2">
      <t>サギョウ</t>
    </rPh>
    <rPh sb="2" eb="4">
      <t>バショ</t>
    </rPh>
    <rPh sb="5" eb="7">
      <t>ウチアワ</t>
    </rPh>
    <rPh sb="9" eb="10">
      <t>ノゾ</t>
    </rPh>
    <rPh sb="11" eb="13">
      <t>ヘイシャ</t>
    </rPh>
    <rPh sb="13" eb="14">
      <t>ナイ</t>
    </rPh>
    <rPh sb="16" eb="18">
      <t>ジッシ</t>
    </rPh>
    <rPh sb="31" eb="33">
      <t>カイギ</t>
    </rPh>
    <phoneticPr fontId="7"/>
  </si>
  <si>
    <t>リリース</t>
    <phoneticPr fontId="18"/>
  </si>
  <si>
    <t>請負契約</t>
    <rPh sb="0" eb="2">
      <t>ウケオイ</t>
    </rPh>
    <rPh sb="2" eb="4">
      <t>ケイヤク</t>
    </rPh>
    <phoneticPr fontId="18"/>
  </si>
  <si>
    <t>担当: 高木　義尚</t>
    <rPh sb="0" eb="2">
      <t>タントウ</t>
    </rPh>
    <rPh sb="4" eb="6">
      <t>タカギ</t>
    </rPh>
    <rPh sb="7" eb="9">
      <t>ヨシナオ</t>
    </rPh>
    <phoneticPr fontId="7"/>
  </si>
  <si>
    <t>MAIL: yoshinao.takagi＠system-exe.jp</t>
    <phoneticPr fontId="7"/>
  </si>
  <si>
    <t>リリース</t>
    <phoneticPr fontId="3"/>
  </si>
  <si>
    <t>出光興産株式会社　御中</t>
    <rPh sb="0" eb="2">
      <t>イデミツ</t>
    </rPh>
    <rPh sb="2" eb="4">
      <t>コウサン</t>
    </rPh>
    <rPh sb="4" eb="8">
      <t>カブシキガイシャ</t>
    </rPh>
    <rPh sb="9" eb="11">
      <t>オンチュウ</t>
    </rPh>
    <phoneticPr fontId="7"/>
  </si>
  <si>
    <t>8M</t>
  </si>
  <si>
    <t>9M</t>
  </si>
  <si>
    <t>・</t>
    <phoneticPr fontId="3"/>
  </si>
  <si>
    <t>海上入出荷業務計画システム（北海道・愛知・千葉）パスワード変更対応</t>
    <rPh sb="0" eb="2">
      <t>カイジョウ</t>
    </rPh>
    <rPh sb="2" eb="5">
      <t>ニュウシュッカ</t>
    </rPh>
    <rPh sb="5" eb="7">
      <t>ギョウム</t>
    </rPh>
    <rPh sb="7" eb="9">
      <t>ケイカク</t>
    </rPh>
    <rPh sb="14" eb="17">
      <t>ホッカイドウ</t>
    </rPh>
    <rPh sb="18" eb="20">
      <t>アイチ</t>
    </rPh>
    <rPh sb="21" eb="23">
      <t>チバ</t>
    </rPh>
    <rPh sb="29" eb="31">
      <t>ヘンコウ</t>
    </rPh>
    <rPh sb="31" eb="33">
      <t>タイオウ</t>
    </rPh>
    <phoneticPr fontId="7"/>
  </si>
  <si>
    <t>（仮）2025年5月1日 ～ 2025年6月30日</t>
    <rPh sb="7" eb="8">
      <t>ネン</t>
    </rPh>
    <rPh sb="9" eb="10">
      <t>ガツ</t>
    </rPh>
    <rPh sb="11" eb="12">
      <t>ニチ</t>
    </rPh>
    <rPh sb="19" eb="20">
      <t>ネン</t>
    </rPh>
    <rPh sb="21" eb="22">
      <t>ガツ</t>
    </rPh>
    <rPh sb="24" eb="25">
      <t>ニチ</t>
    </rPh>
    <phoneticPr fontId="18"/>
  </si>
  <si>
    <t>改修対象</t>
    <rPh sb="0" eb="2">
      <t>カイシュウ</t>
    </rPh>
    <rPh sb="2" eb="4">
      <t>タイショウ</t>
    </rPh>
    <phoneticPr fontId="18"/>
  </si>
  <si>
    <t>1. COM設定×3製油所</t>
    <phoneticPr fontId="18"/>
  </si>
  <si>
    <t>1. OraclePW変更×2製油所</t>
    <phoneticPr fontId="18"/>
  </si>
  <si>
    <t>2. ODBC設定（AP）/Oracle設定×3製油所</t>
    <phoneticPr fontId="18"/>
  </si>
  <si>
    <t>3. ODBC設定（DB）/Oracle設定×2製油所</t>
    <phoneticPr fontId="18"/>
  </si>
  <si>
    <t>4. 各アプリのOracleDB設定ファイル（AP） ×3製油所</t>
    <phoneticPr fontId="18"/>
  </si>
  <si>
    <t>1. ODBC設定×3製油所</t>
    <phoneticPr fontId="18"/>
  </si>
  <si>
    <t>2. 各アプリのOracleDB設定ファイル×3製油所</t>
    <phoneticPr fontId="18"/>
  </si>
  <si>
    <t>1. OraclePW変更(DB) ×3製油所</t>
    <phoneticPr fontId="18"/>
  </si>
  <si>
    <t>2. (ODBC設定（AP）/Oracle設定) ×2検証機</t>
    <phoneticPr fontId="18"/>
  </si>
  <si>
    <t>3. ODBC設定（DB）/ Oracle設定) × 1検証機</t>
    <phoneticPr fontId="18"/>
  </si>
  <si>
    <t>4. 各アプリのOracleDB設定ファイル×2検証機</t>
    <phoneticPr fontId="18"/>
  </si>
  <si>
    <t>●海上入出荷計画業務システムAP・OSパスワード変更</t>
    <phoneticPr fontId="18"/>
  </si>
  <si>
    <t>●海上入出荷計画業務システムAP/DBサーバ・Oracleパスワード変更</t>
    <phoneticPr fontId="18"/>
  </si>
  <si>
    <t>●需給調整DBサーバ・Oracleパスワード変更</t>
    <phoneticPr fontId="18"/>
  </si>
  <si>
    <t>●オフラスOracleパスワード変更</t>
    <phoneticPr fontId="18"/>
  </si>
  <si>
    <t>●海上入出荷計画業務システムAP/DBサーバ（検証機）・Oracleパスワード変更</t>
    <phoneticPr fontId="18"/>
  </si>
  <si>
    <t>工数明細</t>
    <rPh sb="0" eb="2">
      <t>コウスウ</t>
    </rPh>
    <rPh sb="2" eb="4">
      <t>メイサイ</t>
    </rPh>
    <phoneticPr fontId="3"/>
  </si>
  <si>
    <t>No</t>
    <phoneticPr fontId="3"/>
  </si>
  <si>
    <t>作業内容</t>
    <phoneticPr fontId="3"/>
  </si>
  <si>
    <t>詳細</t>
    <phoneticPr fontId="3"/>
  </si>
  <si>
    <t>工数（人月）</t>
    <rPh sb="0" eb="2">
      <t>コウスウ</t>
    </rPh>
    <rPh sb="3" eb="5">
      <t>ニンゲツ</t>
    </rPh>
    <phoneticPr fontId="3"/>
  </si>
  <si>
    <t>説明</t>
    <rPh sb="0" eb="2">
      <t>セツメイ</t>
    </rPh>
    <phoneticPr fontId="3"/>
  </si>
  <si>
    <t>・OSのパスワード情報を使⽤しているアプリ、バッチ、スクリプトの洗い出し
・Oracle接続情報を使⽤しているアプリ、バッチ、スクリプトの洗い出し
（３製油所分）</t>
    <phoneticPr fontId="3"/>
  </si>
  <si>
    <t>・OSのパスワードによる改修方法の検討
・Oracleのパスワード変更方法の検討
・オフラス3製油所のOracleパスワード変更方法の検討（アプリやODBC設定など）</t>
    <phoneticPr fontId="3"/>
  </si>
  <si>
    <t>初期流動</t>
    <phoneticPr fontId="3"/>
  </si>
  <si>
    <t>切替後の初期流動対応</t>
    <phoneticPr fontId="3"/>
  </si>
  <si>
    <t>本番機へのリリースとその準備</t>
    <phoneticPr fontId="3"/>
  </si>
  <si>
    <t>接続確認、アプリ・バッチ等動作確認</t>
    <phoneticPr fontId="3"/>
  </si>
  <si>
    <t>・設定、設定ファイル、環境変数、スクリプト、DBなどの接続パスワード更新</t>
    <phoneticPr fontId="3"/>
  </si>
  <si>
    <t>・オフラス切替× ３製油所× 2.0人日
・入出荷計画業務システム切替×３製油所× 2.0人日</t>
    <phoneticPr fontId="3"/>
  </si>
  <si>
    <t>影響範囲の調査結果</t>
    <rPh sb="0" eb="2">
      <t>エイキョウ</t>
    </rPh>
    <rPh sb="2" eb="4">
      <t>ハンイ</t>
    </rPh>
    <rPh sb="5" eb="7">
      <t>チョウサ</t>
    </rPh>
    <rPh sb="7" eb="9">
      <t>ケッカ</t>
    </rPh>
    <phoneticPr fontId="18"/>
  </si>
  <si>
    <t>リリース手順書</t>
    <rPh sb="4" eb="7">
      <t>テジュンショ</t>
    </rPh>
    <phoneticPr fontId="18"/>
  </si>
  <si>
    <t>修正モジュール</t>
    <rPh sb="0" eb="2">
      <t>シュウセイ</t>
    </rPh>
    <phoneticPr fontId="3"/>
  </si>
  <si>
    <t>リリース</t>
    <phoneticPr fontId="7"/>
  </si>
  <si>
    <t>初期流動</t>
    <phoneticPr fontId="7"/>
  </si>
  <si>
    <t>初期流動</t>
    <rPh sb="0" eb="2">
      <t>ショキ</t>
    </rPh>
    <rPh sb="2" eb="4">
      <t>リュウドウ</t>
    </rPh>
    <phoneticPr fontId="18"/>
  </si>
  <si>
    <t>調査に１人日、ドキュメント作成1人日、
レビュー対応１人日</t>
    <rPh sb="24" eb="26">
      <t>タイオウ</t>
    </rPh>
    <phoneticPr fontId="3"/>
  </si>
  <si>
    <t>・オフラス切替手順書作成3人日（1人日×3製油所）
・オフラスリリース3人日（0.5人日×２名×3製油所）
・他システムとの調整1.5人日（0.5人日×3製油所）
・入出荷計画業務システム切替手順書1.5人日（0.5人日×3製油所）
・入出荷計画業務システムリリース3人日（0.5人日×２名×3製油所）
※検証機はNo.3で変更済み
・レビュー対応3人日（0.5人日×3製油所×2）</t>
    <rPh sb="172" eb="174">
      <t>タイオウ</t>
    </rPh>
    <phoneticPr fontId="3"/>
  </si>
  <si>
    <t>・データ準備（3） 1.5人日(１製油所0.5人日）
・製油所(3) 1.5人日(１製油所0.5人日）
（オフラス連携とDB参照、エンジン実⾏機能を確認）
・報告書作成1人日
・レビュー対応1人日</t>
    <rPh sb="93" eb="95">
      <t>タイオウ</t>
    </rPh>
    <rPh sb="96" eb="98">
      <t>ニンニチ</t>
    </rPh>
    <phoneticPr fontId="3"/>
  </si>
  <si>
    <t>調査
（影響範囲）</t>
    <phoneticPr fontId="3"/>
  </si>
  <si>
    <t>設計
（パスワード変更）</t>
    <rPh sb="0" eb="2">
      <t>セッケイ</t>
    </rPh>
    <phoneticPr fontId="3"/>
  </si>
  <si>
    <t>改修
（接続先設定変更）</t>
    <rPh sb="0" eb="2">
      <t>カイシュウ</t>
    </rPh>
    <phoneticPr fontId="3"/>
  </si>
  <si>
    <t>調査</t>
    <rPh sb="0" eb="2">
      <t>チョウサ</t>
    </rPh>
    <phoneticPr fontId="7"/>
  </si>
  <si>
    <t>設計</t>
    <rPh sb="0" eb="2">
      <t>セッケイ</t>
    </rPh>
    <phoneticPr fontId="7"/>
  </si>
  <si>
    <t>調査</t>
    <rPh sb="0" eb="2">
      <t>チョウサ</t>
    </rPh>
    <phoneticPr fontId="18"/>
  </si>
  <si>
    <t>改修</t>
    <rPh sb="0" eb="2">
      <t>カイシュウ</t>
    </rPh>
    <phoneticPr fontId="7"/>
  </si>
  <si>
    <t>テスト
（動作確認）</t>
    <phoneticPr fontId="3"/>
  </si>
  <si>
    <t>テスト</t>
  </si>
  <si>
    <t>テスト</t>
    <phoneticPr fontId="7"/>
  </si>
  <si>
    <t>テスト</t>
    <phoneticPr fontId="18"/>
  </si>
  <si>
    <t>リリース</t>
  </si>
  <si>
    <t>影響範囲の調査を行い調査結果の資料を作成します。</t>
    <rPh sb="0" eb="2">
      <t>エイキョウ</t>
    </rPh>
    <rPh sb="2" eb="4">
      <t>ハンイ</t>
    </rPh>
    <rPh sb="5" eb="7">
      <t>チョウサ</t>
    </rPh>
    <rPh sb="8" eb="9">
      <t>オコナ</t>
    </rPh>
    <rPh sb="10" eb="12">
      <t>チョウサ</t>
    </rPh>
    <rPh sb="12" eb="14">
      <t>ケッカ</t>
    </rPh>
    <rPh sb="15" eb="17">
      <t>シリョウ</t>
    </rPh>
    <rPh sb="18" eb="20">
      <t>サクセイ</t>
    </rPh>
    <phoneticPr fontId="18"/>
  </si>
  <si>
    <t>影響範囲の改修方法の設計をします。</t>
    <rPh sb="0" eb="2">
      <t>エイキョウ</t>
    </rPh>
    <rPh sb="2" eb="4">
      <t>ハンイ</t>
    </rPh>
    <rPh sb="5" eb="7">
      <t>カイシュウ</t>
    </rPh>
    <rPh sb="7" eb="9">
      <t>ホウホウ</t>
    </rPh>
    <rPh sb="10" eb="12">
      <t>セッケイ</t>
    </rPh>
    <phoneticPr fontId="18"/>
  </si>
  <si>
    <t xml:space="preserve">・入出荷計画業務システムAPサーバのOSのパスワード変
更設定（COM）
・入出荷計画業務システムDBサーバのOracleパスワード
変更（Oracle/ODBC設定/PW変更）
・入出荷計画業務システムAPサーバのOracleパスワード
変更（Oracle/ODBC設定）
・オフラス製油所のOracleパスワード変更
（Oracle/ODBC設定、各システムの定義変更）
・ドキュメント作成
合計4人日
</t>
    <rPh sb="195" eb="197">
      <t>サクセイ</t>
    </rPh>
    <rPh sb="198" eb="200">
      <t>ゴウケイ</t>
    </rPh>
    <phoneticPr fontId="3"/>
  </si>
  <si>
    <t>※オフラスのOSパスワード変更、オフラスのOracleのパスワード変更作業は対象外</t>
    <rPh sb="13" eb="15">
      <t>ヘンコウ</t>
    </rPh>
    <rPh sb="33" eb="35">
      <t>ヘンコウ</t>
    </rPh>
    <rPh sb="35" eb="37">
      <t>サギョウ</t>
    </rPh>
    <rPh sb="38" eb="41">
      <t>タイショウガイ</t>
    </rPh>
    <phoneticPr fontId="18"/>
  </si>
  <si>
    <t>※海上入出荷システム関連サーバのOSパスワード変更作業は対象外</t>
    <rPh sb="1" eb="3">
      <t>カイジョウ</t>
    </rPh>
    <rPh sb="3" eb="6">
      <t>ニュウシュッカ</t>
    </rPh>
    <rPh sb="10" eb="12">
      <t>カンレン</t>
    </rPh>
    <rPh sb="23" eb="25">
      <t>ヘンコウ</t>
    </rPh>
    <rPh sb="25" eb="27">
      <t>サギョウ</t>
    </rPh>
    <rPh sb="28" eb="31">
      <t>タイショウガイ</t>
    </rPh>
    <phoneticPr fontId="18"/>
  </si>
  <si>
    <t>2.0人日
（
・入出荷計画業務システム検証機APサーバ×２
・入出荷計画業務システム検証機DBサーバのスキーマ×3
）</t>
    <phoneticPr fontId="3"/>
  </si>
  <si>
    <t>検証環境の設定変更を実施します。</t>
    <rPh sb="0" eb="2">
      <t>ケンショウ</t>
    </rPh>
    <rPh sb="2" eb="4">
      <t>カンキョウ</t>
    </rPh>
    <rPh sb="5" eb="7">
      <t>セッテイ</t>
    </rPh>
    <rPh sb="7" eb="9">
      <t>ヘンコウ</t>
    </rPh>
    <rPh sb="10" eb="12">
      <t>ジッシ</t>
    </rPh>
    <phoneticPr fontId="18"/>
  </si>
  <si>
    <t>検証環境にてテストの実施、不具合の対応を実施し、結果報告書を作成します。</t>
    <rPh sb="10" eb="12">
      <t>ジッシ</t>
    </rPh>
    <rPh sb="13" eb="16">
      <t>フグアイ</t>
    </rPh>
    <rPh sb="17" eb="19">
      <t>タイオウ</t>
    </rPh>
    <rPh sb="20" eb="22">
      <t>ジッシ</t>
    </rPh>
    <phoneticPr fontId="18"/>
  </si>
  <si>
    <t>テスト結果報告書</t>
    <rPh sb="3" eb="5">
      <t>ケッカ</t>
    </rPh>
    <rPh sb="5" eb="8">
      <t>ホウコクショ</t>
    </rPh>
    <phoneticPr fontId="18"/>
  </si>
  <si>
    <t>本番環境にてリリース作業を実施します。</t>
    <rPh sb="0" eb="2">
      <t>ホンバン</t>
    </rPh>
    <rPh sb="2" eb="4">
      <t>カンキョウ</t>
    </rPh>
    <rPh sb="10" eb="12">
      <t>サギョウ</t>
    </rPh>
    <rPh sb="13" eb="15">
      <t>ジッシ</t>
    </rPh>
    <phoneticPr fontId="18"/>
  </si>
  <si>
    <t>本番環境にて初期流動対応を実施します。</t>
    <rPh sb="0" eb="2">
      <t>ホンバン</t>
    </rPh>
    <rPh sb="2" eb="4">
      <t>カンキョウ</t>
    </rPh>
    <rPh sb="6" eb="8">
      <t>ショキ</t>
    </rPh>
    <rPh sb="8" eb="10">
      <t>リュウドウ</t>
    </rPh>
    <rPh sb="10" eb="12">
      <t>タイオウ</t>
    </rPh>
    <rPh sb="13" eb="15">
      <t>ジッシ</t>
    </rPh>
    <phoneticPr fontId="18"/>
  </si>
  <si>
    <t>※事業所・製油所ごとに別日での実施想定</t>
    <rPh sb="1" eb="4">
      <t>ジギョウショ</t>
    </rPh>
    <rPh sb="5" eb="8">
      <t>セイユジョ</t>
    </rPh>
    <rPh sb="11" eb="12">
      <t>ベツ</t>
    </rPh>
    <rPh sb="12" eb="13">
      <t>ビ</t>
    </rPh>
    <rPh sb="15" eb="17">
      <t>ジッシ</t>
    </rPh>
    <rPh sb="17" eb="19">
      <t>ソウテイ</t>
    </rPh>
    <phoneticPr fontId="18"/>
  </si>
  <si>
    <t>５．パスワード変更について</t>
    <rPh sb="7" eb="9">
      <t>ヘンコウ</t>
    </rPh>
    <phoneticPr fontId="18"/>
  </si>
  <si>
    <t>1. ODBC設定（DB）/ Oracle設定×1製油所</t>
    <phoneticPr fontId="18"/>
  </si>
  <si>
    <t>※需給調整サーバのOSパスワード変更、需給調整サーバのOracleのパスワード変更作業作業は対象外</t>
    <rPh sb="1" eb="3">
      <t>ジュキュウ</t>
    </rPh>
    <rPh sb="3" eb="5">
      <t>チョウセイ</t>
    </rPh>
    <rPh sb="16" eb="18">
      <t>ヘンコウ</t>
    </rPh>
    <rPh sb="43" eb="45">
      <t>サギョウ</t>
    </rPh>
    <rPh sb="46" eb="49">
      <t>タイショウガイ</t>
    </rPh>
    <phoneticPr fontId="18"/>
  </si>
  <si>
    <t>OSのパスワード変更、オフラス・需給調整のDBパスワード変更につきましては、貴社にて実施をお願い致します。</t>
    <rPh sb="8" eb="10">
      <t>ヘンコウ</t>
    </rPh>
    <rPh sb="16" eb="18">
      <t>ジュキュウ</t>
    </rPh>
    <rPh sb="18" eb="20">
      <t>チョウセイ</t>
    </rPh>
    <rPh sb="28" eb="30">
      <t>ヘンコウ</t>
    </rPh>
    <rPh sb="38" eb="40">
      <t>キシャ</t>
    </rPh>
    <rPh sb="42" eb="44">
      <t>ジッシ</t>
    </rPh>
    <rPh sb="46" eb="47">
      <t>ネガイ</t>
    </rPh>
    <rPh sb="48" eb="49">
      <t>タ</t>
    </rPh>
    <phoneticPr fontId="18"/>
  </si>
  <si>
    <t>パスワード変更日程についてはリスクを考え事業所・製油所・システム毎に別日での調整をお願いいたします。</t>
    <rPh sb="5" eb="7">
      <t>ヘンコウ</t>
    </rPh>
    <rPh sb="7" eb="9">
      <t>ニッテイ</t>
    </rPh>
    <rPh sb="18" eb="19">
      <t>カンガ</t>
    </rPh>
    <rPh sb="32" eb="33">
      <t>ゴト</t>
    </rPh>
    <rPh sb="34" eb="35">
      <t>ベツ</t>
    </rPh>
    <rPh sb="35" eb="36">
      <t>ビ</t>
    </rPh>
    <rPh sb="38" eb="40">
      <t>チョウセイ</t>
    </rPh>
    <rPh sb="42" eb="43">
      <t>ネガ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</si>
</sst>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¥&quot;#,##0;&quot;¥&quot;\-#,##0"/>
    <numFmt numFmtId="6" formatCode="&quot;¥&quot;#,##0;[Red]&quot;¥&quot;\-#,##0"/>
    <numFmt numFmtId="176" formatCode="0.000&quot;人&quot;&quot;月&quot;"/>
    <numFmt numFmtId="177" formatCode="m&quot;月&quot;"/>
    <numFmt numFmtId="178" formatCode="0.000_ "/>
    <numFmt numFmtId="179" formatCode="0.00&quot;人&quot;&quot;月&quot;"/>
    <numFmt numFmtId="180" formatCode="&quot;¥&quot;#,##0_);[Red]\(&quot;¥&quot;#,##0\)"/>
    <numFmt numFmtId="181" formatCode="#,##0_ "/>
    <numFmt numFmtId="182" formatCode="&quot;¥&quot;#,##0.\-"/>
    <numFmt numFmtId="183" formatCode="0.00_);[Red]\(0.00\)"/>
    <numFmt numFmtId="184" formatCode="0.00_ 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  <font>
      <sz val="11"/>
      <color theme="1"/>
      <name val="游ゴシック"/>
      <family val="2"/>
      <scheme val="minor"/>
    </font>
    <font>
      <b/>
      <sz val="26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sz val="6"/>
      <name val="游ゴシック"/>
      <family val="3"/>
      <charset val="128"/>
      <scheme val="minor"/>
    </font>
    <font>
      <b/>
      <sz val="12"/>
      <name val="ＭＳ 明朝"/>
      <family val="1"/>
      <charset val="128"/>
    </font>
    <font>
      <sz val="20"/>
      <name val="ＭＳ 明朝"/>
      <family val="1"/>
      <charset val="128"/>
    </font>
    <font>
      <b/>
      <sz val="10"/>
      <name val="ＭＳ 明朝"/>
      <family val="1"/>
      <charset val="128"/>
    </font>
    <font>
      <u/>
      <sz val="10"/>
      <name val="ＭＳ 明朝"/>
      <family val="1"/>
      <charset val="128"/>
    </font>
    <font>
      <sz val="10"/>
      <color theme="0"/>
      <name val="ＭＳ 明朝"/>
      <family val="1"/>
      <charset val="128"/>
    </font>
    <font>
      <sz val="11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0" fontId="24" fillId="0" borderId="0">
      <alignment vertical="center"/>
    </xf>
  </cellStyleXfs>
  <cellXfs count="138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7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178" fontId="4" fillId="4" borderId="4" xfId="1" applyNumberFormat="1" applyFont="1" applyFill="1" applyBorder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178" fontId="4" fillId="4" borderId="0" xfId="1" applyNumberFormat="1" applyFont="1" applyFill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7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81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0" fontId="14" fillId="0" borderId="0" xfId="4" applyFont="1" applyAlignment="1">
      <alignment vertical="center"/>
    </xf>
    <xf numFmtId="0" fontId="15" fillId="0" borderId="22" xfId="4" applyFont="1" applyBorder="1" applyAlignment="1">
      <alignment vertical="center"/>
    </xf>
    <xf numFmtId="0" fontId="15" fillId="0" borderId="0" xfId="4" applyFont="1" applyAlignment="1">
      <alignment vertical="center"/>
    </xf>
    <xf numFmtId="0" fontId="15" fillId="0" borderId="23" xfId="4" applyFont="1" applyBorder="1" applyAlignment="1">
      <alignment vertical="center"/>
    </xf>
    <xf numFmtId="0" fontId="16" fillId="0" borderId="0" xfId="4" applyFont="1" applyAlignment="1">
      <alignment vertical="center"/>
    </xf>
    <xf numFmtId="0" fontId="21" fillId="0" borderId="0" xfId="4" applyFont="1" applyAlignment="1">
      <alignment vertical="center"/>
    </xf>
    <xf numFmtId="0" fontId="15" fillId="8" borderId="2" xfId="4" applyFont="1" applyFill="1" applyBorder="1" applyAlignment="1">
      <alignment horizontal="centerContinuous" vertical="center"/>
    </xf>
    <xf numFmtId="0" fontId="15" fillId="8" borderId="3" xfId="4" applyFont="1" applyFill="1" applyBorder="1" applyAlignment="1">
      <alignment horizontal="centerContinuous" vertical="center"/>
    </xf>
    <xf numFmtId="0" fontId="15" fillId="8" borderId="5" xfId="4" applyFont="1" applyFill="1" applyBorder="1" applyAlignment="1">
      <alignment horizontal="centerContinuous" vertical="center"/>
    </xf>
    <xf numFmtId="0" fontId="15" fillId="0" borderId="2" xfId="4" applyFont="1" applyBorder="1" applyAlignment="1">
      <alignment horizontal="left" vertical="center" indent="1"/>
    </xf>
    <xf numFmtId="0" fontId="15" fillId="0" borderId="5" xfId="4" applyFont="1" applyBorder="1" applyAlignment="1">
      <alignment vertical="center"/>
    </xf>
    <xf numFmtId="0" fontId="15" fillId="0" borderId="0" xfId="4" applyFont="1" applyAlignment="1">
      <alignment horizontal="center" vertical="center"/>
    </xf>
    <xf numFmtId="0" fontId="22" fillId="0" borderId="0" xfId="4" applyFont="1" applyAlignment="1">
      <alignment vertical="center"/>
    </xf>
    <xf numFmtId="0" fontId="15" fillId="8" borderId="25" xfId="4" applyFont="1" applyFill="1" applyBorder="1" applyAlignment="1">
      <alignment horizontal="centerContinuous" vertical="center"/>
    </xf>
    <xf numFmtId="0" fontId="15" fillId="8" borderId="26" xfId="4" applyFont="1" applyFill="1" applyBorder="1" applyAlignment="1">
      <alignment horizontal="centerContinuous" vertical="center"/>
    </xf>
    <xf numFmtId="0" fontId="15" fillId="8" borderId="27" xfId="4" applyFont="1" applyFill="1" applyBorder="1" applyAlignment="1">
      <alignment horizontal="centerContinuous" vertical="center"/>
    </xf>
    <xf numFmtId="0" fontId="15" fillId="0" borderId="25" xfId="4" applyFont="1" applyBorder="1" applyAlignment="1">
      <alignment horizontal="centerContinuous" vertical="center"/>
    </xf>
    <xf numFmtId="0" fontId="15" fillId="0" borderId="26" xfId="4" applyFont="1" applyBorder="1" applyAlignment="1">
      <alignment horizontal="centerContinuous" vertical="center"/>
    </xf>
    <xf numFmtId="0" fontId="15" fillId="0" borderId="25" xfId="4" applyFont="1" applyBorder="1" applyAlignment="1">
      <alignment horizontal="left" vertical="center"/>
    </xf>
    <xf numFmtId="0" fontId="15" fillId="0" borderId="27" xfId="4" applyFont="1" applyBorder="1" applyAlignment="1">
      <alignment horizontal="left" vertical="center"/>
    </xf>
    <xf numFmtId="0" fontId="15" fillId="0" borderId="28" xfId="4" applyFont="1" applyBorder="1" applyAlignment="1">
      <alignment vertical="center"/>
    </xf>
    <xf numFmtId="0" fontId="15" fillId="0" borderId="29" xfId="4" applyFont="1" applyBorder="1" applyAlignment="1">
      <alignment vertical="center"/>
    </xf>
    <xf numFmtId="0" fontId="15" fillId="0" borderId="28" xfId="4" applyFont="1" applyBorder="1" applyAlignment="1">
      <alignment horizontal="left" vertical="center"/>
    </xf>
    <xf numFmtId="0" fontId="15" fillId="0" borderId="0" xfId="4" applyFont="1" applyAlignment="1">
      <alignment horizontal="left" vertical="center"/>
    </xf>
    <xf numFmtId="0" fontId="15" fillId="0" borderId="25" xfId="4" applyFont="1" applyBorder="1" applyAlignment="1">
      <alignment vertical="center"/>
    </xf>
    <xf numFmtId="0" fontId="15" fillId="0" borderId="27" xfId="4" applyFont="1" applyBorder="1" applyAlignment="1">
      <alignment vertical="center"/>
    </xf>
    <xf numFmtId="0" fontId="15" fillId="0" borderId="26" xfId="4" applyFont="1" applyBorder="1" applyAlignment="1">
      <alignment vertical="center"/>
    </xf>
    <xf numFmtId="0" fontId="15" fillId="0" borderId="30" xfId="4" applyFont="1" applyBorder="1" applyAlignment="1">
      <alignment horizontal="centerContinuous" vertical="center"/>
    </xf>
    <xf numFmtId="0" fontId="15" fillId="0" borderId="31" xfId="4" applyFont="1" applyBorder="1" applyAlignment="1">
      <alignment horizontal="centerContinuous" vertical="center"/>
    </xf>
    <xf numFmtId="0" fontId="15" fillId="0" borderId="30" xfId="4" applyFont="1" applyBorder="1" applyAlignment="1">
      <alignment horizontal="left" vertical="center"/>
    </xf>
    <xf numFmtId="0" fontId="15" fillId="0" borderId="24" xfId="4" applyFont="1" applyBorder="1" applyAlignment="1">
      <alignment horizontal="left" vertical="center"/>
    </xf>
    <xf numFmtId="0" fontId="15" fillId="0" borderId="30" xfId="4" applyFont="1" applyBorder="1" applyAlignment="1">
      <alignment vertical="center"/>
    </xf>
    <xf numFmtId="0" fontId="15" fillId="0" borderId="24" xfId="4" applyFont="1" applyBorder="1" applyAlignment="1">
      <alignment vertical="center"/>
    </xf>
    <xf numFmtId="0" fontId="15" fillId="0" borderId="31" xfId="4" applyFont="1" applyBorder="1" applyAlignment="1">
      <alignment vertical="center"/>
    </xf>
    <xf numFmtId="0" fontId="23" fillId="0" borderId="0" xfId="4" applyFont="1" applyAlignment="1">
      <alignment vertical="center"/>
    </xf>
    <xf numFmtId="0" fontId="15" fillId="0" borderId="0" xfId="5" applyFont="1" applyAlignment="1">
      <alignment horizontal="left" vertical="center"/>
    </xf>
    <xf numFmtId="0" fontId="15" fillId="0" borderId="0" xfId="5" applyFont="1">
      <alignment vertical="center"/>
    </xf>
    <xf numFmtId="0" fontId="14" fillId="0" borderId="23" xfId="4" applyFont="1" applyBorder="1" applyAlignment="1">
      <alignment vertical="center"/>
    </xf>
    <xf numFmtId="5" fontId="15" fillId="0" borderId="5" xfId="4" applyNumberFormat="1" applyFont="1" applyBorder="1" applyAlignment="1">
      <alignment vertical="center"/>
    </xf>
    <xf numFmtId="5" fontId="15" fillId="0" borderId="3" xfId="4" applyNumberFormat="1" applyFont="1" applyBorder="1" applyAlignment="1">
      <alignment vertical="center"/>
    </xf>
    <xf numFmtId="0" fontId="0" fillId="0" borderId="4" xfId="0" applyBorder="1">
      <alignment vertical="center"/>
    </xf>
    <xf numFmtId="0" fontId="0" fillId="9" borderId="4" xfId="0" applyFill="1" applyBorder="1">
      <alignment vertical="center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9" borderId="4" xfId="0" applyFill="1" applyBorder="1" applyAlignment="1">
      <alignment vertical="center" wrapText="1"/>
    </xf>
    <xf numFmtId="0" fontId="0" fillId="0" borderId="25" xfId="0" applyBorder="1">
      <alignment vertical="center"/>
    </xf>
    <xf numFmtId="184" fontId="0" fillId="0" borderId="4" xfId="0" applyNumberFormat="1" applyBorder="1">
      <alignment vertical="center"/>
    </xf>
    <xf numFmtId="0" fontId="15" fillId="0" borderId="2" xfId="4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/>
    </xf>
    <xf numFmtId="183" fontId="15" fillId="0" borderId="2" xfId="4" applyNumberFormat="1" applyFont="1" applyBorder="1" applyAlignment="1">
      <alignment horizontal="right" vertical="center"/>
    </xf>
    <xf numFmtId="183" fontId="15" fillId="0" borderId="5" xfId="4" applyNumberFormat="1" applyFont="1" applyBorder="1" applyAlignment="1">
      <alignment horizontal="right" vertical="center"/>
    </xf>
    <xf numFmtId="5" fontId="15" fillId="0" borderId="5" xfId="4" applyNumberFormat="1" applyFont="1" applyBorder="1" applyAlignment="1">
      <alignment horizontal="center" vertical="center"/>
    </xf>
    <xf numFmtId="5" fontId="15" fillId="0" borderId="3" xfId="4" applyNumberFormat="1" applyFont="1" applyBorder="1" applyAlignment="1">
      <alignment horizontal="center" vertical="center"/>
    </xf>
    <xf numFmtId="5" fontId="15" fillId="0" borderId="2" xfId="4" applyNumberFormat="1" applyFont="1" applyBorder="1" applyAlignment="1">
      <alignment horizontal="right" vertical="center" indent="1"/>
    </xf>
    <xf numFmtId="5" fontId="15" fillId="0" borderId="5" xfId="4" applyNumberFormat="1" applyFont="1" applyBorder="1" applyAlignment="1">
      <alignment horizontal="right" vertical="center" indent="1"/>
    </xf>
    <xf numFmtId="5" fontId="15" fillId="0" borderId="3" xfId="4" applyNumberFormat="1" applyFont="1" applyBorder="1" applyAlignment="1">
      <alignment horizontal="right" vertical="center" indent="1"/>
    </xf>
    <xf numFmtId="0" fontId="13" fillId="0" borderId="0" xfId="4" applyFont="1" applyAlignment="1">
      <alignment horizontal="left" vertical="center"/>
    </xf>
    <xf numFmtId="14" fontId="15" fillId="0" borderId="23" xfId="4" applyNumberFormat="1" applyFont="1" applyBorder="1" applyAlignment="1">
      <alignment horizontal="right" vertical="center"/>
    </xf>
    <xf numFmtId="0" fontId="15" fillId="0" borderId="23" xfId="4" applyFont="1" applyBorder="1" applyAlignment="1">
      <alignment horizontal="right" vertical="center"/>
    </xf>
    <xf numFmtId="0" fontId="17" fillId="0" borderId="0" xfId="4" applyFont="1" applyAlignment="1">
      <alignment horizontal="left" vertical="center"/>
    </xf>
    <xf numFmtId="0" fontId="17" fillId="0" borderId="24" xfId="4" applyFont="1" applyBorder="1" applyAlignment="1">
      <alignment horizontal="left" vertical="center"/>
    </xf>
    <xf numFmtId="0" fontId="19" fillId="0" borderId="0" xfId="4" applyFont="1" applyAlignment="1">
      <alignment horizontal="left" vertical="center"/>
    </xf>
    <xf numFmtId="0" fontId="19" fillId="0" borderId="24" xfId="4" applyFont="1" applyBorder="1" applyAlignment="1">
      <alignment horizontal="left" vertical="center"/>
    </xf>
    <xf numFmtId="182" fontId="20" fillId="0" borderId="0" xfId="4" applyNumberFormat="1" applyFont="1" applyAlignment="1">
      <alignment horizontal="right" vertical="center"/>
    </xf>
    <xf numFmtId="182" fontId="20" fillId="0" borderId="24" xfId="4" applyNumberFormat="1" applyFont="1" applyBorder="1" applyAlignment="1">
      <alignment horizontal="right" vertical="center"/>
    </xf>
    <xf numFmtId="14" fontId="15" fillId="0" borderId="22" xfId="4" applyNumberFormat="1" applyFont="1" applyBorder="1" applyAlignment="1">
      <alignment horizontal="right" vertical="center"/>
    </xf>
    <xf numFmtId="0" fontId="15" fillId="0" borderId="22" xfId="4" applyFont="1" applyBorder="1" applyAlignment="1">
      <alignment horizontal="right" vertical="center"/>
    </xf>
    <xf numFmtId="0" fontId="0" fillId="9" borderId="2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6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>
      <alignment vertical="center"/>
    </xf>
    <xf numFmtId="179" fontId="4" fillId="3" borderId="4" xfId="1" applyNumberFormat="1" applyFont="1" applyFill="1" applyBorder="1">
      <alignment vertical="center"/>
    </xf>
    <xf numFmtId="180" fontId="4" fillId="3" borderId="4" xfId="1" applyNumberFormat="1" applyFont="1" applyFill="1" applyBorder="1">
      <alignment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6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  <cellStyle name="標準 2 3" xfId="5" xr:uid="{E5FBA960-A250-48E9-A1AE-46A451B0EE3A}"/>
    <cellStyle name="標準 3" xfId="4" xr:uid="{FF83E7BF-8BED-4E42-A740-53CF93C388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112</xdr:row>
      <xdr:rowOff>28575</xdr:rowOff>
    </xdr:from>
    <xdr:to>
      <xdr:col>31</xdr:col>
      <xdr:colOff>169500</xdr:colOff>
      <xdr:row>112</xdr:row>
      <xdr:rowOff>172575</xdr:rowOff>
    </xdr:to>
    <xdr:sp macro="" textlink="">
      <xdr:nvSpPr>
        <xdr:cNvPr id="2" name="ホームベース 120">
          <a:extLst>
            <a:ext uri="{FF2B5EF4-FFF2-40B4-BE49-F238E27FC236}">
              <a16:creationId xmlns:a16="http://schemas.microsoft.com/office/drawing/2014/main" id="{B247DDCD-AF6D-4851-BFC0-B5F3FF6B0CAA}"/>
            </a:ext>
          </a:extLst>
        </xdr:cNvPr>
        <xdr:cNvSpPr/>
      </xdr:nvSpPr>
      <xdr:spPr bwMode="auto">
        <a:xfrm>
          <a:off x="6000750" y="21555075"/>
          <a:ext cx="369525" cy="144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</xdr:col>
      <xdr:colOff>6350</xdr:colOff>
      <xdr:row>100</xdr:row>
      <xdr:rowOff>47625</xdr:rowOff>
    </xdr:from>
    <xdr:to>
      <xdr:col>9</xdr:col>
      <xdr:colOff>127000</xdr:colOff>
      <xdr:row>101</xdr:row>
      <xdr:rowOff>145125</xdr:rowOff>
    </xdr:to>
    <xdr:sp macro="" textlink="">
      <xdr:nvSpPr>
        <xdr:cNvPr id="4" name="ホームベース 35">
          <a:extLst>
            <a:ext uri="{FF2B5EF4-FFF2-40B4-BE49-F238E27FC236}">
              <a16:creationId xmlns:a16="http://schemas.microsoft.com/office/drawing/2014/main" id="{ABAC6196-8194-4939-8EF4-B07448CDAEF3}"/>
            </a:ext>
          </a:extLst>
        </xdr:cNvPr>
        <xdr:cNvSpPr/>
      </xdr:nvSpPr>
      <xdr:spPr bwMode="auto">
        <a:xfrm>
          <a:off x="1581150" y="19288125"/>
          <a:ext cx="31750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13</xdr:col>
      <xdr:colOff>44450</xdr:colOff>
      <xdr:row>106</xdr:row>
      <xdr:rowOff>53975</xdr:rowOff>
    </xdr:from>
    <xdr:to>
      <xdr:col>16</xdr:col>
      <xdr:colOff>63500</xdr:colOff>
      <xdr:row>107</xdr:row>
      <xdr:rowOff>151475</xdr:rowOff>
    </xdr:to>
    <xdr:sp macro="" textlink="">
      <xdr:nvSpPr>
        <xdr:cNvPr id="6" name="ホームベース 18">
          <a:extLst>
            <a:ext uri="{FF2B5EF4-FFF2-40B4-BE49-F238E27FC236}">
              <a16:creationId xmlns:a16="http://schemas.microsoft.com/office/drawing/2014/main" id="{6BD63F53-D4BE-441D-B6F0-E6430817CF72}"/>
            </a:ext>
          </a:extLst>
        </xdr:cNvPr>
        <xdr:cNvSpPr/>
      </xdr:nvSpPr>
      <xdr:spPr bwMode="auto">
        <a:xfrm>
          <a:off x="2603500" y="20437475"/>
          <a:ext cx="60960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17</xdr:col>
      <xdr:colOff>6350</xdr:colOff>
      <xdr:row>108</xdr:row>
      <xdr:rowOff>53975</xdr:rowOff>
    </xdr:from>
    <xdr:to>
      <xdr:col>18</xdr:col>
      <xdr:colOff>44450</xdr:colOff>
      <xdr:row>109</xdr:row>
      <xdr:rowOff>151475</xdr:rowOff>
    </xdr:to>
    <xdr:sp macro="" textlink="">
      <xdr:nvSpPr>
        <xdr:cNvPr id="12" name="ホームベース 37">
          <a:extLst>
            <a:ext uri="{FF2B5EF4-FFF2-40B4-BE49-F238E27FC236}">
              <a16:creationId xmlns:a16="http://schemas.microsoft.com/office/drawing/2014/main" id="{A8664F53-7C33-4970-9875-A78006E641B1}"/>
            </a:ext>
          </a:extLst>
        </xdr:cNvPr>
        <xdr:cNvSpPr/>
      </xdr:nvSpPr>
      <xdr:spPr bwMode="auto">
        <a:xfrm>
          <a:off x="3352800" y="20818475"/>
          <a:ext cx="23495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0</xdr:colOff>
      <xdr:row>112</xdr:row>
      <xdr:rowOff>30480</xdr:rowOff>
    </xdr:from>
    <xdr:to>
      <xdr:col>25</xdr:col>
      <xdr:colOff>169500</xdr:colOff>
      <xdr:row>112</xdr:row>
      <xdr:rowOff>174480</xdr:rowOff>
    </xdr:to>
    <xdr:sp macro="" textlink="">
      <xdr:nvSpPr>
        <xdr:cNvPr id="13" name="ホームベース 13">
          <a:extLst>
            <a:ext uri="{FF2B5EF4-FFF2-40B4-BE49-F238E27FC236}">
              <a16:creationId xmlns:a16="http://schemas.microsoft.com/office/drawing/2014/main" id="{3EF7067C-86EF-49BF-BDCC-8D695BFF9D9A}"/>
            </a:ext>
          </a:extLst>
        </xdr:cNvPr>
        <xdr:cNvSpPr/>
      </xdr:nvSpPr>
      <xdr:spPr bwMode="auto">
        <a:xfrm>
          <a:off x="4800600" y="21556980"/>
          <a:ext cx="369525" cy="144000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114300</xdr:colOff>
      <xdr:row>102</xdr:row>
      <xdr:rowOff>47625</xdr:rowOff>
    </xdr:from>
    <xdr:to>
      <xdr:col>11</xdr:col>
      <xdr:colOff>190500</xdr:colOff>
      <xdr:row>103</xdr:row>
      <xdr:rowOff>145125</xdr:rowOff>
    </xdr:to>
    <xdr:sp macro="" textlink="">
      <xdr:nvSpPr>
        <xdr:cNvPr id="7" name="ホームベース 35">
          <a:extLst>
            <a:ext uri="{FF2B5EF4-FFF2-40B4-BE49-F238E27FC236}">
              <a16:creationId xmlns:a16="http://schemas.microsoft.com/office/drawing/2014/main" id="{2780ABBD-04D8-E226-0D87-224FCBDB4E4C}"/>
            </a:ext>
          </a:extLst>
        </xdr:cNvPr>
        <xdr:cNvSpPr/>
      </xdr:nvSpPr>
      <xdr:spPr bwMode="auto">
        <a:xfrm>
          <a:off x="1885950" y="19669125"/>
          <a:ext cx="46990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12</xdr:col>
      <xdr:colOff>6350</xdr:colOff>
      <xdr:row>104</xdr:row>
      <xdr:rowOff>47625</xdr:rowOff>
    </xdr:from>
    <xdr:to>
      <xdr:col>13</xdr:col>
      <xdr:colOff>25400</xdr:colOff>
      <xdr:row>105</xdr:row>
      <xdr:rowOff>145125</xdr:rowOff>
    </xdr:to>
    <xdr:sp macro="" textlink="">
      <xdr:nvSpPr>
        <xdr:cNvPr id="8" name="ホームベース 35">
          <a:extLst>
            <a:ext uri="{FF2B5EF4-FFF2-40B4-BE49-F238E27FC236}">
              <a16:creationId xmlns:a16="http://schemas.microsoft.com/office/drawing/2014/main" id="{372599ED-ECB4-1E6E-AE3B-A18850076620}"/>
            </a:ext>
          </a:extLst>
        </xdr:cNvPr>
        <xdr:cNvSpPr/>
      </xdr:nvSpPr>
      <xdr:spPr bwMode="auto">
        <a:xfrm>
          <a:off x="2368550" y="20050125"/>
          <a:ext cx="21590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18</xdr:col>
      <xdr:colOff>38100</xdr:colOff>
      <xdr:row>110</xdr:row>
      <xdr:rowOff>41275</xdr:rowOff>
    </xdr:from>
    <xdr:to>
      <xdr:col>18</xdr:col>
      <xdr:colOff>152400</xdr:colOff>
      <xdr:row>111</xdr:row>
      <xdr:rowOff>138775</xdr:rowOff>
    </xdr:to>
    <xdr:sp macro="" textlink="">
      <xdr:nvSpPr>
        <xdr:cNvPr id="9" name="ホームベース 37">
          <a:extLst>
            <a:ext uri="{FF2B5EF4-FFF2-40B4-BE49-F238E27FC236}">
              <a16:creationId xmlns:a16="http://schemas.microsoft.com/office/drawing/2014/main" id="{11AB9F0E-52A1-892D-C7DB-2000FC1D03C1}"/>
            </a:ext>
          </a:extLst>
        </xdr:cNvPr>
        <xdr:cNvSpPr/>
      </xdr:nvSpPr>
      <xdr:spPr bwMode="auto">
        <a:xfrm>
          <a:off x="3581400" y="21186775"/>
          <a:ext cx="11430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20</xdr:col>
      <xdr:colOff>12700</xdr:colOff>
      <xdr:row>108</xdr:row>
      <xdr:rowOff>53975</xdr:rowOff>
    </xdr:from>
    <xdr:to>
      <xdr:col>21</xdr:col>
      <xdr:colOff>50800</xdr:colOff>
      <xdr:row>109</xdr:row>
      <xdr:rowOff>151475</xdr:rowOff>
    </xdr:to>
    <xdr:sp macro="" textlink="">
      <xdr:nvSpPr>
        <xdr:cNvPr id="16" name="ホームベース 37">
          <a:extLst>
            <a:ext uri="{FF2B5EF4-FFF2-40B4-BE49-F238E27FC236}">
              <a16:creationId xmlns:a16="http://schemas.microsoft.com/office/drawing/2014/main" id="{861CEC96-3F21-5F63-6C1F-BB66D68A9987}"/>
            </a:ext>
          </a:extLst>
        </xdr:cNvPr>
        <xdr:cNvSpPr/>
      </xdr:nvSpPr>
      <xdr:spPr bwMode="auto">
        <a:xfrm>
          <a:off x="3949700" y="20818475"/>
          <a:ext cx="23495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21</xdr:col>
      <xdr:colOff>44450</xdr:colOff>
      <xdr:row>110</xdr:row>
      <xdr:rowOff>41275</xdr:rowOff>
    </xdr:from>
    <xdr:to>
      <xdr:col>21</xdr:col>
      <xdr:colOff>158750</xdr:colOff>
      <xdr:row>111</xdr:row>
      <xdr:rowOff>138775</xdr:rowOff>
    </xdr:to>
    <xdr:sp macro="" textlink="">
      <xdr:nvSpPr>
        <xdr:cNvPr id="17" name="ホームベース 37">
          <a:extLst>
            <a:ext uri="{FF2B5EF4-FFF2-40B4-BE49-F238E27FC236}">
              <a16:creationId xmlns:a16="http://schemas.microsoft.com/office/drawing/2014/main" id="{670DA80C-D888-4719-2472-797AA80C0B25}"/>
            </a:ext>
          </a:extLst>
        </xdr:cNvPr>
        <xdr:cNvSpPr/>
      </xdr:nvSpPr>
      <xdr:spPr bwMode="auto">
        <a:xfrm>
          <a:off x="4178300" y="21186775"/>
          <a:ext cx="11430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23</xdr:col>
      <xdr:colOff>0</xdr:colOff>
      <xdr:row>108</xdr:row>
      <xdr:rowOff>53975</xdr:rowOff>
    </xdr:from>
    <xdr:to>
      <xdr:col>24</xdr:col>
      <xdr:colOff>38100</xdr:colOff>
      <xdr:row>109</xdr:row>
      <xdr:rowOff>151475</xdr:rowOff>
    </xdr:to>
    <xdr:sp macro="" textlink="">
      <xdr:nvSpPr>
        <xdr:cNvPr id="18" name="ホームベース 37">
          <a:extLst>
            <a:ext uri="{FF2B5EF4-FFF2-40B4-BE49-F238E27FC236}">
              <a16:creationId xmlns:a16="http://schemas.microsoft.com/office/drawing/2014/main" id="{9F953F92-6C43-8478-81C3-44C9DB9CA8E2}"/>
            </a:ext>
          </a:extLst>
        </xdr:cNvPr>
        <xdr:cNvSpPr/>
      </xdr:nvSpPr>
      <xdr:spPr bwMode="auto">
        <a:xfrm>
          <a:off x="4527550" y="20818475"/>
          <a:ext cx="23495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31750</xdr:colOff>
      <xdr:row>110</xdr:row>
      <xdr:rowOff>41275</xdr:rowOff>
    </xdr:from>
    <xdr:to>
      <xdr:col>24</xdr:col>
      <xdr:colOff>146050</xdr:colOff>
      <xdr:row>111</xdr:row>
      <xdr:rowOff>138775</xdr:rowOff>
    </xdr:to>
    <xdr:sp macro="" textlink="">
      <xdr:nvSpPr>
        <xdr:cNvPr id="19" name="ホームベース 37">
          <a:extLst>
            <a:ext uri="{FF2B5EF4-FFF2-40B4-BE49-F238E27FC236}">
              <a16:creationId xmlns:a16="http://schemas.microsoft.com/office/drawing/2014/main" id="{8139BB2E-D199-87B3-96AD-1D4C2C8705D2}"/>
            </a:ext>
          </a:extLst>
        </xdr:cNvPr>
        <xdr:cNvSpPr/>
      </xdr:nvSpPr>
      <xdr:spPr bwMode="auto">
        <a:xfrm>
          <a:off x="4756150" y="21186775"/>
          <a:ext cx="11430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26</xdr:col>
      <xdr:colOff>0</xdr:colOff>
      <xdr:row>108</xdr:row>
      <xdr:rowOff>53975</xdr:rowOff>
    </xdr:from>
    <xdr:to>
      <xdr:col>27</xdr:col>
      <xdr:colOff>38100</xdr:colOff>
      <xdr:row>109</xdr:row>
      <xdr:rowOff>151475</xdr:rowOff>
    </xdr:to>
    <xdr:sp macro="" textlink="">
      <xdr:nvSpPr>
        <xdr:cNvPr id="20" name="ホームベース 37">
          <a:extLst>
            <a:ext uri="{FF2B5EF4-FFF2-40B4-BE49-F238E27FC236}">
              <a16:creationId xmlns:a16="http://schemas.microsoft.com/office/drawing/2014/main" id="{C24736A4-5BB4-F209-06F9-A8D498447845}"/>
            </a:ext>
          </a:extLst>
        </xdr:cNvPr>
        <xdr:cNvSpPr/>
      </xdr:nvSpPr>
      <xdr:spPr bwMode="auto">
        <a:xfrm>
          <a:off x="5118100" y="20818475"/>
          <a:ext cx="23495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27</xdr:col>
      <xdr:colOff>31750</xdr:colOff>
      <xdr:row>110</xdr:row>
      <xdr:rowOff>41275</xdr:rowOff>
    </xdr:from>
    <xdr:to>
      <xdr:col>27</xdr:col>
      <xdr:colOff>146050</xdr:colOff>
      <xdr:row>111</xdr:row>
      <xdr:rowOff>138775</xdr:rowOff>
    </xdr:to>
    <xdr:sp macro="" textlink="">
      <xdr:nvSpPr>
        <xdr:cNvPr id="21" name="ホームベース 37">
          <a:extLst>
            <a:ext uri="{FF2B5EF4-FFF2-40B4-BE49-F238E27FC236}">
              <a16:creationId xmlns:a16="http://schemas.microsoft.com/office/drawing/2014/main" id="{5140EB65-EB24-916E-86CD-CCD8B0BEA118}"/>
            </a:ext>
          </a:extLst>
        </xdr:cNvPr>
        <xdr:cNvSpPr/>
      </xdr:nvSpPr>
      <xdr:spPr bwMode="auto">
        <a:xfrm>
          <a:off x="5346700" y="21186775"/>
          <a:ext cx="11430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190500</xdr:colOff>
      <xdr:row>108</xdr:row>
      <xdr:rowOff>53975</xdr:rowOff>
    </xdr:from>
    <xdr:to>
      <xdr:col>30</xdr:col>
      <xdr:colOff>31750</xdr:colOff>
      <xdr:row>109</xdr:row>
      <xdr:rowOff>151475</xdr:rowOff>
    </xdr:to>
    <xdr:sp macro="" textlink="">
      <xdr:nvSpPr>
        <xdr:cNvPr id="22" name="ホームベース 37">
          <a:extLst>
            <a:ext uri="{FF2B5EF4-FFF2-40B4-BE49-F238E27FC236}">
              <a16:creationId xmlns:a16="http://schemas.microsoft.com/office/drawing/2014/main" id="{833BBF36-939A-65C7-B5DF-8C4868CD4B54}"/>
            </a:ext>
          </a:extLst>
        </xdr:cNvPr>
        <xdr:cNvSpPr/>
      </xdr:nvSpPr>
      <xdr:spPr bwMode="auto">
        <a:xfrm>
          <a:off x="5702300" y="20818475"/>
          <a:ext cx="23495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30</xdr:col>
      <xdr:colOff>25400</xdr:colOff>
      <xdr:row>110</xdr:row>
      <xdr:rowOff>41275</xdr:rowOff>
    </xdr:from>
    <xdr:to>
      <xdr:col>30</xdr:col>
      <xdr:colOff>139700</xdr:colOff>
      <xdr:row>111</xdr:row>
      <xdr:rowOff>138775</xdr:rowOff>
    </xdr:to>
    <xdr:sp macro="" textlink="">
      <xdr:nvSpPr>
        <xdr:cNvPr id="23" name="ホームベース 37">
          <a:extLst>
            <a:ext uri="{FF2B5EF4-FFF2-40B4-BE49-F238E27FC236}">
              <a16:creationId xmlns:a16="http://schemas.microsoft.com/office/drawing/2014/main" id="{C51CE545-936C-4CFA-456F-7357F47F7BB3}"/>
            </a:ext>
          </a:extLst>
        </xdr:cNvPr>
        <xdr:cNvSpPr/>
      </xdr:nvSpPr>
      <xdr:spPr bwMode="auto">
        <a:xfrm>
          <a:off x="5930900" y="21186775"/>
          <a:ext cx="11430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31</xdr:col>
      <xdr:colOff>190500</xdr:colOff>
      <xdr:row>108</xdr:row>
      <xdr:rowOff>53975</xdr:rowOff>
    </xdr:from>
    <xdr:to>
      <xdr:col>33</xdr:col>
      <xdr:colOff>31750</xdr:colOff>
      <xdr:row>109</xdr:row>
      <xdr:rowOff>151475</xdr:rowOff>
    </xdr:to>
    <xdr:sp macro="" textlink="">
      <xdr:nvSpPr>
        <xdr:cNvPr id="24" name="ホームベース 37">
          <a:extLst>
            <a:ext uri="{FF2B5EF4-FFF2-40B4-BE49-F238E27FC236}">
              <a16:creationId xmlns:a16="http://schemas.microsoft.com/office/drawing/2014/main" id="{52192C7D-397C-F9DC-E3C2-524CDAD27F46}"/>
            </a:ext>
          </a:extLst>
        </xdr:cNvPr>
        <xdr:cNvSpPr/>
      </xdr:nvSpPr>
      <xdr:spPr bwMode="auto">
        <a:xfrm>
          <a:off x="6292850" y="20818475"/>
          <a:ext cx="23495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33</xdr:col>
      <xdr:colOff>25400</xdr:colOff>
      <xdr:row>110</xdr:row>
      <xdr:rowOff>41275</xdr:rowOff>
    </xdr:from>
    <xdr:to>
      <xdr:col>33</xdr:col>
      <xdr:colOff>139700</xdr:colOff>
      <xdr:row>111</xdr:row>
      <xdr:rowOff>138775</xdr:rowOff>
    </xdr:to>
    <xdr:sp macro="" textlink="">
      <xdr:nvSpPr>
        <xdr:cNvPr id="25" name="ホームベース 37">
          <a:extLst>
            <a:ext uri="{FF2B5EF4-FFF2-40B4-BE49-F238E27FC236}">
              <a16:creationId xmlns:a16="http://schemas.microsoft.com/office/drawing/2014/main" id="{AA1B86CD-62F9-2C6F-58E8-33F2936F4F57}"/>
            </a:ext>
          </a:extLst>
        </xdr:cNvPr>
        <xdr:cNvSpPr/>
      </xdr:nvSpPr>
      <xdr:spPr bwMode="auto">
        <a:xfrm>
          <a:off x="6521450" y="21186775"/>
          <a:ext cx="114300" cy="288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343257</xdr:colOff>
      <xdr:row>19</xdr:row>
      <xdr:rowOff>127218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DD7AC11-8A89-3C52-5242-E52EFAFB5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8600"/>
          <a:ext cx="6947257" cy="424201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11</xdr:col>
      <xdr:colOff>336907</xdr:colOff>
      <xdr:row>36</xdr:row>
      <xdr:rowOff>82730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79083BB-247C-D872-8824-35C6F2412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4800600"/>
          <a:ext cx="6940907" cy="351173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ypresscorporation.sharepoint.com/sites/msteams_474cc0/Shared%20Documents/General/17%20&#35211;&#31309;/20230406_&#35211;&#31309;&#26360;_&#24859;&#30693;_&#21271;&#28023;&#36947;_&#23637;&#38283;/&#21271;&#28023;&#36947;&#12539;&#24859;&#30693;&#12408;&#12398;&#21453;&#26144;&#26908;&#35342;&#21315;&#33865;&#27531;&#35506;&#38988;_20230713.xlsx" TargetMode="External"/><Relationship Id="rId1" Type="http://schemas.openxmlformats.org/officeDocument/2006/relationships/externalLinkPath" Target="https://cypresscorporation.sharepoint.com/sites/msteams_474cc0/Shared%20Documents/General/17%20&#35211;&#31309;/20241108_&#35211;&#31309;_&#21271;&#28023;&#36947;_&#24859;&#30693;_&#36861;&#21152;/&#21271;&#28023;&#36947;&#12539;&#24859;&#30693;&#12408;&#12398;&#21453;&#26144;&#26908;&#35342;&#21315;&#33865;&#27531;&#35506;&#38988;_202307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障害課題一覧 (検討優先度高のもの)"/>
      <sheetName val="障害課題一覧 (それ以外)"/>
      <sheetName val="コード内訳"/>
    </sheetNames>
    <sheetDataSet>
      <sheetData sheetId="0"/>
      <sheetData sheetId="1"/>
      <sheetData sheetId="2">
        <row r="115">
          <cell r="A115" t="str">
            <v>課題</v>
          </cell>
        </row>
        <row r="116">
          <cell r="A116" t="str">
            <v>問合せ</v>
          </cell>
        </row>
        <row r="117">
          <cell r="A117" t="str">
            <v>仕様変更</v>
          </cell>
        </row>
        <row r="118">
          <cell r="A118" t="str">
            <v>障害</v>
          </cell>
        </row>
        <row r="119">
          <cell r="A119" t="str">
            <v>タスク</v>
          </cell>
        </row>
        <row r="120">
          <cell r="A120" t="str">
            <v>その他</v>
          </cell>
        </row>
        <row r="125">
          <cell r="A125" t="str">
            <v>未着手</v>
          </cell>
        </row>
        <row r="126">
          <cell r="A126" t="str">
            <v>調査中</v>
          </cell>
        </row>
        <row r="127">
          <cell r="A127" t="str">
            <v>調査完了</v>
          </cell>
        </row>
        <row r="128">
          <cell r="A128" t="str">
            <v>対応中</v>
          </cell>
        </row>
        <row r="129">
          <cell r="A129" t="str">
            <v>対応完了</v>
          </cell>
        </row>
        <row r="130">
          <cell r="A130" t="str">
            <v>承認待ち</v>
          </cell>
        </row>
        <row r="131">
          <cell r="A131" t="str">
            <v>完了</v>
          </cell>
        </row>
        <row r="132">
          <cell r="A132" t="str">
            <v>対応保留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CC46-4005-46E9-9468-930B9CFAABC5}">
  <dimension ref="A1:AQ146"/>
  <sheetViews>
    <sheetView tabSelected="1" view="pageBreakPreview" zoomScaleNormal="100" zoomScaleSheetLayoutView="100" workbookViewId="0">
      <selection sqref="A1:Q2"/>
    </sheetView>
  </sheetViews>
  <sheetFormatPr defaultColWidth="2.58203125" defaultRowHeight="15" customHeight="1" x14ac:dyDescent="0.55000000000000004"/>
  <cols>
    <col min="1" max="1" width="2.58203125" style="30"/>
    <col min="2" max="16384" width="2.58203125" style="27"/>
  </cols>
  <sheetData>
    <row r="1" spans="1:37" s="25" customFormat="1" ht="15" customHeight="1" x14ac:dyDescent="0.55000000000000004">
      <c r="A1" s="81" t="s">
        <v>78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X1" s="26" t="s">
        <v>79</v>
      </c>
      <c r="Z1" s="26"/>
      <c r="AA1" s="26"/>
      <c r="AB1" s="26"/>
      <c r="AC1" s="26"/>
      <c r="AD1" s="26"/>
      <c r="AE1" s="26"/>
      <c r="AF1" s="90" t="s">
        <v>139</v>
      </c>
      <c r="AG1" s="91"/>
      <c r="AH1" s="91"/>
      <c r="AI1" s="91"/>
      <c r="AJ1" s="91"/>
      <c r="AK1" s="27"/>
    </row>
    <row r="2" spans="1:37" s="25" customFormat="1" ht="15" customHeight="1" x14ac:dyDescent="0.55000000000000004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X2" s="28" t="s">
        <v>80</v>
      </c>
      <c r="Y2" s="62"/>
      <c r="Z2" s="28"/>
      <c r="AA2" s="28"/>
      <c r="AB2" s="28"/>
      <c r="AC2" s="28"/>
      <c r="AD2" s="28"/>
      <c r="AE2" s="28"/>
      <c r="AF2" s="82">
        <v>45754</v>
      </c>
      <c r="AG2" s="83"/>
      <c r="AH2" s="83"/>
      <c r="AI2" s="83"/>
      <c r="AJ2" s="83"/>
      <c r="AK2" s="27"/>
    </row>
    <row r="3" spans="1:37" s="25" customFormat="1" ht="15" customHeight="1" x14ac:dyDescent="0.55000000000000004">
      <c r="A3" s="29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25" customFormat="1" ht="15" customHeight="1" x14ac:dyDescent="0.55000000000000004">
      <c r="A4" s="29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</row>
    <row r="5" spans="1:37" s="25" customFormat="1" ht="15" customHeight="1" x14ac:dyDescent="0.55000000000000004">
      <c r="A5" s="84" t="s">
        <v>147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</row>
    <row r="6" spans="1:37" s="25" customFormat="1" ht="15" customHeight="1" x14ac:dyDescent="0.55000000000000004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 spans="1:37" s="25" customFormat="1" ht="15" customHeight="1" x14ac:dyDescent="0.55000000000000004">
      <c r="A7" s="29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 spans="1:37" s="25" customFormat="1" ht="15" customHeight="1" x14ac:dyDescent="0.55000000000000004">
      <c r="A8" s="29"/>
      <c r="X8" s="27" t="s">
        <v>81</v>
      </c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 spans="1:37" s="25" customFormat="1" ht="15" customHeight="1" x14ac:dyDescent="0.55000000000000004">
      <c r="A9" s="29"/>
      <c r="X9" s="27" t="s">
        <v>82</v>
      </c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spans="1:37" s="25" customFormat="1" ht="15" customHeight="1" x14ac:dyDescent="0.55000000000000004">
      <c r="A10" s="29"/>
      <c r="X10" s="27" t="s">
        <v>83</v>
      </c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 spans="1:37" s="25" customFormat="1" ht="15" customHeight="1" x14ac:dyDescent="0.55000000000000004">
      <c r="A11" s="86" t="s">
        <v>84</v>
      </c>
      <c r="B11" s="86"/>
      <c r="C11" s="86"/>
      <c r="D11" s="86"/>
      <c r="E11" s="86"/>
      <c r="F11" s="88">
        <f>AE46</f>
        <v>2484000</v>
      </c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X11" s="27" t="s">
        <v>144</v>
      </c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 spans="1:37" s="25" customFormat="1" ht="15" customHeight="1" x14ac:dyDescent="0.55000000000000004">
      <c r="A12" s="87"/>
      <c r="B12" s="87"/>
      <c r="C12" s="87"/>
      <c r="D12" s="87"/>
      <c r="E12" s="87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X12" s="27" t="s">
        <v>145</v>
      </c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 spans="1:37" s="25" customFormat="1" ht="15" customHeight="1" x14ac:dyDescent="0.55000000000000004">
      <c r="A13" s="29"/>
    </row>
    <row r="14" spans="1:37" s="25" customFormat="1" ht="15" customHeight="1" x14ac:dyDescent="0.55000000000000004">
      <c r="A14" s="29"/>
    </row>
    <row r="15" spans="1:37" s="25" customFormat="1" ht="15" customHeight="1" x14ac:dyDescent="0.55000000000000004">
      <c r="A15" s="29"/>
    </row>
    <row r="16" spans="1:37" ht="15" customHeight="1" x14ac:dyDescent="0.55000000000000004">
      <c r="A16" s="30" t="s">
        <v>85</v>
      </c>
    </row>
    <row r="18" spans="1:16" ht="15" customHeight="1" x14ac:dyDescent="0.55000000000000004">
      <c r="B18" s="27" t="s">
        <v>151</v>
      </c>
    </row>
    <row r="20" spans="1:16" ht="15" customHeight="1" x14ac:dyDescent="0.55000000000000004">
      <c r="A20" s="27"/>
    </row>
    <row r="21" spans="1:16" ht="15" customHeight="1" x14ac:dyDescent="0.55000000000000004">
      <c r="A21" s="30" t="s">
        <v>86</v>
      </c>
      <c r="P21" s="30"/>
    </row>
    <row r="22" spans="1:16" ht="15" customHeight="1" x14ac:dyDescent="0.55000000000000004">
      <c r="A22" s="27"/>
    </row>
    <row r="23" spans="1:16" ht="15" customHeight="1" x14ac:dyDescent="0.55000000000000004">
      <c r="A23" s="27"/>
      <c r="B23" s="27" t="s">
        <v>143</v>
      </c>
    </row>
    <row r="24" spans="1:16" ht="15" customHeight="1" x14ac:dyDescent="0.55000000000000004">
      <c r="A24" s="27"/>
    </row>
    <row r="25" spans="1:16" ht="15" customHeight="1" x14ac:dyDescent="0.55000000000000004">
      <c r="A25" s="27"/>
    </row>
    <row r="26" spans="1:16" ht="15" customHeight="1" x14ac:dyDescent="0.55000000000000004">
      <c r="A26" s="30" t="s">
        <v>87</v>
      </c>
    </row>
    <row r="27" spans="1:16" ht="15" customHeight="1" x14ac:dyDescent="0.55000000000000004">
      <c r="A27" s="27"/>
    </row>
    <row r="28" spans="1:16" ht="15" customHeight="1" x14ac:dyDescent="0.55000000000000004">
      <c r="A28" s="27"/>
      <c r="B28" s="27" t="s">
        <v>140</v>
      </c>
    </row>
    <row r="29" spans="1:16" ht="15" customHeight="1" x14ac:dyDescent="0.55000000000000004">
      <c r="A29" s="27"/>
    </row>
    <row r="30" spans="1:16" ht="15" customHeight="1" x14ac:dyDescent="0.55000000000000004">
      <c r="A30" s="27"/>
    </row>
    <row r="31" spans="1:16" ht="15" customHeight="1" x14ac:dyDescent="0.55000000000000004">
      <c r="A31" s="30" t="s">
        <v>88</v>
      </c>
    </row>
    <row r="33" spans="1:43" ht="15" customHeight="1" x14ac:dyDescent="0.55000000000000004">
      <c r="A33" s="27"/>
      <c r="B33" s="27" t="s">
        <v>152</v>
      </c>
    </row>
    <row r="34" spans="1:43" ht="15" customHeight="1" x14ac:dyDescent="0.55000000000000004">
      <c r="A34" s="27"/>
    </row>
    <row r="35" spans="1:43" ht="15" customHeight="1" x14ac:dyDescent="0.55000000000000004">
      <c r="A35" s="27"/>
    </row>
    <row r="36" spans="1:43" ht="15" customHeight="1" x14ac:dyDescent="0.55000000000000004">
      <c r="A36" s="30" t="s">
        <v>89</v>
      </c>
    </row>
    <row r="37" spans="1:43" ht="15" customHeight="1" x14ac:dyDescent="0.55000000000000004">
      <c r="A37" s="27"/>
    </row>
    <row r="38" spans="1:43" ht="15" customHeight="1" x14ac:dyDescent="0.55000000000000004">
      <c r="A38" s="27"/>
      <c r="B38" s="31" t="s">
        <v>18</v>
      </c>
      <c r="C38" s="32"/>
      <c r="D38" s="31" t="s">
        <v>90</v>
      </c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1"/>
      <c r="U38" s="33"/>
      <c r="V38" s="33"/>
      <c r="W38" s="33"/>
      <c r="X38" s="32"/>
      <c r="Y38" s="31" t="s">
        <v>92</v>
      </c>
      <c r="Z38" s="33"/>
      <c r="AA38" s="33"/>
      <c r="AB38" s="33"/>
      <c r="AC38" s="33"/>
      <c r="AD38" s="33"/>
      <c r="AE38" s="31" t="s">
        <v>93</v>
      </c>
      <c r="AF38" s="33"/>
      <c r="AG38" s="33"/>
      <c r="AH38" s="33"/>
      <c r="AI38" s="33"/>
      <c r="AJ38" s="32"/>
      <c r="AM38" s="31" t="s">
        <v>91</v>
      </c>
      <c r="AN38" s="33"/>
      <c r="AO38" s="33"/>
      <c r="AP38" s="33"/>
      <c r="AQ38" s="32"/>
    </row>
    <row r="39" spans="1:43" ht="15" customHeight="1" x14ac:dyDescent="0.55000000000000004">
      <c r="A39" s="27"/>
      <c r="B39" s="72">
        <v>1</v>
      </c>
      <c r="C39" s="73"/>
      <c r="D39" s="34" t="s">
        <v>196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63"/>
      <c r="U39" s="63"/>
      <c r="V39" s="63"/>
      <c r="W39" s="63"/>
      <c r="X39" s="64"/>
      <c r="Y39" s="74">
        <v>0.15</v>
      </c>
      <c r="Z39" s="75"/>
      <c r="AA39" s="75"/>
      <c r="AB39" s="75"/>
      <c r="AC39" s="76" t="s">
        <v>94</v>
      </c>
      <c r="AD39" s="77"/>
      <c r="AE39" s="78">
        <f t="shared" ref="AE39:AE45" si="0">AM39*Y39</f>
        <v>150000</v>
      </c>
      <c r="AF39" s="79"/>
      <c r="AG39" s="79"/>
      <c r="AH39" s="79"/>
      <c r="AI39" s="79"/>
      <c r="AJ39" s="80"/>
      <c r="AM39" s="78">
        <v>1000000</v>
      </c>
      <c r="AN39" s="79"/>
      <c r="AO39" s="79"/>
      <c r="AP39" s="79"/>
      <c r="AQ39" s="80"/>
    </row>
    <row r="40" spans="1:43" ht="15" customHeight="1" x14ac:dyDescent="0.55000000000000004">
      <c r="A40" s="27"/>
      <c r="B40" s="72">
        <v>2</v>
      </c>
      <c r="C40" s="73"/>
      <c r="D40" s="34" t="s">
        <v>197</v>
      </c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63"/>
      <c r="U40" s="63"/>
      <c r="V40" s="63"/>
      <c r="W40" s="63"/>
      <c r="X40" s="64"/>
      <c r="Y40" s="74">
        <v>0.2</v>
      </c>
      <c r="Z40" s="75"/>
      <c r="AA40" s="75"/>
      <c r="AB40" s="75"/>
      <c r="AC40" s="76" t="s">
        <v>94</v>
      </c>
      <c r="AD40" s="77"/>
      <c r="AE40" s="78">
        <f t="shared" si="0"/>
        <v>200000</v>
      </c>
      <c r="AF40" s="79"/>
      <c r="AG40" s="79"/>
      <c r="AH40" s="79"/>
      <c r="AI40" s="79"/>
      <c r="AJ40" s="80"/>
      <c r="AM40" s="78">
        <v>1000000</v>
      </c>
      <c r="AN40" s="79"/>
      <c r="AO40" s="79"/>
      <c r="AP40" s="79"/>
      <c r="AQ40" s="80"/>
    </row>
    <row r="41" spans="1:43" ht="15" customHeight="1" x14ac:dyDescent="0.55000000000000004">
      <c r="A41" s="27"/>
      <c r="B41" s="72">
        <v>3</v>
      </c>
      <c r="C41" s="73"/>
      <c r="D41" s="34" t="s">
        <v>199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63"/>
      <c r="U41" s="63"/>
      <c r="V41" s="63"/>
      <c r="W41" s="63"/>
      <c r="X41" s="64"/>
      <c r="Y41" s="74">
        <v>0.1</v>
      </c>
      <c r="Z41" s="75"/>
      <c r="AA41" s="75"/>
      <c r="AB41" s="75"/>
      <c r="AC41" s="76" t="s">
        <v>94</v>
      </c>
      <c r="AD41" s="77"/>
      <c r="AE41" s="78">
        <f t="shared" si="0"/>
        <v>100000</v>
      </c>
      <c r="AF41" s="79"/>
      <c r="AG41" s="79"/>
      <c r="AH41" s="79"/>
      <c r="AI41" s="79"/>
      <c r="AJ41" s="80"/>
      <c r="AM41" s="78">
        <v>1000000</v>
      </c>
      <c r="AN41" s="79"/>
      <c r="AO41" s="79"/>
      <c r="AP41" s="79"/>
      <c r="AQ41" s="80"/>
    </row>
    <row r="42" spans="1:43" ht="15" customHeight="1" x14ac:dyDescent="0.55000000000000004">
      <c r="A42" s="27"/>
      <c r="B42" s="72">
        <v>4</v>
      </c>
      <c r="C42" s="73"/>
      <c r="D42" s="34" t="s">
        <v>202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63"/>
      <c r="U42" s="63"/>
      <c r="V42" s="63"/>
      <c r="W42" s="63"/>
      <c r="X42" s="64"/>
      <c r="Y42" s="74">
        <v>0.25</v>
      </c>
      <c r="Z42" s="75"/>
      <c r="AA42" s="75"/>
      <c r="AB42" s="75"/>
      <c r="AC42" s="76" t="s">
        <v>94</v>
      </c>
      <c r="AD42" s="77"/>
      <c r="AE42" s="78">
        <f t="shared" ref="AE42:AE43" si="1">AM42*Y42</f>
        <v>250000</v>
      </c>
      <c r="AF42" s="79"/>
      <c r="AG42" s="79"/>
      <c r="AH42" s="79"/>
      <c r="AI42" s="79"/>
      <c r="AJ42" s="80"/>
      <c r="AM42" s="78">
        <v>1000000</v>
      </c>
      <c r="AN42" s="79"/>
      <c r="AO42" s="79"/>
      <c r="AP42" s="79"/>
      <c r="AQ42" s="80"/>
    </row>
    <row r="43" spans="1:43" ht="15" customHeight="1" x14ac:dyDescent="0.55000000000000004">
      <c r="A43" s="27"/>
      <c r="B43" s="72">
        <v>5</v>
      </c>
      <c r="C43" s="73"/>
      <c r="D43" s="34" t="s">
        <v>187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63"/>
      <c r="U43" s="63"/>
      <c r="V43" s="63"/>
      <c r="W43" s="63"/>
      <c r="X43" s="64"/>
      <c r="Y43" s="74">
        <v>0.75</v>
      </c>
      <c r="Z43" s="75"/>
      <c r="AA43" s="75"/>
      <c r="AB43" s="75"/>
      <c r="AC43" s="76" t="s">
        <v>94</v>
      </c>
      <c r="AD43" s="77"/>
      <c r="AE43" s="78">
        <f t="shared" si="1"/>
        <v>750000</v>
      </c>
      <c r="AF43" s="79"/>
      <c r="AG43" s="79"/>
      <c r="AH43" s="79"/>
      <c r="AI43" s="79"/>
      <c r="AJ43" s="80"/>
      <c r="AM43" s="78">
        <v>1000000</v>
      </c>
      <c r="AN43" s="79"/>
      <c r="AO43" s="79"/>
      <c r="AP43" s="79"/>
      <c r="AQ43" s="80"/>
    </row>
    <row r="44" spans="1:43" ht="15" customHeight="1" x14ac:dyDescent="0.55000000000000004">
      <c r="A44" s="27"/>
      <c r="B44" s="72">
        <v>6</v>
      </c>
      <c r="C44" s="73"/>
      <c r="D44" s="34" t="s">
        <v>188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63"/>
      <c r="U44" s="63"/>
      <c r="V44" s="63"/>
      <c r="W44" s="63"/>
      <c r="X44" s="64"/>
      <c r="Y44" s="74">
        <v>0.6</v>
      </c>
      <c r="Z44" s="75"/>
      <c r="AA44" s="75"/>
      <c r="AB44" s="75"/>
      <c r="AC44" s="76" t="s">
        <v>94</v>
      </c>
      <c r="AD44" s="77"/>
      <c r="AE44" s="78">
        <f t="shared" si="0"/>
        <v>600000</v>
      </c>
      <c r="AF44" s="79"/>
      <c r="AG44" s="79"/>
      <c r="AH44" s="79"/>
      <c r="AI44" s="79"/>
      <c r="AJ44" s="80"/>
      <c r="AM44" s="78">
        <v>1000000</v>
      </c>
      <c r="AN44" s="79"/>
      <c r="AO44" s="79"/>
      <c r="AP44" s="79"/>
      <c r="AQ44" s="80"/>
    </row>
    <row r="45" spans="1:43" ht="15" customHeight="1" x14ac:dyDescent="0.55000000000000004">
      <c r="A45" s="27"/>
      <c r="B45" s="72">
        <v>7</v>
      </c>
      <c r="C45" s="73"/>
      <c r="D45" s="34" t="s">
        <v>95</v>
      </c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63"/>
      <c r="U45" s="63"/>
      <c r="V45" s="63"/>
      <c r="W45" s="63"/>
      <c r="X45" s="64"/>
      <c r="Y45" s="74">
        <f>ROUNDUP(SUM(Y39:AB44)*0.15,2)</f>
        <v>0.31</v>
      </c>
      <c r="Z45" s="75"/>
      <c r="AA45" s="75"/>
      <c r="AB45" s="75"/>
      <c r="AC45" s="76" t="s">
        <v>94</v>
      </c>
      <c r="AD45" s="77"/>
      <c r="AE45" s="78">
        <f t="shared" si="0"/>
        <v>434000</v>
      </c>
      <c r="AF45" s="79"/>
      <c r="AG45" s="79"/>
      <c r="AH45" s="79"/>
      <c r="AI45" s="79"/>
      <c r="AJ45" s="80"/>
      <c r="AM45" s="78">
        <v>1400000</v>
      </c>
      <c r="AN45" s="79"/>
      <c r="AO45" s="79"/>
      <c r="AP45" s="79"/>
      <c r="AQ45" s="80"/>
    </row>
    <row r="46" spans="1:43" ht="15" customHeight="1" x14ac:dyDescent="0.55000000000000004">
      <c r="A46" s="27"/>
      <c r="B46" s="72"/>
      <c r="C46" s="73"/>
      <c r="D46" s="34" t="s">
        <v>96</v>
      </c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63"/>
      <c r="U46" s="63"/>
      <c r="V46" s="63"/>
      <c r="W46" s="63"/>
      <c r="X46" s="64"/>
      <c r="Y46" s="74">
        <f>SUM(Y39:AB45)</f>
        <v>2.36</v>
      </c>
      <c r="Z46" s="75"/>
      <c r="AA46" s="75"/>
      <c r="AB46" s="75"/>
      <c r="AC46" s="76" t="s">
        <v>94</v>
      </c>
      <c r="AD46" s="77"/>
      <c r="AE46" s="78">
        <f>SUM(AE39:AJ45)</f>
        <v>2484000</v>
      </c>
      <c r="AF46" s="79"/>
      <c r="AG46" s="79"/>
      <c r="AH46" s="79"/>
      <c r="AI46" s="79"/>
      <c r="AJ46" s="80"/>
      <c r="AM46" s="78" t="s">
        <v>97</v>
      </c>
      <c r="AN46" s="79"/>
      <c r="AO46" s="79"/>
      <c r="AP46" s="79"/>
      <c r="AQ46" s="80"/>
    </row>
    <row r="47" spans="1:43" ht="15" customHeight="1" x14ac:dyDescent="0.55000000000000004">
      <c r="A47" s="27"/>
    </row>
    <row r="48" spans="1:43" ht="15" customHeight="1" x14ac:dyDescent="0.55000000000000004">
      <c r="A48" s="27"/>
    </row>
    <row r="49" spans="1:36" ht="15" customHeight="1" x14ac:dyDescent="0.55000000000000004">
      <c r="A49" s="30" t="s">
        <v>98</v>
      </c>
      <c r="T49" s="48"/>
    </row>
    <row r="50" spans="1:36" ht="15" customHeight="1" x14ac:dyDescent="0.55000000000000004">
      <c r="A50" s="27"/>
    </row>
    <row r="51" spans="1:36" ht="15" customHeight="1" x14ac:dyDescent="0.55000000000000004">
      <c r="A51" s="27"/>
      <c r="B51" s="36" t="s">
        <v>99</v>
      </c>
      <c r="C51" s="27" t="s">
        <v>184</v>
      </c>
      <c r="T51" s="36" t="s">
        <v>99</v>
      </c>
      <c r="U51" s="27" t="s">
        <v>213</v>
      </c>
    </row>
    <row r="52" spans="1:36" ht="15" customHeight="1" x14ac:dyDescent="0.55000000000000004">
      <c r="A52" s="27"/>
      <c r="B52" s="36" t="s">
        <v>99</v>
      </c>
      <c r="C52" s="48" t="s">
        <v>186</v>
      </c>
      <c r="T52" s="48" t="s">
        <v>150</v>
      </c>
      <c r="U52" s="27" t="s">
        <v>185</v>
      </c>
    </row>
    <row r="53" spans="1:36" ht="15" customHeight="1" x14ac:dyDescent="0.55000000000000004">
      <c r="A53" s="27"/>
      <c r="B53" s="37"/>
    </row>
    <row r="54" spans="1:36" ht="15" customHeight="1" x14ac:dyDescent="0.55000000000000004">
      <c r="A54" s="30" t="s">
        <v>100</v>
      </c>
    </row>
    <row r="55" spans="1:36" ht="15" customHeight="1" x14ac:dyDescent="0.55000000000000004">
      <c r="A55" s="27"/>
    </row>
    <row r="56" spans="1:36" ht="15" customHeight="1" x14ac:dyDescent="0.55000000000000004">
      <c r="A56" s="27"/>
      <c r="B56" s="38" t="s">
        <v>18</v>
      </c>
      <c r="C56" s="39"/>
      <c r="D56" s="38" t="s">
        <v>101</v>
      </c>
      <c r="E56" s="40"/>
      <c r="F56" s="40"/>
      <c r="G56" s="40"/>
      <c r="H56" s="40"/>
      <c r="I56" s="31" t="s">
        <v>100</v>
      </c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2"/>
    </row>
    <row r="57" spans="1:36" ht="15" customHeight="1" x14ac:dyDescent="0.55000000000000004">
      <c r="A57" s="27"/>
      <c r="B57" s="41">
        <v>1</v>
      </c>
      <c r="C57" s="42"/>
      <c r="D57" s="43" t="s">
        <v>198</v>
      </c>
      <c r="E57" s="44"/>
      <c r="F57" s="44"/>
      <c r="G57" s="44"/>
      <c r="H57" s="44"/>
      <c r="I57" s="49" t="s">
        <v>205</v>
      </c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1"/>
    </row>
    <row r="58" spans="1:36" ht="15" customHeight="1" x14ac:dyDescent="0.55000000000000004">
      <c r="A58" s="27"/>
      <c r="B58" s="52"/>
      <c r="C58" s="53"/>
      <c r="D58" s="54"/>
      <c r="E58" s="55"/>
      <c r="F58" s="55"/>
      <c r="G58" s="55"/>
      <c r="H58" s="55"/>
      <c r="I58" s="56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8"/>
    </row>
    <row r="59" spans="1:36" ht="15" customHeight="1" x14ac:dyDescent="0.55000000000000004">
      <c r="A59" s="27"/>
      <c r="B59" s="41">
        <v>2</v>
      </c>
      <c r="C59" s="42"/>
      <c r="D59" s="43" t="s">
        <v>197</v>
      </c>
      <c r="E59" s="44"/>
      <c r="F59" s="44"/>
      <c r="G59" s="44"/>
      <c r="H59" s="44"/>
      <c r="I59" s="49" t="s">
        <v>206</v>
      </c>
      <c r="AJ59" s="46"/>
    </row>
    <row r="60" spans="1:36" ht="15" customHeight="1" x14ac:dyDescent="0.55000000000000004">
      <c r="A60" s="27"/>
      <c r="B60" s="52"/>
      <c r="C60" s="53"/>
      <c r="D60" s="54"/>
      <c r="E60" s="55"/>
      <c r="F60" s="55"/>
      <c r="G60" s="55"/>
      <c r="H60" s="55"/>
      <c r="I60" s="56"/>
      <c r="AJ60" s="46"/>
    </row>
    <row r="61" spans="1:36" ht="15" customHeight="1" x14ac:dyDescent="0.55000000000000004">
      <c r="A61" s="27"/>
      <c r="B61" s="41">
        <v>3</v>
      </c>
      <c r="C61" s="42"/>
      <c r="D61" s="47" t="s">
        <v>199</v>
      </c>
      <c r="E61" s="48"/>
      <c r="F61" s="48"/>
      <c r="G61" s="48"/>
      <c r="H61" s="48"/>
      <c r="I61" s="45" t="s">
        <v>211</v>
      </c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1"/>
    </row>
    <row r="62" spans="1:36" ht="15" customHeight="1" x14ac:dyDescent="0.55000000000000004">
      <c r="A62" s="27"/>
      <c r="B62" s="52"/>
      <c r="C62" s="53"/>
      <c r="D62" s="54"/>
      <c r="E62" s="55"/>
      <c r="F62" s="55"/>
      <c r="G62" s="55"/>
      <c r="H62" s="55"/>
      <c r="I62" s="45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8"/>
    </row>
    <row r="63" spans="1:36" ht="15" customHeight="1" x14ac:dyDescent="0.55000000000000004">
      <c r="A63" s="27"/>
      <c r="B63" s="41">
        <v>4</v>
      </c>
      <c r="C63" s="42"/>
      <c r="D63" s="43" t="s">
        <v>203</v>
      </c>
      <c r="E63" s="48"/>
      <c r="F63" s="48"/>
      <c r="G63" s="48"/>
      <c r="H63" s="48"/>
      <c r="I63" s="49" t="s">
        <v>212</v>
      </c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1"/>
    </row>
    <row r="64" spans="1:36" ht="15" customHeight="1" x14ac:dyDescent="0.55000000000000004">
      <c r="A64" s="27"/>
      <c r="B64" s="52"/>
      <c r="C64" s="53"/>
      <c r="D64" s="54"/>
      <c r="E64" s="55"/>
      <c r="F64" s="55"/>
      <c r="G64" s="55"/>
      <c r="H64" s="55"/>
      <c r="I64" s="56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8"/>
    </row>
    <row r="65" spans="1:36" ht="15" customHeight="1" x14ac:dyDescent="0.55000000000000004">
      <c r="A65" s="27"/>
      <c r="B65" s="41">
        <v>5</v>
      </c>
      <c r="C65" s="42"/>
      <c r="D65" s="43" t="s">
        <v>142</v>
      </c>
      <c r="E65" s="48"/>
      <c r="F65" s="48"/>
      <c r="G65" s="48"/>
      <c r="H65" s="48"/>
      <c r="I65" s="49" t="s">
        <v>214</v>
      </c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1"/>
    </row>
    <row r="66" spans="1:36" ht="15" customHeight="1" x14ac:dyDescent="0.55000000000000004">
      <c r="A66" s="27"/>
      <c r="B66" s="52"/>
      <c r="C66" s="53"/>
      <c r="D66" s="54"/>
      <c r="E66" s="55"/>
      <c r="F66" s="55"/>
      <c r="G66" s="55"/>
      <c r="H66" s="55"/>
      <c r="I66" s="56" t="s">
        <v>216</v>
      </c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8"/>
    </row>
    <row r="67" spans="1:36" ht="15" customHeight="1" x14ac:dyDescent="0.55000000000000004">
      <c r="A67" s="27"/>
      <c r="B67" s="41">
        <v>6</v>
      </c>
      <c r="C67" s="42"/>
      <c r="D67" s="43" t="s">
        <v>189</v>
      </c>
      <c r="E67" s="48"/>
      <c r="F67" s="48"/>
      <c r="G67" s="48"/>
      <c r="H67" s="48"/>
      <c r="I67" s="49" t="s">
        <v>215</v>
      </c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1"/>
    </row>
    <row r="68" spans="1:36" ht="15" customHeight="1" x14ac:dyDescent="0.55000000000000004">
      <c r="A68" s="27"/>
      <c r="B68" s="52"/>
      <c r="C68" s="53"/>
      <c r="D68" s="54"/>
      <c r="E68" s="55"/>
      <c r="F68" s="55"/>
      <c r="G68" s="55"/>
      <c r="H68" s="55"/>
      <c r="I68" s="56" t="s">
        <v>216</v>
      </c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8"/>
    </row>
    <row r="69" spans="1:36" ht="15" customHeight="1" x14ac:dyDescent="0.55000000000000004">
      <c r="A69" s="27"/>
      <c r="B69" s="41">
        <v>7</v>
      </c>
      <c r="C69" s="42"/>
      <c r="D69" s="43" t="s">
        <v>102</v>
      </c>
      <c r="E69" s="44"/>
      <c r="F69" s="44"/>
      <c r="G69" s="44"/>
      <c r="H69" s="44"/>
      <c r="I69" s="45" t="s">
        <v>103</v>
      </c>
      <c r="AJ69" s="46"/>
    </row>
    <row r="70" spans="1:36" ht="15" customHeight="1" x14ac:dyDescent="0.55000000000000004">
      <c r="A70" s="27"/>
      <c r="B70" s="52"/>
      <c r="C70" s="53"/>
      <c r="D70" s="54"/>
      <c r="E70" s="55"/>
      <c r="F70" s="55"/>
      <c r="G70" s="55"/>
      <c r="H70" s="55"/>
      <c r="I70" s="56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8"/>
    </row>
    <row r="71" spans="1:36" ht="15" customHeight="1" x14ac:dyDescent="0.55000000000000004">
      <c r="A71" s="27"/>
    </row>
    <row r="72" spans="1:36" ht="15" customHeight="1" x14ac:dyDescent="0.55000000000000004">
      <c r="A72" s="27"/>
    </row>
    <row r="73" spans="1:36" ht="15" customHeight="1" x14ac:dyDescent="0.55000000000000004">
      <c r="A73" s="30" t="s">
        <v>153</v>
      </c>
    </row>
    <row r="74" spans="1:36" ht="15" customHeight="1" x14ac:dyDescent="0.55000000000000004">
      <c r="A74" s="27"/>
    </row>
    <row r="75" spans="1:36" ht="15" customHeight="1" x14ac:dyDescent="0.55000000000000004">
      <c r="A75" s="27"/>
      <c r="B75" s="27" t="s">
        <v>165</v>
      </c>
    </row>
    <row r="76" spans="1:36" ht="15" customHeight="1" x14ac:dyDescent="0.55000000000000004">
      <c r="A76" s="27"/>
      <c r="C76" s="27" t="s">
        <v>154</v>
      </c>
    </row>
    <row r="77" spans="1:36" ht="15" customHeight="1" x14ac:dyDescent="0.55000000000000004">
      <c r="A77" s="27"/>
      <c r="B77" s="27" t="s">
        <v>166</v>
      </c>
    </row>
    <row r="78" spans="1:36" ht="15" customHeight="1" x14ac:dyDescent="0.55000000000000004">
      <c r="A78" s="27"/>
      <c r="C78" s="27" t="s">
        <v>155</v>
      </c>
    </row>
    <row r="79" spans="1:36" ht="15" customHeight="1" x14ac:dyDescent="0.55000000000000004">
      <c r="A79" s="27"/>
      <c r="C79" s="27" t="s">
        <v>156</v>
      </c>
    </row>
    <row r="80" spans="1:36" ht="15" customHeight="1" x14ac:dyDescent="0.55000000000000004">
      <c r="A80" s="27"/>
      <c r="C80" s="27" t="s">
        <v>157</v>
      </c>
    </row>
    <row r="81" spans="1:3" ht="15" customHeight="1" x14ac:dyDescent="0.55000000000000004">
      <c r="A81" s="27"/>
      <c r="C81" s="27" t="s">
        <v>158</v>
      </c>
    </row>
    <row r="82" spans="1:3" ht="15" customHeight="1" x14ac:dyDescent="0.55000000000000004">
      <c r="A82" s="27"/>
      <c r="B82" s="27" t="s">
        <v>167</v>
      </c>
    </row>
    <row r="83" spans="1:3" ht="15" customHeight="1" x14ac:dyDescent="0.55000000000000004">
      <c r="A83" s="27"/>
      <c r="C83" s="27" t="s">
        <v>218</v>
      </c>
    </row>
    <row r="84" spans="1:3" ht="15" customHeight="1" x14ac:dyDescent="0.55000000000000004">
      <c r="A84" s="27"/>
      <c r="B84" s="27" t="s">
        <v>168</v>
      </c>
    </row>
    <row r="85" spans="1:3" ht="15" customHeight="1" x14ac:dyDescent="0.55000000000000004">
      <c r="A85" s="27"/>
      <c r="C85" s="27" t="s">
        <v>159</v>
      </c>
    </row>
    <row r="86" spans="1:3" ht="15" customHeight="1" x14ac:dyDescent="0.55000000000000004">
      <c r="A86" s="27"/>
      <c r="C86" s="27" t="s">
        <v>160</v>
      </c>
    </row>
    <row r="87" spans="1:3" ht="15" customHeight="1" x14ac:dyDescent="0.55000000000000004">
      <c r="A87" s="27"/>
      <c r="B87" s="27" t="s">
        <v>169</v>
      </c>
    </row>
    <row r="88" spans="1:3" ht="15" customHeight="1" x14ac:dyDescent="0.55000000000000004">
      <c r="A88" s="27"/>
      <c r="C88" s="27" t="s">
        <v>161</v>
      </c>
    </row>
    <row r="89" spans="1:3" ht="15" customHeight="1" x14ac:dyDescent="0.55000000000000004">
      <c r="A89" s="27"/>
      <c r="C89" s="27" t="s">
        <v>162</v>
      </c>
    </row>
    <row r="90" spans="1:3" ht="15" customHeight="1" x14ac:dyDescent="0.55000000000000004">
      <c r="A90" s="27"/>
      <c r="C90" s="27" t="s">
        <v>163</v>
      </c>
    </row>
    <row r="91" spans="1:3" ht="15" customHeight="1" x14ac:dyDescent="0.55000000000000004">
      <c r="A91" s="27"/>
      <c r="C91" s="27" t="s">
        <v>164</v>
      </c>
    </row>
    <row r="92" spans="1:3" ht="15" customHeight="1" x14ac:dyDescent="0.55000000000000004">
      <c r="A92" s="27"/>
    </row>
    <row r="93" spans="1:3" ht="15" customHeight="1" x14ac:dyDescent="0.55000000000000004">
      <c r="A93" s="27"/>
      <c r="B93" s="27" t="s">
        <v>208</v>
      </c>
    </row>
    <row r="94" spans="1:3" ht="15" customHeight="1" x14ac:dyDescent="0.55000000000000004">
      <c r="A94" s="27"/>
      <c r="B94" s="27" t="s">
        <v>219</v>
      </c>
    </row>
    <row r="95" spans="1:3" ht="15" customHeight="1" x14ac:dyDescent="0.55000000000000004">
      <c r="A95" s="27"/>
      <c r="B95" s="27" t="s">
        <v>209</v>
      </c>
    </row>
    <row r="96" spans="1:3" ht="15" customHeight="1" x14ac:dyDescent="0.55000000000000004">
      <c r="A96" s="27"/>
    </row>
    <row r="97" spans="1:35" ht="15" customHeight="1" x14ac:dyDescent="0.55000000000000004">
      <c r="A97" s="27"/>
    </row>
    <row r="98" spans="1:35" ht="15" customHeight="1" x14ac:dyDescent="0.55000000000000004">
      <c r="A98" s="30" t="s">
        <v>104</v>
      </c>
    </row>
    <row r="99" spans="1:35" ht="15" customHeight="1" x14ac:dyDescent="0.55000000000000004">
      <c r="B99" s="37"/>
    </row>
    <row r="100" spans="1:35" ht="15" customHeight="1" x14ac:dyDescent="0.55000000000000004">
      <c r="A100" s="27"/>
      <c r="B100" s="38" t="s">
        <v>18</v>
      </c>
      <c r="C100" s="39"/>
      <c r="D100" s="38" t="s">
        <v>101</v>
      </c>
      <c r="E100" s="40"/>
      <c r="F100" s="40"/>
      <c r="G100" s="40"/>
      <c r="H100" s="40"/>
      <c r="I100" s="31" t="s">
        <v>105</v>
      </c>
      <c r="J100" s="33"/>
      <c r="K100" s="32"/>
      <c r="L100" s="31" t="s">
        <v>106</v>
      </c>
      <c r="M100" s="33"/>
      <c r="N100" s="32"/>
      <c r="O100" s="31" t="s">
        <v>107</v>
      </c>
      <c r="P100" s="33"/>
      <c r="Q100" s="32"/>
      <c r="R100" s="31" t="s">
        <v>108</v>
      </c>
      <c r="S100" s="33"/>
      <c r="T100" s="32"/>
      <c r="U100" s="31" t="s">
        <v>109</v>
      </c>
      <c r="V100" s="33"/>
      <c r="W100" s="32"/>
      <c r="X100" s="31" t="s">
        <v>110</v>
      </c>
      <c r="Y100" s="33"/>
      <c r="Z100" s="32"/>
      <c r="AA100" s="33" t="s">
        <v>111</v>
      </c>
      <c r="AB100" s="33"/>
      <c r="AC100" s="32"/>
      <c r="AD100" s="33" t="s">
        <v>148</v>
      </c>
      <c r="AE100" s="33"/>
      <c r="AF100" s="32"/>
      <c r="AG100" s="33" t="s">
        <v>149</v>
      </c>
      <c r="AH100" s="33"/>
      <c r="AI100" s="32"/>
    </row>
    <row r="101" spans="1:35" ht="15" customHeight="1" x14ac:dyDescent="0.55000000000000004">
      <c r="A101" s="27"/>
      <c r="B101" s="41">
        <v>1</v>
      </c>
      <c r="C101" s="42"/>
      <c r="D101" s="43" t="s">
        <v>198</v>
      </c>
      <c r="E101" s="44"/>
      <c r="F101" s="44"/>
      <c r="G101" s="44"/>
      <c r="H101" s="44"/>
      <c r="I101" s="43"/>
      <c r="J101" s="50"/>
      <c r="K101" s="51"/>
      <c r="L101" s="43"/>
      <c r="M101" s="50"/>
      <c r="N101" s="51"/>
      <c r="O101" s="43"/>
      <c r="P101" s="50"/>
      <c r="Q101" s="51"/>
      <c r="R101" s="43"/>
      <c r="S101" s="50"/>
      <c r="T101" s="51"/>
      <c r="U101" s="43"/>
      <c r="V101" s="50"/>
      <c r="W101" s="51"/>
      <c r="X101" s="43"/>
      <c r="Y101" s="50"/>
      <c r="Z101" s="51"/>
      <c r="AA101" s="50"/>
      <c r="AB101" s="50"/>
      <c r="AC101" s="51"/>
      <c r="AD101" s="50"/>
      <c r="AE101" s="50"/>
      <c r="AF101" s="51"/>
      <c r="AG101" s="50"/>
      <c r="AH101" s="50"/>
      <c r="AI101" s="51"/>
    </row>
    <row r="102" spans="1:35" ht="15" customHeight="1" x14ac:dyDescent="0.55000000000000004">
      <c r="A102" s="27"/>
      <c r="B102" s="52"/>
      <c r="C102" s="53"/>
      <c r="D102" s="54"/>
      <c r="E102" s="55"/>
      <c r="F102" s="55"/>
      <c r="G102" s="55"/>
      <c r="H102" s="55"/>
      <c r="I102" s="54"/>
      <c r="J102" s="57"/>
      <c r="K102" s="58"/>
      <c r="L102" s="54"/>
      <c r="M102" s="57"/>
      <c r="N102" s="58"/>
      <c r="O102" s="54"/>
      <c r="P102" s="57"/>
      <c r="Q102" s="58"/>
      <c r="R102" s="54"/>
      <c r="S102" s="57"/>
      <c r="T102" s="58"/>
      <c r="U102" s="54"/>
      <c r="V102" s="57"/>
      <c r="W102" s="58"/>
      <c r="X102" s="54"/>
      <c r="Y102" s="57"/>
      <c r="Z102" s="58"/>
      <c r="AA102" s="57"/>
      <c r="AB102" s="57"/>
      <c r="AC102" s="58"/>
      <c r="AD102" s="57"/>
      <c r="AE102" s="57"/>
      <c r="AF102" s="58"/>
      <c r="AG102" s="57"/>
      <c r="AH102" s="57"/>
      <c r="AI102" s="58"/>
    </row>
    <row r="103" spans="1:35" ht="15" customHeight="1" x14ac:dyDescent="0.55000000000000004">
      <c r="A103" s="27"/>
      <c r="B103" s="41">
        <v>2</v>
      </c>
      <c r="C103" s="42"/>
      <c r="D103" s="43" t="s">
        <v>197</v>
      </c>
      <c r="E103" s="44"/>
      <c r="F103" s="44"/>
      <c r="G103" s="44"/>
      <c r="H103" s="44"/>
      <c r="I103" s="43"/>
      <c r="J103" s="50"/>
      <c r="K103" s="51"/>
      <c r="L103" s="43"/>
      <c r="M103" s="50"/>
      <c r="N103" s="51"/>
      <c r="O103" s="43"/>
      <c r="P103" s="50"/>
      <c r="Q103" s="51"/>
      <c r="R103" s="43"/>
      <c r="S103" s="50"/>
      <c r="T103" s="51"/>
      <c r="U103" s="43"/>
      <c r="V103" s="50"/>
      <c r="W103" s="51"/>
      <c r="X103" s="43"/>
      <c r="Y103" s="50"/>
      <c r="Z103" s="51"/>
      <c r="AA103" s="50"/>
      <c r="AB103" s="50"/>
      <c r="AC103" s="51"/>
      <c r="AD103" s="50"/>
      <c r="AE103" s="50"/>
      <c r="AF103" s="51"/>
      <c r="AG103" s="50"/>
      <c r="AH103" s="50"/>
      <c r="AI103" s="51"/>
    </row>
    <row r="104" spans="1:35" ht="15" customHeight="1" x14ac:dyDescent="0.55000000000000004">
      <c r="A104" s="27"/>
      <c r="B104" s="52"/>
      <c r="C104" s="53"/>
      <c r="D104" s="54"/>
      <c r="E104" s="55"/>
      <c r="F104" s="55"/>
      <c r="G104" s="55"/>
      <c r="H104" s="55"/>
      <c r="I104" s="54"/>
      <c r="J104" s="57"/>
      <c r="K104" s="58"/>
      <c r="L104" s="54"/>
      <c r="M104" s="57"/>
      <c r="N104" s="58"/>
      <c r="O104" s="54"/>
      <c r="P104" s="57"/>
      <c r="Q104" s="58"/>
      <c r="R104" s="54"/>
      <c r="S104" s="57"/>
      <c r="T104" s="58"/>
      <c r="U104" s="54"/>
      <c r="V104" s="57"/>
      <c r="W104" s="58"/>
      <c r="X104" s="54"/>
      <c r="Y104" s="57"/>
      <c r="Z104" s="58"/>
      <c r="AA104" s="57"/>
      <c r="AB104" s="57"/>
      <c r="AC104" s="58"/>
      <c r="AD104" s="57"/>
      <c r="AE104" s="57"/>
      <c r="AF104" s="58"/>
      <c r="AG104" s="57"/>
      <c r="AH104" s="57"/>
      <c r="AI104" s="58"/>
    </row>
    <row r="105" spans="1:35" ht="15" customHeight="1" x14ac:dyDescent="0.55000000000000004">
      <c r="A105" s="27"/>
      <c r="B105" s="41">
        <v>3</v>
      </c>
      <c r="C105" s="42"/>
      <c r="D105" s="47" t="s">
        <v>199</v>
      </c>
      <c r="E105" s="48"/>
      <c r="F105" s="48"/>
      <c r="G105" s="48"/>
      <c r="H105" s="48"/>
      <c r="I105" s="47"/>
      <c r="K105" s="46"/>
      <c r="L105" s="47"/>
      <c r="N105" s="46"/>
      <c r="O105" s="47"/>
      <c r="Q105" s="46"/>
      <c r="R105" s="47"/>
      <c r="T105" s="46"/>
      <c r="U105" s="47"/>
      <c r="W105" s="46"/>
      <c r="X105" s="47"/>
      <c r="Z105" s="46"/>
      <c r="AC105" s="46"/>
      <c r="AF105" s="46"/>
      <c r="AI105" s="46"/>
    </row>
    <row r="106" spans="1:35" ht="15" customHeight="1" x14ac:dyDescent="0.55000000000000004">
      <c r="A106" s="27"/>
      <c r="B106" s="52"/>
      <c r="C106" s="53"/>
      <c r="D106" s="54"/>
      <c r="E106" s="55"/>
      <c r="F106" s="55"/>
      <c r="G106" s="55"/>
      <c r="H106" s="55"/>
      <c r="I106" s="54"/>
      <c r="J106" s="57"/>
      <c r="K106" s="58"/>
      <c r="L106" s="54"/>
      <c r="M106" s="57"/>
      <c r="N106" s="58"/>
      <c r="O106" s="54"/>
      <c r="P106" s="57"/>
      <c r="Q106" s="58"/>
      <c r="R106" s="54"/>
      <c r="S106" s="57"/>
      <c r="T106" s="58"/>
      <c r="U106" s="54"/>
      <c r="V106" s="57"/>
      <c r="W106" s="58"/>
      <c r="X106" s="54"/>
      <c r="Y106" s="57"/>
      <c r="Z106" s="58"/>
      <c r="AA106" s="57"/>
      <c r="AB106" s="57"/>
      <c r="AC106" s="58"/>
      <c r="AD106" s="57"/>
      <c r="AE106" s="57"/>
      <c r="AF106" s="58"/>
      <c r="AG106" s="57"/>
      <c r="AH106" s="57"/>
      <c r="AI106" s="58"/>
    </row>
    <row r="107" spans="1:35" ht="15" customHeight="1" x14ac:dyDescent="0.55000000000000004">
      <c r="A107" s="27"/>
      <c r="B107" s="41">
        <v>4</v>
      </c>
      <c r="C107" s="42"/>
      <c r="D107" s="43" t="s">
        <v>201</v>
      </c>
      <c r="E107" s="44"/>
      <c r="F107" s="44"/>
      <c r="G107" s="44"/>
      <c r="H107" s="44"/>
      <c r="I107" s="43"/>
      <c r="J107" s="50"/>
      <c r="K107" s="51"/>
      <c r="L107" s="43"/>
      <c r="M107" s="50"/>
      <c r="N107" s="51"/>
      <c r="O107" s="43"/>
      <c r="P107" s="50"/>
      <c r="Q107" s="51"/>
      <c r="R107" s="43"/>
      <c r="S107" s="50"/>
      <c r="T107" s="51"/>
      <c r="U107" s="43"/>
      <c r="V107" s="50"/>
      <c r="W107" s="51"/>
      <c r="X107" s="43"/>
      <c r="Y107" s="50"/>
      <c r="Z107" s="51"/>
      <c r="AA107" s="50"/>
      <c r="AB107" s="50"/>
      <c r="AC107" s="51"/>
      <c r="AD107" s="50"/>
      <c r="AE107" s="50"/>
      <c r="AF107" s="51"/>
      <c r="AG107" s="50"/>
      <c r="AH107" s="50"/>
      <c r="AI107" s="51"/>
    </row>
    <row r="108" spans="1:35" ht="15" customHeight="1" x14ac:dyDescent="0.55000000000000004">
      <c r="A108" s="27"/>
      <c r="B108" s="52"/>
      <c r="C108" s="53"/>
      <c r="D108" s="54"/>
      <c r="E108" s="55"/>
      <c r="F108" s="55"/>
      <c r="G108" s="55"/>
      <c r="H108" s="55"/>
      <c r="I108" s="54"/>
      <c r="J108" s="57"/>
      <c r="K108" s="58"/>
      <c r="L108" s="54"/>
      <c r="M108" s="57"/>
      <c r="N108" s="58"/>
      <c r="O108" s="54"/>
      <c r="P108" s="57"/>
      <c r="Q108" s="58"/>
      <c r="R108" s="54"/>
      <c r="S108" s="57"/>
      <c r="T108" s="58"/>
      <c r="U108" s="54"/>
      <c r="V108" s="57"/>
      <c r="W108" s="58"/>
      <c r="X108" s="54"/>
      <c r="Y108" s="57"/>
      <c r="Z108" s="58"/>
      <c r="AA108" s="57"/>
      <c r="AB108" s="57"/>
      <c r="AC108" s="58"/>
      <c r="AD108" s="57"/>
      <c r="AE108" s="57"/>
      <c r="AF108" s="58"/>
      <c r="AG108" s="57"/>
      <c r="AH108" s="57"/>
      <c r="AI108" s="58"/>
    </row>
    <row r="109" spans="1:35" ht="15" customHeight="1" x14ac:dyDescent="0.55000000000000004">
      <c r="A109" s="27"/>
      <c r="B109" s="41">
        <v>5</v>
      </c>
      <c r="C109" s="42"/>
      <c r="D109" s="43" t="s">
        <v>204</v>
      </c>
      <c r="E109" s="44"/>
      <c r="F109" s="44"/>
      <c r="G109" s="44"/>
      <c r="H109" s="44"/>
      <c r="I109" s="43"/>
      <c r="J109" s="50"/>
      <c r="K109" s="51"/>
      <c r="L109" s="43"/>
      <c r="M109" s="50"/>
      <c r="N109" s="51"/>
      <c r="O109" s="43"/>
      <c r="P109" s="50"/>
      <c r="Q109" s="51"/>
      <c r="R109" s="43"/>
      <c r="S109" s="50"/>
      <c r="T109" s="51"/>
      <c r="U109" s="43"/>
      <c r="V109" s="50"/>
      <c r="W109" s="51"/>
      <c r="X109" s="43"/>
      <c r="Y109" s="50"/>
      <c r="Z109" s="51"/>
      <c r="AA109" s="50"/>
      <c r="AB109" s="50"/>
      <c r="AC109" s="51"/>
      <c r="AD109" s="50"/>
      <c r="AE109" s="50"/>
      <c r="AF109" s="51"/>
      <c r="AG109" s="50"/>
      <c r="AH109" s="50"/>
      <c r="AI109" s="51"/>
    </row>
    <row r="110" spans="1:35" ht="15" customHeight="1" x14ac:dyDescent="0.55000000000000004">
      <c r="A110" s="27"/>
      <c r="B110" s="52"/>
      <c r="C110" s="53"/>
      <c r="D110" s="54"/>
      <c r="E110" s="55"/>
      <c r="F110" s="55"/>
      <c r="G110" s="55"/>
      <c r="H110" s="55"/>
      <c r="I110" s="54"/>
      <c r="J110" s="57"/>
      <c r="K110" s="58"/>
      <c r="L110" s="54"/>
      <c r="M110" s="57"/>
      <c r="N110" s="58"/>
      <c r="O110" s="54"/>
      <c r="P110" s="57"/>
      <c r="Q110" s="58"/>
      <c r="R110" s="54"/>
      <c r="S110" s="57"/>
      <c r="T110" s="58"/>
      <c r="U110" s="54"/>
      <c r="V110" s="57"/>
      <c r="W110" s="58"/>
      <c r="X110" s="54"/>
      <c r="Y110" s="57"/>
      <c r="Z110" s="58"/>
      <c r="AA110" s="57"/>
      <c r="AB110" s="57"/>
      <c r="AC110" s="58"/>
      <c r="AD110" s="57"/>
      <c r="AE110" s="57"/>
      <c r="AF110" s="58"/>
      <c r="AG110" s="57"/>
      <c r="AH110" s="57"/>
      <c r="AI110" s="58"/>
    </row>
    <row r="111" spans="1:35" ht="15" customHeight="1" x14ac:dyDescent="0.55000000000000004">
      <c r="A111" s="27"/>
      <c r="B111" s="41">
        <v>6</v>
      </c>
      <c r="C111" s="42"/>
      <c r="D111" s="43" t="s">
        <v>189</v>
      </c>
      <c r="E111" s="44"/>
      <c r="F111" s="44"/>
      <c r="G111" s="44"/>
      <c r="H111" s="44"/>
      <c r="I111" s="43"/>
      <c r="J111" s="50"/>
      <c r="K111" s="51"/>
      <c r="L111" s="43"/>
      <c r="M111" s="50"/>
      <c r="N111" s="51"/>
      <c r="O111" s="43"/>
      <c r="P111" s="50"/>
      <c r="Q111" s="51"/>
      <c r="R111" s="43"/>
      <c r="S111" s="50"/>
      <c r="T111" s="51"/>
      <c r="U111" s="43"/>
      <c r="V111" s="50"/>
      <c r="W111" s="51"/>
      <c r="X111" s="43"/>
      <c r="Y111" s="50"/>
      <c r="Z111" s="51"/>
      <c r="AA111" s="50"/>
      <c r="AB111" s="50"/>
      <c r="AC111" s="51"/>
      <c r="AD111" s="50"/>
      <c r="AE111" s="50"/>
      <c r="AF111" s="51"/>
      <c r="AG111" s="50"/>
      <c r="AH111" s="50"/>
      <c r="AI111" s="51"/>
    </row>
    <row r="112" spans="1:35" ht="15" customHeight="1" x14ac:dyDescent="0.55000000000000004">
      <c r="A112" s="27"/>
      <c r="B112" s="52"/>
      <c r="C112" s="53"/>
      <c r="D112" s="54"/>
      <c r="E112" s="55"/>
      <c r="F112" s="55"/>
      <c r="G112" s="55"/>
      <c r="H112" s="55"/>
      <c r="I112" s="54"/>
      <c r="J112" s="57"/>
      <c r="K112" s="58"/>
      <c r="L112" s="54"/>
      <c r="M112" s="57"/>
      <c r="N112" s="58"/>
      <c r="O112" s="54"/>
      <c r="P112" s="57"/>
      <c r="Q112" s="58"/>
      <c r="R112" s="54"/>
      <c r="S112" s="57"/>
      <c r="T112" s="58"/>
      <c r="U112" s="54"/>
      <c r="V112" s="57"/>
      <c r="W112" s="58"/>
      <c r="X112" s="54"/>
      <c r="Y112" s="57"/>
      <c r="Z112" s="58"/>
      <c r="AA112" s="57"/>
      <c r="AB112" s="57"/>
      <c r="AC112" s="58"/>
      <c r="AD112" s="57"/>
      <c r="AE112" s="57"/>
      <c r="AF112" s="58"/>
      <c r="AG112" s="57"/>
      <c r="AH112" s="57"/>
      <c r="AI112" s="58"/>
    </row>
    <row r="113" spans="1:33" ht="15" customHeight="1" x14ac:dyDescent="0.55000000000000004">
      <c r="A113" s="27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V113" s="59"/>
      <c r="W113" s="27" t="s">
        <v>112</v>
      </c>
      <c r="X113" s="59"/>
      <c r="Z113" s="59"/>
      <c r="AA113" s="27" t="s">
        <v>113</v>
      </c>
      <c r="AC113" s="59"/>
      <c r="AD113" s="59"/>
      <c r="AG113" s="27" t="s">
        <v>114</v>
      </c>
    </row>
    <row r="114" spans="1:33" ht="15" customHeight="1" x14ac:dyDescent="0.55000000000000004">
      <c r="A114" s="27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</row>
    <row r="115" spans="1:33" ht="15" customHeight="1" x14ac:dyDescent="0.55000000000000004">
      <c r="A115" s="30" t="s">
        <v>115</v>
      </c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</row>
    <row r="116" spans="1:33" ht="15" customHeight="1" x14ac:dyDescent="0.55000000000000004">
      <c r="A116" s="27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</row>
    <row r="117" spans="1:33" ht="15" customHeight="1" x14ac:dyDescent="0.55000000000000004">
      <c r="A117" s="27"/>
      <c r="B117" s="27" t="s">
        <v>116</v>
      </c>
      <c r="G117" s="27" t="s">
        <v>117</v>
      </c>
      <c r="H117" s="27" t="s">
        <v>118</v>
      </c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</row>
    <row r="118" spans="1:33" ht="15" customHeight="1" x14ac:dyDescent="0.55000000000000004">
      <c r="A118" s="27"/>
      <c r="B118" s="27" t="s">
        <v>119</v>
      </c>
      <c r="G118" s="27" t="s">
        <v>117</v>
      </c>
      <c r="H118" s="27" t="s">
        <v>120</v>
      </c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</row>
    <row r="119" spans="1:33" ht="15" customHeight="1" x14ac:dyDescent="0.55000000000000004">
      <c r="A119" s="27"/>
      <c r="B119" s="27" t="s">
        <v>121</v>
      </c>
      <c r="G119" s="27" t="s">
        <v>117</v>
      </c>
      <c r="H119" s="27" t="s">
        <v>122</v>
      </c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</row>
    <row r="120" spans="1:33" ht="15" customHeight="1" x14ac:dyDescent="0.55000000000000004">
      <c r="A120" s="27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</row>
    <row r="121" spans="1:33" ht="15" customHeight="1" x14ac:dyDescent="0.55000000000000004">
      <c r="A121" s="27"/>
      <c r="B121" s="27" t="s">
        <v>123</v>
      </c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</row>
    <row r="122" spans="1:33" ht="15" customHeight="1" x14ac:dyDescent="0.55000000000000004">
      <c r="A122" s="27"/>
      <c r="B122" s="27" t="s">
        <v>124</v>
      </c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</row>
    <row r="123" spans="1:33" ht="15" customHeight="1" x14ac:dyDescent="0.55000000000000004">
      <c r="A123" s="27"/>
      <c r="B123" s="27" t="s">
        <v>125</v>
      </c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</row>
    <row r="124" spans="1:33" ht="15" customHeight="1" x14ac:dyDescent="0.55000000000000004">
      <c r="A124" s="27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</row>
    <row r="125" spans="1:33" ht="15" customHeight="1" x14ac:dyDescent="0.55000000000000004">
      <c r="A125" s="27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</row>
    <row r="126" spans="1:33" ht="15" customHeight="1" x14ac:dyDescent="0.55000000000000004">
      <c r="A126" s="30" t="s">
        <v>126</v>
      </c>
    </row>
    <row r="128" spans="1:33" ht="15" customHeight="1" x14ac:dyDescent="0.55000000000000004">
      <c r="B128" s="27" t="s">
        <v>127</v>
      </c>
    </row>
    <row r="129" spans="1:3" ht="15" customHeight="1" x14ac:dyDescent="0.55000000000000004">
      <c r="C129" s="27" t="s">
        <v>128</v>
      </c>
    </row>
    <row r="130" spans="1:3" ht="15" customHeight="1" x14ac:dyDescent="0.55000000000000004">
      <c r="C130" s="27" t="s">
        <v>129</v>
      </c>
    </row>
    <row r="131" spans="1:3" ht="15" customHeight="1" x14ac:dyDescent="0.55000000000000004">
      <c r="C131" s="27" t="s">
        <v>130</v>
      </c>
    </row>
    <row r="132" spans="1:3" ht="15" customHeight="1" x14ac:dyDescent="0.55000000000000004">
      <c r="B132" s="60" t="s">
        <v>131</v>
      </c>
      <c r="C132" s="61"/>
    </row>
    <row r="133" spans="1:3" ht="15" customHeight="1" x14ac:dyDescent="0.55000000000000004">
      <c r="B133" s="27" t="s">
        <v>132</v>
      </c>
      <c r="C133" s="60"/>
    </row>
    <row r="134" spans="1:3" ht="15" customHeight="1" x14ac:dyDescent="0.55000000000000004">
      <c r="C134" s="60" t="s">
        <v>141</v>
      </c>
    </row>
    <row r="135" spans="1:3" ht="15" customHeight="1" x14ac:dyDescent="0.55000000000000004">
      <c r="C135" s="27" t="s">
        <v>133</v>
      </c>
    </row>
    <row r="137" spans="1:3" ht="15" customHeight="1" x14ac:dyDescent="0.55000000000000004">
      <c r="A137" s="27"/>
      <c r="B137" s="27" t="s">
        <v>134</v>
      </c>
    </row>
    <row r="138" spans="1:3" ht="15" customHeight="1" x14ac:dyDescent="0.55000000000000004">
      <c r="A138" s="27"/>
      <c r="C138" s="27" t="s">
        <v>135</v>
      </c>
    </row>
    <row r="139" spans="1:3" ht="15" customHeight="1" x14ac:dyDescent="0.55000000000000004">
      <c r="A139" s="27"/>
      <c r="C139" s="27" t="s">
        <v>136</v>
      </c>
    </row>
    <row r="140" spans="1:3" ht="15" customHeight="1" x14ac:dyDescent="0.55000000000000004">
      <c r="A140" s="27"/>
    </row>
    <row r="141" spans="1:3" ht="15" customHeight="1" x14ac:dyDescent="0.55000000000000004">
      <c r="A141" s="27"/>
      <c r="B141" s="27" t="s">
        <v>137</v>
      </c>
    </row>
    <row r="142" spans="1:3" ht="15" customHeight="1" x14ac:dyDescent="0.55000000000000004">
      <c r="A142" s="27"/>
      <c r="C142" s="27" t="s">
        <v>138</v>
      </c>
    </row>
    <row r="143" spans="1:3" ht="15" customHeight="1" x14ac:dyDescent="0.55000000000000004">
      <c r="A143" s="27"/>
    </row>
    <row r="144" spans="1:3" ht="15" customHeight="1" x14ac:dyDescent="0.55000000000000004">
      <c r="A144" s="27"/>
      <c r="B144" s="27" t="s">
        <v>217</v>
      </c>
    </row>
    <row r="145" spans="1:3" ht="15" customHeight="1" x14ac:dyDescent="0.55000000000000004">
      <c r="A145" s="27"/>
      <c r="C145" s="27" t="s">
        <v>220</v>
      </c>
    </row>
    <row r="146" spans="1:3" ht="15" customHeight="1" x14ac:dyDescent="0.55000000000000004">
      <c r="A146" s="27"/>
      <c r="C146" s="27" t="s">
        <v>221</v>
      </c>
    </row>
  </sheetData>
  <mergeCells count="46">
    <mergeCell ref="AM44:AQ44"/>
    <mergeCell ref="AM45:AQ45"/>
    <mergeCell ref="AM46:AQ46"/>
    <mergeCell ref="AM39:AQ39"/>
    <mergeCell ref="AM40:AQ40"/>
    <mergeCell ref="AM41:AQ41"/>
    <mergeCell ref="AM42:AQ42"/>
    <mergeCell ref="AM43:AQ43"/>
    <mergeCell ref="A1:Q2"/>
    <mergeCell ref="AF2:AJ2"/>
    <mergeCell ref="A5:Q6"/>
    <mergeCell ref="A11:E12"/>
    <mergeCell ref="F11:Q12"/>
    <mergeCell ref="AF1:AJ1"/>
    <mergeCell ref="B40:C40"/>
    <mergeCell ref="Y40:AB40"/>
    <mergeCell ref="AC40:AD40"/>
    <mergeCell ref="AE40:AJ40"/>
    <mergeCell ref="B39:C39"/>
    <mergeCell ref="Y39:AB39"/>
    <mergeCell ref="AC39:AD39"/>
    <mergeCell ref="AE39:AJ39"/>
    <mergeCell ref="B44:C44"/>
    <mergeCell ref="Y44:AB44"/>
    <mergeCell ref="AC44:AD44"/>
    <mergeCell ref="AE44:AJ44"/>
    <mergeCell ref="B41:C41"/>
    <mergeCell ref="Y41:AB41"/>
    <mergeCell ref="AC41:AD41"/>
    <mergeCell ref="AE41:AJ41"/>
    <mergeCell ref="B42:C42"/>
    <mergeCell ref="Y42:AB42"/>
    <mergeCell ref="AC42:AD42"/>
    <mergeCell ref="AE42:AJ42"/>
    <mergeCell ref="B43:C43"/>
    <mergeCell ref="Y43:AB43"/>
    <mergeCell ref="AC43:AD43"/>
    <mergeCell ref="AE43:AJ43"/>
    <mergeCell ref="B46:C46"/>
    <mergeCell ref="Y46:AB46"/>
    <mergeCell ref="AC46:AD46"/>
    <mergeCell ref="AE46:AJ46"/>
    <mergeCell ref="B45:C45"/>
    <mergeCell ref="Y45:AB45"/>
    <mergeCell ref="AC45:AD45"/>
    <mergeCell ref="AE45:AJ45"/>
  </mergeCells>
  <phoneticPr fontId="18"/>
  <printOptions horizontalCentered="1"/>
  <pageMargins left="0.39370078740157483" right="0.39370078740157483" top="0.78740157480314965" bottom="0.39370078740157483" header="0.31496062992125984" footer="0.31496062992125984"/>
  <pageSetup paperSize="9" scale="92" orientation="portrait" r:id="rId1"/>
  <headerFooter>
    <oddFooter>&amp;C&amp;10&amp;P / &amp;N</oddFooter>
  </headerFooter>
  <rowBreaks count="2" manualBreakCount="2">
    <brk id="53" max="35" man="1"/>
    <brk id="97" max="3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CFD2A-8CE3-43A9-8DF6-847390F6CB8A}">
  <dimension ref="A1:E10"/>
  <sheetViews>
    <sheetView topLeftCell="B1" workbookViewId="0"/>
  </sheetViews>
  <sheetFormatPr defaultRowHeight="18" x14ac:dyDescent="0.55000000000000004"/>
  <cols>
    <col min="2" max="2" width="18.25" bestFit="1" customWidth="1"/>
    <col min="3" max="3" width="42.5" style="68" customWidth="1"/>
    <col min="4" max="4" width="12.33203125" bestFit="1" customWidth="1"/>
    <col min="5" max="5" width="55.58203125" customWidth="1"/>
  </cols>
  <sheetData>
    <row r="1" spans="1:5" x14ac:dyDescent="0.55000000000000004">
      <c r="A1" t="s">
        <v>170</v>
      </c>
    </row>
    <row r="3" spans="1:5" x14ac:dyDescent="0.55000000000000004">
      <c r="A3" s="66" t="s">
        <v>171</v>
      </c>
      <c r="B3" s="66" t="s">
        <v>172</v>
      </c>
      <c r="C3" s="69" t="s">
        <v>173</v>
      </c>
      <c r="D3" s="66" t="s">
        <v>174</v>
      </c>
      <c r="E3" s="66" t="s">
        <v>175</v>
      </c>
    </row>
    <row r="4" spans="1:5" ht="90" x14ac:dyDescent="0.55000000000000004">
      <c r="A4" s="65">
        <v>1</v>
      </c>
      <c r="B4" s="67" t="s">
        <v>193</v>
      </c>
      <c r="C4" s="67" t="s">
        <v>176</v>
      </c>
      <c r="D4" s="71">
        <v>0.15</v>
      </c>
      <c r="E4" s="67" t="s">
        <v>190</v>
      </c>
    </row>
    <row r="5" spans="1:5" ht="198" x14ac:dyDescent="0.55000000000000004">
      <c r="A5" s="65">
        <v>2</v>
      </c>
      <c r="B5" s="67" t="s">
        <v>194</v>
      </c>
      <c r="C5" s="67" t="s">
        <v>177</v>
      </c>
      <c r="D5" s="71">
        <v>0.2</v>
      </c>
      <c r="E5" s="67" t="s">
        <v>207</v>
      </c>
    </row>
    <row r="6" spans="1:5" ht="90" x14ac:dyDescent="0.55000000000000004">
      <c r="A6" s="65">
        <v>3</v>
      </c>
      <c r="B6" s="67" t="s">
        <v>195</v>
      </c>
      <c r="C6" s="67" t="s">
        <v>182</v>
      </c>
      <c r="D6" s="71">
        <v>0.1</v>
      </c>
      <c r="E6" s="67" t="s">
        <v>210</v>
      </c>
    </row>
    <row r="7" spans="1:5" ht="90" x14ac:dyDescent="0.55000000000000004">
      <c r="A7" s="65">
        <v>4</v>
      </c>
      <c r="B7" s="67" t="s">
        <v>200</v>
      </c>
      <c r="C7" s="67" t="s">
        <v>181</v>
      </c>
      <c r="D7" s="71">
        <v>0.25</v>
      </c>
      <c r="E7" s="67" t="s">
        <v>192</v>
      </c>
    </row>
    <row r="8" spans="1:5" ht="162" x14ac:dyDescent="0.55000000000000004">
      <c r="A8" s="65">
        <v>5</v>
      </c>
      <c r="B8" s="65" t="s">
        <v>146</v>
      </c>
      <c r="C8" s="67" t="s">
        <v>180</v>
      </c>
      <c r="D8" s="71">
        <v>0.75</v>
      </c>
      <c r="E8" s="67" t="s">
        <v>191</v>
      </c>
    </row>
    <row r="9" spans="1:5" ht="36" x14ac:dyDescent="0.55000000000000004">
      <c r="A9" s="65">
        <v>6</v>
      </c>
      <c r="B9" s="65" t="s">
        <v>178</v>
      </c>
      <c r="C9" s="67" t="s">
        <v>179</v>
      </c>
      <c r="D9" s="71">
        <v>0.6</v>
      </c>
      <c r="E9" s="67" t="s">
        <v>183</v>
      </c>
    </row>
    <row r="10" spans="1:5" x14ac:dyDescent="0.55000000000000004">
      <c r="A10" s="92" t="s">
        <v>13</v>
      </c>
      <c r="B10" s="93"/>
      <c r="C10" s="94"/>
      <c r="D10" s="71">
        <f>SUM(D4:D9)</f>
        <v>2.0499999999999998</v>
      </c>
      <c r="E10" s="70"/>
    </row>
  </sheetData>
  <mergeCells count="1">
    <mergeCell ref="A10:C10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38E6-EB15-4972-A808-4E8B755ADF8D}">
  <dimension ref="A1"/>
  <sheetViews>
    <sheetView workbookViewId="0"/>
  </sheetViews>
  <sheetFormatPr defaultRowHeight="18" x14ac:dyDescent="0.55000000000000004"/>
  <cols>
    <col min="1" max="1" width="2.75" customWidth="1"/>
    <col min="12" max="12" width="5.4140625" customWidth="1"/>
  </cols>
  <sheetData/>
  <phoneticPr fontId="3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workbookViewId="0">
      <selection activeCell="A9" sqref="A9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bestFit="1" customWidth="1"/>
    <col min="3" max="3" width="14.58203125" style="2" customWidth="1"/>
    <col min="4" max="31" width="7" style="2" customWidth="1"/>
    <col min="32" max="32" width="7.83203125" style="2" customWidth="1"/>
    <col min="33" max="16384" width="8.08203125" style="2"/>
  </cols>
  <sheetData>
    <row r="1" spans="1:32" ht="19.5" x14ac:dyDescent="0.55000000000000004">
      <c r="A1" s="1" t="s">
        <v>0</v>
      </c>
      <c r="D1" s="3"/>
    </row>
    <row r="2" spans="1:32" ht="5.25" customHeight="1" x14ac:dyDescent="0.55000000000000004">
      <c r="A2" s="1"/>
    </row>
    <row r="3" spans="1:32" x14ac:dyDescent="0.55000000000000004">
      <c r="A3" s="4" t="s">
        <v>1</v>
      </c>
      <c r="B3" s="112"/>
      <c r="C3" s="113"/>
      <c r="D3" s="5" t="s">
        <v>2</v>
      </c>
      <c r="E3" s="112"/>
      <c r="F3" s="114"/>
      <c r="G3" s="114"/>
      <c r="H3" s="114"/>
      <c r="I3" s="114"/>
      <c r="J3" s="114"/>
      <c r="K3" s="114"/>
      <c r="L3" s="114"/>
      <c r="M3" s="114"/>
      <c r="N3" s="114"/>
      <c r="O3" s="113"/>
    </row>
    <row r="4" spans="1:32" x14ac:dyDescent="0.55000000000000004">
      <c r="A4" s="5" t="s">
        <v>3</v>
      </c>
      <c r="B4" s="112" t="s">
        <v>4</v>
      </c>
      <c r="C4" s="113"/>
      <c r="D4" s="5" t="s">
        <v>5</v>
      </c>
      <c r="E4" s="115"/>
      <c r="F4" s="115"/>
      <c r="G4" s="5" t="s">
        <v>6</v>
      </c>
      <c r="H4" s="116">
        <f>AF59</f>
        <v>0</v>
      </c>
      <c r="I4" s="116"/>
      <c r="J4" s="5" t="s">
        <v>7</v>
      </c>
      <c r="K4" s="117">
        <f>外注費・経費!K4</f>
        <v>0</v>
      </c>
      <c r="L4" s="117"/>
      <c r="M4" s="5" t="s">
        <v>8</v>
      </c>
      <c r="N4" s="117">
        <v>0</v>
      </c>
      <c r="O4" s="117"/>
    </row>
    <row r="5" spans="1:32" ht="6" customHeight="1" x14ac:dyDescent="0.55000000000000004"/>
    <row r="6" spans="1:32" s="6" customFormat="1" x14ac:dyDescent="0.55000000000000004">
      <c r="A6" s="98" t="s">
        <v>9</v>
      </c>
      <c r="B6" s="101" t="s">
        <v>10</v>
      </c>
      <c r="C6" s="101" t="s">
        <v>11</v>
      </c>
      <c r="D6" s="104" t="s">
        <v>12</v>
      </c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9" t="s">
        <v>13</v>
      </c>
    </row>
    <row r="7" spans="1:32" s="6" customFormat="1" ht="12" customHeight="1" x14ac:dyDescent="0.55000000000000004">
      <c r="A7" s="99"/>
      <c r="B7" s="102"/>
      <c r="C7" s="102"/>
      <c r="D7" s="105" t="s">
        <v>65</v>
      </c>
      <c r="E7" s="106"/>
      <c r="F7" s="107"/>
      <c r="G7" s="105" t="s">
        <v>66</v>
      </c>
      <c r="H7" s="106"/>
      <c r="I7" s="107"/>
      <c r="J7" s="105" t="s">
        <v>67</v>
      </c>
      <c r="K7" s="106"/>
      <c r="L7" s="107"/>
      <c r="M7" s="105" t="s">
        <v>68</v>
      </c>
      <c r="N7" s="106"/>
      <c r="O7" s="107"/>
      <c r="P7" s="105" t="s">
        <v>69</v>
      </c>
      <c r="Q7" s="106"/>
      <c r="R7" s="107"/>
      <c r="S7" s="105" t="s">
        <v>71</v>
      </c>
      <c r="T7" s="106"/>
      <c r="U7" s="107"/>
      <c r="V7" s="105" t="s">
        <v>72</v>
      </c>
      <c r="W7" s="106"/>
      <c r="X7" s="107"/>
      <c r="Y7" s="105" t="s">
        <v>73</v>
      </c>
      <c r="Z7" s="106"/>
      <c r="AA7" s="107"/>
      <c r="AB7" s="105" t="s">
        <v>74</v>
      </c>
      <c r="AC7" s="106"/>
      <c r="AD7" s="107"/>
      <c r="AE7" s="108" t="s">
        <v>14</v>
      </c>
      <c r="AF7" s="110"/>
    </row>
    <row r="8" spans="1:32" s="6" customFormat="1" x14ac:dyDescent="0.55000000000000004">
      <c r="A8" s="100"/>
      <c r="B8" s="103"/>
      <c r="C8" s="103"/>
      <c r="D8" s="7">
        <v>44197</v>
      </c>
      <c r="E8" s="7">
        <v>44228</v>
      </c>
      <c r="F8" s="7">
        <v>44256</v>
      </c>
      <c r="G8" s="7">
        <v>44287</v>
      </c>
      <c r="H8" s="7">
        <v>44317</v>
      </c>
      <c r="I8" s="7">
        <v>44348</v>
      </c>
      <c r="J8" s="7">
        <v>44378</v>
      </c>
      <c r="K8" s="7">
        <v>44409</v>
      </c>
      <c r="L8" s="7">
        <v>44440</v>
      </c>
      <c r="M8" s="7">
        <v>44470</v>
      </c>
      <c r="N8" s="7">
        <v>44501</v>
      </c>
      <c r="O8" s="7">
        <v>44531</v>
      </c>
      <c r="P8" s="7">
        <v>44562</v>
      </c>
      <c r="Q8" s="7">
        <v>44593</v>
      </c>
      <c r="R8" s="7">
        <v>44621</v>
      </c>
      <c r="S8" s="7">
        <v>44652</v>
      </c>
      <c r="T8" s="7">
        <v>44682</v>
      </c>
      <c r="U8" s="7">
        <v>44713</v>
      </c>
      <c r="V8" s="7">
        <v>44743</v>
      </c>
      <c r="W8" s="7">
        <v>44774</v>
      </c>
      <c r="X8" s="7">
        <v>44805</v>
      </c>
      <c r="Y8" s="7">
        <v>44835</v>
      </c>
      <c r="Z8" s="7">
        <v>44866</v>
      </c>
      <c r="AA8" s="7">
        <v>44896</v>
      </c>
      <c r="AB8" s="7">
        <v>44927</v>
      </c>
      <c r="AC8" s="7">
        <v>44958</v>
      </c>
      <c r="AD8" s="7">
        <v>44986</v>
      </c>
      <c r="AE8" s="103"/>
      <c r="AF8" s="111"/>
    </row>
    <row r="9" spans="1:32" x14ac:dyDescent="0.55000000000000004">
      <c r="A9" s="24"/>
      <c r="B9" s="8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0">
        <f>SUM(D9:AE9)</f>
        <v>0</v>
      </c>
    </row>
    <row r="10" spans="1:32" x14ac:dyDescent="0.55000000000000004">
      <c r="A10" s="8"/>
      <c r="B10" s="8"/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10">
        <f t="shared" ref="AF10:AF58" si="0">SUM(D10:AE10)</f>
        <v>0</v>
      </c>
    </row>
    <row r="11" spans="1:32" x14ac:dyDescent="0.55000000000000004">
      <c r="A11" s="8"/>
      <c r="B11" s="8"/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0">
        <f t="shared" si="0"/>
        <v>0</v>
      </c>
    </row>
    <row r="12" spans="1:32" x14ac:dyDescent="0.55000000000000004">
      <c r="A12" s="8"/>
      <c r="B12" s="8"/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10">
        <f t="shared" si="0"/>
        <v>0</v>
      </c>
    </row>
    <row r="13" spans="1:32" x14ac:dyDescent="0.55000000000000004">
      <c r="A13" s="8"/>
      <c r="B13" s="8"/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10">
        <f t="shared" si="0"/>
        <v>0</v>
      </c>
    </row>
    <row r="14" spans="1:32" x14ac:dyDescent="0.55000000000000004">
      <c r="A14" s="8"/>
      <c r="B14" s="8"/>
      <c r="C14" s="8"/>
      <c r="D14" s="9"/>
      <c r="E14" s="11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10">
        <f t="shared" si="0"/>
        <v>0</v>
      </c>
    </row>
    <row r="15" spans="1:32" x14ac:dyDescent="0.55000000000000004">
      <c r="A15" s="8"/>
      <c r="B15" s="8"/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10">
        <f t="shared" si="0"/>
        <v>0</v>
      </c>
    </row>
    <row r="16" spans="1:32" x14ac:dyDescent="0.55000000000000004">
      <c r="A16" s="8"/>
      <c r="B16" s="8"/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10">
        <f t="shared" si="0"/>
        <v>0</v>
      </c>
    </row>
    <row r="17" spans="1:32" x14ac:dyDescent="0.55000000000000004">
      <c r="A17" s="8"/>
      <c r="B17" s="8"/>
      <c r="C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10">
        <f t="shared" si="0"/>
        <v>0</v>
      </c>
    </row>
    <row r="18" spans="1:32" x14ac:dyDescent="0.55000000000000004">
      <c r="A18" s="8"/>
      <c r="B18" s="8"/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10">
        <f t="shared" si="0"/>
        <v>0</v>
      </c>
    </row>
    <row r="19" spans="1:32" x14ac:dyDescent="0.55000000000000004">
      <c r="A19" s="8"/>
      <c r="B19" s="8"/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0">
        <f t="shared" si="0"/>
        <v>0</v>
      </c>
    </row>
    <row r="20" spans="1:32" x14ac:dyDescent="0.55000000000000004">
      <c r="A20" s="8"/>
      <c r="B20" s="8"/>
      <c r="C20" s="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10">
        <f t="shared" si="0"/>
        <v>0</v>
      </c>
    </row>
    <row r="21" spans="1:32" x14ac:dyDescent="0.55000000000000004">
      <c r="A21" s="8"/>
      <c r="B21" s="8"/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10">
        <f t="shared" si="0"/>
        <v>0</v>
      </c>
    </row>
    <row r="22" spans="1:32" x14ac:dyDescent="0.55000000000000004">
      <c r="A22" s="8"/>
      <c r="B22" s="8"/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10">
        <f t="shared" si="0"/>
        <v>0</v>
      </c>
    </row>
    <row r="23" spans="1:32" x14ac:dyDescent="0.55000000000000004">
      <c r="A23" s="8"/>
      <c r="B23" s="8"/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10">
        <f t="shared" si="0"/>
        <v>0</v>
      </c>
    </row>
    <row r="24" spans="1:32" x14ac:dyDescent="0.55000000000000004">
      <c r="A24" s="8"/>
      <c r="B24" s="8"/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10">
        <f t="shared" si="0"/>
        <v>0</v>
      </c>
    </row>
    <row r="25" spans="1:32" x14ac:dyDescent="0.55000000000000004">
      <c r="A25" s="8"/>
      <c r="B25" s="8"/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10">
        <f t="shared" si="0"/>
        <v>0</v>
      </c>
    </row>
    <row r="26" spans="1:32" x14ac:dyDescent="0.55000000000000004">
      <c r="A26" s="8"/>
      <c r="B26" s="8"/>
      <c r="C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0">
        <f t="shared" si="0"/>
        <v>0</v>
      </c>
    </row>
    <row r="27" spans="1:32" x14ac:dyDescent="0.55000000000000004">
      <c r="A27" s="8"/>
      <c r="B27" s="8"/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10">
        <f t="shared" si="0"/>
        <v>0</v>
      </c>
    </row>
    <row r="28" spans="1:32" x14ac:dyDescent="0.55000000000000004">
      <c r="A28" s="8"/>
      <c r="B28" s="8"/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10">
        <f t="shared" si="0"/>
        <v>0</v>
      </c>
    </row>
    <row r="29" spans="1:32" x14ac:dyDescent="0.55000000000000004">
      <c r="A29" s="8"/>
      <c r="B29" s="8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10">
        <f t="shared" si="0"/>
        <v>0</v>
      </c>
    </row>
    <row r="30" spans="1:32" x14ac:dyDescent="0.55000000000000004">
      <c r="A30" s="8"/>
      <c r="B30" s="8"/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10">
        <f t="shared" si="0"/>
        <v>0</v>
      </c>
    </row>
    <row r="31" spans="1:32" x14ac:dyDescent="0.55000000000000004">
      <c r="A31" s="8"/>
      <c r="B31" s="8"/>
      <c r="C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10">
        <f t="shared" si="0"/>
        <v>0</v>
      </c>
    </row>
    <row r="32" spans="1:32" x14ac:dyDescent="0.55000000000000004">
      <c r="A32" s="8"/>
      <c r="B32" s="8"/>
      <c r="C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10">
        <f t="shared" si="0"/>
        <v>0</v>
      </c>
    </row>
    <row r="33" spans="1:32" x14ac:dyDescent="0.55000000000000004">
      <c r="A33" s="8"/>
      <c r="B33" s="8"/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10">
        <f t="shared" si="0"/>
        <v>0</v>
      </c>
    </row>
    <row r="34" spans="1:32" x14ac:dyDescent="0.55000000000000004">
      <c r="A34" s="8"/>
      <c r="B34" s="8"/>
      <c r="C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10">
        <f t="shared" si="0"/>
        <v>0</v>
      </c>
    </row>
    <row r="35" spans="1:32" x14ac:dyDescent="0.55000000000000004">
      <c r="A35" s="8"/>
      <c r="B35" s="8"/>
      <c r="C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10">
        <f t="shared" si="0"/>
        <v>0</v>
      </c>
    </row>
    <row r="36" spans="1:32" x14ac:dyDescent="0.55000000000000004">
      <c r="A36" s="8"/>
      <c r="B36" s="8"/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10">
        <f t="shared" si="0"/>
        <v>0</v>
      </c>
    </row>
    <row r="37" spans="1:32" x14ac:dyDescent="0.55000000000000004">
      <c r="A37" s="8"/>
      <c r="B37" s="8"/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10">
        <f t="shared" si="0"/>
        <v>0</v>
      </c>
    </row>
    <row r="38" spans="1:32" x14ac:dyDescent="0.55000000000000004">
      <c r="A38" s="8"/>
      <c r="B38" s="8"/>
      <c r="C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10">
        <f t="shared" si="0"/>
        <v>0</v>
      </c>
    </row>
    <row r="39" spans="1:32" x14ac:dyDescent="0.55000000000000004">
      <c r="A39" s="8"/>
      <c r="B39" s="8"/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10">
        <f t="shared" si="0"/>
        <v>0</v>
      </c>
    </row>
    <row r="40" spans="1:32" x14ac:dyDescent="0.55000000000000004">
      <c r="A40" s="8"/>
      <c r="B40" s="8"/>
      <c r="C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10">
        <f t="shared" si="0"/>
        <v>0</v>
      </c>
    </row>
    <row r="41" spans="1:32" x14ac:dyDescent="0.55000000000000004">
      <c r="A41" s="8"/>
      <c r="B41" s="8"/>
      <c r="C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10">
        <f t="shared" si="0"/>
        <v>0</v>
      </c>
    </row>
    <row r="42" spans="1:32" x14ac:dyDescent="0.55000000000000004">
      <c r="A42" s="8"/>
      <c r="B42" s="8"/>
      <c r="C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10">
        <f t="shared" si="0"/>
        <v>0</v>
      </c>
    </row>
    <row r="43" spans="1:32" x14ac:dyDescent="0.55000000000000004">
      <c r="A43" s="8"/>
      <c r="B43" s="8"/>
      <c r="C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10">
        <f t="shared" si="0"/>
        <v>0</v>
      </c>
    </row>
    <row r="44" spans="1:32" x14ac:dyDescent="0.55000000000000004">
      <c r="A44" s="8"/>
      <c r="B44" s="8"/>
      <c r="C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10">
        <f t="shared" si="0"/>
        <v>0</v>
      </c>
    </row>
    <row r="45" spans="1:32" x14ac:dyDescent="0.55000000000000004">
      <c r="A45" s="8"/>
      <c r="B45" s="8"/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10">
        <f t="shared" si="0"/>
        <v>0</v>
      </c>
    </row>
    <row r="46" spans="1:32" x14ac:dyDescent="0.55000000000000004">
      <c r="A46" s="8"/>
      <c r="B46" s="8"/>
      <c r="C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10">
        <f t="shared" si="0"/>
        <v>0</v>
      </c>
    </row>
    <row r="47" spans="1:32" x14ac:dyDescent="0.55000000000000004">
      <c r="A47" s="8"/>
      <c r="B47" s="8"/>
      <c r="C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10">
        <f t="shared" si="0"/>
        <v>0</v>
      </c>
    </row>
    <row r="48" spans="1:32" x14ac:dyDescent="0.55000000000000004">
      <c r="A48" s="8"/>
      <c r="B48" s="8"/>
      <c r="C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10">
        <f t="shared" si="0"/>
        <v>0</v>
      </c>
    </row>
    <row r="49" spans="1:32" x14ac:dyDescent="0.55000000000000004">
      <c r="A49" s="8"/>
      <c r="B49" s="8"/>
      <c r="C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10">
        <f t="shared" si="0"/>
        <v>0</v>
      </c>
    </row>
    <row r="50" spans="1:32" x14ac:dyDescent="0.55000000000000004">
      <c r="A50" s="8"/>
      <c r="B50" s="8"/>
      <c r="C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10">
        <f t="shared" si="0"/>
        <v>0</v>
      </c>
    </row>
    <row r="51" spans="1:32" x14ac:dyDescent="0.55000000000000004">
      <c r="A51" s="8"/>
      <c r="B51" s="8"/>
      <c r="C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10">
        <f t="shared" si="0"/>
        <v>0</v>
      </c>
    </row>
    <row r="52" spans="1:32" x14ac:dyDescent="0.55000000000000004">
      <c r="A52" s="8"/>
      <c r="B52" s="8"/>
      <c r="C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10">
        <f t="shared" si="0"/>
        <v>0</v>
      </c>
    </row>
    <row r="53" spans="1:32" x14ac:dyDescent="0.55000000000000004">
      <c r="A53" s="8"/>
      <c r="B53" s="8"/>
      <c r="C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10">
        <f t="shared" si="0"/>
        <v>0</v>
      </c>
    </row>
    <row r="54" spans="1:32" x14ac:dyDescent="0.55000000000000004">
      <c r="A54" s="8"/>
      <c r="B54" s="8"/>
      <c r="C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10">
        <f t="shared" si="0"/>
        <v>0</v>
      </c>
    </row>
    <row r="55" spans="1:32" x14ac:dyDescent="0.55000000000000004">
      <c r="A55" s="8"/>
      <c r="B55" s="8"/>
      <c r="C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10">
        <f t="shared" si="0"/>
        <v>0</v>
      </c>
    </row>
    <row r="56" spans="1:32" x14ac:dyDescent="0.55000000000000004">
      <c r="A56" s="8"/>
      <c r="B56" s="8"/>
      <c r="C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10">
        <f t="shared" si="0"/>
        <v>0</v>
      </c>
    </row>
    <row r="57" spans="1:32" x14ac:dyDescent="0.55000000000000004">
      <c r="A57" s="8"/>
      <c r="B57" s="8"/>
      <c r="C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10">
        <f t="shared" si="0"/>
        <v>0</v>
      </c>
    </row>
    <row r="58" spans="1:32" x14ac:dyDescent="0.55000000000000004">
      <c r="A58" s="8"/>
      <c r="B58" s="8"/>
      <c r="C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10">
        <f t="shared" si="0"/>
        <v>0</v>
      </c>
    </row>
    <row r="59" spans="1:32" x14ac:dyDescent="0.55000000000000004">
      <c r="A59" s="95" t="s">
        <v>13</v>
      </c>
      <c r="B59" s="96"/>
      <c r="C59" s="97"/>
      <c r="D59" s="10">
        <f>SUM(D9:D58)</f>
        <v>0</v>
      </c>
      <c r="E59" s="10">
        <f t="shared" ref="E59:AF59" si="1">SUM(E9:E58)</f>
        <v>0</v>
      </c>
      <c r="F59" s="10">
        <f t="shared" si="1"/>
        <v>0</v>
      </c>
      <c r="G59" s="10">
        <f t="shared" si="1"/>
        <v>0</v>
      </c>
      <c r="H59" s="10">
        <f t="shared" si="1"/>
        <v>0</v>
      </c>
      <c r="I59" s="10">
        <f t="shared" si="1"/>
        <v>0</v>
      </c>
      <c r="J59" s="10">
        <f t="shared" si="1"/>
        <v>0</v>
      </c>
      <c r="K59" s="10">
        <f t="shared" si="1"/>
        <v>0</v>
      </c>
      <c r="L59" s="10">
        <f t="shared" si="1"/>
        <v>0</v>
      </c>
      <c r="M59" s="10">
        <f t="shared" si="1"/>
        <v>0</v>
      </c>
      <c r="N59" s="10">
        <f t="shared" si="1"/>
        <v>0</v>
      </c>
      <c r="O59" s="10">
        <f t="shared" si="1"/>
        <v>0</v>
      </c>
      <c r="P59" s="10">
        <f t="shared" si="1"/>
        <v>0</v>
      </c>
      <c r="Q59" s="10">
        <f t="shared" si="1"/>
        <v>0</v>
      </c>
      <c r="R59" s="10">
        <f t="shared" si="1"/>
        <v>0</v>
      </c>
      <c r="S59" s="10">
        <f t="shared" si="1"/>
        <v>0</v>
      </c>
      <c r="T59" s="10">
        <f t="shared" si="1"/>
        <v>0</v>
      </c>
      <c r="U59" s="10">
        <f t="shared" si="1"/>
        <v>0</v>
      </c>
      <c r="V59" s="10">
        <f t="shared" si="1"/>
        <v>0</v>
      </c>
      <c r="W59" s="10">
        <f t="shared" si="1"/>
        <v>0</v>
      </c>
      <c r="X59" s="10">
        <f t="shared" si="1"/>
        <v>0</v>
      </c>
      <c r="Y59" s="10">
        <f t="shared" si="1"/>
        <v>0</v>
      </c>
      <c r="Z59" s="10">
        <f t="shared" si="1"/>
        <v>0</v>
      </c>
      <c r="AA59" s="10">
        <f t="shared" si="1"/>
        <v>0</v>
      </c>
      <c r="AB59" s="10">
        <f t="shared" si="1"/>
        <v>0</v>
      </c>
      <c r="AC59" s="10">
        <f t="shared" si="1"/>
        <v>0</v>
      </c>
      <c r="AD59" s="10">
        <f t="shared" si="1"/>
        <v>0</v>
      </c>
      <c r="AE59" s="10">
        <f t="shared" si="1"/>
        <v>0</v>
      </c>
      <c r="AF59" s="10">
        <f t="shared" si="1"/>
        <v>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A9:A58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>
      <selection activeCell="C13" sqref="C13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customWidth="1"/>
    <col min="3" max="3" width="14.58203125" style="2" customWidth="1"/>
    <col min="4" max="31" width="8.33203125" style="2" customWidth="1"/>
    <col min="32" max="32" width="11.08203125" style="2" customWidth="1"/>
    <col min="33" max="16384" width="8.08203125" style="2"/>
  </cols>
  <sheetData>
    <row r="1" spans="1:32" ht="19.5" x14ac:dyDescent="0.55000000000000004">
      <c r="A1" s="1" t="s">
        <v>15</v>
      </c>
    </row>
    <row r="2" spans="1:32" ht="5.25" customHeight="1" x14ac:dyDescent="0.55000000000000004">
      <c r="A2" s="1"/>
    </row>
    <row r="3" spans="1:32" x14ac:dyDescent="0.55000000000000004">
      <c r="A3" s="12" t="s">
        <v>1</v>
      </c>
      <c r="B3" s="112"/>
      <c r="C3" s="113"/>
      <c r="D3" s="13" t="s">
        <v>2</v>
      </c>
      <c r="E3" s="112">
        <f>社員工数!E3</f>
        <v>0</v>
      </c>
      <c r="F3" s="114"/>
      <c r="G3" s="114"/>
      <c r="H3" s="114"/>
      <c r="I3" s="114"/>
      <c r="J3" s="114"/>
      <c r="K3" s="114"/>
      <c r="L3" s="114"/>
      <c r="M3" s="114"/>
      <c r="N3" s="114"/>
      <c r="O3" s="113"/>
    </row>
    <row r="4" spans="1:32" x14ac:dyDescent="0.55000000000000004">
      <c r="A4" s="12" t="s">
        <v>3</v>
      </c>
      <c r="B4" s="112" t="s">
        <v>64</v>
      </c>
      <c r="C4" s="113"/>
      <c r="D4" s="14" t="s">
        <v>5</v>
      </c>
      <c r="E4" s="132">
        <f>社員工数!E4</f>
        <v>0</v>
      </c>
      <c r="F4" s="132"/>
      <c r="G4" s="14" t="s">
        <v>6</v>
      </c>
      <c r="H4" s="133">
        <f>社員工数!H4</f>
        <v>0</v>
      </c>
      <c r="I4" s="133"/>
      <c r="J4" s="14" t="s">
        <v>7</v>
      </c>
      <c r="K4" s="134">
        <f>AF59</f>
        <v>0</v>
      </c>
      <c r="L4" s="134"/>
      <c r="M4" s="14" t="s">
        <v>8</v>
      </c>
      <c r="N4" s="134">
        <f>SUMIF(A:A,"経費",AF:AF)</f>
        <v>0</v>
      </c>
      <c r="O4" s="134"/>
    </row>
    <row r="5" spans="1:32" ht="6" customHeight="1" x14ac:dyDescent="0.55000000000000004"/>
    <row r="6" spans="1:32" s="6" customFormat="1" x14ac:dyDescent="0.55000000000000004">
      <c r="A6" s="118" t="s">
        <v>9</v>
      </c>
      <c r="B6" s="121" t="s">
        <v>16</v>
      </c>
      <c r="C6" s="121" t="s">
        <v>11</v>
      </c>
      <c r="D6" s="124" t="s">
        <v>17</v>
      </c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9" t="s">
        <v>13</v>
      </c>
    </row>
    <row r="7" spans="1:32" s="6" customFormat="1" ht="12" customHeight="1" x14ac:dyDescent="0.55000000000000004">
      <c r="A7" s="119"/>
      <c r="B7" s="122"/>
      <c r="C7" s="122"/>
      <c r="D7" s="125" t="s">
        <v>59</v>
      </c>
      <c r="E7" s="126"/>
      <c r="F7" s="127"/>
      <c r="G7" s="125" t="s">
        <v>60</v>
      </c>
      <c r="H7" s="126"/>
      <c r="I7" s="127"/>
      <c r="J7" s="125" t="s">
        <v>61</v>
      </c>
      <c r="K7" s="126"/>
      <c r="L7" s="127"/>
      <c r="M7" s="125" t="s">
        <v>62</v>
      </c>
      <c r="N7" s="126"/>
      <c r="O7" s="127"/>
      <c r="P7" s="125" t="s">
        <v>63</v>
      </c>
      <c r="Q7" s="126"/>
      <c r="R7" s="127"/>
      <c r="S7" s="125" t="s">
        <v>70</v>
      </c>
      <c r="T7" s="126"/>
      <c r="U7" s="127"/>
      <c r="V7" s="125" t="s">
        <v>75</v>
      </c>
      <c r="W7" s="126"/>
      <c r="X7" s="127"/>
      <c r="Y7" s="125" t="s">
        <v>76</v>
      </c>
      <c r="Z7" s="126"/>
      <c r="AA7" s="127"/>
      <c r="AB7" s="125" t="s">
        <v>77</v>
      </c>
      <c r="AC7" s="126"/>
      <c r="AD7" s="127"/>
      <c r="AE7" s="128" t="s">
        <v>14</v>
      </c>
      <c r="AF7" s="130"/>
    </row>
    <row r="8" spans="1:32" s="6" customFormat="1" x14ac:dyDescent="0.55000000000000004">
      <c r="A8" s="120"/>
      <c r="B8" s="123"/>
      <c r="C8" s="123"/>
      <c r="D8" s="15">
        <v>44197</v>
      </c>
      <c r="E8" s="15">
        <v>44228</v>
      </c>
      <c r="F8" s="15">
        <v>44256</v>
      </c>
      <c r="G8" s="15">
        <v>44287</v>
      </c>
      <c r="H8" s="15">
        <v>44317</v>
      </c>
      <c r="I8" s="15">
        <v>44348</v>
      </c>
      <c r="J8" s="15">
        <v>44378</v>
      </c>
      <c r="K8" s="15">
        <v>44409</v>
      </c>
      <c r="L8" s="15">
        <v>44440</v>
      </c>
      <c r="M8" s="15">
        <v>44470</v>
      </c>
      <c r="N8" s="15">
        <v>44501</v>
      </c>
      <c r="O8" s="15">
        <v>44531</v>
      </c>
      <c r="P8" s="15">
        <v>44562</v>
      </c>
      <c r="Q8" s="15">
        <v>44593</v>
      </c>
      <c r="R8" s="15">
        <v>44621</v>
      </c>
      <c r="S8" s="15">
        <v>44652</v>
      </c>
      <c r="T8" s="15">
        <v>44682</v>
      </c>
      <c r="U8" s="15">
        <v>44713</v>
      </c>
      <c r="V8" s="15">
        <v>44743</v>
      </c>
      <c r="W8" s="15">
        <v>44774</v>
      </c>
      <c r="X8" s="15">
        <v>44805</v>
      </c>
      <c r="Y8" s="15">
        <v>44835</v>
      </c>
      <c r="Z8" s="15">
        <v>44866</v>
      </c>
      <c r="AA8" s="15">
        <v>44896</v>
      </c>
      <c r="AB8" s="15">
        <v>44927</v>
      </c>
      <c r="AC8" s="15">
        <v>44958</v>
      </c>
      <c r="AD8" s="15">
        <v>44986</v>
      </c>
      <c r="AE8" s="123"/>
      <c r="AF8" s="131"/>
    </row>
    <row r="9" spans="1:32" x14ac:dyDescent="0.55000000000000004">
      <c r="A9" s="16"/>
      <c r="B9" s="17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8">
        <f>SUM(D9:AE9)</f>
        <v>0</v>
      </c>
    </row>
    <row r="10" spans="1:32" x14ac:dyDescent="0.55000000000000004">
      <c r="A10" s="16"/>
      <c r="B10" s="17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8">
        <f t="shared" ref="AF10:AF58" si="0">SUM(D10:AE10)</f>
        <v>0</v>
      </c>
    </row>
    <row r="11" spans="1:32" x14ac:dyDescent="0.55000000000000004">
      <c r="A11" s="16"/>
      <c r="B11" s="17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8">
        <f t="shared" si="0"/>
        <v>0</v>
      </c>
    </row>
    <row r="12" spans="1:32" x14ac:dyDescent="0.55000000000000004">
      <c r="A12" s="16"/>
      <c r="B12" s="17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8">
        <f t="shared" si="0"/>
        <v>0</v>
      </c>
    </row>
    <row r="13" spans="1:32" x14ac:dyDescent="0.55000000000000004">
      <c r="A13" s="16"/>
      <c r="B13" s="17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8">
        <f t="shared" si="0"/>
        <v>0</v>
      </c>
    </row>
    <row r="14" spans="1:32" x14ac:dyDescent="0.55000000000000004">
      <c r="A14" s="16"/>
      <c r="B14" s="17"/>
      <c r="C14" s="16"/>
      <c r="D14" s="16"/>
      <c r="E14" s="19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8">
        <f t="shared" si="0"/>
        <v>0</v>
      </c>
    </row>
    <row r="15" spans="1:32" x14ac:dyDescent="0.55000000000000004">
      <c r="A15" s="16"/>
      <c r="B15" s="17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8">
        <f t="shared" si="0"/>
        <v>0</v>
      </c>
    </row>
    <row r="16" spans="1:32" x14ac:dyDescent="0.55000000000000004">
      <c r="A16" s="16"/>
      <c r="B16" s="17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8">
        <f t="shared" si="0"/>
        <v>0</v>
      </c>
    </row>
    <row r="17" spans="1:32" x14ac:dyDescent="0.55000000000000004">
      <c r="A17" s="16"/>
      <c r="B17" s="17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8">
        <f t="shared" si="0"/>
        <v>0</v>
      </c>
    </row>
    <row r="18" spans="1:32" x14ac:dyDescent="0.55000000000000004">
      <c r="A18" s="16"/>
      <c r="B18" s="17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8">
        <f t="shared" si="0"/>
        <v>0</v>
      </c>
    </row>
    <row r="19" spans="1:32" x14ac:dyDescent="0.55000000000000004">
      <c r="A19" s="16"/>
      <c r="B19" s="17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8">
        <f t="shared" si="0"/>
        <v>0</v>
      </c>
    </row>
    <row r="20" spans="1:32" x14ac:dyDescent="0.55000000000000004">
      <c r="A20" s="16"/>
      <c r="B20" s="17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8">
        <f t="shared" si="0"/>
        <v>0</v>
      </c>
    </row>
    <row r="21" spans="1:32" x14ac:dyDescent="0.55000000000000004">
      <c r="A21" s="16"/>
      <c r="B21" s="17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8">
        <f t="shared" si="0"/>
        <v>0</v>
      </c>
    </row>
    <row r="22" spans="1:32" x14ac:dyDescent="0.55000000000000004">
      <c r="A22" s="16"/>
      <c r="B22" s="17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8">
        <f t="shared" si="0"/>
        <v>0</v>
      </c>
    </row>
    <row r="23" spans="1:32" x14ac:dyDescent="0.55000000000000004">
      <c r="A23" s="16"/>
      <c r="B23" s="17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8">
        <f t="shared" si="0"/>
        <v>0</v>
      </c>
    </row>
    <row r="24" spans="1:32" x14ac:dyDescent="0.55000000000000004">
      <c r="A24" s="16"/>
      <c r="B24" s="17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8">
        <f t="shared" si="0"/>
        <v>0</v>
      </c>
    </row>
    <row r="25" spans="1:32" x14ac:dyDescent="0.55000000000000004">
      <c r="A25" s="16"/>
      <c r="B25" s="17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8">
        <f t="shared" si="0"/>
        <v>0</v>
      </c>
    </row>
    <row r="26" spans="1:32" x14ac:dyDescent="0.55000000000000004">
      <c r="A26" s="16"/>
      <c r="B26" s="17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8">
        <f t="shared" si="0"/>
        <v>0</v>
      </c>
    </row>
    <row r="27" spans="1:32" x14ac:dyDescent="0.55000000000000004">
      <c r="A27" s="16"/>
      <c r="B27" s="17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8">
        <f t="shared" si="0"/>
        <v>0</v>
      </c>
    </row>
    <row r="28" spans="1:32" x14ac:dyDescent="0.55000000000000004">
      <c r="A28" s="16"/>
      <c r="B28" s="17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8">
        <f t="shared" si="0"/>
        <v>0</v>
      </c>
    </row>
    <row r="29" spans="1:32" x14ac:dyDescent="0.55000000000000004">
      <c r="A29" s="16"/>
      <c r="B29" s="17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8">
        <f t="shared" si="0"/>
        <v>0</v>
      </c>
    </row>
    <row r="30" spans="1:32" x14ac:dyDescent="0.55000000000000004">
      <c r="A30" s="16"/>
      <c r="B30" s="17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8">
        <f t="shared" si="0"/>
        <v>0</v>
      </c>
    </row>
    <row r="31" spans="1:32" x14ac:dyDescent="0.55000000000000004">
      <c r="A31" s="16"/>
      <c r="B31" s="17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8">
        <f t="shared" si="0"/>
        <v>0</v>
      </c>
    </row>
    <row r="32" spans="1:32" x14ac:dyDescent="0.55000000000000004">
      <c r="A32" s="16"/>
      <c r="B32" s="17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8">
        <f t="shared" si="0"/>
        <v>0</v>
      </c>
    </row>
    <row r="33" spans="1:32" x14ac:dyDescent="0.55000000000000004">
      <c r="A33" s="16"/>
      <c r="B33" s="17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8">
        <f t="shared" si="0"/>
        <v>0</v>
      </c>
    </row>
    <row r="34" spans="1:32" x14ac:dyDescent="0.55000000000000004">
      <c r="A34" s="16"/>
      <c r="B34" s="17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8">
        <f t="shared" si="0"/>
        <v>0</v>
      </c>
    </row>
    <row r="35" spans="1:32" x14ac:dyDescent="0.55000000000000004">
      <c r="A35" s="16"/>
      <c r="B35" s="17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8">
        <f t="shared" si="0"/>
        <v>0</v>
      </c>
    </row>
    <row r="36" spans="1:32" x14ac:dyDescent="0.55000000000000004">
      <c r="A36" s="16"/>
      <c r="B36" s="17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8">
        <f t="shared" si="0"/>
        <v>0</v>
      </c>
    </row>
    <row r="37" spans="1:32" x14ac:dyDescent="0.55000000000000004">
      <c r="A37" s="16"/>
      <c r="B37" s="17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8">
        <f t="shared" si="0"/>
        <v>0</v>
      </c>
    </row>
    <row r="38" spans="1:32" x14ac:dyDescent="0.55000000000000004">
      <c r="A38" s="16"/>
      <c r="B38" s="17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8">
        <f t="shared" si="0"/>
        <v>0</v>
      </c>
    </row>
    <row r="39" spans="1:32" x14ac:dyDescent="0.55000000000000004">
      <c r="A39" s="16"/>
      <c r="B39" s="17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8">
        <f t="shared" si="0"/>
        <v>0</v>
      </c>
    </row>
    <row r="40" spans="1:32" x14ac:dyDescent="0.55000000000000004">
      <c r="A40" s="16"/>
      <c r="B40" s="17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8">
        <f t="shared" si="0"/>
        <v>0</v>
      </c>
    </row>
    <row r="41" spans="1:32" x14ac:dyDescent="0.55000000000000004">
      <c r="A41" s="16"/>
      <c r="B41" s="17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8">
        <f t="shared" si="0"/>
        <v>0</v>
      </c>
    </row>
    <row r="42" spans="1:32" x14ac:dyDescent="0.55000000000000004">
      <c r="A42" s="16"/>
      <c r="B42" s="17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8">
        <f t="shared" si="0"/>
        <v>0</v>
      </c>
    </row>
    <row r="43" spans="1:32" x14ac:dyDescent="0.55000000000000004">
      <c r="A43" s="16"/>
      <c r="B43" s="17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8">
        <f t="shared" si="0"/>
        <v>0</v>
      </c>
    </row>
    <row r="44" spans="1:32" x14ac:dyDescent="0.55000000000000004">
      <c r="A44" s="16"/>
      <c r="B44" s="17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8">
        <f t="shared" si="0"/>
        <v>0</v>
      </c>
    </row>
    <row r="45" spans="1:32" x14ac:dyDescent="0.55000000000000004">
      <c r="A45" s="16"/>
      <c r="B45" s="17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8">
        <f t="shared" si="0"/>
        <v>0</v>
      </c>
    </row>
    <row r="46" spans="1:32" x14ac:dyDescent="0.55000000000000004">
      <c r="A46" s="16"/>
      <c r="B46" s="17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8">
        <f t="shared" si="0"/>
        <v>0</v>
      </c>
    </row>
    <row r="47" spans="1:32" x14ac:dyDescent="0.55000000000000004">
      <c r="A47" s="16"/>
      <c r="B47" s="17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8">
        <f t="shared" si="0"/>
        <v>0</v>
      </c>
    </row>
    <row r="48" spans="1:32" x14ac:dyDescent="0.55000000000000004">
      <c r="A48" s="16"/>
      <c r="B48" s="17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8">
        <f t="shared" si="0"/>
        <v>0</v>
      </c>
    </row>
    <row r="49" spans="1:32" x14ac:dyDescent="0.55000000000000004">
      <c r="A49" s="16"/>
      <c r="B49" s="17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8">
        <f t="shared" si="0"/>
        <v>0</v>
      </c>
    </row>
    <row r="50" spans="1:32" x14ac:dyDescent="0.55000000000000004">
      <c r="A50" s="16"/>
      <c r="B50" s="17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8">
        <f t="shared" si="0"/>
        <v>0</v>
      </c>
    </row>
    <row r="51" spans="1:32" x14ac:dyDescent="0.55000000000000004">
      <c r="A51" s="16"/>
      <c r="B51" s="17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8">
        <f t="shared" si="0"/>
        <v>0</v>
      </c>
    </row>
    <row r="52" spans="1:32" x14ac:dyDescent="0.55000000000000004">
      <c r="A52" s="16"/>
      <c r="B52" s="17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8">
        <f t="shared" si="0"/>
        <v>0</v>
      </c>
    </row>
    <row r="53" spans="1:32" x14ac:dyDescent="0.55000000000000004">
      <c r="A53" s="16"/>
      <c r="B53" s="17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8">
        <f t="shared" si="0"/>
        <v>0</v>
      </c>
    </row>
    <row r="54" spans="1:32" x14ac:dyDescent="0.55000000000000004">
      <c r="A54" s="16"/>
      <c r="B54" s="17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8">
        <f t="shared" si="0"/>
        <v>0</v>
      </c>
    </row>
    <row r="55" spans="1:32" x14ac:dyDescent="0.55000000000000004">
      <c r="A55" s="16"/>
      <c r="B55" s="17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8">
        <f t="shared" si="0"/>
        <v>0</v>
      </c>
    </row>
    <row r="56" spans="1:32" x14ac:dyDescent="0.55000000000000004">
      <c r="A56" s="16"/>
      <c r="B56" s="17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8">
        <f t="shared" si="0"/>
        <v>0</v>
      </c>
    </row>
    <row r="57" spans="1:32" x14ac:dyDescent="0.55000000000000004">
      <c r="A57" s="16"/>
      <c r="B57" s="17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8">
        <f t="shared" si="0"/>
        <v>0</v>
      </c>
    </row>
    <row r="58" spans="1:32" x14ac:dyDescent="0.55000000000000004">
      <c r="A58" s="16"/>
      <c r="B58" s="17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8">
        <f t="shared" si="0"/>
        <v>0</v>
      </c>
    </row>
    <row r="59" spans="1:32" x14ac:dyDescent="0.55000000000000004">
      <c r="A59" s="95" t="s">
        <v>13</v>
      </c>
      <c r="B59" s="96"/>
      <c r="C59" s="97"/>
      <c r="D59" s="18">
        <f>SUM(D9:D58)</f>
        <v>0</v>
      </c>
      <c r="E59" s="18">
        <f t="shared" ref="E59:AF59" si="1">SUM(E9:E58)</f>
        <v>0</v>
      </c>
      <c r="F59" s="18">
        <f t="shared" si="1"/>
        <v>0</v>
      </c>
      <c r="G59" s="18">
        <f t="shared" si="1"/>
        <v>0</v>
      </c>
      <c r="H59" s="18">
        <f t="shared" si="1"/>
        <v>0</v>
      </c>
      <c r="I59" s="18">
        <f t="shared" si="1"/>
        <v>0</v>
      </c>
      <c r="J59" s="18">
        <f t="shared" si="1"/>
        <v>0</v>
      </c>
      <c r="K59" s="18">
        <f t="shared" si="1"/>
        <v>0</v>
      </c>
      <c r="L59" s="18">
        <f t="shared" si="1"/>
        <v>0</v>
      </c>
      <c r="M59" s="18">
        <f t="shared" si="1"/>
        <v>0</v>
      </c>
      <c r="N59" s="18">
        <f t="shared" si="1"/>
        <v>0</v>
      </c>
      <c r="O59" s="18">
        <f t="shared" si="1"/>
        <v>0</v>
      </c>
      <c r="P59" s="18">
        <f t="shared" si="1"/>
        <v>0</v>
      </c>
      <c r="Q59" s="18">
        <f t="shared" si="1"/>
        <v>0</v>
      </c>
      <c r="R59" s="18">
        <f t="shared" si="1"/>
        <v>0</v>
      </c>
      <c r="S59" s="18">
        <f t="shared" si="1"/>
        <v>0</v>
      </c>
      <c r="T59" s="18">
        <f t="shared" si="1"/>
        <v>0</v>
      </c>
      <c r="U59" s="18">
        <f t="shared" si="1"/>
        <v>0</v>
      </c>
      <c r="V59" s="18">
        <f t="shared" si="1"/>
        <v>0</v>
      </c>
      <c r="W59" s="18">
        <f t="shared" si="1"/>
        <v>0</v>
      </c>
      <c r="X59" s="18">
        <f t="shared" si="1"/>
        <v>0</v>
      </c>
      <c r="Y59" s="18">
        <f t="shared" si="1"/>
        <v>0</v>
      </c>
      <c r="Z59" s="18">
        <f t="shared" si="1"/>
        <v>0</v>
      </c>
      <c r="AA59" s="18">
        <f t="shared" si="1"/>
        <v>0</v>
      </c>
      <c r="AB59" s="18">
        <f t="shared" si="1"/>
        <v>0</v>
      </c>
      <c r="AC59" s="18">
        <f t="shared" si="1"/>
        <v>0</v>
      </c>
      <c r="AD59" s="18">
        <f t="shared" si="1"/>
        <v>0</v>
      </c>
      <c r="AE59" s="18">
        <f t="shared" si="1"/>
        <v>0</v>
      </c>
      <c r="AF59" s="18">
        <f t="shared" si="1"/>
        <v>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リストマスタ!$L$3:$L$4</xm:f>
          </x14:formula1>
          <xm:sqref>A9:A58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F16" sqref="F16"/>
    </sheetView>
  </sheetViews>
  <sheetFormatPr defaultColWidth="8.58203125" defaultRowHeight="18" x14ac:dyDescent="0.55000000000000004"/>
  <cols>
    <col min="1" max="1" width="4.58203125" style="21" customWidth="1"/>
    <col min="2" max="2" width="10.5" style="21" customWidth="1"/>
    <col min="3" max="3" width="22" style="21" customWidth="1"/>
    <col min="4" max="4" width="15.08203125" style="21" customWidth="1"/>
    <col min="5" max="5" width="11.08203125" style="21" customWidth="1"/>
    <col min="6" max="6" width="58.33203125" style="21" bestFit="1" customWidth="1"/>
    <col min="7" max="7" width="11.08203125" style="21" customWidth="1"/>
    <col min="8" max="8" width="5.83203125" style="21" customWidth="1"/>
    <col min="9" max="9" width="11.83203125" style="21" customWidth="1"/>
    <col min="10" max="10" width="11.08203125" style="21" customWidth="1"/>
    <col min="11" max="11" width="17.08203125" style="21" bestFit="1" customWidth="1"/>
    <col min="12" max="12" width="11.08203125" style="21" customWidth="1"/>
    <col min="13" max="16384" width="8.58203125" style="21"/>
  </cols>
  <sheetData>
    <row r="1" spans="1:12" x14ac:dyDescent="0.55000000000000004">
      <c r="A1" s="137" t="s">
        <v>18</v>
      </c>
      <c r="B1" s="20" t="s">
        <v>19</v>
      </c>
      <c r="C1" s="137" t="s">
        <v>20</v>
      </c>
      <c r="D1" s="137" t="s">
        <v>21</v>
      </c>
      <c r="E1" s="137" t="s">
        <v>22</v>
      </c>
      <c r="F1" s="137" t="s">
        <v>23</v>
      </c>
      <c r="G1" s="137" t="s">
        <v>24</v>
      </c>
      <c r="H1" s="135" t="s">
        <v>25</v>
      </c>
      <c r="I1" s="136"/>
      <c r="J1" s="137" t="s">
        <v>26</v>
      </c>
      <c r="K1" s="137" t="s">
        <v>27</v>
      </c>
      <c r="L1" s="137" t="s">
        <v>28</v>
      </c>
    </row>
    <row r="2" spans="1:12" x14ac:dyDescent="0.55000000000000004">
      <c r="A2" s="137"/>
      <c r="B2" s="20" t="s">
        <v>29</v>
      </c>
      <c r="C2" s="137"/>
      <c r="D2" s="137"/>
      <c r="E2" s="137"/>
      <c r="F2" s="137"/>
      <c r="G2" s="137"/>
      <c r="H2" s="20" t="s">
        <v>18</v>
      </c>
      <c r="I2" s="20" t="s">
        <v>30</v>
      </c>
      <c r="J2" s="137"/>
      <c r="K2" s="137"/>
      <c r="L2" s="137"/>
    </row>
    <row r="3" spans="1:12" x14ac:dyDescent="0.55000000000000004">
      <c r="A3" s="22">
        <v>1</v>
      </c>
      <c r="B3" s="23">
        <v>0.1</v>
      </c>
      <c r="C3" s="22" t="s">
        <v>31</v>
      </c>
      <c r="D3" s="22" t="s">
        <v>32</v>
      </c>
      <c r="E3" s="22" t="s">
        <v>33</v>
      </c>
      <c r="F3" s="22" t="s">
        <v>34</v>
      </c>
      <c r="G3" s="22" t="s">
        <v>35</v>
      </c>
      <c r="H3" s="22">
        <v>1</v>
      </c>
      <c r="I3" s="22" t="s">
        <v>36</v>
      </c>
      <c r="J3" s="22" t="s">
        <v>37</v>
      </c>
      <c r="K3" s="22" t="s">
        <v>38</v>
      </c>
      <c r="L3" s="22" t="s">
        <v>39</v>
      </c>
    </row>
    <row r="4" spans="1:12" x14ac:dyDescent="0.55000000000000004">
      <c r="A4" s="22">
        <v>2</v>
      </c>
      <c r="B4" s="23"/>
      <c r="C4" s="22"/>
      <c r="D4" s="22"/>
      <c r="E4" s="22" t="s">
        <v>40</v>
      </c>
      <c r="F4" s="22" t="s">
        <v>41</v>
      </c>
      <c r="G4" s="22" t="s">
        <v>42</v>
      </c>
      <c r="H4" s="22">
        <v>2</v>
      </c>
      <c r="I4" s="22" t="s">
        <v>43</v>
      </c>
      <c r="J4" s="22" t="s">
        <v>44</v>
      </c>
      <c r="K4" s="22" t="s">
        <v>45</v>
      </c>
      <c r="L4" s="22" t="s">
        <v>46</v>
      </c>
    </row>
    <row r="5" spans="1:12" x14ac:dyDescent="0.55000000000000004">
      <c r="A5" s="22">
        <v>3</v>
      </c>
      <c r="B5" s="22"/>
      <c r="C5" s="22"/>
      <c r="D5" s="22"/>
      <c r="E5" s="22"/>
      <c r="F5" s="22" t="s">
        <v>47</v>
      </c>
      <c r="G5" s="22" t="s">
        <v>48</v>
      </c>
      <c r="H5" s="22">
        <v>3</v>
      </c>
      <c r="I5" s="22" t="s">
        <v>49</v>
      </c>
      <c r="J5" s="22" t="s">
        <v>50</v>
      </c>
      <c r="K5" s="22" t="s">
        <v>51</v>
      </c>
      <c r="L5" s="22"/>
    </row>
    <row r="6" spans="1:12" x14ac:dyDescent="0.55000000000000004">
      <c r="A6" s="22">
        <v>4</v>
      </c>
      <c r="B6" s="22"/>
      <c r="C6" s="22"/>
      <c r="D6" s="22"/>
      <c r="E6" s="22"/>
      <c r="F6" s="22"/>
      <c r="G6" s="22"/>
      <c r="H6" s="22"/>
      <c r="I6" s="22"/>
      <c r="J6" s="22"/>
      <c r="K6" s="22" t="s">
        <v>52</v>
      </c>
      <c r="L6" s="22"/>
    </row>
    <row r="7" spans="1:12" x14ac:dyDescent="0.55000000000000004">
      <c r="A7" s="22">
        <v>5</v>
      </c>
      <c r="B7" s="22"/>
      <c r="C7" s="22"/>
      <c r="D7" s="22"/>
      <c r="E7" s="22"/>
      <c r="F7" s="22"/>
      <c r="G7" s="22"/>
      <c r="H7" s="22"/>
      <c r="I7" s="22"/>
      <c r="J7" s="22"/>
      <c r="K7" s="22" t="s">
        <v>53</v>
      </c>
      <c r="L7" s="22"/>
    </row>
    <row r="8" spans="1:12" x14ac:dyDescent="0.55000000000000004">
      <c r="A8" s="22">
        <v>6</v>
      </c>
      <c r="B8" s="22"/>
      <c r="C8" s="22"/>
      <c r="D8" s="22"/>
      <c r="E8" s="22"/>
      <c r="F8" s="22"/>
      <c r="G8" s="22"/>
      <c r="H8" s="22"/>
      <c r="I8" s="22"/>
      <c r="J8" s="22"/>
      <c r="K8" s="22" t="s">
        <v>54</v>
      </c>
      <c r="L8" s="22"/>
    </row>
    <row r="9" spans="1:12" x14ac:dyDescent="0.55000000000000004">
      <c r="A9" s="22">
        <v>7</v>
      </c>
      <c r="B9" s="22"/>
      <c r="C9" s="22"/>
      <c r="D9" s="22"/>
      <c r="E9" s="22"/>
      <c r="F9" s="22"/>
      <c r="G9" s="22"/>
      <c r="H9" s="22"/>
      <c r="I9" s="22"/>
      <c r="J9" s="22"/>
      <c r="K9" s="22" t="s">
        <v>55</v>
      </c>
      <c r="L9" s="22"/>
    </row>
    <row r="10" spans="1:12" x14ac:dyDescent="0.55000000000000004">
      <c r="A10" s="22">
        <v>8</v>
      </c>
      <c r="B10" s="22"/>
      <c r="C10" s="22"/>
      <c r="D10" s="22"/>
      <c r="E10" s="22"/>
      <c r="F10" s="22"/>
      <c r="G10" s="22"/>
      <c r="H10" s="22"/>
      <c r="I10" s="22"/>
      <c r="J10" s="22"/>
      <c r="K10" s="22" t="s">
        <v>56</v>
      </c>
      <c r="L10" s="22"/>
    </row>
    <row r="11" spans="1:12" x14ac:dyDescent="0.55000000000000004">
      <c r="A11" s="22">
        <v>9</v>
      </c>
      <c r="B11" s="22"/>
      <c r="C11" s="22"/>
      <c r="D11" s="22"/>
      <c r="E11" s="22"/>
      <c r="F11" s="22"/>
      <c r="G11" s="22"/>
      <c r="H11" s="22"/>
      <c r="I11" s="22"/>
      <c r="J11" s="22"/>
      <c r="K11" s="22" t="s">
        <v>57</v>
      </c>
      <c r="L11" s="22"/>
    </row>
    <row r="12" spans="1:12" x14ac:dyDescent="0.55000000000000004">
      <c r="A12" s="22">
        <v>10</v>
      </c>
      <c r="B12" s="22"/>
      <c r="C12" s="22"/>
      <c r="D12" s="22"/>
      <c r="E12" s="22"/>
      <c r="F12" s="22"/>
      <c r="G12" s="22"/>
      <c r="H12" s="22"/>
      <c r="I12" s="22"/>
      <c r="J12" s="22"/>
      <c r="K12" s="22" t="s">
        <v>58</v>
      </c>
      <c r="L12" s="22"/>
    </row>
    <row r="13" spans="1:12" x14ac:dyDescent="0.55000000000000004">
      <c r="A13" s="22">
        <v>11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4" ma:contentTypeDescription="新しいドキュメントを作成します。" ma:contentTypeScope="" ma:versionID="8d136f6bca879cb90346a66279902dfa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b8a779dc52d08a32251a6f3465a5e55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639E9A-BB28-469C-9585-2D7B5C9665CA}"/>
</file>

<file path=customXml/itemProps2.xml><?xml version="1.0" encoding="utf-8"?>
<ds:datastoreItem xmlns:ds="http://schemas.openxmlformats.org/officeDocument/2006/customXml" ds:itemID="{549F6D62-890C-4F99-9EFD-D76DA9D640DE}"/>
</file>

<file path=customXml/itemProps3.xml><?xml version="1.0" encoding="utf-8"?>
<ds:datastoreItem xmlns:ds="http://schemas.openxmlformats.org/officeDocument/2006/customXml" ds:itemID="{FC881CCC-D800-4BA5-B75D-17201FC3BA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概算見積</vt:lpstr>
      <vt:lpstr>工数明細</vt:lpstr>
      <vt:lpstr>PW変更範囲</vt:lpstr>
      <vt:lpstr>社員工数</vt:lpstr>
      <vt:lpstr>外注費・経費</vt:lpstr>
      <vt:lpstr>リストマスタ</vt:lpstr>
      <vt:lpstr>概算見積!Print_Area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髙浦 祐朗</dc:creator>
  <cp:lastModifiedBy>髙木義尚</cp:lastModifiedBy>
  <cp:lastPrinted>2025-04-07T01:56:31Z</cp:lastPrinted>
  <dcterms:created xsi:type="dcterms:W3CDTF">2021-04-22T09:34:49Z</dcterms:created>
  <dcterms:modified xsi:type="dcterms:W3CDTF">2025-04-07T01:56:57Z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