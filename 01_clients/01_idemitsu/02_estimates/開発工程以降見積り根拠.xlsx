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-takagi\Documents\エグゼwork\出光関連\開発案件\次世代研SWANシステム 縮小版共通基盤移行\01_見積り\"/>
    </mc:Choice>
  </mc:AlternateContent>
  <xr:revisionPtr revIDLastSave="0" documentId="13_ncr:1_{6E5186C2-F947-4880-8883-442E054E7293}" xr6:coauthVersionLast="47" xr6:coauthVersionMax="47" xr10:uidLastSave="{00000000-0000-0000-0000-000000000000}"/>
  <bookViews>
    <workbookView xWindow="10890" yWindow="290" windowWidth="17980" windowHeight="9590" xr2:uid="{7AC79EE6-E498-4199-9363-51E9FCF6D2E6}"/>
  </bookViews>
  <sheets>
    <sheet name="開発工程以降見積り" sheetId="1" r:id="rId1"/>
    <sheet name="工数見積もり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 s="1"/>
  <c r="C13" i="1" s="1"/>
  <c r="C25" i="1"/>
  <c r="D25" i="1"/>
  <c r="D9" i="1"/>
  <c r="D8" i="1"/>
  <c r="D7" i="1"/>
  <c r="D6" i="1"/>
  <c r="D5" i="1"/>
  <c r="D4" i="1"/>
  <c r="E7" i="2"/>
  <c r="A7" i="2"/>
  <c r="J6" i="2"/>
  <c r="I6" i="2"/>
  <c r="K6" i="2" s="1"/>
  <c r="G6" i="2"/>
  <c r="F6" i="2"/>
  <c r="B6" i="2"/>
  <c r="C6" i="2" s="1"/>
  <c r="J5" i="2"/>
  <c r="K5" i="2" s="1"/>
  <c r="I5" i="2"/>
  <c r="G5" i="2"/>
  <c r="F5" i="2"/>
  <c r="B5" i="2"/>
  <c r="C5" i="2" s="1"/>
  <c r="J4" i="2"/>
  <c r="I4" i="2"/>
  <c r="K4" i="2" s="1"/>
  <c r="F4" i="2"/>
  <c r="G4" i="2" s="1"/>
  <c r="C4" i="2"/>
  <c r="B4" i="2"/>
  <c r="J3" i="2"/>
  <c r="I3" i="2"/>
  <c r="I7" i="2" s="1"/>
  <c r="F3" i="2"/>
  <c r="G3" i="2" s="1"/>
  <c r="G7" i="2" s="1"/>
  <c r="C3" i="2"/>
  <c r="B3" i="2"/>
  <c r="D11" i="1" l="1"/>
  <c r="D13" i="1" s="1"/>
  <c r="D10" i="1"/>
  <c r="C7" i="2"/>
  <c r="K3" i="2"/>
  <c r="K7" i="2" s="1"/>
  <c r="C22" i="1" l="1"/>
  <c r="C23" i="1" l="1"/>
  <c r="D21" i="1"/>
  <c r="D20" i="1"/>
  <c r="D19" i="1"/>
  <c r="D18" i="1"/>
  <c r="D17" i="1"/>
  <c r="D16" i="1"/>
  <c r="D22" i="1" l="1"/>
  <c r="D23" i="1" s="1"/>
</calcChain>
</file>

<file path=xl/sharedStrings.xml><?xml version="1.0" encoding="utf-8"?>
<sst xmlns="http://schemas.openxmlformats.org/spreadsheetml/2006/main" count="34" uniqueCount="20">
  <si>
    <t>開発・環境構築</t>
  </si>
  <si>
    <t>結合テスト</t>
  </si>
  <si>
    <t>システムテスト</t>
  </si>
  <si>
    <t>運用テスト</t>
  </si>
  <si>
    <t>本番移行</t>
  </si>
  <si>
    <t>初期流動</t>
  </si>
  <si>
    <t>プロジェクト管理</t>
  </si>
  <si>
    <t>工程</t>
  </si>
  <si>
    <t>工数（人月）</t>
  </si>
  <si>
    <t>金額（税抜き）</t>
  </si>
  <si>
    <t>概算見積もり時結合テスト工数想定</t>
    <rPh sb="0" eb="4">
      <t>ガイサンミツ</t>
    </rPh>
    <rPh sb="6" eb="7">
      <t>ジ</t>
    </rPh>
    <rPh sb="7" eb="9">
      <t>ケツゴウ</t>
    </rPh>
    <rPh sb="12" eb="14">
      <t>コウスウ</t>
    </rPh>
    <rPh sb="14" eb="16">
      <t>ソウテイ</t>
    </rPh>
    <phoneticPr fontId="1"/>
  </si>
  <si>
    <t>追加機能分結合テスト工数想定</t>
    <rPh sb="0" eb="2">
      <t>ツイカ</t>
    </rPh>
    <rPh sb="2" eb="4">
      <t>キノウ</t>
    </rPh>
    <rPh sb="4" eb="5">
      <t>ブン</t>
    </rPh>
    <rPh sb="5" eb="7">
      <t>ケツゴウ</t>
    </rPh>
    <rPh sb="10" eb="12">
      <t>コウスウ</t>
    </rPh>
    <rPh sb="12" eb="14">
      <t>ソウテイ</t>
    </rPh>
    <phoneticPr fontId="1"/>
  </si>
  <si>
    <t>合計結合テスト工数想定</t>
    <rPh sb="0" eb="2">
      <t>ゴウケイ</t>
    </rPh>
    <rPh sb="2" eb="4">
      <t>ケツゴウ</t>
    </rPh>
    <rPh sb="7" eb="9">
      <t>コウスウ</t>
    </rPh>
    <rPh sb="9" eb="11">
      <t>ソウテイ</t>
    </rPh>
    <phoneticPr fontId="1"/>
  </si>
  <si>
    <t>元機能数</t>
    <rPh sb="0" eb="1">
      <t>モト</t>
    </rPh>
    <rPh sb="1" eb="3">
      <t>キノウ</t>
    </rPh>
    <rPh sb="3" eb="4">
      <t>スウ</t>
    </rPh>
    <phoneticPr fontId="1"/>
  </si>
  <si>
    <t>単機能工数</t>
    <rPh sb="0" eb="3">
      <t>タンキノウ</t>
    </rPh>
    <rPh sb="3" eb="5">
      <t>コウスウ</t>
    </rPh>
    <phoneticPr fontId="1"/>
  </si>
  <si>
    <t>小計工数</t>
    <rPh sb="0" eb="2">
      <t>ショウケイ</t>
    </rPh>
    <rPh sb="2" eb="4">
      <t>コウスウ</t>
    </rPh>
    <phoneticPr fontId="1"/>
  </si>
  <si>
    <t>追加機能数</t>
    <rPh sb="0" eb="2">
      <t>ツイカ</t>
    </rPh>
    <rPh sb="2" eb="4">
      <t>キノウ</t>
    </rPh>
    <rPh sb="4" eb="5">
      <t>スウ</t>
    </rPh>
    <phoneticPr fontId="1"/>
  </si>
  <si>
    <t>合計機能数</t>
    <rPh sb="0" eb="2">
      <t>ゴウケイ</t>
    </rPh>
    <rPh sb="2" eb="4">
      <t>キノウ</t>
    </rPh>
    <rPh sb="4" eb="5">
      <t>スウ</t>
    </rPh>
    <phoneticPr fontId="1"/>
  </si>
  <si>
    <t>概算見積り時</t>
    <rPh sb="0" eb="2">
      <t>ガイサン</t>
    </rPh>
    <rPh sb="2" eb="4">
      <t>ミツモ</t>
    </rPh>
    <rPh sb="5" eb="6">
      <t>ジ</t>
    </rPh>
    <phoneticPr fontId="1"/>
  </si>
  <si>
    <t>確定見積もり</t>
    <rPh sb="0" eb="2">
      <t>カクテイ</t>
    </rPh>
    <rPh sb="2" eb="4">
      <t>ミツ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</si>
</sst>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rgb="FFFFFFFF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10"/>
      <color rgb="FF323232"/>
      <name val="游ゴシック"/>
      <family val="3"/>
      <charset val="128"/>
    </font>
    <font>
      <sz val="10"/>
      <color rgb="FFFF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A3B5D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2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right" vertical="center" wrapText="1" readingOrder="1"/>
    </xf>
    <xf numFmtId="3" fontId="5" fillId="0" borderId="1" xfId="0" applyNumberFormat="1" applyFont="1" applyBorder="1" applyAlignment="1">
      <alignment horizontal="right" vertical="center" wrapText="1" readingOrder="1"/>
    </xf>
    <xf numFmtId="0" fontId="6" fillId="0" borderId="1" xfId="0" applyFont="1" applyBorder="1" applyAlignment="1">
      <alignment horizontal="right" vertical="center" wrapText="1" readingOrder="1"/>
    </xf>
    <xf numFmtId="0" fontId="7" fillId="0" borderId="1" xfId="0" applyFont="1" applyBorder="1" applyAlignment="1">
      <alignment horizontal="right" vertical="center" wrapText="1" readingOrder="1"/>
    </xf>
    <xf numFmtId="3" fontId="7" fillId="0" borderId="1" xfId="0" applyNumberFormat="1" applyFont="1" applyBorder="1" applyAlignment="1">
      <alignment horizontal="right" vertical="center" wrapText="1" readingOrder="1"/>
    </xf>
    <xf numFmtId="3" fontId="3" fillId="0" borderId="0" xfId="0" applyNumberFormat="1" applyFont="1">
      <alignment vertical="center"/>
    </xf>
    <xf numFmtId="2" fontId="3" fillId="0" borderId="0" xfId="0" applyNumberFormat="1" applyFont="1">
      <alignment vertical="center"/>
    </xf>
    <xf numFmtId="0" fontId="0" fillId="3" borderId="2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24A4-7538-44C1-862D-8A8E0C5CC8A7}">
  <dimension ref="B2:D25"/>
  <sheetViews>
    <sheetView tabSelected="1" zoomScaleNormal="100" workbookViewId="0">
      <selection activeCell="H15" sqref="H15"/>
    </sheetView>
  </sheetViews>
  <sheetFormatPr defaultRowHeight="16.5" x14ac:dyDescent="0.55000000000000004"/>
  <cols>
    <col min="1" max="1" width="8.6640625" style="3"/>
    <col min="2" max="2" width="14.75" style="3" bestFit="1" customWidth="1"/>
    <col min="3" max="3" width="11.25" style="3" bestFit="1" customWidth="1"/>
    <col min="4" max="4" width="13.08203125" style="3" bestFit="1" customWidth="1"/>
    <col min="5" max="16384" width="8.6640625" style="3"/>
  </cols>
  <sheetData>
    <row r="2" spans="2:4" ht="17" thickBot="1" x14ac:dyDescent="0.6">
      <c r="B2" s="3" t="s">
        <v>19</v>
      </c>
    </row>
    <row r="3" spans="2:4" ht="17" thickBot="1" x14ac:dyDescent="0.6">
      <c r="B3" s="4" t="s">
        <v>7</v>
      </c>
      <c r="C3" s="4" t="s">
        <v>8</v>
      </c>
      <c r="D3" s="4" t="s">
        <v>9</v>
      </c>
    </row>
    <row r="4" spans="2:4" ht="17" thickBot="1" x14ac:dyDescent="0.6">
      <c r="B4" s="5" t="s">
        <v>0</v>
      </c>
      <c r="C4" s="6">
        <v>1.5</v>
      </c>
      <c r="D4" s="7">
        <f>C4*1000000</f>
        <v>1500000</v>
      </c>
    </row>
    <row r="5" spans="2:4" ht="17" thickBot="1" x14ac:dyDescent="0.6">
      <c r="B5" s="5" t="s">
        <v>1</v>
      </c>
      <c r="C5" s="9">
        <v>2.5</v>
      </c>
      <c r="D5" s="10">
        <f t="shared" ref="D5:D9" si="0">C5*1000000</f>
        <v>2500000</v>
      </c>
    </row>
    <row r="6" spans="2:4" ht="17" thickBot="1" x14ac:dyDescent="0.6">
      <c r="B6" s="5" t="s">
        <v>2</v>
      </c>
      <c r="C6" s="6">
        <v>0.2</v>
      </c>
      <c r="D6" s="7">
        <f t="shared" si="0"/>
        <v>200000</v>
      </c>
    </row>
    <row r="7" spans="2:4" ht="17" thickBot="1" x14ac:dyDescent="0.6">
      <c r="B7" s="5" t="s">
        <v>3</v>
      </c>
      <c r="C7" s="6">
        <v>0.3</v>
      </c>
      <c r="D7" s="7">
        <f t="shared" si="0"/>
        <v>300000</v>
      </c>
    </row>
    <row r="8" spans="2:4" ht="17" thickBot="1" x14ac:dyDescent="0.6">
      <c r="B8" s="5" t="s">
        <v>4</v>
      </c>
      <c r="C8" s="6">
        <v>0.5</v>
      </c>
      <c r="D8" s="7">
        <f t="shared" si="0"/>
        <v>500000</v>
      </c>
    </row>
    <row r="9" spans="2:4" ht="17" thickBot="1" x14ac:dyDescent="0.6">
      <c r="B9" s="5" t="s">
        <v>5</v>
      </c>
      <c r="C9" s="6">
        <v>0.2</v>
      </c>
      <c r="D9" s="7">
        <f t="shared" si="0"/>
        <v>200000</v>
      </c>
    </row>
    <row r="10" spans="2:4" ht="17" thickBot="1" x14ac:dyDescent="0.6">
      <c r="B10" s="5" t="s">
        <v>6</v>
      </c>
      <c r="C10" s="6">
        <f>ROUNDUP(SUM(C4:C9)*0.15,1)</f>
        <v>0.79999999999999993</v>
      </c>
      <c r="D10" s="7">
        <f>C10*1400000</f>
        <v>1120000</v>
      </c>
    </row>
    <row r="11" spans="2:4" ht="17" thickBot="1" x14ac:dyDescent="0.6">
      <c r="C11" s="6">
        <f>SUM(C4:C10)</f>
        <v>6</v>
      </c>
      <c r="D11" s="7">
        <f>SUM(D4:D10)</f>
        <v>6320000</v>
      </c>
    </row>
    <row r="12" spans="2:4" x14ac:dyDescent="0.55000000000000004">
      <c r="C12" s="12">
        <v>1</v>
      </c>
      <c r="D12" s="3">
        <v>1080000</v>
      </c>
    </row>
    <row r="13" spans="2:4" x14ac:dyDescent="0.55000000000000004">
      <c r="C13" s="12">
        <f>SUM(C11:C12)</f>
        <v>7</v>
      </c>
      <c r="D13" s="11">
        <f>SUM(D11:D12)</f>
        <v>7400000</v>
      </c>
    </row>
    <row r="14" spans="2:4" ht="17" thickBot="1" x14ac:dyDescent="0.6">
      <c r="B14" s="3" t="s">
        <v>18</v>
      </c>
    </row>
    <row r="15" spans="2:4" ht="17" thickBot="1" x14ac:dyDescent="0.6">
      <c r="B15" s="4" t="s">
        <v>7</v>
      </c>
      <c r="C15" s="4" t="s">
        <v>8</v>
      </c>
      <c r="D15" s="4" t="s">
        <v>9</v>
      </c>
    </row>
    <row r="16" spans="2:4" ht="17" thickBot="1" x14ac:dyDescent="0.6">
      <c r="B16" s="5" t="s">
        <v>0</v>
      </c>
      <c r="C16" s="6">
        <v>1.5</v>
      </c>
      <c r="D16" s="7">
        <f>C16*1000000</f>
        <v>1500000</v>
      </c>
    </row>
    <row r="17" spans="2:4" ht="17" thickBot="1" x14ac:dyDescent="0.6">
      <c r="B17" s="5" t="s">
        <v>1</v>
      </c>
      <c r="C17" s="8">
        <v>2</v>
      </c>
      <c r="D17" s="7">
        <f t="shared" ref="D17:D21" si="1">C17*1000000</f>
        <v>2000000</v>
      </c>
    </row>
    <row r="18" spans="2:4" ht="17" thickBot="1" x14ac:dyDescent="0.6">
      <c r="B18" s="5" t="s">
        <v>2</v>
      </c>
      <c r="C18" s="6">
        <v>0.2</v>
      </c>
      <c r="D18" s="7">
        <f t="shared" si="1"/>
        <v>200000</v>
      </c>
    </row>
    <row r="19" spans="2:4" ht="17" thickBot="1" x14ac:dyDescent="0.6">
      <c r="B19" s="5" t="s">
        <v>3</v>
      </c>
      <c r="C19" s="6">
        <v>0.3</v>
      </c>
      <c r="D19" s="7">
        <f t="shared" si="1"/>
        <v>300000</v>
      </c>
    </row>
    <row r="20" spans="2:4" ht="17" thickBot="1" x14ac:dyDescent="0.6">
      <c r="B20" s="5" t="s">
        <v>4</v>
      </c>
      <c r="C20" s="6">
        <v>0.5</v>
      </c>
      <c r="D20" s="7">
        <f t="shared" si="1"/>
        <v>500000</v>
      </c>
    </row>
    <row r="21" spans="2:4" ht="17" thickBot="1" x14ac:dyDescent="0.6">
      <c r="B21" s="5" t="s">
        <v>5</v>
      </c>
      <c r="C21" s="6">
        <v>0.2</v>
      </c>
      <c r="D21" s="7">
        <f t="shared" si="1"/>
        <v>200000</v>
      </c>
    </row>
    <row r="22" spans="2:4" ht="17" thickBot="1" x14ac:dyDescent="0.6">
      <c r="B22" s="5" t="s">
        <v>6</v>
      </c>
      <c r="C22" s="6">
        <f>ROUNDUP(SUM(C16:C21)*0.15,2)</f>
        <v>0.71</v>
      </c>
      <c r="D22" s="7">
        <f>C22*1400000</f>
        <v>994000</v>
      </c>
    </row>
    <row r="23" spans="2:4" ht="17" thickBot="1" x14ac:dyDescent="0.6">
      <c r="C23" s="6">
        <f>SUM(C16:C22)</f>
        <v>5.41</v>
      </c>
      <c r="D23" s="7">
        <f>SUM(D16:D22)</f>
        <v>5694000</v>
      </c>
    </row>
    <row r="24" spans="2:4" x14ac:dyDescent="0.55000000000000004">
      <c r="C24" s="12">
        <v>1</v>
      </c>
      <c r="D24" s="3">
        <v>1080000</v>
      </c>
    </row>
    <row r="25" spans="2:4" x14ac:dyDescent="0.55000000000000004">
      <c r="C25" s="12">
        <f>SUM(C23:C24)</f>
        <v>6.41</v>
      </c>
      <c r="D25" s="11">
        <f>SUM(D23:D24)</f>
        <v>6774000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930C1-FBC7-4DA0-9BE2-892D9D64BD92}">
  <dimension ref="A1:K7"/>
  <sheetViews>
    <sheetView workbookViewId="0">
      <selection activeCell="G9" sqref="G9"/>
    </sheetView>
  </sheetViews>
  <sheetFormatPr defaultRowHeight="18" x14ac:dyDescent="0.55000000000000004"/>
  <cols>
    <col min="2" max="3" width="13.58203125" customWidth="1"/>
    <col min="5" max="5" width="10.4140625" bestFit="1" customWidth="1"/>
    <col min="6" max="8" width="10.4140625" customWidth="1"/>
    <col min="9" max="9" width="10.4140625" bestFit="1" customWidth="1"/>
  </cols>
  <sheetData>
    <row r="1" spans="1:11" x14ac:dyDescent="0.55000000000000004">
      <c r="A1" s="2" t="s">
        <v>10</v>
      </c>
      <c r="E1" s="2" t="s">
        <v>11</v>
      </c>
      <c r="I1" s="2" t="s">
        <v>12</v>
      </c>
    </row>
    <row r="2" spans="1:11" x14ac:dyDescent="0.55000000000000004">
      <c r="A2" t="s">
        <v>13</v>
      </c>
      <c r="B2" t="s">
        <v>14</v>
      </c>
      <c r="C2" t="s">
        <v>15</v>
      </c>
      <c r="E2" t="s">
        <v>16</v>
      </c>
      <c r="F2" t="s">
        <v>14</v>
      </c>
      <c r="G2" t="s">
        <v>15</v>
      </c>
      <c r="I2" t="s">
        <v>17</v>
      </c>
      <c r="J2" t="s">
        <v>14</v>
      </c>
      <c r="K2" t="s">
        <v>15</v>
      </c>
    </row>
    <row r="3" spans="1:11" x14ac:dyDescent="0.55000000000000004">
      <c r="A3">
        <v>70</v>
      </c>
      <c r="B3">
        <f>120/60/8/20</f>
        <v>1.2500000000000001E-2</v>
      </c>
      <c r="C3">
        <f>A3*B3</f>
        <v>0.875</v>
      </c>
      <c r="E3">
        <v>30</v>
      </c>
      <c r="F3">
        <f>120/60/8/20</f>
        <v>1.2500000000000001E-2</v>
      </c>
      <c r="G3">
        <f>E3*F3</f>
        <v>0.375</v>
      </c>
      <c r="I3">
        <f>A3+E3</f>
        <v>100</v>
      </c>
      <c r="J3">
        <f>120/60/8/20</f>
        <v>1.2500000000000001E-2</v>
      </c>
      <c r="K3">
        <f>I3*J3</f>
        <v>1.25</v>
      </c>
    </row>
    <row r="4" spans="1:11" x14ac:dyDescent="0.55000000000000004">
      <c r="A4">
        <v>34</v>
      </c>
      <c r="B4">
        <f>120/60/8/20</f>
        <v>1.2500000000000001E-2</v>
      </c>
      <c r="C4">
        <f t="shared" ref="C4:C6" si="0">A4*B4</f>
        <v>0.42500000000000004</v>
      </c>
      <c r="E4">
        <v>12</v>
      </c>
      <c r="F4">
        <f>120/60/8/20</f>
        <v>1.2500000000000001E-2</v>
      </c>
      <c r="G4">
        <f t="shared" ref="G4:G6" si="1">E4*F4</f>
        <v>0.15000000000000002</v>
      </c>
      <c r="I4">
        <f t="shared" ref="I4:I6" si="2">A4+E4</f>
        <v>46</v>
      </c>
      <c r="J4">
        <f>120/60/8/20</f>
        <v>1.2500000000000001E-2</v>
      </c>
      <c r="K4">
        <f t="shared" ref="K4:K6" si="3">I4*J4</f>
        <v>0.57500000000000007</v>
      </c>
    </row>
    <row r="5" spans="1:11" x14ac:dyDescent="0.55000000000000004">
      <c r="A5">
        <v>4</v>
      </c>
      <c r="B5">
        <f>480/60/8/20</f>
        <v>0.05</v>
      </c>
      <c r="C5">
        <f t="shared" si="0"/>
        <v>0.2</v>
      </c>
      <c r="E5">
        <v>0</v>
      </c>
      <c r="F5">
        <f>480/60/8/20</f>
        <v>0.05</v>
      </c>
      <c r="G5">
        <f t="shared" si="1"/>
        <v>0</v>
      </c>
      <c r="I5">
        <f t="shared" si="2"/>
        <v>4</v>
      </c>
      <c r="J5">
        <f>480/60/8/20</f>
        <v>0.05</v>
      </c>
      <c r="K5">
        <f t="shared" si="3"/>
        <v>0.2</v>
      </c>
    </row>
    <row r="6" spans="1:11" ht="18.5" thickBot="1" x14ac:dyDescent="0.6">
      <c r="A6">
        <v>9</v>
      </c>
      <c r="B6">
        <f>480/60/8/20</f>
        <v>0.05</v>
      </c>
      <c r="C6">
        <f t="shared" si="0"/>
        <v>0.45</v>
      </c>
      <c r="E6">
        <v>0</v>
      </c>
      <c r="F6">
        <f>480/60/8/20</f>
        <v>0.05</v>
      </c>
      <c r="G6">
        <f t="shared" si="1"/>
        <v>0</v>
      </c>
      <c r="I6">
        <f t="shared" si="2"/>
        <v>9</v>
      </c>
      <c r="J6">
        <f>480/60/8/20</f>
        <v>0.05</v>
      </c>
      <c r="K6">
        <f t="shared" si="3"/>
        <v>0.45</v>
      </c>
    </row>
    <row r="7" spans="1:11" ht="18.5" thickBot="1" x14ac:dyDescent="0.6">
      <c r="A7">
        <f>SUM(A3:A6)</f>
        <v>117</v>
      </c>
      <c r="C7" s="1">
        <f>SUM(C3:C6)</f>
        <v>1.95</v>
      </c>
      <c r="E7">
        <f>SUM(E3:E6)</f>
        <v>42</v>
      </c>
      <c r="G7" s="1">
        <f>SUM(G3:G6)</f>
        <v>0.52500000000000002</v>
      </c>
      <c r="I7">
        <f>SUM(I3:I6)</f>
        <v>159</v>
      </c>
      <c r="K7" s="13">
        <f>SUM(K3:K6)</f>
        <v>2.4750000000000005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D6C2DF-E7DD-4906-9F76-C023E82B29C4}"/>
</file>

<file path=customXml/itemProps2.xml><?xml version="1.0" encoding="utf-8"?>
<ds:datastoreItem xmlns:ds="http://schemas.openxmlformats.org/officeDocument/2006/customXml" ds:itemID="{B59302C9-9017-434B-9D9B-95178495280F}"/>
</file>

<file path=customXml/itemProps3.xml><?xml version="1.0" encoding="utf-8"?>
<ds:datastoreItem xmlns:ds="http://schemas.openxmlformats.org/officeDocument/2006/customXml" ds:itemID="{0CCB4F67-2BF6-4FFB-87D8-8366228C23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開発工程以降見積り</vt:lpstr>
      <vt:lpstr>工数見積もり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髙木義尚</dc:creator>
  <cp:lastModifiedBy>髙木義尚</cp:lastModifiedBy>
  <dcterms:created xsi:type="dcterms:W3CDTF">2025-09-29T09:50:26Z</dcterms:created>
  <dcterms:modified xsi:type="dcterms:W3CDTF">2025-10-01T04:56:27Z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