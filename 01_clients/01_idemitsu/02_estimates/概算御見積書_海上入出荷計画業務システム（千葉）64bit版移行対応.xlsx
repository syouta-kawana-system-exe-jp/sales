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systemexe2021.sharepoint.com/sites/-984-01_/Shared Documents/00_提案・見積/"/>
    </mc:Choice>
  </mc:AlternateContent>
  <xr:revisionPtr revIDLastSave="16" documentId="13_ncr:1_{25EDEFAC-F22C-457F-BF45-9758AD671BA9}" xr6:coauthVersionLast="47" xr6:coauthVersionMax="47" xr10:uidLastSave="{0AEEF938-F961-435C-B247-149B0310DCB5}"/>
  <bookViews>
    <workbookView xWindow="-28920" yWindow="630" windowWidth="29040" windowHeight="16440" xr2:uid="{00000000-000D-0000-FFFF-FFFF00000000}"/>
  </bookViews>
  <sheets>
    <sheet name="概算見積" sheetId="4" r:id="rId1"/>
    <sheet name="作業範囲" sheetId="8" r:id="rId2"/>
    <sheet name="社員工数" sheetId="1" state="hidden" r:id="rId3"/>
    <sheet name="外注費・経費" sheetId="2" state="hidden" r:id="rId4"/>
    <sheet name="リストマスタ" sheetId="3" state="hidden" r:id="rId5"/>
  </sheets>
  <externalReferences>
    <externalReference r:id="rId6"/>
  </externalReferences>
  <definedNames>
    <definedName name="_xlnm.Print_Area" localSheetId="0">概算見積!$A$1:$AJ$138</definedName>
    <definedName name="_xlnm.Print_Area" localSheetId="1">作業範囲!$A$1:$K$56</definedName>
    <definedName name="作業ステータス">[1]コード内訳!$A$125:$A$132</definedName>
    <definedName name="発生場所">[1]コード内訳!$A$115:$A$120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46" i="4" l="1"/>
  <c r="AE46" i="4" s="1"/>
  <c r="Y43" i="4"/>
  <c r="Y45" i="4"/>
  <c r="AE45" i="4" s="1"/>
  <c r="AE44" i="4"/>
  <c r="AE42" i="4"/>
  <c r="AE41" i="4"/>
  <c r="AE40" i="4"/>
  <c r="Y49" i="4" l="1"/>
  <c r="Y50" i="4" s="1"/>
  <c r="AE43" i="4"/>
  <c r="AE39" i="4" l="1"/>
  <c r="AE47" i="4" l="1"/>
  <c r="AE48" i="4"/>
  <c r="AE49" i="4" l="1"/>
  <c r="AE50" i="4" s="1"/>
  <c r="F11" i="4" l="1"/>
  <c r="E3" i="2"/>
  <c r="E4" i="2" l="1"/>
  <c r="AE59" i="1"/>
  <c r="AD59" i="1"/>
  <c r="AC59" i="1"/>
  <c r="AB59" i="1"/>
  <c r="AA59" i="1"/>
  <c r="Z59" i="1"/>
  <c r="Y59" i="1"/>
  <c r="X59" i="1"/>
  <c r="W59" i="1"/>
  <c r="V59" i="1"/>
  <c r="U59" i="1"/>
  <c r="T59" i="1"/>
  <c r="S59" i="1"/>
  <c r="R59" i="1"/>
  <c r="Q59" i="1"/>
  <c r="P59" i="1"/>
  <c r="O59" i="1"/>
  <c r="N59" i="1"/>
  <c r="M59" i="1"/>
  <c r="L59" i="1"/>
  <c r="K59" i="1"/>
  <c r="J59" i="1"/>
  <c r="I59" i="1"/>
  <c r="H59" i="1"/>
  <c r="G59" i="1"/>
  <c r="F59" i="1"/>
  <c r="E59" i="1"/>
  <c r="D59" i="1"/>
  <c r="AF58" i="1"/>
  <c r="AF57" i="1"/>
  <c r="AF56" i="1"/>
  <c r="AF55" i="1"/>
  <c r="AF54" i="1"/>
  <c r="AF53" i="1"/>
  <c r="AF52" i="1"/>
  <c r="AF51" i="1"/>
  <c r="AF50" i="1"/>
  <c r="AF49" i="1"/>
  <c r="AF48" i="1"/>
  <c r="AF47" i="1"/>
  <c r="AF46" i="1"/>
  <c r="AF45" i="1"/>
  <c r="AF44" i="1"/>
  <c r="AF43" i="1"/>
  <c r="AF42" i="1"/>
  <c r="AF41" i="1"/>
  <c r="AF40" i="1"/>
  <c r="AF39" i="1"/>
  <c r="AF38" i="1"/>
  <c r="AF37" i="1"/>
  <c r="AF36" i="1"/>
  <c r="AF35" i="1"/>
  <c r="AF34" i="1"/>
  <c r="AF33" i="1"/>
  <c r="AF32" i="1"/>
  <c r="AF31" i="1"/>
  <c r="AF30" i="1"/>
  <c r="AF29" i="1"/>
  <c r="AF28" i="1"/>
  <c r="AF27" i="1"/>
  <c r="AF26" i="1"/>
  <c r="AF25" i="1"/>
  <c r="AF24" i="1"/>
  <c r="AF23" i="1"/>
  <c r="AF22" i="1"/>
  <c r="AF21" i="1"/>
  <c r="AF20" i="1"/>
  <c r="AF19" i="1"/>
  <c r="AF18" i="1"/>
  <c r="AF17" i="1"/>
  <c r="AF16" i="1"/>
  <c r="AF15" i="1"/>
  <c r="AF14" i="1"/>
  <c r="AF13" i="1"/>
  <c r="AF12" i="1"/>
  <c r="AF11" i="1"/>
  <c r="AF10" i="1"/>
  <c r="AF9" i="1"/>
  <c r="AE59" i="2"/>
  <c r="AD59" i="2"/>
  <c r="AC59" i="2"/>
  <c r="AB59" i="2"/>
  <c r="AA59" i="2"/>
  <c r="Z59" i="2"/>
  <c r="Y59" i="2"/>
  <c r="X59" i="2"/>
  <c r="W59" i="2"/>
  <c r="V59" i="2"/>
  <c r="U59" i="2"/>
  <c r="T59" i="2"/>
  <c r="S59" i="2"/>
  <c r="R59" i="2"/>
  <c r="Q59" i="2"/>
  <c r="P59" i="2"/>
  <c r="O59" i="2"/>
  <c r="N59" i="2"/>
  <c r="M59" i="2"/>
  <c r="L59" i="2"/>
  <c r="K59" i="2"/>
  <c r="J59" i="2"/>
  <c r="I59" i="2"/>
  <c r="H59" i="2"/>
  <c r="G59" i="2"/>
  <c r="F59" i="2"/>
  <c r="E59" i="2"/>
  <c r="D59" i="2"/>
  <c r="AF58" i="2"/>
  <c r="AF57" i="2"/>
  <c r="AF56" i="2"/>
  <c r="AF55" i="2"/>
  <c r="AF54" i="2"/>
  <c r="AF53" i="2"/>
  <c r="AF52" i="2"/>
  <c r="AF51" i="2"/>
  <c r="AF50" i="2"/>
  <c r="AF49" i="2"/>
  <c r="AF48" i="2"/>
  <c r="AF47" i="2"/>
  <c r="AF46" i="2"/>
  <c r="AF45" i="2"/>
  <c r="AF44" i="2"/>
  <c r="AF43" i="2"/>
  <c r="AF42" i="2"/>
  <c r="AF41" i="2"/>
  <c r="AF40" i="2"/>
  <c r="AF39" i="2"/>
  <c r="AF38" i="2"/>
  <c r="AF37" i="2"/>
  <c r="AF36" i="2"/>
  <c r="AF35" i="2"/>
  <c r="AF34" i="2"/>
  <c r="AF33" i="2"/>
  <c r="AF32" i="2"/>
  <c r="AF31" i="2"/>
  <c r="AF30" i="2"/>
  <c r="AF29" i="2"/>
  <c r="AF28" i="2"/>
  <c r="AF27" i="2"/>
  <c r="AF26" i="2"/>
  <c r="AF25" i="2"/>
  <c r="AF24" i="2"/>
  <c r="AF23" i="2"/>
  <c r="AF22" i="2"/>
  <c r="AF21" i="2"/>
  <c r="AF20" i="2"/>
  <c r="AF19" i="2"/>
  <c r="AF18" i="2"/>
  <c r="AF17" i="2"/>
  <c r="AF16" i="2"/>
  <c r="AF15" i="2"/>
  <c r="AF14" i="2"/>
  <c r="AF13" i="2"/>
  <c r="AF12" i="2"/>
  <c r="AF11" i="2"/>
  <c r="AF10" i="2"/>
  <c r="AF9" i="2"/>
  <c r="N4" i="2"/>
  <c r="AF59" i="1" l="1"/>
  <c r="H4" i="1" s="1"/>
  <c r="H4" i="2" s="1"/>
  <c r="AF59" i="2"/>
  <c r="K4" i="2" s="1"/>
  <c r="K4"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渡辺圭</author>
  </authors>
  <commentList>
    <comment ref="B3" authorId="0" shapeId="0" xr:uid="{00000000-0006-0000-0000-000001000000}">
      <text>
        <r>
          <rPr>
            <b/>
            <sz val="9"/>
            <color indexed="81"/>
            <rFont val="ＭＳ Ｐゴシック"/>
            <family val="3"/>
            <charset val="128"/>
          </rPr>
          <t>初回申請時は空欄ですが問題ありません。</t>
        </r>
      </text>
    </comment>
  </commentList>
</comments>
</file>

<file path=xl/sharedStrings.xml><?xml version="1.0" encoding="utf-8"?>
<sst xmlns="http://schemas.openxmlformats.org/spreadsheetml/2006/main" count="241" uniqueCount="198">
  <si>
    <t>概 算 御 見 積 書</t>
    <rPh sb="0" eb="1">
      <t>ガイ</t>
    </rPh>
    <rPh sb="2" eb="3">
      <t>サン</t>
    </rPh>
    <rPh sb="4" eb="5">
      <t>ゴ</t>
    </rPh>
    <rPh sb="6" eb="7">
      <t>ミ</t>
    </rPh>
    <rPh sb="8" eb="9">
      <t>セキ</t>
    </rPh>
    <rPh sb="10" eb="11">
      <t>ショ</t>
    </rPh>
    <phoneticPr fontId="7"/>
  </si>
  <si>
    <t>見積番号　</t>
    <rPh sb="0" eb="2">
      <t>ミツ</t>
    </rPh>
    <rPh sb="2" eb="4">
      <t>バンゴウ</t>
    </rPh>
    <phoneticPr fontId="7"/>
  </si>
  <si>
    <t>-</t>
    <phoneticPr fontId="3"/>
  </si>
  <si>
    <t>見積年月日</t>
    <rPh sb="0" eb="2">
      <t>ミツモリ</t>
    </rPh>
    <rPh sb="2" eb="5">
      <t>ネンガッピ</t>
    </rPh>
    <phoneticPr fontId="7"/>
  </si>
  <si>
    <t>出光興産株式会社　御中</t>
    <rPh sb="0" eb="2">
      <t>イデミツ</t>
    </rPh>
    <rPh sb="2" eb="4">
      <t>コウサン</t>
    </rPh>
    <rPh sb="4" eb="8">
      <t>カブシキガイシャ</t>
    </rPh>
    <rPh sb="9" eb="11">
      <t>オンチュウ</t>
    </rPh>
    <phoneticPr fontId="7"/>
  </si>
  <si>
    <t>株式会社システムエグゼ</t>
    <rPh sb="0" eb="4">
      <t>カブシキガイシャ</t>
    </rPh>
    <phoneticPr fontId="7"/>
  </si>
  <si>
    <t>東京都中央区日本橋室町三丁目4番4号</t>
    <rPh sb="0" eb="3">
      <t>トウキョウト</t>
    </rPh>
    <rPh sb="3" eb="6">
      <t>チュウオウク</t>
    </rPh>
    <rPh sb="6" eb="11">
      <t>ニホンバシムロマチ</t>
    </rPh>
    <rPh sb="11" eb="12">
      <t>ミ</t>
    </rPh>
    <rPh sb="12" eb="14">
      <t>チョウメ</t>
    </rPh>
    <rPh sb="15" eb="16">
      <t>バン</t>
    </rPh>
    <rPh sb="17" eb="18">
      <t>ゴウ</t>
    </rPh>
    <phoneticPr fontId="18"/>
  </si>
  <si>
    <t>OVOL日本橋ビル7階</t>
    <phoneticPr fontId="18"/>
  </si>
  <si>
    <t>見積金額</t>
    <rPh sb="0" eb="2">
      <t>ミツモリ</t>
    </rPh>
    <rPh sb="2" eb="4">
      <t>キンガク</t>
    </rPh>
    <phoneticPr fontId="18"/>
  </si>
  <si>
    <t>担当: 高木　義尚</t>
    <rPh sb="0" eb="2">
      <t>タントウ</t>
    </rPh>
    <rPh sb="4" eb="6">
      <t>タカギ</t>
    </rPh>
    <rPh sb="7" eb="9">
      <t>ヨシナオ</t>
    </rPh>
    <phoneticPr fontId="7"/>
  </si>
  <si>
    <t>MAIL: yoshinao.takagi＠system-exe.jp</t>
    <phoneticPr fontId="7"/>
  </si>
  <si>
    <t>件名</t>
    <rPh sb="0" eb="2">
      <t>ケンメイ</t>
    </rPh>
    <phoneticPr fontId="7"/>
  </si>
  <si>
    <t>海上入出荷計画業務システム（千葉）64bit版移行対応</t>
    <rPh sb="22" eb="23">
      <t>バン</t>
    </rPh>
    <rPh sb="23" eb="25">
      <t>イコウ</t>
    </rPh>
    <rPh sb="25" eb="27">
      <t>タイオウ</t>
    </rPh>
    <phoneticPr fontId="7"/>
  </si>
  <si>
    <t>作業形態</t>
    <rPh sb="0" eb="2">
      <t>サギョウ</t>
    </rPh>
    <rPh sb="2" eb="4">
      <t>ケイタイ</t>
    </rPh>
    <phoneticPr fontId="18"/>
  </si>
  <si>
    <t>準委任契約（成果報酬型）・請負契約の併用想定（要調整）</t>
    <rPh sb="18" eb="20">
      <t>ヘイヨウ</t>
    </rPh>
    <rPh sb="20" eb="22">
      <t>ソウテイ</t>
    </rPh>
    <rPh sb="23" eb="24">
      <t>ヨウ</t>
    </rPh>
    <rPh sb="24" eb="26">
      <t>チョウセイ</t>
    </rPh>
    <phoneticPr fontId="18"/>
  </si>
  <si>
    <t>作業場所</t>
    <rPh sb="0" eb="2">
      <t>サギョウ</t>
    </rPh>
    <rPh sb="2" eb="4">
      <t>バショ</t>
    </rPh>
    <phoneticPr fontId="18"/>
  </si>
  <si>
    <t>弊社内（在宅勤務を含む）</t>
    <rPh sb="0" eb="2">
      <t>ヘイシャ</t>
    </rPh>
    <rPh sb="2" eb="3">
      <t>ナイ</t>
    </rPh>
    <rPh sb="4" eb="6">
      <t>ザイタク</t>
    </rPh>
    <rPh sb="6" eb="8">
      <t>キンム</t>
    </rPh>
    <rPh sb="9" eb="10">
      <t>フク</t>
    </rPh>
    <phoneticPr fontId="18"/>
  </si>
  <si>
    <t>作業期間</t>
    <rPh sb="0" eb="2">
      <t>サギョウ</t>
    </rPh>
    <rPh sb="2" eb="4">
      <t>キカン</t>
    </rPh>
    <phoneticPr fontId="18"/>
  </si>
  <si>
    <t>2026年4月1日 ～ 2026年12月31日</t>
    <rPh sb="4" eb="5">
      <t>ネン</t>
    </rPh>
    <rPh sb="6" eb="7">
      <t>ガツ</t>
    </rPh>
    <rPh sb="7" eb="9">
      <t>ツイタチ</t>
    </rPh>
    <rPh sb="16" eb="17">
      <t>ネン</t>
    </rPh>
    <rPh sb="19" eb="20">
      <t>ガツ</t>
    </rPh>
    <rPh sb="22" eb="23">
      <t>ニチ</t>
    </rPh>
    <phoneticPr fontId="18"/>
  </si>
  <si>
    <t>見積金額内訳</t>
    <rPh sb="0" eb="2">
      <t>ミツモリ</t>
    </rPh>
    <rPh sb="2" eb="4">
      <t>キンガク</t>
    </rPh>
    <rPh sb="4" eb="6">
      <t>ウチワケ</t>
    </rPh>
    <phoneticPr fontId="7"/>
  </si>
  <si>
    <t>No</t>
    <phoneticPr fontId="7"/>
  </si>
  <si>
    <t>項目</t>
    <rPh sb="0" eb="2">
      <t>コウモク</t>
    </rPh>
    <phoneticPr fontId="7"/>
  </si>
  <si>
    <t>数量</t>
    <rPh sb="0" eb="2">
      <t>スウリョウ</t>
    </rPh>
    <phoneticPr fontId="7"/>
  </si>
  <si>
    <t>金額</t>
    <rPh sb="0" eb="2">
      <t>キンガク</t>
    </rPh>
    <phoneticPr fontId="18"/>
  </si>
  <si>
    <t>単価</t>
    <rPh sb="0" eb="2">
      <t>タンカ</t>
    </rPh>
    <phoneticPr fontId="7"/>
  </si>
  <si>
    <t>要件定義</t>
    <rPh sb="0" eb="2">
      <t>ヨウケン</t>
    </rPh>
    <rPh sb="2" eb="4">
      <t>テイギ</t>
    </rPh>
    <phoneticPr fontId="7"/>
  </si>
  <si>
    <t>人月</t>
    <rPh sb="0" eb="2">
      <t>ニンゲツ</t>
    </rPh>
    <phoneticPr fontId="18"/>
  </si>
  <si>
    <t>検証環境構築</t>
    <rPh sb="0" eb="2">
      <t>ケンショウ</t>
    </rPh>
    <rPh sb="2" eb="4">
      <t>カンキョウ</t>
    </rPh>
    <rPh sb="4" eb="6">
      <t>コウチク</t>
    </rPh>
    <phoneticPr fontId="7"/>
  </si>
  <si>
    <t>データ移行</t>
    <rPh sb="3" eb="5">
      <t>イコウ</t>
    </rPh>
    <phoneticPr fontId="7"/>
  </si>
  <si>
    <t>千葉版への機能改修</t>
    <rPh sb="0" eb="2">
      <t>チバ</t>
    </rPh>
    <rPh sb="2" eb="3">
      <t>バン</t>
    </rPh>
    <rPh sb="5" eb="7">
      <t>キノウ</t>
    </rPh>
    <rPh sb="7" eb="9">
      <t>カイシュウ</t>
    </rPh>
    <phoneticPr fontId="7"/>
  </si>
  <si>
    <t>結合テスト</t>
    <rPh sb="0" eb="2">
      <t>ケツゴウ</t>
    </rPh>
    <phoneticPr fontId="7"/>
  </si>
  <si>
    <t>システムテスト</t>
    <phoneticPr fontId="7"/>
  </si>
  <si>
    <t>ユーザテスト</t>
    <phoneticPr fontId="7"/>
  </si>
  <si>
    <t>リリース準備</t>
    <rPh sb="4" eb="6">
      <t>ジュンビ</t>
    </rPh>
    <phoneticPr fontId="7"/>
  </si>
  <si>
    <t>リリース</t>
  </si>
  <si>
    <t>初期流動</t>
  </si>
  <si>
    <t>プロジェクト管理</t>
    <rPh sb="6" eb="8">
      <t>カンリ</t>
    </rPh>
    <phoneticPr fontId="7"/>
  </si>
  <si>
    <t>合計</t>
    <rPh sb="0" eb="2">
      <t>ゴウケイ</t>
    </rPh>
    <phoneticPr fontId="7"/>
  </si>
  <si>
    <t>-</t>
    <phoneticPr fontId="18"/>
  </si>
  <si>
    <t>納品物</t>
    <rPh sb="0" eb="2">
      <t>ノウヒン</t>
    </rPh>
    <rPh sb="2" eb="3">
      <t>ブツ</t>
    </rPh>
    <phoneticPr fontId="7"/>
  </si>
  <si>
    <t>・</t>
    <phoneticPr fontId="18"/>
  </si>
  <si>
    <t>要件定義書</t>
    <rPh sb="0" eb="2">
      <t>ヨウケン</t>
    </rPh>
    <rPh sb="2" eb="5">
      <t>テイギショ</t>
    </rPh>
    <phoneticPr fontId="18"/>
  </si>
  <si>
    <t>結合テスト仕様書兼結果報告書</t>
    <rPh sb="0" eb="2">
      <t>ケツゴウ</t>
    </rPh>
    <rPh sb="5" eb="7">
      <t>シヨウ</t>
    </rPh>
    <rPh sb="8" eb="9">
      <t>ケン</t>
    </rPh>
    <rPh sb="9" eb="11">
      <t>ケッカ</t>
    </rPh>
    <phoneticPr fontId="18"/>
  </si>
  <si>
    <t>基本設計書</t>
    <rPh sb="0" eb="2">
      <t>キホン</t>
    </rPh>
    <rPh sb="2" eb="5">
      <t>セッケイショ</t>
    </rPh>
    <phoneticPr fontId="18"/>
  </si>
  <si>
    <t>システムテスト仕様書兼結果報告書</t>
    <rPh sb="7" eb="9">
      <t>シヨウ</t>
    </rPh>
    <rPh sb="10" eb="11">
      <t>ケン</t>
    </rPh>
    <rPh sb="11" eb="13">
      <t>ケッカ</t>
    </rPh>
    <phoneticPr fontId="18"/>
  </si>
  <si>
    <t>詳細設計書</t>
    <rPh sb="0" eb="2">
      <t>ショウサイ</t>
    </rPh>
    <rPh sb="2" eb="5">
      <t>セッケイショ</t>
    </rPh>
    <phoneticPr fontId="18"/>
  </si>
  <si>
    <t>・</t>
    <phoneticPr fontId="3"/>
  </si>
  <si>
    <t>リリース手順書</t>
    <rPh sb="4" eb="7">
      <t>テジュンショ</t>
    </rPh>
    <phoneticPr fontId="3"/>
  </si>
  <si>
    <t>ソースコード</t>
    <phoneticPr fontId="18"/>
  </si>
  <si>
    <t>マニュアル</t>
    <phoneticPr fontId="18"/>
  </si>
  <si>
    <t>作業内容</t>
    <rPh sb="0" eb="2">
      <t>サギョウ</t>
    </rPh>
    <rPh sb="2" eb="4">
      <t>ナイヨウ</t>
    </rPh>
    <phoneticPr fontId="18"/>
  </si>
  <si>
    <t>64bit版移行対応</t>
    <rPh sb="8" eb="10">
      <t>タイオウ</t>
    </rPh>
    <phoneticPr fontId="18"/>
  </si>
  <si>
    <t>工程</t>
    <rPh sb="0" eb="2">
      <t>コウテイ</t>
    </rPh>
    <phoneticPr fontId="7"/>
  </si>
  <si>
    <t>移行と64bit化の要件定義を実施し、要件定義書を作成します。</t>
    <rPh sb="0" eb="2">
      <t>イコウ</t>
    </rPh>
    <rPh sb="8" eb="9">
      <t>カ</t>
    </rPh>
    <rPh sb="10" eb="12">
      <t>ヨウケン</t>
    </rPh>
    <rPh sb="12" eb="14">
      <t>テイギ</t>
    </rPh>
    <rPh sb="15" eb="17">
      <t>ジッシ</t>
    </rPh>
    <rPh sb="19" eb="21">
      <t>ヨウケン</t>
    </rPh>
    <rPh sb="21" eb="24">
      <t>テイギショ</t>
    </rPh>
    <rPh sb="25" eb="27">
      <t>サクセイ</t>
    </rPh>
    <phoneticPr fontId="18"/>
  </si>
  <si>
    <t>64bit版の検証環境を作成します。</t>
    <rPh sb="5" eb="6">
      <t>バン</t>
    </rPh>
    <rPh sb="7" eb="9">
      <t>ケンショウ</t>
    </rPh>
    <rPh sb="9" eb="11">
      <t>カンキョウ</t>
    </rPh>
    <rPh sb="12" eb="14">
      <t>サクセイ</t>
    </rPh>
    <phoneticPr fontId="18"/>
  </si>
  <si>
    <t>データ移行</t>
    <rPh sb="3" eb="5">
      <t>イコウ</t>
    </rPh>
    <phoneticPr fontId="18"/>
  </si>
  <si>
    <t>北海道用のテーブルに千葉用のデータを移行します。</t>
    <rPh sb="0" eb="3">
      <t>ホッカイドウ</t>
    </rPh>
    <rPh sb="3" eb="4">
      <t>ヨウ</t>
    </rPh>
    <rPh sb="10" eb="12">
      <t>チバ</t>
    </rPh>
    <rPh sb="12" eb="13">
      <t>ヨウ</t>
    </rPh>
    <rPh sb="18" eb="20">
      <t>イコウ</t>
    </rPh>
    <phoneticPr fontId="18"/>
  </si>
  <si>
    <t>千葉版への</t>
    <rPh sb="0" eb="2">
      <t>チバ</t>
    </rPh>
    <rPh sb="2" eb="3">
      <t>バン</t>
    </rPh>
    <phoneticPr fontId="7"/>
  </si>
  <si>
    <t>千葉固有の機能（ポンプ能力/桟橋位置指定）を北海道版に反映します。</t>
    <rPh sb="0" eb="2">
      <t>チバ</t>
    </rPh>
    <rPh sb="2" eb="4">
      <t>コユウ</t>
    </rPh>
    <rPh sb="5" eb="7">
      <t>キノウ</t>
    </rPh>
    <rPh sb="11" eb="13">
      <t>ノウリョク</t>
    </rPh>
    <rPh sb="14" eb="16">
      <t>サンバシ</t>
    </rPh>
    <rPh sb="16" eb="18">
      <t>イチ</t>
    </rPh>
    <rPh sb="18" eb="20">
      <t>シテイ</t>
    </rPh>
    <rPh sb="22" eb="25">
      <t>ホッカイドウ</t>
    </rPh>
    <rPh sb="25" eb="26">
      <t>バン</t>
    </rPh>
    <rPh sb="27" eb="29">
      <t>ハンエイ</t>
    </rPh>
    <phoneticPr fontId="18"/>
  </si>
  <si>
    <t>機能改修（※１）</t>
    <rPh sb="0" eb="2">
      <t>キノウ</t>
    </rPh>
    <rPh sb="2" eb="4">
      <t>カイシュウ</t>
    </rPh>
    <phoneticPr fontId="18"/>
  </si>
  <si>
    <t>北海道と愛知版の機能の違いについては調整のうえ反映します。</t>
    <rPh sb="0" eb="3">
      <t>ホッカイドウ</t>
    </rPh>
    <rPh sb="4" eb="6">
      <t>アイチ</t>
    </rPh>
    <rPh sb="6" eb="7">
      <t>バン</t>
    </rPh>
    <rPh sb="8" eb="10">
      <t>キノウ</t>
    </rPh>
    <rPh sb="11" eb="12">
      <t>チガ</t>
    </rPh>
    <rPh sb="18" eb="20">
      <t>チョウセイ</t>
    </rPh>
    <rPh sb="23" eb="25">
      <t>ハンエイ</t>
    </rPh>
    <phoneticPr fontId="18"/>
  </si>
  <si>
    <t>開発環境にて結合テストの計画と実施、実施結果の分析、不具合の対応を実施し、</t>
    <rPh sb="0" eb="2">
      <t>カイハツ</t>
    </rPh>
    <rPh sb="2" eb="4">
      <t>カンキョウ</t>
    </rPh>
    <rPh sb="6" eb="8">
      <t>ケツゴウ</t>
    </rPh>
    <rPh sb="12" eb="14">
      <t>ケイカク</t>
    </rPh>
    <rPh sb="15" eb="17">
      <t>ジッシ</t>
    </rPh>
    <rPh sb="18" eb="20">
      <t>ジッシ</t>
    </rPh>
    <rPh sb="20" eb="22">
      <t>ケッカ</t>
    </rPh>
    <rPh sb="23" eb="25">
      <t>ブンセキ</t>
    </rPh>
    <rPh sb="26" eb="29">
      <t>フグアイ</t>
    </rPh>
    <rPh sb="30" eb="32">
      <t>タイオウ</t>
    </rPh>
    <rPh sb="33" eb="35">
      <t>ジッシ</t>
    </rPh>
    <phoneticPr fontId="18"/>
  </si>
  <si>
    <t>結合テスト仕様書および結合テスト結果報告書を作成します。</t>
    <rPh sb="0" eb="2">
      <t>ケツゴウ</t>
    </rPh>
    <rPh sb="5" eb="8">
      <t>シヨウショ</t>
    </rPh>
    <rPh sb="11" eb="13">
      <t>ケツゴウ</t>
    </rPh>
    <rPh sb="16" eb="18">
      <t>ケッカ</t>
    </rPh>
    <rPh sb="18" eb="21">
      <t>ホウコクショ</t>
    </rPh>
    <rPh sb="22" eb="24">
      <t>サクセイ</t>
    </rPh>
    <phoneticPr fontId="18"/>
  </si>
  <si>
    <t>検証環境にて動作確認（外部システムとの結合テスト含む）を実施し、</t>
    <rPh sb="0" eb="2">
      <t>ケンショウ</t>
    </rPh>
    <rPh sb="2" eb="4">
      <t>カンキョウ</t>
    </rPh>
    <rPh sb="6" eb="8">
      <t>ドウサ</t>
    </rPh>
    <rPh sb="8" eb="10">
      <t>カクニン</t>
    </rPh>
    <rPh sb="11" eb="13">
      <t>ガイブ</t>
    </rPh>
    <rPh sb="19" eb="21">
      <t>ケツゴウ</t>
    </rPh>
    <rPh sb="24" eb="25">
      <t>フク</t>
    </rPh>
    <rPh sb="28" eb="30">
      <t>ジッシ</t>
    </rPh>
    <phoneticPr fontId="18"/>
  </si>
  <si>
    <t>システムテスト仕様書およびシステムテスト結果報告書を作成します。</t>
    <rPh sb="7" eb="10">
      <t>シヨウショ</t>
    </rPh>
    <rPh sb="20" eb="22">
      <t>ケッカ</t>
    </rPh>
    <rPh sb="22" eb="25">
      <t>ホウコクショ</t>
    </rPh>
    <rPh sb="26" eb="28">
      <t>サクセイ</t>
    </rPh>
    <phoneticPr fontId="18"/>
  </si>
  <si>
    <t>検証環境でのユーザによるシステムテストのサポートを行います。</t>
    <rPh sb="0" eb="2">
      <t>ケンショウ</t>
    </rPh>
    <rPh sb="2" eb="4">
      <t>カンキョウ</t>
    </rPh>
    <rPh sb="25" eb="26">
      <t>オコナ</t>
    </rPh>
    <phoneticPr fontId="18"/>
  </si>
  <si>
    <t>ユーザテスト時の課題管理を行います。</t>
    <rPh sb="6" eb="7">
      <t>ジ</t>
    </rPh>
    <phoneticPr fontId="18"/>
  </si>
  <si>
    <t>リリース準備</t>
    <rPh sb="4" eb="6">
      <t>ジュンビ</t>
    </rPh>
    <phoneticPr fontId="18"/>
  </si>
  <si>
    <t>リリース作業の調整を行います。</t>
    <rPh sb="4" eb="6">
      <t>サギョウ</t>
    </rPh>
    <rPh sb="7" eb="9">
      <t>チョウセイ</t>
    </rPh>
    <rPh sb="10" eb="11">
      <t>オコナ</t>
    </rPh>
    <phoneticPr fontId="18"/>
  </si>
  <si>
    <t>リリース作業手順書を作成します。</t>
    <rPh sb="4" eb="6">
      <t>サギョウ</t>
    </rPh>
    <rPh sb="10" eb="12">
      <t>サクセイ</t>
    </rPh>
    <phoneticPr fontId="18"/>
  </si>
  <si>
    <t>リリース</t>
    <phoneticPr fontId="18"/>
  </si>
  <si>
    <t>本番環境のアプリケーションのバックアップを行います。</t>
    <rPh sb="0" eb="2">
      <t>ホンバン</t>
    </rPh>
    <rPh sb="2" eb="4">
      <t>カンキョウ</t>
    </rPh>
    <rPh sb="21" eb="22">
      <t>オコナ</t>
    </rPh>
    <phoneticPr fontId="18"/>
  </si>
  <si>
    <t>本番環境へアプリケーションのリリース作業を行います。</t>
    <rPh sb="0" eb="2">
      <t>ホンバン</t>
    </rPh>
    <rPh sb="2" eb="4">
      <t>カンキョウ</t>
    </rPh>
    <rPh sb="18" eb="20">
      <t>サギョウ</t>
    </rPh>
    <rPh sb="21" eb="22">
      <t>オコナ</t>
    </rPh>
    <phoneticPr fontId="18"/>
  </si>
  <si>
    <t>切り戻しの場合、切り戻し作業を実施します。</t>
    <rPh sb="0" eb="1">
      <t>キ</t>
    </rPh>
    <rPh sb="2" eb="3">
      <t>モド</t>
    </rPh>
    <rPh sb="5" eb="7">
      <t>バアイ</t>
    </rPh>
    <rPh sb="8" eb="9">
      <t>キ</t>
    </rPh>
    <rPh sb="10" eb="11">
      <t>モド</t>
    </rPh>
    <rPh sb="12" eb="14">
      <t>サギョウ</t>
    </rPh>
    <rPh sb="15" eb="17">
      <t>ジッシ</t>
    </rPh>
    <phoneticPr fontId="18"/>
  </si>
  <si>
    <t>初期流動</t>
    <rPh sb="0" eb="2">
      <t>ショキ</t>
    </rPh>
    <rPh sb="2" eb="4">
      <t>リュウドウ</t>
    </rPh>
    <phoneticPr fontId="18"/>
  </si>
  <si>
    <t>本番環境にて初期流動対応を実施します。</t>
    <rPh sb="0" eb="2">
      <t>ホンバン</t>
    </rPh>
    <rPh sb="2" eb="4">
      <t>カンキョウ</t>
    </rPh>
    <rPh sb="6" eb="8">
      <t>ショキ</t>
    </rPh>
    <rPh sb="8" eb="10">
      <t>リュウドウ</t>
    </rPh>
    <rPh sb="10" eb="12">
      <t>タイオウ</t>
    </rPh>
    <rPh sb="13" eb="15">
      <t>ジッシ</t>
    </rPh>
    <phoneticPr fontId="18"/>
  </si>
  <si>
    <t>ﾌﾟﾛｼﾞｪｸﾄ管理</t>
    <rPh sb="8" eb="10">
      <t>カンリ</t>
    </rPh>
    <phoneticPr fontId="18"/>
  </si>
  <si>
    <t>進捗管理、品質管理、要員管理、課題管理等を実施します。</t>
    <rPh sb="0" eb="2">
      <t>シンチョク</t>
    </rPh>
    <rPh sb="2" eb="4">
      <t>カンリ</t>
    </rPh>
    <rPh sb="5" eb="7">
      <t>ヒンシツ</t>
    </rPh>
    <rPh sb="7" eb="9">
      <t>カンリ</t>
    </rPh>
    <rPh sb="10" eb="12">
      <t>ヨウイン</t>
    </rPh>
    <rPh sb="12" eb="14">
      <t>カンリ</t>
    </rPh>
    <rPh sb="15" eb="17">
      <t>カダイ</t>
    </rPh>
    <rPh sb="17" eb="19">
      <t>カンリ</t>
    </rPh>
    <rPh sb="19" eb="20">
      <t>トウ</t>
    </rPh>
    <rPh sb="21" eb="23">
      <t>ジッシ</t>
    </rPh>
    <phoneticPr fontId="18"/>
  </si>
  <si>
    <t>※１：千葉版への機能改修について現在想定する工数より改修が必要になった場合は対応可否について協議させて</t>
    <rPh sb="16" eb="18">
      <t>ゲンザイ</t>
    </rPh>
    <rPh sb="18" eb="20">
      <t>ソウテイ</t>
    </rPh>
    <rPh sb="22" eb="24">
      <t>コウスウ</t>
    </rPh>
    <rPh sb="26" eb="28">
      <t>カイシュウ</t>
    </rPh>
    <rPh sb="29" eb="31">
      <t>ヒツヨウ</t>
    </rPh>
    <rPh sb="35" eb="37">
      <t>バアイ</t>
    </rPh>
    <rPh sb="38" eb="40">
      <t>タイオウ</t>
    </rPh>
    <rPh sb="40" eb="42">
      <t>カヒ</t>
    </rPh>
    <rPh sb="46" eb="48">
      <t>キョウギ</t>
    </rPh>
    <phoneticPr fontId="18"/>
  </si>
  <si>
    <t>いただきます。</t>
    <phoneticPr fontId="18"/>
  </si>
  <si>
    <t>スケジュール</t>
    <phoneticPr fontId="7"/>
  </si>
  <si>
    <t>2026年度上期</t>
    <rPh sb="4" eb="6">
      <t>ネンド</t>
    </rPh>
    <rPh sb="6" eb="8">
      <t>カミキ</t>
    </rPh>
    <phoneticPr fontId="18"/>
  </si>
  <si>
    <t>2026年度下期</t>
    <rPh sb="4" eb="6">
      <t>ネンド</t>
    </rPh>
    <rPh sb="6" eb="8">
      <t>シモキ</t>
    </rPh>
    <phoneticPr fontId="18"/>
  </si>
  <si>
    <t>2027年度上期</t>
    <rPh sb="4" eb="6">
      <t>ネンド</t>
    </rPh>
    <rPh sb="6" eb="8">
      <t>カミキ</t>
    </rPh>
    <phoneticPr fontId="18"/>
  </si>
  <si>
    <t xml:space="preserve"> </t>
    <phoneticPr fontId="18"/>
  </si>
  <si>
    <t>64bit版</t>
    <rPh sb="5" eb="6">
      <t>バン</t>
    </rPh>
    <phoneticPr fontId="18"/>
  </si>
  <si>
    <t>移行対応</t>
    <phoneticPr fontId="18"/>
  </si>
  <si>
    <t>体制</t>
    <rPh sb="0" eb="2">
      <t>タイセイ</t>
    </rPh>
    <phoneticPr fontId="18"/>
  </si>
  <si>
    <t>PM</t>
    <phoneticPr fontId="18"/>
  </si>
  <si>
    <t>：</t>
    <phoneticPr fontId="18"/>
  </si>
  <si>
    <t>プロジェクト管理を担当します。</t>
    <rPh sb="6" eb="8">
      <t>カンリ</t>
    </rPh>
    <rPh sb="9" eb="11">
      <t>タントウ</t>
    </rPh>
    <phoneticPr fontId="18"/>
  </si>
  <si>
    <t>開発リーダー</t>
    <rPh sb="0" eb="2">
      <t>カイハツ</t>
    </rPh>
    <phoneticPr fontId="18"/>
  </si>
  <si>
    <t>リリース前作業・リリース作業・初期流動を担当します。</t>
    <rPh sb="4" eb="5">
      <t>マエ</t>
    </rPh>
    <rPh sb="5" eb="7">
      <t>サギョウ</t>
    </rPh>
    <rPh sb="12" eb="14">
      <t>サギョウ</t>
    </rPh>
    <rPh sb="15" eb="17">
      <t>ショキ</t>
    </rPh>
    <rPh sb="17" eb="19">
      <t>リュウドウ</t>
    </rPh>
    <rPh sb="20" eb="22">
      <t>タントウ</t>
    </rPh>
    <phoneticPr fontId="18"/>
  </si>
  <si>
    <t>プログラマー</t>
    <phoneticPr fontId="18"/>
  </si>
  <si>
    <t>リリース前作業・リリース作業・初期流動を担当します。１名を想定します。</t>
    <rPh sb="4" eb="5">
      <t>マエ</t>
    </rPh>
    <rPh sb="5" eb="7">
      <t>サギョウ</t>
    </rPh>
    <rPh sb="12" eb="14">
      <t>サギョウ</t>
    </rPh>
    <rPh sb="15" eb="17">
      <t>ショキ</t>
    </rPh>
    <rPh sb="17" eb="19">
      <t>リュウドウ</t>
    </rPh>
    <rPh sb="20" eb="22">
      <t>タントウ</t>
    </rPh>
    <rPh sb="27" eb="28">
      <t>メイ</t>
    </rPh>
    <rPh sb="29" eb="31">
      <t>ソウテイ</t>
    </rPh>
    <phoneticPr fontId="18"/>
  </si>
  <si>
    <t>開発リーダーおよびプログラマーにつきましては、弊社の関連会社またはパートナー会社の要員にて対応</t>
    <rPh sb="0" eb="2">
      <t>カイハツ</t>
    </rPh>
    <rPh sb="23" eb="25">
      <t>ヘイシャ</t>
    </rPh>
    <rPh sb="26" eb="28">
      <t>カンレン</t>
    </rPh>
    <rPh sb="28" eb="30">
      <t>カイシャ</t>
    </rPh>
    <rPh sb="38" eb="40">
      <t>カイシャ</t>
    </rPh>
    <rPh sb="41" eb="43">
      <t>ヨウイン</t>
    </rPh>
    <rPh sb="45" eb="47">
      <t>タイオウ</t>
    </rPh>
    <phoneticPr fontId="18"/>
  </si>
  <si>
    <t>する場合がございます。弊社の関連会社またはパートナー会社の要員にて対応する場合は、弊社と機密保</t>
    <rPh sb="2" eb="4">
      <t>バアイ</t>
    </rPh>
    <rPh sb="11" eb="13">
      <t>ヘイシャ</t>
    </rPh>
    <rPh sb="14" eb="16">
      <t>カンレン</t>
    </rPh>
    <rPh sb="16" eb="18">
      <t>カイシャ</t>
    </rPh>
    <rPh sb="26" eb="28">
      <t>カイシャ</t>
    </rPh>
    <rPh sb="29" eb="31">
      <t>ヨウイン</t>
    </rPh>
    <rPh sb="33" eb="35">
      <t>タイオウ</t>
    </rPh>
    <rPh sb="37" eb="39">
      <t>バアイ</t>
    </rPh>
    <rPh sb="41" eb="43">
      <t>ヘイシャ</t>
    </rPh>
    <rPh sb="44" eb="46">
      <t>キミツ</t>
    </rPh>
    <rPh sb="46" eb="47">
      <t>ホ</t>
    </rPh>
    <phoneticPr fontId="18"/>
  </si>
  <si>
    <t>持契約を締結します。</t>
    <rPh sb="4" eb="6">
      <t>テイケツ</t>
    </rPh>
    <phoneticPr fontId="18"/>
  </si>
  <si>
    <t>その他の前提条件</t>
    <rPh sb="2" eb="3">
      <t>タ</t>
    </rPh>
    <rPh sb="4" eb="6">
      <t>ゼンテイ</t>
    </rPh>
    <rPh sb="6" eb="8">
      <t>ジョウケン</t>
    </rPh>
    <phoneticPr fontId="7"/>
  </si>
  <si>
    <t>１．お見積範囲について</t>
    <rPh sb="3" eb="5">
      <t>ミツモリ</t>
    </rPh>
    <rPh sb="5" eb="7">
      <t>ハンイ</t>
    </rPh>
    <phoneticPr fontId="7"/>
  </si>
  <si>
    <t>以下の費用は本見積には含まれておりません。</t>
    <rPh sb="0" eb="2">
      <t>イカ</t>
    </rPh>
    <rPh sb="3" eb="5">
      <t>ヒヨウ</t>
    </rPh>
    <rPh sb="6" eb="7">
      <t>ホン</t>
    </rPh>
    <rPh sb="7" eb="9">
      <t>ミツモリ</t>
    </rPh>
    <rPh sb="11" eb="12">
      <t>フク</t>
    </rPh>
    <phoneticPr fontId="18"/>
  </si>
  <si>
    <t>・ハードウェア・ミドルウェアの調達に係る費用および設置等に係る作業費用</t>
    <rPh sb="15" eb="17">
      <t>チョウタツ</t>
    </rPh>
    <rPh sb="18" eb="19">
      <t>カカ</t>
    </rPh>
    <rPh sb="20" eb="22">
      <t>ヒヨウ</t>
    </rPh>
    <phoneticPr fontId="7"/>
  </si>
  <si>
    <t>・ネットワーク費用およびネットワークの設置やセットアップ等に係る作業費用</t>
    <phoneticPr fontId="7"/>
  </si>
  <si>
    <t>　　</t>
    <phoneticPr fontId="7"/>
  </si>
  <si>
    <t>２．作業場所について</t>
    <rPh sb="2" eb="4">
      <t>サギョウ</t>
    </rPh>
    <rPh sb="4" eb="6">
      <t>バショ</t>
    </rPh>
    <phoneticPr fontId="7"/>
  </si>
  <si>
    <t>作業場所は打合せを除き弊社内にて実施します。お打合せは、WEB会議を想定します。</t>
    <rPh sb="0" eb="2">
      <t>サギョウ</t>
    </rPh>
    <rPh sb="2" eb="4">
      <t>バショ</t>
    </rPh>
    <rPh sb="5" eb="7">
      <t>ウチアワ</t>
    </rPh>
    <rPh sb="9" eb="10">
      <t>ノゾ</t>
    </rPh>
    <rPh sb="11" eb="13">
      <t>ヘイシャ</t>
    </rPh>
    <rPh sb="13" eb="14">
      <t>ナイ</t>
    </rPh>
    <rPh sb="16" eb="18">
      <t>ジッシ</t>
    </rPh>
    <rPh sb="31" eb="33">
      <t>カイギ</t>
    </rPh>
    <phoneticPr fontId="7"/>
  </si>
  <si>
    <t>上記以外での作業が発生した場合には交通費・宿泊費等を別途ご請求させていただきます。</t>
    <rPh sb="0" eb="2">
      <t>ジョウキ</t>
    </rPh>
    <rPh sb="2" eb="4">
      <t>イガイ</t>
    </rPh>
    <phoneticPr fontId="7"/>
  </si>
  <si>
    <t>３．瑕疵担保期間について</t>
    <rPh sb="2" eb="4">
      <t>カシ</t>
    </rPh>
    <rPh sb="4" eb="6">
      <t>タンポ</t>
    </rPh>
    <rPh sb="6" eb="8">
      <t>キカン</t>
    </rPh>
    <phoneticPr fontId="18"/>
  </si>
  <si>
    <t>瑕疵担保責任期間は検収日より１年間とします。</t>
    <rPh sb="0" eb="2">
      <t>カシ</t>
    </rPh>
    <rPh sb="2" eb="4">
      <t>タンポ</t>
    </rPh>
    <rPh sb="4" eb="6">
      <t>セキニン</t>
    </rPh>
    <rPh sb="6" eb="8">
      <t>キカン</t>
    </rPh>
    <rPh sb="9" eb="11">
      <t>ケンシュウ</t>
    </rPh>
    <rPh sb="11" eb="12">
      <t>ビ</t>
    </rPh>
    <rPh sb="15" eb="17">
      <t>ネンカン</t>
    </rPh>
    <phoneticPr fontId="18"/>
  </si>
  <si>
    <t>（検収日より1年間に限り契約不適合責任を追及できることとします。）</t>
    <phoneticPr fontId="18"/>
  </si>
  <si>
    <t>４．受入テストについて</t>
    <rPh sb="2" eb="4">
      <t>ウケイレ</t>
    </rPh>
    <phoneticPr fontId="18"/>
  </si>
  <si>
    <t>受入テストにつきましては、貴社にて実施をお願い致します。</t>
    <rPh sb="0" eb="2">
      <t>ウケイレ</t>
    </rPh>
    <rPh sb="13" eb="15">
      <t>キシャ</t>
    </rPh>
    <rPh sb="17" eb="19">
      <t>ジッシ</t>
    </rPh>
    <rPh sb="21" eb="22">
      <t>ネガイ</t>
    </rPh>
    <rPh sb="23" eb="24">
      <t>タ</t>
    </rPh>
    <phoneticPr fontId="18"/>
  </si>
  <si>
    <t>５．切り戻しした場合の再切替作業について</t>
    <rPh sb="2" eb="3">
      <t>キ</t>
    </rPh>
    <rPh sb="4" eb="5">
      <t>モド</t>
    </rPh>
    <rPh sb="8" eb="10">
      <t>バアイ</t>
    </rPh>
    <rPh sb="11" eb="14">
      <t>サイキリカエ</t>
    </rPh>
    <rPh sb="14" eb="16">
      <t>サギョウ</t>
    </rPh>
    <phoneticPr fontId="18"/>
  </si>
  <si>
    <t>切り戻しした場合の再切替作業については本見積には含まれておりません。</t>
    <rPh sb="0" eb="1">
      <t>キ</t>
    </rPh>
    <rPh sb="2" eb="3">
      <t>モド</t>
    </rPh>
    <rPh sb="6" eb="8">
      <t>バアイ</t>
    </rPh>
    <rPh sb="9" eb="12">
      <t>サイキリカエ</t>
    </rPh>
    <rPh sb="12" eb="14">
      <t>サギョウ</t>
    </rPh>
    <rPh sb="19" eb="20">
      <t>ホン</t>
    </rPh>
    <rPh sb="20" eb="22">
      <t>ミツモリ</t>
    </rPh>
    <rPh sb="24" eb="25">
      <t>フク</t>
    </rPh>
    <phoneticPr fontId="18"/>
  </si>
  <si>
    <t>共通</t>
    <rPh sb="0" eb="2">
      <t>キョウツウ</t>
    </rPh>
    <phoneticPr fontId="3"/>
  </si>
  <si>
    <t>64bit版移行対応</t>
    <phoneticPr fontId="3"/>
  </si>
  <si>
    <t>社員工数入力（単位：人月）</t>
    <rPh sb="7" eb="9">
      <t>タンイ</t>
    </rPh>
    <rPh sb="10" eb="12">
      <t>ニンゲツ</t>
    </rPh>
    <phoneticPr fontId="3"/>
  </si>
  <si>
    <t>見積番号</t>
    <rPh sb="0" eb="2">
      <t>ミツモリ</t>
    </rPh>
    <rPh sb="2" eb="4">
      <t>バンゴウ</t>
    </rPh>
    <phoneticPr fontId="3"/>
  </si>
  <si>
    <t>案件名</t>
    <rPh sb="0" eb="2">
      <t>アンケン</t>
    </rPh>
    <rPh sb="2" eb="3">
      <t>メイ</t>
    </rPh>
    <phoneticPr fontId="3"/>
  </si>
  <si>
    <t>受注番号</t>
    <rPh sb="0" eb="2">
      <t>ジュチュウ</t>
    </rPh>
    <rPh sb="2" eb="4">
      <t>バンゴウ</t>
    </rPh>
    <phoneticPr fontId="3"/>
  </si>
  <si>
    <t>-</t>
    <phoneticPr fontId="7"/>
  </si>
  <si>
    <t>契約金額</t>
    <rPh sb="0" eb="2">
      <t>ケイヤク</t>
    </rPh>
    <rPh sb="2" eb="4">
      <t>キンガク</t>
    </rPh>
    <phoneticPr fontId="3"/>
  </si>
  <si>
    <t>社員工数</t>
    <rPh sb="0" eb="2">
      <t>シャイン</t>
    </rPh>
    <rPh sb="2" eb="4">
      <t>コウスウ</t>
    </rPh>
    <phoneticPr fontId="3"/>
  </si>
  <si>
    <t>外注費金額</t>
    <rPh sb="0" eb="3">
      <t>ガイチュウヒ</t>
    </rPh>
    <rPh sb="3" eb="5">
      <t>キンガク</t>
    </rPh>
    <phoneticPr fontId="3"/>
  </si>
  <si>
    <t>経費金額</t>
    <rPh sb="0" eb="2">
      <t>ケイヒ</t>
    </rPh>
    <rPh sb="2" eb="4">
      <t>キンガク</t>
    </rPh>
    <phoneticPr fontId="3"/>
  </si>
  <si>
    <t>区分</t>
    <rPh sb="0" eb="2">
      <t>クブン</t>
    </rPh>
    <phoneticPr fontId="3"/>
  </si>
  <si>
    <t>社員番号</t>
    <rPh sb="0" eb="2">
      <t>シャイン</t>
    </rPh>
    <rPh sb="2" eb="4">
      <t>バンゴウ</t>
    </rPh>
    <phoneticPr fontId="3"/>
  </si>
  <si>
    <t>氏名</t>
    <rPh sb="0" eb="2">
      <t>シメイ</t>
    </rPh>
    <phoneticPr fontId="3"/>
  </si>
  <si>
    <t>見積工数</t>
    <rPh sb="2" eb="4">
      <t>コウスウ</t>
    </rPh>
    <phoneticPr fontId="3"/>
  </si>
  <si>
    <t>合計</t>
    <rPh sb="0" eb="2">
      <t>ゴウケイ</t>
    </rPh>
    <phoneticPr fontId="3"/>
  </si>
  <si>
    <t>2021年度4Q</t>
    <phoneticPr fontId="3"/>
  </si>
  <si>
    <t>2022年度1Q</t>
    <phoneticPr fontId="3"/>
  </si>
  <si>
    <t>2022年度2Q</t>
    <phoneticPr fontId="3"/>
  </si>
  <si>
    <t>2022年度3Q</t>
    <phoneticPr fontId="3"/>
  </si>
  <si>
    <t>2022年度4Q</t>
    <phoneticPr fontId="3"/>
  </si>
  <si>
    <t>2023年度1Q</t>
    <phoneticPr fontId="3"/>
  </si>
  <si>
    <t>2023年度2Q</t>
    <phoneticPr fontId="3"/>
  </si>
  <si>
    <t>2023年度3Q</t>
    <phoneticPr fontId="3"/>
  </si>
  <si>
    <t>2023年度4Q</t>
    <phoneticPr fontId="3"/>
  </si>
  <si>
    <t>それ以降</t>
    <rPh sb="2" eb="4">
      <t>イコウ</t>
    </rPh>
    <phoneticPr fontId="3"/>
  </si>
  <si>
    <t>外注費・経費（単位：円）</t>
    <rPh sb="0" eb="3">
      <t>ガイチュウヒ</t>
    </rPh>
    <rPh sb="4" eb="6">
      <t>ケイヒ</t>
    </rPh>
    <rPh sb="7" eb="9">
      <t>タンイ</t>
    </rPh>
    <rPh sb="10" eb="11">
      <t>エン</t>
    </rPh>
    <phoneticPr fontId="3"/>
  </si>
  <si>
    <t>-</t>
  </si>
  <si>
    <t>BPID</t>
    <phoneticPr fontId="3"/>
  </si>
  <si>
    <t>見積金額</t>
    <rPh sb="2" eb="4">
      <t>キンガク</t>
    </rPh>
    <phoneticPr fontId="3"/>
  </si>
  <si>
    <t>2021年度4Q</t>
  </si>
  <si>
    <t>2022年度1Q</t>
  </si>
  <si>
    <t>2022年度2Q</t>
  </si>
  <si>
    <t>2022年度3Q</t>
  </si>
  <si>
    <t>2022年度4Q</t>
  </si>
  <si>
    <t>2023年度1Q</t>
  </si>
  <si>
    <t>2023年度2Q</t>
  </si>
  <si>
    <t>2023年度3Q</t>
  </si>
  <si>
    <t>2023年度4Q</t>
  </si>
  <si>
    <t>消費税</t>
    <rPh sb="0" eb="3">
      <t>ショウヒゼイ</t>
    </rPh>
    <phoneticPr fontId="7"/>
  </si>
  <si>
    <t>見積有効期限</t>
    <rPh sb="0" eb="2">
      <t>ミツ</t>
    </rPh>
    <rPh sb="2" eb="4">
      <t>ユウコウ</t>
    </rPh>
    <rPh sb="4" eb="6">
      <t>キゲン</t>
    </rPh>
    <phoneticPr fontId="7"/>
  </si>
  <si>
    <t>作業形態</t>
    <rPh sb="0" eb="2">
      <t>サギョウ</t>
    </rPh>
    <rPh sb="2" eb="4">
      <t>ケイタイ</t>
    </rPh>
    <phoneticPr fontId="7"/>
  </si>
  <si>
    <t>作業場所</t>
    <rPh sb="0" eb="2">
      <t>サギョウ</t>
    </rPh>
    <rPh sb="2" eb="4">
      <t>バショ</t>
    </rPh>
    <phoneticPr fontId="7"/>
  </si>
  <si>
    <t>支払条件</t>
    <rPh sb="0" eb="2">
      <t>シハライ</t>
    </rPh>
    <rPh sb="2" eb="4">
      <t>ジョウケン</t>
    </rPh>
    <phoneticPr fontId="7"/>
  </si>
  <si>
    <t>摘要</t>
    <phoneticPr fontId="7"/>
  </si>
  <si>
    <t>契約区分</t>
    <rPh sb="0" eb="2">
      <t>ケイヤク</t>
    </rPh>
    <rPh sb="2" eb="4">
      <t>クブン</t>
    </rPh>
    <phoneticPr fontId="7"/>
  </si>
  <si>
    <t>単位</t>
    <rPh sb="0" eb="2">
      <t>タンイ</t>
    </rPh>
    <phoneticPr fontId="7"/>
  </si>
  <si>
    <t>社員区分</t>
    <rPh sb="0" eb="2">
      <t>シャイン</t>
    </rPh>
    <rPh sb="2" eb="4">
      <t>クブン</t>
    </rPh>
    <phoneticPr fontId="10"/>
  </si>
  <si>
    <t>経費区分</t>
    <rPh sb="0" eb="2">
      <t>ケイヒ</t>
    </rPh>
    <rPh sb="2" eb="4">
      <t>クブン</t>
    </rPh>
    <phoneticPr fontId="10"/>
  </si>
  <si>
    <t>税率</t>
    <rPh sb="0" eb="2">
      <t>ゼイリツ</t>
    </rPh>
    <phoneticPr fontId="7"/>
  </si>
  <si>
    <t>契約名</t>
    <rPh sb="0" eb="2">
      <t>ケイヤク</t>
    </rPh>
    <rPh sb="2" eb="3">
      <t>メイ</t>
    </rPh>
    <phoneticPr fontId="7"/>
  </si>
  <si>
    <t>見積年月日より一ヶ月後</t>
    <rPh sb="0" eb="2">
      <t>ミツモリ</t>
    </rPh>
    <rPh sb="2" eb="5">
      <t>ネンガッピ</t>
    </rPh>
    <rPh sb="7" eb="8">
      <t>イッ</t>
    </rPh>
    <rPh sb="9" eb="11">
      <t>ゲツゴ</t>
    </rPh>
    <phoneticPr fontId="7"/>
  </si>
  <si>
    <t>準委任契約</t>
  </si>
  <si>
    <t>貴社内</t>
    <rPh sb="0" eb="2">
      <t>キシャ</t>
    </rPh>
    <rPh sb="2" eb="3">
      <t>ウチ</t>
    </rPh>
    <phoneticPr fontId="7"/>
  </si>
  <si>
    <t>検収後翌月15日払い（但し、金融機関休業日の場合はその前営業日）</t>
    <rPh sb="7" eb="8">
      <t>ニチ</t>
    </rPh>
    <rPh sb="27" eb="28">
      <t>ゼン</t>
    </rPh>
    <phoneticPr fontId="7"/>
  </si>
  <si>
    <t>ﾌﾟﾛｸﾞﾗﾏ</t>
    <phoneticPr fontId="7"/>
  </si>
  <si>
    <t>固定契約</t>
    <rPh sb="0" eb="2">
      <t>コテイ</t>
    </rPh>
    <rPh sb="2" eb="4">
      <t>ケイヤク</t>
    </rPh>
    <phoneticPr fontId="7"/>
  </si>
  <si>
    <t>人月</t>
    <rPh sb="0" eb="1">
      <t>ニン</t>
    </rPh>
    <rPh sb="1" eb="2">
      <t>ゲツ</t>
    </rPh>
    <phoneticPr fontId="10"/>
  </si>
  <si>
    <t>入社済社員</t>
    <rPh sb="0" eb="2">
      <t>ニュウシャ</t>
    </rPh>
    <rPh sb="2" eb="3">
      <t>ズ</t>
    </rPh>
    <rPh sb="3" eb="5">
      <t>シャイン</t>
    </rPh>
    <phoneticPr fontId="10"/>
  </si>
  <si>
    <t>BP</t>
    <phoneticPr fontId="10"/>
  </si>
  <si>
    <t>弊社内</t>
    <rPh sb="0" eb="2">
      <t>ヘイシャ</t>
    </rPh>
    <rPh sb="2" eb="3">
      <t>ウチ</t>
    </rPh>
    <phoneticPr fontId="7"/>
  </si>
  <si>
    <t>検収後翌月末日払い（但し、金融機関休業日の場合はその翌営業日）</t>
    <phoneticPr fontId="7"/>
  </si>
  <si>
    <t>ｼｽﾃﾑｴﾝｼﾞﾆｱ</t>
    <phoneticPr fontId="7"/>
  </si>
  <si>
    <t>変動契約</t>
    <rPh sb="0" eb="2">
      <t>ヘンドウ</t>
    </rPh>
    <rPh sb="2" eb="4">
      <t>ケイヤク</t>
    </rPh>
    <phoneticPr fontId="7"/>
  </si>
  <si>
    <t>人日</t>
    <rPh sb="0" eb="1">
      <t>ニン</t>
    </rPh>
    <rPh sb="1" eb="2">
      <t>ニチ</t>
    </rPh>
    <phoneticPr fontId="10"/>
  </si>
  <si>
    <t>計画要員（等級1）</t>
    <rPh sb="0" eb="2">
      <t>ケイカク</t>
    </rPh>
    <rPh sb="2" eb="4">
      <t>ヨウイン</t>
    </rPh>
    <rPh sb="5" eb="7">
      <t>トウキュウ</t>
    </rPh>
    <phoneticPr fontId="10"/>
  </si>
  <si>
    <t>経費</t>
    <rPh sb="0" eb="2">
      <t>ケイヒ</t>
    </rPh>
    <phoneticPr fontId="10"/>
  </si>
  <si>
    <t>検収後翌々月10日払い（但し、金融機関休業日の場合はその翌営業日）</t>
    <rPh sb="3" eb="5">
      <t>ヨクヨク</t>
    </rPh>
    <phoneticPr fontId="7"/>
  </si>
  <si>
    <t>ｵﾍﾟﾚｰﾀ</t>
    <phoneticPr fontId="7"/>
  </si>
  <si>
    <t>時間契約</t>
    <rPh sb="0" eb="2">
      <t>ジカン</t>
    </rPh>
    <rPh sb="2" eb="4">
      <t>ケイヤク</t>
    </rPh>
    <phoneticPr fontId="7"/>
  </si>
  <si>
    <t>時給</t>
    <rPh sb="0" eb="1">
      <t>ジ</t>
    </rPh>
    <rPh sb="1" eb="2">
      <t>キュウ</t>
    </rPh>
    <phoneticPr fontId="10"/>
  </si>
  <si>
    <t>計画要員（等級2）</t>
    <rPh sb="0" eb="2">
      <t>ケイカク</t>
    </rPh>
    <rPh sb="2" eb="4">
      <t>ヨウイン</t>
    </rPh>
    <rPh sb="5" eb="7">
      <t>トウキュウ</t>
    </rPh>
    <phoneticPr fontId="10"/>
  </si>
  <si>
    <t>計画要員（等級3）</t>
    <rPh sb="0" eb="2">
      <t>ケイカク</t>
    </rPh>
    <rPh sb="2" eb="4">
      <t>ヨウイン</t>
    </rPh>
    <rPh sb="5" eb="7">
      <t>トウキュウ</t>
    </rPh>
    <phoneticPr fontId="11"/>
  </si>
  <si>
    <t>計画要員（等級4）</t>
    <rPh sb="0" eb="2">
      <t>ケイカク</t>
    </rPh>
    <rPh sb="2" eb="4">
      <t>ヨウイン</t>
    </rPh>
    <rPh sb="5" eb="7">
      <t>トウキュウ</t>
    </rPh>
    <phoneticPr fontId="11"/>
  </si>
  <si>
    <t>計画要員（等級5）</t>
    <rPh sb="0" eb="2">
      <t>ケイカク</t>
    </rPh>
    <rPh sb="2" eb="4">
      <t>ヨウイン</t>
    </rPh>
    <rPh sb="5" eb="7">
      <t>トウキュウ</t>
    </rPh>
    <phoneticPr fontId="11"/>
  </si>
  <si>
    <t>計画要員（等級6）</t>
    <rPh sb="0" eb="2">
      <t>ケイカク</t>
    </rPh>
    <rPh sb="2" eb="4">
      <t>ヨウイン</t>
    </rPh>
    <rPh sb="5" eb="7">
      <t>トウキュウ</t>
    </rPh>
    <phoneticPr fontId="11"/>
  </si>
  <si>
    <t>計画要員（等級7）</t>
    <rPh sb="0" eb="2">
      <t>ケイカク</t>
    </rPh>
    <rPh sb="2" eb="4">
      <t>ヨウイン</t>
    </rPh>
    <rPh sb="5" eb="7">
      <t>トウキュウ</t>
    </rPh>
    <phoneticPr fontId="11"/>
  </si>
  <si>
    <t>計画要員（等級8）</t>
    <rPh sb="0" eb="2">
      <t>ケイカク</t>
    </rPh>
    <rPh sb="2" eb="4">
      <t>ヨウイン</t>
    </rPh>
    <rPh sb="5" eb="7">
      <t>トウキュウ</t>
    </rPh>
    <phoneticPr fontId="11"/>
  </si>
  <si>
    <t>計画要員（等級9）</t>
    <rPh sb="0" eb="2">
      <t>ケイカク</t>
    </rPh>
    <rPh sb="2" eb="4">
      <t>ヨウイン</t>
    </rPh>
    <rPh sb="5" eb="7">
      <t>トウキュウ</t>
    </rPh>
    <phoneticPr fontId="11"/>
  </si>
  <si>
    <t>６．その他</t>
    <rPh sb="4" eb="5">
      <t>タ</t>
    </rPh>
    <phoneticPr fontId="18"/>
  </si>
  <si>
    <t>・マスタの整備による遅延で、作業期間を超える場合は対応可否について協議させていただきます。</t>
    <phoneticPr fontId="18"/>
  </si>
  <si>
    <t>・エンジン側のスケジュール/インフラの構築遅延で、作業期間を超える場合は対応可否について協議させて</t>
    <phoneticPr fontId="18"/>
  </si>
  <si>
    <t>　いただきます。</t>
    <phoneticPr fontId="18"/>
  </si>
  <si>
    <t>・エンジン側の要件で大幅に改造が生じ、作業期間を超える場合は対応可否について協議させていただきます。</t>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</si>
</sst>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5" formatCode="&quot;¥&quot;#,##0;&quot;¥&quot;\-#,##0"/>
    <numFmt numFmtId="6" formatCode="&quot;¥&quot;#,##0;[Red]&quot;¥&quot;\-#,##0"/>
    <numFmt numFmtId="176" formatCode="0.000&quot;人&quot;&quot;月&quot;"/>
    <numFmt numFmtId="177" formatCode="m&quot;月&quot;"/>
    <numFmt numFmtId="178" formatCode="0.000_ "/>
    <numFmt numFmtId="179" formatCode="0.00&quot;人&quot;&quot;月&quot;"/>
    <numFmt numFmtId="180" formatCode="&quot;¥&quot;#,##0_);[Red]\(&quot;¥&quot;#,##0\)"/>
    <numFmt numFmtId="181" formatCode="#,##0_ "/>
    <numFmt numFmtId="182" formatCode="&quot;¥&quot;#,##0.\-"/>
    <numFmt numFmtId="183" formatCode="0.0_);[Red]\(0.0\)"/>
  </numFmts>
  <fonts count="25" x14ac:knownFonts="1">
    <font>
      <sz val="11"/>
      <color theme="1"/>
      <name val="游ゴシック"/>
      <family val="2"/>
      <charset val="128"/>
      <scheme val="minor"/>
    </font>
    <font>
      <sz val="11"/>
      <color theme="1"/>
      <name val="游ゴシック"/>
      <family val="2"/>
      <charset val="128"/>
      <scheme val="minor"/>
    </font>
    <font>
      <sz val="14"/>
      <color theme="1"/>
      <name val="Meiryo UI"/>
      <family val="3"/>
      <charset val="128"/>
    </font>
    <font>
      <sz val="6"/>
      <name val="游ゴシック"/>
      <family val="2"/>
      <charset val="128"/>
      <scheme val="minor"/>
    </font>
    <font>
      <sz val="9"/>
      <color theme="1"/>
      <name val="Meiryo UI"/>
      <family val="3"/>
      <charset val="128"/>
    </font>
    <font>
      <sz val="14"/>
      <color rgb="FFFF0000"/>
      <name val="Meiryo UI"/>
      <family val="3"/>
      <charset val="128"/>
    </font>
    <font>
      <b/>
      <sz val="9"/>
      <color theme="0"/>
      <name val="Meiryo UI"/>
      <family val="3"/>
      <charset val="128"/>
    </font>
    <font>
      <sz val="6"/>
      <name val="ＭＳ Ｐゴシック"/>
      <family val="3"/>
      <charset val="128"/>
    </font>
    <font>
      <b/>
      <sz val="9"/>
      <color indexed="81"/>
      <name val="ＭＳ Ｐゴシック"/>
      <family val="3"/>
      <charset val="128"/>
    </font>
    <font>
      <sz val="11"/>
      <color theme="1" tint="0.24994659260841701"/>
      <name val="Meiryo UI"/>
      <family val="3"/>
      <charset val="128"/>
    </font>
    <font>
      <sz val="11"/>
      <name val="Meiryo UI"/>
      <family val="3"/>
      <charset val="128"/>
    </font>
    <font>
      <b/>
      <sz val="20"/>
      <name val="ＭＳ Ｐ明朝"/>
      <family val="1"/>
      <charset val="128"/>
    </font>
    <font>
      <sz val="11"/>
      <color theme="1"/>
      <name val="游ゴシック"/>
      <family val="2"/>
      <scheme val="minor"/>
    </font>
    <font>
      <b/>
      <sz val="26"/>
      <name val="ＭＳ 明朝"/>
      <family val="1"/>
      <charset val="128"/>
    </font>
    <font>
      <sz val="9"/>
      <name val="ＭＳ 明朝"/>
      <family val="1"/>
      <charset val="128"/>
    </font>
    <font>
      <sz val="10"/>
      <name val="ＭＳ 明朝"/>
      <family val="1"/>
      <charset val="128"/>
    </font>
    <font>
      <b/>
      <sz val="9"/>
      <name val="ＭＳ 明朝"/>
      <family val="1"/>
      <charset val="128"/>
    </font>
    <font>
      <sz val="12"/>
      <name val="ＭＳ 明朝"/>
      <family val="1"/>
      <charset val="128"/>
    </font>
    <font>
      <sz val="6"/>
      <name val="游ゴシック"/>
      <family val="3"/>
      <charset val="128"/>
      <scheme val="minor"/>
    </font>
    <font>
      <b/>
      <sz val="12"/>
      <name val="ＭＳ 明朝"/>
      <family val="1"/>
      <charset val="128"/>
    </font>
    <font>
      <sz val="20"/>
      <name val="ＭＳ 明朝"/>
      <family val="1"/>
      <charset val="128"/>
    </font>
    <font>
      <b/>
      <sz val="10"/>
      <name val="ＭＳ 明朝"/>
      <family val="1"/>
      <charset val="128"/>
    </font>
    <font>
      <u/>
      <sz val="10"/>
      <name val="ＭＳ 明朝"/>
      <family val="1"/>
      <charset val="128"/>
    </font>
    <font>
      <sz val="10"/>
      <color theme="0"/>
      <name val="ＭＳ 明朝"/>
      <family val="1"/>
      <charset val="128"/>
    </font>
    <font>
      <sz val="11"/>
      <name val="ＭＳ Ｐゴシック"/>
      <family val="3"/>
      <charset val="128"/>
    </font>
  </fonts>
  <fills count="9">
    <fill>
      <patternFill patternType="none"/>
    </fill>
    <fill>
      <patternFill patternType="gray125"/>
    </fill>
    <fill>
      <patternFill patternType="solid">
        <fgColor rgb="FF002060"/>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5" tint="-0.499984740745262"/>
        <bgColor indexed="64"/>
      </patternFill>
    </fill>
    <fill>
      <patternFill patternType="solid">
        <fgColor rgb="FFAFB7D8"/>
        <bgColor indexed="64"/>
      </patternFill>
    </fill>
    <fill>
      <patternFill patternType="solid">
        <fgColor theme="0"/>
        <bgColor indexed="64"/>
      </patternFill>
    </fill>
    <fill>
      <patternFill patternType="solid">
        <fgColor theme="0" tint="-0.14999847407452621"/>
        <bgColor indexed="64"/>
      </patternFill>
    </fill>
  </fills>
  <borders count="32">
    <border>
      <left/>
      <right/>
      <top/>
      <bottom/>
      <diagonal/>
    </border>
    <border>
      <left style="thin">
        <color indexed="64"/>
      </left>
      <right style="thin">
        <color indexed="64"/>
      </right>
      <top style="thin">
        <color indexed="64"/>
      </top>
      <bottom style="thin">
        <color theme="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style="thin">
        <color indexed="64"/>
      </left>
      <right style="thin">
        <color indexed="64"/>
      </right>
      <top style="thin">
        <color theme="0"/>
      </top>
      <bottom style="thin">
        <color indexed="64"/>
      </bottom>
      <diagonal/>
    </border>
    <border>
      <left style="thin">
        <color rgb="FF00579D"/>
      </left>
      <right style="thin">
        <color rgb="FF00579D"/>
      </right>
      <top style="thin">
        <color rgb="FF00579D"/>
      </top>
      <bottom style="thin">
        <color rgb="FF00579D"/>
      </bottom>
      <diagonal/>
    </border>
    <border>
      <left style="thin">
        <color rgb="FF00579D"/>
      </left>
      <right/>
      <top style="thin">
        <color rgb="FF00579D"/>
      </top>
      <bottom style="thin">
        <color rgb="FF00579D"/>
      </bottom>
      <diagonal/>
    </border>
    <border>
      <left/>
      <right style="thin">
        <color rgb="FF00579D"/>
      </right>
      <top style="thin">
        <color rgb="FF00579D"/>
      </top>
      <bottom style="thin">
        <color rgb="FF00579D"/>
      </bottom>
      <diagonal/>
    </border>
    <border>
      <left/>
      <right/>
      <top/>
      <bottom style="hair">
        <color indexed="64"/>
      </bottom>
      <diagonal/>
    </border>
    <border>
      <left/>
      <right/>
      <top style="hair">
        <color indexed="64"/>
      </top>
      <bottom style="hair">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6">
    <xf numFmtId="0" fontId="0"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0" fontId="12" fillId="0" borderId="0"/>
    <xf numFmtId="0" fontId="24" fillId="0" borderId="0">
      <alignment vertical="center"/>
    </xf>
  </cellStyleXfs>
  <cellXfs count="132">
    <xf numFmtId="0" fontId="0" fillId="0" borderId="0" xfId="0">
      <alignment vertical="center"/>
    </xf>
    <xf numFmtId="0" fontId="2" fillId="0" borderId="0" xfId="1" applyFont="1">
      <alignment vertical="center"/>
    </xf>
    <xf numFmtId="0" fontId="4" fillId="0" borderId="0" xfId="1" applyFont="1">
      <alignment vertical="center"/>
    </xf>
    <xf numFmtId="0" fontId="5" fillId="0" borderId="0" xfId="1" applyFont="1">
      <alignment vertical="center"/>
    </xf>
    <xf numFmtId="0" fontId="6" fillId="2" borderId="1" xfId="1" applyFont="1" applyFill="1" applyBorder="1" applyAlignment="1">
      <alignment horizontal="center" vertical="center"/>
    </xf>
    <xf numFmtId="0" fontId="6" fillId="2" borderId="4" xfId="1" applyFont="1" applyFill="1" applyBorder="1" applyAlignment="1">
      <alignment horizontal="center" vertical="center"/>
    </xf>
    <xf numFmtId="0" fontId="4" fillId="0" borderId="0" xfId="1" applyFont="1" applyAlignment="1">
      <alignment horizontal="center" vertical="center"/>
    </xf>
    <xf numFmtId="177" fontId="6" fillId="2" borderId="16" xfId="1" applyNumberFormat="1" applyFont="1" applyFill="1" applyBorder="1" applyAlignment="1">
      <alignment horizontal="center" vertical="center"/>
    </xf>
    <xf numFmtId="0" fontId="4" fillId="4" borderId="4" xfId="1" applyFont="1" applyFill="1" applyBorder="1" applyProtection="1">
      <alignment vertical="center"/>
      <protection locked="0"/>
    </xf>
    <xf numFmtId="178" fontId="4" fillId="4" borderId="4" xfId="1" applyNumberFormat="1" applyFont="1" applyFill="1" applyBorder="1" applyProtection="1">
      <alignment vertical="center"/>
      <protection locked="0"/>
    </xf>
    <xf numFmtId="178" fontId="4" fillId="3" borderId="4" xfId="1" applyNumberFormat="1" applyFont="1" applyFill="1" applyBorder="1">
      <alignment vertical="center"/>
    </xf>
    <xf numFmtId="178" fontId="4" fillId="4" borderId="0" xfId="1" applyNumberFormat="1" applyFont="1" applyFill="1" applyProtection="1">
      <alignment vertical="center"/>
      <protection locked="0"/>
    </xf>
    <xf numFmtId="0" fontId="6" fillId="5" borderId="1" xfId="1" applyFont="1" applyFill="1" applyBorder="1" applyAlignment="1">
      <alignment horizontal="center" vertical="center"/>
    </xf>
    <xf numFmtId="0" fontId="6" fillId="5" borderId="18" xfId="1" applyFont="1" applyFill="1" applyBorder="1" applyAlignment="1">
      <alignment horizontal="center" vertical="center"/>
    </xf>
    <xf numFmtId="0" fontId="6" fillId="5" borderId="4" xfId="1" applyFont="1" applyFill="1" applyBorder="1" applyAlignment="1">
      <alignment horizontal="center" vertical="center"/>
    </xf>
    <xf numFmtId="177" fontId="6" fillId="5" borderId="16" xfId="1" applyNumberFormat="1" applyFont="1" applyFill="1" applyBorder="1" applyAlignment="1">
      <alignment horizontal="center" vertical="center"/>
    </xf>
    <xf numFmtId="38" fontId="4" fillId="4" borderId="4" xfId="2" applyFont="1" applyFill="1" applyBorder="1" applyAlignment="1" applyProtection="1">
      <alignment vertical="center"/>
      <protection locked="0"/>
    </xf>
    <xf numFmtId="0" fontId="4" fillId="4" borderId="4" xfId="2" applyNumberFormat="1" applyFont="1" applyFill="1" applyBorder="1" applyAlignment="1" applyProtection="1">
      <alignment vertical="center"/>
      <protection locked="0"/>
    </xf>
    <xf numFmtId="181" fontId="4" fillId="3" borderId="4" xfId="1" applyNumberFormat="1" applyFont="1" applyFill="1" applyBorder="1">
      <alignment vertical="center"/>
    </xf>
    <xf numFmtId="38" fontId="4" fillId="4" borderId="0" xfId="2" applyFont="1" applyFill="1" applyAlignment="1" applyProtection="1">
      <alignment vertical="center"/>
      <protection locked="0"/>
    </xf>
    <xf numFmtId="0" fontId="9" fillId="6" borderId="19" xfId="0" applyFont="1" applyFill="1" applyBorder="1" applyAlignment="1">
      <alignment horizontal="center" vertical="center"/>
    </xf>
    <xf numFmtId="0" fontId="0" fillId="0" borderId="0" xfId="0" applyAlignment="1"/>
    <xf numFmtId="0" fontId="9" fillId="7" borderId="19" xfId="0" applyFont="1" applyFill="1" applyBorder="1" applyAlignment="1"/>
    <xf numFmtId="9" fontId="9" fillId="7" borderId="19" xfId="0" applyNumberFormat="1" applyFont="1" applyFill="1" applyBorder="1" applyAlignment="1"/>
    <xf numFmtId="0" fontId="4" fillId="4" borderId="4" xfId="3" applyFont="1" applyFill="1" applyBorder="1" applyProtection="1">
      <alignment vertical="center"/>
      <protection locked="0"/>
    </xf>
    <xf numFmtId="0" fontId="14" fillId="0" borderId="0" xfId="4" applyFont="1" applyAlignment="1">
      <alignment vertical="center"/>
    </xf>
    <xf numFmtId="0" fontId="15" fillId="0" borderId="22" xfId="4" applyFont="1" applyBorder="1" applyAlignment="1">
      <alignment vertical="center"/>
    </xf>
    <xf numFmtId="0" fontId="15" fillId="0" borderId="0" xfId="4" applyFont="1" applyAlignment="1">
      <alignment vertical="center"/>
    </xf>
    <xf numFmtId="0" fontId="15" fillId="0" borderId="23" xfId="4" applyFont="1" applyBorder="1" applyAlignment="1">
      <alignment vertical="center"/>
    </xf>
    <xf numFmtId="0" fontId="16" fillId="0" borderId="0" xfId="4" applyFont="1" applyAlignment="1">
      <alignment vertical="center"/>
    </xf>
    <xf numFmtId="0" fontId="21" fillId="0" borderId="0" xfId="4" applyFont="1" applyAlignment="1">
      <alignment vertical="center"/>
    </xf>
    <xf numFmtId="0" fontId="15" fillId="8" borderId="2" xfId="4" applyFont="1" applyFill="1" applyBorder="1" applyAlignment="1">
      <alignment horizontal="centerContinuous" vertical="center"/>
    </xf>
    <xf numFmtId="0" fontId="15" fillId="8" borderId="3" xfId="4" applyFont="1" applyFill="1" applyBorder="1" applyAlignment="1">
      <alignment horizontal="centerContinuous" vertical="center"/>
    </xf>
    <xf numFmtId="0" fontId="15" fillId="8" borderId="5" xfId="4" applyFont="1" applyFill="1" applyBorder="1" applyAlignment="1">
      <alignment horizontal="centerContinuous" vertical="center"/>
    </xf>
    <xf numFmtId="0" fontId="15" fillId="0" borderId="2" xfId="4" applyFont="1" applyBorder="1" applyAlignment="1">
      <alignment horizontal="left" vertical="center" indent="1"/>
    </xf>
    <xf numFmtId="0" fontId="15" fillId="0" borderId="5" xfId="4" applyFont="1" applyBorder="1" applyAlignment="1">
      <alignment vertical="center"/>
    </xf>
    <xf numFmtId="0" fontId="15" fillId="0" borderId="0" xfId="4" applyFont="1" applyAlignment="1">
      <alignment horizontal="center" vertical="center"/>
    </xf>
    <xf numFmtId="0" fontId="22" fillId="0" borderId="0" xfId="4" applyFont="1" applyAlignment="1">
      <alignment vertical="center"/>
    </xf>
    <xf numFmtId="0" fontId="15" fillId="8" borderId="25" xfId="4" applyFont="1" applyFill="1" applyBorder="1" applyAlignment="1">
      <alignment horizontal="centerContinuous" vertical="center"/>
    </xf>
    <xf numFmtId="0" fontId="15" fillId="8" borderId="26" xfId="4" applyFont="1" applyFill="1" applyBorder="1" applyAlignment="1">
      <alignment horizontal="centerContinuous" vertical="center"/>
    </xf>
    <xf numFmtId="0" fontId="15" fillId="8" borderId="27" xfId="4" applyFont="1" applyFill="1" applyBorder="1" applyAlignment="1">
      <alignment horizontal="centerContinuous" vertical="center"/>
    </xf>
    <xf numFmtId="0" fontId="15" fillId="0" borderId="25" xfId="4" applyFont="1" applyBorder="1" applyAlignment="1">
      <alignment horizontal="centerContinuous" vertical="center"/>
    </xf>
    <xf numFmtId="0" fontId="15" fillId="0" borderId="26" xfId="4" applyFont="1" applyBorder="1" applyAlignment="1">
      <alignment horizontal="centerContinuous" vertical="center"/>
    </xf>
    <xf numFmtId="0" fontId="15" fillId="0" borderId="25" xfId="4" applyFont="1" applyBorder="1" applyAlignment="1">
      <alignment horizontal="left" vertical="center"/>
    </xf>
    <xf numFmtId="0" fontId="15" fillId="0" borderId="27" xfId="4" applyFont="1" applyBorder="1" applyAlignment="1">
      <alignment horizontal="left" vertical="center"/>
    </xf>
    <xf numFmtId="0" fontId="15" fillId="0" borderId="28" xfId="4" applyFont="1" applyBorder="1" applyAlignment="1">
      <alignment vertical="center"/>
    </xf>
    <xf numFmtId="0" fontId="15" fillId="0" borderId="29" xfId="4" applyFont="1" applyBorder="1" applyAlignment="1">
      <alignment vertical="center"/>
    </xf>
    <xf numFmtId="0" fontId="15" fillId="0" borderId="28" xfId="4" applyFont="1" applyBorder="1" applyAlignment="1">
      <alignment horizontal="left" vertical="center"/>
    </xf>
    <xf numFmtId="0" fontId="15" fillId="0" borderId="0" xfId="4" applyFont="1" applyAlignment="1">
      <alignment horizontal="left" vertical="center"/>
    </xf>
    <xf numFmtId="0" fontId="15" fillId="0" borderId="25" xfId="4" applyFont="1" applyBorder="1" applyAlignment="1">
      <alignment vertical="center"/>
    </xf>
    <xf numFmtId="0" fontId="15" fillId="0" borderId="27" xfId="4" applyFont="1" applyBorder="1" applyAlignment="1">
      <alignment vertical="center"/>
    </xf>
    <xf numFmtId="0" fontId="15" fillId="0" borderId="26" xfId="4" applyFont="1" applyBorder="1" applyAlignment="1">
      <alignment vertical="center"/>
    </xf>
    <xf numFmtId="0" fontId="15" fillId="0" borderId="30" xfId="4" applyFont="1" applyBorder="1" applyAlignment="1">
      <alignment horizontal="centerContinuous" vertical="center"/>
    </xf>
    <xf numFmtId="0" fontId="15" fillId="0" borderId="31" xfId="4" applyFont="1" applyBorder="1" applyAlignment="1">
      <alignment horizontal="centerContinuous" vertical="center"/>
    </xf>
    <xf numFmtId="0" fontId="15" fillId="0" borderId="30" xfId="4" applyFont="1" applyBorder="1" applyAlignment="1">
      <alignment horizontal="left" vertical="center"/>
    </xf>
    <xf numFmtId="0" fontId="15" fillId="0" borderId="24" xfId="4" applyFont="1" applyBorder="1" applyAlignment="1">
      <alignment horizontal="left" vertical="center"/>
    </xf>
    <xf numFmtId="0" fontId="15" fillId="0" borderId="30" xfId="4" applyFont="1" applyBorder="1" applyAlignment="1">
      <alignment vertical="center"/>
    </xf>
    <xf numFmtId="0" fontId="15" fillId="0" borderId="24" xfId="4" applyFont="1" applyBorder="1" applyAlignment="1">
      <alignment vertical="center"/>
    </xf>
    <xf numFmtId="0" fontId="15" fillId="0" borderId="31" xfId="4" applyFont="1" applyBorder="1" applyAlignment="1">
      <alignment vertical="center"/>
    </xf>
    <xf numFmtId="0" fontId="23" fillId="0" borderId="0" xfId="4" applyFont="1" applyAlignment="1">
      <alignment vertical="center"/>
    </xf>
    <xf numFmtId="0" fontId="15" fillId="0" borderId="0" xfId="5" applyFont="1" applyAlignment="1">
      <alignment horizontal="left" vertical="center"/>
    </xf>
    <xf numFmtId="0" fontId="15" fillId="0" borderId="0" xfId="5" applyFont="1">
      <alignment vertical="center"/>
    </xf>
    <xf numFmtId="0" fontId="14" fillId="0" borderId="23" xfId="4" applyFont="1" applyBorder="1" applyAlignment="1">
      <alignment vertical="center"/>
    </xf>
    <xf numFmtId="5" fontId="15" fillId="0" borderId="5" xfId="4" applyNumberFormat="1" applyFont="1" applyBorder="1" applyAlignment="1">
      <alignment vertical="center"/>
    </xf>
    <xf numFmtId="5" fontId="15" fillId="0" borderId="3" xfId="4" applyNumberFormat="1" applyFont="1" applyBorder="1" applyAlignment="1">
      <alignment vertical="center"/>
    </xf>
    <xf numFmtId="0" fontId="15" fillId="0" borderId="28" xfId="4" applyFont="1" applyBorder="1" applyAlignment="1">
      <alignment horizontal="centerContinuous" vertical="center"/>
    </xf>
    <xf numFmtId="0" fontId="15" fillId="0" borderId="29" xfId="4" applyFont="1" applyBorder="1" applyAlignment="1">
      <alignment horizontal="centerContinuous" vertical="center"/>
    </xf>
    <xf numFmtId="0" fontId="15" fillId="0" borderId="26" xfId="4" applyFont="1" applyBorder="1" applyAlignment="1">
      <alignment horizontal="left" vertical="center"/>
    </xf>
    <xf numFmtId="0" fontId="15" fillId="0" borderId="31" xfId="4" applyFont="1" applyBorder="1" applyAlignment="1">
      <alignment horizontal="left" vertical="center"/>
    </xf>
    <xf numFmtId="5" fontId="15" fillId="0" borderId="2" xfId="4" applyNumberFormat="1" applyFont="1" applyBorder="1" applyAlignment="1">
      <alignment horizontal="right" vertical="center" indent="1"/>
    </xf>
    <xf numFmtId="5" fontId="15" fillId="0" borderId="5" xfId="4" applyNumberFormat="1" applyFont="1" applyBorder="1" applyAlignment="1">
      <alignment horizontal="right" vertical="center" indent="1"/>
    </xf>
    <xf numFmtId="5" fontId="15" fillId="0" borderId="3" xfId="4" applyNumberFormat="1" applyFont="1" applyBorder="1" applyAlignment="1">
      <alignment horizontal="right" vertical="center" indent="1"/>
    </xf>
    <xf numFmtId="0" fontId="13" fillId="0" borderId="0" xfId="4" applyFont="1" applyAlignment="1">
      <alignment horizontal="left" vertical="center"/>
    </xf>
    <xf numFmtId="14" fontId="15" fillId="0" borderId="23" xfId="4" applyNumberFormat="1" applyFont="1" applyBorder="1" applyAlignment="1">
      <alignment horizontal="right" vertical="center"/>
    </xf>
    <xf numFmtId="0" fontId="15" fillId="0" borderId="23" xfId="4" applyFont="1" applyBorder="1" applyAlignment="1">
      <alignment horizontal="right" vertical="center"/>
    </xf>
    <xf numFmtId="0" fontId="17" fillId="0" borderId="0" xfId="4" applyFont="1" applyAlignment="1">
      <alignment horizontal="left" vertical="center"/>
    </xf>
    <xf numFmtId="0" fontId="17" fillId="0" borderId="24" xfId="4" applyFont="1" applyBorder="1" applyAlignment="1">
      <alignment horizontal="left" vertical="center"/>
    </xf>
    <xf numFmtId="0" fontId="19" fillId="0" borderId="0" xfId="4" applyFont="1" applyAlignment="1">
      <alignment horizontal="left" vertical="center"/>
    </xf>
    <xf numFmtId="0" fontId="19" fillId="0" borderId="24" xfId="4" applyFont="1" applyBorder="1" applyAlignment="1">
      <alignment horizontal="left" vertical="center"/>
    </xf>
    <xf numFmtId="182" fontId="20" fillId="0" borderId="0" xfId="4" applyNumberFormat="1" applyFont="1" applyAlignment="1">
      <alignment horizontal="right" vertical="center"/>
    </xf>
    <xf numFmtId="182" fontId="20" fillId="0" borderId="24" xfId="4" applyNumberFormat="1" applyFont="1" applyBorder="1" applyAlignment="1">
      <alignment horizontal="right" vertical="center"/>
    </xf>
    <xf numFmtId="14" fontId="15" fillId="0" borderId="22" xfId="4" applyNumberFormat="1" applyFont="1" applyBorder="1" applyAlignment="1">
      <alignment horizontal="right" vertical="center"/>
    </xf>
    <xf numFmtId="0" fontId="15" fillId="0" borderId="22" xfId="4" applyFont="1" applyBorder="1" applyAlignment="1">
      <alignment horizontal="right" vertical="center"/>
    </xf>
    <xf numFmtId="0" fontId="15" fillId="0" borderId="2" xfId="4" applyFont="1" applyBorder="1" applyAlignment="1">
      <alignment horizontal="center" vertical="center"/>
    </xf>
    <xf numFmtId="0" fontId="15" fillId="0" borderId="3" xfId="4" applyFont="1" applyBorder="1" applyAlignment="1">
      <alignment horizontal="center" vertical="center"/>
    </xf>
    <xf numFmtId="183" fontId="15" fillId="0" borderId="2" xfId="4" applyNumberFormat="1" applyFont="1" applyBorder="1" applyAlignment="1">
      <alignment horizontal="right" vertical="center"/>
    </xf>
    <xf numFmtId="183" fontId="15" fillId="0" borderId="5" xfId="4" applyNumberFormat="1" applyFont="1" applyBorder="1" applyAlignment="1">
      <alignment horizontal="right" vertical="center"/>
    </xf>
    <xf numFmtId="5" fontId="15" fillId="0" borderId="5" xfId="4" applyNumberFormat="1" applyFont="1" applyBorder="1" applyAlignment="1">
      <alignment horizontal="center" vertical="center"/>
    </xf>
    <xf numFmtId="5" fontId="15" fillId="0" borderId="3" xfId="4" applyNumberFormat="1" applyFont="1" applyBorder="1" applyAlignment="1">
      <alignment horizontal="center" vertical="center"/>
    </xf>
    <xf numFmtId="0" fontId="4" fillId="3" borderId="2" xfId="1" applyFont="1" applyFill="1" applyBorder="1">
      <alignment vertical="center"/>
    </xf>
    <xf numFmtId="0" fontId="4" fillId="3" borderId="3" xfId="1" applyFont="1" applyFill="1" applyBorder="1">
      <alignment vertical="center"/>
    </xf>
    <xf numFmtId="0" fontId="4" fillId="3" borderId="5" xfId="1" applyFont="1" applyFill="1" applyBorder="1">
      <alignment vertical="center"/>
    </xf>
    <xf numFmtId="6" fontId="4" fillId="3" borderId="4" xfId="2" applyNumberFormat="1" applyFont="1" applyFill="1" applyBorder="1" applyAlignment="1" applyProtection="1">
      <alignment vertical="center"/>
    </xf>
    <xf numFmtId="176" fontId="4" fillId="3" borderId="4" xfId="1" applyNumberFormat="1" applyFont="1" applyFill="1" applyBorder="1">
      <alignment vertical="center"/>
    </xf>
    <xf numFmtId="5" fontId="4" fillId="3" borderId="4" xfId="1" applyNumberFormat="1" applyFont="1" applyFill="1" applyBorder="1">
      <alignment vertical="center"/>
    </xf>
    <xf numFmtId="0" fontId="6" fillId="2" borderId="8" xfId="1" applyFont="1" applyFill="1" applyBorder="1" applyAlignment="1">
      <alignment horizontal="center" vertical="center"/>
    </xf>
    <xf numFmtId="0" fontId="6" fillId="2" borderId="14" xfId="1" applyFont="1" applyFill="1" applyBorder="1" applyAlignment="1">
      <alignment horizontal="center" vertical="center"/>
    </xf>
    <xf numFmtId="0" fontId="6" fillId="2" borderId="17" xfId="1" applyFont="1" applyFill="1" applyBorder="1" applyAlignment="1">
      <alignment horizontal="center" vertical="center"/>
    </xf>
    <xf numFmtId="0" fontId="6" fillId="2" borderId="11" xfId="1" applyFont="1" applyFill="1" applyBorder="1" applyAlignment="1">
      <alignment horizontal="center" vertical="center"/>
    </xf>
    <xf numFmtId="0" fontId="6" fillId="2" borderId="12" xfId="1" applyFont="1" applyFill="1" applyBorder="1" applyAlignment="1">
      <alignment horizontal="center" vertical="center"/>
    </xf>
    <xf numFmtId="0" fontId="6" fillId="2" borderId="13" xfId="1" applyFont="1" applyFill="1" applyBorder="1" applyAlignment="1">
      <alignment horizontal="center" vertical="center"/>
    </xf>
    <xf numFmtId="0" fontId="4" fillId="0" borderId="2" xfId="1" applyFont="1" applyBorder="1" applyAlignment="1">
      <alignment horizontal="right" vertical="center"/>
    </xf>
    <xf numFmtId="0" fontId="4" fillId="0" borderId="5" xfId="1" applyFont="1" applyBorder="1" applyAlignment="1">
      <alignment horizontal="right" vertical="center"/>
    </xf>
    <xf numFmtId="0" fontId="4" fillId="0" borderId="3" xfId="1" applyFont="1" applyBorder="1" applyAlignment="1">
      <alignment horizontal="right" vertical="center"/>
    </xf>
    <xf numFmtId="0" fontId="6" fillId="2" borderId="6" xfId="1" applyFont="1" applyFill="1" applyBorder="1" applyAlignment="1">
      <alignment horizontal="center" vertical="center"/>
    </xf>
    <xf numFmtId="0" fontId="6" fillId="2" borderId="9" xfId="1" applyFont="1" applyFill="1" applyBorder="1" applyAlignment="1">
      <alignment horizontal="center" vertical="center"/>
    </xf>
    <xf numFmtId="0" fontId="6" fillId="2" borderId="15" xfId="1" applyFont="1" applyFill="1" applyBorder="1" applyAlignment="1">
      <alignment horizontal="center" vertical="center"/>
    </xf>
    <xf numFmtId="0" fontId="6" fillId="2" borderId="7" xfId="1" applyFont="1" applyFill="1" applyBorder="1" applyAlignment="1">
      <alignment horizontal="center" vertical="center"/>
    </xf>
    <xf numFmtId="0" fontId="6" fillId="2" borderId="10" xfId="1" applyFont="1" applyFill="1" applyBorder="1" applyAlignment="1">
      <alignment horizontal="center" vertical="center"/>
    </xf>
    <xf numFmtId="0" fontId="6" fillId="2" borderId="16" xfId="1" applyFont="1" applyFill="1" applyBorder="1" applyAlignment="1">
      <alignment horizontal="center" vertical="center"/>
    </xf>
    <xf numFmtId="0" fontId="6" fillId="2" borderId="7" xfId="1" applyFont="1" applyFill="1" applyBorder="1" applyAlignment="1">
      <alignment horizontal="left" vertical="center"/>
    </xf>
    <xf numFmtId="0" fontId="6" fillId="2" borderId="10" xfId="1" applyFont="1" applyFill="1" applyBorder="1" applyAlignment="1">
      <alignment horizontal="center" vertical="center" wrapText="1"/>
    </xf>
    <xf numFmtId="6" fontId="4" fillId="3" borderId="4" xfId="2" applyNumberFormat="1" applyFont="1" applyFill="1" applyBorder="1" applyAlignment="1">
      <alignment vertical="center"/>
    </xf>
    <xf numFmtId="179" fontId="4" fillId="3" borderId="4" xfId="1" applyNumberFormat="1" applyFont="1" applyFill="1" applyBorder="1">
      <alignment vertical="center"/>
    </xf>
    <xf numFmtId="180" fontId="4" fillId="3" borderId="4" xfId="1" applyNumberFormat="1" applyFont="1" applyFill="1" applyBorder="1">
      <alignment vertical="center"/>
    </xf>
    <xf numFmtId="0" fontId="6" fillId="5" borderId="8" xfId="1" applyFont="1" applyFill="1" applyBorder="1" applyAlignment="1">
      <alignment horizontal="center" vertical="center"/>
    </xf>
    <xf numFmtId="0" fontId="6" fillId="5" borderId="14" xfId="1" applyFont="1" applyFill="1" applyBorder="1" applyAlignment="1">
      <alignment horizontal="center" vertical="center"/>
    </xf>
    <xf numFmtId="0" fontId="6" fillId="5" borderId="17" xfId="1" applyFont="1" applyFill="1" applyBorder="1" applyAlignment="1">
      <alignment horizontal="center" vertical="center"/>
    </xf>
    <xf numFmtId="0" fontId="6" fillId="5" borderId="11" xfId="1" applyFont="1" applyFill="1" applyBorder="1" applyAlignment="1">
      <alignment horizontal="center" vertical="center"/>
    </xf>
    <xf numFmtId="0" fontId="6" fillId="5" borderId="12" xfId="1" applyFont="1" applyFill="1" applyBorder="1" applyAlignment="1">
      <alignment horizontal="center" vertical="center"/>
    </xf>
    <xf numFmtId="0" fontId="6" fillId="5" borderId="13" xfId="1" applyFont="1" applyFill="1" applyBorder="1" applyAlignment="1">
      <alignment horizontal="center" vertical="center"/>
    </xf>
    <xf numFmtId="0" fontId="6" fillId="5" borderId="6" xfId="1" applyFont="1" applyFill="1" applyBorder="1" applyAlignment="1">
      <alignment horizontal="center" vertical="center"/>
    </xf>
    <xf numFmtId="0" fontId="6" fillId="5" borderId="9" xfId="1" applyFont="1" applyFill="1" applyBorder="1" applyAlignment="1">
      <alignment horizontal="center" vertical="center"/>
    </xf>
    <xf numFmtId="0" fontId="6" fillId="5" borderId="15" xfId="1" applyFont="1" applyFill="1" applyBorder="1" applyAlignment="1">
      <alignment horizontal="center" vertical="center"/>
    </xf>
    <xf numFmtId="0" fontId="6" fillId="5" borderId="7" xfId="1" applyFont="1" applyFill="1" applyBorder="1" applyAlignment="1">
      <alignment horizontal="center" vertical="center"/>
    </xf>
    <xf numFmtId="0" fontId="6" fillId="5" borderId="10" xfId="1" applyFont="1" applyFill="1" applyBorder="1" applyAlignment="1">
      <alignment horizontal="center" vertical="center"/>
    </xf>
    <xf numFmtId="0" fontId="6" fillId="5" borderId="16" xfId="1" applyFont="1" applyFill="1" applyBorder="1" applyAlignment="1">
      <alignment horizontal="center" vertical="center"/>
    </xf>
    <xf numFmtId="0" fontId="6" fillId="5" borderId="7" xfId="1" applyFont="1" applyFill="1" applyBorder="1" applyAlignment="1">
      <alignment horizontal="left" vertical="center"/>
    </xf>
    <xf numFmtId="0" fontId="6" fillId="5" borderId="10" xfId="1" applyFont="1" applyFill="1" applyBorder="1" applyAlignment="1">
      <alignment horizontal="center" vertical="center" wrapText="1"/>
    </xf>
    <xf numFmtId="0" fontId="9" fillId="6" borderId="20" xfId="0" applyFont="1" applyFill="1" applyBorder="1" applyAlignment="1">
      <alignment horizontal="center" vertical="center"/>
    </xf>
    <xf numFmtId="0" fontId="9" fillId="6" borderId="21" xfId="0" applyFont="1" applyFill="1" applyBorder="1" applyAlignment="1">
      <alignment horizontal="center" vertical="center"/>
    </xf>
    <xf numFmtId="0" fontId="9" fillId="6" borderId="19" xfId="0" applyFont="1" applyFill="1" applyBorder="1" applyAlignment="1">
      <alignment horizontal="center" vertical="center"/>
    </xf>
  </cellXfs>
  <cellStyles count="6">
    <cellStyle name="桁区切り 2" xfId="2" xr:uid="{00000000-0005-0000-0000-000000000000}"/>
    <cellStyle name="標準" xfId="0" builtinId="0"/>
    <cellStyle name="標準 2" xfId="1" xr:uid="{00000000-0005-0000-0000-000002000000}"/>
    <cellStyle name="標準 2 2" xfId="3" xr:uid="{00000000-0005-0000-0000-000003000000}"/>
    <cellStyle name="標準 2 3" xfId="5" xr:uid="{E5FBA960-A250-48E9-A1AE-46A451B0EE3A}"/>
    <cellStyle name="標準 3" xfId="4" xr:uid="{FF83E7BF-8BED-4E42-A740-53CF93C388E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3" Type="http://schemas.openxmlformats.org/officeDocument/2006/relationships/image" Target="../media/image3.tmp"/><Relationship Id="rId2" Type="http://schemas.openxmlformats.org/officeDocument/2006/relationships/image" Target="../media/image2.tmp"/><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xdr:from>
      <xdr:col>8</xdr:col>
      <xdr:colOff>0</xdr:colOff>
      <xdr:row>94</xdr:row>
      <xdr:rowOff>47625</xdr:rowOff>
    </xdr:from>
    <xdr:to>
      <xdr:col>16</xdr:col>
      <xdr:colOff>184150</xdr:colOff>
      <xdr:row>95</xdr:row>
      <xdr:rowOff>145125</xdr:rowOff>
    </xdr:to>
    <xdr:sp macro="" textlink="">
      <xdr:nvSpPr>
        <xdr:cNvPr id="4" name="ホームベース 35">
          <a:extLst>
            <a:ext uri="{FF2B5EF4-FFF2-40B4-BE49-F238E27FC236}">
              <a16:creationId xmlns:a16="http://schemas.microsoft.com/office/drawing/2014/main" id="{ABAC6196-8194-4939-8EF4-B07448CDAEF3}"/>
            </a:ext>
          </a:extLst>
        </xdr:cNvPr>
        <xdr:cNvSpPr/>
      </xdr:nvSpPr>
      <xdr:spPr bwMode="auto">
        <a:xfrm>
          <a:off x="1574800" y="17954625"/>
          <a:ext cx="1758950" cy="288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1</xdr:rowOff>
    </xdr:from>
    <xdr:to>
      <xdr:col>11</xdr:col>
      <xdr:colOff>0</xdr:colOff>
      <xdr:row>16</xdr:row>
      <xdr:rowOff>47488</xdr:rowOff>
    </xdr:to>
    <xdr:pic>
      <xdr:nvPicPr>
        <xdr:cNvPr id="9" name="図 8">
          <a:extLst>
            <a:ext uri="{FF2B5EF4-FFF2-40B4-BE49-F238E27FC236}">
              <a16:creationId xmlns:a16="http://schemas.microsoft.com/office/drawing/2014/main" id="{6489C7B6-126D-2767-5AD2-BCC36E151CB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8643" y="244930"/>
          <a:ext cx="6622143" cy="3449272"/>
        </a:xfrm>
        <a:prstGeom prst="rect">
          <a:avLst/>
        </a:prstGeom>
        <a:ln>
          <a:solidFill>
            <a:schemeClr val="tx1"/>
          </a:solidFill>
        </a:ln>
      </xdr:spPr>
    </xdr:pic>
    <xdr:clientData/>
  </xdr:twoCellAnchor>
  <xdr:twoCellAnchor editAs="oneCell">
    <xdr:from>
      <xdr:col>1</xdr:col>
      <xdr:colOff>0</xdr:colOff>
      <xdr:row>18</xdr:row>
      <xdr:rowOff>0</xdr:rowOff>
    </xdr:from>
    <xdr:to>
      <xdr:col>11</xdr:col>
      <xdr:colOff>13948</xdr:colOff>
      <xdr:row>36</xdr:row>
      <xdr:rowOff>153525</xdr:rowOff>
    </xdr:to>
    <xdr:pic>
      <xdr:nvPicPr>
        <xdr:cNvPr id="15" name="図 14">
          <a:extLst>
            <a:ext uri="{FF2B5EF4-FFF2-40B4-BE49-F238E27FC236}">
              <a16:creationId xmlns:a16="http://schemas.microsoft.com/office/drawing/2014/main" id="{6F1F5603-16A2-8AF9-3AAA-CFAFCF1DD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8643" y="4100286"/>
          <a:ext cx="6636091" cy="4235668"/>
        </a:xfrm>
        <a:prstGeom prst="rect">
          <a:avLst/>
        </a:prstGeom>
        <a:ln>
          <a:solidFill>
            <a:schemeClr val="tx1"/>
          </a:solidFill>
        </a:ln>
      </xdr:spPr>
    </xdr:pic>
    <xdr:clientData/>
  </xdr:twoCellAnchor>
  <xdr:twoCellAnchor editAs="oneCell">
    <xdr:from>
      <xdr:col>1</xdr:col>
      <xdr:colOff>0</xdr:colOff>
      <xdr:row>37</xdr:row>
      <xdr:rowOff>0</xdr:rowOff>
    </xdr:from>
    <xdr:to>
      <xdr:col>10</xdr:col>
      <xdr:colOff>466602</xdr:colOff>
      <xdr:row>55</xdr:row>
      <xdr:rowOff>70970</xdr:rowOff>
    </xdr:to>
    <xdr:pic>
      <xdr:nvPicPr>
        <xdr:cNvPr id="17" name="図 16">
          <a:extLst>
            <a:ext uri="{FF2B5EF4-FFF2-40B4-BE49-F238E27FC236}">
              <a16:creationId xmlns:a16="http://schemas.microsoft.com/office/drawing/2014/main" id="{0039BC05-621C-C52D-F59D-BCFFA65DA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8643" y="8409214"/>
          <a:ext cx="6426530" cy="4153113"/>
        </a:xfrm>
        <a:prstGeom prst="rect">
          <a:avLst/>
        </a:prstGeom>
        <a:ln>
          <a:solidFill>
            <a:schemeClr val="tx1"/>
          </a:solidFill>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cypresscorporation.sharepoint.com/sites/msteams_474cc0/Shared%20Documents/General/17%20&#35211;&#31309;/20230406_&#35211;&#31309;&#26360;_&#24859;&#30693;_&#21271;&#28023;&#36947;_&#23637;&#38283;/&#21271;&#28023;&#36947;&#12539;&#24859;&#30693;&#12408;&#12398;&#21453;&#26144;&#26908;&#35342;&#21315;&#33865;&#27531;&#35506;&#38988;_20230713.xlsx" TargetMode="External"/><Relationship Id="rId1" Type="http://schemas.openxmlformats.org/officeDocument/2006/relationships/externalLinkPath" Target="https://cypresscorporation.sharepoint.com/sites/msteams_474cc0/Shared%20Documents/General/17%20&#35211;&#31309;/20241108_&#35211;&#31309;_&#21271;&#28023;&#36947;_&#24859;&#30693;_&#36861;&#21152;/&#21271;&#28023;&#36947;&#12539;&#24859;&#30693;&#12408;&#12398;&#21453;&#26144;&#26908;&#35342;&#21315;&#33865;&#27531;&#35506;&#38988;_2023071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障害課題一覧 (検討優先度高のもの)"/>
      <sheetName val="障害課題一覧 (それ以外)"/>
      <sheetName val="コード内訳"/>
    </sheetNames>
    <sheetDataSet>
      <sheetData sheetId="0"/>
      <sheetData sheetId="1"/>
      <sheetData sheetId="2"/>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4CC46-4005-46E9-9468-930B9CFAABC5}">
  <dimension ref="A1:AQ135"/>
  <sheetViews>
    <sheetView tabSelected="1" view="pageBreakPreview" topLeftCell="A109" zoomScaleNormal="100" zoomScaleSheetLayoutView="100" workbookViewId="0">
      <selection activeCell="AE115" sqref="AE115"/>
    </sheetView>
  </sheetViews>
  <sheetFormatPr defaultColWidth="2.58203125" defaultRowHeight="15" customHeight="1" x14ac:dyDescent="0.55000000000000004"/>
  <cols>
    <col min="1" max="1" width="2.58203125" style="30"/>
    <col min="2" max="16384" width="2.58203125" style="27"/>
  </cols>
  <sheetData>
    <row r="1" spans="1:37" s="25" customFormat="1" ht="15" customHeight="1" x14ac:dyDescent="0.55000000000000004">
      <c r="A1" s="72" t="s">
        <v>0</v>
      </c>
      <c r="B1" s="72"/>
      <c r="C1" s="72"/>
      <c r="D1" s="72"/>
      <c r="E1" s="72"/>
      <c r="F1" s="72"/>
      <c r="G1" s="72"/>
      <c r="H1" s="72"/>
      <c r="I1" s="72"/>
      <c r="J1" s="72"/>
      <c r="K1" s="72"/>
      <c r="L1" s="72"/>
      <c r="M1" s="72"/>
      <c r="N1" s="72"/>
      <c r="O1" s="72"/>
      <c r="P1" s="72"/>
      <c r="Q1" s="72"/>
      <c r="X1" s="26" t="s">
        <v>1</v>
      </c>
      <c r="Z1" s="26"/>
      <c r="AA1" s="26"/>
      <c r="AB1" s="26"/>
      <c r="AC1" s="26"/>
      <c r="AD1" s="26"/>
      <c r="AE1" s="26"/>
      <c r="AF1" s="81" t="s">
        <v>2</v>
      </c>
      <c r="AG1" s="82"/>
      <c r="AH1" s="82"/>
      <c r="AI1" s="82"/>
      <c r="AJ1" s="82"/>
      <c r="AK1" s="27"/>
    </row>
    <row r="2" spans="1:37" s="25" customFormat="1" ht="15" customHeight="1" x14ac:dyDescent="0.55000000000000004">
      <c r="A2" s="72"/>
      <c r="B2" s="72"/>
      <c r="C2" s="72"/>
      <c r="D2" s="72"/>
      <c r="E2" s="72"/>
      <c r="F2" s="72"/>
      <c r="G2" s="72"/>
      <c r="H2" s="72"/>
      <c r="I2" s="72"/>
      <c r="J2" s="72"/>
      <c r="K2" s="72"/>
      <c r="L2" s="72"/>
      <c r="M2" s="72"/>
      <c r="N2" s="72"/>
      <c r="O2" s="72"/>
      <c r="P2" s="72"/>
      <c r="Q2" s="72"/>
      <c r="X2" s="28" t="s">
        <v>3</v>
      </c>
      <c r="Y2" s="62"/>
      <c r="Z2" s="28"/>
      <c r="AA2" s="28"/>
      <c r="AB2" s="28"/>
      <c r="AC2" s="28"/>
      <c r="AD2" s="28"/>
      <c r="AE2" s="28"/>
      <c r="AF2" s="73">
        <v>46002</v>
      </c>
      <c r="AG2" s="74"/>
      <c r="AH2" s="74"/>
      <c r="AI2" s="74"/>
      <c r="AJ2" s="74"/>
      <c r="AK2" s="27"/>
    </row>
    <row r="3" spans="1:37" s="25" customFormat="1" ht="15" customHeight="1" x14ac:dyDescent="0.55000000000000004">
      <c r="A3" s="29"/>
      <c r="Z3" s="27"/>
      <c r="AA3" s="27"/>
      <c r="AB3" s="27"/>
      <c r="AC3" s="27"/>
      <c r="AD3" s="27"/>
      <c r="AE3" s="27"/>
      <c r="AF3" s="27"/>
      <c r="AG3" s="27"/>
      <c r="AH3" s="27"/>
      <c r="AI3" s="27"/>
      <c r="AJ3" s="27"/>
      <c r="AK3" s="27"/>
    </row>
    <row r="4" spans="1:37" s="25" customFormat="1" ht="15" customHeight="1" x14ac:dyDescent="0.55000000000000004">
      <c r="A4" s="29"/>
      <c r="Z4" s="27"/>
      <c r="AA4" s="27"/>
      <c r="AB4" s="27"/>
      <c r="AC4" s="27"/>
      <c r="AD4" s="27"/>
      <c r="AE4" s="27"/>
      <c r="AF4" s="27"/>
      <c r="AG4" s="27"/>
      <c r="AH4" s="27"/>
      <c r="AI4" s="27"/>
      <c r="AJ4" s="27"/>
      <c r="AK4" s="27"/>
    </row>
    <row r="5" spans="1:37" s="25" customFormat="1" ht="15" customHeight="1" x14ac:dyDescent="0.55000000000000004">
      <c r="A5" s="75" t="s">
        <v>4</v>
      </c>
      <c r="B5" s="75"/>
      <c r="C5" s="75"/>
      <c r="D5" s="75"/>
      <c r="E5" s="75"/>
      <c r="F5" s="75"/>
      <c r="G5" s="75"/>
      <c r="H5" s="75"/>
      <c r="I5" s="75"/>
      <c r="J5" s="75"/>
      <c r="K5" s="75"/>
      <c r="L5" s="75"/>
      <c r="M5" s="75"/>
      <c r="N5" s="75"/>
      <c r="O5" s="75"/>
      <c r="P5" s="75"/>
      <c r="Q5" s="75"/>
      <c r="Z5" s="27"/>
      <c r="AA5" s="27"/>
      <c r="AB5" s="27"/>
      <c r="AC5" s="27"/>
      <c r="AD5" s="27"/>
      <c r="AE5" s="27"/>
      <c r="AF5" s="27"/>
      <c r="AG5" s="27"/>
      <c r="AH5" s="27"/>
      <c r="AI5" s="27"/>
      <c r="AJ5" s="27"/>
      <c r="AK5" s="27"/>
    </row>
    <row r="6" spans="1:37" s="25" customFormat="1" ht="15" customHeight="1" x14ac:dyDescent="0.55000000000000004">
      <c r="A6" s="76"/>
      <c r="B6" s="76"/>
      <c r="C6" s="76"/>
      <c r="D6" s="76"/>
      <c r="E6" s="76"/>
      <c r="F6" s="76"/>
      <c r="G6" s="76"/>
      <c r="H6" s="76"/>
      <c r="I6" s="76"/>
      <c r="J6" s="76"/>
      <c r="K6" s="76"/>
      <c r="L6" s="76"/>
      <c r="M6" s="76"/>
      <c r="N6" s="76"/>
      <c r="O6" s="76"/>
      <c r="P6" s="76"/>
      <c r="Q6" s="76"/>
      <c r="Z6" s="27"/>
      <c r="AA6" s="27"/>
      <c r="AB6" s="27"/>
      <c r="AC6" s="27"/>
      <c r="AD6" s="27"/>
      <c r="AE6" s="27"/>
      <c r="AF6" s="27"/>
      <c r="AG6" s="27"/>
      <c r="AH6" s="27"/>
      <c r="AI6" s="27"/>
      <c r="AJ6" s="27"/>
      <c r="AK6" s="27"/>
    </row>
    <row r="7" spans="1:37" s="25" customFormat="1" ht="15" customHeight="1" x14ac:dyDescent="0.55000000000000004">
      <c r="A7" s="29"/>
      <c r="AA7" s="27"/>
      <c r="AB7" s="27"/>
      <c r="AC7" s="27"/>
      <c r="AD7" s="27"/>
      <c r="AE7" s="27"/>
      <c r="AF7" s="27"/>
      <c r="AG7" s="27"/>
      <c r="AH7" s="27"/>
      <c r="AI7" s="27"/>
      <c r="AJ7" s="27"/>
      <c r="AK7" s="27"/>
    </row>
    <row r="8" spans="1:37" s="25" customFormat="1" ht="15" customHeight="1" x14ac:dyDescent="0.55000000000000004">
      <c r="A8" s="29"/>
      <c r="X8" s="27" t="s">
        <v>5</v>
      </c>
      <c r="AA8" s="27"/>
      <c r="AB8" s="27"/>
      <c r="AC8" s="27"/>
      <c r="AD8" s="27"/>
      <c r="AE8" s="27"/>
      <c r="AF8" s="27"/>
      <c r="AG8" s="27"/>
      <c r="AH8" s="27"/>
      <c r="AI8" s="27"/>
      <c r="AJ8" s="27"/>
      <c r="AK8" s="27"/>
    </row>
    <row r="9" spans="1:37" s="25" customFormat="1" ht="15" customHeight="1" x14ac:dyDescent="0.55000000000000004">
      <c r="A9" s="29"/>
      <c r="X9" s="27" t="s">
        <v>6</v>
      </c>
      <c r="AA9" s="27"/>
      <c r="AB9" s="27"/>
      <c r="AC9" s="27"/>
      <c r="AD9" s="27"/>
      <c r="AE9" s="27"/>
      <c r="AF9" s="27"/>
      <c r="AG9" s="27"/>
      <c r="AH9" s="27"/>
      <c r="AI9" s="27"/>
      <c r="AJ9" s="27"/>
      <c r="AK9" s="27"/>
    </row>
    <row r="10" spans="1:37" s="25" customFormat="1" ht="15" customHeight="1" x14ac:dyDescent="0.55000000000000004">
      <c r="A10" s="29"/>
      <c r="X10" s="27" t="s">
        <v>7</v>
      </c>
      <c r="AA10" s="27"/>
      <c r="AB10" s="27"/>
      <c r="AC10" s="27"/>
      <c r="AD10" s="27"/>
      <c r="AE10" s="27"/>
      <c r="AF10" s="27"/>
      <c r="AG10" s="27"/>
      <c r="AH10" s="27"/>
      <c r="AI10" s="27"/>
      <c r="AJ10" s="27"/>
      <c r="AK10" s="27"/>
    </row>
    <row r="11" spans="1:37" s="25" customFormat="1" ht="15" customHeight="1" x14ac:dyDescent="0.55000000000000004">
      <c r="A11" s="77" t="s">
        <v>8</v>
      </c>
      <c r="B11" s="77"/>
      <c r="C11" s="77"/>
      <c r="D11" s="77"/>
      <c r="E11" s="77"/>
      <c r="F11" s="79">
        <f>AE50</f>
        <v>11860000</v>
      </c>
      <c r="G11" s="79"/>
      <c r="H11" s="79"/>
      <c r="I11" s="79"/>
      <c r="J11" s="79"/>
      <c r="K11" s="79"/>
      <c r="L11" s="79"/>
      <c r="M11" s="79"/>
      <c r="N11" s="79"/>
      <c r="O11" s="79"/>
      <c r="P11" s="79"/>
      <c r="Q11" s="79"/>
      <c r="X11" s="27" t="s">
        <v>9</v>
      </c>
      <c r="AA11" s="27"/>
      <c r="AB11" s="27"/>
      <c r="AC11" s="27"/>
      <c r="AD11" s="27"/>
      <c r="AE11" s="27"/>
      <c r="AF11" s="27"/>
      <c r="AG11" s="27"/>
      <c r="AH11" s="27"/>
      <c r="AI11" s="27"/>
      <c r="AJ11" s="27"/>
      <c r="AK11" s="27"/>
    </row>
    <row r="12" spans="1:37" s="25" customFormat="1" ht="15" customHeight="1" x14ac:dyDescent="0.55000000000000004">
      <c r="A12" s="78"/>
      <c r="B12" s="78"/>
      <c r="C12" s="78"/>
      <c r="D12" s="78"/>
      <c r="E12" s="78"/>
      <c r="F12" s="80"/>
      <c r="G12" s="80"/>
      <c r="H12" s="80"/>
      <c r="I12" s="80"/>
      <c r="J12" s="80"/>
      <c r="K12" s="80"/>
      <c r="L12" s="80"/>
      <c r="M12" s="80"/>
      <c r="N12" s="80"/>
      <c r="O12" s="80"/>
      <c r="P12" s="80"/>
      <c r="Q12" s="80"/>
      <c r="X12" s="27" t="s">
        <v>10</v>
      </c>
      <c r="AA12" s="27"/>
      <c r="AB12" s="27"/>
      <c r="AC12" s="27"/>
      <c r="AD12" s="27"/>
      <c r="AE12" s="27"/>
      <c r="AF12" s="27"/>
      <c r="AG12" s="27"/>
      <c r="AH12" s="27"/>
      <c r="AI12" s="27"/>
      <c r="AJ12" s="27"/>
      <c r="AK12" s="27"/>
    </row>
    <row r="13" spans="1:37" s="25" customFormat="1" ht="15" customHeight="1" x14ac:dyDescent="0.55000000000000004">
      <c r="A13" s="29"/>
    </row>
    <row r="14" spans="1:37" s="25" customFormat="1" ht="15" customHeight="1" x14ac:dyDescent="0.55000000000000004">
      <c r="A14" s="29"/>
    </row>
    <row r="15" spans="1:37" s="25" customFormat="1" ht="15" customHeight="1" x14ac:dyDescent="0.55000000000000004">
      <c r="A15" s="29"/>
    </row>
    <row r="16" spans="1:37" ht="15" customHeight="1" x14ac:dyDescent="0.55000000000000004">
      <c r="A16" s="30" t="s">
        <v>11</v>
      </c>
    </row>
    <row r="18" spans="1:16" ht="15" customHeight="1" x14ac:dyDescent="0.55000000000000004">
      <c r="B18" s="27" t="s">
        <v>12</v>
      </c>
    </row>
    <row r="20" spans="1:16" ht="15" customHeight="1" x14ac:dyDescent="0.55000000000000004">
      <c r="A20" s="27"/>
    </row>
    <row r="21" spans="1:16" ht="15" customHeight="1" x14ac:dyDescent="0.55000000000000004">
      <c r="A21" s="30" t="s">
        <v>13</v>
      </c>
      <c r="P21" s="30"/>
    </row>
    <row r="22" spans="1:16" ht="15" customHeight="1" x14ac:dyDescent="0.55000000000000004">
      <c r="A22" s="27"/>
    </row>
    <row r="23" spans="1:16" ht="15" customHeight="1" x14ac:dyDescent="0.55000000000000004">
      <c r="A23" s="27"/>
      <c r="B23" s="27" t="s">
        <v>14</v>
      </c>
    </row>
    <row r="24" spans="1:16" ht="15" customHeight="1" x14ac:dyDescent="0.55000000000000004">
      <c r="A24" s="27"/>
    </row>
    <row r="25" spans="1:16" ht="15" customHeight="1" x14ac:dyDescent="0.55000000000000004">
      <c r="A25" s="27"/>
    </row>
    <row r="26" spans="1:16" ht="15" customHeight="1" x14ac:dyDescent="0.55000000000000004">
      <c r="A26" s="30" t="s">
        <v>15</v>
      </c>
    </row>
    <row r="27" spans="1:16" ht="15" customHeight="1" x14ac:dyDescent="0.55000000000000004">
      <c r="A27" s="27"/>
    </row>
    <row r="28" spans="1:16" ht="15" customHeight="1" x14ac:dyDescent="0.55000000000000004">
      <c r="A28" s="27"/>
      <c r="B28" s="27" t="s">
        <v>16</v>
      </c>
    </row>
    <row r="29" spans="1:16" ht="15" customHeight="1" x14ac:dyDescent="0.55000000000000004">
      <c r="A29" s="27"/>
    </row>
    <row r="30" spans="1:16" ht="15" customHeight="1" x14ac:dyDescent="0.55000000000000004">
      <c r="A30" s="27"/>
    </row>
    <row r="31" spans="1:16" ht="15" customHeight="1" x14ac:dyDescent="0.55000000000000004">
      <c r="A31" s="30" t="s">
        <v>17</v>
      </c>
    </row>
    <row r="33" spans="1:43" ht="15" customHeight="1" x14ac:dyDescent="0.55000000000000004">
      <c r="A33" s="27"/>
      <c r="B33" s="27" t="s">
        <v>18</v>
      </c>
    </row>
    <row r="34" spans="1:43" ht="15" customHeight="1" x14ac:dyDescent="0.55000000000000004">
      <c r="A34" s="27"/>
    </row>
    <row r="35" spans="1:43" ht="15" customHeight="1" x14ac:dyDescent="0.55000000000000004">
      <c r="A35" s="27"/>
    </row>
    <row r="36" spans="1:43" ht="15" customHeight="1" x14ac:dyDescent="0.55000000000000004">
      <c r="A36" s="30" t="s">
        <v>19</v>
      </c>
    </row>
    <row r="37" spans="1:43" ht="15" customHeight="1" x14ac:dyDescent="0.55000000000000004">
      <c r="A37" s="27"/>
    </row>
    <row r="38" spans="1:43" ht="15" customHeight="1" x14ac:dyDescent="0.55000000000000004">
      <c r="A38" s="27"/>
      <c r="B38" s="31" t="s">
        <v>20</v>
      </c>
      <c r="C38" s="32"/>
      <c r="D38" s="31" t="s">
        <v>21</v>
      </c>
      <c r="E38" s="33"/>
      <c r="F38" s="33"/>
      <c r="G38" s="33"/>
      <c r="H38" s="33"/>
      <c r="I38" s="33"/>
      <c r="J38" s="33"/>
      <c r="K38" s="33"/>
      <c r="L38" s="33"/>
      <c r="M38" s="33"/>
      <c r="N38" s="33"/>
      <c r="O38" s="33"/>
      <c r="P38" s="33"/>
      <c r="Q38" s="33"/>
      <c r="R38" s="33"/>
      <c r="S38" s="33"/>
      <c r="T38" s="31"/>
      <c r="U38" s="33"/>
      <c r="V38" s="33"/>
      <c r="W38" s="33"/>
      <c r="X38" s="32"/>
      <c r="Y38" s="31" t="s">
        <v>22</v>
      </c>
      <c r="Z38" s="33"/>
      <c r="AA38" s="33"/>
      <c r="AB38" s="33"/>
      <c r="AC38" s="33"/>
      <c r="AD38" s="33"/>
      <c r="AE38" s="31" t="s">
        <v>23</v>
      </c>
      <c r="AF38" s="33"/>
      <c r="AG38" s="33"/>
      <c r="AH38" s="33"/>
      <c r="AI38" s="33"/>
      <c r="AJ38" s="32"/>
      <c r="AM38" s="31" t="s">
        <v>24</v>
      </c>
      <c r="AN38" s="33"/>
      <c r="AO38" s="33"/>
      <c r="AP38" s="33"/>
      <c r="AQ38" s="32"/>
    </row>
    <row r="39" spans="1:43" ht="15" customHeight="1" x14ac:dyDescent="0.55000000000000004">
      <c r="A39" s="27"/>
      <c r="B39" s="83">
        <v>1</v>
      </c>
      <c r="C39" s="84"/>
      <c r="D39" s="34" t="s">
        <v>25</v>
      </c>
      <c r="E39" s="35"/>
      <c r="F39" s="35"/>
      <c r="G39" s="35"/>
      <c r="H39" s="35"/>
      <c r="I39" s="35"/>
      <c r="J39" s="35"/>
      <c r="K39" s="35"/>
      <c r="L39" s="35"/>
      <c r="M39" s="35"/>
      <c r="N39" s="35"/>
      <c r="O39" s="35"/>
      <c r="P39" s="35"/>
      <c r="Q39" s="35"/>
      <c r="R39" s="35"/>
      <c r="S39" s="35"/>
      <c r="T39" s="63"/>
      <c r="U39" s="63"/>
      <c r="V39" s="63"/>
      <c r="W39" s="63"/>
      <c r="X39" s="64"/>
      <c r="Y39" s="85">
        <v>0.6</v>
      </c>
      <c r="Z39" s="86"/>
      <c r="AA39" s="86"/>
      <c r="AB39" s="86"/>
      <c r="AC39" s="87" t="s">
        <v>26</v>
      </c>
      <c r="AD39" s="88"/>
      <c r="AE39" s="69">
        <f t="shared" ref="AE39:AE46" si="0">AM39*Y39</f>
        <v>660000</v>
      </c>
      <c r="AF39" s="70"/>
      <c r="AG39" s="70"/>
      <c r="AH39" s="70"/>
      <c r="AI39" s="70"/>
      <c r="AJ39" s="71"/>
      <c r="AM39" s="69">
        <v>1100000</v>
      </c>
      <c r="AN39" s="70"/>
      <c r="AO39" s="70"/>
      <c r="AP39" s="70"/>
      <c r="AQ39" s="71"/>
    </row>
    <row r="40" spans="1:43" ht="15" customHeight="1" x14ac:dyDescent="0.55000000000000004">
      <c r="A40" s="27"/>
      <c r="B40" s="83">
        <v>2</v>
      </c>
      <c r="C40" s="84"/>
      <c r="D40" s="34" t="s">
        <v>27</v>
      </c>
      <c r="E40" s="35"/>
      <c r="F40" s="35"/>
      <c r="G40" s="35"/>
      <c r="H40" s="35"/>
      <c r="I40" s="35"/>
      <c r="J40" s="35"/>
      <c r="K40" s="35"/>
      <c r="L40" s="35"/>
      <c r="M40" s="35"/>
      <c r="N40" s="35"/>
      <c r="O40" s="35"/>
      <c r="P40" s="35"/>
      <c r="Q40" s="35"/>
      <c r="R40" s="35"/>
      <c r="S40" s="35"/>
      <c r="T40" s="63"/>
      <c r="U40" s="63"/>
      <c r="V40" s="63"/>
      <c r="W40" s="63"/>
      <c r="X40" s="64"/>
      <c r="Y40" s="85">
        <v>0.4</v>
      </c>
      <c r="Z40" s="86"/>
      <c r="AA40" s="86"/>
      <c r="AB40" s="86"/>
      <c r="AC40" s="87" t="s">
        <v>26</v>
      </c>
      <c r="AD40" s="88"/>
      <c r="AE40" s="69">
        <f t="shared" ref="AE40:AE45" si="1">AM40*Y40</f>
        <v>440000</v>
      </c>
      <c r="AF40" s="70"/>
      <c r="AG40" s="70"/>
      <c r="AH40" s="70"/>
      <c r="AI40" s="70"/>
      <c r="AJ40" s="71"/>
      <c r="AM40" s="69">
        <v>1100000</v>
      </c>
      <c r="AN40" s="70"/>
      <c r="AO40" s="70"/>
      <c r="AP40" s="70"/>
      <c r="AQ40" s="71"/>
    </row>
    <row r="41" spans="1:43" ht="15" customHeight="1" x14ac:dyDescent="0.55000000000000004">
      <c r="A41" s="27"/>
      <c r="B41" s="83">
        <v>3</v>
      </c>
      <c r="C41" s="84"/>
      <c r="D41" s="34" t="s">
        <v>28</v>
      </c>
      <c r="E41" s="35"/>
      <c r="F41" s="35"/>
      <c r="G41" s="35"/>
      <c r="H41" s="35"/>
      <c r="I41" s="35"/>
      <c r="J41" s="35"/>
      <c r="K41" s="35"/>
      <c r="L41" s="35"/>
      <c r="M41" s="35"/>
      <c r="N41" s="35"/>
      <c r="O41" s="35"/>
      <c r="P41" s="35"/>
      <c r="Q41" s="35"/>
      <c r="R41" s="35"/>
      <c r="S41" s="35"/>
      <c r="T41" s="63"/>
      <c r="U41" s="63"/>
      <c r="V41" s="63"/>
      <c r="W41" s="63"/>
      <c r="X41" s="64"/>
      <c r="Y41" s="85">
        <v>1</v>
      </c>
      <c r="Z41" s="86"/>
      <c r="AA41" s="86"/>
      <c r="AB41" s="86"/>
      <c r="AC41" s="87" t="s">
        <v>26</v>
      </c>
      <c r="AD41" s="88"/>
      <c r="AE41" s="69">
        <f t="shared" si="1"/>
        <v>1100000</v>
      </c>
      <c r="AF41" s="70"/>
      <c r="AG41" s="70"/>
      <c r="AH41" s="70"/>
      <c r="AI41" s="70"/>
      <c r="AJ41" s="71"/>
      <c r="AM41" s="69">
        <v>1100000</v>
      </c>
      <c r="AN41" s="70"/>
      <c r="AO41" s="70"/>
      <c r="AP41" s="70"/>
      <c r="AQ41" s="71"/>
    </row>
    <row r="42" spans="1:43" ht="15" customHeight="1" x14ac:dyDescent="0.55000000000000004">
      <c r="A42" s="27"/>
      <c r="B42" s="83">
        <v>4</v>
      </c>
      <c r="C42" s="84"/>
      <c r="D42" s="34" t="s">
        <v>29</v>
      </c>
      <c r="E42" s="35"/>
      <c r="F42" s="35"/>
      <c r="G42" s="35"/>
      <c r="H42" s="35"/>
      <c r="I42" s="35"/>
      <c r="J42" s="35"/>
      <c r="K42" s="35"/>
      <c r="L42" s="35"/>
      <c r="M42" s="35"/>
      <c r="N42" s="35"/>
      <c r="O42" s="35"/>
      <c r="P42" s="35"/>
      <c r="Q42" s="35"/>
      <c r="R42" s="35"/>
      <c r="S42" s="35"/>
      <c r="T42" s="63"/>
      <c r="U42" s="63"/>
      <c r="V42" s="63"/>
      <c r="W42" s="63"/>
      <c r="X42" s="64"/>
      <c r="Y42" s="85">
        <v>1.8</v>
      </c>
      <c r="Z42" s="86"/>
      <c r="AA42" s="86"/>
      <c r="AB42" s="86"/>
      <c r="AC42" s="87" t="s">
        <v>26</v>
      </c>
      <c r="AD42" s="88"/>
      <c r="AE42" s="69">
        <f t="shared" si="1"/>
        <v>1980000</v>
      </c>
      <c r="AF42" s="70"/>
      <c r="AG42" s="70"/>
      <c r="AH42" s="70"/>
      <c r="AI42" s="70"/>
      <c r="AJ42" s="71"/>
      <c r="AM42" s="69">
        <v>1100000</v>
      </c>
      <c r="AN42" s="70"/>
      <c r="AO42" s="70"/>
      <c r="AP42" s="70"/>
      <c r="AQ42" s="71"/>
    </row>
    <row r="43" spans="1:43" ht="15" customHeight="1" x14ac:dyDescent="0.55000000000000004">
      <c r="A43" s="27"/>
      <c r="B43" s="83">
        <v>5</v>
      </c>
      <c r="C43" s="84"/>
      <c r="D43" s="34" t="s">
        <v>30</v>
      </c>
      <c r="E43" s="35"/>
      <c r="F43" s="35"/>
      <c r="G43" s="35"/>
      <c r="H43" s="35"/>
      <c r="I43" s="35"/>
      <c r="J43" s="35"/>
      <c r="K43" s="35"/>
      <c r="L43" s="35"/>
      <c r="M43" s="35"/>
      <c r="N43" s="35"/>
      <c r="O43" s="35"/>
      <c r="P43" s="35"/>
      <c r="Q43" s="35"/>
      <c r="R43" s="35"/>
      <c r="S43" s="35"/>
      <c r="T43" s="63"/>
      <c r="U43" s="63"/>
      <c r="V43" s="63"/>
      <c r="W43" s="63"/>
      <c r="X43" s="64"/>
      <c r="Y43" s="85">
        <f t="shared" ref="Y43:Y46" si="2">0.5*1.2</f>
        <v>0.6</v>
      </c>
      <c r="Z43" s="86"/>
      <c r="AA43" s="86"/>
      <c r="AB43" s="86"/>
      <c r="AC43" s="87" t="s">
        <v>26</v>
      </c>
      <c r="AD43" s="88"/>
      <c r="AE43" s="69">
        <f t="shared" ref="AE43" si="3">AM43*Y43</f>
        <v>660000</v>
      </c>
      <c r="AF43" s="70"/>
      <c r="AG43" s="70"/>
      <c r="AH43" s="70"/>
      <c r="AI43" s="70"/>
      <c r="AJ43" s="71"/>
      <c r="AM43" s="69">
        <v>1100000</v>
      </c>
      <c r="AN43" s="70"/>
      <c r="AO43" s="70"/>
      <c r="AP43" s="70"/>
      <c r="AQ43" s="71"/>
    </row>
    <row r="44" spans="1:43" ht="15" customHeight="1" x14ac:dyDescent="0.55000000000000004">
      <c r="A44" s="27"/>
      <c r="B44" s="83">
        <v>6</v>
      </c>
      <c r="C44" s="84"/>
      <c r="D44" s="34" t="s">
        <v>31</v>
      </c>
      <c r="E44" s="35"/>
      <c r="F44" s="35"/>
      <c r="G44" s="35"/>
      <c r="H44" s="35"/>
      <c r="I44" s="35"/>
      <c r="J44" s="35"/>
      <c r="K44" s="35"/>
      <c r="L44" s="35"/>
      <c r="M44" s="35"/>
      <c r="N44" s="35"/>
      <c r="O44" s="35"/>
      <c r="P44" s="35"/>
      <c r="Q44" s="35"/>
      <c r="R44" s="35"/>
      <c r="S44" s="35"/>
      <c r="T44" s="63"/>
      <c r="U44" s="63"/>
      <c r="V44" s="63"/>
      <c r="W44" s="63"/>
      <c r="X44" s="64"/>
      <c r="Y44" s="85">
        <v>1.8</v>
      </c>
      <c r="Z44" s="86"/>
      <c r="AA44" s="86"/>
      <c r="AB44" s="86"/>
      <c r="AC44" s="87" t="s">
        <v>26</v>
      </c>
      <c r="AD44" s="88"/>
      <c r="AE44" s="69">
        <f t="shared" si="1"/>
        <v>1980000</v>
      </c>
      <c r="AF44" s="70"/>
      <c r="AG44" s="70"/>
      <c r="AH44" s="70"/>
      <c r="AI44" s="70"/>
      <c r="AJ44" s="71"/>
      <c r="AM44" s="69">
        <v>1100000</v>
      </c>
      <c r="AN44" s="70"/>
      <c r="AO44" s="70"/>
      <c r="AP44" s="70"/>
      <c r="AQ44" s="71"/>
    </row>
    <row r="45" spans="1:43" ht="15" customHeight="1" x14ac:dyDescent="0.55000000000000004">
      <c r="A45" s="27"/>
      <c r="B45" s="83">
        <v>7</v>
      </c>
      <c r="C45" s="84"/>
      <c r="D45" s="34" t="s">
        <v>32</v>
      </c>
      <c r="E45" s="35"/>
      <c r="F45" s="35"/>
      <c r="G45" s="35"/>
      <c r="H45" s="35"/>
      <c r="I45" s="35"/>
      <c r="J45" s="35"/>
      <c r="K45" s="35"/>
      <c r="L45" s="35"/>
      <c r="M45" s="35"/>
      <c r="N45" s="35"/>
      <c r="O45" s="35"/>
      <c r="P45" s="35"/>
      <c r="Q45" s="35"/>
      <c r="R45" s="35"/>
      <c r="S45" s="35"/>
      <c r="T45" s="63"/>
      <c r="U45" s="63"/>
      <c r="V45" s="63"/>
      <c r="W45" s="63"/>
      <c r="X45" s="64"/>
      <c r="Y45" s="85">
        <f t="shared" si="2"/>
        <v>0.6</v>
      </c>
      <c r="Z45" s="86"/>
      <c r="AA45" s="86"/>
      <c r="AB45" s="86"/>
      <c r="AC45" s="87" t="s">
        <v>26</v>
      </c>
      <c r="AD45" s="88"/>
      <c r="AE45" s="69">
        <f t="shared" si="1"/>
        <v>660000</v>
      </c>
      <c r="AF45" s="70"/>
      <c r="AG45" s="70"/>
      <c r="AH45" s="70"/>
      <c r="AI45" s="70"/>
      <c r="AJ45" s="71"/>
      <c r="AM45" s="69">
        <v>1100000</v>
      </c>
      <c r="AN45" s="70"/>
      <c r="AO45" s="70"/>
      <c r="AP45" s="70"/>
      <c r="AQ45" s="71"/>
    </row>
    <row r="46" spans="1:43" ht="15" customHeight="1" x14ac:dyDescent="0.55000000000000004">
      <c r="A46" s="27"/>
      <c r="B46" s="83">
        <v>8</v>
      </c>
      <c r="C46" s="84"/>
      <c r="D46" s="34" t="s">
        <v>33</v>
      </c>
      <c r="E46" s="35"/>
      <c r="F46" s="35"/>
      <c r="G46" s="35"/>
      <c r="H46" s="35"/>
      <c r="I46" s="35"/>
      <c r="J46" s="35"/>
      <c r="K46" s="35"/>
      <c r="L46" s="35"/>
      <c r="M46" s="35"/>
      <c r="N46" s="35"/>
      <c r="O46" s="35"/>
      <c r="P46" s="35"/>
      <c r="Q46" s="35"/>
      <c r="R46" s="35"/>
      <c r="S46" s="35"/>
      <c r="T46" s="63"/>
      <c r="U46" s="63"/>
      <c r="V46" s="63"/>
      <c r="W46" s="63"/>
      <c r="X46" s="64"/>
      <c r="Y46" s="85">
        <f t="shared" si="2"/>
        <v>0.6</v>
      </c>
      <c r="Z46" s="86"/>
      <c r="AA46" s="86"/>
      <c r="AB46" s="86"/>
      <c r="AC46" s="87" t="s">
        <v>26</v>
      </c>
      <c r="AD46" s="88"/>
      <c r="AE46" s="69">
        <f t="shared" si="0"/>
        <v>660000</v>
      </c>
      <c r="AF46" s="70"/>
      <c r="AG46" s="70"/>
      <c r="AH46" s="70"/>
      <c r="AI46" s="70"/>
      <c r="AJ46" s="71"/>
      <c r="AM46" s="69">
        <v>1100000</v>
      </c>
      <c r="AN46" s="70"/>
      <c r="AO46" s="70"/>
      <c r="AP46" s="70"/>
      <c r="AQ46" s="71"/>
    </row>
    <row r="47" spans="1:43" ht="15" customHeight="1" x14ac:dyDescent="0.55000000000000004">
      <c r="A47" s="27"/>
      <c r="B47" s="83">
        <v>9</v>
      </c>
      <c r="C47" s="84"/>
      <c r="D47" s="34" t="s">
        <v>34</v>
      </c>
      <c r="E47" s="35"/>
      <c r="F47" s="35"/>
      <c r="G47" s="35"/>
      <c r="H47" s="35"/>
      <c r="I47" s="35"/>
      <c r="J47" s="35"/>
      <c r="K47" s="35"/>
      <c r="L47" s="35"/>
      <c r="M47" s="35"/>
      <c r="N47" s="35"/>
      <c r="O47" s="35"/>
      <c r="P47" s="35"/>
      <c r="Q47" s="35"/>
      <c r="R47" s="35"/>
      <c r="S47" s="35"/>
      <c r="T47" s="63"/>
      <c r="U47" s="63"/>
      <c r="V47" s="63"/>
      <c r="W47" s="63"/>
      <c r="X47" s="64"/>
      <c r="Y47" s="85">
        <v>0.8</v>
      </c>
      <c r="Z47" s="86"/>
      <c r="AA47" s="86"/>
      <c r="AB47" s="86"/>
      <c r="AC47" s="87" t="s">
        <v>26</v>
      </c>
      <c r="AD47" s="88"/>
      <c r="AE47" s="69">
        <f t="shared" ref="AE47:AE49" si="4">AM47*Y47</f>
        <v>880000</v>
      </c>
      <c r="AF47" s="70"/>
      <c r="AG47" s="70"/>
      <c r="AH47" s="70"/>
      <c r="AI47" s="70"/>
      <c r="AJ47" s="71"/>
      <c r="AM47" s="69">
        <v>1100000</v>
      </c>
      <c r="AN47" s="70"/>
      <c r="AO47" s="70"/>
      <c r="AP47" s="70"/>
      <c r="AQ47" s="71"/>
    </row>
    <row r="48" spans="1:43" ht="15" customHeight="1" x14ac:dyDescent="0.55000000000000004">
      <c r="A48" s="27"/>
      <c r="B48" s="83">
        <v>10</v>
      </c>
      <c r="C48" s="84"/>
      <c r="D48" s="34" t="s">
        <v>35</v>
      </c>
      <c r="E48" s="35"/>
      <c r="F48" s="35"/>
      <c r="G48" s="35"/>
      <c r="H48" s="35"/>
      <c r="I48" s="35"/>
      <c r="J48" s="35"/>
      <c r="K48" s="35"/>
      <c r="L48" s="35"/>
      <c r="M48" s="35"/>
      <c r="N48" s="35"/>
      <c r="O48" s="35"/>
      <c r="P48" s="35"/>
      <c r="Q48" s="35"/>
      <c r="R48" s="35"/>
      <c r="S48" s="35"/>
      <c r="T48" s="63"/>
      <c r="U48" s="63"/>
      <c r="V48" s="63"/>
      <c r="W48" s="63"/>
      <c r="X48" s="64"/>
      <c r="Y48" s="85">
        <v>0.8</v>
      </c>
      <c r="Z48" s="86"/>
      <c r="AA48" s="86"/>
      <c r="AB48" s="86"/>
      <c r="AC48" s="87" t="s">
        <v>26</v>
      </c>
      <c r="AD48" s="88"/>
      <c r="AE48" s="69">
        <f t="shared" si="4"/>
        <v>880000</v>
      </c>
      <c r="AF48" s="70"/>
      <c r="AG48" s="70"/>
      <c r="AH48" s="70"/>
      <c r="AI48" s="70"/>
      <c r="AJ48" s="71"/>
      <c r="AM48" s="69">
        <v>1100000</v>
      </c>
      <c r="AN48" s="70"/>
      <c r="AO48" s="70"/>
      <c r="AP48" s="70"/>
      <c r="AQ48" s="71"/>
    </row>
    <row r="49" spans="1:43" ht="15" customHeight="1" x14ac:dyDescent="0.55000000000000004">
      <c r="A49" s="27"/>
      <c r="B49" s="83">
        <v>11</v>
      </c>
      <c r="C49" s="84"/>
      <c r="D49" s="34" t="s">
        <v>36</v>
      </c>
      <c r="E49" s="35"/>
      <c r="F49" s="35"/>
      <c r="G49" s="35"/>
      <c r="H49" s="35"/>
      <c r="I49" s="35"/>
      <c r="J49" s="35"/>
      <c r="K49" s="35"/>
      <c r="L49" s="35"/>
      <c r="M49" s="35"/>
      <c r="N49" s="35"/>
      <c r="O49" s="35"/>
      <c r="P49" s="35"/>
      <c r="Q49" s="35"/>
      <c r="R49" s="35"/>
      <c r="S49" s="35"/>
      <c r="T49" s="63"/>
      <c r="U49" s="63"/>
      <c r="V49" s="63"/>
      <c r="W49" s="63"/>
      <c r="X49" s="64"/>
      <c r="Y49" s="85">
        <f>ROUNDUP(SUM(Y39:AB48)*0.15,1)</f>
        <v>1.4000000000000001</v>
      </c>
      <c r="Z49" s="86"/>
      <c r="AA49" s="86"/>
      <c r="AB49" s="86"/>
      <c r="AC49" s="87" t="s">
        <v>26</v>
      </c>
      <c r="AD49" s="88"/>
      <c r="AE49" s="69">
        <f t="shared" si="4"/>
        <v>1960000.0000000002</v>
      </c>
      <c r="AF49" s="70"/>
      <c r="AG49" s="70"/>
      <c r="AH49" s="70"/>
      <c r="AI49" s="70"/>
      <c r="AJ49" s="71"/>
      <c r="AM49" s="69">
        <v>1400000</v>
      </c>
      <c r="AN49" s="70"/>
      <c r="AO49" s="70"/>
      <c r="AP49" s="70"/>
      <c r="AQ49" s="71"/>
    </row>
    <row r="50" spans="1:43" ht="15" customHeight="1" x14ac:dyDescent="0.55000000000000004">
      <c r="A50" s="27"/>
      <c r="B50" s="83"/>
      <c r="C50" s="84"/>
      <c r="D50" s="34" t="s">
        <v>37</v>
      </c>
      <c r="E50" s="35"/>
      <c r="F50" s="35"/>
      <c r="G50" s="35"/>
      <c r="H50" s="35"/>
      <c r="I50" s="35"/>
      <c r="J50" s="35"/>
      <c r="K50" s="35"/>
      <c r="L50" s="35"/>
      <c r="M50" s="35"/>
      <c r="N50" s="35"/>
      <c r="O50" s="35"/>
      <c r="P50" s="35"/>
      <c r="Q50" s="35"/>
      <c r="R50" s="35"/>
      <c r="S50" s="35"/>
      <c r="T50" s="63"/>
      <c r="U50" s="63"/>
      <c r="V50" s="63"/>
      <c r="W50" s="63"/>
      <c r="X50" s="64"/>
      <c r="Y50" s="85">
        <f>SUM(Y39:AB49)</f>
        <v>10.4</v>
      </c>
      <c r="Z50" s="86"/>
      <c r="AA50" s="86"/>
      <c r="AB50" s="86"/>
      <c r="AC50" s="87" t="s">
        <v>26</v>
      </c>
      <c r="AD50" s="88"/>
      <c r="AE50" s="69">
        <f>SUM(AE39:AJ49)</f>
        <v>11860000</v>
      </c>
      <c r="AF50" s="70"/>
      <c r="AG50" s="70"/>
      <c r="AH50" s="70"/>
      <c r="AI50" s="70"/>
      <c r="AJ50" s="71"/>
      <c r="AM50" s="69" t="s">
        <v>38</v>
      </c>
      <c r="AN50" s="70"/>
      <c r="AO50" s="70"/>
      <c r="AP50" s="70"/>
      <c r="AQ50" s="71"/>
    </row>
    <row r="51" spans="1:43" ht="15" customHeight="1" x14ac:dyDescent="0.55000000000000004">
      <c r="A51" s="27"/>
    </row>
    <row r="52" spans="1:43" ht="15" customHeight="1" x14ac:dyDescent="0.55000000000000004">
      <c r="A52" s="27"/>
    </row>
    <row r="53" spans="1:43" ht="15" customHeight="1" x14ac:dyDescent="0.55000000000000004">
      <c r="A53" s="30" t="s">
        <v>39</v>
      </c>
      <c r="T53" s="48"/>
    </row>
    <row r="54" spans="1:43" ht="15" customHeight="1" x14ac:dyDescent="0.55000000000000004">
      <c r="A54" s="27"/>
    </row>
    <row r="55" spans="1:43" ht="15" customHeight="1" x14ac:dyDescent="0.55000000000000004">
      <c r="A55" s="27"/>
      <c r="B55" s="36" t="s">
        <v>40</v>
      </c>
      <c r="C55" s="27" t="s">
        <v>41</v>
      </c>
      <c r="T55" s="36" t="s">
        <v>40</v>
      </c>
      <c r="U55" s="27" t="s">
        <v>42</v>
      </c>
    </row>
    <row r="56" spans="1:43" ht="15" customHeight="1" x14ac:dyDescent="0.55000000000000004">
      <c r="A56" s="27"/>
      <c r="B56" s="36" t="s">
        <v>40</v>
      </c>
      <c r="C56" s="27" t="s">
        <v>43</v>
      </c>
      <c r="T56" s="36" t="s">
        <v>40</v>
      </c>
      <c r="U56" s="27" t="s">
        <v>44</v>
      </c>
    </row>
    <row r="57" spans="1:43" ht="15" customHeight="1" x14ac:dyDescent="0.55000000000000004">
      <c r="A57" s="27"/>
      <c r="B57" s="36" t="s">
        <v>40</v>
      </c>
      <c r="C57" s="27" t="s">
        <v>45</v>
      </c>
      <c r="T57" s="36" t="s">
        <v>46</v>
      </c>
      <c r="U57" s="27" t="s">
        <v>47</v>
      </c>
    </row>
    <row r="58" spans="1:43" ht="15" customHeight="1" x14ac:dyDescent="0.55000000000000004">
      <c r="A58" s="27"/>
      <c r="B58" s="36" t="s">
        <v>40</v>
      </c>
      <c r="C58" s="27" t="s">
        <v>48</v>
      </c>
      <c r="T58" s="36" t="s">
        <v>40</v>
      </c>
      <c r="U58" s="27" t="s">
        <v>49</v>
      </c>
    </row>
    <row r="59" spans="1:43" ht="15" customHeight="1" x14ac:dyDescent="0.55000000000000004">
      <c r="A59" s="27"/>
      <c r="B59" s="36"/>
      <c r="C59" s="48"/>
      <c r="T59" s="48"/>
    </row>
    <row r="60" spans="1:43" ht="15" customHeight="1" x14ac:dyDescent="0.55000000000000004">
      <c r="A60" s="27"/>
      <c r="B60" s="37"/>
    </row>
    <row r="61" spans="1:43" ht="15" customHeight="1" x14ac:dyDescent="0.55000000000000004">
      <c r="A61" s="30" t="s">
        <v>50</v>
      </c>
    </row>
    <row r="63" spans="1:43" ht="15" customHeight="1" x14ac:dyDescent="0.55000000000000004">
      <c r="B63" s="27" t="s">
        <v>51</v>
      </c>
    </row>
    <row r="64" spans="1:43" ht="15" customHeight="1" x14ac:dyDescent="0.55000000000000004">
      <c r="A64" s="27"/>
      <c r="B64" s="38" t="s">
        <v>20</v>
      </c>
      <c r="C64" s="39"/>
      <c r="D64" s="38" t="s">
        <v>52</v>
      </c>
      <c r="E64" s="40"/>
      <c r="F64" s="40"/>
      <c r="G64" s="40"/>
      <c r="H64" s="40"/>
      <c r="I64" s="31" t="s">
        <v>50</v>
      </c>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2"/>
    </row>
    <row r="65" spans="1:36" ht="15" customHeight="1" x14ac:dyDescent="0.55000000000000004">
      <c r="A65" s="27"/>
      <c r="B65" s="41">
        <v>1</v>
      </c>
      <c r="C65" s="42"/>
      <c r="D65" s="43" t="s">
        <v>25</v>
      </c>
      <c r="E65" s="44"/>
      <c r="F65" s="44"/>
      <c r="G65" s="44"/>
      <c r="H65" s="44"/>
      <c r="I65" s="49" t="s">
        <v>53</v>
      </c>
      <c r="J65" s="50"/>
      <c r="K65" s="50"/>
      <c r="L65" s="50"/>
      <c r="M65" s="50"/>
      <c r="N65" s="50"/>
      <c r="O65" s="50"/>
      <c r="P65" s="50"/>
      <c r="Q65" s="50"/>
      <c r="R65" s="50"/>
      <c r="S65" s="50"/>
      <c r="T65" s="50"/>
      <c r="U65" s="50"/>
      <c r="V65" s="50"/>
      <c r="W65" s="50"/>
      <c r="X65" s="50"/>
      <c r="Y65" s="50"/>
      <c r="Z65" s="50"/>
      <c r="AA65" s="50"/>
      <c r="AB65" s="50"/>
      <c r="AC65" s="50"/>
      <c r="AD65" s="50"/>
      <c r="AE65" s="50"/>
      <c r="AF65" s="50"/>
      <c r="AG65" s="50"/>
      <c r="AH65" s="50"/>
      <c r="AI65" s="50"/>
      <c r="AJ65" s="51"/>
    </row>
    <row r="66" spans="1:36" ht="15" customHeight="1" x14ac:dyDescent="0.55000000000000004">
      <c r="A66" s="27"/>
      <c r="B66" s="65"/>
      <c r="C66" s="66"/>
      <c r="D66" s="47"/>
      <c r="E66" s="48"/>
      <c r="F66" s="48"/>
      <c r="G66" s="48"/>
      <c r="H66" s="48"/>
      <c r="I66" s="56"/>
      <c r="J66" s="57"/>
      <c r="K66" s="57"/>
      <c r="L66" s="57"/>
      <c r="M66" s="57"/>
      <c r="N66" s="57"/>
      <c r="O66" s="57"/>
      <c r="P66" s="57"/>
      <c r="Q66" s="57"/>
      <c r="R66" s="57"/>
      <c r="S66" s="57"/>
      <c r="T66" s="57"/>
      <c r="U66" s="57"/>
      <c r="V66" s="57"/>
      <c r="W66" s="57"/>
      <c r="X66" s="57"/>
      <c r="Y66" s="57"/>
      <c r="Z66" s="57"/>
      <c r="AA66" s="57"/>
      <c r="AB66" s="57"/>
      <c r="AC66" s="57"/>
      <c r="AD66" s="57"/>
      <c r="AE66" s="57"/>
      <c r="AF66" s="57"/>
      <c r="AG66" s="57"/>
      <c r="AH66" s="57"/>
      <c r="AI66" s="57"/>
      <c r="AJ66" s="58"/>
    </row>
    <row r="67" spans="1:36" ht="15" customHeight="1" x14ac:dyDescent="0.55000000000000004">
      <c r="A67" s="27"/>
      <c r="B67" s="41">
        <v>2</v>
      </c>
      <c r="C67" s="42"/>
      <c r="D67" s="43" t="s">
        <v>27</v>
      </c>
      <c r="E67" s="44"/>
      <c r="F67" s="44"/>
      <c r="G67" s="44"/>
      <c r="H67" s="44"/>
      <c r="I67" s="49" t="s">
        <v>54</v>
      </c>
      <c r="J67" s="50"/>
      <c r="K67" s="50"/>
      <c r="L67" s="50"/>
      <c r="M67" s="50"/>
      <c r="N67" s="50"/>
      <c r="O67" s="50"/>
      <c r="P67" s="50"/>
      <c r="Q67" s="50"/>
      <c r="R67" s="50"/>
      <c r="S67" s="50"/>
      <c r="T67" s="50"/>
      <c r="U67" s="50"/>
      <c r="V67" s="50"/>
      <c r="W67" s="50"/>
      <c r="X67" s="50"/>
      <c r="Y67" s="50"/>
      <c r="Z67" s="50"/>
      <c r="AA67" s="50"/>
      <c r="AB67" s="50"/>
      <c r="AC67" s="50"/>
      <c r="AD67" s="50"/>
      <c r="AE67" s="50"/>
      <c r="AF67" s="50"/>
      <c r="AG67" s="50"/>
      <c r="AH67" s="50"/>
      <c r="AI67" s="50"/>
      <c r="AJ67" s="51"/>
    </row>
    <row r="68" spans="1:36" ht="15" customHeight="1" x14ac:dyDescent="0.55000000000000004">
      <c r="A68" s="27"/>
      <c r="B68" s="65"/>
      <c r="C68" s="66"/>
      <c r="D68" s="47"/>
      <c r="E68" s="48"/>
      <c r="F68" s="48"/>
      <c r="G68" s="48"/>
      <c r="H68" s="48"/>
      <c r="I68" s="56"/>
      <c r="J68" s="57"/>
      <c r="K68" s="57"/>
      <c r="L68" s="57"/>
      <c r="M68" s="57"/>
      <c r="N68" s="57"/>
      <c r="O68" s="57"/>
      <c r="P68" s="57"/>
      <c r="Q68" s="57"/>
      <c r="R68" s="57"/>
      <c r="S68" s="57"/>
      <c r="T68" s="57"/>
      <c r="U68" s="57"/>
      <c r="V68" s="57"/>
      <c r="W68" s="57"/>
      <c r="X68" s="57"/>
      <c r="Y68" s="57"/>
      <c r="Z68" s="57"/>
      <c r="AA68" s="57"/>
      <c r="AB68" s="57"/>
      <c r="AC68" s="57"/>
      <c r="AD68" s="57"/>
      <c r="AE68" s="57"/>
      <c r="AF68" s="57"/>
      <c r="AG68" s="57"/>
      <c r="AH68" s="57"/>
      <c r="AI68" s="57"/>
      <c r="AJ68" s="58"/>
    </row>
    <row r="69" spans="1:36" ht="15" customHeight="1" x14ac:dyDescent="0.55000000000000004">
      <c r="A69" s="27"/>
      <c r="B69" s="41">
        <v>3</v>
      </c>
      <c r="C69" s="42"/>
      <c r="D69" s="43" t="s">
        <v>55</v>
      </c>
      <c r="E69" s="44"/>
      <c r="F69" s="44"/>
      <c r="G69" s="44"/>
      <c r="H69" s="44"/>
      <c r="I69" s="49" t="s">
        <v>56</v>
      </c>
      <c r="J69" s="50"/>
      <c r="K69" s="50"/>
      <c r="L69" s="50"/>
      <c r="M69" s="50"/>
      <c r="N69" s="50"/>
      <c r="O69" s="50"/>
      <c r="P69" s="50"/>
      <c r="Q69" s="50"/>
      <c r="R69" s="50"/>
      <c r="S69" s="50"/>
      <c r="T69" s="50"/>
      <c r="U69" s="50"/>
      <c r="V69" s="50"/>
      <c r="W69" s="50"/>
      <c r="X69" s="50"/>
      <c r="Y69" s="50"/>
      <c r="Z69" s="50"/>
      <c r="AA69" s="50"/>
      <c r="AB69" s="50"/>
      <c r="AC69" s="50"/>
      <c r="AD69" s="50"/>
      <c r="AE69" s="50"/>
      <c r="AF69" s="50"/>
      <c r="AG69" s="50"/>
      <c r="AH69" s="50"/>
      <c r="AI69" s="50"/>
      <c r="AJ69" s="51"/>
    </row>
    <row r="70" spans="1:36" ht="15" customHeight="1" x14ac:dyDescent="0.55000000000000004">
      <c r="A70" s="27"/>
      <c r="B70" s="52"/>
      <c r="C70" s="53"/>
      <c r="D70" s="54"/>
      <c r="E70" s="55"/>
      <c r="F70" s="55"/>
      <c r="G70" s="55"/>
      <c r="H70" s="55"/>
      <c r="I70" s="56"/>
      <c r="J70" s="57"/>
      <c r="K70" s="57"/>
      <c r="L70" s="57"/>
      <c r="M70" s="57"/>
      <c r="N70" s="57"/>
      <c r="O70" s="57"/>
      <c r="P70" s="57"/>
      <c r="Q70" s="57"/>
      <c r="R70" s="57"/>
      <c r="S70" s="57"/>
      <c r="T70" s="57"/>
      <c r="U70" s="57"/>
      <c r="V70" s="57"/>
      <c r="W70" s="57"/>
      <c r="X70" s="57"/>
      <c r="Y70" s="57"/>
      <c r="Z70" s="57"/>
      <c r="AA70" s="57"/>
      <c r="AB70" s="57"/>
      <c r="AC70" s="57"/>
      <c r="AD70" s="57"/>
      <c r="AE70" s="57"/>
      <c r="AF70" s="57"/>
      <c r="AG70" s="57"/>
      <c r="AH70" s="57"/>
      <c r="AI70" s="57"/>
      <c r="AJ70" s="58"/>
    </row>
    <row r="71" spans="1:36" ht="15" customHeight="1" x14ac:dyDescent="0.55000000000000004">
      <c r="A71" s="27"/>
      <c r="B71" s="41">
        <v>4</v>
      </c>
      <c r="C71" s="42"/>
      <c r="D71" s="43" t="s">
        <v>57</v>
      </c>
      <c r="E71" s="44"/>
      <c r="F71" s="44"/>
      <c r="G71" s="44"/>
      <c r="H71" s="44"/>
      <c r="I71" s="45" t="s">
        <v>58</v>
      </c>
      <c r="AJ71" s="46"/>
    </row>
    <row r="72" spans="1:36" ht="15" customHeight="1" x14ac:dyDescent="0.55000000000000004">
      <c r="A72" s="27"/>
      <c r="B72" s="52"/>
      <c r="C72" s="53"/>
      <c r="D72" s="54" t="s">
        <v>59</v>
      </c>
      <c r="E72" s="55"/>
      <c r="F72" s="55"/>
      <c r="G72" s="55"/>
      <c r="H72" s="55"/>
      <c r="I72" s="45" t="s">
        <v>60</v>
      </c>
      <c r="AJ72" s="46"/>
    </row>
    <row r="73" spans="1:36" ht="15" customHeight="1" x14ac:dyDescent="0.55000000000000004">
      <c r="A73" s="27"/>
      <c r="B73" s="65">
        <v>5</v>
      </c>
      <c r="C73" s="66"/>
      <c r="D73" s="47" t="s">
        <v>30</v>
      </c>
      <c r="E73" s="48"/>
      <c r="F73" s="48"/>
      <c r="G73" s="48"/>
      <c r="H73" s="48"/>
      <c r="I73" s="49" t="s">
        <v>61</v>
      </c>
      <c r="J73" s="50"/>
      <c r="K73" s="50"/>
      <c r="L73" s="50"/>
      <c r="M73" s="50"/>
      <c r="N73" s="50"/>
      <c r="O73" s="50"/>
      <c r="P73" s="50"/>
      <c r="Q73" s="50"/>
      <c r="R73" s="50"/>
      <c r="S73" s="50"/>
      <c r="T73" s="50"/>
      <c r="U73" s="50"/>
      <c r="V73" s="50"/>
      <c r="W73" s="50"/>
      <c r="X73" s="50"/>
      <c r="Y73" s="50"/>
      <c r="Z73" s="50"/>
      <c r="AA73" s="50"/>
      <c r="AB73" s="50"/>
      <c r="AC73" s="50"/>
      <c r="AD73" s="50"/>
      <c r="AE73" s="50"/>
      <c r="AF73" s="50"/>
      <c r="AG73" s="50"/>
      <c r="AH73" s="50"/>
      <c r="AI73" s="50"/>
      <c r="AJ73" s="51"/>
    </row>
    <row r="74" spans="1:36" ht="15" customHeight="1" x14ac:dyDescent="0.55000000000000004">
      <c r="A74" s="27"/>
      <c r="B74" s="52"/>
      <c r="C74" s="53"/>
      <c r="D74" s="54"/>
      <c r="E74" s="55"/>
      <c r="F74" s="55"/>
      <c r="G74" s="55"/>
      <c r="H74" s="55"/>
      <c r="I74" s="56" t="s">
        <v>62</v>
      </c>
      <c r="J74" s="57"/>
      <c r="K74" s="57"/>
      <c r="L74" s="57"/>
      <c r="M74" s="57"/>
      <c r="N74" s="57"/>
      <c r="O74" s="57"/>
      <c r="P74" s="57"/>
      <c r="Q74" s="57"/>
      <c r="R74" s="57"/>
      <c r="S74" s="57"/>
      <c r="T74" s="57"/>
      <c r="U74" s="57"/>
      <c r="V74" s="57"/>
      <c r="W74" s="57"/>
      <c r="X74" s="57"/>
      <c r="Y74" s="57"/>
      <c r="Z74" s="57"/>
      <c r="AA74" s="57"/>
      <c r="AB74" s="57"/>
      <c r="AC74" s="57"/>
      <c r="AD74" s="57"/>
      <c r="AE74" s="57"/>
      <c r="AF74" s="57"/>
      <c r="AG74" s="57"/>
      <c r="AH74" s="57"/>
      <c r="AI74" s="57"/>
      <c r="AJ74" s="58"/>
    </row>
    <row r="75" spans="1:36" ht="15" customHeight="1" x14ac:dyDescent="0.55000000000000004">
      <c r="A75" s="27"/>
      <c r="B75" s="65">
        <v>6</v>
      </c>
      <c r="C75" s="66"/>
      <c r="D75" s="47" t="s">
        <v>31</v>
      </c>
      <c r="E75" s="48"/>
      <c r="F75" s="48"/>
      <c r="G75" s="48"/>
      <c r="H75" s="48"/>
      <c r="I75" s="49" t="s">
        <v>63</v>
      </c>
      <c r="J75" s="50"/>
      <c r="K75" s="50"/>
      <c r="L75" s="50"/>
      <c r="M75" s="50"/>
      <c r="N75" s="50"/>
      <c r="O75" s="50"/>
      <c r="P75" s="50"/>
      <c r="Q75" s="50"/>
      <c r="R75" s="50"/>
      <c r="S75" s="50"/>
      <c r="T75" s="50"/>
      <c r="U75" s="50"/>
      <c r="V75" s="50"/>
      <c r="W75" s="50"/>
      <c r="X75" s="50"/>
      <c r="Y75" s="50"/>
      <c r="Z75" s="50"/>
      <c r="AA75" s="50"/>
      <c r="AB75" s="50"/>
      <c r="AC75" s="50"/>
      <c r="AD75" s="50"/>
      <c r="AE75" s="50"/>
      <c r="AF75" s="50"/>
      <c r="AG75" s="50"/>
      <c r="AH75" s="50"/>
      <c r="AI75" s="50"/>
      <c r="AJ75" s="51"/>
    </row>
    <row r="76" spans="1:36" ht="15" customHeight="1" x14ac:dyDescent="0.55000000000000004">
      <c r="A76" s="27"/>
      <c r="B76" s="52"/>
      <c r="C76" s="53"/>
      <c r="D76" s="54"/>
      <c r="E76" s="55"/>
      <c r="F76" s="55"/>
      <c r="G76" s="55"/>
      <c r="H76" s="55"/>
      <c r="I76" s="56" t="s">
        <v>64</v>
      </c>
      <c r="J76" s="57"/>
      <c r="K76" s="57"/>
      <c r="L76" s="57"/>
      <c r="M76" s="57"/>
      <c r="N76" s="57"/>
      <c r="O76" s="57"/>
      <c r="P76" s="57"/>
      <c r="Q76" s="57"/>
      <c r="R76" s="57"/>
      <c r="S76" s="57"/>
      <c r="T76" s="57"/>
      <c r="U76" s="57"/>
      <c r="V76" s="57"/>
      <c r="W76" s="57"/>
      <c r="X76" s="57"/>
      <c r="Y76" s="57"/>
      <c r="Z76" s="57"/>
      <c r="AA76" s="57"/>
      <c r="AB76" s="57"/>
      <c r="AC76" s="57"/>
      <c r="AD76" s="57"/>
      <c r="AE76" s="57"/>
      <c r="AF76" s="57"/>
      <c r="AG76" s="57"/>
      <c r="AH76" s="57"/>
      <c r="AI76" s="57"/>
      <c r="AJ76" s="58"/>
    </row>
    <row r="77" spans="1:36" ht="15" customHeight="1" x14ac:dyDescent="0.55000000000000004">
      <c r="A77" s="27"/>
      <c r="B77" s="65">
        <v>7</v>
      </c>
      <c r="C77" s="66"/>
      <c r="D77" s="47" t="s">
        <v>32</v>
      </c>
      <c r="E77" s="48"/>
      <c r="F77" s="48"/>
      <c r="G77" s="48"/>
      <c r="H77" s="48"/>
      <c r="I77" s="49" t="s">
        <v>65</v>
      </c>
      <c r="J77" s="50"/>
      <c r="K77" s="50"/>
      <c r="L77" s="50"/>
      <c r="M77" s="50"/>
      <c r="N77" s="50"/>
      <c r="O77" s="50"/>
      <c r="P77" s="50"/>
      <c r="Q77" s="50"/>
      <c r="R77" s="50"/>
      <c r="S77" s="50"/>
      <c r="T77" s="50"/>
      <c r="U77" s="50"/>
      <c r="V77" s="50"/>
      <c r="W77" s="50"/>
      <c r="X77" s="50"/>
      <c r="Y77" s="50"/>
      <c r="Z77" s="50"/>
      <c r="AA77" s="50"/>
      <c r="AB77" s="50"/>
      <c r="AC77" s="50"/>
      <c r="AD77" s="50"/>
      <c r="AE77" s="50"/>
      <c r="AF77" s="50"/>
      <c r="AG77" s="50"/>
      <c r="AH77" s="50"/>
      <c r="AI77" s="50"/>
      <c r="AJ77" s="51"/>
    </row>
    <row r="78" spans="1:36" ht="15" customHeight="1" x14ac:dyDescent="0.55000000000000004">
      <c r="A78" s="27"/>
      <c r="B78" s="52"/>
      <c r="C78" s="53"/>
      <c r="D78" s="54"/>
      <c r="E78" s="55"/>
      <c r="F78" s="55"/>
      <c r="G78" s="55"/>
      <c r="H78" s="55"/>
      <c r="I78" s="56" t="s">
        <v>66</v>
      </c>
      <c r="J78" s="57"/>
      <c r="K78" s="57"/>
      <c r="L78" s="57"/>
      <c r="M78" s="57"/>
      <c r="N78" s="57"/>
      <c r="O78" s="57"/>
      <c r="P78" s="57"/>
      <c r="Q78" s="57"/>
      <c r="R78" s="57"/>
      <c r="S78" s="57"/>
      <c r="T78" s="57"/>
      <c r="U78" s="57"/>
      <c r="V78" s="57"/>
      <c r="W78" s="57"/>
      <c r="X78" s="57"/>
      <c r="Y78" s="57"/>
      <c r="Z78" s="57"/>
      <c r="AA78" s="57"/>
      <c r="AB78" s="57"/>
      <c r="AC78" s="57"/>
      <c r="AD78" s="57"/>
      <c r="AE78" s="57"/>
      <c r="AF78" s="57"/>
      <c r="AG78" s="57"/>
      <c r="AH78" s="57"/>
      <c r="AI78" s="57"/>
      <c r="AJ78" s="58"/>
    </row>
    <row r="79" spans="1:36" ht="15" customHeight="1" x14ac:dyDescent="0.55000000000000004">
      <c r="A79" s="27"/>
      <c r="B79" s="41">
        <v>8</v>
      </c>
      <c r="C79" s="42"/>
      <c r="D79" s="43" t="s">
        <v>67</v>
      </c>
      <c r="E79" s="44"/>
      <c r="F79" s="44"/>
      <c r="G79" s="44"/>
      <c r="H79" s="44"/>
      <c r="I79" s="49" t="s">
        <v>68</v>
      </c>
      <c r="J79" s="50"/>
      <c r="K79" s="50"/>
      <c r="L79" s="50"/>
      <c r="M79" s="50"/>
      <c r="N79" s="50"/>
      <c r="O79" s="50"/>
      <c r="P79" s="50"/>
      <c r="Q79" s="50"/>
      <c r="R79" s="50"/>
      <c r="S79" s="50"/>
      <c r="T79" s="50"/>
      <c r="U79" s="50"/>
      <c r="V79" s="50"/>
      <c r="W79" s="50"/>
      <c r="X79" s="50"/>
      <c r="Y79" s="50"/>
      <c r="Z79" s="50"/>
      <c r="AA79" s="50"/>
      <c r="AB79" s="50"/>
      <c r="AC79" s="50"/>
      <c r="AD79" s="50"/>
      <c r="AE79" s="50"/>
      <c r="AF79" s="50"/>
      <c r="AG79" s="50"/>
      <c r="AH79" s="50"/>
      <c r="AI79" s="50"/>
      <c r="AJ79" s="51"/>
    </row>
    <row r="80" spans="1:36" ht="15" customHeight="1" x14ac:dyDescent="0.55000000000000004">
      <c r="A80" s="27"/>
      <c r="B80" s="52"/>
      <c r="C80" s="53"/>
      <c r="D80" s="54"/>
      <c r="E80" s="55"/>
      <c r="F80" s="55"/>
      <c r="G80" s="55"/>
      <c r="H80" s="55"/>
      <c r="I80" s="56" t="s">
        <v>69</v>
      </c>
      <c r="J80" s="57"/>
      <c r="K80" s="57"/>
      <c r="L80" s="57"/>
      <c r="M80" s="57"/>
      <c r="N80" s="57"/>
      <c r="O80" s="57"/>
      <c r="P80" s="57"/>
      <c r="Q80" s="57"/>
      <c r="R80" s="57"/>
      <c r="S80" s="57"/>
      <c r="T80" s="57"/>
      <c r="U80" s="57"/>
      <c r="V80" s="57"/>
      <c r="W80" s="57"/>
      <c r="X80" s="57"/>
      <c r="Y80" s="57"/>
      <c r="Z80" s="57"/>
      <c r="AA80" s="57"/>
      <c r="AB80" s="57"/>
      <c r="AC80" s="57"/>
      <c r="AD80" s="57"/>
      <c r="AE80" s="57"/>
      <c r="AF80" s="57"/>
      <c r="AG80" s="57"/>
      <c r="AH80" s="57"/>
      <c r="AI80" s="57"/>
      <c r="AJ80" s="58"/>
    </row>
    <row r="81" spans="1:36" ht="15" customHeight="1" x14ac:dyDescent="0.55000000000000004">
      <c r="A81" s="27"/>
      <c r="B81" s="41">
        <v>9</v>
      </c>
      <c r="C81" s="42"/>
      <c r="D81" s="43" t="s">
        <v>70</v>
      </c>
      <c r="E81" s="44"/>
      <c r="F81" s="44"/>
      <c r="G81" s="44"/>
      <c r="H81" s="44"/>
      <c r="I81" s="49" t="s">
        <v>71</v>
      </c>
      <c r="J81" s="50"/>
      <c r="K81" s="50"/>
      <c r="L81" s="50"/>
      <c r="M81" s="50"/>
      <c r="N81" s="50"/>
      <c r="O81" s="50"/>
      <c r="P81" s="50"/>
      <c r="Q81" s="50"/>
      <c r="R81" s="50"/>
      <c r="S81" s="50"/>
      <c r="T81" s="50"/>
      <c r="U81" s="50"/>
      <c r="V81" s="50"/>
      <c r="W81" s="50"/>
      <c r="X81" s="50"/>
      <c r="Y81" s="50"/>
      <c r="Z81" s="50"/>
      <c r="AA81" s="50"/>
      <c r="AB81" s="50"/>
      <c r="AC81" s="50"/>
      <c r="AD81" s="50"/>
      <c r="AE81" s="50"/>
      <c r="AF81" s="50"/>
      <c r="AG81" s="50"/>
      <c r="AH81" s="50"/>
      <c r="AI81" s="50"/>
      <c r="AJ81" s="51"/>
    </row>
    <row r="82" spans="1:36" ht="15" customHeight="1" x14ac:dyDescent="0.55000000000000004">
      <c r="A82" s="27"/>
      <c r="B82" s="65"/>
      <c r="C82" s="66"/>
      <c r="D82" s="47"/>
      <c r="E82" s="48"/>
      <c r="F82" s="48"/>
      <c r="G82" s="48"/>
      <c r="H82" s="48"/>
      <c r="I82" s="45" t="s">
        <v>72</v>
      </c>
      <c r="AJ82" s="46"/>
    </row>
    <row r="83" spans="1:36" ht="15" customHeight="1" x14ac:dyDescent="0.55000000000000004">
      <c r="A83" s="27"/>
      <c r="B83" s="52"/>
      <c r="C83" s="53"/>
      <c r="D83" s="54"/>
      <c r="E83" s="55"/>
      <c r="F83" s="55"/>
      <c r="G83" s="55"/>
      <c r="H83" s="55"/>
      <c r="I83" s="56" t="s">
        <v>73</v>
      </c>
      <c r="J83" s="57"/>
      <c r="K83" s="57"/>
      <c r="L83" s="57"/>
      <c r="M83" s="57"/>
      <c r="N83" s="57"/>
      <c r="O83" s="57"/>
      <c r="P83" s="57"/>
      <c r="Q83" s="57"/>
      <c r="R83" s="57"/>
      <c r="S83" s="57"/>
      <c r="T83" s="57"/>
      <c r="U83" s="57"/>
      <c r="V83" s="57"/>
      <c r="W83" s="57"/>
      <c r="X83" s="57"/>
      <c r="Y83" s="57"/>
      <c r="Z83" s="57"/>
      <c r="AA83" s="57"/>
      <c r="AB83" s="57"/>
      <c r="AC83" s="57"/>
      <c r="AD83" s="57"/>
      <c r="AE83" s="57"/>
      <c r="AF83" s="57"/>
      <c r="AG83" s="57"/>
      <c r="AH83" s="57"/>
      <c r="AI83" s="57"/>
      <c r="AJ83" s="58"/>
    </row>
    <row r="84" spans="1:36" ht="15" customHeight="1" x14ac:dyDescent="0.55000000000000004">
      <c r="A84" s="27"/>
      <c r="B84" s="41">
        <v>10</v>
      </c>
      <c r="C84" s="42"/>
      <c r="D84" s="43" t="s">
        <v>74</v>
      </c>
      <c r="E84" s="48"/>
      <c r="F84" s="48"/>
      <c r="G84" s="48"/>
      <c r="H84" s="48"/>
      <c r="I84" s="49" t="s">
        <v>75</v>
      </c>
      <c r="J84" s="50"/>
      <c r="K84" s="50"/>
      <c r="L84" s="50"/>
      <c r="M84" s="50"/>
      <c r="N84" s="50"/>
      <c r="O84" s="50"/>
      <c r="P84" s="50"/>
      <c r="Q84" s="50"/>
      <c r="R84" s="50"/>
      <c r="S84" s="50"/>
      <c r="T84" s="50"/>
      <c r="U84" s="50"/>
      <c r="V84" s="50"/>
      <c r="W84" s="50"/>
      <c r="X84" s="50"/>
      <c r="Y84" s="50"/>
      <c r="Z84" s="50"/>
      <c r="AA84" s="50"/>
      <c r="AB84" s="50"/>
      <c r="AC84" s="50"/>
      <c r="AD84" s="50"/>
      <c r="AE84" s="50"/>
      <c r="AF84" s="50"/>
      <c r="AG84" s="50"/>
      <c r="AH84" s="50"/>
      <c r="AI84" s="50"/>
      <c r="AJ84" s="51"/>
    </row>
    <row r="85" spans="1:36" ht="15" customHeight="1" x14ac:dyDescent="0.55000000000000004">
      <c r="A85" s="27"/>
      <c r="B85" s="52"/>
      <c r="C85" s="53"/>
      <c r="D85" s="54"/>
      <c r="E85" s="55"/>
      <c r="F85" s="55"/>
      <c r="G85" s="55"/>
      <c r="H85" s="55"/>
      <c r="I85" s="56"/>
      <c r="J85" s="57"/>
      <c r="K85" s="57"/>
      <c r="L85" s="57"/>
      <c r="M85" s="57"/>
      <c r="N85" s="57"/>
      <c r="O85" s="57"/>
      <c r="P85" s="57"/>
      <c r="Q85" s="57"/>
      <c r="R85" s="57"/>
      <c r="S85" s="57"/>
      <c r="T85" s="57"/>
      <c r="U85" s="57"/>
      <c r="V85" s="57"/>
      <c r="W85" s="57"/>
      <c r="X85" s="57"/>
      <c r="Y85" s="57"/>
      <c r="Z85" s="57"/>
      <c r="AA85" s="57"/>
      <c r="AB85" s="57"/>
      <c r="AC85" s="57"/>
      <c r="AD85" s="57"/>
      <c r="AE85" s="57"/>
      <c r="AF85" s="57"/>
      <c r="AG85" s="57"/>
      <c r="AH85" s="57"/>
      <c r="AI85" s="57"/>
      <c r="AJ85" s="58"/>
    </row>
    <row r="86" spans="1:36" ht="15" customHeight="1" x14ac:dyDescent="0.55000000000000004">
      <c r="A86" s="27"/>
      <c r="B86" s="41">
        <v>11</v>
      </c>
      <c r="C86" s="42"/>
      <c r="D86" s="43" t="s">
        <v>76</v>
      </c>
      <c r="E86" s="44"/>
      <c r="F86" s="44"/>
      <c r="G86" s="44"/>
      <c r="H86" s="44"/>
      <c r="I86" s="45" t="s">
        <v>77</v>
      </c>
      <c r="AJ86" s="46"/>
    </row>
    <row r="87" spans="1:36" ht="15" customHeight="1" x14ac:dyDescent="0.55000000000000004">
      <c r="A87" s="27"/>
      <c r="B87" s="52"/>
      <c r="C87" s="53"/>
      <c r="D87" s="54"/>
      <c r="E87" s="55"/>
      <c r="F87" s="55"/>
      <c r="G87" s="55"/>
      <c r="H87" s="55"/>
      <c r="I87" s="56"/>
      <c r="J87" s="57"/>
      <c r="K87" s="57"/>
      <c r="L87" s="57"/>
      <c r="M87" s="57"/>
      <c r="N87" s="57"/>
      <c r="O87" s="57"/>
      <c r="P87" s="57"/>
      <c r="Q87" s="57"/>
      <c r="R87" s="57"/>
      <c r="S87" s="57"/>
      <c r="T87" s="57"/>
      <c r="U87" s="57"/>
      <c r="V87" s="57"/>
      <c r="W87" s="57"/>
      <c r="X87" s="57"/>
      <c r="Y87" s="57"/>
      <c r="Z87" s="57"/>
      <c r="AA87" s="57"/>
      <c r="AB87" s="57"/>
      <c r="AC87" s="57"/>
      <c r="AD87" s="57"/>
      <c r="AE87" s="57"/>
      <c r="AF87" s="57"/>
      <c r="AG87" s="57"/>
      <c r="AH87" s="57"/>
      <c r="AI87" s="57"/>
      <c r="AJ87" s="58"/>
    </row>
    <row r="88" spans="1:36" ht="15" customHeight="1" x14ac:dyDescent="0.55000000000000004">
      <c r="A88" s="27"/>
    </row>
    <row r="89" spans="1:36" ht="15" customHeight="1" x14ac:dyDescent="0.55000000000000004">
      <c r="A89" s="27"/>
      <c r="B89" s="27" t="s">
        <v>78</v>
      </c>
    </row>
    <row r="90" spans="1:36" ht="15" customHeight="1" x14ac:dyDescent="0.55000000000000004">
      <c r="A90" s="27"/>
      <c r="D90" s="27" t="s">
        <v>79</v>
      </c>
    </row>
    <row r="91" spans="1:36" ht="15" customHeight="1" x14ac:dyDescent="0.55000000000000004">
      <c r="A91" s="27"/>
    </row>
    <row r="92" spans="1:36" ht="15" customHeight="1" x14ac:dyDescent="0.55000000000000004">
      <c r="A92" s="30" t="s">
        <v>80</v>
      </c>
    </row>
    <row r="93" spans="1:36" ht="15" customHeight="1" x14ac:dyDescent="0.55000000000000004">
      <c r="B93" s="37"/>
    </row>
    <row r="94" spans="1:36" ht="15" customHeight="1" x14ac:dyDescent="0.55000000000000004">
      <c r="A94" s="27"/>
      <c r="B94" s="38" t="s">
        <v>20</v>
      </c>
      <c r="C94" s="39"/>
      <c r="D94" s="38" t="s">
        <v>52</v>
      </c>
      <c r="E94" s="40"/>
      <c r="F94" s="40"/>
      <c r="G94" s="40"/>
      <c r="H94" s="40"/>
      <c r="I94" s="31" t="s">
        <v>81</v>
      </c>
      <c r="J94" s="33"/>
      <c r="K94" s="33"/>
      <c r="L94" s="33"/>
      <c r="M94" s="33"/>
      <c r="N94" s="32"/>
      <c r="O94" s="31" t="s">
        <v>82</v>
      </c>
      <c r="P94" s="33"/>
      <c r="Q94" s="33"/>
      <c r="R94" s="33"/>
      <c r="S94" s="33"/>
      <c r="T94" s="32"/>
      <c r="U94" s="31" t="s">
        <v>83</v>
      </c>
      <c r="V94" s="33"/>
      <c r="W94" s="33"/>
      <c r="X94" s="33"/>
      <c r="Y94" s="33"/>
      <c r="Z94" s="32"/>
      <c r="AA94" s="31" t="s">
        <v>84</v>
      </c>
      <c r="AB94" s="33"/>
      <c r="AC94" s="33"/>
      <c r="AD94" s="33"/>
      <c r="AE94" s="33"/>
      <c r="AF94" s="33"/>
      <c r="AG94" s="33"/>
      <c r="AH94" s="33"/>
      <c r="AI94" s="32"/>
    </row>
    <row r="95" spans="1:36" ht="15" customHeight="1" x14ac:dyDescent="0.55000000000000004">
      <c r="A95" s="27"/>
      <c r="B95" s="41">
        <v>1</v>
      </c>
      <c r="C95" s="42"/>
      <c r="D95" s="43" t="s">
        <v>85</v>
      </c>
      <c r="E95" s="44"/>
      <c r="F95" s="44"/>
      <c r="G95" s="44"/>
      <c r="H95" s="44"/>
      <c r="I95" s="43"/>
      <c r="J95" s="50"/>
      <c r="K95" s="50"/>
      <c r="L95" s="44"/>
      <c r="M95" s="50"/>
      <c r="N95" s="67"/>
      <c r="O95" s="49"/>
      <c r="P95" s="50"/>
      <c r="Q95" s="44"/>
      <c r="R95" s="50"/>
      <c r="S95" s="44"/>
      <c r="T95" s="51"/>
      <c r="U95" s="49"/>
      <c r="V95" s="44"/>
      <c r="W95" s="50"/>
      <c r="X95" s="50"/>
      <c r="Y95" s="50"/>
      <c r="Z95" s="51"/>
      <c r="AA95" s="49"/>
      <c r="AB95" s="50"/>
      <c r="AC95" s="50"/>
      <c r="AD95" s="50"/>
      <c r="AE95" s="50"/>
      <c r="AF95" s="50"/>
      <c r="AG95" s="50"/>
      <c r="AH95" s="50"/>
      <c r="AI95" s="51"/>
    </row>
    <row r="96" spans="1:36" ht="15" customHeight="1" x14ac:dyDescent="0.55000000000000004">
      <c r="A96" s="27"/>
      <c r="B96" s="52"/>
      <c r="C96" s="53"/>
      <c r="D96" s="54" t="s">
        <v>86</v>
      </c>
      <c r="E96" s="55"/>
      <c r="F96" s="55"/>
      <c r="G96" s="55"/>
      <c r="H96" s="55"/>
      <c r="I96" s="54"/>
      <c r="J96" s="57"/>
      <c r="K96" s="57"/>
      <c r="L96" s="55"/>
      <c r="M96" s="57"/>
      <c r="N96" s="68"/>
      <c r="O96" s="56"/>
      <c r="P96" s="57"/>
      <c r="Q96" s="55"/>
      <c r="R96" s="57"/>
      <c r="S96" s="55"/>
      <c r="T96" s="58"/>
      <c r="U96" s="56"/>
      <c r="V96" s="55"/>
      <c r="W96" s="57"/>
      <c r="X96" s="57"/>
      <c r="Y96" s="57"/>
      <c r="Z96" s="58"/>
      <c r="AA96" s="56"/>
      <c r="AB96" s="57"/>
      <c r="AC96" s="57"/>
      <c r="AD96" s="57"/>
      <c r="AE96" s="57"/>
      <c r="AF96" s="57"/>
      <c r="AG96" s="57"/>
      <c r="AH96" s="57"/>
      <c r="AI96" s="58"/>
    </row>
    <row r="97" spans="1:33" ht="15" customHeight="1" x14ac:dyDescent="0.55000000000000004">
      <c r="A97" s="27"/>
      <c r="I97" s="59"/>
      <c r="J97" s="59"/>
      <c r="K97" s="59"/>
      <c r="L97" s="59"/>
      <c r="M97" s="59"/>
      <c r="N97" s="59"/>
      <c r="O97" s="59"/>
      <c r="P97" s="59"/>
      <c r="Q97" s="59"/>
      <c r="R97" s="59"/>
      <c r="S97" s="59"/>
      <c r="T97" s="59"/>
      <c r="V97" s="59"/>
      <c r="X97" s="59"/>
      <c r="Z97" s="59"/>
      <c r="AC97" s="59"/>
      <c r="AD97" s="59"/>
    </row>
    <row r="98" spans="1:33" ht="15" customHeight="1" x14ac:dyDescent="0.55000000000000004">
      <c r="A98" s="27"/>
      <c r="I98" s="59"/>
      <c r="J98" s="59"/>
      <c r="K98" s="59"/>
      <c r="L98" s="59"/>
      <c r="M98" s="59"/>
      <c r="N98" s="59"/>
      <c r="O98" s="59"/>
      <c r="P98" s="59"/>
      <c r="Q98" s="59"/>
      <c r="R98" s="59"/>
      <c r="S98" s="59"/>
      <c r="T98" s="59"/>
      <c r="U98" s="59"/>
      <c r="V98" s="59"/>
      <c r="W98" s="59"/>
      <c r="X98" s="59"/>
      <c r="Y98" s="59"/>
      <c r="Z98" s="59"/>
      <c r="AA98" s="59"/>
      <c r="AB98" s="59"/>
      <c r="AC98" s="59"/>
      <c r="AD98" s="59"/>
      <c r="AE98" s="59"/>
      <c r="AF98" s="59"/>
      <c r="AG98" s="59"/>
    </row>
    <row r="99" spans="1:33" ht="15" customHeight="1" x14ac:dyDescent="0.55000000000000004">
      <c r="A99" s="30" t="s">
        <v>87</v>
      </c>
      <c r="I99" s="59"/>
      <c r="J99" s="59"/>
      <c r="K99" s="59"/>
      <c r="L99" s="59"/>
      <c r="M99" s="59"/>
      <c r="N99" s="59"/>
      <c r="O99" s="59"/>
      <c r="P99" s="59"/>
      <c r="Q99" s="59"/>
      <c r="R99" s="59"/>
      <c r="S99" s="59"/>
      <c r="T99" s="59"/>
      <c r="U99" s="59"/>
      <c r="V99" s="59"/>
      <c r="W99" s="59"/>
      <c r="X99" s="59"/>
      <c r="Y99" s="59"/>
      <c r="Z99" s="59"/>
      <c r="AA99" s="59"/>
      <c r="AB99" s="59"/>
      <c r="AC99" s="59"/>
      <c r="AD99" s="59"/>
      <c r="AE99" s="59"/>
      <c r="AF99" s="59"/>
      <c r="AG99" s="59"/>
    </row>
    <row r="100" spans="1:33" ht="15" customHeight="1" x14ac:dyDescent="0.55000000000000004">
      <c r="A100" s="27"/>
      <c r="I100" s="59"/>
      <c r="J100" s="59"/>
      <c r="K100" s="59"/>
      <c r="L100" s="59"/>
      <c r="M100" s="59"/>
      <c r="N100" s="59"/>
      <c r="O100" s="59"/>
      <c r="P100" s="59"/>
      <c r="Q100" s="59"/>
      <c r="R100" s="59"/>
      <c r="S100" s="59"/>
      <c r="T100" s="59"/>
      <c r="U100" s="59"/>
      <c r="V100" s="59"/>
      <c r="W100" s="59"/>
      <c r="X100" s="59"/>
      <c r="Y100" s="59"/>
      <c r="Z100" s="59"/>
      <c r="AA100" s="59"/>
      <c r="AB100" s="59"/>
      <c r="AC100" s="59"/>
      <c r="AD100" s="59"/>
      <c r="AE100" s="59"/>
      <c r="AF100" s="59"/>
      <c r="AG100" s="59"/>
    </row>
    <row r="101" spans="1:33" ht="15" customHeight="1" x14ac:dyDescent="0.55000000000000004">
      <c r="A101" s="27"/>
      <c r="B101" s="27" t="s">
        <v>88</v>
      </c>
      <c r="G101" s="27" t="s">
        <v>89</v>
      </c>
      <c r="H101" s="27" t="s">
        <v>90</v>
      </c>
      <c r="I101" s="59"/>
      <c r="J101" s="59"/>
      <c r="K101" s="59"/>
      <c r="L101" s="59"/>
      <c r="M101" s="59"/>
      <c r="N101" s="59"/>
      <c r="O101" s="59"/>
      <c r="P101" s="59"/>
      <c r="Q101" s="59"/>
      <c r="R101" s="59"/>
      <c r="S101" s="59"/>
      <c r="T101" s="59"/>
      <c r="U101" s="59"/>
      <c r="V101" s="59"/>
      <c r="W101" s="59"/>
      <c r="X101" s="59"/>
      <c r="Y101" s="59"/>
      <c r="Z101" s="59"/>
      <c r="AA101" s="59"/>
      <c r="AB101" s="59"/>
      <c r="AC101" s="59"/>
      <c r="AD101" s="59"/>
      <c r="AE101" s="59"/>
      <c r="AF101" s="59"/>
      <c r="AG101" s="59"/>
    </row>
    <row r="102" spans="1:33" ht="15" customHeight="1" x14ac:dyDescent="0.55000000000000004">
      <c r="A102" s="27"/>
      <c r="B102" s="27" t="s">
        <v>91</v>
      </c>
      <c r="G102" s="27" t="s">
        <v>89</v>
      </c>
      <c r="H102" s="27" t="s">
        <v>92</v>
      </c>
      <c r="I102" s="59"/>
      <c r="J102" s="59"/>
      <c r="K102" s="59"/>
      <c r="L102" s="59"/>
      <c r="M102" s="59"/>
      <c r="N102" s="59"/>
      <c r="O102" s="59"/>
      <c r="P102" s="59"/>
      <c r="Q102" s="59"/>
      <c r="R102" s="59"/>
      <c r="S102" s="59"/>
      <c r="T102" s="59"/>
      <c r="U102" s="59"/>
      <c r="V102" s="59"/>
      <c r="W102" s="59"/>
      <c r="X102" s="59"/>
      <c r="Y102" s="59"/>
      <c r="Z102" s="59"/>
      <c r="AA102" s="59"/>
      <c r="AB102" s="59"/>
      <c r="AC102" s="59"/>
      <c r="AD102" s="59"/>
      <c r="AE102" s="59"/>
      <c r="AF102" s="59"/>
      <c r="AG102" s="59"/>
    </row>
    <row r="103" spans="1:33" ht="15" customHeight="1" x14ac:dyDescent="0.55000000000000004">
      <c r="A103" s="27"/>
      <c r="B103" s="27" t="s">
        <v>93</v>
      </c>
      <c r="G103" s="27" t="s">
        <v>89</v>
      </c>
      <c r="H103" s="27" t="s">
        <v>94</v>
      </c>
      <c r="I103" s="59"/>
      <c r="J103" s="59"/>
      <c r="K103" s="59"/>
      <c r="L103" s="59"/>
      <c r="M103" s="59"/>
      <c r="N103" s="59"/>
      <c r="O103" s="59"/>
      <c r="P103" s="59"/>
      <c r="Q103" s="59"/>
      <c r="R103" s="59"/>
      <c r="S103" s="59"/>
      <c r="T103" s="59"/>
      <c r="U103" s="59"/>
      <c r="V103" s="59"/>
      <c r="W103" s="59"/>
      <c r="X103" s="59"/>
      <c r="Y103" s="59"/>
      <c r="Z103" s="59"/>
      <c r="AA103" s="59"/>
      <c r="AB103" s="59"/>
      <c r="AC103" s="59"/>
      <c r="AD103" s="59"/>
      <c r="AE103" s="59"/>
      <c r="AF103" s="59"/>
      <c r="AG103" s="59"/>
    </row>
    <row r="104" spans="1:33" ht="15" customHeight="1" x14ac:dyDescent="0.55000000000000004">
      <c r="A104" s="27"/>
      <c r="I104" s="59"/>
      <c r="J104" s="59"/>
      <c r="K104" s="59"/>
      <c r="L104" s="59"/>
      <c r="M104" s="59"/>
      <c r="N104" s="59"/>
      <c r="O104" s="59"/>
      <c r="P104" s="59"/>
      <c r="Q104" s="59"/>
      <c r="R104" s="59"/>
      <c r="S104" s="59"/>
      <c r="T104" s="59"/>
      <c r="U104" s="59"/>
      <c r="V104" s="59"/>
      <c r="W104" s="59"/>
      <c r="X104" s="59"/>
      <c r="Y104" s="59"/>
      <c r="Z104" s="59"/>
      <c r="AA104" s="59"/>
      <c r="AB104" s="59"/>
      <c r="AC104" s="59"/>
      <c r="AD104" s="59"/>
      <c r="AE104" s="59"/>
      <c r="AF104" s="59"/>
      <c r="AG104" s="59"/>
    </row>
    <row r="105" spans="1:33" ht="15" customHeight="1" x14ac:dyDescent="0.55000000000000004">
      <c r="A105" s="27"/>
      <c r="B105" s="27" t="s">
        <v>95</v>
      </c>
      <c r="I105" s="59"/>
      <c r="J105" s="59"/>
      <c r="K105" s="59"/>
      <c r="L105" s="59"/>
      <c r="M105" s="59"/>
      <c r="N105" s="59"/>
      <c r="O105" s="59"/>
      <c r="P105" s="59"/>
      <c r="Q105" s="59"/>
      <c r="R105" s="59"/>
      <c r="S105" s="59"/>
      <c r="T105" s="59"/>
      <c r="U105" s="59"/>
      <c r="V105" s="59"/>
      <c r="W105" s="59"/>
      <c r="X105" s="59"/>
      <c r="Y105" s="59"/>
      <c r="Z105" s="59"/>
      <c r="AA105" s="59"/>
      <c r="AB105" s="59"/>
      <c r="AC105" s="59"/>
      <c r="AD105" s="59"/>
      <c r="AE105" s="59"/>
      <c r="AF105" s="59"/>
      <c r="AG105" s="59"/>
    </row>
    <row r="106" spans="1:33" ht="15" customHeight="1" x14ac:dyDescent="0.55000000000000004">
      <c r="A106" s="27"/>
      <c r="B106" s="27" t="s">
        <v>96</v>
      </c>
      <c r="I106" s="59"/>
      <c r="J106" s="59"/>
      <c r="K106" s="59"/>
      <c r="L106" s="59"/>
      <c r="M106" s="59"/>
      <c r="N106" s="59"/>
      <c r="O106" s="59"/>
      <c r="P106" s="59"/>
      <c r="Q106" s="59"/>
      <c r="R106" s="59"/>
      <c r="S106" s="59"/>
      <c r="T106" s="59"/>
      <c r="U106" s="59"/>
      <c r="V106" s="59"/>
      <c r="W106" s="59"/>
      <c r="X106" s="59"/>
      <c r="Y106" s="59"/>
      <c r="Z106" s="59"/>
      <c r="AA106" s="59"/>
      <c r="AB106" s="59"/>
      <c r="AC106" s="59"/>
      <c r="AD106" s="59"/>
      <c r="AE106" s="59"/>
      <c r="AF106" s="59"/>
      <c r="AG106" s="59"/>
    </row>
    <row r="107" spans="1:33" ht="15" customHeight="1" x14ac:dyDescent="0.55000000000000004">
      <c r="A107" s="27"/>
      <c r="B107" s="27" t="s">
        <v>97</v>
      </c>
      <c r="I107" s="59"/>
      <c r="J107" s="59"/>
      <c r="K107" s="59"/>
      <c r="L107" s="59"/>
      <c r="M107" s="59"/>
      <c r="N107" s="59"/>
      <c r="O107" s="59"/>
      <c r="P107" s="59"/>
      <c r="Q107" s="59"/>
      <c r="R107" s="59"/>
      <c r="S107" s="59"/>
      <c r="T107" s="59"/>
      <c r="U107" s="59"/>
      <c r="V107" s="59"/>
      <c r="W107" s="59"/>
      <c r="X107" s="59"/>
      <c r="Y107" s="59"/>
      <c r="Z107" s="59"/>
      <c r="AA107" s="59"/>
      <c r="AB107" s="59"/>
      <c r="AC107" s="59"/>
      <c r="AD107" s="59"/>
      <c r="AE107" s="59"/>
      <c r="AF107" s="59"/>
      <c r="AG107" s="59"/>
    </row>
    <row r="108" spans="1:33" ht="15" customHeight="1" x14ac:dyDescent="0.55000000000000004">
      <c r="A108" s="27"/>
      <c r="I108" s="59"/>
      <c r="J108" s="59"/>
      <c r="K108" s="59"/>
      <c r="L108" s="59"/>
      <c r="M108" s="59"/>
      <c r="N108" s="59"/>
      <c r="O108" s="59"/>
      <c r="P108" s="59"/>
      <c r="Q108" s="59"/>
      <c r="R108" s="59"/>
      <c r="S108" s="59"/>
      <c r="T108" s="59"/>
      <c r="U108" s="59"/>
      <c r="V108" s="59"/>
      <c r="W108" s="59"/>
      <c r="X108" s="59"/>
      <c r="Y108" s="59"/>
      <c r="Z108" s="59"/>
      <c r="AA108" s="59"/>
      <c r="AB108" s="59"/>
      <c r="AC108" s="59"/>
      <c r="AD108" s="59"/>
      <c r="AE108" s="59"/>
      <c r="AF108" s="59"/>
      <c r="AG108" s="59"/>
    </row>
    <row r="109" spans="1:33" ht="15" customHeight="1" x14ac:dyDescent="0.55000000000000004">
      <c r="A109" s="27"/>
      <c r="I109" s="59"/>
      <c r="J109" s="59"/>
      <c r="K109" s="59"/>
      <c r="L109" s="59"/>
      <c r="M109" s="59"/>
      <c r="N109" s="59"/>
      <c r="O109" s="59"/>
      <c r="P109" s="59"/>
      <c r="Q109" s="59"/>
      <c r="R109" s="59"/>
      <c r="S109" s="59"/>
      <c r="T109" s="59"/>
      <c r="U109" s="59"/>
      <c r="V109" s="59"/>
      <c r="W109" s="59"/>
      <c r="X109" s="59"/>
      <c r="Y109" s="59"/>
      <c r="Z109" s="59"/>
      <c r="AA109" s="59"/>
      <c r="AB109" s="59"/>
      <c r="AC109" s="59"/>
      <c r="AD109" s="59"/>
      <c r="AE109" s="59"/>
      <c r="AF109" s="59"/>
      <c r="AG109" s="59"/>
    </row>
    <row r="110" spans="1:33" ht="15" customHeight="1" x14ac:dyDescent="0.55000000000000004">
      <c r="A110" s="30" t="s">
        <v>98</v>
      </c>
    </row>
    <row r="112" spans="1:33" ht="15" customHeight="1" x14ac:dyDescent="0.55000000000000004">
      <c r="B112" s="27" t="s">
        <v>99</v>
      </c>
    </row>
    <row r="113" spans="1:3" ht="15" customHeight="1" x14ac:dyDescent="0.55000000000000004">
      <c r="C113" s="27" t="s">
        <v>100</v>
      </c>
    </row>
    <row r="114" spans="1:3" ht="15" customHeight="1" x14ac:dyDescent="0.55000000000000004">
      <c r="C114" s="27" t="s">
        <v>101</v>
      </c>
    </row>
    <row r="115" spans="1:3" ht="15" customHeight="1" x14ac:dyDescent="0.55000000000000004">
      <c r="C115" s="27" t="s">
        <v>102</v>
      </c>
    </row>
    <row r="116" spans="1:3" ht="15" customHeight="1" x14ac:dyDescent="0.55000000000000004">
      <c r="B116" s="60" t="s">
        <v>103</v>
      </c>
      <c r="C116" s="61"/>
    </row>
    <row r="117" spans="1:3" ht="15" customHeight="1" x14ac:dyDescent="0.55000000000000004">
      <c r="B117" s="27" t="s">
        <v>104</v>
      </c>
      <c r="C117" s="60"/>
    </row>
    <row r="118" spans="1:3" ht="15" customHeight="1" x14ac:dyDescent="0.55000000000000004">
      <c r="C118" s="60" t="s">
        <v>105</v>
      </c>
    </row>
    <row r="119" spans="1:3" ht="15" customHeight="1" x14ac:dyDescent="0.55000000000000004">
      <c r="C119" s="27" t="s">
        <v>106</v>
      </c>
    </row>
    <row r="121" spans="1:3" ht="15" customHeight="1" x14ac:dyDescent="0.55000000000000004">
      <c r="A121" s="27"/>
      <c r="B121" s="27" t="s">
        <v>107</v>
      </c>
    </row>
    <row r="122" spans="1:3" ht="15" customHeight="1" x14ac:dyDescent="0.55000000000000004">
      <c r="A122" s="27"/>
      <c r="C122" s="27" t="s">
        <v>108</v>
      </c>
    </row>
    <row r="123" spans="1:3" ht="15" customHeight="1" x14ac:dyDescent="0.55000000000000004">
      <c r="A123" s="27"/>
      <c r="C123" s="27" t="s">
        <v>109</v>
      </c>
    </row>
    <row r="125" spans="1:3" ht="15" customHeight="1" x14ac:dyDescent="0.55000000000000004">
      <c r="A125" s="27"/>
      <c r="B125" s="27" t="s">
        <v>110</v>
      </c>
    </row>
    <row r="126" spans="1:3" ht="15" customHeight="1" x14ac:dyDescent="0.55000000000000004">
      <c r="A126" s="27"/>
      <c r="C126" s="27" t="s">
        <v>111</v>
      </c>
    </row>
    <row r="127" spans="1:3" ht="15" customHeight="1" x14ac:dyDescent="0.55000000000000004">
      <c r="A127" s="27"/>
    </row>
    <row r="128" spans="1:3" ht="15" customHeight="1" x14ac:dyDescent="0.55000000000000004">
      <c r="A128" s="27"/>
      <c r="B128" s="27" t="s">
        <v>112</v>
      </c>
    </row>
    <row r="129" spans="1:3" ht="15" customHeight="1" x14ac:dyDescent="0.55000000000000004">
      <c r="A129" s="27"/>
      <c r="C129" s="27" t="s">
        <v>113</v>
      </c>
    </row>
    <row r="130" spans="1:3" ht="15" customHeight="1" x14ac:dyDescent="0.55000000000000004">
      <c r="A130" s="27"/>
    </row>
    <row r="131" spans="1:3" ht="15" customHeight="1" x14ac:dyDescent="0.55000000000000004">
      <c r="B131" s="27" t="s">
        <v>193</v>
      </c>
    </row>
    <row r="132" spans="1:3" ht="15" customHeight="1" x14ac:dyDescent="0.55000000000000004">
      <c r="C132" s="27" t="s">
        <v>194</v>
      </c>
    </row>
    <row r="133" spans="1:3" ht="15" customHeight="1" x14ac:dyDescent="0.55000000000000004">
      <c r="C133" s="27" t="s">
        <v>195</v>
      </c>
    </row>
    <row r="134" spans="1:3" ht="15" customHeight="1" x14ac:dyDescent="0.55000000000000004">
      <c r="C134" s="27" t="s">
        <v>196</v>
      </c>
    </row>
    <row r="135" spans="1:3" ht="15" customHeight="1" x14ac:dyDescent="0.55000000000000004">
      <c r="C135" s="27" t="s">
        <v>197</v>
      </c>
    </row>
  </sheetData>
  <mergeCells count="66">
    <mergeCell ref="B44:C44"/>
    <mergeCell ref="Y44:AB44"/>
    <mergeCell ref="AC44:AD44"/>
    <mergeCell ref="AE44:AJ44"/>
    <mergeCell ref="AM44:AQ44"/>
    <mergeCell ref="B45:C45"/>
    <mergeCell ref="Y45:AB45"/>
    <mergeCell ref="AC45:AD45"/>
    <mergeCell ref="AE45:AJ45"/>
    <mergeCell ref="AM45:AQ45"/>
    <mergeCell ref="B43:C43"/>
    <mergeCell ref="Y43:AB43"/>
    <mergeCell ref="AC43:AD43"/>
    <mergeCell ref="AE43:AJ43"/>
    <mergeCell ref="AM43:AQ43"/>
    <mergeCell ref="B41:C41"/>
    <mergeCell ref="Y41:AB41"/>
    <mergeCell ref="AC41:AD41"/>
    <mergeCell ref="AE41:AJ41"/>
    <mergeCell ref="AM41:AQ41"/>
    <mergeCell ref="B42:C42"/>
    <mergeCell ref="Y42:AB42"/>
    <mergeCell ref="AC42:AD42"/>
    <mergeCell ref="AE42:AJ42"/>
    <mergeCell ref="AM42:AQ42"/>
    <mergeCell ref="B46:C46"/>
    <mergeCell ref="Y46:AB46"/>
    <mergeCell ref="AC46:AD46"/>
    <mergeCell ref="AE46:AJ46"/>
    <mergeCell ref="AM46:AQ46"/>
    <mergeCell ref="B40:C40"/>
    <mergeCell ref="Y40:AB40"/>
    <mergeCell ref="AC40:AD40"/>
    <mergeCell ref="AE40:AJ40"/>
    <mergeCell ref="AM40:AQ40"/>
    <mergeCell ref="AC48:AD48"/>
    <mergeCell ref="AE48:AJ48"/>
    <mergeCell ref="B50:C50"/>
    <mergeCell ref="Y50:AB50"/>
    <mergeCell ref="AC50:AD50"/>
    <mergeCell ref="AE50:AJ50"/>
    <mergeCell ref="B49:C49"/>
    <mergeCell ref="Y49:AB49"/>
    <mergeCell ref="AC49:AD49"/>
    <mergeCell ref="AE49:AJ49"/>
    <mergeCell ref="B39:C39"/>
    <mergeCell ref="Y39:AB39"/>
    <mergeCell ref="AC39:AD39"/>
    <mergeCell ref="AE39:AJ39"/>
    <mergeCell ref="AM39:AQ39"/>
    <mergeCell ref="AM48:AQ48"/>
    <mergeCell ref="AM49:AQ49"/>
    <mergeCell ref="AM50:AQ50"/>
    <mergeCell ref="AM47:AQ47"/>
    <mergeCell ref="A1:Q2"/>
    <mergeCell ref="AF2:AJ2"/>
    <mergeCell ref="A5:Q6"/>
    <mergeCell ref="A11:E12"/>
    <mergeCell ref="F11:Q12"/>
    <mergeCell ref="AF1:AJ1"/>
    <mergeCell ref="B48:C48"/>
    <mergeCell ref="B47:C47"/>
    <mergeCell ref="Y47:AB47"/>
    <mergeCell ref="AC47:AD47"/>
    <mergeCell ref="AE47:AJ47"/>
    <mergeCell ref="Y48:AB48"/>
  </mergeCells>
  <phoneticPr fontId="18"/>
  <printOptions horizontalCentered="1"/>
  <pageMargins left="0.39370078740157483" right="0.39370078740157483" top="0.78740157480314965" bottom="0.39370078740157483" header="0.31496062992125984" footer="0.31496062992125984"/>
  <pageSetup paperSize="9" scale="92" orientation="portrait" r:id="rId1"/>
  <headerFooter>
    <oddFooter>&amp;C&amp;10&amp;P / &amp;N</oddFooter>
  </headerFooter>
  <rowBreaks count="3" manualBreakCount="3">
    <brk id="35" max="35" man="1"/>
    <brk id="60" max="35" man="1"/>
    <brk id="109" max="35"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838E6-EB15-4972-A808-4E8B755ADF8D}">
  <sheetPr>
    <pageSetUpPr fitToPage="1"/>
  </sheetPr>
  <dimension ref="B1:B18"/>
  <sheetViews>
    <sheetView view="pageBreakPreview" zoomScaleNormal="100" zoomScaleSheetLayoutView="100" workbookViewId="0">
      <selection activeCell="M19" sqref="M19"/>
    </sheetView>
  </sheetViews>
  <sheetFormatPr defaultRowHeight="18" x14ac:dyDescent="0.55000000000000004"/>
  <cols>
    <col min="1" max="1" width="2.75" customWidth="1"/>
    <col min="12" max="12" width="5.33203125" customWidth="1"/>
  </cols>
  <sheetData>
    <row r="1" spans="2:2" ht="19" customHeight="1" x14ac:dyDescent="0.55000000000000004">
      <c r="B1" t="s">
        <v>114</v>
      </c>
    </row>
    <row r="18" spans="2:2" x14ac:dyDescent="0.55000000000000004">
      <c r="B18" t="s">
        <v>115</v>
      </c>
    </row>
  </sheetData>
  <phoneticPr fontId="3"/>
  <pageMargins left="0.7" right="0.7" top="0.75" bottom="0.75" header="0.3" footer="0.3"/>
  <pageSetup paperSize="9" scale="88" fitToHeight="0" orientation="portrait" r:id="rId1"/>
  <rowBreaks count="1" manualBreakCount="1">
    <brk id="17" max="10" man="1"/>
  </rowBreaks>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59"/>
  <sheetViews>
    <sheetView workbookViewId="0">
      <selection activeCell="A9" sqref="A9"/>
    </sheetView>
  </sheetViews>
  <sheetFormatPr defaultColWidth="8.08203125" defaultRowHeight="12.5" x14ac:dyDescent="0.55000000000000004"/>
  <cols>
    <col min="1" max="1" width="14.58203125" style="2" customWidth="1"/>
    <col min="2" max="2" width="7.83203125" style="2" bestFit="1" customWidth="1"/>
    <col min="3" max="3" width="14.58203125" style="2" customWidth="1"/>
    <col min="4" max="31" width="7" style="2" customWidth="1"/>
    <col min="32" max="32" width="7.83203125" style="2" customWidth="1"/>
    <col min="33" max="16384" width="8.08203125" style="2"/>
  </cols>
  <sheetData>
    <row r="1" spans="1:32" ht="19.5" x14ac:dyDescent="0.55000000000000004">
      <c r="A1" s="1" t="s">
        <v>116</v>
      </c>
      <c r="D1" s="3"/>
    </row>
    <row r="2" spans="1:32" ht="5.25" customHeight="1" x14ac:dyDescent="0.55000000000000004">
      <c r="A2" s="1"/>
    </row>
    <row r="3" spans="1:32" x14ac:dyDescent="0.55000000000000004">
      <c r="A3" s="4" t="s">
        <v>117</v>
      </c>
      <c r="B3" s="89"/>
      <c r="C3" s="90"/>
      <c r="D3" s="5" t="s">
        <v>118</v>
      </c>
      <c r="E3" s="89"/>
      <c r="F3" s="91"/>
      <c r="G3" s="91"/>
      <c r="H3" s="91"/>
      <c r="I3" s="91"/>
      <c r="J3" s="91"/>
      <c r="K3" s="91"/>
      <c r="L3" s="91"/>
      <c r="M3" s="91"/>
      <c r="N3" s="91"/>
      <c r="O3" s="90"/>
    </row>
    <row r="4" spans="1:32" x14ac:dyDescent="0.55000000000000004">
      <c r="A4" s="5" t="s">
        <v>119</v>
      </c>
      <c r="B4" s="89" t="s">
        <v>120</v>
      </c>
      <c r="C4" s="90"/>
      <c r="D4" s="5" t="s">
        <v>121</v>
      </c>
      <c r="E4" s="92"/>
      <c r="F4" s="92"/>
      <c r="G4" s="5" t="s">
        <v>122</v>
      </c>
      <c r="H4" s="93">
        <f>AF59</f>
        <v>0</v>
      </c>
      <c r="I4" s="93"/>
      <c r="J4" s="5" t="s">
        <v>123</v>
      </c>
      <c r="K4" s="94">
        <f>外注費・経費!K4</f>
        <v>0</v>
      </c>
      <c r="L4" s="94"/>
      <c r="M4" s="5" t="s">
        <v>124</v>
      </c>
      <c r="N4" s="94">
        <v>0</v>
      </c>
      <c r="O4" s="94"/>
    </row>
    <row r="5" spans="1:32" ht="6" customHeight="1" x14ac:dyDescent="0.55000000000000004"/>
    <row r="6" spans="1:32" s="6" customFormat="1" x14ac:dyDescent="0.55000000000000004">
      <c r="A6" s="104" t="s">
        <v>125</v>
      </c>
      <c r="B6" s="107" t="s">
        <v>126</v>
      </c>
      <c r="C6" s="107" t="s">
        <v>127</v>
      </c>
      <c r="D6" s="110" t="s">
        <v>128</v>
      </c>
      <c r="E6" s="110"/>
      <c r="F6" s="110"/>
      <c r="G6" s="110"/>
      <c r="H6" s="110"/>
      <c r="I6" s="110"/>
      <c r="J6" s="110"/>
      <c r="K6" s="110"/>
      <c r="L6" s="110"/>
      <c r="M6" s="110"/>
      <c r="N6" s="110"/>
      <c r="O6" s="110"/>
      <c r="P6" s="110"/>
      <c r="Q6" s="110"/>
      <c r="R6" s="110"/>
      <c r="S6" s="110"/>
      <c r="T6" s="110"/>
      <c r="U6" s="110"/>
      <c r="V6" s="110"/>
      <c r="W6" s="110"/>
      <c r="X6" s="110"/>
      <c r="Y6" s="110"/>
      <c r="Z6" s="110"/>
      <c r="AA6" s="110"/>
      <c r="AB6" s="110"/>
      <c r="AC6" s="110"/>
      <c r="AD6" s="110"/>
      <c r="AE6" s="110"/>
      <c r="AF6" s="95" t="s">
        <v>129</v>
      </c>
    </row>
    <row r="7" spans="1:32" s="6" customFormat="1" ht="12" customHeight="1" x14ac:dyDescent="0.55000000000000004">
      <c r="A7" s="105"/>
      <c r="B7" s="108"/>
      <c r="C7" s="108"/>
      <c r="D7" s="98" t="s">
        <v>130</v>
      </c>
      <c r="E7" s="99"/>
      <c r="F7" s="100"/>
      <c r="G7" s="98" t="s">
        <v>131</v>
      </c>
      <c r="H7" s="99"/>
      <c r="I7" s="100"/>
      <c r="J7" s="98" t="s">
        <v>132</v>
      </c>
      <c r="K7" s="99"/>
      <c r="L7" s="100"/>
      <c r="M7" s="98" t="s">
        <v>133</v>
      </c>
      <c r="N7" s="99"/>
      <c r="O7" s="100"/>
      <c r="P7" s="98" t="s">
        <v>134</v>
      </c>
      <c r="Q7" s="99"/>
      <c r="R7" s="100"/>
      <c r="S7" s="98" t="s">
        <v>135</v>
      </c>
      <c r="T7" s="99"/>
      <c r="U7" s="100"/>
      <c r="V7" s="98" t="s">
        <v>136</v>
      </c>
      <c r="W7" s="99"/>
      <c r="X7" s="100"/>
      <c r="Y7" s="98" t="s">
        <v>137</v>
      </c>
      <c r="Z7" s="99"/>
      <c r="AA7" s="100"/>
      <c r="AB7" s="98" t="s">
        <v>138</v>
      </c>
      <c r="AC7" s="99"/>
      <c r="AD7" s="100"/>
      <c r="AE7" s="111" t="s">
        <v>139</v>
      </c>
      <c r="AF7" s="96"/>
    </row>
    <row r="8" spans="1:32" s="6" customFormat="1" x14ac:dyDescent="0.55000000000000004">
      <c r="A8" s="106"/>
      <c r="B8" s="109"/>
      <c r="C8" s="109"/>
      <c r="D8" s="7">
        <v>44197</v>
      </c>
      <c r="E8" s="7">
        <v>44228</v>
      </c>
      <c r="F8" s="7">
        <v>44256</v>
      </c>
      <c r="G8" s="7">
        <v>44287</v>
      </c>
      <c r="H8" s="7">
        <v>44317</v>
      </c>
      <c r="I8" s="7">
        <v>44348</v>
      </c>
      <c r="J8" s="7">
        <v>44378</v>
      </c>
      <c r="K8" s="7">
        <v>44409</v>
      </c>
      <c r="L8" s="7">
        <v>44440</v>
      </c>
      <c r="M8" s="7">
        <v>44470</v>
      </c>
      <c r="N8" s="7">
        <v>44501</v>
      </c>
      <c r="O8" s="7">
        <v>44531</v>
      </c>
      <c r="P8" s="7">
        <v>44562</v>
      </c>
      <c r="Q8" s="7">
        <v>44593</v>
      </c>
      <c r="R8" s="7">
        <v>44621</v>
      </c>
      <c r="S8" s="7">
        <v>44652</v>
      </c>
      <c r="T8" s="7">
        <v>44682</v>
      </c>
      <c r="U8" s="7">
        <v>44713</v>
      </c>
      <c r="V8" s="7">
        <v>44743</v>
      </c>
      <c r="W8" s="7">
        <v>44774</v>
      </c>
      <c r="X8" s="7">
        <v>44805</v>
      </c>
      <c r="Y8" s="7">
        <v>44835</v>
      </c>
      <c r="Z8" s="7">
        <v>44866</v>
      </c>
      <c r="AA8" s="7">
        <v>44896</v>
      </c>
      <c r="AB8" s="7">
        <v>44927</v>
      </c>
      <c r="AC8" s="7">
        <v>44958</v>
      </c>
      <c r="AD8" s="7">
        <v>44986</v>
      </c>
      <c r="AE8" s="109"/>
      <c r="AF8" s="97"/>
    </row>
    <row r="9" spans="1:32" x14ac:dyDescent="0.55000000000000004">
      <c r="A9" s="24"/>
      <c r="B9" s="8"/>
      <c r="C9" s="8"/>
      <c r="D9" s="9"/>
      <c r="E9" s="9"/>
      <c r="F9" s="9"/>
      <c r="G9" s="9"/>
      <c r="H9" s="9"/>
      <c r="I9" s="9"/>
      <c r="J9" s="9"/>
      <c r="K9" s="9"/>
      <c r="L9" s="9"/>
      <c r="M9" s="9"/>
      <c r="N9" s="9"/>
      <c r="O9" s="9"/>
      <c r="P9" s="9"/>
      <c r="Q9" s="9"/>
      <c r="R9" s="9"/>
      <c r="S9" s="9"/>
      <c r="T9" s="9"/>
      <c r="U9" s="9"/>
      <c r="V9" s="9"/>
      <c r="W9" s="9"/>
      <c r="X9" s="9"/>
      <c r="Y9" s="9"/>
      <c r="Z9" s="9"/>
      <c r="AA9" s="9"/>
      <c r="AB9" s="9"/>
      <c r="AC9" s="9"/>
      <c r="AD9" s="9"/>
      <c r="AE9" s="9"/>
      <c r="AF9" s="10">
        <f>SUM(D9:AE9)</f>
        <v>0</v>
      </c>
    </row>
    <row r="10" spans="1:32" x14ac:dyDescent="0.55000000000000004">
      <c r="A10" s="8"/>
      <c r="B10" s="8"/>
      <c r="C10" s="8"/>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10">
        <f t="shared" ref="AF10:AF58" si="0">SUM(D10:AE10)</f>
        <v>0</v>
      </c>
    </row>
    <row r="11" spans="1:32" x14ac:dyDescent="0.55000000000000004">
      <c r="A11" s="8"/>
      <c r="B11" s="8"/>
      <c r="C11" s="8"/>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10">
        <f t="shared" si="0"/>
        <v>0</v>
      </c>
    </row>
    <row r="12" spans="1:32" x14ac:dyDescent="0.55000000000000004">
      <c r="A12" s="8"/>
      <c r="B12" s="8"/>
      <c r="C12" s="8"/>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10">
        <f t="shared" si="0"/>
        <v>0</v>
      </c>
    </row>
    <row r="13" spans="1:32" x14ac:dyDescent="0.55000000000000004">
      <c r="A13" s="8"/>
      <c r="B13" s="8"/>
      <c r="C13" s="8"/>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10">
        <f t="shared" si="0"/>
        <v>0</v>
      </c>
    </row>
    <row r="14" spans="1:32" x14ac:dyDescent="0.55000000000000004">
      <c r="A14" s="8"/>
      <c r="B14" s="8"/>
      <c r="C14" s="8"/>
      <c r="D14" s="9"/>
      <c r="E14" s="11"/>
      <c r="F14" s="9"/>
      <c r="G14" s="9"/>
      <c r="H14" s="9"/>
      <c r="I14" s="9"/>
      <c r="J14" s="9"/>
      <c r="K14" s="9"/>
      <c r="L14" s="9"/>
      <c r="M14" s="9"/>
      <c r="N14" s="9"/>
      <c r="O14" s="9"/>
      <c r="P14" s="9"/>
      <c r="Q14" s="9"/>
      <c r="R14" s="9"/>
      <c r="S14" s="9"/>
      <c r="T14" s="9"/>
      <c r="U14" s="9"/>
      <c r="V14" s="9"/>
      <c r="W14" s="9"/>
      <c r="X14" s="9"/>
      <c r="Y14" s="9"/>
      <c r="Z14" s="9"/>
      <c r="AA14" s="9"/>
      <c r="AB14" s="9"/>
      <c r="AC14" s="9"/>
      <c r="AD14" s="9"/>
      <c r="AE14" s="9"/>
      <c r="AF14" s="10">
        <f t="shared" si="0"/>
        <v>0</v>
      </c>
    </row>
    <row r="15" spans="1:32" x14ac:dyDescent="0.55000000000000004">
      <c r="A15" s="8"/>
      <c r="B15" s="8"/>
      <c r="C15" s="8"/>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10">
        <f t="shared" si="0"/>
        <v>0</v>
      </c>
    </row>
    <row r="16" spans="1:32" x14ac:dyDescent="0.55000000000000004">
      <c r="A16" s="8"/>
      <c r="B16" s="8"/>
      <c r="C16" s="8"/>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10">
        <f t="shared" si="0"/>
        <v>0</v>
      </c>
    </row>
    <row r="17" spans="1:32" x14ac:dyDescent="0.55000000000000004">
      <c r="A17" s="8"/>
      <c r="B17" s="8"/>
      <c r="C17" s="8"/>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10">
        <f t="shared" si="0"/>
        <v>0</v>
      </c>
    </row>
    <row r="18" spans="1:32" x14ac:dyDescent="0.55000000000000004">
      <c r="A18" s="8"/>
      <c r="B18" s="8"/>
      <c r="C18" s="8"/>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10">
        <f t="shared" si="0"/>
        <v>0</v>
      </c>
    </row>
    <row r="19" spans="1:32" x14ac:dyDescent="0.55000000000000004">
      <c r="A19" s="8"/>
      <c r="B19" s="8"/>
      <c r="C19" s="8"/>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10">
        <f t="shared" si="0"/>
        <v>0</v>
      </c>
    </row>
    <row r="20" spans="1:32" x14ac:dyDescent="0.55000000000000004">
      <c r="A20" s="8"/>
      <c r="B20" s="8"/>
      <c r="C20" s="8"/>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10">
        <f t="shared" si="0"/>
        <v>0</v>
      </c>
    </row>
    <row r="21" spans="1:32" x14ac:dyDescent="0.55000000000000004">
      <c r="A21" s="8"/>
      <c r="B21" s="8"/>
      <c r="C21" s="8"/>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10">
        <f t="shared" si="0"/>
        <v>0</v>
      </c>
    </row>
    <row r="22" spans="1:32" x14ac:dyDescent="0.55000000000000004">
      <c r="A22" s="8"/>
      <c r="B22" s="8"/>
      <c r="C22" s="8"/>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10">
        <f t="shared" si="0"/>
        <v>0</v>
      </c>
    </row>
    <row r="23" spans="1:32" x14ac:dyDescent="0.55000000000000004">
      <c r="A23" s="8"/>
      <c r="B23" s="8"/>
      <c r="C23" s="8"/>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10">
        <f t="shared" si="0"/>
        <v>0</v>
      </c>
    </row>
    <row r="24" spans="1:32" x14ac:dyDescent="0.55000000000000004">
      <c r="A24" s="8"/>
      <c r="B24" s="8"/>
      <c r="C24" s="8"/>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10">
        <f t="shared" si="0"/>
        <v>0</v>
      </c>
    </row>
    <row r="25" spans="1:32" x14ac:dyDescent="0.55000000000000004">
      <c r="A25" s="8"/>
      <c r="B25" s="8"/>
      <c r="C25" s="8"/>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10">
        <f t="shared" si="0"/>
        <v>0</v>
      </c>
    </row>
    <row r="26" spans="1:32" x14ac:dyDescent="0.55000000000000004">
      <c r="A26" s="8"/>
      <c r="B26" s="8"/>
      <c r="C26" s="8"/>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10">
        <f t="shared" si="0"/>
        <v>0</v>
      </c>
    </row>
    <row r="27" spans="1:32" x14ac:dyDescent="0.55000000000000004">
      <c r="A27" s="8"/>
      <c r="B27" s="8"/>
      <c r="C27" s="8"/>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10">
        <f t="shared" si="0"/>
        <v>0</v>
      </c>
    </row>
    <row r="28" spans="1:32" x14ac:dyDescent="0.55000000000000004">
      <c r="A28" s="8"/>
      <c r="B28" s="8"/>
      <c r="C28" s="8"/>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10">
        <f t="shared" si="0"/>
        <v>0</v>
      </c>
    </row>
    <row r="29" spans="1:32" x14ac:dyDescent="0.55000000000000004">
      <c r="A29" s="8"/>
      <c r="B29" s="8"/>
      <c r="C29" s="8"/>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10">
        <f t="shared" si="0"/>
        <v>0</v>
      </c>
    </row>
    <row r="30" spans="1:32" x14ac:dyDescent="0.55000000000000004">
      <c r="A30" s="8"/>
      <c r="B30" s="8"/>
      <c r="C30" s="8"/>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10">
        <f t="shared" si="0"/>
        <v>0</v>
      </c>
    </row>
    <row r="31" spans="1:32" x14ac:dyDescent="0.55000000000000004">
      <c r="A31" s="8"/>
      <c r="B31" s="8"/>
      <c r="C31" s="8"/>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10">
        <f t="shared" si="0"/>
        <v>0</v>
      </c>
    </row>
    <row r="32" spans="1:32" x14ac:dyDescent="0.55000000000000004">
      <c r="A32" s="8"/>
      <c r="B32" s="8"/>
      <c r="C32" s="8"/>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10">
        <f t="shared" si="0"/>
        <v>0</v>
      </c>
    </row>
    <row r="33" spans="1:32" x14ac:dyDescent="0.55000000000000004">
      <c r="A33" s="8"/>
      <c r="B33" s="8"/>
      <c r="C33" s="8"/>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10">
        <f t="shared" si="0"/>
        <v>0</v>
      </c>
    </row>
    <row r="34" spans="1:32" x14ac:dyDescent="0.55000000000000004">
      <c r="A34" s="8"/>
      <c r="B34" s="8"/>
      <c r="C34" s="8"/>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10">
        <f t="shared" si="0"/>
        <v>0</v>
      </c>
    </row>
    <row r="35" spans="1:32" x14ac:dyDescent="0.55000000000000004">
      <c r="A35" s="8"/>
      <c r="B35" s="8"/>
      <c r="C35" s="8"/>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10">
        <f t="shared" si="0"/>
        <v>0</v>
      </c>
    </row>
    <row r="36" spans="1:32" x14ac:dyDescent="0.55000000000000004">
      <c r="A36" s="8"/>
      <c r="B36" s="8"/>
      <c r="C36" s="8"/>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10">
        <f t="shared" si="0"/>
        <v>0</v>
      </c>
    </row>
    <row r="37" spans="1:32" x14ac:dyDescent="0.55000000000000004">
      <c r="A37" s="8"/>
      <c r="B37" s="8"/>
      <c r="C37" s="8"/>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10">
        <f t="shared" si="0"/>
        <v>0</v>
      </c>
    </row>
    <row r="38" spans="1:32" x14ac:dyDescent="0.55000000000000004">
      <c r="A38" s="8"/>
      <c r="B38" s="8"/>
      <c r="C38" s="8"/>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10">
        <f t="shared" si="0"/>
        <v>0</v>
      </c>
    </row>
    <row r="39" spans="1:32" x14ac:dyDescent="0.55000000000000004">
      <c r="A39" s="8"/>
      <c r="B39" s="8"/>
      <c r="C39" s="8"/>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10">
        <f t="shared" si="0"/>
        <v>0</v>
      </c>
    </row>
    <row r="40" spans="1:32" x14ac:dyDescent="0.55000000000000004">
      <c r="A40" s="8"/>
      <c r="B40" s="8"/>
      <c r="C40" s="8"/>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10">
        <f t="shared" si="0"/>
        <v>0</v>
      </c>
    </row>
    <row r="41" spans="1:32" x14ac:dyDescent="0.55000000000000004">
      <c r="A41" s="8"/>
      <c r="B41" s="8"/>
      <c r="C41" s="8"/>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10">
        <f t="shared" si="0"/>
        <v>0</v>
      </c>
    </row>
    <row r="42" spans="1:32" x14ac:dyDescent="0.55000000000000004">
      <c r="A42" s="8"/>
      <c r="B42" s="8"/>
      <c r="C42" s="8"/>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10">
        <f t="shared" si="0"/>
        <v>0</v>
      </c>
    </row>
    <row r="43" spans="1:32" x14ac:dyDescent="0.55000000000000004">
      <c r="A43" s="8"/>
      <c r="B43" s="8"/>
      <c r="C43" s="8"/>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10">
        <f t="shared" si="0"/>
        <v>0</v>
      </c>
    </row>
    <row r="44" spans="1:32" x14ac:dyDescent="0.55000000000000004">
      <c r="A44" s="8"/>
      <c r="B44" s="8"/>
      <c r="C44" s="8"/>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10">
        <f t="shared" si="0"/>
        <v>0</v>
      </c>
    </row>
    <row r="45" spans="1:32" x14ac:dyDescent="0.55000000000000004">
      <c r="A45" s="8"/>
      <c r="B45" s="8"/>
      <c r="C45" s="8"/>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10">
        <f t="shared" si="0"/>
        <v>0</v>
      </c>
    </row>
    <row r="46" spans="1:32" x14ac:dyDescent="0.55000000000000004">
      <c r="A46" s="8"/>
      <c r="B46" s="8"/>
      <c r="C46" s="8"/>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10">
        <f t="shared" si="0"/>
        <v>0</v>
      </c>
    </row>
    <row r="47" spans="1:32" x14ac:dyDescent="0.55000000000000004">
      <c r="A47" s="8"/>
      <c r="B47" s="8"/>
      <c r="C47" s="8"/>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10">
        <f t="shared" si="0"/>
        <v>0</v>
      </c>
    </row>
    <row r="48" spans="1:32" x14ac:dyDescent="0.55000000000000004">
      <c r="A48" s="8"/>
      <c r="B48" s="8"/>
      <c r="C48" s="8"/>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10">
        <f t="shared" si="0"/>
        <v>0</v>
      </c>
    </row>
    <row r="49" spans="1:32" x14ac:dyDescent="0.55000000000000004">
      <c r="A49" s="8"/>
      <c r="B49" s="8"/>
      <c r="C49" s="8"/>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10">
        <f t="shared" si="0"/>
        <v>0</v>
      </c>
    </row>
    <row r="50" spans="1:32" x14ac:dyDescent="0.55000000000000004">
      <c r="A50" s="8"/>
      <c r="B50" s="8"/>
      <c r="C50" s="8"/>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10">
        <f t="shared" si="0"/>
        <v>0</v>
      </c>
    </row>
    <row r="51" spans="1:32" x14ac:dyDescent="0.55000000000000004">
      <c r="A51" s="8"/>
      <c r="B51" s="8"/>
      <c r="C51" s="8"/>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10">
        <f t="shared" si="0"/>
        <v>0</v>
      </c>
    </row>
    <row r="52" spans="1:32" x14ac:dyDescent="0.55000000000000004">
      <c r="A52" s="8"/>
      <c r="B52" s="8"/>
      <c r="C52" s="8"/>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10">
        <f t="shared" si="0"/>
        <v>0</v>
      </c>
    </row>
    <row r="53" spans="1:32" x14ac:dyDescent="0.55000000000000004">
      <c r="A53" s="8"/>
      <c r="B53" s="8"/>
      <c r="C53" s="8"/>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10">
        <f t="shared" si="0"/>
        <v>0</v>
      </c>
    </row>
    <row r="54" spans="1:32" x14ac:dyDescent="0.55000000000000004">
      <c r="A54" s="8"/>
      <c r="B54" s="8"/>
      <c r="C54" s="8"/>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10">
        <f t="shared" si="0"/>
        <v>0</v>
      </c>
    </row>
    <row r="55" spans="1:32" x14ac:dyDescent="0.55000000000000004">
      <c r="A55" s="8"/>
      <c r="B55" s="8"/>
      <c r="C55" s="8"/>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10">
        <f t="shared" si="0"/>
        <v>0</v>
      </c>
    </row>
    <row r="56" spans="1:32" x14ac:dyDescent="0.55000000000000004">
      <c r="A56" s="8"/>
      <c r="B56" s="8"/>
      <c r="C56" s="8"/>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10">
        <f t="shared" si="0"/>
        <v>0</v>
      </c>
    </row>
    <row r="57" spans="1:32" x14ac:dyDescent="0.55000000000000004">
      <c r="A57" s="8"/>
      <c r="B57" s="8"/>
      <c r="C57" s="8"/>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10">
        <f t="shared" si="0"/>
        <v>0</v>
      </c>
    </row>
    <row r="58" spans="1:32" x14ac:dyDescent="0.55000000000000004">
      <c r="A58" s="8"/>
      <c r="B58" s="8"/>
      <c r="C58" s="8"/>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10">
        <f t="shared" si="0"/>
        <v>0</v>
      </c>
    </row>
    <row r="59" spans="1:32" x14ac:dyDescent="0.55000000000000004">
      <c r="A59" s="101" t="s">
        <v>129</v>
      </c>
      <c r="B59" s="102"/>
      <c r="C59" s="103"/>
      <c r="D59" s="10">
        <f>SUM(D9:D58)</f>
        <v>0</v>
      </c>
      <c r="E59" s="10">
        <f t="shared" ref="E59:AF59" si="1">SUM(E9:E58)</f>
        <v>0</v>
      </c>
      <c r="F59" s="10">
        <f t="shared" si="1"/>
        <v>0</v>
      </c>
      <c r="G59" s="10">
        <f t="shared" si="1"/>
        <v>0</v>
      </c>
      <c r="H59" s="10">
        <f t="shared" si="1"/>
        <v>0</v>
      </c>
      <c r="I59" s="10">
        <f t="shared" si="1"/>
        <v>0</v>
      </c>
      <c r="J59" s="10">
        <f t="shared" si="1"/>
        <v>0</v>
      </c>
      <c r="K59" s="10">
        <f t="shared" si="1"/>
        <v>0</v>
      </c>
      <c r="L59" s="10">
        <f t="shared" si="1"/>
        <v>0</v>
      </c>
      <c r="M59" s="10">
        <f t="shared" si="1"/>
        <v>0</v>
      </c>
      <c r="N59" s="10">
        <f t="shared" si="1"/>
        <v>0</v>
      </c>
      <c r="O59" s="10">
        <f t="shared" si="1"/>
        <v>0</v>
      </c>
      <c r="P59" s="10">
        <f t="shared" si="1"/>
        <v>0</v>
      </c>
      <c r="Q59" s="10">
        <f t="shared" si="1"/>
        <v>0</v>
      </c>
      <c r="R59" s="10">
        <f t="shared" si="1"/>
        <v>0</v>
      </c>
      <c r="S59" s="10">
        <f t="shared" si="1"/>
        <v>0</v>
      </c>
      <c r="T59" s="10">
        <f t="shared" si="1"/>
        <v>0</v>
      </c>
      <c r="U59" s="10">
        <f t="shared" si="1"/>
        <v>0</v>
      </c>
      <c r="V59" s="10">
        <f t="shared" si="1"/>
        <v>0</v>
      </c>
      <c r="W59" s="10">
        <f t="shared" si="1"/>
        <v>0</v>
      </c>
      <c r="X59" s="10">
        <f t="shared" si="1"/>
        <v>0</v>
      </c>
      <c r="Y59" s="10">
        <f t="shared" si="1"/>
        <v>0</v>
      </c>
      <c r="Z59" s="10">
        <f t="shared" si="1"/>
        <v>0</v>
      </c>
      <c r="AA59" s="10">
        <f t="shared" si="1"/>
        <v>0</v>
      </c>
      <c r="AB59" s="10">
        <f t="shared" si="1"/>
        <v>0</v>
      </c>
      <c r="AC59" s="10">
        <f t="shared" si="1"/>
        <v>0</v>
      </c>
      <c r="AD59" s="10">
        <f t="shared" si="1"/>
        <v>0</v>
      </c>
      <c r="AE59" s="10">
        <f t="shared" si="1"/>
        <v>0</v>
      </c>
      <c r="AF59" s="10">
        <f t="shared" si="1"/>
        <v>0</v>
      </c>
    </row>
  </sheetData>
  <mergeCells count="23">
    <mergeCell ref="A59:C59"/>
    <mergeCell ref="A6:A8"/>
    <mergeCell ref="B6:B8"/>
    <mergeCell ref="C6:C8"/>
    <mergeCell ref="D6:AE6"/>
    <mergeCell ref="S7:U7"/>
    <mergeCell ref="V7:X7"/>
    <mergeCell ref="Y7:AA7"/>
    <mergeCell ref="AB7:AD7"/>
    <mergeCell ref="AE7:AE8"/>
    <mergeCell ref="AF6:AF8"/>
    <mergeCell ref="D7:F7"/>
    <mergeCell ref="G7:I7"/>
    <mergeCell ref="J7:L7"/>
    <mergeCell ref="M7:O7"/>
    <mergeCell ref="P7:R7"/>
    <mergeCell ref="B3:C3"/>
    <mergeCell ref="E3:O3"/>
    <mergeCell ref="B4:C4"/>
    <mergeCell ref="E4:F4"/>
    <mergeCell ref="H4:I4"/>
    <mergeCell ref="K4:L4"/>
    <mergeCell ref="N4:O4"/>
  </mergeCells>
  <phoneticPr fontId="3"/>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リストマスタ!$K$3:$K$12</xm:f>
          </x14:formula1>
          <xm:sqref>A9:A58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59"/>
  <sheetViews>
    <sheetView workbookViewId="0">
      <selection activeCell="C13" sqref="C13"/>
    </sheetView>
  </sheetViews>
  <sheetFormatPr defaultColWidth="8.08203125" defaultRowHeight="12.5" x14ac:dyDescent="0.55000000000000004"/>
  <cols>
    <col min="1" max="1" width="14.58203125" style="2" customWidth="1"/>
    <col min="2" max="2" width="7.83203125" style="2" customWidth="1"/>
    <col min="3" max="3" width="14.58203125" style="2" customWidth="1"/>
    <col min="4" max="31" width="8.33203125" style="2" customWidth="1"/>
    <col min="32" max="32" width="11.08203125" style="2" customWidth="1"/>
    <col min="33" max="16384" width="8.08203125" style="2"/>
  </cols>
  <sheetData>
    <row r="1" spans="1:32" ht="19.5" x14ac:dyDescent="0.55000000000000004">
      <c r="A1" s="1" t="s">
        <v>140</v>
      </c>
    </row>
    <row r="2" spans="1:32" ht="5.25" customHeight="1" x14ac:dyDescent="0.55000000000000004">
      <c r="A2" s="1"/>
    </row>
    <row r="3" spans="1:32" x14ac:dyDescent="0.55000000000000004">
      <c r="A3" s="12" t="s">
        <v>117</v>
      </c>
      <c r="B3" s="89"/>
      <c r="C3" s="90"/>
      <c r="D3" s="13" t="s">
        <v>118</v>
      </c>
      <c r="E3" s="89">
        <f>社員工数!E3</f>
        <v>0</v>
      </c>
      <c r="F3" s="91"/>
      <c r="G3" s="91"/>
      <c r="H3" s="91"/>
      <c r="I3" s="91"/>
      <c r="J3" s="91"/>
      <c r="K3" s="91"/>
      <c r="L3" s="91"/>
      <c r="M3" s="91"/>
      <c r="N3" s="91"/>
      <c r="O3" s="90"/>
    </row>
    <row r="4" spans="1:32" x14ac:dyDescent="0.55000000000000004">
      <c r="A4" s="12" t="s">
        <v>119</v>
      </c>
      <c r="B4" s="89" t="s">
        <v>141</v>
      </c>
      <c r="C4" s="90"/>
      <c r="D4" s="14" t="s">
        <v>121</v>
      </c>
      <c r="E4" s="112">
        <f>社員工数!E4</f>
        <v>0</v>
      </c>
      <c r="F4" s="112"/>
      <c r="G4" s="14" t="s">
        <v>122</v>
      </c>
      <c r="H4" s="113">
        <f>社員工数!H4</f>
        <v>0</v>
      </c>
      <c r="I4" s="113"/>
      <c r="J4" s="14" t="s">
        <v>123</v>
      </c>
      <c r="K4" s="114">
        <f>AF59</f>
        <v>0</v>
      </c>
      <c r="L4" s="114"/>
      <c r="M4" s="14" t="s">
        <v>124</v>
      </c>
      <c r="N4" s="114">
        <f>SUMIF(A:A,"経費",AF:AF)</f>
        <v>0</v>
      </c>
      <c r="O4" s="114"/>
    </row>
    <row r="5" spans="1:32" ht="6" customHeight="1" x14ac:dyDescent="0.55000000000000004"/>
    <row r="6" spans="1:32" s="6" customFormat="1" x14ac:dyDescent="0.55000000000000004">
      <c r="A6" s="121" t="s">
        <v>125</v>
      </c>
      <c r="B6" s="124" t="s">
        <v>142</v>
      </c>
      <c r="C6" s="124" t="s">
        <v>127</v>
      </c>
      <c r="D6" s="127" t="s">
        <v>143</v>
      </c>
      <c r="E6" s="127"/>
      <c r="F6" s="127"/>
      <c r="G6" s="127"/>
      <c r="H6" s="127"/>
      <c r="I6" s="127"/>
      <c r="J6" s="127"/>
      <c r="K6" s="127"/>
      <c r="L6" s="127"/>
      <c r="M6" s="127"/>
      <c r="N6" s="127"/>
      <c r="O6" s="127"/>
      <c r="P6" s="127"/>
      <c r="Q6" s="127"/>
      <c r="R6" s="127"/>
      <c r="S6" s="127"/>
      <c r="T6" s="127"/>
      <c r="U6" s="127"/>
      <c r="V6" s="127"/>
      <c r="W6" s="127"/>
      <c r="X6" s="127"/>
      <c r="Y6" s="127"/>
      <c r="Z6" s="127"/>
      <c r="AA6" s="127"/>
      <c r="AB6" s="127"/>
      <c r="AC6" s="127"/>
      <c r="AD6" s="127"/>
      <c r="AE6" s="127"/>
      <c r="AF6" s="115" t="s">
        <v>129</v>
      </c>
    </row>
    <row r="7" spans="1:32" s="6" customFormat="1" ht="12" customHeight="1" x14ac:dyDescent="0.55000000000000004">
      <c r="A7" s="122"/>
      <c r="B7" s="125"/>
      <c r="C7" s="125"/>
      <c r="D7" s="118" t="s">
        <v>144</v>
      </c>
      <c r="E7" s="119"/>
      <c r="F7" s="120"/>
      <c r="G7" s="118" t="s">
        <v>145</v>
      </c>
      <c r="H7" s="119"/>
      <c r="I7" s="120"/>
      <c r="J7" s="118" t="s">
        <v>146</v>
      </c>
      <c r="K7" s="119"/>
      <c r="L7" s="120"/>
      <c r="M7" s="118" t="s">
        <v>147</v>
      </c>
      <c r="N7" s="119"/>
      <c r="O7" s="120"/>
      <c r="P7" s="118" t="s">
        <v>148</v>
      </c>
      <c r="Q7" s="119"/>
      <c r="R7" s="120"/>
      <c r="S7" s="118" t="s">
        <v>149</v>
      </c>
      <c r="T7" s="119"/>
      <c r="U7" s="120"/>
      <c r="V7" s="118" t="s">
        <v>150</v>
      </c>
      <c r="W7" s="119"/>
      <c r="X7" s="120"/>
      <c r="Y7" s="118" t="s">
        <v>151</v>
      </c>
      <c r="Z7" s="119"/>
      <c r="AA7" s="120"/>
      <c r="AB7" s="118" t="s">
        <v>152</v>
      </c>
      <c r="AC7" s="119"/>
      <c r="AD7" s="120"/>
      <c r="AE7" s="128" t="s">
        <v>139</v>
      </c>
      <c r="AF7" s="116"/>
    </row>
    <row r="8" spans="1:32" s="6" customFormat="1" x14ac:dyDescent="0.55000000000000004">
      <c r="A8" s="123"/>
      <c r="B8" s="126"/>
      <c r="C8" s="126"/>
      <c r="D8" s="15">
        <v>44197</v>
      </c>
      <c r="E8" s="15">
        <v>44228</v>
      </c>
      <c r="F8" s="15">
        <v>44256</v>
      </c>
      <c r="G8" s="15">
        <v>44287</v>
      </c>
      <c r="H8" s="15">
        <v>44317</v>
      </c>
      <c r="I8" s="15">
        <v>44348</v>
      </c>
      <c r="J8" s="15">
        <v>44378</v>
      </c>
      <c r="K8" s="15">
        <v>44409</v>
      </c>
      <c r="L8" s="15">
        <v>44440</v>
      </c>
      <c r="M8" s="15">
        <v>44470</v>
      </c>
      <c r="N8" s="15">
        <v>44501</v>
      </c>
      <c r="O8" s="15">
        <v>44531</v>
      </c>
      <c r="P8" s="15">
        <v>44562</v>
      </c>
      <c r="Q8" s="15">
        <v>44593</v>
      </c>
      <c r="R8" s="15">
        <v>44621</v>
      </c>
      <c r="S8" s="15">
        <v>44652</v>
      </c>
      <c r="T8" s="15">
        <v>44682</v>
      </c>
      <c r="U8" s="15">
        <v>44713</v>
      </c>
      <c r="V8" s="15">
        <v>44743</v>
      </c>
      <c r="W8" s="15">
        <v>44774</v>
      </c>
      <c r="X8" s="15">
        <v>44805</v>
      </c>
      <c r="Y8" s="15">
        <v>44835</v>
      </c>
      <c r="Z8" s="15">
        <v>44866</v>
      </c>
      <c r="AA8" s="15">
        <v>44896</v>
      </c>
      <c r="AB8" s="15">
        <v>44927</v>
      </c>
      <c r="AC8" s="15">
        <v>44958</v>
      </c>
      <c r="AD8" s="15">
        <v>44986</v>
      </c>
      <c r="AE8" s="126"/>
      <c r="AF8" s="117"/>
    </row>
    <row r="9" spans="1:32" x14ac:dyDescent="0.55000000000000004">
      <c r="A9" s="16"/>
      <c r="B9" s="17"/>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8">
        <f>SUM(D9:AE9)</f>
        <v>0</v>
      </c>
    </row>
    <row r="10" spans="1:32" x14ac:dyDescent="0.55000000000000004">
      <c r="A10" s="16"/>
      <c r="B10" s="17"/>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8">
        <f t="shared" ref="AF10:AF58" si="0">SUM(D10:AE10)</f>
        <v>0</v>
      </c>
    </row>
    <row r="11" spans="1:32" x14ac:dyDescent="0.55000000000000004">
      <c r="A11" s="16"/>
      <c r="B11" s="17"/>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8">
        <f t="shared" si="0"/>
        <v>0</v>
      </c>
    </row>
    <row r="12" spans="1:32" x14ac:dyDescent="0.55000000000000004">
      <c r="A12" s="16"/>
      <c r="B12" s="17"/>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8">
        <f t="shared" si="0"/>
        <v>0</v>
      </c>
    </row>
    <row r="13" spans="1:32" x14ac:dyDescent="0.55000000000000004">
      <c r="A13" s="16"/>
      <c r="B13" s="17"/>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8">
        <f t="shared" si="0"/>
        <v>0</v>
      </c>
    </row>
    <row r="14" spans="1:32" x14ac:dyDescent="0.55000000000000004">
      <c r="A14" s="16"/>
      <c r="B14" s="17"/>
      <c r="C14" s="16"/>
      <c r="D14" s="16"/>
      <c r="E14" s="19"/>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8">
        <f t="shared" si="0"/>
        <v>0</v>
      </c>
    </row>
    <row r="15" spans="1:32" x14ac:dyDescent="0.55000000000000004">
      <c r="A15" s="16"/>
      <c r="B15" s="17"/>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8">
        <f t="shared" si="0"/>
        <v>0</v>
      </c>
    </row>
    <row r="16" spans="1:32" x14ac:dyDescent="0.55000000000000004">
      <c r="A16" s="16"/>
      <c r="B16" s="17"/>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8">
        <f t="shared" si="0"/>
        <v>0</v>
      </c>
    </row>
    <row r="17" spans="1:32" x14ac:dyDescent="0.55000000000000004">
      <c r="A17" s="16"/>
      <c r="B17" s="17"/>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8">
        <f t="shared" si="0"/>
        <v>0</v>
      </c>
    </row>
    <row r="18" spans="1:32" x14ac:dyDescent="0.55000000000000004">
      <c r="A18" s="16"/>
      <c r="B18" s="17"/>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8">
        <f t="shared" si="0"/>
        <v>0</v>
      </c>
    </row>
    <row r="19" spans="1:32" x14ac:dyDescent="0.55000000000000004">
      <c r="A19" s="16"/>
      <c r="B19" s="17"/>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8">
        <f t="shared" si="0"/>
        <v>0</v>
      </c>
    </row>
    <row r="20" spans="1:32" x14ac:dyDescent="0.55000000000000004">
      <c r="A20" s="16"/>
      <c r="B20" s="17"/>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8">
        <f t="shared" si="0"/>
        <v>0</v>
      </c>
    </row>
    <row r="21" spans="1:32" x14ac:dyDescent="0.55000000000000004">
      <c r="A21" s="16"/>
      <c r="B21" s="17"/>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8">
        <f t="shared" si="0"/>
        <v>0</v>
      </c>
    </row>
    <row r="22" spans="1:32" x14ac:dyDescent="0.55000000000000004">
      <c r="A22" s="16"/>
      <c r="B22" s="17"/>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8">
        <f t="shared" si="0"/>
        <v>0</v>
      </c>
    </row>
    <row r="23" spans="1:32" x14ac:dyDescent="0.55000000000000004">
      <c r="A23" s="16"/>
      <c r="B23" s="17"/>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8">
        <f t="shared" si="0"/>
        <v>0</v>
      </c>
    </row>
    <row r="24" spans="1:32" x14ac:dyDescent="0.55000000000000004">
      <c r="A24" s="16"/>
      <c r="B24" s="17"/>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8">
        <f t="shared" si="0"/>
        <v>0</v>
      </c>
    </row>
    <row r="25" spans="1:32" x14ac:dyDescent="0.55000000000000004">
      <c r="A25" s="16"/>
      <c r="B25" s="17"/>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8">
        <f t="shared" si="0"/>
        <v>0</v>
      </c>
    </row>
    <row r="26" spans="1:32" x14ac:dyDescent="0.55000000000000004">
      <c r="A26" s="16"/>
      <c r="B26" s="17"/>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8">
        <f t="shared" si="0"/>
        <v>0</v>
      </c>
    </row>
    <row r="27" spans="1:32" x14ac:dyDescent="0.55000000000000004">
      <c r="A27" s="16"/>
      <c r="B27" s="17"/>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c r="AF27" s="18">
        <f t="shared" si="0"/>
        <v>0</v>
      </c>
    </row>
    <row r="28" spans="1:32" x14ac:dyDescent="0.55000000000000004">
      <c r="A28" s="16"/>
      <c r="B28" s="17"/>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8">
        <f t="shared" si="0"/>
        <v>0</v>
      </c>
    </row>
    <row r="29" spans="1:32" x14ac:dyDescent="0.55000000000000004">
      <c r="A29" s="16"/>
      <c r="B29" s="17"/>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8">
        <f t="shared" si="0"/>
        <v>0</v>
      </c>
    </row>
    <row r="30" spans="1:32" x14ac:dyDescent="0.55000000000000004">
      <c r="A30" s="16"/>
      <c r="B30" s="17"/>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8">
        <f t="shared" si="0"/>
        <v>0</v>
      </c>
    </row>
    <row r="31" spans="1:32" x14ac:dyDescent="0.55000000000000004">
      <c r="A31" s="16"/>
      <c r="B31" s="17"/>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8">
        <f t="shared" si="0"/>
        <v>0</v>
      </c>
    </row>
    <row r="32" spans="1:32" x14ac:dyDescent="0.55000000000000004">
      <c r="A32" s="16"/>
      <c r="B32" s="17"/>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8">
        <f t="shared" si="0"/>
        <v>0</v>
      </c>
    </row>
    <row r="33" spans="1:32" x14ac:dyDescent="0.55000000000000004">
      <c r="A33" s="16"/>
      <c r="B33" s="17"/>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8">
        <f t="shared" si="0"/>
        <v>0</v>
      </c>
    </row>
    <row r="34" spans="1:32" x14ac:dyDescent="0.55000000000000004">
      <c r="A34" s="16"/>
      <c r="B34" s="17"/>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8">
        <f t="shared" si="0"/>
        <v>0</v>
      </c>
    </row>
    <row r="35" spans="1:32" x14ac:dyDescent="0.55000000000000004">
      <c r="A35" s="16"/>
      <c r="B35" s="17"/>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8">
        <f t="shared" si="0"/>
        <v>0</v>
      </c>
    </row>
    <row r="36" spans="1:32" x14ac:dyDescent="0.55000000000000004">
      <c r="A36" s="16"/>
      <c r="B36" s="17"/>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8">
        <f t="shared" si="0"/>
        <v>0</v>
      </c>
    </row>
    <row r="37" spans="1:32" x14ac:dyDescent="0.55000000000000004">
      <c r="A37" s="16"/>
      <c r="B37" s="17"/>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8">
        <f t="shared" si="0"/>
        <v>0</v>
      </c>
    </row>
    <row r="38" spans="1:32" x14ac:dyDescent="0.55000000000000004">
      <c r="A38" s="16"/>
      <c r="B38" s="17"/>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8">
        <f t="shared" si="0"/>
        <v>0</v>
      </c>
    </row>
    <row r="39" spans="1:32" x14ac:dyDescent="0.55000000000000004">
      <c r="A39" s="16"/>
      <c r="B39" s="17"/>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8">
        <f t="shared" si="0"/>
        <v>0</v>
      </c>
    </row>
    <row r="40" spans="1:32" x14ac:dyDescent="0.55000000000000004">
      <c r="A40" s="16"/>
      <c r="B40" s="17"/>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8">
        <f t="shared" si="0"/>
        <v>0</v>
      </c>
    </row>
    <row r="41" spans="1:32" x14ac:dyDescent="0.55000000000000004">
      <c r="A41" s="16"/>
      <c r="B41" s="17"/>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8">
        <f t="shared" si="0"/>
        <v>0</v>
      </c>
    </row>
    <row r="42" spans="1:32" x14ac:dyDescent="0.55000000000000004">
      <c r="A42" s="16"/>
      <c r="B42" s="17"/>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8">
        <f t="shared" si="0"/>
        <v>0</v>
      </c>
    </row>
    <row r="43" spans="1:32" x14ac:dyDescent="0.55000000000000004">
      <c r="A43" s="16"/>
      <c r="B43" s="17"/>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8">
        <f t="shared" si="0"/>
        <v>0</v>
      </c>
    </row>
    <row r="44" spans="1:32" x14ac:dyDescent="0.55000000000000004">
      <c r="A44" s="16"/>
      <c r="B44" s="17"/>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8">
        <f t="shared" si="0"/>
        <v>0</v>
      </c>
    </row>
    <row r="45" spans="1:32" x14ac:dyDescent="0.55000000000000004">
      <c r="A45" s="16"/>
      <c r="B45" s="17"/>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8">
        <f t="shared" si="0"/>
        <v>0</v>
      </c>
    </row>
    <row r="46" spans="1:32" x14ac:dyDescent="0.55000000000000004">
      <c r="A46" s="16"/>
      <c r="B46" s="17"/>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8">
        <f t="shared" si="0"/>
        <v>0</v>
      </c>
    </row>
    <row r="47" spans="1:32" x14ac:dyDescent="0.55000000000000004">
      <c r="A47" s="16"/>
      <c r="B47" s="17"/>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8">
        <f t="shared" si="0"/>
        <v>0</v>
      </c>
    </row>
    <row r="48" spans="1:32" x14ac:dyDescent="0.55000000000000004">
      <c r="A48" s="16"/>
      <c r="B48" s="17"/>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8">
        <f t="shared" si="0"/>
        <v>0</v>
      </c>
    </row>
    <row r="49" spans="1:32" x14ac:dyDescent="0.55000000000000004">
      <c r="A49" s="16"/>
      <c r="B49" s="17"/>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8">
        <f t="shared" si="0"/>
        <v>0</v>
      </c>
    </row>
    <row r="50" spans="1:32" x14ac:dyDescent="0.55000000000000004">
      <c r="A50" s="16"/>
      <c r="B50" s="17"/>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8">
        <f t="shared" si="0"/>
        <v>0</v>
      </c>
    </row>
    <row r="51" spans="1:32" x14ac:dyDescent="0.55000000000000004">
      <c r="A51" s="16"/>
      <c r="B51" s="17"/>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8">
        <f t="shared" si="0"/>
        <v>0</v>
      </c>
    </row>
    <row r="52" spans="1:32" x14ac:dyDescent="0.55000000000000004">
      <c r="A52" s="16"/>
      <c r="B52" s="17"/>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8">
        <f t="shared" si="0"/>
        <v>0</v>
      </c>
    </row>
    <row r="53" spans="1:32" x14ac:dyDescent="0.55000000000000004">
      <c r="A53" s="16"/>
      <c r="B53" s="17"/>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8">
        <f t="shared" si="0"/>
        <v>0</v>
      </c>
    </row>
    <row r="54" spans="1:32" x14ac:dyDescent="0.55000000000000004">
      <c r="A54" s="16"/>
      <c r="B54" s="17"/>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8">
        <f t="shared" si="0"/>
        <v>0</v>
      </c>
    </row>
    <row r="55" spans="1:32" x14ac:dyDescent="0.55000000000000004">
      <c r="A55" s="16"/>
      <c r="B55" s="17"/>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8">
        <f t="shared" si="0"/>
        <v>0</v>
      </c>
    </row>
    <row r="56" spans="1:32" x14ac:dyDescent="0.55000000000000004">
      <c r="A56" s="16"/>
      <c r="B56" s="17"/>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8">
        <f t="shared" si="0"/>
        <v>0</v>
      </c>
    </row>
    <row r="57" spans="1:32" x14ac:dyDescent="0.55000000000000004">
      <c r="A57" s="16"/>
      <c r="B57" s="17"/>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8">
        <f t="shared" si="0"/>
        <v>0</v>
      </c>
    </row>
    <row r="58" spans="1:32" x14ac:dyDescent="0.55000000000000004">
      <c r="A58" s="16"/>
      <c r="B58" s="17"/>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8">
        <f t="shared" si="0"/>
        <v>0</v>
      </c>
    </row>
    <row r="59" spans="1:32" x14ac:dyDescent="0.55000000000000004">
      <c r="A59" s="101" t="s">
        <v>129</v>
      </c>
      <c r="B59" s="102"/>
      <c r="C59" s="103"/>
      <c r="D59" s="18">
        <f>SUM(D9:D58)</f>
        <v>0</v>
      </c>
      <c r="E59" s="18">
        <f t="shared" ref="E59:AF59" si="1">SUM(E9:E58)</f>
        <v>0</v>
      </c>
      <c r="F59" s="18">
        <f t="shared" si="1"/>
        <v>0</v>
      </c>
      <c r="G59" s="18">
        <f t="shared" si="1"/>
        <v>0</v>
      </c>
      <c r="H59" s="18">
        <f t="shared" si="1"/>
        <v>0</v>
      </c>
      <c r="I59" s="18">
        <f t="shared" si="1"/>
        <v>0</v>
      </c>
      <c r="J59" s="18">
        <f t="shared" si="1"/>
        <v>0</v>
      </c>
      <c r="K59" s="18">
        <f t="shared" si="1"/>
        <v>0</v>
      </c>
      <c r="L59" s="18">
        <f t="shared" si="1"/>
        <v>0</v>
      </c>
      <c r="M59" s="18">
        <f t="shared" si="1"/>
        <v>0</v>
      </c>
      <c r="N59" s="18">
        <f t="shared" si="1"/>
        <v>0</v>
      </c>
      <c r="O59" s="18">
        <f t="shared" si="1"/>
        <v>0</v>
      </c>
      <c r="P59" s="18">
        <f t="shared" si="1"/>
        <v>0</v>
      </c>
      <c r="Q59" s="18">
        <f t="shared" si="1"/>
        <v>0</v>
      </c>
      <c r="R59" s="18">
        <f t="shared" si="1"/>
        <v>0</v>
      </c>
      <c r="S59" s="18">
        <f t="shared" si="1"/>
        <v>0</v>
      </c>
      <c r="T59" s="18">
        <f t="shared" si="1"/>
        <v>0</v>
      </c>
      <c r="U59" s="18">
        <f t="shared" si="1"/>
        <v>0</v>
      </c>
      <c r="V59" s="18">
        <f t="shared" si="1"/>
        <v>0</v>
      </c>
      <c r="W59" s="18">
        <f t="shared" si="1"/>
        <v>0</v>
      </c>
      <c r="X59" s="18">
        <f t="shared" si="1"/>
        <v>0</v>
      </c>
      <c r="Y59" s="18">
        <f t="shared" si="1"/>
        <v>0</v>
      </c>
      <c r="Z59" s="18">
        <f t="shared" si="1"/>
        <v>0</v>
      </c>
      <c r="AA59" s="18">
        <f t="shared" si="1"/>
        <v>0</v>
      </c>
      <c r="AB59" s="18">
        <f t="shared" si="1"/>
        <v>0</v>
      </c>
      <c r="AC59" s="18">
        <f t="shared" si="1"/>
        <v>0</v>
      </c>
      <c r="AD59" s="18">
        <f t="shared" si="1"/>
        <v>0</v>
      </c>
      <c r="AE59" s="18">
        <f t="shared" si="1"/>
        <v>0</v>
      </c>
      <c r="AF59" s="18">
        <f t="shared" si="1"/>
        <v>0</v>
      </c>
    </row>
  </sheetData>
  <mergeCells count="23">
    <mergeCell ref="A59:C59"/>
    <mergeCell ref="A6:A8"/>
    <mergeCell ref="B6:B8"/>
    <mergeCell ref="C6:C8"/>
    <mergeCell ref="D6:AE6"/>
    <mergeCell ref="S7:U7"/>
    <mergeCell ref="V7:X7"/>
    <mergeCell ref="Y7:AA7"/>
    <mergeCell ref="AB7:AD7"/>
    <mergeCell ref="AE7:AE8"/>
    <mergeCell ref="AF6:AF8"/>
    <mergeCell ref="D7:F7"/>
    <mergeCell ref="G7:I7"/>
    <mergeCell ref="J7:L7"/>
    <mergeCell ref="M7:O7"/>
    <mergeCell ref="P7:R7"/>
    <mergeCell ref="B3:C3"/>
    <mergeCell ref="E3:O3"/>
    <mergeCell ref="B4:C4"/>
    <mergeCell ref="E4:F4"/>
    <mergeCell ref="H4:I4"/>
    <mergeCell ref="K4:L4"/>
    <mergeCell ref="N4:O4"/>
  </mergeCells>
  <phoneticPr fontId="3"/>
  <pageMargins left="0.7" right="0.7" top="0.75" bottom="0.75" header="0.3" footer="0.3"/>
  <pageSetup paperSize="9" orientation="portrait" horizontalDpi="300" verticalDpi="300"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リストマスタ!$L$3:$L$4</xm:f>
          </x14:formula1>
          <xm:sqref>A9:A58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3"/>
  <sheetViews>
    <sheetView workbookViewId="0">
      <selection activeCell="F16" sqref="F16"/>
    </sheetView>
  </sheetViews>
  <sheetFormatPr defaultColWidth="8.58203125" defaultRowHeight="18" x14ac:dyDescent="0.55000000000000004"/>
  <cols>
    <col min="1" max="1" width="4.58203125" style="21" customWidth="1"/>
    <col min="2" max="2" width="10.5" style="21" customWidth="1"/>
    <col min="3" max="3" width="22" style="21" customWidth="1"/>
    <col min="4" max="4" width="15.08203125" style="21" customWidth="1"/>
    <col min="5" max="5" width="11.08203125" style="21" customWidth="1"/>
    <col min="6" max="6" width="58.33203125" style="21" bestFit="1" customWidth="1"/>
    <col min="7" max="7" width="11.08203125" style="21" customWidth="1"/>
    <col min="8" max="8" width="5.83203125" style="21" customWidth="1"/>
    <col min="9" max="9" width="11.83203125" style="21" customWidth="1"/>
    <col min="10" max="10" width="11.08203125" style="21" customWidth="1"/>
    <col min="11" max="11" width="17.08203125" style="21" bestFit="1" customWidth="1"/>
    <col min="12" max="12" width="11.08203125" style="21" customWidth="1"/>
    <col min="13" max="16384" width="8.58203125" style="21"/>
  </cols>
  <sheetData>
    <row r="1" spans="1:12" x14ac:dyDescent="0.55000000000000004">
      <c r="A1" s="131" t="s">
        <v>20</v>
      </c>
      <c r="B1" s="20" t="s">
        <v>153</v>
      </c>
      <c r="C1" s="131" t="s">
        <v>154</v>
      </c>
      <c r="D1" s="131" t="s">
        <v>155</v>
      </c>
      <c r="E1" s="131" t="s">
        <v>156</v>
      </c>
      <c r="F1" s="131" t="s">
        <v>157</v>
      </c>
      <c r="G1" s="131" t="s">
        <v>158</v>
      </c>
      <c r="H1" s="129" t="s">
        <v>159</v>
      </c>
      <c r="I1" s="130"/>
      <c r="J1" s="131" t="s">
        <v>160</v>
      </c>
      <c r="K1" s="131" t="s">
        <v>161</v>
      </c>
      <c r="L1" s="131" t="s">
        <v>162</v>
      </c>
    </row>
    <row r="2" spans="1:12" x14ac:dyDescent="0.55000000000000004">
      <c r="A2" s="131"/>
      <c r="B2" s="20" t="s">
        <v>163</v>
      </c>
      <c r="C2" s="131"/>
      <c r="D2" s="131"/>
      <c r="E2" s="131"/>
      <c r="F2" s="131"/>
      <c r="G2" s="131"/>
      <c r="H2" s="20" t="s">
        <v>20</v>
      </c>
      <c r="I2" s="20" t="s">
        <v>164</v>
      </c>
      <c r="J2" s="131"/>
      <c r="K2" s="131"/>
      <c r="L2" s="131"/>
    </row>
    <row r="3" spans="1:12" x14ac:dyDescent="0.55000000000000004">
      <c r="A3" s="22">
        <v>1</v>
      </c>
      <c r="B3" s="23">
        <v>0.1</v>
      </c>
      <c r="C3" s="22" t="s">
        <v>165</v>
      </c>
      <c r="D3" s="22" t="s">
        <v>166</v>
      </c>
      <c r="E3" s="22" t="s">
        <v>167</v>
      </c>
      <c r="F3" s="22" t="s">
        <v>168</v>
      </c>
      <c r="G3" s="22" t="s">
        <v>169</v>
      </c>
      <c r="H3" s="22">
        <v>1</v>
      </c>
      <c r="I3" s="22" t="s">
        <v>170</v>
      </c>
      <c r="J3" s="22" t="s">
        <v>171</v>
      </c>
      <c r="K3" s="22" t="s">
        <v>172</v>
      </c>
      <c r="L3" s="22" t="s">
        <v>173</v>
      </c>
    </row>
    <row r="4" spans="1:12" x14ac:dyDescent="0.55000000000000004">
      <c r="A4" s="22">
        <v>2</v>
      </c>
      <c r="B4" s="23"/>
      <c r="C4" s="22"/>
      <c r="D4" s="22"/>
      <c r="E4" s="22" t="s">
        <v>174</v>
      </c>
      <c r="F4" s="22" t="s">
        <v>175</v>
      </c>
      <c r="G4" s="22" t="s">
        <v>176</v>
      </c>
      <c r="H4" s="22">
        <v>2</v>
      </c>
      <c r="I4" s="22" t="s">
        <v>177</v>
      </c>
      <c r="J4" s="22" t="s">
        <v>178</v>
      </c>
      <c r="K4" s="22" t="s">
        <v>179</v>
      </c>
      <c r="L4" s="22" t="s">
        <v>180</v>
      </c>
    </row>
    <row r="5" spans="1:12" x14ac:dyDescent="0.55000000000000004">
      <c r="A5" s="22">
        <v>3</v>
      </c>
      <c r="B5" s="22"/>
      <c r="C5" s="22"/>
      <c r="D5" s="22"/>
      <c r="E5" s="22"/>
      <c r="F5" s="22" t="s">
        <v>181</v>
      </c>
      <c r="G5" s="22" t="s">
        <v>182</v>
      </c>
      <c r="H5" s="22">
        <v>3</v>
      </c>
      <c r="I5" s="22" t="s">
        <v>183</v>
      </c>
      <c r="J5" s="22" t="s">
        <v>184</v>
      </c>
      <c r="K5" s="22" t="s">
        <v>185</v>
      </c>
      <c r="L5" s="22"/>
    </row>
    <row r="6" spans="1:12" x14ac:dyDescent="0.55000000000000004">
      <c r="A6" s="22">
        <v>4</v>
      </c>
      <c r="B6" s="22"/>
      <c r="C6" s="22"/>
      <c r="D6" s="22"/>
      <c r="E6" s="22"/>
      <c r="F6" s="22"/>
      <c r="G6" s="22"/>
      <c r="H6" s="22"/>
      <c r="I6" s="22"/>
      <c r="J6" s="22"/>
      <c r="K6" s="22" t="s">
        <v>186</v>
      </c>
      <c r="L6" s="22"/>
    </row>
    <row r="7" spans="1:12" x14ac:dyDescent="0.55000000000000004">
      <c r="A7" s="22">
        <v>5</v>
      </c>
      <c r="B7" s="22"/>
      <c r="C7" s="22"/>
      <c r="D7" s="22"/>
      <c r="E7" s="22"/>
      <c r="F7" s="22"/>
      <c r="G7" s="22"/>
      <c r="H7" s="22"/>
      <c r="I7" s="22"/>
      <c r="J7" s="22"/>
      <c r="K7" s="22" t="s">
        <v>187</v>
      </c>
      <c r="L7" s="22"/>
    </row>
    <row r="8" spans="1:12" x14ac:dyDescent="0.55000000000000004">
      <c r="A8" s="22">
        <v>6</v>
      </c>
      <c r="B8" s="22"/>
      <c r="C8" s="22"/>
      <c r="D8" s="22"/>
      <c r="E8" s="22"/>
      <c r="F8" s="22"/>
      <c r="G8" s="22"/>
      <c r="H8" s="22"/>
      <c r="I8" s="22"/>
      <c r="J8" s="22"/>
      <c r="K8" s="22" t="s">
        <v>188</v>
      </c>
      <c r="L8" s="22"/>
    </row>
    <row r="9" spans="1:12" x14ac:dyDescent="0.55000000000000004">
      <c r="A9" s="22">
        <v>7</v>
      </c>
      <c r="B9" s="22"/>
      <c r="C9" s="22"/>
      <c r="D9" s="22"/>
      <c r="E9" s="22"/>
      <c r="F9" s="22"/>
      <c r="G9" s="22"/>
      <c r="H9" s="22"/>
      <c r="I9" s="22"/>
      <c r="J9" s="22"/>
      <c r="K9" s="22" t="s">
        <v>189</v>
      </c>
      <c r="L9" s="22"/>
    </row>
    <row r="10" spans="1:12" x14ac:dyDescent="0.55000000000000004">
      <c r="A10" s="22">
        <v>8</v>
      </c>
      <c r="B10" s="22"/>
      <c r="C10" s="22"/>
      <c r="D10" s="22"/>
      <c r="E10" s="22"/>
      <c r="F10" s="22"/>
      <c r="G10" s="22"/>
      <c r="H10" s="22"/>
      <c r="I10" s="22"/>
      <c r="J10" s="22"/>
      <c r="K10" s="22" t="s">
        <v>190</v>
      </c>
      <c r="L10" s="22"/>
    </row>
    <row r="11" spans="1:12" x14ac:dyDescent="0.55000000000000004">
      <c r="A11" s="22">
        <v>9</v>
      </c>
      <c r="B11" s="22"/>
      <c r="C11" s="22"/>
      <c r="D11" s="22"/>
      <c r="E11" s="22"/>
      <c r="F11" s="22"/>
      <c r="G11" s="22"/>
      <c r="H11" s="22"/>
      <c r="I11" s="22"/>
      <c r="J11" s="22"/>
      <c r="K11" s="22" t="s">
        <v>191</v>
      </c>
      <c r="L11" s="22"/>
    </row>
    <row r="12" spans="1:12" x14ac:dyDescent="0.55000000000000004">
      <c r="A12" s="22">
        <v>10</v>
      </c>
      <c r="B12" s="22"/>
      <c r="C12" s="22"/>
      <c r="D12" s="22"/>
      <c r="E12" s="22"/>
      <c r="F12" s="22"/>
      <c r="G12" s="22"/>
      <c r="H12" s="22"/>
      <c r="I12" s="22"/>
      <c r="J12" s="22"/>
      <c r="K12" s="22" t="s">
        <v>192</v>
      </c>
      <c r="L12" s="22"/>
    </row>
    <row r="13" spans="1:12" x14ac:dyDescent="0.55000000000000004">
      <c r="A13" s="22">
        <v>11</v>
      </c>
      <c r="B13" s="22"/>
      <c r="C13" s="22"/>
      <c r="D13" s="22"/>
      <c r="E13" s="22"/>
      <c r="F13" s="22"/>
      <c r="G13" s="22"/>
      <c r="H13" s="22"/>
      <c r="I13" s="22"/>
      <c r="J13" s="22"/>
      <c r="K13" s="22"/>
      <c r="L13" s="22"/>
    </row>
  </sheetData>
  <mergeCells count="10">
    <mergeCell ref="H1:I1"/>
    <mergeCell ref="J1:J2"/>
    <mergeCell ref="K1:K2"/>
    <mergeCell ref="L1:L2"/>
    <mergeCell ref="A1:A2"/>
    <mergeCell ref="C1:C2"/>
    <mergeCell ref="D1:D2"/>
    <mergeCell ref="E1:E2"/>
    <mergeCell ref="F1:F2"/>
    <mergeCell ref="G1:G2"/>
  </mergeCells>
  <phoneticPr fontId="3"/>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fd442da-66a9-4fa6-ba31-eb0d54ad1381">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B207C222D4A704392DD812ABE7F848A" ma:contentTypeVersion="10" ma:contentTypeDescription="新しいドキュメントを作成します。" ma:contentTypeScope="" ma:versionID="b7644d4de02ded20394603be2720d07a">
  <xsd:schema xmlns:xsd="http://www.w3.org/2001/XMLSchema" xmlns:xs="http://www.w3.org/2001/XMLSchema" xmlns:p="http://schemas.microsoft.com/office/2006/metadata/properties" xmlns:ns2="2fd442da-66a9-4fa6-ba31-eb0d54ad1381" targetNamespace="http://schemas.microsoft.com/office/2006/metadata/properties" ma:root="true" ma:fieldsID="2cb02ba061cb2e2c8687b06261905403" ns2:_="">
    <xsd:import namespace="2fd442da-66a9-4fa6-ba31-eb0d54ad13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442da-66a9-4fa6-ba31-eb0d54ad1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a5fcdd6f-42ce-4fb7-9ce2-d9614ea932c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84B01A1-F851-4DC1-B86B-3480D6CB2334}">
  <ds:schemaRefs>
    <ds:schemaRef ds:uri="http://schemas.microsoft.com/sharepoint/v3/contenttype/forms"/>
  </ds:schemaRefs>
</ds:datastoreItem>
</file>

<file path=customXml/itemProps2.xml><?xml version="1.0" encoding="utf-8"?>
<ds:datastoreItem xmlns:ds="http://schemas.openxmlformats.org/officeDocument/2006/customXml" ds:itemID="{EFCE913C-C223-419A-9E5E-B83989BF0BCE}">
  <ds:schemaRefs>
    <ds:schemaRef ds:uri="http://purl.org/dc/dcmitype/"/>
    <ds:schemaRef ds:uri="http://schemas.openxmlformats.org/package/2006/metadata/core-properties"/>
    <ds:schemaRef ds:uri="http://schemas.microsoft.com/office/2006/documentManagement/types"/>
    <ds:schemaRef ds:uri="http://purl.org/dc/elements/1.1/"/>
    <ds:schemaRef ds:uri="http://purl.org/dc/terms/"/>
    <ds:schemaRef ds:uri="http://schemas.microsoft.com/office/2006/metadata/properties"/>
    <ds:schemaRef ds:uri="http://schemas.microsoft.com/office/infopath/2007/PartnerControls"/>
    <ds:schemaRef ds:uri="2fd442da-66a9-4fa6-ba31-eb0d54ad1381"/>
    <ds:schemaRef ds:uri="http://www.w3.org/XML/1998/namespace"/>
  </ds:schemaRefs>
</ds:datastoreItem>
</file>

<file path=customXml/itemProps3.xml><?xml version="1.0" encoding="utf-8"?>
<ds:datastoreItem xmlns:ds="http://schemas.openxmlformats.org/officeDocument/2006/customXml" ds:itemID="{203353F8-15E2-435E-BC0A-F0078C3DA19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d442da-66a9-4fa6-ba31-eb0d54ad138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2</vt:i4>
      </vt:variant>
    </vt:vector>
  </HeadingPairs>
  <TitlesOfParts>
    <vt:vector size="7" baseType="lpstr">
      <vt:lpstr>概算見積</vt:lpstr>
      <vt:lpstr>作業範囲</vt:lpstr>
      <vt:lpstr>社員工数</vt:lpstr>
      <vt:lpstr>外注費・経費</vt:lpstr>
      <vt:lpstr>リストマスタ</vt:lpstr>
      <vt:lpstr>概算見積!Print_Area</vt:lpstr>
      <vt:lpstr>作業範囲!Print_Area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髙浦 祐朗</dc:creator>
  <cp:keywords/>
  <dc:description/>
  <cp:lastModifiedBy>髙浦祐朗</cp:lastModifiedBy>
  <cp:revision/>
  <dcterms:created xsi:type="dcterms:W3CDTF">2021-04-22T09:34:49Z</dcterms:created>
  <dcterms:modified xsi:type="dcterms:W3CDTF">2025-12-11T06:02:52Z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0x0101008B207C222D4A704392DD812ABE7F848A</vt:lpwstr>
  </property>
  <property fmtid="{D5CDD505-2E9C-101B-9397-08002B2CF9AE}" pid="3" name="MediaServiceImageTags">
    <vt:lpwstr/>
  </property>
</Properties>
</file>