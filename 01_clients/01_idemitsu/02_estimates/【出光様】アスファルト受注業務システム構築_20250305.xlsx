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8"/>
  <workbookPr/>
  <mc:AlternateContent xmlns:mc="http://schemas.openxmlformats.org/markup-compatibility/2006">
    <mc:Choice Requires="x15">
      <x15ac:absPath xmlns:x15ac="http://schemas.microsoft.com/office/spreadsheetml/2010/11/ac" url="https://systemexe2021.sharepoint.com/sites/-984-01_/Shared Documents/01_提案・見積/"/>
    </mc:Choice>
  </mc:AlternateContent>
  <xr:revisionPtr revIDLastSave="32" documentId="13_ncr:1_{5820FD8A-9228-4FEA-BD5B-6360D555C851}" xr6:coauthVersionLast="47" xr6:coauthVersionMax="47" xr10:uidLastSave="{B193DEA5-DD96-45B0-B474-13B193BCC056}"/>
  <bookViews>
    <workbookView xWindow="-120" yWindow="-120" windowWidth="29040" windowHeight="15720" xr2:uid="{00000000-000D-0000-FFFF-FFFF00000000}"/>
  </bookViews>
  <sheets>
    <sheet name="スケジュール・要員計画" sheetId="12" r:id="rId1"/>
    <sheet name="御見積(画面・機能)" sheetId="1" r:id="rId2"/>
    <sheet name="積算基準" sheetId="5" r:id="rId3"/>
    <sheet name="Sheet1" sheetId="13" r:id="rId4"/>
  </sheets>
  <externalReferences>
    <externalReference r:id="rId5"/>
    <externalReference r:id="rId6"/>
  </externalReferences>
  <definedNames>
    <definedName name="_xlnm._FilterDatabase" localSheetId="1" hidden="1">'御見積(画面・機能)'!$A$2:$T$31</definedName>
    <definedName name="aa" localSheetId="2" hidden="1">{#N/A,#N/A,FALSE,"ＨＢＳＣＳＳ";#N/A,#N/A,FALSE,"原価管理表平田倉庫";#N/A,#N/A,FALSE,"原価管理表 日立印刷";#N/A,#N/A,FALSE,"原価管理合計表"}</definedName>
    <definedName name="aa" hidden="1">{#N/A,#N/A,FALSE,"ＨＢＳＣＳＳ";#N/A,#N/A,FALSE,"原価管理表平田倉庫";#N/A,#N/A,FALSE,"原価管理表 日立印刷";#N/A,#N/A,FALSE,"原価管理合計表"}</definedName>
    <definedName name="b" localSheetId="2" hidden="1">{#N/A,#N/A,FALSE,"ＨＢＳＣＳＳ";#N/A,#N/A,FALSE,"原価管理表平田倉庫";#N/A,#N/A,FALSE,"原価管理表 日立印刷";#N/A,#N/A,FALSE,"原価管理合計表"}</definedName>
    <definedName name="b" hidden="1">{#N/A,#N/A,FALSE,"ＨＢＳＣＳＳ";#N/A,#N/A,FALSE,"原価管理表平田倉庫";#N/A,#N/A,FALSE,"原価管理表 日立印刷";#N/A,#N/A,FALSE,"原価管理合計表"}</definedName>
    <definedName name="bb" hidden="1">{#N/A,#N/A,FALSE,"ＨＢＳＣＳＳ";#N/A,#N/A,FALSE,"原価管理表平田倉庫";#N/A,#N/A,FALSE,"原価管理表 日立印刷";#N/A,#N/A,FALSE,"原価管理合計表"}</definedName>
    <definedName name="FP試算法データファンクション">[1]FP係数!$B$26:$B$27</definedName>
    <definedName name="HTML1_1" hidden="1">"'[MILLE999.xls]価格表（社外出力） (2)'!$A$1:$E$225"</definedName>
    <definedName name="HTML1_10" hidden="1">""</definedName>
    <definedName name="HTML1_11" hidden="1">1</definedName>
    <definedName name="HTML1_12" hidden="1">"J:\Ｎ技２\IWASHITA\MyHTML.htm"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"MILLE999.xls"</definedName>
    <definedName name="HTML1_4" hidden="1">"価格表（社外出力） (2)"</definedName>
    <definedName name="HTML1_5" hidden="1">""</definedName>
    <definedName name="HTML1_6" hidden="1">-4146</definedName>
    <definedName name="HTML1_7" hidden="1">-4146</definedName>
    <definedName name="HTML1_8" hidden="1">"98/03/13"</definedName>
    <definedName name="HTML1_9" hidden="1">"日立西部ソフトウェア(株)"</definedName>
    <definedName name="HTMLCount" hidden="1">1</definedName>
    <definedName name="_xlnm.Print_Area" localSheetId="1">'御見積(画面・機能)'!$A$1:$S$37</definedName>
    <definedName name="_xlnm.Print_Titles" localSheetId="1">'御見積(画面・機能)'!$2:$3</definedName>
    <definedName name="qqq" localSheetId="2" hidden="1">{#N/A,#N/A,FALSE,"ＨＢＳＣＳＳ";#N/A,#N/A,FALSE,"原価管理表平田倉庫";#N/A,#N/A,FALSE,"原価管理表 日立印刷";#N/A,#N/A,FALSE,"原価管理合計表"}</definedName>
    <definedName name="qqq" hidden="1">{#N/A,#N/A,FALSE,"ＨＢＳＣＳＳ";#N/A,#N/A,FALSE,"原価管理表平田倉庫";#N/A,#N/A,FALSE,"原価管理表 日立印刷";#N/A,#N/A,FALSE,"原価管理合計表"}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wrn.全シート印刷." localSheetId="2" hidden="1">{#N/A,#N/A,FALSE,"ＨＢＳＣＳＳ";#N/A,#N/A,FALSE,"原価管理表平田倉庫";#N/A,#N/A,FALSE,"原価管理表 日立印刷";#N/A,#N/A,FALSE,"原価管理合計表"}</definedName>
    <definedName name="wrn.全シート印刷." hidden="1">{#N/A,#N/A,FALSE,"ＨＢＳＣＳＳ";#N/A,#N/A,FALSE,"原価管理表平田倉庫";#N/A,#N/A,FALSE,"原価管理表 日立印刷";#N/A,#N/A,FALSE,"原価管理合計表"}</definedName>
    <definedName name="ｚ" localSheetId="2" hidden="1">{#N/A,#N/A,FALSE,"ＨＢＳＣＳＳ";#N/A,#N/A,FALSE,"原価管理表平田倉庫";#N/A,#N/A,FALSE,"原価管理表 日立印刷";#N/A,#N/A,FALSE,"原価管理合計表"}</definedName>
    <definedName name="ｚ" hidden="1">{#N/A,#N/A,FALSE,"ＨＢＳＣＳＳ";#N/A,#N/A,FALSE,"原価管理表平田倉庫";#N/A,#N/A,FALSE,"原価管理表 日立印刷";#N/A,#N/A,FALSE,"原価管理合計表"}</definedName>
    <definedName name="zz" localSheetId="2" hidden="1">{#N/A,#N/A,FALSE,"ＨＢＳＣＳＳ";#N/A,#N/A,FALSE,"原価管理表平田倉庫";#N/A,#N/A,FALSE,"原価管理表 日立印刷";#N/A,#N/A,FALSE,"原価管理合計表"}</definedName>
    <definedName name="zz" hidden="1">{#N/A,#N/A,FALSE,"ＨＢＳＣＳＳ";#N/A,#N/A,FALSE,"原価管理表平田倉庫";#N/A,#N/A,FALSE,"原価管理表 日立印刷";#N/A,#N/A,FALSE,"原価管理合計表"}</definedName>
    <definedName name="ああ" localSheetId="2" hidden="1">{#N/A,#N/A,FALSE,"ＨＢＳＣＳＳ";#N/A,#N/A,FALSE,"原価管理表平田倉庫";#N/A,#N/A,FALSE,"原価管理表 日立印刷";#N/A,#N/A,FALSE,"原価管理合計表"}</definedName>
    <definedName name="ああ" hidden="1">{#N/A,#N/A,FALSE,"ＨＢＳＣＳＳ";#N/A,#N/A,FALSE,"原価管理表平田倉庫";#N/A,#N/A,FALSE,"原価管理表 日立印刷";#N/A,#N/A,FALSE,"原価管理合計表"}</definedName>
    <definedName name="計測種別">[1]FP係数!$B$20:$B$21</definedName>
    <definedName name="高係数">積算基準!$D$49</definedName>
    <definedName name="高係数_IF">積算基準!$D$50</definedName>
    <definedName name="参照上限高" localSheetId="2">積算基準!$D$17</definedName>
    <definedName name="参照上限中" localSheetId="2">積算基準!$E$17</definedName>
    <definedName name="参照上限低" localSheetId="2">積算基準!$F$17</definedName>
    <definedName name="参照上限特高" localSheetId="2">積算基準!$C$17</definedName>
    <definedName name="参照上限特低" localSheetId="2">積算基準!$G$17</definedName>
    <definedName name="成形原料処置">'[2]【参考】UI-22 業務コード定義'!$C$15</definedName>
    <definedName name="単価ランク">[1]IFPUG法・FP概算法!$J$10:$J$14</definedName>
    <definedName name="中係数">積算基準!$E$49</definedName>
    <definedName name="中係数_IF">積算基準!$E$50</definedName>
    <definedName name="低係数">積算基準!$F$49</definedName>
    <definedName name="低係数_IF">積算基準!$F$50</definedName>
    <definedName name="登録上限高" localSheetId="2">積算基準!$D$16</definedName>
    <definedName name="登録上限中" localSheetId="2">積算基準!$E$16</definedName>
    <definedName name="登録上限低" localSheetId="2">積算基準!$F$16</definedName>
    <definedName name="登録上限特高" localSheetId="2">積算基準!$C$16</definedName>
    <definedName name="登録上限特低" localSheetId="2">積算基準!$G$16</definedName>
    <definedName name="特高係数">積算基準!$C$49</definedName>
    <definedName name="特高係数_IF">積算基準!$C$50</definedName>
    <definedName name="特低係数">積算基準!$G$49</definedName>
    <definedName name="特低係数_IF">積算基準!$G$50</definedName>
    <definedName name="標準成形不可時">'[2]【参考】UI-22 業務コード定義'!$C$14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3" i="1" l="1"/>
  <c r="G10" i="13"/>
  <c r="F36" i="13"/>
  <c r="F35" i="13"/>
  <c r="F34" i="13"/>
  <c r="F33" i="13"/>
  <c r="G33" i="13" s="1"/>
  <c r="F32" i="13"/>
  <c r="F31" i="13"/>
  <c r="F30" i="13"/>
  <c r="F29" i="13"/>
  <c r="G29" i="13" s="1"/>
  <c r="F28" i="13"/>
  <c r="F27" i="13"/>
  <c r="F26" i="13"/>
  <c r="F25" i="13"/>
  <c r="G25" i="13" s="1"/>
  <c r="F24" i="13"/>
  <c r="F23" i="13"/>
  <c r="F22" i="13"/>
  <c r="F21" i="13"/>
  <c r="F20" i="13"/>
  <c r="G20" i="13" s="1"/>
  <c r="F19" i="13"/>
  <c r="F18" i="13"/>
  <c r="F17" i="13"/>
  <c r="F16" i="13"/>
  <c r="F15" i="13"/>
  <c r="G15" i="13" s="1"/>
  <c r="F14" i="13"/>
  <c r="F13" i="13"/>
  <c r="F12" i="13"/>
  <c r="F11" i="13"/>
  <c r="F10" i="13"/>
  <c r="F9" i="13"/>
  <c r="F8" i="13"/>
  <c r="F7" i="13"/>
  <c r="F6" i="13"/>
  <c r="G5" i="13" s="1"/>
  <c r="F5" i="13"/>
  <c r="F4" i="13"/>
  <c r="F3" i="13"/>
  <c r="F2" i="13"/>
  <c r="G2" i="13" s="1"/>
  <c r="H2" i="13" l="1"/>
  <c r="Q33" i="12"/>
  <c r="S33" i="12" s="1"/>
  <c r="U33" i="12" s="1"/>
  <c r="Q32" i="12"/>
  <c r="S32" i="12" s="1"/>
  <c r="U32" i="12" s="1"/>
  <c r="Q31" i="12"/>
  <c r="S31" i="12" s="1"/>
  <c r="U31" i="12" s="1"/>
  <c r="Q30" i="12"/>
  <c r="S30" i="12" s="1"/>
  <c r="U30" i="12" s="1"/>
  <c r="Q29" i="12"/>
  <c r="S29" i="12" s="1"/>
  <c r="U29" i="12" s="1"/>
  <c r="Q28" i="12"/>
  <c r="S28" i="12" s="1"/>
  <c r="U28" i="12" s="1"/>
  <c r="Q27" i="12"/>
  <c r="Q24" i="12"/>
  <c r="S24" i="12" s="1"/>
  <c r="U24" i="12" s="1"/>
  <c r="Q23" i="12"/>
  <c r="S23" i="12" s="1"/>
  <c r="U23" i="12" s="1"/>
  <c r="Q22" i="12"/>
  <c r="S22" i="12" s="1"/>
  <c r="U22" i="12" s="1"/>
  <c r="Q21" i="12"/>
  <c r="S21" i="12" s="1"/>
  <c r="U21" i="12" s="1"/>
  <c r="Q20" i="12"/>
  <c r="S20" i="12" s="1"/>
  <c r="S25" i="12" l="1"/>
  <c r="S26" i="12" s="1"/>
  <c r="U20" i="12"/>
  <c r="U25" i="12" s="1"/>
  <c r="Q34" i="12"/>
  <c r="S27" i="12"/>
  <c r="S34" i="12" s="1"/>
  <c r="S35" i="12" s="1"/>
  <c r="Q25" i="12"/>
  <c r="A22" i="1"/>
  <c r="V25" i="12" l="1"/>
  <c r="U27" i="12"/>
  <c r="U34" i="12" s="1"/>
  <c r="V34" i="12" s="1"/>
  <c r="D58" i="5" l="1"/>
  <c r="M4" i="1"/>
  <c r="A11" i="1"/>
  <c r="A12" i="1"/>
  <c r="A14" i="1"/>
  <c r="A15" i="1"/>
  <c r="M15" i="1"/>
  <c r="A16" i="1"/>
  <c r="M16" i="1"/>
  <c r="A10" i="1"/>
  <c r="A23" i="1"/>
  <c r="A21" i="1"/>
  <c r="A20" i="1"/>
  <c r="A19" i="1"/>
  <c r="M11" i="1" l="1"/>
  <c r="M22" i="1"/>
  <c r="M14" i="1"/>
  <c r="M12" i="1"/>
  <c r="A24" i="1"/>
  <c r="K4" i="1"/>
  <c r="K22" i="1" s="1"/>
  <c r="Q4" i="1"/>
  <c r="Q22" i="1" s="1"/>
  <c r="L22" i="1" l="1"/>
  <c r="Q12" i="1"/>
  <c r="Q11" i="1"/>
  <c r="K11" i="1"/>
  <c r="K12" i="1"/>
  <c r="Q16" i="1"/>
  <c r="Q14" i="1"/>
  <c r="Q15" i="1"/>
  <c r="K16" i="1"/>
  <c r="K14" i="1"/>
  <c r="K15" i="1"/>
  <c r="Q10" i="1"/>
  <c r="K10" i="1"/>
  <c r="L10" i="1" s="1"/>
  <c r="Q20" i="1"/>
  <c r="Q23" i="1"/>
  <c r="Q21" i="1"/>
  <c r="K20" i="1"/>
  <c r="L20" i="1" s="1"/>
  <c r="K23" i="1"/>
  <c r="K21" i="1"/>
  <c r="Q24" i="1"/>
  <c r="Q19" i="1"/>
  <c r="K24" i="1"/>
  <c r="L24" i="1" s="1"/>
  <c r="K19" i="1"/>
  <c r="E30" i="5"/>
  <c r="L12" i="1" l="1"/>
  <c r="L11" i="1"/>
  <c r="L15" i="1"/>
  <c r="L14" i="1"/>
  <c r="L16" i="1"/>
  <c r="L23" i="1"/>
  <c r="L21" i="1"/>
  <c r="L19" i="1"/>
  <c r="A25" i="1"/>
  <c r="A18" i="1"/>
  <c r="A17" i="1"/>
  <c r="A13" i="1"/>
  <c r="A9" i="1"/>
  <c r="Q26" i="1" l="1"/>
  <c r="P26" i="1"/>
  <c r="O26" i="1"/>
  <c r="M26" i="1"/>
  <c r="K26" i="1"/>
  <c r="E59" i="5"/>
  <c r="H42" i="5"/>
  <c r="K42" i="5" s="1"/>
  <c r="D34" i="5"/>
  <c r="F42" i="5" s="1"/>
  <c r="E34" i="5"/>
  <c r="G42" i="5" s="1"/>
  <c r="F34" i="5"/>
  <c r="G34" i="5"/>
  <c r="I42" i="5" s="1"/>
  <c r="C34" i="5"/>
  <c r="E42" i="5" s="1"/>
  <c r="D42" i="5" l="1"/>
  <c r="L42" i="5" s="1"/>
  <c r="F59" i="5"/>
  <c r="J42" i="5"/>
  <c r="A8" i="1"/>
  <c r="A7" i="1"/>
  <c r="A6" i="1"/>
  <c r="A5" i="1"/>
  <c r="N26" i="1" l="1"/>
  <c r="G57" i="5"/>
  <c r="F57" i="5"/>
  <c r="E57" i="5"/>
  <c r="R26" i="1" l="1"/>
  <c r="S26" i="1" s="1"/>
  <c r="I40" i="5" l="1"/>
  <c r="H40" i="5"/>
  <c r="G40" i="5"/>
  <c r="F40" i="5"/>
  <c r="E40" i="5"/>
  <c r="G30" i="5"/>
  <c r="I41" i="5" s="1"/>
  <c r="F30" i="5"/>
  <c r="D30" i="5"/>
  <c r="F41" i="5" s="1"/>
  <c r="C30" i="5"/>
  <c r="G23" i="5"/>
  <c r="E41" i="5" l="1"/>
  <c r="E58" i="5"/>
  <c r="G41" i="5"/>
  <c r="D41" i="5" s="1"/>
  <c r="F58" i="5"/>
  <c r="O4" i="1" s="1"/>
  <c r="O22" i="1" s="1"/>
  <c r="R22" i="1" s="1"/>
  <c r="S22" i="1" s="1"/>
  <c r="H41" i="5"/>
  <c r="H58" i="5" s="1"/>
  <c r="G58" i="5"/>
  <c r="P4" i="1" s="1"/>
  <c r="P22" i="1" s="1"/>
  <c r="J41" i="5"/>
  <c r="K41" i="5"/>
  <c r="P11" i="1" l="1"/>
  <c r="P12" i="1"/>
  <c r="O11" i="1"/>
  <c r="R11" i="1" s="1"/>
  <c r="S11" i="1" s="1"/>
  <c r="O12" i="1"/>
  <c r="R12" i="1" s="1"/>
  <c r="S12" i="1" s="1"/>
  <c r="P14" i="1"/>
  <c r="P15" i="1"/>
  <c r="P16" i="1"/>
  <c r="O16" i="1"/>
  <c r="R16" i="1" s="1"/>
  <c r="S16" i="1" s="1"/>
  <c r="O15" i="1"/>
  <c r="O14" i="1"/>
  <c r="O10" i="1"/>
  <c r="P10" i="1"/>
  <c r="P20" i="1"/>
  <c r="P23" i="1"/>
  <c r="P21" i="1"/>
  <c r="O20" i="1"/>
  <c r="O23" i="1"/>
  <c r="O21" i="1"/>
  <c r="P24" i="1"/>
  <c r="P19" i="1"/>
  <c r="O24" i="1"/>
  <c r="O19" i="1"/>
  <c r="O25" i="1"/>
  <c r="O18" i="1"/>
  <c r="O13" i="1"/>
  <c r="O7" i="1"/>
  <c r="O17" i="1"/>
  <c r="O8" i="1"/>
  <c r="O9" i="1"/>
  <c r="P9" i="1"/>
  <c r="P17" i="1"/>
  <c r="P8" i="1"/>
  <c r="P25" i="1"/>
  <c r="P18" i="1"/>
  <c r="P13" i="1"/>
  <c r="P7" i="1"/>
  <c r="Q25" i="1"/>
  <c r="Q18" i="1"/>
  <c r="Q13" i="1"/>
  <c r="Q7" i="1"/>
  <c r="Q8" i="1"/>
  <c r="Q17" i="1"/>
  <c r="Q9" i="1"/>
  <c r="P6" i="1"/>
  <c r="P5" i="1"/>
  <c r="Q5" i="1"/>
  <c r="Q6" i="1"/>
  <c r="O6" i="1"/>
  <c r="O5" i="1"/>
  <c r="M10" i="1"/>
  <c r="L41" i="5"/>
  <c r="R15" i="1" l="1"/>
  <c r="S15" i="1" s="1"/>
  <c r="R14" i="1"/>
  <c r="S14" i="1" s="1"/>
  <c r="R10" i="1"/>
  <c r="S10" i="1" s="1"/>
  <c r="M20" i="1"/>
  <c r="M21" i="1"/>
  <c r="M23" i="1"/>
  <c r="M24" i="1"/>
  <c r="R24" i="1" s="1"/>
  <c r="S24" i="1" s="1"/>
  <c r="M19" i="1"/>
  <c r="M9" i="1"/>
  <c r="M8" i="1"/>
  <c r="M25" i="1"/>
  <c r="M18" i="1"/>
  <c r="M13" i="1"/>
  <c r="M7" i="1"/>
  <c r="M17" i="1"/>
  <c r="M6" i="1"/>
  <c r="M5" i="1"/>
  <c r="O27" i="1"/>
  <c r="O28" i="1" s="1"/>
  <c r="Q27" i="1"/>
  <c r="Q28" i="1" s="1"/>
  <c r="I58" i="5"/>
  <c r="C58" i="5" s="1"/>
  <c r="C59" i="5"/>
  <c r="P27" i="1"/>
  <c r="P28" i="1" s="1"/>
  <c r="C41" i="5"/>
  <c r="C42" i="5"/>
  <c r="R20" i="1" l="1"/>
  <c r="S20" i="1" s="1"/>
  <c r="R23" i="1"/>
  <c r="S23" i="1" s="1"/>
  <c r="R21" i="1"/>
  <c r="S21" i="1" s="1"/>
  <c r="R19" i="1"/>
  <c r="S19" i="1" s="1"/>
  <c r="K25" i="1"/>
  <c r="L25" i="1" s="1"/>
  <c r="K18" i="1"/>
  <c r="L18" i="1" s="1"/>
  <c r="K13" i="1"/>
  <c r="L13" i="1" s="1"/>
  <c r="K8" i="1"/>
  <c r="K17" i="1"/>
  <c r="L17" i="1" s="1"/>
  <c r="K9" i="1"/>
  <c r="L9" i="1" s="1"/>
  <c r="K5" i="1"/>
  <c r="K7" i="1"/>
  <c r="K6" i="1"/>
  <c r="M27" i="1"/>
  <c r="M28" i="1" s="1"/>
  <c r="R18" i="1" l="1"/>
  <c r="S18" i="1" s="1"/>
  <c r="R25" i="1"/>
  <c r="S25" i="1" s="1"/>
  <c r="R17" i="1"/>
  <c r="S17" i="1" s="1"/>
  <c r="R13" i="1"/>
  <c r="S13" i="1" s="1"/>
  <c r="L5" i="1"/>
  <c r="R5" i="1" s="1"/>
  <c r="S5" i="1" s="1"/>
  <c r="K27" i="1"/>
  <c r="R9" i="1"/>
  <c r="S9" i="1" s="1"/>
  <c r="L6" i="1"/>
  <c r="R6" i="1" s="1"/>
  <c r="S6" i="1" s="1"/>
  <c r="L7" i="1"/>
  <c r="R7" i="1" s="1"/>
  <c r="S7" i="1" s="1"/>
  <c r="L8" i="1"/>
  <c r="R8" i="1" s="1"/>
  <c r="S8" i="1" s="1"/>
  <c r="N27" i="1"/>
  <c r="N28" i="1" s="1"/>
  <c r="L27" i="1" l="1"/>
  <c r="L28" i="1" s="1"/>
  <c r="K28" i="1"/>
  <c r="R27" i="1" l="1"/>
  <c r="R29" i="1" s="1"/>
  <c r="S28" i="1"/>
  <c r="R30" i="1" l="1"/>
  <c r="S30" i="1" s="1"/>
  <c r="S29" i="1"/>
  <c r="R31" i="1" l="1"/>
  <c r="S31" i="1" s="1"/>
  <c r="R3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D39" authorId="0" shapeId="0" xr:uid="{00000000-0006-0000-0100-000001000000}">
      <text>
        <r>
          <rPr>
            <sz val="9"/>
            <color indexed="81"/>
            <rFont val="ＭＳ Ｐゴシック"/>
            <family val="3"/>
            <charset val="128"/>
          </rPr>
          <t>本案件は、基本設計以降の為、要件定義工数はなしとする。</t>
        </r>
      </text>
    </comment>
    <comment ref="F39" authorId="0" shapeId="0" xr:uid="{00000000-0006-0000-0100-000002000000}">
      <text>
        <r>
          <rPr>
            <sz val="9"/>
            <color indexed="81"/>
            <rFont val="ＭＳ Ｐゴシック"/>
            <family val="3"/>
            <charset val="128"/>
          </rPr>
          <t>詳細設計書は、Doxygenを利用して自動作成する為、
一律0.125人日とします。</t>
        </r>
      </text>
    </comment>
    <comment ref="D56" authorId="0" shapeId="0" xr:uid="{00000000-0006-0000-0100-000003000000}">
      <text>
        <r>
          <rPr>
            <sz val="9"/>
            <color indexed="81"/>
            <rFont val="ＭＳ Ｐゴシック"/>
            <family val="3"/>
            <charset val="128"/>
          </rPr>
          <t>本案件は、基本設計以降の為、要件定義工数はなしとする。</t>
        </r>
      </text>
    </comment>
  </commentList>
</comments>
</file>

<file path=xl/sharedStrings.xml><?xml version="1.0" encoding="utf-8"?>
<sst xmlns="http://schemas.openxmlformats.org/spreadsheetml/2006/main" count="378" uniqueCount="186">
  <si>
    <t>4月</t>
    <rPh sb="1" eb="2">
      <t>ガツ</t>
    </rPh>
    <phoneticPr fontId="9"/>
  </si>
  <si>
    <t>5月</t>
    <rPh sb="1" eb="2">
      <t>ガツ</t>
    </rPh>
    <phoneticPr fontId="9"/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</si>
  <si>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</si>
  <si>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</si>
  <si>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</si>
  <si>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</si>
  <si>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</si>
  <si>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</si>
  <si>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</si>
  <si>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</si>
  <si>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</si>
  <si>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</si>
  <si>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4月</t>
  </si>
  <si>
    <t>要件定義</t>
    <rPh sb="0" eb="2">
      <t>ヨウケン</t>
    </rPh>
    <rPh sb="2" eb="4">
      <t>テイギ</t>
    </rPh>
    <phoneticPr fontId="9"/>
  </si>
  <si>
    <t>外部IFは対象外</t>
    <rPh sb="0" eb="2">
      <t>ガイブ</t>
    </rPh>
    <rPh sb="5" eb="8">
      <t>タイショウガイ</t>
    </rPh>
    <phoneticPr fontId="3"/>
  </si>
  <si>
    <t>基本設計</t>
    <rPh sb="0" eb="2">
      <t>キホン</t>
    </rPh>
    <rPh sb="2" eb="4">
      <t>セッケイ</t>
    </rPh>
    <phoneticPr fontId="9"/>
  </si>
  <si>
    <t>インフラ構築は対象外</t>
    <rPh sb="4" eb="6">
      <t>コウチク</t>
    </rPh>
    <rPh sb="7" eb="10">
      <t>タイショウガイ</t>
    </rPh>
    <phoneticPr fontId="3"/>
  </si>
  <si>
    <t>UI検討</t>
    <rPh sb="2" eb="4">
      <t>ケントウ</t>
    </rPh>
    <phoneticPr fontId="3"/>
  </si>
  <si>
    <t>インフラ構成の設計はやる（ヒアリングシートの作成のみ）</t>
    <rPh sb="4" eb="6">
      <t>コウセイ</t>
    </rPh>
    <rPh sb="7" eb="9">
      <t>セッケイ</t>
    </rPh>
    <rPh sb="22" eb="24">
      <t>サクセイ</t>
    </rPh>
    <phoneticPr fontId="3"/>
  </si>
  <si>
    <t>詳細設計</t>
    <rPh sb="0" eb="2">
      <t>ショウサイ</t>
    </rPh>
    <rPh sb="2" eb="4">
      <t>セッケイ</t>
    </rPh>
    <phoneticPr fontId="9"/>
  </si>
  <si>
    <t>要件定義後に再見積り</t>
    <rPh sb="0" eb="2">
      <t>ヨウケン</t>
    </rPh>
    <rPh sb="2" eb="4">
      <t>テイギ</t>
    </rPh>
    <rPh sb="4" eb="5">
      <t>ゴ</t>
    </rPh>
    <rPh sb="6" eb="9">
      <t>サイミツ</t>
    </rPh>
    <phoneticPr fontId="3"/>
  </si>
  <si>
    <t>開発</t>
    <rPh sb="0" eb="2">
      <t>カイハツ</t>
    </rPh>
    <phoneticPr fontId="9"/>
  </si>
  <si>
    <t>要件定義、総合テスト以降は準委任契約とする</t>
    <rPh sb="0" eb="2">
      <t>ヨウケン</t>
    </rPh>
    <rPh sb="2" eb="4">
      <t>テイギ</t>
    </rPh>
    <rPh sb="5" eb="7">
      <t>ソウゴウ</t>
    </rPh>
    <rPh sb="10" eb="12">
      <t>イコウ</t>
    </rPh>
    <rPh sb="13" eb="16">
      <t>ジュンイニン</t>
    </rPh>
    <rPh sb="16" eb="18">
      <t>ケイヤク</t>
    </rPh>
    <phoneticPr fontId="3"/>
  </si>
  <si>
    <t>単体テスト</t>
    <rPh sb="0" eb="2">
      <t>タンタイ</t>
    </rPh>
    <phoneticPr fontId="9"/>
  </si>
  <si>
    <t>脆弱性診断の実施費用は含まれていない（修正作業は含まれている）</t>
    <rPh sb="0" eb="3">
      <t>ゼイジャクセイ</t>
    </rPh>
    <rPh sb="3" eb="5">
      <t>シンダン</t>
    </rPh>
    <rPh sb="6" eb="8">
      <t>ジッシ</t>
    </rPh>
    <rPh sb="8" eb="10">
      <t>ヒヨウ</t>
    </rPh>
    <rPh sb="11" eb="12">
      <t>フク</t>
    </rPh>
    <rPh sb="19" eb="21">
      <t>シュウセイ</t>
    </rPh>
    <rPh sb="21" eb="23">
      <t>サギョウ</t>
    </rPh>
    <rPh sb="24" eb="25">
      <t>フク</t>
    </rPh>
    <phoneticPr fontId="3"/>
  </si>
  <si>
    <t>結合テスト</t>
    <rPh sb="0" eb="2">
      <t>ケツゴウ</t>
    </rPh>
    <phoneticPr fontId="9"/>
  </si>
  <si>
    <t>オフショア利用の可能性あり</t>
    <rPh sb="5" eb="7">
      <t>リヨウ</t>
    </rPh>
    <rPh sb="8" eb="11">
      <t>カノウセイ</t>
    </rPh>
    <phoneticPr fontId="3"/>
  </si>
  <si>
    <t>総合テスト</t>
    <rPh sb="0" eb="2">
      <t>ソウゴウ</t>
    </rPh>
    <phoneticPr fontId="9"/>
  </si>
  <si>
    <t>ソフトウェア費用は含まれていない</t>
    <rPh sb="6" eb="8">
      <t>ヒヨウ</t>
    </rPh>
    <rPh sb="9" eb="10">
      <t>フク</t>
    </rPh>
    <phoneticPr fontId="3"/>
  </si>
  <si>
    <t>受入テスト</t>
    <rPh sb="0" eb="2">
      <t>ウケイレ</t>
    </rPh>
    <phoneticPr fontId="9"/>
  </si>
  <si>
    <t>頂いた資料分の見積りしかいれていない（※ユーザー管理は追加した）</t>
    <rPh sb="0" eb="1">
      <t>イタダ</t>
    </rPh>
    <rPh sb="3" eb="5">
      <t>シリョウ</t>
    </rPh>
    <rPh sb="5" eb="6">
      <t>ブン</t>
    </rPh>
    <rPh sb="7" eb="9">
      <t>ミツモ</t>
    </rPh>
    <phoneticPr fontId="3"/>
  </si>
  <si>
    <t>本稼働</t>
    <rPh sb="0" eb="1">
      <t>ホン</t>
    </rPh>
    <rPh sb="1" eb="3">
      <t>カドウ</t>
    </rPh>
    <phoneticPr fontId="9"/>
  </si>
  <si>
    <t>出張費用は含まれていない</t>
    <rPh sb="0" eb="2">
      <t>シュッチョウ</t>
    </rPh>
    <rPh sb="2" eb="4">
      <t>ヒヨウ</t>
    </rPh>
    <rPh sb="5" eb="6">
      <t>フク</t>
    </rPh>
    <phoneticPr fontId="3"/>
  </si>
  <si>
    <t>初期流動</t>
    <rPh sb="0" eb="2">
      <t>ショキ</t>
    </rPh>
    <rPh sb="2" eb="4">
      <t>リュウドウ</t>
    </rPh>
    <phoneticPr fontId="9"/>
  </si>
  <si>
    <t>マニュアル作成は含まれている</t>
    <rPh sb="5" eb="7">
      <t>サクセイ</t>
    </rPh>
    <rPh sb="8" eb="9">
      <t>フク</t>
    </rPh>
    <phoneticPr fontId="3"/>
  </si>
  <si>
    <t>ユーザー教育は含まれていない</t>
    <rPh sb="7" eb="8">
      <t>フク</t>
    </rPh>
    <phoneticPr fontId="3"/>
  </si>
  <si>
    <t>PCブラウザのシステムを想定している（タブレット、スマホ対応なし）</t>
    <rPh sb="12" eb="14">
      <t>ソウテイ</t>
    </rPh>
    <rPh sb="28" eb="30">
      <t>タイオウ</t>
    </rPh>
    <phoneticPr fontId="3"/>
  </si>
  <si>
    <t>スクラッチ開発を想定している</t>
    <rPh sb="5" eb="7">
      <t>カイハツ</t>
    </rPh>
    <rPh sb="8" eb="10">
      <t>ソウテイ</t>
    </rPh>
    <phoneticPr fontId="3"/>
  </si>
  <si>
    <t>工数</t>
    <rPh sb="0" eb="2">
      <t>コウスウ</t>
    </rPh>
    <phoneticPr fontId="9"/>
  </si>
  <si>
    <t>単価</t>
    <rPh sb="0" eb="2">
      <t>タンカ</t>
    </rPh>
    <phoneticPr fontId="9"/>
  </si>
  <si>
    <t>金額</t>
    <rPh sb="0" eb="2">
      <t>キンガク</t>
    </rPh>
    <phoneticPr fontId="9"/>
  </si>
  <si>
    <t>原価</t>
    <rPh sb="0" eb="2">
      <t>ゲンカ</t>
    </rPh>
    <phoneticPr fontId="9"/>
  </si>
  <si>
    <t>粗利</t>
    <rPh sb="0" eb="2">
      <t>アラリ</t>
    </rPh>
    <phoneticPr fontId="9"/>
  </si>
  <si>
    <t>粗利率</t>
    <rPh sb="0" eb="2">
      <t>アラリ</t>
    </rPh>
    <rPh sb="2" eb="3">
      <t>リツ</t>
    </rPh>
    <phoneticPr fontId="9"/>
  </si>
  <si>
    <t>JP</t>
    <phoneticPr fontId="9"/>
  </si>
  <si>
    <t>PM</t>
    <phoneticPr fontId="9"/>
  </si>
  <si>
    <t>SE（BP）</t>
    <phoneticPr fontId="9"/>
  </si>
  <si>
    <t>PG（BP）</t>
    <phoneticPr fontId="9"/>
  </si>
  <si>
    <t>PL</t>
    <phoneticPr fontId="9"/>
  </si>
  <si>
    <t>VN</t>
    <phoneticPr fontId="9"/>
  </si>
  <si>
    <t>BG</t>
    <phoneticPr fontId="9"/>
  </si>
  <si>
    <t>SE</t>
    <phoneticPr fontId="9"/>
  </si>
  <si>
    <t>PG</t>
    <phoneticPr fontId="9"/>
  </si>
  <si>
    <t>№</t>
    <phoneticPr fontId="3"/>
  </si>
  <si>
    <t>システム名</t>
    <rPh sb="4" eb="5">
      <t>メイ</t>
    </rPh>
    <phoneticPr fontId="3"/>
  </si>
  <si>
    <t>機能名</t>
    <rPh sb="0" eb="2">
      <t>キノウ</t>
    </rPh>
    <rPh sb="2" eb="3">
      <t>メイ</t>
    </rPh>
    <phoneticPr fontId="3"/>
  </si>
  <si>
    <t>分類</t>
    <rPh sb="0" eb="2">
      <t>ブンルイ</t>
    </rPh>
    <phoneticPr fontId="3"/>
  </si>
  <si>
    <t>機能画面説明</t>
    <rPh sb="0" eb="2">
      <t>キノウ</t>
    </rPh>
    <rPh sb="2" eb="4">
      <t>ガメン</t>
    </rPh>
    <rPh sb="4" eb="6">
      <t>セツメイ</t>
    </rPh>
    <phoneticPr fontId="3"/>
  </si>
  <si>
    <t>項目数</t>
    <rPh sb="0" eb="2">
      <t>コウモク</t>
    </rPh>
    <rPh sb="2" eb="3">
      <t>スウ</t>
    </rPh>
    <phoneticPr fontId="3"/>
  </si>
  <si>
    <t>難易度</t>
    <rPh sb="0" eb="3">
      <t>ナンイド</t>
    </rPh>
    <phoneticPr fontId="3"/>
  </si>
  <si>
    <t>新規
改修</t>
    <rPh sb="0" eb="2">
      <t>シンキ</t>
    </rPh>
    <rPh sb="3" eb="5">
      <t>カイシュウ</t>
    </rPh>
    <phoneticPr fontId="3"/>
  </si>
  <si>
    <t>工程別工数（人日）</t>
    <rPh sb="0" eb="2">
      <t>コウテイ</t>
    </rPh>
    <rPh sb="2" eb="3">
      <t>ベツ</t>
    </rPh>
    <rPh sb="3" eb="5">
      <t>コウスウ</t>
    </rPh>
    <rPh sb="6" eb="8">
      <t>ニンニチ</t>
    </rPh>
    <phoneticPr fontId="3"/>
  </si>
  <si>
    <t>合計
（人日）</t>
    <rPh sb="0" eb="2">
      <t>ゴウケイ</t>
    </rPh>
    <rPh sb="4" eb="5">
      <t>ニン</t>
    </rPh>
    <rPh sb="5" eb="6">
      <t>ニチ</t>
    </rPh>
    <phoneticPr fontId="3"/>
  </si>
  <si>
    <t>合計
（人月）</t>
    <rPh sb="0" eb="2">
      <t>ゴウケイ</t>
    </rPh>
    <rPh sb="4" eb="6">
      <t>ニンゲツ</t>
    </rPh>
    <phoneticPr fontId="3"/>
  </si>
  <si>
    <t>備考</t>
    <rPh sb="0" eb="2">
      <t>ビコウ</t>
    </rPh>
    <phoneticPr fontId="3"/>
  </si>
  <si>
    <t>大項目</t>
    <rPh sb="0" eb="1">
      <t>ダイ</t>
    </rPh>
    <rPh sb="1" eb="3">
      <t>コウモク</t>
    </rPh>
    <phoneticPr fontId="3"/>
  </si>
  <si>
    <t>中項目</t>
    <rPh sb="0" eb="1">
      <t>チュウ</t>
    </rPh>
    <rPh sb="1" eb="3">
      <t>コウモク</t>
    </rPh>
    <phoneticPr fontId="3"/>
  </si>
  <si>
    <t>小項目</t>
    <rPh sb="0" eb="3">
      <t>ショウコウモク</t>
    </rPh>
    <phoneticPr fontId="3"/>
  </si>
  <si>
    <t>要件定義</t>
    <rPh sb="0" eb="2">
      <t>ヨウケン</t>
    </rPh>
    <rPh sb="2" eb="4">
      <t>テイギ</t>
    </rPh>
    <phoneticPr fontId="3"/>
  </si>
  <si>
    <t>レビュー</t>
    <phoneticPr fontId="3"/>
  </si>
  <si>
    <t>設計</t>
    <rPh sb="0" eb="2">
      <t>セッケイ</t>
    </rPh>
    <phoneticPr fontId="3"/>
  </si>
  <si>
    <t>開発/単体テスト</t>
    <rPh sb="0" eb="2">
      <t>カイハツ</t>
    </rPh>
    <rPh sb="3" eb="5">
      <t>タンタイ</t>
    </rPh>
    <phoneticPr fontId="3"/>
  </si>
  <si>
    <t>結合(総合)テスト</t>
    <rPh sb="0" eb="2">
      <t>ケツゴウ</t>
    </rPh>
    <rPh sb="3" eb="5">
      <t>ソウゴウ</t>
    </rPh>
    <phoneticPr fontId="3"/>
  </si>
  <si>
    <t>受入テスト</t>
    <rPh sb="0" eb="2">
      <t>ウケイレ</t>
    </rPh>
    <phoneticPr fontId="3"/>
  </si>
  <si>
    <t>基準工数</t>
    <rPh sb="0" eb="2">
      <t>キジュン</t>
    </rPh>
    <rPh sb="2" eb="4">
      <t>コウスウ</t>
    </rPh>
    <phoneticPr fontId="3"/>
  </si>
  <si>
    <t>アスファルト受注業務システム構築</t>
    <phoneticPr fontId="3"/>
  </si>
  <si>
    <t>共通</t>
  </si>
  <si>
    <t>アーキテクチャ</t>
    <phoneticPr fontId="3"/>
  </si>
  <si>
    <t>機能</t>
    <rPh sb="0" eb="2">
      <t>キノウ</t>
    </rPh>
    <phoneticPr fontId="3"/>
  </si>
  <si>
    <t>システムアーキテクチャを構築</t>
    <rPh sb="12" eb="14">
      <t>コウチク</t>
    </rPh>
    <phoneticPr fontId="3"/>
  </si>
  <si>
    <t>特高</t>
    <rPh sb="0" eb="1">
      <t>トク</t>
    </rPh>
    <rPh sb="1" eb="2">
      <t>タカ</t>
    </rPh>
    <phoneticPr fontId="3"/>
  </si>
  <si>
    <t>新規</t>
  </si>
  <si>
    <t>認証</t>
    <rPh sb="0" eb="2">
      <t>ニンショウ</t>
    </rPh>
    <phoneticPr fontId="3"/>
  </si>
  <si>
    <t>出光共通認証基盤を利用
・出光社員はIDMにて認証
・外部ユーザーは別途認証</t>
    <rPh sb="9" eb="11">
      <t>リヨウ</t>
    </rPh>
    <phoneticPr fontId="3"/>
  </si>
  <si>
    <t>権限管理</t>
    <rPh sb="0" eb="2">
      <t>ケンゲン</t>
    </rPh>
    <rPh sb="2" eb="4">
      <t>カンリ</t>
    </rPh>
    <phoneticPr fontId="3"/>
  </si>
  <si>
    <t>出光権限管理IDMシステムを利用</t>
    <rPh sb="14" eb="16">
      <t>リヨウ</t>
    </rPh>
    <phoneticPr fontId="3"/>
  </si>
  <si>
    <t>高</t>
    <rPh sb="0" eb="1">
      <t>タカ</t>
    </rPh>
    <phoneticPr fontId="3"/>
  </si>
  <si>
    <t>ログイン</t>
    <phoneticPr fontId="3"/>
  </si>
  <si>
    <t>ログイン画面</t>
    <rPh sb="4" eb="6">
      <t>ガメン</t>
    </rPh>
    <phoneticPr fontId="3"/>
  </si>
  <si>
    <t>画面</t>
    <rPh sb="0" eb="2">
      <t>ガメン</t>
    </rPh>
    <phoneticPr fontId="3"/>
  </si>
  <si>
    <t>・ログイン（出光社員、外部ユーザー）</t>
    <rPh sb="6" eb="8">
      <t>イデミツ</t>
    </rPh>
    <rPh sb="8" eb="10">
      <t>シャイン</t>
    </rPh>
    <rPh sb="11" eb="13">
      <t>ガイブ</t>
    </rPh>
    <phoneticPr fontId="3"/>
  </si>
  <si>
    <t>低</t>
    <rPh sb="0" eb="1">
      <t>テイ</t>
    </rPh>
    <phoneticPr fontId="3"/>
  </si>
  <si>
    <t>発注
（特販店、需要家）</t>
    <rPh sb="0" eb="2">
      <t>ハッチュウ</t>
    </rPh>
    <rPh sb="4" eb="6">
      <t>トクハン</t>
    </rPh>
    <rPh sb="6" eb="7">
      <t>ミセ</t>
    </rPh>
    <rPh sb="8" eb="11">
      <t>ジュヨウカ</t>
    </rPh>
    <phoneticPr fontId="3"/>
  </si>
  <si>
    <t>注文一覧画面</t>
    <rPh sb="0" eb="2">
      <t>チュウモン</t>
    </rPh>
    <rPh sb="2" eb="4">
      <t>イチラン</t>
    </rPh>
    <rPh sb="4" eb="6">
      <t>ガメン</t>
    </rPh>
    <phoneticPr fontId="3"/>
  </si>
  <si>
    <t>・注文一覧の表示
・検索（各ステータスを検索可能とする。注文中、注文確定、過去履歴など）
・新規注文ボタン
・複写新規ボタン</t>
    <rPh sb="1" eb="3">
      <t>チュウモン</t>
    </rPh>
    <rPh sb="3" eb="5">
      <t>イチラン</t>
    </rPh>
    <rPh sb="6" eb="8">
      <t>ヒョウジ</t>
    </rPh>
    <rPh sb="10" eb="12">
      <t>ケンサク</t>
    </rPh>
    <rPh sb="13" eb="14">
      <t>カク</t>
    </rPh>
    <rPh sb="20" eb="22">
      <t>ケンサク</t>
    </rPh>
    <rPh sb="22" eb="24">
      <t>カノウ</t>
    </rPh>
    <rPh sb="28" eb="30">
      <t>チュウモン</t>
    </rPh>
    <rPh sb="30" eb="31">
      <t>チュウ</t>
    </rPh>
    <rPh sb="32" eb="34">
      <t>チュウモン</t>
    </rPh>
    <rPh sb="34" eb="36">
      <t>カクテイ</t>
    </rPh>
    <rPh sb="37" eb="39">
      <t>カコ</t>
    </rPh>
    <rPh sb="39" eb="41">
      <t>リレキ</t>
    </rPh>
    <rPh sb="46" eb="48">
      <t>シンキ</t>
    </rPh>
    <rPh sb="48" eb="50">
      <t>チュウモン</t>
    </rPh>
    <rPh sb="55" eb="57">
      <t>フクシャ</t>
    </rPh>
    <rPh sb="57" eb="59">
      <t>シンキ</t>
    </rPh>
    <phoneticPr fontId="3"/>
  </si>
  <si>
    <t>注文画面</t>
    <rPh sb="0" eb="2">
      <t>チュウモン</t>
    </rPh>
    <rPh sb="2" eb="4">
      <t>ガメン</t>
    </rPh>
    <phoneticPr fontId="3"/>
  </si>
  <si>
    <t>・注文情報の表示
・注文情報の入力
・マスタより出荷基地を設定（変更可）※注文者に紐づく出荷基地がある
・マスタより運送会社を設定（変更可）※注文者に紐づく運送会社がある
・マスタより積時間を仮決定（変更可）
　⇒希望着日時は30分単位、AM/PM/終日フリーが選択可
　⇒選択可能な希望着日時は基地により異なる（選べないかバリデーションエラーにするかは要検討）。年末年始などイレギュラー都合を考慮し、受注不可日時も基地ごとに事前設定できるようにしたい。（希望着日時の混雑状況をわかるようにしなくてよい。）
・必須入力（品目、数量、出荷基地、出荷先、希望着日時、第1運送会社、第2運送会社）
※品目ごとに数量単位が異なる
・バリデーション
・一時保存
・注文登録</t>
    <rPh sb="1" eb="3">
      <t>チュウモン</t>
    </rPh>
    <rPh sb="3" eb="5">
      <t>ジョウホウ</t>
    </rPh>
    <rPh sb="6" eb="8">
      <t>ヒョウジ</t>
    </rPh>
    <rPh sb="15" eb="17">
      <t>ニュウリョク</t>
    </rPh>
    <rPh sb="24" eb="26">
      <t>シュッカ</t>
    </rPh>
    <rPh sb="26" eb="28">
      <t>キチ</t>
    </rPh>
    <rPh sb="29" eb="31">
      <t>セッテイ</t>
    </rPh>
    <rPh sb="32" eb="34">
      <t>ヘンコウ</t>
    </rPh>
    <rPh sb="34" eb="35">
      <t>カ</t>
    </rPh>
    <rPh sb="37" eb="39">
      <t>チュウモン</t>
    </rPh>
    <rPh sb="39" eb="40">
      <t>シャ</t>
    </rPh>
    <rPh sb="41" eb="42">
      <t>ヒモ</t>
    </rPh>
    <rPh sb="44" eb="46">
      <t>シュッカ</t>
    </rPh>
    <rPh sb="46" eb="48">
      <t>キチ</t>
    </rPh>
    <rPh sb="58" eb="60">
      <t>ウンソウ</t>
    </rPh>
    <rPh sb="60" eb="62">
      <t>カイシャ</t>
    </rPh>
    <rPh sb="78" eb="80">
      <t>ウンソウ</t>
    </rPh>
    <rPh sb="80" eb="82">
      <t>カイシャ</t>
    </rPh>
    <rPh sb="92" eb="93">
      <t>ツ</t>
    </rPh>
    <rPh sb="93" eb="95">
      <t>ジカン</t>
    </rPh>
    <rPh sb="96" eb="99">
      <t>カリケッテイ</t>
    </rPh>
    <rPh sb="131" eb="133">
      <t>センタク</t>
    </rPh>
    <rPh sb="133" eb="134">
      <t>カ</t>
    </rPh>
    <rPh sb="321" eb="323">
      <t>イチジ</t>
    </rPh>
    <rPh sb="323" eb="325">
      <t>ホゾン</t>
    </rPh>
    <rPh sb="327" eb="329">
      <t>チュウモン</t>
    </rPh>
    <rPh sb="329" eb="331">
      <t>トウロク</t>
    </rPh>
    <phoneticPr fontId="3"/>
  </si>
  <si>
    <t>出荷確認
（基地）</t>
    <rPh sb="0" eb="2">
      <t>シュッカ</t>
    </rPh>
    <rPh sb="2" eb="4">
      <t>カクニン</t>
    </rPh>
    <rPh sb="6" eb="8">
      <t>キチ</t>
    </rPh>
    <phoneticPr fontId="3"/>
  </si>
  <si>
    <t>発注時と同様　※権限制御、テストのみ考慮する</t>
    <rPh sb="0" eb="2">
      <t>ハッチュウ</t>
    </rPh>
    <rPh sb="2" eb="3">
      <t>ジ</t>
    </rPh>
    <rPh sb="4" eb="6">
      <t>ドウヨウ</t>
    </rPh>
    <rPh sb="8" eb="10">
      <t>ケンゲン</t>
    </rPh>
    <rPh sb="10" eb="12">
      <t>セイギョ</t>
    </rPh>
    <rPh sb="18" eb="20">
      <t>コウリョ</t>
    </rPh>
    <phoneticPr fontId="3"/>
  </si>
  <si>
    <t>特低</t>
    <rPh sb="0" eb="1">
      <t>トク</t>
    </rPh>
    <rPh sb="1" eb="2">
      <t>テイ</t>
    </rPh>
    <phoneticPr fontId="3"/>
  </si>
  <si>
    <t>出荷画面</t>
    <rPh sb="0" eb="2">
      <t>シュッカ</t>
    </rPh>
    <rPh sb="2" eb="4">
      <t>ガメン</t>
    </rPh>
    <phoneticPr fontId="3"/>
  </si>
  <si>
    <t>・出荷情報（積時間、出荷可否）の入力
　※在庫・生産計画は別システムにて確認するため、スコープ外
・バリデーション
・出荷可否登録
・注文NGメール送付</t>
    <rPh sb="1" eb="3">
      <t>シュッカ</t>
    </rPh>
    <rPh sb="16" eb="18">
      <t>ニュウリョク</t>
    </rPh>
    <rPh sb="21" eb="23">
      <t>ザイコ</t>
    </rPh>
    <rPh sb="24" eb="26">
      <t>セイサン</t>
    </rPh>
    <rPh sb="26" eb="28">
      <t>ケイカク</t>
    </rPh>
    <rPh sb="29" eb="30">
      <t>ベツ</t>
    </rPh>
    <rPh sb="36" eb="38">
      <t>カクニン</t>
    </rPh>
    <rPh sb="47" eb="48">
      <t>ガイ</t>
    </rPh>
    <rPh sb="59" eb="61">
      <t>シュッカ</t>
    </rPh>
    <rPh sb="61" eb="63">
      <t>カヒ</t>
    </rPh>
    <rPh sb="63" eb="65">
      <t>トウロク</t>
    </rPh>
    <rPh sb="67" eb="69">
      <t>チュウモン</t>
    </rPh>
    <rPh sb="74" eb="76">
      <t>ソウフ</t>
    </rPh>
    <phoneticPr fontId="3"/>
  </si>
  <si>
    <t>運送手配
（運送会社）</t>
    <rPh sb="0" eb="2">
      <t>ウンソウ</t>
    </rPh>
    <rPh sb="2" eb="4">
      <t>テハイ</t>
    </rPh>
    <phoneticPr fontId="3"/>
  </si>
  <si>
    <t>出荷確認時と同様　※権限制御、テストのみ考慮する</t>
    <rPh sb="0" eb="2">
      <t>シュッカ</t>
    </rPh>
    <rPh sb="2" eb="4">
      <t>カクニン</t>
    </rPh>
    <rPh sb="4" eb="5">
      <t>ジ</t>
    </rPh>
    <rPh sb="6" eb="8">
      <t>ドウヨウ</t>
    </rPh>
    <rPh sb="10" eb="12">
      <t>ケンゲン</t>
    </rPh>
    <rPh sb="12" eb="14">
      <t>セイギョ</t>
    </rPh>
    <rPh sb="20" eb="22">
      <t>コウリョ</t>
    </rPh>
    <phoneticPr fontId="3"/>
  </si>
  <si>
    <t>車両手配画面</t>
    <rPh sb="0" eb="2">
      <t>シャリョウ</t>
    </rPh>
    <rPh sb="2" eb="4">
      <t>テハイ</t>
    </rPh>
    <rPh sb="4" eb="6">
      <t>ガメン</t>
    </rPh>
    <phoneticPr fontId="3"/>
  </si>
  <si>
    <t>・車両手配情報（車番、運送可否）の入力
・バリデーション
・運送会社変更
・運送可否登録
・注文NGメール送付</t>
    <rPh sb="1" eb="3">
      <t>シャリョウ</t>
    </rPh>
    <rPh sb="3" eb="5">
      <t>テハイ</t>
    </rPh>
    <rPh sb="17" eb="19">
      <t>ニュウリョク</t>
    </rPh>
    <rPh sb="30" eb="32">
      <t>ウンソウ</t>
    </rPh>
    <rPh sb="32" eb="34">
      <t>カイシャ</t>
    </rPh>
    <rPh sb="34" eb="36">
      <t>ヘンコウ</t>
    </rPh>
    <rPh sb="38" eb="40">
      <t>ウンソウ</t>
    </rPh>
    <rPh sb="40" eb="42">
      <t>カヒ</t>
    </rPh>
    <rPh sb="42" eb="44">
      <t>トウロク</t>
    </rPh>
    <phoneticPr fontId="3"/>
  </si>
  <si>
    <t>最終合意
（特販店、需要家）</t>
    <rPh sb="0" eb="2">
      <t>サイシュウ</t>
    </rPh>
    <rPh sb="2" eb="4">
      <t>ゴウイ</t>
    </rPh>
    <phoneticPr fontId="3"/>
  </si>
  <si>
    <t>最終合意</t>
    <rPh sb="0" eb="2">
      <t>サイシュウ</t>
    </rPh>
    <rPh sb="2" eb="4">
      <t>ゴウイ</t>
    </rPh>
    <phoneticPr fontId="3"/>
  </si>
  <si>
    <t>・バリデーション（期限など）
・最終合意処理を行う
・受注確定メール送付</t>
    <rPh sb="9" eb="11">
      <t>キゲン</t>
    </rPh>
    <rPh sb="16" eb="18">
      <t>サイシュウ</t>
    </rPh>
    <rPh sb="18" eb="20">
      <t>ゴウイ</t>
    </rPh>
    <rPh sb="20" eb="22">
      <t>ショリ</t>
    </rPh>
    <rPh sb="23" eb="24">
      <t>オコナ</t>
    </rPh>
    <rPh sb="27" eb="29">
      <t>ジュチュウ</t>
    </rPh>
    <rPh sb="29" eb="31">
      <t>カクテイ</t>
    </rPh>
    <rPh sb="34" eb="36">
      <t>ソウフ</t>
    </rPh>
    <phoneticPr fontId="3"/>
  </si>
  <si>
    <t>マスタ</t>
    <phoneticPr fontId="3"/>
  </si>
  <si>
    <t>品目</t>
    <rPh sb="0" eb="2">
      <t>ヒンモク</t>
    </rPh>
    <phoneticPr fontId="3"/>
  </si>
  <si>
    <t>・一覧表示
・新規登録、編集
・データ想定
　　品目
　　単位
　　作成時間</t>
    <rPh sb="1" eb="3">
      <t>イチラン</t>
    </rPh>
    <rPh sb="3" eb="5">
      <t>ヒョウジ</t>
    </rPh>
    <rPh sb="7" eb="9">
      <t>シンキ</t>
    </rPh>
    <rPh sb="9" eb="11">
      <t>トウロク</t>
    </rPh>
    <rPh sb="12" eb="14">
      <t>ヘンシュウ</t>
    </rPh>
    <rPh sb="19" eb="21">
      <t>ソウテイ</t>
    </rPh>
    <rPh sb="24" eb="26">
      <t>ヒンモク</t>
    </rPh>
    <rPh sb="29" eb="31">
      <t>タンイ</t>
    </rPh>
    <rPh sb="34" eb="36">
      <t>サクセイ</t>
    </rPh>
    <rPh sb="36" eb="38">
      <t>ジカン</t>
    </rPh>
    <phoneticPr fontId="3"/>
  </si>
  <si>
    <t>低</t>
    <rPh sb="0" eb="1">
      <t>ヒク</t>
    </rPh>
    <phoneticPr fontId="3"/>
  </si>
  <si>
    <t>出荷基地</t>
    <rPh sb="0" eb="2">
      <t>シュッカ</t>
    </rPh>
    <rPh sb="2" eb="4">
      <t>キチ</t>
    </rPh>
    <phoneticPr fontId="3"/>
  </si>
  <si>
    <t>・一覧表示
・新規登録、編集
・データ想定
　　需要家/特販店
　　出荷基地</t>
    <rPh sb="1" eb="3">
      <t>イチラン</t>
    </rPh>
    <rPh sb="3" eb="5">
      <t>ヒョウジ</t>
    </rPh>
    <rPh sb="7" eb="9">
      <t>シンキ</t>
    </rPh>
    <rPh sb="9" eb="11">
      <t>トウロク</t>
    </rPh>
    <rPh sb="12" eb="14">
      <t>ヘンシュウ</t>
    </rPh>
    <rPh sb="19" eb="21">
      <t>ソウテイ</t>
    </rPh>
    <rPh sb="24" eb="27">
      <t>ジュヨウカ</t>
    </rPh>
    <rPh sb="28" eb="30">
      <t>トクハン</t>
    </rPh>
    <rPh sb="30" eb="31">
      <t>ミセ</t>
    </rPh>
    <rPh sb="34" eb="36">
      <t>シュッカ</t>
    </rPh>
    <rPh sb="36" eb="38">
      <t>キチ</t>
    </rPh>
    <phoneticPr fontId="3"/>
  </si>
  <si>
    <t>運送会社</t>
    <rPh sb="0" eb="2">
      <t>ウンソウ</t>
    </rPh>
    <rPh sb="2" eb="4">
      <t>カイシャ</t>
    </rPh>
    <phoneticPr fontId="3"/>
  </si>
  <si>
    <t>・一覧表示
・新規登録、編集
・データ想定
　　需要家/特販店 or 出荷先
　　運送会社</t>
    <rPh sb="1" eb="3">
      <t>イチラン</t>
    </rPh>
    <rPh sb="3" eb="5">
      <t>ヒョウジ</t>
    </rPh>
    <rPh sb="7" eb="9">
      <t>シンキ</t>
    </rPh>
    <rPh sb="9" eb="11">
      <t>トウロク</t>
    </rPh>
    <rPh sb="12" eb="14">
      <t>ヘンシュウ</t>
    </rPh>
    <rPh sb="19" eb="21">
      <t>ソウテイ</t>
    </rPh>
    <rPh sb="24" eb="27">
      <t>ジュヨウカ</t>
    </rPh>
    <rPh sb="28" eb="30">
      <t>トクハン</t>
    </rPh>
    <rPh sb="30" eb="31">
      <t>ミセ</t>
    </rPh>
    <rPh sb="35" eb="37">
      <t>シュッカ</t>
    </rPh>
    <rPh sb="37" eb="38">
      <t>サキ</t>
    </rPh>
    <rPh sb="41" eb="43">
      <t>ウンソウ</t>
    </rPh>
    <rPh sb="43" eb="45">
      <t>ガイシャ</t>
    </rPh>
    <phoneticPr fontId="3"/>
  </si>
  <si>
    <t>出荷先</t>
    <rPh sb="0" eb="2">
      <t>シュッカ</t>
    </rPh>
    <rPh sb="2" eb="3">
      <t>サキ</t>
    </rPh>
    <phoneticPr fontId="3"/>
  </si>
  <si>
    <t>・一覧表示
・新規登録、編集
・データ想定
　　需要家/特販店</t>
    <rPh sb="1" eb="3">
      <t>イチラン</t>
    </rPh>
    <rPh sb="3" eb="5">
      <t>ヒョウジ</t>
    </rPh>
    <rPh sb="7" eb="9">
      <t>シンキ</t>
    </rPh>
    <rPh sb="9" eb="11">
      <t>トウロク</t>
    </rPh>
    <rPh sb="12" eb="14">
      <t>ヘンシュウ</t>
    </rPh>
    <rPh sb="19" eb="21">
      <t>ソウテイ</t>
    </rPh>
    <rPh sb="24" eb="27">
      <t>ジュヨウカ</t>
    </rPh>
    <rPh sb="28" eb="30">
      <t>トクハン</t>
    </rPh>
    <rPh sb="30" eb="31">
      <t>ミセ</t>
    </rPh>
    <phoneticPr fontId="3"/>
  </si>
  <si>
    <t>ユーザー</t>
    <phoneticPr fontId="3"/>
  </si>
  <si>
    <t>・一覧表示
・新規登録、編集</t>
    <rPh sb="1" eb="3">
      <t>イチラン</t>
    </rPh>
    <rPh sb="3" eb="5">
      <t>ヒョウジ</t>
    </rPh>
    <rPh sb="7" eb="9">
      <t>シンキ</t>
    </rPh>
    <rPh sb="9" eb="11">
      <t>トウロク</t>
    </rPh>
    <rPh sb="12" eb="14">
      <t>ヘンシュウ</t>
    </rPh>
    <phoneticPr fontId="3"/>
  </si>
  <si>
    <t>その他</t>
    <rPh sb="2" eb="3">
      <t>タ</t>
    </rPh>
    <phoneticPr fontId="3"/>
  </si>
  <si>
    <t>脆弱性診断</t>
    <rPh sb="0" eb="3">
      <t>ゼイジャクセイ</t>
    </rPh>
    <rPh sb="3" eb="5">
      <t>シンダン</t>
    </rPh>
    <phoneticPr fontId="3"/>
  </si>
  <si>
    <t>画面デザイン</t>
    <rPh sb="0" eb="2">
      <t>ガメン</t>
    </rPh>
    <phoneticPr fontId="3"/>
  </si>
  <si>
    <t>出荷画面の「積時間を調整するUI」について
・ドラッグアンドドロップなど直感的な操作とする
・一括編集可能とする</t>
    <rPh sb="0" eb="2">
      <t>シュッカ</t>
    </rPh>
    <rPh sb="2" eb="4">
      <t>ガメン</t>
    </rPh>
    <rPh sb="47" eb="49">
      <t>イッカツ</t>
    </rPh>
    <rPh sb="51" eb="53">
      <t>カノウ</t>
    </rPh>
    <phoneticPr fontId="3"/>
  </si>
  <si>
    <t>合計（人日）</t>
    <rPh sb="0" eb="2">
      <t>ゴウケイ</t>
    </rPh>
    <rPh sb="3" eb="5">
      <t>ニンニチ</t>
    </rPh>
    <phoneticPr fontId="3"/>
  </si>
  <si>
    <t>合計（人月）</t>
    <rPh sb="0" eb="2">
      <t>ゴウケイ</t>
    </rPh>
    <rPh sb="3" eb="4">
      <t>ヒト</t>
    </rPh>
    <rPh sb="4" eb="5">
      <t>ツキ</t>
    </rPh>
    <phoneticPr fontId="3"/>
  </si>
  <si>
    <t>管理工数（合計工数の20%)</t>
    <rPh sb="0" eb="2">
      <t>カンリ</t>
    </rPh>
    <rPh sb="2" eb="4">
      <t>コウスウ</t>
    </rPh>
    <rPh sb="5" eb="7">
      <t>ゴウケイ</t>
    </rPh>
    <rPh sb="7" eb="9">
      <t>コウスウ</t>
    </rPh>
    <phoneticPr fontId="3"/>
  </si>
  <si>
    <t>超概算によるブレ工数（合計工数の10%）</t>
    <rPh sb="0" eb="1">
      <t>チョウ</t>
    </rPh>
    <rPh sb="1" eb="3">
      <t>ガイサン</t>
    </rPh>
    <rPh sb="8" eb="10">
      <t>コウスウ</t>
    </rPh>
    <rPh sb="11" eb="13">
      <t>ゴウケイ</t>
    </rPh>
    <rPh sb="13" eb="15">
      <t>コウスウ</t>
    </rPh>
    <phoneticPr fontId="3"/>
  </si>
  <si>
    <t>総工数</t>
    <rPh sb="0" eb="1">
      <t>ソウ</t>
    </rPh>
    <rPh sb="1" eb="3">
      <t>コウスウ</t>
    </rPh>
    <phoneticPr fontId="3"/>
  </si>
  <si>
    <t>費用</t>
    <rPh sb="0" eb="2">
      <t>ヒヨウ</t>
    </rPh>
    <phoneticPr fontId="3"/>
  </si>
  <si>
    <t>端数値引</t>
    <rPh sb="0" eb="2">
      <t>ハスウ</t>
    </rPh>
    <rPh sb="2" eb="4">
      <t>ネビ</t>
    </rPh>
    <phoneticPr fontId="3"/>
  </si>
  <si>
    <t>費用合計</t>
    <rPh sb="0" eb="2">
      <t>ヒヨウ</t>
    </rPh>
    <rPh sb="2" eb="4">
      <t>ゴウケイ</t>
    </rPh>
    <phoneticPr fontId="3"/>
  </si>
  <si>
    <t>積算基準</t>
    <rPh sb="0" eb="2">
      <t>セキサン</t>
    </rPh>
    <rPh sb="2" eb="4">
      <t>キジュン</t>
    </rPh>
    <phoneticPr fontId="3"/>
  </si>
  <si>
    <t>１．難易度を「特高」~「特低」までの５段階に分類する。</t>
    <rPh sb="2" eb="5">
      <t>ナンイド</t>
    </rPh>
    <rPh sb="7" eb="8">
      <t>トク</t>
    </rPh>
    <rPh sb="8" eb="9">
      <t>コウ</t>
    </rPh>
    <rPh sb="12" eb="13">
      <t>トク</t>
    </rPh>
    <rPh sb="13" eb="14">
      <t>テイ</t>
    </rPh>
    <rPh sb="19" eb="21">
      <t>ダンカイ</t>
    </rPh>
    <rPh sb="22" eb="24">
      <t>ブンルイ</t>
    </rPh>
    <phoneticPr fontId="3"/>
  </si>
  <si>
    <t>特高</t>
    <rPh sb="0" eb="1">
      <t>トク</t>
    </rPh>
    <rPh sb="1" eb="2">
      <t>コウ</t>
    </rPh>
    <phoneticPr fontId="3"/>
  </si>
  <si>
    <t>高</t>
    <rPh sb="0" eb="1">
      <t>コウ</t>
    </rPh>
    <phoneticPr fontId="3"/>
  </si>
  <si>
    <t>中</t>
    <rPh sb="0" eb="1">
      <t>チュウ</t>
    </rPh>
    <phoneticPr fontId="3"/>
  </si>
  <si>
    <t>２．難易度の判断基準は、項目数により、区別する。</t>
    <rPh sb="2" eb="5">
      <t>ナンイド</t>
    </rPh>
    <rPh sb="6" eb="8">
      <t>ハンダン</t>
    </rPh>
    <rPh sb="8" eb="10">
      <t>キジュン</t>
    </rPh>
    <rPh sb="12" eb="14">
      <t>コウモク</t>
    </rPh>
    <rPh sb="14" eb="15">
      <t>スウ</t>
    </rPh>
    <rPh sb="19" eb="21">
      <t>クベツ</t>
    </rPh>
    <phoneticPr fontId="3"/>
  </si>
  <si>
    <t>難易度判定：基準項目数</t>
    <rPh sb="0" eb="3">
      <t>ナンイド</t>
    </rPh>
    <rPh sb="3" eb="5">
      <t>ハンテイ</t>
    </rPh>
    <rPh sb="6" eb="8">
      <t>キジュン</t>
    </rPh>
    <rPh sb="8" eb="11">
      <t>コウモクスウ</t>
    </rPh>
    <phoneticPr fontId="3"/>
  </si>
  <si>
    <t>登録</t>
    <rPh sb="0" eb="2">
      <t>トウロク</t>
    </rPh>
    <phoneticPr fontId="3"/>
  </si>
  <si>
    <t>参照</t>
    <rPh sb="0" eb="2">
      <t>サンショウ</t>
    </rPh>
    <phoneticPr fontId="3"/>
  </si>
  <si>
    <t>３．IPA発行「ソフトウェア開発データ白書」に基づく、各工程の工数比率を使用する。</t>
    <rPh sb="5" eb="7">
      <t>ハッコウ</t>
    </rPh>
    <rPh sb="14" eb="16">
      <t>カイハツ</t>
    </rPh>
    <rPh sb="19" eb="21">
      <t>ハクショ</t>
    </rPh>
    <rPh sb="23" eb="24">
      <t>モト</t>
    </rPh>
    <rPh sb="27" eb="28">
      <t>カク</t>
    </rPh>
    <rPh sb="28" eb="30">
      <t>コウテイ</t>
    </rPh>
    <rPh sb="31" eb="33">
      <t>コウスウ</t>
    </rPh>
    <rPh sb="33" eb="35">
      <t>ヒリツ</t>
    </rPh>
    <rPh sb="36" eb="38">
      <t>シヨウ</t>
    </rPh>
    <phoneticPr fontId="3"/>
  </si>
  <si>
    <t>工数比率（IPA　ソフトウェア開発データ白書より）</t>
    <rPh sb="0" eb="2">
      <t>コウスウ</t>
    </rPh>
    <rPh sb="2" eb="4">
      <t>ヒリツ</t>
    </rPh>
    <phoneticPr fontId="3"/>
  </si>
  <si>
    <t>基本設計</t>
    <rPh sb="0" eb="2">
      <t>キホン</t>
    </rPh>
    <rPh sb="2" eb="4">
      <t>セッケイ</t>
    </rPh>
    <phoneticPr fontId="3"/>
  </si>
  <si>
    <t>詳細設計</t>
    <rPh sb="0" eb="2">
      <t>ショウサイ</t>
    </rPh>
    <rPh sb="2" eb="4">
      <t>セッケイ</t>
    </rPh>
    <phoneticPr fontId="3"/>
  </si>
  <si>
    <t>結合テスト</t>
    <rPh sb="0" eb="2">
      <t>ケツゴウ</t>
    </rPh>
    <phoneticPr fontId="3"/>
  </si>
  <si>
    <t>総合テスト</t>
    <rPh sb="0" eb="2">
      <t>ソウゴウ</t>
    </rPh>
    <phoneticPr fontId="3"/>
  </si>
  <si>
    <t>合計</t>
    <rPh sb="0" eb="2">
      <t>ゴウケイ</t>
    </rPh>
    <phoneticPr fontId="3"/>
  </si>
  <si>
    <t>４．難易度「中」の基本設計～システムテストまでの標準工数を「8.75人日（全体工数が9.5人日となるよう調整）」とする。</t>
    <rPh sb="2" eb="5">
      <t>ナンイド</t>
    </rPh>
    <rPh sb="6" eb="7">
      <t>チュウ</t>
    </rPh>
    <rPh sb="9" eb="11">
      <t>キホン</t>
    </rPh>
    <rPh sb="11" eb="13">
      <t>セッケイ</t>
    </rPh>
    <rPh sb="34" eb="36">
      <t>ニンニチ</t>
    </rPh>
    <rPh sb="37" eb="39">
      <t>ゼンタイ</t>
    </rPh>
    <rPh sb="39" eb="41">
      <t>コウスウ</t>
    </rPh>
    <rPh sb="45" eb="47">
      <t>ニンニチ</t>
    </rPh>
    <rPh sb="52" eb="54">
      <t>チョウセイ</t>
    </rPh>
    <phoneticPr fontId="3"/>
  </si>
  <si>
    <t>画面・機能側標準工数（端数は0.125人日で丸め）</t>
    <rPh sb="0" eb="2">
      <t>ガメン</t>
    </rPh>
    <rPh sb="3" eb="5">
      <t>キノウ</t>
    </rPh>
    <rPh sb="5" eb="6">
      <t>ガワ</t>
    </rPh>
    <rPh sb="6" eb="8">
      <t>ヒョウジュン</t>
    </rPh>
    <rPh sb="8" eb="10">
      <t>コウスウ</t>
    </rPh>
    <rPh sb="11" eb="13">
      <t>ハスウ</t>
    </rPh>
    <rPh sb="19" eb="21">
      <t>ニンニチ</t>
    </rPh>
    <rPh sb="22" eb="23">
      <t>マル</t>
    </rPh>
    <phoneticPr fontId="3"/>
  </si>
  <si>
    <t>IF側標準工数（端数は0.125人日で丸め）</t>
    <rPh sb="2" eb="3">
      <t>ガワ</t>
    </rPh>
    <rPh sb="3" eb="5">
      <t>ヒョウジュン</t>
    </rPh>
    <rPh sb="5" eb="7">
      <t>コウスウ</t>
    </rPh>
    <rPh sb="8" eb="10">
      <t>ハスウ</t>
    </rPh>
    <rPh sb="16" eb="18">
      <t>ニンニチ</t>
    </rPh>
    <rPh sb="19" eb="20">
      <t>マル</t>
    </rPh>
    <phoneticPr fontId="3"/>
  </si>
  <si>
    <t>５．他の工程の工数を下記の基準により算出する。</t>
    <rPh sb="2" eb="3">
      <t>タ</t>
    </rPh>
    <rPh sb="4" eb="6">
      <t>コウテイ</t>
    </rPh>
    <rPh sb="7" eb="9">
      <t>コウスウ</t>
    </rPh>
    <rPh sb="10" eb="12">
      <t>カキ</t>
    </rPh>
    <rPh sb="13" eb="15">
      <t>キジュン</t>
    </rPh>
    <rPh sb="18" eb="20">
      <t>サンシュツ</t>
    </rPh>
    <phoneticPr fontId="3"/>
  </si>
  <si>
    <t>工程別 標準工数（端数は0.125人日で丸め）</t>
    <rPh sb="2" eb="3">
      <t>ベツ</t>
    </rPh>
    <rPh sb="4" eb="6">
      <t>ヒョウジュン</t>
    </rPh>
    <rPh sb="6" eb="8">
      <t>コウスウ</t>
    </rPh>
    <phoneticPr fontId="3"/>
  </si>
  <si>
    <t>工程</t>
    <phoneticPr fontId="3"/>
  </si>
  <si>
    <t>本稼働</t>
    <rPh sb="0" eb="1">
      <t>ホン</t>
    </rPh>
    <rPh sb="1" eb="3">
      <t>カドウ</t>
    </rPh>
    <phoneticPr fontId="3"/>
  </si>
  <si>
    <t>PJ管理</t>
    <rPh sb="2" eb="4">
      <t>カンリ</t>
    </rPh>
    <phoneticPr fontId="3"/>
  </si>
  <si>
    <t>比率</t>
    <rPh sb="0" eb="2">
      <t>ヒリツ</t>
    </rPh>
    <phoneticPr fontId="3"/>
  </si>
  <si>
    <t>標準工数（画面・機能）</t>
    <rPh sb="0" eb="2">
      <t>ヒョウジュン</t>
    </rPh>
    <rPh sb="2" eb="4">
      <t>コウスウ</t>
    </rPh>
    <rPh sb="5" eb="7">
      <t>ガメン</t>
    </rPh>
    <rPh sb="8" eb="10">
      <t>キノウ</t>
    </rPh>
    <phoneticPr fontId="3"/>
  </si>
  <si>
    <t>標準工数（IF）</t>
    <rPh sb="0" eb="2">
      <t>ヒョウジュン</t>
    </rPh>
    <rPh sb="2" eb="4">
      <t>コウスウ</t>
    </rPh>
    <phoneticPr fontId="3"/>
  </si>
  <si>
    <t>６．他の難易度の工数は、下記の係数に基づき、積算する。</t>
    <rPh sb="2" eb="3">
      <t>タ</t>
    </rPh>
    <rPh sb="4" eb="7">
      <t>ナンイド</t>
    </rPh>
    <rPh sb="8" eb="10">
      <t>コウスウ</t>
    </rPh>
    <rPh sb="12" eb="14">
      <t>カキ</t>
    </rPh>
    <rPh sb="15" eb="17">
      <t>ケイスウ</t>
    </rPh>
    <rPh sb="18" eb="19">
      <t>モト</t>
    </rPh>
    <rPh sb="22" eb="24">
      <t>セキサン</t>
    </rPh>
    <phoneticPr fontId="3"/>
  </si>
  <si>
    <t>難易度別の工数係数</t>
    <rPh sb="0" eb="3">
      <t>ナンイド</t>
    </rPh>
    <rPh sb="3" eb="4">
      <t>ベツ</t>
    </rPh>
    <rPh sb="5" eb="7">
      <t>コウスウ</t>
    </rPh>
    <rPh sb="7" eb="9">
      <t>ケイスウ</t>
    </rPh>
    <phoneticPr fontId="3"/>
  </si>
  <si>
    <t>係数</t>
    <rPh sb="0" eb="2">
      <t>ケイスウ</t>
    </rPh>
    <phoneticPr fontId="3"/>
  </si>
  <si>
    <t>画面・機能</t>
    <rPh sb="0" eb="2">
      <t>ガメン</t>
    </rPh>
    <rPh sb="3" eb="5">
      <t>キノウ</t>
    </rPh>
    <phoneticPr fontId="3"/>
  </si>
  <si>
    <t>IF</t>
    <phoneticPr fontId="3"/>
  </si>
  <si>
    <t>7．本案件の工程に合わせての工数を算出する。</t>
    <rPh sb="2" eb="3">
      <t>ホン</t>
    </rPh>
    <rPh sb="3" eb="5">
      <t>アンケン</t>
    </rPh>
    <rPh sb="6" eb="8">
      <t>コウテイ</t>
    </rPh>
    <rPh sb="9" eb="10">
      <t>ア</t>
    </rPh>
    <rPh sb="14" eb="16">
      <t>コウスウ</t>
    </rPh>
    <rPh sb="17" eb="19">
      <t>サンシュツ</t>
    </rPh>
    <phoneticPr fontId="3"/>
  </si>
  <si>
    <t>結合（総合）テスト</t>
    <rPh sb="0" eb="2">
      <t>ケツゴウ</t>
    </rPh>
    <rPh sb="3" eb="5">
      <t>ソウゴウ</t>
    </rPh>
    <phoneticPr fontId="3"/>
  </si>
  <si>
    <t>工数比率</t>
    <rPh sb="0" eb="2">
      <t>コウスウ</t>
    </rPh>
    <rPh sb="2" eb="4">
      <t>ヒリツ</t>
    </rPh>
    <phoneticPr fontId="3"/>
  </si>
  <si>
    <t>平均単価(万)</t>
    <rPh sb="0" eb="2">
      <t>ヘイキン</t>
    </rPh>
    <rPh sb="2" eb="4">
      <t>タンカ</t>
    </rPh>
    <rPh sb="5" eb="6">
      <t>マン</t>
    </rPh>
    <phoneticPr fontId="3"/>
  </si>
  <si>
    <t>工程</t>
    <rPh sb="0" eb="2">
      <t>コウテイ</t>
    </rPh>
    <phoneticPr fontId="3"/>
  </si>
  <si>
    <t>役割</t>
    <rPh sb="0" eb="2">
      <t>ヤクワリ</t>
    </rPh>
    <phoneticPr fontId="3"/>
  </si>
  <si>
    <t>単価</t>
    <rPh sb="0" eb="2">
      <t>タンカ</t>
    </rPh>
    <phoneticPr fontId="3"/>
  </si>
  <si>
    <t>工数</t>
    <rPh sb="0" eb="2">
      <t>コウスウ</t>
    </rPh>
    <phoneticPr fontId="3"/>
  </si>
  <si>
    <t>工程別</t>
    <rPh sb="0" eb="2">
      <t>コウテイ</t>
    </rPh>
    <rPh sb="2" eb="3">
      <t>ベツ</t>
    </rPh>
    <phoneticPr fontId="3"/>
  </si>
  <si>
    <t>要件定義</t>
    <rPh sb="0" eb="2">
      <t>ヨウケン</t>
    </rPh>
    <rPh sb="2" eb="4">
      <t>テイギ</t>
    </rPh>
    <phoneticPr fontId="10"/>
  </si>
  <si>
    <t>PM</t>
  </si>
  <si>
    <t>PJ管理</t>
    <rPh sb="2" eb="4">
      <t>カンリ</t>
    </rPh>
    <phoneticPr fontId="10"/>
  </si>
  <si>
    <t>SE</t>
  </si>
  <si>
    <t>基本設計</t>
    <rPh sb="0" eb="2">
      <t>キホン</t>
    </rPh>
    <rPh sb="2" eb="4">
      <t>セッケイ</t>
    </rPh>
    <phoneticPr fontId="10"/>
  </si>
  <si>
    <t>UI検討</t>
    <rPh sb="2" eb="4">
      <t>ケントウ</t>
    </rPh>
    <phoneticPr fontId="10"/>
  </si>
  <si>
    <t>詳細設計</t>
    <rPh sb="0" eb="2">
      <t>ショウサイ</t>
    </rPh>
    <rPh sb="2" eb="4">
      <t>セッケイ</t>
    </rPh>
    <phoneticPr fontId="10"/>
  </si>
  <si>
    <t>開発・単体テスト</t>
    <rPh sb="0" eb="2">
      <t>カイハツ</t>
    </rPh>
    <rPh sb="3" eb="5">
      <t>タンタイ</t>
    </rPh>
    <phoneticPr fontId="10"/>
  </si>
  <si>
    <t>結合テスト</t>
    <rPh sb="0" eb="2">
      <t>ケツゴウ</t>
    </rPh>
    <phoneticPr fontId="10"/>
  </si>
  <si>
    <t>システムテスト</t>
  </si>
  <si>
    <t>受入テスト</t>
    <rPh sb="0" eb="2">
      <t>ウケイレ</t>
    </rPh>
    <phoneticPr fontId="10"/>
  </si>
  <si>
    <t>初期流動</t>
    <rPh sb="0" eb="2">
      <t>ショキ</t>
    </rPh>
    <rPh sb="2" eb="4">
      <t>リュウドウ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</si>
</sst>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¥&quot;#,##0;[Red]&quot;¥&quot;\-#,##0"/>
    <numFmt numFmtId="176" formatCode="0.0_ "/>
    <numFmt numFmtId="177" formatCode="#,##0.000_);[Red]\(#,##0.000\);;"/>
    <numFmt numFmtId="178" formatCode="#,##0.00_ ;[Red]\-#,##0.00\ ;;"/>
    <numFmt numFmtId="179" formatCode="0.00_);[Red]\(0.00\)"/>
    <numFmt numFmtId="180" formatCode="0_ "/>
    <numFmt numFmtId="181" formatCode="0.0%"/>
    <numFmt numFmtId="182" formatCode="0.000_ "/>
    <numFmt numFmtId="183" formatCode="&quot;基&quot;&quot;本&quot;&quot;～&quot;&quot;シ&quot;&quot;ス&quot;&quot;テ&quot;&quot;ム&quot;&quot;テ&quot;&quot;ス&quot;&quot;ト&quot;&quot;の&quot;0%"/>
    <numFmt numFmtId="184" formatCode="&quot;結&quot;&quot;合&quot;&quot;テ&quot;&quot;ス&quot;&quot;ト&quot;&quot;工&quot;&quot;数&quot;&quot;の&quot;0%"/>
    <numFmt numFmtId="185" formatCode="&quot;要&quot;&quot;件&quot;&quot;～&quot;&quot;本&quot;&quot;稼&quot;&quot;働&quot;&quot;工&quot;&quot;数&quot;&quot;の&quot;0%"/>
    <numFmt numFmtId="186" formatCode="#,##0.000_ "/>
    <numFmt numFmtId="187" formatCode="&quot;改修時の標準工数は新規の&quot;0%&quot;と&quot;&quot;し&quot;&quot;て&quot;&quot;算&quot;&quot;出&quot;&quot;す&quot;&quot;る&quot;."/>
    <numFmt numFmtId="188" formatCode="0.00_ "/>
    <numFmt numFmtId="189" formatCode="[$¥-411]#,##0_);[Red]\([$¥-411]#,##0\)"/>
  </numFmts>
  <fonts count="1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9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theme="1"/>
      <name val="游ゴシック"/>
      <family val="2"/>
      <scheme val="minor"/>
    </font>
    <font>
      <sz val="12"/>
      <color theme="1"/>
      <name val="Meiryo UI"/>
      <family val="3"/>
      <charset val="128"/>
    </font>
    <font>
      <sz val="9"/>
      <color indexed="81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b/>
      <sz val="11"/>
      <color rgb="FFFA7D00"/>
      <name val="游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6" fillId="0" borderId="0"/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</cellStyleXfs>
  <cellXfs count="125">
    <xf numFmtId="0" fontId="0" fillId="0" borderId="0" xfId="0">
      <alignment vertical="center"/>
    </xf>
    <xf numFmtId="176" fontId="2" fillId="2" borderId="1" xfId="1" applyNumberFormat="1" applyFont="1" applyFill="1" applyBorder="1" applyAlignment="1">
      <alignment horizontal="center" vertical="center"/>
    </xf>
    <xf numFmtId="177" fontId="4" fillId="3" borderId="9" xfId="1" applyNumberFormat="1" applyFont="1" applyFill="1" applyBorder="1" applyAlignment="1">
      <alignment horizontal="right" vertical="center"/>
    </xf>
    <xf numFmtId="177" fontId="4" fillId="3" borderId="10" xfId="1" applyNumberFormat="1" applyFont="1" applyFill="1" applyBorder="1" applyAlignment="1">
      <alignment horizontal="right" vertical="center"/>
    </xf>
    <xf numFmtId="179" fontId="4" fillId="3" borderId="12" xfId="1" applyNumberFormat="1" applyFont="1" applyFill="1" applyBorder="1" applyAlignment="1">
      <alignment horizontal="left" vertical="center"/>
    </xf>
    <xf numFmtId="0" fontId="4" fillId="0" borderId="13" xfId="1" applyFont="1" applyBorder="1" applyAlignment="1">
      <alignment horizontal="center" vertical="center"/>
    </xf>
    <xf numFmtId="176" fontId="4" fillId="0" borderId="13" xfId="1" applyNumberFormat="1" applyFont="1" applyBorder="1">
      <alignment vertical="center"/>
    </xf>
    <xf numFmtId="176" fontId="4" fillId="0" borderId="13" xfId="1" applyNumberFormat="1" applyFont="1" applyBorder="1" applyAlignment="1">
      <alignment horizontal="center" vertical="center"/>
    </xf>
    <xf numFmtId="177" fontId="4" fillId="0" borderId="13" xfId="1" applyNumberFormat="1" applyFont="1" applyBorder="1" applyAlignment="1">
      <alignment horizontal="right" vertical="center"/>
    </xf>
    <xf numFmtId="177" fontId="4" fillId="4" borderId="10" xfId="1" applyNumberFormat="1" applyFont="1" applyFill="1" applyBorder="1" applyAlignment="1">
      <alignment horizontal="right" vertical="center"/>
    </xf>
    <xf numFmtId="179" fontId="4" fillId="4" borderId="12" xfId="1" applyNumberFormat="1" applyFont="1" applyFill="1" applyBorder="1" applyAlignment="1">
      <alignment horizontal="left" vertical="center"/>
    </xf>
    <xf numFmtId="177" fontId="4" fillId="4" borderId="14" xfId="1" applyNumberFormat="1" applyFont="1" applyFill="1" applyBorder="1" applyAlignment="1">
      <alignment horizontal="right" vertical="center"/>
    </xf>
    <xf numFmtId="179" fontId="4" fillId="4" borderId="16" xfId="1" applyNumberFormat="1" applyFont="1" applyFill="1" applyBorder="1" applyAlignment="1">
      <alignment horizontal="left" vertical="center"/>
    </xf>
    <xf numFmtId="178" fontId="4" fillId="3" borderId="11" xfId="1" applyNumberFormat="1" applyFont="1" applyFill="1" applyBorder="1" applyAlignment="1">
      <alignment horizontal="right" vertical="center"/>
    </xf>
    <xf numFmtId="178" fontId="4" fillId="4" borderId="11" xfId="1" applyNumberFormat="1" applyFont="1" applyFill="1" applyBorder="1" applyAlignment="1">
      <alignment horizontal="right" vertical="center"/>
    </xf>
    <xf numFmtId="178" fontId="4" fillId="4" borderId="15" xfId="1" applyNumberFormat="1" applyFont="1" applyFill="1" applyBorder="1" applyAlignment="1">
      <alignment horizontal="right" vertical="center"/>
    </xf>
    <xf numFmtId="177" fontId="4" fillId="4" borderId="18" xfId="1" applyNumberFormat="1" applyFont="1" applyFill="1" applyBorder="1" applyAlignment="1">
      <alignment horizontal="right" vertical="center"/>
    </xf>
    <xf numFmtId="178" fontId="4" fillId="4" borderId="19" xfId="1" applyNumberFormat="1" applyFont="1" applyFill="1" applyBorder="1" applyAlignment="1">
      <alignment horizontal="right" vertical="center"/>
    </xf>
    <xf numFmtId="0" fontId="7" fillId="0" borderId="0" xfId="1" applyFont="1">
      <alignment vertical="center"/>
    </xf>
    <xf numFmtId="0" fontId="4" fillId="0" borderId="0" xfId="1" applyFont="1">
      <alignment vertical="center"/>
    </xf>
    <xf numFmtId="0" fontId="2" fillId="5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76" fontId="4" fillId="0" borderId="0" xfId="1" applyNumberFormat="1" applyFont="1">
      <alignment vertical="center"/>
    </xf>
    <xf numFmtId="176" fontId="2" fillId="5" borderId="1" xfId="1" applyNumberFormat="1" applyFont="1" applyFill="1" applyBorder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176" fontId="4" fillId="5" borderId="1" xfId="1" applyNumberFormat="1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1" fontId="4" fillId="0" borderId="1" xfId="1" applyNumberFormat="1" applyFont="1" applyBorder="1">
      <alignment vertical="center"/>
    </xf>
    <xf numFmtId="176" fontId="2" fillId="5" borderId="20" xfId="1" applyNumberFormat="1" applyFont="1" applyFill="1" applyBorder="1" applyAlignment="1">
      <alignment horizontal="center" vertical="center"/>
    </xf>
    <xf numFmtId="176" fontId="2" fillId="5" borderId="5" xfId="1" applyNumberFormat="1" applyFont="1" applyFill="1" applyBorder="1" applyAlignment="1">
      <alignment horizontal="center" vertical="center"/>
    </xf>
    <xf numFmtId="182" fontId="4" fillId="0" borderId="21" xfId="1" applyNumberFormat="1" applyFont="1" applyBorder="1">
      <alignment vertical="center"/>
    </xf>
    <xf numFmtId="182" fontId="4" fillId="0" borderId="5" xfId="1" applyNumberFormat="1" applyFont="1" applyBorder="1">
      <alignment vertical="center"/>
    </xf>
    <xf numFmtId="182" fontId="4" fillId="0" borderId="1" xfId="1" applyNumberFormat="1" applyFont="1" applyBorder="1">
      <alignment vertical="center"/>
    </xf>
    <xf numFmtId="183" fontId="4" fillId="0" borderId="1" xfId="1" applyNumberFormat="1" applyFont="1" applyBorder="1" applyAlignment="1">
      <alignment horizontal="center" vertical="center"/>
    </xf>
    <xf numFmtId="184" fontId="4" fillId="0" borderId="1" xfId="1" applyNumberFormat="1" applyFont="1" applyBorder="1" applyAlignment="1">
      <alignment horizontal="center" vertical="center"/>
    </xf>
    <xf numFmtId="185" fontId="4" fillId="0" borderId="1" xfId="1" applyNumberFormat="1" applyFont="1" applyBorder="1" applyAlignment="1">
      <alignment horizontal="center" vertical="center"/>
    </xf>
    <xf numFmtId="186" fontId="4" fillId="0" borderId="1" xfId="1" applyNumberFormat="1" applyFont="1" applyBorder="1">
      <alignment vertical="center"/>
    </xf>
    <xf numFmtId="188" fontId="4" fillId="0" borderId="1" xfId="1" applyNumberFormat="1" applyFont="1" applyBorder="1" applyAlignment="1">
      <alignment horizontal="center" vertical="center"/>
    </xf>
    <xf numFmtId="177" fontId="4" fillId="0" borderId="22" xfId="1" applyNumberFormat="1" applyFont="1" applyBorder="1" applyAlignment="1">
      <alignment horizontal="right" vertical="center"/>
    </xf>
    <xf numFmtId="177" fontId="4" fillId="0" borderId="15" xfId="1" applyNumberFormat="1" applyFont="1" applyBorder="1" applyAlignment="1">
      <alignment horizontal="right" vertical="center"/>
    </xf>
    <xf numFmtId="176" fontId="4" fillId="0" borderId="26" xfId="1" applyNumberFormat="1" applyFont="1" applyBorder="1">
      <alignment vertical="center"/>
    </xf>
    <xf numFmtId="176" fontId="4" fillId="0" borderId="26" xfId="1" applyNumberFormat="1" applyFont="1" applyBorder="1" applyAlignment="1">
      <alignment horizontal="center" vertical="center"/>
    </xf>
    <xf numFmtId="177" fontId="4" fillId="0" borderId="26" xfId="1" applyNumberFormat="1" applyFont="1" applyBorder="1" applyAlignment="1">
      <alignment horizontal="right" vertical="center"/>
    </xf>
    <xf numFmtId="177" fontId="4" fillId="0" borderId="27" xfId="1" applyNumberFormat="1" applyFont="1" applyBorder="1" applyAlignment="1">
      <alignment horizontal="right" vertical="center"/>
    </xf>
    <xf numFmtId="177" fontId="4" fillId="4" borderId="31" xfId="1" applyNumberFormat="1" applyFont="1" applyFill="1" applyBorder="1" applyAlignment="1">
      <alignment horizontal="right" vertical="center"/>
    </xf>
    <xf numFmtId="177" fontId="4" fillId="4" borderId="32" xfId="1" applyNumberFormat="1" applyFont="1" applyFill="1" applyBorder="1" applyAlignment="1">
      <alignment horizontal="right" vertical="center"/>
    </xf>
    <xf numFmtId="177" fontId="4" fillId="4" borderId="36" xfId="1" applyNumberFormat="1" applyFont="1" applyFill="1" applyBorder="1" applyAlignment="1">
      <alignment horizontal="right" vertical="center"/>
    </xf>
    <xf numFmtId="177" fontId="4" fillId="4" borderId="19" xfId="1" applyNumberFormat="1" applyFont="1" applyFill="1" applyBorder="1" applyAlignment="1">
      <alignment horizontal="right" vertical="center"/>
    </xf>
    <xf numFmtId="177" fontId="4" fillId="4" borderId="37" xfId="1" applyNumberFormat="1" applyFont="1" applyFill="1" applyBorder="1" applyAlignment="1">
      <alignment horizontal="right" vertical="center"/>
    </xf>
    <xf numFmtId="178" fontId="4" fillId="4" borderId="27" xfId="1" applyNumberFormat="1" applyFont="1" applyFill="1" applyBorder="1" applyAlignment="1">
      <alignment horizontal="right" vertical="center"/>
    </xf>
    <xf numFmtId="177" fontId="4" fillId="4" borderId="38" xfId="1" applyNumberFormat="1" applyFont="1" applyFill="1" applyBorder="1" applyAlignment="1">
      <alignment horizontal="right" vertical="center"/>
    </xf>
    <xf numFmtId="178" fontId="4" fillId="4" borderId="32" xfId="1" applyNumberFormat="1" applyFont="1" applyFill="1" applyBorder="1" applyAlignment="1">
      <alignment horizontal="right" vertical="center"/>
    </xf>
    <xf numFmtId="179" fontId="4" fillId="4" borderId="39" xfId="1" applyNumberFormat="1" applyFont="1" applyFill="1" applyBorder="1" applyAlignment="1">
      <alignment horizontal="left" vertical="center"/>
    </xf>
    <xf numFmtId="179" fontId="4" fillId="4" borderId="40" xfId="1" applyNumberFormat="1" applyFont="1" applyFill="1" applyBorder="1" applyAlignment="1">
      <alignment horizontal="left" vertical="center"/>
    </xf>
    <xf numFmtId="179" fontId="4" fillId="4" borderId="41" xfId="1" applyNumberFormat="1" applyFont="1" applyFill="1" applyBorder="1" applyAlignment="1">
      <alignment horizontal="left" vertical="center"/>
    </xf>
    <xf numFmtId="177" fontId="4" fillId="4" borderId="45" xfId="1" applyNumberFormat="1" applyFont="1" applyFill="1" applyBorder="1" applyAlignment="1">
      <alignment horizontal="right" vertical="center"/>
    </xf>
    <xf numFmtId="177" fontId="4" fillId="4" borderId="46" xfId="1" applyNumberFormat="1" applyFont="1" applyFill="1" applyBorder="1" applyAlignment="1">
      <alignment horizontal="right" vertical="center"/>
    </xf>
    <xf numFmtId="177" fontId="4" fillId="4" borderId="47" xfId="1" applyNumberFormat="1" applyFont="1" applyFill="1" applyBorder="1" applyAlignment="1">
      <alignment horizontal="right" vertical="center"/>
    </xf>
    <xf numFmtId="178" fontId="4" fillId="4" borderId="46" xfId="1" applyNumberFormat="1" applyFont="1" applyFill="1" applyBorder="1" applyAlignment="1">
      <alignment horizontal="right" vertical="center"/>
    </xf>
    <xf numFmtId="179" fontId="4" fillId="4" borderId="25" xfId="1" applyNumberFormat="1" applyFont="1" applyFill="1" applyBorder="1" applyAlignment="1">
      <alignment horizontal="left" vertical="center"/>
    </xf>
    <xf numFmtId="177" fontId="4" fillId="4" borderId="24" xfId="1" applyNumberFormat="1" applyFont="1" applyFill="1" applyBorder="1" applyAlignment="1">
      <alignment horizontal="right" vertical="center"/>
    </xf>
    <xf numFmtId="177" fontId="4" fillId="4" borderId="51" xfId="1" applyNumberFormat="1" applyFont="1" applyFill="1" applyBorder="1" applyAlignment="1">
      <alignment horizontal="right" vertical="center"/>
    </xf>
    <xf numFmtId="177" fontId="4" fillId="4" borderId="52" xfId="1" applyNumberFormat="1" applyFont="1" applyFill="1" applyBorder="1" applyAlignment="1">
      <alignment horizontal="right" vertical="center"/>
    </xf>
    <xf numFmtId="178" fontId="4" fillId="4" borderId="51" xfId="1" applyNumberFormat="1" applyFont="1" applyFill="1" applyBorder="1" applyAlignment="1">
      <alignment horizontal="right" vertical="center"/>
    </xf>
    <xf numFmtId="179" fontId="4" fillId="4" borderId="53" xfId="1" applyNumberFormat="1" applyFont="1" applyFill="1" applyBorder="1" applyAlignment="1">
      <alignment horizontal="left" vertical="center"/>
    </xf>
    <xf numFmtId="179" fontId="4" fillId="4" borderId="54" xfId="1" applyNumberFormat="1" applyFont="1" applyFill="1" applyBorder="1" applyAlignment="1">
      <alignment horizontal="left" vertical="center"/>
    </xf>
    <xf numFmtId="182" fontId="4" fillId="0" borderId="0" xfId="1" applyNumberFormat="1" applyFont="1">
      <alignment vertical="center"/>
    </xf>
    <xf numFmtId="176" fontId="4" fillId="0" borderId="13" xfId="1" applyNumberFormat="1" applyFont="1" applyBorder="1" applyAlignment="1">
      <alignment horizontal="left" vertical="center"/>
    </xf>
    <xf numFmtId="176" fontId="4" fillId="0" borderId="13" xfId="1" applyNumberFormat="1" applyFont="1" applyBorder="1" applyAlignment="1">
      <alignment horizontal="left" vertical="center" wrapText="1"/>
    </xf>
    <xf numFmtId="0" fontId="4" fillId="0" borderId="24" xfId="1" applyFont="1" applyBorder="1" applyAlignment="1">
      <alignment horizontal="center" vertical="center"/>
    </xf>
    <xf numFmtId="176" fontId="4" fillId="0" borderId="24" xfId="1" applyNumberFormat="1" applyFont="1" applyBorder="1">
      <alignment vertical="center"/>
    </xf>
    <xf numFmtId="176" fontId="4" fillId="0" borderId="24" xfId="1" applyNumberFormat="1" applyFont="1" applyBorder="1" applyAlignment="1">
      <alignment horizontal="center" vertical="center"/>
    </xf>
    <xf numFmtId="176" fontId="4" fillId="0" borderId="24" xfId="1" applyNumberFormat="1" applyFont="1" applyBorder="1" applyAlignment="1">
      <alignment horizontal="left" vertical="center"/>
    </xf>
    <xf numFmtId="176" fontId="4" fillId="0" borderId="57" xfId="1" applyNumberFormat="1" applyFont="1" applyBorder="1" applyAlignment="1">
      <alignment horizontal="center" vertical="center"/>
    </xf>
    <xf numFmtId="189" fontId="4" fillId="4" borderId="40" xfId="4" applyNumberFormat="1" applyFont="1" applyFill="1" applyBorder="1" applyAlignment="1">
      <alignment vertical="center"/>
    </xf>
    <xf numFmtId="176" fontId="4" fillId="0" borderId="13" xfId="1" applyNumberFormat="1" applyFont="1" applyBorder="1" applyAlignment="1">
      <alignment vertical="center" wrapText="1"/>
    </xf>
    <xf numFmtId="0" fontId="6" fillId="0" borderId="0" xfId="3"/>
    <xf numFmtId="0" fontId="6" fillId="6" borderId="0" xfId="3" applyFill="1"/>
    <xf numFmtId="38" fontId="0" fillId="0" borderId="0" xfId="7" applyFont="1" applyAlignment="1"/>
    <xf numFmtId="38" fontId="0" fillId="6" borderId="0" xfId="7" applyFont="1" applyFill="1" applyAlignment="1"/>
    <xf numFmtId="0" fontId="6" fillId="7" borderId="0" xfId="3" applyFill="1"/>
    <xf numFmtId="38" fontId="0" fillId="7" borderId="0" xfId="7" applyFont="1" applyFill="1" applyAlignment="1"/>
    <xf numFmtId="9" fontId="0" fillId="7" borderId="0" xfId="7" applyNumberFormat="1" applyFont="1" applyFill="1" applyAlignment="1"/>
    <xf numFmtId="38" fontId="0" fillId="0" borderId="0" xfId="4" applyFont="1">
      <alignment vertical="center"/>
    </xf>
    <xf numFmtId="0" fontId="0" fillId="6" borderId="0" xfId="0" applyFill="1">
      <alignment vertical="center"/>
    </xf>
    <xf numFmtId="38" fontId="0" fillId="6" borderId="0" xfId="4" applyFont="1" applyFill="1">
      <alignment vertical="center"/>
    </xf>
    <xf numFmtId="49" fontId="2" fillId="2" borderId="1" xfId="1" applyNumberFormat="1" applyFont="1" applyFill="1" applyBorder="1" applyAlignment="1">
      <alignment horizontal="center" vertical="center"/>
    </xf>
    <xf numFmtId="176" fontId="2" fillId="2" borderId="1" xfId="1" applyNumberFormat="1" applyFont="1" applyFill="1" applyBorder="1" applyAlignment="1">
      <alignment horizontal="center" vertical="center"/>
    </xf>
    <xf numFmtId="176" fontId="2" fillId="2" borderId="1" xfId="1" applyNumberFormat="1" applyFont="1" applyFill="1" applyBorder="1" applyAlignment="1">
      <alignment horizontal="center" vertical="center" wrapText="1"/>
    </xf>
    <xf numFmtId="176" fontId="2" fillId="2" borderId="5" xfId="1" applyNumberFormat="1" applyFont="1" applyFill="1" applyBorder="1" applyAlignment="1">
      <alignment horizontal="center" vertical="center"/>
    </xf>
    <xf numFmtId="176" fontId="2" fillId="2" borderId="2" xfId="1" applyNumberFormat="1" applyFont="1" applyFill="1" applyBorder="1" applyAlignment="1">
      <alignment horizontal="center" vertical="center"/>
    </xf>
    <xf numFmtId="176" fontId="2" fillId="2" borderId="17" xfId="1" applyNumberFormat="1" applyFont="1" applyFill="1" applyBorder="1" applyAlignment="1">
      <alignment horizontal="center" vertical="center"/>
    </xf>
    <xf numFmtId="176" fontId="2" fillId="2" borderId="3" xfId="1" applyNumberFormat="1" applyFont="1" applyFill="1" applyBorder="1" applyAlignment="1">
      <alignment horizontal="center" vertical="center" wrapText="1"/>
    </xf>
    <xf numFmtId="176" fontId="2" fillId="2" borderId="6" xfId="1" applyNumberFormat="1" applyFont="1" applyFill="1" applyBorder="1" applyAlignment="1">
      <alignment horizontal="center" vertical="center"/>
    </xf>
    <xf numFmtId="176" fontId="2" fillId="2" borderId="4" xfId="1" applyNumberFormat="1" applyFont="1" applyFill="1" applyBorder="1" applyAlignment="1">
      <alignment horizontal="center" vertical="center" wrapText="1"/>
    </xf>
    <xf numFmtId="176" fontId="2" fillId="2" borderId="7" xfId="1" applyNumberFormat="1" applyFont="1" applyFill="1" applyBorder="1" applyAlignment="1">
      <alignment horizontal="center" vertical="center"/>
    </xf>
    <xf numFmtId="176" fontId="2" fillId="2" borderId="22" xfId="1" applyNumberFormat="1" applyFont="1" applyFill="1" applyBorder="1" applyAlignment="1">
      <alignment horizontal="center" vertical="center"/>
    </xf>
    <xf numFmtId="176" fontId="2" fillId="2" borderId="23" xfId="1" applyNumberFormat="1" applyFont="1" applyFill="1" applyBorder="1" applyAlignment="1">
      <alignment horizontal="center" vertical="center"/>
    </xf>
    <xf numFmtId="176" fontId="2" fillId="3" borderId="2" xfId="1" applyNumberFormat="1" applyFont="1" applyFill="1" applyBorder="1" applyAlignment="1">
      <alignment horizontal="right" vertical="center"/>
    </xf>
    <xf numFmtId="176" fontId="2" fillId="3" borderId="17" xfId="1" applyNumberFormat="1" applyFont="1" applyFill="1" applyBorder="1" applyAlignment="1">
      <alignment horizontal="right" vertical="center"/>
    </xf>
    <xf numFmtId="176" fontId="2" fillId="3" borderId="5" xfId="1" applyNumberFormat="1" applyFont="1" applyFill="1" applyBorder="1" applyAlignment="1">
      <alignment horizontal="right" vertical="center"/>
    </xf>
    <xf numFmtId="0" fontId="4" fillId="4" borderId="28" xfId="1" applyFont="1" applyFill="1" applyBorder="1" applyAlignment="1">
      <alignment horizontal="right" vertical="center"/>
    </xf>
    <xf numFmtId="0" fontId="4" fillId="4" borderId="29" xfId="1" applyFont="1" applyFill="1" applyBorder="1" applyAlignment="1">
      <alignment horizontal="right" vertical="center"/>
    </xf>
    <xf numFmtId="0" fontId="4" fillId="4" borderId="30" xfId="1" applyFont="1" applyFill="1" applyBorder="1" applyAlignment="1">
      <alignment horizontal="right" vertical="center"/>
    </xf>
    <xf numFmtId="0" fontId="4" fillId="4" borderId="33" xfId="1" applyFont="1" applyFill="1" applyBorder="1" applyAlignment="1">
      <alignment horizontal="right" vertical="center"/>
    </xf>
    <xf numFmtId="0" fontId="4" fillId="4" borderId="34" xfId="1" applyFont="1" applyFill="1" applyBorder="1" applyAlignment="1">
      <alignment horizontal="right" vertical="center"/>
    </xf>
    <xf numFmtId="0" fontId="4" fillId="4" borderId="35" xfId="1" applyFont="1" applyFill="1" applyBorder="1" applyAlignment="1">
      <alignment horizontal="right" vertical="center"/>
    </xf>
    <xf numFmtId="0" fontId="4" fillId="4" borderId="48" xfId="1" applyFont="1" applyFill="1" applyBorder="1" applyAlignment="1">
      <alignment horizontal="right" vertical="center"/>
    </xf>
    <xf numFmtId="0" fontId="4" fillId="4" borderId="49" xfId="1" applyFont="1" applyFill="1" applyBorder="1" applyAlignment="1">
      <alignment horizontal="right" vertical="center"/>
    </xf>
    <xf numFmtId="0" fontId="4" fillId="4" borderId="50" xfId="1" applyFont="1" applyFill="1" applyBorder="1" applyAlignment="1">
      <alignment horizontal="right" vertical="center"/>
    </xf>
    <xf numFmtId="0" fontId="4" fillId="4" borderId="56" xfId="1" applyFont="1" applyFill="1" applyBorder="1" applyAlignment="1">
      <alignment horizontal="right" vertical="center"/>
    </xf>
    <xf numFmtId="189" fontId="4" fillId="4" borderId="33" xfId="5" applyNumberFormat="1" applyFont="1" applyFill="1" applyBorder="1" applyAlignment="1">
      <alignment horizontal="right" vertical="center"/>
    </xf>
    <xf numFmtId="189" fontId="4" fillId="4" borderId="56" xfId="5" applyNumberFormat="1" applyFont="1" applyFill="1" applyBorder="1" applyAlignment="1">
      <alignment horizontal="right" vertical="center"/>
    </xf>
    <xf numFmtId="0" fontId="4" fillId="4" borderId="42" xfId="1" applyFont="1" applyFill="1" applyBorder="1" applyAlignment="1">
      <alignment horizontal="right" vertical="center"/>
    </xf>
    <xf numFmtId="0" fontId="4" fillId="4" borderId="43" xfId="1" applyFont="1" applyFill="1" applyBorder="1" applyAlignment="1">
      <alignment horizontal="right" vertical="center"/>
    </xf>
    <xf numFmtId="0" fontId="4" fillId="4" borderId="44" xfId="1" applyFont="1" applyFill="1" applyBorder="1" applyAlignment="1">
      <alignment horizontal="right" vertical="center"/>
    </xf>
    <xf numFmtId="189" fontId="4" fillId="4" borderId="28" xfId="4" applyNumberFormat="1" applyFont="1" applyFill="1" applyBorder="1" applyAlignment="1">
      <alignment horizontal="right" vertical="center"/>
    </xf>
    <xf numFmtId="189" fontId="4" fillId="4" borderId="55" xfId="4" applyNumberFormat="1" applyFont="1" applyFill="1" applyBorder="1" applyAlignment="1">
      <alignment horizontal="right" vertical="center"/>
    </xf>
    <xf numFmtId="0" fontId="4" fillId="4" borderId="55" xfId="1" applyFont="1" applyFill="1" applyBorder="1" applyAlignment="1">
      <alignment horizontal="right" vertical="center"/>
    </xf>
    <xf numFmtId="0" fontId="2" fillId="5" borderId="22" xfId="1" applyFont="1" applyFill="1" applyBorder="1" applyAlignment="1">
      <alignment horizontal="center" vertical="center"/>
    </xf>
    <xf numFmtId="0" fontId="2" fillId="5" borderId="23" xfId="1" applyFont="1" applyFill="1" applyBorder="1" applyAlignment="1">
      <alignment horizontal="center" vertical="center"/>
    </xf>
    <xf numFmtId="187" fontId="4" fillId="0" borderId="8" xfId="1" applyNumberFormat="1" applyFont="1" applyBorder="1" applyAlignment="1">
      <alignment horizontal="left" vertical="center"/>
    </xf>
    <xf numFmtId="176" fontId="2" fillId="5" borderId="22" xfId="1" applyNumberFormat="1" applyFont="1" applyFill="1" applyBorder="1" applyAlignment="1">
      <alignment horizontal="center" vertical="center"/>
    </xf>
    <xf numFmtId="176" fontId="2" fillId="5" borderId="57" xfId="1" applyNumberFormat="1" applyFont="1" applyFill="1" applyBorder="1" applyAlignment="1">
      <alignment horizontal="center" vertical="center"/>
    </xf>
    <xf numFmtId="176" fontId="2" fillId="5" borderId="23" xfId="1" applyNumberFormat="1" applyFont="1" applyFill="1" applyBorder="1" applyAlignment="1">
      <alignment horizontal="center" vertical="center"/>
    </xf>
  </cellXfs>
  <cellStyles count="8">
    <cellStyle name="桁区切り" xfId="4" builtinId="6"/>
    <cellStyle name="桁区切り 2" xfId="7" xr:uid="{BBFBCDFF-EB88-4A82-9A9A-AB0290A913EC}"/>
    <cellStyle name="通貨" xfId="5" builtinId="7"/>
    <cellStyle name="通貨 2" xfId="6" xr:uid="{00000000-0005-0000-0000-000002000000}"/>
    <cellStyle name="標準" xfId="0" builtinId="0"/>
    <cellStyle name="標準 2" xfId="3" xr:uid="{00000000-0005-0000-0000-000004000000}"/>
    <cellStyle name="標準 3 2" xfId="2" xr:uid="{00000000-0005-0000-0000-000005000000}"/>
    <cellStyle name="標準 6" xfId="1" xr:uid="{00000000-0005-0000-0000-000006000000}"/>
  </cellStyles>
  <dxfs count="6"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19049</xdr:colOff>
      <xdr:row>1</xdr:row>
      <xdr:rowOff>76200</xdr:rowOff>
    </xdr:from>
    <xdr:to>
      <xdr:col>5</xdr:col>
      <xdr:colOff>485774</xdr:colOff>
      <xdr:row>1</xdr:row>
      <xdr:rowOff>190500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2AF70413-847F-43CF-BB96-FA517DCA25E1}"/>
            </a:ext>
          </a:extLst>
        </xdr:cNvPr>
        <xdr:cNvSpPr/>
      </xdr:nvSpPr>
      <xdr:spPr>
        <a:xfrm>
          <a:off x="2657474" y="314325"/>
          <a:ext cx="1552575" cy="114300"/>
        </a:xfrm>
        <a:prstGeom prst="rightArrow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9525</xdr:colOff>
      <xdr:row>2</xdr:row>
      <xdr:rowOff>66674</xdr:rowOff>
    </xdr:from>
    <xdr:to>
      <xdr:col>7</xdr:col>
      <xdr:colOff>0</xdr:colOff>
      <xdr:row>2</xdr:row>
      <xdr:rowOff>190499</xdr:rowOff>
    </xdr:to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2D6BBEA6-3778-47D5-AAC3-6EA861DBDD6C}"/>
            </a:ext>
          </a:extLst>
        </xdr:cNvPr>
        <xdr:cNvSpPr/>
      </xdr:nvSpPr>
      <xdr:spPr>
        <a:xfrm>
          <a:off x="4276725" y="542924"/>
          <a:ext cx="533400" cy="1238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4</xdr:row>
      <xdr:rowOff>47625</xdr:rowOff>
    </xdr:from>
    <xdr:to>
      <xdr:col>7</xdr:col>
      <xdr:colOff>504825</xdr:colOff>
      <xdr:row>4</xdr:row>
      <xdr:rowOff>161925</xdr:rowOff>
    </xdr:to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51A10D98-A7A7-46CE-9539-B547729B7080}"/>
            </a:ext>
          </a:extLst>
        </xdr:cNvPr>
        <xdr:cNvSpPr/>
      </xdr:nvSpPr>
      <xdr:spPr>
        <a:xfrm>
          <a:off x="4810125" y="762000"/>
          <a:ext cx="504825" cy="114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9525</xdr:colOff>
      <xdr:row>5</xdr:row>
      <xdr:rowOff>66675</xdr:rowOff>
    </xdr:from>
    <xdr:to>
      <xdr:col>9</xdr:col>
      <xdr:colOff>523875</xdr:colOff>
      <xdr:row>5</xdr:row>
      <xdr:rowOff>171450</xdr:rowOff>
    </xdr:to>
    <xdr:sp macro="" textlink="">
      <xdr:nvSpPr>
        <xdr:cNvPr id="5" name="矢印: 右 4">
          <a:extLst>
            <a:ext uri="{FF2B5EF4-FFF2-40B4-BE49-F238E27FC236}">
              <a16:creationId xmlns:a16="http://schemas.microsoft.com/office/drawing/2014/main" id="{C90CE52F-3E69-4282-98D1-EAF245BF3CB2}"/>
            </a:ext>
          </a:extLst>
        </xdr:cNvPr>
        <xdr:cNvSpPr/>
      </xdr:nvSpPr>
      <xdr:spPr>
        <a:xfrm>
          <a:off x="5362575" y="1019175"/>
          <a:ext cx="1057275" cy="1047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19050</xdr:colOff>
      <xdr:row>6</xdr:row>
      <xdr:rowOff>66675</xdr:rowOff>
    </xdr:from>
    <xdr:to>
      <xdr:col>9</xdr:col>
      <xdr:colOff>523875</xdr:colOff>
      <xdr:row>6</xdr:row>
      <xdr:rowOff>180975</xdr:rowOff>
    </xdr:to>
    <xdr:sp macro="" textlink="">
      <xdr:nvSpPr>
        <xdr:cNvPr id="6" name="矢印: 右 5">
          <a:extLst>
            <a:ext uri="{FF2B5EF4-FFF2-40B4-BE49-F238E27FC236}">
              <a16:creationId xmlns:a16="http://schemas.microsoft.com/office/drawing/2014/main" id="{BE9265DC-4079-42E7-8CA1-C8CC7FA9DA04}"/>
            </a:ext>
          </a:extLst>
        </xdr:cNvPr>
        <xdr:cNvSpPr/>
      </xdr:nvSpPr>
      <xdr:spPr>
        <a:xfrm>
          <a:off x="5915025" y="1257300"/>
          <a:ext cx="504825" cy="114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19050</xdr:colOff>
      <xdr:row>7</xdr:row>
      <xdr:rowOff>76200</xdr:rowOff>
    </xdr:from>
    <xdr:to>
      <xdr:col>10</xdr:col>
      <xdr:colOff>523875</xdr:colOff>
      <xdr:row>7</xdr:row>
      <xdr:rowOff>200025</xdr:rowOff>
    </xdr:to>
    <xdr:sp macro="" textlink="">
      <xdr:nvSpPr>
        <xdr:cNvPr id="7" name="矢印: 右 6">
          <a:extLst>
            <a:ext uri="{FF2B5EF4-FFF2-40B4-BE49-F238E27FC236}">
              <a16:creationId xmlns:a16="http://schemas.microsoft.com/office/drawing/2014/main" id="{988E5C74-9FE3-4026-9D27-240791A06AB5}"/>
            </a:ext>
          </a:extLst>
        </xdr:cNvPr>
        <xdr:cNvSpPr/>
      </xdr:nvSpPr>
      <xdr:spPr>
        <a:xfrm>
          <a:off x="6457950" y="1504950"/>
          <a:ext cx="504825" cy="1238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0</xdr:colOff>
      <xdr:row>8</xdr:row>
      <xdr:rowOff>76200</xdr:rowOff>
    </xdr:from>
    <xdr:to>
      <xdr:col>11</xdr:col>
      <xdr:colOff>504825</xdr:colOff>
      <xdr:row>8</xdr:row>
      <xdr:rowOff>190500</xdr:rowOff>
    </xdr:to>
    <xdr:sp macro="" textlink="">
      <xdr:nvSpPr>
        <xdr:cNvPr id="8" name="矢印: 右 7">
          <a:extLst>
            <a:ext uri="{FF2B5EF4-FFF2-40B4-BE49-F238E27FC236}">
              <a16:creationId xmlns:a16="http://schemas.microsoft.com/office/drawing/2014/main" id="{A6449347-CB82-4880-A09D-C9E988611566}"/>
            </a:ext>
          </a:extLst>
        </xdr:cNvPr>
        <xdr:cNvSpPr/>
      </xdr:nvSpPr>
      <xdr:spPr>
        <a:xfrm>
          <a:off x="6981825" y="1743075"/>
          <a:ext cx="504825" cy="114300"/>
        </a:xfrm>
        <a:prstGeom prst="rightArrow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0</xdr:colOff>
      <xdr:row>9</xdr:row>
      <xdr:rowOff>66675</xdr:rowOff>
    </xdr:from>
    <xdr:to>
      <xdr:col>12</xdr:col>
      <xdr:colOff>523875</xdr:colOff>
      <xdr:row>9</xdr:row>
      <xdr:rowOff>180975</xdr:rowOff>
    </xdr:to>
    <xdr:sp macro="" textlink="">
      <xdr:nvSpPr>
        <xdr:cNvPr id="9" name="矢印: 右 8">
          <a:extLst>
            <a:ext uri="{FF2B5EF4-FFF2-40B4-BE49-F238E27FC236}">
              <a16:creationId xmlns:a16="http://schemas.microsoft.com/office/drawing/2014/main" id="{EE8E5D46-6DD1-4FFF-97A8-5DEA76BF0947}"/>
            </a:ext>
          </a:extLst>
        </xdr:cNvPr>
        <xdr:cNvSpPr/>
      </xdr:nvSpPr>
      <xdr:spPr>
        <a:xfrm>
          <a:off x="7524750" y="1971675"/>
          <a:ext cx="523875" cy="114300"/>
        </a:xfrm>
        <a:prstGeom prst="rightArrow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76200</xdr:colOff>
      <xdr:row>9</xdr:row>
      <xdr:rowOff>228600</xdr:rowOff>
    </xdr:from>
    <xdr:to>
      <xdr:col>13</xdr:col>
      <xdr:colOff>285750</xdr:colOff>
      <xdr:row>10</xdr:row>
      <xdr:rowOff>200025</xdr:rowOff>
    </xdr:to>
    <xdr:sp macro="" textlink="">
      <xdr:nvSpPr>
        <xdr:cNvPr id="10" name="星: 5 pt 9">
          <a:extLst>
            <a:ext uri="{FF2B5EF4-FFF2-40B4-BE49-F238E27FC236}">
              <a16:creationId xmlns:a16="http://schemas.microsoft.com/office/drawing/2014/main" id="{0C8AEEA5-6DD3-4589-B566-0668D0484162}"/>
            </a:ext>
          </a:extLst>
        </xdr:cNvPr>
        <xdr:cNvSpPr/>
      </xdr:nvSpPr>
      <xdr:spPr>
        <a:xfrm>
          <a:off x="8143875" y="2371725"/>
          <a:ext cx="209550" cy="20955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47625</xdr:colOff>
      <xdr:row>3</xdr:row>
      <xdr:rowOff>66674</xdr:rowOff>
    </xdr:from>
    <xdr:to>
      <xdr:col>5</xdr:col>
      <xdr:colOff>533400</xdr:colOff>
      <xdr:row>3</xdr:row>
      <xdr:rowOff>209549</xdr:rowOff>
    </xdr:to>
    <xdr:sp macro="" textlink="">
      <xdr:nvSpPr>
        <xdr:cNvPr id="11" name="矢印: 右 10">
          <a:extLst>
            <a:ext uri="{FF2B5EF4-FFF2-40B4-BE49-F238E27FC236}">
              <a16:creationId xmlns:a16="http://schemas.microsoft.com/office/drawing/2014/main" id="{D6D16710-8C5A-4ADE-A74F-AB5EAA66B12D}"/>
            </a:ext>
          </a:extLst>
        </xdr:cNvPr>
        <xdr:cNvSpPr/>
      </xdr:nvSpPr>
      <xdr:spPr>
        <a:xfrm>
          <a:off x="3228975" y="781049"/>
          <a:ext cx="1028700" cy="1428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28575</xdr:colOff>
      <xdr:row>11</xdr:row>
      <xdr:rowOff>85725</xdr:rowOff>
    </xdr:from>
    <xdr:to>
      <xdr:col>14</xdr:col>
      <xdr:colOff>9525</xdr:colOff>
      <xdr:row>11</xdr:row>
      <xdr:rowOff>200025</xdr:rowOff>
    </xdr:to>
    <xdr:sp macro="" textlink="">
      <xdr:nvSpPr>
        <xdr:cNvPr id="12" name="矢印: 右 11">
          <a:extLst>
            <a:ext uri="{FF2B5EF4-FFF2-40B4-BE49-F238E27FC236}">
              <a16:creationId xmlns:a16="http://schemas.microsoft.com/office/drawing/2014/main" id="{BE1DF738-9BF7-467B-8F08-C774C8072691}"/>
            </a:ext>
          </a:extLst>
        </xdr:cNvPr>
        <xdr:cNvSpPr/>
      </xdr:nvSpPr>
      <xdr:spPr>
        <a:xfrm>
          <a:off x="8096250" y="2705100"/>
          <a:ext cx="523875" cy="114300"/>
        </a:xfrm>
        <a:prstGeom prst="rightArrow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1</xdr:row>
      <xdr:rowOff>9525</xdr:rowOff>
    </xdr:from>
    <xdr:to>
      <xdr:col>6</xdr:col>
      <xdr:colOff>1009650</xdr:colOff>
      <xdr:row>7</xdr:row>
      <xdr:rowOff>133351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3400425" y="219075"/>
          <a:ext cx="5076825" cy="103822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当シートは、積算するための係数を定義しています。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工数比率、標準工数に変更を加える必要がなければそのまま使用して下さい。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今後、収集した実績をもとに値を変更する可能性があります。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8283;&#30330;&#24037;&#25968;&#31309;&#31639;&#36039;&#26009;&#65288;&#35211;&#31309;&#27161;&#28310;&#31532;1.2&#29256;&#65289;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o\work\06_&#12489;&#12461;&#12517;&#12513;&#12531;&#12488;\UI-20_&#12456;&#12531;&#12486;&#12451;&#12486;&#12451;&#23450;&#32681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改定履歴"/>
      <sheetName val="マニュアル"/>
      <sheetName val="表紙"/>
      <sheetName val="見積金額"/>
      <sheetName val="開発費用"/>
      <sheetName val="積算基準"/>
      <sheetName val="開発付随費用"/>
      <sheetName val="管理費用"/>
      <sheetName val="物販・ライセンス費用"/>
      <sheetName val="開発費用_お客様提示用"/>
      <sheetName val="FP試算法"/>
      <sheetName val="IFPUG法・FP概算法"/>
      <sheetName val="FP係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【参考】UI-22 業務コード定義"/>
      <sheetName val="UI-20_エンティティ定義書"/>
      <sheetName val="工程試験⇒"/>
      <sheetName val="UI-20 工程試験"/>
      <sheetName val="工程試験結果"/>
      <sheetName val="コントロールマスタ"/>
      <sheetName val="試料マスタ"/>
      <sheetName val="工程試験項目マスタ"/>
      <sheetName val="印刷補足条件"/>
      <sheetName val="アプリケション連携ログ"/>
      <sheetName val="入力データログ"/>
      <sheetName val="工程試験機紐付けマスタ"/>
      <sheetName val="製品試験⇒"/>
      <sheetName val="ロット管理明細"/>
      <sheetName val="製造情報SPS"/>
      <sheetName val="製造情報LMPP"/>
      <sheetName val="製造情報BPA"/>
      <sheetName val="製品試験結果"/>
      <sheetName val="ロット工程試験紐付け"/>
      <sheetName val="ロット管理明細送信履歴"/>
      <sheetName val="製品試験項目マスタ"/>
      <sheetName val="グレード管理表パラメータ"/>
      <sheetName val="グレードマスタ"/>
      <sheetName val="ロットＮＯ採番テーブル"/>
      <sheetName val="製品試験機紐付けマスタ"/>
      <sheetName val="製造情報項目リスト定義"/>
      <sheetName val="物性LAN⇒"/>
      <sheetName val="依頼基本"/>
      <sheetName val="依頼基本状況"/>
      <sheetName val="依頼サンプル"/>
      <sheetName val="依頼項目"/>
      <sheetName val="依頼条件"/>
      <sheetName val="依頼成形"/>
      <sheetName val="依頼対象サンプル"/>
      <sheetName val="測定サンプル"/>
      <sheetName val="測定条件"/>
      <sheetName val="測定"/>
      <sheetName val="測定生データ"/>
      <sheetName val="エラーデータ"/>
      <sheetName val="環境マスタ"/>
      <sheetName val="テーママスタ"/>
      <sheetName val="物性測定グループマスタ"/>
      <sheetName val="試験項目マスタ"/>
      <sheetName val="データ項目マスタ"/>
      <sheetName val="条件名マスタ"/>
      <sheetName val="テストピースマスタ"/>
      <sheetName val="列名リンクマスタ"/>
      <sheetName val="成形加工方式マスタ"/>
      <sheetName val="ファイルレイアウトマスタ"/>
      <sheetName val="サンプルコメントマスタ"/>
      <sheetName val="クライアントPCマスタ"/>
      <sheetName val="メッセージテーブル"/>
      <sheetName val="樹脂種別マスタ"/>
      <sheetName val="依頼入力区分マスタ"/>
      <sheetName val="試験項目テンプレート"/>
      <sheetName val="条件テンプレート"/>
      <sheetName val="成形指示書テンプレート"/>
      <sheetName val="樹脂内訳マスタ"/>
      <sheetName val="試験料金計算⇒　"/>
      <sheetName val="試験料金"/>
      <sheetName val="共通⇒"/>
      <sheetName val="装置マスタ"/>
      <sheetName val="試験グループマスタ"/>
      <sheetName val="試験種別マスタ"/>
      <sheetName val="大部門マスタ"/>
      <sheetName val="部門マスタ"/>
      <sheetName val="社員マスタ"/>
      <sheetName val="試験機マスタ"/>
      <sheetName val="試験機試験グループ紐付けマスタ"/>
      <sheetName val="社員試験グループ紐付けマスタ"/>
      <sheetName val="工程試験予定表"/>
      <sheetName val="物性試験予定表"/>
      <sheetName val="他システムIF送信停止"/>
      <sheetName val="月間スケジュール"/>
      <sheetName val="日別試験予定"/>
      <sheetName val="TOTALPLANT⇒"/>
      <sheetName val="IP_LIMS_SMPL_TST"/>
      <sheetName val="IP_SMPL"/>
      <sheetName val="IP_TST_RSLT"/>
      <sheetName val="samp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ED78F-0A5E-4006-A99A-8E5223707998}">
  <dimension ref="A1:V35"/>
  <sheetViews>
    <sheetView tabSelected="1" workbookViewId="0">
      <selection activeCell="S25" sqref="S25"/>
    </sheetView>
  </sheetViews>
  <sheetFormatPr defaultRowHeight="18.75"/>
  <cols>
    <col min="1" max="1" width="9" style="76" customWidth="1"/>
    <col min="2" max="2" width="18.5" style="76" customWidth="1"/>
    <col min="3" max="15" width="7.125" style="76" customWidth="1"/>
    <col min="16" max="17" width="9" style="76"/>
    <col min="18" max="19" width="9" style="78"/>
    <col min="20" max="16384" width="9" style="76"/>
  </cols>
  <sheetData>
    <row r="1" spans="2:17">
      <c r="C1" s="77" t="s">
        <v>0</v>
      </c>
      <c r="D1" s="77" t="s">
        <v>1</v>
      </c>
      <c r="E1" s="77" t="s">
        <v>2</v>
      </c>
      <c r="F1" s="77" t="s">
        <v>3</v>
      </c>
      <c r="G1" s="77" t="s">
        <v>4</v>
      </c>
      <c r="H1" s="77" t="s">
        <v>5</v>
      </c>
      <c r="I1" s="77" t="s">
        <v>6</v>
      </c>
      <c r="J1" s="77" t="s">
        <v>7</v>
      </c>
      <c r="K1" s="77" t="s">
        <v>8</v>
      </c>
      <c r="L1" s="77" t="s">
        <v>9</v>
      </c>
      <c r="M1" s="77" t="s">
        <v>10</v>
      </c>
      <c r="N1" s="77" t="s">
        <v>11</v>
      </c>
      <c r="O1" s="77" t="s">
        <v>12</v>
      </c>
    </row>
    <row r="2" spans="2:17">
      <c r="B2" s="77" t="s">
        <v>13</v>
      </c>
      <c r="Q2" s="76" t="s">
        <v>14</v>
      </c>
    </row>
    <row r="3" spans="2:17">
      <c r="B3" s="77" t="s">
        <v>15</v>
      </c>
      <c r="Q3" s="76" t="s">
        <v>16</v>
      </c>
    </row>
    <row r="4" spans="2:17">
      <c r="B4" s="77" t="s">
        <v>17</v>
      </c>
      <c r="Q4" s="76" t="s">
        <v>18</v>
      </c>
    </row>
    <row r="5" spans="2:17">
      <c r="B5" s="77" t="s">
        <v>19</v>
      </c>
      <c r="Q5" s="76" t="s">
        <v>20</v>
      </c>
    </row>
    <row r="6" spans="2:17">
      <c r="B6" s="77" t="s">
        <v>21</v>
      </c>
      <c r="Q6" s="76" t="s">
        <v>22</v>
      </c>
    </row>
    <row r="7" spans="2:17">
      <c r="B7" s="77" t="s">
        <v>23</v>
      </c>
      <c r="Q7" s="76" t="s">
        <v>24</v>
      </c>
    </row>
    <row r="8" spans="2:17">
      <c r="B8" s="77" t="s">
        <v>25</v>
      </c>
      <c r="Q8" s="76" t="s">
        <v>26</v>
      </c>
    </row>
    <row r="9" spans="2:17">
      <c r="B9" s="77" t="s">
        <v>27</v>
      </c>
      <c r="Q9" s="76" t="s">
        <v>28</v>
      </c>
    </row>
    <row r="10" spans="2:17">
      <c r="B10" s="77" t="s">
        <v>29</v>
      </c>
      <c r="Q10" s="76" t="s">
        <v>30</v>
      </c>
    </row>
    <row r="11" spans="2:17">
      <c r="B11" s="77" t="s">
        <v>31</v>
      </c>
      <c r="Q11" s="76" t="s">
        <v>32</v>
      </c>
    </row>
    <row r="12" spans="2:17">
      <c r="B12" s="77" t="s">
        <v>33</v>
      </c>
      <c r="Q12" s="76" t="s">
        <v>34</v>
      </c>
    </row>
    <row r="13" spans="2:17">
      <c r="B13" s="77"/>
      <c r="Q13" s="76" t="s">
        <v>35</v>
      </c>
    </row>
    <row r="14" spans="2:17">
      <c r="B14" s="77"/>
      <c r="Q14" s="76" t="s">
        <v>36</v>
      </c>
    </row>
    <row r="15" spans="2:17">
      <c r="B15" s="77"/>
      <c r="Q15" s="76" t="s">
        <v>37</v>
      </c>
    </row>
    <row r="19" spans="1:22">
      <c r="Q19" s="77" t="s">
        <v>38</v>
      </c>
      <c r="R19" s="79" t="s">
        <v>39</v>
      </c>
      <c r="S19" s="79" t="s">
        <v>40</v>
      </c>
      <c r="T19" s="79" t="s">
        <v>41</v>
      </c>
      <c r="U19" s="79" t="s">
        <v>42</v>
      </c>
      <c r="V19" s="79" t="s">
        <v>43</v>
      </c>
    </row>
    <row r="20" spans="1:22">
      <c r="A20" s="76" t="s">
        <v>44</v>
      </c>
      <c r="B20" s="77" t="s">
        <v>45</v>
      </c>
      <c r="D20" s="76">
        <v>1</v>
      </c>
      <c r="E20" s="76">
        <v>1</v>
      </c>
      <c r="F20" s="76">
        <v>1</v>
      </c>
      <c r="G20" s="76">
        <v>1</v>
      </c>
      <c r="H20" s="76">
        <v>1</v>
      </c>
      <c r="I20" s="76">
        <v>0.5</v>
      </c>
      <c r="J20" s="76">
        <v>0.5</v>
      </c>
      <c r="K20" s="76">
        <v>0.5</v>
      </c>
      <c r="L20" s="76">
        <v>0.5</v>
      </c>
      <c r="M20" s="76">
        <v>0.5</v>
      </c>
      <c r="N20" s="76">
        <v>0.5</v>
      </c>
      <c r="Q20" s="76">
        <f>SUM(C20:O20)</f>
        <v>8</v>
      </c>
      <c r="R20" s="78">
        <v>140</v>
      </c>
      <c r="S20" s="78">
        <f>Q20*R20</f>
        <v>1120</v>
      </c>
      <c r="T20" s="76">
        <v>65</v>
      </c>
      <c r="U20" s="76">
        <f>S20-(T20*Q20)</f>
        <v>600</v>
      </c>
    </row>
    <row r="21" spans="1:22">
      <c r="A21" s="76" t="s">
        <v>44</v>
      </c>
      <c r="B21" s="77" t="s">
        <v>46</v>
      </c>
      <c r="D21" s="76">
        <v>1</v>
      </c>
      <c r="E21" s="76">
        <v>1</v>
      </c>
      <c r="F21" s="76">
        <v>1</v>
      </c>
      <c r="G21" s="76">
        <v>1</v>
      </c>
      <c r="H21" s="76">
        <v>1</v>
      </c>
      <c r="I21" s="76">
        <v>1</v>
      </c>
      <c r="J21" s="76">
        <v>1</v>
      </c>
      <c r="K21" s="76">
        <v>1</v>
      </c>
      <c r="L21" s="76">
        <v>1</v>
      </c>
      <c r="M21" s="76">
        <v>1</v>
      </c>
      <c r="N21" s="76">
        <v>1</v>
      </c>
      <c r="Q21" s="76">
        <f t="shared" ref="Q21:Q24" si="0">SUM(C21:O21)</f>
        <v>11</v>
      </c>
      <c r="R21" s="78">
        <v>110</v>
      </c>
      <c r="S21" s="78">
        <f t="shared" ref="S21:S24" si="1">Q21*R21</f>
        <v>1210</v>
      </c>
      <c r="T21" s="76">
        <v>90</v>
      </c>
      <c r="U21" s="76">
        <f>S21-(T21*Q21)</f>
        <v>220</v>
      </c>
    </row>
    <row r="22" spans="1:22">
      <c r="A22" s="76" t="s">
        <v>44</v>
      </c>
      <c r="B22" s="77" t="s">
        <v>46</v>
      </c>
      <c r="G22" s="76">
        <v>1</v>
      </c>
      <c r="H22" s="76">
        <v>1</v>
      </c>
      <c r="I22" s="76">
        <v>1</v>
      </c>
      <c r="J22" s="76">
        <v>1</v>
      </c>
      <c r="K22" s="76">
        <v>1</v>
      </c>
      <c r="Q22" s="76">
        <f t="shared" si="0"/>
        <v>5</v>
      </c>
      <c r="R22" s="78">
        <v>110</v>
      </c>
      <c r="S22" s="78">
        <f t="shared" si="1"/>
        <v>550</v>
      </c>
      <c r="T22" s="76">
        <v>90</v>
      </c>
      <c r="U22" s="76">
        <f>S22-(T22*Q22)</f>
        <v>100</v>
      </c>
    </row>
    <row r="23" spans="1:22">
      <c r="A23" s="76" t="s">
        <v>44</v>
      </c>
      <c r="B23" s="77" t="s">
        <v>47</v>
      </c>
      <c r="Q23" s="76">
        <f t="shared" si="0"/>
        <v>0</v>
      </c>
      <c r="R23" s="78">
        <v>100</v>
      </c>
      <c r="S23" s="78">
        <f t="shared" si="1"/>
        <v>0</v>
      </c>
      <c r="T23" s="76">
        <v>90</v>
      </c>
      <c r="U23" s="76">
        <f>S23-(T23*Q23)</f>
        <v>0</v>
      </c>
    </row>
    <row r="24" spans="1:22">
      <c r="A24" s="76" t="s">
        <v>44</v>
      </c>
      <c r="B24" s="77" t="s">
        <v>47</v>
      </c>
      <c r="Q24" s="76">
        <f t="shared" si="0"/>
        <v>0</v>
      </c>
      <c r="R24" s="78">
        <v>100</v>
      </c>
      <c r="S24" s="78">
        <f t="shared" si="1"/>
        <v>0</v>
      </c>
      <c r="T24" s="76">
        <v>90</v>
      </c>
      <c r="U24" s="76">
        <f>S24-(T24*Q24)</f>
        <v>0</v>
      </c>
    </row>
    <row r="25" spans="1:22">
      <c r="Q25" s="80">
        <f>SUM(Q20:Q24)</f>
        <v>24</v>
      </c>
      <c r="S25" s="81">
        <f t="shared" ref="S25:U25" si="2">SUM(S20:S24)</f>
        <v>2880</v>
      </c>
      <c r="U25" s="81">
        <f t="shared" si="2"/>
        <v>920</v>
      </c>
      <c r="V25" s="82">
        <f>U25/S25</f>
        <v>0.31944444444444442</v>
      </c>
    </row>
    <row r="26" spans="1:22">
      <c r="S26" s="78">
        <f>S25*1.2</f>
        <v>3456</v>
      </c>
    </row>
    <row r="27" spans="1:22">
      <c r="A27" s="76" t="s">
        <v>44</v>
      </c>
      <c r="B27" s="77" t="s">
        <v>45</v>
      </c>
      <c r="D27" s="76">
        <v>1</v>
      </c>
      <c r="E27" s="76">
        <v>1</v>
      </c>
      <c r="F27" s="76">
        <v>1</v>
      </c>
      <c r="G27" s="76">
        <v>1</v>
      </c>
      <c r="H27" s="76">
        <v>1</v>
      </c>
      <c r="I27" s="76">
        <v>0.5</v>
      </c>
      <c r="J27" s="76">
        <v>0.5</v>
      </c>
      <c r="K27" s="76">
        <v>0.5</v>
      </c>
      <c r="L27" s="76">
        <v>0.5</v>
      </c>
      <c r="M27" s="76">
        <v>0.5</v>
      </c>
      <c r="N27" s="76">
        <v>0.5</v>
      </c>
      <c r="Q27" s="76">
        <f>SUM(C27:O27)</f>
        <v>8</v>
      </c>
      <c r="R27" s="78">
        <v>140</v>
      </c>
      <c r="S27" s="78">
        <f t="shared" ref="S27:S33" si="3">Q27*R27</f>
        <v>1120</v>
      </c>
      <c r="T27" s="76">
        <v>65</v>
      </c>
      <c r="U27" s="76">
        <f t="shared" ref="U27:U33" si="4">S27-(T27*Q27)</f>
        <v>600</v>
      </c>
    </row>
    <row r="28" spans="1:22">
      <c r="A28" s="76" t="s">
        <v>44</v>
      </c>
      <c r="B28" s="77" t="s">
        <v>48</v>
      </c>
      <c r="Q28" s="76">
        <f t="shared" ref="Q28:Q33" si="5">SUM(C28:O28)</f>
        <v>0</v>
      </c>
      <c r="R28" s="78">
        <v>120</v>
      </c>
      <c r="S28" s="78">
        <f t="shared" si="3"/>
        <v>0</v>
      </c>
      <c r="T28" s="76">
        <v>65</v>
      </c>
      <c r="U28" s="76">
        <f t="shared" si="4"/>
        <v>0</v>
      </c>
    </row>
    <row r="29" spans="1:22">
      <c r="A29" s="76" t="s">
        <v>44</v>
      </c>
      <c r="B29" s="77" t="s">
        <v>46</v>
      </c>
      <c r="D29" s="76">
        <v>1</v>
      </c>
      <c r="E29" s="76">
        <v>1</v>
      </c>
      <c r="F29" s="76">
        <v>1</v>
      </c>
      <c r="G29" s="76">
        <v>1</v>
      </c>
      <c r="H29" s="76">
        <v>1</v>
      </c>
      <c r="I29" s="76">
        <v>1</v>
      </c>
      <c r="J29" s="76">
        <v>1</v>
      </c>
      <c r="K29" s="76">
        <v>1</v>
      </c>
      <c r="L29" s="76">
        <v>1</v>
      </c>
      <c r="M29" s="76">
        <v>1</v>
      </c>
      <c r="N29" s="76">
        <v>1</v>
      </c>
      <c r="Q29" s="76">
        <f t="shared" si="5"/>
        <v>11</v>
      </c>
      <c r="R29" s="78">
        <v>110</v>
      </c>
      <c r="S29" s="78">
        <f t="shared" si="3"/>
        <v>1210</v>
      </c>
      <c r="T29" s="76">
        <v>90</v>
      </c>
      <c r="U29" s="76">
        <f t="shared" si="4"/>
        <v>220</v>
      </c>
    </row>
    <row r="30" spans="1:22">
      <c r="A30" s="76" t="s">
        <v>49</v>
      </c>
      <c r="B30" s="77" t="s">
        <v>50</v>
      </c>
      <c r="G30" s="76">
        <v>0.5</v>
      </c>
      <c r="H30" s="76">
        <v>0.5</v>
      </c>
      <c r="I30" s="76">
        <v>0.5</v>
      </c>
      <c r="J30" s="76">
        <v>0.5</v>
      </c>
      <c r="K30" s="76">
        <v>0.5</v>
      </c>
      <c r="L30" s="76">
        <v>0.5</v>
      </c>
      <c r="M30" s="76">
        <v>0.5</v>
      </c>
      <c r="N30" s="76">
        <v>0.5</v>
      </c>
      <c r="Q30" s="76">
        <f>SUM(C30:O30)</f>
        <v>4</v>
      </c>
      <c r="R30" s="78">
        <v>80</v>
      </c>
      <c r="S30" s="78">
        <f t="shared" si="3"/>
        <v>320</v>
      </c>
      <c r="T30" s="76">
        <v>50</v>
      </c>
      <c r="U30" s="76">
        <f t="shared" si="4"/>
        <v>120</v>
      </c>
    </row>
    <row r="31" spans="1:22">
      <c r="A31" s="76" t="s">
        <v>49</v>
      </c>
      <c r="B31" s="77" t="s">
        <v>51</v>
      </c>
      <c r="G31" s="76">
        <v>1</v>
      </c>
      <c r="H31" s="76">
        <v>1</v>
      </c>
      <c r="I31" s="76">
        <v>1</v>
      </c>
      <c r="J31" s="76">
        <v>1</v>
      </c>
      <c r="K31" s="76">
        <v>1</v>
      </c>
      <c r="L31" s="76">
        <v>1</v>
      </c>
      <c r="M31" s="76">
        <v>1</v>
      </c>
      <c r="N31" s="76">
        <v>1</v>
      </c>
      <c r="Q31" s="76">
        <f>SUM(C31:O31)</f>
        <v>8</v>
      </c>
      <c r="R31" s="78">
        <v>70</v>
      </c>
      <c r="S31" s="78">
        <f t="shared" si="3"/>
        <v>560</v>
      </c>
      <c r="T31" s="76">
        <v>35</v>
      </c>
      <c r="U31" s="76">
        <f t="shared" si="4"/>
        <v>280</v>
      </c>
    </row>
    <row r="32" spans="1:22">
      <c r="A32" s="76" t="s">
        <v>49</v>
      </c>
      <c r="B32" s="77" t="s">
        <v>52</v>
      </c>
      <c r="G32" s="76">
        <v>1</v>
      </c>
      <c r="H32" s="76">
        <v>1</v>
      </c>
      <c r="I32" s="76">
        <v>1</v>
      </c>
      <c r="J32" s="76">
        <v>1</v>
      </c>
      <c r="K32" s="76">
        <v>1</v>
      </c>
      <c r="L32" s="76">
        <v>1</v>
      </c>
      <c r="M32" s="76">
        <v>1</v>
      </c>
      <c r="Q32" s="76">
        <f t="shared" si="5"/>
        <v>7</v>
      </c>
      <c r="R32" s="78">
        <v>70</v>
      </c>
      <c r="S32" s="78">
        <f t="shared" si="3"/>
        <v>490</v>
      </c>
      <c r="T32" s="76">
        <v>35</v>
      </c>
      <c r="U32" s="76">
        <f t="shared" si="4"/>
        <v>245</v>
      </c>
    </row>
    <row r="33" spans="1:22">
      <c r="A33" s="76" t="s">
        <v>49</v>
      </c>
      <c r="B33" s="77" t="s">
        <v>52</v>
      </c>
      <c r="Q33" s="76">
        <f t="shared" si="5"/>
        <v>0</v>
      </c>
      <c r="R33" s="78">
        <v>70</v>
      </c>
      <c r="S33" s="78">
        <f t="shared" si="3"/>
        <v>0</v>
      </c>
      <c r="T33" s="76">
        <v>35</v>
      </c>
      <c r="U33" s="76">
        <f t="shared" si="4"/>
        <v>0</v>
      </c>
    </row>
    <row r="34" spans="1:22">
      <c r="Q34" s="80">
        <f>SUM(Q27:Q33)</f>
        <v>38</v>
      </c>
      <c r="S34" s="81">
        <f>SUM(S27:S33)</f>
        <v>3700</v>
      </c>
      <c r="U34" s="81">
        <f>SUM(U27:U33)</f>
        <v>1465</v>
      </c>
      <c r="V34" s="82">
        <f>U34/S34</f>
        <v>0.39594594594594595</v>
      </c>
    </row>
    <row r="35" spans="1:22">
      <c r="S35" s="78">
        <f>S34*1.2</f>
        <v>4440</v>
      </c>
    </row>
  </sheetData>
  <phoneticPr fontId="3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5"/>
  <sheetViews>
    <sheetView view="pageBreakPreview" zoomScaleNormal="100" zoomScaleSheetLayoutView="100" workbookViewId="0">
      <selection activeCell="D7" sqref="D7"/>
    </sheetView>
  </sheetViews>
  <sheetFormatPr defaultRowHeight="18.75"/>
  <cols>
    <col min="1" max="1" width="3.875" bestFit="1" customWidth="1"/>
    <col min="2" max="2" width="28.625" customWidth="1"/>
    <col min="3" max="3" width="18.75" customWidth="1"/>
    <col min="4" max="4" width="19.125" customWidth="1"/>
    <col min="5" max="5" width="20.875" customWidth="1"/>
    <col min="6" max="6" width="7.75" customWidth="1"/>
    <col min="7" max="7" width="55" customWidth="1"/>
    <col min="8" max="9" width="7.75" customWidth="1"/>
    <col min="15" max="15" width="11.5" customWidth="1"/>
    <col min="16" max="16" width="14" customWidth="1"/>
    <col min="18" max="18" width="9.5" bestFit="1" customWidth="1"/>
    <col min="20" max="20" width="43.75" customWidth="1"/>
  </cols>
  <sheetData>
    <row r="1" spans="1:20" ht="19.5" thickBot="1"/>
    <row r="2" spans="1:20">
      <c r="A2" s="86" t="s">
        <v>53</v>
      </c>
      <c r="B2" s="87" t="s">
        <v>54</v>
      </c>
      <c r="C2" s="90" t="s">
        <v>55</v>
      </c>
      <c r="D2" s="91"/>
      <c r="E2" s="89"/>
      <c r="F2" s="87" t="s">
        <v>56</v>
      </c>
      <c r="G2" s="96" t="s">
        <v>57</v>
      </c>
      <c r="H2" s="87" t="s">
        <v>58</v>
      </c>
      <c r="I2" s="87" t="s">
        <v>59</v>
      </c>
      <c r="J2" s="88" t="s">
        <v>60</v>
      </c>
      <c r="K2" s="87" t="s">
        <v>61</v>
      </c>
      <c r="L2" s="87"/>
      <c r="M2" s="87"/>
      <c r="N2" s="87"/>
      <c r="O2" s="87"/>
      <c r="P2" s="87"/>
      <c r="Q2" s="87"/>
      <c r="R2" s="92" t="s">
        <v>62</v>
      </c>
      <c r="S2" s="94" t="s">
        <v>63</v>
      </c>
      <c r="T2" s="89" t="s">
        <v>64</v>
      </c>
    </row>
    <row r="3" spans="1:20">
      <c r="A3" s="86"/>
      <c r="B3" s="87"/>
      <c r="C3" s="1" t="s">
        <v>65</v>
      </c>
      <c r="D3" s="1" t="s">
        <v>66</v>
      </c>
      <c r="E3" s="1" t="s">
        <v>67</v>
      </c>
      <c r="F3" s="87"/>
      <c r="G3" s="97"/>
      <c r="H3" s="87"/>
      <c r="I3" s="87"/>
      <c r="J3" s="88"/>
      <c r="K3" s="1" t="s">
        <v>68</v>
      </c>
      <c r="L3" s="1" t="s">
        <v>69</v>
      </c>
      <c r="M3" s="1" t="s">
        <v>70</v>
      </c>
      <c r="N3" s="1" t="s">
        <v>69</v>
      </c>
      <c r="O3" s="1" t="s">
        <v>71</v>
      </c>
      <c r="P3" s="1" t="s">
        <v>72</v>
      </c>
      <c r="Q3" s="1" t="s">
        <v>73</v>
      </c>
      <c r="R3" s="93"/>
      <c r="S3" s="95"/>
      <c r="T3" s="89"/>
    </row>
    <row r="4" spans="1:20">
      <c r="A4" s="98" t="s">
        <v>74</v>
      </c>
      <c r="B4" s="99"/>
      <c r="C4" s="99"/>
      <c r="D4" s="99"/>
      <c r="E4" s="99"/>
      <c r="F4" s="99"/>
      <c r="G4" s="99"/>
      <c r="H4" s="99"/>
      <c r="I4" s="99"/>
      <c r="J4" s="100"/>
      <c r="K4" s="2">
        <f>積算基準!D58</f>
        <v>1</v>
      </c>
      <c r="L4" s="2"/>
      <c r="M4" s="2">
        <f>積算基準!E58</f>
        <v>3.125</v>
      </c>
      <c r="N4" s="2"/>
      <c r="O4" s="2">
        <f>積算基準!F58</f>
        <v>3.25</v>
      </c>
      <c r="P4" s="2">
        <f>積算基準!G58</f>
        <v>2.625</v>
      </c>
      <c r="Q4" s="2">
        <f>積算基準!H58</f>
        <v>0.375</v>
      </c>
      <c r="R4" s="3"/>
      <c r="S4" s="13"/>
      <c r="T4" s="4"/>
    </row>
    <row r="5" spans="1:20">
      <c r="A5" s="69">
        <f t="shared" ref="A5:A25" si="0">ROW()-4</f>
        <v>1</v>
      </c>
      <c r="B5" s="70" t="s">
        <v>75</v>
      </c>
      <c r="C5" s="70" t="s">
        <v>76</v>
      </c>
      <c r="D5" s="70" t="s">
        <v>77</v>
      </c>
      <c r="E5" s="70"/>
      <c r="F5" s="71" t="s">
        <v>78</v>
      </c>
      <c r="G5" s="72" t="s">
        <v>79</v>
      </c>
      <c r="H5" s="71"/>
      <c r="I5" s="7" t="s">
        <v>80</v>
      </c>
      <c r="J5" s="73" t="s">
        <v>81</v>
      </c>
      <c r="K5" s="38">
        <f t="shared" ref="K5:M25" si="1">CEILING(IF($J5="新規", IF($I5="特高", K$4*特高係数,IF($I5="高",K$4*高係数,IF($I5="中",K$4*中係数,IF($I5="低",K$4*低係数, IF($I5="特低",K$4*特低係数, 0))))),
 IF($I5="特高", K$4*特高係数,IF($I5="高",K$4*高係数,IF($I5="中",K$4*中係数,IF($I5="低",K$4*低係数, IF($I5="特低",K$4*特低係数, 0)))))),0.125)</f>
        <v>2.625</v>
      </c>
      <c r="L5" s="38">
        <f>K5*0.2</f>
        <v>0.52500000000000002</v>
      </c>
      <c r="M5" s="38">
        <f t="shared" si="1"/>
        <v>8.125</v>
      </c>
      <c r="N5" s="38">
        <v>0.52500000000000002</v>
      </c>
      <c r="O5" s="38">
        <f t="shared" ref="O5:Q25" si="2">CEILING(IF($J5="新規", IF($I5="特高", O$4*特高係数,IF($I5="高",O$4*高係数,IF($I5="中",O$4*中係数,IF($I5="低",O$4*低係数, IF($I5="特低",O$4*特低係数, 0))))),
 IF($I5="特高", O$4*特高係数,IF($I5="高",O$4*高係数,IF($I5="中",O$4*中係数,IF($I5="低",O$4*低係数, IF($I5="特低",O$4*特低係数, 0)))))),0.125)</f>
        <v>8.5</v>
      </c>
      <c r="P5" s="38">
        <f t="shared" si="2"/>
        <v>6.875</v>
      </c>
      <c r="Q5" s="38">
        <f t="shared" si="2"/>
        <v>1</v>
      </c>
      <c r="R5" s="9">
        <f>SUM(K5:Q5)</f>
        <v>28.175000000000001</v>
      </c>
      <c r="S5" s="14">
        <f>R5/20</f>
        <v>1.4087499999999999</v>
      </c>
      <c r="T5" s="10"/>
    </row>
    <row r="6" spans="1:20" ht="36">
      <c r="A6" s="5">
        <f t="shared" si="0"/>
        <v>2</v>
      </c>
      <c r="B6" s="6"/>
      <c r="C6" s="6"/>
      <c r="D6" s="6" t="s">
        <v>82</v>
      </c>
      <c r="E6" s="6"/>
      <c r="F6" s="7" t="s">
        <v>78</v>
      </c>
      <c r="G6" s="68" t="s">
        <v>83</v>
      </c>
      <c r="H6" s="7"/>
      <c r="I6" s="7" t="s">
        <v>80</v>
      </c>
      <c r="J6" s="7" t="s">
        <v>81</v>
      </c>
      <c r="K6" s="8">
        <f t="shared" si="1"/>
        <v>2.625</v>
      </c>
      <c r="L6" s="8">
        <f>K6*0.2</f>
        <v>0.52500000000000002</v>
      </c>
      <c r="M6" s="8">
        <f t="shared" si="1"/>
        <v>8.125</v>
      </c>
      <c r="N6" s="8">
        <v>0.52500000000000002</v>
      </c>
      <c r="O6" s="8">
        <f t="shared" si="2"/>
        <v>8.5</v>
      </c>
      <c r="P6" s="8">
        <f t="shared" si="2"/>
        <v>6.875</v>
      </c>
      <c r="Q6" s="39">
        <f t="shared" si="2"/>
        <v>1</v>
      </c>
      <c r="R6" s="11">
        <f>SUM(K6:Q6)</f>
        <v>28.175000000000001</v>
      </c>
      <c r="S6" s="15">
        <f>R6/20</f>
        <v>1.4087499999999999</v>
      </c>
      <c r="T6" s="12"/>
    </row>
    <row r="7" spans="1:20">
      <c r="A7" s="5">
        <f t="shared" si="0"/>
        <v>3</v>
      </c>
      <c r="B7" s="6"/>
      <c r="C7" s="6"/>
      <c r="D7" s="6" t="s">
        <v>84</v>
      </c>
      <c r="E7" s="6"/>
      <c r="F7" s="7" t="s">
        <v>78</v>
      </c>
      <c r="G7" s="67" t="s">
        <v>85</v>
      </c>
      <c r="H7" s="7"/>
      <c r="I7" s="7" t="s">
        <v>86</v>
      </c>
      <c r="J7" s="7" t="s">
        <v>81</v>
      </c>
      <c r="K7" s="8">
        <f t="shared" si="1"/>
        <v>2</v>
      </c>
      <c r="L7" s="8">
        <f t="shared" ref="L7:L25" si="3">K7*0.2</f>
        <v>0.4</v>
      </c>
      <c r="M7" s="8">
        <f t="shared" si="1"/>
        <v>6.25</v>
      </c>
      <c r="N7" s="8">
        <v>0.52500000000000002</v>
      </c>
      <c r="O7" s="8">
        <f t="shared" si="2"/>
        <v>6.5</v>
      </c>
      <c r="P7" s="8">
        <f t="shared" si="2"/>
        <v>5.25</v>
      </c>
      <c r="Q7" s="39">
        <f t="shared" si="2"/>
        <v>0.75</v>
      </c>
      <c r="R7" s="11">
        <f t="shared" ref="R7:R25" si="4">SUM(K7:Q7)</f>
        <v>21.675000000000001</v>
      </c>
      <c r="S7" s="15">
        <f t="shared" ref="S7:S25" si="5">R7/20</f>
        <v>1.08375</v>
      </c>
      <c r="T7" s="12"/>
    </row>
    <row r="8" spans="1:20">
      <c r="A8" s="5">
        <f t="shared" si="0"/>
        <v>4</v>
      </c>
      <c r="B8" s="6"/>
      <c r="C8" s="6" t="s">
        <v>87</v>
      </c>
      <c r="D8" s="6" t="s">
        <v>88</v>
      </c>
      <c r="E8" s="6"/>
      <c r="F8" s="7" t="s">
        <v>89</v>
      </c>
      <c r="G8" s="68" t="s">
        <v>90</v>
      </c>
      <c r="H8" s="7"/>
      <c r="I8" s="7" t="s">
        <v>91</v>
      </c>
      <c r="J8" s="7" t="s">
        <v>81</v>
      </c>
      <c r="K8" s="8">
        <f t="shared" si="1"/>
        <v>0.75</v>
      </c>
      <c r="L8" s="8">
        <f t="shared" si="3"/>
        <v>0.15000000000000002</v>
      </c>
      <c r="M8" s="8">
        <f t="shared" si="1"/>
        <v>2.25</v>
      </c>
      <c r="N8" s="8">
        <v>0.52500000000000002</v>
      </c>
      <c r="O8" s="8">
        <f t="shared" si="2"/>
        <v>2.375</v>
      </c>
      <c r="P8" s="8">
        <f t="shared" si="2"/>
        <v>1.875</v>
      </c>
      <c r="Q8" s="39">
        <f t="shared" si="2"/>
        <v>0.375</v>
      </c>
      <c r="R8" s="11">
        <f t="shared" si="4"/>
        <v>8.3000000000000007</v>
      </c>
      <c r="S8" s="15">
        <f t="shared" si="5"/>
        <v>0.41500000000000004</v>
      </c>
      <c r="T8" s="12"/>
    </row>
    <row r="9" spans="1:20" ht="48">
      <c r="A9" s="5">
        <f t="shared" si="0"/>
        <v>5</v>
      </c>
      <c r="B9" s="6"/>
      <c r="C9" s="75" t="s">
        <v>92</v>
      </c>
      <c r="D9" s="6" t="s">
        <v>93</v>
      </c>
      <c r="E9" s="6"/>
      <c r="F9" s="7" t="s">
        <v>89</v>
      </c>
      <c r="G9" s="68" t="s">
        <v>94</v>
      </c>
      <c r="H9" s="7"/>
      <c r="I9" s="7" t="s">
        <v>86</v>
      </c>
      <c r="J9" s="7" t="s">
        <v>81</v>
      </c>
      <c r="K9" s="8">
        <f t="shared" si="1"/>
        <v>2</v>
      </c>
      <c r="L9" s="8">
        <f t="shared" si="3"/>
        <v>0.4</v>
      </c>
      <c r="M9" s="8">
        <f t="shared" si="1"/>
        <v>6.25</v>
      </c>
      <c r="N9" s="8">
        <v>0.52500000000000002</v>
      </c>
      <c r="O9" s="8">
        <f t="shared" si="2"/>
        <v>6.5</v>
      </c>
      <c r="P9" s="8">
        <f t="shared" si="2"/>
        <v>5.25</v>
      </c>
      <c r="Q9" s="39">
        <f t="shared" si="2"/>
        <v>0.75</v>
      </c>
      <c r="R9" s="11">
        <f t="shared" si="4"/>
        <v>21.675000000000001</v>
      </c>
      <c r="S9" s="15">
        <f t="shared" si="5"/>
        <v>1.08375</v>
      </c>
      <c r="T9" s="12"/>
    </row>
    <row r="10" spans="1:20" ht="189" customHeight="1">
      <c r="A10" s="5">
        <f t="shared" si="0"/>
        <v>6</v>
      </c>
      <c r="B10" s="6"/>
      <c r="C10" s="6"/>
      <c r="D10" s="6" t="s">
        <v>95</v>
      </c>
      <c r="E10" s="6"/>
      <c r="F10" s="7" t="s">
        <v>78</v>
      </c>
      <c r="G10" s="68" t="s">
        <v>96</v>
      </c>
      <c r="H10" s="7"/>
      <c r="I10" s="7" t="s">
        <v>80</v>
      </c>
      <c r="J10" s="7" t="s">
        <v>81</v>
      </c>
      <c r="K10" s="8">
        <f t="shared" si="1"/>
        <v>2.625</v>
      </c>
      <c r="L10" s="8">
        <f t="shared" ref="L10" si="6">K10*0.2</f>
        <v>0.52500000000000002</v>
      </c>
      <c r="M10" s="8">
        <f t="shared" si="1"/>
        <v>8.125</v>
      </c>
      <c r="N10" s="8">
        <v>0.32500000000000001</v>
      </c>
      <c r="O10" s="8">
        <f t="shared" si="2"/>
        <v>8.5</v>
      </c>
      <c r="P10" s="8">
        <f t="shared" si="2"/>
        <v>6.875</v>
      </c>
      <c r="Q10" s="39">
        <f t="shared" si="2"/>
        <v>1</v>
      </c>
      <c r="R10" s="11">
        <f t="shared" ref="R10" si="7">SUM(K10:Q10)</f>
        <v>27.975000000000001</v>
      </c>
      <c r="S10" s="15">
        <f t="shared" ref="S10" si="8">R10/20</f>
        <v>1.3987500000000002</v>
      </c>
      <c r="T10" s="12"/>
    </row>
    <row r="11" spans="1:20" ht="29.25" customHeight="1">
      <c r="A11" s="5">
        <f t="shared" si="0"/>
        <v>7</v>
      </c>
      <c r="B11" s="6"/>
      <c r="C11" s="75" t="s">
        <v>97</v>
      </c>
      <c r="D11" s="6" t="s">
        <v>93</v>
      </c>
      <c r="E11" s="6"/>
      <c r="F11" s="7" t="s">
        <v>89</v>
      </c>
      <c r="G11" s="68" t="s">
        <v>98</v>
      </c>
      <c r="H11" s="7"/>
      <c r="I11" s="7" t="s">
        <v>99</v>
      </c>
      <c r="J11" s="7" t="s">
        <v>81</v>
      </c>
      <c r="K11" s="8">
        <f t="shared" si="1"/>
        <v>0.375</v>
      </c>
      <c r="L11" s="8">
        <f t="shared" si="3"/>
        <v>7.5000000000000011E-2</v>
      </c>
      <c r="M11" s="8">
        <f t="shared" si="1"/>
        <v>1</v>
      </c>
      <c r="N11" s="8">
        <v>0.15000000000000002</v>
      </c>
      <c r="O11" s="8">
        <f t="shared" si="2"/>
        <v>1</v>
      </c>
      <c r="P11" s="8">
        <f t="shared" si="2"/>
        <v>0.875</v>
      </c>
      <c r="Q11" s="39">
        <f t="shared" si="2"/>
        <v>0.125</v>
      </c>
      <c r="R11" s="11">
        <f t="shared" si="4"/>
        <v>3.6</v>
      </c>
      <c r="S11" s="15">
        <f t="shared" si="5"/>
        <v>0.18</v>
      </c>
      <c r="T11" s="12"/>
    </row>
    <row r="12" spans="1:20">
      <c r="A12" s="5">
        <f t="shared" si="0"/>
        <v>8</v>
      </c>
      <c r="B12" s="6"/>
      <c r="C12" s="6"/>
      <c r="D12" s="6" t="s">
        <v>95</v>
      </c>
      <c r="E12" s="6"/>
      <c r="F12" s="7" t="s">
        <v>89</v>
      </c>
      <c r="G12" s="68" t="s">
        <v>98</v>
      </c>
      <c r="H12" s="7"/>
      <c r="I12" s="7" t="s">
        <v>99</v>
      </c>
      <c r="J12" s="7" t="s">
        <v>81</v>
      </c>
      <c r="K12" s="8">
        <f t="shared" si="1"/>
        <v>0.375</v>
      </c>
      <c r="L12" s="8">
        <f t="shared" ref="L12" si="9">K12*0.2</f>
        <v>7.5000000000000011E-2</v>
      </c>
      <c r="M12" s="8">
        <f t="shared" si="1"/>
        <v>1</v>
      </c>
      <c r="N12" s="8">
        <v>0.32500000000000001</v>
      </c>
      <c r="O12" s="8">
        <f t="shared" si="2"/>
        <v>1</v>
      </c>
      <c r="P12" s="8">
        <f t="shared" si="2"/>
        <v>0.875</v>
      </c>
      <c r="Q12" s="39">
        <f t="shared" si="2"/>
        <v>0.125</v>
      </c>
      <c r="R12" s="11">
        <f t="shared" ref="R12" si="10">SUM(K12:Q12)</f>
        <v>3.7749999999999999</v>
      </c>
      <c r="S12" s="15">
        <f t="shared" ref="S12" si="11">R12/20</f>
        <v>0.18875</v>
      </c>
      <c r="T12" s="12"/>
    </row>
    <row r="13" spans="1:20" ht="60">
      <c r="A13" s="5">
        <f t="shared" si="0"/>
        <v>9</v>
      </c>
      <c r="B13" s="6"/>
      <c r="C13" s="6"/>
      <c r="D13" s="6" t="s">
        <v>100</v>
      </c>
      <c r="E13" s="6"/>
      <c r="F13" s="7" t="s">
        <v>89</v>
      </c>
      <c r="G13" s="68" t="s">
        <v>101</v>
      </c>
      <c r="H13" s="7"/>
      <c r="I13" s="7" t="s">
        <v>80</v>
      </c>
      <c r="J13" s="7" t="s">
        <v>81</v>
      </c>
      <c r="K13" s="8">
        <f t="shared" si="1"/>
        <v>2.625</v>
      </c>
      <c r="L13" s="8">
        <f t="shared" si="3"/>
        <v>0.52500000000000002</v>
      </c>
      <c r="M13" s="8">
        <f t="shared" si="1"/>
        <v>8.125</v>
      </c>
      <c r="N13" s="8">
        <v>0.32500000000000001</v>
      </c>
      <c r="O13" s="8">
        <f t="shared" si="2"/>
        <v>8.5</v>
      </c>
      <c r="P13" s="8">
        <f t="shared" si="2"/>
        <v>6.875</v>
      </c>
      <c r="Q13" s="39">
        <f t="shared" si="2"/>
        <v>1</v>
      </c>
      <c r="R13" s="11">
        <f t="shared" si="4"/>
        <v>27.975000000000001</v>
      </c>
      <c r="S13" s="15">
        <f t="shared" si="5"/>
        <v>1.3987500000000002</v>
      </c>
      <c r="T13" s="12"/>
    </row>
    <row r="14" spans="1:20" ht="24">
      <c r="A14" s="5">
        <f t="shared" si="0"/>
        <v>10</v>
      </c>
      <c r="B14" s="6"/>
      <c r="C14" s="75" t="s">
        <v>102</v>
      </c>
      <c r="D14" s="6" t="s">
        <v>93</v>
      </c>
      <c r="E14" s="6"/>
      <c r="F14" s="7" t="s">
        <v>89</v>
      </c>
      <c r="G14" s="68" t="s">
        <v>103</v>
      </c>
      <c r="H14" s="7"/>
      <c r="I14" s="7" t="s">
        <v>99</v>
      </c>
      <c r="J14" s="7" t="s">
        <v>81</v>
      </c>
      <c r="K14" s="8">
        <f t="shared" si="1"/>
        <v>0.375</v>
      </c>
      <c r="L14" s="8">
        <f t="shared" si="3"/>
        <v>7.5000000000000011E-2</v>
      </c>
      <c r="M14" s="8">
        <f t="shared" si="1"/>
        <v>1</v>
      </c>
      <c r="N14" s="8">
        <v>0.52500000000000002</v>
      </c>
      <c r="O14" s="8">
        <f t="shared" si="2"/>
        <v>1</v>
      </c>
      <c r="P14" s="8">
        <f t="shared" si="2"/>
        <v>0.875</v>
      </c>
      <c r="Q14" s="39">
        <f t="shared" si="2"/>
        <v>0.125</v>
      </c>
      <c r="R14" s="11">
        <f t="shared" si="4"/>
        <v>3.9750000000000001</v>
      </c>
      <c r="S14" s="15">
        <f t="shared" si="5"/>
        <v>0.19875000000000001</v>
      </c>
      <c r="T14" s="12"/>
    </row>
    <row r="15" spans="1:20">
      <c r="A15" s="5">
        <f t="shared" si="0"/>
        <v>11</v>
      </c>
      <c r="B15" s="6"/>
      <c r="C15" s="6"/>
      <c r="D15" s="6" t="s">
        <v>95</v>
      </c>
      <c r="E15" s="6"/>
      <c r="F15" s="7" t="s">
        <v>89</v>
      </c>
      <c r="G15" s="68" t="s">
        <v>103</v>
      </c>
      <c r="H15" s="7"/>
      <c r="I15" s="7" t="s">
        <v>99</v>
      </c>
      <c r="J15" s="7" t="s">
        <v>81</v>
      </c>
      <c r="K15" s="8">
        <f t="shared" si="1"/>
        <v>0.375</v>
      </c>
      <c r="L15" s="8">
        <f t="shared" si="3"/>
        <v>7.5000000000000011E-2</v>
      </c>
      <c r="M15" s="8">
        <f t="shared" si="1"/>
        <v>1</v>
      </c>
      <c r="N15" s="8">
        <v>0.52500000000000002</v>
      </c>
      <c r="O15" s="8">
        <f t="shared" si="2"/>
        <v>1</v>
      </c>
      <c r="P15" s="8">
        <f t="shared" si="2"/>
        <v>0.875</v>
      </c>
      <c r="Q15" s="39">
        <f t="shared" si="2"/>
        <v>0.125</v>
      </c>
      <c r="R15" s="11">
        <f t="shared" si="4"/>
        <v>3.9750000000000001</v>
      </c>
      <c r="S15" s="15">
        <f t="shared" si="5"/>
        <v>0.19875000000000001</v>
      </c>
      <c r="T15" s="12"/>
    </row>
    <row r="16" spans="1:20">
      <c r="A16" s="5">
        <f t="shared" si="0"/>
        <v>12</v>
      </c>
      <c r="B16" s="6"/>
      <c r="C16" s="6"/>
      <c r="D16" s="6" t="s">
        <v>100</v>
      </c>
      <c r="E16" s="6"/>
      <c r="F16" s="7" t="s">
        <v>89</v>
      </c>
      <c r="G16" s="68" t="s">
        <v>103</v>
      </c>
      <c r="H16" s="7"/>
      <c r="I16" s="7" t="s">
        <v>99</v>
      </c>
      <c r="J16" s="7" t="s">
        <v>81</v>
      </c>
      <c r="K16" s="8">
        <f t="shared" si="1"/>
        <v>0.375</v>
      </c>
      <c r="L16" s="8">
        <f t="shared" ref="L16" si="12">K16*0.2</f>
        <v>7.5000000000000011E-2</v>
      </c>
      <c r="M16" s="8">
        <f t="shared" si="1"/>
        <v>1</v>
      </c>
      <c r="N16" s="8">
        <v>0.32500000000000001</v>
      </c>
      <c r="O16" s="8">
        <f t="shared" si="2"/>
        <v>1</v>
      </c>
      <c r="P16" s="8">
        <f t="shared" si="2"/>
        <v>0.875</v>
      </c>
      <c r="Q16" s="39">
        <f t="shared" si="2"/>
        <v>0.125</v>
      </c>
      <c r="R16" s="11">
        <f t="shared" ref="R16" si="13">SUM(K16:Q16)</f>
        <v>3.7749999999999999</v>
      </c>
      <c r="S16" s="15">
        <f t="shared" ref="S16" si="14">R16/20</f>
        <v>0.18875</v>
      </c>
      <c r="T16" s="12"/>
    </row>
    <row r="17" spans="1:20" ht="60">
      <c r="A17" s="5">
        <f t="shared" si="0"/>
        <v>13</v>
      </c>
      <c r="B17" s="6"/>
      <c r="C17" s="6"/>
      <c r="D17" s="6" t="s">
        <v>104</v>
      </c>
      <c r="E17" s="6"/>
      <c r="F17" s="7" t="s">
        <v>89</v>
      </c>
      <c r="G17" s="68" t="s">
        <v>105</v>
      </c>
      <c r="H17" s="7"/>
      <c r="I17" s="7" t="s">
        <v>80</v>
      </c>
      <c r="J17" s="7" t="s">
        <v>81</v>
      </c>
      <c r="K17" s="8">
        <f t="shared" si="1"/>
        <v>2.625</v>
      </c>
      <c r="L17" s="8">
        <f t="shared" si="3"/>
        <v>0.52500000000000002</v>
      </c>
      <c r="M17" s="8">
        <f t="shared" si="1"/>
        <v>8.125</v>
      </c>
      <c r="N17" s="8">
        <v>0.32500000000000001</v>
      </c>
      <c r="O17" s="8">
        <f t="shared" si="2"/>
        <v>8.5</v>
      </c>
      <c r="P17" s="8">
        <f t="shared" si="2"/>
        <v>6.875</v>
      </c>
      <c r="Q17" s="39">
        <f t="shared" si="2"/>
        <v>1</v>
      </c>
      <c r="R17" s="11">
        <f t="shared" si="4"/>
        <v>27.975000000000001</v>
      </c>
      <c r="S17" s="15">
        <f t="shared" si="5"/>
        <v>1.3987500000000002</v>
      </c>
      <c r="T17" s="12"/>
    </row>
    <row r="18" spans="1:20" ht="36">
      <c r="A18" s="5">
        <f t="shared" si="0"/>
        <v>14</v>
      </c>
      <c r="B18" s="6"/>
      <c r="C18" s="75" t="s">
        <v>106</v>
      </c>
      <c r="D18" s="6" t="s">
        <v>107</v>
      </c>
      <c r="E18" s="6"/>
      <c r="F18" s="7" t="s">
        <v>78</v>
      </c>
      <c r="G18" s="68" t="s">
        <v>108</v>
      </c>
      <c r="H18" s="7"/>
      <c r="I18" s="7" t="s">
        <v>86</v>
      </c>
      <c r="J18" s="7" t="s">
        <v>81</v>
      </c>
      <c r="K18" s="8">
        <f t="shared" si="1"/>
        <v>2</v>
      </c>
      <c r="L18" s="8">
        <f t="shared" si="3"/>
        <v>0.4</v>
      </c>
      <c r="M18" s="8">
        <f t="shared" si="1"/>
        <v>6.25</v>
      </c>
      <c r="N18" s="8">
        <v>0.32500000000000001</v>
      </c>
      <c r="O18" s="8">
        <f t="shared" si="2"/>
        <v>6.5</v>
      </c>
      <c r="P18" s="8">
        <f t="shared" si="2"/>
        <v>5.25</v>
      </c>
      <c r="Q18" s="39">
        <f t="shared" si="2"/>
        <v>0.75</v>
      </c>
      <c r="R18" s="11">
        <f t="shared" si="4"/>
        <v>21.475000000000001</v>
      </c>
      <c r="S18" s="15">
        <f t="shared" si="5"/>
        <v>1.07375</v>
      </c>
      <c r="T18" s="12"/>
    </row>
    <row r="19" spans="1:20" ht="72">
      <c r="A19" s="5">
        <f t="shared" si="0"/>
        <v>15</v>
      </c>
      <c r="B19" s="6"/>
      <c r="C19" s="6" t="s">
        <v>109</v>
      </c>
      <c r="D19" s="6" t="s">
        <v>110</v>
      </c>
      <c r="E19" s="6"/>
      <c r="F19" s="7" t="s">
        <v>89</v>
      </c>
      <c r="G19" s="68" t="s">
        <v>111</v>
      </c>
      <c r="H19" s="7"/>
      <c r="I19" s="7" t="s">
        <v>112</v>
      </c>
      <c r="J19" s="7" t="s">
        <v>81</v>
      </c>
      <c r="K19" s="8">
        <f t="shared" si="1"/>
        <v>0.75</v>
      </c>
      <c r="L19" s="8">
        <f t="shared" ref="L19" si="15">K19*0.2</f>
        <v>0.15000000000000002</v>
      </c>
      <c r="M19" s="8">
        <f t="shared" si="1"/>
        <v>2.25</v>
      </c>
      <c r="N19" s="8">
        <v>0.4</v>
      </c>
      <c r="O19" s="8">
        <f t="shared" si="2"/>
        <v>2.375</v>
      </c>
      <c r="P19" s="8">
        <f t="shared" si="2"/>
        <v>1.875</v>
      </c>
      <c r="Q19" s="39">
        <f t="shared" si="2"/>
        <v>0.375</v>
      </c>
      <c r="R19" s="11">
        <f t="shared" ref="R19" si="16">SUM(K19:Q19)</f>
        <v>8.1750000000000007</v>
      </c>
      <c r="S19" s="15">
        <f t="shared" ref="S19" si="17">R19/20</f>
        <v>0.40875000000000006</v>
      </c>
      <c r="T19" s="12"/>
    </row>
    <row r="20" spans="1:20" ht="60">
      <c r="A20" s="5">
        <f t="shared" si="0"/>
        <v>16</v>
      </c>
      <c r="B20" s="6"/>
      <c r="C20" s="6"/>
      <c r="D20" s="6" t="s">
        <v>113</v>
      </c>
      <c r="E20" s="6"/>
      <c r="F20" s="7" t="s">
        <v>89</v>
      </c>
      <c r="G20" s="68" t="s">
        <v>114</v>
      </c>
      <c r="H20" s="7"/>
      <c r="I20" s="7" t="s">
        <v>112</v>
      </c>
      <c r="J20" s="7" t="s">
        <v>81</v>
      </c>
      <c r="K20" s="8">
        <f t="shared" si="1"/>
        <v>0.75</v>
      </c>
      <c r="L20" s="8">
        <f t="shared" ref="L20:L23" si="18">K20*0.2</f>
        <v>0.15000000000000002</v>
      </c>
      <c r="M20" s="8">
        <f t="shared" si="1"/>
        <v>2.25</v>
      </c>
      <c r="N20" s="8">
        <v>0.4</v>
      </c>
      <c r="O20" s="8">
        <f t="shared" si="2"/>
        <v>2.375</v>
      </c>
      <c r="P20" s="8">
        <f t="shared" si="2"/>
        <v>1.875</v>
      </c>
      <c r="Q20" s="39">
        <f t="shared" si="2"/>
        <v>0.375</v>
      </c>
      <c r="R20" s="11">
        <f t="shared" ref="R20:R23" si="19">SUM(K20:Q20)</f>
        <v>8.1750000000000007</v>
      </c>
      <c r="S20" s="15">
        <f t="shared" ref="S20:S23" si="20">R20/20</f>
        <v>0.40875000000000006</v>
      </c>
      <c r="T20" s="12"/>
    </row>
    <row r="21" spans="1:20" ht="60">
      <c r="A21" s="5">
        <f t="shared" si="0"/>
        <v>17</v>
      </c>
      <c r="B21" s="6"/>
      <c r="C21" s="6"/>
      <c r="D21" s="6" t="s">
        <v>115</v>
      </c>
      <c r="E21" s="6"/>
      <c r="F21" s="7" t="s">
        <v>89</v>
      </c>
      <c r="G21" s="68" t="s">
        <v>116</v>
      </c>
      <c r="H21" s="7"/>
      <c r="I21" s="7" t="s">
        <v>112</v>
      </c>
      <c r="J21" s="7" t="s">
        <v>81</v>
      </c>
      <c r="K21" s="8">
        <f t="shared" si="1"/>
        <v>0.75</v>
      </c>
      <c r="L21" s="8">
        <f t="shared" si="18"/>
        <v>0.15000000000000002</v>
      </c>
      <c r="M21" s="8">
        <f t="shared" si="1"/>
        <v>2.25</v>
      </c>
      <c r="N21" s="8">
        <v>0.32500000000000001</v>
      </c>
      <c r="O21" s="8">
        <f t="shared" si="2"/>
        <v>2.375</v>
      </c>
      <c r="P21" s="8">
        <f t="shared" si="2"/>
        <v>1.875</v>
      </c>
      <c r="Q21" s="39">
        <f t="shared" si="2"/>
        <v>0.375</v>
      </c>
      <c r="R21" s="11">
        <f t="shared" si="19"/>
        <v>8.1</v>
      </c>
      <c r="S21" s="15">
        <f t="shared" si="20"/>
        <v>0.40499999999999997</v>
      </c>
      <c r="T21" s="12"/>
    </row>
    <row r="22" spans="1:20" ht="48">
      <c r="A22" s="5">
        <f t="shared" si="0"/>
        <v>18</v>
      </c>
      <c r="B22" s="6"/>
      <c r="C22" s="6"/>
      <c r="D22" s="6" t="s">
        <v>117</v>
      </c>
      <c r="E22" s="6"/>
      <c r="F22" s="7" t="s">
        <v>89</v>
      </c>
      <c r="G22" s="68" t="s">
        <v>118</v>
      </c>
      <c r="H22" s="7"/>
      <c r="I22" s="7" t="s">
        <v>112</v>
      </c>
      <c r="J22" s="7" t="s">
        <v>81</v>
      </c>
      <c r="K22" s="8">
        <f t="shared" si="1"/>
        <v>0.75</v>
      </c>
      <c r="L22" s="8">
        <f t="shared" ref="L22" si="21">K22*0.2</f>
        <v>0.15000000000000002</v>
      </c>
      <c r="M22" s="8">
        <f t="shared" si="1"/>
        <v>2.25</v>
      </c>
      <c r="N22" s="8">
        <v>0.32500000000000001</v>
      </c>
      <c r="O22" s="8">
        <f t="shared" si="2"/>
        <v>2.375</v>
      </c>
      <c r="P22" s="8">
        <f t="shared" si="2"/>
        <v>1.875</v>
      </c>
      <c r="Q22" s="39">
        <f t="shared" si="2"/>
        <v>0.375</v>
      </c>
      <c r="R22" s="11">
        <f t="shared" ref="R22" si="22">SUM(K22:Q22)</f>
        <v>8.1</v>
      </c>
      <c r="S22" s="15">
        <f t="shared" ref="S22" si="23">R22/20</f>
        <v>0.40499999999999997</v>
      </c>
      <c r="T22" s="12"/>
    </row>
    <row r="23" spans="1:20" ht="24">
      <c r="A23" s="5">
        <f t="shared" si="0"/>
        <v>19</v>
      </c>
      <c r="B23" s="6"/>
      <c r="C23" s="6"/>
      <c r="D23" s="6" t="s">
        <v>119</v>
      </c>
      <c r="E23" s="6"/>
      <c r="F23" s="7" t="s">
        <v>89</v>
      </c>
      <c r="G23" s="68" t="s">
        <v>120</v>
      </c>
      <c r="H23" s="7"/>
      <c r="I23" s="7" t="s">
        <v>112</v>
      </c>
      <c r="J23" s="7" t="s">
        <v>81</v>
      </c>
      <c r="K23" s="8">
        <f t="shared" si="1"/>
        <v>0.75</v>
      </c>
      <c r="L23" s="8">
        <f t="shared" si="18"/>
        <v>0.15000000000000002</v>
      </c>
      <c r="M23" s="8">
        <f t="shared" si="1"/>
        <v>2.25</v>
      </c>
      <c r="N23" s="8">
        <v>0.32500000000000001</v>
      </c>
      <c r="O23" s="8">
        <f t="shared" si="2"/>
        <v>2.375</v>
      </c>
      <c r="P23" s="8">
        <f t="shared" si="2"/>
        <v>1.875</v>
      </c>
      <c r="Q23" s="39">
        <f t="shared" si="2"/>
        <v>0.375</v>
      </c>
      <c r="R23" s="11">
        <f t="shared" si="19"/>
        <v>8.1</v>
      </c>
      <c r="S23" s="15">
        <f t="shared" si="20"/>
        <v>0.40499999999999997</v>
      </c>
      <c r="T23" s="12"/>
    </row>
    <row r="24" spans="1:20">
      <c r="A24" s="5">
        <f t="shared" si="0"/>
        <v>20</v>
      </c>
      <c r="B24" s="6"/>
      <c r="C24" s="6" t="s">
        <v>121</v>
      </c>
      <c r="D24" s="6" t="s">
        <v>122</v>
      </c>
      <c r="E24" s="6"/>
      <c r="F24" s="7" t="s">
        <v>78</v>
      </c>
      <c r="G24" s="67"/>
      <c r="H24" s="7"/>
      <c r="I24" s="7" t="s">
        <v>86</v>
      </c>
      <c r="J24" s="7" t="s">
        <v>81</v>
      </c>
      <c r="K24" s="8">
        <f t="shared" si="1"/>
        <v>2</v>
      </c>
      <c r="L24" s="8">
        <f t="shared" ref="L24" si="24">K24*0.2</f>
        <v>0.4</v>
      </c>
      <c r="M24" s="8">
        <f t="shared" si="1"/>
        <v>6.25</v>
      </c>
      <c r="N24" s="8">
        <v>0.32500000000000001</v>
      </c>
      <c r="O24" s="8">
        <f t="shared" si="2"/>
        <v>6.5</v>
      </c>
      <c r="P24" s="8">
        <f t="shared" si="2"/>
        <v>5.25</v>
      </c>
      <c r="Q24" s="39">
        <f t="shared" si="2"/>
        <v>0.75</v>
      </c>
      <c r="R24" s="11">
        <f t="shared" ref="R24" si="25">SUM(K24:Q24)</f>
        <v>21.475000000000001</v>
      </c>
      <c r="S24" s="15">
        <f t="shared" ref="S24" si="26">R24/20</f>
        <v>1.07375</v>
      </c>
      <c r="T24" s="12"/>
    </row>
    <row r="25" spans="1:20" ht="36">
      <c r="A25" s="5">
        <f t="shared" si="0"/>
        <v>21</v>
      </c>
      <c r="B25" s="6"/>
      <c r="C25" s="6"/>
      <c r="D25" s="6" t="s">
        <v>123</v>
      </c>
      <c r="E25" s="6"/>
      <c r="F25" s="7" t="s">
        <v>89</v>
      </c>
      <c r="G25" s="68" t="s">
        <v>124</v>
      </c>
      <c r="H25" s="7"/>
      <c r="I25" s="7" t="s">
        <v>86</v>
      </c>
      <c r="J25" s="7" t="s">
        <v>81</v>
      </c>
      <c r="K25" s="8">
        <f t="shared" si="1"/>
        <v>2</v>
      </c>
      <c r="L25" s="8">
        <f t="shared" si="3"/>
        <v>0.4</v>
      </c>
      <c r="M25" s="8">
        <f t="shared" si="1"/>
        <v>6.25</v>
      </c>
      <c r="N25" s="8">
        <v>0.4</v>
      </c>
      <c r="O25" s="8">
        <f t="shared" si="2"/>
        <v>6.5</v>
      </c>
      <c r="P25" s="8">
        <f t="shared" si="2"/>
        <v>5.25</v>
      </c>
      <c r="Q25" s="39">
        <f t="shared" si="2"/>
        <v>0.75</v>
      </c>
      <c r="R25" s="11">
        <f t="shared" si="4"/>
        <v>21.55</v>
      </c>
      <c r="S25" s="15">
        <f t="shared" si="5"/>
        <v>1.0775000000000001</v>
      </c>
      <c r="T25" s="12"/>
    </row>
    <row r="26" spans="1:20" ht="19.5" thickBot="1">
      <c r="A26" s="5"/>
      <c r="B26" s="40"/>
      <c r="C26" s="40"/>
      <c r="D26" s="40"/>
      <c r="E26" s="40"/>
      <c r="F26" s="41"/>
      <c r="G26" s="41"/>
      <c r="H26" s="41"/>
      <c r="I26" s="41"/>
      <c r="J26" s="41"/>
      <c r="K26" s="42">
        <f t="shared" ref="K26" si="27">CEILING(IF($J26="新規", IF($I26="特高", K$4*特高係数,IF($I26="高",K$4*高係数,IF($I26="中",K$4*中係数,IF($I26="低",K$4*低係数, IF($I26="特低",K$4*特低係数, 0))))),
 IF($I26="特高", K$4*特高係数,IF($I26="高",K$4*高係数,IF($I26="中",K$4*中係数,IF($I26="低",K$4*低係数, IF($I26="特低",K$4*特低係数, 0)))))),0.125)</f>
        <v>0</v>
      </c>
      <c r="L26" s="42"/>
      <c r="M26" s="42">
        <f t="shared" ref="M26" si="28">CEILING(IF($J26="新規", IF($I26="特高", M$4*特高係数,IF($I26="高",M$4*高係数,IF($I26="中",M$4*中係数,IF($I26="低",M$4*低係数, IF($I26="特低",M$4*特低係数, 0))))),
 IF($I26="特高", M$4*特高係数,IF($I26="高",M$4*高係数,IF($I26="中",M$4*中係数,IF($I26="低",M$4*低係数, IF($I26="特低",M$4*特低係数, 0)))))),0.125)</f>
        <v>0</v>
      </c>
      <c r="N26" s="8">
        <f t="shared" ref="N26" si="29">M26*0.2</f>
        <v>0</v>
      </c>
      <c r="O26" s="42">
        <f t="shared" ref="O26" si="30">CEILING(IF($J26="新規", IF($I26="特高", O$4*特高係数,IF($I26="高",O$4*高係数,IF($I26="中",O$4*中係数,IF($I26="低",O$4*低係数, IF($I26="特低",O$4*特低係数, 0))))),
 IF($I26="特高", O$4*特高係数,IF($I26="高",O$4*高係数,IF($I26="中",O$4*中係数,IF($I26="低",O$4*低係数, IF($I26="特低",O$4*特低係数, 0)))))),0.125)</f>
        <v>0</v>
      </c>
      <c r="P26" s="42">
        <f t="shared" ref="P26:Q26" si="31">CEILING(IF($J26="新規", IF($I26="特高", P$4*特高係数,IF($I26="高",P$4*高係数,IF($I26="中",P$4*中係数,IF($I26="低",P$4*低係数, IF($I26="特低",P$4*特低係数, 0))))),
 IF($I26="特高", P$4*特高係数,IF($I26="高",P$4*高係数,IF($I26="中",P$4*中係数,IF($I26="低",P$4*低係数, IF($I26="特低",P$4*特低係数, 0)))))),0.125)</f>
        <v>0</v>
      </c>
      <c r="Q26" s="43">
        <f t="shared" si="31"/>
        <v>0</v>
      </c>
      <c r="R26" s="48">
        <f>SUM(K26:Q26)</f>
        <v>0</v>
      </c>
      <c r="S26" s="49">
        <f t="shared" ref="S26" si="32">R26/20</f>
        <v>0</v>
      </c>
      <c r="T26" s="52"/>
    </row>
    <row r="27" spans="1:20">
      <c r="A27" s="101" t="s">
        <v>125</v>
      </c>
      <c r="B27" s="102"/>
      <c r="C27" s="102"/>
      <c r="D27" s="102"/>
      <c r="E27" s="102"/>
      <c r="F27" s="102"/>
      <c r="G27" s="102"/>
      <c r="H27" s="102"/>
      <c r="I27" s="102"/>
      <c r="J27" s="103"/>
      <c r="K27" s="44">
        <f t="shared" ref="K27:Q27" si="33">SUM(K5:K26)</f>
        <v>29.5</v>
      </c>
      <c r="L27" s="44">
        <f t="shared" si="33"/>
        <v>5.900000000000003</v>
      </c>
      <c r="M27" s="44">
        <f t="shared" si="33"/>
        <v>90.375</v>
      </c>
      <c r="N27" s="44">
        <f t="shared" si="33"/>
        <v>8.2750000000000021</v>
      </c>
      <c r="O27" s="44">
        <f t="shared" si="33"/>
        <v>94.25</v>
      </c>
      <c r="P27" s="44">
        <f t="shared" si="33"/>
        <v>76.25</v>
      </c>
      <c r="Q27" s="45">
        <f t="shared" si="33"/>
        <v>11.625</v>
      </c>
      <c r="R27" s="50">
        <f>SUM(K27:Q27)</f>
        <v>316.17500000000001</v>
      </c>
      <c r="S27" s="51"/>
      <c r="T27" s="53"/>
    </row>
    <row r="28" spans="1:20" ht="19.5" thickBot="1">
      <c r="A28" s="104" t="s">
        <v>126</v>
      </c>
      <c r="B28" s="105"/>
      <c r="C28" s="105"/>
      <c r="D28" s="105"/>
      <c r="E28" s="105"/>
      <c r="F28" s="105"/>
      <c r="G28" s="105"/>
      <c r="H28" s="105"/>
      <c r="I28" s="105"/>
      <c r="J28" s="106"/>
      <c r="K28" s="46">
        <f>K27/20</f>
        <v>1.4750000000000001</v>
      </c>
      <c r="L28" s="46">
        <f>L27/20</f>
        <v>0.29500000000000015</v>
      </c>
      <c r="M28" s="46">
        <f t="shared" ref="M28:Q28" si="34">M27/20</f>
        <v>4.5187499999999998</v>
      </c>
      <c r="N28" s="46">
        <f t="shared" ref="N28" si="35">N27/20</f>
        <v>0.41375000000000012</v>
      </c>
      <c r="O28" s="46">
        <f t="shared" si="34"/>
        <v>4.7125000000000004</v>
      </c>
      <c r="P28" s="46">
        <f t="shared" si="34"/>
        <v>3.8125</v>
      </c>
      <c r="Q28" s="47">
        <f t="shared" si="34"/>
        <v>0.58125000000000004</v>
      </c>
      <c r="R28" s="16"/>
      <c r="S28" s="17">
        <f>SUM(K28:Q28)</f>
        <v>15.808750000000002</v>
      </c>
      <c r="T28" s="54"/>
    </row>
    <row r="29" spans="1:20">
      <c r="A29" s="101" t="s">
        <v>127</v>
      </c>
      <c r="B29" s="102"/>
      <c r="C29" s="102"/>
      <c r="D29" s="102"/>
      <c r="E29" s="102"/>
      <c r="F29" s="102"/>
      <c r="G29" s="102"/>
      <c r="H29" s="102"/>
      <c r="I29" s="102"/>
      <c r="J29" s="103"/>
      <c r="K29" s="44"/>
      <c r="L29" s="44"/>
      <c r="M29" s="44"/>
      <c r="N29" s="44"/>
      <c r="O29" s="44"/>
      <c r="P29" s="44"/>
      <c r="Q29" s="45"/>
      <c r="R29" s="50">
        <f>R27*0.2</f>
        <v>63.235000000000007</v>
      </c>
      <c r="S29" s="51">
        <f>R29/20</f>
        <v>3.1617500000000005</v>
      </c>
      <c r="T29" s="53"/>
    </row>
    <row r="30" spans="1:20" ht="19.5" thickBot="1">
      <c r="A30" s="107" t="s">
        <v>128</v>
      </c>
      <c r="B30" s="108"/>
      <c r="C30" s="108"/>
      <c r="D30" s="108"/>
      <c r="E30" s="108"/>
      <c r="F30" s="108"/>
      <c r="G30" s="108"/>
      <c r="H30" s="108"/>
      <c r="I30" s="108"/>
      <c r="J30" s="109"/>
      <c r="K30" s="60"/>
      <c r="L30" s="60"/>
      <c r="M30" s="60"/>
      <c r="N30" s="60"/>
      <c r="O30" s="60"/>
      <c r="P30" s="60"/>
      <c r="Q30" s="61"/>
      <c r="R30" s="62">
        <f>R27*0.1</f>
        <v>31.617500000000003</v>
      </c>
      <c r="S30" s="63">
        <f>R30/20</f>
        <v>1.5808750000000003</v>
      </c>
      <c r="T30" s="64"/>
    </row>
    <row r="31" spans="1:20" ht="19.5" thickBot="1">
      <c r="A31" s="113" t="s">
        <v>129</v>
      </c>
      <c r="B31" s="114"/>
      <c r="C31" s="114"/>
      <c r="D31" s="114"/>
      <c r="E31" s="114"/>
      <c r="F31" s="114"/>
      <c r="G31" s="114"/>
      <c r="H31" s="114"/>
      <c r="I31" s="114"/>
      <c r="J31" s="115"/>
      <c r="K31" s="55"/>
      <c r="L31" s="55"/>
      <c r="M31" s="55"/>
      <c r="N31" s="55"/>
      <c r="O31" s="55"/>
      <c r="P31" s="55"/>
      <c r="Q31" s="56"/>
      <c r="R31" s="57">
        <f>SUM(R27:R30)</f>
        <v>411.02750000000003</v>
      </c>
      <c r="S31" s="58">
        <f>R31/20</f>
        <v>20.551375</v>
      </c>
      <c r="T31" s="59"/>
    </row>
    <row r="32" spans="1:20" ht="19.5" thickBot="1"/>
    <row r="33" spans="1:20">
      <c r="A33" s="101" t="s">
        <v>130</v>
      </c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18"/>
      <c r="R33" s="116">
        <f>S31*積算基準!C61*10000</f>
        <v>20551375</v>
      </c>
      <c r="S33" s="117"/>
      <c r="T33" s="74"/>
    </row>
    <row r="34" spans="1:20" ht="19.5" thickBot="1">
      <c r="A34" s="104" t="s">
        <v>131</v>
      </c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10"/>
      <c r="R34" s="111"/>
      <c r="S34" s="112"/>
      <c r="T34" s="65"/>
    </row>
    <row r="35" spans="1:20" ht="19.5" thickBot="1">
      <c r="A35" s="104" t="s">
        <v>132</v>
      </c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10"/>
      <c r="R35" s="111">
        <f>R33-R34</f>
        <v>20551375</v>
      </c>
      <c r="S35" s="112"/>
      <c r="T35" s="65"/>
    </row>
  </sheetData>
  <autoFilter ref="A2:T31" xr:uid="{00000000-0009-0000-0000-000000000000}">
    <filterColumn colId="2" showButton="0"/>
    <filterColumn colId="3" showButton="0"/>
    <filterColumn colId="10" showButton="0"/>
    <filterColumn colId="11" showButton="0"/>
    <filterColumn colId="12" showButton="0"/>
    <filterColumn colId="13" hiddenButton="1" showButton="0"/>
    <filterColumn colId="14" showButton="0"/>
    <filterColumn colId="15" showButton="0"/>
  </autoFilter>
  <mergeCells count="24">
    <mergeCell ref="A35:Q35"/>
    <mergeCell ref="R35:S35"/>
    <mergeCell ref="A31:J31"/>
    <mergeCell ref="R33:S33"/>
    <mergeCell ref="R34:S34"/>
    <mergeCell ref="A33:Q33"/>
    <mergeCell ref="A34:Q34"/>
    <mergeCell ref="A4:J4"/>
    <mergeCell ref="A27:J27"/>
    <mergeCell ref="A28:J28"/>
    <mergeCell ref="A29:J29"/>
    <mergeCell ref="A30:J30"/>
    <mergeCell ref="T2:T3"/>
    <mergeCell ref="C2:E2"/>
    <mergeCell ref="K2:Q2"/>
    <mergeCell ref="R2:R3"/>
    <mergeCell ref="S2:S3"/>
    <mergeCell ref="G2:G3"/>
    <mergeCell ref="A2:A3"/>
    <mergeCell ref="B2:B3"/>
    <mergeCell ref="F2:F3"/>
    <mergeCell ref="J2:J3"/>
    <mergeCell ref="H2:H3"/>
    <mergeCell ref="I2:I3"/>
  </mergeCells>
  <phoneticPr fontId="3"/>
  <conditionalFormatting sqref="A5:D21 J5:T23 E7:E21 H9:H10 F9:G21 A22:G22 F23:G23 A23:E25">
    <cfRule type="expression" dxfId="5" priority="46">
      <formula>$J5="削除"</formula>
    </cfRule>
  </conditionalFormatting>
  <conditionalFormatting sqref="E5:H6 A26:T26">
    <cfRule type="expression" dxfId="4" priority="123">
      <formula>$J5="削除"</formula>
    </cfRule>
  </conditionalFormatting>
  <conditionalFormatting sqref="F7:H8">
    <cfRule type="expression" dxfId="3" priority="3">
      <formula>$J7="削除"</formula>
    </cfRule>
  </conditionalFormatting>
  <conditionalFormatting sqref="F24:T25">
    <cfRule type="expression" dxfId="2" priority="11">
      <formula>$J24="削除"</formula>
    </cfRule>
  </conditionalFormatting>
  <conditionalFormatting sqref="H11:I23">
    <cfRule type="expression" dxfId="1" priority="1">
      <formula>$J11="削除"</formula>
    </cfRule>
  </conditionalFormatting>
  <conditionalFormatting sqref="I5:I10">
    <cfRule type="expression" dxfId="0" priority="7">
      <formula>$J5="削除"</formula>
    </cfRule>
  </conditionalFormatting>
  <dataValidations count="1">
    <dataValidation type="list" allowBlank="1" showInputMessage="1" showErrorMessage="1" sqref="J5:J26" xr:uid="{00000000-0002-0000-0000-000000000000}">
      <formula1>"新規,改修,削除"</formula1>
    </dataValidation>
  </dataValidations>
  <pageMargins left="0.25" right="0.25" top="0.75" bottom="0.75" header="0.3" footer="0.3"/>
  <pageSetup paperSize="9" scale="49" fitToHeight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1"/>
  <sheetViews>
    <sheetView zoomScale="130" zoomScaleNormal="130" workbookViewId="0">
      <selection activeCell="D62" sqref="D62"/>
    </sheetView>
  </sheetViews>
  <sheetFormatPr defaultRowHeight="12"/>
  <cols>
    <col min="1" max="1" width="3.625" style="19" customWidth="1"/>
    <col min="2" max="12" width="18.875" style="19" customWidth="1"/>
    <col min="13" max="16384" width="9" style="19"/>
  </cols>
  <sheetData>
    <row r="1" spans="1:8" ht="16.5">
      <c r="A1" s="18" t="s">
        <v>133</v>
      </c>
    </row>
    <row r="3" spans="1:8">
      <c r="A3" s="19" t="s">
        <v>134</v>
      </c>
    </row>
    <row r="5" spans="1:8">
      <c r="B5" s="20" t="s">
        <v>59</v>
      </c>
    </row>
    <row r="6" spans="1:8">
      <c r="B6" s="21" t="s">
        <v>135</v>
      </c>
    </row>
    <row r="7" spans="1:8">
      <c r="B7" s="21" t="s">
        <v>136</v>
      </c>
    </row>
    <row r="8" spans="1:8">
      <c r="B8" s="21" t="s">
        <v>137</v>
      </c>
    </row>
    <row r="9" spans="1:8">
      <c r="B9" s="21" t="s">
        <v>91</v>
      </c>
    </row>
    <row r="10" spans="1:8">
      <c r="B10" s="21" t="s">
        <v>99</v>
      </c>
    </row>
    <row r="12" spans="1:8">
      <c r="A12" s="19" t="s">
        <v>138</v>
      </c>
    </row>
    <row r="14" spans="1:8">
      <c r="B14" s="22" t="s">
        <v>139</v>
      </c>
    </row>
    <row r="15" spans="1:8">
      <c r="B15" s="20" t="s">
        <v>56</v>
      </c>
      <c r="C15" s="23" t="s">
        <v>135</v>
      </c>
      <c r="D15" s="23" t="s">
        <v>136</v>
      </c>
      <c r="E15" s="23" t="s">
        <v>137</v>
      </c>
      <c r="F15" s="23" t="s">
        <v>91</v>
      </c>
      <c r="G15" s="23" t="s">
        <v>99</v>
      </c>
      <c r="H15" s="24"/>
    </row>
    <row r="16" spans="1:8">
      <c r="B16" s="25" t="s">
        <v>140</v>
      </c>
      <c r="C16" s="26">
        <v>40</v>
      </c>
      <c r="D16" s="26">
        <v>30</v>
      </c>
      <c r="E16" s="26">
        <v>20</v>
      </c>
      <c r="F16" s="26">
        <v>10</v>
      </c>
      <c r="G16" s="26">
        <v>0</v>
      </c>
      <c r="H16" s="24"/>
    </row>
    <row r="17" spans="1:8">
      <c r="B17" s="25" t="s">
        <v>141</v>
      </c>
      <c r="C17" s="26">
        <v>50</v>
      </c>
      <c r="D17" s="26">
        <v>40</v>
      </c>
      <c r="E17" s="26">
        <v>30</v>
      </c>
      <c r="F17" s="26">
        <v>20</v>
      </c>
      <c r="G17" s="26">
        <v>10</v>
      </c>
      <c r="H17" s="22"/>
    </row>
    <row r="18" spans="1:8">
      <c r="B18" s="22"/>
      <c r="C18" s="22"/>
      <c r="D18" s="22"/>
      <c r="E18" s="22"/>
      <c r="F18" s="22"/>
      <c r="G18" s="22"/>
      <c r="H18" s="22"/>
    </row>
    <row r="19" spans="1:8">
      <c r="A19" s="19" t="s">
        <v>142</v>
      </c>
    </row>
    <row r="21" spans="1:8">
      <c r="B21" s="19" t="s">
        <v>143</v>
      </c>
    </row>
    <row r="22" spans="1:8">
      <c r="B22" s="23" t="s">
        <v>144</v>
      </c>
      <c r="C22" s="23" t="s">
        <v>145</v>
      </c>
      <c r="D22" s="23" t="s">
        <v>71</v>
      </c>
      <c r="E22" s="23" t="s">
        <v>146</v>
      </c>
      <c r="F22" s="20" t="s">
        <v>147</v>
      </c>
      <c r="G22" s="23" t="s">
        <v>148</v>
      </c>
    </row>
    <row r="23" spans="1:8">
      <c r="B23" s="27">
        <v>0.161</v>
      </c>
      <c r="C23" s="27">
        <v>0.17499999999999999</v>
      </c>
      <c r="D23" s="27">
        <v>0.37</v>
      </c>
      <c r="E23" s="27">
        <v>0.16700000000000001</v>
      </c>
      <c r="F23" s="27">
        <v>0.127</v>
      </c>
      <c r="G23" s="27">
        <f>SUM(B23:F23)</f>
        <v>1</v>
      </c>
    </row>
    <row r="26" spans="1:8">
      <c r="A26" s="19" t="s">
        <v>149</v>
      </c>
    </row>
    <row r="28" spans="1:8" ht="12.75" thickBot="1">
      <c r="B28" s="19" t="s">
        <v>150</v>
      </c>
    </row>
    <row r="29" spans="1:8">
      <c r="B29" s="28" t="s">
        <v>148</v>
      </c>
      <c r="C29" s="29" t="s">
        <v>144</v>
      </c>
      <c r="D29" s="23" t="s">
        <v>145</v>
      </c>
      <c r="E29" s="23" t="s">
        <v>71</v>
      </c>
      <c r="F29" s="23" t="s">
        <v>146</v>
      </c>
      <c r="G29" s="20" t="s">
        <v>147</v>
      </c>
    </row>
    <row r="30" spans="1:8" ht="12.75" thickBot="1">
      <c r="B30" s="30">
        <v>8.75</v>
      </c>
      <c r="C30" s="31">
        <f>CEILING($B30*B23,0.125)</f>
        <v>1.5</v>
      </c>
      <c r="D30" s="32">
        <f>CEILING($B30*C23,0.125)</f>
        <v>1.625</v>
      </c>
      <c r="E30" s="32">
        <f>CEILING($B30*D23,0.125)</f>
        <v>3.25</v>
      </c>
      <c r="F30" s="32">
        <f>CEILING($B30*E23,0.125)</f>
        <v>1.5</v>
      </c>
      <c r="G30" s="32">
        <f>CEILING($B30*F23,0.125)</f>
        <v>1.125</v>
      </c>
    </row>
    <row r="32" spans="1:8" ht="12.75" thickBot="1">
      <c r="B32" s="19" t="s">
        <v>151</v>
      </c>
    </row>
    <row r="33" spans="1:12">
      <c r="B33" s="28" t="s">
        <v>148</v>
      </c>
      <c r="C33" s="29" t="s">
        <v>144</v>
      </c>
      <c r="D33" s="23" t="s">
        <v>145</v>
      </c>
      <c r="E33" s="23" t="s">
        <v>71</v>
      </c>
      <c r="F33" s="23" t="s">
        <v>146</v>
      </c>
      <c r="G33" s="20" t="s">
        <v>147</v>
      </c>
    </row>
    <row r="34" spans="1:12" ht="12.75" thickBot="1">
      <c r="B34" s="30">
        <v>3.5</v>
      </c>
      <c r="C34" s="31">
        <f>CEILING($B34*B23,0.125)</f>
        <v>0.625</v>
      </c>
      <c r="D34" s="31">
        <f t="shared" ref="D34:G34" si="0">CEILING($B34*C23,0.125)</f>
        <v>0.625</v>
      </c>
      <c r="E34" s="31">
        <f t="shared" si="0"/>
        <v>1.375</v>
      </c>
      <c r="F34" s="31">
        <f t="shared" si="0"/>
        <v>0.625</v>
      </c>
      <c r="G34" s="31">
        <f t="shared" si="0"/>
        <v>0.5</v>
      </c>
    </row>
    <row r="35" spans="1:12">
      <c r="B35" s="66"/>
      <c r="C35" s="66"/>
      <c r="D35" s="66"/>
      <c r="E35" s="66"/>
      <c r="F35" s="66"/>
      <c r="G35" s="66"/>
    </row>
    <row r="36" spans="1:12">
      <c r="A36" s="19" t="s">
        <v>152</v>
      </c>
    </row>
    <row r="38" spans="1:12">
      <c r="B38" s="22" t="s">
        <v>153</v>
      </c>
      <c r="C38" s="22"/>
      <c r="D38" s="22"/>
      <c r="E38" s="22"/>
      <c r="F38" s="22"/>
      <c r="G38" s="22"/>
      <c r="H38" s="22"/>
    </row>
    <row r="39" spans="1:12">
      <c r="B39" s="23" t="s">
        <v>154</v>
      </c>
      <c r="C39" s="119" t="s">
        <v>148</v>
      </c>
      <c r="D39" s="20" t="s">
        <v>68</v>
      </c>
      <c r="E39" s="20" t="s">
        <v>144</v>
      </c>
      <c r="F39" s="20" t="s">
        <v>145</v>
      </c>
      <c r="G39" s="23" t="s">
        <v>71</v>
      </c>
      <c r="H39" s="20" t="s">
        <v>146</v>
      </c>
      <c r="I39" s="20" t="s">
        <v>147</v>
      </c>
      <c r="J39" s="20" t="s">
        <v>73</v>
      </c>
      <c r="K39" s="20" t="s">
        <v>155</v>
      </c>
      <c r="L39" s="20" t="s">
        <v>156</v>
      </c>
    </row>
    <row r="40" spans="1:12">
      <c r="B40" s="23" t="s">
        <v>157</v>
      </c>
      <c r="C40" s="120"/>
      <c r="D40" s="33">
        <v>0.1</v>
      </c>
      <c r="E40" s="27">
        <f>B23</f>
        <v>0.161</v>
      </c>
      <c r="F40" s="27">
        <f>C23</f>
        <v>0.17499999999999999</v>
      </c>
      <c r="G40" s="27">
        <f>D23</f>
        <v>0.37</v>
      </c>
      <c r="H40" s="27">
        <f>E23</f>
        <v>0.16700000000000001</v>
      </c>
      <c r="I40" s="27">
        <f>F23</f>
        <v>0.127</v>
      </c>
      <c r="J40" s="34">
        <v>0.5</v>
      </c>
      <c r="K40" s="34">
        <v>0.25</v>
      </c>
      <c r="L40" s="35">
        <v>0.15</v>
      </c>
    </row>
    <row r="41" spans="1:12">
      <c r="B41" s="23" t="s">
        <v>158</v>
      </c>
      <c r="C41" s="36">
        <f>SUM(D41:L41)</f>
        <v>12.875</v>
      </c>
      <c r="D41" s="36">
        <f>CEILING(SUM(E41:I41)*D40,0.125)</f>
        <v>1</v>
      </c>
      <c r="E41" s="36">
        <f>C30</f>
        <v>1.5</v>
      </c>
      <c r="F41" s="36">
        <f>D30</f>
        <v>1.625</v>
      </c>
      <c r="G41" s="36">
        <f>E30</f>
        <v>3.25</v>
      </c>
      <c r="H41" s="36">
        <f>F30</f>
        <v>1.5</v>
      </c>
      <c r="I41" s="36">
        <f>G30</f>
        <v>1.125</v>
      </c>
      <c r="J41" s="36">
        <f>CEILING(H41*J40,0.125)</f>
        <v>0.75</v>
      </c>
      <c r="K41" s="36">
        <f>CEILING(H41*K40,0.125)</f>
        <v>0.375</v>
      </c>
      <c r="L41" s="36">
        <f>CEILING(SUM(D41:K41)*L40,0.125)</f>
        <v>1.75</v>
      </c>
    </row>
    <row r="42" spans="1:12">
      <c r="B42" s="23" t="s">
        <v>159</v>
      </c>
      <c r="C42" s="36">
        <f>SUM(D42:L42)</f>
        <v>5.5</v>
      </c>
      <c r="D42" s="36">
        <f>CEILING(D40*SUM(E42:I42),0.125)</f>
        <v>0.375</v>
      </c>
      <c r="E42" s="36">
        <f>C34</f>
        <v>0.625</v>
      </c>
      <c r="F42" s="36">
        <f>D34</f>
        <v>0.625</v>
      </c>
      <c r="G42" s="36">
        <f>E34</f>
        <v>1.375</v>
      </c>
      <c r="H42" s="36">
        <f>F34</f>
        <v>0.625</v>
      </c>
      <c r="I42" s="36">
        <f>G34</f>
        <v>0.5</v>
      </c>
      <c r="J42" s="36">
        <f>CEILING(J40*H42,0.125)</f>
        <v>0.375</v>
      </c>
      <c r="K42" s="36">
        <f>CEILING(K40*H42,0.125)</f>
        <v>0.25</v>
      </c>
      <c r="L42" s="36">
        <f>CEILING(L40*SUM(D42:K42),0.125)</f>
        <v>0.75</v>
      </c>
    </row>
    <row r="43" spans="1:12">
      <c r="B43" s="121">
        <v>0.5</v>
      </c>
      <c r="C43" s="121"/>
    </row>
    <row r="45" spans="1:12">
      <c r="A45" s="19" t="s">
        <v>160</v>
      </c>
    </row>
    <row r="47" spans="1:12">
      <c r="B47" s="22" t="s">
        <v>161</v>
      </c>
      <c r="C47" s="22"/>
      <c r="D47" s="22"/>
      <c r="E47" s="22"/>
      <c r="F47" s="22"/>
      <c r="G47" s="22"/>
    </row>
    <row r="48" spans="1:12">
      <c r="B48" s="122" t="s">
        <v>162</v>
      </c>
      <c r="C48" s="23" t="s">
        <v>135</v>
      </c>
      <c r="D48" s="23" t="s">
        <v>136</v>
      </c>
      <c r="E48" s="23" t="s">
        <v>137</v>
      </c>
      <c r="F48" s="23" t="s">
        <v>91</v>
      </c>
      <c r="G48" s="23" t="s">
        <v>99</v>
      </c>
    </row>
    <row r="49" spans="1:9">
      <c r="B49" s="123"/>
      <c r="C49" s="37">
        <v>2.6</v>
      </c>
      <c r="D49" s="37">
        <v>2</v>
      </c>
      <c r="E49" s="37">
        <v>1.6</v>
      </c>
      <c r="F49" s="37">
        <v>0.7</v>
      </c>
      <c r="G49" s="37">
        <v>0.3</v>
      </c>
      <c r="H49" s="19" t="s">
        <v>163</v>
      </c>
    </row>
    <row r="50" spans="1:9">
      <c r="B50" s="124"/>
      <c r="C50" s="37">
        <v>1.5</v>
      </c>
      <c r="D50" s="37">
        <v>1.25</v>
      </c>
      <c r="E50" s="37">
        <v>1</v>
      </c>
      <c r="F50" s="37">
        <v>0.75</v>
      </c>
      <c r="G50" s="37">
        <v>0.2</v>
      </c>
      <c r="H50" s="19" t="s">
        <v>164</v>
      </c>
    </row>
    <row r="53" spans="1:9">
      <c r="A53" s="19" t="s">
        <v>165</v>
      </c>
    </row>
    <row r="55" spans="1:9">
      <c r="B55" s="22" t="s">
        <v>153</v>
      </c>
      <c r="C55" s="22"/>
      <c r="D55" s="22"/>
      <c r="E55" s="22"/>
      <c r="F55" s="22"/>
      <c r="G55" s="22"/>
      <c r="H55" s="22"/>
    </row>
    <row r="56" spans="1:9">
      <c r="B56" s="23" t="s">
        <v>154</v>
      </c>
      <c r="C56" s="119" t="s">
        <v>148</v>
      </c>
      <c r="D56" s="20" t="s">
        <v>68</v>
      </c>
      <c r="E56" s="20" t="s">
        <v>70</v>
      </c>
      <c r="F56" s="20" t="s">
        <v>71</v>
      </c>
      <c r="G56" s="20" t="s">
        <v>166</v>
      </c>
      <c r="H56" s="20" t="s">
        <v>73</v>
      </c>
      <c r="I56" s="20" t="s">
        <v>156</v>
      </c>
    </row>
    <row r="57" spans="1:9">
      <c r="B57" s="23" t="s">
        <v>167</v>
      </c>
      <c r="C57" s="120"/>
      <c r="D57" s="33">
        <v>0.1</v>
      </c>
      <c r="E57" s="27">
        <f>SUM(B23:C23)</f>
        <v>0.33599999999999997</v>
      </c>
      <c r="F57" s="27">
        <f>D23</f>
        <v>0.37</v>
      </c>
      <c r="G57" s="27">
        <f>SUM(E23:F23)</f>
        <v>0.29400000000000004</v>
      </c>
      <c r="H57" s="34">
        <v>0.25</v>
      </c>
      <c r="I57" s="35">
        <v>0.15</v>
      </c>
    </row>
    <row r="58" spans="1:9">
      <c r="B58" s="23" t="s">
        <v>158</v>
      </c>
      <c r="C58" s="36">
        <f>SUM(D58:I58)</f>
        <v>12</v>
      </c>
      <c r="D58" s="36">
        <f>CEILING(SUM(E58:G58)*D57,0.125)</f>
        <v>1</v>
      </c>
      <c r="E58" s="36">
        <f>SUM(C30:D30)</f>
        <v>3.125</v>
      </c>
      <c r="F58" s="36">
        <f>E30</f>
        <v>3.25</v>
      </c>
      <c r="G58" s="36">
        <f>SUM(F30:G30)</f>
        <v>2.625</v>
      </c>
      <c r="H58" s="36">
        <f>CEILING(H41*H57,0.125)</f>
        <v>0.375</v>
      </c>
      <c r="I58" s="36">
        <f>CEILING(SUM(D58:H58)*I57,0.125)</f>
        <v>1.625</v>
      </c>
    </row>
    <row r="59" spans="1:9">
      <c r="B59" s="23" t="s">
        <v>159</v>
      </c>
      <c r="C59" s="36">
        <f>SUM(D59:I59)</f>
        <v>2.625</v>
      </c>
      <c r="D59" s="36">
        <v>0</v>
      </c>
      <c r="E59" s="36">
        <f>SUM(C34:D34)</f>
        <v>1.25</v>
      </c>
      <c r="F59" s="36">
        <f>E34</f>
        <v>1.375</v>
      </c>
      <c r="G59" s="36">
        <v>0</v>
      </c>
      <c r="H59" s="36">
        <v>0</v>
      </c>
      <c r="I59" s="36">
        <v>0</v>
      </c>
    </row>
    <row r="60" spans="1:9">
      <c r="B60" s="121"/>
      <c r="C60" s="121"/>
    </row>
    <row r="61" spans="1:9">
      <c r="B61" s="23" t="s">
        <v>168</v>
      </c>
      <c r="C61" s="26">
        <v>100</v>
      </c>
    </row>
  </sheetData>
  <mergeCells count="5">
    <mergeCell ref="C39:C40"/>
    <mergeCell ref="B43:C43"/>
    <mergeCell ref="B48:B50"/>
    <mergeCell ref="C56:C57"/>
    <mergeCell ref="B60:C60"/>
  </mergeCells>
  <phoneticPr fontId="3"/>
  <pageMargins left="0.7" right="0.7" top="0.75" bottom="0.75" header="0.3" footer="0.3"/>
  <pageSetup paperSize="9" scale="57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CEF70-5E6F-4FD5-9812-56FC13171B89}">
  <dimension ref="A1:H36"/>
  <sheetViews>
    <sheetView workbookViewId="0">
      <selection activeCell="M11" sqref="M11"/>
    </sheetView>
  </sheetViews>
  <sheetFormatPr defaultRowHeight="18.75"/>
  <cols>
    <col min="1" max="1" width="17.25" bestFit="1" customWidth="1"/>
    <col min="2" max="2" width="4.5" bestFit="1" customWidth="1"/>
    <col min="3" max="3" width="17.25" bestFit="1" customWidth="1"/>
    <col min="4" max="5" width="4.5" bestFit="1" customWidth="1"/>
    <col min="6" max="8" width="9" style="83"/>
  </cols>
  <sheetData>
    <row r="1" spans="1:8">
      <c r="A1" s="84" t="s">
        <v>169</v>
      </c>
      <c r="B1" s="84" t="s">
        <v>170</v>
      </c>
      <c r="C1" s="84"/>
      <c r="D1" s="84" t="s">
        <v>171</v>
      </c>
      <c r="E1" s="84" t="s">
        <v>172</v>
      </c>
      <c r="F1" s="85" t="s">
        <v>130</v>
      </c>
      <c r="G1" s="85" t="s">
        <v>173</v>
      </c>
      <c r="H1" s="85" t="s">
        <v>148</v>
      </c>
    </row>
    <row r="2" spans="1:8">
      <c r="A2" t="s">
        <v>174</v>
      </c>
      <c r="B2" t="s">
        <v>175</v>
      </c>
      <c r="C2" t="s">
        <v>176</v>
      </c>
      <c r="D2">
        <v>140</v>
      </c>
      <c r="E2">
        <v>1.2</v>
      </c>
      <c r="F2" s="83">
        <f>D2*E2</f>
        <v>168</v>
      </c>
      <c r="G2" s="83">
        <f>SUM(F2:F4)</f>
        <v>750</v>
      </c>
      <c r="H2" s="83">
        <f>SUM(G2:G36)</f>
        <v>4130</v>
      </c>
    </row>
    <row r="3" spans="1:8">
      <c r="B3" t="s">
        <v>175</v>
      </c>
      <c r="C3" t="s">
        <v>174</v>
      </c>
      <c r="D3">
        <v>140</v>
      </c>
      <c r="E3">
        <v>1.8</v>
      </c>
      <c r="F3" s="83">
        <f t="shared" ref="F3:F36" si="0">D3*E3</f>
        <v>252</v>
      </c>
    </row>
    <row r="4" spans="1:8">
      <c r="B4" t="s">
        <v>177</v>
      </c>
      <c r="C4" t="s">
        <v>174</v>
      </c>
      <c r="D4">
        <v>110</v>
      </c>
      <c r="E4">
        <v>3</v>
      </c>
      <c r="F4" s="83">
        <f t="shared" si="0"/>
        <v>330</v>
      </c>
    </row>
    <row r="5" spans="1:8">
      <c r="A5" t="s">
        <v>178</v>
      </c>
      <c r="B5" t="s">
        <v>175</v>
      </c>
      <c r="C5" t="s">
        <v>176</v>
      </c>
      <c r="D5">
        <v>140</v>
      </c>
      <c r="E5">
        <v>0.8</v>
      </c>
      <c r="F5" s="83">
        <f t="shared" si="0"/>
        <v>112</v>
      </c>
      <c r="G5" s="83">
        <f>SUM(F5:F9)</f>
        <v>460</v>
      </c>
    </row>
    <row r="6" spans="1:8">
      <c r="B6" t="s">
        <v>175</v>
      </c>
      <c r="C6" t="s">
        <v>178</v>
      </c>
      <c r="D6">
        <v>140</v>
      </c>
      <c r="E6">
        <v>0.2</v>
      </c>
      <c r="F6" s="83">
        <f t="shared" si="0"/>
        <v>28</v>
      </c>
    </row>
    <row r="7" spans="1:8">
      <c r="B7" t="s">
        <v>177</v>
      </c>
      <c r="C7" t="s">
        <v>178</v>
      </c>
      <c r="D7">
        <v>110</v>
      </c>
      <c r="E7">
        <v>1</v>
      </c>
      <c r="F7" s="83">
        <f t="shared" si="0"/>
        <v>110</v>
      </c>
    </row>
    <row r="8" spans="1:8">
      <c r="B8" t="s">
        <v>177</v>
      </c>
      <c r="C8" t="s">
        <v>178</v>
      </c>
      <c r="D8">
        <v>110</v>
      </c>
      <c r="E8">
        <v>1</v>
      </c>
      <c r="F8" s="83">
        <f t="shared" si="0"/>
        <v>110</v>
      </c>
    </row>
    <row r="9" spans="1:8">
      <c r="B9" t="s">
        <v>177</v>
      </c>
      <c r="C9" t="s">
        <v>179</v>
      </c>
      <c r="D9">
        <v>100</v>
      </c>
      <c r="E9">
        <v>1</v>
      </c>
      <c r="F9" s="83">
        <f t="shared" si="0"/>
        <v>100</v>
      </c>
    </row>
    <row r="10" spans="1:8">
      <c r="A10" t="s">
        <v>180</v>
      </c>
      <c r="B10" t="s">
        <v>175</v>
      </c>
      <c r="C10" t="s">
        <v>176</v>
      </c>
      <c r="D10">
        <v>140</v>
      </c>
      <c r="E10">
        <v>0.8</v>
      </c>
      <c r="F10" s="83">
        <f t="shared" si="0"/>
        <v>112</v>
      </c>
      <c r="G10" s="83">
        <f>SUM(F10:F14)</f>
        <v>460</v>
      </c>
    </row>
    <row r="11" spans="1:8">
      <c r="B11" t="s">
        <v>175</v>
      </c>
      <c r="C11" t="s">
        <v>180</v>
      </c>
      <c r="D11">
        <v>140</v>
      </c>
      <c r="E11">
        <v>0.2</v>
      </c>
      <c r="F11" s="83">
        <f t="shared" si="0"/>
        <v>28</v>
      </c>
    </row>
    <row r="12" spans="1:8">
      <c r="B12" t="s">
        <v>177</v>
      </c>
      <c r="C12" t="s">
        <v>180</v>
      </c>
      <c r="D12">
        <v>110</v>
      </c>
      <c r="E12">
        <v>1</v>
      </c>
      <c r="F12" s="83">
        <f t="shared" si="0"/>
        <v>110</v>
      </c>
    </row>
    <row r="13" spans="1:8">
      <c r="B13" t="s">
        <v>177</v>
      </c>
      <c r="C13" t="s">
        <v>180</v>
      </c>
      <c r="D13">
        <v>110</v>
      </c>
      <c r="E13">
        <v>1</v>
      </c>
      <c r="F13" s="83">
        <f t="shared" si="0"/>
        <v>110</v>
      </c>
    </row>
    <row r="14" spans="1:8">
      <c r="B14" t="s">
        <v>177</v>
      </c>
      <c r="C14" t="s">
        <v>179</v>
      </c>
      <c r="D14">
        <v>100</v>
      </c>
      <c r="E14">
        <v>1</v>
      </c>
      <c r="F14" s="83">
        <f t="shared" si="0"/>
        <v>100</v>
      </c>
    </row>
    <row r="15" spans="1:8">
      <c r="A15" t="s">
        <v>181</v>
      </c>
      <c r="B15" t="s">
        <v>175</v>
      </c>
      <c r="C15" t="s">
        <v>176</v>
      </c>
      <c r="D15">
        <v>140</v>
      </c>
      <c r="E15">
        <v>1.6</v>
      </c>
      <c r="F15" s="83">
        <f t="shared" si="0"/>
        <v>224</v>
      </c>
      <c r="G15" s="83">
        <f>SUM(F15:F19)</f>
        <v>920</v>
      </c>
    </row>
    <row r="16" spans="1:8">
      <c r="B16" t="s">
        <v>175</v>
      </c>
      <c r="C16" t="s">
        <v>181</v>
      </c>
      <c r="D16">
        <v>140</v>
      </c>
      <c r="E16">
        <v>0.4</v>
      </c>
      <c r="F16" s="83">
        <f t="shared" si="0"/>
        <v>56</v>
      </c>
    </row>
    <row r="17" spans="1:7">
      <c r="B17" t="s">
        <v>177</v>
      </c>
      <c r="C17" t="s">
        <v>181</v>
      </c>
      <c r="D17">
        <v>110</v>
      </c>
      <c r="E17">
        <v>2</v>
      </c>
      <c r="F17" s="83">
        <f t="shared" si="0"/>
        <v>220</v>
      </c>
    </row>
    <row r="18" spans="1:7">
      <c r="B18" t="s">
        <v>177</v>
      </c>
      <c r="C18" t="s">
        <v>181</v>
      </c>
      <c r="D18">
        <v>110</v>
      </c>
      <c r="E18">
        <v>2</v>
      </c>
      <c r="F18" s="83">
        <f t="shared" si="0"/>
        <v>220</v>
      </c>
    </row>
    <row r="19" spans="1:7">
      <c r="B19" t="s">
        <v>177</v>
      </c>
      <c r="C19" t="s">
        <v>181</v>
      </c>
      <c r="D19">
        <v>100</v>
      </c>
      <c r="E19">
        <v>2</v>
      </c>
      <c r="F19" s="83">
        <f t="shared" si="0"/>
        <v>200</v>
      </c>
    </row>
    <row r="20" spans="1:7">
      <c r="A20" t="s">
        <v>182</v>
      </c>
      <c r="B20" t="s">
        <v>175</v>
      </c>
      <c r="C20" t="s">
        <v>176</v>
      </c>
      <c r="D20">
        <v>140</v>
      </c>
      <c r="E20">
        <v>0.8</v>
      </c>
      <c r="F20" s="83">
        <f t="shared" si="0"/>
        <v>112</v>
      </c>
      <c r="G20" s="83">
        <f>SUM(F20:F24)</f>
        <v>460</v>
      </c>
    </row>
    <row r="21" spans="1:7">
      <c r="B21" t="s">
        <v>175</v>
      </c>
      <c r="C21" t="s">
        <v>182</v>
      </c>
      <c r="D21">
        <v>140</v>
      </c>
      <c r="E21">
        <v>0.2</v>
      </c>
      <c r="F21" s="83">
        <f t="shared" si="0"/>
        <v>28</v>
      </c>
    </row>
    <row r="22" spans="1:7">
      <c r="B22" t="s">
        <v>177</v>
      </c>
      <c r="C22" t="s">
        <v>182</v>
      </c>
      <c r="D22">
        <v>110</v>
      </c>
      <c r="E22">
        <v>1</v>
      </c>
      <c r="F22" s="83">
        <f t="shared" si="0"/>
        <v>110</v>
      </c>
    </row>
    <row r="23" spans="1:7">
      <c r="B23" t="s">
        <v>177</v>
      </c>
      <c r="C23" t="s">
        <v>182</v>
      </c>
      <c r="D23">
        <v>110</v>
      </c>
      <c r="E23">
        <v>1</v>
      </c>
      <c r="F23" s="83">
        <f t="shared" si="0"/>
        <v>110</v>
      </c>
    </row>
    <row r="24" spans="1:7">
      <c r="B24" t="s">
        <v>177</v>
      </c>
      <c r="C24" t="s">
        <v>182</v>
      </c>
      <c r="D24">
        <v>100</v>
      </c>
      <c r="E24">
        <v>1</v>
      </c>
      <c r="F24" s="83">
        <f t="shared" si="0"/>
        <v>100</v>
      </c>
    </row>
    <row r="25" spans="1:7">
      <c r="A25" t="s">
        <v>183</v>
      </c>
      <c r="B25" t="s">
        <v>175</v>
      </c>
      <c r="C25" t="s">
        <v>176</v>
      </c>
      <c r="D25">
        <v>140</v>
      </c>
      <c r="E25">
        <v>0.6</v>
      </c>
      <c r="F25" s="83">
        <f t="shared" si="0"/>
        <v>84</v>
      </c>
      <c r="G25" s="83">
        <f>SUM(F25:F28)</f>
        <v>360</v>
      </c>
    </row>
    <row r="26" spans="1:7">
      <c r="B26" t="s">
        <v>175</v>
      </c>
      <c r="C26" t="s">
        <v>183</v>
      </c>
      <c r="D26">
        <v>140</v>
      </c>
      <c r="E26">
        <v>0.4</v>
      </c>
      <c r="F26" s="83">
        <f t="shared" si="0"/>
        <v>56</v>
      </c>
    </row>
    <row r="27" spans="1:7">
      <c r="B27" t="s">
        <v>177</v>
      </c>
      <c r="C27" t="s">
        <v>183</v>
      </c>
      <c r="D27">
        <v>110</v>
      </c>
      <c r="E27">
        <v>1</v>
      </c>
      <c r="F27" s="83">
        <f t="shared" si="0"/>
        <v>110</v>
      </c>
    </row>
    <row r="28" spans="1:7">
      <c r="B28" t="s">
        <v>177</v>
      </c>
      <c r="C28" t="s">
        <v>183</v>
      </c>
      <c r="D28">
        <v>110</v>
      </c>
      <c r="E28">
        <v>1</v>
      </c>
      <c r="F28" s="83">
        <f t="shared" si="0"/>
        <v>110</v>
      </c>
    </row>
    <row r="29" spans="1:7">
      <c r="A29" t="s">
        <v>184</v>
      </c>
      <c r="B29" t="s">
        <v>175</v>
      </c>
      <c r="C29" t="s">
        <v>176</v>
      </c>
      <c r="D29">
        <v>140</v>
      </c>
      <c r="E29">
        <v>0.6</v>
      </c>
      <c r="F29" s="83">
        <f t="shared" si="0"/>
        <v>84</v>
      </c>
      <c r="G29" s="83">
        <f>SUM(F29:F32)</f>
        <v>360</v>
      </c>
    </row>
    <row r="30" spans="1:7">
      <c r="B30" t="s">
        <v>175</v>
      </c>
      <c r="C30" t="s">
        <v>184</v>
      </c>
      <c r="D30">
        <v>140</v>
      </c>
      <c r="E30">
        <v>0.4</v>
      </c>
      <c r="F30" s="83">
        <f t="shared" si="0"/>
        <v>56</v>
      </c>
    </row>
    <row r="31" spans="1:7">
      <c r="B31" t="s">
        <v>177</v>
      </c>
      <c r="C31" t="s">
        <v>184</v>
      </c>
      <c r="D31">
        <v>110</v>
      </c>
      <c r="E31">
        <v>1</v>
      </c>
      <c r="F31" s="83">
        <f t="shared" si="0"/>
        <v>110</v>
      </c>
    </row>
    <row r="32" spans="1:7">
      <c r="B32" t="s">
        <v>177</v>
      </c>
      <c r="C32" t="s">
        <v>184</v>
      </c>
      <c r="D32">
        <v>110</v>
      </c>
      <c r="E32">
        <v>1</v>
      </c>
      <c r="F32" s="83">
        <f t="shared" si="0"/>
        <v>110</v>
      </c>
    </row>
    <row r="33" spans="1:7">
      <c r="A33" t="s">
        <v>185</v>
      </c>
      <c r="B33" t="s">
        <v>175</v>
      </c>
      <c r="C33" t="s">
        <v>176</v>
      </c>
      <c r="D33">
        <v>140</v>
      </c>
      <c r="E33">
        <v>0.6</v>
      </c>
      <c r="F33" s="83">
        <f t="shared" si="0"/>
        <v>84</v>
      </c>
      <c r="G33" s="83">
        <f>SUM(F33:F36)</f>
        <v>360</v>
      </c>
    </row>
    <row r="34" spans="1:7">
      <c r="B34" t="s">
        <v>175</v>
      </c>
      <c r="C34" t="s">
        <v>185</v>
      </c>
      <c r="D34">
        <v>140</v>
      </c>
      <c r="E34">
        <v>0.4</v>
      </c>
      <c r="F34" s="83">
        <f t="shared" si="0"/>
        <v>56</v>
      </c>
    </row>
    <row r="35" spans="1:7">
      <c r="B35" t="s">
        <v>177</v>
      </c>
      <c r="C35" t="s">
        <v>185</v>
      </c>
      <c r="D35">
        <v>110</v>
      </c>
      <c r="E35">
        <v>1</v>
      </c>
      <c r="F35" s="83">
        <f t="shared" si="0"/>
        <v>110</v>
      </c>
    </row>
    <row r="36" spans="1:7">
      <c r="B36" t="s">
        <v>177</v>
      </c>
      <c r="C36" t="s">
        <v>185</v>
      </c>
      <c r="D36">
        <v>110</v>
      </c>
      <c r="E36">
        <v>1</v>
      </c>
      <c r="F36" s="83">
        <f t="shared" si="0"/>
        <v>110</v>
      </c>
    </row>
  </sheetData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b7644d4de02ded20394603be2720d07a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2cb02ba061cb2e2c8687b0626190540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48F9C9-DF13-43AD-9D6F-160A07DBCB02}"/>
</file>

<file path=customXml/itemProps2.xml><?xml version="1.0" encoding="utf-8"?>
<ds:datastoreItem xmlns:ds="http://schemas.openxmlformats.org/officeDocument/2006/customXml" ds:itemID="{DBFFCB5C-E335-40F6-B391-B701A85E5A17}"/>
</file>

<file path=customXml/itemProps3.xml><?xml version="1.0" encoding="utf-8"?>
<ds:datastoreItem xmlns:ds="http://schemas.openxmlformats.org/officeDocument/2006/customXml" ds:itemID="{6F13A7B2-F313-43A3-9F29-4ED57B3EE8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t-moriyama</dc:creator>
  <cp:keywords/>
  <dc:description/>
  <cp:lastModifiedBy>池野貴明</cp:lastModifiedBy>
  <cp:revision/>
  <dcterms:created xsi:type="dcterms:W3CDTF">2018-08-28T04:32:00Z</dcterms:created>
  <dcterms:modified xsi:type="dcterms:W3CDTF">2025-11-26T02:37:23Z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</Properties>
</file>